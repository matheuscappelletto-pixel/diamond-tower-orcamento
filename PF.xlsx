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sheets/sheet14.xml" ContentType="application/vnd.openxmlformats-officedocument.spreadsheetml.worksheet+xml"/>
  <Override PartName="/xl/comments/comment6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PF 2025" sheetId="1" state="visible" r:id="rId1"/>
    <sheet name="RS 2025" sheetId="2" state="visible" r:id="rId2"/>
    <sheet name="PF 2024" sheetId="3" state="visible" r:id="rId3"/>
    <sheet name="RS 2024" sheetId="4" state="visible" r:id="rId4"/>
    <sheet name="PO 2024" sheetId="5" state="visible" r:id="rId5"/>
    <sheet name="PF 2023" sheetId="6" state="visible" r:id="rId6"/>
    <sheet name="RS 2023" sheetId="7" state="visible" r:id="rId7"/>
    <sheet name="DC" sheetId="8" state="visible" r:id="rId8"/>
    <sheet name="RS 2022" sheetId="9" state="visible" r:id="rId9"/>
    <sheet name="FOLHA" sheetId="10" state="visible" r:id="rId10"/>
    <sheet name="PF 22" sheetId="11" state="visible" r:id="rId11"/>
    <sheet name="-" sheetId="12" state="visible" r:id="rId12"/>
    <sheet name="ESTUDO" sheetId="13" state="visible" r:id="rId13"/>
    <sheet name="P.O 2019 3,77%" sheetId="14" state="hidden" r:id="rId14"/>
  </sheets>
  <definedNames>
    <definedName name="_xlnm._FilterDatabase" localSheetId="0" hidden="1">'PF 2025'!$B$16:$R$20</definedName>
    <definedName name="_xlnm._FilterDatabase" localSheetId="2" hidden="1">'PF 2024'!$B$18:$P$24</definedName>
    <definedName name="_xlnm._FilterDatabase" localSheetId="4" hidden="1">'PO 2024'!$B$18:$Q$26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[$R$ -416]#,##0.00"/>
    <numFmt numFmtId="165" formatCode="_-&quot;R$&quot;\ * #,##0.00_-;\-&quot;R$&quot;\ * #,##0.00_-;_-&quot;R$&quot;\ * &quot;-&quot;??_-;_-@"/>
    <numFmt numFmtId="166" formatCode="_-&quot;R$&quot;\ * #,##0.00_-;\-&quot;R$&quot;\ * #,##0.00_-;_-&quot;R$&quot;\ * &quot;-&quot;??.0_-;_-@"/>
    <numFmt numFmtId="167" formatCode="_(&quot;R$ &quot;* #,##0.00_);_(&quot;R$ &quot;* \(#,##0.00\);_(&quot;R$ &quot;* \-??_);_(@_)"/>
    <numFmt numFmtId="168" formatCode="#,##0.00;\(#,##0.00\)"/>
    <numFmt numFmtId="169" formatCode="_-&quot;R$&quot;\ * #,##0.0_-;\-&quot;R$&quot;\ * #,##0.0_-;_-&quot;R$&quot;\ * &quot;-&quot;??_-;_-@"/>
    <numFmt numFmtId="170" formatCode="_-&quot;R$ &quot;* #,##0.00_-;&quot;-R$ &quot;* #,##0.00_-;_-&quot;R$ &quot;* \-??_-;_-@"/>
    <numFmt numFmtId="171" formatCode="_-* #,##0.00_-;\-* #,##0.00_-;_-* &quot;-&quot;??_-;_-@"/>
    <numFmt numFmtId="172" formatCode="_-&quot;R$&quot;\ * #,##0.00_-;\-&quot;R$&quot;\ * #,##0.00_-;_-&quot;R$&quot;\ * &quot;-&quot;??.00_-;_-@"/>
    <numFmt numFmtId="173" formatCode="_-&quot;R$&quot;\ * #,##0.00_-;\-&quot;R$&quot;\ * #,##0.00_-;_-&quot;R$&quot;\ * &quot;-&quot;??_-;_-@_-"/>
  </numFmts>
  <fonts count="53">
    <font>
      <name val="Arial"/>
      <color rgb="FF000000"/>
      <sz val="10"/>
      <scheme val="minor"/>
    </font>
    <font>
      <name val="Arial"/>
      <b val="1"/>
      <color rgb="FF1D1B10"/>
      <sz val="12"/>
    </font>
    <font>
      <name val="Arial"/>
      <color theme="1"/>
      <sz val="12"/>
    </font>
    <font>
      <name val="Arial"/>
      <b val="1"/>
      <color theme="1"/>
      <sz val="12"/>
    </font>
    <font>
      <name val="Arial"/>
      <b val="1"/>
      <color rgb="FF000000"/>
      <sz val="12"/>
    </font>
    <font>
      <name val="Arial"/>
      <color rgb="FF000000"/>
      <sz val="12"/>
    </font>
    <font>
      <name val="Arial"/>
      <color rgb="FFFF0000"/>
      <sz val="12"/>
    </font>
    <font>
      <name val="Arial"/>
      <color rgb="FF3C4043"/>
      <sz val="12"/>
    </font>
    <font>
      <name val="Arial"/>
      <b val="1"/>
      <color theme="1"/>
      <sz val="10"/>
    </font>
    <font>
      <name val="Arial"/>
      <color theme="1"/>
      <sz val="10"/>
      <scheme val="minor"/>
    </font>
    <font>
      <name val="Arial"/>
      <color theme="1"/>
      <sz val="10"/>
    </font>
    <font>
      <name val="Arial"/>
      <b val="1"/>
      <color theme="1"/>
      <sz val="10"/>
    </font>
    <font>
      <name val="Arial"/>
      <sz val="10"/>
    </font>
    <font>
      <name val="Arial"/>
      <color theme="1"/>
      <sz val="10"/>
    </font>
    <font>
      <name val="Arial"/>
      <color theme="1"/>
      <sz val="21"/>
      <scheme val="minor"/>
    </font>
    <font>
      <name val="Arial"/>
      <color theme="1"/>
      <sz val="10"/>
      <scheme val="minor"/>
    </font>
    <font>
      <name val="Calibri"/>
      <color rgb="FFFF0000"/>
      <sz val="11"/>
    </font>
    <font>
      <name val="Calibri"/>
      <color rgb="FF000000"/>
      <sz val="9"/>
    </font>
    <font>
      <name val="Calibri"/>
      <color rgb="FF000000"/>
      <sz val="11"/>
    </font>
    <font>
      <name val="Calibri"/>
      <color rgb="FF000000"/>
      <sz val="8"/>
    </font>
    <font>
      <name val="Calibri"/>
      <color theme="1"/>
      <sz val="10"/>
    </font>
    <font>
      <name val="Calibri"/>
      <b val="1"/>
      <color rgb="FFFFFF00"/>
      <sz val="16"/>
    </font>
    <font>
      <name val="Calibri"/>
      <b val="1"/>
      <color rgb="FF008000"/>
      <sz val="18"/>
    </font>
    <font>
      <name val="Calibri"/>
      <b val="1"/>
      <color rgb="FF008000"/>
      <sz val="8"/>
    </font>
    <font>
      <name val="Calibri"/>
      <b val="1"/>
      <color rgb="FFFF0000"/>
      <sz val="14"/>
    </font>
    <font>
      <name val="Calibri"/>
      <b val="1"/>
      <color rgb="FFFFFF00"/>
      <sz val="12"/>
    </font>
    <font>
      <name val="Calibri"/>
      <b val="1"/>
      <color rgb="FFFFFF00"/>
      <sz val="10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color theme="1"/>
      <sz val="9"/>
    </font>
    <font>
      <name val="Calibri"/>
      <color rgb="FFFF0000"/>
      <sz val="10"/>
    </font>
    <font>
      <name val="Calibri"/>
      <b val="1"/>
      <color theme="1"/>
      <sz val="11"/>
    </font>
    <font>
      <name val="Calibri"/>
      <color theme="1"/>
      <sz val="8"/>
    </font>
    <font>
      <name val="Calibri"/>
      <color rgb="FF0000FF"/>
      <sz val="9"/>
    </font>
    <font>
      <name val="Calibri"/>
      <b val="1"/>
      <color rgb="FFFF0000"/>
      <sz val="11"/>
    </font>
    <font>
      <name val="Calibri"/>
      <color rgb="FFFF0000"/>
      <sz val="8"/>
    </font>
    <font>
      <name val="Calibri"/>
      <color rgb="FF000000"/>
      <sz val="6"/>
    </font>
    <font>
      <name val="Calibri"/>
      <b val="1"/>
      <color theme="0"/>
      <sz val="8"/>
    </font>
    <font>
      <name val="Calibri"/>
      <color theme="0"/>
      <sz val="8"/>
    </font>
    <font>
      <name val="Arial"/>
      <family val="2"/>
      <b val="1"/>
      <color rgb="FF1D1B10"/>
      <sz val="11"/>
    </font>
    <font>
      <name val="Arial"/>
      <family val="2"/>
      <color theme="1"/>
      <sz val="11"/>
    </font>
    <font>
      <name val="Arial"/>
      <family val="2"/>
      <color rgb="FF000000"/>
      <sz val="11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color rgb="FFFF0000"/>
      <sz val="11"/>
    </font>
    <font>
      <name val="Arial"/>
      <family val="2"/>
      <color rgb="FF3C4043"/>
      <sz val="11"/>
    </font>
    <font>
      <name val="Arial"/>
      <family val="2"/>
      <b val="1"/>
      <color theme="1"/>
      <sz val="10"/>
    </font>
    <font>
      <name val="Arial"/>
      <family val="2"/>
      <sz val="10"/>
    </font>
    <font>
      <name val="Arial"/>
      <color rgb="FF000000"/>
      <sz val="10"/>
      <scheme val="minor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Arial"/>
      <family val="2"/>
      <b val="1"/>
      <color rgb="FF000000"/>
      <sz val="10"/>
      <scheme val="minor"/>
    </font>
  </fonts>
  <fills count="19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008000"/>
        <bgColor rgb="FF00800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49" fillId="0" borderId="12"/>
    <xf numFmtId="44" fontId="49" fillId="0" borderId="12"/>
  </cellStyleXfs>
  <cellXfs count="580">
    <xf numFmtId="0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49" fontId="1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165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6" fillId="3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center" vertical="center"/>
    </xf>
    <xf numFmtId="165" fontId="7" fillId="5" borderId="0" pivotButton="0" quotePrefix="0" xfId="0"/>
    <xf numFmtId="165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2" fillId="6" borderId="0" applyAlignment="1" pivotButton="0" quotePrefix="0" xfId="0">
      <alignment horizontal="center" vertical="center"/>
    </xf>
    <xf numFmtId="164" fontId="2" fillId="6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167" fontId="2" fillId="3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68" fontId="10" fillId="0" borderId="0" applyAlignment="1" pivotButton="0" quotePrefix="0" xfId="0">
      <alignment horizontal="center" vertical="center"/>
    </xf>
    <xf numFmtId="168" fontId="10" fillId="8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8" fillId="8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5" borderId="0" applyAlignment="1" pivotButton="0" quotePrefix="0" xfId="0">
      <alignment vertical="center"/>
    </xf>
    <xf numFmtId="168" fontId="9" fillId="0" borderId="0" applyAlignment="1" pivotButton="0" quotePrefix="0" xfId="0">
      <alignment vertical="center"/>
    </xf>
    <xf numFmtId="168" fontId="11" fillId="0" borderId="0" applyAlignment="1" pivotButton="0" quotePrefix="0" xfId="0">
      <alignment horizontal="center" vertical="center"/>
    </xf>
    <xf numFmtId="168" fontId="11" fillId="7" borderId="1" applyAlignment="1" pivotButton="0" quotePrefix="0" xfId="0">
      <alignment horizontal="center" vertical="center"/>
    </xf>
    <xf numFmtId="168" fontId="11" fillId="7" borderId="4" applyAlignment="1" pivotButton="0" quotePrefix="0" xfId="0">
      <alignment horizontal="center" vertical="center"/>
    </xf>
    <xf numFmtId="49" fontId="11" fillId="7" borderId="5" applyAlignment="1" pivotButton="0" quotePrefix="0" xfId="0">
      <alignment horizontal="center" vertical="center"/>
    </xf>
    <xf numFmtId="168" fontId="11" fillId="7" borderId="6" applyAlignment="1" pivotButton="0" quotePrefix="0" xfId="0">
      <alignment horizontal="center" vertical="center"/>
    </xf>
    <xf numFmtId="168" fontId="11" fillId="7" borderId="7" applyAlignment="1" pivotButton="0" quotePrefix="0" xfId="0">
      <alignment horizontal="center" vertical="center"/>
    </xf>
    <xf numFmtId="168" fontId="11" fillId="7" borderId="8" applyAlignment="1" pivotButton="0" quotePrefix="0" xfId="0">
      <alignment horizontal="center" vertical="center"/>
    </xf>
    <xf numFmtId="168" fontId="13" fillId="0" borderId="0" pivotButton="0" quotePrefix="0" xfId="0"/>
    <xf numFmtId="168" fontId="13" fillId="0" borderId="0" applyAlignment="1" pivotButton="0" quotePrefix="0" xfId="0">
      <alignment horizontal="center" vertical="center"/>
    </xf>
    <xf numFmtId="168" fontId="11" fillId="0" borderId="0" applyAlignment="1" pivotButton="0" quotePrefix="0" xfId="0">
      <alignment horizontal="left" vertical="center"/>
    </xf>
    <xf numFmtId="168" fontId="11" fillId="2" borderId="9" applyAlignment="1" pivotButton="0" quotePrefix="0" xfId="0">
      <alignment horizontal="left" vertical="center"/>
    </xf>
    <xf numFmtId="168" fontId="11" fillId="2" borderId="10" applyAlignment="1" pivotButton="0" quotePrefix="0" xfId="0">
      <alignment horizontal="center" vertical="center"/>
    </xf>
    <xf numFmtId="168" fontId="11" fillId="2" borderId="11" applyAlignment="1" pivotButton="0" quotePrefix="0" xfId="0">
      <alignment horizontal="center" vertical="center"/>
    </xf>
    <xf numFmtId="168" fontId="13" fillId="0" borderId="0" applyAlignment="1" pivotButton="0" quotePrefix="0" xfId="0">
      <alignment horizontal="left" vertical="center"/>
    </xf>
    <xf numFmtId="10" fontId="13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center" wrapText="1"/>
    </xf>
    <xf numFmtId="49" fontId="1" fillId="2" borderId="3" applyAlignment="1" pivotButton="0" quotePrefix="0" xfId="0">
      <alignment horizontal="center" vertical="center" wrapText="1"/>
    </xf>
    <xf numFmtId="49" fontId="1" fillId="2" borderId="4" applyAlignment="1" pivotButton="0" quotePrefix="0" xfId="0">
      <alignment horizontal="center" vertical="center" wrapText="1"/>
    </xf>
    <xf numFmtId="49" fontId="1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165" fontId="4" fillId="2" borderId="7" applyAlignment="1" pivotButton="0" quotePrefix="0" xfId="0">
      <alignment horizontal="center" vertical="center"/>
    </xf>
    <xf numFmtId="164" fontId="4" fillId="2" borderId="7" applyAlignment="1" pivotButton="0" quotePrefix="0" xfId="0">
      <alignment horizontal="center" vertical="center"/>
    </xf>
    <xf numFmtId="165" fontId="4" fillId="2" borderId="8" applyAlignment="1" pivotButton="0" quotePrefix="0" xfId="0">
      <alignment horizontal="center" vertical="center"/>
    </xf>
    <xf numFmtId="165" fontId="4" fillId="2" borderId="6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165" fontId="2" fillId="3" borderId="3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/>
    </xf>
    <xf numFmtId="165" fontId="2" fillId="3" borderId="5" applyAlignment="1" pivotButton="0" quotePrefix="0" xfId="0">
      <alignment horizontal="center" vertical="center"/>
    </xf>
    <xf numFmtId="165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 wrapText="1"/>
    </xf>
    <xf numFmtId="164" fontId="2" fillId="3" borderId="0" applyAlignment="1" pivotButton="0" quotePrefix="0" xfId="0">
      <alignment vertical="center"/>
    </xf>
    <xf numFmtId="167" fontId="2" fillId="3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 wrapText="1"/>
    </xf>
    <xf numFmtId="165" fontId="2" fillId="3" borderId="7" applyAlignment="1" pivotButton="0" quotePrefix="0" xfId="0">
      <alignment horizontal="center" vertical="center"/>
    </xf>
    <xf numFmtId="164" fontId="2" fillId="3" borderId="7" applyAlignment="1" pivotButton="0" quotePrefix="0" xfId="0">
      <alignment horizontal="center" vertical="center"/>
    </xf>
    <xf numFmtId="165" fontId="2" fillId="3" borderId="8" applyAlignment="1" pivotButton="0" quotePrefix="0" xfId="0">
      <alignment horizontal="center" vertical="center"/>
    </xf>
    <xf numFmtId="165" fontId="2" fillId="3" borderId="6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165" fontId="4" fillId="2" borderId="10" applyAlignment="1" pivotButton="0" quotePrefix="0" xfId="0">
      <alignment horizontal="center" vertical="center"/>
    </xf>
    <xf numFmtId="164" fontId="4" fillId="2" borderId="10" applyAlignment="1" pivotButton="0" quotePrefix="0" xfId="0">
      <alignment horizontal="center" vertical="center"/>
    </xf>
    <xf numFmtId="165" fontId="4" fillId="2" borderId="11" applyAlignment="1" pivotButton="0" quotePrefix="0" xfId="0">
      <alignment horizontal="center" vertical="center"/>
    </xf>
    <xf numFmtId="165" fontId="4" fillId="2" borderId="9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4" applyAlignment="1" pivotButton="0" quotePrefix="0" xfId="0">
      <alignment horizontal="left" vertical="center"/>
    </xf>
    <xf numFmtId="165" fontId="6" fillId="3" borderId="5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 wrapText="1"/>
    </xf>
    <xf numFmtId="165" fontId="5" fillId="3" borderId="7" applyAlignment="1" pivotButton="0" quotePrefix="0" xfId="0">
      <alignment horizontal="center" vertical="center"/>
    </xf>
    <xf numFmtId="164" fontId="5" fillId="3" borderId="7" applyAlignment="1" pivotButton="0" quotePrefix="0" xfId="0">
      <alignment horizontal="center" vertical="center"/>
    </xf>
    <xf numFmtId="165" fontId="5" fillId="3" borderId="8" applyAlignment="1" pivotButton="0" quotePrefix="0" xfId="0">
      <alignment horizontal="center" vertical="center"/>
    </xf>
    <xf numFmtId="165" fontId="5" fillId="3" borderId="6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 shrinkToFit="1"/>
    </xf>
    <xf numFmtId="165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165" fontId="5" fillId="3" borderId="3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3" borderId="5" applyAlignment="1" pivotButton="0" quotePrefix="0" xfId="0">
      <alignment horizontal="center" vertical="center"/>
    </xf>
    <xf numFmtId="165" fontId="5" fillId="3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left" vertical="center" wrapText="1"/>
    </xf>
    <xf numFmtId="165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5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0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5" fontId="2" fillId="0" borderId="8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5" fontId="2" fillId="6" borderId="2" applyAlignment="1" pivotButton="0" quotePrefix="0" xfId="0">
      <alignment horizontal="center" vertical="center"/>
    </xf>
    <xf numFmtId="164" fontId="2" fillId="6" borderId="2" applyAlignment="1" pivotButton="0" quotePrefix="0" xfId="0">
      <alignment horizontal="center" vertical="center"/>
    </xf>
    <xf numFmtId="165" fontId="2" fillId="6" borderId="3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2" fillId="6" borderId="4" applyAlignment="1" pivotButton="0" quotePrefix="0" xfId="0">
      <alignment horizontal="left" vertical="center"/>
    </xf>
    <xf numFmtId="165" fontId="2" fillId="6" borderId="5" applyAlignment="1" pivotButton="0" quotePrefix="0" xfId="0">
      <alignment horizontal="center" vertical="center"/>
    </xf>
    <xf numFmtId="165" fontId="2" fillId="6" borderId="4" applyAlignment="1" pivotButton="0" quotePrefix="0" xfId="0">
      <alignment horizontal="center" vertical="center"/>
    </xf>
    <xf numFmtId="0" fontId="2" fillId="6" borderId="6" applyAlignment="1" pivotButton="0" quotePrefix="0" xfId="0">
      <alignment horizontal="left" vertical="center"/>
    </xf>
    <xf numFmtId="165" fontId="2" fillId="6" borderId="7" applyAlignment="1" pivotButton="0" quotePrefix="0" xfId="0">
      <alignment horizontal="center" vertical="center"/>
    </xf>
    <xf numFmtId="164" fontId="2" fillId="6" borderId="7" applyAlignment="1" pivotButton="0" quotePrefix="0" xfId="0">
      <alignment horizontal="center" vertical="center"/>
    </xf>
    <xf numFmtId="165" fontId="2" fillId="6" borderId="8" applyAlignment="1" pivotButton="0" quotePrefix="0" xfId="0">
      <alignment horizontal="center" vertical="center"/>
    </xf>
    <xf numFmtId="165" fontId="2" fillId="6" borderId="6" applyAlignment="1" pivotButton="0" quotePrefix="0" xfId="0">
      <alignment horizontal="center" vertical="center"/>
    </xf>
    <xf numFmtId="169" fontId="2" fillId="6" borderId="0" applyAlignment="1" pivotButton="0" quotePrefix="0" xfId="0">
      <alignment horizontal="center" vertical="center"/>
    </xf>
    <xf numFmtId="166" fontId="2" fillId="6" borderId="0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170" fontId="3" fillId="2" borderId="10" applyAlignment="1" pivotButton="0" quotePrefix="0" xfId="0">
      <alignment horizontal="center" vertical="center"/>
    </xf>
    <xf numFmtId="164" fontId="3" fillId="2" borderId="10" applyAlignment="1" pivotButton="0" quotePrefix="0" xfId="0">
      <alignment horizontal="center" vertical="center"/>
    </xf>
    <xf numFmtId="170" fontId="3" fillId="2" borderId="11" applyAlignment="1" pivotButton="0" quotePrefix="0" xfId="0">
      <alignment horizontal="center" vertical="center"/>
    </xf>
    <xf numFmtId="170" fontId="3" fillId="2" borderId="9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/>
    </xf>
    <xf numFmtId="0" fontId="11" fillId="7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7" borderId="10" applyAlignment="1" pivotButton="0" quotePrefix="0" xfId="0">
      <alignment horizontal="left" vertical="center"/>
    </xf>
    <xf numFmtId="164" fontId="11" fillId="7" borderId="1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top"/>
    </xf>
    <xf numFmtId="0" fontId="17" fillId="5" borderId="12" applyAlignment="1" pivotButton="0" quotePrefix="0" xfId="0">
      <alignment horizontal="left" vertical="center"/>
    </xf>
    <xf numFmtId="165" fontId="18" fillId="0" borderId="0" applyAlignment="1" pivotButton="0" quotePrefix="0" xfId="0">
      <alignment horizontal="center" vertical="center"/>
    </xf>
    <xf numFmtId="4" fontId="17" fillId="0" borderId="0" applyAlignment="1" pivotButton="0" quotePrefix="0" xfId="0">
      <alignment horizontal="center" vertical="center"/>
    </xf>
    <xf numFmtId="0" fontId="19" fillId="5" borderId="12" applyAlignment="1" pivotButton="0" quotePrefix="0" xfId="0">
      <alignment horizontal="center" vertical="center"/>
    </xf>
    <xf numFmtId="167" fontId="20" fillId="5" borderId="12" applyAlignment="1" pivotButton="0" quotePrefix="0" xfId="0">
      <alignment vertical="center"/>
    </xf>
    <xf numFmtId="167" fontId="20" fillId="5" borderId="12" applyAlignment="1" pivotButton="0" quotePrefix="0" xfId="0">
      <alignment horizontal="center" vertical="center"/>
    </xf>
    <xf numFmtId="0" fontId="17" fillId="5" borderId="12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171" fontId="23" fillId="0" borderId="0" applyAlignment="1" pivotButton="0" quotePrefix="0" xfId="0">
      <alignment horizontal="center" vertical="center"/>
    </xf>
    <xf numFmtId="49" fontId="25" fillId="12" borderId="13" applyAlignment="1" pivotButton="0" quotePrefix="0" xfId="0">
      <alignment horizontal="center" vertical="center" wrapText="1"/>
    </xf>
    <xf numFmtId="49" fontId="25" fillId="0" borderId="0" applyAlignment="1" pivotButton="0" quotePrefix="0" xfId="0">
      <alignment vertical="center" wrapText="1"/>
    </xf>
    <xf numFmtId="0" fontId="18" fillId="5" borderId="12" applyAlignment="1" pivotButton="0" quotePrefix="0" xfId="0">
      <alignment horizontal="left" vertical="center"/>
    </xf>
    <xf numFmtId="49" fontId="26" fillId="12" borderId="13" applyAlignment="1" pivotButton="0" quotePrefix="0" xfId="0">
      <alignment horizontal="center" vertical="center" wrapText="1"/>
    </xf>
    <xf numFmtId="0" fontId="27" fillId="13" borderId="14" applyAlignment="1" pivotButton="0" quotePrefix="0" xfId="0">
      <alignment horizontal="center" vertical="center" wrapText="1"/>
    </xf>
    <xf numFmtId="10" fontId="27" fillId="5" borderId="12" applyAlignment="1" pivotButton="0" quotePrefix="0" xfId="0">
      <alignment horizontal="left" vertical="center"/>
    </xf>
    <xf numFmtId="165" fontId="27" fillId="13" borderId="15" applyAlignment="1" pivotButton="0" quotePrefix="0" xfId="0">
      <alignment horizontal="center" vertical="center"/>
    </xf>
    <xf numFmtId="4" fontId="19" fillId="5" borderId="12" applyAlignment="1" pivotButton="0" quotePrefix="0" xfId="0">
      <alignment horizontal="center" vertical="center"/>
    </xf>
    <xf numFmtId="165" fontId="27" fillId="13" borderId="14" applyAlignment="1" pivotButton="0" quotePrefix="0" xfId="0">
      <alignment horizontal="center" vertical="center"/>
    </xf>
    <xf numFmtId="10" fontId="8" fillId="13" borderId="14" applyAlignment="1" pivotButton="0" quotePrefix="0" xfId="0">
      <alignment horizontal="center" vertical="center"/>
    </xf>
    <xf numFmtId="0" fontId="28" fillId="3" borderId="16" applyAlignment="1" pivotButton="0" quotePrefix="0" xfId="0">
      <alignment horizontal="left" vertical="center"/>
    </xf>
    <xf numFmtId="4" fontId="29" fillId="0" borderId="18" applyAlignment="1" pivotButton="0" quotePrefix="0" xfId="0">
      <alignment horizontal="center" vertical="center"/>
    </xf>
    <xf numFmtId="167" fontId="30" fillId="5" borderId="19" applyAlignment="1" pivotButton="0" quotePrefix="0" xfId="0">
      <alignment vertical="center"/>
    </xf>
    <xf numFmtId="10" fontId="10" fillId="0" borderId="19" applyAlignment="1" pivotButton="0" quotePrefix="0" xfId="0">
      <alignment horizontal="center" vertical="center"/>
    </xf>
    <xf numFmtId="0" fontId="29" fillId="5" borderId="12" applyAlignment="1" pivotButton="0" quotePrefix="0" xfId="0">
      <alignment vertical="center"/>
    </xf>
    <xf numFmtId="0" fontId="28" fillId="0" borderId="22" applyAlignment="1" pivotButton="0" quotePrefix="0" xfId="0">
      <alignment horizontal="left" vertical="center"/>
    </xf>
    <xf numFmtId="10" fontId="27" fillId="0" borderId="0" applyAlignment="1" pivotButton="0" quotePrefix="0" xfId="0">
      <alignment horizontal="left" vertical="center"/>
    </xf>
    <xf numFmtId="4" fontId="29" fillId="0" borderId="24" applyAlignment="1" pivotButton="0" quotePrefix="0" xfId="0">
      <alignment horizontal="center" vertical="center"/>
    </xf>
    <xf numFmtId="167" fontId="30" fillId="5" borderId="25" applyAlignment="1" pivotButton="0" quotePrefix="0" xfId="0">
      <alignment vertical="center"/>
    </xf>
    <xf numFmtId="10" fontId="10" fillId="0" borderId="25" applyAlignment="1" pivotButton="0" quotePrefix="0" xfId="0">
      <alignment horizontal="center" vertical="center"/>
    </xf>
    <xf numFmtId="167" fontId="30" fillId="3" borderId="25" applyAlignment="1" pivotButton="0" quotePrefix="0" xfId="0">
      <alignment vertical="center"/>
    </xf>
    <xf numFmtId="165" fontId="28" fillId="0" borderId="23" applyAlignment="1" pivotButton="0" quotePrefix="0" xfId="0">
      <alignment horizontal="center" vertical="center"/>
    </xf>
    <xf numFmtId="167" fontId="20" fillId="3" borderId="25" applyAlignment="1" pivotButton="0" quotePrefix="0" xfId="0">
      <alignment vertical="center"/>
    </xf>
    <xf numFmtId="167" fontId="20" fillId="3" borderId="34" applyAlignment="1" pivotButton="0" quotePrefix="0" xfId="0">
      <alignment vertical="center"/>
    </xf>
    <xf numFmtId="171" fontId="29" fillId="5" borderId="12" applyAlignment="1" pivotButton="0" quotePrefix="0" xfId="0">
      <alignment vertical="center"/>
    </xf>
    <xf numFmtId="0" fontId="28" fillId="0" borderId="22" applyAlignment="1" pivotButton="0" quotePrefix="0" xfId="0">
      <alignment horizontal="left" vertical="center" wrapText="1"/>
    </xf>
    <xf numFmtId="4" fontId="29" fillId="3" borderId="24" applyAlignment="1" pivotButton="0" quotePrefix="0" xfId="0">
      <alignment horizontal="center" vertical="center"/>
    </xf>
    <xf numFmtId="10" fontId="10" fillId="3" borderId="25" applyAlignment="1" pivotButton="0" quotePrefix="0" xfId="0">
      <alignment horizontal="center" vertical="center"/>
    </xf>
    <xf numFmtId="10" fontId="28" fillId="0" borderId="0" applyAlignment="1" pivotButton="0" quotePrefix="0" xfId="0">
      <alignment horizontal="left" vertical="center"/>
    </xf>
    <xf numFmtId="0" fontId="28" fillId="0" borderId="35" applyAlignment="1" pivotButton="0" quotePrefix="0" xfId="0">
      <alignment horizontal="left" vertical="center"/>
    </xf>
    <xf numFmtId="165" fontId="28" fillId="0" borderId="36" applyAlignment="1" pivotButton="0" quotePrefix="0" xfId="0">
      <alignment horizontal="center" vertical="center"/>
    </xf>
    <xf numFmtId="4" fontId="29" fillId="3" borderId="37" applyAlignment="1" pivotButton="0" quotePrefix="0" xfId="0">
      <alignment horizontal="center" vertical="center"/>
    </xf>
    <xf numFmtId="167" fontId="30" fillId="3" borderId="38" applyAlignment="1" pivotButton="0" quotePrefix="0" xfId="0">
      <alignment vertical="center"/>
    </xf>
    <xf numFmtId="10" fontId="10" fillId="3" borderId="38" applyAlignment="1" pivotButton="0" quotePrefix="0" xfId="0">
      <alignment horizontal="center" vertical="center"/>
    </xf>
    <xf numFmtId="167" fontId="20" fillId="3" borderId="38" applyAlignment="1" pivotButton="0" quotePrefix="0" xfId="0">
      <alignment vertical="center"/>
    </xf>
    <xf numFmtId="10" fontId="10" fillId="0" borderId="38" applyAlignment="1" pivotButton="0" quotePrefix="0" xfId="0">
      <alignment horizontal="center" vertical="center"/>
    </xf>
    <xf numFmtId="167" fontId="20" fillId="3" borderId="39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4" fontId="18" fillId="0" borderId="0" applyAlignment="1" pivotButton="0" quotePrefix="0" xfId="0">
      <alignment horizontal="left" vertical="center"/>
    </xf>
    <xf numFmtId="10" fontId="10" fillId="0" borderId="0" applyAlignment="1" pivotButton="0" quotePrefix="0" xfId="0">
      <alignment horizontal="center" vertical="center"/>
    </xf>
    <xf numFmtId="0" fontId="27" fillId="13" borderId="13" applyAlignment="1" pivotButton="0" quotePrefix="0" xfId="0">
      <alignment horizontal="center" vertical="center" wrapText="1"/>
    </xf>
    <xf numFmtId="165" fontId="27" fillId="13" borderId="13" applyAlignment="1" pivotButton="0" quotePrefix="0" xfId="0">
      <alignment horizontal="center" vertical="center"/>
    </xf>
    <xf numFmtId="4" fontId="18" fillId="5" borderId="12" applyAlignment="1" pivotButton="0" quotePrefix="0" xfId="0">
      <alignment horizontal="left" vertical="center"/>
    </xf>
    <xf numFmtId="165" fontId="27" fillId="13" borderId="40" applyAlignment="1" pivotButton="0" quotePrefix="0" xfId="0">
      <alignment horizontal="center" vertical="center"/>
    </xf>
    <xf numFmtId="10" fontId="10" fillId="13" borderId="40" applyAlignment="1" pivotButton="0" quotePrefix="0" xfId="0">
      <alignment horizontal="center" vertical="center"/>
    </xf>
    <xf numFmtId="0" fontId="18" fillId="0" borderId="41" applyAlignment="1" pivotButton="0" quotePrefix="0" xfId="0">
      <alignment horizontal="left" vertical="center"/>
    </xf>
    <xf numFmtId="10" fontId="18" fillId="5" borderId="12" applyAlignment="1" pivotButton="0" quotePrefix="0" xfId="0">
      <alignment horizontal="left" vertical="center"/>
    </xf>
    <xf numFmtId="4" fontId="29" fillId="3" borderId="18" applyAlignment="1" pivotButton="0" quotePrefix="0" xfId="0">
      <alignment horizontal="center" vertical="center"/>
    </xf>
    <xf numFmtId="167" fontId="30" fillId="0" borderId="19" applyAlignment="1" pivotButton="0" quotePrefix="0" xfId="0">
      <alignment vertical="center"/>
    </xf>
    <xf numFmtId="167" fontId="20" fillId="3" borderId="19" applyAlignment="1" pivotButton="0" quotePrefix="0" xfId="0">
      <alignment vertical="center"/>
    </xf>
    <xf numFmtId="167" fontId="20" fillId="3" borderId="42" applyAlignment="1" pivotButton="0" quotePrefix="0" xfId="0">
      <alignment vertical="center"/>
    </xf>
    <xf numFmtId="165" fontId="18" fillId="0" borderId="22" applyAlignment="1" pivotButton="0" quotePrefix="0" xfId="0">
      <alignment horizontal="center" vertical="center"/>
    </xf>
    <xf numFmtId="165" fontId="28" fillId="3" borderId="43" applyAlignment="1" pivotButton="0" quotePrefix="0" xfId="0">
      <alignment horizontal="center" vertical="center"/>
    </xf>
    <xf numFmtId="167" fontId="30" fillId="0" borderId="25" applyAlignment="1" pivotButton="0" quotePrefix="0" xfId="0">
      <alignment vertical="center"/>
    </xf>
    <xf numFmtId="0" fontId="28" fillId="0" borderId="41" applyAlignment="1" pivotButton="0" quotePrefix="0" xfId="0">
      <alignment horizontal="left" vertical="center"/>
    </xf>
    <xf numFmtId="10" fontId="31" fillId="0" borderId="0" applyAlignment="1" pivotButton="0" quotePrefix="0" xfId="0">
      <alignment horizontal="left" vertical="center"/>
    </xf>
    <xf numFmtId="165" fontId="28" fillId="0" borderId="22" applyAlignment="1" pivotButton="0" quotePrefix="0" xfId="0">
      <alignment horizontal="center" vertical="center"/>
    </xf>
    <xf numFmtId="0" fontId="18" fillId="0" borderId="44" applyAlignment="1" pivotButton="0" quotePrefix="0" xfId="0">
      <alignment horizontal="left" vertical="center"/>
    </xf>
    <xf numFmtId="0" fontId="18" fillId="0" borderId="0" applyAlignment="1" pivotButton="0" quotePrefix="0" xfId="0">
      <alignment vertical="center"/>
    </xf>
    <xf numFmtId="0" fontId="18" fillId="0" borderId="22" applyAlignment="1" pivotButton="0" quotePrefix="0" xfId="0">
      <alignment horizontal="left" vertical="center"/>
    </xf>
    <xf numFmtId="4" fontId="32" fillId="3" borderId="24" applyAlignment="1" pivotButton="0" quotePrefix="0" xfId="0">
      <alignment horizontal="center" vertical="center" wrapText="1"/>
    </xf>
    <xf numFmtId="167" fontId="30" fillId="14" borderId="25" applyAlignment="1" pivotButton="0" quotePrefix="0" xfId="0">
      <alignment vertical="center"/>
    </xf>
    <xf numFmtId="0" fontId="18" fillId="0" borderId="45" applyAlignment="1" pivotButton="0" quotePrefix="0" xfId="0">
      <alignment horizontal="left" vertical="center"/>
    </xf>
    <xf numFmtId="165" fontId="18" fillId="0" borderId="36" applyAlignment="1" pivotButton="0" quotePrefix="0" xfId="0">
      <alignment horizontal="center" vertical="center"/>
    </xf>
    <xf numFmtId="167" fontId="30" fillId="0" borderId="38" applyAlignment="1" pivotButton="0" quotePrefix="0" xfId="0">
      <alignment vertical="center"/>
    </xf>
    <xf numFmtId="4" fontId="19" fillId="0" borderId="0" applyAlignment="1" pivotButton="0" quotePrefix="0" xfId="0">
      <alignment horizontal="center" vertical="center"/>
    </xf>
    <xf numFmtId="167" fontId="20" fillId="0" borderId="0" applyAlignment="1" pivotButton="0" quotePrefix="0" xfId="0">
      <alignment vertical="center"/>
    </xf>
    <xf numFmtId="167" fontId="20" fillId="0" borderId="0" applyAlignment="1" pivotButton="0" quotePrefix="0" xfId="0">
      <alignment horizontal="center" vertical="center"/>
    </xf>
    <xf numFmtId="0" fontId="27" fillId="13" borderId="40" applyAlignment="1" pivotButton="0" quotePrefix="0" xfId="0">
      <alignment horizontal="center" vertical="center" wrapText="1"/>
    </xf>
    <xf numFmtId="10" fontId="10" fillId="13" borderId="18" applyAlignment="1" pivotButton="0" quotePrefix="0" xfId="0">
      <alignment horizontal="center" vertical="center"/>
    </xf>
    <xf numFmtId="165" fontId="27" fillId="13" borderId="42" applyAlignment="1" pivotButton="0" quotePrefix="0" xfId="0">
      <alignment horizontal="center" vertical="center"/>
    </xf>
    <xf numFmtId="0" fontId="18" fillId="0" borderId="16" applyAlignment="1" pivotButton="0" quotePrefix="0" xfId="0">
      <alignment horizontal="left" vertical="center"/>
    </xf>
    <xf numFmtId="10" fontId="18" fillId="0" borderId="0" applyAlignment="1" pivotButton="0" quotePrefix="0" xfId="0">
      <alignment horizontal="left" vertical="center"/>
    </xf>
    <xf numFmtId="165" fontId="28" fillId="0" borderId="16" applyAlignment="1" pivotButton="0" quotePrefix="0" xfId="0">
      <alignment horizontal="center" vertical="center"/>
    </xf>
    <xf numFmtId="49" fontId="32" fillId="0" borderId="0" applyAlignment="1" pivotButton="0" quotePrefix="0" xfId="0">
      <alignment horizontal="center" vertical="center"/>
    </xf>
    <xf numFmtId="10" fontId="10" fillId="0" borderId="24" applyAlignment="1" pivotButton="0" quotePrefix="0" xfId="0">
      <alignment horizontal="center" vertical="center"/>
    </xf>
    <xf numFmtId="4" fontId="32" fillId="0" borderId="0" applyAlignment="1" pivotButton="0" quotePrefix="0" xfId="0">
      <alignment horizontal="center" vertical="center"/>
    </xf>
    <xf numFmtId="0" fontId="28" fillId="0" borderId="22" applyAlignment="1" pivotButton="0" quotePrefix="0" xfId="0">
      <alignment horizontal="left" vertical="center" shrinkToFit="1"/>
    </xf>
    <xf numFmtId="165" fontId="28" fillId="0" borderId="2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165" fontId="10" fillId="0" borderId="0" pivotButton="0" quotePrefix="0" xfId="0"/>
    <xf numFmtId="0" fontId="18" fillId="0" borderId="35" applyAlignment="1" pivotButton="0" quotePrefix="0" xfId="0">
      <alignment horizontal="left" vertical="center"/>
    </xf>
    <xf numFmtId="165" fontId="28" fillId="0" borderId="35" applyAlignment="1" pivotButton="0" quotePrefix="0" xfId="0">
      <alignment horizontal="center" vertical="center"/>
    </xf>
    <xf numFmtId="10" fontId="10" fillId="0" borderId="37" applyAlignment="1" pivotButton="0" quotePrefix="0" xfId="0">
      <alignment horizontal="center" vertical="center"/>
    </xf>
    <xf numFmtId="0" fontId="33" fillId="5" borderId="12" applyAlignment="1" pivotButton="0" quotePrefix="0" xfId="0">
      <alignment vertical="center"/>
    </xf>
    <xf numFmtId="165" fontId="18" fillId="0" borderId="16" applyAlignment="1" pivotButton="0" quotePrefix="0" xfId="0">
      <alignment horizontal="center" vertical="center"/>
    </xf>
    <xf numFmtId="165" fontId="18" fillId="0" borderId="23" applyAlignment="1" pivotButton="0" quotePrefix="0" xfId="0">
      <alignment horizontal="center" vertical="center"/>
    </xf>
    <xf numFmtId="4" fontId="32" fillId="3" borderId="12" applyAlignment="1" pivotButton="0" quotePrefix="0" xfId="0">
      <alignment horizontal="center" vertical="center"/>
    </xf>
    <xf numFmtId="0" fontId="20" fillId="0" borderId="22" applyAlignment="1" pivotButton="0" quotePrefix="0" xfId="0">
      <alignment horizontal="left" vertical="center"/>
    </xf>
    <xf numFmtId="0" fontId="10" fillId="0" borderId="0" pivotButton="0" quotePrefix="0" xfId="0"/>
    <xf numFmtId="10" fontId="34" fillId="5" borderId="12" applyAlignment="1" pivotButton="0" quotePrefix="0" xfId="0">
      <alignment horizontal="left" vertical="center"/>
    </xf>
    <xf numFmtId="4" fontId="35" fillId="5" borderId="12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165" fontId="28" fillId="0" borderId="0" applyAlignment="1" pivotButton="0" quotePrefix="0" xfId="0">
      <alignment horizontal="center" vertical="center"/>
    </xf>
    <xf numFmtId="4" fontId="32" fillId="5" borderId="12" applyAlignment="1" pivotButton="0" quotePrefix="0" xfId="0">
      <alignment horizontal="center" vertical="center"/>
    </xf>
    <xf numFmtId="0" fontId="27" fillId="15" borderId="13" applyAlignment="1" pivotButton="0" quotePrefix="0" xfId="0">
      <alignment horizontal="center" vertical="center"/>
    </xf>
    <xf numFmtId="165" fontId="27" fillId="15" borderId="13" applyAlignment="1" pivotButton="0" quotePrefix="0" xfId="0">
      <alignment horizontal="center" vertical="center"/>
    </xf>
    <xf numFmtId="10" fontId="10" fillId="15" borderId="13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65" fontId="34" fillId="3" borderId="12" applyAlignment="1" pivotButton="0" quotePrefix="0" xfId="0">
      <alignment horizontal="center" vertical="center"/>
    </xf>
    <xf numFmtId="165" fontId="27" fillId="0" borderId="0" applyAlignment="1" pivotButton="0" quotePrefix="0" xfId="0">
      <alignment horizontal="center" vertical="center"/>
    </xf>
    <xf numFmtId="10" fontId="28" fillId="5" borderId="12" applyAlignment="1" pivotButton="0" quotePrefix="0" xfId="0">
      <alignment horizontal="left" vertical="center"/>
    </xf>
    <xf numFmtId="4" fontId="17" fillId="0" borderId="0" applyAlignment="1" pivotButton="0" quotePrefix="0" xfId="0">
      <alignment horizontal="left" vertical="center"/>
    </xf>
    <xf numFmtId="0" fontId="36" fillId="5" borderId="12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31" fillId="6" borderId="16" applyAlignment="1" pivotButton="0" quotePrefix="0" xfId="0">
      <alignment horizontal="left" vertical="center"/>
    </xf>
    <xf numFmtId="165" fontId="28" fillId="6" borderId="16" applyAlignment="1" pivotButton="0" quotePrefix="0" xfId="0">
      <alignment horizontal="center" vertical="center"/>
    </xf>
    <xf numFmtId="10" fontId="10" fillId="6" borderId="24" applyAlignment="1" pivotButton="0" quotePrefix="0" xfId="0">
      <alignment horizontal="center" vertical="center"/>
    </xf>
    <xf numFmtId="0" fontId="31" fillId="6" borderId="22" applyAlignment="1" pivotButton="0" quotePrefix="0" xfId="0">
      <alignment horizontal="left" vertical="center"/>
    </xf>
    <xf numFmtId="165" fontId="28" fillId="6" borderId="22" applyAlignment="1" pivotButton="0" quotePrefix="0" xfId="0">
      <alignment horizontal="center" vertical="center"/>
    </xf>
    <xf numFmtId="0" fontId="31" fillId="6" borderId="35" applyAlignment="1" pivotButton="0" quotePrefix="0" xfId="0">
      <alignment horizontal="left" vertical="center"/>
    </xf>
    <xf numFmtId="165" fontId="28" fillId="6" borderId="35" applyAlignment="1" pivotButton="0" quotePrefix="0" xfId="0">
      <alignment horizontal="center" vertical="center"/>
    </xf>
    <xf numFmtId="10" fontId="10" fillId="6" borderId="37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0" fontId="10" fillId="5" borderId="12" applyAlignment="1" pivotButton="0" quotePrefix="0" xfId="0">
      <alignment horizontal="center" vertical="center"/>
    </xf>
    <xf numFmtId="0" fontId="37" fillId="5" borderId="12" applyAlignment="1" pivotButton="0" quotePrefix="0" xfId="0">
      <alignment horizontal="center" vertical="center"/>
    </xf>
    <xf numFmtId="9" fontId="31" fillId="15" borderId="13" applyAlignment="1" pivotButton="0" quotePrefix="0" xfId="0">
      <alignment horizontal="center" vertical="center"/>
    </xf>
    <xf numFmtId="10" fontId="31" fillId="15" borderId="13" applyAlignment="1" pivotButton="0" quotePrefix="0" xfId="0">
      <alignment horizontal="center" vertical="center"/>
    </xf>
    <xf numFmtId="0" fontId="38" fillId="5" borderId="12" applyAlignment="1" pivotButton="0" quotePrefix="0" xfId="0">
      <alignment horizontal="center" vertical="center"/>
    </xf>
    <xf numFmtId="167" fontId="10" fillId="15" borderId="13" applyAlignment="1" pivotButton="0" quotePrefix="0" xfId="0">
      <alignment horizontal="center" vertical="center"/>
    </xf>
    <xf numFmtId="49" fontId="39" fillId="2" borderId="0" applyAlignment="1" pivotButton="0" quotePrefix="0" xfId="0">
      <alignment horizontal="center" vertical="center" wrapText="1"/>
    </xf>
    <xf numFmtId="49" fontId="39" fillId="3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center" vertical="center"/>
    </xf>
    <xf numFmtId="0" fontId="40" fillId="0" borderId="0" pivotButton="0" quotePrefix="0" xfId="0"/>
    <xf numFmtId="0" fontId="41" fillId="0" borderId="0" pivotButton="0" quotePrefix="0" xfId="0"/>
    <xf numFmtId="164" fontId="39" fillId="2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/>
    </xf>
    <xf numFmtId="0" fontId="42" fillId="4" borderId="0" applyAlignment="1" pivotButton="0" quotePrefix="0" xfId="0">
      <alignment horizontal="center" vertical="center"/>
    </xf>
    <xf numFmtId="0" fontId="43" fillId="2" borderId="0" applyAlignment="1" pivotButton="0" quotePrefix="0" xfId="0">
      <alignment horizontal="center" vertical="center" wrapText="1"/>
    </xf>
    <xf numFmtId="165" fontId="43" fillId="2" borderId="0" applyAlignment="1" pivotButton="0" quotePrefix="0" xfId="0">
      <alignment horizontal="center" vertical="center"/>
    </xf>
    <xf numFmtId="164" fontId="43" fillId="2" borderId="0" applyAlignment="1" pivotButton="0" quotePrefix="0" xfId="0">
      <alignment horizontal="center" vertical="center"/>
    </xf>
    <xf numFmtId="164" fontId="42" fillId="4" borderId="0" applyAlignment="1" pivotButton="0" quotePrefix="0" xfId="0">
      <alignment horizontal="center" vertical="center"/>
    </xf>
    <xf numFmtId="0" fontId="42" fillId="3" borderId="0" applyAlignment="1" pivotButton="0" quotePrefix="0" xfId="0">
      <alignment horizontal="center" vertical="center"/>
    </xf>
    <xf numFmtId="0" fontId="40" fillId="3" borderId="0" applyAlignment="1" pivotButton="0" quotePrefix="0" xfId="0">
      <alignment horizontal="left" vertical="center"/>
    </xf>
    <xf numFmtId="165" fontId="40" fillId="3" borderId="0" applyAlignment="1" pivotButton="0" quotePrefix="0" xfId="0">
      <alignment horizontal="center" vertical="center"/>
    </xf>
    <xf numFmtId="164" fontId="40" fillId="3" borderId="0" applyAlignment="1" pivotButton="0" quotePrefix="0" xfId="0">
      <alignment horizontal="center" vertical="center"/>
    </xf>
    <xf numFmtId="164" fontId="40" fillId="0" borderId="0" applyAlignment="1" pivotButton="0" quotePrefix="0" xfId="0">
      <alignment horizontal="center" vertical="center"/>
    </xf>
    <xf numFmtId="165" fontId="40" fillId="0" borderId="0" applyAlignment="1" pivotButton="0" quotePrefix="0" xfId="0">
      <alignment horizontal="center" vertical="center"/>
    </xf>
    <xf numFmtId="0" fontId="42" fillId="3" borderId="0" applyAlignment="1" pivotButton="0" quotePrefix="0" xfId="0">
      <alignment horizontal="center" vertical="center" wrapText="1"/>
    </xf>
    <xf numFmtId="0" fontId="40" fillId="3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vertical="center" wrapText="1"/>
    </xf>
    <xf numFmtId="165" fontId="42" fillId="4" borderId="0" applyAlignment="1" pivotButton="0" quotePrefix="0" xfId="0">
      <alignment horizontal="center" vertical="center"/>
    </xf>
    <xf numFmtId="0" fontId="43" fillId="3" borderId="0" applyAlignment="1" pivotButton="0" quotePrefix="0" xfId="0">
      <alignment horizontal="center" vertical="center"/>
    </xf>
    <xf numFmtId="0" fontId="44" fillId="3" borderId="0" applyAlignment="1" pivotButton="0" quotePrefix="0" xfId="0">
      <alignment horizontal="left" vertical="center"/>
    </xf>
    <xf numFmtId="165" fontId="45" fillId="3" borderId="0" applyAlignment="1" pivotButton="0" quotePrefix="0" xfId="0">
      <alignment horizontal="center" vertical="center"/>
    </xf>
    <xf numFmtId="164" fontId="45" fillId="3" borderId="0" applyAlignment="1" pivotButton="0" quotePrefix="0" xfId="0">
      <alignment horizontal="center" vertical="center"/>
    </xf>
    <xf numFmtId="0" fontId="44" fillId="3" borderId="0" applyAlignment="1" pivotButton="0" quotePrefix="0" xfId="0">
      <alignment horizontal="center" vertical="center" wrapText="1"/>
    </xf>
    <xf numFmtId="165" fontId="44" fillId="3" borderId="0" applyAlignment="1" pivotButton="0" quotePrefix="0" xfId="0">
      <alignment horizontal="center" vertical="center"/>
    </xf>
    <xf numFmtId="164" fontId="44" fillId="3" borderId="0" applyAlignment="1" pivotButton="0" quotePrefix="0" xfId="0">
      <alignment horizontal="center" vertical="center"/>
    </xf>
    <xf numFmtId="0" fontId="40" fillId="3" borderId="0" applyAlignment="1" pivotButton="0" quotePrefix="0" xfId="0">
      <alignment horizontal="left" vertical="center" shrinkToFit="1"/>
    </xf>
    <xf numFmtId="166" fontId="44" fillId="3" borderId="0" applyAlignment="1" pivotButton="0" quotePrefix="0" xfId="0">
      <alignment horizontal="center" vertical="center"/>
    </xf>
    <xf numFmtId="165" fontId="46" fillId="5" borderId="0" pivotButton="0" quotePrefix="0" xfId="0"/>
    <xf numFmtId="0" fontId="44" fillId="3" borderId="0" applyAlignment="1" pivotButton="0" quotePrefix="0" xfId="0">
      <alignment horizontal="left" vertical="center" wrapText="1"/>
    </xf>
    <xf numFmtId="165" fontId="44" fillId="0" borderId="0" applyAlignment="1" pivotButton="0" quotePrefix="0" xfId="0">
      <alignment horizontal="center" vertical="center"/>
    </xf>
    <xf numFmtId="164" fontId="44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/>
    </xf>
    <xf numFmtId="0" fontId="43" fillId="2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165" fontId="43" fillId="0" borderId="0" applyAlignment="1" pivotButton="0" quotePrefix="0" xfId="0">
      <alignment horizontal="center" vertical="center"/>
    </xf>
    <xf numFmtId="164" fontId="43" fillId="0" borderId="0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0" fillId="6" borderId="0" applyAlignment="1" pivotButton="0" quotePrefix="0" xfId="0">
      <alignment horizontal="left" vertical="center"/>
    </xf>
    <xf numFmtId="165" fontId="40" fillId="6" borderId="0" applyAlignment="1" pivotButton="0" quotePrefix="0" xfId="0">
      <alignment horizontal="center" vertical="center"/>
    </xf>
    <xf numFmtId="164" fontId="40" fillId="6" borderId="0" applyAlignment="1" pivotButton="0" quotePrefix="0" xfId="0">
      <alignment horizontal="center" vertical="center"/>
    </xf>
    <xf numFmtId="172" fontId="40" fillId="6" borderId="0" applyAlignment="1" pivotButton="0" quotePrefix="0" xfId="0">
      <alignment horizontal="center" vertical="center"/>
    </xf>
    <xf numFmtId="0" fontId="42" fillId="2" borderId="0" applyAlignment="1" pivotButton="0" quotePrefix="0" xfId="0">
      <alignment horizontal="center" vertical="center"/>
    </xf>
    <xf numFmtId="170" fontId="42" fillId="2" borderId="0" applyAlignment="1" pivotButton="0" quotePrefix="0" xfId="0">
      <alignment horizontal="center" vertical="center"/>
    </xf>
    <xf numFmtId="164" fontId="42" fillId="2" borderId="0" applyAlignment="1" pivotButton="0" quotePrefix="0" xfId="0">
      <alignment horizontal="center" vertical="center"/>
    </xf>
    <xf numFmtId="164" fontId="40" fillId="4" borderId="0" applyAlignment="1" pivotButton="0" quotePrefix="0" xfId="0">
      <alignment horizontal="center" vertical="center"/>
    </xf>
    <xf numFmtId="164" fontId="40" fillId="0" borderId="0" applyAlignment="1" pivotButton="0" quotePrefix="0" xfId="0">
      <alignment vertical="center"/>
    </xf>
    <xf numFmtId="4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center"/>
    </xf>
    <xf numFmtId="167" fontId="40" fillId="3" borderId="0" applyAlignment="1" pivotButton="0" quotePrefix="0" xfId="0">
      <alignment vertical="center"/>
    </xf>
    <xf numFmtId="167" fontId="40" fillId="3" borderId="0" applyAlignment="1" pivotButton="0" quotePrefix="0" xfId="0">
      <alignment horizontal="center" vertical="center"/>
    </xf>
    <xf numFmtId="167" fontId="40" fillId="0" borderId="0" applyAlignment="1" pivotButton="0" quotePrefix="0" xfId="0">
      <alignment horizontal="center" vertical="center"/>
    </xf>
    <xf numFmtId="0" fontId="40" fillId="6" borderId="0" applyAlignment="1" pivotButton="0" quotePrefix="1" xfId="0">
      <alignment horizontal="center" vertical="center"/>
    </xf>
    <xf numFmtId="49" fontId="39" fillId="2" borderId="0" applyAlignment="1" pivotButton="0" quotePrefix="0" xfId="0">
      <alignment horizontal="right" vertical="center" wrapText="1"/>
    </xf>
    <xf numFmtId="164" fontId="43" fillId="2" borderId="0" applyAlignment="1" pivotButton="0" quotePrefix="0" xfId="0">
      <alignment horizontal="right" vertical="center"/>
    </xf>
    <xf numFmtId="165" fontId="40" fillId="3" borderId="0" applyAlignment="1" pivotButton="0" quotePrefix="0" xfId="0">
      <alignment horizontal="right" vertical="center"/>
    </xf>
    <xf numFmtId="0" fontId="41" fillId="0" borderId="0" applyAlignment="1" pivotButton="0" quotePrefix="0" xfId="0">
      <alignment horizontal="right"/>
    </xf>
    <xf numFmtId="164" fontId="40" fillId="3" borderId="0" applyAlignment="1" pivotButton="0" quotePrefix="0" xfId="0">
      <alignment horizontal="right" vertical="center"/>
    </xf>
    <xf numFmtId="164" fontId="45" fillId="3" borderId="0" applyAlignment="1" pivotButton="0" quotePrefix="0" xfId="0">
      <alignment horizontal="right" vertical="center"/>
    </xf>
    <xf numFmtId="164" fontId="44" fillId="3" borderId="0" applyAlignment="1" pivotButton="0" quotePrefix="0" xfId="0">
      <alignment horizontal="right" vertical="center"/>
    </xf>
    <xf numFmtId="164" fontId="40" fillId="0" borderId="0" applyAlignment="1" pivotButton="0" quotePrefix="0" xfId="0">
      <alignment horizontal="right" vertical="center"/>
    </xf>
    <xf numFmtId="164" fontId="44" fillId="0" borderId="0" applyAlignment="1" pivotButton="0" quotePrefix="0" xfId="0">
      <alignment horizontal="right" vertical="center"/>
    </xf>
    <xf numFmtId="164" fontId="43" fillId="0" borderId="0" applyAlignment="1" pivotButton="0" quotePrefix="0" xfId="0">
      <alignment horizontal="right" vertical="center"/>
    </xf>
    <xf numFmtId="164" fontId="40" fillId="6" borderId="0" applyAlignment="1" pivotButton="0" quotePrefix="0" xfId="0">
      <alignment horizontal="right" vertical="center"/>
    </xf>
    <xf numFmtId="164" fontId="42" fillId="2" borderId="0" applyAlignment="1" pivotButton="0" quotePrefix="0" xfId="0">
      <alignment horizontal="right" vertical="center"/>
    </xf>
    <xf numFmtId="0" fontId="40" fillId="0" borderId="0" applyAlignment="1" pivotButton="0" quotePrefix="0" xfId="0">
      <alignment horizontal="right" vertical="center"/>
    </xf>
    <xf numFmtId="0" fontId="40" fillId="0" borderId="0" applyAlignment="1" pivotButton="0" quotePrefix="0" xfId="0">
      <alignment horizontal="right"/>
    </xf>
    <xf numFmtId="0" fontId="41" fillId="0" borderId="0" applyAlignment="1" pivotButton="0" quotePrefix="0" xfId="0">
      <alignment horizontal="center"/>
    </xf>
    <xf numFmtId="173" fontId="40" fillId="0" borderId="0" applyAlignment="1" pivotButton="0" quotePrefix="0" xfId="0">
      <alignment horizontal="center" vertical="center"/>
    </xf>
    <xf numFmtId="168" fontId="13" fillId="16" borderId="0" applyAlignment="1" pivotButton="0" quotePrefix="0" xfId="0">
      <alignment horizontal="center" vertical="center"/>
    </xf>
    <xf numFmtId="0" fontId="40" fillId="3" borderId="0" applyAlignment="1" pivotButton="0" quotePrefix="0" xfId="0">
      <alignment horizontal="center" vertical="center"/>
    </xf>
    <xf numFmtId="0" fontId="40" fillId="3" borderId="0" applyAlignment="1" pivotButton="0" quotePrefix="0" xfId="0">
      <alignment horizontal="center" vertical="center" wrapText="1"/>
    </xf>
    <xf numFmtId="0" fontId="44" fillId="3" borderId="0" applyAlignment="1" pivotButton="0" quotePrefix="0" xfId="0">
      <alignment horizontal="center" vertical="center"/>
    </xf>
    <xf numFmtId="0" fontId="40" fillId="3" borderId="0" applyAlignment="1" pivotButton="0" quotePrefix="0" xfId="0">
      <alignment horizontal="center" vertical="center" shrinkToFit="1"/>
    </xf>
    <xf numFmtId="49" fontId="39" fillId="2" borderId="0" applyAlignment="1" pivotButton="0" quotePrefix="0" xfId="0">
      <alignment horizontal="left" vertical="center" wrapText="1"/>
    </xf>
    <xf numFmtId="0" fontId="43" fillId="2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left" vertical="center" wrapText="1"/>
    </xf>
    <xf numFmtId="0" fontId="43" fillId="2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42" fillId="2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/>
    </xf>
    <xf numFmtId="0" fontId="41" fillId="0" borderId="0" applyAlignment="1" pivotButton="0" quotePrefix="0" xfId="0">
      <alignment horizontal="left"/>
    </xf>
    <xf numFmtId="165" fontId="40" fillId="3" borderId="0" applyAlignment="1" pivotButton="0" quotePrefix="0" xfId="0">
      <alignment horizontal="center" vertical="center"/>
    </xf>
    <xf numFmtId="0" fontId="42" fillId="3" borderId="0" applyAlignment="1" pivotButton="0" quotePrefix="0" xfId="0">
      <alignment horizontal="center" vertical="center"/>
    </xf>
    <xf numFmtId="0" fontId="40" fillId="3" borderId="0" applyAlignment="1" pivotButton="0" quotePrefix="0" xfId="0">
      <alignment horizontal="center" vertical="center"/>
    </xf>
    <xf numFmtId="0" fontId="40" fillId="3" borderId="0" applyAlignment="1" pivotButton="0" quotePrefix="0" xfId="0">
      <alignment horizontal="left" vertical="center"/>
    </xf>
    <xf numFmtId="0" fontId="0" fillId="0" borderId="0" pivotButton="0" quotePrefix="0" xfId="0"/>
    <xf numFmtId="168" fontId="13" fillId="0" borderId="0" applyAlignment="1" pivotButton="0" quotePrefix="0" xfId="0">
      <alignment horizontal="center" vertical="center"/>
    </xf>
    <xf numFmtId="173" fontId="39" fillId="2" borderId="0" applyAlignment="1" pivotButton="0" quotePrefix="0" xfId="1">
      <alignment horizontal="center" vertical="center" wrapText="1"/>
    </xf>
    <xf numFmtId="173" fontId="43" fillId="2" borderId="0" applyAlignment="1" pivotButton="0" quotePrefix="0" xfId="1">
      <alignment horizontal="center" vertical="center"/>
    </xf>
    <xf numFmtId="173" fontId="40" fillId="0" borderId="0" applyAlignment="1" pivotButton="0" quotePrefix="0" xfId="1">
      <alignment horizontal="center" vertical="center"/>
    </xf>
    <xf numFmtId="173" fontId="44" fillId="0" borderId="0" applyAlignment="1" pivotButton="0" quotePrefix="0" xfId="1">
      <alignment horizontal="center" vertical="center"/>
    </xf>
    <xf numFmtId="173" fontId="43" fillId="0" borderId="0" applyAlignment="1" pivotButton="0" quotePrefix="0" xfId="1">
      <alignment horizontal="center" vertical="center"/>
    </xf>
    <xf numFmtId="173" fontId="42" fillId="2" borderId="0" applyAlignment="1" pivotButton="0" quotePrefix="0" xfId="1">
      <alignment horizontal="center" vertical="center"/>
    </xf>
    <xf numFmtId="173" fontId="41" fillId="0" borderId="0" applyAlignment="1" pivotButton="0" quotePrefix="0" xfId="1">
      <alignment horizontal="center" vertical="center"/>
    </xf>
    <xf numFmtId="49" fontId="47" fillId="7" borderId="5" applyAlignment="1" pivotButton="0" quotePrefix="0" xfId="0">
      <alignment horizontal="center" vertical="center"/>
    </xf>
    <xf numFmtId="168" fontId="13" fillId="0" borderId="0" applyAlignment="1" pivotButton="0" quotePrefix="0" xfId="0">
      <alignment horizontal="center" vertical="center"/>
    </xf>
    <xf numFmtId="0" fontId="43" fillId="3" borderId="0" applyAlignment="1" pivotButton="0" quotePrefix="0" xfId="0">
      <alignment horizontal="center" vertical="center"/>
    </xf>
    <xf numFmtId="0" fontId="41" fillId="0" borderId="0" pivotButton="0" quotePrefix="0" xfId="0"/>
    <xf numFmtId="0" fontId="40" fillId="3" borderId="0" applyAlignment="1" pivotButton="0" quotePrefix="0" xfId="0">
      <alignment horizontal="center" vertical="center"/>
    </xf>
    <xf numFmtId="49" fontId="39" fillId="2" borderId="0" applyAlignment="1" pivotButton="0" quotePrefix="0" xfId="0">
      <alignment horizontal="center" vertical="center" wrapText="1"/>
    </xf>
    <xf numFmtId="0" fontId="40" fillId="3" borderId="0" applyAlignment="1" pivotButton="0" quotePrefix="0" xfId="0">
      <alignment horizontal="left" vertical="center"/>
    </xf>
    <xf numFmtId="173" fontId="41" fillId="0" borderId="0" applyAlignment="1" pivotButton="0" quotePrefix="0" xfId="1">
      <alignment horizontal="center" vertical="center"/>
    </xf>
    <xf numFmtId="164" fontId="40" fillId="0" borderId="0" applyAlignment="1" pivotButton="0" quotePrefix="0" xfId="0">
      <alignment horizontal="center" vertical="center"/>
    </xf>
    <xf numFmtId="0" fontId="42" fillId="3" borderId="0" applyAlignment="1" pivotButton="0" quotePrefix="0" xfId="0">
      <alignment horizontal="center" vertical="center"/>
    </xf>
    <xf numFmtId="165" fontId="40" fillId="3" borderId="0" applyAlignment="1" pivotButton="0" quotePrefix="0" xfId="0">
      <alignment horizontal="center" vertical="center"/>
    </xf>
    <xf numFmtId="168" fontId="47" fillId="7" borderId="2" applyAlignment="1" pivotButton="0" quotePrefix="0" xfId="0">
      <alignment horizontal="center" vertical="center"/>
    </xf>
    <xf numFmtId="0" fontId="48" fillId="0" borderId="2" pivotButton="0" quotePrefix="0" xfId="0"/>
    <xf numFmtId="0" fontId="48" fillId="0" borderId="3" pivotButton="0" quotePrefix="0" xfId="0"/>
    <xf numFmtId="49" fontId="47" fillId="7" borderId="0" applyAlignment="1" pivotButton="0" quotePrefix="0" xfId="0">
      <alignment horizontal="center" vertical="center"/>
    </xf>
    <xf numFmtId="0" fontId="0" fillId="0" borderId="0" pivotButton="0" quotePrefix="0" xfId="0"/>
    <xf numFmtId="168" fontId="13" fillId="0" borderId="0" applyAlignment="1" pivotButton="0" quotePrefix="0" xfId="0">
      <alignment horizontal="center" vertical="center"/>
    </xf>
    <xf numFmtId="172" fontId="40" fillId="3" borderId="0" applyAlignment="1" pivotButton="0" quotePrefix="0" xfId="0">
      <alignment horizontal="center" vertical="center"/>
    </xf>
    <xf numFmtId="165" fontId="40" fillId="3" borderId="0" applyAlignment="1" pivotButton="0" quotePrefix="0" xfId="0">
      <alignment horizontal="right" vertical="center"/>
    </xf>
    <xf numFmtId="0" fontId="41" fillId="0" borderId="0" applyAlignment="1" pivotButton="0" quotePrefix="0" xfId="0">
      <alignment horizontal="right"/>
    </xf>
    <xf numFmtId="0" fontId="41" fillId="0" borderId="0" applyAlignment="1" pivotButton="0" quotePrefix="0" xfId="0">
      <alignment horizontal="center"/>
    </xf>
    <xf numFmtId="165" fontId="41" fillId="0" borderId="0" pivotButton="0" quotePrefix="0" xfId="0"/>
    <xf numFmtId="164" fontId="40" fillId="3" borderId="0" applyAlignment="1" pivotButton="0" quotePrefix="0" xfId="0">
      <alignment horizontal="center" vertical="center"/>
    </xf>
    <xf numFmtId="164" fontId="40" fillId="3" borderId="12" applyAlignment="1" pivotButton="0" quotePrefix="1" xfId="0">
      <alignment horizontal="right" vertical="center"/>
    </xf>
    <xf numFmtId="169" fontId="40" fillId="3" borderId="0" applyAlignment="1" pivotButton="0" quotePrefix="0" xfId="0">
      <alignment horizontal="center" vertical="center"/>
    </xf>
    <xf numFmtId="168" fontId="11" fillId="7" borderId="2" applyAlignment="1" pivotButton="0" quotePrefix="0" xfId="0">
      <alignment horizontal="center" vertical="center"/>
    </xf>
    <xf numFmtId="0" fontId="12" fillId="0" borderId="2" pivotButton="0" quotePrefix="0" xfId="0"/>
    <xf numFmtId="0" fontId="12" fillId="0" borderId="3" pivotButton="0" quotePrefix="0" xfId="0"/>
    <xf numFmtId="49" fontId="11" fillId="7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168" fontId="11" fillId="7" borderId="0" applyAlignment="1" pivotButton="0" quotePrefix="0" xfId="0">
      <alignment horizontal="center" vertical="center"/>
    </xf>
    <xf numFmtId="0" fontId="12" fillId="0" borderId="5" pivotButton="0" quotePrefix="0" xfId="0"/>
    <xf numFmtId="169" fontId="2" fillId="3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center" vertical="center"/>
    </xf>
    <xf numFmtId="165" fontId="2" fillId="3" borderId="3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12" fillId="0" borderId="4" pivotButton="0" quotePrefix="0" xfId="0"/>
    <xf numFmtId="49" fontId="1" fillId="2" borderId="2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49" fontId="13" fillId="9" borderId="0" applyAlignment="1" pivotButton="0" quotePrefix="0" xfId="0">
      <alignment horizontal="center" vertical="center"/>
    </xf>
    <xf numFmtId="49" fontId="13" fillId="10" borderId="0" applyAlignment="1" pivotButton="0" quotePrefix="0" xfId="0">
      <alignment horizontal="center" vertical="center"/>
    </xf>
    <xf numFmtId="49" fontId="13" fillId="11" borderId="0" applyAlignment="1" pivotButton="0" quotePrefix="0" xfId="0">
      <alignment horizontal="center" vertical="center"/>
    </xf>
    <xf numFmtId="165" fontId="28" fillId="3" borderId="21" applyAlignment="1" pivotButton="0" quotePrefix="0" xfId="0">
      <alignment horizontal="center" vertical="center"/>
    </xf>
    <xf numFmtId="0" fontId="12" fillId="0" borderId="27" pivotButton="0" quotePrefix="0" xfId="0"/>
    <xf numFmtId="165" fontId="28" fillId="0" borderId="28" applyAlignment="1" pivotButton="0" quotePrefix="0" xfId="0">
      <alignment horizontal="center" vertical="center"/>
    </xf>
    <xf numFmtId="0" fontId="12" fillId="0" borderId="31" pivotButton="0" quotePrefix="0" xfId="0"/>
    <xf numFmtId="0" fontId="12" fillId="0" borderId="23" pivotButton="0" quotePrefix="0" xfId="0"/>
    <xf numFmtId="165" fontId="28" fillId="0" borderId="30" applyAlignment="1" pivotButton="0" quotePrefix="0" xfId="0">
      <alignment horizontal="center" vertical="center"/>
    </xf>
    <xf numFmtId="0" fontId="12" fillId="0" borderId="33" pivotButton="0" quotePrefix="0" xfId="0"/>
    <xf numFmtId="165" fontId="28" fillId="3" borderId="17" applyAlignment="1" pivotButton="0" quotePrefix="0" xfId="0">
      <alignment horizontal="center" vertical="center"/>
    </xf>
    <xf numFmtId="167" fontId="20" fillId="3" borderId="29" applyAlignment="1" pivotButton="0" quotePrefix="0" xfId="0">
      <alignment horizontal="center" vertical="center"/>
    </xf>
    <xf numFmtId="0" fontId="12" fillId="0" borderId="32" pivotButton="0" quotePrefix="0" xfId="0"/>
    <xf numFmtId="0" fontId="12" fillId="0" borderId="26" pivotButton="0" quotePrefix="0" xfId="0"/>
    <xf numFmtId="9" fontId="10" fillId="0" borderId="29" applyAlignment="1" pivotButton="0" quotePrefix="0" xfId="0">
      <alignment horizontal="center" vertical="center"/>
    </xf>
    <xf numFmtId="49" fontId="21" fillId="12" borderId="9" applyAlignment="1" pivotButton="0" quotePrefix="0" xfId="0">
      <alignment horizontal="center" vertical="center" wrapText="1"/>
    </xf>
    <xf numFmtId="0" fontId="12" fillId="0" borderId="10" pivotButton="0" quotePrefix="0" xfId="0"/>
    <xf numFmtId="0" fontId="12" fillId="0" borderId="11" pivotButton="0" quotePrefix="0" xfId="0"/>
    <xf numFmtId="0" fontId="24" fillId="0" borderId="0" applyAlignment="1" pivotButton="0" quotePrefix="0" xfId="0">
      <alignment horizontal="center" vertical="center"/>
    </xf>
    <xf numFmtId="167" fontId="20" fillId="3" borderId="20" applyAlignment="1" pivotButton="0" quotePrefix="0" xfId="0">
      <alignment horizontal="center" vertical="center"/>
    </xf>
    <xf numFmtId="10" fontId="10" fillId="3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2" fillId="0" borderId="46" applyAlignment="1" pivotButton="0" quotePrefix="0" xfId="0">
      <alignment horizontal="left" vertical="center"/>
    </xf>
    <xf numFmtId="173" fontId="0" fillId="0" borderId="46" applyAlignment="1" pivotButton="0" quotePrefix="0" xfId="1">
      <alignment horizontal="center" vertical="center"/>
    </xf>
    <xf numFmtId="0" fontId="52" fillId="17" borderId="46" applyAlignment="1" pivotButton="0" quotePrefix="0" xfId="0">
      <alignment horizontal="center" vertical="center"/>
    </xf>
    <xf numFmtId="0" fontId="52" fillId="17" borderId="46" applyAlignment="1" pivotButton="0" quotePrefix="0" xfId="0">
      <alignment horizontal="center" vertical="center"/>
    </xf>
    <xf numFmtId="173" fontId="52" fillId="17" borderId="46" applyAlignment="1" pivotButton="0" quotePrefix="0" xfId="1">
      <alignment horizontal="center" vertical="center"/>
    </xf>
    <xf numFmtId="0" fontId="52" fillId="17" borderId="46" applyAlignment="1" pivotButton="0" quotePrefix="0" xfId="0">
      <alignment horizontal="right" vertical="center"/>
    </xf>
    <xf numFmtId="173" fontId="52" fillId="18" borderId="46" applyAlignment="1" pivotButton="0" quotePrefix="0" xfId="1">
      <alignment horizontal="center" vertical="center"/>
    </xf>
    <xf numFmtId="173" fontId="40" fillId="0" borderId="0" pivotButton="0" quotePrefix="0" xfId="0"/>
    <xf numFmtId="173" fontId="41" fillId="0" borderId="0" applyAlignment="1" pivotButton="0" quotePrefix="0" xfId="1">
      <alignment horizontal="center" vertical="center"/>
    </xf>
    <xf numFmtId="173" fontId="39" fillId="2" borderId="0" applyAlignment="1" pivotButton="0" quotePrefix="0" xfId="1">
      <alignment horizontal="center" vertical="center" wrapText="1"/>
    </xf>
    <xf numFmtId="49" fontId="39" fillId="2" borderId="12" applyAlignment="1" pivotButton="0" quotePrefix="0" xfId="0">
      <alignment horizontal="center" vertical="center" wrapText="1"/>
    </xf>
    <xf numFmtId="173" fontId="43" fillId="2" borderId="0" applyAlignment="1" pivotButton="0" quotePrefix="0" xfId="1">
      <alignment horizontal="center" vertical="center"/>
    </xf>
    <xf numFmtId="0" fontId="42" fillId="3" borderId="12" applyAlignment="1" pivotButton="0" quotePrefix="0" xfId="0">
      <alignment horizontal="center" vertical="center"/>
    </xf>
    <xf numFmtId="0" fontId="40" fillId="3" borderId="12" applyAlignment="1" pivotButton="0" quotePrefix="0" xfId="0">
      <alignment horizontal="left" vertical="center"/>
    </xf>
    <xf numFmtId="0" fontId="40" fillId="3" borderId="12" applyAlignment="1" pivotButton="0" quotePrefix="0" xfId="0">
      <alignment horizontal="center" vertical="center"/>
    </xf>
    <xf numFmtId="165" fontId="40" fillId="3" borderId="12" applyAlignment="1" pivotButton="0" quotePrefix="0" xfId="0">
      <alignment horizontal="center" vertical="center"/>
    </xf>
    <xf numFmtId="173" fontId="41" fillId="0" borderId="12" applyAlignment="1" pivotButton="0" quotePrefix="0" xfId="1">
      <alignment horizontal="center" vertical="center"/>
    </xf>
    <xf numFmtId="4" fontId="41" fillId="0" borderId="12" applyAlignment="1" pivotButton="0" quotePrefix="0" xfId="1">
      <alignment horizontal="center" vertical="center"/>
    </xf>
    <xf numFmtId="164" fontId="40" fillId="0" borderId="12" applyAlignment="1" pivotButton="0" quotePrefix="0" xfId="0">
      <alignment horizontal="center" vertical="center"/>
    </xf>
    <xf numFmtId="4" fontId="0" fillId="0" borderId="0" pivotButton="0" quotePrefix="0" xfId="0"/>
    <xf numFmtId="0" fontId="43" fillId="3" borderId="12" applyAlignment="1" pivotButton="0" quotePrefix="0" xfId="0">
      <alignment horizontal="center" vertical="center"/>
    </xf>
    <xf numFmtId="0" fontId="41" fillId="0" borderId="12" pivotButton="0" quotePrefix="0" xfId="0"/>
    <xf numFmtId="173" fontId="40" fillId="0" borderId="0" applyAlignment="1" pivotButton="0" quotePrefix="0" xfId="1">
      <alignment horizontal="center" vertical="center"/>
    </xf>
    <xf numFmtId="4" fontId="40" fillId="0" borderId="0" applyAlignment="1" pivotButton="0" quotePrefix="0" xfId="1">
      <alignment horizontal="center" vertical="center"/>
    </xf>
    <xf numFmtId="173" fontId="44" fillId="0" borderId="0" applyAlignment="1" pivotButton="0" quotePrefix="0" xfId="1">
      <alignment horizontal="center" vertical="center"/>
    </xf>
    <xf numFmtId="4" fontId="44" fillId="0" borderId="0" applyAlignment="1" pivotButton="0" quotePrefix="0" xfId="1">
      <alignment horizontal="center" vertical="center"/>
    </xf>
    <xf numFmtId="173" fontId="43" fillId="0" borderId="0" applyAlignment="1" pivotButton="0" quotePrefix="0" xfId="1">
      <alignment horizontal="center" vertical="center"/>
    </xf>
    <xf numFmtId="170" fontId="42" fillId="2" borderId="0" applyAlignment="1" pivotButton="0" quotePrefix="0" xfId="0">
      <alignment horizontal="center" vertical="center"/>
    </xf>
    <xf numFmtId="173" fontId="42" fillId="2" borderId="0" applyAlignment="1" pivotButton="0" quotePrefix="0" xfId="1">
      <alignment horizontal="center" vertical="center"/>
    </xf>
    <xf numFmtId="173" fontId="40" fillId="0" borderId="0" applyAlignment="1" pivotButton="0" quotePrefix="0" xfId="0">
      <alignment horizontal="center" vertical="center"/>
    </xf>
    <xf numFmtId="168" fontId="11" fillId="0" borderId="0" applyAlignment="1" pivotButton="0" quotePrefix="0" xfId="0">
      <alignment horizontal="center" vertical="center"/>
    </xf>
    <xf numFmtId="168" fontId="11" fillId="7" borderId="1" applyAlignment="1" pivotButton="0" quotePrefix="0" xfId="0">
      <alignment horizontal="center" vertical="center"/>
    </xf>
    <xf numFmtId="168" fontId="47" fillId="7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8" fontId="11" fillId="7" borderId="4" applyAlignment="1" pivotButton="0" quotePrefix="0" xfId="0">
      <alignment horizontal="center" vertical="center"/>
    </xf>
    <xf numFmtId="49" fontId="47" fillId="7" borderId="12" applyAlignment="1" pivotButton="0" quotePrefix="0" xfId="0">
      <alignment horizontal="center" vertical="center"/>
    </xf>
    <xf numFmtId="168" fontId="11" fillId="7" borderId="6" applyAlignment="1" pivotButton="0" quotePrefix="0" xfId="0">
      <alignment horizontal="center" vertical="center"/>
    </xf>
    <xf numFmtId="168" fontId="11" fillId="7" borderId="7" applyAlignment="1" pivotButton="0" quotePrefix="0" xfId="0">
      <alignment horizontal="center" vertical="center"/>
    </xf>
    <xf numFmtId="168" fontId="11" fillId="7" borderId="8" applyAlignment="1" pivotButton="0" quotePrefix="0" xfId="0">
      <alignment horizontal="center" vertical="center"/>
    </xf>
    <xf numFmtId="168" fontId="13" fillId="0" borderId="0" pivotButton="0" quotePrefix="0" xfId="0"/>
    <xf numFmtId="168" fontId="13" fillId="0" borderId="0" applyAlignment="1" pivotButton="0" quotePrefix="0" xfId="0">
      <alignment horizontal="center" vertical="center"/>
    </xf>
    <xf numFmtId="168" fontId="11" fillId="0" borderId="0" applyAlignment="1" pivotButton="0" quotePrefix="0" xfId="0">
      <alignment horizontal="left" vertical="center"/>
    </xf>
    <xf numFmtId="168" fontId="11" fillId="2" borderId="9" applyAlignment="1" pivotButton="0" quotePrefix="0" xfId="0">
      <alignment horizontal="left" vertical="center"/>
    </xf>
    <xf numFmtId="168" fontId="11" fillId="2" borderId="10" applyAlignment="1" pivotButton="0" quotePrefix="0" xfId="0">
      <alignment horizontal="center" vertical="center"/>
    </xf>
    <xf numFmtId="168" fontId="11" fillId="2" borderId="11" applyAlignment="1" pivotButton="0" quotePrefix="0" xfId="0">
      <alignment horizontal="center" vertical="center"/>
    </xf>
    <xf numFmtId="168" fontId="13" fillId="0" borderId="0" applyAlignment="1" pivotButton="0" quotePrefix="0" xfId="0">
      <alignment horizontal="left" vertical="center"/>
    </xf>
    <xf numFmtId="168" fontId="13" fillId="16" borderId="0" applyAlignment="1" pivotButton="0" quotePrefix="0" xfId="0">
      <alignment horizontal="center" vertical="center"/>
    </xf>
    <xf numFmtId="168" fontId="13" fillId="0" borderId="12" applyAlignment="1" pivotButton="0" quotePrefix="0" xfId="0">
      <alignment horizontal="center" vertical="center"/>
    </xf>
    <xf numFmtId="164" fontId="40" fillId="3" borderId="12" applyAlignment="1" pivotButton="0" quotePrefix="0" xfId="0">
      <alignment horizontal="center" vertical="center"/>
    </xf>
    <xf numFmtId="172" fontId="40" fillId="3" borderId="12" applyAlignment="1" pivotButton="0" quotePrefix="0" xfId="0">
      <alignment horizontal="center" vertical="center"/>
    </xf>
    <xf numFmtId="165" fontId="40" fillId="3" borderId="12" applyAlignment="1" pivotButton="0" quotePrefix="0" xfId="0">
      <alignment horizontal="right" vertical="center"/>
    </xf>
    <xf numFmtId="166" fontId="44" fillId="3" borderId="0" applyAlignment="1" pivotButton="0" quotePrefix="0" xfId="0">
      <alignment horizontal="center" vertical="center"/>
    </xf>
    <xf numFmtId="172" fontId="40" fillId="6" borderId="0" applyAlignment="1" pivotButton="0" quotePrefix="0" xfId="0">
      <alignment horizontal="center" vertical="center"/>
    </xf>
    <xf numFmtId="173" fontId="40" fillId="0" borderId="0" pivotButton="0" quotePrefix="0" xfId="0"/>
    <xf numFmtId="169" fontId="40" fillId="3" borderId="12" applyAlignment="1" pivotButton="0" quotePrefix="0" xfId="0">
      <alignment horizontal="center" vertical="center"/>
    </xf>
    <xf numFmtId="167" fontId="40" fillId="3" borderId="0" applyAlignment="1" pivotButton="0" quotePrefix="0" xfId="0">
      <alignment vertical="center"/>
    </xf>
    <xf numFmtId="167" fontId="40" fillId="3" borderId="0" applyAlignment="1" pivotButton="0" quotePrefix="0" xfId="0">
      <alignment horizontal="center" vertical="center"/>
    </xf>
    <xf numFmtId="167" fontId="40" fillId="0" borderId="0" applyAlignment="1" pivotButton="0" quotePrefix="0" xfId="0">
      <alignment horizontal="center" vertical="center"/>
    </xf>
    <xf numFmtId="168" fontId="11" fillId="7" borderId="3" applyAlignment="1" pivotButton="0" quotePrefix="0" xfId="0">
      <alignment horizontal="center" vertical="center"/>
    </xf>
    <xf numFmtId="49" fontId="11" fillId="7" borderId="12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0" fontId="8" fillId="8" borderId="12" applyAlignment="1" pivotButton="0" quotePrefix="0" xfId="0">
      <alignment horizontal="center" vertical="center"/>
    </xf>
    <xf numFmtId="168" fontId="10" fillId="8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8" fillId="8" borderId="0" applyAlignment="1" pivotButton="0" quotePrefix="0" xfId="0">
      <alignment horizontal="center" vertical="center"/>
    </xf>
    <xf numFmtId="164" fontId="8" fillId="7" borderId="12" applyAlignment="1" pivotButton="0" quotePrefix="0" xfId="0">
      <alignment horizontal="center" vertical="center"/>
    </xf>
    <xf numFmtId="168" fontId="9" fillId="0" borderId="0" applyAlignment="1" pivotButton="0" quotePrefix="0" xfId="0">
      <alignment vertical="center"/>
    </xf>
    <xf numFmtId="168" fontId="11" fillId="7" borderId="12" applyAlignment="1" pivotButton="0" quotePrefix="0" xfId="0">
      <alignment horizontal="center" vertical="center"/>
    </xf>
    <xf numFmtId="0" fontId="0" fillId="0" borderId="5" pivotButton="0" quotePrefix="0" xfId="0"/>
    <xf numFmtId="169" fontId="2" fillId="3" borderId="2" applyAlignment="1" pivotButton="0" quotePrefix="0" xfId="0">
      <alignment horizontal="center" vertical="center"/>
    </xf>
    <xf numFmtId="0" fontId="0" fillId="0" borderId="4" pivotButton="0" quotePrefix="0" xfId="0"/>
    <xf numFmtId="167" fontId="2" fillId="3" borderId="0" applyAlignment="1" pivotButton="0" quotePrefix="0" xfId="0">
      <alignment vertical="center"/>
    </xf>
    <xf numFmtId="167" fontId="2" fillId="3" borderId="5" applyAlignment="1" pivotButton="0" quotePrefix="0" xfId="0">
      <alignment vertical="center"/>
    </xf>
    <xf numFmtId="166" fontId="5" fillId="3" borderId="0" applyAlignment="1" pivotButton="0" quotePrefix="0" xfId="0">
      <alignment horizontal="center" vertical="center"/>
    </xf>
    <xf numFmtId="169" fontId="2" fillId="6" borderId="0" applyAlignment="1" pivotButton="0" quotePrefix="0" xfId="0">
      <alignment horizontal="center" vertical="center"/>
    </xf>
    <xf numFmtId="166" fontId="2" fillId="6" borderId="0" applyAlignment="1" pivotButton="0" quotePrefix="0" xfId="0">
      <alignment horizontal="center" vertical="center"/>
    </xf>
    <xf numFmtId="170" fontId="3" fillId="2" borderId="10" applyAlignment="1" pivotButton="0" quotePrefix="0" xfId="0">
      <alignment horizontal="center" vertical="center"/>
    </xf>
    <xf numFmtId="170" fontId="3" fillId="2" borderId="11" applyAlignment="1" pivotButton="0" quotePrefix="0" xfId="0">
      <alignment horizontal="center" vertical="center"/>
    </xf>
    <xf numFmtId="170" fontId="3" fillId="2" borderId="9" applyAlignment="1" pivotButton="0" quotePrefix="0" xfId="0">
      <alignment horizontal="center" vertical="center"/>
    </xf>
    <xf numFmtId="0" fontId="11" fillId="7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49" fontId="13" fillId="10" borderId="12" applyAlignment="1" pivotButton="0" quotePrefix="0" xfId="0">
      <alignment horizontal="center" vertical="center"/>
    </xf>
    <xf numFmtId="49" fontId="13" fillId="11" borderId="12" applyAlignment="1" pivotButton="0" quotePrefix="0" xfId="0">
      <alignment horizontal="center" vertical="center"/>
    </xf>
    <xf numFmtId="49" fontId="13" fillId="0" borderId="12" applyAlignment="1" pivotButton="0" quotePrefix="0" xfId="0">
      <alignment horizontal="center" vertical="center"/>
    </xf>
    <xf numFmtId="0" fontId="0" fillId="0" borderId="49" pivotButton="0" quotePrefix="0" xfId="0"/>
    <xf numFmtId="173" fontId="0" fillId="0" borderId="46" applyAlignment="1" pivotButton="0" quotePrefix="0" xfId="1">
      <alignment horizontal="center" vertical="center"/>
    </xf>
    <xf numFmtId="173" fontId="52" fillId="18" borderId="46" applyAlignment="1" pivotButton="0" quotePrefix="0" xfId="1">
      <alignment horizontal="center" vertical="center"/>
    </xf>
    <xf numFmtId="173" fontId="52" fillId="17" borderId="46" applyAlignment="1" pivotButton="0" quotePrefix="0" xfId="1">
      <alignment horizontal="center" vertical="center"/>
    </xf>
    <xf numFmtId="167" fontId="20" fillId="5" borderId="12" applyAlignment="1" pivotButton="0" quotePrefix="0" xfId="0">
      <alignment vertical="center"/>
    </xf>
    <xf numFmtId="167" fontId="20" fillId="5" borderId="12" applyAlignment="1" pivotButton="0" quotePrefix="0" xfId="0">
      <alignment horizontal="center" vertical="center"/>
    </xf>
    <xf numFmtId="49" fontId="21" fillId="12" borderId="13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167" fontId="10" fillId="0" borderId="0" applyAlignment="1" pivotButton="0" quotePrefix="0" xfId="0">
      <alignment vertical="center"/>
    </xf>
    <xf numFmtId="171" fontId="23" fillId="0" borderId="0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165" fontId="28" fillId="3" borderId="16" applyAlignment="1" pivotButton="0" quotePrefix="0" xfId="0">
      <alignment horizontal="center" vertical="center"/>
    </xf>
    <xf numFmtId="167" fontId="30" fillId="5" borderId="19" applyAlignment="1" pivotButton="0" quotePrefix="0" xfId="0">
      <alignment vertical="center"/>
    </xf>
    <xf numFmtId="167" fontId="20" fillId="3" borderId="19" applyAlignment="1" pivotButton="0" quotePrefix="0" xfId="0">
      <alignment horizontal="center" vertical="center"/>
    </xf>
    <xf numFmtId="10" fontId="10" fillId="3" borderId="19" applyAlignment="1" pivotButton="0" quotePrefix="0" xfId="0">
      <alignment horizontal="center" vertical="center"/>
    </xf>
    <xf numFmtId="165" fontId="28" fillId="3" borderId="42" applyAlignment="1" pivotButton="0" quotePrefix="0" xfId="0">
      <alignment horizontal="center" vertical="center"/>
    </xf>
    <xf numFmtId="0" fontId="0" fillId="0" borderId="43" pivotButton="0" quotePrefix="0" xfId="0"/>
    <xf numFmtId="167" fontId="30" fillId="5" borderId="25" applyAlignment="1" pivotButton="0" quotePrefix="0" xfId="0">
      <alignment vertical="center"/>
    </xf>
    <xf numFmtId="0" fontId="0" fillId="0" borderId="26" pivotButton="0" quotePrefix="0" xfId="0"/>
    <xf numFmtId="0" fontId="0" fillId="0" borderId="27" pivotButton="0" quotePrefix="0" xfId="0"/>
    <xf numFmtId="167" fontId="20" fillId="3" borderId="25" applyAlignment="1" pivotButton="0" quotePrefix="0" xfId="0">
      <alignment horizontal="center" vertical="center"/>
    </xf>
    <xf numFmtId="9" fontId="10" fillId="0" borderId="25" applyAlignment="1" pivotButton="0" quotePrefix="0" xfId="0">
      <alignment horizontal="center" vertical="center"/>
    </xf>
    <xf numFmtId="165" fontId="28" fillId="0" borderId="3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7" fontId="30" fillId="3" borderId="25" applyAlignment="1" pivotButton="0" quotePrefix="0" xfId="0">
      <alignment vertical="center"/>
    </xf>
    <xf numFmtId="167" fontId="20" fillId="3" borderId="25" applyAlignment="1" pivotButton="0" quotePrefix="0" xfId="0">
      <alignment vertical="center"/>
    </xf>
    <xf numFmtId="167" fontId="20" fillId="3" borderId="34" applyAlignment="1" pivotButton="0" quotePrefix="0" xfId="0">
      <alignment vertical="center"/>
    </xf>
    <xf numFmtId="171" fontId="29" fillId="5" borderId="12" applyAlignment="1" pivotButton="0" quotePrefix="0" xfId="0">
      <alignment vertical="center"/>
    </xf>
    <xf numFmtId="167" fontId="30" fillId="3" borderId="38" applyAlignment="1" pivotButton="0" quotePrefix="0" xfId="0">
      <alignment vertical="center"/>
    </xf>
    <xf numFmtId="167" fontId="20" fillId="3" borderId="38" applyAlignment="1" pivotButton="0" quotePrefix="0" xfId="0">
      <alignment vertical="center"/>
    </xf>
    <xf numFmtId="167" fontId="20" fillId="3" borderId="39" applyAlignment="1" pivotButton="0" quotePrefix="0" xfId="0">
      <alignment vertical="center"/>
    </xf>
    <xf numFmtId="167" fontId="30" fillId="0" borderId="19" applyAlignment="1" pivotButton="0" quotePrefix="0" xfId="0">
      <alignment vertical="center"/>
    </xf>
    <xf numFmtId="167" fontId="20" fillId="3" borderId="19" applyAlignment="1" pivotButton="0" quotePrefix="0" xfId="0">
      <alignment vertical="center"/>
    </xf>
    <xf numFmtId="167" fontId="20" fillId="3" borderId="42" applyAlignment="1" pivotButton="0" quotePrefix="0" xfId="0">
      <alignment vertical="center"/>
    </xf>
    <xf numFmtId="167" fontId="30" fillId="0" borderId="25" applyAlignment="1" pivotButton="0" quotePrefix="0" xfId="0">
      <alignment vertical="center"/>
    </xf>
    <xf numFmtId="167" fontId="30" fillId="14" borderId="25" applyAlignment="1" pivotButton="0" quotePrefix="0" xfId="0">
      <alignment vertical="center"/>
    </xf>
    <xf numFmtId="167" fontId="30" fillId="0" borderId="38" applyAlignment="1" pivotButton="0" quotePrefix="0" xfId="0">
      <alignment vertical="center"/>
    </xf>
    <xf numFmtId="167" fontId="20" fillId="0" borderId="0" applyAlignment="1" pivotButton="0" quotePrefix="0" xfId="0">
      <alignment vertical="center"/>
    </xf>
    <xf numFmtId="167" fontId="20" fillId="0" borderId="0" applyAlignment="1" pivotButton="0" quotePrefix="0" xfId="0">
      <alignment horizontal="center" vertical="center"/>
    </xf>
    <xf numFmtId="167" fontId="10" fillId="15" borderId="13" applyAlignment="1" pivotButton="0" quotePrefix="0" xfId="0">
      <alignment horizontal="center" vertical="center"/>
    </xf>
  </cellXfs>
  <cellStyles count="2">
    <cellStyle name="Normal" xfId="0" builtinId="0"/>
    <cellStyle name="Moeda" xfId="1" builtinId="4"/>
  </cellStyles>
  <dxfs count="8"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 i="0">
                <a:solidFill>
                  <a:srgbClr val="000000"/>
                </a:solidFill>
                <a:latin typeface="+mn-lt"/>
              </a:defRPr>
            </a:pPr>
            <a:r>
              <a:rPr lang="pt-BR" sz="1200" b="1" i="0">
                <a:solidFill>
                  <a:srgbClr val="000000"/>
                </a:solidFill>
                <a:latin typeface="+mn-lt"/>
              </a:rPr>
              <a:t>RESULTADO DO PERÍODO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spPr>
            <a:solidFill>
              <a:srgbClr val="4F81BD"/>
            </a:solidFill>
            <a:ln cmpd="sng">
              <a:solidFill>
                <a:srgbClr val="000000"/>
              </a:solidFill>
              <a:prstDash val="solid"/>
            </a:ln>
          </spPr>
          <invertIfNegative val="1"/>
          <val>
            <numRef>
              <f>'RS 2022'!$B$35</f>
              <numCache>
                <formatCode>#,##0.00;\(#,##0.00\)</formatCode>
                <ptCount val="1"/>
                <pt idx="0">
                  <v>1143232.85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38314878"/>
        <axId val="290500615"/>
      </barChart>
      <catAx>
        <axId val="43831487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pt-BR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pt-BR"/>
          </a:p>
        </txPr>
        <crossAx val="290500615"/>
        <crosses val="autoZero"/>
        <auto val="1"/>
        <lblAlgn val="ctr"/>
        <lblOffset val="100"/>
        <noMultiLvlLbl val="1"/>
      </catAx>
      <valAx>
        <axId val="290500615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pt-BR"/>
              </a:p>
            </rich>
          </tx>
          <overlay val="0"/>
        </title>
        <numFmt formatCode="#,##0.00;\(#,##0.00\)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pt-BR"/>
          </a:p>
        </txPr>
        <crossAx val="438314878"/>
        <crosses val="autoZero"/>
        <crossBetween val="between"/>
      </valAx>
    </plotArea>
    <legend>
      <legendPos val="r"/>
      <overlay val="0"/>
      <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pt-BR"/>
        </a:p>
      </txPr>
    </legend>
    <plotVisOnly val="1"/>
    <dispBlanksAs val="zero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lang="pt-BR" b="1" i="0">
                <a:solidFill>
                  <a:srgbClr val="000000"/>
                </a:solidFill>
                <a:latin typeface="+mn-lt"/>
              </a:rPr>
              <a:t>HISTÓRICO DE INADIMPLÊNCIA - JAN/22 A FEV/23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'-'!$A$5</f>
              <strCache>
                <ptCount val="1"/>
                <pt idx="0">
                  <v>VALOR CORRIGIDO</v>
                </pt>
              </strCache>
            </strRef>
          </tx>
          <spPr>
            <a:solidFill>
              <a:srgbClr val="FF0000"/>
            </a:solidFill>
            <a:ln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'-'!$B$3:$O$3</f>
              <strCache>
                <ptCount val="14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  <pt idx="12">
                  <v>JANEIRO</v>
                </pt>
                <pt idx="13">
                  <v>FEVEREIRO</v>
                </pt>
              </strCache>
            </strRef>
          </cat>
          <val>
            <numRef>
              <f>'-'!$B$5:$O$5</f>
              <numCache>
                <formatCode>[$R$ -416]#,##0.00</formatCode>
                <ptCount val="14"/>
                <pt idx="0">
                  <v>902847.58</v>
                </pt>
                <pt idx="1">
                  <v>932606.15</v>
                </pt>
                <pt idx="2">
                  <v>979124.08</v>
                </pt>
                <pt idx="3">
                  <v>992506.65</v>
                </pt>
                <pt idx="4">
                  <v>1012334.99</v>
                </pt>
                <pt idx="5">
                  <v>778609.98</v>
                </pt>
                <pt idx="6">
                  <v>698309.47</v>
                </pt>
                <pt idx="7">
                  <v>687678.86</v>
                </pt>
                <pt idx="8">
                  <v>495200.69</v>
                </pt>
                <pt idx="9">
                  <v>263351</v>
                </pt>
                <pt idx="10">
                  <v>260104.22</v>
                </pt>
                <pt idx="11">
                  <v>260104.22</v>
                </pt>
                <pt idx="12">
                  <v>260104.22</v>
                </pt>
                <pt idx="13">
                  <v>260104.22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3990689"/>
        <axId val="149740692"/>
      </barChart>
      <catAx>
        <axId val="93990689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pt-BR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pt-BR"/>
          </a:p>
        </txPr>
        <crossAx val="149740692"/>
        <crosses val="autoZero"/>
        <auto val="1"/>
        <lblAlgn val="ctr"/>
        <lblOffset val="100"/>
        <noMultiLvlLbl val="1"/>
      </catAx>
      <valAx>
        <axId val="14974069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 i="0">
                    <a:solidFill>
                      <a:srgbClr val="000000"/>
                    </a:solidFill>
                    <a:latin typeface="+mn-lt"/>
                  </a:rPr>
                  <a:t>VALOR CORRIGIDO</a:t>
                </a:r>
              </a:p>
            </rich>
          </tx>
          <overlay val="0"/>
        </title>
        <numFmt formatCode="[$R$ -416]#,##0.00" sourceLinked="0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pt-BR"/>
          </a:p>
        </txPr>
        <crossAx val="93990689"/>
        <crosses val="autoZero"/>
        <crossBetween val="between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pt-BR"/>
        </a:p>
      </txPr>
    </legend>
    <plotVisOnly val="1"/>
    <dispBlanksAs val="zero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Variação</a:t>
            </a:r>
            <a:r>
              <a:rPr lang="pt-BR" baseline="0"/>
              <a:t xml:space="preserve"> dos saldos - Imobiliária</a:t>
            </a:r>
            <a:endParaRPr lang="pt-BR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ESTUDO!$C$4</f>
              <strCache>
                <ptCount val="1"/>
                <pt idx="0">
                  <v>CONTA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ESTUDO!$D$3:$I$3</f>
              <numCache>
                <formatCode>General</formatCode>
                <ptCount val="6"/>
                <pt idx="0">
                  <v>2023</v>
                </pt>
                <pt idx="2">
                  <v>2024</v>
                </pt>
                <pt idx="4">
                  <v>2025</v>
                </pt>
              </numCache>
            </numRef>
          </cat>
          <val>
            <numRef>
              <f>ESTUDO!$D$4:$I$4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ESTUDO!$C$5</f>
              <strCache>
                <ptCount val="1"/>
                <pt idx="0">
                  <v>PRINCIPAL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ESTUDO!$D$3:$I$3</f>
              <numCache>
                <formatCode>General</formatCode>
                <ptCount val="6"/>
                <pt idx="0">
                  <v>2023</v>
                </pt>
                <pt idx="2">
                  <v>2024</v>
                </pt>
                <pt idx="4">
                  <v>2025</v>
                </pt>
              </numCache>
            </numRef>
          </cat>
          <val>
            <numRef>
              <f>ESTUDO!$D$5:$I$5</f>
              <numCache>
                <formatCode>_("R$"* #,##0.00_);_("R$"* \(#,##0.00\);_("R$"* "-"??_);_(@_)</formatCode>
                <ptCount val="6"/>
                <pt idx="0">
                  <v>518555.6900000001</v>
                </pt>
                <pt idx="1">
                  <v>16871.29999999996</v>
                </pt>
                <pt idx="2">
                  <v>29532.07999999999</v>
                </pt>
                <pt idx="3">
                  <v>-360002.73</v>
                </pt>
                <pt idx="4">
                  <v>-381516.04</v>
                </pt>
                <pt idx="5">
                  <v>-446214.84</v>
                </pt>
              </numCache>
            </numRef>
          </val>
        </ser>
        <ser>
          <idx val="2"/>
          <order val="2"/>
          <tx>
            <strRef>
              <f>ESTUDO!$C$6</f>
              <strCache>
                <ptCount val="1"/>
                <pt idx="0">
                  <v>SALA DE EVENTOS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ESTUDO!$D$3:$I$3</f>
              <numCache>
                <formatCode>General</formatCode>
                <ptCount val="6"/>
                <pt idx="0">
                  <v>2023</v>
                </pt>
                <pt idx="2">
                  <v>2024</v>
                </pt>
                <pt idx="4">
                  <v>2025</v>
                </pt>
              </numCache>
            </numRef>
          </cat>
          <val>
            <numRef>
              <f>ESTUDO!$D$6:$I$6</f>
              <numCache>
                <formatCode>_("R$"* #,##0.00_);_("R$"* \(#,##0.00\);_("R$"* "-"??_);_(@_)</formatCode>
                <ptCount val="6"/>
                <pt idx="0">
                  <v>94155.73</v>
                </pt>
                <pt idx="1">
                  <v>174810.85</v>
                </pt>
                <pt idx="2">
                  <v>181910.85</v>
                </pt>
                <pt idx="3">
                  <v>234895.62</v>
                </pt>
                <pt idx="4">
                  <v>237295.62</v>
                </pt>
                <pt idx="5">
                  <v>242434.36</v>
                </pt>
              </numCache>
            </numRef>
          </val>
        </ser>
        <ser>
          <idx val="3"/>
          <order val="3"/>
          <tx>
            <strRef>
              <f>ESTUDO!$C$7</f>
              <strCache>
                <ptCount val="1"/>
                <pt idx="0">
                  <v>ESTACIONAMENTO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numRef>
              <f>ESTUDO!$D$3:$I$3</f>
              <numCache>
                <formatCode>General</formatCode>
                <ptCount val="6"/>
                <pt idx="0">
                  <v>2023</v>
                </pt>
                <pt idx="2">
                  <v>2024</v>
                </pt>
                <pt idx="4">
                  <v>2025</v>
                </pt>
              </numCache>
            </numRef>
          </cat>
          <val>
            <numRef>
              <f>ESTUDO!$D$7:$I$7</f>
              <numCache>
                <formatCode>_("R$"* #,##0.00_);_("R$"* \(#,##0.00\);_("R$"* "-"??_);_(@_)</formatCode>
                <ptCount val="6"/>
                <pt idx="0">
                  <v>70685.27</v>
                </pt>
                <pt idx="1">
                  <v>193938.04</v>
                </pt>
                <pt idx="2">
                  <v>207110.27</v>
                </pt>
                <pt idx="3">
                  <v>385829.74</v>
                </pt>
                <pt idx="4">
                  <v>402253.01</v>
                </pt>
                <pt idx="5">
                  <v>374878.86</v>
                </pt>
              </numCache>
            </numRef>
          </val>
        </ser>
        <ser>
          <idx val="4"/>
          <order val="4"/>
          <tx>
            <strRef>
              <f>ESTUDO!$C$8</f>
              <strCache>
                <ptCount val="1"/>
                <pt idx="0">
                  <v>INADIMPLÊNCIA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numRef>
              <f>ESTUDO!$D$3:$I$3</f>
              <numCache>
                <formatCode>General</formatCode>
                <ptCount val="6"/>
                <pt idx="0">
                  <v>2023</v>
                </pt>
                <pt idx="2">
                  <v>2024</v>
                </pt>
                <pt idx="4">
                  <v>2025</v>
                </pt>
              </numCache>
            </numRef>
          </cat>
          <val>
            <numRef>
              <f>ESTUDO!$D$8:$I$8</f>
              <numCache>
                <formatCode>_("R$"* #,##0.00_);_("R$"* \(#,##0.00\);_("R$"* "-"??_);_(@_)</formatCode>
                <ptCount val="6"/>
                <pt idx="0">
                  <v>6358.97</v>
                </pt>
                <pt idx="1">
                  <v>6358.97</v>
                </pt>
                <pt idx="2">
                  <v>6358.97</v>
                </pt>
                <pt idx="3">
                  <v>6358.97</v>
                </pt>
                <pt idx="4">
                  <v>6358.97</v>
                </pt>
                <pt idx="5">
                  <v>6358.97</v>
                </pt>
              </numCache>
            </numRef>
          </val>
        </ser>
        <ser>
          <idx val="5"/>
          <order val="5"/>
          <tx>
            <strRef>
              <f>ESTUDO!$C$9</f>
              <strCache>
                <ptCount val="1"/>
                <pt idx="0">
                  <v>FUNDO RESERVAS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numRef>
              <f>ESTUDO!$D$3:$I$3</f>
              <numCache>
                <formatCode>General</formatCode>
                <ptCount val="6"/>
                <pt idx="0">
                  <v>2023</v>
                </pt>
                <pt idx="2">
                  <v>2024</v>
                </pt>
                <pt idx="4">
                  <v>2025</v>
                </pt>
              </numCache>
            </numRef>
          </cat>
          <val>
            <numRef>
              <f>ESTUDO!$D$9:$I$9</f>
              <numCache>
                <formatCode>_("R$"* #,##0.00_);_("R$"* \(#,##0.00\);_("R$"* "-"??_);_(@_)</formatCode>
                <ptCount val="6"/>
                <pt idx="0">
                  <v>4522.65</v>
                </pt>
                <pt idx="1">
                  <v>4522.65</v>
                </pt>
                <pt idx="2">
                  <v>4522.65</v>
                </pt>
                <pt idx="3">
                  <v>4522.65</v>
                </pt>
                <pt idx="4">
                  <v>4522.65</v>
                </pt>
                <pt idx="5">
                  <v>6358.97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61260175"/>
        <axId val="1061256335"/>
      </barChart>
      <lineChart>
        <grouping val="standard"/>
        <varyColors val="0"/>
        <ser>
          <idx val="6"/>
          <order val="6"/>
          <tx>
            <strRef>
              <f>ESTUDO!$C$10</f>
              <strCache>
                <ptCount val="1"/>
                <pt idx="0">
                  <v>TOTAL</v>
                </pt>
              </strCache>
            </strRef>
          </tx>
          <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ESTUDO!$D$3:$I$3</f>
              <numCache>
                <formatCode>General</formatCode>
                <ptCount val="6"/>
                <pt idx="0">
                  <v>2023</v>
                </pt>
                <pt idx="2">
                  <v>2024</v>
                </pt>
                <pt idx="4">
                  <v>2025</v>
                </pt>
              </numCache>
            </numRef>
          </cat>
          <val>
            <numRef>
              <f>ESTUDO!$D$10:$I$10</f>
              <numCache>
                <formatCode>_("R$"* #,##0.00_);_("R$"* \(#,##0.00\);_("R$"* "-"??_);_(@_)</formatCode>
                <ptCount val="6"/>
                <pt idx="0">
                  <v>694278.3100000001</v>
                </pt>
                <pt idx="1">
                  <v>396501.8099999999</v>
                </pt>
                <pt idx="2">
                  <v>429434.82</v>
                </pt>
                <pt idx="3">
                  <v>271604.2500000001</v>
                </pt>
                <pt idx="4">
                  <v>268914.21</v>
                </pt>
                <pt idx="5">
                  <v>183816.3200000001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61260175"/>
        <axId val="1061256335"/>
      </lineChart>
      <catAx>
        <axId val="10612601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061256335"/>
        <crosses val="autoZero"/>
        <auto val="1"/>
        <lblAlgn val="ctr"/>
        <lblOffset val="100"/>
        <noMultiLvlLbl val="0"/>
      </catAx>
      <valAx>
        <axId val="106125633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061260175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User</author>
    <author>Automação</author>
  </authors>
  <commentList>
    <comment ref="F4" authorId="0" shapeId="0">
      <text>
        <t xml:space="preserve">User:
10/03/2025
PG.RETENCAO ISSQN NR. DOC: 202524 V:10/03/2025 ONX SERVICOS E COMERCIO DE EQUIPAMENTOS
- 5.574,93
10/03/2025
PG.SERV.PORTARIA/LIMPEZA NF.: 202524 CONTRATO MENSAL PREST. SERV. PORT. LIMP. RECEP. - REF: FEVEREIRO 2025 ONX SERVICOS E COMERCIO DE EQUIPAMENTOS
- 94.647,29
1162 CP PATRONAL - RETENÇÃO LEI 9.711/98 11.276,34 11.276,34
01 CP PATRONAL - RETENÇÃO LEI 9.711/98
PA:02/2025 Vencimento:20/03/2025
CNPJ Prestador:35.017.554/0001-86
</t>
      </text>
    </comment>
    <comment ref="G4" authorId="1" shapeId="0">
      <text>
        <t>LANÇAMENTOS DA GUARIDA:
01/04/2025 - PG.SERV.PORTARIA/LIMPEZA NF.: 202538 PREST. SERV. PORTARIA 24H, LIMP. E RECEPÇÃO 8H - REF: MARÇO 2025 ONX SERVICOS E COMERCIO DE EQUIPAMENTOS | R$ 94.410,56
30/04/2025 - PG.SERVICOS LIMPEZA NF.: 2025133 SERVIÇO DE APOIO NA SEGURANÇA NA GARAGEM DO EDIFÍCIO. ALTO PADRÃO SEGURANÇA LTDA | R$ 1.936,93
01/04/2025 - PG.SERV.PORTARIA/LIMPEZA NF.: 202538 PREST. SERV. PORTARIA 24H, LIMP. E RECEPÇÃO 8H - REF: MARÇO 2025 ONX SERVICOS E COMERCIO DE EQUIPAMENTOS | R$ 94.410,56
30/04/2025 - PG.SERVICOS LIMPEZA NF.: 2025133 SERVIÇO DE APOIO NA SEGURANÇA NA GARAGEM DO EDIFÍCIO. ALTO PADRÃO SEGURANÇA LTDA | R$ 1.936,93</t>
      </text>
    </comment>
    <comment ref="F11" authorId="0" shapeId="0">
      <text>
        <t xml:space="preserve">User:
07/03/2025
PG.SERV.PRESTADOS NF.: 28 CONTRATO MENSAL PREST. SERV. AUX. ADM COND.-REF: FEV2025-R$584,80 (HORAS EXTRAS) CAPPELLETTO GESTAO LTDA
- 16.992,72
10/03/2025
PG.RETENCAO ISSQN NR. DOC: 16 V:05/02/2025 CAPPELLETTO GESTAO LTDA
- 318,15
</t>
      </text>
    </comment>
    <comment ref="G11" authorId="1" shapeId="0">
      <text>
        <t>LANÇAMENTOS DA GUARIDA:
03/04/2025 - PG.SERV.PRESTADOS NF.: 32 CONT. MENS. SERVIÇO AUXILIAR  DE ADMINISTRAÇÃO CONDOMINIAL - REF: MARÇO 2025 CAPPELLETTO GESTAO LTDA | R$ 24.451,80
03/04/2025 - PG.SERV.PRESTADOS NF.: 32 CONT. MENS. SERVIÇO AUXILIAR  DE ADMINISTRAÇÃO CONDOMINIAL - REF: MARÇO 2025 CAPPELLETTO GESTAO LTDA | R$ 24.451,80</t>
      </text>
    </comment>
    <comment ref="F12" authorId="0" shapeId="0">
      <text>
        <t xml:space="preserve">User:
10/03/2025
PG.RETENCAO ISSQN NR. DOC: 202500000005088 V:12/02/2025 ATIVA MEDICINA E SEGURANÇA DO TRABALHO LTDA
- 2,10
26/03/2025
EXCLUSIVE TAXA EXCLUSIVE COMP 032025
- 1.139,05
28/03/2025
DIGIFILE - GUARDA/MOV DE DOCUM 02/2025 - GUARDA 1 CAIXA(S) DIGIFILE TECNOLOGIA EM DOCUMENTOS EIRELI EPP
- 0,95
31/03/2025
DECLARAÇÃO MENSAL EFD-REINF COMP. 02/2025
- 78,75
31/03/2025
ENVIO /TRANSF. ELETRÔNICA REFERENTE A 11 CREDITO(S) EM CONTA REALIZADO(S)
- 59,07
31/03/2025
REEMB.MAT EXPEDIENTE 03/2025
- 269,05
31/03/2025
TAXA DE ADM.GUARIDA IMOVEIS 03/2025
- 1.498,90
</t>
      </text>
    </comment>
    <comment ref="G12" authorId="1" shapeId="0">
      <text>
        <t>LANÇAMENTOS DA GUARIDA:
30/04/2025 - TAXA DE ADM.GUARIDA IMOVEIS 04/2025 | R$ 1.498,90
30/04/2025 - TAXA DE ADM.GUARIDA IMOVEIS 04/2025 | R$ 1.498,90</t>
      </text>
    </comment>
    <comment ref="F13" authorId="0" shapeId="0">
      <text>
        <t xml:space="preserve">User:
14/03/2025
PG.SEGURO DE VIDA FUNC. NR. DOC: 223685576 02/2025 - MARCO AURELIO GOMES ALVARES TOKIO MARINE SEGURADORA S.A.
- 48,38
14/03/2025
PG.SEGURO DE VIDA FUNC. NR. DOC: 223685577 02/2025 - MOISES IRINEU CABRAL PINTO TOKIO MARINE SEGURADORA S.A.
- 48,38
20/03/2025
PG.FGTS NR. DOC: 0125031860376563-1 FGTS Mensal CAIXA ECONOMICA FEDERAL
- 475,68
1082 CONTR PREV DESCONTA SEGURADO-EMPREGADO/AVULSO 512,88 512,88
01 CP SEGURADOS - EMPREGADOS/AVULSO
PA:02/2025 Vencimento:20/03/2025
1138 CONTRIB PREVIDENCIÁRIA EMPRESA/EMPREGADOR 1.189,22 1.189,22
01 CP PATRONAL - EMPREGADOS/AVULSOS
PA:02/2025 Vencimento:20/03/2025
1646 CONTRIB PREV RISCO AMBIENTAL/APOSENT ESPECIAL 59,46 59,46
01 CP PATRONAL - GILRAT AJUSTADO
PA:02/2025 Vencimento:20/03/2025
1170 CP TERCEIROS - SALÁRIO EDUCAÇÃO 148,65 148,65
01 CP TERCEIROS - SALÁRIO EDUCAÇÃO
PA:02/2025 Vencimento:20/03/2025
1176 CP TERCEIROS - INCRA 11,89 11,89
01 CP TERCEIROS - INCRA
PA:02/2025 Vencimento:20/03/2025
1196 CP TERCEIROS - SESC 89,19 89,19
01 CP TERCEIROS - SESC
PA:02/2025 Vencimento:20/03/2025
1200 CP TERCEIROS - SEBRAE - EMPR CONTRIBUINTE SES 17,83 17,83
02 CP TERCEIROS - SEBRAE - EMPR CONTRIBUINTE SES
0561 IRRF - RENDIMENTO DO TRABALHO ASSALARIADO 69,33 69,33
07 IRRF - RD TRB ASSAL PAÍS/AUS NO EXT A SERV PAÍS
PA:02/2025 Vencimento:20/03/2025
8301 PIS - FOLHA DE SALARIOS 59,46 59,46
02 PIS - FOLHA DE SALARIOS
PA:02/2025 Vencimento:25/03/2025
5952 RET DE CONTRIBUICOES PAGT PJ A PJ DE DIR PRIV 570,44 570,44
07 RET DE CONTRIBUICOES PAGT PJ A PJ DE DIR PRIV
PA:02/2025 Vencimento:20/03/2025
25/03/2025
PG.SECOVIMED NR. DOC: 227420230 02/2025 - SERVICO SOCIAL DA HABITACAO DO RIO GRANDE DO SUL - SECOVIMED - RS
- 175,32
25/03/2025
PG.VALE TRANSPORTE - TRI NR. DOC: 227405533 04/2025 - MARCO AURELIO GOMES ALVARES VT SOLUCOES ADMINISTRACAO E SERVICOS LTD
- 211,20
27/03/2025
PG.DESP.REFEICAO/ALIMENTACAO NR. DOC: 227822759 04/2025 - BANRISUL SOL. EM PAG. S.A - BANRISUL CARTÕES - REFEISUL
- 900,00
27/03/2025
PG.VALE TRANSPORTE NR. DOC: 2538384743 PLUXEE FROTA E COMBUSTIVEL BRASIL
- 384,00
</t>
      </text>
    </comment>
    <comment ref="G13" authorId="1" shapeId="0">
      <text>
        <t>LANÇAMENTOS DA GUARIDA:
01/04/2025 - PG. SALARIO E/OU PRÓ-LABORE NR. DOC: 228648368 03/2025 - MARCO AURELIO GOMES ALVARES | R$ 1.329,00
02/04/2025 - PG.SALARIO MARCO AURELIO GOMES ALVARES | R$ 681,00
15/04/2025 - PG.SEGURO DE VIDA FUNC. NR. DOC: 229253549 03/2025 - MARCO AURELIO GOMES ALVARES TOKIO MARINE SEGURADORA S.A. | R$ 48,38
16/04/2025 - PG.RESSARCIMENTO VALOR UBER UTILIZADO PARA VOLTA P/ CASA ACOMP. SERV. DIA 06/04/2025 MARCO AURELIO GOMES ALVARES | R$ 14,95
24/04/2025 - PG.VALE TRANSPORTE - TRI NR. DOC: 229384404 05/2025 - MARCO AURELIO GOMES ALVARES VT SOLUCOES ADMINISTRACAO E SERVICOS LTD | R$ 220,00
01/04/2025 - PG. SALARIO E/OU PRÓ-LABORE NR. DOC: 228648368 03/2025 - MARCO AURELIO GOMES ALVARES | R$ 1.329,00
02/04/2025 - PG.SALARIO MARCO AURELIO GOMES ALVARES | R$ 681,00
15/04/2025 - PG.SEGURO DE VIDA FUNC. NR. DOC: 229253549 03/2025 - MARCO AURELIO GOMES ALVARES TOKIO MARINE SEGURADORA S.A. | R$ 48,38
16/04/2025 - PG.RESSARCIMENTO VALOR UBER UTILIZADO PARA VOLTA P/ CASA ACOMP. SERV. DIA 06/04/2025 MARCO AURELIO GOMES ALVARES | R$ 14,95
24/04/2025 - PG.VALE TRANSPORTE - TRI NR. DOC: 229384404 05/2025 - MARCO AURELIO GOMES ALVARES VT SOLUCOES ADMINISTRACAO E SERVICOS LTD | R$ 220,00</t>
      </text>
    </comment>
    <comment ref="F14" authorId="0" shapeId="0">
      <text>
        <t xml:space="preserve">User:
06/03/2025
PG.REMUNERACAO SINDICO(A) PAULO RICARDO WAGNER
- 7.206,20
1099 CP SEGURADOS - CONTRIBUINTES INDIVIDUAIS - 11 890,65 890,65
01 CP SEGURADOS - CONTRIBUINTES INDIVIDUAIS - 11%
PA:02/2025 Vencimento:20/03/2025
1138 CONTRIB PREVIDENCIÁRIA EMPRESA/EMPREGADOR 1.619,37 1.619,37
04 CP PATRONAL - CONTRIBUINTES INDIVIDUAIS
PA:02/2025 Vencimento:20/03/2025
</t>
      </text>
    </comment>
    <comment ref="F17" authorId="0" shapeId="0">
      <text>
        <t xml:space="preserve">User:
10/03/2025
PG.RETENCAO ISSQN NR. DOC: 14114 V:27/02/2025 FG PISCINAS LTDA
- 6,46
1162 CP PATRONAL - RETENÇÃO LEI 9.711/98 14,85 14,85
01 CP PATRONAL - RETENÇÃO LEI 9.711/98
PA:02/2025 Vencimento:20/03/2025
CNPJ Prestador:07.334.340/0001-06
27/03/2025
PG.MANUT.PISCINA NF.: 14245 CONTRATO MENSAL SERVIÇO LIMP. ESPELHO D'ÁGUA - REF: FEV 2025 FG PISCINAS LTDA
- 898,70
</t>
      </text>
    </comment>
    <comment ref="G17" authorId="1" shapeId="0">
      <text>
        <t>LANÇAMENTOS DA GUARIDA:
03/04/2025 - PG.COMPRA MATERIAL NF.: 50603 MATERIAL REFORMA DOS TOTENS E MANUT. BOMBAS ESPELHO DÁGUA. PROCAL FERRAGENS E TINTAS LTDA | R$ 191,75
07/04/2025 - PG.COMPRA MAT. ELETRICO NF.: 59813612 AQUISIÇÃO LÂMPADAS P/ ELEVADORES E DISJUNTOR QAURO ELÉTRICO BOMBAS ESPELHO DÁGUA Parc.(1/2) DEBORA GRUBEL RANULPHO | R$ 558,40
25/04/2025 - PG.MANUT.PISCINA NF.: 14374 CONTRATO DE SERV. DE LIMPEZA E CONSERVAÇÃO DO ESPELHO D'ÁGUA - MARÇO 2025 FG PISCINAS LTDA | R$ 898,43
03/04/2025 - PG.COMPRA MATERIAL NF.: 50603 MATERIAL REFORMA DOS TOTENS E MANUT. BOMBAS ESPELHO DÁGUA. PROCAL FERRAGENS E TINTAS LTDA | R$ 191,75
07/04/2025 - PG.COMPRA MAT. ELETRICO NF.: 59813612 AQUISIÇÃO LÂMPADAS P/ ELEVADORES E DISJUNTOR QAURO ELÉTRICO BOMBAS ESPELHO DÁGUA Parc.(1/2) DEBORA GRUBEL RANULPHO | R$ 558,40
25/04/2025 - PG.MANUT.PISCINA NF.: 14374 CONTRATO DE SERV. DE LIMPEZA E CONSERVAÇÃO DO ESPELHO D'ÁGUA - MARÇO 2025 FG PISCINAS LTDA | R$ 898,43</t>
      </text>
    </comment>
    <comment ref="F18" authorId="0" shapeId="0">
      <text>
        <t xml:space="preserve">User:
10/03/2025
PG. ELEVADOR PECAS NR. DOC: 31014851 NEGOCIAÇÃO - ACORDO MANUTENÇÕES Parc.(10/12) ELEVADORES ATLAS SCHINDLER S/A
- 2.777,90
10/03/2025
PG.RETENCAO ISSQN NR. DOC: 20252514 V:28/02/2025 ELEVADORES ATLAS SCHINDLER S/A
- 461,18
10/03/2025
PG.RETENCAO ISSQN NR. DOC: 4312 PREFEITURA DE PORTO ALEGRE
- 4,17
31/03/2025
PG. ELEVADOR PECAS NR. DOC: 31014851 NEGOCIAÇÃO - ACORDO MANUTENÇÕES Parc.(11/12) ELEVADORES ATLAS SCHINDLER S/A
- 2.777,90
31/03/2025
PG.MANUT.ELEVADOR NF.: 20254606 CONTRATO MENSAL MANUT. PREVENTIVA DOS ELEVADORES DO EDIFÍCIO - REF: 03/2025 ELEVADORES ATLAS SCHINDLER S/A
- 8.333,53
</t>
      </text>
    </comment>
    <comment ref="G18" authorId="1" shapeId="0">
      <text>
        <t>LANÇAMENTOS DA GUARIDA:
10/04/2025 - PG.RETENCAO ISSQN NR. DOC: 202500000006279 Dt. Emis.: 12/03/2025 ELEVADORES ATLAS SCHINDLER S/A | R$ 7.300,00
10/04/2025 - PG.RETENCAO ISSQN NR. DOC: 20254606 V:31/03/2025 ELEVADORES ATLAS SCHINDLER S/A | R$ 461,18
25/04/2025 - PG. ELEVADOR PECAS NF.: 20256279 VALOR REF. CONSERTO ELEVADOR 03. MAIS INFOS NA AUTORIZAÇÃO DE PAGAMENTO ANEXADA Parc.(1/12) ELEVADORES ATLAS SCHINDLER S/A | R$ 10.988,19
30/04/2025 - PG. ELEVADOR PECAS NR. DOC: 31014851 NEGOCIAÇÃO - ACORDO MANUTENÇÕES Parc.(12/12) ELEVADORES ATLAS SCHINDLER S/A | R$ 2.777,90
30/04/2025 - PG.MANUT.ELEVADOR NF.: 20257253 VALOR CONTRATO MENSAL MANUT. ELEVADORES DO EDIFÍCIO - REF: ABRIL 2025 ELEVADORES ATLAS SCHINDLER S/A | R$ 8.333,53
10/04/2025 - PG.RETENCAO ISSQN NR. DOC: 202500000006279 Dt. Emis.: 12/03/2025 ELEVADORES ATLAS SCHINDLER S/A | R$ 7.300,00
10/04/2025 - PG.RETENCAO ISSQN NR. DOC: 20254606 V:31/03/2025 ELEVADORES ATLAS SCHINDLER S/A | R$ 461,18
25/04/2025 - PG. ELEVADOR PECAS NF.: 20256279 VALOR REF. CONSERTO ELEVADOR 03. MAIS INFOS NA AUTORIZAÇÃO DE PAGAMENTO ANEXADA Parc.(1/12) ELEVADORES ATLAS SCHINDLER S/A | R$ 10.988,19
30/04/2025 - PG. ELEVADOR PECAS NR. DOC: 31014851 NEGOCIAÇÃO - ACORDO MANUTENÇÕES Parc.(12/12) ELEVADORES ATLAS SCHINDLER S/A | R$ 2.777,90
30/04/2025 - PG.MANUT.ELEVADOR NF.: 20257253 VALOR CONTRATO MENSAL MANUT. ELEVADORES DO EDIFÍCIO - REF: ABRIL 2025 ELEVADORES ATLAS SCHINDLER S/A | R$ 8.333,53</t>
      </text>
    </comment>
    <comment ref="F19" authorId="0" shapeId="0">
      <text>
        <t xml:space="preserve">User:
10/03/2025
PG.RETENCAO ISSQN NR. DOC: 229 PREFEITURA DE PORTO ALEGRE
- 73,58
14/03/2025
PG.MANUT. GERADOR NF.: 2025229 CONTRATO MENSAL MANUTENÇÃO PREVENTIVA GERADOR EDIFICIO STEMAC S/A - GRUPO GERADORES
- 1.167,75
1162 CP PATRONAL - RETENÇÃO LEI 9.711/98 161,88 161,88
01 CP PATRONAL - RETENÇÃO LEI 9.711/98
PA:02/2025 Vencimento:20/03/2025
CNPJ Prestador:92.753.268/0006-27
</t>
      </text>
    </comment>
    <comment ref="G19" authorId="1" shapeId="0">
      <text>
        <t>LANÇAMENTOS DA GUARIDA:
04/04/2025 - PG.MANUT. GERADOR NF.: 2025428 CONTRATO MENSAL MANUT. GERADOR DE ENERGIA DO EDIFÍCIO - REF: MARÇO 2025 STEMAC S/A - GRUPO GERADORES | R$ 1.195,78
04/04/2025 - PG.MANUT. GERADOR NF.: 2025428 CONTRATO MENSAL MANUT. GERADOR DE ENERGIA DO EDIFÍCIO - REF: MARÇO 2025 STEMAC S/A - GRUPO GERADORES | R$ 1.195,78</t>
      </text>
    </comment>
    <comment ref="F20" authorId="0" shapeId="0">
      <text>
        <t xml:space="preserve">User:
05/03/2025
PG.HONORARIOS ADVOCATICIOS NF.: 134 CONT PREST SERV ASSES CONS JURÍDICA EXTRAJUDICIAL HONO ADVOCATICIOS REF FEV/2025 BELLINI FIGUEIRO SOCIEDADE INDIVIDUAL DE
- 2.958,58
10/03/2025
PG.RETENCAO ISSQN NR. DOC: 134 V:05/03/2025 BELLINI FIGUEIRO SOCIEDADE INDIVIDUAL DE
- 77,42
</t>
      </text>
    </comment>
    <comment ref="G20" authorId="1" shapeId="0">
      <text>
        <t>LANÇAMENTOS DA GUARIDA:
04/04/2025 - PG.HONORARIOS ADVOCATICIOS NF.: 140 MENSAL. CONTRATO PREST. SERV. ASSES. CONSULT. JURÍDICA EXTRAJUD. - REF: MARÇO 25 BELLINI FIGUEIRO SOCIEDADE INDIVIDUAL DE | R$ 2.960,10
04/04/2025 - PG.HONORARIOS ADVOCATICIOS NF.: 140 MENSAL. CONTRATO PREST. SERV. ASSES. CONSULT. JURÍDICA EXTRAJUD. - REF: MARÇO 25 BELLINI FIGUEIRO SOCIEDADE INDIVIDUAL DE | R$ 2.960,10</t>
      </text>
    </comment>
    <comment ref="F21" authorId="0" shapeId="0">
      <text>
        <t xml:space="preserve">User:
10/03/2025
PG.RETENCAO ISSQN NR. DOC: 94 V:27/02/2025 TIAGO HENRIQUES TABORDA CONTABILIDADE
- 26,60
14/03/2025
PG. AUDITORIA NF.: 100 CONTRATO AUDITORIA PRESTAÇÃO DE CONTAS DO EDIFÍCIO - REF: 01/2025 TIAGO HENRIQUES TABORDA CONTABILIDADE
- 1.303,40
</t>
      </text>
    </comment>
    <comment ref="G21" authorId="1" shapeId="0">
      <text>
        <t>LANÇAMENTOS DA GUARIDA:
10/04/2025 - PG. AUDITORIA NF.: 107 CONTRATO MENSAL PREST. SERVIÇO AUDITORIA PASTAS CONTÁBEIS - REF: FEVEREIRO 2025 TIAGO HENRIQUES TABORDA CONTABILIDADE | R$ 1.303,40
10/04/2025 - PG. AUDITORIA NF.: 107 CONTRATO MENSAL PREST. SERVIÇO AUDITORIA PASTAS CONTÁBEIS - REF: FEVEREIRO 2025 TIAGO HENRIQUES TABORDA CONTABILIDADE | R$ 1.303,40</t>
      </text>
    </comment>
    <comment ref="G25" authorId="1" shapeId="0">
      <text>
        <t>LANÇAMENTOS DA GUARIDA:
16/04/2025 - PG.REST.FACHADA NF.: 168 REV. VED. 18 JANELAS DE 11 UNIDADES Parc.(1/2) UPERCLEAN SERVICOS VERTICAIS LTDA | R$ 4.142,95
16/04/2025 - PG.REST.FACHADA NF.: 168 REV. VED. 18 JANELAS DE 11 UNIDADES Parc.(1/2) UPERCLEAN SERVICOS VERTICAIS LTDA | R$ 4.142,95</t>
      </text>
    </comment>
    <comment ref="G26" authorId="1" shapeId="0">
      <text>
        <t>LANÇAMENTOS DA GUARIDA:
10/04/2025 - PG.MANUT.BOMBA DAGUA NF.: 8725 VALOR REF. AO CONSERTO DAS BOMBAS DO ESPELHO D'ÁGUA. Parc.(1/3) DEVOLVIMENTOS CR ELETRICA FLORIDA LTDA | R$ 440,00
10/04/2025 - PG.MANUT.BOMBA DAGUA NF.: 8725 VALOR REF. AO CONSERTO DAS BOMBAS DO ESPELHO D'ÁGUA. Parc.(1/3) DEVOLVIMENTOS CR ELETRICA FLORIDA LTDA | R$ 440,00</t>
      </text>
    </comment>
    <comment ref="F27" authorId="0" shapeId="0">
      <text>
        <t>User:
07/03/2025
PG.MANUT.PORTEIRO ELETRONICO NF.: 202573 INSTALAÇÃO DE INTERFONE DA SALA 2101 (PRIMEIRA INSTALAÇÃOATRÁS DA PORTA). MACTEL SISTEMAS DE SEGURANÇA - LTDA
- 275,87
10/03/2025
PG.RETENCAO ISSQN NR. DOC: 202555 V:14/02/2025 MACTEL SISTEMAS DE SEGURANÇA - LTDA
- 9,80
10/03/2025
PG.RETENCAO ISSQN NR. DOC: 202573 V:07/03/2025 MACTEL SISTEMAS DE SEGURANÇA - LTDA
- 9,80</t>
      </text>
    </comment>
    <comment ref="G27" authorId="1" shapeId="0">
      <text>
        <t>LANÇAMENTOS DA GUARIDA:
16/04/2025 - PG.MANUT.PORTEIRO ELETRONICO NF.: 4424 REF. CABEAMENTO PARA INTERFONE DA SALA 603 MACTEL SISTEMAS DE SEGURANÇA - LTDA | R$ 387,98
16/04/2025 - PG.MANUT.PORTEIRO ELETRONICO NF.: 4424 REF. CABEAMENTO PARA INTERFONE DA SALA 603 MACTEL SISTEMAS DE SEGURANÇA - LTDA | R$ 387,98</t>
      </text>
    </comment>
    <comment ref="F28" authorId="0" shapeId="0">
      <text>
        <t xml:space="preserve">User:
05/03/2025
PG.DESOBSTRUCAO ESGOTO NF.: 766 VALOR REF SERV EMERGENCIAL SUCÇÃO HIDROJATEAMENTO REDE ESGOTO CLOACAL Parc.(2/3) JONAS LOPES DA GRACA 01748248073
- 1.361,99
10/03/2025
PG.RETENCAO ISSQN NR. DOC: 766 V:07/02/2025 JONAS LOPES DA GRACA 01748248073
- 243,21
4/03/2025
PG.SERV.HIDRAULICO NF.: 20255 SERVIÇO DE CONSERTO DO FLANGE DO DRENO DO RESERVATÓRIO SUP 8 (TERRAÇO) JSM SERVIÇOS HIDRAULICO E MANUT
- 3.360,00
1162 CP PATRONAL - RETENÇÃO LEI 9.711/98 535,07 535,07
01 CP PATRONAL - RETENÇÃO LEI 9.711/98
PA:02/2025 Vencimento:20/03/2025
CNPJ Prestador:24.767.784/0001-46
21/03/2025
PG.MANUT.PORTAO NF.: 22 VISITA TÉC. REVISÃO PORTÃO GARAGEM SUBSOLO REALIZADO LUBRIFIC. AJUSTE E ALINHAME GRADINI COM E IND DE PORTAS LTDA
- 950,00
24/03/2025
PG.SERV.PRESTADOS NF.: 39 INSTALACAO DE PELICULA 50.873.576 RODRIGO DE QUADROS
- 800,00
25/03/2025
PG.MANUT.PORTAO NF.: 8906 AQUSIÇÃO DE CENTRAL C/2 CONTROLES REMOTOS PARA ABERTURA DOS PORTÕES DA GARAGEM. GRADINI COM E IND DE PORTAS LTDA
- 486,00
26/03/2025
PG.COMPRA MAT. ELETRICO NF.: 8711 AQUISIÇÃO DE BOTÕES DE COMANDO DO ESPELHO D'ÁGUA E INST. DE BOMBAS. DEVOLVIMENTOS CR ELETRICA FLORIDA LTDA
- 520,00
27/03/2025
PG.MANUT.GERAL NF.: 13 MANUTENÇÃO DE PREDIAL PARA RAIOS 53.631.518 GABRIEL SAMPAIO LEMOS
- 2.400,00
</t>
      </text>
    </comment>
    <comment ref="G28" authorId="1" shapeId="0">
      <text>
        <t>LANÇAMENTOS DA GUARIDA:
07/04/2025 - PG.DESOBSTRUCAO ESGOTO NF.: 766 VALOR REF SERV EMERGENCIAL SUCÇÃO HIDROJATEAMENTO REDE ESGOTO CLOACAL Parc.(3/3) JONAS LOPES DA GRACA 01748248073 | R$ 1.361,99
16/04/2025 - PG.MANUT.PORTAO NF.: 234 VALOR REF. VISITA TÉCNICA PARA CONSERTO DO PORTÃO DA GARAGEM DIOVANE SITNINSKI 00274002043 | R$ 100,00
17/04/2025 - PG.SERV.HIDRAULICO NF.: 202513 SERV. REPARO TUBULAÇÃO PPR DN 75 DA COLUNA RECALQUE COM VAZAMENTO. JSM SERVIÇOS HIDRAULICO E MANUT | R$ 1.440,00
07/04/2025 - PG.DESOBSTRUCAO ESGOTO NF.: 766 VALOR REF SERV EMERGENCIAL SUCÇÃO HIDROJATEAMENTO REDE ESGOTO CLOACAL Parc.(3/3) JONAS LOPES DA GRACA 01748248073 | R$ 1.361,99
16/04/2025 - PG.MANUT.PORTAO NF.: 234 VALOR REF. VISITA TÉCNICA PARA CONSERTO DO PORTÃO DA GARAGEM DIOVANE SITNINSKI 00274002043 | R$ 100,00
17/04/2025 - PG.SERV.HIDRAULICO NF.: 202513 SERV. REPARO TUBULAÇÃO PPR DN 75 DA COLUNA RECALQUE COM VAZAMENTO. JSM SERVIÇOS HIDRAULICO E MANUT | R$ 1.440,00</t>
      </text>
    </comment>
    <comment ref="F30" authorId="0" shapeId="0">
      <text>
        <t xml:space="preserve">User:
07/03/2025
PG.MANUT.SIST.ALARME NF.: 230 PARC 3/3 SERV. MANUT. CORRETIVA SIST. DETEC. ALARME DE INCÊNDIO - PTC542-24-R02 MHC ENGENHARIA LTDA
- 4.160,26
PG.RETENCAO ISSQN NR. DOC: 218 V:07/02/2025 MHC ENGENHARIA LTDA
- 171,04
10/03/2025
PG.RETENCAO ISSQN NR. DOC: 223 V:20/02/2025 MHC ENGENHARIA LTDA
- 33,58
10/03/2025
PG.RETENCAO ISSQN NR. DOC: 224 V:20/02/2025 MHC ENGENHARIA LTDA
- 266,62
12/03/2025
PG.LAUDO PPRA/PCMSO NF.: 202500000008596 GESTÃO EM MEDICINA E SEGURANÇA DO TRABALHO ATIVA MEDICINA E SEGURANÇA DO TRABALHO LTDA
- 102,90
19/03/2025
PG.LAUDO TECNICO NF.: 430 LAUDO DE INSPEÇÃO DO SPDA- SISTEMA DE PROTEÇÃO CONTRA DESCARGAS ATMOSFÉRICAS Parc.(1/2) BRENNER CARVALHO E SOUZA LTDA
- 736,70
</t>
      </text>
    </comment>
    <comment ref="G30" authorId="1" shapeId="0">
      <text>
        <t>LANÇAMENTOS DA GUARIDA:
07/04/2025 - PG.LAUDO TECNICO NF.: 202500000001337 LAUDO DE QUALIDADE DO AR (OBRIGAÇÃO LEGAL DO EDIFÍCIO). TOXILAB LABORATORIO DE ANALISES LTDA | R$ 271,05
10/04/2025 - PG.RETENCAO ISSQN NR. DOC: 202500000008596 V:12/03/2025 ATIVA MEDICINA E SEGURANÇA DO TRABALHO LTDA | R$ 2,10
14/04/2025 - PG.LAUDO PPRA/PCMSO NF.: 202500000012202 GESTÃO EM MEDICINA E SEGURANÇA TRABALHO - REF: MARÇO 2025 ATIVA MEDICINA E SEGURANÇA DO TRABALHO LTDA | R$ 102,90
17/04/2025 - PG.LAUDO TECNICO NF.: 430 LAUDO DE INSPEÇÃO DO SPDA- SISTEMA DE PROTEÇÃO CONTRA DESCARGAS ATMOSFÉRICAS Parc.(2/2) BRENNER CARVALHO E SOUZA LTDA | R$ 695,00
07/04/2025 - PG.LAUDO TECNICO NF.: 202500000001337 LAUDO DE QUALIDADE DO AR (OBRIGAÇÃO LEGAL DO EDIFÍCIO). TOXILAB LABORATORIO DE ANALISES LTDA | R$ 271,05
10/04/2025 - PG.RETENCAO ISSQN NR. DOC: 202500000008596 V:12/03/2025 ATIVA MEDICINA E SEGURANÇA DO TRABALHO LTDA | R$ 2,10
14/04/2025 - PG.LAUDO PPRA/PCMSO NF.: 202500000012202 GESTÃO EM MEDICINA E SEGURANÇA TRABALHO - REF: MARÇO 2025 ATIVA MEDICINA E SEGURANÇA DO TRABALHO LTDA | R$ 102,90
17/04/2025 - PG.LAUDO TECNICO NF.: 430 LAUDO DE INSPEÇÃO DO SPDA- SISTEMA DE PROTEÇÃO CONTRA DESCARGAS ATMOSFÉRICAS Parc.(2/2) BRENNER CARVALHO E SOUZA LTDA | R$ 695,00</t>
      </text>
    </comment>
    <comment ref="F31" authorId="0" shapeId="0">
      <text>
        <t>User:
24/03/2025
PG.DESINSETIZACAO/DESRATIZACAO NF.: 2025698 VALOR REFERENTE AO SERVIÇO DE CONTROLE DE PRAGAS URBANAS. ECO-AMBIENTAL CONSULTORIA LTDA
- 826,63</t>
      </text>
    </comment>
    <comment ref="G31" authorId="1" shapeId="0">
      <text>
        <t>LANÇAMENTOS DA GUARIDA:
25/04/2025 - PG.LIMPEZA CAIXA DAGUA NF.: 20251098 LIMPEZA DO RESERVATÓRIO SUPERIOR  QUE ESTAVA COM FLANGE ESTRAGADO Parc.(1/2) ECO-AMBIENTAL  CONSULTORIA LTDA | R$ 831,83
25/04/2025 - PG.LIMPEZA CAIXA DAGUA NF.: 20251098 LIMPEZA DO RESERVATÓRIO SUPERIOR  QUE ESTAVA COM FLANGE ESTRAGADO Parc.(1/2) ECO-AMBIENTAL  CONSULTORIA LTDA | R$ 831,83</t>
      </text>
    </comment>
    <comment ref="G35" authorId="1" shapeId="0">
      <text>
        <t>LANÇAMENTOS DA GUARIDA:
08/04/2025 - PG.SERV.CHAVEIRO NF.: 363 TROCA DE FECHADURA SALA MANUTENÇÃO E 03 CÓPIAS DAS CHAVES (41, 42, 65.1) JONATAN KUNDE NOGUEIRA | R$ 480,00
08/04/2025 - PG.SERV.CHAVEIRO NF.: 363 TROCA DE FECHADURA SALA MANUTENÇÃO E 03 CÓPIAS DAS CHAVES (41, 42, 65.1) JONATAN KUNDE NOGUEIRA | R$ 480,00</t>
      </text>
    </comment>
    <comment ref="F37" authorId="0" shapeId="0">
      <text>
        <t xml:space="preserve">User:
05/03/2025
PG.COMPRA MAT.PINTURA NF.: 49590 AQUIS. MAT. PINTURA SALA DO LIXO Parc.(2/2) PROCAL FERRAGENS E TINTAS LTDA
- 545,00
27/03/2025
PG.COMPRA MATERIAL NF.: 50496 MATERIAL P/ REPAROS HIDRÁULICOS E ISOLAMENTO DO ESTAC. PARA PINTURA DAS VAGAS PROCAL FERRAGENS E TINTAS LTDA
- 136,80
</t>
      </text>
    </comment>
    <comment ref="G37" authorId="1" shapeId="0">
      <text>
        <t>LANÇAMENTOS DA GUARIDA:
03/04/2025 - PG.BENFEITORIAS/AQUISIÇÕES NR. DOC: 66544102 AQUISIÇÃO MONOBLOCO P/ OBSTRUÇÃO DA SAÍDA AO LADO DA CANCELA DE SAÍDA DO ESTACIO MERCADO PAGO INSTITUICAO DE PAGAMENTO LT | R$ 439,90
08/04/2025 - PG.BENFEITORIAS/AQUISIÇÕES NR. DOC: 66857716 AQUISIÇÃO DE 4 TINTAS PARA IMPRESSORA DA ADMINSTRAÇÃO MERCADO PAGO INSTITUICAO DE PAGAMENTO LT | R$ 190,50
03/04/2025 - PG.BENFEITORIAS/AQUISIÇÕES NR. DOC: 66544102 AQUISIÇÃO MONOBLOCO P/ OBSTRUÇÃO DA SAÍDA AO LADO DA CANCELA DE SAÍDA DO ESTACIO MERCADO PAGO INSTITUICAO DE PAGAMENTO LT | R$ 439,90
08/04/2025 - PG.BENFEITORIAS/AQUISIÇÕES NR. DOC: 66857716 AQUISIÇÃO DE 4 TINTAS PARA IMPRESSORA DA ADMINSTRAÇÃO MERCADO PAGO INSTITUICAO DE PAGAMENTO LT | R$ 190,50</t>
      </text>
    </comment>
    <comment ref="F38" authorId="0" shapeId="0">
      <text>
        <t xml:space="preserve">User:
07/03/2025
PG.COMPRA MAT. ELETRICO NF.: 59268884 AQUISIÇÃO LÂMPADAS E FUSÍVEL P/ ELEVADORES E CONSERTO RESERV. INFERIOR DEBORA GRUBEL RANULPHO
- 540,20
10/03/2025
PG.COMPRA MAT. ELETRICO NF.: 50205 AQUIS MATERIAL DE ILUMINAÇÃO PARA AUDITÓRIO E ESTOQUE PROCAL FERRAGENS E TINTAS LTDA
- 285,00
12/03/2025
PG.COMPRA MATERIAL NF.: 50256 AQUIS MAT TROCA PNEU CARRINHO DE PLATAFORMA DE MANUTENÇÃO PROCAL FERRAGENS E TINTAS LTDA
- 63,40
12/03/2025
PG.COMPRA MAT.HIDRAULICO NF.: 50267 AQUIS MAT CONSERTO DO RESERVATÓRIO INFERIOR PROCAL FERRAGENS E TINTAS LTDA
- 269,05
13/03/2025
PG.COMPRA MAT.HIDRAULICO NF.: 50273 AQUIS MATERIAL PARA RESERVATÓRIO ESTOQUE PROCAL FERRAGENS E TINTAS LTDA
- 93,90
21/03/2025
PG.COMPRA MATERIAL NF.: 397361 MATERIALP MANUT. TOTENS IDENTIFICAÇÃO DO EDIFÍCIO E ADEQUAÇÃO CANTONEIRAS DOCA NESTOR BORTOLINI E CIA LTDA
- 288,30
26/03/2025
PG.COMPRA MATERIAL NF.: 49898 AQUIS. MATERIAL RESTAURAÇÃO DE QUATRO TOTENS Parc.(2/2) PROCAL FERRAGENS E TINTAS LTDA
- 485,95
27/03/2025
PG.COMPRA MATERIAL NF.: 50500 AQUISIÇÃO DE ABAFADOR DE RUÍDO AURICULAR PARA SERV. NO GERADOR DE ENERGIA PROCAL FERRAGENS E TINTAS LTDA
- 32,00
</t>
      </text>
    </comment>
    <comment ref="G38" authorId="1" shapeId="0">
      <text>
        <t>LANÇAMENTOS DA GUARIDA:
04/04/2025 - PG.COMPRA MATERIAL NF.: 50653 MATERIAL PARA REVESTIMENTO DO RESERVATÓRIO SUPERIOR. 8 (TERRAÇO). PROCAL FERRAGENS E TINTAS LTDA | R$ 346,40
07/04/2025 - PG.COMPRA MATERIAL NF.: 50700 MATERIAL PARA REFORMA DOS TOTENS DE IDENTIFICAÇÃO DO EDIFÍCIO. PROCAL FERRAGENS E TINTAS LTDA | R$ 335,30
16/04/2025 - PG.COMPRA MATERIAL NF.: 50836 AQUISIÇÃO DE MATERIAL PARA MANUTENÇÃO EM GERAL PROCAL FERRAGENS E TINTAS LTDA | R$ 108,26
22/04/2025 - PG.COMPRA TINTAS NF.: 63954 AQUISIÇÃO DE TINTAS E MATERIAL PARA PINTURA DAS VAGAS DE MOTO NO ESTACIONAMENTO. COML DE TINTAS CUNHA LTDA -AMAURI TINTAS | R$ 1.568,00
23/04/2025 - PG.COMPRA MAT. ELETRICO NF.: 59972699 COMPRA DE 2 BATERIAS P TROCA BATERIAS DO GERADOR ENERGIA DO EDIFÍCIO. DANIEL PEREIRA CRUZ | R$ 1.780,00
23/04/2025 - PG.COMPRA MATERIAL NF.: 50953 AQUISIÇÃO DE MATERIAIS PARA MANUTENÇÃO EM GERAL PROCAL FERRAGENS E TINTAS LTDA | R$ 643,90
29/04/2025 - PG.COMPRA MAT.CONSTR. NF.: 51070 MATERIAL P/ CONST. MURETA ENTRADA POÇO ELEVADORES CASA DE MÁQUINAS PROCAL FERRAGENS E TINTAS LTDA | R$ 99,45
24/04/2025 - PG.COMPRA MAT.PINTURA NF.: 55315 AQUIS. TINTAS PINTURA DEMARCAÇÃO ESTACIONAMENTO PARCELADO 4 VEZES Parc.(3/4) COMERCIAL DE TINTAS CUNHA LTDA | R$ 1.144,00
04/04/2025 - PG.COMPRA MATERIAL NF.: 50653 MATERIAL PARA REVESTIMENTO DO RESERVATÓRIO SUPERIOR. 8 (TERRAÇO). PROCAL FERRAGENS E TINTAS LTDA | R$ 346,40
07/04/2025 - PG.COMPRA MATERIAL NF.: 50700 MATERIAL PARA REFORMA DOS TOTENS DE IDENTIFICAÇÃO DO EDIFÍCIO. PROCAL FERRAGENS E TINTAS LTDA | R$ 335,30
16/04/2025 - PG.COMPRA MATERIAL NF.: 50836 AQUISIÇÃO DE MATERIAL PARA MANUTENÇÃO EM GERAL PROCAL FERRAGENS E TINTAS LTDA | R$ 108,26
22/04/2025 - PG.COMPRA TINTAS NF.: 63954 AQUISIÇÃO DE TINTAS E MATERIAL PARA PINTURA DAS VAGAS DE MOTO NO ESTACIONAMENTO. COML DE TINTAS CUNHA LTDA -AMAURI TINTAS | R$ 1.568,00
23/04/2025 - PG.COMPRA MAT. ELETRICO NF.: 59972699 COMPRA DE 2 BATERIAS P TROCA BATERIAS DO GERADOR ENERGIA DO EDIFÍCIO. DANIEL PEREIRA CRUZ | R$ 1.780,00
23/04/2025 - PG.COMPRA MATERIAL NF.: 50953 AQUISIÇÃO DE MATERIAIS PARA MANUTENÇÃO EM GERAL PROCAL FERRAGENS E TINTAS LTDA | R$ 643,90
29/04/2025 - PG.COMPRA MAT.CONSTR. NF.: 51070 MATERIAL P/ CONST. MURETA ENTRADA POÇO ELEVADORES CASA DE MÁQUINAS PROCAL FERRAGENS E TINTAS LTDA | R$ 99,45
24/04/2025 - PG.COMPRA MAT.PINTURA NF.: 55315 AQUIS. TINTAS PINTURA DEMARCAÇÃO ESTACIONAMENTO PARCELADO 4 VEZES Parc.(3/4) COMERCIAL DE TINTAS CUNHA LTDA | R$ 1.144,00</t>
      </text>
    </comment>
    <comment ref="F39" authorId="0" shapeId="0">
      <text>
        <t xml:space="preserve">User:
11/03/2025
PG.RESSARCIMENTO NR. DOC: 5860 AQUISIÇÃO DE ÁGUA MINERAL PARA AGO/ AGE NO DIA 12.03.2025 KAROLINE AGUIRRES DA CRUZ
- 99,00
31/03/2025
PG.COMPRA MAT.ESCRITORIO NF.: 1343479 MATERIAIS PARA DE ESCRITÓRIO P/ ADM - REF: MARÇO 2025 FORTPEL COMERCIO DE DESCARTAVEIS LTDA
- 290,14
</t>
      </text>
    </comment>
    <comment ref="G39" authorId="1" shapeId="0">
      <text>
        <t>LANÇAMENTOS DA GUARIDA:
30/04/2025 - REEMB.MAT EXPEDIENTE 04/2025 | R$ 269,05
30/04/2025 - REEMB.MAT EXPEDIENTE 04/2025 | R$ 269,05</t>
      </text>
    </comment>
    <comment ref="F40" authorId="0" shapeId="0">
      <text>
        <t xml:space="preserve">User:
20/03/2025
PG.COMPRA MAT.LIMPEZA NF.: 7516 AQUISIÇÃO DE PRODUTO QUÍMICO DE LIMPEZA PARA O EDIFÍCIO PARA O MÊS DE MARÇO 2025 SMART CLEANING SOLUCOES EM HIGIENIZACAO
- 763,81
31/03/2025
PG.COMPRA MAT.LIMPEZA NF.: 1343580 MATERIAL DE LIMPEZA PARA O EDIFÍCIO - REF: MARÇO 2025 FORTPEL COMERCIO DE DESCARTAVEIS LTDA
- 662,23
</t>
      </text>
    </comment>
    <comment ref="G40" authorId="1" shapeId="0">
      <text>
        <t>LANÇAMENTOS DA GUARIDA:
29/04/2025 - PG.COMPRA MAT.ESCRITORIO NF.: 1356052 AQUISIÇÃO MATERIAL ESCRITÓRIO - REF: ABRIL 2025 FORTPEL COMERCIO DE DESCARTAVEIS LTDA | R$ 204,15
29/04/2025 - PG.COMPRA MAT.LIMPEZA NF.: 1356051 AQUISIÇÃO MATERIAL LIMPEZA - REF: ABRIL 2025 FORTPEL COMERCIO DE DESCARTAVEIS LTDA | R$ 866,97
29/04/2025 - PG.COMPRA MAT.ESCRITORIO NF.: 1356052 AQUISIÇÃO MATERIAL ESCRITÓRIO - REF: ABRIL 2025 FORTPEL COMERCIO DE DESCARTAVEIS LTDA | R$ 204,15
29/04/2025 - PG.COMPRA MAT.LIMPEZA NF.: 1356051 AQUISIÇÃO MATERIAL LIMPEZA - REF: ABRIL 2025 FORTPEL COMERCIO DE DESCARTAVEIS LTDA | R$ 866,97</t>
      </text>
    </comment>
    <comment ref="F41" authorId="0" shapeId="0">
      <text>
        <t xml:space="preserve">User:
25/03/2025
PG. ELEVADOR PECAS NF.: 202400000021354 Parc.(5/5) ELEVADORES ATLAS SCHINDLER S/A
- 542,10
25/03/2025
PG. ELEVADOR PECAS NF.: 20254312 AQUISIÇÃO DE BOTOEIRA DO ANDAR 1 DO ELEVADOR SOCIAL 03. ELEVADORES ATLAS SCHINDLER S/A
- 79,18
</t>
      </text>
    </comment>
    <comment ref="G42" authorId="1" shapeId="0">
      <text>
        <t>LANÇAMENTOS DA GUARIDA:
30/04/2025 - PG.COMPRA MAT.CONSTR. NF.: 1120591 COPA FUNCIONARIOS CASSOL MATERIAIS DE CONSTRUCAO LTDA | R$ 4.444,42
30/04/2025 - PG.COMPRA MAT.CONSTR. NF.: 1120591 COPA FUNCIONARIOS CASSOL MATERIAIS DE CONSTRUCAO LTDA | R$ 4.444,42</t>
      </text>
    </comment>
    <comment ref="F43" authorId="0" shapeId="0">
      <text>
        <t xml:space="preserve">User:
19/03/2025
PG.MANUT.AR CONDICIONADO NF.: 251 TROCA DEMOT-VENTILADOR AR CONDICIONADO CASSETE VRF SALA REUNIÃO 01 DANIEL LIMA RODRIGUES
- 1.421,00
19/03/2025
PG.MANUT.AR CONDICIONADO NF.: 252 MANUT. LAVAGEM BOLSA COLETORA DE 02 AR COND. DO AUDITÓRIO E 01 DO MONITORAMENTO DANIEL LIMA RODRIGUES
- 1.558,20
</t>
      </text>
    </comment>
    <comment ref="F45" authorId="0" shapeId="0">
      <text>
        <t xml:space="preserve">User:
14/03/2025
PG.DESP.COMBUSTIVEL NF.: 31447 AQUISIÇÃO 125L DIESEL PARA REPOSIÇÃO E ESTOQUE DO GERADOR DE ENERGIA DO EDIFÍCIO CENTENÁRIO DIESEL - LTDA
- 1.500,00
</t>
      </text>
    </comment>
    <comment ref="F49" authorId="0" shapeId="0">
      <text>
        <t xml:space="preserve">User:
17/03/2025
PG.DESP.CELULAR NR. DOC: 0442458992 VIVO - TELEFONICA BRASIL S.A.
- 101,12
31/03/2025
PG.INTERNET/TELEFONE/TV NF.: 38028622 FATURA MENSAL LINHA TELEFONICA ADMINISTRAÇÃO - REF: FEVEREIRO 2025 UNIFIQUE TELECOMUNICACOES S/A
- 39,90
</t>
      </text>
    </comment>
    <comment ref="G49" authorId="1" shapeId="0">
      <text>
        <t>LANÇAMENTOS DA GUARIDA:
17/04/2025 - PG.DESP.CELULAR NR. DOC: 0442458992  VIVO - TELEFONICA BRASIL S.A. | R$ 101,12
17/04/2025 - PG.DESP.CELULAR NR. DOC: 0442458992  VIVO - TELEFONICA BRASIL S.A. | R$ 101,12</t>
      </text>
    </comment>
    <comment ref="F51" authorId="0" shapeId="0">
      <text>
        <t xml:space="preserve">User:
10/03/2025
PG.RETENCAO ISSQN NR. DOC: 3 PREFEITURA DE PORTO ALEGRE
- 87,50
-
6/03/2025
VLR.REF.DECLARACAO DIRF DIRF 2025
- 589,26
</t>
      </text>
    </comment>
    <comment ref="G51" authorId="1" shapeId="0">
      <text>
        <t>LANÇAMENTOS DA GUARIDA:
04/04/2025 - PG.FGTS RESCISAO NR. DOC: 0125040262940636-1 FGTS Rescisao - MOISES CAIXA ECONOMICA FEDERAL | R$ 5.810,40
10/04/2025 - PG.RETENCAO ISSQN NR. DOC: 100 V:14/03/2025 TIAGO HENRIQUES TABORDA CONTABILIDADE | R$ 26,60
10/04/2025 - PG.RETENCAO ISSQN NR. DOC: 138 V:20/03/2025 BELLINI FIGUEIRO SOCIEDADE INDIVIDUAL DE | R$ 62,50
10/04/2025 - PG.RETENCAO ISSQN NR. DOC: 139 V:21/03/2025 BELLINI FIGUEIRO SOCIEDADE INDIVIDUAL DE | R$ 62,50
10/04/2025 - PG.RETENCAO ISSQN NR. DOC: 140 V:04/04/2025 BELLINI FIGUEIRO SOCIEDADE INDIVIDUAL DE | R$ 75,90
10/04/2025 - PG.RETENCAO ISSQN NR. DOC: 14245 V:27/03/2025 FG PISCINAS LTDA | R$ 6,45
10/04/2025 - PG.RETENCAO ISSQN NR. DOC: 202500000000005 Dt. Emis.: 14/03/2025 JSM SERVIÇOS HIDRAULICO E MANUT | R$ 87,50
10/04/2025 - PG.RETENCAO ISSQN NR. DOC: 202500000001337 V:05/04/2025 TOXILAB LABORATORIO DE ANALISES LTDA | R$ 15,00
10/04/2025 - PG.RETENCAO ISSQN NR. DOC: 202510000000000032 Dt. Emis.: 01/04/2025 CAPPELLETTO GESTAO LTDA | R$ 448,20
10/04/2025 - PG.RETENCAO ISSQN NR. DOC: 202538 V:01/04/2025 ONX SERVICOS E COMERCIO DE EQUIPAMENTOS | R$ 5.568,30
10/04/2025 - PG.RETENCAO ISSQN NR. DOC: 2025428 V:04/04/2025 STEMAC S/A - GRUPO GERADORES | R$ 73,58
10/04/2025 - PG.RETENCAO ISSQN NR. DOC: 230 V:07/03/2025 MHC ENGENHARIA LTDA | R$ 169,74
10/04/2025 - PG.RETENCAO ISSQN NR. DOC: 251 V:19/03/2025 DANIEL LIMA RODRIGUES | R$ 29,00
10/04/2025 - PG.RETENCAO ISSQN NR. DOC: 252 V:19/03/2025 DANIEL LIMA RODRIGUES | R$ 31,80
10/04/2025 - PG.RETENCAO ISSQN NR. DOC: 28 V:07/03/2025 CAPPELLETTO GESTAO LTDA | R$ 311,48
17/04/2025 - PG.FGTS NR. DOC: 0125041565514717-5 FGTS Mensal CAIXA ECONOMICA FEDERAL | R$ 183,63
17/04/2025 - PG. INSS/IRRF - FPM/TERCEIROS NR. DOC: 50000333797913 CP. 03/2025 MINISTERIO DA PREVIDENCIA SOCIAL | R$ 5.682,18
25/04/2025 - PG.SECOVIMED NR. DOC: 229831089 03/2025 - SERVICO SOCIAL DA HABITACAO DO RIO GRANDE DO SUL - SECOVIMED - RS | R$ 175,32
30/04/2025 - DECLARAÇÃO MENSAL EFD-REINF COMP. 03/2025 | R$ 78,75
30/04/2025 - PG.RETENCAO ISSQN NR. DOC: 13971 V:27/01/2025 FG PISCINAS LTDA | R$ 7,13
04/04/2025 - PG.FGTS RESCISAO NR. DOC: 0125040262940636-1 FGTS Rescisao - MOISES CAIXA ECONOMICA FEDERAL | R$ 5.810,40
10/04/2025 - PG.RETENCAO ISSQN NR. DOC: 100 V:14/03/2025 TIAGO HENRIQUES TABORDA CONTABILIDADE | R$ 26,60
10/04/2025 - PG.RETENCAO ISSQN NR. DOC: 138 V:20/03/2025 BELLINI FIGUEIRO SOCIEDADE INDIVIDUAL DE | R$ 62,50
10/04/2025 - PG.RETENCAO ISSQN NR. DOC: 139 V:21/03/2025 BELLINI FIGUEIRO SOCIEDADE INDIVIDUAL DE | R$ 62,50
10/04/2025 - PG.RETENCAO ISSQN NR. DOC: 140 V:04/04/2025 BELLINI FIGUEIRO SOCIEDADE INDIVIDUAL DE | R$ 75,90
10/04/2025 - PG.RETENCAO ISSQN NR. DOC: 14245 V:27/03/2025 FG PISCINAS LTDA | R$ 6,45
10/04/2025 - PG.RETENCAO ISSQN NR. DOC: 202500000000005 Dt. Emis.: 14/03/2025 JSM SERVIÇOS HIDRAULICO E MANUT | R$ 87,50
10/04/2025 - PG.RETENCAO ISSQN NR. DOC: 202500000001337 V:05/04/2025 TOXILAB LABORATORIO DE ANALISES LTDA | R$ 15,00
10/04/2025 - PG.RETENCAO ISSQN NR. DOC: 202510000000000032 Dt. Emis.: 01/04/2025 CAPPELLETTO GESTAO LTDA | R$ 448,20
10/04/2025 - PG.RETENCAO ISSQN NR. DOC: 202538 V:01/04/2025 ONX SERVICOS E COMERCIO DE EQUIPAMENTOS | R$ 5.568,30
10/04/2025 - PG.RETENCAO ISSQN NR. DOC: 2025428 V:04/04/2025 STEMAC S/A - GRUPO GERADORES | R$ 73,58
10/04/2025 - PG.RETENCAO ISSQN NR. DOC: 230 V:07/03/2025 MHC ENGENHARIA LTDA | R$ 169,74
10/04/2025 - PG.RETENCAO ISSQN NR. DOC: 251 V:19/03/2025 DANIEL LIMA RODRIGUES | R$ 29,00
10/04/2025 - PG.RETENCAO ISSQN NR. DOC: 252 V:19/03/2025 DANIEL LIMA RODRIGUES | R$ 31,80
10/04/2025 - PG.RETENCAO ISSQN NR. DOC: 28 V:07/03/2025 CAPPELLETTO GESTAO LTDA | R$ 311,48
17/04/2025 - PG.FGTS NR. DOC: 0125041565514717-5 FGTS Mensal CAIXA ECONOMICA FEDERAL | R$ 183,63
17/04/2025 - PG. INSS/IRRF - FPM/TERCEIROS NR. DOC: 50000333797913 CP. 03/2025 MINISTERIO DA PREVIDENCIA SOCIAL | R$ 5.682,18
25/04/2025 - PG.SECOVIMED NR. DOC: 229831089 03/2025 - SERVICO SOCIAL DA HABITACAO DO RIO GRANDE DO SUL - SECOVIMED - RS | R$ 175,32
30/04/2025 - DECLARAÇÃO MENSAL EFD-REINF COMP. 03/2025 | R$ 78,75
30/04/2025 - PG.RETENCAO ISSQN NR. DOC: 13971 V:27/01/2025 FG PISCINAS LTDA | R$ 7,13</t>
      </text>
    </comment>
    <comment ref="F52" authorId="0" shapeId="0">
      <text>
        <t xml:space="preserve">User:
21/03/2025
PG.SERV.PRESTADOS NF.: 202529 SERVIÇO DE FILMAGEM ASSEMBLEIA GERAL AGO/ AGE 12.03.2025. ZOOM VIDEO PRODUCOES E EVENTOS LTDA
- 750,00
</t>
      </text>
    </comment>
    <comment ref="G52" authorId="1" shapeId="0">
      <text>
        <t>LANÇAMENTOS DA GUARIDA:
23/04/2025 - PG.DESP. REFEICAO/ALIMENTACAO NF.: 215807 VALOR REF. A 9 ALMOÇOS PARA REUNIÃO DE CONSELHO NO DIA 22/04/25. LEANDRO MIGNOT BERNARDI LTDA | R$ 288,00
23/04/2025 - PG.DESP. REFEICAO/ALIMENTACAO NF.: 215807 VALOR REF. A 9 ALMOÇOS PARA REUNIÃO DE CONSELHO NO DIA 22/04/25. LEANDRO MIGNOT BERNARDI LTDA | R$ 288,00</t>
      </text>
    </comment>
    <comment ref="F54" authorId="0" shapeId="0">
      <text>
        <t>User:
26/03/2025
PG.DESP.CARTAO CREDITO 7792) BANCO ITAUCARD - SA
- 937,29</t>
      </text>
    </comment>
    <comment ref="F59" authorId="0" shapeId="0">
      <text>
        <t xml:space="preserve">User:
21/03/2025
CONSUMO DAGUA NR. DOC: 3579042 02/2025 2025023579042 DMAE
- 12.193,65
</t>
      </text>
    </comment>
    <comment ref="G59" authorId="1" shapeId="0">
      <text>
        <t>LANÇAMENTOS DA GUARIDA:
22/04/2025 - CONSUMO DAGUA NR. DOC: 3579042 03/2025 2025033579042 DMAE | R$ 10.929,49
22/04/2025 - CONSUMO DAGUA NR. DOC: 3579042 03/2025 2025033579042 DMAE | R$ 10.929,49</t>
      </text>
    </comment>
    <comment ref="F60" authorId="0" shapeId="0">
      <text>
        <t>User:
31/03/2025
PG.CONSUMO LUZ NR. DOC: 68761929 03/2025 CEEE DISTRIBUICAO
- 22.998,81</t>
      </text>
    </comment>
    <comment ref="G60" authorId="1" shapeId="0">
      <text>
        <t>LANÇAMENTOS DA GUARIDA:
29/04/2025 - PG.CONSUMO LUZ NR. DOC: 68761929 04/2025 CEEE DISTRIBUICAO | R$ 25.284,84
29/04/2025 - PG.CONSUMO LUZ NR. DOC: 68761929 04/2025 CEEE DISTRIBUICAO | R$ 25.284,84</t>
      </text>
    </comment>
    <comment ref="G61" authorId="1" shapeId="0">
      <text>
        <t>LANÇAMENTOS DA GUARIDA:
15/04/2025 - PG.SEGURO DE VIDA FUNC. NR. DOC: 229253550 03/2025 - MOISES IRINEU CABRAL PINTO TOKIO MARINE SEGURADORA S.A. | R$ 48,38
15/04/2025 - PG.SEGURO DE VIDA FUNC. NR. DOC: 229253550 03/2025 - MOISES IRINEU CABRAL PINTO TOKIO MARINE SEGURADORA S.A. | R$ 48,38</t>
      </text>
    </comment>
    <comment ref="F65" authorId="0" shapeId="0">
      <text>
        <t xml:space="preserve">User:
28/03/2025
PG.MANUT.PORTEIRO ELETRONICO NF.: 4367 CONSERTO INTERF. SALA 505 - PROBLEMA INTERNO E SERÁ RESSARCIDO NO DOC CONDOMÍNIO MACTEL SISTEMAS DE SEGURANÇA - LTDA
- 280,00
</t>
      </text>
    </comment>
    <comment ref="G65" authorId="1" shapeId="0">
      <text>
        <t>LANÇAMENTOS DA GUARIDA:
08/04/2025 - PG.RESSARCIMENTO NF.: 80 REEMBOLSO REF. COMPRA DE TINTAS PARA REFORMA DO REFEITÓRIO DO SUBSOLO CAPPELLETTO GESTAO LTDA | R$ 798,40
08/04/2025 - PG.RESSARCIMENTO NR. DOC: 76802 COMPRA DE 1KG DE COLA PARA PAPEL DE PAREDE - PGTO. REALIZADO EM DINHEIRO PAULO RICARDO WAGNER | R$ 65,90
25/04/2025 - PG.RESSARCIMENTO NF.: 342025 RESSARC. DESPESAS PAISAG. CONF. CONVENÇÃO COND. BARRA SHOPPING SUL - REF: 02/25 MULTIPLAN ARRECADADORA LTDA | R$ 2.486,48
08/04/2025 - PG.RESSARCIMENTO NF.: 80 REEMBOLSO REF. COMPRA DE TINTAS PARA REFORMA DO REFEITÓRIO DO SUBSOLO CAPPELLETTO GESTAO LTDA | R$ 798,40
08/04/2025 - PG.RESSARCIMENTO NR. DOC: 76802 COMPRA DE 1KG DE COLA PARA PAPEL DE PAREDE - PGTO. REALIZADO EM DINHEIRO PAULO RICARDO WAGNER | R$ 65,90
25/04/2025 - PG.RESSARCIMENTO NF.: 342025 RESSARC. DESPESAS PAISAG. CONF. CONVENÇÃO COND. BARRA SHOPPING SUL - REF: 02/25 MULTIPLAN ARRECADADORA LTDA | R$ 2.486,48</t>
      </text>
    </comment>
    <comment ref="F66" authorId="0" shapeId="0">
      <text>
        <t xml:space="preserve">User:
05/03/2025
PG.HONORARIOS ADVOCATICIOS NF.: 135 HONORÁRIOS ADVOCATÍCIOS PARC 5/5 PROCESSO GOCIL X JANE C DA SILVA X DTW BELLINI FIGUEIRO SOCIEDADE INDIVIDUAL DE
- 974,50
10/03/2025
PG.RETENCAO ISSQN NR. DOC: 132 V:20/02/2025 BELLINI FIGUEIRO SOCIEDADE INDIVIDUAL DE
- 63,75
10/03/2025
PG.RETENCAO ISSQN NR. DOC: 133 V:20/02/2025 BELLINI FIGUEIRO SOCIEDADE INDIVIDUAL DE
- 63,75
10/03/2025
PG.RETENCAO ISSQN NR. DOC: 135 V:05/03/2025 BELLINI FIGUEIRO SOCIEDADE INDIVIDUAL DE
- 25,50
20/03/2025
PG.HONORARIOS ADVOCATICIOS NF.: 138 2/2 HONORÁRIOS ADV PROC: 0020940-80.2024.5.04.0010 - EVELINA MAIA - GOCIL BELLINI FIGUEIRO SOCIEDADE INDIVIDUAL DE
- 2.437,50
21/03/2025
PG.HONORARIOS ADVOCATICIOS NF.: 139 2/2 HONORÁRIOS ADV PROC:0021155-08.2024.5.04.0026 - SCHEILA MESQUITA - GOCIL BELLINI FIGUEIRO SOCIEDADE INDIVIDUAL DE
- 2.437,50
</t>
      </text>
    </comment>
    <comment ref="G68" authorId="1" shapeId="0">
      <text>
        <t>LANÇAMENTOS DA GUARIDA:
30/04/2025 - ENVIO /TRANSF. ELETRÔNICA REFERENTE A 12 CREDITO(S) EM CONTA REALIZADO(S) | R$ 64,44
30/04/2025 - ENVIO /TRANSF. ELETRÔNICA REFERENTE A 12 CREDITO(S) EM CONTA REALIZADO(S) | R$ 64,44</t>
      </text>
    </comment>
  </commentList>
</comments>
</file>

<file path=xl/comments/comment2.xml><?xml version="1.0" encoding="utf-8"?>
<comments xmlns="http://schemas.openxmlformats.org/spreadsheetml/2006/main">
  <authors>
    <author>tc={13E0C321-09FC-445B-AB1A-FBE12C16E463}</author>
    <author>tc={3D89BA87-D7D8-4597-9782-150ECEDAB5FD}</author>
    <author>tc={573FE686-5CE0-450D-84A9-9358B61E206E}</author>
    <author>tc={DAE56D78-7103-4989-A27D-CD33892F9C99}</author>
    <author>tc={8CBA7B67-B99E-4919-8658-101836914885}</author>
    <author>tc={A3A99F1E-B6B7-4AE4-9500-1CB0E89D761B}</author>
    <author>tc={8F35C3E1-A3F8-4E0E-9E2F-F6BBF9A46FBE}</author>
    <author>tc={067F9130-6AEB-423B-A98A-33CA3E934234}</author>
    <author>tc={2C760195-190F-4271-B416-B41B155E7643}</author>
    <author>tc={6E0C948D-DDEC-4D66-A8A8-DDFE6A48C85B}</author>
    <author>tc={F3F7D244-2204-47AC-99C0-0639667FAAE1}</author>
    <author>tc={26A96B14-15C9-48E9-BC6B-8F3A4AFE9B13}</author>
    <author>tc={C4D6205A-DFB5-44BD-8F32-CB4FD605DC87}</author>
    <author>tc={290CECEA-F2A0-410A-9575-CD88A7509705}</author>
    <author>tc={CA2D1093-B75C-4854-82F8-59EE3CB73B56}</author>
    <author>tc={AC99FF8D-B107-499E-94DE-B62A7FE3C9FF}</author>
    <author>tc={C83698FB-9FD4-452D-BF36-E732A3015DAC}</author>
    <author>tc={F0613277-260D-46D1-B3A0-88E856C77FFD}</author>
    <author>tc={BC31DE95-C940-47A4-8F06-C8BF27FCAABF}</author>
    <author>tc={141AAAFD-56F7-45F7-9654-864E998C00C8}</author>
    <author>tc={59827CD1-C7A9-4015-9AF4-F61998E554DF}</author>
    <author>tc={9D1B00EA-45DB-464E-B319-BE364A220303}</author>
    <author>tc={FA5FE237-3A79-469E-BB96-C5EA3C6B4F8A}</author>
    <author>tc={D35BA4A9-D97E-47BC-ADAC-26B1BEEF8239}</author>
    <author>tc={37A05A41-189F-4A9B-9AFA-BCF3065F10BB}</author>
    <author>tc={490B9246-923E-4712-8170-125FA91832DA}</author>
    <author>tc={7131F0D6-19BD-4AD1-AA52-64F7164281EC}</author>
    <author>tc={8CC95E01-CA09-4131-84B2-72EB206945E5}</author>
    <author>tc={F3E783B0-B4B2-4241-8F0C-E30F57532276}</author>
    <author>tc={1D8BD0FF-CE1A-4A10-844D-B447B9B1F501}</author>
    <author>tc={462F187F-497B-49AE-B93E-8885642A52BD}</author>
    <author>tc={57C15D5C-6876-44D2-A376-98810358C491}</author>
    <author>tc={C1E2EA67-4180-4970-A9E6-84B851A53E19}</author>
    <author>tc={42271050-69BE-4090-9C91-AE45CCD5F65A}</author>
    <author>tc={C520907A-772B-4079-AFED-324384B3D6A5}</author>
    <author>tc={0A060806-781E-48C2-A9C7-DD49C6F91FB0}</author>
    <author>tc={000283CA-44C7-4753-8AB1-7B3266B2156D}</author>
    <author>tc={D92E1764-7963-4070-A910-BD7FC69E0694}</author>
    <author>tc={7BEF1A17-3A35-4919-8F5F-DD9E0C168AE9}</author>
    <author>tc={76C2278F-0AA6-41AB-8397-FFC2F6E9EAEA}</author>
    <author>tc={F0D7FA86-919C-443E-A2D2-4E33DA5728D1}</author>
    <author>tc={018D18C7-3F09-4BC2-B01D-272356C3B219}</author>
    <author>tc={553023ED-ECEC-48DE-B66D-0DE73E31CFA4}</author>
    <author>tc={254E6292-96EE-4495-AE00-8F7F9FB4ABE8}</author>
    <author>tc={62A2EDA5-D895-4BE4-9188-65BE6E3093D4}</author>
    <author>tc={E6F85BCD-2DDE-41DB-905D-11E7B4A37CD3}</author>
    <author>tc={C20B2C91-5062-48FC-9FE3-AC680923BCD7}</author>
    <author>tc={387B2F7C-044C-4B5D-B1FA-51878E00044A}</author>
    <author>tc={5D608093-8D36-43DC-9E40-A1B39A287107}</author>
    <author>tc={179DFB3E-A364-4D71-8878-80F7DB9D7DFA}</author>
    <author>tc={178643B1-B1F1-46C4-AFD1-104E49B9BE5F}</author>
    <author>tc={B8935E04-4782-4A74-965B-B2330068D8C2}</author>
    <author>tc={CF258F20-5D79-48FD-8323-D0C1EE25778E}</author>
    <author>tc={560618C8-C216-4214-9DE9-4103F1FAE77A}</author>
    <author>tc={5977ABFD-1262-4800-92B7-FE712FE55EE1}</author>
    <author>tc={B1BBB655-E266-4770-896E-C1E7CA90B8B9}</author>
    <author>tc={7FD5464F-D5A6-4632-971C-2D4D91948DC8}</author>
    <author>tc={BC525871-C49C-4C03-B7C9-9F7AC54DDF47}</author>
    <author>tc={290CB81C-BF11-465A-B4AC-64D75D978B99}</author>
    <author>tc={B50082B1-91F0-4D21-BEB5-0C9CB4A54205}</author>
    <author>tc={14469FCA-3079-4339-B7DA-0E24E09F1F3C}</author>
    <author>tc={9B6C0C8E-58D8-4EE6-AAB4-8FCD567BFAAA}</author>
    <author>tc={C83F11B8-2AC8-4214-BBDF-3E1E1B689636}</author>
    <author>tc={89BE4EB5-19DD-41EF-A9A9-CA752177171E}</author>
    <author>tc={F994EAFF-F02E-4250-BFC3-8B68678E385D}</author>
    <author>tc={E11DD338-390A-4D96-80CC-015181335D8F}</author>
    <author>tc={14E49E7E-36FE-49F3-B95E-361A8CE742DB}</author>
    <author>tc={EC48CD06-172A-4EA1-8625-DDA81802E052}</author>
    <author>tc={D1448AB1-5B80-49C0-8A75-B9B8B40B61E9}</author>
    <author>tc={9F509501-A805-4E0E-8F22-AB9A2ECEB45A}</author>
    <author>tc={AB935269-0032-4A5A-A467-3BDA7C76705D}</author>
    <author>tc={F2E142DD-CA14-4DE4-8358-527D6B3175CF}</author>
    <author>tc={4C53052F-4476-456F-AC42-C00430C9B673}</author>
    <author>tc={D1C02AE9-19A0-471B-A658-C7BECEC329C0}</author>
    <author>tc={791688CC-9E57-439D-A0D9-A02EDD75388D}</author>
    <author>tc={3D6292A1-F782-4342-A30A-05ED54949BF0}</author>
    <author>tc={E556629F-53E2-4EC9-9595-3C2A3E45597C}</author>
    <author>tc={34534EFA-7DBA-4CD9-858D-271C369681F8}</author>
    <author>tc={43DD8E6C-EF87-4F52-80F4-88BA1F879F1D}</author>
    <author>tc={BA48FACD-21F6-4A89-8AE1-A4703DAF7308}</author>
    <author>tc={7FF289E6-3C47-4AAA-9779-F4139B6B6512}</author>
    <author>tc={44BA82C7-A85B-474F-94DC-4BC5B0B30CE9}</author>
    <author>tc={92A4DC25-D9F6-4E54-B190-A1B25E32D567}</author>
    <author>tc={C0533B82-4775-4B18-AFA5-7B5A878FC984}</author>
    <author>tc={FE6DF832-9CDA-416A-9DAB-96C14CAF0D42}</author>
    <author>tc={4E8E809C-56D1-41BC-BA1C-CC00BC7473E4}</author>
    <author>tc={80A002C2-0E17-435B-9848-58D30544C449}</author>
    <author>tc={5EF73E52-B191-454A-B404-CA1A66109C2A}</author>
    <author>tc={9D7C9726-7759-4E1F-A57F-C05E7E7E6B5D}</author>
    <author>tc={411AEA54-26B4-4699-B1E9-7C5A9792ACAC}</author>
    <author>tc={B38E71A2-3FF2-4687-B54C-097940782CF6}</author>
    <author>tc={725FE176-5AA7-45E0-A330-847BC609143A}</author>
    <author>tc={A03B397D-C413-4C92-A972-EEEF2ED8C114}</author>
    <author>tc={E494ACC2-BA4A-4166-AE57-67033C63E64F}</author>
    <author>tc={0FA5138C-97E4-49D9-808B-DF1A8226A105}</author>
    <author>tc={BA393EB2-B8DC-464E-A1FA-3EE67A9D72FC}</author>
    <author>tc={EF88C433-8F2F-4007-B966-2BC8495AF05D}</author>
    <author>tc={0C62DA87-A66F-4227-8E8B-5E7D51DB4C4D}</author>
    <author>tc={978821C4-FBE4-4BAB-9796-33AA45EAB0DD}</author>
    <author>tc={2576E10D-1D55-4E5D-95E1-4E64337D13E3}</author>
    <author>tc={E9183D30-AEFB-43F9-AE4A-49B23CA56700}</author>
    <author>tc={B7ED165B-D87B-4F8E-A77F-2FC6B81A0656}</author>
    <author>tc={F547EE00-2B26-41B5-83C4-3651BD3A3AFD}</author>
    <author>tc={3592F361-54AF-4A9A-883F-CB6ADDF1032F}</author>
    <author>tc={5382BF82-CF91-4967-846C-6997F101B277}</author>
    <author>tc={C7EF5748-C3BB-4AEA-8BDB-A0C242CDAE9A}</author>
    <author>tc={442AB20E-496B-4C58-A22E-0BA4A4F95A74}</author>
    <author>tc={F4B4C9F7-ACD0-4F32-803C-357190149670}</author>
    <author>tc={821F1949-BA63-4F93-AF0E-B759083C100A}</author>
    <author>tc={911EABE0-E2E1-489E-AE7F-641132799F88}</author>
    <author>tc={848911BE-0BE8-4A08-B2D0-95F143D9CB6D}</author>
    <author>tc={71F25B48-9705-4351-97B8-F02E050685B6}</author>
    <author>tc={99AD48F7-3C78-4783-B6B8-DBABB1144FB5}</author>
    <author>tc={735F9B6D-FB1D-4B03-9BC1-19960A72A859}</author>
    <author>tc={FE8E8144-7CD4-4E9B-90C4-28EE0D1DCBD7}</author>
    <author>tc={B3ED7EF9-8FFD-419F-99C0-0183EDE4749F}</author>
    <author>tc={7E9AC754-7EAC-43DC-B7B7-B8E7BEB6C19A}</author>
    <author>tc={CA874C1A-2E82-458D-BD00-C393A0B75CC3}</author>
    <author>tc={077E35F2-174B-48BB-BFDF-1A6374431AA9}</author>
    <author>tc={B6679675-67A3-45CE-80CD-57D129BCC404}</author>
    <author>tc={AC539390-F701-4C75-854D-0A365F8D8C0B}</author>
    <author>tc={9A0EF420-DB1B-4D82-A933-2828B80B6B7F}</author>
    <author>tc={105BB673-26A9-4EB6-83B7-7D41A4C39678}</author>
    <author>tc={D3A471D6-7385-4A93-AD48-7D5D7E5BFA93}</author>
    <author>tc={4DF9A6A0-6909-40AE-85D9-F84B28BBBCAA}</author>
    <author>tc={2AED5EA7-9175-47DE-A32E-BCB19BBA9C1F}</author>
    <author>tc={88ACB5E8-3BDE-4968-9744-C4F9166A0802}</author>
    <author>tc={1C456C8D-F754-4323-BA70-CEC6CAAE3375}</author>
    <author>tc={4467D880-1FED-41D3-B8BB-9B77CA11F5B9}</author>
    <author>tc={DDBED72D-4548-4DE2-A70E-54659A99F7F8}</author>
    <author>tc={7DF0AF22-B7AA-4BB1-B3F0-90A6BB0F889A}</author>
    <author>tc={1056AF6E-BC3D-4149-BBC6-75526635D54A}</author>
    <author>tc={67082938-6A5D-401D-A477-E5193ABC8DB5}</author>
    <author>tc={E8A5A7CE-5DE1-4D46-B4F0-30A27FFF537D}</author>
    <author>tc={3349AA6C-734F-4ED9-9931-037C77BDDD21}</author>
    <author>tc={1420B168-5C25-4F25-B8ED-AA13CFE7DF3B}</author>
    <author>tc={6BB3FA83-1E41-4B66-B137-673E97ED772E}</author>
    <author>tc={B6A2504A-61DA-475A-8E8B-897BF65E8CAE}</author>
    <author>tc={A254A66C-A52A-4E3E-BFC0-1DA6722A0D64}</author>
    <author>tc={20D5FC2E-036A-450B-837A-8F5881B13155}</author>
    <author>tc={69E1A4EE-4831-4D80-8D01-83376131568C}</author>
    <author>tc={E10CD9D0-CD6F-4C6F-A5EC-2822AD8F8654}</author>
    <author>tc={37B02E1A-9A79-4F2D-BB28-B7BF595C0014}</author>
    <author>tc={0AD28C75-488A-4974-AE28-B60509BA8C90}</author>
    <author>tc={C6EC03BF-AD1A-4A9B-87C9-BFA10E780438}</author>
    <author>tc={3CD74680-C153-499F-9D4B-D3406875FE16}</author>
    <author>tc={9A60DBB8-9EBF-46B2-8B87-6982CB51115C}</author>
    <author>tc={0872734B-2317-4898-A5A6-AF72893928C8}</author>
    <author>tc={B6EE97B5-51E3-4558-A60D-0BB2113CA04D}</author>
    <author>tc={F12CDA14-3D8F-4A3B-B681-009921EEF916}</author>
    <author>tc={6A3B834F-206D-4860-A730-F6BA36678F9C}</author>
    <author>tc={DB65BE38-F277-4BF2-89B3-186CF59793B9}</author>
    <author>tc={8CB7B3FE-68DE-4FD1-8BD1-DFF6484D1779}</author>
    <author>tc={14B08905-C3B8-4AA5-BA51-2A26F0D2F9B2}</author>
    <author>tc={F912A312-C6CE-4973-809A-5B21A5ECF637}</author>
    <author>tc={D3338583-4E59-4918-B5B6-09055D24E2B9}</author>
    <author>tc={6AB185B1-C010-457D-AAC0-27C34047F7C1}</author>
    <author>tc={02B66F5D-721D-47B4-81DF-134BDD680B3E}</author>
    <author>tc={57F8110A-F35F-446C-A619-C9EF3D6E1BCB}</author>
    <author>tc={C768C68F-8A39-4ED6-A1FE-AD796D602B80}</author>
    <author>tc={0DE7B037-AD72-44BF-8FBD-723FEC6A2D27}</author>
    <author>tc={B81455D2-281A-4CEF-B701-8E5D9E0C5E35}</author>
    <author>tc={38922D72-BFC1-4B22-ADB4-0A62A156B9D2}</author>
    <author>tc={CFF0E561-0887-46B3-9408-D0F4EA6A29B5}</author>
    <author>tc={58781E19-D9BA-4964-ADE7-15AFAA8521D4}</author>
    <author>tc={5D471D10-6EE4-4C24-9D71-6C86CF147253}</author>
    <author>tc={F822E043-08C9-4DCA-BC98-04ACE669EB6D}</author>
    <author>tc={400FF66A-0353-40BE-BA90-9071666FDDB1}</author>
    <author>tc={BB8F23EC-B472-45E8-86AC-02670C4396AC}</author>
    <author>tc={223BE17B-0440-495F-AE7A-3989C79E504D}</author>
    <author>tc={69BBEDF7-1489-42CC-8A9E-01F908D6FE73}</author>
    <author>tc={B0FB2B2C-75CF-458C-A16E-D609B476CE20}</author>
    <author>tc={F481465D-B0E0-48AF-8C02-C3AEAADFF599}</author>
    <author>tc={C1AA9E07-E79E-46FC-BED5-D5707E10D9FC}</author>
    <author>tc={67EF7F13-DAC4-4270-A00E-65F49F20ADBC}</author>
    <author>tc={5BFF1984-214B-42AA-870D-F30C240F134E}</author>
    <author>tc={F35644AF-BB7C-4BBA-9E6C-5E554C4D35E5}</author>
    <author>tc={DD31417E-9979-4CB2-BDA8-2C6EACBE30D0}</author>
    <author>tc={2BC1515A-3CE4-4713-9E11-770E67BD08F2}</author>
    <author>tc={CAF1386C-1023-4388-9310-C1A41B154138}</author>
    <author>tc={9478C07A-9730-4687-A84D-C23BD6B493DF}</author>
    <author>tc={97D78E9D-C14A-42D6-9A4C-4269896B6219}</author>
    <author>tc={14D1E678-8EDC-4C63-880F-55F502DC77B0}</author>
    <author>tc={403B6F81-3EB8-4B95-86B4-8022AA25E014}</author>
    <author>tc={7F5DC2A0-D8A3-4824-9AEE-9A8EF6B0F0DE}</author>
    <author>tc={943B2B4F-FCD3-4F42-B5F7-EEDF4ECE8A89}</author>
    <author>tc={3155D9A7-EBBE-4E9B-9590-41D191FAA0AB}</author>
    <author>tc={37D18C1C-BD4F-4AA6-88CA-DE68C2AE3E41}</author>
    <author>tc={1578EF51-0586-4A5D-A536-19D2AA0364E1}</author>
    <author>tc={C3BE175B-68A1-4359-A9C1-B94BADC9C776}</author>
    <author>tc={895787F9-BB23-4CE2-87AA-F7271B858042}</author>
    <author>tc={C834FF11-9494-405C-9BF3-DB69B3056E88}</author>
    <author>tc={89D47017-743A-47DD-AEDB-C4B27E1CAC8C}</author>
    <author>tc={BF092F11-F53A-4C4C-BCAF-10AFCECB196A}</author>
    <author>tc={2673DEC7-2D0E-4639-934E-6B2E7D9650A6}</author>
    <author>tc={1DDF9AC9-C973-4D03-9022-42BEC85FF102}</author>
    <author>tc={05C27405-B73F-41E6-A204-E3B1FE3039C6}</author>
    <author>tc={F216E3A4-A932-439A-B5B7-34C9B58837F2}</author>
    <author>tc={ABB87FF2-1773-4CF3-9A67-5FF1309A4F81}</author>
    <author>tc={2805B774-DF29-4CBA-A818-C600A47C89B0}</author>
    <author>tc={590383B7-CA9A-420B-A8F9-7993D818C0BE}</author>
    <author>tc={1E73ED87-6475-4211-8BC6-D09849074399}</author>
    <author>tc={F31AF604-B18A-47B9-8D8F-87F587312DCC}</author>
    <author>tc={E0D6D3A4-44F3-474C-8A6E-8B209765A15D}</author>
    <author>tc={C91E5F92-8DDB-4809-9D4D-18EE2CE5ECAF}</author>
    <author>tc={7F0923CE-27D9-4AF8-94CD-BA90CC30B7E1}</author>
    <author>tc={0EBAD53F-16DC-4FD7-83F4-2DABEAD994B4}</author>
    <author>tc={3AE80187-1C4A-4803-97B7-875DA08420F0}</author>
    <author>tc={EE99FE7F-D238-4D66-BC58-BE611D4FF857}</author>
    <author>tc={288DE315-DAC0-485C-B3E4-FF256293B45C}</author>
    <author>tc={2C9E35BA-E4D1-4149-851F-B44CE71CEB04}</author>
    <author>tc={20D3E2ED-C46F-4BA2-A8AE-46F4CFF5BA45}</author>
    <author>tc={E05969AD-4B61-4E6D-AFBE-8CEC9DEF78E3}</author>
    <author>tc={E9775B6A-A7C9-4634-BA2E-C62B26F8F512}</author>
    <author>tc={51CE0BC0-14E3-479A-906F-E9860DBEB749}</author>
    <author>tc={62E75923-B192-4994-8C08-89D720C375F7}</author>
    <author>tc={F47374AB-DCF3-49AB-B336-147BA0648F7A}</author>
    <author>tc={E95C53D6-69E5-4E9B-8D52-1DED8C8D03E6}</author>
    <author>tc={D5F96A24-DDBE-4F65-BDB5-8E6626AEB210}</author>
    <author>tc={50AAE86D-BFD6-481E-B1C3-1D521F2D0A2C}</author>
    <author>tc={24D1E086-C7F8-421E-931A-EBADF1DAF32D}</author>
    <author>tc={5981BFC2-1DA0-4B68-AA86-DD22855E612E}</author>
    <author>tc={B53BC724-3BFD-4F65-ABE6-FD71112C3E24}</author>
    <author>tc={D29DB844-2145-42AC-BD0A-980E4D212B7A}</author>
    <author>tc={06C9C618-BF76-40B9-ADDE-E5375E450135}</author>
    <author>tc={9EAEC63F-3268-4F98-B852-6360BC71C0FE}</author>
    <author>tc={BCBA9EEF-F520-49AF-A5F7-8009DC64BC85}</author>
    <author>tc={A643E637-68F2-4C7A-8913-EE45E8BAF54F}</author>
    <author>tc={45800D99-4E68-41CC-8493-90BBBD9165ED}</author>
    <author>tc={ED862ACE-F669-4DF8-A872-5237F6188E70}</author>
    <author>tc={624B470B-9016-4422-A85A-5A8592370380}</author>
    <author>tc={8E13C096-8056-46E8-B8FC-22078762A9FB}</author>
    <author>tc={DB684A07-683A-4B25-B4C8-9085C24E7F55}</author>
    <author>tc={28A7E673-6FE9-4365-929E-37089AAC3221}</author>
    <author>tc={F0183F8B-DC15-4156-B533-D9C10DFCE137}</author>
    <author>tc={67725A7D-DBC2-4F7C-BC66-03E12A5C72D6}</author>
    <author>tc={E46373A2-CDBE-42B4-A5C6-D03EC85C945C}</author>
    <author>tc={2C10FA6D-7BA9-4BE6-9C98-6636705F20C9}</author>
    <author>tc={468AE3D7-B4D6-4C2A-BF54-F083D5AE604C}</author>
    <author>tc={3F17FD64-1E8F-4E8B-9E52-467779DA4722}</author>
    <author>tc={4273B1E0-3FE2-4163-9E2D-98237E026B18}</author>
    <author>tc={D33F7860-947A-4129-96EB-C35B7004C5ED}</author>
    <author>tc={36386884-0AD3-4874-83CB-6DFA54C18C49}</author>
    <author>tc={BECE38A4-67B4-48B8-9230-310BEB273528}</author>
    <author>tc={46C74E16-A489-4DDD-BD8F-96EBA9614DD5}</author>
    <author>tc={E21BC18D-56AF-4369-B059-6C6FD749C745}</author>
    <author>tc={0E349D9F-D90D-4568-B837-4408EABBE78C}</author>
    <author>tc={99088AB8-59AA-43A8-9FA2-141B7858DDCD}</author>
    <author>tc={200110AB-2207-43F1-9EA0-2A86A5093FA3}</author>
    <author>tc={2DCE7C31-8BF6-4C9F-A838-ECDE7055AC9E}</author>
    <author>tc={45CD7F5B-24D9-402F-905B-9D99E661A0BF}</author>
    <author>tc={C62DCEB1-3377-4A38-A675-18D26B470BA8}</author>
    <author>tc={2DA6B72C-B347-4207-B304-03B8BEBBE386}</author>
    <author>tc={9F1C66E8-62E5-40B9-B146-7F6F4D574CC1}</author>
    <author>tc={EF3385C0-5CF5-4CA9-B5F1-84D04788C753}</author>
    <author>tc={D3A96935-F8B1-4AF8-910B-AA78487B0D1B}</author>
    <author>tc={F2202080-289A-452A-BE4A-287ACC25250E}</author>
    <author>tc={2ED4BC1B-8FD5-4207-9CF7-81F35F518221}</author>
    <author>tc={61A166EF-7D28-478D-9968-F126D70866F4}</author>
    <author>tc={7A830AB4-52FE-40C7-8854-C0A1D2BAC57C}</author>
    <author>tc={976E21D0-745D-4A77-B30D-9662C2370C2C}</author>
    <author>tc={C08843CF-8246-4B54-992E-3BEE31A2FDCF}</author>
    <author>tc={ED10C3A1-18A5-47AD-BDC4-9B2F998D46DE}</author>
    <author>tc={1E4C14D7-21D9-4E25-AA1F-7CBB23783035}</author>
    <author>tc={1DCD48CC-2962-485C-9259-50AC8F4464AB}</author>
    <author>tc={3BD16540-FB13-4A03-AFA4-6CBA974799CE}</author>
    <author>tc={068E4AC2-A01F-48A0-9460-40EC74875BD9}</author>
    <author>tc={899BF211-1E62-4800-8F55-AF4B83CFA8B9}</author>
    <author>tc={16FB57BA-C6AF-4872-BDD6-1BC77A1C073F}</author>
    <author>tc={FB4F50AF-EB4E-4CAD-B4F6-A2983204FC36}</author>
    <author>tc={172B1D18-A510-4274-ACB9-2866DBA37871}</author>
    <author>tc={FF4ECA80-E6F0-43CB-A962-3C064BFFFD38}</author>
    <author>tc={F1CFE0A6-B92D-42A7-9F47-13E7F6D4839F}</author>
    <author>tc={37D080F3-0E43-420C-B142-B25CE269584E}</author>
    <author>tc={88D6FDCC-9729-4636-8707-051F4F648A74}</author>
    <author>tc={3AF0AEBA-D3AE-4B6C-931A-7CD3BA624DFA}</author>
    <author>tc={691897EB-B7F2-4263-B92F-7D84D11DDFD3}</author>
    <author>tc={12AFE7E2-CC1F-49C9-A038-A8104F3787AF}</author>
    <author>tc={ADC179A5-EDFF-4197-9CD8-C6EEE71B8A5D}</author>
    <author>tc={7E214517-34A5-46D2-83BF-62A9DC6A66E1}</author>
    <author>tc={EAC250BF-85C4-453A-95BB-ABC1E6B145DB}</author>
    <author>tc={80087A7F-5227-4931-93FF-7823C63B62AC}</author>
    <author>tc={123B6049-15C6-4992-B67C-09012B7800AF}</author>
    <author>tc={9615B685-F5C3-4D87-AD08-B111AA1394BF}</author>
    <author>tc={22566625-D443-40A7-8FBA-963721BD60BB}</author>
    <author>tc={98A20A8A-2A82-4BF9-B791-E8658AFA6033}</author>
    <author>tc={64733E9A-3F63-4A34-803D-C8C69F769E01}</author>
    <author>tc={76D560BA-E755-4934-97B2-C9AA8B22763D}</author>
    <author>tc={8752AF14-15B5-40F7-8339-188D348CB4E7}</author>
    <author>tc={BEFB21A7-7389-4AB7-BF11-0BF4422DF316}</author>
    <author>tc={11BE2F9A-9752-4ABA-97DF-006889BCD936}</author>
    <author>tc={CADC7E60-C677-4350-9B13-CA759D4F6426}</author>
    <author>tc={67AD2405-6817-47DA-9C9E-EC95B2813162}</author>
    <author>tc={8DB40D86-E7BF-4088-BE5A-1A3A36F9B46A}</author>
    <author>tc={4EA7084F-6B4B-4AE6-A436-7F3191C47BB1}</author>
    <author>tc={7D37232E-75D7-4D93-A3FF-2BF1E3C3D1EA}</author>
    <author>tc={030BF25F-EA75-424F-A5AD-FED800FCF450}</author>
    <author>tc={0BF1BD91-CC35-4BCC-9CC5-1C1BEF2E37C4}</author>
    <author>tc={F870C60D-D952-4BF2-B9CF-C698F850ECEB}</author>
    <author>tc={9475B535-9A38-474C-B9E2-256186A59C57}</author>
    <author>tc={449483C8-582F-4849-9D7C-7304E69EE399}</author>
    <author>tc={3A415748-9A12-4785-A400-357FE67864AB}</author>
    <author>tc={68C64EF2-0976-450D-ACDD-8DCA428E9F4A}</author>
    <author>tc={AA8A1279-0FCD-404E-AADC-0C12D86BA849}</author>
    <author>tc={C7E954F3-0709-494B-A58D-49C579AEEDD3}</author>
    <author>tc={63FB735C-C844-4493-BFB6-2D2F54F015D9}</author>
    <author>tc={F9A9FB8F-07FF-4F8B-9F95-D1FEBA4F101A}</author>
    <author>tc={CC1E6A3C-3156-47A9-92D5-D8A18EF2AD30}</author>
    <author>tc={5F1BC5CF-58B3-4D64-9DB8-039CF85F0FA6}</author>
    <author>tc={0DAE6BAC-F749-454B-8829-38FB25D47D10}</author>
    <author>tc={56606869-69ED-4767-A88D-2FC3D71DBE1D}</author>
    <author>tc={C9CD4D79-89F5-41D0-90EB-D696EDABE16E}</author>
    <author>tc={C512A53C-3F03-4906-8ABF-3A9440F08F34}</author>
    <author>tc={B162BA23-04E2-423F-ADA1-26F16AD473E1}</author>
    <author>tc={AC28C4D0-BB8A-479B-9484-94249A78AB70}</author>
    <author>tc={6738F09A-03A1-425C-A16B-92B293892A6B}</author>
    <author>None</author>
    <author>tc={39122284-6672-4703-8879-6F1F5DD8D2A6}</author>
    <author>tc={9B271202-1260-448B-BCA7-91580AB8E9C2}</author>
    <author>tc={A902ADDA-8717-4CEF-BD41-E3375BD4E9A5}</author>
    <author>tc={BF7C56A7-CCD2-4419-894A-8511076A549D}</author>
    <author>tc={7030F7D5-B1B8-41C1-961D-FB0D35B4D367}</author>
    <author>tc={E77AA981-9D7C-45CA-B2E1-44D77AB5F95C}</author>
    <author>tc={8EB29573-A612-44E0-A8EB-4576A7FD3578}</author>
    <author>tc={A2572D25-015A-4727-BB23-60FCE92A0632}</author>
    <author>tc={8E0FF01E-90E1-4967-8DA1-BAFF0A9C6A47}</author>
    <author>tc={29CBECCA-A06A-4689-B2FD-E3D66633F3ED}</author>
    <author>tc={4301EAB1-A346-4FD9-AE0B-9B4909FA37D5}</author>
    <author>tc={2F1150E8-5D77-4AEE-9E1B-F3CEB3B94725}</author>
    <author>tc={E940F5A2-B7A0-4062-BBD6-134116C6B5C8}</author>
    <author>tc={0DBA4804-D2F7-491C-A849-83BAA1590512}</author>
    <author>tc={82A9A716-3F04-4915-8ED0-A4C2A4DD3CAE}</author>
    <author>tc={4C62BEAC-3B2D-4122-A38D-B8080498FCE8}</author>
    <author>tc={425433B0-FE26-4BBA-BC5F-22C410A20BDE}</author>
    <author>tc={41E86A0F-7040-44A1-9C98-104EDDC63567}</author>
    <author>tc={EB6DDFEF-A4F9-4BED-A7FB-BD178F5C0357}</author>
    <author>tc={D011F6DC-A8F8-451A-A910-07DE37A2AFD7}</author>
    <author>tc={7C826C57-0914-416D-89E3-2A6D7488DC26}</author>
    <author>tc={9443D796-DC26-43CA-B45C-71AEAE11D709}</author>
    <author>tc={0FDA7608-EBC5-4E75-ADB1-FBDB409CBF96}</author>
    <author>tc={77D14757-0987-48EC-B10B-8A82DF985054}</author>
    <author>tc={0A72BC4B-7445-4FA6-88BE-09454C904AA3}</author>
    <author>tc={D221BCDA-0852-4F58-A2E6-7619EB664D05}</author>
    <author>tc={D760CBA2-4A37-4259-9043-CFA94C036755}</author>
    <author>tc={F25972C5-8114-42B3-A9B6-66924B8C9789}</author>
    <author>tc={AA0BEB01-DD78-4C85-BCC2-A2F37CCF5BCF}</author>
    <author>tc={835EF21D-BF50-4153-855E-DD935B9CFF3E}</author>
    <author>tc={88A7750F-E37D-430E-ADEA-9F2176102B22}</author>
    <author>tc={DCF05F46-4EA6-438F-8C39-7C610DED3182}</author>
    <author>tc={58A324CC-15E2-4982-A447-165CE74B842D}</author>
    <author>tc={D2B11ED7-B8D4-4851-BF64-C35E6A6F1F85}</author>
    <author>tc={2CB6F555-E404-45AF-895A-56E4FF8992DC}</author>
    <author>tc={E356675F-C3E7-4A8D-B48F-53D781E3A9B0}</author>
    <author>tc={727575A9-DC40-461F-B785-4F5FEE9971B8}</author>
  </authors>
  <commentList>
    <comment ref="D4" authorId="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01/03/2024PG.SERV.PORTARIA NF.: 202467 2024-02 ONX SERVICOS E COMERCIO DE EQUIPAMENTOS- 97.531,32
Responder:
    11/03/2024PG.RETENCAO ISSQN NR. DOC: 202467 V:01/03/2024 ONX SERVICOS E COMERCIO DE EQUIPAMENTOS- 5.736,92
Responder:
    1162 CP PATRONAL - RETENÇÃO LEI 9.711/98 11.470,24 </t>
      </text>
    </comment>
    <comment ref="E4" authorId="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04/04/2024PG.SERV.PORTARIA NF.: 2024158 2024-03 ONX SERVICOS E COMERCIO DE EQUIPAMENTOS- 87.596,00
Responder:
    10/04/2024PG.RETENCAO ISSQN NR. DOC: 2024158 V:01/04/2024 ONX SERVICOS E COMERCIO DE EQUIPAMENTOS- 5.143,71
Responder:
    1162 CP PATRONAL - RETENÇÃO LEI 9.711/98 10.134,47 </t>
      </text>
    </comment>
    <comment ref="F4" authorId="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02/05/2024PG.SERV.PORTARIA/LIMPEZA NF.: 2024189 MENSALIDADE CONTRATO DE PORTARIA/LIMPEZA/ RECEPÇÃO ONX SERVICOS E COMERCIO DE EQUIPAMENTOS- 87.458,17
Responder:
    10/05/2024PG.RETENCAO ISSQN NR. DOC: 2024189 V:01/05/2024 ONX SERVICOS E COMERCIO DE EQUIPAMENTOS- 5.143,71
Responder:
    20/05/2024PG.SERVICOS LIMPEZA NF.: 2024203 ONX SERVICOS E COMERCIO DE EQUIPAMENTOS- 840,00
</t>
      </text>
    </comment>
    <comment ref="G4" authorId="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03/06/2024PG.SERV.PORTARIA/LIMPEZA NF.: 2024214 MENSALIDADE CONTRATO DE PORTARIA/LIMPEZA/ RECEPÇÃO ONX SERVICOS E COMERCIO DE EQUIPAMENTOS- 87.596,00 
Responder:
    10/06/2024PG.RETENCAO ISSQN NR. DOC: 2024203 V:20/05/2024 ONX SERVICOS E COMERCIO DE EQUIPAMENTOS- 50,00
Responder:
    10/06/2024PG.RETENCAO ISSQN NR. DOC: 2024214 V:01/06/2024 ONX SERVICOS E COMERCIO DE EQUIPAMENTOS- 5.143,71
Responder:
    1162 CP PATRONAL - RETENÇÃO LEI 9.711/98 10.244,47 10.244,47 01 CP PATRONAL - RETENÇÃO LEI 9.711/98 PA:05/2024 Vencimento:30/09/2024 CNPJ Prestador:35.017.554/0001-86 
Responder:
    5952 RET DE CONTRIBUICOES PAGT PJ A PJ DE DIR PRIV 10.535,68 10.535,68 07 RET DE CONTRIBUICOES PAGT PJ A PJ DE DIR PRIV PA:05/2024 Vencimento:30/09/2024 </t>
      </text>
    </comment>
    <comment ref="H4" authorId="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01/07/2024
PG.SERV.PORTARIA/LIMPEZA NF.: 2024243 MENSALIDADE CONTRATO DE PORTARIA/LIMPEZA/ RECEPÇÃO ONX SERVICOS E COMERCIO DE EQUIPAMENTOS
- 87.475,58
Responder:
    10/07/2024
PG.RETENCAO ISSQN NR. DOC: 2024243 V:01/07/2024 ONX SERVICOS E COMERCIO DE EQUIPAMENTOS
- 5.143,71
Responder:
    1162 CP PATRONAL - RETENÇÃO LEI 9.711/98 10.254,89 10.254,89 01 CP PATRONAL - RETENÇÃO LEI 9.711/98 PA:06/2024 Vencimento:19/07/2024 CNPJ Prestador:35.017.554/0001-86 
Responder:
    5952 RET DE CONTRIBUICOES PAGT PJ A PJ DE DIR PRIV 2.707,48 2.707,48 07 RET DE CONTRIBUICOES PAGT PJ A PJ DE DIR PRIV PA:06/2024 Vencimento:19/07/2024 </t>
      </text>
    </comment>
    <comment ref="I4" authorId="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01/08/2024
PG.SERV.PORTARIA/LIMPEZA NF.: 2024274 CONTRATO MENSAL DE SERVIÇOS DE PORTARIA 24H, LIMPEZA E RECEPÇÃO - REF: JULHO/24 ONX SERVICOS E COMERCIO DE EQUIPAMENTOS
- 87.467,52
Responder:
    12/08/2024
PG.RETENCAO ISSQN NR. DOC: 2024274 V:01/08/2024 ONX SERVICOS E COMERCIO DE EQUIPAMENTOS
- 5.143,71
Responder:
    1162 CP PATRONAL - RETENÇÃO LEI 9.711/98 10.262,96 10.262,96 01 CP PATRONAL - RETENÇÃO LEI 9.711/98 PA:07/2024 Vencimento:20/08/2024 CNPJ Prestador:35.017.554/0001-86 
Responder:
    1170 CP TERCEIROS - SALÁRIO EDUCAÇÃO 109,41 109,41 01 CP TERCEIROS - SALÁRIO EDUCAÇÃO PA:07/2024 Vencimento:20/08/2024 
Responder:
    1176 CP TERCEIROS - INCRA 8,75 8,75 01 CP TERCEIROS - INCRA PA:07/2024 Vencimento:20/08/2024 
Responder:
    1196 CP TERCEIROS - SESC 65,64 
Responder:
    1200 CP TERCEIROS - SEBRAE - EMPR CONTRIBUINTE SES 13,12 13,12 02 CP TERCEIROS - SEBRAE - EMPR CONTRIBUINTE SESC PA:07/2024 Vencimento:20/08/2024 </t>
      </text>
    </comment>
    <comment ref="J4" authorId="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02/09/2024
PG.SERV.PORTARIA/LIMPEZA NF.: 2024296 CONTRATO MENSAL DE PRESTAÇÃO DE SERVIÇOS- REF AGOSTO 2024 ONX SERVICOS E COMERCIO DE EQUIPAMENTOS
- 87.547,97
Responder:
    10/09/2024
PG.RETENCAO ISSQN NR. DOC: 2024296 V:01/09/2024 ONX SERVICOS E COMERCIO DE EQUIPAMENTOS
- 5.143,71
Responder:
    1162 CP PATRONAL - RETENÇÃO LEI 9.711/98 10.182,51 10.182,51 01 CP PATRONAL - RETENÇÃO LEI 9.711/98 PA:08/2024 Vencimento:19/09/2024 CNPJ Prestador:35.017.554/0001-86 
Responder:
    1170 CP TERCEIROS - SALÁRIO EDUCAÇÃO 92,29 92,29 01 CP TERCEIROS - SALÁRIO EDUCAÇÃO PA:08/2024 Vencimento:19/09/2024 
Responder:
    1176 CP TERCEIROS - INCRA 7,38 7,38 01 CP TERCEIROS - INCRA PA:08/2024 Vencimento:19/09/2024 
Responder:
    1196 CP TERCEIROS - SESC 55,37 55,37 01 CP TERCEIROS - SESC PA:08/2024 Vencimento:19/09/2024 
Responder:
    1200 CP TERCEIROS - SEBRAE - EMPR CONTRIBUINTE SES 11,07 11,07 02 CP TERCEIROS - SEBRAE - EMPR CONTRIBUINTE SESC PA:08/2024 Vencimento:19/09/2024 
Responder:
    5952 RET DE CONTRIBUICOES PAGT PJ A PJ DE DIR PRIV 69,78 69,78 07 RET DE CONTRIBUICOES PAGT PJ A PJ DE DIR PRIV PA:08/2024 Vencimento:19/09/2024 </t>
      </text>
    </comment>
    <comment ref="K4" authorId="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01/10/2024
PG.SERV.PORTARIA/LIMPEZA NF.: 2024322 ONX SERVICOS E COMERCIO DE EQUIPAMENTOS
- 87.537,81
Responder:
    10/10/2024
PG.RETENCAO ISSQN NR. DOC: 2024322 V:01/10/2024 ONX SERVICOS E COMERCIO DE EQUIPAMENTOS
- 5.143,71
Responder:
    1162 CP PATRONAL - RETENÇÃO LEI 9.711/98 10.192,67 10.192,67 01 CP PATRONAL - RETENÇÃO LEI 9.711/98 PA:09/2024 Vencimento:18/10/2024 CNPJ Prestador:35.017.554/0001-86 </t>
      </text>
    </comment>
    <comment ref="L4" authorId="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01/11/2024
PG.SERV.PORTARIA/LIMPEZA NF.: 2024344 CONTRATO MENSAL DE PRESTAO DE SERVIO DE PORT/RECEP/LIMP - REF: 10/2024 ONX SERVICOS E COMERCIO DE EQUIPAMENTOS
- 87.537,83
Responder:
    11/11/2024
PG.RETENCAO ISSQN NR. DOC: 2024329 V:10/10/2024 ONX SERVICOS E COMERCIO DE EQUIPAMENTOS
- 165,00
Responder:
    11/11/2024
PG.RETENCAO ISSQN NR. DOC: 344 PREFEITURA DE PORTO ALEGRE
- 5.141,97
Responder:
    1170 CP TERCEIROS - SALÁRIO EDUCAÇÃO 102,66 102,66 01 CP TERCEIROS - SALÁRIO EDUCAÇÃO PA:10/2024 Vencimento:19/11/2024 
Responder:
    1176 CP TERCEIROS - INCRA 8,21 8,21 01 CP TERCEIROS - INCRA PA:10/2024 Vencimento:19/11/2024 
Responder:
    1196 CP TERCEIROS - SESC 61,59 61,59 01 CP TERCEIROS - SESC PA:10/2024 Vencimento:19/11/2024 
Responder:
    1200 CP TERCEIROS - SEBRAE - EMPR CONTRIBUINTE SES 12,31 12,31 02 CP TERCEIROS - SEBRAE - EMPR CONTRIBUINTE SESC PA:10/2024 Vencimento:19/11/2024 
Responder:
    0561 IRRF - RENDIMENTO DO TRABALHO ASSALARIADO 241,31 241,31 07 IRRF - RD TRB ASSAL PAÍS/AUS NO EXT A SERV PAÍS PA:10/2024 Vencimento:19/11/2024 
Responder:
    5952 RET DE CONTRIBUICOES PAGT PJ A PJ DE DIR PRIV 198,24 198,24 07 RET DE CONTRIBUICOES PAGT PJ A PJ DE DIR PRIV PA:10/2024 Vencimento:19/11/2024 
Responder:
    1162 CP PATRONAL - RETENÇÃO LEI 9.711/98 363,00 363,00 01 CP PATRONAL - RETENÇÃO LEI 9.711/98 PA:10/2024 Vencimento:19/11/2024 CNPJ Prestador:35.017.554/0001-86 </t>
      </text>
    </comment>
    <comment ref="M4" authorId="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02/12/2024
PG.SERV.PORTARIA/LIMPEZA NF.: 2024361 MENSALIDADE PRESTAÇÃO DE SERV. PORT. LIMP. RECP. - REF: NOVEMBRO 2024 ONX SERVICOS E COMERCIO DE EQUIPAMENTOS
- 87.606,22
Responder:
    10/12/2024
PG.RETENCAO ISSQN NR. DOC: 2024361 V:01/12/2024 ONX SERVICOS E COMERCIO DE EQUIPAMENTOS
- 5.143,71
Responder:
    1162 CP PATRONAL - RETENÇÃO LEI 9.711/98 20.283,86 20.283,86 01 CP PATRONAL - RETENÇÃO LEI 9.711/98 PA:11/2024 Vencimento:20/12/2024 CNPJ Prestador:35.017.554/0001-86 </t>
      </text>
    </comment>
    <comment ref="N4" authorId="1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02/01/2025
PG.SERV.PORTARIA/LIMPEZA NF.: 2024379 CONTRATO MENSAL DE PREST. SERV. PORTARIA 24H, RECEPÇÃO E LIMPEZA - REF: 12/2024 ONX SERVICOS E COMERCIO DE EQUIPAMENTOS
- 87.442,51
Responder:
    10/01/2025
PG.RETENCAO ISSQN NR. DOC: 2024379 V:01/01/2025 ONX SERVICOS E COMERCIO DE EQUIPAMENTOS
- 5.143,71
Responder:
    5952 RET DE CONTRIBUICOES PAGT PJ A PJ DE DIR PRIV 5.636,32 5.636,32 07 RET DE CONTRIBUICOES PAGT PJ A PJ DE DIR PRIV PA:12/2024 Vencimento:20/01/2025 </t>
      </text>
    </comment>
    <comment ref="O4" authorId="1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03/02/2025
PG.SERV.PORTARIA/LIMPEZA NF.: 202517 MENSAL. SERV. PORTARIA 24H E LIMPEZA E RECEP. 08H - REF: JANEIRO 2025 ONX SERVICOS E COMERCIO DE EQUIPAMENTOS
- 94.278,05
Responder:
    13/02/2025
PG.RETENCAO ISSQN NR. DOC: 202517 V:01/02/2025 ONX SERVICOS E COMERCIO DE EQUIPAMENTOS
- 5.556,03
Responder:
    20/02/2025
PG. INSS/IRRF - FPM/TERCEIROS NR. DOC: 50000313181445 CP. 01/2025 MINISTERIO DA PREVIDENCIA SOCIAL
- 17.354,45
</t>
      </text>
    </comment>
    <comment ref="D11" authorId="1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05/03/2024PG.SERV.PRESTADOS NF.: 39 ADMINISTRAÇÃO CONDOMINIAL AUXILIAR REF.01/2024 CAPPELLETTO GESTAO LTDA- 16.000,00 </t>
      </text>
    </comment>
    <comment ref="E11" authorId="1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03/04/2024PG.SERV.PRESTADOS NF.: 44 SERVIÇO ES PECIALIZADO EM AUXILIAR DE ADMINIS TRAÇÁO CONDOMINIAL - REEF.: MARÇO CAPPELLETTO GESTAO LTDA- 16.558,08
</t>
      </text>
    </comment>
    <comment ref="F11" authorId="1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02/05/2024PG.SERV.PRESTADOS NF.: 49 MENSALIDADE CONTRATO DE AUXILIAR DE ADMINISTRAÇÃO - REF: ABRIL 2024 CAPPELLETTO GESTAO LTDA- 16.000,00
Responder:
    10/05/2024PG.RETENCAO ISSQN NR. DOC: 44 V:03/04/2024 CAPPELLETTO GESTAO LTDA- 337,92
</t>
      </text>
    </comment>
    <comment ref="G11" authorId="1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04/06/2024PG.SERV.PRESTADOS NF.: 53 CONTRATO MENSAL SERV. DE AUX. DE ADMINISTRAÇÃO CONDOMINIAL REF: MAIO 2024 CAPPELLETTO GESTAO LTDA- 16.950,80
</t>
      </text>
    </comment>
    <comment ref="H11" authorId="1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02/07/2024
PG.SERV.PRESTADOS NF.: 59 CONTRATO MENSAL AUXILIAR ADMINISTRAÇÃO COND. REF: JUNHO 2024 CAPPELLETTO GESTAO LTDA
- 16.000,00
Responder:
    10/07/2024
PG.RETENCAO ISSQN NR. DOC: 53 V:04/06/2024 CAPPELLETTO GESTAO LTDA
- 345,93
</t>
      </text>
    </comment>
    <comment ref="I11" authorId="1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02/08/2024
PG.SERV.PRESTADOS NF.: 63 CONTRATO MENSAL- AUXILIAR ADMINISTRAÇÃO CONDOMINIAL REF: JULHO 2024 CAPPELLETTO GESTAO LTDA
- 16.000,00
</t>
      </text>
    </comment>
    <comment ref="J11" authorId="1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04/09/2024
PG.SERV.PRESTADOS NF.: 67 CONTRATO MENSAL DE SERV AUX ADM COND- REF AGOSTO 2024 CAPPELLETTO GESTAO LTDA
- 16.720,00
</t>
      </text>
    </comment>
    <comment ref="K11" authorId="1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03/10/2024
PG.SERV.PRESTADOS NF.: 76 CONTRATO MENSAL DE SERVIÇO DE AUXILAR DE ADMINISTRAÇÃO CONDOMINIAL CAPPELLETTO GESTAO LTDA
- 16.720,00
Responder:
    31/10/2024
TARIFA PIX REFERENTE A 10 CREDITO(S) EM CONTA REALIZADO(S)
- 24,90
</t>
      </text>
    </comment>
    <comment ref="L11" authorId="2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01/11/2024
PG.SERV.PRESTADOS NF.: 1 CONTRATO SERV. AUXILIAR ADMINISTRAÇÃO CONDOMINIAL - REF: OUTUBRO 2024 CAPPELLETTO GESTAO LTDA
- 16.419,04
Responder:
    08/11/2024
PG.SERV.PRESTADOS NF.: 2 FORNECIMENTO DE MÃO DE OBRA DE01 AUXILIAR DE MANUTENÇÃO PREDIAL. CAPPELLETTO GESTAO LTDA
- 2.111,30
</t>
      </text>
    </comment>
    <comment ref="M11" authorId="2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03/12/2024
PG.SERV.PRESTADOS NF.: 7 AUXILIAR DE ADMINISTRAÇÃO CONDOMINIAL - REF.: NOVEMBRO/2024 CAPPELLETTO GESTAO LTDA
- 16.419,04
Responder:
    10/12/2024
PG.RETENCAO ISSQN NR. DOC: 1 V:01/11/2024 CAPPELLETTO GESTAO LTDA
- 300,96
Responder:
    10/12/2024
PG.RETENCAO ISSQN NR. DOC: 2 V:08/11/2024 CAPPELLETTO GESTAO LTDA
- 38,70
Responder:
    26/12/2024
EXCLUSIVE TAXA EXCLUSIVE COMP 122024
- 1.139,05
Responder:
    27/12/2024
PG.SERV.PRESTADOS NF.: 11 CONTRATO MENSAL PREST. SERV. ADMINIST. COND. REF: DEZEMBRO 2024 CAPPELLETTO GESTAO LTDA
- 16.419,04
</t>
      </text>
    </comment>
    <comment ref="N11" authorId="2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10/01/2025
PG.RETENCAO ISSQN NR. DOC: 11 V:27/12/2024 CAPPELLETTO GESTAO LTDA
- 300,96
Responder:
    10/01/2025
PG.RETENCAO ISSQN NR. DOC: 7 V:03/12/2024 CAPPELLETTO GESTAO LTDA
- 300,96
</t>
      </text>
    </comment>
    <comment ref="O11" authorId="2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05/02/2025
PG.SERV.PRESTADOS NF.: 16 CONT MENSAL PREST SERV AUX ADM CONDOMINIAL JANEIRO 2025 CAPPELLETTO GESTAO LTDA
- 17.356,85
</t>
      </text>
    </comment>
    <comment ref="D13" authorId="2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28/03/2024TARIFA PIX REFERENTE A 10 CREDITO(S) EM CONTA REALIZADO(S)- 24,90
Responder:
    1/03/2024DECLARAÇÃO MENSAL EFD-REINF COMP. 02/2024- 55,80
Responder:
    31/03/2024EXCLUSIVE- 1.139,05
Responder:
    31/03/2024REEMB.MAT EXPEDIENTE 03/2024- 256,82
Responder:
    31/03/2024TAXA DE ADM.GUARIDA IMOVEIS 03/2024- 1.430,79 </t>
      </text>
    </comment>
    <comment ref="E13" authorId="2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30/04/2024DECLARAÇÃO MENSAL EFD-REINF COMP. 03/2024- 58,60
Responder:
    30/04/2024EXCLUSIVE- 1.139,05
Responder:
    30/04/2024RECOLH.GUIAS TRIB/SOC (MANUAL) COMP. 03/2024- 78,00
Responder:
    0/04/2024REEMB.MAT EXPEDIENTE 04/2024- 256,82
Responder:
    30/04/2024TARIFA PIX REFERENTE A 15 CREDITO(S) EM CONTA REALIZADO(S)- 37,35
Responder:
    30/04/2024TAXA DE ADM.GUARIDA IMOVEIS 04/2024- 1.430,79
</t>
      </text>
    </comment>
    <comment ref="F13" authorId="2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31/05/2024DECLARAÇÃO MENSAL EFD-REINF COMP. 04/2024- 58,60
Responder:
    31/05/2024EXCLUSIVE- 1.139,05
Responder:
    31/05/2024REEMB.MAT EXPEDIENTE 05/2024- 256,82
Responder:
    31/05/2024TARIFA PIX REFERENTE A 9 CREDITO(S) EM CONTA REALIZADO(S)- 22,41
Responder:
    31/05/2024TAXA DE ADM.GUARIDA IMOVEIS 05/2024- 1.430,79
</t>
      </text>
    </comment>
    <comment ref="G13" authorId="2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28/06/2024DECLARAÇÃO MENSAL EFD-REINF COMP. 05/2024- 61,38
Responder:
    28/06/2024EXCLUSIVE- 1.139,05
Responder:
    28/06/2024PROCESSAMENTO DE CND'S COMP 062024- 174,00
Responder:
    28/06/2024REEMB.MAT EXPEDIENTE 06/2024- 256,82
Responder:
    28/06/2024TARIFA PIX REFERENTE A 10 CREDITO(S) EM CONTA REALIZADO(S)- 24,90 
Responder:
    28/06/2024TAXA DE ADM.GUARIDA IMOVEIS 06/2024- 1.430,79
Responder:
    28/06/2024VLR.REF.DECLARACAO DIRF DIRF 2024- 543,40
</t>
      </text>
    </comment>
    <comment ref="H13" authorId="2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26/07/2024
DECLARAÇÃO MENSAL EFD-REINF COMP. 06/2024
- 61,38
Responder:
    26/07/2024
EXCLUSIVE
- 1.139,05
Responder:
    29/07/2024
REEMB.MAT EXPEDIENTE 07/2024
- 256,82
Responder:
    29/07/2024
TAXA DE ADM.GUARIDA IMOVEIS 07/2024
- 1.430,79
Responder:
    31/07/2024
DIGIFILE - GUARDA/MOV DE DOCUM 06/2024 - GUARDA 1 CAIXA(S) DIGIFILE TECNOLOGIA EM DOCUMENTOS EIRELI EPP
- 1,16
Responder:
    31/07/2024
TARIFA PIX REFERENTE A 19 CREDITO(S) EM CONTA REALIZADO(S)
- 47,31
</t>
      </text>
    </comment>
    <comment ref="I13" authorId="2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26/08/2024
EXCLUSIVE
- 1.139,05
Responder:
    27/08/2024
DECLARAÇÃO MENSAL EFD-REINF COMP. 07/2024
- 61,38
Responder:
    30/08/2024
TARIFA PIX REFERENTE A 17 CREDITO(S) EM CONTA REALIZADO(S)
- 42,33
Responder:
    31/08/2024
REEMB.MAT EXPEDIENTE 08/2024
- 256,82
Responder:
    31/08/2024
TAXA DE ADM.GUARIDA IMOVEIS 08/2024
- 1.430,79
</t>
      </text>
    </comment>
    <comment ref="J13" authorId="3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24/09/2024
DECLARAÇÃO MENSAL EFD-REINF COMP. 08/2024
- 61,38
Responder:
    30/09/2024
ENVIO /TRANSF. ELETRÔNICA REFERENTE A 8 CREDITO(S) EM CONTA REALIZADO(S)
- 39,60
Responder:
    30/09/2024
EXCLUSIVE TAXA EXCLUSIVE COMP 092024
- 1.139,05
Responder:
    30/09/2024
PAG.REF. COMUNICADO DIGIFILE DIGIFILE TECNOLOGIA EM DOCUMENTOS EIRELI EPP
- 0,01
Responder:
    30/09/2024
REEMB.MAT EXPEDIENTE 09/2024
- 256,82
Responder:
    30/09/2024
TAXA DE ADM.GUARIDA IMOVEIS 09/2024
- 1.430,79
</t>
      </text>
    </comment>
    <comment ref="K13" authorId="3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28/10/2024
DECLARAÇÃO MENSAL EFD-REINF COMP. 09/2024
- 61,38
Responder:
    30/10/2024
EXCLUSIVE TAXA EXCLUSIVE COMP 102024
- 1.139,05
Responder:
    30/10/2024
REEMB.MAT EXPEDIENTE 10/2024
- 256,82
Responder:
    30/10/2024
TAXA DE ADM.GUARIDA IMOVEIS 10/2024
- 1.430,79
Responder:
    31/10/2024
DIGIFILE - GUARDA/MOV DE DOCUM 09/2024 - GUARDA 1 CAIXA(S) DIGIFILE TECNOLOGIA EM DOCUMENTOS EIRELI EPP
- 1,16
</t>
      </text>
    </comment>
    <comment ref="L13" authorId="3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29/11/2024
DECLARAÇÃO MENSAL EFD-REINF COMP. 10/2024
- 61,38
Responder:
    29/11/2024
ENVIO /TRANSF. ELETRÔNICA REFERENTE A 22 CREDITO(S) EM CONTA REALIZADO(S)
- 108,90
Responder:
    29/11/2024
EXCLUSIVE TAXA EXCLUSIVE COMP 112024
- 1.139,05
Responder:
    30/11/2024
REEMB.MAT EXPEDIENTE 11/2024
- 269,05
Responder:
    30/11/2024
TAXA DE ADM.GUARIDA IMOVEIS 11/2024
- 1.498,90
</t>
      </text>
    </comment>
    <comment ref="M13" authorId="3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27/12/2024
DIGIFILE - GUARDA/MOV DE DOCUM 11/2024 - GUARDA 1 CAIXA(S) DIGIFILE TECNOLOGIA EM DOCUMENTOS EIRELI EPP
- 1,16
Responder:
    30/12/2024
DECLARAÇÃO MENSAL EFD-REINF COMP. 11/2024
- 61,38
Responder:
    30/12/2024
PROCESSAMENTO DE CND'S COMP 122024 REF. A 3 CNDS
- 185,00
Responder:
    30/12/2024
REEMB.MAT EXPEDIENTE 12/2024
- 269,05
Responder:
    30/12/2024
TARIFA PIX REFERENTE A 19 CREDITO(S) EM CONTA REALIZADO(S)
- 47,31
Responder:
    30/12/2024
TAXA DE ADM.GUARIDA IMOVEIS 12/2024
- 1.498,90
Responder:
    30/12/2024
VLR.REF. CADASTRO FUNC.
- 259,90
Responder:
    30/12/2024
VLR.REF. CADASTRO FUNC.
- 259,90
</t>
      </text>
    </comment>
    <comment ref="N13" authorId="3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02/01/2025
PG. SALARIO E/OU PRÓ-LABORE NR. DOC: 218341095 12/2024 - MARCO AURELIO GOMES ALVARES
- 778,00
Responder:
    26/01/2025
EXCLUSIVE TAXA EXCLUSIVE COMP 012025
- 1.139,05
Responder:
    30/01/2025
DECLARAÇÃO MENSAL EFD-REINF COMP. 12/2024
- 61,38
Responder:
    31/01/2025
DIGIFILE - GUARDA/MOV DE DOCUM 12/2024 - GUARDA 1 CAIXA(S) DIGIFILE TECNOLOGIA EM DOCUMENTOS EIRELI EPP
- 1,16
Responder:
    31/01/2025
ENVIO /TRANSF. ELETRÔNICA REFERENTE A 19 CREDITO(S) EM CONTA REALIZADO(S)
- 94,05
Responder:
    31/01/2025
REEMB.MAT EXPEDIENTE 01/2025
- 269,05
Responder:
    31/01/2025
TAXA DE ADM.GUARIDA IMOVEIS 01/2025
- 1.498,90
</t>
      </text>
    </comment>
    <comment ref="D14" authorId="3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01/03/2024PG. SALARIO E/OU PRÓ-LABORE NR. DOC: 195615772 02/2024 - MOISES IRINEU CABRAL PINTO- 3.224,00
Responder:
    7/03/2024PG.FGTS NR. DOC: 195955788 02/2024 - CEF - FUNDO DE GARANTIA - FL PGTO.- 291,09
Responder:
    5/03/2024PG.SEGURO DE VIDA FUNC. NR. DOC: 196538344 02/2024 - MOISES IRINEU CABRAL PINTO YASUDA/MARITIMA SEGURADORA- 46,65
Responder:
    1082 CONTR PREV DESCONTA SEGURADO-EMPREGADO/AVULSO 335,45 
Responder:
    1138 CONTRIB PREVIDENCIÁRIA EMPRESA/EMPREGADOR 727,73 
Responder:
    1138 CONTRIB PREVIDENCIÁRIA EMPRESA/EMPREGADOR 1.369,35 
Responder:
    1170 CP TERCEIROS - SALÁRIO EDUCAÇÃO 90,96 
Responder:
    1176 CP TERCEIROS - INCRA 7,27 
Responder:
    1196 CP TERCEIROS - SESC 54,58 
Responder:
    1200 CP TERCEIROS - SEBRAE - EMPR CONTRIBUINTE SES 10,91 
Responder:
    1646 CONTRIB PREV RISCO AMBIENTAL/APOSENT ESPECIAL 36,38 
Responder:
    5952 RET DE CONTRIBUICOES PAGT PJ A PJ DE DIR PRIV 150,76 
Responder:
    8301 PIS - FOLHA DE SALARIOS 36,38 
Responder:
    25/03/2024PG.SECOVIMED NR. DOC: 197379826 02/2024 - SERVICO SOCIAL DA HABITACAO DO RIO GRANDE DO SUL - SECOVIMED - RS- 168,80
Responder:
    26/03/2024AUXÍLIO COMBUSTÍVEL 04/2024 TICKET SOLUCOES HDFGT S/A- 433,43 
Responder:
    27/03/2024PG.DESP.REFEICAO/ALIMENTACAO NR. DOC: 197743693 04/2024 - BANRISUL CARTÕES S/A - REFEISUL- 601,00
</t>
      </text>
    </comment>
    <comment ref="E14" authorId="3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01/04/2024PG. SALARIO E/OU PRÓ-LABORE NR. DOC: 197741888 03/2024 - MOISES IRINEU CABRAL PINTO- 3.316,00
Responder:
    15/04/2024PG.SEGURO DE VIDA FUNC. NR. DOC: 198728945 03/2024 - MOISES IRINEU CABRAL PINTO YASUDA/MARITIMA SEGURADORA- 46,65
Responder:
    9/04/2024PAG.REF. FGTS Mensal CAIXA ECONOMICA FEDERAL- 301,26
Responder:
    0561 IRRF - RENDIMENTO DO TRABALHO ASSALARIADO 79,64 
Responder:
    1082 CONTR PREV DESCONTA SEGURADO-EMPREGADO/AVULSO 347,79 
Responder:
    1138 CONTRIB PREVIDENCIÁRIA EMPRESA/EMPREGADOR 748,28 
Responder:
    1138 CONTRIB PREVIDENCIÁRIA EMPRESA/EMPREGADOR 1.369,35 
Responder:
    1170 CP TERCEIROS - SALÁRIO EDUCAÇÃO 93,53 
Responder:
    1176 CP TERCEIROS - INCRA 7,48 
Responder:
    1196 CP TERCEIROS - SESC 56,12 
Responder:
    1200 CP TERCEIROS - SEBRAE - EMPR CONTRIBUINTE SES 11,22 
Responder:
    1646 CONTRIB PREV RISCO AMBIENTAL/APOSENT ESPECIAL 37,41 
Responder:
    5952 RET DE CONTRIBUICOES PAGT PJ A PJ DE DIR PRIV 198,26 
Responder:
    8301 PIS - FOLHA DE SALARIOS 37,41 
Responder:
    5/04/2024PG.SECOVIMED NR. DOC: 199353542 03/2024 - SERVICO SOCIAL DA HABITACAO DO RIO GRANDE DO SUL - SECOVIMED - RS- 168,80
Responder:
    26/04/2024AUXÍLIO COMBUSTÍVEL 05/2024 TICKET SOLUCOES HDFGT S/A- 413,86
</t>
      </text>
    </comment>
    <comment ref="F14" authorId="3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2/05/2024PG. SALARIO E/OU PRÓ-LABORE NR. DOC: 199932259 04/2024 - MOISES IRINEU CABRAL PINTO- 3.381,00
Responder:
    10/05/2024PG.RETENCAO ISSQN NR. DOC: 202411582 V:12/04/2024 ATIVA MEDICINA E SEGURANÇA DO TRABALHO LTDA- 2,48
Responder:
    13/05/2024PG.LAUDO PPRA/PCMSO NF.: 202415002 VALOR FIXO MENSAL PARA E-SOCIAL ATIVA MEDICINA E SEGURANÇA DO TRABALHO LTDA- 121,69
Responder:
    15/05/2024PG.SEGURO DE VIDA FUNC. NR. DOC: 201029798 04/2024 - MOISES IRINEU CABRAL PINTO YASUDA/MARITIMA SEGURADORA- 46,65
Responder:
    28/05/2024AUXÍLIO COMBUSTÍVEL 06/2024 TICKET SOLUCOES HDFGT S/A- 3.915,96
Responder:
    28/05/2024PG.DESP.REFEICAO/ALIMENTACAO NR. DOC: 202374458 06/2024 - BANRISUL CARTÕES S/A - REFEISUL- 601,00
Responder:
    31/05/2024PG.FGTS FGTS Mensal CAIXA ECONOMICA FEDERAL- 308,40
Responder:
    0561 IRRF - RENDIMENTO DO TRABALHO ASSALARIADO 98,70 98,70 07 IRRF - RD TRB ASSAL PAÍS/AUS NO EXT A SERV PAÍS 
Responder:
    1138 CONTRIB PREVIDENCIÁRIA EMPRESA/EMPREGADOR 771,00 771,00 01 CP PATRONAL - EMPREGADOS/AVULSOS PA:04/2024 Vencimento:30/08/2024 
Responder:
    1176 CP TERCEIROS - INCRA 7,71 7,71 01 CP TERCEIROS - INCRA PA:04/2024 Vencimento:30/08/2024 
Responder:
    1196 CP TERCEIROS - SESC 57,82 
Responder:
    1646 CONTRIB PREV RISCO AMBIENTAL/APOSENT ESPECIAL 38,55 38,55 01 CP PATRONAL - GILRAT AJUSTADO PA:04/2024 Vencimento:30/08/2024 
Responder:
    5952 RET DE CONTRIBUICOES PAGT PJ A PJ DE DIR PRIV 116,46 116,46 07 RET DE CONTRIBUICOES PAGT PJ A PJ DE DIR PRIV PA:04/2024 Vencimento:30/08/2024 
Responder:
    8301 PIS - FOLHA DE SALARIOS 38,55 38,55 02 PIS - FOLHA DE SALARIOS PA:04/2024 Vencimento:30/08/2024 
Responder:
    31/05/2024PG. SALARIO E/OU PRÓ-LABORE NR. DOC: 202459167 05/2024 - MOISES IRINEU CABRAL PINTO- 3.215,00
</t>
      </text>
    </comment>
    <comment ref="G14" authorId="3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14/06/2024PG.SEGURO DE VIDA FUNC. NR. DOC: 203457478 05/2024 - MOISES IRINEU CABRAL PINTO YASUDA/MARITIMA SEGURADORA- 46,65
Responder:
    20/06/2024PG.FGTS FGTS Mensal CAIXA ECONOMICA FEDERAL- 290,07
Responder:
    25/06/2024PG.SECOVIMED NR. DOC: 203898245 05/2024 - SERVICO SOCIAL DA HABITACAO DO RIO GRANDE DO SUL - SECOVIMED - RS- 168,80
Responder:
    26/06/2024AUXÍLIO COMBUSTÍVEL 07/2024 TICKET SOLUCOES HDFGT S/A- 452,99
Responder:
    27/06/2024PG.DESP.REFEICAO/ALIMENTACAO NR. DOC: 204381598 07/2024 - BANRISUL CARTÕES S/A - REFEISUL- 601,00
Responder:
    0561 IRRF - RENDIMENTO DO TRABALHO ASSALARIADO 112,09 112,09 07 IRRF - RD TRB ASSAL PAÍS/AUS NO EXT A SERV PAÍS PA:05/2024 Vencimento:30/09/2024 
Responder:
    1099 CP SEGURADOS - CONTRIBUINTES INDIVIDUAIS - 11 753,14 753,14 01 CP SEGURADOS - CONTRIBUINTES INDIVIDUAIS - 11% PA:05/2024 Vencimento:30/09/2024 
Responder:
    1138 CONTRIB PREVIDENCIÁRIA EMPRESA/EMPREGADOR 1.369,35 1.369,35 04 CP PATRONAL - CONTRIBUINTES INDIVIDUAIS PA:05/2024 Vencimento:30/09/2024 
Responder:
    1170 CP TERCEIROS - SALÁRIO EDUCAÇÃO 90,64 90,64 01 CP TERCEIROS - SALÁRIO EDUCAÇÃO PA:05/2024 Vencimento:30/09/2024 
Responder:
    1176 CP TERCEIROS - INCRA 7,25 7,25 01 CP TERCEIROS - INCRA PA:05/2024 Vencimento:30/09/2024 
Responder:
    1196 CP TERCEIROS - SESC 54,38 
Responder:
    1200 CP TERCEIROS - SEBRAE - EMPR CONTRIBUINTE SES 10,87 10,87 02 CP TERCEIROS - SEBRAE - EMPR CONTRIBUINTE SESC PA:05/2024 Vencimento:30/09/2024 
Responder:
    1646 CONTRIB PREV RISCO AMBIENTAL/APOSENT ESPECIAL 36,25 36,25 01 CP PATRONAL - GILRAT AJUSTADO PA:05/2024 Vencimento:30/09/2024 
Responder:
    1708 IRRF - REMUNER SERV PRESTADOS POR PJ 27,82 27,82 06 IRRF - REMUNER SERV PRESTADOS POR PJ PA:05/2024 Vencimento:30/09/2024 
Responder:
    8301 PIS - FOLHA DE SALARIOS 36,25 36,25 02 PIS - FOLHA DE SALARIOS PA:05/2024 Vencimento:30/09/2024 </t>
      </text>
    </comment>
    <comment ref="H14" authorId="3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01/07/2024
PG. SALARIO E/OU PRÓ-LABORE NR. DOC: 204595382 06/2024 - MOISES IRINEU CABRAL PINTO
- 3.537,00
Responder:
    15/07/2024
PG.SEGURO DE VIDA FUNC. NR. DOC: 205865489 06/2024 - MOISES IRINEU CABRAL PINTO YASUDA/MARITIMA SEGURADORA
- 46,65
Responder:
    19/07/2024
PG.FGTS FGTS Mensal CAIXA ECONOMICA FEDERAL
- 325,62
Responder:
    19/07/2024
PG.FGTS FGTS Mensal CAIXA ECONOMICA FEDERAL
- 325,62
Responder:
    1138 CONTRIB PREVIDENCIÁRIA EMPRESA/EMPREGADOR 814,06 814,06 01 CP PATRONAL - EMPREGADOS/AVULSOS PA:06/2024 Vencimento:19/07/2024 
Responder:
    1138 CONTRIB PREVIDENCIÁRIA EMPRESA/EMPREGADOR 1.369,35 1.369,35 04 CP PATRONAL - CONTRIBUINTES INDIVIDUAIS PA:06/2024 Vencimento:19/07/2024 
Responder:
    1170 CP TERCEIROS - SALÁRIO EDUCAÇÃO 101,75 101,75 01 CP TERCEIROS - SALÁRIO EDUCAÇÃO PA:06/2024 Vencimento:19/07/2024 
Responder:
    1646 CONTRIB PREV RISCO AMBIENTAL/APOSENT ESPECIAL 40,70 40,70 01 CP PATRONAL - GILRAT AJUSTADO PA:06/2024 Vencimento:19/07/2024 
Responder:
    8301 PIS - FOLHA DE SALARIOS 40,70 40,70 02 PIS - FOLHA DE SALARIOS PA:06/2024 Vencimento:25/07/2024 
Responder:
    25/07/2024
PG.SECOVIMED NR. DOC: 206540874 06/2024 - SERVICO SOCIAL DA HABITACAO DO RIO GRANDE DO SUL - SECOVIMED - RS
- 168,80
Responder:
    29/07/2024
PG.DESP.REFEICAO/ALIMENTACAO NR. DOC: 207263415 08/2024 - BANRISUL CARTÕES S/A - REFEISUL
- 601,00
</t>
      </text>
    </comment>
    <comment ref="I14" authorId="4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01/08/2024
PG. SALARIO E/OU PRÓ-LABORE NR. DOC: 207303320 07/2024 - MOISES IRINEU CABRAL PINTO
- 3.669,00
Responder:
    15/08/2024
PG.SEGURO DE VIDA FUNC. NR. DOC: 208146352 07/2024 - MOISES IRINEU CABRAL PINTO TOKIO MARINE SEGURADORA S.A.
- 48,38
Responder:
    20/08/2024
PG.CONTR.ASSISTENCIAL - SINDEF NR. DOC: 612120082024 Contribuicao Assistencial SIND INTERMUN DOS TRAB EM EDIF E COND RES, COM E MISTOS, SHOPPING CENTERS E FLATS, E DE TRAB EM EMPR
- 81,00
Responder:
    20/08/2024
PG.FGTS FGTS Mensal CAIXA ECONOMICA FEDERAL
- 350,12
Responder:
    0561 IRRF - RENDIMENTO DO TRABALHO ASSALARIADO 144,38 144,38 07 IRRF - RD TRB ASSAL PAÍS/AUS NO EXT A SERV PAÍS PA:07/2024 Vencimento:20/08/2024 
Responder:
    1082 CONTR PREV DESCONTA SEGURADO-EMPREGADO/AVULSO 431,53 431,53 01 CP SEGURADOS - EMPREGADOS/AVULSO PA:07/2024 Vencimento:20/08/2024 
Responder:
    1138 CONTRIB PREVIDENCIÁRIA EMPRESA/EMPREGADOR 875,31 875,31 01 CP PATRONAL - EMPREGADOS/AVULSOS PA:07/2024 Vencimento:20/08/2024 
Responder:
    1646 CONTRIB PREV RISCO AMBIENTAL/APOSENT ESPECIAL 43,76 43,76 01 CP PATRONAL - GILRAT AJUSTADO PA:07/2024 Vencimento:20/08/2024 5952 RET DE CONTRIBUICOES PAGT PJ A PJ DE DIR PRIV 152,16 152,16 07 RET DE CONTRIBUICOES PAGT PJ A PJ DE DIR PRIV PA:07/2024 Vencimento:20/08/2024 8301 PIS - FOLHA DE SALARIOS 43,76 43,76 02 PIS - FOLHA DE SALARIOS PA:07/2024 Vencimento:23/08/2024 
Responder:
    22/08/2024
AUXÍLIO COMBUSTÍVEL NR. DOC: 11935755 08/2024 TICKET SOLUCOES HDFGT S/A
- 433,43
Responder:
    26/08/2024
PG.SECOVIMED NR. DOC: 208357146 07/2024 - SERVICO SOCIAL DA HABITACAO DO RIO GRANDE DO SUL - SECOVIMED - RS
- 201,38
Responder:
    28/08/2024
AUXÍLIO COMBUSTÍVEL 09/2024 TICKET SOLUCOES HDFGT S/A
- 394,30
Responder:
    8/08/2024
PG.ASSIST.PATRONAL - SECOVI NR. DOC: 30253440000180690 08/2024 SIND.INTERMUNICIPAL EMPR.COMPRA,VENDA,LOC.E ADM.IMOV.E COND. RES.E COM.NO RS
- 193,87
Responder:
    29/08/2024
PG.DESP.REFEICAO/ALIMENTACAO NR. DOC: 209208473 09/2024 - BANRISUL CARTÕES S/A - REFEISUL
- 600,00
Responder:
    30/08/2024
DIGIFILE - GUARDA/MOV DE DOCUM 07/2024 - GUARDA 1 CAIXA(S) DIGIFILE TECNOLOGIA EM DOCUMENTOS EIRELI EPP
- 1,16
</t>
      </text>
    </comment>
    <comment ref="J14" authorId="4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02/09/2024
PG. SALARIO E/OU PRÓ-LABORE NR. DOC: 209553240 08/2024 - MOISES IRINEU CABRAL PINTO
- 3.262,00
Responder:
    13/09/2024
PG.SEGURO DE VIDA FUNC. NR. DOC: 210234649 08/2024 - MOISES IRINEU CABRAL PINTO TOKIO MARINE SEGURADORA S.A.
- 48,38
Responder:
    19/09/2024
PG.FGTS FGTS Mensal CAIXA ECONOMICA FEDERAL
- 295,33
Responder:
    0561 IRRF - RENDIMENTO DO TRABALHO ASSALARIADO 194,87 194,87 07 IRRF - RD TRB ASSAL PAÍS/AUS NO EXT A SERV PAÍS PA:08/2024 Vencimento:19/09/2024 
Responder:
    1082 CONTR PREV DESCONTA SEGURADO-EMPREGADO/AVULSO 341,81 341,81 01 CP SEGURADOS - EMPREGADOS/AVULSO PA:08/2024 Vencimento:19/09/2024 
Responder:
    CONTRIB PREVIDENCIÁRIA EMPRESA/EMPREGADOR 738,33 738,33 01 CP PATRONAL - EMPREGADOS/AVULSOS PA:08/2024 Vencimento:19/09/2024 
Responder:
    1646 CONTRIB PREV RISCO AMBIENTAL/APOSENT ESPECIAL 36,91 36,91 01 CP PATRONAL - GILRAT AJUSTADO PA:08/2024 Vencimento:19/09/2024 
Responder:
    8301 PIS - FOLHA DE SALARIOS 36,91 36,91 02 PIS - FOLHA DE SALARIOS PA:08/2024 Vencimento:25/09/2024 
Responder:
    26/09/2024
AUXÍLIO COMBUSTÍVEL 10/2024 TICKET SOLUCOES HDFGT S/A
- 452,99
Responder:
    27/09/2024
PG.DESP.REFEICAO/ALIMENTACAO NR. DOC: 211158749 10/2024 - BANRISUL CARTÕES S/A - REFEISUL
- 600,00
</t>
      </text>
    </comment>
    <comment ref="K14" authorId="4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01/10/2024
PG. SALARIO E/OU PRÓ-LABORE NR. DOC: 211650077 09/2024 - MOISES IRINEU CABRAL PINTO
- 3.882,00
Responder:
    15/10/2024
PG.SEGURO DE VIDA FUNC. NR. DOC: 212447838 09/2024 - MOISES IRINEU CABRAL PINTO TOKIO MARINE SEGURADORA S.A.
- 48,38
Responder:
    18/10/2024
PG.FGTS FGTS Mensal CAIXA ECONOMICA FEDERAL
- 366,63
Responder:
    1082 CONTR PREV DESCONTA SEGURADO-EMPREGADO/AVULSO 460,42 460,42 01 CP SEGURADOS - EMPREGADOS/AVULSO PA:09/2024 Vencimento:18/10/2024 
Responder:
    1138 CONTRIB PREVIDENCIÁRIA EMPRESA/EMPREGADOR 916,59 916,59 01 CP PATRONAL - EMPREGADOS/AVULSOS PA:09/2024 Vencimento:18/10/2024 
Responder:
    1646 CONTRIB PREV RISCO AMBIENTAL/APOSENT ESPECIAL 45,82 45,82 01 CP PATRONAL - GILRAT AJUSTADO PA:09/2024 Vencimento:18/10/2024 
Responder:
    0561 IRRF - RENDIMENTO DO TRABALHO ASSALARIADO 87,59 87,59 07 IRRF - RD TRB ASSAL PAÍS/AUS NO EXT A SERV PAÍS PA:09/2024 Vencimento:18/10/2024 
Responder:
    8301 PIS - FOLHA DE SALARIOS 45,82 45,82 02 PIS - FOLHA DE SALARIOS PA:09/2024 Vencimento:25/10/2024 
Responder:
    22/10/2024
PG.RESSARCIMENTO NR. DOC: 20242210 REF. A 03 ALMOOS DANIEL DIAS MEIRELES
Responder:
    25/10/2024
AUXÍLIO COMBUSTÍVEL 11/2024 PLUXEE FROTA E COMBUSTIVEL BRASIL
- 384,00
Responder:
    25/10/2024
PG.SECOVIMED NR. DOC: 213063009 09/2024 - SERVICO SOCIAL DA HABITACAO DO RIO GRANDE DO SUL - SECOVIMED - RS
- 175,32
Responder:
    29/10/2024
PG.DESP.REFEICAO/ALIMENTACAO NR. DOC: 213464362 11/2024 - BANRISUL CARTÕES S/A - REFEISUL
- 600,00
</t>
      </text>
    </comment>
    <comment ref="L14" authorId="4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01/11/2024
PG. SALARIO E/OU PRÓ-LABORE NR. DOC: 213895779 10/2024 - MOISES IRINEU CABRAL PINTO
- 3.563,00
Responder:
    12/11/2024
PG.EXAME MEDICO NF.: 202435205 VALOR EXAME PERIÓDICO DO COLABORADOR MOISÉS IRINEU CABRAL PINTO ATIVA MEDICINA E SEGURANÇA DO TRABALHO LTDA
- 102,90
Responder:
    14/11/2024
AUXÍLIO COMBUSTÍVEL NR. DOC: 612113112024 PAG. VALE COMB. NOVEMBRO ALEX SANDRO PASTUCH
- 126,72
Responder:
    14/11/2024
PG.VALE REFEICAO NR. DOC: 612113112024 PAG. VA NOVEMBRO ALEX SANDRO PASTUCH
- 120,00
Responder:
    19/11/2024
PG.FGTS NR. DOC: 0124111237895417-6 FGTS Mensal CAIXA ECONOMICA FEDERAL
- 328,53
Responder:
    1082 CONTR PREV DESCONTA SEGURADO-EMPREGADO/AVULSO 393,74 393,74
01 CP SEGURADOS - EMPREGADOS/AVULSO
PA:10/2024 Vencimento:19/11/2024
Responder:
    1138 CONTRIB PREVIDENCIÁRIA EMPRESA/EMPREGADOR 821,33 821,33 01 CP PATRONAL - EMPREGADOS/AVULSOS PA:10/2024 Vencimento:19/11/2024 
Responder:
    1646 CONTRIB PREV RISCO AMBIENTAL/APOSENT ESPECIAL 41,06 41,06 01 CP PATRONAL - GILRAT AJUSTADO PA:10/2024 Vencimento:19/11/2024 
Responder:
    8301 PIS - FOLHA DE SALARIOS 41,06 41,06 02 PIS - FOLHA DE SALARIOS PA:10/2024 Vencimento:25/11/2024 
Responder:
    22/11/2024
PG.ADIANT.13° SALARIO NR. DOC: 215084308 11/2024 - MOISES IRINEU CABRAL PINTO
- 2.072,63
Responder:
    25/11/2024
PG.SECOVIMED NR. DOC: 214805851 10/2024 - SERVICO SOCIAL DA HABITACAO DO RIO GRANDE DO SUL - SECOVIMED - RS
- 175,32
Responder:
    27/11/2024
AUXÍLIO COMBUSTÍVEL 12/2024 PLUXEE FROTA E COMBUSTIVEL BRASIL
- 403,20
Responder:
    28/11/2024
PG.DESP.REFEICAO/ALIMENTACAO NR. DOC: 215644575 12/2024 - BANRISUL CARTÕES S/A - REFEISUL
- 600,00
Responder:
    29/11/2024
AUXÍLIO COMBUSTÍVEL 12/2024 ALEX SANDRO PASTUCH
- 316,80
Responder:
    29/11/2024
DIGIFILE - GUARDA/MOV DE DOCUM 10/2024 - GUARDA 1 CAIXA(S) DIGIFILE TECNOLOGIA EM DOCUMENTOS EIRELI EPP
- 1,16
Responder:
    29/11/2024
PG.VALE REFEICAO 12/2024 ALEX SANDRO PASTUCH
- 300,00
Responder:
    29/11/2024
VLR.REF. CADASTRO FUNC.
- 259,90
</t>
      </text>
    </comment>
    <comment ref="M14" authorId="4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02/12/2024
PG. INSS/IRRF - FPM/TERCEIROS NR. DOC: 50000284959347 CP 10/2024 INSS NF 20243357 MINISTERIO DA PREVIDENCIA SOCIAL
- 321,19
Responder:
    02/12/2024
PG.SALARIO ALEX SANDRO PASTUCH
- 1.195,00
Responder:
    02/12/2024
PG. SALARIO E/OU PRÓ-LABORE NR. DOC: 216063420 11/2024 - MOISES IRINEU CABRAL PINTO
- 3.088,00
Responder:
    03/12/2024
PG.UNIFORMES NF.: 11111 P/ USO NOVO OFICIAL MANUTENÇÃO ( NF DEVOLUÇÃO 11140) TOROTTO C V LONAS E MATERIAIS CONSTRUCAO
- 235,14
Responder:
    05/12/2024
PAG.REF. VALE ALIMENTAÇÃO/ VALE COMBUSTÍVEL ALEX SANDRO PASTUCH
- 82,24
Responder:
    05/12/2024
PG.SALARIO SALÁRIO PROPORCIONAL + INSALUBRIDADE PROPORCIONAL ALEX SANDRO PASTUCH
- 302,81
Responder:
    12/12/2024
PG.EXAME MEDICO NF.: 202438696 EXAME MÉDICO - ALEX SANDRO PASTUCH ATIVA MEDICINA E SEGURANÇA DO TRABALHO LTDA
- 102,90
Responder:
    12/12/2024
PG.SEGURO DE VIDA FUNC. NR. DOC: 216689891 11/2024 - ALEX SANDRO PASTUCH TOKIO MARINE SEGURADORA S.A.
- 48,38
Responder:
    12/12/2024
PG.SEGURO DE VIDA FUNC. NR. DOC: 216689892 11/2024 - MOISES IRINEU CABRAL PINTO TOKIO MARINE SEGURADORA S.A.
- 48,38
Responder:
    13/12/2024
PG.ADIANT.SAL. QUINZ. FOLHA 12/2024 ALEX SANDRO PASTUCH
- 681,00
Responder:
    16/12/2024
PG.13° SALARIO NR. DOC: 216976977 12/2024 - MOISES IRINEU CABRAL PINTO
- 1.508,26
Responder:
    19/12/2024
PG.RESC.TRABALHO ALEX SANDRO PASTUCH
- 46,71
Responder:
    20/12/2024
PG.FGTS NR. DOC: 0124121543860250-6 FGTS Mensal CAIXA ECONOMICA FEDERAL
- 542,30
Responder:
    20/12/2024
PG.INSS 13° SALARIO NR. DOC: 50000295358619 CP. 12/2024 - 13 Salario MINISTERIO DA PREVIDENCIA SOCIAL
- 1.492,12
Responder:
    1082 CONTR PREV DESCONTA SEGURADO-EMPREGADO/AVULSO 371,99 371,99 01 CP SEGURADOS - EMPREGADOS/AVULSO PA:11/2024 Vencimento:20/12/2024 
Responder:
    1138 CONTRIB PREVIDENCIÁRIA EMPRESA/EMPREGADOR 941,24 941,24 01 CP PATRONAL - EMPREGADOS/AVULSOS PA:11/2024 Vencimento:20/12/2024 
Responder:
    1646 CONTRIB PREV RISCO AMBIENTAL/APOSENT ESPECIAL 47,06 47,06 01 CP PATRONAL - GILRAT AJUSTADO PA:11/2024 Vencimento:20/12/2024 
Responder:
    8301 PIS - FOLHA DE SALARIOS 47,06 47,06 02 PIS - FOLHA DE SALARIOS PA:11/2024 Vencimento:24/12/2024 
Responder:
    20/12/2024
PG.VALE REFEICAO NR. DOC: 612119122024 MARCO AURELIO GOMES ALVARES
- 120,00
Responder:
    20/12/2024
PG.VALE TRANSPORTE NR. DOC: 612119122024 MARCO AURELIO GOMES ALVARES
- 67,20
Responder:
    26/12/2024
PG.SECOVIMED NR. DOC: 216848552 11/2024 - SERVICO SOCIAL DA HABITACAO DO RIO GRANDE DO SUL - SECOVIMED - RS
- 175,32
Responder:
    27/12/2024
AUXÍLIO COMBUSTÍVEL NR. DOC: 2437443338 PLUXEE FROTA E COMBUSTIVEL BRASIL
- 76,80
Responder:
    30/12/2024
PG.FERIAS FUNCIONARIO NR. DOC: 217872333 12/2024 - MOISES IRINEU CABRAL PINTO
- 5.203,24
Responder:
    30/12/2024
PG.VALE REFEICAO NR. DOC: 612119122024 MARCO AURELIO GOMES ALVARES
- 300,00
Responder:
    30/12/2024
PG.VALE TRANSPORTE NR. DOC: 612119122024 MARCO AURELIO GOMES ALVARES
- 211,20
</t>
      </text>
    </comment>
    <comment ref="N14" authorId="4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15/01/2025
PG.SEGURO DE VIDA FUNC. NR. DOC: 218924611 12/2024 - MARCO AURELIO GOMES ALVARES TOKIO MARINE SEGURADORA S.A.
- 48,38
Responder:
    15/01/2025
PG.SEGURO DE VIDA FUNC. NR. DOC: 218924612 12/2024 - MOISES IRINEU CABRAL PINTO TOKIO MARINE SEGURADORA S.A.
- 48,38
Responder:
    20/01/2025
PG.FGTS NR. DOC: 0125011549708920-0 FGTS Mensal CAIXA ECONOMICA FEDERAL
- 585,65
Responder:
    1082 CONTR PREV DESCONTA SEGURADO-EMPREGADO/AVULSO 423,52 423,52 01 CP SEGURADOS - EMPREGADOS/AVULSO PA:12/2024 Vencimento:20/01/2025 
Responder:
    1138 CONTRIB PREVIDENCIÁRIA EMPRESA/EMPREGADOR 1.052,35 1.052,35 01 CP PATRONAL - EMPREGADOS/AVULSOS PA:12/2024 Vencimento:20/01/2025 
Responder:
    1646 CONTRIB PREV RISCO AMBIENTAL/APOSENT ESPECIAL 52,61 52,61 01 CP PATRONAL - GILRAT AJUSTADO PA:12/2024 Vencimento:20/01/2025 
Responder:
    0561 IRRF - RENDIMENTO DO TRABALHO ASSALARIADO 304,55 304,55 07 IRRF - RD TRB ASSAL PAÍS/AUS NO EXT A SERV PAÍS PA:12/2024 Vencimento:20/01/2025 
Responder:
    8301 PIS - FOLHA DE SALARIOS 52,61 52,61 02 PIS - FOLHA DE SALARIOS PA:12/2024 Vencimento:24/01/2025 
Responder:
    27/01/2025
PG.SECOVIMED NR. DOC: 219503266 12/2024 - SERVICO SOCIAL DA HABITACAO DO RIO GRANDE DO SUL - SECOVIMED - RS
- 175,32
Responder:
    27/01/2025
PG.VALE TRANSPORTE - TRI NR. DOC: 219502701 02/2025 - MARCO AURELIO GOMES ALVARES VT SOLUCOES ADMINISTRACAO E SERVICOS LTD
- 192,00
Responder:
    29/01/2025
AUXÍLIO COMBUSTÍVEL NR. DOC: 2537778168 PLUXEE FROTA E COMBUSTIVEL BRASIL
- 384,00
Responder:
    29/01/2025
PG.DESP.REFEICAO/ALIMENTACAO NR. DOC: 219909068 02/2025 - BANRISUL SOL. EM PAG. S.A - BANRISUL CARTÕES - REFEISUL
- 900,00
Responder:
    30/01/2025
PG.VALE REFEICAO BANRISUL SOL. EM PAG. S.A - BANRISUL CARTÕES - REFEISUL
- 200,00
Responder:
    31/01/2025
PG. SALARIO E/OU PRÓ-LABORE NR. DOC: 220303898 01/2025 - MARCO AURELIO GOMES ALVARES
- 1.212,00
Responder:
    31/01/2025
PG. SALARIO E/OU PRÓ-LABORE NR. DOC: 220303899 01/2025 - MOISES IRINEU CABRAL PINTO
- 874,00
Responder:
    02/01/2025
PG. SALARIO E/OU PRÓ-LABORE NR. DOC: 218341096 12/2024 - MOISES IRINEU CABRAL PINTO
- 3.046,00
Responder:
    02/01/2025
PG. SALARIO E/OU PRÓ-LABORE NR. DOC: 218341095 12/2024 - MARCO AURELIO GOMES ALVARES
- 778,00
Responder:
    29/01/2025
AUXÍLIO COMBUSTÍVEL NR. DOC: 2537778168 PLUXEE FROTA E COMBUSTIVEL BRASIL
- 384,00
</t>
      </text>
    </comment>
    <comment ref="O14" authorId="4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14/02/2025
PG.ADIANT.SAL. QUINZ. NR. DOC: 221362189 02/2025 - MARCO AURELIO GOMES ALVARES
- 681,00
Responder:
    17/02/2025
PG.SEGURO DE VIDA FUNC. NR. DOC: 221252397 01/2025 - MARCO AURELIO GOMES ALVARES TOKIO MARINE SEGURADORA S.A.
- 48,38
Responder:
    17/02/2025
PG.SEGURO DE VIDA FUNC. NR. DOC: 221252398 01/2025 - MOISES IRINEU CABRAL PINTO TOKIO MARINE SEGURADORA S.A.
- 48,38
Responder:
    19/02/2025
PG.FGTS NR. DOC: 0125021855255610-4 FGTS Mensal CAIXA ECONOMICA FEDERAL
- 554,87
Responder:
    9/02/2025
PG.VALE TRANSPORTE - TRI NR. DOC: 221482200 03/2025 - MARCO AURELIO GOMES ALVARES VT SOLUCOES ADMINISTRACAO E SERVICOS LTD
- 201,60
Responder:
    20/02/2025
PG. INSS/IRRF - FPM/TERCEIROS NR. DOC: 50000313181445 CP. 01/2025 MINISTERIO DA PREVIDENCIA SOCIAL
- 17.354,45
Responder:
    25/02/2025
PG.SECOVIMED NR. DOC: 221225540 01/2025 - SERVICO SOCIAL DA HABITACAO DO RIO GRANDE DO SUL - SECOVIMED - RS
- 175,32
Responder:
    26/02/2025
AUXÍLIO COMBUSTÍVEL NR. DOC: 2538085295 PLUXEE FROTA E COMBUSTIVEL BRASIL
- 403,20
</t>
      </text>
    </comment>
    <comment ref="D15" authorId="4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05/03/2024PG. REMUNERACAO SINDICO REF. REF. 02/2024 PAULO RICARDO WAGNER- 6.093,62
Responder:
    1099 CP SEGURADOS - CONTRIBUINTES INDIVIDUAIS - 11 753,14 </t>
      </text>
    </comment>
    <comment ref="E15" authorId="4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10/04/2024PG.REMUNERACAO SINDICO(A) PAULO RICARDO WAGNER- 6.093,62
Responder:
    1099 CP SEGURADOS - CONTRIBUINTES INDIVIDUAIS - 11 753,14 </t>
      </text>
    </comment>
    <comment ref="F15" authorId="4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06/05/2024PG.REMUNERACAO SINDICO(A) PAULO RICARDO WAGNER- 6.093,62
Responder:
    1082 CONTR PREV DESCONTA SEGURADO-EMPREGADO/AVULSO 361,41 361,41 01 CP SEGURADOS - EMPREGADOS/AVULSO PA:04/2024 Vencimento:30/08/2024 
Responder:
    1099 CP SEGURADOS - CONTRIBUINTES INDIVIDUAIS - 11 753,14 753,14 01 CP SEGURADOS - CONTRIBUINTES INDIVIDUAIS - 11% PA:04/2024 Vencimento:30/08/2024 </t>
      </text>
    </comment>
    <comment ref="G15" authorId="5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05/06/2024PG.REMUNERACAO SINDICO(A) PAULO RICARDO WAGNER- 6.093,62
Responder:
    1082 CONTR PREV DESCONTA SEGURADO-EMPREGADO/AVULSO 333,93 333,93 01 CP SEGURADOS - EMPREGADOS/AVULSO PA:05/2024 Vencimento:30/09/2024 
Responder:
    1138 CONTRIB PREVIDENCIÁRIA EMPRESA/EMPREGADOR 725,18 725,18 01 CP PATRONAL - EMPREGADOS/AVULSOS PA:05/2024 Vencimento:30/09/2024 </t>
      </text>
    </comment>
    <comment ref="H15" authorId="5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05/07/2024
PG.REMUNERACAO SINDICO(A) PAULO RICARDO WAGNER
- 6.093,62
Responder:
    1082 CONTR PREV DESCONTA SEGURADO-EMPREGADO/AVULSO 388,65 388,65 01 CP SEGURADOS - EMPREGADOS/AVULSO PA:06/2024 Vencimento:19/07/2024 
Responder:
    1099 CP SEGURADOS - CONTRIBUINTES INDIVIDUAIS - 11 753,14 753,14 01 CP SEGURADOS - CONTRIBUINTES INDIVIDUAIS - 11% PA:06/2024 Vencimento:19/07/2024 </t>
      </text>
    </comment>
    <comment ref="I15" authorId="5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05/08/2024
PG.REMUNERACAO SINDICO(A) PAULO RICARDO WAGNER
- 6.093,62
Responder:
    1099 CP SEGURADOS - CONTRIBUINTES INDIVIDUAIS - 11 753,14 753,14 01 CP SEGURADOS - CONTRIBUINTES INDIVIDUAIS - 11% PA:07/2024 Vencimento:20/08/2024 
Responder:
    1138 CONTRIB PREVIDENCIÁRIA EMPRESA/EMPREGADOR 1.369,35 1.369,35 04 CP PATRONAL - CONTRIBUINTES INDIVIDUAIS PA:07/2024 Vencimento:20/08/2024 </t>
      </text>
    </comment>
    <comment ref="J15" authorId="5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05/09/2024
PG.REMUNERACAO SINDICO(A) PAULO RICARDO WAGNER
- 6.093,62
Responder:
    1099 CP SEGURADOS - CONTRIBUINTES INDIVIDUAIS - 11 753,14 753,14 01 CP SEGURADOS - CONTRIBUINTES INDIVIDUAIS - 11% PA:08/2024 Vencimento:19/09/2024 
Responder:
    1138 CONTRIB PREVIDENCIÁRIA EMPRESA/EMPREGADOR 1.369,35 1.369,35 04 CP PATRONAL - CONTRIBUINTES INDIVIDUAIS PA:08/2024 Vencimento:19/09/2024 </t>
      </text>
    </comment>
    <comment ref="K15" authorId="5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07/10/2024
PG.REMUNERACAO SINDICO(A) PAULO RICARDO WAGNER
- 6.093,62
Responder:
    1099 CP SEGURADOS - CONTRIBUINTES INDIVIDUAIS - 11 753,14 753,14 01 CP SEGURADOS - CONTRIBUINTES INDIVIDUAIS - 11% PA:09/2024 Vencimento:18/10/2024 
Responder:
    CONTRIB PREVIDENCIÁRIA EMPRESA/EMPREGADOR 1.369,35 1.369,35 04 CP PATRONAL - CONTRIBUINTES INDIVIDUAIS PA:09/2024 Vencimento:18/10/2024 </t>
      </text>
    </comment>
    <comment ref="L15" authorId="5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05/11/2024
PG.REMUNERACAO SINDICO(A) PAULO RICARDO WAGNER
- 6.093,62
Responder:
    1099 CP SEGURADOS - CONTRIBUINTES INDIVIDUAIS - 11 753,14 753,14 01 CP SEGURADOS - CONTRIBUINTES INDIVIDUAIS - 11% PA:10/2024 Vencimento:19/11/2024 
Responder:
    1138 CONTRIB PREVIDENCIÁRIA EMPRESA/EMPREGADOR 1.369,35 1.369,35 04 CP PATRONAL - CONTRIBUINTES INDIVIDUAIS PA:10/2024 Vencimento:19/11/2024 </t>
      </text>
    </comment>
    <comment ref="M15" authorId="5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05/12/2024
PG.REMUNERACAO SINDICO(A) PAULO RICARDO WAGNER
- 6.093,62
Responder:
    1099 CP SEGURADOS - CONTRIBUINTES INDIVIDUAIS - 11 753,14 753,14 01 CP SEGURADOS - CONTRIBUINTES INDIVIDUAIS - 11% PA:11/2024 Vencimento:20/12/2024 
Responder:
    1138 CONTRIB PREVIDENCIÁRIA EMPRESA/EMPREGADOR 1.369,35 1.369,35 04 CP PATRONAL - CONTRIBUINTES INDIVIDUAIS PA:11/2024 Vencimento:20/12/2024 </t>
      </text>
    </comment>
    <comment ref="N15" authorId="5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06/01/2025
PG.REMUNERACAO SINDICO(A) PAULO RICARDO WAGNER
- 6.093,62
Responder:
    1099 CP SEGURADOS - CONTRIBUINTES INDIVIDUAIS - 11 790,56 790,56 01 CP SEGURADOS - CONTRIBUINTES INDIVIDUAIS - 11% PA:12/2024 Vencimento:20/01/2025 
Responder:
    1138 CONTRIB PREVIDENCIÁRIA EMPRESA/EMPREGADOR 1.437,40 1.437,40 04 CP PATRONAL - CONTRIBUINTES INDIVIDUAIS PA:12/2024 Vencimento:20/01/2025 
Responder:
    27/01/2025
PRO-LABORE DIFERENÇA JANEIRO/25 PAULO RICARDO WAGNER
- 359,44
</t>
      </text>
    </comment>
    <comment ref="O15" authorId="5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06/02/2025
PG.REMUNERACAO SINDICO(A) PAULO RICARDO WAGNER
- 7.206,20
Responder:
    20/02/2025
PG. INSS/IRRF - FPM/TERCEIROS NR. DOC: 50000313181445 CP. 01/2025 MINISTERIO DA PREVIDENCIA SOCIAL
- 17.354,45
</t>
      </text>
    </comment>
    <comment ref="D16" authorId="5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11/03/2024PG.RETENCAO ISSQN NR. DOC: 15 V:16/02/2024 TIAGO HENRIQUES TABORDA CONTABILIDADE- 26,60
Responder:
    15/03/2024PG.SERV.CONSULTORIA NF.: 21 CONTR. DE PREST. CONTAS PASTA MENSAL REF.01/2024 TIAGO HENRIQUES TABORDA CONTABILIDADE- 1.303,40 </t>
      </text>
    </comment>
    <comment ref="E16" authorId="6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10/04/2024PG.RETENCAO ISSQN NR. DOC: 21 V:15/03/2024 TIAGO HENRIQUES TABORDA CONTABILIDADE- 26,60 
Responder:
    12/04/2024PG.SERV.PRESTADOS NF.: 28 CONTRATO DE AUDITORIA DE PRESTACAO DE CONTAS 02/2024 TIAGO HENRIQUES TABORDA CONTABILIDADE- 1.303,40
</t>
      </text>
    </comment>
    <comment ref="F16" authorId="6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10/05/2024PG.RETENCAO ISSQN NR. DOC: 28 V:12/04/2024 TIAGO HENRIQUES TABORDA CONTABILIDADE- 26,60
Responder:
    23/05/2024PG. AUDITORIA NF.: 37 AUDITORIA DE PRESTAÇÃO DE CONTAS - REF: MARÇO 2024 TIAGO HENRIQUES TABORDA CONTABILIDADE- 1.303,40
</t>
      </text>
    </comment>
    <comment ref="G16" authorId="6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10/06/2024PG.RETENCAO ISSQN NR. DOC: 37 V:23/05/2024 TIAGO HENRIQUES TABORDA CONTABILIDADE- 26,60 
Responder:
    25/06/2024PG. AUDITORIA NF.: 41 PRESTAÇAÕ DE CONTAS REF.04/2024 TIAGO HENRIQUES TABORDA CONTABILIDADE- 1.303,40
</t>
      </text>
    </comment>
    <comment ref="H16" authorId="6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10/07/2024
PG.RETENCAO ISSQN NR. DOC: 41 V:25/06/2024 TIAGO HENRIQUES TABORDA CONTABILIDADE
- 26,60
Responder:
    15/07/2024
PG. AUDITORIA NF.: 46 AUDITORIA DE PREST. CONTAS REF: MAIO DE 2024 TIAGO HENRIQUES TABORDA CONTABILIDADE
- 1.303,40
</t>
      </text>
    </comment>
    <comment ref="I16" authorId="6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12/08/2024
PG.RETENCAO ISSQN NR. DOC: 46 V:15/07/2024 TIAGO HENRIQUES TABORDA CONTABILIDADE
- 26,60
Responder:
    16/08/2024
PG.HONORARIOS NF.: 52 CONTRATO DE AUDITORIA PRESTAÇÃO DE CONTAS- REF JUNHO 2024 TIAGO HENRIQUES TABORDA CONTABILIDADE
- 1.303,40
</t>
      </text>
    </comment>
    <comment ref="J16" authorId="6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10/09/2024
PG.RETENCAO ISSQN NR. DOC: 52 V:16/08/2024 TIAGO HENRIQUES TABORDA CONTABILIDADE
- 26,60
Responder:
    11/09/2024
PG.SERV.PRESTADOS NF.: 57 PAGAMENTO REFERENTE PRESTAÇÃO DE CONTAS - JULHO 2024 TIAGO HENRIQUES TABORDA CONTABILIDADE
- 1.303,40
</t>
      </text>
    </comment>
    <comment ref="K16" authorId="6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10/10/2024
PG.RETENCAO ISSQN NR. DOC: 57 V:11/09/2024 TIAGO HENRIQUES TABORDA CONTABILIDADE
- 26,60
Responder:
    11/10/2024
PG. AUDITORIA NF.: 64 CONTRATO DE AUDITORIA DE PRESTAO DE CONTAS REF: AGOSTO 2024 TIAGO HENRIQUES TABORDA CONTABILIDADE
- 1.303,40
</t>
      </text>
    </comment>
    <comment ref="L16" authorId="6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11/11/2024
PG.RETENCAO ISSQN NR. DOC: 64 V:11/10/2024 TIAGO HENRIQUES TABORDA CONTABILIDADE
- 26,60
Responder:
    19/11/2024
PG. AUDITORIA NF.: 71 AUDITORIA DE PRESTAÇÃO DE CONTAS DO EDIFÍCIO - REF: SETEMBRO 2024 TIAGO HENRIQUES TABORDA CONTABILIDADE
- 1.303,40
</t>
      </text>
    </comment>
    <comment ref="M16" authorId="6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10/12/2024
PG.RETENCAO ISSQN NR. DOC: 71 V:19/11/2024 TIAGO HENRIQUES TABORDA CONTABILIDADE
- 26,60
Responder:
    16/12/2024
PG. AUDITORIA NF.: 78 CONTRATO DE AUDITORIA DE PRESTAÇÃO DE CONTAS DO EDIFÍCIO - REF: OUTUBRO 2024 TIAGO HENRIQUES TABORDA CONTABILIDADE
- 1.303,40
</t>
      </text>
    </comment>
    <comment ref="N16" authorId="6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10/01/2025
PG.RETENCAO ISSQN NR. DOC: 78 V:16/12/2024 TIAGO HENRIQUES TABORDA CONTABILIDADE
- 26,60
Responder:
    6/01/2025
PG. AUDITORIA NF.: 86 MENS. CONTRATO AUDITORIA PREST. CONTAS DO EDIFÍCIO REF.NOVEMBRO/2024 TIAGO HENRIQUES TABORDA CONTABILIDADE
- 1.303,40
</t>
      </text>
    </comment>
    <comment ref="O16" authorId="7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13/02/2025
PG.RETENCAO ISSQN NR. DOC: 86 V:16/01/2025 TIAGO HENRIQUES TABORDA CONTABILIDADE
- 26,60
</t>
      </text>
    </comment>
    <comment ref="D19" authorId="7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11/03/2024PG.RETENCAO ISSQN NR. DOC: 12771 V:26/02/2024 FG PISCINAS LTDA- 9,00
Responder:
    1162 CP PATRONAL - RETENÇÃO LEI 9.711/98 19,80 
Responder:
    25/03/2024PG.MANUT.PISCINA NF.: 12903 + NF 52061407 FG PISCINAS LTDA- 771,85
</t>
      </text>
    </comment>
    <comment ref="E19" authorId="7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10/04/2024PG.RETENCAO ISSQN NR. DOC: 12903 V:25/03/2024 FG PISCINAS LTDA- 8,35 
Responder:
    1162 CP PATRONAL - RETENÇÃO LEI 9.711/98 19,80 
Responder:
    26/04/2024PG.MANUT.PISCINA NF.: 13056 CONSERVAÇÃO ESPELHO DÁGUA - REF: MARÇO 2024 NF MATERIAL 52608971 FG PISCINAS LTDA- 771,85
</t>
      </text>
    </comment>
    <comment ref="F19" authorId="7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10/05/2024PG.RETENCAO ISSQN NR. DOC: 13056 V:26/04/2024 FG PISCINAS LTDA- 8,35
Responder:
    27/05/2024PG.SERV.PRESTADOS NF.: 13057 LIMPEZA ESPLEHO D'AGUA REF.04/2024 + NF 52609000 FG PISCINAS LTDA- 771,85
Responder:
    1162 CP PATRONAL - RETENÇÃO LEI 9.711/98 19,80 19,80 01 CP PATRONAL - RETENÇÃO LEI 9.711/98 PA:04/2024 Vencimento:30/08/2024 CNPJ Prestador:07.334.340/0001-06 
Responder:
    31/05/2024PG.RETENCAO ISSQN NR. DOC: 13057 V:27/05/2024 FG PISCINAS LTDA- 8,51
</t>
      </text>
    </comment>
    <comment ref="G19" authorId="7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26/06/2024PG.SERV.PRESTADOS NF.: 13207 LIMPEZA ESPLEHO D'AGUA REF.05/2024 + NF 55180502 FG PISCINAS LTDA- 774,77
</t>
      </text>
    </comment>
    <comment ref="H19" authorId="7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10/07/2024
PG.RETENCAO ISSQN NR. DOC: 13207 V:26/06/2024 FG PISCINAS LTDA
- 7,63
Responder:
    1162 CP PATRONAL - RETENÇÃO LEI 9.711/98 17,60 17,60 01 CP PATRONAL - RETENÇÃO LEI 9.711/98 PA:06/2024 Vencimento:19/07/2024 CNPJ Prestador:07.334.340/0001-06 </t>
      </text>
    </comment>
    <comment ref="I19" authorId="7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01/08/2024
PG.MANUT.PISCINA NR. DOC: 13320 MANUT E LIMPEZA DO ESPELHO DÁGUA - REF: JUNHO 2024 FG PISCINAS LTDA
- 774,91
Responder:
    27/08/2024
PG.MANUT.PISCINA NF.: 13432 MENS CONTRATO LIMP/CONSERVAÇÃO ESPELHO DÁGUA- REF.JUL/24 FG PISCINAS LTDA
- 774,92
</t>
      </text>
    </comment>
    <comment ref="J19" authorId="7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1162 CP PATRONAL - RETENÇÃO LEI 9.711/98 19,80 0,19 0,19 20,18 01 CP PATRONAL - RETENÇÃO LEI 9.711/98 PA:04/2024 Vencimento:30/08/2024 CNPJ Prestador:07.334.340/0001-06 
Responder:
    1162 CP PATRONAL - RETENÇÃO LEI 9.711/98 17,60 17,60 01 CP PATRONAL - RETENÇÃO LEI 9.711/98 PA:08/2024 Vencimento:19/09/2024 CNPJ Prestador:07.334.340/0001-06 
Responder:
    27/09/2024
PG.SERV.PRESTADOS NF.: 13511 ESPELHO DÁGUA AGOSTO/2024 - MATERIAL NF 56656105 FG PISCINAS LTDA
- 774,89
Responder:
    0/09/2024
PG.RETENCAO ISSQN NR. DOC: 13432 V:27/08/2024 FG PISCINAS LTDA
- 7,62
</t>
      </text>
    </comment>
    <comment ref="K19" authorId="7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10/10/2024
PG.RETENCAO ISSQN NR. DOC: 13511 V:27/09/2024 FG PISCINAS LTDA
- 7,51
Responder:
    1162 CP PATRONAL - RETENÇÃO LEI 9.711/98 17,60 17,60 01 CP PATRONAL - RETENÇÃO LEI 9.711/98 PA:09/2024 Vencimento:18/10/2024 CNPJ Prestador:07.334.340/0001-06 
Responder:
    28/10/2024
PG.MANUT.PISCINA NF.: 13594 MENSALIDADE DO CONTRATO DE LIMPEZA E CONSERVAO DO ESPELHO D'GUA - REF: 09/24 FG PISCINAS LTDA
- 782,40
</t>
      </text>
    </comment>
    <comment ref="L19" authorId="7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1162 CP PATRONAL - RETENÇÃO LEI 9.711/98 17,60 17,60 01 CP PATRONAL - RETENÇÃO LEI 9.711/98 PA:10/2024 Vencimento:19/11/2024 CNPJ Prestador:07.334.340/0001-06 
Responder:
    28/11/2024
PG.MANUT.PISCINA NF.: 13709 MENSALIDADE CONTRATO DE LIMP. E CONSERV. ESPELHO DÁGUA - REF: OUT 2024 FG PISCINAS LTDA
- 898,81
</t>
      </text>
    </comment>
    <comment ref="M19" authorId="8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10/12/2024
PG.RETENCAO ISSQN NR. DOC: 13709 V:28/11/2024 FG PISCINAS LTDA
- 6,34
Responder:
    1162 CP PATRONAL - RETENÇÃO LEI 9.711/98 14,85 14,85 01 CP PATRONAL - RETENÇÃO LEI 9.711/98 PA:11/2024 Vencimento:20/12/2024 CNPJ Prestador:07.334.340/0001-06 
Responder:
    23/12/2024
PG.MANUT.PISCINA NF.: 13833 MENSALIDADE CONTRATO LIMPEZA E CONSERV. ESPELHO D'ÁGUA - REF: 11/2024 FG PISCINAS LTDA
- 898,82
</t>
      </text>
    </comment>
    <comment ref="N19" authorId="8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10/01/2025
PG.RETENCAO ISSQN NR. DOC: 13833 V:23/12/2024 FG PISCINAS LTDA
- 6,33
Responder:
    10/01/2025
PG.RETENCAO ISSQN NR. DOC: 13886 V:27/12/2024 FG PISCINAS LTDA
- 27,22
Responder:
    1162 CP PATRONAL - RETENÇÃO LEI 9.711/98 78,65 78,65 01 CP PATRONAL - RETENÇÃO LEI 9.711/98 PA:12/2024 Vencimento:20/01/2025 CNPJ Prestador:07.334.340/0001-06 
Responder:
    27/01/2025
PG.MANUT.PISCINA NF.: 13971 MENS CONTRATO SERV. LIMP ESPELHO D'ÁGUA REF. DEZ/25 MAT NF 58618046 FG PISCINAS LTDA
- 898,77
</t>
      </text>
    </comment>
    <comment ref="O19" authorId="8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20/02/2025
PG. INSS/IRRF - FPM/TERCEIROS NR. DOC: 50000313181445 CP. 01/2025 MINISTERIO DA PREVIDENCIA SOCIAL
- 17.354,45
</t>
      </text>
    </comment>
    <comment ref="D20" authorId="8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01/03/2024PG.MANUT.AR CONDICIONADO NF.: 213 REF.02/2024 DUTENGE INSTALACAO E MANUTENCAO LTDA- 3.309,98
Responder:
    11/03/2024PG.RETENCAO ISSQN NR. DOC: 213 V:01/03/2024 DUTENGE INSTALACAO E MANUTENCAO LTDA- 152,70
</t>
      </text>
    </comment>
    <comment ref="E20" authorId="8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01/04/2024PG.MANUT.AR CONDICIONADO NF.: 253 REF.03/2024 DUTENGE INSTALACAO E MANUTENCAO LTDA- 3.294,05
Responder:
    10/04/2024PG.RETENCAO ISSQN NR. DOC: 253 V:01/04/2024 DUTENGE INSTALACAO E MANUTENCAO LTDA- 168,63
</t>
      </text>
    </comment>
    <comment ref="F20" authorId="8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02/05/2024PG.MANUT.AR CONDICIONADO NF.: 346 ÚLTIMA MENSALIDADE CONTRATO DE MANUT. AR CONDICIONADO - REF: ABRIL 2024 DUTENGE INSTALACAO E MANUTENCAO LTDA- 1.644,77
02/05/2024PG.MANUT. GERADOR NF.: 2024738 MANUTENÇÃO MENSAL DO GERADOR - REF: ABRIL 2024 STEMAC S/A - GRUPO GERADORES- 1.096,19
Responder:
    10/05/2024PG.RETENCAO ISSQN NR. DOC: 346 V:02/05/2024 DUTENGE INSTALACAO E MANUTENCAO LTDA- 86,57 
Responder:
    23/05/2024PG.MANUT.AR CONDICIONADO NF.: 202494 VISITA TÉCNICA AR CONDIONADO AUDITÓRIO E LIMPEZA DO AR DA ADMINISTRAÇÃO. DANIEL LIMA RODRIGUES- 931,00
</t>
      </text>
    </comment>
    <comment ref="G20" authorId="8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10/06/2024PG.RETENCAO ISSQN NR. DOC: 202494 V:23/05/2024 DANIEL LIMA RODRIGUES- 19,00 
Responder:
    27/06/2024PG.MANUT.AR CONDICIONADO NF.: 20 CONSERTO DAS TUBULAÇÕES DE AR COND. ADM/DOCA E COPA ADM 52.520.347 ELIO DE LIMA- 2.380,00 </t>
      </text>
    </comment>
    <comment ref="M20" authorId="8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09/12/2024
PG.MANUT.AR CONDICIONADO NF.: 188 AR COND. AUDITÓRIO - TROCA DE BOMBA DO DRENO E BOMBA DRENAGEM DANIEL LIMA RODRIGUES
- 1.274,00
</t>
      </text>
    </comment>
    <comment ref="N20" authorId="8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10/01/2025
PG.RETENCAO ISSQN NR. DOC: 188 V:09/12/2024 DANIEL LIMA RODRIGUES
- 26,00
</t>
      </text>
    </comment>
    <comment ref="D21" authorId="8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11/03/2024PG.RETENCAO ISSQN NR. DOC: 2295 PREFEITURA DE PORTO ALEGRE- 2,02
Responder:
    11/03/2024PG.RETENCAO ISSQN NR. DOC: 2652 PREFEITURA DE PORTO ALEGRE- 461,19
Responder:
    22/03/2024PG. ELEVADOR PECAS NF.: 20242295 ELEVADORES ATLAS SCHINDLER S/A- 38,47
Responder:
    25/03/2024PG. ELEVADOR PECAS NR. DOC: 202325797 Parc.(3/5) ELEVADORES ATLAS SCHINDLER S/A- 694,20
</t>
      </text>
    </comment>
    <comment ref="E21" authorId="9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10/04/2024PG.RETENCAO ISSQN NR. DOC: 20244844 V:28/03/2024 ELEVADORES ATLAS SCHINDLER S/A- 461,19 </t>
      </text>
    </comment>
    <comment ref="G21" authorId="9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10/06/2024PG.RETENCAO ISSQN NR. DOC: 9303 PREFEITURA DE PORTO ALEGRE- 461,19 
Responder:
    19/06/2024PG.MANUT.ELEVADOR NF.: 20242652 02/2024 -NEGOCIAÇÃO ELEVADORES ATLAS SCHINDLER S/A- 694,49
Responder:
    19/06/2024PG.MANUT.ELEVADOR NF.: 2024458 01/2024 - Negociado ELEVADORES ATLAS SCHINDLER S/A- 694,47
Responder:
    19/06/2024PG.MANUT.ELEVADOR NF.: 20244844 03/2024 - NEGOCIAÇÃO ELEVADORES ATLAS SCHINDLER S/A- 694,47
Responder:
    19/06/2024PG.MANUT.ELEVADOR NF.: 20247799 04/2024 NEGOCIAÇÃO ELEVADORES ATLAS SCHINDLER S/A- 694,47 
Responder:
    19/06/2024PG.MANUT.ELEVADOR NF.: 20249303 05/2024 ELEVADORES ATLAS SCHINDLER S/A- 8.333,70
Responder:
    28/06/2024PG. ELEVADOR PECAS NR. DOC: 31014851 NEGOCIAÇÃO - ACORDO MANUTENÇÕES Parc.(2/12) ELEVADORES ATLAS SCHINDLER S/A- 2.777,90
Responder:
    28/06/2024PG.MANUT.ELEVADOR NF.: 202411381 06/2024 ELEVADORES ATLAS SCHINDLER S/A- 8.333,70
</t>
      </text>
    </comment>
    <comment ref="H21" authorId="9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10/07/2024
PG.RETENCAO ISSQN NR. DOC: 202411381 V:28/06/2024 ELEVADORES ATLAS SCHINDLER S/A
- 461,19
Responder:
    31/07/2024
PG. ELEVADOR PECAS NR. DOC: 31014851 NEGOCIAÇÃO - ACORDO MANUTENÇÕES Parc.(3/12) ELEVADORES ATLAS SCHINDLER S/A
- 2.777,90
</t>
      </text>
    </comment>
    <comment ref="I21" authorId="9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12/08/2024
PG.RETENCAO ISSQN NR. DOC: 13338 PREFEITURA DE PORTO ALEGRE
- 461,19
</t>
      </text>
    </comment>
    <comment ref="J21" authorId="9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02/09/2024
PG. ELEVADOR PECAS NR. DOC: 31014851 NEGOCIAÇÃO - ACORDO MANUTENÇÕES Parc.(4/12) ELEVADORES ATLAS SCHINDLER S/A
- 2.777,90
Responder:
    10/09/2024
PG.RETENCAO ISSQN NR. DOC: 15521 PREFEITURA DE PORTO ALEGRE
- 461,18
Responder:
    30/09/2024
PG. ELEVADOR PECAS NR. DOC: 31014851 NEGOCIAÇÃO - ACORDO MANUTENÇÕES Parc.(5/12) ELEVADORES ATLAS SCHINDLER S/A
- 2.777,90
</t>
      </text>
    </comment>
    <comment ref="K21" authorId="9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07/10/2024
PG.MANUT.ELEVADOR NF.: 16 VALOR REFERENTE AO ACOMPANHAMENTO DA MANUTENÇÃO DO ELEVADOR DE SERVIÇO Nº 7 MARCELO FRACARO VARGAS
- 1.500,00
Responder:
    10/10/2024
PG.RETENCAO ISSQN NR. DOC: 17629 PREFEITURA DE PORTO ALEGRE
- 461,18
Responder:
    31/10/2024
PG. ELEVADOR PECAS NR. DOC: 31014851 NEGOCIAÇÃO - ACORDO MANUTENÇÕES Parc.(6/12) ELEVADORES ATLAS SCHINDLER S/A
- 2.777,90
</t>
      </text>
    </comment>
    <comment ref="L21" authorId="9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11/11/2024
PG.RETENCAO ISSQN NR. DOC: 19865 PREFEITURA DE PORTO ALEGRE
- 461,18
Responder:
    29/11/2024
PG. ELEVADOR PECAS NR. DOC: 31014851 NEGOCIAÇÃO - ACORDO MANUTENÇÕES Parc.(7/12) ELEVADORES ATLAS SCHINDLER S/A
- 2.777,90
</t>
      </text>
    </comment>
    <comment ref="M21" authorId="9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10/12/2024
PG.RETENCAO ISSQN NR. DOC: 22278 PREFEITURA DE PORTO ALEGRE
- 461,18
Responder:
    11/12/2024
PG.MANUT.ELEVADOR NF.: 20241338 07/2024 ELEVADORES ATLAS SCHINDLER S/A
- 8.333,70
Responder:
    11/12/2024
PG.MANUT.ELEVADOR NF.: 202415521 08/2024 ELEVADORES ATLAS SCHINDLER S/A
- 8.333,55
Responder:
    11/12/2024
PG.MANUT.ELEVADOR NF.: 202417629 09/2024 ELEVADORES ATLAS SCHINDLER S/A
- 8.333,53
Responder:
    11/12/2024
PG.MANUT.ELEVADOR NF.: 202419865 10/2024 ELEVADORES ATLAS SCHINDLER S/A
- 8.333,53
Responder:
    11/12/2024
PG.MANUT.ELEVADOR NF.: 202422278 11/2024 ELEVADORES ATLAS SCHINDLER S/A
- 8.333,53
Responder:
    30/12/2024
PG. ELEVADOR PECAS NR. DOC: 31014851 NEGOCIAÇÃO - ACORDO MANUTENÇÕES Parc.(8/12) ELEVADORES ATLAS SCHINDLER S/A
- 2.777,90
Responder:
    30/12/2024
PG.MANUT.ELEVADOR NF.: 202424515 12/2024 ELEVADORES ATLAS SCHINDLER S/A
- 6.034,00
</t>
      </text>
    </comment>
    <comment ref="N21" authorId="9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31/01/2025
PG. ELEVADOR PECAS NR. DOC: 31014851 NEGOCIAÇÃO - ACORDO MANUTENÇÕES Parc.(9/12) ELEVADORES ATLAS SCHINDLER S/A
- 2.777,90
Responder:
    31/01/2025
PG.MANUT.ELEVADOR NF.: 2025385 01/2025 MANUTENÇAO AHEAD ELEVADORES ATLAS SCHINDLER S/A
- 8.333,53
</t>
      </text>
    </comment>
    <comment ref="O21" authorId="9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13/02/2025
PG.RETENCAO ISSQN NR. DOC: 2025385 V:31/01/2025 ELEVADORES ATLAS SCHINDLER S/A
- 461,18
</t>
      </text>
    </comment>
    <comment ref="D22" authorId="10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11/03/2024PG.RETENCAO ISSQN NR. DOC: 14 V:26/02/2024 CLIMBER ROBOTICS MANUTENCAO PREDIAL LTDA- 240,00
Responder:
    1162 CP PATRONAL - RETENÇÃO LEI 9.711/98 1.509,65 
Responder:
    27/03/2024PG.RETENCAO ISSQN NR. DOC: 013 V:12/03/2024 CLIMBER ROBOTICS MANUTENCAO PREDIAL LTDA- 35,15
</t>
      </text>
    </comment>
    <comment ref="G22" authorId="10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10/06/2024PG.RETENCAO ISSQN NR. DOC: 202460 V:23/05/2024 ALTITUDE - TRABALHO E RESGATE EM ALTURA- 196,00
</t>
      </text>
    </comment>
    <comment ref="M22" authorId="10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20/12/2024
PG.SERVICOS LIMPEZA NF.: 11 PARC. 1/4 REF: LIMPEZA DA FACHADA LUCAS D. AVILA
- 9.000,00
</t>
      </text>
    </comment>
    <comment ref="N22" authorId="10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13/01/2025
PG.SERVICOS LIMPEZA NF.: 12 PARCELA 02/04 DO VALOR REF. A LIMPEZA DA FACHADA LUCAS D. AVILA
- 9.000,00
Responder:
    21/01/2025
PG.SERVICOS LIMPEZA NF.: 14 PARCELA 3/4 REF LIMPEZA VIDROS FACHADA LADO NORTE LUCAS D. AVILA
- 9.000,00
</t>
      </text>
    </comment>
    <comment ref="O22" authorId="10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07/02/2025
PG.SERVICOS LIMPEZA NF.: 16 PARC 04/04 REF SERV LIMPEZA VIDROS DAS FACHADAS E VEDAÇÃO DAS JANELAS LUCAS D. AVILA
- 9.000,00
</t>
      </text>
    </comment>
    <comment ref="D23" authorId="10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04/03/2024PG.MANUT. GERADOR NF.: 2024258 01/2024 STEMAC S/A - GRUPO GERADORES- 1.096,19
Responder:
    11/03/2024PG.RETENCAO ISSQN NR. DOC: 2024258 V:04/03/2024 STEMAC S/A - GRUPO GERADORES- 69,07
Responder:
    1162 CP PATRONAL - RETENÇÃO LEI 9.711/98 151,95 
Responder:
    28/03/2024PG.MANUT. GERADOR NF.: 2024446 03/2024 STEMAC S/A - GRUPO GERADORES- 1.096,19 </t>
      </text>
    </comment>
    <comment ref="E23" authorId="10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10/04/2024PG.RETENCAO ISSQN NR. DOC: 2024446 V:31/03/2024 STEMAC S/A - GRUPO GERADORES- 69,07 
Responder:
    1162 CP PATRONAL - RETENÇÃO LEI 9.711/98 151,95 </t>
      </text>
    </comment>
    <comment ref="F23" authorId="10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10/05/2024PG.RETENCAO ISSQN NR. DOC: 2024738 V:01/05/2024 STEMAC S/A - GRUPO GERADORES- 69,07
Responder:
    1162 CP PATRONAL - RETENÇÃO LEI 9.711/98 151,96 151,96 01 CP PATRONAL - RETENÇÃO LEI 9.711/98 PA:04/2024 Vencimento:30/08/2024 CNPJ Prestador:92.753.268/0006-27 </t>
      </text>
    </comment>
    <comment ref="G23" authorId="10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03/06/2024PG.MANUT. GERADOR NF.: 2024889 05/2024 STEMAC S/A - GRUPO GERADORES- 1.096,19
Responder:
    10/06/2024PG.RETENCAO ISSQN NR. DOC: 2024889 V:03/06/2024 STEMAC S/A - GRUPO GERADORES- 69,07
Responder:
    1162 CP PATRONAL - RETENÇÃO LEI 9.711/98 151,95 151,95 01 CP PATRONAL - RETENÇÃO LEI 9.711/98 PA:05/2024 Vencimento:30/09/2024 CNPJ Prestador:92.753.268/0006-27 </t>
      </text>
    </comment>
    <comment ref="H23" authorId="10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03/07/2024
PG.MANUT. GERADOR NF.: 20241097 05/2024 STEMAC S/A - GRUPO GERADORES
- 1.096,19
Responder:
    10/07/2024
PG.RETENCAO ISSQN NR. DOC: 20241097 V:03/07/2024 STEMAC S/A - GRUPO GERADORES
- 69,07
Responder:
    1162 CP PATRONAL - RETENÇÃO LEI 9.711/98 151,95 151,95 01 CP PATRONAL - RETENÇÃO LEI 9.711/98 PA:06/2024 Vencimento:19/07/2024 CNPJ Prestador:92.753.268/0006-27 
Responder:
    31/07/2024
PG.MANUT. GERADOR NF.: 202400000001310 MANUT PREV. DO GERADOR - REF: JULHO 2024 STEMAC S/A - GRUPO GERADORES
- 1.096,19
</t>
      </text>
    </comment>
    <comment ref="I23" authorId="11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12/08/2024
PG.RETENCAO ISSQN NR. DOC: 202400000001310 V:31/07/2024 STEMAC S/A - GRUPO GERADORES
- 69,07
Responder:
    1162 CP PATRONAL - RETENÇÃO LEI 9.711/98 151,96 151,96 01 CP PATRONAL - RETENÇÃO LEI 9.711/98 PA:07/2024 Vencimento:20/08/2024 CNPJ Prestador:92.753.268/0006-27 </t>
      </text>
    </comment>
    <comment ref="J23" authorId="11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1162 CP PATRONAL - RETENÇÃO LEI 9.711/98 151,96 151,96 01 CP PATRONAL - RETENÇÃO LEI 9.711/98 PA:08/2024 Vencimento:19/09/2024 CNPJ Prestador:92.753.268/0006-27 </t>
      </text>
    </comment>
    <comment ref="K23" authorId="11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10/10/2024
PG.RETENCAO ISSQN NR. DOC: 20241722 V:02/10/2024 STEMAC SA GRUPOS GERADORES
- 69,07
Responder:
    1162 CP PATRONAL - RETENÇÃO LEI 9.711/98 151,96 151,96 01 CP PATRONAL - RETENÇÃO LEI 9.711/98 PA:09/2024 Vencimento:18/10/2024 CNPJ Prestador:92.753.268/0001-12 
Responder:
    31/10/2024
PG.MANUT. GERADOR NF.: 20241915 CONTRATO DE MANUT. PREV. GERADOR - REF: SETEMBRO 2024 STEMAC SA GRUPO GERADORES
- 1.096,19
</t>
      </text>
    </comment>
    <comment ref="L23" authorId="11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11/11/2024
PG.RETENCAO ISSQN NR. DOC: 20241915 V:31/10/2024 STEMAC SA GRUPO GERADORES
- 69,07
Responder:
    1162 CP PATRONAL - RETENÇÃO LEI 9.711/98 151,96 151,96 01 CP PATRONAL - RETENÇÃO LEI 9.711/98 PA:10/2024 Vencimento:19/11/2024 CNPJ Prestador:92.753.268/0032-19 </t>
      </text>
    </comment>
    <comment ref="M23" authorId="11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02/12/2024
PG.MANUT. GERADOR NF.: 20242133 MENSALIDADE MANUT. PREV. GERADOR - REF: NOVEMBRO 2024 STEMAC S/A - GRUPO GERADORES
- 1.096,19
Responder:
    09/12/2024
PG.MANUT. GERADOR NF.: 12067 DESPESAS DE ATENDIMENTO REF AO ORÇ:20775967 DIVIDIDO EM 3 VEZES. Parc.(2/3) STEMAC SA GRUPO DE GERADORES
- 140,16
Responder:
    10/12/2024
PG.RETENCAO ISSQN NR. DOC: 20242133 V:01/12/2024 STEMAC S/A - GRUPO GERADORES
- 69,07
</t>
      </text>
    </comment>
    <comment ref="N23" authorId="11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02/01/2025
PG.MANUT. GERADOR NF.: 20242331 MENSALIDADE MANUT. PREV. GERADOR DO EDIFÍCIO - REF: 12/2024 STEMAC S/A - GRUPO GERADORES
- 1.096,19
Responder:
    10/01/2025
PG.RETENCAO ISSQN NR. DOC: 20242331 V:02/01/2025 STEMAC S/A - GRUPO GERADORES
- 69,07
Responder:
    1162 CP PATRONAL - RETENÇÃO LEI 9.711/98 151,96 151,96 01 CP PATRONAL - RETENÇÃO LEI 9.711/98 PA:12/2024 Vencimento:20/01/2025 CNPJ Prestador:92.753.268/0006-27 </t>
      </text>
    </comment>
    <comment ref="O23" authorId="11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03/02/2025
PG.MANUT. GERADOR NF.: 2025162 CONTRATO MENSAL MANUT. PREVENTIVA GERADOR REF JANEIRO/2025 STEMAC S/A - GRUPO GERADORES
- 1.167,75
Responder:
    13/02/2025
PG.RETENCAO ISSQN NR. DOC: 2025162 V:02/02/2025 STEMAC S/A - GRUPO GERADORES
- 73,58
Responder:
    20/02/2025
PG. INSS/IRRF - FPM/TERCEIROS NR. DOC: 50000313181445 CP. 01/2025 MINISTERIO DA PREVIDENCIA SOCIAL
- 17.354,45
</t>
      </text>
    </comment>
    <comment ref="D24" authorId="11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05/03/2024PG.HONORARIOS ADVOCATICIOS NF.: 21 EXTRAJUDICIAL AREA CIVIL - 02/2024 BELLINI FIGUEIRO SOCIEDADE INDIVIDUAL DE- 2.763,28
Responder:
    11/03/2024PG.RETENCAO ISSQN NR. DOC: 21 V:05/03/2024 BELLINI FIGUEIRO SOCIEDADE INDIVIDUAL DE- 60,72
</t>
      </text>
    </comment>
    <comment ref="E24" authorId="11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05/04/2024PG.HONORARIOS ADVOCATICIOS NF.: 27 EXTRAJUDICIAL AREA CIVIL - 03/2024 BELLINI FIGUEIRO SOCIEDADE INDIVIDUAL DE- 2.764,13
Responder:
    10/04/2024PG.RETENCAO ISSQN NR. DOC: 27 V:05/04/2024 BELLINI FIGUEIRO SOCIEDADE INDIVIDUAL DE- 59,87 </t>
      </text>
    </comment>
    <comment ref="F24" authorId="11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06/05/2024PG.HONORARIOS ADVOCATICIOS NF.: 41 CONTRATO SERVIÇOS DE ASSESSORIA E CONSULTORIA JURÍDICA - REF: ABRIL 2024 BELLINI FIGUEIRO SOCIEDADE INDIVIDUAL DE- 2.758,20
</t>
      </text>
    </comment>
    <comment ref="G24" authorId="12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05/06/2024PG.HONORARIOS ADVOCATICIOS NF.: 53 ASSESSORIA E CONSULTORIA JURÍDICA EXTRAJUDICIAL NA ÁREA DO DIREITO CIVIL 05/24 BELLINI FIGUEIRO SOCIEDADE INDIVIDUAL DE- 2.756,22
Responder:
    10/06/2024PG.RETENCAO ISSQN NR. DOC: 53 V:05/06/2024 BELLINI FIGUEIRO SOCIEDADE INDIVIDUAL DE- 67,78
</t>
      </text>
    </comment>
    <comment ref="H24" authorId="12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05/07/2024
PG.HONORARIOS ADVOCATICIOS NF.: 66 ASSESSERRIA MENSAL - JUNHO/2024 BELLINI FIGUEIRO SOCIEDADE INDIVIDUAL DE
- 2.767,52
</t>
      </text>
    </comment>
    <comment ref="I24" authorId="12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05/08/2024
PG.HONORARIOS ADVOCATICIOS NF.: 76 ASSES. E CONSULT. JURIDICA EXTRAJUDICIAL - JULHO 2024 BELLINI FIGUEIRO SOCIEDADE INDIVIDUAL DE
- 2.757,07
Responder:
    12/08/2024
PG.RETENCAO ISSQN NR. DOC: 76 V:05/08/2024 BELLINI FIGUEIRO SOCIEDADE INDIVIDUAL DE
- 66,93
</t>
      </text>
    </comment>
    <comment ref="J24" authorId="12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05/09/2024
PG.HONORARIOS ADVOCATICIOS NF.: 90 PRES DE SERVIÇOS DE ASS E CONS JURÍDICA EXTRAJUDICIAL NA ÁREA DIR CIVIL- AGOSTO BELLINI FIGUEIRO SOCIEDADE INDIVIDUAL DE
- 2.753,12
Responder:
    10/09/2024
PG.RETENCAO ISSQN NR. DOC: 90 V:05/09/2024 BELLINI FIGUEIRO SOCIEDADE INDIVIDUAL DE
- 70,88
</t>
      </text>
    </comment>
    <comment ref="K24" authorId="12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07/10/2024
PG.HONORARIOS ADVOCATICIOS NF.: 99 CONTRATO MENSAL PRESTAÇÃO SERVIÇO ASS CONS JURÍDICA EXTRAJUDICIAL SETEMBRO 2024 BELLINI FIGUEIRO SOCIEDADE INDIVIDUAL DE
- 2.753,12
Responder:
    10/10/2024
PG.RETENCAO ISSQN NR. DOC: 99 V:05/10/2024 BELLINI FIGUEIRO SOCIEDADE INDIVIDUAL DE
- 70,88
</t>
      </text>
    </comment>
    <comment ref="L24" authorId="12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05/11/2024
PG.HONORARIOS ADVOCATICIOS NF.: 106 SERV. ASSES. E CONSULT. JURD. EXTRAJUD. NA REA DO DIREITO CIVIL REF:10/2024 BELLINI FIGUEIRO SOCIEDADE INDIVIDUAL DE
- 2.752,84
Responder:
    11/11/2024
PG.RETENCAO ISSQN NR. DOC: 106 V:05/11/2024 BELLINI FIGUEIRO SOCIEDADE INDIVIDUAL DE
- 71,16
</t>
      </text>
    </comment>
    <comment ref="M24" authorId="12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05/12/2024
PG.HONORARIOS ADVOCATICIOS NF.: 115 CONTRATO MENSAL SERV. ASSES. CONSULT. JURÍDICA ÁRE DIREITO CIVIL - REF: NOV 2024 BELLINI FIGUEIRO SOCIEDADE INDIVIDUAL DE
- 2.752,84
Responder:
    10/12/2024
PG.RETENCAO ISSQN NR. DOC: 115 V:05/12/2024 BELLINI FIGUEIRO SOCIEDADE INDIVIDUAL DE
- 71,16
</t>
      </text>
    </comment>
    <comment ref="N24" authorId="12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06/01/2025
PG.HONORARIOS ADVOCATICIOS NF.: 123 CONTRATO DE ASSESSORIA E CONSULTORIA JURÍDICA EXTRAJUDICIAL- REF: 12/24 BELLINI FIGUEIRO SOCIEDADE INDIVIDUAL DE
- 2.752,55
Responder:
    10/01/2025
PG.RETENCAO ISSQN NR. DOC: 123 V:05/01/2025 BELLINI FIGUEIRO SOCIEDADE INDIVIDUAL DE
- 71,45
</t>
      </text>
    </comment>
    <comment ref="O24" authorId="12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05/02/2025
PG.HONORARIOS ADVOCATICIOS NF.: 129 CONTRATO PREST.SERV.ASSESS.JURÍDICA -HONORÁRIOS ADVOCATÍCIOS REF. JANEIRO 2025 BELLINI FIGUEIRO SOCIEDADE INDIVIDUAL DE
- 2.959,19
Responder:
    13/02/2025
PG.RETENCAO ISSQN NR. DOC: 129 V:05/02/2025 BELLINI FIGUEIRO SOCIEDADE INDIVIDUAL DE
- 76,81
</t>
      </text>
    </comment>
    <comment ref="D27" authorId="12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20/03/2024PG.SERV.JARDINAGEM SUB-CONDOMINIO SHOPPING CENTER BARRASHOP- 3.031,82
</t>
      </text>
    </comment>
    <comment ref="E27" authorId="13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02/04/2024PG.DESP.DIVERSAS NR. DOC: 879215 RESSARCIMENTO DE DESPESAS CONFORME CONVENÇÃO REF. FEV/24 MULTIPLAN ARRECADADORA LTDA- 1.776,80
</t>
      </text>
    </comment>
    <comment ref="F27" authorId="13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27/05/2024PG.RESSARCIMENTO NR. DOC: 492024 RESSARCIMENTO DE DESPESAS CONFORME CONVENÇÃO CONDOMINIAL - MARÇO 2024 MULTIPLAN ARRECADADORA LTDA- 1.705,54 
Responder:
    31/05/2024PG.RESSARCIMENTO NR. DOC: 652024 DESPESAS CONFORME CONV. COND. ABRIL 2024 MULTIPLAN ARRECADADORA LTDA- 3.074,35
</t>
      </text>
    </comment>
    <comment ref="H27" authorId="13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22/07/2024
PG.RESSARCIMENTO NR. DOC: 752024 RESSARC DESPESAS CONFORME CONVENÇÃO COND. REF: MAIO 2024 MULTIPLAN ARRECADADORA LTDA
- 1.852,91
</t>
      </text>
    </comment>
    <comment ref="I27" authorId="13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6/08/2024
PG.RESSARCIMENTO NR. DOC: 872024 DESPESA COM PAISAGISMO - REF JUNHO 2024 MULTIPLAN ARRECADADORA LTDA
- 2.574,93
</t>
      </text>
    </comment>
    <comment ref="J27" authorId="13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24/09/2024
PG.RETIRADA ENTULHO/CALIÇA NF.: 1006 PRESTAÇÃO DE SERVIÇO LOCAÇÃO CAÇAMBA DESCARTE DE RESÍDUOS DO DEPÓSITO RETRO ENTULHOS LTDA
- 1.808,99
Responder:
    27/09/2024
PG.RESSARCIMENTO NF.: 1002024 DESPESA COM PAISAGISMO- REF AGOSTO 2024 MULTIPLAN ARRECADADORA LTDA
- 2.232,07
</t>
      </text>
    </comment>
    <comment ref="K27" authorId="13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31/10/2024
PG.RESSARCIMENTO NF.: 1082024 DESPESA COM PAISAGISMO REF SETEMBRO 2024 MULTIPLAN ARRECADADORA LTDA
- 2.081,49
</t>
      </text>
    </comment>
    <comment ref="L27" authorId="13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29/11/2024
PG.RESSARCIMENTO NF.: 1192024 RESSARC. DESPESAS CONF. CONVENÇÃO CONDOMINIAL - REF: SET/24 MULTIPLAN ARRECADADORA LTDA
- 1.854,73
</t>
      </text>
    </comment>
    <comment ref="M27" authorId="13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16/12/2024
PG.RESSARCIMENTO NF.: 1292024 RESSARC. DESPESAS CONF. CONVENÇÃO COND. REF: OUTUBRO 2024 MULTIPLAN ARRECADADORA LTDA
- 3.269,33
</t>
      </text>
    </comment>
    <comment ref="I28" authorId="13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9/08/2024
PG.COMPRA MAT.PISCINA NF.: 35717 AQUISIÇÃO DE CESTO PARA O ESPELHO D'ÁGUA MASTER PISCINAS LTDA
- 140,00
</t>
      </text>
    </comment>
    <comment ref="M28" authorId="13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27/12/2024
PG.MANUT.PISCINA NF.: 13886 TROCA DE AREIA DO FILTRO DO ESPELHO D'ÁGUA REALIZADA EM SETEMBRO 24 Parc.(1/2) FG PISCINAS LTDA
- 664,49
</t>
      </text>
    </comment>
    <comment ref="N28" authorId="14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27/01/2025
PG.MANUT.PISCINA NF.: 13886 TROCA DE AREIA DO FILTRO DO ESPELHO D'ÁGUA REALIZADA EM SETEMBRO 24 Parc.(2/2) FG PISCINAS LTDA
- 664,49
</t>
      </text>
    </comment>
    <comment ref="O28" authorId="14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21/02/2025
PG.COMPRA MAT.HIDRAULICO NR. DOC: 27242 AQUISIÇÃO DE MOTOR BOMBA P/ ESPELHO D'AGUA MÉRITO COMÉRCIO DE EQUIPAMENTOS LTDA
- 3.556,30
</t>
      </text>
    </comment>
    <comment ref="E29" authorId="14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10/04/2024PG.SERV.PRESTADOS NF.: 202497 VISITA TECNICA VINICIUS DA CONCEIÇÃO- 150,00
</t>
      </text>
    </comment>
    <comment ref="J29" authorId="14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23/09/2024
PG.INST.PORT.ELETRONICO NF.: 4001 INSTALAÇÃO DE DOIS RAMAIS DOCA E RECPEÇÃO MACTEL SISTEMAS DE SEGURANÇA - LTDA
- 580,00
Responder:
    07/10/2024
PG.COMPRA MATERIAL NF.: 4010 VALOR REF VISITA TÉCNICA REALIZADA PARA CONSERTO RAMAL UNIDADE 2202 MACTEL SISTEMAS DE SEGURANÇA - LTDA
- 280,00
</t>
      </text>
    </comment>
    <comment ref="K29" authorId="14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10/10/2024
PG.RETENCAO ISSQN NR. DOC: 2024306 V:30/09/2024 MACTEL SISTEMAS DE SEGURANÇA - LTDA
- 9,80
Responder:
    18/10/2024
PG.MANUT.PORTEIRO ELETRONICO NF.: 2024329 VALOR REFERENTE A MANUTENO DE INTERFONE NA UNID 613 MACTEL SISTEMAS DE SEGURANÇA - LTDA
- 270,20
</t>
      </text>
    </comment>
    <comment ref="L29" authorId="14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11/11/2024
PG.RETENCAO ISSQN NR. DOC: 2024329 V:18/10/2024 MACTEL SISTEMAS DE SEGURANÇA - LTDA
- 9,80
</t>
      </text>
    </comment>
    <comment ref="O29" authorId="14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4/02/2025
PG.MANUT.PORTEIRO ELETRONICO NF.: 202555 REF CONSERTO INTERFONE SALA 413 - PROBLEMA CENTRAL DO EDIFÍCIO MACTEL SISTEMAS DE SEGURANÇA - LTDA
- 270,20
</t>
      </text>
    </comment>
    <comment ref="D30" authorId="14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06/03/2024PG.MANUT.GERAL NF.: 35 CONSERTO PERSIANA MOTORIZADA FLEX INDUSTRIA DE PERSIANAS LTDA- 286,00
Responder:
    15/03/2024MANUTENÇÃO DE EQUIPAMENTOS NF.: 41 IMPRESSORA ADMINISTRAÇÃO RAFAEL BANALETTI GUARCHE- 195,00
Responder:
    28/03/2024PG.MANUT.PORTAO NF.: 202463 REPARO EM PORTOES DA GARAGEM- LUBRIFICACAO, ALINHAMENTO DAS FOLHAS, LIMP, REINST Parc.(1/2) REQUINTE TELECOMUNICACOES LTDA- 425,27 </t>
      </text>
    </comment>
    <comment ref="E30" authorId="14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09/04/2024PG.COMPRA MAT.PISCINA NF.: 32917 MASTER PISCINAS LTDA- 165,00
Responder:
    10/04/2024PG.RETENCAO ISSQN NR. DOC: 202463 V:29/03/2024 REQUINTE TELECOMUNICACOES LTDA- 34,93
Responder:
    1162 CP PATRONAL - RETENÇÃO LEI 9.711/98 129,80 
Responder:
    22/04/2024PG.COMPRA MAT.CONSTR. NR. DOC: 52598 REEMBOLSO MATERIAIS PARA REMOÇÃO E FIXAÇÃO DE ACM'S CAPPELLETTO GESTAO LTDA- 173,94
Responder:
    25/04/2024PG.RESSARCIMENTO NR. DOC: 362 REEMBOLSO DE COMPRA DE RELÉS KAROLINE AGUIRRES DA CRUZ- 85,00
Responder:
    29/04/2024MANUT. ALVENARIA/ACABAMENTOS NF.: 4 SERVIÇO EMERGENCIAL DE RETIRADA DE ACM'S DK SOLUÇÕES EM MANUTENÇÃO DE ESQUADRIAS E PELES DE VIDRO LTDA- 1.800,00
Responder:
    29/04/2024PG.MANUT.PORTAO NF.: 202463 REPARO EM PORTOES DA GARAGEM- LUBRIFICACAO, ALINHAMENTO DAS FOLHAS, LIMP, REINST Parc.(2/2) REQUINTE TELECOMUNICACOES LTDA- 590,00
</t>
      </text>
    </comment>
    <comment ref="F30" authorId="14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23/05/2024PG.BENFEITORIAS/AQUISIÇÕES NF.: 48 AQUISIÇÃO DE PLACAS DE SINALIZAÇÃO PARA ÁREA AZUL DAIANA ELOY DE OLIVEIRA- 612,00
</t>
      </text>
    </comment>
    <comment ref="H30" authorId="15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01/07/2024
MANUT. SISTEMAS DE SEGURANÇA NF.: 29 MANUT. CFTV - SUBST. RÁDIO ELEVADOR 01 NF MAT.1356 Parc.(1/2) RODRIGO GONCALVES PEREIRA
- 3.153,20
Responder:
    01/07/2024
MANUT. SISTEMAS DE SEGURANÇA NF.: 33 INST. CONTROLE DE ACESSO SL REUNIÕES (PORTA DE VIDRO) MAT. NF 1364 Parc.(1/2) RODRIGO GONCALVES PEREIRA
- 2.376,25
Responder:
    01/07/2024
PG.BENFEITORIAS/AQUISIÇÕES NF.: 31 INSTAL. WIFI GARAGEM + BASE ADICIONAL P/ MONIT. NF MAT. 1360 Parc.(1/2) RODRIGO GONCALVES PEREIRA
- 3.148,95
Responder:
    10/07/2024
PG.RETENCAO ISSQN NR. DOC: 88 V:07/06/2024 RODRIGO GONCALVES PEREIRA
- 583,19
Responder:
    23/07/2024
PG.COMPRA TINTAS NF.: 58997 AQUISIÇÃO DE TINTAS PARA PINTURA DO ESTACIONAMENTO COML DE TINTAS CUNHA LTDA -AMAURI TINTAS
- 1.478,00
</t>
      </text>
    </comment>
    <comment ref="I30" authorId="15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02/08/2024
PG.COMPRA MATERIAL NF.: 45811 MAT. P/REPOSIÇÃO ALÇAPÃO COPA ADM, 23º ANDAR, ADM E DOCA. Parc.(2/2) PROCAL FERRAGENS E TINTAS LTDA
- 557,90
Responder:
    12/08/2024
PG.RETENCAO ISSQN NR. DOC: 106 V:12/07/2024 RODRIGO GONCALVES PEREIRA
- 373,84
Responder:
    15/08/2024
PG.COMPRA MATERIAL NF.: 56302075 PISO DOCA ADEMIR NOELO - PISOS
- 285,00
Responder:
    19/08/2024
PG.COMPRA MATERIAL NF.: 46683 PAGAMENTO DE MATERIAL PARA MANUTENÇÃO DOS RESERVATÓRIOS SUPERIORES PROCAL FERRAGENS E TINTAS LTDA
- 1.456,95
Responder:
    23/08/2024
PG.COMPRA MATERIAL NF.: 46755 MATERIAL PARA VEDAÇÃO DE INFILTRAÇÕES NO TERRAÇO E RESERVATÓRIOS SUPERIORES PROCAL FERRAGENS E TINTAS LTDA
- 3.590,00
</t>
      </text>
    </comment>
    <comment ref="J30" authorId="15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06/09/2024
PG.COMPRA MATERIAL NF.: 1568 COMPRA DA CÂMERA PARA O SUBSOLO RODRIGO GONCALVES PEREIRA
- 370,50
Responder:
    09/09/2024
PG. INST. CAMERAS MONIT. NF.: 145 PAGAMENTO DO SERVIÇO DE INSTALAÇÃO DA CÂMERA DE SUBSOLO RODRIGO GONCALVES PEREIRA
- 343,80
Responder:
    10/09/2024
PG.RETENCAO ISSQN NR. DOC: 145 V:07/09/2024 RODRIGO GONCALVES PEREIRA
- 16,20
</t>
      </text>
    </comment>
    <comment ref="K30" authorId="15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10/10/2024
PG.RETENCAO ISSQN NR. DOC: 175 V:15/10/2024 RODRIGO GONCALVES PEREIRA
- 92,70
Responder:
    10/10/2024
PG.RETENCAO ISSQN NR. DOC: 18921 PREFEITURA DE PORTO ALEGRE
- 89,12
Responder:
    10/10/2024
PG.SERVICOS LIMPEZA NF.: 2024329 VALOR REF PARA PAGAMENTO DOS AJUDANTES NA LIMPEZA DO DEPÓSITO DO ESTACIONAMENTO ONX SERVICOS E COMERCIO DE EQUIPAMENTOS
- 2.772,00
</t>
      </text>
    </comment>
    <comment ref="L30" authorId="15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01/11/2024
PG.COMPRA MAT.PINTURA NF.: 48052 CORREDOR DA ADM E INSTALAÇÃO DE CÂMERA SALA DO LIXO PROCAL FERRAGENS E TINTAS LTDA
- 124,75
Responder:
    01/11/2024
PG.MANUT.AR CONDICIONADO NF.: 34 REPARO NO AR COND. AUDITÓRIO QUE ESTAVA VAZANDO DIEGO CORDEIRO DA SILVA 00977091074
- 1.500,00
Responder:
    19/11/2024
PG.MANUT.AR CONDICIONADO NF.: 20 INSP NO SISTEMA DE VRF MIDEA V4, MANUTENCAO DE PASTA TERMICA EM DUAS PLACAS DOS HVAC COMERCIO E MANUTENCAO DE EQUIPAMENTOS REFRIGERACAO E CLIMATIZACAO LTDA
- 1.700,00
Responder:
    19/11/2024
PG.MANUT.GERAL NF.: 24 CONSERTO DE 03 DOBRADIÇAS E 01 FECHADURA (DOCA) MARCO PICCOLO 44601735068
- 1.250,00
Responder:
    25/11/2024
PG.COMPRA MATERIAL NF.: 57744390 AQUISIÇÃO DE LUMINÁRIAS DE EMERGÊNCIA PARA REPOSIÇÃO NOS CORREDORES DEBORA GRUBEL RANULPHO
- 790,00
</t>
      </text>
    </comment>
    <comment ref="N30" authorId="15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08/01/2025
PG.RESSARCIMENTO NF.: 22327 REEMB. AQUISIÇÃO MAT. REPARO FLANGE E REGISTRO RESERV. SUP. 8 CAPPELLETTO GESTAO LTDA
- 1.570,00
Responder:
    27/01/2025
PG.SERVICOS LIMPEZA NF.: 202582 SERV. LIMPEZA ESPEC. ESTACIONAMENTO E RECEPÇÃO - CONF: ORÇAMENTO N175/2024. COOTRAVIPA
- 12.369,32
</t>
      </text>
    </comment>
    <comment ref="O30" authorId="15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07/02/2025
PG.DESOBSTRUCAO ESGOTO NF.: 766 VALOR REF SERV EMERGENCIAL SUCÇÃO HIDROJATEAMENTO REDE ESGOTO CLOACAL Parc.(1/3) JONAS LOPES DA GRACA 01748248073
- 1.361,99
</t>
      </text>
    </comment>
    <comment ref="I31" authorId="15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12/08/2024
PG.RETENCAO ISSQN NR. DOC: 27 PREFEITURA DE PORTO ALEGRE
- 48,73
Responder:
    16/08/2024
PAG.REF. NF.: 27 ELABORAÇÃO DE PARECER TÉRCNICO PARA DEFESA DE RECURSO DO PPCI 3KFIRE ENGENHARIA LTDA
- 2.375,88
</t>
      </text>
    </comment>
    <comment ref="D32" authorId="15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11/03/2024PG.RETENCAO ISSQN NR. DOC: 2024454 V:16/02/2024 TOXILAB LABORATORIO DE ANALISES LTDA- 18,00
Responder:
    11/03/2024PG.RETENCAO ISSQN NR. DOC: 20244932 V:14/02/2024 ATIVA MEDICINA E SEGURANÇA DO TRABALHO LTDA- 2,48
Responder:
    12/03/2024PG.LAUDO PPRA/PCMSO NF.: 20248269 ATIVA MEDICINA E SEGURANÇA DO TRABALHO LTDA- 121,69 </t>
      </text>
    </comment>
    <comment ref="E32" authorId="15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10/04/2024PG.RETENCAO ISSQN NR. DOC: 20248269 V:12/03/2024 ATIVA MEDICINA E SEGURANÇA DO TRABALHO LTDA- 2,48
Responder:
    12/04/2024PG.LAUDO PPRA/PCMSO NF.: 202411582 VALOR FIXO MENSALIDADE E-SOCIAL ATIVA MEDICINA E SEGURANÇA DO TRABALHO LTDA- 121,69
</t>
      </text>
    </comment>
    <comment ref="F32" authorId="16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16/05/2024PG.LIMPEZA CAIXA DAGUA NF.: 20241338 LIMPEZA DOS RESERVATÓRIOS, CONTROLE DE PRAGAS E POTABILIDADE DA ÁGUA. Parc.(1/2) ECO-AMBIENTAL CONSULTORIA LTDA- 1.159,40 </t>
      </text>
    </comment>
    <comment ref="G32" authorId="16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12/06/2024PG.LAUDO PPRA/PCMSO NF.: 202418308 VALOR FIXO MENSAL PARA E-SOCIAL ATIVA MEDICINA E SEGURANÇA DO TRABALHO LTDA- 121,69
Responder:
    13/06/2024PG.LIMPEZA CAIXA DAGUA NF.: 20241338 LIMPEZA DOS RESERVATÓRIOS, CONTROLE DE PRAGAS E POTABILIDADE DA ÁGUA. Parc.(2/2) ECO-AMBIENTAL CONSULTORIA LTDA- 1.159,40
Responder:
    21/06/2024PG.LAUDO TECNICO NF.: 293 Parc.(1/4) BRENNER CARVALHO E SOUZA LTDA- 166,40
</t>
      </text>
    </comment>
    <comment ref="H32" authorId="16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10/07/2024
PG.RETENCAO ISSQN NR. DOC: 202418308 V:12/06/2024 ATIVA MEDICINA E SEGURANÇA DO TRABALHO LTDA
- 2,48
Responder:
    22/07/2024
PG.LAUDO TECNICO NF.: 293 Parc.(2/4) BRENNER CARVALHO E SOUZA LTDA
- 480,00
Responder:
    23/07/2024
PG.LAUDO PPRA/PCMSO NF.: 202400000021582 VALOR FIXO MENSAL PARA E-SOCIAL ATIVA MEDICINA E SEGURANÇA DO TRABALHO LTDA
- 121,69
Responder:
    23/07/2024
PG.LAUDO TECNICO NF.: 202400000002767 LAUDO TÉCNICO DE QUALIDADE DO AR TOXILAB LABORATORIO DE ANALISES LTDA
- 352,36
</t>
      </text>
    </comment>
    <comment ref="I32" authorId="16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12/08/2024
PG.LAUDO PPRA/PCMSO NF.: 202400000024885 VALOR FIXO MENSAL PARA MENSALIDADE DO E-SOCIAL ATIVA MEDICINA E SEGURANÇA DO TRABALHO LTDA
- 121,69
Responder:
    12/08/2024
PG.RETENCAO ISSQN NR. DOC: 202400000002767 V:23/07/2024 TOXILAB LABORATORIO DE ANALISES LTDA
- 19,50
Responder:
    12/08/2024
PG.RETENCAO ISSQN NR. DOC: 202400000021582 V:12/07/2024 ATIVA MEDICINA E SEGURANÇA DO TRABALHO LTDA
- 2,48
Responder:
    20/08/2024
PG.LAUDO TECNICO NF.: 293 Parc.(3/4) BRENNER CARVALHO E SOUZA LTDA
- 480,00
Responder:
    23/08/2024
PG.RECARGA EXTINTORES NF.: 158 PAGAMENTO DOS EXTINTORES PARCELADO 2X- 1 PARCELA 23/08/2024 2 PARCELA 23/09/2024 Parc.(1/2) EXTINTORES MHAXIMUM LTDA
- 4.894,85
Responder:
    30/08/2024
PG. TREINAMENTO NF.: 39 VALOR REFERENTE AO CURSO DE BRIGADISTA OFERECIDO 25 PESSOAS DIA 08/08/2024 DICKY MORAES PEREIRA 23295031215
- 2.082,50
</t>
      </text>
    </comment>
    <comment ref="J32" authorId="16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1162 CP PATRONAL - RETENÇÃO LEI 9.711/98 306,02 3,02 3,06 312,10 01 CP PATRONAL - RETENÇÃO LEI 9.711/98 PA:04/2024 Vencimento:30/08/2024 CNPJ Prestador:07.125.516/0001-01 
Responder:
    10/09/2024
PG.RETENCAO ISSQN NR. DOC: 202400000024885 V:12/08/2024 ATIVA MEDICINA E SEGURANÇA DO TRABALHO LTDA
- 2,48
Responder:
    10/09/2024
PG.RETENCAO ISSQN NR. DOC: 39 V:30/08/2024 DICKY MORAES PEREIRA 23295031215
- 42,50
Responder:
    10/09/2024
PG.RETENCAO ISSQN NR. DOC: 699 V:20/08/2024 ALEXSANDRO PAZ BORBA
- 10,84
Responder:
    12/09/2024
PG.LAUDO PPRA/PCMSO NF.: 2024000000028270 VALOR FIXO MENSALIDADE E-SOCIAL ATIVA MEDICINA E SEGURANÇA DO TRABALHO ATIVA MEDICINA E SEGURANÇA DO TRABALHO LTDA
- 121,69
Responder:
    19/09/2024
PG.LAUDO TECNICO NF.: 293 Parc.(4/4) BRENNER CARVALHO E SOUZA LTDA
Responder:
    23/09/2024
PG.RECARGA EXTINTORES NF.: 158 PAGAMENTO DOS EXTINTORES PARCELADO 2X- 1 PARCELA 23/08/2024 2 PARCELA 23/09/2024 Parc.(2/2) EXTINTORES MHAXIMUM LTDA
- 4.894,85
</t>
      </text>
    </comment>
    <comment ref="K32" authorId="16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07/10/2024
PG. TREINAMENTO NF.: 41 VALOR REFERENTE AO CURSO DE BRIGADISTA OFERECIDO A 14 ALUNOS NO DIA 16/09/2024 DICKY MORAES PEREIRA 23295031215
- 1.166,20
Responder:
    10/10/2024
PG.RETENCAO ISSQN NR. DOC: 2024000000028270 V:12/09/2024 ATIVA MEDICINA E SEGURANÇA DO TRABALHO LTDA
- 2,48
Responder:
    11/10/2024
PG.LAUDO PPRA/PCMSO NF.: 202431712 VALOR FIXO MENSALIDADE E-SOCIAL ATIVA MEDICINA E SEGURANÇA DO TRABALHO ATIVA MEDICINA E SEGURANÇA DO TRABALHO LTDA
- 122,52
Responder:
    18/10/2024
PG. ADEQUAÇÃO/OBRAS PPCI NF.: 20241280 1 PARC OR 1208 SERVIO E MATERIAIS DE ADEQUAO DO PPCI DO EDIFCIO RS PREVENÇÃO DE INCÊNDIOS SERVIÇOS E COM
- 3.795,00
</t>
      </text>
    </comment>
    <comment ref="L32" authorId="16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08/11/2024
PG.INST.ALARME NF.: 184 FORNEC. E INSTALAÇÃO ACIONADOR MANUAL ALARME DE INCÊNDIO RECEP. MHC ENGENHARIA LTDA
- 1.540,16
Responder:
    11/11/2024
PG.CERTIF.DIGITAL NF.: 26625 PERONDI &amp; FERREIRA LTDA
- 246,00
Responder:
    11/11/2024
PG.RETENCAO ISSQN NR. DOC: 202431712 V:11/10/2024 ATIVA MEDICINA E SEGURANÇA DO TRABALHO LTDA
- 2,50
Responder:
    11/11/2024
PG.RETENCAO ISSQN NR. DOC: 41 V:07/10/2024 DICKY MORAES PEREIRA 23295031215
- 23,80
Responder:
    12/11/2024
PG. ADEQUAÇÃO/OBRAS PPCI NF.: 20241284 PAGAMENTO REF ADEQUAÇÕES PARA O PPCI DO EDIFÍCIO RS PREVENÇÃO DE INCÊNDIOS SERVIÇOS E COM
- 4.855,00
Responder:
    14/11/2024
PG.LIMPEZA CAIXA DAGUA NF.: 20243357 LIMPEZA E HIG. RESERVATÓRIOS, POTAB. ÁGUA E CONTROLE DE PRAGAS Parc.(1/2) ECO-AMBIENTAL CONSULTORIA LTDA
- 1.159,40
Responder:
    29/11/2024
PG.CONTR.RESP.TECNICA PISC. NR. DOC: 676682 ANOTAÇÃO DE RESPONSABILIDADE TÉCNICA REF ESPELHO D'ÁGUA CONSELHO REGIONAL DE QUIMICA DA QUINTA REGIAO
- 261,27
</t>
      </text>
    </comment>
    <comment ref="M32" authorId="16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05/12/2024
PG.LIMPEZA CAIXA DAGUA NF.: 20243357 LIMPEZA E HIG. RESERVATÓRIOS, POTAB. ÁGUA E CONTROLE DE PRAGAS Parc.(2/2) ECO-AMBIENTAL CONSULTORIA LTDA
- 1.159,40
Responder:
    10/12/2024
PG.RETENCAO ISSQN NR. DOC: 184 V:08/11/2024 MHC ENGENHARIA LTDA
- 59,84
Responder:
    10/12/2024
PG.RETENCAO ISSQN NR. DOC: 202435205 V:12/11/2024 ATIVA MEDICINA E SEGURANÇA DO TRABALHO LTDA
- 2,10
Responder:
    13/12/2024
PG. ADEQUAÇÃO/OBRAS PPCI NF.: 58033559 AQUISIÇÃO DE 02 LÂMPADAS LEDS COM SINALIZAÇÃO DE SAÍDA PARA ADEQ. PPCI DEBORA GRUBEL RANULPHO
- 179,80
Responder:
    16/12/2024
PG.MANUT.SIST.ALARME NF.: 198 ENTRADA 50% REF SERVIÇO INSP. SIST. DETEC. ALARME DA KIDDE PTC 497-24 MHC ENGENHARIA LTDA
- 6.497,55
Responder:
    16/12/2024
PG.SERV.PRESTADOS NF.: 197 ENTRADA 50% REF SERVIÇO SISTEMA PRESSURIZAÇÃO DAS ESCADAS - PTC 496-24 MHC ENGENHARIA LTDA
- 818,21
Responder:
    17/12/2024
PG.COMPRA MAT. ELETRICO NF.: 4114 COMPRA 08 BATERIAS LÂMPADAS DE EMERGÊNCIA DOS CORREDORES - ADEQ. PPCI DO EDIFÍCI SECURITE SISTEMAS DE ALARMES LTDA
- 1.020,00
Responder:
    20/12/2024
PG.COMPRA MAT. ELETRICO NF.: 4148 AQUISIÇÃO BATERIAS PARA LÂMPADAS EMERGÊNCIA - ADEQ. PPCI SECURITE SISTEMAS DE ALARMES LTDA
- 645,00
Responder:
    23/12/2024
PG.COMPRA MAT. ELETRICO NF.: 57905476 AQUISIÇÃO DE LÂMPADAS EMERGÊNCIA PARA O EDIFÍCIO - ADEQ. PPCI Parc.(1/3) DEBORA GRUBEL RANULPHO
- 1.515,00
Responder:
    27/12/2024
PG.TAXA NR. DOC: 1919510 TAXA DE VISTORIA DOS BOMBEIROS P EMISSÃO DO PPCI DO EDIFÍCIO FUNDO ESPECIAL DE SEGURANCA PUBLICA
- 1.684,13
</t>
      </text>
    </comment>
    <comment ref="N32" authorId="16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10/01/2025
PG.RETENCAO ISSQN NR. DOC: 197 V:16/12/2024 MHC ENGENHARIA LTDA
- 31,79
Responder:
    10/01/2025
PG.RETENCAO ISSQN NR. DOC: 198 V:16/12/2024 MHC ENGENHARIA LTDA
- 252,45
Responder:
    10/01/2025
PG.RETENCAO ISSQN NR. DOC: 202438696 V:12/12/2024 ATIVA MEDICINA E SEGURANÇA DO TRABALHO LTDA
- 2,10
Responder:
    13/01/2025
PG.LAUDO PPRA/PCMSO NF.: 20251483 GESTÃO EM MEDICINA E SEGURANÇA DO TRABALHO ATIVA MEDICINA E SEGURANÇA DO TRABALHO LTDA
- 102,90
Responder:
    13/01/2025
PG.UNIFORMES NF.: 634372 AQUISIÇAO UNIFORMES PARA NOVO OFICIAL MANUTENÇÃO PROTEFIX PROTECAO E FIXACAO LTDA
- 295,10
Responder:
    20/01/2025
PG.MANUT.SIST.ALARME NF.: 206 PARC.01/03 SERV.MANUT.COR.SIST.DETEC.ALARME INCÊNDIO CONF.PTC 542-24-R02 MHC ENGENHARIA LTDA
- 4.157,23
Responder:
    21/01/2025
PG.MANUT.GERAL NF.: 20252 SERVIÇO DE MANUTENÇÃO DA SUBESTAÇÃO DO EDIFICIO REALIZADO EM 01/12/2024 MB CONSTRUCOES ELETRICAS LTDA.
- 11.800,00
</t>
      </text>
    </comment>
    <comment ref="O32" authorId="16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07/02/2025
PG.MANUT.SIST.ALARME NF.: 218 PARC.02/03 REF SERV MANUT CORRETIVA SIST ALARME INCENDIO MHC ENGENHARIA LTDA
- 4.158,96
Responder:
    11/02/2025
PG. ADEQUAÇÃO/OBRAS PPCI NF.: 36 ACOMPANHAMENTO OBRAS RENOVAÇÃO PPCI 3KFIRE ENGENHARIA LTDA
- 3.936,98
Responder:
    12/02/2025
PG.LAUDO PPRA/PCMSO NF.: 202500000005088 GESTÃO MEDICINA E SEGURANÇA DO TRABALHO ATIVA MEDICINA E SEGURANÇA DO TRABALHO LTDA
- 102,90
Responder:
    13/02/2025
PG.RETENCAO ISSQN NR. DOC: 20251483 V:13/01/2025 ATIVA MEDICINA E SEGURANÇA DO TRABALHO LTDA
- 2,10
Responder:
    13/02/2025
PG.RETENCAO ISSQN NR. DOC: 206 V:20/01/2025 MHC ENGENHARIA LTDA
- 172,77
Responder:
    20/02/2025
MANUT. SISTEMAS DE SEGURANÇA NF.: 223 2/2 SERV. SIST. PRESSUR.ESCADAS ELABORAÇÃO DE RELAT. TÉC. CONF. PTC496-24 MHC ENGENHARIA LTDA
- 816,42
Responder:
    20/02/2025
PG.MANUT.SIST.ALARME NF.: 224 2/2 SERV. INSPEÇÃO SISTEMA DE DETECÇÃO E ALARME DA KIDDE CONF. PTC 497-24 MHC ENGENHARIA LTDA
- 6.483,38
Responder:
    24/02/2025
PG.COMPRA MAT. ELETRICO NF.: 57905476 AQUISIÇÃO DE LÂMPADAS EMERGÊNCIA PARA O EDIFÍCIO - ADEQ. PPCI Parc.(3/3) DEBORA GRUBEL RANULPHO
- 1.150,00
</t>
      </text>
    </comment>
    <comment ref="E34" authorId="17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22/04/2024PG.COMPRA MAT.JARDIM NF.: 427 AQUISIÇÃO DE PLANTAS PARA ORNAMENTAÇÃO DA RECEPÇÃO Parc.(1/3) PAISAGISMO E FLORICULTURA JARDIM DO LAGO- 833,34
</t>
      </text>
    </comment>
    <comment ref="F34" authorId="17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21/05/2024PG.COMPRA MAT.JARDIM NF.: 427 AQUISIÇÃO DE PLANTAS PARA ORNAMENTAÇÃO DA RECEPÇÃO Parc.(2/3) PAISAGISMO E FLORICULTURA JARDIM DO LAGO- 833,33
</t>
      </text>
    </comment>
    <comment ref="G34" authorId="17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21/06/2024PG.COMPRA MAT.JARDIM NF.: 427 AQUISIÇÃO DE PLANTAS PARA ORNAMENTAÇÃO DA RECEPÇÃO Parc.(3/3) PAISAGISMO E FLORICULTURA JARDIM DO LAGO- 833,33
</t>
      </text>
    </comment>
    <comment ref="E37" authorId="17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22/04/2024PG.SERV.CHAVEIRO NF.: 149 TROCA DE MIOLO CAIXA CANCELA E 01 CÓPIA SHAFT HIDRÁULICO JONATAN KUNDE NOGUEIRA- 160,00
</t>
      </text>
    </comment>
    <comment ref="H37" authorId="17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18/07/2024
PG.SERV.CHAVEIRO NF.: 207 TROCA MIOLO PORTA CANCELA / 10 CÓPIAS DE CHAVE DE CARRINHO JONATAN KUNDE NOGUEIRA
- 250,00
</t>
      </text>
    </comment>
    <comment ref="L37" authorId="17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08/11/2024
PG.SERV.CHAVEIRO NF.: 275 ABERTURA PORTA CASA MÁQUINAS E CONFEC. DE 02 CHAVES DA MESMA PORTA. JONATAN KUNDE NOGUEIRA
- 260,00
</t>
      </text>
    </comment>
    <comment ref="N37" authorId="17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31/01/2025
PG.SERV.CHAVEIRO NF.: 330 VALOR REF. CÓPIAS CHAVES - BICICLETÁRIO, CARRO COMPRAS, MANUTENÇÃO, ADM JONATAN KUNDE NOGUEIRA
- 340,00
</t>
      </text>
    </comment>
    <comment ref="D38" authorId="17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19/03/2024PG.COMPRA MAT. ELETRICO NF.: 10376 TRILUZ - COELBRA DISTRIB ELETRICA LTDA- 319,00 </t>
      </text>
    </comment>
    <comment ref="E38" authorId="17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25/04/2024PG.COMPRA MAT. ELETRICO NF.: 52747252 AQUISIÇÃO DE 30 LÂMPADAS BULBO PARA CORREDORES ALISSON TORRES DE MORAES 07208948917- 267,00
Responder:
    29/04/2024PG.COMPRA TINTAS NF.: 519 AQUISIÇÃO DE TINTA PARA ÁREA AZUL UNIVERSO DAS CORES COMERCIO DE TINTAS LT- 98,90 </t>
      </text>
    </comment>
    <comment ref="H38" authorId="17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23/07/2024
PG.COMPRA MAT. ELETRICO NF.: 55806555 AQUISIÇÃO DE LÂMPADAS PARA TESTE NO LUGAR DA LED'S NOS CORREDORES DEBORA GRUBEL RANULPHO
- 91,60
</t>
      </text>
    </comment>
    <comment ref="I38" authorId="18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05/08/2024
PG.COMPRA MAT. ELETRICO NR. DOC: 55928468 COMPRA DE LÂMPADAS BULBO E DICROICA PARA ESTOQUE DEBORA GRUBEL RANULPHO
- 774,00
</t>
      </text>
    </comment>
    <comment ref="J38" authorId="18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04/09/2024
PG.COMPRA MAT. ELETRICO NF.: 55508096 AQUISIÇÃO DE MAT. ELÉTRICOS PARA ESTOQUE E REPOSIÇÃO DAS ÁREAS COMUNS Parc.(3/3) DEBORA GRUBEL RANULPHO
- 1.229,87
</t>
      </text>
    </comment>
    <comment ref="K38" authorId="18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22/10/2024
PG.COMPRA MAT. ELETRICO NF.: 57170846 AQUISIO DE 30 LMP BULBO E 30 DICRICAS P/ REPOSIO E ESTOQUE DEBORA GRUBEL RANULPHO
- 774,00
</t>
      </text>
    </comment>
    <comment ref="D39" authorId="18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01/03/2024PG.COMPRA MATERIAL NF.: 84954 REPOSIÇÃO ESTOQUE MANUTENÇÃO FERRAGEM PONTO SUL LTDA- 88,15
</t>
      </text>
    </comment>
    <comment ref="E39" authorId="18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22/04/2024PG.COMPRA MATERIAL NF.: 380694 AQUSIÇÃO DE ACM REPOSIÇÃO CASA DE MÁQUINAS NESTOR BORTOLINI E CIA LTDA- 1.000,01 </t>
      </text>
    </comment>
    <comment ref="G39" authorId="18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5/06/2024PG.BENFEITORIAS/AQUISIÇÕES NF.: 1357 PLACAS DE IDENT. TÉRREO ELEVADORES SOCIAIS DZ9 COMUNICACAO VISUAL LTDA- 90,00
Responder:
    14/06/2024PG.COMPRA MATERIAL NF.: 55321437 AQUISIÇÃO DE PISOS PARA REFORMA DA DOCA. ADEMIR NOELO - PISOS- 302,00 
Responder:
    17/06/2024PG.COMPRA MATERIAL NF.: 45560 AQUISIÇÃO DE MATERIAL PARA CONSERTO DA LAJE DO TERRAÇO PROCAL FERRAGENS E TINTAS LTDA- 337,60
Responder:
    27/06/2024PG.SERV.PRESTADOS NF.: 32 COMPRA ALÇAPÃO P/ CORREDOR ELEVADORES DO 23º ANDAR FELIZMI ANTONIO DA SILVA 01811062059- 380,00
</t>
      </text>
    </comment>
    <comment ref="H39" authorId="18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01/07/2024
PG.COMPRA MATERIAL NF.: 45806 MATERIAL PARA REFORMA DO PISO DA DOCA E DA COPA DA SALA RE REUNIÕES PROCAL FERRAGENS E TINTAS LTDA
- 99,60
Responder:
    01/07/2024
PG.UNIFORMES NF.: 9830 COMPRA DE CALÇA E CAMISA ANTI-CHAMA P/ OFICIAL DE MANUTENÇÃO TOROTTO C V LONAS E MATERIAIS CONSTRUCAO
- 394,57
Responder:
    04/07/2024
PG.COMPRA MATERIAL NF.: 45643 COMPRA DE MATERIAL PARA IMPERMEABILIZAÇÃO DO TERRAÇO PROCAL FERRAGENS E TINTAS LTDA
- 306,00
Responder:
    04/07/2024
PG.COMPRA MATERIAL NF.: 45695 COMPRA DE MATERIAL PARA MANUTENÇÃO GERAL PROCAL FERRAGENS E TINTAS LTDA
- 291,35
Responder:
    04/07/2024
PG.COMPRA MATERIAL NF.: 45811 MAT. P/REPOSIÇÃO ALÇAPÃO COPA ADM, 23º ANDAR, ADM E DOCA. Parc.(1/2) PROCAL FERRAGENS E TINTAS LTDA
- 557,90
Responder:
    08/07/2024
PG.COMPRA MATERIAL NF.: 45959 P/ REFORMA ALÇAPÕES - ADM/COPA ADM/ DOCA E 23º ANDAR PROCAL FERRAGENS E TINTAS LTDA
- 692,60
Responder:
    09/07/2024
PG.COMPRA MATERIAL NF.: 45978 AQUISIÇÃO DE MATERIAL PARA REFORMA DOS FORROS DA ADM, 23º ANDAR E DOCA PROCAL FERRAGENS E TINTAS LTDA
- 369,00
</t>
      </text>
    </comment>
    <comment ref="I39" authorId="18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20/08/2024
MANUTENÇÃO DE EQUIPAMENTOS NF.: 58 MANUTENÇÃO DO NOTEBOOK SAMSUNG DA ADMINISTRAÇÃO RAFAEL BANALETTI GUARCHE
- 542,00
Responder:
    30/08/2024
PG.COMPRA MATERIAL NF.: 46871 AQUISIÇÃO DE MATERIAL EM GERAL PROCAL FERRAGENS E TINTAS LTDA
- 181,45
</t>
      </text>
    </comment>
    <comment ref="K39" authorId="18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10/10/2024
PG.RETENCAO ISSQN NR. DOC: 1006 V:24/09/2024 RETRO ENTULHOS LTDA
- 91,01
Responder:
    24/10/2024
PG.MANUT.AR CONDICIONADO NF.: 158 CONSERTO DO AR COND. SALA DE REUNIO 02 (ISOLAMENTODA VLVULA DE EXPANSO). DANIEL LIMA RODRIGUES
</t>
      </text>
    </comment>
    <comment ref="L39" authorId="18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11/11/2024
PG.RETENCAO ISSQN NR. DOC: 158 V:24/10/2024 DANIEL LIMA RODRIGUES
- 15,00
Responder:
    19/11/2024
PG.COMPRA MATERIAL NF.: 48301 MATERIAIS PARA CONSERTO DO RESERVATORIO SUPERIOR PROCAL FERRAGENS E TINTAS LTDA
- 240,91
Responder:
    25/11/2024
PG.COMPRA MATERIAL NF.: 48333 AQUISIÇÃO DE PISTOLA PARA APLICAÇÃO DE PU PROCAL FERRAGENS E TINTAS LTDA
- 88,70
Responder:
    25/11/2024
PG.COMPRA MATERIAL NF.: 48359 MATERIAIS PARA MANUTENÇÃO DAS INSTALAÇÕES ELÉTRICAS DAS SALAS DE REUNIÕES PROCAL FERRAGENS E TINTAS LTDA
- 49,50
Responder:
    25/11/2024
PG.COMPRA TINTAS NF.: 48354 MATERIAIS PARA PINTURA DO CORREDOR DE SERVIÇO DO SUBSOLO. PROCAL FERRAGENS E TINTAS LTDA
- 527,95
Responder:
    26/11/2024
MANUTENÇÃO DE EQUIPAMENTOS NF.: 109 CONSERTO DAS PERSIANAS DO AUDITÓRIO FLEX INDUSTRIA DE PERSIANAS LTDA
- 280,00
Responder:
    26/11/2024
PG.COMPRA MATERIAL NF.: 47298 AQUISIÇÃO DE MATERIAIS EM GERAL PARCELA 01/05 Parc.(3/5) PROCAL FERRAGENS E TINTAS LTDA
- 298,00
Responder:
    26/11/2024
PG.RESSARCIMENTO REEMB. VALOR UTILIZADO P/ PGT DE ROSCA EM CANO PVC P/ MANUT. RESERV. SUP. CAPPELLETTO GESTAO LTDA
- 200,00
Responder:
    28/11/2024
PG.COMPRA MAT.HIDRAULICO NF.: 48488 MATERIAL PARA REPARO NO RESERVATÓRIO SUPERIOR. PROCAL FERRAGENS E TINTAS LTDA
- 65,60
Responder:
    29/11/2024
PG.UNIFORMES NF.: 10876 AQUISIÇÃO DE UNIFORMES E EPI'S PARA O OFICIAL DE MANUTENÇÃO. Parc.(2/2) TOROTTO C V LONAS E MATERIAIS CONSTRUCAO
- 521,70
</t>
      </text>
    </comment>
    <comment ref="M39" authorId="19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05/12/2024
PG.COMPRA MATERIAL NF.: 48606 AQUISIÇÃO DE MATERIAL PARA MANNUTENÇÃÕ GERAL. PROCAL FERRAGENS E TINTAS LTDA
- 3.040,45
</t>
      </text>
    </comment>
    <comment ref="N39" authorId="19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09/01/2025
PG.COMPRA MATERIAL NF.: 49288 AQUISIÇÃO MATERIAL VEDAÇÃO JANELAS UNIDADES PROCAL FERRAGENS E TINTAS LTDA
- 250,00
Responder:
    13/01/2025
PG.RESSARCIMENTO REEMB. REF. CONFECÇÃO DE ROSCA PARA REPARO RESERVATÓRIO SUPERIOR N8 CAPPELLETTO GESTAO LTDA
- 150,00
Responder:
    24/01/2025
PG.COMPRA MAT. ELETRICO NF.: 57905476 AQUISIÇÃO DE LÂMPADAS EMERGÊNCIA PARA O EDIFÍCIO - ADEQ. PPCI Parc.(2/3) DEBORA GRUBEL RANULPHO
- 1.150,00
Responder:
    24/01/2025
PG.COMPRA MATERIAL NF.: 47298 AQUISIÇÃO DE MATERIAIS EM GERAL PARCELA 01/05 Parc.(5/5) PROCAL FERRAGENS E TINTAS LTDA
- 298,00
Responder:
    31/01/2025
PG.MANUT.GERAL NF.: 137 VALOR REF. MANUT. DE UM MOTOR DE PERSIANA DA RECEPÇÃO FLEX INDUSTRIA DE PERSIANAS LTDA
- 140,00
</t>
      </text>
    </comment>
    <comment ref="O39" authorId="19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07/02/2025
PG.COMPRA MAT.PINTURA NF.: 49590 AQUIS. MAT. PINTURA SALA DO LIXO Parc.(1/2) PROCAL FERRAGENS E TINTAS LTDA
- 545,00
Responder:
    07/02/2025
PG.RESSARCIMENTO NF.: 5006 REEMBOLSO REF AQUIS MAT PORTA DE VIDRO ACESSO SUBSOLO CAPPELLETTO GESTAO LTDA
- 151,60
Responder:
    11/02/2025
PG.COMPRA MAT.PINTURA NF.: 49734 AQUIS. MAT, PINTURA EM GERAL E VEDAÇÃO FLANGES DO RESERVATÓRIO N 8 PROCAL FERRAGENS E TINTAS LTDA
- 257,35
Responder:
    19/02/2025
PG.COMPRA MAT.HIDRAULICO NF.: 49837 AQUIS. MAT. HIDRÁULICO CONSERTO CANO SUBSOLO PROCAL FERRAGENS E TINTAS LTDA
- 110,05
Responder:
    24/02/2025
PG.COMPRA MATERIAL NF.: 49898 AQUIS. MATERIAL RESTAURAÇÃO DE QUATRO TOTENS Parc.(1/2) PROCAL FERRAGENS E TINTAS LTDA
- 485,95
</t>
      </text>
    </comment>
    <comment ref="D40" authorId="19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01/03/2024PG.COMPRA MAT. ELETRICO NF.: 84892 CHUVEIRO ELETRICO BANHEIRO MASCULINO SUBSOLO FERRAGEM PONTO SUL LTDA- 56,91
Responder:
    01/03/2024PG.COMPRA MATERIAL REEMBOLSO COMPRA DUAS PLACAS DE SINALIZAÇÃO MATHEUS KRITLI CAPPELLETTO- 28,98
Responder:
    08/03/2024PG.COMPRA MATERIAL NF.: 7100 . BARAO CORDAS IND. COMERCIO DE PRODUTOS- 43,00
Responder:
    18/03/2024PG.COMPRA MATERIAL NF.: 86510 MANUTENÇÃO GERAL FERRAGEM PONTO SUL LTDA- 180,90
Responder:
    19/03/2024PG.COMPRA MATERIAL NF.: 86639 COLA PARA CANOS FERRAGEM PONTO SUL LTDA- 48,90
Responder:
    15/02 MERCADOLIVRE*UTILARSHOP 291,79 
Responder:
    20/02 MERCADOLIVRE*MLGASTROSH 349,17 
Responder:
    29/02 MERCADOLIVRE*UTILARSHOP -291,79 </t>
      </text>
    </comment>
    <comment ref="E40" authorId="19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8/04/2024PG.MANUT.GERAL NR. DOC: 89160 MATERIAIS DE MANUTENÇÃO GERAL FERRAGEM PONTO SUL LTDA- 395,30 
Responder:
    22/04/2024PG.COMPRA MAT. ELETRICO NF.: 52671167 FITA LED PARA REPOSIÇÃO. ALISSON TORRES DE MORAES 07208948917- 1.685,25
</t>
      </text>
    </comment>
    <comment ref="F40" authorId="19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03/05/2024PG.COMPRA MATERIAL NF.: 44884 COMPRA DE FIO PARA INTALAÇÃO DE LED'S NOS ANDARES PROCAL FERRAGENS E TINTAS LTDA- 94,00
Responder:
    07/05/2024PG.RESSARCIMENTO NR. DOC: 6384 REEMBOLSO DE COMPRA DE SACOS DE AREIA PARA O SUBSOLO CAPPELLETTO GESTAO LTDA- 211,60
Responder:
    27/05/2024PG.DESP.CARTAO CREDITO 7792) BANCO ITAUCARD - SA- 548,35
</t>
      </text>
    </comment>
    <comment ref="G40" authorId="19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03/06/2024PG.COMPRA MAT. ELETRICO NF.: 1448 COMPRA DE 03 RÉGUAS DE 12 TOMADAS PARA ADMINISTRAÇÃO RODRIGO GONCALVES PEREIRA- 284,70 
Responder:
    07/06/2024PG.COMPRA MATERIAL NF.: 45440 AQUISIÇÃO DE LONA PARA ISOLAMENTO DOS ELEVADORES NA CASA DE MÁQUINAS PROCAL FERRAGENS E TINTAS LTDA- 385,00
Responder:
    12/06/2024PG.COMPRA MATERIAL NF.: 92450 AQUISIÇÃO DE MATERIAL PARA MANUTENÇÃO GERAL FERRAGEM PONTO SUL LTDA- 60,18
Responder:
    14/06/2024PG.COMPRA MATERIAL NF.: 45441 AQUISIÇÃO DE MATERIAIS PARA MANUTENÇÃO GERAL PROCAL FERRAGENS E TINTAS LTDA- 190,65
Responder:
    17/06/2024PG.RESSARCIMENTO NR. DOC: 205 RESSARC COMPRA DE GANCHOS P/ ELEVADOR DE SERVIÇO 03 KAROLINE AGUIRRES DA CRUZ- 35,96
Responder:
    17/06/2024PG.RESSARCIMENTO NR. DOC: 43750 RESSARC COMPRA DE 01 COLA SUPER BONDER PARA MANUTENÇÃO KAROLINE AGUIRRES DA CRUZ- 13,30 
Responder:
    20/06/2024PG.COMPRA MATERIAL NF.: 45576 AQUISIÇÃO DE MATERIAIS DE MANUTENÇÃO EM GERAL PROCAL FERRAGENS E TINTAS LTDA- 315,00
Responder:
    21/06/2024PG.COMPRA MATERIAL NF.: 1373 PLACAS DZ9 COMUNICACAO VISUAL LTDA- 90,00
Responder:
    26/06/2024PG.DESP.CARTAO CREDITO 7792) BANCO ITAUCARD - SA- 978,87
</t>
      </text>
    </comment>
    <comment ref="H40" authorId="19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04/07/2024
PG.COMPRA MAT. ELETRICO NF.: 55508096 AQUISIÇÃO DE MAT. ELÉTRICOS PARA ESTOQUE E REPOSIÇÃO DAS ÁREAS COMUNS Parc.(1/3) DEBORA GRUBEL RANULPHO
- 1.229,87
Responder:
    17/07/2024
PG.COMPRA MATERIAL NF.: 1243549 COMPRA DE SUPORTE EMBALADOR GUARDA CHUVA E PILHAS ALCALINAS FORTPEL COMERCIO DE DESCARTAVEIS LTDA
- 219,99
Responder:
    17/07/2024
PG.COMPRA MATERIAL NF.: 46112 MATERIAIS PARA MANUTENÇÃO GERAL PROCAL FERRAGENS E TINTAS LTDA
- 372,95
Responder:
    30/07/2024
PG.COMPRA MATERIAL NR. DOC: 96532 MATERIAL PARA RECONST DO FORRO DE GESSO DO 23º ANDAR Parc.(1/2) FERRAGEM PONTO SUL LTDA
- 400,55
</t>
      </text>
    </comment>
    <comment ref="I40" authorId="19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01/08/2024
PG.COMPRA MATERIAL NR. DOC: 46346 MATERIAL PARA MENUT PISOS E REPARO VÁLVULA BANHEIRO MASCULINO PROCAL FERRAGENS E TINTAS LTDA
- 119,38
Responder:
    05/08/2024
PG.COMPRA MAT. ELETRICO NF.: 55508096 AQUISIÇÃO DE MAT. ELÉTRICOS PARA ESTOQUE E REPOSIÇÃO DAS ÁREAS COMUNS Parc.(2/3) DEBORA GRUBEL RANULPHO
- 1.229,87
Responder:
    07/08/2024
PG.COMPRA MATERIAL NF.: 46473 AQUISIÇÃO DE MATERIAL PARA MANUTENÇÃO PROCAL FERRAGENS E TINTAS LTDA
- 49,98
Responder:
    07/08/2024
PG.COMPRA MATERIAL NF.: 46490 COMPRA DE MATERIAL PARA MANUTENÇÃO GERAL PROCAL FERRAGENS E TINTAS LTDA
- 138,70
Responder:
    09/08/2024
PG.COMPRA MATERIAL NF.: 46526 COMPRA DE MATERIAL PARA MANUTENÇÃO DO BANHEIRO DOS FUNCIONÁRIOS PROCAL FERRAGENS E TINTAS LTDA
- 133,95
Responder:
    14/08/2024
PG.COMPRA MATERIAL NF.: 46564 AQUISIÇÃO DE MATERIAIS PARA MANUTENÇÃO PROCAL FERRAGENS E TINTAS LTDA
- 126,65
Responder:
    27/08/2024
PG.COMPRA MATERIAL NR. DOC: 96532 MATERIAL PARA RECONST DO FORRO DE GESSO DO 23º ANDAR Parc.(2/2) FERRAGEM PONTO SUL LTDA
- 400,55
</t>
      </text>
    </comment>
    <comment ref="J40" authorId="19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04/09/2024
PG.COMPRA MATERIAL NF.: 46946 AQUISIÇÃO DE MATERIAIS PROCAL FERRAGENS E TINTAS LTDA
- 65,10
Responder:
    04/09/2024
PG.COMPRA MATERIAL NF.: 46948 AQUISIÇÃO DE MATERIAIS EM GERAL PROCAL FERRAGENS E TINTAS LTDA
- 72,75
Responder:
    10/09/2024
PG.COMPRA MATERIAL NF.: 100006 AQUISIÇÃO DE MATERIAIS EM GERAL FERRAGEM PONTO SUL LTDA
- 117,50
Responder:
    11/09/2024
PG.COMPRA MATERIAL NF.: 47106 AQUISIÇÃO DE MATERIAIS EM GERAL PROCAL FERRAGENS E TINTAS LTDA
- 1.065,90
Responder:
    19/09/2024
PG.COMPRA MATERIAL NF.: 47271 AQUISIÇÃO DE MATERIAIS EM GERAL PROCAL FERRAGENS E TINTAS LTDA
- 32,30
Responder:
    24/09/2024
PG.COMPRA MATERIAL NF.: 47306 AQUISIÇÃO DE MATERIAIS EM GERAL PROCAL FERRAGENS E TINTAS LTDA
- 99,50
Responder:
    6/09/2024
PG.COMPRA MATERIAL NF.: 47298 AQUISIÇÃO DE MATERIAIS EM GERAL PARCELA 01/05 Parc.(1/5) PROCAL FERRAGENS E TINTAS LTDA
- 298,00
</t>
      </text>
    </comment>
    <comment ref="K40" authorId="20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08/10/2024
PG.COMPRA MATERIAL NF.: 47575 TIRA COLA LIMPEZA ELEVADORES E UMA EXTENSÃO PARA INSTALAÇÃO CÂMERA NA DOCA PROCAL FERRAGENS E TINTAS LTDA
- 86,13
Responder:
    08/10/2024
PG.COMPRA MATERIAL NF.: 47576 AQUISIÇÃO DE MATERIAIS EM GERAL MANUTENÇÃO PROCAL FERRAGENS E TINTAS LTDA
- 478,82
Responder:
    17/10/2024
PG.COMPRA MAT.PINTURA NF.: 47778 MATERIAL PARA PINTURA DO ESTACIONAMENTO PROCAL FERRAGENS E TINTAS LTDA
- 657,05
Responder:
    28/10/2024
PG.COMPRA MATERIAL NF.: 47298 AQUISIÇÃO DE MATERIAIS EM GERAL Parc.(2/5) PROCAL FERRAGENS E TINTAS LTDA
- 298,00
Responder:
    30/10/2024
PG.COMPRA MATERIAL NF.: 47994 REFLETORES PARA ESPELHO DE ÁGUA E COLA PARA CONSERTO DA CAIXA D'ÁGUA DO SUBSOLO PROCAL FERRAGENS E TINTAS LTDA
- 156,50
</t>
      </text>
    </comment>
    <comment ref="L40" authorId="20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07/11/2024
PG.COMPRA MATERIAL NF.: 4595 AQUISIÇÃO CASTELO REPOSIÇÃO NO RESERVATÓRIO INFERIOR DO SUBSOLO. ANA LUISA DE A S R CIA LTDA ME-DECATEC
- 284,12
Responder:
    08/11/2024
PG.UNIFORMES NF.: 10876 AQUISIÇÃO DE UNIFORMES E EPI'S PARA O OFICIAL DE MANUTENÇÃO. Parc.(1/2) TOROTTO C V LONAS E MATERIAIS CONSTRUCAO
- 521,71
Responder:
    13/11/2024
PG.COMPRA MATERIAL NF.: 48234 MATERIAIS PARA MANUTENÇÃO EM GERAL PROCAL FERRAGENS E TINTAS LTDA
- 388,44
Responder:
    13/11/2024
PG.COMPRA MAT.PINTURA NF.: 48262 AQUISIÇÃO DE TINTA PARA PINTURA DA DOCA. PROCAL FERRAGENS E TINTAS LTDA
- 430,00
Responder:
    18/11/2024
PG.COMPRA MATERIAL NF.: 48277 MATERIAIS PARA PINTURA DOCA, REPARO RESERVATÓRIO SUP. E EPI DE SEGURANÇA. PROCAL FERRAGENS E TINTAS LTDA
- 325,60
Responder:
    19/11/2024
PG.COMPRA MATERIAL NF.: 48302 COLA ARALDITE PARA MANUTENCAO GERAL(CANOS, ETC) PROCAL FERRAGENS E TINTAS LTDA
- 53,05
Responder:
    26/11/2024
PG.COMPRA MATERIAL NF.: 48391 AQUISIÇÃO DE SELADOR MULTIUSO REPARO NO RESERVATÓRIO SUPERIOR PROCAL FERRAGENS E TINTAS LTDA
- 190,00
Responder:
    26/11/2024
PG.COMPRA MATERIAL NF.: 48395 AQUISIÇÃO DE 02 LUVAS PARA REPARO NO RESERVATÓRIO INFERIOR. PROCAL FERRAGENS E TINTAS LTDA
- 18,50
Responder:
    28/11/2024
PG.COMPRA MATERIAL NF.: 48487 MATERIAL DE MANUTENÇÃO EM GERAL PROCAL FERRAGENS E TINTAS LTDA
- 741,05
</t>
      </text>
    </comment>
    <comment ref="M40" authorId="20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05/12/2024
PG.COMPRA MATERIAL NF.: 392187 AQUISIÇÃO DE FERROS CANTONEIRASPARA INSTALAÇÃO NAS ÁREAS COMUNS. NESTOR BORTOLINI E CIA LTDA
- 459,90
Responder:
    10/12/2024
PG.COMPRA MATERIAL NF.: 48695 MATERIAL DE PINTURA DAS PORTAS CORTA FOGO DO EDIFÍCIO PROCAL FERRAGENS E TINTAS LTDA
- 364,80
Responder:
    11/12/2024
PG.COMPRA MATERIAL NF.: 48704 AQUISIÇÃO DE MATERIAL PARA MANUTENÇÃO GERAL PROCAL FERRAGENS E TINTAS LTDA
- 66,65
Responder:
    12/12/2024
PG.COMPRA TINTAS NF.: 48732 TINTA PARA PINTURA DE PISO DO ESTACIONAMENTO PROCAL FERRAGENS E TINTAS LTDA
- 340,20
Responder:
    12/12/2024
PG.RESSARCIMENTO NF.: 5210 REMBOLSO COMPRA DE 17UND DE PU PARA VEDAÇÃO DAS JANELAS DA FACHADA CAPPELLETTO GESTAO LTDA
- 814,34
Responder:
    19/12/2024
PG.COMPRA TINTAS NF.: 48830 TINTAS PARA PINTURA DO PISO DO ESTACIONAMENTO E DAS PORTAS CORTA FOGO PROCAL FERRAGENS E TINTAS LTDA
- 118,90
Responder:
    20/12/2024
PG.COMPRA MATERIAL NF.: 48838 AQUISIÇÃO DE MATERIAL PARA MANUTENÇÃO GERAL PROCAL FERRAGENS E TINTAS LTDA
- 843,45
Responder:
    27/12/2024
PG.COMPRA MATERIAL NF.: 47298 AQUISIÇÃO DE MATERIAIS EM GERAL PARCELA 01/05 Parc.(4/5) PROCAL FERRAGENS E TINTAS LTDA
- 298,00
</t>
      </text>
    </comment>
    <comment ref="N40" authorId="20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02/01/2025
PG.COMPRA MATERIAL NF.: 49149 MATERIAL PARA INSTALAÇÃO DE CANTONEIRAS E PINTURA DAS PORTAS CORTA FOGO PROCAL FERRAGENS E TINTAS LTDA
- 946,37
Responder:
    15/01/2025
PG.COMPRA MATERIAL NF.: 49411 MATERIAL MANUT. RESERV. SUPERIOR E MATERIAL PARA DESCARTE DO VIDRO DA SALA 1508 PROCAL FERRAGENS E TINTAS LTDA
- 147,35
Responder:
    16/01/2025
PG.COMPRA MATERIAL NF.: 49445 MATERIAIS PARA MANUTENÇÃO EM GERAL PROCAL FERRAGENS E TINTAS LTDA
- 67,50
Responder:
    20/01/2025
PG.COMPRA MATERIAL NF.: 49510 AQUISIÇÃO MATERIAIS MANUTENÇÃO EM GERAL PROCAL FERRAGENS E TINTAS LTDA
- 74,80
Responder:
    23/01/2025
PG.COMPRA MATERIAL NR. DOC: 22378 AQUISICÃO MAT.CONSERTO CANO TETO ESTACIONAMENTO E ESCOVAS SANITÁRIAS MATHEUS KRITLI CAPPELLETTO
- 110,02
Responder:
    27/01/2025
PG.COMPRA MATERIAL NF.: 49560 MAT. COLOCAÇÃO CANTONEIRAS NO SUBSOLO E CORREDOR DOCA PROCAL FERRAGENS E TINTAS LTDA
- 79,80
Responder:
    27/01/2025
PG.COMPRA TINTAS NF.: 49555 AQUIS. TINTA PINTURA DO PISO DA SALA DE LIXO PROCAL FERRAGENS E TINTAS LTDA
- 447,00
</t>
      </text>
    </comment>
    <comment ref="O40" authorId="20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17/02/2025
PG.BENFEITORIAS/AQUISIÇÕES NR. DOC: 33540645 CARRINHO DE CARGA PARA A MANUTENÇÃO MERCADO PAGO INSTITUICAO DE PAGAMENTO LT
- 397,72
Responder:
    21/02/2025
PG.COMPRA MAT. ELETRICO NF.: 59046633 VALOR REF COMPRA MATERIAL DE ILUMINAÇÃO PARA EDIFÍCIO DEBORA GRUBEL RANULPHO
- 845,00
Responder:
    26/02/2025
PG.COMPRA MAT.CONSTR. NF.: 49981 AQUIS MAT REPAROS GESSO ENTRADA EDIFÍCIO PROCAL FERRAGENS E TINTAS LTDA
- 727,85
</t>
      </text>
    </comment>
    <comment ref="D41" authorId="20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01/03 BIG 65,83 </t>
      </text>
    </comment>
    <comment ref="E41" authorId="20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01/04/2024PG.COMPRA MATERIAL NF.: 1203693 AQUISIÇAO DE MATERIAIS DE ESCRITÓRIO PARA 03/2024 FORTPEL COMERCIO DE DESCARTAVEIS LTDA- 144,59
</t>
      </text>
    </comment>
    <comment ref="F41" authorId="20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2/05/2024PG.COMPRA MAT.ESCRITORIO NF.: 1215933 MATERIAL ESCRITÓRIO ADM - ABRIL 2024 FORTPEL COMERCIO DE DESCARTAVEIS LTDA- 152,85
Responder:
    28/05/2024PG.COMPRA MAT.ESCRITORIO NF.: 1226716 AQUISIÇÃO MATERIAL ESCRITÓRIO ADM - MAIO 2024 FORTPEL COMERCIO DE DESCARTAVEIS LTDA- 96,94
</t>
      </text>
    </comment>
    <comment ref="G41" authorId="20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17/06/2024PG.RESSARCIMENTO NR. DOC: 44282 RESSARC 02 CAIXAS DE CAFÉ 500G PARA ADMINISTRAÇÃO KAROLINE AGUIRRES DA CRUZ- 34,18 </t>
      </text>
    </comment>
    <comment ref="H41" authorId="20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04/07/2024
PG.COMPRA MAT.ESCRITORIO NF.: 1238284 AQUISIÇÃO PARA O MÊS DE JUNHO/2024 FORTPEL COMERCIO DE DESCARTAVEIS LTDA
- 132,20
Responder:
    09/07/2024
PG.COMPRA MAT.ESCRITORIO NR. DOC: 52888648 COMPRA DE TINTAS PARA IMPRESSORA MERCADO PAGO INSTITUICAO DE PAGAMENTO LT
- 90,72
Responder:
    09/07/2024
PG.RESSARCIMENTO NR. DOC: 1014 REEMBOLSO DE COMPRA DE O1 CAIXA DE CAFÉ PARA ADM KAROLINE AGUIRRES DA CRUZ
- 17,09
</t>
      </text>
    </comment>
    <comment ref="I41" authorId="21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05/08/2024
PG.COMPRA MAT.ESCRITORIO NF.: 1250984 MATERIAL DE ESCRITÓRIO PARA ADM - REF: JULHO 2024 FORTPEL COMERCIO DE DESCARTAVEIS LTDA
- 179,51
Responder:
    14/08/2024
PG.RESSARCIMENTO NR. DOC: 1687 COMPRA DE SALGADOS PARA O CURSO DE BRIGADISTA NO DIA 08/08/2024 KAROLINE AGUIRRES DA CRUZ
- 138,00
Responder:
    27/08/2024
PG.COMPRA MAT.ESCRITORIO NF.: 1260044 MATERIAL DE ESCRITÓRIO PARA O MÊS DE JULHO DE 2024 FORTPEL COMERCIO DE DESCARTAVEIS LTDA
- 112,50
</t>
      </text>
    </comment>
    <comment ref="J41" authorId="21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23/09/2024
PG.RESSARCIMENTO COMPRA DOIS CENTOS E MEIO SALGADOS CURSO BRIGADISTA DIA 16/09 KAROLINE AGUIRRES DA CRUZ
Responder:
    23/09/2024
PG.RESSARCIMENTO NR. DOC: 50019 COMPRA DE 3 CAFÉS PARA ADMINISTRAÇÃO NO CARTÃO DE KAROLINE KAROLINE AGUIRRES DA CRUZ
- 56,97
Responder:
    26/09/2024
PG.DESP.CARTAO CREDITO 7792) BANCO ITAUCARD - SA
- 934,16
Responder:
    27/09/2024
PG.COMPRA MAT.ESCRITORIO NF.: 1273229 AQUISIÇÃO DE MATERIAL DE ESCRITÓRIO FORTPEL COMERCIO DE DESCARTAVEIS LTDA
- 134,62
</t>
      </text>
    </comment>
    <comment ref="K41" authorId="21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25/10/2024
PG.COMPRA MAT.ESCRITORIO NF.: 1283942 AQUISIÇÃO DE MATERIAIS DE ESCRITÓRIO PARA ADMINISTRAÇÃO FORTPEL COMERCIO DE DESCARTAVEIS LTDA
- 236,57
</t>
      </text>
    </comment>
    <comment ref="L41" authorId="21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26/11/2024
PG.COMPRA MAT.ESCRITORIO NF.: 1296624 MATERIAL DE ESCRITÓRIO PARA O MÊS DE NOVEMBRO FORTPEL COMERCIO DE DESCARTAVEIS LTDA
- 528,36
</t>
      </text>
    </comment>
    <comment ref="M41" authorId="21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26/12/2024
PG.DESP.CARTAO CREDITO 7792) BANCO ITAUCARD - SA
- 913,61
</t>
      </text>
    </comment>
    <comment ref="N41" authorId="21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21/01/2025
PG.COMPRA MAT.ESCRITORIO NF.: 1318621 MATERIAIS ESCRITÓRIO JANEIRO 2025 FORTPEL COMERCIO DE DESCARTAVEIS LTDA
- 171,83
</t>
      </text>
    </comment>
    <comment ref="O41" authorId="21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26/02/2025
PG.DESP.CARTAO CREDITO 7792) BANCO ITAUCARD - SA
- 903,37
</t>
      </text>
    </comment>
    <comment ref="D42" authorId="21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07/03/2024PG.COMPRA MAT.LIMPEZA NF.: 1195142 PAPEL TOALHA REPOSIÇÃO ESTOQUE FORTPEL COMERCIO DE DESCARTAVEIS LTDA- 115,30 
Responder:
    26/03/2024PG.COMPRA MAT.LIMPEZA NF.: 4802 SMART CLEANING SOLUCOES EM HIGIENIZACAO- 446,90
</t>
      </text>
    </comment>
    <comment ref="E42" authorId="21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1/04/2024PG.COMPRA MATERIAL NF.: 1203694 AQUISIÇÃO DE MATERIAIS DE LIMPEZA PARAO MÉS 03/24 FORTPEL COMERCIO DE DESCARTAVEIS LTDA- 699,13
Responder:
    02/04/2024PG.COMPRA MAT.LIMPEZA NF.: 1204428 AQUISIÇÃO DE 2 CABOS PROLONGADORES PARA EQUIPE DE LIMPEZA FORTPEL COMERCIO DE DESCARTAVEIS LTDA- 54,38
Responder:
    08/04/2024PG.COMPRA MAT.LIMPEZA NF.: 4870 PRODUTO QUIMICO PARA LIMPEZA VIDROS SMART CLEANING SOLUCOES EM HIGIENIZACAO- 244,00
Responder:
    24/04/2024PG.COMPRA MAT.LIMPEZA NF.: 5034 COMPRA MATERIAL DE LIMPEZA MÊS DE ABRIL DE 2024 SMART CLEANING SOLUCOES EM HIGIENIZACAO- 600,78
</t>
      </text>
    </comment>
    <comment ref="F42" authorId="21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02/05/2024PG.COMPRA MAT.LIMPEZA NR. DOC: 1215934 MATERIAL LIMPEZA - ABRIL 2024 FORTPEL COMERCIO DE DESCARTAVEIS LTDA- 805,05
Responder:
    23/05/2024PG.COMPRA MAT.LIMPEZA NF.: 5272 AQUISIÇÃO DE QUÍMICOS PARA HIGIENIZAÇÃO DO PRÉDIO - MAIO 2024 SMART CLEANING SOLUCOES EM HIGIENIZACAO- 348,43 
Responder:
    28/05/2024PG.COMPRA MAT.LIMPEZA NF.: 1226717 AQUISIÇÃO MATERIAL ESCRITÓRIO ADM - MAIO 2024 FORTPEL COMERCIO DE DESCARTAVEIS LTDA- 970,50
</t>
      </text>
    </comment>
    <comment ref="G42" authorId="22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11/06/2024PG.BENFEITORIAS/AQUISIÇÕES NR. DOC: 1229753 AQUISIÇÃO DE SUPORTE INOX PARA GUARDA CHUVA P/ DOCA FORTPEL COMERCIO DE DESCARTAVEIS LTDA- 458,35
Responder:
    27/06/2024PG.COMPRA MAT.LIMPEZA NF.: 5459 SMART CLEANING SOLUCOES EM HIGIENIZACAO- 348,43
</t>
      </text>
    </comment>
    <comment ref="H42" authorId="22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04/07/2024
PG.COMPRA MAT.LIMPEZA NF.: 1238282 AQUISIÇÃO DE MATERIAIS DE LIMPEZA PARA O MÊS DE JUNHO DE 2024. FORTPEL COMERCIO DE DESCARTAVEIS LTDA
- 679,93
Responder:
    25/07/2024
PG.COMPRA MAT.LIMPEZA NF.: 5684 AQUISIÇÃO DE MATERIAL QUÍMICO DE LIMPEZA DO EDIFÍCIO - REF: JULHO 2024 SMART CLEANING SOLUCOES EM HIGIENIZACAO
- 348,43
</t>
      </text>
    </comment>
    <comment ref="I42" authorId="22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2/08/2024
PG.COMPRA MAT.LIMPEZA NR. DOC: 1250983 COMPRA MATERIAL LIMPEZA - REF: JULHO 2024 FORTPEL COMERCIO DE DESCARTAVEIS LTDA
- 713,37
Responder:
    27/08/2024
PG.COMPRA MAT.LIMPEZA NF.: 1259983 MATERIAL DE HIGIENE PARA O MÊS DE JULHO DE 2024 FORTPEL COMERCIO DE DESCARTAVEIS LTDA
- 698,40
Responder:
    28/08/2024
PG.COMPRA MAT.LIMPEZA NF.: 5921 AQUISIÇÃO DE PRODUTOS QUÍMICOS PARA LIMPEZA SMART CLEANING SOLUCOES EM HIGIENIZACAO
- 348,43
</t>
      </text>
    </comment>
    <comment ref="J42" authorId="22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24/09/2024
PG.COMPRA MATERIAL NF.: 6181 AQUISIÇÃO DE PRODUTOS QUÍMICOS PARA LIMPEZA SMART CLEANING SOLUCOES EM HIGIENIZACAO
- 258,96
Responder:
    27/09/2024
PG.COMPRA MAT.LIMPEZA NF.: 1273228 AQUISIÇÃO DE MATERIAL DE HIGIENE FORTPEL COMERCIO DE DESCARTAVEIS LTDA
- 655,92
</t>
      </text>
    </comment>
    <comment ref="K42" authorId="22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17/10/2024
PG.COMPRA MAT.LIMPEZA NF.: 1281136 AQUISIÇÃO DE MATERIAL DE HIGIENE FORTPEL COMERCIO DE DESCARTAVEIS LTDA
- 763,16
Responder:
    25/10/2024
PG.COMPRA MATERIAL NF.: 1283650 AQUISIÇÃO DE MATERIAIS EM GERAL FORTPEL COMERCIO DE DESCARTAVEIS LTDA
- 297,10
</t>
      </text>
    </comment>
    <comment ref="L42" authorId="22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07/11/2024
PG.COMPRA MATERIAL NF.: 6556 MATERIAIS QUÍMICOS DE LIMPEZA - REF: OUTUBRO 2024 SMART CLEANING SOLUCOES EM HIGIENIZACAO
- 480,15
Responder:
    25/11/2024
PG.COMPRA MAT.LIMPEZA NF.: 6713 AQUISIÇÃO DE PRODUTO QUÍMICO DE LIMPEZA PARA TESTE DE NOVO PERFUME SMART CLEANING SOLUCOES EM HIGIENIZACAO
- 168,48
Responder:
    26/11/2024
PG.COMPRA MAT.LIMPEZA NF.: 1296643 MATERIAL DE LIMPEZA PARA O MÊS DE NOVEMBRO FORTPEL COMERCIO DE DESCARTAVEIS LTDA
- 1.061,64
</t>
      </text>
    </comment>
    <comment ref="M42" authorId="22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7/12/2024
PG.COMPRA MAT.LIMPEZA NF.: 6878 MATERIAL QUÍMICO DE LIMPEZA PARA O MÊS DE DEZEMBRO 2024 SMART CLEANING SOLUCOES EM HIGIENIZACAO
- 662,98
Responder:
    23/12/2024
PG.COMPRA MAT.LIMPEZA NF.: 1307321 AQUISIÇÃO MATERIAIS DE LIMPEZA PARA O EDIFÍCIO - REF: 12/2024 FORTPEL COMERCIO DE DESCARTAVEIS LTDA
- 1.004,24
</t>
      </text>
    </comment>
    <comment ref="N42" authorId="22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17/01/2025
PG.COMPRA MAT.LIMPEZA NF.: 7076 MAT. QUIMICO LIMPEZA EDIFÍCIO JANEIRO 2025 SMART CLEANING SOLUCOES EM HIGIENIZACAO
- 449,83
Responder:
    21/01/2025
PG.COMPRA MAT.LIMPEZA NF.: 1318631 MATERIAL LIMPEZA EDIFÍCIO JANEIRO 2025 FORTPEL COMERCIO DE DESCARTAVEIS LTDA
- 414,18
Responder:
    27/01/2025
PG.DESP.CARTAO CREDITO 7792) BANCO ITAUCARD - SA
- 759,80
</t>
      </text>
    </comment>
    <comment ref="O42" authorId="22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20/02/2025
PG.COMPRA MAT.LIMPEZA NF.: 7285 AQUIS PROD QUIMICO LIMPEZA EDIFÍCIO FEVEREIRO 2025 SMART CLEANING SOLUCOES EM HIGIENIZACAO
- 273,95
</t>
      </text>
    </comment>
    <comment ref="E43" authorId="22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17/04/2024PG. ELEVADOR PECAS NF.: 20244180 SERVIÇO REPARO 508,75 A VISTA ELEVADORES ATLAS SCHINDLER S/A- 459,65
Responder:
    17/04/2024PG. ELEVADOR PECAS NF.: 20244238 SERVIÇO REPARO VALOR 494,92 A VISTA ELEVADORES ATLAS SCHINDLER S/A- 447,15
Responder:
    25/04/2024PG. ELEVADOR PECAS NR. DOC: 202325797 Parc.(4/5) ELEVADORES ATLAS SCHINDLER S/A- 694,20
</t>
      </text>
    </comment>
    <comment ref="F43" authorId="23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27/05/2024PG. ELEVADOR PECAS NR. DOC: 202325797 Parc.(5/5) ELEVADORES ATLAS SCHINDLER S/A- 694,19
</t>
      </text>
    </comment>
    <comment ref="K43" authorId="23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10/10/2024
PG.RETENCAO ISSQN NR. DOC: 17629 PREFEITURA DE PORTO ALEGRE
- 461,18</t>
      </text>
    </comment>
    <comment ref="M43" authorId="23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11/12/2024
PG. ELEVADOR PECAS NF.: 202400000018921 Parc.(1/5) ELEVADORES ATLAS SCHINDLER S/A
- 322,10
Responder:
    11/12/2024
PG. ELEVADOR PECAS NF.: 202400000021354 Parc.(1/5) ELEVADORES ATLAS SCHINDLER S/A
- 542,10
Responder:
    11/12/2024
PG. ELEVADOR PECAS NF.: 202400000021356 ELEVADORES ATLAS SCHINDLER S/A
- 79,18
Responder:
    11/12/2024
PG. ELEVADOR PECAS NF.: 202400000021357 ELEVADORES ATLAS SCHINDLER S/A
- 225,91
Responder:
    11/12/2024
PG. ELEVADOR PECAS NF.: 202400000021365 ELEVADORES ATLAS SCHINDLER S/A
- 79,18
Responder:
    12/12/2024
PG. ELEVADOR PECAS NF.: 202400000018921 Parc.(2/5) ELEVADORES ATLAS SCHINDLER S/A
- 322,10
Responder:
    26/12/2024
PG. ELEVADOR PECAS NF.: 202400000018921 Parc.(3/5) ELEVADORES ATLAS SCHINDLER S/A
- 322,10
Responder:
    26/12/2024
PG. ELEVADOR PECAS NF.: 202400000021354 Parc.(2/5) ELEVADORES ATLAS SCHINDLER S/A
- 542,10
</t>
      </text>
    </comment>
    <comment ref="N43" authorId="23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10/01/2025
PG.RETENCAO ISSQN NR. DOC: 202424515 V:30/12/2024 ELEVADORES ATLAS SCHINDLER S/A
Responder:
    14/01/2025
PG. ELEVADOR PECAS NF.: 202400000023911 ELEVADORES ATLAS SCHINDLER S/A
- 38,47
Responder:
    27/01/2025
PG. ELEVADOR PECAS NF.: 202400000018921 Parc.(4/5) ELEVADORES ATLAS SCHINDLER S/A
- 322,10
Responder:
    27/01/2025
PG. ELEVADOR PECAS NF.: 202400000021354 Parc.(3/5) ELEVADORES ATLAS SCHINDLER S/A
- 542,10
</t>
      </text>
    </comment>
    <comment ref="E44" authorId="23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05/04/2024PG.REFORMA NF.: 21 REFORMA DOS SEIS ESTOFADOS DA RECEPÇÃO FABIANA RODRIGUES DE OLIVEIRA- 4.506,04
Responder:
    08/04/2024PG.COMPRA MAT.LIMPEZA NF.: 1206227 EMBALADOR DE GUARDA-CHUVA RECEPÇÃO FORTPEL COMERCIO DE DESCARTAVEIS LTDA- 218,33
Responder:
    21/03 KALUNGA BARR-CTL 79,90 </t>
      </text>
    </comment>
    <comment ref="F44" authorId="23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10/05/2024PG.RETENCAO ISSQN NR. DOC: 21 V:05/04/2024 FABIANA RODRIGUES DE OLIVEIRA- 91,96
</t>
      </text>
    </comment>
    <comment ref="H44" authorId="23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19/07/2024
PG.RESSARCIMENTO NR. DOC: 301954 REEMBOLSO DE COMPRA DE PARAFUSADEIRA PARA MANUTENÇÃO DO FORRO DO 21º ANDAR CAPPELLETTO GESTAO LTDA
</t>
      </text>
    </comment>
    <comment ref="K44" authorId="23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04/10/2024
PG.BENFEITORIAS/AQUISIÇÕES NR. DOC: 10401749411 COMPRA DE 20 CONES DE ESTACIONAMENTO MERCADO PAGO INSTITUICAO DE PAGAMENTO LT
- 558,36
</t>
      </text>
    </comment>
    <comment ref="L44" authorId="23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06/11/2024
MANUTENÇÃO DE EQUIPAMENTOS NF.: 72 MANUTENÇÃO DO NOTEBOOK OPERACIONAL ADM REINST. S.O E PROGRAMAS. RAFAEL BANALETTI GUARCHE
- 255,00
Responder:
    25/11/2024
PG.COMPRA MATERIAL NR. DOC: 10416521549 KIT 2 BANQUETAS MERCADO PAGO INSTITUICAO DE PAGAMENTO LT
- 760,00
Responder:
    26/11/2024
PG.RESSARCIMENTO NR. DOC: 53 REEMB. VALOR UTILIZADO AQUISIÇÃO ENFEITES NATAL PARA ÁRVORE DE NATAL DA RECEP. PAULO RICARDO WAGNER
- 714,80
</t>
      </text>
    </comment>
    <comment ref="M44" authorId="23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02/12/2024
PG.BENFEITORIAS/AQUISIÇÕES NR. DOC: 10419499874 REFERENTE A CADEIRAS DE ESCRITÓRIO MERCADO PAGO INSTITUICAO DE PAGAMENTO LT
- 1.143,46
Responder:
    03/12/2024
PG.BENFEITORIAS/AQUISIÇÕES NF.: 57835646 AQUISIÇÃO DE 01 TAPETE TIPO CAPACHO PARA A SALA DO LIXO. EDU COM DE TAPETES E CAPACHOS LTDA
- 290,00
</t>
      </text>
    </comment>
    <comment ref="N44" authorId="24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21/01/2025
MANUTENÇÃO DE EQUIPAMENTOS NF.: 17 PAGTO. REF.CONSERTO DE MICROONDAS SALA REFEITÓRIO JOAO VEIGA JUNIOR ASSISTENCIA TECNICA
- 280,00
</t>
      </text>
    </comment>
    <comment ref="O44" authorId="24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13/02/2025
PG.BENFEITORIAS/AQUISIÇÕES NR. DOC: 33302187 02 ESTANTES PARA O DEPÓSITO DE HIGIENIZAÇÃO MERCADO PAGO INSTITUICAO DE PAGAMENTO LT
- 433,49
</t>
      </text>
    </comment>
    <comment ref="D45" authorId="24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08/03/2024PG.COMPRA MATERIAL NF.: 6814 FILTRO PLANO DESCARTÁVEL ORION COM DE FILTROS E LUBRIFICANTES LTD- 1.200,00
</t>
      </text>
    </comment>
    <comment ref="I46" authorId="24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23/08/2024
MANUTENÇÃO DE EQUIPAMENTOS NF.: 251 TROCA DE MANGUEIRA TIPO 02 DANIFICADA DE 15 METROS EXTINTORES MHAXIMUM LTDA
- 530,00
</t>
      </text>
    </comment>
    <comment ref="J46" authorId="24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16/09/2024
PG.RECARGA EXTINTORES NF.: 168 PAGAMENTO RECARGA E MANUTENÇÃO EXTINTOR ABC 4KG EXTINTORES MHAXIMUM LTDA
- 140,00
</t>
      </text>
    </comment>
    <comment ref="F47" authorId="24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07/05/2024PG.RESSARCIMENTO NF.: 1852457 REEMBOLSO DE COMPRA DE DIESEL PARA O GERADOR CAPPELLETTO GESTAO LTDA- 308,19
Responder:
    16/05/2024PG.DESP.COMBUSTIVEL NR. DOC: 52105 COMPRA COMBUSTÍVEL PARA O GERADOR NA SEMANA QUE FALTOU LUZ ROTA POA COMERCIO DE COMBUSTIVEIS LTDA- 2.359,32
Responder:
    28/05/2024PG.DESP.COMBUSTIVEL NF.: 1865576 AQUISIÇÃO DE 100L DE DIESEL PARA ABASTECIMENTO DO GERADOR DO EDIFÍCIO. ROTA POA COMERCIO DE COMBUSTIVEIS LTDA- 566,00
</t>
      </text>
    </comment>
    <comment ref="G47" authorId="24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14/06/2024PG.DESP.COMBUSTIVEL NR. DOC: 53899 AQUISIÇÃO DE 50L DE COMBUSTÍVEL PARA O GERADOR ROTA POA COMERCIO DE COMBUSTIVEIS LTDA- 283,00
</t>
      </text>
    </comment>
    <comment ref="K47" authorId="24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30/10/2024
PG.MANUT. GERADOR NF.: 165417 MATERIAIS UTILIZADOS NA MANUT GERADOR REF. ORÇAMENTO 20775967 Parc.(1/3) STEMAC SA GRUPOS GERADORES
- 325,44
Responder:
    30/10/2024
PG.MANUT. GERADOR NF.: 165418 MATERIAIS UTILIZADOS NA MANUT GERADOR REF. ORÇAMENTO 20775967 Parc.(1/3) STEMAC SA GRUPOS GERADORES
- 886,72
</t>
      </text>
    </comment>
    <comment ref="L47" authorId="24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07/11/2024
PG.MANUT. GERADOR NF.: 12067 DESPESAS DE ATENDIMENTO REF AO ORÇ:20775967 DIVIDIDO EM 3 VEZES. Parc.(1/3) STEMAC SA GRUPO DE GERADORES
- 140,16
Responder:
    25/11/2024
PG.MANUT. GERADOR NF.: 165417 MATERIAIS UTILIZADOS NA MANUT GERADOR REF. ORÇAMENTO 20775967 Parc.(2/3) STEMAC SA GRUPOS GERADORES
- 318,45
Responder:
    26/11/2024
PG.MANUT. GERADOR NF.: 165418 MATERIAIS UTILIZADOS NA MANUT GERADOR REF. ORÇAMENTO 20775967 Parc.(2/3) STEMAC SA GRUPOS GERADORES
- 867,63
</t>
      </text>
    </comment>
    <comment ref="M47" authorId="24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03/12/2024
PG.RESSARCIMENTO NF.: 2094160 REEMBOLSO REF. COMPRA 55,266L DIESEL P/ GERADOR DO EDIFÍCIO DIA 02/12/2024. CAPPELLETTO GESTAO LTDA
- 319,99
Responder:
    26/12/2024
PG.MANUT. GERADOR NF.: 165417 MATERIAIS UTILIZADOS NA MANUT GERADOR REF. ORÇAMENTO 20775967 Parc.(3/3) STEMAC SA GRUPOS GERADORES
- 318,54
Responder:
    26/12/2024
PG.MANUT. GERADOR NF.: 165418 MATERIAIS UTILIZADOS NA MANUT GERADOR REF. ORÇAMENTO 20775967 Parc.(3/3) STEMAC SA GRUPOS GERADORES
- 867,90
</t>
      </text>
    </comment>
    <comment ref="N47" authorId="25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06/01/2025
PG.MANUT. GERADOR NF.: 12067 DESPESAS DE ATENDIMENTO REF AO ORÇ:20775967 DIVIDIDO EM 3 VEZES. Parc.(3/3) STEMAC SA GRUPO DE GERADORES
- 140,19
</t>
      </text>
    </comment>
    <comment ref="I48" authorId="25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20/08/2024
PG.MANUT.GERAL NF.: 699 CONSERTO DO IMÃ DA PORTA DOCA NO DIA 24/07/2024 ALEXSANDRO PAZ BORBA
- 269,16
</t>
      </text>
    </comment>
    <comment ref="M48" authorId="25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27/12/2024
MANUT. SISTEMAS DE SEGURANÇA NF.: 12177 VISITA TÉC. VERIF. PROBLEMAS CATRACAS DE ACESSO DO EDIFÍCIO. DIGICON S A CONTROLE ELETRONICO PARA MECANICA
- 3.219,78
</t>
      </text>
    </comment>
    <comment ref="N48" authorId="25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20/01/2025
MANUT. SISTEMAS DE SEGURANÇA NF.: 12351 SERV. TROCA SOLENOIDES E AJUSTE CATRACAS SUBSOLO E RECEPÇÃO DIGICON S A CONTROLE ELETRONICO PARA MECANICA
- 2.466,72
</t>
      </text>
    </comment>
    <comment ref="O48" authorId="25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14/02/2025
PG. MAT. SISTEMAS DE SEGURANÇA NF.: 132050 COMPRA MATERIAL PARA TROCA SOLENOIDES DAS CATRACAS DIGICON S A CONTROLE ELETRONICO PARA MECANICA
- 1.284,74
</t>
      </text>
    </comment>
    <comment ref="D51" authorId="25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11/03/2024PG.INTERNET/TELEFONE/TV NR. DOC: 185105 PROSERVER TELECOMUNICACOES LTDA- 50,63
Responder:
    18/03/2024PG.DESP.CELULAR NR. DOC: 0442458992 VIVO - TELEFONICA BRASIL S.A.- 61,51
</t>
      </text>
    </comment>
    <comment ref="E51" authorId="25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10/04/2024PG.INTERNET/TELEFONE/TV NR. DOC: 185105 PROSERVER TELECOMUNICACOES LTDA- 49,49
Responder:
    17/04/2024PG.DESP.CELULAR NR. DOC: 0442458992 VIVO - TELEFONICA BRASIL S.A.- 99,98
</t>
      </text>
    </comment>
    <comment ref="F51" authorId="25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10/05/2024PG.INTERNET/TELEFONE/TV NR. DOC: 185105 PROSERVER TELECOMUNICACOES LTDA- 98,49
Responder:
    17/05/2024PG.DESP.CELULAR NR. DOC: 0442458992 VIVO - TELEFONICA BRASIL S.A.- 99,98
</t>
      </text>
    </comment>
    <comment ref="G51" authorId="25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10/06/2024PG.INTERNET/TELEFONE/TV NR. DOC: 185105 PROSERVER TELECOMUNICACOES LTDA- 39,90 
Responder:
    18/06/2024PG.DESP.CELULAR NR. DOC: 0442458992 VIVO - TELEFONICA BRASIL S.A.- 99,98 </t>
      </text>
    </comment>
    <comment ref="H51" authorId="25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10/07/2024
PG.INTERNET/TELEFONE/TV NR. DOC: 185105 PROSERVER TELECOMUNICACOES LTDA
- 39,90
Responder:
    17/07/2024
PG.DESP.CELULAR NR. DOC: 0442458992 VIVO - TELEFONICA BRASIL S.A.
- 99,98
</t>
      </text>
    </comment>
    <comment ref="I51" authorId="26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12/08/2024
PG.INTERNET/TELEFONE/TV NR. DOC: 185105 PROSERVER TELECOMUNICACOES LTDA
- 39,90
Responder:
    19/08/2024
PG.DESP.CELULAR NR. DOC: 0442458992 VIVO - TELEFONICA BRASIL S.A.
- 99,98
</t>
      </text>
    </comment>
    <comment ref="J51" authorId="26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10/09/2024
PG.INTERNET/TELEFONE/TV NR. DOC: 185105 PAG FATURA MENSAL TELEFONE DA ADM - REF AGOSTO/24 PROSERVER TELECOMUNICACOES LTDA
- 39,90
Responder:
    19/09/2024
PG.DESP.CELULAR NR. DOC: 0442458992 VIVO - TELEFONICA BRASIL S.A.
- 99,98
</t>
      </text>
    </comment>
    <comment ref="K51" authorId="26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17/10/2024
PG.DESP.CELULAR NR. DOC: 0442458992 VIVO - TELEFONICA BRASIL S.A.
- 102,02
Responder:
    31/10/2024
PG.INTERNET/TELEFONE/TV NR. DOC: 33513587 VALOR LINHA TELEFÔNICA ADM - REF: SETEMBRO 2024 UNIFIQUE TELECOMUNICACOES S/A
- 40,70
</t>
      </text>
    </comment>
    <comment ref="L51" authorId="26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18/11/2024
PG.DESP.CELULAR NR. DOC: 0442458992 VIVO - TELEFONICA BRASIL S.A.
- 101,12
Responder:
    29/11/2024
PG.DESP.TELEFONE NF.: 34358346 FATURA MENSAL LINHA TEL. ADM - REF: OUTUBRO 2024 UNIFIQUE TELECOMUNICACOES S/A
- 39,90
</t>
      </text>
    </comment>
    <comment ref="M51" authorId="26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17/12/2024
PG.DESP.CELULAR NR. DOC: 0442458992 VIVO - TELEFONICA BRASIL S.A.
- 101,12
</t>
      </text>
    </comment>
    <comment ref="N51" authorId="26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08/01/2025
PG.DESP.TELEFONE NF.: 35204838 MENSAL.LINHA TELEFÔNICA ADM REF.NOVEMBRO/2024 UNIFIQUE TELECOMUNICACOES S/A
- 40,80
Responder:
    17/01/2025
PG.DESP.CELULAR NR. DOC: 0442458992 VIVO - TELEFONICA BRASIL S.A.
- 101,12
Responder:
    30/01/2025
PG.DESP.TELEFONE NF.: 36126130 FATURA MENSAL LINHA TELEFÕNICA ADM - DEZEMBRO 2024 UNIFIQUE TELECOMUNICACOES S/A
- 39,90
</t>
      </text>
    </comment>
    <comment ref="O51" authorId="26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17/02/2025
PG.DESP.CELULAR NR. DOC: 0442458992 VIVO - TELEFONICA BRASIL S.A.
- 101,12
</t>
      </text>
    </comment>
    <comment ref="D52" authorId="26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24/02 UBER*TRIP 29,89 
Responder:
    01/03 UBER*TRIP 17,90 
Responder:
    01/03 Uber *UBER *TRIP 25,16 
Responder:
    05/03 Uber *UBER *TRIP 18,50 </t>
      </text>
    </comment>
    <comment ref="E52" authorId="26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15/03 Uber *UBER *TRIP 44,51 </t>
      </text>
    </comment>
    <comment ref="I52" authorId="26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14/08/2024
PG.RESSARCIMENTO REEMBOLSO DE UBER DE VOLTA PARA CASA - MOISES CABRAL 06/08/2024 MOISES IRINEU CABRAL PINTO
- 44,51
</t>
      </text>
    </comment>
    <comment ref="J52" authorId="27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26/09/2024
PG.RESSARCIMENTO NR. DOC: 18092024 UBER MOISES IRINEU CABRAL PINTO
- 36,98
</t>
      </text>
    </comment>
    <comment ref="K52" authorId="27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31/10/2024
PG.ELABORACAO CERT.DIGITAL
- 190,00
</t>
      </text>
    </comment>
    <comment ref="M52" authorId="27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10/12/2024
PG.RETENCAO ISSQN NR. DOC: 23911 PREFEITURA DE PORTO ALEGRE
- 2,02
Responder:
    1170 CP TERCEIROS - SALÁRIO EDUCAÇÃO 117,65 117,65 01 CP TERCEIROS - SALÁRIO EDUCAÇÃO PA:11/2024 Vencimento:20/12/2024 
Responder:
    1176 CP TERCEIROS - INCRA 9,41 9,41 01 CP TERCEIROS - INCRA PA:11/2024 Vencimento:20/12/2024 
Responder:
    1196 CP TERCEIROS - SESC 70,59 70,59 01 CP TERCEIROS - SESC PA:11/2024 Vencimento:20/12/2024 
Responder:
    1200 CP TERCEIROS - SEBRAE - EMPR CONTRIBUINTE SES 14,11 14,11 02 CP TERCEIROS - SEBRAE - EMPR CONTRIBUINTE SESC PA:11/2024 Vencimento:20/12/2024 0561 IRRF - RENDIMENTO DO TRABALHO ASS 
Responder:
    0561 IRRF - RENDIMENTO DO TRABALHO ASSALARIADO 149,83 149,83 07 IRRF - RD TRB ASSAL PAÍS/AUS NO EXT A SERV PAÍS PA:11/2024 Vencimento:20/12/2024 
Responder:
    1708 IRRF - REMUNER SERV PRESTADOS POR PJ 27,82 27,82 06 IRRF - REMUNER SERV PRESTADOS POR PJ PA:11/2024 Vencimento:20/12/2024 
Responder:
    5952 RET DE CONTRIBUICOES PAGT PJ A PJ DE DIR PRIV 202,46 202,46 07 RET DE CONTRIBUICOES PAGT PJ A PJ DE DIR PRIV PA:11/2024 Vencimento:20/12/2024 </t>
      </text>
    </comment>
    <comment ref="D53" authorId="27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11/03/2024PG.RETENCAO ISSQN NR. DOC: 4180 PREFEITURA DE PORTO ALEGRE- 25,44
Responder:
    11/03/2024PG.RETENCAO ISSQN NR. DOC: 4238 PREFEITURA DE PORTO ALEGRE- 24,75 </t>
      </text>
    </comment>
    <comment ref="E53" authorId="27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10/04/2024PG.RETENCAO ISSQN NR. DOC: 15 PREFEITURA DE PORTO ALEGRE- 91,26
Responder:
    10/04/2024PG.RETENCAO ISSQN PREFEITURA DE PORTO ALEGRE- 74,50
</t>
      </text>
    </comment>
    <comment ref="F53" authorId="27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10/05/2024PG.RETENCAO ISSQN NR. DOC: 7799 PREFEITURA DE PORTO ALEGRE- 461,19
</t>
      </text>
    </comment>
    <comment ref="G53" authorId="27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10/06/2024PG.RETENCAO ISSQN NR. DOC: 15002 PREFEITURA DE PORTO ALEGRE- 2,48 
Responder:
    10/06/2024PG.RETENCAO ISSQN NR. DOC: 69 PREFEITURA DE PORTO ALEGRE- 597,23-+ 69.784,49 </t>
      </text>
    </comment>
    <comment ref="H53" authorId="27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1176 CP TERCEIROS - INCRA 8,14 8,14 01 CP TERCEIROS - INCRA PA:06/2024 Vencimento:19/07/2024 1196 CP TERCEIROS - SESC 61,05 61,05 01 CP TERCEIROS - SESC PA:06/2024 Vencimento:19/07/2024 1200 CP TERCEIROS - SEBRAE - EMPR CONTRIBUINTE SES 12,21 12,21 02 CP TERCEIROS - SEBRAE - EMPR CONTRIBUINTE SESC PA:06/2024 Vencimento:19/07/2024 </t>
      </text>
    </comment>
    <comment ref="K53" authorId="27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10/10/2024
PG.RETENCAO ISSQN NR. DOC: 19175 PREFEITURA DE PORTO ALEGRE
- 3.090,49
Responder:
    1170 CP TERCEIROS - SALÁRIO EDUCAÇÃO 114,57 114,57 01 CP TERCEIROS - SALÁRIO EDUCAÇÃO PA:09/2024 Vencimento:18/10/2024 
Responder:
    1176 CP TERCEIROS - INCRA 9,16 9,16 01 CP TERCEIROS - INCRA PA:09/2024 Vencimento:18/10/2024 
Responder:
    1196 CP TERCEIROS - SESC 68,74 68,74 01 CP TERCEIROS - SESC PA:09/2024 Vencimento:18/10/2024 
Responder:
    1200 CP TERCEIROS - SEBRAE - EMPR CONTRIBUINTE SES 13,74 13,74 02 CP TERCEIROS - SEBRAE - EMPR CONTRIBUINTE SESC PA:09/2024 Vencimento:18/10/2024 
Responder:
    5952 RET DE CONTRIBUICOES PAGT PJ A PJ DE DIR PRIV 134,01 134,01 07 RET DE CONTRIBUICOES PAGT PJ A PJ DE DIR PRIV PA:09/2024 Vencimento:18/10/2024 </t>
      </text>
    </comment>
    <comment ref="L53" authorId="27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11/11/2024
PG.RETENCAO ISSQN NR. DOC: 21354 PREFEITURA DE PORTO ALEGRE
- 150,00
-
- 14.860,37
attach_file1chat
11/11/2024
PG.RETENCAO ISSQN NR. DOC: 21356 PREFEITURA DE PORTO ALEGRE
- 4,17
-
- 14.864,54
attach_file1chat
11/11/2024
PG.RETENCAO ISSQN NR. DOC: 21357 PREFEITURA DE PORTO ALEGRE
- 12,50
-
- 14.877,04
attach_file1chat
11/11/2024
PG.RETENCAO ISSQN NR. DOC: 21365 PREFEITURA DE PORTO ALEGRE
- 4,17
-
- 14.881,21
attach_file
</t>
      </text>
    </comment>
    <comment ref="N53" authorId="28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1170 CP TERCEIROS - SALÁRIO EDUCAÇÃO 131,54 131,54 01 CP TERCEIROS - SALÁRIO EDUCAÇÃO PA:12/2024 Vencimento:20/01/2025 
Responder:
    1176 CP TERCEIROS - INCRA 10,52 10,52 01 CP TERCEIROS - INCRA PA:12/2024 Vencimento:20/01/2025 
Responder:
    1196 CP TERCEIROS - SESC 78,92 78,92 01 CP TERCEIROS - SESC PA:12/2024 Vencimento:20/01/2025 
Responder:
    1200 CP TERCEIROS - SEBRAE - EMPR CONTRIBUINTE SES 15,78 15,78 02 CP TERCEIROS - SEBRAE - EMPR CONTRIBUINTE SESC PA:12/2024 Vencimento:20/01/2025 </t>
      </text>
    </comment>
    <comment ref="O53" authorId="28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13/02/2025
PG.RETENCAO ISSQN NR. DOC: 749 PREFEITURA DE PORTO ALEGRE
- 243,21
</t>
      </text>
    </comment>
    <comment ref="D55" authorId="28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22/03/2024PG.CUSTAS JUDICIAIS NR. DOC: 0012420074 RIO GRANDE DO SUL PODER JUDICIARIO- 412,20
</t>
      </text>
    </comment>
    <comment ref="D56" authorId="28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01/03 DL*GOOGLE GSUITE 162,00 </t>
      </text>
    </comment>
    <comment ref="E56" authorId="28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01/04 Google GSUITE`diamondto 188,12 </t>
      </text>
    </comment>
    <comment ref="F56" authorId="28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01/05 Google GSUITE_diamondto 252,00 </t>
      </text>
    </comment>
    <comment ref="H56" authorId="28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01/07 DL*GOOGLE GSUITE 302,00 </t>
      </text>
    </comment>
    <comment ref="I56" authorId="28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01/08 Google GSUITE_diamondto 252,00 </t>
      </text>
    </comment>
    <comment ref="K56" authorId="28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01/10 DL*GOOGLE GSUITEdiamo 252,00 </t>
      </text>
    </comment>
    <comment ref="L56" authorId="28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01/11 DL*GOOGLE GSUITEdiamo 252,00 </t>
      </text>
    </comment>
    <comment ref="E61" authorId="29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17/04/2024CONSUMO DAGUA NR. DOC: 3579042 02/2024 2024023579042 DMAE- 11.626,27
Responder:
    22/04/2024CONSUMO DAGUA NR. DOC: 3579042 03/2024 2024033579042 DMAE- 9.552,81
</t>
      </text>
    </comment>
    <comment ref="F61" authorId="29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21/05/2024CONSUMO DAGUA NR. DOC: 3579042 04/2024 2024043579042 DMAE- 9.552,81
</t>
      </text>
    </comment>
    <comment ref="G61" authorId="29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26/06/2024CONSUMO DAGUA NR. DOC: 3579042 05/2024 2024053579042 DMAE- 9.552,81
</t>
      </text>
    </comment>
    <comment ref="H61" authorId="29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22/07/2024
CONSUMO DAGUA NR. DOC: 3579042 06/2024 2024063579042 DMAE
- 9.552,81
</t>
      </text>
    </comment>
    <comment ref="I61" authorId="29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21/08/2024
CONSUMO DAGUA NR. DOC: 3579042 07/2024 2024073579042 DMAE
- 9.552,81
</t>
      </text>
    </comment>
    <comment ref="J61" authorId="29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23/09/2024
CONSUMO DAGUA NR. DOC: 3579042 08/2024 2024083579042 DMAE
- 9.552,81
</t>
      </text>
    </comment>
    <comment ref="K61" authorId="29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21/10/2024
CONSUMO DAGUA NR. DOC: 3579042 09/2024 2024093579042 DMAE
- 9.552,81
</t>
      </text>
    </comment>
    <comment ref="L61" authorId="29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21/11/2024
CONSUMO DAGUA NR. DOC: 3579042 10/2024 2024103579042 DMAE
- 9.552,81
</t>
      </text>
    </comment>
    <comment ref="M61" authorId="29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23/12/2024
CONSUMO DAGUA NR. DOC: 3579042 11/2024 2024113579042 DMAE
- 9.552,81
</t>
      </text>
    </comment>
    <comment ref="N61" authorId="29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21/01/2025
CONSUMO DAGUA NR. DOC: 3579042 12/2024 2024123579042 DMAE
- 9.552,81
</t>
      </text>
    </comment>
    <comment ref="O61" authorId="30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21/02/2025
CONSUMO DAGUA NR. DOC: 3579042 01/2025 2025013579042 DMAE
- 9.552,81
</t>
      </text>
    </comment>
    <comment ref="E62" authorId="30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01/04/2024PG.CONSUMO LUZ NR. DOC: 68761929 CEEE DISTRIBUICAO- 19.020,77
Responder:
    29/04/2024PG.CONSUMO LUZ NR. DOC: 68761929 04/2024 CEEE DISTRIBUICAO- 22.207,26
</t>
      </text>
    </comment>
    <comment ref="F62" authorId="30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 29/05/2024PG.CONSUMO LUZ NR. DOC: 68761929 05/2024 CEEE DISTRIBUICAO- 19.922,55
</t>
      </text>
    </comment>
    <comment ref="H62" authorId="30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01/07/2024
PG.CONSUMO LUZ NR. DOC: 68761929 06/2024 CEEE DISTRIBUICAO
- 17.480,64
Responder:
    29/07/2024
PG.CONSUMO LUZ NR. DOC: 68761929 07/2024 CEEE DISTRIBUICAO
- 18.304,50
</t>
      </text>
    </comment>
    <comment ref="I62" authorId="30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29/08/2024
PG.CONSUMO LUZ NR. DOC: 68761929 08/2024 CEEE DISTRIBUICAO
- 19.879,76
</t>
      </text>
    </comment>
    <comment ref="J62" authorId="30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30/09/2024
PG.CONSUMO LUZ NR. DOC: 68761929 09/2024 CEEE DISTRIBUICAO
- 19.825,49
</t>
      </text>
    </comment>
    <comment ref="K62" authorId="30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29/10/2024
PG.CONSUMO LUZ NR. DOC: 68761929 10/2024 CEEE DISTRIBUICAO
- 19.684,02
</t>
      </text>
    </comment>
    <comment ref="L62" authorId="30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29/11/2024
PG.CONSUMO LUZ NR. DOC: 68761929 11/2024 CEEE DISTRIBUICAO
- 22.611,32
</t>
      </text>
    </comment>
    <comment ref="M62" authorId="30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30/12/2024
PG.CONSUMO LUZ NR. DOC: 68761929 12/2024 CEEE DISTRIBUICAO
- 19.895,15
</t>
      </text>
    </comment>
    <comment ref="N62" authorId="30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29/01/2025
PG.CONSUMO LUZ NR. DOC: 68761929 01/2025 CEEE DISTRIBUICAO
- 20.245,43
</t>
      </text>
    </comment>
    <comment ref="H63" authorId="31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24/07/2024
PG.SEGURO PREDIO 1ª PARCELA SEGURO TOKIO MARINE SEGURADORA S.A.
- 5.192,48
</t>
      </text>
    </comment>
    <comment ref="J63" authorId="31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10/09/2024
PG.SEGURO PREDIO PARCELA SEGURO Parc.(2/6) TOKIO MARINE SEGURADORA S.A.
- 5.192,37
</t>
      </text>
    </comment>
    <comment ref="K63" authorId="31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10/10/2024
PG.SEGURO PREDIO PARCELA SEGURO Parc.(3/6) TOKIO MARINE SEGURADORA S.A.
- 5.192,37
</t>
      </text>
    </comment>
    <comment ref="L63" authorId="31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11/11/2024
PG.SEGURO PREDIO PARCELA SEGURO Parc.(4/6) TOKIO MARINE SEGURADORA S.A.
- 5.192,37
</t>
      </text>
    </comment>
    <comment ref="M63" authorId="31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10/12/2024
PG.SEGURO PREDIO PARCELA SEGURO Parc.(5/6) TOKIO MARINE SEGURADORA S.A.
- 5.192,37
</t>
      </text>
    </comment>
    <comment ref="N63" authorId="31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10/01/2025
PG.SEGURO PREDIO PARCELA SEGURO Parc.(6/6) TOKIO MARINE SEGURADORA S.A.
- 5.192,30
</t>
      </text>
    </comment>
    <comment ref="O63" authorId="316" shapeId="0">
      <text>
        <t>21/11/2022 SEGURO FOGO OBRIGATORIO COND NR. DOC: 5177202265160036789 Parc.(5/6) ALLIANZ SE 6.690,63
======</t>
      </text>
    </comment>
    <comment ref="D66" authorId="31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26/03/2024PG.MANUT.GERAL NF.: 30 TROCA E INST APARELHO DE SOM AUDITORIO RODRIGO GONCALVES PEREIRA- 3.079,50 
Responder:
    26/03/2024PG.MANUT.GERAL NF.: 32 TROCA DE APARELHO NOBREACK SISTEMA DE CFTV-CASA MAQUINAS ELEVADORES RODRIGO GONCALVES PEREIRA- 868,15 </t>
      </text>
    </comment>
    <comment ref="E66" authorId="31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05/04/2024PG.SERV.PRESTADOS NF.: 202420 FILMAGEM ASSEMBLEIA DE 21/03/2024 ZOOM VIDEO PRODUCOES E EVENTOS LTDA- 720,80
Responder:
    26/04/2024AUXÍLIO COMBUSTÍVEL 05/2024 TICKET SOLUCOES HDFGT S/A- 413,86
Responder:
    13/03 CARREFOUR BI-CTISTAL 8,94 
Responder:
    20/03 CARREFOUR BIG CRISTAL 22,56 </t>
      </text>
    </comment>
    <comment ref="F66" authorId="31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08/05/2024MANUT. ALVENARIA/ACABAMENTOS NF.: 6 RETIRADA DE PLACAS DE ACM DK SOLUÇÕES EM MANUTENÇÃO DE ESQUADRIAS E PELES DE VIDRO LTDA- 12.800,00
Responder:
    23/05/2024MANUT. ALVENARIA/ACABAMENTOS NF.: 202460 CONSERTO DE ACM'S OUTUBRO E NOVEMBRO DE 2023. ALTITUDE - TRABALHO E RESGATE EM ALTURA- 5.404,00
</t>
      </text>
    </comment>
    <comment ref="G66" authorId="32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25/06/2024MANUT. ALVENARIA/ACABAMENTOS NF.: 14 SEGUNDA E ÚLTIMA PARCELA DO SERVIÇO DE RETIRADA DOS ACM'S. Parc.(1/2) DK SOLUÇÕES EM MANUTENÇÃO DE ESQUADRIAS E PELES DE VIDRO LTDA- 12.800,00
</t>
      </text>
    </comment>
    <comment ref="H66" authorId="32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05/07/2024
MANUT. ALVENARIA/ACABAMENTOS NF.: 14 SEGUNDA E ÚLTIMA PARCELA DO SERVIÇO DE RETIRADA DOS ACM'S. Parc.(2/2) DK SOLUÇÕES EM MANUTENÇÃO DE ESQUADRIAS E PELES DE VIDRO LTDA
- 12.800,00
Responder:
    17/07/2024
PG.LAUDO TECNICO NF.: 12 VISTORIA TECNICA ELEVADOR MARCELO FRACARO VARGAS
- 5.000,00
Responder:
    30/07/2024
PG.BENFEITORIAS/AQUISIÇÕES NF.: 55915309 RECOLOCAÇÃO DAS PLACAS DE ACM DA FACHADA - 1ª PARC CLEBER LUIS DE OLIVEIRA AZAMBUJA
- 25.770,36
Responder:
    31/07/2024
PG.DESP.DIVERSAS NR. DOC: 85639 REF.CREDITO A MAIOR ELETROMIDIA
- 230,50
</t>
      </text>
    </comment>
    <comment ref="I66" authorId="32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12/08/2024
MANUT. ALVENARIA/ACABAMENTOS NF.: 56130843 PARCELA O2 DE 05 - RECOLOCAÇÃO ACM FACHADA CASA DE MÁQUINAS DO TERRAÇO CLEBER LUIS DE OLIVEIRA AZAMBUJA
- 36.507,93
Responder:
    26/08/2024
PG.COMPRA MATERIAL NF.: 56274113 PARCELA 3 DE 5- RECOLOCAÇÃO DOS ACMS NA FACHADA DA CASA DE MÁQUINAS DO TERRAÇO CLEBER LUIS DE OLIVEIRA AZAMBUJA
- 36.507,93
</t>
      </text>
    </comment>
    <comment ref="J66" authorId="32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09/09/2024
PG.SERV.PRESTADOS NF.: 56569149 04/05 REF SERVIÇO RETIRADA,LIMPEZA, ALINHAMENTO E RECOLOCAÇÃO ACM NOVO CLEBER LUIS DE OLIVEIRA AZAMBUJA
- 36.507,93
</t>
      </text>
    </comment>
    <comment ref="K66" authorId="32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14/10/2024
PG. MAT. SISTEMAS DE SEGURANÇA NF.: 1622 VALOR DOS APARELHOS UTILIZADOS P/ INSTALAÇÃO RADAR DE VELOCIDADE ESTACIONAMENTO Parc.(1/2) RODRIGO GONCALVES PEREIRA
- 5.356,85
Responder:
    15/10/2024
MANUT. SISTEMAS DE SEGURANÇA NF.: 175 VALOR AO SERVIÇO PRESTADO PARA INSTALAÇÃO DO RADAR DE VELOCIDADE ESTACIONAMENTO Parc.(1/2) RODRIGO GONCALVES PEREIRA
- 983,65
</t>
      </text>
    </comment>
    <comment ref="L66" authorId="32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11/11/2024
PG. MAT. SISTEMAS DE SEGURANÇA NF.: 1622 VALOR DOS APARELHOS UTILIZADOS P/ INSTALAÇÃO RADAR DE VELOCIDADE ESTACIONAMENTO Parc.(2/2) RODRIGO GONCALVES PEREIRA
- 5.356,85
Responder:
    14/11/2024
MANUT. SISTEMAS DE SEGURANÇA NF.: 175 VALOR AO SERVIÇO PRESTADO PARA INSTALAÇÃO DO RADAR DE VELOCIDADE ESTACIONAMENTO Parc.(2/2) RODRIGO GONCALVES PEREIRA
- 983,65
</t>
      </text>
    </comment>
    <comment ref="M66" authorId="32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11/12/2024
PG. ELEVADOR PECAS NF.: 202400000019175 Parc.(1/5) ELEVADORES ATLAS SCHINDLER S/A
- 11.169,03
Responder:
    12/12/2024
PG. ELEVADOR PECAS NF.: 202400000019175 Parc.(2/5) ELEVADORES ATLAS SCHINDLER S/A
- 11.169,03
Responder:
    26/12/2024
PG. ELEVADOR PECAS NF.: 202400000019175 Parc.(3/5) ELEVADORES ATLAS SCHINDLER S/A
- 11.169,03
</t>
      </text>
    </comment>
    <comment ref="N66" authorId="32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27/01/2025
PG. ELEVADOR PECAS NF.: 202400000019175 Parc.(4/5) ELEVADORES ATLAS SCHINDLER S/A
- 11.169,03
Responder:
    28/01/2025
MANUT. ALVENARIA/ACABAMENTOS NF.: 202437 PARC.4/4 REF.MANUTENÇÃO DOS ACMS CLEBER LUIS DE OLIVEIRA AZAMBUJA
- 36.507,85
</t>
      </text>
    </comment>
    <comment ref="D67" authorId="32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27/03/2024PG.HONORARIOS ADVOCATICIOS NF.: 6 PROCESSO RUBENS FRASCA X MULTIPLAN DIAMOND TOWER LTD E COND EDIFICIO DIAMOND TOW MARION CASTILHOS SILVA SOCIEDADE IND.AD- 784,00
</t>
      </text>
    </comment>
    <comment ref="E67" authorId="32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10/04/2024PG.HONORARIOS ADVOCATICIOS NF.: 10 PG. HONORÁRIOS ADV - 1 DE 6 DA UNIDADE 2112 MARION CASTILHOS SILVA SOCIEDADE IND.AD- 453,01
Responder:
    10/04/2024PG.HONORARIOS ADVOCATICIOS NF.: 38 HONORÁRIO ADV - ACORDO DA UNIDADE 1910 BELLINI FIGUEIRO SOCIEDADE INDIVIDUAL DE- 240,41
Responder:
    0/04/2024PG.HONORARIOS ADVOCATICIOS NF.: 8 PG. HONORÁRIOS ADV ACORDO UNIDADE 1713 MARION CASTILHOS SILVA SOCIEDADE IND.AD- 2.116,39
Responder:
    10/04/2024PG.RETENCAO ISSQN NR. DOC: 6 V:27/03/2024 MARION CASTILHOS SILVA SOCIEDADE IND.AD- 16,00 
Responder:
    25/04/2024PG.HONORARIOS ADVOCATICIOS NF.: 12 PARCELA 01 DE 06 DOS HONORÁRIOS DO ACORDO DA 1003 MARION CASTILHOS SILVA SOCIEDADE IND.AD- 1.416,83
</t>
      </text>
    </comment>
    <comment ref="F67" authorId="33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27/05/2024PG.HONORARIOS ADVOCATICIOS NF.: 14 PARCELA 02/06 HONORÁRIOS ADV - ACORDO 1003 MARION CASTILHOS SILVA SOCIEDADE IND.AD- 1.416,83
Responder:
    27/05/2024PG.HONORARIOS ADVOCATICIOS NF.: 15 PARCELA 2/6 HONORÁRIOS ADV - ACORDO 2112 MARION CASTILHOS SILVA SOCIEDADE IND.AD- 453,01
</t>
      </text>
    </comment>
    <comment ref="G67" authorId="33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25/06/2024PG.HONORARIOS ADVOCATICIOS NF.: 17 COBRANÇA COTAS CONDOMINIAIS UNIDADE 1003 PARC. 3/6 MARION CASTILHOS SILVA SOCIEDADE IND.AD- 1.416,83
Responder:
    25/06/2024PG.HONORARIOS ADVOCATICIOS NF.: 18 COBRANÇA COTAS CONDOMINIAIS UNIDADE 2112 -PARC.3/6 MARION CASTILHOS SILVA SOCIEDADE IND.AD- 453,01
</t>
      </text>
    </comment>
    <comment ref="H67" authorId="33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10/07/2024
PG.RETENCAO ISSQN NR. DOC: 17 V:25/06/2024 MARION CASTILHOS SILVA SOCIEDADE IND.AD
- 28,92
Responder:
    10/07/2024
PG.RETENCAO ISSQN NR. DOC: 18 V:25/06/2024 MARION CASTILHOS SILVA SOCIEDADE IND.AD
- 9,25
Responder:
    26/07/2024
PG.HONORARIOS ADVOCATICIOS NF.: 20 PARC 4/6 DOS HONORÁRIOS REF: ACORDO UNIDADE 2112 MARION CASTILHOS SILVA SOCIEDADE IND.AD
- 453,01
Responder:
    26/07/2024
PG.HONORARIOS ADVOCATICIOS NF.: 21 PARC 4/6 DOS HONORÁRIOS REF: ACORDO UNIDADE 1003 MARION CASTILHOS SILVA SOCIEDADE IND.AD
- 1.416,83
Responder:
    26/07/2024
PG.HONORARIOS ADVOCATICIOS NF.: 22 PARCELA ÚNICA HONORARIOS REF: ACORDO UNIDADE 1703 MARION CASTILHOS SILVA SOCIEDADE IND.AD
- 495,40
</t>
      </text>
    </comment>
    <comment ref="I67" authorId="33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12/08/2024
PG.RETENCAO ISSQN NR. DOC: 20 V:26/07/2024 MARION CASTILHOS SILVA SOCIEDADE IND.AD
- 9,25
Responder:
    12/08/2024
PG.RETENCAO ISSQN NR. DOC: 21 V:26/07/2024 MARION CASTILHOS SILVA SOCIEDADE IND.AD
- 28,92
Responder:
    12/08/2024
PG.RETENCAO ISSQN NR. DOC: 22 V:26/07/2024 MARION CASTILHOS SILVA SOCIEDADE IND.AD
- 10,11
Responder:
    28/08/2024
PG.HONORARIOS ADVOCATICIOS NF.: 24 HONORÁRIO ADV COBRANÇA COND ATRASO SALA 1206 MARION CASTILHOS SILVA SOCIEDADE IND.AD
- 134,45
Responder:
    28/08/2024
PG.HONORARIOS ADVOCATICIOS NF.: 25 5/6 HONORÁRIOS ADV COBRANÇA COTAS COND ATRASO SALA 1003 MARION CASTILHOS SILVA SOCIEDADE IND.AD
- 1.416,83
Responder:
    28/08/2024
PG.HONORARIOS ADVOCATICIOS NF.: 26 5/6 HONORÁRIOS ADV COBRANCA COTAS COND ATRASO SALA 2112 MARION CASTILHOS SILVA SOCIEDADE IND.AD
- 453,01
</t>
      </text>
    </comment>
    <comment ref="J67" authorId="33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10/09/2024
PG.RETENCAO ISSQN NR. DOC: 24 V:28/08/2024 MARION CASTILHOS SILVA SOCIEDADE IND.AD
- 2,74
Responder:
    10/09/2024
PG.RETENCAO ISSQN NR. DOC: 25 V:28/08/2024 MARION CASTILHOS SILVA SOCIEDADE IND.AD
- 28,92
Responder:
    10/09/2024
PG.RETENCAO ISSQN NR. DOC: 26 V:28/08/2024 MARION CASTILHOS SILVA SOCIEDADE IND.AD
- 9,25
Responder:
    30/09/2024
PG.MANUT.PORTEIRO ELETRONICO NF.: 2024306 REF VISITA TÉCNICA DA SALA 1911 VALOR SERÁ REEMBOLSADO NO DOC DE COND DA SALA MACTEL SISTEMAS DE SEGURANÇA - LTDA
- 276,95
</t>
      </text>
    </comment>
    <comment ref="K67" authorId="33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04/10/2024
PG.HONORARIOS ADVOCATICIOS NF.: 27 6/6 HONORÁRIOS COBRANÇA COTAS COND ATRASO SALA 2112 REF COMPETENCIAS 2/21 A 1/24 MARION CASTILHOS SILVA SOCIEDADE IND.AD
- 453,01
Responder:
    04/10/2024
PG.HONORARIOS ADVOCATICIOS NF.: 28 6/6 HONORÁRIOS COBRANÇA COTAS COND EM ATRASO SALA 1003 REF COMP 2/18 A 3/24 MARION CASTILHOS SILVA SOCIEDADE IND.AD
- 1.416,83
Responder:
    10/10/2024
PG.RETENCAO ISSQN NR. DOC: 27 V:04/10/2024 MARION CASTILHOS SILVA SOCIEDADE IND.AD
- 9,25
Responder:
    10/10/2024
PG.RETENCAO ISSQN NR. DOC: 28 V:04/10/2024 MARION CASTILHOS SILVA SOCIEDADE IND.AD
- 28,92
Responder:
    24/10/2024
PG.DESP.DIVERSAS NF.: 11348 AQUISIO DE PLACAS DE PORTA TIAGO FILBER RECARGAS
</t>
      </text>
    </comment>
    <comment ref="M67" authorId="33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09/12/2024
PG.HONORARIOS ADVOCATICIOS NF.: 31 HONORÁRIO ACORDO 2304 - REF COTAS: FEVEREIRO, MARÇO, ABRIL E AGOSTO DE 2024 MARION CASTILHOS SILVA SOCIEDADE IND.AD
- 260,15
Responder:
    09/12/2024
PG.VIDRACARIA/VIDROS NF.: 8 TROCA DE VIDRO DA FACHADA DA SALA 1508 (OBS NA NOTA EM ANEXO) LUCAS D. AVILA
- 4.920,00
Responder:
    26/12/2024
PG.VIDRACARIA/VIDROS NF.: 57967024 TROCA VIDRO JANELA 1508-SEGURO FARÁ O REEMB. OU A SALA PAGARÁ ATRAVÉS DOC COND. PROJECT VIDROS LTDA
- 864,00
Responder:
    26/12/2024
PG.VIDRACARIA/VIDROS NF.: 57967107 TROCA VIDRO PORTA RECEPÇÃO-SEG. PAGARÁ OU A SALA PAGARÁ NO BOLETO DE COND. PROJECT VIDROS LTDA
- 2.875,00
</t>
      </text>
    </comment>
    <comment ref="N67" authorId="33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10/01/2025
PG.RETENCAO ISSQN NR. DOC: 31 V:09/12/2024 MARION CASTILHOS SILVA SOCIEDADE IND.AD
- 5,31
</t>
      </text>
    </comment>
    <comment ref="D68" authorId="33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05/03/2024PG.HONORARIOS ADVOCATICIOS NF.: 18 PROCESSO GABRIELA OLIVEIRA MELO - PARCELA 2/5 BELLINI FIGUEIRO SOCIEDADE INDIVIDUAL DE- 978,50
Responder:
    05/03/2024PG.HONORARIOS ADVOCATICIOS NF.: 19 PROCESSO KAREN VALESCA ALVES LOPES- PARCELA 3/5 BELLINI FIGUEIRO SOCIEDADE INDIVIDUAL DE- 978,50 
Responder:
    05/03/2024PG.HONORARIOS ADVOCATICIOS NF.: 20 PARCELA 4/10 PROCESSO KLEBER JOSE MARTINS E OUTROS BELLINI FIGUEIRO SOCIEDADE INDIVIDUAL DE- 1.957,00
Responder:
    11/03/2024PG.RETENCAO ISSQN NR. DOC: 18 V:05/03/2024 BELLINI FIGUEIRO SOCIEDADE INDIVIDUAL DE- 21,50
Responder:
    11/03/2024PG.RETENCAO ISSQN NR. DOC: 19 V:05/03/2024 BELLINI FIGUEIRO SOCIEDADE INDIVIDUAL DE- 21,50
Responder:
    11/03/2024PG.RETENCAO ISSQN NR. DOC: 20 V:05/03/2024 BELLINI FIGUEIRO SOCIEDADE INDIVIDUAL DE- 43,00
</t>
      </text>
    </comment>
    <comment ref="E68" authorId="33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5/04/2024PG.HONORARIOS ADVOCATICIOS NF.: 28 PARC 3 DE 5 HONORARIOS ADV REF PROCESSO- GABRIELA OLIVEIRA MELO X ED DIAMOND TOW BELLINI FIGUEIRO SOCIEDADE INDIVIDUAL DE- 978,80
Responder:
    05/04/2024PG.HONORARIOS ADVOCATICIOS NF.: 29 PARCELA 03 DE 05 DOS HONORRIOS ADVOCATÍCIOS REFERENTE AO PROCESSO BELLINI FIGUEIRO SOCIEDADE INDIVIDUAL DE- 978,80
Responder:
    05/04/2024PG.HONORARIOS ADVOCATICIOS NF.: 30 PARCELA 5 DE 10 REFERENTE AO PROCESSO KLEBER JOSE PIRES MARTINS X ED DIAMOND TOW BELLINI FIGUEIRO SOCIEDADE INDIVIDUAL DE- 1.957,60
Responder:
    05/04/2024PG.HONORARIOS ADVOCATICIOS NF.: 31 PARCELA 1 DE 10 REFERENTE AO PROCESSO RENATA COSTA NORONHA X EDIFICIO DIAMOND TO BELLINI FIGUEIRO SOCIEDADE INDIVIDUAL DE- 489,40
Responder:
    05/04/2024PG.HONORARIOS ADVOCATICIOS NF.: 32 PARCELA 01 DE 10 DOS HONORÁRIOS ADVOCATÍCIOS REFERENTE AO PROCESSO - BELLINI FIGUEIRO SOCIEDADE INDIVIDUAL DE- 489,40
Responder:
    05/04/2024PG.HONORARIOS ADVOCATICIOS NF.: 33 PARC 1 DE 5 HONORÁRIOS ADV REF PROCESSO LUCIANO PEREIRA UNGER X ED DIAMOND TOW BELLINI FIGUEIRO SOCIEDADE INDIVIDUAL DE- 978,80
Responder:
    10/04/2024PG.RETENCAO ISSQN NR. DOC: 28 V:05/04/2024 BELLINI FIGUEIRO SOCIEDADE INDIVIDUAL DE- 21,20
Responder:
    10/04/2024PG.RETENCAO ISSQN NR. DOC: 29 PREFEITURA DE PORTO ALEGRE- 83,70
Responder:
    10/04/2024PG.RETENCAO ISSQN NR. DOC: 29 V:05/04/2024 BELLINI FIGUEIRO SOCIEDADE INDIVIDUAL DE- 21,20
Responder:
    10/04/2024PG.RETENCAO ISSQN NR. DOC: 30 V:05/04/2024 BELLINI FIGUEIRO SOCIEDADE INDIVIDUAL DE- 42,40
Responder:
    10/04/2024PG.RETENCAO ISSQN NR. DOC: 31 V:05/04/2024 BELLINI FIGUEIRO SOCIEDADE INDIVIDUAL DE- 10,60 
Responder:
    10/04/2024PG.RETENCAO ISSQN NR. DOC: 32 V:05/04/2024 BELLINI FIGUEIRO SOCIEDADE INDIVIDUAL DE- 10,60
Responder:
    10/04/2024PG.RETENCAO ISSQN NR. DOC: 33 PREFEITURA DE PORTO ALEGRE- 50,40
Responder:
    10/04/2024PG.RETENCAO ISSQN NR. DOC: 33 V:05/04/2024 BELLINI FIGUEIRO SOCIEDADE INDIVIDUAL DE- 21,20 </t>
      </text>
    </comment>
    <comment ref="F68" authorId="34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06/05/2024PG.HONORARIOS ADVOCATICIOS NF.: 42 HONORÁRIOS ADV - KLEBER JOSE PIRES MARTISN X DIAMOND TOWER BELLINI FIGUEIRO SOCIEDADE INDIVIDUAL DE- 1.953,40
Responder:
    06/05/2024PG.HONORARIOS ADVOCATICIOS NF.: 43 HONORÁRIOS ADV - PROCESSO GABRIELA O. DE MELO X DIAMOND TOWER BELLINI FIGUEIRO SOCIEDADE INDIVIDUAL DE- 976,70
Responder:
    06/05/2024PG.HONORARIOS ADVOCATICIOS NF.: 44 HONORÁRIOS ADV - PROCESSO RENATA NORONHA X DIAMOND TOWER BELLINI FIGUEIRO SOCIEDADE INDIVIDUAL DE- 488,35
Responder:
    06/05/2024PG.HONORARIOS ADVOCATICIOS NF.: 45 HONORÁRIOS ADV - PROCESSO ANAJARA M. PINTO X DIAMOND TOWER BELLINI FIGUEIRO SOCIEDADE INDIVIDUAL DE- 488,35
Responder:
    06/05/2024PG.HONORARIOS ADVOCATICIOS NF.: 46 HONORÁRIOS ADV - PROCESSO LUCIANO PEREIRA UNGER X DIAMOND TOWER BELLINI FIGUEIRO SOCIEDADE INDIVIDUAL DE- 976,70
Responder:
    06/05/2024PG.HONORARIOS ADVOCATICIOS NF.: 47 HONORÁRIOS ADV - PROCESSO KAREN VALESCA A. LOPES X DIAMOND TOWER BELLINI FIGUEIRO SOCIEDADE INDIVIDUAL DE- 976,70
Responder:
    06/05/2024PG.HONORARIOS ADVOCATICIOS NF.: 48 HONORÁRIOS ADV - PROCESSO AIRTON C. GHEDINI X DIAMOND TOWER BELLINI FIGUEIRO SOCIEDADE INDIVIDUAL DE- 976,70
Responder:
     10/05/2024PG.RETENCAO ISSQN NR. DOC: 10 V:10/04/2024 MARION CASTILHOS SILVA SOCIEDADE IND.AD- 9,25
Responder:
    10/05/2024PG.RETENCAO ISSQN NR. DOC: 12 V:25/04/2024 MARION CASTILHOS SILVA SOCIEDADE IND.AD- 28,92
Responder:
    10/05/2024PG.RETENCAO ISSQN NR. DOC: 38 V:10/04/2024 BELLINI FIGUEIRO SOCIEDADE INDIVIDUAL DE- 5,74
Responder:
    10/05/2024PG.RETENCAO ISSQN NR. DOC: 41 V:06/05/2024 BELLINI FIGUEIRO SOCIEDADE INDIVIDUAL DE- 65,80 
Responder:
    10/05/2024PG.RETENCAO ISSQN NR. DOC: 42 V:06/05/2024 BELLINI FIGUEIRO SOCIEDADE INDIVIDUAL DE- 46,60
Responder:
    10/05/2024PG.RETENCAO ISSQN NR. DOC: 43 V:06/05/2024 BELLINI FIGUEIRO SOCIEDADE INDIVIDUAL DE- 23,30
Responder:
    10/05/2024PG.RETENCAO ISSQN NR. DOC: 44 V:06/05/2024 BELLINI FIGUEIRO SOCIEDADE INDIVIDUAL DE- 11,65
Responder:
    10/05/2024PG.RETENCAO ISSQN NR. DOC: 45 V:06/05/2024 BELLINI FIGUEIRO SOCIEDADE INDIVIDUAL DE- 11,65 
Responder:
    10/05/2024PG.RETENCAO ISSQN NR. DOC: 46 V:06/05/2024 BELLINI FIGUEIRO SOCIEDADE INDIVIDUAL DE- 23,30
Responder:
    10/05/2024PG.RETENCAO ISSQN NR. DOC: 47 V:06/05/2024 BELLINI FIGUEIRO SOCIEDADE INDIVIDUAL DE- 23,30 
Responder:
    10/05/2024PG.RETENCAO ISSQN NR. DOC: 48 V:06/05/2024 BELLINI FIGUEIRO SOCIEDADE INDIVIDUAL DE- 23,30
Responder:
    10/05/2024PG.RETENCAO ISSQN NR. DOC: 8 V:10/04/2024 MARION CASTILHOS SILVA SOCIEDADE IND.AD- 43,19
</t>
      </text>
    </comment>
    <comment ref="G68" authorId="34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05/06/2024PG.HONORARIOS ADVOCATICIOS NF.: 54 PARCELA 05/05 HONORÁRIOS ADV - PROCESSO TRABALHISTA GABRIELA O. DE MELO BELLINI FIGUEIRO SOCIEDADE INDIVIDUAL DE- 976,00
Responder:
    05/06/2024PG.HONORARIOS ADVOCATICIOS NF.: 55 PARCELA 05/05 HONORÁRIOS ADV - PROCESSO TRABALHISTA KAREN VALESCA A. LOPES BELLINI FIGUEIRO SOCIEDADE INDIVIDUAL DE- 976,00
Responder:
    05/06/2024PG.HONORARIOS ADVOCATICIOS NF.: 56 PARC 07/10 HONORÁRIOS ADV - INDENIZATÓRIA KLEBER J. PIRES MARTINS (LOJA IPHONES) BELLINI FIGUEIRO SOCIEDADE INDIVIDUAL DE- 1.952,00
Responder:
    05/06/2024PG.HONORARIOS ADVOCATICIOS NF.: 57 PARCELA 03/10 HONORÁRIOS ADV - PROCESSO TRABALHISTA ANAJARA M. PINTO BELLINI FIGUEIRO SOCIEDADE INDIVIDUAL DE- 488,00
Responder:
    05/06/2024PG.HONORARIOS ADVOCATICIOS NF.: 58 PARCELA 03/10 HONORÁRIOS ADV - PROCESSO TRABALHISTA RENATA C. NORONHA BELLINI FIGUEIRO SOCIEDADE INDIVIDUAL DE- 488,00
Responder:
    05/06/2024PG.HONORARIOS ADVOCATICIOS NF.: 59 PARCELA 03/05 HONORÁRIOS ADV - PROCESSO TRABALHISTA LUCIANO P.UNGER BELLINI FIGUEIRO SOCIEDADE INDIVIDUAL DE- 976,00
Responder:
    05/06/2024PG.HONORARIOS ADVOCATICIOS NF.: 60 PARCELA 02/06 HONORÁRIOS ADV - AÇÃO TRABALHISTA AIRTON C. GHEDINI BELLINI FIGUEIRO SOCIEDADE INDIVIDUAL DE- 976,00
Responder:
    10/06/2024PG.RETENCAO ISSQN NR. DOC: 14 V:27/05/2024 MARION CASTILHOS SILVA SOCIEDADE IND.AD- 28,92
Responder:
    10/06/2024PG.RETENCAO ISSQN NR. DOC: 15 V:27/05/2024 MARION CASTILHOS SILVA SOCIEDADE IND.AD- 9,25
Responder:
    10/06/2024PG.RETENCAO ISSQN NR. DOC: 54 V:05/06/2024 BELLINI FIGUEIRO SOCIEDADE INDIVIDUAL DE- 24,00
Responder:
    10/06/2024PG.RETENCAO ISSQN NR. DOC: 55 V:05/06/2024 BELLINI FIGUEIRO SOCIEDADE INDIVIDUAL DE- 24,00
Responder:
    10/06/2024PG.RETENCAO ISSQN NR. DOC: 56 V:05/06/2024 BELLINI FIGUEIRO SOCIEDADE INDIVIDUAL DE- 48,00
Responder:
    10/06/2024PG.RETENCAO ISSQN NR. DOC: 57 V:05/06/2024 BELLINI FIGUEIRO SOCIEDADE INDIVIDUAL DE- 12,00
Responder:
    10/06/2024PG.RETENCAO ISSQN NR. DOC: 58 V:05/06/2024 BELLINI FIGUEIRO SOCIEDADE INDIVIDUAL DE- 12,00 
Responder:
    10/06/2024PG.RETENCAO ISSQN NR. DOC: 59 V:05/06/2024 BELLINI FIGUEIRO SOCIEDADE INDIVIDUAL DE- 24,00
Responder:
    10/06/2024PG.RETENCAO ISSQN NR. DOC: 60 V:05/06/2024 BELLINI FIGUEIRO SOCIEDADE INDIVIDUAL DE- 24,00 </t>
      </text>
    </comment>
    <comment ref="H68" authorId="34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05/07/2024
PG.HONORARIOS ADVOCATICIOS NF.: 64 PROCESSO KLEBER MARTINS - PARC.8/10 BELLINI FIGUEIRO SOCIEDADE INDIVIDUAL DE
- 1.960,00
Responder:
    05/07/2024
PG.HONORARIOS ADVOCATICIOS NF.: 67 PROCESSO ANAJARA MARTINS - PARC.4/10 BELLINI FIGUEIRO SOCIEDADE INDIVIDUAL DE
- 490,00
Responder:
    05/07/2024
PG.HONORARIOS ADVOCATICIOS NF.: 68 PROCESSO AIRTON CESAR - PARCELA 3/5 BELLINI FIGUEIRO SOCIEDADE INDIVIDUAL DE
- 980,00
Responder:
    05/07/2024
PG.HONORARIOS ADVOCATICIOS NF.: 69 PROC. ONX/DIAMOND x LUCIANO PEREIRA - PARC.4/5 BELLINI FIGUEIRO SOCIEDADE INDIVIDUAL DE
- 980,00
Responder:
    10/07/2024
PG.RETENCAO ISSQN NR. DOC: 202465 BELLINI FIGUEIRO SOCIEDADE INDIVIDUAL DE
- 10,00
Responder:
    10/07/2024
PG.RETENCAO ISSQN NR. DOC: 64 V:05/07/2024 BELLINI FIGUEIRO SOCIEDADE INDIVIDUAL DE
- 40,00
Responder:
    10/07/2024
PG.RETENCAO ISSQN NR. DOC: 66 V:05/07/2024 BELLINI FIGUEIRO SOCIEDADE INDIVIDUAL DE
- 56,48
Responder:
    10/07/2024
PG.RETENCAO ISSQN NR. DOC: 67 V:26/06/2024 BELLINI FIGUEIRO SOCIEDADE INDIVIDUAL DE
- 10,00
Responder:
    10/07/2024
PG.RETENCAO ISSQN NR. DOC: 68 V:05/07/2024 BELLINI FIGUEIRO SOCIEDADE INDIVIDUAL DE
- 20,00
Responder:
    10/07/2024
PG.RETENCAO ISSQN NR. DOC: 69 V:26/06/2024 BELLINI FIGUEIRO SOCIEDADE INDIVIDUAL DE
- 20,00
Responder:
    26/07/2024
PG.HONORARIOS ADVOCATICIOS NF.: 75 PARCELA 04/10 HONORÁRIOS PROCESSO RENATA C. NORONHA (GOCIL) BELLINI FIGUEIRO SOCIEDADE INDIVIDUAL DE
- 490,00
</t>
      </text>
    </comment>
    <comment ref="I68" authorId="34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05/08/2024
PAG.REF. NF.: 83 BELLINI FIGUEIRO SOCIEDADE INDIVIDUAL DE
- 488,15
Responder:
    05/08/2024
PG.HONORARIOS ADVOCATICIOS NF.: 77 9/10 HONORÁRIOS ADVOCATÍCIOS PROCESSO 5136225-74.2023.8.21.0001 BELLINI FIGUEIRO SOCIEDADE INDIVIDUAL DE
- 1.952,60
Responder:
    05/08/2024
PG.HONORARIOS ADVOCATICIOS NF.: 78 01/05 HONORÁRIOS ADVOCATÍCIOS PROCESSO 0020368-27.2024.5.04.0010. BELLINI FIGUEIRO SOCIEDADE INDIVIDUAL DE
- 976,30
Responder:
    05/08/2024
PG.HONORARIOS ADVOCATICIOS NF.: 79 04/05 HONORÁRIOS DO PROCESSO 0020164-29.2024.5.04.0027 BELLINI FIGUEIRO SOCIEDADE INDIVIDUAL DE
- 976,30
Responder:
    05/08/2024
PG.HONORARIOS ADVOCATICIOS NF.: 80 04/05 HONORÁRIOS DO PROCESSO 0020264-14.2024.5.04.0017. BELLINI FIGUEIRO SOCIEDADE INDIVIDUAL DE
- 976,30
Responder:
    05/08/2024
PG.HONORARIOS ADVOCATICIOS NF.: 81 05/05 HONORÁRIOS DO PROCESSO 0020071-75.2024.5.04.0024 BELLINI FIGUEIRO SOCIEDADE INDIVIDUAL DE
- 976,30
Responder:
    05/08/2024
PG.HONORARIOS ADVOCATICIOS NF.: 82 05/10 HONORÁRIOS DO PROCESSO 0020018-79.2024.5.04.0029. BELLINI FIGUEIRO SOCIEDADE INDIVIDUAL DE
- 488,15
Responder:
    12/08/2024
PG.RETENCAO ISSQN NR. DOC: 77 V:05/08/2024 BELLINI FIGUEIRO SOCIEDADE INDIVIDUAL DE
- 47,40
Responder:
    12/08/2024
PG.RETENCAO ISSQN NR. DOC: 78 V:05/08/2024 BELLINI FIGUEIRO SOCIEDADE INDIVIDUAL DE
- 23,70
Responder:
    12/08/2024
PG.RETENCAO ISSQN NR. DOC: 79 V:05/08/2024 BELLINI FIGUEIRO SOCIEDADE INDIVIDUAL DE
- 23,70
Responder:
    12/08/2024
PG.RETENCAO ISSQN NR. DOC: 80 V:05/08/2024 BELLINI FIGUEIRO SOCIEDADE INDIVIDUAL DE
- 23,70
Responder:
    12/08/2024
PG.RETENCAO ISSQN NR. DOC: 81 V:05/08/2024 BELLINI FIGUEIRO SOCIEDADE INDIVIDUAL DE
- 23,70
Responder:
    12/08/2024
PG.RETENCAO ISSQN NR. DOC: 82 V:05/08/2024 BELLINI FIGUEIRO SOCIEDADE INDIVIDUAL DE
- 11,85
Responder:
    12/08/2024
PG.RETENCAO ISSQN NR. DOC: 83 V:05/08/2024 BELLINI FIGUEIRO SOCIEDADE INDIVIDUAL DE
- 11,85
</t>
      </text>
    </comment>
    <comment ref="J68" authorId="344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05/09/2024
PG.HONORARIOS ADVOCATICIOS NF.: 91 10/10 HONORÁRIOS ADV REF PROC SALA 2108 KLEBER JOSÉ PIRES MARTINS BELLINI FIGUEIRO SOCIEDADE INDIVIDUAL DE
- 1.949,80
Responder:
    05/09/2024
PG.HONORARIOS ADVOCATICIOS NF.: 92 2/5 HONORÁRIOS ADV REF PROC ONX GUILHERME M. MELO BELLINI FIGUEIRO SOCIEDADE INDIVIDUAL DE
- 974,90
Responder:
    05/09/2024
PG.HONORARIOS ADVOCATICIOS NF.: 93 5/5 HONORÁRIOS ADV REF PROC GOCIL AIRTON C. GHEDINI BELLINI FIGUEIRO SOCIEDADE INDIVIDUAL DE
- 974,90
Responder:
    05/09/2024
PG.HONORARIOS ADVOCATICIOS NF.: 94 02/10 HONORÁRIOS ADV REF PROC GOCIL ANGELITA L. DA ROSA BELLINI FIGUEIRO SOCIEDADE INDIVIDUAL DE
- 974,90
Responder:
    05/09/2024
PG.HONORARIOS ADVOCATICIOS NF.: 95 6/10 HONORÁRIOS ADV REF PROC GOCIL RENATA C. NORONHA BELLINI FIGUEIRO SOCIEDADE INDIVIDUAL DE
- 487,45
Responder:
    05/09/2024
PG.HONORARIOS ADVOCATICIOS NF.: 96 6/10 HONORÁRIOS ADV REF PROC GOCIL ANAJARA M. PINTO BELLINI FIGUEIRO SOCIEDADE INDIVIDUAL DE
- 487,45
Responder:
    10/09/2024
PG.RETENCAO ISSQN NR. DOC: 91 V:05/09/2024 BELLINI FIGUEIRO SOCIEDADE INDIVIDUAL DE
- 50,20
Responder:
    10/09/2024
PG.RETENCAO ISSQN NR. DOC: 92 V:05/09/2024 BELLINI FIGUEIRO SOCIEDADE INDIVIDUAL DE
- 25,10
Responder:
    10/09/2024
PG.RETENCAO ISSQN NR. DOC: 93 V:05/09/2024 BELLINI FIGUEIRO SOCIEDADE INDIVIDUAL DE
- 25,10
Responder:
    10/09/2024
PG.RETENCAO ISSQN NR. DOC: 94 V:05/09/2024 BELLINI FIGUEIRO SOCIEDADE INDIVIDUAL DE
- 25,10
Responder:
    10/09/2024
PG.RETENCAO ISSQN NR. DOC: 95 V:05/09/2024 BELLINI FIGUEIRO SOCIEDADE INDIVIDUAL DE
- 12,55
Responder:
    10/09/2024
PG.RETENCAO ISSQN NR. DOC: 96 V:05/09/2024 BELLINI FIGUEIRO SOCIEDADE INDIVIDUAL DE
- 12,55
</t>
      </text>
    </comment>
    <comment ref="K68" authorId="345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07/10/2024
PG.HONORARIOS ADVOCATICIOS NF.: 100 03/05 HONORÁRIOS ADV REF PROC GOCIL X ANGELITA L. DA ROSA BELLINI FIGUEIRO SOCIEDADE INDIVIDUAL DE
- 974,90
Responder:
    07/10/2024
PG.HONORARIOS ADVOCATICIOS NF.: 101 03/05 HONORÁRIOS ADV REF PROC ONX X GUILHERME M. MELLO BELLINI FIGUEIRO SOCIEDADE INDIVIDUAL DE
- 974,90
Responder:
    07/10/2024
PG.HONORARIOS ADVOCATICIOS NF.: 102 07/10 HONORÁRIOS ADV REF PROC GOCIL X ANAJARA M.PINTO BELLINI FIGUEIRO SOCIEDADE INDIVIDUAL DE
- 487,45
Responder:
    07/10/2024
PG.HONORARIOS ADVOCATICIOS NF.: 103 07/10 HONORÁRIOS ADV REF PROC GOCIL X RENATA C. NORONHA BELLINI FIGUEIRO SOCIEDADE INDIVIDUAL DE
- 487,45
Responder:
    0/10/2024
PG.RETENCAO ISSQN NR. DOC: 100 V:05/10/2024 BELLINI FIGUEIRO SOCIEDADE INDIVIDUAL DE
- 25,10
Responder:
    10/10/2024
PG.RETENCAO ISSQN NR. DOC: 101 V:05/10/2024 BELLINI FIGUEIRO SOCIEDADE INDIVIDUAL DE
- 25,10
Responder:
    10/10/2024
PG.RETENCAO ISSQN NR. DOC: 102 V:05/10/2024 BELLINI FIGUEIRO SOCIEDADE INDIVIDUAL DE
- 12,55
Responder:
    10/10/2024
PG.RETENCAO ISSQN NR. DOC: 103 V:05/10/2024 BELLINI FIGUEIRO SOCIEDADE INDIVIDUAL DE
- 12,55
</t>
      </text>
    </comment>
    <comment ref="L68" authorId="346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05/11/2024
PG.HONORARIOS ADVOCATICIOS NF.: 107 PARC 04/05 HONORRIOS ADV PROC: 0020368-27.2024.5.04.0010 GUILHERME MELLO - ONX BELLINI FIGUEIRO SOCIEDADE INDIVIDUAL DE
- 974,80
Responder:
    05/11/2024
PG.HONORARIOS ADVOCATICIOS NF.: 108 PARC 04/05 HONOR ADV PROC: 0020264-14.2024.504.0017 ANGELITA L. DA ROSA - GOCIL BELLINI FIGUEIRO SOCIEDADE INDIVIDUAL DE
- 974,80
Responder:
    05/11/2024
PG.HONORARIOS ADVOCATICIOS NF.: 109 PARC 08/10 HONOR ADV PROC: 0020040-21.2024.5.04.0003 ANAJARA M. PINTO - GOCIL BELLINI FIGUEIRO SOCIEDADE INDIVIDUAL DE
- 487,40
Responder:
    05/11/2024
PG.HONORARIOS ADVOCATICIOS NF.: 110 PARC 08/10 HONOR ADV PROC: 0020018-79.2024.5.04.0029 RENATA C. NORONHA - GOCIL BELLINI FIGUEIRO SOCIEDADE INDIVIDUAL DE
- 487,40
Responder:
    05/11/2024
PG.HONORARIOS ADVOCATICIOS NF.: 111 PARC 01/05 PROC: 0020726- 77.2024.5.04.0014 - JANE C. DA SILVA - GOCIL BELLINI FIGUEIRO SOCIEDADE INDIVIDUAL DE
- 974,80
Responder:
    11/11/2024
PG.RETENCAO ISSQN NR. DOC: 107 V:05/11/2024 BELLINI FIGUEIRO SOCIEDADE INDIVIDUAL DE
- 25,20
Responder:
    11/11/2024
PG.RETENCAO ISSQN NR. DOC: 108 V:05/11/2024 BELLINI FIGUEIRO SOCIEDADE INDIVIDUAL DE
- 25,20
Responder:
    11/11/2024
PG.RETENCAO ISSQN NR. DOC: 109 V:05/11/2024 BELLINI FIGUEIRO SOCIEDADE INDIVIDUAL DE
- 12,60
Responder:
    11/11/2024
PG.RETENCAO ISSQN NR. DOC: 110 V:05/11/2024 BELLINI FIGUEIRO SOCIEDADE INDIVIDUAL DE
- 12,60
Responder:
    11/11/2024
PG.RETENCAO ISSQN NR. DOC: 111 V:05/11/2024 BELLINI FIGUEIRO SOCIEDADE INDIVIDUAL DE
- 25,20
</t>
      </text>
    </comment>
    <comment ref="M68" authorId="347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05/12/2024
PG.HONORARIOS ADVOCATICIOS NF.: 116 PARC 09/10 HONORÁRIOS ADV PROC: 0020040-21.2024.5.04.0003 GOCIL-ANAJARA M. PINTO BELLINI FIGUEIRO SOCIEDADE INDIVIDUAL DE
- 487,40
Responder:
    05/12/2024
PG.HONORARIOS ADVOCATICIOS NF.: 117 PARC 09/10 HONORÁRIOS ADV PROC: 0020018-79.2024.5.04.0029 GOCIL-RENATA C. NORONH BELLINI FIGUEIRO SOCIEDADE INDIVIDUAL DE
- 487,40
Responder:
    05/12/2024
PG.HONORARIOS ADVOCATICIOS NF.: 118 5/5 HONORÁRIOS ADV PROC:0020264-14.2024.5.04.0017 GOCIL - ANGELITA L. DA ROSA BELLINI FIGUEIRO SOCIEDADE INDIVIDUAL DE
- 974,80
Responder:
    05/12/2024
PG.HONORARIOS ADVOCATICIOS NF.: 119 5/5 HONORÁRIOS ADV PROC:0020368-27.2024.5.04.0010 ONX - GUILHERME M. MELLO BELLINI FIGUEIRO SOCIEDADE INDIVIDUAL DE
- 974,80
Responder:
    05/12/2024
PG.HONORARIOS ADVOCATICIOS NF.: 120 2/5 HONORÁRIOS ADV PROC: 0020726-77.2024.5.04.0014 GOCIL - JANE C. DA SILVA BELLINI FIGUEIRO SOCIEDADE INDIVIDUAL DE
- 974,80
Responder:
    10/12/2024
PG.RETENCAO ISSQN NR. DOC: 116 V:05/12/2024 BELLINI FIGUEIRO SOCIEDADE INDIVIDUAL DE
- 12,60
Responder:
    10/12/2024
PG.RETENCAO ISSQN NR. DOC: 117 V:05/12/2024 BELLINI FIGUEIRO SOCIEDADE INDIVIDUAL DE
- 12,60
Responder:
    10/12/2024
PG.RETENCAO ISSQN NR. DOC: 118 V:05/12/2024 BELLINI FIGUEIRO SOCIEDADE INDIVIDUAL DE
- 25,20
Responder:
    10/12/2024
PG.RETENCAO ISSQN NR. DOC: 119 V:05/12/2024 BELLINI FIGUEIRO SOCIEDADE INDIVIDUAL DE
- 25,20
Responder:
    10/12/2024
PG.RETENCAO ISSQN NR. DOC: 120 V:05/12/2024 BELLINI FIGUEIRO SOCIEDADE INDIVIDUAL DE
- 25,20
</t>
      </text>
    </comment>
    <comment ref="N68" authorId="348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06/01/2025
PG.HONORARIOS ADVOCATICIOS NF.: 124 10/10 HONOR. ADV REF. PROC. 0020040-21.2024.5.04.0003 ANAJARA M. PINTO X GOCIL BELLINI FIGUEIRO SOCIEDADE INDIVIDUAL DE
- 487,35
Responder:
    06/01/2025
PG.HONORARIOS ADVOCATICIOS NF.: 125 10/10 HONOR. ADV REF. PROC. 0020018-79.2024.5.04.0029 RENATA C. NORONHA X GOCIL BELLINI FIGUEIRO SOCIEDADE INDIVIDUAL DE
- 487,35
Responder:
    06/01/2025
PG.HONORARIOS ADVOCATICIOS NF.: 126 3/5 HONOR. ADV REF. PROC. 0020726-77.2024.5.04.0014 JANE C. DA SILVA X GOCIL BELLINI FIGUEIRO SOCIEDADE INDIVIDUAL DE
- 974,70
Responder:
    10/01/2025
PG.RETENCAO ISSQN NR. DOC: 124 V:05/01/2025 BELLINI FIGUEIRO SOCIEDADE INDIVIDUAL DE
- 12,65
Responder:
    10/01/2025
PG.RETENCAO ISSQN NR. DOC: 125 V:05/01/2025 BELLINI FIGUEIRO SOCIEDADE INDIVIDUAL DE
- 12,65
Responder:
    10/01/2025
PG.RETENCAO ISSQN NR. DOC: 126 V:05/01/2025 BELLINI FIGUEIRO SOCIEDADE INDIVIDUAL DE
- 25,30
</t>
      </text>
    </comment>
    <comment ref="O68" authorId="349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05/02/2025
PG.HONORARIOS ADVOCATICIOS NF.: 130 PARC.4/5 HON. ADV. PROCESSO 0020726-77.2024.5.04.0014 - GOCIL X JANE C DA SILVA BELLINI FIGUEIRO SOCIEDADE INDIVIDUAL DE
- 974,70
Responder:
    13/02/2025
PG.RETENCAO ISSQN NR. DOC: 130 V:05/02/2025 BELLINI FIGUEIRO SOCIEDADE INDIVIDUAL DE
- 25,30
Responder:
    20/02/2025
PG.HONORARIOS ADVOCATICIOS NF.: 132 HONORARIOS ADVOCATÍCIOS PARC 1/2 PROCESSO GOCIL X EVELINA C C MAIA X DTW BELLINI FIGUEIRO SOCIEDADE INDIVIDUAL DE
- 2.436,25
Responder:
    20/02/2025
PG.HONORARIOS ADVOCATICIOS NF.: 133 HONORÁRIOS ADVOCATÍCIOS PARC1/2 PROCESSO GOCIL X SCHEILA G S MESQUITA X DTW BELLINI FIGUEIRO SOCIEDADE INDIVIDUAL DE
- 2.436,25
</t>
      </text>
    </comment>
    <comment ref="D69" authorId="350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11/03/2024PG.RETENCAO ISSQN NR. DOC: 3 V:08/02/2024 RODRIGO GONCALVES PEREIRA- 180,00
Responder:
    6/03/2024PG.MANUT.GERAL NF.: 28 IMPLEMENTACAO DO NOVO CONTROLE DE ACESSO POR RODRIGO GONCALVES PEREIRA- 12.924,20
</t>
      </text>
    </comment>
    <comment ref="E69" authorId="35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10/04/2024PG.RETENCAO ISSQN NR. DOC: 28 V:26/03/2024 RODRIGO GONCALVES PEREIRA- 180,00
Responder:
    10/04/2024PG.RETENCAO ISSQN NR. DOC: 30 V:26/03/2024 RODRIGO GONCALVES PEREIRA- 32,40
</t>
      </text>
    </comment>
    <comment ref="G69" authorId="352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07/06/2024MANUT. SISTEMAS DE SEGURANÇA NF.: 88 PARC 9/11 IMPLEMENTACAO DO NOVO CONTROLE DE ACESSO RODRIGO GONCALVES PEREIRA- 12.376,51 </t>
      </text>
    </comment>
    <comment ref="H69" authorId="353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12/07/2024
PG.BENFEITORIAS/AQUISIÇÕES NF.: 106 10/11 IMPLEMENT. NOVO CONTROLE DE ACESSO FACIAL NO EDIFÍCIO RODRIGO GONCALVES PEREIRA
- 12.485,76
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M66" authorId="0" shapeId="0">
      <text>
        <t>21/11/2022 SEGURO FOGO OBRIGATORIO COND NR. DOC: 5177202265160036789 Parc.(5/6) ALLIANZ SE 6.690,63
======</t>
      </text>
    </comment>
    <comment ref="P66" authorId="0" shapeId="0">
      <text>
        <t>21/11/2022 SEGURO FOGO OBRIGATORIO COND NR. DOC: 5177202265160036789 Parc.(5/6) ALLIANZ SE 6.690,63
======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E4" authorId="0" shapeId="0">
      <text>
        <t>======
ID#AAAAst4mPzY
Diamond Tower DTW    (2023-03-24 18:26:01)
01/03/2023	PG.SERV.PORTARIA NF.: 202327 2023-02 ONX SERVICOS E COMERCIO DE EQUIPAMENTOS	- 84.035,28
------
ID#AAAAst4mP1E
Diamond Tower DTW    (2023-03-24 18:47:54)
10/03/2023	PG.RETENCAO ISSQN NR. DOC: 202327 V:01/03/2023 ONX SERVICOS E COMERCIO DE EQUIPAMENTOS	- 5.002,10
------
ID#AAAAvxhdLvQ
Diamond Tower DTW    (2023-05-02 19:28:10)
1162CP PATRONAL - RETENÇÃO LEI 9.711/9811.004,6211.004,62 01 CP PATRONAL - RETENÇÃO LEI 9.711/98 PA:02/2023 Vencimento:20/03/2023 CNPJ Prestador:35.017.554/0001-86</t>
      </text>
    </comment>
    <comment ref="F4" authorId="0" shapeId="0">
      <text>
        <t>======
ID#AAAAvxspaeA
Diamond Tower DTW    (2023-05-03 00:34:12)
03/04/2023	PG.SERV.PORTARIA NF.: 202343 2023-03 ONX SERVICOS E COMERCIO DE EQUIPAMENTOS	- 78.129,24
------
ID#AAAAvxspaeE
Diamond Tower DTW    (2023-05-03 00:34:52)
03/04/2023	PG.SERV.PORTARIA NF.: 202352 ONX SERVICOS E COMERCIO DE EQUIPAMENTOS	- 17.099,88
------
ID#AAAAvxbhvgU
Diamond Tower DTW    (2023-05-03 01:51:11)
10/04/2023	PG.RETENCAO ISSQN NR. DOC: 202343 V:03/04/2023 ONX SERVICOS E COMERCIO DE EQUIPAMENTOS	- 4.650,55
------
ID#AAAAvxbhvgc
Diamond Tower DTW    (2023-05-03 01:52:20)
10/04/2023	PG.RETENCAO ISSQN NR. DOC: 202352 V:03/04/2023 ONX SERVICOS E COMERCIO DE EQUIPAMENTOS	- 1.017,85
------
ID#AAAAvxy9hdU
Diamond Tower DTW    (2023-05-03 02:12:33)
1162 CP PATRONAL - RETENÇÃO LEI 9.711/98 12.470,48 12.470,48
01 CP PATRONAL - RETENÇÃO LEI 9.711/98
PA:03/2023 Vencimento:20/04/2023
CNPJ Prestador:35.017.554/0001-86</t>
      </text>
    </comment>
    <comment ref="G4" authorId="0" shapeId="0">
      <text>
        <t>======
ID#AAAA9vWEmgc
Diamond Tower DTW    (2024-01-04 00:48:49)
02/05/2023	PG.SERV.PORTARIA NF.: 202387 2023-04 ONX SERVICOS E COMERCIO DE EQUIPAMENTOS	- 96.199,49
------
ID#AAAA9vWEmi8
Diamond Tower DTW    (2024-01-04 01:03:18)
10/05/2023	PG.RETENCAO ISSQN NR. DOC: 202387 V:01/05/2023 ONX SERVICOS E COMERCIO DE EQUIPAMENTOS	- 5.726,16
------
ID#AAABDrIQ9Xg
Diamond Tower DTW    (2024-01-04 18:48:59)
19/05/2023	PG. INSS/IRRF - FPM/TERCEIROS NR. DOC: 50000132622219 CP 04/2023 MINISTERIO DA PREVIDENCIA SOCIAL	- 18.852,17</t>
      </text>
    </comment>
    <comment ref="H4" authorId="0" shapeId="0">
      <text>
        <t>======
ID#AAABDsYHhwQ
Diamond Tower DTW    (2024-01-05 13:38:56)
01/06/2023	PG.SERV.PORTARIA NF.: 2023152 2023-05 ONX SERVICOS E COMERCIO DE EQUIPAMENTOS	- 95.879,45
------
ID#AAAA90-Wawg
Diamond Tower DTW    (2024-01-10 18:38:54)
12/06/2023	PG.RETENCAO ISSQN NR. DOC: 2023152 V:01/06/2023 ONX SERVICOS E COMERCIO DE EQUIPAMENTOS	- 5.707,11</t>
      </text>
    </comment>
    <comment ref="I4" authorId="0" shapeId="0">
      <text>
        <t>======
ID#AAAA90-Wa1U
Diamond Tower DTW    (2024-01-10 20:29:48)
04/07/2023	PG.SERV.PORTARIA NF.: 2023242 2023-06 ONX SERVICOS E COMERCIO DE EQUIPAMENTOS	- 96.170,08
------
ID#AAAA90-Wa2w
Diamond Tower DTW    (2024-01-10 20:55:36)
10/07/2023	PG.RETENCAO ISSQN NR. DOC: 2023242 V:04/07/2023 ONX SERVICOS E COMERCIO DE EQUIPAMENTOS	- 5.724,41
------
ID#AAABI7FuU1k
Diamond Tower DTW    (2024-03-07 13:43:36)
20/07/2023	PG. INSS/IRRF - FPM/TERCEIROS NR. DOC: 50000147535045 CP 06/2023 MINISTERIO DA PREVIDENCIA SOCIAL	- 17.832,61	-	+ 381.574,45</t>
      </text>
    </comment>
    <comment ref="J4" authorId="0" shapeId="0">
      <text>
        <t>======
ID#AAABGvNN0yw
Diamond Tower DTW    (2024-02-20 19:46:32)
01/08/2023	PG.SERV.PORTARIA NF.: 2023312 2023-07 ONX SERVICOS E COMERCIO DE EQUIPAMENTOS	- 90.802,13
------
ID#AAABGvXDqZc
Diamond Tower DTW    (2024-02-20 22:37:28)
10/08/2023	PG.RETENCAO ISSQN NR. DOC: 2023312 V:01/08/2023 ONX SERVICOS E COMERCIO DE EQUIPAMENTOS	- 5.342,57
------
ID#AAABI6uuxBs
Diamond Tower DTW    (2024-03-07 16:51:34)
18/08/2023	PG. INSS/IRRF - FPM/TERCEIROS NR. DOC: 50000155856535 CP 07/2023 MINISTERIO DA PREVIDENCIA SOCIAL	- 14.257,08</t>
      </text>
    </comment>
    <comment ref="K4" authorId="0" shapeId="0">
      <text>
        <t>======
ID#AAABHLHYnjs
Diamond Tower DTW    (2024-02-22 22:51:53)
01/09/2023	PG.SERV.PORTARIA NF.: 2023376 2023-08 ONX SERVICOS E COMERCIO DE EQUIPAMENTOS	- 91.180,66
------
ID#AAABHOH2m40
Diamond Tower DTW    (2024-02-23 00:01:42)
11/09/2023	PG.RETENCAO ISSQN NR. DOC: 2023376 V:01/09/2023 ONX SERVICOS E COMERCIO DE EQUIPAMENTOS	- 5.364,53
------
ID#AAABI6uuxCY
Diamond Tower DTW    (2024-03-07 17:04:32)
19/09/2023	PG. INSS/IRRF - FPM/TERCEIROS NR. DOC: 50000162137848 CP 08/2023 MINISTERIO DA PREVIDENCIA SOCIAL	- 14.562,18</t>
      </text>
    </comment>
    <comment ref="L4" authorId="0" shapeId="0">
      <text>
        <t>======
ID#AAABGxaTsPM
Diamond Tower DTW    (2024-02-23 19:08:29)
02/10/2023	PG.SERV.PORTARIA NF.: 2023443 2023-09 ONX SERVICOS E COMERCIO DE EQUIPAMENTOS	- 91.326,14
------
ID#AAABGxaTsQk
Diamond Tower DTW    (2024-02-23 19:17:38)
10/10/2023	PG.RETENCAO ISSQN NR. DOC: 2023443 V:01/10/2023 ONX SERVICOS E COMERCIO DE EQUIPAMENTOS	- 5.364,53
------
ID#AAABI6uuxDE
Diamond Tower DTW    (2024-03-07 17:15:10)
20/10/2023	PG. INSS/IRRF - FPM/TERCEIROS NR. DOC: 50000170057074 CP 09/2023 MINISTERIO DA PREVIDENCIA SOCIAL	- 14.057,81</t>
      </text>
    </comment>
    <comment ref="M4" authorId="0" shapeId="0">
      <text>
        <t>======
ID#AAABGxaTsUg
Diamond Tower DTW    (2024-02-23 20:16:39)
01/11/2023	PG.SERV.PORTARIA NF.: 2023519 2023-10 ONX SERVICOS E COMERCIO DE EQUIPAMENTOS	- 91.183,25
------
ID#AAABGxaTsV0
Diamond Tower DTW    (2024-02-23 20:28:08)
10/11/2023	PG.RETENCAO ISSQN NR. DOC: 2023519 V:01/11/2023 ONX SERVICOS E COMERCIO DE EQUIPAMENTOS	- 5.364,53
------
ID#AAABI6uuxDU
Diamond Tower DTW    (2024-03-07 17:40:07)
20/11/2023	PG. INSS/IRRF - FPM/TERCEIROS NR. DOC: 50000178912883 MINISTERIO DA PREVIDENCIA SOCIAL	- 10.903,40</t>
      </text>
    </comment>
    <comment ref="N4" authorId="0" shapeId="0">
      <text>
        <t>======
ID#AAABINBdlLk
Diamond Tower DTW    (2024-02-29 01:52:45)
01/12/2023	PG.SERV.PORTARIA NF.: 2023606 2023-11 ONX SERVICOS E COMERCIO DE EQUIPAMENTOS	- 91.070,48
------
ID#AAABINBdlOI
Diamond Tower DTW    (2024-02-29 02:30:45)
11/12/2023	PG.RETENCAO ISSQN NR. DOC: 2023606 V:01/12/2023 ONX SERVICOS E COMERCIO DE EQUIPAMENTOS	- 5.364,53
------
ID#AAABI7fnF6Q
Diamond Tower DTW    (2024-03-07 18:11:08)
20/12/2023	PG. INSS/IRRF - FPM/TERCEIROS NR. DOC: 50000188074409 CP. 11/2023 MINISTERIO DA PREVIDENCIA SOCIAL	- 14.231,75</t>
      </text>
    </comment>
    <comment ref="O4" authorId="0" shapeId="0">
      <text>
        <t>======
ID#AAABIAn-GPM
Diamond Tower DTW    (2024-02-29 03:03:25)
02/01/2024	PG.SERV.PORTARIA NF.: 34 2023-12 ONX SERVICOS E COMERCIO DE EQUIPAMENTOS	- 91.213,96
------
ID#AAABIAn-GQo
Diamond Tower DTW    (2024-02-29 03:28:46)
10/01/2024	PG.RETENCAO ISSQN NR. DOC: 34 V:01/01/2024 ONX SERVICOS E COMERCIO DE EQUIPAMENTOS	- 5.364,53
------
ID#AAABI8UM6YE
Diamond Tower DTW    (2024-03-07 18:52:12)
19/01/2024	PG. INSS/IRRF - FPM/TERCEIROS NR. DOC: 50000198099997 CP. 12/2023 MINISTERIO DA PREVIDENCIA SOCIAL	- 15.891,02</t>
      </text>
    </comment>
    <comment ref="P4" authorId="0" shapeId="0">
      <text>
        <t>======
ID#AAABI8VpC00
Diamond Tower DTW    (2024-03-07 19:21:18)
01/02/2024	PG.SERV.PORTARIA NF.: 116 2024-01 ONX SERVICOS E COMERCIO DE EQUIPAMENTOS	- 98.141,45
------
ID#AAABI8VpC1s
Diamond Tower DTW    (2024-03-07 19:25:51)
14/02/2024	PG.RETENCAO ISSQN NR. DOC: 116 V:01/02/2024 ONX SERVICOS E COMERCIO DE EQUIPAMENTOS	- 5.774,91
------
ID#AAABIwqyk5Y
Diamond Tower DTW    (2024-03-08 18:51:27)
20/02/2024	PG. INSS/IRRF - FPM/TERCEIROS NR. DOC: 50000206258145 CP. 01/2024 MINISTERIO DA PREVIDENCIA SOCIAL	- 18.649,20
------
ID#AAABIwqyk6g
Diamond Tower DTW    (2024-03-08 19:22:48)
26/02/2024	PG.RESSARCIMENTO RESSARCIMENTO DE ENCOMENDA EXTRAVIADA	- 559,75</t>
      </text>
    </comment>
    <comment ref="Q4" authorId="0" shapeId="0">
      <text>
        <t>======
ID#AAABJB7AmHQ
Diamond Tower DTW    (2024-03-11 01:28:51)
01/03/2024	PG.SERV.PORTARIA NF.: 202467 2024-02 ONX SERVICOS E COMERCIO DE EQUIPAMENTOS	- 97.531,32
------
ID#AAABJMHUnEw
Diamond Tower DTW    (2024-03-14 21:10:20)
11/03/2024	PG.RETENCAO ISSQN NR. DOC: 202467 V:01/03/2024 ONX SERVICOS E COMERCIO DE EQUIPAMENTOS	- 5.736,92</t>
      </text>
    </comment>
    <comment ref="E12" authorId="0" shapeId="0">
      <text>
        <t>======
ID#AAAAst4mPzQ
Diamond Tower DTW    (2023-03-24 18:25:42)
01/03/2023	PG. SALARIO E/OU PRÓ-LABORE NR. DOC: 168593026 02/2023 - MOISES IRINEU CABRAL PINTO	- 2.384,00
------
ID#AAAAst4mP0I
Diamond Tower DTW    (2023-03-24 18:40:29)
07/03/2023	PG.FGTS NR. DOC: 168940649 02/2023 - CEF - FUNDO DE GARANTIA - FL PGTO.	- 716,82
------
ID#AAAAst4mP0c
Diamond Tower DTW    (2023-03-24 18:43:47)
10/03/2023	PG.DESP.REFEICAO/ALIMENTACAO NR. DOC: 169251677 03/2023 - BANRISUL CARTÕES S/A - REFEISUL	- 882,00
------
ID#AAAAtki6H7w
Diamond Tower DTW    (2023-03-24 18:59:40)
15/03/2023	PG.SEGURO DE VIDA FUNC. NR. DOC: 169648626 02/2023 - MOISES IRINEU CABRAL PINTO TOKIO MARINE BRASIL SEGURADORA S/A	- 39,49
------
ID#AAAAtki6H74
Diamond Tower DTW    (2023-03-24 19:03:44)
17/03/2023	PG. IRRF NR. DOC: 169731842 02/2023 - IRRF - FL PGTO.	- 235,03
------
ID#AAAAvxhdLwI
Diamond Tower DTW    (2023-05-02 19:58:43)
24/03/23 PG.SECOVIMED NR. DOC: 170279132 02/2023 - SERVICO SOCIAL DA HABITACAO DO
RIO GRANDE DO SUL - SECOVIMED - RS
- 224,00
------
ID#AAAAvxhdLwg
Diamond Tower DTW    (2023-05-02 20:02:27)
28/03/23 AUXÍLIO COMBUSTÍVEL TICKET SOLUCOES HDFGT S/A - 355,17
------
ID#AAABICYYBjY
Diamond Tower DTW    (2024-03-01 13:32:26)
20/03/2023	PG. INSS/IRRF - FPM/TERCEIROS NR. DOC: 50000119201289 CP 02/2023 MINISTERIO DA PREVIDENCIA SOCIAL	- 16.789,10	-	+ 543.043,95
------
ID#AAABICYYBjc
Diamond Tower DTW    (2024-03-01 13:32:56)
20/03/2023	PG. INSS/IRRF - FPM/TERCEIROS NR. DOC: 50000119201289 CP 02/2023 MINISTERIO DA PREVIDENCIA SOCIAL	- 16.789,10	-	+ 543.043,95</t>
      </text>
    </comment>
    <comment ref="F12" authorId="0" shapeId="0">
      <text>
        <t>======
ID#AAAAvxspafc
Diamond Tower DTW    (2023-05-03 00:49:17)
06/04/2023	PG.FGTS NR. DOC: 171228640 03/2023 - CEF - FUNDO DE GARANTIA - FL PGTO.	- 671,82
------
ID#AAAAvxspaf0
Diamond Tower DTW    (2023-05-03 00:52:02)
10/04/2023	PG.DESP.REFEICAO/ALIMENTACAO NR. DOC: 171101668 04/2023 - BANRISUL CARTÕES S/A - REFEISUL	- 882,00
------
ID#AAAAvxbhvh4
Diamond Tower DTW    (2023-05-03 02:05:36)
18/04/2023	PG. IRRF NR. DOC: 171929493 03/2023 - IRRF - FL PGTO.	- 711,30
------
ID#AAAAvxy9hdM
Diamond Tower DTW    (2023-05-03 02:11:17)
20/04/2023	PG. INSS - FPM/TERCEIROS NR. DOC: 50000125897100 CP 03/2023 MINISTERIO DA PREVIDENCIA SOCIAL	- 18.348,31	-
------
ID#AAAAvxy9hdk
Diamond Tower DTW    (2023-05-03 02:16:01)
24/04/2023	PG.PIS NR. DOC: 172603518 03/2023 - PIS - FL. PGTO	- 83,97
------
ID#AAAAvxy9hd0
Diamond Tower DTW    (2023-05-03 02:17:16)
25/04/2023	PG.SECOVIMED NR. DOC: 172757199 03/2023 - SERVICO SOCIAL DA HABITACAO DO RIO GRANDE DO SUL - SECOVIMED - RS	- 209,95
------
ID#AAAAvxy9hd8
Diamond Tower DTW    (2023-05-03 02:17:41)
26/04/2023	AUXÍLIO COMBUSTÍVEL TICKET SOLUCOES HDFGT S/A	- 433,43
------
ID#AAAAvxy9heI
Diamond Tower DTW    (2023-05-03 02:18:28)
27/04/2023	PG.DESP.REFEICAO/ALIMENTACAO NR. DOC: 173269129 05/2023 - BANRISUL CARTÕES S/A - REFEISUL	- 882,00
------
ID#AAAAvxy9heo
Diamond Tower DTW    (2023-05-03 02:21:56)
31/03/2023	PG. SALARIO E/OU PRÓ-LABORE NR. DOC: 170881244 03/2023 - MOISES IRINEU CABRAL PINTO	- 2.768,00
------
ID#AAABICauFJo
Diamond Tower DTW    (2024-03-01 13:58:53)
20/04/2023	PG. INSS/IRRF - FPM/TERCEIROS NR. DOC: 50000125897100 CP 03/2023 MINISTERIO DA PREVIDENCIA SOCIAL	- 18.348,31</t>
      </text>
    </comment>
    <comment ref="G12" authorId="0" shapeId="0">
      <text>
        <t>======
ID#AAAA9vWEmgU
Diamond Tower DTW    (2024-01-04 00:48:13)
02/05/2023	PG. SALARIO E/OU PRÓ-LABORE NR. DOC: 173178370 04/2023 - MOISES IRINEU CABRAL PINTO	- 2.678,00
------
ID#AAAA9vWEmlE
Diamond Tower DTW    (2024-01-04 02:48:59)
18/05/2023	PG. IRRF NR. DOC: 174254930 04/2023 - IRRF - FL PGTO.	- 498,54
------
ID#AAAA9vWEmls
Diamond Tower DTW    (2024-01-04 03:13:28)
19/05/2023	PG.SEGURO DE VIDA FUNC. NR. DOC: 174449864 04/2023 - MOISES IRINEU CABRAL PINTO TOKIO MARINE BRASIL SEGURADORA S/A	- 39,49
------
ID#AAABDrIQ9Vg
Diamond Tower DTW    (2024-01-04 17:00:27)
23/05/2023	PG.PIS NR. DOC: 174285340 04/2023 - PIS - FL. PGTO	- 94,70
------
ID#AAABDrIQ9Vs
Diamond Tower DTW    (2024-01-04 17:01:51)
25/05/2023	PG.SECOVIMED NR. DOC: 174865143 04/2023 - SERVICO SOCIAL DA HABITACAO DO RIO GRANDE DO SUL - SECOVIMED - RS	- 236,77
------
ID#AAABDrIQ9Vw
Diamond Tower DTW    (2024-01-04 17:02:12)
26/05/2023	AUXÍLIO COMBUSTÍVEL TICKET SOLUCOES HDFGT S/A	- 413,86
------
ID#AAABDrIQ9Ws
Diamond Tower DTW    (2024-01-04 17:15:50)
29/05/2023	PG.DESP.REFEICAO/ALIMENTACAO NR. DOC: 175182545 06/2023 - BANRISUL CARTÕES S/A - REFEISUL	- 882,00
------
ID#AAABDrIQ9XQ
Diamond Tower DTW    (2024-01-04 18:42:03)
19/05/2023	PG. INSS/IRRF - FPM/TERCEIROS NR. DOC: 50000132622219 CP 04/2023 MINISTERIO DA PREVIDENCIA SOCIAL	- 18.852,17
------
ID#AAABIcFJeaI
Diamond Tower DTW    (2024-03-01 16:55:19)
19/05/2023	PG. INSS/IRRF - FPM/TERCEIROS NR. DOC: 50000132622219 CP 04/2023 MINISTERIO DA PREVIDENCIA SOCIAL	- 18.852,17</t>
      </text>
    </comment>
    <comment ref="H12" authorId="0" shapeId="0">
      <text>
        <t>======
ID#AAABDsYHhwM
Diamond Tower DTW    (2024-01-05 13:38:37)
01/06/2023	PG. SALARIO E/OU PRÓ-LABORE NR. DOC: 175362882 05/2023 - MOISES IRINEU CABRAL PINTO	- 2.531,00
------
ID#AAAA90-WavU
Diamond Tower DTW    (2024-01-10 18:20:07)
07/06/2023	PG.FGTS NR. DOC: 175817650 05/2023 - CEF - FUNDO DE GARANTIA - FL PGTO.	- 573,37
------
ID#AAAA90-Wax8
Diamond Tower DTW    (2024-01-10 18:53:45)
15/06/2023	PG.SEGURO DE VIDA FUNC. NR. DOC: 176213973 05/2023 - MOISES IRINEU CABRAL PINTO TOKIO MARINE BRASIL SEGURADORA S/A	- 39,49
------
ID#AAAA90-Wayk
Diamond Tower DTW    (2024-01-10 19:41:13)
22/06/2023	PG.PIS NR. DOC: 176345090 05/2023 - PIS - FL. PGTO	- 71,67
------
ID#AAAA90-WazY
Diamond Tower DTW    (2024-01-10 19:57:11)
26/06/2023	PG.SECOVIMED NR. DOC: 176942124 05/2023 - SERVICO SOCIAL DA HABITACAO DO RIO GRANDE DO SUL - SECOVIMED - RS	- 173,58
------
ID#AAAA90-Wazc
Diamond Tower DTW    (2024-01-10 19:57:28)
28/06/2023	AUXÍLIO COMBUSTÍVEL TICKET SOLUCOES HDFGT S/A	- 413,86
------
ID#AAAA90-Wazw
Diamond Tower DTW    (2024-01-10 20:05:41)
29/06/2023	PG.DESP.REFEICAO/ALIMENTACAO NR. DOC: 177407682 07/2023 - BANRISUL CARTÕES S/A - REFEISUL	- 601,00
------
ID#AAAA90-Wa0Q
Diamond Tower DTW    (2024-01-10 20:08:19)
30/06/2023	PG. SALARIO E/OU PRÓ-LABORE NR. DOC: 177538064 06/2023 - MOISES IRINEU CABRAL PINTO	- 3.046,00</t>
      </text>
    </comment>
    <comment ref="I12" authorId="0" shapeId="0">
      <text>
        <t>======
ID#AAAA90-Wa2M
Diamond Tower DTW    (2024-01-10 20:51:28)
07/07/2023	PG.FGTS NR. DOC: 177667250 06/2023 - CEF - FUNDO DE GARANTIA - FL PGTO.	- 687,08
------
ID#AAAA90-Wa4Q
Diamond Tower DTW    (2024-01-10 21:05:16)
14/07/2023	PG.SEGURO DE VIDA FUNC. NR. DOC: 178524545 06/2023 - MOISES IRINEU CABRAL PINTO TOKIO MARINE BRASIL SEGURADORA S/A	- 39,49
------
ID#AAAA90-Wa5k
Diamond Tower DTW    (2024-01-10 21:11:19)
21/07/2023	PG.PIS NR. DOC: 178634573 06/2023 - PIS - FL. PGTO	- 85,88
------
ID#AAAA90-Wa6A
Diamond Tower DTW    (2024-01-10 21:13:43)
25/07/2023	PG.SECOVIMED NR. DOC: 179126253 06/2023 - SERVICO SOCIAL DA HABITACAO DO RIO GRANDE DO SUL - SECOVIMED - RS	- 160,05
------
ID#AAAA90-Wa6Q
Diamond Tower DTW    (2024-01-10 21:15:08)
27/07/2023	AUXÍLIO COMBUSTÍVEL 08/2023 TICKET SOLUCOES HDFGT S/A	- 452,99
------
ID#AAAA90-Wa6Y
Diamond Tower DTW    (2024-01-10 21:15:37)
27/07/2023	PG.DESP.REFEICAO/ALIMENTACAO NR. DOC: 179764915 08/2023 - BANRISUL CARTÕES S/A - REFEISUL	- 601,00
------
ID#AAABI7FuU1c
Diamond Tower DTW    (2024-03-07 13:42:40)
20/07/2023	PG. INSS/IRRF - FPM/TERCEIROS NR. DOC: 50000147535045 CP 06/2023 MINISTERIO DA PREVIDENCIA SOCIAL	- 17.832,61	-	+ 381.574,45</t>
      </text>
    </comment>
    <comment ref="J12" authorId="0" shapeId="0">
      <text>
        <t>======
ID#AAABGvNN0ys
Diamond Tower DTW    (2024-02-20 19:46:17)
01/08/2023	PG. SALARIO E/OU PRÓ-LABORE NR. DOC: 179957189 07/2023 - MOISES IRINEU CABRAL PINTO	- 6.122,00
------
ID#AAABGvTkl7E
Diamond Tower DTW    (2024-02-20 20:16:18)
07/08/2023	PG.FGTS NR. DOC: 180425449 07/2023 - CEF - FUNDO DE GARANTIA - FL PGTO.	- 336,10
------
ID#AAABGvXDqXs
Diamond Tower DTW    (2024-02-20 21:48:03)
10/08/2023	PG.RESSARCIMENTO DESLOCAMENTO UBER MOISES IRINEU CABRAL PINTO	- 29,97
------
ID#AAABGvXDqaM
Diamond Tower DTW    (2024-02-20 22:56:44)
15/08/2023	PG.SEGURO DE VIDA FUNC. NR. DOC: 180872465 07/2023 - MOISES IRINEU CABRAL PINTO TOKIO MARINE BRASIL SEGURADORA S/A	- 41,65
------
ID#AAABHLBZ4ag
Diamond Tower DTW    (2024-02-22 21:44:29)
1/08/2023	PG.PIS NR. DOC: 181038864 07/2023 - PIS - FL. PGTO	- 42,01
------
ID#AAABHLHR8gs
Diamond Tower DTW    (2024-02-22 21:50:38)
25/08/2023	PG.SECOVIMED NR. DOC: 181729031 07/2023 - SERVICO SOCIAL DA HABITACAO DO RIO GRANDE DO SUL - SECOVIMED - RS	- 186,30
------
ID#AAABHLHSeks
Diamond Tower DTW    (2024-02-22 22:17:38)
29/08/2023	AUXÍLIO COMBUSTÍVEL 09/2023 TICKET SOLUCOES HDFGT S/A	- 374,73
------
ID#AAABHLHSelA
Diamond Tower DTW    (2024-02-22 22:21:33)
29/08/2023	PG.DESP.REFEICAO/ALIMENTACAO NR. DOC: 182149856 09/2023 - BANRISUL CARTÕES S/A - REFEISUL	- 601,00
------
ID#AAABI6uuxBw
Diamond Tower DTW    (2024-03-07 16:52:27)
18/08/2023	PG. INSS/IRRF - FPM/TERCEIROS NR. DOC: 50000155856535 CP 07/2023 MINISTERIO DA PREVIDENCIA SOCIAL	- 14.257,08</t>
      </text>
    </comment>
    <comment ref="K12" authorId="0" shapeId="0">
      <text>
        <t>======
ID#AAABHLHYnjo
Diamond Tower DTW    (2024-02-22 22:51:34)
01/09/2023	PG.SALARIO MOISES IRINEU CABRAL PINTO	- 3.574,00
------
ID#AAABHLDlA2c
Diamond Tower DTW    (2024-02-23 00:06:58)
15/09/2023	PG.SEGURO DE VIDA FUNC. NR. DOC: 183071014 08/2023 - MOISES IRINEU CABRAL PINTO TOKIO MARINE BRASIL SEGURADORA S/A	- 41,65
------
ID#AAABHLUSzBc
Diamond Tower DTW    (2024-02-23 00:14:57)
22/09/2023	PG.PIS NR. DOC: 183229115 08/2023 - PIS - FL. PGTO	- 41,54
------
ID#AAABGxaTsJs
Diamond Tower DTW    (2024-02-23 17:32:41)
25/09/2023	PG.SECOVIMED NR. DOC: 183372357 08/2023 - SERVICO SOCIAL DA HABITACAO DO RIO GRANDE DO SUL - SECOVIMED - RS	- 168,80
------
ID#AAABGxaTsOI
Diamond Tower DTW    (2024-02-23 18:24:05)
28/09/2023	AUXÍLIO COMBUSTÍVEL 10/2023 TICKET SOLUCOES HDFGT S/A	- 413,86
------
ID#AAABGxaTsOM
Diamond Tower DTW    (2024-02-23 18:24:10)
28/09/2023	PG.DESP.REFEICAO/ALIMENTACAO NR. DOC: 184366083 10/2023 - BANRISUL CARTÕES S/A - REFEISUL	- 601,00
------
ID#AAABI6uuxCU
Diamond Tower DTW    (2024-03-07 17:03:53)
19/09/2023	PG. INSS/IRRF - FPM/TERCEIROS NR. DOC: 50000162137848 CP 08/2023 MINISTERIO DA PREVIDENCIA SOCIAL	- 14.562,18</t>
      </text>
    </comment>
    <comment ref="L12" authorId="0" shapeId="0">
      <text>
        <t>======
ID#AAABGxaTsPI
Diamond Tower DTW    (2024-02-23 19:08:15)
02/10/2023	PG.SALARIO MOISES IRINEU CABRAL PINTO	- 3.194,00
------
ID#AAABGxaTsPo
Diamond Tower DTW    (2024-02-23 19:11:01)
05/10/2023	PG.UNIFORMES NF.: 5359 03 CAMISAS P/ OFICIAL MANUTENÇÃO MAJOLE IND.E COM.DE CONF.LTDA	- 132,00
------
ID#AAABGxaTsPw
Diamond Tower DTW    (2024-02-23 19:11:18)
06/10/2023	PG.FGTS NR. DOC: 184837642 09/2023 - CEF - FUNDO DE GARANTIA - FL PGTO.	- 290,11
------
ID#AAABGxaTsS4
Diamond Tower DTW    (2024-02-23 19:54:17)
24/10/2023	PG.PIS NR. DOC: 185677370 09/2023 - PIS - FL. PGTO	- 36,26
------
ID#AAABGxaTsTA
Diamond Tower DTW    (2024-02-23 19:54:44)
25/10/2023	PG.SECOVIMED NR. DOC: 186018816 09/2023 - SERVICO SOCIAL DA HABITACAO DO RIO GRANDE DO SUL - SECOVIMED - RS	- 168,80
------
ID#AAABGxaTsTg
Diamond Tower DTW    (2024-02-23 19:59:37)
26/10/2023	PG.SEGURO DE VIDA FUNC. NR. DOC: 186416289 09/2023 - MOISES IRINEU CABRAL PINTO TOKIO MARINE BRASIL SEGURADORA S/A	- 41,65
------
ID#AAABGxaTsTk
Diamond Tower DTW    (2024-02-23 19:59:47)
27/10/2023	AUXÍLIO COMBUSTÍVEL 11/2023 TICKET SOLUCOES HDFGT S/A	- 394,30
------
ID#AAABGxaTsTo
Diamond Tower DTW    (2024-02-23 19:59:57)
27/10/2023	PG.DESP.REFEICAO/ALIMENTACAO NR. DOC: 186690472 11/2023 - BANRISUL CARTÕES S/A - REFEISUL	- 601,00
------
ID#AAABI6uuxC8
Diamond Tower DTW    (2024-03-07 17:14:06)
20/10/2023	PG. INSS/IRRF - FPM/TERCEIROS NR. DOC: 50000170057074 CP 09/2023 MINISTERIO DA PREVIDENCIA SOCIAL	- 14.057,81</t>
      </text>
    </comment>
    <comment ref="M12" authorId="0" shapeId="0">
      <text>
        <t>======
ID#AAABGxaTsUc
Diamond Tower DTW    (2024-02-23 20:16:26)
01/11/2023	PG.SALARIO MOISES IRINEU CABRAL PINTO	- 3.196,00
------
ID#AAABGxaTsVI
Diamond Tower DTW    (2024-02-23 20:20:51)
07/11/2023	PG.FGTS NR. DOC: 187077180 10/2023 - CEF - FUNDO DE GARANTIA - FL PGTO.	- 290,36
------
ID#AAABGxaTsWo
Diamond Tower DTW    (2024-02-23 20:40:02)
14/11/2023	PG.SEGURO DE VIDA FUNC. NR. DOC: 187366711 10/2023 - MOISES IRINEU CABRAL PINTO TOKIO MARINE BRASIL SEGURADORA S/A	- 41,65
------
ID#AAABGxaTsXg
Diamond Tower DTW    (2024-02-23 20:46:14)
24/11/2023	PG.ADIANT.13° SALARIO MOISES IRINEU CABRAL PINTO	- 1.901,14
------
ID#AAABGxaTsXk
Diamond Tower DTW    (2024-02-23 20:46:41)
24/11/2023	PG.PIS NR. DOC: 188459326 10/2023 - PIS - FL. PGTO	- 36,29
------
ID#AAABGxaTsYI
Diamond Tower DTW    (2024-02-23 20:58:15)
27/11/2023	PG.SECOVIMED NR. DOC: 188555780 10/2023 - SERVICO SOCIAL DA HABITACAO DO RIO GRANDE DO SUL - SECOVIMED - RS	- 168,80
------
ID#AAABGxaTsYQ
Diamond Tower DTW    (2024-02-23 20:58:41)
28/11/2023	AUXÍLIO COMBUSTÍVEL 12/2023 TICKET SOLUCOES HDFGT S/A	- 394,30
------
ID#AAABGxaTsYo
Diamond Tower DTW    (2024-02-23 21:00:41)
30/11/2023	PG.DESP.REFEICAO/ALIMENTACAO NR. DOC: 188842735 12/2023 - BANRISUL CARTÕES S/A - REFEISUL	- 601,00
------
ID#AAABI7fnF4o
Diamond Tower DTW    (2024-03-07 17:57:42)
20/12/2023	PG. INSS/IRRF - FPM/TERCEIROS NR. DOC: 50000188074409 CP. 11/2023 MINISTERIO DA PREVIDENCIA SOCIAL	- 14.231,75</t>
      </text>
    </comment>
    <comment ref="N12" authorId="0" shapeId="0">
      <text>
        <t>======
ID#AAABINBdlLg
Diamond Tower DTW    (2024-02-29 01:49:21)
01/12/2023	PG.SALARIO MOISES IRINEU CABRAL PINTO	- 3.192,00
------
ID#AAABINBdlNY
Diamond Tower DTW    (2024-02-29 02:26:16)
07/12/2023	PG.FGTS NR. DOC: 189376082 11/2023 - CEF - FUNDO DE GARANTIA - FL PGTO.	- 442,06
------
ID#AAABINBdlO0
Diamond Tower DTW    (2024-02-29 02:40:51)
14/12/2023	PG. 13º SALARIO MOISES IRINEU CABRAL PINTO	- 1.414,11
------
ID#AAABINBdlPI
Diamond Tower DTW    (2024-02-29 02:41:59)
15/12/2023	PG.SEGURO DE VIDA FUNC. NR. DOC: 190095789 11/2023 - MOISES IRINEU CABRAL PINTO TOKIO MARINE BRASIL SEGURADORA S/A	- 41,65
------
ID#AAABIAn-GNI
Diamond Tower DTW    (2024-02-29 02:47:25)
20/12/2023	PG.PIS NR. DOC: 190245227 11/2023 - PIS - FL. PGTO	- 36,24
------
ID#AAABIAn-GNg
Diamond Tower DTW    (2024-02-29 02:51:32)
26/12/2023	AUXÍLIO COMBUSTÍVEL 01/2024 TICKET SOLUCOES HDFGT S/A	- 159,52
------
ID#AAABIAn-GN4
Diamond Tower DTW    (2024-02-29 02:53:46)
26/12/2023	PG.SECOVIMED NR. DOC: 190787077 11/2023 - SERVICO SOCIAL DA HABITACAO DO RIO GRANDE DO SUL - SECOVIMED - RS	- 168,80
------
ID#AAABIAn-GOU
Diamond Tower DTW    (2024-02-29 02:56:33)
28/12/2023	PG.DESP.REFEICAO/ALIMENTACAO NR. DOC: 191368566 01/2024 - BANRISUL CARTÕES S/A - REFEISUL	- 219,18
------
ID#AAABIAn-GOs
Diamond Tower DTW    (2024-02-29 02:59:26)
29/12/2023	PG.FERIAS FUNCIONARIO PGTO FÉRIAS MOISES IRINEU CABRAL PINTO	- 4.695,52
------
ID#AAABI8UM6Ws
Diamond Tower DTW    (2024-03-07 18:19:06)
20/12/2023	PG. INSS/IRRF - FPM/TERCEIROS NR. DOC: 50000188074409 CP. 11/2023 MINISTERIO DA PREVIDENCIA SOCIAL	- 14.231,75</t>
      </text>
    </comment>
    <comment ref="O12" authorId="0" shapeId="0">
      <text>
        <t>======
ID#AAABIAn-GPI
Diamond Tower DTW    (2024-02-29 03:03:06)
02/01/2024	PG.SALARIO MOISES IRINEU CABRAL PINTO	- 3.211,00
------
ID#AAABIAn-GPU
Diamond Tower DTW    (2024-02-29 03:04:08)
05/01/2024	PG.FGTS NR. DOC: 191712244 12/2023 - CEF - FUNDO DE GARANTIA - FL PGTO.	- 443,18
------
ID#AAABIAn-GRg
Diamond Tower DTW    (2024-02-29 03:46:46)
16/01/2024	PG.SEGURO DE VIDA FUNC. NR. DOC: 192128182 12/2023 - MOISES IRINEU CABRAL PINTO TOKIO MARINE SEGURADORA S.A.	- 41,65
------
ID#AAABIAn-GSw
Diamond Tower DTW    (2024-02-29 03:52:32)
24/01/2024	PG.PIS NR. DOC: 192681707 12/2023 - PIS - FL. PGTO	- 74,40
------
ID#AAABIAn-GS8
Diamond Tower DTW    (2024-02-29 03:55:09)
25/01/2024	PG.SECOVIMED NR. DOC: 192655131 12/2023 - SERVICO SOCIAL DA HABITACAO DO RIO GRANDE DO SUL - SECOVIMED - RS	- 168,80
------
ID#AAABIAn-GTQ
Diamond Tower DTW    (2024-02-29 03:57:36)
29/01/2024	AUXÍLIO COMBUSTÍVEL 02/2024 TICKET SOLUCOES HDFGT S/A	- 394,30
------
ID#AAABIAn-GTY
Diamond Tower DTW    (2024-02-29 03:59:12)
29/01/2024	PG.DESP.REFEICAO/ALIMENTACAO NR. DOC: 193517826 02/2024 - BANRISUL CARTÕES S/A - REFEISUL	- 601,00
------
ID#AAABI8UM6X8
Diamond Tower DTW    (2024-03-07 18:51:31)
19/01/2024	PG. INSS/IRRF - FPM/TERCEIROS NR. DOC: 50000198099997 CP. 12/2023 MINISTERIO DA PREVIDENCIA SOCIAL	- 15.891,02</t>
      </text>
    </comment>
    <comment ref="P12" authorId="0" shapeId="0">
      <text>
        <t>======
ID#AAABI8VpC0w
Diamond Tower DTW    (2024-03-07 19:21:04)
01/02/2024	PG. SALARIO E/OU PRÓ-LABORE NR. DOC: 193431633 01/2024 - MOISES IRINEU CABRAL PINTO	- 1.967,00
------
ID#AAABI8VpC1Y
Diamond Tower DTW    (2024-03-07 19:24:02)
07/02/2024	PG.FGTS NR. DOC: 193730190 01/2024 - CEF - FUNDO DE GARANTIA - FL PGTO.	- 451,22
------
ID#AAABIwqyk4s
Diamond Tower DTW    (2024-03-08 18:38:55)
14/02/2024	PG.SEGURO DE VIDA FUNC. NR. DOC: 194082623 01/2024 - MOISES IRINEU CABRAL PINTO TOKIO MARINE SEGURADORA S.A.	- 46,65
------
ID#AAABIwqyk5Q
Diamond Tower DTW    (2024-03-08 18:50:41)
20/02/2024	PG. INSS/IRRF - FPM/TERCEIROS NR. DOC: 50000206258145 CP. 01/2024 MINISTERIO DA PREVIDENCIA SOCIAL	- 18.649,20
------
ID#AAABIwqyk6k
Diamond Tower DTW    (2024-03-08 19:22:56)
26/02/2024	PG.SECOVIMED NR. DOC: 195018061 01/2024 - SERVICO SOCIAL DA HABITACAO DO RIO GRANDE DO SUL - SECOVIMED - RS	- 168,80
------
ID#AAABIwqyk60
Diamond Tower DTW    (2024-03-08 19:23:56)
28/02/2024	AUXÍLIO COMBUSTÍVEL 03/2024 TICKET SOLUCOES HDFGT S/A	- 413,86
------
ID#AAABIwqyk64
Diamond Tower DTW    (2024-03-08 19:24:05)
28/02/2024	PG.DESP.REFEICAO/ALIMENTACAO NR. DOC: 195604426 03/2024 - BANRISUL CARTÕES S/A - REFEISUL	- 601,00</t>
      </text>
    </comment>
    <comment ref="Q12" authorId="0" shapeId="0">
      <text>
        <t>======
ID#AAABJB7AmHM
Diamond Tower DTW    (2024-03-11 01:28:26)
01/03/2024	PG. SALARIO E/OU PRÓ-LABORE NR. DOC: 195615772 02/2024 - MOISES IRINEU CABRAL PINTO	- 3.224,00
------
ID#AAABJB7AmH4
Diamond Tower DTW    (2024-03-11 01:35:34)
07/03/2024	PG.FGTS NR. DOC: 195955788 02/2024 - CEF - FUNDO DE GARANTIA - FL PGTO.	- 291,09</t>
      </text>
    </comment>
    <comment ref="E13" authorId="0" shapeId="0">
      <text>
        <t>======
ID#AAAAtki6H8A
Diamond Tower DTW    (2023-03-24 19:04:17)
20/03/2023	LEI 10833-RETENCAO NR. DOC: 02/2023 V:28/02/2023 GUARIDA SERVIÇOS IMOBILIÁRIOS LTDA.	- 66,57
------
ID#AAAAvxhdLv4
Diamond Tower DTW    (2023-05-02 19:55:44)
22/03/23 PG.RESSARCIMENTO SUELEN T. MODRY - 115,00
------
ID#AAAAvxhdLv8
Diamond Tower DTW    (2023-05-02 19:57:01)
22/03/23 TARIFA PIX SUELEN T. MODRY - 2,49
------
ID#AAAAvxhdLwA
Diamond Tower DTW    (2023-05-02 19:57:44)
24/03/23 EXCLUSIVE - 1.090,00
------
ID#AAAAvxhdLw8
Diamond Tower DTW    (2023-05-02 20:20:15)
31/03/23 REEMB.MAT EXPEDIENTE 03/2023 - 245,01
------
ID#AAAAvxhdLxA
Diamond Tower DTW    (2023-05-02 20:20:24)
31/03/23 TAXA DE ADM.GUARIDA IMOVEIS 03/2023 - 1.365,00</t>
      </text>
    </comment>
    <comment ref="F13" authorId="0" shapeId="0">
      <text>
        <t>======
ID#AAAAvxspaeI
Diamond Tower DTW    (2023-05-03 00:35:24)
03/04/2023	TARIFA PIX NR. DOC: 202330 ALTITUDE - TRABALHO E RESGATE EM ALTURA	- 2,49
------
ID#AAAAvxspaeM
Diamond Tower DTW    (2023-05-03 00:36:48)
04/04/2023	PG.ASS.ASSEMBLEIA 15/03/2023 BRASILICE PALORE DIETRICH DA SILVA FERRE	- 360,00
------
ID#AAAAvxspaec
Diamond Tower DTW    (2023-05-03 00:38:53)
04/04/2023	TARIFA PIX NR. DOC: 202328 MASTER PISCINAS LTDA	- 2,49
------
ID#AAAAvxspae8
Diamond Tower DTW    (2023-05-03 00:42:49)
05/04/2023	TARIFA PIX NR. DOC: 119897 KAROLINE AGUIRRES DA CRUZ	- 2,49
------
ID#AAAAvxspafA
Diamond Tower DTW    (2023-05-03 00:42:54)
05/04/2023	TARIFA PIX NR. DOC: 202312 BELLINI FIGUEIRO SOCIEDADE INDIVIDUAL DE	- 2,49
------
ID#AAAAvxspafE
Diamond Tower DTW    (2023-05-03 00:43:18)
05/04/2023	TARIFA PIX NR. DOC: 202313 MARION CASTILHOS SILVA SOCIEDADE IND.AD	- 2,49
------
ID#AAAAvxspafI
Diamond Tower DTW    (2023-05-03 00:43:19)
05/04/2023	TARIFA PIX NR. DOC: 202313 MARION CASTILHOS SILVA SOCIEDADE IND.AD	- 2,49
------
ID#AAAAvxspafM
Diamond Tower DTW    (2023-05-03 00:43:20)
05/04/2023	TARIFA PIX NR. DOC: 202313 MARION CASTILHOS SILVA SOCIEDADE IND.AD	- 2,49
------
ID#AAAAvxspafQ
Diamond Tower DTW    (2023-05-03 00:43:37)
05/04/2023	TARIFA PIX PAULO RICARDO WAGNER	- 2,49
------
ID#AAAAvxspafo
Diamond Tower DTW    (2023-05-03 00:50:28)
06/04/2023	TARIFA PIX NR. DOC: 10105 TRILUZ - COELBRA DISTRIB ELETRICA LTDA	- 2,49
------
ID#AAAAvxspafs
Diamond Tower DTW    (2023-05-03 00:50:48)
06/04/2023	TARIFA PIX NR. DOC: 202312 MARION CASTILHOS SILVA SOCIEDADE IND.AD	- 2,49
------
ID#AAAAvxbhvg4
Diamond Tower DTW    (2023-05-03 01:54:58)
10/04/2023	TARIFA PIX NR. DOC: 202323 MB CONSTRUCOES ELETRICAS LTDA.	- 2,49
------
ID#AAAAvxbhvhY
Diamond Tower DTW    (2023-05-03 02:01:25)
12/04/2023	TARIFA PIX NR. DOC: 10108 TRILUZ - COELBRA DISTRIB ELETRICA LTDA	- 2,49
------
ID#AAAAvxbhvhc
Diamond Tower DTW    (2023-05-03 02:01:50)
14/04/2023	PG.SEGURO DE VIDA FUNC. NR. DOC: 171906511 03/2023 - MOISES IRINEU CABRAL PINTO TOKIO MARINE BRASIL SEGURADORA S/A	- 39,49
------
ID#AAAAvxy9hco
Diamond Tower DTW    (2023-05-03 02:07:05)
20/04/2023	LEI 10833-RETENCAO NR. DOC: 03/2023 V:31/03/2023 GUARIDA SERVIÇOS IMOBILIÁRIOS LTDA.	- 66,57
------
ID#AAAAvxy9hdo
Diamond Tower DTW    (2023-05-03 02:16:12)
25/04/2023	EXCLUSIVE	- 1.090,00
------
ID#AAAAvxy9hec
Diamond Tower DTW    (2023-05-03 02:20:36)
30/04/2023	REEMB.MAT EXPEDIENTE 04/2023	- 245,01
------
ID#AAAAvxy9heg
Diamond Tower DTW    (2023-05-03 02:20:57)
30/04/2023	TAXA DE ADM.GUARIDA IMOVEIS 04/2023	- 1.365,00
------
ID#AAAA9vWEmgA
Diamond Tower DTW    (2024-01-04 00:41:54)
30/04/2023	REEMB.MAT EXPEDIENTE 04/2023	- 245,01
------
ID#AAABIcFJeZ0
Diamond Tower DTW    (2024-03-01 16:34:45)
20/04/2023	PG. INSS/IRRF - FPM/TERCEIROS NR. DOC: 50000125897100 CP 03/2023 MINISTERIO DA PREVIDENCIA SOCIAL	- 18.348,31</t>
      </text>
    </comment>
    <comment ref="G13" authorId="0" shapeId="0">
      <text>
        <t>======
ID#AAAA9vWEmgg
Diamond Tower DTW    (2024-01-04 00:49:14)
02/05/2023	TARIFA PIX NR. DOC: 202347 ALTITUDE - TRABALHO E RESGATE EM ALTURA	- 2,49
------
ID#AAAA9vWEmg8
Diamond Tower DTW    (2024-01-04 00:53:14)
05/05/2023	TARIFA PIX NR. DOC: 202320 BELLINI FIGUEIRO SOCIEDADE INDIVIDUAL DE	- 2,49
------
ID#AAAA9vWEmhA
Diamond Tower DTW    (2024-01-04 00:53:26)
05/05/2023	TARIFA PIX PAULO RICARDO WAGNER	- 2,49
------
ID#AAAA9vWEmjI
Diamond Tower DTW    (2024-01-04 01:52:55)
10/05/2023	TARIFA PIX NR. DOC: 202316 MARION CASTILHOS SILVA SOCIEDADE IND.AD	- 2,49
------
ID#AAAA9vWEmjM
Diamond Tower DTW    (2024-01-04 01:53:02)
10/05/2023	TARIFA PIX NR. DOC: 202317 MARION CASTILHOS SILVA SOCIEDADE IND.AD	- 2,49
------
ID#AAAA9vWEmjQ
Diamond Tower DTW    (2024-01-04 01:53:16)
10/05/2023	TARIFA PIX NR. DOC: 202318 MARION CASTILHOS SILVA SOCIEDADE IND.AD	- 2,49
------
ID#AAAA9vWEmjU
Diamond Tower DTW    (2024-01-04 01:53:35)
10/05/2023	TARIFA PIX NR. DOC: 202323 MB CONSTRUCOES ELETRICAS LTDA.	- 2,49
------
ID#AAAA9vWEmjo
Diamond Tower DTW    (2024-01-04 02:06:24)
15/05/2023	TARIFA PIX JORGE LUIZ LOPES DO CANTO	- 2,49
------
ID#AAAA9vWEmlI
Diamond Tower DTW    (2024-01-04 02:49:43)
19/05/2023	LEI 10833-RETENCAO NR. DOC: 04/2023 V:30/04/2023 GUARIDA SERVIÇOS IMOBILIÁRIOS LTDA.	- 66,57
------
ID#AAAA9vWEml0
Diamond Tower DTW    (2024-01-04 03:13:57)
19/05/2023	TARIFA PIX NR. DOC: 202320 THIAGO HENRIQUE TABORDA	- 2,49
------
ID#AAABDrIQ9Wg
Diamond Tower DTW    (2024-01-04 17:15:07)
29/05/2023	EXCLUSIVE	- 1.090,00
------
ID#AAABDrIQ9W4
Diamond Tower DTW    (2024-01-04 17:16:54)
31/05/2023	REEMB.MAT EXPEDIENTE 05/2023	- 245,01
------
ID#AAABDrIQ9W8
Diamond Tower DTW    (2024-01-04 17:17:00)
31/05/2023	TAXA DE ADM.GUARIDA IMOVEIS 05/2023	- 1.365,00</t>
      </text>
    </comment>
    <comment ref="H13" authorId="0" shapeId="0">
      <text>
        <t>======
ID#AAAA90-WavA
Diamond Tower DTW    (2024-01-10 18:17:05)
05/06/2023	TARIFA PIX NR. DOC: 202327 BELLINI FIGUEIRO SOCIEDADE INDIVIDUAL DE	- 2,49
------
ID#AAAA90-WavE
Diamond Tower DTW    (2024-01-10 18:17:13)
05/06/2023	TARIFA PIX PAULO RICARDO WAGNER	- 2,49
------
ID#AAAA90-WavQ
Diamond Tower DTW    (2024-01-10 18:19:12)
06/06/2023	TARIFA PIX NR. DOC: 1161 RODRIGO GONÃALVES PEREIRA (SECTRO TECNOLOGIA)	- 2,49
------
ID#AAAA90-Wav4
Diamond Tower DTW    (2024-01-10 18:34:32)
09/06/2023	TARIFA PIX NR. DOC: 202383 RODRIGO GONÃALVES PEREIRA (SECTRO TECNOLOGIA)	- 2,49
------
ID#AAAA90-WaxM
Diamond Tower DTW    (2024-01-10 18:47:31)
12/06/2023	TARIFA PIX NR. DOC: 202323 MB CONSTRUCOES ELETRICAS LTDA.	- 2,49
------
ID#AAAA90-WaxQ
Diamond Tower DTW    (2024-01-10 18:47:42)
12/06/2023	TARIFA PIX NR. DOC: 2023985 RS PREVENÃÃO DE INCÃNDIOS SERVIÃOS E COM	- 2,49
------
ID#AAAA90-Waxk
Diamond Tower DTW    (2024-01-10 18:51:36)
14/06/2023	TARIFA PIX NR. DOC: 202319 MARION CASTILHOS SILVA SOCIEDADE IND.AD	- 2,49
------
ID#AAAA90-Waxo
Diamond Tower DTW    (2024-01-10 18:51:46)
14/06/2023	TARIFA PIX NR. DOC: 202326 DAIANA ELOY DE OLIVEIRA	- 2,49
------
ID#AAAA90-WayM
Diamond Tower DTW    (2024-01-10 18:55:44)
20/06/2023	LEI 10833-RETENCAO NR. DOC: 05/2023 V:31/05/2023 GUARIDA SERVIÇOS IMOBILIÁRIOS LTDA.	- 66,57
------
ID#AAAA90-Ways
Diamond Tower DTW    (2024-01-10 19:42:42)
22/06/2023	TARIFA PIX NR. DOC: 202324 THIAGO HENRIQUE TABORDA	- 2,49
------
ID#AAAA90-WazA
Diamond Tower DTW    (2024-01-10 19:54:07)
23/06/2023	TARIFA PIX NR. DOC: 2023147 BIGKEY COMERCIAL DE CHAVES LTDA	- 2,49
------
ID#AAAA90-WazE
Diamond Tower DTW    (2024-01-10 19:54:27)
23/06/2023	TARIFA PIX NR. DOC: 576 KAROLINE AGUIRRES DA CRUZ	- 2,49
------
ID#AAAA90-Waz0
Diamond Tower DTW    (2024-01-10 20:05:55)
30/06/2023	EXCLUSIVE	- 1.090,00
------
ID#AAAA90-Wa0U
Diamond Tower DTW    (2024-01-10 20:08:41)
30/06/2023	PROCESSAMENTO DE CND'S	- 150,00
------
ID#AAAA90-Wa0Y
Diamond Tower DTW    (2024-01-10 20:10:30)
30/06/2023	REEMB.MAT EXPEDIENTE 06/2023	- 245,01
------
ID#AAAA90-Wa0c
Diamond Tower DTW    (2024-01-10 20:10:36)
30/06/2023	TARIFA PIX NR. DOC: 1168 RODRIGO GONÃALVES PEREIRA (SECTRO TECNOLOGIA)	- 2,49
------
ID#AAAA90-Wa0g
Diamond Tower DTW    (2024-01-10 20:10:55)
30/06/2023	TAXA DE ADM.GUARIDA IMOVEIS 06/2023	- 1.365,00
------
ID#AAAA90-Wa0k
Diamond Tower DTW    (2024-01-10 20:12:55)
30/06/2023	VLR.REF. RESCISÃO FUNC. Parc.(1/2)	- 240,00</t>
      </text>
    </comment>
    <comment ref="I13" authorId="0" shapeId="0">
      <text>
        <t>======
ID#AAAA90-Wa1o
Diamond Tower DTW    (2024-01-10 20:40:26)
04/07/2023	TARIFA PIX NR. DOC: 1 CAPPELLETTO GESTAO LTDA	- 2,49
------
ID#AAAA90-Wa2A
Diamond Tower DTW    (2024-01-10 20:50:09)
05/07/2023	TARIFA PIX NR. DOC: 202336 BELLINI FIGUEIRO SOCIEDADE INDIVIDUAL DE	- 2,49
------
ID#AAAA90-Wa2E
Diamond Tower DTW    (2024-01-10 20:50:26)
05/07/2023	TARIFA PIX PAULO RICARDO WAGNER	- 2,49
------
ID#AAAA90-Wa3s
Diamond Tower DTW    (2024-01-10 21:02:07)
12/07/2023	TARIFA PIX NR. DOC: 202320 MARION CASTILHOS SILVA SOCIEDADE IND.AD	- 2,49
------
ID#AAAA90-Wa3w
Diamond Tower DTW    (2024-01-10 21:02:12)
12/07/2023	TARIFA PIX NR. DOC: 202321 MARION CASTILHOS SILVA SOCIEDADE IND.AD	- 2,49
------
ID#AAAA90-Wa30
Diamond Tower DTW    (2024-01-10 21:02:24)
12/07/2023	TARIFA PIX NR. DOC: 222 BELLINI FIGUEIRO SOCIEDADE INDIVIDUAL DE	- 2,49
------
ID#AAAA90-Wa4U
Diamond Tower DTW    (2024-01-10 21:05:27)
14/07/2023	TARIFA PIX NR. DOC: 47857924 NEOLUX PERSIANAS E AUTOMAÃÃO LTDA	- 2,49
------
ID#AAAA90-Wa4w
Diamond Tower DTW    (2024-01-10 21:07:14)
17/07/2023	TARIFA PIX NR. DOC: 202322 MARION CASTILHOS SILVA SOCIEDADE IND.AD	- 2,49
------
ID#AAAA90-Wa40
Diamond Tower DTW    (2024-01-10 21:07:20)
17/07/2023	TARIFA PIX NR. DOC: 202323 MARION CASTILHOS SILVA SOCIEDADE IND.AD	- 2,49
------
ID#AAAA90-Wa44
Diamond Tower DTW    (2024-01-10 21:07:34)
17/07/2023	TARIFA PIX NR. DOC: 202324 MARION CASTILHOS SILVA SOCIEDADE IND.AD	- 2,49
------
ID#AAAA90-Wa48
Diamond Tower DTW    (2024-01-10 21:07:44)
17/07/2023	TARIFA PIX NR. DOC: 202329 JSM SERVIÃOS HIDRAULICO E MANUT	- 2,49
------
ID#AAAA90-Wa5A
Diamond Tower DTW    (2024-01-10 21:07:58)
20/07/2023	LEI 10833-RETENCAO NR. DOC: 06/2023 V:30/06/2023 GUARIDA SERVIÇOS IMOBILIÁRIOS LTDA.	- 66,57
------
ID#AAAA90-Wa5s
Diamond Tower DTW    (2024-01-10 21:12:07)
21/07/2023	TARIFA PIX NR. DOC: 202328 THIAGO HENRIQUE TABORDA	- 2,49
------
ID#AAAA90-Wa54
Diamond Tower DTW    (2024-01-10 21:12:53)
25/07/2023	EXCLUSIVE	- 1.090,00
------
ID#AAAA90-Wa6w
Diamond Tower DTW    (2024-01-10 21:17:34)
31/07/2023	TAXA DE ADM.GUARIDA IMOVEIS 07/2023	- 1.365,00</t>
      </text>
    </comment>
    <comment ref="J13" authorId="0" shapeId="0">
      <text>
        <t>======
ID#AAABGvNN0y0
Diamond Tower DTW    (2024-02-20 19:46:49)
01/08/2023	TARIFA PIX NR. DOC: 202334 DUTENGE INSTALACAO E MANUTENCAO LTDA	- 2,49
------
ID#AAABGvTkl6w
Diamond Tower DTW    (2024-02-20 20:00:21)
04/08/2023	TARIFA PIX NR. DOC: 324 GUILHERME NETTO COSTA	- 2,49
------
ID#AAABGvTkl60
Diamond Tower DTW    (2024-02-20 20:00:26)
04/08/2023	TARIFA PIX NR. DOC: 6 CAPPELLETTO GESTAO LTDA	- 2,49
------
ID#AAABGvXDqXI
Diamond Tower DTW    (2024-02-20 20:31:31)
07/08/2023	TARIFA PIX NR. DOC: 202337 BELLINI FIGUEIRO SOCIEDADE INDIVIDUAL DE	- 2,49
------
ID#AAABGvXDqXM
Diamond Tower DTW    (2024-02-20 20:31:36)
07/08/2023	TARIFA PIX NR. DOC: 202338 BELLINI FIGUEIRO SOCIEDADE INDIVIDUAL DE	- 2,49
------
ID#AAABGvXDqXQ
Diamond Tower DTW    (2024-02-20 20:31:49)
07/08/2023	TARIFA PIX PAULO RICARDO WAGNER	- 2,49
------
ID#AAABGvXDqXc
Diamond Tower DTW    (2024-02-20 21:28:24)
08/08/2023	TARIFA PIX NR. DOC: 1184 RODRIGO GONÃALVES PEREIRA (SECTRO TECNOLOGIA)	- 2,49
------
ID#AAABGvXDqZs
Diamond Tower DTW    (2024-02-20 22:39:33)
10/08/2023	TARIFA PIX NR. DOC: 2023118 RODRIGO GONÃALVES PEREIRA (SECTRO TECNOLOGIA)	- 2,49
------
ID#AAABGvXDqZ8
Diamond Tower DTW    (2024-02-20 22:41:52)
11/08/2023	TARIFA PIX NR. DOC: 19953 JORGE LUIZ LOPES DO CANTO	- 2,49
------
ID#AAABGvXDqaY
Diamond Tower DTW    (2024-02-20 22:58:59)
18/08/2023	LEI 10833-RETENCAO NR. DOC: 07/2023 V:31/07/2023 GUARIDA SERVIÇOS IMOBILIÁRIOS LTDA.	- 66,57
------
ID#AAABGvXDqa4
Diamond Tower DTW    (2024-02-20 23:02:01)
18/08/2023	TARIFA PIX NR. DOC: 2023115 ZOOM VIDEO PRODUCOES E EVENTOS LTDA	- 2,49
------
ID#AAABGvXDqa8
Diamond Tower DTW    (2024-02-20 23:02:12)
18/08/2023	TARIFA PIX NR. DOC: 202333 THIAGO HENRIQUE TABORDA	- 2,49
------
ID#AAABHLBZ4ak
Diamond Tower DTW    (2024-02-22 21:44:48)
21/08/2023	TARIFA PIX NR. DOC: 202326 MARION CASTILHOS SILVA SOCIEDADE IND.AD	- 2,49
------
ID#AAABHLBZ4ao
Diamond Tower DTW    (2024-02-22 21:45:00)
21/08/2023	TARIFA PIX NR. DOC: 202327 MARION CASTILHOS SILVA SOCIEDADE IND.AD	- 2,49
------
ID#AAABHLBZ4bE
Diamond Tower DTW    (2024-02-22 21:50:08)
24/08/2023	TARIFA PIX DIOMEDES C.	- 2,49
------
ID#AAABHLHSelM
Diamond Tower DTW    (2024-02-22 22:23:53)
29/08/2023	TARIFA PIX NR. DOC: 202393 RUBEM A. L. AGUIRRE	- 2,49
------
ID#AAABHLHSelQ
Diamond Tower DTW    (2024-02-22 22:24:11)
29/08/2023	TARIFA PIX NR. DOC: 2348 JONATHAN J. M. GARBOZA	- 2,49
------
ID#AAABHLHSelU
Diamond Tower DTW    (2024-02-22 22:26:18)
31/08/2023	EXCLUSIVE	- 1.090,00
------
ID#AAABHLHYnjQ
Diamond Tower DTW    (2024-02-22 22:37:17)
31/08/2023	REEMB.MAT EXPEDIENTE 08/2023	- 245,01
------
ID#AAABHLHYnjY
Diamond Tower DTW    (2024-02-22 22:37:46)
31/08/2023	TAXA DE ADM.GUARIDA IMOVEIS 08/2023	- 1.365,00</t>
      </text>
    </comment>
    <comment ref="K13" authorId="0" shapeId="0">
      <text>
        <t>======
ID#AAABHLHYnj0
Diamond Tower DTW    (2024-02-22 22:52:25)
04/09/2023	TARIFA PIX NR. DOC: 11 CAPPELLETTO GESTAO LTDA	- 2,49
------
ID#AAABHLHYnkQ
Diamond Tower DTW    (2024-02-22 22:57:44)
05/09/2023	TARIFA PIX BELLINI FIGUEIRO SOCIEDADE INDIVIDUAL DE	- 2,49
------
ID#AAABHLHYnkU
Diamond Tower DTW    (2024-02-22 22:57:51)
05/09/2023	TARIFA PIX NR. DOC: 202339 BELLINI FIGUEIRO SOCIEDADE INDIVIDUAL DE	- 2,49
------
ID#AAABHLHYnkY
Diamond Tower DTW    (2024-02-22 22:58:08)
05/09/2023	TARIFA PIX NR. DOC: 202340 BELLINI FIGUEIRO SOCIEDADE INDIVIDUAL DE	- 2,49
------
ID#AAABHLKhPwk
Diamond Tower DTW    (2024-02-22 22:58:18)
05/09/2023	TARIFA PIX PAULO RICARDO WAGNER	- 2,49
------
ID#AAABHLKhPw4
Diamond Tower DTW    (2024-02-22 23:00:43)
06/09/2023	TARIFA PIX NR. DOC: 2023131 ALTITUDE - TRABALHO E RESGATE EM ALTURA	- 2,49
------
ID#AAABHLKhPxI
Diamond Tower DTW    (2024-02-22 23:03:10)
08/09/2023	TARIFA PIX NR. DOC: 1204 RODRIGO GONÃALVES PEREIRA (SECTRO TECNOLOGIA)	- 2,49
------
ID#AAABHLKhPxM
Diamond Tower DTW    (2024-02-22 23:03:17)
08/09/2023	TARIFA PIX NR. DOC: 41579 PROCAL FERRAGENS E TINTAS LTDA	- 2,49
------
ID#AAABHLDlA2o
Diamond Tower DTW    (2024-02-23 00:07:56)
19/09/2023	LEI 10833-RETENCAO NR. DOC: 08/2023 V:31/08/2023 GUARIDA SERVIÇOS IMOBILIÁRIOS LTDA.	- 66,57
------
ID#AAABHLUSzA8
Diamond Tower DTW    (2024-02-23 00:09:46)
19/09/2023	TARIFA PIX NR. DOC: 202330 MARION CASTILHOS SILVA SOCIEDADE IND.AD	- 2,49
------
ID#AAABHLUSzBA
Diamond Tower DTW    (2024-02-23 00:10:23)
19/09/2023	TARIFA PIX NR. DOC: 202331 MARION CASTILHOS SILVA SOCIEDADE IND.AD	- 2,49
------
ID#AAABHLUSzBI
Diamond Tower DTW    (2024-02-23 00:11:00)
19/09/2023	TARIFA PIX NR. DOC: 202332 MARION CASTILHOS SILVA SOCIEDADE IND.AD	- 2,49
------
ID#AAABHLUSzBM
Diamond Tower DTW    (2024-02-23 00:11:47)
19/09/2023	TARIFA PIX NR. DOC: 202337 THIAGO HENRIQUE TABORDA	- 2,49
------
ID#AAABGxaTsN8
Diamond Tower DTW    (2024-02-23 18:23:29)
26/09/2023	TARIFA PIX NR. DOC: 13643 INECIL IND. E COM.	- 2,49
------
ID#AAABGxaTsOA
Diamond Tower DTW    (2024-02-23 18:23:37)
26/09/2023	TARIFA PIX NR. DOC: 41765 PROCAL FERRAGENS E TINTAS LTDA	- 2,49
------
ID#AAABGxaTsOE
Diamond Tower DTW    (2024-02-23 18:23:47)
26/09/2023	TARIFA PIX NR. DOC: 41808 PROCAL FERRAGENS E TINTAS LTDA	- 2,49
------
ID#AAABGxaTsOg
Diamond Tower DTW    (2024-02-23 18:49:04)
29/09/2023	TARIFA PIX NR. DOC: 72 BRENNER CARVALHO E SOUZA LTDA	- 2,49
------
ID#AAABGxaTsOo
Diamond Tower DTW    (2024-02-23 18:50:04)
30/09/2023	EXCLUSIVE	- 1.090,00
------
ID#AAABGxaTsO0
Diamond Tower DTW    (2024-02-23 18:50:44)
30/09/2023	TAXA DE ADM.GUARIDA IMOVEIS 09/2023	- 1.365,00</t>
      </text>
    </comment>
    <comment ref="L13" authorId="0" shapeId="0">
      <text>
        <t>======
ID#AAABGxaTsPU
Diamond Tower DTW    (2024-02-23 19:09:05)
02/10/2023	TARIFA PIX NR. DOC: 18 CAPPELLETTO GESTAO LTDA	- 2,49
------
ID#AAABGxaTsPs
Diamond Tower DTW    (2024-02-23 19:11:10)
05/10/2023	TARIFA PIX NR. DOC: 202346 BELLINI FIGUEIRO SOCIEDADE INDIVIDUAL DE	- 2,49
------
ID#AAABGxaTsQ4
Diamond Tower DTW    (2024-02-23 19:23:38)
10/10/2023	TARIFA PIX NR. DOC: 2023306 CIATEC TREINAMENTO E CONSULTORIA EM INFO	- 2,49
------
ID#AAABGxaTsRI
Diamond Tower DTW    (2024-02-23 19:25:13)
11/10/2023	TARIFA PIX NR. DOC: 1219 RODRIGO GONCALVES PEREIRA	- 2,49
------
ID#AAABGxaTsRM
Diamond Tower DTW    (2024-02-23 19:25:25)
11/10/2023	TARIFA PIX NR. DOC: 3 MARCO PICCOLO 44601735068	- 2,49
------
ID#AAABGxaTsRY
Diamond Tower DTW    (2024-02-23 19:28:36)
13/10/2023	TARIFA PIX NR. DOC: 202333 MARION CASTILHOS SILVA SOCIEDADE IND.AD	- 2,49
------
ID#AAABGxaTsRc
Diamond Tower DTW    (2024-02-23 19:28:46)
13/10/2023	TARIFA PIX NR. DOC: 28329 KLEBER COMERCIO DE EQUIPAMENTOS E COMPON	- 2,49
------
ID#AAABGxaTsRw
Diamond Tower DTW    (2024-02-23 19:33:55)
16/10/2023	TARIFA PIX NR. DOC: 1254 EJARA DA SILVA ALVES &amp; CIA LTDA	- 2,49
------
ID#AAABGxaTsR0
Diamond Tower DTW    (2024-02-23 19:34:49)
16/10/2023	TARIFA PIX NR. DOC: 32525 MASTER PISCINAS LTDA	- 2,49
------
ID#AAABGxaTsSc
Diamond Tower DTW    (2024-02-23 19:45:15)
20/10/2023	TARIFA PIX NR. DOC: 202341 THIAGO HENRIQUE TABORDA	- 2,49
------
ID#AAABGxaTsUA
Diamond Tower DTW    (2024-02-23 20:02:44)
31/10/2023	EXCLUSIVE	- 1.090,00
------
ID#AAABGxaTsUI
Diamond Tower DTW    (2024-02-23 20:03:32)
31/10/2023	REEMB.MAT EXPEDIENTE 10/2023	- 245,01
------
ID#AAABGxaTsUM
Diamond Tower DTW    (2024-02-23 20:04:00)
31/10/2023	TAXA DE ADM.GUARIDA IMOVEIS 10/2023	- 1.365,00
------
ID#AAABI6uuxDQ
Diamond Tower DTW    (2024-03-07 17:36:33)
20/10/2023	PG. INSS/IRRF - FPM/TERCEIROS NR. DOC: 50000170057074 CP 09/2023 MINISTERIO DA PREVIDENCIA SOCIAL	- 14.057,81</t>
      </text>
    </comment>
    <comment ref="M13" authorId="0" shapeId="0">
      <text>
        <t>======
ID#AAABGxaTsXE
Diamond Tower DTW    (2024-02-23 20:42:00)
20/11/2023	LEI 10833-RETENCAO NR. DOC: 10/2023 V:31/10/2023 GUARIDA SERVIÇOS IMOBILIÁRIOS LTDA.	- 66,57
------
ID#AAABGxaTsYk
Diamond Tower DTW    (2024-02-23 21:00:11)
30/11/2023	EXCLUSIVE	- 1.090,00
------
ID#AAABGxaTsY0
Diamond Tower DTW    (2024-02-23 21:01:24)
30/11/2023	REEMB.MAT EXPEDIENTE 11/2023	- 256,82
------
ID#AAABGxaTsY4
Diamond Tower DTW    (2024-02-23 21:02:44)
30/11/2023	TARIFA PIX REF 11 PAGAMENTOS	- 27,39
------
ID#AAABGxaTsY8
Diamond Tower DTW    (2024-02-23 21:02:53)
30/11/2023	TAXA DE ADM.GUARIDA IMOVEIS 11/2023	- 1.430,79</t>
      </text>
    </comment>
    <comment ref="N13" authorId="0" shapeId="0">
      <text>
        <t>======
ID#AAABIAn-GM4
Diamond Tower DTW    (2024-02-29 02:44:05)
20/12/2023	LEI 10833-RETENCAO NR. DOC: 11/2023 V:30/11/2023 GUARIDA SERVIÇOS IMOBILIÁRIOS LTDA.	- 69,78
------
ID#AAABIAn-GNY
Diamond Tower DTW    (2024-02-29 02:50:35)
21/12/2023	PROCESSAMENTO DE CND'S	- 174,00
------
ID#AAABIAn-GNs
Diamond Tower DTW    (2024-02-29 02:52:20)
26/12/2023	EXCLUSIVE	- 1.090,00
------
ID#AAABIAn-GOo
Diamond Tower DTW    (2024-02-29 02:59:01)
29/12/2023	PG.ELABORACAO CERT.DIGITAL	- 180,00
------
ID#AAABIAn-GO0
Diamond Tower DTW    (2024-02-29 03:00:10)
29/12/2023	REEMB.MAT EXPEDIENTE 12/2023	- 256,82
------
ID#AAABIAn-GO4
Diamond Tower DTW    (2024-02-29 03:00:18)
29/12/2023	TARIFA PIX REFERENTE A 13 CREDITO(S) EM CONTA REALIZADO(S)	- 32,37
------
ID#AAABIAn-GO8
Diamond Tower DTW    (2024-02-29 03:00:37)
29/12/2023	TAXA DE ADM.GUARIDA IMOVEIS 12/2023	- 1.430,79</t>
      </text>
    </comment>
    <comment ref="O13" authorId="0" shapeId="0">
      <text>
        <t>======
ID#AAABIAn-GRw
Diamond Tower DTW    (2024-02-29 03:48:10)
19/01/2024	LEI 10833-RETENCAO NR. DOC: 12/2023 V:29/12/2023 GUARIDA SERVIÇOS IMOBILIÁRIOS LTDA.	- 69,78
------
ID#AAABIAn-GTs
Diamond Tower DTW    (2024-02-29 04:00:39)
31/01/2024	EXCLUSIVE COMP. 01/2024	- 1.090,00
------
ID#AAABIAn-GT4
Diamond Tower DTW    (2024-02-29 04:01:36)
31/01/2024	REEMB.MAT EXPEDIENTE 01/2024	- 256,82
------
ID#AAABIAn-GT8
Diamond Tower DTW    (2024-02-29 04:01:47)
31/01/2024	TARIFA PIX REFERENTE A 14 CREDITO(S) EM CONTA REALIZADO(S)	- 34,86
------
ID#AAABIAn-GUA
Diamond Tower DTW    (2024-02-29 04:01:54)
31/01/2024	TAXA DE ADM.GUARIDA IMOVEIS 01/2024	- 1.430,79
------
ID#AAABIAn-GUE
Diamond Tower DTW    (2024-02-29 04:02:02)
31/01/2024	TAXA DE ADM.GUARIDA IMOVEIS 01/2024	- 1.430,79</t>
      </text>
    </comment>
    <comment ref="P13" authorId="0" shapeId="0">
      <text>
        <t>======
ID#AAABIwqyk6U
Diamond Tower DTW    (2024-03-08 19:20:05)
26/02/2024	EXCLUSIVE	- 1.090,00
------
ID#AAABIwqyk7M
Diamond Tower DTW    (2024-03-08 19:25:53)
29/02/2024	REEMB.MAT EXPEDIENTE 02/2024	- 256,82
------
ID#AAABIwqyk7Q
Diamond Tower DTW    (2024-03-08 19:26:03)
29/02/2024	TARIFA PIX REFERENTE A 9 CREDITO(S) EM CONTA REALIZADO(S)	- 22,41
------
ID#AAABIwqyk7U
Diamond Tower DTW    (2024-03-08 19:26:17)
29/02/2024	TAXA DE ADM.GUARIDA IMOVEIS 02/2024	- 1.430,79</t>
      </text>
    </comment>
    <comment ref="E14" authorId="0" shapeId="0">
      <text>
        <t>======
ID#AAAAst4mPzM
Diamond Tower DTW    (2023-03-24 18:25:19)
01/03/2023	PG.SALARIO MATHEUS KRITLI CAPPELLETTO	- 3.933,00
------
ID#AAAAst4mP0E
Diamond Tower DTW    (2023-03-24 18:40:24)
07/03/2023	PG.FGTS NR. DOC: 168940649 02/2023 - CEF - FUNDO DE GARANTIA - FL PGTO.	- 716,82
------
ID#AAAAst4mP0g
Diamond Tower DTW    (2023-03-24 18:43:57)
10/03/2023	PG.DESP.REFEICAO/ALIMENTACAO NR. DOC: 169251677 03/2023 - BANRISUL CARTÕES S/A - REFEISUL	- 882,00
------
ID#AAAAtki6H7s
Diamond Tower DTW    (2023-03-24 18:59:21)
15/03/2023	PG.SEGURO DE VIDA FUNC. NR. DOC: 169648625 02/2023 - MATHEUS KRITLI CAPPELLETTO TOKIO MARINE BRASIL SEGURADORA S/A	- 39,49
------
ID#AAAAtki6H78
Diamond Tower DTW    (2023-03-24 19:03:58)
17/03/2023	PG. IRRF NR. DOC: 169731842 02/2023 - IRRF - FL PGTO.	- 235,03
------
ID#AAAAsuFiYuY
Diamond Tower DTW    (2023-03-24 19:37:33)
/03/2023	PG.PIS NR. DOC: 169873660 02/2023 - PIS - FL. PGTO	- 89,60
------
ID#AAAAvxhdLwE
Diamond Tower DTW    (2023-05-02 19:58:35)
24/03/23 PG.SECOVIMED NR. DOC: 170279132 02/2023 - SERVICO SOCIAL DA HABITACAO DO
RIO GRANDE DO SUL - SECOVIMED - RS
- 224,00</t>
      </text>
    </comment>
    <comment ref="F14" authorId="0" shapeId="0">
      <text>
        <t>======
ID#AAAAvxspafg
Diamond Tower DTW    (2023-05-03 00:49:50)
06/04/2023	PG.FGTS NR. DOC: 171228640 03/2023 - CEF - FUNDO DE GARANTIA - FL PGTO.	- 671,82
------
ID#AAAAvxspaf4
Diamond Tower DTW    (2023-05-03 00:52:08)
10/04/2023	PG.DESP.REFEICAO/ALIMENTACAO NR. DOC: 171101668 04/2023 - BANRISUL CARTÕES S/A - REFEISUL	- 882,00
------
ID#AAAAvxbhvhg
Diamond Tower DTW    (2023-05-03 02:01:58)
14/04/2023	PG.SEGURO DE VIDA FUNC. NR. DOC: 171906512 03/2023 - MATHEUS KRITLI CAPPELLETTO TOKIO MARINE BRASIL SEGURADORA S/A	- 39,49
------
ID#AAAAvxy9hd4
Diamond Tower DTW    (2023-05-03 02:17:20)
25/04/2023	PG.SECOVIMED NR. DOC: 172757199 03/2023 - SERVICO SOCIAL DA HABITACAO DO RIO GRANDE DO SUL - SECOVIMED - RS	- 209,95
------
ID#AAAAvxy9heE
Diamond Tower DTW    (2023-05-03 02:18:21)
27/04/2023	PG.DESP.REFEICAO/ALIMENTACAO NR. DOC: 173269129 05/2023 - BANRISUL CARTÕES S/A - REFEISUL	- 882,00
------
ID#AAAAvxy9hek
Diamond Tower DTW    (2023-05-03 02:21:41)
31/03/2023	PG.SALARIO MATHEUS KRITLI CAPPELLETTO	- 4.288,00
------
ID#AAABICauFJk
Diamond Tower DTW    (2024-03-01 13:58:33)
20/04/2023	PG. INSS/IRRF - FPM/TERCEIROS NR. DOC: 50000125897100 CP 03/2023 MINISTERIO DA PREVIDENCIA SOCIAL	- 18.348,31</t>
      </text>
    </comment>
    <comment ref="G14" authorId="0" shapeId="0">
      <text>
        <t>======
ID#AAAA9vWEmgQ
Diamond Tower DTW    (2024-01-04 00:47:57)
02/05/2023	PG.SALARIO MATHEUS KRITLI CAPPELLETTO	- 5.028,00
------
ID#AAAA9vWEmgo
Diamond Tower DTW    (2024-01-04 00:50:33)
05/05/2023	PG.FGTS NR. DOC: 173723608 04/2023 - CEF - FUNDO DE GARANTIA - FL PGTO.	- 757,64
------
ID#AAAA9vWEmkw
Diamond Tower DTW    (2024-01-04 02:35:21)
18/05/2023	PG. IRRF NR. DOC: 174254930 04/2023 - IRRF - FL PGTO.	- 498,54
------
ID#AAAA9vWEmlo
Diamond Tower DTW    (2024-01-04 03:13:11)
19/05/2023	PG.SEGURO DE VIDA FUNC. NR. DOC: 174449863 04/2023 - MATHEUS KRITLI CAPPELLETTO TOKIO MARINE BRASIL SEGURADORA S/A	- 39,49
------
ID#AAABDrIQ9Wo
Diamond Tower DTW    (2024-01-04 17:15:34)
29/05/2023	PG.DESP.REFEICAO/ALIMENTACAO NR. DOC: 175182545 06/2023 - BANRISUL CARTÕES S/A - REFEISUL	- 882,00
------
ID#AAABDrIQ9XU
Diamond Tower DTW    (2024-01-04 18:42:07)
19/05/2023	PG. INSS/IRRF - FPM/TERCEIROS NR. DOC: 50000132622219 CP 04/2023 MINISTERIO DA PREVIDENCIA SOCIAL	- 18.852,17</t>
      </text>
    </comment>
    <comment ref="H14" authorId="0" shapeId="0">
      <text>
        <t>======
ID#AAABDsYHhwI
Diamond Tower DTW    (2024-01-05 13:38:23)
01/06/2023	PG.SALARIO MATHEUS KRITLI CAPPELLETTO	- 3.780,00
------
ID#AAAA90-Wavc
Diamond Tower DTW    (2024-01-10 18:20:36)
07/06/2023	PG.FGTS NR. DOC: 175817650 05/2023 - CEF - FUNDO DE GARANTIA - FL PGTO.	- 573,37
------
ID#AAAA90-WayA
Diamond Tower DTW    (2024-01-10 18:53:56)
15/06/2023	PG.SEGURO DE VIDA FUNC. NR. DOC: 176213974 05/2023 - MATHEUS KRITLI CAPPELLETTO TOKIO MARINE BRASIL SEGURADORA S/A	- 39,49
------
ID#AAAA90-Wayw
Diamond Tower DTW    (2024-01-10 19:43:17)
23/06/2023	PG.RESC.TRABALHO PGTO - RESCISÃO - MATHEUS MATHEUS KRITLI CAPPELLETTO	- 11.468,41</t>
      </text>
    </comment>
    <comment ref="I14" authorId="0" shapeId="0">
      <text>
        <t>======
ID#AAAA90-Wa1k
Diamond Tower DTW    (2024-01-10 20:40:06)
04/07/2023	PG.SERV.PRESTADOS NF.: 1 ADMINISTRAÇÃO CONDOMINIAL AUXILIAR REF.06/2023 CAPPELLETTO GESTAO LTDA	- 6.366,67
------
ID#AAAA90-Wa4M
Diamond Tower DTW    (2024-01-10 21:05:04)
14/07/2023	PG.SEGURO DE VIDA FUNC. NR. DOC: 178524544 06/2023 - MATHEUS KRITLI CAPPELLETTO TOKIO MARINE BRASIL SEGURADORA S/A	- 39,49</t>
      </text>
    </comment>
    <comment ref="J14" authorId="0" shapeId="0">
      <text>
        <t>======
ID#AAABGvTkl6s
Diamond Tower DTW    (2024-02-20 20:00:08)
04/08/2023	PG.SERV.PRESTADOS NF.: 6 ADMINISTRAÇÃO CONDOMINIAL AUXILIAR REF.07/2023 CAPPELLETTO GESTAO LTDA	- 16.000,00</t>
      </text>
    </comment>
    <comment ref="K14" authorId="0" shapeId="0">
      <text>
        <t>======
ID#AAABHLHYnjw
Diamond Tower DTW    (2024-02-22 22:52:14)
04/09/2023	PG.SERV.PRESTADOS NF.: 11 ADMINISTRAÇÃO CONDOMINIAL AUXILIAR REF.08/2023 CAPPELLETTO GESTAO LTDA	- 16.000,00
------
ID#AAABGxaTsOs
Diamond Tower DTW    (2024-02-23 18:50:17)
30/09/2023	REEMB.MAT EXPEDIENTE 09/2023	- 245,01	-	+ 254.279,22	
1
30/09/2023	TAXA DE ADM.GUARIDA IMOVEIS 09/2023	- 1.365,00</t>
      </text>
    </comment>
    <comment ref="L14" authorId="0" shapeId="0">
      <text>
        <t>======
ID#AAABGxaTsPQ
Diamond Tower DTW    (2024-02-23 19:08:53)
02/10/2023	PG.SERV.PRESTADOS NF.: 18 ADMINISTRAÇÃO CONDOMINIAL AUXILIAR REF.09/2023 CAPPELLETTO GESTAO LTDA	- 16.000,00</t>
      </text>
    </comment>
    <comment ref="M14" authorId="0" shapeId="0">
      <text>
        <t>======
ID#AAABGxaTsUk
Diamond Tower DTW    (2024-02-23 20:16:59)
01/11/2023	PG.SERV.PRESTADOS NF.: 19 ADMINISTRAÇÃO CONDOMINIAL AUXILIAR REF.10/2023 CAPPELLETTO GESTAO LTDA	- 16.000,00</t>
      </text>
    </comment>
    <comment ref="N14" authorId="0" shapeId="0">
      <text>
        <t>======
ID#AAABINBdlLo
Diamond Tower DTW    (2024-02-29 01:53:10)
01/12/2023	PG.SERV.PRESTADOS NF.: 24 ADMINISTRAÇÃO CONDOMINIAL AUXILIAR REF.11/2023 CAPPELLETTO GESTAO LTDA	- 16.000,00
------
ID#AAABIAn-GN8
Diamond Tower DTW    (2024-02-29 02:54:01)
26/12/2023	PG.SERV.PRESTADOS NF.: 29 ADMINISTRAÇÃO CONDOMINIAL AUXILIAR REF.12/2023 CAPPELLETTO GESTAO LTDA	- 16.000,00</t>
      </text>
    </comment>
    <comment ref="P14" authorId="0" shapeId="0">
      <text>
        <t>======
ID#AAABI8VpC1U
Diamond Tower DTW    (2024-03-07 19:23:46)
06/02/2024	PG.SERV.PRESTADOS NF.: 33 ADMINISTRAÇÃO CONDOMINIAL AUXILIAR REF.01/2024 CAPPELLETTO GESTAO LTDA	- 16.000,00</t>
      </text>
    </comment>
    <comment ref="Q14" authorId="0" shapeId="0">
      <text>
        <t>======
ID#AAABJB7AmHs
Diamond Tower DTW    (2024-03-11 01:33:32)
05/03/2024	PG.SERV.PRESTADOS NF.: 39 ADMINISTRAÇÃO CONDOMINIAL AUXILIAR REF.01/2024 CAPPELLETTO GESTAO LTDA	- 16.000,00</t>
      </text>
    </comment>
    <comment ref="E15" authorId="0" shapeId="0">
      <text>
        <t>======
ID#AAAAst4mPz8
Diamond Tower DTW    (2023-03-24 18:39:59)
06/03/2023	PG. REMUNERACAO SINDICO REF. 02/2023 PAULO RICARDO WAGNER	- 5.222,24
------
ID#AAAAvxhdLuo
Diamond Tower DTW    (2023-05-02 18:56:33)
06/03/23 TARIFA PIX PAULO RICARDO WAGNER - 2,49
------
ID#AAABICYYBjU
Diamond Tower DTW    (2024-03-01 13:21:27)
20/03/2023	PG. INSS/IRRF - FPM/TERCEIROS NR. DOC: 50000119201289 CP 02/2023 MINISTERIO DA PREVIDENCIA SOCIAL	- 16.789,10	-	+ 543.043,95
------
ID#AAABICYYBjg
Diamond Tower DTW    (2024-03-01 13:36:04)
20/03/2023	PG. INSS/IRRF - FPM/TERCEIROS NR. DOC: 50000119201289 CP 02/2023 MINISTERIO DA PREVIDENCIA SOCIAL	- 16.789,10</t>
      </text>
    </comment>
    <comment ref="F15" authorId="0" shapeId="0">
      <text>
        <t>======
ID#AAAAvxspae4
Diamond Tower DTW    (2023-05-03 00:42:33)
05/04/2023	PG. REMUNERACAO SINDICO REF. REF. 03/2023 PAULO RICARDO WAGNER	- 5.222,24
------
ID#AAAAvxy9hes
Diamond Tower DTW    (2023-05-03 02:32:41)
05/04/2023	PG. REMUNERACAO SINDICO REF. REF. 03/2023 PAULO RICARDO WAGNER	- 5.222,24
------
ID#AAABICauFJg
Diamond Tower DTW    (2024-03-01 13:55:32)
20/04/2023	PG. INSS/IRRF - FPM/TERCEIROS NR. DOC: 50000125897100 CP 03/2023 MINISTERIO DA PREVIDENCIA SOCIAL	- 18.348,31</t>
      </text>
    </comment>
    <comment ref="G15" authorId="0" shapeId="0">
      <text>
        <t>======
ID#AAAA9vWEmg4
Diamond Tower DTW    (2024-01-04 00:52:56)
05/05/2023	PG. REMUNERACAO SINDICO REF. REF. 04/2023 PAULO RICARDO WAGNER	- 5.222,24
------
ID#AAABDrIQ9XY
Diamond Tower DTW    (2024-01-04 18:47:29)
19/05/2023	PG. INSS/IRRF - FPM/TERCEIROS NR. DOC: 50000132622219 CP 04/2023 MINISTERIO DA PREVIDENCIA SOCIAL	- 18.852,17</t>
      </text>
    </comment>
    <comment ref="H15" authorId="0" shapeId="0">
      <text>
        <t>======
ID#AAAA90-Wau8
Diamond Tower DTW    (2024-01-10 18:16:52)
05/06/2023	PG. REMUNERACAO SINDICO REF. REF. 05/2023 PAULO RICARDO WAGNER	- 5.222,24</t>
      </text>
    </comment>
    <comment ref="I15" authorId="0" shapeId="0">
      <text>
        <t>======
ID#AAAA90-Wa18
Diamond Tower DTW    (2024-01-10 20:49:42)
05/07/2023	PG. REMUNERACAO SINDICO REF. REF. 06/2023 PAULO RICARDO WAGNER	- 5.222,24
------
ID#AAABI7FuU1Y
Diamond Tower DTW    (2024-03-07 13:41:49)
20/07/2023	PG. INSS/IRRF - FPM/TERCEIROS NR. DOC: 50000147535045 CP 06/2023 MINISTERIO DA PREVIDENCIA SOCIAL	- 17.832,61	-	+ 381.574,45</t>
      </text>
    </comment>
    <comment ref="J15" authorId="0" shapeId="0">
      <text>
        <t>======
ID#AAABGvXDqXE
Diamond Tower DTW    (2024-02-20 20:31:13)
07/08/2023	PG. REMUNERACAO SINDICO REF. REF. 07/2023 PAULO RICARDO WAGNER	- 5.222,24
------
ID#AAABI6uuxB0
Diamond Tower DTW    (2024-03-07 16:53:32)
18/08/2023	PG. INSS/IRRF - FPM/TERCEIROS NR. DOC: 50000155856535 CP 07/2023 MINISTERIO DA PREVIDENCIA SOCIAL	- 14.257,08</t>
      </text>
    </comment>
    <comment ref="K15" authorId="0" shapeId="0">
      <text>
        <t>======
ID#AAABHLHYnkI
Diamond Tower DTW    (2024-02-22 22:54:01)
05/09/2023	PG. REMUNERACAO SINDICO REF. REF. 08/2023 PAULO RICARDO WAGNER	- 5.222,24
------
ID#AAABI6uuxCQ
Diamond Tower DTW    (2024-03-07 17:03:31)
19/09/2023	PG. INSS/IRRF - FPM/TERCEIROS NR. DOC: 50000162137848 CP 08/2023 MINISTERIO DA PREVIDENCIA SOCIAL	- 14.562,18
------
ID#AAABI6uuxCo
Diamond Tower DTW    (2024-03-07 17:08:39)
19/09/2023	PG. INSS/IRRF - FPM/TERCEIROS NR. DOC: 50000162137848 CP 08/2023 MINISTERIO DA PREVIDENCIA SOCIAL	- 14.562,18</t>
      </text>
    </comment>
    <comment ref="L15" authorId="0" shapeId="0">
      <text>
        <t>======
ID#AAABGxaTsPk
Diamond Tower DTW    (2024-02-23 19:10:30)
05/10/2023	PG. REMUNERACAO SINDICO REF. REF. 09/2023 PAULO RICARDO WAGNER	- 5.222,24
------
ID#AAABI6uuxC4
Diamond Tower DTW    (2024-03-07 17:13:44)
20/10/2023	PG. INSS/IRRF - FPM/TERCEIROS NR. DOC: 50000170057074 CP 09/2023 MINISTERIO DA PREVIDENCIA SOCIAL	- 14.057,81	20/10/2023	PG. INSS/IRRF - FPM/TERCEIROS NR. DOC: 50000170057074 CP 09/2023 MINISTERIO DA PREVIDENCIA SOCIAL	- 14.057,81</t>
      </text>
    </comment>
    <comment ref="M15" authorId="0" shapeId="0">
      <text>
        <t>======
ID#AAABGxaTsVE
Diamond Tower DTW    (2024-02-23 20:20:31)
06/11/2023	PG. REMUNERACAO SINDICO REF. REF. 10/2023 PAULO RICARDO WAGNER	- 5.222,24
------
ID#AAABI6uuxDk
Diamond Tower DTW    (2024-03-07 17:43:39)
20/11/2023	PG. INSS/IRRF - FPM/TERCEIROS NR. DOC: 50000178912883 MINISTERIO DA PREVIDENCIA SOCIAL	- 10.903,40
------
ID#AAABI7fnF4k
Diamond Tower DTW    (2024-03-07 17:57:03)
20/12/2023	PG. INSS/IRRF - FPM/TERCEIROS NR. DOC: 50000188074409 CP. 11/2023 MINISTERIO DA PREVIDENCIA SOCIAL	- 14.231,75</t>
      </text>
    </comment>
    <comment ref="N15" authorId="0" shapeId="0">
      <text>
        <t>======
ID#AAABINBdlNI
Diamond Tower DTW    (2024-02-29 02:22:21)
05/12/2023	PG. REMUNERACAO SINDICO REF. REF. 11/2023 PAULO RICARDO WAGNER	- 5.222,24
------
ID#AAABI7fnF4s
Diamond Tower DTW    (2024-03-07 17:58:40)
20/12/2023	PG. INSS/IRRF - FPM/TERCEIROS NR. DOC: 50000188074409 CP. 11/2023 MINISTERIO DA PREVIDENCIA SOCIAL	- 14.231,75</t>
      </text>
    </comment>
    <comment ref="O15" authorId="0" shapeId="0">
      <text>
        <t>======
ID#AAABIAn-GPk
Diamond Tower DTW    (2024-02-29 03:05:32)
05/01/2024	PG. REMUNERACAO SINDICO REF. REF. 12/2023 PAULO RICARDO WAGNER	- 5.222,24
------
ID#AAABIAn-GP4
Diamond Tower DTW    (2024-02-29 03:08:38)
10/01/2024	PG.REMUNERACAO SINDICO(A) DIFERENÇA REAJSUTE PROLABORE PAULO RICARDO WAGNER	- 979,08
------
ID#AAABI8UM6X4
Diamond Tower DTW    (2024-03-07 18:51:10)
19/01/2024	PG. INSS/IRRF - FPM/TERCEIROS NR. DOC: 50000198099997 CP. 12/2023 MINISTERIO DA PREVIDENCIA SOCIAL	- 15.891,02</t>
      </text>
    </comment>
    <comment ref="P15" authorId="0" shapeId="0">
      <text>
        <t>======
ID#AAABI8VpC1Q
Diamond Tower DTW    (2024-03-07 19:23:31)
05/02/2024	PG. REMUNERACAO SINDICO REF. REF. 01/2024 PAULO RICARDO WAGNER	- 6.093,62
------
ID#AAABIwqyk5M
Diamond Tower DTW    (2024-03-08 18:50:18)
20/02/2024	PG. INSS/IRRF - FPM/TERCEIROS NR. DOC: 50000206258145 CP. 01/2024 MINISTERIO DA PREVIDENCIA SOCIAL	- 18.649,20</t>
      </text>
    </comment>
    <comment ref="Q15" authorId="0" shapeId="0">
      <text>
        <t>======
ID#AAABJB7AmHo
Diamond Tower DTW    (2024-03-11 01:33:12)
05/03/2024	PG. REMUNERACAO SINDICO REF. REF. 02/2024 PAULO RICARDO WAGNER	- 6.093,62</t>
      </text>
    </comment>
    <comment ref="E16" authorId="0" shapeId="0">
      <text>
        <t>======
ID#AAAAst4mP1Y
Diamond Tower DTW    (2023-03-24 18:52:19)
10/03/2023	PG.RETENCAO ISSQN NR. DOC: 20235 V:16/02/2023 TIAGO HENRIQUES TABORDA CONTABILIDADE	- 22,00
------
ID#AAAAsuFiYt8
Diamond Tower DTW    (2023-03-24 19:29:20)
20/03/2023	PG.SERV.PRESTADOS NF.: 202314 PRESTACAO DE CONTAS PASTA MENSAL 01/2023 TIAGO HENRIQUES TABORDA CONTABILIDADE	- 1.176,00
------
ID#AAAAvxhdLvU
Diamond Tower DTW    (2023-05-02 19:32:33)
20/03/23 TARIFA PIX NR. DOC: 202314 THIAGO HENRIQUE TABORDA - 2,49</t>
      </text>
    </comment>
    <comment ref="F16" authorId="0" shapeId="0">
      <text>
        <t>======
ID#AAAAvxspagQ
Diamond Tower DTW    (2023-05-03 00:53:47)
10/04/2023	PG.RETENCAO ISSQN NR. DOC: 202314 V:20/03/2023 TIAGO HENRIQUES TABORDA CONTABILIDADE	- 24,00
------
ID#AAAAvxy9hck
Diamond Tower DTW    (2023-05-03 02:06:49)
19/04/2023	PG.SERV.CONSULTORIA NF.: 202316 CONTRATO DE PRESTAÇÃO DE CONTAS DE PASTA MENSAL TIAGO HENRIQUES TABORDA CONTABILIDADE	- 1.176,00</t>
      </text>
    </comment>
    <comment ref="G16" authorId="0" shapeId="0">
      <text>
        <t>======
ID#AAAA9vWEmig
Diamond Tower DTW    (2024-01-04 01:00:43)
10/05/2023	PG.RETENCAO ISSQN NR. DOC: 202316 V:19/04/2023 TIAGO HENRIQUES TABORDA CONTABILIDADE	- 24,00
------
ID#AAAA9vWEmlw
Diamond Tower DTW    (2024-01-04 03:13:42)
19/05/2023	PG.SERV.CONSULTORIA NF.: 202320 CONTR. DE PREST. CONTAS PASTA MENSAL REF.03/2023 TIAGO HENRIQUES TABORDA CONTABILIDADE	- 1.176,00
------
ID#AAABIcFJebo
Diamond Tower DTW    (2024-03-01 17:34:16)
19/05/2023	PG. INSS/IRRF - FPM/TERCEIROS NR. DOC: 50000132622219 CP 04/2023 MINISTERIO DA PREVIDENCIA SOCIAL	- 18.852,17</t>
      </text>
    </comment>
    <comment ref="H16" authorId="0" shapeId="0">
      <text>
        <t>======
ID#AAAA90-Waww
Diamond Tower DTW    (2024-01-10 18:40:35)
12/06/2023	PG.RETENCAO ISSQN NR. DOC: 202320 V:19/05/2023 TIAGO HENRIQUES TABORDA CONTABILIDADE	- 24,00
------
ID#AAAA90-Wayo
Diamond Tower DTW    (2024-01-10 19:42:25)
22/06/2023	PG.SERV.CONSULTORIA NF.: 202324 CONTR. DE PREST. CONTAS PASTA MENSAL REF.04/2023 TIAGO HENRIQUES TABORDA CONTABILIDADE	- 1.176,00</t>
      </text>
    </comment>
    <comment ref="I16" authorId="0" shapeId="0">
      <text>
        <t>======
ID#AAAA90-Wa20
Diamond Tower DTW    (2024-01-10 20:55:50)
10/07/2023	PG.RETENCAO ISSQN NR. DOC: 202324 V:22/06/2023 TIAGO HENRIQUES TABORDA CONTABILIDADE	- 24,00
------
ID#AAAA90-Wa5o
Diamond Tower DTW    (2024-01-10 21:11:53)
21/07/2023	PG.SERV.CONSULTORIA NF.: 202328 CONTR. DE PREST. CONTAS PASTA MENSAL REF.05/2023 TIAGO HENRIQUES TABORDA CONTABILIDADE	- 1.176,00</t>
      </text>
    </comment>
    <comment ref="J16" authorId="0" shapeId="0">
      <text>
        <t>======
ID#AAABGvXDqZQ
Diamond Tower DTW    (2024-02-20 22:28:58)
10/08/2023	PG.RETENCAO ISSQN NR. DOC: 202328 V:21/07/2023 TIAGO HENRIQUES TABORDA CONTABILIDADE	- 24,00
------
ID#AAABGvXDqaw
Diamond Tower DTW    (2024-02-20 23:01:18)
18/08/2023	PG.SERV.CONSULTORIA NF.: 202333 CONTR. DE PREST. CONTAS PASTA MENSAL REF.06/2023 TIAGO HENRIQUES TABORDA CONTABILIDADE	- 1.176,00</t>
      </text>
    </comment>
    <comment ref="K16" authorId="0" shapeId="0">
      <text>
        <t>======
ID#AAABHOH2m4w
Diamond Tower DTW    (2024-02-23 00:01:34)
11/09/2023	PG.RETENCAO ISSQN NR. DOC: 202333 V:18/08/2023 TIAGO HENRIQUES TABORDA CONTABILIDADE	- 24,00
------
ID#AAABHLUSzA4
Diamond Tower DTW    (2024-02-23 00:09:36)
19/09/2023	PG.SERV.CONSULTORIA NF.: 202337 CONTR. DE PREST. CONTAS PASTA MENSAL REF.07/2023 TIAGO HENRIQUES TABORDA CONTABILIDADE	- 1.176,00</t>
      </text>
    </comment>
    <comment ref="L16" authorId="0" shapeId="0">
      <text>
        <t>======
ID#AAABGxaTsQg
Diamond Tower DTW    (2024-02-23 19:17:19)
10/10/2023	PG.RETENCAO ISSQN NR. DOC: 202337 V:19/09/2023 TIAGO HENRIQUES TABORDA CONTABILIDADE	- 24,00
------
ID#AAABGxaTsSE
Diamond Tower DTW    (2024-02-23 19:37:55)
20/10/2023	LEI 10833-RETENCAO NR. DOC: 09/2023 V:30/09/2023 GUARIDA SERVIÇOS IMOBILIÁRIOS LTDA.	- 66,57
------
ID#AAABGxaTsSY
Diamond Tower DTW    (2024-02-23 19:44:57)
20/10/2023	PG.SERV.CONSULTORIA NF.: 202341 CONTR. DE PREST. CONTAS PASTA MENSAL REF.08/2023 TIAGO HENRIQUES TABORDA CONTABILIDADE	- 1.176,00</t>
      </text>
    </comment>
    <comment ref="M16" authorId="0" shapeId="0">
      <text>
        <t>======
ID#AAABGxaTsVs
Diamond Tower DTW    (2024-02-23 20:27:37)
10/11/2023	PG.RETENCAO ISSQN NR. DOC: 202341 V:20/10/2023 TIAGO HENRIQUES TABORDA CONTABILIDADE	- 24,00
------
ID#AAABGxaTsWs
Diamond Tower DTW    (2024-02-23 20:40:17)
14/11/2023	PG.SERV.CONSULTORIA NF.: 2 CONTR. DE PREST. CONTAS PASTA MENSAL REF.09/2023 TIAGO HENRIQUES TABORDA CONTABILIDADE	- 1.274,00
------
ID#AAABI7fnF4Q
Diamond Tower DTW    (2024-03-07 17:46:32)
20/11/2023	PG. INSS/IRRF - FPM/TERCEIROS NR. DOC: 50000178912883 MINISTERIO DA PREVIDENCIA SOCIAL	- 10.903,40</t>
      </text>
    </comment>
    <comment ref="N16" authorId="0" shapeId="0">
      <text>
        <t>======
ID#AAABINBdlOU
Diamond Tower DTW    (2024-02-29 02:38:04)
11/12/2023	PG.RETENCAO ISSQN NR. DOC: 2 V:14/11/2023 TIAGO HENRIQUES TABORDA CONTABILIDADE	- 26,00
------
ID#AAABINBdlPY
Diamond Tower DTW    (2024-02-29 02:43:51)
19/12/2023	PG.SERV.CONSULTORIA NF.: 7 CONTR. DE PREST. CONTAS PASTA MENSAL REF.10/2023 TIAGO HENRIQUES TABORDA CONTABILIDADE	- 1.274,00</t>
      </text>
    </comment>
    <comment ref="O16" authorId="0" shapeId="0">
      <text>
        <t>======
ID#AAABIAn-GQ4
Diamond Tower DTW    (2024-02-29 03:29:40)
10/01/2024	PG.RETENCAO ISSQN NR. DOC: 7 V:19/12/2023 TIAGO HENRIQUES TABORDA CONTABILIDADE	- 26,00
------
ID#AAABIAn-GSQ
Diamond Tower DTW    (2024-02-29 03:50:25)
19/01/2024	PG.SERV.CONSULTORIA NF.: 11 CONTR. DE PREST. CONTAS PASTA MENSAL REF.11/2023 TIAGO HENRIQUES TABORDA CONTABILIDADE	- 1.303,40</t>
      </text>
    </comment>
    <comment ref="P16" authorId="0" shapeId="0">
      <text>
        <t>======
ID#AAABI8VpC10
Diamond Tower DTW    (2024-03-07 19:26:33)
14/02/2024	PG.RETENCAO ISSQN NR. DOC: 11 V:19/01/2024 TIAGO HENRIQUES TABORDA CONTABILIDADE	- 26,60
------
ID#AAABIwqyk40
Diamond Tower DTW    (2024-03-08 18:40:33)
16/02/2024	PG.SERV.CONSULTORIA NF.: 15 CONTR. DE PREST. CONTAS PASTA MENSAL REF.12/2023 TIAGO HENRIQUES TABORDA CONTABILIDADE	- 1.303,40</t>
      </text>
    </comment>
    <comment ref="Q16" authorId="0" shapeId="0">
      <text>
        <t>======
ID#AAABJMGL2nQ
Diamond Tower DTW    (2024-03-14 21:06:50)
11/03/2024	PG.RETENCAO ISSQN NR. DOC: 15 V:16/02/2024 TIAGO HENRIQUES TABORDA CONTABILIDADE	- 26,60</t>
      </text>
    </comment>
    <comment ref="E19" authorId="0" shapeId="0">
      <text>
        <t>======
ID#AAAAst4mP10
Diamond Tower DTW    (2023-03-24 18:56:19)
10/03/2023	PG.RETENCAO ISSQN NR. DOC: 45242628 V:24/02/2023 FG PISCINAS LTDA	- 5,00
------
ID#AAAAvxhdLwY
Diamond Tower DTW    (2023-05-02 20:02:01)
27/03/23 PG.SERV.PRESTADOS NF.: 11626 LIMP ESPLEHO D'AGUA + NF 45765838 FG PISCINAS
LTDA
- 794,00</t>
      </text>
    </comment>
    <comment ref="F19" authorId="0" shapeId="0">
      <text>
        <t>======
ID#AAAAvxspagE
Diamond Tower DTW    (2023-05-03 00:53:02)
10/04/2023	PG.RETENCAO ISSQN NR. DOC: 11626 V:27/03/2023 FG PISCINAS LTDA	- 6,00
------
ID#AAAAvxy9heA
Diamond Tower DTW    (2023-05-03 02:18:06)
26/04/2023	PG.SERV.PRESTADOS NF.: 11779 LIMP ESPLEHO D'AGUA + NF 46382321 FG PISCINAS LTDA	- 794,75
------
ID#AAABIcFJeZ4
Diamond Tower DTW    (2024-03-01 16:35:44)
20/04/2023	PG. INSS/IRRF - FPM/TERCEIROS NR. DOC: 50000125897100 CP 03/2023 MINISTERIO DA PREVIDENCIA SOCIAL	- 18.348,31</t>
      </text>
    </comment>
    <comment ref="G19" authorId="0" shapeId="0">
      <text>
        <t>======
ID#AAAA9vWEmiI
Diamond Tower DTW    (2024-01-04 00:57:36)
10/05/2023	PG.RETENCAO ISSQN NR. DOC: 11779 V:26/04/2023 FG PISCINAS LTDA	- 5,25
------
ID#AAABDrIQ9Wc
Diamond Tower DTW    (2024-01-04 17:14:45)
26/05/2023	PG.SERV.PRESTADOS NF.: 11884 LIMP ESPLEHO D'AGUA + NF 46986433 FG PISCINAS LTDA	- 769,60</t>
      </text>
    </comment>
    <comment ref="H19" authorId="0" shapeId="0">
      <text>
        <t>======
ID#AAAA90-WawY
Diamond Tower DTW    (2024-01-10 18:38:17)
12/06/2023	PG.RETENCAO ISSQN NR. DOC: 11884 V:26/05/2023 FG PISCINAS LTDA	- 9,50
------
ID#AAAA90-WazQ
Diamond Tower DTW    (2024-01-10 19:56:06)
26/06/2023	PG.MANUT.GERAL NF.: 11960 LIMPEZA ESPELHO DÁGUA 05/2023 + NF 47477928 FG PISCINAS LTDA	- 782,40
------
ID#AAABIcFJecQ
Diamond Tower DTW    (2024-03-01 17:47:53)
19/05/2023	PG. INSS/IRRF - FPM/TERCEIROS NR. DOC: 50000132622219 CP 04/2023 MINISTERIO DA PREVIDENCIA SOCIAL	- 18.852,17
------
ID#AAABIcFJecU
Diamond Tower DTW    (2024-03-01 17:48:46)
19/05/2023	PG. INSS/IRRF - FPM/TERCEIROS NR. DOC: 50000132622219 CP 04/2023 MINISTERIO DA PREVIDENCIA SOCIAL	- 18.852,17</t>
      </text>
    </comment>
    <comment ref="I19" authorId="0" shapeId="0">
      <text>
        <t>======
ID#AAAA90-Wa2c
Diamond Tower DTW    (2024-01-10 20:53:53)
10/07/2023	PG.RETENCAO ISSQN NR. DOC: 11960 V:26/06/2023 FG PISCINAS LTDA	- 5,50
------
ID#AAAA90-Wa50
Diamond Tower DTW    (2024-01-10 21:12:40)
24/07/2023	PG.SERV.PRESTADOS NF.: 12028 LIMPEZA ESPLEHO D'AGUA REF.06/2023 + NF 47890981 FG PISCINAS LTDA	- 794,50
------
ID#AAABI7FuU1g
Diamond Tower DTW    (2024-03-07 13:43:14)
20/07/2023	PG. INSS/IRRF - FPM/TERCEIROS NR. DOC: 50000147535045 CP 06/2023 MINISTERIO DA PREVIDENCIA SOCIAL	- 17.832,61	-	+ 381.574,45</t>
      </text>
    </comment>
    <comment ref="J19" authorId="0" shapeId="0">
      <text>
        <t>======
ID#AAABGvXDqXw
Diamond Tower DTW    (2024-02-20 21:49:27)
10/08/2023	PG.RETENCAO ISSQN NR. DOC: 12028 V:24/07/2023 FG PISCINAS LTDA	- 5,50
------
ID#AAABHLHR8gw
Diamond Tower DTW    (2024-02-22 21:50:53)
25/08/2023	PG.SERV.PRESTADOS NF.: 12121 LIMPEZA ESPLEHO D'AGUA REF.07/2023 + NF 48480881 FG PISCINAS LTDA	- 771,20
------
ID#AAABI6uuxCM
Diamond Tower DTW    (2024-03-07 16:58:44)
18/08/2023	PG. INSS/IRRF - FPM/TERCEIROS NR. DOC: 50000155856535 CP 07/2023 MINISTERIO DA PREVIDENCIA SOCIAL	- 14.257,08</t>
      </text>
    </comment>
    <comment ref="K19" authorId="0" shapeId="0">
      <text>
        <t>======
ID#AAABHLKhPxY
Diamond Tower DTW    (2024-02-22 23:04:09)
11/09/2023	PG.RETENCAO ISSQN NR. DOC: 12121 V:25/08/2023 FG PISCINAS LTDA	- 9,00
------
ID#AAABGxaTsJw
Diamond Tower DTW    (2024-02-23 17:34:19)
25/09/2023	PG.SERV.PRESTADOS NF.: 12205 LIMPEZA ESPLEHO D'AGUA REF.08/2023 + NF 49009473 FG PISCINAS LTDA	- 769,60
------
ID#AAABI6uuxCc
Diamond Tower DTW    (2024-03-07 17:04:59)
19/09/2023	PG. INSS/IRRF - FPM/TERCEIROS NR. DOC: 50000162137848 CP 08/2023 MINISTERIO DA PREVIDENCIA SOCIAL	- 14.562,18
------
ID#AAABI6uuxC0
Diamond Tower DTW    (2024-03-07 17:11:27)
19/09/2023	PG. INSS/IRRF - FPM/TERCEIROS NR. DOC: 50000162137848 CP 08/2023 MINISTERIO DA PREVIDENCIA SOCIAL	- 14.562,18</t>
      </text>
    </comment>
    <comment ref="L19" authorId="0" shapeId="0">
      <text>
        <t>======
ID#AAABGxaTsP8
Diamond Tower DTW    (2024-02-23 19:14:30)
10/10/2023	PG.RETENCAO ISSQN NR. DOC: 12205 V:25/09/2023 FG PISCINAS LTDA	- 9,50
------
ID#AAABGxaTsTs
Diamond Tower DTW    (2024-02-23 20:00:15)
27/10/2023	PG.SERV.PRESTADOS NF.: 12293 LIMPEZA ESPLEHO D'AGUA REF.09/2023 + NF 49538127 FG PISCINAS LTDA	- 777,60
------
ID#AAABI6uuxDA
Diamond Tower DTW    (2024-03-07 17:14:58)
20/10/2023	PG. INSS/IRRF - FPM/TERCEIROS NR. DOC: 50000170057074 CP 09/2023 MINISTERIO DA PREVIDENCIA SOCIAL	- 14.057,81</t>
      </text>
    </comment>
    <comment ref="M19" authorId="0" shapeId="0">
      <text>
        <t>======
ID#AAABGxaTsYM
Diamond Tower DTW    (2024-02-23 20:58:29)
27/11/2023	PG.SERV.PRESTADOS NF.: 12381 LIMPEZA ESPLEHO D'AGUA REF.10/2023 + NF 50090524 FG PISCINAS LTDA	- 772,80
------
ID#AAABGxaTsYw
Diamond Tower DTW    (2024-02-23 21:01:14)
30/11/2023	PG.RETENCAO ISSQN NR. DOC: 12293 V:27/10/2023 FG PISCINAS LTDA	- 7,12
------
ID#AAABI6uuxDY
Diamond Tower DTW    (2024-03-07 17:40:27)
20/11/2023	PG. INSS/IRRF - FPM/TERCEIROS NR. DOC: 50000178912883 MINISTERIO DA PREVIDENCIA SOCIAL	- 10.903,40
------
ID#AAABI7fnF4c
Diamond Tower DTW    (2024-03-07 17:49:54)
20/11/2023	PG. INSS/IRRF - FPM/TERCEIROS NR. DOC: 50000178912883 MINISTERIO DA PREVIDENCIA SOCIAL	- 10.903,40</t>
      </text>
    </comment>
    <comment ref="N19" authorId="0" shapeId="0">
      <text>
        <t>======
ID#AAABINBdlNw
Diamond Tower DTW    (2024-02-29 02:28:56)
11/12/2023	PG.RETENCAO ISSQN NR. DOC: 12381 V:27/11/2023 FG PISCINAS LTDA	- 8,50
------
ID#AAABIAn-GOM
Diamond Tower DTW    (2024-02-29 02:55:55)
27/12/2023	PG.SERV.PRESTADOS NF.: 12514 LIMPEZA ESPLEHO D'AGUA REF.11/2023 + NF 50601303 FG PISCINAS LTDA	- 782,40
------
ID#AAABI8UM6XI
Diamond Tower DTW    (2024-03-07 18:32:37)
20/12/2023	PG. INSS/IRRF - FPM/TERCEIROS NR. DOC: 50000188074409 CP. 11/2023 MINISTERIO DA PREVIDENCIA SOCIAL	- 14.231,75</t>
      </text>
    </comment>
    <comment ref="O19" authorId="0" shapeId="0">
      <text>
        <t>======
ID#AAABIAn-GP8
Diamond Tower DTW    (2024-02-29 03:08:50)
10/01/2024	PG.RETENCAO ISSQN NR. DOC: 12514 V:27/12/2023 FG PISCINAS LTDA	- 5,50
------
ID#AAABI8UM6YA
Diamond Tower DTW    (2024-03-07 18:51:49)
19/01/2024	PG. INSS/IRRF - FPM/TERCEIROS NR. DOC: 50000198099997 CP. 12/2023 MINISTERIO DA PREVIDENCIA SOCIAL	- 15.891,02
------
ID#AAABI8VpC18
Diamond Tower DTW    (2024-03-07 19:35:37)
26/01/2024	PG.SERV.PRESTADOS NF.: 12641 LIMPEZA ESPLEHO D'AGUA REF.12/2023 + NF 51001174 FG PISCINAS LTDA	- 776,00</t>
      </text>
    </comment>
    <comment ref="P19" authorId="0" shapeId="0">
      <text>
        <t>======
ID#AAABI8VpC14
Diamond Tower DTW    (2024-03-07 19:26:46)
14/02/2024	PG.RETENCAO ISSQN NR. DOC: 12641 V:26/01/2024 FG PISCINAS LTDA	- 7,50
------
ID#AAABIwqyk5U
Diamond Tower DTW    (2024-03-08 18:51:12)
20/02/2024	PG. INSS/IRRF - FPM/TERCEIROS NR. DOC: 50000206258145 CP. 01/2024 MINISTERIO DA PREVIDENCIA SOCIAL	- 18.649,20
------
ID#AAABIwqyk6s
Diamond Tower DTW    (2024-03-08 19:23:27)
26/02/2024	PG.SERV.PRESTADOS NF.: 12771 LIMPEZA ESPLEHO D'AGUA REF.12/2023 + NF 51567590 FG PISCINAS LTDA	- 771,20</t>
      </text>
    </comment>
    <comment ref="Q19" authorId="0" shapeId="0">
      <text>
        <t>======
ID#AAABJMGL2nE
Diamond Tower DTW    (2024-03-14 21:05:56)
11/03/2024	PG.RETENCAO ISSQN NR. DOC: 12771 V:26/02/2024 FG PISCINAS LTDA	- 9,00</t>
      </text>
    </comment>
    <comment ref="E20" authorId="0" shapeId="0">
      <text>
        <t>======
ID#AAAAst4mPz0
Diamond Tower DTW    (2023-03-24 18:27:51)
06/03/2023	PG.ALUGUEL NF.: 2523 LOCAÇÃO IMPRESSORA RUBENS FLAVIO ANDRADE VILLAR	- 223,82</t>
      </text>
    </comment>
    <comment ref="F20" authorId="0" shapeId="0">
      <text>
        <t>======
ID#AAAAvxspaek
Diamond Tower DTW    (2023-05-03 00:41:13)
05/04/2023	PG.ALUGUEL NF.: 2545 LOCAÇÃO IMPRESSORA RUBENS FLAVIO ANDRADE VILLAR	- 223,82</t>
      </text>
    </comment>
    <comment ref="G20" authorId="0" shapeId="0">
      <text>
        <t>======
ID#AAAA9vWEmgk
Diamond Tower DTW    (2024-01-04 00:49:58)
05/05/2023	PG.ALUGUEL NR. DOC: 2567 IMPRESSORA RUBENS FLAVIO ANDRADE VILLAR	- 223,82</t>
      </text>
    </comment>
    <comment ref="H20" authorId="0" shapeId="0">
      <text>
        <t>======
ID#AAABDsYHhwc
Diamond Tower DTW    (2024-01-05 13:42:25)
05/06/2023	PG.ALUGUEL NR. DOC: 2589 LOCACAO DE IMPRESSORA RUBENS FLAVIO ANDRADE VILLAR	- 223,82</t>
      </text>
    </comment>
    <comment ref="I20" authorId="0" shapeId="0">
      <text>
        <t>======
ID#AAAA90-Wa1w
Diamond Tower DTW    (2024-01-10 20:41:52)
05/07/2023	PG.ALUGUEL NR. DOC: 2609 LOCAÇÃO IMPRESSORA ADMINISTRAÇÃO 06/2023 RUBENS FLAVIO ANDRADE VILLAR	- 223,82</t>
      </text>
    </comment>
    <comment ref="J20" authorId="0" shapeId="0">
      <text>
        <t>======
ID#AAABGvTkl68
Diamond Tower DTW    (2024-02-20 20:15:21)
07/08/2023	PG.ALUGUEL NR. DOC: 2629 LOCAÇÃO IMPRESSORA ADMINISTRAÇÃO 07/2023 RUBENS FLAVIO ANDRADE VILLAR	- 223,82</t>
      </text>
    </comment>
    <comment ref="K20" authorId="0" shapeId="0">
      <text>
        <t>======
ID#AAABHLHYnj8
Diamond Tower DTW    (2024-02-22 22:53:02)
05/09/2023	PG.ALUGUEL NR. DOC: 2648 LOCAÇÃO IMPRESSORA ADMINISTRAÇÃO 08/2023 RUBENS FLAVIO ANDRADE VILLAR	- 223,82</t>
      </text>
    </comment>
    <comment ref="L20" authorId="0" shapeId="0">
      <text>
        <t>======
ID#AAABGxaTsPc
Diamond Tower DTW    (2024-02-23 19:09:46)
05/10/2023	PG.ALUGUEL NR. DOC: 2667 LOCAÇÃO IMPRESSORA ADMINISTRAÇÃO 09/2023 RUBENS FLAVIO ANDRADE VILLAR	- 223,82</t>
      </text>
    </comment>
    <comment ref="M20" authorId="0" shapeId="0">
      <text>
        <t>======
ID#AAABGxaTsU4
Diamond Tower DTW    (2024-02-23 20:19:41)
06/11/2023	PG.ALUGUEL NR. DOC: 2686 LOCAÇÃO IMPRESSORA ADMINISTRAÇÃO 10/2023 RUBENS FLAVIO ANDRADE VILLAR	- 223,82</t>
      </text>
    </comment>
    <comment ref="N20" authorId="0" shapeId="0">
      <text>
        <t>======
ID#AAABINBdlLw
Diamond Tower DTW    (2024-02-29 01:53:47)
05/12/2023	PG.ALUGUEL NR. DOC: 2705 LOCAÇÃO IMPRESSORA ADMINISTRAÇÃO 11/2023 RUBENS FLAVIO ANDRADE VILLAR	- 141,75</t>
      </text>
    </comment>
    <comment ref="E21" authorId="0" shapeId="0">
      <text>
        <t>======
ID#AAAAst4mPzI
Diamond Tower DTW    (2023-03-24 18:25:06)
01/03/2023	PG.MANUT.AR CONDICIONADO NF.: 2023126 CONTRATO BDS AR CONDICIONADOS LTDA	- 3.016,90
------
ID#AAAAst4mP0s
Diamond Tower DTW    (2023-03-24 18:46:25)
10/03/2023	PG.RETENCAO ISSQN NR. DOC: 2023126 V:01/03/2023 BDS AR CONDICIONADOS LTDA	- 166,96
------
ID#AAAAst4mP1o
Diamond Tower DTW    (2023-03-24 18:54:25)
10/03/2023	PG.RETENCAO ISSQN NR. DOC: 202380 V:13/02/2023 BDS AR CONDICIONADOS LTDA	- 27,90
------
ID#AAAAtki6H8M
Diamond Tower DTW    (2023-03-24 19:06:49)
20/03/2023	LEI 10833-RETENCAO NR. DOC: 202367 V:03/02/2023 BDS AR CONDICIONADOS LTDA	- 53,48
------
ID#AAAAtki6H8U
Diamond Tower DTW    (2023-03-24 19:07:23)
20/03/2023	LEI 10833-RETENCAO NR. DOC: 202380 V:13/02/2023 BDS AR CONDICIONADOS LTDA	- 25,95
------
ID#AAABICYYBjk
Diamond Tower DTW    (2024-03-01 13:41:32)
20/03/2023 PG. INSS/IRRF - FPM/TERCEIROS NR. DOC: 50000119201289 CP 02/2023 MINISTERIO DA PREVIDENCIA SOCIAL - 16.789,10</t>
      </text>
    </comment>
    <comment ref="F21" authorId="0" shapeId="0">
      <text>
        <t>======
ID#AAAAvxspad0
Diamond Tower DTW    (2023-05-03 00:33:18)
03/04/2023	PG.MANUT.AR CONDICIONADO NF.: 2023160 BDS AR CONDICIONADOS LTDA	- 3.016,90
------
ID#AAAAvxspagU
Diamond Tower DTW    (2023-05-03 00:54:01)
10/04/2023	PG.RETENCAO ISSQN NR. DOC: 2023160 V:03/04/2023 BDS AR CONDICIONADOS LTDA	- 166,96
------
ID#AAAAvxy9hcs
Diamond Tower DTW    (2023-05-03 02:07:33)
20/04/2023	LEI 10833-RETENCAO NR. DOC: 2023126 V:01/03/2023 BDS AR CONDICIONADOS LTDA	- 155,27</t>
      </text>
    </comment>
    <comment ref="G21" authorId="0" shapeId="0">
      <text>
        <t>======
ID#AAAA9vWEmgM
Diamond Tower DTW    (2024-01-04 00:47:31)
02/05/2023	PG.MANUT.AR CONDICIONADO NF.: 2023250 BDS AR CONDICIONADOS LTDA	- 3.016,90
------
ID#AAAA9vWEmio
Diamond Tower DTW    (2024-01-04 01:01:16)
10/05/2023	PG.RETENCAO ISSQN NR. DOC: 2023250 V:01/05/2023 BDS AR CONDICIONADOS LTDA	- 166,96
------
ID#AAAA9vWEmlM
Diamond Tower DTW    (2024-01-04 02:49:56)
19/05/2023	LEI 10833-RETENCAO NR. DOC: 2023160 V:03/04/2023 BDS AR CONDICIONADOS LTDA	- 155,27</t>
      </text>
    </comment>
    <comment ref="H21" authorId="0" shapeId="0">
      <text>
        <t>======
ID#AAABDsYHhwE
Diamond Tower DTW    (2024-01-05 13:37:56)
01/06/2023	PG.MANUT.AR CONDICIONADO NF.: 2023301 BDS AR CONDICIONADOS LTDA	- 3.016,90
------
ID#AAAA90-Waw4
Diamond Tower DTW    (2024-01-10 18:41:17)
12/06/2023	PG.RETENCAO ISSQN NR. DOC: 2023301 V:01/06/2023 BDS AR CONDICIONADOS LTDA	- 166,96
------
ID#AAAA90-WayQ
Diamond Tower DTW    (2024-01-10 18:56:55)
20/06/2023	LEI 10833-RETENCAO NR. DOC: 2023250 V:01/05/2023 BDS AR CONDICIONADOS LTDA	- 155,27</t>
      </text>
    </comment>
    <comment ref="I21" authorId="0" shapeId="0">
      <text>
        <t>======
ID#AAAA90-Wa1I
Diamond Tower DTW    (2024-01-10 20:28:06)
03/07/2023	PG.MANUT.AR CONDICIONADO NF.: 2023387 BDS AR CONDICIONADOS LTDA	- 3.016,90
------
ID#AAAA90-Wa28
Diamond Tower DTW    (2024-01-10 20:56:18)
10/07/2023	PG.RETENCAO ISSQN NR. DOC: 2023387 V:03/07/2023 BDS AR CONDICIONADOS LTDA	- 166,96
------
ID#AAAA90-Wa5U
Diamond Tower DTW    (2024-01-10 21:10:01)
20/07/2023	LEI 10833-RETENCAO NR. DOC: 2023301 V:01/06/2023 BDS AR CONDICIONADOS LTDA	- 155,27</t>
      </text>
    </comment>
    <comment ref="J21" authorId="0" shapeId="0">
      <text>
        <t>======
ID#AAABGvNN0yo
Diamond Tower DTW    (2024-02-20 19:45:53)
01/08/2023	PG.MANUT.GERAL NF.: 202334 REF. JULHO/2023 DUTENGE INSTALACAO E MANUTENCAO LTDA	- 3.262,34
------
ID#AAABGvXDqZg
Diamond Tower DTW    (2024-02-20 22:37:53)
10/08/2023	PG.RETENCAO ISSQN NR. DOC: 202334 V:01/08/2023 DUTENGE INSTALACAO E MANUTENCAO LTDA	- 76,80
------
ID#AAABGvXDqao
Diamond Tower DTW    (2024-02-20 23:00:19)
18/08/2023	LEI 10833-RETENCAO NR. DOC: 2023387 V:03/07/2023 BDS AR CONDICIONADOS LTDA	- 155,27</t>
      </text>
    </comment>
    <comment ref="K21" authorId="0" shapeId="0">
      <text>
        <t>======
ID#AAABHLHYnjg
Diamond Tower DTW    (2024-02-22 22:48:09)
01/09/2023	PG.MANUT.AR CONDICIONADO NF.: 202358 REF.08/2023 DUTENGE INSTALACAO E MANUTENCAO LTDA	- 3.262,34
------
ID#AAABHLDlA2E
Diamond Tower DTW    (2024-02-23 00:04:40)
11/09/2023	PG.RETENCAO ISSQN NR. DOC: 202358 V:01/09/2023 DUTENGE INSTALACAO E MANUTENCAO LTDA	- 76,80</t>
      </text>
    </comment>
    <comment ref="L21" authorId="0" shapeId="0">
      <text>
        <t>======
ID#AAABGxaTsPA
Diamond Tower DTW    (2024-02-23 19:07:43)
02/10/2023	PG.MANUT.AR CONDICIONADO NF.: 2023108 REF.09/2023 DUTENGE INSTALACAO E MANUTENCAO LTDA	- 3.251,65
------
ID#AAABGxaTsQA
Diamond Tower DTW    (2024-02-23 19:14:37)
10/10/2023	PG.RETENCAO ISSQN NR. DOC: 2023108 V:01/10/2023 DUTENGE INSTALACAO E MANUTENCAO LTDA	- 87,49</t>
      </text>
    </comment>
    <comment ref="M21" authorId="0" shapeId="0">
      <text>
        <t>======
ID#AAABGxaTsUQ
Diamond Tower DTW    (2024-02-23 20:12:21)
01/11/2023	PG.MANUT.AR CONDICIONADO NF.: 2023169 REF.10/2023 DUTENGE INSTALACAO E MANUTENCAO LTDA	- 3.240,30
------
ID#AAABGxaTsVY
Diamond Tower DTW    (2024-02-23 20:24:45)
10/11/2023	PG.RETENCAO ISSQN NR. DOC: 2023169 V:01/11/2023 DUTENGE INSTALACAO E MANUTENCAO LTDA	- 98,84</t>
      </text>
    </comment>
    <comment ref="N21" authorId="0" shapeId="0">
      <text>
        <t>======
ID#AAABINBdlLY
Diamond Tower DTW    (2024-02-29 01:48:48)
01/12/2023	PG.MANUT.AR CONDICIONADO NF.: 33 REF.11/2023 DUTENGE INSTALACAO E MANUTENCAO LTDA	- 3.220,93
------
ID#AAABINBdlOY
Diamond Tower DTW    (2024-02-29 02:38:27)
11/12/2023	PG.RETENCAO ISSQN NR. DOC: 33 V:01/12/2023 DUTENGE INSTALACAO E MANUTENCAO LTDA	- 118,21</t>
      </text>
    </comment>
    <comment ref="O21" authorId="0" shapeId="0">
      <text>
        <t>======
ID#AAABIAn-GPE
Diamond Tower DTW    (2024-02-29 03:02:38)
02/01/2024	PG.MANUT.AR CONDICIONADO NF.: 89 REF.12/2023 DUTENGE INSTALACAO E MANUTENCAO LTDA	- 3.205,24
------
ID#AAABIAn-GQ8
Diamond Tower DTW    (2024-02-29 03:43:58)
0/01/2024	PG.RETENCAO ISSQN NR. DOC: 89 V:02/01/2024 DUTENGE INSTALACAO E MANUTENCAO LTDA	- 133,90</t>
      </text>
    </comment>
    <comment ref="P21" authorId="0" shapeId="0">
      <text>
        <t>======
ID#AAABI8VpC0k
Diamond Tower DTW    (2024-03-07 19:19:49)
01/02/2024	PG.MANUT.AR CONDICIONADO NF.: 170 REF.01/2024 DUTENGE INSTALACAO E MANUTENCAO LTDA	- 3.315,52
------
ID#AAABI8VpC2Q
Diamond Tower DTW    (2024-03-07 19:37:05)
14/02/2024	PG.RETENCAO ISSQN NR. DOC: 170 V:01/02/2024 DUTENGE INSTALACAO E MANUTENCAO LTDA	- 147,16</t>
      </text>
    </comment>
    <comment ref="Q21" authorId="0" shapeId="0">
      <text>
        <t>======
ID#AAABJB7AmHI
Diamond Tower DTW    (2024-03-11 01:28:01)
01/03/2024	PG.MANUT.AR CONDICIONADO NF.: 213 REF.02/2024 DUTENGE INSTALACAO E MANUTENCAO LTDA	- 3.309,98
------
ID#AAABJMHUnFA
Diamond Tower DTW    (2024-03-14 21:11:24)
11/03/2024	PG.RETENCAO ISSQN NR. DOC: 213 V:01/03/2024 DUTENGE INSTALACAO E MANUTENCAO LTDA	- 152,70</t>
      </text>
    </comment>
    <comment ref="E22" authorId="0" shapeId="0">
      <text>
        <t>======
ID#AAAAst4mPzw
Diamond Tower DTW    (2023-03-24 18:27:38)
06/03/2023	MANUT. SISTEMAS DE SEGURANÇA NF.: 202314 RUBENS FLAVIO ANDRADE VILLAR	- 3.437,79
------
ID#AAAAst4mP0w
Diamond Tower DTW    (2023-03-24 18:46:38)
10/03/2023	PG.RETENCAO ISSQN NR. DOC: 202314 V:06/03/2023 RUBENS FLAVIO ANDRADE VILLAR	- 98,67
------
ID#AAAAst4mP04
Diamond Tower DTW    (2023-03-24 18:47:13)
10/03/2023	PG.RETENCAO ISSQN NR. DOC: 202322 V:15/02/2023 RUBENS FLAVIO ANDRADE VILLAR	- 11,16</t>
      </text>
    </comment>
    <comment ref="F22" authorId="0" shapeId="0">
      <text>
        <t>======
ID#AAAAvxspaeg
Diamond Tower DTW    (2023-05-03 00:40:49)
05/04/2023	MANUT. SISTEMAS DE SEGURANÇA NF.: 202331 RUBENS FLAVIO ANDRADE VILLAR	- 3.437,79
------
ID#AAAAvxspagg
Diamond Tower DTW    (2023-05-03 00:56:58)
0/04/2023	PG.RETENCAO ISSQN NR. DOC: 202331 V:05/04/2023 RUBENS FLAVIO ANDRADE VILLAR	- 98,67
------
ID#AAAAvxspaiQ
Diamond Tower DTW    (2023-05-03 01:01:46)
10/04/2023	PG.RETENCAO ISSQN NR. DOC: 202338 V:15/03/2023 RUBENS FLAVIO ANDRADE VILLAR	- 11,16
------
ID#AAAAvxbhvh0
Diamond Tower DTW    (2023-05-03 02:04:44)
17/04/2023	PG.MANUT.GERAL NF.: 202350 50 ACESSSOS AO PORTAL SAFE ACESS - REF.03/2023 RUBENS FLAVIO ANDRADE VILLAR	- 972,10</t>
      </text>
    </comment>
    <comment ref="G22" authorId="0" shapeId="0">
      <text>
        <t>======
ID#AAAA9vWEmg0
Diamond Tower DTW    (2024-01-04 00:52:32)
05/05/2023	PG.MANUT.GERAL NF.: 202343 MANUTENÇÃO PREVENTIVA E CORRETIVA RUBENS FLAVIO ANDRADE VILLAR	- 3.437,79
------
ID#AAAA9vWEmis
Diamond Tower DTW    (2024-01-04 01:01:53)
10/05/2023	PG.RETENCAO ISSQN NR. DOC: 202343 V:05/05/2023 RUBENS FLAVIO ANDRADE VILLAR	- 98,67
------
ID#AAAA9vWEmi0
Diamond Tower DTW    (2024-01-04 01:02:39)
10/05/2023	PG.RETENCAO ISSQN NR. DOC: 202350 V:17/04/2023 RUBENS FLAVIO ANDRADE VILLAR	- 27,90
------
ID#AAAA9vWEmjg
Diamond Tower DTW    (2024-01-04 01:58:55)
15/05/2023	PG.MANUT.GERAL NF.: 202367 RUBENS FLAVIO ANDRADE VILLAR	- 972,10
------
ID#AAABIcFJebs
Diamond Tower DTW    (2024-03-01 17:34:38)
19/05/2023	PG. INSS/IRRF - FPM/TERCEIROS NR. DOC: 50000132622219 CP 04/2023 MINISTERIO DA PREVIDENCIA SOCIAL	- 18.852,17</t>
      </text>
    </comment>
    <comment ref="H22" authorId="0" shapeId="0">
      <text>
        <t>======
ID#AAAA90-Wau4
Diamond Tower DTW    (2024-01-10 18:16:28)
05/06/2023	PG.MANUT.GERAL NF.: 202360 CFTV RUBENS FLAVIO ANDRADE VILLAR	- 3.437,79
------
ID#AAAA90-Waw8
Diamond Tower DTW    (2024-01-10 18:41:30)
12/06/2023	PG.RETENCAO ISSQN NR. DOC: 202360 V:05/06/2023 RUBENS FLAVIO ANDRADE VILLAR	- 98,67
------
ID#AAAA90-WaxA
Diamond Tower DTW    (2024-01-10 18:41:51)
12/06/2023	PG.RETENCAO ISSQN NR. DOC: 202367 V:15/05/2023 RUBENS FLAVIO ANDRADE VILLAR	- 27,90
------
ID#AAAA90-Wax4
Diamond Tower DTW    (2024-01-10 18:53:26)
15/06/2023	PG.MANUT.GERAL NF.: 202386 50 ACESSSOS PORTÃO SAFE ACCESS - REF. MAIO/2023 RUBENS FLAVIO ANDRADE VILLAR	- 972,10
------
ID#AAAA90-WayE
Diamond Tower DTW    (2024-01-10 18:55:08)
16/06/2023	PG.COMPRA MATERIAL NF.: 895 MANUT. DE PEÇA (INJETOR DE POE)CAMERA ELEVADOR 3 RUBENS FLAVIO ANDRADE VILLAR	- 105,00</t>
      </text>
    </comment>
    <comment ref="I22" authorId="0" shapeId="0">
      <text>
        <t>======
ID#AAAA90-Wa1s
Diamond Tower DTW    (2024-01-10 20:40:53)
05/07/2023	MANUT. SISTEMAS DE SEGURANÇA NF.: 202379 06/2023 RUBENS FLAVIO ANDRADE VILLAR	- 3.437,79
------
ID#AAAA90-Wa2Q
Diamond Tower DTW    (2024-01-10 20:52:58)
07/07/2023	PG. MAT. SISTEMAS DE SEGURANÇA NF.: 906 AQUISIÇÃO TROCA CAMERA ELEVADOR 4 Parc.(1/2) RUBENS FLAVIO ANDRADE VILLAR	- 369,50
------
ID#AAAA90-Wa3E
Diamond Tower DTW    (2024-01-10 20:56:42)
10/07/2023	PG.RETENCAO ISSQN NR. DOC: 202379 V:05/07/2023 RUBENS FLAVIO ANDRADE VILLAR	- 98,67
------
ID#AAAA90-Wa3Q
Diamond Tower DTW    (2024-01-10 20:57:17)
10/07/2023	PG.RETENCAO ISSQN NR. DOC: 202386 V:15/06/2023 RUBENS FLAVIO ANDRADE VILLAR	- 27,90
------
ID#AAAA90-Wa4s
Diamond Tower DTW    (2024-01-10 21:07:03)
17/07/2023	PG.SERV.PRESTADOS NF.: 2023102 50 ACESSOS AO PORTAL SAFE ACESS REF. 06/2023 RUBENS FLAVIO ANDRADE VILLAR	- 972,10
------
ID#AAAA90-Wa6g
Diamond Tower DTW    (2024-01-10 21:16:15)
28/07/2023	PG. MAT. SISTEMAS DE SEGURANÇA NF.: 906 AQUISIÇÃO TROCA CAMERA ELEVADOR 4 Parc.(2/2) RUBENS FLAVIO ANDRADE VILLAR	- 369,50
------
ID#AAABI6mfzmA
Diamond Tower DTW    (2024-03-07 14:05:58)
20/07/2023	PG. INSS/IRRF - FPM/TERCEIROS NR. DOC: 50000147535045 CP 06/2023 MINISTERIO DA PREVIDENCIA SOCIAL	- 17.832,61	-	+ 381.574,45</t>
      </text>
    </comment>
    <comment ref="J22" authorId="0" shapeId="0">
      <text>
        <t>======
ID#AAABGvTkl64
Diamond Tower DTW    (2024-02-20 20:12:30)
07/08/2023	MANUT. SISTEMAS DE SEGURANÇA NF.: 202395 07/2023 RUBENS FLAVIO ANDRADE VILLAR	- 3.437,79
------
ID#AAABGvXDqX0
Diamond Tower DTW    (2024-02-20 21:49:42)
10/08/2023	PG.RETENCAO ISSQN NR. DOC: 2023102 V:17/07/2023 RUBENS FLAVIO ANDRADE VILLAR	- 27,90
------
ID#AAABGvXDqZo
Diamond Tower DTW    (2024-02-20 22:39:16)
10/08/2023	PG.RETENCAO ISSQN NR. DOC: 202395 V:07/08/2023 RUBENS FLAVIO ANDRADE VILLAR	- 98,67
------
ID#AAABGvXDqaQ
Diamond Tower DTW    (2024-02-20 22:57:03)
15/08/2023	PG.SERV.PRESTADOS NF.: 2023116 50 ACESSOS AO PORTAL SAFE ACESS - REF.JULHO/2023 RUBENS FLAVIO ANDRADE VILLAR	- 972,10</t>
      </text>
    </comment>
    <comment ref="K22" authorId="0" shapeId="0">
      <text>
        <t>======
ID#AAABHLHYnj4
Diamond Tower DTW    (2024-02-22 22:52:47)
05/09/2023	MANUT. SISTEMAS DE SEGURANÇA NF.: 2023109 08/2023 RUBENS FLAVIO ANDRADE VILLAR	- 3.437,79
------
ID#AAABHLKhPxs
Diamond Tower DTW    (2024-02-22 23:06:52)
11/09/2023	PG.RETENCAO ISSQN NR. DOC: 2023109 V:05/09/2023 RUBENS FLAVIO ANDRADE VILLAR	- 98,67
------
ID#AAABHLNUEQI
Diamond Tower DTW    (2024-02-22 23:13:58)
11/09/2023	PG.RETENCAO ISSQN NR. DOC: 2023116 V:15/08/2023 RUBENS FLAVIO ANDRADE VILLAR	- 27,90
------
ID#AAABHLDlA2g
Diamond Tower DTW    (2024-02-23 00:07:24)
15/09/2023	PG.SERV.PRESTADOS NF.: 2023128 50 ACESSOS AO PORTAL SAFE ACCESS P/ USO DE QRCODE RUBENS FLAVIO ANDRADE VILLAR	- 972,10</t>
      </text>
    </comment>
    <comment ref="L22" authorId="0" shapeId="0">
      <text>
        <t>======
ID#AAABGxaTsPY
Diamond Tower DTW    (2024-02-23 19:09:24)
05/10/2023	MANUT. SISTEMAS DE SEGURANÇA NF.: 2023121 09/2023 RUBENS FLAVIO ANDRADE VILLAR	- 3.437,79
------
ID#AAABGxaTsQE
Diamond Tower DTW    (2024-02-23 19:14:49)
10/10/2023	PG.RETENCAO ISSQN NR. DOC: 2023121 V:05/10/2023 RUBENS FLAVIO ANDRADE VILLAR	- 98,67
------
ID#AAABGxaTsQI
Diamond Tower DTW    (2024-02-23 19:15:08)
10/10/2023	PG.RETENCAO ISSQN NR. DOC: 2023128 V:15/09/2023 RUBENS FLAVIO ANDRADE VILLAR	- 27,90
------
ID#AAABGxaTsRs
Diamond Tower DTW    (2024-02-23 19:33:39)
16/10/2023	PG.SERV.PRESTADOS NF.: 2023142 50 ACESSOS AO PORTAL SAFE ACCESS REF. SET/2023 RUBENS FLAVIO ANDRADE VILLAR	- 972,10</t>
      </text>
    </comment>
    <comment ref="M22" authorId="0" shapeId="0">
      <text>
        <t>======
ID#AAABGxaTsUw
Diamond Tower DTW    (2024-02-23 20:19:12)
06/11/2023	MANUT. SISTEMAS DE SEGURANÇA NF.: 2023135 10/2023 RUBENS FLAVIO ANDRADE VILLAR	- 3.437,79
------
ID#AAABGxaTsVQ
Diamond Tower DTW    (2024-02-23 20:23:46)
10/11/2023	PG.RETENCAO ISSQN NR. DOC: 2023135 V:06/11/2023 RUBENS FLAVIO ANDRADE VILLAR	- 98,67
------
ID#AAABGxaTsVU
Diamond Tower DTW    (2024-02-23 20:24:35)
10/11/2023	PG.RETENCAO ISSQN NR. DOC: 2023142 V:16/10/2023 RUBENS FLAVIO ANDRADE VILLAR	- 27,90
------
ID#AAABGxaTsWk
Diamond Tower DTW    (2024-02-23 20:39:50)
4/11/2023	PG.MANUT.GERAL NF.: 31 MANUTENÇÃO COMPUTADOR RECEPÇÃO RAFAEL BANALETTI GUARCHE	- 260,00
------
ID#AAABGxaTsW8
Diamond Tower DTW    (2024-02-23 20:41:25)
16/11/2023	PG.SERV.PRESTADOS NF.: 10 50 ACESSOS AO PORTAL SAFE ACCESS REF. OUT/2023 RUBENS FLAVIO ANDRADE VILLAR	- 615,66
------
ID#AAABI7fnF4U
Diamond Tower DTW    (2024-03-07 17:48:53)
20/11/2023	PG. INSS/IRRF - FPM/TERCEIROS NR. DOC: 50000178912883 MINISTERIO DA PREVIDENCIA SOCIAL	- 10.903,40</t>
      </text>
    </comment>
    <comment ref="N22" authorId="0" shapeId="0">
      <text>
        <t>======
ID#AAABINBdlLs
Diamond Tower DTW    (2024-02-29 01:53:29)
05/12/2023	MANUT. SISTEMAS DE SEGURANÇA NF.: 2 11/2023 RUBENS FLAVIO ANDRADE VILLAR	- 2.177,26
------
ID#AAABINBdlNs
Diamond Tower DTW    (2024-02-29 02:28:46)
11/12/2023	PG.RETENCAO ISSQN NR. DOC: 10 V:16/11/2023 RUBENS FLAVIO ANDRADE VILLAR	- 17,67
------
ID#AAABINBdlOQ
Diamond Tower DTW    (2024-02-29 02:35:42)
11/12/2023	PG.RETENCAO ISSQN NR. DOC: 2 V:05/12/2023 RUBENS FLAVIO ANDRADE VILLAR	- 62,49</t>
      </text>
    </comment>
    <comment ref="E23" authorId="0" shapeId="0">
      <text>
        <t>======
ID#AAAAst4mP1A
Diamond Tower DTW    (2023-03-24 18:47:46)
10/03/2023	PG.RETENCAO ISSQN NR. DOC: 20232591 V:28/02/2023 ELEVADORES ATLAS SCHINDLER S/A	- 439,98
------
ID#AAAAtki6H8I
Diamond Tower DTW    (2023-03-24 19:06:36)
20/03/2023	LEI 10833-RETENCAO NR. DOC: 20232591 V:28/02/2023 ELEVADORES ATLAS SCHINDLER S/A	- 409,18
------
ID#AAAAvxhdLw4
Diamond Tower DTW    (2023-05-02 20:19:38)
31/03/23 PG.MANUT.ELEVADOR NF.: 20234738 03/2023 ELEVADORES ATLAS SCHINDLER S/A - 7.950,43</t>
      </text>
    </comment>
    <comment ref="F23" authorId="0" shapeId="0">
      <text>
        <t>======
ID#AAAAvxbhvgY
Diamond Tower DTW    (2023-05-03 01:51:45)
10/04/2023	PG.RETENCAO ISSQN NR. DOC: 20234738 V:31/03/2023 ELEVADORES ATLAS SCHINDLER S/A	- 439,98
------
ID#AAAAvxy9hc0
Diamond Tower DTW    (2023-05-03 02:08:04)
20/04/2023	LEI 10833-RETENCAO NR. DOC: 20234738 V:31/03/2023 ELEVADORES ATLAS SCHINDLER S/A	- 409,18
------
ID#AAAAvxy9heQ
Diamond Tower DTW    (2023-05-03 02:19:21)
28/04/2023	PG.MANUT.ELEVADOR NF.: 20237514 04/2023 ELEVADORES ATLAS SCHINDLER S/A	- 7.950,43</t>
      </text>
    </comment>
    <comment ref="G23" authorId="0" shapeId="0">
      <text>
        <t>======
ID#AAAA9vWEmi4
Diamond Tower DTW    (2024-01-04 01:02:58)
10/05/2023	PG.RETENCAO ISSQN NR. DOC: 20237514 V:28/04/2023 ELEVADORES ATLAS SCHINDLER S/A	- 439,98
------
ID#AAAA9vWEmlY
Diamond Tower DTW    (2024-01-04 02:51:32)
19/05/2023	LEI 10833-RETENCAO NR. DOC: 20237514 V:28/04/2023 ELEVADORES ATLAS SCHINDLER S/A	- 409,18
------
ID#AAABDrIQ9W0
Diamond Tower DTW    (2024-01-04 17:16:34)
31/05/2023	PG.MANUT.ELEVADOR NF.: 20238791 05/2023 ELEVADORES ATLAS SCHINDLER S/A	- 7.950,43</t>
      </text>
    </comment>
    <comment ref="H23" authorId="0" shapeId="0">
      <text>
        <t>======
ID#AAAA90-WawQ
Diamond Tower DTW    (2024-01-10 18:37:43)
12/06/2023	PG.RETENCAO ISSQN NR. DOC: 10619 PREFEITURA DE PORTO ALEGRE	- 43,43
------
ID#AAAA90-WaxE
Diamond Tower DTW    (2024-01-10 18:42:10)
12/06/2023	PG.RETENCAO ISSQN NR. DOC: 20238791 V:31/05/2023 ELEVADORES ATLAS SCHINDLER S/A	- 439,98
------
ID#AAAA90-WayU
Diamond Tower DTW    (2024-01-10 18:57:18)
20/06/2023	LEI 10833-RETENCAO NR. DOC: 20238791 V:31/05/2023 ELEVADORES ATLAS SCHINDLER S/A	- 409,18
------
ID#AAAA90-WazU
Diamond Tower DTW    (2024-01-10 19:56:27)
26/06/2023	PG.REF.ELEVADOR NF.: 202310619 ELEVADORES ATLAS SCHINDLER S/A	- 784,86
------
ID#AAAA90-Wa0I
Diamond Tower DTW    (2024-01-10 20:07:31)
30/06/2023	PG.MANUT.ELEVADOR NF.: 202310914 06/2023 ELEVADORES ATLAS SCHINDLER S/A	- 7.950,43
------
ID#AAABIcFJecM
Diamond Tower DTW    (2024-03-01 17:47:30)
19/05/2023	PG. INSS/IRRF - FPM/TERCEIROS NR. DOC: 50000132622219 CP 04/2023 MINISTERIO DA PREVIDENCIA SOCIAL	- 18.852,17</t>
      </text>
    </comment>
    <comment ref="I23" authorId="0" shapeId="0">
      <text>
        <t>======
ID#AAAA90-Wa2g
Diamond Tower DTW    (2024-01-10 20:54:06)
10/07/2023	PG.RETENCAO ISSQN NR. DOC: 202310914 V:30/06/2023 ELEVADORES ATLAS SCHINDLER S/A	- 439,98
------
ID#AAAA90-Wa5E
Diamond Tower DTW    (2024-01-10 21:08:10)
20/07/2023	LEI 10833-RETENCAO NR. DOC: 202310619 V:26/06/2023 ELEVADORES ATLAS SCHINDLER S/A	- 40,39
------
ID#AAAA90-Wa5I
Diamond Tower DTW    (2024-01-10 21:08:16)
20/07/2023	LEI 10833-RETENCAO NR. DOC: 202310914 V:30/06/2023 ELEVADORES ATLAS SCHINDLER S/A	- 409,18
------
ID#AAABI6uuxBo
Diamond Tower DTW    (2024-03-07 16:40:14)
20/07/2023	PG. INSS/IRRF - FPM/TERCEIROS NR. DOC: 50000147535045 CP 06/2023 MINISTERIO DA PREVIDENCIA SOCIAL	- 17.832,61</t>
      </text>
    </comment>
    <comment ref="J23" authorId="0" shapeId="0">
      <text>
        <t>======
ID#AAABGvXDqX4
Diamond Tower DTW    (2024-02-20 21:49:56)
10/08/2023	PG.RETENCAO ISSQN NR. DOC: 202314882 V:31/07/2023 ELEVADORES ATLAS SCHINDLER S/A	- 439,98
------
ID#AAABGvXDqag
Diamond Tower DTW    (2024-02-20 22:59:46)
8/08/2023	LEI 10833-RETENCAO NR. DOC: 202314882 V:31/07/2023 ELEVADORES ATLAS SCHINDLER S/A	- 409,18
------
ID#AAABHLHYnjM
Diamond Tower DTW    (2024-02-22 22:27:09)
31/08/2023	PG.MANUT.ELEVADOR NF.: 202315905 08/2023 ELEVADORES ATLAS SCHINDLER S/A	- 7.950,43</t>
      </text>
    </comment>
    <comment ref="K23" authorId="0" shapeId="0">
      <text>
        <t>======
ID#AAABHLKhPxg
Diamond Tower DTW    (2024-02-22 23:05:50)
11/09/2023	PG.RETENCAO ISSQN NR. DOC: 17236 PREFEITURA DE PORTO ALEGRE	- 16,89
------
ID#AAABHLKhPxk
Diamond Tower DTW    (2024-02-22 23:06:22)
11/09/2023	PG.RETENCAO ISSQN NR. DOC: 17349 PREFEITURA DE PORTO ALEGRE	- 15,11
------
ID#AAABHLKhPxo
Diamond Tower DTW    (2024-02-22 23:06:40)
11/09/2023	PG.RETENCAO ISSQN NR. DOC: 17599 PREFEITURA DE PORTO ALEGRE	- 75,54
------
ID#AAABHLNUEQU
Diamond Tower DTW    (2024-02-22 23:15:03)
11/09/2023	PG.RETENCAO ISSQN NR. DOC: 202315905 V:31/08/2023 ELEVADORES ATLAS SCHINDLER S/A	- 439,98
------
ID#AAABHLDlA2w
Diamond Tower DTW    (2024-02-23 00:08:27)
19/09/2023	LEI 10833-RETENCAO NR. DOC: 202315905 V:31/08/2023 ELEVADORES ATLAS SCHINDLER S/A	- 409,18
------
ID#AAABGxaTsOY
Diamond Tower DTW    (2024-02-23 18:44:27)
29/09/2023	PG.MANUT.ELEVADOR NF.: 202318108 09/2023 ELEVADORES ATLAS SCHINDLER S/A	- 7.950,43</t>
      </text>
    </comment>
    <comment ref="L23" authorId="0" shapeId="0">
      <text>
        <t>======
ID#AAABGxaTsQM
Diamond Tower DTW    (2024-02-23 19:15:20)
10/10/2023	PG.RETENCAO ISSQN NR. DOC: 202318108 V:29/09/2023 ELEVADORES ATLAS SCHINDLER S/A	- 439,98
------
ID#AAABGxaTsSI
Diamond Tower DTW    (2024-02-23 19:38:17)
20/10/2023	LEI 10833-RETENCAO NR. DOC: 202317236 V:25/09/2023 ELEVADORES ATLAS SCHINDLER S/A	- 15,71
------
ID#AAABGxaTsSM
Diamond Tower DTW    (2024-02-23 19:38:26)
20/10/2023	LEI 10833-RETENCAO NR. DOC: 202317599 V:25/09/2023 ELEVADORES ATLAS SCHINDLER S/A	- 70,25
------
ID#AAABGxaTsSU
Diamond Tower DTW    (2024-02-23 19:42:59)
20/10/2023	LEI 10833-RETENCAO NR. DOC: 202318108 V:29/09/2023 ELEVADORES ATLAS SCHINDLER S/A	- 409,18
------
ID#AAABGxaTsUE
Diamond Tower DTW    (2024-02-23 20:02:55)
31/10/2023	PG.MANUT.ELEVADOR NF.: 202321444 10/2023 ELEVADORES ATLAS SCHINDLER S/A	- 7.950,43</t>
      </text>
    </comment>
    <comment ref="M23" authorId="0" shapeId="0">
      <text>
        <t>======
ID#AAABGxaTsWA
Diamond Tower DTW    (2024-02-23 20:30:26)
10/11/2023	PG.RETENCAO ISSQN NR. DOC: 21795 PREFEITURA DE PORTO ALEGRE	- 2,02
------
ID#AAABGxaTsWE
Diamond Tower DTW    (2024-02-23 20:31:04)
10/11/2023	PG.RETENCAO ISSQN NR. DOC: 22132 PREFEITURA DE PORTO ALEGRE	- 24,75
------
ID#AAABGxaTsXM
Diamond Tower DTW    (2024-02-23 20:42:29)
20/11/2023	LEI 10833-RETENCAO NR. DOC: 202321444 V:31/10/2023 ELEVADORES ATLAS SCHINDLER S/A	- 409,18
------
ID#AAABGxaTsYA
Diamond Tower DTW    (2024-02-23 20:55:22)
27/11/2023	PG. ELEVADOR PECAS NF.: 202321795 ELEVADORES ATLAS SCHINDLER S/A	- 38,46
------
ID#AAABGxaTsYs
Diamond Tower DTW    (2024-02-23 21:00:55)
30/11/2023	PG.MANUT.ELEVADOR NF.: 202323505 11/2023 ELEVADORES ATLAS SCHINDLER S/A	- 7.950,43
------
ID#AAABI7fnF4g
Diamond Tower DTW    (2024-03-07 17:50:32)
20/11/2023	PG. INSS/IRRF - FPM/TERCEIROS NR. DOC: 50000178912883 MINISTERIO DA PREVIDENCIA SOCIAL	- 10.903,40</t>
      </text>
    </comment>
    <comment ref="N23" authorId="0" shapeId="0">
      <text>
        <t>======
ID#AAABINBdlN4
Diamond Tower DTW    (2024-02-29 02:29:59)
11/12/2023	PG.RETENCAO ISSQN NR. DOC: 202323505 V:30/11/2023 ELEVADORES ATLAS SCHINDLER S/A	- 439,98
------
ID#AAABIAn-GNA
Diamond Tower DTW    (2024-02-29 02:44:34)
20/12/2023	LEI 10833-RETENCAO NR. DOC: 202323505 V:30/11/2023 ELEVADORES ATLAS SCHINDLER S/A	- 409,18
------
ID#AAABIAn-GOg
Diamond Tower DTW    (2024-02-29 02:57:15)
28/12/2023	PG.MANUT.ELEVADOR NF.: 202325767 12/2023 ELEVADORES ATLAS SCHINDLER S/A	- 8.333,70
------
ID#AAABI8UM6XU
Diamond Tower DTW    (2024-03-07 18:34:34)
20/12/2023	PG. INSS/IRRF - FPM/TERCEIROS NR. DOC: 50000188074409 CP. 11/2023 MINISTERIO DA PREVIDENCIA SOCIAL	- 14.231,75</t>
      </text>
    </comment>
    <comment ref="O23" authorId="0" shapeId="0">
      <text>
        <t>======
ID#AAABIAn-GQY
Diamond Tower DTW    (2024-02-29 03:28:02)
10/01/2024	PG.RETENCAO ISSQN NR. DOC: 202325767 V:28/12/2023 ELEVADORES ATLAS SCHINDLER S/A	- 461,19
------
ID#AAABIAn-GQ0
Diamond Tower DTW    (2024-02-29 03:29:29)
10/01/2024	PG.RETENCAO ISSQN NR. DOC: 5647 ELEVADORES ATLAS SCHINDLER S/A	- 16,84
------
ID#AAABIAn-GSI
Diamond Tower DTW    (2024-02-29 03:49:33)
19/01/2024	LEI 10833-RETENCAO NR. DOC: 202325767 V:28/12/2023 ELEVADORES ATLAS SCHINDLER S/A	- 428,91</t>
      </text>
    </comment>
    <comment ref="P23" authorId="0" shapeId="0">
      <text>
        <t>======
ID#AAABIwqyk4M
Diamond Tower DTW    (2024-03-08 18:17:02)
14/02/2024	PG.RETENCAO ISSQN NR. DOC: 458 PREFEITURA DE PORTO ALEGRE	- 461,19</t>
      </text>
    </comment>
    <comment ref="Q23" authorId="0" shapeId="0">
      <text>
        <t>======
ID#AAABJMHUnFM
Diamond Tower DTW    (2024-03-14 21:12:25)
11/03/2024	PG.RETENCAO ISSQN NR. DOC: 2652 PREFEITURA DE PORTO ALEGRE	- 461,19</t>
      </text>
    </comment>
    <comment ref="E24" authorId="0" shapeId="0">
      <text>
        <t>======
ID#AAAAst4mPzU
Diamond Tower DTW    (2023-03-24 18:25:51)
01/03/2023	PG.SERVICOS LIMPEZA NF.: 202323 LIMP EXTERNA DE VIDROS ALTITUDE - TRABALHO E RESGATE EM ALTURA	- 5.130,00
------
ID#AAAAst4mP08
Diamond Tower DTW    (2023-03-24 18:47:27)
10/03/2023	PG.RETENCAO ISSQN NR. DOC: 202323 V:01/03/2023 ALTITUDE - TRABALHO E RESGATE EM ALTURA	- 210,00
------
ID#AAAAvw2gdfM
Diamond Tower DTW    (2023-05-02 18:48:17)
01/03/23 TARIFA PIX NR. DOC: 202323 ALTITUDE - TRABALHO E RESGATE EM ALTURA - 2,49 -
------
ID#AAAAvxhdLvM
Diamond Tower DTW    (2023-05-02 19:27:32)
1162CP PATRONAL - RETENÇÃO LEI 9.711/98660,00660,00 01 CP PATRONAL - RETENÇÃO LEI 9.711/98 PA:02/2023 Vencimento:20/03/2023 CNPJ Prestador:03.967.294/0001-13</t>
      </text>
    </comment>
    <comment ref="F24" authorId="0" shapeId="0">
      <text>
        <t>======
ID#AAAAvxspad8
Diamond Tower DTW    (2023-05-03 00:33:55)
03/04/2023	PG.SERVICOS LIMPEZA NF.: 202330 DA FACHADA REF.02/2023 ALTITUDE - TRABALHO E RESGATE EM ALTURA	- 5.130,00
------
ID#AAAAvxspagc
Diamond Tower DTW    (2023-05-03 00:54:42)
10/04/2023	PG.RETENCAO ISSQN NR. DOC: 202330 V:01/04/2023 ALTITUDE - TRABALHO E RESGATE EM ALTURA	- 210,00
------
ID#AAAAvxy9hdQ
Diamond Tower DTW    (2023-05-03 02:12:05)
1162 CP PATRONAL - RETENÇÃO LEI 9.711/98 660,00 660,00
01 CP PATRONAL - RETENÇÃO LEI 9.711/98
PA:03/2023 Vencimento:20/04/2023
CNPJ Prestador:03.967.294/0001-13</t>
      </text>
    </comment>
    <comment ref="G24" authorId="0" shapeId="0">
      <text>
        <t>======
ID#AAAA9vWEmgY
Diamond Tower DTW    (2024-01-04 00:48:31)
02/05/2023	PG.SERVICOS LIMPEZA NF.: 202347 DA FACHADA REF.03/2023 ALTITUDE - TRABALHO E RESGATE EM ALTURA	- 5.130,00
------
ID#AAAA9vWEmiw
Diamond Tower DTW    (2024-01-04 01:02:06)
10/05/2023	PG.RETENCAO ISSQN NR. DOC: 202347 V:01/05/2023 ALTITUDE - TRABALHO E RESGATE EM ALTURA	- 210,00
------
ID#AAABDrIQ9Xc
Diamond Tower DTW    (2024-01-04 18:48:42)
19/05/2023	PG. INSS/IRRF - FPM/TERCEIROS NR. DOC: 50000132622219 CP 04/2023 MINISTERIO DA PREVIDENCIA SOCIAL	- 18.852,17</t>
      </text>
    </comment>
    <comment ref="M24" authorId="0" shapeId="0">
      <text>
        <t>======
ID#AAABGxaTsVg
Diamond Tower DTW    (2024-02-23 20:25:52)
10/11/2023	PG.RETENCAO ISSQN NR. DOC: 202321444 V:31/10/2023 ELEVADORES ATLAS SCHINDLER S/A	- 439,98</t>
      </text>
    </comment>
    <comment ref="N24" authorId="0" shapeId="0">
      <text>
        <t>======
ID#AAABIAn-GOw
Diamond Tower DTW    (2024-02-29 02:59:51)
29/12/2023	PG.MANUT.GERAL NF.: 3 CLIMBER ROBOTICS MANUTENCAO PREDIAL LTDA	- 10.440,00
------
ID#AAABI8UM6Xc
Diamond Tower DTW    (2024-03-07 18:35:15)
20/12/2023	PG. INSS/IRRF - FPM/TERCEIROS NR. DOC: 50000188074409 CP. 11/2023 MINISTERIO DA PREVIDENCIA SOCIAL	- 14.231,75</t>
      </text>
    </comment>
    <comment ref="O24" authorId="0" shapeId="0">
      <text>
        <t>======
ID#AAABIAn-GPo
Diamond Tower DTW    (2024-02-29 03:05:50)
05/01/2024	PG.SERVICOS LIMPEZA NF.: 4 FACHADA - 2ª PARCELA CLIMBER ROBOTICS MANUTENCAO PREDIAL LTDA	- 10.440,00
------
ID#AAABIAn-GQw
Diamond Tower DTW    (2024-02-29 03:29:18)
10/01/2024	PG.RETENCAO ISSQN NR. DOC: 3 V:02/01/2024 CLIMBER ROBOTICS MANUTENCAO PREDIAL LTDA	- 240,00
------
ID#AAABIAn-GSU
Diamond Tower DTW    (2024-02-29 03:50:34)
19/01/2024	PG.SERVICOS LIMPEZA NF.: 5 LIMPEZA DA FACHADA - PARCELA 3 CLIMBER ROBOTICS MANUTENCAO PREDIAL LTDA	- 10.440,00
------
ID#AAABI8VpC0M
Diamond Tower DTW    (2024-03-07 19:16:36)
19/01/2024	PG. INSS/IRRF - FPM/TERCEIROS NR. DOC: 50000198099997 CP. 12/2023 MINISTERIO DA PREVIDENCIA SOCIAL	- 15.891,02</t>
      </text>
    </comment>
    <comment ref="P24" authorId="0" shapeId="0">
      <text>
        <t>======
ID#AAABIwqyk4Q
Diamond Tower DTW    (2024-03-08 18:17:16)
14/02/2024	PG.RETENCAO ISSQN NR. DOC: 4 V:05/01/2024 CLIMBER ROBOTICS MANUTENCAO PREDIAL LTDA	- 240,00
------
ID#AAABIwqyk4U
Diamond Tower DTW    (2024-03-08 18:17:31)
14/02/2024	PG.RETENCAO ISSQN NR. DOC: 5 V:19/01/2024 CLIMBER ROBOTICS MANUTENCAO PREDIAL LTDA	- 240,00
------
ID#AAABIwqyk5c
Diamond Tower DTW    (2024-03-08 18:51:37)
20/02/2024	PG. INSS/IRRF - FPM/TERCEIROS NR. DOC: 50000206258145 CP. 01/2024 MINISTERIO DA PREVIDENCIA SOCIAL	- 18.649,20
------
ID#AAABIwqyk6o
Diamond Tower DTW    (2024-03-08 19:23:09)
26/02/2024	PG.SERVICOS LIMPEZA NF.: 6 LIMPEZA DA FACHADA - PARCELA 4 CLIMBER ROBOTICS MANUTENCAO PREDIAL LTDA	- 10.440,00</t>
      </text>
    </comment>
    <comment ref="Q24" authorId="0" shapeId="0">
      <text>
        <t>======
ID#AAABJMGL2nM
Diamond Tower DTW    (2024-03-14 21:06:10)
11/03/2024	PG.RETENCAO ISSQN NR. DOC: 14 V:26/02/2024 CLIMBER ROBOTICS MANUTENCAO PREDIAL LTDA	- 240,00</t>
      </text>
    </comment>
    <comment ref="E25" authorId="0" shapeId="0">
      <text>
        <t>======
ID#AAAAst4mP0Y
Diamond Tower DTW    (2023-03-24 18:43:30)
09/03/2023	PG.MANUT. GERADOR NF.: 2023633 STEMAC S/A - GRUPO GERADORES	- 1.047,97
------
ID#AAAAtki6H8E
Diamond Tower DTW    (2023-03-24 19:04:34)
20/03/2023	LEI 10833-RETENCAO NR. DOC: 2023219 V:22/02/2023 STEMAC S/A - GRUPO GERADORES	- 61,41
------
ID#AAABICYYBjo
Diamond Tower DTW    (2024-03-01 13:42:17)
20/03/2023 PG. INSS/IRRF - FPM/TERCEIROS NR. DOC: 50000119201289 CP 02/2023 MINISTERIO DA PREVIDENCIA SOCIAL - 16.789,10</t>
      </text>
    </comment>
    <comment ref="F25" authorId="0" shapeId="0">
      <text>
        <t>======
ID#AAAAvxspad4
Diamond Tower DTW    (2023-05-03 00:33:39)
03/04/2023	PG.MANUT. GERADOR NF.: 2023633 STEMAC S/A - GRUPO GERADORES	- 1.047,97
------
ID#AAAAvxbhvgg
Diamond Tower DTW    (2023-05-03 01:52:45)
10/04/2023	PG.RETENCAO ISSQN NR. DOC: 2023633 V:03/04/2023 STEMAC S/A - GRUPO GERADORES	- 66,03
------
ID#AAAAvxy9hcw
Diamond Tower DTW    (2023-05-03 02:07:44)
20/04/2023	LEI 10833-RETENCAO NR. DOC: 2023417 V:09/03/2023 STEMAC S/A - GRUPO GERADORES	- 61,41
------
ID#AAAAvxy9hdY
Diamond Tower DTW    (2023-05-03 02:12:56)
1162 CP PATRONAL - RETENÇÃO LEI 9.711/98 290,54 290,54
01 CP PATRONAL - RETENÇÃO LEI 9.711/98
PA:03/2023 Vencimento:20/04/2023
CNPJ Prestador:92.753.268/0006-27
------
ID#AAABICauFJs
Diamond Tower DTW    (2024-03-01 14:06:29)
20/04/2023	PG. INSS/IRRF - FPM/TERCEIROS NR. DOC: 50000125897100 CP 03/2023 MINISTERIO DA PREVIDENCIA SOCIAL	- 18.348,31</t>
      </text>
    </comment>
    <comment ref="G25" authorId="0" shapeId="0">
      <text>
        <t>======
ID#AAAA9vWEmgw
Diamond Tower DTW    (2024-01-04 00:52:13)
05/05/2023	PG.MANUT. GERADOR NF.: 2023889 STEMAC S/A - GRUPO GERADORES	- 1.047,97
------
ID#AAAA9vWEmjA
Diamond Tower DTW    (2024-01-04 01:03:50)
10/05/2023	PG.RETENCAO ISSQN NR. DOC: 2023889 V:05/05/2023 STEMAC S/A - GRUPO GERADORES	- 66,03
------
ID#AAAA9vWEmlQ
Diamond Tower DTW    (2024-01-04 02:51:07)
19/05/2023	LEI 10833-RETENCAO NR. DOC: 2023633 V:03/04/2023 STEMAC S/A - GRUPO GERADORES	- 61,41
------
ID#AAABDrIQ9Xk
Diamond Tower DTW    (2024-01-04 18:50:04)
19/05/2023	PG. INSS/IRRF - FPM/TERCEIROS NR. DOC: 50000132622219 CP 04/2023 MINISTERIO DA PREVIDENCIA SOCIAL	- 18.852,17</t>
      </text>
    </comment>
    <comment ref="H25" authorId="0" shapeId="0">
      <text>
        <t>======
ID#AAAA90-WawU
Diamond Tower DTW    (2024-01-10 18:38:04)
12/06/2023	PG.RETENCAO ISSQN NR. DOC: 1151 PREFEITURA DE PORTO ALEGRE	- 66,03
------
ID#AAAA90-Waxw
Diamond Tower DTW    (2024-01-10 18:52:57)
15/06/2023	PG.MANUT. GERADOR NF.: 20231151 05/2023 STEMAC S/A - GRUPO GERADORES	- 1.047,97
------
ID#AAAA90-WayY
Diamond Tower DTW    (2024-01-10 18:57:40)
20/06/2023	LEI 10833-RETENCAO NR. DOC: 2023889 V:05/05/2023 STEMAC S/A - GRUPO GERADORES	- 61,41
------
ID#AAABIcFJecI
Diamond Tower DTW    (2024-03-01 17:46:01)
19/05/2023	PG. INSS/IRRF - FPM/TERCEIROS NR. DOC: 50000132622219 CP 04/2023 MINISTERIO DA PREVIDENCIA SOCIAL	- 18.852,17</t>
      </text>
    </comment>
    <comment ref="I25" authorId="0" shapeId="0">
      <text>
        <t>======
ID#AAAA90-Wa1M
Diamond Tower DTW    (2024-01-10 20:28:20)
03/07/2023	PG.MANUT. GERADOR NF.: 20231351 06/2023 STEMAC S/A - GRUPO GERADORES	- 1.047,97
------
ID#AAAA90-Wa2k
Diamond Tower DTW    (2024-01-10 20:54:22)
10/07/2023	PG.RETENCAO ISSQN NR. DOC: 20231351 V:03/07/2023 STEMAC S/A - GRUPO GERADORES	- 66,03
------
ID#AAAA90-Wa5M
Diamond Tower DTW    (2024-01-10 21:08:38)
20/07/2023	LEI 10833-RETENCAO NR. DOC: 20231151 V:15/06/2023 STEMAC S/A - GRUPO GERADORES	- 61,41
------
ID#AAABI7FuU1o
Diamond Tower DTW    (2024-03-07 13:44:09)
20/07/2023	PG. INSS/IRRF - FPM/TERCEIROS NR. DOC: 50000147535045 CP 06/2023 MINISTERIO DA PREVIDENCIA SOCIAL	- 17.832,61	-	+ 381.574,45</t>
      </text>
    </comment>
    <comment ref="J25" authorId="0" shapeId="0">
      <text>
        <t>======
ID#AAABGvNN0y8
Diamond Tower DTW    (2024-02-20 19:47:56)
02/08/2023	PG.MANUT. GERADOR NF.: 20231570 07/2023 STEMAC S/A - GRUPO GERADORES	- 1.047,97
------
ID#AAABGvXDqX8
Diamond Tower DTW    (2024-02-20 21:50:10)
10/08/2023	PG.RETENCAO ISSQN NR. DOC: 20231570 V:02/08/2023 STEMAC S/A - GRUPO GERADORES	- 66,03
------
ID#AAABGvXDqac
Diamond Tower DTW    (2024-02-20 22:59:29)
18/08/2023	LEI 10833-RETENCAO NR. DOC: 20231351 V:03/07/2023 STEMAC S/A - GRUPO GERADORES	- 61,41
------
ID#AAABI6uuxB4
Diamond Tower DTW    (2024-03-07 16:54:28)
18/08/2023	PG. INSS/IRRF - FPM/TERCEIROS NR. DOC: 50000155856535 CP 07/2023 MINISTERIO DA PREVIDENCIA SOCIAL	- 14.257,08</t>
      </text>
    </comment>
    <comment ref="K25" authorId="0" shapeId="0">
      <text>
        <t>======
ID#AAABHLHYnjk
Diamond Tower DTW    (2024-02-22 22:48:33)
01/09/2023	PG.MANUT. GERADOR NF.: 20231801 08/2023 STEMAC S/A - GRUPO GERADORES	- 1.047,97
------
ID#AAABHOH2m4k
Diamond Tower DTW    (2024-02-23 00:00:26)
11/09/2023	PG.RETENCAO ISSQN NR. DOC: 20231801 V:01/09/2023 STEMAC S/A - GRUPO GERADORES	- 66,03
------
ID#AAABHLDlA2s
Diamond Tower DTW    (2024-02-23 00:08:14)
19/09/2023	LEI 10833-RETENCAO NR. DOC: 20231570 V:02/08/2023 STEMAC S/A - GRUPO GERADORES	- 61,41
------
ID#AAABI6uuxCg
Diamond Tower DTW    (2024-03-07 17:05:18)
19/09/2023	PG. INSS/IRRF - FPM/TERCEIROS NR. DOC: 50000162137848 CP 08/2023 MINISTERIO DA PREVIDENCIA SOCIAL	- 14.562,18</t>
      </text>
    </comment>
    <comment ref="L25" authorId="0" shapeId="0">
      <text>
        <t>======
ID#AAABGxaTsPE
Diamond Tower DTW    (2024-02-23 19:08:01)
02/10/2023	PG.MANUT. GERADOR NF.: 20231906 09/2023 STEMAC S/A - GRUPO GERADORES	- 1.047,97
------
ID#AAABGxaTsQQ
Diamond Tower DTW    (2024-02-23 19:15:27)
10/10/2023	PG.RETENCAO ISSQN NR. DOC: 20231906 V:02/10/2023 STEMAC S/A - GRUPO GERADORES	- 66,03
------
ID#AAABGxaTsSQ
Diamond Tower DTW    (2024-02-23 19:42:44)
20/10/2023	LEI 10833-RETENCAO NR. DOC: 20231801 V:01/09/2023 STEMAC S/A - GRUPO GERADORES	- 61,41
------
ID#AAABI6uuxDI
Diamond Tower DTW    (2024-03-07 17:15:25)
20/10/2023	PG. INSS/IRRF - FPM/TERCEIROS NR. DOC: 50000170057074 CP 09/2023 MINISTERIO DA PREVIDENCIA SOCIAL	- 14.057,81</t>
      </text>
    </comment>
    <comment ref="M25" authorId="0" shapeId="0">
      <text>
        <t>======
ID#AAABGxaTsUU
Diamond Tower DTW    (2024-02-23 20:13:25)
1/11/2023	PG.MANUT. GERADOR NF.: 20232127 10/2023 STEMAC S/A - GRUPO GERADORES	- 1.047,97
------
ID#AAABGxaTsVc
Diamond Tower DTW    (2024-02-23 20:25:15)
10/11/2023	PG.RETENCAO ISSQN NR. DOC: 20232127 V:01/11/2023 STEMAC S/A - GRUPO GERADORES	- 66,03
------
ID#AAABGxaTsXI
Diamond Tower DTW    (2024-02-23 20:42:15)
20/11/2023	LEI 10833-RETENCAO NR. DOC: 20231906 V:02/10/2023 STEMAC S/A - GRUPO GERADORES	- 61,41
------
ID#AAABI6uuxDc
Diamond Tower DTW    (2024-03-07 17:40:40)
20/11/2023	PG. INSS/IRRF - FPM/TERCEIROS NR. DOC: 50000178912883 MINISTERIO DA PREVIDENCIA SOCIAL	- 10.903,40</t>
      </text>
    </comment>
    <comment ref="N25" authorId="0" shapeId="0">
      <text>
        <t>======
ID#AAABINBdlLc
Diamond Tower DTW    (2024-02-29 01:49:06)
01/12/2023	PG.MANUT. GERADOR NF.: 20232353 11/2023 STEMAC S/A - GRUPO GERADORES	- 1.047,97
------
ID#AAABINBdlN8
Diamond Tower DTW    (2024-02-29 02:30:10)
11/12/2023	PG.RETENCAO ISSQN NR. DOC: 20232353 V:01/12/2023 STEMAC S/A - GRUPO GERADORES	- 66,03
------
ID#AAABIAn-GM8
Diamond Tower DTW    (2024-02-29 02:44:19)
20/12/2023	LEI 10833-RETENCAO NR. DOC: 20232127 V:01/11/2023 STEMAC S/A - GRUPO GERADORES	- 61,41
------
ID#AAABIAn-GOk
Diamond Tower DTW    (2024-02-29 02:58:22)
28/12/2023	PG.MANUT. GERADOR NF.: 20232562 11/2023 STEMAC S/A - GRUPO GERADORES	- 1.047,97
------
ID#AAABI7fnF7A
Diamond Tower DTW    (2024-03-07 18:18:26)
20/12/2023	PG. INSS/IRRF - FPM/TERCEIROS NR. DOC: 50000188074409 CP. 11/2023 MINISTERIO DA PREVIDENCIA SOCIAL	- 14.231,75</t>
      </text>
    </comment>
    <comment ref="O25" authorId="0" shapeId="0">
      <text>
        <t>======
ID#AAABIAn-GQU
Diamond Tower DTW    (2024-02-29 03:27:48)
10/01/2024	PG.RETENCAO ISSQN NR. DOC: 20232562 V:28/12/2023 STEMAC S/A - GRUPO GERADORES	- 66,03
------
ID#AAABIAn-GSA
Diamond Tower DTW    (2024-02-29 03:49:05)
19/01/2024	LEI 10833-RETENCAO NR. DOC: 20232353 V:01/12/2023 STEMAC S/A - GRUPO GERADORES	- 61,41
------
ID#AAABIAn-GSE
Diamond Tower DTW    (2024-02-29 03:49:15)
19/01/2024	LEI 10833-RETENCAO NR. DOC: 20232562 V:28/12/2023 STEMAC S/A - GRUPO GERADORES	- 61,41
------
ID#AAABI8VpC0I
Diamond Tower DTW    (2024-03-07 19:11:09)
19/01/2024	PG. INSS/IRRF - FPM/TERCEIROS NR. DOC: 50000198099997 CP. 12/2023 MINISTERIO DA PREVIDENCIA SOCIAL	- 15.891,02</t>
      </text>
    </comment>
    <comment ref="P25" authorId="0" shapeId="0">
      <text>
        <t>======
ID#AAABI8VpC0o
Diamond Tower DTW    (2024-03-07 19:20:20)
01/02/2024	PG.MANUT. GERADOR NF.: 202443 12/2023 STEMAC S/A - GRUPO GERADORES	- 1.096,19
------
ID#AAABIwqyk38
Diamond Tower DTW    (2024-03-08 18:10:55)
14/02/2024	PG.RETENCAO ISSQN NR. DOC: 202443 V:01/02/2024 STEMAC S/A - GRUPO GERADORES	- 69,07
------
ID#AAABIwqyk5g
Diamond Tower DTW    (2024-03-08 18:51:58)
20/02/2024	PG. INSS/IRRF - FPM/TERCEIROS NR. DOC: 50000206258145 CP. 01/2024 MINISTERIO DA PREVIDENCIA SOCIAL	- 18.649,20</t>
      </text>
    </comment>
    <comment ref="Q25" authorId="0" shapeId="0">
      <text>
        <t>======
ID#AAABJB7AmHU
Diamond Tower DTW    (2024-03-11 01:29:17)
04/03/2024	PG.MANUT. GERADOR NF.: 2024258 01/2024 STEMAC S/A - GRUPO GERADORES	- 1.096,19
------
ID#AAABJMHUnEg
Diamond Tower DTW    (2024-03-14 21:08:37)
11/03/2024	PG.RETENCAO ISSQN NR. DOC: 2024258 V:04/03/2024 STEMAC S/A - GRUPO GERADORES	- 69,07</t>
      </text>
    </comment>
    <comment ref="E26" authorId="0" shapeId="0">
      <text>
        <t>======
ID#AAAAst4mPz4
Diamond Tower DTW    (2023-03-24 18:28:20)
06/03/2023	PG.HONORARIOS ADVOCATICIOS NF.: 20236 BELLINI FIGUEIRO SOCIEDADE INDIVIDUAL DE	- 1.911,00
------
ID#AAAAst4mP1k
Diamond Tower DTW    (2023-03-24 18:53:43)
10/03/2023	PG.RETENCAO ISSQN NR. DOC: 20236 V:28/02/2023 BELLINI FIGUEIRO SOCIEDADE INDIVIDUAL DE	- 39,00
------
ID#AAAAvxhdLus
Diamond Tower DTW    (2023-05-02 18:56:50)
06/03/23 TARIFA PIX NR. DOC: 20236 BELLINI FIGUEIRO SOCIEDADE INDIVIDUAL DE - 2,49</t>
      </text>
    </comment>
    <comment ref="F26" authorId="0" shapeId="0">
      <text>
        <t>======
ID#AAAAvxspaeo
Diamond Tower DTW    (2023-05-03 00:41:29)
05/04/2023	PG.HONORARIOS ADVOCATICIOS NF.: 202312 NA AREA CIVIL DO CONDOMÍNIO - REF.03/2023 BELLINI FIGUEIRO SOCIEDADE INDIVIDUAL DE	- 1.911,00
------
ID#AAAAvxspagM
Diamond Tower DTW    (2023-05-03 00:53:33)
10/04/2023	PG.RETENCAO ISSQN NR. DOC: 202312 V:05/04/2023 BELLINI FIGUEIRO SOCIEDADE INDIVIDUAL DE	- 39,00</t>
      </text>
    </comment>
    <comment ref="G26" authorId="0" shapeId="0">
      <text>
        <t>======
ID#AAAA9vWEmgs
Diamond Tower DTW    (2024-01-04 00:51:55)
05/05/2023	PG.HONORARIOS ADVOCATICIOS NF.: 202320 BELLINI FIGUEIRO SOCIEDADE INDIVIDUAL DE	- 1.911,00
------
ID#AAAA9vWEmik
Diamond Tower DTW    (2024-01-04 01:01:05)
10/05/2023	PG.RETENCAO ISSQN NR. DOC: 202320 V:05/05/2023 BELLINI FIGUEIRO SOCIEDADE INDIVIDUAL DE	- 39,00</t>
      </text>
    </comment>
    <comment ref="H26" authorId="0" shapeId="0">
      <text>
        <t>======
ID#AAABDsYHhwg
Diamond Tower DTW    (2024-01-05 13:42:44)
05/06/2023	PG.HONORARIOS ADVOCATICIOS NF.: 202327 BELLINI FIGUEIRO SOCIEDADE INDIVIDUAL DE	- 1.911,00
------
ID#AAAA90-Waw0
Diamond Tower DTW    (2024-01-10 18:40:46)
12/06/2023	PG.RETENCAO ISSQN NR. DOC: 202327 V:05/06/2023 BELLINI FIGUEIRO SOCIEDADE INDIVIDUAL DE	- 39,00</t>
      </text>
    </comment>
    <comment ref="I26" authorId="0" shapeId="0">
      <text>
        <t>======
ID#AAAA90-Wa14
Diamond Tower DTW    (2024-01-10 20:45:56)
05/07/2023	PG.HONORARIOS ADVOCATICIOS NF.: 202336 EXTRAJUDICIAL AREA CIVIL - 06/2023 BELLINI FIGUEIRO SOCIEDADE INDIVIDUAL DE	- 1.908,27
------
ID#AAAA90-Wa24
Diamond Tower DTW    (2024-01-10 20:56:05)
10/07/2023	PG.RETENCAO ISSQN NR. DOC: 202336 V:05/07/2023 BELLINI FIGUEIRO SOCIEDADE INDIVIDUAL DE	- 41,73</t>
      </text>
    </comment>
    <comment ref="J26" authorId="0" shapeId="0">
      <text>
        <t>======
ID#AAABGvTkl7I
Diamond Tower DTW    (2024-02-20 20:16:38)
07/08/2023	PG.HONORARIOS ADVOCATICIOS NF.: 202337 EXTRAJUDICIAL AREA CIVIL - 07/2023 BELLINI FIGUEIRO SOCIEDADE INDIVIDUAL DE	- 1.908,27
------
ID#AAABGvXDqZk
Diamond Tower DTW    (2024-02-20 22:38:28)
10/08/2023	PG.RETENCAO ISSQN NR. DOC: 202337 V:05/08/2023 BELLINI FIGUEIRO SOCIEDADE INDIVIDUAL DE	- 41,73</t>
      </text>
    </comment>
    <comment ref="K26" authorId="0" shapeId="0">
      <text>
        <t>======
ID#AAABHLHYnkA
Diamond Tower DTW    (2024-02-22 22:53:20)
05/09/2023	PG.HONORARIOS ADVOCATICIOS NF.: 202339 EXTRAJUDICIAL AREA CIVIL - 08/2023 BELLINI FIGUEIRO SOCIEDADE INDIVIDUAL DE	- 1.908,07
------
ID#AAABI6uuxCk
Diamond Tower DTW    (2024-03-07 17:07:37)
19/09/2023	PG. INSS/IRRF - FPM/TERCEIROS NR. DOC: 50000162137848 CP 08/2023 MINISTERIO DA PREVIDENCIA SOCIAL	- 14.562,18</t>
      </text>
    </comment>
    <comment ref="L26" authorId="0" shapeId="0">
      <text>
        <t>======
ID#AAABGxaTsPg
Diamond Tower DTW    (2024-02-23 19:10:10)
05/10/2023	PG.HONORARIOS ADVOCATICIOS NF.: 202346 EXTRAJUDICIAL AREA CIVIL - 09/2023 BELLINI FIGUEIRO SOCIEDADE INDIVIDUAL DE	- 1.908,07
------
ID#AAABGxaTsQo
Diamond Tower DTW    (2024-02-23 19:21:22)
10/10/2023	PG.RETENCAO ISSQN NR. DOC: 202346 V:05/10/2023 BELLINI FIGUEIRO SOCIEDADE INDIVIDUAL DE	- 41,93</t>
      </text>
    </comment>
    <comment ref="M26" authorId="0" shapeId="0">
      <text>
        <t>======
ID#AAABGxaTsU8
Diamond Tower DTW    (2024-02-23 20:19:55)
06/11/2023	PG.HONORARIOS ADVOCATICIOS NF.: 202350 EXTRAJUDICIAL AREA CIVIL - 10/2023 BELLINI FIGUEIRO SOCIEDADE INDIVIDUAL DE	- 1.907,68
------
ID#AAABGxaTsVw
Diamond Tower DTW    (2024-02-23 20:27:48)
10/11/2023	PG.RETENCAO ISSQN NR. DOC: 202350 V:05/11/2023 BELLINI FIGUEIRO SOCIEDADE INDIVIDUAL DE	- 42,32</t>
      </text>
    </comment>
    <comment ref="N26" authorId="0" shapeId="0">
      <text>
        <t>======
ID#AAABINBdlNE
Diamond Tower DTW    (2024-02-29 02:22:00)
05/12/2023	PG.HONORARIOS ADVOCATICIOS NF.: 3 EXTRAJUDICIAL AREA CIVIL - 11/2023 BELLINI FIGUEIRO SOCIEDADE INDIVIDUAL DE	- 2.581,39
------
ID#AAABINBdlOc
Diamond Tower DTW    (2024-02-29 02:38:41)
11/12/2023	PG.RETENCAO ISSQN NR. DOC: 3 V:05/12/2023 BELLINI FIGUEIRO SOCIEDADE INDIVIDUAL DE	- 58,61</t>
      </text>
    </comment>
    <comment ref="O26" authorId="0" shapeId="0">
      <text>
        <t>======
ID#AAABIAn-GPc
Diamond Tower DTW    (2024-02-29 03:04:49)
05/01/2024	PG.HONORARIOS ADVOCATICIOS NF.: 9 EXTRAJUDICIAL AREA CIVIL - 12/2023 BELLINI FIGUEIRO SOCIEDADE INDIVIDUAL DE	- 2.580,34
------
ID#AAABIAn-GRE
Diamond Tower DTW    (2024-02-29 03:44:27)
10/01/2024	PG.RETENCAO ISSQN NR. DOC: 9 V:05/01/2024 BELLINI FIGUEIRO SOCIEDADE INDIVIDUAL DE	- 59,66</t>
      </text>
    </comment>
    <comment ref="P26" authorId="0" shapeId="0">
      <text>
        <t>======
ID#AAABI8VpC08
Diamond Tower DTW    (2024-03-07 19:22:15)
05/02/2024	PG.HONORARIOS ADVOCATICIOS NF.: 12 EXTRAJUDICIAL AREA CIVIL - 01/2024 BELLINI FIGUEIRO SOCIEDADE INDIVIDUAL DE	- 2.763,57
------
ID#AAABI8VpC2A
Diamond Tower DTW    (2024-03-07 19:36:02)
4/02/2024	PG.RETENCAO ISSQN NR. DOC: 12 V:05/02/2024 BELLINI FIGUEIRO SOCIEDADE INDIVIDUAL DE	- 60,43</t>
      </text>
    </comment>
    <comment ref="Q26" authorId="0" shapeId="0">
      <text>
        <t>======
ID#AAABJMHUnE4
Diamond Tower DTW    (2024-03-14 21:10:47)
11/03/2024	PG.RETENCAO ISSQN NR. DOC: 20 V:05/03/2024 BELLINI FIGUEIRO SOCIEDADE INDIVIDUAL DE	- 43,00</t>
      </text>
    </comment>
    <comment ref="E29" authorId="0" shapeId="0">
      <text>
        <t>======
ID#AAAAsuFiYt4
Diamond Tower DTW    (2023-03-24 19:29:06)
20/03/2023	PG.RESSARCIMENTO MULTIPLAN ARRECADADORA LTDA	- 1.211,64
------
ID#AAAAvxhdLw0
Diamond Tower DTW    (2023-05-02 20:18:31)
31/03/23 PG.DESP.DIVERSAS NR. DOC: 442023 CONFORME CONVENÇÃO CONDOMINIAL
SUB-CONDOMINIO SHOPPING CENTER BARRASHOP
- 609,89</t>
      </text>
    </comment>
    <comment ref="G29" authorId="0" shapeId="0">
      <text>
        <t>======
ID#AAAA9vWEmiE
Diamond Tower DTW    (2024-01-04 00:57:17)
10/05/2023	PG.RESSARCIMENTO MULTIPLAN ARRECADADORA LTDA	- 1.641,67</t>
      </text>
    </comment>
    <comment ref="H29" authorId="0" shapeId="0">
      <text>
        <t>======
ID#AAAA90-Waxs
Diamond Tower DTW    (2024-01-10 18:52:00)
15/06/2023	PG.DESP.DIVERSAS NR. DOC: 752023 RESSARC.DESPESAS CONFORME CONVENÇÃO REF.04/2023 SUB-CONDOMINIO SHOPPING CENTER BARRASHOP	- 1.476,48</t>
      </text>
    </comment>
    <comment ref="I29" authorId="0" shapeId="0">
      <text>
        <t>======
ID#AAAA90-Wa4I
Diamond Tower DTW    (2024-01-10 21:04:46)
14/07/2023	PG.DESP.DIVERSAS NR. DOC: 902023 RESSARCIMENTO DESP.CONF.CONV. REF. 05/2023 SUB-CONDOMINIO SHOPPING CENTER BARRASHOP	- 2.191,21</t>
      </text>
    </comment>
    <comment ref="J29" authorId="0" shapeId="0">
      <text>
        <t>======
ID#AAABHLBZ4bA
Diamond Tower DTW    (2024-02-22 21:49:49)
24/08/2023	PG.DESP.DIVERSAS NR. DOC: 1082023 CONFORME CONVENÇÃO CONDOMINIAL REF. 07/2023 SUB-CONDOMINIO SHOPPING CENTER BARRASHOP	- 2.415,11</t>
      </text>
    </comment>
    <comment ref="K29" authorId="0" shapeId="0">
      <text>
        <t>======
ID#AAABHLUSzBY
Diamond Tower DTW    (2024-02-23 00:14:36)
21/09/2023	PG.RESSARCIMENTO NR. DOC: 1212023 CONFORME CONVENÇÃO CONDOMINIAL REF. 07/2023 SUB-CONDOMINIO SHOPPING CENTER BARRASHOP	- 1.981,04</t>
      </text>
    </comment>
    <comment ref="L29" authorId="0" shapeId="0">
      <text>
        <t>======
ID#AAABGxaTsS8
Diamond Tower DTW    (2024-02-23 19:54:29)
25/10/2023	PG.RESSARCIMENTO NR. DOC: 1332023 CONFORME CONVENÇÃO CONDOMINIAL REF. 08/2023 SUB-CONDOMINIO SHOPPING CENTER BARRASHOP	- 1.680,44</t>
      </text>
    </comment>
    <comment ref="M29" authorId="0" shapeId="0">
      <text>
        <t>======
ID#AAABGxaTsW4
Diamond Tower DTW    (2024-02-23 20:41:10)
16/11/2023	PG.RESSARCIMENTO CONFORME CONVENÇÃO CONDOMINIAL REF. 09/2023 SUB-CONDOMINIO SHOPPING CENTER BARRASHOP	- 2.073,15
------
ID#AAABGxaTsYE
Diamond Tower DTW    (2024-02-23 20:57:50)
27/11/2023	PG.RESSARCIMENTO CONFORME CONVENÇÃO CONDOMINIAL REF. 10/2023 SUB-CONDOMINIO SHOPPING CENTER BARRASHOP	- 2.125,41</t>
      </text>
    </comment>
    <comment ref="O29" authorId="0" shapeId="0">
      <text>
        <t>======
ID#AAABIAn-GTc
Diamond Tower DTW    (2024-02-29 03:59:30)
29/01/2024	PG.RESSARCIMENTO CONFORME CONVENÇÃO CONDOMINIAL REF. 12/2023 SUB-CONDOMINIO SHOPPING CENTER BARRASHOP	- 1.139,49
------
ID#AAABIAn-GT0
Diamond Tower DTW    (2024-02-29 04:01:24)
31/01/2024	PG.RESSARCIMENTO CONFORME CONVENÇÃO CONDOMINIAL REF. 11/2023 SUB-CONDOMINIO SHOPPING CENTER BARRASHOP	- 1.509,89</t>
      </text>
    </comment>
    <comment ref="F30" authorId="0" shapeId="0">
      <text>
        <t>======
ID#AAAAvxspaeU
Diamond Tower DTW    (2023-05-03 00:38:15)
04/04/2023	PG.MANUT.GERAL NF.: 202328 MATERIAIS + CONSERTO DA BOMBA ESPELHO DÁGUA MASTER PISCINAS LTDA	- 1.273,00
------
ID#AAAAvxspagY
Diamond Tower DTW    (2023-05-03 00:54:19)
10/04/2023	PG.RETENCAO ISSQN NR. DOC: 202328 V:04/04/2023 MASTER PISCINAS LTDA	- 67,00</t>
      </text>
    </comment>
    <comment ref="L30" authorId="0" shapeId="0">
      <text>
        <t>======
ID#AAABGxaTsRk
Diamond Tower DTW    (2024-02-23 19:30:44)
16/10/2023	PG.COMPRA MAT.HIDRAULICO NF.: 1254 PARC 1/2 MATERIAL CONSERTO BOMBA ESPELHO DÁGUA Parc.(1/2) EJARA DA SILVA ALVES &amp; CIA LTDA	- 495,00</t>
      </text>
    </comment>
    <comment ref="M30" authorId="0" shapeId="0">
      <text>
        <t>======
ID#AAABGxaTsWY
Diamond Tower DTW    (2024-02-23 20:38:35)
14/11/2023	PG.COMPRA MAT.HIDRAULICO NF.: 1254 PARC 2/2 MATERIAL CONSERTO BOMBA ESPELHO DÁGUA Parc.(2/2) EJARA DA SILVA ALVES &amp; CIA LTDA	- 495,00
------
ID#AAABGxaTsYU
Diamond Tower DTW    (2024-02-23 20:58:59)
28/11/2023	PG.COMPRA MAT.HIDRAULICO NF.: 1301 Parc.(1/2) EJARA DA SILVA ALVES &amp; CIA LTDA	- 630,00</t>
      </text>
    </comment>
    <comment ref="N30" authorId="0" shapeId="0">
      <text>
        <t>======
ID#AAABIAn-GOE
Diamond Tower DTW    (2024-02-29 02:55:29)
27/12/2023	PG.COMPRA MAT.HIDRAULICO NF.: 1301 Parc.(2/2) EJARA DA SILVA ALVES &amp; CIA LTDA	- 630,00</t>
      </text>
    </comment>
    <comment ref="O30" authorId="0" shapeId="0">
      <text>
        <t>======
ID#AAABIAn-GTg
Diamond Tower DTW    (2024-02-29 03:59:54)
30/01/2024	PG.COMPRA MAT.HIDRAULICO NF.: 1365 EJARA DA SILVA ALVES &amp; CIA LTDA	- 660,00</t>
      </text>
    </comment>
    <comment ref="E31" authorId="0" shapeId="0">
      <text>
        <t>======
ID#AAAAtki6H7o
Diamond Tower DTW    (2023-03-24 18:59:10)
15/03/2023	MANUTENÇÃO DE EQUIPAMENTOS NF.: 202338 RUBENS FLAVIO ANDRADE VILLAR	- 388,84
------
ID#AAAAvxhdLwM
Diamond Tower DTW    (2023-05-02 19:59:44)
27/03/23 MANUTENÇÃO DE EQUIPAMENTOS NF.: 857 PLACA FONTE - MARCA INTELBRAS
Parc.(3/3) RUBENS FLAVIO ANDRADE VILLAR
- 366,33</t>
      </text>
    </comment>
    <comment ref="F31" authorId="0" shapeId="0">
      <text>
        <t>======
ID#AAAAvxspagA
Diamond Tower DTW    (2023-05-03 00:52:51)
10/04/2023	PG.MANUT.GERAL NF.: 873 TROCA DE APARELHO DE INTERFONE DA PORTARIA RUBENS FLAVIO ANDRADE VILLAR	- 275,00
------
ID#AAABI8UM6W8
Diamond Tower DTW    (2024-03-07 18:29:30)
20/12/2023	PG. INSS/IRRF - FPM/TERCEIROS NR. DOC: 50000188074409 CP. 11/2023 MINISTERIO DA PREVIDENCIA SOCIAL	- 14.231,75</t>
      </text>
    </comment>
    <comment ref="J31" authorId="0" shapeId="0">
      <text>
        <t>======
ID#AAABGvNN0zI
Diamond Tower DTW    (2024-02-20 19:49:08)
04/08/2023	PG.COMPRA MATERIAL NF.: 910 CABEAMENTO INTERFONE UNIDADE 1002 RUBENS FLAVIO ANDRADE VILLAR	- 390,00</t>
      </text>
    </comment>
    <comment ref="N31" authorId="0" shapeId="0">
      <text>
        <t>======
ID#AAABINBdlPU
Diamond Tower DTW    (2024-02-29 02:43:38)
18/12/2023	PG.MANUT.PORTEIRO ELETRONICO NF.: 17 EVANDRO ELIAS FERNANDES	- 294,00
------
ID#AAABI8UM6XA
Diamond Tower DTW    (2024-03-07 18:30:04)
20/12/2023	PG. INSS/IRRF - FPM/TERCEIROS NR. DOC: 50000188074409 CP. 11/2023 MINISTERIO DA PREVIDENCIA SOCIAL	- 14.231,75</t>
      </text>
    </comment>
    <comment ref="O31" authorId="0" shapeId="0">
      <text>
        <t>======
ID#AAABIAn-GQA
Diamond Tower DTW    (2024-02-29 03:09:00)
10/01/2024	PG.RETENCAO ISSQN NR. DOC: 17 V:18/12/2023 EVANDRO ELIAS FERNANDES	- 6,00
------
ID#AAABIAn-GRs
Diamond Tower DTW    (2024-02-29 03:47:53)
17/01/2024	PG.MANUT.PORTEIRO ELETRONICO NF.: 202433 RECEPÇÃO MACTEL SISTEMAS DE SEGURANÇA - LTDA	- 270,20
------
ID#AAABIAn-GS4
Diamond Tower DTW    (2024-02-29 03:54:45)
25/01/2024	PG.MANUT.PORTEIRO ELETRONICO NF.: 202436 CONSERTO INTERFORES UNIDADES 1705 E 2201 MACTEL SISTEMAS DE SEGURANÇA - LTDA	- 270,20
------
ID#AAABIAn-GTk
Diamond Tower DTW    (2024-02-29 04:00:07)
30/01/2024	PG.MANUT.PORTEIRO ELETRONICO NF.: 202438 CONSERTO INTERFORNES UNIDADES 1710 E 1912 MACTEL SISTEMAS DE SEGURANÇA - LTDA	- 270,20
------
ID#AAABI8VpC0c
Diamond Tower DTW    (2024-03-07 19:18:37)
19/01/2024	PG. INSS/IRRF - FPM/TERCEIROS NR. DOC: 50000198099997 CP. 12/2023 MINISTERIO DA PREVIDENCIA SOCIAL	- 15.891,02</t>
      </text>
    </comment>
    <comment ref="P31" authorId="0" shapeId="0">
      <text>
        <t>======
ID#AAABIwqyk3w
Diamond Tower DTW    (2024-03-08 18:10:21)
14/02/2024	PG.RETENCAO ISSQN NR. DOC: 202433 V:17/01/2024 MACTEL SISTEMAS DE SEGURANÇA - LTDA	- 9,80
------
ID#AAABIwqyk30
Diamond Tower DTW    (2024-03-08 18:10:31)
14/02/2024	PG.RETENCAO ISSQN NR. DOC: 202436 V:25/01/2024 MACTEL SISTEMAS DE SEGURANÇA - LTDA	- 9,80
------
ID#AAABIwqyk34
Diamond Tower DTW    (2024-03-08 18:10:42)
14/02/2024	PG.RETENCAO ISSQN NR. DOC: 202438 V:30/01/2024 MACTEL SISTEMAS DE SEGURANÇA - LTDA	- 9,80</t>
      </text>
    </comment>
    <comment ref="E32" authorId="0" shapeId="0">
      <text>
        <t>======
ID#AAAAvxhdLwU
Diamond Tower DTW    (2023-05-02 20:01:49)
27/03/23 PG.SERVICO ELETRICO NF.: 202323 CORRETIVA/PREVENTIVA SUBESTAÇÕES
ÉLETRICAS Parc.(1/4) MB CONSTRUCOES ELETRICAS LTDA.
- 4.338,00
------
ID#AAAAvxhdLwc
Diamond Tower DTW    (2023-05-02 20:02:15)
27/03/23 TARIFA PIX NR. DOC: 202323 MB CONSTRUCOES ELETRICAS LTDA. - 2,49</t>
      </text>
    </comment>
    <comment ref="F32" authorId="0" shapeId="0">
      <text>
        <t>======
ID#AAAAvxspado
Diamond Tower DTW    (2023-05-03 00:29:44)
03/04/2023	PG.COMPRA MATERIAL NF.: 39078 REPARO DAS FISSURAS QUE INFILTRARAM SL 2301 PROCAL FERRAGENS E TINTAS LTDA	- 191,90
------
ID#AAAAvxspadw
Diamond Tower DTW    (2023-05-03 00:33:00)
03/04/2023	PG.COMPRA MATERIAL NF.: 39081 IMPERMEABILIZANTE P/SELAR A LAJE SOBRE A SALA 2301 PROCAL FERRAGENS E TINTAS LTDA	- 329,00
------
ID#AAAAvxbhvg0
Diamond Tower DTW    (2023-05-03 01:54:38)
10/04/2023	PG.SERVICO ELETRICO NF.: 202323 CORRETIVA/PREVENTIVA SUBESTAÇÕES ÉLETRICAS Parc.(2/4) MB CONSTRUCOES ELETRICAS LTDA.	- 3.374,00
------
ID#AAAAvxy9heY
Diamond Tower DTW    (2023-05-03 02:20:24)
28/04/2023	PG.MANUT.GERAL NF.: 2023207 CONSERTO DO FILTRO DE AGUA DA COPA DA ADMINISTRACA CIA DOS PURIFICADORES	- 80,00
------
ID#AAAA9vTl98U
Diamond Tower DTW    (2024-01-04 00:40:24)
28/04/2023	TARIFA PIX NR. DOC: 2023207 CIA DOS PURIFICADORES	- 2,49</t>
      </text>
    </comment>
    <comment ref="G32" authorId="0" shapeId="0">
      <text>
        <t>======
ID#AAAA9vWEmhw
Diamond Tower DTW    (2024-01-04 00:55:00)
08/05/2023	PG.COMPRA MATERIAL NF.: 39691 MANUTENCAO GERAL PROCAL FERRAGENS E TINTAS LTDA	- 165,40
------
ID#AAAA9vWEmjE
Diamond Tower DTW    (2024-01-04 01:52:31)
10/05/2023	PG.SERVICO ELETRICO NF.: 202323 CORRETIVA/PREVENTIVA SUBESTAÇÕES ÉLETRICAS Parc.(3/4) MB CONSTRUCOES ELETRICAS LTDA.	- 3.374,00</t>
      </text>
    </comment>
    <comment ref="H32" authorId="0" shapeId="0">
      <text>
        <t>======
ID#AAAA90-Waxg
Diamond Tower DTW    (2024-01-10 18:51:22)
14/06/2023	PG.SERV.PRESTADOS NF.: 202326 AQUIS. 21 PLACAS DE IDENTIF. AREA AZUL DO ESTACION DAIANA ELOY DE OLIVEIRA	- 947,50
------
ID#AAAA90-Wazk
Diamond Tower DTW    (2024-01-10 20:04:04)
28/06/2023	PG.MANUT.PORTAO NF.: 2023443 REF.DIAGNOSTICO.AUXILIO P/ FUNCIONAMENTO PORTÃO REQUINTE TELECOMUNICACOES LTDA	- 174,73
------
ID#AAABIcFJecY
Diamond Tower DTW    (2024-03-01 17:52:16)
19/05/2023	PG. INSS/IRRF - FPM/TERCEIROS NR. DOC: 50000132622219 CP 04/2023 MINISTERIO DA PREVIDENCIA SOCIAL	- 18.852,17</t>
      </text>
    </comment>
    <comment ref="I32" authorId="0" shapeId="0">
      <text>
        <t>======
ID#AAAA90-Wa3A
Diamond Tower DTW    (2024-01-10 20:56:34)
10/07/2023	PG.RETENCAO ISSQN NR. DOC: 2023443 V:28/06/2023 REQUINTE TELECOMUNICACOES LTDA	- 5,27
------
ID#AAAA90-Wa38
Diamond Tower DTW    (2024-01-10 21:03:59)
14/07/2023	PG.COMPRA MAT. ELETRICO NF.: 47857924 RECEPTOR E CONTROLE REMOTO NEOLUX PERSIANAS E AUTOMAÇÃO LTDA	- 880,00</t>
      </text>
    </comment>
    <comment ref="J32" authorId="0" shapeId="0">
      <text>
        <t>======
ID#AAABGvXDqas
Diamond Tower DTW    (2024-02-20 23:00:56)
18/08/2023	PG.COMPRA MATERIAL NF.: 41542 MNUT.REFORMA REFEITORIO SALISTAS /CONS.INFILTRAÇÃO PROCAL FERRAGENS E TINTAS LTDA	- 422,10</t>
      </text>
    </comment>
    <comment ref="K32" authorId="0" shapeId="0">
      <text>
        <t>======
ID#AAABHLKhPw0
Diamond Tower DTW    (2024-02-22 23:00:23)
06/09/2023	PG.MANUT.GERAL NF.: 2023131 SERVIÇO EM ALTURA VEDAÇÕES JANELAS UNIDADES ALTITUDE - TRABALHO E RESGATE EM ALTURA	- 3.781,80
------
ID#AAABHLNUEQQ
Diamond Tower DTW    (2024-02-22 23:14:40)
11/09/2023	PG.RETENCAO ISSQN NR. DOC: 2023131 V:06/09/2023 ALTITUDE - TRABALHO E RESGATE EM ALTURA	- 178,20</t>
      </text>
    </comment>
    <comment ref="L32" authorId="0" shapeId="0">
      <text>
        <t>======
ID#AAABGxaTsRE
Diamond Tower DTW    (2024-02-23 19:25:00)
11/10/2023	PG.MANUT.GERAL NF.: 3 COLOC. FECHADURAS + MANUTENÇÃO PORTA CORTA FOGO MARCO PICCOLO 44601735068	- 2.710,00
------
ID#AAABGxaTsT4
Diamond Tower DTW    (2024-02-23 20:02:08)
30/10/2023	PG.MANUT.PORTAO NF.: 2023826 LUBRIFICAÇÃO DAS CORTINAS PORTOES GARAGEM REQUINTE TELECOMUNICACOES LTDA	- 368,76
------
ID#AAABI6uuxDM
Diamond Tower DTW    (2024-03-07 17:35:54)
20/10/2023	PG. INSS/IRRF - FPM/TERCEIROS NR. DOC: 50000170057074 CP 09/2023 MINISTERIO DA PREVIDENCIA SOCIAL	- 14.057,81</t>
      </text>
    </comment>
    <comment ref="M32" authorId="0" shapeId="0">
      <text>
        <t>======
ID#AAABGxaTsV8
Diamond Tower DTW    (2024-02-23 20:30:03)
10/11/2023	PG.RETENCAO ISSQN NR. DOC: 2023826 V:30/10/2023 REQUINTE TELECOMUNICACOES LTDA	- 11,24
------
ID#AAABIAn-GNQ
Diamond Tower DTW    (2024-02-29 02:48:54)
21/12/2023	PG.COMPRA MATERIAL NF.: 1177 PLACA SINALIZAÇÃO DE SALA DZ9 COMUNICACAO VISUAL LTDA	- 69,99</t>
      </text>
    </comment>
    <comment ref="O32" authorId="0" shapeId="0">
      <text>
        <t>======
ID#AAABIAn-GPw
Diamond Tower DTW    (2024-02-29 03:07:07)
10/01/2024	PG.DESOBSTRUCAO ESGOTO NF.: 7 JULIANA SILVA DOS SANTOS	- 570,00
------
ID#AAABI8VpC0U
Diamond Tower DTW    (2024-03-07 19:17:38)
19/01/2024	PG. INSS/IRRF - FPM/TERCEIROS NR. DOC: 50000198099997 CP. 12/2023 MINISTERIO DA PREVIDENCIA SOCIAL	- 15.891,02</t>
      </text>
    </comment>
    <comment ref="P32" authorId="0" shapeId="0">
      <text>
        <t>======
ID#AAABI8VpC0s
Diamond Tower DTW    (2024-03-07 19:20:46)
01/02/2024	PG.REFORMA NF.: 307 04 TOTENS EXTERNO IDENTIFICAÇAO DO CONDOMÍNIO DZ9 COMUNICACAO VISUAL LTDA	- 4.302,63
------
ID#AAABIwqyk4o
Diamond Tower DTW    (2024-03-08 18:38:42)
14/02/2024	PG.RETENCAO ISSQN NR. DOC: 7 V:10/01/2024 JULIANA SILVA DOS SANTOS	- 30,00
------
ID#AAABIwqyk4w
Diamond Tower DTW    (2024-03-08 18:40:17)
15/02/2024	PG.COMPRA MATERIAL NF.: 578249 SELANTE PU PROTEFIX PROTECAO E FIXACAO LTDA	- 341,25
------
ID#AAABIwqyk5s
Diamond Tower DTW    (2024-03-08 18:55:23)
21/02/2024	PG.SERV.PRESTADOS NF.: 20232061 TROCA DE LOCAL MODEM ADM RL NET POA	- 75,00
------
ID#AAABIwqyk6w
Diamond Tower DTW    (2024-03-08 19:23:43)
26/02/2024	PG.SERV.PRESTADOS NF.: 7 01 DIARIA ALPINISTA P/ FXAÇÃO EMERGENCIAL ACM CLIMBER ROBOTICS MANUTENCAO PREDIAL LTDA	- 1.500,00</t>
      </text>
    </comment>
    <comment ref="Q32" authorId="0" shapeId="0">
      <text>
        <t>======
ID#AAABJB7AmHw
Diamond Tower DTW    (2024-03-11 01:34:02)
06/03/2024	PG.MANUT.GERAL NF.: 35 CONSERTO PERSIANA MOTORIZADA FLEX INDUSTRIA DE PERSIANAS LTDA	- 286,00</t>
      </text>
    </comment>
    <comment ref="E34" authorId="0" shapeId="0">
      <text>
        <t>======
ID#AAAAst4mPzk
Diamond Tower DTW    (2023-03-24 18:26:50)
03/03/2023	PG.LAUDO TECNICO NF.: 202 TNSPEÇÃO DO SPDA BRENNER CARVALHO E SOUZA LTDA	- 1.200,00
------
ID#AAAAst4mP1c
Diamond Tower DTW    (2023-03-24 18:52:58)
10/03/2023	PG.RETENCAO ISSQN NR. DOC: 2023686 V:25/02/2023 TOXILAB LABORATORIO DE ANALISES LTDA	- 16,50
------
ID#AAAAtki6H8Q
Diamond Tower DTW    (2023-03-24 19:07:08)
20/03/2023	LEI 10833-RETENCAO NR. DOC: 2023686 V:25/02/2023 TOXILAB LABORATORIO DE ANALISES LTDA	- 15,35
------
ID#AAAAvw2gdfc
Diamond Tower DTW    (2023-05-02 18:55:22)
03/03/23 TARIFA PIX NR. DOC: 202 BRENNER CARVALHO E SOUZA LTDA - 2,49</t>
      </text>
    </comment>
    <comment ref="F34" authorId="0" shapeId="0">
      <text>
        <t>======
ID#AAAAvxy9hdc
Diamond Tower DTW    (2023-05-03 02:15:12)
20/04/2023	PG.LAUDO PPRA/PCMSO NF.: 202311214 ATIVA MEDICINA E SEGURANÇA DO TRABALHO LTDA	- 132,30</t>
      </text>
    </comment>
    <comment ref="G34" authorId="0" shapeId="0">
      <text>
        <t>======
ID#AAAA9vWEmiM
Diamond Tower DTW    (2024-01-04 00:58:20)
10/05/2023	PG.RETENCAO ISSQN NR. DOC: 202311214 V:20/04/2023 ATIVA MEDICINA E SEGURANÇA DO TRABALHO LTDA	- 2,70
------
ID#AAAA9vWEmjc
Diamond Tower DTW    (2024-01-04 01:56:15)
12/05/2023	PG.LAUDO PPRA/PCMSO NF.: 202314335 ATIVA MEDICINA E SEGURANÇA DO TRABALHO LTDA	- 132,30
------
ID#AAAA9vWEmj0
Diamond Tower DTW    (2024-01-04 02:08:03)
18/05/2023	PG.EQUIP.SEGURANCA (E.P.I) NF.: 535105 UNIFORMES PARA OFICIAL DE MANUTENCAO PROTEFIX PROTECAO E FIXACAO LTDA	- 612,30
------
ID#AAABIcFJebw
Diamond Tower DTW    (2024-03-01 17:41:13)
19/05/2023	PG. INSS/IRRF - FPM/TERCEIROS NR. DOC: 50000132622219 CP 04/2023 MINISTERIO DA PREVIDENCIA SOCIAL	- 18.852,17
------
ID#AAABIcFJeb4
Diamond Tower DTW    (2024-03-01 17:43:26)
19/05/2023	PG. INSS/IRRF - FPM/TERCEIROS NR. DOC: 50000132622219 CP 04/2023 MINISTERIO DA PREVIDENCIA SOCIAL	- 18.852,17</t>
      </text>
    </comment>
    <comment ref="H34" authorId="0" shapeId="0">
      <text>
        <t>======
ID#AAAA90-WawA
Diamond Tower DTW    (2024-01-10 18:36:12)
12/06/2023	PG.EXAME MEDICO NF.: 202317718 ATIVA MEDICINA E SEGURANÇA DO TRABALHO LTDA	- 176,40
------
ID#AAAA90-WawM
Diamond Tower DTW    (2024-01-10 18:36:58)
12/06/2023	PG.RECARGA EXTINTORES NF.: 2023985 + manutencao das mangueiras RS PREVENÇÃO DE INCÊNDIOS SERVIÇOS E COM	- 8.338,00
------
ID#AAAA90-Wawc
Diamond Tower DTW    (2024-01-10 18:38:39)
12/06/2023	PG.RETENCAO ISSQN NR. DOC: 202314335 V:12/05/2023 ATIVA MEDICINA E SEGURANÇA DO TRABALHO LTDA	- 2,70
------
ID#AAAA90-WaxI
Diamond Tower DTW    (2024-01-10 18:47:11)
12/06/2023	PG.SERVICO ELETRICO NF.: 202323 CORRETIVA/PREVENTIVA SUBESTAÇÕES ÉLETRICAS Parc.(4/4) MB CONSTRUCOES ELETRICAS LTDA.	- 3.374,00
------
ID#AAABIcFJecA
Diamond Tower DTW    (2024-03-01 17:45:19)
19/05/2023	PG. INSS/IRRF - FPM/TERCEIROS NR. DOC: 50000132622219 CP 04/2023 MINISTERIO DA PREVIDENCIA SOCIAL	- 18.852,17</t>
      </text>
    </comment>
    <comment ref="I34" authorId="0" shapeId="0">
      <text>
        <t>======
ID#AAAA90-Wa2o
Diamond Tower DTW    (2024-01-10 20:54:35)
10/07/2023	PG.RETENCAO ISSQN NR. DOC: 202317718 V:12/06/2023 ATIVA MEDICINA E SEGURANÇA DO TRABALHO LTDA	- 3,60
------
ID#AAAA90-Wa3o
Diamond Tower DTW    (2024-01-10 21:01:48)
12/07/2023	PG.LAUDO PPRA/PCMSO NF.: 202321078 ATIVA MEDICINA E SEGURANÇA DO TRABALHO LTDA	- 132,30
------
ID#AAAA90-Wa6s
Diamond Tower DTW    (2024-01-10 21:17:00)
31/07/2023	PG.LAUDO TECNICO NF.: 20233109 REF. A QUALIDADE DO AR TOXILAB LABORATORIO DE ANALISES LTDA	- 298,16
------
ID#AAABI7FuU2U
Diamond Tower DTW    (2024-03-07 14:02:54)
20/07/2023	PG. INSS/IRRF - FPM/TERCEIROS NR. DOC: 50000147535045 CP 06/2023 MINISTERIO DA PREVIDENCIA SOCIAL	- 17.832,61	-	+ 381.574,45</t>
      </text>
    </comment>
    <comment ref="J34" authorId="0" shapeId="0">
      <text>
        <t>======
ID#AAABGvXDqZY
Diamond Tower DTW    (2024-02-20 22:37:08)
10/08/2023	PG.RETENCAO ISSQN NR. DOC: 20233109 V:31/07/2023 TOXILAB LABORATORIO DE ANALISES LTDA	- 16,50
------
ID#AAABGvXDqak
Diamond Tower DTW    (2024-02-20 23:00:06)
18/08/2023	LEI 10833-RETENCAO NR. DOC: 20233109 V:31/07/2023 TOXILAB LABORATORIO DE ANALISES LTDA	- 15,35</t>
      </text>
    </comment>
    <comment ref="K34" authorId="0" shapeId="0">
      <text>
        <t>======
ID#AAABGxaTsNQ
Diamond Tower DTW    (2024-02-23 18:08:41)
25/09/2023	PG.TAXA LIBERAÇÃO ÁLVARA DOS BOMBEIROS FUNDO ESPECIAL DE SEGURANCA PUBLICA	- 3.216,45
------
ID#AAABGxaTsOc
Diamond Tower DTW    (2024-02-23 18:48:33)
29/09/2023	PG.SERV.PRESTADOS NF.: 72 INSPEÇÃO VISUAL DO SPDA BRENNER CARVALHO E SOUZA LTDA	- 1.200,00</t>
      </text>
    </comment>
    <comment ref="L34" authorId="0" shapeId="0">
      <text>
        <t>======
ID#AAABGxaTsQw
Diamond Tower DTW    (2024-02-23 19:22:09)
10/10/2023	PG.TAXA RENOVAÇÃO AFT CONSELHO REGIONAL DE QUIMICA DA QUINTA REGIAO	- 272,57
------
ID#AAABGxaTsQ0
Diamond Tower DTW    (2024-02-23 19:23:25)
10/10/2023	PG. TREINAMENTO NF.: 2023306 CURSO NR 10 CIATEC TREINAMENTO E CONSULTORIA EM INFO	- 290,00
------
ID#AAABGxaTsR8
Diamond Tower DTW    (2024-02-23 19:37:29)
18/10/2023	PG. ADEQUAÇÃO/OBRAS PPCI NR. DOC: 20231049 RENOVAÇÃO ALVARÁ Parc.(1/2) RS PREVENÇÃO DE INCÊNDIOS SERVIÇOS E COM	- 2.400,00
------
ID#AAABGxaTsSA
Diamond Tower DTW    (2024-02-23 19:37:44)
19/10/2023	PG.TAXA ART CREA CREA - RS	- 96,62</t>
      </text>
    </comment>
    <comment ref="M34" authorId="0" shapeId="0">
      <text>
        <t>======
ID#AAABGxaTsU0
Diamond Tower DTW    (2024-02-23 20:19:26)
06/11/2023	PG. ADEQUAÇÃO/OBRAS PPCI NR. DOC: 20231049 RENOVAÇÃO ALVARÁ Parc.(2/2) RS PREVENÇÃO DE INCÊNDIOS SERVIÇOS E COM	- 2.400,00
------
ID#AAABGxaTsWQ
Diamond Tower DTW    (2024-02-23 20:32:00)
13/11/2023	PG.LAUDO PPRA/PCMSO NF.: 202336485 ATIVA MEDICINA E SEGURANÇA DO TRABALHO LTDA	- 121,69
------
ID#AAABI7fnF4M
Diamond Tower DTW    (2024-03-07 17:46:14)
20/11/2023	PG. INSS/IRRF - FPM/TERCEIROS NR. DOC: 50000178912883 MINISTERIO DA PREVIDENCIA SOCIAL	- 10.903,40</t>
      </text>
    </comment>
    <comment ref="N34" authorId="0" shapeId="0">
      <text>
        <t>======
ID#AAABINBdlOE
Diamond Tower DTW    (2024-02-29 02:30:36)
11/12/2023	PG.RETENCAO ISSQN NR. DOC: 202336485 V:13/11/2023 ATIVA MEDICINA E SEGURANÇA DO TRABALHO LTDA	- 2,48
------
ID#AAABINBdlOk
Diamond Tower DTW    (2024-02-29 02:39:16)
12/12/2023	PG.CERTIF.DIGITAL NF.: 150380 SAFEWEB SEGURANCA DA INFORMACAO LTDA	- 230,00
------
ID#AAABINBdlOw
Diamond Tower DTW    (2024-02-29 02:40:35)
12/12/2023	PG.LAUDO PPRA/PCMSO NF.: 202340042 ATIVA MEDICINA E SEGURANÇA DO TRABALHO LTDA	- 121,69
------
ID#AAABIAn-GOc
Diamond Tower DTW    (2024-02-29 02:57:04)
28/12/2023	PG.LAUDO PPRA/PCMSO NF.: 202332736 VALOR PENDENTE 12/2022 E 02/2023 ANTIG ADM ATIVA MEDICINA E SEGURANÇA DO TRABALHO LTDA	- 264,60
------
ID#AAABI8UM6XM
Diamond Tower DTW    (2024-03-07 18:33:33)
20/12/2023	PG. INSS/IRRF - FPM/TERCEIROS NR. DOC: 50000188074409 CP. 11/2023 MINISTERIO DA PREVIDENCIA SOCIAL	- 14.231,75</t>
      </text>
    </comment>
    <comment ref="O34" authorId="0" shapeId="0">
      <text>
        <t>======
ID#AAABIAn-GPg
Diamond Tower DTW    (2024-02-29 03:05:10)
05/01/2024	PG.MANUT.GERAL NF.: 20235343 SERV DE COLETA DA AGUA PARA ANALISE PORTABILIDADE TOXILAB LABORATORIO DE ANALISES LTDA	- 118,75
------
ID#AAABIAn-GQc
Diamond Tower DTW    (2024-02-29 03:28:09)
10/01/2024	PG.RETENCAO ISSQN NR. DOC: 202332736 V:28/12/2023 ATIVA MEDICINA E SEGURANÇA DO TRABALHO LTDA	- 5,40
------
ID#AAABIAn-GQg
Diamond Tower DTW    (2024-02-29 03:28:23)
10/01/2024	PG.RETENCAO ISSQN NR. DOC: 202340042 V:12/12/2023 ATIVA MEDICINA E SEGURANÇA DO TRABALHO LTDA	- 2,48
------
ID#AAABIAn-GQk
Diamond Tower DTW    (2024-02-29 03:28:30)
10/01/2024	PG.RETENCAO ISSQN NR. DOC: 20235343 V:05/01/2024 TOXILAB LABORATORIO DE ANALISES LTDA	- 6,25
------
ID#AAABIAn-GRQ
Diamond Tower DTW    (2024-02-29 03:45:34)
12/01/2024	PG.LAUDO PPRA/PCMSO NF.: 20241466 ATIVA MEDICINA E SEGURANÇA DO TRABALHO LTDA	- 121,69
------
ID#AAABIAn-GTA
Diamond Tower DTW    (2024-02-29 03:55:22)
26/01/2024	PG.COMPRA MATERIAL NF.: 1204 PLACAS DE ACRILICOS DZ9 COMUNICACAO VISUAL LTDA	- 2.460,00</t>
      </text>
    </comment>
    <comment ref="P34" authorId="0" shapeId="0">
      <text>
        <t>======
ID#AAABI8VpC1o
Diamond Tower DTW    (2024-03-07 19:25:20)
14/02/2024	PG.LAUDO PPRA/PCMSO NF.: 20244932 ATIVA MEDICINA E SEGURANÇA DO TRABALHO LTDA	- 121,69
------
ID#AAABI8VpC2c
Diamond Tower DTW    (2024-03-07 20:16:04)
14/02/2024	PG.RETENCAO ISSQN NR. DOC: 20241466 V:12/01/2024 ATIVA MEDICINA E SEGURANÇA DO TRABALHO LTDA	- 2,48
------
ID#AAABIwqyk5k
Diamond Tower DTW    (2024-03-08 18:53:33)
20/02/2024	PG.SERV.PRESTADOS NF.: 2024454 ANALISE LABORATORIAL QUALIDADE DO AR TOXILAB LABORATORIO DE ANALISES LTDA	- 325,26</t>
      </text>
    </comment>
    <comment ref="Q34" authorId="0" shapeId="0">
      <text>
        <t>======
ID#AAABJMHUnEk
Diamond Tower DTW    (2024-03-14 21:08:51)
11/03/2024	PG.RETENCAO ISSQN NR. DOC: 2024454 V:16/02/2024 TOXILAB LABORATORIO DE ANALISES LTDA	- 18,00
------
ID#AAABJMHUnEo
Diamond Tower DTW    (2024-03-14 21:09:06)
11/03/2024	PG.RETENCAO ISSQN NR. DOC: 20244932 V:14/02/2024 ATIVA MEDICINA E SEGURANÇA DO TRABALHO LTDA	- 2,48
------
ID#AAABJMHUnFc
Diamond Tower DTW    (2024-03-14 21:13:35)
12/03/2024	PG.LAUDO PPRA/PCMSO NF.: 20248269 ATIVA MEDICINA E SEGURANÇA DO TRABALHO LTDA	- 121,69</t>
      </text>
    </comment>
    <comment ref="G35" authorId="0" shapeId="0">
      <text>
        <t>======
ID#AAABIcFJebk
Diamond Tower DTW    (2024-03-01 17:33:02)
19/05/2023	PG. INSS/IRRF - FPM/TERCEIROS NR. DOC: 50000132622219 CP 04/2023 MINISTERIO DA PREVIDENCIA SOCIAL	- 18.852,17</t>
      </text>
    </comment>
    <comment ref="H35" authorId="0" shapeId="0">
      <text>
        <t>======
ID#AAAA90-Wavw
Diamond Tower DTW    (2024-01-10 18:33:22)
09/06/2023	PG.LIMPEZA CAIXA DAGUA NF.: 20231591 CONTROLE DE PRAGAS, LIMPEZÀ. HIGIENIZAÇÀO DE RESER ECO-AMBIENTAL CONSULTORIA LTDA	- 2.208,78</t>
      </text>
    </comment>
    <comment ref="I35" authorId="0" shapeId="0">
      <text>
        <t>======
ID#AAAA90-Wa5Q
Diamond Tower DTW    (2024-01-10 21:08:53)
20/07/2023	LEI 10833-RETENCAO NR. DOC: 20231591 V:09/06/2023 ECO-AMBIENTAL CONSULTORIA LTDA	- 123,23
------
ID#AAAA90-Wa5Y
Diamond Tower DTW    (2024-01-10 21:10:17)
20/07/2023	PG. IRRF NR. DOC: 20231591 V:09/06/2023 ECO-AMBIENTAL CONSULTORIA LTDA	- 26,50</t>
      </text>
    </comment>
    <comment ref="N35" authorId="0" shapeId="0">
      <text>
        <t>======
ID#AAABIAn-GNk
Diamond Tower DTW    (2024-02-29 02:51:46)
22/12/2023	PG.LIMPEZA CAIXA DAGUA NF.: 380 Parc.(1/2) HERMES IMUNIZACAO E CONTROLE DE PRAGAS LTDA	- 825,10
------
ID#AAABI8UM6XE
Diamond Tower DTW    (2024-03-07 18:32:02)
20/12/2023	PG. INSS/IRRF - FPM/TERCEIROS NR. DOC: 50000188074409 CP. 11/2023 MINISTERIO DA PREVIDENCIA SOCIAL	- 14.231,75</t>
      </text>
    </comment>
    <comment ref="O35" authorId="0" shapeId="0">
      <text>
        <t>======
ID#AAABIAn-GQs
Diamond Tower DTW    (2024-02-29 03:29:05)
10/01/2024	PG.RETENCAO ISSQN NR. DOC: 380 V:22/12/2023 HERMES IMUNIZACAO E CONTROLE DE PRAGAS LTDA	- 44,60
------
ID#AAABIAn-GSg
Diamond Tower DTW    (2024-02-29 03:51:28)
22/01/2024	PG.LIMPEZA CAIXA DAGUA NF.: 380 Parc.(2/2) HERMES IMUNIZACAO E CONTROLE DE PRAGAS LTDA	- 1.115,00
------
ID#AAABI8VpC0E
Diamond Tower DTW    (2024-03-07 19:09:09)
19/01/2024	PG. INSS/IRRF - FPM/TERCEIROS NR. DOC: 50000198099997 CP. 12/2023 MINISTERIO DA PREVIDENCIA SOCIAL	- 15.891,02</t>
      </text>
    </comment>
    <comment ref="I36" authorId="0" shapeId="0">
      <text>
        <t>======
ID#AAAA90-Wa34
Diamond Tower DTW    (2024-01-10 21:02:52)
13/07/2023	PG.BENFEITORIAS/AQUISIÇÕES AQUISIÇÃO DE 02 PLANTAS ARTIFICIAIS P/ RECEPÇÃO PAGAR.ME PAGAMENTOS S.A.	- 1.111,31</t>
      </text>
    </comment>
    <comment ref="E39" authorId="0" shapeId="0">
      <text>
        <t>======
ID#AAAAvxhdLwo
Diamond Tower DTW    (2023-05-02 20:02:52)
28/03/23 PG.COMPRA MATERIAL NF.: 9165 CARTAO DE PROXIMIDADE LIZA MANTOVANELLI - 1.088,00</t>
      </text>
    </comment>
    <comment ref="F39" authorId="0" shapeId="0">
      <text>
        <t>======
ID#AAAAvxy9hc8
Diamond Tower DTW    (2023-05-03 02:08:38)
20/04/2023	PG.COMPRA MATERIAL AQUISIÇÃO 100 CARTÕES SIMPLES P/ ACESSO AO PREDIO RODRIGO LUIS GIOLITO BIZERRIL ME	- 371,00</t>
      </text>
    </comment>
    <comment ref="H39" authorId="0" shapeId="0">
      <text>
        <t>======
ID#AAAA90-Wa0A
Diamond Tower DTW    (2024-01-10 20:06:52)
30/06/2023	PG.COMPRA MATERIAL NR. DOC: 9450 AQUIS. CARTÕES DE PROXIMIDADE (CONTROLE DE ACESSO) LIZA MANTOVANELLI	- 799,00</t>
      </text>
    </comment>
    <comment ref="J39" authorId="0" shapeId="0">
      <text>
        <t>======
ID#AAABGvXDqaI
Diamond Tower DTW    (2024-02-20 22:56:31)
15/08/2023	PG.COMPRA MATERIAL NF.: 1118112 BOBINAS TERMICAS P/ IMPRESSSÃO RECEPÇÃO FORTPEL COMERCIO DE DESCARTAVEIS LTDA	- 167,10</t>
      </text>
    </comment>
    <comment ref="K39" authorId="0" shapeId="0">
      <text>
        <t>======
ID#AAABHLDlA2U
Diamond Tower DTW    (2024-02-23 00:06:25)
13/09/2023	PG.COMPRA MATERIAL NR. DOC: 13445 CARTÃO DE APROXIMAÇÃO RODRIGO LUIS GIOLITO BIZERRIL ME	- 237,50</t>
      </text>
    </comment>
    <comment ref="N39" authorId="0" shapeId="0">
      <text>
        <t>======
ID#AAABINBdlNg
Diamond Tower DTW    (2024-02-29 02:28:20)
11/12/2023	PG.BENFEITORIAS/AQUISIÇÕES NF.: 20613 200 CRACHAS PERSONALIZADOS AC-TEC TECNOLOGIA EM CONTROLE DE ACESSO E IDENTIFICAÇÃO - LTDA	- 781,00</t>
      </text>
    </comment>
    <comment ref="H40" authorId="0" shapeId="0">
      <text>
        <t>======
ID#AAAA90-Way8
Diamond Tower DTW    (2024-01-10 19:53:52)
23/06/2023	PG.SERV.CHAVEIRO NF.: 2023147 TROCA DE SEGREDO DE 02 FECHADURAS BIGKEY COMERCIAL DE CHAVES LTDA	- 100,00</t>
      </text>
    </comment>
    <comment ref="I40" authorId="0" shapeId="0">
      <text>
        <t>======
ID#AAAA90-Wa6k
Diamond Tower DTW    (2024-01-10 21:16:27)
31/07/2023	PG.COMPRA MATERIAL NF.: 19920 01 CÓPIA CHAVE CARRINHO DE COMPRAS PRODUTOS &amp; EQUIPAMENTOS MB LTDA	- 10,00</t>
      </text>
    </comment>
    <comment ref="N40" authorId="0" shapeId="0">
      <text>
        <t>======
ID#AAABINBdlNM
Diamond Tower DTW    (2024-02-29 02:22:35)
05/12/2023	PG.SERV.CHAVEIRO NF.: 52 JONATAN KUNDE NOGUEIRA	- 220,00
------
ID#AAABINBdlNQ
Diamond Tower DTW    (2024-02-29 02:22:45)
05/12/2023	PG.SERV.CHAVEIRO NF.: 54 JONATAN KUNDE NOGUEIRA	- 40,00
------
ID#AAABINBdlO8
Diamond Tower DTW    (2024-02-29 02:41:22)
15/12/2023	PG.COMPRA MATERIAL NF.: 20987 CHAVES CARRINHO SALAS 304 E 305 PRODUTOS &amp; EQUIPAMENTOS MB LTDA	- 20,00</t>
      </text>
    </comment>
    <comment ref="K41" authorId="0" shapeId="0">
      <text>
        <t>======
ID#AAABHLKhPw8
Diamond Tower DTW    (2024-02-22 23:02:08)
08/09/2023	PG.COMPRA MAT. ELETRICO NF.: 41579 LAMPADA + SOQUETE PROCAL FERRAGENS E TINTAS LTDA	- 439,50
------
ID#AAABHLDlA2I
Diamond Tower DTW    (2024-02-23 00:05:03)
12/09/2023	PG.COMPRA MAT. ELETRICO NF.: 68372 REFLETORES FERRAGEM PONTO SUL LTDA	- 71,61</t>
      </text>
    </comment>
    <comment ref="H42" authorId="0" shapeId="0">
      <text>
        <t>======
ID#AAABDsYHhwU
Diamond Tower DTW    (2024-01-05 13:40:28)
02/06/2023	PG.COMPRA MATERIAL NF.: 40073 P/ CONSERTO DA FILTRAÇÃO DO TERRAÇO PROCAL FERRAGENS E TINTAS LTDA	- 613,90
------
ID#AAAA90-WazI
Diamond Tower DTW    (2024-01-10 19:54:42)
26/06/2023	PG.COMPRA MATERIAL NF.: 40389 AQUISIÇÃO DE MATERIAIS PARA MANUTENÇÃO GERAL PROCAL FERRAGENS E TINTAS LTDA	- 128,05</t>
      </text>
    </comment>
    <comment ref="I42" authorId="0" shapeId="0">
      <text>
        <t>======
ID#AAAA90-Wa2Y
Diamond Tower DTW    (2024-01-10 20:53:38)
10/07/2023	PG.COMPRA MATERIAL NF.: 148232 AQUIS. MOLA PISO P/ PORTA VIDRO SAÍDA SUBS.ESTAC. Parc.(2/3) LUFAT COMERCIO DE FECHADURAS LTDA	- 330,00
------
ID#AAAA90-Wa4A
Diamond Tower DTW    (2024-01-10 21:04:14)
14/07/2023	PG.COMPRA MATERIAL NF.: 40716 P/ ORGANIZAÃO DO NOVO ESPAÇO SALA DE HIGIENIZAÇÃO PROCAL FERRAGENS E TINTAS LTDA	- 350,10
------
ID#AAAA90-Wa4Y
Diamond Tower DTW    (2024-01-10 21:05:47)
17/07/2023	MANUT. ALVENARIA/ACABAMENTOS NF.: 202329 REPARO E PINTURA NO FORRO DO GESSO UNIDADE 2301 JSM SERVIÇOS HIDRAULICO E MANUT	- 432,00
------
ID#AAAA90-Wa5w
Diamond Tower DTW    (2024-01-10 21:12:26)
24/07/2023	PG.COMPRA MAT.PINTURA NF.: 40885 AQUISIÇÃO MATERIAL P/ PINTURA EM GERAL PROCAL FERRAGENS E TINTAS LTDA	- 46,90
------
ID#AAABI7FuU2Y
Diamond Tower DTW    (2024-03-07 14:04:23)
20/07/2023	PG. INSS/IRRF - FPM/TERCEIROS NR. DOC: 50000147535045 CP 06/2023 MINISTERIO DA PREVIDENCIA SOCIAL	- 17.832,61	-	+ 381.574,45</t>
      </text>
    </comment>
    <comment ref="J42" authorId="0" shapeId="0">
      <text>
        <t>======
ID#AAABGvNN0y4
Diamond Tower DTW    (2024-02-20 19:47:38)
02/08/2023	PG.COMPRA MATERIAL NF.: 40983 MANUTENÇÃO DA INFILTRAÇÃO TERRAÇO E UNIDADE 2301 PROCAL FERRAGENS E TINTAS LTDA	- 547,60
------
ID#AAABGvNN0zA
Diamond Tower DTW    (2024-02-20 19:48:20)
03/08/2023	PG.COMPRA MATERIAL NF.: 41011 P/ INFILTRAÇÃO NAS JANELAS PROCAL FERRAGENS E TINTAS LTDA	- 437,90
------
ID#AAABGvXDqZU
Diamond Tower DTW    (2024-02-20 22:36:32)
10/08/2023	PG.RETENCAO ISSQN NR. DOC: 202329 V:17/07/2023 JSM SERVIÇOS HIDRAULICO E MANUT	- 18,00
------
ID#AAABGvXDqZw
Diamond Tower DTW    (2024-02-20 22:40:24)
11/08/2023	PG.COMPRA MATERIAL NF.: 64697 REFORMA REFEITÓRIO SALISTAS/CONSER. PIA WC FEMIN. FERRAGEM PONTO SUL LTDA	- 722,60
------
ID#AAABGvXDqaA
Diamond Tower DTW    (2024-02-20 22:43:06)
14/08/2023	PG.COMPRA MATERIAL NF.: 41162 MANUTENÇÃO INFILTRAÇÃO/CABOS INST. INTERFONE PROCAL FERRAGENS E TINTAS LTDA	- 506,40
------
ID#AAABGvXDqaE
Diamond Tower DTW    (2024-02-20 22:43:22)
14/08/2023	PG.COMPRA MATERIAL NF.: 41163 MANUT. PISO DO 3º E 18º ANDAR/ REFEITORIO FUNC. PROCAL FERRAGENS E TINTAS LTDA	- 136,40
------
ID#AAABHLBZ4a0
Diamond Tower DTW    (2024-02-22 21:48:44)
24/08/2023	MANUT. ALVENARIA/ACABAMENTOS REPARO GESSO E PINTURA DO FORRO UNIDADE 2301 DIOMEDES C.	- 489,50
------
ID#AAABHLHSek0
Diamond Tower DTW    (2024-02-22 22:19:24)
29/08/2023	PG.BENFEITORIAS/AQUISIÇÕES NF.: 41406 CORTADOR PROFISSIONAL PISO PROCAL FERRAGENS E TINTAS LTDA	- 175,00
------
ID#AAABI6uuxCI
Diamond Tower DTW    (2024-03-07 16:58:15)
18/08/2023	PG. INSS/IRRF - FPM/TERCEIROS NR. DOC: 50000155856535 CP 07/2023 MINISTERIO DA PREVIDENCIA SOCIAL	- 14.257,08</t>
      </text>
    </comment>
    <comment ref="K42" authorId="0" shapeId="0">
      <text>
        <t>======
ID#AAABHLKhPwo
Diamond Tower DTW    (2024-02-22 22:58:37)
06/09/2023	PG.COMPRA MATERIAL NF.: 41547 REFORMA REFEITORIO SALISTAS PROCAL FERRAGENS E TINTAS LTDA	- 313,55
------
ID#AAABHLKhPws
Diamond Tower DTW    (2024-02-22 22:59:00)
06/09/2023	PG.COMPRA MAT.PINTURA NF.: 41545 REFORMA REFEITORIO SALISTAS PROCAL FERRAGENS E TINTAS LTDA	- 337,80
------
ID#AAABHLDlA2M
Diamond Tower DTW    (2024-02-23 00:05:22)
12/09/2023	PG.COMPRA MATERIAL NF.: 41643 REFORMA REFEITORIOS SALISTAS PROCAL FERRAGENS E TINTAS LTDA	- 28,45
------
ID#AAABHLDlA2Y
Diamond Tower DTW    (2024-02-23 00:06:44)
15/09/2023	PG.COMPRA MATERIAL NF.: 68176 P/ CONSERTO INFILTRAÇÃO NO TERRAÇO FERRAGEM PONTO SUL LTDA	- 56,90
------
ID#AAABGxaTsNc
Diamond Tower DTW    (2024-02-23 18:12:46)
26/09/2023	PG.COMPRA MATERIAL NF.: 41765 FERRAGEM PROCAL FERRAGENS E TINTAS LTDA	- 145,00
------
ID#AAABGxaTsNg
Diamond Tower DTW    (2024-02-23 18:13:01)
26/09/2023	PG.COMPRA MATERIAL NF.: 41808 FERRAGEM PROCAL FERRAGENS E TINTAS LTDA	- 70,10</t>
      </text>
    </comment>
    <comment ref="L42" authorId="0" shapeId="0">
      <text>
        <t>======
ID#AAABGxaTsP0
Diamond Tower DTW    (2024-02-23 19:13:01)
09/10/2023	PG.COMPRA MATERIAL NF.: 41975 CONSERTO INFILTRAÇÃO TERRAÇO UNIDADE 2301 PROCAL FERRAGENS E TINTAS LTDA	- 496,05
------
ID#AAABGxaTsRo
Diamond Tower DTW    (2024-02-23 19:33:19)
16/10/2023	PG.COMPRA MAT.PISCINA NF.: 32525 TAMPA P/ FILTRO ESPELHIO DÁGUA MASTER PISCINAS LTDA	- 120,00</t>
      </text>
    </comment>
    <comment ref="M42" authorId="0" shapeId="0">
      <text>
        <t>======
ID#AAABGxaTsUo
Diamond Tower DTW    (2024-02-23 20:18:45)
01/11/2023	PG.UNIFORMES NF.: 562633 MANUTENÇÃO PROTEFIX PROTECAO E FIXACAO LTDA	- 391,95</t>
      </text>
    </comment>
    <comment ref="N42" authorId="0" shapeId="0">
      <text>
        <t>======
ID#AAABINBdlL0
Diamond Tower DTW    (2024-02-29 01:54:08)
05/12/2023	PG.COMPRA MAT.CONSTR. NF.: 42781 REBOCOS DAS ESCADAS DE INCENDIO PROCAL FERRAGENS E TINTAS LTDA	- 124,80
------
ID#AAABINBdlNU
Diamond Tower DTW    (2024-02-29 02:26:02)
06/12/2023	PG.COMPRA MAT. ELETRICO NF.: 392524 CIGAME COMERCIO DE MATERIAL ELETRICO E HIDRAULICO LTDA	- 320,80
------
ID#AAABINBdlOs
Diamond Tower DTW    (2024-02-29 02:40:01)
12/12/2023	PG.COMPRA MAT.HIDRAULICO NF.: 4149 REPARO REGISTRO CX DÁGUA 02 ANA LUISA DE A S R CIA LTDA ME-DECATEC	- 621,35</t>
      </text>
    </comment>
    <comment ref="E43" authorId="0" shapeId="0">
      <text>
        <t>======
ID#AAAAst4mPzE
Diamond Tower DTW    (2023-03-24 18:24:47)
01/03/2023	PG.COMPRA MATERIAL NF.: 38539 MANUTENÇÃO PROCAL FERRAGENS E TINTAS LTDA	- 298,45
------
ID#AAAAst4mPzc
Diamond Tower DTW    (2023-03-24 18:26:23)
03/03/2023	PG.COMPRA MATERIAL NF.: 38554 MANUTENÇÃO PROCAL FERRAGENS E TINTAS LTDA	- 93,45
------
ID#AAAAst4mP0U
Diamond Tower DTW    (2023-03-24 18:41:58)
09/03/2023	PG.COMPRA TINTAS NF.: 38621 PROCAL FERRAGENS E TINTAS LTDA	- 159,90
------
ID#AAAAst4mP18
Diamond Tower DTW    (2023-03-24 18:56:55)
13/03/2023	PG.COMPRA MATERIAL NF.: 38666 MANUTENCAO PREDIAL PROCAL FERRAGENS E TINTAS LTDA	- 183,75
------
ID#AAAAst4mP2A
Diamond Tower DTW    (2023-03-24 18:57:36)
13/03/2023	PG.COMPRA MATERIAL NF.: 38678 MANUTENCOES EM GERAL PROCAL FERRAGENS E TINTAS LTDA	- 29,50
------
ID#AAAAst4mP2E
Diamond Tower DTW    (2023-03-24 18:57:44)
13/03/2023	PG.COMPRA MATERIAL NF.: 38684 MENUTENCOES EM GERAL PROCAL FERRAGENS E TINTAS LTDA	- 76,40
------
ID#AAAAtki6H70
Diamond Tower DTW    (2023-03-24 18:59:55)
17/03/2023	PG.COMPRA MATERIAL NF.: 38754 MANUTENCAO PROCAL FERRAGENS E TINTAS LTDA	- 189,90
------
ID#AAAAsuFiYuM
Diamond Tower DTW    (2023-03-24 19:36:39)
21/03/2023	PG.COMPRA MAT. ELETRICO MERCADO PAGO INSTITUICAO DE PAGAMENTO LT	- 115,99
------
ID#AAAAvxhdLwk
Diamond Tower DTW    (2023-05-02 20:02:39)
28/03/23 PG.COMPRA MAT. ELETRICO NF.: 10097 Parc.(1/3) TRILUZ - COELBRA DISTRIB
ELETRICA LTDA
- 344,00</t>
      </text>
    </comment>
    <comment ref="F43" authorId="0" shapeId="0">
      <text>
        <t>======
ID#AAAAvxspads
Diamond Tower DTW    (2023-05-03 00:30:20)
03/04/2023	PG.COMPRA MATERIAL NF.: 39079 REPARO SISTEMA DE DRENAGEM REFRIGERACAO RECEPCAO PROCAL FERRAGENS E TINTAS LTDA	- 216,85
------
ID#AAAAvxspafU
Diamond Tower DTW    (2023-05-03 00:44:08)
06/04/2023	PG.COMPRA MAT. ELETRICO NF.: 10105 FITA LED + KIT DE INST/REPOSOSIÇÃO NOS ANDARES Parc.(1/3) TRILUZ - COELBRA DISTRIB ELETRICA LTDA	- 786,16
------
ID#AAAAvxbhvg8
Diamond Tower DTW    (2023-05-03 01:58:37)
11/04/2023	PG.COMPRA MAT. ELETRICO AQUISIÇÃO PLUG FÊMEAS P/REPOSIÇÃO CORREDORES MERCADO PAGO INSTITUICAO DE PAGAMENTO LT	- 143,97
------
ID#AAAAvxbhvhA
Diamond Tower DTW    (2023-05-03 01:59:14)
11/04/2023	PG.COMPRA MAT. ELETRICO NF.: 10097 Parc.(2/3) TRILUZ - COELBRA DISTRIB ELETRICA LTDA	- 344,00
------
ID#AAAAvxbhvhE
Diamond Tower DTW    (2023-05-03 01:59:25)
11/04/2023	PG.COMPRA MATERIAL NF.: 39236 BOIA P/CAI'XA D'AGUA E 2TIRA COLA LIMPEZA DO ELEVA PROCAL FERRAGENS E TINTAS LTDA	- 409,45
------
ID#AAAAvxbhvhM
Diamond Tower DTW    (2023-05-03 02:00:13)
12/04/2023	PG.COMPRA MAT. ELETRICO NF.: 10108 AQUIISIÇÃO DE 20 LAMPADAS LED DICROICAS Parc.(1/2) TRILUZ - COELBRA DISTRIB ELETRICA LTDA	- 184,00
------
ID#AAAAvxbhvhQ
Diamond Tower DTW    (2023-05-03 02:00:51)
12/04/2023	PG.COMPRA MATERIAL NF.: 39279 . PROCAL FERRAGENS E TINTAS LTDA	- 379,90
------
ID#AAAAvxbhvhk
Diamond Tower DTW    (2023-05-03 02:02:16)
17/04/2023	PG.COMPRA MAT. ELETRICO NF.: 39344 AQUIS. MAT. P/CONSERTO ILUMIN. COPA FUNCIONÁRIOS PROCAL FERRAGENS E TINTAS LTDA	- 94,05
------
ID#AAAAvxy9hcg
Diamond Tower DTW    (2023-05-03 02:06:26)
19/04/2023	PG.COMPRA MAT. ELETRICO NF.: 10108 AQUISIÇÃO 20 LAMPADAS LED DICROICAS Parc.(2/2) TRILUZ - COELBRA DISTRIB ELETRICA LTDA	- 184,00
------
ID#AAAAvxy9hc4
Diamond Tower DTW    (2023-05-03 02:08:19)
20/04/2023	PG.COMPRA MAT. ELETRICO NF.: 10105 FITA LED + KIT DE INST/REPOSOSIÇÃO NOS ANDARES Parc.(2/3) TRILUZ - COELBRA DISTRIB ELETRICA LTDA	- 786,17
------
ID#AAAAvxy9hdA
Diamond Tower DTW    (2023-05-03 02:08:51)
20/04/2023	PG.COMPRA MATERIAL NF.: 39435 ESTOQUE DE MATERIAIS PARA ESTOQUE DE MANUTENCAO PROCAL FERRAGENS E TINTAS LTDA	- 181,90
------
ID#AAAAvxy9hds
Diamond Tower DTW    (2023-05-03 02:16:30)
25/04/2023	PG.COMPRA MATERIAL NF.: 39476 MATERIAL PARA MANUTENCAO PROCAL FERRAGENS E TINTAS LTDA	- 35,30
------
ID#AAAAvxy9hdw
Diamond Tower DTW    (2023-05-03 02:16:43)
25/04/2023	PG.COMPRA MATERIAL NF.: 39483 MANUTENCAO DO BANHEIRO MASCULINO SUBSOLO PROCAL FERRAGENS E TINTAS LTDA	- 117,40
------
ID#AAAAvxy9heM
Diamond Tower DTW    (2023-05-03 02:18:44)
28/04/2023	PG.COMPRA MATERIAL NF.: 39537 . PROCAL FERRAGENS E TINTAS LTDA	- 142,10</t>
      </text>
    </comment>
    <comment ref="G43" authorId="0" shapeId="0">
      <text>
        <t>======
ID#AAAA9vWEmjY
Diamond Tower DTW    (2024-01-04 01:55:51)
11/05/2023	PG.COMPRA MAT. ELETRICO NF.: 10097 Parc.(3/3) TRILUZ - COELBRA DISTRIB ELETRICA LTDA	- 344,00
------
ID#AAABDrIQ9VY
Diamond Tower DTW    (2024-01-04 16:59:25)
22/05/2023	PG.COMPRA MAT. ELETRICO NF.: 10105 FITA LED + KIT DE INST/REPOSOSIÇÃO NOS ANDARES Parc.(3/3) TRILUZ - COELBRA DISTRIB ELETRICA LTDA	- 786,17
------
ID#AAABDrIQ9Vc
Diamond Tower DTW    (2024-01-04 16:59:58)
22/05/2023	PG.COMPRA MATERIAL NF.: 39919 MANUTENÇÃO GERAL PROCAL FERRAGENS E TINTAS LTDA	- 51,40
------
ID#AAABDrIQ9V8
Diamond Tower DTW    (2024-01-04 17:03:52)
26/05/2023	PG.COMPRA MATERIAL NF.: 39995 HIGIENIZAÇÃO E MANUTENÇÃO GERAL PROCAL FERRAGENS E TINTAS LTDA	- 216,00</t>
      </text>
    </comment>
    <comment ref="H43" authorId="0" shapeId="0">
      <text>
        <t>======
ID#AAABDsYHhwA
Diamond Tower DTW    (2024-01-05 13:37:40)
01/06/2023	PG.COMPRA MATERIAL NF.: 40040 MANUTENÇÃO GERAL PROCAL FERRAGENS E TINTAS LTDA	- 42,80
------
ID#AAAA90-Wavg
Diamond Tower DTW    (2024-01-10 18:21:03)
09/06/2023	PG.COMPRA MAT. ELETRICO NF.: 356465 AQUIS. LAMPADAS LED E BULBO PARA REPOSICAO GERAL CIGAME COMERCIO DE MATERIAL ELETRICO E HIDRAULICO LTDA	- 498,20
------
ID#AAAA90-Wavk
Diamond Tower DTW    (2024-01-10 18:21:27)
09/06/2023	PG.COMPRA MATERIAL NF.: 148232 AQUIS. MOLA PISO P/ PORTA VIDRO SAÍDA SUBS.ESTAC. Parc.(1/3) LUFAT COMERCIO DE FECHADURAS LTDA	- 330,00
------
ID#AAAA90-Wavs
Diamond Tower DTW    (2024-01-10 18:33:06)
09/06/2023	PG.COMPRA MATERIAL NF.: 40148 MANUTENÇÃO GERAL PROCAL FERRAGENS E TINTAS LTDA	- 134,05
------
ID#AAAA90-WaxU
Diamond Tower DTW    (2024-01-10 18:48:08)
13/06/2023	PG.COMPRA MATERIAL NF.: 40213 MANUTENCAO CONDOMINIO PROCAL FERRAGENS E TINTAS LTDA	- 67,10
------
ID#AAAA90-Wayg
Diamond Tower DTW    (2024-01-10 19:33:38)
22/06/2023	PG.COMPRA MAT.HIDRAULICO NF.: 40337 AQUISIÇÃO DE MATERIAL DE MANUTENÇÃO PREDIAL PROCAL FERRAGENS E TINTAS LTDA	- 100,00
------
ID#AAAA90-Wazo
Diamond Tower DTW    (2024-01-10 20:04:28)
29/06/2023	PG.COMPRA MATERIAL NF.: 40460 AQUIS.MAT. INSTALAÇÃO TV ADM/USO CAMERAS MONITOR. PROCAL FERRAGENS E TINTAS LTDA	- 64,80
------
ID#AAAA90-Waz8
Diamond Tower DTW    (2024-01-10 20:06:38)
30/06/2023	PG.COMPRA MATERIAL NF.: 40506 AQUIS. MAT. FINALIZAÇÃO INST. TV ADM USO CAMERAS PROCAL FERRAGENS E TINTAS LTDA	- 71,40</t>
      </text>
    </comment>
    <comment ref="I43" authorId="0" shapeId="0">
      <text>
        <t>======
ID#AAAA90-Wa1Q
Diamond Tower DTW    (2024-01-10 20:29:33)
04/07/2023	PG.COMPRA MATERIAL NF.: 40557 P/RECOLOCAÇÃO DO ACM QUE SOLTOU (FUNDOS DOCA) PROCAL FERRAGENS E TINTAS LTDA	- 443,20
------
ID#AAAA90-Wa3U
Diamond Tower DTW    (2024-01-10 20:57:44)
11/07/2023	PG.COMPRA MATERIAL NF.: 40633 P/PINTURA DAS ENTRADAS ACESSO ESTACIONAMENTO PROCAL FERRAGENS E TINTAS LTDA	- 546,85
------
ID#AAAA90-Wa4E
Diamond Tower DTW    (2024-01-10 21:04:27)
14/07/2023	PG.COMPRA MATERIAL NF.: 40717 P/VEDAÇÃO DAS JANELAS C/ INFILTRAÇÃO (TEMPORAL) PROCAL FERRAGENS E TINTAS LTDA	- 110,70
------
ID#AAAA90-Wa58
Diamond Tower DTW    (2024-01-10 21:13:18)
25/07/2023	PG.COMPRA MAT.PINTURA NF.: 40870 PROCAL FERRAGENS E TINTAS LTDA	- 63,55</t>
      </text>
    </comment>
    <comment ref="J43" authorId="0" shapeId="0">
      <text>
        <t>======
ID#AAABGvNN0zE
Diamond Tower DTW    (2024-02-20 19:48:43)
04/08/2023	PG.COMPRA MAT. ELETRICO NF.: 324 LAMPADA LED TUBULAR E DICROICAS GUILHERME NETTO COSTA	- 1.250,00
------
ID#AAABGvTkl7A
Diamond Tower DTW    (2024-02-20 20:15:45)
07/08/2023	PG.COMPRA MATERIAL NF.: 148232 AQUIS. MOLA PISO P/ PORTA VIDRO SAÍDA SUBS.ESTAC. Parc.(3/3) LUFAT COMERCIO DE FECHADURAS LTDA	- 330,00
------
ID#AAABGvXDqXg
Diamond Tower DTW    (2024-02-20 21:45:11)
09/08/2023	PG.COMPRA MATERIAL NF.: 41408 ESPAÇADOR DE PISO P/ REFORMA PROCAL FERRAGENS E TINTAS LTDA	- 24,40
------
ID#AAABHLBZ4aQ
Diamond Tower DTW    (2024-02-22 21:43:10)
21/08/2023	PG.COMPRA MAT. ELETRICO NF.: 41268 MANUTENÇÕES GERAIS - 15 REFLETORES LED PROCAL FERRAGENS E TINTAS LTDA	- 383,70
------
ID#AAABHLBZ4bI
Diamond Tower DTW    (2024-02-22 21:50:22)
25/08/2023	PG.COMPRA MATERIAL NF.: 41300 AQUISIÇÃO DE PASSAFIO PARA MANUTENÇÃO GERAL PROCAL FERRAGENS E TINTAS LTDA	- 106,68
------
ID#AAABHLHR8hg
Diamond Tower DTW    (2024-02-22 22:03:01)
LEROY MERLIN-CT
12/07
ALEIRO
090863
5722
0,00
100,80
------
ID#AAABHLHR8hk
Diamond Tower DTW    (2024-02-22 22:03:20)
LEROY MERLIN-CT
12/07
ALEIRO
096459
5722
0,00
29,90
------
ID#AAABHLHR8ho
Diamond Tower DTW    (2024-02-22 22:03:38)
LEROY MERLIN-CT
24/07
ALEIRO
011881
5722
0,00
5,64
------
ID#AAABHLHSekc
Diamond Tower DTW    (2024-02-22 22:06:38)
LEROY MERLIN-CT
10/08
ALEIRO
026536
5722
0,00
95,88</t>
      </text>
    </comment>
    <comment ref="K43" authorId="0" shapeId="0">
      <text>
        <t>======
ID#AAABHLDlA20
Diamond Tower DTW    (2024-02-23 00:08:40)
19/09/2023	PG.COMPRA MATERIAL NF.: 41736 PARAFUSOS PROCAL FERRAGENS E TINTAS LTDA	- 27,05
------
ID#AAABGxaTsNU
Diamond Tower DTW    (2024-02-23 18:09:45)
26/09/2023	PG.COMPRA MAT. ELETRICO NF.: 378245 DISJUNTOR CIGAME COMERCIO DE MATERIAL ELETRICO E HIDRAULICO LTDA	- 151,91
------
ID#AAABGxaTsNY
Diamond Tower DTW    (2024-02-23 18:11:06)
26/09/2023	PG.COMPRA MATERIAL NF.: 13643 FECHADURAS DE EMBUTIR P/MANUTENÇÕES INECIL - INDUSTRIA E COMERCIO EIRELI	- 1.440,00</t>
      </text>
    </comment>
    <comment ref="L43" authorId="0" shapeId="0">
      <text>
        <t>======
ID#AAABGxaTsQ8
Diamond Tower DTW    (2024-02-23 19:23:56)
11/10/2023	PG.COMPRA MAT. ELETRICO NF.: 381097 DISJUNTOR CIGAME COMERCIO DE MATERIAL ELETRICO E HIDRAULICO LTDA	- 283,17
------
ID#AAABGxaTsTI
Diamond Tower DTW    (2024-02-23 19:56:21)
14/09
CIGAME COM MAT ELE
033301
5211
0,00
54,61</t>
      </text>
    </comment>
    <comment ref="M43" authorId="0" shapeId="0">
      <text>
        <t>======
ID#AAABGxaTsWU
Diamond Tower DTW    (2024-02-23 20:38:16)
14/11/2023	PG.COMPRA MAT. ELETRICO NF.: 387515 Parc.(1/3) CIGAME COMERCIO DE MATERIAL ELETRICO E HIDRAULICO LTDA	- 355,90
------
ID#AAABGxaTsYY
Diamond Tower DTW    (2024-02-23 20:59:14)
29/11/2023	PG.COMPRA MAT. ELETRICO NF.: 387515 Parc.(2/3) CIGAME COMERCIO DE MATERIAL ELETRICO E HIDRAULICO LTDA	- 60,10
------
ID#AAABIAn-GNU
Diamond Tower DTW    (2024-02-29 02:49:41)
21/12/2023	PG.COMPRA MATERIAL NF.: 43013 TORNEIRA BOIA PROCAL FERRAGENS E TINTAS LTDA	- 487,30</t>
      </text>
    </comment>
    <comment ref="N43" authorId="0" shapeId="0">
      <text>
        <t>======
ID#AAABINBdlOo
Diamond Tower DTW    (2024-02-29 02:39:46)
12/12/2023	PG.COMPRA MAT. ELETRICO NF.: 387515 Parc.(3/3) CIGAME COMERCIO DE MATERIAL ELETRICO E HIDRAULICO LTDA	- 355,90
------
ID#AAABIAn-GNE
Diamond Tower DTW    (2024-02-29 02:45:35)
20/12/2023	PG.COMPRA MAT. ELETRICO NF.: 42995 SENSOR DE PRESENÇA PROCAL FERRAGENS E TINTAS LTDA	- 195,75</t>
      </text>
    </comment>
    <comment ref="O43" authorId="0" shapeId="0">
      <text>
        <t>======
ID#AAABIAn-GPQ
Diamond Tower DTW    (2024-02-29 03:03:46)
04/01/2024	PG.COMPRA MATERIAL NF.: 43155 MAT P/REPARO DA INFILTRACAO UNIDADE 2113 PROCAL FERRAGENS E TINTAS LTDA	- 156,60
------
ID#AAABIAn-GRk
Diamond Tower DTW    (2024-02-29 03:47:04)
17/01/2024	PG.COMPRA MAT.HIDRAULICO NF.: 43386 PROCAL FERRAGENS E TINTAS LTDA	- 19,35</t>
      </text>
    </comment>
    <comment ref="P43" authorId="0" shapeId="0">
      <text>
        <t>======
ID#AAABIwqyk6Q
Diamond Tower DTW    (2024-03-08 19:19:43)
23/02/2024	PG.COMPRA MAT. ELETRICO NF.: 730895 LAMPADAS PLENOBRAS DISTRIBUIDORA E. E HIDRA LTDA	- 437,15
------
ID#AAABIwqyk7A
Diamond Tower DTW    (2024-03-08 19:24:37)
29/02/2024	PG.COMPRA MATERIAL NF.: 18606 ALÇAPÃO DE GESSO LITIVA COM DE MAT CONST LTDA-BELA VISTA	- 31,50
------
ID#AAABIwqyk7E
Diamond Tower DTW    (2024-03-08 19:25:26)
29/02/2024	PG.COMPRA MATERIAL NF.: 84818 REPOSIÇÃO ESTOQUE MANUTENÇÃO FERRAGEM PONTO SUL LTDA	- 527,29</t>
      </text>
    </comment>
    <comment ref="Q43" authorId="0" shapeId="0">
      <text>
        <t>======
ID#AAABJB7AmG8
Diamond Tower DTW    (2024-03-11 01:26:54)
01/03/2024	PG.COMPRA MAT. ELETRICO NF.: 84892 CHUVEIRO ELETRICO BANHEIRO MASCULINO SUBSOLO FERRAGEM PONTO SUL LTDA	- 56,91
------
ID#AAABJB7AmHA
Diamond Tower DTW    (2024-03-11 01:27:15)
01/03/2024	PG.COMPRA MATERIAL NF.: 84954 REPOSIÇÃO ESTOQUE MANUTENÇÃO FERRAGEM PONTO SUL LTDA	- 88,15
------
ID#AAABJB7AmHE
Diamond Tower DTW    (2024-03-11 01:27:33)
01/03/2024	PG.COMPRA MATERIAL REEMBOLSO COMPRA DUAS PLACAS DE SINALIZAÇÃO MATHEUS KRITLI CAPPELLETTO	- 28,98
------
ID#AAABJMGL2m8
Diamond Tower DTW    (2024-03-14 21:05:11)
08/03/2024	PG.COMPRA MATERIAL NF.: 7100 . BARAO CORDAS IND. COMERCIO DE PRODUTOS	- 43,00</t>
      </text>
    </comment>
    <comment ref="F44" authorId="0" shapeId="0">
      <text>
        <t>======
ID#AAAAvxspaeQ
Diamond Tower DTW    (2023-05-03 00:37:29)
04/04/2023	PG.COMPRA MAT.ESCRITORIO NF.: 35958 BOBINA TERMICA KALUNGA COMERC.IND GRAFIC LTDA	- 71,34
------
ID#AAAAvxbhvhs
Diamond Tower DTW    (2023-05-03 02:03:38)
11/04/2023 PG.COMPRA MAT.ESCRITORIO NF.: 1073689 FORTPEL COMERCIO DE DESCARTAVEIS LTDA - 229,81
------
ID#AAAAvxbhvhw
Diamond Tower DTW    (2023-05-03 02:04:04)
17/04/2023	PG.COMPRA MAT.ESCRITORIO NF.: 1075404 60 BOBINAS TERMICAS PARA RECEPÇÃO DO PRÉDIO FORTPEL COMERCIO DE DESCARTAVEIS LTDA	- 343,20</t>
      </text>
    </comment>
    <comment ref="H44" authorId="0" shapeId="0">
      <text>
        <t>======
ID#AAABDsYHhwY
Diamond Tower DTW    (2024-01-05 13:41:54)
02/06/2023	PG.COMPRA MAT.ESCRITORIO NF.: 1091867 REPOSIÇÃO REF. MAIO/2023 FORTPEL COMERCIO DE DESCARTAVEIS LTDA	- 299,31
------
ID#AAAA90-WaxY
Diamond Tower DTW    (2024-01-10 18:48:56)
14/06/2023	PG.COMPRA MAT.ESCRITORIO NF.: 1096131 AQUISIÇÃO DE BOBINA TERMICA FORTPEL COMERCIO DE DESCARTAVEIS LTDA	- 321,60
------
ID#AAAA90-Wa0E
Diamond Tower DTW    (2024-01-10 20:07:14)
30/06/2023	PG.COMPRA MAT.ESCRITORIO NF.: 1101802 REF.06/2023 (ADMINISTRAÇÃO) FORTPEL COMERCIO DE DESCARTAVEIS LTDA	- 339,90</t>
      </text>
    </comment>
    <comment ref="I44" authorId="0" shapeId="0">
      <text>
        <t>======
ID#AAABHKqz3Qs
Diamond Tower DTW    (2024-02-23 01:04:29)
25/09/2023	PG.COMPRA MAT.ESCRITORIO NF.: 1132744 FORTPEL COMERCIO DE DESCARTAVEIS LTDA	- 434,72</t>
      </text>
    </comment>
    <comment ref="J44" authorId="0" shapeId="0">
      <text>
        <t>======
ID#AAABHLBZ4as
Diamond Tower DTW    (2024-02-22 21:45:42)
23/08/2023	PG.COMPRA MAT.ESCRITORIO NF.: 1120886 FORTPEL COMERCIO DE DESCARTAVEIS LTDA	- 310,31
------
ID#AAABHLHSekg
Diamond Tower DTW    (2024-02-22 22:07:08)
11/08
11/08
MOMENTUS -CT
CARREFOUR BIG
CRISTAL
091654
029992
5993
5411
0,00
0,00
10,00
41,15</t>
      </text>
    </comment>
    <comment ref="K44" authorId="0" shapeId="0">
      <text>
        <t>======
ID#AAABGxaTsNs
Diamond Tower DTW    (2024-02-23 18:15:33)
18/08
18108
KALUNGA BARROT L
KALUNGA BARROT L
002175
5943
0,00
0.00
39,00
------
ID#AAABGxaTsNw
Diamond Tower DTW    (2024-02-23 18:16:14)
21/08
MP•MERCADAODAINF
056061
7531
0,00
13920</t>
      </text>
    </comment>
    <comment ref="L44" authorId="0" shapeId="0">
      <text>
        <t>======
ID#AAABGxaTsSk
Diamond Tower DTW    (2024-02-23 19:48:12)
23/10/2023	PG.COMPRA MAT.ESCRITORIO NF.: 1143145 FORTPEL COMERCIO DE DESCARTAVEIS LTDA	- 414,81
------
ID#AAABGxaTsTQ
Diamond Tower DTW    (2024-02-23 19:57:33)
19/09
KALUNGA BARR-CT L
070485
5943
0,00
24,90</t>
      </text>
    </comment>
    <comment ref="M44" authorId="0" shapeId="0">
      <text>
        <t>======
ID#AAABGxaTsWw
Diamond Tower DTW    (2024-02-23 20:40:38)
16/11/2023	PG.COMPRA MAT.ESCRITORIO NF.: 1152997 BOBINAS TERMICA FORTPEL COMERCIO DE DESCARTAVEIS LTDA	- 367,50
------
ID#AAABGxaTsXo
Diamond Tower DTW    (2024-02-23 20:47:10)
27/11/2023	PG.COMPRA MAT.ESCRITORIO NF.: 1156595 FORTPEL COMERCIO DE DESCARTAVEIS LTDA	- 73,35
------
ID#AAABGxaTsX0
Diamond Tower DTW    (2024-02-23 20:54:28)
31/10
KALUNGA BARR-CT L
054982
5943
0,00
55,40</t>
      </text>
    </comment>
    <comment ref="N44" authorId="0" shapeId="0">
      <text>
        <t>======
ID#AAABIAn-GOA
Diamond Tower DTW    (2024-02-29 02:54:49)
27/12/2023	PG.COMPRA MAT.ESCRITORIO NF.: 1169125 FORTPEL COMERCIO DE DESCARTAVEIS LTDA	- 272,91
------
ID#AAABIAn-GOQ
Diamond Tower DTW    (2024-02-29 02:56:20)
28/12/2023	PG.COMPRA MATERIAL NF.: 41354 10 BOBINAS TERMICAS RECEPÇAO KALUNGA COMERC.IND GRAFIC LTDA	- 52,90</t>
      </text>
    </comment>
    <comment ref="O44" authorId="0" shapeId="0">
      <text>
        <t>======
ID#AAABIAn-GSk
Diamond Tower DTW    (2024-02-29 03:51:48)
23/01/2024	PG.COMPRA MAT.ESCRITORIO NF.: 1179035 FORTPEL COMERCIO DE DESCARTAVEIS LTDA	- 327,64
------
ID#AAABIAn-GTI
Diamond Tower DTW    (2024-02-29 03:56:52)
KALUNGA BARRA SUL 02/03
EDUCAÇÃO .PORTO ALEGRE
145,90</t>
      </text>
    </comment>
    <comment ref="P44" authorId="0" shapeId="0">
      <text>
        <t>======
ID#AAABIwqyk5w
Diamond Tower DTW    (2024-03-08 18:56:14)
22/02/2024	PG.COMPRA MAT.ESCRITORIO NF.: 1189681 FORTPEL COMERCIO DE DESCARTAVEIS LTDA	- 108,72</t>
      </text>
    </comment>
    <comment ref="E45" authorId="0" shapeId="0">
      <text>
        <t>======
ID#AAAAst4mP0M
Diamond Tower DTW    (2023-03-24 18:41:20)
09/03/2023	PG.COMPRA MAT.LIMPEZA NF.: 1063369 FORTPEL COMERCIO DE DESCARTAVEIS LTDA	- 366,60
------
ID#AAAAst4mP0Q
Diamond Tower DTW    (2023-03-24 18:41:38)
09/03/2023	PG.COMPRA MAT.LIMPEZA NF.: 17415 AVANTE BRASIL COM E DISTR DE SUPRIMENTOS	- 246,56
------
ID#AAAAst4mP2M
Diamond Tower DTW    (2023-03-24 18:58:33)
14/03/2023	PG.COMPRA MAT.LIMPEZA NF.: 1064468 FORTPEL COMERCIO DE DESCARTAVEIS LTDA	- 371,57
------
ID#AAAAvxhdLwQ
Diamond Tower DTW    (2023-05-02 20:00:48)
27/03/23 PG.COMPRA MAT. ELETRICO NF.: 38863 PROCAL FERRAGENS E TINTAS LTDA - 200,00
------
ID#AAAAvxhdLws
Diamond Tower DTW    (2023-05-02 20:06:14)
29/03/23 PG.COMPRA MAT.LIMPEZA NF.: 17666 AVANTE BRASIL COM E DISTR DE
SUPRIMENTOS
- 1.356,12</t>
      </text>
    </comment>
    <comment ref="F45" authorId="0" shapeId="0">
      <text>
        <t>======
ID#AAAAvxy9hdE
Diamond Tower DTW    (2023-05-03 02:09:10)
20/04/2023	PG.COMPRA MAT.LIMPEZA NF.: 18140 AVANTE BRASIL COM E DISTR DE SUPRIMENTOS	- 924,02</t>
      </text>
    </comment>
    <comment ref="G45" authorId="0" shapeId="0">
      <text>
        <t>======
ID#AAAA9vWEmgI
Diamond Tower DTW    (2024-01-04 00:47:18)
02/05/2023	PG.COMPRA MAT.LIMPEZA NR. DOC: 1519 WMS SUPERMERCADOS DO BRASIL LTDA	- 32,58
------
ID#AAAA9vWEmjs
Diamond Tower DTW    (2024-01-04 02:06:47)
16/05/2023	PG.COMPRA MAT.LIMPEZA NF.: 18588 AVANTE BRASIL COM E DISTR DE SUPRIMENTOS	- 1.548,91</t>
      </text>
    </comment>
    <comment ref="H45" authorId="0" shapeId="0">
      <text>
        <t>======
ID#AAAA90-Wav8
Diamond Tower DTW    (2024-01-10 18:34:56)
12/06/2023	PG.COMPRA MAT.LIMPEZA NF.: 19037 AVANTE BRASIL COM E DISTR DE SUPRIMENTOS	- 1.067,31
------
ID#AAAA90-Way0
Diamond Tower DTW    (2024-01-10 19:43:41)
23/06/2023	PG.RESSARCIMENTO NR. DOC: 576 AQUIS.08 ROLOS DE PAPEL HIGIENICO SALAS DE REUNIÃO	- 61,45</t>
      </text>
    </comment>
    <comment ref="I45" authorId="0" shapeId="0">
      <text>
        <t>======
ID#AAAA90-Wa10
Diamond Tower DTW    (2024-01-10 20:45:34)
05/07/2023	PG.COMPRA MAT.LIMPEZA NF.: 19494 AVANTE BRASIL COM E DISTR DE SUPRIMENTOS	- 770,65
------
ID#AAAA90-Wa2I
Diamond Tower DTW    (2024-01-10 20:50:46)
07/07/2023	PG.COMPRA MAT.LIMPEZA NF.: 19526 ALCOOL GEL E LIQUIDO AVANTE BRASIL COM E DISTR DE SUPRIMENTOS	- 151,32
------
ID#AAAA90-Wa6E
Diamond Tower DTW    (2024-01-10 21:14:00)
26/07/2023	PG.COMPRA MAT.LIMPEZA NF.: 1110525 REF. JULHO/2023 FORTPEL COMERCIO DE DESCARTAVEIS LTDA	- 477,33
------
ID#AAAA90-Wa6M
Diamond Tower DTW    (2024-01-10 21:14:52)
26/07/2023	PG.MATERIAL COPA/COZINHA NF.: 1110601 + PILHA FORTPEL COMERCIO DE DESCARTAVEIS LTDA	- 436,59
------
ID#AAAA90-Wa6U
Diamond Tower DTW    (2024-01-10 21:15:23)
27/07/2023	PG.COMPRA MAT.LIMPEZA NF.: 19876 AVANTE BRASIL COM E DISTR DE SUPRIMENTOS	- 841,90</t>
      </text>
    </comment>
    <comment ref="J45" authorId="0" shapeId="0">
      <text>
        <t>======
ID#AAABHLBZ4aw
Diamond Tower DTW    (2024-02-22 21:46:27)
23/08/2023	PG.COMPRA MAT.LIMPEZA NF.: 1120887 FORTPEL COMERCIO DE DESCARTAVEIS LTDA	- 500,32
------
ID#AAABHLBZ4a4
Diamond Tower DTW    (2024-02-22 21:49:05)
24/08/2023	PG.COMPRA MAT.LIMPEZA NF.: 20443 AVANTE BRASIL COM E DISTR DE SUPRIMENTOS	- 591,04</t>
      </text>
    </comment>
    <comment ref="K45" authorId="0" shapeId="0">
      <text>
        <t>======
ID#AAABHLKhPxQ
Diamond Tower DTW    (2024-02-22 23:03:40)
11/09/2023	PG.COMPRA MAT.LIMPEZA NF.: 1127984 FORTPEL COMERCIO DE DESCARTAVEIS LTDA	- 175,38
------
ID#AAABGxaTsNo
Diamond Tower DTW    (2024-02-23 18:14:33)
26/09/2023	PG.COMPRA MAT.LIMPEZA NF.: 21104 AVANTE BRASIL COM E DISTR DE SUPRIMENTOS	- 730,55</t>
      </text>
    </comment>
    <comment ref="L45" authorId="0" shapeId="0">
      <text>
        <t>======
ID#AAABGxaTsSo
Diamond Tower DTW    (2024-02-23 19:50:03)
23/10/2023	PG.COMPRA MAT.LIMPEZA NF.: 1143092 10/2023 FORTPEL COMERCIO DE DESCARTAVEIS LTDA	- 453,28
------
ID#AAABGxaTsSs
Diamond Tower DTW    (2024-02-23 19:50:26)
24/10/2023	PG.COMPRA MAT.LIMPEZA NF.: 21658 AVANTE BRASIL COM E DISTR DE SUPRIMENTOS	- 970,87
------
ID#AAABGxaTsS0
Diamond Tower DTW    (2024-02-23 19:53:59)
24/10/2023	PG.COMPRA MAT.LIMPEZA NF.: 3689 CABINES ELEVADORES SMART CLEANING SOLUCOES EM HIGIENIZACAO	- 715,90
------
ID#AAABGxaTsTw
Diamond Tower DTW    (2024-02-23 20:00:38)
30/10/2023	PG.COMPRA MAT.LIMPEZA NF.: 3717 PISO RECEPÇÃO SMART CLEANING SOLUCOES EM HIGIENIZACAO	- 226,60</t>
      </text>
    </comment>
    <comment ref="M45" authorId="0" shapeId="0">
      <text>
        <t>======
ID#AAABGxaTsW0
Diamond Tower DTW    (2024-02-23 20:40:57)
16/11/2023	PG.COMPRA MAT.LIMPEZA NF.: 3862 SMART CLEANING SOLUCOES EM HIGIENIZACAO	- 383,94
------
ID#AAABGxaTsXs
Diamond Tower DTW    (2024-02-23 20:52:35)
27/11/2023	PG.COMPRA MAT.LIMPEZA NF.: 1156596 FORTPEL COMERCIO DE DESCARTAVEIS LTDA	- 632,21</t>
      </text>
    </comment>
    <comment ref="N45" authorId="0" shapeId="0">
      <text>
        <t>======
ID#AAABIAn-GNw
Diamond Tower DTW    (2024-02-29 02:52:35)
26/12/2023	PG.COMPRA MAT.LIMPEZA NF.: 4121 SMART CLEANING SOLUCOES EM HIGIENIZACAO	- 341,98
------
ID#AAABIAn-GOI
Diamond Tower DTW    (2024-02-29 02:55:41)
27/12/2023	PG.COMPRA MAT.LIMPEZA NF.: 1169141 12/2023 FORTPEL COMERCIO DE DESCARTAVEIS LTDA	- 876,48</t>
      </text>
    </comment>
    <comment ref="O45" authorId="0" shapeId="0">
      <text>
        <t>======
ID#AAABIAn-GRo
Diamond Tower DTW    (2024-02-29 03:47:34)
17/01/2024	PG.COMPRA MAT.LIMPEZA NF.: 4331 SMART CLEANING SOLUCOES EM HIGIENIZACAO	- 765,15
------
ID#AAABIAn-GSo
Diamond Tower DTW    (2024-02-29 03:52:00)
23/01/2024	PG.COMPRA MAT.LIMPEZA NF.: 1179036 FORTPEL COMERCIO DE DESCARTAVEIS LTDA	- 616,73</t>
      </text>
    </comment>
    <comment ref="P45" authorId="0" shapeId="0">
      <text>
        <t>======
ID#AAABIwqyk48
Diamond Tower DTW    (2024-03-08 18:43:34)
20/02/2024	PG.COMPRA MAT.LIMPEZA NF.: 4540 AQUISIÇÃO DE PROUTOS QUIMICOS PARA LIMPEZA SMART CLEANING SOLUCOES EM HIGIENIZACAO	- 659,30
------
ID#AAABIwqyk50
Diamond Tower DTW    (2024-03-08 19:14:49)
22/02/2024	PG.COMPRA MAT.LIMPEZA NF.: 1189683 FORTPEL COMERCIO DE DESCARTAVEIS LTDA	- 606,98</t>
      </text>
    </comment>
    <comment ref="Q45" authorId="0" shapeId="0">
      <text>
        <t>======
ID#AAABJB7AmH0
Diamond Tower DTW    (2024-03-11 01:35:09)
07/03/2024	PG.COMPRA MAT.LIMPEZA NF.: 1195142 PAPEL TOALHA REPOSIÇÃO ESTOQUE FORTPEL COMERCIO DE DESCARTAVEIS LTDA	- 115,30</t>
      </text>
    </comment>
    <comment ref="K46" authorId="0" shapeId="0">
      <text>
        <t>======
ID#AAABGxaTsJg
Diamond Tower DTW    (2024-02-23 17:24:54)
25/09/2023	PG. ELEVADOR PECAS NF.: 202317236 ELEVADORES ATLAS SCHINDLER S/A	- 305,18
------
ID#AAABGxaTsJk
Diamond Tower DTW    (2024-02-23 17:25:12)
25/09/2023	PG. ELEVADOR PECAS NF.: 202317599 ELEVADORES ATLAS SCHINDLER S/A	- 1.364,99
------
ID#AAABGxaTsNk
Diamond Tower DTW    (2024-02-23 18:13:26)
26/09/2023	PG.COMPRA MAT.LIMPEZA NF.: 1133024 FORTPEL COMERCIO DE DESCARTAVEIS LTDA	- 498,34
------
ID#AAABI6uuxCw
Diamond Tower DTW    (2024-03-07 17:10:31)
19/09/2023	PG. INSS/IRRF - FPM/TERCEIROS NR. DOC: 50000162137848 CP 08/2023 MINISTERIO DA PREVIDENCIA SOCIAL	- 14.562,18</t>
      </text>
    </comment>
    <comment ref="N46" authorId="0" shapeId="0">
      <text>
        <t>======
ID#AAABINBdlPA
Diamond Tower DTW    (2024-02-29 02:41:36)
15/12/2023	PG. ELEVADOR PECAS NF.: 202322001 ELEVADORES ATLAS SCHINDLER S/A	- 445,50
------
ID#AAABINBdlPE
Diamond Tower DTW    (2024-02-29 02:41:46)
15/12/2023	PG. ELEVADOR PECAS NF.: 202322132 ELEVADORES ATLAS SCHINDLER S/A	- 447,15
------
ID#AAABIAn-GOY
Diamond Tower DTW    (2024-02-29 02:56:48)
28/12/2023	PG. ELEVADOR PECAS NF.: 202317349 ELEVADORES ATLAS SCHINDLER S/A	- 273,03
------
ID#AAABI8UM6W4
Diamond Tower DTW    (2024-03-07 18:28:43)
20/12/2023	PG. INSS/IRRF - FPM/TERCEIROS NR. DOC: 50000188074409 CP. 11/2023 MINISTERIO DA PREVIDENCIA SOCIAL	- 14.231,75</t>
      </text>
    </comment>
    <comment ref="O46" authorId="0" shapeId="0">
      <text>
        <t>======
ID#AAABIAn-GRM
Diamond Tower DTW    (2024-02-29 03:45:25)
12/01/2024	PG. ELEVADOR PECAS NF.: 202325647 ELEVADORES ATLAS SCHINDLER S/A	- 304,27
------
ID#AAABIAn-GR0
Diamond Tower DTW    (2024-02-29 03:48:24)
19/01/2024	LEI 10833-RETENCAO NR. DOC: 202317349 V:25/09/2023 ELEVADORES ATLAS SCHINDLER S/A	- 14,05
------
ID#AAABIAn-GR4
Diamond Tower DTW    (2024-02-29 03:48:35)
19/01/2024	LEI 10833-RETENCAO NR. DOC: 202322001 V:15/12/2023 ELEVADORES ATLAS SCHINDLER S/A	- 22,93
------
ID#AAABIAn-GR8
Diamond Tower DTW    (2024-02-29 03:48:49)
19/01/2024	LEI 10833-RETENCAO NR. DOC: 202322132 V:15/12/2023 ELEVADORES ATLAS SCHINDLER S/A	- 23,01
------
ID#AAABI8VpC0Y
Diamond Tower DTW    (2024-03-07 19:18:02)
19/01/2024	PG. INSS/IRRF - FPM/TERCEIROS NR. DOC: 50000198099997 CP. 12/2023 MINISTERIO DA PREVIDENCIA SOCIAL	- 15.891,02</t>
      </text>
    </comment>
    <comment ref="P46" authorId="0" shapeId="0">
      <text>
        <t>======
ID#AAABIwqyk6c
Diamond Tower DTW    (2024-03-08 19:22:27)
26/02/2024	PG. ELEVADOR PECAS NR. DOC: 202325797 Parc.(2/5) ELEVADORES ATLAS SCHINDLER S/A	- 694,20</t>
      </text>
    </comment>
    <comment ref="E47" authorId="0" shapeId="0">
      <text>
        <t>======
ID#AAAAsuFiYuU
Diamond Tower DTW    (2023-03-24 19:37:18)
2/03/2023	PG.BENFEITORIAS/AQUISIÇÕES 03 CADEIRAS ESCRITÓRIO MAGALU PAGAMENTOS LTDA	- 665,89</t>
      </text>
    </comment>
    <comment ref="F47" authorId="0" shapeId="0">
      <text>
        <t>======
ID#AAAAvxbhvho
Diamond Tower DTW    (2023-05-03 02:02:59)
17/04/2023	PG.COMPRA MATERIAL NR. DOC: 23868 02 CELULARES P/ADM COND AMERICANAS SA	- 1.598,00</t>
      </text>
    </comment>
    <comment ref="G47" authorId="0" shapeId="0">
      <text>
        <t>======
ID#AAABDrIQ9Vo
Diamond Tower DTW    (2024-01-04 17:01:12)
25/05/2023	PG.BENFEITORIAS/AQUISIÇÕES PURIFICADOR DE ÁGUA PARA A COPA DO SUBSOLO MAGAZINE LUIZA S/A	- 449,90
------
ID#AAABDrIQ9Ww
Diamond Tower DTW    (2024-01-04 17:16:09)
30/05/2023	PG.BENFEITORIAS/AQUISIÇÕES MICROONDAS LOJAS COLOMBO S.A	- 2.066,97</t>
      </text>
    </comment>
    <comment ref="I47" authorId="0" shapeId="0">
      <text>
        <t>======
ID#AAAA90-Wa5g
Diamond Tower DTW    (2024-01-10 21:11:06)
21/07/2023	PG.COMPRA MATERIAL NF.: 40833 AQUISIÇÃO DE SERRA MARMORE PROCAL FERRAGENS E TINTAS LTDA	- 399,00</t>
      </text>
    </comment>
    <comment ref="J47" authorId="0" shapeId="0">
      <text>
        <t>======
ID#AAABHLHSelE
Diamond Tower DTW    (2024-02-22 22:23:07)
29/08/2023	PG.MANUT.GERAL NF.: 202393 ROLO PROJETOR DO AUDITÓRIO FLEX INDUSTRIA DE PERSIANAS LTDA	- 150,00</t>
      </text>
    </comment>
    <comment ref="L47" authorId="0" shapeId="0">
      <text>
        <t>======
ID#AAABGxaTsRg
Diamond Tower DTW    (2024-02-23 19:29:35)
16/10/2023	PG.BENFEITORIAS/AQUISIÇÕES IMPRESSORA MULTIFUNCIONAL MAGAZINE LUIZA	- 1.934,10</t>
      </text>
    </comment>
    <comment ref="M47" authorId="0" shapeId="0">
      <text>
        <t>======
ID#AAABGxaTsWM
Diamond Tower DTW    (2024-02-23 20:31:39)
13/11/2023	PG.COMPRA MATERIAL NF.: 42406 MANUTENÇÃO MICTORIO MASCULINO PROCAL FERRAGENS E TINTAS LTDA	- 459,80
------
ID#AAABGxaTsXU
Diamond Tower DTW    (2024-02-23 20:45:16)
22/11/2023	PG.BENFEITORIAS/AQUISIÇÕES ARVORÉ DE NATAL MERCADO PAGO INSTITUICAO DE PAGAMENTO LT	- 2.549,91</t>
      </text>
    </comment>
    <comment ref="O47" authorId="0" shapeId="0">
      <text>
        <t>======
ID#AAABIAn-GSs
Diamond Tower DTW    (2024-02-29 03:52:16)
24/01/2024	PG.COMPRA MATERIAL NF.: 1179263 DISPENSER SABONETE LIQUIDO FORTPEL COMERCIO DE DESCARTAVEIS LTDA	- 25,46</t>
      </text>
    </comment>
    <comment ref="P47" authorId="0" shapeId="0">
      <text>
        <t>======
ID#AAABIwqyk6Y
Diamond Tower DTW    (2024-03-08 19:21:23)
26/02/2024	PG.DESP.CARTAO CREDITO 4076.XXXX.XXXX.4246 BANCO ITAUCARD - SA	- 591,88</t>
      </text>
    </comment>
    <comment ref="J48" authorId="0" shapeId="0">
      <text>
        <t>======
ID#AAABHLHR8hc
Diamond Tower DTW    (2024-02-22 22:02:17)
AR SUL COM G-CT
12/05
03/03
071144
5541
0,00
100,00</t>
      </text>
    </comment>
    <comment ref="K48" authorId="0" shapeId="0">
      <text>
        <t>======
ID#AAABHLDlA2Q
Diamond Tower DTW    (2024-02-23 00:05:43)
13/09/2023	PG.COMPRA MATERIAL NF.: 28329 100 FILTROS DE EXAUSTAÇÃO PARA REPOSIÇÃO Parc.(1/2) KLEBER COMERCIO DE EQUIPAMENTOS E COMPON	- 1.400,00</t>
      </text>
    </comment>
    <comment ref="L48" authorId="0" shapeId="0">
      <text>
        <t>======
ID#AAABGxaTsRQ
Diamond Tower DTW    (2024-02-23 19:28:06)
13/10/2023	PG.COMPRA MATERIAL NF.: 28329 100 FILTROS DE EXAUSTAÇÃO PARA REPOSIÇÃO Parc.(2/2) KLEBER COMERCIO DE EQUIPAMENTOS E COMPON	- 1.400,00</t>
      </text>
    </comment>
    <comment ref="Q48" authorId="0" shapeId="0">
      <text>
        <t>======
ID#AAABJB7AmH8
Diamond Tower DTW    (2024-03-11 01:36:45)
08/03/2024	PG.COMPRA MATERIAL NF.: 6814 FILTRO PLANO DESCARTÁVEL ORION COM DE FILTROS E LUBRIFICANTES LTD	- 1.200,00</t>
      </text>
    </comment>
    <comment ref="F50" authorId="0" shapeId="0">
      <text>
        <t>======
ID#AAAAvxy9heU
Diamond Tower DTW    (2023-05-03 02:19:55)
28/04/2023	PG.MANUT. GERADOR NF.: 1148 JONAS BRAGA ME	- 1.642,50</t>
      </text>
    </comment>
    <comment ref="O50" authorId="0" shapeId="0">
      <text>
        <t>======
ID#AAABIAn-GTw
Diamond Tower DTW    (2024-02-29 04:01:06)
31/01/2024	PG.RESSARCIMENTO ABASTECIMENTO EMERGENCIAL OLEO DIESEL GERADOR CAPPELLETTO GESTAO LTDA	- 295,01</t>
      </text>
    </comment>
    <comment ref="P50" authorId="0" shapeId="0">
      <text>
        <t>======
ID#AAABI8VpC1M
Diamond Tower DTW    (2024-03-07 19:23:11)
05/02/2024	PG.MANUT. GERADOR NF.: 1513 ABASTECIMENTO 200 LTS DIESEL TANQUE GERADOR BBS GRUPOS GERADORES LTDA	- 2.101,00</t>
      </text>
    </comment>
    <comment ref="F51" authorId="0" shapeId="0">
      <text>
        <t>======
ID#AAAAvxspafw
Diamond Tower DTW    (2023-05-03 00:51:44)
10/04/2023	PG.COMPRA MAT. ELETRICO NF.: 872 NOBREAK PARA PROTECAO DE CIRCUITO DAS CATRACAS RUBENS FLAVIO ANDRADE VILLAR	- 750,00</t>
      </text>
    </comment>
    <comment ref="O51" authorId="0" shapeId="0">
      <text>
        <t>======
ID#AAABIAn-GRU
Diamond Tower DTW    (2024-02-29 03:45:56)
15/01/2024	PG.BENFEITORIAS/AQUISIÇÕES MEMORIA RAM MERCADO PAGO INSTITUICAO DE PAGAMENTO LT	- 506,06</t>
      </text>
    </comment>
    <comment ref="E54" authorId="0" shapeId="0">
      <text>
        <t>======
ID#AAAAst4mP0k
Diamond Tower DTW    (2023-03-24 18:45:07)
10/03/2023	PG.INTERNET/TELEFONE/TV NR. DOC: 185105 PROSERVER TELECOMUNICACOES LTDA	- 55,03</t>
      </text>
    </comment>
    <comment ref="F54" authorId="0" shapeId="0">
      <text>
        <t>======
ID#AAAAvxspaf8
Diamond Tower DTW    (2023-05-03 00:52:29)
10/04/2023	PG.INTERNET/TELEFONE/TV NR. DOC: 185105 PROSERVER TELECOMUNICACOES LTDA	- 52,41</t>
      </text>
    </comment>
    <comment ref="G54" authorId="0" shapeId="0">
      <text>
        <t>======
ID#AAAA9vWEmiA
Diamond Tower DTW    (2024-01-04 00:56:03)
0/05/2023	PG.INTERNET/TELEFONE/TV NR. DOC: 185105 PROSERVER TELECOMUNICACOES LTDA	- 54,55
------
ID#AAAA9vWEmjw
Diamond Tower DTW    (2024-01-04 02:07:05)
17/05/2023	PG.DESP.CELULAR NR. DOC: 0442458992 VIVO - TELEFONICA BRASIL S.A.	- 30,00</t>
      </text>
    </comment>
    <comment ref="H54" authorId="0" shapeId="0">
      <text>
        <t>======
ID#AAAA90-WawE
Diamond Tower DTW    (2024-01-10 18:36:22)
12/06/2023	PG.INTERNET/TELEFONE/TV NR. DOC: 185105 PROSERVER TELECOMUNICACOES LTDA	- 57,78
------
ID#AAAA90-WayI
Diamond Tower DTW    (2024-01-10 18:55:30)
19/06/2023	PG.DESP.CELULAR NR. DOC: 0442458992 VIVO - TELEFONICA BRASIL S.A.	- 43,40</t>
      </text>
    </comment>
    <comment ref="I54" authorId="0" shapeId="0">
      <text>
        <t>======
ID#AAAA90-Wa3Y
Diamond Tower DTW    (2024-01-10 20:57:58)
11/07/2023	PG.INTERNET/TELEFONE/TV NR. DOC: 185105 PROSERVER TELECOMUNICACOES LTDA	- 61,86
------
ID#AAAA90-Wa4c
Diamond Tower DTW    (2024-01-10 21:06:00)
17/07/2023	PG.DESP.CELULAR NR. DOC: 0442458992 VIVO - TELEFONICA BRASIL S.A.	- 99,98</t>
      </text>
    </comment>
    <comment ref="J54" authorId="0" shapeId="0">
      <text>
        <t>======
ID#AAABGvXDqXo
Diamond Tower DTW    (2024-02-20 21:47:34)
10/08/2023	PG.INTERNET/TELEFONE/TV NR. DOC: 185105 PROSERVER TELECOMUNICACOES LTDA	- 62,72
------
ID#AAABGvXDqaU
Diamond Tower DTW    (2024-02-20 22:58:44)
17/08/2023	PG.DESP.CELULAR NR. DOC: 0442458992 VIVO - TELEFONICA BRASIL S.A.	- 75,00</t>
      </text>
    </comment>
    <comment ref="K54" authorId="0" shapeId="0">
      <text>
        <t>======
ID#AAABHLKhPxU
Diamond Tower DTW    (2024-02-22 23:03:53)
11/09/2023	PG.INTERNET/TELEFONE/TV NR. DOC: 185105 PROSERVER TELECOMUNICACOES LTDA	- 49,26
------
ID#AAABHLDlA2k
Diamond Tower DTW    (2024-02-23 00:07:36)
18/09/2023	PG.DESP.CELULAR NR. DOC: 0442458992 VIVO - TELEFONICA BRASIL S.A.	- 49,99</t>
      </text>
    </comment>
    <comment ref="L54" authorId="0" shapeId="0">
      <text>
        <t>======
ID#AAABGxaTsP4
Diamond Tower DTW    (2024-02-23 19:14:17)
10/10/2023	PG.INTERNET/TELEFONE/TV NR. DOC: 185105 PROSERVER TELECOMUNICACOES LTDA	- 50,87
------
ID#AAABGxaTsR4
Diamond Tower DTW    (2024-02-23 19:35:42)
17/10/2023	PG.DESP.CELULAR NR. DOC: 0442458992 VIVO - TELEFONICA BRASIL S.A.	- 49,99</t>
      </text>
    </comment>
    <comment ref="M54" authorId="0" shapeId="0">
      <text>
        <t>======
ID#AAABGxaTsVM
Diamond Tower DTW    (2024-02-23 20:21:25)
10/11/2023	PG.INTERNET/TELEFONE/TV NR. DOC: 185105 PROSERVER TELECOMUNICACOES LTDA	- 54,25
------
ID#AAABGxaTsXA
Diamond Tower DTW    (2024-02-23 20:41:38)
17/11/2023	PG.DESP.CELULAR NR. DOC: 0442458992 VIVO - TELEFONICA BRASIL S.A.	- 49,99</t>
      </text>
    </comment>
    <comment ref="N54" authorId="0" shapeId="0">
      <text>
        <t>======
ID#AAABINBdlNo
Diamond Tower DTW    (2024-02-29 02:28:31)
11/12/2023	PG.INTERNET/TELEFONE/TV NR. DOC: 185105 PROSERVER TELECOMUNICACOES LTDA	- 69,45
------
ID#AAABINBdlPQ
Diamond Tower DTW    (2024-02-29 02:42:26)
18/12/2023	PG.DESP.CELULAR NR. DOC: 0442458992 VIVO - TELEFONICA BRASIL S.A.	- 49,99</t>
      </text>
    </comment>
    <comment ref="O54" authorId="0" shapeId="0">
      <text>
        <t>======
ID#AAABIAn-GP0
Diamond Tower DTW    (2024-02-29 03:07:19)
10/01/2024	PG.INTERNET/TELEFONE/TV NR. DOC: 185105 PROSERVER TELECOMUNICACOES LTDA	- 45,56</t>
      </text>
    </comment>
    <comment ref="P54" authorId="0" shapeId="0">
      <text>
        <t>======
ID#AAABI8VpC1k
Diamond Tower DTW    (2024-03-07 19:25:04)
14/02/2024	PG.INTERNET/TELEFONE/TV NR. DOC: 185105 PROSERVER TELECOMUNICACOES LTDA	- 48,57
------
ID#AAABIwqyk44
Diamond Tower DTW    (2024-03-08 18:40:55)
19/02/2024	PG.DESP.CELULAR NR. DOC: 0442458992 VIVO - TELEFONICA BRASIL S.A.	- 49,99
------
ID#AAABIwqyk5A
Diamond Tower DTW    (2024-03-08 18:43:47)
20/02/2024	PG.DESP.CELULAR NR. DOC: 0442458992 REF VENC 17/01/2024 VIVO - TELEFONICA BRASIL S.A.	- 49,99</t>
      </text>
    </comment>
    <comment ref="Q54" authorId="0" shapeId="0">
      <text>
        <t>======
ID#AAABJMGL2nA
Diamond Tower DTW    (2024-03-14 21:05:30)
11/03/2024	PG.INTERNET/TELEFONE/TV NR. DOC: 185105 PROSERVER TELECOMUNICACOES LTDA	- 50,63</t>
      </text>
    </comment>
    <comment ref="E56" authorId="0" shapeId="0">
      <text>
        <t>======
ID#AAAAst4mPzo
Diamond Tower DTW    (2023-03-24 18:27:01)
03/03/2023	PG.RESSARCIMENTO DESLOCAMENTO UBER MATHEUS KRITLI CAPPELLETTO	- 226,21
------
ID#AAAAsuFiYuc
Diamond Tower DTW    (2023-03-24 19:37:50)
22/03/2023	PG.RESSARCIMENTO MATHEUS KRITLI CAPPELLETTO	- 29,93
------
ID#AAAAvw2gdfQ
Diamond Tower DTW    (2023-05-02 18:54:13)
03/03/23 TARIFA PIX MATHEUS KRITLI CAPPELLETTO - 2,49</t>
      </text>
    </comment>
    <comment ref="F56" authorId="0" shapeId="0">
      <text>
        <t>======
ID#AAAAvxbhvhU
Diamond Tower DTW    (2023-05-03 02:01:14)
12/04/2023	PG.RESSARCIMENTO DESLOCAMENTO COLABORADOR MOISES CABRAL (UBER) MATHEUS KRITLI CAPPELLETTO	- 29,99</t>
      </text>
    </comment>
    <comment ref="J56" authorId="0" shapeId="0">
      <text>
        <t>======
ID#AAABGvXDqYE
Diamond Tower DTW    (2024-02-20 21:50:56)
10/08/2023	PG.RETENCAO ISSQN NR. DOC: 202321078 V:12/07/2023 ATIVA MEDICINA E SEGURANÇA DO TRABALHO LTDA	- 2,70</t>
      </text>
    </comment>
    <comment ref="N56" authorId="0" shapeId="0">
      <text>
        <t>======
ID#AAABINBdlNc
Diamond Tower DTW    (2024-02-29 02:26:48)
08/12/2023	PG.RESSARCIMENTO DESLOCAMENTO VOLTA P/ CASA 30/11 MOISES IRINEU CABRAL PINTO	- 50,00
------
ID#AAABINBdlO4
Diamond Tower DTW    (2024-02-29 02:41:09)
15/12/2023	PG.BENFEITORIAS/AQUISIÇÕES NF.: 20231864 AQUISIÇÃO DE 01 CRACHA PERSONALZADO ( MOISES) APOIO EM SISTEMAS, SERVICOS E IDENTIFICACAO LTDA	- 12,00
------
ID#AAABINBdlPM
Diamond Tower DTW    (2024-02-29 02:42:13)
18/12/2023	PG.DESP.CARTORIO NOTIFICAÇÃO SALA 1306 INSTITUTO DE REGISTRO DE TITULOS E DOCUM	- 308,84</t>
      </text>
    </comment>
    <comment ref="O56" authorId="0" shapeId="0">
      <text>
        <t>======
ID#AAABIAn-GTE
Diamond Tower DTW    (2024-02-29 03:56:06)
11/12
11/12
13/12
UBER* TRIP
VEÍCULOS OSASCO
Uber *UBER *TRIP
VEÍCULOS .sao Paulo
UBER* TRIP
VEÍCULOS .OSASCO
49,99
32,92
12,45</t>
      </text>
    </comment>
    <comment ref="E57" authorId="0" shapeId="0">
      <text>
        <t>======
ID#AAAAst4mP1s
Diamond Tower DTW    (2023-03-24 18:55:41)
10/03/2023	PG.RETENCAO ISSQN NR. DOC: 20238 V:07/02/2023 FABIANA RODRIGUES DE OLIVEIRA	- 46,00
------
ID#AAAAst4mP1w
Diamond Tower DTW    (2023-03-24 18:55:54)
10/03/2023	PG.RETENCAO ISSQN NR. DOC: 417 PREFEITURA DE PORTO ALEGRE	- 66,03
------
ID#AAAAst4mP14
Diamond Tower DTW    (2023-03-24 18:56:37)
10/03/2023	PG.RETENCAO ISSQN NR. DOC: 4684 PREFEITURA DE PORTO ALEGRE	- 2,70
------
ID#AAAAsuFiYuE
Diamond Tower DTW    (2023-03-24 19:35:15)
21/03/2023	DECLARAÇÃO MENSAL EFD-REINF COMP. 02/2023	- 55,80
------
ID#AAAAvxhdLxE
Diamond Tower DTW    (2023-05-02 20:21:16)
31/03/23 VLR.REF.DECLARACAO DIRF - 520,00</t>
      </text>
    </comment>
    <comment ref="F57" authorId="0" shapeId="0">
      <text>
        <t>======
ID#AAAAvxbhvgk
Diamond Tower DTW    (2023-05-03 01:53:34)
10/04/2023	PG.RETENCAO ISSQN NR. DOC: 20237994 PREFEITURA DE PORTO ALEGRE	- 2,70
------
ID#AAAAvxy9hcc
Diamond Tower DTW    (2023-05-03 02:06:12)
19/04/2023	DECLARAÇÃO MENSAL EFD-REINF COMP. 03/2023	- 55,80
------
ID#AAAA9vWEmf8
Diamond Tower DTW    (2024-01-04 00:41:32)
28/04/2023	VLR.REF.DECLARACAO RAIS	- 345,00</t>
      </text>
    </comment>
    <comment ref="G57" authorId="0" shapeId="0">
      <text>
        <t>======
ID#AAABDrIQ9V4
Diamond Tower DTW    (2024-01-04 17:03:40)
26/05/2023	DECLARAÇÃO MENSAL EFD-REINF COMP. 03/2023	- 55,80</t>
      </text>
    </comment>
    <comment ref="H57" authorId="0" shapeId="0">
      <text>
        <t>======
ID#AAAA90-Wazg
Diamond Tower DTW    (2024-01-10 19:57:44)
28/06/2023	DECLARAÇÃO MENSAL EFD-REINF COMP. 05/2023	- 55,80</t>
      </text>
    </comment>
    <comment ref="I57" authorId="0" shapeId="0">
      <text>
        <t>======
ID#AAAA90-Wa6c
Diamond Tower DTW    (2024-01-10 21:15:50)
28/07/2023	DECLARAÇÃO MENSAL EFD-REINF COMP. 06/2023	- 55,80</t>
      </text>
    </comment>
    <comment ref="J57" authorId="0" shapeId="0">
      <text>
        <t>======
ID#AAABHLHSekw
Diamond Tower DTW    (2024-02-22 22:17:58)
29/08/2023	DECLARAÇÃO MENSAL EFD-REINF COMP. 07/2023	- 55,80</t>
      </text>
    </comment>
    <comment ref="K57" authorId="0" shapeId="0">
      <text>
        <t>======
ID#AAABGxaTsOk
Diamond Tower DTW    (2024-02-23 18:49:19)
30/09/2023	DECLARAÇÃO MENSAL EFD-REINF COMP. 09/2023	- 55,80</t>
      </text>
    </comment>
    <comment ref="L57" authorId="0" shapeId="0">
      <text>
        <t>======
ID#AAABGxaTsT8
Diamond Tower DTW    (2024-02-23 20:02:25)
31/10/2023	DECLARAÇÃO MENSAL EFD-REINF COMP. 10/2023	- 55,80</t>
      </text>
    </comment>
    <comment ref="M57" authorId="0" shapeId="0">
      <text>
        <t>======
ID#AAABGxaTsVk
Diamond Tower DTW    (2024-02-23 20:26:57)
10/11/2023	PG.RETENCAO ISSQN NR. DOC: 202322001 PREFEITURA DE PORTO ALEGRE	- 24,65
------
ID#AAABGxaTsYg
Diamond Tower DTW    (2024-02-23 20:59:52)
30/11/2023	DECLARAÇÃO MENSAL EFD-REINF COMP. 10/2023	- 55,80</t>
      </text>
    </comment>
    <comment ref="N57" authorId="0" shapeId="0">
      <text>
        <t>======
ID#AAABINBdlN0
Diamond Tower DTW    (2024-02-29 02:29:38)
11/12/2023	PG.RETENCAO ISSQN NR. DOC: 202310000000000002 PREFEITURA DE PORTO ALEGRE	- 62,49
------
ID#AAABIAn-GNo
Diamond Tower DTW    (2024-02-29 02:52:06)
26/12/2023	DECLARAÇÃO MENSAL EFD-REINF	- 55,80</t>
      </text>
    </comment>
    <comment ref="O57" authorId="0" shapeId="0">
      <text>
        <t>======
ID#AAABIAn-GTo
Diamond Tower DTW    (2024-02-29 04:00:24)
31/01/2024	DECLARAÇÃO MENSAL EFD-REINF COMP. 12/2023	- 55,80</t>
      </text>
    </comment>
    <comment ref="P57" authorId="0" shapeId="0">
      <text>
        <t>======
ID#AAABIwqyk68
Diamond Tower DTW    (2024-03-08 19:24:22)
29/02/2024	DECLARAÇÃO MENSAL EFD-REINF COMP. 01/2024	- 55,80</t>
      </text>
    </comment>
    <comment ref="Q57" authorId="0" shapeId="0">
      <text>
        <t>======
ID#AAABJMHUnFI
Diamond Tower DTW    (2024-03-14 21:11:56)
11/03/2024	PG.RETENCAO ISSQN NR. DOC: 2295 PREFEITURA DE PORTO ALEGRE	- 2,02
------
ID#AAABJMHUnFU
Diamond Tower DTW    (2024-03-14 21:13:00)
11/03/2024	PG.RETENCAO ISSQN NR. DOC: 4180 PREFEITURA DE PORTO ALEGRE	- 25,44
------
ID#AAABJMHUnFY
Diamond Tower DTW    (2024-03-14 21:13:15)
11/03/2024	PG.RETENCAO ISSQN NR. DOC: 4238 PREFEITURA DE PORTO ALEGRE	- 24,75</t>
      </text>
    </comment>
    <comment ref="G58" authorId="0" shapeId="0">
      <text>
        <t>======
ID#AAAA9vWEmgE
Diamond Tower DTW    (2024-01-04 00:46:54)
02/05/2023	PG.COMPRA MAT.ESCRITORIO NF.: 1080936 FORTPEL COMERCIO DE DESCARTAVEIS LTDA	- 412,09</t>
      </text>
    </comment>
    <comment ref="I59" authorId="0" shapeId="0">
      <text>
        <t>======
ID#AAAA90-Wa2U
Diamond Tower DTW    (2024-01-10 20:53:19)
07/07/2023	PG. REGISTRO ATA UNIPROOF SERVICOS E TECNOLOGIA LTDA	- 229,67</t>
      </text>
    </comment>
    <comment ref="J59" authorId="0" shapeId="0">
      <text>
        <t>======
ID#AAABGvXDqa0
Diamond Tower DTW    (2024-02-20 23:01:41)
18/08/2023	PG.SERV.PRESTADOS NF.: 2023115 FILMAGEM ASSEMBLEIA CONDOMINIAL NO DIA 11/08/2023 ZOOM VIDEO PRODUCOES E EVENTOS LTDA	- 580,00</t>
      </text>
    </comment>
    <comment ref="I60" authorId="0" shapeId="0">
      <text>
        <t>======
ID#AAAA90-Wa3c
Diamond Tower DTW    (2024-01-10 20:59:56)
12/07/2023	PG.CUSTAS JUDICIAIS NR. DOC: 222 NOTIF. EXTRA JUDICAIS PROP. SALAS 505, 1703 E 2108 BELLINI FIGUEIRO SOCIEDADE INDIVIDUAL DE	- 1.615,50</t>
      </text>
    </comment>
    <comment ref="K60" authorId="0" shapeId="0">
      <text>
        <t>======
ID#AAABHLHYnkM
Diamond Tower DTW    (2024-02-22 22:57:28)
05/09/2023	PG.RESSARCIMENTO EMOLUMENTOS P/ NOTIFICAÇÃO BELLINI FIGUEIRO SOCIEDADE INDIVIDUAL DE	- 183,39
------
ID#AAABHLKhPww
Diamond Tower DTW    (2024-02-22 22:59:14)
06/09/2023	PG.DESP.CARTORIO ENVIO NOTIFICAÇÃO EXTRAJUDICAL INSTITUTO DE REGISTRO DE TITULOS E DOCUM	- 769,83</t>
      </text>
    </comment>
    <comment ref="M60" authorId="0" shapeId="0">
      <text>
        <t>======
ID#AAABGxaTsWc
Diamond Tower DTW    (2024-02-23 20:38:50)
14/11/2023	PG.CUSTAS JUDICIAIS NR. DOC: 001235844624 RIO GRANDE DO SUL PODER JUDICIARIO	- 253,90
------
ID#AAABGxaTsWg
Diamond Tower DTW    (2024-02-23 20:39:00)
14/11/2023	PG.CUSTAS JUDICIAIS NR. DOC: 001235844644 RIO GRANDE DO SUL PODER JUDICIARIO	- 253,90</t>
      </text>
    </comment>
    <comment ref="O60" authorId="0" shapeId="0">
      <text>
        <t>======
ID#AAABIAn-GRY
Diamond Tower DTW    (2024-02-29 03:46:10)
16/01/2024	PG.CUSTAS JUDICIAIS GUIA JUDICIAL TRIBUNAL REGIONAL TRABALHO DA 4 REGIAO	- 400,00</t>
      </text>
    </comment>
    <comment ref="P60" authorId="0" shapeId="0">
      <text>
        <t>======
ID#AAABI8VpC0g
Diamond Tower DTW    (2024-03-07 19:19:32)
01/02/2024	PG.CUSTAS JUDICIAIS PROCESSO 5007848-30.2023.8.21.6001 RIO GRANDE DO SUL PODER JUDICIARIO	- 318,50</t>
      </text>
    </comment>
    <comment ref="E61" authorId="0" shapeId="0">
      <text>
        <t>======
ID#AAAAst4mPzs
Diamond Tower DTW    (2023-03-24 18:27:20)
03/03/2023	PG.RESSARCIMENTO DESPESA PACOTE GSUITE GOOGLE REF. JAN/23 MATHEUS KRITLI CAPPELLETTO	- 72,90
------
ID#AAAAvw2gdfU
Diamond Tower DTW    (2023-05-02 18:54:34)
03/03/23 TARIFA PIX MATHEUS KRITLI CAPPELLETTO - 2,49</t>
      </text>
    </comment>
    <comment ref="F61" authorId="0" shapeId="0">
      <text>
        <t>======
ID#AAAAvxspaeY
Diamond Tower DTW    (2023-05-03 00:38:34)
04/04/2023	PG.SERV.PRESTADOS NF.: 5796627 MENS. DOMÍNIO "DIAMONDTOWER.NET" REF.02 -03/2023 GOOGLE CLOUD BRASIL COMPUTACAO E SERVICOS DE DADOS LTDA.	- 145,80</t>
      </text>
    </comment>
    <comment ref="G61" authorId="0" shapeId="0">
      <text>
        <t>======
ID#AAABDrIQ9WA
Diamond Tower DTW    (2024-01-04 17:04:18)
26/05/2023	PG.DESP.CARTAO CREDITO BANCO ITAUCARD - SA	- 301,76</t>
      </text>
    </comment>
    <comment ref="J61" authorId="0" shapeId="0">
      <text>
        <t>======
ID#AAABHLHSekY
Diamond Tower DTW    (2024-02-22 22:04:08)
01/08
DL*GOOGLE GSUITE
017530
4812
0,00
104,52</t>
      </text>
    </comment>
    <comment ref="K61" authorId="0" shapeId="0">
      <text>
        <t>======
ID#AAABGxaTsN0
Diamond Tower DTW    (2024-02-23 18:18:43)
01/09
DL*GOOGLE GSUITE
081438
5734
0,00
108,oo</t>
      </text>
    </comment>
    <comment ref="L61" authorId="0" shapeId="0">
      <text>
        <t>======
ID#AAABGxaTsTY
Diamond Tower DTW    (2024-02-23 19:58:26)
01/10
131,40
DL*GOOGLE GSUITE
085602
5734
0,00</t>
      </text>
    </comment>
    <comment ref="M61" authorId="0" shapeId="0">
      <text>
        <t>======
ID#AAABGxaTsX4
Diamond Tower DTW    (2024-02-23 20:54:42)
01/11
DL*GOOGLE GSUITE
013882
5734
0,00
135,00</t>
      </text>
    </comment>
    <comment ref="O61" authorId="0" shapeId="0">
      <text>
        <t>======
ID#AAABIAn-GTM
Diamond Tower DTW    (2024-02-29 03:57:10)
02/01
DL'GOOGLE GSUITE
DIVERSOS SAO PAULO
522,00</t>
      </text>
    </comment>
    <comment ref="E66" authorId="0" shapeId="0">
      <text>
        <t>======
ID#AAAAsuFiYuA
Diamond Tower DTW    (2023-03-24 19:29:44)
21/03/2023	CONSUMO DAGUA NR. DOC: 3579042 02/2023 23/60546602 DMAE	- 12.123,05</t>
      </text>
    </comment>
    <comment ref="F66" authorId="0" shapeId="0">
      <text>
        <t>======
ID#AAAAvxy9hdg
Diamond Tower DTW    (2023-05-03 02:15:25)
24/04/2023	CONSUMO DAGUA NR. DOC: 3579042 03/2023 23/90335588 DMAE	- 13.289,70</t>
      </text>
    </comment>
    <comment ref="G66" authorId="0" shapeId="0">
      <text>
        <t>======
ID#AAAA9vWEml4
Diamond Tower DTW    (2024-01-04 03:14:16)
22/05/2023	CONSUMO DAGUA NR. DOC: 3579042 04/2023 23/131590641 DMAE	- 11.734,08</t>
      </text>
    </comment>
    <comment ref="H66" authorId="0" shapeId="0">
      <text>
        <t>======
ID#AAAA90-Wayc
Diamond Tower DTW    (2024-01-10 19:33:10)
21/06/2023	CONSUMO DAGUA NR. DOC: 3579042 05/2023 2023053579042 DMAE	- 9.100,72</t>
      </text>
    </comment>
    <comment ref="I66" authorId="0" shapeId="0">
      <text>
        <t>======
ID#AAAA90-Wa5c
Diamond Tower DTW    (2024-01-10 21:10:37)
21/07/2023	CONSUMO DAGUA NR. DOC: 3579042 06/2023 2023063579042 DMAE	- 9.100,73</t>
      </text>
    </comment>
    <comment ref="J66" authorId="0" shapeId="0">
      <text>
        <t>======
ID#AAABHLBZ4aM
Diamond Tower DTW    (2024-02-22 21:42:52)
21/08/2023	CONSUMO DAGUA NR. DOC: 3579042 07/2023 2023073579042 DMAE	- 9.100,72</t>
      </text>
    </comment>
    <comment ref="K66" authorId="0" shapeId="0">
      <text>
        <t>======
ID#AAABHLUSzBQ
Diamond Tower DTW    (2024-02-23 00:12:20)
21/09/2023	CONSUMO DAGUA NR. DOC: 3579042 08/2023 2023083579042 DMAE	- 9.100,72</t>
      </text>
    </comment>
    <comment ref="L66" authorId="0" shapeId="0">
      <text>
        <t>======
ID#AAABGxaTsSg
Diamond Tower DTW    (2024-02-23 19:46:51)
23/10/2023	CONSUMO DAGUA NR. DOC: 3579042 09/2023 2023093579042 DMAE	- 9.100,72</t>
      </text>
    </comment>
    <comment ref="M66" authorId="0" shapeId="0">
      <text>
        <t>======
ID#AAABGxaTsXQ
Diamond Tower DTW    (2024-02-23 20:44:36)
21/11/2023	CONSUMO DAGUA NR. DOC: 3579042 10/2023 2023103579042 DMAE	- 9.100,72</t>
      </text>
    </comment>
    <comment ref="N66" authorId="0" shapeId="0">
      <text>
        <t>======
ID#AAABIAn-GNM
Diamond Tower DTW    (2024-02-29 02:47:55)
21/12/2023	CONSUMO DAGUA NR. DOC: 3579042 11/2023 2023113579042 DMAE	- 9.100,72</t>
      </text>
    </comment>
    <comment ref="O66" authorId="0" shapeId="0">
      <text>
        <t>======
ID#AAABIAn-GSc
Diamond Tower DTW    (2024-02-29 03:51:05)
22/01/2024	CONSUMO DAGUA NR. DOC: 3579042 12/2023 2023123579042 DMAE	- 9.552,81</t>
      </text>
    </comment>
    <comment ref="P66" authorId="0" shapeId="0">
      <text>
        <t>======
ID#AAABIwqyk5o
Diamond Tower DTW    (2024-03-08 18:54:54)
21/02/2024	CONSUMO DAGUA NR. DOC: 3579042 01/2024 2024013579042 DMAE	- 9.552,81</t>
      </text>
    </comment>
    <comment ref="E67" authorId="0" shapeId="0">
      <text>
        <t>======
ID#AAAAst4mP0A
Diamond Tower DTW    (2023-03-24 18:40:12)
07/03/2023	PG.CONSUMO LUZ NR. DOC: 68761929 CEEE DISTRIBUICAO	- 22.347,40</t>
      </text>
    </comment>
    <comment ref="F67" authorId="0" shapeId="0">
      <text>
        <t>======
ID#AAAAvxy9hdI
Diamond Tower DTW    (2023-05-03 02:09:33)
20/04/2023	PG.CONSUMO LUZ NR. DOC: 68761929 CEEE DISTRIBUICAO	- 25.787,87</t>
      </text>
    </comment>
    <comment ref="G67" authorId="0" shapeId="0">
      <text>
        <t>======
ID#AAABDrIQ9Wk
Diamond Tower DTW    (2024-01-04 17:15:18)
29/05/2023	PG.CONSUMO LUZ NR. DOC: 68761929 05/2023 CEEE DISTRIBUICAO	- 20.668,88</t>
      </text>
    </comment>
    <comment ref="H67" authorId="0" shapeId="0">
      <text>
        <t>======
ID#AAAA90-Wazs
Diamond Tower DTW    (2024-01-10 20:04:43)
29/06/2023	PG.CONSUMO LUZ NR. DOC: 68761929 CEEE DISTRIBUICAO	- 19.808,74</t>
      </text>
    </comment>
    <comment ref="I67" authorId="0" shapeId="0">
      <text>
        <t>======
ID#AAAA90-Wa6o
Diamond Tower DTW    (2024-01-10 21:16:40)
31/07/2023	PG.CONSUMO LUZ NR. DOC: 68761929 07/2023 CEEE DISTRIBUICAO	- 19.746,62</t>
      </text>
    </comment>
    <comment ref="J67" authorId="0" shapeId="0">
      <text>
        <t>======
ID#AAABHLHSek8
Diamond Tower DTW    (2024-02-22 22:19:58)
29/08/2023	PG.CONSUMO LUZ NR. DOC: 68761929 08/2023 CEEE DISTRIBUICAO	- 20.184,10</t>
      </text>
    </comment>
    <comment ref="K67" authorId="0" shapeId="0">
      <text>
        <t>======
ID#AAABGxaTsOU
Diamond Tower DTW    (2024-02-23 18:43:25)
29/09/2023	PG.CONSUMO LUZ NR. DOC: 68761929 09/2023 CEEE DISTRIBUICAO	- 20.351,49</t>
      </text>
    </comment>
    <comment ref="L67" authorId="0" shapeId="0">
      <text>
        <t>======
ID#AAABGxaTsT0
Diamond Tower DTW    (2024-02-23 20:01:13)
30/10/2023	PG.CONSUMO LUZ NR. DOC: 68761929 10/2023 CEEE DISTRIBUICAO	- 18.611,35</t>
      </text>
    </comment>
    <comment ref="M67" authorId="0" shapeId="0">
      <text>
        <t>======
ID#AAABGxaTsYc
Diamond Tower DTW    (2024-02-23 20:59:30)
29/11/2023	PG.CONSUMO LUZ NR. DOC: 68761929 11/2023 CEEE DISTRIBUICAO	- 20.702,17</t>
      </text>
    </comment>
    <comment ref="O67" authorId="0" shapeId="0">
      <text>
        <t>======
ID#AAABIAn-GPA
Diamond Tower DTW    (2024-02-29 03:02:16)
02/01/2024	PG.CONSUMO LUZ NR. DOC: 68761929 12/2023 CEEE DISTRIBUICAO	- 19.806,91
------
ID#AAABIAn-GTU
Diamond Tower DTW    (2024-02-29 03:57:50)
29/01/2024	PG.CONSUMO LUZ NR. DOC: 68761929 01/2024 CEEE DISTRIBUICAO	- 22.880,06</t>
      </text>
    </comment>
    <comment ref="P67" authorId="0" shapeId="0">
      <text>
        <t>======
ID#AAABIwqyk7I
Diamond Tower DTW    (2024-03-08 19:25:40)
29/02/2024	PG.CONSUMO LUZ NR. DOC: 68761929 CEEE DISTRIBUICAO	- 25.959,17</t>
      </text>
    </comment>
    <comment ref="J68" authorId="0" shapeId="0">
      <text>
        <t>======
ID#AAABGvXDqZ4
Diamond Tower DTW    (2024-02-20 22:41:29)
11/08/2023	PG.SEGURO PREDIO PARCELA SEGURO Parc.(1/6) ALLIANZ SEGUROS	- 6.637,96</t>
      </text>
    </comment>
    <comment ref="K68" authorId="0" shapeId="0">
      <text>
        <t>======
ID#AAABHLKhPxE
Diamond Tower DTW    (2024-02-22 23:02:37)
08/09/2023	PG.SEGURO PREDIO PARCELA SEGURO Parc.(2/6) ALLIANZ SEGUROS	- 6.637,96</t>
      </text>
    </comment>
    <comment ref="L68" authorId="0" shapeId="0">
      <text>
        <t>======
ID#AAABGxaTsQs
Diamond Tower DTW    (2024-02-23 19:21:47)
10/10/2023	PG.SEGURO PREDIO PARCELA SEGURO Parc.(3/6) ALLIANZ SEGUROS	- 6.637,96</t>
      </text>
    </comment>
    <comment ref="M68" authorId="0" shapeId="0">
      <text>
        <t>21/11/2022 SEGURO FOGO OBRIGATORIO COND NR. DOC: 5177202265160036789 Parc.(5/6) ALLIANZ SE 6.690,63
======
ID#AAABGxaTsWI
Diamond Tower DTW    (2024-02-23 20:31:17)
10/11/2023	PG.SEGURO PREDIO PARCELA SEGURO Parc.(4/6) ALLIANZ SEGUROS	- 6.637,96</t>
      </text>
    </comment>
    <comment ref="N68" authorId="0" shapeId="0">
      <text>
        <t>======
ID#AAABINBdlOg
Diamond Tower DTW    (2024-02-29 02:38:54)
11/12/2023	PG.SEGURO PREDIO PARCELA SEGURO Parc.(5/6) ALLIANZ SEGUROS	- 6.637,96</t>
      </text>
    </comment>
    <comment ref="O68" authorId="0" shapeId="0">
      <text>
        <t>======
ID#AAABIAn-GRI
Diamond Tower DTW    (2024-02-29 03:44:42)
10/01/2024	PG.SEGURO PREDIO PARCELA SEGURO Parc.(6/6) ALLIANZ SEGUROS	- 6.638,04</t>
      </text>
    </comment>
    <comment ref="P68" authorId="0" shapeId="0">
      <text>
        <t>21/11/2022 SEGURO FOGO OBRIGATORIO COND NR. DOC: 5177202265160036789 Parc.(5/6) ALLIANZ SE 6.690,63
======</t>
      </text>
    </comment>
    <comment ref="E71" authorId="0" shapeId="0">
      <text>
        <t>======
ID#AAAAst4mP0o
Diamond Tower DTW    (2023-03-24 18:46:01)
10/03/2023	PG. MAT. SISTEMAS DE SEGURANÇA NF.: 1118 APLICAÇÃO SISTEMA CFTV - AQUISIÇÃO DE 106 CÂMERAS RODRIGO GONCALVES PEREIRA	- 44.859,20
------
ID#AAAAvxhdLu0
Diamond Tower DTW    (2023-05-02 19:17:38)
10/03/23 TARIFA PIX NR. DOC: 1118 RODRIGO GONÃALVES PEREIRA (SECTRO TECNOLOGIA) - 2,49</t>
      </text>
    </comment>
    <comment ref="G71" authorId="0" shapeId="0">
      <text>
        <t>======
ID#AAAA9vWEmjk
Diamond Tower DTW    (2024-01-04 01:59:19)
15/05/2023	PG.RESSARCIMENTO REPARO DOS DANOS CAUSADOS NO FORRO DA UNF 2301 JORGE LUIZ LOPES DO CANTO	- 1.100,00
------
ID#AAABDrIQ9Vk
Diamond Tower DTW    (2024-01-04 17:00:45)
24/05/2023	PG.BENFEITORIAS/AQUISIÇÕES TVS PARA CENTRAL DE MONITORAMENTO VIA VAREJO S.A	- 6.198,00</t>
      </text>
    </comment>
    <comment ref="H71" authorId="0" shapeId="0">
      <text>
        <t>======
ID#AAAA90-WazM
Diamond Tower DTW    (2024-01-10 19:55:45)
26/06/2023	PG.DESP.CARTAO CREDITO BANCO ITAUCARD - SA	- 768,12
------
ID#AAAA90-Waz4
Diamond Tower DTW    (2024-01-10 20:06:17)
30/06/2023	PG.COMPRA MATERIAL NF.: 1168 IMPLEMENTAÇÃO NOVO CONTROLE DE ACESS. FACIAL RODRIGO GONCALVES PEREIRA	- 13.191,70</t>
      </text>
    </comment>
    <comment ref="I71" authorId="0" shapeId="0">
      <text>
        <t>======
ID#AAAA90-Wa3I
Diamond Tower DTW    (2024-01-10 20:57:02)
10/07/2023	PG.RETENCAO ISSQN NR. DOC: 202383 V:09/06/2023 RODRIGO GONCALVES PEREIRA	- 1.710,00
------
ID#AAAA90-Wa6I
Diamond Tower DTW    (2024-01-10 21:14:19)
26/07/2023	PG.DESP.CARTAO CREDITO BANCO ITAUCARD - SA	- 592,10</t>
      </text>
    </comment>
    <comment ref="J71" authorId="0" shapeId="0">
      <text>
        <t>======
ID#AAABGvXDqXY
Diamond Tower DTW    (2024-02-20 21:27:47)
08/08/2023	PG.COMPRA MATERIAL NF.: 1184 IMPLEM. NOVO CONTROLE DE ACESS. FACIAL PARC 2/11 RODRIGO GONCALVES PEREIRA	- 13.002,80
------
ID#AAABGvXDqZ0
Diamond Tower DTW    (2024-02-20 22:41:14)
11/08/2023	PG.RESSARCIMENTO NR. DOC: 19953 COMPRA DE MATERIAIS LEROY (INFILTRAÇÃO TERRAÇO) JORGE LUIZ LOPES DO CANTO	- 252,59</t>
      </text>
    </comment>
    <comment ref="K71" authorId="0" shapeId="0">
      <text>
        <t>======
ID#AAABHLKhPxA
Diamond Tower DTW    (2024-02-22 23:02:23)
08/09/2023	PG.COMPRA MATERIAL NF.: 1204 IMPLEM. NOVO CONTROLE DE ACESS. FACIAL PARC 3/11 RODRIGO GONCALVES PEREIRA	- 12.957,00
------
ID#AAABHLNUEQM
Diamond Tower DTW    (2024-02-22 23:14:23)
11/09/2023	PG.RETENCAO ISSQN NR. DOC: 2023118 V:10/08/2023 RODRIGO GONCALVES PEREIRA	- 180,00</t>
      </text>
    </comment>
    <comment ref="L71" authorId="0" shapeId="0">
      <text>
        <t>======
ID#AAABGxaTsTE
Diamond Tower DTW    (2024-02-23 19:55:54)
13/09
48,18
Uber
*UBER P
079112
4121
0,00
------
ID#AAABGxaTsTM
Diamond Tower DTW    (2024-02-23 19:56:56)
14/09
Uber
*UBER *TRIP
051383
4121
0,00
28,52
------
ID#AAABGxaTsTU
Diamond Tower DTW    (2024-02-23 19:58:02)
22/09
Uber
*UBER *TRIP
047913
4121
0,00
17,94
------
ID#AAABGxaTsTc
Diamond Tower DTW    (2024-02-23 19:59:14)
04/10
Uber *
UBER P
04/10
Uber
*UBER *TR P
*UBER *TRIP
04/10
Uber
UBER *TEMBICI
04/10
HELP. UBER
11/10
ZP*MAMMA MIA-CT
075101
080765
004276
072875
058502
4121
4121
4121
7999
5812
0,00
0,00
0,00
0,00
0,00
2,00
12,94
5,90
189,00</t>
      </text>
    </comment>
    <comment ref="M71" authorId="0" shapeId="0">
      <text>
        <t>======
ID#AAABGxaTsXw
Diamond Tower DTW    (2024-02-23 20:54:10)
16/10
19/10
24/10
24/10
24/10
Uber
Uber
Uber
Uber
Uber
'UBER *TRIP
*UBER *TRIP
*UBER
*UBER STRIP
*UBER *TRIP
057398
028887
079931
074870
074870
4121
4121
4121
4121
4121
0,00
0,00
0,00
0,00
6,00
15,33
44,96
20,96
6,00
0,00
------
ID#AAABGxaTsX8
Diamond Tower DTW    (2024-02-23 20:54:56)
02/11
UBER*
TRIP
023057
4121
0,00
5,31</t>
      </text>
    </comment>
    <comment ref="N71" authorId="0" shapeId="0">
      <text>
        <t>======
ID#AAABIAn-GN0
Diamond Tower DTW    (2024-02-29 02:53:34)
26/12/2023	PG.DESP.CARTAO CREDITO BANCO ITAUCARD - SA	- 688,98</t>
      </text>
    </comment>
    <comment ref="O71" authorId="0" shapeId="0">
      <text>
        <t>======
ID#AAABIAn-GQI
Diamond Tower DTW    (2024-02-29 03:17:01)
10/01/2024	PG.RETENCAO ISSQN NR. DOC: 202300000000193 PREFEITURA DE PORTO ALEGRE	- 45,50
------
ID#AAABIAn-GQM
Diamond Tower DTW    (2024-02-29 03:17:43)
10/01/2024	PG.RETENCAO ISSQN NR. DOC: 202300000000195 PREFEITURA DE PORTO ALEGRE	- 73,50
------
ID#AAABIAn-GRc
Diamond Tower DTW    (2024-02-29 03:46:28)
16/01/2024	PG.RECL.TRABALHISTA RCTE - GABRIELA OLIVEIRA DE MELLO TRIBUNAL REGIONAL TRABALHO DA 4 REGIAO	- 12.665,14</t>
      </text>
    </comment>
    <comment ref="P71" authorId="0" shapeId="0">
      <text>
        <t>======
ID#AAABI8VpC1c
Diamond Tower DTW    (2024-03-07 19:24:22)
8/02/2024	PG.COMPRA MATERIAL NF.: 1308 IMPLEM. NOVO CONTROLE DE ACESS. FACIAL PARC 7/11 RODRIGO GONCALVES PEREIRA	- 9.104,20
------
ID#AAABI8VpC1g
Diamond Tower DTW    (2024-03-07 19:24:44)
08/02/2024	PG.SERV.PRESTADOS NF.: 3 CONTROLE DE ACESSO RECONHECIMENTO FACIAL RODRIGO GONCALVES PEREIRA	- 3.820,00
------
ID#AAABIwqyk4A
Diamond Tower DTW    (2024-03-08 18:11:36)
14/02/2024	PG.RETENCAO ISSQN NR. DOC: 20244 V:19/01/2024 RODRIGO GONCALVES PEREIRA	- 50,85</t>
      </text>
    </comment>
    <comment ref="Q71" authorId="0" shapeId="0">
      <text>
        <t>======
ID#AAABJMHUnFQ
Diamond Tower DTW    (2024-03-14 21:12:36)
11/03/2024	PG.RETENCAO ISSQN NR. DOC: 3 V:08/02/2024 RODRIGO GONCALVES PEREIRA	- 180,00</t>
      </text>
    </comment>
    <comment ref="E72" authorId="0" shapeId="0">
      <text>
        <t>======
ID#AAAAst4mPzg
Diamond Tower DTW    (2023-03-24 18:26:39)
03/03/2023	PG.HONORARIOS ADVOCATICIOS NF.: 20236 MARION CASTILHOS SILVA SOCIEDADE IND.AD	- 969,26
------
ID#AAAAst4mP00
Diamond Tower DTW    (2023-03-24 18:46:49)
10/03/2023	PG.RETENCAO ISSQN NR. DOC: 20231 V:07/02/2023 MARION CASTILHOS SILVA SOCIEDADE IND.AD	- 98,91
------
ID#AAAAst4mP1I
Diamond Tower DTW    (2023-03-24 18:48:09)
10/03/2023	PG.RETENCAO ISSQN NR. DOC: 20232 V:07/02/2023 MARION CASTILHOS SILVA SOCIEDADE IND.AD	- 26,99
------
ID#AAAAst4mP1M
Diamond Tower DTW    (2023-03-24 18:48:16)
10/03/2023	PG.RETENCAO ISSQN NR. DOC: 20233 V:07/02/2023 MARION CASTILHOS SILVA SOCIEDADE IND.AD	- 3,94
------
ID#AAAAst4mP1Q
Diamond Tower DTW    (2023-03-24 18:48:29)
10/03/2023	PG.RETENCAO ISSQN NR. DOC: 20234 V:08/02/2023 MARION CASTILHOS SILVA SOCIEDADE IND.AD	- 39,31
------
ID#AAAAst4mP1U
Diamond Tower DTW    (2023-03-24 18:51:02)
10/03/2023	PG.RETENCAO ISSQN NR. DOC: 20235 V:08/02/2023 MARION CASTILHOS SILVA SOCIEDADE IND.AD	- 39,31
------
ID#AAAAst4mP1g
Diamond Tower DTW    (2023-03-24 18:53:22)
10/03/2023	PG.RETENCAO ISSQN NR. DOC: 20236 V:06/03/2023 MARION CASTILHOS SILVA SOCIEDADE IND.AD	- 19,78
------
ID#AAAAst4mP2I
Diamond Tower DTW    (2023-03-24 18:58:12)
13/03/2023	PG.HONORARIOS ADVOCATICIOS NF.: 202310 PARCELAS 4 E 5/10 - ACORDO SALAS 1305 E 1306 MARION CASTILHOS SILVA SOCIEDADE IND.AD	- 2.387,37
------
ID#AAAAtki6H8Y
Diamond Tower DTW    (2023-03-24 19:07:43)
20/03/2023	PG.HONORARIOS ADVOCATICIOS NF.: 20237 PARCELA 5/6 REFERENTE AO ACORDO DA SALÂ 1801 MARION CASTILHOS SILVA SOCIEDADE IND.AD	- 969,26
------
ID#AAAAtki6H8c
Diamond Tower DTW    (2023-03-24 19:08:08)
20/03/2023	PG.HONORARIOS ADVOCATICIOS NF.: 20238 PARCELA 4/6 REFERENTE AO ACORDO DA SALA 2102 MARION CASTILHOS SILVA SOCIEDADE IND.AD	- 1.926,10
------
ID#AAAAtki6H8g
Diamond Tower DTW    (2023-03-24 19:08:26)
20/03/2023	PG.HONORARIOS ADVOCATICIOS NF.: 20239 PARCELA 4/6 REFERENTE AO ACORDO DA SALA 1903 MARION CASTILHOS SILVA SOCIEDADE IND.AD	- 1.917,40
------
ID#AAAAsuFiYuI
Diamond Tower DTW    (2023-03-24 19:35:29)
21/03/2023	PAG.REF. COMPLEMENTO NF 2023/10 - PAGAMENTO A MENOR MARION CASTILHOS SILVA SOCIEDADE IND.AD	- 0,60
------
ID#AAAAsuFiYuQ
Diamond Tower DTW    (2023-03-24 19:36:55)
21/03/2023	PG.RESSARCIMENTO AQUISICAO DE BOBINAS TERMICAS PARA RECEPCAO MATHEUS KRITLI CAPPELLETTO	- 64,90
------
ID#AAAAvw2gdfY
Diamond Tower DTW    (2023-05-02 18:54:56)
03/03/23 TARIFA PIX NR. DOC: 20236 MARION CASTILHOS SILVA SOCIEDADE IND.AD - 2,49
------
ID#AAAAvxhdLvA
Diamond Tower DTW    (2023-05-02 19:18:32)
13/03/23 TARIFA PIX NR. DOC: 202310 MARION CASTILHOS SILVA SOCIEDADE IND.AD - 2,49
------
ID#AAAAvxhdLvY
Diamond Tower DTW    (2023-05-02 19:32:52)
20/03/23 TARIFA PIX NR. DOC: 20237 MARION CASTILHOS SILVA SOCIEDADE IND.AD - 2,49
------
ID#AAAAvxhdLvc
Diamond Tower DTW    (2023-05-02 19:32:54)
20/03/23 TARIFA PIX NR. DOC: 20237 MARION CASTILHOS SILVA SOCIEDADE IND.AD - 2,49
------
ID#AAAAvxhdLvg
Diamond Tower DTW    (2023-05-02 19:32:55)
20/03/23 TARIFA PIX NR. DOC: 20237 MARION CASTILHOS SILVA SOCIEDADE IND.AD - 2,49
------
ID#AAAAvxhdLvk
Diamond Tower DTW    (2023-05-02 19:35:52)
21/03/23 TARIFA PIX MATHEUS KRITLI CAPPELLETTO - 2,49
------
ID#AAABICYYBkI
Diamond Tower DTW    (2024-03-01 13:46:30)
20/03/2023 PG. INSS/IRRF - FPM/TERCEIROS NR. DOC: 50000119201289 CP 02/2023 MINISTERIO DA PREVIDENCIA SOCIAL - 16.789,10</t>
      </text>
    </comment>
    <comment ref="H72" authorId="0" shapeId="0">
      <text>
        <t>======
ID#AAAA90-Wawk
Diamond Tower DTW    (2024-01-10 18:39:59)
12/06/2023	PG.RETENCAO ISSQN NR. DOC: 202316 V:10/05/2023 MARION CASTILHOS SILVA SOCIEDADE IND.AD	- 48,73
------
ID#AAAA90-Wawo
Diamond Tower DTW    (2024-01-10 18:40:06)
12/06/2023	PG.RETENCAO ISSQN NR. DOC: 202317 V:10/05/2023 MARION CASTILHOS SILVA SOCIEDADE IND.AD	- 39,31
------
ID#AAAA90-Waws
Diamond Tower DTW    (2024-01-10 18:40:20)
12/06/2023	PG.RETENCAO ISSQN NR. DOC: 202318 V:10/05/2023 MARION CASTILHOS SILVA SOCIEDADE IND.AD	- 39,13
------
ID#AAAA90-Waxc
Diamond Tower DTW    (2024-01-10 18:49:16)
14/06/2023	PG.HONORARIOS ADVOCATICIOS NF.: 202319 PARCELA 09/10 REF. COBR.COTAS UNID.1305 E 1306 MARION CASTILHOS SILVA SOCIEDADE IND.AD	- 1.193,98
------
ID#AAABIcFJecE
Diamond Tower DTW    (2024-03-01 17:45:38)
19/05/2023	PG. INSS/IRRF - FPM/TERCEIROS NR. DOC: 50000132622219 CP 04/2023 MINISTERIO DA PREVIDENCIA SOCIAL	- 18.852,17</t>
      </text>
    </comment>
    <comment ref="I72" authorId="0" shapeId="0">
      <text>
        <t>======
ID#AAAA90-Wa2s
Diamond Tower DTW    (2024-01-10 20:55:27)
10/07/2023	PG.RETENCAO ISSQN NR. DOC: 202319 V:14/06/2023 MARION CASTILHOS SILVA SOCIEDADE IND.AD	- 24,37
------
ID#AAAA90-Wa3g
Diamond Tower DTW    (2024-01-10 21:00:29)
12/07/2023	PG.HONORARIOS ADVOCATICIOS NF.: 202320 REF. ACORDOS DAS UNIDADES 1305 E 1306 MARION CASTILHOS SILVA SOCIEDADE IND.AD	- 1.193,98
------
ID#AAAA90-Wa3k
Diamond Tower DTW    (2024-01-10 21:00:35)
12/07/2023	PG.HONORARIOS ADVOCATICIOS NF.: 202321 REF. ACORDO UNIDADE 1404 MARION CASTILHOS SILVA SOCIEDADE IND.AD	- 287,32
------
ID#AAAA90-Wa4g
Diamond Tower DTW    (2024-01-10 21:06:10)
17/07/2023	PG.HONORARIOS ADVOCATICIOS NF.: 202322 COTAS CONDOMINIAIS EM ATRASO MARION CASTILHOS SILVA SOCIEDADE IND.AD	- 716,49
------
ID#AAAA90-Wa4k
Diamond Tower DTW    (2024-01-10 21:06:24)
17/07/2023	PG.HONORARIOS ADVOCATICIOS NF.: 202323 COTAS CONDOMINIAIS EM ATRASO UNIDADE 1102 MARION CASTILHOS SILVA SOCIEDADE IND.AD	- 157,70
------
ID#AAAA90-Wa4o
Diamond Tower DTW    (2024-01-10 21:06:43)
17/07/2023	PG.HONORARIOS ADVOCATICIOS NF.: 202324 COTAS CONDOMINIAIS EM ATRASO UNIDADE 1113 MARION CASTILHOS SILVA SOCIEDADE IND.AD	- 292,38
------
ID#AAABI7FuU2Q
Diamond Tower DTW    (2024-03-07 14:02:27)
20/07/2023	PG. INSS/IRRF - FPM/TERCEIROS NR. DOC: 50000147535045 CP 06/2023 MINISTERIO DA PREVIDENCIA SOCIAL	- 17.832,61	-	+ 381.574,45</t>
      </text>
    </comment>
    <comment ref="J72" authorId="0" shapeId="0">
      <text>
        <t>======
ID#AAABGvXDqYA
Diamond Tower DTW    (2024-02-20 21:50:33)
10/08/2023	PG.RETENCAO ISSQN NR. DOC: 202320 V:12/07/2023 MARION CASTILHOS SILVA SOCIEDADE IND.AD	- 24,37
------
ID#AAABGvXDqYI
Diamond Tower DTW    (2024-02-20 21:52:20)
10/08/2023	PG.RETENCAO ISSQN NR. DOC: 202321 V:12/07/2023 MARION CASTILHOS SILVA SOCIEDADE IND.AD	- 5,86
------
ID#AAABGvXDqYM
Diamond Tower DTW    (2024-02-20 21:52:33)
10/08/2023	PG.RETENCAO ISSQN NR. DOC: 202322 V:17/07/2023 MARION CASTILHOS SILVA SOCIEDADE IND.AD	- 14,62
------
ID#AAABGvXDqYQ
Diamond Tower DTW    (2024-02-20 22:04:00)
10/08/2023	PG.RETENCAO ISSQN NR. DOC: 202323 V:17/07/2023 MARION CASTILHOS SILVA SOCIEDADE IND.AD	- 3,22
------
ID#AAABGvXDqZM
Diamond Tower DTW    (2024-02-20 22:28:29)
10/08/2023	PG.RETENCAO ISSQN NR. DOC: 202324 V:17/07/2023 MARION CASTILHOS SILVA SOCIEDADE IND.AD	- 5,97
------
ID#AAABHLBZ4aU
Diamond Tower DTW    (2024-02-22 21:43:28)
21/08/2023	PG.HONORARIOS ADVOCATICIOS NF.: 202326 ACORDO REF. A COTAS CONDOMINIAIS UNIDADE 1102 MARION CASTILHOS SILVA SOCIEDADE IND.AD	- 157,70
------
ID#AAABHLBZ4aY
Diamond Tower DTW    (2024-02-22 21:43:46)
21/08/2023	PG.HONORARIOS ADVOCATICIOS NF.: 202327 ACORDO REF. AS COTAS CONDOMINIAIS UNIDADE 1113 MARION CASTILHOS SILVA SOCIEDADE IND.AD	- 292,38
------
ID#AAABHLHSek4
Diamond Tower DTW    (2024-02-22 22:19:44)
29/08/2023	PG.COMPRA MATERIAL NF.: 2348 15 PLACAS DE PORTA EM AÇO ESCOVADO COM LOGO FERNANDO PACHECO COOPER 96794550091	- 1.200,00
------
ID#AAABI6uuxCE
Diamond Tower DTW    (2024-03-07 16:57:21)
18/08/2023	PG. INSS/IRRF - FPM/TERCEIROS NR. DOC: 50000155856535 CP 07/2023 MINISTERIO DA PREVIDENCIA SOCIAL	- 14.257,08</t>
      </text>
    </comment>
    <comment ref="K72" authorId="0" shapeId="0">
      <text>
        <t>======
ID#AAABHOH2m4o
Diamond Tower DTW    (2024-02-23 00:00:45)
11/09/2023	PG.RETENCAO ISSQN NR. DOC: 202326 V:21/08/2023 MARION CASTILHOS SILVA SOCIEDADE IND.AD	- 3,22
------
ID#AAABHOH2m4s
Diamond Tower DTW    (2024-02-23 00:01:03)
11/09/2023	PG.RETENCAO ISSQN NR. DOC: 202327 V:21/08/2023 MARION CASTILHOS SILVA SOCIEDADE IND.AD	- 5,97
------
ID#AAABHOH2m48
Diamond Tower DTW    (2024-02-23 00:02:25)
11/09/2023	PG.RETENCAO ISSQN NR. DOC: 202339 V:05/09/2023 BELLINI FIGUEIRO SOCIEDADE INDIVIDUAL DE	- 41,93
------
ID#AAABHOH2m5A
Diamond Tower DTW    (2024-02-23 00:02:41)
11/09/2023	PG.RETENCAO ISSQN NR. DOC: 202340 V:05/09/2023 BELLINI FIGUEIRO SOCIEDADE INDIVIDUAL DE	- 53,75
------
ID#AAABHLDlA24
Diamond Tower DTW    (2024-02-23 00:08:56)
19/09/2023	PG.HONORARIOS ADVOCATICIOS NF.: 202330 ACORDO COTAS UNIDADE 1102 MARION CASTILHOS SILVA SOCIEDADE IND.AD	- 157,70
------
ID#AAABHLUSzAw
Diamond Tower DTW    (2024-02-23 00:09:02)
19/09/2023	PG.HONORARIOS ADVOCATICIOS NF.: 202331 ACORDO COTAS UNIDADE 1910 MARION CASTILHOS SILVA SOCIEDADE IND.AD	- 292,38
------
ID#AAABHLUSzA0
Diamond Tower DTW    (2024-02-23 00:09:11)
19/09/2023	PG.HONORARIOS ADVOCATICIOS NF.: 202332 ACORDO COTAS UNIDADE 1910 MARION CASTILHOS SILVA SOCIEDADE IND.AD	- 440,93
------
ID#AAABI6uuxCs
Diamond Tower DTW    (2024-03-07 17:09:40)
19/09/2023	PG. INSS/IRRF - FPM/TERCEIROS NR. DOC: 50000162137848 CP 08/2023 MINISTERIO DA PREVIDENCIA SOCIAL	- 14.562,18</t>
      </text>
    </comment>
    <comment ref="L72" authorId="0" shapeId="0">
      <text>
        <t>======
ID#AAABGxaTsQU
Diamond Tower DTW    (2024-02-23 19:16:45)
10/10/2023	PG.RETENCAO ISSQN NR. DOC: 202330 V:19/09/2023 MARION CASTILHOS SILVA SOCIEDADE IND.AD	- 3,22
------
ID#AAABGxaTsQY
Diamond Tower DTW    (2024-02-23 19:16:51)
10/10/2023	PG.RETENCAO ISSQN NR. DOC: 202331 V:19/09/2023 MARION CASTILHOS SILVA SOCIEDADE IND.AD	- 5,97
------
ID#AAABGxaTsQc
Diamond Tower DTW    (2024-02-23 19:17:03)
10/10/2023	PG.RETENCAO ISSQN NR. DOC: 202332 V:19/09/2023 MARION CASTILHOS SILVA SOCIEDADE IND.AD	- 9,00
------
ID#AAABGxaTsRU
Diamond Tower DTW    (2024-02-23 19:28:20)
13/10/2023	PG.HONORARIOS ADVOCATICIOS NF.: 202333 PARCELA 4/4 ACORDO UNIDADE 1113 MARION CASTILHOS SILVA SOCIEDADE IND.AD	- 292,38</t>
      </text>
    </comment>
    <comment ref="M72" authorId="0" shapeId="0">
      <text>
        <t>======
ID#AAABGxaTsVo
Diamond Tower DTW    (2024-02-23 20:27:15)
10/11/2023	PG.RETENCAO ISSQN NR. DOC: 202333 V:13/10/2023 MARION CASTILHOS SILVA SOCIEDADE IND.AD	- 5,97
------
ID#AAABGxaTsV4
Diamond Tower DTW    (2024-02-23 20:28:25)
10/11/2023	PG.RETENCAO ISSQN NR. DOC: 202351 V:05/11/2023 BELLINI FIGUEIRO SOCIEDADE INDIVIDUAL DE	- 52,08
------
ID#AAABGxaTsXc
Diamond Tower DTW    (2024-02-23 20:46:00)
22/11/2023	PG.HONORARIOS ADVOCATICIOS NF.: 202335 ACORDO COTAS UNIDADE 1803 MARION CASTILHOS SILVA SOCIEDADE IND.AD	- 257,89
------
ID#AAABI7fnF4Y
Diamond Tower DTW    (2024-03-07 17:49:18)
20/11/2023	PG. INSS/IRRF - FPM/TERCEIROS NR. DOC: 50000178912883 MINISTERIO DA PREVIDENCIA SOCIAL	- 10.903,40</t>
      </text>
    </comment>
    <comment ref="N72" authorId="0" shapeId="0">
      <text>
        <t>======
ID#AAABINBdlOA
Diamond Tower DTW    (2024-02-29 02:30:22)
11/12/2023	PG.RETENCAO ISSQN NR. DOC: 202335 V:22/11/2023 MARION CASTILHOS SILVA SOCIEDADE IND.AD	- 5,26</t>
      </text>
    </comment>
    <comment ref="O72" authorId="0" shapeId="0">
      <text>
        <t>======
ID#AAABIAn-GPs
Diamond Tower DTW    (2024-02-29 03:06:45)
09/01/2024	PG. SERV. LIMPEZA NF.: 202338 CLEANS COMERCIO E SERV DE HIGIENE E LIMP	- 1.199,70
------
ID#AAABIAn-GQE
Diamond Tower DTW    (2024-02-29 03:09:45)
10/01/2024	PG.RETENCAO ISSQN NR. DOC: 202300000000038 PREFEITURA DE PORTO ALEGRE	- 45,15
------
ID#AAABIAn-GQQ
Diamond Tower DTW    (2024-02-29 03:27:26)
10/01/2024	PG.RETENCAO ISSQN NR. DOC: 202300000025797 PREFEITURA DE PORTO ALEGRE	- 192,08
------
ID#AAABIAn-GS0
Diamond Tower DTW    (2024-02-29 03:54:30)
25/01/2024	PG. ELEVADOR PECAS NF.: 202325797 Parc.(1/5) ELEVADORES ATLAS SCHINDLER S/A	- 694,20
------
ID#AAABI8VpC0Q
Diamond Tower DTW    (2024-03-07 19:17:06)
19/01/2024	PG. INSS/IRRF - FPM/TERCEIROS NR. DOC: 50000198099997 CP. 12/2023 MINISTERIO DA PREVIDENCIA SOCIAL	- 15.891,02</t>
      </text>
    </comment>
    <comment ref="F73" authorId="0" shapeId="0">
      <text>
        <t>======
ID#AAAAvxspaes
Diamond Tower DTW    (2023-05-03 00:41:46)
05/04/2023	PG.HONORARIOS ADVOCATICIOS NF.: 202313 05/06- MARION CASTILHOS SILVA SOCIEDADE IND.AD	- 1.926,10
------
ID#AAAAvxspaew
Diamond Tower DTW    (2023-05-03 00:42:00)
05/04/2023	PG.HONORARIOS ADVOCATICIOS NF.: 202314 05/06 - ACORDO DA UNIDADE 1903 MARION CASTILHOS SILVA SOCIEDADE IND.AD	- 1.917,40
------
ID#AAAAvxspae0
Diamond Tower DTW    (2023-05-03 00:42:07)
05/04/2023	PG.HONORARIOS ADVOCATICIOS NF.: 202315 06/10 MARION CASTILHOS SILVA SOCIEDADE IND.AD	- 1.193,98
------
ID#AAAAvxspafk
Diamond Tower DTW    (2023-05-03 00:50:09)
06/04/2023	PG.HONORARIOS ADVOCATICIOS NF.: 202312 06/06 MARION CASTILHOS SILVA SOCIEDADE IND.AD	- 969,26
------
ID#AAAAvxspagI
Diamond Tower DTW    (2023-05-03 00:53:18)
10/04/2023	PG.RETENCAO ISSQN NR. DOC: 202310 V:13/03/2023 MARION CASTILHOS SILVA SOCIEDADE IND.AD	- 48,73
------
ID#AAAAvxbhvgo
Diamond Tower DTW    (2023-05-03 01:53:49)
10/04/2023	PG.RETENCAO ISSQN NR. DOC: 20237 V:20/03/2023 MARION CASTILHOS SILVA SOCIEDADE IND.AD	- 19,78
------
ID#AAAAvxbhvgs
Diamond Tower DTW    (2023-05-03 01:54:02)
10/04/2023	PG.RETENCAO ISSQN NR. DOC: 20238 V:20/03/2023 MARION CASTILHOS SILVA SOCIEDADE IND.AD	- 39,31
------
ID#AAAAvxbhvgw
Diamond Tower DTW    (2023-05-03 01:54:12)
10/04/2023	PG.RETENCAO ISSQN NR. DOC: 20239 V:20/03/2023 MARION CASTILHOS SILVA SOCIEDADE IND.AD	- 39,13</t>
      </text>
    </comment>
    <comment ref="G73" authorId="0" shapeId="0">
      <text>
        <t>======
ID#AAAA9vWEmh0
Diamond Tower DTW    (2024-01-04 00:55:18)
10/05/2023	PG.HONORARIOS ADVOCATICIOS NF.: 202316 PC 7 E 8/10- COB COTAS COND UNDS 1305 E 1306 MARION CASTILHOS SILVA SOCIEDADE IND.AD	- 2.387,97
------
ID#AAAA9vWEmh4
Diamond Tower DTW    (2024-01-04 00:55:31)
10/05/2023	PG.HONORARIOS ADVOCATICIOS NF.: 202317 PC 6/6 - COB DAS COTAS CONDOMINIAIS UND 2102 MARION CASTILHOS SILVA SOCIEDADE IND.AD	- 1.926,10
------
ID#AAAA9vWEmh8
Diamond Tower DTW    (2024-01-04 00:55:42)
10/05/2023	PG.HONORARIOS ADVOCATICIOS NF.: 202318 PC 6/6 - COB DAS COTAS CONDOMINIAIS UND 1903 MARION CASTILHOS SILVA SOCIEDADE IND.AD	- 1.917,40
------
ID#AAAA9vWEmiQ
Diamond Tower DTW    (2024-01-04 00:59:20)
10/05/2023	PG.RETENCAO ISSQN NR. DOC: 202312 V:06/04/2023 MARION CASTILHOS SILVA SOCIEDADE IND.AD	- 19,78
------
ID#AAAA9vWEmiU
Diamond Tower DTW    (2024-01-04 00:59:44)
10/05/2023	PG.RETENCAO ISSQN NR. DOC: 202313 V:05/04/2023 MARION CASTILHOS SILVA SOCIEDADE IND.AD	- 39,31
------
ID#AAAA9vWEmiY
Diamond Tower DTW    (2024-01-04 00:59:51)
10/05/2023	PG.RETENCAO ISSQN NR. DOC: 202314 V:05/04/2023 MARION CASTILHOS SILVA SOCIEDADE IND.AD	- 39,13
------
ID#AAAA9vWEmic
Diamond Tower DTW    (2024-01-04 01:00:21)
10/05/2023	PG.RETENCAO ISSQN NR. DOC: 202315 V:05/04/2023 MARION CASTILHOS SILVA SOCIEDADE IND.AD	- 24,37</t>
      </text>
    </comment>
    <comment ref="J73" authorId="0" shapeId="0">
      <text>
        <t>======
ID#AAABGvTkl7M
Diamond Tower DTW    (2024-02-20 20:17:02)
07/08/2023	PG.HONORARIOS ADVOCATICIOS NF.: 202338 PARCELA 1/2 PROCESSO TAINARA MARQUES BELLINI FIGUEIRO SOCIEDADE INDIVIDUAL DE	- 2.446,25
------
ID#AAABI6uuxB8
Diamond Tower DTW    (2024-03-07 16:56:03)
18/08/2023	PG. INSS/IRRF - FPM/TERCEIROS NR. DOC: 50000155856535 CP 07/2023 MINISTERIO DA PREVIDENCIA SOCIAL	- 14.257,08</t>
      </text>
    </comment>
    <comment ref="K73" authorId="0" shapeId="0">
      <text>
        <t>======
ID#AAABHLHYnkE
Diamond Tower DTW    (2024-02-22 22:53:38)
5/09/2023	PG.HONORARIOS ADVOCATICIOS NF.: 202340 PARCELA 2/2 PROCESSO TAINARA MARQUES BELLINI FIGUEIRO SOCIEDADE INDIVIDUAL DE	- 2.446,25	-
------
ID#AAABHOH2m44
Diamond Tower DTW    (2024-02-23 00:02:07)
11/09/2023	PG.RETENCAO ISSQN NR. DOC: 202338 V:07/08/2023 BELLINI FIGUEIRO SOCIEDADE INDIVIDUAL DE	- 53,75</t>
      </text>
    </comment>
    <comment ref="M73" authorId="0" shapeId="0">
      <text>
        <t>======
ID#AAABGxaTsVA
Diamond Tower DTW    (2024-02-23 20:20:19)
06/11/2023	PG.HONORARIOS ADVOCATICIOS NF.: 202351 BELLINI FIGUEIRO SOCIEDADE INDIVIDUAL DE	- 2.347,92
------
ID#AAABI6uuxDg
Diamond Tower DTW    (2024-03-07 17:43:24)
20/11/2023	PG. INSS/IRRF - FPM/TERCEIROS NR. DOC: 50000178912883 MINISTERIO DA PREVIDENCIA SOCIAL	- 10.903,40</t>
      </text>
    </comment>
    <comment ref="N73" authorId="0" shapeId="0">
      <text>
        <t>======
ID#AAABINBdlNA
Diamond Tower DTW    (2024-02-29 02:21:27)
05/12/2023	PG.HONORARIOS ADVOCATICIOS NF.: 2 PARCELA 1/10 KLEBER JOSE PIRES MARTINS BELLINI FIGUEIRO SOCIEDADE INDIVIDUAL DE	- 1.955,60
------
ID#AAABINBdlOM
Diamond Tower DTW    (2024-02-29 02:35:24)
11/12/2023	PG.RETENCAO ISSQN NR. DOC: 2 V:05/12/2023 BELLINI FIGUEIRO SOCIEDADE INDIVIDUAL DE	- 44,40</t>
      </text>
    </comment>
    <comment ref="O73" authorId="0" shapeId="0">
      <text>
        <t>======
ID#AAABIAn-GPY
Diamond Tower DTW    (2024-02-29 03:04:27)
05/01/2024	PG.HONORARIOS ADVOCATICIOS NF.: 8 PARCELA 2/10 PROCESSO KLEBER JOSE MARTINS E OUTROS BELLINI FIGUEIRO SOCIEDADE INDIVIDUAL DE	- 1.954,80
------
ID#AAABIAn-GRA
Diamond Tower DTW    (2024-02-29 03:44:12)
10/01/2024	PG.RETENCAO ISSQN NR. DOC: 8 V:05/01/2024 BELLINI FIGUEIRO SOCIEDADE INDIVIDUAL DE	- 45,20</t>
      </text>
    </comment>
    <comment ref="P73" authorId="0" shapeId="0">
      <text>
        <t>======
ID#AAABI8VpC04
Diamond Tower DTW    (2024-03-07 19:21:56)
05/02/2024	PG.HONORARIOS ADVOCATICIOS NF.: 11 PARCELA 3/10 PROCESSO KLEBER JOSE MARTINS E OUTROS BELLINI FIGUEIRO SOCIEDADE INDIVIDUAL DE	- 1.957,20
------
ID#AAABI8VpC1A
Diamond Tower DTW    (2024-03-07 19:22:32)
05/02/2024	PG.HONORARIOS ADVOCATICIOS NF.: 13 PROCESSO KAREN VALESCA ALVES LOPES- PARCELA 1/5 BELLINI FIGUEIRO SOCIEDADE INDIVIDUAL DE	- 978,60
------
ID#AAABI8VpC1E
Diamond Tower DTW    (2024-03-07 19:22:39)
05/02/2024	PG.HONORARIOS ADVOCATICIOS NF.: 14 PROCESSO GABRIELA OLIVEIRA MELO - PARCELA 1/5 BELLINI FIGUEIRO SOCIEDADE INDIVIDUAL DE	- 978,60
------
ID#AAABI8VpC1I
Diamond Tower DTW    (2024-03-07 19:22:52)
05/02/2024	PG.HONORARIOS ADVOCATICIOS NF.: 25 PROCESSO GABRIELA OLIVEIRA MELO MARCIO BATISTA SOCIEDADE INDIVIDUAL DE A	- 1.500,00
------
ID#AAABI8VpC2E
Diamond Tower DTW    (2024-03-07 19:36:23)
14/02/2024 PG.RETENCAO ISSQN NR. DOC: 11 V:05/02/2024 BELLINI FIGUEIRO SOCIEDADE INDIVIDUAL DE - 42,80
------
ID#AAABI8VpC2I
Diamond Tower DTW    (2024-03-07 19:36:45)
14/02/2024	PG.RETENCAO ISSQN NR. DOC: 13 V:05/02/2024 BELLINI FIGUEIRO SOCIEDADE INDIVIDUAL DE	- 21,40
------
ID#AAABI8VpC2M
Diamond Tower DTW    (2024-03-07 19:36:50)
14/02/2024	PG.RETENCAO ISSQN NR. DOC: 14 V:05/02/2024 BELLINI FIGUEIRO SOCIEDADE INDIVIDUAL DE	- 21,40</t>
      </text>
    </comment>
    <comment ref="Q73" authorId="0" shapeId="0">
      <text>
        <t>======
ID#AAABJB7AmHY
Diamond Tower DTW    (2024-03-11 01:29:56)
05/03/2024	PG.HONORARIOS ADVOCATICIOS NF.: 18 PROCESSO GABRIELA OLIVEIRA MELO - PARCELA 2/5 BELLINI FIGUEIRO SOCIEDADE INDIVIDUAL DE	- 978,50
------
ID#AAABJB7AmHc
Diamond Tower DTW    (2024-03-11 01:30:10)
05/03/2024	PG.HONORARIOS ADVOCATICIOS NF.: 19 PROCESSO KAREN VALESCA ALVES LOPES- PARCELA 3/5 BELLINI FIGUEIRO SOCIEDADE INDIVIDUAL DE	- 978,50
------
ID#AAABJB7AmHg
Diamond Tower DTW    (2024-03-11 01:30:22)
05/03/2024	PG.HONORARIOS ADVOCATICIOS NF.: 20 PARCELA 4/10 PROCESSO KLEBER JOSE MARTINS E OUTROS BELLINI FIGUEIRO SOCIEDADE INDIVIDUAL DE	- 1.957,00
------
ID#AAABJB7AmHk
Diamond Tower DTW    (2024-03-11 01:32:47)
05/03/2024	PG.HONORARIOS ADVOCATICIOS NF.: 21 EXTRAJUDICIAL AREA CIVIL - 02/2024 BELLINI FIGUEIRO SOCIEDADE INDIVIDUAL DE	- 2.763,28
------
ID#AAABJMGL2nU
Diamond Tower DTW    (2024-03-14 21:07:44)
11/03/2024	PG.RETENCAO ISSQN NR. DOC: 18 V:05/03/2024 BELLINI FIGUEIRO SOCIEDADE INDIVIDUAL DE	- 21,50
------
ID#AAABJMGL2nY
Diamond Tower DTW    (2024-03-14 21:08:01)
11/03/2024	PG.RETENCAO ISSQN NR. DOC: 19 V:05/03/2024 BELLINI FIGUEIRO SOCIEDADE INDIVIDUAL DE	- 21,50
------
ID#AAABJMHUnFE
Diamond Tower DTW    (2024-03-14 21:11:36)
11/03/2024	PG.RETENCAO ISSQN NR. DOC: 21 V:05/03/2024 BELLINI FIGUEIRO SOCIEDADE INDIVIDUAL DE	- 60,72</t>
      </text>
    </comment>
    <comment ref="H74" authorId="0" shapeId="0">
      <text>
        <t>======
ID#AAAA90-WavM
Diamond Tower DTW    (2024-01-10 18:18:12)
06/06/2023	PG. MAT. SISTEMAS DE SEGURANÇA NF.: 1161 REF. SALDO RESTANTE AMPLIAÇÃO SISTEMA CFTV RODRIGO GONCALVES PEREIRA	- 53.640,80
------
ID#AAAA90-Wav0
Diamond Tower DTW    (2024-01-10 18:34:18)
09/06/2023	PG.SERV.PRESTADOS NF.: 202383 SALDO RESTANTE DA AMPLIAÇÃO DO SISTEMA CFTV RODRIGO GONCALVES PEREIRA	- 36.290,00
------
ID#AAABIcFJeb8
Diamond Tower DTW    (2024-03-01 17:45:07)
19/05/2023	PG. INSS/IRRF - FPM/TERCEIROS NR. DOC: 50000132622219 CP 04/2023 MINISTERIO DA PREVIDENCIA SOCIAL	- 18.852,17</t>
      </text>
    </comment>
    <comment ref="J74" authorId="0" shapeId="0">
      <text>
        <t>======
ID#AAABGvXDqXk
Diamond Tower DTW    (2024-02-20 21:47:07)
10/08/2023	PG. INST. CAMERAS MONIT. NF.: 2023118 REF. A VALOR RESTANTE INSTALAÇÃO SISTEMA CFTV RODRIGO GONCALVES PEREIRA	- 3.820,00
------
ID#AAABI6uuxCA
Diamond Tower DTW    (2024-03-07 16:56:28)
18/08/2023	PG. INSS/IRRF - FPM/TERCEIROS NR. DOC: 50000155856535 CP 07/2023 MINISTERIO DA PREVIDENCIA SOCIAL	- 14.257,08</t>
      </text>
    </comment>
    <comment ref="L74" authorId="0" shapeId="0">
      <text>
        <t>======
ID#AAABGxaTsRA
Diamond Tower DTW    (2024-02-23 19:24:40)
11/10/2023	PG.COMPRA MATERIAL NF.: 1219 IMPLEM. NOVO CONTROLE DE ACESS. FACIAL PARC 4/11 RODRIGO GONCALVES PEREIRA	- 13.071,80</t>
      </text>
    </comment>
    <comment ref="M74" authorId="0" shapeId="0">
      <text>
        <t>======
ID#AAABGxaTsXY
Diamond Tower DTW    (2024-02-23 20:45:36)
22/11/2023	PG.COMPRA MATERIAL NF.: 1239 IMPLEM. NOVO CONTROLE DE ACESS. FACIAL PARC 5/11 RODRIGO GONCALVES PEREIRA	- 13.028,10</t>
      </text>
    </comment>
    <comment ref="O74" authorId="0" shapeId="0">
      <text>
        <t>======
ID#AAABIAn-GSM
Diamond Tower DTW    (2024-02-29 03:49:55)
19/01/2024	PG.COMPRA MATERIAL NF.: 1288 IMPLEM. NOVO CONTROLE DE ACESS. FACIAL PARC 6/11 RODRIGO GONCALVES PEREIRA	- 11.875,70
------
ID#AAABIAn-GSY
Diamond Tower DTW    (2024-02-29 03:50:53)
19/01/2024	PG.SERV.PRESTADOS NF.: 20244 NOVO CONTROLE DE ACESSO RECONHECIMENTO FACIAL RODRIGO GONCALVES PEREIRA	- 1.079,15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C4" authorId="0" shapeId="0">
      <text>
        <t>======
ID#AAAAjPv8zVU
    (2022-11-04 19:34:33)
04/01/2022	SERVICOS VIGILANCIA NF.: 2021521 DEZEMBRO/2021 O.N.X SERVICOS EIRELI - ME
	-Diamond Tower
04/01/2022	TRANSAÇÕES BANCARIAS TED_DOC NR. DOC: 349649326 01/2022 - NF: 2021521
	-Diamond Tower
05/01/2022	SERVIÇO DE RECEPÇÃO NF.: 2021516 PAGAMENTO REFERENTE A PRESTACAO DE SERVICO DE R
	-Diamond Tower
05/01/2022	SERVICOS DE LIMPEZA NF.: 2021517 PAGAMENTO REFERENTE A PRESTACAO DE SERVICO DE
	-Diamond Tower
05/01/2022	SERVICOS DE LIMPEZA NF.: 2021518 PAGAMENTO REFERENTE A PRESTACAO DE SERVICO DE L
	-Diamond Tower
20/01/2022	INSS NR. DOC: 2021516 V:05/01/2022 GOCIL SERVICOS GERAIS LTDA
	-Diamond Tower
20/01/2022	INSS NR. DOC: 2021517 V:05/01/2022 GOCIL SERVICOS GERAIS LTDA
	-Diamond Tower
20/01/2022	INSS NR. DOC: 2021518 V:05/01/2022 GOCIL SERVICOS GERAIS LTDA
	-Diamond Tower
20/01/2022	INSS NR. DOC: 2021521 V:04/01/2022 O.N.X SERVICOS EIRELI - ME
	-Diamond Tower
28/01/2022	ISSQN-RETIDO NR. DOC: 20228/01/2022	ISSQN-RETIDO NR. DOC: 2021517 V:05/01/2022 GOCIL SERVICOS GERAIS LTDA1516 V:05/01/2022 GOCIL SERVICOS GERAIS LTDA
	-Diamond Tower
28/01/2022	ISSQN-RETIDO NR. DOC: 2021518 V:05/01/2022 GOCIL SERVICOS GERAIS LTDA
	-Diamond Tower
28/01/2022	ISSQN-RETIDO NR. DOC: 2021521 V:04/01/2022 O.N.X SERVICOS EIRELI - ME
	-Diamond Tower
28/01/2022	ISSQN-RETIDO NR. DOC: 2021730 V:01/12/2021 GOCIL SERVICOS DE VIGILANCIA E SEGURA
	-Diamond Tower
31/01/2022	INSS NR. DOC: 2021730 V:01/12/2021 GOCIL SERVICOS DE VIGILANCIA E SEGURANCA LTDA
	-Diamond Tower</t>
      </text>
    </comment>
    <comment ref="D4" authorId="0" shapeId="0">
      <text>
        <t>======
ID#AAAAjPv8zM0
    (2022-11-04 19:34:33)
04/02/2022	SERVICOS DE PORTARIA NF.: 202247 RECEPÇÃO, MONITORAMENTO E LIMPEZA REF JANEIRO/2
	-Diamond Tower
10/02/2022	OBRAS NF.: 2021477 GOCIL SERVICOS GERAIS LTDA
	-Diamond Tower
10/02/2022	SERVICOS DE LIMPEZA NF.: 2021428 GOCIL SERVICOS GERAIS LTDA
	-Diamond Tower
10/02/2022	SERVICOS DE LIMPEZA NF.: 2021476 GOCIL SERVICOS GERAIS LTDA
	-Diamond Tower
10/02/2022	SERVICOS DE LIMPEZA NF.: 2021478 GOCIL SERVICOS GERAIS LTDA
	-Diamond Tower
10/02/2022	SERVICOS VIGILANCIA NF.: 2021671 REF NOVEMBRO/2021 GOCIL SERVICOS DE VIGILANCIA
	-Diamond Tower
10/02/2022	SERVICOS VIGILANCIA NF.: 2021730 GOCIL SERVICOS DE VIGILANCIA E SEGURANCA LTDA
	-Diamond Tower
17/02/2022	LEI 10833-RETENÇAO NR. DOC: 2021516 V:05/01/2022 GOCIL SERVICOS GERAIS LTDA
	-Diamond Tower
17/02/2022	LEI 10833-RETENÇAO NR. DOC: 2021517 V:05/01/2022 GOCIL SERVICOS GERAIS LTDA
	-Diamond Tower
17/02/2022	LEI 10833-RETENÇAO NR. DOC: 2021518 V:05/01/2022 GOCIL SERVICOS GERAIS LTDA
	-Diamond Tower
18/02/2022	INSS NR. DOC: 202247 V:04/02/2022 O.N.X SERVICOS EIRELI - ME
	-Diamond Tower
25/02/2022	ISSQN-RETIDO NR. DOC: 202247 V:04/02/2022 O.N.X SERVICOS EIRELI - ME
	-Diamond Tower</t>
      </text>
    </comment>
    <comment ref="E4" authorId="0" shapeId="0">
      <text>
        <t>======
ID#AAAAjPv8zTY
    (2022-11-04 19:34:33)
09/03/2022	SERVICOS DE LIMPEZA NF.: 202299 O.N.X SERVICOS EIRELI - ME
	-Diamond Tower
09/03/2022	TRANSAÇÕES BANCARIAS TED_DOC NR. DOC: 357228164 03/2022 - NF: 202299
	-Diamond Tower
16/03/2022	LEI 10833-RETENÇAO NR. DOC: 2021428 V:10/02/2022 GOCIL SERVICOS GERAIS LTDA
	-Diamond Tower
16/03/2022	LEI 10833-RETENÇAO NR. DOC: 2021476 V:10/02/2022 GOCIL SERVICOS GERAIS LTDA
	-Diamond Tower
16/03/2022	LEI 10833-RETENÇAO NR. DOC: 2021477 V:10/02/2022 GOCIL SERVICOS GERAIS LTDA
	-Diamond Tower
16/03/2022	LEI 10833-RETENÇAO NR. DOC: 2021478 V:10/02/2022 GOCIL SERVICOS GERAIS LTDA
	-Diamond Tower
16/03/2022	LEI 10833-RETENÇAO NR. DOC: 2021671 V:10/02/2022 GOCIL SERVICOS DE VIGILANCIA E
	-Diamond Tower
16/03/2022	LEI 10833-RETENÇAO NR. DOC: 2021730 V:10/02/2022 GOCIL SERVICOS DE VIGILANCIA E
	-Diamond Tower</t>
      </text>
    </comment>
    <comment ref="F4" authorId="0" shapeId="0">
      <text>
        <t>======
ID#AAAAjPv8zDE
    (2022-11-04 19:34:32)
08/04/2022	SERVICOS VIGILANCIA NF.: 2022143 REF MARÇO/2022 O.N.X SERVICOS EIRELI - ME
	-Diamond Tower
08/04/2022	TRANSAÇÕES BANCARIAS TED_DOC NR. DOC: 361041189 04/2022 - NF: 2022143
	-Diamond Tower
20/04/2022	INSS NR. DOC: 2022143 V:08/04/2022 O.N.X SERVICOS EIRELI - ME
	-Diamond Tower
20/04/2022	INSS NR. DOC: 202299 V:09/03/2022 O.N.X SERVICOS EIRELI - ME
	-Diamond Tower
25/04/2022	ISSQN-RETIDO NR. DOC: 202299 V:09/03/2022 O.N.X SERVICOS EIRELI - ME
	-Diamond Tower</t>
      </text>
    </comment>
    <comment ref="G4" authorId="0" shapeId="0">
      <text>
        <t>======
ID#AAAAjPv8zRc
    (2022-11-04 19:34:33)
02/05/2022	SERVICOS DE PORTARIA NF.: 2022206 O.N.X SERVICOS EIRELI - ME
	-Diamond Tower
20/05/2022	INSS NR. DOC: 2022206 V:02/05/2022 O.N.X SERVICOS EIRELI - ME
	-Diamond Tower
25/05/2022	ISSQN-RETIDO NR. DOC: 2022206 V:02/05/2022 O.N.X SERVICOS EIRELI - ME
	-Diamond Tower</t>
      </text>
    </comment>
    <comment ref="H4" authorId="0" shapeId="0">
      <text>
        <t>======
ID#AAAAjPv8zKY
    (2022-11-04 19:34:33)
01/06/2022	SERVICOS DE PORTARIA NF.: 02022304 CONTRATO MENSAL DE SERVICOS DE LIMPEZA, PORTA
	-Diamond Tower
08/06/2022	SERVICOS DE PORTARIA NR. DOC: 02022259 DIFERENCA O.N.X SERVICOS EIRELI - ME
	-Diamond Tower
20/06/2022	INSS NR. DOC: 2022304 V: 01/06/2022 O.N.X SERVICOS EIRELI - ME
	-Diamond Tower</t>
      </text>
    </comment>
    <comment ref="I4" authorId="0" shapeId="0">
      <text>
        <t>======
ID#AAAAjPv8zQ4
    (2022-11-04 19:34:33)
05/07/2022	SERVICOS DE PORTARIA NF.: 20226 ONX SERVIÇOS E COMERCIO DE EQUIPAMENTOS
	-Diamond Tower
20/07/2022	INSS NR. DOC: 20226 V:05/07/2022 ONX SERVIÇOS E COMERCIO DE EQUIPAMENTOS
	-Diamond Tower
26/07/2022	ISSQN-RETIDO NR. DOC: 02022304 V:01/06/2022 O.N.X SERVICOS EIRELI - ME
	-Diamond Tower
26/07/2022	ISSQN-RETIDO NR. DOC: 20226 V:05/07/2022 ONX SERVIÇOS E COMERCIO DE EQUIPAMENTOS
	-Diamond Tower</t>
      </text>
    </comment>
    <comment ref="J4" authorId="0" shapeId="0">
      <text>
        <t>======
ID#AAAAjPv8zTA
    (2022-11-04 19:34:33)
01/08/2022	SERVICOS DE LIMPEZA NF.: 202214 contrato de limpeza ONX SERVIÇOS E COMERCIO DE E
	-Diamond Tower
19/08/2022	INSS NR. DOC: 202214 V:01/08/2022 ONX SERVIÇOS E COMERCIO DE EQUIPAMENTOS
	-Diamond Tower
25/08/2022	ISSQN-RETIDO NR. DOC: 202214 V:01/08/2022 ONX SERVIÇOS E COMERCIO DE EQUIPAMENTO
	-Diamond Tower</t>
      </text>
    </comment>
    <comment ref="K4" authorId="0" shapeId="0">
      <text>
        <t>======
ID#AAAAjPv8zUY
    (2022-11-04 19:34:33)
05/09/2022	SERVICOS DE PORTARIA NF.: 202218 portaria, monitoramento e limpeza ONX SERVIÇOS
	-Diamond Tower
19/09/2022	INSS NR. DOC: 202218 V:01/09/2022 ONX SERVIÇOS E COMERCIO DE EQUIPAMENTOS
	-Diamond Tower
26/09/2022	ISSQN-RETIDO NR. DOC: 202218 V:01/09/2022 ONX SERVIÇOS E COMERCIO DE EQUIPAMENTO
	-Diamond Tower</t>
      </text>
    </comment>
    <comment ref="L4" authorId="0" shapeId="0">
      <text>
        <t>======
ID#AAAAngIgvzw
Diamond Tower DTW    (2023-01-19 13:50:26)
05/10/2022 - NF 202222 ONX SERVIÇO DE PORTARIA - R$66.360,00
------
ID#AAAAngIgv2E
Diamond Tower DTW    (2023-01-19 18:50:52)
20/10/2022 - INSS NR. DOC: 202222 V:05/10/2022 ONX SERVI COS E COMERCIO DE EQUIPAMENTOS
------
ID#AAAAngIgv3Q
Diamond Tower DTW    (2023-01-19 19:31:46)
26/10/2022 - ISSQN-RETIDO NR. DOC: 202222 V:05/10/2022 ONX SERVICOS E COMERCIO DE EQUIPAMENTOS</t>
      </text>
    </comment>
    <comment ref="M4" authorId="0" shapeId="0">
      <text>
        <t>======
ID#AAAAol5FluI
Diamond Tower DTW    (2023-02-03 18:25:26)
25/11/2022 ISSQN-RETIDO NR. DOC: 202239 V:24/10/2022 ONX SERVIÇOS E COMERCIO DE EQUIPAMENTO 3.950,00
------
ID#AAAAp3ck2Bw
Diamond Tower DTW    (2023-02-09 18:43:48)
11/11/2022	PG.SERV.PORTARIA NF.: 202239 10/2022 ONX SERVICOS E COMERCIO DE EQUIPAMENTOS	-66.360,00
------
ID#AAAAp3ck2B4
Diamond Tower DTW    (2023-02-09 18:44:34)
11/11/2022	TARIFA PIX NR. DOC: 202239 ONX SERVICOS E COMERCIO DE EQUIPAMENTOS	-2,49
------
ID#AAAAp5IyAFA
Diamond Tower DTW    (2023-02-10 14:48:02)
30/11/2022	PG.RETENCAO ISSQN NR. DOC: 202239 V:10/11/2022 ONX SERVICOS E COMERCIO DE EQUIPAMENTOS	-3.950,00</t>
      </text>
    </comment>
    <comment ref="N4" authorId="0" shapeId="0">
      <text>
        <t>======
ID#AAAAsmjn4SQ
Diamond Tower DTW    (2023-03-08 14:37:24)
05/12/2022PG.SERV.PORTARIA NF.: 202253 11/2022 - NFS-e Substituída: 2022/50 ONX SERVICOS E69.420,96
------
ID#AAAAsmjn4SU
Diamond Tower DTW    (2023-03-08 14:38:21)
05/12/2022TARIFA PIX NR. DOC: 202253 ONX SERVICOS E COMERCIO DE EQUIPAMENTOS2,49
------
ID#AAAAsmUIszY
Diamond Tower DTW    (2023-03-08 19:27:23)
12/12/2022 PG.RETENCAO ISSQN NR. DOC: 202253 V:11/12/2022 ONX SERVICOS E
COMERCIO DE EQUIPA 4.132,20</t>
      </text>
    </comment>
    <comment ref="O4" authorId="0" shapeId="0">
      <text>
        <t>======
ID#AAAArmAfH_w
Diamond Tower DTW    (2023-03-08 23:01:53)
02/01/2023PG.SERV.PORTARIA NF.: 202258 12-2022 ONX SERVICOS E COMERCIO DE EQUIPAMENTOS72.831,36
------
ID#AAAArmAfIBw
Diamond Tower DTW    (2023-03-08 23:32:16)
11/01/2023PG.RETENCAO ISSQN NR. DOC: 202258 V:05/01/2023 ONX SERVICOS E COMERCIO DE EQUIPA4.335,20</t>
      </text>
    </comment>
    <comment ref="P4" authorId="0" shapeId="0">
      <text>
        <t>======
ID#AAAArmAfIFE
Diamond Tower DTW    (2023-03-09 00:19:34)
01/02/2023	PG.SERV.PORTARIA NF.: 202319 2023-01 ONX SERVICOS E COMERCIO DE EQUIPAMENTOS	- 69.849,70
------
ID#AAAArmAfIHk
Diamond Tower DTW    (2023-03-09 00:36:15)
10/02/2023	PG.RETENCAO ISSQN NR. DOC: 202319 V:01/02/2023 ONX SERVICOS E COMERCIO DE EQUIPAMENTOS	- 4.157,72</t>
      </text>
    </comment>
    <comment ref="Q4" authorId="0" shapeId="0">
      <text>
        <t>======
ID#AAAArmAfIK8
Diamond Tower DTW    (2023-03-09 01:04:05)
01/03/2023	PG.SERV.PORTARIA NF.: 202327 2023-02 ONX SERVICOS E COMERCIO DE EQUIPAMENTOS	- 84.035,28</t>
      </text>
    </comment>
    <comment ref="C11" authorId="0" shapeId="0">
      <text>
        <t>======
ID#AAAAjPv8zWM
    (2022-11-04 19:34:33)
11/01/2022	CONSERVACAO / MANUTENCAO NR. DOC: 10012022 REF DEZEMBRO/2021 MOISES IRINEU CABRA
	-Diamond Tower
11/01/2022	TRANSAÇÕES BANCARIAS TED_DOC NR. DOC: 350242976 01/2022 - NF: 10012022
	-Diamond Tower
17/01/2022	LEI 10833-RETENÇAO NR. DOC: 202127 V:20/12/2021 SANMAC CONSTRUCOES LTDA
	-Diamond Tower
18/01/2022	IMPOSTO RENDA NR. DOC: 202127 V:20/12/2021 SANMAC CONSTRUCOES LTDA
	-Diamond Tower
20/01/2022	INSS NR. DOC: 202127 V:20/12/2021 SANMAC CONSTRUCOES LTDA
	-Diamond Tower
28/01/2022	ISSQN-RETIDO NR. DOC: 202127 V:20/12/2021 SANMAC CONSTRUCOES LTDA
	-Diamond Tower
31/01/2022	SALARIO NR. DOC: 352906438 01/2022 - MOISES IRINEU CABRAL PINTO MOISES IRINEU CA
	-Diamond Tower
31/01/2022	TARIFA BANCARIA REF SALARIO NR. DOC: 353072457 01/2022 -
	-Diamond Tower</t>
      </text>
    </comment>
    <comment ref="D11" authorId="0" shapeId="0">
      <text>
        <t>======
ID#AAAAjPv8zOI
    (2022-11-04 19:34:33)
25/02/2022	SALARIO NR. DOC: 356280660 02/2022 - MOISES IRINEU CABRAL PINTO MOISES IRINEU CA
	-Diamond Tower
25/02/2022	TARIFA BANCARIA REF SALARIO NR. DOC: 356469434 02/2022 -
	-Diamond Tower
16/02/2022 VALE TRANSPORTE NF.: 198980 R B SERVICOS EMPRESARIAIS S/C LTDA
	-Diamond Tower
21/02/2022 VALE REFEIÇÃO TICKET SERVICOS S/A
	-Diamond Tower
23/02/2022 PIS NR. DOC: 356092247 01/2022 -
	-Diamond Tower
04/02/2022	FGTS NR. DOC: 25697 CAIXA ECONOMICA FEDERAL
	-Diamond Tower</t>
      </text>
    </comment>
    <comment ref="E11" authorId="0" shapeId="0">
      <text>
        <t>======
ID#AAAAjPv8zO8
    (2022-11-04 19:34:33)
31/03/2022	SALARIO NR. DOC: 360289167 03/2022 - MOISES IRINEU CABRAL PINTO MOISES IRINEU CA
	-Diamond Tower
04/03/2022 FGTS NR. DOC: 26528 CAIXA ECONOMICA FEDERAL
	-Diamond Tower
17/03/2022	INSS FOLHA DE PAGTO/AUTONOMOS NR. DOC: 5948 FOLHA 02/2022 MINISTERIO DA PREVIDEN
	-Diamond Tower
18/03/2022	VALE TRANSPORTE NF.: 200645 R B SERVICOS EMPRESARIAIS S/C LTDA
	-Diamond Tower
22/03/2022	VALE REFEIÇÃO NR. DOC: 10828495 TICKET SERVICOS S/A
	-Diamond Tower
23/03/2022	PIS NR. DOC: 359935657 02/2022 -
	-Diamond Tower
31/03/2022	TARIFA BANCARIA REF SALARIO NR. DOC: 360432540 03/2022 -
	-Diamond Tower</t>
      </text>
    </comment>
    <comment ref="F11" authorId="0" shapeId="0">
      <text>
        <t>======
ID#AAAAjPv8zEo
    (2022-11-04 19:34:33)
06/04/2022	FGTS NR. DOC: 27091 CAIXA ECONOMICA FEDERAL
	-Diamond Tower
18/04/2022	INSS FOLHA DE PAGTO/AUTONOMOS NR. DOC: 7005 FOLHA 03/2022 MINISTERIO DA PREVIDEN
	-Diamond Tower
20/04/2022	VALE REFEIÇÃO NR. DOC: 10902449 TICKET SERVICOS S/A
	-Diamond Tower
20/04/2022	VALE TRANSPORTE NF.: 202076 R B SERVICOS EMPRESARIAIS S/C LTDA
	-Diamond Tower
22/04/2022	PIS NR. DOC: 363079808 03/2022 -
	-Diamond Tower
29/04/2022	SALARIO NR. DOC: 363837002 04/2022 - MOISES IRINEU CABRAL PINTO MOISES IRINEU CA
	-Diamond Tower
29/04/2022	TARIFA BANCARIA REF SALARIO NR. DOC: 364009640 04/2022 -
	-Diamond Tower</t>
      </text>
    </comment>
    <comment ref="G11" authorId="0" shapeId="0">
      <text>
        <t>======
ID#AAAAjPv8zOY
    (2022-11-04 19:34:33)
05/05/2022	FGTS NR. DOC: 28160 CAIXA ECONOMICA FEDERAL
	-Diamond Tower
17/05/2022	INSS FOLHA DE PAGTO/AUTONOMOS NR. DOC: 13898 FOLHA 04/2022 MINISTERIO DA PREVIDE
	-Diamond Tower
19/05/2022	VALE TRANSPORTE NF.: 203417 R B SERVICOS EMPRESARIAIS S/C LTDA
	-Diamond Tower
23/05/2022	PIS NR. DOC: 366443722 04/2022 -
	-Diamond Tower
23/05/2022	VALE REFEIÇÃO NR. DOC: 10989999 TICKET SERVICOS S/A
	-Diamond Tower
31/05/2022	SALARIO NR. DOC: 367380423 05/2022 - MOISES IRINEU CABRAL PINTO MOISES IRINEU CA
	-Diamond Tower
31/05/2022	TARIFA BANCARIA REF SALARIO NR. DOC: 367496820 05/2022 -
	-Diamond Tower</t>
      </text>
    </comment>
    <comment ref="H11" authorId="0" shapeId="0">
      <text>
        <t>======
ID#AAAAjPv8zNc
    (2022-11-04 19:34:33)
06/06/2022	FGTS NR. DOC: 28974 CAIXA ECONOMICA FEDERAL
	-Diamond Tower
17/06/2022	IMPOSTO RENDA FONTE S/SALARIOS NR. DOC: 369100605 05/2022 -
	-Diamond Tower
20/06/2022	INSS FOLHA DE PAGTO/AUTONOMOS NR. DOC: 17821 INSS 05/2022 MINISTERIO DA PREVIDEN
	-Diamond Tower
21/06/2022	VALE TRANSPORTE NF.: 214462 R B SERVICOS EMPRESARIAIS S/C LTDA
	-Diamond Tower
22/06/2022	PIS NR. DOC: 369882493 05/2022 -
	-Diamond Tower
22/06/2022	VALE REFEIÇÃO NR. DOC: 11064364 TICKET SERVICOS S/A
	-Diamond Tower
30/06/2022	SALARIO NR. DOC: 370510142 06/2022 - MOISES IRINEU CABRAL PINTO MOISES IRINEU CA
	-Diamond Tower
30/06/2022	TARIFA BANCARIA REF SALARIO NR. DOC: 370632034 06/2022 -
	-Diamond Tower</t>
      </text>
    </comment>
    <comment ref="I11" authorId="0" shapeId="0">
      <text>
        <t>======
ID#AAAAjPv8zUc
    (2022-11-04 19:34:33)
06/07/2022	FGTS NR. DOC: 185137 FGTS JUN/2022 CAIXA ECONOMICA FEDERAL
	-Diamond Tower
18/07/2022	IMPOSTO RENDA FONTE S/SALARIOS NR. DOC: 372681946 06/2022 -
	-Diamond Tower
19/07/2022	VALE TRANSPORTE NF.: 122205 R B SERVICOS EMPRESARIAIS S/C LTDA
	-Diamond Tower
19/07/2022	INSS FOLHA DE PAGTO/AUTONOMOS NR. DOC: 20001 MINISTERIO DA PREVIDENCIA SOCIAL
	-Diamond Tower
21/07/2022	PIS NR. DOC: 373638347 06/2022 -
	-Diamond Tower
21/07/2022	VALE REFEIÇÃO NR. DOC: 11147986 TICKET SERVICOS S/A
	-Diamond Tower
29/07/2022	SALARIO NR. DOC: 375877336 07/2022 - MOISES IRINEU CABRAL PINTO MOISES IRINEU CA
	-Diamond Tower
29/07/2022	TARIFA BANCARIA REF SALARIO NR. DOC: 375968923 07/2022 -
	-Diamond Tower</t>
      </text>
    </comment>
    <comment ref="J11" authorId="0" shapeId="0">
      <text>
        <t>======
ID#AAAAjPv8zPg
    (2022-11-04 19:34:33)
22/08/2022	VALE REFEIÇÃO NR. DOC: 11228280 TICKET SERVICOS S/A
	-Diamond Tower
22/08/2022	VALE TRANSPORTE NF.: 132230 R B SERVICOS EMPRESARIAIS S/C LTDA
	-Diamond Tower
24/08/2022	PIS NR. DOC: 379579516 07/2022 -
	-Diamond Tower
31/08/2022	SALARIO NR. DOC: 379845009 08/2022 - MOISES IRINEU CABRAL PINTO MOISES IRINEU CA
	-Diamond Tower
31/08/2022	TARIFA BANCARIA REF SALARIO NR. DOC: 379962166 08/2022 -
	-Diamond Tower</t>
      </text>
    </comment>
    <comment ref="K11" authorId="0" shapeId="0">
      <text>
        <t>======
ID#AAAAjPv8zIU
    (2022-11-04 19:34:33)
19/09/2022	VALE TRANSPORTE NF.: 145517 R B SERVICOS EMPRESARIAIS S/C LTDA
	-Diamond Tower
21/09/2022	PIS NR. DOC: 383129106 08/2022 -
	-Diamond Tower
23/09/2022	VALE REFEIÇÃO NR. DOC: 11320089 10/2022 TICKET SERVICOS S/A
	-Diamond Tower
05/09/2022 FGTS NR. DOC: 223479 CAIXA ECONOMICA FEDERAL
	-Diamond Tower
30/09/2022	SALARIO NR. DOC: 383992308 09/2022 - MOISES IRINEU CABRAL PINTO MOISES IRINEU CA
	-Diamond Tower
30/09/2022	TARIFA BANCARIA REF SALARIO NR. DOC: 384045304 09/2022 -
	-Diamond Tower</t>
      </text>
    </comment>
    <comment ref="L11" authorId="0" shapeId="0">
      <text>
        <t>======
ID#AAAAngIgv1o
Diamond Tower DTW    (2023-01-19 18:45:18)
19/10/2022 - VALE TRANSPORTE NF_: 157456 R B SERVICOS EMPRESARIAIS SIC LTDA
------
ID#AAAAngIgv2g
Diamond Tower DTW    (2023-01-19 19:16:03)
21/10/2022 - PIS NR. DOC: 387227446 09/2022
------
ID#AAAAngIgv2k
Diamond Tower DTW    (2023-01-19 19:16:44)
21/10/2022 - VALE REFEICAO NR. DOC: 11387384 11/2022 TICKET SERVICOS
------
ID#AAAAngIgv5A
Diamond Tower DTW    (2023-01-19 19:51:21)
31/10/2022 SALARIO NR. DOG: 387946942 10/2022 - MOISES IRINEU CABRAL PINTO MOISES IRINEU CABRAL PINTO
------
ID#AAAAngIgv5M
Diamond Tower DTW    (2023-01-19 19:52:45)
31/10/2022 TARIFA BANCARIA REF SALARIO NR. DOC: 388039321 10/2022
------
ID#AAAAngIgv5s
Diamond Tower DTW    (2023-01-19 20:18:45)
06/10/2022 FGTS NR. DOC: 4039 CAIXA ECONOMICA FEDERAL</t>
      </text>
    </comment>
    <comment ref="M11" authorId="0" shapeId="0">
      <text>
        <t>======
ID#AAAAol5Flrg
Diamond Tower DTW    (2023-02-03 16:50:15)
14/11/2022 ADIANTAMENTO 13 SALARIO NR. DOC: 389482694 11/2022 - MOISES IRINEU CABRAL PINTO 1.401,76
------
ID#AAAAol5Flr4
Diamond Tower DTW    (2023-02-03 16:52:46)
14/11/2022 TRANSAÇÕES BANCARIAS TED_DOC NR. DOC: 389701558 11/2022 - NF: 389482694 5,90
------
ID#AAAAol5FlsA
Diamond Tower DTW    (2023-02-03 17:02:41)
16/11/2022 IMPOSTO RENDA FONTE S/SALARIOS NR. DOC: 390151414 10/2022 - 374,18
------
ID#AAAAol5FlsI
Diamond Tower DTW    (2023-02-03 17:05:37)
16/11/2022 INSS FOLHA DE PAGTO/AUTONOMOS NR. DOC: 26839 INSS FOLHA 10/2022 MINISTERIO DA PR 2.744,14
------
ID#AAAAol5FltA
Diamond Tower DTW    (2023-02-03 17:31:07)
18/11/2022 VALE TRANSPORTE NF.: 169561 R B SERVICOS EMPRESARIAIS S/C LTDA 440,65
------
ID#AAAAp5IyAC8
Diamond Tower DTW    (2023-02-10 14:24:29)
23/11/2022	PG.VALE REFEICAO TICKET SERVICOS SA	-880
------
ID#AAAAp5IyAFI
Diamond Tower DTW    (2023-02-10 14:48:40)
30/11/2022	PG.VALE TRANSPORTE REF VT TRI DEZEMBRO MOISES IRINEU CABRAL PINTO	-422,4
------
ID#AAAAp5IyAFQ
Diamond Tower DTW    (2023-02-10 14:49:13)
30/11/2022	TARIFA PIX MOISES IRINEU CABRAL PINTO	-2,49</t>
      </text>
    </comment>
    <comment ref="N11" authorId="0" shapeId="0">
      <text>
        <t>======
ID#AAAAk39GtjU
Diamond Tower DTW    (2023-02-10 18:40:25)
01/12/22 PG. SALARIO E/OU PRÓ-LABORE NR. DOC: 162677022 11/2022 - MOISES IRINEU
CABRAL PINTO
2.341,00
------
ID#AAAAsmUIszw
Diamond Tower DTW    (2023-03-08 19:41:32)
14/12/2022 PG.13° SALARIO NR. DOC: 163169250 12/2022 - MOISES IRINEU CABRAL
PINTO 983,45
------
ID#AAAAsmUIs0I
Diamond Tower DTW    (2023-03-08 19:45:02)
15/12/2022 PG.SEGURO DE VIDA FUNC. NR. DOC: 163174028 11/2022 - MOISES IRINEU
CABRAL PINTO 39,49
------
ID#AAAAsmUIs1g
Diamond Tower DTW    (2023-03-08 19:58:14)
20/12/2022 PG.INSS 13° SALARIO NR. DOC: 50000100551212 CP. 12/2022 - 13 Salario
MINISTERIO 1.681,84
------
ID#AAAAsmUIs4Q
Diamond Tower DTW    (2023-03-08 20:17:24)
29/12/2022 PG.FERIAS FUNCIONARIO NR. DOC: 164373966 12/2022 - MOISES IRINEU
CABRAL PINTO 3.437,22
------
ID#AAAAsmUIs4c
Diamond Tower DTW    (2023-03-08 20:18:48)
29/12/2022 PG.VALE TRANSPORTE VT JANEIRO/23 MOISES IRINEU CABRAL PINTO 134,40
------
ID#AAAAsmUIs4g
Diamond Tower DTW    (2023-03-08 20:18:58)
29/12/2022 TARIFA PIX MOISES IRINEU CABRAL PINTO 2,49</t>
      </text>
    </comment>
    <comment ref="O11" authorId="0" shapeId="0">
      <text>
        <t>======
ID#AAAArmAfH_s
Diamond Tower DTW    (2023-03-08 23:01:27)
02/01/2023PG. SALARIO E/OU PRÓ-LABORE NR. DOC: 164499097 12/2022 - MOISES IRINEU CABRAL PI2.761,00
------
ID#AAAArmAfIAw
Diamond Tower DTW    (2023-03-08 23:26:57)
06/01/2023PG.FGTS NR. DOC: 164796886 12/2022 - CEF - FUNDO DE GARANTIA - FL PGTO.900,36
------
ID#AAAArmAfIBA
Diamond Tower DTW    (2023-03-08 23:28:44)
09/01/2023PG.DESP.REFEICAO/ALIMENTACAO NR. DOC: 164839985 01/2023 - BANRISUL CARTÕES S/A -582,00
------
ID#AAAArmAfICs
Diamond Tower DTW    (2023-03-08 23:41:57)
16/01/2023PG.SEGURO DE VIDA FUNC. NR. DOC: 165318381 12/2022 - MOISES IRINEU CABRAL PINTO39,49
------
ID#AAAArmAfIEA
Diamond Tower DTW    (2023-03-09 00:00:04)
23/01/2023PG.PIS NR. DOC: 165749729 12/2022 - PIS - FL. PGTO137,84
------
ID#AAAArmAfIEk
Diamond Tower DTW    (2023-03-09 00:07:35)
0/01/2023	PG.VALE TRANSPORTE 02/2023 MOISES IRINEU CABRAL PINTO	- 364,80
------
ID#AAAArmAfIEo
Diamond Tower DTW    (2023-03-09 00:07:48)
30/01/2023	TARIFA PIX MOISES IRINEU CABRAL PINTO	- 2,49</t>
      </text>
    </comment>
    <comment ref="P11" authorId="0" shapeId="0">
      <text>
        <t>======
ID#AAAArmAfIFk
Diamond Tower DTW    (2023-03-09 00:23:47)
01/02/2023 PG. SALARIO E/OU PRÓ-LABORE NR. DOC: 166599756 01/2023 - MOISES IRINEU CABRAL PINTO - 815,00
------
ID#AAAArmAfIGA
Diamond Tower DTW    (2023-03-09 00:26:55)
07/02/2023	PG.FGTS NR. DOC: 166902774 01/2023 - CEF - FUNDO DE GARANTIA - FL PGTO.	- 613,06
------
ID#AAAArmAfIHQ
Diamond Tower DTW    (2023-03-09 00:34:52)
09/02/2023	PG.DESP.REFEICAO/ALIMENTACAO NR. DOC: 166784172 02/2023 - BANRISUL CARTÕES S/A - REFEISUL	- 882,00
------
ID#AAAArmAfIII
Diamond Tower DTW    (2023-03-09 00:38:51)
10/02/2023	PG.SEGURO DE VIDA FUNC. NR. DOC: 167244482 01/2023 - MOISES IRINEU CABRAL PINTO TOKIO MARINE BRASIL SEGURADORA S/A	- 39,49
------
ID#AAAArmAfIIc
Diamond Tower DTW    (2023-03-09 00:41:25)
15/02/2023	PG. IRRF NR. DOC: 166917576 01/2023 - IRRF - FL PGTO.	- 596,82
------
ID#AAAArmAfIJs
Diamond Tower DTW    (2023-03-09 00:50:58)
24/02/2023	AUXÍLIO COMBUSTÍVEL TICKET SOLUCOES HDFGT S/A	- 452,99</t>
      </text>
    </comment>
    <comment ref="Q11" authorId="0" shapeId="0">
      <text>
        <t>======
ID#AAAArmAfIK0
Diamond Tower DTW    (2023-03-09 01:03:35)
01/03/2023	PG. SALARIO E/OU PRÓ-LABORE NR. DOC: 168593026 02/2023 - MOISES IRINEU CABRAL PINTO	- 2.384,00
------
ID#AAAArmAfIL0
Diamond Tower DTW    (2023-03-09 01:08:50)
07/03/2023	PG.FGTS NR. DOC: 168940649 02/2023 - CEF - FUNDO DE GARANTIA - FL PGTO.	- 716,82</t>
      </text>
    </comment>
    <comment ref="C12" authorId="0" shapeId="0">
      <text>
        <t>======
ID#AAAAjPv8zS0
    (2022-11-04 19:34:33)
31/01/2022	TAXA DE AUXILIARES DE ADM 01/2022
	-Diamond Tower</t>
      </text>
    </comment>
    <comment ref="D12" authorId="0" shapeId="0">
      <text>
        <t>======
ID#AAAAjPv8zWI
    (2022-11-04 19:34:33)
28/02/2022	TAXA DE AUXILIARES DE ADM 02/2022
	-Diamond Tower</t>
      </text>
    </comment>
    <comment ref="E12" authorId="0" shapeId="0">
      <text>
        <t>======
ID#AAAAjPv8zF0
    (2022-11-04 19:34:33)
31/03/2022	TAXA DE AUXILIARES DE ADM 03/2022
	-Diamond Tower</t>
      </text>
    </comment>
    <comment ref="F12" authorId="0" shapeId="0">
      <text>
        <t>======
ID#AAAAjPv8zMQ
    (2022-11-04 19:34:33)
30/04/2022	TAXA DE AUXILIARES DE ADM 04/2022
	-Diamond Tower</t>
      </text>
    </comment>
    <comment ref="G12" authorId="0" shapeId="0">
      <text>
        <t>======
ID#AAAAjPv8zLc
    (2022-11-04 19:34:33)
31/05/2022	TAXA DE AUXILIARES DE ADM 05/2022
	-Diamond Tower</t>
      </text>
    </comment>
    <comment ref="H12" authorId="0" shapeId="0">
      <text>
        <t>======
ID#AAAAjPv8zLM
    (2022-11-04 19:34:33)
30/06/2022	TAXA DE AUXILIARES DE ADM 06/2022
	-Diamond Tower</t>
      </text>
    </comment>
    <comment ref="I12" authorId="0" shapeId="0">
      <text>
        <t>======
ID#AAAAjPv8zPI
    (2022-11-04 19:34:33)
31/07/2022	TAXA DE AUXILIARES DE ADM 07/2022
	-Diamond Tower</t>
      </text>
    </comment>
    <comment ref="J12" authorId="0" shapeId="0">
      <text>
        <t>======
ID#AAAAjPv8zIg
    (2022-11-04 19:34:33)
31/08/2022	TAXA DE AUXILIARES DE ADM 08/2022
	-Diamond Tower</t>
      </text>
    </comment>
    <comment ref="K12" authorId="0" shapeId="0">
      <text>
        <t>======
ID#AAAAjPv8zSE
    (2022-11-04 19:34:33)
30/09/2022	TAXA DE AUXILIARES DE ADM 09/2022
	-Diamond Tower</t>
      </text>
    </comment>
    <comment ref="L12" authorId="0" shapeId="0">
      <text>
        <t>======
ID#AAAAngIgv4o
Diamond Tower DTW    (2023-01-19 19:47:47)
31/10/2022 DESPESAS COPIAS 10/2022
------
ID#AAAAngIgv44
Diamond Tower DTW    (2023-01-19 19:50:31)
31/10/2022 MANUTENCAO E SOCIAL NR. DOC: 387991761 10/2022 -	84,00
------
ID#AAAAngIgv48
Diamond Tower DTW    (2023-01-19 19:50:51)
31/10/2022 MATERIAL DE EXPEDIENTE/CONSUMO 10/2022
------
ID#AAAAngIgv5Q
Diamond Tower DTW    (2023-01-19 19:53:18)
31/10/2022 TAXA DE AUXILIARES DE ADM 10/2022</t>
      </text>
    </comment>
    <comment ref="M12" authorId="0" shapeId="0">
      <text>
        <t>======
ID#AAAAol5Flso
Diamond Tower DTW    (2023-02-03 17:24:25)
16/11/2022 LEI 10833-RETENÇAO NR. DOC: 10/2022 V:31/10/2022 AUXILIADORA PREDIAL 179,33
------
ID#AAAAol5Flu0
Diamond Tower DTW    (2023-02-03 19:21:30)
30/11/2022 CERTIFICAÇÃO DIGITAL NR. DOC: 391759642 11/2022 - 320,00
------
ID#AAAAol5Flu4
Diamond Tower DTW    (2023-02-03 19:22:28)
30/11/2022 DESPESAS COPIAS 11/2022 57,49
------
ID#AAAAol5Flu8
Diamond Tower DTW    (2023-02-03 19:22:46)
30/11/2022 MATERIAL DE EXPEDIENTE/CONSUMO 11/2022 53,82
------
ID#AAAAol5FlvA
Diamond Tower DTW    (2023-02-03 19:23:07)
30/11/2022 TAXA DE AUXILIARES DE ADM 11/2022 1.936,00
------
ID#AAAAp5IyAFM
Diamond Tower DTW    (2023-02-10 14:49:00)
30/11/2022	REEMB.MAT EXPEDIENTE 11/2022	-49
------
ID#AAAAp5IyAFY
Diamond Tower DTW    (2023-02-10 14:49:47)
30/11/2022	TAXA DE ADM.GUARIDA IMOVEIS 11/2022	-273</t>
      </text>
    </comment>
    <comment ref="N12" authorId="0" shapeId="0">
      <text>
        <t>======
ID#AAAAsmUIs1I
Diamond Tower DTW    (2023-03-08 19:50:01)
20/12/2022 LEI 10833-RETENCAO NR. DOC: 11/2022 V:30/11/2022 GUARIDA SERVIÇOS
IMOBILIÁRIOS L 13,31
------
ID#AAAAsmUIs30
Diamond Tower DTW    (2023-03-08 20:14:26)
26/12/2022 EXCLUSIVE 1.090,00
------
ID#AAAAsmUIs4k
Diamond Tower DTW    (2023-03-08 20:19:14)
30/12/2022 REEMB.MAT EXPEDIENTE 12/2022 245,01
------
ID#AAAAsmUIs4o
Diamond Tower DTW    (2023-03-08 20:19:47)
30/12/2022 TAXA DE ADM.GUARIDA IMOVEIS 12/2022 1.365,00</t>
      </text>
    </comment>
    <comment ref="O12" authorId="0" shapeId="0">
      <text>
        <t>======
ID#AAAArmAfIDU
Diamond Tower DTW    (2023-03-08 23:50:16)
20/01/2023LEI 10833-RETENCAO NR. DOC: 12/2022 V:30/12/2022 GUARIDA SERVIÇOS IMOBILIÁRIOS L66,57
------
ID#AAAArmAfIE0
Diamond Tower DTW    (2023-03-09 00:11:22)
25/01/2023	EXCLUSIVE	- 1.090,00
------
ID#AAAArmAfIE4
Diamond Tower DTW    (2023-03-09 00:11:32)
31/01/2023	TAXA DE ADM.GUARIDA IMOVEIS 01/2023	- 1.365,00</t>
      </text>
    </comment>
    <comment ref="P12" authorId="0" shapeId="0">
      <text>
        <t>======
ID#AAAArmAfII8
Diamond Tower DTW    (2023-03-09 00:43:32)
17/02/2023	LEI 10833-RETENCAO NR. DOC: 01/2023 V:31/01/2023 GUARIDA SERVIÇOS IMOBILIÁRIOS LTDA.	- 66,57
------
ID#AAAArmAfIJw
Diamond Tower DTW    (2023-03-09 00:51:10)
24/02/2023	EXCLUSIVE	- 1.090,00
------
ID#AAAArmAfIKY
Diamond Tower DTW    (2023-03-09 00:54:38)
28/02/2023	REEMB.MAT EXPEDIENTE 02/2023	- 245,01
------
ID#AAAArmAfIKc
Diamond Tower DTW    (2023-03-09 00:54:45)
28/02/2023	TAXA DE ADM.GUARIDA IMOVEIS 02/2023	- 1.365,00</t>
      </text>
    </comment>
    <comment ref="C13" authorId="0" shapeId="0">
      <text>
        <t>======
ID#AAAAjPv8zP8
    (2022-11-04 19:34:33)
17/01/2022	LEI 10833-RETENÇAO NR. DOC: 2021107544 V:23/12/2021 AUXILIADORA PREDIAL
	-Diamond Tower
20/01/2022	INSS NR. DOC: 2021107544 V:23/12/2021 AUXILIADORA PREDIAL
	-Diamond Tower
21/01/2022	GESTAO TOTAL NF.: 20229031 DEZ/2021 AUXILIADORA PREDIAL
	-Diamond Tower
28/01/2022	ISSQN-RETIDO NR. DOC: 2021107544 V:23/12/2021 AUXILIADORA PREDIAL
	-Diamond Tower</t>
      </text>
    </comment>
    <comment ref="D13" authorId="0" shapeId="0">
      <text>
        <t>======
ID#AAAAjPv8zO0
    (2022-11-04 19:34:33)
11/02/2022	GESTAO TOTAL NF.: 202217859 JAN/22 AUXILIADORA PREDIAL
	-Diamond Tower
17/02/2022	LEI 10833-RETENÇAO NR. DOC: 20229031 V:21/01/2022 AUXILIADORA PREDIAL
	-Diamond Tower
18/02/2022	INSS NR. DOC: 20229031 V:21/01/2022 AUXILIADORA PREDIAL
	-Diamond Tower
25/02/2022	ISSQN-RETIDO NR. DOC: 20229031 V:21/01/2022 AUXILIADORA PREDIAL
	-Diamond Tower</t>
      </text>
    </comment>
    <comment ref="E13" authorId="0" shapeId="0">
      <text>
        <t>======
ID#AAAAjPv8zD4
    (2022-11-04 19:34:33)
16/03/2022	LEI 10833-RETENÇAO NR. DOC: 202217859 V:11/02/2022 AUXILIADORA PREDIAL
	-Diamond Tower
18/03/2022	INSS NR. DOC: 202217859 V:11/02/2022 AUXILIADORA PREDIAL
	-Diamond Tower
21/03/2022	GESTAO TOTAL NF.: 202227013 FEVEREIRO/22 AUXILIADORA PREDIAL
	-Diamond Tower
5/03/2022	ISSQN-RETIDO NR. DOC: 202217859 V:11/02/2022 AUXILIADORA PREDIAL
	-Diamond Tower</t>
      </text>
    </comment>
    <comment ref="F13" authorId="0" shapeId="0">
      <text>
        <t>======
ID#AAAAjPv8zFY
    (2022-11-04 19:34:33)
20/04/2022	INSS NR. DOC: 202227013 V:21/03/2022 AUXILIADORA PREDIAL
	-Diamond Tower
20/04/2022	LEI 10833-RETENÇAO NR. DOC: 202227013 V:21/03/2022 AUXILIADORA PREDIAL
	-Diamond Tower
22/04/2022	GESTAO TOTAL NF.: 20236267 MARCO/22 AUXILIADORA PREDIAL
	-Diamond Tower
25/04/2022	ISSQN-RETIDO NR. DOC: 202227013 V:21/03/2022 AUXILIADORA PREDIAL
	-Diamond Tower</t>
      </text>
    </comment>
    <comment ref="G13" authorId="0" shapeId="0">
      <text>
        <t>======
ID#AAAAjPv8zR4
    (2022-11-04 19:34:33)
.
	-Diamond Tower
17/05/2022	LEI 10833-RETENÇAO NR. DOC: 20236267 V:22/04/2022 AUXILIADORA PREDIAL
	-Diamond Tower
18/05/2022	GESTAO TOTAL NF.: 202245428 ABRIL/22 AUXILIADORA PREDIAL
	-Diamond Tower
20/05/2022	INSS NR. DOC: 20236267 V:22/04/2022 AUXILIADORA PREDIAL
	-Diamond Tower
25/05/2022	ISSQN-RETIDO NR. DOC: 20236267 V:22/04/2022 AUXILIADORA PREDIAL
	-Diamond Tower</t>
      </text>
    </comment>
    <comment ref="H13" authorId="0" shapeId="0">
      <text>
        <t>======
ID#AAAAjPv8zP4
    (2022-11-04 19:34:33)
15/06/2022	LEI 10833-RETENÇAO NR. DOC: 202245428 V:18/05/2022 AUXILIADORA PREDIAL
	-Diamond Tower
17/06/2022	GESTAO TOTAL NF.: 202254680 MAIO/2022 AUXILIADORA PREDIAL
	-Diamond Tower
20/06/2022	INSS NR. DOC: 202245428 V:18/05/2022 AUXILIADORA PREDIAL
	-Diamond Tower
24/06/2022	ISSQN-RETIDO NR. DOC: 202245428 V:18/05/2022 AUXILIADORA PREDIAL
	-Diamond Tower</t>
      </text>
    </comment>
    <comment ref="I13" authorId="0" shapeId="0">
      <text>
        <t>======
ID#AAAAjPv8zD0
    (2022-11-04 19:34:32)
15/07/2022	LEI 10833-RETENÇAO NR. DOC: 202254680 V:17/06/2022 AUXILIADORA PREDIAL
	-Diamond Tower
20/07/2022	INSS NR. DOC: 202254680 V:17/06/2022 AUXILIADORA PREDIAL
	-Diamond Tower
25/07/2022	GESTAO TOTAL NF.: 202264135 JUNHO/22 AUXILIADORA PREDIAL
	-Diamond Tower</t>
      </text>
    </comment>
    <comment ref="J13" authorId="0" shapeId="0">
      <text>
        <t>======
ID#AAAAjPv8zT0
    (2022-11-04 19:34:33)
17/08/2022	LEI 10833-RETENÇAO NR. DOC: 202264135 V:25/07/2022 AUXILIADORA PREDIAL
	-Diamond Tower
19/08/2022	INSS NR. DOC: 202264135 V:25/07/2022 AUXILIADORA PREDIAL
	-Diamond Tower
22/08/2022	GESTAO TOTAL NF.: 202273683 JULHO/22 AUXILIADORA PREDIAL
	-Diamond Tower</t>
      </text>
    </comment>
    <comment ref="K13" authorId="0" shapeId="0">
      <text>
        <t>======
ID#AAAAjPv8zOQ
    (2022-11-04 19:34:33)
16/09/2022	LEI 10833-RETENÇAO NR. DOC: 202273683 V:22/08/2022 AUXILIADORA PREDIAL
	-Diamond Tower
19/09/2022	INSS NR. DOC: 202273683 V:22/08/2022 AUXILIADORA PREDIAL
	-Diamond Tower
23/09/2022	GESTAO TOTAL NF.: 202283192 AUXILIADORA PREDIAL
	-Diamond Tower</t>
      </text>
    </comment>
    <comment ref="L13" authorId="0" shapeId="0">
      <text>
        <t>======
ID#AAAAngIgv1E
Diamond Tower DTW    (2023-01-19 18:32:44)
18/10/2022 - LEI 10833-RETENCAO NR. DOC: 09/2022 V:30/09/2022 AUXILIADORA PREDIAL - R$179,39
------
ID#AAAAngIgv1U
Diamond Tower DTW    (2023-01-19 18:39:12)
18/10/2022 - LEI 10833-RETENCAO NR. DOC: 202283192 V:23/09/2022 AUXILIADORA PREDIAL
------
ID#AAAAngIgv2I
Diamond Tower DTW    (2023-01-19 18:51:47)
20/10/2022 - INSS NR. DOC: 202283192 V:23/09/2022 AUXLIADORA PREDIAL
------
ID#AAAAngIgv4U
Diamond Tower DTW    (2023-01-19 19:44:08)
27/10/2022 GESTAO TOTAL NF.: 202292850 OUTUBRO/22 AUXILIADORA PR EDIAL</t>
      </text>
    </comment>
    <comment ref="M13" authorId="0" shapeId="0">
      <text>
        <t>======
ID#AAAAol5Flr8
Diamond Tower DTW    (2023-02-03 17:00:02)
16/11/2022 GESTAO TOTAL NF.: 2022102537 OUTUBRO/22 AUXILIADORA PREDIAL 10.670,27
------
ID#AAAAol5Flsk
Diamond Tower DTW    (2023-02-03 17:24:05)
16/11/2022 LEI 10833-RETENÇAO NR. DOC: 202292850 V:27/10/2022 AUXILIADORA PREDIAL 534,75
------
ID#AAAAol5Fls8
Diamond Tower DTW    (2023-02-03 17:30:46)
18/11/2022 INSS NR. DOC: 202292850 V:27/10/2022 AUXILIADORA PREDIAL 1.265,00</t>
      </text>
    </comment>
    <comment ref="I14" authorId="0" shapeId="0">
      <text>
        <t>======
ID#AAAAjPv8zM4
    (2022-11-04 19:34:33)
21/07/2022	VALE REFEIÇÃO NR. DOC: 11147986 TICKET SERVICOS S/A
	-Diamond Tower</t>
      </text>
    </comment>
    <comment ref="J14" authorId="0" shapeId="0">
      <text>
        <t>======
ID#AAAAjPv8zCU
    (2022-11-04 19:34:32)
01/08/2022	SALARIO NR. DOC: 375887913 07/2022 - MATHEUS KRITLI CAPPELLETTO
	-Diamond Tower
01/08/2022	TARIFA BANCARIA REF SALARIO NR. DOC: 375887243 07/2022 -
	-Diamond Tower
04/08/2022	FGTS NR. DOC: 1647 FGTS JUL/2022 CAIXA ECONOMICA FEDERAL
	-Diamond Tower
17/08/2022	IMPOSTO RENDA FONTE S/SALARIOS NR. DOC: 378126659 07/2022 -
	-Diamond Tower
22/08/2022	VALE REFEIÇÃO NR. DOC: 11228280 TICKET SERVICOS S/A
	-Diamond Tower
31/08/2022	CONTRATAÇÃO DE FUNCIONÁRIO MATHEUS KRITLI CAPPELLETTO
	-Diamond Tower</t>
      </text>
    </comment>
    <comment ref="K14" authorId="0" shapeId="0">
      <text>
        <t>======
ID#AAAAjPv8zOk
    (2022-11-04 19:34:33)
01/09/2022	SALARIO NR. DOC: 379865539 08/2022 - MATHEUS KRITLI CAPPELLETTO
	-Diamond Tower
01/09/2022	TARIFA BANCARIA REF SALARIO NR. DOC: 379864240 08/2022 -
	-Diamond Tower
15/09/2022	INSS FOLHA DE PAGTO/AUTONOMOS NR. DOC: 24103 INSS 08/2022 MINISTERIO DA PREVIDEN
	-Diamond Tower
23/09/2022	VALE REFEIÇÃO NR. DOC: 11320089 10/2022 TICKET SERVICOS S/A
	-Diamond Tower
16/09/2022	IMPOSTO RENDA FONTE S/SALARIOS NR. DOC: 382204469 08/2022 -
	-Diamond Tower</t>
      </text>
    </comment>
    <comment ref="L14" authorId="0" shapeId="0">
      <text>
        <t>======
ID#AAAAoUNzdbg
Diamond Tower DTW    (2023-01-17 19:58:22)
03/10/2022 - SALÁRIO 09/2022 - MATHEUS KRITLI CAPPELLETTO - R$4.099,90
------
ID#AAAAoUNzdcs
Diamond Tower DTW    (2023-01-17 19:59:35)
03/10/2022 - TARIFA BANCÁRIA REF SALÁRIO NR. DOC 383954631 09/2022 - R$9,90
------
ID#AAAAngIgv08
Diamond Tower DTW    (2023-01-19 17:52:39)
17/10/2022 - INSS FOLHA DE PAGAMENTO NR. DOC 25474 FOLHA 09/2022 - R$2.790,43
------
ID#AAAAngIgv1A
Diamond Tower DTW    (2023-01-19 18:31:27)
18/10/2022 - IMPOSTO DE RENDA FONTE S/SALARIOS NR. DOC: 386349618 09/2022
------
ID#AAAAngIgv2o
Diamond Tower DTW    (2023-01-19 19:17:02)
21/10/2022 - VALE REFEICAO NR. DOC: 11387384 11/2022 TICKET SERVICOS
------
ID#AAAAngIgv5o
Diamond Tower DTW    (2023-01-19 20:18:25)
06/10/2022 FGTS NR. DOC: 4039 CAIXA ECONOMICA FEDERAL</t>
      </text>
    </comment>
    <comment ref="M14" authorId="0" shapeId="0">
      <text>
        <t>======
ID#AAAApFV3O0Q
Diamond Tower DTW    (2023-02-03 14:21:39)
01/11/2022 SALARIO NR. DOC: 387945790 10/2022 - MATHEUS KRITLI CAPPELLETTO
------
ID#AAAApFV3O0U
Diamond Tower DTW    (2023-02-03 14:22:23)
01/11/2022 TARIFA BANCARIA REF SALARIO NR. DOC: 387945132 10/2022 - 9,90
------
ID#AAAAol5Flqs
Diamond Tower DTW    (2023-02-03 16:32:14)
04/11/2022 FGTS NR. DOC: 6424 CAIXA ECONOMICA FEDERAL 603,23
------
ID#AAAAol5Flrc
Diamond Tower DTW    (2023-02-03 16:49:47)
14/11/2022 ADIANTAMENTO 13 SALARIO NR. DOC: 389481877 11/2022 - MATHEUS KRITLI CAPPELLETTO 1.127,91
------
ID#AAAAol5Flr0
Diamond Tower DTW    (2023-02-03 16:52:35)
11/2022 TARIFA BANCARIA ADIANT 13 SAL NR. DOC: 389481228 11/2022 - 9,90
------
ID#AAAAol5FlsE
Diamond Tower DTW    (2023-02-03 17:03:01)
16/11/2022 IMPOSTO RENDA FONTE S/SALARIOS NR. DOC: 390151414 10/2022 - 374,18
------
ID#AAAAol5FlsM
Diamond Tower DTW    (2023-02-03 17:06:01)
16/11/2022 INSS FOLHA DE PAGTO/AUTONOMOS NR. DOC: 26839 INSS FOLHA 10/2022 MINISTERIO DA PR 2.744,14
------
ID#AAAAp5IyADA
Diamond Tower DTW    (2023-02-10 14:24:36)
23/11/2022	PG.VALE REFEICAO TICKET SERVICOS SA	-880</t>
      </text>
    </comment>
    <comment ref="N14" authorId="0" shapeId="0">
      <text>
        <t>======
ID#AAAAk39GtjQ
Diamond Tower DTW    (2023-02-10 18:40:09)
01/12/22 PG.SALARIO MATHEUS KRITLI CAPPELLETTO 3.967,00
------
ID#AAAAsmUIszs
Diamond Tower DTW    (2023-03-08 19:41:19)
14/12/2022 PG. 13º SALARIO MATHEUS KRITLI CAPPELLETTO 858,12
------
ID#AAAAsmUIsz8
Diamond Tower DTW    (2023-03-08 19:44:00)
14/12/2022 TARIFA PIX MATHEUS KRITLI CAPPELLETTO 2,49
------
ID#AAAAsmUIs0M
Diamond Tower DTW    (2023-03-08 19:45:15)
15/12/2022 PG.SEGURO DE VIDA FUNC. NR. DOC: 163174029 11/2022 - MATHEUS KRITLI
CAPPELLETTO 39,49
------
ID#AAAAsmUIs1k
Diamond Tower DTW    (2023-03-08 19:59:04)
20/12/2022 PG.INSS 13° SALARIO NR. DOC: 50000100551212 CP. 12/2022 - 13 Salario
MINISTERIO 1.681,84</t>
      </text>
    </comment>
    <comment ref="O14" authorId="0" shapeId="0">
      <text>
        <t>======
ID#AAAArmAfH_o
Diamond Tower DTW    (2023-03-08 23:01:05)
02/01/2023PG.SALARIO MATHEUS KRITLI CAPPELLETTO4.673,00
------
ID#AAAArmAfIA8
Diamond Tower DTW    (2023-03-08 23:28:38)
09/01/2023PG.DESP.REFEICAO/ALIMENTACAO NR. DOC: 164839985 01/2023 - BANRISUL CARTÕES S/A -582,00
------
ID#AAAArmAfICo
Diamond Tower DTW    (2023-03-08 23:41:42)
16/01/2023PG.SEGURO DE VIDA FUNC. NR. DOC: 165318380 12/2022 - MATHEUS KRITLI CAPPELLETTO39,49
------
ID#AAAArmAfIEE
Diamond Tower DTW    (2023-03-09 00:00:13)
23/01/2023PG.PIS NR. DOC: 165749729 12/2022 - PIS - FL. PGTO137,84</t>
      </text>
    </comment>
    <comment ref="P14" authorId="0" shapeId="0">
      <text>
        <t>======
ID#AAAArmAfIE8
Diamond Tower DTW    (2023-03-09 00:18:51)
01/02/2023	PG.SALARIO MATHEUS KRITLI CAPPELLETTO	- 3.637,00
------
ID#AAAArmAfIFo
Diamond Tower DTW    (2023-03-09 00:24:09)
06/02/2023	TARIFA PIX MATHEUS KRITLI CAPPELLETTO	- 2,49
------
ID#AAAArmAfIGE
Diamond Tower DTW    (2023-03-09 00:27:13)
07/02/2023 PG.FGTS NR. DOC: 166902774 01/2023 - CEF - FUNDO DE GARANTIA - FL PGTO. - 613,06
------
ID#AAAArmAfIG0
Diamond Tower DTW    (2023-03-09 00:32:48)
08/02/2023	PG.DIF.SALARIO-HORAS EXTRAS dif, horas extras ponto 12/2022 MATHEUS KRITLI CAPPELLETTO	- 1.001,00
------
ID#AAAArmAfIHM
Diamond Tower DTW    (2023-03-09 00:34:30)
09/02/2023	PG.DESP.REFEICAO/ALIMENTACAO NR. DOC: 166784172 02/2023 - BANRISUL CARTÕES S/A - REFEISUL	- 882,00
------
ID#AAAArmAfIIE
Diamond Tower DTW    (2023-03-09 00:38:38)
10/02/2023	PG.SEGURO DE VIDA FUNC. NR. DOC: 167244481 01/2023 - MATHEUS KRITLI CAPPELLETTO TOKIO MARINE BRASIL SEGURADORA S/A	- 39,49
------
ID#AAAArmAfIIg
Diamond Tower DTW    (2023-03-09 00:41:28)
15/02/2023	PG. IRRF NR. DOC: 166917576 01/2023 - IRRF - FL PGTO.	- 596,82</t>
      </text>
    </comment>
    <comment ref="Q14" authorId="0" shapeId="0">
      <text>
        <t>======
ID#AAAArmAfIKw
Diamond Tower DTW    (2023-03-09 01:03:20)
01/03/2023	PG.SALARIO MATHEUS KRITLI CAPPELLETTO	- 3.933,00
------
ID#AAAArmAfIL4
Diamond Tower DTW    (2023-03-09 01:09:11)
07/03/2023 PG.FGTS NR. DOC: 168940649 02/2023 - CEF - FUNDO DE GARANTIA - FL PGTO. - 716,82</t>
      </text>
    </comment>
    <comment ref="C16" authorId="0" shapeId="0">
      <text>
        <t>======
ID#AAAAjPv8zVc
    (2022-11-04 19:34:33)
10/01/2022	PRESTAÇÃO DE SERVIÇOS NR. DOC: 07012022 PREST DE SERV DE SUBSÍNDICO DE 26032021
	-Diamond Tower</t>
      </text>
    </comment>
    <comment ref="D16" authorId="0" shapeId="0">
      <text>
        <t>======
ID#AAAAjPv8zFc
    (2022-11-04 19:34:33)
09/02/2022	PRO-LABORE NR. DOC: 1699184 PAULO RICARDO WAGNER
	-Diamond Tower
09/02/2022	TRANSAÇÕES BANCARIAS TED_DOC NR. DOC: 353821349 02/2022 - NF: 1699184
	-Diamond Tower</t>
      </text>
    </comment>
    <comment ref="E16" authorId="0" shapeId="0">
      <text>
        <t>======
ID#AAAAjPv8zGg
    (2022-11-04 19:34:33)
07/03/2022	PRO-LABORE PAULO RICARDO WAGNER
	-Diamond Tower
07/03/2022	TRANSAÇÕES BANCARIAS TED_DOC NR. DOC: 356928379 03/2022 - NF: 353439431
	-Diamond Tower</t>
      </text>
    </comment>
    <comment ref="F16" authorId="0" shapeId="0">
      <text>
        <t>======
ID#AAAAjPv8zQQ
    (2022-11-04 19:34:33)
05/04/2022	PRO-LABORE PAULO RICARDO WAGNER
	-Diamond Tower
05/04/2022	TRANSAÇÕES BANCARIAS TED_DOC NR. DOC: 360760615 04/2022 - NF: 353439433
	-Diamond Tower</t>
      </text>
    </comment>
    <comment ref="H16" authorId="0" shapeId="0">
      <text>
        <t>======
ID#AAAAjPv8zE8
    (2022-11-04 19:34:33)
06/06/2022	PRO-LABORE PAULO RICARDO WAGNER
	-Diamond Tower
06/06/2022	TRANSAÇÕES BANCARIAS TED_DOC NR. DOC: 367806668 06/2022 - NF: 353439435
	-Diamond Tower</t>
      </text>
    </comment>
    <comment ref="I16" authorId="0" shapeId="0">
      <text>
        <t>======
ID#AAAAjPv8zSU
    (2022-11-04 19:34:33)
05/07/2022	PRO-LABORE PAULO RICARDO WAGNER
	-Diamond Tower
05/07/2022	TRANSAÇÕES BANCARIAS TED_DOC NR. DOC: 370883247 07/2022 - NF: 9891,353439436
	-Diamond Tower
19/07/2022 INSS FOLHA DE PAGTO/AUTONOMOS NR. DOC: 20001 MINISTERIO DA PREVIDENCIA SOCIAL
	-Diamond Tower</t>
      </text>
    </comment>
    <comment ref="J16" authorId="0" shapeId="0">
      <text>
        <t>======
ID#AAAAjPv8zDo
    (2022-11-04 19:34:32)
05/08/2022	PRO-LABORE PAULO RICARDO WAGNER
	-Diamond Tower</t>
      </text>
    </comment>
    <comment ref="K16" authorId="0" shapeId="0">
      <text>
        <t>======
ID#AAAAjPv8zTQ
    (2022-11-04 19:34:33)
06/09/2022	PRO-LABORE NR. DOC: 915506092022 PAULO RICARDO WAGNER
	-Diamond Tower
06/09/2022	TRANSAÇÕES BANCARIAS TED_DOC NR. DOC: 380396909 09/2022 - NF: 915506092022
	-Diamond Tower</t>
      </text>
    </comment>
    <comment ref="L16" authorId="0" shapeId="0">
      <text>
        <t>======
ID#AAAAngIgvzg
Diamond Tower DTW    (2023-01-19 13:46:03)
05/10/2022 - PRÓ LABORE PAULO RICARDO WAGNER</t>
      </text>
    </comment>
    <comment ref="M16" authorId="0" shapeId="0">
      <text>
        <t>======
ID#AAAAol5FlrM
Diamond Tower DTW    (2023-02-03 16:46:58)
07/11/2022 PRO-LABORE PAULO RICARDO WAGNER 5.222,24
------
ID#AAAAol5FlrQ
Diamond Tower DTW    (2023-02-03 16:47:13)
07/11/2022 TRANSAÇÕES BANCARIAS TED_DOC NR. DOC: 388495296 11/2022 - NF: 353439445 5,90</t>
      </text>
    </comment>
    <comment ref="N16" authorId="0" shapeId="0">
      <text>
        <t>======
ID#AAAAsmUIs0E
Diamond Tower DTW    (2023-03-08 19:44:43)
15/12/2022 PG. REMUNERACAO SINDICO PAULO RICARDO WAGNER 5.222,24
------
ID#AAAAsmUIs0Q
Diamond Tower DTW    (2023-03-08 19:45:26)
15/12/2022 TARIFA PIX PAULO RICARDO WAGNER 2,49</t>
      </text>
    </comment>
    <comment ref="O16" authorId="0" shapeId="0">
      <text>
        <t>======
ID#AAAArmAfIAo
Diamond Tower DTW    (2023-03-08 23:19:02)
05/01/2023PG. REMUNERACAO SINDICO PAULO RICARDO WAGNER5.222,24</t>
      </text>
    </comment>
    <comment ref="P16" authorId="0" shapeId="0">
      <text>
        <t>======
ID#AAAArmAfIF0
Diamond Tower DTW    (2023-03-09 00:24:47)
06/02/2023	TARIFA PIX PAULO RICARDO WAGNER	- 2,49
------
ID#AAAArmAfIF4
Diamond Tower DTW    (2023-03-09 00:25:13)
06/02/2023	PG. REMUNERACAO SINDICO PAULO RICARDO WAGNER	- 5.222,24</t>
      </text>
    </comment>
    <comment ref="Q16" authorId="0" shapeId="0">
      <text>
        <t>======
ID#AAAArmAfILg
Diamond Tower DTW    (2023-03-09 01:07:21)
06/03/2023	PG. REMUNERACAO SINDICO REF. 02/2023 PAULO RICARDO WAGNER	- 5.222,24</t>
      </text>
    </comment>
    <comment ref="C17" authorId="0" shapeId="0">
      <text>
        <t>======
ID#AAAAjPv8zDU
    (2022-11-04 19:34:32)
21/01/2022	SERVICOS DE AUDITORIA NF.: 20221 CONTRATO MENSAL DE PRESTACAO DE CONTAS DA PAST
	-Diamond Tower</t>
      </text>
    </comment>
    <comment ref="D17" authorId="0" shapeId="0">
      <text>
        <t>======
ID#AAAAjPv8zMw
    (2022-11-04 19:34:33)
25/02/2022	PRESTAÇÃO DE SERVIÇOS NF.: 20223 TIAGO HENRIQUES TABORDA CONTABILIDADE
	-Diamond Tower</t>
      </text>
    </comment>
    <comment ref="E17" authorId="0" shapeId="0">
      <text>
        <t>======
ID#AAAAjPv8zRY
    (2022-11-04 19:34:33)
31/03/2022	PRESTAÇÃO DE SERVIÇOS NF.: 20226 REF.: JAN/2022 TIAGO HENRIQUES TABORDA CONTABIL
	-Diamond Tower</t>
      </text>
    </comment>
    <comment ref="G17" authorId="0" shapeId="0">
      <text>
        <t>======
ID#AAAAjPv8zRM
    (2022-11-04 19:34:33)
02/05/2022	PRESTAÇÃO DE SERVIÇOS NF.: 202211 PRESTAÇÃO DE CONTAS PASTA MENSAL FEV/2022 TIAG
	-Diamond Tower
02/05/2022	TRANSAÇÕES BANCARIAS TED_DOC NR. DOC: 364121336 05/2022 - NF: 202211
	-Diamond Tower
31/05/2022	PRESTAÇÃO DE SERVIÇOS NF.: 202217 REFR MARÇO/2022 TIAGO HENRIQUES TABORDA CONTAB
	-Diamond Tower</t>
      </text>
    </comment>
    <comment ref="H17" authorId="0" shapeId="0">
      <text>
        <t>======
ID#AAAAjPv8zLo
    (2022-11-04 19:34:33)
30/06/2022	SERVICOS DE AUDITORIA NF.: 202223 CONTRATO MENSAL AUDITORIA DAS PASTAS CONTABEI
	-Diamond Tower</t>
      </text>
    </comment>
    <comment ref="I17" authorId="0" shapeId="0">
      <text>
        <t>======
ID#AAAAjPv8zQA
    (2022-11-04 19:34:33)
29/07/2022	SERVICOS DE AUDITORIA NF.: 202229 TIAGO HENRIQUES TABORDA CONTABILIDADE
	-Diamond Tower</t>
      </text>
    </comment>
    <comment ref="J17" authorId="0" shapeId="0">
      <text>
        <t>======
ID#AAAAjPv8zOg
    (2022-11-04 19:34:33)
30/08/2022	SERVICOS DE AUDITORIA NF.: 202238 TIAGO HENRIQUES TABORDA CONTABILIDADE
	-Diamond Tower
30/08/2022	TRANSAÇÕES BANCARIAS TED_DOC NR. DOC: 379879005 08/2022 - NF: 2022125,202238,202
	-Diamond Tower</t>
      </text>
    </comment>
    <comment ref="K17" authorId="0" shapeId="0">
      <text>
        <t>======
ID#AAAAjPv8zDk
    (2022-11-04 19:34:32)
26/09/2022	ISSQN-RETIDO NR. DOC: 202238 V:30/08/2022 TIAGO HENRIQUES TABORDA CONTABILIDADE
	-Diamond Tower
29/09/2022	SERVICOS DE AUDITORIA NF.: 202243 TIAGO HENRIQUES TABORDA CONTABILIDADE
	-Diamond Tower
29/09/2022	TRANSAÇÕES BANCARIAS TED_DOC NR. DOC: 383999344 09/2022 - NF: 202243
	-Diamond Tower</t>
      </text>
    </comment>
    <comment ref="L17" authorId="0" shapeId="0">
      <text>
        <t>======
ID#AAAAngIgv0U
Diamond Tower DTW    (2023-01-19 14:32:40)
11/10/2022 - NF 202250 AUDIPASTAS SERV EXT DE AUDITORIA DE PASTA MENSAL - R$1.078,00
------
ID#AAAAngIgv3k
Diamond Tower DTW    (2023-01-19 19:37:47)
26/10/2022 - ISSQN-RETIDO NR. DOC: 202243 V:28/09/2022 T1AG0 HENRIQUES TABORDA CONTABILIDADE</t>
      </text>
    </comment>
    <comment ref="M17" authorId="0" shapeId="0">
      <text>
        <t>======
ID#AAAAol5FluQ
Diamond Tower DTW    (2023-02-03 18:42:03)
25/11/2022 ISSQN-RETIDO NR. DOC: 202250 V:11/10/2022 TIAGO HENRIQUES TABORDA CONTABILIDADE 22,00
------
ID#AAAAp5IyAC4
Diamond Tower DTW    (2023-02-10 14:23:56)
23/11/2022	PG.SERV.PRESTADOS NF.: 202259 SETEMBRO/2022 TIAGO HENRIQUES TABORDA CONTABILIDADE	-1.078,00
------
ID#AAAAp5IyAEU
Diamond Tower DTW    (2023-02-10 14:44:23)
30/11/2022	PG.RETENCAO ISSQN NR. DOC: 202200000000050 TIAGO HENRIQUES TABORDA CONTABILIDADE	-22</t>
      </text>
    </comment>
    <comment ref="N17" authorId="0" shapeId="0">
      <text>
        <t>======
ID#AAAAsmUIszc
Diamond Tower DTW    (2023-03-08 19:27:37)
12/12/2022 PG.RETENCAO ISSQN NR. DOC: 202259 V:23/11/2022 TIAGO HENRIQUES
TABORDA CONTABILI 22,00
------
ID#AAAAsmUIs0o
Diamond Tower DTW    (2023-03-08 19:47:30)
16/12/2022 PG.MANUT.GERAL NF.: 202264 PRESTACAO DE CONTAS PASTA MENSAL
10/2022 TIAGO HENRIQ 1.078,00
------
ID#AAAAsmUIs08
Diamond Tower DTW    (2023-03-08 19:49:09)
16/12/2022 TARIFA PIX NR. DOC: 202264 THIAGO HENRIQUE TABORDA 2,49</t>
      </text>
    </comment>
    <comment ref="O17" authorId="0" shapeId="0">
      <text>
        <t>======
ID#AAAArmAfIB0
Diamond Tower DTW    (2023-03-08 23:35:07)
11/01/2023PG.RETENCAO ISSQN NR. DOC: 202264 V:16/12/2022 TIAGO HENRIQUES TABORDA CONTABILI22,00
------
ID#AAAArmAfIDM
Diamond Tower DTW    (2023-03-08 23:49:32)
19/01/2023PG.SERV.CONSULTORIA NF.: 20231 PRESTAÇÃO DE CONTAS PASTA MENSAL REF. 11/2022 TI1.078,00</t>
      </text>
    </comment>
    <comment ref="P17" authorId="0" shapeId="0">
      <text>
        <t>======
ID#AAAArmAfIHo
Diamond Tower DTW    (2023-03-09 00:36:28)
10/02/2023	PG.RETENCAO ISSQN NR. DOC: 20231 V:19/01/2023 TIAGO HENRIQUES TABORDA CONTABILIDADE	- 22,00
------
ID#AAAArmAfIIw
Diamond Tower DTW    (2023-03-09 00:42:42)
16/02/2023	PG.MANUT.GERAL NF.: 20235 TIAGO HENRIQUES TABORDA CONTABILIDADE	- 1.078,00
------
ID#AAAArmAfII0
Diamond Tower DTW    (2023-03-09 00:42:48)
16/02/2023	TARIFA PIX NR. DOC: 20235 THIAGO HENRIQUE TABORDA	- 2,49</t>
      </text>
    </comment>
    <comment ref="C20" authorId="0" shapeId="0">
      <text>
        <t>======
ID#AAAAjPv8zB4
    (2022-11-04 19:34:32)
05/01/2022	CONSERVACAO / MANUTENCAO NF.: 2313 SERVICO DE MANUTENCAO PREVENTIVA NO SISTEMA DE AUTOMAÇÃO - DEZEMBRO 2021
	-Diamond Tower
28/01/2022	ISSQN-RETIDO NR. DOC: 2313 V:05/01/2022 MP AUTOMACAO LTDA
	-Diamond Tower</t>
      </text>
    </comment>
    <comment ref="D20" authorId="0" shapeId="0">
      <text>
        <t>======
ID#AAAAjPv8zRs
    (2022-11-04 19:34:33)
07/02/2022	CONSERVACAO / MANUTENCAO NF.: 2357 CONTRATO MENSAL DE MANUTENCAO PREVENTIVA NO S
	-Diamond Tower
25/02/2022	ISSQN-RETIDO NR. DOC: 2357 V:05/02/2022 MP AUTOMACAO LTDA
	-Diamond Tower</t>
      </text>
    </comment>
    <comment ref="C22" authorId="0" shapeId="0">
      <text>
        <t>======
ID#AAAAjPv8zS8
    (2022-11-04 19:34:33)
27/01/2022	CONSERVACAO PISCINA NF.: 10095 + DANFE 38595917 F G PISCINAS LTDA
	-Diamond Tower
28/01/2022	ISSQN-RETIDO NR. DOC: 9926 V:28/12/2021 F G PISCINAS LTDA
	-Diamond Tower</t>
      </text>
    </comment>
    <comment ref="D22" authorId="0" shapeId="0">
      <text>
        <t>======
ID#AAAAjPv8zMk
    (2022-11-04 19:34:33)
24/02/2022	CONSERVACAO PISCINA NF.: 10209 +nota de produto CONTRATO MENSAL DE LIMPEZA DO ES
	-Diamond Tower
25/02/2022	ISSQN-RETIDO NR. DOC: 10095 V:27/01/2022 F G PISCINAS LTDA
	-Diamond Tower</t>
      </text>
    </comment>
    <comment ref="E22" authorId="0" shapeId="0">
      <text>
        <t>======
ID#AAAAjPv8zKk
    (2022-11-04 19:34:33)
25/03/2022	ISSQN-RETIDO NR. DOC: 10209 V:24/02/2022 F G PISCINAS LTDA
	-Diamond Tower
31/03/2022	CONSERVACAO PISCINA NF.: 10356 + MATERIAL 39528900 F G PISCINAS LTDA
	-Diamond Tower</t>
      </text>
    </comment>
    <comment ref="F22" authorId="0" shapeId="0">
      <text>
        <t>======
ID#AAAAjPv8zNM
    (2022-11-04 19:34:33)
25/04/2022	ISSQN-RETIDO NR. DOC: 10356 V:31/03/2022 F G PISCINAS LTDA
	-Diamond Tower
29/04/2022	CONSERVACAO PISCINA NF.: 10506 REF.: MAR/2022 F G PISCINAS LTDA
	-Diamond Tower
29/04/2022	MATERIAL PISCINA NF.: 40152861 F G PISCINAS LTDA
	-Diamond Tower
29/04/2022	TRANSAÇÕES BANCARIAS TED_DOC NR. DOC: 364009403 04/2022 - NF: 10506,40152861
	-Diamond Tower</t>
      </text>
    </comment>
    <comment ref="G22" authorId="0" shapeId="0">
      <text>
        <t>======
ID#AAAAjPv8zF8
    (2022-11-04 19:34:33)
25/05/2022	ISSQN-RETIDO NR. DOC: 10506 V:29/04/2022 F G PISCINAS LTDA
	-Diamond Tower
26/05/2022	CONSERVACAO PISCINA NF.: 10591 REF ABRIL/2022 F G PISCINAS LTDA
	-Diamond Tower</t>
      </text>
    </comment>
    <comment ref="H22" authorId="0" shapeId="0">
      <text>
        <t>======
ID#AAAAjPv8zOM
    (2022-11-04 19:34:33)
24/06/2022	ISSQN-RETIDO NR. DOC: 10591 V:26/05/2022 F G PISCINAS LTDA
	-Diamond Tower
24/06/2022	ISSQN-RETIDO NR. DOC: 10620 V:30/05/2022 F G PISCINAS LTDA
	-Diamond Tower
29/06/2022	CONSERVACAO PISCINA NF.: 10674 + danfe 41156634 F G PISCINAS LTDA
	-Diamond Tower</t>
      </text>
    </comment>
    <comment ref="I22" authorId="0" shapeId="0">
      <text>
        <t>======
ID#AAAAjPv8zF4
    (2022-11-04 19:34:33)
26/07/2022	ISSQN-RETIDO NR. DOC: 10674 V:29/06/2022 F G PISCINAS LTDA
	-Diamond Tower
27/07/2022	CONSERVACAO PISCINA NF.: 10756 MANUTENCAO DE ESPELHO D'AGUA + DANFE 41598188 F G
	-Diamond Tower</t>
      </text>
    </comment>
    <comment ref="J22" authorId="0" shapeId="0">
      <text>
        <t>======
ID#AAAAjPv8zLA
    (2022-11-04 19:34:33)
25/08/2022	ISSQN-RETIDO NR. DOC: 10756 V:27/07/2022 F G PISCINAS LTDA
	-Diamond Tower
29/08/2022	CONSERVACAO PISCINA NF.: 10840 contrato de manutencao espelho d'agua + MATERIAL
	-Diamond Tower</t>
      </text>
    </comment>
    <comment ref="K22" authorId="0" shapeId="0">
      <text>
        <t>======
ID#AAAAjPv8zL4
    (2022-11-04 19:34:33)
26/09/2022	CONSERVACAO PISCINA NF.: 10917 +DANFE 42629030. CONTRATO MANUTENCAO ESPELHO DAGU
	-Diamond Tower
26/09/2022	ISSQN-RETIDO NR. DOC: 10840 V:29/08/2022 F G PISCINAS LTDA
	-Diamond Tower</t>
      </text>
    </comment>
    <comment ref="L22" authorId="0" shapeId="0">
      <text>
        <t>======
ID#AAAAngIgv3A
Diamond Tower DTW    (2023-01-19 19:28:33)
26/10/2022 - ISSQN-RETI DO NR. DOC: 10917 V:26/09/2022 F G PISCINAS LTDA
------
ID#AAAAngIgv4Y
Diamond Tower DTW    (2023-01-19 19:44:46)
28/10/2022 CONSERVACAO PISCINA NE.: 11000 REFERENCIA SETEMBRO DE 2022./+DANFE 43279216 F G PISCINAS</t>
      </text>
    </comment>
    <comment ref="M22" authorId="0" shapeId="0">
      <text>
        <t>======
ID#AAAApFV3O0c
Diamond Tower DTW    (2023-02-03 14:23:33)
01/11/2022 TAXAS NF.: 598120 COBRANCA DE TAXA DE RENOVACAO DE AFT - ESPELHO DAGUA. CONSELHO 253,71
------
ID#AAAAol5FltQ
Diamond Tower DTW    (2023-02-03 17:34:28)
25/11/2022 ISSQN-RETIDO NR. DOC: 11000 V:28/10/2022 F G PISCINAS LTDA 11,75
------
ID#AAAAp5IyADQ
Diamond Tower DTW    (2023-02-10 14:32:43)
24/11/2022	TARIFA PIX MATHEUS KRITLI CAPPELLETTO:	-2,49
25/11/2022	PG.MANUT.PISCINA NF.: 11084 LIMPEZA DO ESPELHO D'AGUA E MATERIAL - 43759366 FG PISCINAS LTDA	-794
------
ID#AAAAp5IyADY
Diamond Tower DTW    (2023-02-10 14:37:22)
25/11/2022	PG.PIS PAGTO PIS OUT22 MINISTERIO DA FAZENDA	-75,4
------
ID#AAAAp5IyAEE
Diamond Tower DTW    (2023-02-10 14:43:06)
30/11/2022	PG.RETENCAO ISSQN NR. DOC: 1100 FG PISCINAS LTDA	-113,93</t>
      </text>
    </comment>
    <comment ref="N22" authorId="0" shapeId="0">
      <text>
        <t>======
ID#AAAAsmUIszA
Diamond Tower DTW    (2023-03-08 19:25:23)
12/12/2022 PG.RETENCAO ISSQN NR. DOC: 11084 V:25/11/2022 FG PISCINAS LTDA 6,00
------
ID#AAAAsmUIs4E
Diamond Tower DTW    (2023-03-08 20:16:08)
26/12/2022 PG.SERV.PRESTADOS NF.: 11216 LIMP ESPLEHO D'AGUA + NF 44338433 FG
PISCINAS LTDA 789,50</t>
      </text>
    </comment>
    <comment ref="O22" authorId="0" shapeId="0">
      <text>
        <t>======
ID#AAAArmAfIBI
Diamond Tower DTW    (2023-03-08 23:29:34)
11/01/2023PG.RETENCAO ISSQN NR. DOC: 11216 V:26/12/2022 FG PISCINAS LTDA10,50
------
ID#AAAArmAfIEM
Diamond Tower DTW    (2023-03-09 00:01:08)
23/01/2023PG.SERV.PRESTADOS NF.: 11349 LIMP ESPLEHO D'AGUA + NF 44740580 FG PISCINAS LTDA793,50</t>
      </text>
    </comment>
    <comment ref="P22" authorId="0" shapeId="0">
      <text>
        <t>======
ID#AAAArmAfIHc
Diamond Tower DTW    (2023-03-09 00:35:46)
10/02/2023	PG.RETENCAO ISSQN NR. DOC: 11349 V:23/01/2023 FG PISCINAS LTDA	- 6,50
------
ID#AAAArmAfIHg
Diamond Tower DTW    (2023-03-09 00:35:56)
10/02/2023	PG.RETENCAO ISSQN NR. DOC: 20231418 PREFEITURA DE PORTO ALEGRE	- 2,70
------
ID#AAAArmAfIJ0
Diamond Tower DTW    (2023-03-09 00:51:27)
24/02/2023	PG.SERV.PRESTADOS NF.: 45242628 LIMP ESPLEHO D'AGUA + NF 44740580 FG PISCINAS LTDA	- 795,00</t>
      </text>
    </comment>
    <comment ref="C23" authorId="0" shapeId="0">
      <text>
        <t>======
ID#AAAAjPv8zME
    (2022-11-04 19:34:33)
05/01/2022	LOCACAO DE EQUIPAMENTO NF.: 2121 REF.: DEZ/21 RUBENS FLAVIO ANDRADE VILLAR
	-Diamond Tower</t>
      </text>
    </comment>
    <comment ref="D23" authorId="0" shapeId="0">
      <text>
        <t>======
ID#AAAAjPv8zUs
    (2022-11-04 19:34:33)
07/02/2022	LOCACAO DE EQUIPAMENTO NF.: 2155 CONTRATO DE LOCACAO DE IMPRESSORA MULTIFUNCIONA
	-Diamond Tower</t>
      </text>
    </comment>
    <comment ref="E23" authorId="0" shapeId="0">
      <text>
        <t>======
ID#AAAAjPv8zJA
    (2022-11-04 19:34:33)
07/03/2022	LOCACAO DE EQUIPAMENTO NF.: 2188 CONTRATO MENSAL DE LOCACAO DE IMPRESSORA MULTIF
	-Diamond Tower</t>
      </text>
    </comment>
    <comment ref="F23" authorId="0" shapeId="0">
      <text>
        <t>======
ID#AAAAjPv8zQw
    (2022-11-04 19:34:33)
18/04/2022	LOCACAO DE EQUIPAMENTO NF.: 2222 IMPRESSORA REF MARÇO/2022 RUBENS FLAVIO ANDRADE
	-Diamond Tower</t>
      </text>
    </comment>
    <comment ref="H23" authorId="0" shapeId="0">
      <text>
        <t>======
ID#AAAAjPv8zOw
    (2022-11-04 19:34:33)
14/06/2022	LOCACAO DE EQUIPAMENTO NF.: 2290 IMPRESSORA RUBENS FLAVIO ANDRADE VILLAR
	-Diamond Tower</t>
      </text>
    </comment>
    <comment ref="I23" authorId="0" shapeId="0">
      <text>
        <t>======
ID#AAAAjPv8zTc
    (2022-11-04 19:34:33)
05/07/2022	LOCACAO DE EQUIPAMENTO NF.: 2326 RUBENS FLAVIO ANDRADE VILLAR
	-Diamond Tower</t>
      </text>
    </comment>
    <comment ref="J23" authorId="0" shapeId="0">
      <text>
        <t>======
ID#AAAAjPv8zQY
    (2022-11-04 19:34:33)
05/08/2022	LOCACAO DE EQUIPAMENTO NR. DOC: 2363 RUBENS FLAVIO ANDRADE VILLAR
	-Diamond Tower</t>
      </text>
    </comment>
    <comment ref="K23" authorId="0" shapeId="0">
      <text>
        <t>======
ID#AAAAsmUIszo
Diamond Tower DTW    (2023-03-08 19:41:02)
13/12/2022 PG.SERV.PRESTADOS NR. DOC: 2454 LOCACAO DE IMPRESSORA RUBENS
FLAVIO ANDRADE VILL 206,76
======
ID#AAAAjPv8zCI
    (2022-11-04 19:34:32)
05/09/2022	LOCACAO DE EQUIPAMENTO NF.: 2385 RUBENS FLAVIO ANDRADE VILLAR
	-Diamond Tower</t>
      </text>
    </comment>
    <comment ref="L23" authorId="0" shapeId="0">
      <text>
        <t>======
ID#AAAAngIgvzc
Diamond Tower DTW    (2023-01-19 13:45:23)
05/10/2022 - NF 2408 - RUBENS FLAVIO ANDRADE VILLAR - R$206,76</t>
      </text>
    </comment>
    <comment ref="M23" authorId="0" shapeId="0">
      <text>
        <t>======
ID#AAAAol5Flq8
Diamond Tower DTW    (2023-02-03 16:39:22)
07/11/2022 ALUGUEL NR. DOC: 2431 RUBENS FLAVIO ANDRADE VILLAR 206,76</t>
      </text>
    </comment>
    <comment ref="O23" authorId="0" shapeId="0">
      <text>
        <t>======
ID#AAAArmAfIAs
Diamond Tower DTW    (2023-03-08 23:19:43)
05/01/2023PG.SERV.PRESTADOS NR. DOC: 2477 LOCACAO DE IMPRESSORA RUBENS FLAVIO ANDRADE VILL206,76</t>
      </text>
    </comment>
    <comment ref="P23" authorId="0" shapeId="0">
      <text>
        <t>======
ID#AAAArmAfIFQ
Diamond Tower DTW    (2023-03-09 00:21:39)
06/02/2023	PG.ALUGUEL NR. DOC: 2499 LOCAÇÃO IMPRESSORA RUBENS FLAVIO ANDRADE VILLAR	- 206,76</t>
      </text>
    </comment>
    <comment ref="Q23" authorId="0" shapeId="0">
      <text>
        <t>======
ID#AAAArmAfILY
Diamond Tower DTW    (2023-03-09 01:06:23)
06/03/2023	PG.ALUGUEL NF.: 2523 LOCAÇÃO IMPRESSORA RUBENS FLAVIO ANDRADE VILLAR	- 223,82</t>
      </text>
    </comment>
    <comment ref="C24" authorId="0" shapeId="0">
      <text>
        <t>======
ID#AAAAjPv8zK4
    (2022-11-04 19:34:33)
06/01/2022	LOCACAO DE EQUIPAMENTO NF.: 13334 LOCACAO DE RADIO COMUNICADOR MOTOROLA DTR620 -
	-Diamond Tower</t>
      </text>
    </comment>
    <comment ref="D24" authorId="0" shapeId="0">
      <text>
        <t>======
ID#AAAAjPv8zUg
    (2022-11-04 19:34:33)
07/02/2022	LOCACAO DE EQUIPAMENTO NR. DOC: 88585 CONTRATO MENSAL DE LOCACAO DE 08 (OITO) RA
	-Diamond Tower</t>
      </text>
    </comment>
    <comment ref="E24" authorId="0" shapeId="0">
      <text>
        <t>======
ID#AAAAjPv8zVg
    (2022-11-04 19:34:33)
07/03/2022	LOCACAO DE EQUIPAMENTO NR. DOC: 13610 CONTRATO MENSAL DE LOCACAO DE RADIO COMUNI
	-Diamond Tower</t>
      </text>
    </comment>
    <comment ref="C25" authorId="0" shapeId="0">
      <text>
        <t>======
ID#AAAAjPv8zVk
    (2022-11-04 19:34:33)
17/01/2022	LEI 10833-RETENÇAO NR. DOC: 2021713 V:31/12/2021 BDS AR CONDICIONADO LTDA
	-Diamond Tower
31/01/2022	MANUTENCAO AR CONDICIONADO NF.: 202258 CONTRATO MENSAL DE MANUTENCAO PREVENTIVA
	-Diamond Tower</t>
      </text>
    </comment>
    <comment ref="D25" authorId="0" shapeId="0">
      <text>
        <t>======
ID#AAAAjPv8zPQ
    (2022-11-04 19:34:33)
17/02/2022	LEI 10833-RETENÇAO NR. DOC: 202258 V:31/01/2022 BDS AR CONDICIONADO LTDA
	-Diamond Tower</t>
      </text>
    </comment>
    <comment ref="E25" authorId="0" shapeId="0">
      <text>
        <t>======
ID#AAAAjPv8zIs
    (2022-11-04 19:34:33)
02/03/2022	CONSERVACAO / MANUTENCAO NF.: 2022102 BDS AR CONDICIONADO LTDA
	-Diamond Tower
31/03/2022	CONSERVACAO / MANUTENCAO NF.: 2022151 CONTRATO MENSAL DE SERVICO DE ASSISTENCIA
	-Diamond Tower
16/03/2022	LEI 10833-RETENÇAO NR. DOC: 2022102 V:28/02/2022 BDS AR CONDICIONADO LTDA
	-Diamond Tower</t>
      </text>
    </comment>
    <comment ref="F25" authorId="0" shapeId="0">
      <text>
        <t>======
ID#AAAAjPv8zUE
    (2022-11-04 19:34:33)
20/04/2022	LEI 10833-RETENÇAO NR. DOC: 2022151 V:31/03/2022 BDS AR CONDICIONADO LTDA
	-Diamond Tower</t>
      </text>
    </comment>
    <comment ref="G25" authorId="0" shapeId="0">
      <text>
        <t>======
ID#AAAAjPv8zTw
    (2022-11-04 19:34:33)
02/05/2022	CONSERVACAO / MANUTENCAO NF.: 2022241 CONTRATO MENSAL DE MANUTENCAO PREVENTIVA N
	-Diamond Tower
31/05/2022	CONSERVACAO / MANUTENCAO NF.: 2022314 BDS AR CONDICIONADO LTDA
	-Diamond Tower</t>
      </text>
    </comment>
    <comment ref="H25" authorId="0" shapeId="0">
      <text>
        <t>======
ID#AAAAjPv8zLU
    (2022-11-04 19:34:33)
15/06/2022	LEI 10833-RETENÇAO NR. DOC: 2022241 V:02/05/2022 BDS AR CONDICIONADO LTDA
	-Diamond Tower
15/06/2022	LEI 10833-RETENÇAO NR. DOC: 2022314 V:31/05/2022 BDS AR CONDICIONADO LTDA
	-Diamond Tower
30/06/2022	MANUTENCAO AR CONDICIONADO NF.: 2022403 BDS AR CONDICIONADO LTDA
	-Diamond Tower</t>
      </text>
    </comment>
    <comment ref="I25" authorId="0" shapeId="0">
      <text>
        <t>======
ID#AAAAjPv8zM8
    (2022-11-04 19:34:33)
15/07/2022	LEI 10833-RETENÇAO NR. DOC: 2022403 V:30/06/2022 BDS AR CONDICIONADO LTDA
	-Diamond Tower</t>
      </text>
    </comment>
    <comment ref="J25" authorId="0" shapeId="0">
      <text>
        <t>======
ID#AAAAjPv8zOo
    (2022-11-04 19:34:33)
03/08/2022	CONSERVACAO / MANUTENCAO NF.: 2022488 REF JULHO/2022 BDS AR CONDICIONADO LTDA
	-Diamond Tower
03/08/2022	TRANSAÇÕES BANCARIAS TED_DOC NR. DOC: 376236894 08/2022 - NF: 2022488
	-Diamond Tower
25/08/2022	ISSQN-RETIDO NR. DOC: 2022488 V:03/08/2022 BDS AR CONDICIONADO LTDA
	-Diamond Tower
31/08/2022	MANUTENCAO AR CONDICIONADO NF.: 2022567 CONTRATO MANUTENCAO BDS BDS AR CONDICION
	-Diamond Tower</t>
      </text>
    </comment>
    <comment ref="K25" authorId="0" shapeId="0">
      <text>
        <t>======
ID#AAAAjPv8zNA
    (2022-11-04 19:34:33)
16/09/2022	LEI 10833-RETENÇAO NR. DOC: 2022488 V:03/08/2022 BDS AR CONDICIONADO LTDA
	-Diamond Tower
16/09/2022	LEI 10833-RETENÇAO NR. DOC: 2022567 V:31/08/2022 BDS AR CONDICIONADO LTDA
	-Diamond Tower
26/09/2022	ISSQN-RETIDO NR. DOC: 2022567 V:31/08/2022 BDS AR CONDICIONADO LTDA
	-Diamond Tower
30/09/2022	MANUTENCAO AR CONDICIONADO NF.: 2022632 CONTRATO DE MANUTENCAO AR CONDICIONADO B
	-Diamond Tower</t>
      </text>
    </comment>
    <comment ref="L25" authorId="0" shapeId="0">
      <text>
        <t>======
ID#AAAAngIgv1Q
Diamond Tower DTW    (2023-01-19 18:37:10)
18/10/2022 - LEI 10833-RETENCAO NR. DOC: 2022632 V:30/09/2022 BDS AR CONDICIONADO LTDA
------
ID#AAAAngIgv3o
Diamond Tower DTW    (2023-01-19 19:38:16)
26/10/2022 ISSQN-RETIDO NR. DOC: 2022632 V:30/09/2022 BDS AR CONDICIONADO LTDA
------
ID#AAAAngIgv4w
Diamond Tower DTW    (2023-01-19 19:49:04)
31/10/2022 MANUTENCAO AR CONDICIONADO NF.: 2022710 BDS AR CONDICIONADO LTDA</t>
      </text>
    </comment>
    <comment ref="M25" authorId="0" shapeId="0">
      <text>
        <t>======
ID#AAAAol5Flsc
Diamond Tower DTW    (2023-02-03 17:20:15)
16/11/2022 LEI 10833-RETENÇAO NR. DOC: 2022710 V:31/10/2022 BDS AR CONDICIONADO LTDA 146,52
------
ID#AAAAol5FluU
Diamond Tower DTW    (2023-02-03 18:42:18)
25/11/2022 ISSQN-RETIDO NR. DOC: 2022710 V:31/10/2022 BDS AR CONDICIONADO LTDA 157,55
------
ID#AAAAp5IyAD8
Diamond Tower DTW    (2023-02-10 14:42:05)
30/11/2022	PG. EQUIPAMENTOS DE TECNOLOGIA NF.: 2022789 ASSISTENCIA TECNICA 11/2022 BDS AR CONDICIONADOS LTDA	-2.846,95
------
ID#AAAAp5IyAEk
Diamond Tower DTW    (2023-02-10 14:45:55)
30/11/2022	PG.RETENCAO ISSQN NR. DOC: 202200000000710 BDS AR CONDICIONADOS LTDA	-157,55</t>
      </text>
    </comment>
    <comment ref="N25" authorId="0" shapeId="0">
      <text>
        <t>======
ID#AAAAsmUIs1Q
Diamond Tower DTW    (2023-03-08 19:50:31)
20/12/2022 LEI 10833-RETENCAO NR. DOC: 2022789 V:30/11/2022 BDS AR
CONDICIONADOS LTDA 146,52</t>
      </text>
    </comment>
    <comment ref="O25" authorId="0" shapeId="0">
      <text>
        <t>======
ID#AAAArmAfH_g
Diamond Tower DTW    (2023-03-08 23:00:33)
02/01/2023PG.MANUT.AR CONDICIONADO NF.: 2022859 BDS AR CONDICIONADOS LTDA2.846,95
------
ID#AAAArmAfIB8
Diamond Tower DTW    (2023-03-08 23:36:23)
11/01/2023PG.RETENCAO ISSQN NR. DOC: 2022859 V:30/12/2022 BDS AR CONDICIONADOS LTDA157,55
------
ID#AAAArmAfIDk
Diamond Tower DTW    (2023-03-08 23:55:59)
20/01/2023LEI 10833-RETENCAO NR. DOC: 2022859 V:30/12/2022 BDS AR CONDICIONADOS LTDA146,52
------
ID#AAAArmAfIEs
Diamond Tower DTW    (2023-03-09 00:09:49)
31/01/2023	PG.MANUT.AR CONDICIONADO NF.: 202351 BDS AR CONDICIONADOS LTDA	- 3.016,90</t>
      </text>
    </comment>
    <comment ref="P25" authorId="0" shapeId="0">
      <text>
        <t>======
ID#AAAArmAfIFI
Diamond Tower DTW    (2023-03-09 00:20:09)
03/02/2023	PG.MANUT.AR CONDICIONADO NF.: 202367 BDS AR CONDICIONADOS LTDA	- 1.096,53
------
ID#AAAArmAfIH4
Diamond Tower DTW    (2023-03-09 00:37:47)
10/02/2023	PG.RETENCAO ISSQN NR. DOC: 202351 V:31/01/2023 BDS AR CONDICIONADOS LTDA	- 166,96
------
ID#AAAArmAfIIM
Diamond Tower DTW    (2023-03-09 00:39:11)
13/02/2023	PG.MANUT.AR CONDICIONADO NF.: 202380 BDS AR CONDICIONADOS LTDA	- 504,15
------
ID#AAAArmAfIJI
Diamond Tower DTW    (2023-03-09 00:44:00)
17/02/2023	LEI 10833-RETENCAO NR. DOC: 202351 V:31/01/2023 BDS AR CONDICIONADOS LTDA	- 155,27</t>
      </text>
    </comment>
    <comment ref="Q25" authorId="0" shapeId="0">
      <text>
        <t>======
ID#AAAArmAfIKs
Diamond Tower DTW    (2023-03-09 01:02:54)
01/03/2023	PG.MANUT.AR CONDICIONADO NF.: 2023126 CONTRATO BDS AR CONDICIONADOS LTDA	- 3.016,90</t>
      </text>
    </comment>
    <comment ref="C26" authorId="0" shapeId="0">
      <text>
        <t>======
ID#AAAAjPv8zFU
    (2022-11-04 19:34:33)
05/01/2022	CONSERVACAO / MANUTENCAO NF.: 2021145 RUBENS FLAVIO ANDRADE VILLAR
	-Diamond Tower
28/01/2022	ISSQN-RETIDO NR. DOC: 2021145 V:05/01/2022 RUBENS FLAVIO ANDRADE VILLAR
	-Diamond Tower</t>
      </text>
    </comment>
    <comment ref="D26" authorId="0" shapeId="0">
      <text>
        <t>======
ID#AAAAjPv8zVE
    (2022-11-04 19:34:33)
07/02/2022	CONSERVACAO / MANUTENCAO NF.: 20223 RUBENS FLAVIO ANDRADE VILLAR
	-Diamond Tower
25/02/2022	ISSQN-RETIDO NR. DOC: 20223 V:07/02/2022 RUBENS FLAVIO ANDRADE VILLAR
	-Diamond Tower</t>
      </text>
    </comment>
    <comment ref="E26" authorId="0" shapeId="0">
      <text>
        <t>======
ID#AAAAjPv8zH4
    (2022-11-04 19:34:33)
07/03/2022	CONSERVACAO / MANUTENCAO NF.: 202211 CONTRATO MENSAL DE MANUTENCAO PREVENTIVA E
	-Diamond Tower
16/03/2022	LEI 10833-RETENÇAO NR. DOC: 2022102 V:28/02/2022 BDS AR CONDICIONADO LTDA
	-Diamond Tower
25/03/2022	ISSQN-RETIDO NR. DOC: 202211 V:07/03/2022 RUBENS FLAVIO ANDRADE VILLAR
	-Diamond Tower</t>
      </text>
    </comment>
    <comment ref="F26" authorId="0" shapeId="0">
      <text>
        <t>======
ID#AAAAjPv8zVM
    (2022-11-04 19:34:33)
18/04/2022	CONSERVACAO / MANUTENCAO NF.: 202222 REF MARÇO/2022 RUBENS FLAVIO ANDRADE VILLAR
	-Diamond Tower</t>
      </text>
    </comment>
    <comment ref="G26" authorId="0" shapeId="0">
      <text>
        <t>======
ID#AAAAjPv8zIw
    (2022-11-04 19:34:33)
05/05/2022	CONSERVACAO / MANUTENCAO NF.: 202237 REF.: ABRIL/22. RUBENS FLAVIO ANDRADE VILLA
	-Diamond Tower
05/05/2022	TRANSAÇÕES BANCARIAS TED_DOC NR. DOC: 364348268 05/2022 - NF: 202237,353439434
	-Diamond Tower</t>
      </text>
    </comment>
    <comment ref="H26" authorId="0" shapeId="0">
      <text>
        <t>======
ID#AAAAjPv8zKo
    (2022-11-04 19:34:33)
14/06/2022	MANUTENCAO PREDIAL NF.: 202255 REF MAIO/2022 RUBENS FLAVIO ANDRADE VILLAR
	-Diamond Tower
14/06/2022	TRANSAÇÕES BANCARIAS TED_DOC NR. DOC: 368825046 06/2022 - NF: 202255,2290
	-Diamond Tower
24/06/2022	ISSQN-RETIDO NR. DOC: 202255 V:14/06/2022 RUBENS FLAVIO ANDRADE VILLAR
	-Diamond Tower</t>
      </text>
    </comment>
    <comment ref="I26" authorId="0" shapeId="0">
      <text>
        <t>======
ID#AAAAjPv8zSM
    (2022-11-04 19:34:33)
05/07/2022	MANUTENCAO PREDIAL NF.: 202265 RUBENS FLAVIO ANDRADE VILLAR
	-Diamond Tower
26/07/2022	ISSQN-RETIDO NR. DOC: 202265 V:05/07/2022 RUBENS FLAVIO ANDRADE VILLAR
	-Diamond Tower</t>
      </text>
    </comment>
    <comment ref="J26" authorId="0" shapeId="0">
      <text>
        <t>======
ID#AAAAjPv8zOU
    (2022-11-04 19:34:33)
05/08/2022	CONSERVACAO SISTEMA ELETRONICO NF.: 202274 CONTRATO DE MANUTENCAO DE SISTEMA DE
	-Diamond Tower
25/08/2022	ISSQN-RETIDO NR. DOC: 202274 V:05/08/2022 RUBENS FLAVIO ANDRADE VILLAR
	-Diamond Tower</t>
      </text>
    </comment>
    <comment ref="K26" authorId="0" shapeId="0">
      <text>
        <t>======
ID#AAAAjPv8zUI
    (2022-11-04 19:34:33)
05/09/2022	CONSERVACAO / MANUTENCAO NF.: 202285 CONTRATO DE MANUTENCAO DE SISTEMAS RUBENS F
	-Diamond Tower
26/09/2022	ISSQN-RETIDO NR. DOC: 202285 V:05/09/2022 RUBENS FLAVIO ANDRADE VILLAR
	-Diamond Tower</t>
      </text>
    </comment>
    <comment ref="L26" authorId="0" shapeId="0">
      <text>
        <t>======
ID#AAAAngIgvzY
Diamond Tower DTW    (2023-01-19 13:43:58)
05/10/2022 - NF 202299 - RUBENS FLAVIO ANDRADE VILLAR - R$3.227,37
------
ID#AAAAngIgv4I
Diamond Tower DTW    (2023-01-19 19:42:15)
26/10/2022 ISSQN-RETIDO NR. DOC: 202299 V:05/10/2022 RUBENS FLAVIO ANDRADE VILLAR</t>
      </text>
    </comment>
    <comment ref="M26" authorId="0" shapeId="0">
      <text>
        <t>======
ID#AAAAol5FlrA
Diamond Tower DTW    (2023-02-03 16:40:39)
07/11/2022 CONSERVACAO / MANUTENCAO NF.: 2022109 CONTRATO DE MANUTENCAO PREVENTIVA E
CORRET
3.227,37
------
ID#AAAAol5FltU
Diamond Tower DTW    (2023-02-03 17:36:58)
25/11/2022 ISSQN-RETIDO NR. DOC: 2022109 V:07/11/2022 RUBENS FLAVIO ANDRADE VILLAR 92,63
------
ID#AAAAp5IyAEc
Diamond Tower DTW    (2023-02-10 14:45:15)
30/11/2022	PG.RETENCAO ISSQN NR. DOC: 202200000000109 RUBENS FLAVIO ANDRADE VILLAR	-92,63</t>
      </text>
    </comment>
    <comment ref="N26" authorId="0" shapeId="0">
      <text>
        <t>======
ID#AAAAsmjn4SI
Diamond Tower DTW    (2023-03-08 14:23:28)
5/12/2022PG.MANUT.GERAL NF.: 2022122 CFTV RUBENS FLAVIO ANDRADE VILLAR3.227,37
------
ID#AAAAsmUIszE
Diamond Tower DTW    (2023-03-08 19:25:39)
12/12/2022 PG.RETENCAO ISSQN NR. DOC: 2022122 V:05/12/2022 RUBENS FLAVIO
ANDRADE VILLAR 92,63</t>
      </text>
    </comment>
    <comment ref="O26" authorId="0" shapeId="0">
      <text>
        <t>======
ID#AAAArmAfIAk
Diamond Tower DTW    (2023-03-08 23:18:44)
05/01/2023PG.MANUT.GERAL NF.: 2022133 RUBENS FLAVIO ANDRADE VILLAR3.227,37
------
ID#AAAArmAfIBM
Diamond Tower DTW    (2023-03-08 23:29:49)
11/01/2023PG.RETENCAO ISSQN NR. DOC: 2022133 V:05/01/2023 RUBENS FLAVIO ANDRADE VILLAR92,63</t>
      </text>
    </comment>
    <comment ref="P26" authorId="0" shapeId="0">
      <text>
        <t>======
ID#AAAArmAfIFc
Diamond Tower DTW    (2023-03-09 00:23:10)
06/02/2023	PG.MANUT.GERAL NF.: 20232 RUBENS FLAVIO ANDRADE VILLAR	- 3.227,37
------
ID#AAAArmAfIH0
Diamond Tower DTW    (2023-03-09 00:37:35)
10/02/2023	PG.RETENCAO ISSQN NR. DOC: 20232 V:06/02/2023 RUBENS FLAVIO ANDRADE VILLAR	- 92,63</t>
      </text>
    </comment>
    <comment ref="Q26" authorId="0" shapeId="0">
      <text>
        <t>======
ID#AAAArmAfILU
Diamond Tower DTW    (2023-03-09 01:06:07)
06/03/2023	MANUT. SISTEMAS DE SEGURANÇA NF.: 202314 RUBENS FLAVIO ANDRADE VILLAR	- 3.437,79</t>
      </text>
    </comment>
    <comment ref="C27" authorId="0" shapeId="0">
      <text>
        <t>======
ID#AAAAjPv8zHo
    (2022-11-04 19:34:33)
10/01/2022	MANUTENCAO ELEVADOR NF.: 202134580 DEZEMBRO/2021 ELEVADORES ATLAS SCHINDLER S/A
	-Diamond Tower
28/01/2022	ISSQN-RETIDO NR. DOC: 202134580 V:10/01/2022 ELEVADORES ATLAS SCHINDLER S/A
	-Diamond Tower
31/01/2022	MANUTENCAO ELEVADOR NF.: 20221755 CONTRATO MENSAL DE MANUTENCAO PREVENTIVA DOS E
	-Diamond Tower</t>
      </text>
    </comment>
    <comment ref="D27" authorId="0" shapeId="0">
      <text>
        <t>======
ID#AAAAjPv8zGk
    (2022-11-04 19:34:33)
01/02/2022	MANUTENCAO ELEVADOR NF.: 202127047 ELEVADORES ATLAS SCHINDLER S/A
	-Diamond Tower
17/02/2022	LEI 10833-RETENÇAO NR. DOC: 202134580 V:10/01/2022 ELEVADORES ATLAS SCHINDLER S/
	-Diamond Tower
17/02/2022	LEI 10833-RETENÇAO NR. DOC: 20221755 V:31/01/2022 ELEVADORES ATLAS SCHINDLER S/A
	-Diamond Tower
25/02/2022	ISSQN-RETIDO NR. DOC: 20221755 V:31/01/2022 ELEVADORES ATLAS SCHINDLER S/A
	-Diamond Tower</t>
      </text>
    </comment>
    <comment ref="E27" authorId="0" shapeId="0">
      <text>
        <t>======
ID#AAAAjPv8zQc
    (2022-11-04 19:34:33)
02/03/2022	MANUTENCAO ELEVADOR NF.: 20225145 ELEVADORES ATLAS SCHINDLER S/A
	-Diamond Tower
25/03/2022	ISSQN-RETIDO NR. DOC: 20225145 V:02/03/2022 ELEVADORES ATLAS SCHINDLER S/A
	-Diamond Tower
31/03/2022	MANUTENCAO ELEVADOR NF.: 20226591 CONTRATO MENSAL DE MANUTENCAO DOS ELEVADORES -
	-Diamond Tower</t>
      </text>
    </comment>
    <comment ref="F27" authorId="0" shapeId="0">
      <text>
        <t>======
ID#AAAAjPv8zIc
    (2022-11-04 19:34:33)
20/04/2022	LEI 10833-RETENÇAO NR. DOC: 20225145 V:02/03/2022 ELEVADORES ATLAS SCHINDLER S/A
	-Diamond Tower
20/04/2022	LEI 10833-RETENÇAO NR. DOC: 20226591 V:31/03/2022 ELEVADORES ATLAS SCHINDLER S/A
	-Diamond Tower
25/04/2022	ISSQN-RETIDO NR. DOC: 20226591 V:31/03/2022 ELEVADORES ATLAS SCHINDLER S/A
	-Diamond Tower
25/04/2022	ISSQN-RETIDO NR. DOC: 20228592 V:29/03/2022 ELEVADORES ATLAS SCHINDLER S/A
	-Diamond Tower
29/04/2022	LEI 10833-RETENÇAO NR. DOC: 0202127047 V:01/02/2022 ELEVADORES ATLAS SCHINDLER S
	-Diamond Tower
29/04/2022	MANUTENCAO ELEVADOR NF.: 20229657 CONTRATO MENSAL DE MANUTENCAO DOS ELEVADORES -
	-Diamond Tower</t>
      </text>
    </comment>
    <comment ref="G27" authorId="0" shapeId="0">
      <text>
        <t>======
ID#AAAAjPv8zJE
    (2022-11-04 19:34:33)
17/05/2022	LEI 10833-RETENÇAO NR. DOC: 20229657 V:29/04/2022 ELEVADORES ATLAS SCHINDLER S/A
	-Diamond Tower
25/05/2022	ISSQN-RETIDO NR. DOC: 202211842 V:29/04/2022 ELEVADORES ATLAS SCHINDLER S/A
	-Diamond Tower
25/05/2022	ISSQN-RETIDO NR. DOC: 20229657 V:29/04/2022 ELEVADORES ATLAS SCHINDLER S/A
	-Diamond Tower</t>
      </text>
    </comment>
    <comment ref="H27" authorId="0" shapeId="0">
      <text>
        <t>======
ID#AAAAjPv8zIY
    (2022-11-04 19:34:33)
15/06/2022	LEI 10833-RETENÇAO NR. DOC: 202211842 V:31/05/2022 ELEVADORES ATLAS SCHINDLER S/
	-Diamond Tower
15/06/2022	LEI 10833-RETENÇAO NR. DOC: 202213659 V:31/05/2022 ELEVADORES ATLAS SCHINDLER S/
	-Diamond Tower
15/06/2022	LEI 10833-RETENÇAO NR. DOC: 20228592 V:27/05/2022 ELEVADORES ATLAS SCHINDLER S/A
	-Diamond Tower
24/06/2022	ISSQN-RETIDO NR. DOC: 202213659 V:31/05/2022 ELEVADORES ATLAS SCHINDLER S/A
	-Diamond Tower
24/06/2022	ISSQN-RETIDO NR. DOC: 202214453 V:30/06/2022 ELEVADORES ATLAS SCHINDLER S/A
	-Diamond Tower
30/06/2022	MANUTENCAO ELEVADOR NF.: 202216583 REF JUN/2022 ELEVADORES ATLAS SCHINDLER S/A
	-Diamond Tower</t>
      </text>
    </comment>
    <comment ref="I27" authorId="0" shapeId="0">
      <text>
        <t>======
ID#AAAAjPv8zGo
    (2022-11-04 19:34:33)
15/07/2022	LEI 10833-RETENÇAO NR. DOC: 202216583 V:30/06/2022 ELEVADORES ATLAS SCHINDLER S/
	-Diamond Tower
26/07/2022	ISSQN-RETIDO NR. DOC: 202216583 V:30/06/2022 ELEVADORES ATLAS SCHINDLER S/A
	-Diamond Tower
29/07/2022	FACHADA NF.: 2022103 limpeza de fachada ALTITUDE - TRABALHO E RESGATE EM ALTURA
	-Diamond Tower
29/07/2022	MANUTENCAO ELEVADOR NF.: 202218644 REF JUL/2022 ELEVADORES ATLAS SCHINDLER S/A
	-Diamond Tower</t>
      </text>
    </comment>
    <comment ref="J27" authorId="0" shapeId="0">
      <text>
        <t>======
ID#AAAAjPv8zTU
    (2022-11-04 19:34:33)
17/08/2022	LEI 10833-RETENÇAO NR. DOC: 202218644 V:29/07/2022 ELEVADORES ATLAS SCHINDLER S/
	-Diamond Tower
25/08/2022	ISSQN-RETIDO NR. DOC: 202218644 V:29/07/2022 ELEVADORES ATLAS SCHINDLER S/A
	-Diamond Tower
31/08/2022	MANUTENCAO ELEVADOR NF.: 202221490 CONTRATO MANUTENCAO ELEVADORES REF AGO/22 EL
	-Diamond Tower</t>
      </text>
    </comment>
    <comment ref="K27" authorId="0" shapeId="0">
      <text>
        <t>======
ID#AAAAjPv8zRo
    (2022-11-04 19:34:33)
26/09/2022	ISSQN-RETIDO NR. DOC: 202221490 V:31/08/2022 ELEVADORES ATLAS SCHINDLER S/A
	-Diamond Tower
30/09/2022	MANUTENCAO ELEVADOR NF.: 202224650 CONTRATO MANUTENCAO ELEVADORES -REF SET/2022
	-Diamond Tower</t>
      </text>
    </comment>
    <comment ref="L27" authorId="0" shapeId="0">
      <text>
        <t>======
ID#AAAAngIgv1M
Diamond Tower DTW    (2023-01-19 18:35:35)
18/10/2022 - LEI10833-RETENCAO NR. DOC: 202224650 V:30/09/2022 ELEVADORES ATLAS SCHINDLER S/A
------
ID#AAAAngIgv3c
Diamond Tower DTW    (2023-01-19 19:35:52)
26/10/2022 - ISSQN-RETIDO NR. DOC: 202224650 V:30/09/2022 ELEVADORES ATLAS SCHINDLER S/A
------
ID#AAAAngIgv40
Diamond Tower DTW    (2023-01-19 19:49:37)
31/10/2022 MANUTENCAO ELEVADOR NF.: 202226236 CONTRATO MENSAL DE MANUTENCAO DOS ELEVADORES</t>
      </text>
    </comment>
    <comment ref="M27" authorId="0" shapeId="0">
      <text>
        <t>======
ID#AAAAol5FlsY
Diamond Tower DTW    (2023-02-03 17:19:35)
16/11/2022 LEI 10833-RETENÇAO NR. DOC: 202226236 V:31/10/2022 ELEVADORES ATLAS SCHINDLER S/ 385,95
------
ID#AAAAol5FluA
Diamond Tower DTW    (2023-02-03 18:24:42)
25/11/2022 ISSQN-RETIDO NR. DOC: 202226236 V:31/10/2022 ELEVADORES ATLAS SCHINDLER S/A 415,00
------
ID#AAAAp5IyAEA
Diamond Tower DTW    (2023-02-10 14:42:45)
30/11/2022	PG.MANUT.ELEVADOR NF.: 202228835 11/2022 ELEVADORES ATLAS SCHINDLER S/A	-7.499,03
------
ID#AAAAp5IyAE0
Diamond Tower DTW    (2023-02-10 14:47:07)
30/11/2022	PG.RETENCAO ISSQN NR. DOC: 202200000026236 ELEVADORES ATLAS SCHINDLER S/A	-415</t>
      </text>
    </comment>
    <comment ref="N27" authorId="0" shapeId="0">
      <text>
        <t>======
ID#AAAAsmUIszU
Diamond Tower DTW    (2023-03-08 19:27:00)
12/12/2022 PG.RETENCAO ISSQN NR. DOC: 202228835 V:30/11/2022 ELEVADORES ATLAS
SCHINDLER S/A 415,00
------
ID#AAAAsmUIs1M
Diamond Tower DTW    (2023-03-08 19:50:15)
20/12/2022 LEI 10833-RETENCAO NR. DOC: 202228835 V:30/11/2022 ELEVADORES ATLAS
SCHINDLER S/ 385,95
------
ID#AAAAsmUIs4U
Diamond Tower DTW    (2023-03-08 20:18:00)
29/12/2022 PG.MANUT.ELEVADOR NF.: 202230486 12/2022 ELEVADORES ATLAS
SCHINDLER S/A 7.499,05</t>
      </text>
    </comment>
    <comment ref="O27" authorId="0" shapeId="0">
      <text>
        <t>======
ID#AAAArmAfIBk
Diamond Tower DTW    (2023-03-08 23:31:25)
11/01/2023PG.RETENCAO ISSQN NR. DOC: 202230486 V:29/12/2022 ELEVADORES ATLAS SCHINDLER S/A415,00
------
ID#AAAArmAfIDc
Diamond Tower DTW    (2023-03-08 23:51:14)
20/01/2023LEI 10833-RETENCAO NR. DOC: 202230486 V:29/12/2022 ELEVADORES ATLAS SCHINDLER S/385,95
------
ID#AAAArmAfIEw
Diamond Tower DTW    (2023-03-09 00:10:39)
31/01/2023	PG.MANUT.ELEVADOR NF.: 2023875 01/2023 ELEVADORES ATLAS SCHINDLER S/A	- 7.950,43</t>
      </text>
    </comment>
    <comment ref="P27" authorId="0" shapeId="0">
      <text>
        <t>======
ID#AAAArmAfIIA
Diamond Tower DTW    (2023-03-09 00:38:15)
10/02/2023	PG.RETENCAO ISSQN NR. DOC: 2023875 V:31/01/2023 ELEVADORES ATLAS SCHINDLER S/A	- 439,98
------
ID#AAAArmAfIJM
Diamond Tower DTW    (2023-03-09 00:44:19)
17/02/2023	LEI 10833-RETENCAO NR. DOC: 2023875 V:31/01/2023 ELEVADORES ATLAS SCHINDLER S/A	- 409,18
------
ID#AAAArmAfIKM
Diamond Tower DTW    (2023-03-09 00:53:15)
28/02/2023	PG.MANUT.ELEVADOR NF.: 20232591 02/2023 ELEVADORES ATLAS SCHINDLER S/A	- 7.950,43</t>
      </text>
    </comment>
    <comment ref="C28" authorId="0" shapeId="0">
      <text>
        <t>======
ID#AAAAjPv8zFo
    (2022-11-04 19:34:33)
20/01/2022	INSS NR. DOC: 2021128 V:20/12/2021 ALTITUDE - TRABALHO E RESGATE EM ALTURA
	-Diamond Tower
21/01/2022	SERVICOS DE LIMPEZA NF.: 20225 REF 11/2022 - VISITA 4/12 ALTITUDE - TRABALHO E R
	-Diamond Tower
28/01/2022	ISSQN-RETIDO NR. DOC: 2021128 V:20/12/2021 ALTITUDE - TRABALHO E RESGATE EM ALTU
	-Diamond Tower</t>
      </text>
    </comment>
    <comment ref="D28" authorId="0" shapeId="0">
      <text>
        <t>======
ID#AAAAjPv8zPA
    (2022-11-04 19:34:33)
18/02/2022	INSS NR. DOC: 20225 V:21/01/2022 ALTITUDE - TRABALHO E RESGATE EM ALTURA
	-Diamond Tower
25/02/2022	ISSQN-RETIDO NR. DOC: 20225 V:21/01/2022 ALTITUDE - TRABALHO E RESGATE EM ALTURA
	-Diamond Tower</t>
      </text>
    </comment>
    <comment ref="E28" authorId="0" shapeId="0">
      <text>
        <t>======
ID#AAAAjPv8zV0
    (2022-11-04 19:34:33)
02/03/2022	FACHADA NF.: 202213 CONTRATO MENSAL DE LIMPEZA EXTERNA DOS VIDROS - REF.: DEZ/21
	-Diamond Tower
02/03/2022	TRANSAÇÕES BANCARIAS TED_DOC NR. DOC: 356625056 03/2022 - NF: 202213
	-Diamond Tower
18/03/2022	INSS NR. DOC: 202213 V:28/02/2022 ALTITUDE - TRABALHO E RESGATE EM ALTURA
	-Diamond Tower
25/03/2022	ISSQN-RETIDO NR. DOC: 202213 V:28/02/2022 ALTITUDE - TRABALHO E RESGATE EM ALTUR
	-Diamond Tower
31/03/2022	FACHADA NF.: 202227 REF.: JAN/2022 ALTITUDE - TRABALHO E RESGATE EM ALTURA
	-Diamond Tower</t>
      </text>
    </comment>
    <comment ref="F28" authorId="0" shapeId="0">
      <text>
        <t>======
ID#AAAAjPv8zHk
    (2022-11-04 19:34:33)
20/04/2022	INSS NR. DOC: 202227 V:31/03/2022 ALTITUDE - TRABALHO E RESGATE EM ALTURA
	-Diamond Tower
25/04/2022	ISSQN-RETIDO NR. DOC: 202227 V:31/03/2022 ALTITUDE - TRABALHO E RESGATE EM ALTUR
	-Diamond Tower</t>
      </text>
    </comment>
    <comment ref="G28" authorId="0" shapeId="0">
      <text>
        <t>======
ID#AAAAjPv8zHc
    (2022-11-04 19:34:33)
05/05/2022	SERVICOS DE LIMPEZA NF.: 202237 EXTERNA DE VIDROS REF.: FEV/2022. ALTITUDE - TR
	-Diamond Tower
20/05/2022	INSS NR. DOC: 202237 V:05/05/2022 ALTITUDE - TRABALHO E RESGATE EM ALTURA
	-Diamond Tower
25/05/2022	ISSQN-RETIDO NR. DOC: 202237 V:05/05/2022 ALTITUDE - TRABALHO E RESGATE EM ALTUR
	-Diamond Tower
31/05/2022	FACHADA NF.: 202253 CONTRATO MENSAL DE SERVICO DE LIMPEZA EXTERNA DE VIDROS - RE
	-Diamond Tower</t>
      </text>
    </comment>
    <comment ref="H28" authorId="0" shapeId="0">
      <text>
        <t>======
ID#AAAAjPv8zIA
    (2022-11-04 19:34:33)
20/06/2022	INSS NR. DOC: 202253 V:31/05/2022 ALTITUDE - TRABALHO E RESGATE EM ALTURA
	-Diamond Tower
24/06/2022	ISSQN-RETIDO NR. DOC: 202253 V:31/05/2022 ALTITUDE - TRABALHO E RESGATE EM ALTUR
	-Diamond Tower
29/06/2022	FACHADA NF.: 202269 VISITA 9/12 ALTITUDE - TRABALHO E RESGATE EM ALTURA
	-Diamond Tower
29/06/2022	TRANSAÇÕES BANCARIAS TED_DOC NR. DOC: 370555467 06/2022 - NF: 202269
	-Diamond Tower</t>
      </text>
    </comment>
    <comment ref="I28" authorId="0" shapeId="0">
      <text>
        <t>======
ID#AAAAjPv8zL8
    (2022-11-04 19:34:33)
20/07/2022	INSS NR. DOC: 202269 V:29/06/2022 ALTITUDE - TRABALHO E RESGATE EM ALTURA
	-Diamond Tower
26/07/2022	ISSQN-RETIDO NR. DOC: 202269 V:29/06/2022 ALTITUDE - TRABALHO E RESGATE EM ALTUR
	-Diamond Tower
29/07/2022	TRANSAÇÕES BANCARIAS TED_DOC NR. DOC: 375969173 07/2022 - NF: 2022103,202229
	-Diamond Tower</t>
      </text>
    </comment>
    <comment ref="J28" authorId="0" shapeId="0">
      <text>
        <t>======
ID#AAAAjPv8zB8
    (2022-11-04 19:34:32)
19/08/2022	INSS NR. DOC: 2022103 V:29/07/2022 ALTITUDE - TRABALHO E RESGATE EM ALTURA
	-Diamond Tower
25/08/2022	ISSQN-RETIDO NR. DOC: 2022103 V:29/07/2022 ALTITUDE - TRABALHO E RESGATE EM ALTU
	-Diamond Tower
30/08/2022	FACHADA NF.: 2022125 contrato de manutencao de fachada ALTITUDE - TRABALHO E RES
	-Diamond Tower</t>
      </text>
    </comment>
    <comment ref="K28" authorId="0" shapeId="0">
      <text>
        <t>======
ID#AAAAjPv8zCM
    (2022-11-04 19:34:32)
19/09/2022	INSS NR. DOC: 2022125 V:30/08/2022 ALTITUDE - TRABALHO E RESGATE EM ALTURA
	-Diamond Tower
26/09/2022	ISSQN-RETIDO NR. DOC: 2022125 V:30/08/2022 ALTITUDE - TRABALHO E RESGATE EM ALTU
	-Diamond Tower</t>
      </text>
    </comment>
    <comment ref="L28" authorId="0" shapeId="0">
      <text>
        <t>======
ID#AAAAngIgv0Q
Diamond Tower DTW    (2023-01-19 14:31:39)
11/10/2022 - NF 2022 145 - ALTITUDE SERVIÇO EXT LIMP DA FACHADA - R$5.130,00
------
ID#AAAAngIgv50
Diamond Tower DTW    (2023-01-19 20:21:22)
11/10/2022 TRANSAO ES BANCARIAS TED_DOC NR. DOC: 385411439 10/2022 - NF: 2022145,202250	11,80</t>
      </text>
    </comment>
    <comment ref="M28" authorId="0" shapeId="0">
      <text>
        <t>======
ID#AAAAol5Flss
Diamond Tower DTW    (2023-02-03 17:27:08)
18/11/2022 INSS NR. DOC: 2022145 V:11/10/2022 ALTITUDE - TRABALHO E RESGATE EM ALTURA 660,00
------
ID#AAAAol5FltY
Diamond Tower DTW    (2023-02-03 17:37:23)
25/11/2022 ISSQN-RETIDO NR. DOC: 2022145 V:11/10/2022 ALTITUDE - TRABALHO E RESGATE EM ALTU 210,00
------
ID#AAAAp5IyAEg
Diamond Tower DTW    (2023-02-10 14:45:38)
30/11/2022	PG.RETENCAO ISSQN NR. DOC: 202200000000145 ALTITUDE - TRABALHO E RESGATE EM ALTURA	-210
------
ID#AAAAp5IyAFE
Diamond Tower DTW    (2023-02-10 14:48:24)
30/11/2022	PG.SERV.PRESTADOS NF.: 2022171 LIMPEZA DE VIDROS - PC. 01/06 ALTITUDE - TRABALHO E RESGATE EM ALTURA	-5.130,00
------
ID#AAAAp5IyAFU
Diamond Tower DTW    (2023-02-10 14:49:30)
30/11/2022	TARIFA PIX NR. DOC: 2022171 ALTITUDE - TRABALHO E RESGATE EM ALTURA	-2,49</t>
      </text>
    </comment>
    <comment ref="N28" authorId="0" shapeId="0">
      <text>
        <t>======
ID#AAAAsmUIs2s
Diamond Tower DTW    (2023-03-08 20:05:14)
22/12/2022 PG.SERV.PRESTADOS NF.: 2022188 LIMPEZA EXTERNA DOS VIDROS ALTITUDE
- TRABALHO E 5.130,00
------
ID#AAAAsmUIs2w
Diamond Tower DTW    (2023-03-08 20:05:24)
22/12/2022 TARIFA PIX NR. DOC: 2022188 ALTITUDE - TRABALHO E RESGATE EM ALTURA 2,49</t>
      </text>
    </comment>
    <comment ref="O28" authorId="0" shapeId="0">
      <text>
        <t>======
ID#AAAArmAfIBQ
Diamond Tower DTW    (2023-03-08 23:30:04)
11/01/2023PG.RETENCAO ISSQN NR. DOC: 2022188 V:22/12/2022 ALTITUDE - TRABALHO E RESGATE EM210,00
------
ID#AAAArmAfIEI
Diamond Tower DTW    (2023-03-09 00:00:39)
23/01/2023PG.SERVICOS LIMPEZA NF.: 20237 EXTERNA DOS VIDROS ALTITUDE TRABALHO E RESGATE5.130,00</t>
      </text>
    </comment>
    <comment ref="P28" authorId="0" shapeId="0">
      <text>
        <t>======
ID#AAAArmAfIH8
Diamond Tower DTW    (2023-03-09 00:38:00)
10/02/2023	PG.RETENCAO ISSQN NR. DOC: 20237 V:23/01/2023 ALTITUDE - TRABALHO E RESGATE EM ALTURA	- 210,00</t>
      </text>
    </comment>
    <comment ref="Q28" authorId="0" shapeId="0">
      <text>
        <t>======
ID#AAAArmAfIK4
Diamond Tower DTW    (2023-03-09 01:03:47)
01/03/2023	PG.SERVICOS LIMPEZA NF.: 202323 LIMP EXTERNA DE VIDROS ALTITUDE - TRABALHO E RESGATE EM ALTURA	- 5.130,00</t>
      </text>
    </comment>
    <comment ref="C29" authorId="0" shapeId="0">
      <text>
        <t>======
ID#AAAAjPv8zTs
    (2022-11-04 19:34:33)
21/01/2022	CONSERVACAO GERADOR NF.: 20212799 CONTRATO MENSAL DE MANUTENCAO PREVENTIVA DO GR
	-Diamond Tower
28/01/2022	ISSQN-RETIDO NR. DOC: 20212799 V:21/01/2022 STEMAC S/A - GRUPO DE GERADORES
	-Diamond Tower
31/01/2022	INSS NR. DOC: 20212799 V:21/01/2022 STEMAC S/A - GRUPO DE GERADORES
	-Diamond Tower</t>
      </text>
    </comment>
    <comment ref="D29" authorId="0" shapeId="0">
      <text>
        <t>======
ID#AAAAjPv8zRk
    (2022-11-04 19:34:33)
17/02/2022	LEI 10833-RETENÇAO NR. DOC: 20212799 V:21/01/2022 STEMAC S/A - GRUPO DE GERADORE
	-Diamond Tower
18/02/2022	CONSERVACAO GERADOR NF.: 34112 CONTRATO MENSAL DE MANUTENCAO PREVENTIVA DO GRUPO
	-Diamond Tower
25/02/2022	INSS NR. DOC: 34112 V:18/02/2022 STEMAC S/A - GRUPO DE GERADORES
	-Diamond Tower
25/02/2022	ISSQN-RETIDO NR. DOC: 34112 V:18/02/2022 STEMAC S/A - GRUPO DE GERADORES
	-Diamond Tower</t>
      </text>
    </comment>
    <comment ref="E29" authorId="0" shapeId="0">
      <text>
        <t>======
ID#AAAAjPv8zSo
    (2022-11-04 19:34:33)
16/03/2022	LEI 10833-RETENÇAO NR. DOC: 34112 V:18/02/2022 STEMAC S/A - GRUPO DE GERADORES
	-Diamond Tower
18/03/2022	CONSERVACAO GERADOR NF.: 34352 REF FEV/2022 STEMAC S/A - GRUPO DE GERADORES
	-Diamond Tower
25/03/2022	ISSQN-RETIDO NR. DOC: 34352 V:18/03/2022 STEMAC S/A - GRUPO DE GERADORES
	-Diamond Tower
31/03/2022	INSS NR. DOC: 34352 V:18/03/2022 STEMAC S/A - GRUPO DE GERADORES
	-Diamond Tower</t>
      </text>
    </comment>
    <comment ref="F29" authorId="0" shapeId="0">
      <text>
        <t>======
ID#AAAAjPv8zU8
    (2022-11-04 19:34:33)
18/04/2022	CONSERVACAO GERADOR NF.: 34574 CONTRATO MENSAL DE MANUTENCAO PREVENTIVA DO GRUPO
	-Diamond Tower
20/04/2022	INSS NR. DOC: 34574 V:15/04/2022 STEMAC S/A - GRUPO DE GERADORES
	-Diamond Tower
20/04/2022	LEI 10833-RETENÇAO NR. DOC: 34352 V:18/03/2022 STEMAC S/A - GRUPO DE GERADORES
	-Diamond Tower
25/04/2022	ISSQN-RETIDO NR. DOC: 34574 V:15/04/2022 STEMAC S/A - GRUPO DE GERADORES
	-Diamond Tower</t>
      </text>
    </comment>
    <comment ref="G29" authorId="0" shapeId="0">
      <text>
        <t>======
ID#AAAAjPv8zQo
    (2022-11-04 19:34:33)
17/05/2022	LEI 10833-RETENÇAO NR. DOC: 34574 V:15/04/2022 STEMAC S/A - GRUPO DE GERADORES
	-Diamond Tower
19/05/2022	CONSERVACAO GERADOR NF.: 2022924 CONTRATO MENSAL DE MANUTENÇÃO DO GRUPO GERADOR
	-Diamond Tower
20/05/2022	INSS NR. DOC: 2022924 V:19/05/2022 STEMAC S/A - GRUPO DE GERADORES
	-Diamond Tower
25/05/2022	ISSQN-RETIDO NR. DOC: 2022924 V:19/05/2022 STEMAC S/A - GRUPO DE GERADORES
	-Diamond Tower</t>
      </text>
    </comment>
    <comment ref="H29" authorId="0" shapeId="0">
      <text>
        <t>======
ID#AAAAjPv8zC4
    (2022-11-04 19:34:32)
09/06/2022	CONSERVACAO GERADOR NF.: 35025 CONTRATO MENSAL DE MANUTENCAO DO GRUPO GERADOR -
	-Diamond Tower
15/06/2022	LEI 10833-RETENÇAO NR. DOC: 2022924 V:19/05/2022 STEMAC S/A - GRUPO DE GERADORES
	-Diamond Tower
20/06/2022	INSS NR. DOC: 35025 V:09/06/2022 STEMAC S/A - GRUPO DE GERADORES
	-Diamond Tower
24/06/2022	ISSQN-RETIDO NR. DOC: 35025 V:09/06/2022 STEMAC S/A - GRUPO DE GERADORES
	-Diamond Tower</t>
      </text>
    </comment>
    <comment ref="I29" authorId="0" shapeId="0">
      <text>
        <t>======
ID#AAAAjPv8zUM
    (2022-11-04 19:34:33)
13/07/2022	MATERIAL DE MANUTENCAO NF.: 34857 PROCAL FERRAGENS E TINTAS LTDA
	-Diamond Tower
15/07/2022	LEI 10833-RETENÇAO NR. DOC: 35025 V:09/06/2022 STEMAC S/A - GRUPO DE GERADORES
	-Diamond Tower
20/07/2022	INSS NR. DOC: 20221368 V:13/07/2022 STEMAC S/A - GRUPO DE GERADORES
	-Diamond Tower
26/07/2022	ISSQN-RETIDO NR. DOC: 20221368 V:13/07/2022 STEMAC S/A - GRUPO DE GERADORES
	-Diamond Tower
13/07/2022	CONSERVACAO GERADOR NF.: 20221368 STEMAC S/A - GRUPO DE GERADORES
	-Diamond Tower</t>
      </text>
    </comment>
    <comment ref="J29" authorId="0" shapeId="0">
      <text>
        <t>======
ID#AAAAjPv8zTE
    (2022-11-04 19:34:33)
17/08/2022	LEI 10833-RETENÇAO NR. DOC: 20221368 V:13/07/2022 STEMAC S/A - GRUPO DE GERADORE
	-Diamond Tower
18/08/2022	CONSERVACAO GERADOR NF.: 20221619 STEMAC S/A - GRUPO DE GERADORES
	-Diamond Tower
19/08/2022	INSS NR. DOC: 20221619 V:18/08/2022 STEMAC S/A - GRUPO DE GERADORES
	-Diamond Tower
25/08/2022	ISSQN-RETIDO NR. DOC: 20221619 V:18/08/2022 STEMAC S/A - GRUPO DE GERADORES
	-Diamond Tower</t>
      </text>
    </comment>
    <comment ref="K29" authorId="0" shapeId="0">
      <text>
        <t>======
ID#AAAAjPv8zGw
    (2022-11-04 19:34:33)
01/09/2022	CONSERVACAO GERADOR NF.: 20221797 CONTRATO DE MANUTENCAO DE GERADOR STEMAC S/A -
	-Diamond Tower
16/09/2022	LEI 10833-RETENÇAO NR. DOC: 20221619 V:18/08/2022 STEMAC S/A - GRUPO DE GERADORE
	-Diamond Tower
19/09/2022	INSS NR. DOC: 20221797 V:01/09/2022 STEMAC S/A - GRUPO DE GERADORES
	-Diamond Tower
26/09/2022	ISSQN-RETIDO NR. DOC: 20221797 V:01/09/2022 STEMAC S/A - GRUPO DE GERADORES
	-Diamond Tower</t>
      </text>
    </comment>
    <comment ref="L29" authorId="0" shapeId="0">
      <text>
        <t>======
ID#AAAAoUNzdbc
Diamond Tower DTW    (2023-01-17 19:56:24)
03/10/2022 - NF 20222035 STEMAC S/A GRUPO DE GERADORES - R$968,10
------
ID#AAAAngIgv1I
Diamond Tower DTW    (2023-01-19 18:34:40)
18/10/2023 - LEI 10833-RETENÇAO NR. DOC: 20221797 V:01/0912022 STEMAC S/A- GRUPO DE GERADORES
------
ID#AAAAngIgv2A
Diamond Tower DTW    (2023-01-19 18:50:18)
20/10/2022 - INSS NR. DOC: 20222035 V:02/10/2022 STEMAC SA - GRUPO DE GERADORES
------
ID#AAAAngIgv3M
Diamond Tower DTW    (2023-01-19 19:31:24)
26/10/2022 - ISSQN-RETIDO NR. DOC: 20222035 V:02/10/2022 STEMAC S/A - GRUPO DE GERADORES</t>
      </text>
    </comment>
    <comment ref="M29" authorId="0" shapeId="0">
      <text>
        <t>======
ID#AAAAol5FlrU
Diamond Tower DTW    (2023-02-03 16:47:37)
10/11/2022 CONSERVACAO GERADOR NF.: 20222282 REF.: OUT/2022. STEMAC S/A - GRUPO DE GERADORE 1.047,97
------
ID#AAAAol5FlsU
Diamond Tower DTW    (2023-02-03 17:18:36)
16/11/2022 LEI 10833-RETENÇAO NR. DOC: 20222035 V:02/10/2022 STEMAC S/A - GRUPO DE GERADORE 56,73
------
ID#AAAAol5Fls4
Diamond Tower DTW    (2023-02-03 17:28:12)
18/11/2022 INSS NR. DOC: 20222282 V:10/11/2022 STEMAC S/A - GRUPO DE GERADORES 145,27
------
ID#AAAAol5Flt8
Diamond Tower DTW    (2023-02-03 18:24:11)
25/11/2022 ISSQN-RETIDO NR. DOC: 20222282 V:10/11/2022 STEMAC S/A - GRUPO DE GERADORES 66,03
------
ID#AAAAp5IyAEw
Diamond Tower DTW    (2023-02-10 14:46:50)
30/11/2022	PG.RETENCAO ISSQN NR. DOC: 202200000002282 STEMAC S/A - GRUPO GERADORES	-66,03</t>
      </text>
    </comment>
    <comment ref="N29" authorId="0" shapeId="0">
      <text>
        <t>======
ID#AAAAsmjn4SE
Diamond Tower DTW    (2023-03-08 14:23:07)
05/12/2022PG.MANUT. GERADOR NF.: 20222491 STEMAC S/A - GRUPO GERADORES1.047,97
------
ID#AAAAsmUIszQ
Diamond Tower DTW    (2023-03-08 19:26:38)
12/12/2022 PG.RETENCAO ISSQN NR. DOC: 20222491 V:03/12/2022 STEMAC S/A - GRUPO
GERADORES 66,03</t>
      </text>
    </comment>
    <comment ref="O29" authorId="0" shapeId="0">
      <text>
        <t>======
ID#AAAArmAfH_k
Diamond Tower DTW    (2023-03-08 23:00:45)
02/01/2023PG.MANUT. GERADOR NF.: 2022744 STEMAC S/A - GRUPO GERADORES1.047,97
------
ID#AAAArmAfIB4
Diamond Tower DTW    (2023-03-08 23:35:20)
11/01/2023PG.RETENCAO ISSQN NR. DOC: 2022744 V:02/01/2023 STEMAC S/A - GRUPO GERADORES66,03
------
ID#AAAArmAfIDY
Diamond Tower DTW    (2023-03-08 23:50:46)
20/01/2023LEI 10833-RETENCAO NR. DOC: 20222491 V:03/12/2022 STEMAC S/A - GRUPO GERADORES61,41</t>
      </text>
    </comment>
    <comment ref="P29" authorId="0" shapeId="0">
      <text>
        <t>======
ID#AAAArmAfIHs
Diamond Tower DTW    (2023-03-09 00:36:42)
10/02/2023	PG.RETENCAO ISSQN NR. DOC: 2023219 V:22/02/2023 STEMAC S/A - GRUPO GERADORES	- 66,03
------
ID#AAAArmAfIJA
Diamond Tower DTW    (2023-03-09 00:43:45)
17/02/2023	LEI 10833-RETENCAO NR. DOC: 2022744 V:02/01/2023 STEMAC S/A - GRUPO GERADORES	- 61,41
------
ID#AAAArmAfIJU
Diamond Tower DTW    (2023-03-09 00:45:16)
17/02/2023	PG.MANUT. GERADOR NF.: 2023219 STEMAC S/A - GRUPO GERADORES	- 1.047,97</t>
      </text>
    </comment>
    <comment ref="C32" authorId="0" shapeId="0">
      <text>
        <t>======
ID#AAAAjPv8zSQ
    (2022-11-04 19:34:33)
20/01/2022	COLETA LIXO COMUM NR. DOC: 182022 REF DEZEMBRO/2021 SUB-CONDOMINIO SHOPPING CENT
	-Diamond Tower</t>
      </text>
    </comment>
    <comment ref="D32" authorId="0" shapeId="0">
      <text>
        <t>======
ID#AAAAjPv8zJw
    (2022-11-04 19:34:33)
25/02/2022	COLETA LIXO COMUM NR. DOC: 152022 REF.: SETEMBRO/21 SUB-CONDOMINIO SHOPPING CENT
	-Diamond Tower
25/02/2022	COLETA LIXO COMUM NR. DOC: 172022 REF NOVEMBRO/2021 SUB-CONDOMINIO SHOPPING CENT
	-Diamond Tower
25/02/2022	ELABORACAO E ENTREGA DIRF NR. DOC: 356395989 02/2022 -
	-Diamond Tower
25/02/2022	RESSARCIMENTO NR. DOC: 25022022 DESPESAS COM COLETA DE LIXO E PAISAGISMO - 10/20
	-Diamond Tower</t>
      </text>
    </comment>
    <comment ref="F32" authorId="0" shapeId="0">
      <text>
        <t>======
ID#AAAAjPv8zMs
    (2022-11-04 19:34:33)
20/04/2022	COLETA ESPECIAL DE LIXO NF.: 682022 SUB-CONDOMINIO SHOPPING CENTER BARRASHOP
	-Diamond Tower</t>
      </text>
    </comment>
    <comment ref="G32" authorId="0" shapeId="0">
      <text>
        <t>======
ID#AAAAjPv8zJ8
    (2022-11-04 19:34:33)
31/05/2022	COLETA ESPECIAL DE LIXO NR. DOC: 202297 REF MAIO/2022 MULTIPLAN ARRECADADORA LTD
	-Diamond Tower</t>
      </text>
    </comment>
    <comment ref="J32" authorId="0" shapeId="0">
      <text>
        <t>======
ID#AAAAjPv8zHs
    (2022-11-04 19:34:33)
22/08/2022	MANUTENCAO JARDIM NF.: 157 PARTICIPACAO NA MANUTENCAO DO JARDIM MULTIPLAN ARRECA
	-Diamond Tower
31/08/2022	MANUTENCAO JARDIM NR. DOC: 78723 MULTIPLAN ARRECADADORA LTDA
	-Diamond Tower</t>
      </text>
    </comment>
    <comment ref="L32" authorId="0" shapeId="0">
      <text>
        <t>======
ID#AAAAngIgv4k
Diamond Tower DTW    (2023-01-19 19:47:23)
31/10/2022 DESPESAS ADMINISTRATIVAS NR. DOC: 2022199 MULTIPLAN ARRECADADORA LTDA</t>
      </text>
    </comment>
    <comment ref="M32" authorId="0" shapeId="0">
      <text>
        <t>======
ID#AAAAp5IyAD4
Diamond Tower DTW    (2023-02-10 14:41:42)
30/11/2022	PAG.REF. CONVENCAO CONDOMINAL MULTIPLAN ARRECADADORA LTDA	-1.333,70</t>
      </text>
    </comment>
    <comment ref="N32" authorId="0" shapeId="0">
      <text>
        <t>======
ID#AAAAsmUIs10
Diamond Tower DTW    (2023-03-08 20:01:30)
20/12/2022 PG.RESSARCIMENTO NR. DOC: 80553 AL 235-2022 REF. DESPESAS
C/PAISAGISMO MULTIPLAN 1.059,99
------
ID#AAAAsmUIs4Y
Diamond Tower DTW    (2023-03-08 20:18:29)
29/12/2022 PG.RESSARCIMENTO MULTIPLAN ARRECADADORA LTDA 1.469,44</t>
      </text>
    </comment>
    <comment ref="P32" authorId="0" shapeId="0">
      <text>
        <t>======
ID#AAAArmAfIGw
Diamond Tower DTW    (2023-03-09 00:32:30)
08/02/2023	PG.DESP.DIVERSAS NR. DOC: 833 RESSARCIMENTO CONFORME CONVENÇÃO CONDOMINIAL SUB-CONDOMINIO SHOPPING CENTER BARRASHOP	- 1.288,65</t>
      </text>
    </comment>
    <comment ref="E33" authorId="0" shapeId="0">
      <text>
        <t>======
ID#AAAAjPv8zQM
    (2022-11-04 19:34:33)
22/03/2022	SERVICOS HIDRAULICOS NF.: 2022319 Parc.(2/2) MOTELE MOTORES ELETRICOS LTDA
	-Diamond Tower
22/03/2022	TRANSAÇÕES BANCARIAS TED_DOC NR. DOC: 359346358 03/2022 - NF: 2022319
	-Diamond Tower</t>
      </text>
    </comment>
    <comment ref="H33" authorId="0" shapeId="0">
      <text>
        <t>======
ID#AAAAjPv8zMA
    (2022-11-04 19:34:33)
30/06/2022	MANUTENCAO BOMBAS E MOTORES NR. DOC: 10620 SERVICO DE MANUTENCAO DAS MOTOBOMBAS
	-Diamond Tower</t>
      </text>
    </comment>
    <comment ref="O33" authorId="0" shapeId="0">
      <text>
        <t>======
ID#AAAArmAfIEU
Diamond Tower DTW    (2023-03-09 00:01:47)
25/01/2023PG.SERV.HIDRAULICO NF.: 2023143 MOTELE MOTORES ELETRICOS LTDA180,00</t>
      </text>
    </comment>
    <comment ref="E34" authorId="0" shapeId="0">
      <text>
        <t>======
ID#AAAAjPv8zQ8
    (2022-11-04 19:34:33)
17/03/2022	MATERIAL DE MANUTENCAO NF.: 677 RUBENS FLAVIO ANDRADE VILLAR
	-Diamond Tower
17/03/2022	TRANSAÇÕES BANCARIAS TED_DOC NR. DOC: 358462071 03/2022 - NF: 677
	-Diamond Tower</t>
      </text>
    </comment>
    <comment ref="O34" authorId="0" shapeId="0">
      <text>
        <t>======
ID#AAAArmAfIFM
Diamond Tower DTW    (2023-03-09 00:21:19)
06/02/2023	MANUTENÇÃO DE EQUIPAMENTOS NF.: 857 PLACA FONTE - MARCA INTELBRAS Parc.(1/3) RUBENS FLAVIO ANDRADE VILLAR	- 366,34</t>
      </text>
    </comment>
    <comment ref="P34" authorId="0" shapeId="0">
      <text>
        <t>======
ID#AAAArmAfIJ4
Diamond Tower DTW    (2023-03-09 00:51:48)
27/02/2023	MANUTENÇÃO DE EQUIPAMENTOS NF.: 857 PLACA FONTE - MARCA INTELBRAS Parc.(2/3) RUBENS FLAVIO ANDRADE VILLAR	- 366,33</t>
      </text>
    </comment>
    <comment ref="C35" authorId="0" shapeId="0">
      <text>
        <t>======
ID#AAAAjPv8zG0
    (2022-11-04 19:34:33)
14/01/2022	MATERIAL HIDRAULICO NF.: 56102 Parc.(4/4) BERMAD BRASIL IMPORT E EXPORT LTDA
	-Diamond Tower
20/01/2022	INSS NR. DOC: 202122 V:23/12/2021 SHS ENGENHARIA LTDA - EPP
	-Diamond Tower
20/01/2022	LEI 10833-RETENÇAO NR. DOC: 202122 V:23/12/2021 SHS ENGENHARIA LTDA - EPP
	-Diamond Tower
21/01/2022	PRESTAÇÃO DE SERVIÇOS NF.: 202122 REF CONSERTO DO REVESTIMENTO DO FORRO DE GESSO
	-Diamond Tower
21/01/2022	TRANSAÇÕES BANCARIAS TED_DOC NR. DOC: 351628074 01/2022 - NF: 202122,20225
	-Diamond Tower
ISSQN-RETIDO NR. DOC: 202122 V:23/12/2021 SHS ENGENHARIA LTDA - EPP
	-Diamond Tower
31/01/2022	CONSERVACAO / MANUTENCAO NF.: 262 PARCELA 2 MARCIO DE BORBA OLIVEIRA
	-Diamond Tower
31/01/2022	CONSERVACAO / MANUTENCAO NF.: 263 PAGAMENTO REFERENTE A MANUTENCAO DO DISJUNTOR
	-Diamond Tower</t>
      </text>
    </comment>
    <comment ref="D35" authorId="0" shapeId="0">
      <text>
        <t>======
ID#AAAAjPv8zMU
    (2022-11-04 19:34:33)
17/02/2022	IMPOSTO RENDA NR. DOC: 1065 V:10/01/2022 INSTEL ENGENHARIA ELETRICA LTDA
	-Diamond Tower
17/02/2022	LEI 10833-RETENÇAO NR. DOC: 1065 V:10/01/2022 INSTEL ENGENHARIA ELETRICA LTDA
	-Diamond Tower
21/02/2022	ASSISTENCIA TECNICA NF.: 269 MARCIO DE BORBA OLIVEIRA
	-Diamond Tower
21/02/2022	MANUTENCAO DE EQUIPAMENTOS NF.: 268 ULTIMA PARCELA MARCIO DE BORBA OLIVEIRA
	-Diamond Tower
22/02/2022	MATERIAL DE MANUTENCAO NF.: 711 Parc.(1/3) EJARA DA SILVA ALVES
	-Diamond Tower
22/02/2022	SERVICOS HIDRAULICOS NF.: 2022319 Parc.(1/2) MOTELE MOTORES ELETRICOS LTDA
	-Diamond Tower
22/02/2022	TRANSAÇÕES BANCARIAS TED_DOC NR. DOC: 356096508 02/2022 - NF: 2022319,711
	-Diamond Tower
25/02/2022	ISSQN-RETIDO NR. DOC: 1065 V:10/01/2022 INSTEL ENGENHARIA ELETRICA LTDA
	-Diamond Tower</t>
      </text>
    </comment>
    <comment ref="E35" authorId="0" shapeId="0">
      <text>
        <t>======
ID#AAAAjPv8zLg
    (2022-11-04 19:34:33)
08/03/2022	MATERIAL DE MANUTENCAO NF.: 241 GUILHERME NETTO COSTA
	-Diamond Tower
08/03/2022	SUBSTITUICAO LUMINARIAS NF.: 20226 RODRIGO ROCHA BRAGA
	-Diamond Tower
08/03/2022	TRANSAÇÕES BANCARIAS TED_DOC NR. DOC: 357038219 03/2022 - NF: 241
	-Diamond Tower
14/03/2022	MATERIAL HIDRAULICO NF.: 268591 AQUISICAO DE MATERIAL HIDRAULICO PARA CONSERTO D
	-Diamond Tower</t>
      </text>
    </comment>
    <comment ref="G35" authorId="0" shapeId="0">
      <text>
        <t>======
ID#AAAAjPv8zPY
    (2022-11-04 19:34:33)
25/05/2022	CONSERVACAO / MANUTENCAO NF.: 202289 TROCA DE TECIDO PERSIANA BLACKOUT PINPOINT,
	-Diamond Tower
25/05/2022	TRANSAÇÕES BANCARIAS TED_DOC NR. DOC: 366979804 05/2022 - NF: 202289
	-Diamond Tower
30/05/2022	MANUTENCAO BOMBAS E MOTORES NF.: 10620 SERVICO DE MANUTENCAO DAS MOTOBOMBAS DO E
	-Diamond Tower</t>
      </text>
    </comment>
    <comment ref="H35" authorId="0" shapeId="0">
      <text>
        <t>======
ID#AAAAjPv8zP0
    (2022-11-04 19:34:33)
07/06/2022	LOCACAO DE EQUIPAMENTO NR. DOC: 36275 BORTOLINI LOCACOES DE ANDAIMES E EQUIPAM
	-Diamond Tower
08/06/2022	MATERIAL ELETRONICO NF.: 689 Parc.(4/4) RUBENS FLAVIO ANDRADE VILLAR
	-Diamond Tower
08/06/2022	SERVICOS DE PINTURA NR. DOC: 07062022 MARCIO ALEXANDRE BERMANN BATISTA
	-Diamond Tower
08/06/2022	TRANSAÇÕES BANCARIAS TED_DOC NR. DOC: 368160761 06/2022 - NF: 07062022
	-Diamond Tower
13/06/2022	LOCACAO DE EQUIPAMENTO NF.: 529857 BORTOLINI LOCACOES DE ANDAIMES E EQUIPAM
	-Diamond Tower
13/06/2022	MATERIAL ELETRICO NF.: 706 Parc.(3/4) RUBENS FLAVIO ANDRADE VILLAR
	-Diamond Tower
27/06/2022	SERVICOS HIDRAULICOS NF.: 55 RESERVATORIO DE ABASTECIMENTO 1 SUBSOLO RT INSTALAC
	-Diamond Tower
27/06/2022	TRANSAÇÕES BANCARIAS TED_DOC NR. DOC: 370435761 06/2022 - NF: 55
	-Diamond Tower</t>
      </text>
    </comment>
    <comment ref="L35" authorId="0" shapeId="0">
      <text>
        <t>======
ID#AAAAng1uKhU
Diamond Tower DTW    (2023-01-18 19:03:43)
05/10/2022 - NF 991 BBS GRUPOS GERADORES - JONAS BRAGA ME - R$2.165,00</t>
      </text>
    </comment>
    <comment ref="N35" authorId="0" shapeId="0">
      <text>
        <t>======
ID#AAAAsmUIs34
Diamond Tower DTW    (2023-03-08 20:15:13)
26/12/2022 PG.COMPRA MATERIAL NF.: 10418 manutencao portao Parc.(1/3) IMATEL INST
MANUT ELE 956,60
------
ID#AAAAsmUIs4I
Diamond Tower DTW    (2023-03-08 20:16:25)
26/12/2022 TARIFA PIX NR. DOC: 10418 IMATEL INST MANUT ELETRICA E DE
TELECOMUNICACOES L 2,49</t>
      </text>
    </comment>
    <comment ref="O35" authorId="0" shapeId="0">
      <text>
        <t>======
ID#AAAArmAfH_0
Diamond Tower DTW    (2023-03-08 23:02:19)
02/01/2023PG.SERV.PRESTADOS NF.: 20222367 alinhamento do sensor anti esmagamento IMATEL IN151,20
------
ID#AAAArmAfH_4
Diamond Tower DTW    (2023-03-08 23:02:25)
02/01/2023TARIFA PIX NR. DOC: 20222367 IMATEL INST MANUT ELETRICA E DE TELECOMUNICACOES L2,49
------
ID#AAAArmAfIBU
Diamond Tower DTW    (2023-03-08 23:30:17)
11/01/2023PG.RETENCAO ISSQN NR. DOC: 20222367 V:30/12/2022 IMATEL INST MANUT ELETRICA E DE9,00
------
ID#AAAArmAfICg
Diamond Tower DTW    (2023-03-08 23:41:08)
13/01/2023PAG.REF. NF.: 20232 PLACAS PVC ADESIVAS P/ IDENTFICAÇÃO DAIANA ELOY DE OLIVEIRA634,70
------
ID#AAAArmAfIEY
Diamond Tower DTW    (2023-03-09 00:02:31)
26/01/2023PG.COMPRA MATERIAL NF.: 10418 manutencao portao Parc.(2/3) IMATEL INST MANUT ELE956,60
------
ID#AAAArmAfIEc
Diamond Tower DTW    (2023-03-09 00:06:59)
26/01/2023	TARIFA PIX NR. DOC: 10418 IMATEL INST MANUT ELETRICA E DE TELECOMUNICACOES L	- 2,49</t>
      </text>
    </comment>
    <comment ref="P35" authorId="0" shapeId="0">
      <text>
        <t>======
ID#AAAArmAfIJ8
Diamond Tower DTW    (2023-03-09 00:52:16)
27/02/2023	PG.COMPRA MATERIAL NF.: 10418 manutencao portao Parc.(3/3) IMATEL INST MANUT ELETRICA E DE TELECOMUNICACOES LTDA	- 956,60
------
ID#AAAArmAfIKE
Diamond Tower DTW    (2023-03-09 00:52:45)
27/02/2023	TARIFA PIX NR. DOC: 10418 IMATEL INST MANUT ELETRICA E DE TELECOMUNICACOES L	- 2,49</t>
      </text>
    </comment>
    <comment ref="E36" authorId="0" shapeId="0">
      <text>
        <t>======
ID#AAAAjPv8zGc
    (2022-11-04 19:34:33)
21/03/2022	PPCI NF.: 2022732 RS PREVENCAO DE INCENDIOS SERVICOS E COM
	-Diamond Tower
21/03/2022	TRANSAÇÕES BANCARIAS TED_DOC NR. DOC: 359050628 03/2022 - NF: 2022732
	-Diamond Tower</t>
      </text>
    </comment>
    <comment ref="F36" authorId="0" shapeId="0">
      <text>
        <t>======
ID#AAAAjPv8zEs
    (2022-11-04 19:34:33)
04/04/2022	PRESTAÇÃO DE SERVIÇOS NF.: 2022746 REF 40% ADEQUAÇÃO PPCI RS PREVENCAO DE INCEND
	-Diamond Tower</t>
      </text>
    </comment>
    <comment ref="L36" authorId="0" shapeId="0">
      <text>
        <t>======
ID#AAAAngIgv0A
Diamond Tower DTW    (2023-01-19 14:00:49)
07/10/2022 - NF 318 - SECURITE SISTEMAS DE ALARMES PARC (1/2) - R$967,86
------
ID#AAAAngIgv0o
Diamond Tower DTW    (2023-01-19 14:58:29)
13/10/2022  - TAXA ART NR. DOC 12157825 CREA - R$88,78
------
ID#AAAAngIgv1c
Diamond Tower DTW    (2023-01-19 18:41:46)
18/10/2022 - PPCI NR DOC: 1704152 FESP
------
ID#AAAAngIgv2Y
Diamond Tower DTW    (2023-01-19 19:09:26)
26/10/2022 - LUZ EMERGENCIA NF.: 318 Parc.(2/3) SECURITE SISTEMAS DE ALARMES LTDA
------
ID#AAAAngIgv6A
Diamond Tower DTW    (2023-01-19 20:23:02)
13110/2022 TRANSA O ES BAN CAR IAS TED_DOC NR. DOC: 385594177 10/2022 - NF: 00202211
------
ID#AAAAngIgv6M
Diamond Tower DTW    (2023-01-19 20:26:38)
18/10/2022 TRANSACOES BANCARIAS TED_DOC NR, COO: 386370120 10/2022- NF: 17910</t>
      </text>
    </comment>
    <comment ref="M36" authorId="0" shapeId="0">
      <text>
        <t>======
ID#AAAAp5IyAC0
Diamond Tower DTW    (2023-02-10 14:23:35)
23/11/2022	PG.LAUDO PPCI NF.: 2022874 PARCELA 03 RS PREVENÇÃO DE INCÊNDIOS SERVIÇOS E COM	-2.500,00</t>
      </text>
    </comment>
    <comment ref="P36" authorId="0" shapeId="0">
      <text>
        <t>======
ID#AAAArmAfIJg
Diamond Tower DTW    (2023-03-09 00:49:57)
2/02/2023	PG.COMPRA MAT. ELETRICO NF.: 916 SECURITE SISTEMAS DE ALARMES LTDA	- 471,98</t>
      </text>
    </comment>
    <comment ref="G37" authorId="0" shapeId="0">
      <text>
        <t>======
ID#AAAAjPv8zCo
    (2022-11-04 19:34:32)
16/05/2022	RECARGA EXTINTORES NF.: 2022770 RS PREVENCAO DE INCENDIOS SERVICOS E COM
	-Diamond Tower
16/05/2022	TRANSAÇÕES BANCARIAS TED_DOC NR. DOC: 365564126 05/2022 - NF: 2022770
	-Diamond Tower</t>
      </text>
    </comment>
    <comment ref="H37" authorId="0" shapeId="0">
      <text>
        <t>======
ID#AAAAjPv8zPk
    (2022-11-04 19:34:33)
15/06/2022	DEDETIZACAO NF.: 20221417 SERVICO DE CONTROLE DE PRAGAS URBANAS. ECO-AMBIENTAL C
	-Diamond Tower
15/06/2022	LIMPEZA CAIXA D'AGUA NF.: 20221418 SERVICO DE LIMPEZA DOS RESERVATORIOS DAGUA. E
	-Diamond Tower
20/06/2022	INSS NR. DOC: 20221417 V:15/06/2022 ECO-AMBIENTAL CONSULTORIA LTDA
	-Diamond Tower
20/06/2022	INSS NR. DOC: 20221418 V:15/06/2022 ECO-AMBIENTAL CONSULTORIA LTDA
	-Diamond Tower</t>
      </text>
    </comment>
    <comment ref="I37" authorId="0" shapeId="0">
      <text>
        <t>======
ID#AAAAjPv8zKw
    (2022-11-04 19:34:33)
15/07/2022	IMPOSTO RENDA NR. DOC: 20221417 V:15/06/2022 ECO-AMBIENTAL CONSULTORIA LTDA
	-Diamond Tower
15/07/2022	LEI 10833-RETENÇAO NR. DOC: 20221418 V:15/06/2022 ECO-AMBIENTAL CONSULTORIA LTDA
	-Diamond Tower
19/07/2022	TAXA ART NR. DOC: 11999990 CONSELHO REG DE ENGENHARIA E AGRONOMIA
	-Diamond Tower</t>
      </text>
    </comment>
    <comment ref="J37" authorId="0" shapeId="0">
      <text>
        <t>======
ID#AAAAjPv8zMo
    (2022-11-04 19:34:33)
09/08/2022	PPCI NR. DOC: 12060117 CONSELHO REG DE ENGENHARIA E AGRONOMIA
	-Diamond Tower
12/08/2022	LAUDO TÉCNICO NF.: 20223235 TOXILAB ANALISES CLINICAS LTDA
	-Diamond Tower
30/08/2022	PPCI NF.: 202267 CURSO DE BRIGADA DE INCENDIO DICKY MORAES PEREIRA
	-Diamond Tower</t>
      </text>
    </comment>
    <comment ref="K37" authorId="0" shapeId="0">
      <text>
        <t>======
ID#AAAAjPv8zLY
    (2022-11-04 19:34:33)
16/09/2022	LEI 10833-RETENÇAO NR. DOC: 20223235 V:12/08/2022 TOXILAB ANALISES CLINICAS LTDA
	-Diamond Tower
26/09/2022	ISSQN-RETIDO NR. DOC: 20223235 V:12/08/2022 TOXILAB ANALISES CLINICAS LTDA
	-Diamond Tower
26/09/2022	ISSQN-RETIDO NR. DOC: 202267 V:30/08/2022 DICKY MORAES PEREIRA
	-Diamond Tower</t>
      </text>
    </comment>
    <comment ref="L37" authorId="0" shapeId="0">
      <text>
        <t>======
ID#AAAAngIgv0k
Diamond Tower DTW    (2023-01-19 14:57:15)
13/10/2022 - PGR NF 202226613 ATIVA MEDICA E SEG DO TRABALHO - R$132,30
------
ID#AAAAngIgv20
Diamond Tower DTW    (2023-01-19 19:25:45)
25/10/2022 - LUZ EMERGENCIA NF.: 43248482 AQUISICAO DE BALIZADOR (LUZ VERMELHA) E BRACADEIRA PARA SINAL
------
ID#AAAAngIgv28
Diamond Tower DTW    (2023-01-19 19:27:50)
25/10/2022 - CONSERVACAO LUZ EMERGENCIA NE.: 397 SECURITE SISTEMAS DE ALARMES LTDA
------
ID#AAAAngIgv6U
Diamond Tower DTW    (2023-01-19 20:29:42)
25/10/2022 TRANSACOES BANCARIAS TED_DOC NR. DOC: 387711655 10/2022 - NE: 43248482</t>
      </text>
    </comment>
    <comment ref="M37" authorId="0" shapeId="0">
      <text>
        <t>======
ID#AAAAol5Flrw
Diamond Tower DTW    (2023-02-03 16:52:04)
14/11/2022 PGR NF.: 202229628 ATIVA MEDICA E SEGURANCA DO TRABALHO 132,30
------
ID#AAAAol5FluE
Diamond Tower DTW    (2023-02-03 18:25:02)
25/11/2022 ISSQN-RETIDO NR. DOC: 202226613 V:12/10/2022 ATIVA MEDICA E SEGURANCA DO TRABALH 2,70
------
ID#AAAAol5Fluw
Diamond Tower DTW    (2023-02-03 19:21:14)
30/11/2022 DESPESAS ADMINISTRATIVAS NF.: 43948975 CERTIFICAÇÃO DIGITAL CONNECT1000 CONSULTO 270,00
------
ID#AAAAp5IyAE4
Diamond Tower DTW    (2023-02-10 14:47:36)
30/11/2022	PG.RETENCAO ISSQN NR. DOC: 202200000026613 ATIVA MEDICINA E SEGURANÇA DO TRABALHO LTDA	-2,7</t>
      </text>
    </comment>
    <comment ref="P37" authorId="0" shapeId="0">
      <text>
        <t>======
ID#AAAArmAfIKA
Diamond Tower DTW    (2023-03-09 00:52:34)
27/02/2023	PG.MANUT.GERAL NF.: 2023686 ANALISEI DA QUALIDADE DO AR CONDICIONADO TOXILAB LABORATORIO DE ANALISES LTDA	- 298,16</t>
      </text>
    </comment>
    <comment ref="Q37" authorId="0" shapeId="0">
      <text>
        <t>======
ID#AAAArmAfILI
Diamond Tower DTW    (2023-03-09 01:04:57)
03/03/2023	PG.LAUDO TECNICO NF.: 202 TNSPEÇÃO DO SPDA BRENNER CARVALHO E SOUZA LTDA	- 1.200,00</t>
      </text>
    </comment>
    <comment ref="C38" authorId="0" shapeId="0">
      <text>
        <t>======
ID#AAAAjPv8zCc
    (2022-11-04 19:34:32)
10/01/2022	CONSERVACAO / MANUTENCAO NF.: 20213141 CONTRATO DE PRESTACAO DE SERVICO DE CONTR
	-Diamond Tower
17/01/2022	LEI 10833-RETENÇAO NR. DOC: 20212859 V:10/12/2021 ECO-AMBIENTAL CONSULTORIA LTDA
	-Diamond Tower
20/01/2022	INSS NR. DOC: 20213141 V:10/01/2022 ECO-AMBIENTAL CONSULTORIA LTDA
	-Diamond Tower</t>
      </text>
    </comment>
    <comment ref="D38" authorId="0" shapeId="0">
      <text>
        <t>======
ID#AAAAjPv8zCE
    (2022-11-04 19:34:32)
17/02/2022	CONSERVACAO / MANUTENCAO NF.: 202248 ECO-AMBIENTAL CONSULTORIA LTDA
	-Diamond Tower
17/02/2022	LEI 10833-RETENÇAO NR. DOC: 20213141 V:10/01/2022 ECO-AMBIENTAL CONSULTORIA LTDA
	-Diamond Tower
25/02/2022	INSS NR. DOC: 202248 V:17/02/2022 ECO-AMBIENTAL CONSULTORIA LTDA
	-Diamond Tower</t>
      </text>
    </comment>
    <comment ref="E38" authorId="0" shapeId="0">
      <text>
        <t>======
ID#AAAAjPv8zLw
    (2022-11-04 19:34:33)
10/03/2022 CONSERVACAO / MANUTENCAO NF.: 2022360 CONTRATO MENSAL DE PRESTACAO DE SERVICO DE
	-Diamond Tower
16/03/2022 LEI 10833-RETENÇAO NR. DOC: 2022360 V:10/03/2022 ECO-AMBIENTAL CONSULTORIA LTDA
	-Diamond Tower
16/03/2022 LEI 10833-RETENÇAO NR. DOC: 202248 V:17/02/2022 ECO-AMBIENTAL CONSULTORIA LTDA
	-Diamond Tower
18/03/2022	INSS NR. DOC: 2022360 V:10/03/2022 ECO-AMBIENTAL CONSULTORIA LTDA
	-Diamond Tower</t>
      </text>
    </comment>
    <comment ref="I38" authorId="0" shapeId="0">
      <text>
        <t>======
ID#AAAAjPv8zKg
    (2022-11-04 19:34:33)
01/07/2022	LIMPEZA CAIXA D'AGUA NF.: 20221665 ECO-AMBIENTAL CONSULTORIA LTDA
	-Diamond Tower
15/07/2022	LEI 10833-RETENÇAO NR. DOC: 20221417 V:15/06/2022 ECO-AMBIENTAL CONSULTORIA LTDA
	-Diamond Tower
15/07/2022 IMPOSTO RENDA NR. DOC: 20221418 V:15/06/2022 ECO-AMBIENTAL CONSULTORIA LTDA
	-Diamond Tower
20/07/2022	INSS NR. DOC: 20221665 V:01/07/2022 ECO-AMBIENTAL CONSULTORIA LTDA
	-Diamond Tower</t>
      </text>
    </comment>
    <comment ref="J38" authorId="0" shapeId="0">
      <text>
        <t>======
ID#AAAAjPv8zEw
    (2022-11-04 19:34:33)
17/08/2022	LEI 10833-RETENÇAO NR. DOC: 20221665 V:01/07/2022 ECO-AMBIENTAL CONSULTORIA LTDA
	-Diamond Tower</t>
      </text>
    </comment>
    <comment ref="N38" authorId="0" shapeId="0">
      <text>
        <t>======
ID#AAAAsmUIs0g
Diamond Tower DTW    (2023-03-08 19:46:39)
16/12/2022 PG.LIMPEZA CAIXA DAGUA NF.: 20223379 ECO-AMBIENTAL CONSULTORIA
LTDA 2.208,78</t>
      </text>
    </comment>
    <comment ref="O38" authorId="0" shapeId="0">
      <text>
        <t>======
ID#AAAArmAfIDg
Diamond Tower DTW    (2023-03-08 23:55:27)
20/01/2023LEI 10833-RETENCAO NR. DOC: 20223379 V:16/12/2022 ECO-AMBIENTAL CONSULTORIA LTD123,23
------
ID#AAAArmAfIDs
Diamond Tower DTW    (2023-03-08 23:57:23)
20/01/2023PG. IRRF NR. DOC: 20223379 V:16/12/2022 ECO-AMBIENTAL CONSULTORIA LTDA26,50</t>
      </text>
    </comment>
    <comment ref="J42" authorId="0" shapeId="0">
      <text>
        <t>======
ID#AAAAjPv8zIM
    (2022-11-04 19:34:33)
11/08/2022	PORTARIA CARTAO ACESSO NF.: 994421 COMPRA DE BOBINAS PARA RECEPCAO FORTPEL COM D
	-Diamond Tower
25/08/2022	PORTARIA CARTAO ACESSO NF.: 999025 COMPRA DE BOBINA PARA RECEPCAO FORTPEL COM DE
	-Diamond Tower</t>
      </text>
    </comment>
    <comment ref="K42" authorId="0" shapeId="0">
      <text>
        <t>======
ID#AAAAjPv8zQI
    (2022-11-04 19:34:33)
23/09/2022	PORTARIA CARTAO ACESSO NF.: 1008997 BOBINA PARA RECEPCAO FORTPEL COM DE DESCARTA
	-Diamond Tower
29/09/2022	PORTARIA CARTAO ACESSO NF.: 8649 DESP. REEMB. - CARTAO DE ACESSO LIZA MANTOVANEL
	-Diamond Tower</t>
      </text>
    </comment>
    <comment ref="M42" authorId="0" shapeId="0">
      <text>
        <t>======
ID#AAAAp5IyAD0
Diamond Tower DTW    (2023-02-10 14:41:13)
29/11/2022	PG.COMPRA MATERIAL NF.: 8846 AQUISICAO CARTÕES DE ACESSO CONDOMINIO LIZA MANTOVANELLI	-939</t>
      </text>
    </comment>
    <comment ref="N42" authorId="0" shapeId="0">
      <text>
        <t>======
ID#AAAAsmUIs1U
Diamond Tower DTW    (2023-03-08 19:50:53)
20/12/2022 PG.COMPRA MATERIAL NF.: 12420 CARTOES SIMPLES MIRAFE PARA ACESSO
AO EDIFICIO ROD 371,00</t>
      </text>
    </comment>
    <comment ref="C43" authorId="0" shapeId="0">
      <text>
        <t>======
ID#AAAAjPv8zLs
    (2022-11-04 19:34:33)
14/01/2022	CHAVES NF.: 202214 CONFECCAO DE 07 (SETE) COPIAS DE CHAVES DA AREA COMUM: BICICL
	-Diamond Tower
14/01/2022	TRANSAÇÕES BANCARIAS TED_DOC NR. DOC: 350701694 01/2022 - NF: 202214
	-Diamond Tower</t>
      </text>
    </comment>
    <comment ref="I43" authorId="0" shapeId="0">
      <text>
        <t>======
ID#AAAAjPv8zRg
    (2022-11-04 19:34:33)
14/07/2022	SERVICOS DE CHAVEIRO NF.: 2022226 BIGKEY COML CHAVES LTDA
	-Diamond Tower
14/07/2022	TRANSAÇÕES BANCARIAS TED_DOC NR. DOC: 372237119 07/2022 - NF: 2022226
	-Diamond Tower</t>
      </text>
    </comment>
    <comment ref="E44" authorId="0" shapeId="0">
      <text>
        <t>======
ID#AAAAjPv8zQE
    (2022-11-04 19:34:33)
08/03/2022 MATERIAL DE MANUTENCAO NR. DOC: 91 FERRAGEM FELIZ LTDA
	-Diamond Tower</t>
      </text>
    </comment>
    <comment ref="F44" authorId="0" shapeId="0">
      <text>
        <t>======
ID#AAAAjPv8zVQ
    (2022-11-04 19:34:33)
07/04/2022	MATERIAL ELETRICO NF.: 94 AQUISICAO DE LAMPADAS PARA SUBSTITUICAO NA AREA CONDOM
	-Diamond Tower
27/04/2022	MATERIAL ELETRICO NF.: 251 GUILHERME NETTO COSTA
	-Diamond Tower
27/04/2022	MATERIAL ELETRICO NF.: 33707 AQUISICAO DE LAMPADA LED PARA SUBSTITUICAO NO ESTAC
	-Diamond Tower
27/04/2022	TRANSAÇÕES BANCARIAS TED_DOC NR. DOC: 363760667 04/2022 - NF: 251
	-Diamond Tower</t>
      </text>
    </comment>
    <comment ref="G44" authorId="0" shapeId="0">
      <text>
        <t>======
ID#AAAAjPv8zNw
    (2022-11-04 19:34:33)
13/05/2022	MATERIAL ELETRICO NF.: 252 AQUISICAO DE LAMPADAS DICROICAS PARA SUBSTITUICAO NOS
	-Diamond Tower
18/05/2022	MATERIAL ELETRICO NF.: 34023 AQUISICAO DE LAMPADAS PARA REPOSICAO NA DOCA DE SER
	-Diamond Tower
24/05/2022	MATERIAL ELETRICO NF.: 257 10 (DEZ) LAMPADAS PARA REPOSICAO NA RECEPCAO. GUILHER
	-Diamond Tower
24/05/2022	MATERIAL ELETRICO NF.: 259 AQUISICAO DE FITA LED PARA REPOSICAO NOS PAVIMENTOS 7
	-Diamond Tower
24/05/2022	MATERIAL ELETRICO NF.: 260 AQUISICAO DE FITAS LED PARA REPOSICAO NOS PAVIMENTOS
	-Diamond Tower
24/05/2022	TRANSAÇÕES BANCARIAS TED_DOC NR. DOC: 366713414 05/2022 - NF: 257,259,260
	-Diamond Tower
31/05/2022	LAMPADAS NF.: 9975076976 COMERCIAL ILUMINIM EIRELI
	-Diamond Tower</t>
      </text>
    </comment>
    <comment ref="I44" authorId="0" shapeId="0">
      <text>
        <t>======
ID#AAAAjPv8zFE
    (2022-11-04 19:34:33)
26/07/2022	LAMPADAS NF.: 9898 COMPRA DE LAMPADAS Parc.(1/2) TRILUX DISTRIBUIDORA ELETRICA L
	-Diamond Tower</t>
      </text>
    </comment>
    <comment ref="J44" authorId="0" shapeId="0">
      <text>
        <t>======
ID#AAAAjPv8zH8
    (2022-11-04 19:34:33)
09/08/2022	LAMPADAS NF.: 9898 COMPRA DE LAMPADAS Parc.(2/2) TRILUX DISTRIBUIDORA ELETRICA L
	-Diamond Tower</t>
      </text>
    </comment>
    <comment ref="K44" authorId="0" shapeId="0">
      <text>
        <t>======
ID#AAAAjPv8zDs
    (2022-11-04 19:34:32)
15/09/2022	EQUIPAMENTOS E UTENSILIOS NR. DOC: 800877 COMERCIAL ILUMINIM EIRELI
	-Diamond Tower
23/09/2022	LAMPADAS NF.: 1175 LUANA SOUZA ROSA
	-Diamond Tower
23/09/2022	TRANSAÇÕES BANCARIAS TED_DOC NR. DOC: 383657022 09/2022 - NF: 1175
	-Diamond Tower</t>
      </text>
    </comment>
    <comment ref="C45" authorId="0" shapeId="0">
      <text>
        <t>======
ID#AAAAjPv8zWQ
    (2022-11-04 19:34:33)
14/01/2022	MATERIAL DE MANUTENCAO NF.: 76 AQUISICAO DE MATERIAL E FERRAMENTAS PARA CONSERTO
	-Diamond Tower
25/01/2022	REPAROS NF.: 38664 AQUISICAO DE PEDESTAL E CORRENTE PARA ISOLAMENTO DA AREA DO E
	-Diamond Tower</t>
      </text>
    </comment>
    <comment ref="D45" authorId="0" shapeId="0">
      <text>
        <t>======
ID#AAAAjPv8zQ0
    (2022-11-04 19:34:33)
01/02/2022	MATERIAL DE MANUTENCAO NF.: 32408 AQUISICAO DE MATERIAL E FERRAMENTAS PARA PINTU
	-Diamond Tower</t>
      </text>
    </comment>
    <comment ref="E45" authorId="0" shapeId="0">
      <text>
        <t>======
ID#AAAAjPv8zFI
    (2022-11-04 19:34:33)
08/03/2022	MATERIAL DE MANUTENCAO NF.: 32928 PROCAL FERRAGENS E TINTAS LTDA
	-Diamond Tower
17/03/2022	SERVICOS HIDRAULICOS NR. DOC: 18032022 MATHEUS KRITLI CAPPELLETTO
	-Diamond Tower
21/03/2022	EQUIPAMENTOS E UTENSILIOS NF.: 690 Parc.(1/3) RUBENS FLAVIO ANDRADE VILLAR
	-Diamond Tower
21/03/2022	MATERIAL ELETRONICO NF.: 689 Parc.(1/4) RUBENS FLAVIO ANDRADE VILLAR
	-Diamond Tower</t>
      </text>
    </comment>
    <comment ref="F45" authorId="0" shapeId="0">
      <text>
        <t>======
ID#AAAAjPv8zHM
    (2022-11-04 19:34:33)
08/04/2022	PISO NF.: 23036 AQUISIÇÃO DE PISO CONCRETO PARA CALÇAMENTO DA DOCA LCV COMERCIO
	-Diamond Tower
14/04/2022	MATERIAL DE MANUTENCAO NF.: 33477 AQUISICAO DE MATERIAL DE MANUTENCAO. PROCAL FE
	-Diamond Tower
20/04/2022	MATERIAL DE MANUTENCAO NF.: 33572 AQUISICAO DE FERRAMENTAS E MATERIAIS PARA UTIL
	-Diamond Tower</t>
      </text>
    </comment>
    <comment ref="G45" authorId="0" shapeId="0">
      <text>
        <t>======
ID#AAAAjPv8zFM
    (2022-11-04 19:34:33)
03/05/2022	MATERIAL DE MANUTENCAO NF.: 33812 PROCAL FERRAGENS E TINTAS LTDA
	-Diamond Tower
05/05/2022	MATERIAL DE MANUTENCAO NF.: 33722 PROCAL FERRAGENS E TINTAS LTDA
	-Diamond Tower
09/05/2022	MATERIAL DE MANUTENCAO NF.: 33907 AQUISICAO DE 01 (UMA) LATA DE TINTA PARA PINTU
	-Diamond Tower
24/05/2022	MATERIAL DE MANUTENCAO NF.: 34086 AQUISICAO DE MATERIAL PARA MANUTENCAO DA PORTA
	-Diamond Tower</t>
      </text>
    </comment>
    <comment ref="H45" authorId="0" shapeId="0">
      <text>
        <t>======
ID#AAAAjPv8zSY
    (2022-11-04 19:34:33)
06/06/2022	MATERIAL DE PINTURA NF.: 19662 AQUISICAO DE TINTA PARA PINTURA E DEMARCACAO DO B
	-Diamond Tower
20/06/2022	MATERIAL DE MANUTENCAO NF.: 34483 PROCAL FERRAGENS E TINTAS LTDA
	-Diamond Tower
24/06/2022	MATERIAL DE PINTURA NF.: 109 FERRAGEM FELIZ LTDA
	-Diamond Tower
27/06/2022	MATERIAL DE MANUTENCAO NF.: 4925 FERRAGEM FELIZ LTDA
	-Diamond Tower
27/06/2022	MATERIAL DE PINTURA NF.: 110 FERRAGEM FELIZ LTDA
	-Diamond Tower</t>
      </text>
    </comment>
    <comment ref="I45" authorId="0" shapeId="0">
      <text>
        <t>======
ID#AAAAjPv8zB0
    (2022-11-04 19:34:32)
22/07/2022	MATERIAL DE MANUTENCAO NF.: 987903 FORTPEL COM DE DESCARTAVEIS LTDA
	-Diamond Tower
26/07/2022	MATERIAL DE MANUTENCAO NF.: 34999 PROCAL FERRAGENS E TINTAS LTDA
	-Diamond Tower</t>
      </text>
    </comment>
    <comment ref="J45" authorId="0" shapeId="0">
      <text>
        <t>======
ID#AAAAjPv8zFg
    (2022-11-04 19:34:33)
23/08/2022	MATERIAL DE MANUTENCAO NF.: 35441 ferramentas de manutencao PROCAL FERRAGENS E T
	-Diamond Tower
24/08/2022	MATERIAL DE MANUTENCAO NF.: 35456 MOLA AEREA 9 ANDAR PROCAL FERRAGENS E TINTAS L
	-Diamond Tower</t>
      </text>
    </comment>
    <comment ref="K45" authorId="0" shapeId="0">
      <text>
        <t>======
ID#AAAAjPv8zSI
    (2022-11-04 19:34:33)
13/09/2022	MATERIAL DE MANUTENCAO NF.: 35795 PROCAL FERRAGENS E TINTAS LTDA
	-Diamond Tower
26/09/2022	MATERIAL DE MANUTENCAO NF.: 35984 PROCAL FERRAGENS E TINTAS LTDA
	-Diamond Tower
28/09/2022	MATERIAL DE MANUTENCAO NF.: 36067 PROCAL FERRAGENS E TINTAS LTDA
	-Diamond Tower</t>
      </text>
    </comment>
    <comment ref="L45" authorId="0" shapeId="0">
      <text>
        <t>======
ID#AAAAngIgv0g
Diamond Tower DTW    (2023-01-19 14:55:30)
13/10/2022 - NF 36293 PROCAL FERRAGEM - R$49,39
------
ID#AAAAngIgv4M
Diamond Tower DTW    (2023-01-19 19:42:47)
26/10/2022 MATERIAL DE MANUTENCAO NF.: 36482 PROCAL FERRAGENS E TINTAS LTDA</t>
      </text>
    </comment>
    <comment ref="N45" authorId="0" shapeId="0">
      <text>
        <t>======
ID#AAAAsmUIs28
Diamond Tower DTW    (2023-03-08 20:07:05)
23/12/2022 PG.COMPRA MATERIAL NF.: 37454 FERRAGEM PROCAL FERRAGENS E TINTAS
LTDA 179,75</t>
      </text>
    </comment>
    <comment ref="O45" authorId="0" shapeId="0">
      <text>
        <t>======
ID#AAAArmAfH_Y
Diamond Tower DTW    (2023-03-08 22:59:25)
02/01/2023PG.COMPRA MATERIAL NF.: 37606 AOUISIÇÃO DE MATERIAL PARÂ CONSERTO DE VAZAMENTO P20,95
------
ID#AAAArmAfIAM
Diamond Tower DTW    (2023-03-08 23:04:24)
04/01/2023PG.SERV.CHAVEIRO 2 CÓPIA CHAVES BIGKEY COMERCIAL DE CHAVES LTDA10,00</t>
      </text>
    </comment>
    <comment ref="C46" authorId="0" shapeId="0">
      <text>
        <t>======
ID#AAAAjPv8zFA
    (2022-11-04 19:34:33)
27/01/2022	MATERIAL DE MANUTENCAO NF.: 32376 AQUISICAO DE MATERIAIS PARA INSTALACAO DE 01 (
	-Diamond Tower
25/01/2022 REPAROS NF.: 38664 AQUISICAO DE PEDESTAL E CORRENTE PARA ISOLAMENTO DA AREA DO E
	-Diamond Tower
27/01/2022	MATERIAL ELETRICO NF.: 158199 AQUISICAO DE RELES DE FALTA DE FASE PARA REPOSICAO
	-Diamond Tower</t>
      </text>
    </comment>
    <comment ref="D46" authorId="0" shapeId="0">
      <text>
        <t>======
ID#AAAAjPv8zGI
    (2022-11-04 19:34:33)
01/02/2022	MATERIAL DE MANUTENCAO NF.: 32407 AQUISICAO DE COLA E FITAS PARA UTILIZACAO PELA
	-Diamond Tower
09/02/2022	EPI NF.: 32520 AQUISICAO DE EPI PARA O ASSISTENTE DE MANUTENCAO BOTINA E CAPA DE
	-Diamond Tower
21/02/2022	MATERIAL DE MANUTENCAO NF.: 32670 AQUISICAO DE MATERIAL PARA UTILIZACAO PELO ASS
	-Diamond Tower
21/02/2022	MATERIAL ELETRICO NF.: 32669 AQUISICAO DE LAMPADAS PARA SUBSTITUICAO DAS LAMPADA
	-Diamond Tower
22/02/2022	MATERIAL DE MANUTENCAO NR. DOC: 32699 AQUISICAO DE MATERIAL PARA CONSERTO DA DRE
	-Diamond Tower
23/02/2022	MATERIAL HIDRAULICO NF.: 32725 AQUISICAO DE MATERIAL PARA CONSERTO DO SISTEMA HI
	-Diamond Tower
25/02/2022 EQUIPAMENTOS E UTENSILIOS NF.: 2953 SERGIO PARAFUSOS LTDA
	-Diamond Tower
25/02/2022	TRANSAÇÕES BANCARIAS TED_DOC NR. DOC: 356469162 02/2022 - NF: 2953
	-Diamond Tower</t>
      </text>
    </comment>
    <comment ref="E46" authorId="0" shapeId="0">
      <text>
        <t>======
ID#AAAAjPv8zN0
    (2022-11-04 19:34:33)
02/03/2022	MATERIAL DE MANUTENCAO NF.: 104259 AQUISICAO DE MATERIAL PARA DESENTUPIMENTO DO
	-Diamond Tower
02/03/2022	MATERIAL HIDRAULICO NF.: 32791 AQUISICAO DE MATERIAL PARA MANUTENCAO DO ABASTECI
	-Diamond Tower
15/03/2022	MATERIAL DE MANUTENCAO NF.: 711 Parc.(2/3) EJARA DA SILVA ALVES
	-Diamond Tower
15/03/2022	TRANSAÇÕES BANCARIAS TED_DOC NR. DOC: 358054232 03/2022 - NF: 711
	-Diamond Tower
23/03/2022	MATERIAL HIDRAULICO NF.: 33140 AQUISICAO DE MATERIAL PARA CONSERTO DA HIDRAULICA
	-Diamond Tower</t>
      </text>
    </comment>
    <comment ref="F46" authorId="0" shapeId="0">
      <text>
        <t>======
ID#AAAAjPv8zNU
    (2022-11-04 19:34:33)
06/04/2022	MATERIAL ELETRICO NF.: 33348 AQUISICAO EMERGENCIAL DE DISJUNTORES PARA SUBSTITUI
	-Diamond Tower
11/04/2022	MATERIAL DE MANUTENCAO NF.: 33438 AQUISICAO DE MATERIAL E FERRAMENTA PARA MANUTE
	-Diamond Tower
04/2022	MATERIAL ELETRICO NF.: 33442 AQUISICAO DE CHUVEIRO ELETRICO PARA SUBSTITUICAO NO
	-Diamond Tower
18/04/2022	MATERIAL DE MANUTENCAO NF.: 711 Parc.(3/3) EJARA DA SILVA ALVES
	-Diamond Tower
18/04/2022	TRANSAÇÕES BANCARIAS TED_DOC NR. DOC: 362292759 04/2022 - NF: 202222,2222,711
	-Diamond Tower</t>
      </text>
    </comment>
    <comment ref="G46" authorId="0" shapeId="0">
      <text>
        <t>======
ID#AAAAjPv8zS4
    (2022-11-04 19:34:33)
10/05/2022	DIVERSOS NF.: 14389 E S ELETRONICA LTDA
	-Diamond Tower
13/05/2022	MATERIAL DE MANUTENCAO NF.: 270 O1 CHAVE GRIFO 48 FERRAGEM BERGAMASCHI
	-Diamond Tower
13/05/2022	TRANSAÇÕES BANCARIAS TED_DOC NR. DOC: 365386063 05/2022 - NF: 252,270
	-Diamond Tower
17/05/2022	DIVERSOS NF.: 05052022 3 FUSIVEIS 20A M S GOMES - ME
	-Diamond Tower
17/05/2022	MATERIAL HIDRAULICO NF.: 106 AQUISICAO DE MATERIAL HIDRAULICO PARA CORRECAO DE V
	-Diamond Tower
18/05/2022	MATERIAL HIDRAULICO NF.: 107 AQUISICAO DE 01 (UMA) LUVA SOLDAVEL 110MM PARA CORR
	-Diamond Tower
31/05/2022	MATERIAL DE MANUTENCAO NF.: 112 AQUISICAO DE MATERIAL PARA MANUTENCAO DO ESPELHO
	-Diamond Tower
31/05/2022	MATERIAL ELETRICO NF.: 253299 AQUISICAO DE MATERIAL ELETRICO PARA ILUMINACAO DO
	-Diamond Tower
31/05/2022	MATERIAL ELETRICO NF.: 253300 AQUISICAO DE CONTACTORA E ADAPTADOR PARA SUBSITUIC
	-Diamond Tower
31/05/2022	MATERIAL ELETRICO NF.: 253301 AQUISICAO DE MATERIAL ELETRICO PARA CONFECCAO DO C
	-Diamond Tower</t>
      </text>
    </comment>
    <comment ref="H46" authorId="0" shapeId="0">
      <text>
        <t>======
ID#AAAAjPv8zR0
    (2022-11-04 19:34:33)
01/06/2022	MATERIAL DE MANUTENCAO NF.: 34224 AQUISICAO DE ADESIVOS PARA FIXACAO DE TUBULACA
	-Diamond Tower
10/06/2022	MATERIAL DE MANUTENCAO NF.: 21376 COMAP COMERCIO DE COMP ALUM E VID LTDA
	-Diamond Tower
14/06/2022	MATERIAL DE MANUTENCAO NF.: 34426 AQUISICAO DE ELETRODOS PARA UTILIZACAO DA MANU
	-Diamond Tower
17/06/2022	MATERIAL HIDRAULICO NF.: 34418 PROCAL FERRAGENS E TINTAS LTDA
	-Diamond Tower
17/06/2022	MATERIAL HIDRAULICO NF.: 34433 PROCAL FERRAGENS E TINTAS LTDA
	-Diamond Tower
20/06/2022	MATERIAL DE MANUTENCAO NF.: 9874 TRILUX DISTRIBUIDORA ELETRICA LTDA - ME
	-Diamond Tower
27/06/2022	DIVERSOS NF.: 34586 PROCAL FERRAGENS E TINTAS LTDA
	-Diamond Tower
27/06/2022	MATERIAL DE MANUTENCAO NF.: 34567 PROCAL FERRAGENS E TINTAS LTDA
	-Diamond Tower
27/06/2022	MATERIAL DE MANUTENCAO NF.: 34569 PROCAL FERRAGENS E TINTAS LTDA
	-Diamond Tower
29/06/2022	MATERIAL DE MANUTENCAO NF.: 293577 ABT COMERCIAL ELETRICA LTDA
	-Diamond Tower
30/06/2022	MATERIAL DE MANUTENCAO NF.: 34675 PROCAL FERRAGENS E TINTAS LTDA
	-Diamond Tower
30/06/2022	MATERIAL DE MANUTENCAO NF.: 34679 PROCAL FERRAGENS E TINTAS LTDA
	-Diamond Tower
30/06/2022	MATERIAL DE MANUTENCAO NF.: 34696 PROCAL FERRAGENS E TINTAS LTDA
	-Diamond Tower</t>
      </text>
    </comment>
    <comment ref="I46" authorId="0" shapeId="0">
      <text>
        <t>======
ID#AAAAjPv8zQg
    (2022-11-04 19:34:33)
05/07/2022	MATERIAL DE MANUTENCAO NF.: 9891 DISJUNTOR ESPELHO D'AGUA TRILUX DISTRIBUIDORA E
	-Diamond Tower
05/07/2022	MATERIAL HIDRAULICO NF.: 34761 PROCAL FERRAGENS E TINTAS LTDA
	-Diamond Tower
05/07/2022	MATERIAL HIDRAULICO NF.: 34765 PROCAL FERRAGENS E TINTAS LTDA
	-Diamond Tower
11/07/2022	MATERIAL HIDRAULICO NF.: 34816 PROCAL FERRAGENS E TINTAS LTDA
	-Diamond Tower
13/07/2022	MATERIAL HIDRAULICO NF.: 28028 MASTER PISCINAS LTDA
	-Diamond Tower
13/07/2022	TRANSAÇÕES BANCARIAS TED_DOC NR. DOC: 372082546 07/2022 - NF: 28028
	-Diamond Tower
19/07/2022	MATERIAL HIDRAULICO NF.: 34914 PROCAL FERRAGENS E TINTAS LTDA
	-Diamond Tower
20/07/2022	MATERIAL HIDRAULICO NF.: 34932 PROCAL FERRAGENS E TINTAS LTDA
	-Diamond Tower
28/07/2022	MATERIAL ELETRICO NR. DOC: 797307 COMERCIAL ILUMINIM EIRELI
	-Diamond Tower
29/07/2022	MATERIAL ELETRICO NF.: 35064 PROCAL FERRAGENS E TINTAS LTDA
	-Diamond Tower</t>
      </text>
    </comment>
    <comment ref="J46" authorId="0" shapeId="0">
      <text>
        <t>======
ID#AAAAjPv8zC0
    (2022-11-04 19:34:32)
25/08/2022	MATERIAL DE MANUTENCAO NF.: 35481 PROCAL FERRAGENS E TINTAS LTDA
	-Diamond Tower</t>
      </text>
    </comment>
    <comment ref="K46" authorId="0" shapeId="0">
      <text>
        <t>======
ID#AAAAjPv8zHw
    (2022-11-04 19:34:33)
01/09/2022	MATERIAL DE MANUTENCAO NF.: 35602 MATERIAL DE MANUTENCAO PROCAL FERRAGENS E TINT
	-Diamond Tower
05/09/2022	MATERIAL DE MANUTENCAO NF.: 35654 MATERIAL DE MANUTENCAO PROCAL FERRAGENS E TINT
	-Diamond Tower
13/09/2022	MATERIAL ELETRICO NF.: 791 Parc.(1/2) RUBENS FLAVIO ANDRADE VILLAR
	-Diamond Tower
13/09/2022	TRANSAÇÕES BANCARIAS TED_DOC NR. DOC: 381580997 09/2022 - NF: 791
	-Diamond Tower
26/09/2022	MATERIAL DE MANUTENCAO NF.: 1 FABIANA TRUCCOLLO SCHIMITT
	-Diamond Tower
26/09/2022	MATERIAL ELETRICO NF.: 798 INJETOR POE PARA CAMERAS RUBENS FLAVIO ANDRADE VILLAR
	-Diamond Tower
27/09/2022	MATERIAL DE MANUTENCAO NF.: 36036 MATERIAL DE MANUTENCAO PROCAL FERRAGENS E TINT
	-Diamond Tower</t>
      </text>
    </comment>
    <comment ref="L46" authorId="0" shapeId="0">
      <text>
        <t>======
ID#AAAAngIgvz0
Diamond Tower DTW    (2023-01-19 13:55:15)
06/10/2022 - NF 36194 PROCAL FERRAGEM - R$252,65</t>
      </text>
    </comment>
    <comment ref="M46" authorId="0" shapeId="0">
      <text>
        <t>======
ID#AAAAol5FlrE
Diamond Tower DTW    (2023-02-03 16:46:23)
07/11/2022 EPI NF.: 36712 AQUISICAO DE EPI PARA O OFICIAL DE MANUTENCAO: LUVAS DE PROTECAO. 56,65
------
ID#AAAAol5FlrI
Diamond Tower DTW    (2023-02-03 16:46:41)
07/11/2022 MATERIAL DE MANUTENCAO NF.: 36700 COMPRA DE MATERIAIS PARA REPARO NO FILTRO E RE
------
ID#AAAAol5FlrY
Diamond Tower DTW    (2023-02-03 16:49:13)
10/11/2022 MATERIAL DE MANUTENCAO NF.: 36740 AQUISICAO DE MATERIAL PARA CONSERTO DO TANQUE 16,25
------
ID#AAAAol5Flro
Diamond Tower DTW    (2023-02-03 16:51:08)
14/11/2022 CONSERVACAO ANTENA COLETIVA NF.: 36806 AQUISICAO DE ANTENA COLETIVA UHF PARA TV 252,95
------
ID#AAAAp5IyADk
Diamond Tower DTW    (2023-02-10 14:38:51)
28/11/2022	PG.COMPRA MATERIAL NF.: 37025 AQUISICAO MATERIAL MANUTENCAO GERAL PROCAL FERRAGENS E TINTAS LTDA	-216,15
------
ID#AAAAp5IyADo
Diamond Tower DTW    (2023-02-10 14:40:12)
28/11/2022	PG.COMPRA MATERIAL NF.: 37026 AQUISICAO MATERIAL MANUTENCAO GERASL PROCAL FERRAGENS E TINTAS LTDA	-69,75
------
ID#AAAAp5IyADs
Diamond Tower DTW    (2023-02-10 14:40:25)
61,70</t>
      </text>
    </comment>
    <comment ref="N46" authorId="0" shapeId="0">
      <text>
        <t>======
ID#AAAAsmjn4Sk
Diamond Tower DTW    (2023-03-08 14:56:53)
08/12/2022PG.COMPRA MATERIAL NF.: 37238 CONSERTO DE INFILTRACAO NO MONITORAMENTO PROCAL FE 129,50
------
ID#AAAAsmjn4Sw
Diamond Tower DTW    (2023-03-08 14:59:02)
12/12/2022PG.COMPRA MATERIAL NF.: 37277 MANUTENCAO PROCAL FERRAGENS E TINTAS LTDA 110,95
------
ID#AAAAsmUIs0U
Diamond Tower DTW    (2023-03-08 19:45:39)
16/12/2022 PG.COMPRA MATERIAL NF.: 37339 TIRA COLA- REMOVEDOR DE
PEGAJOSIDADES PROCAL FERRA 50,60
------
ID#AAAAsmUIs2Y
Diamond Tower DTW    (2023-03-08 20:03:21)
21/12/2022 PG.COMPRA MATERIAL NF.: 37408 .SENSOR DE PRESENÇA PARA O TEÍO DO
21o ANDAR PROCA 65,25
------
ID#AAAAsmUIs20
Diamond Tower DTW    (2023-03-08 20:05:44)
23/12/2022 PG.COMPRA MAT. ELETRICO SENSOLUZ ILUMINACAO LTDA 158,01
------
ID#AAAAsmUIs4A
Diamond Tower DTW    (2023-03-08 20:15:42)
26/12/2022 PG.SERVICO ELETRICO SENSOLUZ ILUMINACAO LTDA 427,22</t>
      </text>
    </comment>
    <comment ref="O46" authorId="0" shapeId="0">
      <text>
        <t>======
ID#AAAArmAfIAI
Diamond Tower DTW    (2023-03-08 23:04:04)
4/01/2023PG.COMPRA MATERIAL NF.: 37667 . PROCAL FERRAGENS E TINTAS LTDA69,95
------
ID#AAAArmAfICU
Diamond Tower DTW    (2023-03-08 23:39:47)
12/01/2023PG.COMPRA MATERIAL NF.: 37789 P/ MANUTENÇÃO PROCAL FERRAGENS E TINTAS LTDA242,25
------
ID#AAAArmAfIDE
Diamond Tower DTW    (2023-03-08 23:48:56)
18/01/2023PG.COMPRA MAT.PINTURA NF.: 37906 TINTA BRANCA PARA PINTUIRA AREA CONDOMINIAL PRO159,90
------
ID#AAAArmAfID0
Diamond Tower DTW    (2023-03-08 23:58:09)
20/01/2023PG.RESSARCIMENTO NR. DOC: 16704 COMPRA MAT. HIDRAULICO MATHEUS KRITLI CAPPELLETT43,34</t>
      </text>
    </comment>
    <comment ref="P46" authorId="0" shapeId="0">
      <text>
        <t>======
ID#AAAArmAfIFU
Diamond Tower DTW    (2023-03-09 00:22:12)
06/02/2023	PG.COMPRA MATERIAL NF.: 38183 COLA TUDO PROCAL FERRAGENS E TINTAS LTDA	- 90,50
------
ID#AAAArmAfIJk
Diamond Tower DTW    (2023-03-09 00:50:12)
22/02/2023	PG.COMPRA MATERIAL NF.: 38420 DESENTUPIDOR PARA CONSERTO DOS BANHEIROS PROCAL FERRAGENS E TINTAS LTDA	- 196,00
------
ID#AAAArmAfIKI
Diamond Tower DTW    (2023-03-09 00:53:02)
28/02/2023	PG.COMPRA MATERIAL NF.: 38521 FERRAGEM PROCAL FERRAGENS E TINTAS LTDA	- 320,20</t>
      </text>
    </comment>
    <comment ref="Q46" authorId="0" shapeId="0">
      <text>
        <t>======
ID#AAAArmAfIKo
Diamond Tower DTW    (2023-03-09 01:02:30)
01/03/2023	PG.COMPRA MATERIAL NF.: 38539 MANUTENÇÃO PROCAL FERRAGENS E TINTAS LTDA	- 298,45
------
ID#AAAArmAfILA
Diamond Tower DTW    (2023-03-09 01:04:28)
03/03/2023	PG.COMPRA MATERIAL NF.: 38554 MANUTENÇÃO PROCAL FERRAGENS E TINTAS LTDA	- 93,45</t>
      </text>
    </comment>
    <comment ref="C47" authorId="0" shapeId="0">
      <text>
        <t>======
ID#AAAAjPv8zEI
    (2022-11-04 19:34:33)
31/01/2022	MATERIAL DE ESCRITORIO NF.: 931349 AQUISICAO DE 01 (UM) QUADRO BRANCO PARA A ADM
	-Diamond Tower
31/01/2022	MATERIAL DE EXPEDIENTE/CONSUMO 01/2022
	-Diamond Tower</t>
      </text>
    </comment>
    <comment ref="D47" authorId="0" shapeId="0">
      <text>
        <t>======
ID#AAAAjPv8zE4
    (2022-11-04 19:34:33)
28/02/2022	MATERIAL DE EXPEDIENTE/CONSUMO 02/2022
	-Diamond Tower</t>
      </text>
    </comment>
    <comment ref="E47" authorId="0" shapeId="0">
      <text>
        <t>======
ID#AAAAjPv8zDQ
    (2022-11-04 19:34:32)
15/03/2022 MATERIAL DE ESCRITORIO NF.: 10135 COMPRA MENSAL DE MATERIAL DE ESCRITORIO E EXPE
	-Diamond Tower</t>
      </text>
    </comment>
    <comment ref="G47" authorId="0" shapeId="0">
      <text>
        <t>======
ID#AAAAjPv8zSg
    (2022-11-04 19:34:33)
05/05/2022	MATERIAL DE ESCRITORIO NF.: 962651 AQUISICAO DE MATERIAL DE ESCRITORIO. FORTPEL
	-Diamond Tower
31/05/2022	MATERIAL DE EXPEDIENTE/CONSUMO 05/2022
	-Diamond Tower</t>
      </text>
    </comment>
    <comment ref="H47" authorId="0" shapeId="0">
      <text>
        <t>======
ID#AAAAjPv8zMc
    (2022-11-04 19:34:33)
10/06/2022	MATERIAL DE MANUTENCAO NF.: 973937 FORTPEL COM DE DESCARTAVEIS LTDA
	-Diamond Tower
23/06/2022	MATERIAL DE LIMPEZA NF.: 975830 FORTPEL COM DE DESCARTAVEIS LTDA
	-Diamond Tower
23/06/2022	TRANSAÇÕES BANCARIAS TED_DOC NR. DOC: 370243813 06/2022 - NF: 00
	-Diamond Tower</t>
      </text>
    </comment>
    <comment ref="I47" authorId="0" shapeId="0">
      <text>
        <t>======
ID#AAAAjPv8zJg
    (2022-11-04 19:34:33)
05/07/2022	INFORMÁTICA NR. DOC: 28949 HAMMES COMERCIO DE PRESENTES
	-Diamond Tower
07/07/2022	DESPESAS ADMINISTRATIVAS NR. DOC: 4204798363 PACOTE GOOLGE WORKSPACE
	-Diamond Tower
18/07/2022	MATERIAL DE EXPEDIENTE NF.: 13355 AVANTE BRASIL COMERCIO E DISTRIBUICAO DE
	-Diamond Tower
20/07/2022	EQUIPAMENTOS E UTENSILIOS NR. DOC: 30041 KALUNGA COMERCIO E INDUSTRIA GRAFICA L
	-Diamond Tower
22/07/2022	MATERIAL DE EXPEDIENTE NF.: 987642
	-Diamond Tower</t>
      </text>
    </comment>
    <comment ref="J47" authorId="0" shapeId="0">
      <text>
        <t>======
ID#AAAAjPv8zJQ
    (2022-11-04 19:34:33)
12/08/2022	MATERIAL DE EXPEDIENTE NF.: 13906 AVANTE BRASIL COMERCIO E DISTRIBUICAO DE
	-Diamond Tower
31/08/2022	MATERIAL DE EXPEDIENTE/CONSUMO 08/2022
	-Diamond Tower</t>
      </text>
    </comment>
    <comment ref="K47" authorId="0" shapeId="0">
      <text>
        <t>======
ID#AAAAjPv8zGQ
    (2022-11-04 19:34:33)
13/09/2022	MATERIAL DE EXPEDIENTE NF.: 14409 AVANTE BRASIL COMERCIO E DISTRIBUICAO DE
	-Diamond Tower
30/09/2022	MATERIAL DE EXPEDIENTE/CONSUMO 09/2022
	-Diamond Tower</t>
      </text>
    </comment>
    <comment ref="L47" authorId="0" shapeId="0">
      <text>
        <t>======
ID#AAAAngIgv0E
Diamond Tower DTW    (2023-01-19 14:01:50)
07/10/2022 - NF 14900 AVANTE BRASIL - R$239,90
------
ID#AAAAngIgv2s
Diamond Tower DTW    (2023-01-19 19:18:01)
21/10/2022 - EQUIPAMENTOS E UTENSILIOS NF.: 32311 REF AQUisicAo DE 01 MOUSE SEM FIE) P/ NOTEBOOK ADM
------
ID#AAAAngIgv4s
Diamond Tower DTW    (2023-01-19 19:48:21)
31/10/2022 EQUIPAMENTOS E UTENSILIOS NE 	32358 AQUISICAO DE FITA ZEBRADA DE DEMARCO PARA ISOLAMENTO</t>
      </text>
    </comment>
    <comment ref="M47" authorId="0" shapeId="0">
      <text>
        <t>======
ID#AAAAol5Flq0
Diamond Tower DTW    (2023-02-03 16:33:42)
04/11/2022 MATERIAL DE ESCRITORIO NF.: 15216 AQUISICAO DE MATERIAL DE CONSUMO PARA ESCRITOR 82,23</t>
      </text>
    </comment>
    <comment ref="O47" authorId="0" shapeId="0">
      <text>
        <t>======
ID#AAAArmAfICw
Diamond Tower DTW    (2023-03-08 23:42:31)
17/01/2023PG.COMPRA MAT.LIMPEZA NF.: 1047037 FORTPEL COMERCIO DE DESCARTAVEIS LTDA343,20</t>
      </text>
    </comment>
    <comment ref="C48" authorId="0" shapeId="0">
      <text>
        <t>======
ID#AAAAjPv8zEQ
    (2022-11-04 19:34:33)
21/01/2022	MATERIAL DE LIMPEZA NF.: 929904 FORTPEL COM DE DESCARTAVEIS LTDA
	-Diamond Tower</t>
      </text>
    </comment>
    <comment ref="D48" authorId="0" shapeId="0">
      <text>
        <t>======
ID#AAAAjPv8zCg
    (2022-11-04 19:34:32)
21/02/2022	MATERIAL DE LIMPEZA NF.: 935241 FORTPEL COM DE DESCARTAVEIS LTDA
	-Diamond Tower</t>
      </text>
    </comment>
    <comment ref="E48" authorId="0" shapeId="0">
      <text>
        <t>======
ID#AAAAjPv8zHQ
    (2022-11-04 19:34:33)
14/03/2022	MATERIAL DE LIMPEZA NF.: 818 COMPRA DE MATERIAL QUIMICO PARA LIMPEZA DA AREA CON
	-Diamond Tower
18/03/2022	MATERIAL DE LIMPEZA NF.: 10189 COMPRA MENSAL DE MATERIAL DE LIMPEZA. GLOBAL LIMP
	-Diamond Tower
22/03/2022	MATERIAL DE LIMPEZA NF.: 948023 AQUISIÇÃO DE MATERIAL DE LIMPEZA. FORTPEL COM DE
	-Diamond Tower</t>
      </text>
    </comment>
    <comment ref="F48" authorId="0" shapeId="0">
      <text>
        <t>======
ID#AAAAjPv8zNo
    (2022-11-04 19:34:33)
19/04/2022	MATERIAL DE LIMPEZA NF.: 908 AQUISICAO DE PARTE DO MATERIAL DE LIMPEZA MENSAL. S
	-Diamond Tower
20/04/2022	MATERIAL DE LIMPEZA NF.: 957257 AQUISICAO DE PARTE DO MATERIAL DE LIMPEZA MENSAL
	-Diamond Tower</t>
      </text>
    </comment>
    <comment ref="G48" authorId="0" shapeId="0">
      <text>
        <t>======
ID#AAAAjPv8zUo
    (2022-11-04 19:34:33)
05/05/2022	MATERIAL DE LIMPEZA NF.: 962927 AQUISICAO DE MATERIAL DE LIMPEZA, DESINFECCAO E
	-Diamond Tower
23/05/2022	MATERIAL DE LIMPEZA NF.: 1004 AQUISICAO MENSAL DE PRODUTOS QUIMICOS DE LIMPEZA.
	-Diamond Tower
23/05/2022	MATERIAL DE LIMPEZA NF.: 967230 AQUISICAO MENSAL DE MATERIAL DE LIMPEZA. FORTPEL
	-Diamond Tower
24/05/2022	MATERIAL DE LIMPEZA NF.: 967751 AQUISICAO DE 03 (TRES) RESERVATORIOS PARA SABONE
	-Diamond Tower</t>
      </text>
    </comment>
    <comment ref="H48" authorId="0" shapeId="0">
      <text>
        <t>======
ID#AAAAjPv8zEg
    (2022-11-04 19:34:33)
06/06/2022	MATERIAL DE LIMPEZA NF.: 13444 AQUISICAO DE ODORIZANTE SPRAY 400 ML - 10 UNIDADE
	-Diamond Tower
08/06/2022	MATERIAL DE LIMPEZA NF.: 973016 FORTPEL COM DE DESCARTAVEIS LTDA
	-Diamond Tower
20/06/2022	MATERIAL DE MANUTENCAO NF.: 1087 SMART CLEANING SOLUCOES EM HIGIENIZACAO
	-Diamond Tower
20/06/2022	TRANSAÇÕES BANCARIAS TED_DOC NR. DOC: 369476359 06/2022 - NF: 1087
	-Diamond Tower
29/06/2022	MATERIAL DE LIMPEZA NF.: 1134 SMART CLEANING SOLUCOES EM HIGIENIZACAO
	-Diamond Tower
29/06/2022	TRANSF ENTRE CONTAS TRANSFERIDO P/ 'LIMPEZA FACHADA'. Ref a NF 10095 lançada no
	-Diamond Tower</t>
      </text>
    </comment>
    <comment ref="I48" authorId="0" shapeId="0">
      <text>
        <t>======
ID#AAAAjPv8zGs
    (2022-11-04 19:34:33)
18/07/2022	MATERIAL DE LIMPEZA NF.: 13354 AVANTE BRASIL COMERCIO E DISTRIBUICAO DE
	-Diamond Tower
21/07/2022	MATERIAL DE LIMPEZA NF.: 13424 AVANTE BRASIL COMERCIO E DISTRIBUICAO DE
	-Diamond Tower</t>
      </text>
    </comment>
    <comment ref="J48" authorId="0" shapeId="0">
      <text>
        <t>======
ID#AAAAjPv8zIo
    (2022-11-04 19:34:33)
01/08/2022	MATERIAL DE LIMPEZA NF.: 13570 AVANTE BRASIL COMERCIO E DISTRIBUICAO DE
	-Diamond Tower
09/08/2022	MATERIAL DE LIMPEZA NF.: 13767 MATERIAL DE LIMPEZA AVANTE BRASIL COMERCIO E DIST
	-Diamond Tower
19/08/2022	MATERIAL DE LIMPEZA NF.: 14008 AVANTE BRASIL COMERCIO E DISTRIBUICAO DE
	-Diamond Tower</t>
      </text>
    </comment>
    <comment ref="K48" authorId="0" shapeId="0">
      <text>
        <t>======
ID#AAAAjPv8zJc
    (2022-11-04 19:34:33)
02/09/2022	MATERIAL DE LIMPEZA NF.: 14245 AVANTE BRASIL COMERCIO E DISTRIBUICAO DE
	-Diamond Tower
06/09/2022	MATERIAL DE LIMPEZA NF.: 14324 AVANTE BRASIL COMERCIO E DISTRIBUICAO DE
	-Diamond Tower</t>
      </text>
    </comment>
    <comment ref="L48" authorId="0" shapeId="0">
      <text>
        <t>======
ID#AAAAoUNzdcw
Diamond Tower DTW    (2023-01-17 20:01:17)
04/10/2022 - MATERIAL DE LIMPEZA NF 14622 - AVANTE BRASIL - R$1.496,99
------
ID#AAAAngIgv2M
Diamond Tower DTW    (2023-01-19 18:55:56)
20/10/2022 - MOVEiS E UTENSILIOS NF.: 15075 PORTA PAPEL E SABONETEIRAS AVANTE BRASIL
------
ID#AAAAngIgv2c
Diamond Tower DTW    (2023-01-19 19:13:00)
21/10/2022 - MATERIAL DE MANUTENCAO NF.: 1017980 FORTPEL COM DE DESCARTAVEIS LTDA
------
ID#AAAAngIgv2w
Diamond Tower DTW    (2023-01-19 19:22:23)
24/10/2022 - MATERIAL DE LIMPEZA NF.: 15484 AVANTE BRASIL</t>
      </text>
    </comment>
    <comment ref="M48" authorId="0" shapeId="0">
      <text>
        <t>======
ID#AAAAol5Flq4
Diamond Tower DTW    (2023-02-03 16:38:54)
04/11/2022 MATERIAL DE LIMPEZA NF.: 15222 REF.: OUTUBRO/22. AVANTE BRASIL COMERCIO E DISTRI 1.722,08</t>
      </text>
    </comment>
    <comment ref="N48" authorId="0" shapeId="0">
      <text>
        <t>======
ID#AAAAsmjn4R8
Diamond Tower DTW    (2023-03-08 14:22:04)
05/12/2022PG.COMPRA MAT.LIMPEZA NF.: 1032286 FORTPEL COMERCIO DE DESCARTAVEIS LTDA342,56
------
ID#AAAAsmjn4Sc
Diamond Tower DTW    (2023-03-08 14:46:51)
07/12/2022PG.COMPRA MAT.LIMPEZA NF.: 16011 AVANTE BRASIL COM E DISTR DE SUPRIMENTOS316,46
------
ID#AAAAsmjn4S0
Diamond Tower DTW    (2023-03-08 14:59:31)
12/12/2022PG.COMPRA MAT.LIMPEZA NF.: 1034722 FORTPEL COMERCIO DE DESCARTAVEIS LTDA269,63
------
ID#AAAAsmUIsz0
Diamond Tower DTW    (2023-03-08 19:41:47)
14/12/2022 PG.COMPRA MAT.LIMPEZA NF.: 1035424 FORTPEL COMERCIO DE
DESCARTAVEIS LTDA 251,67</t>
      </text>
    </comment>
    <comment ref="O48" authorId="0" shapeId="0">
      <text>
        <t>======
ID#AAAArmAfH_c
Diamond Tower DTW    (2023-03-08 22:59:49)
02/01/2023PG.COMPRA MAT.LIMPEZA NF.: 16303 AVANTE BRASIL COM E DISTR DE SUPRIMENTOS847,30
------
ID#AAAArmAfH_8
Diamond Tower DTW    (2023-03-08 23:02:43)
03/01/2023PG.COMPRA MAT.ESCRITORIO NF.: 1041822 FORTPEL COMERCIO DE DESCARTAVEIS LTDA343,20
------
ID#AAAArmAfIA4
Diamond Tower DTW    (2023-03-08 23:27:52)
09/01/2023PG.COMPRA MAT.LIMPEZA NF.: 1044264 FORTPEL COMERCIO DE DESCARTAVEIS LTDA186,67
------
ID#AAAArmAfID8
Diamond Tower DTW    (2023-03-08 23:59:02)
23/01/2023PG.COMPRA MAT.LIMPEZA NF.: 16669 AVANTE BRASIL COM E DISTR DE SUPRIMENTOS879,93</t>
      </text>
    </comment>
    <comment ref="P48" authorId="0" shapeId="0">
      <text>
        <t>======
ID#AAAArmAfIHU
Diamond Tower DTW    (2023-03-09 00:35:09)
10/02/2023	PG.COMPRA MAT.LIMPEZA NF.: 1054291 FORTPEL COMERCIO DE DESCARTAVEIS LTDA	- 323,55
------
ID#AAAArmAfIIQ
Diamond Tower DTW    (2023-03-09 00:39:35)
14/02/2023	PG.COMPRA MAT.LIMPEZA NF.: 1055476 FORTPEL COMERCIO DE DESCARTAVEIS LTDA	- 529,46</t>
      </text>
    </comment>
    <comment ref="D49" authorId="0" shapeId="0">
      <text>
        <t>======
ID#AAAAjPv8zKs
    (2022-11-04 19:34:33)
01/02/2022	PECAS ELEVADOR NF.: 202125516 ELEVADORES ATLAS SCHINDLER S/A
	-Diamond Tower
07/02/2022	REPAROS NF.: 20222713 SUBST. DE PEÇAS ELEVADORES ATLAS SCHINDLER S/A
	-Diamond Tower
25/02/2022	ISSQN-RETIDO NR. DOC: 20222713 V:07/02/2022 ELEVADORES ATLAS SCHINDLER S/A
	-Diamond Tower</t>
      </text>
    </comment>
    <comment ref="E49" authorId="0" shapeId="0">
      <text>
        <t>======
ID#AAAAjPv8zFQ
    (2022-11-04 19:34:33)
16/03/2022	LEI 10833-RETENÇAO NR. DOC: 20222713 V:07/02/2022 ELEVADORES ATLAS SCHINDLER S/A
	-Diamond Tower</t>
      </text>
    </comment>
    <comment ref="G49" authorId="0" shapeId="0">
      <text>
        <t>======
ID#AAAAjPv8zKI
    (2022-11-04 19:34:33)
27/05/2022	PECAS ELEVADOR NF.: 20228592 PARC 01/01 ELEVADORES ATLAS SCHINDLER S/A
	-Diamond Tower
31/05/2022	ELEVADORES NF.: 202211842 NF GERADA PELA PREFEITURA - NÃO PAGA ELEVADORES ATLAS
	-Diamond Tower</t>
      </text>
    </comment>
    <comment ref="H49" authorId="0" shapeId="0">
      <text>
        <t>======
ID#AAAAjPv8zVI
    (2022-11-04 19:34:33)
30/06/2022	PECAS ELEVADOR NF.: 202214453 REF JUN/2022 ELEVADORES ATLAS SCHINDLER S/A
	-Diamond Tower</t>
      </text>
    </comment>
    <comment ref="I49" authorId="0" shapeId="0">
      <text>
        <t>======
ID#AAAAjPv8zNk
    (2022-11-04 19:34:33)
15/07/2022 LEI 10833-RETENÇAO NR. DOC: 202214453 V:30/06/2022 ELEVADORES ATLAS SCHINDLER S/
	-Diamond Tower
26/07/2022	ISSQN-RETIDO NR. DOC: 202217870 V:29/07/2022 ELEVADORES ATLAS SCHINDLER S/A
	-Diamond Tower
29/07/2022	PECAS ELEVADOR NF.: 202217870 REF JUL/2022 - REATOR PARA CABINE DE ELEVADOR ELEV
	-Diamond Tower</t>
      </text>
    </comment>
    <comment ref="J49" authorId="0" shapeId="0">
      <text>
        <t>======
ID#AAAAjPv8zMM
    (2022-11-04 19:34:33)
17/08/2022	LEI 10833-RETENÇAO NR. DOC: 202217870 V:29/07/2022 ELEVADORES ATLAS SCHINDLER S/
	-Diamond Tower
25/08/2022	ISSQN-RETIDO NR. DOC: 0202220269 ELEVADORES ATLAS SCHINDLER S/A
	-Diamond Tower
31/08/2022	PECAS ELEVADOR NF.: 202220269 COMPONENTES DOS ELEVADORES ELEVADORES ATLAS SCHIND
	-Diamond Tower</t>
      </text>
    </comment>
    <comment ref="K49" authorId="0" shapeId="0">
      <text>
        <t>======
ID#AAAAjPv8zDg
    (2022-11-04 19:34:32)
16/09/2022	LEI 10833-RETENÇAO NR. DOC: 202220269 V:31/08/2022 ELEVADORES ATLAS SCHINDLER S/
	-Diamond Tower</t>
      </text>
    </comment>
    <comment ref="C50" authorId="0" shapeId="0">
      <text>
        <t>======
ID#AAAAjPv8zKc
    (2022-11-04 19:34:33)
04/01/2022	EQUIPAMENTOS E UTENSILIOS NF.: 9821 REF PARC 01/05 - AQUISIÇÃO DE 04 CARROS FUNC
	-Diamond Tower</t>
      </text>
    </comment>
    <comment ref="D50" authorId="0" shapeId="0">
      <text>
        <t>======
ID#AAAAjPv8zN8
    (2022-11-04 19:34:33)
01/02/2022 TRANSAÇÕES BANCARIAS TED_DOC NR. DOC: 353203833 02/2022 - NF: 38597500
	-Diamond Tower
04/02/2022	MATERIAL DE ESCRITORIO NF.: 38597500 AQUISICAO DE 10 (DEZ) PLACAS DE IDENTIFICAC
	-Diamond Tower
04/02/2022	TRANSAÇÕES BANCARIAS TED_DOC NR. DOC: 353358984 02/2022 - NF: 38597500
	-Diamond Tower
11/02/2022	EQUIPAMENTOS E UTENSILIOS NF.: 9821 PARCELA 2/5 - CARRINHOS FUNCIONAIS DE LIMPEZ
	-Diamond Tower</t>
      </text>
    </comment>
    <comment ref="E50" authorId="0" shapeId="0">
      <text>
        <t>======
ID#AAAAjPv8zUw
    (2022-11-04 19:34:33)
09/03/2022	MOVEIS E UTENSILIOS NF.: 09821 REF PARCELA 3/5 O.N.X SERVICOS EIRELI - ME
	-Diamond Tower
31/03/2022	ESPELHO NF.: 16572 COMPRA DE ESPELHO CONVEXO PARA A DOCA DE SERVIÇOS. PRODUTOS E
	-Diamond Tower</t>
      </text>
    </comment>
    <comment ref="F50" authorId="0" shapeId="0">
      <text>
        <t>======
ID#AAAAjPv8zFw
    (2022-11-04 19:34:33)
04/04/2022	EQUIPAMENTOS E UTENSILIOS NF.: 9821 Parc.(4/4) O.N.X SERVICOS EIRELI - ME
	-Diamond Tower</t>
      </text>
    </comment>
    <comment ref="G50" authorId="0" shapeId="0">
      <text>
        <t>======
ID#AAAAjPv8zPo
    (2022-11-04 19:34:33)
04/05/2022	EQUIPAMENTOS E UTENSILIOS NF.: 98210 PARC 5/5 - CARRINHOS FUNCIONAIS DE LIMPEZA
	-Diamond Tower</t>
      </text>
    </comment>
    <comment ref="H50" authorId="0" shapeId="0">
      <text>
        <t>======
ID#AAAAjPv8zBw
    (2022-11-04 19:34:32)
09/06/2022	EQUIPAMENTOS E UTENSILIOS NF.: 277 FERRAGEM BERGAMASCHI
	-Diamond Tower
09/06/2022	TRANSAÇÕES BANCARIAS TED_DOC NR. DOC: 368311956 06/2022 - NF: 277,729
	-Diamond Tower
17/06/2022	DESPESAS ADMINISTRATIVAS NR. DOC: 2008116338493 DELL COMPUTADORES DO BRASIL LTD
	-Diamond Tower
29/06/2022	DIVERSOS NR. DOC: 8228361 MAGALU PAGAMENTOS - LTDA
	-Diamond Tower</t>
      </text>
    </comment>
    <comment ref="I50" authorId="0" shapeId="0">
      <text>
        <t>======
ID#AAAAjPv8zIQ
    (2022-11-04 19:34:33)
19/07/2022	MOVEIS E UTENSILIOS NF.: 37507 Parc.(1/3) FERRAMULTI- COMERCIO DE ARTIGOS DE FE
	-Diamond Tower
20/07/2022	EQUIPAMENTOS E UTENSILIOS NF.: 4557 MAKINASUL DISTRIBUICAO E LOCACAO DE FERR
	-Diamond Tower</t>
      </text>
    </comment>
    <comment ref="J50" authorId="0" shapeId="0">
      <text>
        <t>======
ID#AAAAjPv8zRA
    (2022-11-04 19:34:33)
16/08/2022	MOVEIS E UTENSILIOS NF.: 37507 Parc.(2/3) FERRAMULTI- COMERCIO DE ARTIGOS DE FE
	-Diamond Tower</t>
      </text>
    </comment>
    <comment ref="K50" authorId="0" shapeId="0">
      <text>
        <t>======
ID#AAAAjPv8zUA
    (2022-11-04 19:34:33)
13/09/2022	MOVEIS E UTENSILIOS NF.: 37507 Parc.(3/3) FERRAMULTI- COMERCIO DE ARTIGOS DE FE
	-Diamond Tower
15/09/2022	MOVEIS E UTENSILIOS NF.: 14436 AVANTE BRASIL COMERCIO E DISTRIBUICAO DE
	-Diamond Tower</t>
      </text>
    </comment>
    <comment ref="L50" authorId="0" shapeId="0">
      <text>
        <t>======
ID#AAAAp3ck2Bs
Diamond Tower DTW    (2023-02-09 18:43:19)
11/11/2022	PG.RESSARCIMENTO AQUISICAO CARTAO DE MEMORIA E MICROFONE MATHEUS KRITLI CAPPELLETTO	-113,9
------
ID#AAAAp3ck2B0
Diamond Tower DTW    (2023-02-09 18:44:14)
11/11/2022	TARIFA PIX MATHEUS KRITLI CAPPELLETTO:	-2,49</t>
      </text>
    </comment>
    <comment ref="N50" authorId="0" shapeId="0">
      <text>
        <t>======
ID#AAAAsmUIsz4
Diamond Tower DTW    (2023-03-08 19:43:41)
14/12/2022 PG.COMPRA MAT.LIMPEZA NF.: 18916 HYGIENNES SOLUCOES EM LIMPEZA
PROFISSIONAL EIR 498,00</t>
      </text>
    </comment>
    <comment ref="P50" authorId="0" shapeId="0">
      <text>
        <t>======
ID#AAAArmAfIGU
Diamond Tower DTW    (2023-03-09 00:29:58)
07/02/2023	PG.SERV.PRESTADOS NF.: 20238 REVESTIMENTO POLTRONAS FABIANA RODRIGUES DE OLIVEIRA	- 2.254,00</t>
      </text>
    </comment>
    <comment ref="P51" authorId="0" shapeId="0">
      <text>
        <t>======
ID#AAAArmAfIGo
Diamond Tower DTW    (2023-03-09 00:31:43)
08/02/2023	PG.COMPRA MATERIAL NF.: 2571 + NF 1402 RONALDO BRAMBILA LIPPERT	- 404,66
------
ID#AAAArmAfIGs
Diamond Tower DTW    (2023-03-09 00:32:00)
08/02/2023	PG.COMPRA MATERIAL NF.: 43528 20 CORREIAS PARA OS MOTORES OO SISTEMA DE EXAUSTÀO MANGFLEX MANGUEIRAS E CORREIAS LTDA	- 280,00</t>
      </text>
    </comment>
    <comment ref="F52" authorId="0" shapeId="0">
      <text>
        <t>======
ID#AAAAjPv8zPM
    (2022-11-04 19:34:33)
04/04/2022 PRESTAÇÃO DE SERVIÇOS NF.: 2022747 ABASTECIMENTO DO HIDRANTE RS PREVENCAO DE INC
	-Diamond Tower
04/04/2022 TRANSAÇÕES BANCARIAS TED_DOC NR. DOC: 360677641 04/2022 - NF: 2022747
	-Diamond Tower</t>
      </text>
    </comment>
    <comment ref="J53" authorId="0" shapeId="0">
      <text>
        <t>======
ID#AAAAjPv8zJM
    (2022-11-04 19:34:33)
23/08/2022	DESPESA DE OLEO NF.: 996343 QUERODIESEL TRANSP E COMERCIO DE COMBUST
	-Diamond Tower</t>
      </text>
    </comment>
    <comment ref="P53" authorId="0" shapeId="0">
      <text>
        <t>======
ID#AAAArmAfIKQ
Diamond Tower DTW    (2023-03-09 00:53:42)
28/02/2023	PG.MANUT. GERADOR NF.: 1101 JONAS BRAGA ME	- 912,50</t>
      </text>
    </comment>
    <comment ref="M54" authorId="0" shapeId="0">
      <text>
        <t>======
ID#AAAArmAfIF8
Diamond Tower DTW    (2023-03-09 00:26:07)
07/02/2023	PG.COMPRA MATERIAL NF.: 852 FONTE RUBENS FLAVIO ANDRADE VILLAR	- 60,00
======
ID#AAAAp4AbmFA
Diamond Tower DTW    (2023-02-09 19:24:02)
PAG.REF. TROCA DE FONTE PAGCERTO SOLUCOES EM PAGAMENTO LTDA</t>
      </text>
    </comment>
    <comment ref="C57" authorId="0" shapeId="0">
      <text>
        <t>======
ID#AAAAjPv8zDY
    (2022-11-04 19:34:32)
10/01/2022	TELEFONE NR. DOC: 126210494 01/2022 CLARO RS
	-Diamond Tower
10/01/2022	TV A CABO NR. DOC: 787204088396 01/2022 - NET VIRTUA NET SERVICOS 1752
	-Diamond Tower</t>
      </text>
    </comment>
    <comment ref="D57" authorId="0" shapeId="0">
      <text>
        <t>======
ID#AAAAjPv8zUU
    (2022-11-04 19:34:33)
08/02/2022	TELEFONE NR. DOC: 126210494 02/2022 CLARO RS
	-Diamond Tower
08/02/2022	TV A CABO NR. DOC: 787204088396 02/2022 - NET VIRTUA NET SERVICOS 1752
	-Diamond Tower</t>
      </text>
    </comment>
    <comment ref="E57" authorId="0" shapeId="0">
      <text>
        <t>======
ID#AAAAjPv8zDI
    (2022-11-04 19:34:32)
08/03/2022	TELEFONE NR. DOC: 126210494 03/2022 CLARO RS
	-Diamond Tower
08/03/2022	TV A CABO NR. DOC: 787204088396 03/2022 - NET VIRTUA NET SERVICOS 1752
	-Diamond Tower</t>
      </text>
    </comment>
    <comment ref="F57" authorId="0" shapeId="0">
      <text>
        <t>======
ID#AAAAjPv8zHY
    (2022-11-04 19:34:33)
08/04/2022	TELEFONE NR. DOC: 126210494 04/2022 CLARO RS
	-Diamond Tower
08/04/2022	TV A CABO NR. DOC: 787204088396 04/2022 - NET VIRTUA NET SERVICOS 1752
	-Diamond Tower</t>
      </text>
    </comment>
    <comment ref="G57" authorId="0" shapeId="0">
      <text>
        <t>======
ID#AAAAjPv8zEU
    (2022-11-04 19:34:33)
09/05/2022	TELEFONE NR. DOC: 126210494 05/2022 CLARO RS
	-Diamond Tower
09/05/2022	TV A CABO NR. DOC: 787204088396 05/2022 - NET VIRTUA NET SERVICOS 1752
	-Diamond Tower</t>
      </text>
    </comment>
    <comment ref="H57" authorId="0" shapeId="0">
      <text>
        <t>======
ID#AAAAjPv8zVs
    (2022-11-04 19:34:33)
08/06/2022	TELEFONE NR. DOC: 126210494 06/2022 CLARO RS
	-Diamond Tower</t>
      </text>
    </comment>
    <comment ref="I57" authorId="0" shapeId="0">
      <text>
        <t>======
ID#AAAAjPv8zHA
    (2022-11-04 19:34:33)
08/07/2022	TELEFONE NR. DOC: 126210494 07/2022 CLARO RS
	-Diamond Tower
11/07/2022	TELEFONE NF.: 466876 PROSERVER TELECOMUNICACOES LTDA
	-Diamond Tower</t>
      </text>
    </comment>
    <comment ref="J57" authorId="0" shapeId="0">
      <text>
        <t>======
ID#AAAAjPv8zQU
    (2022-11-04 19:34:33)
10/08/2022	TELEFONE NF.: 467563 PROSERVER TELECOMUNICACOES LTDA
	-Diamond Tower</t>
      </text>
    </comment>
    <comment ref="K57" authorId="0" shapeId="0">
      <text>
        <t>======
ID#AAAAjPv8zLk
    (2022-11-04 19:34:33)
12/09/2022	TELEFONE NF.: 468223 CONTRATO TELEFONE ADM PROSERVER TELECOMUNICACOES LTDA
	-Diamond Tower</t>
      </text>
    </comment>
    <comment ref="M57" authorId="0" shapeId="0">
      <text>
        <t>======
ID#AAAAp3ck2Bo
Diamond Tower DTW    (2023-02-09 18:39:22)
10/11/2022	PG.INTERNET/TELEFONE/TV NR. DOC: 185105 PROSERVER TELECOMUNICACOES LTDA	-50,44</t>
      </text>
    </comment>
    <comment ref="N57" authorId="0" shapeId="0">
      <text>
        <t>======
ID#AAAAsmjn4TU
Diamond Tower DTW    (2023-03-08 15:01:15)
12/12/2022PG.INTERNET/TELEFONE/TV NR. DOC: 185105 PROSERVER TELECOMUNICACOES LTDA53,03</t>
      </text>
    </comment>
    <comment ref="O57" authorId="0" shapeId="0">
      <text>
        <t>======
ID#AAAArmAfIBE
Diamond Tower DTW    (2023-03-08 23:29:22)
10/01/2023PG.INTERNET/TELEFONE/TV NR. DOC: 185105 PROSERVER TELECOMUNICACOES LTDA58,87</t>
      </text>
    </comment>
    <comment ref="P57" authorId="0" shapeId="0">
      <text>
        <t>======
ID#AAAArmAfIHY
Diamond Tower DTW    (2023-03-09 00:35:23)
10/02/2023	PG.INTERNET/TELEFONE/TV NR. DOC: 185105 PROSERVER TELECOMUNICACOES LTDA	- 55,59</t>
      </text>
    </comment>
    <comment ref="C58" authorId="0" shapeId="0">
      <text>
        <t>======
ID#AAAAjPv8zIk
    (2022-11-04 19:34:33)
31/01/2022	DESPESAS COPIAS 01/2022
	-Diamond Tower
31/01/2022	DESPESAS DE COPIAS NF.: 202247 EDUARDO TOCHIHARU ASO - ME
	-Diamond Tower
31/01/2022	TRANSAÇÕES BANCARIAS TED_DOC NR. DOC: 353072039 01/2022 - NF: 202247
	-Diamond Tower</t>
      </text>
    </comment>
    <comment ref="D58" authorId="0" shapeId="0">
      <text>
        <t>======
ID#AAAAjPv8zE0
    (2022-11-04 19:34:33)
28/02/2022	DESPESAS COPIAS 02/2022
	-Diamond Tower</t>
      </text>
    </comment>
    <comment ref="E58" authorId="0" shapeId="0">
      <text>
        <t>======
ID#AAAAjPv8zD8
    (2022-11-04 19:34:33)
31/03/2022	DESPESAS COPIAS 03/2022
	-Diamond Tower</t>
      </text>
    </comment>
    <comment ref="F58" authorId="0" shapeId="0">
      <text>
        <t>======
ID#AAAAjPv8zI8
    (2022-11-04 19:34:33)
30/04/2022	DESPESAS COPIAS 04/2022
	-Diamond Tower</t>
      </text>
    </comment>
    <comment ref="G58" authorId="0" shapeId="0">
      <text>
        <t>======
ID#AAAAjPv8zC8
    (2022-11-04 19:34:32)
31/05/2022	DESPESAS COPIAS 05/2022
	-Diamond Tower</t>
      </text>
    </comment>
    <comment ref="H58" authorId="0" shapeId="0">
      <text>
        <t>======
ID#AAAAjPv8zU4
    (2022-11-04 19:34:33)
30/06/2022	DESPESAS COPIAS 06/2022
	-Diamond Tower</t>
      </text>
    </comment>
    <comment ref="I58" authorId="0" shapeId="0">
      <text>
        <t>======
ID#AAAAjPv8zT8
    (2022-11-04 19:34:33)
31/07/2022	DESPESAS COPIAS 07/2022
	-Diamond Tower</t>
      </text>
    </comment>
    <comment ref="J58" authorId="0" shapeId="0">
      <text>
        <t>======
ID#AAAAjPv8zMI
    (2022-11-04 19:34:33)
31/08/2022	DESPESAS COPIAS 08/2022
	-Diamond Tower</t>
      </text>
    </comment>
    <comment ref="K58" authorId="0" shapeId="0">
      <text>
        <t>======
ID#AAAAjPv8zMY
    (2022-11-04 19:34:33)
30/09/2022	DESPESAS COPIAS 09/2022
	-Diamond Tower</t>
      </text>
    </comment>
    <comment ref="C59" authorId="0" shapeId="0">
      <text>
        <t>======
ID#AAAAjPv8zEY
    (2022-11-04 19:34:33)
07/01/2022	SERVIÇOS DE MOTOBOY NR. DOC: 1632075 ENTREGAS 07012022 FASTER MAIL ENTREGAS PERS
	-Diamond Tower
14/01/2022	DESPESAS CORREIO NR. DOC: 424296 COSTA SERVICOS POSTAIS LTDA - ME
	-Diamond Tower
24/01/2022	DESPESAS CORREIO NR. DOC: 17012022 EMP. BRAS. DE CORREIOR E TELEGRAFOD
	-Diamond Tower</t>
      </text>
    </comment>
    <comment ref="E59" authorId="0" shapeId="0">
      <text>
        <t>======
ID#AAAAjPv8zRU
    (2022-11-04 19:34:33)
31/03/2022	TRANSAÇÕES BANCARIAS TED_DOC NR. DOC: 360432293 03/2022 - NF: 10356,16572,202227
	-Diamond Tower</t>
      </text>
    </comment>
    <comment ref="F59" authorId="0" shapeId="0">
      <text>
        <t>======
ID#AAAAjPv8zGA
    (2022-11-04 19:34:33)
06/04/2022	SERVIÇOS DE MOTOBOY NR. DOC: 1762228 ENTREGAS 06042022 FASTER MAIL ENTREGAS PERS
	-Diamond Tower</t>
      </text>
    </comment>
    <comment ref="H59" authorId="0" shapeId="0">
      <text>
        <t>======
ID#AAAAjPv8zFs
    (2022-11-04 19:34:33)
06/06/2022	DIVERSOS NR. DOC: 41430292 OPERADOR NAC DO SIST DE REG ELET DE IMOV
	-Diamond Tower</t>
      </text>
    </comment>
    <comment ref="J59" authorId="0" shapeId="0">
      <text>
        <t>======
ID#AAAAjPv8zVY
    (2022-11-04 19:34:33)
05/08/2022	SERVIÇOS DE MOTOBOY NR. DOC: 2036915 ENTREGAS 05082022 FASTER MAIL ENTREGAS PERS
	-Diamond Tower</t>
      </text>
    </comment>
    <comment ref="L59" authorId="0" shapeId="0">
      <text>
        <t>======
ID#AAAAngIgvzk
Diamond Tower DTW    (2023-01-19 13:47:07)
05/10/2022 - SERVIÇO DE MOTOBOY NR. DOC 2118727 - R$22,84
------
ID#AAAAngIgvzo
Diamond Tower DTW    (2023-01-19 13:48:48)
05/10/2022 - SERVIÇO DE MOTOBOY NR. DOC 2150415 - RR$108,51
------
ID#AAAAngIgvzs
Diamond Tower DTW    (2023-01-19 13:49:33)
05/10/2022 - SERVIÇO DE MOTOBOY - NR. DOC 2156097 - R$22,84
------
ID#AAAAngIgv5k
Diamond Tower DTW    (2023-01-19 20:14:25)
05/10/2022 TRANSACOES BANCARIAS TED DOC NR. DOC: 384329951 10/2022 - NF: 353439444
------
ID#AAAAngIgv5w
Diamond Tower DTW    (2023-01-19 20:20:27)
10/10/2022 TRANSAOOES BANCARIAS TED_DOC NR. DOC: 385131633 10/2022 - NF: 17830</t>
      </text>
    </comment>
    <comment ref="N59" authorId="0" shapeId="0">
      <text>
        <t>======
ID#AAAAsmUIs3c
Diamond Tower DTW    (2023-03-08 20:12:54)
23/12/2022 PG.RESSARCIMENTO uber MATHEUS KRITLI CAPPELLETTO 43,52
------
ID#AAAAsmUIs3g
Diamond Tower DTW    (2023-03-08 20:13:07)
23/12/2022 PG.RESSARCIMENTO UBER MATHEUS KRITLI CAPPELLETTO 29,92
------
ID#AAAAsmUIs38
Diamond Tower DTW    (2023-03-08 20:15:27)
26/12/2022 PG.RESSARCIMENTO UBER MATHEUS KRITLI CAPPELLETTO 32,92</t>
      </text>
    </comment>
    <comment ref="O59" authorId="0" shapeId="0">
      <text>
        <t>======
ID#AAAArmAfIDw
Diamond Tower DTW    (2023-03-08 23:57:52)
20/01/2023PG.RESSARCIMENTO ENVIO DE CORRESPONDENCIA MATHEUS KRITLI CAPPELLETTO277,50</t>
      </text>
    </comment>
    <comment ref="P59" authorId="0" shapeId="0">
      <text>
        <t>======
ID#AAAArmAfIIo
Diamond Tower DTW    (2023-03-09 00:42:21)
15/02/2023	PG.RESSARCIMENTO MATHEUS KRITLI CAPPELLETTO	- 128,74
------
ID#AAAArmAfIIs
Diamond Tower DTW    (2023-03-09 00:42:30)
15/02/2023	TARIFA PIX MATHEUS KRITLI CAPPELLETTO	- 2,49</t>
      </text>
    </comment>
    <comment ref="Q59" authorId="0" shapeId="0">
      <text>
        <t>======
ID#AAAArmAfILM
Diamond Tower DTW    (2023-03-09 01:05:10)
03/03/2023	PG.RESSARCIMENTO DESLOCAMENTO UBER MATHEUS KRITLI CAPPELLETTO	- 226,21</t>
      </text>
    </comment>
    <comment ref="C60" authorId="0" shapeId="0">
      <text>
        <t>======
ID#AAAAjPv8zDA
    (2022-11-04 19:34:32)
31/01/2022	MANUTENÇÃO E SOCIAL NR. DOC: 353187677 01/2022 -
	-Diamond Tower</t>
      </text>
    </comment>
    <comment ref="D60" authorId="0" shapeId="0">
      <text>
        <t>======
ID#AAAAjPv8zI4
    (2022-11-04 19:34:33)
28/02/2022	MANUTENÇÃO E SOCIAL NR. DOC: 356415339 02/2022 -
	-Diamond Tower</t>
      </text>
    </comment>
    <comment ref="E60" authorId="0" shapeId="0">
      <text>
        <t>======
ID#AAAAjPv8zGM
    (2022-11-04 19:34:33)
31/03/2022	MANUTENÇÃO E SOCIAL NR. DOC: 360571701 03/2022 -
	-Diamond Tower</t>
      </text>
    </comment>
    <comment ref="F60" authorId="0" shapeId="0">
      <text>
        <t>======
ID#AAAAjPv8zVA
    (2022-11-04 19:34:33)
30/04/2022	MANUTENÇÃO E SOCIAL NR. DOC: 363943644 04/2022 -
	-Diamond Tower</t>
      </text>
    </comment>
    <comment ref="G60" authorId="0" shapeId="0">
      <text>
        <t>======
ID#AAAAjPv8zH0
    (2022-11-04 19:34:33)
31/05/2022	MANUTENÇÃO E SOCIAL NR. DOC: 367354949 05/2022 -
	-Diamond Tower</t>
      </text>
    </comment>
    <comment ref="H60" authorId="0" shapeId="0">
      <text>
        <t>======
ID#AAAAjPv8zTo
    (2022-11-04 19:34:33)
30/06/2022	MANUTENÇÃO E SOCIAL NR. DOC: 370510865 06/2022 -
	-Diamond Tower</t>
      </text>
    </comment>
    <comment ref="I60" authorId="0" shapeId="0">
      <text>
        <t>======
ID#AAAAjPv8zJU
    (2022-11-04 19:34:33)
31/07/2022	MANUTENÇÃO E SOCIAL NR. DOC: 375919174 07/2022 -
	-Diamond Tower</t>
      </text>
    </comment>
    <comment ref="J60" authorId="0" shapeId="0">
      <text>
        <t>======
ID#AAAAjPv8zG4
    (2022-11-04 19:34:33)
04/08/2022	PPCI NR. DOC: 1681329 FESP
	-Diamond Tower
17/08/2022	INSS FOLHA DE PAGTO/AUTONOMOS NR. DOC: 21319 INSS FOLHA JUL/2022 MINISTERIO DA P
	-Diamond Tower
31/08/2022	MANUTENÇÃO E SOCIAL NR. DOC: 379783314 08/2022 -
	-Diamond Tower</t>
      </text>
    </comment>
    <comment ref="K60" authorId="0" shapeId="0">
      <text>
        <t>======
ID#AAAAjPv8zJo
    (2022-11-04 19:34:33)
30/09/2022	MANUTENÇÃO E SOCIAL NR. DOC: 384031400 09/2022 -
	-Diamond Tower</t>
      </text>
    </comment>
    <comment ref="N60" authorId="0" shapeId="0">
      <text>
        <t>======
ID#AAAAsmjn4R4
Diamond Tower DTW    (2023-03-08 14:21:37)
02/12/2022PG. INSS - FPM/TERCEIROS 10/2022 MINISTERIO DA PREVIDENCIA SOCIAL5.213,59
------
ID#AAAAsmjn4SA
Diamond Tower DTW    (2023-03-08 14:22:28)
05/12/2022PG. INSS - FPM/TERCEIROS NR. DOC: 50000093974375 GUIA COMPLEMENTAR CP 10/22 NF9.207,05
------
ID#AAAAsmjn4SY
Diamond Tower DTW    (2023-03-08 14:46:21)
06/12/2022PG.FGTS NR. DOC: 162677975 11/2022 - CEF - FUNDO DE GARANTIA - FL PGTO.604,2
------
ID#AAAAsmjn4Sg
Diamond Tower DTW    (2023-03-08 14:56:30)
07/12/2022PG. FGTS DIF. FGTS MENSAL NOV/2022 CEF - FUNDO DE GARANTIA - FL PGTO.0,03
------
ID#AAAAsmUIszg
Diamond Tower DTW    (2023-03-08 19:39:55)
12/12/2022 PG.RETENCAO ISSQN PREFEITURA DE PORTO ALEGRE 338,09
------
ID#AAAAsmUIs0A
Diamond Tower DTW    (2023-03-08 19:44:23)
15/12/2022 PG. IRRF NR. DOC: 162915220 11/2022 - IRRF - FL PGTO. 376,03
------
ID#AAAAsmUIs1A
Diamond Tower DTW    (2023-03-08 19:49:28)
19/12/2022 DECLARAÇÃO MENSAL EFD-REINF COMP. 11/2022 55,80
------
ID#AAAAsmUIs1E
Diamond Tower DTW    (2023-03-08 19:49:35)
19/12/2022 PG.PIS NR. DOC: 163039051 11/2022 - PIS - FL. PGTO 75,52
------
ID#AAAAsmUIs1o
Diamond Tower DTW    (2023-03-08 19:59:33)
20/12/2022 PG. INSS - FPM/TERCEIROS NR. DOC: 50000099455882 CP 11/2022
MINISTERIO DA PREVI 12.709,04</t>
      </text>
    </comment>
    <comment ref="O60" authorId="0" shapeId="0">
      <text>
        <t>======
ID#AAAArmAfIBY
Diamond Tower DTW    (2023-03-08 23:30:36)
11/01/2023PG.RETENCAO ISSQN NR. DOC: 202227 PREFEITURA DE PORTO ALEGRE19,78
------
ID#AAAArmAfIBc
Diamond Tower DTW    (2023-03-08 23:30:48)
11/01/2023PG.RETENCAO ISSQN NR. DOC: 202228 PREFEITURA DE PORTO ALEGRE26,99
------
ID#AAAArmAfIBs
Diamond Tower DTW    (2023-03-08 23:31:58)
11/01/2023PG.RETENCAO ISSQN NR. DOC: 202231 PREFEITURA DE PORTO ALEGRE24,37
------
ID#AAAArmAfICQ
Diamond Tower DTW    (2023-03-08 23:39:29)
11/01/2023PG.RETENCAO ISSQN NR. DOC: 32736 PREFEITURA DE PORTO ALEGRE117,28
------
ID#AAAArmAfIDA
Diamond Tower DTW    (2023-03-08 23:48:26)
17/01/2023PG. IRRF NR. DOC: 165173563 12/2022 - IRRF - FL PGTO.70,93
------
ID#AAAArmAfIDI
Diamond Tower DTW    (2023-03-08 23:49:15)
19/01/2023DECLARAÇÃO MENSAL EFD-REINF COMP. 12/202255,80
------
ID#AAAArmAfIDo
Diamond Tower DTW    (2023-03-08 23:57:01)
20/01/2023PG. INSS - FPM/TERCEIROS NR. DOC: 50000106850156 CP 12/2022 MINISTERIO DA PREVI15.780,69
------
ID#AAAArmAfIEQ
Diamond Tower DTW    (2023-03-09 00:01:31)
25/01/2023PG.SECOVIMED NR. DOC: 165987164 12/2022 - SERVICO SOCIAL DA HABITACAO DO RIO GRA218,33</t>
      </text>
    </comment>
    <comment ref="P60" authorId="0" shapeId="0">
      <text>
        <t>======
ID#AAAArmAfII4
Diamond Tower DTW    (2023-03-09 00:43:17)
17/02/2023	DECLARAÇÃO MENSAL EFD-REINF COMP. 01/2023	- 55,80
------
ID#AAAArmAfIJQ
Diamond Tower DTW    (2023-03-09 00:45:03)
17/02/2023	PG. INSS - FPM/TERCEIROS NR. DOC: 50000112139239 CP 01/2023 MINISTERIO DA PREVIDENCIA SOCIAL	- 14.537,03
------
ID#AAAArmAfIJo
Diamond Tower DTW    (2023-03-09 00:50:31)
22/02/2023	PG.PIS NR. DOC: 167644941 01/2023 - PIS - FL. PGTO	- 76,63
------
ID#AAAArmAfIKU
Diamond Tower DTW    (2023-03-09 00:54:10)
28/02/2023	PG.SECOVIMED NR. DOC: 168620191 01/2023 - SERVICO SOCIAL DA HABITACAO DO RIO GRANDE DO SUL - SECOVIMED - RS	- 191,58</t>
      </text>
    </comment>
    <comment ref="C61" authorId="0" shapeId="0">
      <text>
        <t>======
ID#AAAAjPv8zJs
    (2022-11-04 19:34:33)
24/01/2022	MATERIAL DE ESCRITORIO NF.: 145467 AQUISICAO DE MATERIAL DE ESCRITORIO. JUNIOR -
	-Diamond Tower
24/01/2022	MATERIAL DE EXPEDIENTE NF.: 930256 AQUISICAO DE MATERIAL DE ESCRITORIO, CAFE E F
	-Diamond Tower</t>
      </text>
    </comment>
    <comment ref="E61" authorId="0" shapeId="0">
      <text>
        <t>======
ID#AAAAjPv8zDw
    (2022-11-04 19:34:32)
31/03/2022	MATERIAL DE EXPEDIENTE/CONSUMO 03/2022
	-Diamond Tower</t>
      </text>
    </comment>
    <comment ref="F61" authorId="0" shapeId="0">
      <text>
        <t>======
ID#AAAAjPv8zKA
    (2022-11-04 19:34:33)
30/04/2022	MATERIAL DE EXPEDIENTE/CONSUMO 04/2022
	-Diamond Tower</t>
      </text>
    </comment>
    <comment ref="H61" authorId="0" shapeId="0">
      <text>
        <t>======
ID#AAAAjPv8zSk
    (2022-11-04 19:34:33)
30/06/2022	MATERIAL DE EXPEDIENTE/CONSUMO 06/2022
	-Diamond Tower</t>
      </text>
    </comment>
    <comment ref="I61" authorId="0" shapeId="0">
      <text>
        <t>======
ID#AAAAjPv8zVw
    (2022-11-04 19:34:33)
31/07/2022	MATERIAL DE EXPEDIENTE/CONSUMO 07/2022
	-Diamond Tower</t>
      </text>
    </comment>
    <comment ref="N61" authorId="0" shapeId="0">
      <text>
        <t>======
ID#AAAAsmUIs0s
Diamond Tower DTW    (2023-03-08 19:48:04)
16/12/2022 PG.RESSARCIMENTO CAFE PARA ASSEMBLEIA KAROLINE AGUIRRES DA CRUZ 23,29</t>
      </text>
    </comment>
    <comment ref="D62" authorId="0" shapeId="0">
      <text>
        <t>======
ID#AAAAjPv8zG8
    (2022-11-04 19:34:33)
09/02/2022	TAXA ASSISTENCIA ASSEMBLEIA NR. DOC: 17012022 MARELISE ASTIGARRAGA TELLES
	-Diamond Tower</t>
      </text>
    </comment>
    <comment ref="H62" authorId="0" shapeId="0">
      <text>
        <t>======
ID#AAAAjPv8zK8
    (2022-11-04 19:34:33)
07/06/2022	TAXA ASSISTENCIA ASSEMBLEIA NR. DOC: 17052022 ANA PAULA DA SILVA GONCALVES
	-Diamond Tower</t>
      </text>
    </comment>
    <comment ref="N62" authorId="0" shapeId="0">
      <text>
        <t>======
ID#AAAAsmUIs4M
Diamond Tower DTW    (2023-03-08 20:16:49)
29/12/2022 PG.ASS.ASSEMBLEIA AGE 12/12/22 GISELDA RIBEIRO FRAGA 360,00 5</t>
      </text>
    </comment>
    <comment ref="C68" authorId="0" shapeId="0">
      <text>
        <t>======
ID#AAAAjPv8zEA
    (2022-11-04 19:34:33)
14/01/2022	AGUA E ESGOTO NR. DOC: 3579042 12/2021 DMAE - P.ALEGRE/RS
	-Diamond Tower</t>
      </text>
    </comment>
    <comment ref="D68" authorId="0" shapeId="0">
      <text>
        <t>======
ID#AAAAjPv8zEM
    (2022-11-04 19:34:33)
14/02/2022	AGUA E ESGOTO NR. DOC: 3579042 01/2022 DMAE - P.ALEGRE/RS
	-Diamond Tower</t>
      </text>
    </comment>
    <comment ref="E68" authorId="0" shapeId="0">
      <text>
        <t>======
ID#AAAAjPv8zGY
    (2022-11-04 19:34:33)
16/03/2022	AGUA E ESGOTO NR. DOC: 3579042 02/2022 DMAE - P.ALEGRE/RS
	-Diamond Tower</t>
      </text>
    </comment>
    <comment ref="F68" authorId="0" shapeId="0">
      <text>
        <t>======
ID#AAAAjPv8zII
    (2022-11-04 19:34:33)
13/04/2022	AGUA E ESGOTO NR. DOC: 3579042 03/2022 DMAE - P.ALEGRE/RS
	-Diamond Tower</t>
      </text>
    </comment>
    <comment ref="G68" authorId="0" shapeId="0">
      <text>
        <t>======
ID#AAAAjPv8zCw
    (2022-11-04 19:34:32)
16/05/2022	AGUA E ESGOTO NR. DOC: 3579042 04/2022 DMAE - P.ALEGRE/RS
	-Diamond Tower</t>
      </text>
    </comment>
    <comment ref="H68" authorId="0" shapeId="0">
      <text>
        <t>======
ID#AAAAjPv8zPc
    (2022-11-04 19:34:33)
13/06/2022	AGUA E ESGOTO NR. DOC: 3579042 05/2022 DMAE - P.ALEGRE/RS
	-Diamond Tower</t>
      </text>
    </comment>
    <comment ref="I68" authorId="0" shapeId="0">
      <text>
        <t>======
ID#AAAAjPv8zCY
    (2022-11-04 19:34:32)
13/07/2022	AGUA E ESGOTO NR. DOC: 3579042 06/2022 DMAE - P.ALEGRE/RS
	-Diamond Tower</t>
      </text>
    </comment>
    <comment ref="J68" authorId="0" shapeId="0">
      <text>
        <t>======
ID#AAAAjPv8zHE
    (2022-11-04 19:34:33)
12/08/2022	AGUA E ESGOTO NR. DOC: 3579042 07/2022 DMAE - P.ALEGRE/RS
	-Diamond Tower</t>
      </text>
    </comment>
    <comment ref="K68" authorId="0" shapeId="0">
      <text>
        <t>======
ID#AAAAjPv8zOs
    (2022-11-04 19:34:33)
12/09/2022	AGUA E ESGOTO NR. DOC: 3579042 08/2022 DMAE - P.ALEGRE/RS
	-Diamond Tower</t>
      </text>
    </comment>
    <comment ref="L68" authorId="0" shapeId="0">
      <text>
        <t>======
ID#AAAAngIgv0Y
Diamond Tower DTW    (2023-01-19 14:42:31)
13/10/2022 - ÁGUA E ESGOTO DOC NR. 357902 09/22 DMAE - R$8.039,30</t>
      </text>
    </comment>
    <comment ref="M68" authorId="0" shapeId="0">
      <text>
        <t>======
ID#AAAAol5Flrk
Diamond Tower DTW    (2023-02-03 16:50:43)
14/11/2022 AGUA E ESGOTO NR. DOC: 3579042 10/2022 DMAE - P.ALEGRE/RS 9.100,72</t>
      </text>
    </comment>
    <comment ref="N68" authorId="0" shapeId="0">
      <text>
        <t>======
ID#AAAAsmUIs2Q
Diamond Tower DTW    (2023-03-08 20:03:06)
21/12/2022 CONSUMO DAGUA NR. DOC: 3579042 11/2022 22/321413602 DMAE 12.379,17</t>
      </text>
    </comment>
    <comment ref="O68" authorId="0" shapeId="0">
      <text>
        <t>======
ID#AAAArmAfID4
Diamond Tower DTW    (2023-03-08 23:58:33)
23/01/2023CONSUMO DAGUA NR. DOC: 3579042 12/2022 23/467625 DMAE9.100,72</t>
      </text>
    </comment>
    <comment ref="P68" authorId="0" shapeId="0">
      <text>
        <t>======
ID#AAAArmAfIJY
Diamond Tower DTW    (2023-03-09 00:49:15)
22/02/2023	CONSUMO DAGUA NR. DOC: 3579042 01/2023 23/37370650 DMAE	- 10.633,73</t>
      </text>
    </comment>
    <comment ref="C69" authorId="0" shapeId="0">
      <text>
        <t>======
ID#AAAAjPv8zJI
    (2022-11-04 19:34:33)
20/01/2022	CONSUMO LUZ NR. DOC: 68761929 01/2022 CEEE
	-Diamond Tower</t>
      </text>
    </comment>
    <comment ref="D69" authorId="0" shapeId="0">
      <text>
        <t>======
ID#AAAAjPv8zKE
    (2022-11-04 19:34:33)
17/02/2022	CONSUMO LUZ NR. DOC: 68761929 02/2022 CEEE
	-Diamond Tower</t>
      </text>
    </comment>
    <comment ref="E69" authorId="0" shapeId="0">
      <text>
        <t>======
ID#AAAAjPv8zHg
    (2022-11-04 19:34:33)
15/03/2022	CONSUMO LUZ NR. DOC: 68761929 03/2022 CEEE
	-Diamond Tower</t>
      </text>
    </comment>
    <comment ref="F69" authorId="0" shapeId="0">
      <text>
        <t>======
ID#AAAAjPv8zCs
    (2022-11-04 19:34:32)
26/04/2022	CONSUMO LUZ NR. DOC: 68761929 04/2022 CEEE
	-Diamond Tower</t>
      </text>
    </comment>
    <comment ref="G69" authorId="0" shapeId="0">
      <text>
        <t>======
ID#AAAAjPv8zHU
    (2022-11-04 19:34:33)
17/05/2022	CONSUMO LUZ NR. DOC: 68761929 05/2022 CEEE
	-Diamond Tower</t>
      </text>
    </comment>
    <comment ref="H69" authorId="0" shapeId="0">
      <text>
        <t>======
ID#AAAAjPv8zFk
    (2022-11-04 19:34:33)
23/06/2022	CONSUMO LUZ NR. DOC: 68761929 06/2022 CEEE
	-Diamond Tower</t>
      </text>
    </comment>
    <comment ref="I69" authorId="0" shapeId="0">
      <text>
        <t>======
ID#AAAAjPv8zV8
    (2022-11-04 19:34:33)
20/07/2022	CONSUMO LUZ NR. DOC: 68761929 07/2022 CEEE
	-Diamond Tower</t>
      </text>
    </comment>
    <comment ref="J69" authorId="0" shapeId="0">
      <text>
        <t>======
ID#AAAAjPv8zGU
    (2022-11-04 19:34:33)
23/08/2022	CONSUMO LUZ NR. DOC: 68761929 08/2022 CEEE
	-Diamond Tower</t>
      </text>
    </comment>
    <comment ref="K69" authorId="0" shapeId="0">
      <text>
        <t>======
ID#AAAAjPv8zTM
    (2022-11-04 19:34:33)
21/09/2022	CONSUMO LUZ NR. DOC: 68761929 09/2022 CEEE
	-Diamond Tower</t>
      </text>
    </comment>
    <comment ref="L69" authorId="0" shapeId="0">
      <text>
        <t>======
ID#AAAAngIgv1g
Diamond Tower DTW    (2023-01-19 18:42:35)
19/10/2022 - CONSUMO LUZ NR. DOC: 68761929 10/2022 CEEE</t>
      </text>
    </comment>
    <comment ref="M69" authorId="0" shapeId="0">
      <text>
        <t>======
ID#AAAAol5FltE
Diamond Tower DTW    (2023-02-03 17:31:40)
21/11/2022 CONSUMO LUZ NR. DOC: 68761929 11/2022 CEEE 18.573,55</t>
      </text>
    </comment>
    <comment ref="N69" authorId="0" shapeId="0">
      <text>
        <t>======
ID#AAAAsmUIs2g
Diamond Tower DTW    (2023-03-08 20:04:35)
21/12/2022 PG.CONSUMO LUZ NR. DOC: 68761929 CEEE DISTRIBUICAO 19.116,52</t>
      </text>
    </comment>
    <comment ref="O69" authorId="0" shapeId="0">
      <text>
        <t>======
ID#AAAArmAfIC4
Diamond Tower DTW    (2023-03-08 23:47:53)
17/01/2023PG.CONSUMO LUZ NR. DOC: 68761929 01/2023 CEEE DISTRIBUICAO21.403,23</t>
      </text>
    </comment>
    <comment ref="Q69" authorId="0" shapeId="0">
      <text>
        <t>======
ID#AAAArmAfILk
Diamond Tower DTW    (2023-03-09 01:07:44)
07/03/2023	PG.CONSUMO LUZ NR. DOC: 68761929 CEEE DISTRIBUICAO	- 22.347,40</t>
      </text>
    </comment>
    <comment ref="J70" authorId="0" shapeId="0">
      <text>
        <t>======
ID#AAAAjPv8zLQ
    (2022-11-04 19:34:33)
22/08/2022	SEGURO FOGO OBRIGATORIO COND NR. DOC: 5177202265160036789 Parc.(2/6) ALLIANZ SE
	-Diamond Tower</t>
      </text>
    </comment>
    <comment ref="L70" authorId="0" shapeId="0">
      <text>
        <t>======
ID#AAAAngIgv2Q
Diamond Tower DTW    (2023-01-19 19:05:05)
20/10/2022 - SEGURO FOGO OBRIGATORIO COND NR. DOC: 5177202265160036789 Parc.{4/6) ALLIANZ SEGUROS SA</t>
      </text>
    </comment>
    <comment ref="M70" authorId="0" shapeId="0">
      <text>
        <t>21/11/2022 SEGURO FOGO OBRIGATORIO COND NR. DOC: 5177202265160036789 Parc.(5/6) ALLIANZ SE 6.690,63
======
ID#AAAAol5FltI
Diamond Tower DTW    (2023-02-03 17:32:27)
21/11/2022 SEGURO FOGO OBRIGATORIO COND NR. DOC: 5177202265160036789 Parc.(5/6) ALLIANZ SE 6.690,63</t>
      </text>
    </comment>
    <comment ref="N70" authorId="0" shapeId="0">
      <text>
        <t>======
ID#AAAAsmUIs2k
Diamond Tower DTW    (2023-03-08 20:04:55)
22/12/2022 PG.SEGURO PREDIO Parc 6 ALLIANZ SEGUROS 6.690,69</t>
      </text>
    </comment>
    <comment ref="P70" authorId="0" shapeId="0">
      <text>
        <t>21/11/2022 SEGURO FOGO OBRIGATORIO COND NR. DOC: 5177202265160036789 Parc.(5/6) ALLIANZ SE 6.690,63
======</t>
      </text>
    </comment>
    <comment ref="C73" authorId="0" shapeId="0">
      <text>
        <t>======
ID#AAAAjPv8zNI
    (2022-11-04 19:34:33)
05/01/2022	TAXA ADMIN. CARTÃO ADIANTAM NR. DOC: 816847 EDENRED SOLUCOES DE PAGAMENTOS HYL
	-Diamond Tower
10/01/2022	MANUTENCAO PREDIAL NF.: 1065 INSTEL ENGENHARIA ELETRICA LTDA
	-Diamond Tower
10/01/2022	TRANSAÇÕES BANCARIAS TED_DOC NR. DOC: 350138516 01/2022 - NF: 07012022,1065
	-Diamond Tower
17/01/2022	TARIFA BANCARIA REF SALARIO NR. DOC: 350827917 01/2022 -
	-Diamond Tower
17/01/2022	VALE ALIMENTAÇÃO/ADMISSÃO REF. VA - ADMISSÃO MOISES I C PINTO - 1663086 MOISES I
	-Diamond Tower
19/01/2022	MATERIAL DE MANUTENCAO NF.: 622 AQUISICAO DE CONJUNTO ROTEADOR RUBENS FLAVIO AND
	-Diamond Tower
27/01/2022	ALIMENTACAO DE FUNCIONARIOS ref 02/2022 - CH 1663086 MOISES IRINEU CABRAL PINTO
	-Diamond Tower
27/01/2022	TARIFA BANCARIA REF SALARIO NR. DOC: 352780666 01/2022 -
	-Diamond Tower
31/01/2022	EQUIPAMENTOS E UTENSILIOS NF.: 667 Parc.(1/2) RUBENS FLAVIO ANDRADE VILLAR
	-Diamond Tower
31/01/2022	MATERIAL DE MANUTENCAO NF.: 666 Parc.(1/2) RUBENS FLAVIO ANDRADE VILLAR
	-Diamond Tower
31/01/2022	VALE TRANSPORTE FUNCIONARIO Ref 02/2022 MOISES IRINEU CABRAL PINTO
	-Diamond Tower</t>
      </text>
    </comment>
    <comment ref="D73" authorId="0" shapeId="0">
      <text>
        <t>======
ID#AAAAjPv8zUQ
    (2022-11-04 19:34:33)
11/02/2022	TRANSAÇÕES BANCARIAS TED_DOC NR. DOC: 354327478 02/2022 - NF: 3262
	-Diamond Tower
11/02/2022	UNIFORMES NF.: 3262 CASA MILITAR COMERCIO DE CONFECCOES LTDA
	-Diamond Tower
18/02/2022	INSS INSS FOLHA 01/2022 MINISTERIO DA PREVIDENCIA SOCIAL
	-Diamond Tower
22/02/2022	EQUIPAMENTOS E UTENSILIOS NF.: 667 Parc.(2/2) RUBENS FLAVIO ANDRADE VILLAR
	-Diamond Tower
22/02/2022	MATERIAL DE MANUTENCAO NF.: 666 Parc.(2/2) RUBENS FLAVIO ANDRADE VILLAR
	-Diamond Tower
28/02/2022	CONTRATAÇÃO DE FUNCIONÁRIO MOISES IRINEU CABRAL PINTO
	-Diamond Tower</t>
      </text>
    </comment>
    <comment ref="E73" authorId="0" shapeId="0">
      <text>
        <t>======
ID#AAAAjPv8zKQ
    (2022-11-04 19:34:33)
11/03/2022	DESPESA DE CONDUÇÃO NR. DOC: 11032022 UBER
	-Diamond Tower
31/03/2022	RESSARCIMENTO NF.: 58202 SAO PAULO SUL FLORES LTDA
	-Diamond Tower</t>
      </text>
    </comment>
    <comment ref="F73" authorId="0" shapeId="0">
      <text>
        <t>======
ID#AAAAjPv8zCA
    (2022-11-04 19:34:32)
12/04/2022	DIVERSOS NR. DOC: 06042022 UBER
	-Diamond Tower
12/04/2022	DIVERSOS NR. DOC: 7042022 UBER
	-Diamond Tower
12/04/2022	MATERIAL DE MANUTENCAO NR. DOC: 3667 LEANDRO MIGNOT BERNARDI EIRELI
	-Diamond Tower
13/04/2022	EQUIPAMENTOS E UTENSILIOS NF.: 690 Parc.(2/3) RUBENS FLAVIO ANDRADE VILLAR
	-Diamond Tower
13/04/2022	MATERIAL ELETRONICO NF.: 689 Parc.(2/4) RUBENS FLAVIO ANDRADE VILLAR
	-Diamond Tower
18/04/2022	DIVERSOS NR. DOC: 14042022 MOISÉS FICOU ATÉ MAIS TARDE 11/04 POR CONT OBRA UBER
	-Diamond Tower
25/04/2022	DESPESA DE CONDUÇÃO NR. DOC: 14042022 UBER TRANSPORTES LTDA
	-Diamond Tower
25/04/2022	ISSQN-RETIDO NR. DOC: 202222 V:18/04/2022 RUBENS FLAVIO ANDRADE VILLAR
	-Diamond Tower
25/04/2022	MATERIAL ELETRICO NF.: 706 Parc.(1/4) RUBENS FLAVIO ANDRADE VILLAR
	-Diamond Tower</t>
      </text>
    </comment>
    <comment ref="G73" authorId="0" shapeId="0">
      <text>
        <t>======
ID#AAAAjPv8zK0
    (2022-11-04 19:34:33)
05/05/2022	LOCACAO DE EQUIPAMENTO NF.: 2256 REF.: ABRIL/22. RUBENS FLAVIO ANDRADE VILLAR
	-Diamond Tower
09/05/2022	MATERIAL DE MANUTENCAO NF.: 33909 MATERIAL PARA CONSERTO NA CENTRAL DE MONITORAM
	-Diamond Tower
10/05/2022	DIVERSOS NR. DOC: 13052022 UBER
	-Diamond Tower
10/05/2022	MATERIAL ELETRICO NF.: 1324 CACA E PESCA FARRAPOS LTDA - ME
	-Diamond Tower
10/05/2022	PRESTAÇÃO DE SERVIÇOS NF.: 202212 DE INSPEÇÃO EM NOBREAK RAMIRO NUNES BERGAMIN 0
	-Diamond Tower
10/05/2022	TRANSAÇÕES BANCARIAS TED_DOC NR. DOC: 364723176 05/2022 - NF: 1324
	-Diamond Tower
11/05/2022	EQUIPAMENTOS E UTENSILIOS NF.: 690 Parc.(3/3) RUBENS FLAVIO ANDRADE VILLAR
	-Diamond Tower
11/05/2022	MATERIAL ELETRONICO NF.: 689 Parc.(3/4) RUBENS FLAVIO ANDRADE VILLAR
	-Diamond Tower
16/05/2022	MATERIAL ELETRICO NF.: 706 Parc.(2/4) RUBENS FLAVIO ANDRADE VILLAR
	-Diamond Tower
16/05/2022	PRESTAÇÃO DE SERVIÇOS NF.: 202215 ADESIVAGEM DO TOTEM EXTER. DA DOCA UMA DAS FAC
	-Diamond Tower
16/05/2022	REFORMA PREDIO NF.: 202216 LEANDRO BONATO PERLA 73700126034
	-Diamond Tower
27/05/2022	DESPESA DE CONDUÇÃO NR. DOC: 025052022 UBER
	-Diamond Tower</t>
      </text>
    </comment>
    <comment ref="H73" authorId="0" shapeId="0">
      <text>
        <t>======
ID#AAAAjPv8zOA
    (2022-11-04 19:34:33)
14/06/2022	DIVERSOS NR. DOC: 0010062022 UBER
	-Diamond Tower
14/06/2022	DIVERSOS NR. DOC: 009062022 UBER
	-Diamond Tower
14/06/2022	DIVERSOS NR. DOC: 04062022 UBER
	-Diamond Tower
14/06/2022	DIVERSOS NR. DOC: 08062022 UBER
	-Diamond Tower
14/06/2022	DIVERSOS NR. DOC: 1062022 UBER
	-Diamond Tower
23/06/2022	EXAME MEDICO NR. DOC: 00 REF ADMISSINAL MATHEUS KRITLI CAPPELLETTO MEDIC WORK SE
	-Diamond Tower
28/06/2022	DESPESA DE CONDUÇÃO NR. DOC: 170622 UBER
	-Diamond Tower
28/06/2022	DIVERSOS NF.: 19347 LEANDRO MIGNOT BERNARDI EIRELI
	-Diamond Tower</t>
      </text>
    </comment>
    <comment ref="I73" authorId="0" shapeId="0">
      <text>
        <t>======
ID#AAAAjPv8zDM
    (2022-11-04 19:34:32)
04/07/2022	MATERIAL DE MANUTENCAO NF.: 754 RUBENS FLAVIO ANDRADE VILLAR
	-Diamond Tower
06/07/2022	FGTS NR. DOC: 185137 FGTS JUN/2022 CAIXA ECONOMICA FEDERAL
	-Diamond Tower
07/07/2022	DIVERSOS NF.: 5434 ORION COMERCIO DE FILTROS E LUBRIFICANTE
	-Diamond Tower
07/07/2022	SERVIÇOS DE MOTOBOY NR. DOC: 1930283 ENTREGAS 06072022 FASTER MAIL ENTREGAS PERS
	-Diamond Tower
07/07/2022	SERVIÇOS DE MOTOBOY NR. DOC: 1931563 ENTREGAS 06072022 FASTER MAIL ENTREGAS PERS
	-Diamond Tower
07/07/2022	SERVIÇOS DE MOTOBOY NR. DOC: 1936086 ENTREGAS 06072022 FASTER MAIL ENTREGAS PERS
	-Diamond Tower
07/07/2022	SERVIÇOS DE MOTOBOY NR. DOC: 1936096 ENTREGAS 06072022 FASTER MAIL ENTREGAS PERS
	-Diamond Tower
07/07/2022	TRANSAÇÕES BANCARIAS TED_DOC NR. DOC: 371047077 07/2022 - NF: 5434
	-Diamond Tower
11/07/2022	MATERIAL ELETRICO NF.: 706 Parc.(4/4) RUBENS FLAVIO ANDRADE VILLAR
	-Diamond Tower
12/07/2022	DESPESA DE CONDUÇÃO NR. DOC: 11072022 REF A DESLOCAMENTO PROBLEMA NO GERADOR UBE
	-Diamond Tower
20/07/2022	DESPESA DE CONDUÇÃO NR. DOC: 14072022 MOISES IRINEU CABRAL PINTO
	-Diamond Tower
20/07/2022	TRANSAÇÕES BANCARIAS TED_DOC NR. DOC: 373102534 07/2022 - NF: 41652135
	-Diamond Tower
26/07/2022	ISSQN-RETIDO NR. DOC: 55 V:27/06/2022 RT INSTALACOES TECNICAS LTDA - ME
	-Diamond Tower
27/07/2022	INFORMÁTICA NF.: 0754 Parc.(1/2) RUBENS FLAVIO ANDRADE VILLAR
	-Diamond Tower
29/07/2022	MANUTENCAO BOMBAS E MOTORES NR. DOC: 10620 SERVICO DE MANUTENCAO DAS MOTOBOMBAS
	-Diamond Tower</t>
      </text>
    </comment>
    <comment ref="J73" authorId="0" shapeId="0">
      <text>
        <t>======
ID#AAAAjPv8zJ0
    (2022-11-04 19:34:33)
05/08/2022	TRANSAÇÕES BANCARIAS TED_DOC NR. DOC: 376405889 08/2022 - NF: 353439437
	-Diamond Tower
16/08/2022	CONTRIBUIÇÃO PATRONAL NR. DOC: 134818 SECOVI RS
	-Diamond Tower
24/08/2022	INFORMÁTICA NF.: 0754 Parc.(2/2) RUBENS FLAVIO ANDRADE VILLAR
	-Diamond Tower
26/08/2022	ALIMENTOS NR. DOC: 42885 AMERICANAS S.A.
	-Diamond Tower
26/08/2022	DIVERSOS NR. DOC: 31167 LEANDRO MIGNOT BERNARDI EIRELI
	-Diamond Tower
26/08/2022	DIVERSOS NR. DOC: 31277 LEANDRO MIGNOT BERNARDI EIRELI
	-Diamond Tower</t>
      </text>
    </comment>
    <comment ref="K73" authorId="0" shapeId="0">
      <text>
        <t>======
ID#AAAAjPv8zI0
    (2022-11-04 19:34:33)
06/09/2022	DESPESA DE CONDUÇÃO NR. DOC: 01092022 UBER
	-Diamond Tower
07/09/2022	DESPESA DE CONDUÇÃO NR. DOC: 07092022 DESLOCAMENTO CURSO BRIGADISTA MATHEUS KRIT
	-Diamond Tower
12/09/2022	SERVICOS VIGILANCIA NF.: 2022498 O.N.X SERVICOS EIRELI - ME
	-Diamond Tower
12/09/2022	TRANSAÇÕES BANCARIAS TED_DOC NR. DOC: 381342392 09/2022 - NF: 2022498
	-Diamond Tower
14/09/2022	PRESTAÇÃO DE SERVIÇOS NF.: 132 BRENDA TAMIRES VASCONCELLOS DOS SANTOS
	-Diamond Tower
14/09/2022	PRESTAÇÃO DE SERVIÇOS NF.: 20223 QUALITY SERVICOS DE SEGURANCA LTDA
	-Diamond Tower
14/09/2022	TRANSAÇÕES BANCARIAS TED_DOC NR. DOC: 381763388 09/2022 - NF: 0202211,132,20223
	-Diamond Tower
19/09/2022	INSS NR. DOC: 2022498 V:12/09/2022 O.N.X SERVICOS EIRELI - ME
	-Diamond Tower
21/09/2022	TRANSAÇÕES BANCARIAS TED_DOC NR. DOC: 382997888 09/2022 - NF: 202215
	-Diamond Tower
26/09/2022	DESPESA DE CONDUÇÃO NR. DOC: 13092022 UBER
	-Diamond Tower
26/09/2022	ISSQN-RETIDO NR. DOC: 2022498 V:12/09/2022 O.N.X SERVICOS EIRELI - ME
	-Diamond Tower
28/09/2022	TRANSAÇÕES BANCARIAS TED_DOC NR. DOC: 383944282 09/2022 - NF: 202216
	-Diamond Tower</t>
      </text>
    </comment>
    <comment ref="L73" authorId="0" shapeId="0">
      <text>
        <t>======
ID#AAAAoUNzdc0
Diamond Tower DTW    (2023-01-17 20:13:15)
04/10/2022 - NF 791 - RUBENS FLAVIO ANDRADE VILLAR - R$199,50 - PARCELA 2/2 - CÂMERA PARA SUSTITUIÇÃO DE CÂMERA AVARIADA
------
ID#AAAAngIgvz4
Diamond Tower DTW    (2023-01-19 13:57:13)
07/10/2022  - DESPESA DE CONDUÇÃO NR. DOC 04102022 UBER - R$53,16
------
ID#AAAAngIgv1k
Diamond Tower DTW    (2023-01-19 18:44:44)
19/10/2022 - PRESTACAO DE SERVICOS NF.: 202230 REFERENTE A DUAS PLACAS E QUATRO DISPLAY DE ACRILICO
------
ID#AAAAngIgv5U
Diamond Tower DTW    (2023-01-19 20:11:47)
05/10/2022 DEVOLUCAO SL 401-COBERTU RA DE RAJUSTE 7%-ACERT0:4/6-09/15 a 07/22
------
ID#AAAAngIgv5Y
Diamond Tower DTW    (2023-01-19 20:12:00)
05/10/2022 DEVOLUCAO SL 401-D EVOL. CEEE AREA COMUM-ACERT04/6-09/15 a 07/22
------
ID#AAAAngIgv5c
Diamond Tower DTW    (2023-01-19 20:12:16)
05/10/2022 DEVOLUCAO SL 401-D MAE AREA COMUM-ACERTO:4/6-09/15 a 07/22
------
ID#AAAAngIgv5g
Diamond Tower DTW    (2023-01-19 20:12:29)
05/10/2022 DEVOLUCAO SL 401-D MAE e CEEE/AREA COMUM-ACERTO:4/6-09/15 a 07/22
------
ID#AAAAngIgv54
Diamond Tower DTW    (2023-01-19 20:22:06)
13/10/2022 DEVOLUCAO SL 1305-COBERTURA DE RAJUSTE 7%-ACERT0:1/10-10/17 a 05/22
------
ID#AAAAngIgv58
Diamond Tower DTW    (2023-01-19 20:22:29)
13/10/2022 DEVOLUCAO SL 1306-C OBERTURA DE RAJUSTE 7%-ACERT0:1/10-10/17 a 05/22 -
------
ID#AAAAngIgv6E
Diamond Tower DTW    (2023-01-19 20:23:33)
14/10/2022 DEVOLUCAO SL 1304-COBERTU RA DE RAJUSTE 7%-ACERT0:3/6-03/17 a 07/22</t>
      </text>
    </comment>
    <comment ref="M73" authorId="0" shapeId="0">
      <text>
        <t>======
ID#AAAAp4AbmEw
Diamond Tower DTW    (2023-02-09 18:46:08)
16/11/2022	PG.COMPRA MATERIAL NOTEBOOK MAGALU PAGAMENTOS LTDA	-2.375,01
------
ID#AAAAp4AbmE0
Diamond Tower DTW    (2023-02-09 18:51:37)
16/11/2022	PG.RESSARCIMENTO DOCUMENTOS CARTORIO + ESTADIA ESTACIONAMENTO MATHEUS KRITLI CAPPELLETTO	-264,57
------
ID#AAAAp4AbmE4
Diamond Tower DTW    (2023-02-09 18:54:07)
16/11/2022	TARIFA PIX MATHEUS KRITLI CAPPELLETTO:	-2,49
------
ID#AAAAp5IyADE
Diamond Tower DTW    (2023-02-10 14:31:49)
24/11/2022	PAG.REF. NF.: 824 SUBSTITUICAO HD NOTEBOOK RECEPÇAO RUBENS FLAVIO ANDRADE VILLAR	-240
------
ID#AAAAp5IyADI
Diamond Tower DTW    (2023-02-10 14:32:04)
24/11/2022	PG.RESSARCIMENTO AQUISICAO ENGATES/CORRIDA UBER MATHEUS KRITLI CAPPELLETTO	-54,31
------
ID#AAAAp5IyADM
Diamond Tower DTW    (2023-02-10 14:32:24)
24/11/2022	TARIFA PIX MATHEUS KRITLI CAPPELLETTO:	-2,49
------
ID#AAAAp5IyADc
Diamond Tower DTW    (2023-02-10 14:37:39)
25/11/2022	PG.RESSARCIMENTO motoboy MATHEUS KRITLI CAPPELLETTO	-32,63</t>
      </text>
    </comment>
    <comment ref="N73" authorId="0" shapeId="0">
      <text>
        <t>======
ID#AAAAsmjn4So
Diamond Tower DTW    (2023-03-08 14:58:20)
08/12/2022PG.RESSARCIMENTO MENSALIDADE GOOGLE MATHEUS KRITLI CAPPELLETTO 72,90
------
ID#AAAAsmjn4Ss
Diamond Tower DTW    (2023-03-08 14:58:40)
08/12/2022TARIFA PIX MATHEUS KRITLI CAPPELLETTO 2,49
------
ID#AAAAsmUIs3k
Diamond Tower DTW    (2023-03-08 20:13:35)
23/12/2022 PG.SECOVIMED NR. DOC: 163700688 11/2022 - SERVICO SOCIAL DA
HABITACAO DO RIO GRA 160,05</t>
      </text>
    </comment>
    <comment ref="O73" authorId="0" shapeId="0">
      <text>
        <t>======
ID#AAAArmAfIA0
Diamond Tower DTW    (2023-03-08 23:27:34)
06/01/2023PG.RESSARCIMENTO MATHEUS KRITLI CAPPELLETTO145,80 1</t>
      </text>
    </comment>
    <comment ref="P73" authorId="0" shapeId="0">
      <text>
        <t>======
ID#AAAArmAfIIk
Diamond Tower DTW    (2023-03-09 00:41:56)
15/02/2023	PG.MANUT.GERAL NF.: 202322 MENSALIDADE DO PORTAL COMMBOX - REFERÉNTE A 20 ACE RUBENS FLAVIO ANDRADE VILLAR	- 388,84</t>
      </text>
    </comment>
    <comment ref="Q73" authorId="0" shapeId="0">
      <text>
        <t>======
ID#AAAArmAfILQ
Diamond Tower DTW    (2023-03-09 01:05:23)
03/03/2023	PG.RESSARCIMENTO DESPESA PACOTE GSUITE GOOGLE REF. JAN/23 MATHEUS KRITLI CAPPELLETTO	- 72,90</t>
      </text>
    </comment>
    <comment ref="C74" authorId="0" shapeId="0">
      <text>
        <t>======
ID#AAAAjPv8zR8
    (2022-11-04 19:34:33)
03/01/2022 PORTARIA CARTAO ACESSO NF.: 7908 AQUISICAO DE 200 (DUZENTOS) UNIDADES DE CARTAO
	-Diamond Tower
17/01/2022 LEI 10833-RETENÇAO NR. DOC: 12/2021 V:31/12/2021 AUXILIADORA PREDIAL
	-Diamond Tower
28/01/2022 ISSQN-RETIDO NR. DOC: 12/2021 V:31/12/2021 AUXILIADORA PREDIAL
	-Diamond Tower</t>
      </text>
    </comment>
    <comment ref="D74" authorId="0" shapeId="0">
      <text>
        <t>======
ID#AAAAjPv8zL0
    (2022-11-04 19:34:33)
17/02/2022	LEI 10833-RETENÇAO NR. DOC: 01/2022 V:31/01/2022 AUXILIADORA PREDIAL
	-Diamond Tower
25/02/2022	ISSQN-RETIDO NR. DOC: 01/2022 V:31/01/2022 AUXILIADORA PREDIAL
	-Diamond Tower</t>
      </text>
    </comment>
    <comment ref="E74" authorId="0" shapeId="0">
      <text>
        <t>======
ID#AAAAjPv8zJk
    (2022-11-04 19:34:33)
25/03/2022	ISSQN-RETIDO NR. DOC: 02/2022 V:28/02/2022 AUXILIADORA PREDIAL
	-Diamond Tower
16/03/2022	LEI 10833-RETENÇAO NR. DOC: 02/2022 V:28/02/2022 AUXILIADORA PREDIAL
	-Diamond Tower</t>
      </text>
    </comment>
    <comment ref="F74" authorId="0" shapeId="0">
      <text>
        <t>======
ID#AAAAjPv8zN4
    (2022-11-04 19:34:33)
20/04/2022	LEI 10833-RETENÇAO NR. DOC: 03/2022 V:31/03/2022 AUXILIADORA PREDIAL
	-Diamond Tower
25/04/2022 ISSQN-RETIDO NR. DOC: 03/2022 V:31/03/2022 AUXILIADORA PREDIAL
	-Diamond Tower</t>
      </text>
    </comment>
    <comment ref="G74" authorId="0" shapeId="0">
      <text>
        <t>======
ID#AAAAjPv8zO4
    (2022-11-04 19:34:33)
04/05/2022	PORTARIA CARTAO ACESSO NF.: 8115 AQUISIÇÃO DE 100 (CEM) CARTÕES DE ACESSO MIFARE
	-Diamond Tower
11/05/2022	PORTARIA CARTAO ACESSO NF.: 8146 100 (CEM) CARTOES DE ACESSO. LIZA MANTOVANELLI
	-Diamond Tower
17/05/2022 LEI 10833-RETENÇAO NR. DOC: 04/2022 V:30/04/2022 AUXILIADORA PREDIAL
	-Diamond Tower
25/05/2022 ISSQN-RETIDO NR. DOC: 04/2022 V:30/04/2022 AUXILIADORA PREDIAL
	-Diamond Tower</t>
      </text>
    </comment>
    <comment ref="H74" authorId="0" shapeId="0">
      <text>
        <t>======
ID#AAAAjPv8zEc
    (2022-11-04 19:34:33)
15/06/2022	LEI 10833-RETENÇAO NR. DOC: 05/2022 V:31/05/2022 AUXILIADORA PREDIAL
	-Diamond Tower
22/06/2022	EQUIPAMENTOS E UTENSILIOS NF.: 41122651 MARA CLECI CASTILHOS DA SILVA
	-Diamond Tower
24/06/2022	ISSQN-RETIDO NR. DOC: 05/2022 V:31/05/2022 AUXILIADORA PREDIAL
	-Diamond Tower</t>
      </text>
    </comment>
    <comment ref="I74" authorId="0" shapeId="0">
      <text>
        <t>======
ID#AAAAjPv8zKM
    (2022-11-04 19:34:33)
08/07/2022	PORTARIA CARTAO ACESSO NF.: 8386 LIZA MANTOVANELLI BIZERRIL
	-Diamond Tower
15/07/2022	LEI 10833-RETENÇAO NR. DOC: 06/2022 V:30/06/2022 AUXILIADORA PREDIAL
	-Diamond Tower
20/07/2022	SEGURO FOGO OBRIGATORIO COND NR. DOC: 5177202265160036789 Parc.(1/6) ALLIANZ SE
	-Diamond Tower
25/07/2022	DEVOLUCAO SL 401-COBERTURA DE RAJUSTE 7%-ACERTO:1/6-09/15 a 07/22 -
	-Diamond Tower
25/07/2022	DEVOLUCAO SL 401-DEVOL. CEEE ÁREA COMUM-ACERTO:1/6-09/15 a 07/22 -
	-Diamond Tower
25/07/2022	DEVOLUCAO SL 401-DMAE ÁREA COMUM-ACERTO:1/6-09/15 a 07/22 -
	-Diamond Tower
25/07/2022	DEVOLUCAO SL 401-DMAE e CEEE/ÁREA COMUM-ACERTO:1/6-09/15 a 07/22 -
	-Diamond Tower</t>
      </text>
    </comment>
    <comment ref="J74" authorId="0" shapeId="0">
      <text>
        <t>======
ID#AAAAjPv8zEE
    (2022-11-04 19:34:33)
05/08/2022	DEVOLUCAO SL 401-COBERTURA DE RAJUSTE 7%-ACERTO:2/6-09/15 a 07/22 -
	-Diamond Tower
05/08/2022	DEVOLUCAO SL 401-DEVOL. CEEE ÁREA COMUM-ACERTO:2/6-09/15 a 07/22 -
	-Diamond Tower
05/08/2022	DEVOLUCAO SL 401-DMAE ÁREA COMUM-ACERTO:2/6-09/15 a 07/22 -
	-Diamond Tower
05/08/2022	DEVOLUCAO SL 401-DMAE e CEEE/ÁREA COMUM-ACERTO:2/6-09/15 a 07/22 -
	-Diamond Tower
10/08/2022	DEVOLUCAO SL 1304-COBERTURA DE RAJUSTE 7%-ACERTO:1/6-03/17 a 07/22
	-Diamond Tower
15/08/2022	PORTARIA CARTAO ACESSO NF.: 8398 LIZA MANTOVANELLI BIZERRIL
	-Diamond Tower
17/08/2022	DEVOLUCAO SL 1405-COBERTURA DE RAJUSTE 7%-ACERTO:1/1-05/2018 + hon 3 -
	-Diamond Tower
17/08/2022	LEI 10833-RETENÇAO NR. DOC: 07/2022 V:31/07/2022 AUXILIADORA PREDIAL
	-Diamond Tower</t>
      </text>
    </comment>
    <comment ref="K74" authorId="0" shapeId="0">
      <text>
        <t>======
ID#AAAAjPv8zWA
    (2022-11-04 19:34:33)
05/09/2022	DEVOLUCAO SL 401-COBERTURA DE RAJUSTE 7%-ACERTO:3/6-09/15 a 07/22 -
	-Diamond Tower
05/09/2022	DEVOLUCAO SL 401-DEVOL. CEEE ÁREA COMUM-ACERTO:3/6-09/15 a 07/22 -
	-Diamond Tower
05/09/2022	DEVOLUCAO SL 401-DMAE ÁREA COMUM-ACERTO:3/6-09/15 a 07/22 -
	-Diamond Tower
05/09/2022	DEVOLUCAO SL 401-DMAE e CEEE/ÁREA COMUM-ACERTO:3/6-09/15 a 07/22 -
	-Diamond Tower
08/09/2022	HONORARIOS ADVOGADO NF.: 202271 REF SALA 409 BELLINI FIGUEIRO SOCIEDADE INDIVIDU
	-Diamond Tower
08/09/2022	HONORARIOS ADVOGADO NF.: 202272 REF SALA 402 BELLINI FIGUEIRO SOCIEDADE INDIVIDU
	-Diamond Tower
08/09/2022	HONORARIOS ADVOGADO NF.: 202273 REF CASO DA SALA 1707 BELLINI FIGUEIRO SOCIEDADE
	-Diamond Tower
08/09/2022	HONORARIOS ADVOGADO NF.: 202274 REF SALA 1905 BELLINI FIGUEIRO SOCIEDADE INDIVID
	-Diamond Tower
09/09/2022	DEVOLUCAO SL 1304-COBERTURA DE RAJUSTE 7%-ACERTO:2/6-03/17 a 07/22 -
	-Diamond Tower
14/09/2022	HONORÁRIOS ACORDO NF.: 0202211 3 PARCELA MARION CASTILHOS SILVA SOCIEDADE INDIVI
	-Diamond Tower
16/09/2022	LEI 10833-RETENÇAO NR. DOC: 08/2022 V:31/08/2022 AUXILIADORA PREDIAL
	-Diamond Tower
19/09/2022	HONORARIOS ADVOGADO NF.: 202276 BELLINI FIGUEIRO SOCIEDADE INDIVIDUAL DE
	-Diamond Tower
19/09/2022	HONORARIOS ADVOGADO NF.: 202277 BELLINI FIGUEIRO SOCIEDADE INDIVIDUAL DE
	-Diamond Tower
19/09/2022	HONORARIOS ADVOGADO NF.: 202278 BELLINI FIGUEIRO SOCIEDADE INDIVIDUAL DE
	-Diamond Tower
21/09/2022	HONORARIOS ADVOGADO NF.: 202215 MARION CASTILHOS SILVA SOCIEDADE INDIVID
	-Diamond Tower
21/09/2022	SEGURO FOGO OBRIGATORIO COND NR. DOC: 5177202265160036789 Parc.(3/6) ALLIANZ SE
	-Diamond Tower
26/09/2022	ISSQN-RETIDO NR. DOC: 202211 V:10/08/2022 MARION CASTILHOS SILVA SOCIEDADE INDIV
	-Diamond Tower
26/09/2022	ISSQN-RETIDO NR. DOC: 202213 V:25/08/2022 MARION CASTILHOS SILVA SOCIEDADE INDIV
	-Diamond Tower
26/09/2022	ISSQN-RETIDO NR. DOC: 202214 V:25/08/2022 MARION CASTILHOS SILVA SOCIEDADE INDIV
	-Diamond Tower
26/09/2022	ISSQN-RETIDO NR. DOC: 202261 V:29/08/2022 BELLINI FIGUEIRO SOCIEDADE INDIVIDUAL
	-Diamond Tower
26/09/2022	ISSQN-RETIDO NR. DOC: 202262 V:29/08/2022 BELLINI FIGUEIRO SOCIEDADE INDIVIDUAL
	-Diamond Tower
26/09/2022	ISSQN-RETIDO NR. DOC: 202263 V:29/08/2022 BELLINI FIGUEIRO SOCIEDADE INDIVIDUAL
	-Diamond Tower
26/09/2022	ISSQN-RETIDO NR. DOC: 202264 V:29/08/2022 BELLINI FIGUEIRO SOCIEDADE INDIVIDUAL
	-Diamond Tower
26/09/2022	ISSQN-RETIDO NR. DOC: 202265 V:29/08/2022 BELLINI FIGUEIRO SOCIEDADE INDIVIDUAL
	-Diamond Tower
26/09/2022	ISSQN-RETIDO NR. DOC: 202266 V:29/08/2022 BELLINI FIGUEIRO SOCIEDADE INDIVIDUAL
	-Diamond Tower
26/09/2022	ISSQN-RETIDO NR. DOC: 202267 V:29/08/2022 BELLINI FIGUEIRO SOCIEDADE INDIVIDUAL
	-Diamond Tower
26/09/2022	ISSQN-RETIDO NR. DOC: 202268 V:29/08/2022 BELLINI FIGUEIRO SOCIEDADE INDIVIDUAL
	-Diamond Tower
26/09/2022	ISSQN-RETIDO NR. DOC: 202269 V:29/08/2022 BELLINI FIGUEIRO SOCIEDADE INDIVIDUAL
	-Diamond Tower
28/09/2022	HONORARIOS ADVOGADO NF.: 202216 HONORARIOS ACORDO 1704 MARION CASTILHOS SILVA SO
	-Diamond Tower</t>
      </text>
    </comment>
    <comment ref="L74" authorId="0" shapeId="0">
      <text>
        <t>======
ID#AAAAngIgvz8
Diamond Tower DTW    (2023-01-19 13:58:09)
07/10/2022 - HONORÁRIOS DE ADVOGADO NF 202218 - MARION CASTILHOS SILVA SOCIEDADE INDIVIDUAL - R$910,80
------
ID#AAAAngIgv0I
Diamond Tower DTW    (2023-01-19 14:04:20)
10/10/2022 - NF 17230 CÓPIA DE CHAVES - PRODUTOS MB - R$20,00
------
ID#AAAAngIgv0c
Diamond Tower DTW    (2023-01-19 14:54:11)
13/10/2022 - HONORÁRIOS ADVOGADO - NF 202211 MARION CASTILHOS - R$3.749,06
------
ID#AAAAngIgv04
Diamond Tower DTW    (2023-01-19 16:37:17)
14/10/2022 - NF202219 HONORÁRIOS ADVOCATÍCIOS DRA MARION CASTILHO - R$969,26
------
ID#AAAAngIgv1Y
Diamond Tower DTW    (2023-01-19 18:40:23)
18/10/2022 - MATERIAL DE MANUTENCAO NF.: 17910 AQUISICAO DE PLACA DE ADVERTENCIA PARA A ENTRADA DO ESTACIONAMENTO
------
ID#AAAAngIgv1s
Diamond Tower DTW    (2023-01-19 18:47:21)
20/10/2022 - HONORARIOS ADVOGADO NF.: 202281 BELLI NI FIGUEIRO SOCIEDADE INDIVIDUAL DE ADVOCACIA
------
ID#AAAAngIgv1w
Diamond Tower DTW    (2023-01-19 18:47:52)
20/10/2022 - HONORARIOS ADVOGADO NF.: 202262 HONORARIOS ADVOCATICIOS REFERENTES AO CASO DA SALA 310
------
ID#AAAAngIgv10
Diamond Tower DTW    (2023-01-19 18:48:13)
20/10/2022 - HONORARIOS ADVOGADO NF.: 202283 HONORARIOS ADVOCATICIOS REFERENTE AO CASO DA SALA 1804
------
ID#AAAAngIgv14
Diamond Tower DTW    (2023-01-19 18:48:47)
20/10/2022 - HONORARIOS ADVOGADO NF.: 202284 HONORARIOS ADVOCATICIOS
------
ID#AAAAngIgv18
Diamond Tower DTW    (2023-01-19 18:49:18)
20/10/2022 - HONORARIOS ADVOGADO NE,: 202286 HONORARIOS ADVOCATICIOS REFERENTES AO CASO DA SALA 413
------
ID#AAAAngIgv2U
Diamond Tower DTW    (2023-01-19 19:06:51)
20/10/2022 - SEGURO FOGO OBRIGATORIO COND NR. DOC: 5177202265160036789 Parc.{4/6) ALLIANZ SEGUROS SA
------
ID#AAAAngIgv24
Diamond Tower DTW    (2023-01-19 19:26:49)
25/10/2022 - MATERIAL DE PINTURA NF.: 47852 T1NTA PARA PAREDE DA RAMPA DO ESTACIONAMENTO
------
ID#AAAAngIgv3E
Diamond Tower DTW    (2023-01-19 19:30:31)
26/10/2022 - ISSQN-RETIDO NR. DOC: 202215 V:19/09/2022 MARION CASTILHOS SILVA SOCIEDADE INDIVID
------
ID#AAAAngIgv3I
Diamond Tower DTW    (2023-01-19 19:30:49)
26/10/2022 - ISSON-RETIDO NR. DOC: 202216 V:28/09/2022 MARION CASTILHOS SILVA SOCIEDADE IN DIVID
------
ID#AAAAngIgv3g
Diamond Tower DTW    (2023-01-19 19:37:19)
26/10/2022 - ISSQN-RETIDO NR. DOC: 20223 V:14/09/2022 QUALITY SERVICOS DE SEGURANCA LTDA
------
ID#AAAAngIgv3s
Diamond Tower DTW    (2023-01-19 19:39:10)
26/10/2022 ISSQN-RETIDO NR. DOC: 202271 V:08/09/2022 BELLINI FIGUEIRO SOCIEDADE INDIVIDUAL DE
------
ID#AAAAngIgv3w
Diamond Tower DTW    (2023-01-19 19:39:21)
26/10/2022 ISSQN-RETIDO NR DOC: 202272 V:08/09/2022 BELLINI FIGUEIRO SOCIEDADE INDIVIDUAL DE
------
ID#AAAAngIgv30
Diamond Tower DTW    (2023-01-19 19:39:35)
26/10/2022 ISSQN-RETIDO NR DOC: 202273 V:08/09/2022 BELLINI FIGUEIRO SOCIEDADE INDIVIDUAL DE
------
ID#AAAAngIgv34
Diamond Tower DTW    (2023-01-19 19:40:01)
26/10/2022 ISSQN-RETIDO NR. DOC: 202274 V.08/09/2022 BELLINI FIGUEIRO SOCIEDADE INDIVIDUAL DE
------
ID#AAAAngIgv38
Diamond Tower DTW    (2023-01-19 19:40:13)
26/10/2022 ISSON-RETIDO NR. DOC: 202276 V:19/09/2022 BELLINI FIGUEIRO SOCIEDADE INDIVIDUAL DE
------
ID#AAAAngIgv4A
Diamond Tower DTW    (2023-01-19 19:40:26)
26/10/2022 ISSQN-RETIDO NR. DOC: 202277 V:19/09/2022 BELLINI FIGUEIRO SOCIEDADE INDIVIDUAL DE
------
ID#AAAAngIgv4E
Diamond Tower DTW    (2023-01-19 19:40:42)
26/10/2022 ISSQN-RETIDO NR. DOC: 202278 V:19/09/2022 BELLINI FIGUEIRO SOCIEDADE INDIVIDUAL DE
------
ID#AAAAngIgv4Q
Diamond Tower DTW    (2023-01-19 19:43:18)
26/10/2022 MATERIAL DE PINTURA NF.: 9275 COMERCIAL DE TINTAS CUNHA LTDA
------
ID#AAAAngIgv4c
Diamond Tower DTW    (2023-01-19 19:45:34)
31/10/2022 - CHAVES NF.: 2022294 CONFECCAO DE 05 (CINCO) COPIAS DA CHAVE DO BICICLETARIO. BIGKEY
------
ID#AAAAngIgv4g
Diamond Tower DTW    (2023-01-19 19:46:37)
31/10/2022 CONSERVACAO GERADOR NF.: 1010 SUBS CONTRACTORA DO QUADRO DA ESCADA PRESSURIZADA
------
ID#AAAAngIgv5E
Diamond Tower DTW    (2023-01-19 19:51:59)
31/10/2022 SERVICOS DE SERRALHERIA NF.: 20221896 IMATEL INSTAL MANUTENCAO ELETRICA LTDA
------
ID#AAAAngIgv5I
Diamond Tower DTW    (2023-01-19 19:52:06)
31/10/2022 SERVICOS DE SERRALHERIA NF.: 20221897 IMATEL INSTAL MANUTENCAO ELETRICA LTDA
------
ID#AAAAngIgv6I
Diamond Tower DTW    (2023-01-19 20:26:12)
14/10/2022 TRANEADOES BANCARIAS TED_DOC N R. DOC: 385791410 10/2022 - NF: 202219
------
ID#AAAAngIgv6Q
Diamond Tower DTW    (2023-01-19 20:27:52)
20/10/2022 TRANSACOES BANCARIAS TED_DOC NR. DOC: 386753028 10/2022 - NF: 202281,202282,202283,20228
------
ID#AAAAngIgv6Y
Diamond Tower DTW    (2023-01-19 20:30:32)
31/10/2022 TRANSACOES BANCARIAS TED_DOC NR. DOC: 388039554 10/2022 - NF: 20221896,20221897,2022294</t>
      </text>
    </comment>
    <comment ref="M74" authorId="0" shapeId="0">
      <text>
        <t>======
ID#AAAAol5Flsw
Diamond Tower DTW    (2023-02-03 17:27:30)
32 18/11/2022 INSS NR. DOC: 20221896 V:31/10/2022 IMATEL INSTAL MANUTENCAO ELETRICA LTDA 110,00
------
ID#AAAAol5Fls0
Diamond Tower DTW    (2023-02-03 17:27:46)
18/11/2022 INSS NR. DOC: 20221897 V:31/10/2022 IMATEL INSTAL MANUTENCAO ELETRICA LTDA 42,90
------
ID#AAAAol5Fltc
Diamond Tower DTW    (2023-02-03 17:37:46)
25/11/2022 ISSQN-RETIDO NR. DOC: 20221896 V:31/10/2022 IMATEL INSTAL MANUTENCAO ELETRICA LT 50,00
------
ID#AAAAol5Fltg
Diamond Tower DTW    (2023-02-03 17:38:04)
25/11/2022 ISSQN-RETIDO NR. DOC: 20221897 V:31/10/2022 IMATEL INSTAL MANUTENCAO ELETRICA LT 19,50
------
ID#AAAAol5Flto
Diamond Tower DTW    (2023-02-03 18:18:27)
25/11/2022 ISSQN-RETIDO NR. DOC: 202218 V:07/10/2022 MARION CASTILHOS SILVA SOCIEDADE INDIV 18,59
------
ID#AAAAol5Flts
Diamond Tower DTW    (2023-02-03 18:19:07)
25/11/2022 ISSQN-RETIDO NR. DOC: 202219 V:14/10/2022 MARION CASTILHOS SILVA SOCIEDADE INDIV 19,78
------
ID#AAAAol5Fltw
Diamond Tower DTW    (2023-02-03 18:19:53)
25/11/2022 ISSQN-RETIDO NR. DOC: 202220 V:17/10/2022 MARION CASTILHOS SILVA SOCIEDADE INDIV 24,37
------
ID#AAAAol5Flt0
Diamond Tower DTW    (2023-02-03 18:20:11)
25/11/2022 ISSQN-RETIDO NR. DOC: 202221 V:18/10/2022 MARION CASTILHOS SILVA SOCIEDADE INDIV 26,99
------
ID#AAAAol5FluY
Diamond Tower DTW    (2023-02-03 18:54:17)
25/11/2022 ISSQN-RETIDO NR. DOC: 202282 V:20/10/2022 BELLINI FIGUEIRO SOCIEDADE INDIVIDUAL 7,02
------
ID#AAAAol5Fluc
Diamond Tower DTW    (2023-02-03 18:54:29)
25/11/2022 ISSQN-RETIDO NR. DOC: 202283 V:20/10/2022 BELLINI FIGUEIRO SOCIEDADE INDIVIDUAL 2,56
------
ID#AAAAol5Fluk
Diamond Tower DTW    (2023-02-03 19:17:00)
25/11/2022 ISSQN-RETIDO NR. DOC: 202284 V:20/10/2022 BELLINI FIGUEIRO SOCIEDADE INDIVIDUAL 4,72
------
ID#AAAAol5Fluo
Diamond Tower DTW    (2023-02-03 19:17:27)
25/11/2022 ISSQN-RETIDO NR. DOC: 202286 V:20/10/2022 BELLINI FIGUEIRO SOCIEDADE INDIVIDUAL 4,76
------
ID#AAAAp3ck2Bg
Diamond Tower DTW    (2023-02-09 18:35:27)
10/11/2022	PG.HONORARIOS ADVOCATICIOS NF.: 202211 ACORDO UNIDADE 401 - PARCELA 5 MARION CASTILHOS SILVA SOCIEDADE IND.AD	-3.749,06
------
ID#AAAAp3ck2Bk
Diamond Tower DTW    (2023-02-09 18:36:50)
10/11/2022	PG.HONORARIOS ADVOCATICIOS NF.: 202221 PARCELA 3/6 MARION CASTILHOS SILVA SOCIEDADE IND.AD	-1.322,34
------
ID#AAAAp4AbmFE
Diamond Tower DTW    (2023-02-09 19:26:51)
23/11/2022	PG.HONORARIOS ADVOCATICIOS NF.: 202220 REF. A COBRANÇA DE COTAS CONDOMINIAIS MARION CASTILHOS SILVA SOCIEDADE IND.AD	-1.193,98
------
ID#AAAAp5IyADg
Diamond Tower DTW    (2023-02-10 14:37:56)
28/11/2022	PAG.REF. NF.: 20222148 conserto portão IMATEL INST MANUT ELETRICA E DE TELECOMUNICACOES LTDA	-487,2
------
ID#AAAAp5IyADw
Diamond Tower DTW    (2023-02-10 14:40:50)
28/11/2022	TARIFA PIX NR. DOC: 20222148 IMATEL INST MANUT ELETRICA E DE TELECOMUNICACOES L	-2,49
------
ID#AAAAp5IyAEI
Diamond Tower DTW    (2023-02-10 14:43:26)
30/11/2022	PG.RETENCAO ISSQN NR. DOC: 202200000000018 MARION CASTILHOS SILVA SOCIEDADE IND.AD	-18,59
------
ID#AAAAp5IyAEM
Diamond Tower DTW    (2023-02-10 14:43:39)
30/11/2022	PG.RETENCAO ISSQN NR. DOC: 202200000000019 MARION CASTILHOS SILVA SOCIEDADE IND.AD	-19,78
------
ID#AAAAp5IyAEQ
Diamond Tower DTW    (2023-02-10 14:43:56)
30/11/2022	PG.RETENCAO ISSQN NR. DOC: 202200000000020 MARION CASTILHOS SILVA SOCIEDADE IND.AD	-24,37
------
ID#AAAAp5IyAEY
Diamond Tower DTW    (2023-02-10 14:44:42)
30/11/2022	PG.RETENCAO ISSQN NR. DOC: 202200000000081 NOTAS FISCAIS BELLINI FIGUEIRO SOCIEDADE INDIVID. PREFEITURA DE PORTO ALEGRE	-22,46
------
ID#AAAAp5IyAEo
Diamond Tower DTW    (2023-02-10 14:46:26)
30/11/2022	PG.RETENCAO ISSQN NR. DOC: 202200000001896 IMATEL INST MANUT ELETRICA E DE TELECOMUNICACOES LTDA	-50
------
ID#AAAAp5IyAEs
Diamond Tower DTW    (2023-02-10 14:46:27)
30/11/2022	PG.RETENCAO ISSQN NR. DOC: 202200000001897 IMATEL INST MANUT ELETRICA E DE TELECOMUNICACOES LTDA	-19,5
------
ID#AAAAp5IyAE8
Diamond Tower DTW    (2023-02-10 14:47:47)
30/11/2022	PG.RETENCAO ISSQN NR. DOC: 202221 V:10/11/2022 MARION CASTILHOS SILVA SOCIEDADE IND.AD	-26,99</t>
      </text>
    </comment>
    <comment ref="N74" authorId="0" shapeId="0">
      <text>
        <t>======
ID#AAAAsmUIszI
Diamond Tower DTW    (2023-03-08 19:26:00)
12/12/2022 PG.RETENCAO ISSQN NR. DOC: 202220 V:23/11/2022 MARION CASTILHOS
SILVA SOCIEDADE 24,37
------
ID#AAAAsmUIszM
Diamond Tower DTW    (2023-03-08 19:26:12)
12/12/2022 PG.RETENCAO ISSQN NR. DOC: 20222148 V:28/11/2022 IMATEL INST MANUT
ELETRICA E DE 29,00
------
ID#AAAAsmUIs0Y
Diamond Tower DTW    (2023-03-08 19:46:01)
16/12/2022 PG.HONORARIOS ADVOCATICIOS NF.: 202225 MARION CASTILHOS SILVA
SOCIEDADE IND.AD 1.322,34
------
ID#AAAAsmUIs0c
Diamond Tower DTW    (2023-03-08 19:46:16)
16/12/2022 PG.HONORARIOS ADVOCATICIOS NF.: 202226 MARION CASTILHOS SILVA
SOCIEDADE IND.AD 969,26
------
ID#AAAAsmUIs0k
Diamond Tower DTW    (2023-03-08 19:47:00)
16/12/2022 PG.MANUT.GERAL NF.: 2022348 COPIAS DE CHAVES P/ BICICLETARIO, DG E
BIGKEY COMERC 70,00
------
ID#AAAAsmUIs0w
Diamond Tower DTW    (2023-03-08 19:48:17)
16/12/2022 TARIFA PIX NR. DOC: 202225 MARION CASTILHOS SILVA SOCIEDADE IND.AD 2,49
------
ID#AAAAsmUIs00
Diamond Tower DTW    (2023-03-08 19:48:26)
16/12/2022 TARIFA PIX NR. DOC: 202226 MARION CASTILHOS SILVA SOCIEDADE IND.AD 2,49
------
ID#AAAAsmUIs04
Diamond Tower DTW    (2023-03-08 19:48:50)
16/12/2022 TARIFA PIX NR. DOC: 2022348 BIGKEY COMERCIAL DE CHAVES LTDA 2,49
------
ID#AAAAsmUIs3Q
Diamond Tower DTW    (2023-03-08 20:11:51)
23/12/2022 PG.HONORARIOS ADVOCATICIOS NF.: 202222 MARION CASTILHOS SILVA
SOCIEDADE IND.AD 1.193,98
------
ID#AAAAsmUIs3U
Diamond Tower DTW    (2023-03-08 20:11:56)
23/12/2022 PG.HONORARIOS ADVOCATICIOS NF.: 202223 MARION CASTILHOS SILVA
SOCIEDADE IND.AD 1.926,22
------
ID#AAAAsmUIs3Y
Diamond Tower DTW    (2023-03-08 20:12:17)
23/12/2022 PG.HONORARIOS ADVOCATICIOS NF.: 202224 MARION CASTILHOS SILVA
SOCIEDADE IND.AD 1.926,10
------
ID#AAAAsmUIs3o
Diamond Tower DTW    (2023-03-08 20:13:49)
23/12/2022 TARIFA PIX NR. DOC: 202222 MARION CASTILHOS SILVA SOCIEDADE IND.AD 2,49
------
ID#AAAAsmUIs3s
Diamond Tower DTW    (2023-03-08 20:13:55)
23/12/2022 TARIFA PIX NR. DOC: 202223 MARION CASTILHOS SILVA SOCIEDADE IND.AD 2,49
------
ID#AAAAsmUIs3w
Diamond Tower DTW    (2023-03-08 20:14:08)
23/12/2022 TARIFA PIX NR. DOC: 202224 MARION CASTILHOS SILVA SOCIEDADE IND.AD 2,49</t>
      </text>
    </comment>
    <comment ref="O74" authorId="0" shapeId="0">
      <text>
        <t>======
ID#AAAArmAfIAA
Diamond Tower DTW    (2023-03-08 23:03:10)
03/01/2023PG.HONORARIOS ADVOCATICIOS NF.: 0202211 PARCELA 06 MARION CASTILHOS SILVA SOCIED3.749,06
------
ID#AAAArmAfIAE
Diamond Tower DTW    (2023-03-08 23:03:37)
03/01/2023PG.HONORARIOS ADVOCATICIOS NF.: 202229 MARION CASTILHOS SILVA SOCIEDADE IND.AD1.926,10
------
ID#AAAArmAfIBg
Diamond Tower DTW    (2023-03-08 23:31:01)
11/01/2023PG.RETENCAO ISSQN NR. DOC: 202229 V:03/01/2023 MARION CASTILHOS SILVA SOCIEDADE39,31
------
ID#AAAArmAfIBo
Diamond Tower DTW    (2023-03-08 23:31:44)
11/01/2023PG.RETENCAO ISSQN NR. DOC: 202230 MARION CASTILHOS SILVA SOCIEDADE IND.AD39,31
------
ID#AAAArmAfICE
Diamond Tower DTW    (2023-03-08 23:38:27)
11/01/2023PG.RETENCAO ISSQN NR. DOC: 202291 V:10/12/2022 BELLINI FIGUEIRO SOCIEDADE INDIVI39,19
------
ID#AAAArmAfICI
Diamond Tower DTW    (2023-03-08 23:38:38)
11/01/2023PG.RETENCAO ISSQN NR. DOC: 202292 V:20/12/2022 BELLINI FIGUEIRO SOCIEDADE INDIVI100,50
------
ID#AAAArmAfICM
Diamond Tower DTW    (2023-03-08 23:38:45)
11/01/2023PG.RETENCAO ISSQN NR. DOC: 202293 V:05/01/2023 BELLINI FIGUEIRO SOCIEDADE INDIVI39,19
------
ID#AAAArmAfICY
Diamond Tower DTW    (2023-03-08 23:40:04)
12/01/2023PG.HONORARIOS ADVOCATICIOS NF.: 202227 MARION CASTILHOS SILVA SOCIEDADE IND.AD969,26
------
ID#AAAArmAfICc
Diamond Tower DTW    (2023-03-08 23:40:25)
12/01/2023PG.HONORARIOS ADVOCATICIOS NF.: 202231 MARION CASTILHOS SILVA SOCIEDADE IND.AD1.193,98
------
ID#AAAArmAfICk
Diamond Tower DTW    (2023-03-08 23:41:26)
13/01/2023PG.HONORARIOS ADVOCATICIOS NF.: 202228 PARCELA 5/6 MARION CASTILHOS SILVA SOCIED1.322,34
------
ID#AAAArmAfIEg
Diamond Tower DTW    (2023-03-09 00:07:17)
7/01/2023	PG.COMPRA UTENSILIOS GARRAFA TERMICA LOJAS COLOMBO S/A COM DE UTIL DOMÉSTICA	- 103,31</t>
      </text>
    </comment>
    <comment ref="P74" authorId="0" shapeId="0">
      <text>
        <t>======
ID#AAAArmAfIGI
Diamond Tower DTW    (2023-03-09 00:27:38)
07/02/2023	PG.HONORARIOS ADVOCATICIOS NF.: 20231 MARION CASTILHOS SILVA SOCIEDADE IND.AD	- 4.846,46
------
ID#AAAArmAfIGM
Diamond Tower DTW    (2023-03-09 00:27:50)
07/02/2023	PG.HONORARIOS ADVOCATICIOS NF.: 20232 PARCELA 6/6 MARION CASTILHOS SILVA SOCIEDADE IND.AD	- 1.322,34
------
ID#AAAArmAfIGQ
Diamond Tower DTW    (2023-03-09 00:28:21)
07/02/2023	PG.HONORARIOS ADVOCATICIOS NF.: 20233 MARION CASTILHOS SILVA SOCIEDADE IND.AD	- 193,11
------
ID#AAAArmAfIGY
Diamond Tower DTW    (2023-03-09 00:30:20)
07/02/2023	TARIFA PIX NR. DOC: 20231 MARION CASTILHOS SILVA SOCIEDADE IND.AD	- 2,49
------
ID#AAAArmAfIGc
Diamond Tower DTW    (2023-03-09 00:30:39)
07/02/2023	TARIFA PIX NR. DOC: 20232 MARION CASTILHOS SILVA SOCIEDADE IND.AD	- 2,49
------
ID#AAAArmAfIGg
Diamond Tower DTW    (2023-03-09 00:30:47)
07/02/2023	TARIFA PIX NR. DOC: 20233 MARION CASTILHOS SILVA SOCIEDADE IND.AD	- 2,49
------
ID#AAAArmAfIGk
Diamond Tower DTW    (2023-03-09 00:30:53)
07/02/2023	TARIFA PIX NR. DOC: 20238 FABIANA RODRIGUES DE OLIVEIRA	- 2,49
------
ID#AAAArmAfIG4
Diamond Tower DTW    (2023-03-09 00:33:03)
08/02/2023	PG.HONORARIOS ADVOCATICIOS NF.: 20234 MARION CASTILHOS SILVA SOCIEDADE IND.AD	- 1.926,22
------
ID#AAAArmAfIG8
Diamond Tower DTW    (2023-03-09 00:33:17)
08/02/2023	PG.HONORARIOS ADVOCATICIOS NF.: 20235 MARION CASTILHOS SILVA SOCIEDADE IND.AD	- 1.926,10
------
ID#AAAArmAfIHA
Diamond Tower DTW    (2023-03-09 00:33:44)
08/02/2023	TARIFA PIX NR. DOC: 20234 MARION CASTILHOS SILVA SOCIEDADE IND.AD	- 2,49
------
ID#AAAArmAfIHE
Diamond Tower DTW    (2023-03-09 00:33:55)
08/02/2023	TARIFA PIX NR. DOC: 20235 MARION CASTILHOS SILVA SOCIEDADE IND.AD	- 2,49
------
ID#AAAArmAfIHI
Diamond Tower DTW    (2023-03-09 00:34:05)
08/02/2023	TARIFA PIX NR. DOC: 43528 MANGFLEX MANGUEIRAS E CORREIAS LTDA	- 2,49
------
ID#AAAArmAfIIY
Diamond Tower DTW    (2023-03-09 00:40:47)
15/02/2023	PG.COMPRA MATERIAL NF.: 18792 CHAVE COM NUMERO PRODUTOS &amp; EQUIPAMENTOS MB LTDA	- 20,00</t>
      </text>
    </comment>
    <comment ref="Q74" authorId="0" shapeId="0">
      <text>
        <t>======
ID#AAAArmAfILE
Diamond Tower DTW    (2023-03-09 01:04:42)
03/03/2023	PG.HONORARIOS ADVOCATICIOS NF.: 20236 MARION CASTILHOS SILVA SOCIEDADE IND.AD	- 969,26</t>
      </text>
    </comment>
    <comment ref="J75" authorId="0" shapeId="0">
      <text>
        <t>======
ID#AAAAjPv8zNg
    (2022-11-04 19:34:33)
11/08/2022	HONORARIOS ADVOGADO NF.: 202211 Pagamento parcelado dos honorarios da advogada -
	-Diamond Tower
11/08/2022	TRANSAÇÕES BANCARIAS TED_DOC NR. DOC: 377400964 08/2022 - NF: 202211
	-Diamond Tower
16/08/2022	HONORÁRIOS ACORDO NF.: 202211 PARC 2 Parc.(2/2) MARION CASTILHOS SILVA SOCIEDADE
	-Diamond Tower
16/08/2022	TRANSAÇÕES BANCARIAS TED_DOC NR. DOC: 377869454 08/2022 - NF: 202211
	-Diamond Tower
25/08/2022	HONORARIOS ADVOGADO NF.: 202213 MARION CASTILHOS SILVA SOCIEDADE INDIVID
	-Diamond Tower
25/08/2022	HONORARIOS ADVOGADO NF.: 202214 MARION CASTILHOS SILVA SOCIEDADE INDIVID
	-Diamond Tower
25/08/2022	TRANSAÇÕES BANCARIAS TED_DOC NR. DOC: 379622102 08/2022 - NF: 202213,202214
	-Diamond Tower
29/08/2022	HONORARIOS ADVOGADO NF.: 202261 REF SALA 1309 BELLINI FIGUEIRO SOCIEDADE INDIVID
	-Diamond Tower
29/08/2022	HONORARIOS ADVOGADO NF.: 202262 SALA 311 BELLINI FIGUEIRO SOCIEDADE INDIVIDUAL D
	-Diamond Tower
29/08/2022	HONORARIOS ADVOGADO NF.: 202263 REF CASO DA SALA 1610 BELLINI FIGUEIRO SOCIEDADE
	-Diamond Tower
29/08/2022	HONORARIOS ADVOGADO NF.: 202264 BELLINI FIGUEIRO SOCIEDADE INDIVIDUAL DE
	-Diamond Tower
29/08/2022	HONORARIOS ADVOGADO NF.: 202265 REF AO CASO DA SALA 1802 BELLINI FIGUEIRO SOCIED
	-Diamond Tower
29/08/2022	HONORARIOS ADVOGADO NF.: 202266 REF CASO DA SALA 1610 BELLINI FIGUEIRO SOCIEDADE
	-Diamond Tower
29/08/2022	HONORARIOS ADVOGADO NF.: 202267 REF SALA 1404 BELLINI FIGUEIRO SOCIEDADE INDIVID
	-Diamond Tower
29/08/2022	HONORARIOS ADVOGADO NF.: 202268 REF SALA 402 BELLINI FIGUEIRO SOCIEDADE INDIVIDU
	-Diamond Tower
29/08/2022	HONORARIOS ADVOGADO NF.: 202269 REFERENTE AO CASO DA SALA 2302 BELLINI FIGUEIRO
	-Diamond Tower</t>
      </text>
    </comment>
    <comment ref="N75" authorId="0" shapeId="0">
      <text>
        <t>======
ID#AAAAsmjn4TY
Diamond Tower DTW    (2023-03-08 15:01:57)
12/12/2022PG.HONORARIOS ADVOCATICIOS NF.: 202291 BELLINI FIGUEIRO SOCIEDADE INDIVIDUAL DE1.910,81
------
ID#AAAAsmUIszk
Diamond Tower DTW    (2023-03-08 19:40:19)
12/12/2022 TARIFA PIX NR. DOC: 202291 BELLINI FIGUEIRO SOCIEDADE INDIVIDUAL DE 2,49
------
ID#AAAAsmUIs1Y
Diamond Tower DTW    (2023-03-08 19:52:14)
20/12/2022 PG.HONORARIOS ADVOCATICIOS NF.: 202290 BELLINI FIGUEIRO SOCIEDADE
INDIVIDUAL DE 3.919,60
------
ID#AAAAsmUIs1c
Diamond Tower DTW    (2023-03-08 19:53:00)
20/12/2022 PG.HONORARIOS ADVOCATICIOS NF.: 202292 BELLINI FIGUEIRO SOCIEDADE
INDIVIDUAL DE 4.899,50
------
ID#AAAAsmUIs1s
Diamond Tower DTW    (2023-03-08 19:59:51)
20/12/2022 PG.RESSARCIMENTO CUSTAS JUDICIAIS BELLINI FIGUEIRO SOCIEDADE
INDIVIDUAL DE 1.080,00
------
ID#AAAAsmUIs18
Diamond Tower DTW    (2023-03-08 20:01:45)
20/12/2022 TARIFA PIX BELLINI FIGUEIRO SOCIEDADE INDIVIDUAL DE 2,49
------
ID#AAAAsmUIs2A
Diamond Tower DTW    (2023-03-08 20:01:56)
20/12/2022 TARIFA PIX NR. DOC: 202290 BELLINI FIGUEIRO SOCIEDADE INDIVIDUAL DE 2,49
------
ID#AAAAsmUIs2I
Diamond Tower DTW    (2023-03-08 20:02:28)
20/12/2022 TARIFA PIX NR. DOC: 202292 BELLINI FIGUEIRO SOCIEDADE INDIVIDUAL DE 2,49</t>
      </text>
    </comment>
    <comment ref="O75" authorId="0" shapeId="0">
      <text>
        <t>======
ID#AAAArmAfIAQ
Diamond Tower DTW    (2023-03-08 23:04:59)
05/01/2023PG.HONORARIOS ADVOCATICIOS NF.: 202293 BELLINI FIGUEIRO SOCIEDADE INDIVIDUAL DE 1.910,81
------
ID#AAAArmAfICA
Diamond Tower DTW    (2023-03-08 23:38:10)
11/01/2023PG.RETENCAO ISSQN NR. DOC: 202290 V:20/12/2022 BELLINI FIGUEIRO SOCIEDADE INDIVI80,40</t>
      </text>
    </comment>
    <comment ref="P75" authorId="0" shapeId="0">
      <text>
        <t>======
ID#AAAArmAfIFY
Diamond Tower DTW    (2023-03-09 00:22:49)
06/02/2023	PG.HONORARIOS ADVOCATICIOS NF.: 20232 BELLINI FIGUEIRO SOCIEDADE INDIVIDUAL DE	- 1.910,81
------
ID#AAAArmAfIFw
Diamond Tower DTW    (2023-03-09 00:24:21)
06/02/2023	TARIFA PIX NR. DOC: 20232 BELLINI FIGUEIRO SOCIEDADE INDIVIDUAL DE	- 2,49
------
ID#AAAArmAfIHw
Diamond Tower DTW    (2023-03-09 00:37:18)
10/02/2023	PG.RETENCAO ISSQN NR. DOC: 20232 V:06/02/2023 BELLINI FIGUEIRO SOCIEDADE INDIVIDUAL DE	- 39,19</t>
      </text>
    </comment>
    <comment ref="Q75" authorId="0" shapeId="0">
      <text>
        <t>======
ID#AAAArmAfILc
Diamond Tower DTW    (2023-03-09 01:07:07)
06/03/2023	PG.HONORARIOS ADVOCATICIOS NF.: 20236 BELLINI FIGUEIRO SOCIEDADE INDIVIDUAL DE	- 1.911,00</t>
      </text>
    </comment>
    <comment ref="C76" authorId="0" shapeId="0">
      <text>
        <t>======
ID#AAAAjPv8zKU
    (2022-11-04 19:34:33)
14/01/2022	TRANSF ENTRE CONTAS TRANSFERIDO P/ 'INDENIZACAO SEGURO'.
	-Diamond Tower
14/01/2022	TRANSF ENTRE CONTAS TRANSFERIDO P/ 'LIMPEZA FACHADA'.
	-Diamond Tower</t>
      </text>
    </comment>
    <comment ref="D76" authorId="0" shapeId="0">
      <text>
        <t>======
ID#AAAAjPv8zEk
    (2022-11-04 19:34:33)
14/02/2022	RETIRADA APLICACAO FINANCEIRA NR. DOC: 1719976 EDIFICIO DIAMOND TOWER
	-Diamond Tower
14/02/2022	TRANSAÇÕES BANCARIAS TED_DOC NR. DOC: 354548677 02/2022 - NF: 1719968,1719976
	-Diamond Tower</t>
      </text>
    </comment>
    <comment ref="H76" authorId="0" shapeId="0">
      <text>
        <t>======
ID#AAAAjPv8zUk
    (2022-11-04 19:34:33)
29/06/2022	TRANSF ENTRE CONTAS TRANSFERIDO P/ 'CARTAO ADIANTAMENTO'. Conforme e-mail 29.06.
	-Diamond Tower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E35" authorId="0" shapeId="0">
      <text>
        <t>======
ID#AAAAjPv8zVo
    (2022-11-04 19:34:33)
Placas sinbalização PPCI - atualização</t>
      </text>
    </comment>
    <comment ref="E67" authorId="0" shapeId="0">
      <text>
        <t>======
ID#AAAAjPv8zU0
    (2022-11-04 19:34:33)
Média 2018 = 22.758,94
índice previsto reajuste de 5%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123825</colOff>
      <row>36</row>
      <rowOff>9525</rowOff>
    </from>
    <ext cx="6334125" cy="39433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933450</colOff>
      <row>7</row>
      <rowOff>28575</rowOff>
    </from>
    <ext cx="5715000" cy="35337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1266825</colOff>
      <row>11</row>
      <rowOff>47625</rowOff>
    </from>
    <to>
      <col>7</col>
      <colOff>619125</colOff>
      <row>24</row>
      <rowOff>66675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B990"/>
  <sheetViews>
    <sheetView zoomScale="70" zoomScaleNormal="70" workbookViewId="0">
      <pane xSplit="5" ySplit="2" topLeftCell="F37" activePane="bottomRight" state="frozen"/>
      <selection pane="topRight" activeCell="D1" sqref="D1"/>
      <selection pane="bottomLeft" activeCell="A3" sqref="A3"/>
      <selection pane="bottomRight" activeCell="G52" sqref="G52"/>
    </sheetView>
  </sheetViews>
  <sheetFormatPr baseColWidth="8" defaultColWidth="12.7109375" defaultRowHeight="15" customHeight="1"/>
  <cols>
    <col width="18.85546875" customWidth="1" style="386" min="1" max="1"/>
    <col width="67" customWidth="1" style="386" min="2" max="2"/>
    <col width="13.28515625" customWidth="1" style="369" min="3" max="3"/>
    <col width="18.42578125" customWidth="1" style="403" min="4" max="4"/>
    <col width="20.85546875" customWidth="1" style="386" min="5" max="5"/>
    <col width="21" customWidth="1" style="458" min="6" max="18"/>
    <col width="17.5703125" customWidth="1" style="386" min="19" max="27"/>
    <col width="12.7109375" customWidth="1" style="386" min="28" max="16384"/>
  </cols>
  <sheetData>
    <row r="1" ht="24" customHeight="1" s="398">
      <c r="A1" s="388" t="n"/>
      <c r="B1" s="388" t="n"/>
      <c r="C1" s="362" t="n"/>
      <c r="D1" s="388" t="n"/>
      <c r="E1" s="388" t="n"/>
      <c r="F1" s="459" t="n"/>
      <c r="G1" s="459" t="n"/>
      <c r="H1" s="459" t="n"/>
      <c r="I1" s="459" t="n"/>
      <c r="J1" s="459" t="n"/>
      <c r="K1" s="459" t="n"/>
      <c r="L1" s="459" t="n"/>
      <c r="M1" s="459" t="n"/>
      <c r="N1" s="459" t="n"/>
      <c r="O1" s="459" t="n"/>
      <c r="P1" s="459" t="n"/>
      <c r="Q1" s="459" t="n"/>
      <c r="R1" s="459" t="n"/>
      <c r="S1" s="283" t="n"/>
      <c r="T1" s="284" t="n"/>
      <c r="U1" s="284" t="n"/>
      <c r="V1" s="285" t="n"/>
      <c r="W1" s="285" t="n"/>
      <c r="X1" s="285" t="n"/>
      <c r="Y1" s="285" t="n"/>
      <c r="Z1" s="285" t="n"/>
      <c r="AA1" s="285" t="n"/>
      <c r="AB1" s="285" t="n"/>
    </row>
    <row r="2" ht="24" customHeight="1" s="398">
      <c r="A2" s="388" t="inlineStr">
        <is>
          <t>EMPRESA</t>
        </is>
      </c>
      <c r="B2" s="460" t="inlineStr">
        <is>
          <t>PREVISÃO ORÇAMENTÁRIA - DIAMOND TOWER</t>
        </is>
      </c>
      <c r="F2" s="459" t="inlineStr">
        <is>
          <t>MARÇO</t>
        </is>
      </c>
      <c r="G2" s="459" t="inlineStr">
        <is>
          <t>ABRIL</t>
        </is>
      </c>
      <c r="H2" s="459" t="inlineStr">
        <is>
          <t>MAIO</t>
        </is>
      </c>
      <c r="I2" s="459" t="inlineStr">
        <is>
          <t>JUNHO</t>
        </is>
      </c>
      <c r="J2" s="459" t="inlineStr">
        <is>
          <t>JULHO</t>
        </is>
      </c>
      <c r="K2" s="459" t="inlineStr">
        <is>
          <t>AGOSTO</t>
        </is>
      </c>
      <c r="L2" s="459" t="inlineStr">
        <is>
          <t>SETEMBRO</t>
        </is>
      </c>
      <c r="M2" s="459" t="inlineStr">
        <is>
          <t>OUTUBRO</t>
        </is>
      </c>
      <c r="N2" s="459" t="inlineStr">
        <is>
          <t>NOVEMBRO</t>
        </is>
      </c>
      <c r="O2" s="459" t="inlineStr">
        <is>
          <t>DEZEMBRO</t>
        </is>
      </c>
      <c r="P2" s="459" t="inlineStr">
        <is>
          <t>JANEIRO</t>
        </is>
      </c>
      <c r="Q2" s="459" t="inlineStr">
        <is>
          <t>FEVEREIRO</t>
        </is>
      </c>
      <c r="R2" s="459" t="inlineStr">
        <is>
          <t>MARÇO</t>
        </is>
      </c>
      <c r="S2" s="288" t="n"/>
      <c r="T2" s="289" t="inlineStr">
        <is>
          <t>PREVISTO</t>
        </is>
      </c>
      <c r="U2" s="289" t="inlineStr">
        <is>
          <t>REALIZADO</t>
        </is>
      </c>
      <c r="V2" s="285" t="n"/>
      <c r="W2" s="285" t="n"/>
      <c r="X2" s="285" t="n"/>
      <c r="Y2" s="285" t="n"/>
      <c r="Z2" s="285" t="n"/>
      <c r="AA2" s="285" t="n"/>
      <c r="AB2" s="285" t="n"/>
    </row>
    <row r="3" ht="24" customHeight="1" s="398">
      <c r="A3" s="388" t="n"/>
      <c r="B3" s="290" t="inlineStr">
        <is>
          <t>CONTRATOS MÃO DE OBRA</t>
        </is>
      </c>
      <c r="C3" s="290" t="inlineStr">
        <is>
          <t>DATA</t>
        </is>
      </c>
      <c r="D3" s="290" t="inlineStr">
        <is>
          <t>ÍNDICE</t>
        </is>
      </c>
      <c r="E3" s="291">
        <f>SUM(E4:E14)</f>
        <v/>
      </c>
      <c r="F3" s="461">
        <f>SUM(F4:F21)</f>
        <v/>
      </c>
      <c r="G3" s="461">
        <f>SUM(G4:G21)</f>
        <v/>
      </c>
      <c r="H3" s="461">
        <f>SUM(H4:H21)</f>
        <v/>
      </c>
      <c r="I3" s="461">
        <f>SUM(I4:I21)</f>
        <v/>
      </c>
      <c r="J3" s="461">
        <f>SUM(J4:J21)</f>
        <v/>
      </c>
      <c r="K3" s="461">
        <f>SUM(K4:K21)</f>
        <v/>
      </c>
      <c r="L3" s="461">
        <f>SUM(L4:L21)</f>
        <v/>
      </c>
      <c r="M3" s="461">
        <f>SUM(M4:M21)</f>
        <v/>
      </c>
      <c r="N3" s="461">
        <f>SUM(N4:N21)</f>
        <v/>
      </c>
      <c r="O3" s="461">
        <f>SUM(O4:O21)</f>
        <v/>
      </c>
      <c r="P3" s="461">
        <f>SUM(P4:P21)</f>
        <v/>
      </c>
      <c r="Q3" s="461">
        <f>SUM(Q4:Q21)</f>
        <v/>
      </c>
      <c r="R3" s="461">
        <f>SUM(R4:R21)</f>
        <v/>
      </c>
      <c r="S3" s="288" t="n"/>
      <c r="T3" s="293">
        <f>SUM(T4:T21)</f>
        <v/>
      </c>
      <c r="U3" s="293">
        <f>SUM(U4:U21)</f>
        <v/>
      </c>
      <c r="V3" s="285" t="n"/>
      <c r="W3" s="285" t="n"/>
      <c r="X3" s="285" t="n"/>
      <c r="Y3" s="285" t="n"/>
      <c r="Z3" s="285" t="n"/>
      <c r="AA3" s="285" t="n"/>
      <c r="AB3" s="285" t="n"/>
    </row>
    <row r="4" ht="18.75" customHeight="1" s="398">
      <c r="A4" s="462" t="inlineStr">
        <is>
          <t>ALTO PADRÃO</t>
        </is>
      </c>
      <c r="B4" s="389" t="inlineStr">
        <is>
          <t>Monitoramento - 01 Posto 24h - Central de Segurança</t>
        </is>
      </c>
      <c r="C4" s="463" t="inlineStr">
        <is>
          <t>MARÇO</t>
        </is>
      </c>
      <c r="D4" s="464" t="inlineStr">
        <is>
          <t>DISSÍDIO</t>
        </is>
      </c>
      <c r="E4" s="465" t="n">
        <v>119800</v>
      </c>
      <c r="F4" s="466">
        <f>5574.93+94647.29+11276.34</f>
        <v/>
      </c>
      <c r="G4" s="467" t="n">
        <v>192694.98</v>
      </c>
      <c r="H4" s="466" t="n"/>
      <c r="I4" s="466" t="n"/>
      <c r="J4" s="466" t="n"/>
      <c r="K4" s="466" t="n"/>
      <c r="L4" s="466" t="n"/>
      <c r="M4" s="466" t="n"/>
      <c r="N4" s="466" t="n"/>
      <c r="O4" s="466" t="n"/>
      <c r="P4" s="466" t="n"/>
      <c r="Q4" s="466" t="n"/>
      <c r="R4" s="466" t="n"/>
      <c r="S4" s="288" t="n"/>
      <c r="T4" s="468">
        <f>E4*11</f>
        <v/>
      </c>
      <c r="U4" s="468">
        <f>SUM(H4:R10)</f>
        <v/>
      </c>
      <c r="V4" s="285" t="n"/>
      <c r="W4" s="285" t="n"/>
      <c r="X4" s="285" t="n"/>
      <c r="Y4" s="285" t="n"/>
      <c r="Z4" s="285" t="n"/>
      <c r="AA4" s="285" t="n"/>
      <c r="AB4" s="285" t="n"/>
    </row>
    <row r="5" ht="18.75" customHeight="1" s="398">
      <c r="B5" s="389" t="inlineStr">
        <is>
          <t>Ronda Vigilante - 01 Posto 24h</t>
        </is>
      </c>
      <c r="S5" s="288" t="n"/>
      <c r="V5" s="285" t="n"/>
      <c r="W5" s="285" t="n"/>
      <c r="X5" s="285" t="n"/>
      <c r="Y5" s="285" t="n"/>
      <c r="Z5" s="285" t="n"/>
      <c r="AA5" s="285" t="n"/>
      <c r="AB5" s="285" t="n"/>
    </row>
    <row r="6" ht="18.75" customHeight="1" s="398">
      <c r="B6" s="389" t="inlineStr">
        <is>
          <t>Porteiro 02 postos 8h - (Seg à Dom - das 7h as 22h)</t>
        </is>
      </c>
      <c r="S6" s="288" t="n"/>
      <c r="V6" s="285" t="n"/>
      <c r="W6" s="285" t="n"/>
      <c r="X6" s="285" t="n"/>
      <c r="Y6" s="285" t="n"/>
      <c r="Z6" s="285" t="n"/>
      <c r="AA6" s="285" t="n"/>
      <c r="AB6" s="285" t="n"/>
    </row>
    <row r="7" ht="18.75" customHeight="1" s="398">
      <c r="B7" s="389" t="inlineStr">
        <is>
          <t>Expedição 01 posto 8h - (Seg à Sáb - das 08h às 16h20)</t>
        </is>
      </c>
      <c r="S7" s="288" t="n"/>
      <c r="V7" s="285" t="n"/>
      <c r="W7" s="285" t="n"/>
      <c r="X7" s="285" t="n"/>
      <c r="Y7" s="285" t="n"/>
      <c r="Z7" s="285" t="n"/>
      <c r="AA7" s="285" t="n"/>
      <c r="AB7" s="285" t="n"/>
    </row>
    <row r="8" ht="18.75" customHeight="1" s="398">
      <c r="B8" s="389" t="inlineStr">
        <is>
          <t>Recepção - 04 postos 8h  (das 7h as 22h)</t>
        </is>
      </c>
      <c r="S8" s="288" t="n"/>
      <c r="V8" s="285" t="n"/>
      <c r="W8" s="285" t="n"/>
      <c r="X8" s="285" t="n"/>
      <c r="Y8" s="285" t="n"/>
      <c r="Z8" s="285" t="n"/>
      <c r="AA8" s="285" t="n"/>
      <c r="AB8" s="285" t="n"/>
    </row>
    <row r="9" ht="18.75" customHeight="1" s="398">
      <c r="B9" s="389" t="inlineStr">
        <is>
          <t>Limpeza - 03 Postos 44h semanais</t>
        </is>
      </c>
      <c r="S9" s="288" t="n"/>
      <c r="V9" s="285" t="n"/>
      <c r="W9" s="285" t="n"/>
      <c r="X9" s="285" t="n"/>
      <c r="Y9" s="285" t="n"/>
      <c r="Z9" s="285" t="n"/>
      <c r="AA9" s="285" t="n"/>
      <c r="AB9" s="285" t="n"/>
    </row>
    <row r="10" ht="18.75" customHeight="1" s="398">
      <c r="B10" s="389" t="inlineStr">
        <is>
          <t>Serviços Gerais – 01 posto 44h semanais</t>
        </is>
      </c>
      <c r="S10" s="288" t="n"/>
      <c r="V10" s="285" t="n"/>
      <c r="W10" s="285" t="n"/>
      <c r="X10" s="285" t="n"/>
      <c r="Y10" s="285" t="n"/>
      <c r="Z10" s="285" t="n"/>
      <c r="AA10" s="285" t="n"/>
      <c r="AB10" s="285" t="n"/>
    </row>
    <row r="11" ht="18.75" customHeight="1" s="398">
      <c r="A11" s="392" t="inlineStr">
        <is>
          <t>CAPPELLETTO</t>
        </is>
      </c>
      <c r="B11" s="389" t="inlineStr">
        <is>
          <t>02 Gestores presenciais (Administrativo e Operacional)</t>
        </is>
      </c>
      <c r="C11" s="389" t="inlineStr">
        <is>
          <t>SETEMBRO</t>
        </is>
      </c>
      <c r="D11" s="387" t="inlineStr">
        <is>
          <t>IPCA (6,5%)</t>
        </is>
      </c>
      <c r="E11" s="393" t="n">
        <v>24900</v>
      </c>
      <c r="F11" s="458">
        <f>16992.72+318.15</f>
        <v/>
      </c>
      <c r="G11" s="469" t="n">
        <v>48903.6</v>
      </c>
      <c r="S11" s="288" t="n"/>
      <c r="V11" s="285" t="n"/>
      <c r="W11" s="285" t="n"/>
      <c r="X11" s="285" t="n"/>
      <c r="Y11" s="285" t="n"/>
      <c r="Z11" s="285" t="n"/>
      <c r="AA11" s="285" t="n"/>
      <c r="AB11" s="285" t="n"/>
    </row>
    <row r="12" ht="18.75" customHeight="1" s="398">
      <c r="A12" s="392" t="inlineStr">
        <is>
          <t>GUARIDA</t>
        </is>
      </c>
      <c r="B12" s="389" t="inlineStr">
        <is>
          <t>Auxiliar Administração</t>
        </is>
      </c>
      <c r="C12" s="389" t="inlineStr">
        <is>
          <t>NOVEMBRO</t>
        </is>
      </c>
      <c r="D12" s="387" t="inlineStr">
        <is>
          <t>IPCA (6,5%)</t>
        </is>
      </c>
      <c r="E12" s="393">
        <f>2835*1.065</f>
        <v/>
      </c>
      <c r="F12" s="458">
        <f>2.1+1139.05+0.95+78.75+59.007+269.05+1498.9</f>
        <v/>
      </c>
      <c r="G12" s="469" t="n">
        <v>2997.8</v>
      </c>
      <c r="S12" s="288" t="n"/>
      <c r="T12" s="299">
        <f>E12*12</f>
        <v/>
      </c>
      <c r="U12" s="299">
        <f>SUM(F12:R12)</f>
        <v/>
      </c>
      <c r="V12" s="285" t="n"/>
      <c r="W12" s="285" t="n"/>
      <c r="X12" s="285" t="n"/>
      <c r="Y12" s="285" t="n"/>
      <c r="Z12" s="285" t="n"/>
      <c r="AA12" s="285" t="n"/>
      <c r="AB12" s="285" t="n"/>
    </row>
    <row r="13" ht="18.75" customHeight="1" s="398">
      <c r="A13" s="392" t="inlineStr">
        <is>
          <t>ORGÂNICO</t>
        </is>
      </c>
      <c r="B13" s="389" t="inlineStr">
        <is>
          <t xml:space="preserve">Oficial Manutenção - 01 Posto 44h  semanais </t>
        </is>
      </c>
      <c r="C13" s="389" t="inlineStr">
        <is>
          <t>ANUAL</t>
        </is>
      </c>
      <c r="D13" s="387" t="inlineStr">
        <is>
          <t>DISSÍDIO</t>
        </is>
      </c>
      <c r="E13" s="393" t="n">
        <v>8500</v>
      </c>
      <c r="F13" s="458">
        <f>48.38+48.38+475.68+512.88+1189.22+59.46+148.65+11.89+89.19+17.83+69.33+59.46+570.44+175.32+211.2+900+384</f>
        <v/>
      </c>
      <c r="G13" s="469" t="n">
        <v>4586.66</v>
      </c>
      <c r="S13" s="288" t="n"/>
      <c r="T13" s="299">
        <f>E13*11</f>
        <v/>
      </c>
      <c r="U13" s="299">
        <f>SUM(F13:R13)</f>
        <v/>
      </c>
      <c r="V13" s="285" t="n"/>
      <c r="W13" s="285" t="n"/>
      <c r="X13" s="285" t="n"/>
      <c r="Y13" s="285" t="n"/>
      <c r="Z13" s="285" t="n"/>
      <c r="AA13" s="285" t="n"/>
      <c r="AB13" s="285" t="n"/>
    </row>
    <row r="14" ht="18.75" customHeight="1" s="398">
      <c r="A14" s="300" t="inlineStr">
        <is>
          <t>ORGÂNICO</t>
        </is>
      </c>
      <c r="B14" s="301" t="inlineStr">
        <is>
          <t>Remuneração Subsíndico</t>
        </is>
      </c>
      <c r="C14" s="301" t="inlineStr">
        <is>
          <t>ANUAL</t>
        </is>
      </c>
      <c r="D14" s="359" t="inlineStr">
        <is>
          <t>SAL. MÍN. REG.</t>
        </is>
      </c>
      <c r="E14" s="393" t="n">
        <v>8500</v>
      </c>
      <c r="F14" s="458">
        <f>7206.2+890.65+1619.37</f>
        <v/>
      </c>
      <c r="S14" s="288" t="n"/>
      <c r="T14" s="299">
        <f>E14*12</f>
        <v/>
      </c>
      <c r="U14" s="299">
        <f>SUM(F14:R14)</f>
        <v/>
      </c>
      <c r="V14" s="285" t="n"/>
      <c r="W14" s="285" t="n"/>
      <c r="X14" s="285" t="n"/>
      <c r="Y14" s="285" t="n"/>
      <c r="Z14" s="285" t="n"/>
      <c r="AA14" s="285" t="n"/>
      <c r="AB14" s="285" t="n"/>
    </row>
    <row r="15" ht="14.25" customHeight="1" s="398">
      <c r="A15" s="302" t="n"/>
      <c r="B15" s="302" t="n"/>
      <c r="C15" s="364" t="n"/>
      <c r="D15" s="302" t="n"/>
      <c r="E15" s="393" t="n"/>
      <c r="S15" s="288" t="n"/>
      <c r="T15" s="299" t="n"/>
      <c r="U15" s="284" t="n"/>
      <c r="V15" s="285" t="n"/>
      <c r="W15" s="285" t="n"/>
      <c r="X15" s="285" t="n"/>
      <c r="Y15" s="285" t="n"/>
      <c r="Z15" s="285" t="n"/>
      <c r="AA15" s="285" t="n"/>
      <c r="AB15" s="285" t="n"/>
    </row>
    <row r="16" ht="24" customHeight="1" s="398">
      <c r="A16" s="290" t="n"/>
      <c r="B16" s="290" t="inlineStr">
        <is>
          <t xml:space="preserve">MANUTENÇÕES/LOCAÇÕES - CONTRATOS </t>
        </is>
      </c>
      <c r="C16" s="363" t="n"/>
      <c r="D16" s="290" t="n"/>
      <c r="E16" s="291">
        <f>SUM(E17:E21)</f>
        <v/>
      </c>
      <c r="F16" s="461">
        <f>SUM(F17:F19)</f>
        <v/>
      </c>
      <c r="G16" s="461">
        <f>SUM(G17:G19)</f>
        <v/>
      </c>
      <c r="H16" s="461">
        <f>SUM(H17:H19)</f>
        <v/>
      </c>
      <c r="I16" s="461">
        <f>SUM(I17:I19)</f>
        <v/>
      </c>
      <c r="J16" s="461">
        <f>SUM(J17:J19)</f>
        <v/>
      </c>
      <c r="K16" s="461">
        <f>SUM(K17:K19)</f>
        <v/>
      </c>
      <c r="L16" s="461">
        <f>SUM(L17:L19)</f>
        <v/>
      </c>
      <c r="M16" s="461">
        <f>SUM(M17:M19)</f>
        <v/>
      </c>
      <c r="N16" s="461">
        <f>SUM(N17:N19)</f>
        <v/>
      </c>
      <c r="O16" s="461">
        <f>SUM(O17:O19)</f>
        <v/>
      </c>
      <c r="P16" s="461">
        <f>SUM(P17:P19)</f>
        <v/>
      </c>
      <c r="Q16" s="461">
        <f>SUM(Q17:Q19)</f>
        <v/>
      </c>
      <c r="R16" s="461">
        <f>SUM(R17:R19)</f>
        <v/>
      </c>
      <c r="S16" s="288" t="n"/>
      <c r="T16" s="303">
        <f>SUM(T17:T20)</f>
        <v/>
      </c>
      <c r="U16" s="303">
        <f>SUM(U17:U20)</f>
        <v/>
      </c>
      <c r="V16" s="285" t="n"/>
      <c r="W16" s="285" t="n"/>
      <c r="X16" s="285" t="n"/>
      <c r="Y16" s="285" t="n"/>
      <c r="Z16" s="285" t="n"/>
      <c r="AA16" s="285" t="n"/>
      <c r="AB16" s="285" t="n"/>
    </row>
    <row r="17" ht="18.75" customHeight="1" s="398">
      <c r="A17" s="392" t="inlineStr">
        <is>
          <t>FG PISCINAS</t>
        </is>
      </c>
      <c r="B17" s="389" t="inlineStr">
        <is>
          <t xml:space="preserve">Limpeza Espelho D'água, Química e AFT com Material </t>
        </is>
      </c>
      <c r="C17" s="389" t="inlineStr">
        <is>
          <t>INDEFINIDO</t>
        </is>
      </c>
      <c r="D17" s="387" t="inlineStr">
        <is>
          <t>IGP-M</t>
        </is>
      </c>
      <c r="E17" s="393">
        <f>850*1.049</f>
        <v/>
      </c>
      <c r="F17" s="458">
        <f>6.46+14.85+898.7</f>
        <v/>
      </c>
      <c r="G17" s="469" t="n">
        <v>3297.16</v>
      </c>
      <c r="S17" s="288" t="n"/>
      <c r="T17" s="299">
        <f>E17*12</f>
        <v/>
      </c>
      <c r="U17" s="299">
        <f>SUM(F17:R17)</f>
        <v/>
      </c>
      <c r="V17" s="285" t="n"/>
      <c r="W17" s="285" t="n"/>
      <c r="X17" s="285" t="n"/>
      <c r="Y17" s="285" t="n"/>
      <c r="Z17" s="285" t="n"/>
      <c r="AA17" s="285" t="n"/>
      <c r="AB17" s="285" t="n"/>
    </row>
    <row r="18" ht="18.75" customHeight="1" s="398">
      <c r="A18" s="385" t="inlineStr">
        <is>
          <t>ELITE</t>
        </is>
      </c>
      <c r="B18" s="305" t="inlineStr">
        <is>
          <t>Manutenção Preventiva Elevadores (7) - Com Peças - Atlas</t>
        </is>
      </c>
      <c r="C18" s="305" t="inlineStr">
        <is>
          <t>MAIO</t>
        </is>
      </c>
      <c r="D18" s="360" t="inlineStr">
        <is>
          <t>IGP-DI</t>
        </is>
      </c>
      <c r="E18" s="393">
        <f>(9223.61*1.049)-4307.45</f>
        <v/>
      </c>
      <c r="F18" s="458">
        <f>2777.9+461.18+4.17+2777.9+8333.53</f>
        <v/>
      </c>
      <c r="G18" s="469" t="n">
        <v>59721.6</v>
      </c>
      <c r="S18" s="288" t="n"/>
      <c r="T18" s="299">
        <f>E18*12</f>
        <v/>
      </c>
      <c r="U18" s="299">
        <f>SUM(F18:R18)</f>
        <v/>
      </c>
      <c r="V18" s="285" t="n"/>
      <c r="W18" s="285" t="n"/>
      <c r="X18" s="285" t="n"/>
      <c r="Y18" s="285" t="n"/>
      <c r="Z18" s="285" t="n"/>
      <c r="AA18" s="285" t="n"/>
      <c r="AB18" s="285" t="n"/>
    </row>
    <row r="19" ht="18.75" customHeight="1" s="398">
      <c r="A19" s="385" t="inlineStr">
        <is>
          <t>STEMAC</t>
        </is>
      </c>
      <c r="B19" s="305" t="inlineStr">
        <is>
          <t>Manutenção preventiva motor gerador</t>
        </is>
      </c>
      <c r="C19" s="305" t="inlineStr">
        <is>
          <t>JANEIRO</t>
        </is>
      </c>
      <c r="D19" s="360" t="inlineStr">
        <is>
          <t>IGP-M</t>
        </is>
      </c>
      <c r="E19" s="393" t="n">
        <v>1472</v>
      </c>
      <c r="F19" s="458">
        <f>73.58+22+1167.75+161.88</f>
        <v/>
      </c>
      <c r="G19" s="469" t="n">
        <v>2391.56</v>
      </c>
      <c r="S19" s="288" t="n"/>
      <c r="T19" s="299">
        <f>E19*12</f>
        <v/>
      </c>
      <c r="U19" s="299">
        <f>SUM(F19:R19)</f>
        <v/>
      </c>
      <c r="V19" s="285" t="n"/>
      <c r="W19" s="285" t="n"/>
      <c r="X19" s="285" t="n"/>
      <c r="Y19" s="285" t="n"/>
      <c r="Z19" s="285" t="n"/>
      <c r="AA19" s="285" t="n"/>
      <c r="AB19" s="285" t="n"/>
    </row>
    <row r="20" ht="18.75" customHeight="1" s="398">
      <c r="A20" s="385" t="inlineStr">
        <is>
          <t>BELLINI</t>
        </is>
      </c>
      <c r="B20" s="305" t="inlineStr">
        <is>
          <t>Consultoria jurídica</t>
        </is>
      </c>
      <c r="C20" s="305" t="inlineStr">
        <is>
          <t>INDEFINIDO</t>
        </is>
      </c>
      <c r="D20" s="360" t="inlineStr">
        <is>
          <t>SAL.MÍN. NAC.</t>
        </is>
      </c>
      <c r="E20" s="393" t="n">
        <v>3020</v>
      </c>
      <c r="F20" s="458">
        <f>2958.58+77.42</f>
        <v/>
      </c>
      <c r="G20" s="469" t="n">
        <v>5920.2</v>
      </c>
      <c r="S20" s="288" t="n"/>
      <c r="T20" s="299">
        <f>E20*12</f>
        <v/>
      </c>
      <c r="U20" s="299">
        <f>SUM(F20:R20)</f>
        <v/>
      </c>
      <c r="V20" s="285" t="n"/>
      <c r="W20" s="285" t="n"/>
      <c r="X20" s="285" t="n"/>
      <c r="Y20" s="285" t="n"/>
      <c r="Z20" s="285" t="n"/>
      <c r="AA20" s="285" t="n"/>
      <c r="AB20" s="285" t="n"/>
    </row>
    <row r="21" ht="18.75" customHeight="1" s="398">
      <c r="A21" s="392" t="inlineStr">
        <is>
          <t>AUDI PASTAS</t>
        </is>
      </c>
      <c r="B21" s="389" t="inlineStr">
        <is>
          <t xml:space="preserve">Auditoria Externa </t>
        </is>
      </c>
      <c r="C21" s="389" t="inlineStr">
        <is>
          <t>OUTUBRO</t>
        </is>
      </c>
      <c r="D21" s="387" t="inlineStr">
        <is>
          <t>IPCA (6,5%)</t>
        </is>
      </c>
      <c r="E21" s="393">
        <f>1330*1.065</f>
        <v/>
      </c>
      <c r="F21" s="458">
        <f>26.6+1303.4</f>
        <v/>
      </c>
      <c r="G21" s="469" t="n">
        <v>2606.8</v>
      </c>
      <c r="S21" s="288" t="n"/>
      <c r="T21" s="299">
        <f>E21*12</f>
        <v/>
      </c>
      <c r="U21" s="299">
        <f>SUM(F21:R21)</f>
        <v/>
      </c>
      <c r="V21" s="285" t="n"/>
      <c r="W21" s="285" t="n"/>
      <c r="X21" s="285" t="n"/>
      <c r="Y21" s="285" t="n"/>
      <c r="Z21" s="285" t="n"/>
      <c r="AA21" s="285" t="n"/>
      <c r="AB21" s="285" t="n"/>
    </row>
    <row r="22" ht="15.75" customHeight="1" s="398">
      <c r="A22" s="308" t="n"/>
      <c r="B22" s="308" t="n"/>
      <c r="C22" s="314" t="n"/>
      <c r="D22" s="308" t="n"/>
      <c r="E22" s="309" t="n"/>
      <c r="S22" s="288" t="n"/>
      <c r="T22" s="299" t="n"/>
      <c r="U22" s="284" t="n"/>
      <c r="V22" s="285" t="n"/>
      <c r="W22" s="285" t="n"/>
      <c r="X22" s="285" t="n"/>
      <c r="Y22" s="285" t="n"/>
      <c r="Z22" s="285" t="n"/>
      <c r="AA22" s="285" t="n"/>
      <c r="AB22" s="285" t="n"/>
    </row>
    <row r="23" ht="24" customHeight="1" s="398">
      <c r="A23" s="290" t="n"/>
      <c r="B23" s="290" t="inlineStr">
        <is>
          <t>MANUTENÇÕES - SEM CONTRATO</t>
        </is>
      </c>
      <c r="C23" s="363" t="n"/>
      <c r="D23" s="290" t="n"/>
      <c r="E23" s="291">
        <f>SUM(E24:E32)</f>
        <v/>
      </c>
      <c r="F23" s="461">
        <f>SUM(F24:F32)</f>
        <v/>
      </c>
      <c r="G23" s="461">
        <f>SUM(G24:G32)</f>
        <v/>
      </c>
      <c r="H23" s="461">
        <f>SUM(H24:H32)</f>
        <v/>
      </c>
      <c r="I23" s="461">
        <f>SUM(I24:I32)</f>
        <v/>
      </c>
      <c r="J23" s="461">
        <f>SUM(J24:J32)</f>
        <v/>
      </c>
      <c r="K23" s="461">
        <f>SUM(K24:K32)</f>
        <v/>
      </c>
      <c r="L23" s="461">
        <f>SUM(L24:L32)</f>
        <v/>
      </c>
      <c r="M23" s="461">
        <f>SUM(M24:M32)</f>
        <v/>
      </c>
      <c r="N23" s="461">
        <f>SUM(N24:N32)</f>
        <v/>
      </c>
      <c r="O23" s="461">
        <f>SUM(O24:O32)</f>
        <v/>
      </c>
      <c r="P23" s="461">
        <f>SUM(P24:P32)</f>
        <v/>
      </c>
      <c r="Q23" s="461">
        <f>SUM(Q24:Q32)</f>
        <v/>
      </c>
      <c r="R23" s="461">
        <f>SUM(R24:R32)</f>
        <v/>
      </c>
      <c r="S23" s="288" t="n"/>
      <c r="T23" s="303">
        <f>SUM(T24:T32)</f>
        <v/>
      </c>
      <c r="U23" s="303">
        <f>SUM(U24:U32)</f>
        <v/>
      </c>
      <c r="V23" s="285" t="n"/>
      <c r="W23" s="285" t="n"/>
      <c r="X23" s="285" t="n"/>
      <c r="Y23" s="285" t="n"/>
      <c r="Z23" s="285" t="n"/>
      <c r="AA23" s="285" t="n"/>
      <c r="AB23" s="285" t="n"/>
    </row>
    <row r="24" ht="18.75" customHeight="1" s="398">
      <c r="A24" s="385" t="inlineStr">
        <is>
          <t>MULTIPLAN</t>
        </is>
      </c>
      <c r="B24" s="305" t="inlineStr">
        <is>
          <t xml:space="preserve">Lixo/Entulho/Manutenção Externa - Despesa Compartilhada </t>
        </is>
      </c>
      <c r="C24" s="305" t="n"/>
      <c r="D24" s="360" t="n"/>
      <c r="E24" s="393">
        <f>3000*1.065</f>
        <v/>
      </c>
      <c r="S24" s="288" t="n"/>
      <c r="T24" s="299">
        <f>E24*12</f>
        <v/>
      </c>
      <c r="U24" s="299">
        <f>SUM(F24:R24)</f>
        <v/>
      </c>
      <c r="V24" s="285" t="n"/>
      <c r="W24" s="285" t="n"/>
      <c r="X24" s="285" t="n"/>
      <c r="Y24" s="285" t="n"/>
      <c r="Z24" s="285" t="n"/>
      <c r="AA24" s="285" t="n"/>
      <c r="AB24" s="285" t="n"/>
    </row>
    <row r="25" ht="18.75" customHeight="1" s="398">
      <c r="A25" s="385" t="inlineStr">
        <is>
          <t>ALPINISMO</t>
        </is>
      </c>
      <c r="B25" s="305" t="inlineStr">
        <is>
          <t>Limpeza da Fachada</t>
        </is>
      </c>
      <c r="C25" s="305" t="n"/>
      <c r="D25" s="360" t="n"/>
      <c r="E25" s="393" t="n">
        <v>8350</v>
      </c>
      <c r="G25" s="469" t="n">
        <v>8285.9</v>
      </c>
      <c r="S25" s="288" t="n"/>
      <c r="T25" s="299">
        <f>E25*12</f>
        <v/>
      </c>
      <c r="U25" s="299">
        <f>SUM(F25:R25)</f>
        <v/>
      </c>
      <c r="V25" s="285" t="n"/>
      <c r="W25" s="285" t="n"/>
      <c r="X25" s="285" t="n"/>
      <c r="Y25" s="285" t="n"/>
      <c r="Z25" s="285" t="n"/>
      <c r="AA25" s="285" t="n"/>
      <c r="AB25" s="285" t="n"/>
    </row>
    <row r="26" ht="18.75" customHeight="1" s="398">
      <c r="A26" s="470" t="inlineStr">
        <is>
          <t>DEMANDA</t>
        </is>
      </c>
      <c r="B26" s="305" t="inlineStr">
        <is>
          <t>Manutenção Bombas de Recalque</t>
        </is>
      </c>
      <c r="C26" s="305" t="n"/>
      <c r="D26" s="360" t="n"/>
      <c r="E26" s="299" t="n">
        <v>525</v>
      </c>
      <c r="G26" s="469" t="n">
        <v>880</v>
      </c>
      <c r="S26" s="288" t="n"/>
      <c r="T26" s="299">
        <f>E26*12</f>
        <v/>
      </c>
      <c r="U26" s="299">
        <f>SUM(F26:R26)</f>
        <v/>
      </c>
      <c r="V26" s="285" t="n"/>
      <c r="W26" s="285" t="n"/>
      <c r="X26" s="285" t="n"/>
      <c r="Y26" s="285" t="n"/>
      <c r="Z26" s="285" t="n"/>
      <c r="AA26" s="285" t="n"/>
      <c r="AB26" s="285" t="n"/>
    </row>
    <row r="27" ht="18.75" customHeight="1" s="398">
      <c r="B27" s="389" t="inlineStr">
        <is>
          <t>Manutenção Interfones</t>
        </is>
      </c>
      <c r="C27" s="389" t="n"/>
      <c r="D27" s="387" t="n"/>
      <c r="E27" s="299" t="n">
        <v>500</v>
      </c>
      <c r="F27" s="458">
        <f>275.87+9.8+9.8</f>
        <v/>
      </c>
      <c r="G27" s="469" t="n">
        <v>775.96</v>
      </c>
      <c r="S27" s="288" t="n"/>
      <c r="T27" s="299">
        <f>E27*12</f>
        <v/>
      </c>
      <c r="U27" s="299">
        <f>SUM(F27:R27)</f>
        <v/>
      </c>
      <c r="V27" s="285" t="n"/>
      <c r="W27" s="285" t="n"/>
      <c r="X27" s="285" t="n"/>
      <c r="Y27" s="285" t="n"/>
      <c r="Z27" s="285" t="n"/>
      <c r="AA27" s="285" t="n"/>
      <c r="AB27" s="285" t="n"/>
    </row>
    <row r="28" ht="18.75" customHeight="1" s="398">
      <c r="B28" s="305" t="inlineStr">
        <is>
          <t>Manutenção Predial</t>
        </is>
      </c>
      <c r="C28" s="305" t="n"/>
      <c r="D28" s="360" t="n"/>
      <c r="E28" s="299" t="n">
        <v>4000</v>
      </c>
      <c r="F28" s="458">
        <f>1361.99+243.21+3360+535.07+950+800+486+520+2400</f>
        <v/>
      </c>
      <c r="G28" s="469" t="n">
        <v>5803.98</v>
      </c>
      <c r="S28" s="288" t="n"/>
      <c r="T28" s="299">
        <f>E28*12</f>
        <v/>
      </c>
      <c r="U28" s="299">
        <f>SUM(F28:R28)</f>
        <v/>
      </c>
      <c r="V28" s="285" t="n"/>
      <c r="W28" s="285" t="n"/>
      <c r="X28" s="285" t="n"/>
      <c r="Y28" s="285" t="n"/>
      <c r="Z28" s="285" t="n"/>
      <c r="AA28" s="285" t="n"/>
      <c r="AB28" s="285" t="n"/>
    </row>
    <row r="29" ht="18.75" customHeight="1" s="398">
      <c r="B29" s="311" t="inlineStr">
        <is>
          <t>Manutenção Preventiva Sistema de Incêndio</t>
        </is>
      </c>
      <c r="C29" s="311" t="n"/>
      <c r="D29" s="361" t="n"/>
      <c r="E29" s="393" t="n">
        <v>350</v>
      </c>
      <c r="S29" s="288" t="n"/>
      <c r="T29" s="299">
        <f>E29*12</f>
        <v/>
      </c>
      <c r="U29" s="299">
        <f>SUM(F29:R29)</f>
        <v/>
      </c>
      <c r="V29" s="285" t="n"/>
      <c r="W29" s="285" t="n"/>
      <c r="X29" s="285" t="n"/>
      <c r="Y29" s="285" t="n"/>
      <c r="Z29" s="285" t="n"/>
      <c r="AA29" s="285" t="n"/>
      <c r="AB29" s="285" t="n"/>
    </row>
    <row r="30" ht="54.6" customHeight="1" s="398">
      <c r="B30" s="301" t="inlineStr">
        <is>
          <t xml:space="preserve">Obrigações Legais (AFT, certificado de qualidade do ar de ambiente climatizado, certificado digital, inspeção da esccada pressurizada, laudo de potabilidade, teste mangueiras, recarga extintores, SPDA, subestação de energia) </t>
        </is>
      </c>
      <c r="C30" s="301" t="n"/>
      <c r="D30" s="359" t="n"/>
      <c r="E30" s="299" t="n">
        <v>3200</v>
      </c>
      <c r="F30" s="458">
        <f>4160.26+171.04+33.58+266.62+102.9+736.7</f>
        <v/>
      </c>
      <c r="G30" s="469" t="n">
        <v>2142.1</v>
      </c>
      <c r="S30" s="288" t="n"/>
      <c r="T30" s="299">
        <f>E30*12</f>
        <v/>
      </c>
      <c r="U30" s="299">
        <f>SUM(F30:R30)</f>
        <v/>
      </c>
      <c r="V30" s="285" t="n"/>
      <c r="W30" s="285" t="n"/>
      <c r="X30" s="285" t="n"/>
      <c r="Y30" s="285" t="n"/>
      <c r="Z30" s="285" t="n"/>
      <c r="AA30" s="285" t="n"/>
      <c r="AB30" s="285" t="n"/>
    </row>
    <row r="31" ht="18.75" customHeight="1" s="398">
      <c r="B31" s="311" t="inlineStr">
        <is>
          <t xml:space="preserve">Controle Pragas e Limpeza  Caixa D'água (2x ano) </t>
        </is>
      </c>
      <c r="C31" s="311" t="n"/>
      <c r="D31" s="361" t="n"/>
      <c r="E31" s="299" t="n">
        <v>525</v>
      </c>
      <c r="F31" s="458">
        <f>826.33</f>
        <v/>
      </c>
      <c r="G31" s="469" t="n">
        <v>1663.66</v>
      </c>
      <c r="S31" s="288" t="n"/>
      <c r="T31" s="299">
        <f>E31*12</f>
        <v/>
      </c>
      <c r="U31" s="299">
        <f>SUM(F31:R31)</f>
        <v/>
      </c>
      <c r="V31" s="285" t="n"/>
      <c r="W31" s="285" t="n"/>
      <c r="X31" s="285" t="n"/>
      <c r="Y31" s="285" t="n"/>
      <c r="Z31" s="285" t="n"/>
      <c r="AA31" s="285" t="n"/>
      <c r="AB31" s="285" t="n"/>
    </row>
    <row r="32" ht="18.75" customHeight="1" s="398">
      <c r="B32" s="305" t="inlineStr">
        <is>
          <t>Paisagismo interno</t>
        </is>
      </c>
      <c r="C32" s="305" t="n"/>
      <c r="D32" s="360" t="n"/>
      <c r="E32" s="393" t="n">
        <v>105</v>
      </c>
      <c r="S32" s="288" t="n"/>
      <c r="T32" s="299">
        <f>E32*12</f>
        <v/>
      </c>
      <c r="U32" s="299">
        <f>SUM(F32:R32)</f>
        <v/>
      </c>
      <c r="V32" s="285" t="n"/>
      <c r="W32" s="285" t="n"/>
      <c r="X32" s="285" t="n"/>
      <c r="Y32" s="285" t="n"/>
      <c r="Z32" s="285" t="n"/>
      <c r="AA32" s="285" t="n"/>
      <c r="AB32" s="285" t="n"/>
    </row>
    <row r="33" ht="15.75" customHeight="1" s="398">
      <c r="A33" s="308" t="n"/>
      <c r="B33" s="308" t="n"/>
      <c r="C33" s="314" t="n"/>
      <c r="D33" s="308" t="n"/>
      <c r="E33" s="309" t="n"/>
      <c r="S33" s="288" t="n"/>
      <c r="T33" s="299" t="n"/>
      <c r="U33" s="284" t="n"/>
      <c r="V33" s="285" t="n"/>
      <c r="W33" s="285" t="n"/>
      <c r="X33" s="285" t="n"/>
      <c r="Y33" s="285" t="n"/>
      <c r="Z33" s="285" t="n"/>
      <c r="AA33" s="285" t="n"/>
      <c r="AB33" s="285" t="n"/>
    </row>
    <row r="34" ht="24" customHeight="1" s="398">
      <c r="A34" s="290" t="n"/>
      <c r="B34" s="290" t="inlineStr">
        <is>
          <t>MATERIAIS E EQUIPAMENTOS</t>
        </is>
      </c>
      <c r="C34" s="363" t="n"/>
      <c r="D34" s="290" t="n"/>
      <c r="E34" s="291">
        <f>SUM(E35:E46)</f>
        <v/>
      </c>
      <c r="F34" s="461">
        <f>SUM(F35:F46)</f>
        <v/>
      </c>
      <c r="G34" s="461">
        <f>SUM(G35:G46)</f>
        <v/>
      </c>
      <c r="H34" s="461">
        <f>SUM(H35:H46)</f>
        <v/>
      </c>
      <c r="I34" s="461">
        <f>SUM(I35:I46)</f>
        <v/>
      </c>
      <c r="J34" s="461">
        <f>SUM(J35:J46)</f>
        <v/>
      </c>
      <c r="K34" s="461">
        <f>SUM(K35:K46)</f>
        <v/>
      </c>
      <c r="L34" s="461">
        <f>SUM(L35:L46)</f>
        <v/>
      </c>
      <c r="M34" s="461">
        <f>SUM(M35:M46)</f>
        <v/>
      </c>
      <c r="N34" s="461">
        <f>SUM(N35:N46)</f>
        <v/>
      </c>
      <c r="O34" s="461">
        <f>SUM(O35:O46)</f>
        <v/>
      </c>
      <c r="P34" s="461">
        <f>SUM(P35:P46)</f>
        <v/>
      </c>
      <c r="Q34" s="461">
        <f>SUM(Q35:Q46)</f>
        <v/>
      </c>
      <c r="R34" s="461">
        <f>SUM(R35:R46)</f>
        <v/>
      </c>
      <c r="S34" s="288" t="n"/>
      <c r="T34" s="303">
        <f>SUM(T35:T46)</f>
        <v/>
      </c>
      <c r="U34" s="303">
        <f>SUM(U35:U46)</f>
        <v/>
      </c>
      <c r="V34" s="285" t="n"/>
      <c r="W34" s="285" t="n"/>
      <c r="X34" s="285" t="n"/>
      <c r="Y34" s="285" t="n"/>
      <c r="Z34" s="285" t="n"/>
      <c r="AA34" s="285" t="n"/>
      <c r="AB34" s="285" t="n"/>
    </row>
    <row r="35" ht="18.75" customHeight="1" s="398">
      <c r="A35" s="471" t="n"/>
      <c r="B35" s="305" t="inlineStr">
        <is>
          <t>Chaveiro</t>
        </is>
      </c>
      <c r="C35" s="305" t="n"/>
      <c r="D35" s="360" t="n"/>
      <c r="E35" s="309" t="n">
        <v>20</v>
      </c>
      <c r="G35" s="469" t="n">
        <v>960</v>
      </c>
      <c r="S35" s="288" t="n"/>
      <c r="T35" s="299">
        <f>E35*12</f>
        <v/>
      </c>
      <c r="U35" s="299">
        <f>SUM(F35:R35)</f>
        <v/>
      </c>
      <c r="V35" s="285" t="n"/>
      <c r="W35" s="285" t="n"/>
      <c r="X35" s="285" t="n"/>
      <c r="Y35" s="285" t="n"/>
      <c r="Z35" s="285" t="n"/>
      <c r="AA35" s="285" t="n"/>
      <c r="AB35" s="285" t="n"/>
    </row>
    <row r="36" ht="18.75" customHeight="1" s="398">
      <c r="B36" s="389" t="inlineStr">
        <is>
          <t>Lâmpadas</t>
        </is>
      </c>
      <c r="C36" s="389" t="n"/>
      <c r="D36" s="387" t="n"/>
      <c r="E36" s="309" t="n">
        <v>500</v>
      </c>
      <c r="S36" s="288" t="n"/>
      <c r="T36" s="299">
        <f>E36*12</f>
        <v/>
      </c>
      <c r="U36" s="299">
        <f>SUM(F36:R36)</f>
        <v/>
      </c>
      <c r="V36" s="285" t="n"/>
      <c r="W36" s="285" t="n"/>
      <c r="X36" s="285" t="n"/>
      <c r="Y36" s="285" t="n"/>
      <c r="Z36" s="285" t="n"/>
      <c r="AA36" s="285" t="n"/>
      <c r="AB36" s="285" t="n"/>
    </row>
    <row r="37" ht="30.6" customHeight="1" s="398">
      <c r="B37" s="301" t="inlineStr">
        <is>
          <t>Materiais/Serviços Obras Diversas (Alvenaria, Serralheria, Funilaria, Outros)</t>
        </is>
      </c>
      <c r="C37" s="301" t="n"/>
      <c r="D37" s="359" t="n"/>
      <c r="E37" s="309" t="n">
        <v>1500</v>
      </c>
      <c r="F37" s="458">
        <f>545+136.8</f>
        <v/>
      </c>
      <c r="G37" s="469" t="n">
        <v>1260.8</v>
      </c>
      <c r="S37" s="288" t="n"/>
      <c r="T37" s="299">
        <f>E37*12</f>
        <v/>
      </c>
      <c r="U37" s="299">
        <f>SUM(F37:R37)</f>
        <v/>
      </c>
      <c r="V37" s="285" t="n"/>
      <c r="W37" s="285" t="n"/>
      <c r="X37" s="285" t="n"/>
      <c r="Y37" s="285" t="n"/>
      <c r="Z37" s="285" t="n"/>
      <c r="AA37" s="285" t="n"/>
      <c r="AB37" s="285" t="n"/>
    </row>
    <row r="38" ht="18.75" customHeight="1" s="398">
      <c r="B38" s="305" t="inlineStr">
        <is>
          <t>Material de Ferragem (Elétrica, Hidráulica e Ferramentas)</t>
        </is>
      </c>
      <c r="C38" s="305" t="n"/>
      <c r="D38" s="360" t="n"/>
      <c r="E38" s="309" t="n">
        <v>2000</v>
      </c>
      <c r="F38" s="458">
        <f>540.2+285+63.4+269.05+93.9+288.3+485.95+32</f>
        <v/>
      </c>
      <c r="G38" s="469" t="n">
        <v>12050.62</v>
      </c>
      <c r="S38" s="288" t="n"/>
      <c r="T38" s="299">
        <f>E38*12</f>
        <v/>
      </c>
      <c r="U38" s="299">
        <f>SUM(F38:R38)</f>
        <v/>
      </c>
      <c r="V38" s="285" t="n"/>
      <c r="W38" s="285" t="n"/>
      <c r="X38" s="285" t="n"/>
      <c r="Y38" s="285" t="n"/>
      <c r="Z38" s="285" t="n"/>
      <c r="AA38" s="285" t="n"/>
      <c r="AB38" s="285" t="n"/>
    </row>
    <row r="39" ht="18.75" customHeight="1" s="398">
      <c r="B39" s="389" t="inlineStr">
        <is>
          <t>Material Expediente Interno</t>
        </is>
      </c>
      <c r="C39" s="389" t="n"/>
      <c r="D39" s="387" t="n"/>
      <c r="E39" s="309" t="n">
        <v>500</v>
      </c>
      <c r="F39" s="458">
        <f>99+290.14</f>
        <v/>
      </c>
      <c r="G39" s="469" t="n">
        <v>538.1</v>
      </c>
      <c r="S39" s="288" t="n"/>
      <c r="T39" s="299">
        <f>E39*12</f>
        <v/>
      </c>
      <c r="U39" s="299">
        <f>SUM(F39:R39)</f>
        <v/>
      </c>
      <c r="V39" s="285" t="n"/>
      <c r="W39" s="285" t="n"/>
      <c r="X39" s="285" t="n"/>
      <c r="Y39" s="285" t="n"/>
      <c r="Z39" s="285" t="n"/>
      <c r="AA39" s="285" t="n"/>
      <c r="AB39" s="285" t="n"/>
    </row>
    <row r="40" ht="18.75" customHeight="1" s="398">
      <c r="B40" s="305" t="inlineStr">
        <is>
          <t>Material Limpeza/Consumíveis</t>
        </is>
      </c>
      <c r="C40" s="305" t="n"/>
      <c r="D40" s="360" t="n"/>
      <c r="E40" s="393" t="n">
        <v>2000</v>
      </c>
      <c r="F40" s="458">
        <f>763.81+662.23</f>
        <v/>
      </c>
      <c r="G40" s="469" t="n">
        <v>2142.24</v>
      </c>
      <c r="S40" s="288" t="n"/>
      <c r="T40" s="299">
        <f>E40*12</f>
        <v/>
      </c>
      <c r="U40" s="299">
        <f>SUM(F40:R40)</f>
        <v/>
      </c>
      <c r="V40" s="285" t="n"/>
      <c r="W40" s="285" t="n"/>
      <c r="X40" s="285" t="n"/>
      <c r="Y40" s="285" t="n"/>
      <c r="Z40" s="285" t="n"/>
      <c r="AA40" s="285" t="n"/>
      <c r="AB40" s="285" t="n"/>
    </row>
    <row r="41" ht="18.75" customHeight="1" s="398">
      <c r="A41" s="385" t="inlineStr">
        <is>
          <t>ELITE</t>
        </is>
      </c>
      <c r="B41" s="305" t="inlineStr">
        <is>
          <t>Peças elevador</t>
        </is>
      </c>
      <c r="C41" s="305" t="n"/>
      <c r="D41" s="360" t="n"/>
      <c r="E41" s="393" t="n">
        <v>700</v>
      </c>
      <c r="F41" s="458">
        <f>542.1+79.18</f>
        <v/>
      </c>
      <c r="S41" s="288" t="n"/>
      <c r="T41" s="299">
        <f>E41*12</f>
        <v/>
      </c>
      <c r="U41" s="299">
        <f>SUM(F41:R41)</f>
        <v/>
      </c>
      <c r="V41" s="285" t="n"/>
      <c r="W41" s="285" t="n"/>
      <c r="X41" s="285" t="n"/>
      <c r="Y41" s="285" t="n"/>
      <c r="Z41" s="285" t="n"/>
      <c r="AA41" s="285" t="n"/>
      <c r="AB41" s="285" t="n"/>
    </row>
    <row r="42" ht="18.75" customHeight="1" s="398">
      <c r="A42" s="470" t="inlineStr">
        <is>
          <t>DEMANDA</t>
        </is>
      </c>
      <c r="B42" s="305" t="inlineStr">
        <is>
          <t>Móveis e Utensílios</t>
        </is>
      </c>
      <c r="C42" s="305" t="n"/>
      <c r="D42" s="360" t="n"/>
      <c r="E42" s="393" t="n">
        <v>600</v>
      </c>
      <c r="G42" s="469" t="n">
        <v>8888.84</v>
      </c>
      <c r="S42" s="288" t="n"/>
      <c r="T42" s="299">
        <f>E42*12</f>
        <v/>
      </c>
      <c r="U42" s="299">
        <f>SUM(F42:R42)</f>
        <v/>
      </c>
      <c r="V42" s="285" t="n"/>
      <c r="W42" s="285" t="n"/>
      <c r="X42" s="285" t="n"/>
      <c r="Y42" s="285" t="n"/>
      <c r="Z42" s="285" t="n"/>
      <c r="AA42" s="285" t="n"/>
      <c r="AB42" s="285" t="n"/>
    </row>
    <row r="43" ht="18.75" customHeight="1" s="398">
      <c r="B43" s="389" t="inlineStr">
        <is>
          <t>Peças Ar Condicionado/Exaustores</t>
        </is>
      </c>
      <c r="C43" s="389" t="n"/>
      <c r="D43" s="387" t="n"/>
      <c r="E43" s="393" t="n">
        <v>525</v>
      </c>
      <c r="F43" s="458">
        <f>1421+1558.2</f>
        <v/>
      </c>
      <c r="S43" s="288" t="n"/>
      <c r="T43" s="299">
        <f>E43*12</f>
        <v/>
      </c>
      <c r="U43" s="299">
        <f>SUM(F43:R43)</f>
        <v/>
      </c>
      <c r="V43" s="285" t="n"/>
      <c r="W43" s="285" t="n"/>
      <c r="X43" s="285" t="n"/>
      <c r="Y43" s="285" t="n"/>
      <c r="Z43" s="285" t="n"/>
      <c r="AA43" s="285" t="n"/>
      <c r="AB43" s="285" t="n"/>
    </row>
    <row r="44" ht="18.75" customHeight="1" s="398">
      <c r="B44" s="301" t="inlineStr">
        <is>
          <t>Peças de reposição para extintores e hidrantes e recargas eventuais</t>
        </is>
      </c>
      <c r="C44" s="301" t="n"/>
      <c r="D44" s="359" t="n"/>
      <c r="E44" s="393" t="n">
        <v>150</v>
      </c>
      <c r="S44" s="288" t="n"/>
      <c r="T44" s="299">
        <f>E44*12</f>
        <v/>
      </c>
      <c r="U44" s="299">
        <f>SUM(F44:R44)</f>
        <v/>
      </c>
      <c r="V44" s="285" t="n"/>
      <c r="W44" s="285" t="n"/>
      <c r="X44" s="285" t="n"/>
      <c r="Y44" s="285" t="n"/>
      <c r="Z44" s="285" t="n"/>
      <c r="AA44" s="285" t="n"/>
      <c r="AB44" s="285" t="n"/>
    </row>
    <row r="45" ht="22.9" customHeight="1" s="398">
      <c r="B45" s="314" t="inlineStr">
        <is>
          <t>Peças para Grupo Gerador, limpeza semestral filtro e óleo e óleo diesel</t>
        </is>
      </c>
      <c r="C45" s="314" t="n"/>
      <c r="D45" s="308" t="n"/>
      <c r="E45" s="393" t="n">
        <v>500</v>
      </c>
      <c r="F45" s="458">
        <f>1500</f>
        <v/>
      </c>
      <c r="S45" s="288" t="n"/>
      <c r="T45" s="299">
        <f>E45*12</f>
        <v/>
      </c>
      <c r="U45" s="299">
        <f>SUM(F45:R45)</f>
        <v/>
      </c>
      <c r="V45" s="285" t="n"/>
      <c r="W45" s="285" t="n"/>
      <c r="X45" s="285" t="n"/>
      <c r="Y45" s="285" t="n"/>
      <c r="Z45" s="285" t="n"/>
      <c r="AA45" s="285" t="n"/>
      <c r="AB45" s="285" t="n"/>
    </row>
    <row r="46" ht="18.75" customHeight="1" s="398">
      <c r="B46" s="305" t="inlineStr">
        <is>
          <t>Peças para manutenção das catracas</t>
        </is>
      </c>
      <c r="C46" s="305" t="n"/>
      <c r="D46" s="360" t="n"/>
      <c r="E46" s="393" t="n">
        <v>350</v>
      </c>
      <c r="S46" s="288" t="n"/>
      <c r="T46" s="299">
        <f>E46*12</f>
        <v/>
      </c>
      <c r="U46" s="299">
        <f>SUM(F46:R46)</f>
        <v/>
      </c>
      <c r="V46" s="285" t="n"/>
      <c r="W46" s="285" t="n"/>
      <c r="X46" s="285" t="n"/>
      <c r="Y46" s="285" t="n"/>
      <c r="Z46" s="285" t="n"/>
      <c r="AA46" s="285" t="n"/>
      <c r="AB46" s="285" t="n"/>
    </row>
    <row r="47" ht="15.75" customHeight="1" s="398">
      <c r="A47" s="302" t="n"/>
      <c r="B47" s="302" t="n"/>
      <c r="C47" s="364" t="n"/>
      <c r="D47" s="302" t="n"/>
      <c r="E47" s="315" t="n"/>
      <c r="S47" s="288" t="n"/>
      <c r="T47" s="299" t="n"/>
      <c r="U47" s="284" t="n"/>
      <c r="V47" s="285" t="n"/>
      <c r="W47" s="285" t="n"/>
      <c r="X47" s="285" t="n"/>
      <c r="Y47" s="285" t="n"/>
      <c r="Z47" s="285" t="n"/>
      <c r="AA47" s="285" t="n"/>
      <c r="AB47" s="285" t="n"/>
    </row>
    <row r="48" ht="24" customHeight="1" s="398">
      <c r="A48" s="290" t="n"/>
      <c r="B48" s="290" t="inlineStr">
        <is>
          <t>DESPESAS  ADMINISTRATIVAS</t>
        </is>
      </c>
      <c r="C48" s="363" t="n"/>
      <c r="D48" s="290" t="n"/>
      <c r="E48" s="291">
        <f>SUM(E49:E54)</f>
        <v/>
      </c>
      <c r="F48" s="461">
        <f>SUM(F49:F53)</f>
        <v/>
      </c>
      <c r="G48" s="461">
        <f>SUM(G49:G53)</f>
        <v/>
      </c>
      <c r="H48" s="461">
        <f>SUM(H49:H53)</f>
        <v/>
      </c>
      <c r="I48" s="461">
        <f>SUM(I49:I53)</f>
        <v/>
      </c>
      <c r="J48" s="461">
        <f>SUM(J49:J53)</f>
        <v/>
      </c>
      <c r="K48" s="461">
        <f>SUM(K49:K53)</f>
        <v/>
      </c>
      <c r="L48" s="461">
        <f>SUM(L49:L53)</f>
        <v/>
      </c>
      <c r="M48" s="461">
        <f>SUM(M49:M53)</f>
        <v/>
      </c>
      <c r="N48" s="461">
        <f>SUM(N49:N53)</f>
        <v/>
      </c>
      <c r="O48" s="461">
        <f>SUM(O49:O53)</f>
        <v/>
      </c>
      <c r="P48" s="461">
        <f>SUM(P49:P53)</f>
        <v/>
      </c>
      <c r="Q48" s="461">
        <f>SUM(Q49:Q53)</f>
        <v/>
      </c>
      <c r="R48" s="461">
        <f>SUM(R49:R53)</f>
        <v/>
      </c>
      <c r="S48" s="288" t="n"/>
      <c r="T48" s="303">
        <f>SUM(T49:T54)</f>
        <v/>
      </c>
      <c r="U48" s="303">
        <f>SUM(U49:U54)</f>
        <v/>
      </c>
      <c r="V48" s="285" t="n"/>
      <c r="W48" s="285" t="n"/>
      <c r="X48" s="285" t="n"/>
      <c r="Y48" s="285" t="n"/>
      <c r="Z48" s="285" t="n"/>
      <c r="AA48" s="285" t="n"/>
      <c r="AB48" s="285" t="n"/>
    </row>
    <row r="49" ht="18.75" customHeight="1" s="398">
      <c r="A49" s="317" t="n"/>
      <c r="B49" s="318" t="inlineStr">
        <is>
          <t>Telefonia/Internet- apenas telefone, internet comodato</t>
        </is>
      </c>
      <c r="C49" s="318" t="n"/>
      <c r="D49" s="317" t="n"/>
      <c r="E49" s="299" t="n">
        <v>250</v>
      </c>
      <c r="F49" s="472">
        <f>101.12+39.9</f>
        <v/>
      </c>
      <c r="G49" s="473" t="n">
        <v>202.24</v>
      </c>
      <c r="H49" s="472" t="n"/>
      <c r="I49" s="472" t="n"/>
      <c r="J49" s="472" t="n"/>
      <c r="K49" s="472" t="n"/>
      <c r="L49" s="472" t="n"/>
      <c r="M49" s="472" t="n"/>
      <c r="N49" s="472" t="n"/>
      <c r="O49" s="472" t="n"/>
      <c r="P49" s="472" t="n"/>
      <c r="Q49" s="472" t="n"/>
      <c r="R49" s="472" t="n"/>
      <c r="S49" s="288" t="n"/>
      <c r="T49" s="299">
        <f>E49*12</f>
        <v/>
      </c>
      <c r="U49" s="299">
        <f>SUM(F49:R49)</f>
        <v/>
      </c>
      <c r="V49" s="285" t="n"/>
      <c r="W49" s="285" t="n"/>
      <c r="X49" s="285" t="n"/>
      <c r="Y49" s="285" t="n"/>
      <c r="Z49" s="285" t="n"/>
      <c r="AA49" s="285" t="n"/>
      <c r="AB49" s="285" t="n"/>
    </row>
    <row r="50" ht="18.75" customHeight="1" s="398">
      <c r="A50" s="284" t="n"/>
      <c r="B50" s="319" t="inlineStr">
        <is>
          <t xml:space="preserve">Correio/Remessa Correspondências/Motoboy/Diversas </t>
        </is>
      </c>
      <c r="C50" s="319" t="n"/>
      <c r="D50" s="284" t="n"/>
      <c r="E50" s="299" t="n">
        <v>150</v>
      </c>
      <c r="F50" s="472" t="n"/>
      <c r="G50" s="472" t="n"/>
      <c r="H50" s="472" t="n"/>
      <c r="I50" s="472" t="n"/>
      <c r="J50" s="472" t="n"/>
      <c r="K50" s="472" t="n"/>
      <c r="L50" s="472" t="n"/>
      <c r="M50" s="472" t="n"/>
      <c r="N50" s="472" t="n"/>
      <c r="O50" s="474" t="n"/>
      <c r="P50" s="472" t="n"/>
      <c r="Q50" s="472" t="n"/>
      <c r="R50" s="472" t="n"/>
      <c r="S50" s="288" t="n"/>
      <c r="T50" s="299">
        <f>E50*12</f>
        <v/>
      </c>
      <c r="U50" s="299">
        <f>SUM(F50:R50)</f>
        <v/>
      </c>
      <c r="V50" s="285" t="n"/>
      <c r="W50" s="285" t="n"/>
      <c r="X50" s="285" t="n"/>
      <c r="Y50" s="285" t="n"/>
      <c r="Z50" s="285" t="n"/>
      <c r="AA50" s="285" t="n"/>
      <c r="AB50" s="285" t="n"/>
    </row>
    <row r="51" ht="18.75" customHeight="1" s="398">
      <c r="A51" s="284" t="n"/>
      <c r="B51" s="319" t="inlineStr">
        <is>
          <t>Impostos - DIRF/DARF/ISSQN/PIS/COFINS</t>
        </is>
      </c>
      <c r="C51" s="319" t="n"/>
      <c r="D51" s="284" t="n"/>
      <c r="E51" s="315" t="n">
        <v>170</v>
      </c>
      <c r="F51" s="474">
        <f>87.5+589.26</f>
        <v/>
      </c>
      <c r="G51" s="475" t="n">
        <v>37811.92</v>
      </c>
      <c r="H51" s="474" t="n"/>
      <c r="I51" s="474" t="n"/>
      <c r="J51" s="474" t="n"/>
      <c r="K51" s="474" t="n"/>
      <c r="L51" s="474" t="n"/>
      <c r="M51" s="474" t="n"/>
      <c r="N51" s="474" t="n"/>
      <c r="P51" s="474" t="n"/>
      <c r="Q51" s="474" t="n"/>
      <c r="R51" s="474" t="n"/>
      <c r="S51" s="288" t="n"/>
      <c r="T51" s="299">
        <f>E51*12</f>
        <v/>
      </c>
      <c r="U51" s="299">
        <f>SUM(F51:R51)</f>
        <v/>
      </c>
      <c r="V51" s="285" t="n"/>
      <c r="W51" s="285" t="n"/>
      <c r="X51" s="285" t="n"/>
      <c r="Y51" s="285" t="n"/>
      <c r="Z51" s="285" t="n"/>
      <c r="AA51" s="285" t="n"/>
      <c r="AB51" s="285" t="n"/>
    </row>
    <row r="52" ht="18.75" customHeight="1" s="398">
      <c r="A52" s="317" t="n"/>
      <c r="B52" s="318" t="inlineStr">
        <is>
          <t xml:space="preserve">Taxa Desepesas com Assembleia </t>
        </is>
      </c>
      <c r="C52" s="318" t="n"/>
      <c r="D52" s="317" t="n"/>
      <c r="E52" s="315" t="n">
        <v>150</v>
      </c>
      <c r="F52" s="474">
        <f>750</f>
        <v/>
      </c>
      <c r="G52" s="475" t="n">
        <v>576</v>
      </c>
      <c r="H52" s="474" t="n"/>
      <c r="I52" s="474" t="n"/>
      <c r="J52" s="474" t="n"/>
      <c r="K52" s="474" t="n"/>
      <c r="L52" s="474" t="n"/>
      <c r="M52" s="474" t="n"/>
      <c r="N52" s="474" t="n"/>
      <c r="O52" s="474" t="n"/>
      <c r="P52" s="474" t="n"/>
      <c r="Q52" s="474" t="n"/>
      <c r="R52" s="474" t="n"/>
      <c r="S52" s="288" t="n"/>
      <c r="T52" s="299">
        <f>E52*12</f>
        <v/>
      </c>
      <c r="U52" s="299">
        <f>SUM(F52:R52)</f>
        <v/>
      </c>
      <c r="V52" s="285" t="n"/>
      <c r="W52" s="285" t="n"/>
      <c r="X52" s="285" t="n"/>
      <c r="Y52" s="285" t="n"/>
      <c r="Z52" s="285" t="n"/>
      <c r="AA52" s="285" t="n"/>
      <c r="AB52" s="285" t="n"/>
    </row>
    <row r="53" ht="18.75" customHeight="1" s="398">
      <c r="A53" s="284" t="n"/>
      <c r="B53" s="319" t="inlineStr">
        <is>
          <t>Custas Judiciais</t>
        </is>
      </c>
      <c r="C53" s="319" t="n"/>
      <c r="D53" s="284" t="n"/>
      <c r="E53" s="299" t="n">
        <v>200</v>
      </c>
      <c r="F53" s="472" t="n"/>
      <c r="G53" s="472" t="n"/>
      <c r="H53" s="472" t="n"/>
      <c r="I53" s="472" t="n"/>
      <c r="J53" s="472" t="n"/>
      <c r="K53" s="472" t="n"/>
      <c r="L53" s="472" t="n"/>
      <c r="M53" s="472" t="n"/>
      <c r="N53" s="472" t="n"/>
      <c r="O53" s="472" t="n"/>
      <c r="P53" s="472" t="n"/>
      <c r="Q53" s="472" t="n"/>
      <c r="R53" s="472" t="n"/>
      <c r="S53" s="288" t="n"/>
      <c r="T53" s="299">
        <f>E53*12</f>
        <v/>
      </c>
      <c r="U53" s="299">
        <f>SUM(F53:R53)</f>
        <v/>
      </c>
      <c r="V53" s="285" t="n"/>
      <c r="W53" s="285" t="n"/>
      <c r="X53" s="285" t="n"/>
      <c r="Y53" s="285" t="n"/>
      <c r="Z53" s="285" t="n"/>
      <c r="AA53" s="285" t="n"/>
      <c r="AB53" s="285" t="n"/>
    </row>
    <row r="54" ht="18.75" customHeight="1" s="398">
      <c r="A54" s="320" t="inlineStr">
        <is>
          <t>GOOGLE</t>
        </is>
      </c>
      <c r="B54" s="319" t="inlineStr">
        <is>
          <t>Hospedagem / Domínio Corporativo</t>
        </is>
      </c>
      <c r="C54" s="319" t="n"/>
      <c r="D54" s="284" t="n"/>
      <c r="E54" s="299" t="n">
        <v>200</v>
      </c>
      <c r="F54" s="472">
        <f>937.29</f>
        <v/>
      </c>
      <c r="G54" s="472" t="n"/>
      <c r="H54" s="472" t="n"/>
      <c r="I54" s="472" t="n"/>
      <c r="J54" s="472" t="n"/>
      <c r="K54" s="472" t="n"/>
      <c r="L54" s="472" t="n"/>
      <c r="M54" s="472" t="n"/>
      <c r="N54" s="472" t="n"/>
      <c r="O54" s="472" t="n"/>
      <c r="P54" s="472" t="n"/>
      <c r="Q54" s="472" t="n"/>
      <c r="R54" s="472" t="n"/>
      <c r="S54" s="288" t="n"/>
      <c r="T54" s="299">
        <f>E54*12</f>
        <v/>
      </c>
      <c r="U54" s="299">
        <f>SUM(F54:R54)</f>
        <v/>
      </c>
      <c r="V54" s="285" t="n"/>
      <c r="W54" s="285" t="n"/>
      <c r="X54" s="285" t="n"/>
      <c r="Y54" s="285" t="n"/>
      <c r="Z54" s="285" t="n"/>
      <c r="AA54" s="285" t="n"/>
      <c r="AB54" s="285" t="n"/>
    </row>
    <row r="55" ht="15.75" customHeight="1" s="398">
      <c r="A55" s="284" t="n"/>
      <c r="B55" s="284" t="n"/>
      <c r="C55" s="319" t="n"/>
      <c r="D55" s="284" t="n"/>
      <c r="E55" s="299" t="n"/>
      <c r="F55" s="472" t="n"/>
      <c r="G55" s="472" t="n"/>
      <c r="H55" s="472" t="n"/>
      <c r="I55" s="472" t="n"/>
      <c r="J55" s="472" t="n"/>
      <c r="K55" s="472" t="n"/>
      <c r="L55" s="472" t="n"/>
      <c r="M55" s="472" t="n"/>
      <c r="N55" s="472" t="n"/>
      <c r="O55" s="472" t="n"/>
      <c r="P55" s="472" t="n"/>
      <c r="Q55" s="472" t="n"/>
      <c r="R55" s="472" t="n"/>
      <c r="S55" s="288" t="n"/>
      <c r="T55" s="299" t="n"/>
      <c r="U55" s="284" t="n"/>
      <c r="V55" s="285" t="n"/>
      <c r="W55" s="285" t="n"/>
      <c r="X55" s="285" t="n"/>
      <c r="Y55" s="285" t="n"/>
      <c r="Z55" s="285" t="n"/>
      <c r="AA55" s="285" t="n"/>
      <c r="AB55" s="285" t="n"/>
    </row>
    <row r="56" ht="24" customHeight="1" s="398">
      <c r="A56" s="321" t="n"/>
      <c r="B56" s="321" t="inlineStr">
        <is>
          <t xml:space="preserve">COTA </t>
        </is>
      </c>
      <c r="C56" s="365" t="n"/>
      <c r="D56" s="321" t="n"/>
      <c r="E56" s="291">
        <f>E3+E16+E23+E34+E48</f>
        <v/>
      </c>
      <c r="F56" s="461">
        <f>SUM(F3,F16,F23,F34,F48)</f>
        <v/>
      </c>
      <c r="G56" s="461">
        <f>SUM(G3,G16,G23,G34,G48)</f>
        <v/>
      </c>
      <c r="H56" s="461">
        <f>SUM(H3,H16,H23,H34,H48)</f>
        <v/>
      </c>
      <c r="I56" s="461">
        <f>SUM(I3,I16,I23,I34,I48)</f>
        <v/>
      </c>
      <c r="J56" s="461">
        <f>SUM(J3,J16,J23,J34,J48)</f>
        <v/>
      </c>
      <c r="K56" s="461">
        <f>SUM(K3,K16,K23,K34,K48)</f>
        <v/>
      </c>
      <c r="L56" s="461">
        <f>SUM(L3,L16,L23,L34,L48)</f>
        <v/>
      </c>
      <c r="M56" s="461">
        <f>SUM(M3,M16,M23,M34,M48)</f>
        <v/>
      </c>
      <c r="N56" s="461">
        <f>SUM(N3,N16,N23,N34,N48)</f>
        <v/>
      </c>
      <c r="O56" s="461">
        <f>SUM(O3,O16,O23,O34,O48)</f>
        <v/>
      </c>
      <c r="P56" s="461">
        <f>SUM(P3,P16,P23,P34,P48)</f>
        <v/>
      </c>
      <c r="Q56" s="461">
        <f>SUM(Q3,Q16,Q23,Q34,Q48)</f>
        <v/>
      </c>
      <c r="R56" s="461">
        <f>SUM(R3,R16,R23,R34,R48)</f>
        <v/>
      </c>
      <c r="S56" s="288" t="n"/>
      <c r="T56" s="303">
        <f>E56*12</f>
        <v/>
      </c>
      <c r="U56" s="293">
        <f>U3+U16+U23+U34+U48</f>
        <v/>
      </c>
      <c r="V56" s="285" t="n"/>
      <c r="W56" s="285" t="n"/>
      <c r="X56" s="285" t="n"/>
      <c r="Y56" s="285" t="n"/>
      <c r="Z56" s="285" t="n"/>
      <c r="AA56" s="285" t="n"/>
      <c r="AB56" s="285" t="n"/>
    </row>
    <row r="57" ht="15.75" customHeight="1" s="398">
      <c r="A57" s="322" t="n"/>
      <c r="B57" s="322" t="n"/>
      <c r="C57" s="366" t="n"/>
      <c r="D57" s="322" t="n"/>
      <c r="E57" s="323" t="n"/>
      <c r="F57" s="476" t="n"/>
      <c r="G57" s="476" t="n"/>
      <c r="H57" s="476" t="n"/>
      <c r="I57" s="476" t="n"/>
      <c r="J57" s="476" t="n"/>
      <c r="K57" s="476" t="n"/>
      <c r="L57" s="476" t="n"/>
      <c r="M57" s="476" t="n"/>
      <c r="N57" s="476" t="n"/>
      <c r="O57" s="476" t="n"/>
      <c r="P57" s="476" t="n"/>
      <c r="Q57" s="476" t="n"/>
      <c r="R57" s="476" t="n"/>
      <c r="S57" s="288" t="n"/>
      <c r="T57" s="299" t="n"/>
      <c r="U57" s="284" t="n"/>
      <c r="V57" s="285" t="n"/>
      <c r="W57" s="285" t="n"/>
      <c r="X57" s="285" t="n"/>
      <c r="Y57" s="285" t="n"/>
      <c r="Z57" s="285" t="n"/>
      <c r="AA57" s="285" t="n"/>
      <c r="AB57" s="285" t="n"/>
    </row>
    <row r="58" ht="24" customHeight="1" s="398">
      <c r="A58" s="290" t="n"/>
      <c r="B58" s="290" t="inlineStr">
        <is>
          <t xml:space="preserve">DESPESAS VARIÁVEIS </t>
        </is>
      </c>
      <c r="C58" s="363" t="n"/>
      <c r="D58" s="290" t="n"/>
      <c r="E58" s="291" t="inlineStr">
        <is>
          <t>R$  -</t>
        </is>
      </c>
      <c r="F58" s="461">
        <f>SUM(F59:F61)</f>
        <v/>
      </c>
      <c r="G58" s="461">
        <f>SUM(G59:G61)</f>
        <v/>
      </c>
      <c r="H58" s="461">
        <f>SUM(H59:H61)</f>
        <v/>
      </c>
      <c r="I58" s="461">
        <f>SUM(I59:I61)</f>
        <v/>
      </c>
      <c r="J58" s="461">
        <f>SUM(J59:J61)</f>
        <v/>
      </c>
      <c r="K58" s="461">
        <f>SUM(K59:K61)</f>
        <v/>
      </c>
      <c r="L58" s="461">
        <f>SUM(L59:L61)</f>
        <v/>
      </c>
      <c r="M58" s="461">
        <f>SUM(M59:M61)</f>
        <v/>
      </c>
      <c r="N58" s="461">
        <f>SUM(N59:N61)</f>
        <v/>
      </c>
      <c r="O58" s="461">
        <f>SUM(O59:O61)</f>
        <v/>
      </c>
      <c r="P58" s="461">
        <f>SUM(P59:P61)</f>
        <v/>
      </c>
      <c r="Q58" s="461">
        <f>SUM(Q59:Q61)</f>
        <v/>
      </c>
      <c r="R58" s="461">
        <f>SUM(R59:R61)</f>
        <v/>
      </c>
      <c r="S58" s="288" t="n"/>
      <c r="T58" s="303">
        <f>SUM(T59:T61)</f>
        <v/>
      </c>
      <c r="U58" s="303">
        <f>SUM(U59:U61)</f>
        <v/>
      </c>
      <c r="V58" s="285" t="n"/>
      <c r="W58" s="285" t="n"/>
      <c r="X58" s="285" t="n"/>
      <c r="Y58" s="285" t="n"/>
      <c r="Z58" s="285" t="n"/>
      <c r="AA58" s="285" t="n"/>
      <c r="AB58" s="285" t="n"/>
    </row>
    <row r="59" ht="18.75" customHeight="1" s="398">
      <c r="A59" s="325" t="n"/>
      <c r="B59" s="326" t="inlineStr">
        <is>
          <t>Água e Esgoto - Área Comum</t>
        </is>
      </c>
      <c r="C59" s="326" t="n"/>
      <c r="D59" s="325" t="n"/>
      <c r="E59" s="327" t="inlineStr">
        <is>
          <t>-</t>
        </is>
      </c>
      <c r="F59" s="458">
        <f>12193.65</f>
        <v/>
      </c>
      <c r="G59" s="469" t="n">
        <v>21858.98</v>
      </c>
      <c r="S59" s="288" t="n"/>
      <c r="T59" s="299" t="n"/>
      <c r="U59" s="299">
        <f>SUM(F59:R59)</f>
        <v/>
      </c>
      <c r="V59" s="285" t="n"/>
      <c r="W59" s="285" t="n"/>
      <c r="X59" s="285" t="n"/>
      <c r="Y59" s="285" t="n"/>
      <c r="Z59" s="285" t="n"/>
      <c r="AA59" s="285" t="n"/>
      <c r="AB59" s="285" t="n"/>
    </row>
    <row r="60" ht="18.75" customHeight="1" s="398">
      <c r="A60" s="325" t="n"/>
      <c r="B60" s="326" t="inlineStr">
        <is>
          <t>Energia Elétrica - Área Comum</t>
        </is>
      </c>
      <c r="C60" s="326" t="n"/>
      <c r="D60" s="325" t="n"/>
      <c r="E60" s="327" t="inlineStr">
        <is>
          <t>-</t>
        </is>
      </c>
      <c r="F60" s="458">
        <f>22998.81</f>
        <v/>
      </c>
      <c r="G60" s="469" t="n">
        <v>50569.68</v>
      </c>
      <c r="S60" s="288" t="n"/>
      <c r="T60" s="299" t="n"/>
      <c r="U60" s="299">
        <f>SUM(F60:R60)</f>
        <v/>
      </c>
      <c r="V60" s="285" t="n"/>
      <c r="W60" s="285" t="n"/>
      <c r="X60" s="285" t="n"/>
      <c r="Y60" s="285" t="n"/>
      <c r="Z60" s="285" t="n"/>
      <c r="AA60" s="285" t="n"/>
      <c r="AB60" s="285" t="n"/>
    </row>
    <row r="61" ht="18.75" customHeight="1" s="398">
      <c r="A61" s="325" t="n"/>
      <c r="B61" s="326" t="inlineStr">
        <is>
          <t>Seguro fogo</t>
        </is>
      </c>
      <c r="C61" s="326" t="n"/>
      <c r="D61" s="325" t="n"/>
      <c r="E61" s="327" t="inlineStr">
        <is>
          <t>-</t>
        </is>
      </c>
      <c r="G61" s="469" t="n">
        <v>96.76000000000001</v>
      </c>
      <c r="S61" s="288" t="n"/>
      <c r="T61" s="299" t="n"/>
      <c r="U61" s="299">
        <f>SUM(F61:R61)</f>
        <v/>
      </c>
      <c r="V61" s="285" t="n"/>
      <c r="W61" s="285" t="n"/>
      <c r="X61" s="285" t="n"/>
      <c r="Y61" s="285" t="n"/>
      <c r="Z61" s="285" t="n"/>
      <c r="AA61" s="285" t="n"/>
      <c r="AB61" s="285" t="n"/>
    </row>
    <row r="62" ht="15.75" customHeight="1" s="398">
      <c r="A62" s="317" t="n"/>
      <c r="B62" s="317" t="n"/>
      <c r="C62" s="318" t="n"/>
      <c r="D62" s="317" t="n"/>
      <c r="E62" s="315" t="n"/>
      <c r="S62" s="288" t="n"/>
      <c r="T62" s="299" t="n"/>
      <c r="U62" s="284" t="n"/>
      <c r="V62" s="285" t="n"/>
      <c r="W62" s="285" t="n"/>
      <c r="X62" s="285" t="n"/>
      <c r="Y62" s="285" t="n"/>
      <c r="Z62" s="285" t="n"/>
      <c r="AA62" s="285" t="n"/>
      <c r="AB62" s="285" t="n"/>
    </row>
    <row r="63" ht="24" customHeight="1" s="398">
      <c r="A63" s="290" t="n"/>
      <c r="B63" s="290" t="inlineStr">
        <is>
          <t>OUTRAS DESPESAS</t>
        </is>
      </c>
      <c r="C63" s="363" t="n"/>
      <c r="D63" s="290" t="n"/>
      <c r="E63" s="291" t="inlineStr">
        <is>
          <t>R$  -</t>
        </is>
      </c>
      <c r="F63" s="461">
        <f>SUM(F64:F68)</f>
        <v/>
      </c>
      <c r="G63" s="461">
        <f>SUM(G64:G68)</f>
        <v/>
      </c>
      <c r="H63" s="461">
        <f>SUM(H64:H68)</f>
        <v/>
      </c>
      <c r="I63" s="461">
        <f>SUM(I64:I68)</f>
        <v/>
      </c>
      <c r="J63" s="461">
        <f>SUM(J64:J68)</f>
        <v/>
      </c>
      <c r="K63" s="461">
        <f>SUM(K64:K68)</f>
        <v/>
      </c>
      <c r="L63" s="461">
        <f>SUM(L64:L68)</f>
        <v/>
      </c>
      <c r="M63" s="461">
        <f>SUM(M64:M68)</f>
        <v/>
      </c>
      <c r="N63" s="461">
        <f>SUM(N64:N68)</f>
        <v/>
      </c>
      <c r="O63" s="461">
        <f>SUM(O64:O68)</f>
        <v/>
      </c>
      <c r="P63" s="461">
        <f>SUM(P64:P68)</f>
        <v/>
      </c>
      <c r="Q63" s="461">
        <f>SUM(Q64:Q68)</f>
        <v/>
      </c>
      <c r="R63" s="461">
        <f>SUM(R64:R68)</f>
        <v/>
      </c>
      <c r="S63" s="288" t="n"/>
      <c r="T63" s="303">
        <f>SUM(T64:T67)</f>
        <v/>
      </c>
      <c r="U63" s="303">
        <f>SUM(U64:U68)</f>
        <v/>
      </c>
      <c r="V63" s="285" t="n"/>
      <c r="W63" s="285" t="n"/>
      <c r="X63" s="285" t="n"/>
      <c r="Y63" s="285" t="n"/>
      <c r="Z63" s="285" t="n"/>
      <c r="AA63" s="285" t="n"/>
      <c r="AB63" s="285" t="n"/>
    </row>
    <row r="64" ht="18.75" customHeight="1" s="398">
      <c r="A64" s="325" t="n"/>
      <c r="B64" s="326" t="inlineStr">
        <is>
          <t>Despesas Não Orçadas</t>
        </is>
      </c>
      <c r="C64" s="326" t="n"/>
      <c r="D64" s="325" t="n"/>
      <c r="E64" s="327" t="inlineStr">
        <is>
          <t>-</t>
        </is>
      </c>
      <c r="S64" s="288" t="n"/>
      <c r="T64" s="299" t="n"/>
      <c r="U64" s="299">
        <f>SUM(F64:R64)</f>
        <v/>
      </c>
      <c r="V64" s="285" t="n"/>
      <c r="W64" s="285" t="n"/>
      <c r="X64" s="285" t="n"/>
      <c r="Y64" s="285" t="n"/>
      <c r="Z64" s="285" t="n"/>
      <c r="AA64" s="285" t="n"/>
      <c r="AB64" s="285" t="n"/>
    </row>
    <row r="65" ht="18.75" customHeight="1" s="398">
      <c r="A65" s="325" t="n"/>
      <c r="B65" s="326" t="inlineStr">
        <is>
          <t>Despesas reembolsáveis</t>
        </is>
      </c>
      <c r="C65" s="326" t="n"/>
      <c r="D65" s="325" t="n"/>
      <c r="E65" s="327" t="n"/>
      <c r="F65" s="458">
        <f>280</f>
        <v/>
      </c>
      <c r="G65" s="469" t="n">
        <v>6701.56</v>
      </c>
      <c r="S65" s="288" t="n"/>
      <c r="T65" s="299">
        <f>E65*12</f>
        <v/>
      </c>
      <c r="U65" s="299">
        <f>SUM(F65:R65)</f>
        <v/>
      </c>
      <c r="V65" s="285" t="n"/>
      <c r="W65" s="285" t="n"/>
      <c r="X65" s="285" t="n"/>
      <c r="Y65" s="285" t="n"/>
      <c r="Z65" s="285" t="n"/>
      <c r="AA65" s="285" t="n"/>
      <c r="AB65" s="285" t="n"/>
    </row>
    <row r="66" ht="18.75" customHeight="1" s="398">
      <c r="A66" s="325" t="n"/>
      <c r="B66" s="326" t="inlineStr">
        <is>
          <t xml:space="preserve">Honorários advocatícios </t>
        </is>
      </c>
      <c r="C66" s="326" t="n"/>
      <c r="D66" s="325" t="n"/>
      <c r="E66" s="327" t="n"/>
      <c r="F66" s="458">
        <f>974.5+63.75+63.75+25.5+2437.5+2437.5</f>
        <v/>
      </c>
      <c r="S66" s="288" t="n"/>
      <c r="T66" s="299">
        <f>E66*12</f>
        <v/>
      </c>
      <c r="U66" s="299">
        <f>SUM(F66:R66)</f>
        <v/>
      </c>
      <c r="V66" s="285" t="n"/>
      <c r="W66" s="285" t="n"/>
      <c r="X66" s="285" t="n"/>
      <c r="Y66" s="285" t="n"/>
      <c r="Z66" s="285" t="n"/>
      <c r="AA66" s="285" t="n"/>
      <c r="AB66" s="285" t="n"/>
    </row>
    <row r="67" ht="18.75" customHeight="1" s="398">
      <c r="A67" s="325" t="n"/>
      <c r="B67" s="326" t="inlineStr">
        <is>
          <t>Ampliação do CFTV</t>
        </is>
      </c>
      <c r="C67" s="326" t="n"/>
      <c r="D67" s="325" t="n"/>
      <c r="E67" s="327" t="n"/>
      <c r="S67" s="288" t="n"/>
      <c r="T67" s="299">
        <f>E67*12</f>
        <v/>
      </c>
      <c r="U67" s="299">
        <f>SUM(F67:R67)</f>
        <v/>
      </c>
      <c r="V67" s="285" t="n"/>
      <c r="W67" s="285" t="n"/>
      <c r="X67" s="285" t="n"/>
      <c r="Y67" s="285" t="n"/>
      <c r="Z67" s="285" t="n"/>
      <c r="AA67" s="285" t="n"/>
      <c r="AB67" s="285" t="n"/>
    </row>
    <row r="68" ht="18.75" customHeight="1" s="398">
      <c r="A68" s="325" t="n"/>
      <c r="B68" s="326" t="inlineStr">
        <is>
          <t>Transferências Entre Contas</t>
        </is>
      </c>
      <c r="C68" s="326" t="n"/>
      <c r="D68" s="325" t="n"/>
      <c r="E68" s="327" t="inlineStr">
        <is>
          <t>-</t>
        </is>
      </c>
      <c r="G68" s="469" t="n">
        <v>128.88</v>
      </c>
      <c r="S68" s="288" t="n"/>
      <c r="T68" s="299" t="n"/>
      <c r="U68" s="284" t="n"/>
      <c r="V68" s="285" t="n"/>
      <c r="W68" s="285" t="n"/>
      <c r="X68" s="285" t="n"/>
      <c r="Y68" s="285" t="n"/>
      <c r="Z68" s="285" t="n"/>
      <c r="AA68" s="285" t="n"/>
      <c r="AB68" s="285" t="n"/>
    </row>
    <row r="69" ht="15.75" customHeight="1" s="398">
      <c r="A69" s="317" t="n"/>
      <c r="B69" s="317" t="n"/>
      <c r="C69" s="318" t="n"/>
      <c r="D69" s="317" t="n"/>
      <c r="E69" s="315" t="n"/>
      <c r="F69" s="472" t="n"/>
      <c r="G69" s="474" t="n"/>
      <c r="H69" s="474" t="n"/>
      <c r="I69" s="474" t="n"/>
      <c r="J69" s="474" t="n"/>
      <c r="K69" s="474" t="n"/>
      <c r="L69" s="474" t="n"/>
      <c r="M69" s="474" t="n"/>
      <c r="N69" s="474" t="n"/>
      <c r="O69" s="474" t="n"/>
      <c r="P69" s="472" t="n"/>
      <c r="Q69" s="472" t="n"/>
      <c r="R69" s="472" t="n"/>
      <c r="S69" s="288" t="n"/>
      <c r="T69" s="299" t="n"/>
      <c r="U69" s="284" t="n"/>
      <c r="V69" s="285" t="n"/>
      <c r="W69" s="285" t="n"/>
      <c r="X69" s="285" t="n"/>
      <c r="Y69" s="285" t="n"/>
      <c r="Z69" s="285" t="n"/>
      <c r="AA69" s="285" t="n"/>
      <c r="AB69" s="285" t="n"/>
    </row>
    <row r="70" ht="24" customHeight="1" s="398">
      <c r="A70" s="330" t="n"/>
      <c r="B70" s="330" t="inlineStr">
        <is>
          <t>TOTAL DESPESAS CONTA PRINCIPAL</t>
        </is>
      </c>
      <c r="C70" s="367" t="n"/>
      <c r="D70" s="330" t="n"/>
      <c r="E70" s="477">
        <f>E56</f>
        <v/>
      </c>
      <c r="F70" s="478">
        <f>F63+F58+F56</f>
        <v/>
      </c>
      <c r="G70" s="478">
        <f>G63+G58+G56</f>
        <v/>
      </c>
      <c r="H70" s="478">
        <f>H63+H58+H56</f>
        <v/>
      </c>
      <c r="I70" s="478">
        <f>I63+I58+I56</f>
        <v/>
      </c>
      <c r="J70" s="478">
        <f>J63+J58+J56</f>
        <v/>
      </c>
      <c r="K70" s="478">
        <f>K63+K58+K56</f>
        <v/>
      </c>
      <c r="L70" s="478">
        <f>L63+L58+L56</f>
        <v/>
      </c>
      <c r="M70" s="478">
        <f>M63+M58+M56</f>
        <v/>
      </c>
      <c r="N70" s="478">
        <f>N63+N58+N56</f>
        <v/>
      </c>
      <c r="O70" s="478">
        <f>O63+O58+O56</f>
        <v/>
      </c>
      <c r="P70" s="478">
        <f>P56+P58+P63</f>
        <v/>
      </c>
      <c r="Q70" s="478">
        <f>Q56+Q58+Q63</f>
        <v/>
      </c>
      <c r="R70" s="478">
        <f>R63+R58+R56</f>
        <v/>
      </c>
      <c r="S70" s="288" t="n"/>
      <c r="T70" s="303">
        <f>T56+T58+T63</f>
        <v/>
      </c>
      <c r="U70" s="293">
        <f>U56+U58+U63</f>
        <v/>
      </c>
      <c r="V70" s="285" t="n"/>
      <c r="W70" s="285" t="n"/>
      <c r="X70" s="285" t="n"/>
      <c r="Y70" s="285" t="n"/>
      <c r="Z70" s="285" t="n"/>
      <c r="AA70" s="285" t="n"/>
      <c r="AB70" s="285" t="n"/>
    </row>
    <row r="71" ht="15.75" customHeight="1" s="398">
      <c r="A71" s="317" t="n"/>
      <c r="B71" s="317" t="n"/>
      <c r="C71" s="318" t="n"/>
      <c r="D71" s="317" t="n"/>
      <c r="E71" s="315" t="n"/>
      <c r="F71" s="472" t="n"/>
      <c r="G71" s="472" t="n"/>
      <c r="H71" s="472" t="n"/>
      <c r="I71" s="472" t="n"/>
      <c r="J71" s="472" t="n"/>
      <c r="K71" s="472" t="n"/>
      <c r="L71" s="472" t="n"/>
      <c r="M71" s="472" t="n"/>
      <c r="N71" s="472" t="n"/>
      <c r="O71" s="472" t="n"/>
      <c r="P71" s="472" t="n"/>
      <c r="Q71" s="472" t="n"/>
      <c r="R71" s="472" t="n"/>
      <c r="S71" s="288" t="n"/>
      <c r="T71" s="284" t="n"/>
      <c r="U71" s="284" t="n"/>
      <c r="V71" s="285" t="n"/>
      <c r="W71" s="285" t="n"/>
      <c r="X71" s="285" t="n"/>
      <c r="Y71" s="285" t="n"/>
      <c r="Z71" s="285" t="n"/>
      <c r="AA71" s="285" t="n"/>
      <c r="AB71" s="285" t="n"/>
    </row>
    <row r="72" ht="15.75" customHeight="1" s="398">
      <c r="A72" s="317" t="n"/>
      <c r="B72" s="317" t="n"/>
      <c r="C72" s="318" t="n"/>
      <c r="D72" s="317" t="n"/>
      <c r="E72" s="315" t="n"/>
      <c r="F72" s="472" t="n"/>
      <c r="G72" s="472" t="n"/>
      <c r="H72" s="472" t="n"/>
      <c r="I72" s="472" t="n"/>
      <c r="J72" s="472" t="n"/>
      <c r="K72" s="472" t="n"/>
      <c r="L72" s="472" t="n"/>
      <c r="M72" s="472" t="n"/>
      <c r="N72" s="472" t="n"/>
      <c r="O72" s="472" t="n"/>
      <c r="P72" s="472" t="n"/>
      <c r="Q72" s="472" t="n"/>
      <c r="R72" s="472" t="n"/>
      <c r="S72" s="288" t="n"/>
      <c r="T72" s="479" t="n"/>
      <c r="U72" s="284" t="n"/>
      <c r="V72" s="285" t="n"/>
      <c r="W72" s="285" t="n"/>
      <c r="X72" s="285" t="n"/>
      <c r="Y72" s="285" t="n"/>
      <c r="Z72" s="285" t="n"/>
      <c r="AA72" s="285" t="n"/>
      <c r="AB72" s="285" t="n"/>
    </row>
    <row r="73" ht="15.75" customHeight="1" s="398">
      <c r="A73" s="317" t="n"/>
      <c r="B73" s="317" t="n"/>
      <c r="C73" s="318" t="n"/>
      <c r="D73" s="317" t="n"/>
      <c r="E73" s="315" t="n"/>
      <c r="F73" s="472" t="n"/>
      <c r="G73" s="472" t="n"/>
      <c r="H73" s="472" t="n"/>
      <c r="I73" s="472" t="n"/>
      <c r="J73" s="472" t="n"/>
      <c r="K73" s="472" t="n"/>
      <c r="L73" s="472" t="n"/>
      <c r="M73" s="472" t="n"/>
      <c r="N73" s="472" t="n"/>
      <c r="O73" s="472" t="n"/>
      <c r="P73" s="472" t="n"/>
      <c r="Q73" s="472" t="n"/>
      <c r="R73" s="472" t="n"/>
      <c r="S73" s="288" t="n"/>
      <c r="T73" s="284" t="n"/>
      <c r="U73" s="284" t="n"/>
      <c r="V73" s="285" t="n"/>
      <c r="W73" s="285" t="n"/>
      <c r="X73" s="285" t="n"/>
      <c r="Y73" s="285" t="n"/>
      <c r="Z73" s="285" t="n"/>
      <c r="AA73" s="285" t="n"/>
      <c r="AB73" s="285" t="n"/>
    </row>
    <row r="74" ht="15.75" customHeight="1" s="398">
      <c r="A74" s="317" t="n"/>
      <c r="B74" s="317" t="n"/>
      <c r="C74" s="318" t="n"/>
      <c r="D74" s="317" t="n"/>
      <c r="E74" s="315" t="n"/>
      <c r="F74" s="472" t="n"/>
      <c r="G74" s="472" t="n"/>
      <c r="H74" s="472" t="n"/>
      <c r="I74" s="472" t="n"/>
      <c r="J74" s="472" t="n"/>
      <c r="K74" s="472" t="n"/>
      <c r="L74" s="472" t="n"/>
      <c r="M74" s="472" t="n"/>
      <c r="N74" s="472" t="n"/>
      <c r="O74" s="472" t="n"/>
      <c r="P74" s="472" t="n"/>
      <c r="Q74" s="472" t="n"/>
      <c r="R74" s="472" t="n"/>
      <c r="S74" s="288" t="n"/>
      <c r="T74" s="284" t="n"/>
      <c r="U74" s="284" t="n"/>
      <c r="V74" s="285" t="n"/>
      <c r="W74" s="285" t="n"/>
      <c r="X74" s="285" t="n"/>
      <c r="Y74" s="285" t="n"/>
      <c r="Z74" s="285" t="n"/>
      <c r="AA74" s="285" t="n"/>
      <c r="AB74" s="285" t="n"/>
    </row>
    <row r="75" ht="15.75" customHeight="1" s="398">
      <c r="A75" s="317" t="n"/>
      <c r="B75" s="317" t="n"/>
      <c r="C75" s="318" t="n"/>
      <c r="D75" s="317" t="n"/>
      <c r="E75" s="315" t="n"/>
      <c r="F75" s="472" t="n"/>
      <c r="G75" s="472" t="n"/>
      <c r="H75" s="472" t="n"/>
      <c r="I75" s="472" t="n"/>
      <c r="J75" s="472" t="n"/>
      <c r="K75" s="472" t="n"/>
      <c r="L75" s="472" t="n"/>
      <c r="M75" s="472" t="n"/>
      <c r="N75" s="472" t="n"/>
      <c r="O75" s="472" t="n"/>
      <c r="P75" s="472" t="n"/>
      <c r="Q75" s="472" t="n"/>
      <c r="R75" s="472" t="n"/>
      <c r="S75" s="288" t="n"/>
      <c r="T75" s="284" t="n"/>
      <c r="U75" s="284" t="n"/>
      <c r="V75" s="285" t="n"/>
      <c r="W75" s="285" t="n"/>
      <c r="X75" s="285" t="n"/>
      <c r="Y75" s="285" t="n"/>
      <c r="Z75" s="285" t="n"/>
      <c r="AA75" s="285" t="n"/>
      <c r="AB75" s="285" t="n"/>
    </row>
    <row r="76" ht="15.75" customHeight="1" s="398">
      <c r="A76" s="317" t="n"/>
      <c r="B76" s="317" t="n"/>
      <c r="C76" s="318" t="n"/>
      <c r="D76" s="317" t="n"/>
      <c r="E76" s="315" t="n"/>
      <c r="F76" s="472" t="n"/>
      <c r="G76" s="472" t="n"/>
      <c r="H76" s="472" t="n"/>
      <c r="I76" s="472" t="n"/>
      <c r="J76" s="472" t="n"/>
      <c r="K76" s="472" t="n"/>
      <c r="L76" s="472" t="n"/>
      <c r="M76" s="472" t="n"/>
      <c r="N76" s="472" t="n"/>
      <c r="O76" s="472" t="n"/>
      <c r="P76" s="472" t="n"/>
      <c r="Q76" s="472" t="n"/>
      <c r="R76" s="472" t="n"/>
      <c r="S76" s="288" t="n"/>
      <c r="T76" s="284" t="n"/>
      <c r="U76" s="284" t="n"/>
      <c r="V76" s="285" t="n"/>
      <c r="W76" s="285" t="n"/>
      <c r="X76" s="285" t="n"/>
      <c r="Y76" s="285" t="n"/>
      <c r="Z76" s="285" t="n"/>
      <c r="AA76" s="285" t="n"/>
      <c r="AB76" s="285" t="n"/>
    </row>
    <row r="77" ht="15.75" customHeight="1" s="398">
      <c r="A77" s="317" t="n"/>
      <c r="B77" s="317" t="n"/>
      <c r="C77" s="318" t="n"/>
      <c r="D77" s="317" t="n"/>
      <c r="E77" s="315" t="n"/>
      <c r="F77" s="472" t="n"/>
      <c r="G77" s="472" t="n"/>
      <c r="H77" s="472" t="n"/>
      <c r="I77" s="472" t="n"/>
      <c r="J77" s="472" t="n"/>
      <c r="K77" s="472" t="n"/>
      <c r="L77" s="472" t="n"/>
      <c r="M77" s="472" t="n"/>
      <c r="N77" s="472" t="n"/>
      <c r="O77" s="472" t="n"/>
      <c r="P77" s="472" t="n"/>
      <c r="Q77" s="472" t="n"/>
      <c r="R77" s="472" t="n"/>
      <c r="S77" s="288" t="n"/>
      <c r="T77" s="284" t="n"/>
      <c r="U77" s="284" t="n"/>
      <c r="V77" s="285" t="n"/>
      <c r="W77" s="285" t="n"/>
      <c r="X77" s="285" t="n"/>
      <c r="Y77" s="285" t="n"/>
      <c r="Z77" s="285" t="n"/>
      <c r="AA77" s="285" t="n"/>
      <c r="AB77" s="285" t="n"/>
    </row>
    <row r="78" ht="15.75" customHeight="1" s="398">
      <c r="A78" s="317" t="n"/>
      <c r="B78" s="317" t="n"/>
      <c r="C78" s="318" t="n"/>
      <c r="D78" s="317" t="n"/>
      <c r="E78" s="315" t="n"/>
      <c r="F78" s="472" t="n"/>
      <c r="G78" s="472" t="n"/>
      <c r="H78" s="472" t="n"/>
      <c r="I78" s="472" t="n"/>
      <c r="J78" s="472" t="n"/>
      <c r="K78" s="472" t="n"/>
      <c r="L78" s="472" t="n"/>
      <c r="M78" s="472" t="n"/>
      <c r="N78" s="472" t="n"/>
      <c r="O78" s="472" t="n"/>
      <c r="P78" s="472" t="n"/>
      <c r="Q78" s="472" t="n"/>
      <c r="R78" s="472" t="n"/>
      <c r="S78" s="288" t="n"/>
      <c r="T78" s="284" t="n"/>
      <c r="U78" s="284" t="n"/>
      <c r="V78" s="285" t="n"/>
      <c r="W78" s="285" t="n"/>
      <c r="X78" s="285" t="n"/>
      <c r="Y78" s="285" t="n"/>
      <c r="Z78" s="285" t="n"/>
      <c r="AA78" s="285" t="n"/>
      <c r="AB78" s="285" t="n"/>
    </row>
    <row r="79" ht="15.75" customHeight="1" s="398">
      <c r="A79" s="317" t="n"/>
      <c r="B79" s="317" t="n"/>
      <c r="C79" s="318" t="n"/>
      <c r="D79" s="317" t="n"/>
      <c r="E79" s="315" t="n"/>
      <c r="F79" s="472" t="n"/>
      <c r="G79" s="472" t="n"/>
      <c r="H79" s="472" t="n"/>
      <c r="I79" s="472" t="n"/>
      <c r="J79" s="472" t="n"/>
      <c r="K79" s="472" t="n"/>
      <c r="L79" s="472" t="n"/>
      <c r="M79" s="472" t="n"/>
      <c r="N79" s="472" t="n"/>
      <c r="O79" s="472" t="n"/>
      <c r="P79" s="472" t="n"/>
      <c r="Q79" s="472" t="n"/>
      <c r="R79" s="472" t="n"/>
      <c r="S79" s="288" t="n"/>
      <c r="T79" s="284" t="n"/>
      <c r="U79" s="284" t="n"/>
      <c r="V79" s="285" t="n"/>
      <c r="W79" s="285" t="n"/>
      <c r="X79" s="285" t="n"/>
      <c r="Y79" s="285" t="n"/>
      <c r="Z79" s="285" t="n"/>
      <c r="AA79" s="285" t="n"/>
      <c r="AB79" s="285" t="n"/>
    </row>
    <row r="80" ht="15.75" customHeight="1" s="398">
      <c r="A80" s="317" t="n"/>
      <c r="B80" s="317" t="n"/>
      <c r="C80" s="318" t="n"/>
      <c r="D80" s="317" t="n"/>
      <c r="E80" s="315" t="n"/>
      <c r="F80" s="472" t="n"/>
      <c r="G80" s="472" t="n"/>
      <c r="H80" s="472" t="n"/>
      <c r="I80" s="472" t="n"/>
      <c r="J80" s="472" t="n"/>
      <c r="K80" s="472" t="n"/>
      <c r="L80" s="472" t="n"/>
      <c r="M80" s="472" t="n"/>
      <c r="N80" s="472" t="n"/>
      <c r="O80" s="472" t="n"/>
      <c r="P80" s="472" t="n"/>
      <c r="Q80" s="472" t="n"/>
      <c r="R80" s="472" t="n"/>
      <c r="S80" s="288" t="n"/>
      <c r="T80" s="284" t="n"/>
      <c r="U80" s="284" t="n"/>
      <c r="V80" s="285" t="n"/>
      <c r="W80" s="285" t="n"/>
      <c r="X80" s="285" t="n"/>
      <c r="Y80" s="285" t="n"/>
      <c r="Z80" s="285" t="n"/>
      <c r="AA80" s="285" t="n"/>
      <c r="AB80" s="285" t="n"/>
    </row>
    <row r="81" ht="15.75" customHeight="1" s="398">
      <c r="A81" s="317" t="n"/>
      <c r="B81" s="317" t="n"/>
      <c r="C81" s="318" t="n"/>
      <c r="D81" s="317" t="n"/>
      <c r="E81" s="315" t="n"/>
      <c r="F81" s="472" t="n"/>
      <c r="G81" s="472" t="n"/>
      <c r="H81" s="472" t="n"/>
      <c r="I81" s="472" t="n"/>
      <c r="J81" s="472" t="n"/>
      <c r="K81" s="472" t="n"/>
      <c r="L81" s="472" t="n"/>
      <c r="M81" s="472" t="n"/>
      <c r="N81" s="472" t="n"/>
      <c r="O81" s="472" t="n"/>
      <c r="P81" s="472" t="n"/>
      <c r="Q81" s="472" t="n"/>
      <c r="R81" s="472" t="n"/>
      <c r="S81" s="288" t="n"/>
      <c r="T81" s="284" t="n"/>
      <c r="U81" s="284" t="n"/>
      <c r="V81" s="285" t="n"/>
      <c r="W81" s="285" t="n"/>
      <c r="X81" s="285" t="n"/>
      <c r="Y81" s="285" t="n"/>
      <c r="Z81" s="285" t="n"/>
      <c r="AA81" s="285" t="n"/>
      <c r="AB81" s="285" t="n"/>
    </row>
    <row r="82" ht="15.75" customHeight="1" s="398">
      <c r="A82" s="317" t="n"/>
      <c r="B82" s="317" t="n"/>
      <c r="C82" s="318" t="n"/>
      <c r="D82" s="317" t="n"/>
      <c r="E82" s="315" t="n"/>
      <c r="F82" s="472" t="n"/>
      <c r="G82" s="472" t="n"/>
      <c r="H82" s="472" t="n"/>
      <c r="I82" s="472" t="n"/>
      <c r="J82" s="472" t="n"/>
      <c r="K82" s="472" t="n"/>
      <c r="L82" s="472" t="n"/>
      <c r="M82" s="472" t="n"/>
      <c r="N82" s="472" t="n"/>
      <c r="O82" s="472" t="n"/>
      <c r="P82" s="472" t="n"/>
      <c r="Q82" s="472" t="n"/>
      <c r="R82" s="472" t="n"/>
      <c r="S82" s="288" t="n"/>
      <c r="T82" s="284" t="n"/>
      <c r="U82" s="284" t="n"/>
      <c r="V82" s="285" t="n"/>
      <c r="W82" s="285" t="n"/>
      <c r="X82" s="285" t="n"/>
      <c r="Y82" s="285" t="n"/>
      <c r="Z82" s="285" t="n"/>
      <c r="AA82" s="285" t="n"/>
      <c r="AB82" s="285" t="n"/>
    </row>
    <row r="83" ht="15.75" customHeight="1" s="398">
      <c r="A83" s="317" t="n"/>
      <c r="B83" s="317" t="n"/>
      <c r="C83" s="318" t="n"/>
      <c r="D83" s="317" t="n"/>
      <c r="E83" s="315" t="n"/>
      <c r="F83" s="472" t="n"/>
      <c r="G83" s="472" t="n"/>
      <c r="H83" s="472" t="n"/>
      <c r="I83" s="472" t="n"/>
      <c r="J83" s="472" t="n"/>
      <c r="K83" s="472" t="n"/>
      <c r="L83" s="472" t="n"/>
      <c r="M83" s="472" t="n"/>
      <c r="N83" s="472" t="n"/>
      <c r="O83" s="472" t="n"/>
      <c r="P83" s="472" t="n"/>
      <c r="Q83" s="472" t="n"/>
      <c r="R83" s="472" t="n"/>
      <c r="S83" s="288" t="n"/>
      <c r="T83" s="284" t="n"/>
      <c r="U83" s="284" t="n"/>
      <c r="V83" s="285" t="n"/>
      <c r="W83" s="285" t="n"/>
      <c r="X83" s="285" t="n"/>
      <c r="Y83" s="285" t="n"/>
      <c r="Z83" s="285" t="n"/>
      <c r="AA83" s="285" t="n"/>
      <c r="AB83" s="285" t="n"/>
    </row>
    <row r="84" ht="15.75" customHeight="1" s="398">
      <c r="A84" s="317" t="n"/>
      <c r="B84" s="317" t="n"/>
      <c r="C84" s="318" t="n"/>
      <c r="D84" s="317" t="n"/>
      <c r="E84" s="315" t="n"/>
      <c r="F84" s="472" t="n"/>
      <c r="G84" s="472" t="n"/>
      <c r="H84" s="472" t="n"/>
      <c r="I84" s="472" t="n"/>
      <c r="J84" s="472" t="n"/>
      <c r="K84" s="472" t="n"/>
      <c r="L84" s="472" t="n"/>
      <c r="M84" s="472" t="n"/>
      <c r="N84" s="472" t="n"/>
      <c r="O84" s="472" t="n"/>
      <c r="P84" s="472" t="n"/>
      <c r="Q84" s="472" t="n"/>
      <c r="R84" s="472" t="n"/>
      <c r="S84" s="288" t="n"/>
      <c r="T84" s="284" t="n"/>
      <c r="U84" s="284" t="n"/>
      <c r="V84" s="285" t="n"/>
      <c r="W84" s="285" t="n"/>
      <c r="X84" s="285" t="n"/>
      <c r="Y84" s="285" t="n"/>
      <c r="Z84" s="285" t="n"/>
      <c r="AA84" s="285" t="n"/>
      <c r="AB84" s="285" t="n"/>
    </row>
    <row r="85" ht="15.75" customHeight="1" s="398">
      <c r="A85" s="317" t="n"/>
      <c r="B85" s="317" t="n"/>
      <c r="C85" s="318" t="n"/>
      <c r="D85" s="317" t="n"/>
      <c r="E85" s="315" t="n"/>
      <c r="F85" s="472" t="n"/>
      <c r="G85" s="472" t="n"/>
      <c r="H85" s="472" t="n"/>
      <c r="I85" s="472" t="n"/>
      <c r="J85" s="472" t="n"/>
      <c r="K85" s="472" t="n"/>
      <c r="L85" s="472" t="n"/>
      <c r="M85" s="472" t="n"/>
      <c r="N85" s="472" t="n"/>
      <c r="O85" s="472" t="n"/>
      <c r="P85" s="472" t="n"/>
      <c r="Q85" s="472" t="n"/>
      <c r="R85" s="472" t="n"/>
      <c r="S85" s="288" t="n"/>
      <c r="T85" s="284" t="n"/>
      <c r="U85" s="284" t="n"/>
      <c r="V85" s="285" t="n"/>
      <c r="W85" s="285" t="n"/>
      <c r="X85" s="285" t="n"/>
      <c r="Y85" s="285" t="n"/>
      <c r="Z85" s="285" t="n"/>
      <c r="AA85" s="285" t="n"/>
      <c r="AB85" s="285" t="n"/>
    </row>
    <row r="86" ht="15.75" customHeight="1" s="398">
      <c r="A86" s="317" t="n"/>
      <c r="B86" s="317" t="n"/>
      <c r="C86" s="318" t="n"/>
      <c r="D86" s="317" t="n"/>
      <c r="E86" s="315" t="n"/>
      <c r="F86" s="472" t="n"/>
      <c r="G86" s="472" t="n"/>
      <c r="H86" s="472" t="n"/>
      <c r="I86" s="472" t="n"/>
      <c r="J86" s="472" t="n"/>
      <c r="K86" s="472" t="n"/>
      <c r="L86" s="472" t="n"/>
      <c r="M86" s="472" t="n"/>
      <c r="N86" s="472" t="n"/>
      <c r="O86" s="472" t="n"/>
      <c r="P86" s="472" t="n"/>
      <c r="Q86" s="472" t="n"/>
      <c r="R86" s="472" t="n"/>
      <c r="S86" s="288" t="n"/>
      <c r="T86" s="284" t="n"/>
      <c r="U86" s="284" t="n"/>
      <c r="V86" s="285" t="n"/>
      <c r="W86" s="285" t="n"/>
      <c r="X86" s="285" t="n"/>
      <c r="Y86" s="285" t="n"/>
      <c r="Z86" s="285" t="n"/>
      <c r="AA86" s="285" t="n"/>
      <c r="AB86" s="285" t="n"/>
    </row>
    <row r="87" ht="15.75" customHeight="1" s="398">
      <c r="A87" s="317" t="n"/>
      <c r="B87" s="317" t="n"/>
      <c r="C87" s="318" t="n"/>
      <c r="D87" s="317" t="n"/>
      <c r="E87" s="315" t="n"/>
      <c r="F87" s="472" t="n"/>
      <c r="G87" s="472" t="n"/>
      <c r="H87" s="472" t="n"/>
      <c r="I87" s="472" t="n"/>
      <c r="J87" s="472" t="n"/>
      <c r="K87" s="472" t="n"/>
      <c r="L87" s="472" t="n"/>
      <c r="M87" s="472" t="n"/>
      <c r="N87" s="472" t="n"/>
      <c r="O87" s="472" t="n"/>
      <c r="P87" s="472" t="n"/>
      <c r="Q87" s="472" t="n"/>
      <c r="R87" s="472" t="n"/>
      <c r="S87" s="288" t="n"/>
      <c r="T87" s="284" t="n"/>
      <c r="U87" s="284" t="n"/>
      <c r="V87" s="285" t="n"/>
      <c r="W87" s="285" t="n"/>
      <c r="X87" s="285" t="n"/>
      <c r="Y87" s="285" t="n"/>
      <c r="Z87" s="285" t="n"/>
      <c r="AA87" s="285" t="n"/>
      <c r="AB87" s="285" t="n"/>
    </row>
    <row r="88" ht="15.75" customHeight="1" s="398">
      <c r="A88" s="317" t="n"/>
      <c r="B88" s="317" t="n"/>
      <c r="C88" s="318" t="n"/>
      <c r="D88" s="317" t="n"/>
      <c r="E88" s="315" t="n"/>
      <c r="F88" s="472" t="n"/>
      <c r="G88" s="472" t="n"/>
      <c r="H88" s="472" t="n"/>
      <c r="I88" s="472" t="n"/>
      <c r="J88" s="472" t="n"/>
      <c r="K88" s="472" t="n"/>
      <c r="L88" s="472" t="n"/>
      <c r="M88" s="472" t="n"/>
      <c r="N88" s="472" t="n"/>
      <c r="O88" s="472" t="n"/>
      <c r="P88" s="472" t="n"/>
      <c r="Q88" s="472" t="n"/>
      <c r="R88" s="472" t="n"/>
      <c r="S88" s="288" t="n"/>
      <c r="T88" s="284" t="n"/>
      <c r="U88" s="284" t="n"/>
      <c r="V88" s="285" t="n"/>
      <c r="W88" s="285" t="n"/>
      <c r="X88" s="285" t="n"/>
      <c r="Y88" s="285" t="n"/>
      <c r="Z88" s="285" t="n"/>
      <c r="AA88" s="285" t="n"/>
      <c r="AB88" s="285" t="n"/>
    </row>
    <row r="89" ht="15.75" customHeight="1" s="398">
      <c r="A89" s="317" t="n"/>
      <c r="B89" s="317" t="n"/>
      <c r="C89" s="318" t="n"/>
      <c r="D89" s="317" t="n"/>
      <c r="E89" s="315" t="n"/>
      <c r="F89" s="472" t="n"/>
      <c r="G89" s="472" t="n"/>
      <c r="H89" s="472" t="n"/>
      <c r="I89" s="472" t="n"/>
      <c r="J89" s="472" t="n"/>
      <c r="K89" s="472" t="n"/>
      <c r="L89" s="472" t="n"/>
      <c r="M89" s="472" t="n"/>
      <c r="N89" s="472" t="n"/>
      <c r="O89" s="472" t="n"/>
      <c r="P89" s="472" t="n"/>
      <c r="Q89" s="472" t="n"/>
      <c r="R89" s="472" t="n"/>
      <c r="S89" s="288" t="n"/>
      <c r="T89" s="284" t="n"/>
      <c r="U89" s="284" t="n"/>
      <c r="V89" s="285" t="n"/>
      <c r="W89" s="285" t="n"/>
      <c r="X89" s="285" t="n"/>
      <c r="Y89" s="285" t="n"/>
      <c r="Z89" s="285" t="n"/>
      <c r="AA89" s="285" t="n"/>
      <c r="AB89" s="285" t="n"/>
    </row>
    <row r="90" ht="15.75" customHeight="1" s="398">
      <c r="A90" s="317" t="n"/>
      <c r="B90" s="317" t="n"/>
      <c r="C90" s="318" t="n"/>
      <c r="D90" s="317" t="n"/>
      <c r="E90" s="315" t="n"/>
      <c r="F90" s="472" t="n"/>
      <c r="G90" s="472" t="n"/>
      <c r="H90" s="472" t="n"/>
      <c r="I90" s="472" t="n"/>
      <c r="J90" s="472" t="n"/>
      <c r="K90" s="472" t="n"/>
      <c r="L90" s="472" t="n"/>
      <c r="M90" s="472" t="n"/>
      <c r="N90" s="472" t="n"/>
      <c r="O90" s="472" t="n"/>
      <c r="P90" s="472" t="n"/>
      <c r="Q90" s="472" t="n"/>
      <c r="R90" s="472" t="n"/>
      <c r="S90" s="288" t="n"/>
      <c r="T90" s="284" t="n"/>
      <c r="U90" s="284" t="n"/>
      <c r="V90" s="285" t="n"/>
      <c r="W90" s="285" t="n"/>
      <c r="X90" s="285" t="n"/>
      <c r="Y90" s="285" t="n"/>
      <c r="Z90" s="285" t="n"/>
      <c r="AA90" s="285" t="n"/>
      <c r="AB90" s="285" t="n"/>
    </row>
    <row r="91" ht="15.75" customHeight="1" s="398">
      <c r="A91" s="317" t="n"/>
      <c r="B91" s="317" t="n"/>
      <c r="C91" s="318" t="n"/>
      <c r="D91" s="317" t="n"/>
      <c r="E91" s="315" t="n"/>
      <c r="F91" s="472" t="n"/>
      <c r="G91" s="472" t="n"/>
      <c r="H91" s="472" t="n"/>
      <c r="I91" s="472" t="n"/>
      <c r="J91" s="472" t="n"/>
      <c r="K91" s="472" t="n"/>
      <c r="L91" s="472" t="n"/>
      <c r="M91" s="472" t="n"/>
      <c r="N91" s="472" t="n"/>
      <c r="O91" s="472" t="n"/>
      <c r="P91" s="472" t="n"/>
      <c r="Q91" s="472" t="n"/>
      <c r="R91" s="472" t="n"/>
      <c r="S91" s="288" t="n"/>
      <c r="T91" s="284" t="n"/>
      <c r="U91" s="284" t="n"/>
      <c r="V91" s="285" t="n"/>
      <c r="W91" s="285" t="n"/>
      <c r="X91" s="285" t="n"/>
      <c r="Y91" s="285" t="n"/>
      <c r="Z91" s="285" t="n"/>
      <c r="AA91" s="285" t="n"/>
      <c r="AB91" s="285" t="n"/>
    </row>
    <row r="92" ht="15.75" customHeight="1" s="398">
      <c r="A92" s="317" t="n"/>
      <c r="B92" s="317" t="n"/>
      <c r="C92" s="318" t="n"/>
      <c r="D92" s="317" t="n"/>
      <c r="E92" s="315" t="n"/>
      <c r="F92" s="472" t="n"/>
      <c r="G92" s="472" t="n"/>
      <c r="H92" s="472" t="n"/>
      <c r="I92" s="472" t="n"/>
      <c r="J92" s="472" t="n"/>
      <c r="K92" s="472" t="n"/>
      <c r="L92" s="472" t="n"/>
      <c r="M92" s="472" t="n"/>
      <c r="N92" s="472" t="n"/>
      <c r="O92" s="472" t="n"/>
      <c r="P92" s="472" t="n"/>
      <c r="Q92" s="472" t="n"/>
      <c r="R92" s="472" t="n"/>
      <c r="S92" s="288" t="n"/>
      <c r="T92" s="284" t="n"/>
      <c r="U92" s="284" t="n"/>
      <c r="V92" s="285" t="n"/>
      <c r="W92" s="285" t="n"/>
      <c r="X92" s="285" t="n"/>
      <c r="Y92" s="285" t="n"/>
      <c r="Z92" s="285" t="n"/>
      <c r="AA92" s="285" t="n"/>
      <c r="AB92" s="285" t="n"/>
    </row>
    <row r="93" ht="15.75" customHeight="1" s="398">
      <c r="A93" s="317" t="n"/>
      <c r="B93" s="317" t="n"/>
      <c r="C93" s="318" t="n"/>
      <c r="D93" s="317" t="n"/>
      <c r="E93" s="315" t="n"/>
      <c r="F93" s="472" t="n"/>
      <c r="G93" s="472" t="n"/>
      <c r="H93" s="472" t="n"/>
      <c r="I93" s="472" t="n"/>
      <c r="J93" s="472" t="n"/>
      <c r="K93" s="472" t="n"/>
      <c r="L93" s="472" t="n"/>
      <c r="M93" s="472" t="n"/>
      <c r="N93" s="472" t="n"/>
      <c r="O93" s="472" t="n"/>
      <c r="P93" s="472" t="n"/>
      <c r="Q93" s="472" t="n"/>
      <c r="R93" s="472" t="n"/>
      <c r="S93" s="288" t="n"/>
      <c r="T93" s="284" t="n"/>
      <c r="U93" s="284" t="n"/>
      <c r="V93" s="285" t="n"/>
      <c r="W93" s="285" t="n"/>
      <c r="X93" s="285" t="n"/>
      <c r="Y93" s="285" t="n"/>
      <c r="Z93" s="285" t="n"/>
      <c r="AA93" s="285" t="n"/>
      <c r="AB93" s="285" t="n"/>
    </row>
    <row r="94" ht="15.75" customHeight="1" s="398">
      <c r="A94" s="317" t="n"/>
      <c r="B94" s="317" t="n"/>
      <c r="C94" s="318" t="n"/>
      <c r="D94" s="317" t="n"/>
      <c r="E94" s="315" t="n"/>
      <c r="F94" s="472" t="n"/>
      <c r="G94" s="472" t="n"/>
      <c r="H94" s="472" t="n"/>
      <c r="I94" s="472" t="n"/>
      <c r="J94" s="472" t="n"/>
      <c r="K94" s="472" t="n"/>
      <c r="L94" s="472" t="n"/>
      <c r="M94" s="472" t="n"/>
      <c r="N94" s="472" t="n"/>
      <c r="O94" s="472" t="n"/>
      <c r="P94" s="472" t="n"/>
      <c r="Q94" s="472" t="n"/>
      <c r="R94" s="472" t="n"/>
      <c r="S94" s="288" t="n"/>
      <c r="T94" s="284" t="n"/>
      <c r="U94" s="284" t="n"/>
      <c r="V94" s="285" t="n"/>
      <c r="W94" s="285" t="n"/>
      <c r="X94" s="285" t="n"/>
      <c r="Y94" s="285" t="n"/>
      <c r="Z94" s="285" t="n"/>
      <c r="AA94" s="285" t="n"/>
      <c r="AB94" s="285" t="n"/>
    </row>
    <row r="95" ht="15.75" customHeight="1" s="398">
      <c r="A95" s="317" t="n"/>
      <c r="B95" s="317" t="n"/>
      <c r="C95" s="318" t="n"/>
      <c r="D95" s="317" t="n"/>
      <c r="E95" s="315" t="n"/>
      <c r="F95" s="472" t="n"/>
      <c r="G95" s="472" t="n"/>
      <c r="H95" s="472" t="n"/>
      <c r="I95" s="472" t="n"/>
      <c r="J95" s="472" t="n"/>
      <c r="K95" s="472" t="n"/>
      <c r="L95" s="472" t="n"/>
      <c r="M95" s="472" t="n"/>
      <c r="N95" s="472" t="n"/>
      <c r="O95" s="472" t="n"/>
      <c r="P95" s="472" t="n"/>
      <c r="Q95" s="472" t="n"/>
      <c r="R95" s="472" t="n"/>
      <c r="S95" s="288" t="n"/>
      <c r="T95" s="284" t="n"/>
      <c r="U95" s="284" t="n"/>
      <c r="V95" s="285" t="n"/>
      <c r="W95" s="285" t="n"/>
      <c r="X95" s="285" t="n"/>
      <c r="Y95" s="285" t="n"/>
      <c r="Z95" s="285" t="n"/>
      <c r="AA95" s="285" t="n"/>
      <c r="AB95" s="285" t="n"/>
    </row>
    <row r="96" ht="15.75" customHeight="1" s="398">
      <c r="A96" s="317" t="n"/>
      <c r="B96" s="317" t="n"/>
      <c r="C96" s="318" t="n"/>
      <c r="D96" s="317" t="n"/>
      <c r="E96" s="315" t="n"/>
      <c r="F96" s="472" t="n"/>
      <c r="G96" s="472" t="n"/>
      <c r="H96" s="472" t="n"/>
      <c r="I96" s="472" t="n"/>
      <c r="J96" s="472" t="n"/>
      <c r="K96" s="472" t="n"/>
      <c r="L96" s="472" t="n"/>
      <c r="M96" s="472" t="n"/>
      <c r="N96" s="472" t="n"/>
      <c r="O96" s="472" t="n"/>
      <c r="P96" s="472" t="n"/>
      <c r="Q96" s="472" t="n"/>
      <c r="R96" s="472" t="n"/>
      <c r="S96" s="288" t="n"/>
      <c r="T96" s="284" t="n"/>
      <c r="U96" s="284" t="n"/>
      <c r="V96" s="285" t="n"/>
      <c r="W96" s="285" t="n"/>
      <c r="X96" s="285" t="n"/>
      <c r="Y96" s="285" t="n"/>
      <c r="Z96" s="285" t="n"/>
      <c r="AA96" s="285" t="n"/>
      <c r="AB96" s="285" t="n"/>
    </row>
    <row r="97" ht="15.75" customHeight="1" s="398">
      <c r="A97" s="317" t="n"/>
      <c r="B97" s="317" t="n"/>
      <c r="C97" s="318" t="n"/>
      <c r="D97" s="317" t="n"/>
      <c r="E97" s="315" t="n"/>
      <c r="F97" s="472" t="n"/>
      <c r="G97" s="472" t="n"/>
      <c r="H97" s="472" t="n"/>
      <c r="I97" s="472" t="n"/>
      <c r="J97" s="472" t="n"/>
      <c r="K97" s="472" t="n"/>
      <c r="L97" s="472" t="n"/>
      <c r="M97" s="472" t="n"/>
      <c r="N97" s="472" t="n"/>
      <c r="O97" s="472" t="n"/>
      <c r="P97" s="472" t="n"/>
      <c r="Q97" s="472" t="n"/>
      <c r="R97" s="472" t="n"/>
      <c r="S97" s="288" t="n"/>
      <c r="T97" s="284" t="n"/>
      <c r="U97" s="284" t="n"/>
      <c r="V97" s="285" t="n"/>
      <c r="W97" s="285" t="n"/>
      <c r="X97" s="285" t="n"/>
      <c r="Y97" s="285" t="n"/>
      <c r="Z97" s="285" t="n"/>
      <c r="AA97" s="285" t="n"/>
      <c r="AB97" s="285" t="n"/>
    </row>
    <row r="98" ht="15.75" customHeight="1" s="398">
      <c r="A98" s="317" t="n"/>
      <c r="B98" s="317" t="n"/>
      <c r="C98" s="318" t="n"/>
      <c r="D98" s="317" t="n"/>
      <c r="E98" s="315" t="n"/>
      <c r="F98" s="472" t="n"/>
      <c r="G98" s="472" t="n"/>
      <c r="H98" s="472" t="n"/>
      <c r="I98" s="472" t="n"/>
      <c r="J98" s="472" t="n"/>
      <c r="K98" s="472" t="n"/>
      <c r="L98" s="472" t="n"/>
      <c r="M98" s="472" t="n"/>
      <c r="N98" s="472" t="n"/>
      <c r="O98" s="472" t="n"/>
      <c r="P98" s="472" t="n"/>
      <c r="Q98" s="472" t="n"/>
      <c r="R98" s="472" t="n"/>
      <c r="S98" s="288" t="n"/>
      <c r="T98" s="284" t="n"/>
      <c r="U98" s="284" t="n"/>
      <c r="V98" s="285" t="n"/>
      <c r="W98" s="285" t="n"/>
      <c r="X98" s="285" t="n"/>
      <c r="Y98" s="285" t="n"/>
      <c r="Z98" s="285" t="n"/>
      <c r="AA98" s="285" t="n"/>
      <c r="AB98" s="285" t="n"/>
    </row>
    <row r="99" ht="15.75" customHeight="1" s="398">
      <c r="A99" s="317" t="n"/>
      <c r="B99" s="317" t="n"/>
      <c r="C99" s="318" t="n"/>
      <c r="D99" s="317" t="n"/>
      <c r="E99" s="315" t="n"/>
      <c r="F99" s="472" t="n"/>
      <c r="G99" s="472" t="n"/>
      <c r="H99" s="472" t="n"/>
      <c r="I99" s="472" t="n"/>
      <c r="J99" s="472" t="n"/>
      <c r="K99" s="472" t="n"/>
      <c r="L99" s="472" t="n"/>
      <c r="M99" s="472" t="n"/>
      <c r="N99" s="472" t="n"/>
      <c r="O99" s="472" t="n"/>
      <c r="P99" s="472" t="n"/>
      <c r="Q99" s="472" t="n"/>
      <c r="R99" s="472" t="n"/>
      <c r="S99" s="288" t="n"/>
      <c r="T99" s="284" t="n"/>
      <c r="U99" s="284" t="n"/>
      <c r="V99" s="285" t="n"/>
      <c r="W99" s="285" t="n"/>
      <c r="X99" s="285" t="n"/>
      <c r="Y99" s="285" t="n"/>
      <c r="Z99" s="285" t="n"/>
      <c r="AA99" s="285" t="n"/>
      <c r="AB99" s="285" t="n"/>
    </row>
    <row r="100" ht="15.75" customHeight="1" s="398">
      <c r="A100" s="317" t="n"/>
      <c r="B100" s="317" t="n"/>
      <c r="C100" s="318" t="n"/>
      <c r="D100" s="317" t="n"/>
      <c r="E100" s="315" t="n"/>
      <c r="F100" s="472" t="n"/>
      <c r="G100" s="472" t="n"/>
      <c r="H100" s="472" t="n"/>
      <c r="I100" s="472" t="n"/>
      <c r="J100" s="472" t="n"/>
      <c r="K100" s="472" t="n"/>
      <c r="L100" s="472" t="n"/>
      <c r="M100" s="472" t="n"/>
      <c r="N100" s="472" t="n"/>
      <c r="O100" s="472" t="n"/>
      <c r="P100" s="472" t="n"/>
      <c r="Q100" s="472" t="n"/>
      <c r="R100" s="472" t="n"/>
      <c r="S100" s="288" t="n"/>
      <c r="T100" s="284" t="n"/>
      <c r="U100" s="284" t="n"/>
      <c r="V100" s="285" t="n"/>
      <c r="W100" s="285" t="n"/>
      <c r="X100" s="285" t="n"/>
      <c r="Y100" s="285" t="n"/>
      <c r="Z100" s="285" t="n"/>
      <c r="AA100" s="285" t="n"/>
      <c r="AB100" s="285" t="n"/>
    </row>
    <row r="101" ht="15.75" customHeight="1" s="398">
      <c r="A101" s="317" t="n"/>
      <c r="B101" s="317" t="n"/>
      <c r="C101" s="318" t="n"/>
      <c r="D101" s="317" t="n"/>
      <c r="E101" s="315" t="n"/>
      <c r="F101" s="472" t="n"/>
      <c r="G101" s="472" t="n"/>
      <c r="H101" s="472" t="n"/>
      <c r="I101" s="472" t="n"/>
      <c r="J101" s="472" t="n"/>
      <c r="K101" s="472" t="n"/>
      <c r="L101" s="472" t="n"/>
      <c r="M101" s="472" t="n"/>
      <c r="N101" s="472" t="n"/>
      <c r="O101" s="472" t="n"/>
      <c r="P101" s="472" t="n"/>
      <c r="Q101" s="472" t="n"/>
      <c r="R101" s="472" t="n"/>
      <c r="S101" s="288" t="n"/>
      <c r="T101" s="284" t="n"/>
      <c r="U101" s="284" t="n"/>
      <c r="V101" s="285" t="n"/>
      <c r="W101" s="285" t="n"/>
      <c r="X101" s="285" t="n"/>
      <c r="Y101" s="285" t="n"/>
      <c r="Z101" s="285" t="n"/>
      <c r="AA101" s="285" t="n"/>
      <c r="AB101" s="285" t="n"/>
    </row>
    <row r="102" ht="15.75" customHeight="1" s="398">
      <c r="A102" s="317" t="n"/>
      <c r="B102" s="317" t="n"/>
      <c r="C102" s="318" t="n"/>
      <c r="D102" s="317" t="n"/>
      <c r="E102" s="315" t="n"/>
      <c r="F102" s="472" t="n"/>
      <c r="G102" s="472" t="n"/>
      <c r="H102" s="472" t="n"/>
      <c r="I102" s="472" t="n"/>
      <c r="J102" s="472" t="n"/>
      <c r="K102" s="472" t="n"/>
      <c r="L102" s="472" t="n"/>
      <c r="M102" s="472" t="n"/>
      <c r="N102" s="472" t="n"/>
      <c r="O102" s="472" t="n"/>
      <c r="P102" s="472" t="n"/>
      <c r="Q102" s="472" t="n"/>
      <c r="R102" s="472" t="n"/>
      <c r="S102" s="288" t="n"/>
      <c r="T102" s="284" t="n"/>
      <c r="U102" s="284" t="n"/>
      <c r="V102" s="285" t="n"/>
      <c r="W102" s="285" t="n"/>
      <c r="X102" s="285" t="n"/>
      <c r="Y102" s="285" t="n"/>
      <c r="Z102" s="285" t="n"/>
      <c r="AA102" s="285" t="n"/>
      <c r="AB102" s="285" t="n"/>
    </row>
    <row r="103" ht="15.75" customHeight="1" s="398">
      <c r="A103" s="317" t="n"/>
      <c r="B103" s="317" t="n"/>
      <c r="C103" s="318" t="n"/>
      <c r="D103" s="317" t="n"/>
      <c r="E103" s="315" t="n"/>
      <c r="F103" s="472" t="n"/>
      <c r="G103" s="472" t="n"/>
      <c r="H103" s="472" t="n"/>
      <c r="I103" s="472" t="n"/>
      <c r="J103" s="472" t="n"/>
      <c r="K103" s="472" t="n"/>
      <c r="L103" s="472" t="n"/>
      <c r="M103" s="472" t="n"/>
      <c r="N103" s="472" t="n"/>
      <c r="O103" s="472" t="n"/>
      <c r="P103" s="472" t="n"/>
      <c r="Q103" s="472" t="n"/>
      <c r="R103" s="472" t="n"/>
      <c r="S103" s="288" t="n"/>
      <c r="T103" s="284" t="n"/>
      <c r="U103" s="284" t="n"/>
      <c r="V103" s="285" t="n"/>
      <c r="W103" s="285" t="n"/>
      <c r="X103" s="285" t="n"/>
      <c r="Y103" s="285" t="n"/>
      <c r="Z103" s="285" t="n"/>
      <c r="AA103" s="285" t="n"/>
      <c r="AB103" s="285" t="n"/>
    </row>
    <row r="104" ht="15.75" customHeight="1" s="398">
      <c r="A104" s="317" t="n"/>
      <c r="B104" s="317" t="n"/>
      <c r="C104" s="318" t="n"/>
      <c r="D104" s="317" t="n"/>
      <c r="E104" s="315" t="n"/>
      <c r="F104" s="472" t="n"/>
      <c r="G104" s="472" t="n"/>
      <c r="H104" s="472" t="n"/>
      <c r="I104" s="472" t="n"/>
      <c r="J104" s="472" t="n"/>
      <c r="K104" s="472" t="n"/>
      <c r="L104" s="472" t="n"/>
      <c r="M104" s="472" t="n"/>
      <c r="N104" s="472" t="n"/>
      <c r="O104" s="472" t="n"/>
      <c r="P104" s="472" t="n"/>
      <c r="Q104" s="472" t="n"/>
      <c r="R104" s="472" t="n"/>
      <c r="S104" s="288" t="n"/>
      <c r="T104" s="284" t="n"/>
      <c r="U104" s="284" t="n"/>
      <c r="V104" s="285" t="n"/>
      <c r="W104" s="285" t="n"/>
      <c r="X104" s="285" t="n"/>
      <c r="Y104" s="285" t="n"/>
      <c r="Z104" s="285" t="n"/>
      <c r="AA104" s="285" t="n"/>
      <c r="AB104" s="285" t="n"/>
    </row>
    <row r="105" ht="15.75" customHeight="1" s="398">
      <c r="A105" s="317" t="n"/>
      <c r="B105" s="317" t="n"/>
      <c r="C105" s="318" t="n"/>
      <c r="D105" s="317" t="n"/>
      <c r="E105" s="315" t="n"/>
      <c r="F105" s="472" t="n"/>
      <c r="G105" s="472" t="n"/>
      <c r="H105" s="472" t="n"/>
      <c r="I105" s="472" t="n"/>
      <c r="J105" s="472" t="n"/>
      <c r="K105" s="472" t="n"/>
      <c r="L105" s="472" t="n"/>
      <c r="M105" s="472" t="n"/>
      <c r="N105" s="472" t="n"/>
      <c r="O105" s="472" t="n"/>
      <c r="P105" s="472" t="n"/>
      <c r="Q105" s="472" t="n"/>
      <c r="R105" s="472" t="n"/>
      <c r="S105" s="288" t="n"/>
      <c r="T105" s="284" t="n"/>
      <c r="U105" s="284" t="n"/>
      <c r="V105" s="285" t="n"/>
      <c r="W105" s="285" t="n"/>
      <c r="X105" s="285" t="n"/>
      <c r="Y105" s="285" t="n"/>
      <c r="Z105" s="285" t="n"/>
      <c r="AA105" s="285" t="n"/>
      <c r="AB105" s="285" t="n"/>
    </row>
    <row r="106" ht="15.75" customHeight="1" s="398">
      <c r="A106" s="317" t="n"/>
      <c r="B106" s="317" t="n"/>
      <c r="C106" s="318" t="n"/>
      <c r="D106" s="317" t="n"/>
      <c r="E106" s="315" t="n"/>
      <c r="F106" s="472" t="n"/>
      <c r="G106" s="472" t="n"/>
      <c r="H106" s="472" t="n"/>
      <c r="I106" s="472" t="n"/>
      <c r="J106" s="472" t="n"/>
      <c r="K106" s="472" t="n"/>
      <c r="L106" s="472" t="n"/>
      <c r="M106" s="472" t="n"/>
      <c r="N106" s="472" t="n"/>
      <c r="O106" s="472" t="n"/>
      <c r="P106" s="472" t="n"/>
      <c r="Q106" s="472" t="n"/>
      <c r="R106" s="472" t="n"/>
      <c r="S106" s="288" t="n"/>
      <c r="T106" s="284" t="n"/>
      <c r="U106" s="284" t="n"/>
      <c r="V106" s="285" t="n"/>
      <c r="W106" s="285" t="n"/>
      <c r="X106" s="285" t="n"/>
      <c r="Y106" s="285" t="n"/>
      <c r="Z106" s="285" t="n"/>
      <c r="AA106" s="285" t="n"/>
      <c r="AB106" s="285" t="n"/>
    </row>
    <row r="107" ht="15.75" customHeight="1" s="398">
      <c r="A107" s="317" t="n"/>
      <c r="B107" s="317" t="n"/>
      <c r="C107" s="318" t="n"/>
      <c r="D107" s="317" t="n"/>
      <c r="E107" s="315" t="n"/>
      <c r="F107" s="472" t="n"/>
      <c r="G107" s="472" t="n"/>
      <c r="H107" s="472" t="n"/>
      <c r="I107" s="472" t="n"/>
      <c r="J107" s="472" t="n"/>
      <c r="K107" s="472" t="n"/>
      <c r="L107" s="472" t="n"/>
      <c r="M107" s="472" t="n"/>
      <c r="N107" s="472" t="n"/>
      <c r="O107" s="472" t="n"/>
      <c r="P107" s="472" t="n"/>
      <c r="Q107" s="472" t="n"/>
      <c r="R107" s="472" t="n"/>
      <c r="S107" s="288" t="n"/>
      <c r="T107" s="284" t="n"/>
      <c r="U107" s="284" t="n"/>
      <c r="V107" s="285" t="n"/>
      <c r="W107" s="285" t="n"/>
      <c r="X107" s="285" t="n"/>
      <c r="Y107" s="285" t="n"/>
      <c r="Z107" s="285" t="n"/>
      <c r="AA107" s="285" t="n"/>
      <c r="AB107" s="285" t="n"/>
    </row>
    <row r="108" ht="15.75" customHeight="1" s="398">
      <c r="A108" s="317" t="n"/>
      <c r="B108" s="317" t="n"/>
      <c r="C108" s="318" t="n"/>
      <c r="D108" s="317" t="n"/>
      <c r="E108" s="315" t="n"/>
      <c r="F108" s="472" t="n"/>
      <c r="G108" s="472" t="n"/>
      <c r="H108" s="472" t="n"/>
      <c r="I108" s="472" t="n"/>
      <c r="J108" s="472" t="n"/>
      <c r="K108" s="472" t="n"/>
      <c r="L108" s="472" t="n"/>
      <c r="M108" s="472" t="n"/>
      <c r="N108" s="472" t="n"/>
      <c r="O108" s="472" t="n"/>
      <c r="P108" s="472" t="n"/>
      <c r="Q108" s="472" t="n"/>
      <c r="R108" s="472" t="n"/>
      <c r="S108" s="288" t="n"/>
      <c r="T108" s="284" t="n"/>
      <c r="U108" s="284" t="n"/>
      <c r="V108" s="285" t="n"/>
      <c r="W108" s="285" t="n"/>
      <c r="X108" s="285" t="n"/>
      <c r="Y108" s="285" t="n"/>
      <c r="Z108" s="285" t="n"/>
      <c r="AA108" s="285" t="n"/>
      <c r="AB108" s="285" t="n"/>
    </row>
    <row r="109" ht="15.75" customHeight="1" s="398">
      <c r="A109" s="317" t="n"/>
      <c r="B109" s="317" t="n"/>
      <c r="C109" s="318" t="n"/>
      <c r="D109" s="317" t="n"/>
      <c r="E109" s="315" t="n"/>
      <c r="F109" s="472" t="n"/>
      <c r="G109" s="472" t="n"/>
      <c r="H109" s="472" t="n"/>
      <c r="I109" s="472" t="n"/>
      <c r="J109" s="472" t="n"/>
      <c r="K109" s="472" t="n"/>
      <c r="L109" s="472" t="n"/>
      <c r="M109" s="472" t="n"/>
      <c r="N109" s="472" t="n"/>
      <c r="O109" s="472" t="n"/>
      <c r="P109" s="472" t="n"/>
      <c r="Q109" s="472" t="n"/>
      <c r="R109" s="472" t="n"/>
      <c r="S109" s="288" t="n"/>
      <c r="T109" s="284" t="n"/>
      <c r="U109" s="284" t="n"/>
      <c r="V109" s="285" t="n"/>
      <c r="W109" s="285" t="n"/>
      <c r="X109" s="285" t="n"/>
      <c r="Y109" s="285" t="n"/>
      <c r="Z109" s="285" t="n"/>
      <c r="AA109" s="285" t="n"/>
      <c r="AB109" s="285" t="n"/>
    </row>
    <row r="110" ht="15.75" customHeight="1" s="398">
      <c r="A110" s="317" t="n"/>
      <c r="B110" s="317" t="n"/>
      <c r="C110" s="318" t="n"/>
      <c r="D110" s="317" t="n"/>
      <c r="E110" s="315" t="n"/>
      <c r="F110" s="472" t="n"/>
      <c r="G110" s="472" t="n"/>
      <c r="H110" s="472" t="n"/>
      <c r="I110" s="472" t="n"/>
      <c r="J110" s="472" t="n"/>
      <c r="K110" s="472" t="n"/>
      <c r="L110" s="472" t="n"/>
      <c r="M110" s="472" t="n"/>
      <c r="N110" s="472" t="n"/>
      <c r="O110" s="472" t="n"/>
      <c r="P110" s="472" t="n"/>
      <c r="Q110" s="472" t="n"/>
      <c r="R110" s="472" t="n"/>
      <c r="S110" s="288" t="n"/>
      <c r="T110" s="284" t="n"/>
      <c r="U110" s="284" t="n"/>
      <c r="V110" s="285" t="n"/>
      <c r="W110" s="285" t="n"/>
      <c r="X110" s="285" t="n"/>
      <c r="Y110" s="285" t="n"/>
      <c r="Z110" s="285" t="n"/>
      <c r="AA110" s="285" t="n"/>
      <c r="AB110" s="285" t="n"/>
    </row>
    <row r="111" ht="15.75" customHeight="1" s="398">
      <c r="A111" s="317" t="n"/>
      <c r="B111" s="317" t="n"/>
      <c r="C111" s="318" t="n"/>
      <c r="D111" s="317" t="n"/>
      <c r="E111" s="315" t="n"/>
      <c r="F111" s="472" t="n"/>
      <c r="G111" s="472" t="n"/>
      <c r="H111" s="472" t="n"/>
      <c r="I111" s="472" t="n"/>
      <c r="J111" s="472" t="n"/>
      <c r="K111" s="472" t="n"/>
      <c r="L111" s="472" t="n"/>
      <c r="M111" s="472" t="n"/>
      <c r="N111" s="472" t="n"/>
      <c r="O111" s="472" t="n"/>
      <c r="P111" s="472" t="n"/>
      <c r="Q111" s="472" t="n"/>
      <c r="R111" s="472" t="n"/>
      <c r="S111" s="288" t="n"/>
      <c r="T111" s="284" t="n"/>
      <c r="U111" s="284" t="n"/>
      <c r="V111" s="285" t="n"/>
      <c r="W111" s="285" t="n"/>
      <c r="X111" s="285" t="n"/>
      <c r="Y111" s="285" t="n"/>
      <c r="Z111" s="285" t="n"/>
      <c r="AA111" s="285" t="n"/>
      <c r="AB111" s="285" t="n"/>
    </row>
    <row r="112" ht="15.75" customHeight="1" s="398">
      <c r="A112" s="317" t="n"/>
      <c r="B112" s="317" t="n"/>
      <c r="C112" s="318" t="n"/>
      <c r="D112" s="317" t="n"/>
      <c r="E112" s="315" t="n"/>
      <c r="F112" s="472" t="n"/>
      <c r="G112" s="472" t="n"/>
      <c r="H112" s="472" t="n"/>
      <c r="I112" s="472" t="n"/>
      <c r="J112" s="472" t="n"/>
      <c r="K112" s="472" t="n"/>
      <c r="L112" s="472" t="n"/>
      <c r="M112" s="472" t="n"/>
      <c r="N112" s="472" t="n"/>
      <c r="O112" s="472" t="n"/>
      <c r="P112" s="472" t="n"/>
      <c r="Q112" s="472" t="n"/>
      <c r="R112" s="472" t="n"/>
      <c r="S112" s="288" t="n"/>
      <c r="T112" s="284" t="n"/>
      <c r="U112" s="284" t="n"/>
      <c r="V112" s="285" t="n"/>
      <c r="W112" s="285" t="n"/>
      <c r="X112" s="285" t="n"/>
      <c r="Y112" s="285" t="n"/>
      <c r="Z112" s="285" t="n"/>
      <c r="AA112" s="285" t="n"/>
      <c r="AB112" s="285" t="n"/>
    </row>
    <row r="113" ht="15.75" customHeight="1" s="398">
      <c r="A113" s="317" t="n"/>
      <c r="B113" s="317" t="n"/>
      <c r="C113" s="318" t="n"/>
      <c r="D113" s="317" t="n"/>
      <c r="E113" s="315" t="n"/>
      <c r="F113" s="472" t="n"/>
      <c r="G113" s="472" t="n"/>
      <c r="H113" s="472" t="n"/>
      <c r="I113" s="472" t="n"/>
      <c r="J113" s="472" t="n"/>
      <c r="K113" s="472" t="n"/>
      <c r="L113" s="472" t="n"/>
      <c r="M113" s="472" t="n"/>
      <c r="N113" s="472" t="n"/>
      <c r="O113" s="472" t="n"/>
      <c r="P113" s="472" t="n"/>
      <c r="Q113" s="472" t="n"/>
      <c r="R113" s="472" t="n"/>
      <c r="S113" s="288" t="n"/>
      <c r="T113" s="284" t="n"/>
      <c r="U113" s="284" t="n"/>
      <c r="V113" s="285" t="n"/>
      <c r="W113" s="285" t="n"/>
      <c r="X113" s="285" t="n"/>
      <c r="Y113" s="285" t="n"/>
      <c r="Z113" s="285" t="n"/>
      <c r="AA113" s="285" t="n"/>
      <c r="AB113" s="285" t="n"/>
    </row>
    <row r="114" ht="15.75" customHeight="1" s="398">
      <c r="A114" s="317" t="n"/>
      <c r="B114" s="317" t="n"/>
      <c r="C114" s="318" t="n"/>
      <c r="D114" s="317" t="n"/>
      <c r="E114" s="315" t="n"/>
      <c r="F114" s="472" t="n"/>
      <c r="G114" s="472" t="n"/>
      <c r="H114" s="472" t="n"/>
      <c r="I114" s="472" t="n"/>
      <c r="J114" s="472" t="n"/>
      <c r="K114" s="472" t="n"/>
      <c r="L114" s="472" t="n"/>
      <c r="M114" s="472" t="n"/>
      <c r="N114" s="472" t="n"/>
      <c r="O114" s="472" t="n"/>
      <c r="P114" s="472" t="n"/>
      <c r="Q114" s="472" t="n"/>
      <c r="R114" s="472" t="n"/>
      <c r="S114" s="288" t="n"/>
      <c r="T114" s="284" t="n"/>
      <c r="U114" s="284" t="n"/>
      <c r="V114" s="285" t="n"/>
      <c r="W114" s="285" t="n"/>
      <c r="X114" s="285" t="n"/>
      <c r="Y114" s="285" t="n"/>
      <c r="Z114" s="285" t="n"/>
      <c r="AA114" s="285" t="n"/>
      <c r="AB114" s="285" t="n"/>
    </row>
    <row r="115" ht="15.75" customHeight="1" s="398">
      <c r="A115" s="317" t="n"/>
      <c r="B115" s="317" t="n"/>
      <c r="C115" s="318" t="n"/>
      <c r="D115" s="317" t="n"/>
      <c r="E115" s="315" t="n"/>
      <c r="F115" s="472" t="n"/>
      <c r="G115" s="472" t="n"/>
      <c r="H115" s="472" t="n"/>
      <c r="I115" s="472" t="n"/>
      <c r="J115" s="472" t="n"/>
      <c r="K115" s="472" t="n"/>
      <c r="L115" s="472" t="n"/>
      <c r="M115" s="472" t="n"/>
      <c r="N115" s="472" t="n"/>
      <c r="O115" s="472" t="n"/>
      <c r="P115" s="472" t="n"/>
      <c r="Q115" s="472" t="n"/>
      <c r="R115" s="472" t="n"/>
      <c r="S115" s="288" t="n"/>
      <c r="T115" s="284" t="n"/>
      <c r="U115" s="284" t="n"/>
      <c r="V115" s="285" t="n"/>
      <c r="W115" s="285" t="n"/>
      <c r="X115" s="285" t="n"/>
      <c r="Y115" s="285" t="n"/>
      <c r="Z115" s="285" t="n"/>
      <c r="AA115" s="285" t="n"/>
      <c r="AB115" s="285" t="n"/>
    </row>
    <row r="116" ht="15.75" customHeight="1" s="398">
      <c r="A116" s="317" t="n"/>
      <c r="B116" s="317" t="n"/>
      <c r="C116" s="318" t="n"/>
      <c r="D116" s="317" t="n"/>
      <c r="E116" s="315" t="n"/>
      <c r="F116" s="472" t="n"/>
      <c r="G116" s="472" t="n"/>
      <c r="H116" s="472" t="n"/>
      <c r="I116" s="472" t="n"/>
      <c r="J116" s="472" t="n"/>
      <c r="K116" s="472" t="n"/>
      <c r="L116" s="472" t="n"/>
      <c r="M116" s="472" t="n"/>
      <c r="N116" s="472" t="n"/>
      <c r="O116" s="472" t="n"/>
      <c r="P116" s="472" t="n"/>
      <c r="Q116" s="472" t="n"/>
      <c r="R116" s="472" t="n"/>
      <c r="S116" s="288" t="n"/>
      <c r="T116" s="284" t="n"/>
      <c r="U116" s="284" t="n"/>
      <c r="V116" s="285" t="n"/>
      <c r="W116" s="285" t="n"/>
      <c r="X116" s="285" t="n"/>
      <c r="Y116" s="285" t="n"/>
      <c r="Z116" s="285" t="n"/>
      <c r="AA116" s="285" t="n"/>
      <c r="AB116" s="285" t="n"/>
    </row>
    <row r="117" ht="15.75" customHeight="1" s="398">
      <c r="A117" s="317" t="n"/>
      <c r="B117" s="317" t="n"/>
      <c r="C117" s="318" t="n"/>
      <c r="D117" s="317" t="n"/>
      <c r="E117" s="315" t="n"/>
      <c r="F117" s="472" t="n"/>
      <c r="G117" s="472" t="n"/>
      <c r="H117" s="472" t="n"/>
      <c r="I117" s="472" t="n"/>
      <c r="J117" s="472" t="n"/>
      <c r="K117" s="472" t="n"/>
      <c r="L117" s="472" t="n"/>
      <c r="M117" s="472" t="n"/>
      <c r="N117" s="472" t="n"/>
      <c r="O117" s="472" t="n"/>
      <c r="P117" s="472" t="n"/>
      <c r="Q117" s="472" t="n"/>
      <c r="R117" s="472" t="n"/>
      <c r="S117" s="288" t="n"/>
      <c r="T117" s="284" t="n"/>
      <c r="U117" s="284" t="n"/>
      <c r="V117" s="285" t="n"/>
      <c r="W117" s="285" t="n"/>
      <c r="X117" s="285" t="n"/>
      <c r="Y117" s="285" t="n"/>
      <c r="Z117" s="285" t="n"/>
      <c r="AA117" s="285" t="n"/>
      <c r="AB117" s="285" t="n"/>
    </row>
    <row r="118" ht="15.75" customHeight="1" s="398">
      <c r="A118" s="317" t="n"/>
      <c r="B118" s="317" t="n"/>
      <c r="C118" s="318" t="n"/>
      <c r="D118" s="317" t="n"/>
      <c r="E118" s="315" t="n"/>
      <c r="F118" s="472" t="n"/>
      <c r="G118" s="472" t="n"/>
      <c r="H118" s="472" t="n"/>
      <c r="I118" s="472" t="n"/>
      <c r="J118" s="472" t="n"/>
      <c r="K118" s="472" t="n"/>
      <c r="L118" s="472" t="n"/>
      <c r="M118" s="472" t="n"/>
      <c r="N118" s="472" t="n"/>
      <c r="O118" s="472" t="n"/>
      <c r="P118" s="472" t="n"/>
      <c r="Q118" s="472" t="n"/>
      <c r="R118" s="472" t="n"/>
      <c r="S118" s="288" t="n"/>
      <c r="T118" s="284" t="n"/>
      <c r="U118" s="284" t="n"/>
      <c r="V118" s="285" t="n"/>
      <c r="W118" s="285" t="n"/>
      <c r="X118" s="285" t="n"/>
      <c r="Y118" s="285" t="n"/>
      <c r="Z118" s="285" t="n"/>
      <c r="AA118" s="285" t="n"/>
      <c r="AB118" s="285" t="n"/>
    </row>
    <row r="119" ht="15.75" customHeight="1" s="398">
      <c r="A119" s="317" t="n"/>
      <c r="B119" s="317" t="n"/>
      <c r="C119" s="318" t="n"/>
      <c r="D119" s="317" t="n"/>
      <c r="E119" s="315" t="n"/>
      <c r="F119" s="472" t="n"/>
      <c r="G119" s="472" t="n"/>
      <c r="H119" s="472" t="n"/>
      <c r="I119" s="472" t="n"/>
      <c r="J119" s="472" t="n"/>
      <c r="K119" s="472" t="n"/>
      <c r="L119" s="472" t="n"/>
      <c r="M119" s="472" t="n"/>
      <c r="N119" s="472" t="n"/>
      <c r="O119" s="472" t="n"/>
      <c r="P119" s="472" t="n"/>
      <c r="Q119" s="472" t="n"/>
      <c r="R119" s="472" t="n"/>
      <c r="S119" s="288" t="n"/>
      <c r="T119" s="284" t="n"/>
      <c r="U119" s="284" t="n"/>
      <c r="V119" s="285" t="n"/>
      <c r="W119" s="285" t="n"/>
      <c r="X119" s="285" t="n"/>
      <c r="Y119" s="285" t="n"/>
      <c r="Z119" s="285" t="n"/>
      <c r="AA119" s="285" t="n"/>
      <c r="AB119" s="285" t="n"/>
    </row>
    <row r="120" ht="15.75" customHeight="1" s="398">
      <c r="A120" s="317" t="n"/>
      <c r="B120" s="317" t="n"/>
      <c r="C120" s="318" t="n"/>
      <c r="D120" s="317" t="n"/>
      <c r="E120" s="315" t="n"/>
      <c r="F120" s="472" t="n"/>
      <c r="G120" s="472" t="n"/>
      <c r="H120" s="472" t="n"/>
      <c r="I120" s="472" t="n"/>
      <c r="J120" s="472" t="n"/>
      <c r="K120" s="472" t="n"/>
      <c r="L120" s="472" t="n"/>
      <c r="M120" s="472" t="n"/>
      <c r="N120" s="472" t="n"/>
      <c r="O120" s="472" t="n"/>
      <c r="P120" s="472" t="n"/>
      <c r="Q120" s="472" t="n"/>
      <c r="R120" s="472" t="n"/>
      <c r="S120" s="288" t="n"/>
      <c r="T120" s="284" t="n"/>
      <c r="U120" s="284" t="n"/>
      <c r="V120" s="285" t="n"/>
      <c r="W120" s="285" t="n"/>
      <c r="X120" s="285" t="n"/>
      <c r="Y120" s="285" t="n"/>
      <c r="Z120" s="285" t="n"/>
      <c r="AA120" s="285" t="n"/>
      <c r="AB120" s="285" t="n"/>
    </row>
    <row r="121" ht="15.75" customHeight="1" s="398">
      <c r="A121" s="317" t="n"/>
      <c r="B121" s="317" t="n"/>
      <c r="C121" s="318" t="n"/>
      <c r="D121" s="317" t="n"/>
      <c r="E121" s="315" t="n"/>
      <c r="F121" s="472" t="n"/>
      <c r="G121" s="472" t="n"/>
      <c r="H121" s="472" t="n"/>
      <c r="I121" s="472" t="n"/>
      <c r="J121" s="472" t="n"/>
      <c r="K121" s="472" t="n"/>
      <c r="L121" s="472" t="n"/>
      <c r="M121" s="472" t="n"/>
      <c r="N121" s="472" t="n"/>
      <c r="O121" s="472" t="n"/>
      <c r="P121" s="472" t="n"/>
      <c r="Q121" s="472" t="n"/>
      <c r="R121" s="472" t="n"/>
      <c r="S121" s="288" t="n"/>
      <c r="T121" s="284" t="n"/>
      <c r="U121" s="284" t="n"/>
      <c r="V121" s="285" t="n"/>
      <c r="W121" s="285" t="n"/>
      <c r="X121" s="285" t="n"/>
      <c r="Y121" s="285" t="n"/>
      <c r="Z121" s="285" t="n"/>
      <c r="AA121" s="285" t="n"/>
      <c r="AB121" s="285" t="n"/>
    </row>
    <row r="122" ht="15.75" customHeight="1" s="398">
      <c r="A122" s="317" t="n"/>
      <c r="B122" s="317" t="n"/>
      <c r="C122" s="318" t="n"/>
      <c r="D122" s="317" t="n"/>
      <c r="E122" s="315" t="n"/>
      <c r="F122" s="472" t="n"/>
      <c r="G122" s="472" t="n"/>
      <c r="H122" s="472" t="n"/>
      <c r="I122" s="472" t="n"/>
      <c r="J122" s="472" t="n"/>
      <c r="K122" s="472" t="n"/>
      <c r="L122" s="472" t="n"/>
      <c r="M122" s="472" t="n"/>
      <c r="N122" s="472" t="n"/>
      <c r="O122" s="472" t="n"/>
      <c r="P122" s="472" t="n"/>
      <c r="Q122" s="472" t="n"/>
      <c r="R122" s="472" t="n"/>
      <c r="S122" s="288" t="n"/>
      <c r="T122" s="284" t="n"/>
      <c r="U122" s="284" t="n"/>
      <c r="V122" s="285" t="n"/>
      <c r="W122" s="285" t="n"/>
      <c r="X122" s="285" t="n"/>
      <c r="Y122" s="285" t="n"/>
      <c r="Z122" s="285" t="n"/>
      <c r="AA122" s="285" t="n"/>
      <c r="AB122" s="285" t="n"/>
    </row>
    <row r="123" ht="15.75" customHeight="1" s="398">
      <c r="A123" s="317" t="n"/>
      <c r="B123" s="317" t="n"/>
      <c r="C123" s="318" t="n"/>
      <c r="D123" s="317" t="n"/>
      <c r="E123" s="315" t="n"/>
      <c r="F123" s="472" t="n"/>
      <c r="G123" s="472" t="n"/>
      <c r="H123" s="472" t="n"/>
      <c r="I123" s="472" t="n"/>
      <c r="J123" s="472" t="n"/>
      <c r="K123" s="472" t="n"/>
      <c r="L123" s="472" t="n"/>
      <c r="M123" s="472" t="n"/>
      <c r="N123" s="472" t="n"/>
      <c r="O123" s="472" t="n"/>
      <c r="P123" s="472" t="n"/>
      <c r="Q123" s="472" t="n"/>
      <c r="R123" s="472" t="n"/>
      <c r="S123" s="288" t="n"/>
      <c r="T123" s="284" t="n"/>
      <c r="U123" s="284" t="n"/>
      <c r="V123" s="285" t="n"/>
      <c r="W123" s="285" t="n"/>
      <c r="X123" s="285" t="n"/>
      <c r="Y123" s="285" t="n"/>
      <c r="Z123" s="285" t="n"/>
      <c r="AA123" s="285" t="n"/>
      <c r="AB123" s="285" t="n"/>
    </row>
    <row r="124" ht="15.75" customHeight="1" s="398">
      <c r="A124" s="317" t="n"/>
      <c r="B124" s="317" t="n"/>
      <c r="C124" s="318" t="n"/>
      <c r="D124" s="317" t="n"/>
      <c r="E124" s="315" t="n"/>
      <c r="F124" s="472" t="n"/>
      <c r="G124" s="472" t="n"/>
      <c r="H124" s="472" t="n"/>
      <c r="I124" s="472" t="n"/>
      <c r="J124" s="472" t="n"/>
      <c r="K124" s="472" t="n"/>
      <c r="L124" s="472" t="n"/>
      <c r="M124" s="472" t="n"/>
      <c r="N124" s="472" t="n"/>
      <c r="O124" s="472" t="n"/>
      <c r="P124" s="472" t="n"/>
      <c r="Q124" s="472" t="n"/>
      <c r="R124" s="472" t="n"/>
      <c r="S124" s="288" t="n"/>
      <c r="T124" s="284" t="n"/>
      <c r="U124" s="284" t="n"/>
      <c r="V124" s="285" t="n"/>
      <c r="W124" s="285" t="n"/>
      <c r="X124" s="285" t="n"/>
      <c r="Y124" s="285" t="n"/>
      <c r="Z124" s="285" t="n"/>
      <c r="AA124" s="285" t="n"/>
      <c r="AB124" s="285" t="n"/>
    </row>
    <row r="125" ht="15.75" customHeight="1" s="398">
      <c r="A125" s="317" t="n"/>
      <c r="B125" s="317" t="n"/>
      <c r="C125" s="318" t="n"/>
      <c r="D125" s="317" t="n"/>
      <c r="E125" s="315" t="n"/>
      <c r="F125" s="472" t="n"/>
      <c r="G125" s="472" t="n"/>
      <c r="H125" s="472" t="n"/>
      <c r="I125" s="472" t="n"/>
      <c r="J125" s="472" t="n"/>
      <c r="K125" s="472" t="n"/>
      <c r="L125" s="472" t="n"/>
      <c r="M125" s="472" t="n"/>
      <c r="N125" s="472" t="n"/>
      <c r="O125" s="472" t="n"/>
      <c r="P125" s="472" t="n"/>
      <c r="Q125" s="472" t="n"/>
      <c r="R125" s="472" t="n"/>
      <c r="S125" s="288" t="n"/>
      <c r="T125" s="284" t="n"/>
      <c r="U125" s="284" t="n"/>
      <c r="V125" s="285" t="n"/>
      <c r="W125" s="285" t="n"/>
      <c r="X125" s="285" t="n"/>
      <c r="Y125" s="285" t="n"/>
      <c r="Z125" s="285" t="n"/>
      <c r="AA125" s="285" t="n"/>
      <c r="AB125" s="285" t="n"/>
    </row>
    <row r="126" ht="15.75" customHeight="1" s="398">
      <c r="A126" s="317" t="n"/>
      <c r="B126" s="317" t="n"/>
      <c r="C126" s="318" t="n"/>
      <c r="D126" s="317" t="n"/>
      <c r="E126" s="315" t="n"/>
      <c r="F126" s="472" t="n"/>
      <c r="G126" s="472" t="n"/>
      <c r="H126" s="472" t="n"/>
      <c r="I126" s="472" t="n"/>
      <c r="J126" s="472" t="n"/>
      <c r="K126" s="472" t="n"/>
      <c r="L126" s="472" t="n"/>
      <c r="M126" s="472" t="n"/>
      <c r="N126" s="472" t="n"/>
      <c r="O126" s="472" t="n"/>
      <c r="P126" s="472" t="n"/>
      <c r="Q126" s="472" t="n"/>
      <c r="R126" s="472" t="n"/>
      <c r="S126" s="288" t="n"/>
      <c r="T126" s="284" t="n"/>
      <c r="U126" s="284" t="n"/>
      <c r="V126" s="285" t="n"/>
      <c r="W126" s="285" t="n"/>
      <c r="X126" s="285" t="n"/>
      <c r="Y126" s="285" t="n"/>
      <c r="Z126" s="285" t="n"/>
      <c r="AA126" s="285" t="n"/>
      <c r="AB126" s="285" t="n"/>
    </row>
    <row r="127" ht="15.75" customHeight="1" s="398">
      <c r="A127" s="317" t="n"/>
      <c r="B127" s="317" t="n"/>
      <c r="C127" s="318" t="n"/>
      <c r="D127" s="317" t="n"/>
      <c r="E127" s="315" t="n"/>
      <c r="F127" s="472" t="n"/>
      <c r="G127" s="472" t="n"/>
      <c r="H127" s="472" t="n"/>
      <c r="I127" s="472" t="n"/>
      <c r="J127" s="472" t="n"/>
      <c r="K127" s="472" t="n"/>
      <c r="L127" s="472" t="n"/>
      <c r="M127" s="472" t="n"/>
      <c r="N127" s="472" t="n"/>
      <c r="O127" s="472" t="n"/>
      <c r="P127" s="472" t="n"/>
      <c r="Q127" s="472" t="n"/>
      <c r="R127" s="472" t="n"/>
      <c r="S127" s="288" t="n"/>
      <c r="T127" s="284" t="n"/>
      <c r="U127" s="284" t="n"/>
      <c r="V127" s="285" t="n"/>
      <c r="W127" s="285" t="n"/>
      <c r="X127" s="285" t="n"/>
      <c r="Y127" s="285" t="n"/>
      <c r="Z127" s="285" t="n"/>
      <c r="AA127" s="285" t="n"/>
      <c r="AB127" s="285" t="n"/>
    </row>
    <row r="128" ht="15.75" customHeight="1" s="398">
      <c r="A128" s="317" t="n"/>
      <c r="B128" s="317" t="n"/>
      <c r="C128" s="318" t="n"/>
      <c r="D128" s="317" t="n"/>
      <c r="E128" s="315" t="n"/>
      <c r="F128" s="472" t="n"/>
      <c r="G128" s="472" t="n"/>
      <c r="H128" s="472" t="n"/>
      <c r="I128" s="472" t="n"/>
      <c r="J128" s="472" t="n"/>
      <c r="K128" s="472" t="n"/>
      <c r="L128" s="472" t="n"/>
      <c r="M128" s="472" t="n"/>
      <c r="N128" s="472" t="n"/>
      <c r="O128" s="472" t="n"/>
      <c r="P128" s="472" t="n"/>
      <c r="Q128" s="472" t="n"/>
      <c r="R128" s="472" t="n"/>
      <c r="S128" s="288" t="n"/>
      <c r="T128" s="284" t="n"/>
      <c r="U128" s="284" t="n"/>
      <c r="V128" s="285" t="n"/>
      <c r="W128" s="285" t="n"/>
      <c r="X128" s="285" t="n"/>
      <c r="Y128" s="285" t="n"/>
      <c r="Z128" s="285" t="n"/>
      <c r="AA128" s="285" t="n"/>
      <c r="AB128" s="285" t="n"/>
    </row>
    <row r="129" ht="15.75" customHeight="1" s="398">
      <c r="A129" s="317" t="n"/>
      <c r="B129" s="317" t="n"/>
      <c r="C129" s="318" t="n"/>
      <c r="D129" s="317" t="n"/>
      <c r="E129" s="315" t="n"/>
      <c r="F129" s="472" t="n"/>
      <c r="G129" s="472" t="n"/>
      <c r="H129" s="472" t="n"/>
      <c r="I129" s="472" t="n"/>
      <c r="J129" s="472" t="n"/>
      <c r="K129" s="472" t="n"/>
      <c r="L129" s="472" t="n"/>
      <c r="M129" s="472" t="n"/>
      <c r="N129" s="472" t="n"/>
      <c r="O129" s="472" t="n"/>
      <c r="P129" s="472" t="n"/>
      <c r="Q129" s="472" t="n"/>
      <c r="R129" s="472" t="n"/>
      <c r="S129" s="288" t="n"/>
      <c r="T129" s="284" t="n"/>
      <c r="U129" s="284" t="n"/>
      <c r="V129" s="285" t="n"/>
      <c r="W129" s="285" t="n"/>
      <c r="X129" s="285" t="n"/>
      <c r="Y129" s="285" t="n"/>
      <c r="Z129" s="285" t="n"/>
      <c r="AA129" s="285" t="n"/>
      <c r="AB129" s="285" t="n"/>
    </row>
    <row r="130" ht="15.75" customHeight="1" s="398">
      <c r="A130" s="317" t="n"/>
      <c r="B130" s="317" t="n"/>
      <c r="C130" s="318" t="n"/>
      <c r="D130" s="317" t="n"/>
      <c r="E130" s="315" t="n"/>
      <c r="F130" s="472" t="n"/>
      <c r="G130" s="472" t="n"/>
      <c r="H130" s="472" t="n"/>
      <c r="I130" s="472" t="n"/>
      <c r="J130" s="472" t="n"/>
      <c r="K130" s="472" t="n"/>
      <c r="L130" s="472" t="n"/>
      <c r="M130" s="472" t="n"/>
      <c r="N130" s="472" t="n"/>
      <c r="O130" s="472" t="n"/>
      <c r="P130" s="472" t="n"/>
      <c r="Q130" s="472" t="n"/>
      <c r="R130" s="472" t="n"/>
      <c r="S130" s="288" t="n"/>
      <c r="T130" s="284" t="n"/>
      <c r="U130" s="284" t="n"/>
      <c r="V130" s="285" t="n"/>
      <c r="W130" s="285" t="n"/>
      <c r="X130" s="285" t="n"/>
      <c r="Y130" s="285" t="n"/>
      <c r="Z130" s="285" t="n"/>
      <c r="AA130" s="285" t="n"/>
      <c r="AB130" s="285" t="n"/>
    </row>
    <row r="131" ht="15.75" customHeight="1" s="398">
      <c r="A131" s="317" t="n"/>
      <c r="B131" s="317" t="n"/>
      <c r="C131" s="318" t="n"/>
      <c r="D131" s="317" t="n"/>
      <c r="E131" s="315" t="n"/>
      <c r="F131" s="472" t="n"/>
      <c r="G131" s="472" t="n"/>
      <c r="H131" s="472" t="n"/>
      <c r="I131" s="472" t="n"/>
      <c r="J131" s="472" t="n"/>
      <c r="K131" s="472" t="n"/>
      <c r="L131" s="472" t="n"/>
      <c r="M131" s="472" t="n"/>
      <c r="N131" s="472" t="n"/>
      <c r="O131" s="472" t="n"/>
      <c r="P131" s="472" t="n"/>
      <c r="Q131" s="472" t="n"/>
      <c r="R131" s="472" t="n"/>
      <c r="S131" s="288" t="n"/>
      <c r="T131" s="284" t="n"/>
      <c r="U131" s="284" t="n"/>
      <c r="V131" s="285" t="n"/>
      <c r="W131" s="285" t="n"/>
      <c r="X131" s="285" t="n"/>
      <c r="Y131" s="285" t="n"/>
      <c r="Z131" s="285" t="n"/>
      <c r="AA131" s="285" t="n"/>
      <c r="AB131" s="285" t="n"/>
    </row>
    <row r="132" ht="15.75" customHeight="1" s="398">
      <c r="A132" s="317" t="n"/>
      <c r="B132" s="317" t="n"/>
      <c r="C132" s="318" t="n"/>
      <c r="D132" s="317" t="n"/>
      <c r="E132" s="315" t="n"/>
      <c r="F132" s="472" t="n"/>
      <c r="G132" s="472" t="n"/>
      <c r="H132" s="472" t="n"/>
      <c r="I132" s="472" t="n"/>
      <c r="J132" s="472" t="n"/>
      <c r="K132" s="472" t="n"/>
      <c r="L132" s="472" t="n"/>
      <c r="M132" s="472" t="n"/>
      <c r="N132" s="472" t="n"/>
      <c r="O132" s="472" t="n"/>
      <c r="P132" s="472" t="n"/>
      <c r="Q132" s="472" t="n"/>
      <c r="R132" s="472" t="n"/>
      <c r="S132" s="288" t="n"/>
      <c r="T132" s="284" t="n"/>
      <c r="U132" s="284" t="n"/>
      <c r="V132" s="285" t="n"/>
      <c r="W132" s="285" t="n"/>
      <c r="X132" s="285" t="n"/>
      <c r="Y132" s="285" t="n"/>
      <c r="Z132" s="285" t="n"/>
      <c r="AA132" s="285" t="n"/>
      <c r="AB132" s="285" t="n"/>
    </row>
    <row r="133" ht="15.75" customHeight="1" s="398">
      <c r="A133" s="317" t="n"/>
      <c r="B133" s="317" t="n"/>
      <c r="C133" s="318" t="n"/>
      <c r="D133" s="317" t="n"/>
      <c r="E133" s="315" t="n"/>
      <c r="F133" s="472" t="n"/>
      <c r="G133" s="472" t="n"/>
      <c r="H133" s="472" t="n"/>
      <c r="I133" s="472" t="n"/>
      <c r="J133" s="472" t="n"/>
      <c r="K133" s="472" t="n"/>
      <c r="L133" s="472" t="n"/>
      <c r="M133" s="472" t="n"/>
      <c r="N133" s="472" t="n"/>
      <c r="O133" s="472" t="n"/>
      <c r="P133" s="472" t="n"/>
      <c r="Q133" s="472" t="n"/>
      <c r="R133" s="472" t="n"/>
      <c r="S133" s="288" t="n"/>
      <c r="T133" s="284" t="n"/>
      <c r="U133" s="284" t="n"/>
      <c r="V133" s="285" t="n"/>
      <c r="W133" s="285" t="n"/>
      <c r="X133" s="285" t="n"/>
      <c r="Y133" s="285" t="n"/>
      <c r="Z133" s="285" t="n"/>
      <c r="AA133" s="285" t="n"/>
      <c r="AB133" s="285" t="n"/>
    </row>
    <row r="134" ht="15.75" customHeight="1" s="398">
      <c r="A134" s="317" t="n"/>
      <c r="B134" s="317" t="n"/>
      <c r="C134" s="318" t="n"/>
      <c r="D134" s="317" t="n"/>
      <c r="E134" s="315" t="n"/>
      <c r="F134" s="472" t="n"/>
      <c r="G134" s="472" t="n"/>
      <c r="H134" s="472" t="n"/>
      <c r="I134" s="472" t="n"/>
      <c r="J134" s="472" t="n"/>
      <c r="K134" s="472" t="n"/>
      <c r="L134" s="472" t="n"/>
      <c r="M134" s="472" t="n"/>
      <c r="N134" s="472" t="n"/>
      <c r="O134" s="472" t="n"/>
      <c r="P134" s="472" t="n"/>
      <c r="Q134" s="472" t="n"/>
      <c r="R134" s="472" t="n"/>
      <c r="S134" s="288" t="n"/>
      <c r="T134" s="284" t="n"/>
      <c r="U134" s="284" t="n"/>
      <c r="V134" s="285" t="n"/>
      <c r="W134" s="285" t="n"/>
      <c r="X134" s="285" t="n"/>
      <c r="Y134" s="285" t="n"/>
      <c r="Z134" s="285" t="n"/>
      <c r="AA134" s="285" t="n"/>
      <c r="AB134" s="285" t="n"/>
    </row>
    <row r="135" ht="15.75" customHeight="1" s="398">
      <c r="A135" s="317" t="n"/>
      <c r="B135" s="317" t="n"/>
      <c r="C135" s="318" t="n"/>
      <c r="D135" s="317" t="n"/>
      <c r="E135" s="315" t="n"/>
      <c r="F135" s="472" t="n"/>
      <c r="G135" s="472" t="n"/>
      <c r="H135" s="472" t="n"/>
      <c r="I135" s="472" t="n"/>
      <c r="J135" s="472" t="n"/>
      <c r="K135" s="472" t="n"/>
      <c r="L135" s="472" t="n"/>
      <c r="M135" s="472" t="n"/>
      <c r="N135" s="472" t="n"/>
      <c r="O135" s="472" t="n"/>
      <c r="P135" s="472" t="n"/>
      <c r="Q135" s="472" t="n"/>
      <c r="R135" s="472" t="n"/>
      <c r="S135" s="288" t="n"/>
      <c r="T135" s="284" t="n"/>
      <c r="U135" s="284" t="n"/>
      <c r="V135" s="285" t="n"/>
      <c r="W135" s="285" t="n"/>
      <c r="X135" s="285" t="n"/>
      <c r="Y135" s="285" t="n"/>
      <c r="Z135" s="285" t="n"/>
      <c r="AA135" s="285" t="n"/>
      <c r="AB135" s="285" t="n"/>
    </row>
    <row r="136" ht="15.75" customHeight="1" s="398">
      <c r="A136" s="317" t="n"/>
      <c r="B136" s="317" t="n"/>
      <c r="C136" s="318" t="n"/>
      <c r="D136" s="317" t="n"/>
      <c r="E136" s="315" t="n"/>
      <c r="F136" s="472" t="n"/>
      <c r="G136" s="472" t="n"/>
      <c r="H136" s="472" t="n"/>
      <c r="I136" s="472" t="n"/>
      <c r="J136" s="472" t="n"/>
      <c r="K136" s="472" t="n"/>
      <c r="L136" s="472" t="n"/>
      <c r="M136" s="472" t="n"/>
      <c r="N136" s="472" t="n"/>
      <c r="O136" s="472" t="n"/>
      <c r="P136" s="472" t="n"/>
      <c r="Q136" s="472" t="n"/>
      <c r="R136" s="472" t="n"/>
      <c r="S136" s="288" t="n"/>
      <c r="T136" s="284" t="n"/>
      <c r="U136" s="284" t="n"/>
      <c r="V136" s="285" t="n"/>
      <c r="W136" s="285" t="n"/>
      <c r="X136" s="285" t="n"/>
      <c r="Y136" s="285" t="n"/>
      <c r="Z136" s="285" t="n"/>
      <c r="AA136" s="285" t="n"/>
      <c r="AB136" s="285" t="n"/>
    </row>
    <row r="137" ht="15.75" customHeight="1" s="398">
      <c r="A137" s="317" t="n"/>
      <c r="B137" s="317" t="n"/>
      <c r="C137" s="318" t="n"/>
      <c r="D137" s="317" t="n"/>
      <c r="E137" s="315" t="n"/>
      <c r="F137" s="472" t="n"/>
      <c r="G137" s="472" t="n"/>
      <c r="H137" s="472" t="n"/>
      <c r="I137" s="472" t="n"/>
      <c r="J137" s="472" t="n"/>
      <c r="K137" s="472" t="n"/>
      <c r="L137" s="472" t="n"/>
      <c r="M137" s="472" t="n"/>
      <c r="N137" s="472" t="n"/>
      <c r="O137" s="472" t="n"/>
      <c r="P137" s="472" t="n"/>
      <c r="Q137" s="472" t="n"/>
      <c r="R137" s="472" t="n"/>
      <c r="S137" s="288" t="n"/>
      <c r="T137" s="284" t="n"/>
      <c r="U137" s="284" t="n"/>
      <c r="V137" s="285" t="n"/>
      <c r="W137" s="285" t="n"/>
      <c r="X137" s="285" t="n"/>
      <c r="Y137" s="285" t="n"/>
      <c r="Z137" s="285" t="n"/>
      <c r="AA137" s="285" t="n"/>
      <c r="AB137" s="285" t="n"/>
    </row>
    <row r="138" ht="15.75" customHeight="1" s="398">
      <c r="A138" s="317" t="n"/>
      <c r="B138" s="317" t="n"/>
      <c r="C138" s="318" t="n"/>
      <c r="D138" s="317" t="n"/>
      <c r="E138" s="315" t="n"/>
      <c r="F138" s="472" t="n"/>
      <c r="G138" s="472" t="n"/>
      <c r="H138" s="472" t="n"/>
      <c r="I138" s="472" t="n"/>
      <c r="J138" s="472" t="n"/>
      <c r="K138" s="472" t="n"/>
      <c r="L138" s="472" t="n"/>
      <c r="M138" s="472" t="n"/>
      <c r="N138" s="472" t="n"/>
      <c r="O138" s="472" t="n"/>
      <c r="P138" s="472" t="n"/>
      <c r="Q138" s="472" t="n"/>
      <c r="R138" s="472" t="n"/>
      <c r="S138" s="288" t="n"/>
      <c r="T138" s="284" t="n"/>
      <c r="U138" s="284" t="n"/>
      <c r="V138" s="285" t="n"/>
      <c r="W138" s="285" t="n"/>
      <c r="X138" s="285" t="n"/>
      <c r="Y138" s="285" t="n"/>
      <c r="Z138" s="285" t="n"/>
      <c r="AA138" s="285" t="n"/>
      <c r="AB138" s="285" t="n"/>
    </row>
    <row r="139" ht="15.75" customHeight="1" s="398">
      <c r="A139" s="317" t="n"/>
      <c r="B139" s="317" t="n"/>
      <c r="C139" s="318" t="n"/>
      <c r="D139" s="317" t="n"/>
      <c r="E139" s="315" t="n"/>
      <c r="F139" s="472" t="n"/>
      <c r="G139" s="472" t="n"/>
      <c r="H139" s="472" t="n"/>
      <c r="I139" s="472" t="n"/>
      <c r="J139" s="472" t="n"/>
      <c r="K139" s="472" t="n"/>
      <c r="L139" s="472" t="n"/>
      <c r="M139" s="472" t="n"/>
      <c r="N139" s="472" t="n"/>
      <c r="O139" s="472" t="n"/>
      <c r="P139" s="472" t="n"/>
      <c r="Q139" s="472" t="n"/>
      <c r="R139" s="472" t="n"/>
      <c r="S139" s="288" t="n"/>
      <c r="T139" s="284" t="n"/>
      <c r="U139" s="284" t="n"/>
      <c r="V139" s="285" t="n"/>
      <c r="W139" s="285" t="n"/>
      <c r="X139" s="285" t="n"/>
      <c r="Y139" s="285" t="n"/>
      <c r="Z139" s="285" t="n"/>
      <c r="AA139" s="285" t="n"/>
      <c r="AB139" s="285" t="n"/>
    </row>
    <row r="140" ht="15.75" customHeight="1" s="398">
      <c r="A140" s="317" t="n"/>
      <c r="B140" s="317" t="n"/>
      <c r="C140" s="318" t="n"/>
      <c r="D140" s="317" t="n"/>
      <c r="E140" s="315" t="n"/>
      <c r="F140" s="472" t="n"/>
      <c r="G140" s="472" t="n"/>
      <c r="H140" s="472" t="n"/>
      <c r="I140" s="472" t="n"/>
      <c r="J140" s="472" t="n"/>
      <c r="K140" s="472" t="n"/>
      <c r="L140" s="472" t="n"/>
      <c r="M140" s="472" t="n"/>
      <c r="N140" s="472" t="n"/>
      <c r="O140" s="472" t="n"/>
      <c r="P140" s="472" t="n"/>
      <c r="Q140" s="472" t="n"/>
      <c r="R140" s="472" t="n"/>
      <c r="S140" s="288" t="n"/>
      <c r="T140" s="284" t="n"/>
      <c r="U140" s="284" t="n"/>
      <c r="V140" s="285" t="n"/>
      <c r="W140" s="285" t="n"/>
      <c r="X140" s="285" t="n"/>
      <c r="Y140" s="285" t="n"/>
      <c r="Z140" s="285" t="n"/>
      <c r="AA140" s="285" t="n"/>
      <c r="AB140" s="285" t="n"/>
    </row>
    <row r="141" ht="15.75" customHeight="1" s="398">
      <c r="A141" s="317" t="n"/>
      <c r="B141" s="317" t="n"/>
      <c r="C141" s="318" t="n"/>
      <c r="D141" s="317" t="n"/>
      <c r="E141" s="315" t="n"/>
      <c r="F141" s="472" t="n"/>
      <c r="G141" s="472" t="n"/>
      <c r="H141" s="472" t="n"/>
      <c r="I141" s="472" t="n"/>
      <c r="J141" s="472" t="n"/>
      <c r="K141" s="472" t="n"/>
      <c r="L141" s="472" t="n"/>
      <c r="M141" s="472" t="n"/>
      <c r="N141" s="472" t="n"/>
      <c r="O141" s="472" t="n"/>
      <c r="P141" s="472" t="n"/>
      <c r="Q141" s="472" t="n"/>
      <c r="R141" s="472" t="n"/>
      <c r="S141" s="288" t="n"/>
      <c r="T141" s="284" t="n"/>
      <c r="U141" s="284" t="n"/>
      <c r="V141" s="285" t="n"/>
      <c r="W141" s="285" t="n"/>
      <c r="X141" s="285" t="n"/>
      <c r="Y141" s="285" t="n"/>
      <c r="Z141" s="285" t="n"/>
      <c r="AA141" s="285" t="n"/>
      <c r="AB141" s="285" t="n"/>
    </row>
    <row r="142" ht="15.75" customHeight="1" s="398">
      <c r="A142" s="317" t="n"/>
      <c r="B142" s="317" t="n"/>
      <c r="C142" s="318" t="n"/>
      <c r="D142" s="317" t="n"/>
      <c r="E142" s="315" t="n"/>
      <c r="F142" s="472" t="n"/>
      <c r="G142" s="472" t="n"/>
      <c r="H142" s="472" t="n"/>
      <c r="I142" s="472" t="n"/>
      <c r="J142" s="472" t="n"/>
      <c r="K142" s="472" t="n"/>
      <c r="L142" s="472" t="n"/>
      <c r="M142" s="472" t="n"/>
      <c r="N142" s="472" t="n"/>
      <c r="O142" s="472" t="n"/>
      <c r="P142" s="472" t="n"/>
      <c r="Q142" s="472" t="n"/>
      <c r="R142" s="472" t="n"/>
      <c r="S142" s="288" t="n"/>
      <c r="T142" s="284" t="n"/>
      <c r="U142" s="284" t="n"/>
      <c r="V142" s="285" t="n"/>
      <c r="W142" s="285" t="n"/>
      <c r="X142" s="285" t="n"/>
      <c r="Y142" s="285" t="n"/>
      <c r="Z142" s="285" t="n"/>
      <c r="AA142" s="285" t="n"/>
      <c r="AB142" s="285" t="n"/>
    </row>
    <row r="143" ht="15.75" customHeight="1" s="398">
      <c r="A143" s="317" t="n"/>
      <c r="B143" s="317" t="n"/>
      <c r="C143" s="318" t="n"/>
      <c r="D143" s="317" t="n"/>
      <c r="E143" s="315" t="n"/>
      <c r="F143" s="472" t="n"/>
      <c r="G143" s="472" t="n"/>
      <c r="H143" s="472" t="n"/>
      <c r="I143" s="472" t="n"/>
      <c r="J143" s="472" t="n"/>
      <c r="K143" s="472" t="n"/>
      <c r="L143" s="472" t="n"/>
      <c r="M143" s="472" t="n"/>
      <c r="N143" s="472" t="n"/>
      <c r="O143" s="472" t="n"/>
      <c r="P143" s="472" t="n"/>
      <c r="Q143" s="472" t="n"/>
      <c r="R143" s="472" t="n"/>
      <c r="S143" s="288" t="n"/>
      <c r="T143" s="284" t="n"/>
      <c r="U143" s="284" t="n"/>
      <c r="V143" s="285" t="n"/>
      <c r="W143" s="285" t="n"/>
      <c r="X143" s="285" t="n"/>
      <c r="Y143" s="285" t="n"/>
      <c r="Z143" s="285" t="n"/>
      <c r="AA143" s="285" t="n"/>
      <c r="AB143" s="285" t="n"/>
    </row>
    <row r="144" ht="15.75" customHeight="1" s="398">
      <c r="A144" s="317" t="n"/>
      <c r="B144" s="317" t="n"/>
      <c r="C144" s="318" t="n"/>
      <c r="D144" s="317" t="n"/>
      <c r="E144" s="315" t="n"/>
      <c r="F144" s="472" t="n"/>
      <c r="G144" s="472" t="n"/>
      <c r="H144" s="472" t="n"/>
      <c r="I144" s="472" t="n"/>
      <c r="J144" s="472" t="n"/>
      <c r="K144" s="472" t="n"/>
      <c r="L144" s="472" t="n"/>
      <c r="M144" s="472" t="n"/>
      <c r="N144" s="472" t="n"/>
      <c r="O144" s="472" t="n"/>
      <c r="P144" s="472" t="n"/>
      <c r="Q144" s="472" t="n"/>
      <c r="R144" s="472" t="n"/>
      <c r="S144" s="288" t="n"/>
      <c r="T144" s="284" t="n"/>
      <c r="U144" s="284" t="n"/>
      <c r="V144" s="285" t="n"/>
      <c r="W144" s="285" t="n"/>
      <c r="X144" s="285" t="n"/>
      <c r="Y144" s="285" t="n"/>
      <c r="Z144" s="285" t="n"/>
      <c r="AA144" s="285" t="n"/>
      <c r="AB144" s="285" t="n"/>
    </row>
    <row r="145" ht="15.75" customHeight="1" s="398">
      <c r="A145" s="317" t="n"/>
      <c r="B145" s="317" t="n"/>
      <c r="C145" s="318" t="n"/>
      <c r="D145" s="317" t="n"/>
      <c r="E145" s="315" t="n"/>
      <c r="F145" s="472" t="n"/>
      <c r="G145" s="472" t="n"/>
      <c r="H145" s="472" t="n"/>
      <c r="I145" s="472" t="n"/>
      <c r="J145" s="472" t="n"/>
      <c r="K145" s="472" t="n"/>
      <c r="L145" s="472" t="n"/>
      <c r="M145" s="472" t="n"/>
      <c r="N145" s="472" t="n"/>
      <c r="O145" s="472" t="n"/>
      <c r="P145" s="472" t="n"/>
      <c r="Q145" s="472" t="n"/>
      <c r="R145" s="472" t="n"/>
      <c r="S145" s="288" t="n"/>
      <c r="T145" s="284" t="n"/>
      <c r="U145" s="284" t="n"/>
      <c r="V145" s="285" t="n"/>
      <c r="W145" s="285" t="n"/>
      <c r="X145" s="285" t="n"/>
      <c r="Y145" s="285" t="n"/>
      <c r="Z145" s="285" t="n"/>
      <c r="AA145" s="285" t="n"/>
      <c r="AB145" s="285" t="n"/>
    </row>
    <row r="146" ht="15.75" customHeight="1" s="398">
      <c r="A146" s="317" t="n"/>
      <c r="B146" s="317" t="n"/>
      <c r="C146" s="318" t="n"/>
      <c r="D146" s="317" t="n"/>
      <c r="E146" s="315" t="n"/>
      <c r="F146" s="472" t="n"/>
      <c r="G146" s="472" t="n"/>
      <c r="H146" s="472" t="n"/>
      <c r="I146" s="472" t="n"/>
      <c r="J146" s="472" t="n"/>
      <c r="K146" s="472" t="n"/>
      <c r="L146" s="472" t="n"/>
      <c r="M146" s="472" t="n"/>
      <c r="N146" s="472" t="n"/>
      <c r="O146" s="472" t="n"/>
      <c r="P146" s="472" t="n"/>
      <c r="Q146" s="472" t="n"/>
      <c r="R146" s="472" t="n"/>
      <c r="S146" s="288" t="n"/>
      <c r="T146" s="284" t="n"/>
      <c r="U146" s="284" t="n"/>
      <c r="V146" s="285" t="n"/>
      <c r="W146" s="285" t="n"/>
      <c r="X146" s="285" t="n"/>
      <c r="Y146" s="285" t="n"/>
      <c r="Z146" s="285" t="n"/>
      <c r="AA146" s="285" t="n"/>
      <c r="AB146" s="285" t="n"/>
    </row>
    <row r="147" ht="15.75" customHeight="1" s="398">
      <c r="A147" s="317" t="n"/>
      <c r="B147" s="317" t="n"/>
      <c r="C147" s="318" t="n"/>
      <c r="D147" s="317" t="n"/>
      <c r="E147" s="315" t="n"/>
      <c r="F147" s="472" t="n"/>
      <c r="G147" s="472" t="n"/>
      <c r="H147" s="472" t="n"/>
      <c r="I147" s="472" t="n"/>
      <c r="J147" s="472" t="n"/>
      <c r="K147" s="472" t="n"/>
      <c r="L147" s="472" t="n"/>
      <c r="M147" s="472" t="n"/>
      <c r="N147" s="472" t="n"/>
      <c r="O147" s="472" t="n"/>
      <c r="P147" s="472" t="n"/>
      <c r="Q147" s="472" t="n"/>
      <c r="R147" s="472" t="n"/>
      <c r="S147" s="288" t="n"/>
      <c r="T147" s="284" t="n"/>
      <c r="U147" s="284" t="n"/>
      <c r="V147" s="285" t="n"/>
      <c r="W147" s="285" t="n"/>
      <c r="X147" s="285" t="n"/>
      <c r="Y147" s="285" t="n"/>
      <c r="Z147" s="285" t="n"/>
      <c r="AA147" s="285" t="n"/>
      <c r="AB147" s="285" t="n"/>
    </row>
    <row r="148" ht="15.75" customHeight="1" s="398">
      <c r="A148" s="317" t="n"/>
      <c r="B148" s="317" t="n"/>
      <c r="C148" s="318" t="n"/>
      <c r="D148" s="317" t="n"/>
      <c r="E148" s="315" t="n"/>
      <c r="F148" s="472" t="n"/>
      <c r="G148" s="472" t="n"/>
      <c r="H148" s="472" t="n"/>
      <c r="I148" s="472" t="n"/>
      <c r="J148" s="472" t="n"/>
      <c r="K148" s="472" t="n"/>
      <c r="L148" s="472" t="n"/>
      <c r="M148" s="472" t="n"/>
      <c r="N148" s="472" t="n"/>
      <c r="O148" s="472" t="n"/>
      <c r="P148" s="472" t="n"/>
      <c r="Q148" s="472" t="n"/>
      <c r="R148" s="472" t="n"/>
      <c r="S148" s="288" t="n"/>
      <c r="T148" s="284" t="n"/>
      <c r="U148" s="284" t="n"/>
      <c r="V148" s="285" t="n"/>
      <c r="W148" s="285" t="n"/>
      <c r="X148" s="285" t="n"/>
      <c r="Y148" s="285" t="n"/>
      <c r="Z148" s="285" t="n"/>
      <c r="AA148" s="285" t="n"/>
      <c r="AB148" s="285" t="n"/>
    </row>
    <row r="149" ht="15.75" customHeight="1" s="398">
      <c r="A149" s="317" t="n"/>
      <c r="B149" s="317" t="n"/>
      <c r="C149" s="318" t="n"/>
      <c r="D149" s="317" t="n"/>
      <c r="E149" s="315" t="n"/>
      <c r="F149" s="472" t="n"/>
      <c r="G149" s="472" t="n"/>
      <c r="H149" s="472" t="n"/>
      <c r="I149" s="472" t="n"/>
      <c r="J149" s="472" t="n"/>
      <c r="K149" s="472" t="n"/>
      <c r="L149" s="472" t="n"/>
      <c r="M149" s="472" t="n"/>
      <c r="N149" s="472" t="n"/>
      <c r="O149" s="472" t="n"/>
      <c r="P149" s="472" t="n"/>
      <c r="Q149" s="472" t="n"/>
      <c r="R149" s="472" t="n"/>
      <c r="S149" s="288" t="n"/>
      <c r="T149" s="284" t="n"/>
      <c r="U149" s="284" t="n"/>
      <c r="V149" s="285" t="n"/>
      <c r="W149" s="285" t="n"/>
      <c r="X149" s="285" t="n"/>
      <c r="Y149" s="285" t="n"/>
      <c r="Z149" s="285" t="n"/>
      <c r="AA149" s="285" t="n"/>
      <c r="AB149" s="285" t="n"/>
    </row>
    <row r="150" ht="15.75" customHeight="1" s="398">
      <c r="A150" s="317" t="n"/>
      <c r="B150" s="317" t="n"/>
      <c r="C150" s="318" t="n"/>
      <c r="D150" s="317" t="n"/>
      <c r="E150" s="315" t="n"/>
      <c r="F150" s="472" t="n"/>
      <c r="G150" s="472" t="n"/>
      <c r="H150" s="472" t="n"/>
      <c r="I150" s="472" t="n"/>
      <c r="J150" s="472" t="n"/>
      <c r="K150" s="472" t="n"/>
      <c r="L150" s="472" t="n"/>
      <c r="M150" s="472" t="n"/>
      <c r="N150" s="472" t="n"/>
      <c r="O150" s="472" t="n"/>
      <c r="P150" s="472" t="n"/>
      <c r="Q150" s="472" t="n"/>
      <c r="R150" s="472" t="n"/>
      <c r="S150" s="288" t="n"/>
      <c r="T150" s="284" t="n"/>
      <c r="U150" s="284" t="n"/>
      <c r="V150" s="285" t="n"/>
      <c r="W150" s="285" t="n"/>
      <c r="X150" s="285" t="n"/>
      <c r="Y150" s="285" t="n"/>
      <c r="Z150" s="285" t="n"/>
      <c r="AA150" s="285" t="n"/>
      <c r="AB150" s="285" t="n"/>
    </row>
    <row r="151" ht="15.75" customHeight="1" s="398">
      <c r="A151" s="317" t="n"/>
      <c r="B151" s="317" t="n"/>
      <c r="C151" s="318" t="n"/>
      <c r="D151" s="317" t="n"/>
      <c r="E151" s="315" t="n"/>
      <c r="F151" s="472" t="n"/>
      <c r="G151" s="472" t="n"/>
      <c r="H151" s="472" t="n"/>
      <c r="I151" s="472" t="n"/>
      <c r="J151" s="472" t="n"/>
      <c r="K151" s="472" t="n"/>
      <c r="L151" s="472" t="n"/>
      <c r="M151" s="472" t="n"/>
      <c r="N151" s="472" t="n"/>
      <c r="O151" s="472" t="n"/>
      <c r="P151" s="472" t="n"/>
      <c r="Q151" s="472" t="n"/>
      <c r="R151" s="472" t="n"/>
      <c r="S151" s="288" t="n"/>
      <c r="T151" s="284" t="n"/>
      <c r="U151" s="284" t="n"/>
      <c r="V151" s="285" t="n"/>
      <c r="W151" s="285" t="n"/>
      <c r="X151" s="285" t="n"/>
      <c r="Y151" s="285" t="n"/>
      <c r="Z151" s="285" t="n"/>
      <c r="AA151" s="285" t="n"/>
      <c r="AB151" s="285" t="n"/>
    </row>
    <row r="152" ht="15.75" customHeight="1" s="398">
      <c r="A152" s="317" t="n"/>
      <c r="B152" s="317" t="n"/>
      <c r="C152" s="318" t="n"/>
      <c r="D152" s="317" t="n"/>
      <c r="E152" s="315" t="n"/>
      <c r="F152" s="472" t="n"/>
      <c r="G152" s="472" t="n"/>
      <c r="H152" s="472" t="n"/>
      <c r="I152" s="472" t="n"/>
      <c r="J152" s="472" t="n"/>
      <c r="K152" s="472" t="n"/>
      <c r="L152" s="472" t="n"/>
      <c r="M152" s="472" t="n"/>
      <c r="N152" s="472" t="n"/>
      <c r="O152" s="472" t="n"/>
      <c r="P152" s="472" t="n"/>
      <c r="Q152" s="472" t="n"/>
      <c r="R152" s="472" t="n"/>
      <c r="S152" s="288" t="n"/>
      <c r="T152" s="284" t="n"/>
      <c r="U152" s="284" t="n"/>
      <c r="V152" s="285" t="n"/>
      <c r="W152" s="285" t="n"/>
      <c r="X152" s="285" t="n"/>
      <c r="Y152" s="285" t="n"/>
      <c r="Z152" s="285" t="n"/>
      <c r="AA152" s="285" t="n"/>
      <c r="AB152" s="285" t="n"/>
    </row>
    <row r="153" ht="15.75" customHeight="1" s="398">
      <c r="A153" s="317" t="n"/>
      <c r="B153" s="317" t="n"/>
      <c r="C153" s="318" t="n"/>
      <c r="D153" s="317" t="n"/>
      <c r="E153" s="315" t="n"/>
      <c r="F153" s="472" t="n"/>
      <c r="G153" s="472" t="n"/>
      <c r="H153" s="472" t="n"/>
      <c r="I153" s="472" t="n"/>
      <c r="J153" s="472" t="n"/>
      <c r="K153" s="472" t="n"/>
      <c r="L153" s="472" t="n"/>
      <c r="M153" s="472" t="n"/>
      <c r="N153" s="472" t="n"/>
      <c r="O153" s="472" t="n"/>
      <c r="P153" s="472" t="n"/>
      <c r="Q153" s="472" t="n"/>
      <c r="R153" s="472" t="n"/>
      <c r="S153" s="288" t="n"/>
      <c r="T153" s="284" t="n"/>
      <c r="U153" s="284" t="n"/>
      <c r="V153" s="285" t="n"/>
      <c r="W153" s="285" t="n"/>
      <c r="X153" s="285" t="n"/>
      <c r="Y153" s="285" t="n"/>
      <c r="Z153" s="285" t="n"/>
      <c r="AA153" s="285" t="n"/>
      <c r="AB153" s="285" t="n"/>
    </row>
    <row r="154" ht="15.75" customHeight="1" s="398">
      <c r="A154" s="317" t="n"/>
      <c r="B154" s="317" t="n"/>
      <c r="C154" s="318" t="n"/>
      <c r="D154" s="317" t="n"/>
      <c r="E154" s="315" t="n"/>
      <c r="F154" s="472" t="n"/>
      <c r="G154" s="472" t="n"/>
      <c r="H154" s="472" t="n"/>
      <c r="I154" s="472" t="n"/>
      <c r="J154" s="472" t="n"/>
      <c r="K154" s="472" t="n"/>
      <c r="L154" s="472" t="n"/>
      <c r="M154" s="472" t="n"/>
      <c r="N154" s="472" t="n"/>
      <c r="O154" s="472" t="n"/>
      <c r="P154" s="472" t="n"/>
      <c r="Q154" s="472" t="n"/>
      <c r="R154" s="472" t="n"/>
      <c r="S154" s="288" t="n"/>
      <c r="T154" s="284" t="n"/>
      <c r="U154" s="284" t="n"/>
      <c r="V154" s="285" t="n"/>
      <c r="W154" s="285" t="n"/>
      <c r="X154" s="285" t="n"/>
      <c r="Y154" s="285" t="n"/>
      <c r="Z154" s="285" t="n"/>
      <c r="AA154" s="285" t="n"/>
      <c r="AB154" s="285" t="n"/>
    </row>
    <row r="155" ht="15.75" customHeight="1" s="398">
      <c r="A155" s="317" t="n"/>
      <c r="B155" s="317" t="n"/>
      <c r="C155" s="318" t="n"/>
      <c r="D155" s="317" t="n"/>
      <c r="E155" s="315" t="n"/>
      <c r="F155" s="472" t="n"/>
      <c r="G155" s="472" t="n"/>
      <c r="H155" s="472" t="n"/>
      <c r="I155" s="472" t="n"/>
      <c r="J155" s="472" t="n"/>
      <c r="K155" s="472" t="n"/>
      <c r="L155" s="472" t="n"/>
      <c r="M155" s="472" t="n"/>
      <c r="N155" s="472" t="n"/>
      <c r="O155" s="472" t="n"/>
      <c r="P155" s="472" t="n"/>
      <c r="Q155" s="472" t="n"/>
      <c r="R155" s="472" t="n"/>
      <c r="S155" s="288" t="n"/>
      <c r="T155" s="284" t="n"/>
      <c r="U155" s="284" t="n"/>
      <c r="V155" s="285" t="n"/>
      <c r="W155" s="285" t="n"/>
      <c r="X155" s="285" t="n"/>
      <c r="Y155" s="285" t="n"/>
      <c r="Z155" s="285" t="n"/>
      <c r="AA155" s="285" t="n"/>
      <c r="AB155" s="285" t="n"/>
    </row>
    <row r="156" ht="15.75" customHeight="1" s="398">
      <c r="A156" s="317" t="n"/>
      <c r="B156" s="317" t="n"/>
      <c r="C156" s="318" t="n"/>
      <c r="D156" s="317" t="n"/>
      <c r="E156" s="315" t="n"/>
      <c r="F156" s="472" t="n"/>
      <c r="G156" s="472" t="n"/>
      <c r="H156" s="472" t="n"/>
      <c r="I156" s="472" t="n"/>
      <c r="J156" s="472" t="n"/>
      <c r="K156" s="472" t="n"/>
      <c r="L156" s="472" t="n"/>
      <c r="M156" s="472" t="n"/>
      <c r="N156" s="472" t="n"/>
      <c r="O156" s="472" t="n"/>
      <c r="P156" s="472" t="n"/>
      <c r="Q156" s="472" t="n"/>
      <c r="R156" s="472" t="n"/>
      <c r="S156" s="288" t="n"/>
      <c r="T156" s="284" t="n"/>
      <c r="U156" s="284" t="n"/>
      <c r="V156" s="285" t="n"/>
      <c r="W156" s="285" t="n"/>
      <c r="X156" s="285" t="n"/>
      <c r="Y156" s="285" t="n"/>
      <c r="Z156" s="285" t="n"/>
      <c r="AA156" s="285" t="n"/>
      <c r="AB156" s="285" t="n"/>
    </row>
    <row r="157" ht="15.75" customHeight="1" s="398">
      <c r="A157" s="317" t="n"/>
      <c r="B157" s="317" t="n"/>
      <c r="C157" s="318" t="n"/>
      <c r="D157" s="317" t="n"/>
      <c r="E157" s="315" t="n"/>
      <c r="F157" s="472" t="n"/>
      <c r="G157" s="472" t="n"/>
      <c r="H157" s="472" t="n"/>
      <c r="I157" s="472" t="n"/>
      <c r="J157" s="472" t="n"/>
      <c r="K157" s="472" t="n"/>
      <c r="L157" s="472" t="n"/>
      <c r="M157" s="472" t="n"/>
      <c r="N157" s="472" t="n"/>
      <c r="O157" s="472" t="n"/>
      <c r="P157" s="472" t="n"/>
      <c r="Q157" s="472" t="n"/>
      <c r="R157" s="472" t="n"/>
      <c r="S157" s="288" t="n"/>
      <c r="T157" s="284" t="n"/>
      <c r="U157" s="284" t="n"/>
      <c r="V157" s="285" t="n"/>
      <c r="W157" s="285" t="n"/>
      <c r="X157" s="285" t="n"/>
      <c r="Y157" s="285" t="n"/>
      <c r="Z157" s="285" t="n"/>
      <c r="AA157" s="285" t="n"/>
      <c r="AB157" s="285" t="n"/>
    </row>
    <row r="158" ht="15.75" customHeight="1" s="398">
      <c r="A158" s="317" t="n"/>
      <c r="B158" s="317" t="n"/>
      <c r="C158" s="318" t="n"/>
      <c r="D158" s="317" t="n"/>
      <c r="E158" s="315" t="n"/>
      <c r="F158" s="472" t="n"/>
      <c r="G158" s="472" t="n"/>
      <c r="H158" s="472" t="n"/>
      <c r="I158" s="472" t="n"/>
      <c r="J158" s="472" t="n"/>
      <c r="K158" s="472" t="n"/>
      <c r="L158" s="472" t="n"/>
      <c r="M158" s="472" t="n"/>
      <c r="N158" s="472" t="n"/>
      <c r="O158" s="472" t="n"/>
      <c r="P158" s="472" t="n"/>
      <c r="Q158" s="472" t="n"/>
      <c r="R158" s="472" t="n"/>
      <c r="S158" s="288" t="n"/>
      <c r="T158" s="284" t="n"/>
      <c r="U158" s="284" t="n"/>
      <c r="V158" s="285" t="n"/>
      <c r="W158" s="285" t="n"/>
      <c r="X158" s="285" t="n"/>
      <c r="Y158" s="285" t="n"/>
      <c r="Z158" s="285" t="n"/>
      <c r="AA158" s="285" t="n"/>
      <c r="AB158" s="285" t="n"/>
    </row>
    <row r="159" ht="15.75" customHeight="1" s="398">
      <c r="A159" s="317" t="n"/>
      <c r="B159" s="317" t="n"/>
      <c r="C159" s="318" t="n"/>
      <c r="D159" s="317" t="n"/>
      <c r="E159" s="315" t="n"/>
      <c r="F159" s="472" t="n"/>
      <c r="G159" s="472" t="n"/>
      <c r="H159" s="472" t="n"/>
      <c r="I159" s="472" t="n"/>
      <c r="J159" s="472" t="n"/>
      <c r="K159" s="472" t="n"/>
      <c r="L159" s="472" t="n"/>
      <c r="M159" s="472" t="n"/>
      <c r="N159" s="472" t="n"/>
      <c r="O159" s="472" t="n"/>
      <c r="P159" s="472" t="n"/>
      <c r="Q159" s="472" t="n"/>
      <c r="R159" s="472" t="n"/>
      <c r="S159" s="288" t="n"/>
      <c r="T159" s="284" t="n"/>
      <c r="U159" s="284" t="n"/>
      <c r="V159" s="285" t="n"/>
      <c r="W159" s="285" t="n"/>
      <c r="X159" s="285" t="n"/>
      <c r="Y159" s="285" t="n"/>
      <c r="Z159" s="285" t="n"/>
      <c r="AA159" s="285" t="n"/>
      <c r="AB159" s="285" t="n"/>
    </row>
    <row r="160" ht="15.75" customHeight="1" s="398">
      <c r="A160" s="317" t="n"/>
      <c r="B160" s="317" t="n"/>
      <c r="C160" s="318" t="n"/>
      <c r="D160" s="317" t="n"/>
      <c r="E160" s="315" t="n"/>
      <c r="F160" s="472" t="n"/>
      <c r="G160" s="472" t="n"/>
      <c r="H160" s="472" t="n"/>
      <c r="I160" s="472" t="n"/>
      <c r="J160" s="472" t="n"/>
      <c r="K160" s="472" t="n"/>
      <c r="L160" s="472" t="n"/>
      <c r="M160" s="472" t="n"/>
      <c r="N160" s="472" t="n"/>
      <c r="O160" s="472" t="n"/>
      <c r="P160" s="472" t="n"/>
      <c r="Q160" s="472" t="n"/>
      <c r="R160" s="472" t="n"/>
      <c r="S160" s="288" t="n"/>
      <c r="T160" s="284" t="n"/>
      <c r="U160" s="284" t="n"/>
      <c r="V160" s="285" t="n"/>
      <c r="W160" s="285" t="n"/>
      <c r="X160" s="285" t="n"/>
      <c r="Y160" s="285" t="n"/>
      <c r="Z160" s="285" t="n"/>
      <c r="AA160" s="285" t="n"/>
      <c r="AB160" s="285" t="n"/>
    </row>
    <row r="161" ht="15.75" customHeight="1" s="398">
      <c r="A161" s="317" t="n"/>
      <c r="B161" s="317" t="n"/>
      <c r="C161" s="318" t="n"/>
      <c r="D161" s="317" t="n"/>
      <c r="E161" s="315" t="n"/>
      <c r="F161" s="472" t="n"/>
      <c r="G161" s="472" t="n"/>
      <c r="H161" s="472" t="n"/>
      <c r="I161" s="472" t="n"/>
      <c r="J161" s="472" t="n"/>
      <c r="K161" s="472" t="n"/>
      <c r="L161" s="472" t="n"/>
      <c r="M161" s="472" t="n"/>
      <c r="N161" s="472" t="n"/>
      <c r="O161" s="472" t="n"/>
      <c r="P161" s="472" t="n"/>
      <c r="Q161" s="472" t="n"/>
      <c r="R161" s="472" t="n"/>
      <c r="S161" s="288" t="n"/>
      <c r="T161" s="284" t="n"/>
      <c r="U161" s="284" t="n"/>
      <c r="V161" s="285" t="n"/>
      <c r="W161" s="285" t="n"/>
      <c r="X161" s="285" t="n"/>
      <c r="Y161" s="285" t="n"/>
      <c r="Z161" s="285" t="n"/>
      <c r="AA161" s="285" t="n"/>
      <c r="AB161" s="285" t="n"/>
    </row>
    <row r="162" ht="15.75" customHeight="1" s="398">
      <c r="A162" s="317" t="n"/>
      <c r="B162" s="317" t="n"/>
      <c r="C162" s="318" t="n"/>
      <c r="D162" s="317" t="n"/>
      <c r="E162" s="315" t="n"/>
      <c r="F162" s="472" t="n"/>
      <c r="G162" s="472" t="n"/>
      <c r="H162" s="472" t="n"/>
      <c r="I162" s="472" t="n"/>
      <c r="J162" s="472" t="n"/>
      <c r="K162" s="472" t="n"/>
      <c r="L162" s="472" t="n"/>
      <c r="M162" s="472" t="n"/>
      <c r="N162" s="472" t="n"/>
      <c r="O162" s="472" t="n"/>
      <c r="P162" s="472" t="n"/>
      <c r="Q162" s="472" t="n"/>
      <c r="R162" s="472" t="n"/>
      <c r="S162" s="288" t="n"/>
      <c r="T162" s="284" t="n"/>
      <c r="U162" s="284" t="n"/>
      <c r="V162" s="285" t="n"/>
      <c r="W162" s="285" t="n"/>
      <c r="X162" s="285" t="n"/>
      <c r="Y162" s="285" t="n"/>
      <c r="Z162" s="285" t="n"/>
      <c r="AA162" s="285" t="n"/>
      <c r="AB162" s="285" t="n"/>
    </row>
    <row r="163" ht="15.75" customHeight="1" s="398">
      <c r="A163" s="317" t="n"/>
      <c r="B163" s="317" t="n"/>
      <c r="C163" s="318" t="n"/>
      <c r="D163" s="317" t="n"/>
      <c r="E163" s="315" t="n"/>
      <c r="F163" s="472" t="n"/>
      <c r="G163" s="472" t="n"/>
      <c r="H163" s="472" t="n"/>
      <c r="I163" s="472" t="n"/>
      <c r="J163" s="472" t="n"/>
      <c r="K163" s="472" t="n"/>
      <c r="L163" s="472" t="n"/>
      <c r="M163" s="472" t="n"/>
      <c r="N163" s="472" t="n"/>
      <c r="O163" s="472" t="n"/>
      <c r="P163" s="472" t="n"/>
      <c r="Q163" s="472" t="n"/>
      <c r="R163" s="472" t="n"/>
      <c r="S163" s="288" t="n"/>
      <c r="T163" s="284" t="n"/>
      <c r="U163" s="284" t="n"/>
      <c r="V163" s="285" t="n"/>
      <c r="W163" s="285" t="n"/>
      <c r="X163" s="285" t="n"/>
      <c r="Y163" s="285" t="n"/>
      <c r="Z163" s="285" t="n"/>
      <c r="AA163" s="285" t="n"/>
      <c r="AB163" s="285" t="n"/>
    </row>
    <row r="164" ht="15.75" customHeight="1" s="398">
      <c r="A164" s="317" t="n"/>
      <c r="B164" s="317" t="n"/>
      <c r="C164" s="318" t="n"/>
      <c r="D164" s="317" t="n"/>
      <c r="E164" s="315" t="n"/>
      <c r="F164" s="472" t="n"/>
      <c r="G164" s="472" t="n"/>
      <c r="H164" s="472" t="n"/>
      <c r="I164" s="472" t="n"/>
      <c r="J164" s="472" t="n"/>
      <c r="K164" s="472" t="n"/>
      <c r="L164" s="472" t="n"/>
      <c r="M164" s="472" t="n"/>
      <c r="N164" s="472" t="n"/>
      <c r="O164" s="472" t="n"/>
      <c r="P164" s="472" t="n"/>
      <c r="Q164" s="472" t="n"/>
      <c r="R164" s="472" t="n"/>
      <c r="S164" s="288" t="n"/>
      <c r="T164" s="284" t="n"/>
      <c r="U164" s="284" t="n"/>
      <c r="V164" s="285" t="n"/>
      <c r="W164" s="285" t="n"/>
      <c r="X164" s="285" t="n"/>
      <c r="Y164" s="285" t="n"/>
      <c r="Z164" s="285" t="n"/>
      <c r="AA164" s="285" t="n"/>
      <c r="AB164" s="285" t="n"/>
    </row>
    <row r="165" ht="15.75" customHeight="1" s="398">
      <c r="A165" s="317" t="n"/>
      <c r="B165" s="317" t="n"/>
      <c r="C165" s="318" t="n"/>
      <c r="D165" s="317" t="n"/>
      <c r="E165" s="315" t="n"/>
      <c r="F165" s="472" t="n"/>
      <c r="G165" s="472" t="n"/>
      <c r="H165" s="472" t="n"/>
      <c r="I165" s="472" t="n"/>
      <c r="J165" s="472" t="n"/>
      <c r="K165" s="472" t="n"/>
      <c r="L165" s="472" t="n"/>
      <c r="M165" s="472" t="n"/>
      <c r="N165" s="472" t="n"/>
      <c r="O165" s="472" t="n"/>
      <c r="P165" s="472" t="n"/>
      <c r="Q165" s="472" t="n"/>
      <c r="R165" s="472" t="n"/>
      <c r="S165" s="288" t="n"/>
      <c r="T165" s="284" t="n"/>
      <c r="U165" s="284" t="n"/>
      <c r="V165" s="285" t="n"/>
      <c r="W165" s="285" t="n"/>
      <c r="X165" s="285" t="n"/>
      <c r="Y165" s="285" t="n"/>
      <c r="Z165" s="285" t="n"/>
      <c r="AA165" s="285" t="n"/>
      <c r="AB165" s="285" t="n"/>
    </row>
    <row r="166" ht="15.75" customHeight="1" s="398">
      <c r="A166" s="317" t="n"/>
      <c r="B166" s="317" t="n"/>
      <c r="C166" s="318" t="n"/>
      <c r="D166" s="317" t="n"/>
      <c r="E166" s="315" t="n"/>
      <c r="F166" s="472" t="n"/>
      <c r="G166" s="472" t="n"/>
      <c r="H166" s="472" t="n"/>
      <c r="I166" s="472" t="n"/>
      <c r="J166" s="472" t="n"/>
      <c r="K166" s="472" t="n"/>
      <c r="L166" s="472" t="n"/>
      <c r="M166" s="472" t="n"/>
      <c r="N166" s="472" t="n"/>
      <c r="O166" s="472" t="n"/>
      <c r="P166" s="472" t="n"/>
      <c r="Q166" s="472" t="n"/>
      <c r="R166" s="472" t="n"/>
      <c r="S166" s="288" t="n"/>
      <c r="T166" s="284" t="n"/>
      <c r="U166" s="284" t="n"/>
      <c r="V166" s="285" t="n"/>
      <c r="W166" s="285" t="n"/>
      <c r="X166" s="285" t="n"/>
      <c r="Y166" s="285" t="n"/>
      <c r="Z166" s="285" t="n"/>
      <c r="AA166" s="285" t="n"/>
      <c r="AB166" s="285" t="n"/>
    </row>
    <row r="167" ht="15.75" customHeight="1" s="398">
      <c r="A167" s="317" t="n"/>
      <c r="B167" s="317" t="n"/>
      <c r="C167" s="318" t="n"/>
      <c r="D167" s="317" t="n"/>
      <c r="E167" s="315" t="n"/>
      <c r="F167" s="472" t="n"/>
      <c r="G167" s="472" t="n"/>
      <c r="H167" s="472" t="n"/>
      <c r="I167" s="472" t="n"/>
      <c r="J167" s="472" t="n"/>
      <c r="K167" s="472" t="n"/>
      <c r="L167" s="472" t="n"/>
      <c r="M167" s="472" t="n"/>
      <c r="N167" s="472" t="n"/>
      <c r="O167" s="472" t="n"/>
      <c r="P167" s="472" t="n"/>
      <c r="Q167" s="472" t="n"/>
      <c r="R167" s="472" t="n"/>
      <c r="S167" s="288" t="n"/>
      <c r="T167" s="284" t="n"/>
      <c r="U167" s="284" t="n"/>
      <c r="V167" s="285" t="n"/>
      <c r="W167" s="285" t="n"/>
      <c r="X167" s="285" t="n"/>
      <c r="Y167" s="285" t="n"/>
      <c r="Z167" s="285" t="n"/>
      <c r="AA167" s="285" t="n"/>
      <c r="AB167" s="285" t="n"/>
    </row>
    <row r="168" ht="15.75" customHeight="1" s="398">
      <c r="A168" s="317" t="n"/>
      <c r="B168" s="317" t="n"/>
      <c r="C168" s="318" t="n"/>
      <c r="D168" s="317" t="n"/>
      <c r="E168" s="315" t="n"/>
      <c r="F168" s="472" t="n"/>
      <c r="G168" s="472" t="n"/>
      <c r="H168" s="472" t="n"/>
      <c r="I168" s="472" t="n"/>
      <c r="J168" s="472" t="n"/>
      <c r="K168" s="472" t="n"/>
      <c r="L168" s="472" t="n"/>
      <c r="M168" s="472" t="n"/>
      <c r="N168" s="472" t="n"/>
      <c r="O168" s="472" t="n"/>
      <c r="P168" s="472" t="n"/>
      <c r="Q168" s="472" t="n"/>
      <c r="R168" s="472" t="n"/>
      <c r="S168" s="288" t="n"/>
      <c r="T168" s="284" t="n"/>
      <c r="U168" s="284" t="n"/>
      <c r="V168" s="285" t="n"/>
      <c r="W168" s="285" t="n"/>
      <c r="X168" s="285" t="n"/>
      <c r="Y168" s="285" t="n"/>
      <c r="Z168" s="285" t="n"/>
      <c r="AA168" s="285" t="n"/>
      <c r="AB168" s="285" t="n"/>
    </row>
    <row r="169" ht="15.75" customHeight="1" s="398">
      <c r="A169" s="317" t="n"/>
      <c r="B169" s="317" t="n"/>
      <c r="C169" s="318" t="n"/>
      <c r="D169" s="317" t="n"/>
      <c r="E169" s="315" t="n"/>
      <c r="F169" s="472" t="n"/>
      <c r="G169" s="472" t="n"/>
      <c r="H169" s="472" t="n"/>
      <c r="I169" s="472" t="n"/>
      <c r="J169" s="472" t="n"/>
      <c r="K169" s="472" t="n"/>
      <c r="L169" s="472" t="n"/>
      <c r="M169" s="472" t="n"/>
      <c r="N169" s="472" t="n"/>
      <c r="O169" s="472" t="n"/>
      <c r="P169" s="472" t="n"/>
      <c r="Q169" s="472" t="n"/>
      <c r="R169" s="472" t="n"/>
      <c r="S169" s="288" t="n"/>
      <c r="T169" s="284" t="n"/>
      <c r="U169" s="284" t="n"/>
      <c r="V169" s="285" t="n"/>
      <c r="W169" s="285" t="n"/>
      <c r="X169" s="285" t="n"/>
      <c r="Y169" s="285" t="n"/>
      <c r="Z169" s="285" t="n"/>
      <c r="AA169" s="285" t="n"/>
      <c r="AB169" s="285" t="n"/>
    </row>
    <row r="170" ht="15.75" customHeight="1" s="398">
      <c r="A170" s="317" t="n"/>
      <c r="B170" s="317" t="n"/>
      <c r="C170" s="318" t="n"/>
      <c r="D170" s="317" t="n"/>
      <c r="E170" s="315" t="n"/>
      <c r="F170" s="472" t="n"/>
      <c r="G170" s="472" t="n"/>
      <c r="H170" s="472" t="n"/>
      <c r="I170" s="472" t="n"/>
      <c r="J170" s="472" t="n"/>
      <c r="K170" s="472" t="n"/>
      <c r="L170" s="472" t="n"/>
      <c r="M170" s="472" t="n"/>
      <c r="N170" s="472" t="n"/>
      <c r="O170" s="472" t="n"/>
      <c r="P170" s="472" t="n"/>
      <c r="Q170" s="472" t="n"/>
      <c r="R170" s="472" t="n"/>
      <c r="S170" s="288" t="n"/>
      <c r="T170" s="284" t="n"/>
      <c r="U170" s="284" t="n"/>
      <c r="V170" s="285" t="n"/>
      <c r="W170" s="285" t="n"/>
      <c r="X170" s="285" t="n"/>
      <c r="Y170" s="285" t="n"/>
      <c r="Z170" s="285" t="n"/>
      <c r="AA170" s="285" t="n"/>
      <c r="AB170" s="285" t="n"/>
    </row>
    <row r="171" ht="15.75" customHeight="1" s="398">
      <c r="A171" s="317" t="n"/>
      <c r="B171" s="317" t="n"/>
      <c r="C171" s="318" t="n"/>
      <c r="D171" s="317" t="n"/>
      <c r="E171" s="315" t="n"/>
      <c r="F171" s="472" t="n"/>
      <c r="G171" s="472" t="n"/>
      <c r="H171" s="472" t="n"/>
      <c r="I171" s="472" t="n"/>
      <c r="J171" s="472" t="n"/>
      <c r="K171" s="472" t="n"/>
      <c r="L171" s="472" t="n"/>
      <c r="M171" s="472" t="n"/>
      <c r="N171" s="472" t="n"/>
      <c r="O171" s="472" t="n"/>
      <c r="P171" s="472" t="n"/>
      <c r="Q171" s="472" t="n"/>
      <c r="R171" s="472" t="n"/>
      <c r="S171" s="288" t="n"/>
      <c r="T171" s="284" t="n"/>
      <c r="U171" s="284" t="n"/>
      <c r="V171" s="285" t="n"/>
      <c r="W171" s="285" t="n"/>
      <c r="X171" s="285" t="n"/>
      <c r="Y171" s="285" t="n"/>
      <c r="Z171" s="285" t="n"/>
      <c r="AA171" s="285" t="n"/>
      <c r="AB171" s="285" t="n"/>
    </row>
    <row r="172" ht="15.75" customHeight="1" s="398">
      <c r="A172" s="317" t="n"/>
      <c r="B172" s="317" t="n"/>
      <c r="C172" s="318" t="n"/>
      <c r="D172" s="317" t="n"/>
      <c r="E172" s="315" t="n"/>
      <c r="F172" s="472" t="n"/>
      <c r="G172" s="472" t="n"/>
      <c r="H172" s="472" t="n"/>
      <c r="I172" s="472" t="n"/>
      <c r="J172" s="472" t="n"/>
      <c r="K172" s="472" t="n"/>
      <c r="L172" s="472" t="n"/>
      <c r="M172" s="472" t="n"/>
      <c r="N172" s="472" t="n"/>
      <c r="O172" s="472" t="n"/>
      <c r="P172" s="472" t="n"/>
      <c r="Q172" s="472" t="n"/>
      <c r="R172" s="472" t="n"/>
      <c r="S172" s="288" t="n"/>
      <c r="T172" s="284" t="n"/>
      <c r="U172" s="284" t="n"/>
      <c r="V172" s="285" t="n"/>
      <c r="W172" s="285" t="n"/>
      <c r="X172" s="285" t="n"/>
      <c r="Y172" s="285" t="n"/>
      <c r="Z172" s="285" t="n"/>
      <c r="AA172" s="285" t="n"/>
      <c r="AB172" s="285" t="n"/>
    </row>
    <row r="173" ht="15.75" customHeight="1" s="398">
      <c r="A173" s="317" t="n"/>
      <c r="B173" s="317" t="n"/>
      <c r="C173" s="318" t="n"/>
      <c r="D173" s="317" t="n"/>
      <c r="E173" s="315" t="n"/>
      <c r="F173" s="472" t="n"/>
      <c r="G173" s="472" t="n"/>
      <c r="H173" s="472" t="n"/>
      <c r="I173" s="472" t="n"/>
      <c r="J173" s="472" t="n"/>
      <c r="K173" s="472" t="n"/>
      <c r="L173" s="472" t="n"/>
      <c r="M173" s="472" t="n"/>
      <c r="N173" s="472" t="n"/>
      <c r="O173" s="472" t="n"/>
      <c r="P173" s="472" t="n"/>
      <c r="Q173" s="472" t="n"/>
      <c r="R173" s="472" t="n"/>
      <c r="S173" s="288" t="n"/>
      <c r="T173" s="284" t="n"/>
      <c r="U173" s="284" t="n"/>
      <c r="V173" s="285" t="n"/>
      <c r="W173" s="285" t="n"/>
      <c r="X173" s="285" t="n"/>
      <c r="Y173" s="285" t="n"/>
      <c r="Z173" s="285" t="n"/>
      <c r="AA173" s="285" t="n"/>
      <c r="AB173" s="285" t="n"/>
    </row>
    <row r="174" ht="15.75" customHeight="1" s="398">
      <c r="A174" s="317" t="n"/>
      <c r="B174" s="317" t="n"/>
      <c r="C174" s="318" t="n"/>
      <c r="D174" s="317" t="n"/>
      <c r="E174" s="315" t="n"/>
      <c r="F174" s="472" t="n"/>
      <c r="G174" s="472" t="n"/>
      <c r="H174" s="472" t="n"/>
      <c r="I174" s="472" t="n"/>
      <c r="J174" s="472" t="n"/>
      <c r="K174" s="472" t="n"/>
      <c r="L174" s="472" t="n"/>
      <c r="M174" s="472" t="n"/>
      <c r="N174" s="472" t="n"/>
      <c r="O174" s="472" t="n"/>
      <c r="P174" s="472" t="n"/>
      <c r="Q174" s="472" t="n"/>
      <c r="R174" s="472" t="n"/>
      <c r="S174" s="288" t="n"/>
      <c r="T174" s="284" t="n"/>
      <c r="U174" s="284" t="n"/>
      <c r="V174" s="285" t="n"/>
      <c r="W174" s="285" t="n"/>
      <c r="X174" s="285" t="n"/>
      <c r="Y174" s="285" t="n"/>
      <c r="Z174" s="285" t="n"/>
      <c r="AA174" s="285" t="n"/>
      <c r="AB174" s="285" t="n"/>
    </row>
    <row r="175" ht="15.75" customHeight="1" s="398">
      <c r="A175" s="317" t="n"/>
      <c r="B175" s="317" t="n"/>
      <c r="C175" s="318" t="n"/>
      <c r="D175" s="317" t="n"/>
      <c r="E175" s="315" t="n"/>
      <c r="F175" s="472" t="n"/>
      <c r="G175" s="472" t="n"/>
      <c r="H175" s="472" t="n"/>
      <c r="I175" s="472" t="n"/>
      <c r="J175" s="472" t="n"/>
      <c r="K175" s="472" t="n"/>
      <c r="L175" s="472" t="n"/>
      <c r="M175" s="472" t="n"/>
      <c r="N175" s="472" t="n"/>
      <c r="O175" s="472" t="n"/>
      <c r="P175" s="472" t="n"/>
      <c r="Q175" s="472" t="n"/>
      <c r="R175" s="472" t="n"/>
      <c r="S175" s="288" t="n"/>
      <c r="T175" s="284" t="n"/>
      <c r="U175" s="284" t="n"/>
      <c r="V175" s="285" t="n"/>
      <c r="W175" s="285" t="n"/>
      <c r="X175" s="285" t="n"/>
      <c r="Y175" s="285" t="n"/>
      <c r="Z175" s="285" t="n"/>
      <c r="AA175" s="285" t="n"/>
      <c r="AB175" s="285" t="n"/>
    </row>
    <row r="176" ht="15.75" customHeight="1" s="398">
      <c r="A176" s="317" t="n"/>
      <c r="B176" s="317" t="n"/>
      <c r="C176" s="318" t="n"/>
      <c r="D176" s="317" t="n"/>
      <c r="E176" s="315" t="n"/>
      <c r="F176" s="472" t="n"/>
      <c r="G176" s="472" t="n"/>
      <c r="H176" s="472" t="n"/>
      <c r="I176" s="472" t="n"/>
      <c r="J176" s="472" t="n"/>
      <c r="K176" s="472" t="n"/>
      <c r="L176" s="472" t="n"/>
      <c r="M176" s="472" t="n"/>
      <c r="N176" s="472" t="n"/>
      <c r="O176" s="472" t="n"/>
      <c r="P176" s="472" t="n"/>
      <c r="Q176" s="472" t="n"/>
      <c r="R176" s="472" t="n"/>
      <c r="S176" s="288" t="n"/>
      <c r="T176" s="284" t="n"/>
      <c r="U176" s="284" t="n"/>
      <c r="V176" s="285" t="n"/>
      <c r="W176" s="285" t="n"/>
      <c r="X176" s="285" t="n"/>
      <c r="Y176" s="285" t="n"/>
      <c r="Z176" s="285" t="n"/>
      <c r="AA176" s="285" t="n"/>
      <c r="AB176" s="285" t="n"/>
    </row>
    <row r="177" ht="15.75" customHeight="1" s="398">
      <c r="A177" s="317" t="n"/>
      <c r="B177" s="317" t="n"/>
      <c r="C177" s="318" t="n"/>
      <c r="D177" s="317" t="n"/>
      <c r="E177" s="315" t="n"/>
      <c r="F177" s="472" t="n"/>
      <c r="G177" s="472" t="n"/>
      <c r="H177" s="472" t="n"/>
      <c r="I177" s="472" t="n"/>
      <c r="J177" s="472" t="n"/>
      <c r="K177" s="472" t="n"/>
      <c r="L177" s="472" t="n"/>
      <c r="M177" s="472" t="n"/>
      <c r="N177" s="472" t="n"/>
      <c r="O177" s="472" t="n"/>
      <c r="P177" s="472" t="n"/>
      <c r="Q177" s="472" t="n"/>
      <c r="R177" s="472" t="n"/>
      <c r="S177" s="288" t="n"/>
      <c r="T177" s="284" t="n"/>
      <c r="U177" s="284" t="n"/>
      <c r="V177" s="285" t="n"/>
      <c r="W177" s="285" t="n"/>
      <c r="X177" s="285" t="n"/>
      <c r="Y177" s="285" t="n"/>
      <c r="Z177" s="285" t="n"/>
      <c r="AA177" s="285" t="n"/>
      <c r="AB177" s="285" t="n"/>
    </row>
    <row r="178" ht="15.75" customHeight="1" s="398">
      <c r="A178" s="317" t="n"/>
      <c r="B178" s="317" t="n"/>
      <c r="C178" s="318" t="n"/>
      <c r="D178" s="317" t="n"/>
      <c r="E178" s="315" t="n"/>
      <c r="F178" s="472" t="n"/>
      <c r="G178" s="472" t="n"/>
      <c r="H178" s="472" t="n"/>
      <c r="I178" s="472" t="n"/>
      <c r="J178" s="472" t="n"/>
      <c r="K178" s="472" t="n"/>
      <c r="L178" s="472" t="n"/>
      <c r="M178" s="472" t="n"/>
      <c r="N178" s="472" t="n"/>
      <c r="O178" s="472" t="n"/>
      <c r="P178" s="472" t="n"/>
      <c r="Q178" s="472" t="n"/>
      <c r="R178" s="472" t="n"/>
      <c r="S178" s="288" t="n"/>
      <c r="T178" s="284" t="n"/>
      <c r="U178" s="284" t="n"/>
      <c r="V178" s="285" t="n"/>
      <c r="W178" s="285" t="n"/>
      <c r="X178" s="285" t="n"/>
      <c r="Y178" s="285" t="n"/>
      <c r="Z178" s="285" t="n"/>
      <c r="AA178" s="285" t="n"/>
      <c r="AB178" s="285" t="n"/>
    </row>
    <row r="179" ht="15.75" customHeight="1" s="398">
      <c r="A179" s="317" t="n"/>
      <c r="B179" s="317" t="n"/>
      <c r="C179" s="318" t="n"/>
      <c r="D179" s="317" t="n"/>
      <c r="E179" s="315" t="n"/>
      <c r="F179" s="472" t="n"/>
      <c r="G179" s="472" t="n"/>
      <c r="H179" s="472" t="n"/>
      <c r="I179" s="472" t="n"/>
      <c r="J179" s="472" t="n"/>
      <c r="K179" s="472" t="n"/>
      <c r="L179" s="472" t="n"/>
      <c r="M179" s="472" t="n"/>
      <c r="N179" s="472" t="n"/>
      <c r="O179" s="472" t="n"/>
      <c r="P179" s="472" t="n"/>
      <c r="Q179" s="472" t="n"/>
      <c r="R179" s="472" t="n"/>
      <c r="S179" s="288" t="n"/>
      <c r="T179" s="284" t="n"/>
      <c r="U179" s="284" t="n"/>
      <c r="V179" s="285" t="n"/>
      <c r="W179" s="285" t="n"/>
      <c r="X179" s="285" t="n"/>
      <c r="Y179" s="285" t="n"/>
      <c r="Z179" s="285" t="n"/>
      <c r="AA179" s="285" t="n"/>
      <c r="AB179" s="285" t="n"/>
    </row>
    <row r="180" ht="15.75" customHeight="1" s="398">
      <c r="A180" s="317" t="n"/>
      <c r="B180" s="317" t="n"/>
      <c r="C180" s="318" t="n"/>
      <c r="D180" s="317" t="n"/>
      <c r="E180" s="315" t="n"/>
      <c r="F180" s="472" t="n"/>
      <c r="G180" s="472" t="n"/>
      <c r="H180" s="472" t="n"/>
      <c r="I180" s="472" t="n"/>
      <c r="J180" s="472" t="n"/>
      <c r="K180" s="472" t="n"/>
      <c r="L180" s="472" t="n"/>
      <c r="M180" s="472" t="n"/>
      <c r="N180" s="472" t="n"/>
      <c r="O180" s="472" t="n"/>
      <c r="P180" s="472" t="n"/>
      <c r="Q180" s="472" t="n"/>
      <c r="R180" s="472" t="n"/>
      <c r="S180" s="288" t="n"/>
      <c r="T180" s="284" t="n"/>
      <c r="U180" s="284" t="n"/>
      <c r="V180" s="285" t="n"/>
      <c r="W180" s="285" t="n"/>
      <c r="X180" s="285" t="n"/>
      <c r="Y180" s="285" t="n"/>
      <c r="Z180" s="285" t="n"/>
      <c r="AA180" s="285" t="n"/>
      <c r="AB180" s="285" t="n"/>
    </row>
    <row r="181" ht="15.75" customHeight="1" s="398">
      <c r="A181" s="317" t="n"/>
      <c r="B181" s="317" t="n"/>
      <c r="C181" s="318" t="n"/>
      <c r="D181" s="317" t="n"/>
      <c r="E181" s="315" t="n"/>
      <c r="F181" s="472" t="n"/>
      <c r="G181" s="472" t="n"/>
      <c r="H181" s="472" t="n"/>
      <c r="I181" s="472" t="n"/>
      <c r="J181" s="472" t="n"/>
      <c r="K181" s="472" t="n"/>
      <c r="L181" s="472" t="n"/>
      <c r="M181" s="472" t="n"/>
      <c r="N181" s="472" t="n"/>
      <c r="O181" s="472" t="n"/>
      <c r="P181" s="472" t="n"/>
      <c r="Q181" s="472" t="n"/>
      <c r="R181" s="472" t="n"/>
      <c r="S181" s="288" t="n"/>
      <c r="T181" s="284" t="n"/>
      <c r="U181" s="284" t="n"/>
      <c r="V181" s="285" t="n"/>
      <c r="W181" s="285" t="n"/>
      <c r="X181" s="285" t="n"/>
      <c r="Y181" s="285" t="n"/>
      <c r="Z181" s="285" t="n"/>
      <c r="AA181" s="285" t="n"/>
      <c r="AB181" s="285" t="n"/>
    </row>
    <row r="182" ht="15.75" customHeight="1" s="398">
      <c r="A182" s="317" t="n"/>
      <c r="B182" s="317" t="n"/>
      <c r="C182" s="318" t="n"/>
      <c r="D182" s="317" t="n"/>
      <c r="E182" s="315" t="n"/>
      <c r="F182" s="472" t="n"/>
      <c r="G182" s="472" t="n"/>
      <c r="H182" s="472" t="n"/>
      <c r="I182" s="472" t="n"/>
      <c r="J182" s="472" t="n"/>
      <c r="K182" s="472" t="n"/>
      <c r="L182" s="472" t="n"/>
      <c r="M182" s="472" t="n"/>
      <c r="N182" s="472" t="n"/>
      <c r="O182" s="472" t="n"/>
      <c r="P182" s="472" t="n"/>
      <c r="Q182" s="472" t="n"/>
      <c r="R182" s="472" t="n"/>
      <c r="S182" s="288" t="n"/>
      <c r="T182" s="284" t="n"/>
      <c r="U182" s="284" t="n"/>
      <c r="V182" s="285" t="n"/>
      <c r="W182" s="285" t="n"/>
      <c r="X182" s="285" t="n"/>
      <c r="Y182" s="285" t="n"/>
      <c r="Z182" s="285" t="n"/>
      <c r="AA182" s="285" t="n"/>
      <c r="AB182" s="285" t="n"/>
    </row>
    <row r="183" ht="15.75" customHeight="1" s="398">
      <c r="A183" s="317" t="n"/>
      <c r="B183" s="317" t="n"/>
      <c r="C183" s="318" t="n"/>
      <c r="D183" s="317" t="n"/>
      <c r="E183" s="315" t="n"/>
      <c r="F183" s="472" t="n"/>
      <c r="G183" s="472" t="n"/>
      <c r="H183" s="472" t="n"/>
      <c r="I183" s="472" t="n"/>
      <c r="J183" s="472" t="n"/>
      <c r="K183" s="472" t="n"/>
      <c r="L183" s="472" t="n"/>
      <c r="M183" s="472" t="n"/>
      <c r="N183" s="472" t="n"/>
      <c r="O183" s="472" t="n"/>
      <c r="P183" s="472" t="n"/>
      <c r="Q183" s="472" t="n"/>
      <c r="R183" s="472" t="n"/>
      <c r="S183" s="288" t="n"/>
      <c r="T183" s="284" t="n"/>
      <c r="U183" s="284" t="n"/>
      <c r="V183" s="285" t="n"/>
      <c r="W183" s="285" t="n"/>
      <c r="X183" s="285" t="n"/>
      <c r="Y183" s="285" t="n"/>
      <c r="Z183" s="285" t="n"/>
      <c r="AA183" s="285" t="n"/>
      <c r="AB183" s="285" t="n"/>
    </row>
    <row r="184" ht="15.75" customHeight="1" s="398">
      <c r="A184" s="317" t="n"/>
      <c r="B184" s="317" t="n"/>
      <c r="C184" s="318" t="n"/>
      <c r="D184" s="317" t="n"/>
      <c r="E184" s="315" t="n"/>
      <c r="F184" s="472" t="n"/>
      <c r="G184" s="472" t="n"/>
      <c r="H184" s="472" t="n"/>
      <c r="I184" s="472" t="n"/>
      <c r="J184" s="472" t="n"/>
      <c r="K184" s="472" t="n"/>
      <c r="L184" s="472" t="n"/>
      <c r="M184" s="472" t="n"/>
      <c r="N184" s="472" t="n"/>
      <c r="O184" s="472" t="n"/>
      <c r="P184" s="472" t="n"/>
      <c r="Q184" s="472" t="n"/>
      <c r="R184" s="472" t="n"/>
      <c r="S184" s="288" t="n"/>
      <c r="T184" s="284" t="n"/>
      <c r="U184" s="284" t="n"/>
      <c r="V184" s="285" t="n"/>
      <c r="W184" s="285" t="n"/>
      <c r="X184" s="285" t="n"/>
      <c r="Y184" s="285" t="n"/>
      <c r="Z184" s="285" t="n"/>
      <c r="AA184" s="285" t="n"/>
      <c r="AB184" s="285" t="n"/>
    </row>
    <row r="185" ht="15.75" customHeight="1" s="398">
      <c r="A185" s="317" t="n"/>
      <c r="B185" s="317" t="n"/>
      <c r="C185" s="318" t="n"/>
      <c r="D185" s="317" t="n"/>
      <c r="E185" s="315" t="n"/>
      <c r="F185" s="472" t="n"/>
      <c r="G185" s="472" t="n"/>
      <c r="H185" s="472" t="n"/>
      <c r="I185" s="472" t="n"/>
      <c r="J185" s="472" t="n"/>
      <c r="K185" s="472" t="n"/>
      <c r="L185" s="472" t="n"/>
      <c r="M185" s="472" t="n"/>
      <c r="N185" s="472" t="n"/>
      <c r="O185" s="472" t="n"/>
      <c r="P185" s="472" t="n"/>
      <c r="Q185" s="472" t="n"/>
      <c r="R185" s="472" t="n"/>
      <c r="S185" s="288" t="n"/>
      <c r="T185" s="284" t="n"/>
      <c r="U185" s="284" t="n"/>
      <c r="V185" s="285" t="n"/>
      <c r="W185" s="285" t="n"/>
      <c r="X185" s="285" t="n"/>
      <c r="Y185" s="285" t="n"/>
      <c r="Z185" s="285" t="n"/>
      <c r="AA185" s="285" t="n"/>
      <c r="AB185" s="285" t="n"/>
    </row>
    <row r="186" ht="15.75" customHeight="1" s="398">
      <c r="A186" s="317" t="n"/>
      <c r="B186" s="317" t="n"/>
      <c r="C186" s="318" t="n"/>
      <c r="D186" s="317" t="n"/>
      <c r="E186" s="315" t="n"/>
      <c r="F186" s="472" t="n"/>
      <c r="G186" s="472" t="n"/>
      <c r="H186" s="472" t="n"/>
      <c r="I186" s="472" t="n"/>
      <c r="J186" s="472" t="n"/>
      <c r="K186" s="472" t="n"/>
      <c r="L186" s="472" t="n"/>
      <c r="M186" s="472" t="n"/>
      <c r="N186" s="472" t="n"/>
      <c r="O186" s="472" t="n"/>
      <c r="P186" s="472" t="n"/>
      <c r="Q186" s="472" t="n"/>
      <c r="R186" s="472" t="n"/>
      <c r="S186" s="288" t="n"/>
      <c r="T186" s="284" t="n"/>
      <c r="U186" s="284" t="n"/>
      <c r="V186" s="285" t="n"/>
      <c r="W186" s="285" t="n"/>
      <c r="X186" s="285" t="n"/>
      <c r="Y186" s="285" t="n"/>
      <c r="Z186" s="285" t="n"/>
      <c r="AA186" s="285" t="n"/>
      <c r="AB186" s="285" t="n"/>
    </row>
    <row r="187" ht="15.75" customHeight="1" s="398">
      <c r="A187" s="317" t="n"/>
      <c r="B187" s="317" t="n"/>
      <c r="C187" s="318" t="n"/>
      <c r="D187" s="317" t="n"/>
      <c r="E187" s="315" t="n"/>
      <c r="F187" s="472" t="n"/>
      <c r="G187" s="472" t="n"/>
      <c r="H187" s="472" t="n"/>
      <c r="I187" s="472" t="n"/>
      <c r="J187" s="472" t="n"/>
      <c r="K187" s="472" t="n"/>
      <c r="L187" s="472" t="n"/>
      <c r="M187" s="472" t="n"/>
      <c r="N187" s="472" t="n"/>
      <c r="O187" s="472" t="n"/>
      <c r="P187" s="472" t="n"/>
      <c r="Q187" s="472" t="n"/>
      <c r="R187" s="472" t="n"/>
      <c r="S187" s="288" t="n"/>
      <c r="T187" s="284" t="n"/>
      <c r="U187" s="284" t="n"/>
      <c r="V187" s="285" t="n"/>
      <c r="W187" s="285" t="n"/>
      <c r="X187" s="285" t="n"/>
      <c r="Y187" s="285" t="n"/>
      <c r="Z187" s="285" t="n"/>
      <c r="AA187" s="285" t="n"/>
      <c r="AB187" s="285" t="n"/>
    </row>
    <row r="188" ht="15.75" customHeight="1" s="398">
      <c r="A188" s="317" t="n"/>
      <c r="B188" s="317" t="n"/>
      <c r="C188" s="318" t="n"/>
      <c r="D188" s="317" t="n"/>
      <c r="E188" s="315" t="n"/>
      <c r="F188" s="472" t="n"/>
      <c r="G188" s="472" t="n"/>
      <c r="H188" s="472" t="n"/>
      <c r="I188" s="472" t="n"/>
      <c r="J188" s="472" t="n"/>
      <c r="K188" s="472" t="n"/>
      <c r="L188" s="472" t="n"/>
      <c r="M188" s="472" t="n"/>
      <c r="N188" s="472" t="n"/>
      <c r="O188" s="472" t="n"/>
      <c r="P188" s="472" t="n"/>
      <c r="Q188" s="472" t="n"/>
      <c r="R188" s="472" t="n"/>
      <c r="S188" s="288" t="n"/>
      <c r="T188" s="284" t="n"/>
      <c r="U188" s="284" t="n"/>
      <c r="V188" s="285" t="n"/>
      <c r="W188" s="285" t="n"/>
      <c r="X188" s="285" t="n"/>
      <c r="Y188" s="285" t="n"/>
      <c r="Z188" s="285" t="n"/>
      <c r="AA188" s="285" t="n"/>
      <c r="AB188" s="285" t="n"/>
    </row>
    <row r="189" ht="15.75" customHeight="1" s="398">
      <c r="A189" s="317" t="n"/>
      <c r="B189" s="317" t="n"/>
      <c r="C189" s="318" t="n"/>
      <c r="D189" s="317" t="n"/>
      <c r="E189" s="315" t="n"/>
      <c r="F189" s="472" t="n"/>
      <c r="G189" s="472" t="n"/>
      <c r="H189" s="472" t="n"/>
      <c r="I189" s="472" t="n"/>
      <c r="J189" s="472" t="n"/>
      <c r="K189" s="472" t="n"/>
      <c r="L189" s="472" t="n"/>
      <c r="M189" s="472" t="n"/>
      <c r="N189" s="472" t="n"/>
      <c r="O189" s="472" t="n"/>
      <c r="P189" s="472" t="n"/>
      <c r="Q189" s="472" t="n"/>
      <c r="R189" s="472" t="n"/>
      <c r="S189" s="288" t="n"/>
      <c r="T189" s="284" t="n"/>
      <c r="U189" s="284" t="n"/>
      <c r="V189" s="285" t="n"/>
      <c r="W189" s="285" t="n"/>
      <c r="X189" s="285" t="n"/>
      <c r="Y189" s="285" t="n"/>
      <c r="Z189" s="285" t="n"/>
      <c r="AA189" s="285" t="n"/>
      <c r="AB189" s="285" t="n"/>
    </row>
    <row r="190" ht="15.75" customHeight="1" s="398">
      <c r="A190" s="317" t="n"/>
      <c r="B190" s="317" t="n"/>
      <c r="C190" s="318" t="n"/>
      <c r="D190" s="317" t="n"/>
      <c r="E190" s="315" t="n"/>
      <c r="F190" s="472" t="n"/>
      <c r="G190" s="472" t="n"/>
      <c r="H190" s="472" t="n"/>
      <c r="I190" s="472" t="n"/>
      <c r="J190" s="472" t="n"/>
      <c r="K190" s="472" t="n"/>
      <c r="L190" s="472" t="n"/>
      <c r="M190" s="472" t="n"/>
      <c r="N190" s="472" t="n"/>
      <c r="O190" s="472" t="n"/>
      <c r="P190" s="472" t="n"/>
      <c r="Q190" s="472" t="n"/>
      <c r="R190" s="472" t="n"/>
      <c r="S190" s="288" t="n"/>
      <c r="T190" s="284" t="n"/>
      <c r="U190" s="284" t="n"/>
      <c r="V190" s="285" t="n"/>
      <c r="W190" s="285" t="n"/>
      <c r="X190" s="285" t="n"/>
      <c r="Y190" s="285" t="n"/>
      <c r="Z190" s="285" t="n"/>
      <c r="AA190" s="285" t="n"/>
      <c r="AB190" s="285" t="n"/>
    </row>
    <row r="191" ht="15.75" customHeight="1" s="398">
      <c r="A191" s="317" t="n"/>
      <c r="B191" s="317" t="n"/>
      <c r="C191" s="318" t="n"/>
      <c r="D191" s="317" t="n"/>
      <c r="E191" s="315" t="n"/>
      <c r="F191" s="472" t="n"/>
      <c r="G191" s="472" t="n"/>
      <c r="H191" s="472" t="n"/>
      <c r="I191" s="472" t="n"/>
      <c r="J191" s="472" t="n"/>
      <c r="K191" s="472" t="n"/>
      <c r="L191" s="472" t="n"/>
      <c r="M191" s="472" t="n"/>
      <c r="N191" s="472" t="n"/>
      <c r="O191" s="472" t="n"/>
      <c r="P191" s="472" t="n"/>
      <c r="Q191" s="472" t="n"/>
      <c r="R191" s="472" t="n"/>
      <c r="S191" s="288" t="n"/>
      <c r="T191" s="284" t="n"/>
      <c r="U191" s="284" t="n"/>
      <c r="V191" s="285" t="n"/>
      <c r="W191" s="285" t="n"/>
      <c r="X191" s="285" t="n"/>
      <c r="Y191" s="285" t="n"/>
      <c r="Z191" s="285" t="n"/>
      <c r="AA191" s="285" t="n"/>
      <c r="AB191" s="285" t="n"/>
    </row>
    <row r="192" ht="15.75" customHeight="1" s="398">
      <c r="A192" s="317" t="n"/>
      <c r="B192" s="317" t="n"/>
      <c r="C192" s="318" t="n"/>
      <c r="D192" s="317" t="n"/>
      <c r="E192" s="315" t="n"/>
      <c r="F192" s="472" t="n"/>
      <c r="G192" s="472" t="n"/>
      <c r="H192" s="472" t="n"/>
      <c r="I192" s="472" t="n"/>
      <c r="J192" s="472" t="n"/>
      <c r="K192" s="472" t="n"/>
      <c r="L192" s="472" t="n"/>
      <c r="M192" s="472" t="n"/>
      <c r="N192" s="472" t="n"/>
      <c r="O192" s="472" t="n"/>
      <c r="P192" s="472" t="n"/>
      <c r="Q192" s="472" t="n"/>
      <c r="R192" s="472" t="n"/>
      <c r="S192" s="288" t="n"/>
      <c r="T192" s="284" t="n"/>
      <c r="U192" s="284" t="n"/>
      <c r="V192" s="285" t="n"/>
      <c r="W192" s="285" t="n"/>
      <c r="X192" s="285" t="n"/>
      <c r="Y192" s="285" t="n"/>
      <c r="Z192" s="285" t="n"/>
      <c r="AA192" s="285" t="n"/>
      <c r="AB192" s="285" t="n"/>
    </row>
    <row r="193" ht="15.75" customHeight="1" s="398">
      <c r="A193" s="317" t="n"/>
      <c r="B193" s="317" t="n"/>
      <c r="C193" s="318" t="n"/>
      <c r="D193" s="317" t="n"/>
      <c r="E193" s="315" t="n"/>
      <c r="F193" s="472" t="n"/>
      <c r="G193" s="472" t="n"/>
      <c r="H193" s="472" t="n"/>
      <c r="I193" s="472" t="n"/>
      <c r="J193" s="472" t="n"/>
      <c r="K193" s="472" t="n"/>
      <c r="L193" s="472" t="n"/>
      <c r="M193" s="472" t="n"/>
      <c r="N193" s="472" t="n"/>
      <c r="O193" s="472" t="n"/>
      <c r="P193" s="472" t="n"/>
      <c r="Q193" s="472" t="n"/>
      <c r="R193" s="472" t="n"/>
      <c r="S193" s="288" t="n"/>
      <c r="T193" s="284" t="n"/>
      <c r="U193" s="284" t="n"/>
      <c r="V193" s="285" t="n"/>
      <c r="W193" s="285" t="n"/>
      <c r="X193" s="285" t="n"/>
      <c r="Y193" s="285" t="n"/>
      <c r="Z193" s="285" t="n"/>
      <c r="AA193" s="285" t="n"/>
      <c r="AB193" s="285" t="n"/>
    </row>
    <row r="194" ht="15.75" customHeight="1" s="398">
      <c r="A194" s="317" t="n"/>
      <c r="B194" s="317" t="n"/>
      <c r="C194" s="318" t="n"/>
      <c r="D194" s="317" t="n"/>
      <c r="E194" s="315" t="n"/>
      <c r="F194" s="472" t="n"/>
      <c r="G194" s="472" t="n"/>
      <c r="H194" s="472" t="n"/>
      <c r="I194" s="472" t="n"/>
      <c r="J194" s="472" t="n"/>
      <c r="K194" s="472" t="n"/>
      <c r="L194" s="472" t="n"/>
      <c r="M194" s="472" t="n"/>
      <c r="N194" s="472" t="n"/>
      <c r="O194" s="472" t="n"/>
      <c r="P194" s="472" t="n"/>
      <c r="Q194" s="472" t="n"/>
      <c r="R194" s="472" t="n"/>
      <c r="S194" s="288" t="n"/>
      <c r="T194" s="284" t="n"/>
      <c r="U194" s="284" t="n"/>
      <c r="V194" s="285" t="n"/>
      <c r="W194" s="285" t="n"/>
      <c r="X194" s="285" t="n"/>
      <c r="Y194" s="285" t="n"/>
      <c r="Z194" s="285" t="n"/>
      <c r="AA194" s="285" t="n"/>
      <c r="AB194" s="285" t="n"/>
    </row>
    <row r="195" ht="15.75" customHeight="1" s="398">
      <c r="A195" s="317" t="n"/>
      <c r="B195" s="317" t="n"/>
      <c r="C195" s="318" t="n"/>
      <c r="D195" s="317" t="n"/>
      <c r="E195" s="315" t="n"/>
      <c r="F195" s="472" t="n"/>
      <c r="G195" s="472" t="n"/>
      <c r="H195" s="472" t="n"/>
      <c r="I195" s="472" t="n"/>
      <c r="J195" s="472" t="n"/>
      <c r="K195" s="472" t="n"/>
      <c r="L195" s="472" t="n"/>
      <c r="M195" s="472" t="n"/>
      <c r="N195" s="472" t="n"/>
      <c r="O195" s="472" t="n"/>
      <c r="P195" s="472" t="n"/>
      <c r="Q195" s="472" t="n"/>
      <c r="R195" s="472" t="n"/>
      <c r="S195" s="288" t="n"/>
      <c r="T195" s="284" t="n"/>
      <c r="U195" s="284" t="n"/>
      <c r="V195" s="285" t="n"/>
      <c r="W195" s="285" t="n"/>
      <c r="X195" s="285" t="n"/>
      <c r="Y195" s="285" t="n"/>
      <c r="Z195" s="285" t="n"/>
      <c r="AA195" s="285" t="n"/>
      <c r="AB195" s="285" t="n"/>
    </row>
    <row r="196" ht="15.75" customHeight="1" s="398">
      <c r="A196" s="317" t="n"/>
      <c r="B196" s="317" t="n"/>
      <c r="C196" s="318" t="n"/>
      <c r="D196" s="317" t="n"/>
      <c r="E196" s="315" t="n"/>
      <c r="F196" s="472" t="n"/>
      <c r="G196" s="472" t="n"/>
      <c r="H196" s="472" t="n"/>
      <c r="I196" s="472" t="n"/>
      <c r="J196" s="472" t="n"/>
      <c r="K196" s="472" t="n"/>
      <c r="L196" s="472" t="n"/>
      <c r="M196" s="472" t="n"/>
      <c r="N196" s="472" t="n"/>
      <c r="O196" s="472" t="n"/>
      <c r="P196" s="472" t="n"/>
      <c r="Q196" s="472" t="n"/>
      <c r="R196" s="472" t="n"/>
      <c r="S196" s="288" t="n"/>
      <c r="T196" s="284" t="n"/>
      <c r="U196" s="284" t="n"/>
      <c r="V196" s="285" t="n"/>
      <c r="W196" s="285" t="n"/>
      <c r="X196" s="285" t="n"/>
      <c r="Y196" s="285" t="n"/>
      <c r="Z196" s="285" t="n"/>
      <c r="AA196" s="285" t="n"/>
      <c r="AB196" s="285" t="n"/>
    </row>
    <row r="197" ht="15.75" customHeight="1" s="398">
      <c r="A197" s="317" t="n"/>
      <c r="B197" s="317" t="n"/>
      <c r="C197" s="318" t="n"/>
      <c r="D197" s="317" t="n"/>
      <c r="E197" s="315" t="n"/>
      <c r="F197" s="472" t="n"/>
      <c r="G197" s="472" t="n"/>
      <c r="H197" s="472" t="n"/>
      <c r="I197" s="472" t="n"/>
      <c r="J197" s="472" t="n"/>
      <c r="K197" s="472" t="n"/>
      <c r="L197" s="472" t="n"/>
      <c r="M197" s="472" t="n"/>
      <c r="N197" s="472" t="n"/>
      <c r="O197" s="472" t="n"/>
      <c r="P197" s="472" t="n"/>
      <c r="Q197" s="472" t="n"/>
      <c r="R197" s="472" t="n"/>
      <c r="S197" s="288" t="n"/>
      <c r="T197" s="284" t="n"/>
      <c r="U197" s="284" t="n"/>
      <c r="V197" s="285" t="n"/>
      <c r="W197" s="285" t="n"/>
      <c r="X197" s="285" t="n"/>
      <c r="Y197" s="285" t="n"/>
      <c r="Z197" s="285" t="n"/>
      <c r="AA197" s="285" t="n"/>
      <c r="AB197" s="285" t="n"/>
    </row>
    <row r="198" ht="15.75" customHeight="1" s="398">
      <c r="A198" s="317" t="n"/>
      <c r="B198" s="317" t="n"/>
      <c r="C198" s="318" t="n"/>
      <c r="D198" s="317" t="n"/>
      <c r="E198" s="315" t="n"/>
      <c r="F198" s="472" t="n"/>
      <c r="G198" s="472" t="n"/>
      <c r="H198" s="472" t="n"/>
      <c r="I198" s="472" t="n"/>
      <c r="J198" s="472" t="n"/>
      <c r="K198" s="472" t="n"/>
      <c r="L198" s="472" t="n"/>
      <c r="M198" s="472" t="n"/>
      <c r="N198" s="472" t="n"/>
      <c r="O198" s="472" t="n"/>
      <c r="P198" s="472" t="n"/>
      <c r="Q198" s="472" t="n"/>
      <c r="R198" s="472" t="n"/>
      <c r="S198" s="288" t="n"/>
      <c r="T198" s="284" t="n"/>
      <c r="U198" s="284" t="n"/>
      <c r="V198" s="285" t="n"/>
      <c r="W198" s="285" t="n"/>
      <c r="X198" s="285" t="n"/>
      <c r="Y198" s="285" t="n"/>
      <c r="Z198" s="285" t="n"/>
      <c r="AA198" s="285" t="n"/>
      <c r="AB198" s="285" t="n"/>
    </row>
    <row r="199" ht="15.75" customHeight="1" s="398">
      <c r="A199" s="317" t="n"/>
      <c r="B199" s="317" t="n"/>
      <c r="C199" s="318" t="n"/>
      <c r="D199" s="317" t="n"/>
      <c r="E199" s="315" t="n"/>
      <c r="F199" s="472" t="n"/>
      <c r="G199" s="472" t="n"/>
      <c r="H199" s="472" t="n"/>
      <c r="I199" s="472" t="n"/>
      <c r="J199" s="472" t="n"/>
      <c r="K199" s="472" t="n"/>
      <c r="L199" s="472" t="n"/>
      <c r="M199" s="472" t="n"/>
      <c r="N199" s="472" t="n"/>
      <c r="O199" s="472" t="n"/>
      <c r="P199" s="472" t="n"/>
      <c r="Q199" s="472" t="n"/>
      <c r="R199" s="472" t="n"/>
      <c r="S199" s="288" t="n"/>
      <c r="T199" s="284" t="n"/>
      <c r="U199" s="284" t="n"/>
      <c r="V199" s="285" t="n"/>
      <c r="W199" s="285" t="n"/>
      <c r="X199" s="285" t="n"/>
      <c r="Y199" s="285" t="n"/>
      <c r="Z199" s="285" t="n"/>
      <c r="AA199" s="285" t="n"/>
      <c r="AB199" s="285" t="n"/>
    </row>
    <row r="200" ht="15.75" customHeight="1" s="398">
      <c r="A200" s="317" t="n"/>
      <c r="B200" s="317" t="n"/>
      <c r="C200" s="318" t="n"/>
      <c r="D200" s="317" t="n"/>
      <c r="E200" s="315" t="n"/>
      <c r="F200" s="472" t="n"/>
      <c r="G200" s="472" t="n"/>
      <c r="H200" s="472" t="n"/>
      <c r="I200" s="472" t="n"/>
      <c r="J200" s="472" t="n"/>
      <c r="K200" s="472" t="n"/>
      <c r="L200" s="472" t="n"/>
      <c r="M200" s="472" t="n"/>
      <c r="N200" s="472" t="n"/>
      <c r="O200" s="472" t="n"/>
      <c r="P200" s="472" t="n"/>
      <c r="Q200" s="472" t="n"/>
      <c r="R200" s="472" t="n"/>
      <c r="S200" s="288" t="n"/>
      <c r="T200" s="284" t="n"/>
      <c r="U200" s="284" t="n"/>
      <c r="V200" s="285" t="n"/>
      <c r="W200" s="285" t="n"/>
      <c r="X200" s="285" t="n"/>
      <c r="Y200" s="285" t="n"/>
      <c r="Z200" s="285" t="n"/>
      <c r="AA200" s="285" t="n"/>
      <c r="AB200" s="285" t="n"/>
    </row>
    <row r="201" ht="15.75" customHeight="1" s="398">
      <c r="A201" s="317" t="n"/>
      <c r="B201" s="317" t="n"/>
      <c r="C201" s="318" t="n"/>
      <c r="D201" s="317" t="n"/>
      <c r="E201" s="315" t="n"/>
      <c r="F201" s="472" t="n"/>
      <c r="G201" s="472" t="n"/>
      <c r="H201" s="472" t="n"/>
      <c r="I201" s="472" t="n"/>
      <c r="J201" s="472" t="n"/>
      <c r="K201" s="472" t="n"/>
      <c r="L201" s="472" t="n"/>
      <c r="M201" s="472" t="n"/>
      <c r="N201" s="472" t="n"/>
      <c r="O201" s="472" t="n"/>
      <c r="P201" s="472" t="n"/>
      <c r="Q201" s="472" t="n"/>
      <c r="R201" s="472" t="n"/>
      <c r="S201" s="288" t="n"/>
      <c r="T201" s="284" t="n"/>
      <c r="U201" s="284" t="n"/>
      <c r="V201" s="285" t="n"/>
      <c r="W201" s="285" t="n"/>
      <c r="X201" s="285" t="n"/>
      <c r="Y201" s="285" t="n"/>
      <c r="Z201" s="285" t="n"/>
      <c r="AA201" s="285" t="n"/>
      <c r="AB201" s="285" t="n"/>
    </row>
    <row r="202" ht="15.75" customHeight="1" s="398">
      <c r="A202" s="317" t="n"/>
      <c r="B202" s="317" t="n"/>
      <c r="C202" s="318" t="n"/>
      <c r="D202" s="317" t="n"/>
      <c r="E202" s="315" t="n"/>
      <c r="F202" s="472" t="n"/>
      <c r="G202" s="472" t="n"/>
      <c r="H202" s="472" t="n"/>
      <c r="I202" s="472" t="n"/>
      <c r="J202" s="472" t="n"/>
      <c r="K202" s="472" t="n"/>
      <c r="L202" s="472" t="n"/>
      <c r="M202" s="472" t="n"/>
      <c r="N202" s="472" t="n"/>
      <c r="O202" s="472" t="n"/>
      <c r="P202" s="472" t="n"/>
      <c r="Q202" s="472" t="n"/>
      <c r="R202" s="472" t="n"/>
      <c r="S202" s="288" t="n"/>
      <c r="T202" s="284" t="n"/>
      <c r="U202" s="284" t="n"/>
      <c r="V202" s="285" t="n"/>
      <c r="W202" s="285" t="n"/>
      <c r="X202" s="285" t="n"/>
      <c r="Y202" s="285" t="n"/>
      <c r="Z202" s="285" t="n"/>
      <c r="AA202" s="285" t="n"/>
      <c r="AB202" s="285" t="n"/>
    </row>
    <row r="203" ht="15.75" customHeight="1" s="398">
      <c r="A203" s="317" t="n"/>
      <c r="B203" s="317" t="n"/>
      <c r="C203" s="318" t="n"/>
      <c r="D203" s="317" t="n"/>
      <c r="E203" s="315" t="n"/>
      <c r="F203" s="472" t="n"/>
      <c r="G203" s="472" t="n"/>
      <c r="H203" s="472" t="n"/>
      <c r="I203" s="472" t="n"/>
      <c r="J203" s="472" t="n"/>
      <c r="K203" s="472" t="n"/>
      <c r="L203" s="472" t="n"/>
      <c r="M203" s="472" t="n"/>
      <c r="N203" s="472" t="n"/>
      <c r="O203" s="472" t="n"/>
      <c r="P203" s="472" t="n"/>
      <c r="Q203" s="472" t="n"/>
      <c r="R203" s="472" t="n"/>
      <c r="S203" s="288" t="n"/>
      <c r="T203" s="284" t="n"/>
      <c r="U203" s="284" t="n"/>
      <c r="V203" s="285" t="n"/>
      <c r="W203" s="285" t="n"/>
      <c r="X203" s="285" t="n"/>
      <c r="Y203" s="285" t="n"/>
      <c r="Z203" s="285" t="n"/>
      <c r="AA203" s="285" t="n"/>
      <c r="AB203" s="285" t="n"/>
    </row>
    <row r="204" ht="15.75" customHeight="1" s="398">
      <c r="A204" s="317" t="n"/>
      <c r="B204" s="317" t="n"/>
      <c r="C204" s="318" t="n"/>
      <c r="D204" s="317" t="n"/>
      <c r="E204" s="315" t="n"/>
      <c r="F204" s="472" t="n"/>
      <c r="G204" s="472" t="n"/>
      <c r="H204" s="472" t="n"/>
      <c r="I204" s="472" t="n"/>
      <c r="J204" s="472" t="n"/>
      <c r="K204" s="472" t="n"/>
      <c r="L204" s="472" t="n"/>
      <c r="M204" s="472" t="n"/>
      <c r="N204" s="472" t="n"/>
      <c r="O204" s="472" t="n"/>
      <c r="P204" s="472" t="n"/>
      <c r="Q204" s="472" t="n"/>
      <c r="R204" s="472" t="n"/>
      <c r="S204" s="288" t="n"/>
      <c r="T204" s="284" t="n"/>
      <c r="U204" s="284" t="n"/>
      <c r="V204" s="285" t="n"/>
      <c r="W204" s="285" t="n"/>
      <c r="X204" s="285" t="n"/>
      <c r="Y204" s="285" t="n"/>
      <c r="Z204" s="285" t="n"/>
      <c r="AA204" s="285" t="n"/>
      <c r="AB204" s="285" t="n"/>
    </row>
    <row r="205" ht="15.75" customHeight="1" s="398">
      <c r="A205" s="317" t="n"/>
      <c r="B205" s="317" t="n"/>
      <c r="C205" s="318" t="n"/>
      <c r="D205" s="317" t="n"/>
      <c r="E205" s="315" t="n"/>
      <c r="F205" s="472" t="n"/>
      <c r="G205" s="472" t="n"/>
      <c r="H205" s="472" t="n"/>
      <c r="I205" s="472" t="n"/>
      <c r="J205" s="472" t="n"/>
      <c r="K205" s="472" t="n"/>
      <c r="L205" s="472" t="n"/>
      <c r="M205" s="472" t="n"/>
      <c r="N205" s="472" t="n"/>
      <c r="O205" s="472" t="n"/>
      <c r="P205" s="472" t="n"/>
      <c r="Q205" s="472" t="n"/>
      <c r="R205" s="472" t="n"/>
      <c r="S205" s="288" t="n"/>
      <c r="T205" s="284" t="n"/>
      <c r="U205" s="284" t="n"/>
      <c r="V205" s="285" t="n"/>
      <c r="W205" s="285" t="n"/>
      <c r="X205" s="285" t="n"/>
      <c r="Y205" s="285" t="n"/>
      <c r="Z205" s="285" t="n"/>
      <c r="AA205" s="285" t="n"/>
      <c r="AB205" s="285" t="n"/>
    </row>
    <row r="206" ht="15.75" customHeight="1" s="398">
      <c r="A206" s="317" t="n"/>
      <c r="B206" s="317" t="n"/>
      <c r="C206" s="318" t="n"/>
      <c r="D206" s="317" t="n"/>
      <c r="E206" s="315" t="n"/>
      <c r="F206" s="472" t="n"/>
      <c r="G206" s="472" t="n"/>
      <c r="H206" s="472" t="n"/>
      <c r="I206" s="472" t="n"/>
      <c r="J206" s="472" t="n"/>
      <c r="K206" s="472" t="n"/>
      <c r="L206" s="472" t="n"/>
      <c r="M206" s="472" t="n"/>
      <c r="N206" s="472" t="n"/>
      <c r="O206" s="472" t="n"/>
      <c r="P206" s="472" t="n"/>
      <c r="Q206" s="472" t="n"/>
      <c r="R206" s="472" t="n"/>
      <c r="S206" s="288" t="n"/>
      <c r="T206" s="284" t="n"/>
      <c r="U206" s="284" t="n"/>
      <c r="V206" s="285" t="n"/>
      <c r="W206" s="285" t="n"/>
      <c r="X206" s="285" t="n"/>
      <c r="Y206" s="285" t="n"/>
      <c r="Z206" s="285" t="n"/>
      <c r="AA206" s="285" t="n"/>
      <c r="AB206" s="285" t="n"/>
    </row>
    <row r="207" ht="15.75" customHeight="1" s="398">
      <c r="A207" s="317" t="n"/>
      <c r="B207" s="317" t="n"/>
      <c r="C207" s="318" t="n"/>
      <c r="D207" s="317" t="n"/>
      <c r="E207" s="315" t="n"/>
      <c r="F207" s="472" t="n"/>
      <c r="G207" s="472" t="n"/>
      <c r="H207" s="472" t="n"/>
      <c r="I207" s="472" t="n"/>
      <c r="J207" s="472" t="n"/>
      <c r="K207" s="472" t="n"/>
      <c r="L207" s="472" t="n"/>
      <c r="M207" s="472" t="n"/>
      <c r="N207" s="472" t="n"/>
      <c r="O207" s="472" t="n"/>
      <c r="P207" s="472" t="n"/>
      <c r="Q207" s="472" t="n"/>
      <c r="R207" s="472" t="n"/>
      <c r="S207" s="288" t="n"/>
      <c r="T207" s="284" t="n"/>
      <c r="U207" s="284" t="n"/>
      <c r="V207" s="285" t="n"/>
      <c r="W207" s="285" t="n"/>
      <c r="X207" s="285" t="n"/>
      <c r="Y207" s="285" t="n"/>
      <c r="Z207" s="285" t="n"/>
      <c r="AA207" s="285" t="n"/>
      <c r="AB207" s="285" t="n"/>
    </row>
    <row r="208" ht="15.75" customHeight="1" s="398">
      <c r="A208" s="317" t="n"/>
      <c r="B208" s="317" t="n"/>
      <c r="C208" s="318" t="n"/>
      <c r="D208" s="317" t="n"/>
      <c r="E208" s="315" t="n"/>
      <c r="F208" s="472" t="n"/>
      <c r="G208" s="472" t="n"/>
      <c r="H208" s="472" t="n"/>
      <c r="I208" s="472" t="n"/>
      <c r="J208" s="472" t="n"/>
      <c r="K208" s="472" t="n"/>
      <c r="L208" s="472" t="n"/>
      <c r="M208" s="472" t="n"/>
      <c r="N208" s="472" t="n"/>
      <c r="O208" s="472" t="n"/>
      <c r="P208" s="472" t="n"/>
      <c r="Q208" s="472" t="n"/>
      <c r="R208" s="472" t="n"/>
      <c r="S208" s="288" t="n"/>
      <c r="T208" s="284" t="n"/>
      <c r="U208" s="284" t="n"/>
      <c r="V208" s="285" t="n"/>
      <c r="W208" s="285" t="n"/>
      <c r="X208" s="285" t="n"/>
      <c r="Y208" s="285" t="n"/>
      <c r="Z208" s="285" t="n"/>
      <c r="AA208" s="285" t="n"/>
      <c r="AB208" s="285" t="n"/>
    </row>
    <row r="209" ht="15.75" customHeight="1" s="398">
      <c r="A209" s="317" t="n"/>
      <c r="B209" s="317" t="n"/>
      <c r="C209" s="318" t="n"/>
      <c r="D209" s="317" t="n"/>
      <c r="E209" s="315" t="n"/>
      <c r="F209" s="472" t="n"/>
      <c r="G209" s="472" t="n"/>
      <c r="H209" s="472" t="n"/>
      <c r="I209" s="472" t="n"/>
      <c r="J209" s="472" t="n"/>
      <c r="K209" s="472" t="n"/>
      <c r="L209" s="472" t="n"/>
      <c r="M209" s="472" t="n"/>
      <c r="N209" s="472" t="n"/>
      <c r="O209" s="472" t="n"/>
      <c r="P209" s="472" t="n"/>
      <c r="Q209" s="472" t="n"/>
      <c r="R209" s="472" t="n"/>
      <c r="S209" s="288" t="n"/>
      <c r="T209" s="284" t="n"/>
      <c r="U209" s="284" t="n"/>
      <c r="V209" s="285" t="n"/>
      <c r="W209" s="285" t="n"/>
      <c r="X209" s="285" t="n"/>
      <c r="Y209" s="285" t="n"/>
      <c r="Z209" s="285" t="n"/>
      <c r="AA209" s="285" t="n"/>
      <c r="AB209" s="285" t="n"/>
    </row>
    <row r="210" ht="15.75" customHeight="1" s="398">
      <c r="A210" s="317" t="n"/>
      <c r="B210" s="317" t="n"/>
      <c r="C210" s="318" t="n"/>
      <c r="D210" s="317" t="n"/>
      <c r="E210" s="315" t="n"/>
      <c r="F210" s="472" t="n"/>
      <c r="G210" s="472" t="n"/>
      <c r="H210" s="472" t="n"/>
      <c r="I210" s="472" t="n"/>
      <c r="J210" s="472" t="n"/>
      <c r="K210" s="472" t="n"/>
      <c r="L210" s="472" t="n"/>
      <c r="M210" s="472" t="n"/>
      <c r="N210" s="472" t="n"/>
      <c r="O210" s="472" t="n"/>
      <c r="P210" s="472" t="n"/>
      <c r="Q210" s="472" t="n"/>
      <c r="R210" s="472" t="n"/>
      <c r="S210" s="288" t="n"/>
      <c r="T210" s="284" t="n"/>
      <c r="U210" s="284" t="n"/>
      <c r="V210" s="285" t="n"/>
      <c r="W210" s="285" t="n"/>
      <c r="X210" s="285" t="n"/>
      <c r="Y210" s="285" t="n"/>
      <c r="Z210" s="285" t="n"/>
      <c r="AA210" s="285" t="n"/>
      <c r="AB210" s="285" t="n"/>
    </row>
    <row r="211" ht="15.75" customHeight="1" s="398">
      <c r="A211" s="317" t="n"/>
      <c r="B211" s="317" t="n"/>
      <c r="C211" s="318" t="n"/>
      <c r="D211" s="317" t="n"/>
      <c r="E211" s="315" t="n"/>
      <c r="F211" s="472" t="n"/>
      <c r="G211" s="472" t="n"/>
      <c r="H211" s="472" t="n"/>
      <c r="I211" s="472" t="n"/>
      <c r="J211" s="472" t="n"/>
      <c r="K211" s="472" t="n"/>
      <c r="L211" s="472" t="n"/>
      <c r="M211" s="472" t="n"/>
      <c r="N211" s="472" t="n"/>
      <c r="O211" s="472" t="n"/>
      <c r="P211" s="472" t="n"/>
      <c r="Q211" s="472" t="n"/>
      <c r="R211" s="472" t="n"/>
      <c r="S211" s="288" t="n"/>
      <c r="T211" s="284" t="n"/>
      <c r="U211" s="284" t="n"/>
      <c r="V211" s="285" t="n"/>
      <c r="W211" s="285" t="n"/>
      <c r="X211" s="285" t="n"/>
      <c r="Y211" s="285" t="n"/>
      <c r="Z211" s="285" t="n"/>
      <c r="AA211" s="285" t="n"/>
      <c r="AB211" s="285" t="n"/>
    </row>
    <row r="212" ht="15.75" customHeight="1" s="398">
      <c r="A212" s="317" t="n"/>
      <c r="B212" s="317" t="n"/>
      <c r="C212" s="318" t="n"/>
      <c r="D212" s="317" t="n"/>
      <c r="E212" s="315" t="n"/>
      <c r="F212" s="472" t="n"/>
      <c r="G212" s="472" t="n"/>
      <c r="H212" s="472" t="n"/>
      <c r="I212" s="472" t="n"/>
      <c r="J212" s="472" t="n"/>
      <c r="K212" s="472" t="n"/>
      <c r="L212" s="472" t="n"/>
      <c r="M212" s="472" t="n"/>
      <c r="N212" s="472" t="n"/>
      <c r="O212" s="472" t="n"/>
      <c r="P212" s="472" t="n"/>
      <c r="Q212" s="472" t="n"/>
      <c r="R212" s="472" t="n"/>
      <c r="S212" s="288" t="n"/>
      <c r="T212" s="284" t="n"/>
      <c r="U212" s="284" t="n"/>
      <c r="V212" s="285" t="n"/>
      <c r="W212" s="285" t="n"/>
      <c r="X212" s="285" t="n"/>
      <c r="Y212" s="285" t="n"/>
      <c r="Z212" s="285" t="n"/>
      <c r="AA212" s="285" t="n"/>
      <c r="AB212" s="285" t="n"/>
    </row>
    <row r="213" ht="15.75" customHeight="1" s="398">
      <c r="A213" s="317" t="n"/>
      <c r="B213" s="317" t="n"/>
      <c r="C213" s="318" t="n"/>
      <c r="D213" s="317" t="n"/>
      <c r="E213" s="315" t="n"/>
      <c r="F213" s="472" t="n"/>
      <c r="G213" s="472" t="n"/>
      <c r="H213" s="472" t="n"/>
      <c r="I213" s="472" t="n"/>
      <c r="J213" s="472" t="n"/>
      <c r="K213" s="472" t="n"/>
      <c r="L213" s="472" t="n"/>
      <c r="M213" s="472" t="n"/>
      <c r="N213" s="472" t="n"/>
      <c r="O213" s="472" t="n"/>
      <c r="P213" s="472" t="n"/>
      <c r="Q213" s="472" t="n"/>
      <c r="R213" s="472" t="n"/>
      <c r="S213" s="288" t="n"/>
      <c r="T213" s="284" t="n"/>
      <c r="U213" s="284" t="n"/>
      <c r="V213" s="285" t="n"/>
      <c r="W213" s="285" t="n"/>
      <c r="X213" s="285" t="n"/>
      <c r="Y213" s="285" t="n"/>
      <c r="Z213" s="285" t="n"/>
      <c r="AA213" s="285" t="n"/>
      <c r="AB213" s="285" t="n"/>
    </row>
    <row r="214" ht="15.75" customHeight="1" s="398">
      <c r="A214" s="317" t="n"/>
      <c r="B214" s="317" t="n"/>
      <c r="C214" s="318" t="n"/>
      <c r="D214" s="317" t="n"/>
      <c r="E214" s="315" t="n"/>
      <c r="F214" s="472" t="n"/>
      <c r="G214" s="472" t="n"/>
      <c r="H214" s="472" t="n"/>
      <c r="I214" s="472" t="n"/>
      <c r="J214" s="472" t="n"/>
      <c r="K214" s="472" t="n"/>
      <c r="L214" s="472" t="n"/>
      <c r="M214" s="472" t="n"/>
      <c r="N214" s="472" t="n"/>
      <c r="O214" s="472" t="n"/>
      <c r="P214" s="472" t="n"/>
      <c r="Q214" s="472" t="n"/>
      <c r="R214" s="472" t="n"/>
      <c r="S214" s="288" t="n"/>
      <c r="T214" s="284" t="n"/>
      <c r="U214" s="284" t="n"/>
      <c r="V214" s="285" t="n"/>
      <c r="W214" s="285" t="n"/>
      <c r="X214" s="285" t="n"/>
      <c r="Y214" s="285" t="n"/>
      <c r="Z214" s="285" t="n"/>
      <c r="AA214" s="285" t="n"/>
      <c r="AB214" s="285" t="n"/>
    </row>
    <row r="215" ht="15.75" customHeight="1" s="398">
      <c r="A215" s="317" t="n"/>
      <c r="B215" s="317" t="n"/>
      <c r="C215" s="318" t="n"/>
      <c r="D215" s="317" t="n"/>
      <c r="E215" s="315" t="n"/>
      <c r="F215" s="472" t="n"/>
      <c r="G215" s="472" t="n"/>
      <c r="H215" s="472" t="n"/>
      <c r="I215" s="472" t="n"/>
      <c r="J215" s="472" t="n"/>
      <c r="K215" s="472" t="n"/>
      <c r="L215" s="472" t="n"/>
      <c r="M215" s="472" t="n"/>
      <c r="N215" s="472" t="n"/>
      <c r="O215" s="472" t="n"/>
      <c r="P215" s="472" t="n"/>
      <c r="Q215" s="472" t="n"/>
      <c r="R215" s="472" t="n"/>
      <c r="S215" s="288" t="n"/>
      <c r="T215" s="284" t="n"/>
      <c r="U215" s="284" t="n"/>
      <c r="V215" s="285" t="n"/>
      <c r="W215" s="285" t="n"/>
      <c r="X215" s="285" t="n"/>
      <c r="Y215" s="285" t="n"/>
      <c r="Z215" s="285" t="n"/>
      <c r="AA215" s="285" t="n"/>
      <c r="AB215" s="285" t="n"/>
    </row>
    <row r="216" ht="15.75" customHeight="1" s="398">
      <c r="A216" s="317" t="n"/>
      <c r="B216" s="317" t="n"/>
      <c r="C216" s="318" t="n"/>
      <c r="D216" s="317" t="n"/>
      <c r="E216" s="315" t="n"/>
      <c r="F216" s="472" t="n"/>
      <c r="G216" s="472" t="n"/>
      <c r="H216" s="472" t="n"/>
      <c r="I216" s="472" t="n"/>
      <c r="J216" s="472" t="n"/>
      <c r="K216" s="472" t="n"/>
      <c r="L216" s="472" t="n"/>
      <c r="M216" s="472" t="n"/>
      <c r="N216" s="472" t="n"/>
      <c r="O216" s="472" t="n"/>
      <c r="P216" s="472" t="n"/>
      <c r="Q216" s="472" t="n"/>
      <c r="R216" s="472" t="n"/>
      <c r="S216" s="288" t="n"/>
      <c r="T216" s="284" t="n"/>
      <c r="U216" s="284" t="n"/>
      <c r="V216" s="285" t="n"/>
      <c r="W216" s="285" t="n"/>
      <c r="X216" s="285" t="n"/>
      <c r="Y216" s="285" t="n"/>
      <c r="Z216" s="285" t="n"/>
      <c r="AA216" s="285" t="n"/>
      <c r="AB216" s="285" t="n"/>
    </row>
    <row r="217" ht="15.75" customHeight="1" s="398">
      <c r="A217" s="317" t="n"/>
      <c r="B217" s="317" t="n"/>
      <c r="C217" s="318" t="n"/>
      <c r="D217" s="317" t="n"/>
      <c r="E217" s="315" t="n"/>
      <c r="F217" s="472" t="n"/>
      <c r="G217" s="472" t="n"/>
      <c r="H217" s="472" t="n"/>
      <c r="I217" s="472" t="n"/>
      <c r="J217" s="472" t="n"/>
      <c r="K217" s="472" t="n"/>
      <c r="L217" s="472" t="n"/>
      <c r="M217" s="472" t="n"/>
      <c r="N217" s="472" t="n"/>
      <c r="O217" s="472" t="n"/>
      <c r="P217" s="472" t="n"/>
      <c r="Q217" s="472" t="n"/>
      <c r="R217" s="472" t="n"/>
      <c r="S217" s="288" t="n"/>
      <c r="T217" s="284" t="n"/>
      <c r="U217" s="284" t="n"/>
      <c r="V217" s="285" t="n"/>
      <c r="W217" s="285" t="n"/>
      <c r="X217" s="285" t="n"/>
      <c r="Y217" s="285" t="n"/>
      <c r="Z217" s="285" t="n"/>
      <c r="AA217" s="285" t="n"/>
      <c r="AB217" s="285" t="n"/>
    </row>
    <row r="218" ht="15.75" customHeight="1" s="398">
      <c r="A218" s="317" t="n"/>
      <c r="B218" s="317" t="n"/>
      <c r="C218" s="318" t="n"/>
      <c r="D218" s="317" t="n"/>
      <c r="E218" s="315" t="n"/>
      <c r="F218" s="472" t="n"/>
      <c r="G218" s="472" t="n"/>
      <c r="H218" s="472" t="n"/>
      <c r="I218" s="472" t="n"/>
      <c r="J218" s="472" t="n"/>
      <c r="K218" s="472" t="n"/>
      <c r="L218" s="472" t="n"/>
      <c r="M218" s="472" t="n"/>
      <c r="N218" s="472" t="n"/>
      <c r="O218" s="472" t="n"/>
      <c r="P218" s="472" t="n"/>
      <c r="Q218" s="472" t="n"/>
      <c r="R218" s="472" t="n"/>
      <c r="S218" s="288" t="n"/>
      <c r="T218" s="284" t="n"/>
      <c r="U218" s="284" t="n"/>
      <c r="V218" s="285" t="n"/>
      <c r="W218" s="285" t="n"/>
      <c r="X218" s="285" t="n"/>
      <c r="Y218" s="285" t="n"/>
      <c r="Z218" s="285" t="n"/>
      <c r="AA218" s="285" t="n"/>
      <c r="AB218" s="285" t="n"/>
    </row>
    <row r="219" ht="15.75" customHeight="1" s="398">
      <c r="A219" s="317" t="n"/>
      <c r="B219" s="317" t="n"/>
      <c r="C219" s="318" t="n"/>
      <c r="D219" s="317" t="n"/>
      <c r="E219" s="315" t="n"/>
      <c r="F219" s="472" t="n"/>
      <c r="G219" s="472" t="n"/>
      <c r="H219" s="472" t="n"/>
      <c r="I219" s="472" t="n"/>
      <c r="J219" s="472" t="n"/>
      <c r="K219" s="472" t="n"/>
      <c r="L219" s="472" t="n"/>
      <c r="M219" s="472" t="n"/>
      <c r="N219" s="472" t="n"/>
      <c r="O219" s="472" t="n"/>
      <c r="P219" s="472" t="n"/>
      <c r="Q219" s="472" t="n"/>
      <c r="R219" s="472" t="n"/>
      <c r="S219" s="288" t="n"/>
      <c r="T219" s="284" t="n"/>
      <c r="U219" s="284" t="n"/>
      <c r="V219" s="285" t="n"/>
      <c r="W219" s="285" t="n"/>
      <c r="X219" s="285" t="n"/>
      <c r="Y219" s="285" t="n"/>
      <c r="Z219" s="285" t="n"/>
      <c r="AA219" s="285" t="n"/>
      <c r="AB219" s="285" t="n"/>
    </row>
    <row r="220" ht="15.75" customHeight="1" s="398">
      <c r="A220" s="317" t="n"/>
      <c r="B220" s="317" t="n"/>
      <c r="C220" s="318" t="n"/>
      <c r="D220" s="317" t="n"/>
      <c r="E220" s="315" t="n"/>
      <c r="F220" s="472" t="n"/>
      <c r="G220" s="472" t="n"/>
      <c r="H220" s="472" t="n"/>
      <c r="I220" s="472" t="n"/>
      <c r="J220" s="472" t="n"/>
      <c r="K220" s="472" t="n"/>
      <c r="L220" s="472" t="n"/>
      <c r="M220" s="472" t="n"/>
      <c r="N220" s="472" t="n"/>
      <c r="O220" s="472" t="n"/>
      <c r="P220" s="472" t="n"/>
      <c r="Q220" s="472" t="n"/>
      <c r="R220" s="472" t="n"/>
      <c r="S220" s="288" t="n"/>
      <c r="T220" s="284" t="n"/>
      <c r="U220" s="284" t="n"/>
      <c r="V220" s="285" t="n"/>
      <c r="W220" s="285" t="n"/>
      <c r="X220" s="285" t="n"/>
      <c r="Y220" s="285" t="n"/>
      <c r="Z220" s="285" t="n"/>
      <c r="AA220" s="285" t="n"/>
      <c r="AB220" s="285" t="n"/>
    </row>
    <row r="221" ht="15.75" customHeight="1" s="398">
      <c r="A221" s="317" t="n"/>
      <c r="B221" s="317" t="n"/>
      <c r="C221" s="318" t="n"/>
      <c r="D221" s="317" t="n"/>
      <c r="E221" s="315" t="n"/>
      <c r="F221" s="472" t="n"/>
      <c r="G221" s="472" t="n"/>
      <c r="H221" s="472" t="n"/>
      <c r="I221" s="472" t="n"/>
      <c r="J221" s="472" t="n"/>
      <c r="K221" s="472" t="n"/>
      <c r="L221" s="472" t="n"/>
      <c r="M221" s="472" t="n"/>
      <c r="N221" s="472" t="n"/>
      <c r="O221" s="472" t="n"/>
      <c r="P221" s="472" t="n"/>
      <c r="Q221" s="472" t="n"/>
      <c r="R221" s="472" t="n"/>
      <c r="S221" s="288" t="n"/>
      <c r="T221" s="284" t="n"/>
      <c r="U221" s="284" t="n"/>
      <c r="V221" s="285" t="n"/>
      <c r="W221" s="285" t="n"/>
      <c r="X221" s="285" t="n"/>
      <c r="Y221" s="285" t="n"/>
      <c r="Z221" s="285" t="n"/>
      <c r="AA221" s="285" t="n"/>
      <c r="AB221" s="285" t="n"/>
    </row>
    <row r="222" ht="15.75" customHeight="1" s="398">
      <c r="A222" s="317" t="n"/>
      <c r="B222" s="317" t="n"/>
      <c r="C222" s="318" t="n"/>
      <c r="D222" s="317" t="n"/>
      <c r="E222" s="315" t="n"/>
      <c r="F222" s="472" t="n"/>
      <c r="G222" s="472" t="n"/>
      <c r="H222" s="472" t="n"/>
      <c r="I222" s="472" t="n"/>
      <c r="J222" s="472" t="n"/>
      <c r="K222" s="472" t="n"/>
      <c r="L222" s="472" t="n"/>
      <c r="M222" s="472" t="n"/>
      <c r="N222" s="472" t="n"/>
      <c r="O222" s="472" t="n"/>
      <c r="P222" s="472" t="n"/>
      <c r="Q222" s="472" t="n"/>
      <c r="R222" s="472" t="n"/>
      <c r="S222" s="288" t="n"/>
      <c r="T222" s="284" t="n"/>
      <c r="U222" s="284" t="n"/>
      <c r="V222" s="285" t="n"/>
      <c r="W222" s="285" t="n"/>
      <c r="X222" s="285" t="n"/>
      <c r="Y222" s="285" t="n"/>
      <c r="Z222" s="285" t="n"/>
      <c r="AA222" s="285" t="n"/>
      <c r="AB222" s="285" t="n"/>
    </row>
    <row r="223" ht="15.75" customHeight="1" s="398">
      <c r="A223" s="317" t="n"/>
      <c r="B223" s="317" t="n"/>
      <c r="C223" s="318" t="n"/>
      <c r="D223" s="317" t="n"/>
      <c r="E223" s="315" t="n"/>
      <c r="F223" s="472" t="n"/>
      <c r="G223" s="472" t="n"/>
      <c r="H223" s="472" t="n"/>
      <c r="I223" s="472" t="n"/>
      <c r="J223" s="472" t="n"/>
      <c r="K223" s="472" t="n"/>
      <c r="L223" s="472" t="n"/>
      <c r="M223" s="472" t="n"/>
      <c r="N223" s="472" t="n"/>
      <c r="O223" s="472" t="n"/>
      <c r="P223" s="472" t="n"/>
      <c r="Q223" s="472" t="n"/>
      <c r="R223" s="472" t="n"/>
      <c r="S223" s="288" t="n"/>
      <c r="T223" s="284" t="n"/>
      <c r="U223" s="284" t="n"/>
      <c r="V223" s="285" t="n"/>
      <c r="W223" s="285" t="n"/>
      <c r="X223" s="285" t="n"/>
      <c r="Y223" s="285" t="n"/>
      <c r="Z223" s="285" t="n"/>
      <c r="AA223" s="285" t="n"/>
      <c r="AB223" s="285" t="n"/>
    </row>
    <row r="224" ht="15.75" customHeight="1" s="398">
      <c r="A224" s="317" t="n"/>
      <c r="B224" s="317" t="n"/>
      <c r="C224" s="318" t="n"/>
      <c r="D224" s="317" t="n"/>
      <c r="E224" s="315" t="n"/>
      <c r="F224" s="472" t="n"/>
      <c r="G224" s="472" t="n"/>
      <c r="H224" s="472" t="n"/>
      <c r="I224" s="472" t="n"/>
      <c r="J224" s="472" t="n"/>
      <c r="K224" s="472" t="n"/>
      <c r="L224" s="472" t="n"/>
      <c r="M224" s="472" t="n"/>
      <c r="N224" s="472" t="n"/>
      <c r="O224" s="472" t="n"/>
      <c r="P224" s="472" t="n"/>
      <c r="Q224" s="472" t="n"/>
      <c r="R224" s="472" t="n"/>
      <c r="S224" s="288" t="n"/>
      <c r="T224" s="284" t="n"/>
      <c r="U224" s="284" t="n"/>
      <c r="V224" s="285" t="n"/>
      <c r="W224" s="285" t="n"/>
      <c r="X224" s="285" t="n"/>
      <c r="Y224" s="285" t="n"/>
      <c r="Z224" s="285" t="n"/>
      <c r="AA224" s="285" t="n"/>
      <c r="AB224" s="285" t="n"/>
    </row>
    <row r="225" ht="15.75" customHeight="1" s="398">
      <c r="A225" s="317" t="n"/>
      <c r="B225" s="317" t="n"/>
      <c r="C225" s="318" t="n"/>
      <c r="D225" s="317" t="n"/>
      <c r="E225" s="315" t="n"/>
      <c r="F225" s="472" t="n"/>
      <c r="G225" s="472" t="n"/>
      <c r="H225" s="472" t="n"/>
      <c r="I225" s="472" t="n"/>
      <c r="J225" s="472" t="n"/>
      <c r="K225" s="472" t="n"/>
      <c r="L225" s="472" t="n"/>
      <c r="M225" s="472" t="n"/>
      <c r="N225" s="472" t="n"/>
      <c r="O225" s="472" t="n"/>
      <c r="P225" s="472" t="n"/>
      <c r="Q225" s="472" t="n"/>
      <c r="R225" s="472" t="n"/>
      <c r="S225" s="288" t="n"/>
      <c r="T225" s="284" t="n"/>
      <c r="U225" s="284" t="n"/>
      <c r="V225" s="285" t="n"/>
      <c r="W225" s="285" t="n"/>
      <c r="X225" s="285" t="n"/>
      <c r="Y225" s="285" t="n"/>
      <c r="Z225" s="285" t="n"/>
      <c r="AA225" s="285" t="n"/>
      <c r="AB225" s="285" t="n"/>
    </row>
    <row r="226" ht="15.75" customHeight="1" s="398">
      <c r="A226" s="317" t="n"/>
      <c r="B226" s="317" t="n"/>
      <c r="C226" s="318" t="n"/>
      <c r="D226" s="317" t="n"/>
      <c r="E226" s="315" t="n"/>
      <c r="F226" s="472" t="n"/>
      <c r="G226" s="472" t="n"/>
      <c r="H226" s="472" t="n"/>
      <c r="I226" s="472" t="n"/>
      <c r="J226" s="472" t="n"/>
      <c r="K226" s="472" t="n"/>
      <c r="L226" s="472" t="n"/>
      <c r="M226" s="472" t="n"/>
      <c r="N226" s="472" t="n"/>
      <c r="O226" s="472" t="n"/>
      <c r="P226" s="472" t="n"/>
      <c r="Q226" s="472" t="n"/>
      <c r="R226" s="472" t="n"/>
      <c r="S226" s="288" t="n"/>
      <c r="T226" s="284" t="n"/>
      <c r="U226" s="284" t="n"/>
      <c r="V226" s="285" t="n"/>
      <c r="W226" s="285" t="n"/>
      <c r="X226" s="285" t="n"/>
      <c r="Y226" s="285" t="n"/>
      <c r="Z226" s="285" t="n"/>
      <c r="AA226" s="285" t="n"/>
      <c r="AB226" s="285" t="n"/>
    </row>
    <row r="227" ht="15.75" customHeight="1" s="398">
      <c r="A227" s="317" t="n"/>
      <c r="B227" s="317" t="n"/>
      <c r="C227" s="318" t="n"/>
      <c r="D227" s="317" t="n"/>
      <c r="E227" s="315" t="n"/>
      <c r="F227" s="472" t="n"/>
      <c r="G227" s="472" t="n"/>
      <c r="H227" s="472" t="n"/>
      <c r="I227" s="472" t="n"/>
      <c r="J227" s="472" t="n"/>
      <c r="K227" s="472" t="n"/>
      <c r="L227" s="472" t="n"/>
      <c r="M227" s="472" t="n"/>
      <c r="N227" s="472" t="n"/>
      <c r="O227" s="472" t="n"/>
      <c r="P227" s="472" t="n"/>
      <c r="Q227" s="472" t="n"/>
      <c r="R227" s="472" t="n"/>
      <c r="S227" s="288" t="n"/>
      <c r="T227" s="284" t="n"/>
      <c r="U227" s="284" t="n"/>
      <c r="V227" s="285" t="n"/>
      <c r="W227" s="285" t="n"/>
      <c r="X227" s="285" t="n"/>
      <c r="Y227" s="285" t="n"/>
      <c r="Z227" s="285" t="n"/>
      <c r="AA227" s="285" t="n"/>
      <c r="AB227" s="285" t="n"/>
    </row>
    <row r="228" ht="15.75" customHeight="1" s="398">
      <c r="A228" s="317" t="n"/>
      <c r="B228" s="317" t="n"/>
      <c r="C228" s="318" t="n"/>
      <c r="D228" s="317" t="n"/>
      <c r="E228" s="315" t="n"/>
      <c r="F228" s="472" t="n"/>
      <c r="G228" s="472" t="n"/>
      <c r="H228" s="472" t="n"/>
      <c r="I228" s="472" t="n"/>
      <c r="J228" s="472" t="n"/>
      <c r="K228" s="472" t="n"/>
      <c r="L228" s="472" t="n"/>
      <c r="M228" s="472" t="n"/>
      <c r="N228" s="472" t="n"/>
      <c r="O228" s="472" t="n"/>
      <c r="P228" s="472" t="n"/>
      <c r="Q228" s="472" t="n"/>
      <c r="R228" s="472" t="n"/>
      <c r="S228" s="288" t="n"/>
      <c r="T228" s="284" t="n"/>
      <c r="U228" s="284" t="n"/>
      <c r="V228" s="285" t="n"/>
      <c r="W228" s="285" t="n"/>
      <c r="X228" s="285" t="n"/>
      <c r="Y228" s="285" t="n"/>
      <c r="Z228" s="285" t="n"/>
      <c r="AA228" s="285" t="n"/>
      <c r="AB228" s="285" t="n"/>
    </row>
    <row r="229" ht="15.75" customHeight="1" s="398">
      <c r="A229" s="317" t="n"/>
      <c r="B229" s="317" t="n"/>
      <c r="C229" s="318" t="n"/>
      <c r="D229" s="317" t="n"/>
      <c r="E229" s="315" t="n"/>
      <c r="F229" s="472" t="n"/>
      <c r="G229" s="472" t="n"/>
      <c r="H229" s="472" t="n"/>
      <c r="I229" s="472" t="n"/>
      <c r="J229" s="472" t="n"/>
      <c r="K229" s="472" t="n"/>
      <c r="L229" s="472" t="n"/>
      <c r="M229" s="472" t="n"/>
      <c r="N229" s="472" t="n"/>
      <c r="O229" s="472" t="n"/>
      <c r="P229" s="472" t="n"/>
      <c r="Q229" s="472" t="n"/>
      <c r="R229" s="472" t="n"/>
      <c r="S229" s="288" t="n"/>
      <c r="T229" s="284" t="n"/>
      <c r="U229" s="284" t="n"/>
      <c r="V229" s="285" t="n"/>
      <c r="W229" s="285" t="n"/>
      <c r="X229" s="285" t="n"/>
      <c r="Y229" s="285" t="n"/>
      <c r="Z229" s="285" t="n"/>
      <c r="AA229" s="285" t="n"/>
      <c r="AB229" s="285" t="n"/>
    </row>
    <row r="230" ht="15.75" customHeight="1" s="398">
      <c r="A230" s="317" t="n"/>
      <c r="B230" s="317" t="n"/>
      <c r="C230" s="318" t="n"/>
      <c r="D230" s="317" t="n"/>
      <c r="E230" s="315" t="n"/>
      <c r="F230" s="472" t="n"/>
      <c r="G230" s="472" t="n"/>
      <c r="H230" s="472" t="n"/>
      <c r="I230" s="472" t="n"/>
      <c r="J230" s="472" t="n"/>
      <c r="K230" s="472" t="n"/>
      <c r="L230" s="472" t="n"/>
      <c r="M230" s="472" t="n"/>
      <c r="N230" s="472" t="n"/>
      <c r="O230" s="472" t="n"/>
      <c r="P230" s="472" t="n"/>
      <c r="Q230" s="472" t="n"/>
      <c r="R230" s="472" t="n"/>
      <c r="S230" s="288" t="n"/>
      <c r="T230" s="284" t="n"/>
      <c r="U230" s="284" t="n"/>
      <c r="V230" s="285" t="n"/>
      <c r="W230" s="285" t="n"/>
      <c r="X230" s="285" t="n"/>
      <c r="Y230" s="285" t="n"/>
      <c r="Z230" s="285" t="n"/>
      <c r="AA230" s="285" t="n"/>
      <c r="AB230" s="285" t="n"/>
    </row>
    <row r="231" ht="15.75" customHeight="1" s="398">
      <c r="A231" s="317" t="n"/>
      <c r="B231" s="317" t="n"/>
      <c r="C231" s="318" t="n"/>
      <c r="D231" s="317" t="n"/>
      <c r="E231" s="315" t="n"/>
      <c r="F231" s="472" t="n"/>
      <c r="G231" s="472" t="n"/>
      <c r="H231" s="472" t="n"/>
      <c r="I231" s="472" t="n"/>
      <c r="J231" s="472" t="n"/>
      <c r="K231" s="472" t="n"/>
      <c r="L231" s="472" t="n"/>
      <c r="M231" s="472" t="n"/>
      <c r="N231" s="472" t="n"/>
      <c r="O231" s="472" t="n"/>
      <c r="P231" s="472" t="n"/>
      <c r="Q231" s="472" t="n"/>
      <c r="R231" s="472" t="n"/>
      <c r="S231" s="288" t="n"/>
      <c r="T231" s="284" t="n"/>
      <c r="U231" s="284" t="n"/>
      <c r="V231" s="285" t="n"/>
      <c r="W231" s="285" t="n"/>
      <c r="X231" s="285" t="n"/>
      <c r="Y231" s="285" t="n"/>
      <c r="Z231" s="285" t="n"/>
      <c r="AA231" s="285" t="n"/>
      <c r="AB231" s="285" t="n"/>
    </row>
    <row r="232" ht="15.75" customHeight="1" s="398">
      <c r="A232" s="317" t="n"/>
      <c r="B232" s="317" t="n"/>
      <c r="C232" s="318" t="n"/>
      <c r="D232" s="317" t="n"/>
      <c r="E232" s="315" t="n"/>
      <c r="F232" s="472" t="n"/>
      <c r="G232" s="472" t="n"/>
      <c r="H232" s="472" t="n"/>
      <c r="I232" s="472" t="n"/>
      <c r="J232" s="472" t="n"/>
      <c r="K232" s="472" t="n"/>
      <c r="L232" s="472" t="n"/>
      <c r="M232" s="472" t="n"/>
      <c r="N232" s="472" t="n"/>
      <c r="O232" s="472" t="n"/>
      <c r="P232" s="472" t="n"/>
      <c r="Q232" s="472" t="n"/>
      <c r="R232" s="472" t="n"/>
      <c r="S232" s="288" t="n"/>
      <c r="T232" s="284" t="n"/>
      <c r="U232" s="284" t="n"/>
      <c r="V232" s="285" t="n"/>
      <c r="W232" s="285" t="n"/>
      <c r="X232" s="285" t="n"/>
      <c r="Y232" s="285" t="n"/>
      <c r="Z232" s="285" t="n"/>
      <c r="AA232" s="285" t="n"/>
      <c r="AB232" s="285" t="n"/>
    </row>
    <row r="233" ht="15.75" customHeight="1" s="398">
      <c r="A233" s="317" t="n"/>
      <c r="B233" s="317" t="n"/>
      <c r="C233" s="318" t="n"/>
      <c r="D233" s="317" t="n"/>
      <c r="E233" s="315" t="n"/>
      <c r="F233" s="472" t="n"/>
      <c r="G233" s="472" t="n"/>
      <c r="H233" s="472" t="n"/>
      <c r="I233" s="472" t="n"/>
      <c r="J233" s="472" t="n"/>
      <c r="K233" s="472" t="n"/>
      <c r="L233" s="472" t="n"/>
      <c r="M233" s="472" t="n"/>
      <c r="N233" s="472" t="n"/>
      <c r="O233" s="472" t="n"/>
      <c r="P233" s="472" t="n"/>
      <c r="Q233" s="472" t="n"/>
      <c r="R233" s="472" t="n"/>
      <c r="S233" s="288" t="n"/>
      <c r="T233" s="284" t="n"/>
      <c r="U233" s="284" t="n"/>
      <c r="V233" s="285" t="n"/>
      <c r="W233" s="285" t="n"/>
      <c r="X233" s="285" t="n"/>
      <c r="Y233" s="285" t="n"/>
      <c r="Z233" s="285" t="n"/>
      <c r="AA233" s="285" t="n"/>
      <c r="AB233" s="285" t="n"/>
    </row>
    <row r="234" ht="15.75" customHeight="1" s="398">
      <c r="A234" s="317" t="n"/>
      <c r="B234" s="317" t="n"/>
      <c r="C234" s="318" t="n"/>
      <c r="D234" s="317" t="n"/>
      <c r="E234" s="315" t="n"/>
      <c r="F234" s="472" t="n"/>
      <c r="G234" s="472" t="n"/>
      <c r="H234" s="472" t="n"/>
      <c r="I234" s="472" t="n"/>
      <c r="J234" s="472" t="n"/>
      <c r="K234" s="472" t="n"/>
      <c r="L234" s="472" t="n"/>
      <c r="M234" s="472" t="n"/>
      <c r="N234" s="472" t="n"/>
      <c r="O234" s="472" t="n"/>
      <c r="P234" s="472" t="n"/>
      <c r="Q234" s="472" t="n"/>
      <c r="R234" s="472" t="n"/>
      <c r="S234" s="288" t="n"/>
      <c r="T234" s="284" t="n"/>
      <c r="U234" s="284" t="n"/>
      <c r="V234" s="285" t="n"/>
      <c r="W234" s="285" t="n"/>
      <c r="X234" s="285" t="n"/>
      <c r="Y234" s="285" t="n"/>
      <c r="Z234" s="285" t="n"/>
      <c r="AA234" s="285" t="n"/>
      <c r="AB234" s="285" t="n"/>
    </row>
    <row r="235" ht="15.75" customHeight="1" s="398">
      <c r="A235" s="317" t="n"/>
      <c r="B235" s="317" t="n"/>
      <c r="C235" s="318" t="n"/>
      <c r="D235" s="317" t="n"/>
      <c r="E235" s="315" t="n"/>
      <c r="F235" s="472" t="n"/>
      <c r="G235" s="472" t="n"/>
      <c r="H235" s="472" t="n"/>
      <c r="I235" s="472" t="n"/>
      <c r="J235" s="472" t="n"/>
      <c r="K235" s="472" t="n"/>
      <c r="L235" s="472" t="n"/>
      <c r="M235" s="472" t="n"/>
      <c r="N235" s="472" t="n"/>
      <c r="O235" s="472" t="n"/>
      <c r="P235" s="472" t="n"/>
      <c r="Q235" s="472" t="n"/>
      <c r="R235" s="472" t="n"/>
      <c r="S235" s="288" t="n"/>
      <c r="T235" s="284" t="n"/>
      <c r="U235" s="284" t="n"/>
      <c r="V235" s="285" t="n"/>
      <c r="W235" s="285" t="n"/>
      <c r="X235" s="285" t="n"/>
      <c r="Y235" s="285" t="n"/>
      <c r="Z235" s="285" t="n"/>
      <c r="AA235" s="285" t="n"/>
      <c r="AB235" s="285" t="n"/>
    </row>
    <row r="236" ht="15.75" customHeight="1" s="398">
      <c r="A236" s="317" t="n"/>
      <c r="B236" s="317" t="n"/>
      <c r="C236" s="318" t="n"/>
      <c r="D236" s="317" t="n"/>
      <c r="E236" s="315" t="n"/>
      <c r="F236" s="472" t="n"/>
      <c r="G236" s="472" t="n"/>
      <c r="H236" s="472" t="n"/>
      <c r="I236" s="472" t="n"/>
      <c r="J236" s="472" t="n"/>
      <c r="K236" s="472" t="n"/>
      <c r="L236" s="472" t="n"/>
      <c r="M236" s="472" t="n"/>
      <c r="N236" s="472" t="n"/>
      <c r="O236" s="472" t="n"/>
      <c r="P236" s="472" t="n"/>
      <c r="Q236" s="472" t="n"/>
      <c r="R236" s="472" t="n"/>
      <c r="S236" s="288" t="n"/>
      <c r="T236" s="284" t="n"/>
      <c r="U236" s="284" t="n"/>
      <c r="V236" s="285" t="n"/>
      <c r="W236" s="285" t="n"/>
      <c r="X236" s="285" t="n"/>
      <c r="Y236" s="285" t="n"/>
      <c r="Z236" s="285" t="n"/>
      <c r="AA236" s="285" t="n"/>
      <c r="AB236" s="285" t="n"/>
    </row>
    <row r="237" ht="15.75" customHeight="1" s="398">
      <c r="A237" s="317" t="n"/>
      <c r="B237" s="317" t="n"/>
      <c r="C237" s="318" t="n"/>
      <c r="D237" s="317" t="n"/>
      <c r="E237" s="315" t="n"/>
      <c r="F237" s="472" t="n"/>
      <c r="G237" s="472" t="n"/>
      <c r="H237" s="472" t="n"/>
      <c r="I237" s="472" t="n"/>
      <c r="J237" s="472" t="n"/>
      <c r="K237" s="472" t="n"/>
      <c r="L237" s="472" t="n"/>
      <c r="M237" s="472" t="n"/>
      <c r="N237" s="472" t="n"/>
      <c r="O237" s="472" t="n"/>
      <c r="P237" s="472" t="n"/>
      <c r="Q237" s="472" t="n"/>
      <c r="R237" s="472" t="n"/>
      <c r="S237" s="288" t="n"/>
      <c r="T237" s="284" t="n"/>
      <c r="U237" s="284" t="n"/>
      <c r="V237" s="285" t="n"/>
      <c r="W237" s="285" t="n"/>
      <c r="X237" s="285" t="n"/>
      <c r="Y237" s="285" t="n"/>
      <c r="Z237" s="285" t="n"/>
      <c r="AA237" s="285" t="n"/>
      <c r="AB237" s="285" t="n"/>
    </row>
    <row r="238" ht="15.75" customHeight="1" s="398">
      <c r="A238" s="317" t="n"/>
      <c r="B238" s="317" t="n"/>
      <c r="C238" s="318" t="n"/>
      <c r="D238" s="317" t="n"/>
      <c r="E238" s="315" t="n"/>
      <c r="F238" s="472" t="n"/>
      <c r="G238" s="472" t="n"/>
      <c r="H238" s="472" t="n"/>
      <c r="I238" s="472" t="n"/>
      <c r="J238" s="472" t="n"/>
      <c r="K238" s="472" t="n"/>
      <c r="L238" s="472" t="n"/>
      <c r="M238" s="472" t="n"/>
      <c r="N238" s="472" t="n"/>
      <c r="O238" s="472" t="n"/>
      <c r="P238" s="472" t="n"/>
      <c r="Q238" s="472" t="n"/>
      <c r="R238" s="472" t="n"/>
      <c r="S238" s="288" t="n"/>
      <c r="T238" s="284" t="n"/>
      <c r="U238" s="284" t="n"/>
      <c r="V238" s="285" t="n"/>
      <c r="W238" s="285" t="n"/>
      <c r="X238" s="285" t="n"/>
      <c r="Y238" s="285" t="n"/>
      <c r="Z238" s="285" t="n"/>
      <c r="AA238" s="285" t="n"/>
      <c r="AB238" s="285" t="n"/>
    </row>
    <row r="239" ht="15.75" customHeight="1" s="398">
      <c r="A239" s="317" t="n"/>
      <c r="B239" s="317" t="n"/>
      <c r="C239" s="318" t="n"/>
      <c r="D239" s="317" t="n"/>
      <c r="E239" s="315" t="n"/>
      <c r="F239" s="472" t="n"/>
      <c r="G239" s="472" t="n"/>
      <c r="H239" s="472" t="n"/>
      <c r="I239" s="472" t="n"/>
      <c r="J239" s="472" t="n"/>
      <c r="K239" s="472" t="n"/>
      <c r="L239" s="472" t="n"/>
      <c r="M239" s="472" t="n"/>
      <c r="N239" s="472" t="n"/>
      <c r="O239" s="472" t="n"/>
      <c r="P239" s="472" t="n"/>
      <c r="Q239" s="472" t="n"/>
      <c r="R239" s="472" t="n"/>
      <c r="S239" s="288" t="n"/>
      <c r="T239" s="284" t="n"/>
      <c r="U239" s="284" t="n"/>
      <c r="V239" s="285" t="n"/>
      <c r="W239" s="285" t="n"/>
      <c r="X239" s="285" t="n"/>
      <c r="Y239" s="285" t="n"/>
      <c r="Z239" s="285" t="n"/>
      <c r="AA239" s="285" t="n"/>
      <c r="AB239" s="285" t="n"/>
    </row>
    <row r="240" ht="15.75" customHeight="1" s="398">
      <c r="A240" s="317" t="n"/>
      <c r="B240" s="317" t="n"/>
      <c r="C240" s="318" t="n"/>
      <c r="D240" s="317" t="n"/>
      <c r="E240" s="315" t="n"/>
      <c r="F240" s="472" t="n"/>
      <c r="G240" s="472" t="n"/>
      <c r="H240" s="472" t="n"/>
      <c r="I240" s="472" t="n"/>
      <c r="J240" s="472" t="n"/>
      <c r="K240" s="472" t="n"/>
      <c r="L240" s="472" t="n"/>
      <c r="M240" s="472" t="n"/>
      <c r="N240" s="472" t="n"/>
      <c r="O240" s="472" t="n"/>
      <c r="P240" s="472" t="n"/>
      <c r="Q240" s="472" t="n"/>
      <c r="R240" s="472" t="n"/>
      <c r="S240" s="288" t="n"/>
      <c r="T240" s="284" t="n"/>
      <c r="U240" s="284" t="n"/>
      <c r="V240" s="285" t="n"/>
      <c r="W240" s="285" t="n"/>
      <c r="X240" s="285" t="n"/>
      <c r="Y240" s="285" t="n"/>
      <c r="Z240" s="285" t="n"/>
      <c r="AA240" s="285" t="n"/>
      <c r="AB240" s="285" t="n"/>
    </row>
    <row r="241" ht="15.75" customHeight="1" s="398">
      <c r="A241" s="317" t="n"/>
      <c r="B241" s="317" t="n"/>
      <c r="C241" s="318" t="n"/>
      <c r="D241" s="317" t="n"/>
      <c r="E241" s="315" t="n"/>
      <c r="F241" s="472" t="n"/>
      <c r="G241" s="472" t="n"/>
      <c r="H241" s="472" t="n"/>
      <c r="I241" s="472" t="n"/>
      <c r="J241" s="472" t="n"/>
      <c r="K241" s="472" t="n"/>
      <c r="L241" s="472" t="n"/>
      <c r="M241" s="472" t="n"/>
      <c r="N241" s="472" t="n"/>
      <c r="O241" s="472" t="n"/>
      <c r="P241" s="472" t="n"/>
      <c r="Q241" s="472" t="n"/>
      <c r="R241" s="472" t="n"/>
      <c r="S241" s="288" t="n"/>
      <c r="T241" s="284" t="n"/>
      <c r="U241" s="284" t="n"/>
      <c r="V241" s="285" t="n"/>
      <c r="W241" s="285" t="n"/>
      <c r="X241" s="285" t="n"/>
      <c r="Y241" s="285" t="n"/>
      <c r="Z241" s="285" t="n"/>
      <c r="AA241" s="285" t="n"/>
      <c r="AB241" s="285" t="n"/>
    </row>
    <row r="242" ht="15.75" customHeight="1" s="398">
      <c r="A242" s="317" t="n"/>
      <c r="B242" s="317" t="n"/>
      <c r="C242" s="318" t="n"/>
      <c r="D242" s="317" t="n"/>
      <c r="E242" s="315" t="n"/>
      <c r="F242" s="472" t="n"/>
      <c r="G242" s="472" t="n"/>
      <c r="H242" s="472" t="n"/>
      <c r="I242" s="472" t="n"/>
      <c r="J242" s="472" t="n"/>
      <c r="K242" s="472" t="n"/>
      <c r="L242" s="472" t="n"/>
      <c r="M242" s="472" t="n"/>
      <c r="N242" s="472" t="n"/>
      <c r="O242" s="472" t="n"/>
      <c r="P242" s="472" t="n"/>
      <c r="Q242" s="472" t="n"/>
      <c r="R242" s="472" t="n"/>
      <c r="S242" s="288" t="n"/>
      <c r="T242" s="284" t="n"/>
      <c r="U242" s="284" t="n"/>
      <c r="V242" s="285" t="n"/>
      <c r="W242" s="285" t="n"/>
      <c r="X242" s="285" t="n"/>
      <c r="Y242" s="285" t="n"/>
      <c r="Z242" s="285" t="n"/>
      <c r="AA242" s="285" t="n"/>
      <c r="AB242" s="285" t="n"/>
    </row>
    <row r="243" ht="15.75" customHeight="1" s="398">
      <c r="A243" s="317" t="n"/>
      <c r="B243" s="317" t="n"/>
      <c r="C243" s="318" t="n"/>
      <c r="D243" s="317" t="n"/>
      <c r="E243" s="315" t="n"/>
      <c r="F243" s="472" t="n"/>
      <c r="G243" s="472" t="n"/>
      <c r="H243" s="472" t="n"/>
      <c r="I243" s="472" t="n"/>
      <c r="J243" s="472" t="n"/>
      <c r="K243" s="472" t="n"/>
      <c r="L243" s="472" t="n"/>
      <c r="M243" s="472" t="n"/>
      <c r="N243" s="472" t="n"/>
      <c r="O243" s="472" t="n"/>
      <c r="P243" s="472" t="n"/>
      <c r="Q243" s="472" t="n"/>
      <c r="R243" s="472" t="n"/>
      <c r="S243" s="288" t="n"/>
      <c r="T243" s="284" t="n"/>
      <c r="U243" s="284" t="n"/>
      <c r="V243" s="285" t="n"/>
      <c r="W243" s="285" t="n"/>
      <c r="X243" s="285" t="n"/>
      <c r="Y243" s="285" t="n"/>
      <c r="Z243" s="285" t="n"/>
      <c r="AA243" s="285" t="n"/>
      <c r="AB243" s="285" t="n"/>
    </row>
    <row r="244" ht="15.75" customHeight="1" s="398">
      <c r="A244" s="317" t="n"/>
      <c r="B244" s="317" t="n"/>
      <c r="C244" s="318" t="n"/>
      <c r="D244" s="317" t="n"/>
      <c r="E244" s="315" t="n"/>
      <c r="F244" s="472" t="n"/>
      <c r="G244" s="472" t="n"/>
      <c r="H244" s="472" t="n"/>
      <c r="I244" s="472" t="n"/>
      <c r="J244" s="472" t="n"/>
      <c r="K244" s="472" t="n"/>
      <c r="L244" s="472" t="n"/>
      <c r="M244" s="472" t="n"/>
      <c r="N244" s="472" t="n"/>
      <c r="O244" s="472" t="n"/>
      <c r="P244" s="472" t="n"/>
      <c r="Q244" s="472" t="n"/>
      <c r="R244" s="472" t="n"/>
      <c r="S244" s="288" t="n"/>
      <c r="T244" s="284" t="n"/>
      <c r="U244" s="284" t="n"/>
      <c r="V244" s="285" t="n"/>
      <c r="W244" s="285" t="n"/>
      <c r="X244" s="285" t="n"/>
      <c r="Y244" s="285" t="n"/>
      <c r="Z244" s="285" t="n"/>
      <c r="AA244" s="285" t="n"/>
      <c r="AB244" s="285" t="n"/>
    </row>
    <row r="245" ht="15.75" customHeight="1" s="398">
      <c r="A245" s="317" t="n"/>
      <c r="B245" s="317" t="n"/>
      <c r="C245" s="318" t="n"/>
      <c r="D245" s="317" t="n"/>
      <c r="E245" s="315" t="n"/>
      <c r="F245" s="472" t="n"/>
      <c r="G245" s="472" t="n"/>
      <c r="H245" s="472" t="n"/>
      <c r="I245" s="472" t="n"/>
      <c r="J245" s="472" t="n"/>
      <c r="K245" s="472" t="n"/>
      <c r="L245" s="472" t="n"/>
      <c r="M245" s="472" t="n"/>
      <c r="N245" s="472" t="n"/>
      <c r="O245" s="472" t="n"/>
      <c r="P245" s="472" t="n"/>
      <c r="Q245" s="472" t="n"/>
      <c r="R245" s="472" t="n"/>
      <c r="S245" s="288" t="n"/>
      <c r="T245" s="284" t="n"/>
      <c r="U245" s="284" t="n"/>
      <c r="V245" s="285" t="n"/>
      <c r="W245" s="285" t="n"/>
      <c r="X245" s="285" t="n"/>
      <c r="Y245" s="285" t="n"/>
      <c r="Z245" s="285" t="n"/>
      <c r="AA245" s="285" t="n"/>
      <c r="AB245" s="285" t="n"/>
    </row>
    <row r="246" ht="15.75" customHeight="1" s="398">
      <c r="A246" s="317" t="n"/>
      <c r="B246" s="317" t="n"/>
      <c r="C246" s="318" t="n"/>
      <c r="D246" s="317" t="n"/>
      <c r="E246" s="315" t="n"/>
      <c r="F246" s="472" t="n"/>
      <c r="G246" s="472" t="n"/>
      <c r="H246" s="472" t="n"/>
      <c r="I246" s="472" t="n"/>
      <c r="J246" s="472" t="n"/>
      <c r="K246" s="472" t="n"/>
      <c r="L246" s="472" t="n"/>
      <c r="M246" s="472" t="n"/>
      <c r="N246" s="472" t="n"/>
      <c r="O246" s="472" t="n"/>
      <c r="P246" s="472" t="n"/>
      <c r="Q246" s="472" t="n"/>
      <c r="R246" s="472" t="n"/>
      <c r="S246" s="288" t="n"/>
      <c r="T246" s="284" t="n"/>
      <c r="U246" s="284" t="n"/>
      <c r="V246" s="285" t="n"/>
      <c r="W246" s="285" t="n"/>
      <c r="X246" s="285" t="n"/>
      <c r="Y246" s="285" t="n"/>
      <c r="Z246" s="285" t="n"/>
      <c r="AA246" s="285" t="n"/>
      <c r="AB246" s="285" t="n"/>
    </row>
    <row r="247" ht="15.75" customHeight="1" s="398">
      <c r="A247" s="317" t="n"/>
      <c r="B247" s="317" t="n"/>
      <c r="C247" s="318" t="n"/>
      <c r="D247" s="317" t="n"/>
      <c r="E247" s="315" t="n"/>
      <c r="F247" s="472" t="n"/>
      <c r="G247" s="472" t="n"/>
      <c r="H247" s="472" t="n"/>
      <c r="I247" s="472" t="n"/>
      <c r="J247" s="472" t="n"/>
      <c r="K247" s="472" t="n"/>
      <c r="L247" s="472" t="n"/>
      <c r="M247" s="472" t="n"/>
      <c r="N247" s="472" t="n"/>
      <c r="O247" s="472" t="n"/>
      <c r="P247" s="472" t="n"/>
      <c r="Q247" s="472" t="n"/>
      <c r="R247" s="472" t="n"/>
      <c r="S247" s="288" t="n"/>
      <c r="T247" s="284" t="n"/>
      <c r="U247" s="284" t="n"/>
      <c r="V247" s="285" t="n"/>
      <c r="W247" s="285" t="n"/>
      <c r="X247" s="285" t="n"/>
      <c r="Y247" s="285" t="n"/>
      <c r="Z247" s="285" t="n"/>
      <c r="AA247" s="285" t="n"/>
      <c r="AB247" s="285" t="n"/>
    </row>
    <row r="248" ht="15.75" customHeight="1" s="398">
      <c r="A248" s="317" t="n"/>
      <c r="B248" s="317" t="n"/>
      <c r="C248" s="318" t="n"/>
      <c r="D248" s="317" t="n"/>
      <c r="E248" s="315" t="n"/>
      <c r="F248" s="472" t="n"/>
      <c r="G248" s="472" t="n"/>
      <c r="H248" s="472" t="n"/>
      <c r="I248" s="472" t="n"/>
      <c r="J248" s="472" t="n"/>
      <c r="K248" s="472" t="n"/>
      <c r="L248" s="472" t="n"/>
      <c r="M248" s="472" t="n"/>
      <c r="N248" s="472" t="n"/>
      <c r="O248" s="472" t="n"/>
      <c r="P248" s="472" t="n"/>
      <c r="Q248" s="472" t="n"/>
      <c r="R248" s="472" t="n"/>
      <c r="S248" s="288" t="n"/>
      <c r="T248" s="284" t="n"/>
      <c r="U248" s="284" t="n"/>
      <c r="V248" s="285" t="n"/>
      <c r="W248" s="285" t="n"/>
      <c r="X248" s="285" t="n"/>
      <c r="Y248" s="285" t="n"/>
      <c r="Z248" s="285" t="n"/>
      <c r="AA248" s="285" t="n"/>
      <c r="AB248" s="285" t="n"/>
    </row>
    <row r="249" ht="15.75" customHeight="1" s="398">
      <c r="A249" s="317" t="n"/>
      <c r="B249" s="317" t="n"/>
      <c r="C249" s="318" t="n"/>
      <c r="D249" s="317" t="n"/>
      <c r="E249" s="315" t="n"/>
      <c r="F249" s="472" t="n"/>
      <c r="G249" s="472" t="n"/>
      <c r="H249" s="472" t="n"/>
      <c r="I249" s="472" t="n"/>
      <c r="J249" s="472" t="n"/>
      <c r="K249" s="472" t="n"/>
      <c r="L249" s="472" t="n"/>
      <c r="M249" s="472" t="n"/>
      <c r="N249" s="472" t="n"/>
      <c r="O249" s="472" t="n"/>
      <c r="P249" s="472" t="n"/>
      <c r="Q249" s="472" t="n"/>
      <c r="R249" s="472" t="n"/>
      <c r="S249" s="288" t="n"/>
      <c r="T249" s="284" t="n"/>
      <c r="U249" s="284" t="n"/>
      <c r="V249" s="285" t="n"/>
      <c r="W249" s="285" t="n"/>
      <c r="X249" s="285" t="n"/>
      <c r="Y249" s="285" t="n"/>
      <c r="Z249" s="285" t="n"/>
      <c r="AA249" s="285" t="n"/>
      <c r="AB249" s="285" t="n"/>
    </row>
    <row r="250" ht="15.75" customHeight="1" s="398">
      <c r="A250" s="317" t="n"/>
      <c r="B250" s="317" t="n"/>
      <c r="C250" s="318" t="n"/>
      <c r="D250" s="317" t="n"/>
      <c r="E250" s="315" t="n"/>
      <c r="F250" s="472" t="n"/>
      <c r="G250" s="472" t="n"/>
      <c r="H250" s="472" t="n"/>
      <c r="I250" s="472" t="n"/>
      <c r="J250" s="472" t="n"/>
      <c r="K250" s="472" t="n"/>
      <c r="L250" s="472" t="n"/>
      <c r="M250" s="472" t="n"/>
      <c r="N250" s="472" t="n"/>
      <c r="O250" s="472" t="n"/>
      <c r="P250" s="472" t="n"/>
      <c r="Q250" s="472" t="n"/>
      <c r="R250" s="472" t="n"/>
      <c r="S250" s="288" t="n"/>
      <c r="T250" s="284" t="n"/>
      <c r="U250" s="284" t="n"/>
      <c r="V250" s="285" t="n"/>
      <c r="W250" s="285" t="n"/>
      <c r="X250" s="285" t="n"/>
      <c r="Y250" s="285" t="n"/>
      <c r="Z250" s="285" t="n"/>
      <c r="AA250" s="285" t="n"/>
      <c r="AB250" s="285" t="n"/>
    </row>
    <row r="251" ht="15.75" customHeight="1" s="398">
      <c r="A251" s="317" t="n"/>
      <c r="B251" s="317" t="n"/>
      <c r="C251" s="318" t="n"/>
      <c r="D251" s="317" t="n"/>
      <c r="E251" s="315" t="n"/>
      <c r="F251" s="472" t="n"/>
      <c r="G251" s="472" t="n"/>
      <c r="H251" s="472" t="n"/>
      <c r="I251" s="472" t="n"/>
      <c r="J251" s="472" t="n"/>
      <c r="K251" s="472" t="n"/>
      <c r="L251" s="472" t="n"/>
      <c r="M251" s="472" t="n"/>
      <c r="N251" s="472" t="n"/>
      <c r="O251" s="472" t="n"/>
      <c r="P251" s="472" t="n"/>
      <c r="Q251" s="472" t="n"/>
      <c r="R251" s="472" t="n"/>
      <c r="S251" s="288" t="n"/>
      <c r="T251" s="284" t="n"/>
      <c r="U251" s="284" t="n"/>
      <c r="V251" s="285" t="n"/>
      <c r="W251" s="285" t="n"/>
      <c r="X251" s="285" t="n"/>
      <c r="Y251" s="285" t="n"/>
      <c r="Z251" s="285" t="n"/>
      <c r="AA251" s="285" t="n"/>
      <c r="AB251" s="285" t="n"/>
    </row>
    <row r="252" ht="15.75" customHeight="1" s="398">
      <c r="A252" s="317" t="n"/>
      <c r="B252" s="317" t="n"/>
      <c r="C252" s="318" t="n"/>
      <c r="D252" s="317" t="n"/>
      <c r="E252" s="315" t="n"/>
      <c r="F252" s="472" t="n"/>
      <c r="G252" s="472" t="n"/>
      <c r="H252" s="472" t="n"/>
      <c r="I252" s="472" t="n"/>
      <c r="J252" s="472" t="n"/>
      <c r="K252" s="472" t="n"/>
      <c r="L252" s="472" t="n"/>
      <c r="M252" s="472" t="n"/>
      <c r="N252" s="472" t="n"/>
      <c r="O252" s="472" t="n"/>
      <c r="P252" s="472" t="n"/>
      <c r="Q252" s="472" t="n"/>
      <c r="R252" s="472" t="n"/>
      <c r="S252" s="288" t="n"/>
      <c r="T252" s="284" t="n"/>
      <c r="U252" s="284" t="n"/>
      <c r="V252" s="285" t="n"/>
      <c r="W252" s="285" t="n"/>
      <c r="X252" s="285" t="n"/>
      <c r="Y252" s="285" t="n"/>
      <c r="Z252" s="285" t="n"/>
      <c r="AA252" s="285" t="n"/>
      <c r="AB252" s="285" t="n"/>
    </row>
    <row r="253" ht="15.75" customHeight="1" s="398">
      <c r="A253" s="317" t="n"/>
      <c r="B253" s="317" t="n"/>
      <c r="C253" s="318" t="n"/>
      <c r="D253" s="317" t="n"/>
      <c r="E253" s="315" t="n"/>
      <c r="F253" s="472" t="n"/>
      <c r="G253" s="472" t="n"/>
      <c r="H253" s="472" t="n"/>
      <c r="I253" s="472" t="n"/>
      <c r="J253" s="472" t="n"/>
      <c r="K253" s="472" t="n"/>
      <c r="L253" s="472" t="n"/>
      <c r="M253" s="472" t="n"/>
      <c r="N253" s="472" t="n"/>
      <c r="O253" s="472" t="n"/>
      <c r="P253" s="472" t="n"/>
      <c r="Q253" s="472" t="n"/>
      <c r="R253" s="472" t="n"/>
      <c r="S253" s="288" t="n"/>
      <c r="T253" s="284" t="n"/>
      <c r="U253" s="284" t="n"/>
      <c r="V253" s="285" t="n"/>
      <c r="W253" s="285" t="n"/>
      <c r="X253" s="285" t="n"/>
      <c r="Y253" s="285" t="n"/>
      <c r="Z253" s="285" t="n"/>
      <c r="AA253" s="285" t="n"/>
      <c r="AB253" s="285" t="n"/>
    </row>
    <row r="254" ht="15.75" customHeight="1" s="398">
      <c r="A254" s="317" t="n"/>
      <c r="B254" s="317" t="n"/>
      <c r="C254" s="318" t="n"/>
      <c r="D254" s="317" t="n"/>
      <c r="E254" s="315" t="n"/>
      <c r="F254" s="472" t="n"/>
      <c r="G254" s="472" t="n"/>
      <c r="H254" s="472" t="n"/>
      <c r="I254" s="472" t="n"/>
      <c r="J254" s="472" t="n"/>
      <c r="K254" s="472" t="n"/>
      <c r="L254" s="472" t="n"/>
      <c r="M254" s="472" t="n"/>
      <c r="N254" s="472" t="n"/>
      <c r="O254" s="472" t="n"/>
      <c r="P254" s="472" t="n"/>
      <c r="Q254" s="472" t="n"/>
      <c r="R254" s="472" t="n"/>
      <c r="S254" s="288" t="n"/>
      <c r="T254" s="284" t="n"/>
      <c r="U254" s="284" t="n"/>
      <c r="V254" s="285" t="n"/>
      <c r="W254" s="285" t="n"/>
      <c r="X254" s="285" t="n"/>
      <c r="Y254" s="285" t="n"/>
      <c r="Z254" s="285" t="n"/>
      <c r="AA254" s="285" t="n"/>
      <c r="AB254" s="285" t="n"/>
    </row>
    <row r="255" ht="15.75" customHeight="1" s="398">
      <c r="A255" s="317" t="n"/>
      <c r="B255" s="317" t="n"/>
      <c r="C255" s="318" t="n"/>
      <c r="D255" s="317" t="n"/>
      <c r="E255" s="315" t="n"/>
      <c r="F255" s="472" t="n"/>
      <c r="G255" s="472" t="n"/>
      <c r="H255" s="472" t="n"/>
      <c r="I255" s="472" t="n"/>
      <c r="J255" s="472" t="n"/>
      <c r="K255" s="472" t="n"/>
      <c r="L255" s="472" t="n"/>
      <c r="M255" s="472" t="n"/>
      <c r="N255" s="472" t="n"/>
      <c r="O255" s="472" t="n"/>
      <c r="P255" s="472" t="n"/>
      <c r="Q255" s="472" t="n"/>
      <c r="R255" s="472" t="n"/>
      <c r="S255" s="288" t="n"/>
      <c r="T255" s="284" t="n"/>
      <c r="U255" s="284" t="n"/>
      <c r="V255" s="285" t="n"/>
      <c r="W255" s="285" t="n"/>
      <c r="X255" s="285" t="n"/>
      <c r="Y255" s="285" t="n"/>
      <c r="Z255" s="285" t="n"/>
      <c r="AA255" s="285" t="n"/>
      <c r="AB255" s="285" t="n"/>
    </row>
    <row r="256" ht="15.75" customHeight="1" s="398">
      <c r="A256" s="317" t="n"/>
      <c r="B256" s="317" t="n"/>
      <c r="C256" s="318" t="n"/>
      <c r="D256" s="317" t="n"/>
      <c r="E256" s="315" t="n"/>
      <c r="F256" s="472" t="n"/>
      <c r="G256" s="472" t="n"/>
      <c r="H256" s="472" t="n"/>
      <c r="I256" s="472" t="n"/>
      <c r="J256" s="472" t="n"/>
      <c r="K256" s="472" t="n"/>
      <c r="L256" s="472" t="n"/>
      <c r="M256" s="472" t="n"/>
      <c r="N256" s="472" t="n"/>
      <c r="O256" s="472" t="n"/>
      <c r="P256" s="472" t="n"/>
      <c r="Q256" s="472" t="n"/>
      <c r="R256" s="472" t="n"/>
      <c r="S256" s="288" t="n"/>
      <c r="T256" s="284" t="n"/>
      <c r="U256" s="284" t="n"/>
      <c r="V256" s="285" t="n"/>
      <c r="W256" s="285" t="n"/>
      <c r="X256" s="285" t="n"/>
      <c r="Y256" s="285" t="n"/>
      <c r="Z256" s="285" t="n"/>
      <c r="AA256" s="285" t="n"/>
      <c r="AB256" s="285" t="n"/>
    </row>
    <row r="257" ht="15.75" customHeight="1" s="398">
      <c r="A257" s="317" t="n"/>
      <c r="B257" s="317" t="n"/>
      <c r="C257" s="318" t="n"/>
      <c r="D257" s="317" t="n"/>
      <c r="E257" s="315" t="n"/>
      <c r="F257" s="472" t="n"/>
      <c r="G257" s="472" t="n"/>
      <c r="H257" s="472" t="n"/>
      <c r="I257" s="472" t="n"/>
      <c r="J257" s="472" t="n"/>
      <c r="K257" s="472" t="n"/>
      <c r="L257" s="472" t="n"/>
      <c r="M257" s="472" t="n"/>
      <c r="N257" s="472" t="n"/>
      <c r="O257" s="472" t="n"/>
      <c r="P257" s="472" t="n"/>
      <c r="Q257" s="472" t="n"/>
      <c r="R257" s="472" t="n"/>
      <c r="S257" s="288" t="n"/>
      <c r="T257" s="284" t="n"/>
      <c r="U257" s="284" t="n"/>
      <c r="V257" s="285" t="n"/>
      <c r="W257" s="285" t="n"/>
      <c r="X257" s="285" t="n"/>
      <c r="Y257" s="285" t="n"/>
      <c r="Z257" s="285" t="n"/>
      <c r="AA257" s="285" t="n"/>
      <c r="AB257" s="285" t="n"/>
    </row>
    <row r="258" ht="15.75" customHeight="1" s="398">
      <c r="A258" s="317" t="n"/>
      <c r="B258" s="317" t="n"/>
      <c r="C258" s="318" t="n"/>
      <c r="D258" s="317" t="n"/>
      <c r="E258" s="315" t="n"/>
      <c r="F258" s="472" t="n"/>
      <c r="G258" s="472" t="n"/>
      <c r="H258" s="472" t="n"/>
      <c r="I258" s="472" t="n"/>
      <c r="J258" s="472" t="n"/>
      <c r="K258" s="472" t="n"/>
      <c r="L258" s="472" t="n"/>
      <c r="M258" s="472" t="n"/>
      <c r="N258" s="472" t="n"/>
      <c r="O258" s="472" t="n"/>
      <c r="P258" s="472" t="n"/>
      <c r="Q258" s="472" t="n"/>
      <c r="R258" s="472" t="n"/>
      <c r="S258" s="288" t="n"/>
      <c r="T258" s="284" t="n"/>
      <c r="U258" s="284" t="n"/>
      <c r="V258" s="285" t="n"/>
      <c r="W258" s="285" t="n"/>
      <c r="X258" s="285" t="n"/>
      <c r="Y258" s="285" t="n"/>
      <c r="Z258" s="285" t="n"/>
      <c r="AA258" s="285" t="n"/>
      <c r="AB258" s="285" t="n"/>
    </row>
    <row r="259" ht="15.75" customHeight="1" s="398">
      <c r="A259" s="317" t="n"/>
      <c r="B259" s="317" t="n"/>
      <c r="C259" s="318" t="n"/>
      <c r="D259" s="317" t="n"/>
      <c r="E259" s="315" t="n"/>
      <c r="F259" s="472" t="n"/>
      <c r="G259" s="472" t="n"/>
      <c r="H259" s="472" t="n"/>
      <c r="I259" s="472" t="n"/>
      <c r="J259" s="472" t="n"/>
      <c r="K259" s="472" t="n"/>
      <c r="L259" s="472" t="n"/>
      <c r="M259" s="472" t="n"/>
      <c r="N259" s="472" t="n"/>
      <c r="O259" s="472" t="n"/>
      <c r="P259" s="472" t="n"/>
      <c r="Q259" s="472" t="n"/>
      <c r="R259" s="472" t="n"/>
      <c r="S259" s="288" t="n"/>
      <c r="T259" s="284" t="n"/>
      <c r="U259" s="284" t="n"/>
      <c r="V259" s="285" t="n"/>
      <c r="W259" s="285" t="n"/>
      <c r="X259" s="285" t="n"/>
      <c r="Y259" s="285" t="n"/>
      <c r="Z259" s="285" t="n"/>
      <c r="AA259" s="285" t="n"/>
      <c r="AB259" s="285" t="n"/>
    </row>
    <row r="260" ht="15.75" customHeight="1" s="398">
      <c r="A260" s="317" t="n"/>
      <c r="B260" s="317" t="n"/>
      <c r="C260" s="318" t="n"/>
      <c r="D260" s="317" t="n"/>
      <c r="E260" s="315" t="n"/>
      <c r="F260" s="472" t="n"/>
      <c r="G260" s="472" t="n"/>
      <c r="H260" s="472" t="n"/>
      <c r="I260" s="472" t="n"/>
      <c r="J260" s="472" t="n"/>
      <c r="K260" s="472" t="n"/>
      <c r="L260" s="472" t="n"/>
      <c r="M260" s="472" t="n"/>
      <c r="N260" s="472" t="n"/>
      <c r="O260" s="472" t="n"/>
      <c r="P260" s="472" t="n"/>
      <c r="Q260" s="472" t="n"/>
      <c r="R260" s="472" t="n"/>
      <c r="S260" s="288" t="n"/>
      <c r="T260" s="284" t="n"/>
      <c r="U260" s="284" t="n"/>
      <c r="V260" s="285" t="n"/>
      <c r="W260" s="285" t="n"/>
      <c r="X260" s="285" t="n"/>
      <c r="Y260" s="285" t="n"/>
      <c r="Z260" s="285" t="n"/>
      <c r="AA260" s="285" t="n"/>
      <c r="AB260" s="285" t="n"/>
    </row>
    <row r="261" ht="15.75" customHeight="1" s="398">
      <c r="A261" s="317" t="n"/>
      <c r="B261" s="317" t="n"/>
      <c r="C261" s="318" t="n"/>
      <c r="D261" s="317" t="n"/>
      <c r="E261" s="315" t="n"/>
      <c r="F261" s="472" t="n"/>
      <c r="G261" s="472" t="n"/>
      <c r="H261" s="472" t="n"/>
      <c r="I261" s="472" t="n"/>
      <c r="J261" s="472" t="n"/>
      <c r="K261" s="472" t="n"/>
      <c r="L261" s="472" t="n"/>
      <c r="M261" s="472" t="n"/>
      <c r="N261" s="472" t="n"/>
      <c r="O261" s="472" t="n"/>
      <c r="P261" s="472" t="n"/>
      <c r="Q261" s="472" t="n"/>
      <c r="R261" s="472" t="n"/>
      <c r="S261" s="288" t="n"/>
      <c r="T261" s="284" t="n"/>
      <c r="U261" s="284" t="n"/>
      <c r="V261" s="285" t="n"/>
      <c r="W261" s="285" t="n"/>
      <c r="X261" s="285" t="n"/>
      <c r="Y261" s="285" t="n"/>
      <c r="Z261" s="285" t="n"/>
      <c r="AA261" s="285" t="n"/>
      <c r="AB261" s="285" t="n"/>
    </row>
    <row r="262" ht="15.75" customHeight="1" s="398">
      <c r="A262" s="317" t="n"/>
      <c r="B262" s="317" t="n"/>
      <c r="C262" s="318" t="n"/>
      <c r="D262" s="317" t="n"/>
      <c r="E262" s="315" t="n"/>
      <c r="F262" s="472" t="n"/>
      <c r="G262" s="472" t="n"/>
      <c r="H262" s="472" t="n"/>
      <c r="I262" s="472" t="n"/>
      <c r="J262" s="472" t="n"/>
      <c r="K262" s="472" t="n"/>
      <c r="L262" s="472" t="n"/>
      <c r="M262" s="472" t="n"/>
      <c r="N262" s="472" t="n"/>
      <c r="O262" s="472" t="n"/>
      <c r="P262" s="472" t="n"/>
      <c r="Q262" s="472" t="n"/>
      <c r="R262" s="472" t="n"/>
      <c r="S262" s="288" t="n"/>
      <c r="T262" s="284" t="n"/>
      <c r="U262" s="284" t="n"/>
      <c r="V262" s="285" t="n"/>
      <c r="W262" s="285" t="n"/>
      <c r="X262" s="285" t="n"/>
      <c r="Y262" s="285" t="n"/>
      <c r="Z262" s="285" t="n"/>
      <c r="AA262" s="285" t="n"/>
      <c r="AB262" s="285" t="n"/>
    </row>
    <row r="263" ht="15.75" customHeight="1" s="398">
      <c r="A263" s="317" t="n"/>
      <c r="B263" s="317" t="n"/>
      <c r="C263" s="318" t="n"/>
      <c r="D263" s="317" t="n"/>
      <c r="E263" s="315" t="n"/>
      <c r="F263" s="472" t="n"/>
      <c r="G263" s="472" t="n"/>
      <c r="H263" s="472" t="n"/>
      <c r="I263" s="472" t="n"/>
      <c r="J263" s="472" t="n"/>
      <c r="K263" s="472" t="n"/>
      <c r="L263" s="472" t="n"/>
      <c r="M263" s="472" t="n"/>
      <c r="N263" s="472" t="n"/>
      <c r="O263" s="472" t="n"/>
      <c r="P263" s="472" t="n"/>
      <c r="Q263" s="472" t="n"/>
      <c r="R263" s="472" t="n"/>
      <c r="S263" s="288" t="n"/>
      <c r="T263" s="284" t="n"/>
      <c r="U263" s="284" t="n"/>
      <c r="V263" s="285" t="n"/>
      <c r="W263" s="285" t="n"/>
      <c r="X263" s="285" t="n"/>
      <c r="Y263" s="285" t="n"/>
      <c r="Z263" s="285" t="n"/>
      <c r="AA263" s="285" t="n"/>
      <c r="AB263" s="285" t="n"/>
    </row>
    <row r="264" ht="15.75" customHeight="1" s="398">
      <c r="A264" s="317" t="n"/>
      <c r="B264" s="317" t="n"/>
      <c r="C264" s="318" t="n"/>
      <c r="D264" s="317" t="n"/>
      <c r="E264" s="315" t="n"/>
      <c r="F264" s="472" t="n"/>
      <c r="G264" s="472" t="n"/>
      <c r="H264" s="472" t="n"/>
      <c r="I264" s="472" t="n"/>
      <c r="J264" s="472" t="n"/>
      <c r="K264" s="472" t="n"/>
      <c r="L264" s="472" t="n"/>
      <c r="M264" s="472" t="n"/>
      <c r="N264" s="472" t="n"/>
      <c r="O264" s="472" t="n"/>
      <c r="P264" s="472" t="n"/>
      <c r="Q264" s="472" t="n"/>
      <c r="R264" s="472" t="n"/>
      <c r="S264" s="288" t="n"/>
      <c r="T264" s="284" t="n"/>
      <c r="U264" s="284" t="n"/>
      <c r="V264" s="285" t="n"/>
      <c r="W264" s="285" t="n"/>
      <c r="X264" s="285" t="n"/>
      <c r="Y264" s="285" t="n"/>
      <c r="Z264" s="285" t="n"/>
      <c r="AA264" s="285" t="n"/>
      <c r="AB264" s="285" t="n"/>
    </row>
    <row r="265" ht="15.75" customHeight="1" s="398">
      <c r="A265" s="317" t="n"/>
      <c r="B265" s="317" t="n"/>
      <c r="C265" s="318" t="n"/>
      <c r="D265" s="317" t="n"/>
      <c r="E265" s="315" t="n"/>
      <c r="F265" s="472" t="n"/>
      <c r="G265" s="472" t="n"/>
      <c r="H265" s="472" t="n"/>
      <c r="I265" s="472" t="n"/>
      <c r="J265" s="472" t="n"/>
      <c r="K265" s="472" t="n"/>
      <c r="L265" s="472" t="n"/>
      <c r="M265" s="472" t="n"/>
      <c r="N265" s="472" t="n"/>
      <c r="O265" s="472" t="n"/>
      <c r="P265" s="472" t="n"/>
      <c r="Q265" s="472" t="n"/>
      <c r="R265" s="472" t="n"/>
      <c r="S265" s="288" t="n"/>
      <c r="T265" s="284" t="n"/>
      <c r="U265" s="284" t="n"/>
      <c r="V265" s="285" t="n"/>
      <c r="W265" s="285" t="n"/>
      <c r="X265" s="285" t="n"/>
      <c r="Y265" s="285" t="n"/>
      <c r="Z265" s="285" t="n"/>
      <c r="AA265" s="285" t="n"/>
      <c r="AB265" s="285" t="n"/>
    </row>
    <row r="266" ht="15.75" customHeight="1" s="398">
      <c r="A266" s="317" t="n"/>
      <c r="B266" s="317" t="n"/>
      <c r="C266" s="318" t="n"/>
      <c r="D266" s="317" t="n"/>
      <c r="E266" s="315" t="n"/>
      <c r="F266" s="472" t="n"/>
      <c r="G266" s="472" t="n"/>
      <c r="H266" s="472" t="n"/>
      <c r="I266" s="472" t="n"/>
      <c r="J266" s="472" t="n"/>
      <c r="K266" s="472" t="n"/>
      <c r="L266" s="472" t="n"/>
      <c r="M266" s="472" t="n"/>
      <c r="N266" s="472" t="n"/>
      <c r="O266" s="472" t="n"/>
      <c r="P266" s="472" t="n"/>
      <c r="Q266" s="472" t="n"/>
      <c r="R266" s="472" t="n"/>
      <c r="S266" s="288" t="n"/>
      <c r="T266" s="284" t="n"/>
      <c r="U266" s="284" t="n"/>
      <c r="V266" s="285" t="n"/>
      <c r="W266" s="285" t="n"/>
      <c r="X266" s="285" t="n"/>
      <c r="Y266" s="285" t="n"/>
      <c r="Z266" s="285" t="n"/>
      <c r="AA266" s="285" t="n"/>
      <c r="AB266" s="285" t="n"/>
    </row>
    <row r="267" ht="15.75" customHeight="1" s="398">
      <c r="A267" s="317" t="n"/>
      <c r="B267" s="317" t="n"/>
      <c r="C267" s="318" t="n"/>
      <c r="D267" s="317" t="n"/>
      <c r="E267" s="315" t="n"/>
      <c r="F267" s="472" t="n"/>
      <c r="G267" s="472" t="n"/>
      <c r="H267" s="472" t="n"/>
      <c r="I267" s="472" t="n"/>
      <c r="J267" s="472" t="n"/>
      <c r="K267" s="472" t="n"/>
      <c r="L267" s="472" t="n"/>
      <c r="M267" s="472" t="n"/>
      <c r="N267" s="472" t="n"/>
      <c r="O267" s="472" t="n"/>
      <c r="P267" s="472" t="n"/>
      <c r="Q267" s="472" t="n"/>
      <c r="R267" s="472" t="n"/>
      <c r="S267" s="288" t="n"/>
      <c r="T267" s="284" t="n"/>
      <c r="U267" s="284" t="n"/>
      <c r="V267" s="285" t="n"/>
      <c r="W267" s="285" t="n"/>
      <c r="X267" s="285" t="n"/>
      <c r="Y267" s="285" t="n"/>
      <c r="Z267" s="285" t="n"/>
      <c r="AA267" s="285" t="n"/>
      <c r="AB267" s="285" t="n"/>
    </row>
    <row r="268" ht="15.75" customHeight="1" s="398">
      <c r="A268" s="317" t="n"/>
      <c r="B268" s="317" t="n"/>
      <c r="C268" s="318" t="n"/>
      <c r="D268" s="317" t="n"/>
      <c r="E268" s="315" t="n"/>
      <c r="F268" s="472" t="n"/>
      <c r="G268" s="472" t="n"/>
      <c r="H268" s="472" t="n"/>
      <c r="I268" s="472" t="n"/>
      <c r="J268" s="472" t="n"/>
      <c r="K268" s="472" t="n"/>
      <c r="L268" s="472" t="n"/>
      <c r="M268" s="472" t="n"/>
      <c r="N268" s="472" t="n"/>
      <c r="O268" s="472" t="n"/>
      <c r="P268" s="472" t="n"/>
      <c r="Q268" s="472" t="n"/>
      <c r="R268" s="472" t="n"/>
      <c r="S268" s="288" t="n"/>
      <c r="T268" s="284" t="n"/>
      <c r="U268" s="284" t="n"/>
      <c r="V268" s="285" t="n"/>
      <c r="W268" s="285" t="n"/>
      <c r="X268" s="285" t="n"/>
      <c r="Y268" s="285" t="n"/>
      <c r="Z268" s="285" t="n"/>
      <c r="AA268" s="285" t="n"/>
      <c r="AB268" s="285" t="n"/>
    </row>
    <row r="269" ht="15.75" customHeight="1" s="398">
      <c r="A269" s="317" t="n"/>
      <c r="B269" s="317" t="n"/>
      <c r="C269" s="318" t="n"/>
      <c r="D269" s="317" t="n"/>
      <c r="E269" s="315" t="n"/>
      <c r="F269" s="472" t="n"/>
      <c r="G269" s="472" t="n"/>
      <c r="H269" s="472" t="n"/>
      <c r="I269" s="472" t="n"/>
      <c r="J269" s="472" t="n"/>
      <c r="K269" s="472" t="n"/>
      <c r="L269" s="472" t="n"/>
      <c r="M269" s="472" t="n"/>
      <c r="N269" s="472" t="n"/>
      <c r="O269" s="472" t="n"/>
      <c r="P269" s="472" t="n"/>
      <c r="Q269" s="472" t="n"/>
      <c r="R269" s="472" t="n"/>
      <c r="S269" s="288" t="n"/>
      <c r="T269" s="284" t="n"/>
      <c r="U269" s="284" t="n"/>
      <c r="V269" s="285" t="n"/>
      <c r="W269" s="285" t="n"/>
      <c r="X269" s="285" t="n"/>
      <c r="Y269" s="285" t="n"/>
      <c r="Z269" s="285" t="n"/>
      <c r="AA269" s="285" t="n"/>
      <c r="AB269" s="285" t="n"/>
    </row>
    <row r="270" ht="15.75" customHeight="1" s="398">
      <c r="A270" s="317" t="n"/>
      <c r="B270" s="317" t="n"/>
      <c r="C270" s="318" t="n"/>
      <c r="D270" s="317" t="n"/>
      <c r="E270" s="315" t="n"/>
      <c r="F270" s="472" t="n"/>
      <c r="G270" s="472" t="n"/>
      <c r="H270" s="472" t="n"/>
      <c r="I270" s="472" t="n"/>
      <c r="J270" s="472" t="n"/>
      <c r="K270" s="472" t="n"/>
      <c r="L270" s="472" t="n"/>
      <c r="M270" s="472" t="n"/>
      <c r="N270" s="472" t="n"/>
      <c r="O270" s="472" t="n"/>
      <c r="P270" s="472" t="n"/>
      <c r="Q270" s="472" t="n"/>
      <c r="R270" s="472" t="n"/>
      <c r="S270" s="288" t="n"/>
      <c r="T270" s="284" t="n"/>
      <c r="U270" s="284" t="n"/>
      <c r="V270" s="285" t="n"/>
      <c r="W270" s="285" t="n"/>
      <c r="X270" s="285" t="n"/>
      <c r="Y270" s="285" t="n"/>
      <c r="Z270" s="285" t="n"/>
      <c r="AA270" s="285" t="n"/>
      <c r="AB270" s="285" t="n"/>
    </row>
    <row r="271" ht="15.75" customHeight="1" s="398">
      <c r="A271" s="284" t="n"/>
      <c r="B271" s="285" t="n"/>
      <c r="C271" s="368" t="n"/>
      <c r="D271" s="336" t="n"/>
      <c r="E271" s="284" t="n"/>
      <c r="F271" s="472" t="n"/>
      <c r="G271" s="472" t="n"/>
      <c r="H271" s="472" t="n"/>
      <c r="I271" s="472" t="n"/>
      <c r="J271" s="472" t="n"/>
      <c r="K271" s="472" t="n"/>
      <c r="L271" s="472" t="n"/>
      <c r="M271" s="472" t="n"/>
      <c r="N271" s="472" t="n"/>
      <c r="O271" s="472" t="n"/>
      <c r="P271" s="472" t="n"/>
      <c r="Q271" s="472" t="n"/>
      <c r="R271" s="472" t="n"/>
      <c r="S271" s="285" t="n"/>
      <c r="T271" s="284" t="n"/>
      <c r="U271" s="284" t="n"/>
      <c r="V271" s="285" t="n"/>
      <c r="W271" s="285" t="n"/>
      <c r="X271" s="285" t="n"/>
      <c r="Y271" s="285" t="n"/>
      <c r="Z271" s="285" t="n"/>
      <c r="AA271" s="285" t="n"/>
      <c r="AB271" s="285" t="n"/>
    </row>
    <row r="272" ht="15.75" customHeight="1" s="398">
      <c r="A272" s="284" t="n"/>
      <c r="B272" s="285" t="n"/>
      <c r="C272" s="368" t="n"/>
      <c r="D272" s="336" t="n"/>
      <c r="E272" s="284" t="n"/>
      <c r="F272" s="472" t="n"/>
      <c r="G272" s="472" t="n"/>
      <c r="H272" s="472" t="n"/>
      <c r="I272" s="472" t="n"/>
      <c r="J272" s="472" t="n"/>
      <c r="K272" s="472" t="n"/>
      <c r="L272" s="472" t="n"/>
      <c r="M272" s="472" t="n"/>
      <c r="N272" s="472" t="n"/>
      <c r="O272" s="472" t="n"/>
      <c r="P272" s="472" t="n"/>
      <c r="Q272" s="472" t="n"/>
      <c r="R272" s="472" t="n"/>
      <c r="S272" s="285" t="n"/>
      <c r="T272" s="284" t="n"/>
      <c r="U272" s="284" t="n"/>
      <c r="V272" s="285" t="n"/>
      <c r="W272" s="285" t="n"/>
      <c r="X272" s="285" t="n"/>
      <c r="Y272" s="285" t="n"/>
      <c r="Z272" s="285" t="n"/>
      <c r="AA272" s="285" t="n"/>
      <c r="AB272" s="285" t="n"/>
    </row>
    <row r="273" ht="15.75" customHeight="1" s="398">
      <c r="A273" s="284" t="n"/>
      <c r="B273" s="285" t="n"/>
      <c r="C273" s="368" t="n"/>
      <c r="D273" s="336" t="n"/>
      <c r="E273" s="284" t="n"/>
      <c r="F273" s="472" t="n"/>
      <c r="G273" s="472" t="n"/>
      <c r="H273" s="472" t="n"/>
      <c r="I273" s="472" t="n"/>
      <c r="J273" s="472" t="n"/>
      <c r="K273" s="472" t="n"/>
      <c r="L273" s="472" t="n"/>
      <c r="M273" s="472" t="n"/>
      <c r="N273" s="472" t="n"/>
      <c r="O273" s="472" t="n"/>
      <c r="P273" s="472" t="n"/>
      <c r="Q273" s="472" t="n"/>
      <c r="R273" s="472" t="n"/>
      <c r="S273" s="285" t="n"/>
      <c r="T273" s="284" t="n"/>
      <c r="U273" s="284" t="n"/>
      <c r="V273" s="285" t="n"/>
      <c r="W273" s="285" t="n"/>
      <c r="X273" s="285" t="n"/>
      <c r="Y273" s="285" t="n"/>
      <c r="Z273" s="285" t="n"/>
      <c r="AA273" s="285" t="n"/>
      <c r="AB273" s="285" t="n"/>
    </row>
    <row r="274" ht="15.75" customHeight="1" s="398">
      <c r="A274" s="284" t="n"/>
      <c r="B274" s="285" t="n"/>
      <c r="C274" s="368" t="n"/>
      <c r="D274" s="336" t="n"/>
      <c r="E274" s="284" t="n"/>
      <c r="F274" s="472" t="n"/>
      <c r="G274" s="472" t="n"/>
      <c r="H274" s="472" t="n"/>
      <c r="I274" s="472" t="n"/>
      <c r="J274" s="472" t="n"/>
      <c r="K274" s="472" t="n"/>
      <c r="L274" s="472" t="n"/>
      <c r="M274" s="472" t="n"/>
      <c r="N274" s="472" t="n"/>
      <c r="O274" s="472" t="n"/>
      <c r="P274" s="472" t="n"/>
      <c r="Q274" s="472" t="n"/>
      <c r="R274" s="472" t="n"/>
      <c r="S274" s="285" t="n"/>
      <c r="T274" s="284" t="n"/>
      <c r="U274" s="284" t="n"/>
      <c r="V274" s="285" t="n"/>
      <c r="W274" s="285" t="n"/>
      <c r="X274" s="285" t="n"/>
      <c r="Y274" s="285" t="n"/>
      <c r="Z274" s="285" t="n"/>
      <c r="AA274" s="285" t="n"/>
      <c r="AB274" s="285" t="n"/>
    </row>
    <row r="275" ht="15.75" customHeight="1" s="398">
      <c r="A275" s="284" t="n"/>
      <c r="B275" s="285" t="n"/>
      <c r="C275" s="368" t="n"/>
      <c r="D275" s="336" t="n"/>
      <c r="E275" s="284" t="n"/>
      <c r="F275" s="472" t="n"/>
      <c r="G275" s="472" t="n"/>
      <c r="H275" s="472" t="n"/>
      <c r="I275" s="472" t="n"/>
      <c r="J275" s="472" t="n"/>
      <c r="K275" s="472" t="n"/>
      <c r="L275" s="472" t="n"/>
      <c r="M275" s="472" t="n"/>
      <c r="N275" s="472" t="n"/>
      <c r="O275" s="472" t="n"/>
      <c r="P275" s="472" t="n"/>
      <c r="Q275" s="472" t="n"/>
      <c r="R275" s="472" t="n"/>
      <c r="S275" s="285" t="n"/>
      <c r="T275" s="284" t="n"/>
      <c r="U275" s="284" t="n"/>
      <c r="V275" s="285" t="n"/>
      <c r="W275" s="285" t="n"/>
      <c r="X275" s="285" t="n"/>
      <c r="Y275" s="285" t="n"/>
      <c r="Z275" s="285" t="n"/>
      <c r="AA275" s="285" t="n"/>
      <c r="AB275" s="285" t="n"/>
    </row>
    <row r="276" ht="15.75" customHeight="1" s="398">
      <c r="A276" s="284" t="n"/>
      <c r="B276" s="285" t="n"/>
      <c r="C276" s="368" t="n"/>
      <c r="D276" s="336" t="n"/>
      <c r="E276" s="284" t="n"/>
      <c r="F276" s="472" t="n"/>
      <c r="G276" s="472" t="n"/>
      <c r="H276" s="472" t="n"/>
      <c r="I276" s="472" t="n"/>
      <c r="J276" s="472" t="n"/>
      <c r="K276" s="472" t="n"/>
      <c r="L276" s="472" t="n"/>
      <c r="M276" s="472" t="n"/>
      <c r="N276" s="472" t="n"/>
      <c r="O276" s="472" t="n"/>
      <c r="P276" s="472" t="n"/>
      <c r="Q276" s="472" t="n"/>
      <c r="R276" s="472" t="n"/>
      <c r="S276" s="285" t="n"/>
      <c r="T276" s="284" t="n"/>
      <c r="U276" s="284" t="n"/>
      <c r="V276" s="285" t="n"/>
      <c r="W276" s="285" t="n"/>
      <c r="X276" s="285" t="n"/>
      <c r="Y276" s="285" t="n"/>
      <c r="Z276" s="285" t="n"/>
      <c r="AA276" s="285" t="n"/>
      <c r="AB276" s="285" t="n"/>
    </row>
    <row r="277" ht="15.75" customHeight="1" s="398">
      <c r="A277" s="284" t="n"/>
      <c r="B277" s="285" t="n"/>
      <c r="C277" s="368" t="n"/>
      <c r="D277" s="336" t="n"/>
      <c r="E277" s="284" t="n"/>
      <c r="F277" s="472" t="n"/>
      <c r="G277" s="472" t="n"/>
      <c r="H277" s="472" t="n"/>
      <c r="I277" s="472" t="n"/>
      <c r="J277" s="472" t="n"/>
      <c r="K277" s="472" t="n"/>
      <c r="L277" s="472" t="n"/>
      <c r="M277" s="472" t="n"/>
      <c r="N277" s="472" t="n"/>
      <c r="O277" s="472" t="n"/>
      <c r="P277" s="472" t="n"/>
      <c r="Q277" s="472" t="n"/>
      <c r="R277" s="472" t="n"/>
      <c r="S277" s="285" t="n"/>
      <c r="T277" s="284" t="n"/>
      <c r="U277" s="284" t="n"/>
      <c r="V277" s="285" t="n"/>
      <c r="W277" s="285" t="n"/>
      <c r="X277" s="285" t="n"/>
      <c r="Y277" s="285" t="n"/>
      <c r="Z277" s="285" t="n"/>
      <c r="AA277" s="285" t="n"/>
      <c r="AB277" s="285" t="n"/>
    </row>
    <row r="278" ht="15.75" customHeight="1" s="398">
      <c r="A278" s="284" t="n"/>
      <c r="B278" s="285" t="n"/>
      <c r="C278" s="368" t="n"/>
      <c r="D278" s="336" t="n"/>
      <c r="E278" s="284" t="n"/>
      <c r="F278" s="472" t="n"/>
      <c r="G278" s="472" t="n"/>
      <c r="H278" s="472" t="n"/>
      <c r="I278" s="472" t="n"/>
      <c r="J278" s="472" t="n"/>
      <c r="K278" s="472" t="n"/>
      <c r="L278" s="472" t="n"/>
      <c r="M278" s="472" t="n"/>
      <c r="N278" s="472" t="n"/>
      <c r="O278" s="472" t="n"/>
      <c r="P278" s="472" t="n"/>
      <c r="Q278" s="472" t="n"/>
      <c r="R278" s="472" t="n"/>
      <c r="S278" s="285" t="n"/>
      <c r="T278" s="284" t="n"/>
      <c r="U278" s="284" t="n"/>
      <c r="V278" s="285" t="n"/>
      <c r="W278" s="285" t="n"/>
      <c r="X278" s="285" t="n"/>
      <c r="Y278" s="285" t="n"/>
      <c r="Z278" s="285" t="n"/>
      <c r="AA278" s="285" t="n"/>
      <c r="AB278" s="285" t="n"/>
    </row>
    <row r="279" ht="15.75" customHeight="1" s="398">
      <c r="A279" s="284" t="n"/>
      <c r="B279" s="285" t="n"/>
      <c r="C279" s="368" t="n"/>
      <c r="D279" s="336" t="n"/>
      <c r="E279" s="284" t="n"/>
      <c r="F279" s="472" t="n"/>
      <c r="G279" s="472" t="n"/>
      <c r="H279" s="472" t="n"/>
      <c r="I279" s="472" t="n"/>
      <c r="J279" s="472" t="n"/>
      <c r="K279" s="472" t="n"/>
      <c r="L279" s="472" t="n"/>
      <c r="M279" s="472" t="n"/>
      <c r="N279" s="472" t="n"/>
      <c r="O279" s="472" t="n"/>
      <c r="P279" s="472" t="n"/>
      <c r="Q279" s="472" t="n"/>
      <c r="R279" s="472" t="n"/>
      <c r="S279" s="285" t="n"/>
      <c r="T279" s="284" t="n"/>
      <c r="U279" s="284" t="n"/>
      <c r="V279" s="285" t="n"/>
      <c r="W279" s="285" t="n"/>
      <c r="X279" s="285" t="n"/>
      <c r="Y279" s="285" t="n"/>
      <c r="Z279" s="285" t="n"/>
      <c r="AA279" s="285" t="n"/>
      <c r="AB279" s="285" t="n"/>
    </row>
    <row r="280" ht="15.75" customHeight="1" s="398">
      <c r="A280" s="284" t="n"/>
      <c r="B280" s="285" t="n"/>
      <c r="C280" s="368" t="n"/>
      <c r="D280" s="336" t="n"/>
      <c r="E280" s="284" t="n"/>
      <c r="F280" s="472" t="n"/>
      <c r="G280" s="472" t="n"/>
      <c r="H280" s="472" t="n"/>
      <c r="I280" s="472" t="n"/>
      <c r="J280" s="472" t="n"/>
      <c r="K280" s="472" t="n"/>
      <c r="L280" s="472" t="n"/>
      <c r="M280" s="472" t="n"/>
      <c r="N280" s="472" t="n"/>
      <c r="O280" s="472" t="n"/>
      <c r="P280" s="472" t="n"/>
      <c r="Q280" s="472" t="n"/>
      <c r="R280" s="472" t="n"/>
      <c r="S280" s="285" t="n"/>
      <c r="T280" s="284" t="n"/>
      <c r="U280" s="284" t="n"/>
      <c r="V280" s="285" t="n"/>
      <c r="W280" s="285" t="n"/>
      <c r="X280" s="285" t="n"/>
      <c r="Y280" s="285" t="n"/>
      <c r="Z280" s="285" t="n"/>
      <c r="AA280" s="285" t="n"/>
      <c r="AB280" s="285" t="n"/>
    </row>
    <row r="281" ht="15.75" customHeight="1" s="398">
      <c r="A281" s="284" t="n"/>
      <c r="B281" s="285" t="n"/>
      <c r="C281" s="368" t="n"/>
      <c r="D281" s="336" t="n"/>
      <c r="E281" s="284" t="n"/>
      <c r="F281" s="472" t="n"/>
      <c r="G281" s="472" t="n"/>
      <c r="H281" s="472" t="n"/>
      <c r="I281" s="472" t="n"/>
      <c r="J281" s="472" t="n"/>
      <c r="K281" s="472" t="n"/>
      <c r="L281" s="472" t="n"/>
      <c r="M281" s="472" t="n"/>
      <c r="N281" s="472" t="n"/>
      <c r="O281" s="472" t="n"/>
      <c r="P281" s="472" t="n"/>
      <c r="Q281" s="472" t="n"/>
      <c r="R281" s="472" t="n"/>
      <c r="S281" s="285" t="n"/>
      <c r="T281" s="284" t="n"/>
      <c r="U281" s="284" t="n"/>
      <c r="V281" s="285" t="n"/>
      <c r="W281" s="285" t="n"/>
      <c r="X281" s="285" t="n"/>
      <c r="Y281" s="285" t="n"/>
      <c r="Z281" s="285" t="n"/>
      <c r="AA281" s="285" t="n"/>
      <c r="AB281" s="285" t="n"/>
    </row>
    <row r="282" ht="15.75" customHeight="1" s="398">
      <c r="A282" s="284" t="n"/>
      <c r="B282" s="285" t="n"/>
      <c r="C282" s="368" t="n"/>
      <c r="D282" s="336" t="n"/>
      <c r="E282" s="284" t="n"/>
      <c r="F282" s="472" t="n"/>
      <c r="G282" s="472" t="n"/>
      <c r="H282" s="472" t="n"/>
      <c r="I282" s="472" t="n"/>
      <c r="J282" s="472" t="n"/>
      <c r="K282" s="472" t="n"/>
      <c r="L282" s="472" t="n"/>
      <c r="M282" s="472" t="n"/>
      <c r="N282" s="472" t="n"/>
      <c r="O282" s="472" t="n"/>
      <c r="P282" s="472" t="n"/>
      <c r="Q282" s="472" t="n"/>
      <c r="R282" s="472" t="n"/>
      <c r="S282" s="285" t="n"/>
      <c r="T282" s="284" t="n"/>
      <c r="U282" s="284" t="n"/>
      <c r="V282" s="285" t="n"/>
      <c r="W282" s="285" t="n"/>
      <c r="X282" s="285" t="n"/>
      <c r="Y282" s="285" t="n"/>
      <c r="Z282" s="285" t="n"/>
      <c r="AA282" s="285" t="n"/>
      <c r="AB282" s="285" t="n"/>
    </row>
    <row r="283" ht="15.75" customHeight="1" s="398">
      <c r="A283" s="284" t="n"/>
      <c r="B283" s="285" t="n"/>
      <c r="C283" s="368" t="n"/>
      <c r="D283" s="336" t="n"/>
      <c r="E283" s="284" t="n"/>
      <c r="F283" s="472" t="n"/>
      <c r="G283" s="472" t="n"/>
      <c r="H283" s="472" t="n"/>
      <c r="I283" s="472" t="n"/>
      <c r="J283" s="472" t="n"/>
      <c r="K283" s="472" t="n"/>
      <c r="L283" s="472" t="n"/>
      <c r="M283" s="472" t="n"/>
      <c r="N283" s="472" t="n"/>
      <c r="O283" s="472" t="n"/>
      <c r="P283" s="472" t="n"/>
      <c r="Q283" s="472" t="n"/>
      <c r="R283" s="472" t="n"/>
      <c r="S283" s="285" t="n"/>
      <c r="T283" s="284" t="n"/>
      <c r="U283" s="284" t="n"/>
      <c r="V283" s="285" t="n"/>
      <c r="W283" s="285" t="n"/>
      <c r="X283" s="285" t="n"/>
      <c r="Y283" s="285" t="n"/>
      <c r="Z283" s="285" t="n"/>
      <c r="AA283" s="285" t="n"/>
      <c r="AB283" s="285" t="n"/>
    </row>
    <row r="284" ht="15.75" customHeight="1" s="398">
      <c r="A284" s="284" t="n"/>
      <c r="B284" s="285" t="n"/>
      <c r="C284" s="368" t="n"/>
      <c r="D284" s="336" t="n"/>
      <c r="E284" s="284" t="n"/>
      <c r="F284" s="472" t="n"/>
      <c r="G284" s="472" t="n"/>
      <c r="H284" s="472" t="n"/>
      <c r="I284" s="472" t="n"/>
      <c r="J284" s="472" t="n"/>
      <c r="K284" s="472" t="n"/>
      <c r="L284" s="472" t="n"/>
      <c r="M284" s="472" t="n"/>
      <c r="N284" s="472" t="n"/>
      <c r="O284" s="472" t="n"/>
      <c r="P284" s="472" t="n"/>
      <c r="Q284" s="472" t="n"/>
      <c r="R284" s="472" t="n"/>
      <c r="S284" s="285" t="n"/>
      <c r="T284" s="284" t="n"/>
      <c r="U284" s="284" t="n"/>
      <c r="V284" s="285" t="n"/>
      <c r="W284" s="285" t="n"/>
      <c r="X284" s="285" t="n"/>
      <c r="Y284" s="285" t="n"/>
      <c r="Z284" s="285" t="n"/>
      <c r="AA284" s="285" t="n"/>
      <c r="AB284" s="285" t="n"/>
    </row>
    <row r="285" ht="15.75" customHeight="1" s="398">
      <c r="A285" s="284" t="n"/>
      <c r="B285" s="285" t="n"/>
      <c r="C285" s="368" t="n"/>
      <c r="D285" s="336" t="n"/>
      <c r="E285" s="284" t="n"/>
      <c r="F285" s="472" t="n"/>
      <c r="G285" s="472" t="n"/>
      <c r="H285" s="472" t="n"/>
      <c r="I285" s="472" t="n"/>
      <c r="J285" s="472" t="n"/>
      <c r="K285" s="472" t="n"/>
      <c r="L285" s="472" t="n"/>
      <c r="M285" s="472" t="n"/>
      <c r="N285" s="472" t="n"/>
      <c r="O285" s="472" t="n"/>
      <c r="P285" s="472" t="n"/>
      <c r="Q285" s="472" t="n"/>
      <c r="R285" s="472" t="n"/>
      <c r="S285" s="285" t="n"/>
      <c r="T285" s="284" t="n"/>
      <c r="U285" s="284" t="n"/>
      <c r="V285" s="285" t="n"/>
      <c r="W285" s="285" t="n"/>
      <c r="X285" s="285" t="n"/>
      <c r="Y285" s="285" t="n"/>
      <c r="Z285" s="285" t="n"/>
      <c r="AA285" s="285" t="n"/>
      <c r="AB285" s="285" t="n"/>
    </row>
    <row r="286" ht="15.75" customHeight="1" s="398">
      <c r="A286" s="284" t="n"/>
      <c r="B286" s="285" t="n"/>
      <c r="C286" s="368" t="n"/>
      <c r="D286" s="336" t="n"/>
      <c r="E286" s="284" t="n"/>
      <c r="F286" s="472" t="n"/>
      <c r="G286" s="472" t="n"/>
      <c r="H286" s="472" t="n"/>
      <c r="I286" s="472" t="n"/>
      <c r="J286" s="472" t="n"/>
      <c r="K286" s="472" t="n"/>
      <c r="L286" s="472" t="n"/>
      <c r="M286" s="472" t="n"/>
      <c r="N286" s="472" t="n"/>
      <c r="O286" s="472" t="n"/>
      <c r="P286" s="472" t="n"/>
      <c r="Q286" s="472" t="n"/>
      <c r="R286" s="472" t="n"/>
      <c r="S286" s="285" t="n"/>
      <c r="T286" s="284" t="n"/>
      <c r="U286" s="284" t="n"/>
      <c r="V286" s="285" t="n"/>
      <c r="W286" s="285" t="n"/>
      <c r="X286" s="285" t="n"/>
      <c r="Y286" s="285" t="n"/>
      <c r="Z286" s="285" t="n"/>
      <c r="AA286" s="285" t="n"/>
      <c r="AB286" s="285" t="n"/>
    </row>
    <row r="287" ht="15.75" customHeight="1" s="398">
      <c r="A287" s="284" t="n"/>
      <c r="B287" s="285" t="n"/>
      <c r="C287" s="368" t="n"/>
      <c r="D287" s="336" t="n"/>
      <c r="E287" s="284" t="n"/>
      <c r="F287" s="472" t="n"/>
      <c r="G287" s="472" t="n"/>
      <c r="H287" s="472" t="n"/>
      <c r="I287" s="472" t="n"/>
      <c r="J287" s="472" t="n"/>
      <c r="K287" s="472" t="n"/>
      <c r="L287" s="472" t="n"/>
      <c r="M287" s="472" t="n"/>
      <c r="N287" s="472" t="n"/>
      <c r="O287" s="472" t="n"/>
      <c r="P287" s="472" t="n"/>
      <c r="Q287" s="472" t="n"/>
      <c r="R287" s="472" t="n"/>
      <c r="S287" s="285" t="n"/>
      <c r="T287" s="284" t="n"/>
      <c r="U287" s="284" t="n"/>
      <c r="V287" s="285" t="n"/>
      <c r="W287" s="285" t="n"/>
      <c r="X287" s="285" t="n"/>
      <c r="Y287" s="285" t="n"/>
      <c r="Z287" s="285" t="n"/>
      <c r="AA287" s="285" t="n"/>
      <c r="AB287" s="285" t="n"/>
    </row>
    <row r="288" ht="15.75" customHeight="1" s="398">
      <c r="A288" s="284" t="n"/>
      <c r="B288" s="285" t="n"/>
      <c r="C288" s="368" t="n"/>
      <c r="D288" s="336" t="n"/>
      <c r="E288" s="284" t="n"/>
      <c r="F288" s="472" t="n"/>
      <c r="G288" s="472" t="n"/>
      <c r="H288" s="472" t="n"/>
      <c r="I288" s="472" t="n"/>
      <c r="J288" s="472" t="n"/>
      <c r="K288" s="472" t="n"/>
      <c r="L288" s="472" t="n"/>
      <c r="M288" s="472" t="n"/>
      <c r="N288" s="472" t="n"/>
      <c r="O288" s="472" t="n"/>
      <c r="P288" s="472" t="n"/>
      <c r="Q288" s="472" t="n"/>
      <c r="R288" s="472" t="n"/>
      <c r="S288" s="285" t="n"/>
      <c r="T288" s="284" t="n"/>
      <c r="U288" s="284" t="n"/>
      <c r="V288" s="285" t="n"/>
      <c r="W288" s="285" t="n"/>
      <c r="X288" s="285" t="n"/>
      <c r="Y288" s="285" t="n"/>
      <c r="Z288" s="285" t="n"/>
      <c r="AA288" s="285" t="n"/>
      <c r="AB288" s="285" t="n"/>
    </row>
    <row r="289" ht="15.75" customHeight="1" s="398">
      <c r="A289" s="284" t="n"/>
      <c r="B289" s="285" t="n"/>
      <c r="C289" s="368" t="n"/>
      <c r="D289" s="336" t="n"/>
      <c r="E289" s="284" t="n"/>
      <c r="F289" s="472" t="n"/>
      <c r="G289" s="472" t="n"/>
      <c r="H289" s="472" t="n"/>
      <c r="I289" s="472" t="n"/>
      <c r="J289" s="472" t="n"/>
      <c r="K289" s="472" t="n"/>
      <c r="L289" s="472" t="n"/>
      <c r="M289" s="472" t="n"/>
      <c r="N289" s="472" t="n"/>
      <c r="O289" s="472" t="n"/>
      <c r="P289" s="472" t="n"/>
      <c r="Q289" s="472" t="n"/>
      <c r="R289" s="472" t="n"/>
      <c r="S289" s="285" t="n"/>
      <c r="T289" s="284" t="n"/>
      <c r="U289" s="284" t="n"/>
      <c r="V289" s="285" t="n"/>
      <c r="W289" s="285" t="n"/>
      <c r="X289" s="285" t="n"/>
      <c r="Y289" s="285" t="n"/>
      <c r="Z289" s="285" t="n"/>
      <c r="AA289" s="285" t="n"/>
      <c r="AB289" s="285" t="n"/>
    </row>
    <row r="290" ht="15.75" customHeight="1" s="398">
      <c r="A290" s="284" t="n"/>
      <c r="B290" s="285" t="n"/>
      <c r="C290" s="368" t="n"/>
      <c r="D290" s="336" t="n"/>
      <c r="E290" s="284" t="n"/>
      <c r="F290" s="472" t="n"/>
      <c r="G290" s="472" t="n"/>
      <c r="H290" s="472" t="n"/>
      <c r="I290" s="472" t="n"/>
      <c r="J290" s="472" t="n"/>
      <c r="K290" s="472" t="n"/>
      <c r="L290" s="472" t="n"/>
      <c r="M290" s="472" t="n"/>
      <c r="N290" s="472" t="n"/>
      <c r="O290" s="472" t="n"/>
      <c r="P290" s="472" t="n"/>
      <c r="Q290" s="472" t="n"/>
      <c r="R290" s="472" t="n"/>
      <c r="S290" s="285" t="n"/>
      <c r="T290" s="284" t="n"/>
      <c r="U290" s="284" t="n"/>
      <c r="V290" s="285" t="n"/>
      <c r="W290" s="285" t="n"/>
      <c r="X290" s="285" t="n"/>
      <c r="Y290" s="285" t="n"/>
      <c r="Z290" s="285" t="n"/>
      <c r="AA290" s="285" t="n"/>
      <c r="AB290" s="285" t="n"/>
    </row>
    <row r="291" ht="15.75" customHeight="1" s="398">
      <c r="A291" s="284" t="n"/>
      <c r="B291" s="285" t="n"/>
      <c r="C291" s="368" t="n"/>
      <c r="D291" s="336" t="n"/>
      <c r="E291" s="284" t="n"/>
      <c r="F291" s="472" t="n"/>
      <c r="G291" s="472" t="n"/>
      <c r="H291" s="472" t="n"/>
      <c r="I291" s="472" t="n"/>
      <c r="J291" s="472" t="n"/>
      <c r="K291" s="472" t="n"/>
      <c r="L291" s="472" t="n"/>
      <c r="M291" s="472" t="n"/>
      <c r="N291" s="472" t="n"/>
      <c r="O291" s="472" t="n"/>
      <c r="P291" s="472" t="n"/>
      <c r="Q291" s="472" t="n"/>
      <c r="R291" s="472" t="n"/>
      <c r="S291" s="285" t="n"/>
      <c r="T291" s="284" t="n"/>
      <c r="U291" s="284" t="n"/>
      <c r="V291" s="285" t="n"/>
      <c r="W291" s="285" t="n"/>
      <c r="X291" s="285" t="n"/>
      <c r="Y291" s="285" t="n"/>
      <c r="Z291" s="285" t="n"/>
      <c r="AA291" s="285" t="n"/>
      <c r="AB291" s="285" t="n"/>
    </row>
    <row r="292" ht="15.75" customHeight="1" s="398">
      <c r="A292" s="284" t="n"/>
      <c r="B292" s="285" t="n"/>
      <c r="C292" s="368" t="n"/>
      <c r="D292" s="336" t="n"/>
      <c r="E292" s="284" t="n"/>
      <c r="F292" s="472" t="n"/>
      <c r="G292" s="472" t="n"/>
      <c r="H292" s="472" t="n"/>
      <c r="I292" s="472" t="n"/>
      <c r="J292" s="472" t="n"/>
      <c r="K292" s="472" t="n"/>
      <c r="L292" s="472" t="n"/>
      <c r="M292" s="472" t="n"/>
      <c r="N292" s="472" t="n"/>
      <c r="O292" s="472" t="n"/>
      <c r="P292" s="472" t="n"/>
      <c r="Q292" s="472" t="n"/>
      <c r="R292" s="472" t="n"/>
      <c r="S292" s="285" t="n"/>
      <c r="T292" s="284" t="n"/>
      <c r="U292" s="284" t="n"/>
      <c r="V292" s="285" t="n"/>
      <c r="W292" s="285" t="n"/>
      <c r="X292" s="285" t="n"/>
      <c r="Y292" s="285" t="n"/>
      <c r="Z292" s="285" t="n"/>
      <c r="AA292" s="285" t="n"/>
      <c r="AB292" s="285" t="n"/>
    </row>
    <row r="293" ht="15.75" customHeight="1" s="398">
      <c r="A293" s="284" t="n"/>
      <c r="B293" s="285" t="n"/>
      <c r="C293" s="368" t="n"/>
      <c r="D293" s="336" t="n"/>
      <c r="E293" s="284" t="n"/>
      <c r="F293" s="472" t="n"/>
      <c r="G293" s="472" t="n"/>
      <c r="H293" s="472" t="n"/>
      <c r="I293" s="472" t="n"/>
      <c r="J293" s="472" t="n"/>
      <c r="K293" s="472" t="n"/>
      <c r="L293" s="472" t="n"/>
      <c r="M293" s="472" t="n"/>
      <c r="N293" s="472" t="n"/>
      <c r="O293" s="472" t="n"/>
      <c r="P293" s="472" t="n"/>
      <c r="Q293" s="472" t="n"/>
      <c r="R293" s="472" t="n"/>
      <c r="S293" s="285" t="n"/>
      <c r="T293" s="284" t="n"/>
      <c r="U293" s="284" t="n"/>
      <c r="V293" s="285" t="n"/>
      <c r="W293" s="285" t="n"/>
      <c r="X293" s="285" t="n"/>
      <c r="Y293" s="285" t="n"/>
      <c r="Z293" s="285" t="n"/>
      <c r="AA293" s="285" t="n"/>
      <c r="AB293" s="285" t="n"/>
    </row>
    <row r="294" ht="15.75" customHeight="1" s="398">
      <c r="A294" s="284" t="n"/>
      <c r="B294" s="285" t="n"/>
      <c r="C294" s="368" t="n"/>
      <c r="D294" s="336" t="n"/>
      <c r="E294" s="284" t="n"/>
      <c r="F294" s="472" t="n"/>
      <c r="G294" s="472" t="n"/>
      <c r="H294" s="472" t="n"/>
      <c r="I294" s="472" t="n"/>
      <c r="J294" s="472" t="n"/>
      <c r="K294" s="472" t="n"/>
      <c r="L294" s="472" t="n"/>
      <c r="M294" s="472" t="n"/>
      <c r="N294" s="472" t="n"/>
      <c r="O294" s="472" t="n"/>
      <c r="P294" s="472" t="n"/>
      <c r="Q294" s="472" t="n"/>
      <c r="R294" s="472" t="n"/>
      <c r="S294" s="285" t="n"/>
      <c r="T294" s="284" t="n"/>
      <c r="U294" s="284" t="n"/>
      <c r="V294" s="285" t="n"/>
      <c r="W294" s="285" t="n"/>
      <c r="X294" s="285" t="n"/>
      <c r="Y294" s="285" t="n"/>
      <c r="Z294" s="285" t="n"/>
      <c r="AA294" s="285" t="n"/>
      <c r="AB294" s="285" t="n"/>
    </row>
    <row r="295" ht="15.75" customHeight="1" s="398">
      <c r="A295" s="284" t="n"/>
      <c r="B295" s="285" t="n"/>
      <c r="C295" s="368" t="n"/>
      <c r="D295" s="336" t="n"/>
      <c r="E295" s="284" t="n"/>
      <c r="F295" s="472" t="n"/>
      <c r="G295" s="472" t="n"/>
      <c r="H295" s="472" t="n"/>
      <c r="I295" s="472" t="n"/>
      <c r="J295" s="472" t="n"/>
      <c r="K295" s="472" t="n"/>
      <c r="L295" s="472" t="n"/>
      <c r="M295" s="472" t="n"/>
      <c r="N295" s="472" t="n"/>
      <c r="O295" s="472" t="n"/>
      <c r="P295" s="472" t="n"/>
      <c r="Q295" s="472" t="n"/>
      <c r="R295" s="472" t="n"/>
      <c r="S295" s="285" t="n"/>
      <c r="T295" s="284" t="n"/>
      <c r="U295" s="284" t="n"/>
      <c r="V295" s="285" t="n"/>
      <c r="W295" s="285" t="n"/>
      <c r="X295" s="285" t="n"/>
      <c r="Y295" s="285" t="n"/>
      <c r="Z295" s="285" t="n"/>
      <c r="AA295" s="285" t="n"/>
      <c r="AB295" s="285" t="n"/>
    </row>
    <row r="296" ht="15.75" customHeight="1" s="398">
      <c r="A296" s="284" t="n"/>
      <c r="B296" s="285" t="n"/>
      <c r="C296" s="368" t="n"/>
      <c r="D296" s="336" t="n"/>
      <c r="E296" s="284" t="n"/>
      <c r="F296" s="472" t="n"/>
      <c r="G296" s="472" t="n"/>
      <c r="H296" s="472" t="n"/>
      <c r="I296" s="472" t="n"/>
      <c r="J296" s="472" t="n"/>
      <c r="K296" s="472" t="n"/>
      <c r="L296" s="472" t="n"/>
      <c r="M296" s="472" t="n"/>
      <c r="N296" s="472" t="n"/>
      <c r="O296" s="472" t="n"/>
      <c r="P296" s="472" t="n"/>
      <c r="Q296" s="472" t="n"/>
      <c r="R296" s="472" t="n"/>
      <c r="S296" s="285" t="n"/>
      <c r="T296" s="284" t="n"/>
      <c r="U296" s="284" t="n"/>
      <c r="V296" s="285" t="n"/>
      <c r="W296" s="285" t="n"/>
      <c r="X296" s="285" t="n"/>
      <c r="Y296" s="285" t="n"/>
      <c r="Z296" s="285" t="n"/>
      <c r="AA296" s="285" t="n"/>
      <c r="AB296" s="285" t="n"/>
    </row>
    <row r="297" ht="15.75" customHeight="1" s="398">
      <c r="A297" s="284" t="n"/>
      <c r="B297" s="285" t="n"/>
      <c r="C297" s="368" t="n"/>
      <c r="D297" s="336" t="n"/>
      <c r="E297" s="284" t="n"/>
      <c r="F297" s="472" t="n"/>
      <c r="G297" s="472" t="n"/>
      <c r="H297" s="472" t="n"/>
      <c r="I297" s="472" t="n"/>
      <c r="J297" s="472" t="n"/>
      <c r="K297" s="472" t="n"/>
      <c r="L297" s="472" t="n"/>
      <c r="M297" s="472" t="n"/>
      <c r="N297" s="472" t="n"/>
      <c r="O297" s="472" t="n"/>
      <c r="P297" s="472" t="n"/>
      <c r="Q297" s="472" t="n"/>
      <c r="R297" s="472" t="n"/>
      <c r="S297" s="285" t="n"/>
      <c r="T297" s="284" t="n"/>
      <c r="U297" s="284" t="n"/>
      <c r="V297" s="285" t="n"/>
      <c r="W297" s="285" t="n"/>
      <c r="X297" s="285" t="n"/>
      <c r="Y297" s="285" t="n"/>
      <c r="Z297" s="285" t="n"/>
      <c r="AA297" s="285" t="n"/>
      <c r="AB297" s="285" t="n"/>
    </row>
    <row r="298" ht="15.75" customHeight="1" s="398">
      <c r="A298" s="284" t="n"/>
      <c r="B298" s="285" t="n"/>
      <c r="C298" s="368" t="n"/>
      <c r="D298" s="336" t="n"/>
      <c r="E298" s="284" t="n"/>
      <c r="F298" s="472" t="n"/>
      <c r="G298" s="472" t="n"/>
      <c r="H298" s="472" t="n"/>
      <c r="I298" s="472" t="n"/>
      <c r="J298" s="472" t="n"/>
      <c r="K298" s="472" t="n"/>
      <c r="L298" s="472" t="n"/>
      <c r="M298" s="472" t="n"/>
      <c r="N298" s="472" t="n"/>
      <c r="O298" s="472" t="n"/>
      <c r="P298" s="472" t="n"/>
      <c r="Q298" s="472" t="n"/>
      <c r="R298" s="472" t="n"/>
      <c r="S298" s="285" t="n"/>
      <c r="T298" s="284" t="n"/>
      <c r="U298" s="284" t="n"/>
      <c r="V298" s="285" t="n"/>
      <c r="W298" s="285" t="n"/>
      <c r="X298" s="285" t="n"/>
      <c r="Y298" s="285" t="n"/>
      <c r="Z298" s="285" t="n"/>
      <c r="AA298" s="285" t="n"/>
      <c r="AB298" s="285" t="n"/>
    </row>
    <row r="299" ht="15.75" customHeight="1" s="398">
      <c r="A299" s="284" t="n"/>
      <c r="B299" s="285" t="n"/>
      <c r="C299" s="368" t="n"/>
      <c r="D299" s="336" t="n"/>
      <c r="E299" s="284" t="n"/>
      <c r="F299" s="472" t="n"/>
      <c r="G299" s="472" t="n"/>
      <c r="H299" s="472" t="n"/>
      <c r="I299" s="472" t="n"/>
      <c r="J299" s="472" t="n"/>
      <c r="K299" s="472" t="n"/>
      <c r="L299" s="472" t="n"/>
      <c r="M299" s="472" t="n"/>
      <c r="N299" s="472" t="n"/>
      <c r="O299" s="472" t="n"/>
      <c r="P299" s="472" t="n"/>
      <c r="Q299" s="472" t="n"/>
      <c r="R299" s="472" t="n"/>
      <c r="S299" s="285" t="n"/>
      <c r="T299" s="284" t="n"/>
      <c r="U299" s="284" t="n"/>
      <c r="V299" s="285" t="n"/>
      <c r="W299" s="285" t="n"/>
      <c r="X299" s="285" t="n"/>
      <c r="Y299" s="285" t="n"/>
      <c r="Z299" s="285" t="n"/>
      <c r="AA299" s="285" t="n"/>
      <c r="AB299" s="285" t="n"/>
    </row>
    <row r="300" ht="15.75" customHeight="1" s="398">
      <c r="A300" s="284" t="n"/>
      <c r="B300" s="285" t="n"/>
      <c r="C300" s="368" t="n"/>
      <c r="D300" s="336" t="n"/>
      <c r="E300" s="284" t="n"/>
      <c r="F300" s="472" t="n"/>
      <c r="G300" s="472" t="n"/>
      <c r="H300" s="472" t="n"/>
      <c r="I300" s="472" t="n"/>
      <c r="J300" s="472" t="n"/>
      <c r="K300" s="472" t="n"/>
      <c r="L300" s="472" t="n"/>
      <c r="M300" s="472" t="n"/>
      <c r="N300" s="472" t="n"/>
      <c r="O300" s="472" t="n"/>
      <c r="P300" s="472" t="n"/>
      <c r="Q300" s="472" t="n"/>
      <c r="R300" s="472" t="n"/>
      <c r="S300" s="285" t="n"/>
      <c r="T300" s="284" t="n"/>
      <c r="U300" s="284" t="n"/>
      <c r="V300" s="285" t="n"/>
      <c r="W300" s="285" t="n"/>
      <c r="X300" s="285" t="n"/>
      <c r="Y300" s="285" t="n"/>
      <c r="Z300" s="285" t="n"/>
      <c r="AA300" s="285" t="n"/>
      <c r="AB300" s="285" t="n"/>
    </row>
    <row r="301" ht="15.75" customHeight="1" s="398">
      <c r="A301" s="284" t="n"/>
      <c r="B301" s="285" t="n"/>
      <c r="C301" s="368" t="n"/>
      <c r="D301" s="336" t="n"/>
      <c r="E301" s="284" t="n"/>
      <c r="F301" s="472" t="n"/>
      <c r="G301" s="472" t="n"/>
      <c r="H301" s="472" t="n"/>
      <c r="I301" s="472" t="n"/>
      <c r="J301" s="472" t="n"/>
      <c r="K301" s="472" t="n"/>
      <c r="L301" s="472" t="n"/>
      <c r="M301" s="472" t="n"/>
      <c r="N301" s="472" t="n"/>
      <c r="O301" s="472" t="n"/>
      <c r="P301" s="472" t="n"/>
      <c r="Q301" s="472" t="n"/>
      <c r="R301" s="472" t="n"/>
      <c r="S301" s="285" t="n"/>
      <c r="T301" s="284" t="n"/>
      <c r="U301" s="284" t="n"/>
      <c r="V301" s="285" t="n"/>
      <c r="W301" s="285" t="n"/>
      <c r="X301" s="285" t="n"/>
      <c r="Y301" s="285" t="n"/>
      <c r="Z301" s="285" t="n"/>
      <c r="AA301" s="285" t="n"/>
      <c r="AB301" s="285" t="n"/>
    </row>
    <row r="302" ht="15.75" customHeight="1" s="398">
      <c r="A302" s="284" t="n"/>
      <c r="B302" s="285" t="n"/>
      <c r="C302" s="368" t="n"/>
      <c r="D302" s="336" t="n"/>
      <c r="E302" s="284" t="n"/>
      <c r="F302" s="472" t="n"/>
      <c r="G302" s="472" t="n"/>
      <c r="H302" s="472" t="n"/>
      <c r="I302" s="472" t="n"/>
      <c r="J302" s="472" t="n"/>
      <c r="K302" s="472" t="n"/>
      <c r="L302" s="472" t="n"/>
      <c r="M302" s="472" t="n"/>
      <c r="N302" s="472" t="n"/>
      <c r="O302" s="472" t="n"/>
      <c r="P302" s="472" t="n"/>
      <c r="Q302" s="472" t="n"/>
      <c r="R302" s="472" t="n"/>
      <c r="S302" s="285" t="n"/>
      <c r="T302" s="284" t="n"/>
      <c r="U302" s="284" t="n"/>
      <c r="V302" s="285" t="n"/>
      <c r="W302" s="285" t="n"/>
      <c r="X302" s="285" t="n"/>
      <c r="Y302" s="285" t="n"/>
      <c r="Z302" s="285" t="n"/>
      <c r="AA302" s="285" t="n"/>
      <c r="AB302" s="285" t="n"/>
    </row>
    <row r="303" ht="15.75" customHeight="1" s="398">
      <c r="A303" s="284" t="n"/>
      <c r="B303" s="285" t="n"/>
      <c r="C303" s="368" t="n"/>
      <c r="D303" s="336" t="n"/>
      <c r="E303" s="284" t="n"/>
      <c r="F303" s="472" t="n"/>
      <c r="G303" s="472" t="n"/>
      <c r="H303" s="472" t="n"/>
      <c r="I303" s="472" t="n"/>
      <c r="J303" s="472" t="n"/>
      <c r="K303" s="472" t="n"/>
      <c r="L303" s="472" t="n"/>
      <c r="M303" s="472" t="n"/>
      <c r="N303" s="472" t="n"/>
      <c r="O303" s="472" t="n"/>
      <c r="P303" s="472" t="n"/>
      <c r="Q303" s="472" t="n"/>
      <c r="R303" s="472" t="n"/>
      <c r="S303" s="285" t="n"/>
      <c r="T303" s="284" t="n"/>
      <c r="U303" s="284" t="n"/>
      <c r="V303" s="285" t="n"/>
      <c r="W303" s="285" t="n"/>
      <c r="X303" s="285" t="n"/>
      <c r="Y303" s="285" t="n"/>
      <c r="Z303" s="285" t="n"/>
      <c r="AA303" s="285" t="n"/>
      <c r="AB303" s="285" t="n"/>
    </row>
    <row r="304" ht="15.75" customHeight="1" s="398">
      <c r="A304" s="284" t="n"/>
      <c r="B304" s="285" t="n"/>
      <c r="C304" s="368" t="n"/>
      <c r="D304" s="336" t="n"/>
      <c r="E304" s="284" t="n"/>
      <c r="F304" s="472" t="n"/>
      <c r="G304" s="472" t="n"/>
      <c r="H304" s="472" t="n"/>
      <c r="I304" s="472" t="n"/>
      <c r="J304" s="472" t="n"/>
      <c r="K304" s="472" t="n"/>
      <c r="L304" s="472" t="n"/>
      <c r="M304" s="472" t="n"/>
      <c r="N304" s="472" t="n"/>
      <c r="O304" s="472" t="n"/>
      <c r="P304" s="472" t="n"/>
      <c r="Q304" s="472" t="n"/>
      <c r="R304" s="472" t="n"/>
      <c r="S304" s="285" t="n"/>
      <c r="T304" s="284" t="n"/>
      <c r="U304" s="284" t="n"/>
      <c r="V304" s="285" t="n"/>
      <c r="W304" s="285" t="n"/>
      <c r="X304" s="285" t="n"/>
      <c r="Y304" s="285" t="n"/>
      <c r="Z304" s="285" t="n"/>
      <c r="AA304" s="285" t="n"/>
      <c r="AB304" s="285" t="n"/>
    </row>
    <row r="305" ht="15.75" customHeight="1" s="398">
      <c r="A305" s="284" t="n"/>
      <c r="B305" s="285" t="n"/>
      <c r="C305" s="368" t="n"/>
      <c r="D305" s="336" t="n"/>
      <c r="E305" s="284" t="n"/>
      <c r="F305" s="472" t="n"/>
      <c r="G305" s="472" t="n"/>
      <c r="H305" s="472" t="n"/>
      <c r="I305" s="472" t="n"/>
      <c r="J305" s="472" t="n"/>
      <c r="K305" s="472" t="n"/>
      <c r="L305" s="472" t="n"/>
      <c r="M305" s="472" t="n"/>
      <c r="N305" s="472" t="n"/>
      <c r="O305" s="472" t="n"/>
      <c r="P305" s="472" t="n"/>
      <c r="Q305" s="472" t="n"/>
      <c r="R305" s="472" t="n"/>
      <c r="S305" s="285" t="n"/>
      <c r="T305" s="284" t="n"/>
      <c r="U305" s="284" t="n"/>
      <c r="V305" s="285" t="n"/>
      <c r="W305" s="285" t="n"/>
      <c r="X305" s="285" t="n"/>
      <c r="Y305" s="285" t="n"/>
      <c r="Z305" s="285" t="n"/>
      <c r="AA305" s="285" t="n"/>
      <c r="AB305" s="285" t="n"/>
    </row>
    <row r="306" ht="15.75" customHeight="1" s="398">
      <c r="A306" s="284" t="n"/>
      <c r="B306" s="285" t="n"/>
      <c r="C306" s="368" t="n"/>
      <c r="D306" s="336" t="n"/>
      <c r="E306" s="284" t="n"/>
      <c r="F306" s="472" t="n"/>
      <c r="G306" s="472" t="n"/>
      <c r="H306" s="472" t="n"/>
      <c r="I306" s="472" t="n"/>
      <c r="J306" s="472" t="n"/>
      <c r="K306" s="472" t="n"/>
      <c r="L306" s="472" t="n"/>
      <c r="M306" s="472" t="n"/>
      <c r="N306" s="472" t="n"/>
      <c r="O306" s="472" t="n"/>
      <c r="P306" s="472" t="n"/>
      <c r="Q306" s="472" t="n"/>
      <c r="R306" s="472" t="n"/>
      <c r="S306" s="285" t="n"/>
      <c r="T306" s="284" t="n"/>
      <c r="U306" s="284" t="n"/>
      <c r="V306" s="285" t="n"/>
      <c r="W306" s="285" t="n"/>
      <c r="X306" s="285" t="n"/>
      <c r="Y306" s="285" t="n"/>
      <c r="Z306" s="285" t="n"/>
      <c r="AA306" s="285" t="n"/>
      <c r="AB306" s="285" t="n"/>
    </row>
    <row r="307" ht="15.75" customHeight="1" s="398">
      <c r="A307" s="284" t="n"/>
      <c r="B307" s="285" t="n"/>
      <c r="C307" s="368" t="n"/>
      <c r="D307" s="336" t="n"/>
      <c r="E307" s="284" t="n"/>
      <c r="F307" s="472" t="n"/>
      <c r="G307" s="472" t="n"/>
      <c r="H307" s="472" t="n"/>
      <c r="I307" s="472" t="n"/>
      <c r="J307" s="472" t="n"/>
      <c r="K307" s="472" t="n"/>
      <c r="L307" s="472" t="n"/>
      <c r="M307" s="472" t="n"/>
      <c r="N307" s="472" t="n"/>
      <c r="O307" s="472" t="n"/>
      <c r="P307" s="472" t="n"/>
      <c r="Q307" s="472" t="n"/>
      <c r="R307" s="472" t="n"/>
      <c r="S307" s="285" t="n"/>
      <c r="T307" s="284" t="n"/>
      <c r="U307" s="284" t="n"/>
      <c r="V307" s="285" t="n"/>
      <c r="W307" s="285" t="n"/>
      <c r="X307" s="285" t="n"/>
      <c r="Y307" s="285" t="n"/>
      <c r="Z307" s="285" t="n"/>
      <c r="AA307" s="285" t="n"/>
      <c r="AB307" s="285" t="n"/>
    </row>
    <row r="308" ht="15.75" customHeight="1" s="398">
      <c r="A308" s="284" t="n"/>
      <c r="B308" s="285" t="n"/>
      <c r="C308" s="368" t="n"/>
      <c r="D308" s="336" t="n"/>
      <c r="E308" s="284" t="n"/>
      <c r="F308" s="472" t="n"/>
      <c r="G308" s="472" t="n"/>
      <c r="H308" s="472" t="n"/>
      <c r="I308" s="472" t="n"/>
      <c r="J308" s="472" t="n"/>
      <c r="K308" s="472" t="n"/>
      <c r="L308" s="472" t="n"/>
      <c r="M308" s="472" t="n"/>
      <c r="N308" s="472" t="n"/>
      <c r="O308" s="472" t="n"/>
      <c r="P308" s="472" t="n"/>
      <c r="Q308" s="472" t="n"/>
      <c r="R308" s="472" t="n"/>
      <c r="S308" s="285" t="n"/>
      <c r="T308" s="284" t="n"/>
      <c r="U308" s="284" t="n"/>
      <c r="V308" s="285" t="n"/>
      <c r="W308" s="285" t="n"/>
      <c r="X308" s="285" t="n"/>
      <c r="Y308" s="285" t="n"/>
      <c r="Z308" s="285" t="n"/>
      <c r="AA308" s="285" t="n"/>
      <c r="AB308" s="285" t="n"/>
    </row>
    <row r="309" ht="15.75" customHeight="1" s="398">
      <c r="A309" s="284" t="n"/>
      <c r="B309" s="285" t="n"/>
      <c r="C309" s="368" t="n"/>
      <c r="D309" s="336" t="n"/>
      <c r="E309" s="284" t="n"/>
      <c r="F309" s="472" t="n"/>
      <c r="G309" s="472" t="n"/>
      <c r="H309" s="472" t="n"/>
      <c r="I309" s="472" t="n"/>
      <c r="J309" s="472" t="n"/>
      <c r="K309" s="472" t="n"/>
      <c r="L309" s="472" t="n"/>
      <c r="M309" s="472" t="n"/>
      <c r="N309" s="472" t="n"/>
      <c r="O309" s="472" t="n"/>
      <c r="P309" s="472" t="n"/>
      <c r="Q309" s="472" t="n"/>
      <c r="R309" s="472" t="n"/>
      <c r="S309" s="285" t="n"/>
      <c r="T309" s="284" t="n"/>
      <c r="U309" s="284" t="n"/>
      <c r="V309" s="285" t="n"/>
      <c r="W309" s="285" t="n"/>
      <c r="X309" s="285" t="n"/>
      <c r="Y309" s="285" t="n"/>
      <c r="Z309" s="285" t="n"/>
      <c r="AA309" s="285" t="n"/>
      <c r="AB309" s="285" t="n"/>
    </row>
    <row r="310" ht="15.75" customHeight="1" s="398">
      <c r="A310" s="284" t="n"/>
      <c r="B310" s="285" t="n"/>
      <c r="C310" s="368" t="n"/>
      <c r="D310" s="336" t="n"/>
      <c r="E310" s="284" t="n"/>
      <c r="F310" s="472" t="n"/>
      <c r="G310" s="472" t="n"/>
      <c r="H310" s="472" t="n"/>
      <c r="I310" s="472" t="n"/>
      <c r="J310" s="472" t="n"/>
      <c r="K310" s="472" t="n"/>
      <c r="L310" s="472" t="n"/>
      <c r="M310" s="472" t="n"/>
      <c r="N310" s="472" t="n"/>
      <c r="O310" s="472" t="n"/>
      <c r="P310" s="472" t="n"/>
      <c r="Q310" s="472" t="n"/>
      <c r="R310" s="472" t="n"/>
      <c r="S310" s="285" t="n"/>
      <c r="T310" s="284" t="n"/>
      <c r="U310" s="284" t="n"/>
      <c r="V310" s="285" t="n"/>
      <c r="W310" s="285" t="n"/>
      <c r="X310" s="285" t="n"/>
      <c r="Y310" s="285" t="n"/>
      <c r="Z310" s="285" t="n"/>
      <c r="AA310" s="285" t="n"/>
      <c r="AB310" s="285" t="n"/>
    </row>
    <row r="311" ht="15.75" customHeight="1" s="398">
      <c r="A311" s="284" t="n"/>
      <c r="B311" s="285" t="n"/>
      <c r="C311" s="368" t="n"/>
      <c r="D311" s="336" t="n"/>
      <c r="E311" s="284" t="n"/>
      <c r="F311" s="472" t="n"/>
      <c r="G311" s="472" t="n"/>
      <c r="H311" s="472" t="n"/>
      <c r="I311" s="472" t="n"/>
      <c r="J311" s="472" t="n"/>
      <c r="K311" s="472" t="n"/>
      <c r="L311" s="472" t="n"/>
      <c r="M311" s="472" t="n"/>
      <c r="N311" s="472" t="n"/>
      <c r="O311" s="472" t="n"/>
      <c r="P311" s="472" t="n"/>
      <c r="Q311" s="472" t="n"/>
      <c r="R311" s="472" t="n"/>
      <c r="S311" s="285" t="n"/>
      <c r="T311" s="284" t="n"/>
      <c r="U311" s="284" t="n"/>
      <c r="V311" s="285" t="n"/>
      <c r="W311" s="285" t="n"/>
      <c r="X311" s="285" t="n"/>
      <c r="Y311" s="285" t="n"/>
      <c r="Z311" s="285" t="n"/>
      <c r="AA311" s="285" t="n"/>
      <c r="AB311" s="285" t="n"/>
    </row>
    <row r="312" ht="15.75" customHeight="1" s="398">
      <c r="A312" s="284" t="n"/>
      <c r="B312" s="285" t="n"/>
      <c r="C312" s="368" t="n"/>
      <c r="D312" s="336" t="n"/>
      <c r="E312" s="284" t="n"/>
      <c r="F312" s="472" t="n"/>
      <c r="G312" s="472" t="n"/>
      <c r="H312" s="472" t="n"/>
      <c r="I312" s="472" t="n"/>
      <c r="J312" s="472" t="n"/>
      <c r="K312" s="472" t="n"/>
      <c r="L312" s="472" t="n"/>
      <c r="M312" s="472" t="n"/>
      <c r="N312" s="472" t="n"/>
      <c r="O312" s="472" t="n"/>
      <c r="P312" s="472" t="n"/>
      <c r="Q312" s="472" t="n"/>
      <c r="R312" s="472" t="n"/>
      <c r="S312" s="285" t="n"/>
      <c r="T312" s="284" t="n"/>
      <c r="U312" s="284" t="n"/>
      <c r="V312" s="285" t="n"/>
      <c r="W312" s="285" t="n"/>
      <c r="X312" s="285" t="n"/>
      <c r="Y312" s="285" t="n"/>
      <c r="Z312" s="285" t="n"/>
      <c r="AA312" s="285" t="n"/>
      <c r="AB312" s="285" t="n"/>
    </row>
    <row r="313" ht="15.75" customHeight="1" s="398">
      <c r="A313" s="284" t="n"/>
      <c r="B313" s="285" t="n"/>
      <c r="C313" s="368" t="n"/>
      <c r="D313" s="336" t="n"/>
      <c r="E313" s="284" t="n"/>
      <c r="F313" s="472" t="n"/>
      <c r="G313" s="472" t="n"/>
      <c r="H313" s="472" t="n"/>
      <c r="I313" s="472" t="n"/>
      <c r="J313" s="472" t="n"/>
      <c r="K313" s="472" t="n"/>
      <c r="L313" s="472" t="n"/>
      <c r="M313" s="472" t="n"/>
      <c r="N313" s="472" t="n"/>
      <c r="O313" s="472" t="n"/>
      <c r="P313" s="472" t="n"/>
      <c r="Q313" s="472" t="n"/>
      <c r="R313" s="472" t="n"/>
      <c r="S313" s="285" t="n"/>
      <c r="T313" s="284" t="n"/>
      <c r="U313" s="284" t="n"/>
      <c r="V313" s="285" t="n"/>
      <c r="W313" s="285" t="n"/>
      <c r="X313" s="285" t="n"/>
      <c r="Y313" s="285" t="n"/>
      <c r="Z313" s="285" t="n"/>
      <c r="AA313" s="285" t="n"/>
      <c r="AB313" s="285" t="n"/>
    </row>
    <row r="314" ht="15.75" customHeight="1" s="398">
      <c r="A314" s="284" t="n"/>
      <c r="B314" s="285" t="n"/>
      <c r="C314" s="368" t="n"/>
      <c r="D314" s="336" t="n"/>
      <c r="E314" s="284" t="n"/>
      <c r="F314" s="472" t="n"/>
      <c r="G314" s="472" t="n"/>
      <c r="H314" s="472" t="n"/>
      <c r="I314" s="472" t="n"/>
      <c r="J314" s="472" t="n"/>
      <c r="K314" s="472" t="n"/>
      <c r="L314" s="472" t="n"/>
      <c r="M314" s="472" t="n"/>
      <c r="N314" s="472" t="n"/>
      <c r="O314" s="472" t="n"/>
      <c r="P314" s="472" t="n"/>
      <c r="Q314" s="472" t="n"/>
      <c r="R314" s="472" t="n"/>
      <c r="S314" s="285" t="n"/>
      <c r="T314" s="284" t="n"/>
      <c r="U314" s="284" t="n"/>
      <c r="V314" s="285" t="n"/>
      <c r="W314" s="285" t="n"/>
      <c r="X314" s="285" t="n"/>
      <c r="Y314" s="285" t="n"/>
      <c r="Z314" s="285" t="n"/>
      <c r="AA314" s="285" t="n"/>
      <c r="AB314" s="285" t="n"/>
    </row>
    <row r="315" ht="15.75" customHeight="1" s="398">
      <c r="A315" s="284" t="n"/>
      <c r="B315" s="285" t="n"/>
      <c r="C315" s="368" t="n"/>
      <c r="D315" s="336" t="n"/>
      <c r="E315" s="284" t="n"/>
      <c r="F315" s="472" t="n"/>
      <c r="G315" s="472" t="n"/>
      <c r="H315" s="472" t="n"/>
      <c r="I315" s="472" t="n"/>
      <c r="J315" s="472" t="n"/>
      <c r="K315" s="472" t="n"/>
      <c r="L315" s="472" t="n"/>
      <c r="M315" s="472" t="n"/>
      <c r="N315" s="472" t="n"/>
      <c r="O315" s="472" t="n"/>
      <c r="P315" s="472" t="n"/>
      <c r="Q315" s="472" t="n"/>
      <c r="R315" s="472" t="n"/>
      <c r="S315" s="285" t="n"/>
      <c r="T315" s="284" t="n"/>
      <c r="U315" s="284" t="n"/>
      <c r="V315" s="285" t="n"/>
      <c r="W315" s="285" t="n"/>
      <c r="X315" s="285" t="n"/>
      <c r="Y315" s="285" t="n"/>
      <c r="Z315" s="285" t="n"/>
      <c r="AA315" s="285" t="n"/>
      <c r="AB315" s="285" t="n"/>
    </row>
    <row r="316" ht="15.75" customHeight="1" s="398">
      <c r="A316" s="284" t="n"/>
      <c r="B316" s="285" t="n"/>
      <c r="C316" s="368" t="n"/>
      <c r="D316" s="336" t="n"/>
      <c r="E316" s="284" t="n"/>
      <c r="F316" s="472" t="n"/>
      <c r="G316" s="472" t="n"/>
      <c r="H316" s="472" t="n"/>
      <c r="I316" s="472" t="n"/>
      <c r="J316" s="472" t="n"/>
      <c r="K316" s="472" t="n"/>
      <c r="L316" s="472" t="n"/>
      <c r="M316" s="472" t="n"/>
      <c r="N316" s="472" t="n"/>
      <c r="O316" s="472" t="n"/>
      <c r="P316" s="472" t="n"/>
      <c r="Q316" s="472" t="n"/>
      <c r="R316" s="472" t="n"/>
      <c r="S316" s="285" t="n"/>
      <c r="T316" s="284" t="n"/>
      <c r="U316" s="284" t="n"/>
      <c r="V316" s="285" t="n"/>
      <c r="W316" s="285" t="n"/>
      <c r="X316" s="285" t="n"/>
      <c r="Y316" s="285" t="n"/>
      <c r="Z316" s="285" t="n"/>
      <c r="AA316" s="285" t="n"/>
      <c r="AB316" s="285" t="n"/>
    </row>
    <row r="317" ht="15.75" customHeight="1" s="398">
      <c r="A317" s="284" t="n"/>
      <c r="B317" s="285" t="n"/>
      <c r="C317" s="368" t="n"/>
      <c r="D317" s="336" t="n"/>
      <c r="E317" s="284" t="n"/>
      <c r="F317" s="472" t="n"/>
      <c r="G317" s="472" t="n"/>
      <c r="H317" s="472" t="n"/>
      <c r="I317" s="472" t="n"/>
      <c r="J317" s="472" t="n"/>
      <c r="K317" s="472" t="n"/>
      <c r="L317" s="472" t="n"/>
      <c r="M317" s="472" t="n"/>
      <c r="N317" s="472" t="n"/>
      <c r="O317" s="472" t="n"/>
      <c r="P317" s="472" t="n"/>
      <c r="Q317" s="472" t="n"/>
      <c r="R317" s="472" t="n"/>
      <c r="S317" s="285" t="n"/>
      <c r="T317" s="284" t="n"/>
      <c r="U317" s="284" t="n"/>
      <c r="V317" s="285" t="n"/>
      <c r="W317" s="285" t="n"/>
      <c r="X317" s="285" t="n"/>
      <c r="Y317" s="285" t="n"/>
      <c r="Z317" s="285" t="n"/>
      <c r="AA317" s="285" t="n"/>
      <c r="AB317" s="285" t="n"/>
    </row>
    <row r="318" ht="15.75" customHeight="1" s="398">
      <c r="A318" s="284" t="n"/>
      <c r="B318" s="285" t="n"/>
      <c r="C318" s="368" t="n"/>
      <c r="D318" s="336" t="n"/>
      <c r="E318" s="284" t="n"/>
      <c r="F318" s="472" t="n"/>
      <c r="G318" s="472" t="n"/>
      <c r="H318" s="472" t="n"/>
      <c r="I318" s="472" t="n"/>
      <c r="J318" s="472" t="n"/>
      <c r="K318" s="472" t="n"/>
      <c r="L318" s="472" t="n"/>
      <c r="M318" s="472" t="n"/>
      <c r="N318" s="472" t="n"/>
      <c r="O318" s="472" t="n"/>
      <c r="P318" s="472" t="n"/>
      <c r="Q318" s="472" t="n"/>
      <c r="R318" s="472" t="n"/>
      <c r="S318" s="285" t="n"/>
      <c r="T318" s="284" t="n"/>
      <c r="U318" s="284" t="n"/>
      <c r="V318" s="285" t="n"/>
      <c r="W318" s="285" t="n"/>
      <c r="X318" s="285" t="n"/>
      <c r="Y318" s="285" t="n"/>
      <c r="Z318" s="285" t="n"/>
      <c r="AA318" s="285" t="n"/>
      <c r="AB318" s="285" t="n"/>
    </row>
    <row r="319" ht="15.75" customHeight="1" s="398">
      <c r="A319" s="284" t="n"/>
      <c r="B319" s="285" t="n"/>
      <c r="C319" s="368" t="n"/>
      <c r="D319" s="336" t="n"/>
      <c r="E319" s="284" t="n"/>
      <c r="F319" s="472" t="n"/>
      <c r="G319" s="472" t="n"/>
      <c r="H319" s="472" t="n"/>
      <c r="I319" s="472" t="n"/>
      <c r="J319" s="472" t="n"/>
      <c r="K319" s="472" t="n"/>
      <c r="L319" s="472" t="n"/>
      <c r="M319" s="472" t="n"/>
      <c r="N319" s="472" t="n"/>
      <c r="O319" s="472" t="n"/>
      <c r="P319" s="472" t="n"/>
      <c r="Q319" s="472" t="n"/>
      <c r="R319" s="472" t="n"/>
      <c r="S319" s="285" t="n"/>
      <c r="T319" s="284" t="n"/>
      <c r="U319" s="284" t="n"/>
      <c r="V319" s="285" t="n"/>
      <c r="W319" s="285" t="n"/>
      <c r="X319" s="285" t="n"/>
      <c r="Y319" s="285" t="n"/>
      <c r="Z319" s="285" t="n"/>
      <c r="AA319" s="285" t="n"/>
      <c r="AB319" s="285" t="n"/>
    </row>
    <row r="320" ht="15.75" customHeight="1" s="398">
      <c r="A320" s="284" t="n"/>
      <c r="B320" s="285" t="n"/>
      <c r="C320" s="368" t="n"/>
      <c r="D320" s="336" t="n"/>
      <c r="E320" s="284" t="n"/>
      <c r="F320" s="472" t="n"/>
      <c r="G320" s="472" t="n"/>
      <c r="H320" s="472" t="n"/>
      <c r="I320" s="472" t="n"/>
      <c r="J320" s="472" t="n"/>
      <c r="K320" s="472" t="n"/>
      <c r="L320" s="472" t="n"/>
      <c r="M320" s="472" t="n"/>
      <c r="N320" s="472" t="n"/>
      <c r="O320" s="472" t="n"/>
      <c r="P320" s="472" t="n"/>
      <c r="Q320" s="472" t="n"/>
      <c r="R320" s="472" t="n"/>
      <c r="S320" s="285" t="n"/>
      <c r="T320" s="284" t="n"/>
      <c r="U320" s="284" t="n"/>
      <c r="V320" s="285" t="n"/>
      <c r="W320" s="285" t="n"/>
      <c r="X320" s="285" t="n"/>
      <c r="Y320" s="285" t="n"/>
      <c r="Z320" s="285" t="n"/>
      <c r="AA320" s="285" t="n"/>
      <c r="AB320" s="285" t="n"/>
    </row>
    <row r="321" ht="15.75" customHeight="1" s="398">
      <c r="A321" s="284" t="n"/>
      <c r="B321" s="285" t="n"/>
      <c r="C321" s="368" t="n"/>
      <c r="D321" s="336" t="n"/>
      <c r="E321" s="284" t="n"/>
      <c r="F321" s="472" t="n"/>
      <c r="G321" s="472" t="n"/>
      <c r="H321" s="472" t="n"/>
      <c r="I321" s="472" t="n"/>
      <c r="J321" s="472" t="n"/>
      <c r="K321" s="472" t="n"/>
      <c r="L321" s="472" t="n"/>
      <c r="M321" s="472" t="n"/>
      <c r="N321" s="472" t="n"/>
      <c r="O321" s="472" t="n"/>
      <c r="P321" s="472" t="n"/>
      <c r="Q321" s="472" t="n"/>
      <c r="R321" s="472" t="n"/>
      <c r="S321" s="285" t="n"/>
      <c r="T321" s="284" t="n"/>
      <c r="U321" s="284" t="n"/>
      <c r="V321" s="285" t="n"/>
      <c r="W321" s="285" t="n"/>
      <c r="X321" s="285" t="n"/>
      <c r="Y321" s="285" t="n"/>
      <c r="Z321" s="285" t="n"/>
      <c r="AA321" s="285" t="n"/>
      <c r="AB321" s="285" t="n"/>
    </row>
    <row r="322" ht="15.75" customHeight="1" s="398">
      <c r="A322" s="284" t="n"/>
      <c r="B322" s="285" t="n"/>
      <c r="C322" s="368" t="n"/>
      <c r="D322" s="336" t="n"/>
      <c r="E322" s="284" t="n"/>
      <c r="F322" s="472" t="n"/>
      <c r="G322" s="472" t="n"/>
      <c r="H322" s="472" t="n"/>
      <c r="I322" s="472" t="n"/>
      <c r="J322" s="472" t="n"/>
      <c r="K322" s="472" t="n"/>
      <c r="L322" s="472" t="n"/>
      <c r="M322" s="472" t="n"/>
      <c r="N322" s="472" t="n"/>
      <c r="O322" s="472" t="n"/>
      <c r="P322" s="472" t="n"/>
      <c r="Q322" s="472" t="n"/>
      <c r="R322" s="472" t="n"/>
      <c r="S322" s="285" t="n"/>
      <c r="T322" s="284" t="n"/>
      <c r="U322" s="284" t="n"/>
      <c r="V322" s="285" t="n"/>
      <c r="W322" s="285" t="n"/>
      <c r="X322" s="285" t="n"/>
      <c r="Y322" s="285" t="n"/>
      <c r="Z322" s="285" t="n"/>
      <c r="AA322" s="285" t="n"/>
      <c r="AB322" s="285" t="n"/>
    </row>
    <row r="323" ht="15.75" customHeight="1" s="398">
      <c r="A323" s="284" t="n"/>
      <c r="B323" s="285" t="n"/>
      <c r="C323" s="368" t="n"/>
      <c r="D323" s="336" t="n"/>
      <c r="E323" s="284" t="n"/>
      <c r="F323" s="472" t="n"/>
      <c r="G323" s="472" t="n"/>
      <c r="H323" s="472" t="n"/>
      <c r="I323" s="472" t="n"/>
      <c r="J323" s="472" t="n"/>
      <c r="K323" s="472" t="n"/>
      <c r="L323" s="472" t="n"/>
      <c r="M323" s="472" t="n"/>
      <c r="N323" s="472" t="n"/>
      <c r="O323" s="472" t="n"/>
      <c r="P323" s="472" t="n"/>
      <c r="Q323" s="472" t="n"/>
      <c r="R323" s="472" t="n"/>
      <c r="S323" s="285" t="n"/>
      <c r="T323" s="284" t="n"/>
      <c r="U323" s="284" t="n"/>
      <c r="V323" s="285" t="n"/>
      <c r="W323" s="285" t="n"/>
      <c r="X323" s="285" t="n"/>
      <c r="Y323" s="285" t="n"/>
      <c r="Z323" s="285" t="n"/>
      <c r="AA323" s="285" t="n"/>
      <c r="AB323" s="285" t="n"/>
    </row>
    <row r="324" ht="15.75" customHeight="1" s="398">
      <c r="A324" s="284" t="n"/>
      <c r="B324" s="285" t="n"/>
      <c r="C324" s="368" t="n"/>
      <c r="D324" s="336" t="n"/>
      <c r="E324" s="284" t="n"/>
      <c r="F324" s="472" t="n"/>
      <c r="G324" s="472" t="n"/>
      <c r="H324" s="472" t="n"/>
      <c r="I324" s="472" t="n"/>
      <c r="J324" s="472" t="n"/>
      <c r="K324" s="472" t="n"/>
      <c r="L324" s="472" t="n"/>
      <c r="M324" s="472" t="n"/>
      <c r="N324" s="472" t="n"/>
      <c r="O324" s="472" t="n"/>
      <c r="P324" s="472" t="n"/>
      <c r="Q324" s="472" t="n"/>
      <c r="R324" s="472" t="n"/>
      <c r="S324" s="285" t="n"/>
      <c r="T324" s="284" t="n"/>
      <c r="U324" s="284" t="n"/>
      <c r="V324" s="285" t="n"/>
      <c r="W324" s="285" t="n"/>
      <c r="X324" s="285" t="n"/>
      <c r="Y324" s="285" t="n"/>
      <c r="Z324" s="285" t="n"/>
      <c r="AA324" s="285" t="n"/>
      <c r="AB324" s="285" t="n"/>
    </row>
    <row r="325" ht="15.75" customHeight="1" s="398">
      <c r="A325" s="284" t="n"/>
      <c r="B325" s="285" t="n"/>
      <c r="C325" s="368" t="n"/>
      <c r="D325" s="336" t="n"/>
      <c r="E325" s="284" t="n"/>
      <c r="F325" s="472" t="n"/>
      <c r="G325" s="472" t="n"/>
      <c r="H325" s="472" t="n"/>
      <c r="I325" s="472" t="n"/>
      <c r="J325" s="472" t="n"/>
      <c r="K325" s="472" t="n"/>
      <c r="L325" s="472" t="n"/>
      <c r="M325" s="472" t="n"/>
      <c r="N325" s="472" t="n"/>
      <c r="O325" s="472" t="n"/>
      <c r="P325" s="472" t="n"/>
      <c r="Q325" s="472" t="n"/>
      <c r="R325" s="472" t="n"/>
      <c r="S325" s="285" t="n"/>
      <c r="T325" s="284" t="n"/>
      <c r="U325" s="284" t="n"/>
      <c r="V325" s="285" t="n"/>
      <c r="W325" s="285" t="n"/>
      <c r="X325" s="285" t="n"/>
      <c r="Y325" s="285" t="n"/>
      <c r="Z325" s="285" t="n"/>
      <c r="AA325" s="285" t="n"/>
      <c r="AB325" s="285" t="n"/>
    </row>
    <row r="326" ht="15.75" customHeight="1" s="398">
      <c r="A326" s="284" t="n"/>
      <c r="B326" s="285" t="n"/>
      <c r="C326" s="368" t="n"/>
      <c r="D326" s="336" t="n"/>
      <c r="E326" s="284" t="n"/>
      <c r="F326" s="472" t="n"/>
      <c r="G326" s="472" t="n"/>
      <c r="H326" s="472" t="n"/>
      <c r="I326" s="472" t="n"/>
      <c r="J326" s="472" t="n"/>
      <c r="K326" s="472" t="n"/>
      <c r="L326" s="472" t="n"/>
      <c r="M326" s="472" t="n"/>
      <c r="N326" s="472" t="n"/>
      <c r="O326" s="472" t="n"/>
      <c r="P326" s="472" t="n"/>
      <c r="Q326" s="472" t="n"/>
      <c r="R326" s="472" t="n"/>
      <c r="S326" s="285" t="n"/>
      <c r="T326" s="284" t="n"/>
      <c r="U326" s="284" t="n"/>
      <c r="V326" s="285" t="n"/>
      <c r="W326" s="285" t="n"/>
      <c r="X326" s="285" t="n"/>
      <c r="Y326" s="285" t="n"/>
      <c r="Z326" s="285" t="n"/>
      <c r="AA326" s="285" t="n"/>
      <c r="AB326" s="285" t="n"/>
    </row>
    <row r="327" ht="15.75" customHeight="1" s="398">
      <c r="A327" s="284" t="n"/>
      <c r="B327" s="285" t="n"/>
      <c r="C327" s="368" t="n"/>
      <c r="D327" s="336" t="n"/>
      <c r="E327" s="284" t="n"/>
      <c r="F327" s="472" t="n"/>
      <c r="G327" s="472" t="n"/>
      <c r="H327" s="472" t="n"/>
      <c r="I327" s="472" t="n"/>
      <c r="J327" s="472" t="n"/>
      <c r="K327" s="472" t="n"/>
      <c r="L327" s="472" t="n"/>
      <c r="M327" s="472" t="n"/>
      <c r="N327" s="472" t="n"/>
      <c r="O327" s="472" t="n"/>
      <c r="P327" s="472" t="n"/>
      <c r="Q327" s="472" t="n"/>
      <c r="R327" s="472" t="n"/>
      <c r="S327" s="285" t="n"/>
      <c r="T327" s="284" t="n"/>
      <c r="U327" s="284" t="n"/>
      <c r="V327" s="285" t="n"/>
      <c r="W327" s="285" t="n"/>
      <c r="X327" s="285" t="n"/>
      <c r="Y327" s="285" t="n"/>
      <c r="Z327" s="285" t="n"/>
      <c r="AA327" s="285" t="n"/>
      <c r="AB327" s="285" t="n"/>
    </row>
    <row r="328" ht="15.75" customHeight="1" s="398">
      <c r="A328" s="284" t="n"/>
      <c r="B328" s="285" t="n"/>
      <c r="C328" s="368" t="n"/>
      <c r="D328" s="336" t="n"/>
      <c r="E328" s="284" t="n"/>
      <c r="F328" s="472" t="n"/>
      <c r="G328" s="472" t="n"/>
      <c r="H328" s="472" t="n"/>
      <c r="I328" s="472" t="n"/>
      <c r="J328" s="472" t="n"/>
      <c r="K328" s="472" t="n"/>
      <c r="L328" s="472" t="n"/>
      <c r="M328" s="472" t="n"/>
      <c r="N328" s="472" t="n"/>
      <c r="O328" s="472" t="n"/>
      <c r="P328" s="472" t="n"/>
      <c r="Q328" s="472" t="n"/>
      <c r="R328" s="472" t="n"/>
      <c r="S328" s="285" t="n"/>
      <c r="T328" s="284" t="n"/>
      <c r="U328" s="284" t="n"/>
      <c r="V328" s="285" t="n"/>
      <c r="W328" s="285" t="n"/>
      <c r="X328" s="285" t="n"/>
      <c r="Y328" s="285" t="n"/>
      <c r="Z328" s="285" t="n"/>
      <c r="AA328" s="285" t="n"/>
      <c r="AB328" s="285" t="n"/>
    </row>
    <row r="329" ht="15.75" customHeight="1" s="398">
      <c r="A329" s="284" t="n"/>
      <c r="B329" s="285" t="n"/>
      <c r="C329" s="368" t="n"/>
      <c r="D329" s="336" t="n"/>
      <c r="E329" s="284" t="n"/>
      <c r="F329" s="472" t="n"/>
      <c r="G329" s="472" t="n"/>
      <c r="H329" s="472" t="n"/>
      <c r="I329" s="472" t="n"/>
      <c r="J329" s="472" t="n"/>
      <c r="K329" s="472" t="n"/>
      <c r="L329" s="472" t="n"/>
      <c r="M329" s="472" t="n"/>
      <c r="N329" s="472" t="n"/>
      <c r="O329" s="472" t="n"/>
      <c r="P329" s="472" t="n"/>
      <c r="Q329" s="472" t="n"/>
      <c r="R329" s="472" t="n"/>
      <c r="S329" s="285" t="n"/>
      <c r="T329" s="284" t="n"/>
      <c r="U329" s="284" t="n"/>
      <c r="V329" s="285" t="n"/>
      <c r="W329" s="285" t="n"/>
      <c r="X329" s="285" t="n"/>
      <c r="Y329" s="285" t="n"/>
      <c r="Z329" s="285" t="n"/>
      <c r="AA329" s="285" t="n"/>
      <c r="AB329" s="285" t="n"/>
    </row>
    <row r="330" ht="15.75" customHeight="1" s="398">
      <c r="A330" s="284" t="n"/>
      <c r="B330" s="285" t="n"/>
      <c r="C330" s="368" t="n"/>
      <c r="D330" s="336" t="n"/>
      <c r="E330" s="284" t="n"/>
      <c r="F330" s="472" t="n"/>
      <c r="G330" s="472" t="n"/>
      <c r="H330" s="472" t="n"/>
      <c r="I330" s="472" t="n"/>
      <c r="J330" s="472" t="n"/>
      <c r="K330" s="472" t="n"/>
      <c r="L330" s="472" t="n"/>
      <c r="M330" s="472" t="n"/>
      <c r="N330" s="472" t="n"/>
      <c r="O330" s="472" t="n"/>
      <c r="P330" s="472" t="n"/>
      <c r="Q330" s="472" t="n"/>
      <c r="R330" s="472" t="n"/>
      <c r="S330" s="285" t="n"/>
      <c r="T330" s="284" t="n"/>
      <c r="U330" s="284" t="n"/>
      <c r="V330" s="285" t="n"/>
      <c r="W330" s="285" t="n"/>
      <c r="X330" s="285" t="n"/>
      <c r="Y330" s="285" t="n"/>
      <c r="Z330" s="285" t="n"/>
      <c r="AA330" s="285" t="n"/>
      <c r="AB330" s="285" t="n"/>
    </row>
    <row r="331" ht="15.75" customHeight="1" s="398">
      <c r="A331" s="284" t="n"/>
      <c r="B331" s="285" t="n"/>
      <c r="C331" s="368" t="n"/>
      <c r="D331" s="336" t="n"/>
      <c r="E331" s="284" t="n"/>
      <c r="F331" s="472" t="n"/>
      <c r="G331" s="472" t="n"/>
      <c r="H331" s="472" t="n"/>
      <c r="I331" s="472" t="n"/>
      <c r="J331" s="472" t="n"/>
      <c r="K331" s="472" t="n"/>
      <c r="L331" s="472" t="n"/>
      <c r="M331" s="472" t="n"/>
      <c r="N331" s="472" t="n"/>
      <c r="O331" s="472" t="n"/>
      <c r="P331" s="472" t="n"/>
      <c r="Q331" s="472" t="n"/>
      <c r="R331" s="472" t="n"/>
      <c r="S331" s="285" t="n"/>
      <c r="T331" s="284" t="n"/>
      <c r="U331" s="284" t="n"/>
      <c r="V331" s="285" t="n"/>
      <c r="W331" s="285" t="n"/>
      <c r="X331" s="285" t="n"/>
      <c r="Y331" s="285" t="n"/>
      <c r="Z331" s="285" t="n"/>
      <c r="AA331" s="285" t="n"/>
      <c r="AB331" s="285" t="n"/>
    </row>
    <row r="332" ht="15.75" customHeight="1" s="398">
      <c r="A332" s="284" t="n"/>
      <c r="B332" s="285" t="n"/>
      <c r="C332" s="368" t="n"/>
      <c r="D332" s="336" t="n"/>
      <c r="E332" s="284" t="n"/>
      <c r="F332" s="472" t="n"/>
      <c r="G332" s="472" t="n"/>
      <c r="H332" s="472" t="n"/>
      <c r="I332" s="472" t="n"/>
      <c r="J332" s="472" t="n"/>
      <c r="K332" s="472" t="n"/>
      <c r="L332" s="472" t="n"/>
      <c r="M332" s="472" t="n"/>
      <c r="N332" s="472" t="n"/>
      <c r="O332" s="472" t="n"/>
      <c r="P332" s="472" t="n"/>
      <c r="Q332" s="472" t="n"/>
      <c r="R332" s="472" t="n"/>
      <c r="S332" s="285" t="n"/>
      <c r="T332" s="284" t="n"/>
      <c r="U332" s="284" t="n"/>
      <c r="V332" s="285" t="n"/>
      <c r="W332" s="285" t="n"/>
      <c r="X332" s="285" t="n"/>
      <c r="Y332" s="285" t="n"/>
      <c r="Z332" s="285" t="n"/>
      <c r="AA332" s="285" t="n"/>
      <c r="AB332" s="285" t="n"/>
    </row>
    <row r="333" ht="15.75" customHeight="1" s="398">
      <c r="A333" s="284" t="n"/>
      <c r="B333" s="285" t="n"/>
      <c r="C333" s="368" t="n"/>
      <c r="D333" s="336" t="n"/>
      <c r="E333" s="284" t="n"/>
      <c r="F333" s="472" t="n"/>
      <c r="G333" s="472" t="n"/>
      <c r="H333" s="472" t="n"/>
      <c r="I333" s="472" t="n"/>
      <c r="J333" s="472" t="n"/>
      <c r="K333" s="472" t="n"/>
      <c r="L333" s="472" t="n"/>
      <c r="M333" s="472" t="n"/>
      <c r="N333" s="472" t="n"/>
      <c r="O333" s="472" t="n"/>
      <c r="P333" s="472" t="n"/>
      <c r="Q333" s="472" t="n"/>
      <c r="R333" s="472" t="n"/>
      <c r="S333" s="285" t="n"/>
      <c r="T333" s="284" t="n"/>
      <c r="U333" s="284" t="n"/>
      <c r="V333" s="285" t="n"/>
      <c r="W333" s="285" t="n"/>
      <c r="X333" s="285" t="n"/>
      <c r="Y333" s="285" t="n"/>
      <c r="Z333" s="285" t="n"/>
      <c r="AA333" s="285" t="n"/>
      <c r="AB333" s="285" t="n"/>
    </row>
    <row r="334" ht="15.75" customHeight="1" s="398">
      <c r="A334" s="284" t="n"/>
      <c r="B334" s="285" t="n"/>
      <c r="C334" s="368" t="n"/>
      <c r="D334" s="336" t="n"/>
      <c r="E334" s="284" t="n"/>
      <c r="F334" s="472" t="n"/>
      <c r="G334" s="472" t="n"/>
      <c r="H334" s="472" t="n"/>
      <c r="I334" s="472" t="n"/>
      <c r="J334" s="472" t="n"/>
      <c r="K334" s="472" t="n"/>
      <c r="L334" s="472" t="n"/>
      <c r="M334" s="472" t="n"/>
      <c r="N334" s="472" t="n"/>
      <c r="O334" s="472" t="n"/>
      <c r="P334" s="472" t="n"/>
      <c r="Q334" s="472" t="n"/>
      <c r="R334" s="472" t="n"/>
      <c r="S334" s="285" t="n"/>
      <c r="T334" s="284" t="n"/>
      <c r="U334" s="284" t="n"/>
      <c r="V334" s="285" t="n"/>
      <c r="W334" s="285" t="n"/>
      <c r="X334" s="285" t="n"/>
      <c r="Y334" s="285" t="n"/>
      <c r="Z334" s="285" t="n"/>
      <c r="AA334" s="285" t="n"/>
      <c r="AB334" s="285" t="n"/>
    </row>
    <row r="335" ht="15.75" customHeight="1" s="398">
      <c r="A335" s="284" t="n"/>
      <c r="B335" s="285" t="n"/>
      <c r="C335" s="368" t="n"/>
      <c r="D335" s="336" t="n"/>
      <c r="E335" s="284" t="n"/>
      <c r="F335" s="472" t="n"/>
      <c r="G335" s="472" t="n"/>
      <c r="H335" s="472" t="n"/>
      <c r="I335" s="472" t="n"/>
      <c r="J335" s="472" t="n"/>
      <c r="K335" s="472" t="n"/>
      <c r="L335" s="472" t="n"/>
      <c r="M335" s="472" t="n"/>
      <c r="N335" s="472" t="n"/>
      <c r="O335" s="472" t="n"/>
      <c r="P335" s="472" t="n"/>
      <c r="Q335" s="472" t="n"/>
      <c r="R335" s="472" t="n"/>
      <c r="S335" s="285" t="n"/>
      <c r="T335" s="284" t="n"/>
      <c r="U335" s="284" t="n"/>
      <c r="V335" s="285" t="n"/>
      <c r="W335" s="285" t="n"/>
      <c r="X335" s="285" t="n"/>
      <c r="Y335" s="285" t="n"/>
      <c r="Z335" s="285" t="n"/>
      <c r="AA335" s="285" t="n"/>
      <c r="AB335" s="285" t="n"/>
    </row>
    <row r="336" ht="15.75" customHeight="1" s="398">
      <c r="A336" s="284" t="n"/>
      <c r="B336" s="285" t="n"/>
      <c r="C336" s="368" t="n"/>
      <c r="D336" s="336" t="n"/>
      <c r="E336" s="284" t="n"/>
      <c r="F336" s="472" t="n"/>
      <c r="G336" s="472" t="n"/>
      <c r="H336" s="472" t="n"/>
      <c r="I336" s="472" t="n"/>
      <c r="J336" s="472" t="n"/>
      <c r="K336" s="472" t="n"/>
      <c r="L336" s="472" t="n"/>
      <c r="M336" s="472" t="n"/>
      <c r="N336" s="472" t="n"/>
      <c r="O336" s="472" t="n"/>
      <c r="P336" s="472" t="n"/>
      <c r="Q336" s="472" t="n"/>
      <c r="R336" s="472" t="n"/>
      <c r="S336" s="285" t="n"/>
      <c r="T336" s="284" t="n"/>
      <c r="U336" s="284" t="n"/>
      <c r="V336" s="285" t="n"/>
      <c r="W336" s="285" t="n"/>
      <c r="X336" s="285" t="n"/>
      <c r="Y336" s="285" t="n"/>
      <c r="Z336" s="285" t="n"/>
      <c r="AA336" s="285" t="n"/>
      <c r="AB336" s="285" t="n"/>
    </row>
    <row r="337" ht="15.75" customHeight="1" s="398">
      <c r="A337" s="284" t="n"/>
      <c r="B337" s="285" t="n"/>
      <c r="C337" s="368" t="n"/>
      <c r="D337" s="336" t="n"/>
      <c r="E337" s="284" t="n"/>
      <c r="F337" s="472" t="n"/>
      <c r="G337" s="472" t="n"/>
      <c r="H337" s="472" t="n"/>
      <c r="I337" s="472" t="n"/>
      <c r="J337" s="472" t="n"/>
      <c r="K337" s="472" t="n"/>
      <c r="L337" s="472" t="n"/>
      <c r="M337" s="472" t="n"/>
      <c r="N337" s="472" t="n"/>
      <c r="O337" s="472" t="n"/>
      <c r="P337" s="472" t="n"/>
      <c r="Q337" s="472" t="n"/>
      <c r="R337" s="472" t="n"/>
      <c r="S337" s="285" t="n"/>
      <c r="T337" s="284" t="n"/>
      <c r="U337" s="284" t="n"/>
      <c r="V337" s="285" t="n"/>
      <c r="W337" s="285" t="n"/>
      <c r="X337" s="285" t="n"/>
      <c r="Y337" s="285" t="n"/>
      <c r="Z337" s="285" t="n"/>
      <c r="AA337" s="285" t="n"/>
      <c r="AB337" s="285" t="n"/>
    </row>
    <row r="338" ht="15.75" customHeight="1" s="398">
      <c r="A338" s="284" t="n"/>
      <c r="B338" s="285" t="n"/>
      <c r="C338" s="368" t="n"/>
      <c r="D338" s="336" t="n"/>
      <c r="E338" s="284" t="n"/>
      <c r="F338" s="472" t="n"/>
      <c r="G338" s="472" t="n"/>
      <c r="H338" s="472" t="n"/>
      <c r="I338" s="472" t="n"/>
      <c r="J338" s="472" t="n"/>
      <c r="K338" s="472" t="n"/>
      <c r="L338" s="472" t="n"/>
      <c r="M338" s="472" t="n"/>
      <c r="N338" s="472" t="n"/>
      <c r="O338" s="472" t="n"/>
      <c r="P338" s="472" t="n"/>
      <c r="Q338" s="472" t="n"/>
      <c r="R338" s="472" t="n"/>
      <c r="S338" s="285" t="n"/>
      <c r="T338" s="284" t="n"/>
      <c r="U338" s="284" t="n"/>
      <c r="V338" s="285" t="n"/>
      <c r="W338" s="285" t="n"/>
      <c r="X338" s="285" t="n"/>
      <c r="Y338" s="285" t="n"/>
      <c r="Z338" s="285" t="n"/>
      <c r="AA338" s="285" t="n"/>
      <c r="AB338" s="285" t="n"/>
    </row>
    <row r="339" ht="15.75" customHeight="1" s="398">
      <c r="A339" s="284" t="n"/>
      <c r="B339" s="285" t="n"/>
      <c r="C339" s="368" t="n"/>
      <c r="D339" s="336" t="n"/>
      <c r="E339" s="284" t="n"/>
      <c r="F339" s="472" t="n"/>
      <c r="G339" s="472" t="n"/>
      <c r="H339" s="472" t="n"/>
      <c r="I339" s="472" t="n"/>
      <c r="J339" s="472" t="n"/>
      <c r="K339" s="472" t="n"/>
      <c r="L339" s="472" t="n"/>
      <c r="M339" s="472" t="n"/>
      <c r="N339" s="472" t="n"/>
      <c r="O339" s="472" t="n"/>
      <c r="P339" s="472" t="n"/>
      <c r="Q339" s="472" t="n"/>
      <c r="R339" s="472" t="n"/>
      <c r="S339" s="285" t="n"/>
      <c r="T339" s="284" t="n"/>
      <c r="U339" s="284" t="n"/>
      <c r="V339" s="285" t="n"/>
      <c r="W339" s="285" t="n"/>
      <c r="X339" s="285" t="n"/>
      <c r="Y339" s="285" t="n"/>
      <c r="Z339" s="285" t="n"/>
      <c r="AA339" s="285" t="n"/>
      <c r="AB339" s="285" t="n"/>
    </row>
    <row r="340" ht="15.75" customHeight="1" s="398">
      <c r="A340" s="284" t="n"/>
      <c r="B340" s="285" t="n"/>
      <c r="C340" s="368" t="n"/>
      <c r="D340" s="336" t="n"/>
      <c r="E340" s="284" t="n"/>
      <c r="F340" s="472" t="n"/>
      <c r="G340" s="472" t="n"/>
      <c r="H340" s="472" t="n"/>
      <c r="I340" s="472" t="n"/>
      <c r="J340" s="472" t="n"/>
      <c r="K340" s="472" t="n"/>
      <c r="L340" s="472" t="n"/>
      <c r="M340" s="472" t="n"/>
      <c r="N340" s="472" t="n"/>
      <c r="O340" s="472" t="n"/>
      <c r="P340" s="472" t="n"/>
      <c r="Q340" s="472" t="n"/>
      <c r="R340" s="472" t="n"/>
      <c r="S340" s="285" t="n"/>
      <c r="T340" s="284" t="n"/>
      <c r="U340" s="284" t="n"/>
      <c r="V340" s="285" t="n"/>
      <c r="W340" s="285" t="n"/>
      <c r="X340" s="285" t="n"/>
      <c r="Y340" s="285" t="n"/>
      <c r="Z340" s="285" t="n"/>
      <c r="AA340" s="285" t="n"/>
      <c r="AB340" s="285" t="n"/>
    </row>
    <row r="341" ht="15.75" customHeight="1" s="398">
      <c r="A341" s="284" t="n"/>
      <c r="B341" s="285" t="n"/>
      <c r="C341" s="368" t="n"/>
      <c r="D341" s="336" t="n"/>
      <c r="E341" s="284" t="n"/>
      <c r="F341" s="472" t="n"/>
      <c r="G341" s="472" t="n"/>
      <c r="H341" s="472" t="n"/>
      <c r="I341" s="472" t="n"/>
      <c r="J341" s="472" t="n"/>
      <c r="K341" s="472" t="n"/>
      <c r="L341" s="472" t="n"/>
      <c r="M341" s="472" t="n"/>
      <c r="N341" s="472" t="n"/>
      <c r="O341" s="472" t="n"/>
      <c r="P341" s="472" t="n"/>
      <c r="Q341" s="472" t="n"/>
      <c r="R341" s="472" t="n"/>
      <c r="S341" s="285" t="n"/>
      <c r="T341" s="284" t="n"/>
      <c r="U341" s="284" t="n"/>
      <c r="V341" s="285" t="n"/>
      <c r="W341" s="285" t="n"/>
      <c r="X341" s="285" t="n"/>
      <c r="Y341" s="285" t="n"/>
      <c r="Z341" s="285" t="n"/>
      <c r="AA341" s="285" t="n"/>
      <c r="AB341" s="285" t="n"/>
    </row>
    <row r="342" ht="15.75" customHeight="1" s="398">
      <c r="A342" s="284" t="n"/>
      <c r="B342" s="285" t="n"/>
      <c r="C342" s="368" t="n"/>
      <c r="D342" s="336" t="n"/>
      <c r="E342" s="284" t="n"/>
      <c r="F342" s="472" t="n"/>
      <c r="G342" s="472" t="n"/>
      <c r="H342" s="472" t="n"/>
      <c r="I342" s="472" t="n"/>
      <c r="J342" s="472" t="n"/>
      <c r="K342" s="472" t="n"/>
      <c r="L342" s="472" t="n"/>
      <c r="M342" s="472" t="n"/>
      <c r="N342" s="472" t="n"/>
      <c r="O342" s="472" t="n"/>
      <c r="P342" s="472" t="n"/>
      <c r="Q342" s="472" t="n"/>
      <c r="R342" s="472" t="n"/>
      <c r="S342" s="285" t="n"/>
      <c r="T342" s="284" t="n"/>
      <c r="U342" s="284" t="n"/>
      <c r="V342" s="285" t="n"/>
      <c r="W342" s="285" t="n"/>
      <c r="X342" s="285" t="n"/>
      <c r="Y342" s="285" t="n"/>
      <c r="Z342" s="285" t="n"/>
      <c r="AA342" s="285" t="n"/>
      <c r="AB342" s="285" t="n"/>
    </row>
    <row r="343" ht="15.75" customHeight="1" s="398">
      <c r="A343" s="284" t="n"/>
      <c r="B343" s="285" t="n"/>
      <c r="C343" s="368" t="n"/>
      <c r="D343" s="336" t="n"/>
      <c r="E343" s="284" t="n"/>
      <c r="F343" s="472" t="n"/>
      <c r="G343" s="472" t="n"/>
      <c r="H343" s="472" t="n"/>
      <c r="I343" s="472" t="n"/>
      <c r="J343" s="472" t="n"/>
      <c r="K343" s="472" t="n"/>
      <c r="L343" s="472" t="n"/>
      <c r="M343" s="472" t="n"/>
      <c r="N343" s="472" t="n"/>
      <c r="O343" s="472" t="n"/>
      <c r="P343" s="472" t="n"/>
      <c r="Q343" s="472" t="n"/>
      <c r="R343" s="472" t="n"/>
      <c r="S343" s="285" t="n"/>
      <c r="T343" s="284" t="n"/>
      <c r="U343" s="284" t="n"/>
      <c r="V343" s="285" t="n"/>
      <c r="W343" s="285" t="n"/>
      <c r="X343" s="285" t="n"/>
      <c r="Y343" s="285" t="n"/>
      <c r="Z343" s="285" t="n"/>
      <c r="AA343" s="285" t="n"/>
      <c r="AB343" s="285" t="n"/>
    </row>
    <row r="344" ht="15.75" customHeight="1" s="398">
      <c r="A344" s="284" t="n"/>
      <c r="B344" s="285" t="n"/>
      <c r="C344" s="368" t="n"/>
      <c r="D344" s="336" t="n"/>
      <c r="E344" s="284" t="n"/>
      <c r="F344" s="472" t="n"/>
      <c r="G344" s="472" t="n"/>
      <c r="H344" s="472" t="n"/>
      <c r="I344" s="472" t="n"/>
      <c r="J344" s="472" t="n"/>
      <c r="K344" s="472" t="n"/>
      <c r="L344" s="472" t="n"/>
      <c r="M344" s="472" t="n"/>
      <c r="N344" s="472" t="n"/>
      <c r="O344" s="472" t="n"/>
      <c r="P344" s="472" t="n"/>
      <c r="Q344" s="472" t="n"/>
      <c r="R344" s="472" t="n"/>
      <c r="S344" s="285" t="n"/>
      <c r="T344" s="284" t="n"/>
      <c r="U344" s="284" t="n"/>
      <c r="V344" s="285" t="n"/>
      <c r="W344" s="285" t="n"/>
      <c r="X344" s="285" t="n"/>
      <c r="Y344" s="285" t="n"/>
      <c r="Z344" s="285" t="n"/>
      <c r="AA344" s="285" t="n"/>
      <c r="AB344" s="285" t="n"/>
    </row>
    <row r="345" ht="15.75" customHeight="1" s="398">
      <c r="A345" s="284" t="n"/>
      <c r="B345" s="285" t="n"/>
      <c r="C345" s="368" t="n"/>
      <c r="D345" s="336" t="n"/>
      <c r="E345" s="284" t="n"/>
      <c r="F345" s="472" t="n"/>
      <c r="G345" s="472" t="n"/>
      <c r="H345" s="472" t="n"/>
      <c r="I345" s="472" t="n"/>
      <c r="J345" s="472" t="n"/>
      <c r="K345" s="472" t="n"/>
      <c r="L345" s="472" t="n"/>
      <c r="M345" s="472" t="n"/>
      <c r="N345" s="472" t="n"/>
      <c r="O345" s="472" t="n"/>
      <c r="P345" s="472" t="n"/>
      <c r="Q345" s="472" t="n"/>
      <c r="R345" s="472" t="n"/>
      <c r="S345" s="285" t="n"/>
      <c r="T345" s="284" t="n"/>
      <c r="U345" s="284" t="n"/>
      <c r="V345" s="285" t="n"/>
      <c r="W345" s="285" t="n"/>
      <c r="X345" s="285" t="n"/>
      <c r="Y345" s="285" t="n"/>
      <c r="Z345" s="285" t="n"/>
      <c r="AA345" s="285" t="n"/>
      <c r="AB345" s="285" t="n"/>
    </row>
    <row r="346" ht="15.75" customHeight="1" s="398">
      <c r="A346" s="284" t="n"/>
      <c r="B346" s="285" t="n"/>
      <c r="C346" s="368" t="n"/>
      <c r="D346" s="336" t="n"/>
      <c r="E346" s="284" t="n"/>
      <c r="F346" s="472" t="n"/>
      <c r="G346" s="472" t="n"/>
      <c r="H346" s="472" t="n"/>
      <c r="I346" s="472" t="n"/>
      <c r="J346" s="472" t="n"/>
      <c r="K346" s="472" t="n"/>
      <c r="L346" s="472" t="n"/>
      <c r="M346" s="472" t="n"/>
      <c r="N346" s="472" t="n"/>
      <c r="O346" s="472" t="n"/>
      <c r="P346" s="472" t="n"/>
      <c r="Q346" s="472" t="n"/>
      <c r="R346" s="472" t="n"/>
      <c r="S346" s="285" t="n"/>
      <c r="T346" s="284" t="n"/>
      <c r="U346" s="284" t="n"/>
      <c r="V346" s="285" t="n"/>
      <c r="W346" s="285" t="n"/>
      <c r="X346" s="285" t="n"/>
      <c r="Y346" s="285" t="n"/>
      <c r="Z346" s="285" t="n"/>
      <c r="AA346" s="285" t="n"/>
      <c r="AB346" s="285" t="n"/>
    </row>
    <row r="347" ht="15.75" customHeight="1" s="398">
      <c r="A347" s="284" t="n"/>
      <c r="B347" s="285" t="n"/>
      <c r="C347" s="368" t="n"/>
      <c r="D347" s="336" t="n"/>
      <c r="E347" s="284" t="n"/>
      <c r="F347" s="472" t="n"/>
      <c r="G347" s="472" t="n"/>
      <c r="H347" s="472" t="n"/>
      <c r="I347" s="472" t="n"/>
      <c r="J347" s="472" t="n"/>
      <c r="K347" s="472" t="n"/>
      <c r="L347" s="472" t="n"/>
      <c r="M347" s="472" t="n"/>
      <c r="N347" s="472" t="n"/>
      <c r="O347" s="472" t="n"/>
      <c r="P347" s="472" t="n"/>
      <c r="Q347" s="472" t="n"/>
      <c r="R347" s="472" t="n"/>
      <c r="S347" s="285" t="n"/>
      <c r="T347" s="284" t="n"/>
      <c r="U347" s="284" t="n"/>
      <c r="V347" s="285" t="n"/>
      <c r="W347" s="285" t="n"/>
      <c r="X347" s="285" t="n"/>
      <c r="Y347" s="285" t="n"/>
      <c r="Z347" s="285" t="n"/>
      <c r="AA347" s="285" t="n"/>
      <c r="AB347" s="285" t="n"/>
    </row>
    <row r="348" ht="15.75" customHeight="1" s="398">
      <c r="A348" s="284" t="n"/>
      <c r="B348" s="285" t="n"/>
      <c r="C348" s="368" t="n"/>
      <c r="D348" s="336" t="n"/>
      <c r="E348" s="284" t="n"/>
      <c r="F348" s="472" t="n"/>
      <c r="G348" s="472" t="n"/>
      <c r="H348" s="472" t="n"/>
      <c r="I348" s="472" t="n"/>
      <c r="J348" s="472" t="n"/>
      <c r="K348" s="472" t="n"/>
      <c r="L348" s="472" t="n"/>
      <c r="M348" s="472" t="n"/>
      <c r="N348" s="472" t="n"/>
      <c r="O348" s="472" t="n"/>
      <c r="P348" s="472" t="n"/>
      <c r="Q348" s="472" t="n"/>
      <c r="R348" s="472" t="n"/>
      <c r="S348" s="285" t="n"/>
      <c r="T348" s="284" t="n"/>
      <c r="U348" s="284" t="n"/>
      <c r="V348" s="285" t="n"/>
      <c r="W348" s="285" t="n"/>
      <c r="X348" s="285" t="n"/>
      <c r="Y348" s="285" t="n"/>
      <c r="Z348" s="285" t="n"/>
      <c r="AA348" s="285" t="n"/>
      <c r="AB348" s="285" t="n"/>
    </row>
    <row r="349" ht="15.75" customHeight="1" s="398">
      <c r="A349" s="284" t="n"/>
      <c r="B349" s="285" t="n"/>
      <c r="C349" s="368" t="n"/>
      <c r="D349" s="336" t="n"/>
      <c r="E349" s="284" t="n"/>
      <c r="F349" s="472" t="n"/>
      <c r="G349" s="472" t="n"/>
      <c r="H349" s="472" t="n"/>
      <c r="I349" s="472" t="n"/>
      <c r="J349" s="472" t="n"/>
      <c r="K349" s="472" t="n"/>
      <c r="L349" s="472" t="n"/>
      <c r="M349" s="472" t="n"/>
      <c r="N349" s="472" t="n"/>
      <c r="O349" s="472" t="n"/>
      <c r="P349" s="472" t="n"/>
      <c r="Q349" s="472" t="n"/>
      <c r="R349" s="472" t="n"/>
      <c r="S349" s="285" t="n"/>
      <c r="T349" s="284" t="n"/>
      <c r="U349" s="284" t="n"/>
      <c r="V349" s="285" t="n"/>
      <c r="W349" s="285" t="n"/>
      <c r="X349" s="285" t="n"/>
      <c r="Y349" s="285" t="n"/>
      <c r="Z349" s="285" t="n"/>
      <c r="AA349" s="285" t="n"/>
      <c r="AB349" s="285" t="n"/>
    </row>
    <row r="350" ht="15.75" customHeight="1" s="398">
      <c r="A350" s="284" t="n"/>
      <c r="B350" s="285" t="n"/>
      <c r="C350" s="368" t="n"/>
      <c r="D350" s="336" t="n"/>
      <c r="E350" s="284" t="n"/>
      <c r="F350" s="472" t="n"/>
      <c r="G350" s="472" t="n"/>
      <c r="H350" s="472" t="n"/>
      <c r="I350" s="472" t="n"/>
      <c r="J350" s="472" t="n"/>
      <c r="K350" s="472" t="n"/>
      <c r="L350" s="472" t="n"/>
      <c r="M350" s="472" t="n"/>
      <c r="N350" s="472" t="n"/>
      <c r="O350" s="472" t="n"/>
      <c r="P350" s="472" t="n"/>
      <c r="Q350" s="472" t="n"/>
      <c r="R350" s="472" t="n"/>
      <c r="S350" s="285" t="n"/>
      <c r="T350" s="284" t="n"/>
      <c r="U350" s="284" t="n"/>
      <c r="V350" s="285" t="n"/>
      <c r="W350" s="285" t="n"/>
      <c r="X350" s="285" t="n"/>
      <c r="Y350" s="285" t="n"/>
      <c r="Z350" s="285" t="n"/>
      <c r="AA350" s="285" t="n"/>
      <c r="AB350" s="285" t="n"/>
    </row>
    <row r="351" ht="15.75" customHeight="1" s="398">
      <c r="A351" s="284" t="n"/>
      <c r="B351" s="285" t="n"/>
      <c r="C351" s="368" t="n"/>
      <c r="D351" s="336" t="n"/>
      <c r="E351" s="284" t="n"/>
      <c r="F351" s="472" t="n"/>
      <c r="G351" s="472" t="n"/>
      <c r="H351" s="472" t="n"/>
      <c r="I351" s="472" t="n"/>
      <c r="J351" s="472" t="n"/>
      <c r="K351" s="472" t="n"/>
      <c r="L351" s="472" t="n"/>
      <c r="M351" s="472" t="n"/>
      <c r="N351" s="472" t="n"/>
      <c r="O351" s="472" t="n"/>
      <c r="P351" s="472" t="n"/>
      <c r="Q351" s="472" t="n"/>
      <c r="R351" s="472" t="n"/>
      <c r="S351" s="285" t="n"/>
      <c r="T351" s="284" t="n"/>
      <c r="U351" s="284" t="n"/>
      <c r="V351" s="285" t="n"/>
      <c r="W351" s="285" t="n"/>
      <c r="X351" s="285" t="n"/>
      <c r="Y351" s="285" t="n"/>
      <c r="Z351" s="285" t="n"/>
      <c r="AA351" s="285" t="n"/>
      <c r="AB351" s="285" t="n"/>
    </row>
    <row r="352" ht="15.75" customHeight="1" s="398">
      <c r="A352" s="284" t="n"/>
      <c r="B352" s="285" t="n"/>
      <c r="C352" s="368" t="n"/>
      <c r="D352" s="336" t="n"/>
      <c r="E352" s="284" t="n"/>
      <c r="F352" s="472" t="n"/>
      <c r="G352" s="472" t="n"/>
      <c r="H352" s="472" t="n"/>
      <c r="I352" s="472" t="n"/>
      <c r="J352" s="472" t="n"/>
      <c r="K352" s="472" t="n"/>
      <c r="L352" s="472" t="n"/>
      <c r="M352" s="472" t="n"/>
      <c r="N352" s="472" t="n"/>
      <c r="O352" s="472" t="n"/>
      <c r="P352" s="472" t="n"/>
      <c r="Q352" s="472" t="n"/>
      <c r="R352" s="472" t="n"/>
      <c r="S352" s="285" t="n"/>
      <c r="T352" s="284" t="n"/>
      <c r="U352" s="284" t="n"/>
      <c r="V352" s="285" t="n"/>
      <c r="W352" s="285" t="n"/>
      <c r="X352" s="285" t="n"/>
      <c r="Y352" s="285" t="n"/>
      <c r="Z352" s="285" t="n"/>
      <c r="AA352" s="285" t="n"/>
      <c r="AB352" s="285" t="n"/>
    </row>
    <row r="353" ht="15.75" customHeight="1" s="398">
      <c r="A353" s="284" t="n"/>
      <c r="B353" s="285" t="n"/>
      <c r="C353" s="368" t="n"/>
      <c r="D353" s="336" t="n"/>
      <c r="E353" s="284" t="n"/>
      <c r="F353" s="472" t="n"/>
      <c r="G353" s="472" t="n"/>
      <c r="H353" s="472" t="n"/>
      <c r="I353" s="472" t="n"/>
      <c r="J353" s="472" t="n"/>
      <c r="K353" s="472" t="n"/>
      <c r="L353" s="472" t="n"/>
      <c r="M353" s="472" t="n"/>
      <c r="N353" s="472" t="n"/>
      <c r="O353" s="472" t="n"/>
      <c r="P353" s="472" t="n"/>
      <c r="Q353" s="472" t="n"/>
      <c r="R353" s="472" t="n"/>
      <c r="S353" s="285" t="n"/>
      <c r="T353" s="284" t="n"/>
      <c r="U353" s="284" t="n"/>
      <c r="V353" s="285" t="n"/>
      <c r="W353" s="285" t="n"/>
      <c r="X353" s="285" t="n"/>
      <c r="Y353" s="285" t="n"/>
      <c r="Z353" s="285" t="n"/>
      <c r="AA353" s="285" t="n"/>
      <c r="AB353" s="285" t="n"/>
    </row>
    <row r="354" ht="15.75" customHeight="1" s="398">
      <c r="A354" s="284" t="n"/>
      <c r="B354" s="285" t="n"/>
      <c r="C354" s="368" t="n"/>
      <c r="D354" s="336" t="n"/>
      <c r="E354" s="284" t="n"/>
      <c r="F354" s="472" t="n"/>
      <c r="G354" s="472" t="n"/>
      <c r="H354" s="472" t="n"/>
      <c r="I354" s="472" t="n"/>
      <c r="J354" s="472" t="n"/>
      <c r="K354" s="472" t="n"/>
      <c r="L354" s="472" t="n"/>
      <c r="M354" s="472" t="n"/>
      <c r="N354" s="472" t="n"/>
      <c r="O354" s="472" t="n"/>
      <c r="P354" s="472" t="n"/>
      <c r="Q354" s="472" t="n"/>
      <c r="R354" s="472" t="n"/>
      <c r="S354" s="285" t="n"/>
      <c r="T354" s="284" t="n"/>
      <c r="U354" s="284" t="n"/>
      <c r="V354" s="285" t="n"/>
      <c r="W354" s="285" t="n"/>
      <c r="X354" s="285" t="n"/>
      <c r="Y354" s="285" t="n"/>
      <c r="Z354" s="285" t="n"/>
      <c r="AA354" s="285" t="n"/>
      <c r="AB354" s="285" t="n"/>
    </row>
    <row r="355" ht="15.75" customHeight="1" s="398">
      <c r="A355" s="284" t="n"/>
      <c r="B355" s="285" t="n"/>
      <c r="C355" s="368" t="n"/>
      <c r="D355" s="336" t="n"/>
      <c r="E355" s="284" t="n"/>
      <c r="F355" s="472" t="n"/>
      <c r="G355" s="472" t="n"/>
      <c r="H355" s="472" t="n"/>
      <c r="I355" s="472" t="n"/>
      <c r="J355" s="472" t="n"/>
      <c r="K355" s="472" t="n"/>
      <c r="L355" s="472" t="n"/>
      <c r="M355" s="472" t="n"/>
      <c r="N355" s="472" t="n"/>
      <c r="O355" s="472" t="n"/>
      <c r="P355" s="472" t="n"/>
      <c r="Q355" s="472" t="n"/>
      <c r="R355" s="472" t="n"/>
      <c r="S355" s="285" t="n"/>
      <c r="T355" s="284" t="n"/>
      <c r="U355" s="284" t="n"/>
      <c r="V355" s="285" t="n"/>
      <c r="W355" s="285" t="n"/>
      <c r="X355" s="285" t="n"/>
      <c r="Y355" s="285" t="n"/>
      <c r="Z355" s="285" t="n"/>
      <c r="AA355" s="285" t="n"/>
      <c r="AB355" s="285" t="n"/>
    </row>
    <row r="356" ht="15.75" customHeight="1" s="398">
      <c r="A356" s="284" t="n"/>
      <c r="B356" s="285" t="n"/>
      <c r="C356" s="368" t="n"/>
      <c r="D356" s="336" t="n"/>
      <c r="E356" s="284" t="n"/>
      <c r="F356" s="472" t="n"/>
      <c r="G356" s="472" t="n"/>
      <c r="H356" s="472" t="n"/>
      <c r="I356" s="472" t="n"/>
      <c r="J356" s="472" t="n"/>
      <c r="K356" s="472" t="n"/>
      <c r="L356" s="472" t="n"/>
      <c r="M356" s="472" t="n"/>
      <c r="N356" s="472" t="n"/>
      <c r="O356" s="472" t="n"/>
      <c r="P356" s="472" t="n"/>
      <c r="Q356" s="472" t="n"/>
      <c r="R356" s="472" t="n"/>
      <c r="S356" s="285" t="n"/>
      <c r="T356" s="284" t="n"/>
      <c r="U356" s="284" t="n"/>
      <c r="V356" s="285" t="n"/>
      <c r="W356" s="285" t="n"/>
      <c r="X356" s="285" t="n"/>
      <c r="Y356" s="285" t="n"/>
      <c r="Z356" s="285" t="n"/>
      <c r="AA356" s="285" t="n"/>
      <c r="AB356" s="285" t="n"/>
    </row>
    <row r="357" ht="15.75" customHeight="1" s="398">
      <c r="A357" s="284" t="n"/>
      <c r="B357" s="285" t="n"/>
      <c r="C357" s="368" t="n"/>
      <c r="D357" s="336" t="n"/>
      <c r="E357" s="284" t="n"/>
      <c r="F357" s="472" t="n"/>
      <c r="G357" s="472" t="n"/>
      <c r="H357" s="472" t="n"/>
      <c r="I357" s="472" t="n"/>
      <c r="J357" s="472" t="n"/>
      <c r="K357" s="472" t="n"/>
      <c r="L357" s="472" t="n"/>
      <c r="M357" s="472" t="n"/>
      <c r="N357" s="472" t="n"/>
      <c r="O357" s="472" t="n"/>
      <c r="P357" s="472" t="n"/>
      <c r="Q357" s="472" t="n"/>
      <c r="R357" s="472" t="n"/>
      <c r="S357" s="285" t="n"/>
      <c r="T357" s="284" t="n"/>
      <c r="U357" s="284" t="n"/>
      <c r="V357" s="285" t="n"/>
      <c r="W357" s="285" t="n"/>
      <c r="X357" s="285" t="n"/>
      <c r="Y357" s="285" t="n"/>
      <c r="Z357" s="285" t="n"/>
      <c r="AA357" s="285" t="n"/>
      <c r="AB357" s="285" t="n"/>
    </row>
    <row r="358" ht="15.75" customHeight="1" s="398">
      <c r="A358" s="284" t="n"/>
      <c r="B358" s="285" t="n"/>
      <c r="C358" s="368" t="n"/>
      <c r="D358" s="336" t="n"/>
      <c r="E358" s="284" t="n"/>
      <c r="F358" s="472" t="n"/>
      <c r="G358" s="472" t="n"/>
      <c r="H358" s="472" t="n"/>
      <c r="I358" s="472" t="n"/>
      <c r="J358" s="472" t="n"/>
      <c r="K358" s="472" t="n"/>
      <c r="L358" s="472" t="n"/>
      <c r="M358" s="472" t="n"/>
      <c r="N358" s="472" t="n"/>
      <c r="O358" s="472" t="n"/>
      <c r="P358" s="472" t="n"/>
      <c r="Q358" s="472" t="n"/>
      <c r="R358" s="472" t="n"/>
      <c r="S358" s="285" t="n"/>
      <c r="T358" s="284" t="n"/>
      <c r="U358" s="284" t="n"/>
      <c r="V358" s="285" t="n"/>
      <c r="W358" s="285" t="n"/>
      <c r="X358" s="285" t="n"/>
      <c r="Y358" s="285" t="n"/>
      <c r="Z358" s="285" t="n"/>
      <c r="AA358" s="285" t="n"/>
      <c r="AB358" s="285" t="n"/>
    </row>
    <row r="359" ht="15.75" customHeight="1" s="398">
      <c r="A359" s="284" t="n"/>
      <c r="B359" s="285" t="n"/>
      <c r="C359" s="368" t="n"/>
      <c r="D359" s="336" t="n"/>
      <c r="E359" s="284" t="n"/>
      <c r="F359" s="472" t="n"/>
      <c r="G359" s="472" t="n"/>
      <c r="H359" s="472" t="n"/>
      <c r="I359" s="472" t="n"/>
      <c r="J359" s="472" t="n"/>
      <c r="K359" s="472" t="n"/>
      <c r="L359" s="472" t="n"/>
      <c r="M359" s="472" t="n"/>
      <c r="N359" s="472" t="n"/>
      <c r="O359" s="472" t="n"/>
      <c r="P359" s="472" t="n"/>
      <c r="Q359" s="472" t="n"/>
      <c r="R359" s="472" t="n"/>
      <c r="S359" s="285" t="n"/>
      <c r="T359" s="284" t="n"/>
      <c r="U359" s="284" t="n"/>
      <c r="V359" s="285" t="n"/>
      <c r="W359" s="285" t="n"/>
      <c r="X359" s="285" t="n"/>
      <c r="Y359" s="285" t="n"/>
      <c r="Z359" s="285" t="n"/>
      <c r="AA359" s="285" t="n"/>
      <c r="AB359" s="285" t="n"/>
    </row>
    <row r="360" ht="15.75" customHeight="1" s="398">
      <c r="A360" s="284" t="n"/>
      <c r="B360" s="285" t="n"/>
      <c r="C360" s="368" t="n"/>
      <c r="D360" s="336" t="n"/>
      <c r="E360" s="284" t="n"/>
      <c r="F360" s="472" t="n"/>
      <c r="G360" s="472" t="n"/>
      <c r="H360" s="472" t="n"/>
      <c r="I360" s="472" t="n"/>
      <c r="J360" s="472" t="n"/>
      <c r="K360" s="472" t="n"/>
      <c r="L360" s="472" t="n"/>
      <c r="M360" s="472" t="n"/>
      <c r="N360" s="472" t="n"/>
      <c r="O360" s="472" t="n"/>
      <c r="P360" s="472" t="n"/>
      <c r="Q360" s="472" t="n"/>
      <c r="R360" s="472" t="n"/>
      <c r="S360" s="285" t="n"/>
      <c r="T360" s="284" t="n"/>
      <c r="U360" s="284" t="n"/>
      <c r="V360" s="285" t="n"/>
      <c r="W360" s="285" t="n"/>
      <c r="X360" s="285" t="n"/>
      <c r="Y360" s="285" t="n"/>
      <c r="Z360" s="285" t="n"/>
      <c r="AA360" s="285" t="n"/>
      <c r="AB360" s="285" t="n"/>
    </row>
    <row r="361" ht="15.75" customHeight="1" s="398">
      <c r="A361" s="284" t="n"/>
      <c r="B361" s="285" t="n"/>
      <c r="C361" s="368" t="n"/>
      <c r="D361" s="336" t="n"/>
      <c r="E361" s="284" t="n"/>
      <c r="F361" s="472" t="n"/>
      <c r="G361" s="472" t="n"/>
      <c r="H361" s="472" t="n"/>
      <c r="I361" s="472" t="n"/>
      <c r="J361" s="472" t="n"/>
      <c r="K361" s="472" t="n"/>
      <c r="L361" s="472" t="n"/>
      <c r="M361" s="472" t="n"/>
      <c r="N361" s="472" t="n"/>
      <c r="O361" s="472" t="n"/>
      <c r="P361" s="472" t="n"/>
      <c r="Q361" s="472" t="n"/>
      <c r="R361" s="472" t="n"/>
      <c r="S361" s="285" t="n"/>
      <c r="T361" s="284" t="n"/>
      <c r="U361" s="284" t="n"/>
      <c r="V361" s="285" t="n"/>
      <c r="W361" s="285" t="n"/>
      <c r="X361" s="285" t="n"/>
      <c r="Y361" s="285" t="n"/>
      <c r="Z361" s="285" t="n"/>
      <c r="AA361" s="285" t="n"/>
      <c r="AB361" s="285" t="n"/>
    </row>
    <row r="362" ht="15.75" customHeight="1" s="398">
      <c r="A362" s="284" t="n"/>
      <c r="B362" s="285" t="n"/>
      <c r="C362" s="368" t="n"/>
      <c r="D362" s="336" t="n"/>
      <c r="E362" s="284" t="n"/>
      <c r="F362" s="472" t="n"/>
      <c r="G362" s="472" t="n"/>
      <c r="H362" s="472" t="n"/>
      <c r="I362" s="472" t="n"/>
      <c r="J362" s="472" t="n"/>
      <c r="K362" s="472" t="n"/>
      <c r="L362" s="472" t="n"/>
      <c r="M362" s="472" t="n"/>
      <c r="N362" s="472" t="n"/>
      <c r="O362" s="472" t="n"/>
      <c r="P362" s="472" t="n"/>
      <c r="Q362" s="472" t="n"/>
      <c r="R362" s="472" t="n"/>
      <c r="S362" s="285" t="n"/>
      <c r="T362" s="284" t="n"/>
      <c r="U362" s="284" t="n"/>
      <c r="V362" s="285" t="n"/>
      <c r="W362" s="285" t="n"/>
      <c r="X362" s="285" t="n"/>
      <c r="Y362" s="285" t="n"/>
      <c r="Z362" s="285" t="n"/>
      <c r="AA362" s="285" t="n"/>
      <c r="AB362" s="285" t="n"/>
    </row>
    <row r="363" ht="15.75" customHeight="1" s="398">
      <c r="A363" s="284" t="n"/>
      <c r="B363" s="285" t="n"/>
      <c r="C363" s="368" t="n"/>
      <c r="D363" s="336" t="n"/>
      <c r="E363" s="284" t="n"/>
      <c r="F363" s="472" t="n"/>
      <c r="G363" s="472" t="n"/>
      <c r="H363" s="472" t="n"/>
      <c r="I363" s="472" t="n"/>
      <c r="J363" s="472" t="n"/>
      <c r="K363" s="472" t="n"/>
      <c r="L363" s="472" t="n"/>
      <c r="M363" s="472" t="n"/>
      <c r="N363" s="472" t="n"/>
      <c r="O363" s="472" t="n"/>
      <c r="P363" s="472" t="n"/>
      <c r="Q363" s="472" t="n"/>
      <c r="R363" s="472" t="n"/>
      <c r="S363" s="285" t="n"/>
      <c r="T363" s="284" t="n"/>
      <c r="U363" s="284" t="n"/>
      <c r="V363" s="285" t="n"/>
      <c r="W363" s="285" t="n"/>
      <c r="X363" s="285" t="n"/>
      <c r="Y363" s="285" t="n"/>
      <c r="Z363" s="285" t="n"/>
      <c r="AA363" s="285" t="n"/>
      <c r="AB363" s="285" t="n"/>
    </row>
    <row r="364" ht="15.75" customHeight="1" s="398">
      <c r="A364" s="284" t="n"/>
      <c r="B364" s="285" t="n"/>
      <c r="C364" s="368" t="n"/>
      <c r="D364" s="336" t="n"/>
      <c r="E364" s="284" t="n"/>
      <c r="F364" s="472" t="n"/>
      <c r="G364" s="472" t="n"/>
      <c r="H364" s="472" t="n"/>
      <c r="I364" s="472" t="n"/>
      <c r="J364" s="472" t="n"/>
      <c r="K364" s="472" t="n"/>
      <c r="L364" s="472" t="n"/>
      <c r="M364" s="472" t="n"/>
      <c r="N364" s="472" t="n"/>
      <c r="O364" s="472" t="n"/>
      <c r="P364" s="472" t="n"/>
      <c r="Q364" s="472" t="n"/>
      <c r="R364" s="472" t="n"/>
      <c r="S364" s="285" t="n"/>
      <c r="T364" s="284" t="n"/>
      <c r="U364" s="284" t="n"/>
      <c r="V364" s="285" t="n"/>
      <c r="W364" s="285" t="n"/>
      <c r="X364" s="285" t="n"/>
      <c r="Y364" s="285" t="n"/>
      <c r="Z364" s="285" t="n"/>
      <c r="AA364" s="285" t="n"/>
      <c r="AB364" s="285" t="n"/>
    </row>
    <row r="365" ht="15.75" customHeight="1" s="398">
      <c r="A365" s="284" t="n"/>
      <c r="B365" s="285" t="n"/>
      <c r="C365" s="368" t="n"/>
      <c r="D365" s="336" t="n"/>
      <c r="E365" s="284" t="n"/>
      <c r="F365" s="472" t="n"/>
      <c r="G365" s="472" t="n"/>
      <c r="H365" s="472" t="n"/>
      <c r="I365" s="472" t="n"/>
      <c r="J365" s="472" t="n"/>
      <c r="K365" s="472" t="n"/>
      <c r="L365" s="472" t="n"/>
      <c r="M365" s="472" t="n"/>
      <c r="N365" s="472" t="n"/>
      <c r="O365" s="472" t="n"/>
      <c r="P365" s="472" t="n"/>
      <c r="Q365" s="472" t="n"/>
      <c r="R365" s="472" t="n"/>
      <c r="S365" s="285" t="n"/>
      <c r="T365" s="284" t="n"/>
      <c r="U365" s="284" t="n"/>
      <c r="V365" s="285" t="n"/>
      <c r="W365" s="285" t="n"/>
      <c r="X365" s="285" t="n"/>
      <c r="Y365" s="285" t="n"/>
      <c r="Z365" s="285" t="n"/>
      <c r="AA365" s="285" t="n"/>
      <c r="AB365" s="285" t="n"/>
    </row>
    <row r="366" ht="15.75" customHeight="1" s="398">
      <c r="A366" s="284" t="n"/>
      <c r="B366" s="285" t="n"/>
      <c r="C366" s="368" t="n"/>
      <c r="D366" s="336" t="n"/>
      <c r="E366" s="284" t="n"/>
      <c r="F366" s="472" t="n"/>
      <c r="G366" s="472" t="n"/>
      <c r="H366" s="472" t="n"/>
      <c r="I366" s="472" t="n"/>
      <c r="J366" s="472" t="n"/>
      <c r="K366" s="472" t="n"/>
      <c r="L366" s="472" t="n"/>
      <c r="M366" s="472" t="n"/>
      <c r="N366" s="472" t="n"/>
      <c r="O366" s="472" t="n"/>
      <c r="P366" s="472" t="n"/>
      <c r="Q366" s="472" t="n"/>
      <c r="R366" s="472" t="n"/>
      <c r="S366" s="285" t="n"/>
      <c r="T366" s="284" t="n"/>
      <c r="U366" s="284" t="n"/>
      <c r="V366" s="285" t="n"/>
      <c r="W366" s="285" t="n"/>
      <c r="X366" s="285" t="n"/>
      <c r="Y366" s="285" t="n"/>
      <c r="Z366" s="285" t="n"/>
      <c r="AA366" s="285" t="n"/>
      <c r="AB366" s="285" t="n"/>
    </row>
    <row r="367" ht="15.75" customHeight="1" s="398">
      <c r="A367" s="284" t="n"/>
      <c r="B367" s="285" t="n"/>
      <c r="C367" s="368" t="n"/>
      <c r="D367" s="336" t="n"/>
      <c r="E367" s="284" t="n"/>
      <c r="F367" s="472" t="n"/>
      <c r="G367" s="472" t="n"/>
      <c r="H367" s="472" t="n"/>
      <c r="I367" s="472" t="n"/>
      <c r="J367" s="472" t="n"/>
      <c r="K367" s="472" t="n"/>
      <c r="L367" s="472" t="n"/>
      <c r="M367" s="472" t="n"/>
      <c r="N367" s="472" t="n"/>
      <c r="O367" s="472" t="n"/>
      <c r="P367" s="472" t="n"/>
      <c r="Q367" s="472" t="n"/>
      <c r="R367" s="472" t="n"/>
      <c r="S367" s="285" t="n"/>
      <c r="T367" s="284" t="n"/>
      <c r="U367" s="284" t="n"/>
      <c r="V367" s="285" t="n"/>
      <c r="W367" s="285" t="n"/>
      <c r="X367" s="285" t="n"/>
      <c r="Y367" s="285" t="n"/>
      <c r="Z367" s="285" t="n"/>
      <c r="AA367" s="285" t="n"/>
      <c r="AB367" s="285" t="n"/>
    </row>
    <row r="368" ht="15.75" customHeight="1" s="398">
      <c r="A368" s="284" t="n"/>
      <c r="B368" s="285" t="n"/>
      <c r="C368" s="368" t="n"/>
      <c r="D368" s="336" t="n"/>
      <c r="E368" s="284" t="n"/>
      <c r="F368" s="472" t="n"/>
      <c r="G368" s="472" t="n"/>
      <c r="H368" s="472" t="n"/>
      <c r="I368" s="472" t="n"/>
      <c r="J368" s="472" t="n"/>
      <c r="K368" s="472" t="n"/>
      <c r="L368" s="472" t="n"/>
      <c r="M368" s="472" t="n"/>
      <c r="N368" s="472" t="n"/>
      <c r="O368" s="472" t="n"/>
      <c r="P368" s="472" t="n"/>
      <c r="Q368" s="472" t="n"/>
      <c r="R368" s="472" t="n"/>
      <c r="S368" s="285" t="n"/>
      <c r="T368" s="284" t="n"/>
      <c r="U368" s="284" t="n"/>
      <c r="V368" s="285" t="n"/>
      <c r="W368" s="285" t="n"/>
      <c r="X368" s="285" t="n"/>
      <c r="Y368" s="285" t="n"/>
      <c r="Z368" s="285" t="n"/>
      <c r="AA368" s="285" t="n"/>
      <c r="AB368" s="285" t="n"/>
    </row>
    <row r="369" ht="15.75" customHeight="1" s="398">
      <c r="A369" s="284" t="n"/>
      <c r="B369" s="285" t="n"/>
      <c r="C369" s="368" t="n"/>
      <c r="D369" s="336" t="n"/>
      <c r="E369" s="284" t="n"/>
      <c r="F369" s="472" t="n"/>
      <c r="G369" s="472" t="n"/>
      <c r="H369" s="472" t="n"/>
      <c r="I369" s="472" t="n"/>
      <c r="J369" s="472" t="n"/>
      <c r="K369" s="472" t="n"/>
      <c r="L369" s="472" t="n"/>
      <c r="M369" s="472" t="n"/>
      <c r="N369" s="472" t="n"/>
      <c r="O369" s="472" t="n"/>
      <c r="P369" s="472" t="n"/>
      <c r="Q369" s="472" t="n"/>
      <c r="R369" s="472" t="n"/>
      <c r="S369" s="285" t="n"/>
      <c r="T369" s="284" t="n"/>
      <c r="U369" s="284" t="n"/>
      <c r="V369" s="285" t="n"/>
      <c r="W369" s="285" t="n"/>
      <c r="X369" s="285" t="n"/>
      <c r="Y369" s="285" t="n"/>
      <c r="Z369" s="285" t="n"/>
      <c r="AA369" s="285" t="n"/>
      <c r="AB369" s="285" t="n"/>
    </row>
    <row r="370" ht="15.75" customHeight="1" s="398">
      <c r="A370" s="284" t="n"/>
      <c r="B370" s="285" t="n"/>
      <c r="C370" s="368" t="n"/>
      <c r="D370" s="336" t="n"/>
      <c r="E370" s="284" t="n"/>
      <c r="F370" s="472" t="n"/>
      <c r="G370" s="472" t="n"/>
      <c r="H370" s="472" t="n"/>
      <c r="I370" s="472" t="n"/>
      <c r="J370" s="472" t="n"/>
      <c r="K370" s="472" t="n"/>
      <c r="L370" s="472" t="n"/>
      <c r="M370" s="472" t="n"/>
      <c r="N370" s="472" t="n"/>
      <c r="O370" s="472" t="n"/>
      <c r="P370" s="472" t="n"/>
      <c r="Q370" s="472" t="n"/>
      <c r="R370" s="472" t="n"/>
      <c r="S370" s="285" t="n"/>
      <c r="T370" s="284" t="n"/>
      <c r="U370" s="284" t="n"/>
      <c r="V370" s="285" t="n"/>
      <c r="W370" s="285" t="n"/>
      <c r="X370" s="285" t="n"/>
      <c r="Y370" s="285" t="n"/>
      <c r="Z370" s="285" t="n"/>
      <c r="AA370" s="285" t="n"/>
      <c r="AB370" s="285" t="n"/>
    </row>
    <row r="371" ht="15.75" customHeight="1" s="398">
      <c r="A371" s="284" t="n"/>
      <c r="B371" s="285" t="n"/>
      <c r="C371" s="368" t="n"/>
      <c r="D371" s="336" t="n"/>
      <c r="E371" s="284" t="n"/>
      <c r="F371" s="472" t="n"/>
      <c r="G371" s="472" t="n"/>
      <c r="H371" s="472" t="n"/>
      <c r="I371" s="472" t="n"/>
      <c r="J371" s="472" t="n"/>
      <c r="K371" s="472" t="n"/>
      <c r="L371" s="472" t="n"/>
      <c r="M371" s="472" t="n"/>
      <c r="N371" s="472" t="n"/>
      <c r="O371" s="472" t="n"/>
      <c r="P371" s="472" t="n"/>
      <c r="Q371" s="472" t="n"/>
      <c r="R371" s="472" t="n"/>
      <c r="S371" s="285" t="n"/>
      <c r="T371" s="284" t="n"/>
      <c r="U371" s="284" t="n"/>
      <c r="V371" s="285" t="n"/>
      <c r="W371" s="285" t="n"/>
      <c r="X371" s="285" t="n"/>
      <c r="Y371" s="285" t="n"/>
      <c r="Z371" s="285" t="n"/>
      <c r="AA371" s="285" t="n"/>
      <c r="AB371" s="285" t="n"/>
    </row>
    <row r="372" ht="15.75" customHeight="1" s="398">
      <c r="A372" s="284" t="n"/>
      <c r="B372" s="285" t="n"/>
      <c r="C372" s="368" t="n"/>
      <c r="D372" s="336" t="n"/>
      <c r="E372" s="284" t="n"/>
      <c r="F372" s="472" t="n"/>
      <c r="G372" s="472" t="n"/>
      <c r="H372" s="472" t="n"/>
      <c r="I372" s="472" t="n"/>
      <c r="J372" s="472" t="n"/>
      <c r="K372" s="472" t="n"/>
      <c r="L372" s="472" t="n"/>
      <c r="M372" s="472" t="n"/>
      <c r="N372" s="472" t="n"/>
      <c r="O372" s="472" t="n"/>
      <c r="P372" s="472" t="n"/>
      <c r="Q372" s="472" t="n"/>
      <c r="R372" s="472" t="n"/>
      <c r="S372" s="285" t="n"/>
      <c r="T372" s="284" t="n"/>
      <c r="U372" s="284" t="n"/>
      <c r="V372" s="285" t="n"/>
      <c r="W372" s="285" t="n"/>
      <c r="X372" s="285" t="n"/>
      <c r="Y372" s="285" t="n"/>
      <c r="Z372" s="285" t="n"/>
      <c r="AA372" s="285" t="n"/>
      <c r="AB372" s="285" t="n"/>
    </row>
    <row r="373" ht="15.75" customHeight="1" s="398">
      <c r="A373" s="284" t="n"/>
      <c r="B373" s="285" t="n"/>
      <c r="C373" s="368" t="n"/>
      <c r="D373" s="336" t="n"/>
      <c r="E373" s="284" t="n"/>
      <c r="F373" s="472" t="n"/>
      <c r="G373" s="472" t="n"/>
      <c r="H373" s="472" t="n"/>
      <c r="I373" s="472" t="n"/>
      <c r="J373" s="472" t="n"/>
      <c r="K373" s="472" t="n"/>
      <c r="L373" s="472" t="n"/>
      <c r="M373" s="472" t="n"/>
      <c r="N373" s="472" t="n"/>
      <c r="O373" s="472" t="n"/>
      <c r="P373" s="472" t="n"/>
      <c r="Q373" s="472" t="n"/>
      <c r="R373" s="472" t="n"/>
      <c r="S373" s="285" t="n"/>
      <c r="T373" s="284" t="n"/>
      <c r="U373" s="284" t="n"/>
      <c r="V373" s="285" t="n"/>
      <c r="W373" s="285" t="n"/>
      <c r="X373" s="285" t="n"/>
      <c r="Y373" s="285" t="n"/>
      <c r="Z373" s="285" t="n"/>
      <c r="AA373" s="285" t="n"/>
      <c r="AB373" s="285" t="n"/>
    </row>
    <row r="374" ht="15.75" customHeight="1" s="398">
      <c r="A374" s="284" t="n"/>
      <c r="B374" s="285" t="n"/>
      <c r="C374" s="368" t="n"/>
      <c r="D374" s="336" t="n"/>
      <c r="E374" s="284" t="n"/>
      <c r="F374" s="472" t="n"/>
      <c r="G374" s="472" t="n"/>
      <c r="H374" s="472" t="n"/>
      <c r="I374" s="472" t="n"/>
      <c r="J374" s="472" t="n"/>
      <c r="K374" s="472" t="n"/>
      <c r="L374" s="472" t="n"/>
      <c r="M374" s="472" t="n"/>
      <c r="N374" s="472" t="n"/>
      <c r="O374" s="472" t="n"/>
      <c r="P374" s="472" t="n"/>
      <c r="Q374" s="472" t="n"/>
      <c r="R374" s="472" t="n"/>
      <c r="S374" s="285" t="n"/>
      <c r="T374" s="284" t="n"/>
      <c r="U374" s="284" t="n"/>
      <c r="V374" s="285" t="n"/>
      <c r="W374" s="285" t="n"/>
      <c r="X374" s="285" t="n"/>
      <c r="Y374" s="285" t="n"/>
      <c r="Z374" s="285" t="n"/>
      <c r="AA374" s="285" t="n"/>
      <c r="AB374" s="285" t="n"/>
    </row>
    <row r="375" ht="15.75" customHeight="1" s="398">
      <c r="A375" s="284" t="n"/>
      <c r="B375" s="285" t="n"/>
      <c r="C375" s="368" t="n"/>
      <c r="D375" s="336" t="n"/>
      <c r="E375" s="284" t="n"/>
      <c r="F375" s="472" t="n"/>
      <c r="G375" s="472" t="n"/>
      <c r="H375" s="472" t="n"/>
      <c r="I375" s="472" t="n"/>
      <c r="J375" s="472" t="n"/>
      <c r="K375" s="472" t="n"/>
      <c r="L375" s="472" t="n"/>
      <c r="M375" s="472" t="n"/>
      <c r="N375" s="472" t="n"/>
      <c r="O375" s="472" t="n"/>
      <c r="P375" s="472" t="n"/>
      <c r="Q375" s="472" t="n"/>
      <c r="R375" s="472" t="n"/>
      <c r="S375" s="285" t="n"/>
      <c r="T375" s="284" t="n"/>
      <c r="U375" s="284" t="n"/>
      <c r="V375" s="285" t="n"/>
      <c r="W375" s="285" t="n"/>
      <c r="X375" s="285" t="n"/>
      <c r="Y375" s="285" t="n"/>
      <c r="Z375" s="285" t="n"/>
      <c r="AA375" s="285" t="n"/>
      <c r="AB375" s="285" t="n"/>
    </row>
    <row r="376" ht="15.75" customHeight="1" s="398">
      <c r="A376" s="284" t="n"/>
      <c r="B376" s="285" t="n"/>
      <c r="C376" s="368" t="n"/>
      <c r="D376" s="336" t="n"/>
      <c r="E376" s="284" t="n"/>
      <c r="F376" s="472" t="n"/>
      <c r="G376" s="472" t="n"/>
      <c r="H376" s="472" t="n"/>
      <c r="I376" s="472" t="n"/>
      <c r="J376" s="472" t="n"/>
      <c r="K376" s="472" t="n"/>
      <c r="L376" s="472" t="n"/>
      <c r="M376" s="472" t="n"/>
      <c r="N376" s="472" t="n"/>
      <c r="O376" s="472" t="n"/>
      <c r="P376" s="472" t="n"/>
      <c r="Q376" s="472" t="n"/>
      <c r="R376" s="472" t="n"/>
      <c r="S376" s="285" t="n"/>
      <c r="T376" s="284" t="n"/>
      <c r="U376" s="284" t="n"/>
      <c r="V376" s="285" t="n"/>
      <c r="W376" s="285" t="n"/>
      <c r="X376" s="285" t="n"/>
      <c r="Y376" s="285" t="n"/>
      <c r="Z376" s="285" t="n"/>
      <c r="AA376" s="285" t="n"/>
      <c r="AB376" s="285" t="n"/>
    </row>
    <row r="377" ht="15.75" customHeight="1" s="398">
      <c r="A377" s="284" t="n"/>
      <c r="B377" s="285" t="n"/>
      <c r="C377" s="368" t="n"/>
      <c r="D377" s="336" t="n"/>
      <c r="E377" s="284" t="n"/>
      <c r="F377" s="472" t="n"/>
      <c r="G377" s="472" t="n"/>
      <c r="H377" s="472" t="n"/>
      <c r="I377" s="472" t="n"/>
      <c r="J377" s="472" t="n"/>
      <c r="K377" s="472" t="n"/>
      <c r="L377" s="472" t="n"/>
      <c r="M377" s="472" t="n"/>
      <c r="N377" s="472" t="n"/>
      <c r="O377" s="472" t="n"/>
      <c r="P377" s="472" t="n"/>
      <c r="Q377" s="472" t="n"/>
      <c r="R377" s="472" t="n"/>
      <c r="S377" s="285" t="n"/>
      <c r="T377" s="284" t="n"/>
      <c r="U377" s="284" t="n"/>
      <c r="V377" s="285" t="n"/>
      <c r="W377" s="285" t="n"/>
      <c r="X377" s="285" t="n"/>
      <c r="Y377" s="285" t="n"/>
      <c r="Z377" s="285" t="n"/>
      <c r="AA377" s="285" t="n"/>
      <c r="AB377" s="285" t="n"/>
    </row>
    <row r="378" ht="15.75" customHeight="1" s="398">
      <c r="A378" s="284" t="n"/>
      <c r="B378" s="285" t="n"/>
      <c r="C378" s="368" t="n"/>
      <c r="D378" s="336" t="n"/>
      <c r="E378" s="284" t="n"/>
      <c r="F378" s="472" t="n"/>
      <c r="G378" s="472" t="n"/>
      <c r="H378" s="472" t="n"/>
      <c r="I378" s="472" t="n"/>
      <c r="J378" s="472" t="n"/>
      <c r="K378" s="472" t="n"/>
      <c r="L378" s="472" t="n"/>
      <c r="M378" s="472" t="n"/>
      <c r="N378" s="472" t="n"/>
      <c r="O378" s="472" t="n"/>
      <c r="P378" s="472" t="n"/>
      <c r="Q378" s="472" t="n"/>
      <c r="R378" s="472" t="n"/>
      <c r="S378" s="285" t="n"/>
      <c r="T378" s="284" t="n"/>
      <c r="U378" s="284" t="n"/>
      <c r="V378" s="285" t="n"/>
      <c r="W378" s="285" t="n"/>
      <c r="X378" s="285" t="n"/>
      <c r="Y378" s="285" t="n"/>
      <c r="Z378" s="285" t="n"/>
      <c r="AA378" s="285" t="n"/>
      <c r="AB378" s="285" t="n"/>
    </row>
    <row r="379" ht="15.75" customHeight="1" s="398">
      <c r="A379" s="284" t="n"/>
      <c r="B379" s="285" t="n"/>
      <c r="C379" s="368" t="n"/>
      <c r="D379" s="336" t="n"/>
      <c r="E379" s="284" t="n"/>
      <c r="F379" s="472" t="n"/>
      <c r="G379" s="472" t="n"/>
      <c r="H379" s="472" t="n"/>
      <c r="I379" s="472" t="n"/>
      <c r="J379" s="472" t="n"/>
      <c r="K379" s="472" t="n"/>
      <c r="L379" s="472" t="n"/>
      <c r="M379" s="472" t="n"/>
      <c r="N379" s="472" t="n"/>
      <c r="O379" s="472" t="n"/>
      <c r="P379" s="472" t="n"/>
      <c r="Q379" s="472" t="n"/>
      <c r="R379" s="472" t="n"/>
      <c r="S379" s="285" t="n"/>
      <c r="T379" s="284" t="n"/>
      <c r="U379" s="284" t="n"/>
      <c r="V379" s="285" t="n"/>
      <c r="W379" s="285" t="n"/>
      <c r="X379" s="285" t="n"/>
      <c r="Y379" s="285" t="n"/>
      <c r="Z379" s="285" t="n"/>
      <c r="AA379" s="285" t="n"/>
      <c r="AB379" s="285" t="n"/>
    </row>
    <row r="380" ht="15.75" customHeight="1" s="398">
      <c r="A380" s="284" t="n"/>
      <c r="B380" s="285" t="n"/>
      <c r="C380" s="368" t="n"/>
      <c r="D380" s="336" t="n"/>
      <c r="E380" s="284" t="n"/>
      <c r="F380" s="472" t="n"/>
      <c r="G380" s="472" t="n"/>
      <c r="H380" s="472" t="n"/>
      <c r="I380" s="472" t="n"/>
      <c r="J380" s="472" t="n"/>
      <c r="K380" s="472" t="n"/>
      <c r="L380" s="472" t="n"/>
      <c r="M380" s="472" t="n"/>
      <c r="N380" s="472" t="n"/>
      <c r="O380" s="472" t="n"/>
      <c r="P380" s="472" t="n"/>
      <c r="Q380" s="472" t="n"/>
      <c r="R380" s="472" t="n"/>
      <c r="S380" s="285" t="n"/>
      <c r="T380" s="284" t="n"/>
      <c r="U380" s="284" t="n"/>
      <c r="V380" s="285" t="n"/>
      <c r="W380" s="285" t="n"/>
      <c r="X380" s="285" t="n"/>
      <c r="Y380" s="285" t="n"/>
      <c r="Z380" s="285" t="n"/>
      <c r="AA380" s="285" t="n"/>
      <c r="AB380" s="285" t="n"/>
    </row>
    <row r="381" ht="15.75" customHeight="1" s="398">
      <c r="A381" s="284" t="n"/>
      <c r="B381" s="285" t="n"/>
      <c r="C381" s="368" t="n"/>
      <c r="D381" s="336" t="n"/>
      <c r="E381" s="284" t="n"/>
      <c r="F381" s="472" t="n"/>
      <c r="G381" s="472" t="n"/>
      <c r="H381" s="472" t="n"/>
      <c r="I381" s="472" t="n"/>
      <c r="J381" s="472" t="n"/>
      <c r="K381" s="472" t="n"/>
      <c r="L381" s="472" t="n"/>
      <c r="M381" s="472" t="n"/>
      <c r="N381" s="472" t="n"/>
      <c r="O381" s="472" t="n"/>
      <c r="P381" s="472" t="n"/>
      <c r="Q381" s="472" t="n"/>
      <c r="R381" s="472" t="n"/>
      <c r="S381" s="285" t="n"/>
      <c r="T381" s="284" t="n"/>
      <c r="U381" s="284" t="n"/>
      <c r="V381" s="285" t="n"/>
      <c r="W381" s="285" t="n"/>
      <c r="X381" s="285" t="n"/>
      <c r="Y381" s="285" t="n"/>
      <c r="Z381" s="285" t="n"/>
      <c r="AA381" s="285" t="n"/>
      <c r="AB381" s="285" t="n"/>
    </row>
    <row r="382" ht="15.75" customHeight="1" s="398">
      <c r="A382" s="284" t="n"/>
      <c r="B382" s="285" t="n"/>
      <c r="C382" s="368" t="n"/>
      <c r="D382" s="336" t="n"/>
      <c r="E382" s="284" t="n"/>
      <c r="F382" s="472" t="n"/>
      <c r="G382" s="472" t="n"/>
      <c r="H382" s="472" t="n"/>
      <c r="I382" s="472" t="n"/>
      <c r="J382" s="472" t="n"/>
      <c r="K382" s="472" t="n"/>
      <c r="L382" s="472" t="n"/>
      <c r="M382" s="472" t="n"/>
      <c r="N382" s="472" t="n"/>
      <c r="O382" s="472" t="n"/>
      <c r="P382" s="472" t="n"/>
      <c r="Q382" s="472" t="n"/>
      <c r="R382" s="472" t="n"/>
      <c r="S382" s="285" t="n"/>
      <c r="T382" s="284" t="n"/>
      <c r="U382" s="284" t="n"/>
      <c r="V382" s="285" t="n"/>
      <c r="W382" s="285" t="n"/>
      <c r="X382" s="285" t="n"/>
      <c r="Y382" s="285" t="n"/>
      <c r="Z382" s="285" t="n"/>
      <c r="AA382" s="285" t="n"/>
      <c r="AB382" s="285" t="n"/>
    </row>
    <row r="383" ht="15.75" customHeight="1" s="398">
      <c r="A383" s="284" t="n"/>
      <c r="B383" s="285" t="n"/>
      <c r="C383" s="368" t="n"/>
      <c r="D383" s="336" t="n"/>
      <c r="E383" s="284" t="n"/>
      <c r="F383" s="472" t="n"/>
      <c r="G383" s="472" t="n"/>
      <c r="H383" s="472" t="n"/>
      <c r="I383" s="472" t="n"/>
      <c r="J383" s="472" t="n"/>
      <c r="K383" s="472" t="n"/>
      <c r="L383" s="472" t="n"/>
      <c r="M383" s="472" t="n"/>
      <c r="N383" s="472" t="n"/>
      <c r="O383" s="472" t="n"/>
      <c r="P383" s="472" t="n"/>
      <c r="Q383" s="472" t="n"/>
      <c r="R383" s="472" t="n"/>
      <c r="S383" s="285" t="n"/>
      <c r="T383" s="284" t="n"/>
      <c r="U383" s="284" t="n"/>
      <c r="V383" s="285" t="n"/>
      <c r="W383" s="285" t="n"/>
      <c r="X383" s="285" t="n"/>
      <c r="Y383" s="285" t="n"/>
      <c r="Z383" s="285" t="n"/>
      <c r="AA383" s="285" t="n"/>
      <c r="AB383" s="285" t="n"/>
    </row>
    <row r="384" ht="15.75" customHeight="1" s="398">
      <c r="A384" s="284" t="n"/>
      <c r="B384" s="285" t="n"/>
      <c r="C384" s="368" t="n"/>
      <c r="D384" s="336" t="n"/>
      <c r="E384" s="284" t="n"/>
      <c r="F384" s="472" t="n"/>
      <c r="G384" s="472" t="n"/>
      <c r="H384" s="472" t="n"/>
      <c r="I384" s="472" t="n"/>
      <c r="J384" s="472" t="n"/>
      <c r="K384" s="472" t="n"/>
      <c r="L384" s="472" t="n"/>
      <c r="M384" s="472" t="n"/>
      <c r="N384" s="472" t="n"/>
      <c r="O384" s="472" t="n"/>
      <c r="P384" s="472" t="n"/>
      <c r="Q384" s="472" t="n"/>
      <c r="R384" s="472" t="n"/>
      <c r="S384" s="285" t="n"/>
      <c r="T384" s="284" t="n"/>
      <c r="U384" s="284" t="n"/>
      <c r="V384" s="285" t="n"/>
      <c r="W384" s="285" t="n"/>
      <c r="X384" s="285" t="n"/>
      <c r="Y384" s="285" t="n"/>
      <c r="Z384" s="285" t="n"/>
      <c r="AA384" s="285" t="n"/>
      <c r="AB384" s="285" t="n"/>
    </row>
    <row r="385" ht="15.75" customHeight="1" s="398">
      <c r="A385" s="284" t="n"/>
      <c r="B385" s="285" t="n"/>
      <c r="C385" s="368" t="n"/>
      <c r="D385" s="336" t="n"/>
      <c r="E385" s="284" t="n"/>
      <c r="F385" s="472" t="n"/>
      <c r="G385" s="472" t="n"/>
      <c r="H385" s="472" t="n"/>
      <c r="I385" s="472" t="n"/>
      <c r="J385" s="472" t="n"/>
      <c r="K385" s="472" t="n"/>
      <c r="L385" s="472" t="n"/>
      <c r="M385" s="472" t="n"/>
      <c r="N385" s="472" t="n"/>
      <c r="O385" s="472" t="n"/>
      <c r="P385" s="472" t="n"/>
      <c r="Q385" s="472" t="n"/>
      <c r="R385" s="472" t="n"/>
      <c r="S385" s="285" t="n"/>
      <c r="T385" s="284" t="n"/>
      <c r="U385" s="284" t="n"/>
      <c r="V385" s="285" t="n"/>
      <c r="W385" s="285" t="n"/>
      <c r="X385" s="285" t="n"/>
      <c r="Y385" s="285" t="n"/>
      <c r="Z385" s="285" t="n"/>
      <c r="AA385" s="285" t="n"/>
      <c r="AB385" s="285" t="n"/>
    </row>
    <row r="386" ht="15.75" customHeight="1" s="398">
      <c r="A386" s="284" t="n"/>
      <c r="B386" s="285" t="n"/>
      <c r="C386" s="368" t="n"/>
      <c r="D386" s="336" t="n"/>
      <c r="E386" s="284" t="n"/>
      <c r="F386" s="472" t="n"/>
      <c r="G386" s="472" t="n"/>
      <c r="H386" s="472" t="n"/>
      <c r="I386" s="472" t="n"/>
      <c r="J386" s="472" t="n"/>
      <c r="K386" s="472" t="n"/>
      <c r="L386" s="472" t="n"/>
      <c r="M386" s="472" t="n"/>
      <c r="N386" s="472" t="n"/>
      <c r="O386" s="472" t="n"/>
      <c r="P386" s="472" t="n"/>
      <c r="Q386" s="472" t="n"/>
      <c r="R386" s="472" t="n"/>
      <c r="S386" s="285" t="n"/>
      <c r="T386" s="284" t="n"/>
      <c r="U386" s="284" t="n"/>
      <c r="V386" s="285" t="n"/>
      <c r="W386" s="285" t="n"/>
      <c r="X386" s="285" t="n"/>
      <c r="Y386" s="285" t="n"/>
      <c r="Z386" s="285" t="n"/>
      <c r="AA386" s="285" t="n"/>
      <c r="AB386" s="285" t="n"/>
    </row>
    <row r="387" ht="15.75" customHeight="1" s="398">
      <c r="A387" s="284" t="n"/>
      <c r="B387" s="285" t="n"/>
      <c r="C387" s="368" t="n"/>
      <c r="D387" s="336" t="n"/>
      <c r="E387" s="284" t="n"/>
      <c r="F387" s="472" t="n"/>
      <c r="G387" s="472" t="n"/>
      <c r="H387" s="472" t="n"/>
      <c r="I387" s="472" t="n"/>
      <c r="J387" s="472" t="n"/>
      <c r="K387" s="472" t="n"/>
      <c r="L387" s="472" t="n"/>
      <c r="M387" s="472" t="n"/>
      <c r="N387" s="472" t="n"/>
      <c r="O387" s="472" t="n"/>
      <c r="P387" s="472" t="n"/>
      <c r="Q387" s="472" t="n"/>
      <c r="R387" s="472" t="n"/>
      <c r="S387" s="285" t="n"/>
      <c r="T387" s="284" t="n"/>
      <c r="U387" s="284" t="n"/>
      <c r="V387" s="285" t="n"/>
      <c r="W387" s="285" t="n"/>
      <c r="X387" s="285" t="n"/>
      <c r="Y387" s="285" t="n"/>
      <c r="Z387" s="285" t="n"/>
      <c r="AA387" s="285" t="n"/>
      <c r="AB387" s="285" t="n"/>
    </row>
    <row r="388" ht="15.75" customHeight="1" s="398">
      <c r="A388" s="284" t="n"/>
      <c r="B388" s="285" t="n"/>
      <c r="C388" s="368" t="n"/>
      <c r="D388" s="336" t="n"/>
      <c r="E388" s="284" t="n"/>
      <c r="F388" s="472" t="n"/>
      <c r="G388" s="472" t="n"/>
      <c r="H388" s="472" t="n"/>
      <c r="I388" s="472" t="n"/>
      <c r="J388" s="472" t="n"/>
      <c r="K388" s="472" t="n"/>
      <c r="L388" s="472" t="n"/>
      <c r="M388" s="472" t="n"/>
      <c r="N388" s="472" t="n"/>
      <c r="O388" s="472" t="n"/>
      <c r="P388" s="472" t="n"/>
      <c r="Q388" s="472" t="n"/>
      <c r="R388" s="472" t="n"/>
      <c r="S388" s="285" t="n"/>
      <c r="T388" s="284" t="n"/>
      <c r="U388" s="284" t="n"/>
      <c r="V388" s="285" t="n"/>
      <c r="W388" s="285" t="n"/>
      <c r="X388" s="285" t="n"/>
      <c r="Y388" s="285" t="n"/>
      <c r="Z388" s="285" t="n"/>
      <c r="AA388" s="285" t="n"/>
      <c r="AB388" s="285" t="n"/>
    </row>
    <row r="389" ht="15.75" customHeight="1" s="398">
      <c r="A389" s="284" t="n"/>
      <c r="B389" s="285" t="n"/>
      <c r="C389" s="368" t="n"/>
      <c r="D389" s="336" t="n"/>
      <c r="E389" s="284" t="n"/>
      <c r="F389" s="472" t="n"/>
      <c r="G389" s="472" t="n"/>
      <c r="H389" s="472" t="n"/>
      <c r="I389" s="472" t="n"/>
      <c r="J389" s="472" t="n"/>
      <c r="K389" s="472" t="n"/>
      <c r="L389" s="472" t="n"/>
      <c r="M389" s="472" t="n"/>
      <c r="N389" s="472" t="n"/>
      <c r="O389" s="472" t="n"/>
      <c r="P389" s="472" t="n"/>
      <c r="Q389" s="472" t="n"/>
      <c r="R389" s="472" t="n"/>
      <c r="S389" s="285" t="n"/>
      <c r="T389" s="284" t="n"/>
      <c r="U389" s="284" t="n"/>
      <c r="V389" s="285" t="n"/>
      <c r="W389" s="285" t="n"/>
      <c r="X389" s="285" t="n"/>
      <c r="Y389" s="285" t="n"/>
      <c r="Z389" s="285" t="n"/>
      <c r="AA389" s="285" t="n"/>
      <c r="AB389" s="285" t="n"/>
    </row>
    <row r="390" ht="15.75" customHeight="1" s="398">
      <c r="A390" s="284" t="n"/>
      <c r="B390" s="285" t="n"/>
      <c r="C390" s="368" t="n"/>
      <c r="D390" s="336" t="n"/>
      <c r="E390" s="284" t="n"/>
      <c r="F390" s="472" t="n"/>
      <c r="G390" s="472" t="n"/>
      <c r="H390" s="472" t="n"/>
      <c r="I390" s="472" t="n"/>
      <c r="J390" s="472" t="n"/>
      <c r="K390" s="472" t="n"/>
      <c r="L390" s="472" t="n"/>
      <c r="M390" s="472" t="n"/>
      <c r="N390" s="472" t="n"/>
      <c r="O390" s="472" t="n"/>
      <c r="P390" s="472" t="n"/>
      <c r="Q390" s="472" t="n"/>
      <c r="R390" s="472" t="n"/>
      <c r="S390" s="285" t="n"/>
      <c r="T390" s="284" t="n"/>
      <c r="U390" s="284" t="n"/>
      <c r="V390" s="285" t="n"/>
      <c r="W390" s="285" t="n"/>
      <c r="X390" s="285" t="n"/>
      <c r="Y390" s="285" t="n"/>
      <c r="Z390" s="285" t="n"/>
      <c r="AA390" s="285" t="n"/>
      <c r="AB390" s="285" t="n"/>
    </row>
    <row r="391" ht="15.75" customHeight="1" s="398">
      <c r="A391" s="284" t="n"/>
      <c r="B391" s="285" t="n"/>
      <c r="C391" s="368" t="n"/>
      <c r="D391" s="336" t="n"/>
      <c r="E391" s="284" t="n"/>
      <c r="F391" s="472" t="n"/>
      <c r="G391" s="472" t="n"/>
      <c r="H391" s="472" t="n"/>
      <c r="I391" s="472" t="n"/>
      <c r="J391" s="472" t="n"/>
      <c r="K391" s="472" t="n"/>
      <c r="L391" s="472" t="n"/>
      <c r="M391" s="472" t="n"/>
      <c r="N391" s="472" t="n"/>
      <c r="O391" s="472" t="n"/>
      <c r="P391" s="472" t="n"/>
      <c r="Q391" s="472" t="n"/>
      <c r="R391" s="472" t="n"/>
      <c r="S391" s="285" t="n"/>
      <c r="T391" s="284" t="n"/>
      <c r="U391" s="284" t="n"/>
      <c r="V391" s="285" t="n"/>
      <c r="W391" s="285" t="n"/>
      <c r="X391" s="285" t="n"/>
      <c r="Y391" s="285" t="n"/>
      <c r="Z391" s="285" t="n"/>
      <c r="AA391" s="285" t="n"/>
      <c r="AB391" s="285" t="n"/>
    </row>
    <row r="392" ht="15.75" customHeight="1" s="398">
      <c r="A392" s="284" t="n"/>
      <c r="B392" s="285" t="n"/>
      <c r="C392" s="368" t="n"/>
      <c r="D392" s="336" t="n"/>
      <c r="E392" s="284" t="n"/>
      <c r="F392" s="472" t="n"/>
      <c r="G392" s="472" t="n"/>
      <c r="H392" s="472" t="n"/>
      <c r="I392" s="472" t="n"/>
      <c r="J392" s="472" t="n"/>
      <c r="K392" s="472" t="n"/>
      <c r="L392" s="472" t="n"/>
      <c r="M392" s="472" t="n"/>
      <c r="N392" s="472" t="n"/>
      <c r="O392" s="472" t="n"/>
      <c r="P392" s="472" t="n"/>
      <c r="Q392" s="472" t="n"/>
      <c r="R392" s="472" t="n"/>
      <c r="S392" s="285" t="n"/>
      <c r="T392" s="284" t="n"/>
      <c r="U392" s="284" t="n"/>
      <c r="V392" s="285" t="n"/>
      <c r="W392" s="285" t="n"/>
      <c r="X392" s="285" t="n"/>
      <c r="Y392" s="285" t="n"/>
      <c r="Z392" s="285" t="n"/>
      <c r="AA392" s="285" t="n"/>
      <c r="AB392" s="285" t="n"/>
    </row>
    <row r="393" ht="15.75" customHeight="1" s="398">
      <c r="A393" s="284" t="n"/>
      <c r="B393" s="285" t="n"/>
      <c r="C393" s="368" t="n"/>
      <c r="D393" s="336" t="n"/>
      <c r="E393" s="284" t="n"/>
      <c r="F393" s="472" t="n"/>
      <c r="G393" s="472" t="n"/>
      <c r="H393" s="472" t="n"/>
      <c r="I393" s="472" t="n"/>
      <c r="J393" s="472" t="n"/>
      <c r="K393" s="472" t="n"/>
      <c r="L393" s="472" t="n"/>
      <c r="M393" s="472" t="n"/>
      <c r="N393" s="472" t="n"/>
      <c r="O393" s="472" t="n"/>
      <c r="P393" s="472" t="n"/>
      <c r="Q393" s="472" t="n"/>
      <c r="R393" s="472" t="n"/>
      <c r="S393" s="285" t="n"/>
      <c r="T393" s="284" t="n"/>
      <c r="U393" s="284" t="n"/>
      <c r="V393" s="285" t="n"/>
      <c r="W393" s="285" t="n"/>
      <c r="X393" s="285" t="n"/>
      <c r="Y393" s="285" t="n"/>
      <c r="Z393" s="285" t="n"/>
      <c r="AA393" s="285" t="n"/>
      <c r="AB393" s="285" t="n"/>
    </row>
    <row r="394" ht="15.75" customHeight="1" s="398">
      <c r="A394" s="284" t="n"/>
      <c r="B394" s="285" t="n"/>
      <c r="C394" s="368" t="n"/>
      <c r="D394" s="336" t="n"/>
      <c r="E394" s="284" t="n"/>
      <c r="F394" s="472" t="n"/>
      <c r="G394" s="472" t="n"/>
      <c r="H394" s="472" t="n"/>
      <c r="I394" s="472" t="n"/>
      <c r="J394" s="472" t="n"/>
      <c r="K394" s="472" t="n"/>
      <c r="L394" s="472" t="n"/>
      <c r="M394" s="472" t="n"/>
      <c r="N394" s="472" t="n"/>
      <c r="O394" s="472" t="n"/>
      <c r="P394" s="472" t="n"/>
      <c r="Q394" s="472" t="n"/>
      <c r="R394" s="472" t="n"/>
      <c r="S394" s="285" t="n"/>
      <c r="T394" s="284" t="n"/>
      <c r="U394" s="284" t="n"/>
      <c r="V394" s="285" t="n"/>
      <c r="W394" s="285" t="n"/>
      <c r="X394" s="285" t="n"/>
      <c r="Y394" s="285" t="n"/>
      <c r="Z394" s="285" t="n"/>
      <c r="AA394" s="285" t="n"/>
      <c r="AB394" s="285" t="n"/>
    </row>
    <row r="395" ht="15.75" customHeight="1" s="398">
      <c r="A395" s="284" t="n"/>
      <c r="B395" s="285" t="n"/>
      <c r="C395" s="368" t="n"/>
      <c r="D395" s="336" t="n"/>
      <c r="E395" s="284" t="n"/>
      <c r="F395" s="472" t="n"/>
      <c r="G395" s="472" t="n"/>
      <c r="H395" s="472" t="n"/>
      <c r="I395" s="472" t="n"/>
      <c r="J395" s="472" t="n"/>
      <c r="K395" s="472" t="n"/>
      <c r="L395" s="472" t="n"/>
      <c r="M395" s="472" t="n"/>
      <c r="N395" s="472" t="n"/>
      <c r="O395" s="472" t="n"/>
      <c r="P395" s="472" t="n"/>
      <c r="Q395" s="472" t="n"/>
      <c r="R395" s="472" t="n"/>
      <c r="S395" s="285" t="n"/>
      <c r="T395" s="284" t="n"/>
      <c r="U395" s="284" t="n"/>
      <c r="V395" s="285" t="n"/>
      <c r="W395" s="285" t="n"/>
      <c r="X395" s="285" t="n"/>
      <c r="Y395" s="285" t="n"/>
      <c r="Z395" s="285" t="n"/>
      <c r="AA395" s="285" t="n"/>
      <c r="AB395" s="285" t="n"/>
    </row>
    <row r="396" ht="15.75" customHeight="1" s="398">
      <c r="A396" s="284" t="n"/>
      <c r="B396" s="285" t="n"/>
      <c r="C396" s="368" t="n"/>
      <c r="D396" s="336" t="n"/>
      <c r="E396" s="284" t="n"/>
      <c r="F396" s="472" t="n"/>
      <c r="G396" s="472" t="n"/>
      <c r="H396" s="472" t="n"/>
      <c r="I396" s="472" t="n"/>
      <c r="J396" s="472" t="n"/>
      <c r="K396" s="472" t="n"/>
      <c r="L396" s="472" t="n"/>
      <c r="M396" s="472" t="n"/>
      <c r="N396" s="472" t="n"/>
      <c r="O396" s="472" t="n"/>
      <c r="P396" s="472" t="n"/>
      <c r="Q396" s="472" t="n"/>
      <c r="R396" s="472" t="n"/>
      <c r="S396" s="285" t="n"/>
      <c r="T396" s="284" t="n"/>
      <c r="U396" s="284" t="n"/>
      <c r="V396" s="285" t="n"/>
      <c r="W396" s="285" t="n"/>
      <c r="X396" s="285" t="n"/>
      <c r="Y396" s="285" t="n"/>
      <c r="Z396" s="285" t="n"/>
      <c r="AA396" s="285" t="n"/>
      <c r="AB396" s="285" t="n"/>
    </row>
    <row r="397" ht="15.75" customHeight="1" s="398">
      <c r="A397" s="284" t="n"/>
      <c r="B397" s="285" t="n"/>
      <c r="C397" s="368" t="n"/>
      <c r="D397" s="336" t="n"/>
      <c r="E397" s="284" t="n"/>
      <c r="F397" s="472" t="n"/>
      <c r="G397" s="472" t="n"/>
      <c r="H397" s="472" t="n"/>
      <c r="I397" s="472" t="n"/>
      <c r="J397" s="472" t="n"/>
      <c r="K397" s="472" t="n"/>
      <c r="L397" s="472" t="n"/>
      <c r="M397" s="472" t="n"/>
      <c r="N397" s="472" t="n"/>
      <c r="O397" s="472" t="n"/>
      <c r="P397" s="472" t="n"/>
      <c r="Q397" s="472" t="n"/>
      <c r="R397" s="472" t="n"/>
      <c r="S397" s="285" t="n"/>
      <c r="T397" s="284" t="n"/>
      <c r="U397" s="284" t="n"/>
      <c r="V397" s="285" t="n"/>
      <c r="W397" s="285" t="n"/>
      <c r="X397" s="285" t="n"/>
      <c r="Y397" s="285" t="n"/>
      <c r="Z397" s="285" t="n"/>
      <c r="AA397" s="285" t="n"/>
      <c r="AB397" s="285" t="n"/>
    </row>
    <row r="398" ht="15.75" customHeight="1" s="398">
      <c r="A398" s="284" t="n"/>
      <c r="B398" s="285" t="n"/>
      <c r="C398" s="368" t="n"/>
      <c r="D398" s="336" t="n"/>
      <c r="E398" s="284" t="n"/>
      <c r="F398" s="472" t="n"/>
      <c r="G398" s="472" t="n"/>
      <c r="H398" s="472" t="n"/>
      <c r="I398" s="472" t="n"/>
      <c r="J398" s="472" t="n"/>
      <c r="K398" s="472" t="n"/>
      <c r="L398" s="472" t="n"/>
      <c r="M398" s="472" t="n"/>
      <c r="N398" s="472" t="n"/>
      <c r="O398" s="472" t="n"/>
      <c r="P398" s="472" t="n"/>
      <c r="Q398" s="472" t="n"/>
      <c r="R398" s="472" t="n"/>
      <c r="S398" s="285" t="n"/>
      <c r="T398" s="284" t="n"/>
      <c r="U398" s="284" t="n"/>
      <c r="V398" s="285" t="n"/>
      <c r="W398" s="285" t="n"/>
      <c r="X398" s="285" t="n"/>
      <c r="Y398" s="285" t="n"/>
      <c r="Z398" s="285" t="n"/>
      <c r="AA398" s="285" t="n"/>
      <c r="AB398" s="285" t="n"/>
    </row>
    <row r="399" ht="15.75" customHeight="1" s="398">
      <c r="A399" s="284" t="n"/>
      <c r="B399" s="285" t="n"/>
      <c r="C399" s="368" t="n"/>
      <c r="D399" s="336" t="n"/>
      <c r="E399" s="284" t="n"/>
      <c r="F399" s="472" t="n"/>
      <c r="G399" s="472" t="n"/>
      <c r="H399" s="472" t="n"/>
      <c r="I399" s="472" t="n"/>
      <c r="J399" s="472" t="n"/>
      <c r="K399" s="472" t="n"/>
      <c r="L399" s="472" t="n"/>
      <c r="M399" s="472" t="n"/>
      <c r="N399" s="472" t="n"/>
      <c r="O399" s="472" t="n"/>
      <c r="P399" s="472" t="n"/>
      <c r="Q399" s="472" t="n"/>
      <c r="R399" s="472" t="n"/>
      <c r="S399" s="285" t="n"/>
      <c r="T399" s="284" t="n"/>
      <c r="U399" s="284" t="n"/>
      <c r="V399" s="285" t="n"/>
      <c r="W399" s="285" t="n"/>
      <c r="X399" s="285" t="n"/>
      <c r="Y399" s="285" t="n"/>
      <c r="Z399" s="285" t="n"/>
      <c r="AA399" s="285" t="n"/>
      <c r="AB399" s="285" t="n"/>
    </row>
    <row r="400" ht="15.75" customHeight="1" s="398">
      <c r="A400" s="284" t="n"/>
      <c r="B400" s="285" t="n"/>
      <c r="C400" s="368" t="n"/>
      <c r="D400" s="336" t="n"/>
      <c r="E400" s="284" t="n"/>
      <c r="F400" s="472" t="n"/>
      <c r="G400" s="472" t="n"/>
      <c r="H400" s="472" t="n"/>
      <c r="I400" s="472" t="n"/>
      <c r="J400" s="472" t="n"/>
      <c r="K400" s="472" t="n"/>
      <c r="L400" s="472" t="n"/>
      <c r="M400" s="472" t="n"/>
      <c r="N400" s="472" t="n"/>
      <c r="O400" s="472" t="n"/>
      <c r="P400" s="472" t="n"/>
      <c r="Q400" s="472" t="n"/>
      <c r="R400" s="472" t="n"/>
      <c r="S400" s="285" t="n"/>
      <c r="T400" s="284" t="n"/>
      <c r="U400" s="284" t="n"/>
      <c r="V400" s="285" t="n"/>
      <c r="W400" s="285" t="n"/>
      <c r="X400" s="285" t="n"/>
      <c r="Y400" s="285" t="n"/>
      <c r="Z400" s="285" t="n"/>
      <c r="AA400" s="285" t="n"/>
      <c r="AB400" s="285" t="n"/>
    </row>
    <row r="401" ht="15.75" customHeight="1" s="398">
      <c r="A401" s="284" t="n"/>
      <c r="B401" s="285" t="n"/>
      <c r="C401" s="368" t="n"/>
      <c r="D401" s="336" t="n"/>
      <c r="E401" s="284" t="n"/>
      <c r="F401" s="472" t="n"/>
      <c r="G401" s="472" t="n"/>
      <c r="H401" s="472" t="n"/>
      <c r="I401" s="472" t="n"/>
      <c r="J401" s="472" t="n"/>
      <c r="K401" s="472" t="n"/>
      <c r="L401" s="472" t="n"/>
      <c r="M401" s="472" t="n"/>
      <c r="N401" s="472" t="n"/>
      <c r="O401" s="472" t="n"/>
      <c r="P401" s="472" t="n"/>
      <c r="Q401" s="472" t="n"/>
      <c r="R401" s="472" t="n"/>
      <c r="S401" s="285" t="n"/>
      <c r="T401" s="284" t="n"/>
      <c r="U401" s="284" t="n"/>
      <c r="V401" s="285" t="n"/>
      <c r="W401" s="285" t="n"/>
      <c r="X401" s="285" t="n"/>
      <c r="Y401" s="285" t="n"/>
      <c r="Z401" s="285" t="n"/>
      <c r="AA401" s="285" t="n"/>
      <c r="AB401" s="285" t="n"/>
    </row>
    <row r="402" ht="15.75" customHeight="1" s="398">
      <c r="A402" s="284" t="n"/>
      <c r="B402" s="285" t="n"/>
      <c r="C402" s="368" t="n"/>
      <c r="D402" s="336" t="n"/>
      <c r="E402" s="284" t="n"/>
      <c r="F402" s="472" t="n"/>
      <c r="G402" s="472" t="n"/>
      <c r="H402" s="472" t="n"/>
      <c r="I402" s="472" t="n"/>
      <c r="J402" s="472" t="n"/>
      <c r="K402" s="472" t="n"/>
      <c r="L402" s="472" t="n"/>
      <c r="M402" s="472" t="n"/>
      <c r="N402" s="472" t="n"/>
      <c r="O402" s="472" t="n"/>
      <c r="P402" s="472" t="n"/>
      <c r="Q402" s="472" t="n"/>
      <c r="R402" s="472" t="n"/>
      <c r="S402" s="285" t="n"/>
      <c r="T402" s="284" t="n"/>
      <c r="U402" s="284" t="n"/>
      <c r="V402" s="285" t="n"/>
      <c r="W402" s="285" t="n"/>
      <c r="X402" s="285" t="n"/>
      <c r="Y402" s="285" t="n"/>
      <c r="Z402" s="285" t="n"/>
      <c r="AA402" s="285" t="n"/>
      <c r="AB402" s="285" t="n"/>
    </row>
    <row r="403" ht="15.75" customHeight="1" s="398">
      <c r="A403" s="284" t="n"/>
      <c r="B403" s="285" t="n"/>
      <c r="C403" s="368" t="n"/>
      <c r="D403" s="336" t="n"/>
      <c r="E403" s="284" t="n"/>
      <c r="F403" s="472" t="n"/>
      <c r="G403" s="472" t="n"/>
      <c r="H403" s="472" t="n"/>
      <c r="I403" s="472" t="n"/>
      <c r="J403" s="472" t="n"/>
      <c r="K403" s="472" t="n"/>
      <c r="L403" s="472" t="n"/>
      <c r="M403" s="472" t="n"/>
      <c r="N403" s="472" t="n"/>
      <c r="O403" s="472" t="n"/>
      <c r="P403" s="472" t="n"/>
      <c r="Q403" s="472" t="n"/>
      <c r="R403" s="472" t="n"/>
      <c r="S403" s="285" t="n"/>
      <c r="T403" s="284" t="n"/>
      <c r="U403" s="284" t="n"/>
      <c r="V403" s="285" t="n"/>
      <c r="W403" s="285" t="n"/>
      <c r="X403" s="285" t="n"/>
      <c r="Y403" s="285" t="n"/>
      <c r="Z403" s="285" t="n"/>
      <c r="AA403" s="285" t="n"/>
      <c r="AB403" s="285" t="n"/>
    </row>
    <row r="404" ht="15.75" customHeight="1" s="398">
      <c r="A404" s="284" t="n"/>
      <c r="B404" s="285" t="n"/>
      <c r="C404" s="368" t="n"/>
      <c r="D404" s="336" t="n"/>
      <c r="E404" s="284" t="n"/>
      <c r="F404" s="472" t="n"/>
      <c r="G404" s="472" t="n"/>
      <c r="H404" s="472" t="n"/>
      <c r="I404" s="472" t="n"/>
      <c r="J404" s="472" t="n"/>
      <c r="K404" s="472" t="n"/>
      <c r="L404" s="472" t="n"/>
      <c r="M404" s="472" t="n"/>
      <c r="N404" s="472" t="n"/>
      <c r="O404" s="472" t="n"/>
      <c r="P404" s="472" t="n"/>
      <c r="Q404" s="472" t="n"/>
      <c r="R404" s="472" t="n"/>
      <c r="S404" s="285" t="n"/>
      <c r="T404" s="284" t="n"/>
      <c r="U404" s="284" t="n"/>
      <c r="V404" s="285" t="n"/>
      <c r="W404" s="285" t="n"/>
      <c r="X404" s="285" t="n"/>
      <c r="Y404" s="285" t="n"/>
      <c r="Z404" s="285" t="n"/>
      <c r="AA404" s="285" t="n"/>
      <c r="AB404" s="285" t="n"/>
    </row>
    <row r="405" ht="15.75" customHeight="1" s="398">
      <c r="A405" s="284" t="n"/>
      <c r="B405" s="285" t="n"/>
      <c r="C405" s="368" t="n"/>
      <c r="D405" s="336" t="n"/>
      <c r="E405" s="284" t="n"/>
      <c r="F405" s="472" t="n"/>
      <c r="G405" s="472" t="n"/>
      <c r="H405" s="472" t="n"/>
      <c r="I405" s="472" t="n"/>
      <c r="J405" s="472" t="n"/>
      <c r="K405" s="472" t="n"/>
      <c r="L405" s="472" t="n"/>
      <c r="M405" s="472" t="n"/>
      <c r="N405" s="472" t="n"/>
      <c r="O405" s="472" t="n"/>
      <c r="P405" s="472" t="n"/>
      <c r="Q405" s="472" t="n"/>
      <c r="R405" s="472" t="n"/>
      <c r="S405" s="285" t="n"/>
      <c r="T405" s="284" t="n"/>
      <c r="U405" s="284" t="n"/>
      <c r="V405" s="285" t="n"/>
      <c r="W405" s="285" t="n"/>
      <c r="X405" s="285" t="n"/>
      <c r="Y405" s="285" t="n"/>
      <c r="Z405" s="285" t="n"/>
      <c r="AA405" s="285" t="n"/>
      <c r="AB405" s="285" t="n"/>
    </row>
    <row r="406" ht="15.75" customHeight="1" s="398">
      <c r="A406" s="284" t="n"/>
      <c r="B406" s="285" t="n"/>
      <c r="C406" s="368" t="n"/>
      <c r="D406" s="336" t="n"/>
      <c r="E406" s="284" t="n"/>
      <c r="F406" s="472" t="n"/>
      <c r="G406" s="472" t="n"/>
      <c r="H406" s="472" t="n"/>
      <c r="I406" s="472" t="n"/>
      <c r="J406" s="472" t="n"/>
      <c r="K406" s="472" t="n"/>
      <c r="L406" s="472" t="n"/>
      <c r="M406" s="472" t="n"/>
      <c r="N406" s="472" t="n"/>
      <c r="O406" s="472" t="n"/>
      <c r="P406" s="472" t="n"/>
      <c r="Q406" s="472" t="n"/>
      <c r="R406" s="472" t="n"/>
      <c r="S406" s="285" t="n"/>
      <c r="T406" s="284" t="n"/>
      <c r="U406" s="284" t="n"/>
      <c r="V406" s="285" t="n"/>
      <c r="W406" s="285" t="n"/>
      <c r="X406" s="285" t="n"/>
      <c r="Y406" s="285" t="n"/>
      <c r="Z406" s="285" t="n"/>
      <c r="AA406" s="285" t="n"/>
      <c r="AB406" s="285" t="n"/>
    </row>
    <row r="407" ht="15.75" customHeight="1" s="398">
      <c r="A407" s="284" t="n"/>
      <c r="B407" s="285" t="n"/>
      <c r="C407" s="368" t="n"/>
      <c r="D407" s="336" t="n"/>
      <c r="E407" s="284" t="n"/>
      <c r="F407" s="472" t="n"/>
      <c r="G407" s="472" t="n"/>
      <c r="H407" s="472" t="n"/>
      <c r="I407" s="472" t="n"/>
      <c r="J407" s="472" t="n"/>
      <c r="K407" s="472" t="n"/>
      <c r="L407" s="472" t="n"/>
      <c r="M407" s="472" t="n"/>
      <c r="N407" s="472" t="n"/>
      <c r="O407" s="472" t="n"/>
      <c r="P407" s="472" t="n"/>
      <c r="Q407" s="472" t="n"/>
      <c r="R407" s="472" t="n"/>
      <c r="S407" s="285" t="n"/>
      <c r="T407" s="284" t="n"/>
      <c r="U407" s="284" t="n"/>
      <c r="V407" s="285" t="n"/>
      <c r="W407" s="285" t="n"/>
      <c r="X407" s="285" t="n"/>
      <c r="Y407" s="285" t="n"/>
      <c r="Z407" s="285" t="n"/>
      <c r="AA407" s="285" t="n"/>
      <c r="AB407" s="285" t="n"/>
    </row>
    <row r="408" ht="15.75" customHeight="1" s="398">
      <c r="A408" s="284" t="n"/>
      <c r="B408" s="285" t="n"/>
      <c r="C408" s="368" t="n"/>
      <c r="D408" s="336" t="n"/>
      <c r="E408" s="284" t="n"/>
      <c r="F408" s="472" t="n"/>
      <c r="G408" s="472" t="n"/>
      <c r="H408" s="472" t="n"/>
      <c r="I408" s="472" t="n"/>
      <c r="J408" s="472" t="n"/>
      <c r="K408" s="472" t="n"/>
      <c r="L408" s="472" t="n"/>
      <c r="M408" s="472" t="n"/>
      <c r="N408" s="472" t="n"/>
      <c r="O408" s="472" t="n"/>
      <c r="P408" s="472" t="n"/>
      <c r="Q408" s="472" t="n"/>
      <c r="R408" s="472" t="n"/>
      <c r="S408" s="285" t="n"/>
      <c r="T408" s="284" t="n"/>
      <c r="U408" s="284" t="n"/>
      <c r="V408" s="285" t="n"/>
      <c r="W408" s="285" t="n"/>
      <c r="X408" s="285" t="n"/>
      <c r="Y408" s="285" t="n"/>
      <c r="Z408" s="285" t="n"/>
      <c r="AA408" s="285" t="n"/>
      <c r="AB408" s="285" t="n"/>
    </row>
    <row r="409" ht="15.75" customHeight="1" s="398">
      <c r="A409" s="284" t="n"/>
      <c r="B409" s="285" t="n"/>
      <c r="C409" s="368" t="n"/>
      <c r="D409" s="336" t="n"/>
      <c r="E409" s="284" t="n"/>
      <c r="F409" s="472" t="n"/>
      <c r="G409" s="472" t="n"/>
      <c r="H409" s="472" t="n"/>
      <c r="I409" s="472" t="n"/>
      <c r="J409" s="472" t="n"/>
      <c r="K409" s="472" t="n"/>
      <c r="L409" s="472" t="n"/>
      <c r="M409" s="472" t="n"/>
      <c r="N409" s="472" t="n"/>
      <c r="O409" s="472" t="n"/>
      <c r="P409" s="472" t="n"/>
      <c r="Q409" s="472" t="n"/>
      <c r="R409" s="472" t="n"/>
      <c r="S409" s="285" t="n"/>
      <c r="T409" s="284" t="n"/>
      <c r="U409" s="284" t="n"/>
      <c r="V409" s="285" t="n"/>
      <c r="W409" s="285" t="n"/>
      <c r="X409" s="285" t="n"/>
      <c r="Y409" s="285" t="n"/>
      <c r="Z409" s="285" t="n"/>
      <c r="AA409" s="285" t="n"/>
      <c r="AB409" s="285" t="n"/>
    </row>
    <row r="410" ht="15.75" customHeight="1" s="398">
      <c r="A410" s="284" t="n"/>
      <c r="B410" s="285" t="n"/>
      <c r="C410" s="368" t="n"/>
      <c r="D410" s="336" t="n"/>
      <c r="E410" s="284" t="n"/>
      <c r="F410" s="472" t="n"/>
      <c r="G410" s="472" t="n"/>
      <c r="H410" s="472" t="n"/>
      <c r="I410" s="472" t="n"/>
      <c r="J410" s="472" t="n"/>
      <c r="K410" s="472" t="n"/>
      <c r="L410" s="472" t="n"/>
      <c r="M410" s="472" t="n"/>
      <c r="N410" s="472" t="n"/>
      <c r="O410" s="472" t="n"/>
      <c r="P410" s="472" t="n"/>
      <c r="Q410" s="472" t="n"/>
      <c r="R410" s="472" t="n"/>
      <c r="S410" s="285" t="n"/>
      <c r="T410" s="284" t="n"/>
      <c r="U410" s="284" t="n"/>
      <c r="V410" s="285" t="n"/>
      <c r="W410" s="285" t="n"/>
      <c r="X410" s="285" t="n"/>
      <c r="Y410" s="285" t="n"/>
      <c r="Z410" s="285" t="n"/>
      <c r="AA410" s="285" t="n"/>
      <c r="AB410" s="285" t="n"/>
    </row>
    <row r="411" ht="15.75" customHeight="1" s="398">
      <c r="A411" s="284" t="n"/>
      <c r="B411" s="285" t="n"/>
      <c r="C411" s="368" t="n"/>
      <c r="D411" s="336" t="n"/>
      <c r="E411" s="284" t="n"/>
      <c r="F411" s="472" t="n"/>
      <c r="G411" s="472" t="n"/>
      <c r="H411" s="472" t="n"/>
      <c r="I411" s="472" t="n"/>
      <c r="J411" s="472" t="n"/>
      <c r="K411" s="472" t="n"/>
      <c r="L411" s="472" t="n"/>
      <c r="M411" s="472" t="n"/>
      <c r="N411" s="472" t="n"/>
      <c r="O411" s="472" t="n"/>
      <c r="P411" s="472" t="n"/>
      <c r="Q411" s="472" t="n"/>
      <c r="R411" s="472" t="n"/>
      <c r="S411" s="285" t="n"/>
      <c r="T411" s="284" t="n"/>
      <c r="U411" s="284" t="n"/>
      <c r="V411" s="285" t="n"/>
      <c r="W411" s="285" t="n"/>
      <c r="X411" s="285" t="n"/>
      <c r="Y411" s="285" t="n"/>
      <c r="Z411" s="285" t="n"/>
      <c r="AA411" s="285" t="n"/>
      <c r="AB411" s="285" t="n"/>
    </row>
    <row r="412" ht="15.75" customHeight="1" s="398">
      <c r="A412" s="284" t="n"/>
      <c r="B412" s="285" t="n"/>
      <c r="C412" s="368" t="n"/>
      <c r="D412" s="336" t="n"/>
      <c r="E412" s="284" t="n"/>
      <c r="F412" s="472" t="n"/>
      <c r="G412" s="472" t="n"/>
      <c r="H412" s="472" t="n"/>
      <c r="I412" s="472" t="n"/>
      <c r="J412" s="472" t="n"/>
      <c r="K412" s="472" t="n"/>
      <c r="L412" s="472" t="n"/>
      <c r="M412" s="472" t="n"/>
      <c r="N412" s="472" t="n"/>
      <c r="O412" s="472" t="n"/>
      <c r="P412" s="472" t="n"/>
      <c r="Q412" s="472" t="n"/>
      <c r="R412" s="472" t="n"/>
      <c r="S412" s="285" t="n"/>
      <c r="T412" s="284" t="n"/>
      <c r="U412" s="284" t="n"/>
      <c r="V412" s="285" t="n"/>
      <c r="W412" s="285" t="n"/>
      <c r="X412" s="285" t="n"/>
      <c r="Y412" s="285" t="n"/>
      <c r="Z412" s="285" t="n"/>
      <c r="AA412" s="285" t="n"/>
      <c r="AB412" s="285" t="n"/>
    </row>
    <row r="413" ht="15.75" customHeight="1" s="398">
      <c r="A413" s="284" t="n"/>
      <c r="B413" s="285" t="n"/>
      <c r="C413" s="368" t="n"/>
      <c r="D413" s="336" t="n"/>
      <c r="E413" s="284" t="n"/>
      <c r="F413" s="472" t="n"/>
      <c r="G413" s="472" t="n"/>
      <c r="H413" s="472" t="n"/>
      <c r="I413" s="472" t="n"/>
      <c r="J413" s="472" t="n"/>
      <c r="K413" s="472" t="n"/>
      <c r="L413" s="472" t="n"/>
      <c r="M413" s="472" t="n"/>
      <c r="N413" s="472" t="n"/>
      <c r="O413" s="472" t="n"/>
      <c r="P413" s="472" t="n"/>
      <c r="Q413" s="472" t="n"/>
      <c r="R413" s="472" t="n"/>
      <c r="S413" s="285" t="n"/>
      <c r="T413" s="284" t="n"/>
      <c r="U413" s="284" t="n"/>
      <c r="V413" s="285" t="n"/>
      <c r="W413" s="285" t="n"/>
      <c r="X413" s="285" t="n"/>
      <c r="Y413" s="285" t="n"/>
      <c r="Z413" s="285" t="n"/>
      <c r="AA413" s="285" t="n"/>
      <c r="AB413" s="285" t="n"/>
    </row>
    <row r="414" ht="15.75" customHeight="1" s="398">
      <c r="A414" s="284" t="n"/>
      <c r="B414" s="285" t="n"/>
      <c r="C414" s="368" t="n"/>
      <c r="D414" s="336" t="n"/>
      <c r="E414" s="284" t="n"/>
      <c r="F414" s="472" t="n"/>
      <c r="G414" s="472" t="n"/>
      <c r="H414" s="472" t="n"/>
      <c r="I414" s="472" t="n"/>
      <c r="J414" s="472" t="n"/>
      <c r="K414" s="472" t="n"/>
      <c r="L414" s="472" t="n"/>
      <c r="M414" s="472" t="n"/>
      <c r="N414" s="472" t="n"/>
      <c r="O414" s="472" t="n"/>
      <c r="P414" s="472" t="n"/>
      <c r="Q414" s="472" t="n"/>
      <c r="R414" s="472" t="n"/>
      <c r="S414" s="285" t="n"/>
      <c r="T414" s="284" t="n"/>
      <c r="U414" s="284" t="n"/>
      <c r="V414" s="285" t="n"/>
      <c r="W414" s="285" t="n"/>
      <c r="X414" s="285" t="n"/>
      <c r="Y414" s="285" t="n"/>
      <c r="Z414" s="285" t="n"/>
      <c r="AA414" s="285" t="n"/>
      <c r="AB414" s="285" t="n"/>
    </row>
    <row r="415" ht="15.75" customHeight="1" s="398">
      <c r="A415" s="284" t="n"/>
      <c r="B415" s="285" t="n"/>
      <c r="C415" s="368" t="n"/>
      <c r="D415" s="336" t="n"/>
      <c r="E415" s="284" t="n"/>
      <c r="F415" s="472" t="n"/>
      <c r="G415" s="472" t="n"/>
      <c r="H415" s="472" t="n"/>
      <c r="I415" s="472" t="n"/>
      <c r="J415" s="472" t="n"/>
      <c r="K415" s="472" t="n"/>
      <c r="L415" s="472" t="n"/>
      <c r="M415" s="472" t="n"/>
      <c r="N415" s="472" t="n"/>
      <c r="O415" s="472" t="n"/>
      <c r="P415" s="472" t="n"/>
      <c r="Q415" s="472" t="n"/>
      <c r="R415" s="472" t="n"/>
      <c r="S415" s="285" t="n"/>
      <c r="T415" s="284" t="n"/>
      <c r="U415" s="284" t="n"/>
      <c r="V415" s="285" t="n"/>
      <c r="W415" s="285" t="n"/>
      <c r="X415" s="285" t="n"/>
      <c r="Y415" s="285" t="n"/>
      <c r="Z415" s="285" t="n"/>
      <c r="AA415" s="285" t="n"/>
      <c r="AB415" s="285" t="n"/>
    </row>
    <row r="416" ht="15.75" customHeight="1" s="398">
      <c r="A416" s="284" t="n"/>
      <c r="B416" s="285" t="n"/>
      <c r="C416" s="368" t="n"/>
      <c r="D416" s="336" t="n"/>
      <c r="E416" s="284" t="n"/>
      <c r="F416" s="472" t="n"/>
      <c r="G416" s="472" t="n"/>
      <c r="H416" s="472" t="n"/>
      <c r="I416" s="472" t="n"/>
      <c r="J416" s="472" t="n"/>
      <c r="K416" s="472" t="n"/>
      <c r="L416" s="472" t="n"/>
      <c r="M416" s="472" t="n"/>
      <c r="N416" s="472" t="n"/>
      <c r="O416" s="472" t="n"/>
      <c r="P416" s="472" t="n"/>
      <c r="Q416" s="472" t="n"/>
      <c r="R416" s="472" t="n"/>
      <c r="S416" s="285" t="n"/>
      <c r="T416" s="284" t="n"/>
      <c r="U416" s="284" t="n"/>
      <c r="V416" s="285" t="n"/>
      <c r="W416" s="285" t="n"/>
      <c r="X416" s="285" t="n"/>
      <c r="Y416" s="285" t="n"/>
      <c r="Z416" s="285" t="n"/>
      <c r="AA416" s="285" t="n"/>
      <c r="AB416" s="285" t="n"/>
    </row>
    <row r="417" ht="15.75" customHeight="1" s="398">
      <c r="A417" s="284" t="n"/>
      <c r="B417" s="285" t="n"/>
      <c r="C417" s="368" t="n"/>
      <c r="D417" s="336" t="n"/>
      <c r="E417" s="284" t="n"/>
      <c r="F417" s="472" t="n"/>
      <c r="G417" s="472" t="n"/>
      <c r="H417" s="472" t="n"/>
      <c r="I417" s="472" t="n"/>
      <c r="J417" s="472" t="n"/>
      <c r="K417" s="472" t="n"/>
      <c r="L417" s="472" t="n"/>
      <c r="M417" s="472" t="n"/>
      <c r="N417" s="472" t="n"/>
      <c r="O417" s="472" t="n"/>
      <c r="P417" s="472" t="n"/>
      <c r="Q417" s="472" t="n"/>
      <c r="R417" s="472" t="n"/>
      <c r="S417" s="285" t="n"/>
      <c r="T417" s="284" t="n"/>
      <c r="U417" s="284" t="n"/>
      <c r="V417" s="285" t="n"/>
      <c r="W417" s="285" t="n"/>
      <c r="X417" s="285" t="n"/>
      <c r="Y417" s="285" t="n"/>
      <c r="Z417" s="285" t="n"/>
      <c r="AA417" s="285" t="n"/>
      <c r="AB417" s="285" t="n"/>
    </row>
    <row r="418" ht="15.75" customHeight="1" s="398">
      <c r="A418" s="284" t="n"/>
      <c r="B418" s="285" t="n"/>
      <c r="C418" s="368" t="n"/>
      <c r="D418" s="336" t="n"/>
      <c r="E418" s="284" t="n"/>
      <c r="F418" s="472" t="n"/>
      <c r="G418" s="472" t="n"/>
      <c r="H418" s="472" t="n"/>
      <c r="I418" s="472" t="n"/>
      <c r="J418" s="472" t="n"/>
      <c r="K418" s="472" t="n"/>
      <c r="L418" s="472" t="n"/>
      <c r="M418" s="472" t="n"/>
      <c r="N418" s="472" t="n"/>
      <c r="O418" s="472" t="n"/>
      <c r="P418" s="472" t="n"/>
      <c r="Q418" s="472" t="n"/>
      <c r="R418" s="472" t="n"/>
      <c r="S418" s="285" t="n"/>
      <c r="T418" s="284" t="n"/>
      <c r="U418" s="284" t="n"/>
      <c r="V418" s="285" t="n"/>
      <c r="W418" s="285" t="n"/>
      <c r="X418" s="285" t="n"/>
      <c r="Y418" s="285" t="n"/>
      <c r="Z418" s="285" t="n"/>
      <c r="AA418" s="285" t="n"/>
      <c r="AB418" s="285" t="n"/>
    </row>
    <row r="419" ht="15.75" customHeight="1" s="398">
      <c r="A419" s="284" t="n"/>
      <c r="B419" s="285" t="n"/>
      <c r="C419" s="368" t="n"/>
      <c r="D419" s="336" t="n"/>
      <c r="E419" s="284" t="n"/>
      <c r="F419" s="472" t="n"/>
      <c r="G419" s="472" t="n"/>
      <c r="H419" s="472" t="n"/>
      <c r="I419" s="472" t="n"/>
      <c r="J419" s="472" t="n"/>
      <c r="K419" s="472" t="n"/>
      <c r="L419" s="472" t="n"/>
      <c r="M419" s="472" t="n"/>
      <c r="N419" s="472" t="n"/>
      <c r="O419" s="472" t="n"/>
      <c r="P419" s="472" t="n"/>
      <c r="Q419" s="472" t="n"/>
      <c r="R419" s="472" t="n"/>
      <c r="S419" s="285" t="n"/>
      <c r="T419" s="284" t="n"/>
      <c r="U419" s="284" t="n"/>
      <c r="V419" s="285" t="n"/>
      <c r="W419" s="285" t="n"/>
      <c r="X419" s="285" t="n"/>
      <c r="Y419" s="285" t="n"/>
      <c r="Z419" s="285" t="n"/>
      <c r="AA419" s="285" t="n"/>
      <c r="AB419" s="285" t="n"/>
    </row>
    <row r="420" ht="15.75" customHeight="1" s="398">
      <c r="A420" s="284" t="n"/>
      <c r="B420" s="285" t="n"/>
      <c r="C420" s="368" t="n"/>
      <c r="D420" s="336" t="n"/>
      <c r="E420" s="284" t="n"/>
      <c r="F420" s="472" t="n"/>
      <c r="G420" s="472" t="n"/>
      <c r="H420" s="472" t="n"/>
      <c r="I420" s="472" t="n"/>
      <c r="J420" s="472" t="n"/>
      <c r="K420" s="472" t="n"/>
      <c r="L420" s="472" t="n"/>
      <c r="M420" s="472" t="n"/>
      <c r="N420" s="472" t="n"/>
      <c r="O420" s="472" t="n"/>
      <c r="P420" s="472" t="n"/>
      <c r="Q420" s="472" t="n"/>
      <c r="R420" s="472" t="n"/>
      <c r="S420" s="285" t="n"/>
      <c r="T420" s="284" t="n"/>
      <c r="U420" s="284" t="n"/>
      <c r="V420" s="285" t="n"/>
      <c r="W420" s="285" t="n"/>
      <c r="X420" s="285" t="n"/>
      <c r="Y420" s="285" t="n"/>
      <c r="Z420" s="285" t="n"/>
      <c r="AA420" s="285" t="n"/>
      <c r="AB420" s="285" t="n"/>
    </row>
    <row r="421" ht="15.75" customHeight="1" s="398">
      <c r="A421" s="284" t="n"/>
      <c r="B421" s="285" t="n"/>
      <c r="C421" s="368" t="n"/>
      <c r="D421" s="336" t="n"/>
      <c r="E421" s="284" t="n"/>
      <c r="F421" s="472" t="n"/>
      <c r="G421" s="472" t="n"/>
      <c r="H421" s="472" t="n"/>
      <c r="I421" s="472" t="n"/>
      <c r="J421" s="472" t="n"/>
      <c r="K421" s="472" t="n"/>
      <c r="L421" s="472" t="n"/>
      <c r="M421" s="472" t="n"/>
      <c r="N421" s="472" t="n"/>
      <c r="O421" s="472" t="n"/>
      <c r="P421" s="472" t="n"/>
      <c r="Q421" s="472" t="n"/>
      <c r="R421" s="472" t="n"/>
      <c r="S421" s="285" t="n"/>
      <c r="T421" s="284" t="n"/>
      <c r="U421" s="284" t="n"/>
      <c r="V421" s="285" t="n"/>
      <c r="W421" s="285" t="n"/>
      <c r="X421" s="285" t="n"/>
      <c r="Y421" s="285" t="n"/>
      <c r="Z421" s="285" t="n"/>
      <c r="AA421" s="285" t="n"/>
      <c r="AB421" s="285" t="n"/>
    </row>
    <row r="422" ht="15.75" customHeight="1" s="398">
      <c r="A422" s="284" t="n"/>
      <c r="B422" s="285" t="n"/>
      <c r="C422" s="368" t="n"/>
      <c r="D422" s="336" t="n"/>
      <c r="E422" s="284" t="n"/>
      <c r="F422" s="472" t="n"/>
      <c r="G422" s="472" t="n"/>
      <c r="H422" s="472" t="n"/>
      <c r="I422" s="472" t="n"/>
      <c r="J422" s="472" t="n"/>
      <c r="K422" s="472" t="n"/>
      <c r="L422" s="472" t="n"/>
      <c r="M422" s="472" t="n"/>
      <c r="N422" s="472" t="n"/>
      <c r="O422" s="472" t="n"/>
      <c r="P422" s="472" t="n"/>
      <c r="Q422" s="472" t="n"/>
      <c r="R422" s="472" t="n"/>
      <c r="S422" s="285" t="n"/>
      <c r="T422" s="284" t="n"/>
      <c r="U422" s="284" t="n"/>
      <c r="V422" s="285" t="n"/>
      <c r="W422" s="285" t="n"/>
      <c r="X422" s="285" t="n"/>
      <c r="Y422" s="285" t="n"/>
      <c r="Z422" s="285" t="n"/>
      <c r="AA422" s="285" t="n"/>
      <c r="AB422" s="285" t="n"/>
    </row>
    <row r="423" ht="15.75" customHeight="1" s="398">
      <c r="A423" s="284" t="n"/>
      <c r="B423" s="285" t="n"/>
      <c r="C423" s="368" t="n"/>
      <c r="D423" s="336" t="n"/>
      <c r="E423" s="284" t="n"/>
      <c r="F423" s="472" t="n"/>
      <c r="G423" s="472" t="n"/>
      <c r="H423" s="472" t="n"/>
      <c r="I423" s="472" t="n"/>
      <c r="J423" s="472" t="n"/>
      <c r="K423" s="472" t="n"/>
      <c r="L423" s="472" t="n"/>
      <c r="M423" s="472" t="n"/>
      <c r="N423" s="472" t="n"/>
      <c r="O423" s="472" t="n"/>
      <c r="P423" s="472" t="n"/>
      <c r="Q423" s="472" t="n"/>
      <c r="R423" s="472" t="n"/>
      <c r="S423" s="285" t="n"/>
      <c r="T423" s="284" t="n"/>
      <c r="U423" s="284" t="n"/>
      <c r="V423" s="285" t="n"/>
      <c r="W423" s="285" t="n"/>
      <c r="X423" s="285" t="n"/>
      <c r="Y423" s="285" t="n"/>
      <c r="Z423" s="285" t="n"/>
      <c r="AA423" s="285" t="n"/>
      <c r="AB423" s="285" t="n"/>
    </row>
    <row r="424" ht="15.75" customHeight="1" s="398">
      <c r="A424" s="284" t="n"/>
      <c r="B424" s="285" t="n"/>
      <c r="C424" s="368" t="n"/>
      <c r="D424" s="336" t="n"/>
      <c r="E424" s="284" t="n"/>
      <c r="F424" s="472" t="n"/>
      <c r="G424" s="472" t="n"/>
      <c r="H424" s="472" t="n"/>
      <c r="I424" s="472" t="n"/>
      <c r="J424" s="472" t="n"/>
      <c r="K424" s="472" t="n"/>
      <c r="L424" s="472" t="n"/>
      <c r="M424" s="472" t="n"/>
      <c r="N424" s="472" t="n"/>
      <c r="O424" s="472" t="n"/>
      <c r="P424" s="472" t="n"/>
      <c r="Q424" s="472" t="n"/>
      <c r="R424" s="472" t="n"/>
      <c r="S424" s="285" t="n"/>
      <c r="T424" s="284" t="n"/>
      <c r="U424" s="284" t="n"/>
      <c r="V424" s="285" t="n"/>
      <c r="W424" s="285" t="n"/>
      <c r="X424" s="285" t="n"/>
      <c r="Y424" s="285" t="n"/>
      <c r="Z424" s="285" t="n"/>
      <c r="AA424" s="285" t="n"/>
      <c r="AB424" s="285" t="n"/>
    </row>
    <row r="425" ht="15.75" customHeight="1" s="398">
      <c r="A425" s="284" t="n"/>
      <c r="B425" s="285" t="n"/>
      <c r="C425" s="368" t="n"/>
      <c r="D425" s="336" t="n"/>
      <c r="E425" s="284" t="n"/>
      <c r="F425" s="472" t="n"/>
      <c r="G425" s="472" t="n"/>
      <c r="H425" s="472" t="n"/>
      <c r="I425" s="472" t="n"/>
      <c r="J425" s="472" t="n"/>
      <c r="K425" s="472" t="n"/>
      <c r="L425" s="472" t="n"/>
      <c r="M425" s="472" t="n"/>
      <c r="N425" s="472" t="n"/>
      <c r="O425" s="472" t="n"/>
      <c r="P425" s="472" t="n"/>
      <c r="Q425" s="472" t="n"/>
      <c r="R425" s="472" t="n"/>
      <c r="S425" s="285" t="n"/>
      <c r="T425" s="284" t="n"/>
      <c r="U425" s="284" t="n"/>
      <c r="V425" s="285" t="n"/>
      <c r="W425" s="285" t="n"/>
      <c r="X425" s="285" t="n"/>
      <c r="Y425" s="285" t="n"/>
      <c r="Z425" s="285" t="n"/>
      <c r="AA425" s="285" t="n"/>
      <c r="AB425" s="285" t="n"/>
    </row>
    <row r="426" ht="15.75" customHeight="1" s="398">
      <c r="A426" s="284" t="n"/>
      <c r="B426" s="285" t="n"/>
      <c r="C426" s="368" t="n"/>
      <c r="D426" s="336" t="n"/>
      <c r="E426" s="284" t="n"/>
      <c r="F426" s="472" t="n"/>
      <c r="G426" s="472" t="n"/>
      <c r="H426" s="472" t="n"/>
      <c r="I426" s="472" t="n"/>
      <c r="J426" s="472" t="n"/>
      <c r="K426" s="472" t="n"/>
      <c r="L426" s="472" t="n"/>
      <c r="M426" s="472" t="n"/>
      <c r="N426" s="472" t="n"/>
      <c r="O426" s="472" t="n"/>
      <c r="P426" s="472" t="n"/>
      <c r="Q426" s="472" t="n"/>
      <c r="R426" s="472" t="n"/>
      <c r="S426" s="285" t="n"/>
      <c r="T426" s="284" t="n"/>
      <c r="U426" s="284" t="n"/>
      <c r="V426" s="285" t="n"/>
      <c r="W426" s="285" t="n"/>
      <c r="X426" s="285" t="n"/>
      <c r="Y426" s="285" t="n"/>
      <c r="Z426" s="285" t="n"/>
      <c r="AA426" s="285" t="n"/>
      <c r="AB426" s="285" t="n"/>
    </row>
    <row r="427" ht="15.75" customHeight="1" s="398">
      <c r="A427" s="284" t="n"/>
      <c r="B427" s="285" t="n"/>
      <c r="C427" s="368" t="n"/>
      <c r="D427" s="336" t="n"/>
      <c r="E427" s="284" t="n"/>
      <c r="F427" s="472" t="n"/>
      <c r="G427" s="472" t="n"/>
      <c r="H427" s="472" t="n"/>
      <c r="I427" s="472" t="n"/>
      <c r="J427" s="472" t="n"/>
      <c r="K427" s="472" t="n"/>
      <c r="L427" s="472" t="n"/>
      <c r="M427" s="472" t="n"/>
      <c r="N427" s="472" t="n"/>
      <c r="O427" s="472" t="n"/>
      <c r="P427" s="472" t="n"/>
      <c r="Q427" s="472" t="n"/>
      <c r="R427" s="472" t="n"/>
      <c r="S427" s="285" t="n"/>
      <c r="T427" s="284" t="n"/>
      <c r="U427" s="284" t="n"/>
      <c r="V427" s="285" t="n"/>
      <c r="W427" s="285" t="n"/>
      <c r="X427" s="285" t="n"/>
      <c r="Y427" s="285" t="n"/>
      <c r="Z427" s="285" t="n"/>
      <c r="AA427" s="285" t="n"/>
      <c r="AB427" s="285" t="n"/>
    </row>
    <row r="428" ht="15.75" customHeight="1" s="398">
      <c r="A428" s="284" t="n"/>
      <c r="B428" s="285" t="n"/>
      <c r="C428" s="368" t="n"/>
      <c r="D428" s="336" t="n"/>
      <c r="E428" s="284" t="n"/>
      <c r="F428" s="472" t="n"/>
      <c r="G428" s="472" t="n"/>
      <c r="H428" s="472" t="n"/>
      <c r="I428" s="472" t="n"/>
      <c r="J428" s="472" t="n"/>
      <c r="K428" s="472" t="n"/>
      <c r="L428" s="472" t="n"/>
      <c r="M428" s="472" t="n"/>
      <c r="N428" s="472" t="n"/>
      <c r="O428" s="472" t="n"/>
      <c r="P428" s="472" t="n"/>
      <c r="Q428" s="472" t="n"/>
      <c r="R428" s="472" t="n"/>
      <c r="S428" s="285" t="n"/>
      <c r="T428" s="284" t="n"/>
      <c r="U428" s="284" t="n"/>
      <c r="V428" s="285" t="n"/>
      <c r="W428" s="285" t="n"/>
      <c r="X428" s="285" t="n"/>
      <c r="Y428" s="285" t="n"/>
      <c r="Z428" s="285" t="n"/>
      <c r="AA428" s="285" t="n"/>
      <c r="AB428" s="285" t="n"/>
    </row>
    <row r="429" ht="15.75" customHeight="1" s="398">
      <c r="A429" s="284" t="n"/>
      <c r="B429" s="285" t="n"/>
      <c r="C429" s="368" t="n"/>
      <c r="D429" s="336" t="n"/>
      <c r="E429" s="284" t="n"/>
      <c r="F429" s="472" t="n"/>
      <c r="G429" s="472" t="n"/>
      <c r="H429" s="472" t="n"/>
      <c r="I429" s="472" t="n"/>
      <c r="J429" s="472" t="n"/>
      <c r="K429" s="472" t="n"/>
      <c r="L429" s="472" t="n"/>
      <c r="M429" s="472" t="n"/>
      <c r="N429" s="472" t="n"/>
      <c r="O429" s="472" t="n"/>
      <c r="P429" s="472" t="n"/>
      <c r="Q429" s="472" t="n"/>
      <c r="R429" s="472" t="n"/>
      <c r="S429" s="285" t="n"/>
      <c r="T429" s="284" t="n"/>
      <c r="U429" s="284" t="n"/>
      <c r="V429" s="285" t="n"/>
      <c r="W429" s="285" t="n"/>
      <c r="X429" s="285" t="n"/>
      <c r="Y429" s="285" t="n"/>
      <c r="Z429" s="285" t="n"/>
      <c r="AA429" s="285" t="n"/>
      <c r="AB429" s="285" t="n"/>
    </row>
    <row r="430" ht="15.75" customHeight="1" s="398">
      <c r="A430" s="284" t="n"/>
      <c r="B430" s="285" t="n"/>
      <c r="C430" s="368" t="n"/>
      <c r="D430" s="336" t="n"/>
      <c r="E430" s="284" t="n"/>
      <c r="F430" s="472" t="n"/>
      <c r="G430" s="472" t="n"/>
      <c r="H430" s="472" t="n"/>
      <c r="I430" s="472" t="n"/>
      <c r="J430" s="472" t="n"/>
      <c r="K430" s="472" t="n"/>
      <c r="L430" s="472" t="n"/>
      <c r="M430" s="472" t="n"/>
      <c r="N430" s="472" t="n"/>
      <c r="O430" s="472" t="n"/>
      <c r="P430" s="472" t="n"/>
      <c r="Q430" s="472" t="n"/>
      <c r="R430" s="472" t="n"/>
      <c r="S430" s="285" t="n"/>
      <c r="T430" s="284" t="n"/>
      <c r="U430" s="284" t="n"/>
      <c r="V430" s="285" t="n"/>
      <c r="W430" s="285" t="n"/>
      <c r="X430" s="285" t="n"/>
      <c r="Y430" s="285" t="n"/>
      <c r="Z430" s="285" t="n"/>
      <c r="AA430" s="285" t="n"/>
      <c r="AB430" s="285" t="n"/>
    </row>
    <row r="431" ht="15.75" customHeight="1" s="398">
      <c r="A431" s="284" t="n"/>
      <c r="B431" s="285" t="n"/>
      <c r="C431" s="368" t="n"/>
      <c r="D431" s="336" t="n"/>
      <c r="E431" s="284" t="n"/>
      <c r="F431" s="472" t="n"/>
      <c r="G431" s="472" t="n"/>
      <c r="H431" s="472" t="n"/>
      <c r="I431" s="472" t="n"/>
      <c r="J431" s="472" t="n"/>
      <c r="K431" s="472" t="n"/>
      <c r="L431" s="472" t="n"/>
      <c r="M431" s="472" t="n"/>
      <c r="N431" s="472" t="n"/>
      <c r="O431" s="472" t="n"/>
      <c r="P431" s="472" t="n"/>
      <c r="Q431" s="472" t="n"/>
      <c r="R431" s="472" t="n"/>
      <c r="S431" s="285" t="n"/>
      <c r="T431" s="284" t="n"/>
      <c r="U431" s="284" t="n"/>
      <c r="V431" s="285" t="n"/>
      <c r="W431" s="285" t="n"/>
      <c r="X431" s="285" t="n"/>
      <c r="Y431" s="285" t="n"/>
      <c r="Z431" s="285" t="n"/>
      <c r="AA431" s="285" t="n"/>
      <c r="AB431" s="285" t="n"/>
    </row>
    <row r="432" ht="15.75" customHeight="1" s="398">
      <c r="A432" s="284" t="n"/>
      <c r="B432" s="285" t="n"/>
      <c r="C432" s="368" t="n"/>
      <c r="D432" s="336" t="n"/>
      <c r="E432" s="284" t="n"/>
      <c r="F432" s="472" t="n"/>
      <c r="G432" s="472" t="n"/>
      <c r="H432" s="472" t="n"/>
      <c r="I432" s="472" t="n"/>
      <c r="J432" s="472" t="n"/>
      <c r="K432" s="472" t="n"/>
      <c r="L432" s="472" t="n"/>
      <c r="M432" s="472" t="n"/>
      <c r="N432" s="472" t="n"/>
      <c r="O432" s="472" t="n"/>
      <c r="P432" s="472" t="n"/>
      <c r="Q432" s="472" t="n"/>
      <c r="R432" s="472" t="n"/>
      <c r="S432" s="285" t="n"/>
      <c r="T432" s="284" t="n"/>
      <c r="U432" s="284" t="n"/>
      <c r="V432" s="285" t="n"/>
      <c r="W432" s="285" t="n"/>
      <c r="X432" s="285" t="n"/>
      <c r="Y432" s="285" t="n"/>
      <c r="Z432" s="285" t="n"/>
      <c r="AA432" s="285" t="n"/>
      <c r="AB432" s="285" t="n"/>
    </row>
    <row r="433" ht="15.75" customHeight="1" s="398">
      <c r="A433" s="284" t="n"/>
      <c r="B433" s="285" t="n"/>
      <c r="C433" s="368" t="n"/>
      <c r="D433" s="336" t="n"/>
      <c r="E433" s="284" t="n"/>
      <c r="F433" s="472" t="n"/>
      <c r="G433" s="472" t="n"/>
      <c r="H433" s="472" t="n"/>
      <c r="I433" s="472" t="n"/>
      <c r="J433" s="472" t="n"/>
      <c r="K433" s="472" t="n"/>
      <c r="L433" s="472" t="n"/>
      <c r="M433" s="472" t="n"/>
      <c r="N433" s="472" t="n"/>
      <c r="O433" s="472" t="n"/>
      <c r="P433" s="472" t="n"/>
      <c r="Q433" s="472" t="n"/>
      <c r="R433" s="472" t="n"/>
      <c r="S433" s="285" t="n"/>
      <c r="T433" s="284" t="n"/>
      <c r="U433" s="284" t="n"/>
      <c r="V433" s="285" t="n"/>
      <c r="W433" s="285" t="n"/>
      <c r="X433" s="285" t="n"/>
      <c r="Y433" s="285" t="n"/>
      <c r="Z433" s="285" t="n"/>
      <c r="AA433" s="285" t="n"/>
      <c r="AB433" s="285" t="n"/>
    </row>
    <row r="434" ht="15.75" customHeight="1" s="398">
      <c r="A434" s="284" t="n"/>
      <c r="B434" s="285" t="n"/>
      <c r="C434" s="368" t="n"/>
      <c r="D434" s="336" t="n"/>
      <c r="E434" s="284" t="n"/>
      <c r="F434" s="472" t="n"/>
      <c r="G434" s="472" t="n"/>
      <c r="H434" s="472" t="n"/>
      <c r="I434" s="472" t="n"/>
      <c r="J434" s="472" t="n"/>
      <c r="K434" s="472" t="n"/>
      <c r="L434" s="472" t="n"/>
      <c r="M434" s="472" t="n"/>
      <c r="N434" s="472" t="n"/>
      <c r="O434" s="472" t="n"/>
      <c r="P434" s="472" t="n"/>
      <c r="Q434" s="472" t="n"/>
      <c r="R434" s="472" t="n"/>
      <c r="S434" s="285" t="n"/>
      <c r="T434" s="284" t="n"/>
      <c r="U434" s="284" t="n"/>
      <c r="V434" s="285" t="n"/>
      <c r="W434" s="285" t="n"/>
      <c r="X434" s="285" t="n"/>
      <c r="Y434" s="285" t="n"/>
      <c r="Z434" s="285" t="n"/>
      <c r="AA434" s="285" t="n"/>
      <c r="AB434" s="285" t="n"/>
    </row>
    <row r="435" ht="15.75" customHeight="1" s="398">
      <c r="A435" s="284" t="n"/>
      <c r="B435" s="285" t="n"/>
      <c r="C435" s="368" t="n"/>
      <c r="D435" s="336" t="n"/>
      <c r="E435" s="284" t="n"/>
      <c r="F435" s="472" t="n"/>
      <c r="G435" s="472" t="n"/>
      <c r="H435" s="472" t="n"/>
      <c r="I435" s="472" t="n"/>
      <c r="J435" s="472" t="n"/>
      <c r="K435" s="472" t="n"/>
      <c r="L435" s="472" t="n"/>
      <c r="M435" s="472" t="n"/>
      <c r="N435" s="472" t="n"/>
      <c r="O435" s="472" t="n"/>
      <c r="P435" s="472" t="n"/>
      <c r="Q435" s="472" t="n"/>
      <c r="R435" s="472" t="n"/>
      <c r="S435" s="285" t="n"/>
      <c r="T435" s="284" t="n"/>
      <c r="U435" s="284" t="n"/>
      <c r="V435" s="285" t="n"/>
      <c r="W435" s="285" t="n"/>
      <c r="X435" s="285" t="n"/>
      <c r="Y435" s="285" t="n"/>
      <c r="Z435" s="285" t="n"/>
      <c r="AA435" s="285" t="n"/>
      <c r="AB435" s="285" t="n"/>
    </row>
    <row r="436" ht="15.75" customHeight="1" s="398">
      <c r="A436" s="284" t="n"/>
      <c r="B436" s="285" t="n"/>
      <c r="C436" s="368" t="n"/>
      <c r="D436" s="336" t="n"/>
      <c r="E436" s="284" t="n"/>
      <c r="F436" s="472" t="n"/>
      <c r="G436" s="472" t="n"/>
      <c r="H436" s="472" t="n"/>
      <c r="I436" s="472" t="n"/>
      <c r="J436" s="472" t="n"/>
      <c r="K436" s="472" t="n"/>
      <c r="L436" s="472" t="n"/>
      <c r="M436" s="472" t="n"/>
      <c r="N436" s="472" t="n"/>
      <c r="O436" s="472" t="n"/>
      <c r="P436" s="472" t="n"/>
      <c r="Q436" s="472" t="n"/>
      <c r="R436" s="472" t="n"/>
      <c r="S436" s="285" t="n"/>
      <c r="T436" s="284" t="n"/>
      <c r="U436" s="284" t="n"/>
      <c r="V436" s="285" t="n"/>
      <c r="W436" s="285" t="n"/>
      <c r="X436" s="285" t="n"/>
      <c r="Y436" s="285" t="n"/>
      <c r="Z436" s="285" t="n"/>
      <c r="AA436" s="285" t="n"/>
      <c r="AB436" s="285" t="n"/>
    </row>
    <row r="437" ht="15.75" customHeight="1" s="398">
      <c r="A437" s="284" t="n"/>
      <c r="B437" s="285" t="n"/>
      <c r="C437" s="368" t="n"/>
      <c r="D437" s="336" t="n"/>
      <c r="E437" s="284" t="n"/>
      <c r="F437" s="472" t="n"/>
      <c r="G437" s="472" t="n"/>
      <c r="H437" s="472" t="n"/>
      <c r="I437" s="472" t="n"/>
      <c r="J437" s="472" t="n"/>
      <c r="K437" s="472" t="n"/>
      <c r="L437" s="472" t="n"/>
      <c r="M437" s="472" t="n"/>
      <c r="N437" s="472" t="n"/>
      <c r="O437" s="472" t="n"/>
      <c r="P437" s="472" t="n"/>
      <c r="Q437" s="472" t="n"/>
      <c r="R437" s="472" t="n"/>
      <c r="S437" s="285" t="n"/>
      <c r="T437" s="284" t="n"/>
      <c r="U437" s="284" t="n"/>
      <c r="V437" s="285" t="n"/>
      <c r="W437" s="285" t="n"/>
      <c r="X437" s="285" t="n"/>
      <c r="Y437" s="285" t="n"/>
      <c r="Z437" s="285" t="n"/>
      <c r="AA437" s="285" t="n"/>
      <c r="AB437" s="285" t="n"/>
    </row>
    <row r="438" ht="15.75" customHeight="1" s="398">
      <c r="A438" s="284" t="n"/>
      <c r="B438" s="285" t="n"/>
      <c r="C438" s="368" t="n"/>
      <c r="D438" s="336" t="n"/>
      <c r="E438" s="284" t="n"/>
      <c r="F438" s="472" t="n"/>
      <c r="G438" s="472" t="n"/>
      <c r="H438" s="472" t="n"/>
      <c r="I438" s="472" t="n"/>
      <c r="J438" s="472" t="n"/>
      <c r="K438" s="472" t="n"/>
      <c r="L438" s="472" t="n"/>
      <c r="M438" s="472" t="n"/>
      <c r="N438" s="472" t="n"/>
      <c r="O438" s="472" t="n"/>
      <c r="P438" s="472" t="n"/>
      <c r="Q438" s="472" t="n"/>
      <c r="R438" s="472" t="n"/>
      <c r="S438" s="285" t="n"/>
      <c r="T438" s="284" t="n"/>
      <c r="U438" s="284" t="n"/>
      <c r="V438" s="285" t="n"/>
      <c r="W438" s="285" t="n"/>
      <c r="X438" s="285" t="n"/>
      <c r="Y438" s="285" t="n"/>
      <c r="Z438" s="285" t="n"/>
      <c r="AA438" s="285" t="n"/>
      <c r="AB438" s="285" t="n"/>
    </row>
    <row r="439" ht="15.75" customHeight="1" s="398">
      <c r="A439" s="284" t="n"/>
      <c r="B439" s="285" t="n"/>
      <c r="C439" s="368" t="n"/>
      <c r="D439" s="336" t="n"/>
      <c r="E439" s="284" t="n"/>
      <c r="F439" s="472" t="n"/>
      <c r="G439" s="472" t="n"/>
      <c r="H439" s="472" t="n"/>
      <c r="I439" s="472" t="n"/>
      <c r="J439" s="472" t="n"/>
      <c r="K439" s="472" t="n"/>
      <c r="L439" s="472" t="n"/>
      <c r="M439" s="472" t="n"/>
      <c r="N439" s="472" t="n"/>
      <c r="O439" s="472" t="n"/>
      <c r="P439" s="472" t="n"/>
      <c r="Q439" s="472" t="n"/>
      <c r="R439" s="472" t="n"/>
      <c r="S439" s="285" t="n"/>
      <c r="T439" s="284" t="n"/>
      <c r="U439" s="284" t="n"/>
      <c r="V439" s="285" t="n"/>
      <c r="W439" s="285" t="n"/>
      <c r="X439" s="285" t="n"/>
      <c r="Y439" s="285" t="n"/>
      <c r="Z439" s="285" t="n"/>
      <c r="AA439" s="285" t="n"/>
      <c r="AB439" s="285" t="n"/>
    </row>
    <row r="440" ht="15.75" customHeight="1" s="398">
      <c r="A440" s="284" t="n"/>
      <c r="B440" s="285" t="n"/>
      <c r="C440" s="368" t="n"/>
      <c r="D440" s="336" t="n"/>
      <c r="E440" s="284" t="n"/>
      <c r="F440" s="472" t="n"/>
      <c r="G440" s="472" t="n"/>
      <c r="H440" s="472" t="n"/>
      <c r="I440" s="472" t="n"/>
      <c r="J440" s="472" t="n"/>
      <c r="K440" s="472" t="n"/>
      <c r="L440" s="472" t="n"/>
      <c r="M440" s="472" t="n"/>
      <c r="N440" s="472" t="n"/>
      <c r="O440" s="472" t="n"/>
      <c r="P440" s="472" t="n"/>
      <c r="Q440" s="472" t="n"/>
      <c r="R440" s="472" t="n"/>
      <c r="S440" s="285" t="n"/>
      <c r="T440" s="284" t="n"/>
      <c r="U440" s="284" t="n"/>
      <c r="V440" s="285" t="n"/>
      <c r="W440" s="285" t="n"/>
      <c r="X440" s="285" t="n"/>
      <c r="Y440" s="285" t="n"/>
      <c r="Z440" s="285" t="n"/>
      <c r="AA440" s="285" t="n"/>
      <c r="AB440" s="285" t="n"/>
    </row>
    <row r="441" ht="15.75" customHeight="1" s="398">
      <c r="A441" s="284" t="n"/>
      <c r="B441" s="285" t="n"/>
      <c r="C441" s="368" t="n"/>
      <c r="D441" s="336" t="n"/>
      <c r="E441" s="284" t="n"/>
      <c r="F441" s="472" t="n"/>
      <c r="G441" s="472" t="n"/>
      <c r="H441" s="472" t="n"/>
      <c r="I441" s="472" t="n"/>
      <c r="J441" s="472" t="n"/>
      <c r="K441" s="472" t="n"/>
      <c r="L441" s="472" t="n"/>
      <c r="M441" s="472" t="n"/>
      <c r="N441" s="472" t="n"/>
      <c r="O441" s="472" t="n"/>
      <c r="P441" s="472" t="n"/>
      <c r="Q441" s="472" t="n"/>
      <c r="R441" s="472" t="n"/>
      <c r="S441" s="285" t="n"/>
      <c r="T441" s="284" t="n"/>
      <c r="U441" s="284" t="n"/>
      <c r="V441" s="285" t="n"/>
      <c r="W441" s="285" t="n"/>
      <c r="X441" s="285" t="n"/>
      <c r="Y441" s="285" t="n"/>
      <c r="Z441" s="285" t="n"/>
      <c r="AA441" s="285" t="n"/>
      <c r="AB441" s="285" t="n"/>
    </row>
    <row r="442" ht="15.75" customHeight="1" s="398">
      <c r="A442" s="284" t="n"/>
      <c r="B442" s="285" t="n"/>
      <c r="C442" s="368" t="n"/>
      <c r="D442" s="336" t="n"/>
      <c r="E442" s="284" t="n"/>
      <c r="F442" s="472" t="n"/>
      <c r="G442" s="472" t="n"/>
      <c r="H442" s="472" t="n"/>
      <c r="I442" s="472" t="n"/>
      <c r="J442" s="472" t="n"/>
      <c r="K442" s="472" t="n"/>
      <c r="L442" s="472" t="n"/>
      <c r="M442" s="472" t="n"/>
      <c r="N442" s="472" t="n"/>
      <c r="O442" s="472" t="n"/>
      <c r="P442" s="472" t="n"/>
      <c r="Q442" s="472" t="n"/>
      <c r="R442" s="472" t="n"/>
      <c r="S442" s="285" t="n"/>
      <c r="T442" s="284" t="n"/>
      <c r="U442" s="284" t="n"/>
      <c r="V442" s="285" t="n"/>
      <c r="W442" s="285" t="n"/>
      <c r="X442" s="285" t="n"/>
      <c r="Y442" s="285" t="n"/>
      <c r="Z442" s="285" t="n"/>
      <c r="AA442" s="285" t="n"/>
      <c r="AB442" s="285" t="n"/>
    </row>
    <row r="443" ht="15.75" customHeight="1" s="398">
      <c r="A443" s="284" t="n"/>
      <c r="B443" s="285" t="n"/>
      <c r="C443" s="368" t="n"/>
      <c r="D443" s="336" t="n"/>
      <c r="E443" s="284" t="n"/>
      <c r="F443" s="472" t="n"/>
      <c r="G443" s="472" t="n"/>
      <c r="H443" s="472" t="n"/>
      <c r="I443" s="472" t="n"/>
      <c r="J443" s="472" t="n"/>
      <c r="K443" s="472" t="n"/>
      <c r="L443" s="472" t="n"/>
      <c r="M443" s="472" t="n"/>
      <c r="N443" s="472" t="n"/>
      <c r="O443" s="472" t="n"/>
      <c r="P443" s="472" t="n"/>
      <c r="Q443" s="472" t="n"/>
      <c r="R443" s="472" t="n"/>
      <c r="S443" s="285" t="n"/>
      <c r="T443" s="284" t="n"/>
      <c r="U443" s="284" t="n"/>
      <c r="V443" s="285" t="n"/>
      <c r="W443" s="285" t="n"/>
      <c r="X443" s="285" t="n"/>
      <c r="Y443" s="285" t="n"/>
      <c r="Z443" s="285" t="n"/>
      <c r="AA443" s="285" t="n"/>
      <c r="AB443" s="285" t="n"/>
    </row>
    <row r="444" ht="15.75" customHeight="1" s="398">
      <c r="A444" s="284" t="n"/>
      <c r="B444" s="285" t="n"/>
      <c r="C444" s="368" t="n"/>
      <c r="D444" s="336" t="n"/>
      <c r="E444" s="284" t="n"/>
      <c r="F444" s="472" t="n"/>
      <c r="G444" s="472" t="n"/>
      <c r="H444" s="472" t="n"/>
      <c r="I444" s="472" t="n"/>
      <c r="J444" s="472" t="n"/>
      <c r="K444" s="472" t="n"/>
      <c r="L444" s="472" t="n"/>
      <c r="M444" s="472" t="n"/>
      <c r="N444" s="472" t="n"/>
      <c r="O444" s="472" t="n"/>
      <c r="P444" s="472" t="n"/>
      <c r="Q444" s="472" t="n"/>
      <c r="R444" s="472" t="n"/>
      <c r="S444" s="285" t="n"/>
      <c r="T444" s="284" t="n"/>
      <c r="U444" s="284" t="n"/>
      <c r="V444" s="285" t="n"/>
      <c r="W444" s="285" t="n"/>
      <c r="X444" s="285" t="n"/>
      <c r="Y444" s="285" t="n"/>
      <c r="Z444" s="285" t="n"/>
      <c r="AA444" s="285" t="n"/>
      <c r="AB444" s="285" t="n"/>
    </row>
    <row r="445" ht="15.75" customHeight="1" s="398">
      <c r="A445" s="284" t="n"/>
      <c r="B445" s="285" t="n"/>
      <c r="C445" s="368" t="n"/>
      <c r="D445" s="336" t="n"/>
      <c r="E445" s="284" t="n"/>
      <c r="F445" s="472" t="n"/>
      <c r="G445" s="472" t="n"/>
      <c r="H445" s="472" t="n"/>
      <c r="I445" s="472" t="n"/>
      <c r="J445" s="472" t="n"/>
      <c r="K445" s="472" t="n"/>
      <c r="L445" s="472" t="n"/>
      <c r="M445" s="472" t="n"/>
      <c r="N445" s="472" t="n"/>
      <c r="O445" s="472" t="n"/>
      <c r="P445" s="472" t="n"/>
      <c r="Q445" s="472" t="n"/>
      <c r="R445" s="472" t="n"/>
      <c r="S445" s="285" t="n"/>
      <c r="T445" s="284" t="n"/>
      <c r="U445" s="284" t="n"/>
      <c r="V445" s="285" t="n"/>
      <c r="W445" s="285" t="n"/>
      <c r="X445" s="285" t="n"/>
      <c r="Y445" s="285" t="n"/>
      <c r="Z445" s="285" t="n"/>
      <c r="AA445" s="285" t="n"/>
      <c r="AB445" s="285" t="n"/>
    </row>
    <row r="446" ht="15.75" customHeight="1" s="398">
      <c r="A446" s="284" t="n"/>
      <c r="B446" s="285" t="n"/>
      <c r="C446" s="368" t="n"/>
      <c r="D446" s="336" t="n"/>
      <c r="E446" s="284" t="n"/>
      <c r="F446" s="472" t="n"/>
      <c r="G446" s="472" t="n"/>
      <c r="H446" s="472" t="n"/>
      <c r="I446" s="472" t="n"/>
      <c r="J446" s="472" t="n"/>
      <c r="K446" s="472" t="n"/>
      <c r="L446" s="472" t="n"/>
      <c r="M446" s="472" t="n"/>
      <c r="N446" s="472" t="n"/>
      <c r="O446" s="472" t="n"/>
      <c r="P446" s="472" t="n"/>
      <c r="Q446" s="472" t="n"/>
      <c r="R446" s="472" t="n"/>
      <c r="S446" s="285" t="n"/>
      <c r="T446" s="284" t="n"/>
      <c r="U446" s="284" t="n"/>
      <c r="V446" s="285" t="n"/>
      <c r="W446" s="285" t="n"/>
      <c r="X446" s="285" t="n"/>
      <c r="Y446" s="285" t="n"/>
      <c r="Z446" s="285" t="n"/>
      <c r="AA446" s="285" t="n"/>
      <c r="AB446" s="285" t="n"/>
    </row>
    <row r="447" ht="15.75" customHeight="1" s="398">
      <c r="A447" s="284" t="n"/>
      <c r="B447" s="285" t="n"/>
      <c r="C447" s="368" t="n"/>
      <c r="D447" s="336" t="n"/>
      <c r="E447" s="284" t="n"/>
      <c r="F447" s="472" t="n"/>
      <c r="G447" s="472" t="n"/>
      <c r="H447" s="472" t="n"/>
      <c r="I447" s="472" t="n"/>
      <c r="J447" s="472" t="n"/>
      <c r="K447" s="472" t="n"/>
      <c r="L447" s="472" t="n"/>
      <c r="M447" s="472" t="n"/>
      <c r="N447" s="472" t="n"/>
      <c r="O447" s="472" t="n"/>
      <c r="P447" s="472" t="n"/>
      <c r="Q447" s="472" t="n"/>
      <c r="R447" s="472" t="n"/>
      <c r="S447" s="285" t="n"/>
      <c r="T447" s="284" t="n"/>
      <c r="U447" s="284" t="n"/>
      <c r="V447" s="285" t="n"/>
      <c r="W447" s="285" t="n"/>
      <c r="X447" s="285" t="n"/>
      <c r="Y447" s="285" t="n"/>
      <c r="Z447" s="285" t="n"/>
      <c r="AA447" s="285" t="n"/>
      <c r="AB447" s="285" t="n"/>
    </row>
    <row r="448" ht="15.75" customHeight="1" s="398">
      <c r="A448" s="284" t="n"/>
      <c r="B448" s="285" t="n"/>
      <c r="C448" s="368" t="n"/>
      <c r="D448" s="336" t="n"/>
      <c r="E448" s="284" t="n"/>
      <c r="F448" s="472" t="n"/>
      <c r="G448" s="472" t="n"/>
      <c r="H448" s="472" t="n"/>
      <c r="I448" s="472" t="n"/>
      <c r="J448" s="472" t="n"/>
      <c r="K448" s="472" t="n"/>
      <c r="L448" s="472" t="n"/>
      <c r="M448" s="472" t="n"/>
      <c r="N448" s="472" t="n"/>
      <c r="O448" s="472" t="n"/>
      <c r="P448" s="472" t="n"/>
      <c r="Q448" s="472" t="n"/>
      <c r="R448" s="472" t="n"/>
      <c r="S448" s="285" t="n"/>
      <c r="T448" s="284" t="n"/>
      <c r="U448" s="284" t="n"/>
      <c r="V448" s="285" t="n"/>
      <c r="W448" s="285" t="n"/>
      <c r="X448" s="285" t="n"/>
      <c r="Y448" s="285" t="n"/>
      <c r="Z448" s="285" t="n"/>
      <c r="AA448" s="285" t="n"/>
      <c r="AB448" s="285" t="n"/>
    </row>
    <row r="449" ht="15.75" customHeight="1" s="398">
      <c r="A449" s="284" t="n"/>
      <c r="B449" s="285" t="n"/>
      <c r="C449" s="368" t="n"/>
      <c r="D449" s="336" t="n"/>
      <c r="E449" s="284" t="n"/>
      <c r="F449" s="472" t="n"/>
      <c r="G449" s="472" t="n"/>
      <c r="H449" s="472" t="n"/>
      <c r="I449" s="472" t="n"/>
      <c r="J449" s="472" t="n"/>
      <c r="K449" s="472" t="n"/>
      <c r="L449" s="472" t="n"/>
      <c r="M449" s="472" t="n"/>
      <c r="N449" s="472" t="n"/>
      <c r="O449" s="472" t="n"/>
      <c r="P449" s="472" t="n"/>
      <c r="Q449" s="472" t="n"/>
      <c r="R449" s="472" t="n"/>
      <c r="S449" s="285" t="n"/>
      <c r="T449" s="284" t="n"/>
      <c r="U449" s="284" t="n"/>
      <c r="V449" s="285" t="n"/>
      <c r="W449" s="285" t="n"/>
      <c r="X449" s="285" t="n"/>
      <c r="Y449" s="285" t="n"/>
      <c r="Z449" s="285" t="n"/>
      <c r="AA449" s="285" t="n"/>
      <c r="AB449" s="285" t="n"/>
    </row>
    <row r="450" ht="15.75" customHeight="1" s="398">
      <c r="A450" s="284" t="n"/>
      <c r="B450" s="285" t="n"/>
      <c r="C450" s="368" t="n"/>
      <c r="D450" s="336" t="n"/>
      <c r="E450" s="284" t="n"/>
      <c r="F450" s="472" t="n"/>
      <c r="G450" s="472" t="n"/>
      <c r="H450" s="472" t="n"/>
      <c r="I450" s="472" t="n"/>
      <c r="J450" s="472" t="n"/>
      <c r="K450" s="472" t="n"/>
      <c r="L450" s="472" t="n"/>
      <c r="M450" s="472" t="n"/>
      <c r="N450" s="472" t="n"/>
      <c r="O450" s="472" t="n"/>
      <c r="P450" s="472" t="n"/>
      <c r="Q450" s="472" t="n"/>
      <c r="R450" s="472" t="n"/>
      <c r="S450" s="285" t="n"/>
      <c r="T450" s="284" t="n"/>
      <c r="U450" s="284" t="n"/>
      <c r="V450" s="285" t="n"/>
      <c r="W450" s="285" t="n"/>
      <c r="X450" s="285" t="n"/>
      <c r="Y450" s="285" t="n"/>
      <c r="Z450" s="285" t="n"/>
      <c r="AA450" s="285" t="n"/>
      <c r="AB450" s="285" t="n"/>
    </row>
    <row r="451" ht="15.75" customHeight="1" s="398">
      <c r="A451" s="284" t="n"/>
      <c r="B451" s="285" t="n"/>
      <c r="C451" s="368" t="n"/>
      <c r="D451" s="336" t="n"/>
      <c r="E451" s="284" t="n"/>
      <c r="F451" s="472" t="n"/>
      <c r="G451" s="472" t="n"/>
      <c r="H451" s="472" t="n"/>
      <c r="I451" s="472" t="n"/>
      <c r="J451" s="472" t="n"/>
      <c r="K451" s="472" t="n"/>
      <c r="L451" s="472" t="n"/>
      <c r="M451" s="472" t="n"/>
      <c r="N451" s="472" t="n"/>
      <c r="O451" s="472" t="n"/>
      <c r="P451" s="472" t="n"/>
      <c r="Q451" s="472" t="n"/>
      <c r="R451" s="472" t="n"/>
      <c r="S451" s="285" t="n"/>
      <c r="T451" s="284" t="n"/>
      <c r="U451" s="284" t="n"/>
      <c r="V451" s="285" t="n"/>
      <c r="W451" s="285" t="n"/>
      <c r="X451" s="285" t="n"/>
      <c r="Y451" s="285" t="n"/>
      <c r="Z451" s="285" t="n"/>
      <c r="AA451" s="285" t="n"/>
      <c r="AB451" s="285" t="n"/>
    </row>
    <row r="452" ht="15.75" customHeight="1" s="398">
      <c r="A452" s="284" t="n"/>
      <c r="B452" s="285" t="n"/>
      <c r="C452" s="368" t="n"/>
      <c r="D452" s="336" t="n"/>
      <c r="E452" s="284" t="n"/>
      <c r="F452" s="472" t="n"/>
      <c r="G452" s="472" t="n"/>
      <c r="H452" s="472" t="n"/>
      <c r="I452" s="472" t="n"/>
      <c r="J452" s="472" t="n"/>
      <c r="K452" s="472" t="n"/>
      <c r="L452" s="472" t="n"/>
      <c r="M452" s="472" t="n"/>
      <c r="N452" s="472" t="n"/>
      <c r="O452" s="472" t="n"/>
      <c r="P452" s="472" t="n"/>
      <c r="Q452" s="472" t="n"/>
      <c r="R452" s="472" t="n"/>
      <c r="S452" s="285" t="n"/>
      <c r="T452" s="284" t="n"/>
      <c r="U452" s="284" t="n"/>
      <c r="V452" s="285" t="n"/>
      <c r="W452" s="285" t="n"/>
      <c r="X452" s="285" t="n"/>
      <c r="Y452" s="285" t="n"/>
      <c r="Z452" s="285" t="n"/>
      <c r="AA452" s="285" t="n"/>
      <c r="AB452" s="285" t="n"/>
    </row>
    <row r="453" ht="15.75" customHeight="1" s="398">
      <c r="A453" s="284" t="n"/>
      <c r="B453" s="285" t="n"/>
      <c r="C453" s="368" t="n"/>
      <c r="D453" s="336" t="n"/>
      <c r="E453" s="284" t="n"/>
      <c r="F453" s="472" t="n"/>
      <c r="G453" s="472" t="n"/>
      <c r="H453" s="472" t="n"/>
      <c r="I453" s="472" t="n"/>
      <c r="J453" s="472" t="n"/>
      <c r="K453" s="472" t="n"/>
      <c r="L453" s="472" t="n"/>
      <c r="M453" s="472" t="n"/>
      <c r="N453" s="472" t="n"/>
      <c r="O453" s="472" t="n"/>
      <c r="P453" s="472" t="n"/>
      <c r="Q453" s="472" t="n"/>
      <c r="R453" s="472" t="n"/>
      <c r="S453" s="285" t="n"/>
      <c r="T453" s="284" t="n"/>
      <c r="U453" s="284" t="n"/>
      <c r="V453" s="285" t="n"/>
      <c r="W453" s="285" t="n"/>
      <c r="X453" s="285" t="n"/>
      <c r="Y453" s="285" t="n"/>
      <c r="Z453" s="285" t="n"/>
      <c r="AA453" s="285" t="n"/>
      <c r="AB453" s="285" t="n"/>
    </row>
    <row r="454" ht="15.75" customHeight="1" s="398">
      <c r="A454" s="284" t="n"/>
      <c r="B454" s="285" t="n"/>
      <c r="C454" s="368" t="n"/>
      <c r="D454" s="336" t="n"/>
      <c r="E454" s="284" t="n"/>
      <c r="F454" s="472" t="n"/>
      <c r="G454" s="472" t="n"/>
      <c r="H454" s="472" t="n"/>
      <c r="I454" s="472" t="n"/>
      <c r="J454" s="472" t="n"/>
      <c r="K454" s="472" t="n"/>
      <c r="L454" s="472" t="n"/>
      <c r="M454" s="472" t="n"/>
      <c r="N454" s="472" t="n"/>
      <c r="O454" s="472" t="n"/>
      <c r="P454" s="472" t="n"/>
      <c r="Q454" s="472" t="n"/>
      <c r="R454" s="472" t="n"/>
      <c r="S454" s="285" t="n"/>
      <c r="T454" s="284" t="n"/>
      <c r="U454" s="284" t="n"/>
      <c r="V454" s="285" t="n"/>
      <c r="W454" s="285" t="n"/>
      <c r="X454" s="285" t="n"/>
      <c r="Y454" s="285" t="n"/>
      <c r="Z454" s="285" t="n"/>
      <c r="AA454" s="285" t="n"/>
      <c r="AB454" s="285" t="n"/>
    </row>
    <row r="455" ht="15.75" customHeight="1" s="398">
      <c r="A455" s="284" t="n"/>
      <c r="B455" s="285" t="n"/>
      <c r="C455" s="368" t="n"/>
      <c r="D455" s="336" t="n"/>
      <c r="E455" s="284" t="n"/>
      <c r="F455" s="472" t="n"/>
      <c r="G455" s="472" t="n"/>
      <c r="H455" s="472" t="n"/>
      <c r="I455" s="472" t="n"/>
      <c r="J455" s="472" t="n"/>
      <c r="K455" s="472" t="n"/>
      <c r="L455" s="472" t="n"/>
      <c r="M455" s="472" t="n"/>
      <c r="N455" s="472" t="n"/>
      <c r="O455" s="472" t="n"/>
      <c r="P455" s="472" t="n"/>
      <c r="Q455" s="472" t="n"/>
      <c r="R455" s="472" t="n"/>
      <c r="S455" s="285" t="n"/>
      <c r="T455" s="284" t="n"/>
      <c r="U455" s="284" t="n"/>
      <c r="V455" s="285" t="n"/>
      <c r="W455" s="285" t="n"/>
      <c r="X455" s="285" t="n"/>
      <c r="Y455" s="285" t="n"/>
      <c r="Z455" s="285" t="n"/>
      <c r="AA455" s="285" t="n"/>
      <c r="AB455" s="285" t="n"/>
    </row>
    <row r="456" ht="15.75" customHeight="1" s="398">
      <c r="A456" s="284" t="n"/>
      <c r="B456" s="285" t="n"/>
      <c r="C456" s="368" t="n"/>
      <c r="D456" s="336" t="n"/>
      <c r="E456" s="284" t="n"/>
      <c r="F456" s="472" t="n"/>
      <c r="G456" s="472" t="n"/>
      <c r="H456" s="472" t="n"/>
      <c r="I456" s="472" t="n"/>
      <c r="J456" s="472" t="n"/>
      <c r="K456" s="472" t="n"/>
      <c r="L456" s="472" t="n"/>
      <c r="M456" s="472" t="n"/>
      <c r="N456" s="472" t="n"/>
      <c r="O456" s="472" t="n"/>
      <c r="P456" s="472" t="n"/>
      <c r="Q456" s="472" t="n"/>
      <c r="R456" s="472" t="n"/>
      <c r="S456" s="285" t="n"/>
      <c r="T456" s="284" t="n"/>
      <c r="U456" s="284" t="n"/>
      <c r="V456" s="285" t="n"/>
      <c r="W456" s="285" t="n"/>
      <c r="X456" s="285" t="n"/>
      <c r="Y456" s="285" t="n"/>
      <c r="Z456" s="285" t="n"/>
      <c r="AA456" s="285" t="n"/>
      <c r="AB456" s="285" t="n"/>
    </row>
    <row r="457" ht="15.75" customHeight="1" s="398">
      <c r="A457" s="284" t="n"/>
      <c r="B457" s="285" t="n"/>
      <c r="C457" s="368" t="n"/>
      <c r="D457" s="336" t="n"/>
      <c r="E457" s="284" t="n"/>
      <c r="F457" s="472" t="n"/>
      <c r="G457" s="472" t="n"/>
      <c r="H457" s="472" t="n"/>
      <c r="I457" s="472" t="n"/>
      <c r="J457" s="472" t="n"/>
      <c r="K457" s="472" t="n"/>
      <c r="L457" s="472" t="n"/>
      <c r="M457" s="472" t="n"/>
      <c r="N457" s="472" t="n"/>
      <c r="O457" s="472" t="n"/>
      <c r="P457" s="472" t="n"/>
      <c r="Q457" s="472" t="n"/>
      <c r="R457" s="472" t="n"/>
      <c r="S457" s="285" t="n"/>
      <c r="T457" s="284" t="n"/>
      <c r="U457" s="284" t="n"/>
      <c r="V457" s="285" t="n"/>
      <c r="W457" s="285" t="n"/>
      <c r="X457" s="285" t="n"/>
      <c r="Y457" s="285" t="n"/>
      <c r="Z457" s="285" t="n"/>
      <c r="AA457" s="285" t="n"/>
      <c r="AB457" s="285" t="n"/>
    </row>
    <row r="458" ht="15.75" customHeight="1" s="398">
      <c r="A458" s="284" t="n"/>
      <c r="B458" s="285" t="n"/>
      <c r="C458" s="368" t="n"/>
      <c r="D458" s="336" t="n"/>
      <c r="E458" s="284" t="n"/>
      <c r="F458" s="472" t="n"/>
      <c r="G458" s="472" t="n"/>
      <c r="H458" s="472" t="n"/>
      <c r="I458" s="472" t="n"/>
      <c r="J458" s="472" t="n"/>
      <c r="K458" s="472" t="n"/>
      <c r="L458" s="472" t="n"/>
      <c r="M458" s="472" t="n"/>
      <c r="N458" s="472" t="n"/>
      <c r="O458" s="472" t="n"/>
      <c r="P458" s="472" t="n"/>
      <c r="Q458" s="472" t="n"/>
      <c r="R458" s="472" t="n"/>
      <c r="S458" s="285" t="n"/>
      <c r="T458" s="284" t="n"/>
      <c r="U458" s="284" t="n"/>
      <c r="V458" s="285" t="n"/>
      <c r="W458" s="285" t="n"/>
      <c r="X458" s="285" t="n"/>
      <c r="Y458" s="285" t="n"/>
      <c r="Z458" s="285" t="n"/>
      <c r="AA458" s="285" t="n"/>
      <c r="AB458" s="285" t="n"/>
    </row>
    <row r="459" ht="15.75" customHeight="1" s="398">
      <c r="A459" s="284" t="n"/>
      <c r="B459" s="285" t="n"/>
      <c r="C459" s="368" t="n"/>
      <c r="D459" s="336" t="n"/>
      <c r="E459" s="284" t="n"/>
      <c r="F459" s="472" t="n"/>
      <c r="G459" s="472" t="n"/>
      <c r="H459" s="472" t="n"/>
      <c r="I459" s="472" t="n"/>
      <c r="J459" s="472" t="n"/>
      <c r="K459" s="472" t="n"/>
      <c r="L459" s="472" t="n"/>
      <c r="M459" s="472" t="n"/>
      <c r="N459" s="472" t="n"/>
      <c r="O459" s="472" t="n"/>
      <c r="P459" s="472" t="n"/>
      <c r="Q459" s="472" t="n"/>
      <c r="R459" s="472" t="n"/>
      <c r="S459" s="285" t="n"/>
      <c r="T459" s="284" t="n"/>
      <c r="U459" s="284" t="n"/>
      <c r="V459" s="285" t="n"/>
      <c r="W459" s="285" t="n"/>
      <c r="X459" s="285" t="n"/>
      <c r="Y459" s="285" t="n"/>
      <c r="Z459" s="285" t="n"/>
      <c r="AA459" s="285" t="n"/>
      <c r="AB459" s="285" t="n"/>
    </row>
    <row r="460" ht="15.75" customHeight="1" s="398">
      <c r="A460" s="284" t="n"/>
      <c r="B460" s="285" t="n"/>
      <c r="C460" s="368" t="n"/>
      <c r="D460" s="336" t="n"/>
      <c r="E460" s="284" t="n"/>
      <c r="F460" s="472" t="n"/>
      <c r="G460" s="472" t="n"/>
      <c r="H460" s="472" t="n"/>
      <c r="I460" s="472" t="n"/>
      <c r="J460" s="472" t="n"/>
      <c r="K460" s="472" t="n"/>
      <c r="L460" s="472" t="n"/>
      <c r="M460" s="472" t="n"/>
      <c r="N460" s="472" t="n"/>
      <c r="O460" s="472" t="n"/>
      <c r="P460" s="472" t="n"/>
      <c r="Q460" s="472" t="n"/>
      <c r="R460" s="472" t="n"/>
      <c r="S460" s="285" t="n"/>
      <c r="T460" s="284" t="n"/>
      <c r="U460" s="284" t="n"/>
      <c r="V460" s="285" t="n"/>
      <c r="W460" s="285" t="n"/>
      <c r="X460" s="285" t="n"/>
      <c r="Y460" s="285" t="n"/>
      <c r="Z460" s="285" t="n"/>
      <c r="AA460" s="285" t="n"/>
      <c r="AB460" s="285" t="n"/>
    </row>
    <row r="461" ht="15.75" customHeight="1" s="398">
      <c r="A461" s="284" t="n"/>
      <c r="B461" s="285" t="n"/>
      <c r="C461" s="368" t="n"/>
      <c r="D461" s="336" t="n"/>
      <c r="E461" s="284" t="n"/>
      <c r="F461" s="472" t="n"/>
      <c r="G461" s="472" t="n"/>
      <c r="H461" s="472" t="n"/>
      <c r="I461" s="472" t="n"/>
      <c r="J461" s="472" t="n"/>
      <c r="K461" s="472" t="n"/>
      <c r="L461" s="472" t="n"/>
      <c r="M461" s="472" t="n"/>
      <c r="N461" s="472" t="n"/>
      <c r="O461" s="472" t="n"/>
      <c r="P461" s="472" t="n"/>
      <c r="Q461" s="472" t="n"/>
      <c r="R461" s="472" t="n"/>
      <c r="S461" s="285" t="n"/>
      <c r="T461" s="284" t="n"/>
      <c r="U461" s="284" t="n"/>
      <c r="V461" s="285" t="n"/>
      <c r="W461" s="285" t="n"/>
      <c r="X461" s="285" t="n"/>
      <c r="Y461" s="285" t="n"/>
      <c r="Z461" s="285" t="n"/>
      <c r="AA461" s="285" t="n"/>
      <c r="AB461" s="285" t="n"/>
    </row>
    <row r="462" ht="15.75" customHeight="1" s="398">
      <c r="A462" s="284" t="n"/>
      <c r="B462" s="285" t="n"/>
      <c r="C462" s="368" t="n"/>
      <c r="D462" s="336" t="n"/>
      <c r="E462" s="284" t="n"/>
      <c r="F462" s="472" t="n"/>
      <c r="G462" s="472" t="n"/>
      <c r="H462" s="472" t="n"/>
      <c r="I462" s="472" t="n"/>
      <c r="J462" s="472" t="n"/>
      <c r="K462" s="472" t="n"/>
      <c r="L462" s="472" t="n"/>
      <c r="M462" s="472" t="n"/>
      <c r="N462" s="472" t="n"/>
      <c r="O462" s="472" t="n"/>
      <c r="P462" s="472" t="n"/>
      <c r="Q462" s="472" t="n"/>
      <c r="R462" s="472" t="n"/>
      <c r="S462" s="285" t="n"/>
      <c r="T462" s="284" t="n"/>
      <c r="U462" s="284" t="n"/>
      <c r="V462" s="285" t="n"/>
      <c r="W462" s="285" t="n"/>
      <c r="X462" s="285" t="n"/>
      <c r="Y462" s="285" t="n"/>
      <c r="Z462" s="285" t="n"/>
      <c r="AA462" s="285" t="n"/>
      <c r="AB462" s="285" t="n"/>
    </row>
    <row r="463" ht="15.75" customHeight="1" s="398">
      <c r="A463" s="284" t="n"/>
      <c r="B463" s="285" t="n"/>
      <c r="C463" s="368" t="n"/>
      <c r="D463" s="336" t="n"/>
      <c r="E463" s="284" t="n"/>
      <c r="F463" s="472" t="n"/>
      <c r="G463" s="472" t="n"/>
      <c r="H463" s="472" t="n"/>
      <c r="I463" s="472" t="n"/>
      <c r="J463" s="472" t="n"/>
      <c r="K463" s="472" t="n"/>
      <c r="L463" s="472" t="n"/>
      <c r="M463" s="472" t="n"/>
      <c r="N463" s="472" t="n"/>
      <c r="O463" s="472" t="n"/>
      <c r="P463" s="472" t="n"/>
      <c r="Q463" s="472" t="n"/>
      <c r="R463" s="472" t="n"/>
      <c r="S463" s="285" t="n"/>
      <c r="T463" s="284" t="n"/>
      <c r="U463" s="284" t="n"/>
      <c r="V463" s="285" t="n"/>
      <c r="W463" s="285" t="n"/>
      <c r="X463" s="285" t="n"/>
      <c r="Y463" s="285" t="n"/>
      <c r="Z463" s="285" t="n"/>
      <c r="AA463" s="285" t="n"/>
      <c r="AB463" s="285" t="n"/>
    </row>
    <row r="464" ht="15.75" customHeight="1" s="398">
      <c r="A464" s="284" t="n"/>
      <c r="B464" s="285" t="n"/>
      <c r="C464" s="368" t="n"/>
      <c r="D464" s="336" t="n"/>
      <c r="E464" s="284" t="n"/>
      <c r="F464" s="472" t="n"/>
      <c r="G464" s="472" t="n"/>
      <c r="H464" s="472" t="n"/>
      <c r="I464" s="472" t="n"/>
      <c r="J464" s="472" t="n"/>
      <c r="K464" s="472" t="n"/>
      <c r="L464" s="472" t="n"/>
      <c r="M464" s="472" t="n"/>
      <c r="N464" s="472" t="n"/>
      <c r="O464" s="472" t="n"/>
      <c r="P464" s="472" t="n"/>
      <c r="Q464" s="472" t="n"/>
      <c r="R464" s="472" t="n"/>
      <c r="S464" s="285" t="n"/>
      <c r="T464" s="284" t="n"/>
      <c r="U464" s="284" t="n"/>
      <c r="V464" s="285" t="n"/>
      <c r="W464" s="285" t="n"/>
      <c r="X464" s="285" t="n"/>
      <c r="Y464" s="285" t="n"/>
      <c r="Z464" s="285" t="n"/>
      <c r="AA464" s="285" t="n"/>
      <c r="AB464" s="285" t="n"/>
    </row>
    <row r="465" ht="15.75" customHeight="1" s="398">
      <c r="A465" s="284" t="n"/>
      <c r="B465" s="285" t="n"/>
      <c r="C465" s="368" t="n"/>
      <c r="D465" s="336" t="n"/>
      <c r="E465" s="284" t="n"/>
      <c r="F465" s="472" t="n"/>
      <c r="G465" s="472" t="n"/>
      <c r="H465" s="472" t="n"/>
      <c r="I465" s="472" t="n"/>
      <c r="J465" s="472" t="n"/>
      <c r="K465" s="472" t="n"/>
      <c r="L465" s="472" t="n"/>
      <c r="M465" s="472" t="n"/>
      <c r="N465" s="472" t="n"/>
      <c r="O465" s="472" t="n"/>
      <c r="P465" s="472" t="n"/>
      <c r="Q465" s="472" t="n"/>
      <c r="R465" s="472" t="n"/>
      <c r="S465" s="285" t="n"/>
      <c r="T465" s="284" t="n"/>
      <c r="U465" s="284" t="n"/>
      <c r="V465" s="285" t="n"/>
      <c r="W465" s="285" t="n"/>
      <c r="X465" s="285" t="n"/>
      <c r="Y465" s="285" t="n"/>
      <c r="Z465" s="285" t="n"/>
      <c r="AA465" s="285" t="n"/>
      <c r="AB465" s="285" t="n"/>
    </row>
    <row r="466" ht="15.75" customHeight="1" s="398">
      <c r="A466" s="284" t="n"/>
      <c r="B466" s="285" t="n"/>
      <c r="C466" s="368" t="n"/>
      <c r="D466" s="336" t="n"/>
      <c r="E466" s="284" t="n"/>
      <c r="F466" s="472" t="n"/>
      <c r="G466" s="472" t="n"/>
      <c r="H466" s="472" t="n"/>
      <c r="I466" s="472" t="n"/>
      <c r="J466" s="472" t="n"/>
      <c r="K466" s="472" t="n"/>
      <c r="L466" s="472" t="n"/>
      <c r="M466" s="472" t="n"/>
      <c r="N466" s="472" t="n"/>
      <c r="O466" s="472" t="n"/>
      <c r="P466" s="472" t="n"/>
      <c r="Q466" s="472" t="n"/>
      <c r="R466" s="472" t="n"/>
      <c r="S466" s="285" t="n"/>
      <c r="T466" s="284" t="n"/>
      <c r="U466" s="284" t="n"/>
      <c r="V466" s="285" t="n"/>
      <c r="W466" s="285" t="n"/>
      <c r="X466" s="285" t="n"/>
      <c r="Y466" s="285" t="n"/>
      <c r="Z466" s="285" t="n"/>
      <c r="AA466" s="285" t="n"/>
      <c r="AB466" s="285" t="n"/>
    </row>
    <row r="467" ht="15.75" customHeight="1" s="398">
      <c r="A467" s="284" t="n"/>
      <c r="B467" s="285" t="n"/>
      <c r="C467" s="368" t="n"/>
      <c r="D467" s="336" t="n"/>
      <c r="E467" s="284" t="n"/>
      <c r="F467" s="472" t="n"/>
      <c r="G467" s="472" t="n"/>
      <c r="H467" s="472" t="n"/>
      <c r="I467" s="472" t="n"/>
      <c r="J467" s="472" t="n"/>
      <c r="K467" s="472" t="n"/>
      <c r="L467" s="472" t="n"/>
      <c r="M467" s="472" t="n"/>
      <c r="N467" s="472" t="n"/>
      <c r="O467" s="472" t="n"/>
      <c r="P467" s="472" t="n"/>
      <c r="Q467" s="472" t="n"/>
      <c r="R467" s="472" t="n"/>
      <c r="S467" s="285" t="n"/>
      <c r="T467" s="284" t="n"/>
      <c r="U467" s="284" t="n"/>
      <c r="V467" s="285" t="n"/>
      <c r="W467" s="285" t="n"/>
      <c r="X467" s="285" t="n"/>
      <c r="Y467" s="285" t="n"/>
      <c r="Z467" s="285" t="n"/>
      <c r="AA467" s="285" t="n"/>
      <c r="AB467" s="285" t="n"/>
    </row>
    <row r="468" ht="15.75" customHeight="1" s="398">
      <c r="A468" s="284" t="n"/>
      <c r="B468" s="285" t="n"/>
      <c r="C468" s="368" t="n"/>
      <c r="D468" s="336" t="n"/>
      <c r="E468" s="284" t="n"/>
      <c r="F468" s="472" t="n"/>
      <c r="G468" s="472" t="n"/>
      <c r="H468" s="472" t="n"/>
      <c r="I468" s="472" t="n"/>
      <c r="J468" s="472" t="n"/>
      <c r="K468" s="472" t="n"/>
      <c r="L468" s="472" t="n"/>
      <c r="M468" s="472" t="n"/>
      <c r="N468" s="472" t="n"/>
      <c r="O468" s="472" t="n"/>
      <c r="P468" s="472" t="n"/>
      <c r="Q468" s="472" t="n"/>
      <c r="R468" s="472" t="n"/>
      <c r="S468" s="285" t="n"/>
      <c r="T468" s="284" t="n"/>
      <c r="U468" s="284" t="n"/>
      <c r="V468" s="285" t="n"/>
      <c r="W468" s="285" t="n"/>
      <c r="X468" s="285" t="n"/>
      <c r="Y468" s="285" t="n"/>
      <c r="Z468" s="285" t="n"/>
      <c r="AA468" s="285" t="n"/>
      <c r="AB468" s="285" t="n"/>
    </row>
    <row r="469" ht="15.75" customHeight="1" s="398">
      <c r="A469" s="284" t="n"/>
      <c r="B469" s="285" t="n"/>
      <c r="C469" s="368" t="n"/>
      <c r="D469" s="336" t="n"/>
      <c r="E469" s="284" t="n"/>
      <c r="F469" s="472" t="n"/>
      <c r="G469" s="472" t="n"/>
      <c r="H469" s="472" t="n"/>
      <c r="I469" s="472" t="n"/>
      <c r="J469" s="472" t="n"/>
      <c r="K469" s="472" t="n"/>
      <c r="L469" s="472" t="n"/>
      <c r="M469" s="472" t="n"/>
      <c r="N469" s="472" t="n"/>
      <c r="O469" s="472" t="n"/>
      <c r="P469" s="472" t="n"/>
      <c r="Q469" s="472" t="n"/>
      <c r="R469" s="472" t="n"/>
      <c r="S469" s="285" t="n"/>
      <c r="T469" s="284" t="n"/>
      <c r="U469" s="284" t="n"/>
      <c r="V469" s="285" t="n"/>
      <c r="W469" s="285" t="n"/>
      <c r="X469" s="285" t="n"/>
      <c r="Y469" s="285" t="n"/>
      <c r="Z469" s="285" t="n"/>
      <c r="AA469" s="285" t="n"/>
      <c r="AB469" s="285" t="n"/>
    </row>
    <row r="470" ht="15.75" customHeight="1" s="398">
      <c r="A470" s="284" t="n"/>
      <c r="B470" s="285" t="n"/>
      <c r="C470" s="368" t="n"/>
      <c r="D470" s="336" t="n"/>
      <c r="E470" s="284" t="n"/>
      <c r="F470" s="472" t="n"/>
      <c r="G470" s="472" t="n"/>
      <c r="H470" s="472" t="n"/>
      <c r="I470" s="472" t="n"/>
      <c r="J470" s="472" t="n"/>
      <c r="K470" s="472" t="n"/>
      <c r="L470" s="472" t="n"/>
      <c r="M470" s="472" t="n"/>
      <c r="N470" s="472" t="n"/>
      <c r="O470" s="472" t="n"/>
      <c r="P470" s="472" t="n"/>
      <c r="Q470" s="472" t="n"/>
      <c r="R470" s="472" t="n"/>
      <c r="S470" s="285" t="n"/>
      <c r="T470" s="284" t="n"/>
      <c r="U470" s="284" t="n"/>
      <c r="V470" s="285" t="n"/>
      <c r="W470" s="285" t="n"/>
      <c r="X470" s="285" t="n"/>
      <c r="Y470" s="285" t="n"/>
      <c r="Z470" s="285" t="n"/>
      <c r="AA470" s="285" t="n"/>
      <c r="AB470" s="285" t="n"/>
    </row>
    <row r="471" ht="15.75" customHeight="1" s="398">
      <c r="A471" s="284" t="n"/>
      <c r="B471" s="285" t="n"/>
      <c r="C471" s="368" t="n"/>
      <c r="D471" s="336" t="n"/>
      <c r="E471" s="284" t="n"/>
      <c r="F471" s="472" t="n"/>
      <c r="G471" s="472" t="n"/>
      <c r="H471" s="472" t="n"/>
      <c r="I471" s="472" t="n"/>
      <c r="J471" s="472" t="n"/>
      <c r="K471" s="472" t="n"/>
      <c r="L471" s="472" t="n"/>
      <c r="M471" s="472" t="n"/>
      <c r="N471" s="472" t="n"/>
      <c r="O471" s="472" t="n"/>
      <c r="P471" s="472" t="n"/>
      <c r="Q471" s="472" t="n"/>
      <c r="R471" s="472" t="n"/>
      <c r="S471" s="285" t="n"/>
      <c r="T471" s="284" t="n"/>
      <c r="U471" s="284" t="n"/>
      <c r="V471" s="285" t="n"/>
      <c r="W471" s="285" t="n"/>
      <c r="X471" s="285" t="n"/>
      <c r="Y471" s="285" t="n"/>
      <c r="Z471" s="285" t="n"/>
      <c r="AA471" s="285" t="n"/>
      <c r="AB471" s="285" t="n"/>
    </row>
    <row r="472" ht="15.75" customHeight="1" s="398">
      <c r="A472" s="284" t="n"/>
      <c r="B472" s="285" t="n"/>
      <c r="C472" s="368" t="n"/>
      <c r="D472" s="336" t="n"/>
      <c r="E472" s="284" t="n"/>
      <c r="F472" s="472" t="n"/>
      <c r="G472" s="472" t="n"/>
      <c r="H472" s="472" t="n"/>
      <c r="I472" s="472" t="n"/>
      <c r="J472" s="472" t="n"/>
      <c r="K472" s="472" t="n"/>
      <c r="L472" s="472" t="n"/>
      <c r="M472" s="472" t="n"/>
      <c r="N472" s="472" t="n"/>
      <c r="O472" s="472" t="n"/>
      <c r="P472" s="472" t="n"/>
      <c r="Q472" s="472" t="n"/>
      <c r="R472" s="472" t="n"/>
      <c r="S472" s="285" t="n"/>
      <c r="T472" s="284" t="n"/>
      <c r="U472" s="284" t="n"/>
      <c r="V472" s="285" t="n"/>
      <c r="W472" s="285" t="n"/>
      <c r="X472" s="285" t="n"/>
      <c r="Y472" s="285" t="n"/>
      <c r="Z472" s="285" t="n"/>
      <c r="AA472" s="285" t="n"/>
      <c r="AB472" s="285" t="n"/>
    </row>
    <row r="473" ht="15.75" customHeight="1" s="398">
      <c r="A473" s="284" t="n"/>
      <c r="B473" s="285" t="n"/>
      <c r="C473" s="368" t="n"/>
      <c r="D473" s="336" t="n"/>
      <c r="E473" s="284" t="n"/>
      <c r="F473" s="472" t="n"/>
      <c r="G473" s="472" t="n"/>
      <c r="H473" s="472" t="n"/>
      <c r="I473" s="472" t="n"/>
      <c r="J473" s="472" t="n"/>
      <c r="K473" s="472" t="n"/>
      <c r="L473" s="472" t="n"/>
      <c r="M473" s="472" t="n"/>
      <c r="N473" s="472" t="n"/>
      <c r="O473" s="472" t="n"/>
      <c r="P473" s="472" t="n"/>
      <c r="Q473" s="472" t="n"/>
      <c r="R473" s="472" t="n"/>
      <c r="S473" s="285" t="n"/>
      <c r="T473" s="284" t="n"/>
      <c r="U473" s="284" t="n"/>
      <c r="V473" s="285" t="n"/>
      <c r="W473" s="285" t="n"/>
      <c r="X473" s="285" t="n"/>
      <c r="Y473" s="285" t="n"/>
      <c r="Z473" s="285" t="n"/>
      <c r="AA473" s="285" t="n"/>
      <c r="AB473" s="285" t="n"/>
    </row>
    <row r="474" ht="15.75" customHeight="1" s="398">
      <c r="A474" s="284" t="n"/>
      <c r="B474" s="285" t="n"/>
      <c r="C474" s="368" t="n"/>
      <c r="D474" s="336" t="n"/>
      <c r="E474" s="284" t="n"/>
      <c r="F474" s="472" t="n"/>
      <c r="G474" s="472" t="n"/>
      <c r="H474" s="472" t="n"/>
      <c r="I474" s="472" t="n"/>
      <c r="J474" s="472" t="n"/>
      <c r="K474" s="472" t="n"/>
      <c r="L474" s="472" t="n"/>
      <c r="M474" s="472" t="n"/>
      <c r="N474" s="472" t="n"/>
      <c r="O474" s="472" t="n"/>
      <c r="P474" s="472" t="n"/>
      <c r="Q474" s="472" t="n"/>
      <c r="R474" s="472" t="n"/>
      <c r="S474" s="285" t="n"/>
      <c r="T474" s="284" t="n"/>
      <c r="U474" s="284" t="n"/>
      <c r="V474" s="285" t="n"/>
      <c r="W474" s="285" t="n"/>
      <c r="X474" s="285" t="n"/>
      <c r="Y474" s="285" t="n"/>
      <c r="Z474" s="285" t="n"/>
      <c r="AA474" s="285" t="n"/>
      <c r="AB474" s="285" t="n"/>
    </row>
    <row r="475" ht="15.75" customHeight="1" s="398">
      <c r="A475" s="284" t="n"/>
      <c r="B475" s="285" t="n"/>
      <c r="C475" s="368" t="n"/>
      <c r="D475" s="336" t="n"/>
      <c r="E475" s="284" t="n"/>
      <c r="F475" s="472" t="n"/>
      <c r="G475" s="472" t="n"/>
      <c r="H475" s="472" t="n"/>
      <c r="I475" s="472" t="n"/>
      <c r="J475" s="472" t="n"/>
      <c r="K475" s="472" t="n"/>
      <c r="L475" s="472" t="n"/>
      <c r="M475" s="472" t="n"/>
      <c r="N475" s="472" t="n"/>
      <c r="O475" s="472" t="n"/>
      <c r="P475" s="472" t="n"/>
      <c r="Q475" s="472" t="n"/>
      <c r="R475" s="472" t="n"/>
      <c r="S475" s="285" t="n"/>
      <c r="T475" s="284" t="n"/>
      <c r="U475" s="284" t="n"/>
      <c r="V475" s="285" t="n"/>
      <c r="W475" s="285" t="n"/>
      <c r="X475" s="285" t="n"/>
      <c r="Y475" s="285" t="n"/>
      <c r="Z475" s="285" t="n"/>
      <c r="AA475" s="285" t="n"/>
      <c r="AB475" s="285" t="n"/>
    </row>
    <row r="476" ht="15.75" customHeight="1" s="398">
      <c r="A476" s="284" t="n"/>
      <c r="B476" s="285" t="n"/>
      <c r="C476" s="368" t="n"/>
      <c r="D476" s="336" t="n"/>
      <c r="E476" s="284" t="n"/>
      <c r="F476" s="472" t="n"/>
      <c r="G476" s="472" t="n"/>
      <c r="H476" s="472" t="n"/>
      <c r="I476" s="472" t="n"/>
      <c r="J476" s="472" t="n"/>
      <c r="K476" s="472" t="n"/>
      <c r="L476" s="472" t="n"/>
      <c r="M476" s="472" t="n"/>
      <c r="N476" s="472" t="n"/>
      <c r="O476" s="472" t="n"/>
      <c r="P476" s="472" t="n"/>
      <c r="Q476" s="472" t="n"/>
      <c r="R476" s="472" t="n"/>
      <c r="S476" s="285" t="n"/>
      <c r="T476" s="284" t="n"/>
      <c r="U476" s="284" t="n"/>
      <c r="V476" s="285" t="n"/>
      <c r="W476" s="285" t="n"/>
      <c r="X476" s="285" t="n"/>
      <c r="Y476" s="285" t="n"/>
      <c r="Z476" s="285" t="n"/>
      <c r="AA476" s="285" t="n"/>
      <c r="AB476" s="285" t="n"/>
    </row>
    <row r="477" ht="15.75" customHeight="1" s="398">
      <c r="A477" s="284" t="n"/>
      <c r="B477" s="285" t="n"/>
      <c r="C477" s="368" t="n"/>
      <c r="D477" s="336" t="n"/>
      <c r="E477" s="284" t="n"/>
      <c r="F477" s="472" t="n"/>
      <c r="G477" s="472" t="n"/>
      <c r="H477" s="472" t="n"/>
      <c r="I477" s="472" t="n"/>
      <c r="J477" s="472" t="n"/>
      <c r="K477" s="472" t="n"/>
      <c r="L477" s="472" t="n"/>
      <c r="M477" s="472" t="n"/>
      <c r="N477" s="472" t="n"/>
      <c r="O477" s="472" t="n"/>
      <c r="P477" s="472" t="n"/>
      <c r="Q477" s="472" t="n"/>
      <c r="R477" s="472" t="n"/>
      <c r="S477" s="285" t="n"/>
      <c r="T477" s="284" t="n"/>
      <c r="U477" s="284" t="n"/>
      <c r="V477" s="285" t="n"/>
      <c r="W477" s="285" t="n"/>
      <c r="X477" s="285" t="n"/>
      <c r="Y477" s="285" t="n"/>
      <c r="Z477" s="285" t="n"/>
      <c r="AA477" s="285" t="n"/>
      <c r="AB477" s="285" t="n"/>
    </row>
    <row r="478" ht="15.75" customHeight="1" s="398">
      <c r="A478" s="284" t="n"/>
      <c r="B478" s="285" t="n"/>
      <c r="C478" s="368" t="n"/>
      <c r="D478" s="336" t="n"/>
      <c r="E478" s="284" t="n"/>
      <c r="F478" s="472" t="n"/>
      <c r="G478" s="472" t="n"/>
      <c r="H478" s="472" t="n"/>
      <c r="I478" s="472" t="n"/>
      <c r="J478" s="472" t="n"/>
      <c r="K478" s="472" t="n"/>
      <c r="L478" s="472" t="n"/>
      <c r="M478" s="472" t="n"/>
      <c r="N478" s="472" t="n"/>
      <c r="O478" s="472" t="n"/>
      <c r="P478" s="472" t="n"/>
      <c r="Q478" s="472" t="n"/>
      <c r="R478" s="472" t="n"/>
      <c r="S478" s="285" t="n"/>
      <c r="T478" s="284" t="n"/>
      <c r="U478" s="284" t="n"/>
      <c r="V478" s="285" t="n"/>
      <c r="W478" s="285" t="n"/>
      <c r="X478" s="285" t="n"/>
      <c r="Y478" s="285" t="n"/>
      <c r="Z478" s="285" t="n"/>
      <c r="AA478" s="285" t="n"/>
      <c r="AB478" s="285" t="n"/>
    </row>
    <row r="479" ht="15.75" customHeight="1" s="398">
      <c r="A479" s="284" t="n"/>
      <c r="B479" s="285" t="n"/>
      <c r="C479" s="368" t="n"/>
      <c r="D479" s="336" t="n"/>
      <c r="E479" s="284" t="n"/>
      <c r="F479" s="472" t="n"/>
      <c r="G479" s="472" t="n"/>
      <c r="H479" s="472" t="n"/>
      <c r="I479" s="472" t="n"/>
      <c r="J479" s="472" t="n"/>
      <c r="K479" s="472" t="n"/>
      <c r="L479" s="472" t="n"/>
      <c r="M479" s="472" t="n"/>
      <c r="N479" s="472" t="n"/>
      <c r="O479" s="472" t="n"/>
      <c r="P479" s="472" t="n"/>
      <c r="Q479" s="472" t="n"/>
      <c r="R479" s="472" t="n"/>
      <c r="S479" s="285" t="n"/>
      <c r="T479" s="284" t="n"/>
      <c r="U479" s="284" t="n"/>
      <c r="V479" s="285" t="n"/>
      <c r="W479" s="285" t="n"/>
      <c r="X479" s="285" t="n"/>
      <c r="Y479" s="285" t="n"/>
      <c r="Z479" s="285" t="n"/>
      <c r="AA479" s="285" t="n"/>
      <c r="AB479" s="285" t="n"/>
    </row>
    <row r="480" ht="15.75" customHeight="1" s="398">
      <c r="A480" s="284" t="n"/>
      <c r="B480" s="285" t="n"/>
      <c r="C480" s="368" t="n"/>
      <c r="D480" s="336" t="n"/>
      <c r="E480" s="284" t="n"/>
      <c r="F480" s="472" t="n"/>
      <c r="G480" s="472" t="n"/>
      <c r="H480" s="472" t="n"/>
      <c r="I480" s="472" t="n"/>
      <c r="J480" s="472" t="n"/>
      <c r="K480" s="472" t="n"/>
      <c r="L480" s="472" t="n"/>
      <c r="M480" s="472" t="n"/>
      <c r="N480" s="472" t="n"/>
      <c r="O480" s="472" t="n"/>
      <c r="P480" s="472" t="n"/>
      <c r="Q480" s="472" t="n"/>
      <c r="R480" s="472" t="n"/>
      <c r="S480" s="285" t="n"/>
      <c r="T480" s="284" t="n"/>
      <c r="U480" s="284" t="n"/>
      <c r="V480" s="285" t="n"/>
      <c r="W480" s="285" t="n"/>
      <c r="X480" s="285" t="n"/>
      <c r="Y480" s="285" t="n"/>
      <c r="Z480" s="285" t="n"/>
      <c r="AA480" s="285" t="n"/>
      <c r="AB480" s="285" t="n"/>
    </row>
    <row r="481" ht="15.75" customHeight="1" s="398">
      <c r="A481" s="284" t="n"/>
      <c r="B481" s="285" t="n"/>
      <c r="C481" s="368" t="n"/>
      <c r="D481" s="336" t="n"/>
      <c r="E481" s="284" t="n"/>
      <c r="F481" s="472" t="n"/>
      <c r="G481" s="472" t="n"/>
      <c r="H481" s="472" t="n"/>
      <c r="I481" s="472" t="n"/>
      <c r="J481" s="472" t="n"/>
      <c r="K481" s="472" t="n"/>
      <c r="L481" s="472" t="n"/>
      <c r="M481" s="472" t="n"/>
      <c r="N481" s="472" t="n"/>
      <c r="O481" s="472" t="n"/>
      <c r="P481" s="472" t="n"/>
      <c r="Q481" s="472" t="n"/>
      <c r="R481" s="472" t="n"/>
      <c r="S481" s="285" t="n"/>
      <c r="T481" s="284" t="n"/>
      <c r="U481" s="284" t="n"/>
      <c r="V481" s="285" t="n"/>
      <c r="W481" s="285" t="n"/>
      <c r="X481" s="285" t="n"/>
      <c r="Y481" s="285" t="n"/>
      <c r="Z481" s="285" t="n"/>
      <c r="AA481" s="285" t="n"/>
      <c r="AB481" s="285" t="n"/>
    </row>
    <row r="482" ht="15.75" customHeight="1" s="398">
      <c r="A482" s="284" t="n"/>
      <c r="B482" s="285" t="n"/>
      <c r="C482" s="368" t="n"/>
      <c r="D482" s="336" t="n"/>
      <c r="E482" s="284" t="n"/>
      <c r="F482" s="472" t="n"/>
      <c r="G482" s="472" t="n"/>
      <c r="H482" s="472" t="n"/>
      <c r="I482" s="472" t="n"/>
      <c r="J482" s="472" t="n"/>
      <c r="K482" s="472" t="n"/>
      <c r="L482" s="472" t="n"/>
      <c r="M482" s="472" t="n"/>
      <c r="N482" s="472" t="n"/>
      <c r="O482" s="472" t="n"/>
      <c r="P482" s="472" t="n"/>
      <c r="Q482" s="472" t="n"/>
      <c r="R482" s="472" t="n"/>
      <c r="S482" s="285" t="n"/>
      <c r="T482" s="284" t="n"/>
      <c r="U482" s="284" t="n"/>
      <c r="V482" s="285" t="n"/>
      <c r="W482" s="285" t="n"/>
      <c r="X482" s="285" t="n"/>
      <c r="Y482" s="285" t="n"/>
      <c r="Z482" s="285" t="n"/>
      <c r="AA482" s="285" t="n"/>
      <c r="AB482" s="285" t="n"/>
    </row>
    <row r="483" ht="15.75" customHeight="1" s="398">
      <c r="A483" s="284" t="n"/>
      <c r="B483" s="285" t="n"/>
      <c r="C483" s="368" t="n"/>
      <c r="D483" s="336" t="n"/>
      <c r="E483" s="284" t="n"/>
      <c r="F483" s="472" t="n"/>
      <c r="G483" s="472" t="n"/>
      <c r="H483" s="472" t="n"/>
      <c r="I483" s="472" t="n"/>
      <c r="J483" s="472" t="n"/>
      <c r="K483" s="472" t="n"/>
      <c r="L483" s="472" t="n"/>
      <c r="M483" s="472" t="n"/>
      <c r="N483" s="472" t="n"/>
      <c r="O483" s="472" t="n"/>
      <c r="P483" s="472" t="n"/>
      <c r="Q483" s="472" t="n"/>
      <c r="R483" s="472" t="n"/>
      <c r="S483" s="285" t="n"/>
      <c r="T483" s="284" t="n"/>
      <c r="U483" s="284" t="n"/>
      <c r="V483" s="285" t="n"/>
      <c r="W483" s="285" t="n"/>
      <c r="X483" s="285" t="n"/>
      <c r="Y483" s="285" t="n"/>
      <c r="Z483" s="285" t="n"/>
      <c r="AA483" s="285" t="n"/>
      <c r="AB483" s="285" t="n"/>
    </row>
    <row r="484" ht="15.75" customHeight="1" s="398">
      <c r="A484" s="284" t="n"/>
      <c r="B484" s="285" t="n"/>
      <c r="C484" s="368" t="n"/>
      <c r="D484" s="336" t="n"/>
      <c r="E484" s="284" t="n"/>
      <c r="F484" s="472" t="n"/>
      <c r="G484" s="472" t="n"/>
      <c r="H484" s="472" t="n"/>
      <c r="I484" s="472" t="n"/>
      <c r="J484" s="472" t="n"/>
      <c r="K484" s="472" t="n"/>
      <c r="L484" s="472" t="n"/>
      <c r="M484" s="472" t="n"/>
      <c r="N484" s="472" t="n"/>
      <c r="O484" s="472" t="n"/>
      <c r="P484" s="472" t="n"/>
      <c r="Q484" s="472" t="n"/>
      <c r="R484" s="472" t="n"/>
      <c r="S484" s="285" t="n"/>
      <c r="T484" s="284" t="n"/>
      <c r="U484" s="284" t="n"/>
      <c r="V484" s="285" t="n"/>
      <c r="W484" s="285" t="n"/>
      <c r="X484" s="285" t="n"/>
      <c r="Y484" s="285" t="n"/>
      <c r="Z484" s="285" t="n"/>
      <c r="AA484" s="285" t="n"/>
      <c r="AB484" s="285" t="n"/>
    </row>
    <row r="485" ht="15.75" customHeight="1" s="398">
      <c r="A485" s="284" t="n"/>
      <c r="B485" s="285" t="n"/>
      <c r="C485" s="368" t="n"/>
      <c r="D485" s="336" t="n"/>
      <c r="E485" s="284" t="n"/>
      <c r="F485" s="472" t="n"/>
      <c r="G485" s="472" t="n"/>
      <c r="H485" s="472" t="n"/>
      <c r="I485" s="472" t="n"/>
      <c r="J485" s="472" t="n"/>
      <c r="K485" s="472" t="n"/>
      <c r="L485" s="472" t="n"/>
      <c r="M485" s="472" t="n"/>
      <c r="N485" s="472" t="n"/>
      <c r="O485" s="472" t="n"/>
      <c r="P485" s="472" t="n"/>
      <c r="Q485" s="472" t="n"/>
      <c r="R485" s="472" t="n"/>
      <c r="S485" s="285" t="n"/>
      <c r="T485" s="284" t="n"/>
      <c r="U485" s="284" t="n"/>
      <c r="V485" s="285" t="n"/>
      <c r="W485" s="285" t="n"/>
      <c r="X485" s="285" t="n"/>
      <c r="Y485" s="285" t="n"/>
      <c r="Z485" s="285" t="n"/>
      <c r="AA485" s="285" t="n"/>
      <c r="AB485" s="285" t="n"/>
    </row>
    <row r="486" ht="15.75" customHeight="1" s="398">
      <c r="A486" s="284" t="n"/>
      <c r="B486" s="285" t="n"/>
      <c r="C486" s="368" t="n"/>
      <c r="D486" s="336" t="n"/>
      <c r="E486" s="284" t="n"/>
      <c r="F486" s="472" t="n"/>
      <c r="G486" s="472" t="n"/>
      <c r="H486" s="472" t="n"/>
      <c r="I486" s="472" t="n"/>
      <c r="J486" s="472" t="n"/>
      <c r="K486" s="472" t="n"/>
      <c r="L486" s="472" t="n"/>
      <c r="M486" s="472" t="n"/>
      <c r="N486" s="472" t="n"/>
      <c r="O486" s="472" t="n"/>
      <c r="P486" s="472" t="n"/>
      <c r="Q486" s="472" t="n"/>
      <c r="R486" s="472" t="n"/>
      <c r="S486" s="285" t="n"/>
      <c r="T486" s="284" t="n"/>
      <c r="U486" s="284" t="n"/>
      <c r="V486" s="285" t="n"/>
      <c r="W486" s="285" t="n"/>
      <c r="X486" s="285" t="n"/>
      <c r="Y486" s="285" t="n"/>
      <c r="Z486" s="285" t="n"/>
      <c r="AA486" s="285" t="n"/>
      <c r="AB486" s="285" t="n"/>
    </row>
    <row r="487" ht="15.75" customHeight="1" s="398">
      <c r="A487" s="284" t="n"/>
      <c r="B487" s="285" t="n"/>
      <c r="C487" s="368" t="n"/>
      <c r="D487" s="336" t="n"/>
      <c r="E487" s="284" t="n"/>
      <c r="F487" s="472" t="n"/>
      <c r="G487" s="472" t="n"/>
      <c r="H487" s="472" t="n"/>
      <c r="I487" s="472" t="n"/>
      <c r="J487" s="472" t="n"/>
      <c r="K487" s="472" t="n"/>
      <c r="L487" s="472" t="n"/>
      <c r="M487" s="472" t="n"/>
      <c r="N487" s="472" t="n"/>
      <c r="O487" s="472" t="n"/>
      <c r="P487" s="472" t="n"/>
      <c r="Q487" s="472" t="n"/>
      <c r="R487" s="472" t="n"/>
      <c r="S487" s="285" t="n"/>
      <c r="T487" s="284" t="n"/>
      <c r="U487" s="284" t="n"/>
      <c r="V487" s="285" t="n"/>
      <c r="W487" s="285" t="n"/>
      <c r="X487" s="285" t="n"/>
      <c r="Y487" s="285" t="n"/>
      <c r="Z487" s="285" t="n"/>
      <c r="AA487" s="285" t="n"/>
      <c r="AB487" s="285" t="n"/>
    </row>
    <row r="488" ht="15.75" customHeight="1" s="398">
      <c r="A488" s="284" t="n"/>
      <c r="B488" s="285" t="n"/>
      <c r="C488" s="368" t="n"/>
      <c r="D488" s="336" t="n"/>
      <c r="E488" s="284" t="n"/>
      <c r="F488" s="472" t="n"/>
      <c r="G488" s="472" t="n"/>
      <c r="H488" s="472" t="n"/>
      <c r="I488" s="472" t="n"/>
      <c r="J488" s="472" t="n"/>
      <c r="K488" s="472" t="n"/>
      <c r="L488" s="472" t="n"/>
      <c r="M488" s="472" t="n"/>
      <c r="N488" s="472" t="n"/>
      <c r="O488" s="472" t="n"/>
      <c r="P488" s="472" t="n"/>
      <c r="Q488" s="472" t="n"/>
      <c r="R488" s="472" t="n"/>
      <c r="S488" s="285" t="n"/>
      <c r="T488" s="284" t="n"/>
      <c r="U488" s="284" t="n"/>
      <c r="V488" s="285" t="n"/>
      <c r="W488" s="285" t="n"/>
      <c r="X488" s="285" t="n"/>
      <c r="Y488" s="285" t="n"/>
      <c r="Z488" s="285" t="n"/>
      <c r="AA488" s="285" t="n"/>
      <c r="AB488" s="285" t="n"/>
    </row>
    <row r="489" ht="15.75" customHeight="1" s="398">
      <c r="A489" s="284" t="n"/>
      <c r="B489" s="285" t="n"/>
      <c r="C489" s="368" t="n"/>
      <c r="D489" s="336" t="n"/>
      <c r="E489" s="284" t="n"/>
      <c r="F489" s="472" t="n"/>
      <c r="G489" s="472" t="n"/>
      <c r="H489" s="472" t="n"/>
      <c r="I489" s="472" t="n"/>
      <c r="J489" s="472" t="n"/>
      <c r="K489" s="472" t="n"/>
      <c r="L489" s="472" t="n"/>
      <c r="M489" s="472" t="n"/>
      <c r="N489" s="472" t="n"/>
      <c r="O489" s="472" t="n"/>
      <c r="P489" s="472" t="n"/>
      <c r="Q489" s="472" t="n"/>
      <c r="R489" s="472" t="n"/>
      <c r="S489" s="285" t="n"/>
      <c r="T489" s="284" t="n"/>
      <c r="U489" s="284" t="n"/>
      <c r="V489" s="285" t="n"/>
      <c r="W489" s="285" t="n"/>
      <c r="X489" s="285" t="n"/>
      <c r="Y489" s="285" t="n"/>
      <c r="Z489" s="285" t="n"/>
      <c r="AA489" s="285" t="n"/>
      <c r="AB489" s="285" t="n"/>
    </row>
    <row r="490" ht="15.75" customHeight="1" s="398">
      <c r="A490" s="284" t="n"/>
      <c r="B490" s="285" t="n"/>
      <c r="C490" s="368" t="n"/>
      <c r="D490" s="336" t="n"/>
      <c r="E490" s="284" t="n"/>
      <c r="F490" s="472" t="n"/>
      <c r="G490" s="472" t="n"/>
      <c r="H490" s="472" t="n"/>
      <c r="I490" s="472" t="n"/>
      <c r="J490" s="472" t="n"/>
      <c r="K490" s="472" t="n"/>
      <c r="L490" s="472" t="n"/>
      <c r="M490" s="472" t="n"/>
      <c r="N490" s="472" t="n"/>
      <c r="O490" s="472" t="n"/>
      <c r="P490" s="472" t="n"/>
      <c r="Q490" s="472" t="n"/>
      <c r="R490" s="472" t="n"/>
      <c r="S490" s="285" t="n"/>
      <c r="T490" s="284" t="n"/>
      <c r="U490" s="284" t="n"/>
      <c r="V490" s="285" t="n"/>
      <c r="W490" s="285" t="n"/>
      <c r="X490" s="285" t="n"/>
      <c r="Y490" s="285" t="n"/>
      <c r="Z490" s="285" t="n"/>
      <c r="AA490" s="285" t="n"/>
      <c r="AB490" s="285" t="n"/>
    </row>
    <row r="491" ht="15.75" customHeight="1" s="398">
      <c r="A491" s="284" t="n"/>
      <c r="B491" s="285" t="n"/>
      <c r="C491" s="368" t="n"/>
      <c r="D491" s="336" t="n"/>
      <c r="E491" s="284" t="n"/>
      <c r="F491" s="472" t="n"/>
      <c r="G491" s="472" t="n"/>
      <c r="H491" s="472" t="n"/>
      <c r="I491" s="472" t="n"/>
      <c r="J491" s="472" t="n"/>
      <c r="K491" s="472" t="n"/>
      <c r="L491" s="472" t="n"/>
      <c r="M491" s="472" t="n"/>
      <c r="N491" s="472" t="n"/>
      <c r="O491" s="472" t="n"/>
      <c r="P491" s="472" t="n"/>
      <c r="Q491" s="472" t="n"/>
      <c r="R491" s="472" t="n"/>
      <c r="S491" s="285" t="n"/>
      <c r="T491" s="284" t="n"/>
      <c r="U491" s="284" t="n"/>
      <c r="V491" s="285" t="n"/>
      <c r="W491" s="285" t="n"/>
      <c r="X491" s="285" t="n"/>
      <c r="Y491" s="285" t="n"/>
      <c r="Z491" s="285" t="n"/>
      <c r="AA491" s="285" t="n"/>
      <c r="AB491" s="285" t="n"/>
    </row>
    <row r="492" ht="15.75" customHeight="1" s="398">
      <c r="A492" s="284" t="n"/>
      <c r="B492" s="285" t="n"/>
      <c r="C492" s="368" t="n"/>
      <c r="D492" s="336" t="n"/>
      <c r="E492" s="284" t="n"/>
      <c r="F492" s="472" t="n"/>
      <c r="G492" s="472" t="n"/>
      <c r="H492" s="472" t="n"/>
      <c r="I492" s="472" t="n"/>
      <c r="J492" s="472" t="n"/>
      <c r="K492" s="472" t="n"/>
      <c r="L492" s="472" t="n"/>
      <c r="M492" s="472" t="n"/>
      <c r="N492" s="472" t="n"/>
      <c r="O492" s="472" t="n"/>
      <c r="P492" s="472" t="n"/>
      <c r="Q492" s="472" t="n"/>
      <c r="R492" s="472" t="n"/>
      <c r="S492" s="285" t="n"/>
      <c r="T492" s="284" t="n"/>
      <c r="U492" s="284" t="n"/>
      <c r="V492" s="285" t="n"/>
      <c r="W492" s="285" t="n"/>
      <c r="X492" s="285" t="n"/>
      <c r="Y492" s="285" t="n"/>
      <c r="Z492" s="285" t="n"/>
      <c r="AA492" s="285" t="n"/>
      <c r="AB492" s="285" t="n"/>
    </row>
    <row r="493" ht="15.75" customHeight="1" s="398">
      <c r="A493" s="284" t="n"/>
      <c r="B493" s="285" t="n"/>
      <c r="C493" s="368" t="n"/>
      <c r="D493" s="336" t="n"/>
      <c r="E493" s="284" t="n"/>
      <c r="F493" s="472" t="n"/>
      <c r="G493" s="472" t="n"/>
      <c r="H493" s="472" t="n"/>
      <c r="I493" s="472" t="n"/>
      <c r="J493" s="472" t="n"/>
      <c r="K493" s="472" t="n"/>
      <c r="L493" s="472" t="n"/>
      <c r="M493" s="472" t="n"/>
      <c r="N493" s="472" t="n"/>
      <c r="O493" s="472" t="n"/>
      <c r="P493" s="472" t="n"/>
      <c r="Q493" s="472" t="n"/>
      <c r="R493" s="472" t="n"/>
      <c r="S493" s="285" t="n"/>
      <c r="T493" s="284" t="n"/>
      <c r="U493" s="284" t="n"/>
      <c r="V493" s="285" t="n"/>
      <c r="W493" s="285" t="n"/>
      <c r="X493" s="285" t="n"/>
      <c r="Y493" s="285" t="n"/>
      <c r="Z493" s="285" t="n"/>
      <c r="AA493" s="285" t="n"/>
      <c r="AB493" s="285" t="n"/>
    </row>
    <row r="494" ht="15.75" customHeight="1" s="398">
      <c r="A494" s="284" t="n"/>
      <c r="B494" s="285" t="n"/>
      <c r="C494" s="368" t="n"/>
      <c r="D494" s="336" t="n"/>
      <c r="E494" s="284" t="n"/>
      <c r="F494" s="472" t="n"/>
      <c r="G494" s="472" t="n"/>
      <c r="H494" s="472" t="n"/>
      <c r="I494" s="472" t="n"/>
      <c r="J494" s="472" t="n"/>
      <c r="K494" s="472" t="n"/>
      <c r="L494" s="472" t="n"/>
      <c r="M494" s="472" t="n"/>
      <c r="N494" s="472" t="n"/>
      <c r="O494" s="472" t="n"/>
      <c r="P494" s="472" t="n"/>
      <c r="Q494" s="472" t="n"/>
      <c r="R494" s="472" t="n"/>
      <c r="S494" s="285" t="n"/>
      <c r="T494" s="284" t="n"/>
      <c r="U494" s="284" t="n"/>
      <c r="V494" s="285" t="n"/>
      <c r="W494" s="285" t="n"/>
      <c r="X494" s="285" t="n"/>
      <c r="Y494" s="285" t="n"/>
      <c r="Z494" s="285" t="n"/>
      <c r="AA494" s="285" t="n"/>
      <c r="AB494" s="285" t="n"/>
    </row>
    <row r="495" ht="15.75" customHeight="1" s="398">
      <c r="A495" s="284" t="n"/>
      <c r="B495" s="285" t="n"/>
      <c r="C495" s="368" t="n"/>
      <c r="D495" s="336" t="n"/>
      <c r="E495" s="284" t="n"/>
      <c r="F495" s="472" t="n"/>
      <c r="G495" s="472" t="n"/>
      <c r="H495" s="472" t="n"/>
      <c r="I495" s="472" t="n"/>
      <c r="J495" s="472" t="n"/>
      <c r="K495" s="472" t="n"/>
      <c r="L495" s="472" t="n"/>
      <c r="M495" s="472" t="n"/>
      <c r="N495" s="472" t="n"/>
      <c r="O495" s="472" t="n"/>
      <c r="P495" s="472" t="n"/>
      <c r="Q495" s="472" t="n"/>
      <c r="R495" s="472" t="n"/>
      <c r="S495" s="285" t="n"/>
      <c r="T495" s="284" t="n"/>
      <c r="U495" s="284" t="n"/>
      <c r="V495" s="285" t="n"/>
      <c r="W495" s="285" t="n"/>
      <c r="X495" s="285" t="n"/>
      <c r="Y495" s="285" t="n"/>
      <c r="Z495" s="285" t="n"/>
      <c r="AA495" s="285" t="n"/>
      <c r="AB495" s="285" t="n"/>
    </row>
    <row r="496" ht="15.75" customHeight="1" s="398">
      <c r="A496" s="284" t="n"/>
      <c r="B496" s="285" t="n"/>
      <c r="C496" s="368" t="n"/>
      <c r="D496" s="336" t="n"/>
      <c r="E496" s="284" t="n"/>
      <c r="F496" s="472" t="n"/>
      <c r="G496" s="472" t="n"/>
      <c r="H496" s="472" t="n"/>
      <c r="I496" s="472" t="n"/>
      <c r="J496" s="472" t="n"/>
      <c r="K496" s="472" t="n"/>
      <c r="L496" s="472" t="n"/>
      <c r="M496" s="472" t="n"/>
      <c r="N496" s="472" t="n"/>
      <c r="O496" s="472" t="n"/>
      <c r="P496" s="472" t="n"/>
      <c r="Q496" s="472" t="n"/>
      <c r="R496" s="472" t="n"/>
      <c r="S496" s="285" t="n"/>
      <c r="T496" s="284" t="n"/>
      <c r="U496" s="284" t="n"/>
      <c r="V496" s="285" t="n"/>
      <c r="W496" s="285" t="n"/>
      <c r="X496" s="285" t="n"/>
      <c r="Y496" s="285" t="n"/>
      <c r="Z496" s="285" t="n"/>
      <c r="AA496" s="285" t="n"/>
      <c r="AB496" s="285" t="n"/>
    </row>
    <row r="497" ht="15.75" customHeight="1" s="398">
      <c r="A497" s="284" t="n"/>
      <c r="B497" s="285" t="n"/>
      <c r="C497" s="368" t="n"/>
      <c r="D497" s="336" t="n"/>
      <c r="E497" s="284" t="n"/>
      <c r="F497" s="472" t="n"/>
      <c r="G497" s="472" t="n"/>
      <c r="H497" s="472" t="n"/>
      <c r="I497" s="472" t="n"/>
      <c r="J497" s="472" t="n"/>
      <c r="K497" s="472" t="n"/>
      <c r="L497" s="472" t="n"/>
      <c r="M497" s="472" t="n"/>
      <c r="N497" s="472" t="n"/>
      <c r="O497" s="472" t="n"/>
      <c r="P497" s="472" t="n"/>
      <c r="Q497" s="472" t="n"/>
      <c r="R497" s="472" t="n"/>
      <c r="S497" s="285" t="n"/>
      <c r="T497" s="284" t="n"/>
      <c r="U497" s="284" t="n"/>
      <c r="V497" s="285" t="n"/>
      <c r="W497" s="285" t="n"/>
      <c r="X497" s="285" t="n"/>
      <c r="Y497" s="285" t="n"/>
      <c r="Z497" s="285" t="n"/>
      <c r="AA497" s="285" t="n"/>
      <c r="AB497" s="285" t="n"/>
    </row>
    <row r="498" ht="15.75" customHeight="1" s="398">
      <c r="A498" s="284" t="n"/>
      <c r="B498" s="285" t="n"/>
      <c r="C498" s="368" t="n"/>
      <c r="D498" s="336" t="n"/>
      <c r="E498" s="284" t="n"/>
      <c r="F498" s="472" t="n"/>
      <c r="G498" s="472" t="n"/>
      <c r="H498" s="472" t="n"/>
      <c r="I498" s="472" t="n"/>
      <c r="J498" s="472" t="n"/>
      <c r="K498" s="472" t="n"/>
      <c r="L498" s="472" t="n"/>
      <c r="M498" s="472" t="n"/>
      <c r="N498" s="472" t="n"/>
      <c r="O498" s="472" t="n"/>
      <c r="P498" s="472" t="n"/>
      <c r="Q498" s="472" t="n"/>
      <c r="R498" s="472" t="n"/>
      <c r="S498" s="285" t="n"/>
      <c r="T498" s="284" t="n"/>
      <c r="U498" s="284" t="n"/>
      <c r="V498" s="285" t="n"/>
      <c r="W498" s="285" t="n"/>
      <c r="X498" s="285" t="n"/>
      <c r="Y498" s="285" t="n"/>
      <c r="Z498" s="285" t="n"/>
      <c r="AA498" s="285" t="n"/>
      <c r="AB498" s="285" t="n"/>
    </row>
    <row r="499" ht="15.75" customHeight="1" s="398">
      <c r="A499" s="284" t="n"/>
      <c r="B499" s="285" t="n"/>
      <c r="C499" s="368" t="n"/>
      <c r="D499" s="336" t="n"/>
      <c r="E499" s="284" t="n"/>
      <c r="F499" s="472" t="n"/>
      <c r="G499" s="472" t="n"/>
      <c r="H499" s="472" t="n"/>
      <c r="I499" s="472" t="n"/>
      <c r="J499" s="472" t="n"/>
      <c r="K499" s="472" t="n"/>
      <c r="L499" s="472" t="n"/>
      <c r="M499" s="472" t="n"/>
      <c r="N499" s="472" t="n"/>
      <c r="O499" s="472" t="n"/>
      <c r="P499" s="472" t="n"/>
      <c r="Q499" s="472" t="n"/>
      <c r="R499" s="472" t="n"/>
      <c r="S499" s="285" t="n"/>
      <c r="T499" s="284" t="n"/>
      <c r="U499" s="284" t="n"/>
      <c r="V499" s="285" t="n"/>
      <c r="W499" s="285" t="n"/>
      <c r="X499" s="285" t="n"/>
      <c r="Y499" s="285" t="n"/>
      <c r="Z499" s="285" t="n"/>
      <c r="AA499" s="285" t="n"/>
      <c r="AB499" s="285" t="n"/>
    </row>
    <row r="500" ht="15.75" customHeight="1" s="398">
      <c r="A500" s="284" t="n"/>
      <c r="B500" s="285" t="n"/>
      <c r="C500" s="368" t="n"/>
      <c r="D500" s="336" t="n"/>
      <c r="E500" s="284" t="n"/>
      <c r="F500" s="472" t="n"/>
      <c r="G500" s="472" t="n"/>
      <c r="H500" s="472" t="n"/>
      <c r="I500" s="472" t="n"/>
      <c r="J500" s="472" t="n"/>
      <c r="K500" s="472" t="n"/>
      <c r="L500" s="472" t="n"/>
      <c r="M500" s="472" t="n"/>
      <c r="N500" s="472" t="n"/>
      <c r="O500" s="472" t="n"/>
      <c r="P500" s="472" t="n"/>
      <c r="Q500" s="472" t="n"/>
      <c r="R500" s="472" t="n"/>
      <c r="S500" s="285" t="n"/>
      <c r="T500" s="284" t="n"/>
      <c r="U500" s="284" t="n"/>
      <c r="V500" s="285" t="n"/>
      <c r="W500" s="285" t="n"/>
      <c r="X500" s="285" t="n"/>
      <c r="Y500" s="285" t="n"/>
      <c r="Z500" s="285" t="n"/>
      <c r="AA500" s="285" t="n"/>
      <c r="AB500" s="285" t="n"/>
    </row>
    <row r="501" ht="15.75" customHeight="1" s="398">
      <c r="A501" s="284" t="n"/>
      <c r="B501" s="285" t="n"/>
      <c r="C501" s="368" t="n"/>
      <c r="D501" s="336" t="n"/>
      <c r="E501" s="284" t="n"/>
      <c r="F501" s="472" t="n"/>
      <c r="G501" s="472" t="n"/>
      <c r="H501" s="472" t="n"/>
      <c r="I501" s="472" t="n"/>
      <c r="J501" s="472" t="n"/>
      <c r="K501" s="472" t="n"/>
      <c r="L501" s="472" t="n"/>
      <c r="M501" s="472" t="n"/>
      <c r="N501" s="472" t="n"/>
      <c r="O501" s="472" t="n"/>
      <c r="P501" s="472" t="n"/>
      <c r="Q501" s="472" t="n"/>
      <c r="R501" s="472" t="n"/>
      <c r="S501" s="285" t="n"/>
      <c r="T501" s="284" t="n"/>
      <c r="U501" s="284" t="n"/>
      <c r="V501" s="285" t="n"/>
      <c r="W501" s="285" t="n"/>
      <c r="X501" s="285" t="n"/>
      <c r="Y501" s="285" t="n"/>
      <c r="Z501" s="285" t="n"/>
      <c r="AA501" s="285" t="n"/>
      <c r="AB501" s="285" t="n"/>
    </row>
    <row r="502" ht="15.75" customHeight="1" s="398">
      <c r="A502" s="284" t="n"/>
      <c r="B502" s="285" t="n"/>
      <c r="C502" s="368" t="n"/>
      <c r="D502" s="336" t="n"/>
      <c r="E502" s="284" t="n"/>
      <c r="F502" s="472" t="n"/>
      <c r="G502" s="472" t="n"/>
      <c r="H502" s="472" t="n"/>
      <c r="I502" s="472" t="n"/>
      <c r="J502" s="472" t="n"/>
      <c r="K502" s="472" t="n"/>
      <c r="L502" s="472" t="n"/>
      <c r="M502" s="472" t="n"/>
      <c r="N502" s="472" t="n"/>
      <c r="O502" s="472" t="n"/>
      <c r="P502" s="472" t="n"/>
      <c r="Q502" s="472" t="n"/>
      <c r="R502" s="472" t="n"/>
      <c r="S502" s="285" t="n"/>
      <c r="T502" s="284" t="n"/>
      <c r="U502" s="284" t="n"/>
      <c r="V502" s="285" t="n"/>
      <c r="W502" s="285" t="n"/>
      <c r="X502" s="285" t="n"/>
      <c r="Y502" s="285" t="n"/>
      <c r="Z502" s="285" t="n"/>
      <c r="AA502" s="285" t="n"/>
      <c r="AB502" s="285" t="n"/>
    </row>
    <row r="503" ht="15.75" customHeight="1" s="398">
      <c r="A503" s="284" t="n"/>
      <c r="B503" s="285" t="n"/>
      <c r="C503" s="368" t="n"/>
      <c r="D503" s="336" t="n"/>
      <c r="E503" s="284" t="n"/>
      <c r="F503" s="472" t="n"/>
      <c r="G503" s="472" t="n"/>
      <c r="H503" s="472" t="n"/>
      <c r="I503" s="472" t="n"/>
      <c r="J503" s="472" t="n"/>
      <c r="K503" s="472" t="n"/>
      <c r="L503" s="472" t="n"/>
      <c r="M503" s="472" t="n"/>
      <c r="N503" s="472" t="n"/>
      <c r="O503" s="472" t="n"/>
      <c r="P503" s="472" t="n"/>
      <c r="Q503" s="472" t="n"/>
      <c r="R503" s="472" t="n"/>
      <c r="S503" s="285" t="n"/>
      <c r="T503" s="284" t="n"/>
      <c r="U503" s="284" t="n"/>
      <c r="V503" s="285" t="n"/>
      <c r="W503" s="285" t="n"/>
      <c r="X503" s="285" t="n"/>
      <c r="Y503" s="285" t="n"/>
      <c r="Z503" s="285" t="n"/>
      <c r="AA503" s="285" t="n"/>
      <c r="AB503" s="285" t="n"/>
    </row>
    <row r="504" ht="15.75" customHeight="1" s="398">
      <c r="A504" s="284" t="n"/>
      <c r="B504" s="285" t="n"/>
      <c r="C504" s="368" t="n"/>
      <c r="D504" s="336" t="n"/>
      <c r="E504" s="284" t="n"/>
      <c r="F504" s="472" t="n"/>
      <c r="G504" s="472" t="n"/>
      <c r="H504" s="472" t="n"/>
      <c r="I504" s="472" t="n"/>
      <c r="J504" s="472" t="n"/>
      <c r="K504" s="472" t="n"/>
      <c r="L504" s="472" t="n"/>
      <c r="M504" s="472" t="n"/>
      <c r="N504" s="472" t="n"/>
      <c r="O504" s="472" t="n"/>
      <c r="P504" s="472" t="n"/>
      <c r="Q504" s="472" t="n"/>
      <c r="R504" s="472" t="n"/>
      <c r="S504" s="285" t="n"/>
      <c r="T504" s="284" t="n"/>
      <c r="U504" s="284" t="n"/>
      <c r="V504" s="285" t="n"/>
      <c r="W504" s="285" t="n"/>
      <c r="X504" s="285" t="n"/>
      <c r="Y504" s="285" t="n"/>
      <c r="Z504" s="285" t="n"/>
      <c r="AA504" s="285" t="n"/>
      <c r="AB504" s="285" t="n"/>
    </row>
    <row r="505" ht="15.75" customHeight="1" s="398">
      <c r="A505" s="284" t="n"/>
      <c r="B505" s="285" t="n"/>
      <c r="C505" s="368" t="n"/>
      <c r="D505" s="336" t="n"/>
      <c r="E505" s="284" t="n"/>
      <c r="F505" s="472" t="n"/>
      <c r="G505" s="472" t="n"/>
      <c r="H505" s="472" t="n"/>
      <c r="I505" s="472" t="n"/>
      <c r="J505" s="472" t="n"/>
      <c r="K505" s="472" t="n"/>
      <c r="L505" s="472" t="n"/>
      <c r="M505" s="472" t="n"/>
      <c r="N505" s="472" t="n"/>
      <c r="O505" s="472" t="n"/>
      <c r="P505" s="472" t="n"/>
      <c r="Q505" s="472" t="n"/>
      <c r="R505" s="472" t="n"/>
      <c r="S505" s="285" t="n"/>
      <c r="T505" s="284" t="n"/>
      <c r="U505" s="284" t="n"/>
      <c r="V505" s="285" t="n"/>
      <c r="W505" s="285" t="n"/>
      <c r="X505" s="285" t="n"/>
      <c r="Y505" s="285" t="n"/>
      <c r="Z505" s="285" t="n"/>
      <c r="AA505" s="285" t="n"/>
      <c r="AB505" s="285" t="n"/>
    </row>
    <row r="506" ht="15.75" customHeight="1" s="398">
      <c r="A506" s="284" t="n"/>
      <c r="B506" s="285" t="n"/>
      <c r="C506" s="368" t="n"/>
      <c r="D506" s="336" t="n"/>
      <c r="E506" s="284" t="n"/>
      <c r="F506" s="472" t="n"/>
      <c r="G506" s="472" t="n"/>
      <c r="H506" s="472" t="n"/>
      <c r="I506" s="472" t="n"/>
      <c r="J506" s="472" t="n"/>
      <c r="K506" s="472" t="n"/>
      <c r="L506" s="472" t="n"/>
      <c r="M506" s="472" t="n"/>
      <c r="N506" s="472" t="n"/>
      <c r="O506" s="472" t="n"/>
      <c r="P506" s="472" t="n"/>
      <c r="Q506" s="472" t="n"/>
      <c r="R506" s="472" t="n"/>
      <c r="S506" s="285" t="n"/>
      <c r="T506" s="284" t="n"/>
      <c r="U506" s="284" t="n"/>
      <c r="V506" s="285" t="n"/>
      <c r="W506" s="285" t="n"/>
      <c r="X506" s="285" t="n"/>
      <c r="Y506" s="285" t="n"/>
      <c r="Z506" s="285" t="n"/>
      <c r="AA506" s="285" t="n"/>
      <c r="AB506" s="285" t="n"/>
    </row>
    <row r="507" ht="15.75" customHeight="1" s="398">
      <c r="A507" s="284" t="n"/>
      <c r="B507" s="285" t="n"/>
      <c r="C507" s="368" t="n"/>
      <c r="D507" s="336" t="n"/>
      <c r="E507" s="284" t="n"/>
      <c r="F507" s="472" t="n"/>
      <c r="G507" s="472" t="n"/>
      <c r="H507" s="472" t="n"/>
      <c r="I507" s="472" t="n"/>
      <c r="J507" s="472" t="n"/>
      <c r="K507" s="472" t="n"/>
      <c r="L507" s="472" t="n"/>
      <c r="M507" s="472" t="n"/>
      <c r="N507" s="472" t="n"/>
      <c r="O507" s="472" t="n"/>
      <c r="P507" s="472" t="n"/>
      <c r="Q507" s="472" t="n"/>
      <c r="R507" s="472" t="n"/>
      <c r="S507" s="285" t="n"/>
      <c r="T507" s="284" t="n"/>
      <c r="U507" s="284" t="n"/>
      <c r="V507" s="285" t="n"/>
      <c r="W507" s="285" t="n"/>
      <c r="X507" s="285" t="n"/>
      <c r="Y507" s="285" t="n"/>
      <c r="Z507" s="285" t="n"/>
      <c r="AA507" s="285" t="n"/>
      <c r="AB507" s="285" t="n"/>
    </row>
    <row r="508" ht="15.75" customHeight="1" s="398">
      <c r="A508" s="284" t="n"/>
      <c r="B508" s="285" t="n"/>
      <c r="C508" s="368" t="n"/>
      <c r="D508" s="336" t="n"/>
      <c r="E508" s="284" t="n"/>
      <c r="F508" s="472" t="n"/>
      <c r="G508" s="472" t="n"/>
      <c r="H508" s="472" t="n"/>
      <c r="I508" s="472" t="n"/>
      <c r="J508" s="472" t="n"/>
      <c r="K508" s="472" t="n"/>
      <c r="L508" s="472" t="n"/>
      <c r="M508" s="472" t="n"/>
      <c r="N508" s="472" t="n"/>
      <c r="O508" s="472" t="n"/>
      <c r="P508" s="472" t="n"/>
      <c r="Q508" s="472" t="n"/>
      <c r="R508" s="472" t="n"/>
      <c r="S508" s="285" t="n"/>
      <c r="T508" s="284" t="n"/>
      <c r="U508" s="284" t="n"/>
      <c r="V508" s="285" t="n"/>
      <c r="W508" s="285" t="n"/>
      <c r="X508" s="285" t="n"/>
      <c r="Y508" s="285" t="n"/>
      <c r="Z508" s="285" t="n"/>
      <c r="AA508" s="285" t="n"/>
      <c r="AB508" s="285" t="n"/>
    </row>
    <row r="509" ht="15.75" customHeight="1" s="398">
      <c r="A509" s="284" t="n"/>
      <c r="B509" s="285" t="n"/>
      <c r="C509" s="368" t="n"/>
      <c r="D509" s="336" t="n"/>
      <c r="E509" s="284" t="n"/>
      <c r="F509" s="472" t="n"/>
      <c r="G509" s="472" t="n"/>
      <c r="H509" s="472" t="n"/>
      <c r="I509" s="472" t="n"/>
      <c r="J509" s="472" t="n"/>
      <c r="K509" s="472" t="n"/>
      <c r="L509" s="472" t="n"/>
      <c r="M509" s="472" t="n"/>
      <c r="N509" s="472" t="n"/>
      <c r="O509" s="472" t="n"/>
      <c r="P509" s="472" t="n"/>
      <c r="Q509" s="472" t="n"/>
      <c r="R509" s="472" t="n"/>
      <c r="S509" s="285" t="n"/>
      <c r="T509" s="284" t="n"/>
      <c r="U509" s="284" t="n"/>
      <c r="V509" s="285" t="n"/>
      <c r="W509" s="285" t="n"/>
      <c r="X509" s="285" t="n"/>
      <c r="Y509" s="285" t="n"/>
      <c r="Z509" s="285" t="n"/>
      <c r="AA509" s="285" t="n"/>
      <c r="AB509" s="285" t="n"/>
    </row>
    <row r="510" ht="15.75" customHeight="1" s="398">
      <c r="A510" s="284" t="n"/>
      <c r="B510" s="285" t="n"/>
      <c r="C510" s="368" t="n"/>
      <c r="D510" s="336" t="n"/>
      <c r="E510" s="284" t="n"/>
      <c r="F510" s="472" t="n"/>
      <c r="G510" s="472" t="n"/>
      <c r="H510" s="472" t="n"/>
      <c r="I510" s="472" t="n"/>
      <c r="J510" s="472" t="n"/>
      <c r="K510" s="472" t="n"/>
      <c r="L510" s="472" t="n"/>
      <c r="M510" s="472" t="n"/>
      <c r="N510" s="472" t="n"/>
      <c r="O510" s="472" t="n"/>
      <c r="P510" s="472" t="n"/>
      <c r="Q510" s="472" t="n"/>
      <c r="R510" s="472" t="n"/>
      <c r="S510" s="285" t="n"/>
      <c r="T510" s="284" t="n"/>
      <c r="U510" s="284" t="n"/>
      <c r="V510" s="285" t="n"/>
      <c r="W510" s="285" t="n"/>
      <c r="X510" s="285" t="n"/>
      <c r="Y510" s="285" t="n"/>
      <c r="Z510" s="285" t="n"/>
      <c r="AA510" s="285" t="n"/>
      <c r="AB510" s="285" t="n"/>
    </row>
    <row r="511" ht="15.75" customHeight="1" s="398">
      <c r="A511" s="284" t="n"/>
      <c r="B511" s="285" t="n"/>
      <c r="C511" s="368" t="n"/>
      <c r="D511" s="336" t="n"/>
      <c r="E511" s="284" t="n"/>
      <c r="F511" s="472" t="n"/>
      <c r="G511" s="472" t="n"/>
      <c r="H511" s="472" t="n"/>
      <c r="I511" s="472" t="n"/>
      <c r="J511" s="472" t="n"/>
      <c r="K511" s="472" t="n"/>
      <c r="L511" s="472" t="n"/>
      <c r="M511" s="472" t="n"/>
      <c r="N511" s="472" t="n"/>
      <c r="O511" s="472" t="n"/>
      <c r="P511" s="472" t="n"/>
      <c r="Q511" s="472" t="n"/>
      <c r="R511" s="472" t="n"/>
      <c r="S511" s="285" t="n"/>
      <c r="T511" s="284" t="n"/>
      <c r="U511" s="284" t="n"/>
      <c r="V511" s="285" t="n"/>
      <c r="W511" s="285" t="n"/>
      <c r="X511" s="285" t="n"/>
      <c r="Y511" s="285" t="n"/>
      <c r="Z511" s="285" t="n"/>
      <c r="AA511" s="285" t="n"/>
      <c r="AB511" s="285" t="n"/>
    </row>
    <row r="512" ht="15.75" customHeight="1" s="398">
      <c r="A512" s="284" t="n"/>
      <c r="B512" s="285" t="n"/>
      <c r="C512" s="368" t="n"/>
      <c r="D512" s="336" t="n"/>
      <c r="E512" s="284" t="n"/>
      <c r="F512" s="472" t="n"/>
      <c r="G512" s="472" t="n"/>
      <c r="H512" s="472" t="n"/>
      <c r="I512" s="472" t="n"/>
      <c r="J512" s="472" t="n"/>
      <c r="K512" s="472" t="n"/>
      <c r="L512" s="472" t="n"/>
      <c r="M512" s="472" t="n"/>
      <c r="N512" s="472" t="n"/>
      <c r="O512" s="472" t="n"/>
      <c r="P512" s="472" t="n"/>
      <c r="Q512" s="472" t="n"/>
      <c r="R512" s="472" t="n"/>
      <c r="S512" s="285" t="n"/>
      <c r="T512" s="284" t="n"/>
      <c r="U512" s="284" t="n"/>
      <c r="V512" s="285" t="n"/>
      <c r="W512" s="285" t="n"/>
      <c r="X512" s="285" t="n"/>
      <c r="Y512" s="285" t="n"/>
      <c r="Z512" s="285" t="n"/>
      <c r="AA512" s="285" t="n"/>
      <c r="AB512" s="285" t="n"/>
    </row>
    <row r="513" ht="15.75" customHeight="1" s="398">
      <c r="A513" s="284" t="n"/>
      <c r="B513" s="285" t="n"/>
      <c r="C513" s="368" t="n"/>
      <c r="D513" s="336" t="n"/>
      <c r="E513" s="284" t="n"/>
      <c r="F513" s="472" t="n"/>
      <c r="G513" s="472" t="n"/>
      <c r="H513" s="472" t="n"/>
      <c r="I513" s="472" t="n"/>
      <c r="J513" s="472" t="n"/>
      <c r="K513" s="472" t="n"/>
      <c r="L513" s="472" t="n"/>
      <c r="M513" s="472" t="n"/>
      <c r="N513" s="472" t="n"/>
      <c r="O513" s="472" t="n"/>
      <c r="P513" s="472" t="n"/>
      <c r="Q513" s="472" t="n"/>
      <c r="R513" s="472" t="n"/>
      <c r="S513" s="285" t="n"/>
      <c r="T513" s="284" t="n"/>
      <c r="U513" s="284" t="n"/>
      <c r="V513" s="285" t="n"/>
      <c r="W513" s="285" t="n"/>
      <c r="X513" s="285" t="n"/>
      <c r="Y513" s="285" t="n"/>
      <c r="Z513" s="285" t="n"/>
      <c r="AA513" s="285" t="n"/>
      <c r="AB513" s="285" t="n"/>
    </row>
    <row r="514" ht="15.75" customHeight="1" s="398">
      <c r="A514" s="284" t="n"/>
      <c r="B514" s="285" t="n"/>
      <c r="C514" s="368" t="n"/>
      <c r="D514" s="336" t="n"/>
      <c r="E514" s="284" t="n"/>
      <c r="F514" s="472" t="n"/>
      <c r="G514" s="472" t="n"/>
      <c r="H514" s="472" t="n"/>
      <c r="I514" s="472" t="n"/>
      <c r="J514" s="472" t="n"/>
      <c r="K514" s="472" t="n"/>
      <c r="L514" s="472" t="n"/>
      <c r="M514" s="472" t="n"/>
      <c r="N514" s="472" t="n"/>
      <c r="O514" s="472" t="n"/>
      <c r="P514" s="472" t="n"/>
      <c r="Q514" s="472" t="n"/>
      <c r="R514" s="472" t="n"/>
      <c r="S514" s="285" t="n"/>
      <c r="T514" s="284" t="n"/>
      <c r="U514" s="284" t="n"/>
      <c r="V514" s="285" t="n"/>
      <c r="W514" s="285" t="n"/>
      <c r="X514" s="285" t="n"/>
      <c r="Y514" s="285" t="n"/>
      <c r="Z514" s="285" t="n"/>
      <c r="AA514" s="285" t="n"/>
      <c r="AB514" s="285" t="n"/>
    </row>
    <row r="515" ht="15.75" customHeight="1" s="398">
      <c r="A515" s="284" t="n"/>
      <c r="B515" s="285" t="n"/>
      <c r="C515" s="368" t="n"/>
      <c r="D515" s="336" t="n"/>
      <c r="E515" s="284" t="n"/>
      <c r="F515" s="472" t="n"/>
      <c r="G515" s="472" t="n"/>
      <c r="H515" s="472" t="n"/>
      <c r="I515" s="472" t="n"/>
      <c r="J515" s="472" t="n"/>
      <c r="K515" s="472" t="n"/>
      <c r="L515" s="472" t="n"/>
      <c r="M515" s="472" t="n"/>
      <c r="N515" s="472" t="n"/>
      <c r="O515" s="472" t="n"/>
      <c r="P515" s="472" t="n"/>
      <c r="Q515" s="472" t="n"/>
      <c r="R515" s="472" t="n"/>
      <c r="S515" s="285" t="n"/>
      <c r="T515" s="284" t="n"/>
      <c r="U515" s="284" t="n"/>
      <c r="V515" s="285" t="n"/>
      <c r="W515" s="285" t="n"/>
      <c r="X515" s="285" t="n"/>
      <c r="Y515" s="285" t="n"/>
      <c r="Z515" s="285" t="n"/>
      <c r="AA515" s="285" t="n"/>
      <c r="AB515" s="285" t="n"/>
    </row>
    <row r="516" ht="15.75" customHeight="1" s="398">
      <c r="A516" s="284" t="n"/>
      <c r="B516" s="285" t="n"/>
      <c r="C516" s="368" t="n"/>
      <c r="D516" s="336" t="n"/>
      <c r="E516" s="284" t="n"/>
      <c r="F516" s="472" t="n"/>
      <c r="G516" s="472" t="n"/>
      <c r="H516" s="472" t="n"/>
      <c r="I516" s="472" t="n"/>
      <c r="J516" s="472" t="n"/>
      <c r="K516" s="472" t="n"/>
      <c r="L516" s="472" t="n"/>
      <c r="M516" s="472" t="n"/>
      <c r="N516" s="472" t="n"/>
      <c r="O516" s="472" t="n"/>
      <c r="P516" s="472" t="n"/>
      <c r="Q516" s="472" t="n"/>
      <c r="R516" s="472" t="n"/>
      <c r="S516" s="285" t="n"/>
      <c r="T516" s="284" t="n"/>
      <c r="U516" s="284" t="n"/>
      <c r="V516" s="285" t="n"/>
      <c r="W516" s="285" t="n"/>
      <c r="X516" s="285" t="n"/>
      <c r="Y516" s="285" t="n"/>
      <c r="Z516" s="285" t="n"/>
      <c r="AA516" s="285" t="n"/>
      <c r="AB516" s="285" t="n"/>
    </row>
    <row r="517" ht="15.75" customHeight="1" s="398">
      <c r="A517" s="284" t="n"/>
      <c r="B517" s="285" t="n"/>
      <c r="C517" s="368" t="n"/>
      <c r="D517" s="336" t="n"/>
      <c r="E517" s="284" t="n"/>
      <c r="F517" s="472" t="n"/>
      <c r="G517" s="472" t="n"/>
      <c r="H517" s="472" t="n"/>
      <c r="I517" s="472" t="n"/>
      <c r="J517" s="472" t="n"/>
      <c r="K517" s="472" t="n"/>
      <c r="L517" s="472" t="n"/>
      <c r="M517" s="472" t="n"/>
      <c r="N517" s="472" t="n"/>
      <c r="O517" s="472" t="n"/>
      <c r="P517" s="472" t="n"/>
      <c r="Q517" s="472" t="n"/>
      <c r="R517" s="472" t="n"/>
      <c r="S517" s="285" t="n"/>
      <c r="T517" s="284" t="n"/>
      <c r="U517" s="284" t="n"/>
      <c r="V517" s="285" t="n"/>
      <c r="W517" s="285" t="n"/>
      <c r="X517" s="285" t="n"/>
      <c r="Y517" s="285" t="n"/>
      <c r="Z517" s="285" t="n"/>
      <c r="AA517" s="285" t="n"/>
      <c r="AB517" s="285" t="n"/>
    </row>
    <row r="518" ht="15.75" customHeight="1" s="398">
      <c r="A518" s="284" t="n"/>
      <c r="B518" s="285" t="n"/>
      <c r="C518" s="368" t="n"/>
      <c r="D518" s="336" t="n"/>
      <c r="E518" s="284" t="n"/>
      <c r="F518" s="472" t="n"/>
      <c r="G518" s="472" t="n"/>
      <c r="H518" s="472" t="n"/>
      <c r="I518" s="472" t="n"/>
      <c r="J518" s="472" t="n"/>
      <c r="K518" s="472" t="n"/>
      <c r="L518" s="472" t="n"/>
      <c r="M518" s="472" t="n"/>
      <c r="N518" s="472" t="n"/>
      <c r="O518" s="472" t="n"/>
      <c r="P518" s="472" t="n"/>
      <c r="Q518" s="472" t="n"/>
      <c r="R518" s="472" t="n"/>
      <c r="S518" s="285" t="n"/>
      <c r="T518" s="284" t="n"/>
      <c r="U518" s="284" t="n"/>
      <c r="V518" s="285" t="n"/>
      <c r="W518" s="285" t="n"/>
      <c r="X518" s="285" t="n"/>
      <c r="Y518" s="285" t="n"/>
      <c r="Z518" s="285" t="n"/>
      <c r="AA518" s="285" t="n"/>
      <c r="AB518" s="285" t="n"/>
    </row>
    <row r="519" ht="15.75" customHeight="1" s="398">
      <c r="A519" s="284" t="n"/>
      <c r="B519" s="285" t="n"/>
      <c r="C519" s="368" t="n"/>
      <c r="D519" s="336" t="n"/>
      <c r="E519" s="284" t="n"/>
      <c r="F519" s="472" t="n"/>
      <c r="G519" s="472" t="n"/>
      <c r="H519" s="472" t="n"/>
      <c r="I519" s="472" t="n"/>
      <c r="J519" s="472" t="n"/>
      <c r="K519" s="472" t="n"/>
      <c r="L519" s="472" t="n"/>
      <c r="M519" s="472" t="n"/>
      <c r="N519" s="472" t="n"/>
      <c r="O519" s="472" t="n"/>
      <c r="P519" s="472" t="n"/>
      <c r="Q519" s="472" t="n"/>
      <c r="R519" s="472" t="n"/>
      <c r="S519" s="285" t="n"/>
      <c r="T519" s="284" t="n"/>
      <c r="U519" s="284" t="n"/>
      <c r="V519" s="285" t="n"/>
      <c r="W519" s="285" t="n"/>
      <c r="X519" s="285" t="n"/>
      <c r="Y519" s="285" t="n"/>
      <c r="Z519" s="285" t="n"/>
      <c r="AA519" s="285" t="n"/>
      <c r="AB519" s="285" t="n"/>
    </row>
    <row r="520" ht="15.75" customHeight="1" s="398">
      <c r="A520" s="284" t="n"/>
      <c r="B520" s="285" t="n"/>
      <c r="C520" s="368" t="n"/>
      <c r="D520" s="336" t="n"/>
      <c r="E520" s="284" t="n"/>
      <c r="F520" s="472" t="n"/>
      <c r="G520" s="472" t="n"/>
      <c r="H520" s="472" t="n"/>
      <c r="I520" s="472" t="n"/>
      <c r="J520" s="472" t="n"/>
      <c r="K520" s="472" t="n"/>
      <c r="L520" s="472" t="n"/>
      <c r="M520" s="472" t="n"/>
      <c r="N520" s="472" t="n"/>
      <c r="O520" s="472" t="n"/>
      <c r="P520" s="472" t="n"/>
      <c r="Q520" s="472" t="n"/>
      <c r="R520" s="472" t="n"/>
      <c r="S520" s="285" t="n"/>
      <c r="T520" s="284" t="n"/>
      <c r="U520" s="284" t="n"/>
      <c r="V520" s="285" t="n"/>
      <c r="W520" s="285" t="n"/>
      <c r="X520" s="285" t="n"/>
      <c r="Y520" s="285" t="n"/>
      <c r="Z520" s="285" t="n"/>
      <c r="AA520" s="285" t="n"/>
      <c r="AB520" s="285" t="n"/>
    </row>
    <row r="521" ht="15.75" customHeight="1" s="398">
      <c r="A521" s="284" t="n"/>
      <c r="B521" s="285" t="n"/>
      <c r="C521" s="368" t="n"/>
      <c r="D521" s="336" t="n"/>
      <c r="E521" s="284" t="n"/>
      <c r="F521" s="472" t="n"/>
      <c r="G521" s="472" t="n"/>
      <c r="H521" s="472" t="n"/>
      <c r="I521" s="472" t="n"/>
      <c r="J521" s="472" t="n"/>
      <c r="K521" s="472" t="n"/>
      <c r="L521" s="472" t="n"/>
      <c r="M521" s="472" t="n"/>
      <c r="N521" s="472" t="n"/>
      <c r="O521" s="472" t="n"/>
      <c r="P521" s="472" t="n"/>
      <c r="Q521" s="472" t="n"/>
      <c r="R521" s="472" t="n"/>
      <c r="S521" s="285" t="n"/>
      <c r="T521" s="284" t="n"/>
      <c r="U521" s="284" t="n"/>
      <c r="V521" s="285" t="n"/>
      <c r="W521" s="285" t="n"/>
      <c r="X521" s="285" t="n"/>
      <c r="Y521" s="285" t="n"/>
      <c r="Z521" s="285" t="n"/>
      <c r="AA521" s="285" t="n"/>
      <c r="AB521" s="285" t="n"/>
    </row>
    <row r="522" ht="15.75" customHeight="1" s="398">
      <c r="A522" s="284" t="n"/>
      <c r="B522" s="285" t="n"/>
      <c r="C522" s="368" t="n"/>
      <c r="D522" s="336" t="n"/>
      <c r="E522" s="284" t="n"/>
      <c r="F522" s="472" t="n"/>
      <c r="G522" s="472" t="n"/>
      <c r="H522" s="472" t="n"/>
      <c r="I522" s="472" t="n"/>
      <c r="J522" s="472" t="n"/>
      <c r="K522" s="472" t="n"/>
      <c r="L522" s="472" t="n"/>
      <c r="M522" s="472" t="n"/>
      <c r="N522" s="472" t="n"/>
      <c r="O522" s="472" t="n"/>
      <c r="P522" s="472" t="n"/>
      <c r="Q522" s="472" t="n"/>
      <c r="R522" s="472" t="n"/>
      <c r="S522" s="285" t="n"/>
      <c r="T522" s="284" t="n"/>
      <c r="U522" s="284" t="n"/>
      <c r="V522" s="285" t="n"/>
      <c r="W522" s="285" t="n"/>
      <c r="X522" s="285" t="n"/>
      <c r="Y522" s="285" t="n"/>
      <c r="Z522" s="285" t="n"/>
      <c r="AA522" s="285" t="n"/>
      <c r="AB522" s="285" t="n"/>
    </row>
    <row r="523" ht="15.75" customHeight="1" s="398">
      <c r="A523" s="284" t="n"/>
      <c r="B523" s="285" t="n"/>
      <c r="C523" s="368" t="n"/>
      <c r="D523" s="336" t="n"/>
      <c r="E523" s="284" t="n"/>
      <c r="F523" s="472" t="n"/>
      <c r="G523" s="472" t="n"/>
      <c r="H523" s="472" t="n"/>
      <c r="I523" s="472" t="n"/>
      <c r="J523" s="472" t="n"/>
      <c r="K523" s="472" t="n"/>
      <c r="L523" s="472" t="n"/>
      <c r="M523" s="472" t="n"/>
      <c r="N523" s="472" t="n"/>
      <c r="O523" s="472" t="n"/>
      <c r="P523" s="472" t="n"/>
      <c r="Q523" s="472" t="n"/>
      <c r="R523" s="472" t="n"/>
      <c r="S523" s="285" t="n"/>
      <c r="T523" s="284" t="n"/>
      <c r="U523" s="284" t="n"/>
      <c r="V523" s="285" t="n"/>
      <c r="W523" s="285" t="n"/>
      <c r="X523" s="285" t="n"/>
      <c r="Y523" s="285" t="n"/>
      <c r="Z523" s="285" t="n"/>
      <c r="AA523" s="285" t="n"/>
      <c r="AB523" s="285" t="n"/>
    </row>
    <row r="524" ht="15.75" customHeight="1" s="398">
      <c r="A524" s="284" t="n"/>
      <c r="B524" s="285" t="n"/>
      <c r="C524" s="368" t="n"/>
      <c r="D524" s="336" t="n"/>
      <c r="E524" s="284" t="n"/>
      <c r="F524" s="472" t="n"/>
      <c r="G524" s="472" t="n"/>
      <c r="H524" s="472" t="n"/>
      <c r="I524" s="472" t="n"/>
      <c r="J524" s="472" t="n"/>
      <c r="K524" s="472" t="n"/>
      <c r="L524" s="472" t="n"/>
      <c r="M524" s="472" t="n"/>
      <c r="N524" s="472" t="n"/>
      <c r="O524" s="472" t="n"/>
      <c r="P524" s="472" t="n"/>
      <c r="Q524" s="472" t="n"/>
      <c r="R524" s="472" t="n"/>
      <c r="S524" s="285" t="n"/>
      <c r="T524" s="284" t="n"/>
      <c r="U524" s="284" t="n"/>
      <c r="V524" s="285" t="n"/>
      <c r="W524" s="285" t="n"/>
      <c r="X524" s="285" t="n"/>
      <c r="Y524" s="285" t="n"/>
      <c r="Z524" s="285" t="n"/>
      <c r="AA524" s="285" t="n"/>
      <c r="AB524" s="285" t="n"/>
    </row>
    <row r="525" ht="15.75" customHeight="1" s="398">
      <c r="A525" s="284" t="n"/>
      <c r="B525" s="285" t="n"/>
      <c r="C525" s="368" t="n"/>
      <c r="D525" s="336" t="n"/>
      <c r="E525" s="284" t="n"/>
      <c r="F525" s="472" t="n"/>
      <c r="G525" s="472" t="n"/>
      <c r="H525" s="472" t="n"/>
      <c r="I525" s="472" t="n"/>
      <c r="J525" s="472" t="n"/>
      <c r="K525" s="472" t="n"/>
      <c r="L525" s="472" t="n"/>
      <c r="M525" s="472" t="n"/>
      <c r="N525" s="472" t="n"/>
      <c r="O525" s="472" t="n"/>
      <c r="P525" s="472" t="n"/>
      <c r="Q525" s="472" t="n"/>
      <c r="R525" s="472" t="n"/>
      <c r="S525" s="285" t="n"/>
      <c r="T525" s="284" t="n"/>
      <c r="U525" s="284" t="n"/>
      <c r="V525" s="285" t="n"/>
      <c r="W525" s="285" t="n"/>
      <c r="X525" s="285" t="n"/>
      <c r="Y525" s="285" t="n"/>
      <c r="Z525" s="285" t="n"/>
      <c r="AA525" s="285" t="n"/>
      <c r="AB525" s="285" t="n"/>
    </row>
    <row r="526" ht="15.75" customHeight="1" s="398">
      <c r="A526" s="284" t="n"/>
      <c r="B526" s="285" t="n"/>
      <c r="C526" s="368" t="n"/>
      <c r="D526" s="336" t="n"/>
      <c r="E526" s="284" t="n"/>
      <c r="F526" s="472" t="n"/>
      <c r="G526" s="472" t="n"/>
      <c r="H526" s="472" t="n"/>
      <c r="I526" s="472" t="n"/>
      <c r="J526" s="472" t="n"/>
      <c r="K526" s="472" t="n"/>
      <c r="L526" s="472" t="n"/>
      <c r="M526" s="472" t="n"/>
      <c r="N526" s="472" t="n"/>
      <c r="O526" s="472" t="n"/>
      <c r="P526" s="472" t="n"/>
      <c r="Q526" s="472" t="n"/>
      <c r="R526" s="472" t="n"/>
      <c r="S526" s="285" t="n"/>
      <c r="T526" s="284" t="n"/>
      <c r="U526" s="284" t="n"/>
      <c r="V526" s="285" t="n"/>
      <c r="W526" s="285" t="n"/>
      <c r="X526" s="285" t="n"/>
      <c r="Y526" s="285" t="n"/>
      <c r="Z526" s="285" t="n"/>
      <c r="AA526" s="285" t="n"/>
      <c r="AB526" s="285" t="n"/>
    </row>
    <row r="527" ht="15.75" customHeight="1" s="398">
      <c r="A527" s="284" t="n"/>
      <c r="B527" s="285" t="n"/>
      <c r="C527" s="368" t="n"/>
      <c r="D527" s="336" t="n"/>
      <c r="E527" s="284" t="n"/>
      <c r="F527" s="472" t="n"/>
      <c r="G527" s="472" t="n"/>
      <c r="H527" s="472" t="n"/>
      <c r="I527" s="472" t="n"/>
      <c r="J527" s="472" t="n"/>
      <c r="K527" s="472" t="n"/>
      <c r="L527" s="472" t="n"/>
      <c r="M527" s="472" t="n"/>
      <c r="N527" s="472" t="n"/>
      <c r="O527" s="472" t="n"/>
      <c r="P527" s="472" t="n"/>
      <c r="Q527" s="472" t="n"/>
      <c r="R527" s="472" t="n"/>
      <c r="S527" s="285" t="n"/>
      <c r="T527" s="284" t="n"/>
      <c r="U527" s="284" t="n"/>
      <c r="V527" s="285" t="n"/>
      <c r="W527" s="285" t="n"/>
      <c r="X527" s="285" t="n"/>
      <c r="Y527" s="285" t="n"/>
      <c r="Z527" s="285" t="n"/>
      <c r="AA527" s="285" t="n"/>
      <c r="AB527" s="285" t="n"/>
    </row>
    <row r="528" ht="15.75" customHeight="1" s="398">
      <c r="A528" s="284" t="n"/>
      <c r="B528" s="285" t="n"/>
      <c r="C528" s="368" t="n"/>
      <c r="D528" s="336" t="n"/>
      <c r="E528" s="284" t="n"/>
      <c r="F528" s="472" t="n"/>
      <c r="G528" s="472" t="n"/>
      <c r="H528" s="472" t="n"/>
      <c r="I528" s="472" t="n"/>
      <c r="J528" s="472" t="n"/>
      <c r="K528" s="472" t="n"/>
      <c r="L528" s="472" t="n"/>
      <c r="M528" s="472" t="n"/>
      <c r="N528" s="472" t="n"/>
      <c r="O528" s="472" t="n"/>
      <c r="P528" s="472" t="n"/>
      <c r="Q528" s="472" t="n"/>
      <c r="R528" s="472" t="n"/>
      <c r="S528" s="285" t="n"/>
      <c r="T528" s="284" t="n"/>
      <c r="U528" s="284" t="n"/>
      <c r="V528" s="285" t="n"/>
      <c r="W528" s="285" t="n"/>
      <c r="X528" s="285" t="n"/>
      <c r="Y528" s="285" t="n"/>
      <c r="Z528" s="285" t="n"/>
      <c r="AA528" s="285" t="n"/>
      <c r="AB528" s="285" t="n"/>
    </row>
    <row r="529" ht="15.75" customHeight="1" s="398">
      <c r="A529" s="284" t="n"/>
      <c r="B529" s="285" t="n"/>
      <c r="C529" s="368" t="n"/>
      <c r="D529" s="336" t="n"/>
      <c r="E529" s="284" t="n"/>
      <c r="F529" s="472" t="n"/>
      <c r="G529" s="472" t="n"/>
      <c r="H529" s="472" t="n"/>
      <c r="I529" s="472" t="n"/>
      <c r="J529" s="472" t="n"/>
      <c r="K529" s="472" t="n"/>
      <c r="L529" s="472" t="n"/>
      <c r="M529" s="472" t="n"/>
      <c r="N529" s="472" t="n"/>
      <c r="O529" s="472" t="n"/>
      <c r="P529" s="472" t="n"/>
      <c r="Q529" s="472" t="n"/>
      <c r="R529" s="472" t="n"/>
      <c r="S529" s="285" t="n"/>
      <c r="T529" s="284" t="n"/>
      <c r="U529" s="284" t="n"/>
      <c r="V529" s="285" t="n"/>
      <c r="W529" s="285" t="n"/>
      <c r="X529" s="285" t="n"/>
      <c r="Y529" s="285" t="n"/>
      <c r="Z529" s="285" t="n"/>
      <c r="AA529" s="285" t="n"/>
      <c r="AB529" s="285" t="n"/>
    </row>
    <row r="530" ht="15.75" customHeight="1" s="398">
      <c r="A530" s="284" t="n"/>
      <c r="B530" s="285" t="n"/>
      <c r="C530" s="368" t="n"/>
      <c r="D530" s="336" t="n"/>
      <c r="E530" s="284" t="n"/>
      <c r="F530" s="472" t="n"/>
      <c r="G530" s="472" t="n"/>
      <c r="H530" s="472" t="n"/>
      <c r="I530" s="472" t="n"/>
      <c r="J530" s="472" t="n"/>
      <c r="K530" s="472" t="n"/>
      <c r="L530" s="472" t="n"/>
      <c r="M530" s="472" t="n"/>
      <c r="N530" s="472" t="n"/>
      <c r="O530" s="472" t="n"/>
      <c r="P530" s="472" t="n"/>
      <c r="Q530" s="472" t="n"/>
      <c r="R530" s="472" t="n"/>
      <c r="S530" s="285" t="n"/>
      <c r="T530" s="284" t="n"/>
      <c r="U530" s="284" t="n"/>
      <c r="V530" s="285" t="n"/>
      <c r="W530" s="285" t="n"/>
      <c r="X530" s="285" t="n"/>
      <c r="Y530" s="285" t="n"/>
      <c r="Z530" s="285" t="n"/>
      <c r="AA530" s="285" t="n"/>
      <c r="AB530" s="285" t="n"/>
    </row>
    <row r="531" ht="15.75" customHeight="1" s="398">
      <c r="A531" s="284" t="n"/>
      <c r="B531" s="285" t="n"/>
      <c r="C531" s="368" t="n"/>
      <c r="D531" s="336" t="n"/>
      <c r="E531" s="284" t="n"/>
      <c r="F531" s="472" t="n"/>
      <c r="G531" s="472" t="n"/>
      <c r="H531" s="472" t="n"/>
      <c r="I531" s="472" t="n"/>
      <c r="J531" s="472" t="n"/>
      <c r="K531" s="472" t="n"/>
      <c r="L531" s="472" t="n"/>
      <c r="M531" s="472" t="n"/>
      <c r="N531" s="472" t="n"/>
      <c r="O531" s="472" t="n"/>
      <c r="P531" s="472" t="n"/>
      <c r="Q531" s="472" t="n"/>
      <c r="R531" s="472" t="n"/>
      <c r="S531" s="285" t="n"/>
      <c r="T531" s="284" t="n"/>
      <c r="U531" s="284" t="n"/>
      <c r="V531" s="285" t="n"/>
      <c r="W531" s="285" t="n"/>
      <c r="X531" s="285" t="n"/>
      <c r="Y531" s="285" t="n"/>
      <c r="Z531" s="285" t="n"/>
      <c r="AA531" s="285" t="n"/>
      <c r="AB531" s="285" t="n"/>
    </row>
    <row r="532" ht="15.75" customHeight="1" s="398">
      <c r="A532" s="284" t="n"/>
      <c r="B532" s="285" t="n"/>
      <c r="C532" s="368" t="n"/>
      <c r="D532" s="336" t="n"/>
      <c r="E532" s="284" t="n"/>
      <c r="F532" s="472" t="n"/>
      <c r="G532" s="472" t="n"/>
      <c r="H532" s="472" t="n"/>
      <c r="I532" s="472" t="n"/>
      <c r="J532" s="472" t="n"/>
      <c r="K532" s="472" t="n"/>
      <c r="L532" s="472" t="n"/>
      <c r="M532" s="472" t="n"/>
      <c r="N532" s="472" t="n"/>
      <c r="O532" s="472" t="n"/>
      <c r="P532" s="472" t="n"/>
      <c r="Q532" s="472" t="n"/>
      <c r="R532" s="472" t="n"/>
      <c r="S532" s="285" t="n"/>
      <c r="T532" s="284" t="n"/>
      <c r="U532" s="284" t="n"/>
      <c r="V532" s="285" t="n"/>
      <c r="W532" s="285" t="n"/>
      <c r="X532" s="285" t="n"/>
      <c r="Y532" s="285" t="n"/>
      <c r="Z532" s="285" t="n"/>
      <c r="AA532" s="285" t="n"/>
      <c r="AB532" s="285" t="n"/>
    </row>
    <row r="533" ht="15.75" customHeight="1" s="398">
      <c r="A533" s="284" t="n"/>
      <c r="B533" s="285" t="n"/>
      <c r="C533" s="368" t="n"/>
      <c r="D533" s="336" t="n"/>
      <c r="E533" s="284" t="n"/>
      <c r="F533" s="472" t="n"/>
      <c r="G533" s="472" t="n"/>
      <c r="H533" s="472" t="n"/>
      <c r="I533" s="472" t="n"/>
      <c r="J533" s="472" t="n"/>
      <c r="K533" s="472" t="n"/>
      <c r="L533" s="472" t="n"/>
      <c r="M533" s="472" t="n"/>
      <c r="N533" s="472" t="n"/>
      <c r="O533" s="472" t="n"/>
      <c r="P533" s="472" t="n"/>
      <c r="Q533" s="472" t="n"/>
      <c r="R533" s="472" t="n"/>
      <c r="S533" s="285" t="n"/>
      <c r="T533" s="284" t="n"/>
      <c r="U533" s="284" t="n"/>
      <c r="V533" s="285" t="n"/>
      <c r="W533" s="285" t="n"/>
      <c r="X533" s="285" t="n"/>
      <c r="Y533" s="285" t="n"/>
      <c r="Z533" s="285" t="n"/>
      <c r="AA533" s="285" t="n"/>
      <c r="AB533" s="285" t="n"/>
    </row>
    <row r="534" ht="15.75" customHeight="1" s="398">
      <c r="A534" s="284" t="n"/>
      <c r="B534" s="285" t="n"/>
      <c r="C534" s="368" t="n"/>
      <c r="D534" s="336" t="n"/>
      <c r="E534" s="284" t="n"/>
      <c r="F534" s="472" t="n"/>
      <c r="G534" s="472" t="n"/>
      <c r="H534" s="472" t="n"/>
      <c r="I534" s="472" t="n"/>
      <c r="J534" s="472" t="n"/>
      <c r="K534" s="472" t="n"/>
      <c r="L534" s="472" t="n"/>
      <c r="M534" s="472" t="n"/>
      <c r="N534" s="472" t="n"/>
      <c r="O534" s="472" t="n"/>
      <c r="P534" s="472" t="n"/>
      <c r="Q534" s="472" t="n"/>
      <c r="R534" s="472" t="n"/>
      <c r="S534" s="285" t="n"/>
      <c r="T534" s="284" t="n"/>
      <c r="U534" s="284" t="n"/>
      <c r="V534" s="285" t="n"/>
      <c r="W534" s="285" t="n"/>
      <c r="X534" s="285" t="n"/>
      <c r="Y534" s="285" t="n"/>
      <c r="Z534" s="285" t="n"/>
      <c r="AA534" s="285" t="n"/>
      <c r="AB534" s="285" t="n"/>
    </row>
    <row r="535" ht="15.75" customHeight="1" s="398">
      <c r="A535" s="284" t="n"/>
      <c r="B535" s="285" t="n"/>
      <c r="C535" s="368" t="n"/>
      <c r="D535" s="336" t="n"/>
      <c r="E535" s="284" t="n"/>
      <c r="F535" s="472" t="n"/>
      <c r="G535" s="472" t="n"/>
      <c r="H535" s="472" t="n"/>
      <c r="I535" s="472" t="n"/>
      <c r="J535" s="472" t="n"/>
      <c r="K535" s="472" t="n"/>
      <c r="L535" s="472" t="n"/>
      <c r="M535" s="472" t="n"/>
      <c r="N535" s="472" t="n"/>
      <c r="O535" s="472" t="n"/>
      <c r="P535" s="472" t="n"/>
      <c r="Q535" s="472" t="n"/>
      <c r="R535" s="472" t="n"/>
      <c r="S535" s="285" t="n"/>
      <c r="T535" s="284" t="n"/>
      <c r="U535" s="284" t="n"/>
      <c r="V535" s="285" t="n"/>
      <c r="W535" s="285" t="n"/>
      <c r="X535" s="285" t="n"/>
      <c r="Y535" s="285" t="n"/>
      <c r="Z535" s="285" t="n"/>
      <c r="AA535" s="285" t="n"/>
      <c r="AB535" s="285" t="n"/>
    </row>
    <row r="536" ht="15.75" customHeight="1" s="398">
      <c r="A536" s="284" t="n"/>
      <c r="B536" s="285" t="n"/>
      <c r="C536" s="368" t="n"/>
      <c r="D536" s="336" t="n"/>
      <c r="E536" s="284" t="n"/>
      <c r="F536" s="472" t="n"/>
      <c r="G536" s="472" t="n"/>
      <c r="H536" s="472" t="n"/>
      <c r="I536" s="472" t="n"/>
      <c r="J536" s="472" t="n"/>
      <c r="K536" s="472" t="n"/>
      <c r="L536" s="472" t="n"/>
      <c r="M536" s="472" t="n"/>
      <c r="N536" s="472" t="n"/>
      <c r="O536" s="472" t="n"/>
      <c r="P536" s="472" t="n"/>
      <c r="Q536" s="472" t="n"/>
      <c r="R536" s="472" t="n"/>
      <c r="S536" s="285" t="n"/>
      <c r="T536" s="284" t="n"/>
      <c r="U536" s="284" t="n"/>
      <c r="V536" s="285" t="n"/>
      <c r="W536" s="285" t="n"/>
      <c r="X536" s="285" t="n"/>
      <c r="Y536" s="285" t="n"/>
      <c r="Z536" s="285" t="n"/>
      <c r="AA536" s="285" t="n"/>
      <c r="AB536" s="285" t="n"/>
    </row>
    <row r="537" ht="15.75" customHeight="1" s="398">
      <c r="A537" s="284" t="n"/>
      <c r="B537" s="285" t="n"/>
      <c r="C537" s="368" t="n"/>
      <c r="D537" s="336" t="n"/>
      <c r="E537" s="284" t="n"/>
      <c r="F537" s="472" t="n"/>
      <c r="G537" s="472" t="n"/>
      <c r="H537" s="472" t="n"/>
      <c r="I537" s="472" t="n"/>
      <c r="J537" s="472" t="n"/>
      <c r="K537" s="472" t="n"/>
      <c r="L537" s="472" t="n"/>
      <c r="M537" s="472" t="n"/>
      <c r="N537" s="472" t="n"/>
      <c r="O537" s="472" t="n"/>
      <c r="P537" s="472" t="n"/>
      <c r="Q537" s="472" t="n"/>
      <c r="R537" s="472" t="n"/>
      <c r="S537" s="285" t="n"/>
      <c r="T537" s="284" t="n"/>
      <c r="U537" s="284" t="n"/>
      <c r="V537" s="285" t="n"/>
      <c r="W537" s="285" t="n"/>
      <c r="X537" s="285" t="n"/>
      <c r="Y537" s="285" t="n"/>
      <c r="Z537" s="285" t="n"/>
      <c r="AA537" s="285" t="n"/>
      <c r="AB537" s="285" t="n"/>
    </row>
    <row r="538" ht="15.75" customHeight="1" s="398">
      <c r="A538" s="284" t="n"/>
      <c r="B538" s="285" t="n"/>
      <c r="C538" s="368" t="n"/>
      <c r="D538" s="336" t="n"/>
      <c r="E538" s="284" t="n"/>
      <c r="F538" s="472" t="n"/>
      <c r="G538" s="472" t="n"/>
      <c r="H538" s="472" t="n"/>
      <c r="I538" s="472" t="n"/>
      <c r="J538" s="472" t="n"/>
      <c r="K538" s="472" t="n"/>
      <c r="L538" s="472" t="n"/>
      <c r="M538" s="472" t="n"/>
      <c r="N538" s="472" t="n"/>
      <c r="O538" s="472" t="n"/>
      <c r="P538" s="472" t="n"/>
      <c r="Q538" s="472" t="n"/>
      <c r="R538" s="472" t="n"/>
      <c r="S538" s="285" t="n"/>
      <c r="T538" s="284" t="n"/>
      <c r="U538" s="284" t="n"/>
      <c r="V538" s="285" t="n"/>
      <c r="W538" s="285" t="n"/>
      <c r="X538" s="285" t="n"/>
      <c r="Y538" s="285" t="n"/>
      <c r="Z538" s="285" t="n"/>
      <c r="AA538" s="285" t="n"/>
      <c r="AB538" s="285" t="n"/>
    </row>
    <row r="539" ht="15.75" customHeight="1" s="398">
      <c r="A539" s="284" t="n"/>
      <c r="B539" s="285" t="n"/>
      <c r="C539" s="368" t="n"/>
      <c r="D539" s="336" t="n"/>
      <c r="E539" s="284" t="n"/>
      <c r="F539" s="472" t="n"/>
      <c r="G539" s="472" t="n"/>
      <c r="H539" s="472" t="n"/>
      <c r="I539" s="472" t="n"/>
      <c r="J539" s="472" t="n"/>
      <c r="K539" s="472" t="n"/>
      <c r="L539" s="472" t="n"/>
      <c r="M539" s="472" t="n"/>
      <c r="N539" s="472" t="n"/>
      <c r="O539" s="472" t="n"/>
      <c r="P539" s="472" t="n"/>
      <c r="Q539" s="472" t="n"/>
      <c r="R539" s="472" t="n"/>
      <c r="S539" s="285" t="n"/>
      <c r="T539" s="284" t="n"/>
      <c r="U539" s="284" t="n"/>
      <c r="V539" s="285" t="n"/>
      <c r="W539" s="285" t="n"/>
      <c r="X539" s="285" t="n"/>
      <c r="Y539" s="285" t="n"/>
      <c r="Z539" s="285" t="n"/>
      <c r="AA539" s="285" t="n"/>
      <c r="AB539" s="285" t="n"/>
    </row>
    <row r="540" ht="15.75" customHeight="1" s="398">
      <c r="A540" s="284" t="n"/>
      <c r="B540" s="285" t="n"/>
      <c r="C540" s="368" t="n"/>
      <c r="D540" s="336" t="n"/>
      <c r="E540" s="284" t="n"/>
      <c r="F540" s="472" t="n"/>
      <c r="G540" s="472" t="n"/>
      <c r="H540" s="472" t="n"/>
      <c r="I540" s="472" t="n"/>
      <c r="J540" s="472" t="n"/>
      <c r="K540" s="472" t="n"/>
      <c r="L540" s="472" t="n"/>
      <c r="M540" s="472" t="n"/>
      <c r="N540" s="472" t="n"/>
      <c r="O540" s="472" t="n"/>
      <c r="P540" s="472" t="n"/>
      <c r="Q540" s="472" t="n"/>
      <c r="R540" s="472" t="n"/>
      <c r="S540" s="285" t="n"/>
      <c r="T540" s="284" t="n"/>
      <c r="U540" s="284" t="n"/>
      <c r="V540" s="285" t="n"/>
      <c r="W540" s="285" t="n"/>
      <c r="X540" s="285" t="n"/>
      <c r="Y540" s="285" t="n"/>
      <c r="Z540" s="285" t="n"/>
      <c r="AA540" s="285" t="n"/>
      <c r="AB540" s="285" t="n"/>
    </row>
    <row r="541" ht="15.75" customHeight="1" s="398">
      <c r="A541" s="284" t="n"/>
      <c r="B541" s="285" t="n"/>
      <c r="C541" s="368" t="n"/>
      <c r="D541" s="336" t="n"/>
      <c r="E541" s="284" t="n"/>
      <c r="F541" s="472" t="n"/>
      <c r="G541" s="472" t="n"/>
      <c r="H541" s="472" t="n"/>
      <c r="I541" s="472" t="n"/>
      <c r="J541" s="472" t="n"/>
      <c r="K541" s="472" t="n"/>
      <c r="L541" s="472" t="n"/>
      <c r="M541" s="472" t="n"/>
      <c r="N541" s="472" t="n"/>
      <c r="O541" s="472" t="n"/>
      <c r="P541" s="472" t="n"/>
      <c r="Q541" s="472" t="n"/>
      <c r="R541" s="472" t="n"/>
      <c r="S541" s="285" t="n"/>
      <c r="T541" s="284" t="n"/>
      <c r="U541" s="284" t="n"/>
      <c r="V541" s="285" t="n"/>
      <c r="W541" s="285" t="n"/>
      <c r="X541" s="285" t="n"/>
      <c r="Y541" s="285" t="n"/>
      <c r="Z541" s="285" t="n"/>
      <c r="AA541" s="285" t="n"/>
      <c r="AB541" s="285" t="n"/>
    </row>
    <row r="542" ht="15.75" customHeight="1" s="398">
      <c r="A542" s="284" t="n"/>
      <c r="B542" s="285" t="n"/>
      <c r="C542" s="368" t="n"/>
      <c r="D542" s="336" t="n"/>
      <c r="E542" s="284" t="n"/>
      <c r="F542" s="472" t="n"/>
      <c r="G542" s="472" t="n"/>
      <c r="H542" s="472" t="n"/>
      <c r="I542" s="472" t="n"/>
      <c r="J542" s="472" t="n"/>
      <c r="K542" s="472" t="n"/>
      <c r="L542" s="472" t="n"/>
      <c r="M542" s="472" t="n"/>
      <c r="N542" s="472" t="n"/>
      <c r="O542" s="472" t="n"/>
      <c r="P542" s="472" t="n"/>
      <c r="Q542" s="472" t="n"/>
      <c r="R542" s="472" t="n"/>
      <c r="S542" s="285" t="n"/>
      <c r="T542" s="284" t="n"/>
      <c r="U542" s="284" t="n"/>
      <c r="V542" s="285" t="n"/>
      <c r="W542" s="285" t="n"/>
      <c r="X542" s="285" t="n"/>
      <c r="Y542" s="285" t="n"/>
      <c r="Z542" s="285" t="n"/>
      <c r="AA542" s="285" t="n"/>
      <c r="AB542" s="285" t="n"/>
    </row>
    <row r="543" ht="15.75" customHeight="1" s="398">
      <c r="A543" s="284" t="n"/>
      <c r="B543" s="285" t="n"/>
      <c r="C543" s="368" t="n"/>
      <c r="D543" s="336" t="n"/>
      <c r="E543" s="284" t="n"/>
      <c r="F543" s="472" t="n"/>
      <c r="G543" s="472" t="n"/>
      <c r="H543" s="472" t="n"/>
      <c r="I543" s="472" t="n"/>
      <c r="J543" s="472" t="n"/>
      <c r="K543" s="472" t="n"/>
      <c r="L543" s="472" t="n"/>
      <c r="M543" s="472" t="n"/>
      <c r="N543" s="472" t="n"/>
      <c r="O543" s="472" t="n"/>
      <c r="P543" s="472" t="n"/>
      <c r="Q543" s="472" t="n"/>
      <c r="R543" s="472" t="n"/>
      <c r="S543" s="285" t="n"/>
      <c r="T543" s="284" t="n"/>
      <c r="U543" s="284" t="n"/>
      <c r="V543" s="285" t="n"/>
      <c r="W543" s="285" t="n"/>
      <c r="X543" s="285" t="n"/>
      <c r="Y543" s="285" t="n"/>
      <c r="Z543" s="285" t="n"/>
      <c r="AA543" s="285" t="n"/>
      <c r="AB543" s="285" t="n"/>
    </row>
    <row r="544" ht="15.75" customHeight="1" s="398">
      <c r="A544" s="284" t="n"/>
      <c r="B544" s="285" t="n"/>
      <c r="C544" s="368" t="n"/>
      <c r="D544" s="336" t="n"/>
      <c r="E544" s="284" t="n"/>
      <c r="F544" s="472" t="n"/>
      <c r="G544" s="472" t="n"/>
      <c r="H544" s="472" t="n"/>
      <c r="I544" s="472" t="n"/>
      <c r="J544" s="472" t="n"/>
      <c r="K544" s="472" t="n"/>
      <c r="L544" s="472" t="n"/>
      <c r="M544" s="472" t="n"/>
      <c r="N544" s="472" t="n"/>
      <c r="O544" s="472" t="n"/>
      <c r="P544" s="472" t="n"/>
      <c r="Q544" s="472" t="n"/>
      <c r="R544" s="472" t="n"/>
      <c r="S544" s="285" t="n"/>
      <c r="T544" s="284" t="n"/>
      <c r="U544" s="284" t="n"/>
      <c r="V544" s="285" t="n"/>
      <c r="W544" s="285" t="n"/>
      <c r="X544" s="285" t="n"/>
      <c r="Y544" s="285" t="n"/>
      <c r="Z544" s="285" t="n"/>
      <c r="AA544" s="285" t="n"/>
      <c r="AB544" s="285" t="n"/>
    </row>
    <row r="545" ht="15.75" customHeight="1" s="398">
      <c r="A545" s="284" t="n"/>
      <c r="B545" s="285" t="n"/>
      <c r="C545" s="368" t="n"/>
      <c r="D545" s="336" t="n"/>
      <c r="E545" s="284" t="n"/>
      <c r="F545" s="472" t="n"/>
      <c r="G545" s="472" t="n"/>
      <c r="H545" s="472" t="n"/>
      <c r="I545" s="472" t="n"/>
      <c r="J545" s="472" t="n"/>
      <c r="K545" s="472" t="n"/>
      <c r="L545" s="472" t="n"/>
      <c r="M545" s="472" t="n"/>
      <c r="N545" s="472" t="n"/>
      <c r="O545" s="472" t="n"/>
      <c r="P545" s="472" t="n"/>
      <c r="Q545" s="472" t="n"/>
      <c r="R545" s="472" t="n"/>
      <c r="S545" s="285" t="n"/>
      <c r="T545" s="284" t="n"/>
      <c r="U545" s="284" t="n"/>
      <c r="V545" s="285" t="n"/>
      <c r="W545" s="285" t="n"/>
      <c r="X545" s="285" t="n"/>
      <c r="Y545" s="285" t="n"/>
      <c r="Z545" s="285" t="n"/>
      <c r="AA545" s="285" t="n"/>
      <c r="AB545" s="285" t="n"/>
    </row>
    <row r="546" ht="15.75" customHeight="1" s="398">
      <c r="A546" s="284" t="n"/>
      <c r="B546" s="285" t="n"/>
      <c r="C546" s="368" t="n"/>
      <c r="D546" s="336" t="n"/>
      <c r="E546" s="284" t="n"/>
      <c r="F546" s="472" t="n"/>
      <c r="G546" s="472" t="n"/>
      <c r="H546" s="472" t="n"/>
      <c r="I546" s="472" t="n"/>
      <c r="J546" s="472" t="n"/>
      <c r="K546" s="472" t="n"/>
      <c r="L546" s="472" t="n"/>
      <c r="M546" s="472" t="n"/>
      <c r="N546" s="472" t="n"/>
      <c r="O546" s="472" t="n"/>
      <c r="P546" s="472" t="n"/>
      <c r="Q546" s="472" t="n"/>
      <c r="R546" s="472" t="n"/>
      <c r="S546" s="285" t="n"/>
      <c r="T546" s="284" t="n"/>
      <c r="U546" s="284" t="n"/>
      <c r="V546" s="285" t="n"/>
      <c r="W546" s="285" t="n"/>
      <c r="X546" s="285" t="n"/>
      <c r="Y546" s="285" t="n"/>
      <c r="Z546" s="285" t="n"/>
      <c r="AA546" s="285" t="n"/>
      <c r="AB546" s="285" t="n"/>
    </row>
    <row r="547" ht="15.75" customHeight="1" s="398">
      <c r="A547" s="284" t="n"/>
      <c r="B547" s="285" t="n"/>
      <c r="C547" s="368" t="n"/>
      <c r="D547" s="336" t="n"/>
      <c r="E547" s="284" t="n"/>
      <c r="F547" s="472" t="n"/>
      <c r="G547" s="472" t="n"/>
      <c r="H547" s="472" t="n"/>
      <c r="I547" s="472" t="n"/>
      <c r="J547" s="472" t="n"/>
      <c r="K547" s="472" t="n"/>
      <c r="L547" s="472" t="n"/>
      <c r="M547" s="472" t="n"/>
      <c r="N547" s="472" t="n"/>
      <c r="O547" s="472" t="n"/>
      <c r="P547" s="472" t="n"/>
      <c r="Q547" s="472" t="n"/>
      <c r="R547" s="472" t="n"/>
      <c r="S547" s="285" t="n"/>
      <c r="T547" s="284" t="n"/>
      <c r="U547" s="284" t="n"/>
      <c r="V547" s="285" t="n"/>
      <c r="W547" s="285" t="n"/>
      <c r="X547" s="285" t="n"/>
      <c r="Y547" s="285" t="n"/>
      <c r="Z547" s="285" t="n"/>
      <c r="AA547" s="285" t="n"/>
      <c r="AB547" s="285" t="n"/>
    </row>
    <row r="548" ht="15.75" customHeight="1" s="398">
      <c r="A548" s="284" t="n"/>
      <c r="B548" s="285" t="n"/>
      <c r="C548" s="368" t="n"/>
      <c r="D548" s="336" t="n"/>
      <c r="E548" s="284" t="n"/>
      <c r="F548" s="472" t="n"/>
      <c r="G548" s="472" t="n"/>
      <c r="H548" s="472" t="n"/>
      <c r="I548" s="472" t="n"/>
      <c r="J548" s="472" t="n"/>
      <c r="K548" s="472" t="n"/>
      <c r="L548" s="472" t="n"/>
      <c r="M548" s="472" t="n"/>
      <c r="N548" s="472" t="n"/>
      <c r="O548" s="472" t="n"/>
      <c r="P548" s="472" t="n"/>
      <c r="Q548" s="472" t="n"/>
      <c r="R548" s="472" t="n"/>
      <c r="S548" s="285" t="n"/>
      <c r="T548" s="284" t="n"/>
      <c r="U548" s="284" t="n"/>
      <c r="V548" s="285" t="n"/>
      <c r="W548" s="285" t="n"/>
      <c r="X548" s="285" t="n"/>
      <c r="Y548" s="285" t="n"/>
      <c r="Z548" s="285" t="n"/>
      <c r="AA548" s="285" t="n"/>
      <c r="AB548" s="285" t="n"/>
    </row>
    <row r="549" ht="15.75" customHeight="1" s="398">
      <c r="A549" s="284" t="n"/>
      <c r="B549" s="285" t="n"/>
      <c r="C549" s="368" t="n"/>
      <c r="D549" s="336" t="n"/>
      <c r="E549" s="284" t="n"/>
      <c r="F549" s="472" t="n"/>
      <c r="G549" s="472" t="n"/>
      <c r="H549" s="472" t="n"/>
      <c r="I549" s="472" t="n"/>
      <c r="J549" s="472" t="n"/>
      <c r="K549" s="472" t="n"/>
      <c r="L549" s="472" t="n"/>
      <c r="M549" s="472" t="n"/>
      <c r="N549" s="472" t="n"/>
      <c r="O549" s="472" t="n"/>
      <c r="P549" s="472" t="n"/>
      <c r="Q549" s="472" t="n"/>
      <c r="R549" s="472" t="n"/>
      <c r="S549" s="285" t="n"/>
      <c r="T549" s="284" t="n"/>
      <c r="U549" s="284" t="n"/>
      <c r="V549" s="285" t="n"/>
      <c r="W549" s="285" t="n"/>
      <c r="X549" s="285" t="n"/>
      <c r="Y549" s="285" t="n"/>
      <c r="Z549" s="285" t="n"/>
      <c r="AA549" s="285" t="n"/>
      <c r="AB549" s="285" t="n"/>
    </row>
    <row r="550" ht="15.75" customHeight="1" s="398">
      <c r="A550" s="284" t="n"/>
      <c r="B550" s="285" t="n"/>
      <c r="C550" s="368" t="n"/>
      <c r="D550" s="336" t="n"/>
      <c r="E550" s="284" t="n"/>
      <c r="F550" s="472" t="n"/>
      <c r="G550" s="472" t="n"/>
      <c r="H550" s="472" t="n"/>
      <c r="I550" s="472" t="n"/>
      <c r="J550" s="472" t="n"/>
      <c r="K550" s="472" t="n"/>
      <c r="L550" s="472" t="n"/>
      <c r="M550" s="472" t="n"/>
      <c r="N550" s="472" t="n"/>
      <c r="O550" s="472" t="n"/>
      <c r="P550" s="472" t="n"/>
      <c r="Q550" s="472" t="n"/>
      <c r="R550" s="472" t="n"/>
      <c r="S550" s="285" t="n"/>
      <c r="T550" s="284" t="n"/>
      <c r="U550" s="284" t="n"/>
      <c r="V550" s="285" t="n"/>
      <c r="W550" s="285" t="n"/>
      <c r="X550" s="285" t="n"/>
      <c r="Y550" s="285" t="n"/>
      <c r="Z550" s="285" t="n"/>
      <c r="AA550" s="285" t="n"/>
      <c r="AB550" s="285" t="n"/>
    </row>
    <row r="551" ht="15.75" customHeight="1" s="398">
      <c r="A551" s="284" t="n"/>
      <c r="B551" s="285" t="n"/>
      <c r="C551" s="368" t="n"/>
      <c r="D551" s="336" t="n"/>
      <c r="E551" s="284" t="n"/>
      <c r="F551" s="472" t="n"/>
      <c r="G551" s="472" t="n"/>
      <c r="H551" s="472" t="n"/>
      <c r="I551" s="472" t="n"/>
      <c r="J551" s="472" t="n"/>
      <c r="K551" s="472" t="n"/>
      <c r="L551" s="472" t="n"/>
      <c r="M551" s="472" t="n"/>
      <c r="N551" s="472" t="n"/>
      <c r="O551" s="472" t="n"/>
      <c r="P551" s="472" t="n"/>
      <c r="Q551" s="472" t="n"/>
      <c r="R551" s="472" t="n"/>
      <c r="S551" s="285" t="n"/>
      <c r="T551" s="284" t="n"/>
      <c r="U551" s="284" t="n"/>
      <c r="V551" s="285" t="n"/>
      <c r="W551" s="285" t="n"/>
      <c r="X551" s="285" t="n"/>
      <c r="Y551" s="285" t="n"/>
      <c r="Z551" s="285" t="n"/>
      <c r="AA551" s="285" t="n"/>
      <c r="AB551" s="285" t="n"/>
    </row>
    <row r="552" ht="15.75" customHeight="1" s="398">
      <c r="A552" s="284" t="n"/>
      <c r="B552" s="285" t="n"/>
      <c r="C552" s="368" t="n"/>
      <c r="D552" s="336" t="n"/>
      <c r="E552" s="284" t="n"/>
      <c r="F552" s="472" t="n"/>
      <c r="G552" s="472" t="n"/>
      <c r="H552" s="472" t="n"/>
      <c r="I552" s="472" t="n"/>
      <c r="J552" s="472" t="n"/>
      <c r="K552" s="472" t="n"/>
      <c r="L552" s="472" t="n"/>
      <c r="M552" s="472" t="n"/>
      <c r="N552" s="472" t="n"/>
      <c r="O552" s="472" t="n"/>
      <c r="P552" s="472" t="n"/>
      <c r="Q552" s="472" t="n"/>
      <c r="R552" s="472" t="n"/>
      <c r="S552" s="285" t="n"/>
      <c r="T552" s="284" t="n"/>
      <c r="U552" s="284" t="n"/>
      <c r="V552" s="285" t="n"/>
      <c r="W552" s="285" t="n"/>
      <c r="X552" s="285" t="n"/>
      <c r="Y552" s="285" t="n"/>
      <c r="Z552" s="285" t="n"/>
      <c r="AA552" s="285" t="n"/>
      <c r="AB552" s="285" t="n"/>
    </row>
    <row r="553" ht="15.75" customHeight="1" s="398">
      <c r="A553" s="284" t="n"/>
      <c r="B553" s="285" t="n"/>
      <c r="C553" s="368" t="n"/>
      <c r="D553" s="336" t="n"/>
      <c r="E553" s="284" t="n"/>
      <c r="F553" s="472" t="n"/>
      <c r="G553" s="472" t="n"/>
      <c r="H553" s="472" t="n"/>
      <c r="I553" s="472" t="n"/>
      <c r="J553" s="472" t="n"/>
      <c r="K553" s="472" t="n"/>
      <c r="L553" s="472" t="n"/>
      <c r="M553" s="472" t="n"/>
      <c r="N553" s="472" t="n"/>
      <c r="O553" s="472" t="n"/>
      <c r="P553" s="472" t="n"/>
      <c r="Q553" s="472" t="n"/>
      <c r="R553" s="472" t="n"/>
      <c r="S553" s="285" t="n"/>
      <c r="T553" s="284" t="n"/>
      <c r="U553" s="284" t="n"/>
      <c r="V553" s="285" t="n"/>
      <c r="W553" s="285" t="n"/>
      <c r="X553" s="285" t="n"/>
      <c r="Y553" s="285" t="n"/>
      <c r="Z553" s="285" t="n"/>
      <c r="AA553" s="285" t="n"/>
      <c r="AB553" s="285" t="n"/>
    </row>
    <row r="554" ht="15.75" customHeight="1" s="398">
      <c r="A554" s="284" t="n"/>
      <c r="B554" s="285" t="n"/>
      <c r="C554" s="368" t="n"/>
      <c r="D554" s="336" t="n"/>
      <c r="E554" s="284" t="n"/>
      <c r="F554" s="472" t="n"/>
      <c r="G554" s="472" t="n"/>
      <c r="H554" s="472" t="n"/>
      <c r="I554" s="472" t="n"/>
      <c r="J554" s="472" t="n"/>
      <c r="K554" s="472" t="n"/>
      <c r="L554" s="472" t="n"/>
      <c r="M554" s="472" t="n"/>
      <c r="N554" s="472" t="n"/>
      <c r="O554" s="472" t="n"/>
      <c r="P554" s="472" t="n"/>
      <c r="Q554" s="472" t="n"/>
      <c r="R554" s="472" t="n"/>
      <c r="S554" s="285" t="n"/>
      <c r="T554" s="284" t="n"/>
      <c r="U554" s="284" t="n"/>
      <c r="V554" s="285" t="n"/>
      <c r="W554" s="285" t="n"/>
      <c r="X554" s="285" t="n"/>
      <c r="Y554" s="285" t="n"/>
      <c r="Z554" s="285" t="n"/>
      <c r="AA554" s="285" t="n"/>
      <c r="AB554" s="285" t="n"/>
    </row>
    <row r="555" ht="15.75" customHeight="1" s="398">
      <c r="A555" s="284" t="n"/>
      <c r="B555" s="285" t="n"/>
      <c r="C555" s="368" t="n"/>
      <c r="D555" s="336" t="n"/>
      <c r="E555" s="284" t="n"/>
      <c r="F555" s="472" t="n"/>
      <c r="G555" s="472" t="n"/>
      <c r="H555" s="472" t="n"/>
      <c r="I555" s="472" t="n"/>
      <c r="J555" s="472" t="n"/>
      <c r="K555" s="472" t="n"/>
      <c r="L555" s="472" t="n"/>
      <c r="M555" s="472" t="n"/>
      <c r="N555" s="472" t="n"/>
      <c r="O555" s="472" t="n"/>
      <c r="P555" s="472" t="n"/>
      <c r="Q555" s="472" t="n"/>
      <c r="R555" s="472" t="n"/>
      <c r="S555" s="285" t="n"/>
      <c r="T555" s="284" t="n"/>
      <c r="U555" s="284" t="n"/>
      <c r="V555" s="285" t="n"/>
      <c r="W555" s="285" t="n"/>
      <c r="X555" s="285" t="n"/>
      <c r="Y555" s="285" t="n"/>
      <c r="Z555" s="285" t="n"/>
      <c r="AA555" s="285" t="n"/>
      <c r="AB555" s="285" t="n"/>
    </row>
    <row r="556" ht="15.75" customHeight="1" s="398">
      <c r="A556" s="284" t="n"/>
      <c r="B556" s="285" t="n"/>
      <c r="C556" s="368" t="n"/>
      <c r="D556" s="336" t="n"/>
      <c r="E556" s="284" t="n"/>
      <c r="F556" s="472" t="n"/>
      <c r="G556" s="472" t="n"/>
      <c r="H556" s="472" t="n"/>
      <c r="I556" s="472" t="n"/>
      <c r="J556" s="472" t="n"/>
      <c r="K556" s="472" t="n"/>
      <c r="L556" s="472" t="n"/>
      <c r="M556" s="472" t="n"/>
      <c r="N556" s="472" t="n"/>
      <c r="O556" s="472" t="n"/>
      <c r="P556" s="472" t="n"/>
      <c r="Q556" s="472" t="n"/>
      <c r="R556" s="472" t="n"/>
      <c r="S556" s="285" t="n"/>
      <c r="T556" s="284" t="n"/>
      <c r="U556" s="284" t="n"/>
      <c r="V556" s="285" t="n"/>
      <c r="W556" s="285" t="n"/>
      <c r="X556" s="285" t="n"/>
      <c r="Y556" s="285" t="n"/>
      <c r="Z556" s="285" t="n"/>
      <c r="AA556" s="285" t="n"/>
      <c r="AB556" s="285" t="n"/>
    </row>
    <row r="557" ht="15.75" customHeight="1" s="398">
      <c r="A557" s="284" t="n"/>
      <c r="B557" s="285" t="n"/>
      <c r="C557" s="368" t="n"/>
      <c r="D557" s="336" t="n"/>
      <c r="E557" s="284" t="n"/>
      <c r="F557" s="472" t="n"/>
      <c r="G557" s="472" t="n"/>
      <c r="H557" s="472" t="n"/>
      <c r="I557" s="472" t="n"/>
      <c r="J557" s="472" t="n"/>
      <c r="K557" s="472" t="n"/>
      <c r="L557" s="472" t="n"/>
      <c r="M557" s="472" t="n"/>
      <c r="N557" s="472" t="n"/>
      <c r="O557" s="472" t="n"/>
      <c r="P557" s="472" t="n"/>
      <c r="Q557" s="472" t="n"/>
      <c r="R557" s="472" t="n"/>
      <c r="S557" s="285" t="n"/>
      <c r="T557" s="284" t="n"/>
      <c r="U557" s="284" t="n"/>
      <c r="V557" s="285" t="n"/>
      <c r="W557" s="285" t="n"/>
      <c r="X557" s="285" t="n"/>
      <c r="Y557" s="285" t="n"/>
      <c r="Z557" s="285" t="n"/>
      <c r="AA557" s="285" t="n"/>
      <c r="AB557" s="285" t="n"/>
    </row>
    <row r="558" ht="15.75" customHeight="1" s="398">
      <c r="A558" s="284" t="n"/>
      <c r="B558" s="285" t="n"/>
      <c r="C558" s="368" t="n"/>
      <c r="D558" s="336" t="n"/>
      <c r="E558" s="284" t="n"/>
      <c r="F558" s="472" t="n"/>
      <c r="G558" s="472" t="n"/>
      <c r="H558" s="472" t="n"/>
      <c r="I558" s="472" t="n"/>
      <c r="J558" s="472" t="n"/>
      <c r="K558" s="472" t="n"/>
      <c r="L558" s="472" t="n"/>
      <c r="M558" s="472" t="n"/>
      <c r="N558" s="472" t="n"/>
      <c r="O558" s="472" t="n"/>
      <c r="P558" s="472" t="n"/>
      <c r="Q558" s="472" t="n"/>
      <c r="R558" s="472" t="n"/>
      <c r="S558" s="285" t="n"/>
      <c r="T558" s="284" t="n"/>
      <c r="U558" s="284" t="n"/>
      <c r="V558" s="285" t="n"/>
      <c r="W558" s="285" t="n"/>
      <c r="X558" s="285" t="n"/>
      <c r="Y558" s="285" t="n"/>
      <c r="Z558" s="285" t="n"/>
      <c r="AA558" s="285" t="n"/>
      <c r="AB558" s="285" t="n"/>
    </row>
    <row r="559" ht="15.75" customHeight="1" s="398">
      <c r="A559" s="284" t="n"/>
      <c r="B559" s="285" t="n"/>
      <c r="C559" s="368" t="n"/>
      <c r="D559" s="336" t="n"/>
      <c r="E559" s="284" t="n"/>
      <c r="F559" s="472" t="n"/>
      <c r="G559" s="472" t="n"/>
      <c r="H559" s="472" t="n"/>
      <c r="I559" s="472" t="n"/>
      <c r="J559" s="472" t="n"/>
      <c r="K559" s="472" t="n"/>
      <c r="L559" s="472" t="n"/>
      <c r="M559" s="472" t="n"/>
      <c r="N559" s="472" t="n"/>
      <c r="O559" s="472" t="n"/>
      <c r="P559" s="472" t="n"/>
      <c r="Q559" s="472" t="n"/>
      <c r="R559" s="472" t="n"/>
      <c r="S559" s="285" t="n"/>
      <c r="T559" s="284" t="n"/>
      <c r="U559" s="284" t="n"/>
      <c r="V559" s="285" t="n"/>
      <c r="W559" s="285" t="n"/>
      <c r="X559" s="285" t="n"/>
      <c r="Y559" s="285" t="n"/>
      <c r="Z559" s="285" t="n"/>
      <c r="AA559" s="285" t="n"/>
      <c r="AB559" s="285" t="n"/>
    </row>
    <row r="560" ht="15.75" customHeight="1" s="398">
      <c r="A560" s="284" t="n"/>
      <c r="B560" s="285" t="n"/>
      <c r="C560" s="368" t="n"/>
      <c r="D560" s="336" t="n"/>
      <c r="E560" s="284" t="n"/>
      <c r="F560" s="472" t="n"/>
      <c r="G560" s="472" t="n"/>
      <c r="H560" s="472" t="n"/>
      <c r="I560" s="472" t="n"/>
      <c r="J560" s="472" t="n"/>
      <c r="K560" s="472" t="n"/>
      <c r="L560" s="472" t="n"/>
      <c r="M560" s="472" t="n"/>
      <c r="N560" s="472" t="n"/>
      <c r="O560" s="472" t="n"/>
      <c r="P560" s="472" t="n"/>
      <c r="Q560" s="472" t="n"/>
      <c r="R560" s="472" t="n"/>
      <c r="S560" s="285" t="n"/>
      <c r="T560" s="284" t="n"/>
      <c r="U560" s="284" t="n"/>
      <c r="V560" s="285" t="n"/>
      <c r="W560" s="285" t="n"/>
      <c r="X560" s="285" t="n"/>
      <c r="Y560" s="285" t="n"/>
      <c r="Z560" s="285" t="n"/>
      <c r="AA560" s="285" t="n"/>
      <c r="AB560" s="285" t="n"/>
    </row>
    <row r="561" ht="15.75" customHeight="1" s="398">
      <c r="A561" s="284" t="n"/>
      <c r="B561" s="285" t="n"/>
      <c r="C561" s="368" t="n"/>
      <c r="D561" s="336" t="n"/>
      <c r="E561" s="284" t="n"/>
      <c r="F561" s="472" t="n"/>
      <c r="G561" s="472" t="n"/>
      <c r="H561" s="472" t="n"/>
      <c r="I561" s="472" t="n"/>
      <c r="J561" s="472" t="n"/>
      <c r="K561" s="472" t="n"/>
      <c r="L561" s="472" t="n"/>
      <c r="M561" s="472" t="n"/>
      <c r="N561" s="472" t="n"/>
      <c r="O561" s="472" t="n"/>
      <c r="P561" s="472" t="n"/>
      <c r="Q561" s="472" t="n"/>
      <c r="R561" s="472" t="n"/>
      <c r="S561" s="285" t="n"/>
      <c r="T561" s="284" t="n"/>
      <c r="U561" s="284" t="n"/>
      <c r="V561" s="285" t="n"/>
      <c r="W561" s="285" t="n"/>
      <c r="X561" s="285" t="n"/>
      <c r="Y561" s="285" t="n"/>
      <c r="Z561" s="285" t="n"/>
      <c r="AA561" s="285" t="n"/>
      <c r="AB561" s="285" t="n"/>
    </row>
    <row r="562" ht="15.75" customHeight="1" s="398">
      <c r="A562" s="284" t="n"/>
      <c r="B562" s="285" t="n"/>
      <c r="C562" s="368" t="n"/>
      <c r="D562" s="336" t="n"/>
      <c r="E562" s="284" t="n"/>
      <c r="F562" s="472" t="n"/>
      <c r="G562" s="472" t="n"/>
      <c r="H562" s="472" t="n"/>
      <c r="I562" s="472" t="n"/>
      <c r="J562" s="472" t="n"/>
      <c r="K562" s="472" t="n"/>
      <c r="L562" s="472" t="n"/>
      <c r="M562" s="472" t="n"/>
      <c r="N562" s="472" t="n"/>
      <c r="O562" s="472" t="n"/>
      <c r="P562" s="472" t="n"/>
      <c r="Q562" s="472" t="n"/>
      <c r="R562" s="472" t="n"/>
      <c r="S562" s="285" t="n"/>
      <c r="T562" s="284" t="n"/>
      <c r="U562" s="284" t="n"/>
      <c r="V562" s="285" t="n"/>
      <c r="W562" s="285" t="n"/>
      <c r="X562" s="285" t="n"/>
      <c r="Y562" s="285" t="n"/>
      <c r="Z562" s="285" t="n"/>
      <c r="AA562" s="285" t="n"/>
      <c r="AB562" s="285" t="n"/>
    </row>
    <row r="563" ht="15.75" customHeight="1" s="398">
      <c r="A563" s="284" t="n"/>
      <c r="B563" s="285" t="n"/>
      <c r="C563" s="368" t="n"/>
      <c r="D563" s="336" t="n"/>
      <c r="E563" s="284" t="n"/>
      <c r="F563" s="472" t="n"/>
      <c r="G563" s="472" t="n"/>
      <c r="H563" s="472" t="n"/>
      <c r="I563" s="472" t="n"/>
      <c r="J563" s="472" t="n"/>
      <c r="K563" s="472" t="n"/>
      <c r="L563" s="472" t="n"/>
      <c r="M563" s="472" t="n"/>
      <c r="N563" s="472" t="n"/>
      <c r="O563" s="472" t="n"/>
      <c r="P563" s="472" t="n"/>
      <c r="Q563" s="472" t="n"/>
      <c r="R563" s="472" t="n"/>
      <c r="S563" s="285" t="n"/>
      <c r="T563" s="284" t="n"/>
      <c r="U563" s="284" t="n"/>
      <c r="V563" s="285" t="n"/>
      <c r="W563" s="285" t="n"/>
      <c r="X563" s="285" t="n"/>
      <c r="Y563" s="285" t="n"/>
      <c r="Z563" s="285" t="n"/>
      <c r="AA563" s="285" t="n"/>
      <c r="AB563" s="285" t="n"/>
    </row>
    <row r="564" ht="15.75" customHeight="1" s="398">
      <c r="A564" s="284" t="n"/>
      <c r="B564" s="285" t="n"/>
      <c r="C564" s="368" t="n"/>
      <c r="D564" s="336" t="n"/>
      <c r="E564" s="284" t="n"/>
      <c r="F564" s="472" t="n"/>
      <c r="G564" s="472" t="n"/>
      <c r="H564" s="472" t="n"/>
      <c r="I564" s="472" t="n"/>
      <c r="J564" s="472" t="n"/>
      <c r="K564" s="472" t="n"/>
      <c r="L564" s="472" t="n"/>
      <c r="M564" s="472" t="n"/>
      <c r="N564" s="472" t="n"/>
      <c r="O564" s="472" t="n"/>
      <c r="P564" s="472" t="n"/>
      <c r="Q564" s="472" t="n"/>
      <c r="R564" s="472" t="n"/>
      <c r="S564" s="285" t="n"/>
      <c r="T564" s="284" t="n"/>
      <c r="U564" s="284" t="n"/>
      <c r="V564" s="285" t="n"/>
      <c r="W564" s="285" t="n"/>
      <c r="X564" s="285" t="n"/>
      <c r="Y564" s="285" t="n"/>
      <c r="Z564" s="285" t="n"/>
      <c r="AA564" s="285" t="n"/>
      <c r="AB564" s="285" t="n"/>
    </row>
    <row r="565" ht="15.75" customHeight="1" s="398">
      <c r="A565" s="284" t="n"/>
      <c r="B565" s="285" t="n"/>
      <c r="C565" s="368" t="n"/>
      <c r="D565" s="336" t="n"/>
      <c r="E565" s="284" t="n"/>
      <c r="F565" s="472" t="n"/>
      <c r="G565" s="472" t="n"/>
      <c r="H565" s="472" t="n"/>
      <c r="I565" s="472" t="n"/>
      <c r="J565" s="472" t="n"/>
      <c r="K565" s="472" t="n"/>
      <c r="L565" s="472" t="n"/>
      <c r="M565" s="472" t="n"/>
      <c r="N565" s="472" t="n"/>
      <c r="O565" s="472" t="n"/>
      <c r="P565" s="472" t="n"/>
      <c r="Q565" s="472" t="n"/>
      <c r="R565" s="472" t="n"/>
      <c r="S565" s="285" t="n"/>
      <c r="T565" s="284" t="n"/>
      <c r="U565" s="284" t="n"/>
      <c r="V565" s="285" t="n"/>
      <c r="W565" s="285" t="n"/>
      <c r="X565" s="285" t="n"/>
      <c r="Y565" s="285" t="n"/>
      <c r="Z565" s="285" t="n"/>
      <c r="AA565" s="285" t="n"/>
      <c r="AB565" s="285" t="n"/>
    </row>
    <row r="566" ht="15.75" customHeight="1" s="398">
      <c r="A566" s="284" t="n"/>
      <c r="B566" s="285" t="n"/>
      <c r="C566" s="368" t="n"/>
      <c r="D566" s="336" t="n"/>
      <c r="E566" s="284" t="n"/>
      <c r="F566" s="472" t="n"/>
      <c r="G566" s="472" t="n"/>
      <c r="H566" s="472" t="n"/>
      <c r="I566" s="472" t="n"/>
      <c r="J566" s="472" t="n"/>
      <c r="K566" s="472" t="n"/>
      <c r="L566" s="472" t="n"/>
      <c r="M566" s="472" t="n"/>
      <c r="N566" s="472" t="n"/>
      <c r="O566" s="472" t="n"/>
      <c r="P566" s="472" t="n"/>
      <c r="Q566" s="472" t="n"/>
      <c r="R566" s="472" t="n"/>
      <c r="S566" s="285" t="n"/>
      <c r="T566" s="284" t="n"/>
      <c r="U566" s="284" t="n"/>
      <c r="V566" s="285" t="n"/>
      <c r="W566" s="285" t="n"/>
      <c r="X566" s="285" t="n"/>
      <c r="Y566" s="285" t="n"/>
      <c r="Z566" s="285" t="n"/>
      <c r="AA566" s="285" t="n"/>
      <c r="AB566" s="285" t="n"/>
    </row>
    <row r="567" ht="15.75" customHeight="1" s="398">
      <c r="A567" s="284" t="n"/>
      <c r="B567" s="285" t="n"/>
      <c r="C567" s="368" t="n"/>
      <c r="D567" s="336" t="n"/>
      <c r="E567" s="284" t="n"/>
      <c r="F567" s="472" t="n"/>
      <c r="G567" s="472" t="n"/>
      <c r="H567" s="472" t="n"/>
      <c r="I567" s="472" t="n"/>
      <c r="J567" s="472" t="n"/>
      <c r="K567" s="472" t="n"/>
      <c r="L567" s="472" t="n"/>
      <c r="M567" s="472" t="n"/>
      <c r="N567" s="472" t="n"/>
      <c r="O567" s="472" t="n"/>
      <c r="P567" s="472" t="n"/>
      <c r="Q567" s="472" t="n"/>
      <c r="R567" s="472" t="n"/>
      <c r="S567" s="285" t="n"/>
      <c r="T567" s="284" t="n"/>
      <c r="U567" s="284" t="n"/>
      <c r="V567" s="285" t="n"/>
      <c r="W567" s="285" t="n"/>
      <c r="X567" s="285" t="n"/>
      <c r="Y567" s="285" t="n"/>
      <c r="Z567" s="285" t="n"/>
      <c r="AA567" s="285" t="n"/>
      <c r="AB567" s="285" t="n"/>
    </row>
    <row r="568" ht="15.75" customHeight="1" s="398">
      <c r="A568" s="284" t="n"/>
      <c r="B568" s="285" t="n"/>
      <c r="C568" s="368" t="n"/>
      <c r="D568" s="336" t="n"/>
      <c r="E568" s="284" t="n"/>
      <c r="F568" s="472" t="n"/>
      <c r="G568" s="472" t="n"/>
      <c r="H568" s="472" t="n"/>
      <c r="I568" s="472" t="n"/>
      <c r="J568" s="472" t="n"/>
      <c r="K568" s="472" t="n"/>
      <c r="L568" s="472" t="n"/>
      <c r="M568" s="472" t="n"/>
      <c r="N568" s="472" t="n"/>
      <c r="O568" s="472" t="n"/>
      <c r="P568" s="472" t="n"/>
      <c r="Q568" s="472" t="n"/>
      <c r="R568" s="472" t="n"/>
      <c r="S568" s="285" t="n"/>
      <c r="T568" s="284" t="n"/>
      <c r="U568" s="284" t="n"/>
      <c r="V568" s="285" t="n"/>
      <c r="W568" s="285" t="n"/>
      <c r="X568" s="285" t="n"/>
      <c r="Y568" s="285" t="n"/>
      <c r="Z568" s="285" t="n"/>
      <c r="AA568" s="285" t="n"/>
      <c r="AB568" s="285" t="n"/>
    </row>
    <row r="569" ht="15.75" customHeight="1" s="398">
      <c r="A569" s="284" t="n"/>
      <c r="B569" s="285" t="n"/>
      <c r="C569" s="368" t="n"/>
      <c r="D569" s="336" t="n"/>
      <c r="E569" s="284" t="n"/>
      <c r="F569" s="472" t="n"/>
      <c r="G569" s="472" t="n"/>
      <c r="H569" s="472" t="n"/>
      <c r="I569" s="472" t="n"/>
      <c r="J569" s="472" t="n"/>
      <c r="K569" s="472" t="n"/>
      <c r="L569" s="472" t="n"/>
      <c r="M569" s="472" t="n"/>
      <c r="N569" s="472" t="n"/>
      <c r="O569" s="472" t="n"/>
      <c r="P569" s="472" t="n"/>
      <c r="Q569" s="472" t="n"/>
      <c r="R569" s="472" t="n"/>
      <c r="S569" s="285" t="n"/>
      <c r="T569" s="284" t="n"/>
      <c r="U569" s="284" t="n"/>
      <c r="V569" s="285" t="n"/>
      <c r="W569" s="285" t="n"/>
      <c r="X569" s="285" t="n"/>
      <c r="Y569" s="285" t="n"/>
      <c r="Z569" s="285" t="n"/>
      <c r="AA569" s="285" t="n"/>
      <c r="AB569" s="285" t="n"/>
    </row>
    <row r="570" ht="15.75" customHeight="1" s="398">
      <c r="A570" s="284" t="n"/>
      <c r="B570" s="285" t="n"/>
      <c r="C570" s="368" t="n"/>
      <c r="D570" s="336" t="n"/>
      <c r="E570" s="284" t="n"/>
      <c r="F570" s="472" t="n"/>
      <c r="G570" s="472" t="n"/>
      <c r="H570" s="472" t="n"/>
      <c r="I570" s="472" t="n"/>
      <c r="J570" s="472" t="n"/>
      <c r="K570" s="472" t="n"/>
      <c r="L570" s="472" t="n"/>
      <c r="M570" s="472" t="n"/>
      <c r="N570" s="472" t="n"/>
      <c r="O570" s="472" t="n"/>
      <c r="P570" s="472" t="n"/>
      <c r="Q570" s="472" t="n"/>
      <c r="R570" s="472" t="n"/>
      <c r="S570" s="285" t="n"/>
      <c r="T570" s="284" t="n"/>
      <c r="U570" s="284" t="n"/>
      <c r="V570" s="285" t="n"/>
      <c r="W570" s="285" t="n"/>
      <c r="X570" s="285" t="n"/>
      <c r="Y570" s="285" t="n"/>
      <c r="Z570" s="285" t="n"/>
      <c r="AA570" s="285" t="n"/>
      <c r="AB570" s="285" t="n"/>
    </row>
    <row r="571" ht="15.75" customHeight="1" s="398">
      <c r="A571" s="284" t="n"/>
      <c r="B571" s="285" t="n"/>
      <c r="C571" s="368" t="n"/>
      <c r="D571" s="336" t="n"/>
      <c r="E571" s="284" t="n"/>
      <c r="F571" s="472" t="n"/>
      <c r="G571" s="472" t="n"/>
      <c r="H571" s="472" t="n"/>
      <c r="I571" s="472" t="n"/>
      <c r="J571" s="472" t="n"/>
      <c r="K571" s="472" t="n"/>
      <c r="L571" s="472" t="n"/>
      <c r="M571" s="472" t="n"/>
      <c r="N571" s="472" t="n"/>
      <c r="O571" s="472" t="n"/>
      <c r="P571" s="472" t="n"/>
      <c r="Q571" s="472" t="n"/>
      <c r="R571" s="472" t="n"/>
      <c r="S571" s="285" t="n"/>
      <c r="T571" s="284" t="n"/>
      <c r="U571" s="284" t="n"/>
      <c r="V571" s="285" t="n"/>
      <c r="W571" s="285" t="n"/>
      <c r="X571" s="285" t="n"/>
      <c r="Y571" s="285" t="n"/>
      <c r="Z571" s="285" t="n"/>
      <c r="AA571" s="285" t="n"/>
      <c r="AB571" s="285" t="n"/>
    </row>
    <row r="572" ht="15.75" customHeight="1" s="398">
      <c r="A572" s="284" t="n"/>
      <c r="B572" s="285" t="n"/>
      <c r="C572" s="368" t="n"/>
      <c r="D572" s="336" t="n"/>
      <c r="E572" s="284" t="n"/>
      <c r="F572" s="472" t="n"/>
      <c r="G572" s="472" t="n"/>
      <c r="H572" s="472" t="n"/>
      <c r="I572" s="472" t="n"/>
      <c r="J572" s="472" t="n"/>
      <c r="K572" s="472" t="n"/>
      <c r="L572" s="472" t="n"/>
      <c r="M572" s="472" t="n"/>
      <c r="N572" s="472" t="n"/>
      <c r="O572" s="472" t="n"/>
      <c r="P572" s="472" t="n"/>
      <c r="Q572" s="472" t="n"/>
      <c r="R572" s="472" t="n"/>
      <c r="S572" s="285" t="n"/>
      <c r="T572" s="284" t="n"/>
      <c r="U572" s="284" t="n"/>
      <c r="V572" s="285" t="n"/>
      <c r="W572" s="285" t="n"/>
      <c r="X572" s="285" t="n"/>
      <c r="Y572" s="285" t="n"/>
      <c r="Z572" s="285" t="n"/>
      <c r="AA572" s="285" t="n"/>
      <c r="AB572" s="285" t="n"/>
    </row>
    <row r="573" ht="15.75" customHeight="1" s="398">
      <c r="A573" s="284" t="n"/>
      <c r="B573" s="285" t="n"/>
      <c r="C573" s="368" t="n"/>
      <c r="D573" s="336" t="n"/>
      <c r="E573" s="284" t="n"/>
      <c r="F573" s="472" t="n"/>
      <c r="G573" s="472" t="n"/>
      <c r="H573" s="472" t="n"/>
      <c r="I573" s="472" t="n"/>
      <c r="J573" s="472" t="n"/>
      <c r="K573" s="472" t="n"/>
      <c r="L573" s="472" t="n"/>
      <c r="M573" s="472" t="n"/>
      <c r="N573" s="472" t="n"/>
      <c r="O573" s="472" t="n"/>
      <c r="P573" s="472" t="n"/>
      <c r="Q573" s="472" t="n"/>
      <c r="R573" s="472" t="n"/>
      <c r="S573" s="285" t="n"/>
      <c r="T573" s="284" t="n"/>
      <c r="U573" s="284" t="n"/>
      <c r="V573" s="285" t="n"/>
      <c r="W573" s="285" t="n"/>
      <c r="X573" s="285" t="n"/>
      <c r="Y573" s="285" t="n"/>
      <c r="Z573" s="285" t="n"/>
      <c r="AA573" s="285" t="n"/>
      <c r="AB573" s="285" t="n"/>
    </row>
    <row r="574" ht="15.75" customHeight="1" s="398">
      <c r="A574" s="284" t="n"/>
      <c r="B574" s="285" t="n"/>
      <c r="C574" s="368" t="n"/>
      <c r="D574" s="336" t="n"/>
      <c r="E574" s="284" t="n"/>
      <c r="F574" s="472" t="n"/>
      <c r="G574" s="472" t="n"/>
      <c r="H574" s="472" t="n"/>
      <c r="I574" s="472" t="n"/>
      <c r="J574" s="472" t="n"/>
      <c r="K574" s="472" t="n"/>
      <c r="L574" s="472" t="n"/>
      <c r="M574" s="472" t="n"/>
      <c r="N574" s="472" t="n"/>
      <c r="O574" s="472" t="n"/>
      <c r="P574" s="472" t="n"/>
      <c r="Q574" s="472" t="n"/>
      <c r="R574" s="472" t="n"/>
      <c r="S574" s="285" t="n"/>
      <c r="T574" s="284" t="n"/>
      <c r="U574" s="284" t="n"/>
      <c r="V574" s="285" t="n"/>
      <c r="W574" s="285" t="n"/>
      <c r="X574" s="285" t="n"/>
      <c r="Y574" s="285" t="n"/>
      <c r="Z574" s="285" t="n"/>
      <c r="AA574" s="285" t="n"/>
      <c r="AB574" s="285" t="n"/>
    </row>
    <row r="575" ht="15.75" customHeight="1" s="398">
      <c r="A575" s="284" t="n"/>
      <c r="B575" s="285" t="n"/>
      <c r="C575" s="368" t="n"/>
      <c r="D575" s="336" t="n"/>
      <c r="E575" s="284" t="n"/>
      <c r="F575" s="472" t="n"/>
      <c r="G575" s="472" t="n"/>
      <c r="H575" s="472" t="n"/>
      <c r="I575" s="472" t="n"/>
      <c r="J575" s="472" t="n"/>
      <c r="K575" s="472" t="n"/>
      <c r="L575" s="472" t="n"/>
      <c r="M575" s="472" t="n"/>
      <c r="N575" s="472" t="n"/>
      <c r="O575" s="472" t="n"/>
      <c r="P575" s="472" t="n"/>
      <c r="Q575" s="472" t="n"/>
      <c r="R575" s="472" t="n"/>
      <c r="S575" s="285" t="n"/>
      <c r="T575" s="284" t="n"/>
      <c r="U575" s="284" t="n"/>
      <c r="V575" s="285" t="n"/>
      <c r="W575" s="285" t="n"/>
      <c r="X575" s="285" t="n"/>
      <c r="Y575" s="285" t="n"/>
      <c r="Z575" s="285" t="n"/>
      <c r="AA575" s="285" t="n"/>
      <c r="AB575" s="285" t="n"/>
    </row>
    <row r="576" ht="15.75" customHeight="1" s="398">
      <c r="A576" s="284" t="n"/>
      <c r="B576" s="285" t="n"/>
      <c r="C576" s="368" t="n"/>
      <c r="D576" s="336" t="n"/>
      <c r="E576" s="284" t="n"/>
      <c r="F576" s="472" t="n"/>
      <c r="G576" s="472" t="n"/>
      <c r="H576" s="472" t="n"/>
      <c r="I576" s="472" t="n"/>
      <c r="J576" s="472" t="n"/>
      <c r="K576" s="472" t="n"/>
      <c r="L576" s="472" t="n"/>
      <c r="M576" s="472" t="n"/>
      <c r="N576" s="472" t="n"/>
      <c r="O576" s="472" t="n"/>
      <c r="P576" s="472" t="n"/>
      <c r="Q576" s="472" t="n"/>
      <c r="R576" s="472" t="n"/>
      <c r="S576" s="285" t="n"/>
      <c r="T576" s="284" t="n"/>
      <c r="U576" s="284" t="n"/>
      <c r="V576" s="285" t="n"/>
      <c r="W576" s="285" t="n"/>
      <c r="X576" s="285" t="n"/>
      <c r="Y576" s="285" t="n"/>
      <c r="Z576" s="285" t="n"/>
      <c r="AA576" s="285" t="n"/>
      <c r="AB576" s="285" t="n"/>
    </row>
    <row r="577" ht="15.75" customHeight="1" s="398">
      <c r="A577" s="284" t="n"/>
      <c r="B577" s="285" t="n"/>
      <c r="C577" s="368" t="n"/>
      <c r="D577" s="336" t="n"/>
      <c r="E577" s="284" t="n"/>
      <c r="F577" s="472" t="n"/>
      <c r="G577" s="472" t="n"/>
      <c r="H577" s="472" t="n"/>
      <c r="I577" s="472" t="n"/>
      <c r="J577" s="472" t="n"/>
      <c r="K577" s="472" t="n"/>
      <c r="L577" s="472" t="n"/>
      <c r="M577" s="472" t="n"/>
      <c r="N577" s="472" t="n"/>
      <c r="O577" s="472" t="n"/>
      <c r="P577" s="472" t="n"/>
      <c r="Q577" s="472" t="n"/>
      <c r="R577" s="472" t="n"/>
      <c r="S577" s="285" t="n"/>
      <c r="T577" s="284" t="n"/>
      <c r="U577" s="284" t="n"/>
      <c r="V577" s="285" t="n"/>
      <c r="W577" s="285" t="n"/>
      <c r="X577" s="285" t="n"/>
      <c r="Y577" s="285" t="n"/>
      <c r="Z577" s="285" t="n"/>
      <c r="AA577" s="285" t="n"/>
      <c r="AB577" s="285" t="n"/>
    </row>
    <row r="578" ht="15.75" customHeight="1" s="398">
      <c r="A578" s="284" t="n"/>
      <c r="B578" s="285" t="n"/>
      <c r="C578" s="368" t="n"/>
      <c r="D578" s="336" t="n"/>
      <c r="E578" s="284" t="n"/>
      <c r="F578" s="472" t="n"/>
      <c r="G578" s="472" t="n"/>
      <c r="H578" s="472" t="n"/>
      <c r="I578" s="472" t="n"/>
      <c r="J578" s="472" t="n"/>
      <c r="K578" s="472" t="n"/>
      <c r="L578" s="472" t="n"/>
      <c r="M578" s="472" t="n"/>
      <c r="N578" s="472" t="n"/>
      <c r="O578" s="472" t="n"/>
      <c r="P578" s="472" t="n"/>
      <c r="Q578" s="472" t="n"/>
      <c r="R578" s="472" t="n"/>
      <c r="S578" s="285" t="n"/>
      <c r="T578" s="284" t="n"/>
      <c r="U578" s="284" t="n"/>
      <c r="V578" s="285" t="n"/>
      <c r="W578" s="285" t="n"/>
      <c r="X578" s="285" t="n"/>
      <c r="Y578" s="285" t="n"/>
      <c r="Z578" s="285" t="n"/>
      <c r="AA578" s="285" t="n"/>
      <c r="AB578" s="285" t="n"/>
    </row>
    <row r="579" ht="15.75" customHeight="1" s="398">
      <c r="A579" s="284" t="n"/>
      <c r="B579" s="285" t="n"/>
      <c r="C579" s="368" t="n"/>
      <c r="D579" s="336" t="n"/>
      <c r="E579" s="284" t="n"/>
      <c r="F579" s="472" t="n"/>
      <c r="G579" s="472" t="n"/>
      <c r="H579" s="472" t="n"/>
      <c r="I579" s="472" t="n"/>
      <c r="J579" s="472" t="n"/>
      <c r="K579" s="472" t="n"/>
      <c r="L579" s="472" t="n"/>
      <c r="M579" s="472" t="n"/>
      <c r="N579" s="472" t="n"/>
      <c r="O579" s="472" t="n"/>
      <c r="P579" s="472" t="n"/>
      <c r="Q579" s="472" t="n"/>
      <c r="R579" s="472" t="n"/>
      <c r="S579" s="285" t="n"/>
      <c r="T579" s="284" t="n"/>
      <c r="U579" s="284" t="n"/>
      <c r="V579" s="285" t="n"/>
      <c r="W579" s="285" t="n"/>
      <c r="X579" s="285" t="n"/>
      <c r="Y579" s="285" t="n"/>
      <c r="Z579" s="285" t="n"/>
      <c r="AA579" s="285" t="n"/>
      <c r="AB579" s="285" t="n"/>
    </row>
    <row r="580" ht="15.75" customHeight="1" s="398">
      <c r="A580" s="284" t="n"/>
      <c r="B580" s="285" t="n"/>
      <c r="C580" s="368" t="n"/>
      <c r="D580" s="336" t="n"/>
      <c r="E580" s="284" t="n"/>
      <c r="F580" s="472" t="n"/>
      <c r="G580" s="472" t="n"/>
      <c r="H580" s="472" t="n"/>
      <c r="I580" s="472" t="n"/>
      <c r="J580" s="472" t="n"/>
      <c r="K580" s="472" t="n"/>
      <c r="L580" s="472" t="n"/>
      <c r="M580" s="472" t="n"/>
      <c r="N580" s="472" t="n"/>
      <c r="O580" s="472" t="n"/>
      <c r="P580" s="472" t="n"/>
      <c r="Q580" s="472" t="n"/>
      <c r="R580" s="472" t="n"/>
      <c r="S580" s="285" t="n"/>
      <c r="T580" s="284" t="n"/>
      <c r="U580" s="284" t="n"/>
      <c r="V580" s="285" t="n"/>
      <c r="W580" s="285" t="n"/>
      <c r="X580" s="285" t="n"/>
      <c r="Y580" s="285" t="n"/>
      <c r="Z580" s="285" t="n"/>
      <c r="AA580" s="285" t="n"/>
      <c r="AB580" s="285" t="n"/>
    </row>
    <row r="581" ht="15.75" customHeight="1" s="398">
      <c r="A581" s="284" t="n"/>
      <c r="B581" s="285" t="n"/>
      <c r="C581" s="368" t="n"/>
      <c r="D581" s="336" t="n"/>
      <c r="E581" s="284" t="n"/>
      <c r="F581" s="472" t="n"/>
      <c r="G581" s="472" t="n"/>
      <c r="H581" s="472" t="n"/>
      <c r="I581" s="472" t="n"/>
      <c r="J581" s="472" t="n"/>
      <c r="K581" s="472" t="n"/>
      <c r="L581" s="472" t="n"/>
      <c r="M581" s="472" t="n"/>
      <c r="N581" s="472" t="n"/>
      <c r="O581" s="472" t="n"/>
      <c r="P581" s="472" t="n"/>
      <c r="Q581" s="472" t="n"/>
      <c r="R581" s="472" t="n"/>
      <c r="S581" s="285" t="n"/>
      <c r="T581" s="284" t="n"/>
      <c r="U581" s="284" t="n"/>
      <c r="V581" s="285" t="n"/>
      <c r="W581" s="285" t="n"/>
      <c r="X581" s="285" t="n"/>
      <c r="Y581" s="285" t="n"/>
      <c r="Z581" s="285" t="n"/>
      <c r="AA581" s="285" t="n"/>
      <c r="AB581" s="285" t="n"/>
    </row>
    <row r="582" ht="15.75" customHeight="1" s="398">
      <c r="A582" s="284" t="n"/>
      <c r="B582" s="285" t="n"/>
      <c r="C582" s="368" t="n"/>
      <c r="D582" s="336" t="n"/>
      <c r="E582" s="284" t="n"/>
      <c r="F582" s="472" t="n"/>
      <c r="G582" s="472" t="n"/>
      <c r="H582" s="472" t="n"/>
      <c r="I582" s="472" t="n"/>
      <c r="J582" s="472" t="n"/>
      <c r="K582" s="472" t="n"/>
      <c r="L582" s="472" t="n"/>
      <c r="M582" s="472" t="n"/>
      <c r="N582" s="472" t="n"/>
      <c r="O582" s="472" t="n"/>
      <c r="P582" s="472" t="n"/>
      <c r="Q582" s="472" t="n"/>
      <c r="R582" s="472" t="n"/>
      <c r="S582" s="285" t="n"/>
      <c r="T582" s="284" t="n"/>
      <c r="U582" s="284" t="n"/>
      <c r="V582" s="285" t="n"/>
      <c r="W582" s="285" t="n"/>
      <c r="X582" s="285" t="n"/>
      <c r="Y582" s="285" t="n"/>
      <c r="Z582" s="285" t="n"/>
      <c r="AA582" s="285" t="n"/>
      <c r="AB582" s="285" t="n"/>
    </row>
    <row r="583" ht="15.75" customHeight="1" s="398">
      <c r="A583" s="284" t="n"/>
      <c r="B583" s="285" t="n"/>
      <c r="C583" s="368" t="n"/>
      <c r="D583" s="336" t="n"/>
      <c r="E583" s="284" t="n"/>
      <c r="F583" s="472" t="n"/>
      <c r="G583" s="472" t="n"/>
      <c r="H583" s="472" t="n"/>
      <c r="I583" s="472" t="n"/>
      <c r="J583" s="472" t="n"/>
      <c r="K583" s="472" t="n"/>
      <c r="L583" s="472" t="n"/>
      <c r="M583" s="472" t="n"/>
      <c r="N583" s="472" t="n"/>
      <c r="O583" s="472" t="n"/>
      <c r="P583" s="472" t="n"/>
      <c r="Q583" s="472" t="n"/>
      <c r="R583" s="472" t="n"/>
      <c r="S583" s="285" t="n"/>
      <c r="T583" s="284" t="n"/>
      <c r="U583" s="284" t="n"/>
      <c r="V583" s="285" t="n"/>
      <c r="W583" s="285" t="n"/>
      <c r="X583" s="285" t="n"/>
      <c r="Y583" s="285" t="n"/>
      <c r="Z583" s="285" t="n"/>
      <c r="AA583" s="285" t="n"/>
      <c r="AB583" s="285" t="n"/>
    </row>
    <row r="584" ht="15.75" customHeight="1" s="398">
      <c r="A584" s="284" t="n"/>
      <c r="B584" s="285" t="n"/>
      <c r="C584" s="368" t="n"/>
      <c r="D584" s="336" t="n"/>
      <c r="E584" s="284" t="n"/>
      <c r="F584" s="472" t="n"/>
      <c r="G584" s="472" t="n"/>
      <c r="H584" s="472" t="n"/>
      <c r="I584" s="472" t="n"/>
      <c r="J584" s="472" t="n"/>
      <c r="K584" s="472" t="n"/>
      <c r="L584" s="472" t="n"/>
      <c r="M584" s="472" t="n"/>
      <c r="N584" s="472" t="n"/>
      <c r="O584" s="472" t="n"/>
      <c r="P584" s="472" t="n"/>
      <c r="Q584" s="472" t="n"/>
      <c r="R584" s="472" t="n"/>
      <c r="S584" s="285" t="n"/>
      <c r="T584" s="284" t="n"/>
      <c r="U584" s="284" t="n"/>
      <c r="V584" s="285" t="n"/>
      <c r="W584" s="285" t="n"/>
      <c r="X584" s="285" t="n"/>
      <c r="Y584" s="285" t="n"/>
      <c r="Z584" s="285" t="n"/>
      <c r="AA584" s="285" t="n"/>
      <c r="AB584" s="285" t="n"/>
    </row>
    <row r="585" ht="15.75" customHeight="1" s="398">
      <c r="A585" s="284" t="n"/>
      <c r="B585" s="285" t="n"/>
      <c r="C585" s="368" t="n"/>
      <c r="D585" s="336" t="n"/>
      <c r="E585" s="284" t="n"/>
      <c r="F585" s="472" t="n"/>
      <c r="G585" s="472" t="n"/>
      <c r="H585" s="472" t="n"/>
      <c r="I585" s="472" t="n"/>
      <c r="J585" s="472" t="n"/>
      <c r="K585" s="472" t="n"/>
      <c r="L585" s="472" t="n"/>
      <c r="M585" s="472" t="n"/>
      <c r="N585" s="472" t="n"/>
      <c r="O585" s="472" t="n"/>
      <c r="P585" s="472" t="n"/>
      <c r="Q585" s="472" t="n"/>
      <c r="R585" s="472" t="n"/>
      <c r="S585" s="285" t="n"/>
      <c r="T585" s="284" t="n"/>
      <c r="U585" s="284" t="n"/>
      <c r="V585" s="285" t="n"/>
      <c r="W585" s="285" t="n"/>
      <c r="X585" s="285" t="n"/>
      <c r="Y585" s="285" t="n"/>
      <c r="Z585" s="285" t="n"/>
      <c r="AA585" s="285" t="n"/>
      <c r="AB585" s="285" t="n"/>
    </row>
    <row r="586" ht="15.75" customHeight="1" s="398">
      <c r="A586" s="284" t="n"/>
      <c r="B586" s="285" t="n"/>
      <c r="C586" s="368" t="n"/>
      <c r="D586" s="336" t="n"/>
      <c r="E586" s="284" t="n"/>
      <c r="F586" s="472" t="n"/>
      <c r="G586" s="472" t="n"/>
      <c r="H586" s="472" t="n"/>
      <c r="I586" s="472" t="n"/>
      <c r="J586" s="472" t="n"/>
      <c r="K586" s="472" t="n"/>
      <c r="L586" s="472" t="n"/>
      <c r="M586" s="472" t="n"/>
      <c r="N586" s="472" t="n"/>
      <c r="O586" s="472" t="n"/>
      <c r="P586" s="472" t="n"/>
      <c r="Q586" s="472" t="n"/>
      <c r="R586" s="472" t="n"/>
      <c r="S586" s="285" t="n"/>
      <c r="T586" s="284" t="n"/>
      <c r="U586" s="284" t="n"/>
      <c r="V586" s="285" t="n"/>
      <c r="W586" s="285" t="n"/>
      <c r="X586" s="285" t="n"/>
      <c r="Y586" s="285" t="n"/>
      <c r="Z586" s="285" t="n"/>
      <c r="AA586" s="285" t="n"/>
      <c r="AB586" s="285" t="n"/>
    </row>
    <row r="587" ht="15.75" customHeight="1" s="398">
      <c r="A587" s="284" t="n"/>
      <c r="B587" s="285" t="n"/>
      <c r="C587" s="368" t="n"/>
      <c r="D587" s="336" t="n"/>
      <c r="E587" s="284" t="n"/>
      <c r="F587" s="472" t="n"/>
      <c r="G587" s="472" t="n"/>
      <c r="H587" s="472" t="n"/>
      <c r="I587" s="472" t="n"/>
      <c r="J587" s="472" t="n"/>
      <c r="K587" s="472" t="n"/>
      <c r="L587" s="472" t="n"/>
      <c r="M587" s="472" t="n"/>
      <c r="N587" s="472" t="n"/>
      <c r="O587" s="472" t="n"/>
      <c r="P587" s="472" t="n"/>
      <c r="Q587" s="472" t="n"/>
      <c r="R587" s="472" t="n"/>
      <c r="S587" s="285" t="n"/>
      <c r="T587" s="284" t="n"/>
      <c r="U587" s="284" t="n"/>
      <c r="V587" s="285" t="n"/>
      <c r="W587" s="285" t="n"/>
      <c r="X587" s="285" t="n"/>
      <c r="Y587" s="285" t="n"/>
      <c r="Z587" s="285" t="n"/>
      <c r="AA587" s="285" t="n"/>
      <c r="AB587" s="285" t="n"/>
    </row>
    <row r="588" ht="15.75" customHeight="1" s="398">
      <c r="A588" s="284" t="n"/>
      <c r="B588" s="285" t="n"/>
      <c r="C588" s="368" t="n"/>
      <c r="D588" s="336" t="n"/>
      <c r="E588" s="284" t="n"/>
      <c r="F588" s="472" t="n"/>
      <c r="G588" s="472" t="n"/>
      <c r="H588" s="472" t="n"/>
      <c r="I588" s="472" t="n"/>
      <c r="J588" s="472" t="n"/>
      <c r="K588" s="472" t="n"/>
      <c r="L588" s="472" t="n"/>
      <c r="M588" s="472" t="n"/>
      <c r="N588" s="472" t="n"/>
      <c r="O588" s="472" t="n"/>
      <c r="P588" s="472" t="n"/>
      <c r="Q588" s="472" t="n"/>
      <c r="R588" s="472" t="n"/>
      <c r="S588" s="285" t="n"/>
      <c r="T588" s="284" t="n"/>
      <c r="U588" s="284" t="n"/>
      <c r="V588" s="285" t="n"/>
      <c r="W588" s="285" t="n"/>
      <c r="X588" s="285" t="n"/>
      <c r="Y588" s="285" t="n"/>
      <c r="Z588" s="285" t="n"/>
      <c r="AA588" s="285" t="n"/>
      <c r="AB588" s="285" t="n"/>
    </row>
    <row r="589" ht="15.75" customHeight="1" s="398">
      <c r="A589" s="284" t="n"/>
      <c r="B589" s="285" t="n"/>
      <c r="C589" s="368" t="n"/>
      <c r="D589" s="336" t="n"/>
      <c r="E589" s="284" t="n"/>
      <c r="F589" s="472" t="n"/>
      <c r="G589" s="472" t="n"/>
      <c r="H589" s="472" t="n"/>
      <c r="I589" s="472" t="n"/>
      <c r="J589" s="472" t="n"/>
      <c r="K589" s="472" t="n"/>
      <c r="L589" s="472" t="n"/>
      <c r="M589" s="472" t="n"/>
      <c r="N589" s="472" t="n"/>
      <c r="O589" s="472" t="n"/>
      <c r="P589" s="472" t="n"/>
      <c r="Q589" s="472" t="n"/>
      <c r="R589" s="472" t="n"/>
      <c r="S589" s="285" t="n"/>
      <c r="T589" s="284" t="n"/>
      <c r="U589" s="284" t="n"/>
      <c r="V589" s="285" t="n"/>
      <c r="W589" s="285" t="n"/>
      <c r="X589" s="285" t="n"/>
      <c r="Y589" s="285" t="n"/>
      <c r="Z589" s="285" t="n"/>
      <c r="AA589" s="285" t="n"/>
      <c r="AB589" s="285" t="n"/>
    </row>
    <row r="590" ht="15.75" customHeight="1" s="398">
      <c r="A590" s="284" t="n"/>
      <c r="B590" s="285" t="n"/>
      <c r="C590" s="368" t="n"/>
      <c r="D590" s="336" t="n"/>
      <c r="E590" s="284" t="n"/>
      <c r="F590" s="472" t="n"/>
      <c r="G590" s="472" t="n"/>
      <c r="H590" s="472" t="n"/>
      <c r="I590" s="472" t="n"/>
      <c r="J590" s="472" t="n"/>
      <c r="K590" s="472" t="n"/>
      <c r="L590" s="472" t="n"/>
      <c r="M590" s="472" t="n"/>
      <c r="N590" s="472" t="n"/>
      <c r="O590" s="472" t="n"/>
      <c r="P590" s="472" t="n"/>
      <c r="Q590" s="472" t="n"/>
      <c r="R590" s="472" t="n"/>
      <c r="S590" s="285" t="n"/>
      <c r="T590" s="284" t="n"/>
      <c r="U590" s="284" t="n"/>
      <c r="V590" s="285" t="n"/>
      <c r="W590" s="285" t="n"/>
      <c r="X590" s="285" t="n"/>
      <c r="Y590" s="285" t="n"/>
      <c r="Z590" s="285" t="n"/>
      <c r="AA590" s="285" t="n"/>
      <c r="AB590" s="285" t="n"/>
    </row>
    <row r="591" ht="15.75" customHeight="1" s="398">
      <c r="A591" s="284" t="n"/>
      <c r="B591" s="285" t="n"/>
      <c r="C591" s="368" t="n"/>
      <c r="D591" s="336" t="n"/>
      <c r="E591" s="284" t="n"/>
      <c r="F591" s="472" t="n"/>
      <c r="G591" s="472" t="n"/>
      <c r="H591" s="472" t="n"/>
      <c r="I591" s="472" t="n"/>
      <c r="J591" s="472" t="n"/>
      <c r="K591" s="472" t="n"/>
      <c r="L591" s="472" t="n"/>
      <c r="M591" s="472" t="n"/>
      <c r="N591" s="472" t="n"/>
      <c r="O591" s="472" t="n"/>
      <c r="P591" s="472" t="n"/>
      <c r="Q591" s="472" t="n"/>
      <c r="R591" s="472" t="n"/>
      <c r="S591" s="285" t="n"/>
      <c r="T591" s="284" t="n"/>
      <c r="U591" s="284" t="n"/>
      <c r="V591" s="285" t="n"/>
      <c r="W591" s="285" t="n"/>
      <c r="X591" s="285" t="n"/>
      <c r="Y591" s="285" t="n"/>
      <c r="Z591" s="285" t="n"/>
      <c r="AA591" s="285" t="n"/>
      <c r="AB591" s="285" t="n"/>
    </row>
    <row r="592" ht="15.75" customHeight="1" s="398">
      <c r="A592" s="284" t="n"/>
      <c r="B592" s="285" t="n"/>
      <c r="C592" s="368" t="n"/>
      <c r="D592" s="336" t="n"/>
      <c r="E592" s="284" t="n"/>
      <c r="F592" s="472" t="n"/>
      <c r="G592" s="472" t="n"/>
      <c r="H592" s="472" t="n"/>
      <c r="I592" s="472" t="n"/>
      <c r="J592" s="472" t="n"/>
      <c r="K592" s="472" t="n"/>
      <c r="L592" s="472" t="n"/>
      <c r="M592" s="472" t="n"/>
      <c r="N592" s="472" t="n"/>
      <c r="O592" s="472" t="n"/>
      <c r="P592" s="472" t="n"/>
      <c r="Q592" s="472" t="n"/>
      <c r="R592" s="472" t="n"/>
      <c r="S592" s="285" t="n"/>
      <c r="T592" s="284" t="n"/>
      <c r="U592" s="284" t="n"/>
      <c r="V592" s="285" t="n"/>
      <c r="W592" s="285" t="n"/>
      <c r="X592" s="285" t="n"/>
      <c r="Y592" s="285" t="n"/>
      <c r="Z592" s="285" t="n"/>
      <c r="AA592" s="285" t="n"/>
      <c r="AB592" s="285" t="n"/>
    </row>
    <row r="593" ht="15.75" customHeight="1" s="398">
      <c r="A593" s="284" t="n"/>
      <c r="B593" s="285" t="n"/>
      <c r="C593" s="368" t="n"/>
      <c r="D593" s="336" t="n"/>
      <c r="E593" s="284" t="n"/>
      <c r="F593" s="472" t="n"/>
      <c r="G593" s="472" t="n"/>
      <c r="H593" s="472" t="n"/>
      <c r="I593" s="472" t="n"/>
      <c r="J593" s="472" t="n"/>
      <c r="K593" s="472" t="n"/>
      <c r="L593" s="472" t="n"/>
      <c r="M593" s="472" t="n"/>
      <c r="N593" s="472" t="n"/>
      <c r="O593" s="472" t="n"/>
      <c r="P593" s="472" t="n"/>
      <c r="Q593" s="472" t="n"/>
      <c r="R593" s="472" t="n"/>
      <c r="S593" s="285" t="n"/>
      <c r="T593" s="284" t="n"/>
      <c r="U593" s="284" t="n"/>
      <c r="V593" s="285" t="n"/>
      <c r="W593" s="285" t="n"/>
      <c r="X593" s="285" t="n"/>
      <c r="Y593" s="285" t="n"/>
      <c r="Z593" s="285" t="n"/>
      <c r="AA593" s="285" t="n"/>
      <c r="AB593" s="285" t="n"/>
    </row>
    <row r="594" ht="15.75" customHeight="1" s="398">
      <c r="A594" s="284" t="n"/>
      <c r="B594" s="285" t="n"/>
      <c r="C594" s="368" t="n"/>
      <c r="D594" s="336" t="n"/>
      <c r="E594" s="284" t="n"/>
      <c r="F594" s="472" t="n"/>
      <c r="G594" s="472" t="n"/>
      <c r="H594" s="472" t="n"/>
      <c r="I594" s="472" t="n"/>
      <c r="J594" s="472" t="n"/>
      <c r="K594" s="472" t="n"/>
      <c r="L594" s="472" t="n"/>
      <c r="M594" s="472" t="n"/>
      <c r="N594" s="472" t="n"/>
      <c r="O594" s="472" t="n"/>
      <c r="P594" s="472" t="n"/>
      <c r="Q594" s="472" t="n"/>
      <c r="R594" s="472" t="n"/>
      <c r="S594" s="285" t="n"/>
      <c r="T594" s="284" t="n"/>
      <c r="U594" s="284" t="n"/>
      <c r="V594" s="285" t="n"/>
      <c r="W594" s="285" t="n"/>
      <c r="X594" s="285" t="n"/>
      <c r="Y594" s="285" t="n"/>
      <c r="Z594" s="285" t="n"/>
      <c r="AA594" s="285" t="n"/>
      <c r="AB594" s="285" t="n"/>
    </row>
    <row r="595" ht="15.75" customHeight="1" s="398">
      <c r="A595" s="284" t="n"/>
      <c r="B595" s="285" t="n"/>
      <c r="C595" s="368" t="n"/>
      <c r="D595" s="336" t="n"/>
      <c r="E595" s="284" t="n"/>
      <c r="F595" s="472" t="n"/>
      <c r="G595" s="472" t="n"/>
      <c r="H595" s="472" t="n"/>
      <c r="I595" s="472" t="n"/>
      <c r="J595" s="472" t="n"/>
      <c r="K595" s="472" t="n"/>
      <c r="L595" s="472" t="n"/>
      <c r="M595" s="472" t="n"/>
      <c r="N595" s="472" t="n"/>
      <c r="O595" s="472" t="n"/>
      <c r="P595" s="472" t="n"/>
      <c r="Q595" s="472" t="n"/>
      <c r="R595" s="472" t="n"/>
      <c r="S595" s="285" t="n"/>
      <c r="T595" s="284" t="n"/>
      <c r="U595" s="284" t="n"/>
      <c r="V595" s="285" t="n"/>
      <c r="W595" s="285" t="n"/>
      <c r="X595" s="285" t="n"/>
      <c r="Y595" s="285" t="n"/>
      <c r="Z595" s="285" t="n"/>
      <c r="AA595" s="285" t="n"/>
      <c r="AB595" s="285" t="n"/>
    </row>
    <row r="596" ht="15.75" customHeight="1" s="398">
      <c r="A596" s="284" t="n"/>
      <c r="B596" s="285" t="n"/>
      <c r="C596" s="368" t="n"/>
      <c r="D596" s="336" t="n"/>
      <c r="E596" s="284" t="n"/>
      <c r="F596" s="472" t="n"/>
      <c r="G596" s="472" t="n"/>
      <c r="H596" s="472" t="n"/>
      <c r="I596" s="472" t="n"/>
      <c r="J596" s="472" t="n"/>
      <c r="K596" s="472" t="n"/>
      <c r="L596" s="472" t="n"/>
      <c r="M596" s="472" t="n"/>
      <c r="N596" s="472" t="n"/>
      <c r="O596" s="472" t="n"/>
      <c r="P596" s="472" t="n"/>
      <c r="Q596" s="472" t="n"/>
      <c r="R596" s="472" t="n"/>
      <c r="S596" s="285" t="n"/>
      <c r="T596" s="284" t="n"/>
      <c r="U596" s="284" t="n"/>
      <c r="V596" s="285" t="n"/>
      <c r="W596" s="285" t="n"/>
      <c r="X596" s="285" t="n"/>
      <c r="Y596" s="285" t="n"/>
      <c r="Z596" s="285" t="n"/>
      <c r="AA596" s="285" t="n"/>
      <c r="AB596" s="285" t="n"/>
    </row>
    <row r="597" ht="15.75" customHeight="1" s="398">
      <c r="A597" s="284" t="n"/>
      <c r="B597" s="285" t="n"/>
      <c r="C597" s="368" t="n"/>
      <c r="D597" s="336" t="n"/>
      <c r="E597" s="284" t="n"/>
      <c r="F597" s="472" t="n"/>
      <c r="G597" s="472" t="n"/>
      <c r="H597" s="472" t="n"/>
      <c r="I597" s="472" t="n"/>
      <c r="J597" s="472" t="n"/>
      <c r="K597" s="472" t="n"/>
      <c r="L597" s="472" t="n"/>
      <c r="M597" s="472" t="n"/>
      <c r="N597" s="472" t="n"/>
      <c r="O597" s="472" t="n"/>
      <c r="P597" s="472" t="n"/>
      <c r="Q597" s="472" t="n"/>
      <c r="R597" s="472" t="n"/>
      <c r="S597" s="285" t="n"/>
      <c r="T597" s="284" t="n"/>
      <c r="U597" s="284" t="n"/>
      <c r="V597" s="285" t="n"/>
      <c r="W597" s="285" t="n"/>
      <c r="X597" s="285" t="n"/>
      <c r="Y597" s="285" t="n"/>
      <c r="Z597" s="285" t="n"/>
      <c r="AA597" s="285" t="n"/>
      <c r="AB597" s="285" t="n"/>
    </row>
    <row r="598" ht="15.75" customHeight="1" s="398">
      <c r="A598" s="284" t="n"/>
      <c r="B598" s="285" t="n"/>
      <c r="C598" s="368" t="n"/>
      <c r="D598" s="336" t="n"/>
      <c r="E598" s="284" t="n"/>
      <c r="F598" s="472" t="n"/>
      <c r="G598" s="472" t="n"/>
      <c r="H598" s="472" t="n"/>
      <c r="I598" s="472" t="n"/>
      <c r="J598" s="472" t="n"/>
      <c r="K598" s="472" t="n"/>
      <c r="L598" s="472" t="n"/>
      <c r="M598" s="472" t="n"/>
      <c r="N598" s="472" t="n"/>
      <c r="O598" s="472" t="n"/>
      <c r="P598" s="472" t="n"/>
      <c r="Q598" s="472" t="n"/>
      <c r="R598" s="472" t="n"/>
      <c r="S598" s="285" t="n"/>
      <c r="T598" s="284" t="n"/>
      <c r="U598" s="284" t="n"/>
      <c r="V598" s="285" t="n"/>
      <c r="W598" s="285" t="n"/>
      <c r="X598" s="285" t="n"/>
      <c r="Y598" s="285" t="n"/>
      <c r="Z598" s="285" t="n"/>
      <c r="AA598" s="285" t="n"/>
      <c r="AB598" s="285" t="n"/>
    </row>
    <row r="599" ht="15.75" customHeight="1" s="398">
      <c r="A599" s="284" t="n"/>
      <c r="B599" s="285" t="n"/>
      <c r="C599" s="368" t="n"/>
      <c r="D599" s="336" t="n"/>
      <c r="E599" s="284" t="n"/>
      <c r="F599" s="472" t="n"/>
      <c r="G599" s="472" t="n"/>
      <c r="H599" s="472" t="n"/>
      <c r="I599" s="472" t="n"/>
      <c r="J599" s="472" t="n"/>
      <c r="K599" s="472" t="n"/>
      <c r="L599" s="472" t="n"/>
      <c r="M599" s="472" t="n"/>
      <c r="N599" s="472" t="n"/>
      <c r="O599" s="472" t="n"/>
      <c r="P599" s="472" t="n"/>
      <c r="Q599" s="472" t="n"/>
      <c r="R599" s="472" t="n"/>
      <c r="S599" s="285" t="n"/>
      <c r="T599" s="284" t="n"/>
      <c r="U599" s="284" t="n"/>
      <c r="V599" s="285" t="n"/>
      <c r="W599" s="285" t="n"/>
      <c r="X599" s="285" t="n"/>
      <c r="Y599" s="285" t="n"/>
      <c r="Z599" s="285" t="n"/>
      <c r="AA599" s="285" t="n"/>
      <c r="AB599" s="285" t="n"/>
    </row>
    <row r="600" ht="15.75" customHeight="1" s="398">
      <c r="A600" s="284" t="n"/>
      <c r="B600" s="285" t="n"/>
      <c r="C600" s="368" t="n"/>
      <c r="D600" s="336" t="n"/>
      <c r="E600" s="284" t="n"/>
      <c r="F600" s="472" t="n"/>
      <c r="G600" s="472" t="n"/>
      <c r="H600" s="472" t="n"/>
      <c r="I600" s="472" t="n"/>
      <c r="J600" s="472" t="n"/>
      <c r="K600" s="472" t="n"/>
      <c r="L600" s="472" t="n"/>
      <c r="M600" s="472" t="n"/>
      <c r="N600" s="472" t="n"/>
      <c r="O600" s="472" t="n"/>
      <c r="P600" s="472" t="n"/>
      <c r="Q600" s="472" t="n"/>
      <c r="R600" s="472" t="n"/>
      <c r="S600" s="285" t="n"/>
      <c r="T600" s="284" t="n"/>
      <c r="U600" s="284" t="n"/>
      <c r="V600" s="285" t="n"/>
      <c r="W600" s="285" t="n"/>
      <c r="X600" s="285" t="n"/>
      <c r="Y600" s="285" t="n"/>
      <c r="Z600" s="285" t="n"/>
      <c r="AA600" s="285" t="n"/>
      <c r="AB600" s="285" t="n"/>
    </row>
    <row r="601" ht="15.75" customHeight="1" s="398">
      <c r="A601" s="284" t="n"/>
      <c r="B601" s="285" t="n"/>
      <c r="C601" s="368" t="n"/>
      <c r="D601" s="336" t="n"/>
      <c r="E601" s="284" t="n"/>
      <c r="F601" s="472" t="n"/>
      <c r="G601" s="472" t="n"/>
      <c r="H601" s="472" t="n"/>
      <c r="I601" s="472" t="n"/>
      <c r="J601" s="472" t="n"/>
      <c r="K601" s="472" t="n"/>
      <c r="L601" s="472" t="n"/>
      <c r="M601" s="472" t="n"/>
      <c r="N601" s="472" t="n"/>
      <c r="O601" s="472" t="n"/>
      <c r="P601" s="472" t="n"/>
      <c r="Q601" s="472" t="n"/>
      <c r="R601" s="472" t="n"/>
      <c r="S601" s="285" t="n"/>
      <c r="T601" s="284" t="n"/>
      <c r="U601" s="284" t="n"/>
      <c r="V601" s="285" t="n"/>
      <c r="W601" s="285" t="n"/>
      <c r="X601" s="285" t="n"/>
      <c r="Y601" s="285" t="n"/>
      <c r="Z601" s="285" t="n"/>
      <c r="AA601" s="285" t="n"/>
      <c r="AB601" s="285" t="n"/>
    </row>
    <row r="602" ht="15.75" customHeight="1" s="398">
      <c r="A602" s="284" t="n"/>
      <c r="B602" s="285" t="n"/>
      <c r="C602" s="368" t="n"/>
      <c r="D602" s="336" t="n"/>
      <c r="E602" s="284" t="n"/>
      <c r="F602" s="472" t="n"/>
      <c r="G602" s="472" t="n"/>
      <c r="H602" s="472" t="n"/>
      <c r="I602" s="472" t="n"/>
      <c r="J602" s="472" t="n"/>
      <c r="K602" s="472" t="n"/>
      <c r="L602" s="472" t="n"/>
      <c r="M602" s="472" t="n"/>
      <c r="N602" s="472" t="n"/>
      <c r="O602" s="472" t="n"/>
      <c r="P602" s="472" t="n"/>
      <c r="Q602" s="472" t="n"/>
      <c r="R602" s="472" t="n"/>
      <c r="S602" s="285" t="n"/>
      <c r="T602" s="284" t="n"/>
      <c r="U602" s="284" t="n"/>
      <c r="V602" s="285" t="n"/>
      <c r="W602" s="285" t="n"/>
      <c r="X602" s="285" t="n"/>
      <c r="Y602" s="285" t="n"/>
      <c r="Z602" s="285" t="n"/>
      <c r="AA602" s="285" t="n"/>
      <c r="AB602" s="285" t="n"/>
    </row>
    <row r="603" ht="15.75" customHeight="1" s="398">
      <c r="A603" s="284" t="n"/>
      <c r="B603" s="285" t="n"/>
      <c r="C603" s="368" t="n"/>
      <c r="D603" s="336" t="n"/>
      <c r="E603" s="284" t="n"/>
      <c r="F603" s="472" t="n"/>
      <c r="G603" s="472" t="n"/>
      <c r="H603" s="472" t="n"/>
      <c r="I603" s="472" t="n"/>
      <c r="J603" s="472" t="n"/>
      <c r="K603" s="472" t="n"/>
      <c r="L603" s="472" t="n"/>
      <c r="M603" s="472" t="n"/>
      <c r="N603" s="472" t="n"/>
      <c r="O603" s="472" t="n"/>
      <c r="P603" s="472" t="n"/>
      <c r="Q603" s="472" t="n"/>
      <c r="R603" s="472" t="n"/>
      <c r="S603" s="285" t="n"/>
      <c r="T603" s="284" t="n"/>
      <c r="U603" s="284" t="n"/>
      <c r="V603" s="285" t="n"/>
      <c r="W603" s="285" t="n"/>
      <c r="X603" s="285" t="n"/>
      <c r="Y603" s="285" t="n"/>
      <c r="Z603" s="285" t="n"/>
      <c r="AA603" s="285" t="n"/>
      <c r="AB603" s="285" t="n"/>
    </row>
    <row r="604" ht="15.75" customHeight="1" s="398">
      <c r="A604" s="284" t="n"/>
      <c r="B604" s="285" t="n"/>
      <c r="C604" s="368" t="n"/>
      <c r="D604" s="336" t="n"/>
      <c r="E604" s="284" t="n"/>
      <c r="F604" s="472" t="n"/>
      <c r="G604" s="472" t="n"/>
      <c r="H604" s="472" t="n"/>
      <c r="I604" s="472" t="n"/>
      <c r="J604" s="472" t="n"/>
      <c r="K604" s="472" t="n"/>
      <c r="L604" s="472" t="n"/>
      <c r="M604" s="472" t="n"/>
      <c r="N604" s="472" t="n"/>
      <c r="O604" s="472" t="n"/>
      <c r="P604" s="472" t="n"/>
      <c r="Q604" s="472" t="n"/>
      <c r="R604" s="472" t="n"/>
      <c r="S604" s="285" t="n"/>
      <c r="T604" s="284" t="n"/>
      <c r="U604" s="284" t="n"/>
      <c r="V604" s="285" t="n"/>
      <c r="W604" s="285" t="n"/>
      <c r="X604" s="285" t="n"/>
      <c r="Y604" s="285" t="n"/>
      <c r="Z604" s="285" t="n"/>
      <c r="AA604" s="285" t="n"/>
      <c r="AB604" s="285" t="n"/>
    </row>
    <row r="605" ht="15.75" customHeight="1" s="398">
      <c r="A605" s="284" t="n"/>
      <c r="B605" s="285" t="n"/>
      <c r="C605" s="368" t="n"/>
      <c r="D605" s="336" t="n"/>
      <c r="E605" s="284" t="n"/>
      <c r="F605" s="472" t="n"/>
      <c r="G605" s="472" t="n"/>
      <c r="H605" s="472" t="n"/>
      <c r="I605" s="472" t="n"/>
      <c r="J605" s="472" t="n"/>
      <c r="K605" s="472" t="n"/>
      <c r="L605" s="472" t="n"/>
      <c r="M605" s="472" t="n"/>
      <c r="N605" s="472" t="n"/>
      <c r="O605" s="472" t="n"/>
      <c r="P605" s="472" t="n"/>
      <c r="Q605" s="472" t="n"/>
      <c r="R605" s="472" t="n"/>
      <c r="S605" s="285" t="n"/>
      <c r="T605" s="284" t="n"/>
      <c r="U605" s="284" t="n"/>
      <c r="V605" s="285" t="n"/>
      <c r="W605" s="285" t="n"/>
      <c r="X605" s="285" t="n"/>
      <c r="Y605" s="285" t="n"/>
      <c r="Z605" s="285" t="n"/>
      <c r="AA605" s="285" t="n"/>
      <c r="AB605" s="285" t="n"/>
    </row>
    <row r="606" ht="15.75" customHeight="1" s="398">
      <c r="A606" s="284" t="n"/>
      <c r="B606" s="285" t="n"/>
      <c r="C606" s="368" t="n"/>
      <c r="D606" s="336" t="n"/>
      <c r="E606" s="284" t="n"/>
      <c r="F606" s="472" t="n"/>
      <c r="G606" s="472" t="n"/>
      <c r="H606" s="472" t="n"/>
      <c r="I606" s="472" t="n"/>
      <c r="J606" s="472" t="n"/>
      <c r="K606" s="472" t="n"/>
      <c r="L606" s="472" t="n"/>
      <c r="M606" s="472" t="n"/>
      <c r="N606" s="472" t="n"/>
      <c r="O606" s="472" t="n"/>
      <c r="P606" s="472" t="n"/>
      <c r="Q606" s="472" t="n"/>
      <c r="R606" s="472" t="n"/>
      <c r="S606" s="285" t="n"/>
      <c r="T606" s="284" t="n"/>
      <c r="U606" s="284" t="n"/>
      <c r="V606" s="285" t="n"/>
      <c r="W606" s="285" t="n"/>
      <c r="X606" s="285" t="n"/>
      <c r="Y606" s="285" t="n"/>
      <c r="Z606" s="285" t="n"/>
      <c r="AA606" s="285" t="n"/>
      <c r="AB606" s="285" t="n"/>
    </row>
    <row r="607" ht="15.75" customHeight="1" s="398">
      <c r="A607" s="284" t="n"/>
      <c r="B607" s="285" t="n"/>
      <c r="C607" s="368" t="n"/>
      <c r="D607" s="336" t="n"/>
      <c r="E607" s="284" t="n"/>
      <c r="F607" s="472" t="n"/>
      <c r="G607" s="472" t="n"/>
      <c r="H607" s="472" t="n"/>
      <c r="I607" s="472" t="n"/>
      <c r="J607" s="472" t="n"/>
      <c r="K607" s="472" t="n"/>
      <c r="L607" s="472" t="n"/>
      <c r="M607" s="472" t="n"/>
      <c r="N607" s="472" t="n"/>
      <c r="O607" s="472" t="n"/>
      <c r="P607" s="472" t="n"/>
      <c r="Q607" s="472" t="n"/>
      <c r="R607" s="472" t="n"/>
      <c r="S607" s="285" t="n"/>
      <c r="T607" s="284" t="n"/>
      <c r="U607" s="284" t="n"/>
      <c r="V607" s="285" t="n"/>
      <c r="W607" s="285" t="n"/>
      <c r="X607" s="285" t="n"/>
      <c r="Y607" s="285" t="n"/>
      <c r="Z607" s="285" t="n"/>
      <c r="AA607" s="285" t="n"/>
      <c r="AB607" s="285" t="n"/>
    </row>
    <row r="608" ht="15.75" customHeight="1" s="398">
      <c r="A608" s="284" t="n"/>
      <c r="B608" s="285" t="n"/>
      <c r="C608" s="368" t="n"/>
      <c r="D608" s="336" t="n"/>
      <c r="E608" s="284" t="n"/>
      <c r="F608" s="472" t="n"/>
      <c r="G608" s="472" t="n"/>
      <c r="H608" s="472" t="n"/>
      <c r="I608" s="472" t="n"/>
      <c r="J608" s="472" t="n"/>
      <c r="K608" s="472" t="n"/>
      <c r="L608" s="472" t="n"/>
      <c r="M608" s="472" t="n"/>
      <c r="N608" s="472" t="n"/>
      <c r="O608" s="472" t="n"/>
      <c r="P608" s="472" t="n"/>
      <c r="Q608" s="472" t="n"/>
      <c r="R608" s="472" t="n"/>
      <c r="S608" s="285" t="n"/>
      <c r="T608" s="284" t="n"/>
      <c r="U608" s="284" t="n"/>
      <c r="V608" s="285" t="n"/>
      <c r="W608" s="285" t="n"/>
      <c r="X608" s="285" t="n"/>
      <c r="Y608" s="285" t="n"/>
      <c r="Z608" s="285" t="n"/>
      <c r="AA608" s="285" t="n"/>
      <c r="AB608" s="285" t="n"/>
    </row>
    <row r="609" ht="15.75" customHeight="1" s="398">
      <c r="A609" s="284" t="n"/>
      <c r="B609" s="285" t="n"/>
      <c r="C609" s="368" t="n"/>
      <c r="D609" s="336" t="n"/>
      <c r="E609" s="284" t="n"/>
      <c r="F609" s="472" t="n"/>
      <c r="G609" s="472" t="n"/>
      <c r="H609" s="472" t="n"/>
      <c r="I609" s="472" t="n"/>
      <c r="J609" s="472" t="n"/>
      <c r="K609" s="472" t="n"/>
      <c r="L609" s="472" t="n"/>
      <c r="M609" s="472" t="n"/>
      <c r="N609" s="472" t="n"/>
      <c r="O609" s="472" t="n"/>
      <c r="P609" s="472" t="n"/>
      <c r="Q609" s="472" t="n"/>
      <c r="R609" s="472" t="n"/>
      <c r="S609" s="285" t="n"/>
      <c r="T609" s="284" t="n"/>
      <c r="U609" s="284" t="n"/>
      <c r="V609" s="285" t="n"/>
      <c r="W609" s="285" t="n"/>
      <c r="X609" s="285" t="n"/>
      <c r="Y609" s="285" t="n"/>
      <c r="Z609" s="285" t="n"/>
      <c r="AA609" s="285" t="n"/>
      <c r="AB609" s="285" t="n"/>
    </row>
    <row r="610" ht="15.75" customHeight="1" s="398">
      <c r="A610" s="284" t="n"/>
      <c r="B610" s="285" t="n"/>
      <c r="C610" s="368" t="n"/>
      <c r="D610" s="336" t="n"/>
      <c r="E610" s="284" t="n"/>
      <c r="F610" s="472" t="n"/>
      <c r="G610" s="472" t="n"/>
      <c r="H610" s="472" t="n"/>
      <c r="I610" s="472" t="n"/>
      <c r="J610" s="472" t="n"/>
      <c r="K610" s="472" t="n"/>
      <c r="L610" s="472" t="n"/>
      <c r="M610" s="472" t="n"/>
      <c r="N610" s="472" t="n"/>
      <c r="O610" s="472" t="n"/>
      <c r="P610" s="472" t="n"/>
      <c r="Q610" s="472" t="n"/>
      <c r="R610" s="472" t="n"/>
      <c r="S610" s="285" t="n"/>
      <c r="T610" s="284" t="n"/>
      <c r="U610" s="284" t="n"/>
      <c r="V610" s="285" t="n"/>
      <c r="W610" s="285" t="n"/>
      <c r="X610" s="285" t="n"/>
      <c r="Y610" s="285" t="n"/>
      <c r="Z610" s="285" t="n"/>
      <c r="AA610" s="285" t="n"/>
      <c r="AB610" s="285" t="n"/>
    </row>
    <row r="611" ht="15.75" customHeight="1" s="398">
      <c r="A611" s="284" t="n"/>
      <c r="B611" s="285" t="n"/>
      <c r="C611" s="368" t="n"/>
      <c r="D611" s="336" t="n"/>
      <c r="E611" s="284" t="n"/>
      <c r="F611" s="472" t="n"/>
      <c r="G611" s="472" t="n"/>
      <c r="H611" s="472" t="n"/>
      <c r="I611" s="472" t="n"/>
      <c r="J611" s="472" t="n"/>
      <c r="K611" s="472" t="n"/>
      <c r="L611" s="472" t="n"/>
      <c r="M611" s="472" t="n"/>
      <c r="N611" s="472" t="n"/>
      <c r="O611" s="472" t="n"/>
      <c r="P611" s="472" t="n"/>
      <c r="Q611" s="472" t="n"/>
      <c r="R611" s="472" t="n"/>
      <c r="S611" s="285" t="n"/>
      <c r="T611" s="284" t="n"/>
      <c r="U611" s="284" t="n"/>
      <c r="V611" s="285" t="n"/>
      <c r="W611" s="285" t="n"/>
      <c r="X611" s="285" t="n"/>
      <c r="Y611" s="285" t="n"/>
      <c r="Z611" s="285" t="n"/>
      <c r="AA611" s="285" t="n"/>
      <c r="AB611" s="285" t="n"/>
    </row>
    <row r="612" ht="15.75" customHeight="1" s="398">
      <c r="A612" s="284" t="n"/>
      <c r="B612" s="285" t="n"/>
      <c r="C612" s="368" t="n"/>
      <c r="D612" s="336" t="n"/>
      <c r="E612" s="284" t="n"/>
      <c r="F612" s="472" t="n"/>
      <c r="G612" s="472" t="n"/>
      <c r="H612" s="472" t="n"/>
      <c r="I612" s="472" t="n"/>
      <c r="J612" s="472" t="n"/>
      <c r="K612" s="472" t="n"/>
      <c r="L612" s="472" t="n"/>
      <c r="M612" s="472" t="n"/>
      <c r="N612" s="472" t="n"/>
      <c r="O612" s="472" t="n"/>
      <c r="P612" s="472" t="n"/>
      <c r="Q612" s="472" t="n"/>
      <c r="R612" s="472" t="n"/>
      <c r="S612" s="285" t="n"/>
      <c r="T612" s="284" t="n"/>
      <c r="U612" s="284" t="n"/>
      <c r="V612" s="285" t="n"/>
      <c r="W612" s="285" t="n"/>
      <c r="X612" s="285" t="n"/>
      <c r="Y612" s="285" t="n"/>
      <c r="Z612" s="285" t="n"/>
      <c r="AA612" s="285" t="n"/>
      <c r="AB612" s="285" t="n"/>
    </row>
    <row r="613" ht="15.75" customHeight="1" s="398">
      <c r="A613" s="284" t="n"/>
      <c r="B613" s="285" t="n"/>
      <c r="C613" s="368" t="n"/>
      <c r="D613" s="336" t="n"/>
      <c r="E613" s="284" t="n"/>
      <c r="F613" s="472" t="n"/>
      <c r="G613" s="472" t="n"/>
      <c r="H613" s="472" t="n"/>
      <c r="I613" s="472" t="n"/>
      <c r="J613" s="472" t="n"/>
      <c r="K613" s="472" t="n"/>
      <c r="L613" s="472" t="n"/>
      <c r="M613" s="472" t="n"/>
      <c r="N613" s="472" t="n"/>
      <c r="O613" s="472" t="n"/>
      <c r="P613" s="472" t="n"/>
      <c r="Q613" s="472" t="n"/>
      <c r="R613" s="472" t="n"/>
      <c r="S613" s="285" t="n"/>
      <c r="T613" s="284" t="n"/>
      <c r="U613" s="284" t="n"/>
      <c r="V613" s="285" t="n"/>
      <c r="W613" s="285" t="n"/>
      <c r="X613" s="285" t="n"/>
      <c r="Y613" s="285" t="n"/>
      <c r="Z613" s="285" t="n"/>
      <c r="AA613" s="285" t="n"/>
      <c r="AB613" s="285" t="n"/>
    </row>
    <row r="614" ht="15.75" customHeight="1" s="398">
      <c r="A614" s="284" t="n"/>
      <c r="B614" s="285" t="n"/>
      <c r="C614" s="368" t="n"/>
      <c r="D614" s="336" t="n"/>
      <c r="E614" s="284" t="n"/>
      <c r="F614" s="472" t="n"/>
      <c r="G614" s="472" t="n"/>
      <c r="H614" s="472" t="n"/>
      <c r="I614" s="472" t="n"/>
      <c r="J614" s="472" t="n"/>
      <c r="K614" s="472" t="n"/>
      <c r="L614" s="472" t="n"/>
      <c r="M614" s="472" t="n"/>
      <c r="N614" s="472" t="n"/>
      <c r="O614" s="472" t="n"/>
      <c r="P614" s="472" t="n"/>
      <c r="Q614" s="472" t="n"/>
      <c r="R614" s="472" t="n"/>
      <c r="S614" s="285" t="n"/>
      <c r="T614" s="284" t="n"/>
      <c r="U614" s="284" t="n"/>
      <c r="V614" s="285" t="n"/>
      <c r="W614" s="285" t="n"/>
      <c r="X614" s="285" t="n"/>
      <c r="Y614" s="285" t="n"/>
      <c r="Z614" s="285" t="n"/>
      <c r="AA614" s="285" t="n"/>
      <c r="AB614" s="285" t="n"/>
    </row>
    <row r="615" ht="15.75" customHeight="1" s="398">
      <c r="A615" s="284" t="n"/>
      <c r="B615" s="285" t="n"/>
      <c r="C615" s="368" t="n"/>
      <c r="D615" s="336" t="n"/>
      <c r="E615" s="284" t="n"/>
      <c r="F615" s="472" t="n"/>
      <c r="G615" s="472" t="n"/>
      <c r="H615" s="472" t="n"/>
      <c r="I615" s="472" t="n"/>
      <c r="J615" s="472" t="n"/>
      <c r="K615" s="472" t="n"/>
      <c r="L615" s="472" t="n"/>
      <c r="M615" s="472" t="n"/>
      <c r="N615" s="472" t="n"/>
      <c r="O615" s="472" t="n"/>
      <c r="P615" s="472" t="n"/>
      <c r="Q615" s="472" t="n"/>
      <c r="R615" s="472" t="n"/>
      <c r="S615" s="285" t="n"/>
      <c r="T615" s="284" t="n"/>
      <c r="U615" s="284" t="n"/>
      <c r="V615" s="285" t="n"/>
      <c r="W615" s="285" t="n"/>
      <c r="X615" s="285" t="n"/>
      <c r="Y615" s="285" t="n"/>
      <c r="Z615" s="285" t="n"/>
      <c r="AA615" s="285" t="n"/>
      <c r="AB615" s="285" t="n"/>
    </row>
    <row r="616" ht="15.75" customHeight="1" s="398">
      <c r="A616" s="284" t="n"/>
      <c r="B616" s="285" t="n"/>
      <c r="C616" s="368" t="n"/>
      <c r="D616" s="336" t="n"/>
      <c r="E616" s="284" t="n"/>
      <c r="F616" s="472" t="n"/>
      <c r="G616" s="472" t="n"/>
      <c r="H616" s="472" t="n"/>
      <c r="I616" s="472" t="n"/>
      <c r="J616" s="472" t="n"/>
      <c r="K616" s="472" t="n"/>
      <c r="L616" s="472" t="n"/>
      <c r="M616" s="472" t="n"/>
      <c r="N616" s="472" t="n"/>
      <c r="O616" s="472" t="n"/>
      <c r="P616" s="472" t="n"/>
      <c r="Q616" s="472" t="n"/>
      <c r="R616" s="472" t="n"/>
      <c r="S616" s="285" t="n"/>
      <c r="T616" s="284" t="n"/>
      <c r="U616" s="284" t="n"/>
      <c r="V616" s="285" t="n"/>
      <c r="W616" s="285" t="n"/>
      <c r="X616" s="285" t="n"/>
      <c r="Y616" s="285" t="n"/>
      <c r="Z616" s="285" t="n"/>
      <c r="AA616" s="285" t="n"/>
      <c r="AB616" s="285" t="n"/>
    </row>
    <row r="617" ht="15.75" customHeight="1" s="398">
      <c r="A617" s="284" t="n"/>
      <c r="B617" s="285" t="n"/>
      <c r="C617" s="368" t="n"/>
      <c r="D617" s="336" t="n"/>
      <c r="E617" s="284" t="n"/>
      <c r="F617" s="472" t="n"/>
      <c r="G617" s="472" t="n"/>
      <c r="H617" s="472" t="n"/>
      <c r="I617" s="472" t="n"/>
      <c r="J617" s="472" t="n"/>
      <c r="K617" s="472" t="n"/>
      <c r="L617" s="472" t="n"/>
      <c r="M617" s="472" t="n"/>
      <c r="N617" s="472" t="n"/>
      <c r="O617" s="472" t="n"/>
      <c r="P617" s="472" t="n"/>
      <c r="Q617" s="472" t="n"/>
      <c r="R617" s="472" t="n"/>
      <c r="S617" s="285" t="n"/>
      <c r="T617" s="284" t="n"/>
      <c r="U617" s="284" t="n"/>
      <c r="V617" s="285" t="n"/>
      <c r="W617" s="285" t="n"/>
      <c r="X617" s="285" t="n"/>
      <c r="Y617" s="285" t="n"/>
      <c r="Z617" s="285" t="n"/>
      <c r="AA617" s="285" t="n"/>
      <c r="AB617" s="285" t="n"/>
    </row>
    <row r="618" ht="15.75" customHeight="1" s="398">
      <c r="A618" s="284" t="n"/>
      <c r="B618" s="285" t="n"/>
      <c r="C618" s="368" t="n"/>
      <c r="D618" s="336" t="n"/>
      <c r="E618" s="284" t="n"/>
      <c r="F618" s="472" t="n"/>
      <c r="G618" s="472" t="n"/>
      <c r="H618" s="472" t="n"/>
      <c r="I618" s="472" t="n"/>
      <c r="J618" s="472" t="n"/>
      <c r="K618" s="472" t="n"/>
      <c r="L618" s="472" t="n"/>
      <c r="M618" s="472" t="n"/>
      <c r="N618" s="472" t="n"/>
      <c r="O618" s="472" t="n"/>
      <c r="P618" s="472" t="n"/>
      <c r="Q618" s="472" t="n"/>
      <c r="R618" s="472" t="n"/>
      <c r="S618" s="285" t="n"/>
      <c r="T618" s="284" t="n"/>
      <c r="U618" s="284" t="n"/>
      <c r="V618" s="285" t="n"/>
      <c r="W618" s="285" t="n"/>
      <c r="X618" s="285" t="n"/>
      <c r="Y618" s="285" t="n"/>
      <c r="Z618" s="285" t="n"/>
      <c r="AA618" s="285" t="n"/>
      <c r="AB618" s="285" t="n"/>
    </row>
    <row r="619" ht="15.75" customHeight="1" s="398">
      <c r="A619" s="284" t="n"/>
      <c r="B619" s="285" t="n"/>
      <c r="C619" s="368" t="n"/>
      <c r="D619" s="336" t="n"/>
      <c r="E619" s="284" t="n"/>
      <c r="F619" s="472" t="n"/>
      <c r="G619" s="472" t="n"/>
      <c r="H619" s="472" t="n"/>
      <c r="I619" s="472" t="n"/>
      <c r="J619" s="472" t="n"/>
      <c r="K619" s="472" t="n"/>
      <c r="L619" s="472" t="n"/>
      <c r="M619" s="472" t="n"/>
      <c r="N619" s="472" t="n"/>
      <c r="O619" s="472" t="n"/>
      <c r="P619" s="472" t="n"/>
      <c r="Q619" s="472" t="n"/>
      <c r="R619" s="472" t="n"/>
      <c r="S619" s="285" t="n"/>
      <c r="T619" s="284" t="n"/>
      <c r="U619" s="284" t="n"/>
      <c r="V619" s="285" t="n"/>
      <c r="W619" s="285" t="n"/>
      <c r="X619" s="285" t="n"/>
      <c r="Y619" s="285" t="n"/>
      <c r="Z619" s="285" t="n"/>
      <c r="AA619" s="285" t="n"/>
      <c r="AB619" s="285" t="n"/>
    </row>
    <row r="620" ht="15.75" customHeight="1" s="398">
      <c r="A620" s="284" t="n"/>
      <c r="B620" s="285" t="n"/>
      <c r="C620" s="368" t="n"/>
      <c r="D620" s="336" t="n"/>
      <c r="E620" s="284" t="n"/>
      <c r="F620" s="472" t="n"/>
      <c r="G620" s="472" t="n"/>
      <c r="H620" s="472" t="n"/>
      <c r="I620" s="472" t="n"/>
      <c r="J620" s="472" t="n"/>
      <c r="K620" s="472" t="n"/>
      <c r="L620" s="472" t="n"/>
      <c r="M620" s="472" t="n"/>
      <c r="N620" s="472" t="n"/>
      <c r="O620" s="472" t="n"/>
      <c r="P620" s="472" t="n"/>
      <c r="Q620" s="472" t="n"/>
      <c r="R620" s="472" t="n"/>
      <c r="S620" s="285" t="n"/>
      <c r="T620" s="284" t="n"/>
      <c r="U620" s="284" t="n"/>
      <c r="V620" s="285" t="n"/>
      <c r="W620" s="285" t="n"/>
      <c r="X620" s="285" t="n"/>
      <c r="Y620" s="285" t="n"/>
      <c r="Z620" s="285" t="n"/>
      <c r="AA620" s="285" t="n"/>
      <c r="AB620" s="285" t="n"/>
    </row>
    <row r="621" ht="15.75" customHeight="1" s="398">
      <c r="A621" s="284" t="n"/>
      <c r="B621" s="285" t="n"/>
      <c r="C621" s="368" t="n"/>
      <c r="D621" s="336" t="n"/>
      <c r="E621" s="284" t="n"/>
      <c r="F621" s="472" t="n"/>
      <c r="G621" s="472" t="n"/>
      <c r="H621" s="472" t="n"/>
      <c r="I621" s="472" t="n"/>
      <c r="J621" s="472" t="n"/>
      <c r="K621" s="472" t="n"/>
      <c r="L621" s="472" t="n"/>
      <c r="M621" s="472" t="n"/>
      <c r="N621" s="472" t="n"/>
      <c r="O621" s="472" t="n"/>
      <c r="P621" s="472" t="n"/>
      <c r="Q621" s="472" t="n"/>
      <c r="R621" s="472" t="n"/>
      <c r="S621" s="285" t="n"/>
      <c r="T621" s="284" t="n"/>
      <c r="U621" s="284" t="n"/>
      <c r="V621" s="285" t="n"/>
      <c r="W621" s="285" t="n"/>
      <c r="X621" s="285" t="n"/>
      <c r="Y621" s="285" t="n"/>
      <c r="Z621" s="285" t="n"/>
      <c r="AA621" s="285" t="n"/>
      <c r="AB621" s="285" t="n"/>
    </row>
    <row r="622" ht="15.75" customHeight="1" s="398">
      <c r="A622" s="284" t="n"/>
      <c r="B622" s="285" t="n"/>
      <c r="C622" s="368" t="n"/>
      <c r="D622" s="336" t="n"/>
      <c r="E622" s="284" t="n"/>
      <c r="F622" s="472" t="n"/>
      <c r="G622" s="472" t="n"/>
      <c r="H622" s="472" t="n"/>
      <c r="I622" s="472" t="n"/>
      <c r="J622" s="472" t="n"/>
      <c r="K622" s="472" t="n"/>
      <c r="L622" s="472" t="n"/>
      <c r="M622" s="472" t="n"/>
      <c r="N622" s="472" t="n"/>
      <c r="O622" s="472" t="n"/>
      <c r="P622" s="472" t="n"/>
      <c r="Q622" s="472" t="n"/>
      <c r="R622" s="472" t="n"/>
      <c r="S622" s="285" t="n"/>
      <c r="T622" s="284" t="n"/>
      <c r="U622" s="284" t="n"/>
      <c r="V622" s="285" t="n"/>
      <c r="W622" s="285" t="n"/>
      <c r="X622" s="285" t="n"/>
      <c r="Y622" s="285" t="n"/>
      <c r="Z622" s="285" t="n"/>
      <c r="AA622" s="285" t="n"/>
      <c r="AB622" s="285" t="n"/>
    </row>
    <row r="623" ht="15.75" customHeight="1" s="398">
      <c r="A623" s="284" t="n"/>
      <c r="B623" s="285" t="n"/>
      <c r="C623" s="368" t="n"/>
      <c r="D623" s="336" t="n"/>
      <c r="E623" s="284" t="n"/>
      <c r="F623" s="472" t="n"/>
      <c r="G623" s="472" t="n"/>
      <c r="H623" s="472" t="n"/>
      <c r="I623" s="472" t="n"/>
      <c r="J623" s="472" t="n"/>
      <c r="K623" s="472" t="n"/>
      <c r="L623" s="472" t="n"/>
      <c r="M623" s="472" t="n"/>
      <c r="N623" s="472" t="n"/>
      <c r="O623" s="472" t="n"/>
      <c r="P623" s="472" t="n"/>
      <c r="Q623" s="472" t="n"/>
      <c r="R623" s="472" t="n"/>
      <c r="S623" s="285" t="n"/>
      <c r="T623" s="284" t="n"/>
      <c r="U623" s="284" t="n"/>
      <c r="V623" s="285" t="n"/>
      <c r="W623" s="285" t="n"/>
      <c r="X623" s="285" t="n"/>
      <c r="Y623" s="285" t="n"/>
      <c r="Z623" s="285" t="n"/>
      <c r="AA623" s="285" t="n"/>
      <c r="AB623" s="285" t="n"/>
    </row>
    <row r="624" ht="15.75" customHeight="1" s="398">
      <c r="A624" s="284" t="n"/>
      <c r="B624" s="285" t="n"/>
      <c r="C624" s="368" t="n"/>
      <c r="D624" s="336" t="n"/>
      <c r="E624" s="284" t="n"/>
      <c r="F624" s="472" t="n"/>
      <c r="G624" s="472" t="n"/>
      <c r="H624" s="472" t="n"/>
      <c r="I624" s="472" t="n"/>
      <c r="J624" s="472" t="n"/>
      <c r="K624" s="472" t="n"/>
      <c r="L624" s="472" t="n"/>
      <c r="M624" s="472" t="n"/>
      <c r="N624" s="472" t="n"/>
      <c r="O624" s="472" t="n"/>
      <c r="P624" s="472" t="n"/>
      <c r="Q624" s="472" t="n"/>
      <c r="R624" s="472" t="n"/>
      <c r="S624" s="285" t="n"/>
      <c r="T624" s="284" t="n"/>
      <c r="U624" s="284" t="n"/>
      <c r="V624" s="285" t="n"/>
      <c r="W624" s="285" t="n"/>
      <c r="X624" s="285" t="n"/>
      <c r="Y624" s="285" t="n"/>
      <c r="Z624" s="285" t="n"/>
      <c r="AA624" s="285" t="n"/>
      <c r="AB624" s="285" t="n"/>
    </row>
    <row r="625" ht="15.75" customHeight="1" s="398">
      <c r="A625" s="284" t="n"/>
      <c r="B625" s="285" t="n"/>
      <c r="C625" s="368" t="n"/>
      <c r="D625" s="336" t="n"/>
      <c r="E625" s="284" t="n"/>
      <c r="F625" s="472" t="n"/>
      <c r="G625" s="472" t="n"/>
      <c r="H625" s="472" t="n"/>
      <c r="I625" s="472" t="n"/>
      <c r="J625" s="472" t="n"/>
      <c r="K625" s="472" t="n"/>
      <c r="L625" s="472" t="n"/>
      <c r="M625" s="472" t="n"/>
      <c r="N625" s="472" t="n"/>
      <c r="O625" s="472" t="n"/>
      <c r="P625" s="472" t="n"/>
      <c r="Q625" s="472" t="n"/>
      <c r="R625" s="472" t="n"/>
      <c r="S625" s="285" t="n"/>
      <c r="T625" s="284" t="n"/>
      <c r="U625" s="284" t="n"/>
      <c r="V625" s="285" t="n"/>
      <c r="W625" s="285" t="n"/>
      <c r="X625" s="285" t="n"/>
      <c r="Y625" s="285" t="n"/>
      <c r="Z625" s="285" t="n"/>
      <c r="AA625" s="285" t="n"/>
      <c r="AB625" s="285" t="n"/>
    </row>
    <row r="626" ht="15.75" customHeight="1" s="398">
      <c r="A626" s="284" t="n"/>
      <c r="B626" s="285" t="n"/>
      <c r="C626" s="368" t="n"/>
      <c r="D626" s="336" t="n"/>
      <c r="E626" s="284" t="n"/>
      <c r="F626" s="472" t="n"/>
      <c r="G626" s="472" t="n"/>
      <c r="H626" s="472" t="n"/>
      <c r="I626" s="472" t="n"/>
      <c r="J626" s="472" t="n"/>
      <c r="K626" s="472" t="n"/>
      <c r="L626" s="472" t="n"/>
      <c r="M626" s="472" t="n"/>
      <c r="N626" s="472" t="n"/>
      <c r="O626" s="472" t="n"/>
      <c r="P626" s="472" t="n"/>
      <c r="Q626" s="472" t="n"/>
      <c r="R626" s="472" t="n"/>
      <c r="S626" s="285" t="n"/>
      <c r="T626" s="284" t="n"/>
      <c r="U626" s="284" t="n"/>
      <c r="V626" s="285" t="n"/>
      <c r="W626" s="285" t="n"/>
      <c r="X626" s="285" t="n"/>
      <c r="Y626" s="285" t="n"/>
      <c r="Z626" s="285" t="n"/>
      <c r="AA626" s="285" t="n"/>
      <c r="AB626" s="285" t="n"/>
    </row>
    <row r="627" ht="15.75" customHeight="1" s="398">
      <c r="A627" s="284" t="n"/>
      <c r="B627" s="285" t="n"/>
      <c r="C627" s="368" t="n"/>
      <c r="D627" s="336" t="n"/>
      <c r="E627" s="284" t="n"/>
      <c r="F627" s="472" t="n"/>
      <c r="G627" s="472" t="n"/>
      <c r="H627" s="472" t="n"/>
      <c r="I627" s="472" t="n"/>
      <c r="J627" s="472" t="n"/>
      <c r="K627" s="472" t="n"/>
      <c r="L627" s="472" t="n"/>
      <c r="M627" s="472" t="n"/>
      <c r="N627" s="472" t="n"/>
      <c r="O627" s="472" t="n"/>
      <c r="P627" s="472" t="n"/>
      <c r="Q627" s="472" t="n"/>
      <c r="R627" s="472" t="n"/>
      <c r="S627" s="285" t="n"/>
      <c r="T627" s="284" t="n"/>
      <c r="U627" s="284" t="n"/>
      <c r="V627" s="285" t="n"/>
      <c r="W627" s="285" t="n"/>
      <c r="X627" s="285" t="n"/>
      <c r="Y627" s="285" t="n"/>
      <c r="Z627" s="285" t="n"/>
      <c r="AA627" s="285" t="n"/>
      <c r="AB627" s="285" t="n"/>
    </row>
    <row r="628" ht="15.75" customHeight="1" s="398">
      <c r="A628" s="284" t="n"/>
      <c r="B628" s="285" t="n"/>
      <c r="C628" s="368" t="n"/>
      <c r="D628" s="336" t="n"/>
      <c r="E628" s="284" t="n"/>
      <c r="F628" s="472" t="n"/>
      <c r="G628" s="472" t="n"/>
      <c r="H628" s="472" t="n"/>
      <c r="I628" s="472" t="n"/>
      <c r="J628" s="472" t="n"/>
      <c r="K628" s="472" t="n"/>
      <c r="L628" s="472" t="n"/>
      <c r="M628" s="472" t="n"/>
      <c r="N628" s="472" t="n"/>
      <c r="O628" s="472" t="n"/>
      <c r="P628" s="472" t="n"/>
      <c r="Q628" s="472" t="n"/>
      <c r="R628" s="472" t="n"/>
      <c r="S628" s="285" t="n"/>
      <c r="T628" s="284" t="n"/>
      <c r="U628" s="284" t="n"/>
      <c r="V628" s="285" t="n"/>
      <c r="W628" s="285" t="n"/>
      <c r="X628" s="285" t="n"/>
      <c r="Y628" s="285" t="n"/>
      <c r="Z628" s="285" t="n"/>
      <c r="AA628" s="285" t="n"/>
      <c r="AB628" s="285" t="n"/>
    </row>
    <row r="629" ht="15.75" customHeight="1" s="398">
      <c r="A629" s="284" t="n"/>
      <c r="B629" s="285" t="n"/>
      <c r="C629" s="368" t="n"/>
      <c r="D629" s="336" t="n"/>
      <c r="E629" s="284" t="n"/>
      <c r="F629" s="472" t="n"/>
      <c r="G629" s="472" t="n"/>
      <c r="H629" s="472" t="n"/>
      <c r="I629" s="472" t="n"/>
      <c r="J629" s="472" t="n"/>
      <c r="K629" s="472" t="n"/>
      <c r="L629" s="472" t="n"/>
      <c r="M629" s="472" t="n"/>
      <c r="N629" s="472" t="n"/>
      <c r="O629" s="472" t="n"/>
      <c r="P629" s="472" t="n"/>
      <c r="Q629" s="472" t="n"/>
      <c r="R629" s="472" t="n"/>
      <c r="S629" s="285" t="n"/>
      <c r="T629" s="284" t="n"/>
      <c r="U629" s="284" t="n"/>
      <c r="V629" s="285" t="n"/>
      <c r="W629" s="285" t="n"/>
      <c r="X629" s="285" t="n"/>
      <c r="Y629" s="285" t="n"/>
      <c r="Z629" s="285" t="n"/>
      <c r="AA629" s="285" t="n"/>
      <c r="AB629" s="285" t="n"/>
    </row>
    <row r="630" ht="15.75" customHeight="1" s="398">
      <c r="A630" s="284" t="n"/>
      <c r="B630" s="285" t="n"/>
      <c r="C630" s="368" t="n"/>
      <c r="D630" s="336" t="n"/>
      <c r="E630" s="284" t="n"/>
      <c r="F630" s="472" t="n"/>
      <c r="G630" s="472" t="n"/>
      <c r="H630" s="472" t="n"/>
      <c r="I630" s="472" t="n"/>
      <c r="J630" s="472" t="n"/>
      <c r="K630" s="472" t="n"/>
      <c r="L630" s="472" t="n"/>
      <c r="M630" s="472" t="n"/>
      <c r="N630" s="472" t="n"/>
      <c r="O630" s="472" t="n"/>
      <c r="P630" s="472" t="n"/>
      <c r="Q630" s="472" t="n"/>
      <c r="R630" s="472" t="n"/>
      <c r="S630" s="285" t="n"/>
      <c r="T630" s="284" t="n"/>
      <c r="U630" s="284" t="n"/>
      <c r="V630" s="285" t="n"/>
      <c r="W630" s="285" t="n"/>
      <c r="X630" s="285" t="n"/>
      <c r="Y630" s="285" t="n"/>
      <c r="Z630" s="285" t="n"/>
      <c r="AA630" s="285" t="n"/>
      <c r="AB630" s="285" t="n"/>
    </row>
    <row r="631" ht="15.75" customHeight="1" s="398">
      <c r="A631" s="284" t="n"/>
      <c r="B631" s="285" t="n"/>
      <c r="C631" s="368" t="n"/>
      <c r="D631" s="336" t="n"/>
      <c r="E631" s="284" t="n"/>
      <c r="F631" s="472" t="n"/>
      <c r="G631" s="472" t="n"/>
      <c r="H631" s="472" t="n"/>
      <c r="I631" s="472" t="n"/>
      <c r="J631" s="472" t="n"/>
      <c r="K631" s="472" t="n"/>
      <c r="L631" s="472" t="n"/>
      <c r="M631" s="472" t="n"/>
      <c r="N631" s="472" t="n"/>
      <c r="O631" s="472" t="n"/>
      <c r="P631" s="472" t="n"/>
      <c r="Q631" s="472" t="n"/>
      <c r="R631" s="472" t="n"/>
      <c r="S631" s="285" t="n"/>
      <c r="T631" s="284" t="n"/>
      <c r="U631" s="284" t="n"/>
      <c r="V631" s="285" t="n"/>
      <c r="W631" s="285" t="n"/>
      <c r="X631" s="285" t="n"/>
      <c r="Y631" s="285" t="n"/>
      <c r="Z631" s="285" t="n"/>
      <c r="AA631" s="285" t="n"/>
      <c r="AB631" s="285" t="n"/>
    </row>
    <row r="632" ht="15.75" customHeight="1" s="398">
      <c r="A632" s="284" t="n"/>
      <c r="B632" s="285" t="n"/>
      <c r="C632" s="368" t="n"/>
      <c r="D632" s="336" t="n"/>
      <c r="E632" s="284" t="n"/>
      <c r="F632" s="472" t="n"/>
      <c r="G632" s="472" t="n"/>
      <c r="H632" s="472" t="n"/>
      <c r="I632" s="472" t="n"/>
      <c r="J632" s="472" t="n"/>
      <c r="K632" s="472" t="n"/>
      <c r="L632" s="472" t="n"/>
      <c r="M632" s="472" t="n"/>
      <c r="N632" s="472" t="n"/>
      <c r="O632" s="472" t="n"/>
      <c r="P632" s="472" t="n"/>
      <c r="Q632" s="472" t="n"/>
      <c r="R632" s="472" t="n"/>
      <c r="S632" s="285" t="n"/>
      <c r="T632" s="284" t="n"/>
      <c r="U632" s="284" t="n"/>
      <c r="V632" s="285" t="n"/>
      <c r="W632" s="285" t="n"/>
      <c r="X632" s="285" t="n"/>
      <c r="Y632" s="285" t="n"/>
      <c r="Z632" s="285" t="n"/>
      <c r="AA632" s="285" t="n"/>
      <c r="AB632" s="285" t="n"/>
    </row>
    <row r="633" ht="15.75" customHeight="1" s="398">
      <c r="A633" s="284" t="n"/>
      <c r="B633" s="285" t="n"/>
      <c r="C633" s="368" t="n"/>
      <c r="D633" s="336" t="n"/>
      <c r="E633" s="284" t="n"/>
      <c r="F633" s="472" t="n"/>
      <c r="G633" s="472" t="n"/>
      <c r="H633" s="472" t="n"/>
      <c r="I633" s="472" t="n"/>
      <c r="J633" s="472" t="n"/>
      <c r="K633" s="472" t="n"/>
      <c r="L633" s="472" t="n"/>
      <c r="M633" s="472" t="n"/>
      <c r="N633" s="472" t="n"/>
      <c r="O633" s="472" t="n"/>
      <c r="P633" s="472" t="n"/>
      <c r="Q633" s="472" t="n"/>
      <c r="R633" s="472" t="n"/>
      <c r="S633" s="285" t="n"/>
      <c r="T633" s="284" t="n"/>
      <c r="U633" s="284" t="n"/>
      <c r="V633" s="285" t="n"/>
      <c r="W633" s="285" t="n"/>
      <c r="X633" s="285" t="n"/>
      <c r="Y633" s="285" t="n"/>
      <c r="Z633" s="285" t="n"/>
      <c r="AA633" s="285" t="n"/>
      <c r="AB633" s="285" t="n"/>
    </row>
    <row r="634" ht="15.75" customHeight="1" s="398">
      <c r="A634" s="284" t="n"/>
      <c r="B634" s="285" t="n"/>
      <c r="C634" s="368" t="n"/>
      <c r="D634" s="336" t="n"/>
      <c r="E634" s="284" t="n"/>
      <c r="F634" s="472" t="n"/>
      <c r="G634" s="472" t="n"/>
      <c r="H634" s="472" t="n"/>
      <c r="I634" s="472" t="n"/>
      <c r="J634" s="472" t="n"/>
      <c r="K634" s="472" t="n"/>
      <c r="L634" s="472" t="n"/>
      <c r="M634" s="472" t="n"/>
      <c r="N634" s="472" t="n"/>
      <c r="O634" s="472" t="n"/>
      <c r="P634" s="472" t="n"/>
      <c r="Q634" s="472" t="n"/>
      <c r="R634" s="472" t="n"/>
      <c r="S634" s="285" t="n"/>
      <c r="T634" s="284" t="n"/>
      <c r="U634" s="284" t="n"/>
      <c r="V634" s="285" t="n"/>
      <c r="W634" s="285" t="n"/>
      <c r="X634" s="285" t="n"/>
      <c r="Y634" s="285" t="n"/>
      <c r="Z634" s="285" t="n"/>
      <c r="AA634" s="285" t="n"/>
      <c r="AB634" s="285" t="n"/>
    </row>
    <row r="635" ht="15.75" customHeight="1" s="398">
      <c r="A635" s="284" t="n"/>
      <c r="B635" s="285" t="n"/>
      <c r="C635" s="368" t="n"/>
      <c r="D635" s="336" t="n"/>
      <c r="E635" s="284" t="n"/>
      <c r="F635" s="472" t="n"/>
      <c r="G635" s="472" t="n"/>
      <c r="H635" s="472" t="n"/>
      <c r="I635" s="472" t="n"/>
      <c r="J635" s="472" t="n"/>
      <c r="K635" s="472" t="n"/>
      <c r="L635" s="472" t="n"/>
      <c r="M635" s="472" t="n"/>
      <c r="N635" s="472" t="n"/>
      <c r="O635" s="472" t="n"/>
      <c r="P635" s="472" t="n"/>
      <c r="Q635" s="472" t="n"/>
      <c r="R635" s="472" t="n"/>
      <c r="S635" s="285" t="n"/>
      <c r="T635" s="284" t="n"/>
      <c r="U635" s="284" t="n"/>
      <c r="V635" s="285" t="n"/>
      <c r="W635" s="285" t="n"/>
      <c r="X635" s="285" t="n"/>
      <c r="Y635" s="285" t="n"/>
      <c r="Z635" s="285" t="n"/>
      <c r="AA635" s="285" t="n"/>
      <c r="AB635" s="285" t="n"/>
    </row>
    <row r="636" ht="15.75" customHeight="1" s="398">
      <c r="A636" s="284" t="n"/>
      <c r="B636" s="285" t="n"/>
      <c r="C636" s="368" t="n"/>
      <c r="D636" s="336" t="n"/>
      <c r="E636" s="284" t="n"/>
      <c r="F636" s="472" t="n"/>
      <c r="G636" s="472" t="n"/>
      <c r="H636" s="472" t="n"/>
      <c r="I636" s="472" t="n"/>
      <c r="J636" s="472" t="n"/>
      <c r="K636" s="472" t="n"/>
      <c r="L636" s="472" t="n"/>
      <c r="M636" s="472" t="n"/>
      <c r="N636" s="472" t="n"/>
      <c r="O636" s="472" t="n"/>
      <c r="P636" s="472" t="n"/>
      <c r="Q636" s="472" t="n"/>
      <c r="R636" s="472" t="n"/>
      <c r="S636" s="285" t="n"/>
      <c r="T636" s="284" t="n"/>
      <c r="U636" s="284" t="n"/>
      <c r="V636" s="285" t="n"/>
      <c r="W636" s="285" t="n"/>
      <c r="X636" s="285" t="n"/>
      <c r="Y636" s="285" t="n"/>
      <c r="Z636" s="285" t="n"/>
      <c r="AA636" s="285" t="n"/>
      <c r="AB636" s="285" t="n"/>
    </row>
    <row r="637" ht="15.75" customHeight="1" s="398">
      <c r="A637" s="284" t="n"/>
      <c r="B637" s="285" t="n"/>
      <c r="C637" s="368" t="n"/>
      <c r="D637" s="336" t="n"/>
      <c r="E637" s="284" t="n"/>
      <c r="F637" s="472" t="n"/>
      <c r="G637" s="472" t="n"/>
      <c r="H637" s="472" t="n"/>
      <c r="I637" s="472" t="n"/>
      <c r="J637" s="472" t="n"/>
      <c r="K637" s="472" t="n"/>
      <c r="L637" s="472" t="n"/>
      <c r="M637" s="472" t="n"/>
      <c r="N637" s="472" t="n"/>
      <c r="O637" s="472" t="n"/>
      <c r="P637" s="472" t="n"/>
      <c r="Q637" s="472" t="n"/>
      <c r="R637" s="472" t="n"/>
      <c r="S637" s="285" t="n"/>
      <c r="T637" s="284" t="n"/>
      <c r="U637" s="284" t="n"/>
      <c r="V637" s="285" t="n"/>
      <c r="W637" s="285" t="n"/>
      <c r="X637" s="285" t="n"/>
      <c r="Y637" s="285" t="n"/>
      <c r="Z637" s="285" t="n"/>
      <c r="AA637" s="285" t="n"/>
      <c r="AB637" s="285" t="n"/>
    </row>
    <row r="638" ht="15.75" customHeight="1" s="398">
      <c r="A638" s="284" t="n"/>
      <c r="B638" s="285" t="n"/>
      <c r="C638" s="368" t="n"/>
      <c r="D638" s="336" t="n"/>
      <c r="E638" s="284" t="n"/>
      <c r="F638" s="472" t="n"/>
      <c r="G638" s="472" t="n"/>
      <c r="H638" s="472" t="n"/>
      <c r="I638" s="472" t="n"/>
      <c r="J638" s="472" t="n"/>
      <c r="K638" s="472" t="n"/>
      <c r="L638" s="472" t="n"/>
      <c r="M638" s="472" t="n"/>
      <c r="N638" s="472" t="n"/>
      <c r="O638" s="472" t="n"/>
      <c r="P638" s="472" t="n"/>
      <c r="Q638" s="472" t="n"/>
      <c r="R638" s="472" t="n"/>
      <c r="S638" s="285" t="n"/>
      <c r="T638" s="284" t="n"/>
      <c r="U638" s="284" t="n"/>
      <c r="V638" s="285" t="n"/>
      <c r="W638" s="285" t="n"/>
      <c r="X638" s="285" t="n"/>
      <c r="Y638" s="285" t="n"/>
      <c r="Z638" s="285" t="n"/>
      <c r="AA638" s="285" t="n"/>
      <c r="AB638" s="285" t="n"/>
    </row>
    <row r="639" ht="15.75" customHeight="1" s="398">
      <c r="A639" s="284" t="n"/>
      <c r="B639" s="285" t="n"/>
      <c r="C639" s="368" t="n"/>
      <c r="D639" s="336" t="n"/>
      <c r="E639" s="284" t="n"/>
      <c r="F639" s="472" t="n"/>
      <c r="G639" s="472" t="n"/>
      <c r="H639" s="472" t="n"/>
      <c r="I639" s="472" t="n"/>
      <c r="J639" s="472" t="n"/>
      <c r="K639" s="472" t="n"/>
      <c r="L639" s="472" t="n"/>
      <c r="M639" s="472" t="n"/>
      <c r="N639" s="472" t="n"/>
      <c r="O639" s="472" t="n"/>
      <c r="P639" s="472" t="n"/>
      <c r="Q639" s="472" t="n"/>
      <c r="R639" s="472" t="n"/>
      <c r="S639" s="285" t="n"/>
      <c r="T639" s="284" t="n"/>
      <c r="U639" s="284" t="n"/>
      <c r="V639" s="285" t="n"/>
      <c r="W639" s="285" t="n"/>
      <c r="X639" s="285" t="n"/>
      <c r="Y639" s="285" t="n"/>
      <c r="Z639" s="285" t="n"/>
      <c r="AA639" s="285" t="n"/>
      <c r="AB639" s="285" t="n"/>
    </row>
    <row r="640" ht="15.75" customHeight="1" s="398">
      <c r="A640" s="284" t="n"/>
      <c r="B640" s="285" t="n"/>
      <c r="C640" s="368" t="n"/>
      <c r="D640" s="336" t="n"/>
      <c r="E640" s="284" t="n"/>
      <c r="F640" s="472" t="n"/>
      <c r="G640" s="472" t="n"/>
      <c r="H640" s="472" t="n"/>
      <c r="I640" s="472" t="n"/>
      <c r="J640" s="472" t="n"/>
      <c r="K640" s="472" t="n"/>
      <c r="L640" s="472" t="n"/>
      <c r="M640" s="472" t="n"/>
      <c r="N640" s="472" t="n"/>
      <c r="O640" s="472" t="n"/>
      <c r="P640" s="472" t="n"/>
      <c r="Q640" s="472" t="n"/>
      <c r="R640" s="472" t="n"/>
      <c r="S640" s="285" t="n"/>
      <c r="T640" s="284" t="n"/>
      <c r="U640" s="284" t="n"/>
      <c r="V640" s="285" t="n"/>
      <c r="W640" s="285" t="n"/>
      <c r="X640" s="285" t="n"/>
      <c r="Y640" s="285" t="n"/>
      <c r="Z640" s="285" t="n"/>
      <c r="AA640" s="285" t="n"/>
      <c r="AB640" s="285" t="n"/>
    </row>
    <row r="641" ht="15.75" customHeight="1" s="398">
      <c r="A641" s="284" t="n"/>
      <c r="B641" s="285" t="n"/>
      <c r="C641" s="368" t="n"/>
      <c r="D641" s="336" t="n"/>
      <c r="E641" s="284" t="n"/>
      <c r="F641" s="472" t="n"/>
      <c r="G641" s="472" t="n"/>
      <c r="H641" s="472" t="n"/>
      <c r="I641" s="472" t="n"/>
      <c r="J641" s="472" t="n"/>
      <c r="K641" s="472" t="n"/>
      <c r="L641" s="472" t="n"/>
      <c r="M641" s="472" t="n"/>
      <c r="N641" s="472" t="n"/>
      <c r="O641" s="472" t="n"/>
      <c r="P641" s="472" t="n"/>
      <c r="Q641" s="472" t="n"/>
      <c r="R641" s="472" t="n"/>
      <c r="S641" s="285" t="n"/>
      <c r="T641" s="284" t="n"/>
      <c r="U641" s="284" t="n"/>
      <c r="V641" s="285" t="n"/>
      <c r="W641" s="285" t="n"/>
      <c r="X641" s="285" t="n"/>
      <c r="Y641" s="285" t="n"/>
      <c r="Z641" s="285" t="n"/>
      <c r="AA641" s="285" t="n"/>
      <c r="AB641" s="285" t="n"/>
    </row>
    <row r="642" ht="15.75" customHeight="1" s="398">
      <c r="A642" s="284" t="n"/>
      <c r="B642" s="285" t="n"/>
      <c r="C642" s="368" t="n"/>
      <c r="D642" s="336" t="n"/>
      <c r="E642" s="284" t="n"/>
      <c r="F642" s="472" t="n"/>
      <c r="G642" s="472" t="n"/>
      <c r="H642" s="472" t="n"/>
      <c r="I642" s="472" t="n"/>
      <c r="J642" s="472" t="n"/>
      <c r="K642" s="472" t="n"/>
      <c r="L642" s="472" t="n"/>
      <c r="M642" s="472" t="n"/>
      <c r="N642" s="472" t="n"/>
      <c r="O642" s="472" t="n"/>
      <c r="P642" s="472" t="n"/>
      <c r="Q642" s="472" t="n"/>
      <c r="R642" s="472" t="n"/>
      <c r="S642" s="285" t="n"/>
      <c r="T642" s="284" t="n"/>
      <c r="U642" s="284" t="n"/>
      <c r="V642" s="285" t="n"/>
      <c r="W642" s="285" t="n"/>
      <c r="X642" s="285" t="n"/>
      <c r="Y642" s="285" t="n"/>
      <c r="Z642" s="285" t="n"/>
      <c r="AA642" s="285" t="n"/>
      <c r="AB642" s="285" t="n"/>
    </row>
    <row r="643" ht="15.75" customHeight="1" s="398">
      <c r="A643" s="284" t="n"/>
      <c r="B643" s="285" t="n"/>
      <c r="C643" s="368" t="n"/>
      <c r="D643" s="336" t="n"/>
      <c r="E643" s="284" t="n"/>
      <c r="F643" s="472" t="n"/>
      <c r="G643" s="472" t="n"/>
      <c r="H643" s="472" t="n"/>
      <c r="I643" s="472" t="n"/>
      <c r="J643" s="472" t="n"/>
      <c r="K643" s="472" t="n"/>
      <c r="L643" s="472" t="n"/>
      <c r="M643" s="472" t="n"/>
      <c r="N643" s="472" t="n"/>
      <c r="O643" s="472" t="n"/>
      <c r="P643" s="472" t="n"/>
      <c r="Q643" s="472" t="n"/>
      <c r="R643" s="472" t="n"/>
      <c r="S643" s="285" t="n"/>
      <c r="T643" s="284" t="n"/>
      <c r="U643" s="284" t="n"/>
      <c r="V643" s="285" t="n"/>
      <c r="W643" s="285" t="n"/>
      <c r="X643" s="285" t="n"/>
      <c r="Y643" s="285" t="n"/>
      <c r="Z643" s="285" t="n"/>
      <c r="AA643" s="285" t="n"/>
      <c r="AB643" s="285" t="n"/>
    </row>
    <row r="644" ht="15.75" customHeight="1" s="398">
      <c r="A644" s="284" t="n"/>
      <c r="B644" s="285" t="n"/>
      <c r="C644" s="368" t="n"/>
      <c r="D644" s="336" t="n"/>
      <c r="E644" s="284" t="n"/>
      <c r="F644" s="472" t="n"/>
      <c r="G644" s="472" t="n"/>
      <c r="H644" s="472" t="n"/>
      <c r="I644" s="472" t="n"/>
      <c r="J644" s="472" t="n"/>
      <c r="K644" s="472" t="n"/>
      <c r="L644" s="472" t="n"/>
      <c r="M644" s="472" t="n"/>
      <c r="N644" s="472" t="n"/>
      <c r="O644" s="472" t="n"/>
      <c r="P644" s="472" t="n"/>
      <c r="Q644" s="472" t="n"/>
      <c r="R644" s="472" t="n"/>
      <c r="S644" s="285" t="n"/>
      <c r="T644" s="284" t="n"/>
      <c r="U644" s="284" t="n"/>
      <c r="V644" s="285" t="n"/>
      <c r="W644" s="285" t="n"/>
      <c r="X644" s="285" t="n"/>
      <c r="Y644" s="285" t="n"/>
      <c r="Z644" s="285" t="n"/>
      <c r="AA644" s="285" t="n"/>
      <c r="AB644" s="285" t="n"/>
    </row>
    <row r="645" ht="15.75" customHeight="1" s="398">
      <c r="A645" s="284" t="n"/>
      <c r="B645" s="285" t="n"/>
      <c r="C645" s="368" t="n"/>
      <c r="D645" s="336" t="n"/>
      <c r="E645" s="284" t="n"/>
      <c r="F645" s="472" t="n"/>
      <c r="G645" s="472" t="n"/>
      <c r="H645" s="472" t="n"/>
      <c r="I645" s="472" t="n"/>
      <c r="J645" s="472" t="n"/>
      <c r="K645" s="472" t="n"/>
      <c r="L645" s="472" t="n"/>
      <c r="M645" s="472" t="n"/>
      <c r="N645" s="472" t="n"/>
      <c r="O645" s="472" t="n"/>
      <c r="P645" s="472" t="n"/>
      <c r="Q645" s="472" t="n"/>
      <c r="R645" s="472" t="n"/>
      <c r="S645" s="285" t="n"/>
      <c r="T645" s="284" t="n"/>
      <c r="U645" s="284" t="n"/>
      <c r="V645" s="285" t="n"/>
      <c r="W645" s="285" t="n"/>
      <c r="X645" s="285" t="n"/>
      <c r="Y645" s="285" t="n"/>
      <c r="Z645" s="285" t="n"/>
      <c r="AA645" s="285" t="n"/>
      <c r="AB645" s="285" t="n"/>
    </row>
    <row r="646" ht="15.75" customHeight="1" s="398">
      <c r="A646" s="284" t="n"/>
      <c r="B646" s="285" t="n"/>
      <c r="C646" s="368" t="n"/>
      <c r="D646" s="336" t="n"/>
      <c r="E646" s="284" t="n"/>
      <c r="F646" s="472" t="n"/>
      <c r="G646" s="472" t="n"/>
      <c r="H646" s="472" t="n"/>
      <c r="I646" s="472" t="n"/>
      <c r="J646" s="472" t="n"/>
      <c r="K646" s="472" t="n"/>
      <c r="L646" s="472" t="n"/>
      <c r="M646" s="472" t="n"/>
      <c r="N646" s="472" t="n"/>
      <c r="O646" s="472" t="n"/>
      <c r="P646" s="472" t="n"/>
      <c r="Q646" s="472" t="n"/>
      <c r="R646" s="472" t="n"/>
      <c r="S646" s="285" t="n"/>
      <c r="T646" s="284" t="n"/>
      <c r="U646" s="284" t="n"/>
      <c r="V646" s="285" t="n"/>
      <c r="W646" s="285" t="n"/>
      <c r="X646" s="285" t="n"/>
      <c r="Y646" s="285" t="n"/>
      <c r="Z646" s="285" t="n"/>
      <c r="AA646" s="285" t="n"/>
      <c r="AB646" s="285" t="n"/>
    </row>
    <row r="647" ht="15.75" customHeight="1" s="398">
      <c r="A647" s="284" t="n"/>
      <c r="B647" s="285" t="n"/>
      <c r="C647" s="368" t="n"/>
      <c r="D647" s="336" t="n"/>
      <c r="E647" s="284" t="n"/>
      <c r="F647" s="472" t="n"/>
      <c r="G647" s="472" t="n"/>
      <c r="H647" s="472" t="n"/>
      <c r="I647" s="472" t="n"/>
      <c r="J647" s="472" t="n"/>
      <c r="K647" s="472" t="n"/>
      <c r="L647" s="472" t="n"/>
      <c r="M647" s="472" t="n"/>
      <c r="N647" s="472" t="n"/>
      <c r="O647" s="472" t="n"/>
      <c r="P647" s="472" t="n"/>
      <c r="Q647" s="472" t="n"/>
      <c r="R647" s="472" t="n"/>
      <c r="S647" s="285" t="n"/>
      <c r="T647" s="284" t="n"/>
      <c r="U647" s="284" t="n"/>
      <c r="V647" s="285" t="n"/>
      <c r="W647" s="285" t="n"/>
      <c r="X647" s="285" t="n"/>
      <c r="Y647" s="285" t="n"/>
      <c r="Z647" s="285" t="n"/>
      <c r="AA647" s="285" t="n"/>
      <c r="AB647" s="285" t="n"/>
    </row>
    <row r="648" ht="15.75" customHeight="1" s="398">
      <c r="A648" s="284" t="n"/>
      <c r="B648" s="285" t="n"/>
      <c r="C648" s="368" t="n"/>
      <c r="D648" s="336" t="n"/>
      <c r="E648" s="284" t="n"/>
      <c r="F648" s="472" t="n"/>
      <c r="G648" s="472" t="n"/>
      <c r="H648" s="472" t="n"/>
      <c r="I648" s="472" t="n"/>
      <c r="J648" s="472" t="n"/>
      <c r="K648" s="472" t="n"/>
      <c r="L648" s="472" t="n"/>
      <c r="M648" s="472" t="n"/>
      <c r="N648" s="472" t="n"/>
      <c r="O648" s="472" t="n"/>
      <c r="P648" s="472" t="n"/>
      <c r="Q648" s="472" t="n"/>
      <c r="R648" s="472" t="n"/>
      <c r="S648" s="285" t="n"/>
      <c r="T648" s="284" t="n"/>
      <c r="U648" s="284" t="n"/>
      <c r="V648" s="285" t="n"/>
      <c r="W648" s="285" t="n"/>
      <c r="X648" s="285" t="n"/>
      <c r="Y648" s="285" t="n"/>
      <c r="Z648" s="285" t="n"/>
      <c r="AA648" s="285" t="n"/>
      <c r="AB648" s="285" t="n"/>
    </row>
    <row r="649" ht="15.75" customHeight="1" s="398">
      <c r="A649" s="284" t="n"/>
      <c r="B649" s="285" t="n"/>
      <c r="C649" s="368" t="n"/>
      <c r="D649" s="336" t="n"/>
      <c r="E649" s="284" t="n"/>
      <c r="F649" s="472" t="n"/>
      <c r="G649" s="472" t="n"/>
      <c r="H649" s="472" t="n"/>
      <c r="I649" s="472" t="n"/>
      <c r="J649" s="472" t="n"/>
      <c r="K649" s="472" t="n"/>
      <c r="L649" s="472" t="n"/>
      <c r="M649" s="472" t="n"/>
      <c r="N649" s="472" t="n"/>
      <c r="O649" s="472" t="n"/>
      <c r="P649" s="472" t="n"/>
      <c r="Q649" s="472" t="n"/>
      <c r="R649" s="472" t="n"/>
      <c r="S649" s="285" t="n"/>
      <c r="T649" s="284" t="n"/>
      <c r="U649" s="284" t="n"/>
      <c r="V649" s="285" t="n"/>
      <c r="W649" s="285" t="n"/>
      <c r="X649" s="285" t="n"/>
      <c r="Y649" s="285" t="n"/>
      <c r="Z649" s="285" t="n"/>
      <c r="AA649" s="285" t="n"/>
      <c r="AB649" s="285" t="n"/>
    </row>
    <row r="650" ht="15.75" customHeight="1" s="398">
      <c r="A650" s="284" t="n"/>
      <c r="B650" s="285" t="n"/>
      <c r="C650" s="368" t="n"/>
      <c r="D650" s="336" t="n"/>
      <c r="E650" s="284" t="n"/>
      <c r="F650" s="472" t="n"/>
      <c r="G650" s="472" t="n"/>
      <c r="H650" s="472" t="n"/>
      <c r="I650" s="472" t="n"/>
      <c r="J650" s="472" t="n"/>
      <c r="K650" s="472" t="n"/>
      <c r="L650" s="472" t="n"/>
      <c r="M650" s="472" t="n"/>
      <c r="N650" s="472" t="n"/>
      <c r="O650" s="472" t="n"/>
      <c r="P650" s="472" t="n"/>
      <c r="Q650" s="472" t="n"/>
      <c r="R650" s="472" t="n"/>
      <c r="S650" s="285" t="n"/>
      <c r="T650" s="284" t="n"/>
      <c r="U650" s="284" t="n"/>
      <c r="V650" s="285" t="n"/>
      <c r="W650" s="285" t="n"/>
      <c r="X650" s="285" t="n"/>
      <c r="Y650" s="285" t="n"/>
      <c r="Z650" s="285" t="n"/>
      <c r="AA650" s="285" t="n"/>
      <c r="AB650" s="285" t="n"/>
    </row>
    <row r="651" ht="15.75" customHeight="1" s="398">
      <c r="A651" s="284" t="n"/>
      <c r="B651" s="285" t="n"/>
      <c r="C651" s="368" t="n"/>
      <c r="D651" s="336" t="n"/>
      <c r="E651" s="284" t="n"/>
      <c r="F651" s="472" t="n"/>
      <c r="G651" s="472" t="n"/>
      <c r="H651" s="472" t="n"/>
      <c r="I651" s="472" t="n"/>
      <c r="J651" s="472" t="n"/>
      <c r="K651" s="472" t="n"/>
      <c r="L651" s="472" t="n"/>
      <c r="M651" s="472" t="n"/>
      <c r="N651" s="472" t="n"/>
      <c r="O651" s="472" t="n"/>
      <c r="P651" s="472" t="n"/>
      <c r="Q651" s="472" t="n"/>
      <c r="R651" s="472" t="n"/>
      <c r="S651" s="285" t="n"/>
      <c r="T651" s="284" t="n"/>
      <c r="U651" s="284" t="n"/>
      <c r="V651" s="285" t="n"/>
      <c r="W651" s="285" t="n"/>
      <c r="X651" s="285" t="n"/>
      <c r="Y651" s="285" t="n"/>
      <c r="Z651" s="285" t="n"/>
      <c r="AA651" s="285" t="n"/>
      <c r="AB651" s="285" t="n"/>
    </row>
    <row r="652" ht="15.75" customHeight="1" s="398">
      <c r="A652" s="284" t="n"/>
      <c r="B652" s="285" t="n"/>
      <c r="C652" s="368" t="n"/>
      <c r="D652" s="336" t="n"/>
      <c r="E652" s="284" t="n"/>
      <c r="F652" s="472" t="n"/>
      <c r="G652" s="472" t="n"/>
      <c r="H652" s="472" t="n"/>
      <c r="I652" s="472" t="n"/>
      <c r="J652" s="472" t="n"/>
      <c r="K652" s="472" t="n"/>
      <c r="L652" s="472" t="n"/>
      <c r="M652" s="472" t="n"/>
      <c r="N652" s="472" t="n"/>
      <c r="O652" s="472" t="n"/>
      <c r="P652" s="472" t="n"/>
      <c r="Q652" s="472" t="n"/>
      <c r="R652" s="472" t="n"/>
      <c r="S652" s="285" t="n"/>
      <c r="T652" s="284" t="n"/>
      <c r="U652" s="284" t="n"/>
      <c r="V652" s="285" t="n"/>
      <c r="W652" s="285" t="n"/>
      <c r="X652" s="285" t="n"/>
      <c r="Y652" s="285" t="n"/>
      <c r="Z652" s="285" t="n"/>
      <c r="AA652" s="285" t="n"/>
      <c r="AB652" s="285" t="n"/>
    </row>
    <row r="653" ht="15.75" customHeight="1" s="398">
      <c r="A653" s="284" t="n"/>
      <c r="B653" s="285" t="n"/>
      <c r="C653" s="368" t="n"/>
      <c r="D653" s="336" t="n"/>
      <c r="E653" s="284" t="n"/>
      <c r="F653" s="472" t="n"/>
      <c r="G653" s="472" t="n"/>
      <c r="H653" s="472" t="n"/>
      <c r="I653" s="472" t="n"/>
      <c r="J653" s="472" t="n"/>
      <c r="K653" s="472" t="n"/>
      <c r="L653" s="472" t="n"/>
      <c r="M653" s="472" t="n"/>
      <c r="N653" s="472" t="n"/>
      <c r="O653" s="472" t="n"/>
      <c r="P653" s="472" t="n"/>
      <c r="Q653" s="472" t="n"/>
      <c r="R653" s="472" t="n"/>
      <c r="S653" s="285" t="n"/>
      <c r="T653" s="284" t="n"/>
      <c r="U653" s="284" t="n"/>
      <c r="V653" s="285" t="n"/>
      <c r="W653" s="285" t="n"/>
      <c r="X653" s="285" t="n"/>
      <c r="Y653" s="285" t="n"/>
      <c r="Z653" s="285" t="n"/>
      <c r="AA653" s="285" t="n"/>
      <c r="AB653" s="285" t="n"/>
    </row>
    <row r="654" ht="15.75" customHeight="1" s="398">
      <c r="A654" s="284" t="n"/>
      <c r="B654" s="285" t="n"/>
      <c r="C654" s="368" t="n"/>
      <c r="D654" s="336" t="n"/>
      <c r="E654" s="284" t="n"/>
      <c r="F654" s="472" t="n"/>
      <c r="G654" s="472" t="n"/>
      <c r="H654" s="472" t="n"/>
      <c r="I654" s="472" t="n"/>
      <c r="J654" s="472" t="n"/>
      <c r="K654" s="472" t="n"/>
      <c r="L654" s="472" t="n"/>
      <c r="M654" s="472" t="n"/>
      <c r="N654" s="472" t="n"/>
      <c r="O654" s="472" t="n"/>
      <c r="P654" s="472" t="n"/>
      <c r="Q654" s="472" t="n"/>
      <c r="R654" s="472" t="n"/>
      <c r="S654" s="285" t="n"/>
      <c r="T654" s="284" t="n"/>
      <c r="U654" s="284" t="n"/>
      <c r="V654" s="285" t="n"/>
      <c r="W654" s="285" t="n"/>
      <c r="X654" s="285" t="n"/>
      <c r="Y654" s="285" t="n"/>
      <c r="Z654" s="285" t="n"/>
      <c r="AA654" s="285" t="n"/>
      <c r="AB654" s="285" t="n"/>
    </row>
    <row r="655" ht="15.75" customHeight="1" s="398">
      <c r="A655" s="284" t="n"/>
      <c r="B655" s="285" t="n"/>
      <c r="C655" s="368" t="n"/>
      <c r="D655" s="336" t="n"/>
      <c r="E655" s="284" t="n"/>
      <c r="F655" s="472" t="n"/>
      <c r="G655" s="472" t="n"/>
      <c r="H655" s="472" t="n"/>
      <c r="I655" s="472" t="n"/>
      <c r="J655" s="472" t="n"/>
      <c r="K655" s="472" t="n"/>
      <c r="L655" s="472" t="n"/>
      <c r="M655" s="472" t="n"/>
      <c r="N655" s="472" t="n"/>
      <c r="O655" s="472" t="n"/>
      <c r="P655" s="472" t="n"/>
      <c r="Q655" s="472" t="n"/>
      <c r="R655" s="472" t="n"/>
      <c r="S655" s="285" t="n"/>
      <c r="T655" s="284" t="n"/>
      <c r="U655" s="284" t="n"/>
      <c r="V655" s="285" t="n"/>
      <c r="W655" s="285" t="n"/>
      <c r="X655" s="285" t="n"/>
      <c r="Y655" s="285" t="n"/>
      <c r="Z655" s="285" t="n"/>
      <c r="AA655" s="285" t="n"/>
      <c r="AB655" s="285" t="n"/>
    </row>
    <row r="656" ht="15.75" customHeight="1" s="398">
      <c r="A656" s="284" t="n"/>
      <c r="B656" s="285" t="n"/>
      <c r="C656" s="368" t="n"/>
      <c r="D656" s="336" t="n"/>
      <c r="E656" s="284" t="n"/>
      <c r="F656" s="472" t="n"/>
      <c r="G656" s="472" t="n"/>
      <c r="H656" s="472" t="n"/>
      <c r="I656" s="472" t="n"/>
      <c r="J656" s="472" t="n"/>
      <c r="K656" s="472" t="n"/>
      <c r="L656" s="472" t="n"/>
      <c r="M656" s="472" t="n"/>
      <c r="N656" s="472" t="n"/>
      <c r="O656" s="472" t="n"/>
      <c r="P656" s="472" t="n"/>
      <c r="Q656" s="472" t="n"/>
      <c r="R656" s="472" t="n"/>
      <c r="S656" s="285" t="n"/>
      <c r="T656" s="284" t="n"/>
      <c r="U656" s="284" t="n"/>
      <c r="V656" s="285" t="n"/>
      <c r="W656" s="285" t="n"/>
      <c r="X656" s="285" t="n"/>
      <c r="Y656" s="285" t="n"/>
      <c r="Z656" s="285" t="n"/>
      <c r="AA656" s="285" t="n"/>
      <c r="AB656" s="285" t="n"/>
    </row>
    <row r="657" ht="15.75" customHeight="1" s="398">
      <c r="A657" s="284" t="n"/>
      <c r="B657" s="285" t="n"/>
      <c r="C657" s="368" t="n"/>
      <c r="D657" s="336" t="n"/>
      <c r="E657" s="284" t="n"/>
      <c r="F657" s="472" t="n"/>
      <c r="G657" s="472" t="n"/>
      <c r="H657" s="472" t="n"/>
      <c r="I657" s="472" t="n"/>
      <c r="J657" s="472" t="n"/>
      <c r="K657" s="472" t="n"/>
      <c r="L657" s="472" t="n"/>
      <c r="M657" s="472" t="n"/>
      <c r="N657" s="472" t="n"/>
      <c r="O657" s="472" t="n"/>
      <c r="P657" s="472" t="n"/>
      <c r="Q657" s="472" t="n"/>
      <c r="R657" s="472" t="n"/>
      <c r="S657" s="285" t="n"/>
      <c r="T657" s="284" t="n"/>
      <c r="U657" s="284" t="n"/>
      <c r="V657" s="285" t="n"/>
      <c r="W657" s="285" t="n"/>
      <c r="X657" s="285" t="n"/>
      <c r="Y657" s="285" t="n"/>
      <c r="Z657" s="285" t="n"/>
      <c r="AA657" s="285" t="n"/>
      <c r="AB657" s="285" t="n"/>
    </row>
    <row r="658" ht="15.75" customHeight="1" s="398">
      <c r="A658" s="284" t="n"/>
      <c r="B658" s="285" t="n"/>
      <c r="C658" s="368" t="n"/>
      <c r="D658" s="336" t="n"/>
      <c r="E658" s="284" t="n"/>
      <c r="F658" s="472" t="n"/>
      <c r="G658" s="472" t="n"/>
      <c r="H658" s="472" t="n"/>
      <c r="I658" s="472" t="n"/>
      <c r="J658" s="472" t="n"/>
      <c r="K658" s="472" t="n"/>
      <c r="L658" s="472" t="n"/>
      <c r="M658" s="472" t="n"/>
      <c r="N658" s="472" t="n"/>
      <c r="O658" s="472" t="n"/>
      <c r="P658" s="472" t="n"/>
      <c r="Q658" s="472" t="n"/>
      <c r="R658" s="472" t="n"/>
      <c r="S658" s="285" t="n"/>
      <c r="T658" s="284" t="n"/>
      <c r="U658" s="284" t="n"/>
      <c r="V658" s="285" t="n"/>
      <c r="W658" s="285" t="n"/>
      <c r="X658" s="285" t="n"/>
      <c r="Y658" s="285" t="n"/>
      <c r="Z658" s="285" t="n"/>
      <c r="AA658" s="285" t="n"/>
      <c r="AB658" s="285" t="n"/>
    </row>
    <row r="659" ht="15.75" customHeight="1" s="398">
      <c r="A659" s="284" t="n"/>
      <c r="B659" s="285" t="n"/>
      <c r="C659" s="368" t="n"/>
      <c r="D659" s="336" t="n"/>
      <c r="E659" s="284" t="n"/>
      <c r="F659" s="472" t="n"/>
      <c r="G659" s="472" t="n"/>
      <c r="H659" s="472" t="n"/>
      <c r="I659" s="472" t="n"/>
      <c r="J659" s="472" t="n"/>
      <c r="K659" s="472" t="n"/>
      <c r="L659" s="472" t="n"/>
      <c r="M659" s="472" t="n"/>
      <c r="N659" s="472" t="n"/>
      <c r="O659" s="472" t="n"/>
      <c r="P659" s="472" t="n"/>
      <c r="Q659" s="472" t="n"/>
      <c r="R659" s="472" t="n"/>
      <c r="S659" s="285" t="n"/>
      <c r="T659" s="284" t="n"/>
      <c r="U659" s="284" t="n"/>
      <c r="V659" s="285" t="n"/>
      <c r="W659" s="285" t="n"/>
      <c r="X659" s="285" t="n"/>
      <c r="Y659" s="285" t="n"/>
      <c r="Z659" s="285" t="n"/>
      <c r="AA659" s="285" t="n"/>
      <c r="AB659" s="285" t="n"/>
    </row>
    <row r="660" ht="15.75" customHeight="1" s="398">
      <c r="A660" s="284" t="n"/>
      <c r="B660" s="285" t="n"/>
      <c r="C660" s="368" t="n"/>
      <c r="D660" s="336" t="n"/>
      <c r="E660" s="284" t="n"/>
      <c r="F660" s="472" t="n"/>
      <c r="G660" s="472" t="n"/>
      <c r="H660" s="472" t="n"/>
      <c r="I660" s="472" t="n"/>
      <c r="J660" s="472" t="n"/>
      <c r="K660" s="472" t="n"/>
      <c r="L660" s="472" t="n"/>
      <c r="M660" s="472" t="n"/>
      <c r="N660" s="472" t="n"/>
      <c r="O660" s="472" t="n"/>
      <c r="P660" s="472" t="n"/>
      <c r="Q660" s="472" t="n"/>
      <c r="R660" s="472" t="n"/>
      <c r="S660" s="285" t="n"/>
      <c r="T660" s="284" t="n"/>
      <c r="U660" s="284" t="n"/>
      <c r="V660" s="285" t="n"/>
      <c r="W660" s="285" t="n"/>
      <c r="X660" s="285" t="n"/>
      <c r="Y660" s="285" t="n"/>
      <c r="Z660" s="285" t="n"/>
      <c r="AA660" s="285" t="n"/>
      <c r="AB660" s="285" t="n"/>
    </row>
    <row r="661" ht="15.75" customHeight="1" s="398">
      <c r="A661" s="284" t="n"/>
      <c r="B661" s="285" t="n"/>
      <c r="C661" s="368" t="n"/>
      <c r="D661" s="336" t="n"/>
      <c r="E661" s="284" t="n"/>
      <c r="F661" s="472" t="n"/>
      <c r="G661" s="472" t="n"/>
      <c r="H661" s="472" t="n"/>
      <c r="I661" s="472" t="n"/>
      <c r="J661" s="472" t="n"/>
      <c r="K661" s="472" t="n"/>
      <c r="L661" s="472" t="n"/>
      <c r="M661" s="472" t="n"/>
      <c r="N661" s="472" t="n"/>
      <c r="O661" s="472" t="n"/>
      <c r="P661" s="472" t="n"/>
      <c r="Q661" s="472" t="n"/>
      <c r="R661" s="472" t="n"/>
      <c r="S661" s="285" t="n"/>
      <c r="T661" s="284" t="n"/>
      <c r="U661" s="284" t="n"/>
      <c r="V661" s="285" t="n"/>
      <c r="W661" s="285" t="n"/>
      <c r="X661" s="285" t="n"/>
      <c r="Y661" s="285" t="n"/>
      <c r="Z661" s="285" t="n"/>
      <c r="AA661" s="285" t="n"/>
      <c r="AB661" s="285" t="n"/>
    </row>
    <row r="662" ht="15.75" customHeight="1" s="398">
      <c r="A662" s="284" t="n"/>
      <c r="B662" s="285" t="n"/>
      <c r="C662" s="368" t="n"/>
      <c r="D662" s="336" t="n"/>
      <c r="E662" s="284" t="n"/>
      <c r="F662" s="472" t="n"/>
      <c r="G662" s="472" t="n"/>
      <c r="H662" s="472" t="n"/>
      <c r="I662" s="472" t="n"/>
      <c r="J662" s="472" t="n"/>
      <c r="K662" s="472" t="n"/>
      <c r="L662" s="472" t="n"/>
      <c r="M662" s="472" t="n"/>
      <c r="N662" s="472" t="n"/>
      <c r="O662" s="472" t="n"/>
      <c r="P662" s="472" t="n"/>
      <c r="Q662" s="472" t="n"/>
      <c r="R662" s="472" t="n"/>
      <c r="S662" s="285" t="n"/>
      <c r="T662" s="284" t="n"/>
      <c r="U662" s="284" t="n"/>
      <c r="V662" s="285" t="n"/>
      <c r="W662" s="285" t="n"/>
      <c r="X662" s="285" t="n"/>
      <c r="Y662" s="285" t="n"/>
      <c r="Z662" s="285" t="n"/>
      <c r="AA662" s="285" t="n"/>
      <c r="AB662" s="285" t="n"/>
    </row>
    <row r="663" ht="15.75" customHeight="1" s="398">
      <c r="A663" s="284" t="n"/>
      <c r="B663" s="285" t="n"/>
      <c r="C663" s="368" t="n"/>
      <c r="D663" s="336" t="n"/>
      <c r="E663" s="284" t="n"/>
      <c r="F663" s="472" t="n"/>
      <c r="G663" s="472" t="n"/>
      <c r="H663" s="472" t="n"/>
      <c r="I663" s="472" t="n"/>
      <c r="J663" s="472" t="n"/>
      <c r="K663" s="472" t="n"/>
      <c r="L663" s="472" t="n"/>
      <c r="M663" s="472" t="n"/>
      <c r="N663" s="472" t="n"/>
      <c r="O663" s="472" t="n"/>
      <c r="P663" s="472" t="n"/>
      <c r="Q663" s="472" t="n"/>
      <c r="R663" s="472" t="n"/>
      <c r="S663" s="285" t="n"/>
      <c r="T663" s="284" t="n"/>
      <c r="U663" s="284" t="n"/>
      <c r="V663" s="285" t="n"/>
      <c r="W663" s="285" t="n"/>
      <c r="X663" s="285" t="n"/>
      <c r="Y663" s="285" t="n"/>
      <c r="Z663" s="285" t="n"/>
      <c r="AA663" s="285" t="n"/>
      <c r="AB663" s="285" t="n"/>
    </row>
    <row r="664" ht="15.75" customHeight="1" s="398">
      <c r="A664" s="284" t="n"/>
      <c r="B664" s="285" t="n"/>
      <c r="C664" s="368" t="n"/>
      <c r="D664" s="336" t="n"/>
      <c r="E664" s="284" t="n"/>
      <c r="F664" s="472" t="n"/>
      <c r="G664" s="472" t="n"/>
      <c r="H664" s="472" t="n"/>
      <c r="I664" s="472" t="n"/>
      <c r="J664" s="472" t="n"/>
      <c r="K664" s="472" t="n"/>
      <c r="L664" s="472" t="n"/>
      <c r="M664" s="472" t="n"/>
      <c r="N664" s="472" t="n"/>
      <c r="O664" s="472" t="n"/>
      <c r="P664" s="472" t="n"/>
      <c r="Q664" s="472" t="n"/>
      <c r="R664" s="472" t="n"/>
      <c r="S664" s="285" t="n"/>
      <c r="T664" s="284" t="n"/>
      <c r="U664" s="284" t="n"/>
      <c r="V664" s="285" t="n"/>
      <c r="W664" s="285" t="n"/>
      <c r="X664" s="285" t="n"/>
      <c r="Y664" s="285" t="n"/>
      <c r="Z664" s="285" t="n"/>
      <c r="AA664" s="285" t="n"/>
      <c r="AB664" s="285" t="n"/>
    </row>
    <row r="665" ht="15.75" customHeight="1" s="398">
      <c r="A665" s="284" t="n"/>
      <c r="B665" s="285" t="n"/>
      <c r="C665" s="368" t="n"/>
      <c r="D665" s="336" t="n"/>
      <c r="E665" s="284" t="n"/>
      <c r="F665" s="472" t="n"/>
      <c r="G665" s="472" t="n"/>
      <c r="H665" s="472" t="n"/>
      <c r="I665" s="472" t="n"/>
      <c r="J665" s="472" t="n"/>
      <c r="K665" s="472" t="n"/>
      <c r="L665" s="472" t="n"/>
      <c r="M665" s="472" t="n"/>
      <c r="N665" s="472" t="n"/>
      <c r="O665" s="472" t="n"/>
      <c r="P665" s="472" t="n"/>
      <c r="Q665" s="472" t="n"/>
      <c r="R665" s="472" t="n"/>
      <c r="S665" s="285" t="n"/>
      <c r="T665" s="284" t="n"/>
      <c r="U665" s="284" t="n"/>
      <c r="V665" s="285" t="n"/>
      <c r="W665" s="285" t="n"/>
      <c r="X665" s="285" t="n"/>
      <c r="Y665" s="285" t="n"/>
      <c r="Z665" s="285" t="n"/>
      <c r="AA665" s="285" t="n"/>
      <c r="AB665" s="285" t="n"/>
    </row>
    <row r="666" ht="15.75" customHeight="1" s="398">
      <c r="A666" s="284" t="n"/>
      <c r="B666" s="285" t="n"/>
      <c r="C666" s="368" t="n"/>
      <c r="D666" s="336" t="n"/>
      <c r="E666" s="284" t="n"/>
      <c r="F666" s="472" t="n"/>
      <c r="G666" s="472" t="n"/>
      <c r="H666" s="472" t="n"/>
      <c r="I666" s="472" t="n"/>
      <c r="J666" s="472" t="n"/>
      <c r="K666" s="472" t="n"/>
      <c r="L666" s="472" t="n"/>
      <c r="M666" s="472" t="n"/>
      <c r="N666" s="472" t="n"/>
      <c r="O666" s="472" t="n"/>
      <c r="P666" s="472" t="n"/>
      <c r="Q666" s="472" t="n"/>
      <c r="R666" s="472" t="n"/>
      <c r="S666" s="285" t="n"/>
      <c r="T666" s="284" t="n"/>
      <c r="U666" s="284" t="n"/>
      <c r="V666" s="285" t="n"/>
      <c r="W666" s="285" t="n"/>
      <c r="X666" s="285" t="n"/>
      <c r="Y666" s="285" t="n"/>
      <c r="Z666" s="285" t="n"/>
      <c r="AA666" s="285" t="n"/>
      <c r="AB666" s="285" t="n"/>
    </row>
    <row r="667" ht="15.75" customHeight="1" s="398">
      <c r="A667" s="284" t="n"/>
      <c r="B667" s="285" t="n"/>
      <c r="C667" s="368" t="n"/>
      <c r="D667" s="336" t="n"/>
      <c r="E667" s="284" t="n"/>
      <c r="F667" s="472" t="n"/>
      <c r="G667" s="472" t="n"/>
      <c r="H667" s="472" t="n"/>
      <c r="I667" s="472" t="n"/>
      <c r="J667" s="472" t="n"/>
      <c r="K667" s="472" t="n"/>
      <c r="L667" s="472" t="n"/>
      <c r="M667" s="472" t="n"/>
      <c r="N667" s="472" t="n"/>
      <c r="O667" s="472" t="n"/>
      <c r="P667" s="472" t="n"/>
      <c r="Q667" s="472" t="n"/>
      <c r="R667" s="472" t="n"/>
      <c r="S667" s="285" t="n"/>
      <c r="T667" s="284" t="n"/>
      <c r="U667" s="284" t="n"/>
      <c r="V667" s="285" t="n"/>
      <c r="W667" s="285" t="n"/>
      <c r="X667" s="285" t="n"/>
      <c r="Y667" s="285" t="n"/>
      <c r="Z667" s="285" t="n"/>
      <c r="AA667" s="285" t="n"/>
      <c r="AB667" s="285" t="n"/>
    </row>
    <row r="668" ht="15.75" customHeight="1" s="398">
      <c r="A668" s="284" t="n"/>
      <c r="B668" s="285" t="n"/>
      <c r="C668" s="368" t="n"/>
      <c r="D668" s="336" t="n"/>
      <c r="E668" s="284" t="n"/>
      <c r="F668" s="472" t="n"/>
      <c r="G668" s="472" t="n"/>
      <c r="H668" s="472" t="n"/>
      <c r="I668" s="472" t="n"/>
      <c r="J668" s="472" t="n"/>
      <c r="K668" s="472" t="n"/>
      <c r="L668" s="472" t="n"/>
      <c r="M668" s="472" t="n"/>
      <c r="N668" s="472" t="n"/>
      <c r="O668" s="472" t="n"/>
      <c r="P668" s="472" t="n"/>
      <c r="Q668" s="472" t="n"/>
      <c r="R668" s="472" t="n"/>
      <c r="S668" s="285" t="n"/>
      <c r="T668" s="284" t="n"/>
      <c r="U668" s="284" t="n"/>
      <c r="V668" s="285" t="n"/>
      <c r="W668" s="285" t="n"/>
      <c r="X668" s="285" t="n"/>
      <c r="Y668" s="285" t="n"/>
      <c r="Z668" s="285" t="n"/>
      <c r="AA668" s="285" t="n"/>
      <c r="AB668" s="285" t="n"/>
    </row>
    <row r="669" ht="15.75" customHeight="1" s="398">
      <c r="A669" s="284" t="n"/>
      <c r="B669" s="285" t="n"/>
      <c r="C669" s="368" t="n"/>
      <c r="D669" s="336" t="n"/>
      <c r="E669" s="284" t="n"/>
      <c r="F669" s="472" t="n"/>
      <c r="G669" s="472" t="n"/>
      <c r="H669" s="472" t="n"/>
      <c r="I669" s="472" t="n"/>
      <c r="J669" s="472" t="n"/>
      <c r="K669" s="472" t="n"/>
      <c r="L669" s="472" t="n"/>
      <c r="M669" s="472" t="n"/>
      <c r="N669" s="472" t="n"/>
      <c r="O669" s="472" t="n"/>
      <c r="P669" s="472" t="n"/>
      <c r="Q669" s="472" t="n"/>
      <c r="R669" s="472" t="n"/>
      <c r="S669" s="285" t="n"/>
      <c r="T669" s="284" t="n"/>
      <c r="U669" s="284" t="n"/>
      <c r="V669" s="285" t="n"/>
      <c r="W669" s="285" t="n"/>
      <c r="X669" s="285" t="n"/>
      <c r="Y669" s="285" t="n"/>
      <c r="Z669" s="285" t="n"/>
      <c r="AA669" s="285" t="n"/>
      <c r="AB669" s="285" t="n"/>
    </row>
    <row r="670" ht="15.75" customHeight="1" s="398">
      <c r="A670" s="284" t="n"/>
      <c r="B670" s="285" t="n"/>
      <c r="C670" s="368" t="n"/>
      <c r="D670" s="336" t="n"/>
      <c r="E670" s="284" t="n"/>
      <c r="F670" s="472" t="n"/>
      <c r="G670" s="472" t="n"/>
      <c r="H670" s="472" t="n"/>
      <c r="I670" s="472" t="n"/>
      <c r="J670" s="472" t="n"/>
      <c r="K670" s="472" t="n"/>
      <c r="L670" s="472" t="n"/>
      <c r="M670" s="472" t="n"/>
      <c r="N670" s="472" t="n"/>
      <c r="O670" s="472" t="n"/>
      <c r="P670" s="472" t="n"/>
      <c r="Q670" s="472" t="n"/>
      <c r="R670" s="472" t="n"/>
      <c r="S670" s="285" t="n"/>
      <c r="T670" s="284" t="n"/>
      <c r="U670" s="284" t="n"/>
      <c r="V670" s="285" t="n"/>
      <c r="W670" s="285" t="n"/>
      <c r="X670" s="285" t="n"/>
      <c r="Y670" s="285" t="n"/>
      <c r="Z670" s="285" t="n"/>
      <c r="AA670" s="285" t="n"/>
      <c r="AB670" s="285" t="n"/>
    </row>
    <row r="671" ht="15.75" customHeight="1" s="398">
      <c r="A671" s="284" t="n"/>
      <c r="B671" s="285" t="n"/>
      <c r="C671" s="368" t="n"/>
      <c r="D671" s="336" t="n"/>
      <c r="E671" s="284" t="n"/>
      <c r="F671" s="472" t="n"/>
      <c r="G671" s="472" t="n"/>
      <c r="H671" s="472" t="n"/>
      <c r="I671" s="472" t="n"/>
      <c r="J671" s="472" t="n"/>
      <c r="K671" s="472" t="n"/>
      <c r="L671" s="472" t="n"/>
      <c r="M671" s="472" t="n"/>
      <c r="N671" s="472" t="n"/>
      <c r="O671" s="472" t="n"/>
      <c r="P671" s="472" t="n"/>
      <c r="Q671" s="472" t="n"/>
      <c r="R671" s="472" t="n"/>
      <c r="S671" s="285" t="n"/>
      <c r="T671" s="284" t="n"/>
      <c r="U671" s="284" t="n"/>
      <c r="V671" s="285" t="n"/>
      <c r="W671" s="285" t="n"/>
      <c r="X671" s="285" t="n"/>
      <c r="Y671" s="285" t="n"/>
      <c r="Z671" s="285" t="n"/>
      <c r="AA671" s="285" t="n"/>
      <c r="AB671" s="285" t="n"/>
    </row>
    <row r="672" ht="15.75" customHeight="1" s="398">
      <c r="A672" s="284" t="n"/>
      <c r="B672" s="285" t="n"/>
      <c r="C672" s="368" t="n"/>
      <c r="D672" s="336" t="n"/>
      <c r="E672" s="284" t="n"/>
      <c r="F672" s="472" t="n"/>
      <c r="G672" s="472" t="n"/>
      <c r="H672" s="472" t="n"/>
      <c r="I672" s="472" t="n"/>
      <c r="J672" s="472" t="n"/>
      <c r="K672" s="472" t="n"/>
      <c r="L672" s="472" t="n"/>
      <c r="M672" s="472" t="n"/>
      <c r="N672" s="472" t="n"/>
      <c r="O672" s="472" t="n"/>
      <c r="P672" s="472" t="n"/>
      <c r="Q672" s="472" t="n"/>
      <c r="R672" s="472" t="n"/>
      <c r="S672" s="285" t="n"/>
      <c r="T672" s="284" t="n"/>
      <c r="U672" s="284" t="n"/>
      <c r="V672" s="285" t="n"/>
      <c r="W672" s="285" t="n"/>
      <c r="X672" s="285" t="n"/>
      <c r="Y672" s="285" t="n"/>
      <c r="Z672" s="285" t="n"/>
      <c r="AA672" s="285" t="n"/>
      <c r="AB672" s="285" t="n"/>
    </row>
    <row r="673" ht="15.75" customHeight="1" s="398">
      <c r="A673" s="284" t="n"/>
      <c r="B673" s="285" t="n"/>
      <c r="C673" s="368" t="n"/>
      <c r="D673" s="336" t="n"/>
      <c r="E673" s="284" t="n"/>
      <c r="F673" s="472" t="n"/>
      <c r="G673" s="472" t="n"/>
      <c r="H673" s="472" t="n"/>
      <c r="I673" s="472" t="n"/>
      <c r="J673" s="472" t="n"/>
      <c r="K673" s="472" t="n"/>
      <c r="L673" s="472" t="n"/>
      <c r="M673" s="472" t="n"/>
      <c r="N673" s="472" t="n"/>
      <c r="O673" s="472" t="n"/>
      <c r="P673" s="472" t="n"/>
      <c r="Q673" s="472" t="n"/>
      <c r="R673" s="472" t="n"/>
      <c r="S673" s="285" t="n"/>
      <c r="T673" s="284" t="n"/>
      <c r="U673" s="284" t="n"/>
      <c r="V673" s="285" t="n"/>
      <c r="W673" s="285" t="n"/>
      <c r="X673" s="285" t="n"/>
      <c r="Y673" s="285" t="n"/>
      <c r="Z673" s="285" t="n"/>
      <c r="AA673" s="285" t="n"/>
      <c r="AB673" s="285" t="n"/>
    </row>
    <row r="674" ht="15.75" customHeight="1" s="398">
      <c r="A674" s="284" t="n"/>
      <c r="B674" s="285" t="n"/>
      <c r="C674" s="368" t="n"/>
      <c r="D674" s="336" t="n"/>
      <c r="E674" s="284" t="n"/>
      <c r="F674" s="472" t="n"/>
      <c r="G674" s="472" t="n"/>
      <c r="H674" s="472" t="n"/>
      <c r="I674" s="472" t="n"/>
      <c r="J674" s="472" t="n"/>
      <c r="K674" s="472" t="n"/>
      <c r="L674" s="472" t="n"/>
      <c r="M674" s="472" t="n"/>
      <c r="N674" s="472" t="n"/>
      <c r="O674" s="472" t="n"/>
      <c r="P674" s="472" t="n"/>
      <c r="Q674" s="472" t="n"/>
      <c r="R674" s="472" t="n"/>
      <c r="S674" s="285" t="n"/>
      <c r="T674" s="284" t="n"/>
      <c r="U674" s="284" t="n"/>
      <c r="V674" s="285" t="n"/>
      <c r="W674" s="285" t="n"/>
      <c r="X674" s="285" t="n"/>
      <c r="Y674" s="285" t="n"/>
      <c r="Z674" s="285" t="n"/>
      <c r="AA674" s="285" t="n"/>
      <c r="AB674" s="285" t="n"/>
    </row>
    <row r="675" ht="15.75" customHeight="1" s="398">
      <c r="A675" s="284" t="n"/>
      <c r="B675" s="285" t="n"/>
      <c r="C675" s="368" t="n"/>
      <c r="D675" s="336" t="n"/>
      <c r="E675" s="284" t="n"/>
      <c r="F675" s="472" t="n"/>
      <c r="G675" s="472" t="n"/>
      <c r="H675" s="472" t="n"/>
      <c r="I675" s="472" t="n"/>
      <c r="J675" s="472" t="n"/>
      <c r="K675" s="472" t="n"/>
      <c r="L675" s="472" t="n"/>
      <c r="M675" s="472" t="n"/>
      <c r="N675" s="472" t="n"/>
      <c r="O675" s="472" t="n"/>
      <c r="P675" s="472" t="n"/>
      <c r="Q675" s="472" t="n"/>
      <c r="R675" s="472" t="n"/>
      <c r="S675" s="285" t="n"/>
      <c r="T675" s="284" t="n"/>
      <c r="U675" s="284" t="n"/>
      <c r="V675" s="285" t="n"/>
      <c r="W675" s="285" t="n"/>
      <c r="X675" s="285" t="n"/>
      <c r="Y675" s="285" t="n"/>
      <c r="Z675" s="285" t="n"/>
      <c r="AA675" s="285" t="n"/>
      <c r="AB675" s="285" t="n"/>
    </row>
    <row r="676" ht="15.75" customHeight="1" s="398">
      <c r="A676" s="284" t="n"/>
      <c r="B676" s="285" t="n"/>
      <c r="C676" s="368" t="n"/>
      <c r="D676" s="336" t="n"/>
      <c r="E676" s="284" t="n"/>
      <c r="F676" s="472" t="n"/>
      <c r="G676" s="472" t="n"/>
      <c r="H676" s="472" t="n"/>
      <c r="I676" s="472" t="n"/>
      <c r="J676" s="472" t="n"/>
      <c r="K676" s="472" t="n"/>
      <c r="L676" s="472" t="n"/>
      <c r="M676" s="472" t="n"/>
      <c r="N676" s="472" t="n"/>
      <c r="O676" s="472" t="n"/>
      <c r="P676" s="472" t="n"/>
      <c r="Q676" s="472" t="n"/>
      <c r="R676" s="472" t="n"/>
      <c r="S676" s="285" t="n"/>
      <c r="T676" s="284" t="n"/>
      <c r="U676" s="284" t="n"/>
      <c r="V676" s="285" t="n"/>
      <c r="W676" s="285" t="n"/>
      <c r="X676" s="285" t="n"/>
      <c r="Y676" s="285" t="n"/>
      <c r="Z676" s="285" t="n"/>
      <c r="AA676" s="285" t="n"/>
      <c r="AB676" s="285" t="n"/>
    </row>
    <row r="677" ht="15.75" customHeight="1" s="398">
      <c r="A677" s="284" t="n"/>
      <c r="B677" s="285" t="n"/>
      <c r="C677" s="368" t="n"/>
      <c r="D677" s="336" t="n"/>
      <c r="E677" s="284" t="n"/>
      <c r="F677" s="472" t="n"/>
      <c r="G677" s="472" t="n"/>
      <c r="H677" s="472" t="n"/>
      <c r="I677" s="472" t="n"/>
      <c r="J677" s="472" t="n"/>
      <c r="K677" s="472" t="n"/>
      <c r="L677" s="472" t="n"/>
      <c r="M677" s="472" t="n"/>
      <c r="N677" s="472" t="n"/>
      <c r="O677" s="472" t="n"/>
      <c r="P677" s="472" t="n"/>
      <c r="Q677" s="472" t="n"/>
      <c r="R677" s="472" t="n"/>
      <c r="S677" s="285" t="n"/>
      <c r="T677" s="284" t="n"/>
      <c r="U677" s="284" t="n"/>
      <c r="V677" s="285" t="n"/>
      <c r="W677" s="285" t="n"/>
      <c r="X677" s="285" t="n"/>
      <c r="Y677" s="285" t="n"/>
      <c r="Z677" s="285" t="n"/>
      <c r="AA677" s="285" t="n"/>
      <c r="AB677" s="285" t="n"/>
    </row>
    <row r="678" ht="15.75" customHeight="1" s="398">
      <c r="A678" s="284" t="n"/>
      <c r="B678" s="285" t="n"/>
      <c r="C678" s="368" t="n"/>
      <c r="D678" s="336" t="n"/>
      <c r="E678" s="284" t="n"/>
      <c r="F678" s="472" t="n"/>
      <c r="G678" s="472" t="n"/>
      <c r="H678" s="472" t="n"/>
      <c r="I678" s="472" t="n"/>
      <c r="J678" s="472" t="n"/>
      <c r="K678" s="472" t="n"/>
      <c r="L678" s="472" t="n"/>
      <c r="M678" s="472" t="n"/>
      <c r="N678" s="472" t="n"/>
      <c r="O678" s="472" t="n"/>
      <c r="P678" s="472" t="n"/>
      <c r="Q678" s="472" t="n"/>
      <c r="R678" s="472" t="n"/>
      <c r="S678" s="285" t="n"/>
      <c r="T678" s="284" t="n"/>
      <c r="U678" s="284" t="n"/>
      <c r="V678" s="285" t="n"/>
      <c r="W678" s="285" t="n"/>
      <c r="X678" s="285" t="n"/>
      <c r="Y678" s="285" t="n"/>
      <c r="Z678" s="285" t="n"/>
      <c r="AA678" s="285" t="n"/>
      <c r="AB678" s="285" t="n"/>
    </row>
    <row r="679" ht="15.75" customHeight="1" s="398">
      <c r="A679" s="284" t="n"/>
      <c r="B679" s="285" t="n"/>
      <c r="C679" s="368" t="n"/>
      <c r="D679" s="336" t="n"/>
      <c r="E679" s="284" t="n"/>
      <c r="F679" s="472" t="n"/>
      <c r="G679" s="472" t="n"/>
      <c r="H679" s="472" t="n"/>
      <c r="I679" s="472" t="n"/>
      <c r="J679" s="472" t="n"/>
      <c r="K679" s="472" t="n"/>
      <c r="L679" s="472" t="n"/>
      <c r="M679" s="472" t="n"/>
      <c r="N679" s="472" t="n"/>
      <c r="O679" s="472" t="n"/>
      <c r="P679" s="472" t="n"/>
      <c r="Q679" s="472" t="n"/>
      <c r="R679" s="472" t="n"/>
      <c r="S679" s="285" t="n"/>
      <c r="T679" s="284" t="n"/>
      <c r="U679" s="284" t="n"/>
      <c r="V679" s="285" t="n"/>
      <c r="W679" s="285" t="n"/>
      <c r="X679" s="285" t="n"/>
      <c r="Y679" s="285" t="n"/>
      <c r="Z679" s="285" t="n"/>
      <c r="AA679" s="285" t="n"/>
      <c r="AB679" s="285" t="n"/>
    </row>
    <row r="680" ht="15.75" customHeight="1" s="398">
      <c r="A680" s="284" t="n"/>
      <c r="B680" s="285" t="n"/>
      <c r="C680" s="368" t="n"/>
      <c r="D680" s="336" t="n"/>
      <c r="E680" s="284" t="n"/>
      <c r="F680" s="472" t="n"/>
      <c r="G680" s="472" t="n"/>
      <c r="H680" s="472" t="n"/>
      <c r="I680" s="472" t="n"/>
      <c r="J680" s="472" t="n"/>
      <c r="K680" s="472" t="n"/>
      <c r="L680" s="472" t="n"/>
      <c r="M680" s="472" t="n"/>
      <c r="N680" s="472" t="n"/>
      <c r="O680" s="472" t="n"/>
      <c r="P680" s="472" t="n"/>
      <c r="Q680" s="472" t="n"/>
      <c r="R680" s="472" t="n"/>
      <c r="S680" s="285" t="n"/>
      <c r="T680" s="284" t="n"/>
      <c r="U680" s="284" t="n"/>
      <c r="V680" s="285" t="n"/>
      <c r="W680" s="285" t="n"/>
      <c r="X680" s="285" t="n"/>
      <c r="Y680" s="285" t="n"/>
      <c r="Z680" s="285" t="n"/>
      <c r="AA680" s="285" t="n"/>
      <c r="AB680" s="285" t="n"/>
    </row>
    <row r="681" ht="15.75" customHeight="1" s="398">
      <c r="A681" s="284" t="n"/>
      <c r="B681" s="285" t="n"/>
      <c r="C681" s="368" t="n"/>
      <c r="D681" s="336" t="n"/>
      <c r="E681" s="284" t="n"/>
      <c r="F681" s="472" t="n"/>
      <c r="G681" s="472" t="n"/>
      <c r="H681" s="472" t="n"/>
      <c r="I681" s="472" t="n"/>
      <c r="J681" s="472" t="n"/>
      <c r="K681" s="472" t="n"/>
      <c r="L681" s="472" t="n"/>
      <c r="M681" s="472" t="n"/>
      <c r="N681" s="472" t="n"/>
      <c r="O681" s="472" t="n"/>
      <c r="P681" s="472" t="n"/>
      <c r="Q681" s="472" t="n"/>
      <c r="R681" s="472" t="n"/>
      <c r="S681" s="285" t="n"/>
      <c r="T681" s="284" t="n"/>
      <c r="U681" s="284" t="n"/>
      <c r="V681" s="285" t="n"/>
      <c r="W681" s="285" t="n"/>
      <c r="X681" s="285" t="n"/>
      <c r="Y681" s="285" t="n"/>
      <c r="Z681" s="285" t="n"/>
      <c r="AA681" s="285" t="n"/>
      <c r="AB681" s="285" t="n"/>
    </row>
    <row r="682" ht="15.75" customHeight="1" s="398">
      <c r="A682" s="284" t="n"/>
      <c r="B682" s="285" t="n"/>
      <c r="C682" s="368" t="n"/>
      <c r="D682" s="336" t="n"/>
      <c r="E682" s="284" t="n"/>
      <c r="F682" s="472" t="n"/>
      <c r="G682" s="472" t="n"/>
      <c r="H682" s="472" t="n"/>
      <c r="I682" s="472" t="n"/>
      <c r="J682" s="472" t="n"/>
      <c r="K682" s="472" t="n"/>
      <c r="L682" s="472" t="n"/>
      <c r="M682" s="472" t="n"/>
      <c r="N682" s="472" t="n"/>
      <c r="O682" s="472" t="n"/>
      <c r="P682" s="472" t="n"/>
      <c r="Q682" s="472" t="n"/>
      <c r="R682" s="472" t="n"/>
      <c r="S682" s="285" t="n"/>
      <c r="T682" s="284" t="n"/>
      <c r="U682" s="284" t="n"/>
      <c r="V682" s="285" t="n"/>
      <c r="W682" s="285" t="n"/>
      <c r="X682" s="285" t="n"/>
      <c r="Y682" s="285" t="n"/>
      <c r="Z682" s="285" t="n"/>
      <c r="AA682" s="285" t="n"/>
      <c r="AB682" s="285" t="n"/>
    </row>
    <row r="683" ht="15.75" customHeight="1" s="398">
      <c r="A683" s="284" t="n"/>
      <c r="B683" s="285" t="n"/>
      <c r="C683" s="368" t="n"/>
      <c r="D683" s="336" t="n"/>
      <c r="E683" s="284" t="n"/>
      <c r="F683" s="472" t="n"/>
      <c r="G683" s="472" t="n"/>
      <c r="H683" s="472" t="n"/>
      <c r="I683" s="472" t="n"/>
      <c r="J683" s="472" t="n"/>
      <c r="K683" s="472" t="n"/>
      <c r="L683" s="472" t="n"/>
      <c r="M683" s="472" t="n"/>
      <c r="N683" s="472" t="n"/>
      <c r="O683" s="472" t="n"/>
      <c r="P683" s="472" t="n"/>
      <c r="Q683" s="472" t="n"/>
      <c r="R683" s="472" t="n"/>
      <c r="S683" s="285" t="n"/>
      <c r="T683" s="284" t="n"/>
      <c r="U683" s="284" t="n"/>
      <c r="V683" s="285" t="n"/>
      <c r="W683" s="285" t="n"/>
      <c r="X683" s="285" t="n"/>
      <c r="Y683" s="285" t="n"/>
      <c r="Z683" s="285" t="n"/>
      <c r="AA683" s="285" t="n"/>
      <c r="AB683" s="285" t="n"/>
    </row>
    <row r="684" ht="15.75" customHeight="1" s="398">
      <c r="A684" s="284" t="n"/>
      <c r="B684" s="285" t="n"/>
      <c r="C684" s="368" t="n"/>
      <c r="D684" s="336" t="n"/>
      <c r="E684" s="284" t="n"/>
      <c r="F684" s="472" t="n"/>
      <c r="G684" s="472" t="n"/>
      <c r="H684" s="472" t="n"/>
      <c r="I684" s="472" t="n"/>
      <c r="J684" s="472" t="n"/>
      <c r="K684" s="472" t="n"/>
      <c r="L684" s="472" t="n"/>
      <c r="M684" s="472" t="n"/>
      <c r="N684" s="472" t="n"/>
      <c r="O684" s="472" t="n"/>
      <c r="P684" s="472" t="n"/>
      <c r="Q684" s="472" t="n"/>
      <c r="R684" s="472" t="n"/>
      <c r="S684" s="285" t="n"/>
      <c r="T684" s="284" t="n"/>
      <c r="U684" s="284" t="n"/>
      <c r="V684" s="285" t="n"/>
      <c r="W684" s="285" t="n"/>
      <c r="X684" s="285" t="n"/>
      <c r="Y684" s="285" t="n"/>
      <c r="Z684" s="285" t="n"/>
      <c r="AA684" s="285" t="n"/>
      <c r="AB684" s="285" t="n"/>
    </row>
    <row r="685" ht="15.75" customHeight="1" s="398">
      <c r="A685" s="284" t="n"/>
      <c r="B685" s="285" t="n"/>
      <c r="C685" s="368" t="n"/>
      <c r="D685" s="336" t="n"/>
      <c r="E685" s="284" t="n"/>
      <c r="F685" s="472" t="n"/>
      <c r="G685" s="472" t="n"/>
      <c r="H685" s="472" t="n"/>
      <c r="I685" s="472" t="n"/>
      <c r="J685" s="472" t="n"/>
      <c r="K685" s="472" t="n"/>
      <c r="L685" s="472" t="n"/>
      <c r="M685" s="472" t="n"/>
      <c r="N685" s="472" t="n"/>
      <c r="O685" s="472" t="n"/>
      <c r="P685" s="472" t="n"/>
      <c r="Q685" s="472" t="n"/>
      <c r="R685" s="472" t="n"/>
      <c r="S685" s="285" t="n"/>
      <c r="T685" s="284" t="n"/>
      <c r="U685" s="284" t="n"/>
      <c r="V685" s="285" t="n"/>
      <c r="W685" s="285" t="n"/>
      <c r="X685" s="285" t="n"/>
      <c r="Y685" s="285" t="n"/>
      <c r="Z685" s="285" t="n"/>
      <c r="AA685" s="285" t="n"/>
      <c r="AB685" s="285" t="n"/>
    </row>
    <row r="686" ht="15.75" customHeight="1" s="398">
      <c r="A686" s="284" t="n"/>
      <c r="B686" s="285" t="n"/>
      <c r="C686" s="368" t="n"/>
      <c r="D686" s="336" t="n"/>
      <c r="E686" s="284" t="n"/>
      <c r="F686" s="472" t="n"/>
      <c r="G686" s="472" t="n"/>
      <c r="H686" s="472" t="n"/>
      <c r="I686" s="472" t="n"/>
      <c r="J686" s="472" t="n"/>
      <c r="K686" s="472" t="n"/>
      <c r="L686" s="472" t="n"/>
      <c r="M686" s="472" t="n"/>
      <c r="N686" s="472" t="n"/>
      <c r="O686" s="472" t="n"/>
      <c r="P686" s="472" t="n"/>
      <c r="Q686" s="472" t="n"/>
      <c r="R686" s="472" t="n"/>
      <c r="S686" s="285" t="n"/>
      <c r="T686" s="284" t="n"/>
      <c r="U686" s="284" t="n"/>
      <c r="V686" s="285" t="n"/>
      <c r="W686" s="285" t="n"/>
      <c r="X686" s="285" t="n"/>
      <c r="Y686" s="285" t="n"/>
      <c r="Z686" s="285" t="n"/>
      <c r="AA686" s="285" t="n"/>
      <c r="AB686" s="285" t="n"/>
    </row>
    <row r="687" ht="15.75" customHeight="1" s="398">
      <c r="A687" s="284" t="n"/>
      <c r="B687" s="285" t="n"/>
      <c r="C687" s="368" t="n"/>
      <c r="D687" s="336" t="n"/>
      <c r="E687" s="284" t="n"/>
      <c r="F687" s="472" t="n"/>
      <c r="G687" s="472" t="n"/>
      <c r="H687" s="472" t="n"/>
      <c r="I687" s="472" t="n"/>
      <c r="J687" s="472" t="n"/>
      <c r="K687" s="472" t="n"/>
      <c r="L687" s="472" t="n"/>
      <c r="M687" s="472" t="n"/>
      <c r="N687" s="472" t="n"/>
      <c r="O687" s="472" t="n"/>
      <c r="P687" s="472" t="n"/>
      <c r="Q687" s="472" t="n"/>
      <c r="R687" s="472" t="n"/>
      <c r="S687" s="285" t="n"/>
      <c r="T687" s="284" t="n"/>
      <c r="U687" s="284" t="n"/>
      <c r="V687" s="285" t="n"/>
      <c r="W687" s="285" t="n"/>
      <c r="X687" s="285" t="n"/>
      <c r="Y687" s="285" t="n"/>
      <c r="Z687" s="285" t="n"/>
      <c r="AA687" s="285" t="n"/>
      <c r="AB687" s="285" t="n"/>
    </row>
    <row r="688" ht="15.75" customHeight="1" s="398">
      <c r="A688" s="284" t="n"/>
      <c r="B688" s="285" t="n"/>
      <c r="C688" s="368" t="n"/>
      <c r="D688" s="336" t="n"/>
      <c r="E688" s="284" t="n"/>
      <c r="F688" s="472" t="n"/>
      <c r="G688" s="472" t="n"/>
      <c r="H688" s="472" t="n"/>
      <c r="I688" s="472" t="n"/>
      <c r="J688" s="472" t="n"/>
      <c r="K688" s="472" t="n"/>
      <c r="L688" s="472" t="n"/>
      <c r="M688" s="472" t="n"/>
      <c r="N688" s="472" t="n"/>
      <c r="O688" s="472" t="n"/>
      <c r="P688" s="472" t="n"/>
      <c r="Q688" s="472" t="n"/>
      <c r="R688" s="472" t="n"/>
      <c r="S688" s="285" t="n"/>
      <c r="T688" s="284" t="n"/>
      <c r="U688" s="284" t="n"/>
      <c r="V688" s="285" t="n"/>
      <c r="W688" s="285" t="n"/>
      <c r="X688" s="285" t="n"/>
      <c r="Y688" s="285" t="n"/>
      <c r="Z688" s="285" t="n"/>
      <c r="AA688" s="285" t="n"/>
      <c r="AB688" s="285" t="n"/>
    </row>
    <row r="689" ht="15.75" customHeight="1" s="398">
      <c r="A689" s="284" t="n"/>
      <c r="B689" s="285" t="n"/>
      <c r="C689" s="368" t="n"/>
      <c r="D689" s="336" t="n"/>
      <c r="E689" s="284" t="n"/>
      <c r="F689" s="472" t="n"/>
      <c r="G689" s="472" t="n"/>
      <c r="H689" s="472" t="n"/>
      <c r="I689" s="472" t="n"/>
      <c r="J689" s="472" t="n"/>
      <c r="K689" s="472" t="n"/>
      <c r="L689" s="472" t="n"/>
      <c r="M689" s="472" t="n"/>
      <c r="N689" s="472" t="n"/>
      <c r="O689" s="472" t="n"/>
      <c r="P689" s="472" t="n"/>
      <c r="Q689" s="472" t="n"/>
      <c r="R689" s="472" t="n"/>
      <c r="S689" s="285" t="n"/>
      <c r="T689" s="284" t="n"/>
      <c r="U689" s="284" t="n"/>
      <c r="V689" s="285" t="n"/>
      <c r="W689" s="285" t="n"/>
      <c r="X689" s="285" t="n"/>
      <c r="Y689" s="285" t="n"/>
      <c r="Z689" s="285" t="n"/>
      <c r="AA689" s="285" t="n"/>
      <c r="AB689" s="285" t="n"/>
    </row>
    <row r="690" ht="15.75" customHeight="1" s="398">
      <c r="A690" s="284" t="n"/>
      <c r="B690" s="285" t="n"/>
      <c r="C690" s="368" t="n"/>
      <c r="D690" s="336" t="n"/>
      <c r="E690" s="284" t="n"/>
      <c r="F690" s="472" t="n"/>
      <c r="G690" s="472" t="n"/>
      <c r="H690" s="472" t="n"/>
      <c r="I690" s="472" t="n"/>
      <c r="J690" s="472" t="n"/>
      <c r="K690" s="472" t="n"/>
      <c r="L690" s="472" t="n"/>
      <c r="M690" s="472" t="n"/>
      <c r="N690" s="472" t="n"/>
      <c r="O690" s="472" t="n"/>
      <c r="P690" s="472" t="n"/>
      <c r="Q690" s="472" t="n"/>
      <c r="R690" s="472" t="n"/>
      <c r="S690" s="285" t="n"/>
      <c r="T690" s="284" t="n"/>
      <c r="U690" s="284" t="n"/>
      <c r="V690" s="285" t="n"/>
      <c r="W690" s="285" t="n"/>
      <c r="X690" s="285" t="n"/>
      <c r="Y690" s="285" t="n"/>
      <c r="Z690" s="285" t="n"/>
      <c r="AA690" s="285" t="n"/>
      <c r="AB690" s="285" t="n"/>
    </row>
    <row r="691" ht="15.75" customHeight="1" s="398">
      <c r="A691" s="284" t="n"/>
      <c r="B691" s="285" t="n"/>
      <c r="C691" s="368" t="n"/>
      <c r="D691" s="336" t="n"/>
      <c r="E691" s="284" t="n"/>
      <c r="F691" s="472" t="n"/>
      <c r="G691" s="472" t="n"/>
      <c r="H691" s="472" t="n"/>
      <c r="I691" s="472" t="n"/>
      <c r="J691" s="472" t="n"/>
      <c r="K691" s="472" t="n"/>
      <c r="L691" s="472" t="n"/>
      <c r="M691" s="472" t="n"/>
      <c r="N691" s="472" t="n"/>
      <c r="O691" s="472" t="n"/>
      <c r="P691" s="472" t="n"/>
      <c r="Q691" s="472" t="n"/>
      <c r="R691" s="472" t="n"/>
      <c r="S691" s="285" t="n"/>
      <c r="T691" s="284" t="n"/>
      <c r="U691" s="284" t="n"/>
      <c r="V691" s="285" t="n"/>
      <c r="W691" s="285" t="n"/>
      <c r="X691" s="285" t="n"/>
      <c r="Y691" s="285" t="n"/>
      <c r="Z691" s="285" t="n"/>
      <c r="AA691" s="285" t="n"/>
      <c r="AB691" s="285" t="n"/>
    </row>
    <row r="692" ht="15.75" customHeight="1" s="398">
      <c r="A692" s="284" t="n"/>
      <c r="B692" s="285" t="n"/>
      <c r="C692" s="368" t="n"/>
      <c r="D692" s="336" t="n"/>
      <c r="E692" s="284" t="n"/>
      <c r="F692" s="472" t="n"/>
      <c r="G692" s="472" t="n"/>
      <c r="H692" s="472" t="n"/>
      <c r="I692" s="472" t="n"/>
      <c r="J692" s="472" t="n"/>
      <c r="K692" s="472" t="n"/>
      <c r="L692" s="472" t="n"/>
      <c r="M692" s="472" t="n"/>
      <c r="N692" s="472" t="n"/>
      <c r="O692" s="472" t="n"/>
      <c r="P692" s="472" t="n"/>
      <c r="Q692" s="472" t="n"/>
      <c r="R692" s="472" t="n"/>
      <c r="S692" s="285" t="n"/>
      <c r="T692" s="284" t="n"/>
      <c r="U692" s="284" t="n"/>
      <c r="V692" s="285" t="n"/>
      <c r="W692" s="285" t="n"/>
      <c r="X692" s="285" t="n"/>
      <c r="Y692" s="285" t="n"/>
      <c r="Z692" s="285" t="n"/>
      <c r="AA692" s="285" t="n"/>
      <c r="AB692" s="285" t="n"/>
    </row>
    <row r="693" ht="15.75" customHeight="1" s="398">
      <c r="A693" s="284" t="n"/>
      <c r="B693" s="285" t="n"/>
      <c r="C693" s="368" t="n"/>
      <c r="D693" s="336" t="n"/>
      <c r="E693" s="284" t="n"/>
      <c r="F693" s="472" t="n"/>
      <c r="G693" s="472" t="n"/>
      <c r="H693" s="472" t="n"/>
      <c r="I693" s="472" t="n"/>
      <c r="J693" s="472" t="n"/>
      <c r="K693" s="472" t="n"/>
      <c r="L693" s="472" t="n"/>
      <c r="M693" s="472" t="n"/>
      <c r="N693" s="472" t="n"/>
      <c r="O693" s="472" t="n"/>
      <c r="P693" s="472" t="n"/>
      <c r="Q693" s="472" t="n"/>
      <c r="R693" s="472" t="n"/>
      <c r="S693" s="285" t="n"/>
      <c r="T693" s="284" t="n"/>
      <c r="U693" s="284" t="n"/>
      <c r="V693" s="285" t="n"/>
      <c r="W693" s="285" t="n"/>
      <c r="X693" s="285" t="n"/>
      <c r="Y693" s="285" t="n"/>
      <c r="Z693" s="285" t="n"/>
      <c r="AA693" s="285" t="n"/>
      <c r="AB693" s="285" t="n"/>
    </row>
    <row r="694" ht="15.75" customHeight="1" s="398">
      <c r="A694" s="284" t="n"/>
      <c r="B694" s="285" t="n"/>
      <c r="C694" s="368" t="n"/>
      <c r="D694" s="336" t="n"/>
      <c r="E694" s="284" t="n"/>
      <c r="F694" s="472" t="n"/>
      <c r="G694" s="472" t="n"/>
      <c r="H694" s="472" t="n"/>
      <c r="I694" s="472" t="n"/>
      <c r="J694" s="472" t="n"/>
      <c r="K694" s="472" t="n"/>
      <c r="L694" s="472" t="n"/>
      <c r="M694" s="472" t="n"/>
      <c r="N694" s="472" t="n"/>
      <c r="O694" s="472" t="n"/>
      <c r="P694" s="472" t="n"/>
      <c r="Q694" s="472" t="n"/>
      <c r="R694" s="472" t="n"/>
      <c r="S694" s="285" t="n"/>
      <c r="T694" s="284" t="n"/>
      <c r="U694" s="284" t="n"/>
      <c r="V694" s="285" t="n"/>
      <c r="W694" s="285" t="n"/>
      <c r="X694" s="285" t="n"/>
      <c r="Y694" s="285" t="n"/>
      <c r="Z694" s="285" t="n"/>
      <c r="AA694" s="285" t="n"/>
      <c r="AB694" s="285" t="n"/>
    </row>
    <row r="695" ht="15.75" customHeight="1" s="398">
      <c r="A695" s="284" t="n"/>
      <c r="B695" s="285" t="n"/>
      <c r="C695" s="368" t="n"/>
      <c r="D695" s="336" t="n"/>
      <c r="E695" s="284" t="n"/>
      <c r="F695" s="472" t="n"/>
      <c r="G695" s="472" t="n"/>
      <c r="H695" s="472" t="n"/>
      <c r="I695" s="472" t="n"/>
      <c r="J695" s="472" t="n"/>
      <c r="K695" s="472" t="n"/>
      <c r="L695" s="472" t="n"/>
      <c r="M695" s="472" t="n"/>
      <c r="N695" s="472" t="n"/>
      <c r="O695" s="472" t="n"/>
      <c r="P695" s="472" t="n"/>
      <c r="Q695" s="472" t="n"/>
      <c r="R695" s="472" t="n"/>
      <c r="S695" s="285" t="n"/>
      <c r="T695" s="284" t="n"/>
      <c r="U695" s="284" t="n"/>
      <c r="V695" s="285" t="n"/>
      <c r="W695" s="285" t="n"/>
      <c r="X695" s="285" t="n"/>
      <c r="Y695" s="285" t="n"/>
      <c r="Z695" s="285" t="n"/>
      <c r="AA695" s="285" t="n"/>
      <c r="AB695" s="285" t="n"/>
    </row>
    <row r="696" ht="15.75" customHeight="1" s="398">
      <c r="A696" s="284" t="n"/>
      <c r="B696" s="285" t="n"/>
      <c r="C696" s="368" t="n"/>
      <c r="D696" s="336" t="n"/>
      <c r="E696" s="284" t="n"/>
      <c r="F696" s="472" t="n"/>
      <c r="G696" s="472" t="n"/>
      <c r="H696" s="472" t="n"/>
      <c r="I696" s="472" t="n"/>
      <c r="J696" s="472" t="n"/>
      <c r="K696" s="472" t="n"/>
      <c r="L696" s="472" t="n"/>
      <c r="M696" s="472" t="n"/>
      <c r="N696" s="472" t="n"/>
      <c r="O696" s="472" t="n"/>
      <c r="P696" s="472" t="n"/>
      <c r="Q696" s="472" t="n"/>
      <c r="R696" s="472" t="n"/>
      <c r="S696" s="285" t="n"/>
      <c r="T696" s="284" t="n"/>
      <c r="U696" s="284" t="n"/>
      <c r="V696" s="285" t="n"/>
      <c r="W696" s="285" t="n"/>
      <c r="X696" s="285" t="n"/>
      <c r="Y696" s="285" t="n"/>
      <c r="Z696" s="285" t="n"/>
      <c r="AA696" s="285" t="n"/>
      <c r="AB696" s="285" t="n"/>
    </row>
    <row r="697" ht="15.75" customHeight="1" s="398">
      <c r="A697" s="284" t="n"/>
      <c r="B697" s="285" t="n"/>
      <c r="C697" s="368" t="n"/>
      <c r="D697" s="336" t="n"/>
      <c r="E697" s="284" t="n"/>
      <c r="F697" s="472" t="n"/>
      <c r="G697" s="472" t="n"/>
      <c r="H697" s="472" t="n"/>
      <c r="I697" s="472" t="n"/>
      <c r="J697" s="472" t="n"/>
      <c r="K697" s="472" t="n"/>
      <c r="L697" s="472" t="n"/>
      <c r="M697" s="472" t="n"/>
      <c r="N697" s="472" t="n"/>
      <c r="O697" s="472" t="n"/>
      <c r="P697" s="472" t="n"/>
      <c r="Q697" s="472" t="n"/>
      <c r="R697" s="472" t="n"/>
      <c r="S697" s="285" t="n"/>
      <c r="T697" s="284" t="n"/>
      <c r="U697" s="284" t="n"/>
      <c r="V697" s="285" t="n"/>
      <c r="W697" s="285" t="n"/>
      <c r="X697" s="285" t="n"/>
      <c r="Y697" s="285" t="n"/>
      <c r="Z697" s="285" t="n"/>
      <c r="AA697" s="285" t="n"/>
      <c r="AB697" s="285" t="n"/>
    </row>
    <row r="698" ht="15.75" customHeight="1" s="398">
      <c r="A698" s="284" t="n"/>
      <c r="B698" s="285" t="n"/>
      <c r="C698" s="368" t="n"/>
      <c r="D698" s="336" t="n"/>
      <c r="E698" s="284" t="n"/>
      <c r="F698" s="472" t="n"/>
      <c r="G698" s="472" t="n"/>
      <c r="H698" s="472" t="n"/>
      <c r="I698" s="472" t="n"/>
      <c r="J698" s="472" t="n"/>
      <c r="K698" s="472" t="n"/>
      <c r="L698" s="472" t="n"/>
      <c r="M698" s="472" t="n"/>
      <c r="N698" s="472" t="n"/>
      <c r="O698" s="472" t="n"/>
      <c r="P698" s="472" t="n"/>
      <c r="Q698" s="472" t="n"/>
      <c r="R698" s="472" t="n"/>
      <c r="S698" s="285" t="n"/>
      <c r="T698" s="284" t="n"/>
      <c r="U698" s="284" t="n"/>
      <c r="V698" s="285" t="n"/>
      <c r="W698" s="285" t="n"/>
      <c r="X698" s="285" t="n"/>
      <c r="Y698" s="285" t="n"/>
      <c r="Z698" s="285" t="n"/>
      <c r="AA698" s="285" t="n"/>
      <c r="AB698" s="285" t="n"/>
    </row>
    <row r="699" ht="15.75" customHeight="1" s="398">
      <c r="A699" s="284" t="n"/>
      <c r="B699" s="285" t="n"/>
      <c r="C699" s="368" t="n"/>
      <c r="D699" s="336" t="n"/>
      <c r="E699" s="284" t="n"/>
      <c r="F699" s="472" t="n"/>
      <c r="G699" s="472" t="n"/>
      <c r="H699" s="472" t="n"/>
      <c r="I699" s="472" t="n"/>
      <c r="J699" s="472" t="n"/>
      <c r="K699" s="472" t="n"/>
      <c r="L699" s="472" t="n"/>
      <c r="M699" s="472" t="n"/>
      <c r="N699" s="472" t="n"/>
      <c r="O699" s="472" t="n"/>
      <c r="P699" s="472" t="n"/>
      <c r="Q699" s="472" t="n"/>
      <c r="R699" s="472" t="n"/>
      <c r="S699" s="285" t="n"/>
      <c r="T699" s="284" t="n"/>
      <c r="U699" s="284" t="n"/>
      <c r="V699" s="285" t="n"/>
      <c r="W699" s="285" t="n"/>
      <c r="X699" s="285" t="n"/>
      <c r="Y699" s="285" t="n"/>
      <c r="Z699" s="285" t="n"/>
      <c r="AA699" s="285" t="n"/>
      <c r="AB699" s="285" t="n"/>
    </row>
    <row r="700" ht="15.75" customHeight="1" s="398">
      <c r="A700" s="284" t="n"/>
      <c r="B700" s="285" t="n"/>
      <c r="C700" s="368" t="n"/>
      <c r="D700" s="336" t="n"/>
      <c r="E700" s="284" t="n"/>
      <c r="F700" s="472" t="n"/>
      <c r="G700" s="472" t="n"/>
      <c r="H700" s="472" t="n"/>
      <c r="I700" s="472" t="n"/>
      <c r="J700" s="472" t="n"/>
      <c r="K700" s="472" t="n"/>
      <c r="L700" s="472" t="n"/>
      <c r="M700" s="472" t="n"/>
      <c r="N700" s="472" t="n"/>
      <c r="O700" s="472" t="n"/>
      <c r="P700" s="472" t="n"/>
      <c r="Q700" s="472" t="n"/>
      <c r="R700" s="472" t="n"/>
      <c r="S700" s="285" t="n"/>
      <c r="T700" s="284" t="n"/>
      <c r="U700" s="284" t="n"/>
      <c r="V700" s="285" t="n"/>
      <c r="W700" s="285" t="n"/>
      <c r="X700" s="285" t="n"/>
      <c r="Y700" s="285" t="n"/>
      <c r="Z700" s="285" t="n"/>
      <c r="AA700" s="285" t="n"/>
      <c r="AB700" s="285" t="n"/>
    </row>
    <row r="701" ht="15.75" customHeight="1" s="398">
      <c r="A701" s="284" t="n"/>
      <c r="B701" s="285" t="n"/>
      <c r="C701" s="368" t="n"/>
      <c r="D701" s="336" t="n"/>
      <c r="E701" s="284" t="n"/>
      <c r="F701" s="472" t="n"/>
      <c r="G701" s="472" t="n"/>
      <c r="H701" s="472" t="n"/>
      <c r="I701" s="472" t="n"/>
      <c r="J701" s="472" t="n"/>
      <c r="K701" s="472" t="n"/>
      <c r="L701" s="472" t="n"/>
      <c r="M701" s="472" t="n"/>
      <c r="N701" s="472" t="n"/>
      <c r="O701" s="472" t="n"/>
      <c r="P701" s="472" t="n"/>
      <c r="Q701" s="472" t="n"/>
      <c r="R701" s="472" t="n"/>
      <c r="S701" s="285" t="n"/>
      <c r="T701" s="284" t="n"/>
      <c r="U701" s="284" t="n"/>
      <c r="V701" s="285" t="n"/>
      <c r="W701" s="285" t="n"/>
      <c r="X701" s="285" t="n"/>
      <c r="Y701" s="285" t="n"/>
      <c r="Z701" s="285" t="n"/>
      <c r="AA701" s="285" t="n"/>
      <c r="AB701" s="285" t="n"/>
    </row>
    <row r="702" ht="15.75" customHeight="1" s="398">
      <c r="A702" s="284" t="n"/>
      <c r="B702" s="285" t="n"/>
      <c r="C702" s="368" t="n"/>
      <c r="D702" s="336" t="n"/>
      <c r="E702" s="284" t="n"/>
      <c r="F702" s="472" t="n"/>
      <c r="G702" s="472" t="n"/>
      <c r="H702" s="472" t="n"/>
      <c r="I702" s="472" t="n"/>
      <c r="J702" s="472" t="n"/>
      <c r="K702" s="472" t="n"/>
      <c r="L702" s="472" t="n"/>
      <c r="M702" s="472" t="n"/>
      <c r="N702" s="472" t="n"/>
      <c r="O702" s="472" t="n"/>
      <c r="P702" s="472" t="n"/>
      <c r="Q702" s="472" t="n"/>
      <c r="R702" s="472" t="n"/>
      <c r="S702" s="285" t="n"/>
      <c r="T702" s="284" t="n"/>
      <c r="U702" s="284" t="n"/>
      <c r="V702" s="285" t="n"/>
      <c r="W702" s="285" t="n"/>
      <c r="X702" s="285" t="n"/>
      <c r="Y702" s="285" t="n"/>
      <c r="Z702" s="285" t="n"/>
      <c r="AA702" s="285" t="n"/>
      <c r="AB702" s="285" t="n"/>
    </row>
    <row r="703" ht="15.75" customHeight="1" s="398">
      <c r="A703" s="284" t="n"/>
      <c r="B703" s="285" t="n"/>
      <c r="C703" s="368" t="n"/>
      <c r="D703" s="336" t="n"/>
      <c r="E703" s="284" t="n"/>
      <c r="F703" s="472" t="n"/>
      <c r="G703" s="472" t="n"/>
      <c r="H703" s="472" t="n"/>
      <c r="I703" s="472" t="n"/>
      <c r="J703" s="472" t="n"/>
      <c r="K703" s="472" t="n"/>
      <c r="L703" s="472" t="n"/>
      <c r="M703" s="472" t="n"/>
      <c r="N703" s="472" t="n"/>
      <c r="O703" s="472" t="n"/>
      <c r="P703" s="472" t="n"/>
      <c r="Q703" s="472" t="n"/>
      <c r="R703" s="472" t="n"/>
      <c r="S703" s="285" t="n"/>
      <c r="T703" s="284" t="n"/>
      <c r="U703" s="284" t="n"/>
      <c r="V703" s="285" t="n"/>
      <c r="W703" s="285" t="n"/>
      <c r="X703" s="285" t="n"/>
      <c r="Y703" s="285" t="n"/>
      <c r="Z703" s="285" t="n"/>
      <c r="AA703" s="285" t="n"/>
      <c r="AB703" s="285" t="n"/>
    </row>
    <row r="704" ht="15.75" customHeight="1" s="398">
      <c r="A704" s="284" t="n"/>
      <c r="B704" s="285" t="n"/>
      <c r="C704" s="368" t="n"/>
      <c r="D704" s="336" t="n"/>
      <c r="E704" s="284" t="n"/>
      <c r="F704" s="472" t="n"/>
      <c r="G704" s="472" t="n"/>
      <c r="H704" s="472" t="n"/>
      <c r="I704" s="472" t="n"/>
      <c r="J704" s="472" t="n"/>
      <c r="K704" s="472" t="n"/>
      <c r="L704" s="472" t="n"/>
      <c r="M704" s="472" t="n"/>
      <c r="N704" s="472" t="n"/>
      <c r="O704" s="472" t="n"/>
      <c r="P704" s="472" t="n"/>
      <c r="Q704" s="472" t="n"/>
      <c r="R704" s="472" t="n"/>
      <c r="S704" s="285" t="n"/>
      <c r="T704" s="284" t="n"/>
      <c r="U704" s="284" t="n"/>
      <c r="V704" s="285" t="n"/>
      <c r="W704" s="285" t="n"/>
      <c r="X704" s="285" t="n"/>
      <c r="Y704" s="285" t="n"/>
      <c r="Z704" s="285" t="n"/>
      <c r="AA704" s="285" t="n"/>
      <c r="AB704" s="285" t="n"/>
    </row>
    <row r="705" ht="15.75" customHeight="1" s="398">
      <c r="A705" s="284" t="n"/>
      <c r="B705" s="285" t="n"/>
      <c r="C705" s="368" t="n"/>
      <c r="D705" s="336" t="n"/>
      <c r="E705" s="284" t="n"/>
      <c r="F705" s="472" t="n"/>
      <c r="G705" s="472" t="n"/>
      <c r="H705" s="472" t="n"/>
      <c r="I705" s="472" t="n"/>
      <c r="J705" s="472" t="n"/>
      <c r="K705" s="472" t="n"/>
      <c r="L705" s="472" t="n"/>
      <c r="M705" s="472" t="n"/>
      <c r="N705" s="472" t="n"/>
      <c r="O705" s="472" t="n"/>
      <c r="P705" s="472" t="n"/>
      <c r="Q705" s="472" t="n"/>
      <c r="R705" s="472" t="n"/>
      <c r="S705" s="285" t="n"/>
      <c r="T705" s="284" t="n"/>
      <c r="U705" s="284" t="n"/>
      <c r="V705" s="285" t="n"/>
      <c r="W705" s="285" t="n"/>
      <c r="X705" s="285" t="n"/>
      <c r="Y705" s="285" t="n"/>
      <c r="Z705" s="285" t="n"/>
      <c r="AA705" s="285" t="n"/>
      <c r="AB705" s="285" t="n"/>
    </row>
    <row r="706" ht="15.75" customHeight="1" s="398">
      <c r="A706" s="284" t="n"/>
      <c r="B706" s="285" t="n"/>
      <c r="C706" s="368" t="n"/>
      <c r="D706" s="336" t="n"/>
      <c r="E706" s="284" t="n"/>
      <c r="F706" s="472" t="n"/>
      <c r="G706" s="472" t="n"/>
      <c r="H706" s="472" t="n"/>
      <c r="I706" s="472" t="n"/>
      <c r="J706" s="472" t="n"/>
      <c r="K706" s="472" t="n"/>
      <c r="L706" s="472" t="n"/>
      <c r="M706" s="472" t="n"/>
      <c r="N706" s="472" t="n"/>
      <c r="O706" s="472" t="n"/>
      <c r="P706" s="472" t="n"/>
      <c r="Q706" s="472" t="n"/>
      <c r="R706" s="472" t="n"/>
      <c r="S706" s="285" t="n"/>
      <c r="T706" s="284" t="n"/>
      <c r="U706" s="284" t="n"/>
      <c r="V706" s="285" t="n"/>
      <c r="W706" s="285" t="n"/>
      <c r="X706" s="285" t="n"/>
      <c r="Y706" s="285" t="n"/>
      <c r="Z706" s="285" t="n"/>
      <c r="AA706" s="285" t="n"/>
      <c r="AB706" s="285" t="n"/>
    </row>
    <row r="707" ht="15.75" customHeight="1" s="398">
      <c r="A707" s="284" t="n"/>
      <c r="B707" s="285" t="n"/>
      <c r="C707" s="368" t="n"/>
      <c r="D707" s="336" t="n"/>
      <c r="E707" s="284" t="n"/>
      <c r="F707" s="472" t="n"/>
      <c r="G707" s="472" t="n"/>
      <c r="H707" s="472" t="n"/>
      <c r="I707" s="472" t="n"/>
      <c r="J707" s="472" t="n"/>
      <c r="K707" s="472" t="n"/>
      <c r="L707" s="472" t="n"/>
      <c r="M707" s="472" t="n"/>
      <c r="N707" s="472" t="n"/>
      <c r="O707" s="472" t="n"/>
      <c r="P707" s="472" t="n"/>
      <c r="Q707" s="472" t="n"/>
      <c r="R707" s="472" t="n"/>
      <c r="S707" s="285" t="n"/>
      <c r="T707" s="284" t="n"/>
      <c r="U707" s="284" t="n"/>
      <c r="V707" s="285" t="n"/>
      <c r="W707" s="285" t="n"/>
      <c r="X707" s="285" t="n"/>
      <c r="Y707" s="285" t="n"/>
      <c r="Z707" s="285" t="n"/>
      <c r="AA707" s="285" t="n"/>
      <c r="AB707" s="285" t="n"/>
    </row>
    <row r="708" ht="15.75" customHeight="1" s="398">
      <c r="A708" s="284" t="n"/>
      <c r="B708" s="285" t="n"/>
      <c r="C708" s="368" t="n"/>
      <c r="D708" s="336" t="n"/>
      <c r="E708" s="284" t="n"/>
      <c r="F708" s="472" t="n"/>
      <c r="G708" s="472" t="n"/>
      <c r="H708" s="472" t="n"/>
      <c r="I708" s="472" t="n"/>
      <c r="J708" s="472" t="n"/>
      <c r="K708" s="472" t="n"/>
      <c r="L708" s="472" t="n"/>
      <c r="M708" s="472" t="n"/>
      <c r="N708" s="472" t="n"/>
      <c r="O708" s="472" t="n"/>
      <c r="P708" s="472" t="n"/>
      <c r="Q708" s="472" t="n"/>
      <c r="R708" s="472" t="n"/>
      <c r="S708" s="285" t="n"/>
      <c r="T708" s="284" t="n"/>
      <c r="U708" s="284" t="n"/>
      <c r="V708" s="285" t="n"/>
      <c r="W708" s="285" t="n"/>
      <c r="X708" s="285" t="n"/>
      <c r="Y708" s="285" t="n"/>
      <c r="Z708" s="285" t="n"/>
      <c r="AA708" s="285" t="n"/>
      <c r="AB708" s="285" t="n"/>
    </row>
    <row r="709" ht="15.75" customHeight="1" s="398">
      <c r="A709" s="284" t="n"/>
      <c r="B709" s="285" t="n"/>
      <c r="C709" s="368" t="n"/>
      <c r="D709" s="336" t="n"/>
      <c r="E709" s="284" t="n"/>
      <c r="F709" s="472" t="n"/>
      <c r="G709" s="472" t="n"/>
      <c r="H709" s="472" t="n"/>
      <c r="I709" s="472" t="n"/>
      <c r="J709" s="472" t="n"/>
      <c r="K709" s="472" t="n"/>
      <c r="L709" s="472" t="n"/>
      <c r="M709" s="472" t="n"/>
      <c r="N709" s="472" t="n"/>
      <c r="O709" s="472" t="n"/>
      <c r="P709" s="472" t="n"/>
      <c r="Q709" s="472" t="n"/>
      <c r="R709" s="472" t="n"/>
      <c r="S709" s="285" t="n"/>
      <c r="T709" s="284" t="n"/>
      <c r="U709" s="284" t="n"/>
      <c r="V709" s="285" t="n"/>
      <c r="W709" s="285" t="n"/>
      <c r="X709" s="285" t="n"/>
      <c r="Y709" s="285" t="n"/>
      <c r="Z709" s="285" t="n"/>
      <c r="AA709" s="285" t="n"/>
      <c r="AB709" s="285" t="n"/>
    </row>
    <row r="710" ht="15.75" customHeight="1" s="398">
      <c r="A710" s="284" t="n"/>
      <c r="B710" s="285" t="n"/>
      <c r="C710" s="368" t="n"/>
      <c r="D710" s="336" t="n"/>
      <c r="E710" s="284" t="n"/>
      <c r="F710" s="472" t="n"/>
      <c r="G710" s="472" t="n"/>
      <c r="H710" s="472" t="n"/>
      <c r="I710" s="472" t="n"/>
      <c r="J710" s="472" t="n"/>
      <c r="K710" s="472" t="n"/>
      <c r="L710" s="472" t="n"/>
      <c r="M710" s="472" t="n"/>
      <c r="N710" s="472" t="n"/>
      <c r="O710" s="472" t="n"/>
      <c r="P710" s="472" t="n"/>
      <c r="Q710" s="472" t="n"/>
      <c r="R710" s="472" t="n"/>
      <c r="S710" s="285" t="n"/>
      <c r="T710" s="284" t="n"/>
      <c r="U710" s="284" t="n"/>
      <c r="V710" s="285" t="n"/>
      <c r="W710" s="285" t="n"/>
      <c r="X710" s="285" t="n"/>
      <c r="Y710" s="285" t="n"/>
      <c r="Z710" s="285" t="n"/>
      <c r="AA710" s="285" t="n"/>
      <c r="AB710" s="285" t="n"/>
    </row>
    <row r="711" ht="15.75" customHeight="1" s="398">
      <c r="A711" s="284" t="n"/>
      <c r="B711" s="285" t="n"/>
      <c r="C711" s="368" t="n"/>
      <c r="D711" s="336" t="n"/>
      <c r="E711" s="284" t="n"/>
      <c r="F711" s="472" t="n"/>
      <c r="G711" s="472" t="n"/>
      <c r="H711" s="472" t="n"/>
      <c r="I711" s="472" t="n"/>
      <c r="J711" s="472" t="n"/>
      <c r="K711" s="472" t="n"/>
      <c r="L711" s="472" t="n"/>
      <c r="M711" s="472" t="n"/>
      <c r="N711" s="472" t="n"/>
      <c r="O711" s="472" t="n"/>
      <c r="P711" s="472" t="n"/>
      <c r="Q711" s="472" t="n"/>
      <c r="R711" s="472" t="n"/>
      <c r="S711" s="285" t="n"/>
      <c r="T711" s="284" t="n"/>
      <c r="U711" s="284" t="n"/>
      <c r="V711" s="285" t="n"/>
      <c r="W711" s="285" t="n"/>
      <c r="X711" s="285" t="n"/>
      <c r="Y711" s="285" t="n"/>
      <c r="Z711" s="285" t="n"/>
      <c r="AA711" s="285" t="n"/>
      <c r="AB711" s="285" t="n"/>
    </row>
    <row r="712" ht="15.75" customHeight="1" s="398">
      <c r="A712" s="284" t="n"/>
      <c r="B712" s="285" t="n"/>
      <c r="C712" s="368" t="n"/>
      <c r="D712" s="336" t="n"/>
      <c r="E712" s="284" t="n"/>
      <c r="F712" s="472" t="n"/>
      <c r="G712" s="472" t="n"/>
      <c r="H712" s="472" t="n"/>
      <c r="I712" s="472" t="n"/>
      <c r="J712" s="472" t="n"/>
      <c r="K712" s="472" t="n"/>
      <c r="L712" s="472" t="n"/>
      <c r="M712" s="472" t="n"/>
      <c r="N712" s="472" t="n"/>
      <c r="O712" s="472" t="n"/>
      <c r="P712" s="472" t="n"/>
      <c r="Q712" s="472" t="n"/>
      <c r="R712" s="472" t="n"/>
      <c r="S712" s="285" t="n"/>
      <c r="T712" s="284" t="n"/>
      <c r="U712" s="284" t="n"/>
      <c r="V712" s="285" t="n"/>
      <c r="W712" s="285" t="n"/>
      <c r="X712" s="285" t="n"/>
      <c r="Y712" s="285" t="n"/>
      <c r="Z712" s="285" t="n"/>
      <c r="AA712" s="285" t="n"/>
      <c r="AB712" s="285" t="n"/>
    </row>
    <row r="713" ht="15.75" customHeight="1" s="398">
      <c r="A713" s="284" t="n"/>
      <c r="B713" s="285" t="n"/>
      <c r="C713" s="368" t="n"/>
      <c r="D713" s="336" t="n"/>
      <c r="E713" s="284" t="n"/>
      <c r="F713" s="472" t="n"/>
      <c r="G713" s="472" t="n"/>
      <c r="H713" s="472" t="n"/>
      <c r="I713" s="472" t="n"/>
      <c r="J713" s="472" t="n"/>
      <c r="K713" s="472" t="n"/>
      <c r="L713" s="472" t="n"/>
      <c r="M713" s="472" t="n"/>
      <c r="N713" s="472" t="n"/>
      <c r="O713" s="472" t="n"/>
      <c r="P713" s="472" t="n"/>
      <c r="Q713" s="472" t="n"/>
      <c r="R713" s="472" t="n"/>
      <c r="S713" s="285" t="n"/>
      <c r="T713" s="284" t="n"/>
      <c r="U713" s="284" t="n"/>
      <c r="V713" s="285" t="n"/>
      <c r="W713" s="285" t="n"/>
      <c r="X713" s="285" t="n"/>
      <c r="Y713" s="285" t="n"/>
      <c r="Z713" s="285" t="n"/>
      <c r="AA713" s="285" t="n"/>
      <c r="AB713" s="285" t="n"/>
    </row>
    <row r="714" ht="15.75" customHeight="1" s="398">
      <c r="A714" s="284" t="n"/>
      <c r="B714" s="285" t="n"/>
      <c r="C714" s="368" t="n"/>
      <c r="D714" s="336" t="n"/>
      <c r="E714" s="284" t="n"/>
      <c r="F714" s="472" t="n"/>
      <c r="G714" s="472" t="n"/>
      <c r="H714" s="472" t="n"/>
      <c r="I714" s="472" t="n"/>
      <c r="J714" s="472" t="n"/>
      <c r="K714" s="472" t="n"/>
      <c r="L714" s="472" t="n"/>
      <c r="M714" s="472" t="n"/>
      <c r="N714" s="472" t="n"/>
      <c r="O714" s="472" t="n"/>
      <c r="P714" s="472" t="n"/>
      <c r="Q714" s="472" t="n"/>
      <c r="R714" s="472" t="n"/>
      <c r="S714" s="285" t="n"/>
      <c r="T714" s="284" t="n"/>
      <c r="U714" s="284" t="n"/>
      <c r="V714" s="285" t="n"/>
      <c r="W714" s="285" t="n"/>
      <c r="X714" s="285" t="n"/>
      <c r="Y714" s="285" t="n"/>
      <c r="Z714" s="285" t="n"/>
      <c r="AA714" s="285" t="n"/>
      <c r="AB714" s="285" t="n"/>
    </row>
    <row r="715" ht="15.75" customHeight="1" s="398">
      <c r="A715" s="284" t="n"/>
      <c r="B715" s="285" t="n"/>
      <c r="C715" s="368" t="n"/>
      <c r="D715" s="336" t="n"/>
      <c r="E715" s="284" t="n"/>
      <c r="F715" s="472" t="n"/>
      <c r="G715" s="472" t="n"/>
      <c r="H715" s="472" t="n"/>
      <c r="I715" s="472" t="n"/>
      <c r="J715" s="472" t="n"/>
      <c r="K715" s="472" t="n"/>
      <c r="L715" s="472" t="n"/>
      <c r="M715" s="472" t="n"/>
      <c r="N715" s="472" t="n"/>
      <c r="O715" s="472" t="n"/>
      <c r="P715" s="472" t="n"/>
      <c r="Q715" s="472" t="n"/>
      <c r="R715" s="472" t="n"/>
      <c r="S715" s="285" t="n"/>
      <c r="T715" s="284" t="n"/>
      <c r="U715" s="284" t="n"/>
      <c r="V715" s="285" t="n"/>
      <c r="W715" s="285" t="n"/>
      <c r="X715" s="285" t="n"/>
      <c r="Y715" s="285" t="n"/>
      <c r="Z715" s="285" t="n"/>
      <c r="AA715" s="285" t="n"/>
      <c r="AB715" s="285" t="n"/>
    </row>
    <row r="716" ht="15.75" customHeight="1" s="398">
      <c r="A716" s="284" t="n"/>
      <c r="B716" s="285" t="n"/>
      <c r="C716" s="368" t="n"/>
      <c r="D716" s="336" t="n"/>
      <c r="E716" s="284" t="n"/>
      <c r="F716" s="472" t="n"/>
      <c r="G716" s="472" t="n"/>
      <c r="H716" s="472" t="n"/>
      <c r="I716" s="472" t="n"/>
      <c r="J716" s="472" t="n"/>
      <c r="K716" s="472" t="n"/>
      <c r="L716" s="472" t="n"/>
      <c r="M716" s="472" t="n"/>
      <c r="N716" s="472" t="n"/>
      <c r="O716" s="472" t="n"/>
      <c r="P716" s="472" t="n"/>
      <c r="Q716" s="472" t="n"/>
      <c r="R716" s="472" t="n"/>
      <c r="S716" s="285" t="n"/>
      <c r="T716" s="284" t="n"/>
      <c r="U716" s="284" t="n"/>
      <c r="V716" s="285" t="n"/>
      <c r="W716" s="285" t="n"/>
      <c r="X716" s="285" t="n"/>
      <c r="Y716" s="285" t="n"/>
      <c r="Z716" s="285" t="n"/>
      <c r="AA716" s="285" t="n"/>
      <c r="AB716" s="285" t="n"/>
    </row>
    <row r="717" ht="15.75" customHeight="1" s="398">
      <c r="A717" s="284" t="n"/>
      <c r="B717" s="285" t="n"/>
      <c r="C717" s="368" t="n"/>
      <c r="D717" s="336" t="n"/>
      <c r="E717" s="284" t="n"/>
      <c r="F717" s="472" t="n"/>
      <c r="G717" s="472" t="n"/>
      <c r="H717" s="472" t="n"/>
      <c r="I717" s="472" t="n"/>
      <c r="J717" s="472" t="n"/>
      <c r="K717" s="472" t="n"/>
      <c r="L717" s="472" t="n"/>
      <c r="M717" s="472" t="n"/>
      <c r="N717" s="472" t="n"/>
      <c r="O717" s="472" t="n"/>
      <c r="P717" s="472" t="n"/>
      <c r="Q717" s="472" t="n"/>
      <c r="R717" s="472" t="n"/>
      <c r="S717" s="285" t="n"/>
      <c r="T717" s="284" t="n"/>
      <c r="U717" s="284" t="n"/>
      <c r="V717" s="285" t="n"/>
      <c r="W717" s="285" t="n"/>
      <c r="X717" s="285" t="n"/>
      <c r="Y717" s="285" t="n"/>
      <c r="Z717" s="285" t="n"/>
      <c r="AA717" s="285" t="n"/>
      <c r="AB717" s="285" t="n"/>
    </row>
    <row r="718" ht="15.75" customHeight="1" s="398">
      <c r="A718" s="284" t="n"/>
      <c r="B718" s="285" t="n"/>
      <c r="C718" s="368" t="n"/>
      <c r="D718" s="336" t="n"/>
      <c r="E718" s="284" t="n"/>
      <c r="F718" s="472" t="n"/>
      <c r="G718" s="472" t="n"/>
      <c r="H718" s="472" t="n"/>
      <c r="I718" s="472" t="n"/>
      <c r="J718" s="472" t="n"/>
      <c r="K718" s="472" t="n"/>
      <c r="L718" s="472" t="n"/>
      <c r="M718" s="472" t="n"/>
      <c r="N718" s="472" t="n"/>
      <c r="O718" s="472" t="n"/>
      <c r="P718" s="472" t="n"/>
      <c r="Q718" s="472" t="n"/>
      <c r="R718" s="472" t="n"/>
      <c r="S718" s="285" t="n"/>
      <c r="T718" s="284" t="n"/>
      <c r="U718" s="284" t="n"/>
      <c r="V718" s="285" t="n"/>
      <c r="W718" s="285" t="n"/>
      <c r="X718" s="285" t="n"/>
      <c r="Y718" s="285" t="n"/>
      <c r="Z718" s="285" t="n"/>
      <c r="AA718" s="285" t="n"/>
      <c r="AB718" s="285" t="n"/>
    </row>
    <row r="719" ht="15.75" customHeight="1" s="398">
      <c r="A719" s="284" t="n"/>
      <c r="B719" s="285" t="n"/>
      <c r="C719" s="368" t="n"/>
      <c r="D719" s="336" t="n"/>
      <c r="E719" s="284" t="n"/>
      <c r="F719" s="472" t="n"/>
      <c r="G719" s="472" t="n"/>
      <c r="H719" s="472" t="n"/>
      <c r="I719" s="472" t="n"/>
      <c r="J719" s="472" t="n"/>
      <c r="K719" s="472" t="n"/>
      <c r="L719" s="472" t="n"/>
      <c r="M719" s="472" t="n"/>
      <c r="N719" s="472" t="n"/>
      <c r="O719" s="472" t="n"/>
      <c r="P719" s="472" t="n"/>
      <c r="Q719" s="472" t="n"/>
      <c r="R719" s="472" t="n"/>
      <c r="S719" s="285" t="n"/>
      <c r="T719" s="284" t="n"/>
      <c r="U719" s="284" t="n"/>
      <c r="V719" s="285" t="n"/>
      <c r="W719" s="285" t="n"/>
      <c r="X719" s="285" t="n"/>
      <c r="Y719" s="285" t="n"/>
      <c r="Z719" s="285" t="n"/>
      <c r="AA719" s="285" t="n"/>
      <c r="AB719" s="285" t="n"/>
    </row>
    <row r="720" ht="15.75" customHeight="1" s="398">
      <c r="A720" s="284" t="n"/>
      <c r="B720" s="285" t="n"/>
      <c r="C720" s="368" t="n"/>
      <c r="D720" s="336" t="n"/>
      <c r="E720" s="284" t="n"/>
      <c r="F720" s="472" t="n"/>
      <c r="G720" s="472" t="n"/>
      <c r="H720" s="472" t="n"/>
      <c r="I720" s="472" t="n"/>
      <c r="J720" s="472" t="n"/>
      <c r="K720" s="472" t="n"/>
      <c r="L720" s="472" t="n"/>
      <c r="M720" s="472" t="n"/>
      <c r="N720" s="472" t="n"/>
      <c r="O720" s="472" t="n"/>
      <c r="P720" s="472" t="n"/>
      <c r="Q720" s="472" t="n"/>
      <c r="R720" s="472" t="n"/>
      <c r="S720" s="285" t="n"/>
      <c r="T720" s="284" t="n"/>
      <c r="U720" s="284" t="n"/>
      <c r="V720" s="285" t="n"/>
      <c r="W720" s="285" t="n"/>
      <c r="X720" s="285" t="n"/>
      <c r="Y720" s="285" t="n"/>
      <c r="Z720" s="285" t="n"/>
      <c r="AA720" s="285" t="n"/>
      <c r="AB720" s="285" t="n"/>
    </row>
    <row r="721" ht="15.75" customHeight="1" s="398">
      <c r="A721" s="284" t="n"/>
      <c r="B721" s="285" t="n"/>
      <c r="C721" s="368" t="n"/>
      <c r="D721" s="336" t="n"/>
      <c r="E721" s="284" t="n"/>
      <c r="F721" s="472" t="n"/>
      <c r="G721" s="472" t="n"/>
      <c r="H721" s="472" t="n"/>
      <c r="I721" s="472" t="n"/>
      <c r="J721" s="472" t="n"/>
      <c r="K721" s="472" t="n"/>
      <c r="L721" s="472" t="n"/>
      <c r="M721" s="472" t="n"/>
      <c r="N721" s="472" t="n"/>
      <c r="O721" s="472" t="n"/>
      <c r="P721" s="472" t="n"/>
      <c r="Q721" s="472" t="n"/>
      <c r="R721" s="472" t="n"/>
      <c r="S721" s="285" t="n"/>
      <c r="T721" s="284" t="n"/>
      <c r="U721" s="284" t="n"/>
      <c r="V721" s="285" t="n"/>
      <c r="W721" s="285" t="n"/>
      <c r="X721" s="285" t="n"/>
      <c r="Y721" s="285" t="n"/>
      <c r="Z721" s="285" t="n"/>
      <c r="AA721" s="285" t="n"/>
      <c r="AB721" s="285" t="n"/>
    </row>
    <row r="722" ht="15.75" customHeight="1" s="398">
      <c r="A722" s="284" t="n"/>
      <c r="B722" s="285" t="n"/>
      <c r="C722" s="368" t="n"/>
      <c r="D722" s="336" t="n"/>
      <c r="E722" s="284" t="n"/>
      <c r="F722" s="472" t="n"/>
      <c r="G722" s="472" t="n"/>
      <c r="H722" s="472" t="n"/>
      <c r="I722" s="472" t="n"/>
      <c r="J722" s="472" t="n"/>
      <c r="K722" s="472" t="n"/>
      <c r="L722" s="472" t="n"/>
      <c r="M722" s="472" t="n"/>
      <c r="N722" s="472" t="n"/>
      <c r="O722" s="472" t="n"/>
      <c r="P722" s="472" t="n"/>
      <c r="Q722" s="472" t="n"/>
      <c r="R722" s="472" t="n"/>
      <c r="S722" s="285" t="n"/>
      <c r="T722" s="284" t="n"/>
      <c r="U722" s="284" t="n"/>
      <c r="V722" s="285" t="n"/>
      <c r="W722" s="285" t="n"/>
      <c r="X722" s="285" t="n"/>
      <c r="Y722" s="285" t="n"/>
      <c r="Z722" s="285" t="n"/>
      <c r="AA722" s="285" t="n"/>
      <c r="AB722" s="285" t="n"/>
    </row>
    <row r="723" ht="15.75" customHeight="1" s="398">
      <c r="A723" s="284" t="n"/>
      <c r="B723" s="285" t="n"/>
      <c r="C723" s="368" t="n"/>
      <c r="D723" s="336" t="n"/>
      <c r="E723" s="284" t="n"/>
      <c r="F723" s="472" t="n"/>
      <c r="G723" s="472" t="n"/>
      <c r="H723" s="472" t="n"/>
      <c r="I723" s="472" t="n"/>
      <c r="J723" s="472" t="n"/>
      <c r="K723" s="472" t="n"/>
      <c r="L723" s="472" t="n"/>
      <c r="M723" s="472" t="n"/>
      <c r="N723" s="472" t="n"/>
      <c r="O723" s="472" t="n"/>
      <c r="P723" s="472" t="n"/>
      <c r="Q723" s="472" t="n"/>
      <c r="R723" s="472" t="n"/>
      <c r="S723" s="285" t="n"/>
      <c r="T723" s="284" t="n"/>
      <c r="U723" s="284" t="n"/>
      <c r="V723" s="285" t="n"/>
      <c r="W723" s="285" t="n"/>
      <c r="X723" s="285" t="n"/>
      <c r="Y723" s="285" t="n"/>
      <c r="Z723" s="285" t="n"/>
      <c r="AA723" s="285" t="n"/>
      <c r="AB723" s="285" t="n"/>
    </row>
    <row r="724" ht="15.75" customHeight="1" s="398">
      <c r="A724" s="284" t="n"/>
      <c r="B724" s="285" t="n"/>
      <c r="C724" s="368" t="n"/>
      <c r="D724" s="336" t="n"/>
      <c r="E724" s="284" t="n"/>
      <c r="F724" s="472" t="n"/>
      <c r="G724" s="472" t="n"/>
      <c r="H724" s="472" t="n"/>
      <c r="I724" s="472" t="n"/>
      <c r="J724" s="472" t="n"/>
      <c r="K724" s="472" t="n"/>
      <c r="L724" s="472" t="n"/>
      <c r="M724" s="472" t="n"/>
      <c r="N724" s="472" t="n"/>
      <c r="O724" s="472" t="n"/>
      <c r="P724" s="472" t="n"/>
      <c r="Q724" s="472" t="n"/>
      <c r="R724" s="472" t="n"/>
      <c r="S724" s="285" t="n"/>
      <c r="T724" s="284" t="n"/>
      <c r="U724" s="284" t="n"/>
      <c r="V724" s="285" t="n"/>
      <c r="W724" s="285" t="n"/>
      <c r="X724" s="285" t="n"/>
      <c r="Y724" s="285" t="n"/>
      <c r="Z724" s="285" t="n"/>
      <c r="AA724" s="285" t="n"/>
      <c r="AB724" s="285" t="n"/>
    </row>
    <row r="725" ht="15.75" customHeight="1" s="398">
      <c r="A725" s="284" t="n"/>
      <c r="B725" s="285" t="n"/>
      <c r="C725" s="368" t="n"/>
      <c r="D725" s="336" t="n"/>
      <c r="E725" s="284" t="n"/>
      <c r="F725" s="472" t="n"/>
      <c r="G725" s="472" t="n"/>
      <c r="H725" s="472" t="n"/>
      <c r="I725" s="472" t="n"/>
      <c r="J725" s="472" t="n"/>
      <c r="K725" s="472" t="n"/>
      <c r="L725" s="472" t="n"/>
      <c r="M725" s="472" t="n"/>
      <c r="N725" s="472" t="n"/>
      <c r="O725" s="472" t="n"/>
      <c r="P725" s="472" t="n"/>
      <c r="Q725" s="472" t="n"/>
      <c r="R725" s="472" t="n"/>
      <c r="S725" s="285" t="n"/>
      <c r="T725" s="284" t="n"/>
      <c r="U725" s="284" t="n"/>
      <c r="V725" s="285" t="n"/>
      <c r="W725" s="285" t="n"/>
      <c r="X725" s="285" t="n"/>
      <c r="Y725" s="285" t="n"/>
      <c r="Z725" s="285" t="n"/>
      <c r="AA725" s="285" t="n"/>
      <c r="AB725" s="285" t="n"/>
    </row>
    <row r="726" ht="15.75" customHeight="1" s="398">
      <c r="A726" s="284" t="n"/>
      <c r="B726" s="285" t="n"/>
      <c r="C726" s="368" t="n"/>
      <c r="D726" s="336" t="n"/>
      <c r="E726" s="284" t="n"/>
      <c r="F726" s="472" t="n"/>
      <c r="G726" s="472" t="n"/>
      <c r="H726" s="472" t="n"/>
      <c r="I726" s="472" t="n"/>
      <c r="J726" s="472" t="n"/>
      <c r="K726" s="472" t="n"/>
      <c r="L726" s="472" t="n"/>
      <c r="M726" s="472" t="n"/>
      <c r="N726" s="472" t="n"/>
      <c r="O726" s="472" t="n"/>
      <c r="P726" s="472" t="n"/>
      <c r="Q726" s="472" t="n"/>
      <c r="R726" s="472" t="n"/>
      <c r="S726" s="285" t="n"/>
      <c r="T726" s="284" t="n"/>
      <c r="U726" s="284" t="n"/>
      <c r="V726" s="285" t="n"/>
      <c r="W726" s="285" t="n"/>
      <c r="X726" s="285" t="n"/>
      <c r="Y726" s="285" t="n"/>
      <c r="Z726" s="285" t="n"/>
      <c r="AA726" s="285" t="n"/>
      <c r="AB726" s="285" t="n"/>
    </row>
    <row r="727" ht="15.75" customHeight="1" s="398">
      <c r="A727" s="284" t="n"/>
      <c r="B727" s="285" t="n"/>
      <c r="C727" s="368" t="n"/>
      <c r="D727" s="336" t="n"/>
      <c r="E727" s="284" t="n"/>
      <c r="F727" s="472" t="n"/>
      <c r="G727" s="472" t="n"/>
      <c r="H727" s="472" t="n"/>
      <c r="I727" s="472" t="n"/>
      <c r="J727" s="472" t="n"/>
      <c r="K727" s="472" t="n"/>
      <c r="L727" s="472" t="n"/>
      <c r="M727" s="472" t="n"/>
      <c r="N727" s="472" t="n"/>
      <c r="O727" s="472" t="n"/>
      <c r="P727" s="472" t="n"/>
      <c r="Q727" s="472" t="n"/>
      <c r="R727" s="472" t="n"/>
      <c r="S727" s="285" t="n"/>
      <c r="T727" s="284" t="n"/>
      <c r="U727" s="284" t="n"/>
      <c r="V727" s="285" t="n"/>
      <c r="W727" s="285" t="n"/>
      <c r="X727" s="285" t="n"/>
      <c r="Y727" s="285" t="n"/>
      <c r="Z727" s="285" t="n"/>
      <c r="AA727" s="285" t="n"/>
      <c r="AB727" s="285" t="n"/>
    </row>
    <row r="728" ht="15.75" customHeight="1" s="398">
      <c r="A728" s="284" t="n"/>
      <c r="B728" s="285" t="n"/>
      <c r="C728" s="368" t="n"/>
      <c r="D728" s="336" t="n"/>
      <c r="E728" s="284" t="n"/>
      <c r="F728" s="472" t="n"/>
      <c r="G728" s="472" t="n"/>
      <c r="H728" s="472" t="n"/>
      <c r="I728" s="472" t="n"/>
      <c r="J728" s="472" t="n"/>
      <c r="K728" s="472" t="n"/>
      <c r="L728" s="472" t="n"/>
      <c r="M728" s="472" t="n"/>
      <c r="N728" s="472" t="n"/>
      <c r="O728" s="472" t="n"/>
      <c r="P728" s="472" t="n"/>
      <c r="Q728" s="472" t="n"/>
      <c r="R728" s="472" t="n"/>
      <c r="S728" s="285" t="n"/>
      <c r="T728" s="284" t="n"/>
      <c r="U728" s="284" t="n"/>
      <c r="V728" s="285" t="n"/>
      <c r="W728" s="285" t="n"/>
      <c r="X728" s="285" t="n"/>
      <c r="Y728" s="285" t="n"/>
      <c r="Z728" s="285" t="n"/>
      <c r="AA728" s="285" t="n"/>
      <c r="AB728" s="285" t="n"/>
    </row>
    <row r="729" ht="15.75" customHeight="1" s="398">
      <c r="A729" s="284" t="n"/>
      <c r="B729" s="285" t="n"/>
      <c r="C729" s="368" t="n"/>
      <c r="D729" s="336" t="n"/>
      <c r="E729" s="284" t="n"/>
      <c r="F729" s="472" t="n"/>
      <c r="G729" s="472" t="n"/>
      <c r="H729" s="472" t="n"/>
      <c r="I729" s="472" t="n"/>
      <c r="J729" s="472" t="n"/>
      <c r="K729" s="472" t="n"/>
      <c r="L729" s="472" t="n"/>
      <c r="M729" s="472" t="n"/>
      <c r="N729" s="472" t="n"/>
      <c r="O729" s="472" t="n"/>
      <c r="P729" s="472" t="n"/>
      <c r="Q729" s="472" t="n"/>
      <c r="R729" s="472" t="n"/>
      <c r="S729" s="285" t="n"/>
      <c r="T729" s="284" t="n"/>
      <c r="U729" s="284" t="n"/>
      <c r="V729" s="285" t="n"/>
      <c r="W729" s="285" t="n"/>
      <c r="X729" s="285" t="n"/>
      <c r="Y729" s="285" t="n"/>
      <c r="Z729" s="285" t="n"/>
      <c r="AA729" s="285" t="n"/>
      <c r="AB729" s="285" t="n"/>
    </row>
    <row r="730" ht="15.75" customHeight="1" s="398">
      <c r="A730" s="284" t="n"/>
      <c r="B730" s="285" t="n"/>
      <c r="C730" s="368" t="n"/>
      <c r="D730" s="336" t="n"/>
      <c r="E730" s="284" t="n"/>
      <c r="F730" s="472" t="n"/>
      <c r="G730" s="472" t="n"/>
      <c r="H730" s="472" t="n"/>
      <c r="I730" s="472" t="n"/>
      <c r="J730" s="472" t="n"/>
      <c r="K730" s="472" t="n"/>
      <c r="L730" s="472" t="n"/>
      <c r="M730" s="472" t="n"/>
      <c r="N730" s="472" t="n"/>
      <c r="O730" s="472" t="n"/>
      <c r="P730" s="472" t="n"/>
      <c r="Q730" s="472" t="n"/>
      <c r="R730" s="472" t="n"/>
      <c r="S730" s="285" t="n"/>
      <c r="T730" s="284" t="n"/>
      <c r="U730" s="284" t="n"/>
      <c r="V730" s="285" t="n"/>
      <c r="W730" s="285" t="n"/>
      <c r="X730" s="285" t="n"/>
      <c r="Y730" s="285" t="n"/>
      <c r="Z730" s="285" t="n"/>
      <c r="AA730" s="285" t="n"/>
      <c r="AB730" s="285" t="n"/>
    </row>
    <row r="731" ht="15.75" customHeight="1" s="398">
      <c r="A731" s="284" t="n"/>
      <c r="B731" s="285" t="n"/>
      <c r="C731" s="368" t="n"/>
      <c r="D731" s="336" t="n"/>
      <c r="E731" s="284" t="n"/>
      <c r="F731" s="472" t="n"/>
      <c r="G731" s="472" t="n"/>
      <c r="H731" s="472" t="n"/>
      <c r="I731" s="472" t="n"/>
      <c r="J731" s="472" t="n"/>
      <c r="K731" s="472" t="n"/>
      <c r="L731" s="472" t="n"/>
      <c r="M731" s="472" t="n"/>
      <c r="N731" s="472" t="n"/>
      <c r="O731" s="472" t="n"/>
      <c r="P731" s="472" t="n"/>
      <c r="Q731" s="472" t="n"/>
      <c r="R731" s="472" t="n"/>
      <c r="S731" s="285" t="n"/>
      <c r="T731" s="284" t="n"/>
      <c r="U731" s="284" t="n"/>
      <c r="V731" s="285" t="n"/>
      <c r="W731" s="285" t="n"/>
      <c r="X731" s="285" t="n"/>
      <c r="Y731" s="285" t="n"/>
      <c r="Z731" s="285" t="n"/>
      <c r="AA731" s="285" t="n"/>
      <c r="AB731" s="285" t="n"/>
    </row>
    <row r="732" ht="15.75" customHeight="1" s="398">
      <c r="A732" s="284" t="n"/>
      <c r="B732" s="285" t="n"/>
      <c r="C732" s="368" t="n"/>
      <c r="D732" s="336" t="n"/>
      <c r="E732" s="284" t="n"/>
      <c r="F732" s="472" t="n"/>
      <c r="G732" s="472" t="n"/>
      <c r="H732" s="472" t="n"/>
      <c r="I732" s="472" t="n"/>
      <c r="J732" s="472" t="n"/>
      <c r="K732" s="472" t="n"/>
      <c r="L732" s="472" t="n"/>
      <c r="M732" s="472" t="n"/>
      <c r="N732" s="472" t="n"/>
      <c r="O732" s="472" t="n"/>
      <c r="P732" s="472" t="n"/>
      <c r="Q732" s="472" t="n"/>
      <c r="R732" s="472" t="n"/>
      <c r="S732" s="285" t="n"/>
      <c r="T732" s="284" t="n"/>
      <c r="U732" s="284" t="n"/>
      <c r="V732" s="285" t="n"/>
      <c r="W732" s="285" t="n"/>
      <c r="X732" s="285" t="n"/>
      <c r="Y732" s="285" t="n"/>
      <c r="Z732" s="285" t="n"/>
      <c r="AA732" s="285" t="n"/>
      <c r="AB732" s="285" t="n"/>
    </row>
    <row r="733" ht="15.75" customHeight="1" s="398">
      <c r="A733" s="284" t="n"/>
      <c r="B733" s="285" t="n"/>
      <c r="C733" s="368" t="n"/>
      <c r="D733" s="336" t="n"/>
      <c r="E733" s="284" t="n"/>
      <c r="F733" s="472" t="n"/>
      <c r="G733" s="472" t="n"/>
      <c r="H733" s="472" t="n"/>
      <c r="I733" s="472" t="n"/>
      <c r="J733" s="472" t="n"/>
      <c r="K733" s="472" t="n"/>
      <c r="L733" s="472" t="n"/>
      <c r="M733" s="472" t="n"/>
      <c r="N733" s="472" t="n"/>
      <c r="O733" s="472" t="n"/>
      <c r="P733" s="472" t="n"/>
      <c r="Q733" s="472" t="n"/>
      <c r="R733" s="472" t="n"/>
      <c r="S733" s="285" t="n"/>
      <c r="T733" s="284" t="n"/>
      <c r="U733" s="284" t="n"/>
      <c r="V733" s="285" t="n"/>
      <c r="W733" s="285" t="n"/>
      <c r="X733" s="285" t="n"/>
      <c r="Y733" s="285" t="n"/>
      <c r="Z733" s="285" t="n"/>
      <c r="AA733" s="285" t="n"/>
      <c r="AB733" s="285" t="n"/>
    </row>
    <row r="734" ht="15.75" customHeight="1" s="398">
      <c r="A734" s="284" t="n"/>
      <c r="B734" s="285" t="n"/>
      <c r="C734" s="368" t="n"/>
      <c r="D734" s="336" t="n"/>
      <c r="E734" s="284" t="n"/>
      <c r="F734" s="472" t="n"/>
      <c r="G734" s="472" t="n"/>
      <c r="H734" s="472" t="n"/>
      <c r="I734" s="472" t="n"/>
      <c r="J734" s="472" t="n"/>
      <c r="K734" s="472" t="n"/>
      <c r="L734" s="472" t="n"/>
      <c r="M734" s="472" t="n"/>
      <c r="N734" s="472" t="n"/>
      <c r="O734" s="472" t="n"/>
      <c r="P734" s="472" t="n"/>
      <c r="Q734" s="472" t="n"/>
      <c r="R734" s="472" t="n"/>
      <c r="S734" s="285" t="n"/>
      <c r="T734" s="284" t="n"/>
      <c r="U734" s="284" t="n"/>
      <c r="V734" s="285" t="n"/>
      <c r="W734" s="285" t="n"/>
      <c r="X734" s="285" t="n"/>
      <c r="Y734" s="285" t="n"/>
      <c r="Z734" s="285" t="n"/>
      <c r="AA734" s="285" t="n"/>
      <c r="AB734" s="285" t="n"/>
    </row>
    <row r="735" ht="15.75" customHeight="1" s="398">
      <c r="A735" s="284" t="n"/>
      <c r="B735" s="285" t="n"/>
      <c r="C735" s="368" t="n"/>
      <c r="D735" s="336" t="n"/>
      <c r="E735" s="284" t="n"/>
      <c r="F735" s="472" t="n"/>
      <c r="G735" s="472" t="n"/>
      <c r="H735" s="472" t="n"/>
      <c r="I735" s="472" t="n"/>
      <c r="J735" s="472" t="n"/>
      <c r="K735" s="472" t="n"/>
      <c r="L735" s="472" t="n"/>
      <c r="M735" s="472" t="n"/>
      <c r="N735" s="472" t="n"/>
      <c r="O735" s="472" t="n"/>
      <c r="P735" s="472" t="n"/>
      <c r="Q735" s="472" t="n"/>
      <c r="R735" s="472" t="n"/>
      <c r="S735" s="285" t="n"/>
      <c r="T735" s="284" t="n"/>
      <c r="U735" s="284" t="n"/>
      <c r="V735" s="285" t="n"/>
      <c r="W735" s="285" t="n"/>
      <c r="X735" s="285" t="n"/>
      <c r="Y735" s="285" t="n"/>
      <c r="Z735" s="285" t="n"/>
      <c r="AA735" s="285" t="n"/>
      <c r="AB735" s="285" t="n"/>
    </row>
    <row r="736" ht="15.75" customHeight="1" s="398">
      <c r="A736" s="284" t="n"/>
      <c r="B736" s="285" t="n"/>
      <c r="C736" s="368" t="n"/>
      <c r="D736" s="336" t="n"/>
      <c r="E736" s="284" t="n"/>
      <c r="F736" s="472" t="n"/>
      <c r="G736" s="472" t="n"/>
      <c r="H736" s="472" t="n"/>
      <c r="I736" s="472" t="n"/>
      <c r="J736" s="472" t="n"/>
      <c r="K736" s="472" t="n"/>
      <c r="L736" s="472" t="n"/>
      <c r="M736" s="472" t="n"/>
      <c r="N736" s="472" t="n"/>
      <c r="O736" s="472" t="n"/>
      <c r="P736" s="472" t="n"/>
      <c r="Q736" s="472" t="n"/>
      <c r="R736" s="472" t="n"/>
      <c r="S736" s="285" t="n"/>
      <c r="T736" s="284" t="n"/>
      <c r="U736" s="284" t="n"/>
      <c r="V736" s="285" t="n"/>
      <c r="W736" s="285" t="n"/>
      <c r="X736" s="285" t="n"/>
      <c r="Y736" s="285" t="n"/>
      <c r="Z736" s="285" t="n"/>
      <c r="AA736" s="285" t="n"/>
      <c r="AB736" s="285" t="n"/>
    </row>
    <row r="737" ht="15.75" customHeight="1" s="398">
      <c r="A737" s="284" t="n"/>
      <c r="B737" s="285" t="n"/>
      <c r="C737" s="368" t="n"/>
      <c r="D737" s="336" t="n"/>
      <c r="E737" s="284" t="n"/>
      <c r="F737" s="472" t="n"/>
      <c r="G737" s="472" t="n"/>
      <c r="H737" s="472" t="n"/>
      <c r="I737" s="472" t="n"/>
      <c r="J737" s="472" t="n"/>
      <c r="K737" s="472" t="n"/>
      <c r="L737" s="472" t="n"/>
      <c r="M737" s="472" t="n"/>
      <c r="N737" s="472" t="n"/>
      <c r="O737" s="472" t="n"/>
      <c r="P737" s="472" t="n"/>
      <c r="Q737" s="472" t="n"/>
      <c r="R737" s="472" t="n"/>
      <c r="S737" s="285" t="n"/>
      <c r="T737" s="284" t="n"/>
      <c r="U737" s="284" t="n"/>
      <c r="V737" s="285" t="n"/>
      <c r="W737" s="285" t="n"/>
      <c r="X737" s="285" t="n"/>
      <c r="Y737" s="285" t="n"/>
      <c r="Z737" s="285" t="n"/>
      <c r="AA737" s="285" t="n"/>
      <c r="AB737" s="285" t="n"/>
    </row>
    <row r="738" ht="15.75" customHeight="1" s="398">
      <c r="A738" s="284" t="n"/>
      <c r="B738" s="285" t="n"/>
      <c r="C738" s="368" t="n"/>
      <c r="D738" s="336" t="n"/>
      <c r="E738" s="284" t="n"/>
      <c r="F738" s="472" t="n"/>
      <c r="G738" s="472" t="n"/>
      <c r="H738" s="472" t="n"/>
      <c r="I738" s="472" t="n"/>
      <c r="J738" s="472" t="n"/>
      <c r="K738" s="472" t="n"/>
      <c r="L738" s="472" t="n"/>
      <c r="M738" s="472" t="n"/>
      <c r="N738" s="472" t="n"/>
      <c r="O738" s="472" t="n"/>
      <c r="P738" s="472" t="n"/>
      <c r="Q738" s="472" t="n"/>
      <c r="R738" s="472" t="n"/>
      <c r="S738" s="285" t="n"/>
      <c r="T738" s="284" t="n"/>
      <c r="U738" s="284" t="n"/>
      <c r="V738" s="285" t="n"/>
      <c r="W738" s="285" t="n"/>
      <c r="X738" s="285" t="n"/>
      <c r="Y738" s="285" t="n"/>
      <c r="Z738" s="285" t="n"/>
      <c r="AA738" s="285" t="n"/>
      <c r="AB738" s="285" t="n"/>
    </row>
    <row r="739" ht="15.75" customHeight="1" s="398">
      <c r="A739" s="284" t="n"/>
      <c r="B739" s="285" t="n"/>
      <c r="C739" s="368" t="n"/>
      <c r="D739" s="336" t="n"/>
      <c r="E739" s="284" t="n"/>
      <c r="F739" s="472" t="n"/>
      <c r="G739" s="472" t="n"/>
      <c r="H739" s="472" t="n"/>
      <c r="I739" s="472" t="n"/>
      <c r="J739" s="472" t="n"/>
      <c r="K739" s="472" t="n"/>
      <c r="L739" s="472" t="n"/>
      <c r="M739" s="472" t="n"/>
      <c r="N739" s="472" t="n"/>
      <c r="O739" s="472" t="n"/>
      <c r="P739" s="472" t="n"/>
      <c r="Q739" s="472" t="n"/>
      <c r="R739" s="472" t="n"/>
      <c r="S739" s="285" t="n"/>
      <c r="T739" s="284" t="n"/>
      <c r="U739" s="284" t="n"/>
      <c r="V739" s="285" t="n"/>
      <c r="W739" s="285" t="n"/>
      <c r="X739" s="285" t="n"/>
      <c r="Y739" s="285" t="n"/>
      <c r="Z739" s="285" t="n"/>
      <c r="AA739" s="285" t="n"/>
      <c r="AB739" s="285" t="n"/>
    </row>
    <row r="740" ht="15.75" customHeight="1" s="398">
      <c r="A740" s="284" t="n"/>
      <c r="B740" s="285" t="n"/>
      <c r="C740" s="368" t="n"/>
      <c r="D740" s="336" t="n"/>
      <c r="E740" s="284" t="n"/>
      <c r="F740" s="472" t="n"/>
      <c r="G740" s="472" t="n"/>
      <c r="H740" s="472" t="n"/>
      <c r="I740" s="472" t="n"/>
      <c r="J740" s="472" t="n"/>
      <c r="K740" s="472" t="n"/>
      <c r="L740" s="472" t="n"/>
      <c r="M740" s="472" t="n"/>
      <c r="N740" s="472" t="n"/>
      <c r="O740" s="472" t="n"/>
      <c r="P740" s="472" t="n"/>
      <c r="Q740" s="472" t="n"/>
      <c r="R740" s="472" t="n"/>
      <c r="S740" s="285" t="n"/>
      <c r="T740" s="284" t="n"/>
      <c r="U740" s="284" t="n"/>
      <c r="V740" s="285" t="n"/>
      <c r="W740" s="285" t="n"/>
      <c r="X740" s="285" t="n"/>
      <c r="Y740" s="285" t="n"/>
      <c r="Z740" s="285" t="n"/>
      <c r="AA740" s="285" t="n"/>
      <c r="AB740" s="285" t="n"/>
    </row>
    <row r="741" ht="15.75" customHeight="1" s="398">
      <c r="A741" s="284" t="n"/>
      <c r="B741" s="285" t="n"/>
      <c r="C741" s="368" t="n"/>
      <c r="D741" s="336" t="n"/>
      <c r="E741" s="284" t="n"/>
      <c r="F741" s="472" t="n"/>
      <c r="G741" s="472" t="n"/>
      <c r="H741" s="472" t="n"/>
      <c r="I741" s="472" t="n"/>
      <c r="J741" s="472" t="n"/>
      <c r="K741" s="472" t="n"/>
      <c r="L741" s="472" t="n"/>
      <c r="M741" s="472" t="n"/>
      <c r="N741" s="472" t="n"/>
      <c r="O741" s="472" t="n"/>
      <c r="P741" s="472" t="n"/>
      <c r="Q741" s="472" t="n"/>
      <c r="R741" s="472" t="n"/>
      <c r="S741" s="285" t="n"/>
      <c r="T741" s="284" t="n"/>
      <c r="U741" s="284" t="n"/>
      <c r="V741" s="285" t="n"/>
      <c r="W741" s="285" t="n"/>
      <c r="X741" s="285" t="n"/>
      <c r="Y741" s="285" t="n"/>
      <c r="Z741" s="285" t="n"/>
      <c r="AA741" s="285" t="n"/>
      <c r="AB741" s="285" t="n"/>
    </row>
    <row r="742" ht="15.75" customHeight="1" s="398">
      <c r="A742" s="284" t="n"/>
      <c r="B742" s="285" t="n"/>
      <c r="C742" s="368" t="n"/>
      <c r="D742" s="336" t="n"/>
      <c r="E742" s="284" t="n"/>
      <c r="F742" s="472" t="n"/>
      <c r="G742" s="472" t="n"/>
      <c r="H742" s="472" t="n"/>
      <c r="I742" s="472" t="n"/>
      <c r="J742" s="472" t="n"/>
      <c r="K742" s="472" t="n"/>
      <c r="L742" s="472" t="n"/>
      <c r="M742" s="472" t="n"/>
      <c r="N742" s="472" t="n"/>
      <c r="O742" s="472" t="n"/>
      <c r="P742" s="472" t="n"/>
      <c r="Q742" s="472" t="n"/>
      <c r="R742" s="472" t="n"/>
      <c r="S742" s="285" t="n"/>
      <c r="T742" s="284" t="n"/>
      <c r="U742" s="284" t="n"/>
      <c r="V742" s="285" t="n"/>
      <c r="W742" s="285" t="n"/>
      <c r="X742" s="285" t="n"/>
      <c r="Y742" s="285" t="n"/>
      <c r="Z742" s="285" t="n"/>
      <c r="AA742" s="285" t="n"/>
      <c r="AB742" s="285" t="n"/>
    </row>
    <row r="743" ht="15.75" customHeight="1" s="398">
      <c r="A743" s="284" t="n"/>
      <c r="B743" s="285" t="n"/>
      <c r="C743" s="368" t="n"/>
      <c r="D743" s="336" t="n"/>
      <c r="E743" s="284" t="n"/>
      <c r="F743" s="472" t="n"/>
      <c r="G743" s="472" t="n"/>
      <c r="H743" s="472" t="n"/>
      <c r="I743" s="472" t="n"/>
      <c r="J743" s="472" t="n"/>
      <c r="K743" s="472" t="n"/>
      <c r="L743" s="472" t="n"/>
      <c r="M743" s="472" t="n"/>
      <c r="N743" s="472" t="n"/>
      <c r="O743" s="472" t="n"/>
      <c r="P743" s="472" t="n"/>
      <c r="Q743" s="472" t="n"/>
      <c r="R743" s="472" t="n"/>
      <c r="S743" s="285" t="n"/>
      <c r="T743" s="284" t="n"/>
      <c r="U743" s="284" t="n"/>
      <c r="V743" s="285" t="n"/>
      <c r="W743" s="285" t="n"/>
      <c r="X743" s="285" t="n"/>
      <c r="Y743" s="285" t="n"/>
      <c r="Z743" s="285" t="n"/>
      <c r="AA743" s="285" t="n"/>
      <c r="AB743" s="285" t="n"/>
    </row>
    <row r="744" ht="15.75" customHeight="1" s="398">
      <c r="A744" s="284" t="n"/>
      <c r="B744" s="285" t="n"/>
      <c r="C744" s="368" t="n"/>
      <c r="D744" s="336" t="n"/>
      <c r="E744" s="284" t="n"/>
      <c r="F744" s="472" t="n"/>
      <c r="G744" s="472" t="n"/>
      <c r="H744" s="472" t="n"/>
      <c r="I744" s="472" t="n"/>
      <c r="J744" s="472" t="n"/>
      <c r="K744" s="472" t="n"/>
      <c r="L744" s="472" t="n"/>
      <c r="M744" s="472" t="n"/>
      <c r="N744" s="472" t="n"/>
      <c r="O744" s="472" t="n"/>
      <c r="P744" s="472" t="n"/>
      <c r="Q744" s="472" t="n"/>
      <c r="R744" s="472" t="n"/>
      <c r="S744" s="285" t="n"/>
      <c r="T744" s="284" t="n"/>
      <c r="U744" s="284" t="n"/>
      <c r="V744" s="285" t="n"/>
      <c r="W744" s="285" t="n"/>
      <c r="X744" s="285" t="n"/>
      <c r="Y744" s="285" t="n"/>
      <c r="Z744" s="285" t="n"/>
      <c r="AA744" s="285" t="n"/>
      <c r="AB744" s="285" t="n"/>
    </row>
    <row r="745" ht="15.75" customHeight="1" s="398">
      <c r="A745" s="284" t="n"/>
      <c r="B745" s="285" t="n"/>
      <c r="C745" s="368" t="n"/>
      <c r="D745" s="336" t="n"/>
      <c r="E745" s="284" t="n"/>
      <c r="F745" s="472" t="n"/>
      <c r="G745" s="472" t="n"/>
      <c r="H745" s="472" t="n"/>
      <c r="I745" s="472" t="n"/>
      <c r="J745" s="472" t="n"/>
      <c r="K745" s="472" t="n"/>
      <c r="L745" s="472" t="n"/>
      <c r="M745" s="472" t="n"/>
      <c r="N745" s="472" t="n"/>
      <c r="O745" s="472" t="n"/>
      <c r="P745" s="472" t="n"/>
      <c r="Q745" s="472" t="n"/>
      <c r="R745" s="472" t="n"/>
      <c r="S745" s="285" t="n"/>
      <c r="T745" s="284" t="n"/>
      <c r="U745" s="284" t="n"/>
      <c r="V745" s="285" t="n"/>
      <c r="W745" s="285" t="n"/>
      <c r="X745" s="285" t="n"/>
      <c r="Y745" s="285" t="n"/>
      <c r="Z745" s="285" t="n"/>
      <c r="AA745" s="285" t="n"/>
      <c r="AB745" s="285" t="n"/>
    </row>
    <row r="746" ht="15.75" customHeight="1" s="398">
      <c r="A746" s="284" t="n"/>
      <c r="B746" s="285" t="n"/>
      <c r="C746" s="368" t="n"/>
      <c r="D746" s="336" t="n"/>
      <c r="E746" s="284" t="n"/>
      <c r="F746" s="472" t="n"/>
      <c r="G746" s="472" t="n"/>
      <c r="H746" s="472" t="n"/>
      <c r="I746" s="472" t="n"/>
      <c r="J746" s="472" t="n"/>
      <c r="K746" s="472" t="n"/>
      <c r="L746" s="472" t="n"/>
      <c r="M746" s="472" t="n"/>
      <c r="N746" s="472" t="n"/>
      <c r="O746" s="472" t="n"/>
      <c r="P746" s="472" t="n"/>
      <c r="Q746" s="472" t="n"/>
      <c r="R746" s="472" t="n"/>
      <c r="S746" s="285" t="n"/>
      <c r="T746" s="284" t="n"/>
      <c r="U746" s="284" t="n"/>
      <c r="V746" s="285" t="n"/>
      <c r="W746" s="285" t="n"/>
      <c r="X746" s="285" t="n"/>
      <c r="Y746" s="285" t="n"/>
      <c r="Z746" s="285" t="n"/>
      <c r="AA746" s="285" t="n"/>
      <c r="AB746" s="285" t="n"/>
    </row>
    <row r="747" ht="15.75" customHeight="1" s="398">
      <c r="A747" s="284" t="n"/>
      <c r="B747" s="285" t="n"/>
      <c r="C747" s="368" t="n"/>
      <c r="D747" s="336" t="n"/>
      <c r="E747" s="284" t="n"/>
      <c r="F747" s="472" t="n"/>
      <c r="G747" s="472" t="n"/>
      <c r="H747" s="472" t="n"/>
      <c r="I747" s="472" t="n"/>
      <c r="J747" s="472" t="n"/>
      <c r="K747" s="472" t="n"/>
      <c r="L747" s="472" t="n"/>
      <c r="M747" s="472" t="n"/>
      <c r="N747" s="472" t="n"/>
      <c r="O747" s="472" t="n"/>
      <c r="P747" s="472" t="n"/>
      <c r="Q747" s="472" t="n"/>
      <c r="R747" s="472" t="n"/>
      <c r="S747" s="285" t="n"/>
      <c r="T747" s="284" t="n"/>
      <c r="U747" s="284" t="n"/>
      <c r="V747" s="285" t="n"/>
      <c r="W747" s="285" t="n"/>
      <c r="X747" s="285" t="n"/>
      <c r="Y747" s="285" t="n"/>
      <c r="Z747" s="285" t="n"/>
      <c r="AA747" s="285" t="n"/>
      <c r="AB747" s="285" t="n"/>
    </row>
    <row r="748" ht="15.75" customHeight="1" s="398">
      <c r="A748" s="284" t="n"/>
      <c r="B748" s="285" t="n"/>
      <c r="C748" s="368" t="n"/>
      <c r="D748" s="336" t="n"/>
      <c r="E748" s="284" t="n"/>
      <c r="F748" s="472" t="n"/>
      <c r="G748" s="472" t="n"/>
      <c r="H748" s="472" t="n"/>
      <c r="I748" s="472" t="n"/>
      <c r="J748" s="472" t="n"/>
      <c r="K748" s="472" t="n"/>
      <c r="L748" s="472" t="n"/>
      <c r="M748" s="472" t="n"/>
      <c r="N748" s="472" t="n"/>
      <c r="O748" s="472" t="n"/>
      <c r="P748" s="472" t="n"/>
      <c r="Q748" s="472" t="n"/>
      <c r="R748" s="472" t="n"/>
      <c r="S748" s="285" t="n"/>
      <c r="T748" s="284" t="n"/>
      <c r="U748" s="284" t="n"/>
      <c r="V748" s="285" t="n"/>
      <c r="W748" s="285" t="n"/>
      <c r="X748" s="285" t="n"/>
      <c r="Y748" s="285" t="n"/>
      <c r="Z748" s="285" t="n"/>
      <c r="AA748" s="285" t="n"/>
      <c r="AB748" s="285" t="n"/>
    </row>
    <row r="749" ht="15.75" customHeight="1" s="398">
      <c r="A749" s="284" t="n"/>
      <c r="B749" s="285" t="n"/>
      <c r="C749" s="368" t="n"/>
      <c r="D749" s="336" t="n"/>
      <c r="E749" s="284" t="n"/>
      <c r="F749" s="472" t="n"/>
      <c r="G749" s="472" t="n"/>
      <c r="H749" s="472" t="n"/>
      <c r="I749" s="472" t="n"/>
      <c r="J749" s="472" t="n"/>
      <c r="K749" s="472" t="n"/>
      <c r="L749" s="472" t="n"/>
      <c r="M749" s="472" t="n"/>
      <c r="N749" s="472" t="n"/>
      <c r="O749" s="472" t="n"/>
      <c r="P749" s="472" t="n"/>
      <c r="Q749" s="472" t="n"/>
      <c r="R749" s="472" t="n"/>
      <c r="S749" s="285" t="n"/>
      <c r="T749" s="284" t="n"/>
      <c r="U749" s="284" t="n"/>
      <c r="V749" s="285" t="n"/>
      <c r="W749" s="285" t="n"/>
      <c r="X749" s="285" t="n"/>
      <c r="Y749" s="285" t="n"/>
      <c r="Z749" s="285" t="n"/>
      <c r="AA749" s="285" t="n"/>
      <c r="AB749" s="285" t="n"/>
    </row>
    <row r="750" ht="15.75" customHeight="1" s="398">
      <c r="A750" s="284" t="n"/>
      <c r="B750" s="285" t="n"/>
      <c r="C750" s="368" t="n"/>
      <c r="D750" s="336" t="n"/>
      <c r="E750" s="284" t="n"/>
      <c r="F750" s="472" t="n"/>
      <c r="G750" s="472" t="n"/>
      <c r="H750" s="472" t="n"/>
      <c r="I750" s="472" t="n"/>
      <c r="J750" s="472" t="n"/>
      <c r="K750" s="472" t="n"/>
      <c r="L750" s="472" t="n"/>
      <c r="M750" s="472" t="n"/>
      <c r="N750" s="472" t="n"/>
      <c r="O750" s="472" t="n"/>
      <c r="P750" s="472" t="n"/>
      <c r="Q750" s="472" t="n"/>
      <c r="R750" s="472" t="n"/>
      <c r="S750" s="285" t="n"/>
      <c r="T750" s="284" t="n"/>
      <c r="U750" s="284" t="n"/>
      <c r="V750" s="285" t="n"/>
      <c r="W750" s="285" t="n"/>
      <c r="X750" s="285" t="n"/>
      <c r="Y750" s="285" t="n"/>
      <c r="Z750" s="285" t="n"/>
      <c r="AA750" s="285" t="n"/>
      <c r="AB750" s="285" t="n"/>
    </row>
    <row r="751" ht="15.75" customHeight="1" s="398">
      <c r="A751" s="284" t="n"/>
      <c r="B751" s="285" t="n"/>
      <c r="C751" s="368" t="n"/>
      <c r="D751" s="336" t="n"/>
      <c r="E751" s="284" t="n"/>
      <c r="F751" s="472" t="n"/>
      <c r="G751" s="472" t="n"/>
      <c r="H751" s="472" t="n"/>
      <c r="I751" s="472" t="n"/>
      <c r="J751" s="472" t="n"/>
      <c r="K751" s="472" t="n"/>
      <c r="L751" s="472" t="n"/>
      <c r="M751" s="472" t="n"/>
      <c r="N751" s="472" t="n"/>
      <c r="O751" s="472" t="n"/>
      <c r="P751" s="472" t="n"/>
      <c r="Q751" s="472" t="n"/>
      <c r="R751" s="472" t="n"/>
      <c r="S751" s="285" t="n"/>
      <c r="T751" s="284" t="n"/>
      <c r="U751" s="284" t="n"/>
      <c r="V751" s="285" t="n"/>
      <c r="W751" s="285" t="n"/>
      <c r="X751" s="285" t="n"/>
      <c r="Y751" s="285" t="n"/>
      <c r="Z751" s="285" t="n"/>
      <c r="AA751" s="285" t="n"/>
      <c r="AB751" s="285" t="n"/>
    </row>
    <row r="752" ht="15.75" customHeight="1" s="398">
      <c r="A752" s="284" t="n"/>
      <c r="B752" s="285" t="n"/>
      <c r="C752" s="368" t="n"/>
      <c r="D752" s="336" t="n"/>
      <c r="E752" s="284" t="n"/>
      <c r="F752" s="472" t="n"/>
      <c r="G752" s="472" t="n"/>
      <c r="H752" s="472" t="n"/>
      <c r="I752" s="472" t="n"/>
      <c r="J752" s="472" t="n"/>
      <c r="K752" s="472" t="n"/>
      <c r="L752" s="472" t="n"/>
      <c r="M752" s="472" t="n"/>
      <c r="N752" s="472" t="n"/>
      <c r="O752" s="472" t="n"/>
      <c r="P752" s="472" t="n"/>
      <c r="Q752" s="472" t="n"/>
      <c r="R752" s="472" t="n"/>
      <c r="S752" s="285" t="n"/>
      <c r="T752" s="284" t="n"/>
      <c r="U752" s="284" t="n"/>
      <c r="V752" s="285" t="n"/>
      <c r="W752" s="285" t="n"/>
      <c r="X752" s="285" t="n"/>
      <c r="Y752" s="285" t="n"/>
      <c r="Z752" s="285" t="n"/>
      <c r="AA752" s="285" t="n"/>
      <c r="AB752" s="285" t="n"/>
    </row>
    <row r="753" ht="15.75" customHeight="1" s="398">
      <c r="A753" s="284" t="n"/>
      <c r="B753" s="285" t="n"/>
      <c r="C753" s="368" t="n"/>
      <c r="D753" s="336" t="n"/>
      <c r="E753" s="284" t="n"/>
      <c r="F753" s="472" t="n"/>
      <c r="G753" s="472" t="n"/>
      <c r="H753" s="472" t="n"/>
      <c r="I753" s="472" t="n"/>
      <c r="J753" s="472" t="n"/>
      <c r="K753" s="472" t="n"/>
      <c r="L753" s="472" t="n"/>
      <c r="M753" s="472" t="n"/>
      <c r="N753" s="472" t="n"/>
      <c r="O753" s="472" t="n"/>
      <c r="P753" s="472" t="n"/>
      <c r="Q753" s="472" t="n"/>
      <c r="R753" s="472" t="n"/>
      <c r="S753" s="285" t="n"/>
      <c r="T753" s="284" t="n"/>
      <c r="U753" s="284" t="n"/>
      <c r="V753" s="285" t="n"/>
      <c r="W753" s="285" t="n"/>
      <c r="X753" s="285" t="n"/>
      <c r="Y753" s="285" t="n"/>
      <c r="Z753" s="285" t="n"/>
      <c r="AA753" s="285" t="n"/>
      <c r="AB753" s="285" t="n"/>
    </row>
    <row r="754" ht="15.75" customHeight="1" s="398">
      <c r="A754" s="284" t="n"/>
      <c r="B754" s="285" t="n"/>
      <c r="C754" s="368" t="n"/>
      <c r="D754" s="336" t="n"/>
      <c r="E754" s="284" t="n"/>
      <c r="F754" s="472" t="n"/>
      <c r="G754" s="472" t="n"/>
      <c r="H754" s="472" t="n"/>
      <c r="I754" s="472" t="n"/>
      <c r="J754" s="472" t="n"/>
      <c r="K754" s="472" t="n"/>
      <c r="L754" s="472" t="n"/>
      <c r="M754" s="472" t="n"/>
      <c r="N754" s="472" t="n"/>
      <c r="O754" s="472" t="n"/>
      <c r="P754" s="472" t="n"/>
      <c r="Q754" s="472" t="n"/>
      <c r="R754" s="472" t="n"/>
      <c r="S754" s="285" t="n"/>
      <c r="T754" s="284" t="n"/>
      <c r="U754" s="284" t="n"/>
      <c r="V754" s="285" t="n"/>
      <c r="W754" s="285" t="n"/>
      <c r="X754" s="285" t="n"/>
      <c r="Y754" s="285" t="n"/>
      <c r="Z754" s="285" t="n"/>
      <c r="AA754" s="285" t="n"/>
      <c r="AB754" s="285" t="n"/>
    </row>
    <row r="755" ht="15.75" customHeight="1" s="398">
      <c r="A755" s="284" t="n"/>
      <c r="B755" s="285" t="n"/>
      <c r="C755" s="368" t="n"/>
      <c r="D755" s="336" t="n"/>
      <c r="E755" s="284" t="n"/>
      <c r="F755" s="472" t="n"/>
      <c r="G755" s="472" t="n"/>
      <c r="H755" s="472" t="n"/>
      <c r="I755" s="472" t="n"/>
      <c r="J755" s="472" t="n"/>
      <c r="K755" s="472" t="n"/>
      <c r="L755" s="472" t="n"/>
      <c r="M755" s="472" t="n"/>
      <c r="N755" s="472" t="n"/>
      <c r="O755" s="472" t="n"/>
      <c r="P755" s="472" t="n"/>
      <c r="Q755" s="472" t="n"/>
      <c r="R755" s="472" t="n"/>
      <c r="S755" s="285" t="n"/>
      <c r="T755" s="284" t="n"/>
      <c r="U755" s="284" t="n"/>
      <c r="V755" s="285" t="n"/>
      <c r="W755" s="285" t="n"/>
      <c r="X755" s="285" t="n"/>
      <c r="Y755" s="285" t="n"/>
      <c r="Z755" s="285" t="n"/>
      <c r="AA755" s="285" t="n"/>
      <c r="AB755" s="285" t="n"/>
    </row>
    <row r="756" ht="15.75" customHeight="1" s="398">
      <c r="A756" s="284" t="n"/>
      <c r="B756" s="285" t="n"/>
      <c r="C756" s="368" t="n"/>
      <c r="D756" s="336" t="n"/>
      <c r="E756" s="284" t="n"/>
      <c r="F756" s="472" t="n"/>
      <c r="G756" s="472" t="n"/>
      <c r="H756" s="472" t="n"/>
      <c r="I756" s="472" t="n"/>
      <c r="J756" s="472" t="n"/>
      <c r="K756" s="472" t="n"/>
      <c r="L756" s="472" t="n"/>
      <c r="M756" s="472" t="n"/>
      <c r="N756" s="472" t="n"/>
      <c r="O756" s="472" t="n"/>
      <c r="P756" s="472" t="n"/>
      <c r="Q756" s="472" t="n"/>
      <c r="R756" s="472" t="n"/>
      <c r="S756" s="285" t="n"/>
      <c r="T756" s="284" t="n"/>
      <c r="U756" s="284" t="n"/>
      <c r="V756" s="285" t="n"/>
      <c r="W756" s="285" t="n"/>
      <c r="X756" s="285" t="n"/>
      <c r="Y756" s="285" t="n"/>
      <c r="Z756" s="285" t="n"/>
      <c r="AA756" s="285" t="n"/>
      <c r="AB756" s="285" t="n"/>
    </row>
    <row r="757" ht="15.75" customHeight="1" s="398">
      <c r="A757" s="284" t="n"/>
      <c r="B757" s="285" t="n"/>
      <c r="C757" s="368" t="n"/>
      <c r="D757" s="336" t="n"/>
      <c r="E757" s="284" t="n"/>
      <c r="F757" s="472" t="n"/>
      <c r="G757" s="472" t="n"/>
      <c r="H757" s="472" t="n"/>
      <c r="I757" s="472" t="n"/>
      <c r="J757" s="472" t="n"/>
      <c r="K757" s="472" t="n"/>
      <c r="L757" s="472" t="n"/>
      <c r="M757" s="472" t="n"/>
      <c r="N757" s="472" t="n"/>
      <c r="O757" s="472" t="n"/>
      <c r="P757" s="472" t="n"/>
      <c r="Q757" s="472" t="n"/>
      <c r="R757" s="472" t="n"/>
      <c r="S757" s="285" t="n"/>
      <c r="T757" s="284" t="n"/>
      <c r="U757" s="284" t="n"/>
      <c r="V757" s="285" t="n"/>
      <c r="W757" s="285" t="n"/>
      <c r="X757" s="285" t="n"/>
      <c r="Y757" s="285" t="n"/>
      <c r="Z757" s="285" t="n"/>
      <c r="AA757" s="285" t="n"/>
      <c r="AB757" s="285" t="n"/>
    </row>
    <row r="758" ht="15.75" customHeight="1" s="398">
      <c r="A758" s="284" t="n"/>
      <c r="B758" s="285" t="n"/>
      <c r="C758" s="368" t="n"/>
      <c r="D758" s="336" t="n"/>
      <c r="E758" s="284" t="n"/>
      <c r="F758" s="472" t="n"/>
      <c r="G758" s="472" t="n"/>
      <c r="H758" s="472" t="n"/>
      <c r="I758" s="472" t="n"/>
      <c r="J758" s="472" t="n"/>
      <c r="K758" s="472" t="n"/>
      <c r="L758" s="472" t="n"/>
      <c r="M758" s="472" t="n"/>
      <c r="N758" s="472" t="n"/>
      <c r="O758" s="472" t="n"/>
      <c r="P758" s="472" t="n"/>
      <c r="Q758" s="472" t="n"/>
      <c r="R758" s="472" t="n"/>
      <c r="S758" s="285" t="n"/>
      <c r="T758" s="284" t="n"/>
      <c r="U758" s="284" t="n"/>
      <c r="V758" s="285" t="n"/>
      <c r="W758" s="285" t="n"/>
      <c r="X758" s="285" t="n"/>
      <c r="Y758" s="285" t="n"/>
      <c r="Z758" s="285" t="n"/>
      <c r="AA758" s="285" t="n"/>
      <c r="AB758" s="285" t="n"/>
    </row>
    <row r="759" ht="15.75" customHeight="1" s="398">
      <c r="A759" s="284" t="n"/>
      <c r="B759" s="285" t="n"/>
      <c r="C759" s="368" t="n"/>
      <c r="D759" s="336" t="n"/>
      <c r="E759" s="284" t="n"/>
      <c r="F759" s="472" t="n"/>
      <c r="G759" s="472" t="n"/>
      <c r="H759" s="472" t="n"/>
      <c r="I759" s="472" t="n"/>
      <c r="J759" s="472" t="n"/>
      <c r="K759" s="472" t="n"/>
      <c r="L759" s="472" t="n"/>
      <c r="M759" s="472" t="n"/>
      <c r="N759" s="472" t="n"/>
      <c r="O759" s="472" t="n"/>
      <c r="P759" s="472" t="n"/>
      <c r="Q759" s="472" t="n"/>
      <c r="R759" s="472" t="n"/>
      <c r="S759" s="285" t="n"/>
      <c r="T759" s="284" t="n"/>
      <c r="U759" s="284" t="n"/>
      <c r="V759" s="285" t="n"/>
      <c r="W759" s="285" t="n"/>
      <c r="X759" s="285" t="n"/>
      <c r="Y759" s="285" t="n"/>
      <c r="Z759" s="285" t="n"/>
      <c r="AA759" s="285" t="n"/>
      <c r="AB759" s="285" t="n"/>
    </row>
    <row r="760" ht="15.75" customHeight="1" s="398">
      <c r="A760" s="284" t="n"/>
      <c r="B760" s="285" t="n"/>
      <c r="C760" s="368" t="n"/>
      <c r="D760" s="336" t="n"/>
      <c r="E760" s="284" t="n"/>
      <c r="F760" s="472" t="n"/>
      <c r="G760" s="472" t="n"/>
      <c r="H760" s="472" t="n"/>
      <c r="I760" s="472" t="n"/>
      <c r="J760" s="472" t="n"/>
      <c r="K760" s="472" t="n"/>
      <c r="L760" s="472" t="n"/>
      <c r="M760" s="472" t="n"/>
      <c r="N760" s="472" t="n"/>
      <c r="O760" s="472" t="n"/>
      <c r="P760" s="472" t="n"/>
      <c r="Q760" s="472" t="n"/>
      <c r="R760" s="472" t="n"/>
      <c r="S760" s="285" t="n"/>
      <c r="T760" s="284" t="n"/>
      <c r="U760" s="284" t="n"/>
      <c r="V760" s="285" t="n"/>
      <c r="W760" s="285" t="n"/>
      <c r="X760" s="285" t="n"/>
      <c r="Y760" s="285" t="n"/>
      <c r="Z760" s="285" t="n"/>
      <c r="AA760" s="285" t="n"/>
      <c r="AB760" s="285" t="n"/>
    </row>
    <row r="761" ht="15.75" customHeight="1" s="398">
      <c r="A761" s="284" t="n"/>
      <c r="B761" s="285" t="n"/>
      <c r="C761" s="368" t="n"/>
      <c r="D761" s="336" t="n"/>
      <c r="E761" s="284" t="n"/>
      <c r="F761" s="472" t="n"/>
      <c r="G761" s="472" t="n"/>
      <c r="H761" s="472" t="n"/>
      <c r="I761" s="472" t="n"/>
      <c r="J761" s="472" t="n"/>
      <c r="K761" s="472" t="n"/>
      <c r="L761" s="472" t="n"/>
      <c r="M761" s="472" t="n"/>
      <c r="N761" s="472" t="n"/>
      <c r="O761" s="472" t="n"/>
      <c r="P761" s="472" t="n"/>
      <c r="Q761" s="472" t="n"/>
      <c r="R761" s="472" t="n"/>
      <c r="S761" s="285" t="n"/>
      <c r="T761" s="284" t="n"/>
      <c r="U761" s="284" t="n"/>
      <c r="V761" s="285" t="n"/>
      <c r="W761" s="285" t="n"/>
      <c r="X761" s="285" t="n"/>
      <c r="Y761" s="285" t="n"/>
      <c r="Z761" s="285" t="n"/>
      <c r="AA761" s="285" t="n"/>
      <c r="AB761" s="285" t="n"/>
    </row>
    <row r="762" ht="15.75" customHeight="1" s="398">
      <c r="A762" s="284" t="n"/>
      <c r="B762" s="285" t="n"/>
      <c r="C762" s="368" t="n"/>
      <c r="D762" s="336" t="n"/>
      <c r="E762" s="284" t="n"/>
      <c r="F762" s="472" t="n"/>
      <c r="G762" s="472" t="n"/>
      <c r="H762" s="472" t="n"/>
      <c r="I762" s="472" t="n"/>
      <c r="J762" s="472" t="n"/>
      <c r="K762" s="472" t="n"/>
      <c r="L762" s="472" t="n"/>
      <c r="M762" s="472" t="n"/>
      <c r="N762" s="472" t="n"/>
      <c r="O762" s="472" t="n"/>
      <c r="P762" s="472" t="n"/>
      <c r="Q762" s="472" t="n"/>
      <c r="R762" s="472" t="n"/>
      <c r="S762" s="285" t="n"/>
      <c r="T762" s="284" t="n"/>
      <c r="U762" s="284" t="n"/>
      <c r="V762" s="285" t="n"/>
      <c r="W762" s="285" t="n"/>
      <c r="X762" s="285" t="n"/>
      <c r="Y762" s="285" t="n"/>
      <c r="Z762" s="285" t="n"/>
      <c r="AA762" s="285" t="n"/>
      <c r="AB762" s="285" t="n"/>
    </row>
    <row r="763" ht="15.75" customHeight="1" s="398">
      <c r="A763" s="284" t="n"/>
      <c r="B763" s="285" t="n"/>
      <c r="C763" s="368" t="n"/>
      <c r="D763" s="336" t="n"/>
      <c r="E763" s="284" t="n"/>
      <c r="F763" s="472" t="n"/>
      <c r="G763" s="472" t="n"/>
      <c r="H763" s="472" t="n"/>
      <c r="I763" s="472" t="n"/>
      <c r="J763" s="472" t="n"/>
      <c r="K763" s="472" t="n"/>
      <c r="L763" s="472" t="n"/>
      <c r="M763" s="472" t="n"/>
      <c r="N763" s="472" t="n"/>
      <c r="O763" s="472" t="n"/>
      <c r="P763" s="472" t="n"/>
      <c r="Q763" s="472" t="n"/>
      <c r="R763" s="472" t="n"/>
      <c r="S763" s="285" t="n"/>
      <c r="T763" s="284" t="n"/>
      <c r="U763" s="284" t="n"/>
      <c r="V763" s="285" t="n"/>
      <c r="W763" s="285" t="n"/>
      <c r="X763" s="285" t="n"/>
      <c r="Y763" s="285" t="n"/>
      <c r="Z763" s="285" t="n"/>
      <c r="AA763" s="285" t="n"/>
      <c r="AB763" s="285" t="n"/>
    </row>
    <row r="764" ht="15.75" customHeight="1" s="398">
      <c r="A764" s="284" t="n"/>
      <c r="B764" s="285" t="n"/>
      <c r="C764" s="368" t="n"/>
      <c r="D764" s="336" t="n"/>
      <c r="E764" s="284" t="n"/>
      <c r="F764" s="472" t="n"/>
      <c r="G764" s="472" t="n"/>
      <c r="H764" s="472" t="n"/>
      <c r="I764" s="472" t="n"/>
      <c r="J764" s="472" t="n"/>
      <c r="K764" s="472" t="n"/>
      <c r="L764" s="472" t="n"/>
      <c r="M764" s="472" t="n"/>
      <c r="N764" s="472" t="n"/>
      <c r="O764" s="472" t="n"/>
      <c r="P764" s="472" t="n"/>
      <c r="Q764" s="472" t="n"/>
      <c r="R764" s="472" t="n"/>
      <c r="S764" s="285" t="n"/>
      <c r="T764" s="284" t="n"/>
      <c r="U764" s="284" t="n"/>
      <c r="V764" s="285" t="n"/>
      <c r="W764" s="285" t="n"/>
      <c r="X764" s="285" t="n"/>
      <c r="Y764" s="285" t="n"/>
      <c r="Z764" s="285" t="n"/>
      <c r="AA764" s="285" t="n"/>
      <c r="AB764" s="285" t="n"/>
    </row>
    <row r="765" ht="15.75" customHeight="1" s="398">
      <c r="A765" s="284" t="n"/>
      <c r="B765" s="285" t="n"/>
      <c r="C765" s="368" t="n"/>
      <c r="D765" s="336" t="n"/>
      <c r="E765" s="284" t="n"/>
      <c r="F765" s="472" t="n"/>
      <c r="G765" s="472" t="n"/>
      <c r="H765" s="472" t="n"/>
      <c r="I765" s="472" t="n"/>
      <c r="J765" s="472" t="n"/>
      <c r="K765" s="472" t="n"/>
      <c r="L765" s="472" t="n"/>
      <c r="M765" s="472" t="n"/>
      <c r="N765" s="472" t="n"/>
      <c r="O765" s="472" t="n"/>
      <c r="P765" s="472" t="n"/>
      <c r="Q765" s="472" t="n"/>
      <c r="R765" s="472" t="n"/>
      <c r="S765" s="285" t="n"/>
      <c r="T765" s="284" t="n"/>
      <c r="U765" s="284" t="n"/>
      <c r="V765" s="285" t="n"/>
      <c r="W765" s="285" t="n"/>
      <c r="X765" s="285" t="n"/>
      <c r="Y765" s="285" t="n"/>
      <c r="Z765" s="285" t="n"/>
      <c r="AA765" s="285" t="n"/>
      <c r="AB765" s="285" t="n"/>
    </row>
    <row r="766" ht="15.75" customHeight="1" s="398">
      <c r="A766" s="284" t="n"/>
      <c r="B766" s="285" t="n"/>
      <c r="C766" s="368" t="n"/>
      <c r="D766" s="336" t="n"/>
      <c r="E766" s="284" t="n"/>
      <c r="F766" s="472" t="n"/>
      <c r="G766" s="472" t="n"/>
      <c r="H766" s="472" t="n"/>
      <c r="I766" s="472" t="n"/>
      <c r="J766" s="472" t="n"/>
      <c r="K766" s="472" t="n"/>
      <c r="L766" s="472" t="n"/>
      <c r="M766" s="472" t="n"/>
      <c r="N766" s="472" t="n"/>
      <c r="O766" s="472" t="n"/>
      <c r="P766" s="472" t="n"/>
      <c r="Q766" s="472" t="n"/>
      <c r="R766" s="472" t="n"/>
      <c r="S766" s="285" t="n"/>
      <c r="T766" s="284" t="n"/>
      <c r="U766" s="284" t="n"/>
      <c r="V766" s="285" t="n"/>
      <c r="W766" s="285" t="n"/>
      <c r="X766" s="285" t="n"/>
      <c r="Y766" s="285" t="n"/>
      <c r="Z766" s="285" t="n"/>
      <c r="AA766" s="285" t="n"/>
      <c r="AB766" s="285" t="n"/>
    </row>
    <row r="767" ht="15.75" customHeight="1" s="398">
      <c r="A767" s="284" t="n"/>
      <c r="B767" s="285" t="n"/>
      <c r="C767" s="368" t="n"/>
      <c r="D767" s="336" t="n"/>
      <c r="E767" s="284" t="n"/>
      <c r="F767" s="472" t="n"/>
      <c r="G767" s="472" t="n"/>
      <c r="H767" s="472" t="n"/>
      <c r="I767" s="472" t="n"/>
      <c r="J767" s="472" t="n"/>
      <c r="K767" s="472" t="n"/>
      <c r="L767" s="472" t="n"/>
      <c r="M767" s="472" t="n"/>
      <c r="N767" s="472" t="n"/>
      <c r="O767" s="472" t="n"/>
      <c r="P767" s="472" t="n"/>
      <c r="Q767" s="472" t="n"/>
      <c r="R767" s="472" t="n"/>
      <c r="S767" s="285" t="n"/>
      <c r="T767" s="284" t="n"/>
      <c r="U767" s="284" t="n"/>
      <c r="V767" s="285" t="n"/>
      <c r="W767" s="285" t="n"/>
      <c r="X767" s="285" t="n"/>
      <c r="Y767" s="285" t="n"/>
      <c r="Z767" s="285" t="n"/>
      <c r="AA767" s="285" t="n"/>
      <c r="AB767" s="285" t="n"/>
    </row>
    <row r="768" ht="15.75" customHeight="1" s="398">
      <c r="A768" s="284" t="n"/>
      <c r="B768" s="285" t="n"/>
      <c r="C768" s="368" t="n"/>
      <c r="D768" s="336" t="n"/>
      <c r="E768" s="284" t="n"/>
      <c r="F768" s="472" t="n"/>
      <c r="G768" s="472" t="n"/>
      <c r="H768" s="472" t="n"/>
      <c r="I768" s="472" t="n"/>
      <c r="J768" s="472" t="n"/>
      <c r="K768" s="472" t="n"/>
      <c r="L768" s="472" t="n"/>
      <c r="M768" s="472" t="n"/>
      <c r="N768" s="472" t="n"/>
      <c r="O768" s="472" t="n"/>
      <c r="P768" s="472" t="n"/>
      <c r="Q768" s="472" t="n"/>
      <c r="R768" s="472" t="n"/>
      <c r="S768" s="285" t="n"/>
      <c r="T768" s="284" t="n"/>
      <c r="U768" s="284" t="n"/>
      <c r="V768" s="285" t="n"/>
      <c r="W768" s="285" t="n"/>
      <c r="X768" s="285" t="n"/>
      <c r="Y768" s="285" t="n"/>
      <c r="Z768" s="285" t="n"/>
      <c r="AA768" s="285" t="n"/>
      <c r="AB768" s="285" t="n"/>
    </row>
    <row r="769" ht="15.75" customHeight="1" s="398">
      <c r="A769" s="284" t="n"/>
      <c r="B769" s="285" t="n"/>
      <c r="C769" s="368" t="n"/>
      <c r="D769" s="336" t="n"/>
      <c r="E769" s="284" t="n"/>
      <c r="F769" s="472" t="n"/>
      <c r="G769" s="472" t="n"/>
      <c r="H769" s="472" t="n"/>
      <c r="I769" s="472" t="n"/>
      <c r="J769" s="472" t="n"/>
      <c r="K769" s="472" t="n"/>
      <c r="L769" s="472" t="n"/>
      <c r="M769" s="472" t="n"/>
      <c r="N769" s="472" t="n"/>
      <c r="O769" s="472" t="n"/>
      <c r="P769" s="472" t="n"/>
      <c r="Q769" s="472" t="n"/>
      <c r="R769" s="472" t="n"/>
      <c r="S769" s="285" t="n"/>
      <c r="T769" s="284" t="n"/>
      <c r="U769" s="284" t="n"/>
      <c r="V769" s="285" t="n"/>
      <c r="W769" s="285" t="n"/>
      <c r="X769" s="285" t="n"/>
      <c r="Y769" s="285" t="n"/>
      <c r="Z769" s="285" t="n"/>
      <c r="AA769" s="285" t="n"/>
      <c r="AB769" s="285" t="n"/>
    </row>
    <row r="770" ht="15.75" customHeight="1" s="398">
      <c r="A770" s="284" t="n"/>
      <c r="B770" s="285" t="n"/>
      <c r="C770" s="368" t="n"/>
      <c r="D770" s="336" t="n"/>
      <c r="E770" s="284" t="n"/>
      <c r="F770" s="472" t="n"/>
      <c r="G770" s="472" t="n"/>
      <c r="H770" s="472" t="n"/>
      <c r="I770" s="472" t="n"/>
      <c r="J770" s="472" t="n"/>
      <c r="K770" s="472" t="n"/>
      <c r="L770" s="472" t="n"/>
      <c r="M770" s="472" t="n"/>
      <c r="N770" s="472" t="n"/>
      <c r="O770" s="472" t="n"/>
      <c r="P770" s="472" t="n"/>
      <c r="Q770" s="472" t="n"/>
      <c r="R770" s="472" t="n"/>
      <c r="S770" s="285" t="n"/>
      <c r="T770" s="284" t="n"/>
      <c r="U770" s="284" t="n"/>
      <c r="V770" s="285" t="n"/>
      <c r="W770" s="285" t="n"/>
      <c r="X770" s="285" t="n"/>
      <c r="Y770" s="285" t="n"/>
      <c r="Z770" s="285" t="n"/>
      <c r="AA770" s="285" t="n"/>
      <c r="AB770" s="285" t="n"/>
    </row>
    <row r="771" ht="15.75" customHeight="1" s="398">
      <c r="A771" s="284" t="n"/>
      <c r="B771" s="285" t="n"/>
      <c r="C771" s="368" t="n"/>
      <c r="D771" s="336" t="n"/>
      <c r="E771" s="284" t="n"/>
      <c r="F771" s="472" t="n"/>
      <c r="G771" s="472" t="n"/>
      <c r="H771" s="472" t="n"/>
      <c r="I771" s="472" t="n"/>
      <c r="J771" s="472" t="n"/>
      <c r="K771" s="472" t="n"/>
      <c r="L771" s="472" t="n"/>
      <c r="M771" s="472" t="n"/>
      <c r="N771" s="472" t="n"/>
      <c r="O771" s="472" t="n"/>
      <c r="P771" s="472" t="n"/>
      <c r="Q771" s="472" t="n"/>
      <c r="R771" s="472" t="n"/>
      <c r="S771" s="285" t="n"/>
      <c r="T771" s="284" t="n"/>
      <c r="U771" s="284" t="n"/>
      <c r="V771" s="285" t="n"/>
      <c r="W771" s="285" t="n"/>
      <c r="X771" s="285" t="n"/>
      <c r="Y771" s="285" t="n"/>
      <c r="Z771" s="285" t="n"/>
      <c r="AA771" s="285" t="n"/>
      <c r="AB771" s="285" t="n"/>
    </row>
    <row r="772" ht="15.75" customHeight="1" s="398">
      <c r="A772" s="284" t="n"/>
      <c r="B772" s="285" t="n"/>
      <c r="C772" s="368" t="n"/>
      <c r="D772" s="336" t="n"/>
      <c r="E772" s="284" t="n"/>
      <c r="F772" s="472" t="n"/>
      <c r="G772" s="472" t="n"/>
      <c r="H772" s="472" t="n"/>
      <c r="I772" s="472" t="n"/>
      <c r="J772" s="472" t="n"/>
      <c r="K772" s="472" t="n"/>
      <c r="L772" s="472" t="n"/>
      <c r="M772" s="472" t="n"/>
      <c r="N772" s="472" t="n"/>
      <c r="O772" s="472" t="n"/>
      <c r="P772" s="472" t="n"/>
      <c r="Q772" s="472" t="n"/>
      <c r="R772" s="472" t="n"/>
      <c r="S772" s="285" t="n"/>
      <c r="T772" s="284" t="n"/>
      <c r="U772" s="284" t="n"/>
      <c r="V772" s="285" t="n"/>
      <c r="W772" s="285" t="n"/>
      <c r="X772" s="285" t="n"/>
      <c r="Y772" s="285" t="n"/>
      <c r="Z772" s="285" t="n"/>
      <c r="AA772" s="285" t="n"/>
      <c r="AB772" s="285" t="n"/>
    </row>
    <row r="773" ht="15.75" customHeight="1" s="398">
      <c r="A773" s="284" t="n"/>
      <c r="B773" s="285" t="n"/>
      <c r="C773" s="368" t="n"/>
      <c r="D773" s="336" t="n"/>
      <c r="E773" s="284" t="n"/>
      <c r="F773" s="472" t="n"/>
      <c r="G773" s="472" t="n"/>
      <c r="H773" s="472" t="n"/>
      <c r="I773" s="472" t="n"/>
      <c r="J773" s="472" t="n"/>
      <c r="K773" s="472" t="n"/>
      <c r="L773" s="472" t="n"/>
      <c r="M773" s="472" t="n"/>
      <c r="N773" s="472" t="n"/>
      <c r="O773" s="472" t="n"/>
      <c r="P773" s="472" t="n"/>
      <c r="Q773" s="472" t="n"/>
      <c r="R773" s="472" t="n"/>
      <c r="S773" s="285" t="n"/>
      <c r="T773" s="284" t="n"/>
      <c r="U773" s="284" t="n"/>
      <c r="V773" s="285" t="n"/>
      <c r="W773" s="285" t="n"/>
      <c r="X773" s="285" t="n"/>
      <c r="Y773" s="285" t="n"/>
      <c r="Z773" s="285" t="n"/>
      <c r="AA773" s="285" t="n"/>
      <c r="AB773" s="285" t="n"/>
    </row>
    <row r="774" ht="15.75" customHeight="1" s="398">
      <c r="A774" s="284" t="n"/>
      <c r="B774" s="285" t="n"/>
      <c r="C774" s="368" t="n"/>
      <c r="D774" s="336" t="n"/>
      <c r="E774" s="284" t="n"/>
      <c r="F774" s="472" t="n"/>
      <c r="G774" s="472" t="n"/>
      <c r="H774" s="472" t="n"/>
      <c r="I774" s="472" t="n"/>
      <c r="J774" s="472" t="n"/>
      <c r="K774" s="472" t="n"/>
      <c r="L774" s="472" t="n"/>
      <c r="M774" s="472" t="n"/>
      <c r="N774" s="472" t="n"/>
      <c r="O774" s="472" t="n"/>
      <c r="P774" s="472" t="n"/>
      <c r="Q774" s="472" t="n"/>
      <c r="R774" s="472" t="n"/>
      <c r="S774" s="285" t="n"/>
      <c r="T774" s="284" t="n"/>
      <c r="U774" s="284" t="n"/>
      <c r="V774" s="285" t="n"/>
      <c r="W774" s="285" t="n"/>
      <c r="X774" s="285" t="n"/>
      <c r="Y774" s="285" t="n"/>
      <c r="Z774" s="285" t="n"/>
      <c r="AA774" s="285" t="n"/>
      <c r="AB774" s="285" t="n"/>
    </row>
    <row r="775" ht="15.75" customHeight="1" s="398">
      <c r="A775" s="284" t="n"/>
      <c r="B775" s="285" t="n"/>
      <c r="C775" s="368" t="n"/>
      <c r="D775" s="336" t="n"/>
      <c r="E775" s="284" t="n"/>
      <c r="F775" s="472" t="n"/>
      <c r="G775" s="472" t="n"/>
      <c r="H775" s="472" t="n"/>
      <c r="I775" s="472" t="n"/>
      <c r="J775" s="472" t="n"/>
      <c r="K775" s="472" t="n"/>
      <c r="L775" s="472" t="n"/>
      <c r="M775" s="472" t="n"/>
      <c r="N775" s="472" t="n"/>
      <c r="O775" s="472" t="n"/>
      <c r="P775" s="472" t="n"/>
      <c r="Q775" s="472" t="n"/>
      <c r="R775" s="472" t="n"/>
      <c r="S775" s="285" t="n"/>
      <c r="T775" s="284" t="n"/>
      <c r="U775" s="284" t="n"/>
      <c r="V775" s="285" t="n"/>
      <c r="W775" s="285" t="n"/>
      <c r="X775" s="285" t="n"/>
      <c r="Y775" s="285" t="n"/>
      <c r="Z775" s="285" t="n"/>
      <c r="AA775" s="285" t="n"/>
      <c r="AB775" s="285" t="n"/>
    </row>
    <row r="776" ht="15.75" customHeight="1" s="398">
      <c r="A776" s="284" t="n"/>
      <c r="B776" s="285" t="n"/>
      <c r="C776" s="368" t="n"/>
      <c r="D776" s="336" t="n"/>
      <c r="E776" s="284" t="n"/>
      <c r="F776" s="472" t="n"/>
      <c r="G776" s="472" t="n"/>
      <c r="H776" s="472" t="n"/>
      <c r="I776" s="472" t="n"/>
      <c r="J776" s="472" t="n"/>
      <c r="K776" s="472" t="n"/>
      <c r="L776" s="472" t="n"/>
      <c r="M776" s="472" t="n"/>
      <c r="N776" s="472" t="n"/>
      <c r="O776" s="472" t="n"/>
      <c r="P776" s="472" t="n"/>
      <c r="Q776" s="472" t="n"/>
      <c r="R776" s="472" t="n"/>
      <c r="S776" s="285" t="n"/>
      <c r="T776" s="284" t="n"/>
      <c r="U776" s="284" t="n"/>
      <c r="V776" s="285" t="n"/>
      <c r="W776" s="285" t="n"/>
      <c r="X776" s="285" t="n"/>
      <c r="Y776" s="285" t="n"/>
      <c r="Z776" s="285" t="n"/>
      <c r="AA776" s="285" t="n"/>
      <c r="AB776" s="285" t="n"/>
    </row>
    <row r="777" ht="15.75" customHeight="1" s="398">
      <c r="A777" s="284" t="n"/>
      <c r="B777" s="285" t="n"/>
      <c r="C777" s="368" t="n"/>
      <c r="D777" s="336" t="n"/>
      <c r="E777" s="284" t="n"/>
      <c r="F777" s="472" t="n"/>
      <c r="G777" s="472" t="n"/>
      <c r="H777" s="472" t="n"/>
      <c r="I777" s="472" t="n"/>
      <c r="J777" s="472" t="n"/>
      <c r="K777" s="472" t="n"/>
      <c r="L777" s="472" t="n"/>
      <c r="M777" s="472" t="n"/>
      <c r="N777" s="472" t="n"/>
      <c r="O777" s="472" t="n"/>
      <c r="P777" s="472" t="n"/>
      <c r="Q777" s="472" t="n"/>
      <c r="R777" s="472" t="n"/>
      <c r="S777" s="285" t="n"/>
      <c r="T777" s="284" t="n"/>
      <c r="U777" s="284" t="n"/>
      <c r="V777" s="285" t="n"/>
      <c r="W777" s="285" t="n"/>
      <c r="X777" s="285" t="n"/>
      <c r="Y777" s="285" t="n"/>
      <c r="Z777" s="285" t="n"/>
      <c r="AA777" s="285" t="n"/>
      <c r="AB777" s="285" t="n"/>
    </row>
    <row r="778" ht="15.75" customHeight="1" s="398">
      <c r="A778" s="284" t="n"/>
      <c r="B778" s="285" t="n"/>
      <c r="C778" s="368" t="n"/>
      <c r="D778" s="336" t="n"/>
      <c r="E778" s="284" t="n"/>
      <c r="F778" s="472" t="n"/>
      <c r="G778" s="472" t="n"/>
      <c r="H778" s="472" t="n"/>
      <c r="I778" s="472" t="n"/>
      <c r="J778" s="472" t="n"/>
      <c r="K778" s="472" t="n"/>
      <c r="L778" s="472" t="n"/>
      <c r="M778" s="472" t="n"/>
      <c r="N778" s="472" t="n"/>
      <c r="O778" s="472" t="n"/>
      <c r="P778" s="472" t="n"/>
      <c r="Q778" s="472" t="n"/>
      <c r="R778" s="472" t="n"/>
      <c r="S778" s="285" t="n"/>
      <c r="T778" s="284" t="n"/>
      <c r="U778" s="284" t="n"/>
      <c r="V778" s="285" t="n"/>
      <c r="W778" s="285" t="n"/>
      <c r="X778" s="285" t="n"/>
      <c r="Y778" s="285" t="n"/>
      <c r="Z778" s="285" t="n"/>
      <c r="AA778" s="285" t="n"/>
      <c r="AB778" s="285" t="n"/>
    </row>
    <row r="779" ht="15.75" customHeight="1" s="398">
      <c r="A779" s="284" t="n"/>
      <c r="B779" s="285" t="n"/>
      <c r="C779" s="368" t="n"/>
      <c r="D779" s="336" t="n"/>
      <c r="E779" s="284" t="n"/>
      <c r="F779" s="472" t="n"/>
      <c r="G779" s="472" t="n"/>
      <c r="H779" s="472" t="n"/>
      <c r="I779" s="472" t="n"/>
      <c r="J779" s="472" t="n"/>
      <c r="K779" s="472" t="n"/>
      <c r="L779" s="472" t="n"/>
      <c r="M779" s="472" t="n"/>
      <c r="N779" s="472" t="n"/>
      <c r="O779" s="472" t="n"/>
      <c r="P779" s="472" t="n"/>
      <c r="Q779" s="472" t="n"/>
      <c r="R779" s="472" t="n"/>
      <c r="S779" s="285" t="n"/>
      <c r="T779" s="284" t="n"/>
      <c r="U779" s="284" t="n"/>
      <c r="V779" s="285" t="n"/>
      <c r="W779" s="285" t="n"/>
      <c r="X779" s="285" t="n"/>
      <c r="Y779" s="285" t="n"/>
      <c r="Z779" s="285" t="n"/>
      <c r="AA779" s="285" t="n"/>
      <c r="AB779" s="285" t="n"/>
    </row>
    <row r="780" ht="15.75" customHeight="1" s="398">
      <c r="A780" s="284" t="n"/>
      <c r="B780" s="285" t="n"/>
      <c r="C780" s="368" t="n"/>
      <c r="D780" s="336" t="n"/>
      <c r="E780" s="284" t="n"/>
      <c r="F780" s="472" t="n"/>
      <c r="G780" s="472" t="n"/>
      <c r="H780" s="472" t="n"/>
      <c r="I780" s="472" t="n"/>
      <c r="J780" s="472" t="n"/>
      <c r="K780" s="472" t="n"/>
      <c r="L780" s="472" t="n"/>
      <c r="M780" s="472" t="n"/>
      <c r="N780" s="472" t="n"/>
      <c r="O780" s="472" t="n"/>
      <c r="P780" s="472" t="n"/>
      <c r="Q780" s="472" t="n"/>
      <c r="R780" s="472" t="n"/>
      <c r="S780" s="285" t="n"/>
      <c r="T780" s="284" t="n"/>
      <c r="U780" s="284" t="n"/>
      <c r="V780" s="285" t="n"/>
      <c r="W780" s="285" t="n"/>
      <c r="X780" s="285" t="n"/>
      <c r="Y780" s="285" t="n"/>
      <c r="Z780" s="285" t="n"/>
      <c r="AA780" s="285" t="n"/>
      <c r="AB780" s="285" t="n"/>
    </row>
    <row r="781" ht="15.75" customHeight="1" s="398">
      <c r="A781" s="284" t="n"/>
      <c r="B781" s="285" t="n"/>
      <c r="C781" s="368" t="n"/>
      <c r="D781" s="336" t="n"/>
      <c r="E781" s="284" t="n"/>
      <c r="F781" s="472" t="n"/>
      <c r="G781" s="472" t="n"/>
      <c r="H781" s="472" t="n"/>
      <c r="I781" s="472" t="n"/>
      <c r="J781" s="472" t="n"/>
      <c r="K781" s="472" t="n"/>
      <c r="L781" s="472" t="n"/>
      <c r="M781" s="472" t="n"/>
      <c r="N781" s="472" t="n"/>
      <c r="O781" s="472" t="n"/>
      <c r="P781" s="472" t="n"/>
      <c r="Q781" s="472" t="n"/>
      <c r="R781" s="472" t="n"/>
      <c r="S781" s="285" t="n"/>
      <c r="T781" s="284" t="n"/>
      <c r="U781" s="284" t="n"/>
      <c r="V781" s="285" t="n"/>
      <c r="W781" s="285" t="n"/>
      <c r="X781" s="285" t="n"/>
      <c r="Y781" s="285" t="n"/>
      <c r="Z781" s="285" t="n"/>
      <c r="AA781" s="285" t="n"/>
      <c r="AB781" s="285" t="n"/>
    </row>
    <row r="782" ht="15.75" customHeight="1" s="398">
      <c r="A782" s="284" t="n"/>
      <c r="B782" s="285" t="n"/>
      <c r="C782" s="368" t="n"/>
      <c r="D782" s="336" t="n"/>
      <c r="E782" s="284" t="n"/>
      <c r="F782" s="472" t="n"/>
      <c r="G782" s="472" t="n"/>
      <c r="H782" s="472" t="n"/>
      <c r="I782" s="472" t="n"/>
      <c r="J782" s="472" t="n"/>
      <c r="K782" s="472" t="n"/>
      <c r="L782" s="472" t="n"/>
      <c r="M782" s="472" t="n"/>
      <c r="N782" s="472" t="n"/>
      <c r="O782" s="472" t="n"/>
      <c r="P782" s="472" t="n"/>
      <c r="Q782" s="472" t="n"/>
      <c r="R782" s="472" t="n"/>
      <c r="S782" s="285" t="n"/>
      <c r="T782" s="284" t="n"/>
      <c r="U782" s="284" t="n"/>
      <c r="V782" s="285" t="n"/>
      <c r="W782" s="285" t="n"/>
      <c r="X782" s="285" t="n"/>
      <c r="Y782" s="285" t="n"/>
      <c r="Z782" s="285" t="n"/>
      <c r="AA782" s="285" t="n"/>
      <c r="AB782" s="285" t="n"/>
    </row>
    <row r="783" ht="15.75" customHeight="1" s="398">
      <c r="A783" s="284" t="n"/>
      <c r="B783" s="285" t="n"/>
      <c r="C783" s="368" t="n"/>
      <c r="D783" s="336" t="n"/>
      <c r="E783" s="284" t="n"/>
      <c r="F783" s="472" t="n"/>
      <c r="G783" s="472" t="n"/>
      <c r="H783" s="472" t="n"/>
      <c r="I783" s="472" t="n"/>
      <c r="J783" s="472" t="n"/>
      <c r="K783" s="472" t="n"/>
      <c r="L783" s="472" t="n"/>
      <c r="M783" s="472" t="n"/>
      <c r="N783" s="472" t="n"/>
      <c r="O783" s="472" t="n"/>
      <c r="P783" s="472" t="n"/>
      <c r="Q783" s="472" t="n"/>
      <c r="R783" s="472" t="n"/>
      <c r="S783" s="285" t="n"/>
      <c r="T783" s="284" t="n"/>
      <c r="U783" s="284" t="n"/>
      <c r="V783" s="285" t="n"/>
      <c r="W783" s="285" t="n"/>
      <c r="X783" s="285" t="n"/>
      <c r="Y783" s="285" t="n"/>
      <c r="Z783" s="285" t="n"/>
      <c r="AA783" s="285" t="n"/>
      <c r="AB783" s="285" t="n"/>
    </row>
    <row r="784" ht="15.75" customHeight="1" s="398">
      <c r="A784" s="284" t="n"/>
      <c r="B784" s="285" t="n"/>
      <c r="C784" s="368" t="n"/>
      <c r="D784" s="336" t="n"/>
      <c r="E784" s="284" t="n"/>
      <c r="F784" s="472" t="n"/>
      <c r="G784" s="472" t="n"/>
      <c r="H784" s="472" t="n"/>
      <c r="I784" s="472" t="n"/>
      <c r="J784" s="472" t="n"/>
      <c r="K784" s="472" t="n"/>
      <c r="L784" s="472" t="n"/>
      <c r="M784" s="472" t="n"/>
      <c r="N784" s="472" t="n"/>
      <c r="O784" s="472" t="n"/>
      <c r="P784" s="472" t="n"/>
      <c r="Q784" s="472" t="n"/>
      <c r="R784" s="472" t="n"/>
      <c r="S784" s="285" t="n"/>
      <c r="T784" s="284" t="n"/>
      <c r="U784" s="284" t="n"/>
      <c r="V784" s="285" t="n"/>
      <c r="W784" s="285" t="n"/>
      <c r="X784" s="285" t="n"/>
      <c r="Y784" s="285" t="n"/>
      <c r="Z784" s="285" t="n"/>
      <c r="AA784" s="285" t="n"/>
      <c r="AB784" s="285" t="n"/>
    </row>
    <row r="785" ht="15.75" customHeight="1" s="398">
      <c r="A785" s="284" t="n"/>
      <c r="B785" s="285" t="n"/>
      <c r="C785" s="368" t="n"/>
      <c r="D785" s="336" t="n"/>
      <c r="E785" s="284" t="n"/>
      <c r="F785" s="472" t="n"/>
      <c r="G785" s="472" t="n"/>
      <c r="H785" s="472" t="n"/>
      <c r="I785" s="472" t="n"/>
      <c r="J785" s="472" t="n"/>
      <c r="K785" s="472" t="n"/>
      <c r="L785" s="472" t="n"/>
      <c r="M785" s="472" t="n"/>
      <c r="N785" s="472" t="n"/>
      <c r="O785" s="472" t="n"/>
      <c r="P785" s="472" t="n"/>
      <c r="Q785" s="472" t="n"/>
      <c r="R785" s="472" t="n"/>
      <c r="S785" s="285" t="n"/>
      <c r="T785" s="284" t="n"/>
      <c r="U785" s="284" t="n"/>
      <c r="V785" s="285" t="n"/>
      <c r="W785" s="285" t="n"/>
      <c r="X785" s="285" t="n"/>
      <c r="Y785" s="285" t="n"/>
      <c r="Z785" s="285" t="n"/>
      <c r="AA785" s="285" t="n"/>
      <c r="AB785" s="285" t="n"/>
    </row>
    <row r="786" ht="15.75" customHeight="1" s="398">
      <c r="A786" s="284" t="n"/>
      <c r="B786" s="285" t="n"/>
      <c r="C786" s="368" t="n"/>
      <c r="D786" s="336" t="n"/>
      <c r="E786" s="284" t="n"/>
      <c r="F786" s="472" t="n"/>
      <c r="G786" s="472" t="n"/>
      <c r="H786" s="472" t="n"/>
      <c r="I786" s="472" t="n"/>
      <c r="J786" s="472" t="n"/>
      <c r="K786" s="472" t="n"/>
      <c r="L786" s="472" t="n"/>
      <c r="M786" s="472" t="n"/>
      <c r="N786" s="472" t="n"/>
      <c r="O786" s="472" t="n"/>
      <c r="P786" s="472" t="n"/>
      <c r="Q786" s="472" t="n"/>
      <c r="R786" s="472" t="n"/>
      <c r="S786" s="285" t="n"/>
      <c r="T786" s="284" t="n"/>
      <c r="U786" s="284" t="n"/>
      <c r="V786" s="285" t="n"/>
      <c r="W786" s="285" t="n"/>
      <c r="X786" s="285" t="n"/>
      <c r="Y786" s="285" t="n"/>
      <c r="Z786" s="285" t="n"/>
      <c r="AA786" s="285" t="n"/>
      <c r="AB786" s="285" t="n"/>
    </row>
    <row r="787" ht="15.75" customHeight="1" s="398">
      <c r="A787" s="284" t="n"/>
      <c r="B787" s="285" t="n"/>
      <c r="C787" s="368" t="n"/>
      <c r="D787" s="336" t="n"/>
      <c r="E787" s="284" t="n"/>
      <c r="F787" s="472" t="n"/>
      <c r="G787" s="472" t="n"/>
      <c r="H787" s="472" t="n"/>
      <c r="I787" s="472" t="n"/>
      <c r="J787" s="472" t="n"/>
      <c r="K787" s="472" t="n"/>
      <c r="L787" s="472" t="n"/>
      <c r="M787" s="472" t="n"/>
      <c r="N787" s="472" t="n"/>
      <c r="O787" s="472" t="n"/>
      <c r="P787" s="472" t="n"/>
      <c r="Q787" s="472" t="n"/>
      <c r="R787" s="472" t="n"/>
      <c r="S787" s="285" t="n"/>
      <c r="T787" s="284" t="n"/>
      <c r="U787" s="284" t="n"/>
      <c r="V787" s="285" t="n"/>
      <c r="W787" s="285" t="n"/>
      <c r="X787" s="285" t="n"/>
      <c r="Y787" s="285" t="n"/>
      <c r="Z787" s="285" t="n"/>
      <c r="AA787" s="285" t="n"/>
      <c r="AB787" s="285" t="n"/>
    </row>
    <row r="788" ht="15.75" customHeight="1" s="398">
      <c r="A788" s="284" t="n"/>
      <c r="B788" s="285" t="n"/>
      <c r="C788" s="368" t="n"/>
      <c r="D788" s="336" t="n"/>
      <c r="E788" s="284" t="n"/>
      <c r="F788" s="472" t="n"/>
      <c r="G788" s="472" t="n"/>
      <c r="H788" s="472" t="n"/>
      <c r="I788" s="472" t="n"/>
      <c r="J788" s="472" t="n"/>
      <c r="K788" s="472" t="n"/>
      <c r="L788" s="472" t="n"/>
      <c r="M788" s="472" t="n"/>
      <c r="N788" s="472" t="n"/>
      <c r="O788" s="472" t="n"/>
      <c r="P788" s="472" t="n"/>
      <c r="Q788" s="472" t="n"/>
      <c r="R788" s="472" t="n"/>
      <c r="S788" s="285" t="n"/>
      <c r="T788" s="284" t="n"/>
      <c r="U788" s="284" t="n"/>
      <c r="V788" s="285" t="n"/>
      <c r="W788" s="285" t="n"/>
      <c r="X788" s="285" t="n"/>
      <c r="Y788" s="285" t="n"/>
      <c r="Z788" s="285" t="n"/>
      <c r="AA788" s="285" t="n"/>
      <c r="AB788" s="285" t="n"/>
    </row>
    <row r="789" ht="15.75" customHeight="1" s="398">
      <c r="A789" s="284" t="n"/>
      <c r="B789" s="285" t="n"/>
      <c r="C789" s="368" t="n"/>
      <c r="D789" s="336" t="n"/>
      <c r="E789" s="284" t="n"/>
      <c r="F789" s="472" t="n"/>
      <c r="G789" s="472" t="n"/>
      <c r="H789" s="472" t="n"/>
      <c r="I789" s="472" t="n"/>
      <c r="J789" s="472" t="n"/>
      <c r="K789" s="472" t="n"/>
      <c r="L789" s="472" t="n"/>
      <c r="M789" s="472" t="n"/>
      <c r="N789" s="472" t="n"/>
      <c r="O789" s="472" t="n"/>
      <c r="P789" s="472" t="n"/>
      <c r="Q789" s="472" t="n"/>
      <c r="R789" s="472" t="n"/>
      <c r="S789" s="285" t="n"/>
      <c r="T789" s="284" t="n"/>
      <c r="U789" s="284" t="n"/>
      <c r="V789" s="285" t="n"/>
      <c r="W789" s="285" t="n"/>
      <c r="X789" s="285" t="n"/>
      <c r="Y789" s="285" t="n"/>
      <c r="Z789" s="285" t="n"/>
      <c r="AA789" s="285" t="n"/>
      <c r="AB789" s="285" t="n"/>
    </row>
    <row r="790" ht="15.75" customHeight="1" s="398">
      <c r="A790" s="284" t="n"/>
      <c r="B790" s="285" t="n"/>
      <c r="C790" s="368" t="n"/>
      <c r="D790" s="336" t="n"/>
      <c r="E790" s="284" t="n"/>
      <c r="F790" s="472" t="n"/>
      <c r="G790" s="472" t="n"/>
      <c r="H790" s="472" t="n"/>
      <c r="I790" s="472" t="n"/>
      <c r="J790" s="472" t="n"/>
      <c r="K790" s="472" t="n"/>
      <c r="L790" s="472" t="n"/>
      <c r="M790" s="472" t="n"/>
      <c r="N790" s="472" t="n"/>
      <c r="O790" s="472" t="n"/>
      <c r="P790" s="472" t="n"/>
      <c r="Q790" s="472" t="n"/>
      <c r="R790" s="472" t="n"/>
      <c r="S790" s="285" t="n"/>
      <c r="T790" s="284" t="n"/>
      <c r="U790" s="284" t="n"/>
      <c r="V790" s="285" t="n"/>
      <c r="W790" s="285" t="n"/>
      <c r="X790" s="285" t="n"/>
      <c r="Y790" s="285" t="n"/>
      <c r="Z790" s="285" t="n"/>
      <c r="AA790" s="285" t="n"/>
      <c r="AB790" s="285" t="n"/>
    </row>
    <row r="791" ht="15.75" customHeight="1" s="398">
      <c r="A791" s="284" t="n"/>
      <c r="B791" s="285" t="n"/>
      <c r="C791" s="368" t="n"/>
      <c r="D791" s="336" t="n"/>
      <c r="E791" s="284" t="n"/>
      <c r="F791" s="472" t="n"/>
      <c r="G791" s="472" t="n"/>
      <c r="H791" s="472" t="n"/>
      <c r="I791" s="472" t="n"/>
      <c r="J791" s="472" t="n"/>
      <c r="K791" s="472" t="n"/>
      <c r="L791" s="472" t="n"/>
      <c r="M791" s="472" t="n"/>
      <c r="N791" s="472" t="n"/>
      <c r="O791" s="472" t="n"/>
      <c r="P791" s="472" t="n"/>
      <c r="Q791" s="472" t="n"/>
      <c r="R791" s="472" t="n"/>
      <c r="S791" s="285" t="n"/>
      <c r="T791" s="284" t="n"/>
      <c r="U791" s="284" t="n"/>
      <c r="V791" s="285" t="n"/>
      <c r="W791" s="285" t="n"/>
      <c r="X791" s="285" t="n"/>
      <c r="Y791" s="285" t="n"/>
      <c r="Z791" s="285" t="n"/>
      <c r="AA791" s="285" t="n"/>
      <c r="AB791" s="285" t="n"/>
    </row>
    <row r="792" ht="15.75" customHeight="1" s="398">
      <c r="A792" s="284" t="n"/>
      <c r="B792" s="285" t="n"/>
      <c r="C792" s="368" t="n"/>
      <c r="D792" s="336" t="n"/>
      <c r="E792" s="284" t="n"/>
      <c r="F792" s="472" t="n"/>
      <c r="G792" s="472" t="n"/>
      <c r="H792" s="472" t="n"/>
      <c r="I792" s="472" t="n"/>
      <c r="J792" s="472" t="n"/>
      <c r="K792" s="472" t="n"/>
      <c r="L792" s="472" t="n"/>
      <c r="M792" s="472" t="n"/>
      <c r="N792" s="472" t="n"/>
      <c r="O792" s="472" t="n"/>
      <c r="P792" s="472" t="n"/>
      <c r="Q792" s="472" t="n"/>
      <c r="R792" s="472" t="n"/>
      <c r="S792" s="285" t="n"/>
      <c r="T792" s="284" t="n"/>
      <c r="U792" s="284" t="n"/>
      <c r="V792" s="285" t="n"/>
      <c r="W792" s="285" t="n"/>
      <c r="X792" s="285" t="n"/>
      <c r="Y792" s="285" t="n"/>
      <c r="Z792" s="285" t="n"/>
      <c r="AA792" s="285" t="n"/>
      <c r="AB792" s="285" t="n"/>
    </row>
    <row r="793" ht="15.75" customHeight="1" s="398">
      <c r="A793" s="284" t="n"/>
      <c r="B793" s="285" t="n"/>
      <c r="C793" s="368" t="n"/>
      <c r="D793" s="336" t="n"/>
      <c r="E793" s="284" t="n"/>
      <c r="F793" s="472" t="n"/>
      <c r="G793" s="472" t="n"/>
      <c r="H793" s="472" t="n"/>
      <c r="I793" s="472" t="n"/>
      <c r="J793" s="472" t="n"/>
      <c r="K793" s="472" t="n"/>
      <c r="L793" s="472" t="n"/>
      <c r="M793" s="472" t="n"/>
      <c r="N793" s="472" t="n"/>
      <c r="O793" s="472" t="n"/>
      <c r="P793" s="472" t="n"/>
      <c r="Q793" s="472" t="n"/>
      <c r="R793" s="472" t="n"/>
      <c r="S793" s="285" t="n"/>
      <c r="T793" s="284" t="n"/>
      <c r="U793" s="284" t="n"/>
      <c r="V793" s="285" t="n"/>
      <c r="W793" s="285" t="n"/>
      <c r="X793" s="285" t="n"/>
      <c r="Y793" s="285" t="n"/>
      <c r="Z793" s="285" t="n"/>
      <c r="AA793" s="285" t="n"/>
      <c r="AB793" s="285" t="n"/>
    </row>
    <row r="794" ht="15.75" customHeight="1" s="398">
      <c r="A794" s="284" t="n"/>
      <c r="B794" s="285" t="n"/>
      <c r="C794" s="368" t="n"/>
      <c r="D794" s="336" t="n"/>
      <c r="E794" s="284" t="n"/>
      <c r="F794" s="472" t="n"/>
      <c r="G794" s="472" t="n"/>
      <c r="H794" s="472" t="n"/>
      <c r="I794" s="472" t="n"/>
      <c r="J794" s="472" t="n"/>
      <c r="K794" s="472" t="n"/>
      <c r="L794" s="472" t="n"/>
      <c r="M794" s="472" t="n"/>
      <c r="N794" s="472" t="n"/>
      <c r="O794" s="472" t="n"/>
      <c r="P794" s="472" t="n"/>
      <c r="Q794" s="472" t="n"/>
      <c r="R794" s="472" t="n"/>
      <c r="S794" s="285" t="n"/>
      <c r="T794" s="284" t="n"/>
      <c r="U794" s="284" t="n"/>
      <c r="V794" s="285" t="n"/>
      <c r="W794" s="285" t="n"/>
      <c r="X794" s="285" t="n"/>
      <c r="Y794" s="285" t="n"/>
      <c r="Z794" s="285" t="n"/>
      <c r="AA794" s="285" t="n"/>
      <c r="AB794" s="285" t="n"/>
    </row>
    <row r="795" ht="15.75" customHeight="1" s="398">
      <c r="A795" s="284" t="n"/>
      <c r="B795" s="285" t="n"/>
      <c r="C795" s="368" t="n"/>
      <c r="D795" s="336" t="n"/>
      <c r="E795" s="284" t="n"/>
      <c r="F795" s="472" t="n"/>
      <c r="G795" s="472" t="n"/>
      <c r="H795" s="472" t="n"/>
      <c r="I795" s="472" t="n"/>
      <c r="J795" s="472" t="n"/>
      <c r="K795" s="472" t="n"/>
      <c r="L795" s="472" t="n"/>
      <c r="M795" s="472" t="n"/>
      <c r="N795" s="472" t="n"/>
      <c r="O795" s="472" t="n"/>
      <c r="P795" s="472" t="n"/>
      <c r="Q795" s="472" t="n"/>
      <c r="R795" s="472" t="n"/>
      <c r="S795" s="285" t="n"/>
      <c r="T795" s="284" t="n"/>
      <c r="U795" s="284" t="n"/>
      <c r="V795" s="285" t="n"/>
      <c r="W795" s="285" t="n"/>
      <c r="X795" s="285" t="n"/>
      <c r="Y795" s="285" t="n"/>
      <c r="Z795" s="285" t="n"/>
      <c r="AA795" s="285" t="n"/>
      <c r="AB795" s="285" t="n"/>
    </row>
    <row r="796" ht="15.75" customHeight="1" s="398">
      <c r="A796" s="284" t="n"/>
      <c r="B796" s="285" t="n"/>
      <c r="C796" s="368" t="n"/>
      <c r="D796" s="336" t="n"/>
      <c r="E796" s="284" t="n"/>
      <c r="F796" s="472" t="n"/>
      <c r="G796" s="472" t="n"/>
      <c r="H796" s="472" t="n"/>
      <c r="I796" s="472" t="n"/>
      <c r="J796" s="472" t="n"/>
      <c r="K796" s="472" t="n"/>
      <c r="L796" s="472" t="n"/>
      <c r="M796" s="472" t="n"/>
      <c r="N796" s="472" t="n"/>
      <c r="O796" s="472" t="n"/>
      <c r="P796" s="472" t="n"/>
      <c r="Q796" s="472" t="n"/>
      <c r="R796" s="472" t="n"/>
      <c r="S796" s="285" t="n"/>
      <c r="T796" s="284" t="n"/>
      <c r="U796" s="284" t="n"/>
      <c r="V796" s="285" t="n"/>
      <c r="W796" s="285" t="n"/>
      <c r="X796" s="285" t="n"/>
      <c r="Y796" s="285" t="n"/>
      <c r="Z796" s="285" t="n"/>
      <c r="AA796" s="285" t="n"/>
      <c r="AB796" s="285" t="n"/>
    </row>
    <row r="797" ht="15.75" customHeight="1" s="398">
      <c r="A797" s="284" t="n"/>
      <c r="B797" s="285" t="n"/>
      <c r="C797" s="368" t="n"/>
      <c r="D797" s="336" t="n"/>
      <c r="E797" s="284" t="n"/>
      <c r="F797" s="472" t="n"/>
      <c r="G797" s="472" t="n"/>
      <c r="H797" s="472" t="n"/>
      <c r="I797" s="472" t="n"/>
      <c r="J797" s="472" t="n"/>
      <c r="K797" s="472" t="n"/>
      <c r="L797" s="472" t="n"/>
      <c r="M797" s="472" t="n"/>
      <c r="N797" s="472" t="n"/>
      <c r="O797" s="472" t="n"/>
      <c r="P797" s="472" t="n"/>
      <c r="Q797" s="472" t="n"/>
      <c r="R797" s="472" t="n"/>
      <c r="S797" s="285" t="n"/>
      <c r="T797" s="284" t="n"/>
      <c r="U797" s="284" t="n"/>
      <c r="V797" s="285" t="n"/>
      <c r="W797" s="285" t="n"/>
      <c r="X797" s="285" t="n"/>
      <c r="Y797" s="285" t="n"/>
      <c r="Z797" s="285" t="n"/>
      <c r="AA797" s="285" t="n"/>
      <c r="AB797" s="285" t="n"/>
    </row>
    <row r="798" ht="15.75" customHeight="1" s="398">
      <c r="A798" s="284" t="n"/>
      <c r="B798" s="285" t="n"/>
      <c r="C798" s="368" t="n"/>
      <c r="D798" s="336" t="n"/>
      <c r="E798" s="284" t="n"/>
      <c r="F798" s="472" t="n"/>
      <c r="G798" s="472" t="n"/>
      <c r="H798" s="472" t="n"/>
      <c r="I798" s="472" t="n"/>
      <c r="J798" s="472" t="n"/>
      <c r="K798" s="472" t="n"/>
      <c r="L798" s="472" t="n"/>
      <c r="M798" s="472" t="n"/>
      <c r="N798" s="472" t="n"/>
      <c r="O798" s="472" t="n"/>
      <c r="P798" s="472" t="n"/>
      <c r="Q798" s="472" t="n"/>
      <c r="R798" s="472" t="n"/>
      <c r="S798" s="285" t="n"/>
      <c r="T798" s="284" t="n"/>
      <c r="U798" s="284" t="n"/>
      <c r="V798" s="285" t="n"/>
      <c r="W798" s="285" t="n"/>
      <c r="X798" s="285" t="n"/>
      <c r="Y798" s="285" t="n"/>
      <c r="Z798" s="285" t="n"/>
      <c r="AA798" s="285" t="n"/>
      <c r="AB798" s="285" t="n"/>
    </row>
    <row r="799" ht="15.75" customHeight="1" s="398">
      <c r="A799" s="284" t="n"/>
      <c r="B799" s="285" t="n"/>
      <c r="C799" s="368" t="n"/>
      <c r="D799" s="336" t="n"/>
      <c r="E799" s="284" t="n"/>
      <c r="F799" s="472" t="n"/>
      <c r="G799" s="472" t="n"/>
      <c r="H799" s="472" t="n"/>
      <c r="I799" s="472" t="n"/>
      <c r="J799" s="472" t="n"/>
      <c r="K799" s="472" t="n"/>
      <c r="L799" s="472" t="n"/>
      <c r="M799" s="472" t="n"/>
      <c r="N799" s="472" t="n"/>
      <c r="O799" s="472" t="n"/>
      <c r="P799" s="472" t="n"/>
      <c r="Q799" s="472" t="n"/>
      <c r="R799" s="472" t="n"/>
      <c r="S799" s="285" t="n"/>
      <c r="T799" s="284" t="n"/>
      <c r="U799" s="284" t="n"/>
      <c r="V799" s="285" t="n"/>
      <c r="W799" s="285" t="n"/>
      <c r="X799" s="285" t="n"/>
      <c r="Y799" s="285" t="n"/>
      <c r="Z799" s="285" t="n"/>
      <c r="AA799" s="285" t="n"/>
      <c r="AB799" s="285" t="n"/>
    </row>
    <row r="800" ht="15.75" customHeight="1" s="398">
      <c r="A800" s="284" t="n"/>
      <c r="B800" s="285" t="n"/>
      <c r="C800" s="368" t="n"/>
      <c r="D800" s="336" t="n"/>
      <c r="E800" s="284" t="n"/>
      <c r="F800" s="472" t="n"/>
      <c r="G800" s="472" t="n"/>
      <c r="H800" s="472" t="n"/>
      <c r="I800" s="472" t="n"/>
      <c r="J800" s="472" t="n"/>
      <c r="K800" s="472" t="n"/>
      <c r="L800" s="472" t="n"/>
      <c r="M800" s="472" t="n"/>
      <c r="N800" s="472" t="n"/>
      <c r="O800" s="472" t="n"/>
      <c r="P800" s="472" t="n"/>
      <c r="Q800" s="472" t="n"/>
      <c r="R800" s="472" t="n"/>
      <c r="S800" s="285" t="n"/>
      <c r="T800" s="284" t="n"/>
      <c r="U800" s="284" t="n"/>
      <c r="V800" s="285" t="n"/>
      <c r="W800" s="285" t="n"/>
      <c r="X800" s="285" t="n"/>
      <c r="Y800" s="285" t="n"/>
      <c r="Z800" s="285" t="n"/>
      <c r="AA800" s="285" t="n"/>
      <c r="AB800" s="285" t="n"/>
    </row>
    <row r="801" ht="15.75" customHeight="1" s="398">
      <c r="A801" s="284" t="n"/>
      <c r="B801" s="285" t="n"/>
      <c r="C801" s="368" t="n"/>
      <c r="D801" s="336" t="n"/>
      <c r="E801" s="284" t="n"/>
      <c r="F801" s="472" t="n"/>
      <c r="G801" s="472" t="n"/>
      <c r="H801" s="472" t="n"/>
      <c r="I801" s="472" t="n"/>
      <c r="J801" s="472" t="n"/>
      <c r="K801" s="472" t="n"/>
      <c r="L801" s="472" t="n"/>
      <c r="M801" s="472" t="n"/>
      <c r="N801" s="472" t="n"/>
      <c r="O801" s="472" t="n"/>
      <c r="P801" s="472" t="n"/>
      <c r="Q801" s="472" t="n"/>
      <c r="R801" s="472" t="n"/>
      <c r="S801" s="285" t="n"/>
      <c r="T801" s="284" t="n"/>
      <c r="U801" s="284" t="n"/>
      <c r="V801" s="285" t="n"/>
      <c r="W801" s="285" t="n"/>
      <c r="X801" s="285" t="n"/>
      <c r="Y801" s="285" t="n"/>
      <c r="Z801" s="285" t="n"/>
      <c r="AA801" s="285" t="n"/>
      <c r="AB801" s="285" t="n"/>
    </row>
    <row r="802" ht="15.75" customHeight="1" s="398">
      <c r="A802" s="284" t="n"/>
      <c r="B802" s="285" t="n"/>
      <c r="C802" s="368" t="n"/>
      <c r="D802" s="336" t="n"/>
      <c r="E802" s="284" t="n"/>
      <c r="F802" s="472" t="n"/>
      <c r="G802" s="472" t="n"/>
      <c r="H802" s="472" t="n"/>
      <c r="I802" s="472" t="n"/>
      <c r="J802" s="472" t="n"/>
      <c r="K802" s="472" t="n"/>
      <c r="L802" s="472" t="n"/>
      <c r="M802" s="472" t="n"/>
      <c r="N802" s="472" t="n"/>
      <c r="O802" s="472" t="n"/>
      <c r="P802" s="472" t="n"/>
      <c r="Q802" s="472" t="n"/>
      <c r="R802" s="472" t="n"/>
      <c r="S802" s="285" t="n"/>
      <c r="T802" s="284" t="n"/>
      <c r="U802" s="284" t="n"/>
      <c r="V802" s="285" t="n"/>
      <c r="W802" s="285" t="n"/>
      <c r="X802" s="285" t="n"/>
      <c r="Y802" s="285" t="n"/>
      <c r="Z802" s="285" t="n"/>
      <c r="AA802" s="285" t="n"/>
      <c r="AB802" s="285" t="n"/>
    </row>
    <row r="803" ht="15.75" customHeight="1" s="398">
      <c r="A803" s="284" t="n"/>
      <c r="B803" s="285" t="n"/>
      <c r="C803" s="368" t="n"/>
      <c r="D803" s="336" t="n"/>
      <c r="E803" s="284" t="n"/>
      <c r="F803" s="472" t="n"/>
      <c r="G803" s="472" t="n"/>
      <c r="H803" s="472" t="n"/>
      <c r="I803" s="472" t="n"/>
      <c r="J803" s="472" t="n"/>
      <c r="K803" s="472" t="n"/>
      <c r="L803" s="472" t="n"/>
      <c r="M803" s="472" t="n"/>
      <c r="N803" s="472" t="n"/>
      <c r="O803" s="472" t="n"/>
      <c r="P803" s="472" t="n"/>
      <c r="Q803" s="472" t="n"/>
      <c r="R803" s="472" t="n"/>
      <c r="S803" s="285" t="n"/>
      <c r="T803" s="284" t="n"/>
      <c r="U803" s="284" t="n"/>
      <c r="V803" s="285" t="n"/>
      <c r="W803" s="285" t="n"/>
      <c r="X803" s="285" t="n"/>
      <c r="Y803" s="285" t="n"/>
      <c r="Z803" s="285" t="n"/>
      <c r="AA803" s="285" t="n"/>
      <c r="AB803" s="285" t="n"/>
    </row>
    <row r="804" ht="15.75" customHeight="1" s="398">
      <c r="A804" s="284" t="n"/>
      <c r="B804" s="285" t="n"/>
      <c r="C804" s="368" t="n"/>
      <c r="D804" s="336" t="n"/>
      <c r="E804" s="284" t="n"/>
      <c r="F804" s="472" t="n"/>
      <c r="G804" s="472" t="n"/>
      <c r="H804" s="472" t="n"/>
      <c r="I804" s="472" t="n"/>
      <c r="J804" s="472" t="n"/>
      <c r="K804" s="472" t="n"/>
      <c r="L804" s="472" t="n"/>
      <c r="M804" s="472" t="n"/>
      <c r="N804" s="472" t="n"/>
      <c r="O804" s="472" t="n"/>
      <c r="P804" s="472" t="n"/>
      <c r="Q804" s="472" t="n"/>
      <c r="R804" s="472" t="n"/>
      <c r="S804" s="285" t="n"/>
      <c r="T804" s="284" t="n"/>
      <c r="U804" s="284" t="n"/>
      <c r="V804" s="285" t="n"/>
      <c r="W804" s="285" t="n"/>
      <c r="X804" s="285" t="n"/>
      <c r="Y804" s="285" t="n"/>
      <c r="Z804" s="285" t="n"/>
      <c r="AA804" s="285" t="n"/>
      <c r="AB804" s="285" t="n"/>
    </row>
    <row r="805" ht="15.75" customHeight="1" s="398">
      <c r="A805" s="284" t="n"/>
      <c r="B805" s="285" t="n"/>
      <c r="C805" s="368" t="n"/>
      <c r="D805" s="336" t="n"/>
      <c r="E805" s="284" t="n"/>
      <c r="F805" s="472" t="n"/>
      <c r="G805" s="472" t="n"/>
      <c r="H805" s="472" t="n"/>
      <c r="I805" s="472" t="n"/>
      <c r="J805" s="472" t="n"/>
      <c r="K805" s="472" t="n"/>
      <c r="L805" s="472" t="n"/>
      <c r="M805" s="472" t="n"/>
      <c r="N805" s="472" t="n"/>
      <c r="O805" s="472" t="n"/>
      <c r="P805" s="472" t="n"/>
      <c r="Q805" s="472" t="n"/>
      <c r="R805" s="472" t="n"/>
      <c r="S805" s="285" t="n"/>
      <c r="T805" s="284" t="n"/>
      <c r="U805" s="284" t="n"/>
      <c r="V805" s="285" t="n"/>
      <c r="W805" s="285" t="n"/>
      <c r="X805" s="285" t="n"/>
      <c r="Y805" s="285" t="n"/>
      <c r="Z805" s="285" t="n"/>
      <c r="AA805" s="285" t="n"/>
      <c r="AB805" s="285" t="n"/>
    </row>
    <row r="806" ht="15.75" customHeight="1" s="398">
      <c r="A806" s="284" t="n"/>
      <c r="B806" s="285" t="n"/>
      <c r="C806" s="368" t="n"/>
      <c r="D806" s="336" t="n"/>
      <c r="E806" s="284" t="n"/>
      <c r="F806" s="472" t="n"/>
      <c r="G806" s="472" t="n"/>
      <c r="H806" s="472" t="n"/>
      <c r="I806" s="472" t="n"/>
      <c r="J806" s="472" t="n"/>
      <c r="K806" s="472" t="n"/>
      <c r="L806" s="472" t="n"/>
      <c r="M806" s="472" t="n"/>
      <c r="N806" s="472" t="n"/>
      <c r="O806" s="472" t="n"/>
      <c r="P806" s="472" t="n"/>
      <c r="Q806" s="472" t="n"/>
      <c r="R806" s="472" t="n"/>
      <c r="S806" s="285" t="n"/>
      <c r="T806" s="284" t="n"/>
      <c r="U806" s="284" t="n"/>
      <c r="V806" s="285" t="n"/>
      <c r="W806" s="285" t="n"/>
      <c r="X806" s="285" t="n"/>
      <c r="Y806" s="285" t="n"/>
      <c r="Z806" s="285" t="n"/>
      <c r="AA806" s="285" t="n"/>
      <c r="AB806" s="285" t="n"/>
    </row>
    <row r="807" ht="15.75" customHeight="1" s="398">
      <c r="A807" s="284" t="n"/>
      <c r="B807" s="285" t="n"/>
      <c r="C807" s="368" t="n"/>
      <c r="D807" s="336" t="n"/>
      <c r="E807" s="284" t="n"/>
      <c r="F807" s="472" t="n"/>
      <c r="G807" s="472" t="n"/>
      <c r="H807" s="472" t="n"/>
      <c r="I807" s="472" t="n"/>
      <c r="J807" s="472" t="n"/>
      <c r="K807" s="472" t="n"/>
      <c r="L807" s="472" t="n"/>
      <c r="M807" s="472" t="n"/>
      <c r="N807" s="472" t="n"/>
      <c r="O807" s="472" t="n"/>
      <c r="P807" s="472" t="n"/>
      <c r="Q807" s="472" t="n"/>
      <c r="R807" s="472" t="n"/>
      <c r="S807" s="285" t="n"/>
      <c r="T807" s="284" t="n"/>
      <c r="U807" s="284" t="n"/>
      <c r="V807" s="285" t="n"/>
      <c r="W807" s="285" t="n"/>
      <c r="X807" s="285" t="n"/>
      <c r="Y807" s="285" t="n"/>
      <c r="Z807" s="285" t="n"/>
      <c r="AA807" s="285" t="n"/>
      <c r="AB807" s="285" t="n"/>
    </row>
    <row r="808" ht="15.75" customHeight="1" s="398">
      <c r="A808" s="284" t="n"/>
      <c r="B808" s="285" t="n"/>
      <c r="C808" s="368" t="n"/>
      <c r="D808" s="336" t="n"/>
      <c r="E808" s="284" t="n"/>
      <c r="F808" s="472" t="n"/>
      <c r="G808" s="472" t="n"/>
      <c r="H808" s="472" t="n"/>
      <c r="I808" s="472" t="n"/>
      <c r="J808" s="472" t="n"/>
      <c r="K808" s="472" t="n"/>
      <c r="L808" s="472" t="n"/>
      <c r="M808" s="472" t="n"/>
      <c r="N808" s="472" t="n"/>
      <c r="O808" s="472" t="n"/>
      <c r="P808" s="472" t="n"/>
      <c r="Q808" s="472" t="n"/>
      <c r="R808" s="472" t="n"/>
      <c r="S808" s="285" t="n"/>
      <c r="T808" s="284" t="n"/>
      <c r="U808" s="284" t="n"/>
      <c r="V808" s="285" t="n"/>
      <c r="W808" s="285" t="n"/>
      <c r="X808" s="285" t="n"/>
      <c r="Y808" s="285" t="n"/>
      <c r="Z808" s="285" t="n"/>
      <c r="AA808" s="285" t="n"/>
      <c r="AB808" s="285" t="n"/>
    </row>
    <row r="809" ht="15.75" customHeight="1" s="398">
      <c r="A809" s="284" t="n"/>
      <c r="B809" s="285" t="n"/>
      <c r="C809" s="368" t="n"/>
      <c r="D809" s="336" t="n"/>
      <c r="E809" s="284" t="n"/>
      <c r="F809" s="472" t="n"/>
      <c r="G809" s="472" t="n"/>
      <c r="H809" s="472" t="n"/>
      <c r="I809" s="472" t="n"/>
      <c r="J809" s="472" t="n"/>
      <c r="K809" s="472" t="n"/>
      <c r="L809" s="472" t="n"/>
      <c r="M809" s="472" t="n"/>
      <c r="N809" s="472" t="n"/>
      <c r="O809" s="472" t="n"/>
      <c r="P809" s="472" t="n"/>
      <c r="Q809" s="472" t="n"/>
      <c r="R809" s="472" t="n"/>
      <c r="S809" s="285" t="n"/>
      <c r="T809" s="284" t="n"/>
      <c r="U809" s="284" t="n"/>
      <c r="V809" s="285" t="n"/>
      <c r="W809" s="285" t="n"/>
      <c r="X809" s="285" t="n"/>
      <c r="Y809" s="285" t="n"/>
      <c r="Z809" s="285" t="n"/>
      <c r="AA809" s="285" t="n"/>
      <c r="AB809" s="285" t="n"/>
    </row>
    <row r="810" ht="15.75" customHeight="1" s="398">
      <c r="A810" s="284" t="n"/>
      <c r="B810" s="285" t="n"/>
      <c r="C810" s="368" t="n"/>
      <c r="D810" s="336" t="n"/>
      <c r="E810" s="284" t="n"/>
      <c r="F810" s="472" t="n"/>
      <c r="G810" s="472" t="n"/>
      <c r="H810" s="472" t="n"/>
      <c r="I810" s="472" t="n"/>
      <c r="J810" s="472" t="n"/>
      <c r="K810" s="472" t="n"/>
      <c r="L810" s="472" t="n"/>
      <c r="M810" s="472" t="n"/>
      <c r="N810" s="472" t="n"/>
      <c r="O810" s="472" t="n"/>
      <c r="P810" s="472" t="n"/>
      <c r="Q810" s="472" t="n"/>
      <c r="R810" s="472" t="n"/>
      <c r="S810" s="285" t="n"/>
      <c r="T810" s="284" t="n"/>
      <c r="U810" s="284" t="n"/>
      <c r="V810" s="285" t="n"/>
      <c r="W810" s="285" t="n"/>
      <c r="X810" s="285" t="n"/>
      <c r="Y810" s="285" t="n"/>
      <c r="Z810" s="285" t="n"/>
      <c r="AA810" s="285" t="n"/>
      <c r="AB810" s="285" t="n"/>
    </row>
    <row r="811" ht="15.75" customHeight="1" s="398">
      <c r="A811" s="284" t="n"/>
      <c r="B811" s="285" t="n"/>
      <c r="C811" s="368" t="n"/>
      <c r="D811" s="336" t="n"/>
      <c r="E811" s="284" t="n"/>
      <c r="F811" s="472" t="n"/>
      <c r="G811" s="472" t="n"/>
      <c r="H811" s="472" t="n"/>
      <c r="I811" s="472" t="n"/>
      <c r="J811" s="472" t="n"/>
      <c r="K811" s="472" t="n"/>
      <c r="L811" s="472" t="n"/>
      <c r="M811" s="472" t="n"/>
      <c r="N811" s="472" t="n"/>
      <c r="O811" s="472" t="n"/>
      <c r="P811" s="472" t="n"/>
      <c r="Q811" s="472" t="n"/>
      <c r="R811" s="472" t="n"/>
      <c r="S811" s="285" t="n"/>
      <c r="T811" s="284" t="n"/>
      <c r="U811" s="284" t="n"/>
      <c r="V811" s="285" t="n"/>
      <c r="W811" s="285" t="n"/>
      <c r="X811" s="285" t="n"/>
      <c r="Y811" s="285" t="n"/>
      <c r="Z811" s="285" t="n"/>
      <c r="AA811" s="285" t="n"/>
      <c r="AB811" s="285" t="n"/>
    </row>
    <row r="812" ht="15.75" customHeight="1" s="398">
      <c r="A812" s="284" t="n"/>
      <c r="B812" s="285" t="n"/>
      <c r="C812" s="368" t="n"/>
      <c r="D812" s="336" t="n"/>
      <c r="E812" s="284" t="n"/>
      <c r="F812" s="472" t="n"/>
      <c r="G812" s="472" t="n"/>
      <c r="H812" s="472" t="n"/>
      <c r="I812" s="472" t="n"/>
      <c r="J812" s="472" t="n"/>
      <c r="K812" s="472" t="n"/>
      <c r="L812" s="472" t="n"/>
      <c r="M812" s="472" t="n"/>
      <c r="N812" s="472" t="n"/>
      <c r="O812" s="472" t="n"/>
      <c r="P812" s="472" t="n"/>
      <c r="Q812" s="472" t="n"/>
      <c r="R812" s="472" t="n"/>
      <c r="S812" s="285" t="n"/>
      <c r="T812" s="284" t="n"/>
      <c r="U812" s="284" t="n"/>
      <c r="V812" s="285" t="n"/>
      <c r="W812" s="285" t="n"/>
      <c r="X812" s="285" t="n"/>
      <c r="Y812" s="285" t="n"/>
      <c r="Z812" s="285" t="n"/>
      <c r="AA812" s="285" t="n"/>
      <c r="AB812" s="285" t="n"/>
    </row>
    <row r="813" ht="15.75" customHeight="1" s="398">
      <c r="A813" s="284" t="n"/>
      <c r="B813" s="285" t="n"/>
      <c r="C813" s="368" t="n"/>
      <c r="D813" s="336" t="n"/>
      <c r="E813" s="284" t="n"/>
      <c r="F813" s="472" t="n"/>
      <c r="G813" s="472" t="n"/>
      <c r="H813" s="472" t="n"/>
      <c r="I813" s="472" t="n"/>
      <c r="J813" s="472" t="n"/>
      <c r="K813" s="472" t="n"/>
      <c r="L813" s="472" t="n"/>
      <c r="M813" s="472" t="n"/>
      <c r="N813" s="472" t="n"/>
      <c r="O813" s="472" t="n"/>
      <c r="P813" s="472" t="n"/>
      <c r="Q813" s="472" t="n"/>
      <c r="R813" s="472" t="n"/>
      <c r="S813" s="285" t="n"/>
      <c r="T813" s="284" t="n"/>
      <c r="U813" s="284" t="n"/>
      <c r="V813" s="285" t="n"/>
      <c r="W813" s="285" t="n"/>
      <c r="X813" s="285" t="n"/>
      <c r="Y813" s="285" t="n"/>
      <c r="Z813" s="285" t="n"/>
      <c r="AA813" s="285" t="n"/>
      <c r="AB813" s="285" t="n"/>
    </row>
    <row r="814" ht="15.75" customHeight="1" s="398">
      <c r="A814" s="284" t="n"/>
      <c r="B814" s="285" t="n"/>
      <c r="C814" s="368" t="n"/>
      <c r="D814" s="336" t="n"/>
      <c r="E814" s="284" t="n"/>
      <c r="F814" s="472" t="n"/>
      <c r="G814" s="472" t="n"/>
      <c r="H814" s="472" t="n"/>
      <c r="I814" s="472" t="n"/>
      <c r="J814" s="472" t="n"/>
      <c r="K814" s="472" t="n"/>
      <c r="L814" s="472" t="n"/>
      <c r="M814" s="472" t="n"/>
      <c r="N814" s="472" t="n"/>
      <c r="O814" s="472" t="n"/>
      <c r="P814" s="472" t="n"/>
      <c r="Q814" s="472" t="n"/>
      <c r="R814" s="472" t="n"/>
      <c r="S814" s="285" t="n"/>
      <c r="T814" s="284" t="n"/>
      <c r="U814" s="284" t="n"/>
      <c r="V814" s="285" t="n"/>
      <c r="W814" s="285" t="n"/>
      <c r="X814" s="285" t="n"/>
      <c r="Y814" s="285" t="n"/>
      <c r="Z814" s="285" t="n"/>
      <c r="AA814" s="285" t="n"/>
      <c r="AB814" s="285" t="n"/>
    </row>
    <row r="815" ht="15.75" customHeight="1" s="398">
      <c r="A815" s="284" t="n"/>
      <c r="B815" s="285" t="n"/>
      <c r="C815" s="368" t="n"/>
      <c r="D815" s="336" t="n"/>
      <c r="E815" s="284" t="n"/>
      <c r="F815" s="472" t="n"/>
      <c r="G815" s="472" t="n"/>
      <c r="H815" s="472" t="n"/>
      <c r="I815" s="472" t="n"/>
      <c r="J815" s="472" t="n"/>
      <c r="K815" s="472" t="n"/>
      <c r="L815" s="472" t="n"/>
      <c r="M815" s="472" t="n"/>
      <c r="N815" s="472" t="n"/>
      <c r="O815" s="472" t="n"/>
      <c r="P815" s="472" t="n"/>
      <c r="Q815" s="472" t="n"/>
      <c r="R815" s="472" t="n"/>
      <c r="S815" s="285" t="n"/>
      <c r="T815" s="284" t="n"/>
      <c r="U815" s="284" t="n"/>
      <c r="V815" s="285" t="n"/>
      <c r="W815" s="285" t="n"/>
      <c r="X815" s="285" t="n"/>
      <c r="Y815" s="285" t="n"/>
      <c r="Z815" s="285" t="n"/>
      <c r="AA815" s="285" t="n"/>
      <c r="AB815" s="285" t="n"/>
    </row>
    <row r="816" ht="15.75" customHeight="1" s="398">
      <c r="A816" s="284" t="n"/>
      <c r="B816" s="285" t="n"/>
      <c r="C816" s="368" t="n"/>
      <c r="D816" s="336" t="n"/>
      <c r="E816" s="284" t="n"/>
      <c r="F816" s="472" t="n"/>
      <c r="G816" s="472" t="n"/>
      <c r="H816" s="472" t="n"/>
      <c r="I816" s="472" t="n"/>
      <c r="J816" s="472" t="n"/>
      <c r="K816" s="472" t="n"/>
      <c r="L816" s="472" t="n"/>
      <c r="M816" s="472" t="n"/>
      <c r="N816" s="472" t="n"/>
      <c r="O816" s="472" t="n"/>
      <c r="P816" s="472" t="n"/>
      <c r="Q816" s="472" t="n"/>
      <c r="R816" s="472" t="n"/>
      <c r="S816" s="285" t="n"/>
      <c r="T816" s="284" t="n"/>
      <c r="U816" s="284" t="n"/>
      <c r="V816" s="285" t="n"/>
      <c r="W816" s="285" t="n"/>
      <c r="X816" s="285" t="n"/>
      <c r="Y816" s="285" t="n"/>
      <c r="Z816" s="285" t="n"/>
      <c r="AA816" s="285" t="n"/>
      <c r="AB816" s="285" t="n"/>
    </row>
    <row r="817" ht="15.75" customHeight="1" s="398">
      <c r="A817" s="284" t="n"/>
      <c r="B817" s="285" t="n"/>
      <c r="C817" s="368" t="n"/>
      <c r="D817" s="336" t="n"/>
      <c r="E817" s="284" t="n"/>
      <c r="F817" s="472" t="n"/>
      <c r="G817" s="472" t="n"/>
      <c r="H817" s="472" t="n"/>
      <c r="I817" s="472" t="n"/>
      <c r="J817" s="472" t="n"/>
      <c r="K817" s="472" t="n"/>
      <c r="L817" s="472" t="n"/>
      <c r="M817" s="472" t="n"/>
      <c r="N817" s="472" t="n"/>
      <c r="O817" s="472" t="n"/>
      <c r="P817" s="472" t="n"/>
      <c r="Q817" s="472" t="n"/>
      <c r="R817" s="472" t="n"/>
      <c r="S817" s="285" t="n"/>
      <c r="T817" s="284" t="n"/>
      <c r="U817" s="284" t="n"/>
      <c r="V817" s="285" t="n"/>
      <c r="W817" s="285" t="n"/>
      <c r="X817" s="285" t="n"/>
      <c r="Y817" s="285" t="n"/>
      <c r="Z817" s="285" t="n"/>
      <c r="AA817" s="285" t="n"/>
      <c r="AB817" s="285" t="n"/>
    </row>
    <row r="818" ht="15.75" customHeight="1" s="398">
      <c r="A818" s="284" t="n"/>
      <c r="B818" s="285" t="n"/>
      <c r="C818" s="368" t="n"/>
      <c r="D818" s="336" t="n"/>
      <c r="E818" s="284" t="n"/>
      <c r="F818" s="472" t="n"/>
      <c r="G818" s="472" t="n"/>
      <c r="H818" s="472" t="n"/>
      <c r="I818" s="472" t="n"/>
      <c r="J818" s="472" t="n"/>
      <c r="K818" s="472" t="n"/>
      <c r="L818" s="472" t="n"/>
      <c r="M818" s="472" t="n"/>
      <c r="N818" s="472" t="n"/>
      <c r="O818" s="472" t="n"/>
      <c r="P818" s="472" t="n"/>
      <c r="Q818" s="472" t="n"/>
      <c r="R818" s="472" t="n"/>
      <c r="S818" s="285" t="n"/>
      <c r="T818" s="284" t="n"/>
      <c r="U818" s="284" t="n"/>
      <c r="V818" s="285" t="n"/>
      <c r="W818" s="285" t="n"/>
      <c r="X818" s="285" t="n"/>
      <c r="Y818" s="285" t="n"/>
      <c r="Z818" s="285" t="n"/>
      <c r="AA818" s="285" t="n"/>
      <c r="AB818" s="285" t="n"/>
    </row>
    <row r="819" ht="15.75" customHeight="1" s="398">
      <c r="A819" s="284" t="n"/>
      <c r="B819" s="285" t="n"/>
      <c r="C819" s="368" t="n"/>
      <c r="D819" s="336" t="n"/>
      <c r="E819" s="284" t="n"/>
      <c r="F819" s="472" t="n"/>
      <c r="G819" s="472" t="n"/>
      <c r="H819" s="472" t="n"/>
      <c r="I819" s="472" t="n"/>
      <c r="J819" s="472" t="n"/>
      <c r="K819" s="472" t="n"/>
      <c r="L819" s="472" t="n"/>
      <c r="M819" s="472" t="n"/>
      <c r="N819" s="472" t="n"/>
      <c r="O819" s="472" t="n"/>
      <c r="P819" s="472" t="n"/>
      <c r="Q819" s="472" t="n"/>
      <c r="R819" s="472" t="n"/>
      <c r="S819" s="285" t="n"/>
      <c r="T819" s="284" t="n"/>
      <c r="U819" s="284" t="n"/>
      <c r="V819" s="285" t="n"/>
      <c r="W819" s="285" t="n"/>
      <c r="X819" s="285" t="n"/>
      <c r="Y819" s="285" t="n"/>
      <c r="Z819" s="285" t="n"/>
      <c r="AA819" s="285" t="n"/>
      <c r="AB819" s="285" t="n"/>
    </row>
    <row r="820" ht="15.75" customHeight="1" s="398">
      <c r="A820" s="284" t="n"/>
      <c r="B820" s="285" t="n"/>
      <c r="C820" s="368" t="n"/>
      <c r="D820" s="336" t="n"/>
      <c r="E820" s="284" t="n"/>
      <c r="F820" s="472" t="n"/>
      <c r="G820" s="472" t="n"/>
      <c r="H820" s="472" t="n"/>
      <c r="I820" s="472" t="n"/>
      <c r="J820" s="472" t="n"/>
      <c r="K820" s="472" t="n"/>
      <c r="L820" s="472" t="n"/>
      <c r="M820" s="472" t="n"/>
      <c r="N820" s="472" t="n"/>
      <c r="O820" s="472" t="n"/>
      <c r="P820" s="472" t="n"/>
      <c r="Q820" s="472" t="n"/>
      <c r="R820" s="472" t="n"/>
      <c r="S820" s="285" t="n"/>
      <c r="T820" s="284" t="n"/>
      <c r="U820" s="284" t="n"/>
      <c r="V820" s="285" t="n"/>
      <c r="W820" s="285" t="n"/>
      <c r="X820" s="285" t="n"/>
      <c r="Y820" s="285" t="n"/>
      <c r="Z820" s="285" t="n"/>
      <c r="AA820" s="285" t="n"/>
      <c r="AB820" s="285" t="n"/>
    </row>
    <row r="821" ht="15.75" customHeight="1" s="398">
      <c r="A821" s="284" t="n"/>
      <c r="B821" s="285" t="n"/>
      <c r="C821" s="368" t="n"/>
      <c r="D821" s="336" t="n"/>
      <c r="E821" s="284" t="n"/>
      <c r="F821" s="472" t="n"/>
      <c r="G821" s="472" t="n"/>
      <c r="H821" s="472" t="n"/>
      <c r="I821" s="472" t="n"/>
      <c r="J821" s="472" t="n"/>
      <c r="K821" s="472" t="n"/>
      <c r="L821" s="472" t="n"/>
      <c r="M821" s="472" t="n"/>
      <c r="N821" s="472" t="n"/>
      <c r="O821" s="472" t="n"/>
      <c r="P821" s="472" t="n"/>
      <c r="Q821" s="472" t="n"/>
      <c r="R821" s="472" t="n"/>
      <c r="S821" s="285" t="n"/>
      <c r="T821" s="284" t="n"/>
      <c r="U821" s="284" t="n"/>
      <c r="V821" s="285" t="n"/>
      <c r="W821" s="285" t="n"/>
      <c r="X821" s="285" t="n"/>
      <c r="Y821" s="285" t="n"/>
      <c r="Z821" s="285" t="n"/>
      <c r="AA821" s="285" t="n"/>
      <c r="AB821" s="285" t="n"/>
    </row>
    <row r="822" ht="15.75" customHeight="1" s="398">
      <c r="A822" s="284" t="n"/>
      <c r="B822" s="285" t="n"/>
      <c r="C822" s="368" t="n"/>
      <c r="D822" s="336" t="n"/>
      <c r="E822" s="284" t="n"/>
      <c r="F822" s="472" t="n"/>
      <c r="G822" s="472" t="n"/>
      <c r="H822" s="472" t="n"/>
      <c r="I822" s="472" t="n"/>
      <c r="J822" s="472" t="n"/>
      <c r="K822" s="472" t="n"/>
      <c r="L822" s="472" t="n"/>
      <c r="M822" s="472" t="n"/>
      <c r="N822" s="472" t="n"/>
      <c r="O822" s="472" t="n"/>
      <c r="P822" s="472" t="n"/>
      <c r="Q822" s="472" t="n"/>
      <c r="R822" s="472" t="n"/>
      <c r="S822" s="285" t="n"/>
      <c r="T822" s="284" t="n"/>
      <c r="U822" s="284" t="n"/>
      <c r="V822" s="285" t="n"/>
      <c r="W822" s="285" t="n"/>
      <c r="X822" s="285" t="n"/>
      <c r="Y822" s="285" t="n"/>
      <c r="Z822" s="285" t="n"/>
      <c r="AA822" s="285" t="n"/>
      <c r="AB822" s="285" t="n"/>
    </row>
    <row r="823" ht="15.75" customHeight="1" s="398">
      <c r="A823" s="284" t="n"/>
      <c r="B823" s="285" t="n"/>
      <c r="C823" s="368" t="n"/>
      <c r="D823" s="336" t="n"/>
      <c r="E823" s="284" t="n"/>
      <c r="F823" s="472" t="n"/>
      <c r="G823" s="472" t="n"/>
      <c r="H823" s="472" t="n"/>
      <c r="I823" s="472" t="n"/>
      <c r="J823" s="472" t="n"/>
      <c r="K823" s="472" t="n"/>
      <c r="L823" s="472" t="n"/>
      <c r="M823" s="472" t="n"/>
      <c r="N823" s="472" t="n"/>
      <c r="O823" s="472" t="n"/>
      <c r="P823" s="472" t="n"/>
      <c r="Q823" s="472" t="n"/>
      <c r="R823" s="472" t="n"/>
      <c r="S823" s="285" t="n"/>
      <c r="T823" s="284" t="n"/>
      <c r="U823" s="284" t="n"/>
      <c r="V823" s="285" t="n"/>
      <c r="W823" s="285" t="n"/>
      <c r="X823" s="285" t="n"/>
      <c r="Y823" s="285" t="n"/>
      <c r="Z823" s="285" t="n"/>
      <c r="AA823" s="285" t="n"/>
      <c r="AB823" s="285" t="n"/>
    </row>
    <row r="824" ht="15.75" customHeight="1" s="398">
      <c r="A824" s="284" t="n"/>
      <c r="B824" s="285" t="n"/>
      <c r="C824" s="368" t="n"/>
      <c r="D824" s="336" t="n"/>
      <c r="E824" s="284" t="n"/>
      <c r="F824" s="472" t="n"/>
      <c r="G824" s="472" t="n"/>
      <c r="H824" s="472" t="n"/>
      <c r="I824" s="472" t="n"/>
      <c r="J824" s="472" t="n"/>
      <c r="K824" s="472" t="n"/>
      <c r="L824" s="472" t="n"/>
      <c r="M824" s="472" t="n"/>
      <c r="N824" s="472" t="n"/>
      <c r="O824" s="472" t="n"/>
      <c r="P824" s="472" t="n"/>
      <c r="Q824" s="472" t="n"/>
      <c r="R824" s="472" t="n"/>
      <c r="S824" s="285" t="n"/>
      <c r="T824" s="284" t="n"/>
      <c r="U824" s="284" t="n"/>
      <c r="V824" s="285" t="n"/>
      <c r="W824" s="285" t="n"/>
      <c r="X824" s="285" t="n"/>
      <c r="Y824" s="285" t="n"/>
      <c r="Z824" s="285" t="n"/>
      <c r="AA824" s="285" t="n"/>
      <c r="AB824" s="285" t="n"/>
    </row>
    <row r="825" ht="15.75" customHeight="1" s="398">
      <c r="A825" s="284" t="n"/>
      <c r="B825" s="285" t="n"/>
      <c r="C825" s="368" t="n"/>
      <c r="D825" s="336" t="n"/>
      <c r="E825" s="284" t="n"/>
      <c r="F825" s="472" t="n"/>
      <c r="G825" s="472" t="n"/>
      <c r="H825" s="472" t="n"/>
      <c r="I825" s="472" t="n"/>
      <c r="J825" s="472" t="n"/>
      <c r="K825" s="472" t="n"/>
      <c r="L825" s="472" t="n"/>
      <c r="M825" s="472" t="n"/>
      <c r="N825" s="472" t="n"/>
      <c r="O825" s="472" t="n"/>
      <c r="P825" s="472" t="n"/>
      <c r="Q825" s="472" t="n"/>
      <c r="R825" s="472" t="n"/>
      <c r="S825" s="285" t="n"/>
      <c r="T825" s="284" t="n"/>
      <c r="U825" s="284" t="n"/>
      <c r="V825" s="285" t="n"/>
      <c r="W825" s="285" t="n"/>
      <c r="X825" s="285" t="n"/>
      <c r="Y825" s="285" t="n"/>
      <c r="Z825" s="285" t="n"/>
      <c r="AA825" s="285" t="n"/>
      <c r="AB825" s="285" t="n"/>
    </row>
    <row r="826" ht="15.75" customHeight="1" s="398">
      <c r="A826" s="284" t="n"/>
      <c r="B826" s="285" t="n"/>
      <c r="C826" s="368" t="n"/>
      <c r="D826" s="336" t="n"/>
      <c r="E826" s="284" t="n"/>
      <c r="F826" s="472" t="n"/>
      <c r="G826" s="472" t="n"/>
      <c r="H826" s="472" t="n"/>
      <c r="I826" s="472" t="n"/>
      <c r="J826" s="472" t="n"/>
      <c r="K826" s="472" t="n"/>
      <c r="L826" s="472" t="n"/>
      <c r="M826" s="472" t="n"/>
      <c r="N826" s="472" t="n"/>
      <c r="O826" s="472" t="n"/>
      <c r="P826" s="472" t="n"/>
      <c r="Q826" s="472" t="n"/>
      <c r="R826" s="472" t="n"/>
      <c r="S826" s="285" t="n"/>
      <c r="T826" s="284" t="n"/>
      <c r="U826" s="284" t="n"/>
      <c r="V826" s="285" t="n"/>
      <c r="W826" s="285" t="n"/>
      <c r="X826" s="285" t="n"/>
      <c r="Y826" s="285" t="n"/>
      <c r="Z826" s="285" t="n"/>
      <c r="AA826" s="285" t="n"/>
      <c r="AB826" s="285" t="n"/>
    </row>
    <row r="827" ht="15.75" customHeight="1" s="398">
      <c r="A827" s="284" t="n"/>
      <c r="B827" s="285" t="n"/>
      <c r="C827" s="368" t="n"/>
      <c r="D827" s="336" t="n"/>
      <c r="E827" s="284" t="n"/>
      <c r="F827" s="472" t="n"/>
      <c r="G827" s="472" t="n"/>
      <c r="H827" s="472" t="n"/>
      <c r="I827" s="472" t="n"/>
      <c r="J827" s="472" t="n"/>
      <c r="K827" s="472" t="n"/>
      <c r="L827" s="472" t="n"/>
      <c r="M827" s="472" t="n"/>
      <c r="N827" s="472" t="n"/>
      <c r="O827" s="472" t="n"/>
      <c r="P827" s="472" t="n"/>
      <c r="Q827" s="472" t="n"/>
      <c r="R827" s="472" t="n"/>
      <c r="S827" s="285" t="n"/>
      <c r="T827" s="284" t="n"/>
      <c r="U827" s="284" t="n"/>
      <c r="V827" s="285" t="n"/>
      <c r="W827" s="285" t="n"/>
      <c r="X827" s="285" t="n"/>
      <c r="Y827" s="285" t="n"/>
      <c r="Z827" s="285" t="n"/>
      <c r="AA827" s="285" t="n"/>
      <c r="AB827" s="285" t="n"/>
    </row>
    <row r="828" ht="15.75" customHeight="1" s="398">
      <c r="A828" s="284" t="n"/>
      <c r="B828" s="285" t="n"/>
      <c r="C828" s="368" t="n"/>
      <c r="D828" s="336" t="n"/>
      <c r="E828" s="284" t="n"/>
      <c r="F828" s="472" t="n"/>
      <c r="G828" s="472" t="n"/>
      <c r="H828" s="472" t="n"/>
      <c r="I828" s="472" t="n"/>
      <c r="J828" s="472" t="n"/>
      <c r="K828" s="472" t="n"/>
      <c r="L828" s="472" t="n"/>
      <c r="M828" s="472" t="n"/>
      <c r="N828" s="472" t="n"/>
      <c r="O828" s="472" t="n"/>
      <c r="P828" s="472" t="n"/>
      <c r="Q828" s="472" t="n"/>
      <c r="R828" s="472" t="n"/>
      <c r="S828" s="285" t="n"/>
      <c r="T828" s="284" t="n"/>
      <c r="U828" s="284" t="n"/>
      <c r="V828" s="285" t="n"/>
      <c r="W828" s="285" t="n"/>
      <c r="X828" s="285" t="n"/>
      <c r="Y828" s="285" t="n"/>
      <c r="Z828" s="285" t="n"/>
      <c r="AA828" s="285" t="n"/>
      <c r="AB828" s="285" t="n"/>
    </row>
    <row r="829" ht="15.75" customHeight="1" s="398">
      <c r="A829" s="284" t="n"/>
      <c r="B829" s="285" t="n"/>
      <c r="C829" s="368" t="n"/>
      <c r="D829" s="336" t="n"/>
      <c r="E829" s="284" t="n"/>
      <c r="F829" s="472" t="n"/>
      <c r="G829" s="472" t="n"/>
      <c r="H829" s="472" t="n"/>
      <c r="I829" s="472" t="n"/>
      <c r="J829" s="472" t="n"/>
      <c r="K829" s="472" t="n"/>
      <c r="L829" s="472" t="n"/>
      <c r="M829" s="472" t="n"/>
      <c r="N829" s="472" t="n"/>
      <c r="O829" s="472" t="n"/>
      <c r="P829" s="472" t="n"/>
      <c r="Q829" s="472" t="n"/>
      <c r="R829" s="472" t="n"/>
      <c r="S829" s="285" t="n"/>
      <c r="T829" s="284" t="n"/>
      <c r="U829" s="284" t="n"/>
      <c r="V829" s="285" t="n"/>
      <c r="W829" s="285" t="n"/>
      <c r="X829" s="285" t="n"/>
      <c r="Y829" s="285" t="n"/>
      <c r="Z829" s="285" t="n"/>
      <c r="AA829" s="285" t="n"/>
      <c r="AB829" s="285" t="n"/>
    </row>
    <row r="830" ht="15.75" customHeight="1" s="398">
      <c r="A830" s="284" t="n"/>
      <c r="B830" s="285" t="n"/>
      <c r="C830" s="368" t="n"/>
      <c r="D830" s="336" t="n"/>
      <c r="E830" s="284" t="n"/>
      <c r="F830" s="472" t="n"/>
      <c r="G830" s="472" t="n"/>
      <c r="H830" s="472" t="n"/>
      <c r="I830" s="472" t="n"/>
      <c r="J830" s="472" t="n"/>
      <c r="K830" s="472" t="n"/>
      <c r="L830" s="472" t="n"/>
      <c r="M830" s="472" t="n"/>
      <c r="N830" s="472" t="n"/>
      <c r="O830" s="472" t="n"/>
      <c r="P830" s="472" t="n"/>
      <c r="Q830" s="472" t="n"/>
      <c r="R830" s="472" t="n"/>
      <c r="S830" s="285" t="n"/>
      <c r="T830" s="284" t="n"/>
      <c r="U830" s="284" t="n"/>
      <c r="V830" s="285" t="n"/>
      <c r="W830" s="285" t="n"/>
      <c r="X830" s="285" t="n"/>
      <c r="Y830" s="285" t="n"/>
      <c r="Z830" s="285" t="n"/>
      <c r="AA830" s="285" t="n"/>
      <c r="AB830" s="285" t="n"/>
    </row>
    <row r="831" ht="15.75" customHeight="1" s="398">
      <c r="A831" s="284" t="n"/>
      <c r="B831" s="285" t="n"/>
      <c r="C831" s="368" t="n"/>
      <c r="D831" s="336" t="n"/>
      <c r="E831" s="284" t="n"/>
      <c r="F831" s="472" t="n"/>
      <c r="G831" s="472" t="n"/>
      <c r="H831" s="472" t="n"/>
      <c r="I831" s="472" t="n"/>
      <c r="J831" s="472" t="n"/>
      <c r="K831" s="472" t="n"/>
      <c r="L831" s="472" t="n"/>
      <c r="M831" s="472" t="n"/>
      <c r="N831" s="472" t="n"/>
      <c r="O831" s="472" t="n"/>
      <c r="P831" s="472" t="n"/>
      <c r="Q831" s="472" t="n"/>
      <c r="R831" s="472" t="n"/>
      <c r="S831" s="285" t="n"/>
      <c r="T831" s="284" t="n"/>
      <c r="U831" s="284" t="n"/>
      <c r="V831" s="285" t="n"/>
      <c r="W831" s="285" t="n"/>
      <c r="X831" s="285" t="n"/>
      <c r="Y831" s="285" t="n"/>
      <c r="Z831" s="285" t="n"/>
      <c r="AA831" s="285" t="n"/>
      <c r="AB831" s="285" t="n"/>
    </row>
    <row r="832" ht="15.75" customHeight="1" s="398">
      <c r="A832" s="284" t="n"/>
      <c r="B832" s="285" t="n"/>
      <c r="C832" s="368" t="n"/>
      <c r="D832" s="336" t="n"/>
      <c r="E832" s="284" t="n"/>
      <c r="F832" s="472" t="n"/>
      <c r="G832" s="472" t="n"/>
      <c r="H832" s="472" t="n"/>
      <c r="I832" s="472" t="n"/>
      <c r="J832" s="472" t="n"/>
      <c r="K832" s="472" t="n"/>
      <c r="L832" s="472" t="n"/>
      <c r="M832" s="472" t="n"/>
      <c r="N832" s="472" t="n"/>
      <c r="O832" s="472" t="n"/>
      <c r="P832" s="472" t="n"/>
      <c r="Q832" s="472" t="n"/>
      <c r="R832" s="472" t="n"/>
      <c r="S832" s="285" t="n"/>
      <c r="T832" s="284" t="n"/>
      <c r="U832" s="284" t="n"/>
      <c r="V832" s="285" t="n"/>
      <c r="W832" s="285" t="n"/>
      <c r="X832" s="285" t="n"/>
      <c r="Y832" s="285" t="n"/>
      <c r="Z832" s="285" t="n"/>
      <c r="AA832" s="285" t="n"/>
      <c r="AB832" s="285" t="n"/>
    </row>
    <row r="833" ht="15.75" customHeight="1" s="398">
      <c r="A833" s="284" t="n"/>
      <c r="B833" s="285" t="n"/>
      <c r="C833" s="368" t="n"/>
      <c r="D833" s="336" t="n"/>
      <c r="E833" s="284" t="n"/>
      <c r="F833" s="472" t="n"/>
      <c r="G833" s="472" t="n"/>
      <c r="H833" s="472" t="n"/>
      <c r="I833" s="472" t="n"/>
      <c r="J833" s="472" t="n"/>
      <c r="K833" s="472" t="n"/>
      <c r="L833" s="472" t="n"/>
      <c r="M833" s="472" t="n"/>
      <c r="N833" s="472" t="n"/>
      <c r="O833" s="472" t="n"/>
      <c r="P833" s="472" t="n"/>
      <c r="Q833" s="472" t="n"/>
      <c r="R833" s="472" t="n"/>
      <c r="S833" s="285" t="n"/>
      <c r="T833" s="284" t="n"/>
      <c r="U833" s="284" t="n"/>
      <c r="V833" s="285" t="n"/>
      <c r="W833" s="285" t="n"/>
      <c r="X833" s="285" t="n"/>
      <c r="Y833" s="285" t="n"/>
      <c r="Z833" s="285" t="n"/>
      <c r="AA833" s="285" t="n"/>
      <c r="AB833" s="285" t="n"/>
    </row>
    <row r="834" ht="15.75" customHeight="1" s="398">
      <c r="A834" s="284" t="n"/>
      <c r="B834" s="285" t="n"/>
      <c r="C834" s="368" t="n"/>
      <c r="D834" s="336" t="n"/>
      <c r="E834" s="284" t="n"/>
      <c r="F834" s="472" t="n"/>
      <c r="G834" s="472" t="n"/>
      <c r="H834" s="472" t="n"/>
      <c r="I834" s="472" t="n"/>
      <c r="J834" s="472" t="n"/>
      <c r="K834" s="472" t="n"/>
      <c r="L834" s="472" t="n"/>
      <c r="M834" s="472" t="n"/>
      <c r="N834" s="472" t="n"/>
      <c r="O834" s="472" t="n"/>
      <c r="P834" s="472" t="n"/>
      <c r="Q834" s="472" t="n"/>
      <c r="R834" s="472" t="n"/>
      <c r="S834" s="285" t="n"/>
      <c r="T834" s="284" t="n"/>
      <c r="U834" s="284" t="n"/>
      <c r="V834" s="285" t="n"/>
      <c r="W834" s="285" t="n"/>
      <c r="X834" s="285" t="n"/>
      <c r="Y834" s="285" t="n"/>
      <c r="Z834" s="285" t="n"/>
      <c r="AA834" s="285" t="n"/>
      <c r="AB834" s="285" t="n"/>
    </row>
    <row r="835" ht="15.75" customHeight="1" s="398">
      <c r="A835" s="284" t="n"/>
      <c r="B835" s="285" t="n"/>
      <c r="C835" s="368" t="n"/>
      <c r="D835" s="336" t="n"/>
      <c r="E835" s="284" t="n"/>
      <c r="F835" s="472" t="n"/>
      <c r="G835" s="472" t="n"/>
      <c r="H835" s="472" t="n"/>
      <c r="I835" s="472" t="n"/>
      <c r="J835" s="472" t="n"/>
      <c r="K835" s="472" t="n"/>
      <c r="L835" s="472" t="n"/>
      <c r="M835" s="472" t="n"/>
      <c r="N835" s="472" t="n"/>
      <c r="O835" s="472" t="n"/>
      <c r="P835" s="472" t="n"/>
      <c r="Q835" s="472" t="n"/>
      <c r="R835" s="472" t="n"/>
      <c r="S835" s="285" t="n"/>
      <c r="T835" s="284" t="n"/>
      <c r="U835" s="284" t="n"/>
      <c r="V835" s="285" t="n"/>
      <c r="W835" s="285" t="n"/>
      <c r="X835" s="285" t="n"/>
      <c r="Y835" s="285" t="n"/>
      <c r="Z835" s="285" t="n"/>
      <c r="AA835" s="285" t="n"/>
      <c r="AB835" s="285" t="n"/>
    </row>
    <row r="836" ht="15.75" customHeight="1" s="398">
      <c r="A836" s="284" t="n"/>
      <c r="B836" s="285" t="n"/>
      <c r="C836" s="368" t="n"/>
      <c r="D836" s="336" t="n"/>
      <c r="E836" s="284" t="n"/>
      <c r="F836" s="472" t="n"/>
      <c r="G836" s="472" t="n"/>
      <c r="H836" s="472" t="n"/>
      <c r="I836" s="472" t="n"/>
      <c r="J836" s="472" t="n"/>
      <c r="K836" s="472" t="n"/>
      <c r="L836" s="472" t="n"/>
      <c r="M836" s="472" t="n"/>
      <c r="N836" s="472" t="n"/>
      <c r="O836" s="472" t="n"/>
      <c r="P836" s="472" t="n"/>
      <c r="Q836" s="472" t="n"/>
      <c r="R836" s="472" t="n"/>
      <c r="S836" s="285" t="n"/>
      <c r="T836" s="284" t="n"/>
      <c r="U836" s="284" t="n"/>
      <c r="V836" s="285" t="n"/>
      <c r="W836" s="285" t="n"/>
      <c r="X836" s="285" t="n"/>
      <c r="Y836" s="285" t="n"/>
      <c r="Z836" s="285" t="n"/>
      <c r="AA836" s="285" t="n"/>
      <c r="AB836" s="285" t="n"/>
    </row>
    <row r="837" ht="15.75" customHeight="1" s="398">
      <c r="A837" s="284" t="n"/>
      <c r="B837" s="285" t="n"/>
      <c r="C837" s="368" t="n"/>
      <c r="D837" s="336" t="n"/>
      <c r="E837" s="284" t="n"/>
      <c r="F837" s="472" t="n"/>
      <c r="G837" s="472" t="n"/>
      <c r="H837" s="472" t="n"/>
      <c r="I837" s="472" t="n"/>
      <c r="J837" s="472" t="n"/>
      <c r="K837" s="472" t="n"/>
      <c r="L837" s="472" t="n"/>
      <c r="M837" s="472" t="n"/>
      <c r="N837" s="472" t="n"/>
      <c r="O837" s="472" t="n"/>
      <c r="P837" s="472" t="n"/>
      <c r="Q837" s="472" t="n"/>
      <c r="R837" s="472" t="n"/>
      <c r="S837" s="285" t="n"/>
      <c r="T837" s="284" t="n"/>
      <c r="U837" s="284" t="n"/>
      <c r="V837" s="285" t="n"/>
      <c r="W837" s="285" t="n"/>
      <c r="X837" s="285" t="n"/>
      <c r="Y837" s="285" t="n"/>
      <c r="Z837" s="285" t="n"/>
      <c r="AA837" s="285" t="n"/>
      <c r="AB837" s="285" t="n"/>
    </row>
    <row r="838" ht="15.75" customHeight="1" s="398">
      <c r="A838" s="284" t="n"/>
      <c r="B838" s="285" t="n"/>
      <c r="C838" s="368" t="n"/>
      <c r="D838" s="336" t="n"/>
      <c r="E838" s="284" t="n"/>
      <c r="F838" s="472" t="n"/>
      <c r="G838" s="472" t="n"/>
      <c r="H838" s="472" t="n"/>
      <c r="I838" s="472" t="n"/>
      <c r="J838" s="472" t="n"/>
      <c r="K838" s="472" t="n"/>
      <c r="L838" s="472" t="n"/>
      <c r="M838" s="472" t="n"/>
      <c r="N838" s="472" t="n"/>
      <c r="O838" s="472" t="n"/>
      <c r="P838" s="472" t="n"/>
      <c r="Q838" s="472" t="n"/>
      <c r="R838" s="472" t="n"/>
      <c r="S838" s="285" t="n"/>
      <c r="T838" s="284" t="n"/>
      <c r="U838" s="284" t="n"/>
      <c r="V838" s="285" t="n"/>
      <c r="W838" s="285" t="n"/>
      <c r="X838" s="285" t="n"/>
      <c r="Y838" s="285" t="n"/>
      <c r="Z838" s="285" t="n"/>
      <c r="AA838" s="285" t="n"/>
      <c r="AB838" s="285" t="n"/>
    </row>
    <row r="839" ht="15.75" customHeight="1" s="398">
      <c r="A839" s="284" t="n"/>
      <c r="B839" s="285" t="n"/>
      <c r="C839" s="368" t="n"/>
      <c r="D839" s="336" t="n"/>
      <c r="E839" s="284" t="n"/>
      <c r="F839" s="472" t="n"/>
      <c r="G839" s="472" t="n"/>
      <c r="H839" s="472" t="n"/>
      <c r="I839" s="472" t="n"/>
      <c r="J839" s="472" t="n"/>
      <c r="K839" s="472" t="n"/>
      <c r="L839" s="472" t="n"/>
      <c r="M839" s="472" t="n"/>
      <c r="N839" s="472" t="n"/>
      <c r="O839" s="472" t="n"/>
      <c r="P839" s="472" t="n"/>
      <c r="Q839" s="472" t="n"/>
      <c r="R839" s="472" t="n"/>
      <c r="S839" s="285" t="n"/>
      <c r="T839" s="284" t="n"/>
      <c r="U839" s="284" t="n"/>
      <c r="V839" s="285" t="n"/>
      <c r="W839" s="285" t="n"/>
      <c r="X839" s="285" t="n"/>
      <c r="Y839" s="285" t="n"/>
      <c r="Z839" s="285" t="n"/>
      <c r="AA839" s="285" t="n"/>
      <c r="AB839" s="285" t="n"/>
    </row>
    <row r="840" ht="15.75" customHeight="1" s="398">
      <c r="A840" s="284" t="n"/>
      <c r="B840" s="285" t="n"/>
      <c r="C840" s="368" t="n"/>
      <c r="D840" s="336" t="n"/>
      <c r="E840" s="284" t="n"/>
      <c r="F840" s="472" t="n"/>
      <c r="G840" s="472" t="n"/>
      <c r="H840" s="472" t="n"/>
      <c r="I840" s="472" t="n"/>
      <c r="J840" s="472" t="n"/>
      <c r="K840" s="472" t="n"/>
      <c r="L840" s="472" t="n"/>
      <c r="M840" s="472" t="n"/>
      <c r="N840" s="472" t="n"/>
      <c r="O840" s="472" t="n"/>
      <c r="P840" s="472" t="n"/>
      <c r="Q840" s="472" t="n"/>
      <c r="R840" s="472" t="n"/>
      <c r="S840" s="285" t="n"/>
      <c r="T840" s="284" t="n"/>
      <c r="U840" s="284" t="n"/>
      <c r="V840" s="285" t="n"/>
      <c r="W840" s="285" t="n"/>
      <c r="X840" s="285" t="n"/>
      <c r="Y840" s="285" t="n"/>
      <c r="Z840" s="285" t="n"/>
      <c r="AA840" s="285" t="n"/>
      <c r="AB840" s="285" t="n"/>
    </row>
    <row r="841" ht="15.75" customHeight="1" s="398">
      <c r="A841" s="284" t="n"/>
      <c r="B841" s="285" t="n"/>
      <c r="C841" s="368" t="n"/>
      <c r="D841" s="336" t="n"/>
      <c r="E841" s="284" t="n"/>
      <c r="F841" s="472" t="n"/>
      <c r="G841" s="472" t="n"/>
      <c r="H841" s="472" t="n"/>
      <c r="I841" s="472" t="n"/>
      <c r="J841" s="472" t="n"/>
      <c r="K841" s="472" t="n"/>
      <c r="L841" s="472" t="n"/>
      <c r="M841" s="472" t="n"/>
      <c r="N841" s="472" t="n"/>
      <c r="O841" s="472" t="n"/>
      <c r="P841" s="472" t="n"/>
      <c r="Q841" s="472" t="n"/>
      <c r="R841" s="472" t="n"/>
      <c r="S841" s="285" t="n"/>
      <c r="T841" s="284" t="n"/>
      <c r="U841" s="284" t="n"/>
      <c r="V841" s="285" t="n"/>
      <c r="W841" s="285" t="n"/>
      <c r="X841" s="285" t="n"/>
      <c r="Y841" s="285" t="n"/>
      <c r="Z841" s="285" t="n"/>
      <c r="AA841" s="285" t="n"/>
      <c r="AB841" s="285" t="n"/>
    </row>
    <row r="842" ht="15.75" customHeight="1" s="398">
      <c r="A842" s="284" t="n"/>
      <c r="B842" s="285" t="n"/>
      <c r="C842" s="368" t="n"/>
      <c r="D842" s="336" t="n"/>
      <c r="E842" s="284" t="n"/>
      <c r="F842" s="472" t="n"/>
      <c r="G842" s="472" t="n"/>
      <c r="H842" s="472" t="n"/>
      <c r="I842" s="472" t="n"/>
      <c r="J842" s="472" t="n"/>
      <c r="K842" s="472" t="n"/>
      <c r="L842" s="472" t="n"/>
      <c r="M842" s="472" t="n"/>
      <c r="N842" s="472" t="n"/>
      <c r="O842" s="472" t="n"/>
      <c r="P842" s="472" t="n"/>
      <c r="Q842" s="472" t="n"/>
      <c r="R842" s="472" t="n"/>
      <c r="S842" s="285" t="n"/>
      <c r="T842" s="284" t="n"/>
      <c r="U842" s="284" t="n"/>
      <c r="V842" s="285" t="n"/>
      <c r="W842" s="285" t="n"/>
      <c r="X842" s="285" t="n"/>
      <c r="Y842" s="285" t="n"/>
      <c r="Z842" s="285" t="n"/>
      <c r="AA842" s="285" t="n"/>
      <c r="AB842" s="285" t="n"/>
    </row>
    <row r="843" ht="15.75" customHeight="1" s="398">
      <c r="A843" s="284" t="n"/>
      <c r="B843" s="285" t="n"/>
      <c r="C843" s="368" t="n"/>
      <c r="D843" s="336" t="n"/>
      <c r="E843" s="284" t="n"/>
      <c r="F843" s="472" t="n"/>
      <c r="G843" s="472" t="n"/>
      <c r="H843" s="472" t="n"/>
      <c r="I843" s="472" t="n"/>
      <c r="J843" s="472" t="n"/>
      <c r="K843" s="472" t="n"/>
      <c r="L843" s="472" t="n"/>
      <c r="M843" s="472" t="n"/>
      <c r="N843" s="472" t="n"/>
      <c r="O843" s="472" t="n"/>
      <c r="P843" s="472" t="n"/>
      <c r="Q843" s="472" t="n"/>
      <c r="R843" s="472" t="n"/>
      <c r="S843" s="285" t="n"/>
      <c r="T843" s="284" t="n"/>
      <c r="U843" s="284" t="n"/>
      <c r="V843" s="285" t="n"/>
      <c r="W843" s="285" t="n"/>
      <c r="X843" s="285" t="n"/>
      <c r="Y843" s="285" t="n"/>
      <c r="Z843" s="285" t="n"/>
      <c r="AA843" s="285" t="n"/>
      <c r="AB843" s="285" t="n"/>
    </row>
    <row r="844" ht="15.75" customHeight="1" s="398">
      <c r="A844" s="284" t="n"/>
      <c r="B844" s="285" t="n"/>
      <c r="C844" s="368" t="n"/>
      <c r="D844" s="336" t="n"/>
      <c r="E844" s="284" t="n"/>
      <c r="F844" s="472" t="n"/>
      <c r="G844" s="472" t="n"/>
      <c r="H844" s="472" t="n"/>
      <c r="I844" s="472" t="n"/>
      <c r="J844" s="472" t="n"/>
      <c r="K844" s="472" t="n"/>
      <c r="L844" s="472" t="n"/>
      <c r="M844" s="472" t="n"/>
      <c r="N844" s="472" t="n"/>
      <c r="O844" s="472" t="n"/>
      <c r="P844" s="472" t="n"/>
      <c r="Q844" s="472" t="n"/>
      <c r="R844" s="472" t="n"/>
      <c r="S844" s="285" t="n"/>
      <c r="T844" s="284" t="n"/>
      <c r="U844" s="284" t="n"/>
      <c r="V844" s="285" t="n"/>
      <c r="W844" s="285" t="n"/>
      <c r="X844" s="285" t="n"/>
      <c r="Y844" s="285" t="n"/>
      <c r="Z844" s="285" t="n"/>
      <c r="AA844" s="285" t="n"/>
      <c r="AB844" s="285" t="n"/>
    </row>
    <row r="845" ht="15.75" customHeight="1" s="398">
      <c r="A845" s="284" t="n"/>
      <c r="B845" s="285" t="n"/>
      <c r="C845" s="368" t="n"/>
      <c r="D845" s="336" t="n"/>
      <c r="E845" s="284" t="n"/>
      <c r="F845" s="472" t="n"/>
      <c r="G845" s="472" t="n"/>
      <c r="H845" s="472" t="n"/>
      <c r="I845" s="472" t="n"/>
      <c r="J845" s="472" t="n"/>
      <c r="K845" s="472" t="n"/>
      <c r="L845" s="472" t="n"/>
      <c r="M845" s="472" t="n"/>
      <c r="N845" s="472" t="n"/>
      <c r="O845" s="472" t="n"/>
      <c r="P845" s="472" t="n"/>
      <c r="Q845" s="472" t="n"/>
      <c r="R845" s="472" t="n"/>
      <c r="S845" s="285" t="n"/>
      <c r="T845" s="284" t="n"/>
      <c r="U845" s="284" t="n"/>
      <c r="V845" s="285" t="n"/>
      <c r="W845" s="285" t="n"/>
      <c r="X845" s="285" t="n"/>
      <c r="Y845" s="285" t="n"/>
      <c r="Z845" s="285" t="n"/>
      <c r="AA845" s="285" t="n"/>
      <c r="AB845" s="285" t="n"/>
    </row>
    <row r="846" ht="15.75" customHeight="1" s="398">
      <c r="A846" s="284" t="n"/>
      <c r="B846" s="285" t="n"/>
      <c r="C846" s="368" t="n"/>
      <c r="D846" s="336" t="n"/>
      <c r="E846" s="284" t="n"/>
      <c r="F846" s="472" t="n"/>
      <c r="G846" s="472" t="n"/>
      <c r="H846" s="472" t="n"/>
      <c r="I846" s="472" t="n"/>
      <c r="J846" s="472" t="n"/>
      <c r="K846" s="472" t="n"/>
      <c r="L846" s="472" t="n"/>
      <c r="M846" s="472" t="n"/>
      <c r="N846" s="472" t="n"/>
      <c r="O846" s="472" t="n"/>
      <c r="P846" s="472" t="n"/>
      <c r="Q846" s="472" t="n"/>
      <c r="R846" s="472" t="n"/>
      <c r="S846" s="285" t="n"/>
      <c r="T846" s="284" t="n"/>
      <c r="U846" s="284" t="n"/>
      <c r="V846" s="285" t="n"/>
      <c r="W846" s="285" t="n"/>
      <c r="X846" s="285" t="n"/>
      <c r="Y846" s="285" t="n"/>
      <c r="Z846" s="285" t="n"/>
      <c r="AA846" s="285" t="n"/>
      <c r="AB846" s="285" t="n"/>
    </row>
    <row r="847" ht="15.75" customHeight="1" s="398">
      <c r="A847" s="284" t="n"/>
      <c r="B847" s="285" t="n"/>
      <c r="C847" s="368" t="n"/>
      <c r="D847" s="336" t="n"/>
      <c r="E847" s="284" t="n"/>
      <c r="F847" s="472" t="n"/>
      <c r="G847" s="472" t="n"/>
      <c r="H847" s="472" t="n"/>
      <c r="I847" s="472" t="n"/>
      <c r="J847" s="472" t="n"/>
      <c r="K847" s="472" t="n"/>
      <c r="L847" s="472" t="n"/>
      <c r="M847" s="472" t="n"/>
      <c r="N847" s="472" t="n"/>
      <c r="O847" s="472" t="n"/>
      <c r="P847" s="472" t="n"/>
      <c r="Q847" s="472" t="n"/>
      <c r="R847" s="472" t="n"/>
      <c r="S847" s="285" t="n"/>
      <c r="T847" s="284" t="n"/>
      <c r="U847" s="284" t="n"/>
      <c r="V847" s="285" t="n"/>
      <c r="W847" s="285" t="n"/>
      <c r="X847" s="285" t="n"/>
      <c r="Y847" s="285" t="n"/>
      <c r="Z847" s="285" t="n"/>
      <c r="AA847" s="285" t="n"/>
      <c r="AB847" s="285" t="n"/>
    </row>
    <row r="848" ht="15.75" customHeight="1" s="398">
      <c r="A848" s="284" t="n"/>
      <c r="B848" s="285" t="n"/>
      <c r="C848" s="368" t="n"/>
      <c r="D848" s="336" t="n"/>
      <c r="E848" s="284" t="n"/>
      <c r="F848" s="472" t="n"/>
      <c r="G848" s="472" t="n"/>
      <c r="H848" s="472" t="n"/>
      <c r="I848" s="472" t="n"/>
      <c r="J848" s="472" t="n"/>
      <c r="K848" s="472" t="n"/>
      <c r="L848" s="472" t="n"/>
      <c r="M848" s="472" t="n"/>
      <c r="N848" s="472" t="n"/>
      <c r="O848" s="472" t="n"/>
      <c r="P848" s="472" t="n"/>
      <c r="Q848" s="472" t="n"/>
      <c r="R848" s="472" t="n"/>
      <c r="S848" s="285" t="n"/>
      <c r="T848" s="284" t="n"/>
      <c r="U848" s="284" t="n"/>
      <c r="V848" s="285" t="n"/>
      <c r="W848" s="285" t="n"/>
      <c r="X848" s="285" t="n"/>
      <c r="Y848" s="285" t="n"/>
      <c r="Z848" s="285" t="n"/>
      <c r="AA848" s="285" t="n"/>
      <c r="AB848" s="285" t="n"/>
    </row>
    <row r="849" ht="15.75" customHeight="1" s="398">
      <c r="A849" s="284" t="n"/>
      <c r="B849" s="285" t="n"/>
      <c r="C849" s="368" t="n"/>
      <c r="D849" s="336" t="n"/>
      <c r="E849" s="284" t="n"/>
      <c r="F849" s="472" t="n"/>
      <c r="G849" s="472" t="n"/>
      <c r="H849" s="472" t="n"/>
      <c r="I849" s="472" t="n"/>
      <c r="J849" s="472" t="n"/>
      <c r="K849" s="472" t="n"/>
      <c r="L849" s="472" t="n"/>
      <c r="M849" s="472" t="n"/>
      <c r="N849" s="472" t="n"/>
      <c r="O849" s="472" t="n"/>
      <c r="P849" s="472" t="n"/>
      <c r="Q849" s="472" t="n"/>
      <c r="R849" s="472" t="n"/>
      <c r="S849" s="285" t="n"/>
      <c r="T849" s="284" t="n"/>
      <c r="U849" s="284" t="n"/>
      <c r="V849" s="285" t="n"/>
      <c r="W849" s="285" t="n"/>
      <c r="X849" s="285" t="n"/>
      <c r="Y849" s="285" t="n"/>
      <c r="Z849" s="285" t="n"/>
      <c r="AA849" s="285" t="n"/>
      <c r="AB849" s="285" t="n"/>
    </row>
    <row r="850" ht="15.75" customHeight="1" s="398">
      <c r="A850" s="284" t="n"/>
      <c r="B850" s="285" t="n"/>
      <c r="C850" s="368" t="n"/>
      <c r="D850" s="336" t="n"/>
      <c r="E850" s="284" t="n"/>
      <c r="F850" s="472" t="n"/>
      <c r="G850" s="472" t="n"/>
      <c r="H850" s="472" t="n"/>
      <c r="I850" s="472" t="n"/>
      <c r="J850" s="472" t="n"/>
      <c r="K850" s="472" t="n"/>
      <c r="L850" s="472" t="n"/>
      <c r="M850" s="472" t="n"/>
      <c r="N850" s="472" t="n"/>
      <c r="O850" s="472" t="n"/>
      <c r="P850" s="472" t="n"/>
      <c r="Q850" s="472" t="n"/>
      <c r="R850" s="472" t="n"/>
      <c r="S850" s="285" t="n"/>
      <c r="T850" s="284" t="n"/>
      <c r="U850" s="284" t="n"/>
      <c r="V850" s="285" t="n"/>
      <c r="W850" s="285" t="n"/>
      <c r="X850" s="285" t="n"/>
      <c r="Y850" s="285" t="n"/>
      <c r="Z850" s="285" t="n"/>
      <c r="AA850" s="285" t="n"/>
      <c r="AB850" s="285" t="n"/>
    </row>
    <row r="851" ht="15.75" customHeight="1" s="398">
      <c r="A851" s="284" t="n"/>
      <c r="B851" s="285" t="n"/>
      <c r="C851" s="368" t="n"/>
      <c r="D851" s="336" t="n"/>
      <c r="E851" s="284" t="n"/>
      <c r="F851" s="472" t="n"/>
      <c r="G851" s="472" t="n"/>
      <c r="H851" s="472" t="n"/>
      <c r="I851" s="472" t="n"/>
      <c r="J851" s="472" t="n"/>
      <c r="K851" s="472" t="n"/>
      <c r="L851" s="472" t="n"/>
      <c r="M851" s="472" t="n"/>
      <c r="N851" s="472" t="n"/>
      <c r="O851" s="472" t="n"/>
      <c r="P851" s="472" t="n"/>
      <c r="Q851" s="472" t="n"/>
      <c r="R851" s="472" t="n"/>
      <c r="S851" s="285" t="n"/>
      <c r="T851" s="284" t="n"/>
      <c r="U851" s="284" t="n"/>
      <c r="V851" s="285" t="n"/>
      <c r="W851" s="285" t="n"/>
      <c r="X851" s="285" t="n"/>
      <c r="Y851" s="285" t="n"/>
      <c r="Z851" s="285" t="n"/>
      <c r="AA851" s="285" t="n"/>
      <c r="AB851" s="285" t="n"/>
    </row>
    <row r="852" ht="15.75" customHeight="1" s="398">
      <c r="A852" s="284" t="n"/>
      <c r="B852" s="285" t="n"/>
      <c r="C852" s="368" t="n"/>
      <c r="D852" s="336" t="n"/>
      <c r="E852" s="284" t="n"/>
      <c r="F852" s="472" t="n"/>
      <c r="G852" s="472" t="n"/>
      <c r="H852" s="472" t="n"/>
      <c r="I852" s="472" t="n"/>
      <c r="J852" s="472" t="n"/>
      <c r="K852" s="472" t="n"/>
      <c r="L852" s="472" t="n"/>
      <c r="M852" s="472" t="n"/>
      <c r="N852" s="472" t="n"/>
      <c r="O852" s="472" t="n"/>
      <c r="P852" s="472" t="n"/>
      <c r="Q852" s="472" t="n"/>
      <c r="R852" s="472" t="n"/>
      <c r="S852" s="285" t="n"/>
      <c r="T852" s="284" t="n"/>
      <c r="U852" s="284" t="n"/>
      <c r="V852" s="285" t="n"/>
      <c r="W852" s="285" t="n"/>
      <c r="X852" s="285" t="n"/>
      <c r="Y852" s="285" t="n"/>
      <c r="Z852" s="285" t="n"/>
      <c r="AA852" s="285" t="n"/>
      <c r="AB852" s="285" t="n"/>
    </row>
    <row r="853" ht="15.75" customHeight="1" s="398">
      <c r="A853" s="284" t="n"/>
      <c r="B853" s="285" t="n"/>
      <c r="C853" s="368" t="n"/>
      <c r="D853" s="336" t="n"/>
      <c r="E853" s="284" t="n"/>
      <c r="F853" s="472" t="n"/>
      <c r="G853" s="472" t="n"/>
      <c r="H853" s="472" t="n"/>
      <c r="I853" s="472" t="n"/>
      <c r="J853" s="472" t="n"/>
      <c r="K853" s="472" t="n"/>
      <c r="L853" s="472" t="n"/>
      <c r="M853" s="472" t="n"/>
      <c r="N853" s="472" t="n"/>
      <c r="O853" s="472" t="n"/>
      <c r="P853" s="472" t="n"/>
      <c r="Q853" s="472" t="n"/>
      <c r="R853" s="472" t="n"/>
      <c r="S853" s="285" t="n"/>
      <c r="T853" s="284" t="n"/>
      <c r="U853" s="284" t="n"/>
      <c r="V853" s="285" t="n"/>
      <c r="W853" s="285" t="n"/>
      <c r="X853" s="285" t="n"/>
      <c r="Y853" s="285" t="n"/>
      <c r="Z853" s="285" t="n"/>
      <c r="AA853" s="285" t="n"/>
      <c r="AB853" s="285" t="n"/>
    </row>
    <row r="854" ht="15.75" customHeight="1" s="398">
      <c r="A854" s="284" t="n"/>
      <c r="B854" s="285" t="n"/>
      <c r="C854" s="368" t="n"/>
      <c r="D854" s="336" t="n"/>
      <c r="E854" s="284" t="n"/>
      <c r="F854" s="472" t="n"/>
      <c r="G854" s="472" t="n"/>
      <c r="H854" s="472" t="n"/>
      <c r="I854" s="472" t="n"/>
      <c r="J854" s="472" t="n"/>
      <c r="K854" s="472" t="n"/>
      <c r="L854" s="472" t="n"/>
      <c r="M854" s="472" t="n"/>
      <c r="N854" s="472" t="n"/>
      <c r="O854" s="472" t="n"/>
      <c r="P854" s="472" t="n"/>
      <c r="Q854" s="472" t="n"/>
      <c r="R854" s="472" t="n"/>
      <c r="S854" s="285" t="n"/>
      <c r="T854" s="284" t="n"/>
      <c r="U854" s="284" t="n"/>
      <c r="V854" s="285" t="n"/>
      <c r="W854" s="285" t="n"/>
      <c r="X854" s="285" t="n"/>
      <c r="Y854" s="285" t="n"/>
      <c r="Z854" s="285" t="n"/>
      <c r="AA854" s="285" t="n"/>
      <c r="AB854" s="285" t="n"/>
    </row>
    <row r="855" ht="15.75" customHeight="1" s="398">
      <c r="A855" s="284" t="n"/>
      <c r="B855" s="285" t="n"/>
      <c r="C855" s="368" t="n"/>
      <c r="D855" s="336" t="n"/>
      <c r="E855" s="284" t="n"/>
      <c r="F855" s="472" t="n"/>
      <c r="G855" s="472" t="n"/>
      <c r="H855" s="472" t="n"/>
      <c r="I855" s="472" t="n"/>
      <c r="J855" s="472" t="n"/>
      <c r="K855" s="472" t="n"/>
      <c r="L855" s="472" t="n"/>
      <c r="M855" s="472" t="n"/>
      <c r="N855" s="472" t="n"/>
      <c r="O855" s="472" t="n"/>
      <c r="P855" s="472" t="n"/>
      <c r="Q855" s="472" t="n"/>
      <c r="R855" s="472" t="n"/>
      <c r="S855" s="285" t="n"/>
      <c r="T855" s="284" t="n"/>
      <c r="U855" s="284" t="n"/>
      <c r="V855" s="285" t="n"/>
      <c r="W855" s="285" t="n"/>
      <c r="X855" s="285" t="n"/>
      <c r="Y855" s="285" t="n"/>
      <c r="Z855" s="285" t="n"/>
      <c r="AA855" s="285" t="n"/>
      <c r="AB855" s="285" t="n"/>
    </row>
    <row r="856" ht="15.75" customHeight="1" s="398">
      <c r="A856" s="284" t="n"/>
      <c r="B856" s="285" t="n"/>
      <c r="C856" s="368" t="n"/>
      <c r="D856" s="336" t="n"/>
      <c r="E856" s="284" t="n"/>
      <c r="F856" s="472" t="n"/>
      <c r="G856" s="472" t="n"/>
      <c r="H856" s="472" t="n"/>
      <c r="I856" s="472" t="n"/>
      <c r="J856" s="472" t="n"/>
      <c r="K856" s="472" t="n"/>
      <c r="L856" s="472" t="n"/>
      <c r="M856" s="472" t="n"/>
      <c r="N856" s="472" t="n"/>
      <c r="O856" s="472" t="n"/>
      <c r="P856" s="472" t="n"/>
      <c r="Q856" s="472" t="n"/>
      <c r="R856" s="472" t="n"/>
      <c r="S856" s="285" t="n"/>
      <c r="T856" s="284" t="n"/>
      <c r="U856" s="284" t="n"/>
      <c r="V856" s="285" t="n"/>
      <c r="W856" s="285" t="n"/>
      <c r="X856" s="285" t="n"/>
      <c r="Y856" s="285" t="n"/>
      <c r="Z856" s="285" t="n"/>
      <c r="AA856" s="285" t="n"/>
      <c r="AB856" s="285" t="n"/>
    </row>
    <row r="857" ht="15.75" customHeight="1" s="398">
      <c r="A857" s="284" t="n"/>
      <c r="B857" s="285" t="n"/>
      <c r="C857" s="368" t="n"/>
      <c r="D857" s="336" t="n"/>
      <c r="E857" s="284" t="n"/>
      <c r="F857" s="472" t="n"/>
      <c r="G857" s="472" t="n"/>
      <c r="H857" s="472" t="n"/>
      <c r="I857" s="472" t="n"/>
      <c r="J857" s="472" t="n"/>
      <c r="K857" s="472" t="n"/>
      <c r="L857" s="472" t="n"/>
      <c r="M857" s="472" t="n"/>
      <c r="N857" s="472" t="n"/>
      <c r="O857" s="472" t="n"/>
      <c r="P857" s="472" t="n"/>
      <c r="Q857" s="472" t="n"/>
      <c r="R857" s="472" t="n"/>
      <c r="S857" s="285" t="n"/>
      <c r="T857" s="284" t="n"/>
      <c r="U857" s="284" t="n"/>
      <c r="V857" s="285" t="n"/>
      <c r="W857" s="285" t="n"/>
      <c r="X857" s="285" t="n"/>
      <c r="Y857" s="285" t="n"/>
      <c r="Z857" s="285" t="n"/>
      <c r="AA857" s="285" t="n"/>
      <c r="AB857" s="285" t="n"/>
    </row>
    <row r="858" ht="15.75" customHeight="1" s="398">
      <c r="A858" s="284" t="n"/>
      <c r="B858" s="285" t="n"/>
      <c r="C858" s="368" t="n"/>
      <c r="D858" s="336" t="n"/>
      <c r="E858" s="284" t="n"/>
      <c r="F858" s="472" t="n"/>
      <c r="G858" s="472" t="n"/>
      <c r="H858" s="472" t="n"/>
      <c r="I858" s="472" t="n"/>
      <c r="J858" s="472" t="n"/>
      <c r="K858" s="472" t="n"/>
      <c r="L858" s="472" t="n"/>
      <c r="M858" s="472" t="n"/>
      <c r="N858" s="472" t="n"/>
      <c r="O858" s="472" t="n"/>
      <c r="P858" s="472" t="n"/>
      <c r="Q858" s="472" t="n"/>
      <c r="R858" s="472" t="n"/>
      <c r="S858" s="285" t="n"/>
      <c r="T858" s="284" t="n"/>
      <c r="U858" s="284" t="n"/>
      <c r="V858" s="285" t="n"/>
      <c r="W858" s="285" t="n"/>
      <c r="X858" s="285" t="n"/>
      <c r="Y858" s="285" t="n"/>
      <c r="Z858" s="285" t="n"/>
      <c r="AA858" s="285" t="n"/>
      <c r="AB858" s="285" t="n"/>
    </row>
    <row r="859" ht="15.75" customHeight="1" s="398">
      <c r="A859" s="284" t="n"/>
      <c r="B859" s="285" t="n"/>
      <c r="C859" s="368" t="n"/>
      <c r="D859" s="336" t="n"/>
      <c r="E859" s="284" t="n"/>
      <c r="F859" s="472" t="n"/>
      <c r="G859" s="472" t="n"/>
      <c r="H859" s="472" t="n"/>
      <c r="I859" s="472" t="n"/>
      <c r="J859" s="472" t="n"/>
      <c r="K859" s="472" t="n"/>
      <c r="L859" s="472" t="n"/>
      <c r="M859" s="472" t="n"/>
      <c r="N859" s="472" t="n"/>
      <c r="O859" s="472" t="n"/>
      <c r="P859" s="472" t="n"/>
      <c r="Q859" s="472" t="n"/>
      <c r="R859" s="472" t="n"/>
      <c r="S859" s="285" t="n"/>
      <c r="T859" s="284" t="n"/>
      <c r="U859" s="284" t="n"/>
      <c r="V859" s="285" t="n"/>
      <c r="W859" s="285" t="n"/>
      <c r="X859" s="285" t="n"/>
      <c r="Y859" s="285" t="n"/>
      <c r="Z859" s="285" t="n"/>
      <c r="AA859" s="285" t="n"/>
      <c r="AB859" s="285" t="n"/>
    </row>
    <row r="860" ht="15.75" customHeight="1" s="398">
      <c r="A860" s="284" t="n"/>
      <c r="B860" s="285" t="n"/>
      <c r="C860" s="368" t="n"/>
      <c r="D860" s="336" t="n"/>
      <c r="E860" s="284" t="n"/>
      <c r="F860" s="472" t="n"/>
      <c r="G860" s="472" t="n"/>
      <c r="H860" s="472" t="n"/>
      <c r="I860" s="472" t="n"/>
      <c r="J860" s="472" t="n"/>
      <c r="K860" s="472" t="n"/>
      <c r="L860" s="472" t="n"/>
      <c r="M860" s="472" t="n"/>
      <c r="N860" s="472" t="n"/>
      <c r="O860" s="472" t="n"/>
      <c r="P860" s="472" t="n"/>
      <c r="Q860" s="472" t="n"/>
      <c r="R860" s="472" t="n"/>
      <c r="S860" s="285" t="n"/>
      <c r="T860" s="284" t="n"/>
      <c r="U860" s="284" t="n"/>
      <c r="V860" s="285" t="n"/>
      <c r="W860" s="285" t="n"/>
      <c r="X860" s="285" t="n"/>
      <c r="Y860" s="285" t="n"/>
      <c r="Z860" s="285" t="n"/>
      <c r="AA860" s="285" t="n"/>
      <c r="AB860" s="285" t="n"/>
    </row>
    <row r="861" ht="15.75" customHeight="1" s="398">
      <c r="A861" s="284" t="n"/>
      <c r="B861" s="285" t="n"/>
      <c r="C861" s="368" t="n"/>
      <c r="D861" s="336" t="n"/>
      <c r="E861" s="284" t="n"/>
      <c r="F861" s="472" t="n"/>
      <c r="G861" s="472" t="n"/>
      <c r="H861" s="472" t="n"/>
      <c r="I861" s="472" t="n"/>
      <c r="J861" s="472" t="n"/>
      <c r="K861" s="472" t="n"/>
      <c r="L861" s="472" t="n"/>
      <c r="M861" s="472" t="n"/>
      <c r="N861" s="472" t="n"/>
      <c r="O861" s="472" t="n"/>
      <c r="P861" s="472" t="n"/>
      <c r="Q861" s="472" t="n"/>
      <c r="R861" s="472" t="n"/>
      <c r="S861" s="285" t="n"/>
      <c r="T861" s="284" t="n"/>
      <c r="U861" s="284" t="n"/>
      <c r="V861" s="285" t="n"/>
      <c r="W861" s="285" t="n"/>
      <c r="X861" s="285" t="n"/>
      <c r="Y861" s="285" t="n"/>
      <c r="Z861" s="285" t="n"/>
      <c r="AA861" s="285" t="n"/>
      <c r="AB861" s="285" t="n"/>
    </row>
    <row r="862" ht="15.75" customHeight="1" s="398">
      <c r="A862" s="284" t="n"/>
      <c r="B862" s="285" t="n"/>
      <c r="C862" s="368" t="n"/>
      <c r="D862" s="336" t="n"/>
      <c r="E862" s="284" t="n"/>
      <c r="F862" s="472" t="n"/>
      <c r="G862" s="472" t="n"/>
      <c r="H862" s="472" t="n"/>
      <c r="I862" s="472" t="n"/>
      <c r="J862" s="472" t="n"/>
      <c r="K862" s="472" t="n"/>
      <c r="L862" s="472" t="n"/>
      <c r="M862" s="472" t="n"/>
      <c r="N862" s="472" t="n"/>
      <c r="O862" s="472" t="n"/>
      <c r="P862" s="472" t="n"/>
      <c r="Q862" s="472" t="n"/>
      <c r="R862" s="472" t="n"/>
      <c r="S862" s="285" t="n"/>
      <c r="T862" s="284" t="n"/>
      <c r="U862" s="284" t="n"/>
      <c r="V862" s="285" t="n"/>
      <c r="W862" s="285" t="n"/>
      <c r="X862" s="285" t="n"/>
      <c r="Y862" s="285" t="n"/>
      <c r="Z862" s="285" t="n"/>
      <c r="AA862" s="285" t="n"/>
      <c r="AB862" s="285" t="n"/>
    </row>
    <row r="863" ht="15.75" customHeight="1" s="398">
      <c r="A863" s="284" t="n"/>
      <c r="B863" s="285" t="n"/>
      <c r="C863" s="368" t="n"/>
      <c r="D863" s="336" t="n"/>
      <c r="E863" s="284" t="n"/>
      <c r="F863" s="472" t="n"/>
      <c r="G863" s="472" t="n"/>
      <c r="H863" s="472" t="n"/>
      <c r="I863" s="472" t="n"/>
      <c r="J863" s="472" t="n"/>
      <c r="K863" s="472" t="n"/>
      <c r="L863" s="472" t="n"/>
      <c r="M863" s="472" t="n"/>
      <c r="N863" s="472" t="n"/>
      <c r="O863" s="472" t="n"/>
      <c r="P863" s="472" t="n"/>
      <c r="Q863" s="472" t="n"/>
      <c r="R863" s="472" t="n"/>
      <c r="S863" s="285" t="n"/>
      <c r="T863" s="284" t="n"/>
      <c r="U863" s="284" t="n"/>
      <c r="V863" s="285" t="n"/>
      <c r="W863" s="285" t="n"/>
      <c r="X863" s="285" t="n"/>
      <c r="Y863" s="285" t="n"/>
      <c r="Z863" s="285" t="n"/>
      <c r="AA863" s="285" t="n"/>
      <c r="AB863" s="285" t="n"/>
    </row>
    <row r="864" ht="15.75" customHeight="1" s="398">
      <c r="A864" s="284" t="n"/>
      <c r="B864" s="285" t="n"/>
      <c r="C864" s="368" t="n"/>
      <c r="D864" s="336" t="n"/>
      <c r="E864" s="284" t="n"/>
      <c r="F864" s="472" t="n"/>
      <c r="G864" s="472" t="n"/>
      <c r="H864" s="472" t="n"/>
      <c r="I864" s="472" t="n"/>
      <c r="J864" s="472" t="n"/>
      <c r="K864" s="472" t="n"/>
      <c r="L864" s="472" t="n"/>
      <c r="M864" s="472" t="n"/>
      <c r="N864" s="472" t="n"/>
      <c r="O864" s="472" t="n"/>
      <c r="P864" s="472" t="n"/>
      <c r="Q864" s="472" t="n"/>
      <c r="R864" s="472" t="n"/>
      <c r="S864" s="285" t="n"/>
      <c r="T864" s="284" t="n"/>
      <c r="U864" s="284" t="n"/>
      <c r="V864" s="285" t="n"/>
      <c r="W864" s="285" t="n"/>
      <c r="X864" s="285" t="n"/>
      <c r="Y864" s="285" t="n"/>
      <c r="Z864" s="285" t="n"/>
      <c r="AA864" s="285" t="n"/>
      <c r="AB864" s="285" t="n"/>
    </row>
    <row r="865" ht="15.75" customHeight="1" s="398">
      <c r="A865" s="284" t="n"/>
      <c r="B865" s="285" t="n"/>
      <c r="C865" s="368" t="n"/>
      <c r="D865" s="336" t="n"/>
      <c r="E865" s="284" t="n"/>
      <c r="F865" s="472" t="n"/>
      <c r="G865" s="472" t="n"/>
      <c r="H865" s="472" t="n"/>
      <c r="I865" s="472" t="n"/>
      <c r="J865" s="472" t="n"/>
      <c r="K865" s="472" t="n"/>
      <c r="L865" s="472" t="n"/>
      <c r="M865" s="472" t="n"/>
      <c r="N865" s="472" t="n"/>
      <c r="O865" s="472" t="n"/>
      <c r="P865" s="472" t="n"/>
      <c r="Q865" s="472" t="n"/>
      <c r="R865" s="472" t="n"/>
      <c r="S865" s="285" t="n"/>
      <c r="T865" s="284" t="n"/>
      <c r="U865" s="284" t="n"/>
      <c r="V865" s="285" t="n"/>
      <c r="W865" s="285" t="n"/>
      <c r="X865" s="285" t="n"/>
      <c r="Y865" s="285" t="n"/>
      <c r="Z865" s="285" t="n"/>
      <c r="AA865" s="285" t="n"/>
      <c r="AB865" s="285" t="n"/>
    </row>
    <row r="866" ht="15.75" customHeight="1" s="398">
      <c r="A866" s="284" t="n"/>
      <c r="B866" s="285" t="n"/>
      <c r="C866" s="368" t="n"/>
      <c r="D866" s="336" t="n"/>
      <c r="E866" s="284" t="n"/>
      <c r="F866" s="472" t="n"/>
      <c r="G866" s="472" t="n"/>
      <c r="H866" s="472" t="n"/>
      <c r="I866" s="472" t="n"/>
      <c r="J866" s="472" t="n"/>
      <c r="K866" s="472" t="n"/>
      <c r="L866" s="472" t="n"/>
      <c r="M866" s="472" t="n"/>
      <c r="N866" s="472" t="n"/>
      <c r="O866" s="472" t="n"/>
      <c r="P866" s="472" t="n"/>
      <c r="Q866" s="472" t="n"/>
      <c r="R866" s="472" t="n"/>
      <c r="S866" s="285" t="n"/>
      <c r="T866" s="284" t="n"/>
      <c r="U866" s="284" t="n"/>
      <c r="V866" s="285" t="n"/>
      <c r="W866" s="285" t="n"/>
      <c r="X866" s="285" t="n"/>
      <c r="Y866" s="285" t="n"/>
      <c r="Z866" s="285" t="n"/>
      <c r="AA866" s="285" t="n"/>
      <c r="AB866" s="285" t="n"/>
    </row>
    <row r="867" ht="15.75" customHeight="1" s="398">
      <c r="A867" s="284" t="n"/>
      <c r="B867" s="285" t="n"/>
      <c r="C867" s="368" t="n"/>
      <c r="D867" s="336" t="n"/>
      <c r="E867" s="284" t="n"/>
      <c r="F867" s="472" t="n"/>
      <c r="G867" s="472" t="n"/>
      <c r="H867" s="472" t="n"/>
      <c r="I867" s="472" t="n"/>
      <c r="J867" s="472" t="n"/>
      <c r="K867" s="472" t="n"/>
      <c r="L867" s="472" t="n"/>
      <c r="M867" s="472" t="n"/>
      <c r="N867" s="472" t="n"/>
      <c r="O867" s="472" t="n"/>
      <c r="P867" s="472" t="n"/>
      <c r="Q867" s="472" t="n"/>
      <c r="R867" s="472" t="n"/>
      <c r="S867" s="285" t="n"/>
      <c r="T867" s="284" t="n"/>
      <c r="U867" s="284" t="n"/>
      <c r="V867" s="285" t="n"/>
      <c r="W867" s="285" t="n"/>
      <c r="X867" s="285" t="n"/>
      <c r="Y867" s="285" t="n"/>
      <c r="Z867" s="285" t="n"/>
      <c r="AA867" s="285" t="n"/>
      <c r="AB867" s="285" t="n"/>
    </row>
    <row r="868" ht="15.75" customHeight="1" s="398">
      <c r="A868" s="284" t="n"/>
      <c r="B868" s="285" t="n"/>
      <c r="C868" s="368" t="n"/>
      <c r="D868" s="336" t="n"/>
      <c r="E868" s="284" t="n"/>
      <c r="F868" s="472" t="n"/>
      <c r="G868" s="472" t="n"/>
      <c r="H868" s="472" t="n"/>
      <c r="I868" s="472" t="n"/>
      <c r="J868" s="472" t="n"/>
      <c r="K868" s="472" t="n"/>
      <c r="L868" s="472" t="n"/>
      <c r="M868" s="472" t="n"/>
      <c r="N868" s="472" t="n"/>
      <c r="O868" s="472" t="n"/>
      <c r="P868" s="472" t="n"/>
      <c r="Q868" s="472" t="n"/>
      <c r="R868" s="472" t="n"/>
      <c r="S868" s="285" t="n"/>
      <c r="T868" s="284" t="n"/>
      <c r="U868" s="284" t="n"/>
      <c r="V868" s="285" t="n"/>
      <c r="W868" s="285" t="n"/>
      <c r="X868" s="285" t="n"/>
      <c r="Y868" s="285" t="n"/>
      <c r="Z868" s="285" t="n"/>
      <c r="AA868" s="285" t="n"/>
      <c r="AB868" s="285" t="n"/>
    </row>
    <row r="869" ht="15.75" customHeight="1" s="398">
      <c r="A869" s="284" t="n"/>
      <c r="B869" s="285" t="n"/>
      <c r="C869" s="368" t="n"/>
      <c r="D869" s="336" t="n"/>
      <c r="E869" s="284" t="n"/>
      <c r="F869" s="472" t="n"/>
      <c r="G869" s="472" t="n"/>
      <c r="H869" s="472" t="n"/>
      <c r="I869" s="472" t="n"/>
      <c r="J869" s="472" t="n"/>
      <c r="K869" s="472" t="n"/>
      <c r="L869" s="472" t="n"/>
      <c r="M869" s="472" t="n"/>
      <c r="N869" s="472" t="n"/>
      <c r="O869" s="472" t="n"/>
      <c r="P869" s="472" t="n"/>
      <c r="Q869" s="472" t="n"/>
      <c r="R869" s="472" t="n"/>
      <c r="S869" s="285" t="n"/>
      <c r="T869" s="284" t="n"/>
      <c r="U869" s="284" t="n"/>
      <c r="V869" s="285" t="n"/>
      <c r="W869" s="285" t="n"/>
      <c r="X869" s="285" t="n"/>
      <c r="Y869" s="285" t="n"/>
      <c r="Z869" s="285" t="n"/>
      <c r="AA869" s="285" t="n"/>
      <c r="AB869" s="285" t="n"/>
    </row>
    <row r="870" ht="15.75" customHeight="1" s="398">
      <c r="A870" s="284" t="n"/>
      <c r="B870" s="285" t="n"/>
      <c r="C870" s="368" t="n"/>
      <c r="D870" s="336" t="n"/>
      <c r="E870" s="284" t="n"/>
      <c r="F870" s="472" t="n"/>
      <c r="G870" s="472" t="n"/>
      <c r="H870" s="472" t="n"/>
      <c r="I870" s="472" t="n"/>
      <c r="J870" s="472" t="n"/>
      <c r="K870" s="472" t="n"/>
      <c r="L870" s="472" t="n"/>
      <c r="M870" s="472" t="n"/>
      <c r="N870" s="472" t="n"/>
      <c r="O870" s="472" t="n"/>
      <c r="P870" s="472" t="n"/>
      <c r="Q870" s="472" t="n"/>
      <c r="R870" s="472" t="n"/>
      <c r="S870" s="285" t="n"/>
      <c r="T870" s="284" t="n"/>
      <c r="U870" s="284" t="n"/>
      <c r="V870" s="285" t="n"/>
      <c r="W870" s="285" t="n"/>
      <c r="X870" s="285" t="n"/>
      <c r="Y870" s="285" t="n"/>
      <c r="Z870" s="285" t="n"/>
      <c r="AA870" s="285" t="n"/>
      <c r="AB870" s="285" t="n"/>
    </row>
    <row r="871" ht="15.75" customHeight="1" s="398">
      <c r="A871" s="284" t="n"/>
      <c r="B871" s="285" t="n"/>
      <c r="C871" s="368" t="n"/>
      <c r="D871" s="336" t="n"/>
      <c r="E871" s="284" t="n"/>
      <c r="F871" s="472" t="n"/>
      <c r="G871" s="472" t="n"/>
      <c r="H871" s="472" t="n"/>
      <c r="I871" s="472" t="n"/>
      <c r="J871" s="472" t="n"/>
      <c r="K871" s="472" t="n"/>
      <c r="L871" s="472" t="n"/>
      <c r="M871" s="472" t="n"/>
      <c r="N871" s="472" t="n"/>
      <c r="O871" s="472" t="n"/>
      <c r="P871" s="472" t="n"/>
      <c r="Q871" s="472" t="n"/>
      <c r="R871" s="472" t="n"/>
      <c r="S871" s="285" t="n"/>
      <c r="T871" s="284" t="n"/>
      <c r="U871" s="284" t="n"/>
      <c r="V871" s="285" t="n"/>
      <c r="W871" s="285" t="n"/>
      <c r="X871" s="285" t="n"/>
      <c r="Y871" s="285" t="n"/>
      <c r="Z871" s="285" t="n"/>
      <c r="AA871" s="285" t="n"/>
      <c r="AB871" s="285" t="n"/>
    </row>
    <row r="872" ht="15.75" customHeight="1" s="398">
      <c r="A872" s="284" t="n"/>
      <c r="B872" s="285" t="n"/>
      <c r="C872" s="368" t="n"/>
      <c r="D872" s="336" t="n"/>
      <c r="E872" s="284" t="n"/>
      <c r="F872" s="472" t="n"/>
      <c r="G872" s="472" t="n"/>
      <c r="H872" s="472" t="n"/>
      <c r="I872" s="472" t="n"/>
      <c r="J872" s="472" t="n"/>
      <c r="K872" s="472" t="n"/>
      <c r="L872" s="472" t="n"/>
      <c r="M872" s="472" t="n"/>
      <c r="N872" s="472" t="n"/>
      <c r="O872" s="472" t="n"/>
      <c r="P872" s="472" t="n"/>
      <c r="Q872" s="472" t="n"/>
      <c r="R872" s="472" t="n"/>
      <c r="S872" s="285" t="n"/>
      <c r="T872" s="284" t="n"/>
      <c r="U872" s="284" t="n"/>
      <c r="V872" s="285" t="n"/>
      <c r="W872" s="285" t="n"/>
      <c r="X872" s="285" t="n"/>
      <c r="Y872" s="285" t="n"/>
      <c r="Z872" s="285" t="n"/>
      <c r="AA872" s="285" t="n"/>
      <c r="AB872" s="285" t="n"/>
    </row>
    <row r="873" ht="15.75" customHeight="1" s="398">
      <c r="A873" s="284" t="n"/>
      <c r="B873" s="285" t="n"/>
      <c r="C873" s="368" t="n"/>
      <c r="D873" s="336" t="n"/>
      <c r="E873" s="284" t="n"/>
      <c r="F873" s="472" t="n"/>
      <c r="G873" s="472" t="n"/>
      <c r="H873" s="472" t="n"/>
      <c r="I873" s="472" t="n"/>
      <c r="J873" s="472" t="n"/>
      <c r="K873" s="472" t="n"/>
      <c r="L873" s="472" t="n"/>
      <c r="M873" s="472" t="n"/>
      <c r="N873" s="472" t="n"/>
      <c r="O873" s="472" t="n"/>
      <c r="P873" s="472" t="n"/>
      <c r="Q873" s="472" t="n"/>
      <c r="R873" s="472" t="n"/>
      <c r="S873" s="285" t="n"/>
      <c r="T873" s="284" t="n"/>
      <c r="U873" s="284" t="n"/>
      <c r="V873" s="285" t="n"/>
      <c r="W873" s="285" t="n"/>
      <c r="X873" s="285" t="n"/>
      <c r="Y873" s="285" t="n"/>
      <c r="Z873" s="285" t="n"/>
      <c r="AA873" s="285" t="n"/>
      <c r="AB873" s="285" t="n"/>
    </row>
    <row r="874" ht="15.75" customHeight="1" s="398">
      <c r="A874" s="284" t="n"/>
      <c r="B874" s="285" t="n"/>
      <c r="C874" s="368" t="n"/>
      <c r="D874" s="336" t="n"/>
      <c r="E874" s="284" t="n"/>
      <c r="F874" s="472" t="n"/>
      <c r="G874" s="472" t="n"/>
      <c r="H874" s="472" t="n"/>
      <c r="I874" s="472" t="n"/>
      <c r="J874" s="472" t="n"/>
      <c r="K874" s="472" t="n"/>
      <c r="L874" s="472" t="n"/>
      <c r="M874" s="472" t="n"/>
      <c r="N874" s="472" t="n"/>
      <c r="O874" s="472" t="n"/>
      <c r="P874" s="472" t="n"/>
      <c r="Q874" s="472" t="n"/>
      <c r="R874" s="472" t="n"/>
      <c r="S874" s="285" t="n"/>
      <c r="T874" s="284" t="n"/>
      <c r="U874" s="284" t="n"/>
      <c r="V874" s="285" t="n"/>
      <c r="W874" s="285" t="n"/>
      <c r="X874" s="285" t="n"/>
      <c r="Y874" s="285" t="n"/>
      <c r="Z874" s="285" t="n"/>
      <c r="AA874" s="285" t="n"/>
      <c r="AB874" s="285" t="n"/>
    </row>
    <row r="875" ht="15.75" customHeight="1" s="398">
      <c r="A875" s="284" t="n"/>
      <c r="B875" s="285" t="n"/>
      <c r="C875" s="368" t="n"/>
      <c r="D875" s="336" t="n"/>
      <c r="E875" s="284" t="n"/>
      <c r="F875" s="472" t="n"/>
      <c r="G875" s="472" t="n"/>
      <c r="H875" s="472" t="n"/>
      <c r="I875" s="472" t="n"/>
      <c r="J875" s="472" t="n"/>
      <c r="K875" s="472" t="n"/>
      <c r="L875" s="472" t="n"/>
      <c r="M875" s="472" t="n"/>
      <c r="N875" s="472" t="n"/>
      <c r="O875" s="472" t="n"/>
      <c r="P875" s="472" t="n"/>
      <c r="Q875" s="472" t="n"/>
      <c r="R875" s="472" t="n"/>
      <c r="S875" s="285" t="n"/>
      <c r="T875" s="284" t="n"/>
      <c r="U875" s="284" t="n"/>
      <c r="V875" s="285" t="n"/>
      <c r="W875" s="285" t="n"/>
      <c r="X875" s="285" t="n"/>
      <c r="Y875" s="285" t="n"/>
      <c r="Z875" s="285" t="n"/>
      <c r="AA875" s="285" t="n"/>
      <c r="AB875" s="285" t="n"/>
    </row>
    <row r="876" ht="15.75" customHeight="1" s="398">
      <c r="A876" s="284" t="n"/>
      <c r="B876" s="285" t="n"/>
      <c r="C876" s="368" t="n"/>
      <c r="D876" s="336" t="n"/>
      <c r="E876" s="284" t="n"/>
      <c r="F876" s="472" t="n"/>
      <c r="G876" s="472" t="n"/>
      <c r="H876" s="472" t="n"/>
      <c r="I876" s="472" t="n"/>
      <c r="J876" s="472" t="n"/>
      <c r="K876" s="472" t="n"/>
      <c r="L876" s="472" t="n"/>
      <c r="M876" s="472" t="n"/>
      <c r="N876" s="472" t="n"/>
      <c r="O876" s="472" t="n"/>
      <c r="P876" s="472" t="n"/>
      <c r="Q876" s="472" t="n"/>
      <c r="R876" s="472" t="n"/>
      <c r="S876" s="285" t="n"/>
      <c r="T876" s="284" t="n"/>
      <c r="U876" s="284" t="n"/>
      <c r="V876" s="285" t="n"/>
      <c r="W876" s="285" t="n"/>
      <c r="X876" s="285" t="n"/>
      <c r="Y876" s="285" t="n"/>
      <c r="Z876" s="285" t="n"/>
      <c r="AA876" s="285" t="n"/>
      <c r="AB876" s="285" t="n"/>
    </row>
    <row r="877" ht="15.75" customHeight="1" s="398">
      <c r="A877" s="284" t="n"/>
      <c r="B877" s="285" t="n"/>
      <c r="C877" s="368" t="n"/>
      <c r="D877" s="336" t="n"/>
      <c r="E877" s="284" t="n"/>
      <c r="F877" s="472" t="n"/>
      <c r="G877" s="472" t="n"/>
      <c r="H877" s="472" t="n"/>
      <c r="I877" s="472" t="n"/>
      <c r="J877" s="472" t="n"/>
      <c r="K877" s="472" t="n"/>
      <c r="L877" s="472" t="n"/>
      <c r="M877" s="472" t="n"/>
      <c r="N877" s="472" t="n"/>
      <c r="O877" s="472" t="n"/>
      <c r="P877" s="472" t="n"/>
      <c r="Q877" s="472" t="n"/>
      <c r="R877" s="472" t="n"/>
      <c r="S877" s="285" t="n"/>
      <c r="T877" s="284" t="n"/>
      <c r="U877" s="284" t="n"/>
      <c r="V877" s="285" t="n"/>
      <c r="W877" s="285" t="n"/>
      <c r="X877" s="285" t="n"/>
      <c r="Y877" s="285" t="n"/>
      <c r="Z877" s="285" t="n"/>
      <c r="AA877" s="285" t="n"/>
      <c r="AB877" s="285" t="n"/>
    </row>
    <row r="878" ht="15.75" customHeight="1" s="398">
      <c r="A878" s="284" t="n"/>
      <c r="B878" s="285" t="n"/>
      <c r="C878" s="368" t="n"/>
      <c r="D878" s="336" t="n"/>
      <c r="E878" s="284" t="n"/>
      <c r="F878" s="472" t="n"/>
      <c r="G878" s="472" t="n"/>
      <c r="H878" s="472" t="n"/>
      <c r="I878" s="472" t="n"/>
      <c r="J878" s="472" t="n"/>
      <c r="K878" s="472" t="n"/>
      <c r="L878" s="472" t="n"/>
      <c r="M878" s="472" t="n"/>
      <c r="N878" s="472" t="n"/>
      <c r="O878" s="472" t="n"/>
      <c r="P878" s="472" t="n"/>
      <c r="Q878" s="472" t="n"/>
      <c r="R878" s="472" t="n"/>
      <c r="S878" s="285" t="n"/>
      <c r="T878" s="284" t="n"/>
      <c r="U878" s="284" t="n"/>
      <c r="V878" s="285" t="n"/>
      <c r="W878" s="285" t="n"/>
      <c r="X878" s="285" t="n"/>
      <c r="Y878" s="285" t="n"/>
      <c r="Z878" s="285" t="n"/>
      <c r="AA878" s="285" t="n"/>
      <c r="AB878" s="285" t="n"/>
    </row>
    <row r="879" ht="15.75" customHeight="1" s="398">
      <c r="A879" s="284" t="n"/>
      <c r="B879" s="285" t="n"/>
      <c r="C879" s="368" t="n"/>
      <c r="D879" s="336" t="n"/>
      <c r="E879" s="284" t="n"/>
      <c r="F879" s="472" t="n"/>
      <c r="G879" s="472" t="n"/>
      <c r="H879" s="472" t="n"/>
      <c r="I879" s="472" t="n"/>
      <c r="J879" s="472" t="n"/>
      <c r="K879" s="472" t="n"/>
      <c r="L879" s="472" t="n"/>
      <c r="M879" s="472" t="n"/>
      <c r="N879" s="472" t="n"/>
      <c r="O879" s="472" t="n"/>
      <c r="P879" s="472" t="n"/>
      <c r="Q879" s="472" t="n"/>
      <c r="R879" s="472" t="n"/>
      <c r="S879" s="285" t="n"/>
      <c r="T879" s="284" t="n"/>
      <c r="U879" s="284" t="n"/>
      <c r="V879" s="285" t="n"/>
      <c r="W879" s="285" t="n"/>
      <c r="X879" s="285" t="n"/>
      <c r="Y879" s="285" t="n"/>
      <c r="Z879" s="285" t="n"/>
      <c r="AA879" s="285" t="n"/>
      <c r="AB879" s="285" t="n"/>
    </row>
    <row r="880" ht="15.75" customHeight="1" s="398">
      <c r="A880" s="284" t="n"/>
      <c r="B880" s="285" t="n"/>
      <c r="C880" s="368" t="n"/>
      <c r="D880" s="336" t="n"/>
      <c r="E880" s="284" t="n"/>
      <c r="F880" s="472" t="n"/>
      <c r="G880" s="472" t="n"/>
      <c r="H880" s="472" t="n"/>
      <c r="I880" s="472" t="n"/>
      <c r="J880" s="472" t="n"/>
      <c r="K880" s="472" t="n"/>
      <c r="L880" s="472" t="n"/>
      <c r="M880" s="472" t="n"/>
      <c r="N880" s="472" t="n"/>
      <c r="O880" s="472" t="n"/>
      <c r="P880" s="472" t="n"/>
      <c r="Q880" s="472" t="n"/>
      <c r="R880" s="472" t="n"/>
      <c r="S880" s="285" t="n"/>
      <c r="T880" s="284" t="n"/>
      <c r="U880" s="284" t="n"/>
      <c r="V880" s="285" t="n"/>
      <c r="W880" s="285" t="n"/>
      <c r="X880" s="285" t="n"/>
      <c r="Y880" s="285" t="n"/>
      <c r="Z880" s="285" t="n"/>
      <c r="AA880" s="285" t="n"/>
      <c r="AB880" s="285" t="n"/>
    </row>
    <row r="881" ht="15.75" customHeight="1" s="398">
      <c r="A881" s="284" t="n"/>
      <c r="B881" s="285" t="n"/>
      <c r="C881" s="368" t="n"/>
      <c r="D881" s="336" t="n"/>
      <c r="E881" s="284" t="n"/>
      <c r="F881" s="472" t="n"/>
      <c r="G881" s="472" t="n"/>
      <c r="H881" s="472" t="n"/>
      <c r="I881" s="472" t="n"/>
      <c r="J881" s="472" t="n"/>
      <c r="K881" s="472" t="n"/>
      <c r="L881" s="472" t="n"/>
      <c r="M881" s="472" t="n"/>
      <c r="N881" s="472" t="n"/>
      <c r="O881" s="472" t="n"/>
      <c r="P881" s="472" t="n"/>
      <c r="Q881" s="472" t="n"/>
      <c r="R881" s="472" t="n"/>
      <c r="S881" s="285" t="n"/>
      <c r="T881" s="284" t="n"/>
      <c r="U881" s="284" t="n"/>
      <c r="V881" s="285" t="n"/>
      <c r="W881" s="285" t="n"/>
      <c r="X881" s="285" t="n"/>
      <c r="Y881" s="285" t="n"/>
      <c r="Z881" s="285" t="n"/>
      <c r="AA881" s="285" t="n"/>
      <c r="AB881" s="285" t="n"/>
    </row>
    <row r="882" ht="15.75" customHeight="1" s="398">
      <c r="A882" s="284" t="n"/>
      <c r="B882" s="285" t="n"/>
      <c r="C882" s="368" t="n"/>
      <c r="D882" s="336" t="n"/>
      <c r="E882" s="284" t="n"/>
      <c r="F882" s="472" t="n"/>
      <c r="G882" s="472" t="n"/>
      <c r="H882" s="472" t="n"/>
      <c r="I882" s="472" t="n"/>
      <c r="J882" s="472" t="n"/>
      <c r="K882" s="472" t="n"/>
      <c r="L882" s="472" t="n"/>
      <c r="M882" s="472" t="n"/>
      <c r="N882" s="472" t="n"/>
      <c r="O882" s="472" t="n"/>
      <c r="P882" s="472" t="n"/>
      <c r="Q882" s="472" t="n"/>
      <c r="R882" s="472" t="n"/>
      <c r="S882" s="285" t="n"/>
      <c r="T882" s="284" t="n"/>
      <c r="U882" s="284" t="n"/>
      <c r="V882" s="285" t="n"/>
      <c r="W882" s="285" t="n"/>
      <c r="X882" s="285" t="n"/>
      <c r="Y882" s="285" t="n"/>
      <c r="Z882" s="285" t="n"/>
      <c r="AA882" s="285" t="n"/>
      <c r="AB882" s="285" t="n"/>
    </row>
    <row r="883" ht="15.75" customHeight="1" s="398">
      <c r="A883" s="284" t="n"/>
      <c r="B883" s="285" t="n"/>
      <c r="C883" s="368" t="n"/>
      <c r="D883" s="336" t="n"/>
      <c r="E883" s="284" t="n"/>
      <c r="F883" s="472" t="n"/>
      <c r="G883" s="472" t="n"/>
      <c r="H883" s="472" t="n"/>
      <c r="I883" s="472" t="n"/>
      <c r="J883" s="472" t="n"/>
      <c r="K883" s="472" t="n"/>
      <c r="L883" s="472" t="n"/>
      <c r="M883" s="472" t="n"/>
      <c r="N883" s="472" t="n"/>
      <c r="O883" s="472" t="n"/>
      <c r="P883" s="472" t="n"/>
      <c r="Q883" s="472" t="n"/>
      <c r="R883" s="472" t="n"/>
      <c r="S883" s="285" t="n"/>
      <c r="T883" s="284" t="n"/>
      <c r="U883" s="284" t="n"/>
      <c r="V883" s="285" t="n"/>
      <c r="W883" s="285" t="n"/>
      <c r="X883" s="285" t="n"/>
      <c r="Y883" s="285" t="n"/>
      <c r="Z883" s="285" t="n"/>
      <c r="AA883" s="285" t="n"/>
      <c r="AB883" s="285" t="n"/>
    </row>
    <row r="884" ht="15.75" customHeight="1" s="398">
      <c r="A884" s="284" t="n"/>
      <c r="B884" s="285" t="n"/>
      <c r="C884" s="368" t="n"/>
      <c r="D884" s="336" t="n"/>
      <c r="E884" s="284" t="n"/>
      <c r="F884" s="472" t="n"/>
      <c r="G884" s="472" t="n"/>
      <c r="H884" s="472" t="n"/>
      <c r="I884" s="472" t="n"/>
      <c r="J884" s="472" t="n"/>
      <c r="K884" s="472" t="n"/>
      <c r="L884" s="472" t="n"/>
      <c r="M884" s="472" t="n"/>
      <c r="N884" s="472" t="n"/>
      <c r="O884" s="472" t="n"/>
      <c r="P884" s="472" t="n"/>
      <c r="Q884" s="472" t="n"/>
      <c r="R884" s="472" t="n"/>
      <c r="S884" s="285" t="n"/>
      <c r="T884" s="284" t="n"/>
      <c r="U884" s="284" t="n"/>
      <c r="V884" s="285" t="n"/>
      <c r="W884" s="285" t="n"/>
      <c r="X884" s="285" t="n"/>
      <c r="Y884" s="285" t="n"/>
      <c r="Z884" s="285" t="n"/>
      <c r="AA884" s="285" t="n"/>
      <c r="AB884" s="285" t="n"/>
    </row>
    <row r="885" ht="15.75" customHeight="1" s="398">
      <c r="A885" s="284" t="n"/>
      <c r="B885" s="285" t="n"/>
      <c r="C885" s="368" t="n"/>
      <c r="D885" s="336" t="n"/>
      <c r="E885" s="284" t="n"/>
      <c r="F885" s="472" t="n"/>
      <c r="G885" s="472" t="n"/>
      <c r="H885" s="472" t="n"/>
      <c r="I885" s="472" t="n"/>
      <c r="J885" s="472" t="n"/>
      <c r="K885" s="472" t="n"/>
      <c r="L885" s="472" t="n"/>
      <c r="M885" s="472" t="n"/>
      <c r="N885" s="472" t="n"/>
      <c r="O885" s="472" t="n"/>
      <c r="P885" s="472" t="n"/>
      <c r="Q885" s="472" t="n"/>
      <c r="R885" s="472" t="n"/>
      <c r="S885" s="285" t="n"/>
      <c r="T885" s="284" t="n"/>
      <c r="U885" s="284" t="n"/>
      <c r="V885" s="285" t="n"/>
      <c r="W885" s="285" t="n"/>
      <c r="X885" s="285" t="n"/>
      <c r="Y885" s="285" t="n"/>
      <c r="Z885" s="285" t="n"/>
      <c r="AA885" s="285" t="n"/>
      <c r="AB885" s="285" t="n"/>
    </row>
    <row r="886" ht="15.75" customHeight="1" s="398">
      <c r="A886" s="284" t="n"/>
      <c r="B886" s="285" t="n"/>
      <c r="C886" s="368" t="n"/>
      <c r="D886" s="336" t="n"/>
      <c r="E886" s="284" t="n"/>
      <c r="F886" s="472" t="n"/>
      <c r="G886" s="472" t="n"/>
      <c r="H886" s="472" t="n"/>
      <c r="I886" s="472" t="n"/>
      <c r="J886" s="472" t="n"/>
      <c r="K886" s="472" t="n"/>
      <c r="L886" s="472" t="n"/>
      <c r="M886" s="472" t="n"/>
      <c r="N886" s="472" t="n"/>
      <c r="O886" s="472" t="n"/>
      <c r="P886" s="472" t="n"/>
      <c r="Q886" s="472" t="n"/>
      <c r="R886" s="472" t="n"/>
      <c r="S886" s="285" t="n"/>
      <c r="T886" s="284" t="n"/>
      <c r="U886" s="284" t="n"/>
      <c r="V886" s="285" t="n"/>
      <c r="W886" s="285" t="n"/>
      <c r="X886" s="285" t="n"/>
      <c r="Y886" s="285" t="n"/>
      <c r="Z886" s="285" t="n"/>
      <c r="AA886" s="285" t="n"/>
      <c r="AB886" s="285" t="n"/>
    </row>
    <row r="887" ht="15.75" customHeight="1" s="398">
      <c r="A887" s="284" t="n"/>
      <c r="B887" s="285" t="n"/>
      <c r="C887" s="368" t="n"/>
      <c r="D887" s="336" t="n"/>
      <c r="E887" s="284" t="n"/>
      <c r="F887" s="472" t="n"/>
      <c r="G887" s="472" t="n"/>
      <c r="H887" s="472" t="n"/>
      <c r="I887" s="472" t="n"/>
      <c r="J887" s="472" t="n"/>
      <c r="K887" s="472" t="n"/>
      <c r="L887" s="472" t="n"/>
      <c r="M887" s="472" t="n"/>
      <c r="N887" s="472" t="n"/>
      <c r="O887" s="472" t="n"/>
      <c r="P887" s="472" t="n"/>
      <c r="Q887" s="472" t="n"/>
      <c r="R887" s="472" t="n"/>
      <c r="S887" s="285" t="n"/>
      <c r="T887" s="284" t="n"/>
      <c r="U887" s="284" t="n"/>
      <c r="V887" s="285" t="n"/>
      <c r="W887" s="285" t="n"/>
      <c r="X887" s="285" t="n"/>
      <c r="Y887" s="285" t="n"/>
      <c r="Z887" s="285" t="n"/>
      <c r="AA887" s="285" t="n"/>
      <c r="AB887" s="285" t="n"/>
    </row>
    <row r="888" ht="15.75" customHeight="1" s="398">
      <c r="A888" s="284" t="n"/>
      <c r="B888" s="285" t="n"/>
      <c r="C888" s="368" t="n"/>
      <c r="D888" s="336" t="n"/>
      <c r="E888" s="284" t="n"/>
      <c r="F888" s="472" t="n"/>
      <c r="G888" s="472" t="n"/>
      <c r="H888" s="472" t="n"/>
      <c r="I888" s="472" t="n"/>
      <c r="J888" s="472" t="n"/>
      <c r="K888" s="472" t="n"/>
      <c r="L888" s="472" t="n"/>
      <c r="M888" s="472" t="n"/>
      <c r="N888" s="472" t="n"/>
      <c r="O888" s="472" t="n"/>
      <c r="P888" s="472" t="n"/>
      <c r="Q888" s="472" t="n"/>
      <c r="R888" s="472" t="n"/>
      <c r="S888" s="285" t="n"/>
      <c r="T888" s="284" t="n"/>
      <c r="U888" s="284" t="n"/>
      <c r="V888" s="285" t="n"/>
      <c r="W888" s="285" t="n"/>
      <c r="X888" s="285" t="n"/>
      <c r="Y888" s="285" t="n"/>
      <c r="Z888" s="285" t="n"/>
      <c r="AA888" s="285" t="n"/>
      <c r="AB888" s="285" t="n"/>
    </row>
    <row r="889" ht="15.75" customHeight="1" s="398">
      <c r="A889" s="284" t="n"/>
      <c r="B889" s="285" t="n"/>
      <c r="C889" s="368" t="n"/>
      <c r="D889" s="336" t="n"/>
      <c r="E889" s="284" t="n"/>
      <c r="F889" s="472" t="n"/>
      <c r="G889" s="472" t="n"/>
      <c r="H889" s="472" t="n"/>
      <c r="I889" s="472" t="n"/>
      <c r="J889" s="472" t="n"/>
      <c r="K889" s="472" t="n"/>
      <c r="L889" s="472" t="n"/>
      <c r="M889" s="472" t="n"/>
      <c r="N889" s="472" t="n"/>
      <c r="O889" s="472" t="n"/>
      <c r="P889" s="472" t="n"/>
      <c r="Q889" s="472" t="n"/>
      <c r="R889" s="472" t="n"/>
      <c r="S889" s="285" t="n"/>
      <c r="T889" s="284" t="n"/>
      <c r="U889" s="284" t="n"/>
      <c r="V889" s="285" t="n"/>
      <c r="W889" s="285" t="n"/>
      <c r="X889" s="285" t="n"/>
      <c r="Y889" s="285" t="n"/>
      <c r="Z889" s="285" t="n"/>
      <c r="AA889" s="285" t="n"/>
      <c r="AB889" s="285" t="n"/>
    </row>
    <row r="890" ht="15.75" customHeight="1" s="398">
      <c r="A890" s="284" t="n"/>
      <c r="B890" s="285" t="n"/>
      <c r="C890" s="368" t="n"/>
      <c r="D890" s="336" t="n"/>
      <c r="E890" s="284" t="n"/>
      <c r="F890" s="472" t="n"/>
      <c r="G890" s="472" t="n"/>
      <c r="H890" s="472" t="n"/>
      <c r="I890" s="472" t="n"/>
      <c r="J890" s="472" t="n"/>
      <c r="K890" s="472" t="n"/>
      <c r="L890" s="472" t="n"/>
      <c r="M890" s="472" t="n"/>
      <c r="N890" s="472" t="n"/>
      <c r="O890" s="472" t="n"/>
      <c r="P890" s="472" t="n"/>
      <c r="Q890" s="472" t="n"/>
      <c r="R890" s="472" t="n"/>
      <c r="S890" s="285" t="n"/>
      <c r="T890" s="284" t="n"/>
      <c r="U890" s="284" t="n"/>
      <c r="V890" s="285" t="n"/>
      <c r="W890" s="285" t="n"/>
      <c r="X890" s="285" t="n"/>
      <c r="Y890" s="285" t="n"/>
      <c r="Z890" s="285" t="n"/>
      <c r="AA890" s="285" t="n"/>
      <c r="AB890" s="285" t="n"/>
    </row>
    <row r="891" ht="15.75" customHeight="1" s="398">
      <c r="A891" s="284" t="n"/>
      <c r="B891" s="285" t="n"/>
      <c r="C891" s="368" t="n"/>
      <c r="D891" s="336" t="n"/>
      <c r="E891" s="284" t="n"/>
      <c r="F891" s="472" t="n"/>
      <c r="G891" s="472" t="n"/>
      <c r="H891" s="472" t="n"/>
      <c r="I891" s="472" t="n"/>
      <c r="J891" s="472" t="n"/>
      <c r="K891" s="472" t="n"/>
      <c r="L891" s="472" t="n"/>
      <c r="M891" s="472" t="n"/>
      <c r="N891" s="472" t="n"/>
      <c r="O891" s="472" t="n"/>
      <c r="P891" s="472" t="n"/>
      <c r="Q891" s="472" t="n"/>
      <c r="R891" s="472" t="n"/>
      <c r="S891" s="285" t="n"/>
      <c r="T891" s="284" t="n"/>
      <c r="U891" s="284" t="n"/>
      <c r="V891" s="285" t="n"/>
      <c r="W891" s="285" t="n"/>
      <c r="X891" s="285" t="n"/>
      <c r="Y891" s="285" t="n"/>
      <c r="Z891" s="285" t="n"/>
      <c r="AA891" s="285" t="n"/>
      <c r="AB891" s="285" t="n"/>
    </row>
    <row r="892" ht="15.75" customHeight="1" s="398">
      <c r="A892" s="284" t="n"/>
      <c r="B892" s="285" t="n"/>
      <c r="C892" s="368" t="n"/>
      <c r="D892" s="336" t="n"/>
      <c r="E892" s="284" t="n"/>
      <c r="F892" s="472" t="n"/>
      <c r="G892" s="472" t="n"/>
      <c r="H892" s="472" t="n"/>
      <c r="I892" s="472" t="n"/>
      <c r="J892" s="472" t="n"/>
      <c r="K892" s="472" t="n"/>
      <c r="L892" s="472" t="n"/>
      <c r="M892" s="472" t="n"/>
      <c r="N892" s="472" t="n"/>
      <c r="O892" s="472" t="n"/>
      <c r="P892" s="472" t="n"/>
      <c r="Q892" s="472" t="n"/>
      <c r="R892" s="472" t="n"/>
      <c r="S892" s="285" t="n"/>
      <c r="T892" s="284" t="n"/>
      <c r="U892" s="284" t="n"/>
      <c r="V892" s="285" t="n"/>
      <c r="W892" s="285" t="n"/>
      <c r="X892" s="285" t="n"/>
      <c r="Y892" s="285" t="n"/>
      <c r="Z892" s="285" t="n"/>
      <c r="AA892" s="285" t="n"/>
      <c r="AB892" s="285" t="n"/>
    </row>
    <row r="893" ht="15.75" customHeight="1" s="398">
      <c r="A893" s="284" t="n"/>
      <c r="B893" s="285" t="n"/>
      <c r="C893" s="368" t="n"/>
      <c r="D893" s="336" t="n"/>
      <c r="E893" s="284" t="n"/>
      <c r="F893" s="472" t="n"/>
      <c r="G893" s="472" t="n"/>
      <c r="H893" s="472" t="n"/>
      <c r="I893" s="472" t="n"/>
      <c r="J893" s="472" t="n"/>
      <c r="K893" s="472" t="n"/>
      <c r="L893" s="472" t="n"/>
      <c r="M893" s="472" t="n"/>
      <c r="N893" s="472" t="n"/>
      <c r="O893" s="472" t="n"/>
      <c r="P893" s="472" t="n"/>
      <c r="Q893" s="472" t="n"/>
      <c r="R893" s="472" t="n"/>
      <c r="S893" s="285" t="n"/>
      <c r="T893" s="284" t="n"/>
      <c r="U893" s="284" t="n"/>
      <c r="V893" s="285" t="n"/>
      <c r="W893" s="285" t="n"/>
      <c r="X893" s="285" t="n"/>
      <c r="Y893" s="285" t="n"/>
      <c r="Z893" s="285" t="n"/>
      <c r="AA893" s="285" t="n"/>
      <c r="AB893" s="285" t="n"/>
    </row>
    <row r="894" ht="15.75" customHeight="1" s="398">
      <c r="A894" s="284" t="n"/>
      <c r="B894" s="285" t="n"/>
      <c r="C894" s="368" t="n"/>
      <c r="D894" s="336" t="n"/>
      <c r="E894" s="284" t="n"/>
      <c r="F894" s="472" t="n"/>
      <c r="G894" s="472" t="n"/>
      <c r="H894" s="472" t="n"/>
      <c r="I894" s="472" t="n"/>
      <c r="J894" s="472" t="n"/>
      <c r="K894" s="472" t="n"/>
      <c r="L894" s="472" t="n"/>
      <c r="M894" s="472" t="n"/>
      <c r="N894" s="472" t="n"/>
      <c r="O894" s="472" t="n"/>
      <c r="P894" s="472" t="n"/>
      <c r="Q894" s="472" t="n"/>
      <c r="R894" s="472" t="n"/>
      <c r="S894" s="285" t="n"/>
      <c r="T894" s="284" t="n"/>
      <c r="U894" s="284" t="n"/>
      <c r="V894" s="285" t="n"/>
      <c r="W894" s="285" t="n"/>
      <c r="X894" s="285" t="n"/>
      <c r="Y894" s="285" t="n"/>
      <c r="Z894" s="285" t="n"/>
      <c r="AA894" s="285" t="n"/>
      <c r="AB894" s="285" t="n"/>
    </row>
    <row r="895" ht="15.75" customHeight="1" s="398">
      <c r="A895" s="284" t="n"/>
      <c r="B895" s="285" t="n"/>
      <c r="C895" s="368" t="n"/>
      <c r="D895" s="336" t="n"/>
      <c r="E895" s="284" t="n"/>
      <c r="F895" s="472" t="n"/>
      <c r="G895" s="472" t="n"/>
      <c r="H895" s="472" t="n"/>
      <c r="I895" s="472" t="n"/>
      <c r="J895" s="472" t="n"/>
      <c r="K895" s="472" t="n"/>
      <c r="L895" s="472" t="n"/>
      <c r="M895" s="472" t="n"/>
      <c r="N895" s="472" t="n"/>
      <c r="O895" s="472" t="n"/>
      <c r="P895" s="472" t="n"/>
      <c r="Q895" s="472" t="n"/>
      <c r="R895" s="472" t="n"/>
      <c r="S895" s="285" t="n"/>
      <c r="T895" s="284" t="n"/>
      <c r="U895" s="284" t="n"/>
      <c r="V895" s="285" t="n"/>
      <c r="W895" s="285" t="n"/>
      <c r="X895" s="285" t="n"/>
      <c r="Y895" s="285" t="n"/>
      <c r="Z895" s="285" t="n"/>
      <c r="AA895" s="285" t="n"/>
      <c r="AB895" s="285" t="n"/>
    </row>
    <row r="896" ht="15.75" customHeight="1" s="398">
      <c r="A896" s="284" t="n"/>
      <c r="B896" s="285" t="n"/>
      <c r="C896" s="368" t="n"/>
      <c r="D896" s="336" t="n"/>
      <c r="E896" s="284" t="n"/>
      <c r="F896" s="472" t="n"/>
      <c r="G896" s="472" t="n"/>
      <c r="H896" s="472" t="n"/>
      <c r="I896" s="472" t="n"/>
      <c r="J896" s="472" t="n"/>
      <c r="K896" s="472" t="n"/>
      <c r="L896" s="472" t="n"/>
      <c r="M896" s="472" t="n"/>
      <c r="N896" s="472" t="n"/>
      <c r="O896" s="472" t="n"/>
      <c r="P896" s="472" t="n"/>
      <c r="Q896" s="472" t="n"/>
      <c r="R896" s="472" t="n"/>
      <c r="S896" s="285" t="n"/>
      <c r="T896" s="284" t="n"/>
      <c r="U896" s="284" t="n"/>
      <c r="V896" s="285" t="n"/>
      <c r="W896" s="285" t="n"/>
      <c r="X896" s="285" t="n"/>
      <c r="Y896" s="285" t="n"/>
      <c r="Z896" s="285" t="n"/>
      <c r="AA896" s="285" t="n"/>
      <c r="AB896" s="285" t="n"/>
    </row>
    <row r="897" ht="15.75" customHeight="1" s="398">
      <c r="A897" s="284" t="n"/>
      <c r="B897" s="285" t="n"/>
      <c r="C897" s="368" t="n"/>
      <c r="D897" s="336" t="n"/>
      <c r="E897" s="284" t="n"/>
      <c r="F897" s="472" t="n"/>
      <c r="G897" s="472" t="n"/>
      <c r="H897" s="472" t="n"/>
      <c r="I897" s="472" t="n"/>
      <c r="J897" s="472" t="n"/>
      <c r="K897" s="472" t="n"/>
      <c r="L897" s="472" t="n"/>
      <c r="M897" s="472" t="n"/>
      <c r="N897" s="472" t="n"/>
      <c r="O897" s="472" t="n"/>
      <c r="P897" s="472" t="n"/>
      <c r="Q897" s="472" t="n"/>
      <c r="R897" s="472" t="n"/>
      <c r="S897" s="285" t="n"/>
      <c r="T897" s="284" t="n"/>
      <c r="U897" s="284" t="n"/>
      <c r="V897" s="285" t="n"/>
      <c r="W897" s="285" t="n"/>
      <c r="X897" s="285" t="n"/>
      <c r="Y897" s="285" t="n"/>
      <c r="Z897" s="285" t="n"/>
      <c r="AA897" s="285" t="n"/>
      <c r="AB897" s="285" t="n"/>
    </row>
    <row r="898" ht="15.75" customHeight="1" s="398">
      <c r="A898" s="284" t="n"/>
      <c r="B898" s="285" t="n"/>
      <c r="C898" s="368" t="n"/>
      <c r="D898" s="336" t="n"/>
      <c r="E898" s="284" t="n"/>
      <c r="F898" s="472" t="n"/>
      <c r="G898" s="472" t="n"/>
      <c r="H898" s="472" t="n"/>
      <c r="I898" s="472" t="n"/>
      <c r="J898" s="472" t="n"/>
      <c r="K898" s="472" t="n"/>
      <c r="L898" s="472" t="n"/>
      <c r="M898" s="472" t="n"/>
      <c r="N898" s="472" t="n"/>
      <c r="O898" s="472" t="n"/>
      <c r="P898" s="472" t="n"/>
      <c r="Q898" s="472" t="n"/>
      <c r="R898" s="472" t="n"/>
      <c r="S898" s="285" t="n"/>
      <c r="T898" s="284" t="n"/>
      <c r="U898" s="284" t="n"/>
      <c r="V898" s="285" t="n"/>
      <c r="W898" s="285" t="n"/>
      <c r="X898" s="285" t="n"/>
      <c r="Y898" s="285" t="n"/>
      <c r="Z898" s="285" t="n"/>
      <c r="AA898" s="285" t="n"/>
      <c r="AB898" s="285" t="n"/>
    </row>
    <row r="899" ht="15.75" customHeight="1" s="398">
      <c r="A899" s="284" t="n"/>
      <c r="B899" s="285" t="n"/>
      <c r="C899" s="368" t="n"/>
      <c r="D899" s="336" t="n"/>
      <c r="E899" s="284" t="n"/>
      <c r="F899" s="472" t="n"/>
      <c r="G899" s="472" t="n"/>
      <c r="H899" s="472" t="n"/>
      <c r="I899" s="472" t="n"/>
      <c r="J899" s="472" t="n"/>
      <c r="K899" s="472" t="n"/>
      <c r="L899" s="472" t="n"/>
      <c r="M899" s="472" t="n"/>
      <c r="N899" s="472" t="n"/>
      <c r="O899" s="472" t="n"/>
      <c r="P899" s="472" t="n"/>
      <c r="Q899" s="472" t="n"/>
      <c r="R899" s="472" t="n"/>
      <c r="S899" s="285" t="n"/>
      <c r="T899" s="284" t="n"/>
      <c r="U899" s="284" t="n"/>
      <c r="V899" s="285" t="n"/>
      <c r="W899" s="285" t="n"/>
      <c r="X899" s="285" t="n"/>
      <c r="Y899" s="285" t="n"/>
      <c r="Z899" s="285" t="n"/>
      <c r="AA899" s="285" t="n"/>
      <c r="AB899" s="285" t="n"/>
    </row>
    <row r="900" ht="15.75" customHeight="1" s="398">
      <c r="A900" s="284" t="n"/>
      <c r="B900" s="285" t="n"/>
      <c r="C900" s="368" t="n"/>
      <c r="D900" s="336" t="n"/>
      <c r="E900" s="284" t="n"/>
      <c r="F900" s="472" t="n"/>
      <c r="G900" s="472" t="n"/>
      <c r="H900" s="472" t="n"/>
      <c r="I900" s="472" t="n"/>
      <c r="J900" s="472" t="n"/>
      <c r="K900" s="472" t="n"/>
      <c r="L900" s="472" t="n"/>
      <c r="M900" s="472" t="n"/>
      <c r="N900" s="472" t="n"/>
      <c r="O900" s="472" t="n"/>
      <c r="P900" s="472" t="n"/>
      <c r="Q900" s="472" t="n"/>
      <c r="R900" s="472" t="n"/>
      <c r="S900" s="285" t="n"/>
      <c r="T900" s="284" t="n"/>
      <c r="U900" s="284" t="n"/>
      <c r="V900" s="285" t="n"/>
      <c r="W900" s="285" t="n"/>
      <c r="X900" s="285" t="n"/>
      <c r="Y900" s="285" t="n"/>
      <c r="Z900" s="285" t="n"/>
      <c r="AA900" s="285" t="n"/>
      <c r="AB900" s="285" t="n"/>
    </row>
    <row r="901" ht="15.75" customHeight="1" s="398">
      <c r="A901" s="284" t="n"/>
      <c r="B901" s="285" t="n"/>
      <c r="C901" s="368" t="n"/>
      <c r="D901" s="336" t="n"/>
      <c r="E901" s="284" t="n"/>
      <c r="F901" s="472" t="n"/>
      <c r="G901" s="472" t="n"/>
      <c r="H901" s="472" t="n"/>
      <c r="I901" s="472" t="n"/>
      <c r="J901" s="472" t="n"/>
      <c r="K901" s="472" t="n"/>
      <c r="L901" s="472" t="n"/>
      <c r="M901" s="472" t="n"/>
      <c r="N901" s="472" t="n"/>
      <c r="O901" s="472" t="n"/>
      <c r="P901" s="472" t="n"/>
      <c r="Q901" s="472" t="n"/>
      <c r="R901" s="472" t="n"/>
      <c r="S901" s="285" t="n"/>
      <c r="T901" s="284" t="n"/>
      <c r="U901" s="284" t="n"/>
      <c r="V901" s="285" t="n"/>
      <c r="W901" s="285" t="n"/>
      <c r="X901" s="285" t="n"/>
      <c r="Y901" s="285" t="n"/>
      <c r="Z901" s="285" t="n"/>
      <c r="AA901" s="285" t="n"/>
      <c r="AB901" s="285" t="n"/>
    </row>
    <row r="902" ht="15.75" customHeight="1" s="398">
      <c r="A902" s="284" t="n"/>
      <c r="B902" s="285" t="n"/>
      <c r="C902" s="368" t="n"/>
      <c r="D902" s="336" t="n"/>
      <c r="E902" s="284" t="n"/>
      <c r="F902" s="472" t="n"/>
      <c r="G902" s="472" t="n"/>
      <c r="H902" s="472" t="n"/>
      <c r="I902" s="472" t="n"/>
      <c r="J902" s="472" t="n"/>
      <c r="K902" s="472" t="n"/>
      <c r="L902" s="472" t="n"/>
      <c r="M902" s="472" t="n"/>
      <c r="N902" s="472" t="n"/>
      <c r="O902" s="472" t="n"/>
      <c r="P902" s="472" t="n"/>
      <c r="Q902" s="472" t="n"/>
      <c r="R902" s="472" t="n"/>
      <c r="S902" s="285" t="n"/>
      <c r="T902" s="284" t="n"/>
      <c r="U902" s="284" t="n"/>
      <c r="V902" s="285" t="n"/>
      <c r="W902" s="285" t="n"/>
      <c r="X902" s="285" t="n"/>
      <c r="Y902" s="285" t="n"/>
      <c r="Z902" s="285" t="n"/>
      <c r="AA902" s="285" t="n"/>
      <c r="AB902" s="285" t="n"/>
    </row>
    <row r="903" ht="15.75" customHeight="1" s="398">
      <c r="A903" s="284" t="n"/>
      <c r="B903" s="285" t="n"/>
      <c r="C903" s="368" t="n"/>
      <c r="D903" s="336" t="n"/>
      <c r="E903" s="284" t="n"/>
      <c r="F903" s="472" t="n"/>
      <c r="G903" s="472" t="n"/>
      <c r="H903" s="472" t="n"/>
      <c r="I903" s="472" t="n"/>
      <c r="J903" s="472" t="n"/>
      <c r="K903" s="472" t="n"/>
      <c r="L903" s="472" t="n"/>
      <c r="M903" s="472" t="n"/>
      <c r="N903" s="472" t="n"/>
      <c r="O903" s="472" t="n"/>
      <c r="P903" s="472" t="n"/>
      <c r="Q903" s="472" t="n"/>
      <c r="R903" s="472" t="n"/>
      <c r="S903" s="285" t="n"/>
      <c r="T903" s="284" t="n"/>
      <c r="U903" s="284" t="n"/>
      <c r="V903" s="285" t="n"/>
      <c r="W903" s="285" t="n"/>
      <c r="X903" s="285" t="n"/>
      <c r="Y903" s="285" t="n"/>
      <c r="Z903" s="285" t="n"/>
      <c r="AA903" s="285" t="n"/>
      <c r="AB903" s="285" t="n"/>
    </row>
    <row r="904" ht="15.75" customHeight="1" s="398">
      <c r="A904" s="284" t="n"/>
      <c r="B904" s="285" t="n"/>
      <c r="C904" s="368" t="n"/>
      <c r="D904" s="336" t="n"/>
      <c r="E904" s="284" t="n"/>
      <c r="F904" s="472" t="n"/>
      <c r="G904" s="472" t="n"/>
      <c r="H904" s="472" t="n"/>
      <c r="I904" s="472" t="n"/>
      <c r="J904" s="472" t="n"/>
      <c r="K904" s="472" t="n"/>
      <c r="L904" s="472" t="n"/>
      <c r="M904" s="472" t="n"/>
      <c r="N904" s="472" t="n"/>
      <c r="O904" s="472" t="n"/>
      <c r="P904" s="472" t="n"/>
      <c r="Q904" s="472" t="n"/>
      <c r="R904" s="472" t="n"/>
      <c r="S904" s="285" t="n"/>
      <c r="T904" s="284" t="n"/>
      <c r="U904" s="284" t="n"/>
      <c r="V904" s="285" t="n"/>
      <c r="W904" s="285" t="n"/>
      <c r="X904" s="285" t="n"/>
      <c r="Y904" s="285" t="n"/>
      <c r="Z904" s="285" t="n"/>
      <c r="AA904" s="285" t="n"/>
      <c r="AB904" s="285" t="n"/>
    </row>
    <row r="905" ht="15.75" customHeight="1" s="398">
      <c r="A905" s="284" t="n"/>
      <c r="B905" s="285" t="n"/>
      <c r="C905" s="368" t="n"/>
      <c r="D905" s="336" t="n"/>
      <c r="E905" s="284" t="n"/>
      <c r="F905" s="472" t="n"/>
      <c r="G905" s="472" t="n"/>
      <c r="H905" s="472" t="n"/>
      <c r="I905" s="472" t="n"/>
      <c r="J905" s="472" t="n"/>
      <c r="K905" s="472" t="n"/>
      <c r="L905" s="472" t="n"/>
      <c r="M905" s="472" t="n"/>
      <c r="N905" s="472" t="n"/>
      <c r="O905" s="472" t="n"/>
      <c r="P905" s="472" t="n"/>
      <c r="Q905" s="472" t="n"/>
      <c r="R905" s="472" t="n"/>
      <c r="S905" s="285" t="n"/>
      <c r="T905" s="284" t="n"/>
      <c r="U905" s="284" t="n"/>
      <c r="V905" s="285" t="n"/>
      <c r="W905" s="285" t="n"/>
      <c r="X905" s="285" t="n"/>
      <c r="Y905" s="285" t="n"/>
      <c r="Z905" s="285" t="n"/>
      <c r="AA905" s="285" t="n"/>
      <c r="AB905" s="285" t="n"/>
    </row>
    <row r="906" ht="15.75" customHeight="1" s="398">
      <c r="A906" s="284" t="n"/>
      <c r="B906" s="285" t="n"/>
      <c r="C906" s="368" t="n"/>
      <c r="D906" s="336" t="n"/>
      <c r="E906" s="284" t="n"/>
      <c r="F906" s="472" t="n"/>
      <c r="G906" s="472" t="n"/>
      <c r="H906" s="472" t="n"/>
      <c r="I906" s="472" t="n"/>
      <c r="J906" s="472" t="n"/>
      <c r="K906" s="472" t="n"/>
      <c r="L906" s="472" t="n"/>
      <c r="M906" s="472" t="n"/>
      <c r="N906" s="472" t="n"/>
      <c r="O906" s="472" t="n"/>
      <c r="P906" s="472" t="n"/>
      <c r="Q906" s="472" t="n"/>
      <c r="R906" s="472" t="n"/>
      <c r="S906" s="285" t="n"/>
      <c r="T906" s="284" t="n"/>
      <c r="U906" s="284" t="n"/>
      <c r="V906" s="285" t="n"/>
      <c r="W906" s="285" t="n"/>
      <c r="X906" s="285" t="n"/>
      <c r="Y906" s="285" t="n"/>
      <c r="Z906" s="285" t="n"/>
      <c r="AA906" s="285" t="n"/>
      <c r="AB906" s="285" t="n"/>
    </row>
    <row r="907" ht="15.75" customHeight="1" s="398">
      <c r="A907" s="284" t="n"/>
      <c r="B907" s="285" t="n"/>
      <c r="C907" s="368" t="n"/>
      <c r="D907" s="336" t="n"/>
      <c r="E907" s="284" t="n"/>
      <c r="F907" s="472" t="n"/>
      <c r="G907" s="472" t="n"/>
      <c r="H907" s="472" t="n"/>
      <c r="I907" s="472" t="n"/>
      <c r="J907" s="472" t="n"/>
      <c r="K907" s="472" t="n"/>
      <c r="L907" s="472" t="n"/>
      <c r="M907" s="472" t="n"/>
      <c r="N907" s="472" t="n"/>
      <c r="O907" s="472" t="n"/>
      <c r="P907" s="472" t="n"/>
      <c r="Q907" s="472" t="n"/>
      <c r="R907" s="472" t="n"/>
      <c r="S907" s="285" t="n"/>
      <c r="T907" s="284" t="n"/>
      <c r="U907" s="284" t="n"/>
      <c r="V907" s="285" t="n"/>
      <c r="W907" s="285" t="n"/>
      <c r="X907" s="285" t="n"/>
      <c r="Y907" s="285" t="n"/>
      <c r="Z907" s="285" t="n"/>
      <c r="AA907" s="285" t="n"/>
      <c r="AB907" s="285" t="n"/>
    </row>
    <row r="908" ht="15.75" customHeight="1" s="398">
      <c r="A908" s="284" t="n"/>
      <c r="B908" s="285" t="n"/>
      <c r="C908" s="368" t="n"/>
      <c r="D908" s="336" t="n"/>
      <c r="E908" s="284" t="n"/>
      <c r="F908" s="472" t="n"/>
      <c r="G908" s="472" t="n"/>
      <c r="H908" s="472" t="n"/>
      <c r="I908" s="472" t="n"/>
      <c r="J908" s="472" t="n"/>
      <c r="K908" s="472" t="n"/>
      <c r="L908" s="472" t="n"/>
      <c r="M908" s="472" t="n"/>
      <c r="N908" s="472" t="n"/>
      <c r="O908" s="472" t="n"/>
      <c r="P908" s="472" t="n"/>
      <c r="Q908" s="472" t="n"/>
      <c r="R908" s="472" t="n"/>
      <c r="S908" s="285" t="n"/>
      <c r="T908" s="284" t="n"/>
      <c r="U908" s="284" t="n"/>
      <c r="V908" s="285" t="n"/>
      <c r="W908" s="285" t="n"/>
      <c r="X908" s="285" t="n"/>
      <c r="Y908" s="285" t="n"/>
      <c r="Z908" s="285" t="n"/>
      <c r="AA908" s="285" t="n"/>
      <c r="AB908" s="285" t="n"/>
    </row>
    <row r="909" ht="15.75" customHeight="1" s="398">
      <c r="A909" s="284" t="n"/>
      <c r="B909" s="285" t="n"/>
      <c r="C909" s="368" t="n"/>
      <c r="D909" s="336" t="n"/>
      <c r="E909" s="284" t="n"/>
      <c r="F909" s="472" t="n"/>
      <c r="G909" s="472" t="n"/>
      <c r="H909" s="472" t="n"/>
      <c r="I909" s="472" t="n"/>
      <c r="J909" s="472" t="n"/>
      <c r="K909" s="472" t="n"/>
      <c r="L909" s="472" t="n"/>
      <c r="M909" s="472" t="n"/>
      <c r="N909" s="472" t="n"/>
      <c r="O909" s="472" t="n"/>
      <c r="P909" s="472" t="n"/>
      <c r="Q909" s="472" t="n"/>
      <c r="R909" s="472" t="n"/>
      <c r="S909" s="285" t="n"/>
      <c r="T909" s="284" t="n"/>
      <c r="U909" s="284" t="n"/>
      <c r="V909" s="285" t="n"/>
      <c r="W909" s="285" t="n"/>
      <c r="X909" s="285" t="n"/>
      <c r="Y909" s="285" t="n"/>
      <c r="Z909" s="285" t="n"/>
      <c r="AA909" s="285" t="n"/>
      <c r="AB909" s="285" t="n"/>
    </row>
    <row r="910" ht="15.75" customHeight="1" s="398">
      <c r="A910" s="284" t="n"/>
      <c r="B910" s="285" t="n"/>
      <c r="C910" s="368" t="n"/>
      <c r="D910" s="336" t="n"/>
      <c r="E910" s="284" t="n"/>
      <c r="F910" s="472" t="n"/>
      <c r="G910" s="472" t="n"/>
      <c r="H910" s="472" t="n"/>
      <c r="I910" s="472" t="n"/>
      <c r="J910" s="472" t="n"/>
      <c r="K910" s="472" t="n"/>
      <c r="L910" s="472" t="n"/>
      <c r="M910" s="472" t="n"/>
      <c r="N910" s="472" t="n"/>
      <c r="O910" s="472" t="n"/>
      <c r="P910" s="472" t="n"/>
      <c r="Q910" s="472" t="n"/>
      <c r="R910" s="472" t="n"/>
      <c r="S910" s="285" t="n"/>
      <c r="T910" s="284" t="n"/>
      <c r="U910" s="284" t="n"/>
      <c r="V910" s="285" t="n"/>
      <c r="W910" s="285" t="n"/>
      <c r="X910" s="285" t="n"/>
      <c r="Y910" s="285" t="n"/>
      <c r="Z910" s="285" t="n"/>
      <c r="AA910" s="285" t="n"/>
      <c r="AB910" s="285" t="n"/>
    </row>
    <row r="911" ht="15.75" customHeight="1" s="398">
      <c r="A911" s="284" t="n"/>
      <c r="B911" s="285" t="n"/>
      <c r="C911" s="368" t="n"/>
      <c r="D911" s="336" t="n"/>
      <c r="E911" s="284" t="n"/>
      <c r="F911" s="472" t="n"/>
      <c r="G911" s="472" t="n"/>
      <c r="H911" s="472" t="n"/>
      <c r="I911" s="472" t="n"/>
      <c r="J911" s="472" t="n"/>
      <c r="K911" s="472" t="n"/>
      <c r="L911" s="472" t="n"/>
      <c r="M911" s="472" t="n"/>
      <c r="N911" s="472" t="n"/>
      <c r="O911" s="472" t="n"/>
      <c r="P911" s="472" t="n"/>
      <c r="Q911" s="472" t="n"/>
      <c r="R911" s="472" t="n"/>
      <c r="S911" s="285" t="n"/>
      <c r="T911" s="284" t="n"/>
      <c r="U911" s="284" t="n"/>
      <c r="V911" s="285" t="n"/>
      <c r="W911" s="285" t="n"/>
      <c r="X911" s="285" t="n"/>
      <c r="Y911" s="285" t="n"/>
      <c r="Z911" s="285" t="n"/>
      <c r="AA911" s="285" t="n"/>
      <c r="AB911" s="285" t="n"/>
    </row>
    <row r="912" ht="15.75" customHeight="1" s="398">
      <c r="A912" s="284" t="n"/>
      <c r="B912" s="285" t="n"/>
      <c r="C912" s="368" t="n"/>
      <c r="D912" s="336" t="n"/>
      <c r="E912" s="284" t="n"/>
      <c r="F912" s="472" t="n"/>
      <c r="G912" s="472" t="n"/>
      <c r="H912" s="472" t="n"/>
      <c r="I912" s="472" t="n"/>
      <c r="J912" s="472" t="n"/>
      <c r="K912" s="472" t="n"/>
      <c r="L912" s="472" t="n"/>
      <c r="M912" s="472" t="n"/>
      <c r="N912" s="472" t="n"/>
      <c r="O912" s="472" t="n"/>
      <c r="P912" s="472" t="n"/>
      <c r="Q912" s="472" t="n"/>
      <c r="R912" s="472" t="n"/>
      <c r="S912" s="285" t="n"/>
      <c r="T912" s="284" t="n"/>
      <c r="U912" s="284" t="n"/>
      <c r="V912" s="285" t="n"/>
      <c r="W912" s="285" t="n"/>
      <c r="X912" s="285" t="n"/>
      <c r="Y912" s="285" t="n"/>
      <c r="Z912" s="285" t="n"/>
      <c r="AA912" s="285" t="n"/>
      <c r="AB912" s="285" t="n"/>
    </row>
    <row r="913" ht="15.75" customHeight="1" s="398">
      <c r="A913" s="284" t="n"/>
      <c r="B913" s="285" t="n"/>
      <c r="C913" s="368" t="n"/>
      <c r="D913" s="336" t="n"/>
      <c r="E913" s="284" t="n"/>
      <c r="F913" s="472" t="n"/>
      <c r="G913" s="472" t="n"/>
      <c r="H913" s="472" t="n"/>
      <c r="I913" s="472" t="n"/>
      <c r="J913" s="472" t="n"/>
      <c r="K913" s="472" t="n"/>
      <c r="L913" s="472" t="n"/>
      <c r="M913" s="472" t="n"/>
      <c r="N913" s="472" t="n"/>
      <c r="O913" s="472" t="n"/>
      <c r="P913" s="472" t="n"/>
      <c r="Q913" s="472" t="n"/>
      <c r="R913" s="472" t="n"/>
      <c r="S913" s="285" t="n"/>
      <c r="T913" s="284" t="n"/>
      <c r="U913" s="284" t="n"/>
      <c r="V913" s="285" t="n"/>
      <c r="W913" s="285" t="n"/>
      <c r="X913" s="285" t="n"/>
      <c r="Y913" s="285" t="n"/>
      <c r="Z913" s="285" t="n"/>
      <c r="AA913" s="285" t="n"/>
      <c r="AB913" s="285" t="n"/>
    </row>
    <row r="914" ht="15.75" customHeight="1" s="398">
      <c r="A914" s="284" t="n"/>
      <c r="B914" s="285" t="n"/>
      <c r="C914" s="368" t="n"/>
      <c r="D914" s="336" t="n"/>
      <c r="E914" s="284" t="n"/>
      <c r="F914" s="472" t="n"/>
      <c r="G914" s="472" t="n"/>
      <c r="H914" s="472" t="n"/>
      <c r="I914" s="472" t="n"/>
      <c r="J914" s="472" t="n"/>
      <c r="K914" s="472" t="n"/>
      <c r="L914" s="472" t="n"/>
      <c r="M914" s="472" t="n"/>
      <c r="N914" s="472" t="n"/>
      <c r="O914" s="472" t="n"/>
      <c r="P914" s="472" t="n"/>
      <c r="Q914" s="472" t="n"/>
      <c r="R914" s="472" t="n"/>
      <c r="S914" s="285" t="n"/>
      <c r="T914" s="284" t="n"/>
      <c r="U914" s="284" t="n"/>
      <c r="V914" s="285" t="n"/>
      <c r="W914" s="285" t="n"/>
      <c r="X914" s="285" t="n"/>
      <c r="Y914" s="285" t="n"/>
      <c r="Z914" s="285" t="n"/>
      <c r="AA914" s="285" t="n"/>
      <c r="AB914" s="285" t="n"/>
    </row>
    <row r="915" ht="15.75" customHeight="1" s="398">
      <c r="A915" s="284" t="n"/>
      <c r="B915" s="285" t="n"/>
      <c r="C915" s="368" t="n"/>
      <c r="D915" s="336" t="n"/>
      <c r="E915" s="284" t="n"/>
      <c r="F915" s="472" t="n"/>
      <c r="G915" s="472" t="n"/>
      <c r="H915" s="472" t="n"/>
      <c r="I915" s="472" t="n"/>
      <c r="J915" s="472" t="n"/>
      <c r="K915" s="472" t="n"/>
      <c r="L915" s="472" t="n"/>
      <c r="M915" s="472" t="n"/>
      <c r="N915" s="472" t="n"/>
      <c r="O915" s="472" t="n"/>
      <c r="P915" s="472" t="n"/>
      <c r="Q915" s="472" t="n"/>
      <c r="R915" s="472" t="n"/>
      <c r="S915" s="285" t="n"/>
      <c r="T915" s="284" t="n"/>
      <c r="U915" s="284" t="n"/>
      <c r="V915" s="285" t="n"/>
      <c r="W915" s="285" t="n"/>
      <c r="X915" s="285" t="n"/>
      <c r="Y915" s="285" t="n"/>
      <c r="Z915" s="285" t="n"/>
      <c r="AA915" s="285" t="n"/>
      <c r="AB915" s="285" t="n"/>
    </row>
    <row r="916" ht="15.75" customHeight="1" s="398">
      <c r="A916" s="284" t="n"/>
      <c r="B916" s="285" t="n"/>
      <c r="C916" s="368" t="n"/>
      <c r="D916" s="336" t="n"/>
      <c r="E916" s="284" t="n"/>
      <c r="F916" s="472" t="n"/>
      <c r="G916" s="472" t="n"/>
      <c r="H916" s="472" t="n"/>
      <c r="I916" s="472" t="n"/>
      <c r="J916" s="472" t="n"/>
      <c r="K916" s="472" t="n"/>
      <c r="L916" s="472" t="n"/>
      <c r="M916" s="472" t="n"/>
      <c r="N916" s="472" t="n"/>
      <c r="O916" s="472" t="n"/>
      <c r="P916" s="472" t="n"/>
      <c r="Q916" s="472" t="n"/>
      <c r="R916" s="472" t="n"/>
      <c r="S916" s="285" t="n"/>
      <c r="T916" s="284" t="n"/>
      <c r="U916" s="284" t="n"/>
      <c r="V916" s="285" t="n"/>
      <c r="W916" s="285" t="n"/>
      <c r="X916" s="285" t="n"/>
      <c r="Y916" s="285" t="n"/>
      <c r="Z916" s="285" t="n"/>
      <c r="AA916" s="285" t="n"/>
      <c r="AB916" s="285" t="n"/>
    </row>
    <row r="917" ht="15.75" customHeight="1" s="398">
      <c r="A917" s="284" t="n"/>
      <c r="B917" s="285" t="n"/>
      <c r="C917" s="368" t="n"/>
      <c r="D917" s="336" t="n"/>
      <c r="E917" s="284" t="n"/>
      <c r="F917" s="472" t="n"/>
      <c r="G917" s="472" t="n"/>
      <c r="H917" s="472" t="n"/>
      <c r="I917" s="472" t="n"/>
      <c r="J917" s="472" t="n"/>
      <c r="K917" s="472" t="n"/>
      <c r="L917" s="472" t="n"/>
      <c r="M917" s="472" t="n"/>
      <c r="N917" s="472" t="n"/>
      <c r="O917" s="472" t="n"/>
      <c r="P917" s="472" t="n"/>
      <c r="Q917" s="472" t="n"/>
      <c r="R917" s="472" t="n"/>
      <c r="S917" s="285" t="n"/>
      <c r="T917" s="284" t="n"/>
      <c r="U917" s="284" t="n"/>
      <c r="V917" s="285" t="n"/>
      <c r="W917" s="285" t="n"/>
      <c r="X917" s="285" t="n"/>
      <c r="Y917" s="285" t="n"/>
      <c r="Z917" s="285" t="n"/>
      <c r="AA917" s="285" t="n"/>
      <c r="AB917" s="285" t="n"/>
    </row>
    <row r="918" ht="15.75" customHeight="1" s="398">
      <c r="A918" s="284" t="n"/>
      <c r="B918" s="285" t="n"/>
      <c r="C918" s="368" t="n"/>
      <c r="D918" s="336" t="n"/>
      <c r="E918" s="284" t="n"/>
      <c r="F918" s="472" t="n"/>
      <c r="G918" s="472" t="n"/>
      <c r="H918" s="472" t="n"/>
      <c r="I918" s="472" t="n"/>
      <c r="J918" s="472" t="n"/>
      <c r="K918" s="472" t="n"/>
      <c r="L918" s="472" t="n"/>
      <c r="M918" s="472" t="n"/>
      <c r="N918" s="472" t="n"/>
      <c r="O918" s="472" t="n"/>
      <c r="P918" s="472" t="n"/>
      <c r="Q918" s="472" t="n"/>
      <c r="R918" s="472" t="n"/>
      <c r="S918" s="285" t="n"/>
      <c r="T918" s="284" t="n"/>
      <c r="U918" s="284" t="n"/>
      <c r="V918" s="285" t="n"/>
      <c r="W918" s="285" t="n"/>
      <c r="X918" s="285" t="n"/>
      <c r="Y918" s="285" t="n"/>
      <c r="Z918" s="285" t="n"/>
      <c r="AA918" s="285" t="n"/>
      <c r="AB918" s="285" t="n"/>
    </row>
    <row r="919" ht="15.75" customHeight="1" s="398">
      <c r="A919" s="284" t="n"/>
      <c r="B919" s="285" t="n"/>
      <c r="C919" s="368" t="n"/>
      <c r="D919" s="336" t="n"/>
      <c r="E919" s="284" t="n"/>
      <c r="F919" s="472" t="n"/>
      <c r="G919" s="472" t="n"/>
      <c r="H919" s="472" t="n"/>
      <c r="I919" s="472" t="n"/>
      <c r="J919" s="472" t="n"/>
      <c r="K919" s="472" t="n"/>
      <c r="L919" s="472" t="n"/>
      <c r="M919" s="472" t="n"/>
      <c r="N919" s="472" t="n"/>
      <c r="O919" s="472" t="n"/>
      <c r="P919" s="472" t="n"/>
      <c r="Q919" s="472" t="n"/>
      <c r="R919" s="472" t="n"/>
      <c r="S919" s="285" t="n"/>
      <c r="T919" s="284" t="n"/>
      <c r="U919" s="284" t="n"/>
      <c r="V919" s="285" t="n"/>
      <c r="W919" s="285" t="n"/>
      <c r="X919" s="285" t="n"/>
      <c r="Y919" s="285" t="n"/>
      <c r="Z919" s="285" t="n"/>
      <c r="AA919" s="285" t="n"/>
      <c r="AB919" s="285" t="n"/>
    </row>
    <row r="920" ht="15.75" customHeight="1" s="398">
      <c r="A920" s="284" t="n"/>
      <c r="B920" s="285" t="n"/>
      <c r="C920" s="368" t="n"/>
      <c r="D920" s="336" t="n"/>
      <c r="E920" s="284" t="n"/>
      <c r="F920" s="472" t="n"/>
      <c r="G920" s="472" t="n"/>
      <c r="H920" s="472" t="n"/>
      <c r="I920" s="472" t="n"/>
      <c r="J920" s="472" t="n"/>
      <c r="K920" s="472" t="n"/>
      <c r="L920" s="472" t="n"/>
      <c r="M920" s="472" t="n"/>
      <c r="N920" s="472" t="n"/>
      <c r="O920" s="472" t="n"/>
      <c r="P920" s="472" t="n"/>
      <c r="Q920" s="472" t="n"/>
      <c r="R920" s="472" t="n"/>
      <c r="S920" s="285" t="n"/>
      <c r="T920" s="284" t="n"/>
      <c r="U920" s="284" t="n"/>
      <c r="V920" s="285" t="n"/>
      <c r="W920" s="285" t="n"/>
      <c r="X920" s="285" t="n"/>
      <c r="Y920" s="285" t="n"/>
      <c r="Z920" s="285" t="n"/>
      <c r="AA920" s="285" t="n"/>
      <c r="AB920" s="285" t="n"/>
    </row>
    <row r="921" ht="15.75" customHeight="1" s="398">
      <c r="A921" s="284" t="n"/>
      <c r="B921" s="285" t="n"/>
      <c r="C921" s="368" t="n"/>
      <c r="D921" s="336" t="n"/>
      <c r="E921" s="284" t="n"/>
      <c r="F921" s="472" t="n"/>
      <c r="G921" s="472" t="n"/>
      <c r="H921" s="472" t="n"/>
      <c r="I921" s="472" t="n"/>
      <c r="J921" s="472" t="n"/>
      <c r="K921" s="472" t="n"/>
      <c r="L921" s="472" t="n"/>
      <c r="M921" s="472" t="n"/>
      <c r="N921" s="472" t="n"/>
      <c r="O921" s="472" t="n"/>
      <c r="P921" s="472" t="n"/>
      <c r="Q921" s="472" t="n"/>
      <c r="R921" s="472" t="n"/>
      <c r="S921" s="285" t="n"/>
      <c r="T921" s="284" t="n"/>
      <c r="U921" s="284" t="n"/>
      <c r="V921" s="285" t="n"/>
      <c r="W921" s="285" t="n"/>
      <c r="X921" s="285" t="n"/>
      <c r="Y921" s="285" t="n"/>
      <c r="Z921" s="285" t="n"/>
      <c r="AA921" s="285" t="n"/>
      <c r="AB921" s="285" t="n"/>
    </row>
    <row r="922" ht="15.75" customHeight="1" s="398">
      <c r="A922" s="284" t="n"/>
      <c r="B922" s="285" t="n"/>
      <c r="C922" s="368" t="n"/>
      <c r="D922" s="336" t="n"/>
      <c r="E922" s="284" t="n"/>
      <c r="F922" s="472" t="n"/>
      <c r="G922" s="472" t="n"/>
      <c r="H922" s="472" t="n"/>
      <c r="I922" s="472" t="n"/>
      <c r="J922" s="472" t="n"/>
      <c r="K922" s="472" t="n"/>
      <c r="L922" s="472" t="n"/>
      <c r="M922" s="472" t="n"/>
      <c r="N922" s="472" t="n"/>
      <c r="O922" s="472" t="n"/>
      <c r="P922" s="472" t="n"/>
      <c r="Q922" s="472" t="n"/>
      <c r="R922" s="472" t="n"/>
      <c r="S922" s="285" t="n"/>
      <c r="T922" s="284" t="n"/>
      <c r="U922" s="284" t="n"/>
      <c r="V922" s="285" t="n"/>
      <c r="W922" s="285" t="n"/>
      <c r="X922" s="285" t="n"/>
      <c r="Y922" s="285" t="n"/>
      <c r="Z922" s="285" t="n"/>
      <c r="AA922" s="285" t="n"/>
      <c r="AB922" s="285" t="n"/>
    </row>
    <row r="923" ht="15.75" customHeight="1" s="398">
      <c r="A923" s="284" t="n"/>
      <c r="B923" s="285" t="n"/>
      <c r="C923" s="368" t="n"/>
      <c r="D923" s="336" t="n"/>
      <c r="E923" s="284" t="n"/>
      <c r="F923" s="472" t="n"/>
      <c r="G923" s="472" t="n"/>
      <c r="H923" s="472" t="n"/>
      <c r="I923" s="472" t="n"/>
      <c r="J923" s="472" t="n"/>
      <c r="K923" s="472" t="n"/>
      <c r="L923" s="472" t="n"/>
      <c r="M923" s="472" t="n"/>
      <c r="N923" s="472" t="n"/>
      <c r="O923" s="472" t="n"/>
      <c r="P923" s="472" t="n"/>
      <c r="Q923" s="472" t="n"/>
      <c r="R923" s="472" t="n"/>
      <c r="S923" s="285" t="n"/>
      <c r="T923" s="284" t="n"/>
      <c r="U923" s="284" t="n"/>
      <c r="V923" s="285" t="n"/>
      <c r="W923" s="285" t="n"/>
      <c r="X923" s="285" t="n"/>
      <c r="Y923" s="285" t="n"/>
      <c r="Z923" s="285" t="n"/>
      <c r="AA923" s="285" t="n"/>
      <c r="AB923" s="285" t="n"/>
    </row>
    <row r="924" ht="15.75" customHeight="1" s="398">
      <c r="A924" s="284" t="n"/>
      <c r="B924" s="285" t="n"/>
      <c r="C924" s="368" t="n"/>
      <c r="D924" s="336" t="n"/>
      <c r="E924" s="284" t="n"/>
      <c r="F924" s="472" t="n"/>
      <c r="G924" s="472" t="n"/>
      <c r="H924" s="472" t="n"/>
      <c r="I924" s="472" t="n"/>
      <c r="J924" s="472" t="n"/>
      <c r="K924" s="472" t="n"/>
      <c r="L924" s="472" t="n"/>
      <c r="M924" s="472" t="n"/>
      <c r="N924" s="472" t="n"/>
      <c r="O924" s="472" t="n"/>
      <c r="P924" s="472" t="n"/>
      <c r="Q924" s="472" t="n"/>
      <c r="R924" s="472" t="n"/>
      <c r="S924" s="285" t="n"/>
      <c r="T924" s="284" t="n"/>
      <c r="U924" s="284" t="n"/>
      <c r="V924" s="285" t="n"/>
      <c r="W924" s="285" t="n"/>
      <c r="X924" s="285" t="n"/>
      <c r="Y924" s="285" t="n"/>
      <c r="Z924" s="285" t="n"/>
      <c r="AA924" s="285" t="n"/>
      <c r="AB924" s="285" t="n"/>
    </row>
    <row r="925" ht="15.75" customHeight="1" s="398">
      <c r="A925" s="284" t="n"/>
      <c r="B925" s="285" t="n"/>
      <c r="C925" s="368" t="n"/>
      <c r="D925" s="336" t="n"/>
      <c r="E925" s="284" t="n"/>
      <c r="F925" s="472" t="n"/>
      <c r="G925" s="472" t="n"/>
      <c r="H925" s="472" t="n"/>
      <c r="I925" s="472" t="n"/>
      <c r="J925" s="472" t="n"/>
      <c r="K925" s="472" t="n"/>
      <c r="L925" s="472" t="n"/>
      <c r="M925" s="472" t="n"/>
      <c r="N925" s="472" t="n"/>
      <c r="O925" s="472" t="n"/>
      <c r="P925" s="472" t="n"/>
      <c r="Q925" s="472" t="n"/>
      <c r="R925" s="472" t="n"/>
      <c r="S925" s="285" t="n"/>
      <c r="T925" s="284" t="n"/>
      <c r="U925" s="284" t="n"/>
      <c r="V925" s="285" t="n"/>
      <c r="W925" s="285" t="n"/>
      <c r="X925" s="285" t="n"/>
      <c r="Y925" s="285" t="n"/>
      <c r="Z925" s="285" t="n"/>
      <c r="AA925" s="285" t="n"/>
      <c r="AB925" s="285" t="n"/>
    </row>
    <row r="926" ht="15.75" customHeight="1" s="398">
      <c r="A926" s="284" t="n"/>
      <c r="B926" s="285" t="n"/>
      <c r="C926" s="368" t="n"/>
      <c r="D926" s="336" t="n"/>
      <c r="E926" s="284" t="n"/>
      <c r="F926" s="472" t="n"/>
      <c r="G926" s="472" t="n"/>
      <c r="H926" s="472" t="n"/>
      <c r="I926" s="472" t="n"/>
      <c r="J926" s="472" t="n"/>
      <c r="K926" s="472" t="n"/>
      <c r="L926" s="472" t="n"/>
      <c r="M926" s="472" t="n"/>
      <c r="N926" s="472" t="n"/>
      <c r="O926" s="472" t="n"/>
      <c r="P926" s="472" t="n"/>
      <c r="Q926" s="472" t="n"/>
      <c r="R926" s="472" t="n"/>
      <c r="S926" s="285" t="n"/>
      <c r="T926" s="284" t="n"/>
      <c r="U926" s="284" t="n"/>
      <c r="V926" s="285" t="n"/>
      <c r="W926" s="285" t="n"/>
      <c r="X926" s="285" t="n"/>
      <c r="Y926" s="285" t="n"/>
      <c r="Z926" s="285" t="n"/>
      <c r="AA926" s="285" t="n"/>
      <c r="AB926" s="285" t="n"/>
    </row>
    <row r="927" ht="15.75" customHeight="1" s="398">
      <c r="A927" s="284" t="n"/>
      <c r="B927" s="285" t="n"/>
      <c r="C927" s="368" t="n"/>
      <c r="D927" s="336" t="n"/>
      <c r="E927" s="284" t="n"/>
      <c r="F927" s="472" t="n"/>
      <c r="G927" s="472" t="n"/>
      <c r="H927" s="472" t="n"/>
      <c r="I927" s="472" t="n"/>
      <c r="J927" s="472" t="n"/>
      <c r="K927" s="472" t="n"/>
      <c r="L927" s="472" t="n"/>
      <c r="M927" s="472" t="n"/>
      <c r="N927" s="472" t="n"/>
      <c r="O927" s="472" t="n"/>
      <c r="P927" s="472" t="n"/>
      <c r="Q927" s="472" t="n"/>
      <c r="R927" s="472" t="n"/>
      <c r="S927" s="285" t="n"/>
      <c r="T927" s="284" t="n"/>
      <c r="U927" s="284" t="n"/>
      <c r="V927" s="285" t="n"/>
      <c r="W927" s="285" t="n"/>
      <c r="X927" s="285" t="n"/>
      <c r="Y927" s="285" t="n"/>
      <c r="Z927" s="285" t="n"/>
      <c r="AA927" s="285" t="n"/>
      <c r="AB927" s="285" t="n"/>
    </row>
    <row r="928" ht="15.75" customHeight="1" s="398">
      <c r="A928" s="284" t="n"/>
      <c r="B928" s="285" t="n"/>
      <c r="C928" s="368" t="n"/>
      <c r="D928" s="336" t="n"/>
      <c r="E928" s="284" t="n"/>
      <c r="F928" s="472" t="n"/>
      <c r="G928" s="472" t="n"/>
      <c r="H928" s="472" t="n"/>
      <c r="I928" s="472" t="n"/>
      <c r="J928" s="472" t="n"/>
      <c r="K928" s="472" t="n"/>
      <c r="L928" s="472" t="n"/>
      <c r="M928" s="472" t="n"/>
      <c r="N928" s="472" t="n"/>
      <c r="O928" s="472" t="n"/>
      <c r="P928" s="472" t="n"/>
      <c r="Q928" s="472" t="n"/>
      <c r="R928" s="472" t="n"/>
      <c r="S928" s="285" t="n"/>
      <c r="T928" s="284" t="n"/>
      <c r="U928" s="284" t="n"/>
      <c r="V928" s="285" t="n"/>
      <c r="W928" s="285" t="n"/>
      <c r="X928" s="285" t="n"/>
      <c r="Y928" s="285" t="n"/>
      <c r="Z928" s="285" t="n"/>
      <c r="AA928" s="285" t="n"/>
      <c r="AB928" s="285" t="n"/>
    </row>
    <row r="929" ht="15.75" customHeight="1" s="398">
      <c r="A929" s="284" t="n"/>
      <c r="B929" s="285" t="n"/>
      <c r="C929" s="368" t="n"/>
      <c r="D929" s="336" t="n"/>
      <c r="E929" s="284" t="n"/>
      <c r="F929" s="472" t="n"/>
      <c r="G929" s="472" t="n"/>
      <c r="H929" s="472" t="n"/>
      <c r="I929" s="472" t="n"/>
      <c r="J929" s="472" t="n"/>
      <c r="K929" s="472" t="n"/>
      <c r="L929" s="472" t="n"/>
      <c r="M929" s="472" t="n"/>
      <c r="N929" s="472" t="n"/>
      <c r="O929" s="472" t="n"/>
      <c r="P929" s="472" t="n"/>
      <c r="Q929" s="472" t="n"/>
      <c r="R929" s="472" t="n"/>
      <c r="S929" s="285" t="n"/>
      <c r="T929" s="284" t="n"/>
      <c r="U929" s="284" t="n"/>
      <c r="V929" s="285" t="n"/>
      <c r="W929" s="285" t="n"/>
      <c r="X929" s="285" t="n"/>
      <c r="Y929" s="285" t="n"/>
      <c r="Z929" s="285" t="n"/>
      <c r="AA929" s="285" t="n"/>
      <c r="AB929" s="285" t="n"/>
    </row>
    <row r="930" ht="15.75" customHeight="1" s="398">
      <c r="A930" s="284" t="n"/>
      <c r="B930" s="285" t="n"/>
      <c r="C930" s="368" t="n"/>
      <c r="D930" s="336" t="n"/>
      <c r="E930" s="284" t="n"/>
      <c r="F930" s="472" t="n"/>
      <c r="G930" s="472" t="n"/>
      <c r="H930" s="472" t="n"/>
      <c r="I930" s="472" t="n"/>
      <c r="J930" s="472" t="n"/>
      <c r="K930" s="472" t="n"/>
      <c r="L930" s="472" t="n"/>
      <c r="M930" s="472" t="n"/>
      <c r="N930" s="472" t="n"/>
      <c r="O930" s="472" t="n"/>
      <c r="P930" s="472" t="n"/>
      <c r="Q930" s="472" t="n"/>
      <c r="R930" s="472" t="n"/>
      <c r="S930" s="285" t="n"/>
      <c r="T930" s="284" t="n"/>
      <c r="U930" s="284" t="n"/>
      <c r="V930" s="285" t="n"/>
      <c r="W930" s="285" t="n"/>
      <c r="X930" s="285" t="n"/>
      <c r="Y930" s="285" t="n"/>
      <c r="Z930" s="285" t="n"/>
      <c r="AA930" s="285" t="n"/>
      <c r="AB930" s="285" t="n"/>
    </row>
    <row r="931" ht="15.75" customHeight="1" s="398">
      <c r="A931" s="284" t="n"/>
      <c r="B931" s="285" t="n"/>
      <c r="C931" s="368" t="n"/>
      <c r="D931" s="336" t="n"/>
      <c r="E931" s="284" t="n"/>
      <c r="F931" s="472" t="n"/>
      <c r="G931" s="472" t="n"/>
      <c r="H931" s="472" t="n"/>
      <c r="I931" s="472" t="n"/>
      <c r="J931" s="472" t="n"/>
      <c r="K931" s="472" t="n"/>
      <c r="L931" s="472" t="n"/>
      <c r="M931" s="472" t="n"/>
      <c r="N931" s="472" t="n"/>
      <c r="O931" s="472" t="n"/>
      <c r="P931" s="472" t="n"/>
      <c r="Q931" s="472" t="n"/>
      <c r="R931" s="472" t="n"/>
      <c r="S931" s="285" t="n"/>
      <c r="T931" s="284" t="n"/>
      <c r="U931" s="284" t="n"/>
      <c r="V931" s="285" t="n"/>
      <c r="W931" s="285" t="n"/>
      <c r="X931" s="285" t="n"/>
      <c r="Y931" s="285" t="n"/>
      <c r="Z931" s="285" t="n"/>
      <c r="AA931" s="285" t="n"/>
      <c r="AB931" s="285" t="n"/>
    </row>
    <row r="932" ht="15.75" customHeight="1" s="398">
      <c r="A932" s="284" t="n"/>
      <c r="B932" s="285" t="n"/>
      <c r="C932" s="368" t="n"/>
      <c r="D932" s="336" t="n"/>
      <c r="E932" s="284" t="n"/>
      <c r="F932" s="472" t="n"/>
      <c r="G932" s="472" t="n"/>
      <c r="H932" s="472" t="n"/>
      <c r="I932" s="472" t="n"/>
      <c r="J932" s="472" t="n"/>
      <c r="K932" s="472" t="n"/>
      <c r="L932" s="472" t="n"/>
      <c r="M932" s="472" t="n"/>
      <c r="N932" s="472" t="n"/>
      <c r="O932" s="472" t="n"/>
      <c r="P932" s="472" t="n"/>
      <c r="Q932" s="472" t="n"/>
      <c r="R932" s="472" t="n"/>
      <c r="S932" s="285" t="n"/>
      <c r="T932" s="284" t="n"/>
      <c r="U932" s="284" t="n"/>
      <c r="V932" s="285" t="n"/>
      <c r="W932" s="285" t="n"/>
      <c r="X932" s="285" t="n"/>
      <c r="Y932" s="285" t="n"/>
      <c r="Z932" s="285" t="n"/>
      <c r="AA932" s="285" t="n"/>
      <c r="AB932" s="285" t="n"/>
    </row>
    <row r="933" ht="15.75" customHeight="1" s="398">
      <c r="A933" s="284" t="n"/>
      <c r="B933" s="285" t="n"/>
      <c r="C933" s="368" t="n"/>
      <c r="D933" s="336" t="n"/>
      <c r="E933" s="284" t="n"/>
      <c r="F933" s="472" t="n"/>
      <c r="G933" s="472" t="n"/>
      <c r="H933" s="472" t="n"/>
      <c r="I933" s="472" t="n"/>
      <c r="J933" s="472" t="n"/>
      <c r="K933" s="472" t="n"/>
      <c r="L933" s="472" t="n"/>
      <c r="M933" s="472" t="n"/>
      <c r="N933" s="472" t="n"/>
      <c r="O933" s="472" t="n"/>
      <c r="P933" s="472" t="n"/>
      <c r="Q933" s="472" t="n"/>
      <c r="R933" s="472" t="n"/>
      <c r="S933" s="285" t="n"/>
      <c r="T933" s="284" t="n"/>
      <c r="U933" s="284" t="n"/>
      <c r="V933" s="285" t="n"/>
      <c r="W933" s="285" t="n"/>
      <c r="X933" s="285" t="n"/>
      <c r="Y933" s="285" t="n"/>
      <c r="Z933" s="285" t="n"/>
      <c r="AA933" s="285" t="n"/>
      <c r="AB933" s="285" t="n"/>
    </row>
    <row r="934" ht="15.75" customHeight="1" s="398">
      <c r="A934" s="284" t="n"/>
      <c r="B934" s="285" t="n"/>
      <c r="C934" s="368" t="n"/>
      <c r="D934" s="336" t="n"/>
      <c r="E934" s="284" t="n"/>
      <c r="F934" s="472" t="n"/>
      <c r="G934" s="472" t="n"/>
      <c r="H934" s="472" t="n"/>
      <c r="I934" s="472" t="n"/>
      <c r="J934" s="472" t="n"/>
      <c r="K934" s="472" t="n"/>
      <c r="L934" s="472" t="n"/>
      <c r="M934" s="472" t="n"/>
      <c r="N934" s="472" t="n"/>
      <c r="O934" s="472" t="n"/>
      <c r="P934" s="472" t="n"/>
      <c r="Q934" s="472" t="n"/>
      <c r="R934" s="472" t="n"/>
      <c r="S934" s="285" t="n"/>
      <c r="T934" s="284" t="n"/>
      <c r="U934" s="284" t="n"/>
      <c r="V934" s="285" t="n"/>
      <c r="W934" s="285" t="n"/>
      <c r="X934" s="285" t="n"/>
      <c r="Y934" s="285" t="n"/>
      <c r="Z934" s="285" t="n"/>
      <c r="AA934" s="285" t="n"/>
      <c r="AB934" s="285" t="n"/>
    </row>
    <row r="935" ht="15.75" customHeight="1" s="398">
      <c r="A935" s="284" t="n"/>
      <c r="B935" s="285" t="n"/>
      <c r="C935" s="368" t="n"/>
      <c r="D935" s="336" t="n"/>
      <c r="E935" s="284" t="n"/>
      <c r="F935" s="472" t="n"/>
      <c r="G935" s="472" t="n"/>
      <c r="H935" s="472" t="n"/>
      <c r="I935" s="472" t="n"/>
      <c r="J935" s="472" t="n"/>
      <c r="K935" s="472" t="n"/>
      <c r="L935" s="472" t="n"/>
      <c r="M935" s="472" t="n"/>
      <c r="N935" s="472" t="n"/>
      <c r="O935" s="472" t="n"/>
      <c r="P935" s="472" t="n"/>
      <c r="Q935" s="472" t="n"/>
      <c r="R935" s="472" t="n"/>
      <c r="S935" s="285" t="n"/>
      <c r="T935" s="284" t="n"/>
      <c r="U935" s="284" t="n"/>
      <c r="V935" s="285" t="n"/>
      <c r="W935" s="285" t="n"/>
      <c r="X935" s="285" t="n"/>
      <c r="Y935" s="285" t="n"/>
      <c r="Z935" s="285" t="n"/>
      <c r="AA935" s="285" t="n"/>
      <c r="AB935" s="285" t="n"/>
    </row>
    <row r="936" ht="15.75" customHeight="1" s="398">
      <c r="A936" s="284" t="n"/>
      <c r="B936" s="285" t="n"/>
      <c r="C936" s="368" t="n"/>
      <c r="D936" s="336" t="n"/>
      <c r="E936" s="284" t="n"/>
      <c r="F936" s="472" t="n"/>
      <c r="G936" s="472" t="n"/>
      <c r="H936" s="472" t="n"/>
      <c r="I936" s="472" t="n"/>
      <c r="J936" s="472" t="n"/>
      <c r="K936" s="472" t="n"/>
      <c r="L936" s="472" t="n"/>
      <c r="M936" s="472" t="n"/>
      <c r="N936" s="472" t="n"/>
      <c r="O936" s="472" t="n"/>
      <c r="P936" s="472" t="n"/>
      <c r="Q936" s="472" t="n"/>
      <c r="R936" s="472" t="n"/>
      <c r="S936" s="285" t="n"/>
      <c r="T936" s="284" t="n"/>
      <c r="U936" s="284" t="n"/>
      <c r="V936" s="285" t="n"/>
      <c r="W936" s="285" t="n"/>
      <c r="X936" s="285" t="n"/>
      <c r="Y936" s="285" t="n"/>
      <c r="Z936" s="285" t="n"/>
      <c r="AA936" s="285" t="n"/>
      <c r="AB936" s="285" t="n"/>
    </row>
    <row r="937" ht="15.75" customHeight="1" s="398">
      <c r="A937" s="284" t="n"/>
      <c r="B937" s="285" t="n"/>
      <c r="C937" s="368" t="n"/>
      <c r="D937" s="336" t="n"/>
      <c r="E937" s="284" t="n"/>
      <c r="F937" s="472" t="n"/>
      <c r="G937" s="472" t="n"/>
      <c r="H937" s="472" t="n"/>
      <c r="I937" s="472" t="n"/>
      <c r="J937" s="472" t="n"/>
      <c r="K937" s="472" t="n"/>
      <c r="L937" s="472" t="n"/>
      <c r="M937" s="472" t="n"/>
      <c r="N937" s="472" t="n"/>
      <c r="O937" s="472" t="n"/>
      <c r="P937" s="472" t="n"/>
      <c r="Q937" s="472" t="n"/>
      <c r="R937" s="472" t="n"/>
      <c r="S937" s="285" t="n"/>
      <c r="T937" s="284" t="n"/>
      <c r="U937" s="284" t="n"/>
      <c r="V937" s="285" t="n"/>
      <c r="W937" s="285" t="n"/>
      <c r="X937" s="285" t="n"/>
      <c r="Y937" s="285" t="n"/>
      <c r="Z937" s="285" t="n"/>
      <c r="AA937" s="285" t="n"/>
      <c r="AB937" s="285" t="n"/>
    </row>
    <row r="938" ht="15.75" customHeight="1" s="398">
      <c r="A938" s="284" t="n"/>
      <c r="B938" s="285" t="n"/>
      <c r="C938" s="368" t="n"/>
      <c r="D938" s="336" t="n"/>
      <c r="E938" s="284" t="n"/>
      <c r="F938" s="472" t="n"/>
      <c r="G938" s="472" t="n"/>
      <c r="H938" s="472" t="n"/>
      <c r="I938" s="472" t="n"/>
      <c r="J938" s="472" t="n"/>
      <c r="K938" s="472" t="n"/>
      <c r="L938" s="472" t="n"/>
      <c r="M938" s="472" t="n"/>
      <c r="N938" s="472" t="n"/>
      <c r="O938" s="472" t="n"/>
      <c r="P938" s="472" t="n"/>
      <c r="Q938" s="472" t="n"/>
      <c r="R938" s="472" t="n"/>
      <c r="S938" s="285" t="n"/>
      <c r="T938" s="284" t="n"/>
      <c r="U938" s="284" t="n"/>
      <c r="V938" s="285" t="n"/>
      <c r="W938" s="285" t="n"/>
      <c r="X938" s="285" t="n"/>
      <c r="Y938" s="285" t="n"/>
      <c r="Z938" s="285" t="n"/>
      <c r="AA938" s="285" t="n"/>
      <c r="AB938" s="285" t="n"/>
    </row>
    <row r="939" ht="15.75" customHeight="1" s="398">
      <c r="A939" s="284" t="n"/>
      <c r="B939" s="285" t="n"/>
      <c r="C939" s="368" t="n"/>
      <c r="D939" s="336" t="n"/>
      <c r="E939" s="284" t="n"/>
      <c r="F939" s="472" t="n"/>
      <c r="G939" s="472" t="n"/>
      <c r="H939" s="472" t="n"/>
      <c r="I939" s="472" t="n"/>
      <c r="J939" s="472" t="n"/>
      <c r="K939" s="472" t="n"/>
      <c r="L939" s="472" t="n"/>
      <c r="M939" s="472" t="n"/>
      <c r="N939" s="472" t="n"/>
      <c r="O939" s="472" t="n"/>
      <c r="P939" s="472" t="n"/>
      <c r="Q939" s="472" t="n"/>
      <c r="R939" s="472" t="n"/>
      <c r="S939" s="285" t="n"/>
      <c r="T939" s="284" t="n"/>
      <c r="U939" s="284" t="n"/>
      <c r="V939" s="285" t="n"/>
      <c r="W939" s="285" t="n"/>
      <c r="X939" s="285" t="n"/>
      <c r="Y939" s="285" t="n"/>
      <c r="Z939" s="285" t="n"/>
      <c r="AA939" s="285" t="n"/>
      <c r="AB939" s="285" t="n"/>
    </row>
    <row r="940" ht="15.75" customHeight="1" s="398">
      <c r="A940" s="284" t="n"/>
      <c r="B940" s="285" t="n"/>
      <c r="C940" s="368" t="n"/>
      <c r="D940" s="336" t="n"/>
      <c r="E940" s="284" t="n"/>
      <c r="F940" s="472" t="n"/>
      <c r="G940" s="472" t="n"/>
      <c r="H940" s="472" t="n"/>
      <c r="I940" s="472" t="n"/>
      <c r="J940" s="472" t="n"/>
      <c r="K940" s="472" t="n"/>
      <c r="L940" s="472" t="n"/>
      <c r="M940" s="472" t="n"/>
      <c r="N940" s="472" t="n"/>
      <c r="O940" s="472" t="n"/>
      <c r="P940" s="472" t="n"/>
      <c r="Q940" s="472" t="n"/>
      <c r="R940" s="472" t="n"/>
      <c r="S940" s="285" t="n"/>
      <c r="T940" s="284" t="n"/>
      <c r="U940" s="284" t="n"/>
      <c r="V940" s="285" t="n"/>
      <c r="W940" s="285" t="n"/>
      <c r="X940" s="285" t="n"/>
      <c r="Y940" s="285" t="n"/>
      <c r="Z940" s="285" t="n"/>
      <c r="AA940" s="285" t="n"/>
      <c r="AB940" s="285" t="n"/>
    </row>
    <row r="941" ht="15.75" customHeight="1" s="398">
      <c r="A941" s="284" t="n"/>
      <c r="B941" s="285" t="n"/>
      <c r="C941" s="368" t="n"/>
      <c r="D941" s="336" t="n"/>
      <c r="E941" s="284" t="n"/>
      <c r="F941" s="472" t="n"/>
      <c r="G941" s="472" t="n"/>
      <c r="H941" s="472" t="n"/>
      <c r="I941" s="472" t="n"/>
      <c r="J941" s="472" t="n"/>
      <c r="K941" s="472" t="n"/>
      <c r="L941" s="472" t="n"/>
      <c r="M941" s="472" t="n"/>
      <c r="N941" s="472" t="n"/>
      <c r="O941" s="472" t="n"/>
      <c r="P941" s="472" t="n"/>
      <c r="Q941" s="472" t="n"/>
      <c r="R941" s="472" t="n"/>
      <c r="S941" s="285" t="n"/>
      <c r="T941" s="284" t="n"/>
      <c r="U941" s="284" t="n"/>
      <c r="V941" s="285" t="n"/>
      <c r="W941" s="285" t="n"/>
      <c r="X941" s="285" t="n"/>
      <c r="Y941" s="285" t="n"/>
      <c r="Z941" s="285" t="n"/>
      <c r="AA941" s="285" t="n"/>
      <c r="AB941" s="285" t="n"/>
    </row>
    <row r="942" ht="15.75" customHeight="1" s="398">
      <c r="A942" s="284" t="n"/>
      <c r="B942" s="285" t="n"/>
      <c r="C942" s="368" t="n"/>
      <c r="D942" s="336" t="n"/>
      <c r="E942" s="284" t="n"/>
      <c r="F942" s="472" t="n"/>
      <c r="G942" s="472" t="n"/>
      <c r="H942" s="472" t="n"/>
      <c r="I942" s="472" t="n"/>
      <c r="J942" s="472" t="n"/>
      <c r="K942" s="472" t="n"/>
      <c r="L942" s="472" t="n"/>
      <c r="M942" s="472" t="n"/>
      <c r="N942" s="472" t="n"/>
      <c r="O942" s="472" t="n"/>
      <c r="P942" s="472" t="n"/>
      <c r="Q942" s="472" t="n"/>
      <c r="R942" s="472" t="n"/>
      <c r="S942" s="285" t="n"/>
      <c r="T942" s="284" t="n"/>
      <c r="U942" s="284" t="n"/>
      <c r="V942" s="285" t="n"/>
      <c r="W942" s="285" t="n"/>
      <c r="X942" s="285" t="n"/>
      <c r="Y942" s="285" t="n"/>
      <c r="Z942" s="285" t="n"/>
      <c r="AA942" s="285" t="n"/>
      <c r="AB942" s="285" t="n"/>
    </row>
    <row r="943" ht="15.75" customHeight="1" s="398">
      <c r="A943" s="284" t="n"/>
      <c r="B943" s="285" t="n"/>
      <c r="C943" s="368" t="n"/>
      <c r="D943" s="336" t="n"/>
      <c r="E943" s="284" t="n"/>
      <c r="F943" s="472" t="n"/>
      <c r="G943" s="472" t="n"/>
      <c r="H943" s="472" t="n"/>
      <c r="I943" s="472" t="n"/>
      <c r="J943" s="472" t="n"/>
      <c r="K943" s="472" t="n"/>
      <c r="L943" s="472" t="n"/>
      <c r="M943" s="472" t="n"/>
      <c r="N943" s="472" t="n"/>
      <c r="O943" s="472" t="n"/>
      <c r="P943" s="472" t="n"/>
      <c r="Q943" s="472" t="n"/>
      <c r="R943" s="472" t="n"/>
      <c r="S943" s="285" t="n"/>
      <c r="T943" s="284" t="n"/>
      <c r="U943" s="284" t="n"/>
      <c r="V943" s="285" t="n"/>
      <c r="W943" s="285" t="n"/>
      <c r="X943" s="285" t="n"/>
      <c r="Y943" s="285" t="n"/>
      <c r="Z943" s="285" t="n"/>
      <c r="AA943" s="285" t="n"/>
      <c r="AB943" s="285" t="n"/>
    </row>
    <row r="944" ht="15.75" customHeight="1" s="398">
      <c r="A944" s="284" t="n"/>
      <c r="B944" s="285" t="n"/>
      <c r="C944" s="368" t="n"/>
      <c r="D944" s="336" t="n"/>
      <c r="E944" s="284" t="n"/>
      <c r="F944" s="472" t="n"/>
      <c r="G944" s="472" t="n"/>
      <c r="H944" s="472" t="n"/>
      <c r="I944" s="472" t="n"/>
      <c r="J944" s="472" t="n"/>
      <c r="K944" s="472" t="n"/>
      <c r="L944" s="472" t="n"/>
      <c r="M944" s="472" t="n"/>
      <c r="N944" s="472" t="n"/>
      <c r="O944" s="472" t="n"/>
      <c r="P944" s="472" t="n"/>
      <c r="Q944" s="472" t="n"/>
      <c r="R944" s="472" t="n"/>
      <c r="S944" s="285" t="n"/>
      <c r="T944" s="284" t="n"/>
      <c r="U944" s="284" t="n"/>
      <c r="V944" s="285" t="n"/>
      <c r="W944" s="285" t="n"/>
      <c r="X944" s="285" t="n"/>
      <c r="Y944" s="285" t="n"/>
      <c r="Z944" s="285" t="n"/>
      <c r="AA944" s="285" t="n"/>
      <c r="AB944" s="285" t="n"/>
    </row>
    <row r="945" ht="15.75" customHeight="1" s="398">
      <c r="A945" s="284" t="n"/>
      <c r="B945" s="285" t="n"/>
      <c r="C945" s="368" t="n"/>
      <c r="D945" s="336" t="n"/>
      <c r="E945" s="284" t="n"/>
      <c r="F945" s="472" t="n"/>
      <c r="G945" s="472" t="n"/>
      <c r="H945" s="472" t="n"/>
      <c r="I945" s="472" t="n"/>
      <c r="J945" s="472" t="n"/>
      <c r="K945" s="472" t="n"/>
      <c r="L945" s="472" t="n"/>
      <c r="M945" s="472" t="n"/>
      <c r="N945" s="472" t="n"/>
      <c r="O945" s="472" t="n"/>
      <c r="P945" s="472" t="n"/>
      <c r="Q945" s="472" t="n"/>
      <c r="R945" s="472" t="n"/>
      <c r="S945" s="285" t="n"/>
      <c r="T945" s="284" t="n"/>
      <c r="U945" s="284" t="n"/>
      <c r="V945" s="285" t="n"/>
      <c r="W945" s="285" t="n"/>
      <c r="X945" s="285" t="n"/>
      <c r="Y945" s="285" t="n"/>
      <c r="Z945" s="285" t="n"/>
      <c r="AA945" s="285" t="n"/>
      <c r="AB945" s="285" t="n"/>
    </row>
    <row r="946" ht="15.75" customHeight="1" s="398">
      <c r="A946" s="284" t="n"/>
      <c r="B946" s="285" t="n"/>
      <c r="C946" s="368" t="n"/>
      <c r="D946" s="336" t="n"/>
      <c r="E946" s="284" t="n"/>
      <c r="F946" s="472" t="n"/>
      <c r="G946" s="472" t="n"/>
      <c r="H946" s="472" t="n"/>
      <c r="I946" s="472" t="n"/>
      <c r="J946" s="472" t="n"/>
      <c r="K946" s="472" t="n"/>
      <c r="L946" s="472" t="n"/>
      <c r="M946" s="472" t="n"/>
      <c r="N946" s="472" t="n"/>
      <c r="O946" s="472" t="n"/>
      <c r="P946" s="472" t="n"/>
      <c r="Q946" s="472" t="n"/>
      <c r="R946" s="472" t="n"/>
      <c r="S946" s="285" t="n"/>
      <c r="T946" s="284" t="n"/>
      <c r="U946" s="284" t="n"/>
      <c r="V946" s="285" t="n"/>
      <c r="W946" s="285" t="n"/>
      <c r="X946" s="285" t="n"/>
      <c r="Y946" s="285" t="n"/>
      <c r="Z946" s="285" t="n"/>
      <c r="AA946" s="285" t="n"/>
      <c r="AB946" s="285" t="n"/>
    </row>
    <row r="947" ht="15.75" customHeight="1" s="398">
      <c r="A947" s="284" t="n"/>
      <c r="B947" s="285" t="n"/>
      <c r="C947" s="368" t="n"/>
      <c r="D947" s="336" t="n"/>
      <c r="E947" s="284" t="n"/>
      <c r="F947" s="472" t="n"/>
      <c r="G947" s="472" t="n"/>
      <c r="H947" s="472" t="n"/>
      <c r="I947" s="472" t="n"/>
      <c r="J947" s="472" t="n"/>
      <c r="K947" s="472" t="n"/>
      <c r="L947" s="472" t="n"/>
      <c r="M947" s="472" t="n"/>
      <c r="N947" s="472" t="n"/>
      <c r="O947" s="472" t="n"/>
      <c r="P947" s="472" t="n"/>
      <c r="Q947" s="472" t="n"/>
      <c r="R947" s="472" t="n"/>
      <c r="S947" s="285" t="n"/>
      <c r="T947" s="284" t="n"/>
      <c r="U947" s="284" t="n"/>
      <c r="V947" s="285" t="n"/>
      <c r="W947" s="285" t="n"/>
      <c r="X947" s="285" t="n"/>
      <c r="Y947" s="285" t="n"/>
      <c r="Z947" s="285" t="n"/>
      <c r="AA947" s="285" t="n"/>
      <c r="AB947" s="285" t="n"/>
    </row>
    <row r="948" ht="15.75" customHeight="1" s="398">
      <c r="A948" s="284" t="n"/>
      <c r="B948" s="285" t="n"/>
      <c r="C948" s="368" t="n"/>
      <c r="D948" s="336" t="n"/>
      <c r="E948" s="284" t="n"/>
      <c r="F948" s="472" t="n"/>
      <c r="G948" s="472" t="n"/>
      <c r="H948" s="472" t="n"/>
      <c r="I948" s="472" t="n"/>
      <c r="J948" s="472" t="n"/>
      <c r="K948" s="472" t="n"/>
      <c r="L948" s="472" t="n"/>
      <c r="M948" s="472" t="n"/>
      <c r="N948" s="472" t="n"/>
      <c r="O948" s="472" t="n"/>
      <c r="P948" s="472" t="n"/>
      <c r="Q948" s="472" t="n"/>
      <c r="R948" s="472" t="n"/>
      <c r="S948" s="285" t="n"/>
      <c r="T948" s="284" t="n"/>
      <c r="U948" s="284" t="n"/>
      <c r="V948" s="285" t="n"/>
      <c r="W948" s="285" t="n"/>
      <c r="X948" s="285" t="n"/>
      <c r="Y948" s="285" t="n"/>
      <c r="Z948" s="285" t="n"/>
      <c r="AA948" s="285" t="n"/>
      <c r="AB948" s="285" t="n"/>
    </row>
    <row r="949" ht="15.75" customHeight="1" s="398">
      <c r="A949" s="284" t="n"/>
      <c r="B949" s="285" t="n"/>
      <c r="C949" s="368" t="n"/>
      <c r="D949" s="336" t="n"/>
      <c r="E949" s="284" t="n"/>
      <c r="F949" s="472" t="n"/>
      <c r="G949" s="472" t="n"/>
      <c r="H949" s="472" t="n"/>
      <c r="I949" s="472" t="n"/>
      <c r="J949" s="472" t="n"/>
      <c r="K949" s="472" t="n"/>
      <c r="L949" s="472" t="n"/>
      <c r="M949" s="472" t="n"/>
      <c r="N949" s="472" t="n"/>
      <c r="O949" s="472" t="n"/>
      <c r="P949" s="472" t="n"/>
      <c r="Q949" s="472" t="n"/>
      <c r="R949" s="472" t="n"/>
      <c r="S949" s="285" t="n"/>
      <c r="T949" s="284" t="n"/>
      <c r="U949" s="284" t="n"/>
      <c r="V949" s="285" t="n"/>
      <c r="W949" s="285" t="n"/>
      <c r="X949" s="285" t="n"/>
      <c r="Y949" s="285" t="n"/>
      <c r="Z949" s="285" t="n"/>
      <c r="AA949" s="285" t="n"/>
      <c r="AB949" s="285" t="n"/>
    </row>
    <row r="950" ht="15.75" customHeight="1" s="398">
      <c r="A950" s="284" t="n"/>
      <c r="B950" s="285" t="n"/>
      <c r="C950" s="368" t="n"/>
      <c r="D950" s="336" t="n"/>
      <c r="E950" s="284" t="n"/>
      <c r="F950" s="472" t="n"/>
      <c r="G950" s="472" t="n"/>
      <c r="H950" s="472" t="n"/>
      <c r="I950" s="472" t="n"/>
      <c r="J950" s="472" t="n"/>
      <c r="K950" s="472" t="n"/>
      <c r="L950" s="472" t="n"/>
      <c r="M950" s="472" t="n"/>
      <c r="N950" s="472" t="n"/>
      <c r="O950" s="472" t="n"/>
      <c r="P950" s="472" t="n"/>
      <c r="Q950" s="472" t="n"/>
      <c r="R950" s="472" t="n"/>
      <c r="S950" s="285" t="n"/>
      <c r="T950" s="284" t="n"/>
      <c r="U950" s="284" t="n"/>
      <c r="V950" s="285" t="n"/>
      <c r="W950" s="285" t="n"/>
      <c r="X950" s="285" t="n"/>
      <c r="Y950" s="285" t="n"/>
      <c r="Z950" s="285" t="n"/>
      <c r="AA950" s="285" t="n"/>
      <c r="AB950" s="285" t="n"/>
    </row>
    <row r="951" ht="15.75" customHeight="1" s="398">
      <c r="A951" s="284" t="n"/>
      <c r="B951" s="285" t="n"/>
      <c r="C951" s="368" t="n"/>
      <c r="D951" s="336" t="n"/>
      <c r="E951" s="284" t="n"/>
      <c r="F951" s="472" t="n"/>
      <c r="G951" s="472" t="n"/>
      <c r="H951" s="472" t="n"/>
      <c r="I951" s="472" t="n"/>
      <c r="J951" s="472" t="n"/>
      <c r="K951" s="472" t="n"/>
      <c r="L951" s="472" t="n"/>
      <c r="M951" s="472" t="n"/>
      <c r="N951" s="472" t="n"/>
      <c r="O951" s="472" t="n"/>
      <c r="P951" s="472" t="n"/>
      <c r="Q951" s="472" t="n"/>
      <c r="R951" s="472" t="n"/>
      <c r="S951" s="285" t="n"/>
      <c r="T951" s="284" t="n"/>
      <c r="U951" s="284" t="n"/>
      <c r="V951" s="285" t="n"/>
      <c r="W951" s="285" t="n"/>
      <c r="X951" s="285" t="n"/>
      <c r="Y951" s="285" t="n"/>
      <c r="Z951" s="285" t="n"/>
      <c r="AA951" s="285" t="n"/>
      <c r="AB951" s="285" t="n"/>
    </row>
    <row r="952" ht="15.75" customHeight="1" s="398">
      <c r="A952" s="284" t="n"/>
      <c r="B952" s="285" t="n"/>
      <c r="C952" s="368" t="n"/>
      <c r="D952" s="336" t="n"/>
      <c r="E952" s="284" t="n"/>
      <c r="F952" s="472" t="n"/>
      <c r="G952" s="472" t="n"/>
      <c r="H952" s="472" t="n"/>
      <c r="I952" s="472" t="n"/>
      <c r="J952" s="472" t="n"/>
      <c r="K952" s="472" t="n"/>
      <c r="L952" s="472" t="n"/>
      <c r="M952" s="472" t="n"/>
      <c r="N952" s="472" t="n"/>
      <c r="O952" s="472" t="n"/>
      <c r="P952" s="472" t="n"/>
      <c r="Q952" s="472" t="n"/>
      <c r="R952" s="472" t="n"/>
      <c r="S952" s="285" t="n"/>
      <c r="T952" s="284" t="n"/>
      <c r="U952" s="284" t="n"/>
      <c r="V952" s="285" t="n"/>
      <c r="W952" s="285" t="n"/>
      <c r="X952" s="285" t="n"/>
      <c r="Y952" s="285" t="n"/>
      <c r="Z952" s="285" t="n"/>
      <c r="AA952" s="285" t="n"/>
      <c r="AB952" s="285" t="n"/>
    </row>
    <row r="953" ht="15.75" customHeight="1" s="398">
      <c r="A953" s="284" t="n"/>
      <c r="B953" s="285" t="n"/>
      <c r="C953" s="368" t="n"/>
      <c r="D953" s="336" t="n"/>
      <c r="E953" s="284" t="n"/>
      <c r="F953" s="472" t="n"/>
      <c r="G953" s="472" t="n"/>
      <c r="H953" s="472" t="n"/>
      <c r="I953" s="472" t="n"/>
      <c r="J953" s="472" t="n"/>
      <c r="K953" s="472" t="n"/>
      <c r="L953" s="472" t="n"/>
      <c r="M953" s="472" t="n"/>
      <c r="N953" s="472" t="n"/>
      <c r="O953" s="472" t="n"/>
      <c r="P953" s="472" t="n"/>
      <c r="Q953" s="472" t="n"/>
      <c r="R953" s="472" t="n"/>
      <c r="S953" s="285" t="n"/>
      <c r="T953" s="284" t="n"/>
      <c r="U953" s="284" t="n"/>
      <c r="V953" s="285" t="n"/>
      <c r="W953" s="285" t="n"/>
      <c r="X953" s="285" t="n"/>
      <c r="Y953" s="285" t="n"/>
      <c r="Z953" s="285" t="n"/>
      <c r="AA953" s="285" t="n"/>
      <c r="AB953" s="285" t="n"/>
    </row>
    <row r="954" ht="15.75" customHeight="1" s="398">
      <c r="A954" s="284" t="n"/>
      <c r="B954" s="285" t="n"/>
      <c r="C954" s="368" t="n"/>
      <c r="D954" s="336" t="n"/>
      <c r="E954" s="284" t="n"/>
      <c r="F954" s="472" t="n"/>
      <c r="G954" s="472" t="n"/>
      <c r="H954" s="472" t="n"/>
      <c r="I954" s="472" t="n"/>
      <c r="J954" s="472" t="n"/>
      <c r="K954" s="472" t="n"/>
      <c r="L954" s="472" t="n"/>
      <c r="M954" s="472" t="n"/>
      <c r="N954" s="472" t="n"/>
      <c r="O954" s="472" t="n"/>
      <c r="P954" s="472" t="n"/>
      <c r="Q954" s="472" t="n"/>
      <c r="R954" s="472" t="n"/>
      <c r="S954" s="285" t="n"/>
      <c r="T954" s="284" t="n"/>
      <c r="U954" s="284" t="n"/>
      <c r="V954" s="285" t="n"/>
      <c r="W954" s="285" t="n"/>
      <c r="X954" s="285" t="n"/>
      <c r="Y954" s="285" t="n"/>
      <c r="Z954" s="285" t="n"/>
      <c r="AA954" s="285" t="n"/>
      <c r="AB954" s="285" t="n"/>
    </row>
    <row r="955" ht="15.75" customHeight="1" s="398">
      <c r="A955" s="284" t="n"/>
      <c r="B955" s="285" t="n"/>
      <c r="C955" s="368" t="n"/>
      <c r="D955" s="336" t="n"/>
      <c r="E955" s="284" t="n"/>
      <c r="F955" s="472" t="n"/>
      <c r="G955" s="472" t="n"/>
      <c r="H955" s="472" t="n"/>
      <c r="I955" s="472" t="n"/>
      <c r="J955" s="472" t="n"/>
      <c r="K955" s="472" t="n"/>
      <c r="L955" s="472" t="n"/>
      <c r="M955" s="472" t="n"/>
      <c r="N955" s="472" t="n"/>
      <c r="O955" s="472" t="n"/>
      <c r="P955" s="472" t="n"/>
      <c r="Q955" s="472" t="n"/>
      <c r="R955" s="472" t="n"/>
      <c r="S955" s="285" t="n"/>
      <c r="T955" s="284" t="n"/>
      <c r="U955" s="284" t="n"/>
      <c r="V955" s="285" t="n"/>
      <c r="W955" s="285" t="n"/>
      <c r="X955" s="285" t="n"/>
      <c r="Y955" s="285" t="n"/>
      <c r="Z955" s="285" t="n"/>
      <c r="AA955" s="285" t="n"/>
      <c r="AB955" s="285" t="n"/>
    </row>
    <row r="956" ht="15.75" customHeight="1" s="398">
      <c r="A956" s="284" t="n"/>
      <c r="B956" s="285" t="n"/>
      <c r="C956" s="368" t="n"/>
      <c r="D956" s="336" t="n"/>
      <c r="E956" s="284" t="n"/>
      <c r="F956" s="472" t="n"/>
      <c r="G956" s="472" t="n"/>
      <c r="H956" s="472" t="n"/>
      <c r="I956" s="472" t="n"/>
      <c r="J956" s="472" t="n"/>
      <c r="K956" s="472" t="n"/>
      <c r="L956" s="472" t="n"/>
      <c r="M956" s="472" t="n"/>
      <c r="N956" s="472" t="n"/>
      <c r="O956" s="472" t="n"/>
      <c r="P956" s="472" t="n"/>
      <c r="Q956" s="472" t="n"/>
      <c r="R956" s="472" t="n"/>
      <c r="S956" s="285" t="n"/>
      <c r="T956" s="284" t="n"/>
      <c r="U956" s="284" t="n"/>
      <c r="V956" s="285" t="n"/>
      <c r="W956" s="285" t="n"/>
      <c r="X956" s="285" t="n"/>
      <c r="Y956" s="285" t="n"/>
      <c r="Z956" s="285" t="n"/>
      <c r="AA956" s="285" t="n"/>
      <c r="AB956" s="285" t="n"/>
    </row>
    <row r="957" ht="15.75" customHeight="1" s="398">
      <c r="A957" s="284" t="n"/>
      <c r="B957" s="285" t="n"/>
      <c r="C957" s="368" t="n"/>
      <c r="D957" s="336" t="n"/>
      <c r="E957" s="284" t="n"/>
      <c r="F957" s="472" t="n"/>
      <c r="G957" s="472" t="n"/>
      <c r="H957" s="472" t="n"/>
      <c r="I957" s="472" t="n"/>
      <c r="J957" s="472" t="n"/>
      <c r="K957" s="472" t="n"/>
      <c r="L957" s="472" t="n"/>
      <c r="M957" s="472" t="n"/>
      <c r="N957" s="472" t="n"/>
      <c r="O957" s="472" t="n"/>
      <c r="P957" s="472" t="n"/>
      <c r="Q957" s="472" t="n"/>
      <c r="R957" s="472" t="n"/>
      <c r="S957" s="285" t="n"/>
      <c r="T957" s="284" t="n"/>
      <c r="U957" s="284" t="n"/>
      <c r="V957" s="285" t="n"/>
      <c r="W957" s="285" t="n"/>
      <c r="X957" s="285" t="n"/>
      <c r="Y957" s="285" t="n"/>
      <c r="Z957" s="285" t="n"/>
      <c r="AA957" s="285" t="n"/>
      <c r="AB957" s="285" t="n"/>
    </row>
    <row r="958" ht="15.75" customHeight="1" s="398">
      <c r="A958" s="284" t="n"/>
      <c r="B958" s="285" t="n"/>
      <c r="C958" s="368" t="n"/>
      <c r="D958" s="336" t="n"/>
      <c r="E958" s="284" t="n"/>
      <c r="F958" s="472" t="n"/>
      <c r="G958" s="472" t="n"/>
      <c r="H958" s="472" t="n"/>
      <c r="I958" s="472" t="n"/>
      <c r="J958" s="472" t="n"/>
      <c r="K958" s="472" t="n"/>
      <c r="L958" s="472" t="n"/>
      <c r="M958" s="472" t="n"/>
      <c r="N958" s="472" t="n"/>
      <c r="O958" s="472" t="n"/>
      <c r="P958" s="472" t="n"/>
      <c r="Q958" s="472" t="n"/>
      <c r="R958" s="472" t="n"/>
      <c r="S958" s="285" t="n"/>
      <c r="T958" s="284" t="n"/>
      <c r="U958" s="284" t="n"/>
      <c r="V958" s="285" t="n"/>
      <c r="W958" s="285" t="n"/>
      <c r="X958" s="285" t="n"/>
      <c r="Y958" s="285" t="n"/>
      <c r="Z958" s="285" t="n"/>
      <c r="AA958" s="285" t="n"/>
      <c r="AB958" s="285" t="n"/>
    </row>
    <row r="959" ht="15.75" customHeight="1" s="398">
      <c r="A959" s="284" t="n"/>
      <c r="B959" s="285" t="n"/>
      <c r="C959" s="368" t="n"/>
      <c r="D959" s="336" t="n"/>
      <c r="E959" s="284" t="n"/>
      <c r="F959" s="472" t="n"/>
      <c r="G959" s="472" t="n"/>
      <c r="H959" s="472" t="n"/>
      <c r="I959" s="472" t="n"/>
      <c r="J959" s="472" t="n"/>
      <c r="K959" s="472" t="n"/>
      <c r="L959" s="472" t="n"/>
      <c r="M959" s="472" t="n"/>
      <c r="N959" s="472" t="n"/>
      <c r="O959" s="472" t="n"/>
      <c r="P959" s="472" t="n"/>
      <c r="Q959" s="472" t="n"/>
      <c r="R959" s="472" t="n"/>
      <c r="S959" s="285" t="n"/>
      <c r="T959" s="284" t="n"/>
      <c r="U959" s="284" t="n"/>
      <c r="V959" s="285" t="n"/>
      <c r="W959" s="285" t="n"/>
      <c r="X959" s="285" t="n"/>
      <c r="Y959" s="285" t="n"/>
      <c r="Z959" s="285" t="n"/>
      <c r="AA959" s="285" t="n"/>
      <c r="AB959" s="285" t="n"/>
    </row>
    <row r="960" ht="15.75" customHeight="1" s="398">
      <c r="A960" s="284" t="n"/>
      <c r="B960" s="285" t="n"/>
      <c r="C960" s="368" t="n"/>
      <c r="D960" s="336" t="n"/>
      <c r="E960" s="284" t="n"/>
      <c r="F960" s="472" t="n"/>
      <c r="G960" s="472" t="n"/>
      <c r="H960" s="472" t="n"/>
      <c r="I960" s="472" t="n"/>
      <c r="J960" s="472" t="n"/>
      <c r="K960" s="472" t="n"/>
      <c r="L960" s="472" t="n"/>
      <c r="M960" s="472" t="n"/>
      <c r="N960" s="472" t="n"/>
      <c r="O960" s="472" t="n"/>
      <c r="P960" s="472" t="n"/>
      <c r="Q960" s="472" t="n"/>
      <c r="R960" s="472" t="n"/>
      <c r="S960" s="285" t="n"/>
      <c r="T960" s="284" t="n"/>
      <c r="U960" s="284" t="n"/>
      <c r="V960" s="285" t="n"/>
      <c r="W960" s="285" t="n"/>
      <c r="X960" s="285" t="n"/>
      <c r="Y960" s="285" t="n"/>
      <c r="Z960" s="285" t="n"/>
      <c r="AA960" s="285" t="n"/>
      <c r="AB960" s="285" t="n"/>
    </row>
    <row r="961" ht="15.75" customHeight="1" s="398">
      <c r="A961" s="284" t="n"/>
      <c r="B961" s="285" t="n"/>
      <c r="C961" s="368" t="n"/>
      <c r="D961" s="336" t="n"/>
      <c r="E961" s="284" t="n"/>
      <c r="F961" s="472" t="n"/>
      <c r="G961" s="472" t="n"/>
      <c r="H961" s="472" t="n"/>
      <c r="I961" s="472" t="n"/>
      <c r="J961" s="472" t="n"/>
      <c r="K961" s="472" t="n"/>
      <c r="L961" s="472" t="n"/>
      <c r="M961" s="472" t="n"/>
      <c r="N961" s="472" t="n"/>
      <c r="O961" s="472" t="n"/>
      <c r="P961" s="472" t="n"/>
      <c r="Q961" s="472" t="n"/>
      <c r="R961" s="472" t="n"/>
      <c r="S961" s="285" t="n"/>
      <c r="T961" s="284" t="n"/>
      <c r="U961" s="284" t="n"/>
      <c r="V961" s="285" t="n"/>
      <c r="W961" s="285" t="n"/>
      <c r="X961" s="285" t="n"/>
      <c r="Y961" s="285" t="n"/>
      <c r="Z961" s="285" t="n"/>
      <c r="AA961" s="285" t="n"/>
      <c r="AB961" s="285" t="n"/>
    </row>
    <row r="962" ht="15.75" customHeight="1" s="398">
      <c r="A962" s="284" t="n"/>
      <c r="B962" s="285" t="n"/>
      <c r="C962" s="368" t="n"/>
      <c r="D962" s="336" t="n"/>
      <c r="E962" s="284" t="n"/>
      <c r="F962" s="472" t="n"/>
      <c r="G962" s="472" t="n"/>
      <c r="H962" s="472" t="n"/>
      <c r="I962" s="472" t="n"/>
      <c r="J962" s="472" t="n"/>
      <c r="K962" s="472" t="n"/>
      <c r="L962" s="472" t="n"/>
      <c r="M962" s="472" t="n"/>
      <c r="N962" s="472" t="n"/>
      <c r="O962" s="472" t="n"/>
      <c r="P962" s="472" t="n"/>
      <c r="Q962" s="472" t="n"/>
      <c r="R962" s="472" t="n"/>
      <c r="S962" s="285" t="n"/>
      <c r="T962" s="284" t="n"/>
      <c r="U962" s="284" t="n"/>
      <c r="V962" s="285" t="n"/>
      <c r="W962" s="285" t="n"/>
      <c r="X962" s="285" t="n"/>
      <c r="Y962" s="285" t="n"/>
      <c r="Z962" s="285" t="n"/>
      <c r="AA962" s="285" t="n"/>
      <c r="AB962" s="285" t="n"/>
    </row>
    <row r="963" ht="15.75" customHeight="1" s="398">
      <c r="A963" s="284" t="n"/>
      <c r="B963" s="285" t="n"/>
      <c r="C963" s="368" t="n"/>
      <c r="D963" s="336" t="n"/>
      <c r="E963" s="284" t="n"/>
      <c r="F963" s="472" t="n"/>
      <c r="G963" s="472" t="n"/>
      <c r="H963" s="472" t="n"/>
      <c r="I963" s="472" t="n"/>
      <c r="J963" s="472" t="n"/>
      <c r="K963" s="472" t="n"/>
      <c r="L963" s="472" t="n"/>
      <c r="M963" s="472" t="n"/>
      <c r="N963" s="472" t="n"/>
      <c r="O963" s="472" t="n"/>
      <c r="P963" s="472" t="n"/>
      <c r="Q963" s="472" t="n"/>
      <c r="R963" s="472" t="n"/>
      <c r="S963" s="285" t="n"/>
      <c r="T963" s="284" t="n"/>
      <c r="U963" s="284" t="n"/>
      <c r="V963" s="285" t="n"/>
      <c r="W963" s="285" t="n"/>
      <c r="X963" s="285" t="n"/>
      <c r="Y963" s="285" t="n"/>
      <c r="Z963" s="285" t="n"/>
      <c r="AA963" s="285" t="n"/>
      <c r="AB963" s="285" t="n"/>
    </row>
    <row r="964" ht="15.75" customHeight="1" s="398">
      <c r="A964" s="284" t="n"/>
      <c r="B964" s="285" t="n"/>
      <c r="C964" s="368" t="n"/>
      <c r="D964" s="336" t="n"/>
      <c r="E964" s="284" t="n"/>
      <c r="F964" s="472" t="n"/>
      <c r="G964" s="472" t="n"/>
      <c r="H964" s="472" t="n"/>
      <c r="I964" s="472" t="n"/>
      <c r="J964" s="472" t="n"/>
      <c r="K964" s="472" t="n"/>
      <c r="L964" s="472" t="n"/>
      <c r="M964" s="472" t="n"/>
      <c r="N964" s="472" t="n"/>
      <c r="O964" s="472" t="n"/>
      <c r="P964" s="472" t="n"/>
      <c r="Q964" s="472" t="n"/>
      <c r="R964" s="472" t="n"/>
      <c r="S964" s="285" t="n"/>
      <c r="T964" s="284" t="n"/>
      <c r="U964" s="284" t="n"/>
      <c r="V964" s="285" t="n"/>
      <c r="W964" s="285" t="n"/>
      <c r="X964" s="285" t="n"/>
      <c r="Y964" s="285" t="n"/>
      <c r="Z964" s="285" t="n"/>
      <c r="AA964" s="285" t="n"/>
      <c r="AB964" s="285" t="n"/>
    </row>
    <row r="965" ht="15.75" customHeight="1" s="398">
      <c r="A965" s="284" t="n"/>
      <c r="B965" s="285" t="n"/>
      <c r="C965" s="368" t="n"/>
      <c r="D965" s="336" t="n"/>
      <c r="E965" s="284" t="n"/>
      <c r="F965" s="472" t="n"/>
      <c r="G965" s="472" t="n"/>
      <c r="H965" s="472" t="n"/>
      <c r="I965" s="472" t="n"/>
      <c r="J965" s="472" t="n"/>
      <c r="K965" s="472" t="n"/>
      <c r="L965" s="472" t="n"/>
      <c r="M965" s="472" t="n"/>
      <c r="N965" s="472" t="n"/>
      <c r="O965" s="472" t="n"/>
      <c r="P965" s="472" t="n"/>
      <c r="Q965" s="472" t="n"/>
      <c r="R965" s="472" t="n"/>
      <c r="S965" s="285" t="n"/>
      <c r="T965" s="284" t="n"/>
      <c r="U965" s="284" t="n"/>
      <c r="V965" s="285" t="n"/>
      <c r="W965" s="285" t="n"/>
      <c r="X965" s="285" t="n"/>
      <c r="Y965" s="285" t="n"/>
      <c r="Z965" s="285" t="n"/>
      <c r="AA965" s="285" t="n"/>
      <c r="AB965" s="285" t="n"/>
    </row>
    <row r="966" ht="15.75" customHeight="1" s="398">
      <c r="A966" s="284" t="n"/>
      <c r="B966" s="285" t="n"/>
      <c r="C966" s="368" t="n"/>
      <c r="D966" s="336" t="n"/>
      <c r="E966" s="284" t="n"/>
      <c r="F966" s="472" t="n"/>
      <c r="G966" s="472" t="n"/>
      <c r="H966" s="472" t="n"/>
      <c r="I966" s="472" t="n"/>
      <c r="J966" s="472" t="n"/>
      <c r="K966" s="472" t="n"/>
      <c r="L966" s="472" t="n"/>
      <c r="M966" s="472" t="n"/>
      <c r="N966" s="472" t="n"/>
      <c r="O966" s="472" t="n"/>
      <c r="P966" s="472" t="n"/>
      <c r="Q966" s="472" t="n"/>
      <c r="R966" s="472" t="n"/>
      <c r="S966" s="285" t="n"/>
      <c r="T966" s="284" t="n"/>
      <c r="U966" s="284" t="n"/>
      <c r="V966" s="285" t="n"/>
      <c r="W966" s="285" t="n"/>
      <c r="X966" s="285" t="n"/>
      <c r="Y966" s="285" t="n"/>
      <c r="Z966" s="285" t="n"/>
      <c r="AA966" s="285" t="n"/>
      <c r="AB966" s="285" t="n"/>
    </row>
    <row r="967" ht="15.75" customHeight="1" s="398">
      <c r="A967" s="284" t="n"/>
      <c r="B967" s="285" t="n"/>
      <c r="C967" s="368" t="n"/>
      <c r="D967" s="336" t="n"/>
      <c r="E967" s="284" t="n"/>
      <c r="F967" s="472" t="n"/>
      <c r="G967" s="472" t="n"/>
      <c r="H967" s="472" t="n"/>
      <c r="I967" s="472" t="n"/>
      <c r="J967" s="472" t="n"/>
      <c r="K967" s="472" t="n"/>
      <c r="L967" s="472" t="n"/>
      <c r="M967" s="472" t="n"/>
      <c r="N967" s="472" t="n"/>
      <c r="O967" s="472" t="n"/>
      <c r="P967" s="472" t="n"/>
      <c r="Q967" s="472" t="n"/>
      <c r="R967" s="472" t="n"/>
      <c r="S967" s="285" t="n"/>
      <c r="T967" s="284" t="n"/>
      <c r="U967" s="284" t="n"/>
      <c r="V967" s="285" t="n"/>
      <c r="W967" s="285" t="n"/>
      <c r="X967" s="285" t="n"/>
      <c r="Y967" s="285" t="n"/>
      <c r="Z967" s="285" t="n"/>
      <c r="AA967" s="285" t="n"/>
      <c r="AB967" s="285" t="n"/>
    </row>
    <row r="968" ht="15.75" customHeight="1" s="398">
      <c r="A968" s="284" t="n"/>
      <c r="B968" s="285" t="n"/>
      <c r="C968" s="368" t="n"/>
      <c r="D968" s="336" t="n"/>
      <c r="E968" s="284" t="n"/>
      <c r="F968" s="472" t="n"/>
      <c r="G968" s="472" t="n"/>
      <c r="H968" s="472" t="n"/>
      <c r="I968" s="472" t="n"/>
      <c r="J968" s="472" t="n"/>
      <c r="K968" s="472" t="n"/>
      <c r="L968" s="472" t="n"/>
      <c r="M968" s="472" t="n"/>
      <c r="N968" s="472" t="n"/>
      <c r="O968" s="472" t="n"/>
      <c r="P968" s="472" t="n"/>
      <c r="Q968" s="472" t="n"/>
      <c r="R968" s="472" t="n"/>
      <c r="S968" s="285" t="n"/>
      <c r="T968" s="284" t="n"/>
      <c r="U968" s="284" t="n"/>
      <c r="V968" s="285" t="n"/>
      <c r="W968" s="285" t="n"/>
      <c r="X968" s="285" t="n"/>
      <c r="Y968" s="285" t="n"/>
      <c r="Z968" s="285" t="n"/>
      <c r="AA968" s="285" t="n"/>
      <c r="AB968" s="285" t="n"/>
    </row>
    <row r="969" ht="15.75" customHeight="1" s="398">
      <c r="A969" s="284" t="n"/>
      <c r="B969" s="285" t="n"/>
      <c r="C969" s="368" t="n"/>
      <c r="D969" s="336" t="n"/>
      <c r="E969" s="284" t="n"/>
      <c r="F969" s="472" t="n"/>
      <c r="G969" s="472" t="n"/>
      <c r="H969" s="472" t="n"/>
      <c r="I969" s="472" t="n"/>
      <c r="J969" s="472" t="n"/>
      <c r="K969" s="472" t="n"/>
      <c r="L969" s="472" t="n"/>
      <c r="M969" s="472" t="n"/>
      <c r="N969" s="472" t="n"/>
      <c r="O969" s="472" t="n"/>
      <c r="P969" s="472" t="n"/>
      <c r="Q969" s="472" t="n"/>
      <c r="R969" s="472" t="n"/>
      <c r="S969" s="285" t="n"/>
      <c r="T969" s="284" t="n"/>
      <c r="U969" s="284" t="n"/>
      <c r="V969" s="285" t="n"/>
      <c r="W969" s="285" t="n"/>
      <c r="X969" s="285" t="n"/>
      <c r="Y969" s="285" t="n"/>
      <c r="Z969" s="285" t="n"/>
      <c r="AA969" s="285" t="n"/>
      <c r="AB969" s="285" t="n"/>
    </row>
    <row r="970" ht="15.75" customHeight="1" s="398">
      <c r="A970" s="284" t="n"/>
      <c r="B970" s="285" t="n"/>
      <c r="C970" s="368" t="n"/>
      <c r="D970" s="336" t="n"/>
      <c r="E970" s="284" t="n"/>
      <c r="F970" s="472" t="n"/>
      <c r="G970" s="472" t="n"/>
      <c r="H970" s="472" t="n"/>
      <c r="I970" s="472" t="n"/>
      <c r="J970" s="472" t="n"/>
      <c r="K970" s="472" t="n"/>
      <c r="L970" s="472" t="n"/>
      <c r="M970" s="472" t="n"/>
      <c r="N970" s="472" t="n"/>
      <c r="O970" s="472" t="n"/>
      <c r="P970" s="472" t="n"/>
      <c r="Q970" s="472" t="n"/>
      <c r="R970" s="472" t="n"/>
      <c r="S970" s="285" t="n"/>
      <c r="T970" s="284" t="n"/>
      <c r="U970" s="284" t="n"/>
      <c r="V970" s="285" t="n"/>
      <c r="W970" s="285" t="n"/>
      <c r="X970" s="285" t="n"/>
      <c r="Y970" s="285" t="n"/>
      <c r="Z970" s="285" t="n"/>
      <c r="AA970" s="285" t="n"/>
      <c r="AB970" s="285" t="n"/>
    </row>
    <row r="971" ht="15.75" customHeight="1" s="398">
      <c r="A971" s="284" t="n"/>
      <c r="B971" s="285" t="n"/>
      <c r="C971" s="368" t="n"/>
      <c r="D971" s="336" t="n"/>
      <c r="E971" s="284" t="n"/>
      <c r="F971" s="472" t="n"/>
      <c r="G971" s="472" t="n"/>
      <c r="H971" s="472" t="n"/>
      <c r="I971" s="472" t="n"/>
      <c r="J971" s="472" t="n"/>
      <c r="K971" s="472" t="n"/>
      <c r="L971" s="472" t="n"/>
      <c r="M971" s="472" t="n"/>
      <c r="N971" s="472" t="n"/>
      <c r="O971" s="472" t="n"/>
      <c r="P971" s="472" t="n"/>
      <c r="Q971" s="472" t="n"/>
      <c r="R971" s="472" t="n"/>
      <c r="S971" s="285" t="n"/>
      <c r="T971" s="284" t="n"/>
      <c r="U971" s="284" t="n"/>
      <c r="V971" s="285" t="n"/>
      <c r="W971" s="285" t="n"/>
      <c r="X971" s="285" t="n"/>
      <c r="Y971" s="285" t="n"/>
      <c r="Z971" s="285" t="n"/>
      <c r="AA971" s="285" t="n"/>
      <c r="AB971" s="285" t="n"/>
    </row>
    <row r="972" ht="15.75" customHeight="1" s="398">
      <c r="A972" s="284" t="n"/>
      <c r="B972" s="285" t="n"/>
      <c r="C972" s="368" t="n"/>
      <c r="D972" s="336" t="n"/>
      <c r="E972" s="284" t="n"/>
      <c r="F972" s="472" t="n"/>
      <c r="G972" s="472" t="n"/>
      <c r="H972" s="472" t="n"/>
      <c r="I972" s="472" t="n"/>
      <c r="J972" s="472" t="n"/>
      <c r="K972" s="472" t="n"/>
      <c r="L972" s="472" t="n"/>
      <c r="M972" s="472" t="n"/>
      <c r="N972" s="472" t="n"/>
      <c r="O972" s="472" t="n"/>
      <c r="P972" s="472" t="n"/>
      <c r="Q972" s="472" t="n"/>
      <c r="R972" s="472" t="n"/>
      <c r="S972" s="285" t="n"/>
      <c r="T972" s="284" t="n"/>
      <c r="U972" s="284" t="n"/>
      <c r="V972" s="285" t="n"/>
      <c r="W972" s="285" t="n"/>
      <c r="X972" s="285" t="n"/>
      <c r="Y972" s="285" t="n"/>
      <c r="Z972" s="285" t="n"/>
      <c r="AA972" s="285" t="n"/>
      <c r="AB972" s="285" t="n"/>
    </row>
    <row r="973" ht="15.75" customHeight="1" s="398">
      <c r="A973" s="284" t="n"/>
      <c r="B973" s="285" t="n"/>
      <c r="C973" s="368" t="n"/>
      <c r="D973" s="336" t="n"/>
      <c r="E973" s="284" t="n"/>
      <c r="F973" s="472" t="n"/>
      <c r="G973" s="472" t="n"/>
      <c r="H973" s="472" t="n"/>
      <c r="I973" s="472" t="n"/>
      <c r="J973" s="472" t="n"/>
      <c r="K973" s="472" t="n"/>
      <c r="L973" s="472" t="n"/>
      <c r="M973" s="472" t="n"/>
      <c r="N973" s="472" t="n"/>
      <c r="O973" s="472" t="n"/>
      <c r="P973" s="472" t="n"/>
      <c r="Q973" s="472" t="n"/>
      <c r="R973" s="472" t="n"/>
      <c r="S973" s="285" t="n"/>
      <c r="T973" s="284" t="n"/>
      <c r="U973" s="284" t="n"/>
      <c r="V973" s="285" t="n"/>
      <c r="W973" s="285" t="n"/>
      <c r="X973" s="285" t="n"/>
      <c r="Y973" s="285" t="n"/>
      <c r="Z973" s="285" t="n"/>
      <c r="AA973" s="285" t="n"/>
      <c r="AB973" s="285" t="n"/>
    </row>
    <row r="974" ht="15.75" customHeight="1" s="398">
      <c r="A974" s="284" t="n"/>
      <c r="B974" s="285" t="n"/>
      <c r="C974" s="368" t="n"/>
      <c r="D974" s="336" t="n"/>
      <c r="E974" s="284" t="n"/>
      <c r="F974" s="472" t="n"/>
      <c r="G974" s="472" t="n"/>
      <c r="H974" s="472" t="n"/>
      <c r="I974" s="472" t="n"/>
      <c r="J974" s="472" t="n"/>
      <c r="K974" s="472" t="n"/>
      <c r="L974" s="472" t="n"/>
      <c r="M974" s="472" t="n"/>
      <c r="N974" s="472" t="n"/>
      <c r="O974" s="472" t="n"/>
      <c r="P974" s="472" t="n"/>
      <c r="Q974" s="472" t="n"/>
      <c r="R974" s="472" t="n"/>
      <c r="S974" s="285" t="n"/>
      <c r="T974" s="284" t="n"/>
      <c r="U974" s="284" t="n"/>
      <c r="V974" s="285" t="n"/>
      <c r="W974" s="285" t="n"/>
      <c r="X974" s="285" t="n"/>
      <c r="Y974" s="285" t="n"/>
      <c r="Z974" s="285" t="n"/>
      <c r="AA974" s="285" t="n"/>
      <c r="AB974" s="285" t="n"/>
    </row>
    <row r="975" ht="15.75" customHeight="1" s="398">
      <c r="A975" s="284" t="n"/>
      <c r="B975" s="285" t="n"/>
      <c r="C975" s="368" t="n"/>
      <c r="D975" s="336" t="n"/>
      <c r="E975" s="284" t="n"/>
      <c r="F975" s="472" t="n"/>
      <c r="G975" s="472" t="n"/>
      <c r="H975" s="472" t="n"/>
      <c r="I975" s="472" t="n"/>
      <c r="J975" s="472" t="n"/>
      <c r="K975" s="472" t="n"/>
      <c r="L975" s="472" t="n"/>
      <c r="M975" s="472" t="n"/>
      <c r="N975" s="472" t="n"/>
      <c r="O975" s="472" t="n"/>
      <c r="P975" s="472" t="n"/>
      <c r="Q975" s="472" t="n"/>
      <c r="R975" s="472" t="n"/>
      <c r="S975" s="285" t="n"/>
      <c r="T975" s="284" t="n"/>
      <c r="U975" s="284" t="n"/>
      <c r="V975" s="285" t="n"/>
      <c r="W975" s="285" t="n"/>
      <c r="X975" s="285" t="n"/>
      <c r="Y975" s="285" t="n"/>
      <c r="Z975" s="285" t="n"/>
      <c r="AA975" s="285" t="n"/>
      <c r="AB975" s="285" t="n"/>
    </row>
    <row r="976" ht="15.75" customHeight="1" s="398">
      <c r="A976" s="284" t="n"/>
      <c r="B976" s="285" t="n"/>
      <c r="C976" s="368" t="n"/>
      <c r="D976" s="336" t="n"/>
      <c r="E976" s="284" t="n"/>
      <c r="F976" s="472" t="n"/>
      <c r="G976" s="472" t="n"/>
      <c r="H976" s="472" t="n"/>
      <c r="I976" s="472" t="n"/>
      <c r="J976" s="472" t="n"/>
      <c r="K976" s="472" t="n"/>
      <c r="L976" s="472" t="n"/>
      <c r="M976" s="472" t="n"/>
      <c r="N976" s="472" t="n"/>
      <c r="O976" s="472" t="n"/>
      <c r="P976" s="472" t="n"/>
      <c r="Q976" s="472" t="n"/>
      <c r="R976" s="472" t="n"/>
      <c r="S976" s="285" t="n"/>
      <c r="T976" s="284" t="n"/>
      <c r="U976" s="284" t="n"/>
      <c r="V976" s="285" t="n"/>
      <c r="W976" s="285" t="n"/>
      <c r="X976" s="285" t="n"/>
      <c r="Y976" s="285" t="n"/>
      <c r="Z976" s="285" t="n"/>
      <c r="AA976" s="285" t="n"/>
      <c r="AB976" s="285" t="n"/>
    </row>
    <row r="977" ht="15.75" customHeight="1" s="398">
      <c r="A977" s="284" t="n"/>
      <c r="B977" s="285" t="n"/>
      <c r="C977" s="368" t="n"/>
      <c r="D977" s="336" t="n"/>
      <c r="E977" s="284" t="n"/>
      <c r="F977" s="472" t="n"/>
      <c r="G977" s="472" t="n"/>
      <c r="H977" s="472" t="n"/>
      <c r="I977" s="472" t="n"/>
      <c r="J977" s="472" t="n"/>
      <c r="K977" s="472" t="n"/>
      <c r="L977" s="472" t="n"/>
      <c r="M977" s="472" t="n"/>
      <c r="N977" s="472" t="n"/>
      <c r="O977" s="472" t="n"/>
      <c r="P977" s="472" t="n"/>
      <c r="Q977" s="472" t="n"/>
      <c r="R977" s="472" t="n"/>
      <c r="S977" s="285" t="n"/>
      <c r="T977" s="284" t="n"/>
      <c r="U977" s="284" t="n"/>
      <c r="V977" s="285" t="n"/>
      <c r="W977" s="285" t="n"/>
      <c r="X977" s="285" t="n"/>
      <c r="Y977" s="285" t="n"/>
      <c r="Z977" s="285" t="n"/>
      <c r="AA977" s="285" t="n"/>
      <c r="AB977" s="285" t="n"/>
    </row>
    <row r="978" ht="15.75" customHeight="1" s="398">
      <c r="A978" s="284" t="n"/>
      <c r="B978" s="285" t="n"/>
      <c r="C978" s="368" t="n"/>
      <c r="D978" s="336" t="n"/>
      <c r="E978" s="284" t="n"/>
      <c r="F978" s="472" t="n"/>
      <c r="G978" s="472" t="n"/>
      <c r="H978" s="472" t="n"/>
      <c r="I978" s="472" t="n"/>
      <c r="J978" s="472" t="n"/>
      <c r="K978" s="472" t="n"/>
      <c r="L978" s="472" t="n"/>
      <c r="M978" s="472" t="n"/>
      <c r="N978" s="472" t="n"/>
      <c r="O978" s="472" t="n"/>
      <c r="P978" s="472" t="n"/>
      <c r="Q978" s="472" t="n"/>
      <c r="R978" s="472" t="n"/>
      <c r="S978" s="285" t="n"/>
      <c r="T978" s="284" t="n"/>
      <c r="U978" s="284" t="n"/>
      <c r="V978" s="285" t="n"/>
      <c r="W978" s="285" t="n"/>
      <c r="X978" s="285" t="n"/>
      <c r="Y978" s="285" t="n"/>
      <c r="Z978" s="285" t="n"/>
      <c r="AA978" s="285" t="n"/>
      <c r="AB978" s="285" t="n"/>
    </row>
    <row r="979" ht="15.75" customHeight="1" s="398">
      <c r="A979" s="284" t="n"/>
      <c r="B979" s="285" t="n"/>
      <c r="C979" s="368" t="n"/>
      <c r="D979" s="336" t="n"/>
      <c r="E979" s="284" t="n"/>
      <c r="F979" s="472" t="n"/>
      <c r="G979" s="472" t="n"/>
      <c r="H979" s="472" t="n"/>
      <c r="I979" s="472" t="n"/>
      <c r="J979" s="472" t="n"/>
      <c r="K979" s="472" t="n"/>
      <c r="L979" s="472" t="n"/>
      <c r="M979" s="472" t="n"/>
      <c r="N979" s="472" t="n"/>
      <c r="O979" s="472" t="n"/>
      <c r="P979" s="472" t="n"/>
      <c r="Q979" s="472" t="n"/>
      <c r="R979" s="472" t="n"/>
      <c r="S979" s="285" t="n"/>
      <c r="T979" s="284" t="n"/>
      <c r="U979" s="284" t="n"/>
      <c r="V979" s="285" t="n"/>
      <c r="W979" s="285" t="n"/>
      <c r="X979" s="285" t="n"/>
      <c r="Y979" s="285" t="n"/>
      <c r="Z979" s="285" t="n"/>
      <c r="AA979" s="285" t="n"/>
      <c r="AB979" s="285" t="n"/>
    </row>
    <row r="980" ht="15.75" customHeight="1" s="398">
      <c r="A980" s="284" t="n"/>
      <c r="B980" s="285" t="n"/>
      <c r="C980" s="368" t="n"/>
      <c r="D980" s="336" t="n"/>
      <c r="E980" s="284" t="n"/>
      <c r="F980" s="472" t="n"/>
      <c r="G980" s="472" t="n"/>
      <c r="H980" s="472" t="n"/>
      <c r="I980" s="472" t="n"/>
      <c r="J980" s="472" t="n"/>
      <c r="K980" s="472" t="n"/>
      <c r="L980" s="472" t="n"/>
      <c r="M980" s="472" t="n"/>
      <c r="N980" s="472" t="n"/>
      <c r="O980" s="472" t="n"/>
      <c r="P980" s="472" t="n"/>
      <c r="Q980" s="472" t="n"/>
      <c r="R980" s="472" t="n"/>
      <c r="S980" s="285" t="n"/>
      <c r="T980" s="284" t="n"/>
      <c r="U980" s="284" t="n"/>
      <c r="V980" s="285" t="n"/>
      <c r="W980" s="285" t="n"/>
      <c r="X980" s="285" t="n"/>
      <c r="Y980" s="285" t="n"/>
      <c r="Z980" s="285" t="n"/>
      <c r="AA980" s="285" t="n"/>
      <c r="AB980" s="285" t="n"/>
    </row>
    <row r="981" ht="15.75" customHeight="1" s="398">
      <c r="A981" s="284" t="n"/>
      <c r="B981" s="285" t="n"/>
      <c r="C981" s="368" t="n"/>
      <c r="D981" s="336" t="n"/>
      <c r="E981" s="284" t="n"/>
      <c r="F981" s="472" t="n"/>
      <c r="G981" s="472" t="n"/>
      <c r="H981" s="472" t="n"/>
      <c r="I981" s="472" t="n"/>
      <c r="J981" s="472" t="n"/>
      <c r="K981" s="472" t="n"/>
      <c r="L981" s="472" t="n"/>
      <c r="M981" s="472" t="n"/>
      <c r="N981" s="472" t="n"/>
      <c r="O981" s="472" t="n"/>
      <c r="P981" s="472" t="n"/>
      <c r="Q981" s="472" t="n"/>
      <c r="R981" s="472" t="n"/>
      <c r="S981" s="285" t="n"/>
      <c r="T981" s="284" t="n"/>
      <c r="U981" s="284" t="n"/>
      <c r="V981" s="285" t="n"/>
      <c r="W981" s="285" t="n"/>
      <c r="X981" s="285" t="n"/>
      <c r="Y981" s="285" t="n"/>
      <c r="Z981" s="285" t="n"/>
      <c r="AA981" s="285" t="n"/>
      <c r="AB981" s="285" t="n"/>
    </row>
    <row r="982" ht="15.75" customHeight="1" s="398">
      <c r="A982" s="284" t="n"/>
      <c r="B982" s="285" t="n"/>
      <c r="C982" s="368" t="n"/>
      <c r="D982" s="336" t="n"/>
      <c r="E982" s="284" t="n"/>
      <c r="F982" s="472" t="n"/>
      <c r="G982" s="472" t="n"/>
      <c r="H982" s="472" t="n"/>
      <c r="I982" s="472" t="n"/>
      <c r="J982" s="472" t="n"/>
      <c r="K982" s="472" t="n"/>
      <c r="L982" s="472" t="n"/>
      <c r="M982" s="472" t="n"/>
      <c r="N982" s="472" t="n"/>
      <c r="O982" s="472" t="n"/>
      <c r="P982" s="472" t="n"/>
      <c r="Q982" s="472" t="n"/>
      <c r="R982" s="472" t="n"/>
      <c r="S982" s="285" t="n"/>
      <c r="T982" s="284" t="n"/>
      <c r="U982" s="284" t="n"/>
      <c r="V982" s="285" t="n"/>
      <c r="W982" s="285" t="n"/>
      <c r="X982" s="285" t="n"/>
      <c r="Y982" s="285" t="n"/>
      <c r="Z982" s="285" t="n"/>
      <c r="AA982" s="285" t="n"/>
      <c r="AB982" s="285" t="n"/>
    </row>
    <row r="983" ht="15.75" customHeight="1" s="398">
      <c r="A983" s="284" t="n"/>
      <c r="B983" s="285" t="n"/>
      <c r="C983" s="368" t="n"/>
      <c r="D983" s="336" t="n"/>
      <c r="E983" s="284" t="n"/>
      <c r="F983" s="472" t="n"/>
      <c r="G983" s="472" t="n"/>
      <c r="H983" s="472" t="n"/>
      <c r="I983" s="472" t="n"/>
      <c r="J983" s="472" t="n"/>
      <c r="K983" s="472" t="n"/>
      <c r="L983" s="472" t="n"/>
      <c r="M983" s="472" t="n"/>
      <c r="N983" s="472" t="n"/>
      <c r="O983" s="472" t="n"/>
      <c r="P983" s="472" t="n"/>
      <c r="Q983" s="472" t="n"/>
      <c r="R983" s="472" t="n"/>
      <c r="S983" s="285" t="n"/>
      <c r="T983" s="284" t="n"/>
      <c r="U983" s="284" t="n"/>
      <c r="V983" s="285" t="n"/>
      <c r="W983" s="285" t="n"/>
      <c r="X983" s="285" t="n"/>
      <c r="Y983" s="285" t="n"/>
      <c r="Z983" s="285" t="n"/>
      <c r="AA983" s="285" t="n"/>
      <c r="AB983" s="285" t="n"/>
    </row>
    <row r="984" ht="15.75" customHeight="1" s="398">
      <c r="A984" s="284" t="n"/>
      <c r="B984" s="285" t="n"/>
      <c r="C984" s="368" t="n"/>
      <c r="D984" s="336" t="n"/>
      <c r="E984" s="284" t="n"/>
      <c r="F984" s="472" t="n"/>
      <c r="G984" s="472" t="n"/>
      <c r="H984" s="472" t="n"/>
      <c r="I984" s="472" t="n"/>
      <c r="J984" s="472" t="n"/>
      <c r="K984" s="472" t="n"/>
      <c r="L984" s="472" t="n"/>
      <c r="M984" s="472" t="n"/>
      <c r="N984" s="472" t="n"/>
      <c r="O984" s="472" t="n"/>
      <c r="P984" s="472" t="n"/>
      <c r="Q984" s="472" t="n"/>
      <c r="R984" s="472" t="n"/>
      <c r="S984" s="285" t="n"/>
      <c r="T984" s="284" t="n"/>
      <c r="U984" s="284" t="n"/>
      <c r="V984" s="285" t="n"/>
      <c r="W984" s="285" t="n"/>
      <c r="X984" s="285" t="n"/>
      <c r="Y984" s="285" t="n"/>
      <c r="Z984" s="285" t="n"/>
      <c r="AA984" s="285" t="n"/>
      <c r="AB984" s="285" t="n"/>
    </row>
    <row r="985" ht="15.75" customHeight="1" s="398">
      <c r="A985" s="284" t="n"/>
      <c r="B985" s="285" t="n"/>
      <c r="C985" s="368" t="n"/>
      <c r="D985" s="336" t="n"/>
      <c r="E985" s="284" t="n"/>
      <c r="F985" s="472" t="n"/>
      <c r="G985" s="472" t="n"/>
      <c r="H985" s="472" t="n"/>
      <c r="I985" s="472" t="n"/>
      <c r="J985" s="472" t="n"/>
      <c r="K985" s="472" t="n"/>
      <c r="L985" s="472" t="n"/>
      <c r="M985" s="472" t="n"/>
      <c r="N985" s="472" t="n"/>
      <c r="O985" s="472" t="n"/>
      <c r="P985" s="472" t="n"/>
      <c r="Q985" s="472" t="n"/>
      <c r="R985" s="472" t="n"/>
      <c r="S985" s="285" t="n"/>
      <c r="T985" s="284" t="n"/>
      <c r="U985" s="284" t="n"/>
      <c r="V985" s="285" t="n"/>
      <c r="W985" s="285" t="n"/>
      <c r="X985" s="285" t="n"/>
      <c r="Y985" s="285" t="n"/>
      <c r="Z985" s="285" t="n"/>
      <c r="AA985" s="285" t="n"/>
      <c r="AB985" s="285" t="n"/>
    </row>
    <row r="986" ht="15.75" customHeight="1" s="398">
      <c r="A986" s="284" t="n"/>
      <c r="B986" s="285" t="n"/>
      <c r="C986" s="368" t="n"/>
      <c r="D986" s="336" t="n"/>
      <c r="E986" s="284" t="n"/>
      <c r="F986" s="472" t="n"/>
      <c r="G986" s="472" t="n"/>
      <c r="H986" s="472" t="n"/>
      <c r="I986" s="472" t="n"/>
      <c r="J986" s="472" t="n"/>
      <c r="K986" s="472" t="n"/>
      <c r="L986" s="472" t="n"/>
      <c r="M986" s="472" t="n"/>
      <c r="N986" s="472" t="n"/>
      <c r="O986" s="472" t="n"/>
      <c r="P986" s="472" t="n"/>
      <c r="Q986" s="472" t="n"/>
      <c r="R986" s="472" t="n"/>
      <c r="S986" s="285" t="n"/>
      <c r="T986" s="284" t="n"/>
      <c r="U986" s="284" t="n"/>
      <c r="V986" s="285" t="n"/>
      <c r="W986" s="285" t="n"/>
      <c r="X986" s="285" t="n"/>
      <c r="Y986" s="285" t="n"/>
      <c r="Z986" s="285" t="n"/>
      <c r="AA986" s="285" t="n"/>
      <c r="AB986" s="285" t="n"/>
    </row>
    <row r="987" ht="15.75" customHeight="1" s="398">
      <c r="A987" s="284" t="n"/>
      <c r="B987" s="285" t="n"/>
      <c r="C987" s="368" t="n"/>
      <c r="D987" s="336" t="n"/>
      <c r="E987" s="284" t="n"/>
      <c r="F987" s="472" t="n"/>
      <c r="G987" s="472" t="n"/>
      <c r="H987" s="472" t="n"/>
      <c r="I987" s="472" t="n"/>
      <c r="J987" s="472" t="n"/>
      <c r="K987" s="472" t="n"/>
      <c r="L987" s="472" t="n"/>
      <c r="M987" s="472" t="n"/>
      <c r="N987" s="472" t="n"/>
      <c r="O987" s="472" t="n"/>
      <c r="P987" s="472" t="n"/>
      <c r="Q987" s="472" t="n"/>
      <c r="R987" s="472" t="n"/>
      <c r="S987" s="285" t="n"/>
      <c r="T987" s="284" t="n"/>
      <c r="U987" s="284" t="n"/>
      <c r="V987" s="285" t="n"/>
      <c r="W987" s="285" t="n"/>
      <c r="X987" s="285" t="n"/>
      <c r="Y987" s="285" t="n"/>
      <c r="Z987" s="285" t="n"/>
      <c r="AA987" s="285" t="n"/>
      <c r="AB987" s="285" t="n"/>
    </row>
    <row r="988" ht="15.75" customHeight="1" s="398">
      <c r="A988" s="284" t="n"/>
      <c r="B988" s="285" t="n"/>
      <c r="C988" s="368" t="n"/>
      <c r="D988" s="336" t="n"/>
      <c r="E988" s="284" t="n"/>
      <c r="F988" s="472" t="n"/>
      <c r="G988" s="472" t="n"/>
      <c r="H988" s="472" t="n"/>
      <c r="I988" s="472" t="n"/>
      <c r="J988" s="472" t="n"/>
      <c r="K988" s="472" t="n"/>
      <c r="L988" s="472" t="n"/>
      <c r="M988" s="472" t="n"/>
      <c r="N988" s="472" t="n"/>
      <c r="O988" s="472" t="n"/>
      <c r="P988" s="472" t="n"/>
      <c r="Q988" s="472" t="n"/>
      <c r="R988" s="472" t="n"/>
      <c r="S988" s="285" t="n"/>
      <c r="T988" s="284" t="n"/>
      <c r="U988" s="284" t="n"/>
      <c r="V988" s="285" t="n"/>
      <c r="W988" s="285" t="n"/>
      <c r="X988" s="285" t="n"/>
      <c r="Y988" s="285" t="n"/>
      <c r="Z988" s="285" t="n"/>
      <c r="AA988" s="285" t="n"/>
      <c r="AB988" s="285" t="n"/>
    </row>
    <row r="989" ht="15.75" customHeight="1" s="398">
      <c r="A989" s="284" t="n"/>
      <c r="B989" s="285" t="n"/>
      <c r="C989" s="368" t="n"/>
      <c r="D989" s="336" t="n"/>
      <c r="E989" s="284" t="n"/>
      <c r="F989" s="472" t="n"/>
      <c r="G989" s="472" t="n"/>
      <c r="H989" s="472" t="n"/>
      <c r="I989" s="472" t="n"/>
      <c r="J989" s="472" t="n"/>
      <c r="K989" s="472" t="n"/>
      <c r="L989" s="472" t="n"/>
      <c r="M989" s="472" t="n"/>
      <c r="N989" s="472" t="n"/>
      <c r="O989" s="472" t="n"/>
      <c r="P989" s="472" t="n"/>
      <c r="Q989" s="472" t="n"/>
      <c r="R989" s="472" t="n"/>
      <c r="S989" s="285" t="n"/>
      <c r="T989" s="284" t="n"/>
      <c r="U989" s="284" t="n"/>
      <c r="V989" s="285" t="n"/>
      <c r="W989" s="285" t="n"/>
      <c r="X989" s="285" t="n"/>
      <c r="Y989" s="285" t="n"/>
      <c r="Z989" s="285" t="n"/>
      <c r="AA989" s="285" t="n"/>
      <c r="AB989" s="285" t="n"/>
    </row>
    <row r="990" ht="15.75" customHeight="1" s="398">
      <c r="A990" s="284" t="n"/>
      <c r="B990" s="285" t="n"/>
      <c r="C990" s="368" t="n"/>
      <c r="D990" s="336" t="n"/>
      <c r="E990" s="284" t="n"/>
      <c r="F990" s="472" t="n"/>
      <c r="G990" s="472" t="n"/>
      <c r="H990" s="472" t="n"/>
      <c r="I990" s="472" t="n"/>
      <c r="J990" s="472" t="n"/>
      <c r="K990" s="472" t="n"/>
      <c r="L990" s="472" t="n"/>
      <c r="M990" s="472" t="n"/>
      <c r="N990" s="472" t="n"/>
      <c r="O990" s="472" t="n"/>
      <c r="P990" s="472" t="n"/>
      <c r="Q990" s="472" t="n"/>
      <c r="R990" s="472" t="n"/>
      <c r="S990" s="285" t="n"/>
      <c r="T990" s="284" t="n"/>
      <c r="U990" s="284" t="n"/>
      <c r="V990" s="285" t="n"/>
      <c r="W990" s="285" t="n"/>
      <c r="X990" s="285" t="n"/>
      <c r="Y990" s="285" t="n"/>
      <c r="Z990" s="285" t="n"/>
      <c r="AA990" s="285" t="n"/>
      <c r="AB990" s="285" t="n"/>
    </row>
  </sheetData>
  <autoFilter ref="B16:R20"/>
  <mergeCells count="23">
    <mergeCell ref="U4:U11"/>
    <mergeCell ref="D4:D10"/>
    <mergeCell ref="J4:J10"/>
    <mergeCell ref="L4:L10"/>
    <mergeCell ref="A42:A46"/>
    <mergeCell ref="A26:A32"/>
    <mergeCell ref="A4:A10"/>
    <mergeCell ref="T4:T11"/>
    <mergeCell ref="G4:G10"/>
    <mergeCell ref="I4:I10"/>
    <mergeCell ref="K4:K10"/>
    <mergeCell ref="M4:M10"/>
    <mergeCell ref="F4:F10"/>
    <mergeCell ref="H4:H10"/>
    <mergeCell ref="N4:N10"/>
    <mergeCell ref="P4:P10"/>
    <mergeCell ref="B2:E2"/>
    <mergeCell ref="R4:R10"/>
    <mergeCell ref="A35:A40"/>
    <mergeCell ref="C4:C10"/>
    <mergeCell ref="E4:E10"/>
    <mergeCell ref="O4:O10"/>
    <mergeCell ref="Q4:Q10"/>
  </mergeCells>
  <printOptions horizontalCentered="1" verticalCentered="1" gridLines="1"/>
  <pageMargins left="0.7" right="0.7" top="0.75" bottom="0.75" header="0" footer="0"/>
  <pageSetup orientation="portrait" paperSize="9" scale="21" pageOrder="overThenDown" cellComments="atEn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Y100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8" sqref="I8"/>
    </sheetView>
  </sheetViews>
  <sheetFormatPr baseColWidth="8" defaultColWidth="12.7109375" defaultRowHeight="15" customHeight="1"/>
  <cols>
    <col width="1.28515625" customWidth="1" style="398" min="1" max="1"/>
    <col width="21.28515625" customWidth="1" style="398" min="2" max="2"/>
    <col width="12.7109375" customWidth="1" style="398" min="3" max="16384"/>
  </cols>
  <sheetData>
    <row r="1" ht="4.5" customHeight="1" s="398" thickBot="1">
      <c r="A1" s="480" t="n"/>
      <c r="B1" s="480" t="n"/>
      <c r="C1" s="480" t="n"/>
      <c r="D1" s="480" t="n"/>
      <c r="E1" s="480" t="n"/>
      <c r="F1" s="480" t="n"/>
      <c r="G1" s="480" t="n"/>
      <c r="H1" s="480" t="n"/>
      <c r="I1" s="480" t="n"/>
      <c r="J1" s="480" t="n"/>
      <c r="K1" s="480" t="n"/>
      <c r="L1" s="480" t="n"/>
      <c r="M1" s="480" t="n"/>
      <c r="N1" s="480" t="n"/>
      <c r="O1" s="480" t="n"/>
      <c r="P1" s="480" t="n"/>
      <c r="Q1" s="480" t="n"/>
      <c r="R1" s="480" t="n"/>
      <c r="S1" s="480" t="n"/>
      <c r="T1" s="480" t="n"/>
      <c r="U1" s="480" t="n"/>
      <c r="V1" s="480" t="n"/>
      <c r="W1" s="480" t="n"/>
      <c r="X1" s="480" t="n"/>
      <c r="Y1" s="480" t="n"/>
    </row>
    <row r="2" ht="12.75" customHeight="1" s="398">
      <c r="A2" s="480" t="n"/>
      <c r="B2" s="481" t="n"/>
      <c r="C2" s="482" t="inlineStr">
        <is>
          <t>RESUMO DE SALDOS</t>
        </is>
      </c>
      <c r="D2" s="483" t="n"/>
      <c r="E2" s="483" t="n"/>
      <c r="F2" s="483" t="n"/>
      <c r="G2" s="483" t="n"/>
      <c r="H2" s="483" t="n"/>
      <c r="I2" s="483" t="n"/>
      <c r="J2" s="483" t="n"/>
      <c r="K2" s="483" t="n"/>
      <c r="L2" s="483" t="n"/>
      <c r="M2" s="483" t="n"/>
      <c r="N2" s="483" t="n"/>
      <c r="O2" s="484" t="n"/>
      <c r="P2" s="480" t="n"/>
      <c r="Q2" s="480" t="n"/>
      <c r="R2" s="480" t="n"/>
      <c r="S2" s="480" t="n"/>
      <c r="T2" s="480" t="n"/>
      <c r="U2" s="480" t="n"/>
      <c r="V2" s="480" t="n"/>
      <c r="W2" s="480" t="n"/>
      <c r="X2" s="480" t="n"/>
      <c r="Y2" s="480" t="n"/>
    </row>
    <row r="3" ht="12.75" customHeight="1" s="398">
      <c r="A3" s="480" t="n"/>
      <c r="B3" s="485" t="n"/>
      <c r="C3" s="486" t="inlineStr">
        <is>
          <t>2025</t>
        </is>
      </c>
      <c r="O3" s="383" t="inlineStr">
        <is>
          <t>2026</t>
        </is>
      </c>
      <c r="P3" s="480" t="n"/>
      <c r="Q3" s="480" t="n"/>
      <c r="R3" s="480" t="n"/>
      <c r="S3" s="480" t="n"/>
      <c r="T3" s="480" t="n"/>
      <c r="U3" s="480" t="n"/>
      <c r="V3" s="480" t="n"/>
      <c r="W3" s="480" t="n"/>
      <c r="X3" s="480" t="n"/>
      <c r="Y3" s="480" t="n"/>
    </row>
    <row r="4" ht="13.5" customHeight="1" s="398" thickBot="1">
      <c r="A4" s="480" t="n"/>
      <c r="B4" s="487" t="inlineStr">
        <is>
          <t>CONTA</t>
        </is>
      </c>
      <c r="C4" s="488" t="inlineStr">
        <is>
          <t>MARÇO</t>
        </is>
      </c>
      <c r="D4" s="488" t="inlineStr">
        <is>
          <t>ABRIL</t>
        </is>
      </c>
      <c r="E4" s="488" t="inlineStr">
        <is>
          <t>MAIO</t>
        </is>
      </c>
      <c r="F4" s="488" t="inlineStr">
        <is>
          <t>JUNHO</t>
        </is>
      </c>
      <c r="G4" s="488" t="inlineStr">
        <is>
          <t>JULHO</t>
        </is>
      </c>
      <c r="H4" s="488" t="inlineStr">
        <is>
          <t>AGOSTO</t>
        </is>
      </c>
      <c r="I4" s="488" t="inlineStr">
        <is>
          <t>SETEMBRO</t>
        </is>
      </c>
      <c r="J4" s="488" t="inlineStr">
        <is>
          <t>OUTUBRO</t>
        </is>
      </c>
      <c r="K4" s="488" t="inlineStr">
        <is>
          <t>NOVEMBRO</t>
        </is>
      </c>
      <c r="L4" s="488" t="inlineStr">
        <is>
          <t>DEZEMBRO</t>
        </is>
      </c>
      <c r="M4" s="488" t="inlineStr">
        <is>
          <t>JANEIRO</t>
        </is>
      </c>
      <c r="N4" s="488" t="inlineStr">
        <is>
          <t>FEVEREIRO</t>
        </is>
      </c>
      <c r="O4" s="489" t="inlineStr">
        <is>
          <t>MARÇO</t>
        </is>
      </c>
      <c r="P4" s="480" t="n"/>
      <c r="Q4" s="480" t="n"/>
      <c r="R4" s="480" t="n"/>
      <c r="S4" s="480" t="n"/>
      <c r="T4" s="480" t="n"/>
      <c r="U4" s="480" t="n"/>
      <c r="V4" s="480" t="n"/>
      <c r="W4" s="480" t="n"/>
      <c r="X4" s="480" t="n"/>
      <c r="Y4" s="480" t="n"/>
    </row>
    <row r="5" ht="7.5" customHeight="1" s="398" thickBot="1">
      <c r="A5" s="490" t="n"/>
      <c r="B5" s="490" t="n"/>
      <c r="C5" s="491" t="n"/>
      <c r="D5" s="491" t="n"/>
      <c r="E5" s="491" t="n"/>
      <c r="F5" s="491" t="n"/>
      <c r="G5" s="491" t="n"/>
      <c r="H5" s="491" t="n"/>
      <c r="I5" s="491" t="n"/>
      <c r="J5" s="491" t="n"/>
      <c r="K5" s="491" t="n"/>
      <c r="L5" s="491" t="n"/>
      <c r="M5" s="491" t="n"/>
      <c r="N5" s="491" t="n"/>
      <c r="O5" s="491" t="n"/>
      <c r="P5" s="491" t="n"/>
      <c r="Q5" s="491" t="n"/>
      <c r="R5" s="491" t="n"/>
      <c r="S5" s="491" t="n"/>
      <c r="T5" s="491" t="n"/>
      <c r="U5" s="491" t="n"/>
      <c r="V5" s="491" t="n"/>
      <c r="W5" s="491" t="n"/>
      <c r="X5" s="491" t="n"/>
      <c r="Y5" s="491" t="n"/>
    </row>
    <row r="6" ht="13.5" customHeight="1" s="398" thickBot="1">
      <c r="A6" s="492" t="n"/>
      <c r="B6" s="493" t="inlineStr">
        <is>
          <t>PRINCIPAL</t>
        </is>
      </c>
      <c r="C6" s="494">
        <f>C10</f>
        <v/>
      </c>
      <c r="D6" s="494">
        <f>D10</f>
        <v/>
      </c>
      <c r="E6" s="494">
        <f>E10</f>
        <v/>
      </c>
      <c r="F6" s="494">
        <f>F10</f>
        <v/>
      </c>
      <c r="G6" s="494">
        <f>G10</f>
        <v/>
      </c>
      <c r="H6" s="494">
        <f>H10</f>
        <v/>
      </c>
      <c r="I6" s="494">
        <f>I10</f>
        <v/>
      </c>
      <c r="J6" s="494">
        <f>J10</f>
        <v/>
      </c>
      <c r="K6" s="494">
        <f>K10</f>
        <v/>
      </c>
      <c r="L6" s="494">
        <f>L10</f>
        <v/>
      </c>
      <c r="M6" s="494">
        <f>M10</f>
        <v/>
      </c>
      <c r="N6" s="494">
        <f>N10</f>
        <v/>
      </c>
      <c r="O6" s="495">
        <f>O10</f>
        <v/>
      </c>
      <c r="P6" s="480" t="n"/>
      <c r="Q6" s="480" t="n"/>
      <c r="R6" s="480" t="n"/>
      <c r="S6" s="480" t="n"/>
      <c r="T6" s="480" t="n"/>
      <c r="U6" s="480" t="n"/>
      <c r="V6" s="480" t="n"/>
      <c r="W6" s="480" t="n"/>
      <c r="X6" s="480" t="n"/>
      <c r="Y6" s="480" t="n"/>
    </row>
    <row r="7" ht="12.75" customHeight="1" s="398">
      <c r="A7" s="496" t="n"/>
      <c r="B7" s="496" t="inlineStr">
        <is>
          <t>SALDO ANTERIOR</t>
        </is>
      </c>
      <c r="C7" s="491" t="n">
        <v>-360002.73</v>
      </c>
      <c r="D7" s="491">
        <f>C10</f>
        <v/>
      </c>
      <c r="E7" s="491">
        <f>D10</f>
        <v/>
      </c>
      <c r="F7" s="491">
        <f>E10</f>
        <v/>
      </c>
      <c r="G7" s="491">
        <f>F10</f>
        <v/>
      </c>
      <c r="H7" s="491">
        <f>G10</f>
        <v/>
      </c>
      <c r="I7" s="491">
        <f>H10</f>
        <v/>
      </c>
      <c r="J7" s="491">
        <f>I10</f>
        <v/>
      </c>
      <c r="K7" s="491">
        <f>J10</f>
        <v/>
      </c>
      <c r="L7" s="491">
        <f>K10</f>
        <v/>
      </c>
      <c r="M7" s="491">
        <f>L10</f>
        <v/>
      </c>
      <c r="N7" s="491">
        <f>M10</f>
        <v/>
      </c>
      <c r="O7" s="491">
        <f>N10</f>
        <v/>
      </c>
      <c r="P7" s="491" t="n"/>
      <c r="Q7" s="491" t="n"/>
      <c r="R7" s="491" t="n"/>
      <c r="S7" s="491" t="n"/>
      <c r="T7" s="491" t="n"/>
      <c r="U7" s="491" t="n"/>
      <c r="V7" s="491" t="n"/>
      <c r="W7" s="491" t="n"/>
      <c r="X7" s="491" t="n"/>
      <c r="Y7" s="491" t="n"/>
    </row>
    <row r="8" ht="12.75" customHeight="1" s="398">
      <c r="A8" s="496" t="n"/>
      <c r="B8" s="496" t="inlineStr">
        <is>
          <t>RECEITA</t>
        </is>
      </c>
      <c r="C8" s="491" t="n">
        <v>217637.03</v>
      </c>
      <c r="D8" s="491" t="n">
        <v>329553.04</v>
      </c>
      <c r="E8" s="491" t="n">
        <v>232347.35</v>
      </c>
      <c r="F8" s="491" t="n">
        <v>238638.6</v>
      </c>
      <c r="G8" s="491" t="n">
        <v>268148.15</v>
      </c>
      <c r="H8" s="491" t="n">
        <v>259788.93</v>
      </c>
      <c r="I8" s="491" t="n"/>
      <c r="J8" s="491" t="n"/>
      <c r="K8" s="491" t="n"/>
      <c r="L8" s="491" t="n"/>
      <c r="M8" s="491" t="n"/>
      <c r="N8" s="491" t="n"/>
      <c r="O8" s="491" t="n"/>
      <c r="P8" s="491" t="n"/>
      <c r="Q8" s="491" t="n"/>
      <c r="R8" s="491" t="n"/>
      <c r="S8" s="491" t="n"/>
      <c r="T8" s="491" t="n"/>
      <c r="U8" s="491" t="n"/>
      <c r="V8" s="491" t="n"/>
      <c r="W8" s="491" t="n"/>
      <c r="X8" s="491" t="n"/>
      <c r="Y8" s="491" t="n"/>
    </row>
    <row r="9" ht="12.75" customHeight="1" s="398">
      <c r="A9" s="496" t="n"/>
      <c r="B9" s="496" t="inlineStr">
        <is>
          <t>DESPESA</t>
        </is>
      </c>
      <c r="C9" s="491" t="n">
        <v>-239150.34</v>
      </c>
      <c r="D9" s="491" t="n">
        <v>-262247.69</v>
      </c>
      <c r="E9" s="491">
        <f>-290588.22-5052.13-65.8</f>
        <v/>
      </c>
      <c r="F9" s="491" t="n">
        <v>-265295.72</v>
      </c>
      <c r="G9" s="491" t="n">
        <v>-283216.89</v>
      </c>
      <c r="H9" s="491" t="n">
        <v>-286708.42</v>
      </c>
      <c r="I9" s="491" t="n"/>
      <c r="J9" s="491" t="n"/>
      <c r="K9" s="491" t="n"/>
      <c r="L9" s="491" t="n"/>
      <c r="M9" s="491" t="n"/>
      <c r="N9" s="491" t="n"/>
      <c r="O9" s="491" t="n"/>
      <c r="P9" s="491" t="n"/>
      <c r="Q9" s="491" t="n"/>
      <c r="R9" s="491" t="n"/>
      <c r="S9" s="491" t="n"/>
      <c r="T9" s="491" t="n"/>
      <c r="U9" s="491" t="n"/>
      <c r="V9" s="491" t="n"/>
      <c r="W9" s="491" t="n"/>
      <c r="X9" s="491" t="n"/>
      <c r="Y9" s="491" t="n"/>
    </row>
    <row r="10" ht="12.75" customHeight="1" s="398">
      <c r="A10" s="496" t="n"/>
      <c r="B10" s="496" t="inlineStr">
        <is>
          <t>SALDO ATUAL</t>
        </is>
      </c>
      <c r="C10" s="491">
        <f>SUM(C7:C9)</f>
        <v/>
      </c>
      <c r="D10" s="491">
        <f>SUM(D7:D9)</f>
        <v/>
      </c>
      <c r="E10" s="491">
        <f>SUM(E7:E9)</f>
        <v/>
      </c>
      <c r="F10" s="491">
        <f>SUM(F7:F9)</f>
        <v/>
      </c>
      <c r="G10" s="491">
        <f>SUM(G7:G9)</f>
        <v/>
      </c>
      <c r="H10" s="491">
        <f>SUM(H7:H9)</f>
        <v/>
      </c>
      <c r="I10" s="491">
        <f>SUM(I7:I9)</f>
        <v/>
      </c>
      <c r="J10" s="491">
        <f>SUM(J7:J9)</f>
        <v/>
      </c>
      <c r="K10" s="491">
        <f>SUM(K7:K9)</f>
        <v/>
      </c>
      <c r="L10" s="491">
        <f>SUM(L7:L9)</f>
        <v/>
      </c>
      <c r="M10" s="491">
        <f>SUM(M7:M9)</f>
        <v/>
      </c>
      <c r="N10" s="491">
        <f>SUM(N7:N9)</f>
        <v/>
      </c>
      <c r="O10" s="491">
        <f>SUM(O7:O9)</f>
        <v/>
      </c>
      <c r="P10" s="491" t="n"/>
      <c r="Q10" s="491" t="n"/>
      <c r="R10" s="491" t="n"/>
      <c r="S10" s="491" t="n"/>
      <c r="T10" s="491" t="n"/>
      <c r="U10" s="491" t="n"/>
      <c r="V10" s="491" t="n"/>
      <c r="W10" s="491" t="n"/>
      <c r="X10" s="491" t="n"/>
      <c r="Y10" s="491" t="n"/>
    </row>
    <row r="11" ht="7.5" customHeight="1" s="398" thickBot="1">
      <c r="A11" s="490" t="n"/>
      <c r="B11" s="490" t="n"/>
      <c r="C11" s="491" t="n"/>
      <c r="D11" s="491" t="n"/>
      <c r="E11" s="491" t="n"/>
      <c r="F11" s="491" t="n"/>
      <c r="G11" s="491" t="n"/>
      <c r="H11" s="491" t="n"/>
      <c r="I11" s="491" t="n"/>
      <c r="J11" s="491" t="n"/>
      <c r="K11" s="491" t="n"/>
      <c r="L11" s="491" t="n"/>
      <c r="M11" s="491" t="n"/>
      <c r="N11" s="491" t="n"/>
      <c r="O11" s="491" t="n"/>
      <c r="P11" s="491" t="n"/>
      <c r="Q11" s="491" t="n"/>
      <c r="R11" s="491" t="n"/>
      <c r="S11" s="491" t="n"/>
      <c r="T11" s="491" t="n"/>
      <c r="U11" s="491" t="n"/>
      <c r="V11" s="491" t="n"/>
      <c r="W11" s="491" t="n"/>
      <c r="X11" s="491" t="n"/>
      <c r="Y11" s="491" t="n"/>
    </row>
    <row r="12" ht="13.5" customHeight="1" s="398" thickBot="1">
      <c r="A12" s="492" t="n"/>
      <c r="B12" s="493" t="inlineStr">
        <is>
          <t>SALA DE EVENTOS</t>
        </is>
      </c>
      <c r="C12" s="494">
        <f>C16</f>
        <v/>
      </c>
      <c r="D12" s="494">
        <f>D16</f>
        <v/>
      </c>
      <c r="E12" s="494">
        <f>E16</f>
        <v/>
      </c>
      <c r="F12" s="494">
        <f>F16</f>
        <v/>
      </c>
      <c r="G12" s="494">
        <f>G16</f>
        <v/>
      </c>
      <c r="H12" s="494">
        <f>H16</f>
        <v/>
      </c>
      <c r="I12" s="494">
        <f>I16</f>
        <v/>
      </c>
      <c r="J12" s="494">
        <f>J16</f>
        <v/>
      </c>
      <c r="K12" s="494">
        <f>K16</f>
        <v/>
      </c>
      <c r="L12" s="494">
        <f>L16</f>
        <v/>
      </c>
      <c r="M12" s="494">
        <f>M16</f>
        <v/>
      </c>
      <c r="N12" s="494">
        <f>N16</f>
        <v/>
      </c>
      <c r="O12" s="495">
        <f>O16</f>
        <v/>
      </c>
      <c r="P12" s="480" t="n"/>
      <c r="Q12" s="480" t="n"/>
      <c r="R12" s="480" t="n"/>
      <c r="S12" s="480" t="n"/>
      <c r="T12" s="480" t="n"/>
      <c r="U12" s="480" t="n"/>
      <c r="V12" s="480" t="n"/>
      <c r="W12" s="480" t="n"/>
      <c r="X12" s="480" t="n"/>
      <c r="Y12" s="480" t="n"/>
    </row>
    <row r="13" ht="12.75" customHeight="1" s="398">
      <c r="A13" s="496" t="n"/>
      <c r="B13" s="496" t="inlineStr">
        <is>
          <t>SALDO ANTERIOR</t>
        </is>
      </c>
      <c r="C13" s="491" t="n">
        <v>234895.62</v>
      </c>
      <c r="D13" s="491">
        <f>C16</f>
        <v/>
      </c>
      <c r="E13" s="491">
        <f>D16</f>
        <v/>
      </c>
      <c r="F13" s="491">
        <f>E16</f>
        <v/>
      </c>
      <c r="G13" s="491">
        <f>F16</f>
        <v/>
      </c>
      <c r="H13" s="491">
        <f>G16</f>
        <v/>
      </c>
      <c r="I13" s="491">
        <f>H16</f>
        <v/>
      </c>
      <c r="J13" s="491">
        <f>I16</f>
        <v/>
      </c>
      <c r="K13" s="491">
        <f>J16</f>
        <v/>
      </c>
      <c r="L13" s="491">
        <f>K16</f>
        <v/>
      </c>
      <c r="M13" s="491">
        <f>L16</f>
        <v/>
      </c>
      <c r="N13" s="491">
        <f>M16</f>
        <v/>
      </c>
      <c r="O13" s="491">
        <f>N16</f>
        <v/>
      </c>
      <c r="P13" s="491" t="n"/>
      <c r="Q13" s="491" t="n"/>
      <c r="R13" s="491" t="n"/>
      <c r="S13" s="491" t="n"/>
      <c r="T13" s="491" t="n"/>
      <c r="U13" s="491" t="n"/>
      <c r="V13" s="491" t="n"/>
      <c r="W13" s="491" t="n"/>
      <c r="X13" s="491" t="n"/>
      <c r="Y13" s="491" t="n"/>
    </row>
    <row r="14" ht="12.75" customHeight="1" s="398">
      <c r="A14" s="496" t="n"/>
      <c r="B14" s="496" t="inlineStr">
        <is>
          <t>RECEITA</t>
        </is>
      </c>
      <c r="C14" s="491" t="n">
        <v>2400</v>
      </c>
      <c r="D14" s="491" t="n">
        <v>5245.69</v>
      </c>
      <c r="E14" s="491" t="n">
        <v>3913.8</v>
      </c>
      <c r="F14" s="491" t="n">
        <v>4407.9</v>
      </c>
      <c r="G14" s="491" t="n">
        <v>6337.36</v>
      </c>
      <c r="H14" s="491" t="n">
        <v>5850</v>
      </c>
      <c r="I14" s="491" t="n"/>
      <c r="J14" s="491" t="n"/>
      <c r="K14" s="491" t="n"/>
      <c r="L14" s="491" t="n"/>
      <c r="M14" s="491" t="n"/>
      <c r="N14" s="491" t="n"/>
      <c r="O14" s="491" t="n"/>
      <c r="P14" s="491" t="n"/>
      <c r="Q14" s="491" t="n"/>
      <c r="R14" s="491" t="n"/>
      <c r="S14" s="491" t="n"/>
      <c r="T14" s="491" t="n"/>
      <c r="U14" s="491" t="n"/>
      <c r="V14" s="491" t="n"/>
      <c r="W14" s="491" t="n"/>
      <c r="X14" s="491" t="n"/>
      <c r="Y14" s="491" t="n"/>
    </row>
    <row r="15" ht="12.75" customHeight="1" s="398">
      <c r="A15" s="496" t="n"/>
      <c r="B15" s="496" t="inlineStr">
        <is>
          <t>DESPESA</t>
        </is>
      </c>
      <c r="C15" s="491" t="n">
        <v>0</v>
      </c>
      <c r="D15" s="491" t="n">
        <v>0</v>
      </c>
      <c r="E15" s="491" t="n">
        <v>0</v>
      </c>
      <c r="F15" s="491" t="n">
        <v>0</v>
      </c>
      <c r="G15" s="491" t="n">
        <v>-10451.21</v>
      </c>
      <c r="H15" s="491" t="n">
        <v>-10164.8</v>
      </c>
      <c r="I15" s="491" t="n"/>
      <c r="J15" s="491" t="n"/>
      <c r="K15" s="491" t="n"/>
      <c r="L15" s="491" t="n"/>
      <c r="M15" s="491" t="n"/>
      <c r="N15" s="491" t="n"/>
      <c r="O15" s="491" t="n"/>
      <c r="P15" s="491" t="n"/>
      <c r="Q15" s="491" t="n"/>
      <c r="R15" s="491" t="n"/>
      <c r="S15" s="491" t="n"/>
      <c r="T15" s="491" t="n"/>
      <c r="U15" s="491" t="n"/>
      <c r="V15" s="491" t="n"/>
      <c r="W15" s="491" t="n"/>
      <c r="X15" s="491" t="n"/>
      <c r="Y15" s="491" t="n"/>
    </row>
    <row r="16" ht="12.75" customHeight="1" s="398">
      <c r="A16" s="496" t="n"/>
      <c r="B16" s="496" t="inlineStr">
        <is>
          <t>SALDO ATUAL</t>
        </is>
      </c>
      <c r="C16" s="491">
        <f>SUM(C13:C15)</f>
        <v/>
      </c>
      <c r="D16" s="491">
        <f>SUM(D13:D15)</f>
        <v/>
      </c>
      <c r="E16" s="491">
        <f>SUM(E13:E15)</f>
        <v/>
      </c>
      <c r="F16" s="491">
        <f>SUM(F13:F15)</f>
        <v/>
      </c>
      <c r="G16" s="491">
        <f>SUM(G13:G15)</f>
        <v/>
      </c>
      <c r="H16" s="491">
        <f>SUM(H13:H15)</f>
        <v/>
      </c>
      <c r="I16" s="491">
        <f>SUM(I13:I15)</f>
        <v/>
      </c>
      <c r="J16" s="491">
        <f>SUM(J13:J15)</f>
        <v/>
      </c>
      <c r="K16" s="491">
        <f>SUM(K13:K15)</f>
        <v/>
      </c>
      <c r="L16" s="491">
        <f>SUM(L13:L15)</f>
        <v/>
      </c>
      <c r="M16" s="491">
        <f>SUM(M13:M15)</f>
        <v/>
      </c>
      <c r="N16" s="491">
        <f>SUM(N13:N15)</f>
        <v/>
      </c>
      <c r="O16" s="491">
        <f>SUM(O13:O15)</f>
        <v/>
      </c>
      <c r="P16" s="491" t="n"/>
      <c r="Q16" s="491" t="n"/>
      <c r="R16" s="491" t="n"/>
      <c r="S16" s="491" t="n"/>
      <c r="T16" s="491" t="n"/>
      <c r="U16" s="491" t="n"/>
      <c r="V16" s="491" t="n"/>
      <c r="W16" s="491" t="n"/>
      <c r="X16" s="491" t="n"/>
      <c r="Y16" s="491" t="n"/>
    </row>
    <row r="17" ht="7.5" customHeight="1" s="398" thickBot="1">
      <c r="A17" s="490" t="n"/>
      <c r="B17" s="490" t="n"/>
      <c r="C17" s="491" t="n"/>
      <c r="D17" s="491" t="n"/>
      <c r="E17" s="491" t="n"/>
      <c r="F17" s="491" t="n"/>
      <c r="G17" s="491" t="n"/>
      <c r="H17" s="491" t="n"/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1" t="n"/>
      <c r="T17" s="491" t="n"/>
      <c r="U17" s="491" t="n"/>
      <c r="V17" s="491" t="n"/>
      <c r="W17" s="491" t="n"/>
      <c r="X17" s="491" t="n"/>
      <c r="Y17" s="491" t="n"/>
    </row>
    <row r="18" ht="13.5" customHeight="1" s="398" thickBot="1">
      <c r="A18" s="492" t="n"/>
      <c r="B18" s="493" t="inlineStr">
        <is>
          <t>ESTACIONAMENTO</t>
        </is>
      </c>
      <c r="C18" s="494">
        <f>C22</f>
        <v/>
      </c>
      <c r="D18" s="494">
        <f>D22</f>
        <v/>
      </c>
      <c r="E18" s="494">
        <f>E22</f>
        <v/>
      </c>
      <c r="F18" s="494">
        <f>F22</f>
        <v/>
      </c>
      <c r="G18" s="494">
        <f>G22</f>
        <v/>
      </c>
      <c r="H18" s="494">
        <f>H22</f>
        <v/>
      </c>
      <c r="I18" s="494">
        <f>I22</f>
        <v/>
      </c>
      <c r="J18" s="494">
        <f>J22</f>
        <v/>
      </c>
      <c r="K18" s="494">
        <f>K22</f>
        <v/>
      </c>
      <c r="L18" s="494">
        <f>L22</f>
        <v/>
      </c>
      <c r="M18" s="494">
        <f>M22</f>
        <v/>
      </c>
      <c r="N18" s="494">
        <f>N22</f>
        <v/>
      </c>
      <c r="O18" s="495">
        <f>O22</f>
        <v/>
      </c>
      <c r="P18" s="480" t="n"/>
      <c r="Q18" s="480" t="n"/>
      <c r="R18" s="480" t="n"/>
      <c r="S18" s="480" t="n"/>
      <c r="T18" s="480" t="n"/>
      <c r="U18" s="480" t="n"/>
      <c r="V18" s="480" t="n"/>
      <c r="W18" s="480" t="n"/>
      <c r="X18" s="480" t="n"/>
      <c r="Y18" s="480" t="n"/>
    </row>
    <row r="19" ht="12.75" customHeight="1" s="398">
      <c r="A19" s="496" t="n"/>
      <c r="B19" s="496" t="inlineStr">
        <is>
          <t>SALDO ANTERIOR</t>
        </is>
      </c>
      <c r="C19" s="491" t="n">
        <v>385829.74</v>
      </c>
      <c r="D19" s="491">
        <f>C22</f>
        <v/>
      </c>
      <c r="E19" s="491">
        <f>D22</f>
        <v/>
      </c>
      <c r="F19" s="491">
        <f>E22</f>
        <v/>
      </c>
      <c r="G19" s="491">
        <f>F22</f>
        <v/>
      </c>
      <c r="H19" s="491">
        <f>G22</f>
        <v/>
      </c>
      <c r="I19" s="491">
        <f>H22</f>
        <v/>
      </c>
      <c r="J19" s="491">
        <f>I22</f>
        <v/>
      </c>
      <c r="K19" s="491">
        <f>J22</f>
        <v/>
      </c>
      <c r="L19" s="491">
        <f>K22</f>
        <v/>
      </c>
      <c r="M19" s="491">
        <f>L22</f>
        <v/>
      </c>
      <c r="N19" s="491">
        <f>M22</f>
        <v/>
      </c>
      <c r="O19" s="491">
        <f>N22</f>
        <v/>
      </c>
      <c r="P19" s="491" t="n"/>
      <c r="Q19" s="491" t="n"/>
      <c r="R19" s="491" t="n"/>
      <c r="S19" s="491" t="n"/>
      <c r="T19" s="491" t="n"/>
      <c r="U19" s="491" t="n"/>
      <c r="V19" s="491" t="n"/>
      <c r="W19" s="491" t="n"/>
      <c r="X19" s="491" t="n"/>
      <c r="Y19" s="491" t="n"/>
    </row>
    <row r="20" ht="12.75" customHeight="1" s="398">
      <c r="A20" s="496" t="n"/>
      <c r="B20" s="496" t="inlineStr">
        <is>
          <t>RECEITA</t>
        </is>
      </c>
      <c r="C20" s="491" t="n">
        <v>17990.62</v>
      </c>
      <c r="D20" s="491" t="n">
        <v>15600</v>
      </c>
      <c r="E20" s="491" t="n">
        <v>15600</v>
      </c>
      <c r="F20" s="491" t="n">
        <v>16822.96</v>
      </c>
      <c r="G20" s="491" t="n">
        <v>15915.18</v>
      </c>
      <c r="H20" s="491" t="n">
        <v>14106.21</v>
      </c>
      <c r="I20" s="491" t="n"/>
      <c r="J20" s="491" t="n"/>
      <c r="K20" s="491" t="n"/>
      <c r="L20" s="491" t="n"/>
      <c r="M20" s="491" t="n"/>
      <c r="N20" s="491" t="n"/>
      <c r="O20" s="491" t="n"/>
      <c r="P20" s="491" t="n"/>
      <c r="Q20" s="491" t="n"/>
      <c r="R20" s="491" t="n"/>
      <c r="S20" s="491" t="n"/>
      <c r="T20" s="491" t="n"/>
      <c r="U20" s="491" t="n"/>
      <c r="V20" s="491" t="n"/>
      <c r="W20" s="491" t="n"/>
      <c r="X20" s="491" t="n"/>
      <c r="Y20" s="491" t="n"/>
    </row>
    <row r="21" ht="12.75" customHeight="1" s="398">
      <c r="A21" s="496" t="n"/>
      <c r="B21" s="496" t="inlineStr">
        <is>
          <t>DESPESA</t>
        </is>
      </c>
      <c r="C21" s="491" t="n">
        <v>-1567.35</v>
      </c>
      <c r="D21" s="491" t="n">
        <v>-1144</v>
      </c>
      <c r="E21" s="491" t="n">
        <v>-1144</v>
      </c>
      <c r="F21" s="491" t="n">
        <v>0</v>
      </c>
      <c r="G21" s="491" t="n">
        <v>-756</v>
      </c>
      <c r="H21" s="491" t="n">
        <v>-102374.5</v>
      </c>
      <c r="I21" s="491" t="n"/>
      <c r="J21" s="491" t="n"/>
      <c r="K21" s="491" t="n"/>
      <c r="L21" s="491" t="n"/>
      <c r="M21" s="491" t="n"/>
      <c r="N21" s="491" t="n"/>
      <c r="O21" s="491" t="n"/>
      <c r="P21" s="491" t="n"/>
      <c r="Q21" s="491" t="n"/>
      <c r="R21" s="491" t="n"/>
      <c r="S21" s="491" t="n"/>
      <c r="T21" s="491" t="n"/>
      <c r="U21" s="491" t="n"/>
      <c r="V21" s="491" t="n"/>
      <c r="W21" s="491" t="n"/>
      <c r="X21" s="491" t="n"/>
      <c r="Y21" s="491" t="n"/>
    </row>
    <row r="22" ht="12.75" customHeight="1" s="398">
      <c r="A22" s="496" t="n"/>
      <c r="B22" s="496" t="inlineStr">
        <is>
          <t>SALDO ATUAL</t>
        </is>
      </c>
      <c r="C22" s="491">
        <f>SUM(C19:C21)</f>
        <v/>
      </c>
      <c r="D22" s="491">
        <f>SUM(D19:D21)</f>
        <v/>
      </c>
      <c r="E22" s="491">
        <f>SUM(E19:E21)</f>
        <v/>
      </c>
      <c r="F22" s="491">
        <f>SUM(F19:F21)</f>
        <v/>
      </c>
      <c r="G22" s="491">
        <f>SUM(G19:G21)</f>
        <v/>
      </c>
      <c r="H22" s="491">
        <f>SUM(H19:H21)</f>
        <v/>
      </c>
      <c r="I22" s="491">
        <f>SUM(I19:I21)</f>
        <v/>
      </c>
      <c r="J22" s="491">
        <f>SUM(J19:J21)</f>
        <v/>
      </c>
      <c r="K22" s="491">
        <f>SUM(K19:K21)</f>
        <v/>
      </c>
      <c r="L22" s="491">
        <f>SUM(L19:L21)</f>
        <v/>
      </c>
      <c r="M22" s="491">
        <f>SUM(M19:M21)</f>
        <v/>
      </c>
      <c r="N22" s="491">
        <f>SUM(N19:N21)</f>
        <v/>
      </c>
      <c r="O22" s="491">
        <f>SUM(O19:O21)</f>
        <v/>
      </c>
      <c r="P22" s="491" t="n"/>
      <c r="Q22" s="491" t="n"/>
      <c r="R22" s="491" t="n"/>
      <c r="S22" s="491" t="n"/>
      <c r="T22" s="491" t="n"/>
      <c r="U22" s="491" t="n"/>
      <c r="V22" s="491" t="n"/>
      <c r="W22" s="491" t="n"/>
      <c r="X22" s="491" t="n"/>
      <c r="Y22" s="491" t="n"/>
    </row>
    <row r="23" ht="7.5" customHeight="1" s="398" thickBot="1">
      <c r="A23" s="490" t="n"/>
      <c r="B23" s="490" t="n"/>
      <c r="C23" s="491" t="n"/>
      <c r="D23" s="491" t="n"/>
      <c r="E23" s="491" t="n"/>
      <c r="F23" s="491" t="n"/>
      <c r="G23" s="491" t="n"/>
      <c r="H23" s="491" t="n"/>
      <c r="I23" s="491" t="n"/>
      <c r="J23" s="491" t="n"/>
      <c r="K23" s="491" t="n"/>
      <c r="L23" s="491" t="n"/>
      <c r="M23" s="491" t="n"/>
      <c r="N23" s="491" t="n"/>
      <c r="O23" s="491" t="n"/>
      <c r="P23" s="491" t="n"/>
      <c r="Q23" s="491" t="n"/>
      <c r="R23" s="491" t="n"/>
      <c r="S23" s="491" t="n"/>
      <c r="T23" s="491" t="n"/>
      <c r="U23" s="491" t="n"/>
      <c r="V23" s="491" t="n"/>
      <c r="W23" s="491" t="n"/>
      <c r="X23" s="491" t="n"/>
      <c r="Y23" s="491" t="n"/>
    </row>
    <row r="24" ht="13.5" customHeight="1" s="398" thickBot="1">
      <c r="A24" s="492" t="n"/>
      <c r="B24" s="493" t="inlineStr">
        <is>
          <t>INADIMPLÊNCIA</t>
        </is>
      </c>
      <c r="C24" s="494">
        <f>C26</f>
        <v/>
      </c>
      <c r="D24" s="494">
        <f>D26</f>
        <v/>
      </c>
      <c r="E24" s="494">
        <f>E26</f>
        <v/>
      </c>
      <c r="F24" s="494">
        <f>F26</f>
        <v/>
      </c>
      <c r="G24" s="494">
        <f>G26</f>
        <v/>
      </c>
      <c r="H24" s="494">
        <f>H26</f>
        <v/>
      </c>
      <c r="I24" s="494">
        <f>I26</f>
        <v/>
      </c>
      <c r="J24" s="494">
        <f>J26</f>
        <v/>
      </c>
      <c r="K24" s="494">
        <f>K26</f>
        <v/>
      </c>
      <c r="L24" s="494">
        <f>L26</f>
        <v/>
      </c>
      <c r="M24" s="494">
        <f>M26</f>
        <v/>
      </c>
      <c r="N24" s="494">
        <f>N26</f>
        <v/>
      </c>
      <c r="O24" s="495">
        <f>O26</f>
        <v/>
      </c>
      <c r="P24" s="480" t="n"/>
      <c r="Q24" s="480" t="n"/>
      <c r="R24" s="480" t="n"/>
      <c r="S24" s="480" t="n"/>
      <c r="T24" s="480" t="n"/>
      <c r="U24" s="480" t="n"/>
      <c r="V24" s="480" t="n"/>
      <c r="W24" s="480" t="n"/>
      <c r="X24" s="480" t="n"/>
      <c r="Y24" s="480" t="n"/>
    </row>
    <row r="25" ht="12.75" customHeight="1" s="398">
      <c r="A25" s="496" t="n"/>
      <c r="B25" s="496" t="inlineStr">
        <is>
          <t>SALDO ANTERIOR</t>
        </is>
      </c>
      <c r="C25" s="491" t="n">
        <v>6358.97</v>
      </c>
      <c r="D25" s="491">
        <f>C26</f>
        <v/>
      </c>
      <c r="E25" s="491">
        <f>D26</f>
        <v/>
      </c>
      <c r="F25" s="491">
        <f>E26</f>
        <v/>
      </c>
      <c r="G25" s="491">
        <f>F26</f>
        <v/>
      </c>
      <c r="H25" s="491">
        <f>G26</f>
        <v/>
      </c>
      <c r="I25" s="491">
        <f>H26</f>
        <v/>
      </c>
      <c r="J25" s="491">
        <f>I26</f>
        <v/>
      </c>
      <c r="K25" s="491">
        <f>J26</f>
        <v/>
      </c>
      <c r="L25" s="491">
        <f>K26</f>
        <v/>
      </c>
      <c r="M25" s="491">
        <f>L26</f>
        <v/>
      </c>
      <c r="N25" s="491">
        <f>M26</f>
        <v/>
      </c>
      <c r="O25" s="491">
        <f>N26</f>
        <v/>
      </c>
      <c r="P25" s="491" t="n"/>
      <c r="Q25" s="491" t="n"/>
      <c r="R25" s="491" t="n"/>
      <c r="S25" s="491" t="n"/>
      <c r="T25" s="491" t="n"/>
      <c r="U25" s="491" t="n"/>
      <c r="V25" s="491" t="n"/>
      <c r="W25" s="491" t="n"/>
      <c r="X25" s="491" t="n"/>
      <c r="Y25" s="491" t="n"/>
    </row>
    <row r="26" ht="12.75" customHeight="1" s="398">
      <c r="A26" s="496" t="n"/>
      <c r="B26" s="496" t="inlineStr">
        <is>
          <t>SALDO ATUAL</t>
        </is>
      </c>
      <c r="C26" s="491" t="n">
        <v>6358.97</v>
      </c>
      <c r="D26" s="491" t="n">
        <v>6358.97</v>
      </c>
      <c r="E26" s="491" t="n">
        <v>6358.97</v>
      </c>
      <c r="F26" s="491" t="n">
        <v>6358.97</v>
      </c>
      <c r="G26" s="491" t="n">
        <v>6358.97</v>
      </c>
      <c r="H26" s="491" t="n">
        <v>6358.97</v>
      </c>
      <c r="I26" s="491" t="n">
        <v>6358.97</v>
      </c>
      <c r="J26" s="491" t="n">
        <v>6358.97</v>
      </c>
      <c r="K26" s="491" t="n">
        <v>6358.97</v>
      </c>
      <c r="L26" s="491" t="n">
        <v>6358.97</v>
      </c>
      <c r="M26" s="491" t="n">
        <v>6358.97</v>
      </c>
      <c r="N26" s="491" t="n">
        <v>6358.97</v>
      </c>
      <c r="O26" s="491" t="n">
        <v>6358.97</v>
      </c>
      <c r="P26" s="491" t="n"/>
      <c r="Q26" s="491" t="n"/>
      <c r="R26" s="491" t="n"/>
      <c r="S26" s="491" t="n"/>
      <c r="T26" s="491" t="n"/>
      <c r="U26" s="491" t="n"/>
      <c r="V26" s="491" t="n"/>
      <c r="W26" s="491" t="n"/>
      <c r="X26" s="491" t="n"/>
      <c r="Y26" s="491" t="n"/>
    </row>
    <row r="27" ht="7.5" customHeight="1" s="398" thickBot="1">
      <c r="A27" s="490" t="n"/>
      <c r="B27" s="490" t="n"/>
      <c r="C27" s="491" t="n"/>
      <c r="D27" s="491" t="n"/>
      <c r="E27" s="491" t="n"/>
      <c r="F27" s="491" t="n"/>
      <c r="G27" s="491" t="n"/>
      <c r="H27" s="491" t="n"/>
      <c r="I27" s="491" t="n"/>
      <c r="J27" s="491" t="n"/>
      <c r="K27" s="491" t="n"/>
      <c r="L27" s="491" t="n"/>
      <c r="M27" s="491" t="n"/>
      <c r="N27" s="491" t="n"/>
      <c r="O27" s="491" t="n"/>
      <c r="P27" s="491" t="n"/>
      <c r="Q27" s="491" t="n"/>
      <c r="R27" s="491" t="n"/>
      <c r="S27" s="491" t="n"/>
      <c r="T27" s="491" t="n"/>
      <c r="U27" s="491" t="n"/>
      <c r="V27" s="491" t="n"/>
      <c r="W27" s="491" t="n"/>
      <c r="X27" s="491" t="n"/>
      <c r="Y27" s="491" t="n"/>
    </row>
    <row r="28" ht="13.5" customHeight="1" s="398" thickBot="1">
      <c r="A28" s="492" t="n"/>
      <c r="B28" s="493" t="inlineStr">
        <is>
          <t>FUNDO DE RESERVA</t>
        </is>
      </c>
      <c r="C28" s="494">
        <f>C30</f>
        <v/>
      </c>
      <c r="D28" s="494">
        <f>D30</f>
        <v/>
      </c>
      <c r="E28" s="494">
        <f>E30</f>
        <v/>
      </c>
      <c r="F28" s="494">
        <f>F30</f>
        <v/>
      </c>
      <c r="G28" s="494">
        <f>G30</f>
        <v/>
      </c>
      <c r="H28" s="494">
        <f>H30</f>
        <v/>
      </c>
      <c r="I28" s="494">
        <f>I30</f>
        <v/>
      </c>
      <c r="J28" s="494">
        <f>J30</f>
        <v/>
      </c>
      <c r="K28" s="494">
        <f>K30</f>
        <v/>
      </c>
      <c r="L28" s="494">
        <f>L30</f>
        <v/>
      </c>
      <c r="M28" s="494">
        <f>M30</f>
        <v/>
      </c>
      <c r="N28" s="494">
        <f>N30</f>
        <v/>
      </c>
      <c r="O28" s="495">
        <f>O30</f>
        <v/>
      </c>
      <c r="P28" s="480" t="n"/>
      <c r="Q28" s="480" t="n"/>
      <c r="R28" s="480" t="n"/>
      <c r="S28" s="480" t="n"/>
      <c r="T28" s="480" t="n"/>
      <c r="U28" s="480" t="n"/>
      <c r="V28" s="480" t="n"/>
      <c r="W28" s="480" t="n"/>
      <c r="X28" s="480" t="n"/>
      <c r="Y28" s="480" t="n"/>
    </row>
    <row r="29" ht="12.75" customHeight="1" s="398">
      <c r="A29" s="496" t="n"/>
      <c r="B29" s="496" t="inlineStr">
        <is>
          <t>SALDO ANTERIOR</t>
        </is>
      </c>
      <c r="C29" s="491" t="n">
        <v>4522.65</v>
      </c>
      <c r="D29" s="491">
        <f>C30</f>
        <v/>
      </c>
      <c r="E29" s="491">
        <f>D30</f>
        <v/>
      </c>
      <c r="F29" s="491">
        <f>E30</f>
        <v/>
      </c>
      <c r="G29" s="491">
        <f>F30</f>
        <v/>
      </c>
      <c r="H29" s="491">
        <f>G30</f>
        <v/>
      </c>
      <c r="I29" s="491">
        <f>H30</f>
        <v/>
      </c>
      <c r="J29" s="491">
        <f>I30</f>
        <v/>
      </c>
      <c r="K29" s="491">
        <f>J30</f>
        <v/>
      </c>
      <c r="L29" s="491">
        <f>K30</f>
        <v/>
      </c>
      <c r="M29" s="491">
        <f>L30</f>
        <v/>
      </c>
      <c r="N29" s="491">
        <f>M30</f>
        <v/>
      </c>
      <c r="O29" s="491">
        <f>N30</f>
        <v/>
      </c>
      <c r="P29" s="491" t="n"/>
      <c r="Q29" s="491" t="n"/>
      <c r="R29" s="491" t="n"/>
      <c r="S29" s="491" t="n"/>
      <c r="T29" s="491" t="n"/>
      <c r="U29" s="491" t="n"/>
      <c r="V29" s="491" t="n"/>
      <c r="W29" s="491" t="n"/>
      <c r="X29" s="491" t="n"/>
      <c r="Y29" s="491" t="n"/>
    </row>
    <row r="30" ht="12.75" customHeight="1" s="398">
      <c r="A30" s="496" t="n"/>
      <c r="B30" s="496" t="inlineStr">
        <is>
          <t>SALDO ATUAL</t>
        </is>
      </c>
      <c r="C30" s="491">
        <f>C29</f>
        <v/>
      </c>
      <c r="D30" s="491">
        <f>D29</f>
        <v/>
      </c>
      <c r="E30" s="491">
        <f>E29</f>
        <v/>
      </c>
      <c r="F30" s="491">
        <f>F29</f>
        <v/>
      </c>
      <c r="G30" s="491">
        <f>G29</f>
        <v/>
      </c>
      <c r="H30" s="491">
        <f>H29</f>
        <v/>
      </c>
      <c r="I30" s="491">
        <f>I29</f>
        <v/>
      </c>
      <c r="J30" s="491">
        <f>J29</f>
        <v/>
      </c>
      <c r="K30" s="491">
        <f>K29</f>
        <v/>
      </c>
      <c r="L30" s="491">
        <f>L29</f>
        <v/>
      </c>
      <c r="M30" s="491">
        <f>M29</f>
        <v/>
      </c>
      <c r="N30" s="491">
        <f>N29</f>
        <v/>
      </c>
      <c r="O30" s="491">
        <f>O29</f>
        <v/>
      </c>
      <c r="P30" s="491" t="n"/>
      <c r="Q30" s="491" t="n"/>
      <c r="R30" s="491" t="n"/>
      <c r="S30" s="491" t="n"/>
      <c r="T30" s="491" t="n"/>
      <c r="U30" s="491" t="n"/>
      <c r="V30" s="491" t="n"/>
      <c r="W30" s="491" t="n"/>
      <c r="X30" s="491" t="n"/>
      <c r="Y30" s="491" t="n"/>
    </row>
    <row r="31" ht="7.5" customHeight="1" s="398" thickBot="1">
      <c r="A31" s="490" t="n"/>
      <c r="B31" s="490" t="n"/>
      <c r="C31" s="491" t="n"/>
      <c r="D31" s="491" t="n"/>
      <c r="E31" s="491" t="n"/>
      <c r="F31" s="491" t="n"/>
      <c r="G31" s="491" t="n"/>
      <c r="H31" s="491" t="n"/>
      <c r="I31" s="491" t="n"/>
      <c r="J31" s="491" t="n"/>
      <c r="K31" s="491" t="n"/>
      <c r="L31" s="491" t="n"/>
      <c r="M31" s="491" t="n"/>
      <c r="N31" s="491" t="n"/>
      <c r="O31" s="491" t="n"/>
      <c r="P31" s="491" t="n"/>
      <c r="Q31" s="491" t="n"/>
      <c r="R31" s="491" t="n"/>
      <c r="S31" s="491" t="n"/>
      <c r="T31" s="491" t="n"/>
      <c r="U31" s="491" t="n"/>
      <c r="V31" s="491" t="n"/>
      <c r="W31" s="491" t="n"/>
      <c r="X31" s="491" t="n"/>
      <c r="Y31" s="491" t="n"/>
    </row>
    <row r="32" ht="13.5" customHeight="1" s="398" thickBot="1">
      <c r="A32" s="492" t="n"/>
      <c r="B32" s="493" t="inlineStr">
        <is>
          <t>BRADESCO</t>
        </is>
      </c>
      <c r="C32" s="494">
        <f>C34</f>
        <v/>
      </c>
      <c r="D32" s="494">
        <f>D34</f>
        <v/>
      </c>
      <c r="E32" s="494">
        <f>E34</f>
        <v/>
      </c>
      <c r="F32" s="494">
        <f>F34</f>
        <v/>
      </c>
      <c r="G32" s="494">
        <f>G34</f>
        <v/>
      </c>
      <c r="H32" s="494">
        <f>H34</f>
        <v/>
      </c>
      <c r="I32" s="494">
        <f>I34</f>
        <v/>
      </c>
      <c r="J32" s="494">
        <f>J34</f>
        <v/>
      </c>
      <c r="K32" s="494">
        <f>K34</f>
        <v/>
      </c>
      <c r="L32" s="494">
        <f>L34</f>
        <v/>
      </c>
      <c r="M32" s="494">
        <f>M34</f>
        <v/>
      </c>
      <c r="N32" s="494">
        <f>N34</f>
        <v/>
      </c>
      <c r="O32" s="495">
        <f>O34</f>
        <v/>
      </c>
      <c r="P32" s="480" t="n"/>
      <c r="Q32" s="480" t="n"/>
      <c r="R32" s="480" t="n"/>
      <c r="S32" s="480" t="n"/>
      <c r="T32" s="480" t="n"/>
      <c r="U32" s="480" t="n"/>
      <c r="V32" s="480" t="n"/>
      <c r="W32" s="480" t="n"/>
      <c r="X32" s="480" t="n"/>
      <c r="Y32" s="480" t="n"/>
    </row>
    <row r="33" ht="12.75" customHeight="1" s="398">
      <c r="A33" s="496" t="n"/>
      <c r="B33" s="496" t="inlineStr">
        <is>
          <t>SALDO ANTERIOR</t>
        </is>
      </c>
      <c r="C33" s="497">
        <f>114858.61+941415.06</f>
        <v/>
      </c>
      <c r="D33" s="497">
        <f>C34</f>
        <v/>
      </c>
      <c r="E33" s="497">
        <f>D34</f>
        <v/>
      </c>
      <c r="F33" s="497">
        <f>E34</f>
        <v/>
      </c>
      <c r="G33" s="497">
        <f>F34</f>
        <v/>
      </c>
      <c r="H33" s="497">
        <f>G34</f>
        <v/>
      </c>
      <c r="I33" s="497">
        <f>H34</f>
        <v/>
      </c>
      <c r="J33" s="497">
        <f>I34</f>
        <v/>
      </c>
      <c r="K33" s="497">
        <f>J34</f>
        <v/>
      </c>
      <c r="L33" s="497">
        <f>K34</f>
        <v/>
      </c>
      <c r="M33" s="497">
        <f>L34</f>
        <v/>
      </c>
      <c r="N33" s="497">
        <f>M34</f>
        <v/>
      </c>
      <c r="O33" s="497">
        <f>N34</f>
        <v/>
      </c>
      <c r="P33" s="491" t="n"/>
      <c r="Q33" s="491" t="n"/>
      <c r="R33" s="491" t="n"/>
      <c r="S33" s="491" t="n"/>
      <c r="T33" s="491" t="n"/>
      <c r="U33" s="491" t="n"/>
      <c r="V33" s="491" t="n"/>
      <c r="W33" s="491" t="n"/>
      <c r="X33" s="491" t="n"/>
      <c r="Y33" s="491" t="n"/>
    </row>
    <row r="34" ht="12.75" customHeight="1" s="398">
      <c r="A34" s="496" t="n"/>
      <c r="B34" s="496" t="inlineStr">
        <is>
          <t>SALDO ATUAL</t>
        </is>
      </c>
      <c r="C34" s="497" t="n">
        <v>1116354.07</v>
      </c>
      <c r="D34" s="497" t="n"/>
      <c r="E34" s="497" t="n"/>
      <c r="F34" s="497" t="n"/>
      <c r="G34" s="497" t="n"/>
      <c r="H34" s="497" t="n"/>
      <c r="I34" s="497" t="n"/>
      <c r="J34" s="497" t="n"/>
      <c r="K34" s="497" t="n"/>
      <c r="L34" s="497" t="n"/>
      <c r="M34" s="497" t="n"/>
      <c r="N34" s="497" t="n"/>
      <c r="O34" s="497" t="n"/>
      <c r="P34" s="491" t="n"/>
      <c r="Q34" s="491" t="n"/>
      <c r="R34" s="491" t="n"/>
      <c r="S34" s="491" t="n"/>
      <c r="T34" s="491" t="n"/>
      <c r="U34" s="491" t="n"/>
      <c r="V34" s="491" t="n"/>
      <c r="W34" s="491" t="n"/>
      <c r="X34" s="491" t="n"/>
      <c r="Y34" s="491" t="n"/>
    </row>
    <row r="35" ht="7.5" customHeight="1" s="398" thickBot="1">
      <c r="A35" s="490" t="n"/>
      <c r="B35" s="490" t="n"/>
      <c r="C35" s="491" t="n"/>
      <c r="D35" s="491" t="n"/>
      <c r="E35" s="491" t="n"/>
      <c r="F35" s="491" t="n"/>
      <c r="G35" s="491" t="n"/>
      <c r="H35" s="491" t="n"/>
      <c r="I35" s="491" t="n"/>
      <c r="J35" s="491" t="n"/>
      <c r="K35" s="491" t="n"/>
      <c r="L35" s="491" t="n"/>
      <c r="M35" s="491" t="n"/>
      <c r="N35" s="491" t="n"/>
      <c r="O35" s="491" t="n"/>
      <c r="P35" s="491" t="n"/>
      <c r="Q35" s="491" t="n"/>
      <c r="R35" s="491" t="n"/>
      <c r="S35" s="491" t="n"/>
      <c r="T35" s="491" t="n"/>
      <c r="U35" s="491" t="n"/>
      <c r="V35" s="491" t="n"/>
      <c r="W35" s="491" t="n"/>
      <c r="X35" s="491" t="n"/>
      <c r="Y35" s="491" t="n"/>
    </row>
    <row r="36" ht="13.5" customHeight="1" s="398" thickBot="1">
      <c r="A36" s="492" t="n"/>
      <c r="B36" s="493" t="inlineStr">
        <is>
          <t>TOTAL</t>
        </is>
      </c>
      <c r="C36" s="494">
        <f>C6+C12+C18+C24+C28+C32</f>
        <v/>
      </c>
      <c r="D36" s="494">
        <f>D6+D12+D18+D24+D28+D32</f>
        <v/>
      </c>
      <c r="E36" s="494">
        <f>E6+E12+E18+E24+E28+E32</f>
        <v/>
      </c>
      <c r="F36" s="494">
        <f>F6+F12+F18+F24+F28+F32</f>
        <v/>
      </c>
      <c r="G36" s="494">
        <f>G6+G12+G18+G24+G28+G32</f>
        <v/>
      </c>
      <c r="H36" s="494">
        <f>H6+H12+H18+H24+H28+H32</f>
        <v/>
      </c>
      <c r="I36" s="494">
        <f>I6+I12+I18+I24+I28+I32</f>
        <v/>
      </c>
      <c r="J36" s="494">
        <f>J6+J12+J18+J24+J28+J32</f>
        <v/>
      </c>
      <c r="K36" s="494">
        <f>K6+K12+K18+K24+K28+K32</f>
        <v/>
      </c>
      <c r="L36" s="494">
        <f>L6+L12+L18+L24+L28+L32</f>
        <v/>
      </c>
      <c r="M36" s="494">
        <f>M6+M12+M18+M24+M28+M32</f>
        <v/>
      </c>
      <c r="N36" s="494">
        <f>N6+N12+N18+N24+N28+N32</f>
        <v/>
      </c>
      <c r="O36" s="495">
        <f>O6+O12+O18+O24+O28+O32</f>
        <v/>
      </c>
      <c r="P36" s="480" t="n"/>
      <c r="Q36" s="480" t="n"/>
      <c r="R36" s="480" t="n"/>
      <c r="S36" s="480" t="n"/>
      <c r="T36" s="480" t="n"/>
      <c r="U36" s="480" t="n"/>
      <c r="V36" s="480" t="n"/>
      <c r="W36" s="480" t="n"/>
      <c r="X36" s="480" t="n"/>
      <c r="Y36" s="480" t="n"/>
    </row>
    <row r="37" ht="12.75" customHeight="1" s="398">
      <c r="A37" s="491" t="n"/>
      <c r="B37" s="491" t="n"/>
      <c r="C37" s="491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491" t="n"/>
      <c r="Q37" s="491" t="n"/>
      <c r="R37" s="491" t="n"/>
      <c r="S37" s="491" t="n"/>
      <c r="T37" s="491" t="n"/>
      <c r="U37" s="491" t="n"/>
      <c r="V37" s="491" t="n"/>
      <c r="W37" s="491" t="n"/>
      <c r="X37" s="491" t="n"/>
      <c r="Y37" s="491" t="n"/>
    </row>
    <row r="38" ht="12.75" customHeight="1" s="398">
      <c r="A38" s="491" t="n"/>
      <c r="B38" s="491" t="n"/>
      <c r="C38" s="491" t="n"/>
      <c r="D38" s="52" t="n"/>
      <c r="E38" s="52" t="n"/>
      <c r="F38" s="52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3" t="n"/>
      <c r="P38" s="491" t="n"/>
      <c r="Q38" s="491" t="n"/>
      <c r="R38" s="491" t="n"/>
      <c r="S38" s="491" t="n"/>
      <c r="T38" s="491" t="n"/>
      <c r="U38" s="491" t="n"/>
      <c r="V38" s="491" t="n"/>
      <c r="W38" s="491" t="n"/>
      <c r="X38" s="491" t="n"/>
      <c r="Y38" s="491" t="n"/>
    </row>
    <row r="39" ht="12.75" customHeight="1" s="398">
      <c r="A39" s="491" t="n"/>
      <c r="B39" s="491" t="n"/>
      <c r="C39" s="491" t="n"/>
      <c r="D39" s="491" t="n"/>
      <c r="E39" s="491" t="n"/>
      <c r="F39" s="491" t="n"/>
      <c r="G39" s="491" t="n"/>
      <c r="H39" s="491" t="n"/>
      <c r="I39" s="491" t="n"/>
      <c r="J39" s="491" t="n"/>
      <c r="K39" s="491" t="n"/>
      <c r="L39" s="491" t="n"/>
      <c r="M39" s="491" t="n"/>
      <c r="N39" s="491" t="n"/>
      <c r="O39" s="491" t="n"/>
      <c r="P39" s="491" t="n"/>
      <c r="Q39" s="491" t="n"/>
      <c r="R39" s="491" t="n"/>
      <c r="S39" s="491" t="n"/>
      <c r="T39" s="491" t="n"/>
      <c r="U39" s="491" t="n"/>
      <c r="V39" s="491" t="n"/>
      <c r="W39" s="491" t="n"/>
      <c r="X39" s="491" t="n"/>
      <c r="Y39" s="491" t="n"/>
    </row>
    <row r="40" ht="12.75" customHeight="1" s="398">
      <c r="A40" s="491" t="n"/>
      <c r="B40" s="491" t="n"/>
      <c r="C40" s="491" t="n"/>
      <c r="D40" s="491" t="n"/>
      <c r="E40" s="491" t="n"/>
      <c r="F40" s="491" t="n"/>
      <c r="G40" s="491" t="n"/>
      <c r="H40" s="491" t="n"/>
      <c r="I40" s="491" t="n"/>
      <c r="J40" s="491" t="n"/>
      <c r="K40" s="491" t="n"/>
      <c r="L40" s="491" t="n"/>
      <c r="M40" s="491" t="n"/>
      <c r="N40" s="491" t="n"/>
      <c r="O40" s="491" t="n"/>
      <c r="P40" s="491" t="n"/>
      <c r="Q40" s="491" t="n"/>
      <c r="R40" s="491" t="n"/>
      <c r="S40" s="491" t="n"/>
      <c r="T40" s="491" t="n"/>
      <c r="U40" s="491" t="n"/>
      <c r="V40" s="491" t="n"/>
      <c r="W40" s="491" t="n"/>
      <c r="X40" s="491" t="n"/>
      <c r="Y40" s="491" t="n"/>
    </row>
    <row r="41" ht="12.75" customHeight="1" s="398">
      <c r="A41" s="491" t="n"/>
      <c r="B41" s="491" t="n"/>
      <c r="C41" s="491" t="n"/>
      <c r="D41" s="491" t="n"/>
      <c r="E41" s="491" t="n"/>
      <c r="F41" s="498" t="n"/>
      <c r="S41" s="491" t="n"/>
      <c r="T41" s="491" t="n"/>
      <c r="U41" s="491" t="n"/>
      <c r="V41" s="491" t="n"/>
      <c r="W41" s="491" t="n"/>
      <c r="X41" s="491" t="n"/>
      <c r="Y41" s="491" t="n"/>
    </row>
    <row r="42" ht="12.75" customHeight="1" s="398">
      <c r="A42" s="491" t="n"/>
      <c r="B42" s="491" t="n"/>
      <c r="C42" s="491" t="n"/>
      <c r="D42" s="491" t="n"/>
      <c r="E42" s="491" t="n"/>
      <c r="S42" s="491" t="n"/>
      <c r="T42" s="491" t="n"/>
      <c r="U42" s="491" t="n"/>
      <c r="V42" s="491" t="n"/>
      <c r="W42" s="491" t="n"/>
      <c r="X42" s="491" t="n"/>
      <c r="Y42" s="491" t="n"/>
    </row>
    <row r="43" ht="12.75" customHeight="1" s="398">
      <c r="A43" s="491" t="n"/>
      <c r="B43" s="491" t="n"/>
      <c r="C43" s="491" t="n"/>
      <c r="D43" s="491" t="n"/>
      <c r="E43" s="491" t="n"/>
      <c r="S43" s="491" t="n"/>
      <c r="T43" s="491" t="n"/>
      <c r="U43" s="491" t="n"/>
      <c r="V43" s="491" t="n"/>
      <c r="W43" s="491" t="n"/>
      <c r="X43" s="491" t="n"/>
      <c r="Y43" s="491" t="n"/>
    </row>
    <row r="44" ht="12.75" customHeight="1" s="398">
      <c r="A44" s="491" t="n"/>
      <c r="B44" s="491" t="n"/>
      <c r="C44" s="491" t="n"/>
      <c r="D44" s="491" t="n"/>
      <c r="E44" s="491" t="n"/>
      <c r="S44" s="491" t="n"/>
      <c r="T44" s="491" t="n"/>
      <c r="U44" s="491" t="n"/>
      <c r="V44" s="491" t="n"/>
      <c r="W44" s="491" t="n"/>
      <c r="X44" s="491" t="n"/>
      <c r="Y44" s="491" t="n"/>
    </row>
    <row r="45" ht="12.75" customHeight="1" s="398">
      <c r="A45" s="491" t="n"/>
      <c r="B45" s="491" t="n"/>
      <c r="C45" s="491" t="n"/>
      <c r="D45" s="491" t="n"/>
      <c r="E45" s="491" t="n"/>
      <c r="S45" s="491" t="n"/>
      <c r="T45" s="491" t="n"/>
      <c r="U45" s="491" t="n"/>
      <c r="V45" s="491" t="n"/>
      <c r="W45" s="491" t="n"/>
      <c r="X45" s="491" t="n"/>
      <c r="Y45" s="491" t="n"/>
    </row>
    <row r="46" ht="12.75" customHeight="1" s="398">
      <c r="A46" s="491" t="n"/>
      <c r="B46" s="491" t="n"/>
      <c r="C46" s="491" t="n"/>
      <c r="D46" s="491" t="n"/>
      <c r="E46" s="491" t="n"/>
      <c r="S46" s="491" t="n"/>
      <c r="T46" s="491" t="n"/>
      <c r="U46" s="491" t="n"/>
      <c r="V46" s="491" t="n"/>
      <c r="W46" s="491" t="n"/>
      <c r="X46" s="491" t="n"/>
      <c r="Y46" s="491" t="n"/>
    </row>
    <row r="47" ht="12.75" customHeight="1" s="398">
      <c r="A47" s="491" t="n"/>
      <c r="B47" s="491" t="n"/>
      <c r="C47" s="491" t="n"/>
      <c r="D47" s="491" t="n"/>
      <c r="E47" s="491" t="n"/>
      <c r="S47" s="491" t="n"/>
      <c r="T47" s="491" t="n"/>
      <c r="U47" s="491" t="n"/>
      <c r="V47" s="491" t="n"/>
      <c r="W47" s="491" t="n"/>
      <c r="X47" s="491" t="n"/>
      <c r="Y47" s="491" t="n"/>
    </row>
    <row r="48" ht="12.75" customHeight="1" s="398">
      <c r="A48" s="491" t="n"/>
      <c r="B48" s="491" t="n"/>
      <c r="C48" s="491" t="n"/>
      <c r="D48" s="491" t="n"/>
      <c r="E48" s="491" t="n"/>
      <c r="S48" s="491" t="n"/>
      <c r="T48" s="491" t="n"/>
      <c r="U48" s="491" t="n"/>
      <c r="V48" s="491" t="n"/>
      <c r="W48" s="491" t="n"/>
      <c r="X48" s="491" t="n"/>
      <c r="Y48" s="491" t="n"/>
    </row>
    <row r="49" ht="12.75" customHeight="1" s="398">
      <c r="A49" s="491" t="n"/>
      <c r="B49" s="491" t="n"/>
      <c r="C49" s="491" t="n"/>
      <c r="D49" s="491" t="n"/>
      <c r="E49" s="491" t="n"/>
      <c r="S49" s="491" t="n"/>
      <c r="T49" s="491" t="n"/>
      <c r="U49" s="491" t="n"/>
      <c r="V49" s="491" t="n"/>
      <c r="W49" s="491" t="n"/>
      <c r="X49" s="491" t="n"/>
      <c r="Y49" s="491" t="n"/>
    </row>
    <row r="50" ht="12.75" customHeight="1" s="398">
      <c r="A50" s="491" t="n"/>
      <c r="B50" s="491" t="n"/>
      <c r="C50" s="491" t="n"/>
      <c r="D50" s="491" t="n"/>
      <c r="E50" s="491" t="n"/>
      <c r="S50" s="491" t="n"/>
      <c r="T50" s="491" t="n"/>
      <c r="U50" s="491" t="n"/>
      <c r="V50" s="491" t="n"/>
      <c r="W50" s="491" t="n"/>
      <c r="X50" s="491" t="n"/>
      <c r="Y50" s="491" t="n"/>
    </row>
    <row r="51" ht="12.75" customHeight="1" s="398">
      <c r="A51" s="491" t="n"/>
      <c r="B51" s="491" t="n"/>
      <c r="C51" s="491" t="n"/>
      <c r="D51" s="491" t="n"/>
      <c r="E51" s="491" t="n"/>
      <c r="S51" s="491" t="n"/>
      <c r="T51" s="491" t="n"/>
      <c r="U51" s="491" t="n"/>
      <c r="V51" s="491" t="n"/>
      <c r="W51" s="491" t="n"/>
      <c r="X51" s="491" t="n"/>
      <c r="Y51" s="491" t="n"/>
    </row>
    <row r="52" ht="12.75" customHeight="1" s="398">
      <c r="A52" s="491" t="n"/>
      <c r="B52" s="491" t="n"/>
      <c r="C52" s="491" t="n"/>
      <c r="D52" s="491" t="n"/>
      <c r="E52" s="491" t="n"/>
      <c r="S52" s="491" t="n"/>
      <c r="T52" s="491" t="n"/>
      <c r="U52" s="491" t="n"/>
      <c r="V52" s="491" t="n"/>
      <c r="W52" s="491" t="n"/>
      <c r="X52" s="491" t="n"/>
      <c r="Y52" s="491" t="n"/>
    </row>
    <row r="53" ht="12.75" customHeight="1" s="398">
      <c r="A53" s="491" t="n"/>
      <c r="B53" s="491" t="n"/>
      <c r="C53" s="491" t="n"/>
      <c r="D53" s="491" t="n"/>
      <c r="E53" s="491" t="n"/>
      <c r="S53" s="491" t="n"/>
      <c r="T53" s="491" t="n"/>
      <c r="U53" s="491" t="n"/>
      <c r="V53" s="491" t="n"/>
      <c r="W53" s="491" t="n"/>
      <c r="X53" s="491" t="n"/>
      <c r="Y53" s="491" t="n"/>
    </row>
    <row r="54" ht="12.75" customHeight="1" s="398">
      <c r="A54" s="491" t="n"/>
      <c r="B54" s="491" t="n"/>
      <c r="C54" s="491" t="n"/>
      <c r="D54" s="491" t="n"/>
      <c r="E54" s="491" t="n"/>
      <c r="S54" s="491" t="n"/>
      <c r="T54" s="491" t="n"/>
      <c r="U54" s="491" t="n"/>
      <c r="V54" s="491" t="n"/>
      <c r="W54" s="491" t="n"/>
      <c r="X54" s="491" t="n"/>
      <c r="Y54" s="491" t="n"/>
    </row>
    <row r="55" ht="12.75" customHeight="1" s="398">
      <c r="A55" s="491" t="n"/>
      <c r="B55" s="491" t="n"/>
      <c r="C55" s="491" t="n"/>
      <c r="D55" s="491" t="n"/>
      <c r="E55" s="491" t="n"/>
      <c r="S55" s="491" t="n"/>
      <c r="T55" s="491" t="n"/>
      <c r="U55" s="491" t="n"/>
      <c r="V55" s="491" t="n"/>
      <c r="W55" s="491" t="n"/>
      <c r="X55" s="491" t="n"/>
      <c r="Y55" s="491" t="n"/>
    </row>
    <row r="56" ht="12.75" customHeight="1" s="398">
      <c r="A56" s="491" t="n"/>
      <c r="B56" s="491" t="n"/>
      <c r="C56" s="491" t="n"/>
      <c r="D56" s="491" t="n"/>
      <c r="E56" s="491" t="n"/>
      <c r="S56" s="491" t="n"/>
      <c r="T56" s="491" t="n"/>
      <c r="U56" s="491" t="n"/>
      <c r="V56" s="491" t="n"/>
      <c r="W56" s="491" t="n"/>
      <c r="X56" s="491" t="n"/>
      <c r="Y56" s="491" t="n"/>
    </row>
    <row r="57" ht="12.75" customHeight="1" s="398">
      <c r="A57" s="491" t="n"/>
      <c r="B57" s="491" t="n"/>
      <c r="C57" s="491" t="n"/>
      <c r="D57" s="491" t="n"/>
      <c r="E57" s="491" t="n"/>
      <c r="S57" s="491" t="n"/>
      <c r="T57" s="491" t="n"/>
      <c r="U57" s="491" t="n"/>
      <c r="V57" s="491" t="n"/>
      <c r="W57" s="491" t="n"/>
      <c r="X57" s="491" t="n"/>
      <c r="Y57" s="491" t="n"/>
    </row>
    <row r="58" ht="12.75" customHeight="1" s="398">
      <c r="A58" s="491" t="n"/>
      <c r="B58" s="491" t="n"/>
      <c r="C58" s="491" t="n"/>
      <c r="D58" s="491" t="n"/>
      <c r="E58" s="491" t="n"/>
      <c r="S58" s="491" t="n"/>
      <c r="T58" s="491" t="n"/>
      <c r="U58" s="491" t="n"/>
      <c r="V58" s="491" t="n"/>
      <c r="W58" s="491" t="n"/>
      <c r="X58" s="491" t="n"/>
      <c r="Y58" s="491" t="n"/>
    </row>
    <row r="59" ht="12.75" customHeight="1" s="398">
      <c r="A59" s="491" t="n"/>
      <c r="B59" s="491" t="n"/>
      <c r="C59" s="491" t="n"/>
      <c r="D59" s="491" t="n"/>
      <c r="E59" s="491" t="n"/>
      <c r="S59" s="491" t="n"/>
      <c r="T59" s="491" t="n"/>
      <c r="U59" s="491" t="n"/>
      <c r="V59" s="491" t="n"/>
      <c r="W59" s="491" t="n"/>
      <c r="X59" s="491" t="n"/>
      <c r="Y59" s="491" t="n"/>
    </row>
    <row r="60" ht="12.75" customHeight="1" s="398">
      <c r="A60" s="491" t="n"/>
      <c r="B60" s="491" t="n"/>
      <c r="C60" s="491" t="n"/>
      <c r="D60" s="491" t="n"/>
      <c r="E60" s="491" t="n"/>
      <c r="S60" s="491" t="n"/>
      <c r="T60" s="491" t="n"/>
      <c r="U60" s="491" t="n"/>
      <c r="V60" s="491" t="n"/>
      <c r="W60" s="491" t="n"/>
      <c r="X60" s="491" t="n"/>
      <c r="Y60" s="491" t="n"/>
    </row>
    <row r="61" ht="12.75" customHeight="1" s="398">
      <c r="A61" s="491" t="n"/>
      <c r="B61" s="491" t="n"/>
      <c r="C61" s="491" t="n"/>
      <c r="D61" s="491" t="n"/>
      <c r="E61" s="491" t="n"/>
      <c r="S61" s="491" t="n"/>
      <c r="T61" s="491" t="n"/>
      <c r="U61" s="491" t="n"/>
      <c r="V61" s="491" t="n"/>
      <c r="W61" s="491" t="n"/>
      <c r="X61" s="491" t="n"/>
      <c r="Y61" s="491" t="n"/>
    </row>
    <row r="62" ht="12.75" customHeight="1" s="398">
      <c r="A62" s="491" t="n"/>
      <c r="B62" s="491" t="n"/>
      <c r="C62" s="491" t="n"/>
      <c r="D62" s="491" t="n"/>
      <c r="E62" s="491" t="n"/>
      <c r="S62" s="491" t="n"/>
      <c r="T62" s="491" t="n"/>
      <c r="U62" s="491" t="n"/>
      <c r="V62" s="491" t="n"/>
      <c r="W62" s="491" t="n"/>
      <c r="X62" s="491" t="n"/>
      <c r="Y62" s="491" t="n"/>
    </row>
    <row r="63" ht="12.75" customHeight="1" s="398">
      <c r="A63" s="491" t="n"/>
      <c r="B63" s="491" t="n"/>
      <c r="C63" s="491" t="n"/>
      <c r="D63" s="491" t="n"/>
      <c r="E63" s="491" t="n"/>
      <c r="S63" s="491" t="n"/>
      <c r="T63" s="491" t="n"/>
      <c r="U63" s="491" t="n"/>
      <c r="V63" s="491" t="n"/>
      <c r="W63" s="491" t="n"/>
      <c r="X63" s="491" t="n"/>
      <c r="Y63" s="491" t="n"/>
    </row>
    <row r="64" ht="12.75" customHeight="1" s="398">
      <c r="A64" s="491" t="n"/>
      <c r="B64" s="491" t="n"/>
      <c r="C64" s="491" t="n"/>
      <c r="D64" s="491" t="n"/>
      <c r="E64" s="491" t="n"/>
      <c r="S64" s="491" t="n"/>
      <c r="T64" s="491" t="n"/>
      <c r="U64" s="491" t="n"/>
      <c r="V64" s="491" t="n"/>
      <c r="W64" s="491" t="n"/>
      <c r="X64" s="491" t="n"/>
      <c r="Y64" s="491" t="n"/>
    </row>
    <row r="65" ht="12.75" customHeight="1" s="398">
      <c r="A65" s="491" t="n"/>
      <c r="B65" s="491" t="n"/>
      <c r="C65" s="491" t="n"/>
      <c r="D65" s="491" t="n"/>
      <c r="E65" s="491" t="n"/>
      <c r="S65" s="491" t="n"/>
      <c r="T65" s="491" t="n"/>
      <c r="U65" s="491" t="n"/>
      <c r="V65" s="491" t="n"/>
      <c r="W65" s="491" t="n"/>
      <c r="X65" s="491" t="n"/>
      <c r="Y65" s="491" t="n"/>
    </row>
    <row r="66" ht="12.75" customHeight="1" s="398">
      <c r="A66" s="491" t="n"/>
      <c r="B66" s="491" t="n"/>
      <c r="C66" s="491" t="n"/>
      <c r="D66" s="491" t="n"/>
      <c r="E66" s="491" t="n"/>
      <c r="S66" s="491" t="n"/>
      <c r="T66" s="491" t="n"/>
      <c r="U66" s="491" t="n"/>
      <c r="V66" s="491" t="n"/>
      <c r="W66" s="491" t="n"/>
      <c r="X66" s="491" t="n"/>
      <c r="Y66" s="491" t="n"/>
    </row>
    <row r="67" ht="12.75" customHeight="1" s="398">
      <c r="A67" s="491" t="n"/>
      <c r="B67" s="491" t="n"/>
      <c r="C67" s="491" t="n"/>
      <c r="D67" s="491" t="n"/>
      <c r="E67" s="491" t="n"/>
      <c r="S67" s="491" t="n"/>
      <c r="T67" s="491" t="n"/>
      <c r="U67" s="491" t="n"/>
      <c r="V67" s="491" t="n"/>
      <c r="W67" s="491" t="n"/>
      <c r="X67" s="491" t="n"/>
      <c r="Y67" s="491" t="n"/>
    </row>
    <row r="68" ht="12.75" customHeight="1" s="398">
      <c r="A68" s="491" t="n"/>
      <c r="B68" s="491" t="n"/>
      <c r="C68" s="491" t="n"/>
      <c r="D68" s="491" t="n"/>
      <c r="E68" s="491" t="n"/>
      <c r="S68" s="491" t="n"/>
      <c r="T68" s="491" t="n"/>
      <c r="U68" s="491" t="n"/>
      <c r="V68" s="491" t="n"/>
      <c r="W68" s="491" t="n"/>
      <c r="X68" s="491" t="n"/>
      <c r="Y68" s="491" t="n"/>
    </row>
    <row r="69" ht="12.75" customHeight="1" s="398">
      <c r="A69" s="491" t="n"/>
      <c r="B69" s="491" t="n"/>
      <c r="C69" s="491" t="n"/>
      <c r="D69" s="491" t="n"/>
      <c r="E69" s="491" t="n"/>
      <c r="F69" s="491" t="n"/>
      <c r="G69" s="491" t="n"/>
      <c r="H69" s="491" t="n"/>
      <c r="I69" s="491" t="n"/>
      <c r="J69" s="491" t="n"/>
      <c r="K69" s="491" t="n"/>
      <c r="L69" s="491" t="n"/>
      <c r="M69" s="491" t="n"/>
      <c r="N69" s="491" t="n"/>
      <c r="O69" s="491" t="n"/>
      <c r="P69" s="491" t="n"/>
      <c r="Q69" s="491" t="n"/>
      <c r="R69" s="491" t="n"/>
      <c r="S69" s="491" t="n"/>
      <c r="T69" s="491" t="n"/>
      <c r="U69" s="491" t="n"/>
      <c r="V69" s="491" t="n"/>
      <c r="W69" s="491" t="n"/>
      <c r="X69" s="491" t="n"/>
      <c r="Y69" s="491" t="n"/>
    </row>
    <row r="70" ht="12.75" customHeight="1" s="398">
      <c r="A70" s="491" t="n"/>
      <c r="B70" s="491" t="n"/>
      <c r="C70" s="491" t="n"/>
      <c r="D70" s="491" t="n"/>
      <c r="E70" s="491" t="n"/>
      <c r="F70" s="491" t="n"/>
      <c r="G70" s="491" t="n"/>
      <c r="H70" s="491" t="n"/>
      <c r="I70" s="491" t="n"/>
      <c r="J70" s="491" t="n"/>
      <c r="K70" s="491" t="n"/>
      <c r="L70" s="491" t="n"/>
      <c r="M70" s="491" t="n"/>
      <c r="N70" s="491" t="n"/>
      <c r="O70" s="491" t="n"/>
      <c r="P70" s="491" t="n"/>
      <c r="Q70" s="491" t="n"/>
      <c r="R70" s="491" t="n"/>
      <c r="S70" s="491" t="n"/>
      <c r="T70" s="491" t="n"/>
      <c r="U70" s="491" t="n"/>
      <c r="V70" s="491" t="n"/>
      <c r="W70" s="491" t="n"/>
      <c r="X70" s="491" t="n"/>
      <c r="Y70" s="491" t="n"/>
    </row>
    <row r="71" ht="12.75" customHeight="1" s="398">
      <c r="A71" s="491" t="n"/>
      <c r="B71" s="491" t="n"/>
      <c r="C71" s="491" t="n"/>
      <c r="D71" s="491" t="n"/>
      <c r="E71" s="491" t="n"/>
      <c r="F71" s="491" t="n"/>
      <c r="G71" s="491" t="n"/>
      <c r="H71" s="491" t="n"/>
      <c r="I71" s="491" t="n"/>
      <c r="J71" s="491" t="n"/>
      <c r="K71" s="491" t="n"/>
      <c r="L71" s="491" t="n"/>
      <c r="M71" s="491" t="n"/>
      <c r="N71" s="491" t="n"/>
      <c r="O71" s="491" t="n"/>
      <c r="P71" s="491" t="n"/>
      <c r="Q71" s="491" t="n"/>
      <c r="R71" s="491" t="n"/>
      <c r="S71" s="491" t="n"/>
      <c r="T71" s="491" t="n"/>
      <c r="U71" s="491" t="n"/>
      <c r="V71" s="491" t="n"/>
      <c r="W71" s="491" t="n"/>
      <c r="X71" s="491" t="n"/>
      <c r="Y71" s="491" t="n"/>
    </row>
    <row r="72" ht="12.75" customHeight="1" s="398">
      <c r="A72" s="491" t="n"/>
      <c r="B72" s="491" t="n"/>
      <c r="C72" s="491" t="n"/>
      <c r="D72" s="491" t="n"/>
      <c r="E72" s="491" t="n"/>
      <c r="F72" s="491" t="n"/>
      <c r="G72" s="491" t="n"/>
      <c r="H72" s="491" t="n"/>
      <c r="I72" s="491" t="n"/>
      <c r="J72" s="491" t="n"/>
      <c r="K72" s="491" t="n"/>
      <c r="L72" s="491" t="n"/>
      <c r="M72" s="491" t="n"/>
      <c r="N72" s="491" t="n"/>
      <c r="O72" s="491" t="n"/>
      <c r="P72" s="491" t="n"/>
      <c r="Q72" s="491" t="n"/>
      <c r="R72" s="491" t="n"/>
      <c r="S72" s="491" t="n"/>
      <c r="T72" s="491" t="n"/>
      <c r="U72" s="491" t="n"/>
      <c r="V72" s="491" t="n"/>
      <c r="W72" s="491" t="n"/>
      <c r="X72" s="491" t="n"/>
      <c r="Y72" s="491" t="n"/>
    </row>
    <row r="73" ht="12.75" customHeight="1" s="398">
      <c r="A73" s="491" t="n"/>
      <c r="B73" s="491" t="n"/>
      <c r="C73" s="491" t="n"/>
      <c r="D73" s="491" t="n"/>
      <c r="E73" s="491" t="n"/>
      <c r="F73" s="491" t="n"/>
      <c r="G73" s="491" t="n"/>
      <c r="H73" s="491" t="n"/>
      <c r="I73" s="491" t="n"/>
      <c r="J73" s="491" t="n"/>
      <c r="K73" s="491" t="n"/>
      <c r="L73" s="491" t="n"/>
      <c r="M73" s="491" t="n"/>
      <c r="N73" s="491" t="n"/>
      <c r="O73" s="491" t="n"/>
      <c r="P73" s="491" t="n"/>
      <c r="Q73" s="491" t="n"/>
      <c r="R73" s="491" t="n"/>
      <c r="S73" s="491" t="n"/>
      <c r="T73" s="491" t="n"/>
      <c r="U73" s="491" t="n"/>
      <c r="V73" s="491" t="n"/>
      <c r="W73" s="491" t="n"/>
      <c r="X73" s="491" t="n"/>
      <c r="Y73" s="491" t="n"/>
    </row>
    <row r="74" ht="12.75" customHeight="1" s="398">
      <c r="A74" s="491" t="n"/>
      <c r="B74" s="491" t="n"/>
      <c r="C74" s="491" t="n"/>
      <c r="D74" s="491" t="n"/>
      <c r="E74" s="491" t="n"/>
      <c r="F74" s="491" t="n"/>
      <c r="G74" s="491" t="n"/>
      <c r="H74" s="491" t="n"/>
      <c r="I74" s="491" t="n"/>
      <c r="J74" s="491" t="n"/>
      <c r="K74" s="491" t="n"/>
      <c r="L74" s="491" t="n"/>
      <c r="M74" s="491" t="n"/>
      <c r="N74" s="491" t="n"/>
      <c r="O74" s="491" t="n"/>
      <c r="P74" s="491" t="n"/>
      <c r="Q74" s="491" t="n"/>
      <c r="R74" s="491" t="n"/>
      <c r="S74" s="491" t="n"/>
      <c r="T74" s="491" t="n"/>
      <c r="U74" s="491" t="n"/>
      <c r="V74" s="491" t="n"/>
      <c r="W74" s="491" t="n"/>
      <c r="X74" s="491" t="n"/>
      <c r="Y74" s="491" t="n"/>
    </row>
    <row r="75" ht="12.75" customHeight="1" s="398">
      <c r="A75" s="491" t="n"/>
      <c r="B75" s="491" t="n"/>
      <c r="C75" s="491" t="n"/>
      <c r="D75" s="491" t="n"/>
      <c r="E75" s="491" t="n"/>
      <c r="F75" s="491" t="n"/>
      <c r="G75" s="491" t="n"/>
      <c r="H75" s="491" t="n"/>
      <c r="I75" s="491" t="n"/>
      <c r="J75" s="491" t="n"/>
      <c r="K75" s="491" t="n"/>
      <c r="L75" s="491" t="n"/>
      <c r="M75" s="491" t="n"/>
      <c r="N75" s="491" t="n"/>
      <c r="O75" s="491" t="n"/>
      <c r="P75" s="491" t="n"/>
      <c r="Q75" s="491" t="n"/>
      <c r="R75" s="491" t="n"/>
      <c r="S75" s="491" t="n"/>
      <c r="T75" s="491" t="n"/>
      <c r="U75" s="491" t="n"/>
      <c r="V75" s="491" t="n"/>
      <c r="W75" s="491" t="n"/>
      <c r="X75" s="491" t="n"/>
      <c r="Y75" s="491" t="n"/>
    </row>
    <row r="76" ht="12.75" customHeight="1" s="398">
      <c r="A76" s="491" t="n"/>
      <c r="B76" s="491" t="n"/>
      <c r="C76" s="491" t="n"/>
      <c r="D76" s="491" t="n"/>
      <c r="E76" s="491" t="n"/>
      <c r="F76" s="491" t="n"/>
      <c r="G76" s="491" t="n"/>
      <c r="H76" s="491" t="n"/>
      <c r="I76" s="491" t="n"/>
      <c r="J76" s="491" t="n"/>
      <c r="K76" s="491" t="n"/>
      <c r="L76" s="480" t="n"/>
      <c r="M76" s="491" t="n"/>
      <c r="N76" s="491" t="n"/>
      <c r="O76" s="491" t="n"/>
      <c r="P76" s="491" t="n"/>
      <c r="Q76" s="491" t="n"/>
      <c r="R76" s="491" t="n"/>
      <c r="S76" s="491" t="n"/>
      <c r="T76" s="491" t="n"/>
      <c r="U76" s="491" t="n"/>
      <c r="V76" s="491" t="n"/>
      <c r="W76" s="491" t="n"/>
      <c r="X76" s="491" t="n"/>
      <c r="Y76" s="491" t="n"/>
    </row>
    <row r="77" ht="12.75" customHeight="1" s="398">
      <c r="A77" s="491" t="n"/>
      <c r="B77" s="491" t="n"/>
      <c r="C77" s="491" t="n"/>
      <c r="D77" s="491" t="n"/>
      <c r="E77" s="491" t="n"/>
      <c r="F77" s="491" t="n"/>
      <c r="G77" s="491" t="n"/>
      <c r="H77" s="491" t="n"/>
      <c r="I77" s="491" t="n"/>
      <c r="J77" s="491" t="n"/>
      <c r="K77" s="491" t="n"/>
      <c r="L77" s="491" t="n"/>
      <c r="M77" s="491" t="n"/>
      <c r="N77" s="491" t="n"/>
      <c r="O77" s="491" t="n"/>
      <c r="P77" s="491" t="n"/>
      <c r="Q77" s="491" t="n"/>
      <c r="R77" s="491" t="n"/>
      <c r="S77" s="491" t="n"/>
      <c r="T77" s="491" t="n"/>
      <c r="U77" s="491" t="n"/>
      <c r="V77" s="491" t="n"/>
      <c r="W77" s="491" t="n"/>
      <c r="X77" s="491" t="n"/>
      <c r="Y77" s="491" t="n"/>
    </row>
    <row r="78" ht="12.75" customHeight="1" s="398">
      <c r="A78" s="491" t="n"/>
      <c r="B78" s="491" t="n"/>
      <c r="C78" s="491" t="n"/>
      <c r="D78" s="491" t="n"/>
      <c r="E78" s="491" t="n"/>
      <c r="F78" s="491" t="n"/>
      <c r="G78" s="491" t="n"/>
      <c r="H78" s="491" t="n"/>
      <c r="I78" s="491" t="n"/>
      <c r="J78" s="491" t="n"/>
      <c r="K78" s="491" t="n"/>
      <c r="L78" s="491" t="n"/>
      <c r="M78" s="491" t="n"/>
      <c r="N78" s="491" t="n"/>
      <c r="O78" s="491" t="n"/>
      <c r="P78" s="491" t="n"/>
      <c r="Q78" s="491" t="n"/>
      <c r="R78" s="491" t="n"/>
      <c r="S78" s="491" t="n"/>
      <c r="T78" s="491" t="n"/>
      <c r="U78" s="491" t="n"/>
      <c r="V78" s="491" t="n"/>
      <c r="W78" s="491" t="n"/>
      <c r="X78" s="491" t="n"/>
      <c r="Y78" s="491" t="n"/>
    </row>
    <row r="79" ht="12.75" customHeight="1" s="398">
      <c r="A79" s="491" t="n"/>
      <c r="B79" s="491" t="n"/>
      <c r="C79" s="491" t="n"/>
      <c r="D79" s="491" t="n"/>
      <c r="E79" s="491" t="n"/>
      <c r="F79" s="491" t="n"/>
      <c r="G79" s="491" t="n"/>
      <c r="H79" s="491" t="n"/>
      <c r="I79" s="491" t="n"/>
      <c r="J79" s="491" t="n"/>
      <c r="K79" s="491" t="n"/>
      <c r="L79" s="491" t="n"/>
      <c r="M79" s="491" t="n"/>
      <c r="N79" s="491" t="n"/>
      <c r="O79" s="491" t="n"/>
      <c r="P79" s="491" t="n"/>
      <c r="Q79" s="491" t="n"/>
      <c r="R79" s="491" t="n"/>
      <c r="S79" s="491" t="n"/>
      <c r="T79" s="491" t="n"/>
      <c r="U79" s="491" t="n"/>
      <c r="V79" s="491" t="n"/>
      <c r="W79" s="491" t="n"/>
      <c r="X79" s="491" t="n"/>
      <c r="Y79" s="491" t="n"/>
    </row>
    <row r="80" ht="12.75" customHeight="1" s="398">
      <c r="A80" s="491" t="n"/>
      <c r="B80" s="491" t="n"/>
      <c r="C80" s="491" t="n"/>
      <c r="D80" s="491" t="n"/>
      <c r="E80" s="491" t="n"/>
      <c r="F80" s="491" t="n"/>
      <c r="G80" s="491" t="n"/>
      <c r="H80" s="491" t="n"/>
      <c r="I80" s="491" t="n"/>
      <c r="J80" s="491" t="n"/>
      <c r="K80" s="491" t="n"/>
      <c r="L80" s="491" t="n"/>
      <c r="M80" s="491" t="n"/>
      <c r="N80" s="491" t="n"/>
      <c r="O80" s="491" t="n"/>
      <c r="P80" s="491" t="n"/>
      <c r="Q80" s="491" t="n"/>
      <c r="R80" s="491" t="n"/>
      <c r="S80" s="491" t="n"/>
      <c r="T80" s="491" t="n"/>
      <c r="U80" s="491" t="n"/>
      <c r="V80" s="491" t="n"/>
      <c r="W80" s="491" t="n"/>
      <c r="X80" s="491" t="n"/>
      <c r="Y80" s="491" t="n"/>
    </row>
    <row r="81" ht="12.75" customHeight="1" s="398">
      <c r="A81" s="491" t="n"/>
      <c r="B81" s="491" t="n"/>
      <c r="C81" s="491" t="n"/>
      <c r="D81" s="491" t="n"/>
      <c r="E81" s="491" t="n"/>
      <c r="F81" s="491" t="n"/>
      <c r="G81" s="491" t="n"/>
      <c r="H81" s="491" t="n"/>
      <c r="I81" s="491" t="n"/>
      <c r="J81" s="491" t="n"/>
      <c r="K81" s="491" t="n"/>
      <c r="L81" s="491" t="n"/>
      <c r="M81" s="491" t="n"/>
      <c r="N81" s="491" t="n"/>
      <c r="O81" s="491" t="n"/>
      <c r="P81" s="491" t="n"/>
      <c r="Q81" s="491" t="n"/>
      <c r="R81" s="491" t="n"/>
      <c r="S81" s="491" t="n"/>
      <c r="T81" s="491" t="n"/>
      <c r="U81" s="491" t="n"/>
      <c r="V81" s="491" t="n"/>
      <c r="W81" s="491" t="n"/>
      <c r="X81" s="491" t="n"/>
      <c r="Y81" s="491" t="n"/>
    </row>
    <row r="82" ht="12.75" customHeight="1" s="398">
      <c r="A82" s="491" t="n"/>
      <c r="B82" s="491" t="n"/>
      <c r="C82" s="491" t="n"/>
      <c r="D82" s="491" t="n"/>
      <c r="E82" s="491" t="n"/>
      <c r="F82" s="491" t="n"/>
      <c r="G82" s="491" t="n"/>
      <c r="H82" s="491" t="n"/>
      <c r="I82" s="491" t="n"/>
      <c r="J82" s="491" t="n"/>
      <c r="K82" s="491" t="n"/>
      <c r="L82" s="491" t="n"/>
      <c r="M82" s="491" t="n"/>
      <c r="N82" s="491" t="n"/>
      <c r="O82" s="491" t="n"/>
      <c r="P82" s="491" t="n"/>
      <c r="Q82" s="491" t="n"/>
      <c r="R82" s="491" t="n"/>
      <c r="S82" s="491" t="n"/>
      <c r="T82" s="491" t="n"/>
      <c r="U82" s="491" t="n"/>
      <c r="V82" s="491" t="n"/>
      <c r="W82" s="491" t="n"/>
      <c r="X82" s="491" t="n"/>
      <c r="Y82" s="491" t="n"/>
    </row>
    <row r="83" ht="12.75" customHeight="1" s="398">
      <c r="A83" s="491" t="n"/>
      <c r="B83" s="491" t="n"/>
      <c r="C83" s="491" t="n"/>
      <c r="D83" s="491" t="n"/>
      <c r="E83" s="491" t="n"/>
      <c r="F83" s="491" t="n"/>
      <c r="G83" s="491" t="n"/>
      <c r="H83" s="491" t="n"/>
      <c r="I83" s="491" t="n"/>
      <c r="J83" s="491" t="n"/>
      <c r="K83" s="491" t="n"/>
      <c r="L83" s="491" t="n"/>
      <c r="M83" s="491" t="n"/>
      <c r="N83" s="491" t="n"/>
      <c r="O83" s="491" t="n"/>
      <c r="P83" s="491" t="n"/>
      <c r="Q83" s="491" t="n"/>
      <c r="R83" s="491" t="n"/>
      <c r="S83" s="491" t="n"/>
      <c r="T83" s="491" t="n"/>
      <c r="U83" s="491" t="n"/>
      <c r="V83" s="491" t="n"/>
      <c r="W83" s="491" t="n"/>
      <c r="X83" s="491" t="n"/>
      <c r="Y83" s="491" t="n"/>
    </row>
    <row r="84" ht="12.75" customHeight="1" s="398">
      <c r="A84" s="491" t="n"/>
      <c r="B84" s="491" t="n"/>
      <c r="C84" s="491" t="n"/>
      <c r="D84" s="491" t="n"/>
      <c r="E84" s="491" t="n"/>
      <c r="F84" s="491" t="n"/>
      <c r="G84" s="491" t="n"/>
      <c r="H84" s="491" t="n"/>
      <c r="I84" s="491" t="n"/>
      <c r="J84" s="491" t="n"/>
      <c r="K84" s="491" t="n"/>
      <c r="L84" s="491" t="n"/>
      <c r="M84" s="491" t="n"/>
      <c r="N84" s="491" t="n"/>
      <c r="O84" s="491" t="n"/>
      <c r="P84" s="491" t="n"/>
      <c r="Q84" s="491" t="n"/>
      <c r="R84" s="491" t="n"/>
      <c r="S84" s="491" t="n"/>
      <c r="T84" s="491" t="n"/>
      <c r="U84" s="491" t="n"/>
      <c r="V84" s="491" t="n"/>
      <c r="W84" s="491" t="n"/>
      <c r="X84" s="491" t="n"/>
      <c r="Y84" s="491" t="n"/>
    </row>
    <row r="85" ht="12.75" customHeight="1" s="398">
      <c r="A85" s="491" t="n"/>
      <c r="B85" s="491" t="n"/>
      <c r="C85" s="491" t="n"/>
      <c r="D85" s="491" t="n"/>
      <c r="E85" s="491" t="n"/>
      <c r="F85" s="491" t="n"/>
      <c r="G85" s="491" t="n"/>
      <c r="H85" s="491" t="n"/>
      <c r="I85" s="491" t="n"/>
      <c r="J85" s="491" t="n"/>
      <c r="K85" s="491" t="n"/>
      <c r="L85" s="491" t="n"/>
      <c r="M85" s="491" t="n"/>
      <c r="N85" s="491" t="n"/>
      <c r="O85" s="491" t="n"/>
      <c r="P85" s="491" t="n"/>
      <c r="Q85" s="491" t="n"/>
      <c r="R85" s="491" t="n"/>
      <c r="S85" s="491" t="n"/>
      <c r="T85" s="491" t="n"/>
      <c r="U85" s="491" t="n"/>
      <c r="V85" s="491" t="n"/>
      <c r="W85" s="491" t="n"/>
      <c r="X85" s="491" t="n"/>
      <c r="Y85" s="491" t="n"/>
    </row>
    <row r="86" ht="12.75" customHeight="1" s="398">
      <c r="A86" s="491" t="n"/>
      <c r="B86" s="491" t="n"/>
      <c r="C86" s="491" t="n"/>
      <c r="D86" s="491" t="n"/>
      <c r="E86" s="491" t="n"/>
      <c r="F86" s="491" t="n"/>
      <c r="G86" s="491" t="n"/>
      <c r="H86" s="491" t="n"/>
      <c r="I86" s="491" t="n"/>
      <c r="J86" s="491" t="n"/>
      <c r="K86" s="491" t="n"/>
      <c r="L86" s="491" t="n"/>
      <c r="M86" s="491" t="n"/>
      <c r="N86" s="491" t="n"/>
      <c r="O86" s="491" t="n"/>
      <c r="P86" s="491" t="n"/>
      <c r="Q86" s="491" t="n"/>
      <c r="R86" s="491" t="n"/>
      <c r="S86" s="491" t="n"/>
      <c r="T86" s="491" t="n"/>
      <c r="U86" s="491" t="n"/>
      <c r="V86" s="491" t="n"/>
      <c r="W86" s="491" t="n"/>
      <c r="X86" s="491" t="n"/>
      <c r="Y86" s="491" t="n"/>
    </row>
    <row r="87" ht="12.75" customHeight="1" s="398">
      <c r="A87" s="491" t="n"/>
      <c r="B87" s="491" t="n"/>
      <c r="C87" s="491" t="n"/>
      <c r="D87" s="491" t="n"/>
      <c r="E87" s="491" t="n"/>
      <c r="F87" s="491" t="n"/>
      <c r="G87" s="491" t="n"/>
      <c r="H87" s="491" t="n"/>
      <c r="I87" s="491" t="n"/>
      <c r="J87" s="491" t="n"/>
      <c r="K87" s="491" t="n"/>
      <c r="L87" s="491" t="n"/>
      <c r="M87" s="491" t="n"/>
      <c r="N87" s="491" t="n"/>
      <c r="O87" s="491" t="n"/>
      <c r="P87" s="491" t="n"/>
      <c r="Q87" s="491" t="n"/>
      <c r="R87" s="491" t="n"/>
      <c r="S87" s="491" t="n"/>
      <c r="T87" s="491" t="n"/>
      <c r="U87" s="491" t="n"/>
      <c r="V87" s="491" t="n"/>
      <c r="W87" s="491" t="n"/>
      <c r="X87" s="491" t="n"/>
      <c r="Y87" s="491" t="n"/>
    </row>
    <row r="88" ht="12.75" customHeight="1" s="398">
      <c r="A88" s="491" t="n"/>
      <c r="B88" s="491" t="n"/>
      <c r="C88" s="491" t="n"/>
      <c r="D88" s="491" t="n"/>
      <c r="E88" s="491" t="n"/>
      <c r="F88" s="491" t="n"/>
      <c r="G88" s="491" t="n"/>
      <c r="H88" s="491" t="n"/>
      <c r="I88" s="491" t="n"/>
      <c r="J88" s="491" t="n"/>
      <c r="K88" s="491" t="n"/>
      <c r="L88" s="491" t="n"/>
      <c r="M88" s="491" t="n"/>
      <c r="N88" s="491" t="n"/>
      <c r="O88" s="491" t="n"/>
      <c r="P88" s="491" t="n"/>
      <c r="Q88" s="491" t="n"/>
      <c r="R88" s="491" t="n"/>
      <c r="S88" s="491" t="n"/>
      <c r="T88" s="491" t="n"/>
      <c r="U88" s="491" t="n"/>
      <c r="V88" s="491" t="n"/>
      <c r="W88" s="491" t="n"/>
      <c r="X88" s="491" t="n"/>
      <c r="Y88" s="491" t="n"/>
    </row>
    <row r="89" ht="12.75" customHeight="1" s="398">
      <c r="A89" s="491" t="n"/>
      <c r="B89" s="491" t="n"/>
      <c r="C89" s="491" t="n"/>
      <c r="D89" s="491" t="n"/>
      <c r="E89" s="491" t="n"/>
      <c r="F89" s="491" t="n"/>
      <c r="G89" s="491" t="n"/>
      <c r="H89" s="491" t="n"/>
      <c r="I89" s="491" t="n"/>
      <c r="J89" s="491" t="n"/>
      <c r="K89" s="491" t="n"/>
      <c r="L89" s="491" t="n"/>
      <c r="M89" s="491" t="n"/>
      <c r="N89" s="491" t="n"/>
      <c r="O89" s="491" t="n"/>
      <c r="P89" s="491" t="n"/>
      <c r="Q89" s="491" t="n"/>
      <c r="R89" s="491" t="n"/>
      <c r="S89" s="491" t="n"/>
      <c r="T89" s="491" t="n"/>
      <c r="U89" s="491" t="n"/>
      <c r="V89" s="491" t="n"/>
      <c r="W89" s="491" t="n"/>
      <c r="X89" s="491" t="n"/>
      <c r="Y89" s="491" t="n"/>
    </row>
    <row r="90" ht="12.75" customHeight="1" s="398">
      <c r="A90" s="491" t="n"/>
      <c r="B90" s="491" t="n"/>
      <c r="C90" s="491" t="n"/>
      <c r="D90" s="491" t="n"/>
      <c r="E90" s="491" t="n"/>
      <c r="F90" s="491" t="n"/>
      <c r="G90" s="491" t="n"/>
      <c r="H90" s="491" t="n"/>
      <c r="I90" s="491" t="n"/>
      <c r="J90" s="491" t="n"/>
      <c r="K90" s="491" t="n"/>
      <c r="L90" s="491" t="n"/>
      <c r="M90" s="491" t="n"/>
      <c r="N90" s="491" t="n"/>
      <c r="O90" s="491" t="n"/>
      <c r="P90" s="491" t="n"/>
      <c r="Q90" s="491" t="n"/>
      <c r="R90" s="491" t="n"/>
      <c r="S90" s="491" t="n"/>
      <c r="T90" s="491" t="n"/>
      <c r="U90" s="491" t="n"/>
      <c r="V90" s="491" t="n"/>
      <c r="W90" s="491" t="n"/>
      <c r="X90" s="491" t="n"/>
      <c r="Y90" s="491" t="n"/>
    </row>
    <row r="91" ht="12.75" customHeight="1" s="398">
      <c r="A91" s="491" t="n"/>
      <c r="B91" s="491" t="n"/>
      <c r="C91" s="491" t="n"/>
      <c r="D91" s="491" t="n"/>
      <c r="E91" s="491" t="n"/>
      <c r="F91" s="491" t="n"/>
      <c r="G91" s="491" t="n"/>
      <c r="H91" s="491" t="n"/>
      <c r="I91" s="491" t="n"/>
      <c r="J91" s="491" t="n"/>
      <c r="K91" s="491" t="n"/>
      <c r="L91" s="491" t="n"/>
      <c r="M91" s="491" t="n"/>
      <c r="N91" s="491" t="n"/>
      <c r="O91" s="491" t="n"/>
      <c r="P91" s="491" t="n"/>
      <c r="Q91" s="491" t="n"/>
      <c r="R91" s="491" t="n"/>
      <c r="S91" s="491" t="n"/>
      <c r="T91" s="491" t="n"/>
      <c r="U91" s="491" t="n"/>
      <c r="V91" s="491" t="n"/>
      <c r="W91" s="491" t="n"/>
      <c r="X91" s="491" t="n"/>
      <c r="Y91" s="491" t="n"/>
    </row>
    <row r="92" ht="12.75" customHeight="1" s="398">
      <c r="A92" s="491" t="n"/>
      <c r="B92" s="491" t="n"/>
      <c r="C92" s="491" t="n"/>
      <c r="D92" s="491" t="n"/>
      <c r="E92" s="491" t="n"/>
      <c r="F92" s="491" t="n"/>
      <c r="G92" s="491" t="n"/>
      <c r="H92" s="491" t="n"/>
      <c r="I92" s="491" t="n"/>
      <c r="J92" s="491" t="n"/>
      <c r="K92" s="491" t="n"/>
      <c r="L92" s="491" t="n"/>
      <c r="M92" s="491" t="n"/>
      <c r="N92" s="491" t="n"/>
      <c r="O92" s="491" t="n"/>
      <c r="P92" s="491" t="n"/>
      <c r="Q92" s="491" t="n"/>
      <c r="R92" s="491" t="n"/>
      <c r="S92" s="491" t="n"/>
      <c r="T92" s="491" t="n"/>
      <c r="U92" s="491" t="n"/>
      <c r="V92" s="491" t="n"/>
      <c r="W92" s="491" t="n"/>
      <c r="X92" s="491" t="n"/>
      <c r="Y92" s="491" t="n"/>
    </row>
    <row r="93" ht="12.75" customHeight="1" s="398">
      <c r="A93" s="491" t="n"/>
      <c r="B93" s="491" t="n"/>
      <c r="C93" s="491" t="n"/>
      <c r="D93" s="491" t="n"/>
      <c r="E93" s="491" t="n"/>
      <c r="F93" s="491" t="n"/>
      <c r="G93" s="491" t="n"/>
      <c r="H93" s="491" t="n"/>
      <c r="I93" s="491" t="n"/>
      <c r="J93" s="491" t="n"/>
      <c r="K93" s="491" t="n"/>
      <c r="L93" s="491" t="n"/>
      <c r="M93" s="491" t="n"/>
      <c r="N93" s="491" t="n"/>
      <c r="O93" s="491" t="n"/>
      <c r="P93" s="491" t="n"/>
      <c r="Q93" s="491" t="n"/>
      <c r="R93" s="491" t="n"/>
      <c r="S93" s="491" t="n"/>
      <c r="T93" s="491" t="n"/>
      <c r="U93" s="491" t="n"/>
      <c r="V93" s="491" t="n"/>
      <c r="W93" s="491" t="n"/>
      <c r="X93" s="491" t="n"/>
      <c r="Y93" s="491" t="n"/>
    </row>
    <row r="94" ht="12.75" customHeight="1" s="398">
      <c r="A94" s="491" t="n"/>
      <c r="B94" s="491" t="n"/>
      <c r="C94" s="491" t="n"/>
      <c r="D94" s="491" t="n"/>
      <c r="E94" s="491" t="n"/>
      <c r="F94" s="491" t="n"/>
      <c r="G94" s="491" t="n"/>
      <c r="H94" s="491" t="n"/>
      <c r="I94" s="491" t="n"/>
      <c r="J94" s="491" t="n"/>
      <c r="K94" s="491" t="n"/>
      <c r="L94" s="491" t="n"/>
      <c r="M94" s="491" t="n"/>
      <c r="N94" s="491" t="n"/>
      <c r="O94" s="491" t="n"/>
      <c r="P94" s="491" t="n"/>
      <c r="Q94" s="491" t="n"/>
      <c r="R94" s="491" t="n"/>
      <c r="S94" s="491" t="n"/>
      <c r="T94" s="491" t="n"/>
      <c r="U94" s="491" t="n"/>
      <c r="V94" s="491" t="n"/>
      <c r="W94" s="491" t="n"/>
      <c r="X94" s="491" t="n"/>
      <c r="Y94" s="491" t="n"/>
    </row>
    <row r="95" ht="12.75" customHeight="1" s="398">
      <c r="A95" s="491" t="n"/>
      <c r="B95" s="491" t="n"/>
      <c r="C95" s="491" t="n"/>
      <c r="D95" s="491" t="n"/>
      <c r="E95" s="491" t="n"/>
      <c r="F95" s="491" t="n"/>
      <c r="G95" s="491" t="n"/>
      <c r="H95" s="491" t="n"/>
      <c r="I95" s="491" t="n"/>
      <c r="J95" s="491" t="n"/>
      <c r="K95" s="491" t="n"/>
      <c r="L95" s="491" t="n"/>
      <c r="M95" s="491" t="n"/>
      <c r="N95" s="491" t="n"/>
      <c r="O95" s="491" t="n"/>
      <c r="P95" s="491" t="n"/>
      <c r="Q95" s="491" t="n"/>
      <c r="R95" s="491" t="n"/>
      <c r="S95" s="491" t="n"/>
      <c r="T95" s="491" t="n"/>
      <c r="U95" s="491" t="n"/>
      <c r="V95" s="491" t="n"/>
      <c r="W95" s="491" t="n"/>
      <c r="X95" s="491" t="n"/>
      <c r="Y95" s="491" t="n"/>
    </row>
    <row r="96" ht="12.75" customHeight="1" s="398">
      <c r="A96" s="491" t="n"/>
      <c r="B96" s="491" t="n"/>
      <c r="C96" s="491" t="n"/>
      <c r="D96" s="491" t="n"/>
      <c r="E96" s="491" t="n"/>
      <c r="F96" s="491" t="n"/>
      <c r="G96" s="491" t="n"/>
      <c r="H96" s="491" t="n"/>
      <c r="I96" s="491" t="n"/>
      <c r="J96" s="491" t="n"/>
      <c r="K96" s="491" t="n"/>
      <c r="L96" s="491" t="n"/>
      <c r="M96" s="491" t="n"/>
      <c r="N96" s="491" t="n"/>
      <c r="O96" s="491" t="n"/>
      <c r="P96" s="491" t="n"/>
      <c r="Q96" s="491" t="n"/>
      <c r="R96" s="491" t="n"/>
      <c r="S96" s="491" t="n"/>
      <c r="T96" s="491" t="n"/>
      <c r="U96" s="491" t="n"/>
      <c r="V96" s="491" t="n"/>
      <c r="W96" s="491" t="n"/>
      <c r="X96" s="491" t="n"/>
      <c r="Y96" s="491" t="n"/>
    </row>
    <row r="97" ht="12.75" customHeight="1" s="398">
      <c r="A97" s="491" t="n"/>
      <c r="B97" s="491" t="n"/>
      <c r="C97" s="491" t="n"/>
      <c r="D97" s="491" t="n"/>
      <c r="E97" s="491" t="n"/>
      <c r="F97" s="491" t="n"/>
      <c r="G97" s="491" t="n"/>
      <c r="H97" s="491" t="n"/>
      <c r="I97" s="491" t="n"/>
      <c r="J97" s="491" t="n"/>
      <c r="K97" s="491" t="n"/>
      <c r="L97" s="491" t="n"/>
      <c r="M97" s="491" t="n"/>
      <c r="N97" s="491" t="n"/>
      <c r="O97" s="491" t="n"/>
      <c r="P97" s="491" t="n"/>
      <c r="Q97" s="491" t="n"/>
      <c r="R97" s="491" t="n"/>
      <c r="S97" s="491" t="n"/>
      <c r="T97" s="491" t="n"/>
      <c r="U97" s="491" t="n"/>
      <c r="V97" s="491" t="n"/>
      <c r="W97" s="491" t="n"/>
      <c r="X97" s="491" t="n"/>
      <c r="Y97" s="491" t="n"/>
    </row>
    <row r="98" ht="12.75" customHeight="1" s="398">
      <c r="A98" s="491" t="n"/>
      <c r="B98" s="491" t="n"/>
      <c r="C98" s="491" t="n"/>
      <c r="D98" s="491" t="n"/>
      <c r="E98" s="491" t="n"/>
      <c r="F98" s="491" t="n"/>
      <c r="G98" s="491" t="n"/>
      <c r="H98" s="491" t="n"/>
      <c r="I98" s="491" t="n"/>
      <c r="J98" s="491" t="n"/>
      <c r="K98" s="491" t="n"/>
      <c r="L98" s="491" t="n"/>
      <c r="M98" s="491" t="n"/>
      <c r="N98" s="491" t="n"/>
      <c r="O98" s="491" t="n"/>
      <c r="P98" s="491" t="n"/>
      <c r="Q98" s="491" t="n"/>
      <c r="R98" s="491" t="n"/>
      <c r="S98" s="491" t="n"/>
      <c r="T98" s="491" t="n"/>
      <c r="U98" s="491" t="n"/>
      <c r="V98" s="491" t="n"/>
      <c r="W98" s="491" t="n"/>
      <c r="X98" s="491" t="n"/>
      <c r="Y98" s="491" t="n"/>
    </row>
    <row r="99" ht="12.75" customHeight="1" s="398">
      <c r="A99" s="491" t="n"/>
      <c r="B99" s="491" t="n"/>
      <c r="C99" s="491" t="n"/>
      <c r="D99" s="491" t="n"/>
      <c r="E99" s="491" t="n"/>
      <c r="F99" s="491" t="n"/>
      <c r="G99" s="491" t="n"/>
      <c r="H99" s="491" t="n"/>
      <c r="I99" s="491" t="n"/>
      <c r="J99" s="491" t="n"/>
      <c r="K99" s="491" t="n"/>
      <c r="L99" s="491" t="n"/>
      <c r="M99" s="491" t="n"/>
      <c r="N99" s="491" t="n"/>
      <c r="O99" s="491" t="n"/>
      <c r="P99" s="491" t="n"/>
      <c r="Q99" s="491" t="n"/>
      <c r="R99" s="491" t="n"/>
      <c r="S99" s="491" t="n"/>
      <c r="T99" s="491" t="n"/>
      <c r="U99" s="491" t="n"/>
      <c r="V99" s="491" t="n"/>
      <c r="W99" s="491" t="n"/>
      <c r="X99" s="491" t="n"/>
      <c r="Y99" s="491" t="n"/>
    </row>
    <row r="100" ht="12.75" customHeight="1" s="398">
      <c r="A100" s="491" t="n"/>
      <c r="B100" s="491" t="n"/>
      <c r="C100" s="491" t="n"/>
      <c r="D100" s="491" t="n"/>
      <c r="E100" s="491" t="n"/>
      <c r="F100" s="491" t="n"/>
      <c r="G100" s="491" t="n"/>
      <c r="H100" s="491" t="n"/>
      <c r="I100" s="491" t="n"/>
      <c r="J100" s="491" t="n"/>
      <c r="K100" s="491" t="n"/>
      <c r="L100" s="491" t="n"/>
      <c r="M100" s="491" t="n"/>
      <c r="N100" s="491" t="n"/>
      <c r="O100" s="491" t="n"/>
      <c r="P100" s="491" t="n"/>
      <c r="Q100" s="491" t="n"/>
      <c r="R100" s="491" t="n"/>
      <c r="S100" s="491" t="n"/>
      <c r="T100" s="491" t="n"/>
      <c r="U100" s="491" t="n"/>
      <c r="V100" s="491" t="n"/>
      <c r="W100" s="491" t="n"/>
      <c r="X100" s="491" t="n"/>
      <c r="Y100" s="491" t="n"/>
    </row>
    <row r="101" ht="12.75" customHeight="1" s="398">
      <c r="A101" s="491" t="n"/>
      <c r="B101" s="491" t="n"/>
      <c r="C101" s="491" t="n"/>
      <c r="D101" s="491" t="n"/>
      <c r="E101" s="491" t="n"/>
      <c r="F101" s="491" t="n"/>
      <c r="G101" s="491" t="n"/>
      <c r="H101" s="491" t="n"/>
      <c r="I101" s="491" t="n"/>
      <c r="J101" s="491" t="n"/>
      <c r="K101" s="491" t="n"/>
      <c r="L101" s="491" t="n"/>
      <c r="M101" s="491" t="n"/>
      <c r="N101" s="491" t="n"/>
      <c r="O101" s="491" t="n"/>
      <c r="P101" s="491" t="n"/>
      <c r="Q101" s="491" t="n"/>
      <c r="R101" s="491" t="n"/>
      <c r="S101" s="491" t="n"/>
      <c r="T101" s="491" t="n"/>
      <c r="U101" s="491" t="n"/>
      <c r="V101" s="491" t="n"/>
      <c r="W101" s="491" t="n"/>
      <c r="X101" s="491" t="n"/>
      <c r="Y101" s="491" t="n"/>
    </row>
    <row r="102" ht="12.75" customHeight="1" s="398">
      <c r="A102" s="491" t="n"/>
      <c r="B102" s="491" t="n"/>
      <c r="C102" s="491" t="n"/>
      <c r="D102" s="491" t="n"/>
      <c r="E102" s="491" t="n"/>
      <c r="F102" s="491" t="n"/>
      <c r="G102" s="491" t="n"/>
      <c r="H102" s="491" t="n"/>
      <c r="I102" s="491" t="n"/>
      <c r="J102" s="491" t="n"/>
      <c r="K102" s="491" t="n"/>
      <c r="L102" s="491" t="n"/>
      <c r="M102" s="491" t="n"/>
      <c r="N102" s="491" t="n"/>
      <c r="O102" s="491" t="n"/>
      <c r="P102" s="491" t="n"/>
      <c r="Q102" s="491" t="n"/>
      <c r="R102" s="491" t="n"/>
      <c r="S102" s="491" t="n"/>
      <c r="T102" s="491" t="n"/>
      <c r="U102" s="491" t="n"/>
      <c r="V102" s="491" t="n"/>
      <c r="W102" s="491" t="n"/>
      <c r="X102" s="491" t="n"/>
      <c r="Y102" s="491" t="n"/>
    </row>
    <row r="103" ht="12.75" customHeight="1" s="398">
      <c r="A103" s="491" t="n"/>
      <c r="B103" s="491" t="n"/>
      <c r="C103" s="491" t="n"/>
      <c r="D103" s="491" t="n"/>
      <c r="E103" s="491" t="n"/>
      <c r="F103" s="491" t="n"/>
      <c r="G103" s="491" t="n"/>
      <c r="H103" s="491" t="n"/>
      <c r="I103" s="491" t="n"/>
      <c r="J103" s="491" t="n"/>
      <c r="K103" s="491" t="n"/>
      <c r="L103" s="491" t="n"/>
      <c r="M103" s="491" t="n"/>
      <c r="N103" s="491" t="n"/>
      <c r="O103" s="491" t="n"/>
      <c r="P103" s="491" t="n"/>
      <c r="Q103" s="491" t="n"/>
      <c r="R103" s="491" t="n"/>
      <c r="S103" s="491" t="n"/>
      <c r="T103" s="491" t="n"/>
      <c r="U103" s="491" t="n"/>
      <c r="V103" s="491" t="n"/>
      <c r="W103" s="491" t="n"/>
      <c r="X103" s="491" t="n"/>
      <c r="Y103" s="491" t="n"/>
    </row>
    <row r="104" ht="12.75" customHeight="1" s="398">
      <c r="A104" s="491" t="n"/>
      <c r="B104" s="491" t="n"/>
      <c r="C104" s="491" t="n"/>
      <c r="D104" s="491" t="n"/>
      <c r="E104" s="491" t="n"/>
      <c r="F104" s="491" t="n"/>
      <c r="G104" s="491" t="n"/>
      <c r="H104" s="491" t="n"/>
      <c r="I104" s="491" t="n"/>
      <c r="J104" s="491" t="n"/>
      <c r="K104" s="491" t="n"/>
      <c r="L104" s="491" t="n"/>
      <c r="M104" s="491" t="n"/>
      <c r="N104" s="491" t="n"/>
      <c r="O104" s="491" t="n"/>
      <c r="P104" s="491" t="n"/>
      <c r="Q104" s="491" t="n"/>
      <c r="R104" s="491" t="n"/>
      <c r="S104" s="491" t="n"/>
      <c r="T104" s="491" t="n"/>
      <c r="U104" s="491" t="n"/>
      <c r="V104" s="491" t="n"/>
      <c r="W104" s="491" t="n"/>
      <c r="X104" s="491" t="n"/>
      <c r="Y104" s="491" t="n"/>
    </row>
    <row r="105" ht="12.75" customHeight="1" s="398">
      <c r="A105" s="491" t="n"/>
      <c r="B105" s="491" t="n"/>
      <c r="C105" s="491" t="n"/>
      <c r="D105" s="491" t="n"/>
      <c r="E105" s="491" t="n"/>
      <c r="F105" s="491" t="n"/>
      <c r="G105" s="491" t="n"/>
      <c r="H105" s="491" t="n"/>
      <c r="I105" s="491" t="n"/>
      <c r="J105" s="491" t="n"/>
      <c r="K105" s="491" t="n"/>
      <c r="L105" s="491" t="n"/>
      <c r="M105" s="491" t="n"/>
      <c r="N105" s="491" t="n"/>
      <c r="O105" s="491" t="n"/>
      <c r="P105" s="491" t="n"/>
      <c r="Q105" s="491" t="n"/>
      <c r="R105" s="491" t="n"/>
      <c r="S105" s="491" t="n"/>
      <c r="T105" s="491" t="n"/>
      <c r="U105" s="491" t="n"/>
      <c r="V105" s="491" t="n"/>
      <c r="W105" s="491" t="n"/>
      <c r="X105" s="491" t="n"/>
      <c r="Y105" s="491" t="n"/>
    </row>
    <row r="106" ht="12.75" customHeight="1" s="398">
      <c r="A106" s="491" t="n"/>
      <c r="B106" s="491" t="n"/>
      <c r="C106" s="491" t="n"/>
      <c r="D106" s="491" t="n"/>
      <c r="E106" s="491" t="n"/>
      <c r="F106" s="491" t="n"/>
      <c r="G106" s="491" t="n"/>
      <c r="H106" s="491" t="n"/>
      <c r="I106" s="491" t="n"/>
      <c r="J106" s="491" t="n"/>
      <c r="K106" s="491" t="n"/>
      <c r="L106" s="491" t="n"/>
      <c r="M106" s="491" t="n"/>
      <c r="N106" s="491" t="n"/>
      <c r="O106" s="491" t="n"/>
      <c r="P106" s="491" t="n"/>
      <c r="Q106" s="491" t="n"/>
      <c r="R106" s="491" t="n"/>
      <c r="S106" s="491" t="n"/>
      <c r="T106" s="491" t="n"/>
      <c r="U106" s="491" t="n"/>
      <c r="V106" s="491" t="n"/>
      <c r="W106" s="491" t="n"/>
      <c r="X106" s="491" t="n"/>
      <c r="Y106" s="491" t="n"/>
    </row>
    <row r="107" ht="12.75" customHeight="1" s="398">
      <c r="A107" s="491" t="n"/>
      <c r="B107" s="491" t="n"/>
      <c r="C107" s="491" t="n"/>
      <c r="D107" s="491" t="n"/>
      <c r="E107" s="491" t="n"/>
      <c r="F107" s="491" t="n"/>
      <c r="G107" s="491" t="n"/>
      <c r="H107" s="491" t="n"/>
      <c r="I107" s="491" t="n"/>
      <c r="J107" s="491" t="n"/>
      <c r="K107" s="491" t="n"/>
      <c r="L107" s="491" t="n"/>
      <c r="M107" s="491" t="n"/>
      <c r="N107" s="491" t="n"/>
      <c r="O107" s="491" t="n"/>
      <c r="P107" s="491" t="n"/>
      <c r="Q107" s="491" t="n"/>
      <c r="R107" s="491" t="n"/>
      <c r="S107" s="491" t="n"/>
      <c r="T107" s="491" t="n"/>
      <c r="U107" s="491" t="n"/>
      <c r="V107" s="491" t="n"/>
      <c r="W107" s="491" t="n"/>
      <c r="X107" s="491" t="n"/>
      <c r="Y107" s="491" t="n"/>
    </row>
    <row r="108" ht="12.75" customHeight="1" s="398">
      <c r="A108" s="491" t="n"/>
      <c r="B108" s="491" t="n"/>
      <c r="C108" s="491" t="n"/>
      <c r="D108" s="491" t="n"/>
      <c r="E108" s="491" t="n"/>
      <c r="F108" s="491" t="n"/>
      <c r="G108" s="491" t="n"/>
      <c r="H108" s="491" t="n"/>
      <c r="I108" s="491" t="n"/>
      <c r="J108" s="491" t="n"/>
      <c r="K108" s="491" t="n"/>
      <c r="L108" s="491" t="n"/>
      <c r="M108" s="491" t="n"/>
      <c r="N108" s="491" t="n"/>
      <c r="O108" s="491" t="n"/>
      <c r="P108" s="491" t="n"/>
      <c r="Q108" s="491" t="n"/>
      <c r="R108" s="491" t="n"/>
      <c r="S108" s="491" t="n"/>
      <c r="T108" s="491" t="n"/>
      <c r="U108" s="491" t="n"/>
      <c r="V108" s="491" t="n"/>
      <c r="W108" s="491" t="n"/>
      <c r="X108" s="491" t="n"/>
      <c r="Y108" s="491" t="n"/>
    </row>
    <row r="109" ht="12.75" customHeight="1" s="398">
      <c r="A109" s="491" t="n"/>
      <c r="B109" s="491" t="n"/>
      <c r="C109" s="491" t="n"/>
      <c r="D109" s="491" t="n"/>
      <c r="E109" s="491" t="n"/>
      <c r="F109" s="491" t="n"/>
      <c r="G109" s="491" t="n"/>
      <c r="H109" s="491" t="n"/>
      <c r="I109" s="491" t="n"/>
      <c r="J109" s="491" t="n"/>
      <c r="K109" s="491" t="n"/>
      <c r="L109" s="491" t="n"/>
      <c r="M109" s="491" t="n"/>
      <c r="N109" s="491" t="n"/>
      <c r="O109" s="491" t="n"/>
      <c r="P109" s="491" t="n"/>
      <c r="Q109" s="491" t="n"/>
      <c r="R109" s="491" t="n"/>
      <c r="S109" s="491" t="n"/>
      <c r="T109" s="491" t="n"/>
      <c r="U109" s="491" t="n"/>
      <c r="V109" s="491" t="n"/>
      <c r="W109" s="491" t="n"/>
      <c r="X109" s="491" t="n"/>
      <c r="Y109" s="491" t="n"/>
    </row>
    <row r="110" ht="12.75" customHeight="1" s="398">
      <c r="A110" s="491" t="n"/>
      <c r="B110" s="491" t="n"/>
      <c r="C110" s="491" t="n"/>
      <c r="D110" s="491" t="n"/>
      <c r="E110" s="491" t="n"/>
      <c r="F110" s="491" t="n"/>
      <c r="G110" s="491" t="n"/>
      <c r="H110" s="491" t="n"/>
      <c r="I110" s="491" t="n"/>
      <c r="J110" s="491" t="n"/>
      <c r="K110" s="491" t="n"/>
      <c r="L110" s="491" t="n"/>
      <c r="M110" s="491" t="n"/>
      <c r="N110" s="491" t="n"/>
      <c r="O110" s="491" t="n"/>
      <c r="P110" s="491" t="n"/>
      <c r="Q110" s="491" t="n"/>
      <c r="R110" s="491" t="n"/>
      <c r="S110" s="491" t="n"/>
      <c r="T110" s="491" t="n"/>
      <c r="U110" s="491" t="n"/>
      <c r="V110" s="491" t="n"/>
      <c r="W110" s="491" t="n"/>
      <c r="X110" s="491" t="n"/>
      <c r="Y110" s="491" t="n"/>
    </row>
    <row r="111" ht="12.75" customHeight="1" s="398">
      <c r="A111" s="491" t="n"/>
      <c r="B111" s="491" t="n"/>
      <c r="C111" s="491" t="n"/>
      <c r="D111" s="491" t="n"/>
      <c r="E111" s="491" t="n"/>
      <c r="F111" s="491" t="n"/>
      <c r="G111" s="491" t="n"/>
      <c r="H111" s="491" t="n"/>
      <c r="I111" s="491" t="n"/>
      <c r="J111" s="491" t="n"/>
      <c r="K111" s="491" t="n"/>
      <c r="L111" s="491" t="n"/>
      <c r="M111" s="491" t="n"/>
      <c r="N111" s="491" t="n"/>
      <c r="O111" s="491" t="n"/>
      <c r="P111" s="491" t="n"/>
      <c r="Q111" s="491" t="n"/>
      <c r="R111" s="491" t="n"/>
      <c r="S111" s="491" t="n"/>
      <c r="T111" s="491" t="n"/>
      <c r="U111" s="491" t="n"/>
      <c r="V111" s="491" t="n"/>
      <c r="W111" s="491" t="n"/>
      <c r="X111" s="491" t="n"/>
      <c r="Y111" s="491" t="n"/>
    </row>
    <row r="112" ht="12.75" customHeight="1" s="398">
      <c r="A112" s="491" t="n"/>
      <c r="B112" s="491" t="n"/>
      <c r="C112" s="491" t="n"/>
      <c r="D112" s="491" t="n"/>
      <c r="E112" s="491" t="n"/>
      <c r="F112" s="491" t="n"/>
      <c r="G112" s="491" t="n"/>
      <c r="H112" s="491" t="n"/>
      <c r="I112" s="491" t="n"/>
      <c r="J112" s="491" t="n"/>
      <c r="K112" s="491" t="n"/>
      <c r="L112" s="491" t="n"/>
      <c r="M112" s="491" t="n"/>
      <c r="N112" s="491" t="n"/>
      <c r="O112" s="491" t="n"/>
      <c r="P112" s="491" t="n"/>
      <c r="Q112" s="491" t="n"/>
      <c r="R112" s="491" t="n"/>
      <c r="S112" s="491" t="n"/>
      <c r="T112" s="491" t="n"/>
      <c r="U112" s="491" t="n"/>
      <c r="V112" s="491" t="n"/>
      <c r="W112" s="491" t="n"/>
      <c r="X112" s="491" t="n"/>
      <c r="Y112" s="491" t="n"/>
    </row>
    <row r="113" ht="12.75" customHeight="1" s="398">
      <c r="A113" s="491" t="n"/>
      <c r="B113" s="491" t="n"/>
      <c r="C113" s="491" t="n"/>
      <c r="D113" s="491" t="n"/>
      <c r="E113" s="491" t="n"/>
      <c r="F113" s="491" t="n"/>
      <c r="G113" s="491" t="n"/>
      <c r="H113" s="491" t="n"/>
      <c r="I113" s="491" t="n"/>
      <c r="J113" s="491" t="n"/>
      <c r="K113" s="491" t="n"/>
      <c r="L113" s="491" t="n"/>
      <c r="M113" s="491" t="n"/>
      <c r="N113" s="491" t="n"/>
      <c r="O113" s="491" t="n"/>
      <c r="P113" s="491" t="n"/>
      <c r="Q113" s="491" t="n"/>
      <c r="R113" s="491" t="n"/>
      <c r="S113" s="491" t="n"/>
      <c r="T113" s="491" t="n"/>
      <c r="U113" s="491" t="n"/>
      <c r="V113" s="491" t="n"/>
      <c r="W113" s="491" t="n"/>
      <c r="X113" s="491" t="n"/>
      <c r="Y113" s="491" t="n"/>
    </row>
    <row r="114" ht="12.75" customHeight="1" s="398">
      <c r="A114" s="491" t="n"/>
      <c r="B114" s="491" t="n"/>
      <c r="C114" s="491" t="n"/>
      <c r="D114" s="491" t="n"/>
      <c r="E114" s="491" t="n"/>
      <c r="F114" s="491" t="n"/>
      <c r="G114" s="491" t="n"/>
      <c r="H114" s="491" t="n"/>
      <c r="I114" s="491" t="n"/>
      <c r="J114" s="491" t="n"/>
      <c r="K114" s="491" t="n"/>
      <c r="L114" s="491" t="n"/>
      <c r="M114" s="491" t="n"/>
      <c r="N114" s="491" t="n"/>
      <c r="O114" s="491" t="n"/>
      <c r="P114" s="491" t="n"/>
      <c r="Q114" s="491" t="n"/>
      <c r="R114" s="491" t="n"/>
      <c r="S114" s="491" t="n"/>
      <c r="T114" s="491" t="n"/>
      <c r="U114" s="491" t="n"/>
      <c r="V114" s="491" t="n"/>
      <c r="W114" s="491" t="n"/>
      <c r="X114" s="491" t="n"/>
      <c r="Y114" s="491" t="n"/>
    </row>
    <row r="115" ht="12.75" customHeight="1" s="398">
      <c r="A115" s="491" t="n"/>
      <c r="B115" s="491" t="n"/>
      <c r="C115" s="491" t="n"/>
      <c r="D115" s="491" t="n"/>
      <c r="E115" s="491" t="n"/>
      <c r="F115" s="491" t="n"/>
      <c r="G115" s="491" t="n"/>
      <c r="H115" s="491" t="n"/>
      <c r="I115" s="491" t="n"/>
      <c r="J115" s="491" t="n"/>
      <c r="K115" s="491" t="n"/>
      <c r="L115" s="491" t="n"/>
      <c r="M115" s="491" t="n"/>
      <c r="N115" s="491" t="n"/>
      <c r="O115" s="491" t="n"/>
      <c r="P115" s="491" t="n"/>
      <c r="Q115" s="491" t="n"/>
      <c r="R115" s="491" t="n"/>
      <c r="S115" s="491" t="n"/>
      <c r="T115" s="491" t="n"/>
      <c r="U115" s="491" t="n"/>
      <c r="V115" s="491" t="n"/>
      <c r="W115" s="491" t="n"/>
      <c r="X115" s="491" t="n"/>
      <c r="Y115" s="491" t="n"/>
    </row>
    <row r="116" ht="12.75" customHeight="1" s="398">
      <c r="A116" s="491" t="n"/>
      <c r="B116" s="491" t="n"/>
      <c r="C116" s="491" t="n"/>
      <c r="D116" s="491" t="n"/>
      <c r="E116" s="491" t="n"/>
      <c r="F116" s="491" t="n"/>
      <c r="G116" s="491" t="n"/>
      <c r="H116" s="491" t="n"/>
      <c r="I116" s="491" t="n"/>
      <c r="J116" s="491" t="n"/>
      <c r="K116" s="491" t="n"/>
      <c r="L116" s="491" t="n"/>
      <c r="M116" s="491" t="n"/>
      <c r="N116" s="491" t="n"/>
      <c r="O116" s="491" t="n"/>
      <c r="P116" s="491" t="n"/>
      <c r="Q116" s="491" t="n"/>
      <c r="R116" s="491" t="n"/>
      <c r="S116" s="491" t="n"/>
      <c r="T116" s="491" t="n"/>
      <c r="U116" s="491" t="n"/>
      <c r="V116" s="491" t="n"/>
      <c r="W116" s="491" t="n"/>
      <c r="X116" s="491" t="n"/>
      <c r="Y116" s="491" t="n"/>
    </row>
    <row r="117" ht="12.75" customHeight="1" s="398">
      <c r="A117" s="491" t="n"/>
      <c r="B117" s="491" t="n"/>
      <c r="C117" s="491" t="n"/>
      <c r="D117" s="491" t="n"/>
      <c r="E117" s="491" t="n"/>
      <c r="F117" s="491" t="n"/>
      <c r="G117" s="491" t="n"/>
      <c r="H117" s="491" t="n"/>
      <c r="I117" s="491" t="n"/>
      <c r="J117" s="491" t="n"/>
      <c r="K117" s="491" t="n"/>
      <c r="L117" s="491" t="n"/>
      <c r="M117" s="491" t="n"/>
      <c r="N117" s="491" t="n"/>
      <c r="O117" s="491" t="n"/>
      <c r="P117" s="491" t="n"/>
      <c r="Q117" s="491" t="n"/>
      <c r="R117" s="491" t="n"/>
      <c r="S117" s="491" t="n"/>
      <c r="T117" s="491" t="n"/>
      <c r="U117" s="491" t="n"/>
      <c r="V117" s="491" t="n"/>
      <c r="W117" s="491" t="n"/>
      <c r="X117" s="491" t="n"/>
      <c r="Y117" s="491" t="n"/>
    </row>
    <row r="118" ht="12.75" customHeight="1" s="398">
      <c r="A118" s="491" t="n"/>
      <c r="B118" s="491" t="n"/>
      <c r="C118" s="491" t="n"/>
      <c r="D118" s="491" t="n"/>
      <c r="E118" s="491" t="n"/>
      <c r="F118" s="491" t="n"/>
      <c r="G118" s="491" t="n"/>
      <c r="H118" s="491" t="n"/>
      <c r="I118" s="491" t="n"/>
      <c r="J118" s="491" t="n"/>
      <c r="K118" s="491" t="n"/>
      <c r="L118" s="491" t="n"/>
      <c r="M118" s="491" t="n"/>
      <c r="N118" s="491" t="n"/>
      <c r="O118" s="491" t="n"/>
      <c r="P118" s="491" t="n"/>
      <c r="Q118" s="491" t="n"/>
      <c r="R118" s="491" t="n"/>
      <c r="S118" s="491" t="n"/>
      <c r="T118" s="491" t="n"/>
      <c r="U118" s="491" t="n"/>
      <c r="V118" s="491" t="n"/>
      <c r="W118" s="491" t="n"/>
      <c r="X118" s="491" t="n"/>
      <c r="Y118" s="491" t="n"/>
    </row>
    <row r="119" ht="12.75" customHeight="1" s="398">
      <c r="A119" s="491" t="n"/>
      <c r="B119" s="491" t="n"/>
      <c r="C119" s="491" t="n"/>
      <c r="D119" s="491" t="n"/>
      <c r="E119" s="491" t="n"/>
      <c r="F119" s="491" t="n"/>
      <c r="G119" s="491" t="n"/>
      <c r="H119" s="491" t="n"/>
      <c r="I119" s="491" t="n"/>
      <c r="J119" s="491" t="n"/>
      <c r="K119" s="491" t="n"/>
      <c r="L119" s="491" t="n"/>
      <c r="M119" s="491" t="n"/>
      <c r="N119" s="491" t="n"/>
      <c r="O119" s="491" t="n"/>
      <c r="P119" s="491" t="n"/>
      <c r="Q119" s="491" t="n"/>
      <c r="R119" s="491" t="n"/>
      <c r="S119" s="491" t="n"/>
      <c r="T119" s="491" t="n"/>
      <c r="U119" s="491" t="n"/>
      <c r="V119" s="491" t="n"/>
      <c r="W119" s="491" t="n"/>
      <c r="X119" s="491" t="n"/>
      <c r="Y119" s="491" t="n"/>
    </row>
    <row r="120" ht="12.75" customHeight="1" s="398">
      <c r="A120" s="491" t="n"/>
      <c r="B120" s="491" t="n"/>
      <c r="C120" s="491" t="n"/>
      <c r="D120" s="491" t="n"/>
      <c r="E120" s="491" t="n"/>
      <c r="F120" s="491" t="n"/>
      <c r="G120" s="491" t="n"/>
      <c r="H120" s="491" t="n"/>
      <c r="I120" s="491" t="n"/>
      <c r="J120" s="491" t="n"/>
      <c r="K120" s="491" t="n"/>
      <c r="L120" s="491" t="n"/>
      <c r="M120" s="491" t="n"/>
      <c r="N120" s="491" t="n"/>
      <c r="O120" s="491" t="n"/>
      <c r="P120" s="491" t="n"/>
      <c r="Q120" s="491" t="n"/>
      <c r="R120" s="491" t="n"/>
      <c r="S120" s="491" t="n"/>
      <c r="T120" s="491" t="n"/>
      <c r="U120" s="491" t="n"/>
      <c r="V120" s="491" t="n"/>
      <c r="W120" s="491" t="n"/>
      <c r="X120" s="491" t="n"/>
      <c r="Y120" s="491" t="n"/>
    </row>
    <row r="121" ht="12.75" customHeight="1" s="398">
      <c r="A121" s="491" t="n"/>
      <c r="B121" s="491" t="n"/>
      <c r="C121" s="491" t="n"/>
      <c r="D121" s="491" t="n"/>
      <c r="E121" s="491" t="n"/>
      <c r="F121" s="491" t="n"/>
      <c r="G121" s="491" t="n"/>
      <c r="H121" s="491" t="n"/>
      <c r="I121" s="491" t="n"/>
      <c r="J121" s="491" t="n"/>
      <c r="K121" s="491" t="n"/>
      <c r="L121" s="491" t="n"/>
      <c r="M121" s="491" t="n"/>
      <c r="N121" s="491" t="n"/>
      <c r="O121" s="491" t="n"/>
      <c r="P121" s="491" t="n"/>
      <c r="Q121" s="491" t="n"/>
      <c r="R121" s="491" t="n"/>
      <c r="S121" s="491" t="n"/>
      <c r="T121" s="491" t="n"/>
      <c r="U121" s="491" t="n"/>
      <c r="V121" s="491" t="n"/>
      <c r="W121" s="491" t="n"/>
      <c r="X121" s="491" t="n"/>
      <c r="Y121" s="491" t="n"/>
    </row>
    <row r="122" ht="12.75" customHeight="1" s="398">
      <c r="A122" s="491" t="n"/>
      <c r="B122" s="491" t="n"/>
      <c r="C122" s="491" t="n"/>
      <c r="D122" s="491" t="n"/>
      <c r="E122" s="491" t="n"/>
      <c r="F122" s="491" t="n"/>
      <c r="G122" s="491" t="n"/>
      <c r="H122" s="491" t="n"/>
      <c r="I122" s="491" t="n"/>
      <c r="J122" s="491" t="n"/>
      <c r="K122" s="491" t="n"/>
      <c r="L122" s="491" t="n"/>
      <c r="M122" s="491" t="n"/>
      <c r="N122" s="491" t="n"/>
      <c r="O122" s="491" t="n"/>
      <c r="P122" s="491" t="n"/>
      <c r="Q122" s="491" t="n"/>
      <c r="R122" s="491" t="n"/>
      <c r="S122" s="491" t="n"/>
      <c r="T122" s="491" t="n"/>
      <c r="U122" s="491" t="n"/>
      <c r="V122" s="491" t="n"/>
      <c r="W122" s="491" t="n"/>
      <c r="X122" s="491" t="n"/>
      <c r="Y122" s="491" t="n"/>
    </row>
    <row r="123" ht="12.75" customHeight="1" s="398">
      <c r="A123" s="491" t="n"/>
      <c r="B123" s="491" t="n"/>
      <c r="C123" s="491" t="n"/>
      <c r="D123" s="491" t="n"/>
      <c r="E123" s="491" t="n"/>
      <c r="F123" s="491" t="n"/>
      <c r="G123" s="491" t="n"/>
      <c r="H123" s="491" t="n"/>
      <c r="I123" s="491" t="n"/>
      <c r="J123" s="491" t="n"/>
      <c r="K123" s="491" t="n"/>
      <c r="L123" s="491" t="n"/>
      <c r="M123" s="491" t="n"/>
      <c r="N123" s="491" t="n"/>
      <c r="O123" s="491" t="n"/>
      <c r="P123" s="491" t="n"/>
      <c r="Q123" s="491" t="n"/>
      <c r="R123" s="491" t="n"/>
      <c r="S123" s="491" t="n"/>
      <c r="T123" s="491" t="n"/>
      <c r="U123" s="491" t="n"/>
      <c r="V123" s="491" t="n"/>
      <c r="W123" s="491" t="n"/>
      <c r="X123" s="491" t="n"/>
      <c r="Y123" s="491" t="n"/>
    </row>
    <row r="124" ht="12.75" customHeight="1" s="398">
      <c r="A124" s="491" t="n"/>
      <c r="B124" s="491" t="n"/>
      <c r="C124" s="491" t="n"/>
      <c r="D124" s="491" t="n"/>
      <c r="E124" s="491" t="n"/>
      <c r="F124" s="491" t="n"/>
      <c r="G124" s="491" t="n"/>
      <c r="H124" s="491" t="n"/>
      <c r="I124" s="491" t="n"/>
      <c r="J124" s="491" t="n"/>
      <c r="K124" s="491" t="n"/>
      <c r="L124" s="491" t="n"/>
      <c r="M124" s="491" t="n"/>
      <c r="N124" s="491" t="n"/>
      <c r="O124" s="491" t="n"/>
      <c r="P124" s="491" t="n"/>
      <c r="Q124" s="491" t="n"/>
      <c r="R124" s="491" t="n"/>
      <c r="S124" s="491" t="n"/>
      <c r="T124" s="491" t="n"/>
      <c r="U124" s="491" t="n"/>
      <c r="V124" s="491" t="n"/>
      <c r="W124" s="491" t="n"/>
      <c r="X124" s="491" t="n"/>
      <c r="Y124" s="491" t="n"/>
    </row>
    <row r="125" ht="12.75" customHeight="1" s="398">
      <c r="A125" s="491" t="n"/>
      <c r="B125" s="491" t="n"/>
      <c r="C125" s="491" t="n"/>
      <c r="D125" s="491" t="n"/>
      <c r="E125" s="491" t="n"/>
      <c r="F125" s="491" t="n"/>
      <c r="G125" s="491" t="n"/>
      <c r="H125" s="491" t="n"/>
      <c r="I125" s="491" t="n"/>
      <c r="J125" s="491" t="n"/>
      <c r="K125" s="491" t="n"/>
      <c r="L125" s="491" t="n"/>
      <c r="M125" s="491" t="n"/>
      <c r="N125" s="491" t="n"/>
      <c r="O125" s="491" t="n"/>
      <c r="P125" s="491" t="n"/>
      <c r="Q125" s="491" t="n"/>
      <c r="R125" s="491" t="n"/>
      <c r="S125" s="491" t="n"/>
      <c r="T125" s="491" t="n"/>
      <c r="U125" s="491" t="n"/>
      <c r="V125" s="491" t="n"/>
      <c r="W125" s="491" t="n"/>
      <c r="X125" s="491" t="n"/>
      <c r="Y125" s="491" t="n"/>
    </row>
    <row r="126" ht="12.75" customHeight="1" s="398">
      <c r="A126" s="491" t="n"/>
      <c r="B126" s="491" t="n"/>
      <c r="C126" s="491" t="n"/>
      <c r="D126" s="491" t="n"/>
      <c r="E126" s="491" t="n"/>
      <c r="F126" s="491" t="n"/>
      <c r="G126" s="491" t="n"/>
      <c r="H126" s="491" t="n"/>
      <c r="I126" s="491" t="n"/>
      <c r="J126" s="491" t="n"/>
      <c r="K126" s="491" t="n"/>
      <c r="L126" s="491" t="n"/>
      <c r="M126" s="491" t="n"/>
      <c r="N126" s="491" t="n"/>
      <c r="O126" s="491" t="n"/>
      <c r="P126" s="491" t="n"/>
      <c r="Q126" s="491" t="n"/>
      <c r="R126" s="491" t="n"/>
      <c r="S126" s="491" t="n"/>
      <c r="T126" s="491" t="n"/>
      <c r="U126" s="491" t="n"/>
      <c r="V126" s="491" t="n"/>
      <c r="W126" s="491" t="n"/>
      <c r="X126" s="491" t="n"/>
      <c r="Y126" s="491" t="n"/>
    </row>
    <row r="127" ht="12.75" customHeight="1" s="398">
      <c r="A127" s="491" t="n"/>
      <c r="B127" s="491" t="n"/>
      <c r="C127" s="491" t="n"/>
      <c r="D127" s="491" t="n"/>
      <c r="E127" s="491" t="n"/>
      <c r="F127" s="491" t="n"/>
      <c r="G127" s="491" t="n"/>
      <c r="H127" s="491" t="n"/>
      <c r="I127" s="491" t="n"/>
      <c r="J127" s="491" t="n"/>
      <c r="K127" s="491" t="n"/>
      <c r="L127" s="491" t="n"/>
      <c r="M127" s="491" t="n"/>
      <c r="N127" s="491" t="n"/>
      <c r="O127" s="491" t="n"/>
      <c r="P127" s="491" t="n"/>
      <c r="Q127" s="491" t="n"/>
      <c r="R127" s="491" t="n"/>
      <c r="S127" s="491" t="n"/>
      <c r="T127" s="491" t="n"/>
      <c r="U127" s="491" t="n"/>
      <c r="V127" s="491" t="n"/>
      <c r="W127" s="491" t="n"/>
      <c r="X127" s="491" t="n"/>
      <c r="Y127" s="491" t="n"/>
    </row>
    <row r="128" ht="12.75" customHeight="1" s="398">
      <c r="A128" s="491" t="n"/>
      <c r="B128" s="491" t="n"/>
      <c r="C128" s="491" t="n"/>
      <c r="D128" s="491" t="n"/>
      <c r="E128" s="491" t="n"/>
      <c r="F128" s="491" t="n"/>
      <c r="G128" s="491" t="n"/>
      <c r="H128" s="491" t="n"/>
      <c r="I128" s="491" t="n"/>
      <c r="J128" s="491" t="n"/>
      <c r="K128" s="491" t="n"/>
      <c r="L128" s="491" t="n"/>
      <c r="M128" s="491" t="n"/>
      <c r="N128" s="491" t="n"/>
      <c r="O128" s="491" t="n"/>
      <c r="P128" s="491" t="n"/>
      <c r="Q128" s="491" t="n"/>
      <c r="R128" s="491" t="n"/>
      <c r="S128" s="491" t="n"/>
      <c r="T128" s="491" t="n"/>
      <c r="U128" s="491" t="n"/>
      <c r="V128" s="491" t="n"/>
      <c r="W128" s="491" t="n"/>
      <c r="X128" s="491" t="n"/>
      <c r="Y128" s="491" t="n"/>
    </row>
    <row r="129" ht="12.75" customHeight="1" s="398">
      <c r="A129" s="491" t="n"/>
      <c r="B129" s="491" t="n"/>
      <c r="C129" s="491" t="n"/>
      <c r="D129" s="491" t="n"/>
      <c r="E129" s="491" t="n"/>
      <c r="F129" s="491" t="n"/>
      <c r="G129" s="491" t="n"/>
      <c r="H129" s="491" t="n"/>
      <c r="I129" s="491" t="n"/>
      <c r="J129" s="491" t="n"/>
      <c r="K129" s="491" t="n"/>
      <c r="L129" s="491" t="n"/>
      <c r="M129" s="491" t="n"/>
      <c r="N129" s="491" t="n"/>
      <c r="O129" s="491" t="n"/>
      <c r="P129" s="491" t="n"/>
      <c r="Q129" s="491" t="n"/>
      <c r="R129" s="491" t="n"/>
      <c r="S129" s="491" t="n"/>
      <c r="T129" s="491" t="n"/>
      <c r="U129" s="491" t="n"/>
      <c r="V129" s="491" t="n"/>
      <c r="W129" s="491" t="n"/>
      <c r="X129" s="491" t="n"/>
      <c r="Y129" s="491" t="n"/>
    </row>
    <row r="130" ht="12.75" customHeight="1" s="398">
      <c r="A130" s="491" t="n"/>
      <c r="B130" s="491" t="n"/>
      <c r="C130" s="491" t="n"/>
      <c r="D130" s="491" t="n"/>
      <c r="E130" s="491" t="n"/>
      <c r="F130" s="491" t="n"/>
      <c r="G130" s="491" t="n"/>
      <c r="H130" s="491" t="n"/>
      <c r="I130" s="491" t="n"/>
      <c r="J130" s="491" t="n"/>
      <c r="K130" s="491" t="n"/>
      <c r="L130" s="491" t="n"/>
      <c r="M130" s="491" t="n"/>
      <c r="N130" s="491" t="n"/>
      <c r="O130" s="491" t="n"/>
      <c r="P130" s="491" t="n"/>
      <c r="Q130" s="491" t="n"/>
      <c r="R130" s="491" t="n"/>
      <c r="S130" s="491" t="n"/>
      <c r="T130" s="491" t="n"/>
      <c r="U130" s="491" t="n"/>
      <c r="V130" s="491" t="n"/>
      <c r="W130" s="491" t="n"/>
      <c r="X130" s="491" t="n"/>
      <c r="Y130" s="491" t="n"/>
    </row>
    <row r="131" ht="12.75" customHeight="1" s="398">
      <c r="A131" s="491" t="n"/>
      <c r="B131" s="491" t="n"/>
      <c r="C131" s="491" t="n"/>
      <c r="D131" s="491" t="n"/>
      <c r="E131" s="491" t="n"/>
      <c r="F131" s="491" t="n"/>
      <c r="G131" s="491" t="n"/>
      <c r="H131" s="491" t="n"/>
      <c r="I131" s="491" t="n"/>
      <c r="J131" s="491" t="n"/>
      <c r="K131" s="491" t="n"/>
      <c r="L131" s="491" t="n"/>
      <c r="M131" s="491" t="n"/>
      <c r="N131" s="491" t="n"/>
      <c r="O131" s="491" t="n"/>
      <c r="P131" s="491" t="n"/>
      <c r="Q131" s="491" t="n"/>
      <c r="R131" s="491" t="n"/>
      <c r="S131" s="491" t="n"/>
      <c r="T131" s="491" t="n"/>
      <c r="U131" s="491" t="n"/>
      <c r="V131" s="491" t="n"/>
      <c r="W131" s="491" t="n"/>
      <c r="X131" s="491" t="n"/>
      <c r="Y131" s="491" t="n"/>
    </row>
    <row r="132" ht="12.75" customHeight="1" s="398">
      <c r="A132" s="491" t="n"/>
      <c r="B132" s="491" t="n"/>
      <c r="C132" s="491" t="n"/>
      <c r="D132" s="491" t="n"/>
      <c r="E132" s="491" t="n"/>
      <c r="F132" s="491" t="n"/>
      <c r="G132" s="491" t="n"/>
      <c r="H132" s="491" t="n"/>
      <c r="I132" s="491" t="n"/>
      <c r="J132" s="491" t="n"/>
      <c r="K132" s="491" t="n"/>
      <c r="L132" s="491" t="n"/>
      <c r="M132" s="491" t="n"/>
      <c r="N132" s="491" t="n"/>
      <c r="O132" s="491" t="n"/>
      <c r="P132" s="491" t="n"/>
      <c r="Q132" s="491" t="n"/>
      <c r="R132" s="491" t="n"/>
      <c r="S132" s="491" t="n"/>
      <c r="T132" s="491" t="n"/>
      <c r="U132" s="491" t="n"/>
      <c r="V132" s="491" t="n"/>
      <c r="W132" s="491" t="n"/>
      <c r="X132" s="491" t="n"/>
      <c r="Y132" s="491" t="n"/>
    </row>
    <row r="133" ht="12.75" customHeight="1" s="398">
      <c r="A133" s="491" t="n"/>
      <c r="B133" s="491" t="n"/>
      <c r="C133" s="491" t="n"/>
      <c r="D133" s="491" t="n"/>
      <c r="E133" s="491" t="n"/>
      <c r="F133" s="491" t="n"/>
      <c r="G133" s="491" t="n"/>
      <c r="H133" s="491" t="n"/>
      <c r="I133" s="491" t="n"/>
      <c r="J133" s="491" t="n"/>
      <c r="K133" s="491" t="n"/>
      <c r="L133" s="491" t="n"/>
      <c r="M133" s="491" t="n"/>
      <c r="N133" s="491" t="n"/>
      <c r="O133" s="491" t="n"/>
      <c r="P133" s="491" t="n"/>
      <c r="Q133" s="491" t="n"/>
      <c r="R133" s="491" t="n"/>
      <c r="S133" s="491" t="n"/>
      <c r="T133" s="491" t="n"/>
      <c r="U133" s="491" t="n"/>
      <c r="V133" s="491" t="n"/>
      <c r="W133" s="491" t="n"/>
      <c r="X133" s="491" t="n"/>
      <c r="Y133" s="491" t="n"/>
    </row>
    <row r="134" ht="12.75" customHeight="1" s="398">
      <c r="A134" s="491" t="n"/>
      <c r="B134" s="491" t="n"/>
      <c r="C134" s="491" t="n"/>
      <c r="D134" s="491" t="n"/>
      <c r="E134" s="491" t="n"/>
      <c r="F134" s="491" t="n"/>
      <c r="G134" s="491" t="n"/>
      <c r="H134" s="491" t="n"/>
      <c r="I134" s="491" t="n"/>
      <c r="J134" s="491" t="n"/>
      <c r="K134" s="491" t="n"/>
      <c r="L134" s="491" t="n"/>
      <c r="M134" s="491" t="n"/>
      <c r="N134" s="491" t="n"/>
      <c r="O134" s="491" t="n"/>
      <c r="P134" s="491" t="n"/>
      <c r="Q134" s="491" t="n"/>
      <c r="R134" s="491" t="n"/>
      <c r="S134" s="491" t="n"/>
      <c r="T134" s="491" t="n"/>
      <c r="U134" s="491" t="n"/>
      <c r="V134" s="491" t="n"/>
      <c r="W134" s="491" t="n"/>
      <c r="X134" s="491" t="n"/>
      <c r="Y134" s="491" t="n"/>
    </row>
    <row r="135" ht="12.75" customHeight="1" s="398">
      <c r="A135" s="491" t="n"/>
      <c r="B135" s="491" t="n"/>
      <c r="C135" s="491" t="n"/>
      <c r="D135" s="491" t="n"/>
      <c r="E135" s="491" t="n"/>
      <c r="F135" s="491" t="n"/>
      <c r="G135" s="491" t="n"/>
      <c r="H135" s="491" t="n"/>
      <c r="I135" s="491" t="n"/>
      <c r="J135" s="491" t="n"/>
      <c r="K135" s="491" t="n"/>
      <c r="L135" s="491" t="n"/>
      <c r="M135" s="491" t="n"/>
      <c r="N135" s="491" t="n"/>
      <c r="O135" s="491" t="n"/>
      <c r="P135" s="491" t="n"/>
      <c r="Q135" s="491" t="n"/>
      <c r="R135" s="491" t="n"/>
      <c r="S135" s="491" t="n"/>
      <c r="T135" s="491" t="n"/>
      <c r="U135" s="491" t="n"/>
      <c r="V135" s="491" t="n"/>
      <c r="W135" s="491" t="n"/>
      <c r="X135" s="491" t="n"/>
      <c r="Y135" s="491" t="n"/>
    </row>
    <row r="136" ht="12.75" customHeight="1" s="398">
      <c r="A136" s="491" t="n"/>
      <c r="B136" s="491" t="n"/>
      <c r="C136" s="491" t="n"/>
      <c r="D136" s="491" t="n"/>
      <c r="E136" s="491" t="n"/>
      <c r="F136" s="491" t="n"/>
      <c r="G136" s="491" t="n"/>
      <c r="H136" s="491" t="n"/>
      <c r="I136" s="491" t="n"/>
      <c r="J136" s="491" t="n"/>
      <c r="K136" s="491" t="n"/>
      <c r="L136" s="491" t="n"/>
      <c r="M136" s="491" t="n"/>
      <c r="N136" s="491" t="n"/>
      <c r="O136" s="491" t="n"/>
      <c r="P136" s="491" t="n"/>
      <c r="Q136" s="491" t="n"/>
      <c r="R136" s="491" t="n"/>
      <c r="S136" s="491" t="n"/>
      <c r="T136" s="491" t="n"/>
      <c r="U136" s="491" t="n"/>
      <c r="V136" s="491" t="n"/>
      <c r="W136" s="491" t="n"/>
      <c r="X136" s="491" t="n"/>
      <c r="Y136" s="491" t="n"/>
    </row>
    <row r="137" ht="12.75" customHeight="1" s="398">
      <c r="A137" s="491" t="n"/>
      <c r="B137" s="491" t="n"/>
      <c r="C137" s="491" t="n"/>
      <c r="D137" s="491" t="n"/>
      <c r="E137" s="491" t="n"/>
      <c r="F137" s="491" t="n"/>
      <c r="G137" s="491" t="n"/>
      <c r="H137" s="491" t="n"/>
      <c r="I137" s="491" t="n"/>
      <c r="J137" s="491" t="n"/>
      <c r="K137" s="491" t="n"/>
      <c r="L137" s="491" t="n"/>
      <c r="M137" s="491" t="n"/>
      <c r="N137" s="491" t="n"/>
      <c r="O137" s="491" t="n"/>
      <c r="P137" s="491" t="n"/>
      <c r="Q137" s="491" t="n"/>
      <c r="R137" s="491" t="n"/>
      <c r="S137" s="491" t="n"/>
      <c r="T137" s="491" t="n"/>
      <c r="U137" s="491" t="n"/>
      <c r="V137" s="491" t="n"/>
      <c r="W137" s="491" t="n"/>
      <c r="X137" s="491" t="n"/>
      <c r="Y137" s="491" t="n"/>
    </row>
    <row r="138" ht="12.75" customHeight="1" s="398">
      <c r="A138" s="491" t="n"/>
      <c r="B138" s="491" t="n"/>
      <c r="C138" s="491" t="n"/>
      <c r="D138" s="491" t="n"/>
      <c r="E138" s="491" t="n"/>
      <c r="F138" s="491" t="n"/>
      <c r="G138" s="491" t="n"/>
      <c r="H138" s="491" t="n"/>
      <c r="I138" s="491" t="n"/>
      <c r="J138" s="491" t="n"/>
      <c r="K138" s="491" t="n"/>
      <c r="L138" s="491" t="n"/>
      <c r="M138" s="491" t="n"/>
      <c r="N138" s="491" t="n"/>
      <c r="O138" s="491" t="n"/>
      <c r="P138" s="491" t="n"/>
      <c r="Q138" s="491" t="n"/>
      <c r="R138" s="491" t="n"/>
      <c r="S138" s="491" t="n"/>
      <c r="T138" s="491" t="n"/>
      <c r="U138" s="491" t="n"/>
      <c r="V138" s="491" t="n"/>
      <c r="W138" s="491" t="n"/>
      <c r="X138" s="491" t="n"/>
      <c r="Y138" s="491" t="n"/>
    </row>
    <row r="139" ht="12.75" customHeight="1" s="398">
      <c r="A139" s="491" t="n"/>
      <c r="B139" s="491" t="n"/>
      <c r="C139" s="491" t="n"/>
      <c r="D139" s="491" t="n"/>
      <c r="E139" s="491" t="n"/>
      <c r="F139" s="491" t="n"/>
      <c r="G139" s="491" t="n"/>
      <c r="H139" s="491" t="n"/>
      <c r="I139" s="491" t="n"/>
      <c r="J139" s="491" t="n"/>
      <c r="K139" s="491" t="n"/>
      <c r="L139" s="491" t="n"/>
      <c r="M139" s="491" t="n"/>
      <c r="N139" s="491" t="n"/>
      <c r="O139" s="491" t="n"/>
      <c r="P139" s="491" t="n"/>
      <c r="Q139" s="491" t="n"/>
      <c r="R139" s="491" t="n"/>
      <c r="S139" s="491" t="n"/>
      <c r="T139" s="491" t="n"/>
      <c r="U139" s="491" t="n"/>
      <c r="V139" s="491" t="n"/>
      <c r="W139" s="491" t="n"/>
      <c r="X139" s="491" t="n"/>
      <c r="Y139" s="491" t="n"/>
    </row>
    <row r="140" ht="12.75" customHeight="1" s="398">
      <c r="A140" s="491" t="n"/>
      <c r="B140" s="491" t="n"/>
      <c r="C140" s="491" t="n"/>
      <c r="D140" s="491" t="n"/>
      <c r="E140" s="491" t="n"/>
      <c r="F140" s="491" t="n"/>
      <c r="G140" s="491" t="n"/>
      <c r="H140" s="491" t="n"/>
      <c r="I140" s="491" t="n"/>
      <c r="J140" s="491" t="n"/>
      <c r="K140" s="491" t="n"/>
      <c r="L140" s="491" t="n"/>
      <c r="M140" s="491" t="n"/>
      <c r="N140" s="491" t="n"/>
      <c r="O140" s="491" t="n"/>
      <c r="P140" s="491" t="n"/>
      <c r="Q140" s="491" t="n"/>
      <c r="R140" s="491" t="n"/>
      <c r="S140" s="491" t="n"/>
      <c r="T140" s="491" t="n"/>
      <c r="U140" s="491" t="n"/>
      <c r="V140" s="491" t="n"/>
      <c r="W140" s="491" t="n"/>
      <c r="X140" s="491" t="n"/>
      <c r="Y140" s="491" t="n"/>
    </row>
    <row r="141" ht="12.75" customHeight="1" s="398">
      <c r="A141" s="491" t="n"/>
      <c r="B141" s="491" t="n"/>
      <c r="C141" s="491" t="n"/>
      <c r="D141" s="491" t="n"/>
      <c r="E141" s="491" t="n"/>
      <c r="F141" s="491" t="n"/>
      <c r="G141" s="491" t="n"/>
      <c r="H141" s="491" t="n"/>
      <c r="I141" s="491" t="n"/>
      <c r="J141" s="491" t="n"/>
      <c r="K141" s="491" t="n"/>
      <c r="L141" s="491" t="n"/>
      <c r="M141" s="491" t="n"/>
      <c r="N141" s="491" t="n"/>
      <c r="O141" s="491" t="n"/>
      <c r="P141" s="491" t="n"/>
      <c r="Q141" s="491" t="n"/>
      <c r="R141" s="491" t="n"/>
      <c r="S141" s="491" t="n"/>
      <c r="T141" s="491" t="n"/>
      <c r="U141" s="491" t="n"/>
      <c r="V141" s="491" t="n"/>
      <c r="W141" s="491" t="n"/>
      <c r="X141" s="491" t="n"/>
      <c r="Y141" s="491" t="n"/>
    </row>
    <row r="142" ht="12.75" customHeight="1" s="398">
      <c r="A142" s="491" t="n"/>
      <c r="B142" s="491" t="n"/>
      <c r="C142" s="491" t="n"/>
      <c r="D142" s="491" t="n"/>
      <c r="E142" s="491" t="n"/>
      <c r="F142" s="491" t="n"/>
      <c r="G142" s="491" t="n"/>
      <c r="H142" s="491" t="n"/>
      <c r="I142" s="491" t="n"/>
      <c r="J142" s="491" t="n"/>
      <c r="K142" s="491" t="n"/>
      <c r="L142" s="491" t="n"/>
      <c r="M142" s="491" t="n"/>
      <c r="N142" s="491" t="n"/>
      <c r="O142" s="491" t="n"/>
      <c r="P142" s="491" t="n"/>
      <c r="Q142" s="491" t="n"/>
      <c r="R142" s="491" t="n"/>
      <c r="S142" s="491" t="n"/>
      <c r="T142" s="491" t="n"/>
      <c r="U142" s="491" t="n"/>
      <c r="V142" s="491" t="n"/>
      <c r="W142" s="491" t="n"/>
      <c r="X142" s="491" t="n"/>
      <c r="Y142" s="491" t="n"/>
    </row>
    <row r="143" ht="12.75" customHeight="1" s="398">
      <c r="A143" s="491" t="n"/>
      <c r="B143" s="491" t="n"/>
      <c r="C143" s="491" t="n"/>
      <c r="D143" s="491" t="n"/>
      <c r="E143" s="491" t="n"/>
      <c r="F143" s="491" t="n"/>
      <c r="G143" s="491" t="n"/>
      <c r="H143" s="491" t="n"/>
      <c r="I143" s="491" t="n"/>
      <c r="J143" s="491" t="n"/>
      <c r="K143" s="491" t="n"/>
      <c r="L143" s="491" t="n"/>
      <c r="M143" s="491" t="n"/>
      <c r="N143" s="491" t="n"/>
      <c r="O143" s="491" t="n"/>
      <c r="P143" s="491" t="n"/>
      <c r="Q143" s="491" t="n"/>
      <c r="R143" s="491" t="n"/>
      <c r="S143" s="491" t="n"/>
      <c r="T143" s="491" t="n"/>
      <c r="U143" s="491" t="n"/>
      <c r="V143" s="491" t="n"/>
      <c r="W143" s="491" t="n"/>
      <c r="X143" s="491" t="n"/>
      <c r="Y143" s="491" t="n"/>
    </row>
    <row r="144" ht="12.75" customHeight="1" s="398">
      <c r="A144" s="491" t="n"/>
      <c r="B144" s="491" t="n"/>
      <c r="C144" s="491" t="n"/>
      <c r="D144" s="491" t="n"/>
      <c r="E144" s="491" t="n"/>
      <c r="F144" s="491" t="n"/>
      <c r="G144" s="491" t="n"/>
      <c r="H144" s="491" t="n"/>
      <c r="I144" s="491" t="n"/>
      <c r="J144" s="491" t="n"/>
      <c r="K144" s="491" t="n"/>
      <c r="L144" s="491" t="n"/>
      <c r="M144" s="491" t="n"/>
      <c r="N144" s="491" t="n"/>
      <c r="O144" s="491" t="n"/>
      <c r="P144" s="491" t="n"/>
      <c r="Q144" s="491" t="n"/>
      <c r="R144" s="491" t="n"/>
      <c r="S144" s="491" t="n"/>
      <c r="T144" s="491" t="n"/>
      <c r="U144" s="491" t="n"/>
      <c r="V144" s="491" t="n"/>
      <c r="W144" s="491" t="n"/>
      <c r="X144" s="491" t="n"/>
      <c r="Y144" s="491" t="n"/>
    </row>
    <row r="145" ht="12.75" customHeight="1" s="398">
      <c r="A145" s="491" t="n"/>
      <c r="B145" s="491" t="n"/>
      <c r="C145" s="491" t="n"/>
      <c r="D145" s="491" t="n"/>
      <c r="E145" s="491" t="n"/>
      <c r="F145" s="491" t="n"/>
      <c r="G145" s="491" t="n"/>
      <c r="H145" s="491" t="n"/>
      <c r="I145" s="491" t="n"/>
      <c r="J145" s="491" t="n"/>
      <c r="K145" s="491" t="n"/>
      <c r="L145" s="491" t="n"/>
      <c r="M145" s="491" t="n"/>
      <c r="N145" s="491" t="n"/>
      <c r="O145" s="491" t="n"/>
      <c r="P145" s="491" t="n"/>
      <c r="Q145" s="491" t="n"/>
      <c r="R145" s="491" t="n"/>
      <c r="S145" s="491" t="n"/>
      <c r="T145" s="491" t="n"/>
      <c r="U145" s="491" t="n"/>
      <c r="V145" s="491" t="n"/>
      <c r="W145" s="491" t="n"/>
      <c r="X145" s="491" t="n"/>
      <c r="Y145" s="491" t="n"/>
    </row>
    <row r="146" ht="12.75" customHeight="1" s="398">
      <c r="A146" s="491" t="n"/>
      <c r="B146" s="491" t="n"/>
      <c r="C146" s="491" t="n"/>
      <c r="D146" s="491" t="n"/>
      <c r="E146" s="491" t="n"/>
      <c r="F146" s="491" t="n"/>
      <c r="G146" s="491" t="n"/>
      <c r="H146" s="491" t="n"/>
      <c r="I146" s="491" t="n"/>
      <c r="J146" s="491" t="n"/>
      <c r="K146" s="491" t="n"/>
      <c r="L146" s="491" t="n"/>
      <c r="M146" s="491" t="n"/>
      <c r="N146" s="491" t="n"/>
      <c r="O146" s="491" t="n"/>
      <c r="P146" s="491" t="n"/>
      <c r="Q146" s="491" t="n"/>
      <c r="R146" s="491" t="n"/>
      <c r="S146" s="491" t="n"/>
      <c r="T146" s="491" t="n"/>
      <c r="U146" s="491" t="n"/>
      <c r="V146" s="491" t="n"/>
      <c r="W146" s="491" t="n"/>
      <c r="X146" s="491" t="n"/>
      <c r="Y146" s="491" t="n"/>
    </row>
    <row r="147" ht="12.75" customHeight="1" s="398">
      <c r="A147" s="491" t="n"/>
      <c r="B147" s="491" t="n"/>
      <c r="C147" s="491" t="n"/>
      <c r="D147" s="491" t="n"/>
      <c r="E147" s="491" t="n"/>
      <c r="F147" s="491" t="n"/>
      <c r="G147" s="491" t="n"/>
      <c r="H147" s="491" t="n"/>
      <c r="I147" s="491" t="n"/>
      <c r="J147" s="491" t="n"/>
      <c r="K147" s="491" t="n"/>
      <c r="L147" s="491" t="n"/>
      <c r="M147" s="491" t="n"/>
      <c r="N147" s="491" t="n"/>
      <c r="O147" s="491" t="n"/>
      <c r="P147" s="491" t="n"/>
      <c r="Q147" s="491" t="n"/>
      <c r="R147" s="491" t="n"/>
      <c r="S147" s="491" t="n"/>
      <c r="T147" s="491" t="n"/>
      <c r="U147" s="491" t="n"/>
      <c r="V147" s="491" t="n"/>
      <c r="W147" s="491" t="n"/>
      <c r="X147" s="491" t="n"/>
      <c r="Y147" s="491" t="n"/>
    </row>
    <row r="148" ht="12.75" customHeight="1" s="398">
      <c r="A148" s="491" t="n"/>
      <c r="B148" s="491" t="n"/>
      <c r="C148" s="491" t="n"/>
      <c r="D148" s="491" t="n"/>
      <c r="E148" s="491" t="n"/>
      <c r="F148" s="491" t="n"/>
      <c r="G148" s="491" t="n"/>
      <c r="H148" s="491" t="n"/>
      <c r="I148" s="491" t="n"/>
      <c r="J148" s="491" t="n"/>
      <c r="K148" s="491" t="n"/>
      <c r="L148" s="491" t="n"/>
      <c r="M148" s="491" t="n"/>
      <c r="N148" s="491" t="n"/>
      <c r="O148" s="491" t="n"/>
      <c r="P148" s="491" t="n"/>
      <c r="Q148" s="491" t="n"/>
      <c r="R148" s="491" t="n"/>
      <c r="S148" s="491" t="n"/>
      <c r="T148" s="491" t="n"/>
      <c r="U148" s="491" t="n"/>
      <c r="V148" s="491" t="n"/>
      <c r="W148" s="491" t="n"/>
      <c r="X148" s="491" t="n"/>
      <c r="Y148" s="491" t="n"/>
    </row>
    <row r="149" ht="12.75" customHeight="1" s="398">
      <c r="A149" s="491" t="n"/>
      <c r="B149" s="491" t="n"/>
      <c r="C149" s="491" t="n"/>
      <c r="D149" s="491" t="n"/>
      <c r="E149" s="491" t="n"/>
      <c r="F149" s="491" t="n"/>
      <c r="G149" s="491" t="n"/>
      <c r="H149" s="491" t="n"/>
      <c r="I149" s="491" t="n"/>
      <c r="J149" s="491" t="n"/>
      <c r="K149" s="491" t="n"/>
      <c r="L149" s="491" t="n"/>
      <c r="M149" s="491" t="n"/>
      <c r="N149" s="491" t="n"/>
      <c r="O149" s="491" t="n"/>
      <c r="P149" s="491" t="n"/>
      <c r="Q149" s="491" t="n"/>
      <c r="R149" s="491" t="n"/>
      <c r="S149" s="491" t="n"/>
      <c r="T149" s="491" t="n"/>
      <c r="U149" s="491" t="n"/>
      <c r="V149" s="491" t="n"/>
      <c r="W149" s="491" t="n"/>
      <c r="X149" s="491" t="n"/>
      <c r="Y149" s="491" t="n"/>
    </row>
    <row r="150" ht="12.75" customHeight="1" s="398">
      <c r="A150" s="491" t="n"/>
      <c r="B150" s="491" t="n"/>
      <c r="C150" s="491" t="n"/>
      <c r="D150" s="491" t="n"/>
      <c r="E150" s="491" t="n"/>
      <c r="F150" s="491" t="n"/>
      <c r="G150" s="491" t="n"/>
      <c r="H150" s="491" t="n"/>
      <c r="I150" s="491" t="n"/>
      <c r="J150" s="491" t="n"/>
      <c r="K150" s="491" t="n"/>
      <c r="L150" s="491" t="n"/>
      <c r="M150" s="491" t="n"/>
      <c r="N150" s="491" t="n"/>
      <c r="O150" s="491" t="n"/>
      <c r="P150" s="491" t="n"/>
      <c r="Q150" s="491" t="n"/>
      <c r="R150" s="491" t="n"/>
      <c r="S150" s="491" t="n"/>
      <c r="T150" s="491" t="n"/>
      <c r="U150" s="491" t="n"/>
      <c r="V150" s="491" t="n"/>
      <c r="W150" s="491" t="n"/>
      <c r="X150" s="491" t="n"/>
      <c r="Y150" s="491" t="n"/>
    </row>
    <row r="151" ht="12.75" customHeight="1" s="398">
      <c r="A151" s="491" t="n"/>
      <c r="B151" s="491" t="n"/>
      <c r="C151" s="491" t="n"/>
      <c r="D151" s="491" t="n"/>
      <c r="E151" s="491" t="n"/>
      <c r="F151" s="491" t="n"/>
      <c r="G151" s="491" t="n"/>
      <c r="H151" s="491" t="n"/>
      <c r="I151" s="491" t="n"/>
      <c r="J151" s="491" t="n"/>
      <c r="K151" s="491" t="n"/>
      <c r="L151" s="491" t="n"/>
      <c r="M151" s="491" t="n"/>
      <c r="N151" s="491" t="n"/>
      <c r="O151" s="491" t="n"/>
      <c r="P151" s="491" t="n"/>
      <c r="Q151" s="491" t="n"/>
      <c r="R151" s="491" t="n"/>
      <c r="S151" s="491" t="n"/>
      <c r="T151" s="491" t="n"/>
      <c r="U151" s="491" t="n"/>
      <c r="V151" s="491" t="n"/>
      <c r="W151" s="491" t="n"/>
      <c r="X151" s="491" t="n"/>
      <c r="Y151" s="491" t="n"/>
    </row>
    <row r="152" ht="12.75" customHeight="1" s="398">
      <c r="A152" s="491" t="n"/>
      <c r="B152" s="491" t="n"/>
      <c r="C152" s="491" t="n"/>
      <c r="D152" s="491" t="n"/>
      <c r="E152" s="491" t="n"/>
      <c r="F152" s="491" t="n"/>
      <c r="G152" s="491" t="n"/>
      <c r="H152" s="491" t="n"/>
      <c r="I152" s="491" t="n"/>
      <c r="J152" s="491" t="n"/>
      <c r="K152" s="491" t="n"/>
      <c r="L152" s="491" t="n"/>
      <c r="M152" s="491" t="n"/>
      <c r="N152" s="491" t="n"/>
      <c r="O152" s="491" t="n"/>
      <c r="P152" s="491" t="n"/>
      <c r="Q152" s="491" t="n"/>
      <c r="R152" s="491" t="n"/>
      <c r="S152" s="491" t="n"/>
      <c r="T152" s="491" t="n"/>
      <c r="U152" s="491" t="n"/>
      <c r="V152" s="491" t="n"/>
      <c r="W152" s="491" t="n"/>
      <c r="X152" s="491" t="n"/>
      <c r="Y152" s="491" t="n"/>
    </row>
    <row r="153" ht="12.75" customHeight="1" s="398">
      <c r="A153" s="491" t="n"/>
      <c r="B153" s="491" t="n"/>
      <c r="C153" s="491" t="n"/>
      <c r="D153" s="491" t="n"/>
      <c r="E153" s="491" t="n"/>
      <c r="F153" s="491" t="n"/>
      <c r="G153" s="491" t="n"/>
      <c r="H153" s="491" t="n"/>
      <c r="I153" s="491" t="n"/>
      <c r="J153" s="491" t="n"/>
      <c r="K153" s="491" t="n"/>
      <c r="L153" s="491" t="n"/>
      <c r="M153" s="491" t="n"/>
      <c r="N153" s="491" t="n"/>
      <c r="O153" s="491" t="n"/>
      <c r="P153" s="491" t="n"/>
      <c r="Q153" s="491" t="n"/>
      <c r="R153" s="491" t="n"/>
      <c r="S153" s="491" t="n"/>
      <c r="T153" s="491" t="n"/>
      <c r="U153" s="491" t="n"/>
      <c r="V153" s="491" t="n"/>
      <c r="W153" s="491" t="n"/>
      <c r="X153" s="491" t="n"/>
      <c r="Y153" s="491" t="n"/>
    </row>
    <row r="154" ht="12.75" customHeight="1" s="398">
      <c r="A154" s="491" t="n"/>
      <c r="B154" s="491" t="n"/>
      <c r="C154" s="491" t="n"/>
      <c r="D154" s="491" t="n"/>
      <c r="E154" s="491" t="n"/>
      <c r="F154" s="491" t="n"/>
      <c r="G154" s="491" t="n"/>
      <c r="H154" s="491" t="n"/>
      <c r="I154" s="491" t="n"/>
      <c r="J154" s="491" t="n"/>
      <c r="K154" s="491" t="n"/>
      <c r="L154" s="491" t="n"/>
      <c r="M154" s="491" t="n"/>
      <c r="N154" s="491" t="n"/>
      <c r="O154" s="491" t="n"/>
      <c r="P154" s="491" t="n"/>
      <c r="Q154" s="491" t="n"/>
      <c r="R154" s="491" t="n"/>
      <c r="S154" s="491" t="n"/>
      <c r="T154" s="491" t="n"/>
      <c r="U154" s="491" t="n"/>
      <c r="V154" s="491" t="n"/>
      <c r="W154" s="491" t="n"/>
      <c r="X154" s="491" t="n"/>
      <c r="Y154" s="491" t="n"/>
    </row>
    <row r="155" ht="12.75" customHeight="1" s="398">
      <c r="A155" s="491" t="n"/>
      <c r="B155" s="491" t="n"/>
      <c r="C155" s="491" t="n"/>
      <c r="D155" s="491" t="n"/>
      <c r="E155" s="491" t="n"/>
      <c r="F155" s="491" t="n"/>
      <c r="G155" s="491" t="n"/>
      <c r="H155" s="491" t="n"/>
      <c r="I155" s="491" t="n"/>
      <c r="J155" s="491" t="n"/>
      <c r="K155" s="491" t="n"/>
      <c r="L155" s="491" t="n"/>
      <c r="M155" s="491" t="n"/>
      <c r="N155" s="491" t="n"/>
      <c r="O155" s="491" t="n"/>
      <c r="P155" s="491" t="n"/>
      <c r="Q155" s="491" t="n"/>
      <c r="R155" s="491" t="n"/>
      <c r="S155" s="491" t="n"/>
      <c r="T155" s="491" t="n"/>
      <c r="U155" s="491" t="n"/>
      <c r="V155" s="491" t="n"/>
      <c r="W155" s="491" t="n"/>
      <c r="X155" s="491" t="n"/>
      <c r="Y155" s="491" t="n"/>
    </row>
    <row r="156" ht="12.75" customHeight="1" s="398">
      <c r="A156" s="491" t="n"/>
      <c r="B156" s="491" t="n"/>
      <c r="C156" s="491" t="n"/>
      <c r="D156" s="491" t="n"/>
      <c r="E156" s="491" t="n"/>
      <c r="F156" s="491" t="n"/>
      <c r="G156" s="491" t="n"/>
      <c r="H156" s="491" t="n"/>
      <c r="I156" s="491" t="n"/>
      <c r="J156" s="491" t="n"/>
      <c r="K156" s="491" t="n"/>
      <c r="L156" s="491" t="n"/>
      <c r="M156" s="491" t="n"/>
      <c r="N156" s="491" t="n"/>
      <c r="O156" s="491" t="n"/>
      <c r="P156" s="491" t="n"/>
      <c r="Q156" s="491" t="n"/>
      <c r="R156" s="491" t="n"/>
      <c r="S156" s="491" t="n"/>
      <c r="T156" s="491" t="n"/>
      <c r="U156" s="491" t="n"/>
      <c r="V156" s="491" t="n"/>
      <c r="W156" s="491" t="n"/>
      <c r="X156" s="491" t="n"/>
      <c r="Y156" s="491" t="n"/>
    </row>
    <row r="157" ht="12.75" customHeight="1" s="398">
      <c r="A157" s="491" t="n"/>
      <c r="B157" s="491" t="n"/>
      <c r="C157" s="491" t="n"/>
      <c r="D157" s="491" t="n"/>
      <c r="E157" s="491" t="n"/>
      <c r="F157" s="491" t="n"/>
      <c r="G157" s="491" t="n"/>
      <c r="H157" s="491" t="n"/>
      <c r="I157" s="491" t="n"/>
      <c r="J157" s="491" t="n"/>
      <c r="K157" s="491" t="n"/>
      <c r="L157" s="491" t="n"/>
      <c r="M157" s="491" t="n"/>
      <c r="N157" s="491" t="n"/>
      <c r="O157" s="491" t="n"/>
      <c r="P157" s="491" t="n"/>
      <c r="Q157" s="491" t="n"/>
      <c r="R157" s="491" t="n"/>
      <c r="S157" s="491" t="n"/>
      <c r="T157" s="491" t="n"/>
      <c r="U157" s="491" t="n"/>
      <c r="V157" s="491" t="n"/>
      <c r="W157" s="491" t="n"/>
      <c r="X157" s="491" t="n"/>
      <c r="Y157" s="491" t="n"/>
    </row>
    <row r="158" ht="12.75" customHeight="1" s="398">
      <c r="A158" s="491" t="n"/>
      <c r="B158" s="491" t="n"/>
      <c r="C158" s="491" t="n"/>
      <c r="D158" s="491" t="n"/>
      <c r="E158" s="491" t="n"/>
      <c r="F158" s="491" t="n"/>
      <c r="G158" s="491" t="n"/>
      <c r="H158" s="491" t="n"/>
      <c r="I158" s="491" t="n"/>
      <c r="J158" s="491" t="n"/>
      <c r="K158" s="491" t="n"/>
      <c r="L158" s="491" t="n"/>
      <c r="M158" s="491" t="n"/>
      <c r="N158" s="491" t="n"/>
      <c r="O158" s="491" t="n"/>
      <c r="P158" s="491" t="n"/>
      <c r="Q158" s="491" t="n"/>
      <c r="R158" s="491" t="n"/>
      <c r="S158" s="491" t="n"/>
      <c r="T158" s="491" t="n"/>
      <c r="U158" s="491" t="n"/>
      <c r="V158" s="491" t="n"/>
      <c r="W158" s="491" t="n"/>
      <c r="X158" s="491" t="n"/>
      <c r="Y158" s="491" t="n"/>
    </row>
    <row r="159" ht="12.75" customHeight="1" s="398">
      <c r="A159" s="491" t="n"/>
      <c r="B159" s="491" t="n"/>
      <c r="C159" s="491" t="n"/>
      <c r="D159" s="491" t="n"/>
      <c r="E159" s="491" t="n"/>
      <c r="F159" s="491" t="n"/>
      <c r="G159" s="491" t="n"/>
      <c r="H159" s="491" t="n"/>
      <c r="I159" s="491" t="n"/>
      <c r="J159" s="491" t="n"/>
      <c r="K159" s="491" t="n"/>
      <c r="L159" s="491" t="n"/>
      <c r="M159" s="491" t="n"/>
      <c r="N159" s="491" t="n"/>
      <c r="O159" s="491" t="n"/>
      <c r="P159" s="491" t="n"/>
      <c r="Q159" s="491" t="n"/>
      <c r="R159" s="491" t="n"/>
      <c r="S159" s="491" t="n"/>
      <c r="T159" s="491" t="n"/>
      <c r="U159" s="491" t="n"/>
      <c r="V159" s="491" t="n"/>
      <c r="W159" s="491" t="n"/>
      <c r="X159" s="491" t="n"/>
      <c r="Y159" s="491" t="n"/>
    </row>
    <row r="160" ht="12.75" customHeight="1" s="398">
      <c r="A160" s="491" t="n"/>
      <c r="B160" s="491" t="n"/>
      <c r="C160" s="491" t="n"/>
      <c r="D160" s="491" t="n"/>
      <c r="E160" s="491" t="n"/>
      <c r="F160" s="491" t="n"/>
      <c r="G160" s="491" t="n"/>
      <c r="H160" s="491" t="n"/>
      <c r="I160" s="491" t="n"/>
      <c r="J160" s="491" t="n"/>
      <c r="K160" s="491" t="n"/>
      <c r="L160" s="491" t="n"/>
      <c r="M160" s="491" t="n"/>
      <c r="N160" s="491" t="n"/>
      <c r="O160" s="491" t="n"/>
      <c r="P160" s="491" t="n"/>
      <c r="Q160" s="491" t="n"/>
      <c r="R160" s="491" t="n"/>
      <c r="S160" s="491" t="n"/>
      <c r="T160" s="491" t="n"/>
      <c r="U160" s="491" t="n"/>
      <c r="V160" s="491" t="n"/>
      <c r="W160" s="491" t="n"/>
      <c r="X160" s="491" t="n"/>
      <c r="Y160" s="491" t="n"/>
    </row>
    <row r="161" ht="12.75" customHeight="1" s="398">
      <c r="A161" s="491" t="n"/>
      <c r="B161" s="491" t="n"/>
      <c r="C161" s="491" t="n"/>
      <c r="D161" s="491" t="n"/>
      <c r="E161" s="491" t="n"/>
      <c r="F161" s="491" t="n"/>
      <c r="G161" s="491" t="n"/>
      <c r="H161" s="491" t="n"/>
      <c r="I161" s="491" t="n"/>
      <c r="J161" s="491" t="n"/>
      <c r="K161" s="491" t="n"/>
      <c r="L161" s="491" t="n"/>
      <c r="M161" s="491" t="n"/>
      <c r="N161" s="491" t="n"/>
      <c r="O161" s="491" t="n"/>
      <c r="P161" s="491" t="n"/>
      <c r="Q161" s="491" t="n"/>
      <c r="R161" s="491" t="n"/>
      <c r="S161" s="491" t="n"/>
      <c r="T161" s="491" t="n"/>
      <c r="U161" s="491" t="n"/>
      <c r="V161" s="491" t="n"/>
      <c r="W161" s="491" t="n"/>
      <c r="X161" s="491" t="n"/>
      <c r="Y161" s="491" t="n"/>
    </row>
    <row r="162" ht="12.75" customHeight="1" s="398">
      <c r="A162" s="491" t="n"/>
      <c r="B162" s="491" t="n"/>
      <c r="C162" s="491" t="n"/>
      <c r="D162" s="491" t="n"/>
      <c r="E162" s="491" t="n"/>
      <c r="F162" s="491" t="n"/>
      <c r="G162" s="491" t="n"/>
      <c r="H162" s="491" t="n"/>
      <c r="I162" s="491" t="n"/>
      <c r="J162" s="491" t="n"/>
      <c r="K162" s="491" t="n"/>
      <c r="L162" s="491" t="n"/>
      <c r="M162" s="491" t="n"/>
      <c r="N162" s="491" t="n"/>
      <c r="O162" s="491" t="n"/>
      <c r="P162" s="491" t="n"/>
      <c r="Q162" s="491" t="n"/>
      <c r="R162" s="491" t="n"/>
      <c r="S162" s="491" t="n"/>
      <c r="T162" s="491" t="n"/>
      <c r="U162" s="491" t="n"/>
      <c r="V162" s="491" t="n"/>
      <c r="W162" s="491" t="n"/>
      <c r="X162" s="491" t="n"/>
      <c r="Y162" s="491" t="n"/>
    </row>
    <row r="163" ht="12.75" customHeight="1" s="398">
      <c r="A163" s="491" t="n"/>
      <c r="B163" s="491" t="n"/>
      <c r="C163" s="491" t="n"/>
      <c r="D163" s="491" t="n"/>
      <c r="E163" s="491" t="n"/>
      <c r="F163" s="491" t="n"/>
      <c r="G163" s="491" t="n"/>
      <c r="H163" s="491" t="n"/>
      <c r="I163" s="491" t="n"/>
      <c r="J163" s="491" t="n"/>
      <c r="K163" s="491" t="n"/>
      <c r="L163" s="491" t="n"/>
      <c r="M163" s="491" t="n"/>
      <c r="N163" s="491" t="n"/>
      <c r="O163" s="491" t="n"/>
      <c r="P163" s="491" t="n"/>
      <c r="Q163" s="491" t="n"/>
      <c r="R163" s="491" t="n"/>
      <c r="S163" s="491" t="n"/>
      <c r="T163" s="491" t="n"/>
      <c r="U163" s="491" t="n"/>
      <c r="V163" s="491" t="n"/>
      <c r="W163" s="491" t="n"/>
      <c r="X163" s="491" t="n"/>
      <c r="Y163" s="491" t="n"/>
    </row>
    <row r="164" ht="12.75" customHeight="1" s="398">
      <c r="A164" s="491" t="n"/>
      <c r="B164" s="491" t="n"/>
      <c r="C164" s="491" t="n"/>
      <c r="D164" s="491" t="n"/>
      <c r="E164" s="491" t="n"/>
      <c r="F164" s="491" t="n"/>
      <c r="G164" s="491" t="n"/>
      <c r="H164" s="491" t="n"/>
      <c r="I164" s="491" t="n"/>
      <c r="J164" s="491" t="n"/>
      <c r="K164" s="491" t="n"/>
      <c r="L164" s="491" t="n"/>
      <c r="M164" s="491" t="n"/>
      <c r="N164" s="491" t="n"/>
      <c r="O164" s="491" t="n"/>
      <c r="P164" s="491" t="n"/>
      <c r="Q164" s="491" t="n"/>
      <c r="R164" s="491" t="n"/>
      <c r="S164" s="491" t="n"/>
      <c r="T164" s="491" t="n"/>
      <c r="U164" s="491" t="n"/>
      <c r="V164" s="491" t="n"/>
      <c r="W164" s="491" t="n"/>
      <c r="X164" s="491" t="n"/>
      <c r="Y164" s="491" t="n"/>
    </row>
    <row r="165" ht="12.75" customHeight="1" s="398">
      <c r="A165" s="491" t="n"/>
      <c r="B165" s="491" t="n"/>
      <c r="C165" s="491" t="n"/>
      <c r="D165" s="491" t="n"/>
      <c r="E165" s="491" t="n"/>
      <c r="F165" s="491" t="n"/>
      <c r="G165" s="491" t="n"/>
      <c r="H165" s="491" t="n"/>
      <c r="I165" s="491" t="n"/>
      <c r="J165" s="491" t="n"/>
      <c r="K165" s="491" t="n"/>
      <c r="L165" s="491" t="n"/>
      <c r="M165" s="491" t="n"/>
      <c r="N165" s="491" t="n"/>
      <c r="O165" s="491" t="n"/>
      <c r="P165" s="491" t="n"/>
      <c r="Q165" s="491" t="n"/>
      <c r="R165" s="491" t="n"/>
      <c r="S165" s="491" t="n"/>
      <c r="T165" s="491" t="n"/>
      <c r="U165" s="491" t="n"/>
      <c r="V165" s="491" t="n"/>
      <c r="W165" s="491" t="n"/>
      <c r="X165" s="491" t="n"/>
      <c r="Y165" s="491" t="n"/>
    </row>
    <row r="166" ht="12.75" customHeight="1" s="398">
      <c r="A166" s="491" t="n"/>
      <c r="B166" s="491" t="n"/>
      <c r="C166" s="491" t="n"/>
      <c r="D166" s="491" t="n"/>
      <c r="E166" s="491" t="n"/>
      <c r="F166" s="491" t="n"/>
      <c r="G166" s="491" t="n"/>
      <c r="H166" s="491" t="n"/>
      <c r="I166" s="491" t="n"/>
      <c r="J166" s="491" t="n"/>
      <c r="K166" s="491" t="n"/>
      <c r="L166" s="491" t="n"/>
      <c r="M166" s="491" t="n"/>
      <c r="N166" s="491" t="n"/>
      <c r="O166" s="491" t="n"/>
      <c r="P166" s="491" t="n"/>
      <c r="Q166" s="491" t="n"/>
      <c r="R166" s="491" t="n"/>
      <c r="S166" s="491" t="n"/>
      <c r="T166" s="491" t="n"/>
      <c r="U166" s="491" t="n"/>
      <c r="V166" s="491" t="n"/>
      <c r="W166" s="491" t="n"/>
      <c r="X166" s="491" t="n"/>
      <c r="Y166" s="491" t="n"/>
    </row>
    <row r="167" ht="12.75" customHeight="1" s="398">
      <c r="A167" s="491" t="n"/>
      <c r="B167" s="491" t="n"/>
      <c r="C167" s="491" t="n"/>
      <c r="D167" s="491" t="n"/>
      <c r="E167" s="491" t="n"/>
      <c r="F167" s="491" t="n"/>
      <c r="G167" s="491" t="n"/>
      <c r="H167" s="491" t="n"/>
      <c r="I167" s="491" t="n"/>
      <c r="J167" s="491" t="n"/>
      <c r="K167" s="491" t="n"/>
      <c r="L167" s="491" t="n"/>
      <c r="M167" s="491" t="n"/>
      <c r="N167" s="491" t="n"/>
      <c r="O167" s="491" t="n"/>
      <c r="P167" s="491" t="n"/>
      <c r="Q167" s="491" t="n"/>
      <c r="R167" s="491" t="n"/>
      <c r="S167" s="491" t="n"/>
      <c r="T167" s="491" t="n"/>
      <c r="U167" s="491" t="n"/>
      <c r="V167" s="491" t="n"/>
      <c r="W167" s="491" t="n"/>
      <c r="X167" s="491" t="n"/>
      <c r="Y167" s="491" t="n"/>
    </row>
    <row r="168" ht="12.75" customHeight="1" s="398">
      <c r="A168" s="491" t="n"/>
      <c r="B168" s="491" t="n"/>
      <c r="C168" s="491" t="n"/>
      <c r="D168" s="491" t="n"/>
      <c r="E168" s="491" t="n"/>
      <c r="F168" s="491" t="n"/>
      <c r="G168" s="491" t="n"/>
      <c r="H168" s="491" t="n"/>
      <c r="I168" s="491" t="n"/>
      <c r="J168" s="491" t="n"/>
      <c r="K168" s="491" t="n"/>
      <c r="L168" s="491" t="n"/>
      <c r="M168" s="491" t="n"/>
      <c r="N168" s="491" t="n"/>
      <c r="O168" s="491" t="n"/>
      <c r="P168" s="491" t="n"/>
      <c r="Q168" s="491" t="n"/>
      <c r="R168" s="491" t="n"/>
      <c r="S168" s="491" t="n"/>
      <c r="T168" s="491" t="n"/>
      <c r="U168" s="491" t="n"/>
      <c r="V168" s="491" t="n"/>
      <c r="W168" s="491" t="n"/>
      <c r="X168" s="491" t="n"/>
      <c r="Y168" s="491" t="n"/>
    </row>
    <row r="169" ht="12.75" customHeight="1" s="398">
      <c r="A169" s="491" t="n"/>
      <c r="B169" s="491" t="n"/>
      <c r="C169" s="491" t="n"/>
      <c r="D169" s="491" t="n"/>
      <c r="E169" s="491" t="n"/>
      <c r="F169" s="491" t="n"/>
      <c r="G169" s="491" t="n"/>
      <c r="H169" s="491" t="n"/>
      <c r="I169" s="491" t="n"/>
      <c r="J169" s="491" t="n"/>
      <c r="K169" s="491" t="n"/>
      <c r="L169" s="491" t="n"/>
      <c r="M169" s="491" t="n"/>
      <c r="N169" s="491" t="n"/>
      <c r="O169" s="491" t="n"/>
      <c r="P169" s="491" t="n"/>
      <c r="Q169" s="491" t="n"/>
      <c r="R169" s="491" t="n"/>
      <c r="S169" s="491" t="n"/>
      <c r="T169" s="491" t="n"/>
      <c r="U169" s="491" t="n"/>
      <c r="V169" s="491" t="n"/>
      <c r="W169" s="491" t="n"/>
      <c r="X169" s="491" t="n"/>
      <c r="Y169" s="491" t="n"/>
    </row>
    <row r="170" ht="12.75" customHeight="1" s="398">
      <c r="A170" s="491" t="n"/>
      <c r="B170" s="491" t="n"/>
      <c r="C170" s="491" t="n"/>
      <c r="D170" s="491" t="n"/>
      <c r="E170" s="491" t="n"/>
      <c r="F170" s="491" t="n"/>
      <c r="G170" s="491" t="n"/>
      <c r="H170" s="491" t="n"/>
      <c r="I170" s="491" t="n"/>
      <c r="J170" s="491" t="n"/>
      <c r="K170" s="491" t="n"/>
      <c r="L170" s="491" t="n"/>
      <c r="M170" s="491" t="n"/>
      <c r="N170" s="491" t="n"/>
      <c r="O170" s="491" t="n"/>
      <c r="P170" s="491" t="n"/>
      <c r="Q170" s="491" t="n"/>
      <c r="R170" s="491" t="n"/>
      <c r="S170" s="491" t="n"/>
      <c r="T170" s="491" t="n"/>
      <c r="U170" s="491" t="n"/>
      <c r="V170" s="491" t="n"/>
      <c r="W170" s="491" t="n"/>
      <c r="X170" s="491" t="n"/>
      <c r="Y170" s="491" t="n"/>
    </row>
    <row r="171" ht="12.75" customHeight="1" s="398">
      <c r="A171" s="491" t="n"/>
      <c r="B171" s="491" t="n"/>
      <c r="C171" s="491" t="n"/>
      <c r="D171" s="491" t="n"/>
      <c r="E171" s="491" t="n"/>
      <c r="F171" s="491" t="n"/>
      <c r="G171" s="491" t="n"/>
      <c r="H171" s="491" t="n"/>
      <c r="I171" s="491" t="n"/>
      <c r="J171" s="491" t="n"/>
      <c r="K171" s="491" t="n"/>
      <c r="L171" s="491" t="n"/>
      <c r="M171" s="491" t="n"/>
      <c r="N171" s="491" t="n"/>
      <c r="O171" s="491" t="n"/>
      <c r="P171" s="491" t="n"/>
      <c r="Q171" s="491" t="n"/>
      <c r="R171" s="491" t="n"/>
      <c r="S171" s="491" t="n"/>
      <c r="T171" s="491" t="n"/>
      <c r="U171" s="491" t="n"/>
      <c r="V171" s="491" t="n"/>
      <c r="W171" s="491" t="n"/>
      <c r="X171" s="491" t="n"/>
      <c r="Y171" s="491" t="n"/>
    </row>
    <row r="172" ht="12.75" customHeight="1" s="398">
      <c r="A172" s="491" t="n"/>
      <c r="B172" s="491" t="n"/>
      <c r="C172" s="491" t="n"/>
      <c r="D172" s="491" t="n"/>
      <c r="E172" s="491" t="n"/>
      <c r="F172" s="491" t="n"/>
      <c r="G172" s="491" t="n"/>
      <c r="H172" s="491" t="n"/>
      <c r="I172" s="491" t="n"/>
      <c r="J172" s="491" t="n"/>
      <c r="K172" s="491" t="n"/>
      <c r="L172" s="491" t="n"/>
      <c r="M172" s="491" t="n"/>
      <c r="N172" s="491" t="n"/>
      <c r="O172" s="491" t="n"/>
      <c r="P172" s="491" t="n"/>
      <c r="Q172" s="491" t="n"/>
      <c r="R172" s="491" t="n"/>
      <c r="S172" s="491" t="n"/>
      <c r="T172" s="491" t="n"/>
      <c r="U172" s="491" t="n"/>
      <c r="V172" s="491" t="n"/>
      <c r="W172" s="491" t="n"/>
      <c r="X172" s="491" t="n"/>
      <c r="Y172" s="491" t="n"/>
    </row>
    <row r="173" ht="12.75" customHeight="1" s="398">
      <c r="A173" s="491" t="n"/>
      <c r="B173" s="491" t="n"/>
      <c r="C173" s="491" t="n"/>
      <c r="D173" s="491" t="n"/>
      <c r="E173" s="491" t="n"/>
      <c r="F173" s="491" t="n"/>
      <c r="G173" s="491" t="n"/>
      <c r="H173" s="491" t="n"/>
      <c r="I173" s="491" t="n"/>
      <c r="J173" s="491" t="n"/>
      <c r="K173" s="491" t="n"/>
      <c r="L173" s="491" t="n"/>
      <c r="M173" s="491" t="n"/>
      <c r="N173" s="491" t="n"/>
      <c r="O173" s="491" t="n"/>
      <c r="P173" s="491" t="n"/>
      <c r="Q173" s="491" t="n"/>
      <c r="R173" s="491" t="n"/>
      <c r="S173" s="491" t="n"/>
      <c r="T173" s="491" t="n"/>
      <c r="U173" s="491" t="n"/>
      <c r="V173" s="491" t="n"/>
      <c r="W173" s="491" t="n"/>
      <c r="X173" s="491" t="n"/>
      <c r="Y173" s="491" t="n"/>
    </row>
    <row r="174" ht="12.75" customHeight="1" s="398">
      <c r="A174" s="491" t="n"/>
      <c r="B174" s="491" t="n"/>
      <c r="C174" s="491" t="n"/>
      <c r="D174" s="491" t="n"/>
      <c r="E174" s="491" t="n"/>
      <c r="F174" s="491" t="n"/>
      <c r="G174" s="491" t="n"/>
      <c r="H174" s="491" t="n"/>
      <c r="I174" s="491" t="n"/>
      <c r="J174" s="491" t="n"/>
      <c r="K174" s="491" t="n"/>
      <c r="L174" s="491" t="n"/>
      <c r="M174" s="491" t="n"/>
      <c r="N174" s="491" t="n"/>
      <c r="O174" s="491" t="n"/>
      <c r="P174" s="491" t="n"/>
      <c r="Q174" s="491" t="n"/>
      <c r="R174" s="491" t="n"/>
      <c r="S174" s="491" t="n"/>
      <c r="T174" s="491" t="n"/>
      <c r="U174" s="491" t="n"/>
      <c r="V174" s="491" t="n"/>
      <c r="W174" s="491" t="n"/>
      <c r="X174" s="491" t="n"/>
      <c r="Y174" s="491" t="n"/>
    </row>
    <row r="175" ht="12.75" customHeight="1" s="398">
      <c r="A175" s="491" t="n"/>
      <c r="B175" s="491" t="n"/>
      <c r="C175" s="491" t="n"/>
      <c r="D175" s="491" t="n"/>
      <c r="E175" s="491" t="n"/>
      <c r="F175" s="491" t="n"/>
      <c r="G175" s="491" t="n"/>
      <c r="H175" s="491" t="n"/>
      <c r="I175" s="491" t="n"/>
      <c r="J175" s="491" t="n"/>
      <c r="K175" s="491" t="n"/>
      <c r="L175" s="491" t="n"/>
      <c r="M175" s="491" t="n"/>
      <c r="N175" s="491" t="n"/>
      <c r="O175" s="491" t="n"/>
      <c r="P175" s="491" t="n"/>
      <c r="Q175" s="491" t="n"/>
      <c r="R175" s="491" t="n"/>
      <c r="S175" s="491" t="n"/>
      <c r="T175" s="491" t="n"/>
      <c r="U175" s="491" t="n"/>
      <c r="V175" s="491" t="n"/>
      <c r="W175" s="491" t="n"/>
      <c r="X175" s="491" t="n"/>
      <c r="Y175" s="491" t="n"/>
    </row>
    <row r="176" ht="12.75" customHeight="1" s="398">
      <c r="A176" s="491" t="n"/>
      <c r="B176" s="491" t="n"/>
      <c r="C176" s="491" t="n"/>
      <c r="D176" s="491" t="n"/>
      <c r="E176" s="491" t="n"/>
      <c r="F176" s="491" t="n"/>
      <c r="G176" s="491" t="n"/>
      <c r="H176" s="491" t="n"/>
      <c r="I176" s="491" t="n"/>
      <c r="J176" s="491" t="n"/>
      <c r="K176" s="491" t="n"/>
      <c r="L176" s="491" t="n"/>
      <c r="M176" s="491" t="n"/>
      <c r="N176" s="491" t="n"/>
      <c r="O176" s="491" t="n"/>
      <c r="P176" s="491" t="n"/>
      <c r="Q176" s="491" t="n"/>
      <c r="R176" s="491" t="n"/>
      <c r="S176" s="491" t="n"/>
      <c r="T176" s="491" t="n"/>
      <c r="U176" s="491" t="n"/>
      <c r="V176" s="491" t="n"/>
      <c r="W176" s="491" t="n"/>
      <c r="X176" s="491" t="n"/>
      <c r="Y176" s="491" t="n"/>
    </row>
    <row r="177" ht="12.75" customHeight="1" s="398">
      <c r="A177" s="491" t="n"/>
      <c r="B177" s="491" t="n"/>
      <c r="C177" s="491" t="n"/>
      <c r="D177" s="491" t="n"/>
      <c r="E177" s="491" t="n"/>
      <c r="F177" s="491" t="n"/>
      <c r="G177" s="491" t="n"/>
      <c r="H177" s="491" t="n"/>
      <c r="I177" s="491" t="n"/>
      <c r="J177" s="491" t="n"/>
      <c r="K177" s="491" t="n"/>
      <c r="L177" s="491" t="n"/>
      <c r="M177" s="491" t="n"/>
      <c r="N177" s="491" t="n"/>
      <c r="O177" s="491" t="n"/>
      <c r="P177" s="491" t="n"/>
      <c r="Q177" s="491" t="n"/>
      <c r="R177" s="491" t="n"/>
      <c r="S177" s="491" t="n"/>
      <c r="T177" s="491" t="n"/>
      <c r="U177" s="491" t="n"/>
      <c r="V177" s="491" t="n"/>
      <c r="W177" s="491" t="n"/>
      <c r="X177" s="491" t="n"/>
      <c r="Y177" s="491" t="n"/>
    </row>
    <row r="178" ht="12.75" customHeight="1" s="398">
      <c r="A178" s="491" t="n"/>
      <c r="B178" s="491" t="n"/>
      <c r="C178" s="491" t="n"/>
      <c r="D178" s="491" t="n"/>
      <c r="E178" s="491" t="n"/>
      <c r="F178" s="491" t="n"/>
      <c r="G178" s="491" t="n"/>
      <c r="H178" s="491" t="n"/>
      <c r="I178" s="491" t="n"/>
      <c r="J178" s="491" t="n"/>
      <c r="K178" s="491" t="n"/>
      <c r="L178" s="491" t="n"/>
      <c r="M178" s="491" t="n"/>
      <c r="N178" s="491" t="n"/>
      <c r="O178" s="491" t="n"/>
      <c r="P178" s="491" t="n"/>
      <c r="Q178" s="491" t="n"/>
      <c r="R178" s="491" t="n"/>
      <c r="S178" s="491" t="n"/>
      <c r="T178" s="491" t="n"/>
      <c r="U178" s="491" t="n"/>
      <c r="V178" s="491" t="n"/>
      <c r="W178" s="491" t="n"/>
      <c r="X178" s="491" t="n"/>
      <c r="Y178" s="491" t="n"/>
    </row>
    <row r="179" ht="12.75" customHeight="1" s="398">
      <c r="A179" s="491" t="n"/>
      <c r="B179" s="491" t="n"/>
      <c r="C179" s="491" t="n"/>
      <c r="D179" s="491" t="n"/>
      <c r="E179" s="491" t="n"/>
      <c r="F179" s="491" t="n"/>
      <c r="G179" s="491" t="n"/>
      <c r="H179" s="491" t="n"/>
      <c r="I179" s="491" t="n"/>
      <c r="J179" s="491" t="n"/>
      <c r="K179" s="491" t="n"/>
      <c r="L179" s="491" t="n"/>
      <c r="M179" s="491" t="n"/>
      <c r="N179" s="491" t="n"/>
      <c r="O179" s="491" t="n"/>
      <c r="P179" s="491" t="n"/>
      <c r="Q179" s="491" t="n"/>
      <c r="R179" s="491" t="n"/>
      <c r="S179" s="491" t="n"/>
      <c r="T179" s="491" t="n"/>
      <c r="U179" s="491" t="n"/>
      <c r="V179" s="491" t="n"/>
      <c r="W179" s="491" t="n"/>
      <c r="X179" s="491" t="n"/>
      <c r="Y179" s="491" t="n"/>
    </row>
    <row r="180" ht="12.75" customHeight="1" s="398">
      <c r="A180" s="491" t="n"/>
      <c r="B180" s="491" t="n"/>
      <c r="C180" s="491" t="n"/>
      <c r="D180" s="491" t="n"/>
      <c r="E180" s="491" t="n"/>
      <c r="F180" s="491" t="n"/>
      <c r="G180" s="491" t="n"/>
      <c r="H180" s="491" t="n"/>
      <c r="I180" s="491" t="n"/>
      <c r="J180" s="491" t="n"/>
      <c r="K180" s="491" t="n"/>
      <c r="L180" s="491" t="n"/>
      <c r="M180" s="491" t="n"/>
      <c r="N180" s="491" t="n"/>
      <c r="O180" s="491" t="n"/>
      <c r="P180" s="491" t="n"/>
      <c r="Q180" s="491" t="n"/>
      <c r="R180" s="491" t="n"/>
      <c r="S180" s="491" t="n"/>
      <c r="T180" s="491" t="n"/>
      <c r="U180" s="491" t="n"/>
      <c r="V180" s="491" t="n"/>
      <c r="W180" s="491" t="n"/>
      <c r="X180" s="491" t="n"/>
      <c r="Y180" s="491" t="n"/>
    </row>
    <row r="181" ht="12.75" customHeight="1" s="398">
      <c r="A181" s="491" t="n"/>
      <c r="B181" s="491" t="n"/>
      <c r="C181" s="491" t="n"/>
      <c r="D181" s="491" t="n"/>
      <c r="E181" s="491" t="n"/>
      <c r="F181" s="491" t="n"/>
      <c r="G181" s="491" t="n"/>
      <c r="H181" s="491" t="n"/>
      <c r="I181" s="491" t="n"/>
      <c r="J181" s="491" t="n"/>
      <c r="K181" s="491" t="n"/>
      <c r="L181" s="491" t="n"/>
      <c r="M181" s="491" t="n"/>
      <c r="N181" s="491" t="n"/>
      <c r="O181" s="491" t="n"/>
      <c r="P181" s="491" t="n"/>
      <c r="Q181" s="491" t="n"/>
      <c r="R181" s="491" t="n"/>
      <c r="S181" s="491" t="n"/>
      <c r="T181" s="491" t="n"/>
      <c r="U181" s="491" t="n"/>
      <c r="V181" s="491" t="n"/>
      <c r="W181" s="491" t="n"/>
      <c r="X181" s="491" t="n"/>
      <c r="Y181" s="491" t="n"/>
    </row>
    <row r="182" ht="12.75" customHeight="1" s="398">
      <c r="A182" s="491" t="n"/>
      <c r="B182" s="491" t="n"/>
      <c r="C182" s="491" t="n"/>
      <c r="D182" s="491" t="n"/>
      <c r="E182" s="491" t="n"/>
      <c r="F182" s="491" t="n"/>
      <c r="G182" s="491" t="n"/>
      <c r="H182" s="491" t="n"/>
      <c r="I182" s="491" t="n"/>
      <c r="J182" s="491" t="n"/>
      <c r="K182" s="491" t="n"/>
      <c r="L182" s="491" t="n"/>
      <c r="M182" s="491" t="n"/>
      <c r="N182" s="491" t="n"/>
      <c r="O182" s="491" t="n"/>
      <c r="P182" s="491" t="n"/>
      <c r="Q182" s="491" t="n"/>
      <c r="R182" s="491" t="n"/>
      <c r="S182" s="491" t="n"/>
      <c r="T182" s="491" t="n"/>
      <c r="U182" s="491" t="n"/>
      <c r="V182" s="491" t="n"/>
      <c r="W182" s="491" t="n"/>
      <c r="X182" s="491" t="n"/>
      <c r="Y182" s="491" t="n"/>
    </row>
    <row r="183" ht="12.75" customHeight="1" s="398">
      <c r="A183" s="491" t="n"/>
      <c r="B183" s="491" t="n"/>
      <c r="C183" s="491" t="n"/>
      <c r="D183" s="491" t="n"/>
      <c r="E183" s="491" t="n"/>
      <c r="F183" s="491" t="n"/>
      <c r="G183" s="491" t="n"/>
      <c r="H183" s="491" t="n"/>
      <c r="I183" s="491" t="n"/>
      <c r="J183" s="491" t="n"/>
      <c r="K183" s="491" t="n"/>
      <c r="L183" s="491" t="n"/>
      <c r="M183" s="491" t="n"/>
      <c r="N183" s="491" t="n"/>
      <c r="O183" s="491" t="n"/>
      <c r="P183" s="491" t="n"/>
      <c r="Q183" s="491" t="n"/>
      <c r="R183" s="491" t="n"/>
      <c r="S183" s="491" t="n"/>
      <c r="T183" s="491" t="n"/>
      <c r="U183" s="491" t="n"/>
      <c r="V183" s="491" t="n"/>
      <c r="W183" s="491" t="n"/>
      <c r="X183" s="491" t="n"/>
      <c r="Y183" s="491" t="n"/>
    </row>
    <row r="184" ht="12.75" customHeight="1" s="398">
      <c r="A184" s="491" t="n"/>
      <c r="B184" s="491" t="n"/>
      <c r="C184" s="491" t="n"/>
      <c r="D184" s="491" t="n"/>
      <c r="E184" s="491" t="n"/>
      <c r="F184" s="491" t="n"/>
      <c r="G184" s="491" t="n"/>
      <c r="H184" s="491" t="n"/>
      <c r="I184" s="491" t="n"/>
      <c r="J184" s="491" t="n"/>
      <c r="K184" s="491" t="n"/>
      <c r="L184" s="491" t="n"/>
      <c r="M184" s="491" t="n"/>
      <c r="N184" s="491" t="n"/>
      <c r="O184" s="491" t="n"/>
      <c r="P184" s="491" t="n"/>
      <c r="Q184" s="491" t="n"/>
      <c r="R184" s="491" t="n"/>
      <c r="S184" s="491" t="n"/>
      <c r="T184" s="491" t="n"/>
      <c r="U184" s="491" t="n"/>
      <c r="V184" s="491" t="n"/>
      <c r="W184" s="491" t="n"/>
      <c r="X184" s="491" t="n"/>
      <c r="Y184" s="491" t="n"/>
    </row>
    <row r="185" ht="12.75" customHeight="1" s="398">
      <c r="A185" s="491" t="n"/>
      <c r="B185" s="491" t="n"/>
      <c r="C185" s="491" t="n"/>
      <c r="D185" s="491" t="n"/>
      <c r="E185" s="491" t="n"/>
      <c r="F185" s="491" t="n"/>
      <c r="G185" s="491" t="n"/>
      <c r="H185" s="491" t="n"/>
      <c r="I185" s="491" t="n"/>
      <c r="J185" s="491" t="n"/>
      <c r="K185" s="491" t="n"/>
      <c r="L185" s="491" t="n"/>
      <c r="M185" s="491" t="n"/>
      <c r="N185" s="491" t="n"/>
      <c r="O185" s="491" t="n"/>
      <c r="P185" s="491" t="n"/>
      <c r="Q185" s="491" t="n"/>
      <c r="R185" s="491" t="n"/>
      <c r="S185" s="491" t="n"/>
      <c r="T185" s="491" t="n"/>
      <c r="U185" s="491" t="n"/>
      <c r="V185" s="491" t="n"/>
      <c r="W185" s="491" t="n"/>
      <c r="X185" s="491" t="n"/>
      <c r="Y185" s="491" t="n"/>
    </row>
    <row r="186" ht="12.75" customHeight="1" s="398">
      <c r="A186" s="491" t="n"/>
      <c r="B186" s="491" t="n"/>
      <c r="C186" s="491" t="n"/>
      <c r="D186" s="491" t="n"/>
      <c r="E186" s="491" t="n"/>
      <c r="F186" s="491" t="n"/>
      <c r="G186" s="491" t="n"/>
      <c r="H186" s="491" t="n"/>
      <c r="I186" s="491" t="n"/>
      <c r="J186" s="491" t="n"/>
      <c r="K186" s="491" t="n"/>
      <c r="L186" s="491" t="n"/>
      <c r="M186" s="491" t="n"/>
      <c r="N186" s="491" t="n"/>
      <c r="O186" s="491" t="n"/>
      <c r="P186" s="491" t="n"/>
      <c r="Q186" s="491" t="n"/>
      <c r="R186" s="491" t="n"/>
      <c r="S186" s="491" t="n"/>
      <c r="T186" s="491" t="n"/>
      <c r="U186" s="491" t="n"/>
      <c r="V186" s="491" t="n"/>
      <c r="W186" s="491" t="n"/>
      <c r="X186" s="491" t="n"/>
      <c r="Y186" s="491" t="n"/>
    </row>
    <row r="187" ht="12.75" customHeight="1" s="398">
      <c r="A187" s="491" t="n"/>
      <c r="B187" s="491" t="n"/>
      <c r="C187" s="491" t="n"/>
      <c r="D187" s="491" t="n"/>
      <c r="E187" s="491" t="n"/>
      <c r="F187" s="491" t="n"/>
      <c r="G187" s="491" t="n"/>
      <c r="H187" s="491" t="n"/>
      <c r="I187" s="491" t="n"/>
      <c r="J187" s="491" t="n"/>
      <c r="K187" s="491" t="n"/>
      <c r="L187" s="491" t="n"/>
      <c r="M187" s="491" t="n"/>
      <c r="N187" s="491" t="n"/>
      <c r="O187" s="491" t="n"/>
      <c r="P187" s="491" t="n"/>
      <c r="Q187" s="491" t="n"/>
      <c r="R187" s="491" t="n"/>
      <c r="S187" s="491" t="n"/>
      <c r="T187" s="491" t="n"/>
      <c r="U187" s="491" t="n"/>
      <c r="V187" s="491" t="n"/>
      <c r="W187" s="491" t="n"/>
      <c r="X187" s="491" t="n"/>
      <c r="Y187" s="491" t="n"/>
    </row>
    <row r="188" ht="12.75" customHeight="1" s="398">
      <c r="A188" s="491" t="n"/>
      <c r="B188" s="491" t="n"/>
      <c r="C188" s="491" t="n"/>
      <c r="D188" s="491" t="n"/>
      <c r="E188" s="491" t="n"/>
      <c r="F188" s="491" t="n"/>
      <c r="G188" s="491" t="n"/>
      <c r="H188" s="491" t="n"/>
      <c r="I188" s="491" t="n"/>
      <c r="J188" s="491" t="n"/>
      <c r="K188" s="491" t="n"/>
      <c r="L188" s="491" t="n"/>
      <c r="M188" s="491" t="n"/>
      <c r="N188" s="491" t="n"/>
      <c r="O188" s="491" t="n"/>
      <c r="P188" s="491" t="n"/>
      <c r="Q188" s="491" t="n"/>
      <c r="R188" s="491" t="n"/>
      <c r="S188" s="491" t="n"/>
      <c r="T188" s="491" t="n"/>
      <c r="U188" s="491" t="n"/>
      <c r="V188" s="491" t="n"/>
      <c r="W188" s="491" t="n"/>
      <c r="X188" s="491" t="n"/>
      <c r="Y188" s="491" t="n"/>
    </row>
    <row r="189" ht="12.75" customHeight="1" s="398">
      <c r="A189" s="491" t="n"/>
      <c r="B189" s="491" t="n"/>
      <c r="C189" s="491" t="n"/>
      <c r="D189" s="491" t="n"/>
      <c r="E189" s="491" t="n"/>
      <c r="F189" s="491" t="n"/>
      <c r="G189" s="491" t="n"/>
      <c r="H189" s="491" t="n"/>
      <c r="I189" s="491" t="n"/>
      <c r="J189" s="491" t="n"/>
      <c r="K189" s="491" t="n"/>
      <c r="L189" s="491" t="n"/>
      <c r="M189" s="491" t="n"/>
      <c r="N189" s="491" t="n"/>
      <c r="O189" s="491" t="n"/>
      <c r="P189" s="491" t="n"/>
      <c r="Q189" s="491" t="n"/>
      <c r="R189" s="491" t="n"/>
      <c r="S189" s="491" t="n"/>
      <c r="T189" s="491" t="n"/>
      <c r="U189" s="491" t="n"/>
      <c r="V189" s="491" t="n"/>
      <c r="W189" s="491" t="n"/>
      <c r="X189" s="491" t="n"/>
      <c r="Y189" s="491" t="n"/>
    </row>
    <row r="190" ht="12.75" customHeight="1" s="398">
      <c r="A190" s="491" t="n"/>
      <c r="B190" s="491" t="n"/>
      <c r="C190" s="491" t="n"/>
      <c r="D190" s="491" t="n"/>
      <c r="E190" s="491" t="n"/>
      <c r="F190" s="491" t="n"/>
      <c r="G190" s="491" t="n"/>
      <c r="H190" s="491" t="n"/>
      <c r="I190" s="491" t="n"/>
      <c r="J190" s="491" t="n"/>
      <c r="K190" s="491" t="n"/>
      <c r="L190" s="491" t="n"/>
      <c r="M190" s="491" t="n"/>
      <c r="N190" s="491" t="n"/>
      <c r="O190" s="491" t="n"/>
      <c r="P190" s="491" t="n"/>
      <c r="Q190" s="491" t="n"/>
      <c r="R190" s="491" t="n"/>
      <c r="S190" s="491" t="n"/>
      <c r="T190" s="491" t="n"/>
      <c r="U190" s="491" t="n"/>
      <c r="V190" s="491" t="n"/>
      <c r="W190" s="491" t="n"/>
      <c r="X190" s="491" t="n"/>
      <c r="Y190" s="491" t="n"/>
    </row>
    <row r="191" ht="12.75" customHeight="1" s="398">
      <c r="A191" s="491" t="n"/>
      <c r="B191" s="491" t="n"/>
      <c r="C191" s="491" t="n"/>
      <c r="D191" s="491" t="n"/>
      <c r="E191" s="491" t="n"/>
      <c r="F191" s="491" t="n"/>
      <c r="G191" s="491" t="n"/>
      <c r="H191" s="491" t="n"/>
      <c r="I191" s="491" t="n"/>
      <c r="J191" s="491" t="n"/>
      <c r="K191" s="491" t="n"/>
      <c r="L191" s="491" t="n"/>
      <c r="M191" s="491" t="n"/>
      <c r="N191" s="491" t="n"/>
      <c r="O191" s="491" t="n"/>
      <c r="P191" s="491" t="n"/>
      <c r="Q191" s="491" t="n"/>
      <c r="R191" s="491" t="n"/>
      <c r="S191" s="491" t="n"/>
      <c r="T191" s="491" t="n"/>
      <c r="U191" s="491" t="n"/>
      <c r="V191" s="491" t="n"/>
      <c r="W191" s="491" t="n"/>
      <c r="X191" s="491" t="n"/>
      <c r="Y191" s="491" t="n"/>
    </row>
    <row r="192" ht="12.75" customHeight="1" s="398">
      <c r="A192" s="491" t="n"/>
      <c r="B192" s="491" t="n"/>
      <c r="C192" s="491" t="n"/>
      <c r="D192" s="491" t="n"/>
      <c r="E192" s="491" t="n"/>
      <c r="F192" s="491" t="n"/>
      <c r="G192" s="491" t="n"/>
      <c r="H192" s="491" t="n"/>
      <c r="I192" s="491" t="n"/>
      <c r="J192" s="491" t="n"/>
      <c r="K192" s="491" t="n"/>
      <c r="L192" s="491" t="n"/>
      <c r="M192" s="491" t="n"/>
      <c r="N192" s="491" t="n"/>
      <c r="O192" s="491" t="n"/>
      <c r="P192" s="491" t="n"/>
      <c r="Q192" s="491" t="n"/>
      <c r="R192" s="491" t="n"/>
      <c r="S192" s="491" t="n"/>
      <c r="T192" s="491" t="n"/>
      <c r="U192" s="491" t="n"/>
      <c r="V192" s="491" t="n"/>
      <c r="W192" s="491" t="n"/>
      <c r="X192" s="491" t="n"/>
      <c r="Y192" s="491" t="n"/>
    </row>
    <row r="193" ht="12.75" customHeight="1" s="398">
      <c r="A193" s="491" t="n"/>
      <c r="B193" s="491" t="n"/>
      <c r="C193" s="491" t="n"/>
      <c r="D193" s="491" t="n"/>
      <c r="E193" s="491" t="n"/>
      <c r="F193" s="491" t="n"/>
      <c r="G193" s="491" t="n"/>
      <c r="H193" s="491" t="n"/>
      <c r="I193" s="491" t="n"/>
      <c r="J193" s="491" t="n"/>
      <c r="K193" s="491" t="n"/>
      <c r="L193" s="491" t="n"/>
      <c r="M193" s="491" t="n"/>
      <c r="N193" s="491" t="n"/>
      <c r="O193" s="491" t="n"/>
      <c r="P193" s="491" t="n"/>
      <c r="Q193" s="491" t="n"/>
      <c r="R193" s="491" t="n"/>
      <c r="S193" s="491" t="n"/>
      <c r="T193" s="491" t="n"/>
      <c r="U193" s="491" t="n"/>
      <c r="V193" s="491" t="n"/>
      <c r="W193" s="491" t="n"/>
      <c r="X193" s="491" t="n"/>
      <c r="Y193" s="491" t="n"/>
    </row>
    <row r="194" ht="12.75" customHeight="1" s="398">
      <c r="A194" s="491" t="n"/>
      <c r="B194" s="491" t="n"/>
      <c r="C194" s="491" t="n"/>
      <c r="D194" s="491" t="n"/>
      <c r="E194" s="491" t="n"/>
      <c r="F194" s="491" t="n"/>
      <c r="G194" s="491" t="n"/>
      <c r="H194" s="491" t="n"/>
      <c r="I194" s="491" t="n"/>
      <c r="J194" s="491" t="n"/>
      <c r="K194" s="491" t="n"/>
      <c r="L194" s="491" t="n"/>
      <c r="M194" s="491" t="n"/>
      <c r="N194" s="491" t="n"/>
      <c r="O194" s="491" t="n"/>
      <c r="P194" s="491" t="n"/>
      <c r="Q194" s="491" t="n"/>
      <c r="R194" s="491" t="n"/>
      <c r="S194" s="491" t="n"/>
      <c r="T194" s="491" t="n"/>
      <c r="U194" s="491" t="n"/>
      <c r="V194" s="491" t="n"/>
      <c r="W194" s="491" t="n"/>
      <c r="X194" s="491" t="n"/>
      <c r="Y194" s="491" t="n"/>
    </row>
    <row r="195" ht="12.75" customHeight="1" s="398">
      <c r="A195" s="491" t="n"/>
      <c r="B195" s="491" t="n"/>
      <c r="C195" s="491" t="n"/>
      <c r="D195" s="491" t="n"/>
      <c r="E195" s="491" t="n"/>
      <c r="F195" s="491" t="n"/>
      <c r="G195" s="491" t="n"/>
      <c r="H195" s="491" t="n"/>
      <c r="I195" s="491" t="n"/>
      <c r="J195" s="491" t="n"/>
      <c r="K195" s="491" t="n"/>
      <c r="L195" s="491" t="n"/>
      <c r="M195" s="491" t="n"/>
      <c r="N195" s="491" t="n"/>
      <c r="O195" s="491" t="n"/>
      <c r="P195" s="491" t="n"/>
      <c r="Q195" s="491" t="n"/>
      <c r="R195" s="491" t="n"/>
      <c r="S195" s="491" t="n"/>
      <c r="T195" s="491" t="n"/>
      <c r="U195" s="491" t="n"/>
      <c r="V195" s="491" t="n"/>
      <c r="W195" s="491" t="n"/>
      <c r="X195" s="491" t="n"/>
      <c r="Y195" s="491" t="n"/>
    </row>
    <row r="196" ht="12.75" customHeight="1" s="398">
      <c r="A196" s="491" t="n"/>
      <c r="B196" s="491" t="n"/>
      <c r="C196" s="491" t="n"/>
      <c r="D196" s="491" t="n"/>
      <c r="E196" s="491" t="n"/>
      <c r="F196" s="491" t="n"/>
      <c r="G196" s="491" t="n"/>
      <c r="H196" s="491" t="n"/>
      <c r="I196" s="491" t="n"/>
      <c r="J196" s="491" t="n"/>
      <c r="K196" s="491" t="n"/>
      <c r="L196" s="491" t="n"/>
      <c r="M196" s="491" t="n"/>
      <c r="N196" s="491" t="n"/>
      <c r="O196" s="491" t="n"/>
      <c r="P196" s="491" t="n"/>
      <c r="Q196" s="491" t="n"/>
      <c r="R196" s="491" t="n"/>
      <c r="S196" s="491" t="n"/>
      <c r="T196" s="491" t="n"/>
      <c r="U196" s="491" t="n"/>
      <c r="V196" s="491" t="n"/>
      <c r="W196" s="491" t="n"/>
      <c r="X196" s="491" t="n"/>
      <c r="Y196" s="491" t="n"/>
    </row>
    <row r="197" ht="12.75" customHeight="1" s="398">
      <c r="A197" s="491" t="n"/>
      <c r="B197" s="491" t="n"/>
      <c r="C197" s="491" t="n"/>
      <c r="D197" s="491" t="n"/>
      <c r="E197" s="491" t="n"/>
      <c r="F197" s="491" t="n"/>
      <c r="G197" s="491" t="n"/>
      <c r="H197" s="491" t="n"/>
      <c r="I197" s="491" t="n"/>
      <c r="J197" s="491" t="n"/>
      <c r="K197" s="491" t="n"/>
      <c r="L197" s="491" t="n"/>
      <c r="M197" s="491" t="n"/>
      <c r="N197" s="491" t="n"/>
      <c r="O197" s="491" t="n"/>
      <c r="P197" s="491" t="n"/>
      <c r="Q197" s="491" t="n"/>
      <c r="R197" s="491" t="n"/>
      <c r="S197" s="491" t="n"/>
      <c r="T197" s="491" t="n"/>
      <c r="U197" s="491" t="n"/>
      <c r="V197" s="491" t="n"/>
      <c r="W197" s="491" t="n"/>
      <c r="X197" s="491" t="n"/>
      <c r="Y197" s="491" t="n"/>
    </row>
    <row r="198" ht="12.75" customHeight="1" s="398">
      <c r="A198" s="491" t="n"/>
      <c r="B198" s="491" t="n"/>
      <c r="C198" s="491" t="n"/>
      <c r="D198" s="491" t="n"/>
      <c r="E198" s="491" t="n"/>
      <c r="F198" s="491" t="n"/>
      <c r="G198" s="491" t="n"/>
      <c r="H198" s="491" t="n"/>
      <c r="I198" s="491" t="n"/>
      <c r="J198" s="491" t="n"/>
      <c r="K198" s="491" t="n"/>
      <c r="L198" s="491" t="n"/>
      <c r="M198" s="491" t="n"/>
      <c r="N198" s="491" t="n"/>
      <c r="O198" s="491" t="n"/>
      <c r="P198" s="491" t="n"/>
      <c r="Q198" s="491" t="n"/>
      <c r="R198" s="491" t="n"/>
      <c r="S198" s="491" t="n"/>
      <c r="T198" s="491" t="n"/>
      <c r="U198" s="491" t="n"/>
      <c r="V198" s="491" t="n"/>
      <c r="W198" s="491" t="n"/>
      <c r="X198" s="491" t="n"/>
      <c r="Y198" s="491" t="n"/>
    </row>
    <row r="199" ht="12.75" customHeight="1" s="398">
      <c r="A199" s="491" t="n"/>
      <c r="B199" s="491" t="n"/>
      <c r="C199" s="491" t="n"/>
      <c r="D199" s="491" t="n"/>
      <c r="E199" s="491" t="n"/>
      <c r="F199" s="491" t="n"/>
      <c r="G199" s="491" t="n"/>
      <c r="H199" s="491" t="n"/>
      <c r="I199" s="491" t="n"/>
      <c r="J199" s="491" t="n"/>
      <c r="K199" s="491" t="n"/>
      <c r="L199" s="491" t="n"/>
      <c r="M199" s="491" t="n"/>
      <c r="N199" s="491" t="n"/>
      <c r="O199" s="491" t="n"/>
      <c r="P199" s="491" t="n"/>
      <c r="Q199" s="491" t="n"/>
      <c r="R199" s="491" t="n"/>
      <c r="S199" s="491" t="n"/>
      <c r="T199" s="491" t="n"/>
      <c r="U199" s="491" t="n"/>
      <c r="V199" s="491" t="n"/>
      <c r="W199" s="491" t="n"/>
      <c r="X199" s="491" t="n"/>
      <c r="Y199" s="491" t="n"/>
    </row>
    <row r="200" ht="12.75" customHeight="1" s="398">
      <c r="A200" s="491" t="n"/>
      <c r="B200" s="491" t="n"/>
      <c r="C200" s="491" t="n"/>
      <c r="D200" s="491" t="n"/>
      <c r="E200" s="491" t="n"/>
      <c r="F200" s="491" t="n"/>
      <c r="G200" s="491" t="n"/>
      <c r="H200" s="491" t="n"/>
      <c r="I200" s="491" t="n"/>
      <c r="J200" s="491" t="n"/>
      <c r="K200" s="491" t="n"/>
      <c r="L200" s="491" t="n"/>
      <c r="M200" s="491" t="n"/>
      <c r="N200" s="491" t="n"/>
      <c r="O200" s="491" t="n"/>
      <c r="P200" s="491" t="n"/>
      <c r="Q200" s="491" t="n"/>
      <c r="R200" s="491" t="n"/>
      <c r="S200" s="491" t="n"/>
      <c r="T200" s="491" t="n"/>
      <c r="U200" s="491" t="n"/>
      <c r="V200" s="491" t="n"/>
      <c r="W200" s="491" t="n"/>
      <c r="X200" s="491" t="n"/>
      <c r="Y200" s="491" t="n"/>
    </row>
    <row r="201" ht="12.75" customHeight="1" s="398">
      <c r="A201" s="491" t="n"/>
      <c r="B201" s="491" t="n"/>
      <c r="C201" s="491" t="n"/>
      <c r="D201" s="491" t="n"/>
      <c r="E201" s="491" t="n"/>
      <c r="F201" s="491" t="n"/>
      <c r="G201" s="491" t="n"/>
      <c r="H201" s="491" t="n"/>
      <c r="I201" s="491" t="n"/>
      <c r="J201" s="491" t="n"/>
      <c r="K201" s="491" t="n"/>
      <c r="L201" s="491" t="n"/>
      <c r="M201" s="491" t="n"/>
      <c r="N201" s="491" t="n"/>
      <c r="O201" s="491" t="n"/>
      <c r="P201" s="491" t="n"/>
      <c r="Q201" s="491" t="n"/>
      <c r="R201" s="491" t="n"/>
      <c r="S201" s="491" t="n"/>
      <c r="T201" s="491" t="n"/>
      <c r="U201" s="491" t="n"/>
      <c r="V201" s="491" t="n"/>
      <c r="W201" s="491" t="n"/>
      <c r="X201" s="491" t="n"/>
      <c r="Y201" s="491" t="n"/>
    </row>
    <row r="202" ht="12.75" customHeight="1" s="398">
      <c r="A202" s="491" t="n"/>
      <c r="B202" s="491" t="n"/>
      <c r="C202" s="491" t="n"/>
      <c r="D202" s="491" t="n"/>
      <c r="E202" s="491" t="n"/>
      <c r="F202" s="491" t="n"/>
      <c r="G202" s="491" t="n"/>
      <c r="H202" s="491" t="n"/>
      <c r="I202" s="491" t="n"/>
      <c r="J202" s="491" t="n"/>
      <c r="K202" s="491" t="n"/>
      <c r="L202" s="491" t="n"/>
      <c r="M202" s="491" t="n"/>
      <c r="N202" s="491" t="n"/>
      <c r="O202" s="491" t="n"/>
      <c r="P202" s="491" t="n"/>
      <c r="Q202" s="491" t="n"/>
      <c r="R202" s="491" t="n"/>
      <c r="S202" s="491" t="n"/>
      <c r="T202" s="491" t="n"/>
      <c r="U202" s="491" t="n"/>
      <c r="V202" s="491" t="n"/>
      <c r="W202" s="491" t="n"/>
      <c r="X202" s="491" t="n"/>
      <c r="Y202" s="491" t="n"/>
    </row>
    <row r="203" ht="12.75" customHeight="1" s="398">
      <c r="A203" s="491" t="n"/>
      <c r="B203" s="491" t="n"/>
      <c r="C203" s="491" t="n"/>
      <c r="D203" s="491" t="n"/>
      <c r="E203" s="491" t="n"/>
      <c r="F203" s="491" t="n"/>
      <c r="G203" s="491" t="n"/>
      <c r="H203" s="491" t="n"/>
      <c r="I203" s="491" t="n"/>
      <c r="J203" s="491" t="n"/>
      <c r="K203" s="491" t="n"/>
      <c r="L203" s="491" t="n"/>
      <c r="M203" s="491" t="n"/>
      <c r="N203" s="491" t="n"/>
      <c r="O203" s="491" t="n"/>
      <c r="P203" s="491" t="n"/>
      <c r="Q203" s="491" t="n"/>
      <c r="R203" s="491" t="n"/>
      <c r="S203" s="491" t="n"/>
      <c r="T203" s="491" t="n"/>
      <c r="U203" s="491" t="n"/>
      <c r="V203" s="491" t="n"/>
      <c r="W203" s="491" t="n"/>
      <c r="X203" s="491" t="n"/>
      <c r="Y203" s="491" t="n"/>
    </row>
    <row r="204" ht="12.75" customHeight="1" s="398">
      <c r="A204" s="491" t="n"/>
      <c r="B204" s="491" t="n"/>
      <c r="C204" s="491" t="n"/>
      <c r="D204" s="491" t="n"/>
      <c r="E204" s="491" t="n"/>
      <c r="F204" s="491" t="n"/>
      <c r="G204" s="491" t="n"/>
      <c r="H204" s="491" t="n"/>
      <c r="I204" s="491" t="n"/>
      <c r="J204" s="491" t="n"/>
      <c r="K204" s="491" t="n"/>
      <c r="L204" s="491" t="n"/>
      <c r="M204" s="491" t="n"/>
      <c r="N204" s="491" t="n"/>
      <c r="O204" s="491" t="n"/>
      <c r="P204" s="491" t="n"/>
      <c r="Q204" s="491" t="n"/>
      <c r="R204" s="491" t="n"/>
      <c r="S204" s="491" t="n"/>
      <c r="T204" s="491" t="n"/>
      <c r="U204" s="491" t="n"/>
      <c r="V204" s="491" t="n"/>
      <c r="W204" s="491" t="n"/>
      <c r="X204" s="491" t="n"/>
      <c r="Y204" s="491" t="n"/>
    </row>
    <row r="205" ht="12.75" customHeight="1" s="398">
      <c r="A205" s="491" t="n"/>
      <c r="B205" s="491" t="n"/>
      <c r="C205" s="491" t="n"/>
      <c r="D205" s="491" t="n"/>
      <c r="E205" s="491" t="n"/>
      <c r="F205" s="491" t="n"/>
      <c r="G205" s="491" t="n"/>
      <c r="H205" s="491" t="n"/>
      <c r="I205" s="491" t="n"/>
      <c r="J205" s="491" t="n"/>
      <c r="K205" s="491" t="n"/>
      <c r="L205" s="491" t="n"/>
      <c r="M205" s="491" t="n"/>
      <c r="N205" s="491" t="n"/>
      <c r="O205" s="491" t="n"/>
      <c r="P205" s="491" t="n"/>
      <c r="Q205" s="491" t="n"/>
      <c r="R205" s="491" t="n"/>
      <c r="S205" s="491" t="n"/>
      <c r="T205" s="491" t="n"/>
      <c r="U205" s="491" t="n"/>
      <c r="V205" s="491" t="n"/>
      <c r="W205" s="491" t="n"/>
      <c r="X205" s="491" t="n"/>
      <c r="Y205" s="491" t="n"/>
    </row>
    <row r="206" ht="12.75" customHeight="1" s="398">
      <c r="A206" s="491" t="n"/>
      <c r="B206" s="491" t="n"/>
      <c r="C206" s="491" t="n"/>
      <c r="D206" s="491" t="n"/>
      <c r="E206" s="491" t="n"/>
      <c r="F206" s="491" t="n"/>
      <c r="G206" s="491" t="n"/>
      <c r="H206" s="491" t="n"/>
      <c r="I206" s="491" t="n"/>
      <c r="J206" s="491" t="n"/>
      <c r="K206" s="491" t="n"/>
      <c r="L206" s="491" t="n"/>
      <c r="M206" s="491" t="n"/>
      <c r="N206" s="491" t="n"/>
      <c r="O206" s="491" t="n"/>
      <c r="P206" s="491" t="n"/>
      <c r="Q206" s="491" t="n"/>
      <c r="R206" s="491" t="n"/>
      <c r="S206" s="491" t="n"/>
      <c r="T206" s="491" t="n"/>
      <c r="U206" s="491" t="n"/>
      <c r="V206" s="491" t="n"/>
      <c r="W206" s="491" t="n"/>
      <c r="X206" s="491" t="n"/>
      <c r="Y206" s="491" t="n"/>
    </row>
    <row r="207" ht="12.75" customHeight="1" s="398">
      <c r="A207" s="491" t="n"/>
      <c r="B207" s="491" t="n"/>
      <c r="C207" s="491" t="n"/>
      <c r="D207" s="491" t="n"/>
      <c r="E207" s="491" t="n"/>
      <c r="F207" s="491" t="n"/>
      <c r="G207" s="491" t="n"/>
      <c r="H207" s="491" t="n"/>
      <c r="I207" s="491" t="n"/>
      <c r="J207" s="491" t="n"/>
      <c r="K207" s="491" t="n"/>
      <c r="L207" s="491" t="n"/>
      <c r="M207" s="491" t="n"/>
      <c r="N207" s="491" t="n"/>
      <c r="O207" s="491" t="n"/>
      <c r="P207" s="491" t="n"/>
      <c r="Q207" s="491" t="n"/>
      <c r="R207" s="491" t="n"/>
      <c r="S207" s="491" t="n"/>
      <c r="T207" s="491" t="n"/>
      <c r="U207" s="491" t="n"/>
      <c r="V207" s="491" t="n"/>
      <c r="W207" s="491" t="n"/>
      <c r="X207" s="491" t="n"/>
      <c r="Y207" s="491" t="n"/>
    </row>
    <row r="208" ht="12.75" customHeight="1" s="398">
      <c r="A208" s="491" t="n"/>
      <c r="B208" s="491" t="n"/>
      <c r="C208" s="491" t="n"/>
      <c r="D208" s="491" t="n"/>
      <c r="E208" s="491" t="n"/>
      <c r="F208" s="491" t="n"/>
      <c r="G208" s="491" t="n"/>
      <c r="H208" s="491" t="n"/>
      <c r="I208" s="491" t="n"/>
      <c r="J208" s="491" t="n"/>
      <c r="K208" s="491" t="n"/>
      <c r="L208" s="491" t="n"/>
      <c r="M208" s="491" t="n"/>
      <c r="N208" s="491" t="n"/>
      <c r="O208" s="491" t="n"/>
      <c r="P208" s="491" t="n"/>
      <c r="Q208" s="491" t="n"/>
      <c r="R208" s="491" t="n"/>
      <c r="S208" s="491" t="n"/>
      <c r="T208" s="491" t="n"/>
      <c r="U208" s="491" t="n"/>
      <c r="V208" s="491" t="n"/>
      <c r="W208" s="491" t="n"/>
      <c r="X208" s="491" t="n"/>
      <c r="Y208" s="491" t="n"/>
    </row>
    <row r="209" ht="12.75" customHeight="1" s="398">
      <c r="A209" s="491" t="n"/>
      <c r="B209" s="491" t="n"/>
      <c r="C209" s="491" t="n"/>
      <c r="D209" s="491" t="n"/>
      <c r="E209" s="491" t="n"/>
      <c r="F209" s="491" t="n"/>
      <c r="G209" s="491" t="n"/>
      <c r="H209" s="491" t="n"/>
      <c r="I209" s="491" t="n"/>
      <c r="J209" s="491" t="n"/>
      <c r="K209" s="491" t="n"/>
      <c r="L209" s="491" t="n"/>
      <c r="M209" s="491" t="n"/>
      <c r="N209" s="491" t="n"/>
      <c r="O209" s="491" t="n"/>
      <c r="P209" s="491" t="n"/>
      <c r="Q209" s="491" t="n"/>
      <c r="R209" s="491" t="n"/>
      <c r="S209" s="491" t="n"/>
      <c r="T209" s="491" t="n"/>
      <c r="U209" s="491" t="n"/>
      <c r="V209" s="491" t="n"/>
      <c r="W209" s="491" t="n"/>
      <c r="X209" s="491" t="n"/>
      <c r="Y209" s="491" t="n"/>
    </row>
    <row r="210" ht="12.75" customHeight="1" s="398">
      <c r="A210" s="491" t="n"/>
      <c r="B210" s="491" t="n"/>
      <c r="C210" s="491" t="n"/>
      <c r="D210" s="491" t="n"/>
      <c r="E210" s="491" t="n"/>
      <c r="F210" s="491" t="n"/>
      <c r="G210" s="491" t="n"/>
      <c r="H210" s="491" t="n"/>
      <c r="I210" s="491" t="n"/>
      <c r="J210" s="491" t="n"/>
      <c r="K210" s="491" t="n"/>
      <c r="L210" s="491" t="n"/>
      <c r="M210" s="491" t="n"/>
      <c r="N210" s="491" t="n"/>
      <c r="O210" s="491" t="n"/>
      <c r="P210" s="491" t="n"/>
      <c r="Q210" s="491" t="n"/>
      <c r="R210" s="491" t="n"/>
      <c r="S210" s="491" t="n"/>
      <c r="T210" s="491" t="n"/>
      <c r="U210" s="491" t="n"/>
      <c r="V210" s="491" t="n"/>
      <c r="W210" s="491" t="n"/>
      <c r="X210" s="491" t="n"/>
      <c r="Y210" s="491" t="n"/>
    </row>
    <row r="211" ht="12.75" customHeight="1" s="398">
      <c r="A211" s="491" t="n"/>
      <c r="B211" s="491" t="n"/>
      <c r="C211" s="491" t="n"/>
      <c r="D211" s="491" t="n"/>
      <c r="E211" s="491" t="n"/>
      <c r="F211" s="491" t="n"/>
      <c r="G211" s="491" t="n"/>
      <c r="H211" s="491" t="n"/>
      <c r="I211" s="491" t="n"/>
      <c r="J211" s="491" t="n"/>
      <c r="K211" s="491" t="n"/>
      <c r="L211" s="491" t="n"/>
      <c r="M211" s="491" t="n"/>
      <c r="N211" s="491" t="n"/>
      <c r="O211" s="491" t="n"/>
      <c r="P211" s="491" t="n"/>
      <c r="Q211" s="491" t="n"/>
      <c r="R211" s="491" t="n"/>
      <c r="S211" s="491" t="n"/>
      <c r="T211" s="491" t="n"/>
      <c r="U211" s="491" t="n"/>
      <c r="V211" s="491" t="n"/>
      <c r="W211" s="491" t="n"/>
      <c r="X211" s="491" t="n"/>
      <c r="Y211" s="491" t="n"/>
    </row>
    <row r="212" ht="12.75" customHeight="1" s="398">
      <c r="A212" s="491" t="n"/>
      <c r="B212" s="491" t="n"/>
      <c r="C212" s="491" t="n"/>
      <c r="D212" s="491" t="n"/>
      <c r="E212" s="491" t="n"/>
      <c r="F212" s="491" t="n"/>
      <c r="G212" s="491" t="n"/>
      <c r="H212" s="491" t="n"/>
      <c r="I212" s="491" t="n"/>
      <c r="J212" s="491" t="n"/>
      <c r="K212" s="491" t="n"/>
      <c r="L212" s="491" t="n"/>
      <c r="M212" s="491" t="n"/>
      <c r="N212" s="491" t="n"/>
      <c r="O212" s="491" t="n"/>
      <c r="P212" s="491" t="n"/>
      <c r="Q212" s="491" t="n"/>
      <c r="R212" s="491" t="n"/>
      <c r="S212" s="491" t="n"/>
      <c r="T212" s="491" t="n"/>
      <c r="U212" s="491" t="n"/>
      <c r="V212" s="491" t="n"/>
      <c r="W212" s="491" t="n"/>
      <c r="X212" s="491" t="n"/>
      <c r="Y212" s="491" t="n"/>
    </row>
    <row r="213" ht="12.75" customHeight="1" s="398">
      <c r="A213" s="491" t="n"/>
      <c r="B213" s="491" t="n"/>
      <c r="C213" s="491" t="n"/>
      <c r="D213" s="491" t="n"/>
      <c r="E213" s="491" t="n"/>
      <c r="F213" s="491" t="n"/>
      <c r="G213" s="491" t="n"/>
      <c r="H213" s="491" t="n"/>
      <c r="I213" s="491" t="n"/>
      <c r="J213" s="491" t="n"/>
      <c r="K213" s="491" t="n"/>
      <c r="L213" s="491" t="n"/>
      <c r="M213" s="491" t="n"/>
      <c r="N213" s="491" t="n"/>
      <c r="O213" s="491" t="n"/>
      <c r="P213" s="491" t="n"/>
      <c r="Q213" s="491" t="n"/>
      <c r="R213" s="491" t="n"/>
      <c r="S213" s="491" t="n"/>
      <c r="T213" s="491" t="n"/>
      <c r="U213" s="491" t="n"/>
      <c r="V213" s="491" t="n"/>
      <c r="W213" s="491" t="n"/>
      <c r="X213" s="491" t="n"/>
      <c r="Y213" s="491" t="n"/>
    </row>
    <row r="214" ht="12.75" customHeight="1" s="398">
      <c r="A214" s="491" t="n"/>
      <c r="B214" s="491" t="n"/>
      <c r="C214" s="491" t="n"/>
      <c r="D214" s="491" t="n"/>
      <c r="E214" s="491" t="n"/>
      <c r="F214" s="491" t="n"/>
      <c r="G214" s="491" t="n"/>
      <c r="H214" s="491" t="n"/>
      <c r="I214" s="491" t="n"/>
      <c r="J214" s="491" t="n"/>
      <c r="K214" s="491" t="n"/>
      <c r="L214" s="491" t="n"/>
      <c r="M214" s="491" t="n"/>
      <c r="N214" s="491" t="n"/>
      <c r="O214" s="491" t="n"/>
      <c r="P214" s="491" t="n"/>
      <c r="Q214" s="491" t="n"/>
      <c r="R214" s="491" t="n"/>
      <c r="S214" s="491" t="n"/>
      <c r="T214" s="491" t="n"/>
      <c r="U214" s="491" t="n"/>
      <c r="V214" s="491" t="n"/>
      <c r="W214" s="491" t="n"/>
      <c r="X214" s="491" t="n"/>
      <c r="Y214" s="491" t="n"/>
    </row>
    <row r="215" ht="12.75" customHeight="1" s="398">
      <c r="A215" s="491" t="n"/>
      <c r="B215" s="491" t="n"/>
      <c r="C215" s="491" t="n"/>
      <c r="D215" s="491" t="n"/>
      <c r="E215" s="491" t="n"/>
      <c r="F215" s="491" t="n"/>
      <c r="G215" s="491" t="n"/>
      <c r="H215" s="491" t="n"/>
      <c r="I215" s="491" t="n"/>
      <c r="J215" s="491" t="n"/>
      <c r="K215" s="491" t="n"/>
      <c r="L215" s="491" t="n"/>
      <c r="M215" s="491" t="n"/>
      <c r="N215" s="491" t="n"/>
      <c r="O215" s="491" t="n"/>
      <c r="P215" s="491" t="n"/>
      <c r="Q215" s="491" t="n"/>
      <c r="R215" s="491" t="n"/>
      <c r="S215" s="491" t="n"/>
      <c r="T215" s="491" t="n"/>
      <c r="U215" s="491" t="n"/>
      <c r="V215" s="491" t="n"/>
      <c r="W215" s="491" t="n"/>
      <c r="X215" s="491" t="n"/>
      <c r="Y215" s="491" t="n"/>
    </row>
    <row r="216" ht="12.75" customHeight="1" s="398">
      <c r="A216" s="491" t="n"/>
      <c r="B216" s="491" t="n"/>
      <c r="C216" s="491" t="n"/>
      <c r="D216" s="491" t="n"/>
      <c r="E216" s="491" t="n"/>
      <c r="F216" s="491" t="n"/>
      <c r="G216" s="491" t="n"/>
      <c r="H216" s="491" t="n"/>
      <c r="I216" s="491" t="n"/>
      <c r="J216" s="491" t="n"/>
      <c r="K216" s="491" t="n"/>
      <c r="L216" s="491" t="n"/>
      <c r="M216" s="491" t="n"/>
      <c r="N216" s="491" t="n"/>
      <c r="O216" s="491" t="n"/>
      <c r="P216" s="491" t="n"/>
      <c r="Q216" s="491" t="n"/>
      <c r="R216" s="491" t="n"/>
      <c r="S216" s="491" t="n"/>
      <c r="T216" s="491" t="n"/>
      <c r="U216" s="491" t="n"/>
      <c r="V216" s="491" t="n"/>
      <c r="W216" s="491" t="n"/>
      <c r="X216" s="491" t="n"/>
      <c r="Y216" s="491" t="n"/>
    </row>
    <row r="217" ht="12.75" customHeight="1" s="398">
      <c r="A217" s="491" t="n"/>
      <c r="B217" s="491" t="n"/>
      <c r="C217" s="491" t="n"/>
      <c r="D217" s="491" t="n"/>
      <c r="E217" s="491" t="n"/>
      <c r="F217" s="491" t="n"/>
      <c r="G217" s="491" t="n"/>
      <c r="H217" s="491" t="n"/>
      <c r="I217" s="491" t="n"/>
      <c r="J217" s="491" t="n"/>
      <c r="K217" s="491" t="n"/>
      <c r="L217" s="491" t="n"/>
      <c r="M217" s="491" t="n"/>
      <c r="N217" s="491" t="n"/>
      <c r="O217" s="491" t="n"/>
      <c r="P217" s="491" t="n"/>
      <c r="Q217" s="491" t="n"/>
      <c r="R217" s="491" t="n"/>
      <c r="S217" s="491" t="n"/>
      <c r="T217" s="491" t="n"/>
      <c r="U217" s="491" t="n"/>
      <c r="V217" s="491" t="n"/>
      <c r="W217" s="491" t="n"/>
      <c r="X217" s="491" t="n"/>
      <c r="Y217" s="491" t="n"/>
    </row>
    <row r="218" ht="12.75" customHeight="1" s="398">
      <c r="A218" s="491" t="n"/>
      <c r="B218" s="491" t="n"/>
      <c r="C218" s="491" t="n"/>
      <c r="D218" s="491" t="n"/>
      <c r="E218" s="491" t="n"/>
      <c r="F218" s="491" t="n"/>
      <c r="G218" s="491" t="n"/>
      <c r="H218" s="491" t="n"/>
      <c r="I218" s="491" t="n"/>
      <c r="J218" s="491" t="n"/>
      <c r="K218" s="491" t="n"/>
      <c r="L218" s="491" t="n"/>
      <c r="M218" s="491" t="n"/>
      <c r="N218" s="491" t="n"/>
      <c r="O218" s="491" t="n"/>
      <c r="P218" s="491" t="n"/>
      <c r="Q218" s="491" t="n"/>
      <c r="R218" s="491" t="n"/>
      <c r="S218" s="491" t="n"/>
      <c r="T218" s="491" t="n"/>
      <c r="U218" s="491" t="n"/>
      <c r="V218" s="491" t="n"/>
      <c r="W218" s="491" t="n"/>
      <c r="X218" s="491" t="n"/>
      <c r="Y218" s="491" t="n"/>
    </row>
    <row r="219" ht="12.75" customHeight="1" s="398">
      <c r="A219" s="491" t="n"/>
      <c r="B219" s="491" t="n"/>
      <c r="C219" s="491" t="n"/>
      <c r="D219" s="491" t="n"/>
      <c r="E219" s="491" t="n"/>
      <c r="F219" s="491" t="n"/>
      <c r="G219" s="491" t="n"/>
      <c r="H219" s="491" t="n"/>
      <c r="I219" s="491" t="n"/>
      <c r="J219" s="491" t="n"/>
      <c r="K219" s="491" t="n"/>
      <c r="L219" s="491" t="n"/>
      <c r="M219" s="491" t="n"/>
      <c r="N219" s="491" t="n"/>
      <c r="O219" s="491" t="n"/>
      <c r="P219" s="491" t="n"/>
      <c r="Q219" s="491" t="n"/>
      <c r="R219" s="491" t="n"/>
      <c r="S219" s="491" t="n"/>
      <c r="T219" s="491" t="n"/>
      <c r="U219" s="491" t="n"/>
      <c r="V219" s="491" t="n"/>
      <c r="W219" s="491" t="n"/>
      <c r="X219" s="491" t="n"/>
      <c r="Y219" s="491" t="n"/>
    </row>
    <row r="220" ht="12.75" customHeight="1" s="398">
      <c r="A220" s="491" t="n"/>
      <c r="B220" s="491" t="n"/>
      <c r="C220" s="491" t="n"/>
      <c r="D220" s="491" t="n"/>
      <c r="E220" s="491" t="n"/>
      <c r="F220" s="491" t="n"/>
      <c r="G220" s="491" t="n"/>
      <c r="H220" s="491" t="n"/>
      <c r="I220" s="491" t="n"/>
      <c r="J220" s="491" t="n"/>
      <c r="K220" s="491" t="n"/>
      <c r="L220" s="491" t="n"/>
      <c r="M220" s="491" t="n"/>
      <c r="N220" s="491" t="n"/>
      <c r="O220" s="491" t="n"/>
      <c r="P220" s="491" t="n"/>
      <c r="Q220" s="491" t="n"/>
      <c r="R220" s="491" t="n"/>
      <c r="S220" s="491" t="n"/>
      <c r="T220" s="491" t="n"/>
      <c r="U220" s="491" t="n"/>
      <c r="V220" s="491" t="n"/>
      <c r="W220" s="491" t="n"/>
      <c r="X220" s="491" t="n"/>
      <c r="Y220" s="491" t="n"/>
    </row>
    <row r="221" ht="12.75" customHeight="1" s="398">
      <c r="A221" s="491" t="n"/>
      <c r="B221" s="491" t="n"/>
      <c r="C221" s="491" t="n"/>
      <c r="D221" s="491" t="n"/>
      <c r="E221" s="491" t="n"/>
      <c r="F221" s="491" t="n"/>
      <c r="G221" s="491" t="n"/>
      <c r="H221" s="491" t="n"/>
      <c r="I221" s="491" t="n"/>
      <c r="J221" s="491" t="n"/>
      <c r="K221" s="491" t="n"/>
      <c r="L221" s="491" t="n"/>
      <c r="M221" s="491" t="n"/>
      <c r="N221" s="491" t="n"/>
      <c r="O221" s="491" t="n"/>
      <c r="P221" s="491" t="n"/>
      <c r="Q221" s="491" t="n"/>
      <c r="R221" s="491" t="n"/>
      <c r="S221" s="491" t="n"/>
      <c r="T221" s="491" t="n"/>
      <c r="U221" s="491" t="n"/>
      <c r="V221" s="491" t="n"/>
      <c r="W221" s="491" t="n"/>
      <c r="X221" s="491" t="n"/>
      <c r="Y221" s="491" t="n"/>
    </row>
    <row r="222" ht="12.75" customHeight="1" s="398">
      <c r="A222" s="491" t="n"/>
      <c r="B222" s="491" t="n"/>
      <c r="C222" s="491" t="n"/>
      <c r="D222" s="491" t="n"/>
      <c r="E222" s="491" t="n"/>
      <c r="F222" s="491" t="n"/>
      <c r="G222" s="491" t="n"/>
      <c r="H222" s="491" t="n"/>
      <c r="I222" s="491" t="n"/>
      <c r="J222" s="491" t="n"/>
      <c r="K222" s="491" t="n"/>
      <c r="L222" s="491" t="n"/>
      <c r="M222" s="491" t="n"/>
      <c r="N222" s="491" t="n"/>
      <c r="O222" s="491" t="n"/>
      <c r="P222" s="491" t="n"/>
      <c r="Q222" s="491" t="n"/>
      <c r="R222" s="491" t="n"/>
      <c r="S222" s="491" t="n"/>
      <c r="T222" s="491" t="n"/>
      <c r="U222" s="491" t="n"/>
      <c r="V222" s="491" t="n"/>
      <c r="W222" s="491" t="n"/>
      <c r="X222" s="491" t="n"/>
      <c r="Y222" s="491" t="n"/>
    </row>
    <row r="223" ht="12.75" customHeight="1" s="398">
      <c r="A223" s="491" t="n"/>
      <c r="B223" s="491" t="n"/>
      <c r="C223" s="491" t="n"/>
      <c r="D223" s="491" t="n"/>
      <c r="E223" s="491" t="n"/>
      <c r="F223" s="491" t="n"/>
      <c r="G223" s="491" t="n"/>
      <c r="H223" s="491" t="n"/>
      <c r="I223" s="491" t="n"/>
      <c r="J223" s="491" t="n"/>
      <c r="K223" s="491" t="n"/>
      <c r="L223" s="491" t="n"/>
      <c r="M223" s="491" t="n"/>
      <c r="N223" s="491" t="n"/>
      <c r="O223" s="491" t="n"/>
      <c r="P223" s="491" t="n"/>
      <c r="Q223" s="491" t="n"/>
      <c r="R223" s="491" t="n"/>
      <c r="S223" s="491" t="n"/>
      <c r="T223" s="491" t="n"/>
      <c r="U223" s="491" t="n"/>
      <c r="V223" s="491" t="n"/>
      <c r="W223" s="491" t="n"/>
      <c r="X223" s="491" t="n"/>
      <c r="Y223" s="491" t="n"/>
    </row>
    <row r="224" ht="12.75" customHeight="1" s="398">
      <c r="A224" s="491" t="n"/>
      <c r="B224" s="491" t="n"/>
      <c r="C224" s="491" t="n"/>
      <c r="D224" s="491" t="n"/>
      <c r="E224" s="491" t="n"/>
      <c r="F224" s="491" t="n"/>
      <c r="G224" s="491" t="n"/>
      <c r="H224" s="491" t="n"/>
      <c r="I224" s="491" t="n"/>
      <c r="J224" s="491" t="n"/>
      <c r="K224" s="491" t="n"/>
      <c r="L224" s="491" t="n"/>
      <c r="M224" s="491" t="n"/>
      <c r="N224" s="491" t="n"/>
      <c r="O224" s="491" t="n"/>
      <c r="P224" s="491" t="n"/>
      <c r="Q224" s="491" t="n"/>
      <c r="R224" s="491" t="n"/>
      <c r="S224" s="491" t="n"/>
      <c r="T224" s="491" t="n"/>
      <c r="U224" s="491" t="n"/>
      <c r="V224" s="491" t="n"/>
      <c r="W224" s="491" t="n"/>
      <c r="X224" s="491" t="n"/>
      <c r="Y224" s="491" t="n"/>
    </row>
    <row r="225" ht="12.75" customHeight="1" s="398">
      <c r="A225" s="491" t="n"/>
      <c r="B225" s="491" t="n"/>
      <c r="C225" s="491" t="n"/>
      <c r="D225" s="491" t="n"/>
      <c r="E225" s="491" t="n"/>
      <c r="F225" s="491" t="n"/>
      <c r="G225" s="491" t="n"/>
      <c r="H225" s="491" t="n"/>
      <c r="I225" s="491" t="n"/>
      <c r="J225" s="491" t="n"/>
      <c r="K225" s="491" t="n"/>
      <c r="L225" s="491" t="n"/>
      <c r="M225" s="491" t="n"/>
      <c r="N225" s="491" t="n"/>
      <c r="O225" s="491" t="n"/>
      <c r="P225" s="491" t="n"/>
      <c r="Q225" s="491" t="n"/>
      <c r="R225" s="491" t="n"/>
      <c r="S225" s="491" t="n"/>
      <c r="T225" s="491" t="n"/>
      <c r="U225" s="491" t="n"/>
      <c r="V225" s="491" t="n"/>
      <c r="W225" s="491" t="n"/>
      <c r="X225" s="491" t="n"/>
      <c r="Y225" s="491" t="n"/>
    </row>
    <row r="226" ht="12.75" customHeight="1" s="398">
      <c r="A226" s="491" t="n"/>
      <c r="B226" s="491" t="n"/>
      <c r="C226" s="491" t="n"/>
      <c r="D226" s="491" t="n"/>
      <c r="E226" s="491" t="n"/>
      <c r="F226" s="491" t="n"/>
      <c r="G226" s="491" t="n"/>
      <c r="H226" s="491" t="n"/>
      <c r="I226" s="491" t="n"/>
      <c r="J226" s="491" t="n"/>
      <c r="K226" s="491" t="n"/>
      <c r="L226" s="491" t="n"/>
      <c r="M226" s="491" t="n"/>
      <c r="N226" s="491" t="n"/>
      <c r="O226" s="491" t="n"/>
      <c r="P226" s="491" t="n"/>
      <c r="Q226" s="491" t="n"/>
      <c r="R226" s="491" t="n"/>
      <c r="S226" s="491" t="n"/>
      <c r="T226" s="491" t="n"/>
      <c r="U226" s="491" t="n"/>
      <c r="V226" s="491" t="n"/>
      <c r="W226" s="491" t="n"/>
      <c r="X226" s="491" t="n"/>
      <c r="Y226" s="491" t="n"/>
    </row>
    <row r="227" ht="12.75" customHeight="1" s="398">
      <c r="A227" s="491" t="n"/>
      <c r="B227" s="491" t="n"/>
      <c r="C227" s="491" t="n"/>
      <c r="D227" s="491" t="n"/>
      <c r="E227" s="491" t="n"/>
      <c r="F227" s="491" t="n"/>
      <c r="G227" s="491" t="n"/>
      <c r="H227" s="491" t="n"/>
      <c r="I227" s="491" t="n"/>
      <c r="J227" s="491" t="n"/>
      <c r="K227" s="491" t="n"/>
      <c r="L227" s="491" t="n"/>
      <c r="M227" s="491" t="n"/>
      <c r="N227" s="491" t="n"/>
      <c r="O227" s="491" t="n"/>
      <c r="P227" s="491" t="n"/>
      <c r="Q227" s="491" t="n"/>
      <c r="R227" s="491" t="n"/>
      <c r="S227" s="491" t="n"/>
      <c r="T227" s="491" t="n"/>
      <c r="U227" s="491" t="n"/>
      <c r="V227" s="491" t="n"/>
      <c r="W227" s="491" t="n"/>
      <c r="X227" s="491" t="n"/>
      <c r="Y227" s="491" t="n"/>
    </row>
    <row r="228" ht="12.75" customHeight="1" s="398">
      <c r="A228" s="491" t="n"/>
      <c r="B228" s="491" t="n"/>
      <c r="C228" s="491" t="n"/>
      <c r="D228" s="491" t="n"/>
      <c r="E228" s="491" t="n"/>
      <c r="F228" s="491" t="n"/>
      <c r="G228" s="491" t="n"/>
      <c r="H228" s="491" t="n"/>
      <c r="I228" s="491" t="n"/>
      <c r="J228" s="491" t="n"/>
      <c r="K228" s="491" t="n"/>
      <c r="L228" s="491" t="n"/>
      <c r="M228" s="491" t="n"/>
      <c r="N228" s="491" t="n"/>
      <c r="O228" s="491" t="n"/>
      <c r="P228" s="491" t="n"/>
      <c r="Q228" s="491" t="n"/>
      <c r="R228" s="491" t="n"/>
      <c r="S228" s="491" t="n"/>
      <c r="T228" s="491" t="n"/>
      <c r="U228" s="491" t="n"/>
      <c r="V228" s="491" t="n"/>
      <c r="W228" s="491" t="n"/>
      <c r="X228" s="491" t="n"/>
      <c r="Y228" s="491" t="n"/>
    </row>
    <row r="229" ht="12.75" customHeight="1" s="398">
      <c r="A229" s="491" t="n"/>
      <c r="B229" s="491" t="n"/>
      <c r="C229" s="491" t="n"/>
      <c r="D229" s="491" t="n"/>
      <c r="E229" s="491" t="n"/>
      <c r="F229" s="491" t="n"/>
      <c r="G229" s="491" t="n"/>
      <c r="H229" s="491" t="n"/>
      <c r="I229" s="491" t="n"/>
      <c r="J229" s="491" t="n"/>
      <c r="K229" s="491" t="n"/>
      <c r="L229" s="491" t="n"/>
      <c r="M229" s="491" t="n"/>
      <c r="N229" s="491" t="n"/>
      <c r="O229" s="491" t="n"/>
      <c r="P229" s="491" t="n"/>
      <c r="Q229" s="491" t="n"/>
      <c r="R229" s="491" t="n"/>
      <c r="S229" s="491" t="n"/>
      <c r="T229" s="491" t="n"/>
      <c r="U229" s="491" t="n"/>
      <c r="V229" s="491" t="n"/>
      <c r="W229" s="491" t="n"/>
      <c r="X229" s="491" t="n"/>
      <c r="Y229" s="491" t="n"/>
    </row>
    <row r="230" ht="12.75" customHeight="1" s="398">
      <c r="A230" s="491" t="n"/>
      <c r="B230" s="491" t="n"/>
      <c r="C230" s="491" t="n"/>
      <c r="D230" s="491" t="n"/>
      <c r="E230" s="491" t="n"/>
      <c r="F230" s="491" t="n"/>
      <c r="G230" s="491" t="n"/>
      <c r="H230" s="491" t="n"/>
      <c r="I230" s="491" t="n"/>
      <c r="J230" s="491" t="n"/>
      <c r="K230" s="491" t="n"/>
      <c r="L230" s="491" t="n"/>
      <c r="M230" s="491" t="n"/>
      <c r="N230" s="491" t="n"/>
      <c r="O230" s="491" t="n"/>
      <c r="P230" s="491" t="n"/>
      <c r="Q230" s="491" t="n"/>
      <c r="R230" s="491" t="n"/>
      <c r="S230" s="491" t="n"/>
      <c r="T230" s="491" t="n"/>
      <c r="U230" s="491" t="n"/>
      <c r="V230" s="491" t="n"/>
      <c r="W230" s="491" t="n"/>
      <c r="X230" s="491" t="n"/>
      <c r="Y230" s="491" t="n"/>
    </row>
    <row r="231" ht="12.75" customHeight="1" s="398">
      <c r="A231" s="491" t="n"/>
      <c r="B231" s="491" t="n"/>
      <c r="C231" s="491" t="n"/>
      <c r="D231" s="491" t="n"/>
      <c r="E231" s="491" t="n"/>
      <c r="F231" s="491" t="n"/>
      <c r="G231" s="491" t="n"/>
      <c r="H231" s="491" t="n"/>
      <c r="I231" s="491" t="n"/>
      <c r="J231" s="491" t="n"/>
      <c r="K231" s="491" t="n"/>
      <c r="L231" s="491" t="n"/>
      <c r="M231" s="491" t="n"/>
      <c r="N231" s="491" t="n"/>
      <c r="O231" s="491" t="n"/>
      <c r="P231" s="491" t="n"/>
      <c r="Q231" s="491" t="n"/>
      <c r="R231" s="491" t="n"/>
      <c r="S231" s="491" t="n"/>
      <c r="T231" s="491" t="n"/>
      <c r="U231" s="491" t="n"/>
      <c r="V231" s="491" t="n"/>
      <c r="W231" s="491" t="n"/>
      <c r="X231" s="491" t="n"/>
      <c r="Y231" s="491" t="n"/>
    </row>
    <row r="232" ht="12.75" customHeight="1" s="398">
      <c r="A232" s="491" t="n"/>
      <c r="B232" s="491" t="n"/>
      <c r="C232" s="491" t="n"/>
      <c r="D232" s="491" t="n"/>
      <c r="E232" s="491" t="n"/>
      <c r="F232" s="491" t="n"/>
      <c r="G232" s="491" t="n"/>
      <c r="H232" s="491" t="n"/>
      <c r="I232" s="491" t="n"/>
      <c r="J232" s="491" t="n"/>
      <c r="K232" s="491" t="n"/>
      <c r="L232" s="491" t="n"/>
      <c r="M232" s="491" t="n"/>
      <c r="N232" s="491" t="n"/>
      <c r="O232" s="491" t="n"/>
      <c r="P232" s="491" t="n"/>
      <c r="Q232" s="491" t="n"/>
      <c r="R232" s="491" t="n"/>
      <c r="S232" s="491" t="n"/>
      <c r="T232" s="491" t="n"/>
      <c r="U232" s="491" t="n"/>
      <c r="V232" s="491" t="n"/>
      <c r="W232" s="491" t="n"/>
      <c r="X232" s="491" t="n"/>
      <c r="Y232" s="491" t="n"/>
    </row>
    <row r="233" ht="12.75" customHeight="1" s="398">
      <c r="A233" s="491" t="n"/>
      <c r="B233" s="491" t="n"/>
      <c r="C233" s="491" t="n"/>
      <c r="D233" s="491" t="n"/>
      <c r="E233" s="491" t="n"/>
      <c r="F233" s="491" t="n"/>
      <c r="G233" s="491" t="n"/>
      <c r="H233" s="491" t="n"/>
      <c r="I233" s="491" t="n"/>
      <c r="J233" s="491" t="n"/>
      <c r="K233" s="491" t="n"/>
      <c r="L233" s="491" t="n"/>
      <c r="M233" s="491" t="n"/>
      <c r="N233" s="491" t="n"/>
      <c r="O233" s="491" t="n"/>
      <c r="P233" s="491" t="n"/>
      <c r="Q233" s="491" t="n"/>
      <c r="R233" s="491" t="n"/>
      <c r="S233" s="491" t="n"/>
      <c r="T233" s="491" t="n"/>
      <c r="U233" s="491" t="n"/>
      <c r="V233" s="491" t="n"/>
      <c r="W233" s="491" t="n"/>
      <c r="X233" s="491" t="n"/>
      <c r="Y233" s="491" t="n"/>
    </row>
    <row r="234" ht="12.75" customHeight="1" s="398">
      <c r="A234" s="491" t="n"/>
      <c r="B234" s="491" t="n"/>
      <c r="C234" s="491" t="n"/>
      <c r="D234" s="491" t="n"/>
      <c r="E234" s="491" t="n"/>
      <c r="F234" s="491" t="n"/>
      <c r="G234" s="491" t="n"/>
      <c r="H234" s="491" t="n"/>
      <c r="I234" s="491" t="n"/>
      <c r="J234" s="491" t="n"/>
      <c r="K234" s="491" t="n"/>
      <c r="L234" s="491" t="n"/>
      <c r="M234" s="491" t="n"/>
      <c r="N234" s="491" t="n"/>
      <c r="O234" s="491" t="n"/>
      <c r="P234" s="491" t="n"/>
      <c r="Q234" s="491" t="n"/>
      <c r="R234" s="491" t="n"/>
      <c r="S234" s="491" t="n"/>
      <c r="T234" s="491" t="n"/>
      <c r="U234" s="491" t="n"/>
      <c r="V234" s="491" t="n"/>
      <c r="W234" s="491" t="n"/>
      <c r="X234" s="491" t="n"/>
      <c r="Y234" s="491" t="n"/>
    </row>
    <row r="235" ht="12.75" customHeight="1" s="398">
      <c r="A235" s="491" t="n"/>
      <c r="B235" s="491" t="n"/>
      <c r="C235" s="491" t="n"/>
      <c r="D235" s="491" t="n"/>
      <c r="E235" s="491" t="n"/>
      <c r="F235" s="491" t="n"/>
      <c r="G235" s="491" t="n"/>
      <c r="H235" s="491" t="n"/>
      <c r="I235" s="491" t="n"/>
      <c r="J235" s="491" t="n"/>
      <c r="K235" s="491" t="n"/>
      <c r="L235" s="491" t="n"/>
      <c r="M235" s="491" t="n"/>
      <c r="N235" s="491" t="n"/>
      <c r="O235" s="491" t="n"/>
      <c r="P235" s="491" t="n"/>
      <c r="Q235" s="491" t="n"/>
      <c r="R235" s="491" t="n"/>
      <c r="S235" s="491" t="n"/>
      <c r="T235" s="491" t="n"/>
      <c r="U235" s="491" t="n"/>
      <c r="V235" s="491" t="n"/>
      <c r="W235" s="491" t="n"/>
      <c r="X235" s="491" t="n"/>
      <c r="Y235" s="491" t="n"/>
    </row>
    <row r="236" ht="12.75" customHeight="1" s="398">
      <c r="A236" s="491" t="n"/>
      <c r="B236" s="491" t="n"/>
      <c r="C236" s="491" t="n"/>
      <c r="D236" s="491" t="n"/>
      <c r="E236" s="491" t="n"/>
      <c r="F236" s="491" t="n"/>
      <c r="G236" s="491" t="n"/>
      <c r="H236" s="491" t="n"/>
      <c r="I236" s="491" t="n"/>
      <c r="J236" s="491" t="n"/>
      <c r="K236" s="491" t="n"/>
      <c r="L236" s="491" t="n"/>
      <c r="M236" s="491" t="n"/>
      <c r="N236" s="491" t="n"/>
      <c r="O236" s="491" t="n"/>
      <c r="P236" s="491" t="n"/>
      <c r="Q236" s="491" t="n"/>
      <c r="R236" s="491" t="n"/>
      <c r="S236" s="491" t="n"/>
      <c r="T236" s="491" t="n"/>
      <c r="U236" s="491" t="n"/>
      <c r="V236" s="491" t="n"/>
      <c r="W236" s="491" t="n"/>
      <c r="X236" s="491" t="n"/>
      <c r="Y236" s="491" t="n"/>
    </row>
    <row r="237" ht="12.75" customHeight="1" s="398">
      <c r="A237" s="491" t="n"/>
      <c r="B237" s="491" t="n"/>
      <c r="C237" s="491" t="n"/>
      <c r="D237" s="491" t="n"/>
      <c r="E237" s="491" t="n"/>
      <c r="F237" s="491" t="n"/>
      <c r="G237" s="491" t="n"/>
      <c r="H237" s="491" t="n"/>
      <c r="I237" s="491" t="n"/>
      <c r="J237" s="491" t="n"/>
      <c r="K237" s="491" t="n"/>
      <c r="L237" s="491" t="n"/>
      <c r="M237" s="491" t="n"/>
      <c r="N237" s="491" t="n"/>
      <c r="O237" s="491" t="n"/>
      <c r="P237" s="491" t="n"/>
      <c r="Q237" s="491" t="n"/>
      <c r="R237" s="491" t="n"/>
      <c r="S237" s="491" t="n"/>
      <c r="T237" s="491" t="n"/>
      <c r="U237" s="491" t="n"/>
      <c r="V237" s="491" t="n"/>
      <c r="W237" s="491" t="n"/>
      <c r="X237" s="491" t="n"/>
      <c r="Y237" s="491" t="n"/>
    </row>
    <row r="238" ht="12.75" customHeight="1" s="398">
      <c r="A238" s="491" t="n"/>
      <c r="B238" s="491" t="n"/>
      <c r="C238" s="491" t="n"/>
      <c r="D238" s="491" t="n"/>
      <c r="E238" s="491" t="n"/>
      <c r="F238" s="491" t="n"/>
      <c r="G238" s="491" t="n"/>
      <c r="H238" s="491" t="n"/>
      <c r="I238" s="491" t="n"/>
      <c r="J238" s="491" t="n"/>
      <c r="K238" s="491" t="n"/>
      <c r="L238" s="491" t="n"/>
      <c r="M238" s="491" t="n"/>
      <c r="N238" s="491" t="n"/>
      <c r="O238" s="491" t="n"/>
      <c r="P238" s="491" t="n"/>
      <c r="Q238" s="491" t="n"/>
      <c r="R238" s="491" t="n"/>
      <c r="S238" s="491" t="n"/>
      <c r="T238" s="491" t="n"/>
      <c r="U238" s="491" t="n"/>
      <c r="V238" s="491" t="n"/>
      <c r="W238" s="491" t="n"/>
      <c r="X238" s="491" t="n"/>
      <c r="Y238" s="491" t="n"/>
    </row>
    <row r="239" ht="12.75" customHeight="1" s="398">
      <c r="A239" s="491" t="n"/>
      <c r="B239" s="491" t="n"/>
      <c r="C239" s="491" t="n"/>
      <c r="D239" s="491" t="n"/>
      <c r="E239" s="491" t="n"/>
      <c r="F239" s="491" t="n"/>
      <c r="G239" s="491" t="n"/>
      <c r="H239" s="491" t="n"/>
      <c r="I239" s="491" t="n"/>
      <c r="J239" s="491" t="n"/>
      <c r="K239" s="491" t="n"/>
      <c r="L239" s="491" t="n"/>
      <c r="M239" s="491" t="n"/>
      <c r="N239" s="491" t="n"/>
      <c r="O239" s="491" t="n"/>
      <c r="P239" s="491" t="n"/>
      <c r="Q239" s="491" t="n"/>
      <c r="R239" s="491" t="n"/>
      <c r="S239" s="491" t="n"/>
      <c r="T239" s="491" t="n"/>
      <c r="U239" s="491" t="n"/>
      <c r="V239" s="491" t="n"/>
      <c r="W239" s="491" t="n"/>
      <c r="X239" s="491" t="n"/>
      <c r="Y239" s="491" t="n"/>
    </row>
    <row r="240" ht="12.75" customHeight="1" s="398">
      <c r="A240" s="491" t="n"/>
      <c r="B240" s="491" t="n"/>
      <c r="C240" s="491" t="n"/>
      <c r="D240" s="491" t="n"/>
      <c r="E240" s="491" t="n"/>
      <c r="F240" s="491" t="n"/>
      <c r="G240" s="491" t="n"/>
      <c r="H240" s="491" t="n"/>
      <c r="I240" s="491" t="n"/>
      <c r="J240" s="491" t="n"/>
      <c r="K240" s="491" t="n"/>
      <c r="L240" s="491" t="n"/>
      <c r="M240" s="491" t="n"/>
      <c r="N240" s="491" t="n"/>
      <c r="O240" s="491" t="n"/>
      <c r="P240" s="491" t="n"/>
      <c r="Q240" s="491" t="n"/>
      <c r="R240" s="491" t="n"/>
      <c r="S240" s="491" t="n"/>
      <c r="T240" s="491" t="n"/>
      <c r="U240" s="491" t="n"/>
      <c r="V240" s="491" t="n"/>
      <c r="W240" s="491" t="n"/>
      <c r="X240" s="491" t="n"/>
      <c r="Y240" s="491" t="n"/>
    </row>
    <row r="241" ht="12.75" customHeight="1" s="398">
      <c r="A241" s="491" t="n"/>
      <c r="B241" s="491" t="n"/>
      <c r="C241" s="491" t="n"/>
      <c r="D241" s="491" t="n"/>
      <c r="E241" s="491" t="n"/>
      <c r="F241" s="491" t="n"/>
      <c r="G241" s="491" t="n"/>
      <c r="H241" s="491" t="n"/>
      <c r="I241" s="491" t="n"/>
      <c r="J241" s="491" t="n"/>
      <c r="K241" s="491" t="n"/>
      <c r="L241" s="491" t="n"/>
      <c r="M241" s="491" t="n"/>
      <c r="N241" s="491" t="n"/>
      <c r="O241" s="491" t="n"/>
      <c r="P241" s="491" t="n"/>
      <c r="Q241" s="491" t="n"/>
      <c r="R241" s="491" t="n"/>
      <c r="S241" s="491" t="n"/>
      <c r="T241" s="491" t="n"/>
      <c r="U241" s="491" t="n"/>
      <c r="V241" s="491" t="n"/>
      <c r="W241" s="491" t="n"/>
      <c r="X241" s="491" t="n"/>
      <c r="Y241" s="491" t="n"/>
    </row>
    <row r="242" ht="12.75" customHeight="1" s="398">
      <c r="A242" s="491" t="n"/>
      <c r="B242" s="491" t="n"/>
      <c r="C242" s="491" t="n"/>
      <c r="D242" s="491" t="n"/>
      <c r="E242" s="491" t="n"/>
      <c r="F242" s="491" t="n"/>
      <c r="G242" s="491" t="n"/>
      <c r="H242" s="491" t="n"/>
      <c r="I242" s="491" t="n"/>
      <c r="J242" s="491" t="n"/>
      <c r="K242" s="491" t="n"/>
      <c r="L242" s="491" t="n"/>
      <c r="M242" s="491" t="n"/>
      <c r="N242" s="491" t="n"/>
      <c r="O242" s="491" t="n"/>
      <c r="P242" s="491" t="n"/>
      <c r="Q242" s="491" t="n"/>
      <c r="R242" s="491" t="n"/>
      <c r="S242" s="491" t="n"/>
      <c r="T242" s="491" t="n"/>
      <c r="U242" s="491" t="n"/>
      <c r="V242" s="491" t="n"/>
      <c r="W242" s="491" t="n"/>
      <c r="X242" s="491" t="n"/>
      <c r="Y242" s="491" t="n"/>
    </row>
    <row r="243" ht="12.75" customHeight="1" s="398">
      <c r="A243" s="491" t="n"/>
      <c r="B243" s="491" t="n"/>
      <c r="C243" s="491" t="n"/>
      <c r="D243" s="491" t="n"/>
      <c r="E243" s="491" t="n"/>
      <c r="F243" s="491" t="n"/>
      <c r="G243" s="491" t="n"/>
      <c r="H243" s="491" t="n"/>
      <c r="I243" s="491" t="n"/>
      <c r="J243" s="491" t="n"/>
      <c r="K243" s="491" t="n"/>
      <c r="L243" s="491" t="n"/>
      <c r="M243" s="491" t="n"/>
      <c r="N243" s="491" t="n"/>
      <c r="O243" s="491" t="n"/>
      <c r="P243" s="491" t="n"/>
      <c r="Q243" s="491" t="n"/>
      <c r="R243" s="491" t="n"/>
      <c r="S243" s="491" t="n"/>
      <c r="T243" s="491" t="n"/>
      <c r="U243" s="491" t="n"/>
      <c r="V243" s="491" t="n"/>
      <c r="W243" s="491" t="n"/>
      <c r="X243" s="491" t="n"/>
      <c r="Y243" s="491" t="n"/>
    </row>
    <row r="244" ht="12.75" customHeight="1" s="398">
      <c r="A244" s="491" t="n"/>
      <c r="B244" s="491" t="n"/>
      <c r="C244" s="491" t="n"/>
      <c r="D244" s="491" t="n"/>
      <c r="E244" s="491" t="n"/>
      <c r="F244" s="491" t="n"/>
      <c r="G244" s="491" t="n"/>
      <c r="H244" s="491" t="n"/>
      <c r="I244" s="491" t="n"/>
      <c r="J244" s="491" t="n"/>
      <c r="K244" s="491" t="n"/>
      <c r="L244" s="491" t="n"/>
      <c r="M244" s="491" t="n"/>
      <c r="N244" s="491" t="n"/>
      <c r="O244" s="491" t="n"/>
      <c r="P244" s="491" t="n"/>
      <c r="Q244" s="491" t="n"/>
      <c r="R244" s="491" t="n"/>
      <c r="S244" s="491" t="n"/>
      <c r="T244" s="491" t="n"/>
      <c r="U244" s="491" t="n"/>
      <c r="V244" s="491" t="n"/>
      <c r="W244" s="491" t="n"/>
      <c r="X244" s="491" t="n"/>
      <c r="Y244" s="491" t="n"/>
    </row>
    <row r="245" ht="12.75" customHeight="1" s="398">
      <c r="A245" s="491" t="n"/>
      <c r="B245" s="491" t="n"/>
      <c r="C245" s="491" t="n"/>
      <c r="D245" s="491" t="n"/>
      <c r="E245" s="491" t="n"/>
      <c r="F245" s="491" t="n"/>
      <c r="G245" s="491" t="n"/>
      <c r="H245" s="491" t="n"/>
      <c r="I245" s="491" t="n"/>
      <c r="J245" s="491" t="n"/>
      <c r="K245" s="491" t="n"/>
      <c r="L245" s="491" t="n"/>
      <c r="M245" s="491" t="n"/>
      <c r="N245" s="491" t="n"/>
      <c r="O245" s="491" t="n"/>
      <c r="P245" s="491" t="n"/>
      <c r="Q245" s="491" t="n"/>
      <c r="R245" s="491" t="n"/>
      <c r="S245" s="491" t="n"/>
      <c r="T245" s="491" t="n"/>
      <c r="U245" s="491" t="n"/>
      <c r="V245" s="491" t="n"/>
      <c r="W245" s="491" t="n"/>
      <c r="X245" s="491" t="n"/>
      <c r="Y245" s="491" t="n"/>
    </row>
    <row r="246" ht="12.75" customHeight="1" s="398">
      <c r="A246" s="491" t="n"/>
      <c r="B246" s="491" t="n"/>
      <c r="C246" s="491" t="n"/>
      <c r="D246" s="491" t="n"/>
      <c r="E246" s="491" t="n"/>
      <c r="F246" s="491" t="n"/>
      <c r="G246" s="491" t="n"/>
      <c r="H246" s="491" t="n"/>
      <c r="I246" s="491" t="n"/>
      <c r="J246" s="491" t="n"/>
      <c r="K246" s="491" t="n"/>
      <c r="L246" s="491" t="n"/>
      <c r="M246" s="491" t="n"/>
      <c r="N246" s="491" t="n"/>
      <c r="O246" s="491" t="n"/>
      <c r="P246" s="491" t="n"/>
      <c r="Q246" s="491" t="n"/>
      <c r="R246" s="491" t="n"/>
      <c r="S246" s="491" t="n"/>
      <c r="T246" s="491" t="n"/>
      <c r="U246" s="491" t="n"/>
      <c r="V246" s="491" t="n"/>
      <c r="W246" s="491" t="n"/>
      <c r="X246" s="491" t="n"/>
      <c r="Y246" s="491" t="n"/>
    </row>
    <row r="247" ht="12.75" customHeight="1" s="398">
      <c r="A247" s="491" t="n"/>
      <c r="B247" s="491" t="n"/>
      <c r="C247" s="491" t="n"/>
      <c r="D247" s="491" t="n"/>
      <c r="E247" s="491" t="n"/>
      <c r="F247" s="491" t="n"/>
      <c r="G247" s="491" t="n"/>
      <c r="H247" s="491" t="n"/>
      <c r="I247" s="491" t="n"/>
      <c r="J247" s="491" t="n"/>
      <c r="K247" s="491" t="n"/>
      <c r="L247" s="491" t="n"/>
      <c r="M247" s="491" t="n"/>
      <c r="N247" s="491" t="n"/>
      <c r="O247" s="491" t="n"/>
      <c r="P247" s="491" t="n"/>
      <c r="Q247" s="491" t="n"/>
      <c r="R247" s="491" t="n"/>
      <c r="S247" s="491" t="n"/>
      <c r="T247" s="491" t="n"/>
      <c r="U247" s="491" t="n"/>
      <c r="V247" s="491" t="n"/>
      <c r="W247" s="491" t="n"/>
      <c r="X247" s="491" t="n"/>
      <c r="Y247" s="491" t="n"/>
    </row>
    <row r="248" ht="12.75" customHeight="1" s="398">
      <c r="A248" s="491" t="n"/>
      <c r="B248" s="491" t="n"/>
      <c r="C248" s="491" t="n"/>
      <c r="D248" s="491" t="n"/>
      <c r="E248" s="491" t="n"/>
      <c r="F248" s="491" t="n"/>
      <c r="G248" s="491" t="n"/>
      <c r="H248" s="491" t="n"/>
      <c r="I248" s="491" t="n"/>
      <c r="J248" s="491" t="n"/>
      <c r="K248" s="491" t="n"/>
      <c r="L248" s="491" t="n"/>
      <c r="M248" s="491" t="n"/>
      <c r="N248" s="491" t="n"/>
      <c r="O248" s="491" t="n"/>
      <c r="P248" s="491" t="n"/>
      <c r="Q248" s="491" t="n"/>
      <c r="R248" s="491" t="n"/>
      <c r="S248" s="491" t="n"/>
      <c r="T248" s="491" t="n"/>
      <c r="U248" s="491" t="n"/>
      <c r="V248" s="491" t="n"/>
      <c r="W248" s="491" t="n"/>
      <c r="X248" s="491" t="n"/>
      <c r="Y248" s="491" t="n"/>
    </row>
    <row r="249" ht="12.75" customHeight="1" s="398">
      <c r="A249" s="491" t="n"/>
      <c r="B249" s="491" t="n"/>
      <c r="C249" s="491" t="n"/>
      <c r="D249" s="491" t="n"/>
      <c r="E249" s="491" t="n"/>
      <c r="F249" s="491" t="n"/>
      <c r="G249" s="491" t="n"/>
      <c r="H249" s="491" t="n"/>
      <c r="I249" s="491" t="n"/>
      <c r="J249" s="491" t="n"/>
      <c r="K249" s="491" t="n"/>
      <c r="L249" s="491" t="n"/>
      <c r="M249" s="491" t="n"/>
      <c r="N249" s="491" t="n"/>
      <c r="O249" s="491" t="n"/>
      <c r="P249" s="491" t="n"/>
      <c r="Q249" s="491" t="n"/>
      <c r="R249" s="491" t="n"/>
      <c r="S249" s="491" t="n"/>
      <c r="T249" s="491" t="n"/>
      <c r="U249" s="491" t="n"/>
      <c r="V249" s="491" t="n"/>
      <c r="W249" s="491" t="n"/>
      <c r="X249" s="491" t="n"/>
      <c r="Y249" s="491" t="n"/>
    </row>
    <row r="250" ht="12.75" customHeight="1" s="398">
      <c r="A250" s="491" t="n"/>
      <c r="B250" s="491" t="n"/>
      <c r="C250" s="491" t="n"/>
      <c r="D250" s="491" t="n"/>
      <c r="E250" s="491" t="n"/>
      <c r="F250" s="491" t="n"/>
      <c r="G250" s="491" t="n"/>
      <c r="H250" s="491" t="n"/>
      <c r="I250" s="491" t="n"/>
      <c r="J250" s="491" t="n"/>
      <c r="K250" s="491" t="n"/>
      <c r="L250" s="491" t="n"/>
      <c r="M250" s="491" t="n"/>
      <c r="N250" s="491" t="n"/>
      <c r="O250" s="491" t="n"/>
      <c r="P250" s="491" t="n"/>
      <c r="Q250" s="491" t="n"/>
      <c r="R250" s="491" t="n"/>
      <c r="S250" s="491" t="n"/>
      <c r="T250" s="491" t="n"/>
      <c r="U250" s="491" t="n"/>
      <c r="V250" s="491" t="n"/>
      <c r="W250" s="491" t="n"/>
      <c r="X250" s="491" t="n"/>
      <c r="Y250" s="491" t="n"/>
    </row>
    <row r="251" ht="12.75" customHeight="1" s="398">
      <c r="A251" s="491" t="n"/>
      <c r="B251" s="491" t="n"/>
      <c r="C251" s="491" t="n"/>
      <c r="D251" s="491" t="n"/>
      <c r="E251" s="491" t="n"/>
      <c r="F251" s="491" t="n"/>
      <c r="G251" s="491" t="n"/>
      <c r="H251" s="491" t="n"/>
      <c r="I251" s="491" t="n"/>
      <c r="J251" s="491" t="n"/>
      <c r="K251" s="491" t="n"/>
      <c r="L251" s="491" t="n"/>
      <c r="M251" s="491" t="n"/>
      <c r="N251" s="491" t="n"/>
      <c r="O251" s="491" t="n"/>
      <c r="P251" s="491" t="n"/>
      <c r="Q251" s="491" t="n"/>
      <c r="R251" s="491" t="n"/>
      <c r="S251" s="491" t="n"/>
      <c r="T251" s="491" t="n"/>
      <c r="U251" s="491" t="n"/>
      <c r="V251" s="491" t="n"/>
      <c r="W251" s="491" t="n"/>
      <c r="X251" s="491" t="n"/>
      <c r="Y251" s="491" t="n"/>
    </row>
    <row r="252" ht="12.75" customHeight="1" s="398">
      <c r="A252" s="491" t="n"/>
      <c r="B252" s="491" t="n"/>
      <c r="C252" s="491" t="n"/>
      <c r="D252" s="491" t="n"/>
      <c r="E252" s="491" t="n"/>
      <c r="F252" s="491" t="n"/>
      <c r="G252" s="491" t="n"/>
      <c r="H252" s="491" t="n"/>
      <c r="I252" s="491" t="n"/>
      <c r="J252" s="491" t="n"/>
      <c r="K252" s="491" t="n"/>
      <c r="L252" s="491" t="n"/>
      <c r="M252" s="491" t="n"/>
      <c r="N252" s="491" t="n"/>
      <c r="O252" s="491" t="n"/>
      <c r="P252" s="491" t="n"/>
      <c r="Q252" s="491" t="n"/>
      <c r="R252" s="491" t="n"/>
      <c r="S252" s="491" t="n"/>
      <c r="T252" s="491" t="n"/>
      <c r="U252" s="491" t="n"/>
      <c r="V252" s="491" t="n"/>
      <c r="W252" s="491" t="n"/>
      <c r="X252" s="491" t="n"/>
      <c r="Y252" s="491" t="n"/>
    </row>
    <row r="253" ht="12.75" customHeight="1" s="398">
      <c r="A253" s="491" t="n"/>
      <c r="B253" s="491" t="n"/>
      <c r="C253" s="491" t="n"/>
      <c r="D253" s="491" t="n"/>
      <c r="E253" s="491" t="n"/>
      <c r="F253" s="491" t="n"/>
      <c r="G253" s="491" t="n"/>
      <c r="H253" s="491" t="n"/>
      <c r="I253" s="491" t="n"/>
      <c r="J253" s="491" t="n"/>
      <c r="K253" s="491" t="n"/>
      <c r="L253" s="491" t="n"/>
      <c r="M253" s="491" t="n"/>
      <c r="N253" s="491" t="n"/>
      <c r="O253" s="491" t="n"/>
      <c r="P253" s="491" t="n"/>
      <c r="Q253" s="491" t="n"/>
      <c r="R253" s="491" t="n"/>
      <c r="S253" s="491" t="n"/>
      <c r="T253" s="491" t="n"/>
      <c r="U253" s="491" t="n"/>
      <c r="V253" s="491" t="n"/>
      <c r="W253" s="491" t="n"/>
      <c r="X253" s="491" t="n"/>
      <c r="Y253" s="491" t="n"/>
    </row>
    <row r="254" ht="12.75" customHeight="1" s="398">
      <c r="A254" s="491" t="n"/>
      <c r="B254" s="491" t="n"/>
      <c r="C254" s="491" t="n"/>
      <c r="D254" s="491" t="n"/>
      <c r="E254" s="491" t="n"/>
      <c r="F254" s="491" t="n"/>
      <c r="G254" s="491" t="n"/>
      <c r="H254" s="491" t="n"/>
      <c r="I254" s="491" t="n"/>
      <c r="J254" s="491" t="n"/>
      <c r="K254" s="491" t="n"/>
      <c r="L254" s="491" t="n"/>
      <c r="M254" s="491" t="n"/>
      <c r="N254" s="491" t="n"/>
      <c r="O254" s="491" t="n"/>
      <c r="P254" s="491" t="n"/>
      <c r="Q254" s="491" t="n"/>
      <c r="R254" s="491" t="n"/>
      <c r="S254" s="491" t="n"/>
      <c r="T254" s="491" t="n"/>
      <c r="U254" s="491" t="n"/>
      <c r="V254" s="491" t="n"/>
      <c r="W254" s="491" t="n"/>
      <c r="X254" s="491" t="n"/>
      <c r="Y254" s="491" t="n"/>
    </row>
    <row r="255" ht="12.75" customHeight="1" s="398">
      <c r="A255" s="491" t="n"/>
      <c r="B255" s="491" t="n"/>
      <c r="C255" s="491" t="n"/>
      <c r="D255" s="491" t="n"/>
      <c r="E255" s="491" t="n"/>
      <c r="F255" s="491" t="n"/>
      <c r="G255" s="491" t="n"/>
      <c r="H255" s="491" t="n"/>
      <c r="I255" s="491" t="n"/>
      <c r="J255" s="491" t="n"/>
      <c r="K255" s="491" t="n"/>
      <c r="L255" s="491" t="n"/>
      <c r="M255" s="491" t="n"/>
      <c r="N255" s="491" t="n"/>
      <c r="O255" s="491" t="n"/>
      <c r="P255" s="491" t="n"/>
      <c r="Q255" s="491" t="n"/>
      <c r="R255" s="491" t="n"/>
      <c r="S255" s="491" t="n"/>
      <c r="T255" s="491" t="n"/>
      <c r="U255" s="491" t="n"/>
      <c r="V255" s="491" t="n"/>
      <c r="W255" s="491" t="n"/>
      <c r="X255" s="491" t="n"/>
      <c r="Y255" s="491" t="n"/>
    </row>
    <row r="256" ht="12.75" customHeight="1" s="398">
      <c r="A256" s="491" t="n"/>
      <c r="B256" s="491" t="n"/>
      <c r="C256" s="491" t="n"/>
      <c r="D256" s="491" t="n"/>
      <c r="E256" s="491" t="n"/>
      <c r="F256" s="491" t="n"/>
      <c r="G256" s="491" t="n"/>
      <c r="H256" s="491" t="n"/>
      <c r="I256" s="491" t="n"/>
      <c r="J256" s="491" t="n"/>
      <c r="K256" s="491" t="n"/>
      <c r="L256" s="491" t="n"/>
      <c r="M256" s="491" t="n"/>
      <c r="N256" s="491" t="n"/>
      <c r="O256" s="491" t="n"/>
      <c r="P256" s="491" t="n"/>
      <c r="Q256" s="491" t="n"/>
      <c r="R256" s="491" t="n"/>
      <c r="S256" s="491" t="n"/>
      <c r="T256" s="491" t="n"/>
      <c r="U256" s="491" t="n"/>
      <c r="V256" s="491" t="n"/>
      <c r="W256" s="491" t="n"/>
      <c r="X256" s="491" t="n"/>
      <c r="Y256" s="491" t="n"/>
    </row>
    <row r="257" ht="12.75" customHeight="1" s="398">
      <c r="A257" s="491" t="n"/>
      <c r="B257" s="491" t="n"/>
      <c r="C257" s="491" t="n"/>
      <c r="D257" s="491" t="n"/>
      <c r="E257" s="491" t="n"/>
      <c r="F257" s="491" t="n"/>
      <c r="G257" s="491" t="n"/>
      <c r="H257" s="491" t="n"/>
      <c r="I257" s="491" t="n"/>
      <c r="J257" s="491" t="n"/>
      <c r="K257" s="491" t="n"/>
      <c r="L257" s="491" t="n"/>
      <c r="M257" s="491" t="n"/>
      <c r="N257" s="491" t="n"/>
      <c r="O257" s="491" t="n"/>
      <c r="P257" s="491" t="n"/>
      <c r="Q257" s="491" t="n"/>
      <c r="R257" s="491" t="n"/>
      <c r="S257" s="491" t="n"/>
      <c r="T257" s="491" t="n"/>
      <c r="U257" s="491" t="n"/>
      <c r="V257" s="491" t="n"/>
      <c r="W257" s="491" t="n"/>
      <c r="X257" s="491" t="n"/>
      <c r="Y257" s="491" t="n"/>
    </row>
    <row r="258" ht="12.75" customHeight="1" s="398">
      <c r="A258" s="491" t="n"/>
      <c r="B258" s="491" t="n"/>
      <c r="C258" s="491" t="n"/>
      <c r="D258" s="491" t="n"/>
      <c r="E258" s="491" t="n"/>
      <c r="F258" s="491" t="n"/>
      <c r="G258" s="491" t="n"/>
      <c r="H258" s="491" t="n"/>
      <c r="I258" s="491" t="n"/>
      <c r="J258" s="491" t="n"/>
      <c r="K258" s="491" t="n"/>
      <c r="L258" s="491" t="n"/>
      <c r="M258" s="491" t="n"/>
      <c r="N258" s="491" t="n"/>
      <c r="O258" s="491" t="n"/>
      <c r="P258" s="491" t="n"/>
      <c r="Q258" s="491" t="n"/>
      <c r="R258" s="491" t="n"/>
      <c r="S258" s="491" t="n"/>
      <c r="T258" s="491" t="n"/>
      <c r="U258" s="491" t="n"/>
      <c r="V258" s="491" t="n"/>
      <c r="W258" s="491" t="n"/>
      <c r="X258" s="491" t="n"/>
      <c r="Y258" s="491" t="n"/>
    </row>
    <row r="259" ht="12.75" customHeight="1" s="398">
      <c r="A259" s="491" t="n"/>
      <c r="B259" s="491" t="n"/>
      <c r="C259" s="491" t="n"/>
      <c r="D259" s="491" t="n"/>
      <c r="E259" s="491" t="n"/>
      <c r="F259" s="491" t="n"/>
      <c r="G259" s="491" t="n"/>
      <c r="H259" s="491" t="n"/>
      <c r="I259" s="491" t="n"/>
      <c r="J259" s="491" t="n"/>
      <c r="K259" s="491" t="n"/>
      <c r="L259" s="491" t="n"/>
      <c r="M259" s="491" t="n"/>
      <c r="N259" s="491" t="n"/>
      <c r="O259" s="491" t="n"/>
      <c r="P259" s="491" t="n"/>
      <c r="Q259" s="491" t="n"/>
      <c r="R259" s="491" t="n"/>
      <c r="S259" s="491" t="n"/>
      <c r="T259" s="491" t="n"/>
      <c r="U259" s="491" t="n"/>
      <c r="V259" s="491" t="n"/>
      <c r="W259" s="491" t="n"/>
      <c r="X259" s="491" t="n"/>
      <c r="Y259" s="491" t="n"/>
    </row>
    <row r="260" ht="12.75" customHeight="1" s="398">
      <c r="A260" s="491" t="n"/>
      <c r="B260" s="491" t="n"/>
      <c r="C260" s="491" t="n"/>
      <c r="D260" s="491" t="n"/>
      <c r="E260" s="491" t="n"/>
      <c r="F260" s="491" t="n"/>
      <c r="G260" s="491" t="n"/>
      <c r="H260" s="491" t="n"/>
      <c r="I260" s="491" t="n"/>
      <c r="J260" s="491" t="n"/>
      <c r="K260" s="491" t="n"/>
      <c r="L260" s="491" t="n"/>
      <c r="M260" s="491" t="n"/>
      <c r="N260" s="491" t="n"/>
      <c r="O260" s="491" t="n"/>
      <c r="P260" s="491" t="n"/>
      <c r="Q260" s="491" t="n"/>
      <c r="R260" s="491" t="n"/>
      <c r="S260" s="491" t="n"/>
      <c r="T260" s="491" t="n"/>
      <c r="U260" s="491" t="n"/>
      <c r="V260" s="491" t="n"/>
      <c r="W260" s="491" t="n"/>
      <c r="X260" s="491" t="n"/>
      <c r="Y260" s="491" t="n"/>
    </row>
    <row r="261" ht="12.75" customHeight="1" s="398">
      <c r="A261" s="491" t="n"/>
      <c r="B261" s="491" t="n"/>
      <c r="C261" s="491" t="n"/>
      <c r="D261" s="491" t="n"/>
      <c r="E261" s="491" t="n"/>
      <c r="F261" s="491" t="n"/>
      <c r="G261" s="491" t="n"/>
      <c r="H261" s="491" t="n"/>
      <c r="I261" s="491" t="n"/>
      <c r="J261" s="491" t="n"/>
      <c r="K261" s="491" t="n"/>
      <c r="L261" s="491" t="n"/>
      <c r="M261" s="491" t="n"/>
      <c r="N261" s="491" t="n"/>
      <c r="O261" s="491" t="n"/>
      <c r="P261" s="491" t="n"/>
      <c r="Q261" s="491" t="n"/>
      <c r="R261" s="491" t="n"/>
      <c r="S261" s="491" t="n"/>
      <c r="T261" s="491" t="n"/>
      <c r="U261" s="491" t="n"/>
      <c r="V261" s="491" t="n"/>
      <c r="W261" s="491" t="n"/>
      <c r="X261" s="491" t="n"/>
      <c r="Y261" s="491" t="n"/>
    </row>
    <row r="262" ht="12.75" customHeight="1" s="398">
      <c r="A262" s="491" t="n"/>
      <c r="B262" s="491" t="n"/>
      <c r="C262" s="491" t="n"/>
      <c r="D262" s="491" t="n"/>
      <c r="E262" s="491" t="n"/>
      <c r="F262" s="491" t="n"/>
      <c r="G262" s="491" t="n"/>
      <c r="H262" s="491" t="n"/>
      <c r="I262" s="491" t="n"/>
      <c r="J262" s="491" t="n"/>
      <c r="K262" s="491" t="n"/>
      <c r="L262" s="491" t="n"/>
      <c r="M262" s="491" t="n"/>
      <c r="N262" s="491" t="n"/>
      <c r="O262" s="491" t="n"/>
      <c r="P262" s="491" t="n"/>
      <c r="Q262" s="491" t="n"/>
      <c r="R262" s="491" t="n"/>
      <c r="S262" s="491" t="n"/>
      <c r="T262" s="491" t="n"/>
      <c r="U262" s="491" t="n"/>
      <c r="V262" s="491" t="n"/>
      <c r="W262" s="491" t="n"/>
      <c r="X262" s="491" t="n"/>
      <c r="Y262" s="491" t="n"/>
    </row>
    <row r="263" ht="12.75" customHeight="1" s="398">
      <c r="A263" s="491" t="n"/>
      <c r="B263" s="491" t="n"/>
      <c r="C263" s="491" t="n"/>
      <c r="D263" s="491" t="n"/>
      <c r="E263" s="491" t="n"/>
      <c r="F263" s="491" t="n"/>
      <c r="G263" s="491" t="n"/>
      <c r="H263" s="491" t="n"/>
      <c r="I263" s="491" t="n"/>
      <c r="J263" s="491" t="n"/>
      <c r="K263" s="491" t="n"/>
      <c r="L263" s="491" t="n"/>
      <c r="M263" s="491" t="n"/>
      <c r="N263" s="491" t="n"/>
      <c r="O263" s="491" t="n"/>
      <c r="P263" s="491" t="n"/>
      <c r="Q263" s="491" t="n"/>
      <c r="R263" s="491" t="n"/>
      <c r="S263" s="491" t="n"/>
      <c r="T263" s="491" t="n"/>
      <c r="U263" s="491" t="n"/>
      <c r="V263" s="491" t="n"/>
      <c r="W263" s="491" t="n"/>
      <c r="X263" s="491" t="n"/>
      <c r="Y263" s="491" t="n"/>
    </row>
    <row r="264" ht="12.75" customHeight="1" s="398">
      <c r="A264" s="491" t="n"/>
      <c r="B264" s="491" t="n"/>
      <c r="C264" s="491" t="n"/>
      <c r="D264" s="491" t="n"/>
      <c r="E264" s="491" t="n"/>
      <c r="F264" s="491" t="n"/>
      <c r="G264" s="491" t="n"/>
      <c r="H264" s="491" t="n"/>
      <c r="I264" s="491" t="n"/>
      <c r="J264" s="491" t="n"/>
      <c r="K264" s="491" t="n"/>
      <c r="L264" s="491" t="n"/>
      <c r="M264" s="491" t="n"/>
      <c r="N264" s="491" t="n"/>
      <c r="O264" s="491" t="n"/>
      <c r="P264" s="491" t="n"/>
      <c r="Q264" s="491" t="n"/>
      <c r="R264" s="491" t="n"/>
      <c r="S264" s="491" t="n"/>
      <c r="T264" s="491" t="n"/>
      <c r="U264" s="491" t="n"/>
      <c r="V264" s="491" t="n"/>
      <c r="W264" s="491" t="n"/>
      <c r="X264" s="491" t="n"/>
      <c r="Y264" s="491" t="n"/>
    </row>
    <row r="265" ht="12.75" customHeight="1" s="398">
      <c r="A265" s="491" t="n"/>
      <c r="B265" s="491" t="n"/>
      <c r="C265" s="491" t="n"/>
      <c r="D265" s="491" t="n"/>
      <c r="E265" s="491" t="n"/>
      <c r="F265" s="491" t="n"/>
      <c r="G265" s="491" t="n"/>
      <c r="H265" s="491" t="n"/>
      <c r="I265" s="491" t="n"/>
      <c r="J265" s="491" t="n"/>
      <c r="K265" s="491" t="n"/>
      <c r="L265" s="491" t="n"/>
      <c r="M265" s="491" t="n"/>
      <c r="N265" s="491" t="n"/>
      <c r="O265" s="491" t="n"/>
      <c r="P265" s="491" t="n"/>
      <c r="Q265" s="491" t="n"/>
      <c r="R265" s="491" t="n"/>
      <c r="S265" s="491" t="n"/>
      <c r="T265" s="491" t="n"/>
      <c r="U265" s="491" t="n"/>
      <c r="V265" s="491" t="n"/>
      <c r="W265" s="491" t="n"/>
      <c r="X265" s="491" t="n"/>
      <c r="Y265" s="491" t="n"/>
    </row>
    <row r="266" ht="12.75" customHeight="1" s="398">
      <c r="A266" s="491" t="n"/>
      <c r="B266" s="491" t="n"/>
      <c r="C266" s="491" t="n"/>
      <c r="D266" s="491" t="n"/>
      <c r="E266" s="491" t="n"/>
      <c r="F266" s="491" t="n"/>
      <c r="G266" s="491" t="n"/>
      <c r="H266" s="491" t="n"/>
      <c r="I266" s="491" t="n"/>
      <c r="J266" s="491" t="n"/>
      <c r="K266" s="491" t="n"/>
      <c r="L266" s="491" t="n"/>
      <c r="M266" s="491" t="n"/>
      <c r="N266" s="491" t="n"/>
      <c r="O266" s="491" t="n"/>
      <c r="P266" s="491" t="n"/>
      <c r="Q266" s="491" t="n"/>
      <c r="R266" s="491" t="n"/>
      <c r="S266" s="491" t="n"/>
      <c r="T266" s="491" t="n"/>
      <c r="U266" s="491" t="n"/>
      <c r="V266" s="491" t="n"/>
      <c r="W266" s="491" t="n"/>
      <c r="X266" s="491" t="n"/>
      <c r="Y266" s="491" t="n"/>
    </row>
    <row r="267" ht="12.75" customHeight="1" s="398">
      <c r="A267" s="491" t="n"/>
      <c r="B267" s="491" t="n"/>
      <c r="C267" s="491" t="n"/>
      <c r="D267" s="491" t="n"/>
      <c r="E267" s="491" t="n"/>
      <c r="F267" s="491" t="n"/>
      <c r="G267" s="491" t="n"/>
      <c r="H267" s="491" t="n"/>
      <c r="I267" s="491" t="n"/>
      <c r="J267" s="491" t="n"/>
      <c r="K267" s="491" t="n"/>
      <c r="L267" s="491" t="n"/>
      <c r="M267" s="491" t="n"/>
      <c r="N267" s="491" t="n"/>
      <c r="O267" s="491" t="n"/>
      <c r="P267" s="491" t="n"/>
      <c r="Q267" s="491" t="n"/>
      <c r="R267" s="491" t="n"/>
      <c r="S267" s="491" t="n"/>
      <c r="T267" s="491" t="n"/>
      <c r="U267" s="491" t="n"/>
      <c r="V267" s="491" t="n"/>
      <c r="W267" s="491" t="n"/>
      <c r="X267" s="491" t="n"/>
      <c r="Y267" s="491" t="n"/>
    </row>
    <row r="268" ht="12.75" customHeight="1" s="398">
      <c r="A268" s="491" t="n"/>
      <c r="B268" s="491" t="n"/>
      <c r="C268" s="491" t="n"/>
      <c r="D268" s="491" t="n"/>
      <c r="E268" s="491" t="n"/>
      <c r="F268" s="491" t="n"/>
      <c r="G268" s="491" t="n"/>
      <c r="H268" s="491" t="n"/>
      <c r="I268" s="491" t="n"/>
      <c r="J268" s="491" t="n"/>
      <c r="K268" s="491" t="n"/>
      <c r="L268" s="491" t="n"/>
      <c r="M268" s="491" t="n"/>
      <c r="N268" s="491" t="n"/>
      <c r="O268" s="491" t="n"/>
      <c r="P268" s="491" t="n"/>
      <c r="Q268" s="491" t="n"/>
      <c r="R268" s="491" t="n"/>
      <c r="S268" s="491" t="n"/>
      <c r="T268" s="491" t="n"/>
      <c r="U268" s="491" t="n"/>
      <c r="V268" s="491" t="n"/>
      <c r="W268" s="491" t="n"/>
      <c r="X268" s="491" t="n"/>
      <c r="Y268" s="491" t="n"/>
    </row>
    <row r="269" ht="12.75" customHeight="1" s="398">
      <c r="A269" s="491" t="n"/>
      <c r="B269" s="491" t="n"/>
      <c r="C269" s="491" t="n"/>
      <c r="D269" s="491" t="n"/>
      <c r="E269" s="491" t="n"/>
      <c r="F269" s="491" t="n"/>
      <c r="G269" s="491" t="n"/>
      <c r="H269" s="491" t="n"/>
      <c r="I269" s="491" t="n"/>
      <c r="J269" s="491" t="n"/>
      <c r="K269" s="491" t="n"/>
      <c r="L269" s="491" t="n"/>
      <c r="M269" s="491" t="n"/>
      <c r="N269" s="491" t="n"/>
      <c r="O269" s="491" t="n"/>
      <c r="P269" s="491" t="n"/>
      <c r="Q269" s="491" t="n"/>
      <c r="R269" s="491" t="n"/>
      <c r="S269" s="491" t="n"/>
      <c r="T269" s="491" t="n"/>
      <c r="U269" s="491" t="n"/>
      <c r="V269" s="491" t="n"/>
      <c r="W269" s="491" t="n"/>
      <c r="X269" s="491" t="n"/>
      <c r="Y269" s="491" t="n"/>
    </row>
    <row r="270" ht="12.75" customHeight="1" s="398">
      <c r="A270" s="491" t="n"/>
      <c r="B270" s="491" t="n"/>
      <c r="C270" s="491" t="n"/>
      <c r="D270" s="491" t="n"/>
      <c r="E270" s="491" t="n"/>
      <c r="F270" s="491" t="n"/>
      <c r="G270" s="491" t="n"/>
      <c r="H270" s="491" t="n"/>
      <c r="I270" s="491" t="n"/>
      <c r="J270" s="491" t="n"/>
      <c r="K270" s="491" t="n"/>
      <c r="L270" s="491" t="n"/>
      <c r="M270" s="491" t="n"/>
      <c r="N270" s="491" t="n"/>
      <c r="O270" s="491" t="n"/>
      <c r="P270" s="491" t="n"/>
      <c r="Q270" s="491" t="n"/>
      <c r="R270" s="491" t="n"/>
      <c r="S270" s="491" t="n"/>
      <c r="T270" s="491" t="n"/>
      <c r="U270" s="491" t="n"/>
      <c r="V270" s="491" t="n"/>
      <c r="W270" s="491" t="n"/>
      <c r="X270" s="491" t="n"/>
      <c r="Y270" s="491" t="n"/>
    </row>
    <row r="271" ht="12.75" customHeight="1" s="398">
      <c r="A271" s="491" t="n"/>
      <c r="B271" s="491" t="n"/>
      <c r="C271" s="491" t="n"/>
      <c r="D271" s="491" t="n"/>
      <c r="E271" s="491" t="n"/>
      <c r="F271" s="491" t="n"/>
      <c r="G271" s="491" t="n"/>
      <c r="H271" s="491" t="n"/>
      <c r="I271" s="491" t="n"/>
      <c r="J271" s="491" t="n"/>
      <c r="K271" s="491" t="n"/>
      <c r="L271" s="491" t="n"/>
      <c r="M271" s="491" t="n"/>
      <c r="N271" s="491" t="n"/>
      <c r="O271" s="491" t="n"/>
      <c r="P271" s="491" t="n"/>
      <c r="Q271" s="491" t="n"/>
      <c r="R271" s="491" t="n"/>
      <c r="S271" s="491" t="n"/>
      <c r="T271" s="491" t="n"/>
      <c r="U271" s="491" t="n"/>
      <c r="V271" s="491" t="n"/>
      <c r="W271" s="491" t="n"/>
      <c r="X271" s="491" t="n"/>
      <c r="Y271" s="491" t="n"/>
    </row>
    <row r="272" ht="12.75" customHeight="1" s="398">
      <c r="A272" s="491" t="n"/>
      <c r="B272" s="491" t="n"/>
      <c r="C272" s="491" t="n"/>
      <c r="D272" s="491" t="n"/>
      <c r="E272" s="491" t="n"/>
      <c r="F272" s="491" t="n"/>
      <c r="G272" s="491" t="n"/>
      <c r="H272" s="491" t="n"/>
      <c r="I272" s="491" t="n"/>
      <c r="J272" s="491" t="n"/>
      <c r="K272" s="491" t="n"/>
      <c r="L272" s="491" t="n"/>
      <c r="M272" s="491" t="n"/>
      <c r="N272" s="491" t="n"/>
      <c r="O272" s="491" t="n"/>
      <c r="P272" s="491" t="n"/>
      <c r="Q272" s="491" t="n"/>
      <c r="R272" s="491" t="n"/>
      <c r="S272" s="491" t="n"/>
      <c r="T272" s="491" t="n"/>
      <c r="U272" s="491" t="n"/>
      <c r="V272" s="491" t="n"/>
      <c r="W272" s="491" t="n"/>
      <c r="X272" s="491" t="n"/>
      <c r="Y272" s="491" t="n"/>
    </row>
    <row r="273" ht="12.75" customHeight="1" s="398">
      <c r="A273" s="491" t="n"/>
      <c r="B273" s="491" t="n"/>
      <c r="C273" s="491" t="n"/>
      <c r="D273" s="491" t="n"/>
      <c r="E273" s="491" t="n"/>
      <c r="F273" s="491" t="n"/>
      <c r="G273" s="491" t="n"/>
      <c r="H273" s="491" t="n"/>
      <c r="I273" s="491" t="n"/>
      <c r="J273" s="491" t="n"/>
      <c r="K273" s="491" t="n"/>
      <c r="L273" s="491" t="n"/>
      <c r="M273" s="491" t="n"/>
      <c r="N273" s="491" t="n"/>
      <c r="O273" s="491" t="n"/>
      <c r="P273" s="491" t="n"/>
      <c r="Q273" s="491" t="n"/>
      <c r="R273" s="491" t="n"/>
      <c r="S273" s="491" t="n"/>
      <c r="T273" s="491" t="n"/>
      <c r="U273" s="491" t="n"/>
      <c r="V273" s="491" t="n"/>
      <c r="W273" s="491" t="n"/>
      <c r="X273" s="491" t="n"/>
      <c r="Y273" s="491" t="n"/>
    </row>
    <row r="274" ht="12.75" customHeight="1" s="398">
      <c r="A274" s="491" t="n"/>
      <c r="B274" s="491" t="n"/>
      <c r="C274" s="491" t="n"/>
      <c r="D274" s="491" t="n"/>
      <c r="E274" s="491" t="n"/>
      <c r="F274" s="491" t="n"/>
      <c r="G274" s="491" t="n"/>
      <c r="H274" s="491" t="n"/>
      <c r="I274" s="491" t="n"/>
      <c r="J274" s="491" t="n"/>
      <c r="K274" s="491" t="n"/>
      <c r="L274" s="491" t="n"/>
      <c r="M274" s="491" t="n"/>
      <c r="N274" s="491" t="n"/>
      <c r="O274" s="491" t="n"/>
      <c r="P274" s="491" t="n"/>
      <c r="Q274" s="491" t="n"/>
      <c r="R274" s="491" t="n"/>
      <c r="S274" s="491" t="n"/>
      <c r="T274" s="491" t="n"/>
      <c r="U274" s="491" t="n"/>
      <c r="V274" s="491" t="n"/>
      <c r="W274" s="491" t="n"/>
      <c r="X274" s="491" t="n"/>
      <c r="Y274" s="491" t="n"/>
    </row>
    <row r="275" ht="12.75" customHeight="1" s="398">
      <c r="A275" s="491" t="n"/>
      <c r="B275" s="491" t="n"/>
      <c r="C275" s="491" t="n"/>
      <c r="D275" s="491" t="n"/>
      <c r="E275" s="491" t="n"/>
      <c r="F275" s="491" t="n"/>
      <c r="G275" s="491" t="n"/>
      <c r="H275" s="491" t="n"/>
      <c r="I275" s="491" t="n"/>
      <c r="J275" s="491" t="n"/>
      <c r="K275" s="491" t="n"/>
      <c r="L275" s="491" t="n"/>
      <c r="M275" s="491" t="n"/>
      <c r="N275" s="491" t="n"/>
      <c r="O275" s="491" t="n"/>
      <c r="P275" s="491" t="n"/>
      <c r="Q275" s="491" t="n"/>
      <c r="R275" s="491" t="n"/>
      <c r="S275" s="491" t="n"/>
      <c r="T275" s="491" t="n"/>
      <c r="U275" s="491" t="n"/>
      <c r="V275" s="491" t="n"/>
      <c r="W275" s="491" t="n"/>
      <c r="X275" s="491" t="n"/>
      <c r="Y275" s="491" t="n"/>
    </row>
    <row r="276" ht="12.75" customHeight="1" s="398">
      <c r="A276" s="491" t="n"/>
      <c r="B276" s="491" t="n"/>
      <c r="C276" s="491" t="n"/>
      <c r="D276" s="491" t="n"/>
      <c r="E276" s="491" t="n"/>
      <c r="F276" s="491" t="n"/>
      <c r="G276" s="491" t="n"/>
      <c r="H276" s="491" t="n"/>
      <c r="I276" s="491" t="n"/>
      <c r="J276" s="491" t="n"/>
      <c r="K276" s="491" t="n"/>
      <c r="L276" s="491" t="n"/>
      <c r="M276" s="491" t="n"/>
      <c r="N276" s="491" t="n"/>
      <c r="O276" s="491" t="n"/>
      <c r="P276" s="491" t="n"/>
      <c r="Q276" s="491" t="n"/>
      <c r="R276" s="491" t="n"/>
      <c r="S276" s="491" t="n"/>
      <c r="T276" s="491" t="n"/>
      <c r="U276" s="491" t="n"/>
      <c r="V276" s="491" t="n"/>
      <c r="W276" s="491" t="n"/>
      <c r="X276" s="491" t="n"/>
      <c r="Y276" s="491" t="n"/>
    </row>
    <row r="277" ht="12.75" customHeight="1" s="398">
      <c r="A277" s="491" t="n"/>
      <c r="B277" s="491" t="n"/>
      <c r="C277" s="491" t="n"/>
      <c r="D277" s="491" t="n"/>
      <c r="E277" s="491" t="n"/>
      <c r="F277" s="491" t="n"/>
      <c r="G277" s="491" t="n"/>
      <c r="H277" s="491" t="n"/>
      <c r="I277" s="491" t="n"/>
      <c r="J277" s="491" t="n"/>
      <c r="K277" s="491" t="n"/>
      <c r="L277" s="491" t="n"/>
      <c r="M277" s="491" t="n"/>
      <c r="N277" s="491" t="n"/>
      <c r="O277" s="491" t="n"/>
      <c r="P277" s="491" t="n"/>
      <c r="Q277" s="491" t="n"/>
      <c r="R277" s="491" t="n"/>
      <c r="S277" s="491" t="n"/>
      <c r="T277" s="491" t="n"/>
      <c r="U277" s="491" t="n"/>
      <c r="V277" s="491" t="n"/>
      <c r="W277" s="491" t="n"/>
      <c r="X277" s="491" t="n"/>
      <c r="Y277" s="491" t="n"/>
    </row>
    <row r="278" ht="12.75" customHeight="1" s="398">
      <c r="A278" s="491" t="n"/>
      <c r="B278" s="491" t="n"/>
      <c r="C278" s="491" t="n"/>
      <c r="D278" s="491" t="n"/>
      <c r="E278" s="491" t="n"/>
      <c r="F278" s="491" t="n"/>
      <c r="G278" s="491" t="n"/>
      <c r="H278" s="491" t="n"/>
      <c r="I278" s="491" t="n"/>
      <c r="J278" s="491" t="n"/>
      <c r="K278" s="491" t="n"/>
      <c r="L278" s="491" t="n"/>
      <c r="M278" s="491" t="n"/>
      <c r="N278" s="491" t="n"/>
      <c r="O278" s="491" t="n"/>
      <c r="P278" s="491" t="n"/>
      <c r="Q278" s="491" t="n"/>
      <c r="R278" s="491" t="n"/>
      <c r="S278" s="491" t="n"/>
      <c r="T278" s="491" t="n"/>
      <c r="U278" s="491" t="n"/>
      <c r="V278" s="491" t="n"/>
      <c r="W278" s="491" t="n"/>
      <c r="X278" s="491" t="n"/>
      <c r="Y278" s="491" t="n"/>
    </row>
    <row r="279" ht="12.75" customHeight="1" s="398">
      <c r="A279" s="491" t="n"/>
      <c r="B279" s="491" t="n"/>
      <c r="C279" s="491" t="n"/>
      <c r="D279" s="491" t="n"/>
      <c r="E279" s="491" t="n"/>
      <c r="F279" s="491" t="n"/>
      <c r="G279" s="491" t="n"/>
      <c r="H279" s="491" t="n"/>
      <c r="I279" s="491" t="n"/>
      <c r="J279" s="491" t="n"/>
      <c r="K279" s="491" t="n"/>
      <c r="L279" s="491" t="n"/>
      <c r="M279" s="491" t="n"/>
      <c r="N279" s="491" t="n"/>
      <c r="O279" s="491" t="n"/>
      <c r="P279" s="491" t="n"/>
      <c r="Q279" s="491" t="n"/>
      <c r="R279" s="491" t="n"/>
      <c r="S279" s="491" t="n"/>
      <c r="T279" s="491" t="n"/>
      <c r="U279" s="491" t="n"/>
      <c r="V279" s="491" t="n"/>
      <c r="W279" s="491" t="n"/>
      <c r="X279" s="491" t="n"/>
      <c r="Y279" s="491" t="n"/>
    </row>
    <row r="280" ht="12.75" customHeight="1" s="398">
      <c r="A280" s="491" t="n"/>
      <c r="B280" s="491" t="n"/>
      <c r="C280" s="491" t="n"/>
      <c r="D280" s="491" t="n"/>
      <c r="E280" s="491" t="n"/>
      <c r="F280" s="491" t="n"/>
      <c r="G280" s="491" t="n"/>
      <c r="H280" s="491" t="n"/>
      <c r="I280" s="491" t="n"/>
      <c r="J280" s="491" t="n"/>
      <c r="K280" s="491" t="n"/>
      <c r="L280" s="491" t="n"/>
      <c r="M280" s="491" t="n"/>
      <c r="N280" s="491" t="n"/>
      <c r="O280" s="491" t="n"/>
      <c r="P280" s="491" t="n"/>
      <c r="Q280" s="491" t="n"/>
      <c r="R280" s="491" t="n"/>
      <c r="S280" s="491" t="n"/>
      <c r="T280" s="491" t="n"/>
      <c r="U280" s="491" t="n"/>
      <c r="V280" s="491" t="n"/>
      <c r="W280" s="491" t="n"/>
      <c r="X280" s="491" t="n"/>
      <c r="Y280" s="491" t="n"/>
    </row>
    <row r="281" ht="12.75" customHeight="1" s="398">
      <c r="A281" s="491" t="n"/>
      <c r="B281" s="491" t="n"/>
      <c r="C281" s="491" t="n"/>
      <c r="D281" s="491" t="n"/>
      <c r="E281" s="491" t="n"/>
      <c r="F281" s="491" t="n"/>
      <c r="G281" s="491" t="n"/>
      <c r="H281" s="491" t="n"/>
      <c r="I281" s="491" t="n"/>
      <c r="J281" s="491" t="n"/>
      <c r="K281" s="491" t="n"/>
      <c r="L281" s="491" t="n"/>
      <c r="M281" s="491" t="n"/>
      <c r="N281" s="491" t="n"/>
      <c r="O281" s="491" t="n"/>
      <c r="P281" s="491" t="n"/>
      <c r="Q281" s="491" t="n"/>
      <c r="R281" s="491" t="n"/>
      <c r="S281" s="491" t="n"/>
      <c r="T281" s="491" t="n"/>
      <c r="U281" s="491" t="n"/>
      <c r="V281" s="491" t="n"/>
      <c r="W281" s="491" t="n"/>
      <c r="X281" s="491" t="n"/>
      <c r="Y281" s="491" t="n"/>
    </row>
    <row r="282" ht="12.75" customHeight="1" s="398">
      <c r="A282" s="491" t="n"/>
      <c r="B282" s="491" t="n"/>
      <c r="C282" s="491" t="n"/>
      <c r="D282" s="491" t="n"/>
      <c r="E282" s="491" t="n"/>
      <c r="F282" s="491" t="n"/>
      <c r="G282" s="491" t="n"/>
      <c r="H282" s="491" t="n"/>
      <c r="I282" s="491" t="n"/>
      <c r="J282" s="491" t="n"/>
      <c r="K282" s="491" t="n"/>
      <c r="L282" s="491" t="n"/>
      <c r="M282" s="491" t="n"/>
      <c r="N282" s="491" t="n"/>
      <c r="O282" s="491" t="n"/>
      <c r="P282" s="491" t="n"/>
      <c r="Q282" s="491" t="n"/>
      <c r="R282" s="491" t="n"/>
      <c r="S282" s="491" t="n"/>
      <c r="T282" s="491" t="n"/>
      <c r="U282" s="491" t="n"/>
      <c r="V282" s="491" t="n"/>
      <c r="W282" s="491" t="n"/>
      <c r="X282" s="491" t="n"/>
      <c r="Y282" s="491" t="n"/>
    </row>
    <row r="283" ht="12.75" customHeight="1" s="398">
      <c r="A283" s="491" t="n"/>
      <c r="B283" s="491" t="n"/>
      <c r="C283" s="491" t="n"/>
      <c r="D283" s="491" t="n"/>
      <c r="E283" s="491" t="n"/>
      <c r="F283" s="491" t="n"/>
      <c r="G283" s="491" t="n"/>
      <c r="H283" s="491" t="n"/>
      <c r="I283" s="491" t="n"/>
      <c r="J283" s="491" t="n"/>
      <c r="K283" s="491" t="n"/>
      <c r="L283" s="491" t="n"/>
      <c r="M283" s="491" t="n"/>
      <c r="N283" s="491" t="n"/>
      <c r="O283" s="491" t="n"/>
      <c r="P283" s="491" t="n"/>
      <c r="Q283" s="491" t="n"/>
      <c r="R283" s="491" t="n"/>
      <c r="S283" s="491" t="n"/>
      <c r="T283" s="491" t="n"/>
      <c r="U283" s="491" t="n"/>
      <c r="V283" s="491" t="n"/>
      <c r="W283" s="491" t="n"/>
      <c r="X283" s="491" t="n"/>
      <c r="Y283" s="491" t="n"/>
    </row>
    <row r="284" ht="12.75" customHeight="1" s="398">
      <c r="A284" s="491" t="n"/>
      <c r="B284" s="491" t="n"/>
      <c r="C284" s="491" t="n"/>
      <c r="D284" s="491" t="n"/>
      <c r="E284" s="491" t="n"/>
      <c r="F284" s="491" t="n"/>
      <c r="G284" s="491" t="n"/>
      <c r="H284" s="491" t="n"/>
      <c r="I284" s="491" t="n"/>
      <c r="J284" s="491" t="n"/>
      <c r="K284" s="491" t="n"/>
      <c r="L284" s="491" t="n"/>
      <c r="M284" s="491" t="n"/>
      <c r="N284" s="491" t="n"/>
      <c r="O284" s="491" t="n"/>
      <c r="P284" s="491" t="n"/>
      <c r="Q284" s="491" t="n"/>
      <c r="R284" s="491" t="n"/>
      <c r="S284" s="491" t="n"/>
      <c r="T284" s="491" t="n"/>
      <c r="U284" s="491" t="n"/>
      <c r="V284" s="491" t="n"/>
      <c r="W284" s="491" t="n"/>
      <c r="X284" s="491" t="n"/>
      <c r="Y284" s="491" t="n"/>
    </row>
    <row r="285" ht="12.75" customHeight="1" s="398">
      <c r="A285" s="491" t="n"/>
      <c r="B285" s="491" t="n"/>
      <c r="C285" s="491" t="n"/>
      <c r="D285" s="491" t="n"/>
      <c r="E285" s="491" t="n"/>
      <c r="F285" s="491" t="n"/>
      <c r="G285" s="491" t="n"/>
      <c r="H285" s="491" t="n"/>
      <c r="I285" s="491" t="n"/>
      <c r="J285" s="491" t="n"/>
      <c r="K285" s="491" t="n"/>
      <c r="L285" s="491" t="n"/>
      <c r="M285" s="491" t="n"/>
      <c r="N285" s="491" t="n"/>
      <c r="O285" s="491" t="n"/>
      <c r="P285" s="491" t="n"/>
      <c r="Q285" s="491" t="n"/>
      <c r="R285" s="491" t="n"/>
      <c r="S285" s="491" t="n"/>
      <c r="T285" s="491" t="n"/>
      <c r="U285" s="491" t="n"/>
      <c r="V285" s="491" t="n"/>
      <c r="W285" s="491" t="n"/>
      <c r="X285" s="491" t="n"/>
      <c r="Y285" s="491" t="n"/>
    </row>
    <row r="286" ht="12.75" customHeight="1" s="398">
      <c r="A286" s="491" t="n"/>
      <c r="B286" s="491" t="n"/>
      <c r="C286" s="491" t="n"/>
      <c r="D286" s="491" t="n"/>
      <c r="E286" s="491" t="n"/>
      <c r="F286" s="491" t="n"/>
      <c r="G286" s="491" t="n"/>
      <c r="H286" s="491" t="n"/>
      <c r="I286" s="491" t="n"/>
      <c r="J286" s="491" t="n"/>
      <c r="K286" s="491" t="n"/>
      <c r="L286" s="491" t="n"/>
      <c r="M286" s="491" t="n"/>
      <c r="N286" s="491" t="n"/>
      <c r="O286" s="491" t="n"/>
      <c r="P286" s="491" t="n"/>
      <c r="Q286" s="491" t="n"/>
      <c r="R286" s="491" t="n"/>
      <c r="S286" s="491" t="n"/>
      <c r="T286" s="491" t="n"/>
      <c r="U286" s="491" t="n"/>
      <c r="V286" s="491" t="n"/>
      <c r="W286" s="491" t="n"/>
      <c r="X286" s="491" t="n"/>
      <c r="Y286" s="491" t="n"/>
    </row>
    <row r="287" ht="12.75" customHeight="1" s="398">
      <c r="A287" s="491" t="n"/>
      <c r="B287" s="491" t="n"/>
      <c r="C287" s="491" t="n"/>
      <c r="D287" s="491" t="n"/>
      <c r="E287" s="491" t="n"/>
      <c r="F287" s="491" t="n"/>
      <c r="G287" s="491" t="n"/>
      <c r="H287" s="491" t="n"/>
      <c r="I287" s="491" t="n"/>
      <c r="J287" s="491" t="n"/>
      <c r="K287" s="491" t="n"/>
      <c r="L287" s="491" t="n"/>
      <c r="M287" s="491" t="n"/>
      <c r="N287" s="491" t="n"/>
      <c r="O287" s="491" t="n"/>
      <c r="P287" s="491" t="n"/>
      <c r="Q287" s="491" t="n"/>
      <c r="R287" s="491" t="n"/>
      <c r="S287" s="491" t="n"/>
      <c r="T287" s="491" t="n"/>
      <c r="U287" s="491" t="n"/>
      <c r="V287" s="491" t="n"/>
      <c r="W287" s="491" t="n"/>
      <c r="X287" s="491" t="n"/>
      <c r="Y287" s="491" t="n"/>
    </row>
    <row r="288" ht="12.75" customHeight="1" s="398">
      <c r="A288" s="491" t="n"/>
      <c r="B288" s="491" t="n"/>
      <c r="C288" s="491" t="n"/>
      <c r="D288" s="491" t="n"/>
      <c r="E288" s="491" t="n"/>
      <c r="F288" s="491" t="n"/>
      <c r="G288" s="491" t="n"/>
      <c r="H288" s="491" t="n"/>
      <c r="I288" s="491" t="n"/>
      <c r="J288" s="491" t="n"/>
      <c r="K288" s="491" t="n"/>
      <c r="L288" s="491" t="n"/>
      <c r="M288" s="491" t="n"/>
      <c r="N288" s="491" t="n"/>
      <c r="O288" s="491" t="n"/>
      <c r="P288" s="491" t="n"/>
      <c r="Q288" s="491" t="n"/>
      <c r="R288" s="491" t="n"/>
      <c r="S288" s="491" t="n"/>
      <c r="T288" s="491" t="n"/>
      <c r="U288" s="491" t="n"/>
      <c r="V288" s="491" t="n"/>
      <c r="W288" s="491" t="n"/>
      <c r="X288" s="491" t="n"/>
      <c r="Y288" s="491" t="n"/>
    </row>
    <row r="289" ht="12.75" customHeight="1" s="398">
      <c r="A289" s="491" t="n"/>
      <c r="B289" s="491" t="n"/>
      <c r="C289" s="491" t="n"/>
      <c r="D289" s="491" t="n"/>
      <c r="E289" s="491" t="n"/>
      <c r="F289" s="491" t="n"/>
      <c r="G289" s="491" t="n"/>
      <c r="H289" s="491" t="n"/>
      <c r="I289" s="491" t="n"/>
      <c r="J289" s="491" t="n"/>
      <c r="K289" s="491" t="n"/>
      <c r="L289" s="491" t="n"/>
      <c r="M289" s="491" t="n"/>
      <c r="N289" s="491" t="n"/>
      <c r="O289" s="491" t="n"/>
      <c r="P289" s="491" t="n"/>
      <c r="Q289" s="491" t="n"/>
      <c r="R289" s="491" t="n"/>
      <c r="S289" s="491" t="n"/>
      <c r="T289" s="491" t="n"/>
      <c r="U289" s="491" t="n"/>
      <c r="V289" s="491" t="n"/>
      <c r="W289" s="491" t="n"/>
      <c r="X289" s="491" t="n"/>
      <c r="Y289" s="491" t="n"/>
    </row>
    <row r="290" ht="12.75" customHeight="1" s="398">
      <c r="A290" s="491" t="n"/>
      <c r="B290" s="491" t="n"/>
      <c r="C290" s="491" t="n"/>
      <c r="D290" s="491" t="n"/>
      <c r="E290" s="491" t="n"/>
      <c r="F290" s="491" t="n"/>
      <c r="G290" s="491" t="n"/>
      <c r="H290" s="491" t="n"/>
      <c r="I290" s="491" t="n"/>
      <c r="J290" s="491" t="n"/>
      <c r="K290" s="491" t="n"/>
      <c r="L290" s="491" t="n"/>
      <c r="M290" s="491" t="n"/>
      <c r="N290" s="491" t="n"/>
      <c r="O290" s="491" t="n"/>
      <c r="P290" s="491" t="n"/>
      <c r="Q290" s="491" t="n"/>
      <c r="R290" s="491" t="n"/>
      <c r="S290" s="491" t="n"/>
      <c r="T290" s="491" t="n"/>
      <c r="U290" s="491" t="n"/>
      <c r="V290" s="491" t="n"/>
      <c r="W290" s="491" t="n"/>
      <c r="X290" s="491" t="n"/>
      <c r="Y290" s="491" t="n"/>
    </row>
    <row r="291" ht="12.75" customHeight="1" s="398">
      <c r="A291" s="491" t="n"/>
      <c r="B291" s="491" t="n"/>
      <c r="C291" s="491" t="n"/>
      <c r="D291" s="491" t="n"/>
      <c r="E291" s="491" t="n"/>
      <c r="F291" s="491" t="n"/>
      <c r="G291" s="491" t="n"/>
      <c r="H291" s="491" t="n"/>
      <c r="I291" s="491" t="n"/>
      <c r="J291" s="491" t="n"/>
      <c r="K291" s="491" t="n"/>
      <c r="L291" s="491" t="n"/>
      <c r="M291" s="491" t="n"/>
      <c r="N291" s="491" t="n"/>
      <c r="O291" s="491" t="n"/>
      <c r="P291" s="491" t="n"/>
      <c r="Q291" s="491" t="n"/>
      <c r="R291" s="491" t="n"/>
      <c r="S291" s="491" t="n"/>
      <c r="T291" s="491" t="n"/>
      <c r="U291" s="491" t="n"/>
      <c r="V291" s="491" t="n"/>
      <c r="W291" s="491" t="n"/>
      <c r="X291" s="491" t="n"/>
      <c r="Y291" s="491" t="n"/>
    </row>
    <row r="292" ht="12.75" customHeight="1" s="398">
      <c r="A292" s="491" t="n"/>
      <c r="B292" s="491" t="n"/>
      <c r="C292" s="491" t="n"/>
      <c r="D292" s="491" t="n"/>
      <c r="E292" s="491" t="n"/>
      <c r="F292" s="491" t="n"/>
      <c r="G292" s="491" t="n"/>
      <c r="H292" s="491" t="n"/>
      <c r="I292" s="491" t="n"/>
      <c r="J292" s="491" t="n"/>
      <c r="K292" s="491" t="n"/>
      <c r="L292" s="491" t="n"/>
      <c r="M292" s="491" t="n"/>
      <c r="N292" s="491" t="n"/>
      <c r="O292" s="491" t="n"/>
      <c r="P292" s="491" t="n"/>
      <c r="Q292" s="491" t="n"/>
      <c r="R292" s="491" t="n"/>
      <c r="S292" s="491" t="n"/>
      <c r="T292" s="491" t="n"/>
      <c r="U292" s="491" t="n"/>
      <c r="V292" s="491" t="n"/>
      <c r="W292" s="491" t="n"/>
      <c r="X292" s="491" t="n"/>
      <c r="Y292" s="491" t="n"/>
    </row>
    <row r="293" ht="12.75" customHeight="1" s="398">
      <c r="A293" s="491" t="n"/>
      <c r="B293" s="491" t="n"/>
      <c r="C293" s="491" t="n"/>
      <c r="D293" s="491" t="n"/>
      <c r="E293" s="491" t="n"/>
      <c r="F293" s="491" t="n"/>
      <c r="G293" s="491" t="n"/>
      <c r="H293" s="491" t="n"/>
      <c r="I293" s="491" t="n"/>
      <c r="J293" s="491" t="n"/>
      <c r="K293" s="491" t="n"/>
      <c r="L293" s="491" t="n"/>
      <c r="M293" s="491" t="n"/>
      <c r="N293" s="491" t="n"/>
      <c r="O293" s="491" t="n"/>
      <c r="P293" s="491" t="n"/>
      <c r="Q293" s="491" t="n"/>
      <c r="R293" s="491" t="n"/>
      <c r="S293" s="491" t="n"/>
      <c r="T293" s="491" t="n"/>
      <c r="U293" s="491" t="n"/>
      <c r="V293" s="491" t="n"/>
      <c r="W293" s="491" t="n"/>
      <c r="X293" s="491" t="n"/>
      <c r="Y293" s="491" t="n"/>
    </row>
    <row r="294" ht="12.75" customHeight="1" s="398">
      <c r="A294" s="491" t="n"/>
      <c r="B294" s="491" t="n"/>
      <c r="C294" s="491" t="n"/>
      <c r="D294" s="491" t="n"/>
      <c r="E294" s="491" t="n"/>
      <c r="F294" s="491" t="n"/>
      <c r="G294" s="491" t="n"/>
      <c r="H294" s="491" t="n"/>
      <c r="I294" s="491" t="n"/>
      <c r="J294" s="491" t="n"/>
      <c r="K294" s="491" t="n"/>
      <c r="L294" s="491" t="n"/>
      <c r="M294" s="491" t="n"/>
      <c r="N294" s="491" t="n"/>
      <c r="O294" s="491" t="n"/>
      <c r="P294" s="491" t="n"/>
      <c r="Q294" s="491" t="n"/>
      <c r="R294" s="491" t="n"/>
      <c r="S294" s="491" t="n"/>
      <c r="T294" s="491" t="n"/>
      <c r="U294" s="491" t="n"/>
      <c r="V294" s="491" t="n"/>
      <c r="W294" s="491" t="n"/>
      <c r="X294" s="491" t="n"/>
      <c r="Y294" s="491" t="n"/>
    </row>
    <row r="295" ht="12.75" customHeight="1" s="398">
      <c r="A295" s="491" t="n"/>
      <c r="B295" s="491" t="n"/>
      <c r="C295" s="491" t="n"/>
      <c r="D295" s="491" t="n"/>
      <c r="E295" s="491" t="n"/>
      <c r="F295" s="491" t="n"/>
      <c r="G295" s="491" t="n"/>
      <c r="H295" s="491" t="n"/>
      <c r="I295" s="491" t="n"/>
      <c r="J295" s="491" t="n"/>
      <c r="K295" s="491" t="n"/>
      <c r="L295" s="491" t="n"/>
      <c r="M295" s="491" t="n"/>
      <c r="N295" s="491" t="n"/>
      <c r="O295" s="491" t="n"/>
      <c r="P295" s="491" t="n"/>
      <c r="Q295" s="491" t="n"/>
      <c r="R295" s="491" t="n"/>
      <c r="S295" s="491" t="n"/>
      <c r="T295" s="491" t="n"/>
      <c r="U295" s="491" t="n"/>
      <c r="V295" s="491" t="n"/>
      <c r="W295" s="491" t="n"/>
      <c r="X295" s="491" t="n"/>
      <c r="Y295" s="491" t="n"/>
    </row>
    <row r="296" ht="12.75" customHeight="1" s="398">
      <c r="A296" s="491" t="n"/>
      <c r="B296" s="491" t="n"/>
      <c r="C296" s="491" t="n"/>
      <c r="D296" s="491" t="n"/>
      <c r="E296" s="491" t="n"/>
      <c r="F296" s="491" t="n"/>
      <c r="G296" s="491" t="n"/>
      <c r="H296" s="491" t="n"/>
      <c r="I296" s="491" t="n"/>
      <c r="J296" s="491" t="n"/>
      <c r="K296" s="491" t="n"/>
      <c r="L296" s="491" t="n"/>
      <c r="M296" s="491" t="n"/>
      <c r="N296" s="491" t="n"/>
      <c r="O296" s="491" t="n"/>
      <c r="P296" s="491" t="n"/>
      <c r="Q296" s="491" t="n"/>
      <c r="R296" s="491" t="n"/>
      <c r="S296" s="491" t="n"/>
      <c r="T296" s="491" t="n"/>
      <c r="U296" s="491" t="n"/>
      <c r="V296" s="491" t="n"/>
      <c r="W296" s="491" t="n"/>
      <c r="X296" s="491" t="n"/>
      <c r="Y296" s="491" t="n"/>
    </row>
    <row r="297" ht="12.75" customHeight="1" s="398">
      <c r="A297" s="491" t="n"/>
      <c r="B297" s="491" t="n"/>
      <c r="C297" s="491" t="n"/>
      <c r="D297" s="491" t="n"/>
      <c r="E297" s="491" t="n"/>
      <c r="F297" s="491" t="n"/>
      <c r="G297" s="491" t="n"/>
      <c r="H297" s="491" t="n"/>
      <c r="I297" s="491" t="n"/>
      <c r="J297" s="491" t="n"/>
      <c r="K297" s="491" t="n"/>
      <c r="L297" s="491" t="n"/>
      <c r="M297" s="491" t="n"/>
      <c r="N297" s="491" t="n"/>
      <c r="O297" s="491" t="n"/>
      <c r="P297" s="491" t="n"/>
      <c r="Q297" s="491" t="n"/>
      <c r="R297" s="491" t="n"/>
      <c r="S297" s="491" t="n"/>
      <c r="T297" s="491" t="n"/>
      <c r="U297" s="491" t="n"/>
      <c r="V297" s="491" t="n"/>
      <c r="W297" s="491" t="n"/>
      <c r="X297" s="491" t="n"/>
      <c r="Y297" s="491" t="n"/>
    </row>
    <row r="298" ht="12.75" customHeight="1" s="398">
      <c r="A298" s="491" t="n"/>
      <c r="B298" s="491" t="n"/>
      <c r="C298" s="491" t="n"/>
      <c r="D298" s="491" t="n"/>
      <c r="E298" s="491" t="n"/>
      <c r="F298" s="491" t="n"/>
      <c r="G298" s="491" t="n"/>
      <c r="H298" s="491" t="n"/>
      <c r="I298" s="491" t="n"/>
      <c r="J298" s="491" t="n"/>
      <c r="K298" s="491" t="n"/>
      <c r="L298" s="491" t="n"/>
      <c r="M298" s="491" t="n"/>
      <c r="N298" s="491" t="n"/>
      <c r="O298" s="491" t="n"/>
      <c r="P298" s="491" t="n"/>
      <c r="Q298" s="491" t="n"/>
      <c r="R298" s="491" t="n"/>
      <c r="S298" s="491" t="n"/>
      <c r="T298" s="491" t="n"/>
      <c r="U298" s="491" t="n"/>
      <c r="V298" s="491" t="n"/>
      <c r="W298" s="491" t="n"/>
      <c r="X298" s="491" t="n"/>
      <c r="Y298" s="491" t="n"/>
    </row>
    <row r="299" ht="12.75" customHeight="1" s="398">
      <c r="A299" s="491" t="n"/>
      <c r="B299" s="491" t="n"/>
      <c r="C299" s="491" t="n"/>
      <c r="D299" s="491" t="n"/>
      <c r="E299" s="491" t="n"/>
      <c r="F299" s="491" t="n"/>
      <c r="G299" s="491" t="n"/>
      <c r="H299" s="491" t="n"/>
      <c r="I299" s="491" t="n"/>
      <c r="J299" s="491" t="n"/>
      <c r="K299" s="491" t="n"/>
      <c r="L299" s="491" t="n"/>
      <c r="M299" s="491" t="n"/>
      <c r="N299" s="491" t="n"/>
      <c r="O299" s="491" t="n"/>
      <c r="P299" s="491" t="n"/>
      <c r="Q299" s="491" t="n"/>
      <c r="R299" s="491" t="n"/>
      <c r="S299" s="491" t="n"/>
      <c r="T299" s="491" t="n"/>
      <c r="U299" s="491" t="n"/>
      <c r="V299" s="491" t="n"/>
      <c r="W299" s="491" t="n"/>
      <c r="X299" s="491" t="n"/>
      <c r="Y299" s="491" t="n"/>
    </row>
    <row r="300" ht="12.75" customHeight="1" s="398">
      <c r="A300" s="491" t="n"/>
      <c r="B300" s="491" t="n"/>
      <c r="C300" s="491" t="n"/>
      <c r="D300" s="491" t="n"/>
      <c r="E300" s="491" t="n"/>
      <c r="F300" s="491" t="n"/>
      <c r="G300" s="491" t="n"/>
      <c r="H300" s="491" t="n"/>
      <c r="I300" s="491" t="n"/>
      <c r="J300" s="491" t="n"/>
      <c r="K300" s="491" t="n"/>
      <c r="L300" s="491" t="n"/>
      <c r="M300" s="491" t="n"/>
      <c r="N300" s="491" t="n"/>
      <c r="O300" s="491" t="n"/>
      <c r="P300" s="491" t="n"/>
      <c r="Q300" s="491" t="n"/>
      <c r="R300" s="491" t="n"/>
      <c r="S300" s="491" t="n"/>
      <c r="T300" s="491" t="n"/>
      <c r="U300" s="491" t="n"/>
      <c r="V300" s="491" t="n"/>
      <c r="W300" s="491" t="n"/>
      <c r="X300" s="491" t="n"/>
      <c r="Y300" s="491" t="n"/>
    </row>
    <row r="301" ht="12.75" customHeight="1" s="398">
      <c r="A301" s="491" t="n"/>
      <c r="B301" s="491" t="n"/>
      <c r="C301" s="491" t="n"/>
      <c r="D301" s="491" t="n"/>
      <c r="E301" s="491" t="n"/>
      <c r="F301" s="491" t="n"/>
      <c r="G301" s="491" t="n"/>
      <c r="H301" s="491" t="n"/>
      <c r="I301" s="491" t="n"/>
      <c r="J301" s="491" t="n"/>
      <c r="K301" s="491" t="n"/>
      <c r="L301" s="491" t="n"/>
      <c r="M301" s="491" t="n"/>
      <c r="N301" s="491" t="n"/>
      <c r="O301" s="491" t="n"/>
      <c r="P301" s="491" t="n"/>
      <c r="Q301" s="491" t="n"/>
      <c r="R301" s="491" t="n"/>
      <c r="S301" s="491" t="n"/>
      <c r="T301" s="491" t="n"/>
      <c r="U301" s="491" t="n"/>
      <c r="V301" s="491" t="n"/>
      <c r="W301" s="491" t="n"/>
      <c r="X301" s="491" t="n"/>
      <c r="Y301" s="491" t="n"/>
    </row>
    <row r="302" ht="12.75" customHeight="1" s="398">
      <c r="A302" s="491" t="n"/>
      <c r="B302" s="491" t="n"/>
      <c r="C302" s="491" t="n"/>
      <c r="D302" s="491" t="n"/>
      <c r="E302" s="491" t="n"/>
      <c r="F302" s="491" t="n"/>
      <c r="G302" s="491" t="n"/>
      <c r="H302" s="491" t="n"/>
      <c r="I302" s="491" t="n"/>
      <c r="J302" s="491" t="n"/>
      <c r="K302" s="491" t="n"/>
      <c r="L302" s="491" t="n"/>
      <c r="M302" s="491" t="n"/>
      <c r="N302" s="491" t="n"/>
      <c r="O302" s="491" t="n"/>
      <c r="P302" s="491" t="n"/>
      <c r="Q302" s="491" t="n"/>
      <c r="R302" s="491" t="n"/>
      <c r="S302" s="491" t="n"/>
      <c r="T302" s="491" t="n"/>
      <c r="U302" s="491" t="n"/>
      <c r="V302" s="491" t="n"/>
      <c r="W302" s="491" t="n"/>
      <c r="X302" s="491" t="n"/>
      <c r="Y302" s="491" t="n"/>
    </row>
    <row r="303" ht="12.75" customHeight="1" s="398">
      <c r="A303" s="491" t="n"/>
      <c r="B303" s="491" t="n"/>
      <c r="C303" s="491" t="n"/>
      <c r="D303" s="491" t="n"/>
      <c r="E303" s="491" t="n"/>
      <c r="F303" s="491" t="n"/>
      <c r="G303" s="491" t="n"/>
      <c r="H303" s="491" t="n"/>
      <c r="I303" s="491" t="n"/>
      <c r="J303" s="491" t="n"/>
      <c r="K303" s="491" t="n"/>
      <c r="L303" s="491" t="n"/>
      <c r="M303" s="491" t="n"/>
      <c r="N303" s="491" t="n"/>
      <c r="O303" s="491" t="n"/>
      <c r="P303" s="491" t="n"/>
      <c r="Q303" s="491" t="n"/>
      <c r="R303" s="491" t="n"/>
      <c r="S303" s="491" t="n"/>
      <c r="T303" s="491" t="n"/>
      <c r="U303" s="491" t="n"/>
      <c r="V303" s="491" t="n"/>
      <c r="W303" s="491" t="n"/>
      <c r="X303" s="491" t="n"/>
      <c r="Y303" s="491" t="n"/>
    </row>
    <row r="304" ht="12.75" customHeight="1" s="398">
      <c r="A304" s="491" t="n"/>
      <c r="B304" s="491" t="n"/>
      <c r="C304" s="491" t="n"/>
      <c r="D304" s="491" t="n"/>
      <c r="E304" s="491" t="n"/>
      <c r="F304" s="491" t="n"/>
      <c r="G304" s="491" t="n"/>
      <c r="H304" s="491" t="n"/>
      <c r="I304" s="491" t="n"/>
      <c r="J304" s="491" t="n"/>
      <c r="K304" s="491" t="n"/>
      <c r="L304" s="491" t="n"/>
      <c r="M304" s="491" t="n"/>
      <c r="N304" s="491" t="n"/>
      <c r="O304" s="491" t="n"/>
      <c r="P304" s="491" t="n"/>
      <c r="Q304" s="491" t="n"/>
      <c r="R304" s="491" t="n"/>
      <c r="S304" s="491" t="n"/>
      <c r="T304" s="491" t="n"/>
      <c r="U304" s="491" t="n"/>
      <c r="V304" s="491" t="n"/>
      <c r="W304" s="491" t="n"/>
      <c r="X304" s="491" t="n"/>
      <c r="Y304" s="491" t="n"/>
    </row>
    <row r="305" ht="12.75" customHeight="1" s="398">
      <c r="A305" s="491" t="n"/>
      <c r="B305" s="491" t="n"/>
      <c r="C305" s="491" t="n"/>
      <c r="D305" s="491" t="n"/>
      <c r="E305" s="491" t="n"/>
      <c r="F305" s="491" t="n"/>
      <c r="G305" s="491" t="n"/>
      <c r="H305" s="491" t="n"/>
      <c r="I305" s="491" t="n"/>
      <c r="J305" s="491" t="n"/>
      <c r="K305" s="491" t="n"/>
      <c r="L305" s="491" t="n"/>
      <c r="M305" s="491" t="n"/>
      <c r="N305" s="491" t="n"/>
      <c r="O305" s="491" t="n"/>
      <c r="P305" s="491" t="n"/>
      <c r="Q305" s="491" t="n"/>
      <c r="R305" s="491" t="n"/>
      <c r="S305" s="491" t="n"/>
      <c r="T305" s="491" t="n"/>
      <c r="U305" s="491" t="n"/>
      <c r="V305" s="491" t="n"/>
      <c r="W305" s="491" t="n"/>
      <c r="X305" s="491" t="n"/>
      <c r="Y305" s="491" t="n"/>
    </row>
    <row r="306" ht="12.75" customHeight="1" s="398">
      <c r="A306" s="491" t="n"/>
      <c r="B306" s="491" t="n"/>
      <c r="C306" s="491" t="n"/>
      <c r="D306" s="491" t="n"/>
      <c r="E306" s="491" t="n"/>
      <c r="F306" s="491" t="n"/>
      <c r="G306" s="491" t="n"/>
      <c r="H306" s="491" t="n"/>
      <c r="I306" s="491" t="n"/>
      <c r="J306" s="491" t="n"/>
      <c r="K306" s="491" t="n"/>
      <c r="L306" s="491" t="n"/>
      <c r="M306" s="491" t="n"/>
      <c r="N306" s="491" t="n"/>
      <c r="O306" s="491" t="n"/>
      <c r="P306" s="491" t="n"/>
      <c r="Q306" s="491" t="n"/>
      <c r="R306" s="491" t="n"/>
      <c r="S306" s="491" t="n"/>
      <c r="T306" s="491" t="n"/>
      <c r="U306" s="491" t="n"/>
      <c r="V306" s="491" t="n"/>
      <c r="W306" s="491" t="n"/>
      <c r="X306" s="491" t="n"/>
      <c r="Y306" s="491" t="n"/>
    </row>
    <row r="307" ht="12.75" customHeight="1" s="398">
      <c r="A307" s="491" t="n"/>
      <c r="B307" s="491" t="n"/>
      <c r="C307" s="491" t="n"/>
      <c r="D307" s="491" t="n"/>
      <c r="E307" s="491" t="n"/>
      <c r="F307" s="491" t="n"/>
      <c r="G307" s="491" t="n"/>
      <c r="H307" s="491" t="n"/>
      <c r="I307" s="491" t="n"/>
      <c r="J307" s="491" t="n"/>
      <c r="K307" s="491" t="n"/>
      <c r="L307" s="491" t="n"/>
      <c r="M307" s="491" t="n"/>
      <c r="N307" s="491" t="n"/>
      <c r="O307" s="491" t="n"/>
      <c r="P307" s="491" t="n"/>
      <c r="Q307" s="491" t="n"/>
      <c r="R307" s="491" t="n"/>
      <c r="S307" s="491" t="n"/>
      <c r="T307" s="491" t="n"/>
      <c r="U307" s="491" t="n"/>
      <c r="V307" s="491" t="n"/>
      <c r="W307" s="491" t="n"/>
      <c r="X307" s="491" t="n"/>
      <c r="Y307" s="491" t="n"/>
    </row>
    <row r="308" ht="12.75" customHeight="1" s="398">
      <c r="A308" s="491" t="n"/>
      <c r="B308" s="491" t="n"/>
      <c r="C308" s="491" t="n"/>
      <c r="D308" s="491" t="n"/>
      <c r="E308" s="491" t="n"/>
      <c r="F308" s="491" t="n"/>
      <c r="G308" s="491" t="n"/>
      <c r="H308" s="491" t="n"/>
      <c r="I308" s="491" t="n"/>
      <c r="J308" s="491" t="n"/>
      <c r="K308" s="491" t="n"/>
      <c r="L308" s="491" t="n"/>
      <c r="M308" s="491" t="n"/>
      <c r="N308" s="491" t="n"/>
      <c r="O308" s="491" t="n"/>
      <c r="P308" s="491" t="n"/>
      <c r="Q308" s="491" t="n"/>
      <c r="R308" s="491" t="n"/>
      <c r="S308" s="491" t="n"/>
      <c r="T308" s="491" t="n"/>
      <c r="U308" s="491" t="n"/>
      <c r="V308" s="491" t="n"/>
      <c r="W308" s="491" t="n"/>
      <c r="X308" s="491" t="n"/>
      <c r="Y308" s="491" t="n"/>
    </row>
    <row r="309" ht="12.75" customHeight="1" s="398">
      <c r="A309" s="491" t="n"/>
      <c r="B309" s="491" t="n"/>
      <c r="C309" s="491" t="n"/>
      <c r="D309" s="491" t="n"/>
      <c r="E309" s="491" t="n"/>
      <c r="F309" s="491" t="n"/>
      <c r="G309" s="491" t="n"/>
      <c r="H309" s="491" t="n"/>
      <c r="I309" s="491" t="n"/>
      <c r="J309" s="491" t="n"/>
      <c r="K309" s="491" t="n"/>
      <c r="L309" s="491" t="n"/>
      <c r="M309" s="491" t="n"/>
      <c r="N309" s="491" t="n"/>
      <c r="O309" s="491" t="n"/>
      <c r="P309" s="491" t="n"/>
      <c r="Q309" s="491" t="n"/>
      <c r="R309" s="491" t="n"/>
      <c r="S309" s="491" t="n"/>
      <c r="T309" s="491" t="n"/>
      <c r="U309" s="491" t="n"/>
      <c r="V309" s="491" t="n"/>
      <c r="W309" s="491" t="n"/>
      <c r="X309" s="491" t="n"/>
      <c r="Y309" s="491" t="n"/>
    </row>
    <row r="310" ht="12.75" customHeight="1" s="398">
      <c r="A310" s="491" t="n"/>
      <c r="B310" s="491" t="n"/>
      <c r="C310" s="491" t="n"/>
      <c r="D310" s="491" t="n"/>
      <c r="E310" s="491" t="n"/>
      <c r="F310" s="491" t="n"/>
      <c r="G310" s="491" t="n"/>
      <c r="H310" s="491" t="n"/>
      <c r="I310" s="491" t="n"/>
      <c r="J310" s="491" t="n"/>
      <c r="K310" s="491" t="n"/>
      <c r="L310" s="491" t="n"/>
      <c r="M310" s="491" t="n"/>
      <c r="N310" s="491" t="n"/>
      <c r="O310" s="491" t="n"/>
      <c r="P310" s="491" t="n"/>
      <c r="Q310" s="491" t="n"/>
      <c r="R310" s="491" t="n"/>
      <c r="S310" s="491" t="n"/>
      <c r="T310" s="491" t="n"/>
      <c r="U310" s="491" t="n"/>
      <c r="V310" s="491" t="n"/>
      <c r="W310" s="491" t="n"/>
      <c r="X310" s="491" t="n"/>
      <c r="Y310" s="491" t="n"/>
    </row>
    <row r="311" ht="12.75" customHeight="1" s="398">
      <c r="A311" s="491" t="n"/>
      <c r="B311" s="491" t="n"/>
      <c r="C311" s="491" t="n"/>
      <c r="D311" s="491" t="n"/>
      <c r="E311" s="491" t="n"/>
      <c r="F311" s="491" t="n"/>
      <c r="G311" s="491" t="n"/>
      <c r="H311" s="491" t="n"/>
      <c r="I311" s="491" t="n"/>
      <c r="J311" s="491" t="n"/>
      <c r="K311" s="491" t="n"/>
      <c r="L311" s="491" t="n"/>
      <c r="M311" s="491" t="n"/>
      <c r="N311" s="491" t="n"/>
      <c r="O311" s="491" t="n"/>
      <c r="P311" s="491" t="n"/>
      <c r="Q311" s="491" t="n"/>
      <c r="R311" s="491" t="n"/>
      <c r="S311" s="491" t="n"/>
      <c r="T311" s="491" t="n"/>
      <c r="U311" s="491" t="n"/>
      <c r="V311" s="491" t="n"/>
      <c r="W311" s="491" t="n"/>
      <c r="X311" s="491" t="n"/>
      <c r="Y311" s="491" t="n"/>
    </row>
    <row r="312" ht="12.75" customHeight="1" s="398">
      <c r="A312" s="491" t="n"/>
      <c r="B312" s="491" t="n"/>
      <c r="C312" s="491" t="n"/>
      <c r="D312" s="491" t="n"/>
      <c r="E312" s="491" t="n"/>
      <c r="F312" s="491" t="n"/>
      <c r="G312" s="491" t="n"/>
      <c r="H312" s="491" t="n"/>
      <c r="I312" s="491" t="n"/>
      <c r="J312" s="491" t="n"/>
      <c r="K312" s="491" t="n"/>
      <c r="L312" s="491" t="n"/>
      <c r="M312" s="491" t="n"/>
      <c r="N312" s="491" t="n"/>
      <c r="O312" s="491" t="n"/>
      <c r="P312" s="491" t="n"/>
      <c r="Q312" s="491" t="n"/>
      <c r="R312" s="491" t="n"/>
      <c r="S312" s="491" t="n"/>
      <c r="T312" s="491" t="n"/>
      <c r="U312" s="491" t="n"/>
      <c r="V312" s="491" t="n"/>
      <c r="W312" s="491" t="n"/>
      <c r="X312" s="491" t="n"/>
      <c r="Y312" s="491" t="n"/>
    </row>
    <row r="313" ht="12.75" customHeight="1" s="398">
      <c r="A313" s="491" t="n"/>
      <c r="B313" s="491" t="n"/>
      <c r="C313" s="491" t="n"/>
      <c r="D313" s="491" t="n"/>
      <c r="E313" s="491" t="n"/>
      <c r="F313" s="491" t="n"/>
      <c r="G313" s="491" t="n"/>
      <c r="H313" s="491" t="n"/>
      <c r="I313" s="491" t="n"/>
      <c r="J313" s="491" t="n"/>
      <c r="K313" s="491" t="n"/>
      <c r="L313" s="491" t="n"/>
      <c r="M313" s="491" t="n"/>
      <c r="N313" s="491" t="n"/>
      <c r="O313" s="491" t="n"/>
      <c r="P313" s="491" t="n"/>
      <c r="Q313" s="491" t="n"/>
      <c r="R313" s="491" t="n"/>
      <c r="S313" s="491" t="n"/>
      <c r="T313" s="491" t="n"/>
      <c r="U313" s="491" t="n"/>
      <c r="V313" s="491" t="n"/>
      <c r="W313" s="491" t="n"/>
      <c r="X313" s="491" t="n"/>
      <c r="Y313" s="491" t="n"/>
    </row>
    <row r="314" ht="12.75" customHeight="1" s="398">
      <c r="A314" s="491" t="n"/>
      <c r="B314" s="491" t="n"/>
      <c r="C314" s="491" t="n"/>
      <c r="D314" s="491" t="n"/>
      <c r="E314" s="491" t="n"/>
      <c r="F314" s="491" t="n"/>
      <c r="G314" s="491" t="n"/>
      <c r="H314" s="491" t="n"/>
      <c r="I314" s="491" t="n"/>
      <c r="J314" s="491" t="n"/>
      <c r="K314" s="491" t="n"/>
      <c r="L314" s="491" t="n"/>
      <c r="M314" s="491" t="n"/>
      <c r="N314" s="491" t="n"/>
      <c r="O314" s="491" t="n"/>
      <c r="P314" s="491" t="n"/>
      <c r="Q314" s="491" t="n"/>
      <c r="R314" s="491" t="n"/>
      <c r="S314" s="491" t="n"/>
      <c r="T314" s="491" t="n"/>
      <c r="U314" s="491" t="n"/>
      <c r="V314" s="491" t="n"/>
      <c r="W314" s="491" t="n"/>
      <c r="X314" s="491" t="n"/>
      <c r="Y314" s="491" t="n"/>
    </row>
    <row r="315" ht="12.75" customHeight="1" s="398">
      <c r="A315" s="491" t="n"/>
      <c r="B315" s="491" t="n"/>
      <c r="C315" s="491" t="n"/>
      <c r="D315" s="491" t="n"/>
      <c r="E315" s="491" t="n"/>
      <c r="F315" s="491" t="n"/>
      <c r="G315" s="491" t="n"/>
      <c r="H315" s="491" t="n"/>
      <c r="I315" s="491" t="n"/>
      <c r="J315" s="491" t="n"/>
      <c r="K315" s="491" t="n"/>
      <c r="L315" s="491" t="n"/>
      <c r="M315" s="491" t="n"/>
      <c r="N315" s="491" t="n"/>
      <c r="O315" s="491" t="n"/>
      <c r="P315" s="491" t="n"/>
      <c r="Q315" s="491" t="n"/>
      <c r="R315" s="491" t="n"/>
      <c r="S315" s="491" t="n"/>
      <c r="T315" s="491" t="n"/>
      <c r="U315" s="491" t="n"/>
      <c r="V315" s="491" t="n"/>
      <c r="W315" s="491" t="n"/>
      <c r="X315" s="491" t="n"/>
      <c r="Y315" s="491" t="n"/>
    </row>
    <row r="316" ht="12.75" customHeight="1" s="398">
      <c r="A316" s="491" t="n"/>
      <c r="B316" s="491" t="n"/>
      <c r="C316" s="491" t="n"/>
      <c r="D316" s="491" t="n"/>
      <c r="E316" s="491" t="n"/>
      <c r="F316" s="491" t="n"/>
      <c r="G316" s="491" t="n"/>
      <c r="H316" s="491" t="n"/>
      <c r="I316" s="491" t="n"/>
      <c r="J316" s="491" t="n"/>
      <c r="K316" s="491" t="n"/>
      <c r="L316" s="491" t="n"/>
      <c r="M316" s="491" t="n"/>
      <c r="N316" s="491" t="n"/>
      <c r="O316" s="491" t="n"/>
      <c r="P316" s="491" t="n"/>
      <c r="Q316" s="491" t="n"/>
      <c r="R316" s="491" t="n"/>
      <c r="S316" s="491" t="n"/>
      <c r="T316" s="491" t="n"/>
      <c r="U316" s="491" t="n"/>
      <c r="V316" s="491" t="n"/>
      <c r="W316" s="491" t="n"/>
      <c r="X316" s="491" t="n"/>
      <c r="Y316" s="491" t="n"/>
    </row>
    <row r="317" ht="12.75" customHeight="1" s="398">
      <c r="A317" s="491" t="n"/>
      <c r="B317" s="491" t="n"/>
      <c r="C317" s="491" t="n"/>
      <c r="D317" s="491" t="n"/>
      <c r="E317" s="491" t="n"/>
      <c r="F317" s="491" t="n"/>
      <c r="G317" s="491" t="n"/>
      <c r="H317" s="491" t="n"/>
      <c r="I317" s="491" t="n"/>
      <c r="J317" s="491" t="n"/>
      <c r="K317" s="491" t="n"/>
      <c r="L317" s="491" t="n"/>
      <c r="M317" s="491" t="n"/>
      <c r="N317" s="491" t="n"/>
      <c r="O317" s="491" t="n"/>
      <c r="P317" s="491" t="n"/>
      <c r="Q317" s="491" t="n"/>
      <c r="R317" s="491" t="n"/>
      <c r="S317" s="491" t="n"/>
      <c r="T317" s="491" t="n"/>
      <c r="U317" s="491" t="n"/>
      <c r="V317" s="491" t="n"/>
      <c r="W317" s="491" t="n"/>
      <c r="X317" s="491" t="n"/>
      <c r="Y317" s="491" t="n"/>
    </row>
    <row r="318" ht="12.75" customHeight="1" s="398">
      <c r="A318" s="491" t="n"/>
      <c r="B318" s="491" t="n"/>
      <c r="C318" s="491" t="n"/>
      <c r="D318" s="491" t="n"/>
      <c r="E318" s="491" t="n"/>
      <c r="F318" s="491" t="n"/>
      <c r="G318" s="491" t="n"/>
      <c r="H318" s="491" t="n"/>
      <c r="I318" s="491" t="n"/>
      <c r="J318" s="491" t="n"/>
      <c r="K318" s="491" t="n"/>
      <c r="L318" s="491" t="n"/>
      <c r="M318" s="491" t="n"/>
      <c r="N318" s="491" t="n"/>
      <c r="O318" s="491" t="n"/>
      <c r="P318" s="491" t="n"/>
      <c r="Q318" s="491" t="n"/>
      <c r="R318" s="491" t="n"/>
      <c r="S318" s="491" t="n"/>
      <c r="T318" s="491" t="n"/>
      <c r="U318" s="491" t="n"/>
      <c r="V318" s="491" t="n"/>
      <c r="W318" s="491" t="n"/>
      <c r="X318" s="491" t="n"/>
      <c r="Y318" s="491" t="n"/>
    </row>
    <row r="319" ht="12.75" customHeight="1" s="398">
      <c r="A319" s="491" t="n"/>
      <c r="B319" s="491" t="n"/>
      <c r="C319" s="491" t="n"/>
      <c r="D319" s="491" t="n"/>
      <c r="E319" s="491" t="n"/>
      <c r="F319" s="491" t="n"/>
      <c r="G319" s="491" t="n"/>
      <c r="H319" s="491" t="n"/>
      <c r="I319" s="491" t="n"/>
      <c r="J319" s="491" t="n"/>
      <c r="K319" s="491" t="n"/>
      <c r="L319" s="491" t="n"/>
      <c r="M319" s="491" t="n"/>
      <c r="N319" s="491" t="n"/>
      <c r="O319" s="491" t="n"/>
      <c r="P319" s="491" t="n"/>
      <c r="Q319" s="491" t="n"/>
      <c r="R319" s="491" t="n"/>
      <c r="S319" s="491" t="n"/>
      <c r="T319" s="491" t="n"/>
      <c r="U319" s="491" t="n"/>
      <c r="V319" s="491" t="n"/>
      <c r="W319" s="491" t="n"/>
      <c r="X319" s="491" t="n"/>
      <c r="Y319" s="491" t="n"/>
    </row>
    <row r="320" ht="12.75" customHeight="1" s="398">
      <c r="A320" s="491" t="n"/>
      <c r="B320" s="491" t="n"/>
      <c r="C320" s="491" t="n"/>
      <c r="D320" s="491" t="n"/>
      <c r="E320" s="491" t="n"/>
      <c r="F320" s="491" t="n"/>
      <c r="G320" s="491" t="n"/>
      <c r="H320" s="491" t="n"/>
      <c r="I320" s="491" t="n"/>
      <c r="J320" s="491" t="n"/>
      <c r="K320" s="491" t="n"/>
      <c r="L320" s="491" t="n"/>
      <c r="M320" s="491" t="n"/>
      <c r="N320" s="491" t="n"/>
      <c r="O320" s="491" t="n"/>
      <c r="P320" s="491" t="n"/>
      <c r="Q320" s="491" t="n"/>
      <c r="R320" s="491" t="n"/>
      <c r="S320" s="491" t="n"/>
      <c r="T320" s="491" t="n"/>
      <c r="U320" s="491" t="n"/>
      <c r="V320" s="491" t="n"/>
      <c r="W320" s="491" t="n"/>
      <c r="X320" s="491" t="n"/>
      <c r="Y320" s="491" t="n"/>
    </row>
    <row r="321" ht="12.75" customHeight="1" s="398">
      <c r="A321" s="491" t="n"/>
      <c r="B321" s="491" t="n"/>
      <c r="C321" s="491" t="n"/>
      <c r="D321" s="491" t="n"/>
      <c r="E321" s="491" t="n"/>
      <c r="F321" s="491" t="n"/>
      <c r="G321" s="491" t="n"/>
      <c r="H321" s="491" t="n"/>
      <c r="I321" s="491" t="n"/>
      <c r="J321" s="491" t="n"/>
      <c r="K321" s="491" t="n"/>
      <c r="L321" s="491" t="n"/>
      <c r="M321" s="491" t="n"/>
      <c r="N321" s="491" t="n"/>
      <c r="O321" s="491" t="n"/>
      <c r="P321" s="491" t="n"/>
      <c r="Q321" s="491" t="n"/>
      <c r="R321" s="491" t="n"/>
      <c r="S321" s="491" t="n"/>
      <c r="T321" s="491" t="n"/>
      <c r="U321" s="491" t="n"/>
      <c r="V321" s="491" t="n"/>
      <c r="W321" s="491" t="n"/>
      <c r="X321" s="491" t="n"/>
      <c r="Y321" s="491" t="n"/>
    </row>
    <row r="322" ht="12.75" customHeight="1" s="398">
      <c r="A322" s="491" t="n"/>
      <c r="B322" s="491" t="n"/>
      <c r="C322" s="491" t="n"/>
      <c r="D322" s="491" t="n"/>
      <c r="E322" s="491" t="n"/>
      <c r="F322" s="491" t="n"/>
      <c r="G322" s="491" t="n"/>
      <c r="H322" s="491" t="n"/>
      <c r="I322" s="491" t="n"/>
      <c r="J322" s="491" t="n"/>
      <c r="K322" s="491" t="n"/>
      <c r="L322" s="491" t="n"/>
      <c r="M322" s="491" t="n"/>
      <c r="N322" s="491" t="n"/>
      <c r="O322" s="491" t="n"/>
      <c r="P322" s="491" t="n"/>
      <c r="Q322" s="491" t="n"/>
      <c r="R322" s="491" t="n"/>
      <c r="S322" s="491" t="n"/>
      <c r="T322" s="491" t="n"/>
      <c r="U322" s="491" t="n"/>
      <c r="V322" s="491" t="n"/>
      <c r="W322" s="491" t="n"/>
      <c r="X322" s="491" t="n"/>
      <c r="Y322" s="491" t="n"/>
    </row>
    <row r="323" ht="12.75" customHeight="1" s="398">
      <c r="A323" s="491" t="n"/>
      <c r="B323" s="491" t="n"/>
      <c r="C323" s="491" t="n"/>
      <c r="D323" s="491" t="n"/>
      <c r="E323" s="491" t="n"/>
      <c r="F323" s="491" t="n"/>
      <c r="G323" s="491" t="n"/>
      <c r="H323" s="491" t="n"/>
      <c r="I323" s="491" t="n"/>
      <c r="J323" s="491" t="n"/>
      <c r="K323" s="491" t="n"/>
      <c r="L323" s="491" t="n"/>
      <c r="M323" s="491" t="n"/>
      <c r="N323" s="491" t="n"/>
      <c r="O323" s="491" t="n"/>
      <c r="P323" s="491" t="n"/>
      <c r="Q323" s="491" t="n"/>
      <c r="R323" s="491" t="n"/>
      <c r="S323" s="491" t="n"/>
      <c r="T323" s="491" t="n"/>
      <c r="U323" s="491" t="n"/>
      <c r="V323" s="491" t="n"/>
      <c r="W323" s="491" t="n"/>
      <c r="X323" s="491" t="n"/>
      <c r="Y323" s="491" t="n"/>
    </row>
    <row r="324" ht="12.75" customHeight="1" s="398">
      <c r="A324" s="491" t="n"/>
      <c r="B324" s="491" t="n"/>
      <c r="C324" s="491" t="n"/>
      <c r="D324" s="491" t="n"/>
      <c r="E324" s="491" t="n"/>
      <c r="F324" s="491" t="n"/>
      <c r="G324" s="491" t="n"/>
      <c r="H324" s="491" t="n"/>
      <c r="I324" s="491" t="n"/>
      <c r="J324" s="491" t="n"/>
      <c r="K324" s="491" t="n"/>
      <c r="L324" s="491" t="n"/>
      <c r="M324" s="491" t="n"/>
      <c r="N324" s="491" t="n"/>
      <c r="O324" s="491" t="n"/>
      <c r="P324" s="491" t="n"/>
      <c r="Q324" s="491" t="n"/>
      <c r="R324" s="491" t="n"/>
      <c r="S324" s="491" t="n"/>
      <c r="T324" s="491" t="n"/>
      <c r="U324" s="491" t="n"/>
      <c r="V324" s="491" t="n"/>
      <c r="W324" s="491" t="n"/>
      <c r="X324" s="491" t="n"/>
      <c r="Y324" s="491" t="n"/>
    </row>
    <row r="325" ht="12.75" customHeight="1" s="398">
      <c r="A325" s="491" t="n"/>
      <c r="B325" s="491" t="n"/>
      <c r="C325" s="491" t="n"/>
      <c r="D325" s="491" t="n"/>
      <c r="E325" s="491" t="n"/>
      <c r="F325" s="491" t="n"/>
      <c r="G325" s="491" t="n"/>
      <c r="H325" s="491" t="n"/>
      <c r="I325" s="491" t="n"/>
      <c r="J325" s="491" t="n"/>
      <c r="K325" s="491" t="n"/>
      <c r="L325" s="491" t="n"/>
      <c r="M325" s="491" t="n"/>
      <c r="N325" s="491" t="n"/>
      <c r="O325" s="491" t="n"/>
      <c r="P325" s="491" t="n"/>
      <c r="Q325" s="491" t="n"/>
      <c r="R325" s="491" t="n"/>
      <c r="S325" s="491" t="n"/>
      <c r="T325" s="491" t="n"/>
      <c r="U325" s="491" t="n"/>
      <c r="V325" s="491" t="n"/>
      <c r="W325" s="491" t="n"/>
      <c r="X325" s="491" t="n"/>
      <c r="Y325" s="491" t="n"/>
    </row>
    <row r="326" ht="12.75" customHeight="1" s="398">
      <c r="A326" s="491" t="n"/>
      <c r="B326" s="491" t="n"/>
      <c r="C326" s="491" t="n"/>
      <c r="D326" s="491" t="n"/>
      <c r="E326" s="491" t="n"/>
      <c r="F326" s="491" t="n"/>
      <c r="G326" s="491" t="n"/>
      <c r="H326" s="491" t="n"/>
      <c r="I326" s="491" t="n"/>
      <c r="J326" s="491" t="n"/>
      <c r="K326" s="491" t="n"/>
      <c r="L326" s="491" t="n"/>
      <c r="M326" s="491" t="n"/>
      <c r="N326" s="491" t="n"/>
      <c r="O326" s="491" t="n"/>
      <c r="P326" s="491" t="n"/>
      <c r="Q326" s="491" t="n"/>
      <c r="R326" s="491" t="n"/>
      <c r="S326" s="491" t="n"/>
      <c r="T326" s="491" t="n"/>
      <c r="U326" s="491" t="n"/>
      <c r="V326" s="491" t="n"/>
      <c r="W326" s="491" t="n"/>
      <c r="X326" s="491" t="n"/>
      <c r="Y326" s="491" t="n"/>
    </row>
    <row r="327" ht="12.75" customHeight="1" s="398">
      <c r="A327" s="491" t="n"/>
      <c r="B327" s="491" t="n"/>
      <c r="C327" s="491" t="n"/>
      <c r="D327" s="491" t="n"/>
      <c r="E327" s="491" t="n"/>
      <c r="F327" s="491" t="n"/>
      <c r="G327" s="491" t="n"/>
      <c r="H327" s="491" t="n"/>
      <c r="I327" s="491" t="n"/>
      <c r="J327" s="491" t="n"/>
      <c r="K327" s="491" t="n"/>
      <c r="L327" s="491" t="n"/>
      <c r="M327" s="491" t="n"/>
      <c r="N327" s="491" t="n"/>
      <c r="O327" s="491" t="n"/>
      <c r="P327" s="491" t="n"/>
      <c r="Q327" s="491" t="n"/>
      <c r="R327" s="491" t="n"/>
      <c r="S327" s="491" t="n"/>
      <c r="T327" s="491" t="n"/>
      <c r="U327" s="491" t="n"/>
      <c r="V327" s="491" t="n"/>
      <c r="W327" s="491" t="n"/>
      <c r="X327" s="491" t="n"/>
      <c r="Y327" s="491" t="n"/>
    </row>
    <row r="328" ht="12.75" customHeight="1" s="398">
      <c r="A328" s="491" t="n"/>
      <c r="B328" s="491" t="n"/>
      <c r="C328" s="491" t="n"/>
      <c r="D328" s="491" t="n"/>
      <c r="E328" s="491" t="n"/>
      <c r="F328" s="491" t="n"/>
      <c r="G328" s="491" t="n"/>
      <c r="H328" s="491" t="n"/>
      <c r="I328" s="491" t="n"/>
      <c r="J328" s="491" t="n"/>
      <c r="K328" s="491" t="n"/>
      <c r="L328" s="491" t="n"/>
      <c r="M328" s="491" t="n"/>
      <c r="N328" s="491" t="n"/>
      <c r="O328" s="491" t="n"/>
      <c r="P328" s="491" t="n"/>
      <c r="Q328" s="491" t="n"/>
      <c r="R328" s="491" t="n"/>
      <c r="S328" s="491" t="n"/>
      <c r="T328" s="491" t="n"/>
      <c r="U328" s="491" t="n"/>
      <c r="V328" s="491" t="n"/>
      <c r="W328" s="491" t="n"/>
      <c r="X328" s="491" t="n"/>
      <c r="Y328" s="491" t="n"/>
    </row>
    <row r="329" ht="12.75" customHeight="1" s="398">
      <c r="A329" s="491" t="n"/>
      <c r="B329" s="491" t="n"/>
      <c r="C329" s="491" t="n"/>
      <c r="D329" s="491" t="n"/>
      <c r="E329" s="491" t="n"/>
      <c r="F329" s="491" t="n"/>
      <c r="G329" s="491" t="n"/>
      <c r="H329" s="491" t="n"/>
      <c r="I329" s="491" t="n"/>
      <c r="J329" s="491" t="n"/>
      <c r="K329" s="491" t="n"/>
      <c r="L329" s="491" t="n"/>
      <c r="M329" s="491" t="n"/>
      <c r="N329" s="491" t="n"/>
      <c r="O329" s="491" t="n"/>
      <c r="P329" s="491" t="n"/>
      <c r="Q329" s="491" t="n"/>
      <c r="R329" s="491" t="n"/>
      <c r="S329" s="491" t="n"/>
      <c r="T329" s="491" t="n"/>
      <c r="U329" s="491" t="n"/>
      <c r="V329" s="491" t="n"/>
      <c r="W329" s="491" t="n"/>
      <c r="X329" s="491" t="n"/>
      <c r="Y329" s="491" t="n"/>
    </row>
    <row r="330" ht="12.75" customHeight="1" s="398">
      <c r="A330" s="491" t="n"/>
      <c r="B330" s="491" t="n"/>
      <c r="C330" s="491" t="n"/>
      <c r="D330" s="491" t="n"/>
      <c r="E330" s="491" t="n"/>
      <c r="F330" s="491" t="n"/>
      <c r="G330" s="491" t="n"/>
      <c r="H330" s="491" t="n"/>
      <c r="I330" s="491" t="n"/>
      <c r="J330" s="491" t="n"/>
      <c r="K330" s="491" t="n"/>
      <c r="L330" s="491" t="n"/>
      <c r="M330" s="491" t="n"/>
      <c r="N330" s="491" t="n"/>
      <c r="O330" s="491" t="n"/>
      <c r="P330" s="491" t="n"/>
      <c r="Q330" s="491" t="n"/>
      <c r="R330" s="491" t="n"/>
      <c r="S330" s="491" t="n"/>
      <c r="T330" s="491" t="n"/>
      <c r="U330" s="491" t="n"/>
      <c r="V330" s="491" t="n"/>
      <c r="W330" s="491" t="n"/>
      <c r="X330" s="491" t="n"/>
      <c r="Y330" s="491" t="n"/>
    </row>
    <row r="331" ht="12.75" customHeight="1" s="398">
      <c r="A331" s="491" t="n"/>
      <c r="B331" s="491" t="n"/>
      <c r="C331" s="491" t="n"/>
      <c r="D331" s="491" t="n"/>
      <c r="E331" s="491" t="n"/>
      <c r="F331" s="491" t="n"/>
      <c r="G331" s="491" t="n"/>
      <c r="H331" s="491" t="n"/>
      <c r="I331" s="491" t="n"/>
      <c r="J331" s="491" t="n"/>
      <c r="K331" s="491" t="n"/>
      <c r="L331" s="491" t="n"/>
      <c r="M331" s="491" t="n"/>
      <c r="N331" s="491" t="n"/>
      <c r="O331" s="491" t="n"/>
      <c r="P331" s="491" t="n"/>
      <c r="Q331" s="491" t="n"/>
      <c r="R331" s="491" t="n"/>
      <c r="S331" s="491" t="n"/>
      <c r="T331" s="491" t="n"/>
      <c r="U331" s="491" t="n"/>
      <c r="V331" s="491" t="n"/>
      <c r="W331" s="491" t="n"/>
      <c r="X331" s="491" t="n"/>
      <c r="Y331" s="491" t="n"/>
    </row>
    <row r="332" ht="12.75" customHeight="1" s="398">
      <c r="A332" s="491" t="n"/>
      <c r="B332" s="491" t="n"/>
      <c r="C332" s="491" t="n"/>
      <c r="D332" s="491" t="n"/>
      <c r="E332" s="491" t="n"/>
      <c r="F332" s="491" t="n"/>
      <c r="G332" s="491" t="n"/>
      <c r="H332" s="491" t="n"/>
      <c r="I332" s="491" t="n"/>
      <c r="J332" s="491" t="n"/>
      <c r="K332" s="491" t="n"/>
      <c r="L332" s="491" t="n"/>
      <c r="M332" s="491" t="n"/>
      <c r="N332" s="491" t="n"/>
      <c r="O332" s="491" t="n"/>
      <c r="P332" s="491" t="n"/>
      <c r="Q332" s="491" t="n"/>
      <c r="R332" s="491" t="n"/>
      <c r="S332" s="491" t="n"/>
      <c r="T332" s="491" t="n"/>
      <c r="U332" s="491" t="n"/>
      <c r="V332" s="491" t="n"/>
      <c r="W332" s="491" t="n"/>
      <c r="X332" s="491" t="n"/>
      <c r="Y332" s="491" t="n"/>
    </row>
    <row r="333" ht="12.75" customHeight="1" s="398">
      <c r="A333" s="491" t="n"/>
      <c r="B333" s="491" t="n"/>
      <c r="C333" s="491" t="n"/>
      <c r="D333" s="491" t="n"/>
      <c r="E333" s="491" t="n"/>
      <c r="F333" s="491" t="n"/>
      <c r="G333" s="491" t="n"/>
      <c r="H333" s="491" t="n"/>
      <c r="I333" s="491" t="n"/>
      <c r="J333" s="491" t="n"/>
      <c r="K333" s="491" t="n"/>
      <c r="L333" s="491" t="n"/>
      <c r="M333" s="491" t="n"/>
      <c r="N333" s="491" t="n"/>
      <c r="O333" s="491" t="n"/>
      <c r="P333" s="491" t="n"/>
      <c r="Q333" s="491" t="n"/>
      <c r="R333" s="491" t="n"/>
      <c r="S333" s="491" t="n"/>
      <c r="T333" s="491" t="n"/>
      <c r="U333" s="491" t="n"/>
      <c r="V333" s="491" t="n"/>
      <c r="W333" s="491" t="n"/>
      <c r="X333" s="491" t="n"/>
      <c r="Y333" s="491" t="n"/>
    </row>
    <row r="334" ht="12.75" customHeight="1" s="398">
      <c r="A334" s="491" t="n"/>
      <c r="B334" s="491" t="n"/>
      <c r="C334" s="491" t="n"/>
      <c r="D334" s="491" t="n"/>
      <c r="E334" s="491" t="n"/>
      <c r="F334" s="491" t="n"/>
      <c r="G334" s="491" t="n"/>
      <c r="H334" s="491" t="n"/>
      <c r="I334" s="491" t="n"/>
      <c r="J334" s="491" t="n"/>
      <c r="K334" s="491" t="n"/>
      <c r="L334" s="491" t="n"/>
      <c r="M334" s="491" t="n"/>
      <c r="N334" s="491" t="n"/>
      <c r="O334" s="491" t="n"/>
      <c r="P334" s="491" t="n"/>
      <c r="Q334" s="491" t="n"/>
      <c r="R334" s="491" t="n"/>
      <c r="S334" s="491" t="n"/>
      <c r="T334" s="491" t="n"/>
      <c r="U334" s="491" t="n"/>
      <c r="V334" s="491" t="n"/>
      <c r="W334" s="491" t="n"/>
      <c r="X334" s="491" t="n"/>
      <c r="Y334" s="491" t="n"/>
    </row>
    <row r="335" ht="12.75" customHeight="1" s="398">
      <c r="A335" s="491" t="n"/>
      <c r="B335" s="491" t="n"/>
      <c r="C335" s="491" t="n"/>
      <c r="D335" s="491" t="n"/>
      <c r="E335" s="491" t="n"/>
      <c r="F335" s="491" t="n"/>
      <c r="G335" s="491" t="n"/>
      <c r="H335" s="491" t="n"/>
      <c r="I335" s="491" t="n"/>
      <c r="J335" s="491" t="n"/>
      <c r="K335" s="491" t="n"/>
      <c r="L335" s="491" t="n"/>
      <c r="M335" s="491" t="n"/>
      <c r="N335" s="491" t="n"/>
      <c r="O335" s="491" t="n"/>
      <c r="P335" s="491" t="n"/>
      <c r="Q335" s="491" t="n"/>
      <c r="R335" s="491" t="n"/>
      <c r="S335" s="491" t="n"/>
      <c r="T335" s="491" t="n"/>
      <c r="U335" s="491" t="n"/>
      <c r="V335" s="491" t="n"/>
      <c r="W335" s="491" t="n"/>
      <c r="X335" s="491" t="n"/>
      <c r="Y335" s="491" t="n"/>
    </row>
    <row r="336" ht="12.75" customHeight="1" s="398">
      <c r="A336" s="491" t="n"/>
      <c r="B336" s="491" t="n"/>
      <c r="C336" s="491" t="n"/>
      <c r="D336" s="491" t="n"/>
      <c r="E336" s="491" t="n"/>
      <c r="F336" s="491" t="n"/>
      <c r="G336" s="491" t="n"/>
      <c r="H336" s="491" t="n"/>
      <c r="I336" s="491" t="n"/>
      <c r="J336" s="491" t="n"/>
      <c r="K336" s="491" t="n"/>
      <c r="L336" s="491" t="n"/>
      <c r="M336" s="491" t="n"/>
      <c r="N336" s="491" t="n"/>
      <c r="O336" s="491" t="n"/>
      <c r="P336" s="491" t="n"/>
      <c r="Q336" s="491" t="n"/>
      <c r="R336" s="491" t="n"/>
      <c r="S336" s="491" t="n"/>
      <c r="T336" s="491" t="n"/>
      <c r="U336" s="491" t="n"/>
      <c r="V336" s="491" t="n"/>
      <c r="W336" s="491" t="n"/>
      <c r="X336" s="491" t="n"/>
      <c r="Y336" s="491" t="n"/>
    </row>
    <row r="337" ht="12.75" customHeight="1" s="398">
      <c r="A337" s="491" t="n"/>
      <c r="B337" s="491" t="n"/>
      <c r="C337" s="491" t="n"/>
      <c r="D337" s="491" t="n"/>
      <c r="E337" s="491" t="n"/>
      <c r="F337" s="491" t="n"/>
      <c r="G337" s="491" t="n"/>
      <c r="H337" s="491" t="n"/>
      <c r="I337" s="491" t="n"/>
      <c r="J337" s="491" t="n"/>
      <c r="K337" s="491" t="n"/>
      <c r="L337" s="491" t="n"/>
      <c r="M337" s="491" t="n"/>
      <c r="N337" s="491" t="n"/>
      <c r="O337" s="491" t="n"/>
      <c r="P337" s="491" t="n"/>
      <c r="Q337" s="491" t="n"/>
      <c r="R337" s="491" t="n"/>
      <c r="S337" s="491" t="n"/>
      <c r="T337" s="491" t="n"/>
      <c r="U337" s="491" t="n"/>
      <c r="V337" s="491" t="n"/>
      <c r="W337" s="491" t="n"/>
      <c r="X337" s="491" t="n"/>
      <c r="Y337" s="491" t="n"/>
    </row>
    <row r="338" ht="12.75" customHeight="1" s="398">
      <c r="A338" s="491" t="n"/>
      <c r="B338" s="491" t="n"/>
      <c r="C338" s="491" t="n"/>
      <c r="D338" s="491" t="n"/>
      <c r="E338" s="491" t="n"/>
      <c r="F338" s="491" t="n"/>
      <c r="G338" s="491" t="n"/>
      <c r="H338" s="491" t="n"/>
      <c r="I338" s="491" t="n"/>
      <c r="J338" s="491" t="n"/>
      <c r="K338" s="491" t="n"/>
      <c r="L338" s="491" t="n"/>
      <c r="M338" s="491" t="n"/>
      <c r="N338" s="491" t="n"/>
      <c r="O338" s="491" t="n"/>
      <c r="P338" s="491" t="n"/>
      <c r="Q338" s="491" t="n"/>
      <c r="R338" s="491" t="n"/>
      <c r="S338" s="491" t="n"/>
      <c r="T338" s="491" t="n"/>
      <c r="U338" s="491" t="n"/>
      <c r="V338" s="491" t="n"/>
      <c r="W338" s="491" t="n"/>
      <c r="X338" s="491" t="n"/>
      <c r="Y338" s="491" t="n"/>
    </row>
    <row r="339" ht="12.75" customHeight="1" s="398">
      <c r="A339" s="491" t="n"/>
      <c r="B339" s="491" t="n"/>
      <c r="C339" s="491" t="n"/>
      <c r="D339" s="491" t="n"/>
      <c r="E339" s="491" t="n"/>
      <c r="F339" s="491" t="n"/>
      <c r="G339" s="491" t="n"/>
      <c r="H339" s="491" t="n"/>
      <c r="I339" s="491" t="n"/>
      <c r="J339" s="491" t="n"/>
      <c r="K339" s="491" t="n"/>
      <c r="L339" s="491" t="n"/>
      <c r="M339" s="491" t="n"/>
      <c r="N339" s="491" t="n"/>
      <c r="O339" s="491" t="n"/>
      <c r="P339" s="491" t="n"/>
      <c r="Q339" s="491" t="n"/>
      <c r="R339" s="491" t="n"/>
      <c r="S339" s="491" t="n"/>
      <c r="T339" s="491" t="n"/>
      <c r="U339" s="491" t="n"/>
      <c r="V339" s="491" t="n"/>
      <c r="W339" s="491" t="n"/>
      <c r="X339" s="491" t="n"/>
      <c r="Y339" s="491" t="n"/>
    </row>
    <row r="340" ht="12.75" customHeight="1" s="398">
      <c r="A340" s="491" t="n"/>
      <c r="B340" s="491" t="n"/>
      <c r="C340" s="491" t="n"/>
      <c r="D340" s="491" t="n"/>
      <c r="E340" s="491" t="n"/>
      <c r="F340" s="491" t="n"/>
      <c r="G340" s="491" t="n"/>
      <c r="H340" s="491" t="n"/>
      <c r="I340" s="491" t="n"/>
      <c r="J340" s="491" t="n"/>
      <c r="K340" s="491" t="n"/>
      <c r="L340" s="491" t="n"/>
      <c r="M340" s="491" t="n"/>
      <c r="N340" s="491" t="n"/>
      <c r="O340" s="491" t="n"/>
      <c r="P340" s="491" t="n"/>
      <c r="Q340" s="491" t="n"/>
      <c r="R340" s="491" t="n"/>
      <c r="S340" s="491" t="n"/>
      <c r="T340" s="491" t="n"/>
      <c r="U340" s="491" t="n"/>
      <c r="V340" s="491" t="n"/>
      <c r="W340" s="491" t="n"/>
      <c r="X340" s="491" t="n"/>
      <c r="Y340" s="491" t="n"/>
    </row>
    <row r="341" ht="12.75" customHeight="1" s="398">
      <c r="A341" s="491" t="n"/>
      <c r="B341" s="491" t="n"/>
      <c r="C341" s="491" t="n"/>
      <c r="D341" s="491" t="n"/>
      <c r="E341" s="491" t="n"/>
      <c r="F341" s="491" t="n"/>
      <c r="G341" s="491" t="n"/>
      <c r="H341" s="491" t="n"/>
      <c r="I341" s="491" t="n"/>
      <c r="J341" s="491" t="n"/>
      <c r="K341" s="491" t="n"/>
      <c r="L341" s="491" t="n"/>
      <c r="M341" s="491" t="n"/>
      <c r="N341" s="491" t="n"/>
      <c r="O341" s="491" t="n"/>
      <c r="P341" s="491" t="n"/>
      <c r="Q341" s="491" t="n"/>
      <c r="R341" s="491" t="n"/>
      <c r="S341" s="491" t="n"/>
      <c r="T341" s="491" t="n"/>
      <c r="U341" s="491" t="n"/>
      <c r="V341" s="491" t="n"/>
      <c r="W341" s="491" t="n"/>
      <c r="X341" s="491" t="n"/>
      <c r="Y341" s="491" t="n"/>
    </row>
    <row r="342" ht="12.75" customHeight="1" s="398">
      <c r="A342" s="491" t="n"/>
      <c r="B342" s="491" t="n"/>
      <c r="C342" s="491" t="n"/>
      <c r="D342" s="491" t="n"/>
      <c r="E342" s="491" t="n"/>
      <c r="F342" s="491" t="n"/>
      <c r="G342" s="491" t="n"/>
      <c r="H342" s="491" t="n"/>
      <c r="I342" s="491" t="n"/>
      <c r="J342" s="491" t="n"/>
      <c r="K342" s="491" t="n"/>
      <c r="L342" s="491" t="n"/>
      <c r="M342" s="491" t="n"/>
      <c r="N342" s="491" t="n"/>
      <c r="O342" s="491" t="n"/>
      <c r="P342" s="491" t="n"/>
      <c r="Q342" s="491" t="n"/>
      <c r="R342" s="491" t="n"/>
      <c r="S342" s="491" t="n"/>
      <c r="T342" s="491" t="n"/>
      <c r="U342" s="491" t="n"/>
      <c r="V342" s="491" t="n"/>
      <c r="W342" s="491" t="n"/>
      <c r="X342" s="491" t="n"/>
      <c r="Y342" s="491" t="n"/>
    </row>
    <row r="343" ht="12.75" customHeight="1" s="398">
      <c r="A343" s="491" t="n"/>
      <c r="B343" s="491" t="n"/>
      <c r="C343" s="491" t="n"/>
      <c r="D343" s="491" t="n"/>
      <c r="E343" s="491" t="n"/>
      <c r="F343" s="491" t="n"/>
      <c r="G343" s="491" t="n"/>
      <c r="H343" s="491" t="n"/>
      <c r="I343" s="491" t="n"/>
      <c r="J343" s="491" t="n"/>
      <c r="K343" s="491" t="n"/>
      <c r="L343" s="491" t="n"/>
      <c r="M343" s="491" t="n"/>
      <c r="N343" s="491" t="n"/>
      <c r="O343" s="491" t="n"/>
      <c r="P343" s="491" t="n"/>
      <c r="Q343" s="491" t="n"/>
      <c r="R343" s="491" t="n"/>
      <c r="S343" s="491" t="n"/>
      <c r="T343" s="491" t="n"/>
      <c r="U343" s="491" t="n"/>
      <c r="V343" s="491" t="n"/>
      <c r="W343" s="491" t="n"/>
      <c r="X343" s="491" t="n"/>
      <c r="Y343" s="491" t="n"/>
    </row>
    <row r="344" ht="12.75" customHeight="1" s="398">
      <c r="A344" s="491" t="n"/>
      <c r="B344" s="491" t="n"/>
      <c r="C344" s="491" t="n"/>
      <c r="D344" s="491" t="n"/>
      <c r="E344" s="491" t="n"/>
      <c r="F344" s="491" t="n"/>
      <c r="G344" s="491" t="n"/>
      <c r="H344" s="491" t="n"/>
      <c r="I344" s="491" t="n"/>
      <c r="J344" s="491" t="n"/>
      <c r="K344" s="491" t="n"/>
      <c r="L344" s="491" t="n"/>
      <c r="M344" s="491" t="n"/>
      <c r="N344" s="491" t="n"/>
      <c r="O344" s="491" t="n"/>
      <c r="P344" s="491" t="n"/>
      <c r="Q344" s="491" t="n"/>
      <c r="R344" s="491" t="n"/>
      <c r="S344" s="491" t="n"/>
      <c r="T344" s="491" t="n"/>
      <c r="U344" s="491" t="n"/>
      <c r="V344" s="491" t="n"/>
      <c r="W344" s="491" t="n"/>
      <c r="X344" s="491" t="n"/>
      <c r="Y344" s="491" t="n"/>
    </row>
    <row r="345" ht="12.75" customHeight="1" s="398">
      <c r="A345" s="491" t="n"/>
      <c r="B345" s="491" t="n"/>
      <c r="C345" s="491" t="n"/>
      <c r="D345" s="491" t="n"/>
      <c r="E345" s="491" t="n"/>
      <c r="F345" s="491" t="n"/>
      <c r="G345" s="491" t="n"/>
      <c r="H345" s="491" t="n"/>
      <c r="I345" s="491" t="n"/>
      <c r="J345" s="491" t="n"/>
      <c r="K345" s="491" t="n"/>
      <c r="L345" s="491" t="n"/>
      <c r="M345" s="491" t="n"/>
      <c r="N345" s="491" t="n"/>
      <c r="O345" s="491" t="n"/>
      <c r="P345" s="491" t="n"/>
      <c r="Q345" s="491" t="n"/>
      <c r="R345" s="491" t="n"/>
      <c r="S345" s="491" t="n"/>
      <c r="T345" s="491" t="n"/>
      <c r="U345" s="491" t="n"/>
      <c r="V345" s="491" t="n"/>
      <c r="W345" s="491" t="n"/>
      <c r="X345" s="491" t="n"/>
      <c r="Y345" s="491" t="n"/>
    </row>
    <row r="346" ht="12.75" customHeight="1" s="398">
      <c r="A346" s="491" t="n"/>
      <c r="B346" s="491" t="n"/>
      <c r="C346" s="491" t="n"/>
      <c r="D346" s="491" t="n"/>
      <c r="E346" s="491" t="n"/>
      <c r="F346" s="491" t="n"/>
      <c r="G346" s="491" t="n"/>
      <c r="H346" s="491" t="n"/>
      <c r="I346" s="491" t="n"/>
      <c r="J346" s="491" t="n"/>
      <c r="K346" s="491" t="n"/>
      <c r="L346" s="491" t="n"/>
      <c r="M346" s="491" t="n"/>
      <c r="N346" s="491" t="n"/>
      <c r="O346" s="491" t="n"/>
      <c r="P346" s="491" t="n"/>
      <c r="Q346" s="491" t="n"/>
      <c r="R346" s="491" t="n"/>
      <c r="S346" s="491" t="n"/>
      <c r="T346" s="491" t="n"/>
      <c r="U346" s="491" t="n"/>
      <c r="V346" s="491" t="n"/>
      <c r="W346" s="491" t="n"/>
      <c r="X346" s="491" t="n"/>
      <c r="Y346" s="491" t="n"/>
    </row>
    <row r="347" ht="12.75" customHeight="1" s="398">
      <c r="A347" s="491" t="n"/>
      <c r="B347" s="491" t="n"/>
      <c r="C347" s="491" t="n"/>
      <c r="D347" s="491" t="n"/>
      <c r="E347" s="491" t="n"/>
      <c r="F347" s="491" t="n"/>
      <c r="G347" s="491" t="n"/>
      <c r="H347" s="491" t="n"/>
      <c r="I347" s="491" t="n"/>
      <c r="J347" s="491" t="n"/>
      <c r="K347" s="491" t="n"/>
      <c r="L347" s="491" t="n"/>
      <c r="M347" s="491" t="n"/>
      <c r="N347" s="491" t="n"/>
      <c r="O347" s="491" t="n"/>
      <c r="P347" s="491" t="n"/>
      <c r="Q347" s="491" t="n"/>
      <c r="R347" s="491" t="n"/>
      <c r="S347" s="491" t="n"/>
      <c r="T347" s="491" t="n"/>
      <c r="U347" s="491" t="n"/>
      <c r="V347" s="491" t="n"/>
      <c r="W347" s="491" t="n"/>
      <c r="X347" s="491" t="n"/>
      <c r="Y347" s="491" t="n"/>
    </row>
    <row r="348" ht="12.75" customHeight="1" s="398">
      <c r="A348" s="491" t="n"/>
      <c r="B348" s="491" t="n"/>
      <c r="C348" s="491" t="n"/>
      <c r="D348" s="491" t="n"/>
      <c r="E348" s="491" t="n"/>
      <c r="F348" s="491" t="n"/>
      <c r="G348" s="491" t="n"/>
      <c r="H348" s="491" t="n"/>
      <c r="I348" s="491" t="n"/>
      <c r="J348" s="491" t="n"/>
      <c r="K348" s="491" t="n"/>
      <c r="L348" s="491" t="n"/>
      <c r="M348" s="491" t="n"/>
      <c r="N348" s="491" t="n"/>
      <c r="O348" s="491" t="n"/>
      <c r="P348" s="491" t="n"/>
      <c r="Q348" s="491" t="n"/>
      <c r="R348" s="491" t="n"/>
      <c r="S348" s="491" t="n"/>
      <c r="T348" s="491" t="n"/>
      <c r="U348" s="491" t="n"/>
      <c r="V348" s="491" t="n"/>
      <c r="W348" s="491" t="n"/>
      <c r="X348" s="491" t="n"/>
      <c r="Y348" s="491" t="n"/>
    </row>
    <row r="349" ht="12.75" customHeight="1" s="398">
      <c r="A349" s="491" t="n"/>
      <c r="B349" s="491" t="n"/>
      <c r="C349" s="491" t="n"/>
      <c r="D349" s="491" t="n"/>
      <c r="E349" s="491" t="n"/>
      <c r="F349" s="491" t="n"/>
      <c r="G349" s="491" t="n"/>
      <c r="H349" s="491" t="n"/>
      <c r="I349" s="491" t="n"/>
      <c r="J349" s="491" t="n"/>
      <c r="K349" s="491" t="n"/>
      <c r="L349" s="491" t="n"/>
      <c r="M349" s="491" t="n"/>
      <c r="N349" s="491" t="n"/>
      <c r="O349" s="491" t="n"/>
      <c r="P349" s="491" t="n"/>
      <c r="Q349" s="491" t="n"/>
      <c r="R349" s="491" t="n"/>
      <c r="S349" s="491" t="n"/>
      <c r="T349" s="491" t="n"/>
      <c r="U349" s="491" t="n"/>
      <c r="V349" s="491" t="n"/>
      <c r="W349" s="491" t="n"/>
      <c r="X349" s="491" t="n"/>
      <c r="Y349" s="491" t="n"/>
    </row>
    <row r="350" ht="12.75" customHeight="1" s="398">
      <c r="A350" s="491" t="n"/>
      <c r="B350" s="491" t="n"/>
      <c r="C350" s="491" t="n"/>
      <c r="D350" s="491" t="n"/>
      <c r="E350" s="491" t="n"/>
      <c r="F350" s="491" t="n"/>
      <c r="G350" s="491" t="n"/>
      <c r="H350" s="491" t="n"/>
      <c r="I350" s="491" t="n"/>
      <c r="J350" s="491" t="n"/>
      <c r="K350" s="491" t="n"/>
      <c r="L350" s="491" t="n"/>
      <c r="M350" s="491" t="n"/>
      <c r="N350" s="491" t="n"/>
      <c r="O350" s="491" t="n"/>
      <c r="P350" s="491" t="n"/>
      <c r="Q350" s="491" t="n"/>
      <c r="R350" s="491" t="n"/>
      <c r="S350" s="491" t="n"/>
      <c r="T350" s="491" t="n"/>
      <c r="U350" s="491" t="n"/>
      <c r="V350" s="491" t="n"/>
      <c r="W350" s="491" t="n"/>
      <c r="X350" s="491" t="n"/>
      <c r="Y350" s="491" t="n"/>
    </row>
    <row r="351" ht="12.75" customHeight="1" s="398">
      <c r="A351" s="491" t="n"/>
      <c r="B351" s="491" t="n"/>
      <c r="C351" s="491" t="n"/>
      <c r="D351" s="491" t="n"/>
      <c r="E351" s="491" t="n"/>
      <c r="F351" s="491" t="n"/>
      <c r="G351" s="491" t="n"/>
      <c r="H351" s="491" t="n"/>
      <c r="I351" s="491" t="n"/>
      <c r="J351" s="491" t="n"/>
      <c r="K351" s="491" t="n"/>
      <c r="L351" s="491" t="n"/>
      <c r="M351" s="491" t="n"/>
      <c r="N351" s="491" t="n"/>
      <c r="O351" s="491" t="n"/>
      <c r="P351" s="491" t="n"/>
      <c r="Q351" s="491" t="n"/>
      <c r="R351" s="491" t="n"/>
      <c r="S351" s="491" t="n"/>
      <c r="T351" s="491" t="n"/>
      <c r="U351" s="491" t="n"/>
      <c r="V351" s="491" t="n"/>
      <c r="W351" s="491" t="n"/>
      <c r="X351" s="491" t="n"/>
      <c r="Y351" s="491" t="n"/>
    </row>
    <row r="352" ht="12.75" customHeight="1" s="398">
      <c r="A352" s="491" t="n"/>
      <c r="B352" s="491" t="n"/>
      <c r="C352" s="491" t="n"/>
      <c r="D352" s="491" t="n"/>
      <c r="E352" s="491" t="n"/>
      <c r="F352" s="491" t="n"/>
      <c r="G352" s="491" t="n"/>
      <c r="H352" s="491" t="n"/>
      <c r="I352" s="491" t="n"/>
      <c r="J352" s="491" t="n"/>
      <c r="K352" s="491" t="n"/>
      <c r="L352" s="491" t="n"/>
      <c r="M352" s="491" t="n"/>
      <c r="N352" s="491" t="n"/>
      <c r="O352" s="491" t="n"/>
      <c r="P352" s="491" t="n"/>
      <c r="Q352" s="491" t="n"/>
      <c r="R352" s="491" t="n"/>
      <c r="S352" s="491" t="n"/>
      <c r="T352" s="491" t="n"/>
      <c r="U352" s="491" t="n"/>
      <c r="V352" s="491" t="n"/>
      <c r="W352" s="491" t="n"/>
      <c r="X352" s="491" t="n"/>
      <c r="Y352" s="491" t="n"/>
    </row>
    <row r="353" ht="12.75" customHeight="1" s="398">
      <c r="A353" s="491" t="n"/>
      <c r="B353" s="491" t="n"/>
      <c r="C353" s="491" t="n"/>
      <c r="D353" s="491" t="n"/>
      <c r="E353" s="491" t="n"/>
      <c r="F353" s="491" t="n"/>
      <c r="G353" s="491" t="n"/>
      <c r="H353" s="491" t="n"/>
      <c r="I353" s="491" t="n"/>
      <c r="J353" s="491" t="n"/>
      <c r="K353" s="491" t="n"/>
      <c r="L353" s="491" t="n"/>
      <c r="M353" s="491" t="n"/>
      <c r="N353" s="491" t="n"/>
      <c r="O353" s="491" t="n"/>
      <c r="P353" s="491" t="n"/>
      <c r="Q353" s="491" t="n"/>
      <c r="R353" s="491" t="n"/>
      <c r="S353" s="491" t="n"/>
      <c r="T353" s="491" t="n"/>
      <c r="U353" s="491" t="n"/>
      <c r="V353" s="491" t="n"/>
      <c r="W353" s="491" t="n"/>
      <c r="X353" s="491" t="n"/>
      <c r="Y353" s="491" t="n"/>
    </row>
    <row r="354" ht="12.75" customHeight="1" s="398">
      <c r="A354" s="491" t="n"/>
      <c r="B354" s="491" t="n"/>
      <c r="C354" s="491" t="n"/>
      <c r="D354" s="491" t="n"/>
      <c r="E354" s="491" t="n"/>
      <c r="F354" s="491" t="n"/>
      <c r="G354" s="491" t="n"/>
      <c r="H354" s="491" t="n"/>
      <c r="I354" s="491" t="n"/>
      <c r="J354" s="491" t="n"/>
      <c r="K354" s="491" t="n"/>
      <c r="L354" s="491" t="n"/>
      <c r="M354" s="491" t="n"/>
      <c r="N354" s="491" t="n"/>
      <c r="O354" s="491" t="n"/>
      <c r="P354" s="491" t="n"/>
      <c r="Q354" s="491" t="n"/>
      <c r="R354" s="491" t="n"/>
      <c r="S354" s="491" t="n"/>
      <c r="T354" s="491" t="n"/>
      <c r="U354" s="491" t="n"/>
      <c r="V354" s="491" t="n"/>
      <c r="W354" s="491" t="n"/>
      <c r="X354" s="491" t="n"/>
      <c r="Y354" s="491" t="n"/>
    </row>
    <row r="355" ht="12.75" customHeight="1" s="398">
      <c r="A355" s="491" t="n"/>
      <c r="B355" s="491" t="n"/>
      <c r="C355" s="491" t="n"/>
      <c r="D355" s="491" t="n"/>
      <c r="E355" s="491" t="n"/>
      <c r="F355" s="491" t="n"/>
      <c r="G355" s="491" t="n"/>
      <c r="H355" s="491" t="n"/>
      <c r="I355" s="491" t="n"/>
      <c r="J355" s="491" t="n"/>
      <c r="K355" s="491" t="n"/>
      <c r="L355" s="491" t="n"/>
      <c r="M355" s="491" t="n"/>
      <c r="N355" s="491" t="n"/>
      <c r="O355" s="491" t="n"/>
      <c r="P355" s="491" t="n"/>
      <c r="Q355" s="491" t="n"/>
      <c r="R355" s="491" t="n"/>
      <c r="S355" s="491" t="n"/>
      <c r="T355" s="491" t="n"/>
      <c r="U355" s="491" t="n"/>
      <c r="V355" s="491" t="n"/>
      <c r="W355" s="491" t="n"/>
      <c r="X355" s="491" t="n"/>
      <c r="Y355" s="491" t="n"/>
    </row>
    <row r="356" ht="12.75" customHeight="1" s="398">
      <c r="A356" s="491" t="n"/>
      <c r="B356" s="491" t="n"/>
      <c r="C356" s="491" t="n"/>
      <c r="D356" s="491" t="n"/>
      <c r="E356" s="491" t="n"/>
      <c r="F356" s="491" t="n"/>
      <c r="G356" s="491" t="n"/>
      <c r="H356" s="491" t="n"/>
      <c r="I356" s="491" t="n"/>
      <c r="J356" s="491" t="n"/>
      <c r="K356" s="491" t="n"/>
      <c r="L356" s="491" t="n"/>
      <c r="M356" s="491" t="n"/>
      <c r="N356" s="491" t="n"/>
      <c r="O356" s="491" t="n"/>
      <c r="P356" s="491" t="n"/>
      <c r="Q356" s="491" t="n"/>
      <c r="R356" s="491" t="n"/>
      <c r="S356" s="491" t="n"/>
      <c r="T356" s="491" t="n"/>
      <c r="U356" s="491" t="n"/>
      <c r="V356" s="491" t="n"/>
      <c r="W356" s="491" t="n"/>
      <c r="X356" s="491" t="n"/>
      <c r="Y356" s="491" t="n"/>
    </row>
    <row r="357" ht="12.75" customHeight="1" s="398">
      <c r="A357" s="491" t="n"/>
      <c r="B357" s="491" t="n"/>
      <c r="C357" s="491" t="n"/>
      <c r="D357" s="491" t="n"/>
      <c r="E357" s="491" t="n"/>
      <c r="F357" s="491" t="n"/>
      <c r="G357" s="491" t="n"/>
      <c r="H357" s="491" t="n"/>
      <c r="I357" s="491" t="n"/>
      <c r="J357" s="491" t="n"/>
      <c r="K357" s="491" t="n"/>
      <c r="L357" s="491" t="n"/>
      <c r="M357" s="491" t="n"/>
      <c r="N357" s="491" t="n"/>
      <c r="O357" s="491" t="n"/>
      <c r="P357" s="491" t="n"/>
      <c r="Q357" s="491" t="n"/>
      <c r="R357" s="491" t="n"/>
      <c r="S357" s="491" t="n"/>
      <c r="T357" s="491" t="n"/>
      <c r="U357" s="491" t="n"/>
      <c r="V357" s="491" t="n"/>
      <c r="W357" s="491" t="n"/>
      <c r="X357" s="491" t="n"/>
      <c r="Y357" s="491" t="n"/>
    </row>
    <row r="358" ht="12.75" customHeight="1" s="398">
      <c r="A358" s="491" t="n"/>
      <c r="B358" s="491" t="n"/>
      <c r="C358" s="491" t="n"/>
      <c r="D358" s="491" t="n"/>
      <c r="E358" s="491" t="n"/>
      <c r="F358" s="491" t="n"/>
      <c r="G358" s="491" t="n"/>
      <c r="H358" s="491" t="n"/>
      <c r="I358" s="491" t="n"/>
      <c r="J358" s="491" t="n"/>
      <c r="K358" s="491" t="n"/>
      <c r="L358" s="491" t="n"/>
      <c r="M358" s="491" t="n"/>
      <c r="N358" s="491" t="n"/>
      <c r="O358" s="491" t="n"/>
      <c r="P358" s="491" t="n"/>
      <c r="Q358" s="491" t="n"/>
      <c r="R358" s="491" t="n"/>
      <c r="S358" s="491" t="n"/>
      <c r="T358" s="491" t="n"/>
      <c r="U358" s="491" t="n"/>
      <c r="V358" s="491" t="n"/>
      <c r="W358" s="491" t="n"/>
      <c r="X358" s="491" t="n"/>
      <c r="Y358" s="491" t="n"/>
    </row>
    <row r="359" ht="12.75" customHeight="1" s="398">
      <c r="A359" s="491" t="n"/>
      <c r="B359" s="491" t="n"/>
      <c r="C359" s="491" t="n"/>
      <c r="D359" s="491" t="n"/>
      <c r="E359" s="491" t="n"/>
      <c r="F359" s="491" t="n"/>
      <c r="G359" s="491" t="n"/>
      <c r="H359" s="491" t="n"/>
      <c r="I359" s="491" t="n"/>
      <c r="J359" s="491" t="n"/>
      <c r="K359" s="491" t="n"/>
      <c r="L359" s="491" t="n"/>
      <c r="M359" s="491" t="n"/>
      <c r="N359" s="491" t="n"/>
      <c r="O359" s="491" t="n"/>
      <c r="P359" s="491" t="n"/>
      <c r="Q359" s="491" t="n"/>
      <c r="R359" s="491" t="n"/>
      <c r="S359" s="491" t="n"/>
      <c r="T359" s="491" t="n"/>
      <c r="U359" s="491" t="n"/>
      <c r="V359" s="491" t="n"/>
      <c r="W359" s="491" t="n"/>
      <c r="X359" s="491" t="n"/>
      <c r="Y359" s="491" t="n"/>
    </row>
    <row r="360" ht="12.75" customHeight="1" s="398">
      <c r="A360" s="491" t="n"/>
      <c r="B360" s="491" t="n"/>
      <c r="C360" s="491" t="n"/>
      <c r="D360" s="491" t="n"/>
      <c r="E360" s="491" t="n"/>
      <c r="F360" s="491" t="n"/>
      <c r="G360" s="491" t="n"/>
      <c r="H360" s="491" t="n"/>
      <c r="I360" s="491" t="n"/>
      <c r="J360" s="491" t="n"/>
      <c r="K360" s="491" t="n"/>
      <c r="L360" s="491" t="n"/>
      <c r="M360" s="491" t="n"/>
      <c r="N360" s="491" t="n"/>
      <c r="O360" s="491" t="n"/>
      <c r="P360" s="491" t="n"/>
      <c r="Q360" s="491" t="n"/>
      <c r="R360" s="491" t="n"/>
      <c r="S360" s="491" t="n"/>
      <c r="T360" s="491" t="n"/>
      <c r="U360" s="491" t="n"/>
      <c r="V360" s="491" t="n"/>
      <c r="W360" s="491" t="n"/>
      <c r="X360" s="491" t="n"/>
      <c r="Y360" s="491" t="n"/>
    </row>
    <row r="361" ht="12.75" customHeight="1" s="398">
      <c r="A361" s="491" t="n"/>
      <c r="B361" s="491" t="n"/>
      <c r="C361" s="491" t="n"/>
      <c r="D361" s="491" t="n"/>
      <c r="E361" s="491" t="n"/>
      <c r="F361" s="491" t="n"/>
      <c r="G361" s="491" t="n"/>
      <c r="H361" s="491" t="n"/>
      <c r="I361" s="491" t="n"/>
      <c r="J361" s="491" t="n"/>
      <c r="K361" s="491" t="n"/>
      <c r="L361" s="491" t="n"/>
      <c r="M361" s="491" t="n"/>
      <c r="N361" s="491" t="n"/>
      <c r="O361" s="491" t="n"/>
      <c r="P361" s="491" t="n"/>
      <c r="Q361" s="491" t="n"/>
      <c r="R361" s="491" t="n"/>
      <c r="S361" s="491" t="n"/>
      <c r="T361" s="491" t="n"/>
      <c r="U361" s="491" t="n"/>
      <c r="V361" s="491" t="n"/>
      <c r="W361" s="491" t="n"/>
      <c r="X361" s="491" t="n"/>
      <c r="Y361" s="491" t="n"/>
    </row>
    <row r="362" ht="12.75" customHeight="1" s="398">
      <c r="A362" s="491" t="n"/>
      <c r="B362" s="491" t="n"/>
      <c r="C362" s="491" t="n"/>
      <c r="D362" s="491" t="n"/>
      <c r="E362" s="491" t="n"/>
      <c r="F362" s="491" t="n"/>
      <c r="G362" s="491" t="n"/>
      <c r="H362" s="491" t="n"/>
      <c r="I362" s="491" t="n"/>
      <c r="J362" s="491" t="n"/>
      <c r="K362" s="491" t="n"/>
      <c r="L362" s="491" t="n"/>
      <c r="M362" s="491" t="n"/>
      <c r="N362" s="491" t="n"/>
      <c r="O362" s="491" t="n"/>
      <c r="P362" s="491" t="n"/>
      <c r="Q362" s="491" t="n"/>
      <c r="R362" s="491" t="n"/>
      <c r="S362" s="491" t="n"/>
      <c r="T362" s="491" t="n"/>
      <c r="U362" s="491" t="n"/>
      <c r="V362" s="491" t="n"/>
      <c r="W362" s="491" t="n"/>
      <c r="X362" s="491" t="n"/>
      <c r="Y362" s="491" t="n"/>
    </row>
    <row r="363" ht="12.75" customHeight="1" s="398">
      <c r="A363" s="491" t="n"/>
      <c r="B363" s="491" t="n"/>
      <c r="C363" s="491" t="n"/>
      <c r="D363" s="491" t="n"/>
      <c r="E363" s="491" t="n"/>
      <c r="F363" s="491" t="n"/>
      <c r="G363" s="491" t="n"/>
      <c r="H363" s="491" t="n"/>
      <c r="I363" s="491" t="n"/>
      <c r="J363" s="491" t="n"/>
      <c r="K363" s="491" t="n"/>
      <c r="L363" s="491" t="n"/>
      <c r="M363" s="491" t="n"/>
      <c r="N363" s="491" t="n"/>
      <c r="O363" s="491" t="n"/>
      <c r="P363" s="491" t="n"/>
      <c r="Q363" s="491" t="n"/>
      <c r="R363" s="491" t="n"/>
      <c r="S363" s="491" t="n"/>
      <c r="T363" s="491" t="n"/>
      <c r="U363" s="491" t="n"/>
      <c r="V363" s="491" t="n"/>
      <c r="W363" s="491" t="n"/>
      <c r="X363" s="491" t="n"/>
      <c r="Y363" s="491" t="n"/>
    </row>
    <row r="364" ht="12.75" customHeight="1" s="398">
      <c r="A364" s="491" t="n"/>
      <c r="B364" s="491" t="n"/>
      <c r="C364" s="491" t="n"/>
      <c r="D364" s="491" t="n"/>
      <c r="E364" s="491" t="n"/>
      <c r="F364" s="491" t="n"/>
      <c r="G364" s="491" t="n"/>
      <c r="H364" s="491" t="n"/>
      <c r="I364" s="491" t="n"/>
      <c r="J364" s="491" t="n"/>
      <c r="K364" s="491" t="n"/>
      <c r="L364" s="491" t="n"/>
      <c r="M364" s="491" t="n"/>
      <c r="N364" s="491" t="n"/>
      <c r="O364" s="491" t="n"/>
      <c r="P364" s="491" t="n"/>
      <c r="Q364" s="491" t="n"/>
      <c r="R364" s="491" t="n"/>
      <c r="S364" s="491" t="n"/>
      <c r="T364" s="491" t="n"/>
      <c r="U364" s="491" t="n"/>
      <c r="V364" s="491" t="n"/>
      <c r="W364" s="491" t="n"/>
      <c r="X364" s="491" t="n"/>
      <c r="Y364" s="491" t="n"/>
    </row>
    <row r="365" ht="12.75" customHeight="1" s="398">
      <c r="A365" s="491" t="n"/>
      <c r="B365" s="491" t="n"/>
      <c r="C365" s="491" t="n"/>
      <c r="D365" s="491" t="n"/>
      <c r="E365" s="491" t="n"/>
      <c r="F365" s="491" t="n"/>
      <c r="G365" s="491" t="n"/>
      <c r="H365" s="491" t="n"/>
      <c r="I365" s="491" t="n"/>
      <c r="J365" s="491" t="n"/>
      <c r="K365" s="491" t="n"/>
      <c r="L365" s="491" t="n"/>
      <c r="M365" s="491" t="n"/>
      <c r="N365" s="491" t="n"/>
      <c r="O365" s="491" t="n"/>
      <c r="P365" s="491" t="n"/>
      <c r="Q365" s="491" t="n"/>
      <c r="R365" s="491" t="n"/>
      <c r="S365" s="491" t="n"/>
      <c r="T365" s="491" t="n"/>
      <c r="U365" s="491" t="n"/>
      <c r="V365" s="491" t="n"/>
      <c r="W365" s="491" t="n"/>
      <c r="X365" s="491" t="n"/>
      <c r="Y365" s="491" t="n"/>
    </row>
    <row r="366" ht="12.75" customHeight="1" s="398">
      <c r="A366" s="491" t="n"/>
      <c r="B366" s="491" t="n"/>
      <c r="C366" s="491" t="n"/>
      <c r="D366" s="491" t="n"/>
      <c r="E366" s="491" t="n"/>
      <c r="F366" s="491" t="n"/>
      <c r="G366" s="491" t="n"/>
      <c r="H366" s="491" t="n"/>
      <c r="I366" s="491" t="n"/>
      <c r="J366" s="491" t="n"/>
      <c r="K366" s="491" t="n"/>
      <c r="L366" s="491" t="n"/>
      <c r="M366" s="491" t="n"/>
      <c r="N366" s="491" t="n"/>
      <c r="O366" s="491" t="n"/>
      <c r="P366" s="491" t="n"/>
      <c r="Q366" s="491" t="n"/>
      <c r="R366" s="491" t="n"/>
      <c r="S366" s="491" t="n"/>
      <c r="T366" s="491" t="n"/>
      <c r="U366" s="491" t="n"/>
      <c r="V366" s="491" t="n"/>
      <c r="W366" s="491" t="n"/>
      <c r="X366" s="491" t="n"/>
      <c r="Y366" s="491" t="n"/>
    </row>
    <row r="367" ht="12.75" customHeight="1" s="398">
      <c r="A367" s="491" t="n"/>
      <c r="B367" s="491" t="n"/>
      <c r="C367" s="491" t="n"/>
      <c r="D367" s="491" t="n"/>
      <c r="E367" s="491" t="n"/>
      <c r="F367" s="491" t="n"/>
      <c r="G367" s="491" t="n"/>
      <c r="H367" s="491" t="n"/>
      <c r="I367" s="491" t="n"/>
      <c r="J367" s="491" t="n"/>
      <c r="K367" s="491" t="n"/>
      <c r="L367" s="491" t="n"/>
      <c r="M367" s="491" t="n"/>
      <c r="N367" s="491" t="n"/>
      <c r="O367" s="491" t="n"/>
      <c r="P367" s="491" t="n"/>
      <c r="Q367" s="491" t="n"/>
      <c r="R367" s="491" t="n"/>
      <c r="S367" s="491" t="n"/>
      <c r="T367" s="491" t="n"/>
      <c r="U367" s="491" t="n"/>
      <c r="V367" s="491" t="n"/>
      <c r="W367" s="491" t="n"/>
      <c r="X367" s="491" t="n"/>
      <c r="Y367" s="491" t="n"/>
    </row>
    <row r="368" ht="12.75" customHeight="1" s="398">
      <c r="A368" s="491" t="n"/>
      <c r="B368" s="491" t="n"/>
      <c r="C368" s="491" t="n"/>
      <c r="D368" s="491" t="n"/>
      <c r="E368" s="491" t="n"/>
      <c r="F368" s="491" t="n"/>
      <c r="G368" s="491" t="n"/>
      <c r="H368" s="491" t="n"/>
      <c r="I368" s="491" t="n"/>
      <c r="J368" s="491" t="n"/>
      <c r="K368" s="491" t="n"/>
      <c r="L368" s="491" t="n"/>
      <c r="M368" s="491" t="n"/>
      <c r="N368" s="491" t="n"/>
      <c r="O368" s="491" t="n"/>
      <c r="P368" s="491" t="n"/>
      <c r="Q368" s="491" t="n"/>
      <c r="R368" s="491" t="n"/>
      <c r="S368" s="491" t="n"/>
      <c r="T368" s="491" t="n"/>
      <c r="U368" s="491" t="n"/>
      <c r="V368" s="491" t="n"/>
      <c r="W368" s="491" t="n"/>
      <c r="X368" s="491" t="n"/>
      <c r="Y368" s="491" t="n"/>
    </row>
    <row r="369" ht="12.75" customHeight="1" s="398">
      <c r="A369" s="491" t="n"/>
      <c r="B369" s="491" t="n"/>
      <c r="C369" s="491" t="n"/>
      <c r="D369" s="491" t="n"/>
      <c r="E369" s="491" t="n"/>
      <c r="F369" s="491" t="n"/>
      <c r="G369" s="491" t="n"/>
      <c r="H369" s="491" t="n"/>
      <c r="I369" s="491" t="n"/>
      <c r="J369" s="491" t="n"/>
      <c r="K369" s="491" t="n"/>
      <c r="L369" s="491" t="n"/>
      <c r="M369" s="491" t="n"/>
      <c r="N369" s="491" t="n"/>
      <c r="O369" s="491" t="n"/>
      <c r="P369" s="491" t="n"/>
      <c r="Q369" s="491" t="n"/>
      <c r="R369" s="491" t="n"/>
      <c r="S369" s="491" t="n"/>
      <c r="T369" s="491" t="n"/>
      <c r="U369" s="491" t="n"/>
      <c r="V369" s="491" t="n"/>
      <c r="W369" s="491" t="n"/>
      <c r="X369" s="491" t="n"/>
      <c r="Y369" s="491" t="n"/>
    </row>
    <row r="370" ht="12.75" customHeight="1" s="398">
      <c r="A370" s="491" t="n"/>
      <c r="B370" s="491" t="n"/>
      <c r="C370" s="491" t="n"/>
      <c r="D370" s="491" t="n"/>
      <c r="E370" s="491" t="n"/>
      <c r="F370" s="491" t="n"/>
      <c r="G370" s="491" t="n"/>
      <c r="H370" s="491" t="n"/>
      <c r="I370" s="491" t="n"/>
      <c r="J370" s="491" t="n"/>
      <c r="K370" s="491" t="n"/>
      <c r="L370" s="491" t="n"/>
      <c r="M370" s="491" t="n"/>
      <c r="N370" s="491" t="n"/>
      <c r="O370" s="491" t="n"/>
      <c r="P370" s="491" t="n"/>
      <c r="Q370" s="491" t="n"/>
      <c r="R370" s="491" t="n"/>
      <c r="S370" s="491" t="n"/>
      <c r="T370" s="491" t="n"/>
      <c r="U370" s="491" t="n"/>
      <c r="V370" s="491" t="n"/>
      <c r="W370" s="491" t="n"/>
      <c r="X370" s="491" t="n"/>
      <c r="Y370" s="491" t="n"/>
    </row>
    <row r="371" ht="12.75" customHeight="1" s="398">
      <c r="A371" s="491" t="n"/>
      <c r="B371" s="491" t="n"/>
      <c r="C371" s="491" t="n"/>
      <c r="D371" s="491" t="n"/>
      <c r="E371" s="491" t="n"/>
      <c r="F371" s="491" t="n"/>
      <c r="G371" s="491" t="n"/>
      <c r="H371" s="491" t="n"/>
      <c r="I371" s="491" t="n"/>
      <c r="J371" s="491" t="n"/>
      <c r="K371" s="491" t="n"/>
      <c r="L371" s="491" t="n"/>
      <c r="M371" s="491" t="n"/>
      <c r="N371" s="491" t="n"/>
      <c r="O371" s="491" t="n"/>
      <c r="P371" s="491" t="n"/>
      <c r="Q371" s="491" t="n"/>
      <c r="R371" s="491" t="n"/>
      <c r="S371" s="491" t="n"/>
      <c r="T371" s="491" t="n"/>
      <c r="U371" s="491" t="n"/>
      <c r="V371" s="491" t="n"/>
      <c r="W371" s="491" t="n"/>
      <c r="X371" s="491" t="n"/>
      <c r="Y371" s="491" t="n"/>
    </row>
    <row r="372" ht="12.75" customHeight="1" s="398">
      <c r="A372" s="491" t="n"/>
      <c r="B372" s="491" t="n"/>
      <c r="C372" s="491" t="n"/>
      <c r="D372" s="491" t="n"/>
      <c r="E372" s="491" t="n"/>
      <c r="F372" s="491" t="n"/>
      <c r="G372" s="491" t="n"/>
      <c r="H372" s="491" t="n"/>
      <c r="I372" s="491" t="n"/>
      <c r="J372" s="491" t="n"/>
      <c r="K372" s="491" t="n"/>
      <c r="L372" s="491" t="n"/>
      <c r="M372" s="491" t="n"/>
      <c r="N372" s="491" t="n"/>
      <c r="O372" s="491" t="n"/>
      <c r="P372" s="491" t="n"/>
      <c r="Q372" s="491" t="n"/>
      <c r="R372" s="491" t="n"/>
      <c r="S372" s="491" t="n"/>
      <c r="T372" s="491" t="n"/>
      <c r="U372" s="491" t="n"/>
      <c r="V372" s="491" t="n"/>
      <c r="W372" s="491" t="n"/>
      <c r="X372" s="491" t="n"/>
      <c r="Y372" s="491" t="n"/>
    </row>
    <row r="373" ht="12.75" customHeight="1" s="398">
      <c r="A373" s="491" t="n"/>
      <c r="B373" s="491" t="n"/>
      <c r="C373" s="491" t="n"/>
      <c r="D373" s="491" t="n"/>
      <c r="E373" s="491" t="n"/>
      <c r="F373" s="491" t="n"/>
      <c r="G373" s="491" t="n"/>
      <c r="H373" s="491" t="n"/>
      <c r="I373" s="491" t="n"/>
      <c r="J373" s="491" t="n"/>
      <c r="K373" s="491" t="n"/>
      <c r="L373" s="491" t="n"/>
      <c r="M373" s="491" t="n"/>
      <c r="N373" s="491" t="n"/>
      <c r="O373" s="491" t="n"/>
      <c r="P373" s="491" t="n"/>
      <c r="Q373" s="491" t="n"/>
      <c r="R373" s="491" t="n"/>
      <c r="S373" s="491" t="n"/>
      <c r="T373" s="491" t="n"/>
      <c r="U373" s="491" t="n"/>
      <c r="V373" s="491" t="n"/>
      <c r="W373" s="491" t="n"/>
      <c r="X373" s="491" t="n"/>
      <c r="Y373" s="491" t="n"/>
    </row>
    <row r="374" ht="12.75" customHeight="1" s="398">
      <c r="A374" s="491" t="n"/>
      <c r="B374" s="491" t="n"/>
      <c r="C374" s="491" t="n"/>
      <c r="D374" s="491" t="n"/>
      <c r="E374" s="491" t="n"/>
      <c r="F374" s="491" t="n"/>
      <c r="G374" s="491" t="n"/>
      <c r="H374" s="491" t="n"/>
      <c r="I374" s="491" t="n"/>
      <c r="J374" s="491" t="n"/>
      <c r="K374" s="491" t="n"/>
      <c r="L374" s="491" t="n"/>
      <c r="M374" s="491" t="n"/>
      <c r="N374" s="491" t="n"/>
      <c r="O374" s="491" t="n"/>
      <c r="P374" s="491" t="n"/>
      <c r="Q374" s="491" t="n"/>
      <c r="R374" s="491" t="n"/>
      <c r="S374" s="491" t="n"/>
      <c r="T374" s="491" t="n"/>
      <c r="U374" s="491" t="n"/>
      <c r="V374" s="491" t="n"/>
      <c r="W374" s="491" t="n"/>
      <c r="X374" s="491" t="n"/>
      <c r="Y374" s="491" t="n"/>
    </row>
    <row r="375" ht="12.75" customHeight="1" s="398">
      <c r="A375" s="491" t="n"/>
      <c r="B375" s="491" t="n"/>
      <c r="C375" s="491" t="n"/>
      <c r="D375" s="491" t="n"/>
      <c r="E375" s="491" t="n"/>
      <c r="F375" s="491" t="n"/>
      <c r="G375" s="491" t="n"/>
      <c r="H375" s="491" t="n"/>
      <c r="I375" s="491" t="n"/>
      <c r="J375" s="491" t="n"/>
      <c r="K375" s="491" t="n"/>
      <c r="L375" s="491" t="n"/>
      <c r="M375" s="491" t="n"/>
      <c r="N375" s="491" t="n"/>
      <c r="O375" s="491" t="n"/>
      <c r="P375" s="491" t="n"/>
      <c r="Q375" s="491" t="n"/>
      <c r="R375" s="491" t="n"/>
      <c r="S375" s="491" t="n"/>
      <c r="T375" s="491" t="n"/>
      <c r="U375" s="491" t="n"/>
      <c r="V375" s="491" t="n"/>
      <c r="W375" s="491" t="n"/>
      <c r="X375" s="491" t="n"/>
      <c r="Y375" s="491" t="n"/>
    </row>
    <row r="376" ht="12.75" customHeight="1" s="398">
      <c r="A376" s="491" t="n"/>
      <c r="B376" s="491" t="n"/>
      <c r="C376" s="491" t="n"/>
      <c r="D376" s="491" t="n"/>
      <c r="E376" s="491" t="n"/>
      <c r="F376" s="491" t="n"/>
      <c r="G376" s="491" t="n"/>
      <c r="H376" s="491" t="n"/>
      <c r="I376" s="491" t="n"/>
      <c r="J376" s="491" t="n"/>
      <c r="K376" s="491" t="n"/>
      <c r="L376" s="491" t="n"/>
      <c r="M376" s="491" t="n"/>
      <c r="N376" s="491" t="n"/>
      <c r="O376" s="491" t="n"/>
      <c r="P376" s="491" t="n"/>
      <c r="Q376" s="491" t="n"/>
      <c r="R376" s="491" t="n"/>
      <c r="S376" s="491" t="n"/>
      <c r="T376" s="491" t="n"/>
      <c r="U376" s="491" t="n"/>
      <c r="V376" s="491" t="n"/>
      <c r="W376" s="491" t="n"/>
      <c r="X376" s="491" t="n"/>
      <c r="Y376" s="491" t="n"/>
    </row>
    <row r="377" ht="12.75" customHeight="1" s="398">
      <c r="A377" s="491" t="n"/>
      <c r="B377" s="491" t="n"/>
      <c r="C377" s="491" t="n"/>
      <c r="D377" s="491" t="n"/>
      <c r="E377" s="491" t="n"/>
      <c r="F377" s="491" t="n"/>
      <c r="G377" s="491" t="n"/>
      <c r="H377" s="491" t="n"/>
      <c r="I377" s="491" t="n"/>
      <c r="J377" s="491" t="n"/>
      <c r="K377" s="491" t="n"/>
      <c r="L377" s="491" t="n"/>
      <c r="M377" s="491" t="n"/>
      <c r="N377" s="491" t="n"/>
      <c r="O377" s="491" t="n"/>
      <c r="P377" s="491" t="n"/>
      <c r="Q377" s="491" t="n"/>
      <c r="R377" s="491" t="n"/>
      <c r="S377" s="491" t="n"/>
      <c r="T377" s="491" t="n"/>
      <c r="U377" s="491" t="n"/>
      <c r="V377" s="491" t="n"/>
      <c r="W377" s="491" t="n"/>
      <c r="X377" s="491" t="n"/>
      <c r="Y377" s="491" t="n"/>
    </row>
    <row r="378" ht="12.75" customHeight="1" s="398">
      <c r="A378" s="491" t="n"/>
      <c r="B378" s="491" t="n"/>
      <c r="C378" s="491" t="n"/>
      <c r="D378" s="491" t="n"/>
      <c r="E378" s="491" t="n"/>
      <c r="F378" s="491" t="n"/>
      <c r="G378" s="491" t="n"/>
      <c r="H378" s="491" t="n"/>
      <c r="I378" s="491" t="n"/>
      <c r="J378" s="491" t="n"/>
      <c r="K378" s="491" t="n"/>
      <c r="L378" s="491" t="n"/>
      <c r="M378" s="491" t="n"/>
      <c r="N378" s="491" t="n"/>
      <c r="O378" s="491" t="n"/>
      <c r="P378" s="491" t="n"/>
      <c r="Q378" s="491" t="n"/>
      <c r="R378" s="491" t="n"/>
      <c r="S378" s="491" t="n"/>
      <c r="T378" s="491" t="n"/>
      <c r="U378" s="491" t="n"/>
      <c r="V378" s="491" t="n"/>
      <c r="W378" s="491" t="n"/>
      <c r="X378" s="491" t="n"/>
      <c r="Y378" s="491" t="n"/>
    </row>
    <row r="379" ht="12.75" customHeight="1" s="398">
      <c r="A379" s="491" t="n"/>
      <c r="B379" s="491" t="n"/>
      <c r="C379" s="491" t="n"/>
      <c r="D379" s="491" t="n"/>
      <c r="E379" s="491" t="n"/>
      <c r="F379" s="491" t="n"/>
      <c r="G379" s="491" t="n"/>
      <c r="H379" s="491" t="n"/>
      <c r="I379" s="491" t="n"/>
      <c r="J379" s="491" t="n"/>
      <c r="K379" s="491" t="n"/>
      <c r="L379" s="491" t="n"/>
      <c r="M379" s="491" t="n"/>
      <c r="N379" s="491" t="n"/>
      <c r="O379" s="491" t="n"/>
      <c r="P379" s="491" t="n"/>
      <c r="Q379" s="491" t="n"/>
      <c r="R379" s="491" t="n"/>
      <c r="S379" s="491" t="n"/>
      <c r="T379" s="491" t="n"/>
      <c r="U379" s="491" t="n"/>
      <c r="V379" s="491" t="n"/>
      <c r="W379" s="491" t="n"/>
      <c r="X379" s="491" t="n"/>
      <c r="Y379" s="491" t="n"/>
    </row>
    <row r="380" ht="12.75" customHeight="1" s="398">
      <c r="A380" s="491" t="n"/>
      <c r="B380" s="491" t="n"/>
      <c r="C380" s="491" t="n"/>
      <c r="D380" s="491" t="n"/>
      <c r="E380" s="491" t="n"/>
      <c r="F380" s="491" t="n"/>
      <c r="G380" s="491" t="n"/>
      <c r="H380" s="491" t="n"/>
      <c r="I380" s="491" t="n"/>
      <c r="J380" s="491" t="n"/>
      <c r="K380" s="491" t="n"/>
      <c r="L380" s="491" t="n"/>
      <c r="M380" s="491" t="n"/>
      <c r="N380" s="491" t="n"/>
      <c r="O380" s="491" t="n"/>
      <c r="P380" s="491" t="n"/>
      <c r="Q380" s="491" t="n"/>
      <c r="R380" s="491" t="n"/>
      <c r="S380" s="491" t="n"/>
      <c r="T380" s="491" t="n"/>
      <c r="U380" s="491" t="n"/>
      <c r="V380" s="491" t="n"/>
      <c r="W380" s="491" t="n"/>
      <c r="X380" s="491" t="n"/>
      <c r="Y380" s="491" t="n"/>
    </row>
    <row r="381" ht="12.75" customHeight="1" s="398">
      <c r="A381" s="491" t="n"/>
      <c r="B381" s="491" t="n"/>
      <c r="C381" s="491" t="n"/>
      <c r="D381" s="491" t="n"/>
      <c r="E381" s="491" t="n"/>
      <c r="F381" s="491" t="n"/>
      <c r="G381" s="491" t="n"/>
      <c r="H381" s="491" t="n"/>
      <c r="I381" s="491" t="n"/>
      <c r="J381" s="491" t="n"/>
      <c r="K381" s="491" t="n"/>
      <c r="L381" s="491" t="n"/>
      <c r="M381" s="491" t="n"/>
      <c r="N381" s="491" t="n"/>
      <c r="O381" s="491" t="n"/>
      <c r="P381" s="491" t="n"/>
      <c r="Q381" s="491" t="n"/>
      <c r="R381" s="491" t="n"/>
      <c r="S381" s="491" t="n"/>
      <c r="T381" s="491" t="n"/>
      <c r="U381" s="491" t="n"/>
      <c r="V381" s="491" t="n"/>
      <c r="W381" s="491" t="n"/>
      <c r="X381" s="491" t="n"/>
      <c r="Y381" s="491" t="n"/>
    </row>
    <row r="382" ht="12.75" customHeight="1" s="398">
      <c r="A382" s="491" t="n"/>
      <c r="B382" s="491" t="n"/>
      <c r="C382" s="491" t="n"/>
      <c r="D382" s="491" t="n"/>
      <c r="E382" s="491" t="n"/>
      <c r="F382" s="491" t="n"/>
      <c r="G382" s="491" t="n"/>
      <c r="H382" s="491" t="n"/>
      <c r="I382" s="491" t="n"/>
      <c r="J382" s="491" t="n"/>
      <c r="K382" s="491" t="n"/>
      <c r="L382" s="491" t="n"/>
      <c r="M382" s="491" t="n"/>
      <c r="N382" s="491" t="n"/>
      <c r="O382" s="491" t="n"/>
      <c r="P382" s="491" t="n"/>
      <c r="Q382" s="491" t="n"/>
      <c r="R382" s="491" t="n"/>
      <c r="S382" s="491" t="n"/>
      <c r="T382" s="491" t="n"/>
      <c r="U382" s="491" t="n"/>
      <c r="V382" s="491" t="n"/>
      <c r="W382" s="491" t="n"/>
      <c r="X382" s="491" t="n"/>
      <c r="Y382" s="491" t="n"/>
    </row>
    <row r="383" ht="12.75" customHeight="1" s="398">
      <c r="A383" s="491" t="n"/>
      <c r="B383" s="491" t="n"/>
      <c r="C383" s="491" t="n"/>
      <c r="D383" s="491" t="n"/>
      <c r="E383" s="491" t="n"/>
      <c r="F383" s="491" t="n"/>
      <c r="G383" s="491" t="n"/>
      <c r="H383" s="491" t="n"/>
      <c r="I383" s="491" t="n"/>
      <c r="J383" s="491" t="n"/>
      <c r="K383" s="491" t="n"/>
      <c r="L383" s="491" t="n"/>
      <c r="M383" s="491" t="n"/>
      <c r="N383" s="491" t="n"/>
      <c r="O383" s="491" t="n"/>
      <c r="P383" s="491" t="n"/>
      <c r="Q383" s="491" t="n"/>
      <c r="R383" s="491" t="n"/>
      <c r="S383" s="491" t="n"/>
      <c r="T383" s="491" t="n"/>
      <c r="U383" s="491" t="n"/>
      <c r="V383" s="491" t="n"/>
      <c r="W383" s="491" t="n"/>
      <c r="X383" s="491" t="n"/>
      <c r="Y383" s="491" t="n"/>
    </row>
    <row r="384" ht="12.75" customHeight="1" s="398">
      <c r="A384" s="491" t="n"/>
      <c r="B384" s="491" t="n"/>
      <c r="C384" s="491" t="n"/>
      <c r="D384" s="491" t="n"/>
      <c r="E384" s="491" t="n"/>
      <c r="F384" s="491" t="n"/>
      <c r="G384" s="491" t="n"/>
      <c r="H384" s="491" t="n"/>
      <c r="I384" s="491" t="n"/>
      <c r="J384" s="491" t="n"/>
      <c r="K384" s="491" t="n"/>
      <c r="L384" s="491" t="n"/>
      <c r="M384" s="491" t="n"/>
      <c r="N384" s="491" t="n"/>
      <c r="O384" s="491" t="n"/>
      <c r="P384" s="491" t="n"/>
      <c r="Q384" s="491" t="n"/>
      <c r="R384" s="491" t="n"/>
      <c r="S384" s="491" t="n"/>
      <c r="T384" s="491" t="n"/>
      <c r="U384" s="491" t="n"/>
      <c r="V384" s="491" t="n"/>
      <c r="W384" s="491" t="n"/>
      <c r="X384" s="491" t="n"/>
      <c r="Y384" s="491" t="n"/>
    </row>
    <row r="385" ht="12.75" customHeight="1" s="398">
      <c r="A385" s="491" t="n"/>
      <c r="B385" s="491" t="n"/>
      <c r="C385" s="491" t="n"/>
      <c r="D385" s="491" t="n"/>
      <c r="E385" s="491" t="n"/>
      <c r="F385" s="491" t="n"/>
      <c r="G385" s="491" t="n"/>
      <c r="H385" s="491" t="n"/>
      <c r="I385" s="491" t="n"/>
      <c r="J385" s="491" t="n"/>
      <c r="K385" s="491" t="n"/>
      <c r="L385" s="491" t="n"/>
      <c r="M385" s="491" t="n"/>
      <c r="N385" s="491" t="n"/>
      <c r="O385" s="491" t="n"/>
      <c r="P385" s="491" t="n"/>
      <c r="Q385" s="491" t="n"/>
      <c r="R385" s="491" t="n"/>
      <c r="S385" s="491" t="n"/>
      <c r="T385" s="491" t="n"/>
      <c r="U385" s="491" t="n"/>
      <c r="V385" s="491" t="n"/>
      <c r="W385" s="491" t="n"/>
      <c r="X385" s="491" t="n"/>
      <c r="Y385" s="491" t="n"/>
    </row>
    <row r="386" ht="12.75" customHeight="1" s="398">
      <c r="A386" s="491" t="n"/>
      <c r="B386" s="491" t="n"/>
      <c r="C386" s="491" t="n"/>
      <c r="D386" s="491" t="n"/>
      <c r="E386" s="491" t="n"/>
      <c r="F386" s="491" t="n"/>
      <c r="G386" s="491" t="n"/>
      <c r="H386" s="491" t="n"/>
      <c r="I386" s="491" t="n"/>
      <c r="J386" s="491" t="n"/>
      <c r="K386" s="491" t="n"/>
      <c r="L386" s="491" t="n"/>
      <c r="M386" s="491" t="n"/>
      <c r="N386" s="491" t="n"/>
      <c r="O386" s="491" t="n"/>
      <c r="P386" s="491" t="n"/>
      <c r="Q386" s="491" t="n"/>
      <c r="R386" s="491" t="n"/>
      <c r="S386" s="491" t="n"/>
      <c r="T386" s="491" t="n"/>
      <c r="U386" s="491" t="n"/>
      <c r="V386" s="491" t="n"/>
      <c r="W386" s="491" t="n"/>
      <c r="X386" s="491" t="n"/>
      <c r="Y386" s="491" t="n"/>
    </row>
    <row r="387" ht="12.75" customHeight="1" s="398">
      <c r="A387" s="491" t="n"/>
      <c r="B387" s="491" t="n"/>
      <c r="C387" s="491" t="n"/>
      <c r="D387" s="491" t="n"/>
      <c r="E387" s="491" t="n"/>
      <c r="F387" s="491" t="n"/>
      <c r="G387" s="491" t="n"/>
      <c r="H387" s="491" t="n"/>
      <c r="I387" s="491" t="n"/>
      <c r="J387" s="491" t="n"/>
      <c r="K387" s="491" t="n"/>
      <c r="L387" s="491" t="n"/>
      <c r="M387" s="491" t="n"/>
      <c r="N387" s="491" t="n"/>
      <c r="O387" s="491" t="n"/>
      <c r="P387" s="491" t="n"/>
      <c r="Q387" s="491" t="n"/>
      <c r="R387" s="491" t="n"/>
      <c r="S387" s="491" t="n"/>
      <c r="T387" s="491" t="n"/>
      <c r="U387" s="491" t="n"/>
      <c r="V387" s="491" t="n"/>
      <c r="W387" s="491" t="n"/>
      <c r="X387" s="491" t="n"/>
      <c r="Y387" s="491" t="n"/>
    </row>
    <row r="388" ht="12.75" customHeight="1" s="398">
      <c r="A388" s="491" t="n"/>
      <c r="B388" s="491" t="n"/>
      <c r="C388" s="491" t="n"/>
      <c r="D388" s="491" t="n"/>
      <c r="E388" s="491" t="n"/>
      <c r="F388" s="491" t="n"/>
      <c r="G388" s="491" t="n"/>
      <c r="H388" s="491" t="n"/>
      <c r="I388" s="491" t="n"/>
      <c r="J388" s="491" t="n"/>
      <c r="K388" s="491" t="n"/>
      <c r="L388" s="491" t="n"/>
      <c r="M388" s="491" t="n"/>
      <c r="N388" s="491" t="n"/>
      <c r="O388" s="491" t="n"/>
      <c r="P388" s="491" t="n"/>
      <c r="Q388" s="491" t="n"/>
      <c r="R388" s="491" t="n"/>
      <c r="S388" s="491" t="n"/>
      <c r="T388" s="491" t="n"/>
      <c r="U388" s="491" t="n"/>
      <c r="V388" s="491" t="n"/>
      <c r="W388" s="491" t="n"/>
      <c r="X388" s="491" t="n"/>
      <c r="Y388" s="491" t="n"/>
    </row>
    <row r="389" ht="12.75" customHeight="1" s="398">
      <c r="A389" s="491" t="n"/>
      <c r="B389" s="491" t="n"/>
      <c r="C389" s="491" t="n"/>
      <c r="D389" s="491" t="n"/>
      <c r="E389" s="491" t="n"/>
      <c r="F389" s="491" t="n"/>
      <c r="G389" s="491" t="n"/>
      <c r="H389" s="491" t="n"/>
      <c r="I389" s="491" t="n"/>
      <c r="J389" s="491" t="n"/>
      <c r="K389" s="491" t="n"/>
      <c r="L389" s="491" t="n"/>
      <c r="M389" s="491" t="n"/>
      <c r="N389" s="491" t="n"/>
      <c r="O389" s="491" t="n"/>
      <c r="P389" s="491" t="n"/>
      <c r="Q389" s="491" t="n"/>
      <c r="R389" s="491" t="n"/>
      <c r="S389" s="491" t="n"/>
      <c r="T389" s="491" t="n"/>
      <c r="U389" s="491" t="n"/>
      <c r="V389" s="491" t="n"/>
      <c r="W389" s="491" t="n"/>
      <c r="X389" s="491" t="n"/>
      <c r="Y389" s="491" t="n"/>
    </row>
    <row r="390" ht="12.75" customHeight="1" s="398">
      <c r="A390" s="491" t="n"/>
      <c r="B390" s="491" t="n"/>
      <c r="C390" s="491" t="n"/>
      <c r="D390" s="491" t="n"/>
      <c r="E390" s="491" t="n"/>
      <c r="F390" s="491" t="n"/>
      <c r="G390" s="491" t="n"/>
      <c r="H390" s="491" t="n"/>
      <c r="I390" s="491" t="n"/>
      <c r="J390" s="491" t="n"/>
      <c r="K390" s="491" t="n"/>
      <c r="L390" s="491" t="n"/>
      <c r="M390" s="491" t="n"/>
      <c r="N390" s="491" t="n"/>
      <c r="O390" s="491" t="n"/>
      <c r="P390" s="491" t="n"/>
      <c r="Q390" s="491" t="n"/>
      <c r="R390" s="491" t="n"/>
      <c r="S390" s="491" t="n"/>
      <c r="T390" s="491" t="n"/>
      <c r="U390" s="491" t="n"/>
      <c r="V390" s="491" t="n"/>
      <c r="W390" s="491" t="n"/>
      <c r="X390" s="491" t="n"/>
      <c r="Y390" s="491" t="n"/>
    </row>
    <row r="391" ht="12.75" customHeight="1" s="398">
      <c r="A391" s="491" t="n"/>
      <c r="B391" s="491" t="n"/>
      <c r="C391" s="491" t="n"/>
      <c r="D391" s="491" t="n"/>
      <c r="E391" s="491" t="n"/>
      <c r="F391" s="491" t="n"/>
      <c r="G391" s="491" t="n"/>
      <c r="H391" s="491" t="n"/>
      <c r="I391" s="491" t="n"/>
      <c r="J391" s="491" t="n"/>
      <c r="K391" s="491" t="n"/>
      <c r="L391" s="491" t="n"/>
      <c r="M391" s="491" t="n"/>
      <c r="N391" s="491" t="n"/>
      <c r="O391" s="491" t="n"/>
      <c r="P391" s="491" t="n"/>
      <c r="Q391" s="491" t="n"/>
      <c r="R391" s="491" t="n"/>
      <c r="S391" s="491" t="n"/>
      <c r="T391" s="491" t="n"/>
      <c r="U391" s="491" t="n"/>
      <c r="V391" s="491" t="n"/>
      <c r="W391" s="491" t="n"/>
      <c r="X391" s="491" t="n"/>
      <c r="Y391" s="491" t="n"/>
    </row>
    <row r="392" ht="12.75" customHeight="1" s="398">
      <c r="A392" s="491" t="n"/>
      <c r="B392" s="491" t="n"/>
      <c r="C392" s="491" t="n"/>
      <c r="D392" s="491" t="n"/>
      <c r="E392" s="491" t="n"/>
      <c r="F392" s="491" t="n"/>
      <c r="G392" s="491" t="n"/>
      <c r="H392" s="491" t="n"/>
      <c r="I392" s="491" t="n"/>
      <c r="J392" s="491" t="n"/>
      <c r="K392" s="491" t="n"/>
      <c r="L392" s="491" t="n"/>
      <c r="M392" s="491" t="n"/>
      <c r="N392" s="491" t="n"/>
      <c r="O392" s="491" t="n"/>
      <c r="P392" s="491" t="n"/>
      <c r="Q392" s="491" t="n"/>
      <c r="R392" s="491" t="n"/>
      <c r="S392" s="491" t="n"/>
      <c r="T392" s="491" t="n"/>
      <c r="U392" s="491" t="n"/>
      <c r="V392" s="491" t="n"/>
      <c r="W392" s="491" t="n"/>
      <c r="X392" s="491" t="n"/>
      <c r="Y392" s="491" t="n"/>
    </row>
    <row r="393" ht="12.75" customHeight="1" s="398">
      <c r="A393" s="491" t="n"/>
      <c r="B393" s="491" t="n"/>
      <c r="C393" s="491" t="n"/>
      <c r="D393" s="491" t="n"/>
      <c r="E393" s="491" t="n"/>
      <c r="F393" s="491" t="n"/>
      <c r="G393" s="491" t="n"/>
      <c r="H393" s="491" t="n"/>
      <c r="I393" s="491" t="n"/>
      <c r="J393" s="491" t="n"/>
      <c r="K393" s="491" t="n"/>
      <c r="L393" s="491" t="n"/>
      <c r="M393" s="491" t="n"/>
      <c r="N393" s="491" t="n"/>
      <c r="O393" s="491" t="n"/>
      <c r="P393" s="491" t="n"/>
      <c r="Q393" s="491" t="n"/>
      <c r="R393" s="491" t="n"/>
      <c r="S393" s="491" t="n"/>
      <c r="T393" s="491" t="n"/>
      <c r="U393" s="491" t="n"/>
      <c r="V393" s="491" t="n"/>
      <c r="W393" s="491" t="n"/>
      <c r="X393" s="491" t="n"/>
      <c r="Y393" s="491" t="n"/>
    </row>
    <row r="394" ht="12.75" customHeight="1" s="398">
      <c r="A394" s="491" t="n"/>
      <c r="B394" s="491" t="n"/>
      <c r="C394" s="491" t="n"/>
      <c r="D394" s="491" t="n"/>
      <c r="E394" s="491" t="n"/>
      <c r="F394" s="491" t="n"/>
      <c r="G394" s="491" t="n"/>
      <c r="H394" s="491" t="n"/>
      <c r="I394" s="491" t="n"/>
      <c r="J394" s="491" t="n"/>
      <c r="K394" s="491" t="n"/>
      <c r="L394" s="491" t="n"/>
      <c r="M394" s="491" t="n"/>
      <c r="N394" s="491" t="n"/>
      <c r="O394" s="491" t="n"/>
      <c r="P394" s="491" t="n"/>
      <c r="Q394" s="491" t="n"/>
      <c r="R394" s="491" t="n"/>
      <c r="S394" s="491" t="n"/>
      <c r="T394" s="491" t="n"/>
      <c r="U394" s="491" t="n"/>
      <c r="V394" s="491" t="n"/>
      <c r="W394" s="491" t="n"/>
      <c r="X394" s="491" t="n"/>
      <c r="Y394" s="491" t="n"/>
    </row>
    <row r="395" ht="12.75" customHeight="1" s="398">
      <c r="A395" s="491" t="n"/>
      <c r="B395" s="491" t="n"/>
      <c r="C395" s="491" t="n"/>
      <c r="D395" s="491" t="n"/>
      <c r="E395" s="491" t="n"/>
      <c r="F395" s="491" t="n"/>
      <c r="G395" s="491" t="n"/>
      <c r="H395" s="491" t="n"/>
      <c r="I395" s="491" t="n"/>
      <c r="J395" s="491" t="n"/>
      <c r="K395" s="491" t="n"/>
      <c r="L395" s="491" t="n"/>
      <c r="M395" s="491" t="n"/>
      <c r="N395" s="491" t="n"/>
      <c r="O395" s="491" t="n"/>
      <c r="P395" s="491" t="n"/>
      <c r="Q395" s="491" t="n"/>
      <c r="R395" s="491" t="n"/>
      <c r="S395" s="491" t="n"/>
      <c r="T395" s="491" t="n"/>
      <c r="U395" s="491" t="n"/>
      <c r="V395" s="491" t="n"/>
      <c r="W395" s="491" t="n"/>
      <c r="X395" s="491" t="n"/>
      <c r="Y395" s="491" t="n"/>
    </row>
    <row r="396" ht="12.75" customHeight="1" s="398">
      <c r="A396" s="491" t="n"/>
      <c r="B396" s="491" t="n"/>
      <c r="C396" s="491" t="n"/>
      <c r="D396" s="491" t="n"/>
      <c r="E396" s="491" t="n"/>
      <c r="F396" s="491" t="n"/>
      <c r="G396" s="491" t="n"/>
      <c r="H396" s="491" t="n"/>
      <c r="I396" s="491" t="n"/>
      <c r="J396" s="491" t="n"/>
      <c r="K396" s="491" t="n"/>
      <c r="L396" s="491" t="n"/>
      <c r="M396" s="491" t="n"/>
      <c r="N396" s="491" t="n"/>
      <c r="O396" s="491" t="n"/>
      <c r="P396" s="491" t="n"/>
      <c r="Q396" s="491" t="n"/>
      <c r="R396" s="491" t="n"/>
      <c r="S396" s="491" t="n"/>
      <c r="T396" s="491" t="n"/>
      <c r="U396" s="491" t="n"/>
      <c r="V396" s="491" t="n"/>
      <c r="W396" s="491" t="n"/>
      <c r="X396" s="491" t="n"/>
      <c r="Y396" s="491" t="n"/>
    </row>
    <row r="397" ht="12.75" customHeight="1" s="398">
      <c r="A397" s="491" t="n"/>
      <c r="B397" s="491" t="n"/>
      <c r="C397" s="491" t="n"/>
      <c r="D397" s="491" t="n"/>
      <c r="E397" s="491" t="n"/>
      <c r="F397" s="491" t="n"/>
      <c r="G397" s="491" t="n"/>
      <c r="H397" s="491" t="n"/>
      <c r="I397" s="491" t="n"/>
      <c r="J397" s="491" t="n"/>
      <c r="K397" s="491" t="n"/>
      <c r="L397" s="491" t="n"/>
      <c r="M397" s="491" t="n"/>
      <c r="N397" s="491" t="n"/>
      <c r="O397" s="491" t="n"/>
      <c r="P397" s="491" t="n"/>
      <c r="Q397" s="491" t="n"/>
      <c r="R397" s="491" t="n"/>
      <c r="S397" s="491" t="n"/>
      <c r="T397" s="491" t="n"/>
      <c r="U397" s="491" t="n"/>
      <c r="V397" s="491" t="n"/>
      <c r="W397" s="491" t="n"/>
      <c r="X397" s="491" t="n"/>
      <c r="Y397" s="491" t="n"/>
    </row>
    <row r="398" ht="12.75" customHeight="1" s="398">
      <c r="A398" s="491" t="n"/>
      <c r="B398" s="491" t="n"/>
      <c r="C398" s="491" t="n"/>
      <c r="D398" s="491" t="n"/>
      <c r="E398" s="491" t="n"/>
      <c r="F398" s="491" t="n"/>
      <c r="G398" s="491" t="n"/>
      <c r="H398" s="491" t="n"/>
      <c r="I398" s="491" t="n"/>
      <c r="J398" s="491" t="n"/>
      <c r="K398" s="491" t="n"/>
      <c r="L398" s="491" t="n"/>
      <c r="M398" s="491" t="n"/>
      <c r="N398" s="491" t="n"/>
      <c r="O398" s="491" t="n"/>
      <c r="P398" s="491" t="n"/>
      <c r="Q398" s="491" t="n"/>
      <c r="R398" s="491" t="n"/>
      <c r="S398" s="491" t="n"/>
      <c r="T398" s="491" t="n"/>
      <c r="U398" s="491" t="n"/>
      <c r="V398" s="491" t="n"/>
      <c r="W398" s="491" t="n"/>
      <c r="X398" s="491" t="n"/>
      <c r="Y398" s="491" t="n"/>
    </row>
    <row r="399" ht="12.75" customHeight="1" s="398">
      <c r="A399" s="491" t="n"/>
      <c r="B399" s="491" t="n"/>
      <c r="C399" s="491" t="n"/>
      <c r="D399" s="491" t="n"/>
      <c r="E399" s="491" t="n"/>
      <c r="F399" s="491" t="n"/>
      <c r="G399" s="491" t="n"/>
      <c r="H399" s="491" t="n"/>
      <c r="I399" s="491" t="n"/>
      <c r="J399" s="491" t="n"/>
      <c r="K399" s="491" t="n"/>
      <c r="L399" s="491" t="n"/>
      <c r="M399" s="491" t="n"/>
      <c r="N399" s="491" t="n"/>
      <c r="O399" s="491" t="n"/>
      <c r="P399" s="491" t="n"/>
      <c r="Q399" s="491" t="n"/>
      <c r="R399" s="491" t="n"/>
      <c r="S399" s="491" t="n"/>
      <c r="T399" s="491" t="n"/>
      <c r="U399" s="491" t="n"/>
      <c r="V399" s="491" t="n"/>
      <c r="W399" s="491" t="n"/>
      <c r="X399" s="491" t="n"/>
      <c r="Y399" s="491" t="n"/>
    </row>
    <row r="400" ht="12.75" customHeight="1" s="398">
      <c r="A400" s="491" t="n"/>
      <c r="B400" s="491" t="n"/>
      <c r="C400" s="491" t="n"/>
      <c r="D400" s="491" t="n"/>
      <c r="E400" s="491" t="n"/>
      <c r="F400" s="491" t="n"/>
      <c r="G400" s="491" t="n"/>
      <c r="H400" s="491" t="n"/>
      <c r="I400" s="491" t="n"/>
      <c r="J400" s="491" t="n"/>
      <c r="K400" s="491" t="n"/>
      <c r="L400" s="491" t="n"/>
      <c r="M400" s="491" t="n"/>
      <c r="N400" s="491" t="n"/>
      <c r="O400" s="491" t="n"/>
      <c r="P400" s="491" t="n"/>
      <c r="Q400" s="491" t="n"/>
      <c r="R400" s="491" t="n"/>
      <c r="S400" s="491" t="n"/>
      <c r="T400" s="491" t="n"/>
      <c r="U400" s="491" t="n"/>
      <c r="V400" s="491" t="n"/>
      <c r="W400" s="491" t="n"/>
      <c r="X400" s="491" t="n"/>
      <c r="Y400" s="491" t="n"/>
    </row>
    <row r="401" ht="12.75" customHeight="1" s="398">
      <c r="A401" s="491" t="n"/>
      <c r="B401" s="491" t="n"/>
      <c r="C401" s="491" t="n"/>
      <c r="D401" s="491" t="n"/>
      <c r="E401" s="491" t="n"/>
      <c r="F401" s="491" t="n"/>
      <c r="G401" s="491" t="n"/>
      <c r="H401" s="491" t="n"/>
      <c r="I401" s="491" t="n"/>
      <c r="J401" s="491" t="n"/>
      <c r="K401" s="491" t="n"/>
      <c r="L401" s="491" t="n"/>
      <c r="M401" s="491" t="n"/>
      <c r="N401" s="491" t="n"/>
      <c r="O401" s="491" t="n"/>
      <c r="P401" s="491" t="n"/>
      <c r="Q401" s="491" t="n"/>
      <c r="R401" s="491" t="n"/>
      <c r="S401" s="491" t="n"/>
      <c r="T401" s="491" t="n"/>
      <c r="U401" s="491" t="n"/>
      <c r="V401" s="491" t="n"/>
      <c r="W401" s="491" t="n"/>
      <c r="X401" s="491" t="n"/>
      <c r="Y401" s="491" t="n"/>
    </row>
    <row r="402" ht="12.75" customHeight="1" s="398">
      <c r="A402" s="491" t="n"/>
      <c r="B402" s="491" t="n"/>
      <c r="C402" s="491" t="n"/>
      <c r="D402" s="491" t="n"/>
      <c r="E402" s="491" t="n"/>
      <c r="F402" s="491" t="n"/>
      <c r="G402" s="491" t="n"/>
      <c r="H402" s="491" t="n"/>
      <c r="I402" s="491" t="n"/>
      <c r="J402" s="491" t="n"/>
      <c r="K402" s="491" t="n"/>
      <c r="L402" s="491" t="n"/>
      <c r="M402" s="491" t="n"/>
      <c r="N402" s="491" t="n"/>
      <c r="O402" s="491" t="n"/>
      <c r="P402" s="491" t="n"/>
      <c r="Q402" s="491" t="n"/>
      <c r="R402" s="491" t="n"/>
      <c r="S402" s="491" t="n"/>
      <c r="T402" s="491" t="n"/>
      <c r="U402" s="491" t="n"/>
      <c r="V402" s="491" t="n"/>
      <c r="W402" s="491" t="n"/>
      <c r="X402" s="491" t="n"/>
      <c r="Y402" s="491" t="n"/>
    </row>
    <row r="403" ht="12.75" customHeight="1" s="398">
      <c r="A403" s="491" t="n"/>
      <c r="B403" s="491" t="n"/>
      <c r="C403" s="491" t="n"/>
      <c r="D403" s="491" t="n"/>
      <c r="E403" s="491" t="n"/>
      <c r="F403" s="491" t="n"/>
      <c r="G403" s="491" t="n"/>
      <c r="H403" s="491" t="n"/>
      <c r="I403" s="491" t="n"/>
      <c r="J403" s="491" t="n"/>
      <c r="K403" s="491" t="n"/>
      <c r="L403" s="491" t="n"/>
      <c r="M403" s="491" t="n"/>
      <c r="N403" s="491" t="n"/>
      <c r="O403" s="491" t="n"/>
      <c r="P403" s="491" t="n"/>
      <c r="Q403" s="491" t="n"/>
      <c r="R403" s="491" t="n"/>
      <c r="S403" s="491" t="n"/>
      <c r="T403" s="491" t="n"/>
      <c r="U403" s="491" t="n"/>
      <c r="V403" s="491" t="n"/>
      <c r="W403" s="491" t="n"/>
      <c r="X403" s="491" t="n"/>
      <c r="Y403" s="491" t="n"/>
    </row>
    <row r="404" ht="12.75" customHeight="1" s="398">
      <c r="A404" s="491" t="n"/>
      <c r="B404" s="491" t="n"/>
      <c r="C404" s="491" t="n"/>
      <c r="D404" s="491" t="n"/>
      <c r="E404" s="491" t="n"/>
      <c r="F404" s="491" t="n"/>
      <c r="G404" s="491" t="n"/>
      <c r="H404" s="491" t="n"/>
      <c r="I404" s="491" t="n"/>
      <c r="J404" s="491" t="n"/>
      <c r="K404" s="491" t="n"/>
      <c r="L404" s="491" t="n"/>
      <c r="M404" s="491" t="n"/>
      <c r="N404" s="491" t="n"/>
      <c r="O404" s="491" t="n"/>
      <c r="P404" s="491" t="n"/>
      <c r="Q404" s="491" t="n"/>
      <c r="R404" s="491" t="n"/>
      <c r="S404" s="491" t="n"/>
      <c r="T404" s="491" t="n"/>
      <c r="U404" s="491" t="n"/>
      <c r="V404" s="491" t="n"/>
      <c r="W404" s="491" t="n"/>
      <c r="X404" s="491" t="n"/>
      <c r="Y404" s="491" t="n"/>
    </row>
    <row r="405" ht="12.75" customHeight="1" s="398">
      <c r="A405" s="491" t="n"/>
      <c r="B405" s="491" t="n"/>
      <c r="C405" s="491" t="n"/>
      <c r="D405" s="491" t="n"/>
      <c r="E405" s="491" t="n"/>
      <c r="F405" s="491" t="n"/>
      <c r="G405" s="491" t="n"/>
      <c r="H405" s="491" t="n"/>
      <c r="I405" s="491" t="n"/>
      <c r="J405" s="491" t="n"/>
      <c r="K405" s="491" t="n"/>
      <c r="L405" s="491" t="n"/>
      <c r="M405" s="491" t="n"/>
      <c r="N405" s="491" t="n"/>
      <c r="O405" s="491" t="n"/>
      <c r="P405" s="491" t="n"/>
      <c r="Q405" s="491" t="n"/>
      <c r="R405" s="491" t="n"/>
      <c r="S405" s="491" t="n"/>
      <c r="T405" s="491" t="n"/>
      <c r="U405" s="491" t="n"/>
      <c r="V405" s="491" t="n"/>
      <c r="W405" s="491" t="n"/>
      <c r="X405" s="491" t="n"/>
      <c r="Y405" s="491" t="n"/>
    </row>
    <row r="406" ht="12.75" customHeight="1" s="398">
      <c r="A406" s="491" t="n"/>
      <c r="B406" s="491" t="n"/>
      <c r="C406" s="491" t="n"/>
      <c r="D406" s="491" t="n"/>
      <c r="E406" s="491" t="n"/>
      <c r="F406" s="491" t="n"/>
      <c r="G406" s="491" t="n"/>
      <c r="H406" s="491" t="n"/>
      <c r="I406" s="491" t="n"/>
      <c r="J406" s="491" t="n"/>
      <c r="K406" s="491" t="n"/>
      <c r="L406" s="491" t="n"/>
      <c r="M406" s="491" t="n"/>
      <c r="N406" s="491" t="n"/>
      <c r="O406" s="491" t="n"/>
      <c r="P406" s="491" t="n"/>
      <c r="Q406" s="491" t="n"/>
      <c r="R406" s="491" t="n"/>
      <c r="S406" s="491" t="n"/>
      <c r="T406" s="491" t="n"/>
      <c r="U406" s="491" t="n"/>
      <c r="V406" s="491" t="n"/>
      <c r="W406" s="491" t="n"/>
      <c r="X406" s="491" t="n"/>
      <c r="Y406" s="491" t="n"/>
    </row>
    <row r="407" ht="12.75" customHeight="1" s="398">
      <c r="A407" s="491" t="n"/>
      <c r="B407" s="491" t="n"/>
      <c r="C407" s="491" t="n"/>
      <c r="D407" s="491" t="n"/>
      <c r="E407" s="491" t="n"/>
      <c r="F407" s="491" t="n"/>
      <c r="G407" s="491" t="n"/>
      <c r="H407" s="491" t="n"/>
      <c r="I407" s="491" t="n"/>
      <c r="J407" s="491" t="n"/>
      <c r="K407" s="491" t="n"/>
      <c r="L407" s="491" t="n"/>
      <c r="M407" s="491" t="n"/>
      <c r="N407" s="491" t="n"/>
      <c r="O407" s="491" t="n"/>
      <c r="P407" s="491" t="n"/>
      <c r="Q407" s="491" t="n"/>
      <c r="R407" s="491" t="n"/>
      <c r="S407" s="491" t="n"/>
      <c r="T407" s="491" t="n"/>
      <c r="U407" s="491" t="n"/>
      <c r="V407" s="491" t="n"/>
      <c r="W407" s="491" t="n"/>
      <c r="X407" s="491" t="n"/>
      <c r="Y407" s="491" t="n"/>
    </row>
    <row r="408" ht="12.75" customHeight="1" s="398">
      <c r="A408" s="491" t="n"/>
      <c r="B408" s="491" t="n"/>
      <c r="C408" s="491" t="n"/>
      <c r="D408" s="491" t="n"/>
      <c r="E408" s="491" t="n"/>
      <c r="F408" s="491" t="n"/>
      <c r="G408" s="491" t="n"/>
      <c r="H408" s="491" t="n"/>
      <c r="I408" s="491" t="n"/>
      <c r="J408" s="491" t="n"/>
      <c r="K408" s="491" t="n"/>
      <c r="L408" s="491" t="n"/>
      <c r="M408" s="491" t="n"/>
      <c r="N408" s="491" t="n"/>
      <c r="O408" s="491" t="n"/>
      <c r="P408" s="491" t="n"/>
      <c r="Q408" s="491" t="n"/>
      <c r="R408" s="491" t="n"/>
      <c r="S408" s="491" t="n"/>
      <c r="T408" s="491" t="n"/>
      <c r="U408" s="491" t="n"/>
      <c r="V408" s="491" t="n"/>
      <c r="W408" s="491" t="n"/>
      <c r="X408" s="491" t="n"/>
      <c r="Y408" s="491" t="n"/>
    </row>
    <row r="409" ht="12.75" customHeight="1" s="398">
      <c r="A409" s="491" t="n"/>
      <c r="B409" s="491" t="n"/>
      <c r="C409" s="491" t="n"/>
      <c r="D409" s="491" t="n"/>
      <c r="E409" s="491" t="n"/>
      <c r="F409" s="491" t="n"/>
      <c r="G409" s="491" t="n"/>
      <c r="H409" s="491" t="n"/>
      <c r="I409" s="491" t="n"/>
      <c r="J409" s="491" t="n"/>
      <c r="K409" s="491" t="n"/>
      <c r="L409" s="491" t="n"/>
      <c r="M409" s="491" t="n"/>
      <c r="N409" s="491" t="n"/>
      <c r="O409" s="491" t="n"/>
      <c r="P409" s="491" t="n"/>
      <c r="Q409" s="491" t="n"/>
      <c r="R409" s="491" t="n"/>
      <c r="S409" s="491" t="n"/>
      <c r="T409" s="491" t="n"/>
      <c r="U409" s="491" t="n"/>
      <c r="V409" s="491" t="n"/>
      <c r="W409" s="491" t="n"/>
      <c r="X409" s="491" t="n"/>
      <c r="Y409" s="491" t="n"/>
    </row>
    <row r="410" ht="12.75" customHeight="1" s="398">
      <c r="A410" s="491" t="n"/>
      <c r="B410" s="491" t="n"/>
      <c r="C410" s="491" t="n"/>
      <c r="D410" s="491" t="n"/>
      <c r="E410" s="491" t="n"/>
      <c r="F410" s="491" t="n"/>
      <c r="G410" s="491" t="n"/>
      <c r="H410" s="491" t="n"/>
      <c r="I410" s="491" t="n"/>
      <c r="J410" s="491" t="n"/>
      <c r="K410" s="491" t="n"/>
      <c r="L410" s="491" t="n"/>
      <c r="M410" s="491" t="n"/>
      <c r="N410" s="491" t="n"/>
      <c r="O410" s="491" t="n"/>
      <c r="P410" s="491" t="n"/>
      <c r="Q410" s="491" t="n"/>
      <c r="R410" s="491" t="n"/>
      <c r="S410" s="491" t="n"/>
      <c r="T410" s="491" t="n"/>
      <c r="U410" s="491" t="n"/>
      <c r="V410" s="491" t="n"/>
      <c r="W410" s="491" t="n"/>
      <c r="X410" s="491" t="n"/>
      <c r="Y410" s="491" t="n"/>
    </row>
    <row r="411" ht="12.75" customHeight="1" s="398">
      <c r="A411" s="491" t="n"/>
      <c r="B411" s="491" t="n"/>
      <c r="C411" s="491" t="n"/>
      <c r="D411" s="491" t="n"/>
      <c r="E411" s="491" t="n"/>
      <c r="F411" s="491" t="n"/>
      <c r="G411" s="491" t="n"/>
      <c r="H411" s="491" t="n"/>
      <c r="I411" s="491" t="n"/>
      <c r="J411" s="491" t="n"/>
      <c r="K411" s="491" t="n"/>
      <c r="L411" s="491" t="n"/>
      <c r="M411" s="491" t="n"/>
      <c r="N411" s="491" t="n"/>
      <c r="O411" s="491" t="n"/>
      <c r="P411" s="491" t="n"/>
      <c r="Q411" s="491" t="n"/>
      <c r="R411" s="491" t="n"/>
      <c r="S411" s="491" t="n"/>
      <c r="T411" s="491" t="n"/>
      <c r="U411" s="491" t="n"/>
      <c r="V411" s="491" t="n"/>
      <c r="W411" s="491" t="n"/>
      <c r="X411" s="491" t="n"/>
      <c r="Y411" s="491" t="n"/>
    </row>
    <row r="412" ht="12.75" customHeight="1" s="398">
      <c r="A412" s="491" t="n"/>
      <c r="B412" s="491" t="n"/>
      <c r="C412" s="491" t="n"/>
      <c r="D412" s="491" t="n"/>
      <c r="E412" s="491" t="n"/>
      <c r="F412" s="491" t="n"/>
      <c r="G412" s="491" t="n"/>
      <c r="H412" s="491" t="n"/>
      <c r="I412" s="491" t="n"/>
      <c r="J412" s="491" t="n"/>
      <c r="K412" s="491" t="n"/>
      <c r="L412" s="491" t="n"/>
      <c r="M412" s="491" t="n"/>
      <c r="N412" s="491" t="n"/>
      <c r="O412" s="491" t="n"/>
      <c r="P412" s="491" t="n"/>
      <c r="Q412" s="491" t="n"/>
      <c r="R412" s="491" t="n"/>
      <c r="S412" s="491" t="n"/>
      <c r="T412" s="491" t="n"/>
      <c r="U412" s="491" t="n"/>
      <c r="V412" s="491" t="n"/>
      <c r="W412" s="491" t="n"/>
      <c r="X412" s="491" t="n"/>
      <c r="Y412" s="491" t="n"/>
    </row>
    <row r="413" ht="12.75" customHeight="1" s="398">
      <c r="A413" s="491" t="n"/>
      <c r="B413" s="491" t="n"/>
      <c r="C413" s="491" t="n"/>
      <c r="D413" s="491" t="n"/>
      <c r="E413" s="491" t="n"/>
      <c r="F413" s="491" t="n"/>
      <c r="G413" s="491" t="n"/>
      <c r="H413" s="491" t="n"/>
      <c r="I413" s="491" t="n"/>
      <c r="J413" s="491" t="n"/>
      <c r="K413" s="491" t="n"/>
      <c r="L413" s="491" t="n"/>
      <c r="M413" s="491" t="n"/>
      <c r="N413" s="491" t="n"/>
      <c r="O413" s="491" t="n"/>
      <c r="P413" s="491" t="n"/>
      <c r="Q413" s="491" t="n"/>
      <c r="R413" s="491" t="n"/>
      <c r="S413" s="491" t="n"/>
      <c r="T413" s="491" t="n"/>
      <c r="U413" s="491" t="n"/>
      <c r="V413" s="491" t="n"/>
      <c r="W413" s="491" t="n"/>
      <c r="X413" s="491" t="n"/>
      <c r="Y413" s="491" t="n"/>
    </row>
    <row r="414" ht="12.75" customHeight="1" s="398">
      <c r="A414" s="491" t="n"/>
      <c r="B414" s="491" t="n"/>
      <c r="C414" s="491" t="n"/>
      <c r="D414" s="491" t="n"/>
      <c r="E414" s="491" t="n"/>
      <c r="F414" s="491" t="n"/>
      <c r="G414" s="491" t="n"/>
      <c r="H414" s="491" t="n"/>
      <c r="I414" s="491" t="n"/>
      <c r="J414" s="491" t="n"/>
      <c r="K414" s="491" t="n"/>
      <c r="L414" s="491" t="n"/>
      <c r="M414" s="491" t="n"/>
      <c r="N414" s="491" t="n"/>
      <c r="O414" s="491" t="n"/>
      <c r="P414" s="491" t="n"/>
      <c r="Q414" s="491" t="n"/>
      <c r="R414" s="491" t="n"/>
      <c r="S414" s="491" t="n"/>
      <c r="T414" s="491" t="n"/>
      <c r="U414" s="491" t="n"/>
      <c r="V414" s="491" t="n"/>
      <c r="W414" s="491" t="n"/>
      <c r="X414" s="491" t="n"/>
      <c r="Y414" s="491" t="n"/>
    </row>
    <row r="415" ht="12.75" customHeight="1" s="398">
      <c r="A415" s="491" t="n"/>
      <c r="B415" s="491" t="n"/>
      <c r="C415" s="491" t="n"/>
      <c r="D415" s="491" t="n"/>
      <c r="E415" s="491" t="n"/>
      <c r="F415" s="491" t="n"/>
      <c r="G415" s="491" t="n"/>
      <c r="H415" s="491" t="n"/>
      <c r="I415" s="491" t="n"/>
      <c r="J415" s="491" t="n"/>
      <c r="K415" s="491" t="n"/>
      <c r="L415" s="491" t="n"/>
      <c r="M415" s="491" t="n"/>
      <c r="N415" s="491" t="n"/>
      <c r="O415" s="491" t="n"/>
      <c r="P415" s="491" t="n"/>
      <c r="Q415" s="491" t="n"/>
      <c r="R415" s="491" t="n"/>
      <c r="S415" s="491" t="n"/>
      <c r="T415" s="491" t="n"/>
      <c r="U415" s="491" t="n"/>
      <c r="V415" s="491" t="n"/>
      <c r="W415" s="491" t="n"/>
      <c r="X415" s="491" t="n"/>
      <c r="Y415" s="491" t="n"/>
    </row>
    <row r="416" ht="12.75" customHeight="1" s="398">
      <c r="A416" s="491" t="n"/>
      <c r="B416" s="491" t="n"/>
      <c r="C416" s="491" t="n"/>
      <c r="D416" s="491" t="n"/>
      <c r="E416" s="491" t="n"/>
      <c r="F416" s="491" t="n"/>
      <c r="G416" s="491" t="n"/>
      <c r="H416" s="491" t="n"/>
      <c r="I416" s="491" t="n"/>
      <c r="J416" s="491" t="n"/>
      <c r="K416" s="491" t="n"/>
      <c r="L416" s="491" t="n"/>
      <c r="M416" s="491" t="n"/>
      <c r="N416" s="491" t="n"/>
      <c r="O416" s="491" t="n"/>
      <c r="P416" s="491" t="n"/>
      <c r="Q416" s="491" t="n"/>
      <c r="R416" s="491" t="n"/>
      <c r="S416" s="491" t="n"/>
      <c r="T416" s="491" t="n"/>
      <c r="U416" s="491" t="n"/>
      <c r="V416" s="491" t="n"/>
      <c r="W416" s="491" t="n"/>
      <c r="X416" s="491" t="n"/>
      <c r="Y416" s="491" t="n"/>
    </row>
    <row r="417" ht="12.75" customHeight="1" s="398">
      <c r="A417" s="491" t="n"/>
      <c r="B417" s="491" t="n"/>
      <c r="C417" s="491" t="n"/>
      <c r="D417" s="491" t="n"/>
      <c r="E417" s="491" t="n"/>
      <c r="F417" s="491" t="n"/>
      <c r="G417" s="491" t="n"/>
      <c r="H417" s="491" t="n"/>
      <c r="I417" s="491" t="n"/>
      <c r="J417" s="491" t="n"/>
      <c r="K417" s="491" t="n"/>
      <c r="L417" s="491" t="n"/>
      <c r="M417" s="491" t="n"/>
      <c r="N417" s="491" t="n"/>
      <c r="O417" s="491" t="n"/>
      <c r="P417" s="491" t="n"/>
      <c r="Q417" s="491" t="n"/>
      <c r="R417" s="491" t="n"/>
      <c r="S417" s="491" t="n"/>
      <c r="T417" s="491" t="n"/>
      <c r="U417" s="491" t="n"/>
      <c r="V417" s="491" t="n"/>
      <c r="W417" s="491" t="n"/>
      <c r="X417" s="491" t="n"/>
      <c r="Y417" s="491" t="n"/>
    </row>
    <row r="418" ht="12.75" customHeight="1" s="398">
      <c r="A418" s="491" t="n"/>
      <c r="B418" s="491" t="n"/>
      <c r="C418" s="491" t="n"/>
      <c r="D418" s="491" t="n"/>
      <c r="E418" s="491" t="n"/>
      <c r="F418" s="491" t="n"/>
      <c r="G418" s="491" t="n"/>
      <c r="H418" s="491" t="n"/>
      <c r="I418" s="491" t="n"/>
      <c r="J418" s="491" t="n"/>
      <c r="K418" s="491" t="n"/>
      <c r="L418" s="491" t="n"/>
      <c r="M418" s="491" t="n"/>
      <c r="N418" s="491" t="n"/>
      <c r="O418" s="491" t="n"/>
      <c r="P418" s="491" t="n"/>
      <c r="Q418" s="491" t="n"/>
      <c r="R418" s="491" t="n"/>
      <c r="S418" s="491" t="n"/>
      <c r="T418" s="491" t="n"/>
      <c r="U418" s="491" t="n"/>
      <c r="V418" s="491" t="n"/>
      <c r="W418" s="491" t="n"/>
      <c r="X418" s="491" t="n"/>
      <c r="Y418" s="491" t="n"/>
    </row>
    <row r="419" ht="12.75" customHeight="1" s="398">
      <c r="A419" s="491" t="n"/>
      <c r="B419" s="491" t="n"/>
      <c r="C419" s="491" t="n"/>
      <c r="D419" s="491" t="n"/>
      <c r="E419" s="491" t="n"/>
      <c r="F419" s="491" t="n"/>
      <c r="G419" s="491" t="n"/>
      <c r="H419" s="491" t="n"/>
      <c r="I419" s="491" t="n"/>
      <c r="J419" s="491" t="n"/>
      <c r="K419" s="491" t="n"/>
      <c r="L419" s="491" t="n"/>
      <c r="M419" s="491" t="n"/>
      <c r="N419" s="491" t="n"/>
      <c r="O419" s="491" t="n"/>
      <c r="P419" s="491" t="n"/>
      <c r="Q419" s="491" t="n"/>
      <c r="R419" s="491" t="n"/>
      <c r="S419" s="491" t="n"/>
      <c r="T419" s="491" t="n"/>
      <c r="U419" s="491" t="n"/>
      <c r="V419" s="491" t="n"/>
      <c r="W419" s="491" t="n"/>
      <c r="X419" s="491" t="n"/>
      <c r="Y419" s="491" t="n"/>
    </row>
    <row r="420" ht="12.75" customHeight="1" s="398">
      <c r="A420" s="491" t="n"/>
      <c r="B420" s="491" t="n"/>
      <c r="C420" s="491" t="n"/>
      <c r="D420" s="491" t="n"/>
      <c r="E420" s="491" t="n"/>
      <c r="F420" s="491" t="n"/>
      <c r="G420" s="491" t="n"/>
      <c r="H420" s="491" t="n"/>
      <c r="I420" s="491" t="n"/>
      <c r="J420" s="491" t="n"/>
      <c r="K420" s="491" t="n"/>
      <c r="L420" s="491" t="n"/>
      <c r="M420" s="491" t="n"/>
      <c r="N420" s="491" t="n"/>
      <c r="O420" s="491" t="n"/>
      <c r="P420" s="491" t="n"/>
      <c r="Q420" s="491" t="n"/>
      <c r="R420" s="491" t="n"/>
      <c r="S420" s="491" t="n"/>
      <c r="T420" s="491" t="n"/>
      <c r="U420" s="491" t="n"/>
      <c r="V420" s="491" t="n"/>
      <c r="W420" s="491" t="n"/>
      <c r="X420" s="491" t="n"/>
      <c r="Y420" s="491" t="n"/>
    </row>
    <row r="421" ht="12.75" customHeight="1" s="398">
      <c r="A421" s="491" t="n"/>
      <c r="B421" s="491" t="n"/>
      <c r="C421" s="491" t="n"/>
      <c r="D421" s="491" t="n"/>
      <c r="E421" s="491" t="n"/>
      <c r="F421" s="491" t="n"/>
      <c r="G421" s="491" t="n"/>
      <c r="H421" s="491" t="n"/>
      <c r="I421" s="491" t="n"/>
      <c r="J421" s="491" t="n"/>
      <c r="K421" s="491" t="n"/>
      <c r="L421" s="491" t="n"/>
      <c r="M421" s="491" t="n"/>
      <c r="N421" s="491" t="n"/>
      <c r="O421" s="491" t="n"/>
      <c r="P421" s="491" t="n"/>
      <c r="Q421" s="491" t="n"/>
      <c r="R421" s="491" t="n"/>
      <c r="S421" s="491" t="n"/>
      <c r="T421" s="491" t="n"/>
      <c r="U421" s="491" t="n"/>
      <c r="V421" s="491" t="n"/>
      <c r="W421" s="491" t="n"/>
      <c r="X421" s="491" t="n"/>
      <c r="Y421" s="491" t="n"/>
    </row>
    <row r="422" ht="12.75" customHeight="1" s="398">
      <c r="A422" s="491" t="n"/>
      <c r="B422" s="491" t="n"/>
      <c r="C422" s="491" t="n"/>
      <c r="D422" s="491" t="n"/>
      <c r="E422" s="491" t="n"/>
      <c r="F422" s="491" t="n"/>
      <c r="G422" s="491" t="n"/>
      <c r="H422" s="491" t="n"/>
      <c r="I422" s="491" t="n"/>
      <c r="J422" s="491" t="n"/>
      <c r="K422" s="491" t="n"/>
      <c r="L422" s="491" t="n"/>
      <c r="M422" s="491" t="n"/>
      <c r="N422" s="491" t="n"/>
      <c r="O422" s="491" t="n"/>
      <c r="P422" s="491" t="n"/>
      <c r="Q422" s="491" t="n"/>
      <c r="R422" s="491" t="n"/>
      <c r="S422" s="491" t="n"/>
      <c r="T422" s="491" t="n"/>
      <c r="U422" s="491" t="n"/>
      <c r="V422" s="491" t="n"/>
      <c r="W422" s="491" t="n"/>
      <c r="X422" s="491" t="n"/>
      <c r="Y422" s="491" t="n"/>
    </row>
    <row r="423" ht="12.75" customHeight="1" s="398">
      <c r="A423" s="491" t="n"/>
      <c r="B423" s="491" t="n"/>
      <c r="C423" s="491" t="n"/>
      <c r="D423" s="491" t="n"/>
      <c r="E423" s="491" t="n"/>
      <c r="F423" s="491" t="n"/>
      <c r="G423" s="491" t="n"/>
      <c r="H423" s="491" t="n"/>
      <c r="I423" s="491" t="n"/>
      <c r="J423" s="491" t="n"/>
      <c r="K423" s="491" t="n"/>
      <c r="L423" s="491" t="n"/>
      <c r="M423" s="491" t="n"/>
      <c r="N423" s="491" t="n"/>
      <c r="O423" s="491" t="n"/>
      <c r="P423" s="491" t="n"/>
      <c r="Q423" s="491" t="n"/>
      <c r="R423" s="491" t="n"/>
      <c r="S423" s="491" t="n"/>
      <c r="T423" s="491" t="n"/>
      <c r="U423" s="491" t="n"/>
      <c r="V423" s="491" t="n"/>
      <c r="W423" s="491" t="n"/>
      <c r="X423" s="491" t="n"/>
      <c r="Y423" s="491" t="n"/>
    </row>
    <row r="424" ht="12.75" customHeight="1" s="398">
      <c r="A424" s="491" t="n"/>
      <c r="B424" s="491" t="n"/>
      <c r="C424" s="491" t="n"/>
      <c r="D424" s="491" t="n"/>
      <c r="E424" s="491" t="n"/>
      <c r="F424" s="491" t="n"/>
      <c r="G424" s="491" t="n"/>
      <c r="H424" s="491" t="n"/>
      <c r="I424" s="491" t="n"/>
      <c r="J424" s="491" t="n"/>
      <c r="K424" s="491" t="n"/>
      <c r="L424" s="491" t="n"/>
      <c r="M424" s="491" t="n"/>
      <c r="N424" s="491" t="n"/>
      <c r="O424" s="491" t="n"/>
      <c r="P424" s="491" t="n"/>
      <c r="Q424" s="491" t="n"/>
      <c r="R424" s="491" t="n"/>
      <c r="S424" s="491" t="n"/>
      <c r="T424" s="491" t="n"/>
      <c r="U424" s="491" t="n"/>
      <c r="V424" s="491" t="n"/>
      <c r="W424" s="491" t="n"/>
      <c r="X424" s="491" t="n"/>
      <c r="Y424" s="491" t="n"/>
    </row>
    <row r="425" ht="12.75" customHeight="1" s="398">
      <c r="A425" s="491" t="n"/>
      <c r="B425" s="491" t="n"/>
      <c r="C425" s="491" t="n"/>
      <c r="D425" s="491" t="n"/>
      <c r="E425" s="491" t="n"/>
      <c r="F425" s="491" t="n"/>
      <c r="G425" s="491" t="n"/>
      <c r="H425" s="491" t="n"/>
      <c r="I425" s="491" t="n"/>
      <c r="J425" s="491" t="n"/>
      <c r="K425" s="491" t="n"/>
      <c r="L425" s="491" t="n"/>
      <c r="M425" s="491" t="n"/>
      <c r="N425" s="491" t="n"/>
      <c r="O425" s="491" t="n"/>
      <c r="P425" s="491" t="n"/>
      <c r="Q425" s="491" t="n"/>
      <c r="R425" s="491" t="n"/>
      <c r="S425" s="491" t="n"/>
      <c r="T425" s="491" t="n"/>
      <c r="U425" s="491" t="n"/>
      <c r="V425" s="491" t="n"/>
      <c r="W425" s="491" t="n"/>
      <c r="X425" s="491" t="n"/>
      <c r="Y425" s="491" t="n"/>
    </row>
    <row r="426" ht="12.75" customHeight="1" s="398">
      <c r="A426" s="491" t="n"/>
      <c r="B426" s="491" t="n"/>
      <c r="C426" s="491" t="n"/>
      <c r="D426" s="491" t="n"/>
      <c r="E426" s="491" t="n"/>
      <c r="F426" s="491" t="n"/>
      <c r="G426" s="491" t="n"/>
      <c r="H426" s="491" t="n"/>
      <c r="I426" s="491" t="n"/>
      <c r="J426" s="491" t="n"/>
      <c r="K426" s="491" t="n"/>
      <c r="L426" s="491" t="n"/>
      <c r="M426" s="491" t="n"/>
      <c r="N426" s="491" t="n"/>
      <c r="O426" s="491" t="n"/>
      <c r="P426" s="491" t="n"/>
      <c r="Q426" s="491" t="n"/>
      <c r="R426" s="491" t="n"/>
      <c r="S426" s="491" t="n"/>
      <c r="T426" s="491" t="n"/>
      <c r="U426" s="491" t="n"/>
      <c r="V426" s="491" t="n"/>
      <c r="W426" s="491" t="n"/>
      <c r="X426" s="491" t="n"/>
      <c r="Y426" s="491" t="n"/>
    </row>
    <row r="427" ht="12.75" customHeight="1" s="398">
      <c r="A427" s="491" t="n"/>
      <c r="B427" s="491" t="n"/>
      <c r="C427" s="491" t="n"/>
      <c r="D427" s="491" t="n"/>
      <c r="E427" s="491" t="n"/>
      <c r="F427" s="491" t="n"/>
      <c r="G427" s="491" t="n"/>
      <c r="H427" s="491" t="n"/>
      <c r="I427" s="491" t="n"/>
      <c r="J427" s="491" t="n"/>
      <c r="K427" s="491" t="n"/>
      <c r="L427" s="491" t="n"/>
      <c r="M427" s="491" t="n"/>
      <c r="N427" s="491" t="n"/>
      <c r="O427" s="491" t="n"/>
      <c r="P427" s="491" t="n"/>
      <c r="Q427" s="491" t="n"/>
      <c r="R427" s="491" t="n"/>
      <c r="S427" s="491" t="n"/>
      <c r="T427" s="491" t="n"/>
      <c r="U427" s="491" t="n"/>
      <c r="V427" s="491" t="n"/>
      <c r="W427" s="491" t="n"/>
      <c r="X427" s="491" t="n"/>
      <c r="Y427" s="491" t="n"/>
    </row>
    <row r="428" ht="12.75" customHeight="1" s="398">
      <c r="A428" s="491" t="n"/>
      <c r="B428" s="491" t="n"/>
      <c r="C428" s="491" t="n"/>
      <c r="D428" s="491" t="n"/>
      <c r="E428" s="491" t="n"/>
      <c r="F428" s="491" t="n"/>
      <c r="G428" s="491" t="n"/>
      <c r="H428" s="491" t="n"/>
      <c r="I428" s="491" t="n"/>
      <c r="J428" s="491" t="n"/>
      <c r="K428" s="491" t="n"/>
      <c r="L428" s="491" t="n"/>
      <c r="M428" s="491" t="n"/>
      <c r="N428" s="491" t="n"/>
      <c r="O428" s="491" t="n"/>
      <c r="P428" s="491" t="n"/>
      <c r="Q428" s="491" t="n"/>
      <c r="R428" s="491" t="n"/>
      <c r="S428" s="491" t="n"/>
      <c r="T428" s="491" t="n"/>
      <c r="U428" s="491" t="n"/>
      <c r="V428" s="491" t="n"/>
      <c r="W428" s="491" t="n"/>
      <c r="X428" s="491" t="n"/>
      <c r="Y428" s="491" t="n"/>
    </row>
    <row r="429" ht="12.75" customHeight="1" s="398">
      <c r="A429" s="491" t="n"/>
      <c r="B429" s="491" t="n"/>
      <c r="C429" s="491" t="n"/>
      <c r="D429" s="491" t="n"/>
      <c r="E429" s="491" t="n"/>
      <c r="F429" s="491" t="n"/>
      <c r="G429" s="491" t="n"/>
      <c r="H429" s="491" t="n"/>
      <c r="I429" s="491" t="n"/>
      <c r="J429" s="491" t="n"/>
      <c r="K429" s="491" t="n"/>
      <c r="L429" s="491" t="n"/>
      <c r="M429" s="491" t="n"/>
      <c r="N429" s="491" t="n"/>
      <c r="O429" s="491" t="n"/>
      <c r="P429" s="491" t="n"/>
      <c r="Q429" s="491" t="n"/>
      <c r="R429" s="491" t="n"/>
      <c r="S429" s="491" t="n"/>
      <c r="T429" s="491" t="n"/>
      <c r="U429" s="491" t="n"/>
      <c r="V429" s="491" t="n"/>
      <c r="W429" s="491" t="n"/>
      <c r="X429" s="491" t="n"/>
      <c r="Y429" s="491" t="n"/>
    </row>
    <row r="430" ht="12.75" customHeight="1" s="398">
      <c r="A430" s="491" t="n"/>
      <c r="B430" s="491" t="n"/>
      <c r="C430" s="491" t="n"/>
      <c r="D430" s="491" t="n"/>
      <c r="E430" s="491" t="n"/>
      <c r="F430" s="491" t="n"/>
      <c r="G430" s="491" t="n"/>
      <c r="H430" s="491" t="n"/>
      <c r="I430" s="491" t="n"/>
      <c r="J430" s="491" t="n"/>
      <c r="K430" s="491" t="n"/>
      <c r="L430" s="491" t="n"/>
      <c r="M430" s="491" t="n"/>
      <c r="N430" s="491" t="n"/>
      <c r="O430" s="491" t="n"/>
      <c r="P430" s="491" t="n"/>
      <c r="Q430" s="491" t="n"/>
      <c r="R430" s="491" t="n"/>
      <c r="S430" s="491" t="n"/>
      <c r="T430" s="491" t="n"/>
      <c r="U430" s="491" t="n"/>
      <c r="V430" s="491" t="n"/>
      <c r="W430" s="491" t="n"/>
      <c r="X430" s="491" t="n"/>
      <c r="Y430" s="491" t="n"/>
    </row>
    <row r="431" ht="12.75" customHeight="1" s="398">
      <c r="A431" s="491" t="n"/>
      <c r="B431" s="491" t="n"/>
      <c r="C431" s="491" t="n"/>
      <c r="D431" s="491" t="n"/>
      <c r="E431" s="491" t="n"/>
      <c r="F431" s="491" t="n"/>
      <c r="G431" s="491" t="n"/>
      <c r="H431" s="491" t="n"/>
      <c r="I431" s="491" t="n"/>
      <c r="J431" s="491" t="n"/>
      <c r="K431" s="491" t="n"/>
      <c r="L431" s="491" t="n"/>
      <c r="M431" s="491" t="n"/>
      <c r="N431" s="491" t="n"/>
      <c r="O431" s="491" t="n"/>
      <c r="P431" s="491" t="n"/>
      <c r="Q431" s="491" t="n"/>
      <c r="R431" s="491" t="n"/>
      <c r="S431" s="491" t="n"/>
      <c r="T431" s="491" t="n"/>
      <c r="U431" s="491" t="n"/>
      <c r="V431" s="491" t="n"/>
      <c r="W431" s="491" t="n"/>
      <c r="X431" s="491" t="n"/>
      <c r="Y431" s="491" t="n"/>
    </row>
    <row r="432" ht="12.75" customHeight="1" s="398">
      <c r="A432" s="491" t="n"/>
      <c r="B432" s="491" t="n"/>
      <c r="C432" s="491" t="n"/>
      <c r="D432" s="491" t="n"/>
      <c r="E432" s="491" t="n"/>
      <c r="F432" s="491" t="n"/>
      <c r="G432" s="491" t="n"/>
      <c r="H432" s="491" t="n"/>
      <c r="I432" s="491" t="n"/>
      <c r="J432" s="491" t="n"/>
      <c r="K432" s="491" t="n"/>
      <c r="L432" s="491" t="n"/>
      <c r="M432" s="491" t="n"/>
      <c r="N432" s="491" t="n"/>
      <c r="O432" s="491" t="n"/>
      <c r="P432" s="491" t="n"/>
      <c r="Q432" s="491" t="n"/>
      <c r="R432" s="491" t="n"/>
      <c r="S432" s="491" t="n"/>
      <c r="T432" s="491" t="n"/>
      <c r="U432" s="491" t="n"/>
      <c r="V432" s="491" t="n"/>
      <c r="W432" s="491" t="n"/>
      <c r="X432" s="491" t="n"/>
      <c r="Y432" s="491" t="n"/>
    </row>
    <row r="433" ht="12.75" customHeight="1" s="398">
      <c r="A433" s="491" t="n"/>
      <c r="B433" s="491" t="n"/>
      <c r="C433" s="491" t="n"/>
      <c r="D433" s="491" t="n"/>
      <c r="E433" s="491" t="n"/>
      <c r="F433" s="491" t="n"/>
      <c r="G433" s="491" t="n"/>
      <c r="H433" s="491" t="n"/>
      <c r="I433" s="491" t="n"/>
      <c r="J433" s="491" t="n"/>
      <c r="K433" s="491" t="n"/>
      <c r="L433" s="491" t="n"/>
      <c r="M433" s="491" t="n"/>
      <c r="N433" s="491" t="n"/>
      <c r="O433" s="491" t="n"/>
      <c r="P433" s="491" t="n"/>
      <c r="Q433" s="491" t="n"/>
      <c r="R433" s="491" t="n"/>
      <c r="S433" s="491" t="n"/>
      <c r="T433" s="491" t="n"/>
      <c r="U433" s="491" t="n"/>
      <c r="V433" s="491" t="n"/>
      <c r="W433" s="491" t="n"/>
      <c r="X433" s="491" t="n"/>
      <c r="Y433" s="491" t="n"/>
    </row>
    <row r="434" ht="12.75" customHeight="1" s="398">
      <c r="A434" s="491" t="n"/>
      <c r="B434" s="491" t="n"/>
      <c r="C434" s="491" t="n"/>
      <c r="D434" s="491" t="n"/>
      <c r="E434" s="491" t="n"/>
      <c r="F434" s="491" t="n"/>
      <c r="G434" s="491" t="n"/>
      <c r="H434" s="491" t="n"/>
      <c r="I434" s="491" t="n"/>
      <c r="J434" s="491" t="n"/>
      <c r="K434" s="491" t="n"/>
      <c r="L434" s="491" t="n"/>
      <c r="M434" s="491" t="n"/>
      <c r="N434" s="491" t="n"/>
      <c r="O434" s="491" t="n"/>
      <c r="P434" s="491" t="n"/>
      <c r="Q434" s="491" t="n"/>
      <c r="R434" s="491" t="n"/>
      <c r="S434" s="491" t="n"/>
      <c r="T434" s="491" t="n"/>
      <c r="U434" s="491" t="n"/>
      <c r="V434" s="491" t="n"/>
      <c r="W434" s="491" t="n"/>
      <c r="X434" s="491" t="n"/>
      <c r="Y434" s="491" t="n"/>
    </row>
    <row r="435" ht="12.75" customHeight="1" s="398">
      <c r="A435" s="491" t="n"/>
      <c r="B435" s="491" t="n"/>
      <c r="C435" s="491" t="n"/>
      <c r="D435" s="491" t="n"/>
      <c r="E435" s="491" t="n"/>
      <c r="F435" s="491" t="n"/>
      <c r="G435" s="491" t="n"/>
      <c r="H435" s="491" t="n"/>
      <c r="I435" s="491" t="n"/>
      <c r="J435" s="491" t="n"/>
      <c r="K435" s="491" t="n"/>
      <c r="L435" s="491" t="n"/>
      <c r="M435" s="491" t="n"/>
      <c r="N435" s="491" t="n"/>
      <c r="O435" s="491" t="n"/>
      <c r="P435" s="491" t="n"/>
      <c r="Q435" s="491" t="n"/>
      <c r="R435" s="491" t="n"/>
      <c r="S435" s="491" t="n"/>
      <c r="T435" s="491" t="n"/>
      <c r="U435" s="491" t="n"/>
      <c r="V435" s="491" t="n"/>
      <c r="W435" s="491" t="n"/>
      <c r="X435" s="491" t="n"/>
      <c r="Y435" s="491" t="n"/>
    </row>
    <row r="436" ht="12.75" customHeight="1" s="398">
      <c r="A436" s="491" t="n"/>
      <c r="B436" s="491" t="n"/>
      <c r="C436" s="491" t="n"/>
      <c r="D436" s="491" t="n"/>
      <c r="E436" s="491" t="n"/>
      <c r="F436" s="491" t="n"/>
      <c r="G436" s="491" t="n"/>
      <c r="H436" s="491" t="n"/>
      <c r="I436" s="491" t="n"/>
      <c r="J436" s="491" t="n"/>
      <c r="K436" s="491" t="n"/>
      <c r="L436" s="491" t="n"/>
      <c r="M436" s="491" t="n"/>
      <c r="N436" s="491" t="n"/>
      <c r="O436" s="491" t="n"/>
      <c r="P436" s="491" t="n"/>
      <c r="Q436" s="491" t="n"/>
      <c r="R436" s="491" t="n"/>
      <c r="S436" s="491" t="n"/>
      <c r="T436" s="491" t="n"/>
      <c r="U436" s="491" t="n"/>
      <c r="V436" s="491" t="n"/>
      <c r="W436" s="491" t="n"/>
      <c r="X436" s="491" t="n"/>
      <c r="Y436" s="491" t="n"/>
    </row>
    <row r="437" ht="12.75" customHeight="1" s="398">
      <c r="A437" s="491" t="n"/>
      <c r="B437" s="491" t="n"/>
      <c r="C437" s="491" t="n"/>
      <c r="D437" s="491" t="n"/>
      <c r="E437" s="491" t="n"/>
      <c r="F437" s="491" t="n"/>
      <c r="G437" s="491" t="n"/>
      <c r="H437" s="491" t="n"/>
      <c r="I437" s="491" t="n"/>
      <c r="J437" s="491" t="n"/>
      <c r="K437" s="491" t="n"/>
      <c r="L437" s="491" t="n"/>
      <c r="M437" s="491" t="n"/>
      <c r="N437" s="491" t="n"/>
      <c r="O437" s="491" t="n"/>
      <c r="P437" s="491" t="n"/>
      <c r="Q437" s="491" t="n"/>
      <c r="R437" s="491" t="n"/>
      <c r="S437" s="491" t="n"/>
      <c r="T437" s="491" t="n"/>
      <c r="U437" s="491" t="n"/>
      <c r="V437" s="491" t="n"/>
      <c r="W437" s="491" t="n"/>
      <c r="X437" s="491" t="n"/>
      <c r="Y437" s="491" t="n"/>
    </row>
    <row r="438" ht="12.75" customHeight="1" s="398">
      <c r="A438" s="491" t="n"/>
      <c r="B438" s="491" t="n"/>
      <c r="C438" s="491" t="n"/>
      <c r="D438" s="491" t="n"/>
      <c r="E438" s="491" t="n"/>
      <c r="F438" s="491" t="n"/>
      <c r="G438" s="491" t="n"/>
      <c r="H438" s="491" t="n"/>
      <c r="I438" s="491" t="n"/>
      <c r="J438" s="491" t="n"/>
      <c r="K438" s="491" t="n"/>
      <c r="L438" s="491" t="n"/>
      <c r="M438" s="491" t="n"/>
      <c r="N438" s="491" t="n"/>
      <c r="O438" s="491" t="n"/>
      <c r="P438" s="491" t="n"/>
      <c r="Q438" s="491" t="n"/>
      <c r="R438" s="491" t="n"/>
      <c r="S438" s="491" t="n"/>
      <c r="T438" s="491" t="n"/>
      <c r="U438" s="491" t="n"/>
      <c r="V438" s="491" t="n"/>
      <c r="W438" s="491" t="n"/>
      <c r="X438" s="491" t="n"/>
      <c r="Y438" s="491" t="n"/>
    </row>
    <row r="439" ht="12.75" customHeight="1" s="398">
      <c r="A439" s="491" t="n"/>
      <c r="B439" s="491" t="n"/>
      <c r="C439" s="491" t="n"/>
      <c r="D439" s="491" t="n"/>
      <c r="E439" s="491" t="n"/>
      <c r="F439" s="491" t="n"/>
      <c r="G439" s="491" t="n"/>
      <c r="H439" s="491" t="n"/>
      <c r="I439" s="491" t="n"/>
      <c r="J439" s="491" t="n"/>
      <c r="K439" s="491" t="n"/>
      <c r="L439" s="491" t="n"/>
      <c r="M439" s="491" t="n"/>
      <c r="N439" s="491" t="n"/>
      <c r="O439" s="491" t="n"/>
      <c r="P439" s="491" t="n"/>
      <c r="Q439" s="491" t="n"/>
      <c r="R439" s="491" t="n"/>
      <c r="S439" s="491" t="n"/>
      <c r="T439" s="491" t="n"/>
      <c r="U439" s="491" t="n"/>
      <c r="V439" s="491" t="n"/>
      <c r="W439" s="491" t="n"/>
      <c r="X439" s="491" t="n"/>
      <c r="Y439" s="491" t="n"/>
    </row>
    <row r="440" ht="12.75" customHeight="1" s="398">
      <c r="A440" s="491" t="n"/>
      <c r="B440" s="491" t="n"/>
      <c r="C440" s="491" t="n"/>
      <c r="D440" s="491" t="n"/>
      <c r="E440" s="491" t="n"/>
      <c r="F440" s="491" t="n"/>
      <c r="G440" s="491" t="n"/>
      <c r="H440" s="491" t="n"/>
      <c r="I440" s="491" t="n"/>
      <c r="J440" s="491" t="n"/>
      <c r="K440" s="491" t="n"/>
      <c r="L440" s="491" t="n"/>
      <c r="M440" s="491" t="n"/>
      <c r="N440" s="491" t="n"/>
      <c r="O440" s="491" t="n"/>
      <c r="P440" s="491" t="n"/>
      <c r="Q440" s="491" t="n"/>
      <c r="R440" s="491" t="n"/>
      <c r="S440" s="491" t="n"/>
      <c r="T440" s="491" t="n"/>
      <c r="U440" s="491" t="n"/>
      <c r="V440" s="491" t="n"/>
      <c r="W440" s="491" t="n"/>
      <c r="X440" s="491" t="n"/>
      <c r="Y440" s="491" t="n"/>
    </row>
    <row r="441" ht="12.75" customHeight="1" s="398">
      <c r="A441" s="491" t="n"/>
      <c r="B441" s="491" t="n"/>
      <c r="C441" s="491" t="n"/>
      <c r="D441" s="491" t="n"/>
      <c r="E441" s="491" t="n"/>
      <c r="F441" s="491" t="n"/>
      <c r="G441" s="491" t="n"/>
      <c r="H441" s="491" t="n"/>
      <c r="I441" s="491" t="n"/>
      <c r="J441" s="491" t="n"/>
      <c r="K441" s="491" t="n"/>
      <c r="L441" s="491" t="n"/>
      <c r="M441" s="491" t="n"/>
      <c r="N441" s="491" t="n"/>
      <c r="O441" s="491" t="n"/>
      <c r="P441" s="491" t="n"/>
      <c r="Q441" s="491" t="n"/>
      <c r="R441" s="491" t="n"/>
      <c r="S441" s="491" t="n"/>
      <c r="T441" s="491" t="n"/>
      <c r="U441" s="491" t="n"/>
      <c r="V441" s="491" t="n"/>
      <c r="W441" s="491" t="n"/>
      <c r="X441" s="491" t="n"/>
      <c r="Y441" s="491" t="n"/>
    </row>
    <row r="442" ht="12.75" customHeight="1" s="398">
      <c r="A442" s="491" t="n"/>
      <c r="B442" s="491" t="n"/>
      <c r="C442" s="491" t="n"/>
      <c r="D442" s="491" t="n"/>
      <c r="E442" s="491" t="n"/>
      <c r="F442" s="491" t="n"/>
      <c r="G442" s="491" t="n"/>
      <c r="H442" s="491" t="n"/>
      <c r="I442" s="491" t="n"/>
      <c r="J442" s="491" t="n"/>
      <c r="K442" s="491" t="n"/>
      <c r="L442" s="491" t="n"/>
      <c r="M442" s="491" t="n"/>
      <c r="N442" s="491" t="n"/>
      <c r="O442" s="491" t="n"/>
      <c r="P442" s="491" t="n"/>
      <c r="Q442" s="491" t="n"/>
      <c r="R442" s="491" t="n"/>
      <c r="S442" s="491" t="n"/>
      <c r="T442" s="491" t="n"/>
      <c r="U442" s="491" t="n"/>
      <c r="V442" s="491" t="n"/>
      <c r="W442" s="491" t="n"/>
      <c r="X442" s="491" t="n"/>
      <c r="Y442" s="491" t="n"/>
    </row>
    <row r="443" ht="12.75" customHeight="1" s="398">
      <c r="A443" s="491" t="n"/>
      <c r="B443" s="491" t="n"/>
      <c r="C443" s="491" t="n"/>
      <c r="D443" s="491" t="n"/>
      <c r="E443" s="491" t="n"/>
      <c r="F443" s="491" t="n"/>
      <c r="G443" s="491" t="n"/>
      <c r="H443" s="491" t="n"/>
      <c r="I443" s="491" t="n"/>
      <c r="J443" s="491" t="n"/>
      <c r="K443" s="491" t="n"/>
      <c r="L443" s="491" t="n"/>
      <c r="M443" s="491" t="n"/>
      <c r="N443" s="491" t="n"/>
      <c r="O443" s="491" t="n"/>
      <c r="P443" s="491" t="n"/>
      <c r="Q443" s="491" t="n"/>
      <c r="R443" s="491" t="n"/>
      <c r="S443" s="491" t="n"/>
      <c r="T443" s="491" t="n"/>
      <c r="U443" s="491" t="n"/>
      <c r="V443" s="491" t="n"/>
      <c r="W443" s="491" t="n"/>
      <c r="X443" s="491" t="n"/>
      <c r="Y443" s="491" t="n"/>
    </row>
    <row r="444" ht="12.75" customHeight="1" s="398">
      <c r="A444" s="491" t="n"/>
      <c r="B444" s="491" t="n"/>
      <c r="C444" s="491" t="n"/>
      <c r="D444" s="491" t="n"/>
      <c r="E444" s="491" t="n"/>
      <c r="F444" s="491" t="n"/>
      <c r="G444" s="491" t="n"/>
      <c r="H444" s="491" t="n"/>
      <c r="I444" s="491" t="n"/>
      <c r="J444" s="491" t="n"/>
      <c r="K444" s="491" t="n"/>
      <c r="L444" s="491" t="n"/>
      <c r="M444" s="491" t="n"/>
      <c r="N444" s="491" t="n"/>
      <c r="O444" s="491" t="n"/>
      <c r="P444" s="491" t="n"/>
      <c r="Q444" s="491" t="n"/>
      <c r="R444" s="491" t="n"/>
      <c r="S444" s="491" t="n"/>
      <c r="T444" s="491" t="n"/>
      <c r="U444" s="491" t="n"/>
      <c r="V444" s="491" t="n"/>
      <c r="W444" s="491" t="n"/>
      <c r="X444" s="491" t="n"/>
      <c r="Y444" s="491" t="n"/>
    </row>
    <row r="445" ht="12.75" customHeight="1" s="398">
      <c r="A445" s="491" t="n"/>
      <c r="B445" s="491" t="n"/>
      <c r="C445" s="491" t="n"/>
      <c r="D445" s="491" t="n"/>
      <c r="E445" s="491" t="n"/>
      <c r="F445" s="491" t="n"/>
      <c r="G445" s="491" t="n"/>
      <c r="H445" s="491" t="n"/>
      <c r="I445" s="491" t="n"/>
      <c r="J445" s="491" t="n"/>
      <c r="K445" s="491" t="n"/>
      <c r="L445" s="491" t="n"/>
      <c r="M445" s="491" t="n"/>
      <c r="N445" s="491" t="n"/>
      <c r="O445" s="491" t="n"/>
      <c r="P445" s="491" t="n"/>
      <c r="Q445" s="491" t="n"/>
      <c r="R445" s="491" t="n"/>
      <c r="S445" s="491" t="n"/>
      <c r="T445" s="491" t="n"/>
      <c r="U445" s="491" t="n"/>
      <c r="V445" s="491" t="n"/>
      <c r="W445" s="491" t="n"/>
      <c r="X445" s="491" t="n"/>
      <c r="Y445" s="491" t="n"/>
    </row>
    <row r="446" ht="12.75" customHeight="1" s="398">
      <c r="A446" s="491" t="n"/>
      <c r="B446" s="491" t="n"/>
      <c r="C446" s="491" t="n"/>
      <c r="D446" s="491" t="n"/>
      <c r="E446" s="491" t="n"/>
      <c r="F446" s="491" t="n"/>
      <c r="G446" s="491" t="n"/>
      <c r="H446" s="491" t="n"/>
      <c r="I446" s="491" t="n"/>
      <c r="J446" s="491" t="n"/>
      <c r="K446" s="491" t="n"/>
      <c r="L446" s="491" t="n"/>
      <c r="M446" s="491" t="n"/>
      <c r="N446" s="491" t="n"/>
      <c r="O446" s="491" t="n"/>
      <c r="P446" s="491" t="n"/>
      <c r="Q446" s="491" t="n"/>
      <c r="R446" s="491" t="n"/>
      <c r="S446" s="491" t="n"/>
      <c r="T446" s="491" t="n"/>
      <c r="U446" s="491" t="n"/>
      <c r="V446" s="491" t="n"/>
      <c r="W446" s="491" t="n"/>
      <c r="X446" s="491" t="n"/>
      <c r="Y446" s="491" t="n"/>
    </row>
    <row r="447" ht="12.75" customHeight="1" s="398">
      <c r="A447" s="491" t="n"/>
      <c r="B447" s="491" t="n"/>
      <c r="C447" s="491" t="n"/>
      <c r="D447" s="491" t="n"/>
      <c r="E447" s="491" t="n"/>
      <c r="F447" s="491" t="n"/>
      <c r="G447" s="491" t="n"/>
      <c r="H447" s="491" t="n"/>
      <c r="I447" s="491" t="n"/>
      <c r="J447" s="491" t="n"/>
      <c r="K447" s="491" t="n"/>
      <c r="L447" s="491" t="n"/>
      <c r="M447" s="491" t="n"/>
      <c r="N447" s="491" t="n"/>
      <c r="O447" s="491" t="n"/>
      <c r="P447" s="491" t="n"/>
      <c r="Q447" s="491" t="n"/>
      <c r="R447" s="491" t="n"/>
      <c r="S447" s="491" t="n"/>
      <c r="T447" s="491" t="n"/>
      <c r="U447" s="491" t="n"/>
      <c r="V447" s="491" t="n"/>
      <c r="W447" s="491" t="n"/>
      <c r="X447" s="491" t="n"/>
      <c r="Y447" s="491" t="n"/>
    </row>
    <row r="448" ht="12.75" customHeight="1" s="398">
      <c r="A448" s="491" t="n"/>
      <c r="B448" s="491" t="n"/>
      <c r="C448" s="491" t="n"/>
      <c r="D448" s="491" t="n"/>
      <c r="E448" s="491" t="n"/>
      <c r="F448" s="491" t="n"/>
      <c r="G448" s="491" t="n"/>
      <c r="H448" s="491" t="n"/>
      <c r="I448" s="491" t="n"/>
      <c r="J448" s="491" t="n"/>
      <c r="K448" s="491" t="n"/>
      <c r="L448" s="491" t="n"/>
      <c r="M448" s="491" t="n"/>
      <c r="N448" s="491" t="n"/>
      <c r="O448" s="491" t="n"/>
      <c r="P448" s="491" t="n"/>
      <c r="Q448" s="491" t="n"/>
      <c r="R448" s="491" t="n"/>
      <c r="S448" s="491" t="n"/>
      <c r="T448" s="491" t="n"/>
      <c r="U448" s="491" t="n"/>
      <c r="V448" s="491" t="n"/>
      <c r="W448" s="491" t="n"/>
      <c r="X448" s="491" t="n"/>
      <c r="Y448" s="491" t="n"/>
    </row>
    <row r="449" ht="12.75" customHeight="1" s="398">
      <c r="A449" s="491" t="n"/>
      <c r="B449" s="491" t="n"/>
      <c r="C449" s="491" t="n"/>
      <c r="D449" s="491" t="n"/>
      <c r="E449" s="491" t="n"/>
      <c r="F449" s="491" t="n"/>
      <c r="G449" s="491" t="n"/>
      <c r="H449" s="491" t="n"/>
      <c r="I449" s="491" t="n"/>
      <c r="J449" s="491" t="n"/>
      <c r="K449" s="491" t="n"/>
      <c r="L449" s="491" t="n"/>
      <c r="M449" s="491" t="n"/>
      <c r="N449" s="491" t="n"/>
      <c r="O449" s="491" t="n"/>
      <c r="P449" s="491" t="n"/>
      <c r="Q449" s="491" t="n"/>
      <c r="R449" s="491" t="n"/>
      <c r="S449" s="491" t="n"/>
      <c r="T449" s="491" t="n"/>
      <c r="U449" s="491" t="n"/>
      <c r="V449" s="491" t="n"/>
      <c r="W449" s="491" t="n"/>
      <c r="X449" s="491" t="n"/>
      <c r="Y449" s="491" t="n"/>
    </row>
    <row r="450" ht="12.75" customHeight="1" s="398">
      <c r="A450" s="491" t="n"/>
      <c r="B450" s="491" t="n"/>
      <c r="C450" s="491" t="n"/>
      <c r="D450" s="491" t="n"/>
      <c r="E450" s="491" t="n"/>
      <c r="F450" s="491" t="n"/>
      <c r="G450" s="491" t="n"/>
      <c r="H450" s="491" t="n"/>
      <c r="I450" s="491" t="n"/>
      <c r="J450" s="491" t="n"/>
      <c r="K450" s="491" t="n"/>
      <c r="L450" s="491" t="n"/>
      <c r="M450" s="491" t="n"/>
      <c r="N450" s="491" t="n"/>
      <c r="O450" s="491" t="n"/>
      <c r="P450" s="491" t="n"/>
      <c r="Q450" s="491" t="n"/>
      <c r="R450" s="491" t="n"/>
      <c r="S450" s="491" t="n"/>
      <c r="T450" s="491" t="n"/>
      <c r="U450" s="491" t="n"/>
      <c r="V450" s="491" t="n"/>
      <c r="W450" s="491" t="n"/>
      <c r="X450" s="491" t="n"/>
      <c r="Y450" s="491" t="n"/>
    </row>
    <row r="451" ht="12.75" customHeight="1" s="398">
      <c r="A451" s="491" t="n"/>
      <c r="B451" s="491" t="n"/>
      <c r="C451" s="491" t="n"/>
      <c r="D451" s="491" t="n"/>
      <c r="E451" s="491" t="n"/>
      <c r="F451" s="491" t="n"/>
      <c r="G451" s="491" t="n"/>
      <c r="H451" s="491" t="n"/>
      <c r="I451" s="491" t="n"/>
      <c r="J451" s="491" t="n"/>
      <c r="K451" s="491" t="n"/>
      <c r="L451" s="491" t="n"/>
      <c r="M451" s="491" t="n"/>
      <c r="N451" s="491" t="n"/>
      <c r="O451" s="491" t="n"/>
      <c r="P451" s="491" t="n"/>
      <c r="Q451" s="491" t="n"/>
      <c r="R451" s="491" t="n"/>
      <c r="S451" s="491" t="n"/>
      <c r="T451" s="491" t="n"/>
      <c r="U451" s="491" t="n"/>
      <c r="V451" s="491" t="n"/>
      <c r="W451" s="491" t="n"/>
      <c r="X451" s="491" t="n"/>
      <c r="Y451" s="491" t="n"/>
    </row>
    <row r="452" ht="12.75" customHeight="1" s="398">
      <c r="A452" s="491" t="n"/>
      <c r="B452" s="491" t="n"/>
      <c r="C452" s="491" t="n"/>
      <c r="D452" s="491" t="n"/>
      <c r="E452" s="491" t="n"/>
      <c r="F452" s="491" t="n"/>
      <c r="G452" s="491" t="n"/>
      <c r="H452" s="491" t="n"/>
      <c r="I452" s="491" t="n"/>
      <c r="J452" s="491" t="n"/>
      <c r="K452" s="491" t="n"/>
      <c r="L452" s="491" t="n"/>
      <c r="M452" s="491" t="n"/>
      <c r="N452" s="491" t="n"/>
      <c r="O452" s="491" t="n"/>
      <c r="P452" s="491" t="n"/>
      <c r="Q452" s="491" t="n"/>
      <c r="R452" s="491" t="n"/>
      <c r="S452" s="491" t="n"/>
      <c r="T452" s="491" t="n"/>
      <c r="U452" s="491" t="n"/>
      <c r="V452" s="491" t="n"/>
      <c r="W452" s="491" t="n"/>
      <c r="X452" s="491" t="n"/>
      <c r="Y452" s="491" t="n"/>
    </row>
    <row r="453" ht="12.75" customHeight="1" s="398">
      <c r="A453" s="491" t="n"/>
      <c r="B453" s="491" t="n"/>
      <c r="C453" s="491" t="n"/>
      <c r="D453" s="491" t="n"/>
      <c r="E453" s="491" t="n"/>
      <c r="F453" s="491" t="n"/>
      <c r="G453" s="491" t="n"/>
      <c r="H453" s="491" t="n"/>
      <c r="I453" s="491" t="n"/>
      <c r="J453" s="491" t="n"/>
      <c r="K453" s="491" t="n"/>
      <c r="L453" s="491" t="n"/>
      <c r="M453" s="491" t="n"/>
      <c r="N453" s="491" t="n"/>
      <c r="O453" s="491" t="n"/>
      <c r="P453" s="491" t="n"/>
      <c r="Q453" s="491" t="n"/>
      <c r="R453" s="491" t="n"/>
      <c r="S453" s="491" t="n"/>
      <c r="T453" s="491" t="n"/>
      <c r="U453" s="491" t="n"/>
      <c r="V453" s="491" t="n"/>
      <c r="W453" s="491" t="n"/>
      <c r="X453" s="491" t="n"/>
      <c r="Y453" s="491" t="n"/>
    </row>
    <row r="454" ht="12.75" customHeight="1" s="398">
      <c r="A454" s="491" t="n"/>
      <c r="B454" s="491" t="n"/>
      <c r="C454" s="491" t="n"/>
      <c r="D454" s="491" t="n"/>
      <c r="E454" s="491" t="n"/>
      <c r="F454" s="491" t="n"/>
      <c r="G454" s="491" t="n"/>
      <c r="H454" s="491" t="n"/>
      <c r="I454" s="491" t="n"/>
      <c r="J454" s="491" t="n"/>
      <c r="K454" s="491" t="n"/>
      <c r="L454" s="491" t="n"/>
      <c r="M454" s="491" t="n"/>
      <c r="N454" s="491" t="n"/>
      <c r="O454" s="491" t="n"/>
      <c r="P454" s="491" t="n"/>
      <c r="Q454" s="491" t="n"/>
      <c r="R454" s="491" t="n"/>
      <c r="S454" s="491" t="n"/>
      <c r="T454" s="491" t="n"/>
      <c r="U454" s="491" t="n"/>
      <c r="V454" s="491" t="n"/>
      <c r="W454" s="491" t="n"/>
      <c r="X454" s="491" t="n"/>
      <c r="Y454" s="491" t="n"/>
    </row>
    <row r="455" ht="12.75" customHeight="1" s="398">
      <c r="A455" s="491" t="n"/>
      <c r="B455" s="491" t="n"/>
      <c r="C455" s="491" t="n"/>
      <c r="D455" s="491" t="n"/>
      <c r="E455" s="491" t="n"/>
      <c r="F455" s="491" t="n"/>
      <c r="G455" s="491" t="n"/>
      <c r="H455" s="491" t="n"/>
      <c r="I455" s="491" t="n"/>
      <c r="J455" s="491" t="n"/>
      <c r="K455" s="491" t="n"/>
      <c r="L455" s="491" t="n"/>
      <c r="M455" s="491" t="n"/>
      <c r="N455" s="491" t="n"/>
      <c r="O455" s="491" t="n"/>
      <c r="P455" s="491" t="n"/>
      <c r="Q455" s="491" t="n"/>
      <c r="R455" s="491" t="n"/>
      <c r="S455" s="491" t="n"/>
      <c r="T455" s="491" t="n"/>
      <c r="U455" s="491" t="n"/>
      <c r="V455" s="491" t="n"/>
      <c r="W455" s="491" t="n"/>
      <c r="X455" s="491" t="n"/>
      <c r="Y455" s="491" t="n"/>
    </row>
    <row r="456" ht="12.75" customHeight="1" s="398">
      <c r="A456" s="491" t="n"/>
      <c r="B456" s="491" t="n"/>
      <c r="C456" s="491" t="n"/>
      <c r="D456" s="491" t="n"/>
      <c r="E456" s="491" t="n"/>
      <c r="F456" s="491" t="n"/>
      <c r="G456" s="491" t="n"/>
      <c r="H456" s="491" t="n"/>
      <c r="I456" s="491" t="n"/>
      <c r="J456" s="491" t="n"/>
      <c r="K456" s="491" t="n"/>
      <c r="L456" s="491" t="n"/>
      <c r="M456" s="491" t="n"/>
      <c r="N456" s="491" t="n"/>
      <c r="O456" s="491" t="n"/>
      <c r="P456" s="491" t="n"/>
      <c r="Q456" s="491" t="n"/>
      <c r="R456" s="491" t="n"/>
      <c r="S456" s="491" t="n"/>
      <c r="T456" s="491" t="n"/>
      <c r="U456" s="491" t="n"/>
      <c r="V456" s="491" t="n"/>
      <c r="W456" s="491" t="n"/>
      <c r="X456" s="491" t="n"/>
      <c r="Y456" s="491" t="n"/>
    </row>
    <row r="457" ht="12.75" customHeight="1" s="398">
      <c r="A457" s="491" t="n"/>
      <c r="B457" s="491" t="n"/>
      <c r="C457" s="491" t="n"/>
      <c r="D457" s="491" t="n"/>
      <c r="E457" s="491" t="n"/>
      <c r="F457" s="491" t="n"/>
      <c r="G457" s="491" t="n"/>
      <c r="H457" s="491" t="n"/>
      <c r="I457" s="491" t="n"/>
      <c r="J457" s="491" t="n"/>
      <c r="K457" s="491" t="n"/>
      <c r="L457" s="491" t="n"/>
      <c r="M457" s="491" t="n"/>
      <c r="N457" s="491" t="n"/>
      <c r="O457" s="491" t="n"/>
      <c r="P457" s="491" t="n"/>
      <c r="Q457" s="491" t="n"/>
      <c r="R457" s="491" t="n"/>
      <c r="S457" s="491" t="n"/>
      <c r="T457" s="491" t="n"/>
      <c r="U457" s="491" t="n"/>
      <c r="V457" s="491" t="n"/>
      <c r="W457" s="491" t="n"/>
      <c r="X457" s="491" t="n"/>
      <c r="Y457" s="491" t="n"/>
    </row>
    <row r="458" ht="12.75" customHeight="1" s="398">
      <c r="A458" s="491" t="n"/>
      <c r="B458" s="491" t="n"/>
      <c r="C458" s="491" t="n"/>
      <c r="D458" s="491" t="n"/>
      <c r="E458" s="491" t="n"/>
      <c r="F458" s="491" t="n"/>
      <c r="G458" s="491" t="n"/>
      <c r="H458" s="491" t="n"/>
      <c r="I458" s="491" t="n"/>
      <c r="J458" s="491" t="n"/>
      <c r="K458" s="491" t="n"/>
      <c r="L458" s="491" t="n"/>
      <c r="M458" s="491" t="n"/>
      <c r="N458" s="491" t="n"/>
      <c r="O458" s="491" t="n"/>
      <c r="P458" s="491" t="n"/>
      <c r="Q458" s="491" t="n"/>
      <c r="R458" s="491" t="n"/>
      <c r="S458" s="491" t="n"/>
      <c r="T458" s="491" t="n"/>
      <c r="U458" s="491" t="n"/>
      <c r="V458" s="491" t="n"/>
      <c r="W458" s="491" t="n"/>
      <c r="X458" s="491" t="n"/>
      <c r="Y458" s="491" t="n"/>
    </row>
    <row r="459" ht="12.75" customHeight="1" s="398">
      <c r="A459" s="491" t="n"/>
      <c r="B459" s="491" t="n"/>
      <c r="C459" s="491" t="n"/>
      <c r="D459" s="491" t="n"/>
      <c r="E459" s="491" t="n"/>
      <c r="F459" s="491" t="n"/>
      <c r="G459" s="491" t="n"/>
      <c r="H459" s="491" t="n"/>
      <c r="I459" s="491" t="n"/>
      <c r="J459" s="491" t="n"/>
      <c r="K459" s="491" t="n"/>
      <c r="L459" s="491" t="n"/>
      <c r="M459" s="491" t="n"/>
      <c r="N459" s="491" t="n"/>
      <c r="O459" s="491" t="n"/>
      <c r="P459" s="491" t="n"/>
      <c r="Q459" s="491" t="n"/>
      <c r="R459" s="491" t="n"/>
      <c r="S459" s="491" t="n"/>
      <c r="T459" s="491" t="n"/>
      <c r="U459" s="491" t="n"/>
      <c r="V459" s="491" t="n"/>
      <c r="W459" s="491" t="n"/>
      <c r="X459" s="491" t="n"/>
      <c r="Y459" s="491" t="n"/>
    </row>
    <row r="460" ht="12.75" customHeight="1" s="398">
      <c r="A460" s="491" t="n"/>
      <c r="B460" s="491" t="n"/>
      <c r="C460" s="491" t="n"/>
      <c r="D460" s="491" t="n"/>
      <c r="E460" s="491" t="n"/>
      <c r="F460" s="491" t="n"/>
      <c r="G460" s="491" t="n"/>
      <c r="H460" s="491" t="n"/>
      <c r="I460" s="491" t="n"/>
      <c r="J460" s="491" t="n"/>
      <c r="K460" s="491" t="n"/>
      <c r="L460" s="491" t="n"/>
      <c r="M460" s="491" t="n"/>
      <c r="N460" s="491" t="n"/>
      <c r="O460" s="491" t="n"/>
      <c r="P460" s="491" t="n"/>
      <c r="Q460" s="491" t="n"/>
      <c r="R460" s="491" t="n"/>
      <c r="S460" s="491" t="n"/>
      <c r="T460" s="491" t="n"/>
      <c r="U460" s="491" t="n"/>
      <c r="V460" s="491" t="n"/>
      <c r="W460" s="491" t="n"/>
      <c r="X460" s="491" t="n"/>
      <c r="Y460" s="491" t="n"/>
    </row>
    <row r="461" ht="12.75" customHeight="1" s="398">
      <c r="A461" s="491" t="n"/>
      <c r="B461" s="491" t="n"/>
      <c r="C461" s="491" t="n"/>
      <c r="D461" s="491" t="n"/>
      <c r="E461" s="491" t="n"/>
      <c r="F461" s="491" t="n"/>
      <c r="G461" s="491" t="n"/>
      <c r="H461" s="491" t="n"/>
      <c r="I461" s="491" t="n"/>
      <c r="J461" s="491" t="n"/>
      <c r="K461" s="491" t="n"/>
      <c r="L461" s="491" t="n"/>
      <c r="M461" s="491" t="n"/>
      <c r="N461" s="491" t="n"/>
      <c r="O461" s="491" t="n"/>
      <c r="P461" s="491" t="n"/>
      <c r="Q461" s="491" t="n"/>
      <c r="R461" s="491" t="n"/>
      <c r="S461" s="491" t="n"/>
      <c r="T461" s="491" t="n"/>
      <c r="U461" s="491" t="n"/>
      <c r="V461" s="491" t="n"/>
      <c r="W461" s="491" t="n"/>
      <c r="X461" s="491" t="n"/>
      <c r="Y461" s="491" t="n"/>
    </row>
    <row r="462" ht="12.75" customHeight="1" s="398">
      <c r="A462" s="491" t="n"/>
      <c r="B462" s="491" t="n"/>
      <c r="C462" s="491" t="n"/>
      <c r="D462" s="491" t="n"/>
      <c r="E462" s="491" t="n"/>
      <c r="F462" s="491" t="n"/>
      <c r="G462" s="491" t="n"/>
      <c r="H462" s="491" t="n"/>
      <c r="I462" s="491" t="n"/>
      <c r="J462" s="491" t="n"/>
      <c r="K462" s="491" t="n"/>
      <c r="L462" s="491" t="n"/>
      <c r="M462" s="491" t="n"/>
      <c r="N462" s="491" t="n"/>
      <c r="O462" s="491" t="n"/>
      <c r="P462" s="491" t="n"/>
      <c r="Q462" s="491" t="n"/>
      <c r="R462" s="491" t="n"/>
      <c r="S462" s="491" t="n"/>
      <c r="T462" s="491" t="n"/>
      <c r="U462" s="491" t="n"/>
      <c r="V462" s="491" t="n"/>
      <c r="W462" s="491" t="n"/>
      <c r="X462" s="491" t="n"/>
      <c r="Y462" s="491" t="n"/>
    </row>
    <row r="463" ht="12.75" customHeight="1" s="398">
      <c r="A463" s="491" t="n"/>
      <c r="B463" s="491" t="n"/>
      <c r="C463" s="491" t="n"/>
      <c r="D463" s="491" t="n"/>
      <c r="E463" s="491" t="n"/>
      <c r="F463" s="491" t="n"/>
      <c r="G463" s="491" t="n"/>
      <c r="H463" s="491" t="n"/>
      <c r="I463" s="491" t="n"/>
      <c r="J463" s="491" t="n"/>
      <c r="K463" s="491" t="n"/>
      <c r="L463" s="491" t="n"/>
      <c r="M463" s="491" t="n"/>
      <c r="N463" s="491" t="n"/>
      <c r="O463" s="491" t="n"/>
      <c r="P463" s="491" t="n"/>
      <c r="Q463" s="491" t="n"/>
      <c r="R463" s="491" t="n"/>
      <c r="S463" s="491" t="n"/>
      <c r="T463" s="491" t="n"/>
      <c r="U463" s="491" t="n"/>
      <c r="V463" s="491" t="n"/>
      <c r="W463" s="491" t="n"/>
      <c r="X463" s="491" t="n"/>
      <c r="Y463" s="491" t="n"/>
    </row>
    <row r="464" ht="12.75" customHeight="1" s="398">
      <c r="A464" s="491" t="n"/>
      <c r="B464" s="491" t="n"/>
      <c r="C464" s="491" t="n"/>
      <c r="D464" s="491" t="n"/>
      <c r="E464" s="491" t="n"/>
      <c r="F464" s="491" t="n"/>
      <c r="G464" s="491" t="n"/>
      <c r="H464" s="491" t="n"/>
      <c r="I464" s="491" t="n"/>
      <c r="J464" s="491" t="n"/>
      <c r="K464" s="491" t="n"/>
      <c r="L464" s="491" t="n"/>
      <c r="M464" s="491" t="n"/>
      <c r="N464" s="491" t="n"/>
      <c r="O464" s="491" t="n"/>
      <c r="P464" s="491" t="n"/>
      <c r="Q464" s="491" t="n"/>
      <c r="R464" s="491" t="n"/>
      <c r="S464" s="491" t="n"/>
      <c r="T464" s="491" t="n"/>
      <c r="U464" s="491" t="n"/>
      <c r="V464" s="491" t="n"/>
      <c r="W464" s="491" t="n"/>
      <c r="X464" s="491" t="n"/>
      <c r="Y464" s="491" t="n"/>
    </row>
    <row r="465" ht="12.75" customHeight="1" s="398">
      <c r="A465" s="491" t="n"/>
      <c r="B465" s="491" t="n"/>
      <c r="C465" s="491" t="n"/>
      <c r="D465" s="491" t="n"/>
      <c r="E465" s="491" t="n"/>
      <c r="F465" s="491" t="n"/>
      <c r="G465" s="491" t="n"/>
      <c r="H465" s="491" t="n"/>
      <c r="I465" s="491" t="n"/>
      <c r="J465" s="491" t="n"/>
      <c r="K465" s="491" t="n"/>
      <c r="L465" s="491" t="n"/>
      <c r="M465" s="491" t="n"/>
      <c r="N465" s="491" t="n"/>
      <c r="O465" s="491" t="n"/>
      <c r="P465" s="491" t="n"/>
      <c r="Q465" s="491" t="n"/>
      <c r="R465" s="491" t="n"/>
      <c r="S465" s="491" t="n"/>
      <c r="T465" s="491" t="n"/>
      <c r="U465" s="491" t="n"/>
      <c r="V465" s="491" t="n"/>
      <c r="W465" s="491" t="n"/>
      <c r="X465" s="491" t="n"/>
      <c r="Y465" s="491" t="n"/>
    </row>
    <row r="466" ht="12.75" customHeight="1" s="398">
      <c r="A466" s="491" t="n"/>
      <c r="B466" s="491" t="n"/>
      <c r="C466" s="491" t="n"/>
      <c r="D466" s="491" t="n"/>
      <c r="E466" s="491" t="n"/>
      <c r="F466" s="491" t="n"/>
      <c r="G466" s="491" t="n"/>
      <c r="H466" s="491" t="n"/>
      <c r="I466" s="491" t="n"/>
      <c r="J466" s="491" t="n"/>
      <c r="K466" s="491" t="n"/>
      <c r="L466" s="491" t="n"/>
      <c r="M466" s="491" t="n"/>
      <c r="N466" s="491" t="n"/>
      <c r="O466" s="491" t="n"/>
      <c r="P466" s="491" t="n"/>
      <c r="Q466" s="491" t="n"/>
      <c r="R466" s="491" t="n"/>
      <c r="S466" s="491" t="n"/>
      <c r="T466" s="491" t="n"/>
      <c r="U466" s="491" t="n"/>
      <c r="V466" s="491" t="n"/>
      <c r="W466" s="491" t="n"/>
      <c r="X466" s="491" t="n"/>
      <c r="Y466" s="491" t="n"/>
    </row>
    <row r="467" ht="12.75" customHeight="1" s="398">
      <c r="A467" s="491" t="n"/>
      <c r="B467" s="491" t="n"/>
      <c r="C467" s="491" t="n"/>
      <c r="D467" s="491" t="n"/>
      <c r="E467" s="491" t="n"/>
      <c r="F467" s="491" t="n"/>
      <c r="G467" s="491" t="n"/>
      <c r="H467" s="491" t="n"/>
      <c r="I467" s="491" t="n"/>
      <c r="J467" s="491" t="n"/>
      <c r="K467" s="491" t="n"/>
      <c r="L467" s="491" t="n"/>
      <c r="M467" s="491" t="n"/>
      <c r="N467" s="491" t="n"/>
      <c r="O467" s="491" t="n"/>
      <c r="P467" s="491" t="n"/>
      <c r="Q467" s="491" t="n"/>
      <c r="R467" s="491" t="n"/>
      <c r="S467" s="491" t="n"/>
      <c r="T467" s="491" t="n"/>
      <c r="U467" s="491" t="n"/>
      <c r="V467" s="491" t="n"/>
      <c r="W467" s="491" t="n"/>
      <c r="X467" s="491" t="n"/>
      <c r="Y467" s="491" t="n"/>
    </row>
    <row r="468" ht="12.75" customHeight="1" s="398">
      <c r="A468" s="491" t="n"/>
      <c r="B468" s="491" t="n"/>
      <c r="C468" s="491" t="n"/>
      <c r="D468" s="491" t="n"/>
      <c r="E468" s="491" t="n"/>
      <c r="F468" s="491" t="n"/>
      <c r="G468" s="491" t="n"/>
      <c r="H468" s="491" t="n"/>
      <c r="I468" s="491" t="n"/>
      <c r="J468" s="491" t="n"/>
      <c r="K468" s="491" t="n"/>
      <c r="L468" s="491" t="n"/>
      <c r="M468" s="491" t="n"/>
      <c r="N468" s="491" t="n"/>
      <c r="O468" s="491" t="n"/>
      <c r="P468" s="491" t="n"/>
      <c r="Q468" s="491" t="n"/>
      <c r="R468" s="491" t="n"/>
      <c r="S468" s="491" t="n"/>
      <c r="T468" s="491" t="n"/>
      <c r="U468" s="491" t="n"/>
      <c r="V468" s="491" t="n"/>
      <c r="W468" s="491" t="n"/>
      <c r="X468" s="491" t="n"/>
      <c r="Y468" s="491" t="n"/>
    </row>
    <row r="469" ht="12.75" customHeight="1" s="398">
      <c r="A469" s="491" t="n"/>
      <c r="B469" s="491" t="n"/>
      <c r="C469" s="491" t="n"/>
      <c r="D469" s="491" t="n"/>
      <c r="E469" s="491" t="n"/>
      <c r="F469" s="491" t="n"/>
      <c r="G469" s="491" t="n"/>
      <c r="H469" s="491" t="n"/>
      <c r="I469" s="491" t="n"/>
      <c r="J469" s="491" t="n"/>
      <c r="K469" s="491" t="n"/>
      <c r="L469" s="491" t="n"/>
      <c r="M469" s="491" t="n"/>
      <c r="N469" s="491" t="n"/>
      <c r="O469" s="491" t="n"/>
      <c r="P469" s="491" t="n"/>
      <c r="Q469" s="491" t="n"/>
      <c r="R469" s="491" t="n"/>
      <c r="S469" s="491" t="n"/>
      <c r="T469" s="491" t="n"/>
      <c r="U469" s="491" t="n"/>
      <c r="V469" s="491" t="n"/>
      <c r="W469" s="491" t="n"/>
      <c r="X469" s="491" t="n"/>
      <c r="Y469" s="491" t="n"/>
    </row>
    <row r="470" ht="12.75" customHeight="1" s="398">
      <c r="A470" s="491" t="n"/>
      <c r="B470" s="491" t="n"/>
      <c r="C470" s="491" t="n"/>
      <c r="D470" s="491" t="n"/>
      <c r="E470" s="491" t="n"/>
      <c r="F470" s="491" t="n"/>
      <c r="G470" s="491" t="n"/>
      <c r="H470" s="491" t="n"/>
      <c r="I470" s="491" t="n"/>
      <c r="J470" s="491" t="n"/>
      <c r="K470" s="491" t="n"/>
      <c r="L470" s="491" t="n"/>
      <c r="M470" s="491" t="n"/>
      <c r="N470" s="491" t="n"/>
      <c r="O470" s="491" t="n"/>
      <c r="P470" s="491" t="n"/>
      <c r="Q470" s="491" t="n"/>
      <c r="R470" s="491" t="n"/>
      <c r="S470" s="491" t="n"/>
      <c r="T470" s="491" t="n"/>
      <c r="U470" s="491" t="n"/>
      <c r="V470" s="491" t="n"/>
      <c r="W470" s="491" t="n"/>
      <c r="X470" s="491" t="n"/>
      <c r="Y470" s="491" t="n"/>
    </row>
    <row r="471" ht="12.75" customHeight="1" s="398">
      <c r="A471" s="491" t="n"/>
      <c r="B471" s="491" t="n"/>
      <c r="C471" s="491" t="n"/>
      <c r="D471" s="491" t="n"/>
      <c r="E471" s="491" t="n"/>
      <c r="F471" s="491" t="n"/>
      <c r="G471" s="491" t="n"/>
      <c r="H471" s="491" t="n"/>
      <c r="I471" s="491" t="n"/>
      <c r="J471" s="491" t="n"/>
      <c r="K471" s="491" t="n"/>
      <c r="L471" s="491" t="n"/>
      <c r="M471" s="491" t="n"/>
      <c r="N471" s="491" t="n"/>
      <c r="O471" s="491" t="n"/>
      <c r="P471" s="491" t="n"/>
      <c r="Q471" s="491" t="n"/>
      <c r="R471" s="491" t="n"/>
      <c r="S471" s="491" t="n"/>
      <c r="T471" s="491" t="n"/>
      <c r="U471" s="491" t="n"/>
      <c r="V471" s="491" t="n"/>
      <c r="W471" s="491" t="n"/>
      <c r="X471" s="491" t="n"/>
      <c r="Y471" s="491" t="n"/>
    </row>
    <row r="472" ht="12.75" customHeight="1" s="398">
      <c r="A472" s="491" t="n"/>
      <c r="B472" s="491" t="n"/>
      <c r="C472" s="491" t="n"/>
      <c r="D472" s="491" t="n"/>
      <c r="E472" s="491" t="n"/>
      <c r="F472" s="491" t="n"/>
      <c r="G472" s="491" t="n"/>
      <c r="H472" s="491" t="n"/>
      <c r="I472" s="491" t="n"/>
      <c r="J472" s="491" t="n"/>
      <c r="K472" s="491" t="n"/>
      <c r="L472" s="491" t="n"/>
      <c r="M472" s="491" t="n"/>
      <c r="N472" s="491" t="n"/>
      <c r="O472" s="491" t="n"/>
      <c r="P472" s="491" t="n"/>
      <c r="Q472" s="491" t="n"/>
      <c r="R472" s="491" t="n"/>
      <c r="S472" s="491" t="n"/>
      <c r="T472" s="491" t="n"/>
      <c r="U472" s="491" t="n"/>
      <c r="V472" s="491" t="n"/>
      <c r="W472" s="491" t="n"/>
      <c r="X472" s="491" t="n"/>
      <c r="Y472" s="491" t="n"/>
    </row>
    <row r="473" ht="12.75" customHeight="1" s="398">
      <c r="A473" s="491" t="n"/>
      <c r="B473" s="491" t="n"/>
      <c r="C473" s="491" t="n"/>
      <c r="D473" s="491" t="n"/>
      <c r="E473" s="491" t="n"/>
      <c r="F473" s="491" t="n"/>
      <c r="G473" s="491" t="n"/>
      <c r="H473" s="491" t="n"/>
      <c r="I473" s="491" t="n"/>
      <c r="J473" s="491" t="n"/>
      <c r="K473" s="491" t="n"/>
      <c r="L473" s="491" t="n"/>
      <c r="M473" s="491" t="n"/>
      <c r="N473" s="491" t="n"/>
      <c r="O473" s="491" t="n"/>
      <c r="P473" s="491" t="n"/>
      <c r="Q473" s="491" t="n"/>
      <c r="R473" s="491" t="n"/>
      <c r="S473" s="491" t="n"/>
      <c r="T473" s="491" t="n"/>
      <c r="U473" s="491" t="n"/>
      <c r="V473" s="491" t="n"/>
      <c r="W473" s="491" t="n"/>
      <c r="X473" s="491" t="n"/>
      <c r="Y473" s="491" t="n"/>
    </row>
    <row r="474" ht="12.75" customHeight="1" s="398">
      <c r="A474" s="491" t="n"/>
      <c r="B474" s="491" t="n"/>
      <c r="C474" s="491" t="n"/>
      <c r="D474" s="491" t="n"/>
      <c r="E474" s="491" t="n"/>
      <c r="F474" s="491" t="n"/>
      <c r="G474" s="491" t="n"/>
      <c r="H474" s="491" t="n"/>
      <c r="I474" s="491" t="n"/>
      <c r="J474" s="491" t="n"/>
      <c r="K474" s="491" t="n"/>
      <c r="L474" s="491" t="n"/>
      <c r="M474" s="491" t="n"/>
      <c r="N474" s="491" t="n"/>
      <c r="O474" s="491" t="n"/>
      <c r="P474" s="491" t="n"/>
      <c r="Q474" s="491" t="n"/>
      <c r="R474" s="491" t="n"/>
      <c r="S474" s="491" t="n"/>
      <c r="T474" s="491" t="n"/>
      <c r="U474" s="491" t="n"/>
      <c r="V474" s="491" t="n"/>
      <c r="W474" s="491" t="n"/>
      <c r="X474" s="491" t="n"/>
      <c r="Y474" s="491" t="n"/>
    </row>
    <row r="475" ht="12.75" customHeight="1" s="398">
      <c r="A475" s="491" t="n"/>
      <c r="B475" s="491" t="n"/>
      <c r="C475" s="491" t="n"/>
      <c r="D475" s="491" t="n"/>
      <c r="E475" s="491" t="n"/>
      <c r="F475" s="491" t="n"/>
      <c r="G475" s="491" t="n"/>
      <c r="H475" s="491" t="n"/>
      <c r="I475" s="491" t="n"/>
      <c r="J475" s="491" t="n"/>
      <c r="K475" s="491" t="n"/>
      <c r="L475" s="491" t="n"/>
      <c r="M475" s="491" t="n"/>
      <c r="N475" s="491" t="n"/>
      <c r="O475" s="491" t="n"/>
      <c r="P475" s="491" t="n"/>
      <c r="Q475" s="491" t="n"/>
      <c r="R475" s="491" t="n"/>
      <c r="S475" s="491" t="n"/>
      <c r="T475" s="491" t="n"/>
      <c r="U475" s="491" t="n"/>
      <c r="V475" s="491" t="n"/>
      <c r="W475" s="491" t="n"/>
      <c r="X475" s="491" t="n"/>
      <c r="Y475" s="491" t="n"/>
    </row>
    <row r="476" ht="12.75" customHeight="1" s="398">
      <c r="A476" s="491" t="n"/>
      <c r="B476" s="491" t="n"/>
      <c r="C476" s="491" t="n"/>
      <c r="D476" s="491" t="n"/>
      <c r="E476" s="491" t="n"/>
      <c r="F476" s="491" t="n"/>
      <c r="G476" s="491" t="n"/>
      <c r="H476" s="491" t="n"/>
      <c r="I476" s="491" t="n"/>
      <c r="J476" s="491" t="n"/>
      <c r="K476" s="491" t="n"/>
      <c r="L476" s="491" t="n"/>
      <c r="M476" s="491" t="n"/>
      <c r="N476" s="491" t="n"/>
      <c r="O476" s="491" t="n"/>
      <c r="P476" s="491" t="n"/>
      <c r="Q476" s="491" t="n"/>
      <c r="R476" s="491" t="n"/>
      <c r="S476" s="491" t="n"/>
      <c r="T476" s="491" t="n"/>
      <c r="U476" s="491" t="n"/>
      <c r="V476" s="491" t="n"/>
      <c r="W476" s="491" t="n"/>
      <c r="X476" s="491" t="n"/>
      <c r="Y476" s="491" t="n"/>
    </row>
    <row r="477" ht="12.75" customHeight="1" s="398">
      <c r="A477" s="491" t="n"/>
      <c r="B477" s="491" t="n"/>
      <c r="C477" s="491" t="n"/>
      <c r="D477" s="491" t="n"/>
      <c r="E477" s="491" t="n"/>
      <c r="F477" s="491" t="n"/>
      <c r="G477" s="491" t="n"/>
      <c r="H477" s="491" t="n"/>
      <c r="I477" s="491" t="n"/>
      <c r="J477" s="491" t="n"/>
      <c r="K477" s="491" t="n"/>
      <c r="L477" s="491" t="n"/>
      <c r="M477" s="491" t="n"/>
      <c r="N477" s="491" t="n"/>
      <c r="O477" s="491" t="n"/>
      <c r="P477" s="491" t="n"/>
      <c r="Q477" s="491" t="n"/>
      <c r="R477" s="491" t="n"/>
      <c r="S477" s="491" t="n"/>
      <c r="T477" s="491" t="n"/>
      <c r="U477" s="491" t="n"/>
      <c r="V477" s="491" t="n"/>
      <c r="W477" s="491" t="n"/>
      <c r="X477" s="491" t="n"/>
      <c r="Y477" s="491" t="n"/>
    </row>
    <row r="478" ht="12.75" customHeight="1" s="398">
      <c r="A478" s="491" t="n"/>
      <c r="B478" s="491" t="n"/>
      <c r="C478" s="491" t="n"/>
      <c r="D478" s="491" t="n"/>
      <c r="E478" s="491" t="n"/>
      <c r="F478" s="491" t="n"/>
      <c r="G478" s="491" t="n"/>
      <c r="H478" s="491" t="n"/>
      <c r="I478" s="491" t="n"/>
      <c r="J478" s="491" t="n"/>
      <c r="K478" s="491" t="n"/>
      <c r="L478" s="491" t="n"/>
      <c r="M478" s="491" t="n"/>
      <c r="N478" s="491" t="n"/>
      <c r="O478" s="491" t="n"/>
      <c r="P478" s="491" t="n"/>
      <c r="Q478" s="491" t="n"/>
      <c r="R478" s="491" t="n"/>
      <c r="S478" s="491" t="n"/>
      <c r="T478" s="491" t="n"/>
      <c r="U478" s="491" t="n"/>
      <c r="V478" s="491" t="n"/>
      <c r="W478" s="491" t="n"/>
      <c r="X478" s="491" t="n"/>
      <c r="Y478" s="491" t="n"/>
    </row>
    <row r="479" ht="12.75" customHeight="1" s="398">
      <c r="A479" s="491" t="n"/>
      <c r="B479" s="491" t="n"/>
      <c r="C479" s="491" t="n"/>
      <c r="D479" s="491" t="n"/>
      <c r="E479" s="491" t="n"/>
      <c r="F479" s="491" t="n"/>
      <c r="G479" s="491" t="n"/>
      <c r="H479" s="491" t="n"/>
      <c r="I479" s="491" t="n"/>
      <c r="J479" s="491" t="n"/>
      <c r="K479" s="491" t="n"/>
      <c r="L479" s="491" t="n"/>
      <c r="M479" s="491" t="n"/>
      <c r="N479" s="491" t="n"/>
      <c r="O479" s="491" t="n"/>
      <c r="P479" s="491" t="n"/>
      <c r="Q479" s="491" t="n"/>
      <c r="R479" s="491" t="n"/>
      <c r="S479" s="491" t="n"/>
      <c r="T479" s="491" t="n"/>
      <c r="U479" s="491" t="n"/>
      <c r="V479" s="491" t="n"/>
      <c r="W479" s="491" t="n"/>
      <c r="X479" s="491" t="n"/>
      <c r="Y479" s="491" t="n"/>
    </row>
    <row r="480" ht="12.75" customHeight="1" s="398">
      <c r="A480" s="491" t="n"/>
      <c r="B480" s="491" t="n"/>
      <c r="C480" s="491" t="n"/>
      <c r="D480" s="491" t="n"/>
      <c r="E480" s="491" t="n"/>
      <c r="F480" s="491" t="n"/>
      <c r="G480" s="491" t="n"/>
      <c r="H480" s="491" t="n"/>
      <c r="I480" s="491" t="n"/>
      <c r="J480" s="491" t="n"/>
      <c r="K480" s="491" t="n"/>
      <c r="L480" s="491" t="n"/>
      <c r="M480" s="491" t="n"/>
      <c r="N480" s="491" t="n"/>
      <c r="O480" s="491" t="n"/>
      <c r="P480" s="491" t="n"/>
      <c r="Q480" s="491" t="n"/>
      <c r="R480" s="491" t="n"/>
      <c r="S480" s="491" t="n"/>
      <c r="T480" s="491" t="n"/>
      <c r="U480" s="491" t="n"/>
      <c r="V480" s="491" t="n"/>
      <c r="W480" s="491" t="n"/>
      <c r="X480" s="491" t="n"/>
      <c r="Y480" s="491" t="n"/>
    </row>
    <row r="481" ht="12.75" customHeight="1" s="398">
      <c r="A481" s="491" t="n"/>
      <c r="B481" s="491" t="n"/>
      <c r="C481" s="491" t="n"/>
      <c r="D481" s="491" t="n"/>
      <c r="E481" s="491" t="n"/>
      <c r="F481" s="491" t="n"/>
      <c r="G481" s="491" t="n"/>
      <c r="H481" s="491" t="n"/>
      <c r="I481" s="491" t="n"/>
      <c r="J481" s="491" t="n"/>
      <c r="K481" s="491" t="n"/>
      <c r="L481" s="491" t="n"/>
      <c r="M481" s="491" t="n"/>
      <c r="N481" s="491" t="n"/>
      <c r="O481" s="491" t="n"/>
      <c r="P481" s="491" t="n"/>
      <c r="Q481" s="491" t="n"/>
      <c r="R481" s="491" t="n"/>
      <c r="S481" s="491" t="n"/>
      <c r="T481" s="491" t="n"/>
      <c r="U481" s="491" t="n"/>
      <c r="V481" s="491" t="n"/>
      <c r="W481" s="491" t="n"/>
      <c r="X481" s="491" t="n"/>
      <c r="Y481" s="491" t="n"/>
    </row>
    <row r="482" ht="12.75" customHeight="1" s="398">
      <c r="A482" s="491" t="n"/>
      <c r="B482" s="491" t="n"/>
      <c r="C482" s="491" t="n"/>
      <c r="D482" s="491" t="n"/>
      <c r="E482" s="491" t="n"/>
      <c r="F482" s="491" t="n"/>
      <c r="G482" s="491" t="n"/>
      <c r="H482" s="491" t="n"/>
      <c r="I482" s="491" t="n"/>
      <c r="J482" s="491" t="n"/>
      <c r="K482" s="491" t="n"/>
      <c r="L482" s="491" t="n"/>
      <c r="M482" s="491" t="n"/>
      <c r="N482" s="491" t="n"/>
      <c r="O482" s="491" t="n"/>
      <c r="P482" s="491" t="n"/>
      <c r="Q482" s="491" t="n"/>
      <c r="R482" s="491" t="n"/>
      <c r="S482" s="491" t="n"/>
      <c r="T482" s="491" t="n"/>
      <c r="U482" s="491" t="n"/>
      <c r="V482" s="491" t="n"/>
      <c r="W482" s="491" t="n"/>
      <c r="X482" s="491" t="n"/>
      <c r="Y482" s="491" t="n"/>
    </row>
    <row r="483" ht="12.75" customHeight="1" s="398">
      <c r="A483" s="491" t="n"/>
      <c r="B483" s="491" t="n"/>
      <c r="C483" s="491" t="n"/>
      <c r="D483" s="491" t="n"/>
      <c r="E483" s="491" t="n"/>
      <c r="F483" s="491" t="n"/>
      <c r="G483" s="491" t="n"/>
      <c r="H483" s="491" t="n"/>
      <c r="I483" s="491" t="n"/>
      <c r="J483" s="491" t="n"/>
      <c r="K483" s="491" t="n"/>
      <c r="L483" s="491" t="n"/>
      <c r="M483" s="491" t="n"/>
      <c r="N483" s="491" t="n"/>
      <c r="O483" s="491" t="n"/>
      <c r="P483" s="491" t="n"/>
      <c r="Q483" s="491" t="n"/>
      <c r="R483" s="491" t="n"/>
      <c r="S483" s="491" t="n"/>
      <c r="T483" s="491" t="n"/>
      <c r="U483" s="491" t="n"/>
      <c r="V483" s="491" t="n"/>
      <c r="W483" s="491" t="n"/>
      <c r="X483" s="491" t="n"/>
      <c r="Y483" s="491" t="n"/>
    </row>
    <row r="484" ht="12.75" customHeight="1" s="398">
      <c r="A484" s="491" t="n"/>
      <c r="B484" s="491" t="n"/>
      <c r="C484" s="491" t="n"/>
      <c r="D484" s="491" t="n"/>
      <c r="E484" s="491" t="n"/>
      <c r="F484" s="491" t="n"/>
      <c r="G484" s="491" t="n"/>
      <c r="H484" s="491" t="n"/>
      <c r="I484" s="491" t="n"/>
      <c r="J484" s="491" t="n"/>
      <c r="K484" s="491" t="n"/>
      <c r="L484" s="491" t="n"/>
      <c r="M484" s="491" t="n"/>
      <c r="N484" s="491" t="n"/>
      <c r="O484" s="491" t="n"/>
      <c r="P484" s="491" t="n"/>
      <c r="Q484" s="491" t="n"/>
      <c r="R484" s="491" t="n"/>
      <c r="S484" s="491" t="n"/>
      <c r="T484" s="491" t="n"/>
      <c r="U484" s="491" t="n"/>
      <c r="V484" s="491" t="n"/>
      <c r="W484" s="491" t="n"/>
      <c r="X484" s="491" t="n"/>
      <c r="Y484" s="491" t="n"/>
    </row>
    <row r="485" ht="12.75" customHeight="1" s="398">
      <c r="A485" s="491" t="n"/>
      <c r="B485" s="491" t="n"/>
      <c r="C485" s="491" t="n"/>
      <c r="D485" s="491" t="n"/>
      <c r="E485" s="491" t="n"/>
      <c r="F485" s="491" t="n"/>
      <c r="G485" s="491" t="n"/>
      <c r="H485" s="491" t="n"/>
      <c r="I485" s="491" t="n"/>
      <c r="J485" s="491" t="n"/>
      <c r="K485" s="491" t="n"/>
      <c r="L485" s="491" t="n"/>
      <c r="M485" s="491" t="n"/>
      <c r="N485" s="491" t="n"/>
      <c r="O485" s="491" t="n"/>
      <c r="P485" s="491" t="n"/>
      <c r="Q485" s="491" t="n"/>
      <c r="R485" s="491" t="n"/>
      <c r="S485" s="491" t="n"/>
      <c r="T485" s="491" t="n"/>
      <c r="U485" s="491" t="n"/>
      <c r="V485" s="491" t="n"/>
      <c r="W485" s="491" t="n"/>
      <c r="X485" s="491" t="n"/>
      <c r="Y485" s="491" t="n"/>
    </row>
    <row r="486" ht="12.75" customHeight="1" s="398">
      <c r="A486" s="491" t="n"/>
      <c r="B486" s="491" t="n"/>
      <c r="C486" s="491" t="n"/>
      <c r="D486" s="491" t="n"/>
      <c r="E486" s="491" t="n"/>
      <c r="F486" s="491" t="n"/>
      <c r="G486" s="491" t="n"/>
      <c r="H486" s="491" t="n"/>
      <c r="I486" s="491" t="n"/>
      <c r="J486" s="491" t="n"/>
      <c r="K486" s="491" t="n"/>
      <c r="L486" s="491" t="n"/>
      <c r="M486" s="491" t="n"/>
      <c r="N486" s="491" t="n"/>
      <c r="O486" s="491" t="n"/>
      <c r="P486" s="491" t="n"/>
      <c r="Q486" s="491" t="n"/>
      <c r="R486" s="491" t="n"/>
      <c r="S486" s="491" t="n"/>
      <c r="T486" s="491" t="n"/>
      <c r="U486" s="491" t="n"/>
      <c r="V486" s="491" t="n"/>
      <c r="W486" s="491" t="n"/>
      <c r="X486" s="491" t="n"/>
      <c r="Y486" s="491" t="n"/>
    </row>
    <row r="487" ht="12.75" customHeight="1" s="398">
      <c r="A487" s="491" t="n"/>
      <c r="B487" s="491" t="n"/>
      <c r="C487" s="491" t="n"/>
      <c r="D487" s="491" t="n"/>
      <c r="E487" s="491" t="n"/>
      <c r="F487" s="491" t="n"/>
      <c r="G487" s="491" t="n"/>
      <c r="H487" s="491" t="n"/>
      <c r="I487" s="491" t="n"/>
      <c r="J487" s="491" t="n"/>
      <c r="K487" s="491" t="n"/>
      <c r="L487" s="491" t="n"/>
      <c r="M487" s="491" t="n"/>
      <c r="N487" s="491" t="n"/>
      <c r="O487" s="491" t="n"/>
      <c r="P487" s="491" t="n"/>
      <c r="Q487" s="491" t="n"/>
      <c r="R487" s="491" t="n"/>
      <c r="S487" s="491" t="n"/>
      <c r="T487" s="491" t="n"/>
      <c r="U487" s="491" t="n"/>
      <c r="V487" s="491" t="n"/>
      <c r="W487" s="491" t="n"/>
      <c r="X487" s="491" t="n"/>
      <c r="Y487" s="491" t="n"/>
    </row>
    <row r="488" ht="12.75" customHeight="1" s="398">
      <c r="A488" s="491" t="n"/>
      <c r="B488" s="491" t="n"/>
      <c r="C488" s="491" t="n"/>
      <c r="D488" s="491" t="n"/>
      <c r="E488" s="491" t="n"/>
      <c r="F488" s="491" t="n"/>
      <c r="G488" s="491" t="n"/>
      <c r="H488" s="491" t="n"/>
      <c r="I488" s="491" t="n"/>
      <c r="J488" s="491" t="n"/>
      <c r="K488" s="491" t="n"/>
      <c r="L488" s="491" t="n"/>
      <c r="M488" s="491" t="n"/>
      <c r="N488" s="491" t="n"/>
      <c r="O488" s="491" t="n"/>
      <c r="P488" s="491" t="n"/>
      <c r="Q488" s="491" t="n"/>
      <c r="R488" s="491" t="n"/>
      <c r="S488" s="491" t="n"/>
      <c r="T488" s="491" t="n"/>
      <c r="U488" s="491" t="n"/>
      <c r="V488" s="491" t="n"/>
      <c r="W488" s="491" t="n"/>
      <c r="X488" s="491" t="n"/>
      <c r="Y488" s="491" t="n"/>
    </row>
    <row r="489" ht="12.75" customHeight="1" s="398">
      <c r="A489" s="491" t="n"/>
      <c r="B489" s="491" t="n"/>
      <c r="C489" s="491" t="n"/>
      <c r="D489" s="491" t="n"/>
      <c r="E489" s="491" t="n"/>
      <c r="F489" s="491" t="n"/>
      <c r="G489" s="491" t="n"/>
      <c r="H489" s="491" t="n"/>
      <c r="I489" s="491" t="n"/>
      <c r="J489" s="491" t="n"/>
      <c r="K489" s="491" t="n"/>
      <c r="L489" s="491" t="n"/>
      <c r="M489" s="491" t="n"/>
      <c r="N489" s="491" t="n"/>
      <c r="O489" s="491" t="n"/>
      <c r="P489" s="491" t="n"/>
      <c r="Q489" s="491" t="n"/>
      <c r="R489" s="491" t="n"/>
      <c r="S489" s="491" t="n"/>
      <c r="T489" s="491" t="n"/>
      <c r="U489" s="491" t="n"/>
      <c r="V489" s="491" t="n"/>
      <c r="W489" s="491" t="n"/>
      <c r="X489" s="491" t="n"/>
      <c r="Y489" s="491" t="n"/>
    </row>
    <row r="490" ht="12.75" customHeight="1" s="398">
      <c r="A490" s="491" t="n"/>
      <c r="B490" s="491" t="n"/>
      <c r="C490" s="491" t="n"/>
      <c r="D490" s="491" t="n"/>
      <c r="E490" s="491" t="n"/>
      <c r="F490" s="491" t="n"/>
      <c r="G490" s="491" t="n"/>
      <c r="H490" s="491" t="n"/>
      <c r="I490" s="491" t="n"/>
      <c r="J490" s="491" t="n"/>
      <c r="K490" s="491" t="n"/>
      <c r="L490" s="491" t="n"/>
      <c r="M490" s="491" t="n"/>
      <c r="N490" s="491" t="n"/>
      <c r="O490" s="491" t="n"/>
      <c r="P490" s="491" t="n"/>
      <c r="Q490" s="491" t="n"/>
      <c r="R490" s="491" t="n"/>
      <c r="S490" s="491" t="n"/>
      <c r="T490" s="491" t="n"/>
      <c r="U490" s="491" t="n"/>
      <c r="V490" s="491" t="n"/>
      <c r="W490" s="491" t="n"/>
      <c r="X490" s="491" t="n"/>
      <c r="Y490" s="491" t="n"/>
    </row>
    <row r="491" ht="12.75" customHeight="1" s="398">
      <c r="A491" s="491" t="n"/>
      <c r="B491" s="491" t="n"/>
      <c r="C491" s="491" t="n"/>
      <c r="D491" s="491" t="n"/>
      <c r="E491" s="491" t="n"/>
      <c r="F491" s="491" t="n"/>
      <c r="G491" s="491" t="n"/>
      <c r="H491" s="491" t="n"/>
      <c r="I491" s="491" t="n"/>
      <c r="J491" s="491" t="n"/>
      <c r="K491" s="491" t="n"/>
      <c r="L491" s="491" t="n"/>
      <c r="M491" s="491" t="n"/>
      <c r="N491" s="491" t="n"/>
      <c r="O491" s="491" t="n"/>
      <c r="P491" s="491" t="n"/>
      <c r="Q491" s="491" t="n"/>
      <c r="R491" s="491" t="n"/>
      <c r="S491" s="491" t="n"/>
      <c r="T491" s="491" t="n"/>
      <c r="U491" s="491" t="n"/>
      <c r="V491" s="491" t="n"/>
      <c r="W491" s="491" t="n"/>
      <c r="X491" s="491" t="n"/>
      <c r="Y491" s="491" t="n"/>
    </row>
    <row r="492" ht="12.75" customHeight="1" s="398">
      <c r="A492" s="491" t="n"/>
      <c r="B492" s="491" t="n"/>
      <c r="C492" s="491" t="n"/>
      <c r="D492" s="491" t="n"/>
      <c r="E492" s="491" t="n"/>
      <c r="F492" s="491" t="n"/>
      <c r="G492" s="491" t="n"/>
      <c r="H492" s="491" t="n"/>
      <c r="I492" s="491" t="n"/>
      <c r="J492" s="491" t="n"/>
      <c r="K492" s="491" t="n"/>
      <c r="L492" s="491" t="n"/>
      <c r="M492" s="491" t="n"/>
      <c r="N492" s="491" t="n"/>
      <c r="O492" s="491" t="n"/>
      <c r="P492" s="491" t="n"/>
      <c r="Q492" s="491" t="n"/>
      <c r="R492" s="491" t="n"/>
      <c r="S492" s="491" t="n"/>
      <c r="T492" s="491" t="n"/>
      <c r="U492" s="491" t="n"/>
      <c r="V492" s="491" t="n"/>
      <c r="W492" s="491" t="n"/>
      <c r="X492" s="491" t="n"/>
      <c r="Y492" s="491" t="n"/>
    </row>
    <row r="493" ht="12.75" customHeight="1" s="398">
      <c r="A493" s="491" t="n"/>
      <c r="B493" s="491" t="n"/>
      <c r="C493" s="491" t="n"/>
      <c r="D493" s="491" t="n"/>
      <c r="E493" s="491" t="n"/>
      <c r="F493" s="491" t="n"/>
      <c r="G493" s="491" t="n"/>
      <c r="H493" s="491" t="n"/>
      <c r="I493" s="491" t="n"/>
      <c r="J493" s="491" t="n"/>
      <c r="K493" s="491" t="n"/>
      <c r="L493" s="491" t="n"/>
      <c r="M493" s="491" t="n"/>
      <c r="N493" s="491" t="n"/>
      <c r="O493" s="491" t="n"/>
      <c r="P493" s="491" t="n"/>
      <c r="Q493" s="491" t="n"/>
      <c r="R493" s="491" t="n"/>
      <c r="S493" s="491" t="n"/>
      <c r="T493" s="491" t="n"/>
      <c r="U493" s="491" t="n"/>
      <c r="V493" s="491" t="n"/>
      <c r="W493" s="491" t="n"/>
      <c r="X493" s="491" t="n"/>
      <c r="Y493" s="491" t="n"/>
    </row>
    <row r="494" ht="12.75" customHeight="1" s="398">
      <c r="A494" s="491" t="n"/>
      <c r="B494" s="491" t="n"/>
      <c r="C494" s="491" t="n"/>
      <c r="D494" s="491" t="n"/>
      <c r="E494" s="491" t="n"/>
      <c r="F494" s="491" t="n"/>
      <c r="G494" s="491" t="n"/>
      <c r="H494" s="491" t="n"/>
      <c r="I494" s="491" t="n"/>
      <c r="J494" s="491" t="n"/>
      <c r="K494" s="491" t="n"/>
      <c r="L494" s="491" t="n"/>
      <c r="M494" s="491" t="n"/>
      <c r="N494" s="491" t="n"/>
      <c r="O494" s="491" t="n"/>
      <c r="P494" s="491" t="n"/>
      <c r="Q494" s="491" t="n"/>
      <c r="R494" s="491" t="n"/>
      <c r="S494" s="491" t="n"/>
      <c r="T494" s="491" t="n"/>
      <c r="U494" s="491" t="n"/>
      <c r="V494" s="491" t="n"/>
      <c r="W494" s="491" t="n"/>
      <c r="X494" s="491" t="n"/>
      <c r="Y494" s="491" t="n"/>
    </row>
    <row r="495" ht="12.75" customHeight="1" s="398">
      <c r="A495" s="491" t="n"/>
      <c r="B495" s="491" t="n"/>
      <c r="C495" s="491" t="n"/>
      <c r="D495" s="491" t="n"/>
      <c r="E495" s="491" t="n"/>
      <c r="F495" s="491" t="n"/>
      <c r="G495" s="491" t="n"/>
      <c r="H495" s="491" t="n"/>
      <c r="I495" s="491" t="n"/>
      <c r="J495" s="491" t="n"/>
      <c r="K495" s="491" t="n"/>
      <c r="L495" s="491" t="n"/>
      <c r="M495" s="491" t="n"/>
      <c r="N495" s="491" t="n"/>
      <c r="O495" s="491" t="n"/>
      <c r="P495" s="491" t="n"/>
      <c r="Q495" s="491" t="n"/>
      <c r="R495" s="491" t="n"/>
      <c r="S495" s="491" t="n"/>
      <c r="T495" s="491" t="n"/>
      <c r="U495" s="491" t="n"/>
      <c r="V495" s="491" t="n"/>
      <c r="W495" s="491" t="n"/>
      <c r="X495" s="491" t="n"/>
      <c r="Y495" s="491" t="n"/>
    </row>
    <row r="496" ht="12.75" customHeight="1" s="398">
      <c r="A496" s="491" t="n"/>
      <c r="B496" s="491" t="n"/>
      <c r="C496" s="491" t="n"/>
      <c r="D496" s="491" t="n"/>
      <c r="E496" s="491" t="n"/>
      <c r="F496" s="491" t="n"/>
      <c r="G496" s="491" t="n"/>
      <c r="H496" s="491" t="n"/>
      <c r="I496" s="491" t="n"/>
      <c r="J496" s="491" t="n"/>
      <c r="K496" s="491" t="n"/>
      <c r="L496" s="491" t="n"/>
      <c r="M496" s="491" t="n"/>
      <c r="N496" s="491" t="n"/>
      <c r="O496" s="491" t="n"/>
      <c r="P496" s="491" t="n"/>
      <c r="Q496" s="491" t="n"/>
      <c r="R496" s="491" t="n"/>
      <c r="S496" s="491" t="n"/>
      <c r="T496" s="491" t="n"/>
      <c r="U496" s="491" t="n"/>
      <c r="V496" s="491" t="n"/>
      <c r="W496" s="491" t="n"/>
      <c r="X496" s="491" t="n"/>
      <c r="Y496" s="491" t="n"/>
    </row>
    <row r="497" ht="12.75" customHeight="1" s="398">
      <c r="A497" s="491" t="n"/>
      <c r="B497" s="491" t="n"/>
      <c r="C497" s="491" t="n"/>
      <c r="D497" s="491" t="n"/>
      <c r="E497" s="491" t="n"/>
      <c r="F497" s="491" t="n"/>
      <c r="G497" s="491" t="n"/>
      <c r="H497" s="491" t="n"/>
      <c r="I497" s="491" t="n"/>
      <c r="J497" s="491" t="n"/>
      <c r="K497" s="491" t="n"/>
      <c r="L497" s="491" t="n"/>
      <c r="M497" s="491" t="n"/>
      <c r="N497" s="491" t="n"/>
      <c r="O497" s="491" t="n"/>
      <c r="P497" s="491" t="n"/>
      <c r="Q497" s="491" t="n"/>
      <c r="R497" s="491" t="n"/>
      <c r="S497" s="491" t="n"/>
      <c r="T497" s="491" t="n"/>
      <c r="U497" s="491" t="n"/>
      <c r="V497" s="491" t="n"/>
      <c r="W497" s="491" t="n"/>
      <c r="X497" s="491" t="n"/>
      <c r="Y497" s="491" t="n"/>
    </row>
    <row r="498" ht="12.75" customHeight="1" s="398">
      <c r="A498" s="491" t="n"/>
      <c r="B498" s="491" t="n"/>
      <c r="C498" s="491" t="n"/>
      <c r="D498" s="491" t="n"/>
      <c r="E498" s="491" t="n"/>
      <c r="F498" s="491" t="n"/>
      <c r="G498" s="491" t="n"/>
      <c r="H498" s="491" t="n"/>
      <c r="I498" s="491" t="n"/>
      <c r="J498" s="491" t="n"/>
      <c r="K498" s="491" t="n"/>
      <c r="L498" s="491" t="n"/>
      <c r="M498" s="491" t="n"/>
      <c r="N498" s="491" t="n"/>
      <c r="O498" s="491" t="n"/>
      <c r="P498" s="491" t="n"/>
      <c r="Q498" s="491" t="n"/>
      <c r="R498" s="491" t="n"/>
      <c r="S498" s="491" t="n"/>
      <c r="T498" s="491" t="n"/>
      <c r="U498" s="491" t="n"/>
      <c r="V498" s="491" t="n"/>
      <c r="W498" s="491" t="n"/>
      <c r="X498" s="491" t="n"/>
      <c r="Y498" s="491" t="n"/>
    </row>
    <row r="499" ht="12.75" customHeight="1" s="398">
      <c r="A499" s="491" t="n"/>
      <c r="B499" s="491" t="n"/>
      <c r="C499" s="491" t="n"/>
      <c r="D499" s="491" t="n"/>
      <c r="E499" s="491" t="n"/>
      <c r="F499" s="491" t="n"/>
      <c r="G499" s="491" t="n"/>
      <c r="H499" s="491" t="n"/>
      <c r="I499" s="491" t="n"/>
      <c r="J499" s="491" t="n"/>
      <c r="K499" s="491" t="n"/>
      <c r="L499" s="491" t="n"/>
      <c r="M499" s="491" t="n"/>
      <c r="N499" s="491" t="n"/>
      <c r="O499" s="491" t="n"/>
      <c r="P499" s="491" t="n"/>
      <c r="Q499" s="491" t="n"/>
      <c r="R499" s="491" t="n"/>
      <c r="S499" s="491" t="n"/>
      <c r="T499" s="491" t="n"/>
      <c r="U499" s="491" t="n"/>
      <c r="V499" s="491" t="n"/>
      <c r="W499" s="491" t="n"/>
      <c r="X499" s="491" t="n"/>
      <c r="Y499" s="491" t="n"/>
    </row>
    <row r="500" ht="12.75" customHeight="1" s="398">
      <c r="A500" s="491" t="n"/>
      <c r="B500" s="491" t="n"/>
      <c r="C500" s="491" t="n"/>
      <c r="D500" s="491" t="n"/>
      <c r="E500" s="491" t="n"/>
      <c r="F500" s="491" t="n"/>
      <c r="G500" s="491" t="n"/>
      <c r="H500" s="491" t="n"/>
      <c r="I500" s="491" t="n"/>
      <c r="J500" s="491" t="n"/>
      <c r="K500" s="491" t="n"/>
      <c r="L500" s="491" t="n"/>
      <c r="M500" s="491" t="n"/>
      <c r="N500" s="491" t="n"/>
      <c r="O500" s="491" t="n"/>
      <c r="P500" s="491" t="n"/>
      <c r="Q500" s="491" t="n"/>
      <c r="R500" s="491" t="n"/>
      <c r="S500" s="491" t="n"/>
      <c r="T500" s="491" t="n"/>
      <c r="U500" s="491" t="n"/>
      <c r="V500" s="491" t="n"/>
      <c r="W500" s="491" t="n"/>
      <c r="X500" s="491" t="n"/>
      <c r="Y500" s="491" t="n"/>
    </row>
    <row r="501" ht="12.75" customHeight="1" s="398">
      <c r="A501" s="491" t="n"/>
      <c r="B501" s="491" t="n"/>
      <c r="C501" s="491" t="n"/>
      <c r="D501" s="491" t="n"/>
      <c r="E501" s="491" t="n"/>
      <c r="F501" s="491" t="n"/>
      <c r="G501" s="491" t="n"/>
      <c r="H501" s="491" t="n"/>
      <c r="I501" s="491" t="n"/>
      <c r="J501" s="491" t="n"/>
      <c r="K501" s="491" t="n"/>
      <c r="L501" s="491" t="n"/>
      <c r="M501" s="491" t="n"/>
      <c r="N501" s="491" t="n"/>
      <c r="O501" s="491" t="n"/>
      <c r="P501" s="491" t="n"/>
      <c r="Q501" s="491" t="n"/>
      <c r="R501" s="491" t="n"/>
      <c r="S501" s="491" t="n"/>
      <c r="T501" s="491" t="n"/>
      <c r="U501" s="491" t="n"/>
      <c r="V501" s="491" t="n"/>
      <c r="W501" s="491" t="n"/>
      <c r="X501" s="491" t="n"/>
      <c r="Y501" s="491" t="n"/>
    </row>
    <row r="502" ht="12.75" customHeight="1" s="398">
      <c r="A502" s="491" t="n"/>
      <c r="B502" s="491" t="n"/>
      <c r="C502" s="491" t="n"/>
      <c r="D502" s="491" t="n"/>
      <c r="E502" s="491" t="n"/>
      <c r="F502" s="491" t="n"/>
      <c r="G502" s="491" t="n"/>
      <c r="H502" s="491" t="n"/>
      <c r="I502" s="491" t="n"/>
      <c r="J502" s="491" t="n"/>
      <c r="K502" s="491" t="n"/>
      <c r="L502" s="491" t="n"/>
      <c r="M502" s="491" t="n"/>
      <c r="N502" s="491" t="n"/>
      <c r="O502" s="491" t="n"/>
      <c r="P502" s="491" t="n"/>
      <c r="Q502" s="491" t="n"/>
      <c r="R502" s="491" t="n"/>
      <c r="S502" s="491" t="n"/>
      <c r="T502" s="491" t="n"/>
      <c r="U502" s="491" t="n"/>
      <c r="V502" s="491" t="n"/>
      <c r="W502" s="491" t="n"/>
      <c r="X502" s="491" t="n"/>
      <c r="Y502" s="491" t="n"/>
    </row>
    <row r="503" ht="12.75" customHeight="1" s="398">
      <c r="A503" s="491" t="n"/>
      <c r="B503" s="491" t="n"/>
      <c r="C503" s="491" t="n"/>
      <c r="D503" s="491" t="n"/>
      <c r="E503" s="491" t="n"/>
      <c r="F503" s="491" t="n"/>
      <c r="G503" s="491" t="n"/>
      <c r="H503" s="491" t="n"/>
      <c r="I503" s="491" t="n"/>
      <c r="J503" s="491" t="n"/>
      <c r="K503" s="491" t="n"/>
      <c r="L503" s="491" t="n"/>
      <c r="M503" s="491" t="n"/>
      <c r="N503" s="491" t="n"/>
      <c r="O503" s="491" t="n"/>
      <c r="P503" s="491" t="n"/>
      <c r="Q503" s="491" t="n"/>
      <c r="R503" s="491" t="n"/>
      <c r="S503" s="491" t="n"/>
      <c r="T503" s="491" t="n"/>
      <c r="U503" s="491" t="n"/>
      <c r="V503" s="491" t="n"/>
      <c r="W503" s="491" t="n"/>
      <c r="X503" s="491" t="n"/>
      <c r="Y503" s="491" t="n"/>
    </row>
    <row r="504" ht="12.75" customHeight="1" s="398">
      <c r="A504" s="491" t="n"/>
      <c r="B504" s="491" t="n"/>
      <c r="C504" s="491" t="n"/>
      <c r="D504" s="491" t="n"/>
      <c r="E504" s="491" t="n"/>
      <c r="F504" s="491" t="n"/>
      <c r="G504" s="491" t="n"/>
      <c r="H504" s="491" t="n"/>
      <c r="I504" s="491" t="n"/>
      <c r="J504" s="491" t="n"/>
      <c r="K504" s="491" t="n"/>
      <c r="L504" s="491" t="n"/>
      <c r="M504" s="491" t="n"/>
      <c r="N504" s="491" t="n"/>
      <c r="O504" s="491" t="n"/>
      <c r="P504" s="491" t="n"/>
      <c r="Q504" s="491" t="n"/>
      <c r="R504" s="491" t="n"/>
      <c r="S504" s="491" t="n"/>
      <c r="T504" s="491" t="n"/>
      <c r="U504" s="491" t="n"/>
      <c r="V504" s="491" t="n"/>
      <c r="W504" s="491" t="n"/>
      <c r="X504" s="491" t="n"/>
      <c r="Y504" s="491" t="n"/>
    </row>
    <row r="505" ht="12.75" customHeight="1" s="398">
      <c r="A505" s="491" t="n"/>
      <c r="B505" s="491" t="n"/>
      <c r="C505" s="491" t="n"/>
      <c r="D505" s="491" t="n"/>
      <c r="E505" s="491" t="n"/>
      <c r="F505" s="491" t="n"/>
      <c r="G505" s="491" t="n"/>
      <c r="H505" s="491" t="n"/>
      <c r="I505" s="491" t="n"/>
      <c r="J505" s="491" t="n"/>
      <c r="K505" s="491" t="n"/>
      <c r="L505" s="491" t="n"/>
      <c r="M505" s="491" t="n"/>
      <c r="N505" s="491" t="n"/>
      <c r="O505" s="491" t="n"/>
      <c r="P505" s="491" t="n"/>
      <c r="Q505" s="491" t="n"/>
      <c r="R505" s="491" t="n"/>
      <c r="S505" s="491" t="n"/>
      <c r="T505" s="491" t="n"/>
      <c r="U505" s="491" t="n"/>
      <c r="V505" s="491" t="n"/>
      <c r="W505" s="491" t="n"/>
      <c r="X505" s="491" t="n"/>
      <c r="Y505" s="491" t="n"/>
    </row>
    <row r="506" ht="12.75" customHeight="1" s="398">
      <c r="A506" s="491" t="n"/>
      <c r="B506" s="491" t="n"/>
      <c r="C506" s="491" t="n"/>
      <c r="D506" s="491" t="n"/>
      <c r="E506" s="491" t="n"/>
      <c r="F506" s="491" t="n"/>
      <c r="G506" s="491" t="n"/>
      <c r="H506" s="491" t="n"/>
      <c r="I506" s="491" t="n"/>
      <c r="J506" s="491" t="n"/>
      <c r="K506" s="491" t="n"/>
      <c r="L506" s="491" t="n"/>
      <c r="M506" s="491" t="n"/>
      <c r="N506" s="491" t="n"/>
      <c r="O506" s="491" t="n"/>
      <c r="P506" s="491" t="n"/>
      <c r="Q506" s="491" t="n"/>
      <c r="R506" s="491" t="n"/>
      <c r="S506" s="491" t="n"/>
      <c r="T506" s="491" t="n"/>
      <c r="U506" s="491" t="n"/>
      <c r="V506" s="491" t="n"/>
      <c r="W506" s="491" t="n"/>
      <c r="X506" s="491" t="n"/>
      <c r="Y506" s="491" t="n"/>
    </row>
    <row r="507" ht="12.75" customHeight="1" s="398">
      <c r="A507" s="491" t="n"/>
      <c r="B507" s="491" t="n"/>
      <c r="C507" s="491" t="n"/>
      <c r="D507" s="491" t="n"/>
      <c r="E507" s="491" t="n"/>
      <c r="F507" s="491" t="n"/>
      <c r="G507" s="491" t="n"/>
      <c r="H507" s="491" t="n"/>
      <c r="I507" s="491" t="n"/>
      <c r="J507" s="491" t="n"/>
      <c r="K507" s="491" t="n"/>
      <c r="L507" s="491" t="n"/>
      <c r="M507" s="491" t="n"/>
      <c r="N507" s="491" t="n"/>
      <c r="O507" s="491" t="n"/>
      <c r="P507" s="491" t="n"/>
      <c r="Q507" s="491" t="n"/>
      <c r="R507" s="491" t="n"/>
      <c r="S507" s="491" t="n"/>
      <c r="T507" s="491" t="n"/>
      <c r="U507" s="491" t="n"/>
      <c r="V507" s="491" t="n"/>
      <c r="W507" s="491" t="n"/>
      <c r="X507" s="491" t="n"/>
      <c r="Y507" s="491" t="n"/>
    </row>
    <row r="508" ht="12.75" customHeight="1" s="398">
      <c r="A508" s="491" t="n"/>
      <c r="B508" s="491" t="n"/>
      <c r="C508" s="491" t="n"/>
      <c r="D508" s="491" t="n"/>
      <c r="E508" s="491" t="n"/>
      <c r="F508" s="491" t="n"/>
      <c r="G508" s="491" t="n"/>
      <c r="H508" s="491" t="n"/>
      <c r="I508" s="491" t="n"/>
      <c r="J508" s="491" t="n"/>
      <c r="K508" s="491" t="n"/>
      <c r="L508" s="491" t="n"/>
      <c r="M508" s="491" t="n"/>
      <c r="N508" s="491" t="n"/>
      <c r="O508" s="491" t="n"/>
      <c r="P508" s="491" t="n"/>
      <c r="Q508" s="491" t="n"/>
      <c r="R508" s="491" t="n"/>
      <c r="S508" s="491" t="n"/>
      <c r="T508" s="491" t="n"/>
      <c r="U508" s="491" t="n"/>
      <c r="V508" s="491" t="n"/>
      <c r="W508" s="491" t="n"/>
      <c r="X508" s="491" t="n"/>
      <c r="Y508" s="491" t="n"/>
    </row>
    <row r="509" ht="12.75" customHeight="1" s="398">
      <c r="A509" s="491" t="n"/>
      <c r="B509" s="491" t="n"/>
      <c r="C509" s="491" t="n"/>
      <c r="D509" s="491" t="n"/>
      <c r="E509" s="491" t="n"/>
      <c r="F509" s="491" t="n"/>
      <c r="G509" s="491" t="n"/>
      <c r="H509" s="491" t="n"/>
      <c r="I509" s="491" t="n"/>
      <c r="J509" s="491" t="n"/>
      <c r="K509" s="491" t="n"/>
      <c r="L509" s="491" t="n"/>
      <c r="M509" s="491" t="n"/>
      <c r="N509" s="491" t="n"/>
      <c r="O509" s="491" t="n"/>
      <c r="P509" s="491" t="n"/>
      <c r="Q509" s="491" t="n"/>
      <c r="R509" s="491" t="n"/>
      <c r="S509" s="491" t="n"/>
      <c r="T509" s="491" t="n"/>
      <c r="U509" s="491" t="n"/>
      <c r="V509" s="491" t="n"/>
      <c r="W509" s="491" t="n"/>
      <c r="X509" s="491" t="n"/>
      <c r="Y509" s="491" t="n"/>
    </row>
    <row r="510" ht="12.75" customHeight="1" s="398">
      <c r="A510" s="491" t="n"/>
      <c r="B510" s="491" t="n"/>
      <c r="C510" s="491" t="n"/>
      <c r="D510" s="491" t="n"/>
      <c r="E510" s="491" t="n"/>
      <c r="F510" s="491" t="n"/>
      <c r="G510" s="491" t="n"/>
      <c r="H510" s="491" t="n"/>
      <c r="I510" s="491" t="n"/>
      <c r="J510" s="491" t="n"/>
      <c r="K510" s="491" t="n"/>
      <c r="L510" s="491" t="n"/>
      <c r="M510" s="491" t="n"/>
      <c r="N510" s="491" t="n"/>
      <c r="O510" s="491" t="n"/>
      <c r="P510" s="491" t="n"/>
      <c r="Q510" s="491" t="n"/>
      <c r="R510" s="491" t="n"/>
      <c r="S510" s="491" t="n"/>
      <c r="T510" s="491" t="n"/>
      <c r="U510" s="491" t="n"/>
      <c r="V510" s="491" t="n"/>
      <c r="W510" s="491" t="n"/>
      <c r="X510" s="491" t="n"/>
      <c r="Y510" s="491" t="n"/>
    </row>
    <row r="511" ht="12.75" customHeight="1" s="398">
      <c r="A511" s="491" t="n"/>
      <c r="B511" s="491" t="n"/>
      <c r="C511" s="491" t="n"/>
      <c r="D511" s="491" t="n"/>
      <c r="E511" s="491" t="n"/>
      <c r="F511" s="491" t="n"/>
      <c r="G511" s="491" t="n"/>
      <c r="H511" s="491" t="n"/>
      <c r="I511" s="491" t="n"/>
      <c r="J511" s="491" t="n"/>
      <c r="K511" s="491" t="n"/>
      <c r="L511" s="491" t="n"/>
      <c r="M511" s="491" t="n"/>
      <c r="N511" s="491" t="n"/>
      <c r="O511" s="491" t="n"/>
      <c r="P511" s="491" t="n"/>
      <c r="Q511" s="491" t="n"/>
      <c r="R511" s="491" t="n"/>
      <c r="S511" s="491" t="n"/>
      <c r="T511" s="491" t="n"/>
      <c r="U511" s="491" t="n"/>
      <c r="V511" s="491" t="n"/>
      <c r="W511" s="491" t="n"/>
      <c r="X511" s="491" t="n"/>
      <c r="Y511" s="491" t="n"/>
    </row>
    <row r="512" ht="12.75" customHeight="1" s="398">
      <c r="A512" s="491" t="n"/>
      <c r="B512" s="491" t="n"/>
      <c r="C512" s="491" t="n"/>
      <c r="D512" s="491" t="n"/>
      <c r="E512" s="491" t="n"/>
      <c r="F512" s="491" t="n"/>
      <c r="G512" s="491" t="n"/>
      <c r="H512" s="491" t="n"/>
      <c r="I512" s="491" t="n"/>
      <c r="J512" s="491" t="n"/>
      <c r="K512" s="491" t="n"/>
      <c r="L512" s="491" t="n"/>
      <c r="M512" s="491" t="n"/>
      <c r="N512" s="491" t="n"/>
      <c r="O512" s="491" t="n"/>
      <c r="P512" s="491" t="n"/>
      <c r="Q512" s="491" t="n"/>
      <c r="R512" s="491" t="n"/>
      <c r="S512" s="491" t="n"/>
      <c r="T512" s="491" t="n"/>
      <c r="U512" s="491" t="n"/>
      <c r="V512" s="491" t="n"/>
      <c r="W512" s="491" t="n"/>
      <c r="X512" s="491" t="n"/>
      <c r="Y512" s="491" t="n"/>
    </row>
    <row r="513" ht="12.75" customHeight="1" s="398">
      <c r="A513" s="491" t="n"/>
      <c r="B513" s="491" t="n"/>
      <c r="C513" s="491" t="n"/>
      <c r="D513" s="491" t="n"/>
      <c r="E513" s="491" t="n"/>
      <c r="F513" s="491" t="n"/>
      <c r="G513" s="491" t="n"/>
      <c r="H513" s="491" t="n"/>
      <c r="I513" s="491" t="n"/>
      <c r="J513" s="491" t="n"/>
      <c r="K513" s="491" t="n"/>
      <c r="L513" s="491" t="n"/>
      <c r="M513" s="491" t="n"/>
      <c r="N513" s="491" t="n"/>
      <c r="O513" s="491" t="n"/>
      <c r="P513" s="491" t="n"/>
      <c r="Q513" s="491" t="n"/>
      <c r="R513" s="491" t="n"/>
      <c r="S513" s="491" t="n"/>
      <c r="T513" s="491" t="n"/>
      <c r="U513" s="491" t="n"/>
      <c r="V513" s="491" t="n"/>
      <c r="W513" s="491" t="n"/>
      <c r="X513" s="491" t="n"/>
      <c r="Y513" s="491" t="n"/>
    </row>
    <row r="514" ht="12.75" customHeight="1" s="398">
      <c r="A514" s="491" t="n"/>
      <c r="B514" s="491" t="n"/>
      <c r="C514" s="491" t="n"/>
      <c r="D514" s="491" t="n"/>
      <c r="E514" s="491" t="n"/>
      <c r="F514" s="491" t="n"/>
      <c r="G514" s="491" t="n"/>
      <c r="H514" s="491" t="n"/>
      <c r="I514" s="491" t="n"/>
      <c r="J514" s="491" t="n"/>
      <c r="K514" s="491" t="n"/>
      <c r="L514" s="491" t="n"/>
      <c r="M514" s="491" t="n"/>
      <c r="N514" s="491" t="n"/>
      <c r="O514" s="491" t="n"/>
      <c r="P514" s="491" t="n"/>
      <c r="Q514" s="491" t="n"/>
      <c r="R514" s="491" t="n"/>
      <c r="S514" s="491" t="n"/>
      <c r="T514" s="491" t="n"/>
      <c r="U514" s="491" t="n"/>
      <c r="V514" s="491" t="n"/>
      <c r="W514" s="491" t="n"/>
      <c r="X514" s="491" t="n"/>
      <c r="Y514" s="491" t="n"/>
    </row>
    <row r="515" ht="12.75" customHeight="1" s="398">
      <c r="A515" s="491" t="n"/>
      <c r="B515" s="491" t="n"/>
      <c r="C515" s="491" t="n"/>
      <c r="D515" s="491" t="n"/>
      <c r="E515" s="491" t="n"/>
      <c r="F515" s="491" t="n"/>
      <c r="G515" s="491" t="n"/>
      <c r="H515" s="491" t="n"/>
      <c r="I515" s="491" t="n"/>
      <c r="J515" s="491" t="n"/>
      <c r="K515" s="491" t="n"/>
      <c r="L515" s="491" t="n"/>
      <c r="M515" s="491" t="n"/>
      <c r="N515" s="491" t="n"/>
      <c r="O515" s="491" t="n"/>
      <c r="P515" s="491" t="n"/>
      <c r="Q515" s="491" t="n"/>
      <c r="R515" s="491" t="n"/>
      <c r="S515" s="491" t="n"/>
      <c r="T515" s="491" t="n"/>
      <c r="U515" s="491" t="n"/>
      <c r="V515" s="491" t="n"/>
      <c r="W515" s="491" t="n"/>
      <c r="X515" s="491" t="n"/>
      <c r="Y515" s="491" t="n"/>
    </row>
    <row r="516" ht="12.75" customHeight="1" s="398">
      <c r="A516" s="491" t="n"/>
      <c r="B516" s="491" t="n"/>
      <c r="C516" s="491" t="n"/>
      <c r="D516" s="491" t="n"/>
      <c r="E516" s="491" t="n"/>
      <c r="F516" s="491" t="n"/>
      <c r="G516" s="491" t="n"/>
      <c r="H516" s="491" t="n"/>
      <c r="I516" s="491" t="n"/>
      <c r="J516" s="491" t="n"/>
      <c r="K516" s="491" t="n"/>
      <c r="L516" s="491" t="n"/>
      <c r="M516" s="491" t="n"/>
      <c r="N516" s="491" t="n"/>
      <c r="O516" s="491" t="n"/>
      <c r="P516" s="491" t="n"/>
      <c r="Q516" s="491" t="n"/>
      <c r="R516" s="491" t="n"/>
      <c r="S516" s="491" t="n"/>
      <c r="T516" s="491" t="n"/>
      <c r="U516" s="491" t="n"/>
      <c r="V516" s="491" t="n"/>
      <c r="W516" s="491" t="n"/>
      <c r="X516" s="491" t="n"/>
      <c r="Y516" s="491" t="n"/>
    </row>
    <row r="517" ht="12.75" customHeight="1" s="398">
      <c r="A517" s="491" t="n"/>
      <c r="B517" s="491" t="n"/>
      <c r="C517" s="491" t="n"/>
      <c r="D517" s="491" t="n"/>
      <c r="E517" s="491" t="n"/>
      <c r="F517" s="491" t="n"/>
      <c r="G517" s="491" t="n"/>
      <c r="H517" s="491" t="n"/>
      <c r="I517" s="491" t="n"/>
      <c r="J517" s="491" t="n"/>
      <c r="K517" s="491" t="n"/>
      <c r="L517" s="491" t="n"/>
      <c r="M517" s="491" t="n"/>
      <c r="N517" s="491" t="n"/>
      <c r="O517" s="491" t="n"/>
      <c r="P517" s="491" t="n"/>
      <c r="Q517" s="491" t="n"/>
      <c r="R517" s="491" t="n"/>
      <c r="S517" s="491" t="n"/>
      <c r="T517" s="491" t="n"/>
      <c r="U517" s="491" t="n"/>
      <c r="V517" s="491" t="n"/>
      <c r="W517" s="491" t="n"/>
      <c r="X517" s="491" t="n"/>
      <c r="Y517" s="491" t="n"/>
    </row>
    <row r="518" ht="12.75" customHeight="1" s="398">
      <c r="A518" s="491" t="n"/>
      <c r="B518" s="491" t="n"/>
      <c r="C518" s="491" t="n"/>
      <c r="D518" s="491" t="n"/>
      <c r="E518" s="491" t="n"/>
      <c r="F518" s="491" t="n"/>
      <c r="G518" s="491" t="n"/>
      <c r="H518" s="491" t="n"/>
      <c r="I518" s="491" t="n"/>
      <c r="J518" s="491" t="n"/>
      <c r="K518" s="491" t="n"/>
      <c r="L518" s="491" t="n"/>
      <c r="M518" s="491" t="n"/>
      <c r="N518" s="491" t="n"/>
      <c r="O518" s="491" t="n"/>
      <c r="P518" s="491" t="n"/>
      <c r="Q518" s="491" t="n"/>
      <c r="R518" s="491" t="n"/>
      <c r="S518" s="491" t="n"/>
      <c r="T518" s="491" t="n"/>
      <c r="U518" s="491" t="n"/>
      <c r="V518" s="491" t="n"/>
      <c r="W518" s="491" t="n"/>
      <c r="X518" s="491" t="n"/>
      <c r="Y518" s="491" t="n"/>
    </row>
    <row r="519" ht="12.75" customHeight="1" s="398">
      <c r="A519" s="491" t="n"/>
      <c r="B519" s="491" t="n"/>
      <c r="C519" s="491" t="n"/>
      <c r="D519" s="491" t="n"/>
      <c r="E519" s="491" t="n"/>
      <c r="F519" s="491" t="n"/>
      <c r="G519" s="491" t="n"/>
      <c r="H519" s="491" t="n"/>
      <c r="I519" s="491" t="n"/>
      <c r="J519" s="491" t="n"/>
      <c r="K519" s="491" t="n"/>
      <c r="L519" s="491" t="n"/>
      <c r="M519" s="491" t="n"/>
      <c r="N519" s="491" t="n"/>
      <c r="O519" s="491" t="n"/>
      <c r="P519" s="491" t="n"/>
      <c r="Q519" s="491" t="n"/>
      <c r="R519" s="491" t="n"/>
      <c r="S519" s="491" t="n"/>
      <c r="T519" s="491" t="n"/>
      <c r="U519" s="491" t="n"/>
      <c r="V519" s="491" t="n"/>
      <c r="W519" s="491" t="n"/>
      <c r="X519" s="491" t="n"/>
      <c r="Y519" s="491" t="n"/>
    </row>
    <row r="520" ht="12.75" customHeight="1" s="398">
      <c r="A520" s="491" t="n"/>
      <c r="B520" s="491" t="n"/>
      <c r="C520" s="491" t="n"/>
      <c r="D520" s="491" t="n"/>
      <c r="E520" s="491" t="n"/>
      <c r="F520" s="491" t="n"/>
      <c r="G520" s="491" t="n"/>
      <c r="H520" s="491" t="n"/>
      <c r="I520" s="491" t="n"/>
      <c r="J520" s="491" t="n"/>
      <c r="K520" s="491" t="n"/>
      <c r="L520" s="491" t="n"/>
      <c r="M520" s="491" t="n"/>
      <c r="N520" s="491" t="n"/>
      <c r="O520" s="491" t="n"/>
      <c r="P520" s="491" t="n"/>
      <c r="Q520" s="491" t="n"/>
      <c r="R520" s="491" t="n"/>
      <c r="S520" s="491" t="n"/>
      <c r="T520" s="491" t="n"/>
      <c r="U520" s="491" t="n"/>
      <c r="V520" s="491" t="n"/>
      <c r="W520" s="491" t="n"/>
      <c r="X520" s="491" t="n"/>
      <c r="Y520" s="491" t="n"/>
    </row>
    <row r="521" ht="12.75" customHeight="1" s="398">
      <c r="A521" s="491" t="n"/>
      <c r="B521" s="491" t="n"/>
      <c r="C521" s="491" t="n"/>
      <c r="D521" s="491" t="n"/>
      <c r="E521" s="491" t="n"/>
      <c r="F521" s="491" t="n"/>
      <c r="G521" s="491" t="n"/>
      <c r="H521" s="491" t="n"/>
      <c r="I521" s="491" t="n"/>
      <c r="J521" s="491" t="n"/>
      <c r="K521" s="491" t="n"/>
      <c r="L521" s="491" t="n"/>
      <c r="M521" s="491" t="n"/>
      <c r="N521" s="491" t="n"/>
      <c r="O521" s="491" t="n"/>
      <c r="P521" s="491" t="n"/>
      <c r="Q521" s="491" t="n"/>
      <c r="R521" s="491" t="n"/>
      <c r="S521" s="491" t="n"/>
      <c r="T521" s="491" t="n"/>
      <c r="U521" s="491" t="n"/>
      <c r="V521" s="491" t="n"/>
      <c r="W521" s="491" t="n"/>
      <c r="X521" s="491" t="n"/>
      <c r="Y521" s="491" t="n"/>
    </row>
    <row r="522" ht="12.75" customHeight="1" s="398">
      <c r="A522" s="491" t="n"/>
      <c r="B522" s="491" t="n"/>
      <c r="C522" s="491" t="n"/>
      <c r="D522" s="491" t="n"/>
      <c r="E522" s="491" t="n"/>
      <c r="F522" s="491" t="n"/>
      <c r="G522" s="491" t="n"/>
      <c r="H522" s="491" t="n"/>
      <c r="I522" s="491" t="n"/>
      <c r="J522" s="491" t="n"/>
      <c r="K522" s="491" t="n"/>
      <c r="L522" s="491" t="n"/>
      <c r="M522" s="491" t="n"/>
      <c r="N522" s="491" t="n"/>
      <c r="O522" s="491" t="n"/>
      <c r="P522" s="491" t="n"/>
      <c r="Q522" s="491" t="n"/>
      <c r="R522" s="491" t="n"/>
      <c r="S522" s="491" t="n"/>
      <c r="T522" s="491" t="n"/>
      <c r="U522" s="491" t="n"/>
      <c r="V522" s="491" t="n"/>
      <c r="W522" s="491" t="n"/>
      <c r="X522" s="491" t="n"/>
      <c r="Y522" s="491" t="n"/>
    </row>
    <row r="523" ht="12.75" customHeight="1" s="398">
      <c r="A523" s="491" t="n"/>
      <c r="B523" s="491" t="n"/>
      <c r="C523" s="491" t="n"/>
      <c r="D523" s="491" t="n"/>
      <c r="E523" s="491" t="n"/>
      <c r="F523" s="491" t="n"/>
      <c r="G523" s="491" t="n"/>
      <c r="H523" s="491" t="n"/>
      <c r="I523" s="491" t="n"/>
      <c r="J523" s="491" t="n"/>
      <c r="K523" s="491" t="n"/>
      <c r="L523" s="491" t="n"/>
      <c r="M523" s="491" t="n"/>
      <c r="N523" s="491" t="n"/>
      <c r="O523" s="491" t="n"/>
      <c r="P523" s="491" t="n"/>
      <c r="Q523" s="491" t="n"/>
      <c r="R523" s="491" t="n"/>
      <c r="S523" s="491" t="n"/>
      <c r="T523" s="491" t="n"/>
      <c r="U523" s="491" t="n"/>
      <c r="V523" s="491" t="n"/>
      <c r="W523" s="491" t="n"/>
      <c r="X523" s="491" t="n"/>
      <c r="Y523" s="491" t="n"/>
    </row>
    <row r="524" ht="12.75" customHeight="1" s="398">
      <c r="A524" s="491" t="n"/>
      <c r="B524" s="491" t="n"/>
      <c r="C524" s="491" t="n"/>
      <c r="D524" s="491" t="n"/>
      <c r="E524" s="491" t="n"/>
      <c r="F524" s="491" t="n"/>
      <c r="G524" s="491" t="n"/>
      <c r="H524" s="491" t="n"/>
      <c r="I524" s="491" t="n"/>
      <c r="J524" s="491" t="n"/>
      <c r="K524" s="491" t="n"/>
      <c r="L524" s="491" t="n"/>
      <c r="M524" s="491" t="n"/>
      <c r="N524" s="491" t="n"/>
      <c r="O524" s="491" t="n"/>
      <c r="P524" s="491" t="n"/>
      <c r="Q524" s="491" t="n"/>
      <c r="R524" s="491" t="n"/>
      <c r="S524" s="491" t="n"/>
      <c r="T524" s="491" t="n"/>
      <c r="U524" s="491" t="n"/>
      <c r="V524" s="491" t="n"/>
      <c r="W524" s="491" t="n"/>
      <c r="X524" s="491" t="n"/>
      <c r="Y524" s="491" t="n"/>
    </row>
    <row r="525" ht="12.75" customHeight="1" s="398">
      <c r="A525" s="491" t="n"/>
      <c r="B525" s="491" t="n"/>
      <c r="C525" s="491" t="n"/>
      <c r="D525" s="491" t="n"/>
      <c r="E525" s="491" t="n"/>
      <c r="F525" s="491" t="n"/>
      <c r="G525" s="491" t="n"/>
      <c r="H525" s="491" t="n"/>
      <c r="I525" s="491" t="n"/>
      <c r="J525" s="491" t="n"/>
      <c r="K525" s="491" t="n"/>
      <c r="L525" s="491" t="n"/>
      <c r="M525" s="491" t="n"/>
      <c r="N525" s="491" t="n"/>
      <c r="O525" s="491" t="n"/>
      <c r="P525" s="491" t="n"/>
      <c r="Q525" s="491" t="n"/>
      <c r="R525" s="491" t="n"/>
      <c r="S525" s="491" t="n"/>
      <c r="T525" s="491" t="n"/>
      <c r="U525" s="491" t="n"/>
      <c r="V525" s="491" t="n"/>
      <c r="W525" s="491" t="n"/>
      <c r="X525" s="491" t="n"/>
      <c r="Y525" s="491" t="n"/>
    </row>
    <row r="526" ht="12.75" customHeight="1" s="398">
      <c r="A526" s="491" t="n"/>
      <c r="B526" s="491" t="n"/>
      <c r="C526" s="491" t="n"/>
      <c r="D526" s="491" t="n"/>
      <c r="E526" s="491" t="n"/>
      <c r="F526" s="491" t="n"/>
      <c r="G526" s="491" t="n"/>
      <c r="H526" s="491" t="n"/>
      <c r="I526" s="491" t="n"/>
      <c r="J526" s="491" t="n"/>
      <c r="K526" s="491" t="n"/>
      <c r="L526" s="491" t="n"/>
      <c r="M526" s="491" t="n"/>
      <c r="N526" s="491" t="n"/>
      <c r="O526" s="491" t="n"/>
      <c r="P526" s="491" t="n"/>
      <c r="Q526" s="491" t="n"/>
      <c r="R526" s="491" t="n"/>
      <c r="S526" s="491" t="n"/>
      <c r="T526" s="491" t="n"/>
      <c r="U526" s="491" t="n"/>
      <c r="V526" s="491" t="n"/>
      <c r="W526" s="491" t="n"/>
      <c r="X526" s="491" t="n"/>
      <c r="Y526" s="491" t="n"/>
    </row>
    <row r="527" ht="12.75" customHeight="1" s="398">
      <c r="A527" s="491" t="n"/>
      <c r="B527" s="491" t="n"/>
      <c r="C527" s="491" t="n"/>
      <c r="D527" s="491" t="n"/>
      <c r="E527" s="491" t="n"/>
      <c r="F527" s="491" t="n"/>
      <c r="G527" s="491" t="n"/>
      <c r="H527" s="491" t="n"/>
      <c r="I527" s="491" t="n"/>
      <c r="J527" s="491" t="n"/>
      <c r="K527" s="491" t="n"/>
      <c r="L527" s="491" t="n"/>
      <c r="M527" s="491" t="n"/>
      <c r="N527" s="491" t="n"/>
      <c r="O527" s="491" t="n"/>
      <c r="P527" s="491" t="n"/>
      <c r="Q527" s="491" t="n"/>
      <c r="R527" s="491" t="n"/>
      <c r="S527" s="491" t="n"/>
      <c r="T527" s="491" t="n"/>
      <c r="U527" s="491" t="n"/>
      <c r="V527" s="491" t="n"/>
      <c r="W527" s="491" t="n"/>
      <c r="X527" s="491" t="n"/>
      <c r="Y527" s="491" t="n"/>
    </row>
    <row r="528" ht="12.75" customHeight="1" s="398">
      <c r="A528" s="491" t="n"/>
      <c r="B528" s="491" t="n"/>
      <c r="C528" s="491" t="n"/>
      <c r="D528" s="491" t="n"/>
      <c r="E528" s="491" t="n"/>
      <c r="F528" s="491" t="n"/>
      <c r="G528" s="491" t="n"/>
      <c r="H528" s="491" t="n"/>
      <c r="I528" s="491" t="n"/>
      <c r="J528" s="491" t="n"/>
      <c r="K528" s="491" t="n"/>
      <c r="L528" s="491" t="n"/>
      <c r="M528" s="491" t="n"/>
      <c r="N528" s="491" t="n"/>
      <c r="O528" s="491" t="n"/>
      <c r="P528" s="491" t="n"/>
      <c r="Q528" s="491" t="n"/>
      <c r="R528" s="491" t="n"/>
      <c r="S528" s="491" t="n"/>
      <c r="T528" s="491" t="n"/>
      <c r="U528" s="491" t="n"/>
      <c r="V528" s="491" t="n"/>
      <c r="W528" s="491" t="n"/>
      <c r="X528" s="491" t="n"/>
      <c r="Y528" s="491" t="n"/>
    </row>
    <row r="529" ht="12.75" customHeight="1" s="398">
      <c r="A529" s="491" t="n"/>
      <c r="B529" s="491" t="n"/>
      <c r="C529" s="491" t="n"/>
      <c r="D529" s="491" t="n"/>
      <c r="E529" s="491" t="n"/>
      <c r="F529" s="491" t="n"/>
      <c r="G529" s="491" t="n"/>
      <c r="H529" s="491" t="n"/>
      <c r="I529" s="491" t="n"/>
      <c r="J529" s="491" t="n"/>
      <c r="K529" s="491" t="n"/>
      <c r="L529" s="491" t="n"/>
      <c r="M529" s="491" t="n"/>
      <c r="N529" s="491" t="n"/>
      <c r="O529" s="491" t="n"/>
      <c r="P529" s="491" t="n"/>
      <c r="Q529" s="491" t="n"/>
      <c r="R529" s="491" t="n"/>
      <c r="S529" s="491" t="n"/>
      <c r="T529" s="491" t="n"/>
      <c r="U529" s="491" t="n"/>
      <c r="V529" s="491" t="n"/>
      <c r="W529" s="491" t="n"/>
      <c r="X529" s="491" t="n"/>
      <c r="Y529" s="491" t="n"/>
    </row>
    <row r="530" ht="12.75" customHeight="1" s="398">
      <c r="A530" s="491" t="n"/>
      <c r="B530" s="491" t="n"/>
      <c r="C530" s="491" t="n"/>
      <c r="D530" s="491" t="n"/>
      <c r="E530" s="491" t="n"/>
      <c r="F530" s="491" t="n"/>
      <c r="G530" s="491" t="n"/>
      <c r="H530" s="491" t="n"/>
      <c r="I530" s="491" t="n"/>
      <c r="J530" s="491" t="n"/>
      <c r="K530" s="491" t="n"/>
      <c r="L530" s="491" t="n"/>
      <c r="M530" s="491" t="n"/>
      <c r="N530" s="491" t="n"/>
      <c r="O530" s="491" t="n"/>
      <c r="P530" s="491" t="n"/>
      <c r="Q530" s="491" t="n"/>
      <c r="R530" s="491" t="n"/>
      <c r="S530" s="491" t="n"/>
      <c r="T530" s="491" t="n"/>
      <c r="U530" s="491" t="n"/>
      <c r="V530" s="491" t="n"/>
      <c r="W530" s="491" t="n"/>
      <c r="X530" s="491" t="n"/>
      <c r="Y530" s="491" t="n"/>
    </row>
    <row r="531" ht="12.75" customHeight="1" s="398">
      <c r="A531" s="491" t="n"/>
      <c r="B531" s="491" t="n"/>
      <c r="C531" s="491" t="n"/>
      <c r="D531" s="491" t="n"/>
      <c r="E531" s="491" t="n"/>
      <c r="F531" s="491" t="n"/>
      <c r="G531" s="491" t="n"/>
      <c r="H531" s="491" t="n"/>
      <c r="I531" s="491" t="n"/>
      <c r="J531" s="491" t="n"/>
      <c r="K531" s="491" t="n"/>
      <c r="L531" s="491" t="n"/>
      <c r="M531" s="491" t="n"/>
      <c r="N531" s="491" t="n"/>
      <c r="O531" s="491" t="n"/>
      <c r="P531" s="491" t="n"/>
      <c r="Q531" s="491" t="n"/>
      <c r="R531" s="491" t="n"/>
      <c r="S531" s="491" t="n"/>
      <c r="T531" s="491" t="n"/>
      <c r="U531" s="491" t="n"/>
      <c r="V531" s="491" t="n"/>
      <c r="W531" s="491" t="n"/>
      <c r="X531" s="491" t="n"/>
      <c r="Y531" s="491" t="n"/>
    </row>
    <row r="532" ht="12.75" customHeight="1" s="398">
      <c r="A532" s="491" t="n"/>
      <c r="B532" s="491" t="n"/>
      <c r="C532" s="491" t="n"/>
      <c r="D532" s="491" t="n"/>
      <c r="E532" s="491" t="n"/>
      <c r="F532" s="491" t="n"/>
      <c r="G532" s="491" t="n"/>
      <c r="H532" s="491" t="n"/>
      <c r="I532" s="491" t="n"/>
      <c r="J532" s="491" t="n"/>
      <c r="K532" s="491" t="n"/>
      <c r="L532" s="491" t="n"/>
      <c r="M532" s="491" t="n"/>
      <c r="N532" s="491" t="n"/>
      <c r="O532" s="491" t="n"/>
      <c r="P532" s="491" t="n"/>
      <c r="Q532" s="491" t="n"/>
      <c r="R532" s="491" t="n"/>
      <c r="S532" s="491" t="n"/>
      <c r="T532" s="491" t="n"/>
      <c r="U532" s="491" t="n"/>
      <c r="V532" s="491" t="n"/>
      <c r="W532" s="491" t="n"/>
      <c r="X532" s="491" t="n"/>
      <c r="Y532" s="491" t="n"/>
    </row>
    <row r="533" ht="12.75" customHeight="1" s="398">
      <c r="A533" s="491" t="n"/>
      <c r="B533" s="491" t="n"/>
      <c r="C533" s="491" t="n"/>
      <c r="D533" s="491" t="n"/>
      <c r="E533" s="491" t="n"/>
      <c r="F533" s="491" t="n"/>
      <c r="G533" s="491" t="n"/>
      <c r="H533" s="491" t="n"/>
      <c r="I533" s="491" t="n"/>
      <c r="J533" s="491" t="n"/>
      <c r="K533" s="491" t="n"/>
      <c r="L533" s="491" t="n"/>
      <c r="M533" s="491" t="n"/>
      <c r="N533" s="491" t="n"/>
      <c r="O533" s="491" t="n"/>
      <c r="P533" s="491" t="n"/>
      <c r="Q533" s="491" t="n"/>
      <c r="R533" s="491" t="n"/>
      <c r="S533" s="491" t="n"/>
      <c r="T533" s="491" t="n"/>
      <c r="U533" s="491" t="n"/>
      <c r="V533" s="491" t="n"/>
      <c r="W533" s="491" t="n"/>
      <c r="X533" s="491" t="n"/>
      <c r="Y533" s="491" t="n"/>
    </row>
    <row r="534" ht="12.75" customHeight="1" s="398">
      <c r="A534" s="491" t="n"/>
      <c r="B534" s="491" t="n"/>
      <c r="C534" s="491" t="n"/>
      <c r="D534" s="491" t="n"/>
      <c r="E534" s="491" t="n"/>
      <c r="F534" s="491" t="n"/>
      <c r="G534" s="491" t="n"/>
      <c r="H534" s="491" t="n"/>
      <c r="I534" s="491" t="n"/>
      <c r="J534" s="491" t="n"/>
      <c r="K534" s="491" t="n"/>
      <c r="L534" s="491" t="n"/>
      <c r="M534" s="491" t="n"/>
      <c r="N534" s="491" t="n"/>
      <c r="O534" s="491" t="n"/>
      <c r="P534" s="491" t="n"/>
      <c r="Q534" s="491" t="n"/>
      <c r="R534" s="491" t="n"/>
      <c r="S534" s="491" t="n"/>
      <c r="T534" s="491" t="n"/>
      <c r="U534" s="491" t="n"/>
      <c r="V534" s="491" t="n"/>
      <c r="W534" s="491" t="n"/>
      <c r="X534" s="491" t="n"/>
      <c r="Y534" s="491" t="n"/>
    </row>
    <row r="535" ht="12.75" customHeight="1" s="398">
      <c r="A535" s="491" t="n"/>
      <c r="B535" s="491" t="n"/>
      <c r="C535" s="491" t="n"/>
      <c r="D535" s="491" t="n"/>
      <c r="E535" s="491" t="n"/>
      <c r="F535" s="491" t="n"/>
      <c r="G535" s="491" t="n"/>
      <c r="H535" s="491" t="n"/>
      <c r="I535" s="491" t="n"/>
      <c r="J535" s="491" t="n"/>
      <c r="K535" s="491" t="n"/>
      <c r="L535" s="491" t="n"/>
      <c r="M535" s="491" t="n"/>
      <c r="N535" s="491" t="n"/>
      <c r="O535" s="491" t="n"/>
      <c r="P535" s="491" t="n"/>
      <c r="Q535" s="491" t="n"/>
      <c r="R535" s="491" t="n"/>
      <c r="S535" s="491" t="n"/>
      <c r="T535" s="491" t="n"/>
      <c r="U535" s="491" t="n"/>
      <c r="V535" s="491" t="n"/>
      <c r="W535" s="491" t="n"/>
      <c r="X535" s="491" t="n"/>
      <c r="Y535" s="491" t="n"/>
    </row>
    <row r="536" ht="12.75" customHeight="1" s="398">
      <c r="A536" s="491" t="n"/>
      <c r="B536" s="491" t="n"/>
      <c r="C536" s="491" t="n"/>
      <c r="D536" s="491" t="n"/>
      <c r="E536" s="491" t="n"/>
      <c r="F536" s="491" t="n"/>
      <c r="G536" s="491" t="n"/>
      <c r="H536" s="491" t="n"/>
      <c r="I536" s="491" t="n"/>
      <c r="J536" s="491" t="n"/>
      <c r="K536" s="491" t="n"/>
      <c r="L536" s="491" t="n"/>
      <c r="M536" s="491" t="n"/>
      <c r="N536" s="491" t="n"/>
      <c r="O536" s="491" t="n"/>
      <c r="P536" s="491" t="n"/>
      <c r="Q536" s="491" t="n"/>
      <c r="R536" s="491" t="n"/>
      <c r="S536" s="491" t="n"/>
      <c r="T536" s="491" t="n"/>
      <c r="U536" s="491" t="n"/>
      <c r="V536" s="491" t="n"/>
      <c r="W536" s="491" t="n"/>
      <c r="X536" s="491" t="n"/>
      <c r="Y536" s="491" t="n"/>
    </row>
    <row r="537" ht="12.75" customHeight="1" s="398">
      <c r="A537" s="491" t="n"/>
      <c r="B537" s="491" t="n"/>
      <c r="C537" s="491" t="n"/>
      <c r="D537" s="491" t="n"/>
      <c r="E537" s="491" t="n"/>
      <c r="F537" s="491" t="n"/>
      <c r="G537" s="491" t="n"/>
      <c r="H537" s="491" t="n"/>
      <c r="I537" s="491" t="n"/>
      <c r="J537" s="491" t="n"/>
      <c r="K537" s="491" t="n"/>
      <c r="L537" s="491" t="n"/>
      <c r="M537" s="491" t="n"/>
      <c r="N537" s="491" t="n"/>
      <c r="O537" s="491" t="n"/>
      <c r="P537" s="491" t="n"/>
      <c r="Q537" s="491" t="n"/>
      <c r="R537" s="491" t="n"/>
      <c r="S537" s="491" t="n"/>
      <c r="T537" s="491" t="n"/>
      <c r="U537" s="491" t="n"/>
      <c r="V537" s="491" t="n"/>
      <c r="W537" s="491" t="n"/>
      <c r="X537" s="491" t="n"/>
      <c r="Y537" s="491" t="n"/>
    </row>
    <row r="538" ht="12.75" customHeight="1" s="398">
      <c r="A538" s="491" t="n"/>
      <c r="B538" s="491" t="n"/>
      <c r="C538" s="491" t="n"/>
      <c r="D538" s="491" t="n"/>
      <c r="E538" s="491" t="n"/>
      <c r="F538" s="491" t="n"/>
      <c r="G538" s="491" t="n"/>
      <c r="H538" s="491" t="n"/>
      <c r="I538" s="491" t="n"/>
      <c r="J538" s="491" t="n"/>
      <c r="K538" s="491" t="n"/>
      <c r="L538" s="491" t="n"/>
      <c r="M538" s="491" t="n"/>
      <c r="N538" s="491" t="n"/>
      <c r="O538" s="491" t="n"/>
      <c r="P538" s="491" t="n"/>
      <c r="Q538" s="491" t="n"/>
      <c r="R538" s="491" t="n"/>
      <c r="S538" s="491" t="n"/>
      <c r="T538" s="491" t="n"/>
      <c r="U538" s="491" t="n"/>
      <c r="V538" s="491" t="n"/>
      <c r="W538" s="491" t="n"/>
      <c r="X538" s="491" t="n"/>
      <c r="Y538" s="491" t="n"/>
    </row>
    <row r="539" ht="12.75" customHeight="1" s="398">
      <c r="A539" s="491" t="n"/>
      <c r="B539" s="491" t="n"/>
      <c r="C539" s="491" t="n"/>
      <c r="D539" s="491" t="n"/>
      <c r="E539" s="491" t="n"/>
      <c r="F539" s="491" t="n"/>
      <c r="G539" s="491" t="n"/>
      <c r="H539" s="491" t="n"/>
      <c r="I539" s="491" t="n"/>
      <c r="J539" s="491" t="n"/>
      <c r="K539" s="491" t="n"/>
      <c r="L539" s="491" t="n"/>
      <c r="M539" s="491" t="n"/>
      <c r="N539" s="491" t="n"/>
      <c r="O539" s="491" t="n"/>
      <c r="P539" s="491" t="n"/>
      <c r="Q539" s="491" t="n"/>
      <c r="R539" s="491" t="n"/>
      <c r="S539" s="491" t="n"/>
      <c r="T539" s="491" t="n"/>
      <c r="U539" s="491" t="n"/>
      <c r="V539" s="491" t="n"/>
      <c r="W539" s="491" t="n"/>
      <c r="X539" s="491" t="n"/>
      <c r="Y539" s="491" t="n"/>
    </row>
    <row r="540" ht="12.75" customHeight="1" s="398">
      <c r="A540" s="491" t="n"/>
      <c r="B540" s="491" t="n"/>
      <c r="C540" s="491" t="n"/>
      <c r="D540" s="491" t="n"/>
      <c r="E540" s="491" t="n"/>
      <c r="F540" s="491" t="n"/>
      <c r="G540" s="491" t="n"/>
      <c r="H540" s="491" t="n"/>
      <c r="I540" s="491" t="n"/>
      <c r="J540" s="491" t="n"/>
      <c r="K540" s="491" t="n"/>
      <c r="L540" s="491" t="n"/>
      <c r="M540" s="491" t="n"/>
      <c r="N540" s="491" t="n"/>
      <c r="O540" s="491" t="n"/>
      <c r="P540" s="491" t="n"/>
      <c r="Q540" s="491" t="n"/>
      <c r="R540" s="491" t="n"/>
      <c r="S540" s="491" t="n"/>
      <c r="T540" s="491" t="n"/>
      <c r="U540" s="491" t="n"/>
      <c r="V540" s="491" t="n"/>
      <c r="W540" s="491" t="n"/>
      <c r="X540" s="491" t="n"/>
      <c r="Y540" s="491" t="n"/>
    </row>
    <row r="541" ht="12.75" customHeight="1" s="398">
      <c r="A541" s="491" t="n"/>
      <c r="B541" s="491" t="n"/>
      <c r="C541" s="491" t="n"/>
      <c r="D541" s="491" t="n"/>
      <c r="E541" s="491" t="n"/>
      <c r="F541" s="491" t="n"/>
      <c r="G541" s="491" t="n"/>
      <c r="H541" s="491" t="n"/>
      <c r="I541" s="491" t="n"/>
      <c r="J541" s="491" t="n"/>
      <c r="K541" s="491" t="n"/>
      <c r="L541" s="491" t="n"/>
      <c r="M541" s="491" t="n"/>
      <c r="N541" s="491" t="n"/>
      <c r="O541" s="491" t="n"/>
      <c r="P541" s="491" t="n"/>
      <c r="Q541" s="491" t="n"/>
      <c r="R541" s="491" t="n"/>
      <c r="S541" s="491" t="n"/>
      <c r="T541" s="491" t="n"/>
      <c r="U541" s="491" t="n"/>
      <c r="V541" s="491" t="n"/>
      <c r="W541" s="491" t="n"/>
      <c r="X541" s="491" t="n"/>
      <c r="Y541" s="491" t="n"/>
    </row>
    <row r="542" ht="12.75" customHeight="1" s="398">
      <c r="A542" s="491" t="n"/>
      <c r="B542" s="491" t="n"/>
      <c r="C542" s="491" t="n"/>
      <c r="D542" s="491" t="n"/>
      <c r="E542" s="491" t="n"/>
      <c r="F542" s="491" t="n"/>
      <c r="G542" s="491" t="n"/>
      <c r="H542" s="491" t="n"/>
      <c r="I542" s="491" t="n"/>
      <c r="J542" s="491" t="n"/>
      <c r="K542" s="491" t="n"/>
      <c r="L542" s="491" t="n"/>
      <c r="M542" s="491" t="n"/>
      <c r="N542" s="491" t="n"/>
      <c r="O542" s="491" t="n"/>
      <c r="P542" s="491" t="n"/>
      <c r="Q542" s="491" t="n"/>
      <c r="R542" s="491" t="n"/>
      <c r="S542" s="491" t="n"/>
      <c r="T542" s="491" t="n"/>
      <c r="U542" s="491" t="n"/>
      <c r="V542" s="491" t="n"/>
      <c r="W542" s="491" t="n"/>
      <c r="X542" s="491" t="n"/>
      <c r="Y542" s="491" t="n"/>
    </row>
    <row r="543" ht="12.75" customHeight="1" s="398">
      <c r="A543" s="491" t="n"/>
      <c r="B543" s="491" t="n"/>
      <c r="C543" s="491" t="n"/>
      <c r="D543" s="491" t="n"/>
      <c r="E543" s="491" t="n"/>
      <c r="F543" s="491" t="n"/>
      <c r="G543" s="491" t="n"/>
      <c r="H543" s="491" t="n"/>
      <c r="I543" s="491" t="n"/>
      <c r="J543" s="491" t="n"/>
      <c r="K543" s="491" t="n"/>
      <c r="L543" s="491" t="n"/>
      <c r="M543" s="491" t="n"/>
      <c r="N543" s="491" t="n"/>
      <c r="O543" s="491" t="n"/>
      <c r="P543" s="491" t="n"/>
      <c r="Q543" s="491" t="n"/>
      <c r="R543" s="491" t="n"/>
      <c r="S543" s="491" t="n"/>
      <c r="T543" s="491" t="n"/>
      <c r="U543" s="491" t="n"/>
      <c r="V543" s="491" t="n"/>
      <c r="W543" s="491" t="n"/>
      <c r="X543" s="491" t="n"/>
      <c r="Y543" s="491" t="n"/>
    </row>
    <row r="544" ht="12.75" customHeight="1" s="398">
      <c r="A544" s="491" t="n"/>
      <c r="B544" s="491" t="n"/>
      <c r="C544" s="491" t="n"/>
      <c r="D544" s="491" t="n"/>
      <c r="E544" s="491" t="n"/>
      <c r="F544" s="491" t="n"/>
      <c r="G544" s="491" t="n"/>
      <c r="H544" s="491" t="n"/>
      <c r="I544" s="491" t="n"/>
      <c r="J544" s="491" t="n"/>
      <c r="K544" s="491" t="n"/>
      <c r="L544" s="491" t="n"/>
      <c r="M544" s="491" t="n"/>
      <c r="N544" s="491" t="n"/>
      <c r="O544" s="491" t="n"/>
      <c r="P544" s="491" t="n"/>
      <c r="Q544" s="491" t="n"/>
      <c r="R544" s="491" t="n"/>
      <c r="S544" s="491" t="n"/>
      <c r="T544" s="491" t="n"/>
      <c r="U544" s="491" t="n"/>
      <c r="V544" s="491" t="n"/>
      <c r="W544" s="491" t="n"/>
      <c r="X544" s="491" t="n"/>
      <c r="Y544" s="491" t="n"/>
    </row>
    <row r="545" ht="12.75" customHeight="1" s="398">
      <c r="A545" s="491" t="n"/>
      <c r="B545" s="491" t="n"/>
      <c r="C545" s="491" t="n"/>
      <c r="D545" s="491" t="n"/>
      <c r="E545" s="491" t="n"/>
      <c r="F545" s="491" t="n"/>
      <c r="G545" s="491" t="n"/>
      <c r="H545" s="491" t="n"/>
      <c r="I545" s="491" t="n"/>
      <c r="J545" s="491" t="n"/>
      <c r="K545" s="491" t="n"/>
      <c r="L545" s="491" t="n"/>
      <c r="M545" s="491" t="n"/>
      <c r="N545" s="491" t="n"/>
      <c r="O545" s="491" t="n"/>
      <c r="P545" s="491" t="n"/>
      <c r="Q545" s="491" t="n"/>
      <c r="R545" s="491" t="n"/>
      <c r="S545" s="491" t="n"/>
      <c r="T545" s="491" t="n"/>
      <c r="U545" s="491" t="n"/>
      <c r="V545" s="491" t="n"/>
      <c r="W545" s="491" t="n"/>
      <c r="X545" s="491" t="n"/>
      <c r="Y545" s="491" t="n"/>
    </row>
    <row r="546" ht="12.75" customHeight="1" s="398">
      <c r="A546" s="491" t="n"/>
      <c r="B546" s="491" t="n"/>
      <c r="C546" s="491" t="n"/>
      <c r="D546" s="491" t="n"/>
      <c r="E546" s="491" t="n"/>
      <c r="F546" s="491" t="n"/>
      <c r="G546" s="491" t="n"/>
      <c r="H546" s="491" t="n"/>
      <c r="I546" s="491" t="n"/>
      <c r="J546" s="491" t="n"/>
      <c r="K546" s="491" t="n"/>
      <c r="L546" s="491" t="n"/>
      <c r="M546" s="491" t="n"/>
      <c r="N546" s="491" t="n"/>
      <c r="O546" s="491" t="n"/>
      <c r="P546" s="491" t="n"/>
      <c r="Q546" s="491" t="n"/>
      <c r="R546" s="491" t="n"/>
      <c r="S546" s="491" t="n"/>
      <c r="T546" s="491" t="n"/>
      <c r="U546" s="491" t="n"/>
      <c r="V546" s="491" t="n"/>
      <c r="W546" s="491" t="n"/>
      <c r="X546" s="491" t="n"/>
      <c r="Y546" s="491" t="n"/>
    </row>
    <row r="547" ht="12.75" customHeight="1" s="398">
      <c r="A547" s="491" t="n"/>
      <c r="B547" s="491" t="n"/>
      <c r="C547" s="491" t="n"/>
      <c r="D547" s="491" t="n"/>
      <c r="E547" s="491" t="n"/>
      <c r="F547" s="491" t="n"/>
      <c r="G547" s="491" t="n"/>
      <c r="H547" s="491" t="n"/>
      <c r="I547" s="491" t="n"/>
      <c r="J547" s="491" t="n"/>
      <c r="K547" s="491" t="n"/>
      <c r="L547" s="491" t="n"/>
      <c r="M547" s="491" t="n"/>
      <c r="N547" s="491" t="n"/>
      <c r="O547" s="491" t="n"/>
      <c r="P547" s="491" t="n"/>
      <c r="Q547" s="491" t="n"/>
      <c r="R547" s="491" t="n"/>
      <c r="S547" s="491" t="n"/>
      <c r="T547" s="491" t="n"/>
      <c r="U547" s="491" t="n"/>
      <c r="V547" s="491" t="n"/>
      <c r="W547" s="491" t="n"/>
      <c r="X547" s="491" t="n"/>
      <c r="Y547" s="491" t="n"/>
    </row>
    <row r="548" ht="12.75" customHeight="1" s="398">
      <c r="A548" s="491" t="n"/>
      <c r="B548" s="491" t="n"/>
      <c r="C548" s="491" t="n"/>
      <c r="D548" s="491" t="n"/>
      <c r="E548" s="491" t="n"/>
      <c r="F548" s="491" t="n"/>
      <c r="G548" s="491" t="n"/>
      <c r="H548" s="491" t="n"/>
      <c r="I548" s="491" t="n"/>
      <c r="J548" s="491" t="n"/>
      <c r="K548" s="491" t="n"/>
      <c r="L548" s="491" t="n"/>
      <c r="M548" s="491" t="n"/>
      <c r="N548" s="491" t="n"/>
      <c r="O548" s="491" t="n"/>
      <c r="P548" s="491" t="n"/>
      <c r="Q548" s="491" t="n"/>
      <c r="R548" s="491" t="n"/>
      <c r="S548" s="491" t="n"/>
      <c r="T548" s="491" t="n"/>
      <c r="U548" s="491" t="n"/>
      <c r="V548" s="491" t="n"/>
      <c r="W548" s="491" t="n"/>
      <c r="X548" s="491" t="n"/>
      <c r="Y548" s="491" t="n"/>
    </row>
    <row r="549" ht="12.75" customHeight="1" s="398">
      <c r="A549" s="491" t="n"/>
      <c r="B549" s="491" t="n"/>
      <c r="C549" s="491" t="n"/>
      <c r="D549" s="491" t="n"/>
      <c r="E549" s="491" t="n"/>
      <c r="F549" s="491" t="n"/>
      <c r="G549" s="491" t="n"/>
      <c r="H549" s="491" t="n"/>
      <c r="I549" s="491" t="n"/>
      <c r="J549" s="491" t="n"/>
      <c r="K549" s="491" t="n"/>
      <c r="L549" s="491" t="n"/>
      <c r="M549" s="491" t="n"/>
      <c r="N549" s="491" t="n"/>
      <c r="O549" s="491" t="n"/>
      <c r="P549" s="491" t="n"/>
      <c r="Q549" s="491" t="n"/>
      <c r="R549" s="491" t="n"/>
      <c r="S549" s="491" t="n"/>
      <c r="T549" s="491" t="n"/>
      <c r="U549" s="491" t="n"/>
      <c r="V549" s="491" t="n"/>
      <c r="W549" s="491" t="n"/>
      <c r="X549" s="491" t="n"/>
      <c r="Y549" s="491" t="n"/>
    </row>
    <row r="550" ht="12.75" customHeight="1" s="398">
      <c r="A550" s="491" t="n"/>
      <c r="B550" s="491" t="n"/>
      <c r="C550" s="491" t="n"/>
      <c r="D550" s="491" t="n"/>
      <c r="E550" s="491" t="n"/>
      <c r="F550" s="491" t="n"/>
      <c r="G550" s="491" t="n"/>
      <c r="H550" s="491" t="n"/>
      <c r="I550" s="491" t="n"/>
      <c r="J550" s="491" t="n"/>
      <c r="K550" s="491" t="n"/>
      <c r="L550" s="491" t="n"/>
      <c r="M550" s="491" t="n"/>
      <c r="N550" s="491" t="n"/>
      <c r="O550" s="491" t="n"/>
      <c r="P550" s="491" t="n"/>
      <c r="Q550" s="491" t="n"/>
      <c r="R550" s="491" t="n"/>
      <c r="S550" s="491" t="n"/>
      <c r="T550" s="491" t="n"/>
      <c r="U550" s="491" t="n"/>
      <c r="V550" s="491" t="n"/>
      <c r="W550" s="491" t="n"/>
      <c r="X550" s="491" t="n"/>
      <c r="Y550" s="491" t="n"/>
    </row>
    <row r="551" ht="12.75" customHeight="1" s="398">
      <c r="A551" s="491" t="n"/>
      <c r="B551" s="491" t="n"/>
      <c r="C551" s="491" t="n"/>
      <c r="D551" s="491" t="n"/>
      <c r="E551" s="491" t="n"/>
      <c r="F551" s="491" t="n"/>
      <c r="G551" s="491" t="n"/>
      <c r="H551" s="491" t="n"/>
      <c r="I551" s="491" t="n"/>
      <c r="J551" s="491" t="n"/>
      <c r="K551" s="491" t="n"/>
      <c r="L551" s="491" t="n"/>
      <c r="M551" s="491" t="n"/>
      <c r="N551" s="491" t="n"/>
      <c r="O551" s="491" t="n"/>
      <c r="P551" s="491" t="n"/>
      <c r="Q551" s="491" t="n"/>
      <c r="R551" s="491" t="n"/>
      <c r="S551" s="491" t="n"/>
      <c r="T551" s="491" t="n"/>
      <c r="U551" s="491" t="n"/>
      <c r="V551" s="491" t="n"/>
      <c r="W551" s="491" t="n"/>
      <c r="X551" s="491" t="n"/>
      <c r="Y551" s="491" t="n"/>
    </row>
    <row r="552" ht="12.75" customHeight="1" s="398">
      <c r="A552" s="491" t="n"/>
      <c r="B552" s="491" t="n"/>
      <c r="C552" s="491" t="n"/>
      <c r="D552" s="491" t="n"/>
      <c r="E552" s="491" t="n"/>
      <c r="F552" s="491" t="n"/>
      <c r="G552" s="491" t="n"/>
      <c r="H552" s="491" t="n"/>
      <c r="I552" s="491" t="n"/>
      <c r="J552" s="491" t="n"/>
      <c r="K552" s="491" t="n"/>
      <c r="L552" s="491" t="n"/>
      <c r="M552" s="491" t="n"/>
      <c r="N552" s="491" t="n"/>
      <c r="O552" s="491" t="n"/>
      <c r="P552" s="491" t="n"/>
      <c r="Q552" s="491" t="n"/>
      <c r="R552" s="491" t="n"/>
      <c r="S552" s="491" t="n"/>
      <c r="T552" s="491" t="n"/>
      <c r="U552" s="491" t="n"/>
      <c r="V552" s="491" t="n"/>
      <c r="W552" s="491" t="n"/>
      <c r="X552" s="491" t="n"/>
      <c r="Y552" s="491" t="n"/>
    </row>
    <row r="553" ht="12.75" customHeight="1" s="398">
      <c r="A553" s="491" t="n"/>
      <c r="B553" s="491" t="n"/>
      <c r="C553" s="491" t="n"/>
      <c r="D553" s="491" t="n"/>
      <c r="E553" s="491" t="n"/>
      <c r="F553" s="491" t="n"/>
      <c r="G553" s="491" t="n"/>
      <c r="H553" s="491" t="n"/>
      <c r="I553" s="491" t="n"/>
      <c r="J553" s="491" t="n"/>
      <c r="K553" s="491" t="n"/>
      <c r="L553" s="491" t="n"/>
      <c r="M553" s="491" t="n"/>
      <c r="N553" s="491" t="n"/>
      <c r="O553" s="491" t="n"/>
      <c r="P553" s="491" t="n"/>
      <c r="Q553" s="491" t="n"/>
      <c r="R553" s="491" t="n"/>
      <c r="S553" s="491" t="n"/>
      <c r="T553" s="491" t="n"/>
      <c r="U553" s="491" t="n"/>
      <c r="V553" s="491" t="n"/>
      <c r="W553" s="491" t="n"/>
      <c r="X553" s="491" t="n"/>
      <c r="Y553" s="491" t="n"/>
    </row>
    <row r="554" ht="12.75" customHeight="1" s="398">
      <c r="A554" s="491" t="n"/>
      <c r="B554" s="491" t="n"/>
      <c r="C554" s="491" t="n"/>
      <c r="D554" s="491" t="n"/>
      <c r="E554" s="491" t="n"/>
      <c r="F554" s="491" t="n"/>
      <c r="G554" s="491" t="n"/>
      <c r="H554" s="491" t="n"/>
      <c r="I554" s="491" t="n"/>
      <c r="J554" s="491" t="n"/>
      <c r="K554" s="491" t="n"/>
      <c r="L554" s="491" t="n"/>
      <c r="M554" s="491" t="n"/>
      <c r="N554" s="491" t="n"/>
      <c r="O554" s="491" t="n"/>
      <c r="P554" s="491" t="n"/>
      <c r="Q554" s="491" t="n"/>
      <c r="R554" s="491" t="n"/>
      <c r="S554" s="491" t="n"/>
      <c r="T554" s="491" t="n"/>
      <c r="U554" s="491" t="n"/>
      <c r="V554" s="491" t="n"/>
      <c r="W554" s="491" t="n"/>
      <c r="X554" s="491" t="n"/>
      <c r="Y554" s="491" t="n"/>
    </row>
    <row r="555" ht="12.75" customHeight="1" s="398">
      <c r="A555" s="491" t="n"/>
      <c r="B555" s="491" t="n"/>
      <c r="C555" s="491" t="n"/>
      <c r="D555" s="491" t="n"/>
      <c r="E555" s="491" t="n"/>
      <c r="F555" s="491" t="n"/>
      <c r="G555" s="491" t="n"/>
      <c r="H555" s="491" t="n"/>
      <c r="I555" s="491" t="n"/>
      <c r="J555" s="491" t="n"/>
      <c r="K555" s="491" t="n"/>
      <c r="L555" s="491" t="n"/>
      <c r="M555" s="491" t="n"/>
      <c r="N555" s="491" t="n"/>
      <c r="O555" s="491" t="n"/>
      <c r="P555" s="491" t="n"/>
      <c r="Q555" s="491" t="n"/>
      <c r="R555" s="491" t="n"/>
      <c r="S555" s="491" t="n"/>
      <c r="T555" s="491" t="n"/>
      <c r="U555" s="491" t="n"/>
      <c r="V555" s="491" t="n"/>
      <c r="W555" s="491" t="n"/>
      <c r="X555" s="491" t="n"/>
      <c r="Y555" s="491" t="n"/>
    </row>
    <row r="556" ht="12.75" customHeight="1" s="398">
      <c r="A556" s="491" t="n"/>
      <c r="B556" s="491" t="n"/>
      <c r="C556" s="491" t="n"/>
      <c r="D556" s="491" t="n"/>
      <c r="E556" s="491" t="n"/>
      <c r="F556" s="491" t="n"/>
      <c r="G556" s="491" t="n"/>
      <c r="H556" s="491" t="n"/>
      <c r="I556" s="491" t="n"/>
      <c r="J556" s="491" t="n"/>
      <c r="K556" s="491" t="n"/>
      <c r="L556" s="491" t="n"/>
      <c r="M556" s="491" t="n"/>
      <c r="N556" s="491" t="n"/>
      <c r="O556" s="491" t="n"/>
      <c r="P556" s="491" t="n"/>
      <c r="Q556" s="491" t="n"/>
      <c r="R556" s="491" t="n"/>
      <c r="S556" s="491" t="n"/>
      <c r="T556" s="491" t="n"/>
      <c r="U556" s="491" t="n"/>
      <c r="V556" s="491" t="n"/>
      <c r="W556" s="491" t="n"/>
      <c r="X556" s="491" t="n"/>
      <c r="Y556" s="491" t="n"/>
    </row>
    <row r="557" ht="12.75" customHeight="1" s="398">
      <c r="A557" s="491" t="n"/>
      <c r="B557" s="491" t="n"/>
      <c r="C557" s="491" t="n"/>
      <c r="D557" s="491" t="n"/>
      <c r="E557" s="491" t="n"/>
      <c r="F557" s="491" t="n"/>
      <c r="G557" s="491" t="n"/>
      <c r="H557" s="491" t="n"/>
      <c r="I557" s="491" t="n"/>
      <c r="J557" s="491" t="n"/>
      <c r="K557" s="491" t="n"/>
      <c r="L557" s="491" t="n"/>
      <c r="M557" s="491" t="n"/>
      <c r="N557" s="491" t="n"/>
      <c r="O557" s="491" t="n"/>
      <c r="P557" s="491" t="n"/>
      <c r="Q557" s="491" t="n"/>
      <c r="R557" s="491" t="n"/>
      <c r="S557" s="491" t="n"/>
      <c r="T557" s="491" t="n"/>
      <c r="U557" s="491" t="n"/>
      <c r="V557" s="491" t="n"/>
      <c r="W557" s="491" t="n"/>
      <c r="X557" s="491" t="n"/>
      <c r="Y557" s="491" t="n"/>
    </row>
    <row r="558" ht="12.75" customHeight="1" s="398">
      <c r="A558" s="491" t="n"/>
      <c r="B558" s="491" t="n"/>
      <c r="C558" s="491" t="n"/>
      <c r="D558" s="491" t="n"/>
      <c r="E558" s="491" t="n"/>
      <c r="F558" s="491" t="n"/>
      <c r="G558" s="491" t="n"/>
      <c r="H558" s="491" t="n"/>
      <c r="I558" s="491" t="n"/>
      <c r="J558" s="491" t="n"/>
      <c r="K558" s="491" t="n"/>
      <c r="L558" s="491" t="n"/>
      <c r="M558" s="491" t="n"/>
      <c r="N558" s="491" t="n"/>
      <c r="O558" s="491" t="n"/>
      <c r="P558" s="491" t="n"/>
      <c r="Q558" s="491" t="n"/>
      <c r="R558" s="491" t="n"/>
      <c r="S558" s="491" t="n"/>
      <c r="T558" s="491" t="n"/>
      <c r="U558" s="491" t="n"/>
      <c r="V558" s="491" t="n"/>
      <c r="W558" s="491" t="n"/>
      <c r="X558" s="491" t="n"/>
      <c r="Y558" s="491" t="n"/>
    </row>
    <row r="559" ht="12.75" customHeight="1" s="398">
      <c r="A559" s="491" t="n"/>
      <c r="B559" s="491" t="n"/>
      <c r="C559" s="491" t="n"/>
      <c r="D559" s="491" t="n"/>
      <c r="E559" s="491" t="n"/>
      <c r="F559" s="491" t="n"/>
      <c r="G559" s="491" t="n"/>
      <c r="H559" s="491" t="n"/>
      <c r="I559" s="491" t="n"/>
      <c r="J559" s="491" t="n"/>
      <c r="K559" s="491" t="n"/>
      <c r="L559" s="491" t="n"/>
      <c r="M559" s="491" t="n"/>
      <c r="N559" s="491" t="n"/>
      <c r="O559" s="491" t="n"/>
      <c r="P559" s="491" t="n"/>
      <c r="Q559" s="491" t="n"/>
      <c r="R559" s="491" t="n"/>
      <c r="S559" s="491" t="n"/>
      <c r="T559" s="491" t="n"/>
      <c r="U559" s="491" t="n"/>
      <c r="V559" s="491" t="n"/>
      <c r="W559" s="491" t="n"/>
      <c r="X559" s="491" t="n"/>
      <c r="Y559" s="491" t="n"/>
    </row>
    <row r="560" ht="12.75" customHeight="1" s="398">
      <c r="A560" s="491" t="n"/>
      <c r="B560" s="491" t="n"/>
      <c r="C560" s="491" t="n"/>
      <c r="D560" s="491" t="n"/>
      <c r="E560" s="491" t="n"/>
      <c r="F560" s="491" t="n"/>
      <c r="G560" s="491" t="n"/>
      <c r="H560" s="491" t="n"/>
      <c r="I560" s="491" t="n"/>
      <c r="J560" s="491" t="n"/>
      <c r="K560" s="491" t="n"/>
      <c r="L560" s="491" t="n"/>
      <c r="M560" s="491" t="n"/>
      <c r="N560" s="491" t="n"/>
      <c r="O560" s="491" t="n"/>
      <c r="P560" s="491" t="n"/>
      <c r="Q560" s="491" t="n"/>
      <c r="R560" s="491" t="n"/>
      <c r="S560" s="491" t="n"/>
      <c r="T560" s="491" t="n"/>
      <c r="U560" s="491" t="n"/>
      <c r="V560" s="491" t="n"/>
      <c r="W560" s="491" t="n"/>
      <c r="X560" s="491" t="n"/>
      <c r="Y560" s="491" t="n"/>
    </row>
    <row r="561" ht="12.75" customHeight="1" s="398">
      <c r="A561" s="491" t="n"/>
      <c r="B561" s="491" t="n"/>
      <c r="C561" s="491" t="n"/>
      <c r="D561" s="491" t="n"/>
      <c r="E561" s="491" t="n"/>
      <c r="F561" s="491" t="n"/>
      <c r="G561" s="491" t="n"/>
      <c r="H561" s="491" t="n"/>
      <c r="I561" s="491" t="n"/>
      <c r="J561" s="491" t="n"/>
      <c r="K561" s="491" t="n"/>
      <c r="L561" s="491" t="n"/>
      <c r="M561" s="491" t="n"/>
      <c r="N561" s="491" t="n"/>
      <c r="O561" s="491" t="n"/>
      <c r="P561" s="491" t="n"/>
      <c r="Q561" s="491" t="n"/>
      <c r="R561" s="491" t="n"/>
      <c r="S561" s="491" t="n"/>
      <c r="T561" s="491" t="n"/>
      <c r="U561" s="491" t="n"/>
      <c r="V561" s="491" t="n"/>
      <c r="W561" s="491" t="n"/>
      <c r="X561" s="491" t="n"/>
      <c r="Y561" s="491" t="n"/>
    </row>
    <row r="562" ht="12.75" customHeight="1" s="398">
      <c r="A562" s="491" t="n"/>
      <c r="B562" s="491" t="n"/>
      <c r="C562" s="491" t="n"/>
      <c r="D562" s="491" t="n"/>
      <c r="E562" s="491" t="n"/>
      <c r="F562" s="491" t="n"/>
      <c r="G562" s="491" t="n"/>
      <c r="H562" s="491" t="n"/>
      <c r="I562" s="491" t="n"/>
      <c r="J562" s="491" t="n"/>
      <c r="K562" s="491" t="n"/>
      <c r="L562" s="491" t="n"/>
      <c r="M562" s="491" t="n"/>
      <c r="N562" s="491" t="n"/>
      <c r="O562" s="491" t="n"/>
      <c r="P562" s="491" t="n"/>
      <c r="Q562" s="491" t="n"/>
      <c r="R562" s="491" t="n"/>
      <c r="S562" s="491" t="n"/>
      <c r="T562" s="491" t="n"/>
      <c r="U562" s="491" t="n"/>
      <c r="V562" s="491" t="n"/>
      <c r="W562" s="491" t="n"/>
      <c r="X562" s="491" t="n"/>
      <c r="Y562" s="491" t="n"/>
    </row>
    <row r="563" ht="12.75" customHeight="1" s="398">
      <c r="A563" s="491" t="n"/>
      <c r="B563" s="491" t="n"/>
      <c r="C563" s="491" t="n"/>
      <c r="D563" s="491" t="n"/>
      <c r="E563" s="491" t="n"/>
      <c r="F563" s="491" t="n"/>
      <c r="G563" s="491" t="n"/>
      <c r="H563" s="491" t="n"/>
      <c r="I563" s="491" t="n"/>
      <c r="J563" s="491" t="n"/>
      <c r="K563" s="491" t="n"/>
      <c r="L563" s="491" t="n"/>
      <c r="M563" s="491" t="n"/>
      <c r="N563" s="491" t="n"/>
      <c r="O563" s="491" t="n"/>
      <c r="P563" s="491" t="n"/>
      <c r="Q563" s="491" t="n"/>
      <c r="R563" s="491" t="n"/>
      <c r="S563" s="491" t="n"/>
      <c r="T563" s="491" t="n"/>
      <c r="U563" s="491" t="n"/>
      <c r="V563" s="491" t="n"/>
      <c r="W563" s="491" t="n"/>
      <c r="X563" s="491" t="n"/>
      <c r="Y563" s="491" t="n"/>
    </row>
    <row r="564" ht="12.75" customHeight="1" s="398">
      <c r="A564" s="491" t="n"/>
      <c r="B564" s="491" t="n"/>
      <c r="C564" s="491" t="n"/>
      <c r="D564" s="491" t="n"/>
      <c r="E564" s="491" t="n"/>
      <c r="F564" s="491" t="n"/>
      <c r="G564" s="491" t="n"/>
      <c r="H564" s="491" t="n"/>
      <c r="I564" s="491" t="n"/>
      <c r="J564" s="491" t="n"/>
      <c r="K564" s="491" t="n"/>
      <c r="L564" s="491" t="n"/>
      <c r="M564" s="491" t="n"/>
      <c r="N564" s="491" t="n"/>
      <c r="O564" s="491" t="n"/>
      <c r="P564" s="491" t="n"/>
      <c r="Q564" s="491" t="n"/>
      <c r="R564" s="491" t="n"/>
      <c r="S564" s="491" t="n"/>
      <c r="T564" s="491" t="n"/>
      <c r="U564" s="491" t="n"/>
      <c r="V564" s="491" t="n"/>
      <c r="W564" s="491" t="n"/>
      <c r="X564" s="491" t="n"/>
      <c r="Y564" s="491" t="n"/>
    </row>
    <row r="565" ht="12.75" customHeight="1" s="398">
      <c r="A565" s="491" t="n"/>
      <c r="B565" s="491" t="n"/>
      <c r="C565" s="491" t="n"/>
      <c r="D565" s="491" t="n"/>
      <c r="E565" s="491" t="n"/>
      <c r="F565" s="491" t="n"/>
      <c r="G565" s="491" t="n"/>
      <c r="H565" s="491" t="n"/>
      <c r="I565" s="491" t="n"/>
      <c r="J565" s="491" t="n"/>
      <c r="K565" s="491" t="n"/>
      <c r="L565" s="491" t="n"/>
      <c r="M565" s="491" t="n"/>
      <c r="N565" s="491" t="n"/>
      <c r="O565" s="491" t="n"/>
      <c r="P565" s="491" t="n"/>
      <c r="Q565" s="491" t="n"/>
      <c r="R565" s="491" t="n"/>
      <c r="S565" s="491" t="n"/>
      <c r="T565" s="491" t="n"/>
      <c r="U565" s="491" t="n"/>
      <c r="V565" s="491" t="n"/>
      <c r="W565" s="491" t="n"/>
      <c r="X565" s="491" t="n"/>
      <c r="Y565" s="491" t="n"/>
    </row>
    <row r="566" ht="12.75" customHeight="1" s="398">
      <c r="A566" s="491" t="n"/>
      <c r="B566" s="491" t="n"/>
      <c r="C566" s="491" t="n"/>
      <c r="D566" s="491" t="n"/>
      <c r="E566" s="491" t="n"/>
      <c r="F566" s="491" t="n"/>
      <c r="G566" s="491" t="n"/>
      <c r="H566" s="491" t="n"/>
      <c r="I566" s="491" t="n"/>
      <c r="J566" s="491" t="n"/>
      <c r="K566" s="491" t="n"/>
      <c r="L566" s="491" t="n"/>
      <c r="M566" s="491" t="n"/>
      <c r="N566" s="491" t="n"/>
      <c r="O566" s="491" t="n"/>
      <c r="P566" s="491" t="n"/>
      <c r="Q566" s="491" t="n"/>
      <c r="R566" s="491" t="n"/>
      <c r="S566" s="491" t="n"/>
      <c r="T566" s="491" t="n"/>
      <c r="U566" s="491" t="n"/>
      <c r="V566" s="491" t="n"/>
      <c r="W566" s="491" t="n"/>
      <c r="X566" s="491" t="n"/>
      <c r="Y566" s="491" t="n"/>
    </row>
    <row r="567" ht="12.75" customHeight="1" s="398">
      <c r="A567" s="491" t="n"/>
      <c r="B567" s="491" t="n"/>
      <c r="C567" s="491" t="n"/>
      <c r="D567" s="491" t="n"/>
      <c r="E567" s="491" t="n"/>
      <c r="F567" s="491" t="n"/>
      <c r="G567" s="491" t="n"/>
      <c r="H567" s="491" t="n"/>
      <c r="I567" s="491" t="n"/>
      <c r="J567" s="491" t="n"/>
      <c r="K567" s="491" t="n"/>
      <c r="L567" s="491" t="n"/>
      <c r="M567" s="491" t="n"/>
      <c r="N567" s="491" t="n"/>
      <c r="O567" s="491" t="n"/>
      <c r="P567" s="491" t="n"/>
      <c r="Q567" s="491" t="n"/>
      <c r="R567" s="491" t="n"/>
      <c r="S567" s="491" t="n"/>
      <c r="T567" s="491" t="n"/>
      <c r="U567" s="491" t="n"/>
      <c r="V567" s="491" t="n"/>
      <c r="W567" s="491" t="n"/>
      <c r="X567" s="491" t="n"/>
      <c r="Y567" s="491" t="n"/>
    </row>
    <row r="568" ht="12.75" customHeight="1" s="398">
      <c r="A568" s="491" t="n"/>
      <c r="B568" s="491" t="n"/>
      <c r="C568" s="491" t="n"/>
      <c r="D568" s="491" t="n"/>
      <c r="E568" s="491" t="n"/>
      <c r="F568" s="491" t="n"/>
      <c r="G568" s="491" t="n"/>
      <c r="H568" s="491" t="n"/>
      <c r="I568" s="491" t="n"/>
      <c r="J568" s="491" t="n"/>
      <c r="K568" s="491" t="n"/>
      <c r="L568" s="491" t="n"/>
      <c r="M568" s="491" t="n"/>
      <c r="N568" s="491" t="n"/>
      <c r="O568" s="491" t="n"/>
      <c r="P568" s="491" t="n"/>
      <c r="Q568" s="491" t="n"/>
      <c r="R568" s="491" t="n"/>
      <c r="S568" s="491" t="n"/>
      <c r="T568" s="491" t="n"/>
      <c r="U568" s="491" t="n"/>
      <c r="V568" s="491" t="n"/>
      <c r="W568" s="491" t="n"/>
      <c r="X568" s="491" t="n"/>
      <c r="Y568" s="491" t="n"/>
    </row>
    <row r="569" ht="12.75" customHeight="1" s="398">
      <c r="A569" s="491" t="n"/>
      <c r="B569" s="491" t="n"/>
      <c r="C569" s="491" t="n"/>
      <c r="D569" s="491" t="n"/>
      <c r="E569" s="491" t="n"/>
      <c r="F569" s="491" t="n"/>
      <c r="G569" s="491" t="n"/>
      <c r="H569" s="491" t="n"/>
      <c r="I569" s="491" t="n"/>
      <c r="J569" s="491" t="n"/>
      <c r="K569" s="491" t="n"/>
      <c r="L569" s="491" t="n"/>
      <c r="M569" s="491" t="n"/>
      <c r="N569" s="491" t="n"/>
      <c r="O569" s="491" t="n"/>
      <c r="P569" s="491" t="n"/>
      <c r="Q569" s="491" t="n"/>
      <c r="R569" s="491" t="n"/>
      <c r="S569" s="491" t="n"/>
      <c r="T569" s="491" t="n"/>
      <c r="U569" s="491" t="n"/>
      <c r="V569" s="491" t="n"/>
      <c r="W569" s="491" t="n"/>
      <c r="X569" s="491" t="n"/>
      <c r="Y569" s="491" t="n"/>
    </row>
    <row r="570" ht="12.75" customHeight="1" s="398">
      <c r="A570" s="491" t="n"/>
      <c r="B570" s="491" t="n"/>
      <c r="C570" s="491" t="n"/>
      <c r="D570" s="491" t="n"/>
      <c r="E570" s="491" t="n"/>
      <c r="F570" s="491" t="n"/>
      <c r="G570" s="491" t="n"/>
      <c r="H570" s="491" t="n"/>
      <c r="I570" s="491" t="n"/>
      <c r="J570" s="491" t="n"/>
      <c r="K570" s="491" t="n"/>
      <c r="L570" s="491" t="n"/>
      <c r="M570" s="491" t="n"/>
      <c r="N570" s="491" t="n"/>
      <c r="O570" s="491" t="n"/>
      <c r="P570" s="491" t="n"/>
      <c r="Q570" s="491" t="n"/>
      <c r="R570" s="491" t="n"/>
      <c r="S570" s="491" t="n"/>
      <c r="T570" s="491" t="n"/>
      <c r="U570" s="491" t="n"/>
      <c r="V570" s="491" t="n"/>
      <c r="W570" s="491" t="n"/>
      <c r="X570" s="491" t="n"/>
      <c r="Y570" s="491" t="n"/>
    </row>
    <row r="571" ht="12.75" customHeight="1" s="398">
      <c r="A571" s="491" t="n"/>
      <c r="B571" s="491" t="n"/>
      <c r="C571" s="491" t="n"/>
      <c r="D571" s="491" t="n"/>
      <c r="E571" s="491" t="n"/>
      <c r="F571" s="491" t="n"/>
      <c r="G571" s="491" t="n"/>
      <c r="H571" s="491" t="n"/>
      <c r="I571" s="491" t="n"/>
      <c r="J571" s="491" t="n"/>
      <c r="K571" s="491" t="n"/>
      <c r="L571" s="491" t="n"/>
      <c r="M571" s="491" t="n"/>
      <c r="N571" s="491" t="n"/>
      <c r="O571" s="491" t="n"/>
      <c r="P571" s="491" t="n"/>
      <c r="Q571" s="491" t="n"/>
      <c r="R571" s="491" t="n"/>
      <c r="S571" s="491" t="n"/>
      <c r="T571" s="491" t="n"/>
      <c r="U571" s="491" t="n"/>
      <c r="V571" s="491" t="n"/>
      <c r="W571" s="491" t="n"/>
      <c r="X571" s="491" t="n"/>
      <c r="Y571" s="491" t="n"/>
    </row>
    <row r="572" ht="12.75" customHeight="1" s="398">
      <c r="A572" s="491" t="n"/>
      <c r="B572" s="491" t="n"/>
      <c r="C572" s="491" t="n"/>
      <c r="D572" s="491" t="n"/>
      <c r="E572" s="491" t="n"/>
      <c r="F572" s="491" t="n"/>
      <c r="G572" s="491" t="n"/>
      <c r="H572" s="491" t="n"/>
      <c r="I572" s="491" t="n"/>
      <c r="J572" s="491" t="n"/>
      <c r="K572" s="491" t="n"/>
      <c r="L572" s="491" t="n"/>
      <c r="M572" s="491" t="n"/>
      <c r="N572" s="491" t="n"/>
      <c r="O572" s="491" t="n"/>
      <c r="P572" s="491" t="n"/>
      <c r="Q572" s="491" t="n"/>
      <c r="R572" s="491" t="n"/>
      <c r="S572" s="491" t="n"/>
      <c r="T572" s="491" t="n"/>
      <c r="U572" s="491" t="n"/>
      <c r="V572" s="491" t="n"/>
      <c r="W572" s="491" t="n"/>
      <c r="X572" s="491" t="n"/>
      <c r="Y572" s="491" t="n"/>
    </row>
    <row r="573" ht="12.75" customHeight="1" s="398">
      <c r="A573" s="491" t="n"/>
      <c r="B573" s="491" t="n"/>
      <c r="C573" s="491" t="n"/>
      <c r="D573" s="491" t="n"/>
      <c r="E573" s="491" t="n"/>
      <c r="F573" s="491" t="n"/>
      <c r="G573" s="491" t="n"/>
      <c r="H573" s="491" t="n"/>
      <c r="I573" s="491" t="n"/>
      <c r="J573" s="491" t="n"/>
      <c r="K573" s="491" t="n"/>
      <c r="L573" s="491" t="n"/>
      <c r="M573" s="491" t="n"/>
      <c r="N573" s="491" t="n"/>
      <c r="O573" s="491" t="n"/>
      <c r="P573" s="491" t="n"/>
      <c r="Q573" s="491" t="n"/>
      <c r="R573" s="491" t="n"/>
      <c r="S573" s="491" t="n"/>
      <c r="T573" s="491" t="n"/>
      <c r="U573" s="491" t="n"/>
      <c r="V573" s="491" t="n"/>
      <c r="W573" s="491" t="n"/>
      <c r="X573" s="491" t="n"/>
      <c r="Y573" s="491" t="n"/>
    </row>
    <row r="574" ht="12.75" customHeight="1" s="398">
      <c r="A574" s="491" t="n"/>
      <c r="B574" s="491" t="n"/>
      <c r="C574" s="491" t="n"/>
      <c r="D574" s="491" t="n"/>
      <c r="E574" s="491" t="n"/>
      <c r="F574" s="491" t="n"/>
      <c r="G574" s="491" t="n"/>
      <c r="H574" s="491" t="n"/>
      <c r="I574" s="491" t="n"/>
      <c r="J574" s="491" t="n"/>
      <c r="K574" s="491" t="n"/>
      <c r="L574" s="491" t="n"/>
      <c r="M574" s="491" t="n"/>
      <c r="N574" s="491" t="n"/>
      <c r="O574" s="491" t="n"/>
      <c r="P574" s="491" t="n"/>
      <c r="Q574" s="491" t="n"/>
      <c r="R574" s="491" t="n"/>
      <c r="S574" s="491" t="n"/>
      <c r="T574" s="491" t="n"/>
      <c r="U574" s="491" t="n"/>
      <c r="V574" s="491" t="n"/>
      <c r="W574" s="491" t="n"/>
      <c r="X574" s="491" t="n"/>
      <c r="Y574" s="491" t="n"/>
    </row>
    <row r="575" ht="12.75" customHeight="1" s="398">
      <c r="A575" s="491" t="n"/>
      <c r="B575" s="491" t="n"/>
      <c r="C575" s="491" t="n"/>
      <c r="D575" s="491" t="n"/>
      <c r="E575" s="491" t="n"/>
      <c r="F575" s="491" t="n"/>
      <c r="G575" s="491" t="n"/>
      <c r="H575" s="491" t="n"/>
      <c r="I575" s="491" t="n"/>
      <c r="J575" s="491" t="n"/>
      <c r="K575" s="491" t="n"/>
      <c r="L575" s="491" t="n"/>
      <c r="M575" s="491" t="n"/>
      <c r="N575" s="491" t="n"/>
      <c r="O575" s="491" t="n"/>
      <c r="P575" s="491" t="n"/>
      <c r="Q575" s="491" t="n"/>
      <c r="R575" s="491" t="n"/>
      <c r="S575" s="491" t="n"/>
      <c r="T575" s="491" t="n"/>
      <c r="U575" s="491" t="n"/>
      <c r="V575" s="491" t="n"/>
      <c r="W575" s="491" t="n"/>
      <c r="X575" s="491" t="n"/>
      <c r="Y575" s="491" t="n"/>
    </row>
    <row r="576" ht="12.75" customHeight="1" s="398">
      <c r="A576" s="491" t="n"/>
      <c r="B576" s="491" t="n"/>
      <c r="C576" s="491" t="n"/>
      <c r="D576" s="491" t="n"/>
      <c r="E576" s="491" t="n"/>
      <c r="F576" s="491" t="n"/>
      <c r="G576" s="491" t="n"/>
      <c r="H576" s="491" t="n"/>
      <c r="I576" s="491" t="n"/>
      <c r="J576" s="491" t="n"/>
      <c r="K576" s="491" t="n"/>
      <c r="L576" s="491" t="n"/>
      <c r="M576" s="491" t="n"/>
      <c r="N576" s="491" t="n"/>
      <c r="O576" s="491" t="n"/>
      <c r="P576" s="491" t="n"/>
      <c r="Q576" s="491" t="n"/>
      <c r="R576" s="491" t="n"/>
      <c r="S576" s="491" t="n"/>
      <c r="T576" s="491" t="n"/>
      <c r="U576" s="491" t="n"/>
      <c r="V576" s="491" t="n"/>
      <c r="W576" s="491" t="n"/>
      <c r="X576" s="491" t="n"/>
      <c r="Y576" s="491" t="n"/>
    </row>
    <row r="577" ht="12.75" customHeight="1" s="398">
      <c r="A577" s="491" t="n"/>
      <c r="B577" s="491" t="n"/>
      <c r="C577" s="491" t="n"/>
      <c r="D577" s="491" t="n"/>
      <c r="E577" s="491" t="n"/>
      <c r="F577" s="491" t="n"/>
      <c r="G577" s="491" t="n"/>
      <c r="H577" s="491" t="n"/>
      <c r="I577" s="491" t="n"/>
      <c r="J577" s="491" t="n"/>
      <c r="K577" s="491" t="n"/>
      <c r="L577" s="491" t="n"/>
      <c r="M577" s="491" t="n"/>
      <c r="N577" s="491" t="n"/>
      <c r="O577" s="491" t="n"/>
      <c r="P577" s="491" t="n"/>
      <c r="Q577" s="491" t="n"/>
      <c r="R577" s="491" t="n"/>
      <c r="S577" s="491" t="n"/>
      <c r="T577" s="491" t="n"/>
      <c r="U577" s="491" t="n"/>
      <c r="V577" s="491" t="n"/>
      <c r="W577" s="491" t="n"/>
      <c r="X577" s="491" t="n"/>
      <c r="Y577" s="491" t="n"/>
    </row>
    <row r="578" ht="12.75" customHeight="1" s="398">
      <c r="A578" s="491" t="n"/>
      <c r="B578" s="491" t="n"/>
      <c r="C578" s="491" t="n"/>
      <c r="D578" s="491" t="n"/>
      <c r="E578" s="491" t="n"/>
      <c r="F578" s="491" t="n"/>
      <c r="G578" s="491" t="n"/>
      <c r="H578" s="491" t="n"/>
      <c r="I578" s="491" t="n"/>
      <c r="J578" s="491" t="n"/>
      <c r="K578" s="491" t="n"/>
      <c r="L578" s="491" t="n"/>
      <c r="M578" s="491" t="n"/>
      <c r="N578" s="491" t="n"/>
      <c r="O578" s="491" t="n"/>
      <c r="P578" s="491" t="n"/>
      <c r="Q578" s="491" t="n"/>
      <c r="R578" s="491" t="n"/>
      <c r="S578" s="491" t="n"/>
      <c r="T578" s="491" t="n"/>
      <c r="U578" s="491" t="n"/>
      <c r="V578" s="491" t="n"/>
      <c r="W578" s="491" t="n"/>
      <c r="X578" s="491" t="n"/>
      <c r="Y578" s="491" t="n"/>
    </row>
    <row r="579" ht="12.75" customHeight="1" s="398">
      <c r="A579" s="491" t="n"/>
      <c r="B579" s="491" t="n"/>
      <c r="C579" s="491" t="n"/>
      <c r="D579" s="491" t="n"/>
      <c r="E579" s="491" t="n"/>
      <c r="F579" s="491" t="n"/>
      <c r="G579" s="491" t="n"/>
      <c r="H579" s="491" t="n"/>
      <c r="I579" s="491" t="n"/>
      <c r="J579" s="491" t="n"/>
      <c r="K579" s="491" t="n"/>
      <c r="L579" s="491" t="n"/>
      <c r="M579" s="491" t="n"/>
      <c r="N579" s="491" t="n"/>
      <c r="O579" s="491" t="n"/>
      <c r="P579" s="491" t="n"/>
      <c r="Q579" s="491" t="n"/>
      <c r="R579" s="491" t="n"/>
      <c r="S579" s="491" t="n"/>
      <c r="T579" s="491" t="n"/>
      <c r="U579" s="491" t="n"/>
      <c r="V579" s="491" t="n"/>
      <c r="W579" s="491" t="n"/>
      <c r="X579" s="491" t="n"/>
      <c r="Y579" s="491" t="n"/>
    </row>
    <row r="580" ht="12.75" customHeight="1" s="398">
      <c r="A580" s="491" t="n"/>
      <c r="B580" s="491" t="n"/>
      <c r="C580" s="491" t="n"/>
      <c r="D580" s="491" t="n"/>
      <c r="E580" s="491" t="n"/>
      <c r="F580" s="491" t="n"/>
      <c r="G580" s="491" t="n"/>
      <c r="H580" s="491" t="n"/>
      <c r="I580" s="491" t="n"/>
      <c r="J580" s="491" t="n"/>
      <c r="K580" s="491" t="n"/>
      <c r="L580" s="491" t="n"/>
      <c r="M580" s="491" t="n"/>
      <c r="N580" s="491" t="n"/>
      <c r="O580" s="491" t="n"/>
      <c r="P580" s="491" t="n"/>
      <c r="Q580" s="491" t="n"/>
      <c r="R580" s="491" t="n"/>
      <c r="S580" s="491" t="n"/>
      <c r="T580" s="491" t="n"/>
      <c r="U580" s="491" t="n"/>
      <c r="V580" s="491" t="n"/>
      <c r="W580" s="491" t="n"/>
      <c r="X580" s="491" t="n"/>
      <c r="Y580" s="491" t="n"/>
    </row>
    <row r="581" ht="12.75" customHeight="1" s="398">
      <c r="A581" s="491" t="n"/>
      <c r="B581" s="491" t="n"/>
      <c r="C581" s="491" t="n"/>
      <c r="D581" s="491" t="n"/>
      <c r="E581" s="491" t="n"/>
      <c r="F581" s="491" t="n"/>
      <c r="G581" s="491" t="n"/>
      <c r="H581" s="491" t="n"/>
      <c r="I581" s="491" t="n"/>
      <c r="J581" s="491" t="n"/>
      <c r="K581" s="491" t="n"/>
      <c r="L581" s="491" t="n"/>
      <c r="M581" s="491" t="n"/>
      <c r="N581" s="491" t="n"/>
      <c r="O581" s="491" t="n"/>
      <c r="P581" s="491" t="n"/>
      <c r="Q581" s="491" t="n"/>
      <c r="R581" s="491" t="n"/>
      <c r="S581" s="491" t="n"/>
      <c r="T581" s="491" t="n"/>
      <c r="U581" s="491" t="n"/>
      <c r="V581" s="491" t="n"/>
      <c r="W581" s="491" t="n"/>
      <c r="X581" s="491" t="n"/>
      <c r="Y581" s="491" t="n"/>
    </row>
    <row r="582" ht="12.75" customHeight="1" s="398">
      <c r="A582" s="491" t="n"/>
      <c r="B582" s="491" t="n"/>
      <c r="C582" s="491" t="n"/>
      <c r="D582" s="491" t="n"/>
      <c r="E582" s="491" t="n"/>
      <c r="F582" s="491" t="n"/>
      <c r="G582" s="491" t="n"/>
      <c r="H582" s="491" t="n"/>
      <c r="I582" s="491" t="n"/>
      <c r="J582" s="491" t="n"/>
      <c r="K582" s="491" t="n"/>
      <c r="L582" s="491" t="n"/>
      <c r="M582" s="491" t="n"/>
      <c r="N582" s="491" t="n"/>
      <c r="O582" s="491" t="n"/>
      <c r="P582" s="491" t="n"/>
      <c r="Q582" s="491" t="n"/>
      <c r="R582" s="491" t="n"/>
      <c r="S582" s="491" t="n"/>
      <c r="T582" s="491" t="n"/>
      <c r="U582" s="491" t="n"/>
      <c r="V582" s="491" t="n"/>
      <c r="W582" s="491" t="n"/>
      <c r="X582" s="491" t="n"/>
      <c r="Y582" s="491" t="n"/>
    </row>
    <row r="583" ht="12.75" customHeight="1" s="398">
      <c r="A583" s="491" t="n"/>
      <c r="B583" s="491" t="n"/>
      <c r="C583" s="491" t="n"/>
      <c r="D583" s="491" t="n"/>
      <c r="E583" s="491" t="n"/>
      <c r="F583" s="491" t="n"/>
      <c r="G583" s="491" t="n"/>
      <c r="H583" s="491" t="n"/>
      <c r="I583" s="491" t="n"/>
      <c r="J583" s="491" t="n"/>
      <c r="K583" s="491" t="n"/>
      <c r="L583" s="491" t="n"/>
      <c r="M583" s="491" t="n"/>
      <c r="N583" s="491" t="n"/>
      <c r="O583" s="491" t="n"/>
      <c r="P583" s="491" t="n"/>
      <c r="Q583" s="491" t="n"/>
      <c r="R583" s="491" t="n"/>
      <c r="S583" s="491" t="n"/>
      <c r="T583" s="491" t="n"/>
      <c r="U583" s="491" t="n"/>
      <c r="V583" s="491" t="n"/>
      <c r="W583" s="491" t="n"/>
      <c r="X583" s="491" t="n"/>
      <c r="Y583" s="491" t="n"/>
    </row>
    <row r="584" ht="12.75" customHeight="1" s="398">
      <c r="A584" s="491" t="n"/>
      <c r="B584" s="491" t="n"/>
      <c r="C584" s="491" t="n"/>
      <c r="D584" s="491" t="n"/>
      <c r="E584" s="491" t="n"/>
      <c r="F584" s="491" t="n"/>
      <c r="G584" s="491" t="n"/>
      <c r="H584" s="491" t="n"/>
      <c r="I584" s="491" t="n"/>
      <c r="J584" s="491" t="n"/>
      <c r="K584" s="491" t="n"/>
      <c r="L584" s="491" t="n"/>
      <c r="M584" s="491" t="n"/>
      <c r="N584" s="491" t="n"/>
      <c r="O584" s="491" t="n"/>
      <c r="P584" s="491" t="n"/>
      <c r="Q584" s="491" t="n"/>
      <c r="R584" s="491" t="n"/>
      <c r="S584" s="491" t="n"/>
      <c r="T584" s="491" t="n"/>
      <c r="U584" s="491" t="n"/>
      <c r="V584" s="491" t="n"/>
      <c r="W584" s="491" t="n"/>
      <c r="X584" s="491" t="n"/>
      <c r="Y584" s="491" t="n"/>
    </row>
    <row r="585" ht="12.75" customHeight="1" s="398">
      <c r="A585" s="491" t="n"/>
      <c r="B585" s="491" t="n"/>
      <c r="C585" s="491" t="n"/>
      <c r="D585" s="491" t="n"/>
      <c r="E585" s="491" t="n"/>
      <c r="F585" s="491" t="n"/>
      <c r="G585" s="491" t="n"/>
      <c r="H585" s="491" t="n"/>
      <c r="I585" s="491" t="n"/>
      <c r="J585" s="491" t="n"/>
      <c r="K585" s="491" t="n"/>
      <c r="L585" s="491" t="n"/>
      <c r="M585" s="491" t="n"/>
      <c r="N585" s="491" t="n"/>
      <c r="O585" s="491" t="n"/>
      <c r="P585" s="491" t="n"/>
      <c r="Q585" s="491" t="n"/>
      <c r="R585" s="491" t="n"/>
      <c r="S585" s="491" t="n"/>
      <c r="T585" s="491" t="n"/>
      <c r="U585" s="491" t="n"/>
      <c r="V585" s="491" t="n"/>
      <c r="W585" s="491" t="n"/>
      <c r="X585" s="491" t="n"/>
      <c r="Y585" s="491" t="n"/>
    </row>
    <row r="586" ht="12.75" customHeight="1" s="398">
      <c r="A586" s="491" t="n"/>
      <c r="B586" s="491" t="n"/>
      <c r="C586" s="491" t="n"/>
      <c r="D586" s="491" t="n"/>
      <c r="E586" s="491" t="n"/>
      <c r="F586" s="491" t="n"/>
      <c r="G586" s="491" t="n"/>
      <c r="H586" s="491" t="n"/>
      <c r="I586" s="491" t="n"/>
      <c r="J586" s="491" t="n"/>
      <c r="K586" s="491" t="n"/>
      <c r="L586" s="491" t="n"/>
      <c r="M586" s="491" t="n"/>
      <c r="N586" s="491" t="n"/>
      <c r="O586" s="491" t="n"/>
      <c r="P586" s="491" t="n"/>
      <c r="Q586" s="491" t="n"/>
      <c r="R586" s="491" t="n"/>
      <c r="S586" s="491" t="n"/>
      <c r="T586" s="491" t="n"/>
      <c r="U586" s="491" t="n"/>
      <c r="V586" s="491" t="n"/>
      <c r="W586" s="491" t="n"/>
      <c r="X586" s="491" t="n"/>
      <c r="Y586" s="491" t="n"/>
    </row>
    <row r="587" ht="12.75" customHeight="1" s="398">
      <c r="A587" s="491" t="n"/>
      <c r="B587" s="491" t="n"/>
      <c r="C587" s="491" t="n"/>
      <c r="D587" s="491" t="n"/>
      <c r="E587" s="491" t="n"/>
      <c r="F587" s="491" t="n"/>
      <c r="G587" s="491" t="n"/>
      <c r="H587" s="491" t="n"/>
      <c r="I587" s="491" t="n"/>
      <c r="J587" s="491" t="n"/>
      <c r="K587" s="491" t="n"/>
      <c r="L587" s="491" t="n"/>
      <c r="M587" s="491" t="n"/>
      <c r="N587" s="491" t="n"/>
      <c r="O587" s="491" t="n"/>
      <c r="P587" s="491" t="n"/>
      <c r="Q587" s="491" t="n"/>
      <c r="R587" s="491" t="n"/>
      <c r="S587" s="491" t="n"/>
      <c r="T587" s="491" t="n"/>
      <c r="U587" s="491" t="n"/>
      <c r="V587" s="491" t="n"/>
      <c r="W587" s="491" t="n"/>
      <c r="X587" s="491" t="n"/>
      <c r="Y587" s="491" t="n"/>
    </row>
    <row r="588" ht="12.75" customHeight="1" s="398">
      <c r="A588" s="491" t="n"/>
      <c r="B588" s="491" t="n"/>
      <c r="C588" s="491" t="n"/>
      <c r="D588" s="491" t="n"/>
      <c r="E588" s="491" t="n"/>
      <c r="F588" s="491" t="n"/>
      <c r="G588" s="491" t="n"/>
      <c r="H588" s="491" t="n"/>
      <c r="I588" s="491" t="n"/>
      <c r="J588" s="491" t="n"/>
      <c r="K588" s="491" t="n"/>
      <c r="L588" s="491" t="n"/>
      <c r="M588" s="491" t="n"/>
      <c r="N588" s="491" t="n"/>
      <c r="O588" s="491" t="n"/>
      <c r="P588" s="491" t="n"/>
      <c r="Q588" s="491" t="n"/>
      <c r="R588" s="491" t="n"/>
      <c r="S588" s="491" t="n"/>
      <c r="T588" s="491" t="n"/>
      <c r="U588" s="491" t="n"/>
      <c r="V588" s="491" t="n"/>
      <c r="W588" s="491" t="n"/>
      <c r="X588" s="491" t="n"/>
      <c r="Y588" s="491" t="n"/>
    </row>
    <row r="589" ht="12.75" customHeight="1" s="398">
      <c r="A589" s="491" t="n"/>
      <c r="B589" s="491" t="n"/>
      <c r="C589" s="491" t="n"/>
      <c r="D589" s="491" t="n"/>
      <c r="E589" s="491" t="n"/>
      <c r="F589" s="491" t="n"/>
      <c r="G589" s="491" t="n"/>
      <c r="H589" s="491" t="n"/>
      <c r="I589" s="491" t="n"/>
      <c r="J589" s="491" t="n"/>
      <c r="K589" s="491" t="n"/>
      <c r="L589" s="491" t="n"/>
      <c r="M589" s="491" t="n"/>
      <c r="N589" s="491" t="n"/>
      <c r="O589" s="491" t="n"/>
      <c r="P589" s="491" t="n"/>
      <c r="Q589" s="491" t="n"/>
      <c r="R589" s="491" t="n"/>
      <c r="S589" s="491" t="n"/>
      <c r="T589" s="491" t="n"/>
      <c r="U589" s="491" t="n"/>
      <c r="V589" s="491" t="n"/>
      <c r="W589" s="491" t="n"/>
      <c r="X589" s="491" t="n"/>
      <c r="Y589" s="491" t="n"/>
    </row>
    <row r="590" ht="12.75" customHeight="1" s="398">
      <c r="A590" s="491" t="n"/>
      <c r="B590" s="491" t="n"/>
      <c r="C590" s="491" t="n"/>
      <c r="D590" s="491" t="n"/>
      <c r="E590" s="491" t="n"/>
      <c r="F590" s="491" t="n"/>
      <c r="G590" s="491" t="n"/>
      <c r="H590" s="491" t="n"/>
      <c r="I590" s="491" t="n"/>
      <c r="J590" s="491" t="n"/>
      <c r="K590" s="491" t="n"/>
      <c r="L590" s="491" t="n"/>
      <c r="M590" s="491" t="n"/>
      <c r="N590" s="491" t="n"/>
      <c r="O590" s="491" t="n"/>
      <c r="P590" s="491" t="n"/>
      <c r="Q590" s="491" t="n"/>
      <c r="R590" s="491" t="n"/>
      <c r="S590" s="491" t="n"/>
      <c r="T590" s="491" t="n"/>
      <c r="U590" s="491" t="n"/>
      <c r="V590" s="491" t="n"/>
      <c r="W590" s="491" t="n"/>
      <c r="X590" s="491" t="n"/>
      <c r="Y590" s="491" t="n"/>
    </row>
    <row r="591" ht="12.75" customHeight="1" s="398">
      <c r="A591" s="491" t="n"/>
      <c r="B591" s="491" t="n"/>
      <c r="C591" s="491" t="n"/>
      <c r="D591" s="491" t="n"/>
      <c r="E591" s="491" t="n"/>
      <c r="F591" s="491" t="n"/>
      <c r="G591" s="491" t="n"/>
      <c r="H591" s="491" t="n"/>
      <c r="I591" s="491" t="n"/>
      <c r="J591" s="491" t="n"/>
      <c r="K591" s="491" t="n"/>
      <c r="L591" s="491" t="n"/>
      <c r="M591" s="491" t="n"/>
      <c r="N591" s="491" t="n"/>
      <c r="O591" s="491" t="n"/>
      <c r="P591" s="491" t="n"/>
      <c r="Q591" s="491" t="n"/>
      <c r="R591" s="491" t="n"/>
      <c r="S591" s="491" t="n"/>
      <c r="T591" s="491" t="n"/>
      <c r="U591" s="491" t="n"/>
      <c r="V591" s="491" t="n"/>
      <c r="W591" s="491" t="n"/>
      <c r="X591" s="491" t="n"/>
      <c r="Y591" s="491" t="n"/>
    </row>
    <row r="592" ht="12.75" customHeight="1" s="398">
      <c r="A592" s="491" t="n"/>
      <c r="B592" s="491" t="n"/>
      <c r="C592" s="491" t="n"/>
      <c r="D592" s="491" t="n"/>
      <c r="E592" s="491" t="n"/>
      <c r="F592" s="491" t="n"/>
      <c r="G592" s="491" t="n"/>
      <c r="H592" s="491" t="n"/>
      <c r="I592" s="491" t="n"/>
      <c r="J592" s="491" t="n"/>
      <c r="K592" s="491" t="n"/>
      <c r="L592" s="491" t="n"/>
      <c r="M592" s="491" t="n"/>
      <c r="N592" s="491" t="n"/>
      <c r="O592" s="491" t="n"/>
      <c r="P592" s="491" t="n"/>
      <c r="Q592" s="491" t="n"/>
      <c r="R592" s="491" t="n"/>
      <c r="S592" s="491" t="n"/>
      <c r="T592" s="491" t="n"/>
      <c r="U592" s="491" t="n"/>
      <c r="V592" s="491" t="n"/>
      <c r="W592" s="491" t="n"/>
      <c r="X592" s="491" t="n"/>
      <c r="Y592" s="491" t="n"/>
    </row>
    <row r="593" ht="12.75" customHeight="1" s="398">
      <c r="A593" s="491" t="n"/>
      <c r="B593" s="491" t="n"/>
      <c r="C593" s="491" t="n"/>
      <c r="D593" s="491" t="n"/>
      <c r="E593" s="491" t="n"/>
      <c r="F593" s="491" t="n"/>
      <c r="G593" s="491" t="n"/>
      <c r="H593" s="491" t="n"/>
      <c r="I593" s="491" t="n"/>
      <c r="J593" s="491" t="n"/>
      <c r="K593" s="491" t="n"/>
      <c r="L593" s="491" t="n"/>
      <c r="M593" s="491" t="n"/>
      <c r="N593" s="491" t="n"/>
      <c r="O593" s="491" t="n"/>
      <c r="P593" s="491" t="n"/>
      <c r="Q593" s="491" t="n"/>
      <c r="R593" s="491" t="n"/>
      <c r="S593" s="491" t="n"/>
      <c r="T593" s="491" t="n"/>
      <c r="U593" s="491" t="n"/>
      <c r="V593" s="491" t="n"/>
      <c r="W593" s="491" t="n"/>
      <c r="X593" s="491" t="n"/>
      <c r="Y593" s="491" t="n"/>
    </row>
    <row r="594" ht="12.75" customHeight="1" s="398">
      <c r="A594" s="491" t="n"/>
      <c r="B594" s="491" t="n"/>
      <c r="C594" s="491" t="n"/>
      <c r="D594" s="491" t="n"/>
      <c r="E594" s="491" t="n"/>
      <c r="F594" s="491" t="n"/>
      <c r="G594" s="491" t="n"/>
      <c r="H594" s="491" t="n"/>
      <c r="I594" s="491" t="n"/>
      <c r="J594" s="491" t="n"/>
      <c r="K594" s="491" t="n"/>
      <c r="L594" s="491" t="n"/>
      <c r="M594" s="491" t="n"/>
      <c r="N594" s="491" t="n"/>
      <c r="O594" s="491" t="n"/>
      <c r="P594" s="491" t="n"/>
      <c r="Q594" s="491" t="n"/>
      <c r="R594" s="491" t="n"/>
      <c r="S594" s="491" t="n"/>
      <c r="T594" s="491" t="n"/>
      <c r="U594" s="491" t="n"/>
      <c r="V594" s="491" t="n"/>
      <c r="W594" s="491" t="n"/>
      <c r="X594" s="491" t="n"/>
      <c r="Y594" s="491" t="n"/>
    </row>
    <row r="595" ht="12.75" customHeight="1" s="398">
      <c r="A595" s="491" t="n"/>
      <c r="B595" s="491" t="n"/>
      <c r="C595" s="491" t="n"/>
      <c r="D595" s="491" t="n"/>
      <c r="E595" s="491" t="n"/>
      <c r="F595" s="491" t="n"/>
      <c r="G595" s="491" t="n"/>
      <c r="H595" s="491" t="n"/>
      <c r="I595" s="491" t="n"/>
      <c r="J595" s="491" t="n"/>
      <c r="K595" s="491" t="n"/>
      <c r="L595" s="491" t="n"/>
      <c r="M595" s="491" t="n"/>
      <c r="N595" s="491" t="n"/>
      <c r="O595" s="491" t="n"/>
      <c r="P595" s="491" t="n"/>
      <c r="Q595" s="491" t="n"/>
      <c r="R595" s="491" t="n"/>
      <c r="S595" s="491" t="n"/>
      <c r="T595" s="491" t="n"/>
      <c r="U595" s="491" t="n"/>
      <c r="V595" s="491" t="n"/>
      <c r="W595" s="491" t="n"/>
      <c r="X595" s="491" t="n"/>
      <c r="Y595" s="491" t="n"/>
    </row>
    <row r="596" ht="12.75" customHeight="1" s="398">
      <c r="A596" s="491" t="n"/>
      <c r="B596" s="491" t="n"/>
      <c r="C596" s="491" t="n"/>
      <c r="D596" s="491" t="n"/>
      <c r="E596" s="491" t="n"/>
      <c r="F596" s="491" t="n"/>
      <c r="G596" s="491" t="n"/>
      <c r="H596" s="491" t="n"/>
      <c r="I596" s="491" t="n"/>
      <c r="J596" s="491" t="n"/>
      <c r="K596" s="491" t="n"/>
      <c r="L596" s="491" t="n"/>
      <c r="M596" s="491" t="n"/>
      <c r="N596" s="491" t="n"/>
      <c r="O596" s="491" t="n"/>
      <c r="P596" s="491" t="n"/>
      <c r="Q596" s="491" t="n"/>
      <c r="R596" s="491" t="n"/>
      <c r="S596" s="491" t="n"/>
      <c r="T596" s="491" t="n"/>
      <c r="U596" s="491" t="n"/>
      <c r="V596" s="491" t="n"/>
      <c r="W596" s="491" t="n"/>
      <c r="X596" s="491" t="n"/>
      <c r="Y596" s="491" t="n"/>
    </row>
    <row r="597" ht="12.75" customHeight="1" s="398">
      <c r="A597" s="491" t="n"/>
      <c r="B597" s="491" t="n"/>
      <c r="C597" s="491" t="n"/>
      <c r="D597" s="491" t="n"/>
      <c r="E597" s="491" t="n"/>
      <c r="F597" s="491" t="n"/>
      <c r="G597" s="491" t="n"/>
      <c r="H597" s="491" t="n"/>
      <c r="I597" s="491" t="n"/>
      <c r="J597" s="491" t="n"/>
      <c r="K597" s="491" t="n"/>
      <c r="L597" s="491" t="n"/>
      <c r="M597" s="491" t="n"/>
      <c r="N597" s="491" t="n"/>
      <c r="O597" s="491" t="n"/>
      <c r="P597" s="491" t="n"/>
      <c r="Q597" s="491" t="n"/>
      <c r="R597" s="491" t="n"/>
      <c r="S597" s="491" t="n"/>
      <c r="T597" s="491" t="n"/>
      <c r="U597" s="491" t="n"/>
      <c r="V597" s="491" t="n"/>
      <c r="W597" s="491" t="n"/>
      <c r="X597" s="491" t="n"/>
      <c r="Y597" s="491" t="n"/>
    </row>
    <row r="598" ht="12.75" customHeight="1" s="398">
      <c r="A598" s="491" t="n"/>
      <c r="B598" s="491" t="n"/>
      <c r="C598" s="491" t="n"/>
      <c r="D598" s="491" t="n"/>
      <c r="E598" s="491" t="n"/>
      <c r="F598" s="491" t="n"/>
      <c r="G598" s="491" t="n"/>
      <c r="H598" s="491" t="n"/>
      <c r="I598" s="491" t="n"/>
      <c r="J598" s="491" t="n"/>
      <c r="K598" s="491" t="n"/>
      <c r="L598" s="491" t="n"/>
      <c r="M598" s="491" t="n"/>
      <c r="N598" s="491" t="n"/>
      <c r="O598" s="491" t="n"/>
      <c r="P598" s="491" t="n"/>
      <c r="Q598" s="491" t="n"/>
      <c r="R598" s="491" t="n"/>
      <c r="S598" s="491" t="n"/>
      <c r="T598" s="491" t="n"/>
      <c r="U598" s="491" t="n"/>
      <c r="V598" s="491" t="n"/>
      <c r="W598" s="491" t="n"/>
      <c r="X598" s="491" t="n"/>
      <c r="Y598" s="491" t="n"/>
    </row>
    <row r="599" ht="12.75" customHeight="1" s="398">
      <c r="A599" s="491" t="n"/>
      <c r="B599" s="491" t="n"/>
      <c r="C599" s="491" t="n"/>
      <c r="D599" s="491" t="n"/>
      <c r="E599" s="491" t="n"/>
      <c r="F599" s="491" t="n"/>
      <c r="G599" s="491" t="n"/>
      <c r="H599" s="491" t="n"/>
      <c r="I599" s="491" t="n"/>
      <c r="J599" s="491" t="n"/>
      <c r="K599" s="491" t="n"/>
      <c r="L599" s="491" t="n"/>
      <c r="M599" s="491" t="n"/>
      <c r="N599" s="491" t="n"/>
      <c r="O599" s="491" t="n"/>
      <c r="P599" s="491" t="n"/>
      <c r="Q599" s="491" t="n"/>
      <c r="R599" s="491" t="n"/>
      <c r="S599" s="491" t="n"/>
      <c r="T599" s="491" t="n"/>
      <c r="U599" s="491" t="n"/>
      <c r="V599" s="491" t="n"/>
      <c r="W599" s="491" t="n"/>
      <c r="X599" s="491" t="n"/>
      <c r="Y599" s="491" t="n"/>
    </row>
    <row r="600" ht="12.75" customHeight="1" s="398">
      <c r="A600" s="491" t="n"/>
      <c r="B600" s="491" t="n"/>
      <c r="C600" s="491" t="n"/>
      <c r="D600" s="491" t="n"/>
      <c r="E600" s="491" t="n"/>
      <c r="F600" s="491" t="n"/>
      <c r="G600" s="491" t="n"/>
      <c r="H600" s="491" t="n"/>
      <c r="I600" s="491" t="n"/>
      <c r="J600" s="491" t="n"/>
      <c r="K600" s="491" t="n"/>
      <c r="L600" s="491" t="n"/>
      <c r="M600" s="491" t="n"/>
      <c r="N600" s="491" t="n"/>
      <c r="O600" s="491" t="n"/>
      <c r="P600" s="491" t="n"/>
      <c r="Q600" s="491" t="n"/>
      <c r="R600" s="491" t="n"/>
      <c r="S600" s="491" t="n"/>
      <c r="T600" s="491" t="n"/>
      <c r="U600" s="491" t="n"/>
      <c r="V600" s="491" t="n"/>
      <c r="W600" s="491" t="n"/>
      <c r="X600" s="491" t="n"/>
      <c r="Y600" s="491" t="n"/>
    </row>
    <row r="601" ht="12.75" customHeight="1" s="398">
      <c r="A601" s="491" t="n"/>
      <c r="B601" s="491" t="n"/>
      <c r="C601" s="491" t="n"/>
      <c r="D601" s="491" t="n"/>
      <c r="E601" s="491" t="n"/>
      <c r="F601" s="491" t="n"/>
      <c r="G601" s="491" t="n"/>
      <c r="H601" s="491" t="n"/>
      <c r="I601" s="491" t="n"/>
      <c r="J601" s="491" t="n"/>
      <c r="K601" s="491" t="n"/>
      <c r="L601" s="491" t="n"/>
      <c r="M601" s="491" t="n"/>
      <c r="N601" s="491" t="n"/>
      <c r="O601" s="491" t="n"/>
      <c r="P601" s="491" t="n"/>
      <c r="Q601" s="491" t="n"/>
      <c r="R601" s="491" t="n"/>
      <c r="S601" s="491" t="n"/>
      <c r="T601" s="491" t="n"/>
      <c r="U601" s="491" t="n"/>
      <c r="V601" s="491" t="n"/>
      <c r="W601" s="491" t="n"/>
      <c r="X601" s="491" t="n"/>
      <c r="Y601" s="491" t="n"/>
    </row>
    <row r="602" ht="12.75" customHeight="1" s="398">
      <c r="A602" s="491" t="n"/>
      <c r="B602" s="491" t="n"/>
      <c r="C602" s="491" t="n"/>
      <c r="D602" s="491" t="n"/>
      <c r="E602" s="491" t="n"/>
      <c r="F602" s="491" t="n"/>
      <c r="G602" s="491" t="n"/>
      <c r="H602" s="491" t="n"/>
      <c r="I602" s="491" t="n"/>
      <c r="J602" s="491" t="n"/>
      <c r="K602" s="491" t="n"/>
      <c r="L602" s="491" t="n"/>
      <c r="M602" s="491" t="n"/>
      <c r="N602" s="491" t="n"/>
      <c r="O602" s="491" t="n"/>
      <c r="P602" s="491" t="n"/>
      <c r="Q602" s="491" t="n"/>
      <c r="R602" s="491" t="n"/>
      <c r="S602" s="491" t="n"/>
      <c r="T602" s="491" t="n"/>
      <c r="U602" s="491" t="n"/>
      <c r="V602" s="491" t="n"/>
      <c r="W602" s="491" t="n"/>
      <c r="X602" s="491" t="n"/>
      <c r="Y602" s="491" t="n"/>
    </row>
    <row r="603" ht="12.75" customHeight="1" s="398">
      <c r="A603" s="491" t="n"/>
      <c r="B603" s="491" t="n"/>
      <c r="C603" s="491" t="n"/>
      <c r="D603" s="491" t="n"/>
      <c r="E603" s="491" t="n"/>
      <c r="F603" s="491" t="n"/>
      <c r="G603" s="491" t="n"/>
      <c r="H603" s="491" t="n"/>
      <c r="I603" s="491" t="n"/>
      <c r="J603" s="491" t="n"/>
      <c r="K603" s="491" t="n"/>
      <c r="L603" s="491" t="n"/>
      <c r="M603" s="491" t="n"/>
      <c r="N603" s="491" t="n"/>
      <c r="O603" s="491" t="n"/>
      <c r="P603" s="491" t="n"/>
      <c r="Q603" s="491" t="n"/>
      <c r="R603" s="491" t="n"/>
      <c r="S603" s="491" t="n"/>
      <c r="T603" s="491" t="n"/>
      <c r="U603" s="491" t="n"/>
      <c r="V603" s="491" t="n"/>
      <c r="W603" s="491" t="n"/>
      <c r="X603" s="491" t="n"/>
      <c r="Y603" s="491" t="n"/>
    </row>
    <row r="604" ht="12.75" customHeight="1" s="398">
      <c r="A604" s="491" t="n"/>
      <c r="B604" s="491" t="n"/>
      <c r="C604" s="491" t="n"/>
      <c r="D604" s="491" t="n"/>
      <c r="E604" s="491" t="n"/>
      <c r="F604" s="491" t="n"/>
      <c r="G604" s="491" t="n"/>
      <c r="H604" s="491" t="n"/>
      <c r="I604" s="491" t="n"/>
      <c r="J604" s="491" t="n"/>
      <c r="K604" s="491" t="n"/>
      <c r="L604" s="491" t="n"/>
      <c r="M604" s="491" t="n"/>
      <c r="N604" s="491" t="n"/>
      <c r="O604" s="491" t="n"/>
      <c r="P604" s="491" t="n"/>
      <c r="Q604" s="491" t="n"/>
      <c r="R604" s="491" t="n"/>
      <c r="S604" s="491" t="n"/>
      <c r="T604" s="491" t="n"/>
      <c r="U604" s="491" t="n"/>
      <c r="V604" s="491" t="n"/>
      <c r="W604" s="491" t="n"/>
      <c r="X604" s="491" t="n"/>
      <c r="Y604" s="491" t="n"/>
    </row>
    <row r="605" ht="12.75" customHeight="1" s="398">
      <c r="A605" s="491" t="n"/>
      <c r="B605" s="491" t="n"/>
      <c r="C605" s="491" t="n"/>
      <c r="D605" s="491" t="n"/>
      <c r="E605" s="491" t="n"/>
      <c r="F605" s="491" t="n"/>
      <c r="G605" s="491" t="n"/>
      <c r="H605" s="491" t="n"/>
      <c r="I605" s="491" t="n"/>
      <c r="J605" s="491" t="n"/>
      <c r="K605" s="491" t="n"/>
      <c r="L605" s="491" t="n"/>
      <c r="M605" s="491" t="n"/>
      <c r="N605" s="491" t="n"/>
      <c r="O605" s="491" t="n"/>
      <c r="P605" s="491" t="n"/>
      <c r="Q605" s="491" t="n"/>
      <c r="R605" s="491" t="n"/>
      <c r="S605" s="491" t="n"/>
      <c r="T605" s="491" t="n"/>
      <c r="U605" s="491" t="n"/>
      <c r="V605" s="491" t="n"/>
      <c r="W605" s="491" t="n"/>
      <c r="X605" s="491" t="n"/>
      <c r="Y605" s="491" t="n"/>
    </row>
    <row r="606" ht="12.75" customHeight="1" s="398">
      <c r="A606" s="491" t="n"/>
      <c r="B606" s="491" t="n"/>
      <c r="C606" s="491" t="n"/>
      <c r="D606" s="491" t="n"/>
      <c r="E606" s="491" t="n"/>
      <c r="F606" s="491" t="n"/>
      <c r="G606" s="491" t="n"/>
      <c r="H606" s="491" t="n"/>
      <c r="I606" s="491" t="n"/>
      <c r="J606" s="491" t="n"/>
      <c r="K606" s="491" t="n"/>
      <c r="L606" s="491" t="n"/>
      <c r="M606" s="491" t="n"/>
      <c r="N606" s="491" t="n"/>
      <c r="O606" s="491" t="n"/>
      <c r="P606" s="491" t="n"/>
      <c r="Q606" s="491" t="n"/>
      <c r="R606" s="491" t="n"/>
      <c r="S606" s="491" t="n"/>
      <c r="T606" s="491" t="n"/>
      <c r="U606" s="491" t="n"/>
      <c r="V606" s="491" t="n"/>
      <c r="W606" s="491" t="n"/>
      <c r="X606" s="491" t="n"/>
      <c r="Y606" s="491" t="n"/>
    </row>
    <row r="607" ht="12.75" customHeight="1" s="398">
      <c r="A607" s="491" t="n"/>
      <c r="B607" s="491" t="n"/>
      <c r="C607" s="491" t="n"/>
      <c r="D607" s="491" t="n"/>
      <c r="E607" s="491" t="n"/>
      <c r="F607" s="491" t="n"/>
      <c r="G607" s="491" t="n"/>
      <c r="H607" s="491" t="n"/>
      <c r="I607" s="491" t="n"/>
      <c r="J607" s="491" t="n"/>
      <c r="K607" s="491" t="n"/>
      <c r="L607" s="491" t="n"/>
      <c r="M607" s="491" t="n"/>
      <c r="N607" s="491" t="n"/>
      <c r="O607" s="491" t="n"/>
      <c r="P607" s="491" t="n"/>
      <c r="Q607" s="491" t="n"/>
      <c r="R607" s="491" t="n"/>
      <c r="S607" s="491" t="n"/>
      <c r="T607" s="491" t="n"/>
      <c r="U607" s="491" t="n"/>
      <c r="V607" s="491" t="n"/>
      <c r="W607" s="491" t="n"/>
      <c r="X607" s="491" t="n"/>
      <c r="Y607" s="491" t="n"/>
    </row>
    <row r="608" ht="12.75" customHeight="1" s="398">
      <c r="A608" s="491" t="n"/>
      <c r="B608" s="491" t="n"/>
      <c r="C608" s="491" t="n"/>
      <c r="D608" s="491" t="n"/>
      <c r="E608" s="491" t="n"/>
      <c r="F608" s="491" t="n"/>
      <c r="G608" s="491" t="n"/>
      <c r="H608" s="491" t="n"/>
      <c r="I608" s="491" t="n"/>
      <c r="J608" s="491" t="n"/>
      <c r="K608" s="491" t="n"/>
      <c r="L608" s="491" t="n"/>
      <c r="M608" s="491" t="n"/>
      <c r="N608" s="491" t="n"/>
      <c r="O608" s="491" t="n"/>
      <c r="P608" s="491" t="n"/>
      <c r="Q608" s="491" t="n"/>
      <c r="R608" s="491" t="n"/>
      <c r="S608" s="491" t="n"/>
      <c r="T608" s="491" t="n"/>
      <c r="U608" s="491" t="n"/>
      <c r="V608" s="491" t="n"/>
      <c r="W608" s="491" t="n"/>
      <c r="X608" s="491" t="n"/>
      <c r="Y608" s="491" t="n"/>
    </row>
    <row r="609" ht="12.75" customHeight="1" s="398">
      <c r="A609" s="491" t="n"/>
      <c r="B609" s="491" t="n"/>
      <c r="C609" s="491" t="n"/>
      <c r="D609" s="491" t="n"/>
      <c r="E609" s="491" t="n"/>
      <c r="F609" s="491" t="n"/>
      <c r="G609" s="491" t="n"/>
      <c r="H609" s="491" t="n"/>
      <c r="I609" s="491" t="n"/>
      <c r="J609" s="491" t="n"/>
      <c r="K609" s="491" t="n"/>
      <c r="L609" s="491" t="n"/>
      <c r="M609" s="491" t="n"/>
      <c r="N609" s="491" t="n"/>
      <c r="O609" s="491" t="n"/>
      <c r="P609" s="491" t="n"/>
      <c r="Q609" s="491" t="n"/>
      <c r="R609" s="491" t="n"/>
      <c r="S609" s="491" t="n"/>
      <c r="T609" s="491" t="n"/>
      <c r="U609" s="491" t="n"/>
      <c r="V609" s="491" t="n"/>
      <c r="W609" s="491" t="n"/>
      <c r="X609" s="491" t="n"/>
      <c r="Y609" s="491" t="n"/>
    </row>
    <row r="610" ht="12.75" customHeight="1" s="398">
      <c r="A610" s="491" t="n"/>
      <c r="B610" s="491" t="n"/>
      <c r="C610" s="491" t="n"/>
      <c r="D610" s="491" t="n"/>
      <c r="E610" s="491" t="n"/>
      <c r="F610" s="491" t="n"/>
      <c r="G610" s="491" t="n"/>
      <c r="H610" s="491" t="n"/>
      <c r="I610" s="491" t="n"/>
      <c r="J610" s="491" t="n"/>
      <c r="K610" s="491" t="n"/>
      <c r="L610" s="491" t="n"/>
      <c r="M610" s="491" t="n"/>
      <c r="N610" s="491" t="n"/>
      <c r="O610" s="491" t="n"/>
      <c r="P610" s="491" t="n"/>
      <c r="Q610" s="491" t="n"/>
      <c r="R610" s="491" t="n"/>
      <c r="S610" s="491" t="n"/>
      <c r="T610" s="491" t="n"/>
      <c r="U610" s="491" t="n"/>
      <c r="V610" s="491" t="n"/>
      <c r="W610" s="491" t="n"/>
      <c r="X610" s="491" t="n"/>
      <c r="Y610" s="491" t="n"/>
    </row>
    <row r="611" ht="12.75" customHeight="1" s="398">
      <c r="A611" s="491" t="n"/>
      <c r="B611" s="491" t="n"/>
      <c r="C611" s="491" t="n"/>
      <c r="D611" s="491" t="n"/>
      <c r="E611" s="491" t="n"/>
      <c r="F611" s="491" t="n"/>
      <c r="G611" s="491" t="n"/>
      <c r="H611" s="491" t="n"/>
      <c r="I611" s="491" t="n"/>
      <c r="J611" s="491" t="n"/>
      <c r="K611" s="491" t="n"/>
      <c r="L611" s="491" t="n"/>
      <c r="M611" s="491" t="n"/>
      <c r="N611" s="491" t="n"/>
      <c r="O611" s="491" t="n"/>
      <c r="P611" s="491" t="n"/>
      <c r="Q611" s="491" t="n"/>
      <c r="R611" s="491" t="n"/>
      <c r="S611" s="491" t="n"/>
      <c r="T611" s="491" t="n"/>
      <c r="U611" s="491" t="n"/>
      <c r="V611" s="491" t="n"/>
      <c r="W611" s="491" t="n"/>
      <c r="X611" s="491" t="n"/>
      <c r="Y611" s="491" t="n"/>
    </row>
    <row r="612" ht="12.75" customHeight="1" s="398">
      <c r="A612" s="491" t="n"/>
      <c r="B612" s="491" t="n"/>
      <c r="C612" s="491" t="n"/>
      <c r="D612" s="491" t="n"/>
      <c r="E612" s="491" t="n"/>
      <c r="F612" s="491" t="n"/>
      <c r="G612" s="491" t="n"/>
      <c r="H612" s="491" t="n"/>
      <c r="I612" s="491" t="n"/>
      <c r="J612" s="491" t="n"/>
      <c r="K612" s="491" t="n"/>
      <c r="L612" s="491" t="n"/>
      <c r="M612" s="491" t="n"/>
      <c r="N612" s="491" t="n"/>
      <c r="O612" s="491" t="n"/>
      <c r="P612" s="491" t="n"/>
      <c r="Q612" s="491" t="n"/>
      <c r="R612" s="491" t="n"/>
      <c r="S612" s="491" t="n"/>
      <c r="T612" s="491" t="n"/>
      <c r="U612" s="491" t="n"/>
      <c r="V612" s="491" t="n"/>
      <c r="W612" s="491" t="n"/>
      <c r="X612" s="491" t="n"/>
      <c r="Y612" s="491" t="n"/>
    </row>
    <row r="613" ht="12.75" customHeight="1" s="398">
      <c r="A613" s="491" t="n"/>
      <c r="B613" s="491" t="n"/>
      <c r="C613" s="491" t="n"/>
      <c r="D613" s="491" t="n"/>
      <c r="E613" s="491" t="n"/>
      <c r="F613" s="491" t="n"/>
      <c r="G613" s="491" t="n"/>
      <c r="H613" s="491" t="n"/>
      <c r="I613" s="491" t="n"/>
      <c r="J613" s="491" t="n"/>
      <c r="K613" s="491" t="n"/>
      <c r="L613" s="491" t="n"/>
      <c r="M613" s="491" t="n"/>
      <c r="N613" s="491" t="n"/>
      <c r="O613" s="491" t="n"/>
      <c r="P613" s="491" t="n"/>
      <c r="Q613" s="491" t="n"/>
      <c r="R613" s="491" t="n"/>
      <c r="S613" s="491" t="n"/>
      <c r="T613" s="491" t="n"/>
      <c r="U613" s="491" t="n"/>
      <c r="V613" s="491" t="n"/>
      <c r="W613" s="491" t="n"/>
      <c r="X613" s="491" t="n"/>
      <c r="Y613" s="491" t="n"/>
    </row>
    <row r="614" ht="12.75" customHeight="1" s="398">
      <c r="A614" s="491" t="n"/>
      <c r="B614" s="491" t="n"/>
      <c r="C614" s="491" t="n"/>
      <c r="D614" s="491" t="n"/>
      <c r="E614" s="491" t="n"/>
      <c r="F614" s="491" t="n"/>
      <c r="G614" s="491" t="n"/>
      <c r="H614" s="491" t="n"/>
      <c r="I614" s="491" t="n"/>
      <c r="J614" s="491" t="n"/>
      <c r="K614" s="491" t="n"/>
      <c r="L614" s="491" t="n"/>
      <c r="M614" s="491" t="n"/>
      <c r="N614" s="491" t="n"/>
      <c r="O614" s="491" t="n"/>
      <c r="P614" s="491" t="n"/>
      <c r="Q614" s="491" t="n"/>
      <c r="R614" s="491" t="n"/>
      <c r="S614" s="491" t="n"/>
      <c r="T614" s="491" t="n"/>
      <c r="U614" s="491" t="n"/>
      <c r="V614" s="491" t="n"/>
      <c r="W614" s="491" t="n"/>
      <c r="X614" s="491" t="n"/>
      <c r="Y614" s="491" t="n"/>
    </row>
    <row r="615" ht="12.75" customHeight="1" s="398">
      <c r="A615" s="491" t="n"/>
      <c r="B615" s="491" t="n"/>
      <c r="C615" s="491" t="n"/>
      <c r="D615" s="491" t="n"/>
      <c r="E615" s="491" t="n"/>
      <c r="F615" s="491" t="n"/>
      <c r="G615" s="491" t="n"/>
      <c r="H615" s="491" t="n"/>
      <c r="I615" s="491" t="n"/>
      <c r="J615" s="491" t="n"/>
      <c r="K615" s="491" t="n"/>
      <c r="L615" s="491" t="n"/>
      <c r="M615" s="491" t="n"/>
      <c r="N615" s="491" t="n"/>
      <c r="O615" s="491" t="n"/>
      <c r="P615" s="491" t="n"/>
      <c r="Q615" s="491" t="n"/>
      <c r="R615" s="491" t="n"/>
      <c r="S615" s="491" t="n"/>
      <c r="T615" s="491" t="n"/>
      <c r="U615" s="491" t="n"/>
      <c r="V615" s="491" t="n"/>
      <c r="W615" s="491" t="n"/>
      <c r="X615" s="491" t="n"/>
      <c r="Y615" s="491" t="n"/>
    </row>
    <row r="616" ht="12.75" customHeight="1" s="398">
      <c r="A616" s="491" t="n"/>
      <c r="B616" s="491" t="n"/>
      <c r="C616" s="491" t="n"/>
      <c r="D616" s="491" t="n"/>
      <c r="E616" s="491" t="n"/>
      <c r="F616" s="491" t="n"/>
      <c r="G616" s="491" t="n"/>
      <c r="H616" s="491" t="n"/>
      <c r="I616" s="491" t="n"/>
      <c r="J616" s="491" t="n"/>
      <c r="K616" s="491" t="n"/>
      <c r="L616" s="491" t="n"/>
      <c r="M616" s="491" t="n"/>
      <c r="N616" s="491" t="n"/>
      <c r="O616" s="491" t="n"/>
      <c r="P616" s="491" t="n"/>
      <c r="Q616" s="491" t="n"/>
      <c r="R616" s="491" t="n"/>
      <c r="S616" s="491" t="n"/>
      <c r="T616" s="491" t="n"/>
      <c r="U616" s="491" t="n"/>
      <c r="V616" s="491" t="n"/>
      <c r="W616" s="491" t="n"/>
      <c r="X616" s="491" t="n"/>
      <c r="Y616" s="491" t="n"/>
    </row>
    <row r="617" ht="12.75" customHeight="1" s="398">
      <c r="A617" s="491" t="n"/>
      <c r="B617" s="491" t="n"/>
      <c r="C617" s="491" t="n"/>
      <c r="D617" s="491" t="n"/>
      <c r="E617" s="491" t="n"/>
      <c r="F617" s="491" t="n"/>
      <c r="G617" s="491" t="n"/>
      <c r="H617" s="491" t="n"/>
      <c r="I617" s="491" t="n"/>
      <c r="J617" s="491" t="n"/>
      <c r="K617" s="491" t="n"/>
      <c r="L617" s="491" t="n"/>
      <c r="M617" s="491" t="n"/>
      <c r="N617" s="491" t="n"/>
      <c r="O617" s="491" t="n"/>
      <c r="P617" s="491" t="n"/>
      <c r="Q617" s="491" t="n"/>
      <c r="R617" s="491" t="n"/>
      <c r="S617" s="491" t="n"/>
      <c r="T617" s="491" t="n"/>
      <c r="U617" s="491" t="n"/>
      <c r="V617" s="491" t="n"/>
      <c r="W617" s="491" t="n"/>
      <c r="X617" s="491" t="n"/>
      <c r="Y617" s="491" t="n"/>
    </row>
    <row r="618" ht="12.75" customHeight="1" s="398">
      <c r="A618" s="491" t="n"/>
      <c r="B618" s="491" t="n"/>
      <c r="C618" s="491" t="n"/>
      <c r="D618" s="491" t="n"/>
      <c r="E618" s="491" t="n"/>
      <c r="F618" s="491" t="n"/>
      <c r="G618" s="491" t="n"/>
      <c r="H618" s="491" t="n"/>
      <c r="I618" s="491" t="n"/>
      <c r="J618" s="491" t="n"/>
      <c r="K618" s="491" t="n"/>
      <c r="L618" s="491" t="n"/>
      <c r="M618" s="491" t="n"/>
      <c r="N618" s="491" t="n"/>
      <c r="O618" s="491" t="n"/>
      <c r="P618" s="491" t="n"/>
      <c r="Q618" s="491" t="n"/>
      <c r="R618" s="491" t="n"/>
      <c r="S618" s="491" t="n"/>
      <c r="T618" s="491" t="n"/>
      <c r="U618" s="491" t="n"/>
      <c r="V618" s="491" t="n"/>
      <c r="W618" s="491" t="n"/>
      <c r="X618" s="491" t="n"/>
      <c r="Y618" s="491" t="n"/>
    </row>
    <row r="619" ht="12.75" customHeight="1" s="398">
      <c r="A619" s="491" t="n"/>
      <c r="B619" s="491" t="n"/>
      <c r="C619" s="491" t="n"/>
      <c r="D619" s="491" t="n"/>
      <c r="E619" s="491" t="n"/>
      <c r="F619" s="491" t="n"/>
      <c r="G619" s="491" t="n"/>
      <c r="H619" s="491" t="n"/>
      <c r="I619" s="491" t="n"/>
      <c r="J619" s="491" t="n"/>
      <c r="K619" s="491" t="n"/>
      <c r="L619" s="491" t="n"/>
      <c r="M619" s="491" t="n"/>
      <c r="N619" s="491" t="n"/>
      <c r="O619" s="491" t="n"/>
      <c r="P619" s="491" t="n"/>
      <c r="Q619" s="491" t="n"/>
      <c r="R619" s="491" t="n"/>
      <c r="S619" s="491" t="n"/>
      <c r="T619" s="491" t="n"/>
      <c r="U619" s="491" t="n"/>
      <c r="V619" s="491" t="n"/>
      <c r="W619" s="491" t="n"/>
      <c r="X619" s="491" t="n"/>
      <c r="Y619" s="491" t="n"/>
    </row>
    <row r="620" ht="12.75" customHeight="1" s="398">
      <c r="A620" s="491" t="n"/>
      <c r="B620" s="491" t="n"/>
      <c r="C620" s="491" t="n"/>
      <c r="D620" s="491" t="n"/>
      <c r="E620" s="491" t="n"/>
      <c r="F620" s="491" t="n"/>
      <c r="G620" s="491" t="n"/>
      <c r="H620" s="491" t="n"/>
      <c r="I620" s="491" t="n"/>
      <c r="J620" s="491" t="n"/>
      <c r="K620" s="491" t="n"/>
      <c r="L620" s="491" t="n"/>
      <c r="M620" s="491" t="n"/>
      <c r="N620" s="491" t="n"/>
      <c r="O620" s="491" t="n"/>
      <c r="P620" s="491" t="n"/>
      <c r="Q620" s="491" t="n"/>
      <c r="R620" s="491" t="n"/>
      <c r="S620" s="491" t="n"/>
      <c r="T620" s="491" t="n"/>
      <c r="U620" s="491" t="n"/>
      <c r="V620" s="491" t="n"/>
      <c r="W620" s="491" t="n"/>
      <c r="X620" s="491" t="n"/>
      <c r="Y620" s="491" t="n"/>
    </row>
    <row r="621" ht="12.75" customHeight="1" s="398">
      <c r="A621" s="491" t="n"/>
      <c r="B621" s="491" t="n"/>
      <c r="C621" s="491" t="n"/>
      <c r="D621" s="491" t="n"/>
      <c r="E621" s="491" t="n"/>
      <c r="F621" s="491" t="n"/>
      <c r="G621" s="491" t="n"/>
      <c r="H621" s="491" t="n"/>
      <c r="I621" s="491" t="n"/>
      <c r="J621" s="491" t="n"/>
      <c r="K621" s="491" t="n"/>
      <c r="L621" s="491" t="n"/>
      <c r="M621" s="491" t="n"/>
      <c r="N621" s="491" t="n"/>
      <c r="O621" s="491" t="n"/>
      <c r="P621" s="491" t="n"/>
      <c r="Q621" s="491" t="n"/>
      <c r="R621" s="491" t="n"/>
      <c r="S621" s="491" t="n"/>
      <c r="T621" s="491" t="n"/>
      <c r="U621" s="491" t="n"/>
      <c r="V621" s="491" t="n"/>
      <c r="W621" s="491" t="n"/>
      <c r="X621" s="491" t="n"/>
      <c r="Y621" s="491" t="n"/>
    </row>
    <row r="622" ht="12.75" customHeight="1" s="398">
      <c r="A622" s="491" t="n"/>
      <c r="B622" s="491" t="n"/>
      <c r="C622" s="491" t="n"/>
      <c r="D622" s="491" t="n"/>
      <c r="E622" s="491" t="n"/>
      <c r="F622" s="491" t="n"/>
      <c r="G622" s="491" t="n"/>
      <c r="H622" s="491" t="n"/>
      <c r="I622" s="491" t="n"/>
      <c r="J622" s="491" t="n"/>
      <c r="K622" s="491" t="n"/>
      <c r="L622" s="491" t="n"/>
      <c r="M622" s="491" t="n"/>
      <c r="N622" s="491" t="n"/>
      <c r="O622" s="491" t="n"/>
      <c r="P622" s="491" t="n"/>
      <c r="Q622" s="491" t="n"/>
      <c r="R622" s="491" t="n"/>
      <c r="S622" s="491" t="n"/>
      <c r="T622" s="491" t="n"/>
      <c r="U622" s="491" t="n"/>
      <c r="V622" s="491" t="n"/>
      <c r="W622" s="491" t="n"/>
      <c r="X622" s="491" t="n"/>
      <c r="Y622" s="491" t="n"/>
    </row>
    <row r="623" ht="12.75" customHeight="1" s="398">
      <c r="A623" s="491" t="n"/>
      <c r="B623" s="491" t="n"/>
      <c r="C623" s="491" t="n"/>
      <c r="D623" s="491" t="n"/>
      <c r="E623" s="491" t="n"/>
      <c r="F623" s="491" t="n"/>
      <c r="G623" s="491" t="n"/>
      <c r="H623" s="491" t="n"/>
      <c r="I623" s="491" t="n"/>
      <c r="J623" s="491" t="n"/>
      <c r="K623" s="491" t="n"/>
      <c r="L623" s="491" t="n"/>
      <c r="M623" s="491" t="n"/>
      <c r="N623" s="491" t="n"/>
      <c r="O623" s="491" t="n"/>
      <c r="P623" s="491" t="n"/>
      <c r="Q623" s="491" t="n"/>
      <c r="R623" s="491" t="n"/>
      <c r="S623" s="491" t="n"/>
      <c r="T623" s="491" t="n"/>
      <c r="U623" s="491" t="n"/>
      <c r="V623" s="491" t="n"/>
      <c r="W623" s="491" t="n"/>
      <c r="X623" s="491" t="n"/>
      <c r="Y623" s="491" t="n"/>
    </row>
    <row r="624" ht="12.75" customHeight="1" s="398">
      <c r="A624" s="491" t="n"/>
      <c r="B624" s="491" t="n"/>
      <c r="C624" s="491" t="n"/>
      <c r="D624" s="491" t="n"/>
      <c r="E624" s="491" t="n"/>
      <c r="F624" s="491" t="n"/>
      <c r="G624" s="491" t="n"/>
      <c r="H624" s="491" t="n"/>
      <c r="I624" s="491" t="n"/>
      <c r="J624" s="491" t="n"/>
      <c r="K624" s="491" t="n"/>
      <c r="L624" s="491" t="n"/>
      <c r="M624" s="491" t="n"/>
      <c r="N624" s="491" t="n"/>
      <c r="O624" s="491" t="n"/>
      <c r="P624" s="491" t="n"/>
      <c r="Q624" s="491" t="n"/>
      <c r="R624" s="491" t="n"/>
      <c r="S624" s="491" t="n"/>
      <c r="T624" s="491" t="n"/>
      <c r="U624" s="491" t="n"/>
      <c r="V624" s="491" t="n"/>
      <c r="W624" s="491" t="n"/>
      <c r="X624" s="491" t="n"/>
      <c r="Y624" s="491" t="n"/>
    </row>
    <row r="625" ht="12.75" customHeight="1" s="398">
      <c r="A625" s="491" t="n"/>
      <c r="B625" s="491" t="n"/>
      <c r="C625" s="491" t="n"/>
      <c r="D625" s="491" t="n"/>
      <c r="E625" s="491" t="n"/>
      <c r="F625" s="491" t="n"/>
      <c r="G625" s="491" t="n"/>
      <c r="H625" s="491" t="n"/>
      <c r="I625" s="491" t="n"/>
      <c r="J625" s="491" t="n"/>
      <c r="K625" s="491" t="n"/>
      <c r="L625" s="491" t="n"/>
      <c r="M625" s="491" t="n"/>
      <c r="N625" s="491" t="n"/>
      <c r="O625" s="491" t="n"/>
      <c r="P625" s="491" t="n"/>
      <c r="Q625" s="491" t="n"/>
      <c r="R625" s="491" t="n"/>
      <c r="S625" s="491" t="n"/>
      <c r="T625" s="491" t="n"/>
      <c r="U625" s="491" t="n"/>
      <c r="V625" s="491" t="n"/>
      <c r="W625" s="491" t="n"/>
      <c r="X625" s="491" t="n"/>
      <c r="Y625" s="491" t="n"/>
    </row>
    <row r="626" ht="12.75" customHeight="1" s="398">
      <c r="A626" s="491" t="n"/>
      <c r="B626" s="491" t="n"/>
      <c r="C626" s="491" t="n"/>
      <c r="D626" s="491" t="n"/>
      <c r="E626" s="491" t="n"/>
      <c r="F626" s="491" t="n"/>
      <c r="G626" s="491" t="n"/>
      <c r="H626" s="491" t="n"/>
      <c r="I626" s="491" t="n"/>
      <c r="J626" s="491" t="n"/>
      <c r="K626" s="491" t="n"/>
      <c r="L626" s="491" t="n"/>
      <c r="M626" s="491" t="n"/>
      <c r="N626" s="491" t="n"/>
      <c r="O626" s="491" t="n"/>
      <c r="P626" s="491" t="n"/>
      <c r="Q626" s="491" t="n"/>
      <c r="R626" s="491" t="n"/>
      <c r="S626" s="491" t="n"/>
      <c r="T626" s="491" t="n"/>
      <c r="U626" s="491" t="n"/>
      <c r="V626" s="491" t="n"/>
      <c r="W626" s="491" t="n"/>
      <c r="X626" s="491" t="n"/>
      <c r="Y626" s="491" t="n"/>
    </row>
    <row r="627" ht="12.75" customHeight="1" s="398">
      <c r="A627" s="491" t="n"/>
      <c r="B627" s="491" t="n"/>
      <c r="C627" s="491" t="n"/>
      <c r="D627" s="491" t="n"/>
      <c r="E627" s="491" t="n"/>
      <c r="F627" s="491" t="n"/>
      <c r="G627" s="491" t="n"/>
      <c r="H627" s="491" t="n"/>
      <c r="I627" s="491" t="n"/>
      <c r="J627" s="491" t="n"/>
      <c r="K627" s="491" t="n"/>
      <c r="L627" s="491" t="n"/>
      <c r="M627" s="491" t="n"/>
      <c r="N627" s="491" t="n"/>
      <c r="O627" s="491" t="n"/>
      <c r="P627" s="491" t="n"/>
      <c r="Q627" s="491" t="n"/>
      <c r="R627" s="491" t="n"/>
      <c r="S627" s="491" t="n"/>
      <c r="T627" s="491" t="n"/>
      <c r="U627" s="491" t="n"/>
      <c r="V627" s="491" t="n"/>
      <c r="W627" s="491" t="n"/>
      <c r="X627" s="491" t="n"/>
      <c r="Y627" s="491" t="n"/>
    </row>
    <row r="628" ht="12.75" customHeight="1" s="398">
      <c r="A628" s="491" t="n"/>
      <c r="B628" s="491" t="n"/>
      <c r="C628" s="491" t="n"/>
      <c r="D628" s="491" t="n"/>
      <c r="E628" s="491" t="n"/>
      <c r="F628" s="491" t="n"/>
      <c r="G628" s="491" t="n"/>
      <c r="H628" s="491" t="n"/>
      <c r="I628" s="491" t="n"/>
      <c r="J628" s="491" t="n"/>
      <c r="K628" s="491" t="n"/>
      <c r="L628" s="491" t="n"/>
      <c r="M628" s="491" t="n"/>
      <c r="N628" s="491" t="n"/>
      <c r="O628" s="491" t="n"/>
      <c r="P628" s="491" t="n"/>
      <c r="Q628" s="491" t="n"/>
      <c r="R628" s="491" t="n"/>
      <c r="S628" s="491" t="n"/>
      <c r="T628" s="491" t="n"/>
      <c r="U628" s="491" t="n"/>
      <c r="V628" s="491" t="n"/>
      <c r="W628" s="491" t="n"/>
      <c r="X628" s="491" t="n"/>
      <c r="Y628" s="491" t="n"/>
    </row>
    <row r="629" ht="12.75" customHeight="1" s="398">
      <c r="A629" s="491" t="n"/>
      <c r="B629" s="491" t="n"/>
      <c r="C629" s="491" t="n"/>
      <c r="D629" s="491" t="n"/>
      <c r="E629" s="491" t="n"/>
      <c r="F629" s="491" t="n"/>
      <c r="G629" s="491" t="n"/>
      <c r="H629" s="491" t="n"/>
      <c r="I629" s="491" t="n"/>
      <c r="J629" s="491" t="n"/>
      <c r="K629" s="491" t="n"/>
      <c r="L629" s="491" t="n"/>
      <c r="M629" s="491" t="n"/>
      <c r="N629" s="491" t="n"/>
      <c r="O629" s="491" t="n"/>
      <c r="P629" s="491" t="n"/>
      <c r="Q629" s="491" t="n"/>
      <c r="R629" s="491" t="n"/>
      <c r="S629" s="491" t="n"/>
      <c r="T629" s="491" t="n"/>
      <c r="U629" s="491" t="n"/>
      <c r="V629" s="491" t="n"/>
      <c r="W629" s="491" t="n"/>
      <c r="X629" s="491" t="n"/>
      <c r="Y629" s="491" t="n"/>
    </row>
    <row r="630" ht="12.75" customHeight="1" s="398">
      <c r="A630" s="491" t="n"/>
      <c r="B630" s="491" t="n"/>
      <c r="C630" s="491" t="n"/>
      <c r="D630" s="491" t="n"/>
      <c r="E630" s="491" t="n"/>
      <c r="F630" s="491" t="n"/>
      <c r="G630" s="491" t="n"/>
      <c r="H630" s="491" t="n"/>
      <c r="I630" s="491" t="n"/>
      <c r="J630" s="491" t="n"/>
      <c r="K630" s="491" t="n"/>
      <c r="L630" s="491" t="n"/>
      <c r="M630" s="491" t="n"/>
      <c r="N630" s="491" t="n"/>
      <c r="O630" s="491" t="n"/>
      <c r="P630" s="491" t="n"/>
      <c r="Q630" s="491" t="n"/>
      <c r="R630" s="491" t="n"/>
      <c r="S630" s="491" t="n"/>
      <c r="T630" s="491" t="n"/>
      <c r="U630" s="491" t="n"/>
      <c r="V630" s="491" t="n"/>
      <c r="W630" s="491" t="n"/>
      <c r="X630" s="491" t="n"/>
      <c r="Y630" s="491" t="n"/>
    </row>
    <row r="631" ht="12.75" customHeight="1" s="398">
      <c r="A631" s="491" t="n"/>
      <c r="B631" s="491" t="n"/>
      <c r="C631" s="491" t="n"/>
      <c r="D631" s="491" t="n"/>
      <c r="E631" s="491" t="n"/>
      <c r="F631" s="491" t="n"/>
      <c r="G631" s="491" t="n"/>
      <c r="H631" s="491" t="n"/>
      <c r="I631" s="491" t="n"/>
      <c r="J631" s="491" t="n"/>
      <c r="K631" s="491" t="n"/>
      <c r="L631" s="491" t="n"/>
      <c r="M631" s="491" t="n"/>
      <c r="N631" s="491" t="n"/>
      <c r="O631" s="491" t="n"/>
      <c r="P631" s="491" t="n"/>
      <c r="Q631" s="491" t="n"/>
      <c r="R631" s="491" t="n"/>
      <c r="S631" s="491" t="n"/>
      <c r="T631" s="491" t="n"/>
      <c r="U631" s="491" t="n"/>
      <c r="V631" s="491" t="n"/>
      <c r="W631" s="491" t="n"/>
      <c r="X631" s="491" t="n"/>
      <c r="Y631" s="491" t="n"/>
    </row>
    <row r="632" ht="12.75" customHeight="1" s="398">
      <c r="A632" s="491" t="n"/>
      <c r="B632" s="491" t="n"/>
      <c r="C632" s="491" t="n"/>
      <c r="D632" s="491" t="n"/>
      <c r="E632" s="491" t="n"/>
      <c r="F632" s="491" t="n"/>
      <c r="G632" s="491" t="n"/>
      <c r="H632" s="491" t="n"/>
      <c r="I632" s="491" t="n"/>
      <c r="J632" s="491" t="n"/>
      <c r="K632" s="491" t="n"/>
      <c r="L632" s="491" t="n"/>
      <c r="M632" s="491" t="n"/>
      <c r="N632" s="491" t="n"/>
      <c r="O632" s="491" t="n"/>
      <c r="P632" s="491" t="n"/>
      <c r="Q632" s="491" t="n"/>
      <c r="R632" s="491" t="n"/>
      <c r="S632" s="491" t="n"/>
      <c r="T632" s="491" t="n"/>
      <c r="U632" s="491" t="n"/>
      <c r="V632" s="491" t="n"/>
      <c r="W632" s="491" t="n"/>
      <c r="X632" s="491" t="n"/>
      <c r="Y632" s="491" t="n"/>
    </row>
    <row r="633" ht="12.75" customHeight="1" s="398">
      <c r="A633" s="491" t="n"/>
      <c r="B633" s="491" t="n"/>
      <c r="C633" s="491" t="n"/>
      <c r="D633" s="491" t="n"/>
      <c r="E633" s="491" t="n"/>
      <c r="F633" s="491" t="n"/>
      <c r="G633" s="491" t="n"/>
      <c r="H633" s="491" t="n"/>
      <c r="I633" s="491" t="n"/>
      <c r="J633" s="491" t="n"/>
      <c r="K633" s="491" t="n"/>
      <c r="L633" s="491" t="n"/>
      <c r="M633" s="491" t="n"/>
      <c r="N633" s="491" t="n"/>
      <c r="O633" s="491" t="n"/>
      <c r="P633" s="491" t="n"/>
      <c r="Q633" s="491" t="n"/>
      <c r="R633" s="491" t="n"/>
      <c r="S633" s="491" t="n"/>
      <c r="T633" s="491" t="n"/>
      <c r="U633" s="491" t="n"/>
      <c r="V633" s="491" t="n"/>
      <c r="W633" s="491" t="n"/>
      <c r="X633" s="491" t="n"/>
      <c r="Y633" s="491" t="n"/>
    </row>
    <row r="634" ht="12.75" customHeight="1" s="398">
      <c r="A634" s="491" t="n"/>
      <c r="B634" s="491" t="n"/>
      <c r="C634" s="491" t="n"/>
      <c r="D634" s="491" t="n"/>
      <c r="E634" s="491" t="n"/>
      <c r="F634" s="491" t="n"/>
      <c r="G634" s="491" t="n"/>
      <c r="H634" s="491" t="n"/>
      <c r="I634" s="491" t="n"/>
      <c r="J634" s="491" t="n"/>
      <c r="K634" s="491" t="n"/>
      <c r="L634" s="491" t="n"/>
      <c r="M634" s="491" t="n"/>
      <c r="N634" s="491" t="n"/>
      <c r="O634" s="491" t="n"/>
      <c r="P634" s="491" t="n"/>
      <c r="Q634" s="491" t="n"/>
      <c r="R634" s="491" t="n"/>
      <c r="S634" s="491" t="n"/>
      <c r="T634" s="491" t="n"/>
      <c r="U634" s="491" t="n"/>
      <c r="V634" s="491" t="n"/>
      <c r="W634" s="491" t="n"/>
      <c r="X634" s="491" t="n"/>
      <c r="Y634" s="491" t="n"/>
    </row>
    <row r="635" ht="12.75" customHeight="1" s="398">
      <c r="A635" s="491" t="n"/>
      <c r="B635" s="491" t="n"/>
      <c r="C635" s="491" t="n"/>
      <c r="D635" s="491" t="n"/>
      <c r="E635" s="491" t="n"/>
      <c r="F635" s="491" t="n"/>
      <c r="G635" s="491" t="n"/>
      <c r="H635" s="491" t="n"/>
      <c r="I635" s="491" t="n"/>
      <c r="J635" s="491" t="n"/>
      <c r="K635" s="491" t="n"/>
      <c r="L635" s="491" t="n"/>
      <c r="M635" s="491" t="n"/>
      <c r="N635" s="491" t="n"/>
      <c r="O635" s="491" t="n"/>
      <c r="P635" s="491" t="n"/>
      <c r="Q635" s="491" t="n"/>
      <c r="R635" s="491" t="n"/>
      <c r="S635" s="491" t="n"/>
      <c r="T635" s="491" t="n"/>
      <c r="U635" s="491" t="n"/>
      <c r="V635" s="491" t="n"/>
      <c r="W635" s="491" t="n"/>
      <c r="X635" s="491" t="n"/>
      <c r="Y635" s="491" t="n"/>
    </row>
    <row r="636" ht="12.75" customHeight="1" s="398">
      <c r="A636" s="491" t="n"/>
      <c r="B636" s="491" t="n"/>
      <c r="C636" s="491" t="n"/>
      <c r="D636" s="491" t="n"/>
      <c r="E636" s="491" t="n"/>
      <c r="F636" s="491" t="n"/>
      <c r="G636" s="491" t="n"/>
      <c r="H636" s="491" t="n"/>
      <c r="I636" s="491" t="n"/>
      <c r="J636" s="491" t="n"/>
      <c r="K636" s="491" t="n"/>
      <c r="L636" s="491" t="n"/>
      <c r="M636" s="491" t="n"/>
      <c r="N636" s="491" t="n"/>
      <c r="O636" s="491" t="n"/>
      <c r="P636" s="491" t="n"/>
      <c r="Q636" s="491" t="n"/>
      <c r="R636" s="491" t="n"/>
      <c r="S636" s="491" t="n"/>
      <c r="T636" s="491" t="n"/>
      <c r="U636" s="491" t="n"/>
      <c r="V636" s="491" t="n"/>
      <c r="W636" s="491" t="n"/>
      <c r="X636" s="491" t="n"/>
      <c r="Y636" s="491" t="n"/>
    </row>
    <row r="637" ht="12.75" customHeight="1" s="398">
      <c r="A637" s="491" t="n"/>
      <c r="B637" s="491" t="n"/>
      <c r="C637" s="491" t="n"/>
      <c r="D637" s="491" t="n"/>
      <c r="E637" s="491" t="n"/>
      <c r="F637" s="491" t="n"/>
      <c r="G637" s="491" t="n"/>
      <c r="H637" s="491" t="n"/>
      <c r="I637" s="491" t="n"/>
      <c r="J637" s="491" t="n"/>
      <c r="K637" s="491" t="n"/>
      <c r="L637" s="491" t="n"/>
      <c r="M637" s="491" t="n"/>
      <c r="N637" s="491" t="n"/>
      <c r="O637" s="491" t="n"/>
      <c r="P637" s="491" t="n"/>
      <c r="Q637" s="491" t="n"/>
      <c r="R637" s="491" t="n"/>
      <c r="S637" s="491" t="n"/>
      <c r="T637" s="491" t="n"/>
      <c r="U637" s="491" t="n"/>
      <c r="V637" s="491" t="n"/>
      <c r="W637" s="491" t="n"/>
      <c r="X637" s="491" t="n"/>
      <c r="Y637" s="491" t="n"/>
    </row>
    <row r="638" ht="12.75" customHeight="1" s="398">
      <c r="A638" s="491" t="n"/>
      <c r="B638" s="491" t="n"/>
      <c r="C638" s="491" t="n"/>
      <c r="D638" s="491" t="n"/>
      <c r="E638" s="491" t="n"/>
      <c r="F638" s="491" t="n"/>
      <c r="G638" s="491" t="n"/>
      <c r="H638" s="491" t="n"/>
      <c r="I638" s="491" t="n"/>
      <c r="J638" s="491" t="n"/>
      <c r="K638" s="491" t="n"/>
      <c r="L638" s="491" t="n"/>
      <c r="M638" s="491" t="n"/>
      <c r="N638" s="491" t="n"/>
      <c r="O638" s="491" t="n"/>
      <c r="P638" s="491" t="n"/>
      <c r="Q638" s="491" t="n"/>
      <c r="R638" s="491" t="n"/>
      <c r="S638" s="491" t="n"/>
      <c r="T638" s="491" t="n"/>
      <c r="U638" s="491" t="n"/>
      <c r="V638" s="491" t="n"/>
      <c r="W638" s="491" t="n"/>
      <c r="X638" s="491" t="n"/>
      <c r="Y638" s="491" t="n"/>
    </row>
    <row r="639" ht="12.75" customHeight="1" s="398">
      <c r="A639" s="491" t="n"/>
      <c r="B639" s="491" t="n"/>
      <c r="C639" s="491" t="n"/>
      <c r="D639" s="491" t="n"/>
      <c r="E639" s="491" t="n"/>
      <c r="F639" s="491" t="n"/>
      <c r="G639" s="491" t="n"/>
      <c r="H639" s="491" t="n"/>
      <c r="I639" s="491" t="n"/>
      <c r="J639" s="491" t="n"/>
      <c r="K639" s="491" t="n"/>
      <c r="L639" s="491" t="n"/>
      <c r="M639" s="491" t="n"/>
      <c r="N639" s="491" t="n"/>
      <c r="O639" s="491" t="n"/>
      <c r="P639" s="491" t="n"/>
      <c r="Q639" s="491" t="n"/>
      <c r="R639" s="491" t="n"/>
      <c r="S639" s="491" t="n"/>
      <c r="T639" s="491" t="n"/>
      <c r="U639" s="491" t="n"/>
      <c r="V639" s="491" t="n"/>
      <c r="W639" s="491" t="n"/>
      <c r="X639" s="491" t="n"/>
      <c r="Y639" s="491" t="n"/>
    </row>
    <row r="640" ht="12.75" customHeight="1" s="398">
      <c r="A640" s="491" t="n"/>
      <c r="B640" s="491" t="n"/>
      <c r="C640" s="491" t="n"/>
      <c r="D640" s="491" t="n"/>
      <c r="E640" s="491" t="n"/>
      <c r="F640" s="491" t="n"/>
      <c r="G640" s="491" t="n"/>
      <c r="H640" s="491" t="n"/>
      <c r="I640" s="491" t="n"/>
      <c r="J640" s="491" t="n"/>
      <c r="K640" s="491" t="n"/>
      <c r="L640" s="491" t="n"/>
      <c r="M640" s="491" t="n"/>
      <c r="N640" s="491" t="n"/>
      <c r="O640" s="491" t="n"/>
      <c r="P640" s="491" t="n"/>
      <c r="Q640" s="491" t="n"/>
      <c r="R640" s="491" t="n"/>
      <c r="S640" s="491" t="n"/>
      <c r="T640" s="491" t="n"/>
      <c r="U640" s="491" t="n"/>
      <c r="V640" s="491" t="n"/>
      <c r="W640" s="491" t="n"/>
      <c r="X640" s="491" t="n"/>
      <c r="Y640" s="491" t="n"/>
    </row>
    <row r="641" ht="12.75" customHeight="1" s="398">
      <c r="A641" s="491" t="n"/>
      <c r="B641" s="491" t="n"/>
      <c r="C641" s="491" t="n"/>
      <c r="D641" s="491" t="n"/>
      <c r="E641" s="491" t="n"/>
      <c r="F641" s="491" t="n"/>
      <c r="G641" s="491" t="n"/>
      <c r="H641" s="491" t="n"/>
      <c r="I641" s="491" t="n"/>
      <c r="J641" s="491" t="n"/>
      <c r="K641" s="491" t="n"/>
      <c r="L641" s="491" t="n"/>
      <c r="M641" s="491" t="n"/>
      <c r="N641" s="491" t="n"/>
      <c r="O641" s="491" t="n"/>
      <c r="P641" s="491" t="n"/>
      <c r="Q641" s="491" t="n"/>
      <c r="R641" s="491" t="n"/>
      <c r="S641" s="491" t="n"/>
      <c r="T641" s="491" t="n"/>
      <c r="U641" s="491" t="n"/>
      <c r="V641" s="491" t="n"/>
      <c r="W641" s="491" t="n"/>
      <c r="X641" s="491" t="n"/>
      <c r="Y641" s="491" t="n"/>
    </row>
    <row r="642" ht="12.75" customHeight="1" s="398">
      <c r="A642" s="491" t="n"/>
      <c r="B642" s="491" t="n"/>
      <c r="C642" s="491" t="n"/>
      <c r="D642" s="491" t="n"/>
      <c r="E642" s="491" t="n"/>
      <c r="F642" s="491" t="n"/>
      <c r="G642" s="491" t="n"/>
      <c r="H642" s="491" t="n"/>
      <c r="I642" s="491" t="n"/>
      <c r="J642" s="491" t="n"/>
      <c r="K642" s="491" t="n"/>
      <c r="L642" s="491" t="n"/>
      <c r="M642" s="491" t="n"/>
      <c r="N642" s="491" t="n"/>
      <c r="O642" s="491" t="n"/>
      <c r="P642" s="491" t="n"/>
      <c r="Q642" s="491" t="n"/>
      <c r="R642" s="491" t="n"/>
      <c r="S642" s="491" t="n"/>
      <c r="T642" s="491" t="n"/>
      <c r="U642" s="491" t="n"/>
      <c r="V642" s="491" t="n"/>
      <c r="W642" s="491" t="n"/>
      <c r="X642" s="491" t="n"/>
      <c r="Y642" s="491" t="n"/>
    </row>
    <row r="643" ht="12.75" customHeight="1" s="398">
      <c r="A643" s="491" t="n"/>
      <c r="B643" s="491" t="n"/>
      <c r="C643" s="491" t="n"/>
      <c r="D643" s="491" t="n"/>
      <c r="E643" s="491" t="n"/>
      <c r="F643" s="491" t="n"/>
      <c r="G643" s="491" t="n"/>
      <c r="H643" s="491" t="n"/>
      <c r="I643" s="491" t="n"/>
      <c r="J643" s="491" t="n"/>
      <c r="K643" s="491" t="n"/>
      <c r="L643" s="491" t="n"/>
      <c r="M643" s="491" t="n"/>
      <c r="N643" s="491" t="n"/>
      <c r="O643" s="491" t="n"/>
      <c r="P643" s="491" t="n"/>
      <c r="Q643" s="491" t="n"/>
      <c r="R643" s="491" t="n"/>
      <c r="S643" s="491" t="n"/>
      <c r="T643" s="491" t="n"/>
      <c r="U643" s="491" t="n"/>
      <c r="V643" s="491" t="n"/>
      <c r="W643" s="491" t="n"/>
      <c r="X643" s="491" t="n"/>
      <c r="Y643" s="491" t="n"/>
    </row>
    <row r="644" ht="12.75" customHeight="1" s="398">
      <c r="A644" s="491" t="n"/>
      <c r="B644" s="491" t="n"/>
      <c r="C644" s="491" t="n"/>
      <c r="D644" s="491" t="n"/>
      <c r="E644" s="491" t="n"/>
      <c r="F644" s="491" t="n"/>
      <c r="G644" s="491" t="n"/>
      <c r="H644" s="491" t="n"/>
      <c r="I644" s="491" t="n"/>
      <c r="J644" s="491" t="n"/>
      <c r="K644" s="491" t="n"/>
      <c r="L644" s="491" t="n"/>
      <c r="M644" s="491" t="n"/>
      <c r="N644" s="491" t="n"/>
      <c r="O644" s="491" t="n"/>
      <c r="P644" s="491" t="n"/>
      <c r="Q644" s="491" t="n"/>
      <c r="R644" s="491" t="n"/>
      <c r="S644" s="491" t="n"/>
      <c r="T644" s="491" t="n"/>
      <c r="U644" s="491" t="n"/>
      <c r="V644" s="491" t="n"/>
      <c r="W644" s="491" t="n"/>
      <c r="X644" s="491" t="n"/>
      <c r="Y644" s="491" t="n"/>
    </row>
    <row r="645" ht="12.75" customHeight="1" s="398">
      <c r="A645" s="491" t="n"/>
      <c r="B645" s="491" t="n"/>
      <c r="C645" s="491" t="n"/>
      <c r="D645" s="491" t="n"/>
      <c r="E645" s="491" t="n"/>
      <c r="F645" s="491" t="n"/>
      <c r="G645" s="491" t="n"/>
      <c r="H645" s="491" t="n"/>
      <c r="I645" s="491" t="n"/>
      <c r="J645" s="491" t="n"/>
      <c r="K645" s="491" t="n"/>
      <c r="L645" s="491" t="n"/>
      <c r="M645" s="491" t="n"/>
      <c r="N645" s="491" t="n"/>
      <c r="O645" s="491" t="n"/>
      <c r="P645" s="491" t="n"/>
      <c r="Q645" s="491" t="n"/>
      <c r="R645" s="491" t="n"/>
      <c r="S645" s="491" t="n"/>
      <c r="T645" s="491" t="n"/>
      <c r="U645" s="491" t="n"/>
      <c r="V645" s="491" t="n"/>
      <c r="W645" s="491" t="n"/>
      <c r="X645" s="491" t="n"/>
      <c r="Y645" s="491" t="n"/>
    </row>
    <row r="646" ht="12.75" customHeight="1" s="398">
      <c r="A646" s="491" t="n"/>
      <c r="B646" s="491" t="n"/>
      <c r="C646" s="491" t="n"/>
      <c r="D646" s="491" t="n"/>
      <c r="E646" s="491" t="n"/>
      <c r="F646" s="491" t="n"/>
      <c r="G646" s="491" t="n"/>
      <c r="H646" s="491" t="n"/>
      <c r="I646" s="491" t="n"/>
      <c r="J646" s="491" t="n"/>
      <c r="K646" s="491" t="n"/>
      <c r="L646" s="491" t="n"/>
      <c r="M646" s="491" t="n"/>
      <c r="N646" s="491" t="n"/>
      <c r="O646" s="491" t="n"/>
      <c r="P646" s="491" t="n"/>
      <c r="Q646" s="491" t="n"/>
      <c r="R646" s="491" t="n"/>
      <c r="S646" s="491" t="n"/>
      <c r="T646" s="491" t="n"/>
      <c r="U646" s="491" t="n"/>
      <c r="V646" s="491" t="n"/>
      <c r="W646" s="491" t="n"/>
      <c r="X646" s="491" t="n"/>
      <c r="Y646" s="491" t="n"/>
    </row>
    <row r="647" ht="12.75" customHeight="1" s="398">
      <c r="A647" s="491" t="n"/>
      <c r="B647" s="491" t="n"/>
      <c r="C647" s="491" t="n"/>
      <c r="D647" s="491" t="n"/>
      <c r="E647" s="491" t="n"/>
      <c r="F647" s="491" t="n"/>
      <c r="G647" s="491" t="n"/>
      <c r="H647" s="491" t="n"/>
      <c r="I647" s="491" t="n"/>
      <c r="J647" s="491" t="n"/>
      <c r="K647" s="491" t="n"/>
      <c r="L647" s="491" t="n"/>
      <c r="M647" s="491" t="n"/>
      <c r="N647" s="491" t="n"/>
      <c r="O647" s="491" t="n"/>
      <c r="P647" s="491" t="n"/>
      <c r="Q647" s="491" t="n"/>
      <c r="R647" s="491" t="n"/>
      <c r="S647" s="491" t="n"/>
      <c r="T647" s="491" t="n"/>
      <c r="U647" s="491" t="n"/>
      <c r="V647" s="491" t="n"/>
      <c r="W647" s="491" t="n"/>
      <c r="X647" s="491" t="n"/>
      <c r="Y647" s="491" t="n"/>
    </row>
    <row r="648" ht="12.75" customHeight="1" s="398">
      <c r="A648" s="491" t="n"/>
      <c r="B648" s="491" t="n"/>
      <c r="C648" s="491" t="n"/>
      <c r="D648" s="491" t="n"/>
      <c r="E648" s="491" t="n"/>
      <c r="F648" s="491" t="n"/>
      <c r="G648" s="491" t="n"/>
      <c r="H648" s="491" t="n"/>
      <c r="I648" s="491" t="n"/>
      <c r="J648" s="491" t="n"/>
      <c r="K648" s="491" t="n"/>
      <c r="L648" s="491" t="n"/>
      <c r="M648" s="491" t="n"/>
      <c r="N648" s="491" t="n"/>
      <c r="O648" s="491" t="n"/>
      <c r="P648" s="491" t="n"/>
      <c r="Q648" s="491" t="n"/>
      <c r="R648" s="491" t="n"/>
      <c r="S648" s="491" t="n"/>
      <c r="T648" s="491" t="n"/>
      <c r="U648" s="491" t="n"/>
      <c r="V648" s="491" t="n"/>
      <c r="W648" s="491" t="n"/>
      <c r="X648" s="491" t="n"/>
      <c r="Y648" s="491" t="n"/>
    </row>
    <row r="649" ht="12.75" customHeight="1" s="398">
      <c r="A649" s="491" t="n"/>
      <c r="B649" s="491" t="n"/>
      <c r="C649" s="491" t="n"/>
      <c r="D649" s="491" t="n"/>
      <c r="E649" s="491" t="n"/>
      <c r="F649" s="491" t="n"/>
      <c r="G649" s="491" t="n"/>
      <c r="H649" s="491" t="n"/>
      <c r="I649" s="491" t="n"/>
      <c r="J649" s="491" t="n"/>
      <c r="K649" s="491" t="n"/>
      <c r="L649" s="491" t="n"/>
      <c r="M649" s="491" t="n"/>
      <c r="N649" s="491" t="n"/>
      <c r="O649" s="491" t="n"/>
      <c r="P649" s="491" t="n"/>
      <c r="Q649" s="491" t="n"/>
      <c r="R649" s="491" t="n"/>
      <c r="S649" s="491" t="n"/>
      <c r="T649" s="491" t="n"/>
      <c r="U649" s="491" t="n"/>
      <c r="V649" s="491" t="n"/>
      <c r="W649" s="491" t="n"/>
      <c r="X649" s="491" t="n"/>
      <c r="Y649" s="491" t="n"/>
    </row>
    <row r="650" ht="12.75" customHeight="1" s="398">
      <c r="A650" s="491" t="n"/>
      <c r="B650" s="491" t="n"/>
      <c r="C650" s="491" t="n"/>
      <c r="D650" s="491" t="n"/>
      <c r="E650" s="491" t="n"/>
      <c r="F650" s="491" t="n"/>
      <c r="G650" s="491" t="n"/>
      <c r="H650" s="491" t="n"/>
      <c r="I650" s="491" t="n"/>
      <c r="J650" s="491" t="n"/>
      <c r="K650" s="491" t="n"/>
      <c r="L650" s="491" t="n"/>
      <c r="M650" s="491" t="n"/>
      <c r="N650" s="491" t="n"/>
      <c r="O650" s="491" t="n"/>
      <c r="P650" s="491" t="n"/>
      <c r="Q650" s="491" t="n"/>
      <c r="R650" s="491" t="n"/>
      <c r="S650" s="491" t="n"/>
      <c r="T650" s="491" t="n"/>
      <c r="U650" s="491" t="n"/>
      <c r="V650" s="491" t="n"/>
      <c r="W650" s="491" t="n"/>
      <c r="X650" s="491" t="n"/>
      <c r="Y650" s="491" t="n"/>
    </row>
    <row r="651" ht="12.75" customHeight="1" s="398">
      <c r="A651" s="491" t="n"/>
      <c r="B651" s="491" t="n"/>
      <c r="C651" s="491" t="n"/>
      <c r="D651" s="491" t="n"/>
      <c r="E651" s="491" t="n"/>
      <c r="F651" s="491" t="n"/>
      <c r="G651" s="491" t="n"/>
      <c r="H651" s="491" t="n"/>
      <c r="I651" s="491" t="n"/>
      <c r="J651" s="491" t="n"/>
      <c r="K651" s="491" t="n"/>
      <c r="L651" s="491" t="n"/>
      <c r="M651" s="491" t="n"/>
      <c r="N651" s="491" t="n"/>
      <c r="O651" s="491" t="n"/>
      <c r="P651" s="491" t="n"/>
      <c r="Q651" s="491" t="n"/>
      <c r="R651" s="491" t="n"/>
      <c r="S651" s="491" t="n"/>
      <c r="T651" s="491" t="n"/>
      <c r="U651" s="491" t="n"/>
      <c r="V651" s="491" t="n"/>
      <c r="W651" s="491" t="n"/>
      <c r="X651" s="491" t="n"/>
      <c r="Y651" s="491" t="n"/>
    </row>
    <row r="652" ht="12.75" customHeight="1" s="398">
      <c r="A652" s="491" t="n"/>
      <c r="B652" s="491" t="n"/>
      <c r="C652" s="491" t="n"/>
      <c r="D652" s="491" t="n"/>
      <c r="E652" s="491" t="n"/>
      <c r="F652" s="491" t="n"/>
      <c r="G652" s="491" t="n"/>
      <c r="H652" s="491" t="n"/>
      <c r="I652" s="491" t="n"/>
      <c r="J652" s="491" t="n"/>
      <c r="K652" s="491" t="n"/>
      <c r="L652" s="491" t="n"/>
      <c r="M652" s="491" t="n"/>
      <c r="N652" s="491" t="n"/>
      <c r="O652" s="491" t="n"/>
      <c r="P652" s="491" t="n"/>
      <c r="Q652" s="491" t="n"/>
      <c r="R652" s="491" t="n"/>
      <c r="S652" s="491" t="n"/>
      <c r="T652" s="491" t="n"/>
      <c r="U652" s="491" t="n"/>
      <c r="V652" s="491" t="n"/>
      <c r="W652" s="491" t="n"/>
      <c r="X652" s="491" t="n"/>
      <c r="Y652" s="491" t="n"/>
    </row>
    <row r="653" ht="12.75" customHeight="1" s="398">
      <c r="A653" s="491" t="n"/>
      <c r="B653" s="491" t="n"/>
      <c r="C653" s="491" t="n"/>
      <c r="D653" s="491" t="n"/>
      <c r="E653" s="491" t="n"/>
      <c r="F653" s="491" t="n"/>
      <c r="G653" s="491" t="n"/>
      <c r="H653" s="491" t="n"/>
      <c r="I653" s="491" t="n"/>
      <c r="J653" s="491" t="n"/>
      <c r="K653" s="491" t="n"/>
      <c r="L653" s="491" t="n"/>
      <c r="M653" s="491" t="n"/>
      <c r="N653" s="491" t="n"/>
      <c r="O653" s="491" t="n"/>
      <c r="P653" s="491" t="n"/>
      <c r="Q653" s="491" t="n"/>
      <c r="R653" s="491" t="n"/>
      <c r="S653" s="491" t="n"/>
      <c r="T653" s="491" t="n"/>
      <c r="U653" s="491" t="n"/>
      <c r="V653" s="491" t="n"/>
      <c r="W653" s="491" t="n"/>
      <c r="X653" s="491" t="n"/>
      <c r="Y653" s="491" t="n"/>
    </row>
    <row r="654" ht="12.75" customHeight="1" s="398">
      <c r="A654" s="491" t="n"/>
      <c r="B654" s="491" t="n"/>
      <c r="C654" s="491" t="n"/>
      <c r="D654" s="491" t="n"/>
      <c r="E654" s="491" t="n"/>
      <c r="F654" s="491" t="n"/>
      <c r="G654" s="491" t="n"/>
      <c r="H654" s="491" t="n"/>
      <c r="I654" s="491" t="n"/>
      <c r="J654" s="491" t="n"/>
      <c r="K654" s="491" t="n"/>
      <c r="L654" s="491" t="n"/>
      <c r="M654" s="491" t="n"/>
      <c r="N654" s="491" t="n"/>
      <c r="O654" s="491" t="n"/>
      <c r="P654" s="491" t="n"/>
      <c r="Q654" s="491" t="n"/>
      <c r="R654" s="491" t="n"/>
      <c r="S654" s="491" t="n"/>
      <c r="T654" s="491" t="n"/>
      <c r="U654" s="491" t="n"/>
      <c r="V654" s="491" t="n"/>
      <c r="W654" s="491" t="n"/>
      <c r="X654" s="491" t="n"/>
      <c r="Y654" s="491" t="n"/>
    </row>
    <row r="655" ht="12.75" customHeight="1" s="398">
      <c r="A655" s="491" t="n"/>
      <c r="B655" s="491" t="n"/>
      <c r="C655" s="491" t="n"/>
      <c r="D655" s="491" t="n"/>
      <c r="E655" s="491" t="n"/>
      <c r="F655" s="491" t="n"/>
      <c r="G655" s="491" t="n"/>
      <c r="H655" s="491" t="n"/>
      <c r="I655" s="491" t="n"/>
      <c r="J655" s="491" t="n"/>
      <c r="K655" s="491" t="n"/>
      <c r="L655" s="491" t="n"/>
      <c r="M655" s="491" t="n"/>
      <c r="N655" s="491" t="n"/>
      <c r="O655" s="491" t="n"/>
      <c r="P655" s="491" t="n"/>
      <c r="Q655" s="491" t="n"/>
      <c r="R655" s="491" t="n"/>
      <c r="S655" s="491" t="n"/>
      <c r="T655" s="491" t="n"/>
      <c r="U655" s="491" t="n"/>
      <c r="V655" s="491" t="n"/>
      <c r="W655" s="491" t="n"/>
      <c r="X655" s="491" t="n"/>
      <c r="Y655" s="491" t="n"/>
    </row>
    <row r="656" ht="12.75" customHeight="1" s="398">
      <c r="A656" s="491" t="n"/>
      <c r="B656" s="491" t="n"/>
      <c r="C656" s="491" t="n"/>
      <c r="D656" s="491" t="n"/>
      <c r="E656" s="491" t="n"/>
      <c r="F656" s="491" t="n"/>
      <c r="G656" s="491" t="n"/>
      <c r="H656" s="491" t="n"/>
      <c r="I656" s="491" t="n"/>
      <c r="J656" s="491" t="n"/>
      <c r="K656" s="491" t="n"/>
      <c r="L656" s="491" t="n"/>
      <c r="M656" s="491" t="n"/>
      <c r="N656" s="491" t="n"/>
      <c r="O656" s="491" t="n"/>
      <c r="P656" s="491" t="n"/>
      <c r="Q656" s="491" t="n"/>
      <c r="R656" s="491" t="n"/>
      <c r="S656" s="491" t="n"/>
      <c r="T656" s="491" t="n"/>
      <c r="U656" s="491" t="n"/>
      <c r="V656" s="491" t="n"/>
      <c r="W656" s="491" t="n"/>
      <c r="X656" s="491" t="n"/>
      <c r="Y656" s="491" t="n"/>
    </row>
    <row r="657" ht="12.75" customHeight="1" s="398">
      <c r="A657" s="491" t="n"/>
      <c r="B657" s="491" t="n"/>
      <c r="C657" s="491" t="n"/>
      <c r="D657" s="491" t="n"/>
      <c r="E657" s="491" t="n"/>
      <c r="F657" s="491" t="n"/>
      <c r="G657" s="491" t="n"/>
      <c r="H657" s="491" t="n"/>
      <c r="I657" s="491" t="n"/>
      <c r="J657" s="491" t="n"/>
      <c r="K657" s="491" t="n"/>
      <c r="L657" s="491" t="n"/>
      <c r="M657" s="491" t="n"/>
      <c r="N657" s="491" t="n"/>
      <c r="O657" s="491" t="n"/>
      <c r="P657" s="491" t="n"/>
      <c r="Q657" s="491" t="n"/>
      <c r="R657" s="491" t="n"/>
      <c r="S657" s="491" t="n"/>
      <c r="T657" s="491" t="n"/>
      <c r="U657" s="491" t="n"/>
      <c r="V657" s="491" t="n"/>
      <c r="W657" s="491" t="n"/>
      <c r="X657" s="491" t="n"/>
      <c r="Y657" s="491" t="n"/>
    </row>
    <row r="658" ht="12.75" customHeight="1" s="398">
      <c r="A658" s="491" t="n"/>
      <c r="B658" s="491" t="n"/>
      <c r="C658" s="491" t="n"/>
      <c r="D658" s="491" t="n"/>
      <c r="E658" s="491" t="n"/>
      <c r="F658" s="491" t="n"/>
      <c r="G658" s="491" t="n"/>
      <c r="H658" s="491" t="n"/>
      <c r="I658" s="491" t="n"/>
      <c r="J658" s="491" t="n"/>
      <c r="K658" s="491" t="n"/>
      <c r="L658" s="491" t="n"/>
      <c r="M658" s="491" t="n"/>
      <c r="N658" s="491" t="n"/>
      <c r="O658" s="491" t="n"/>
      <c r="P658" s="491" t="n"/>
      <c r="Q658" s="491" t="n"/>
      <c r="R658" s="491" t="n"/>
      <c r="S658" s="491" t="n"/>
      <c r="T658" s="491" t="n"/>
      <c r="U658" s="491" t="n"/>
      <c r="V658" s="491" t="n"/>
      <c r="W658" s="491" t="n"/>
      <c r="X658" s="491" t="n"/>
      <c r="Y658" s="491" t="n"/>
    </row>
    <row r="659" ht="12.75" customHeight="1" s="398">
      <c r="A659" s="491" t="n"/>
      <c r="B659" s="491" t="n"/>
      <c r="C659" s="491" t="n"/>
      <c r="D659" s="491" t="n"/>
      <c r="E659" s="491" t="n"/>
      <c r="F659" s="491" t="n"/>
      <c r="G659" s="491" t="n"/>
      <c r="H659" s="491" t="n"/>
      <c r="I659" s="491" t="n"/>
      <c r="J659" s="491" t="n"/>
      <c r="K659" s="491" t="n"/>
      <c r="L659" s="491" t="n"/>
      <c r="M659" s="491" t="n"/>
      <c r="N659" s="491" t="n"/>
      <c r="O659" s="491" t="n"/>
      <c r="P659" s="491" t="n"/>
      <c r="Q659" s="491" t="n"/>
      <c r="R659" s="491" t="n"/>
      <c r="S659" s="491" t="n"/>
      <c r="T659" s="491" t="n"/>
      <c r="U659" s="491" t="n"/>
      <c r="V659" s="491" t="n"/>
      <c r="W659" s="491" t="n"/>
      <c r="X659" s="491" t="n"/>
      <c r="Y659" s="491" t="n"/>
    </row>
    <row r="660" ht="12.75" customHeight="1" s="398">
      <c r="A660" s="491" t="n"/>
      <c r="B660" s="491" t="n"/>
      <c r="C660" s="491" t="n"/>
      <c r="D660" s="491" t="n"/>
      <c r="E660" s="491" t="n"/>
      <c r="F660" s="491" t="n"/>
      <c r="G660" s="491" t="n"/>
      <c r="H660" s="491" t="n"/>
      <c r="I660" s="491" t="n"/>
      <c r="J660" s="491" t="n"/>
      <c r="K660" s="491" t="n"/>
      <c r="L660" s="491" t="n"/>
      <c r="M660" s="491" t="n"/>
      <c r="N660" s="491" t="n"/>
      <c r="O660" s="491" t="n"/>
      <c r="P660" s="491" t="n"/>
      <c r="Q660" s="491" t="n"/>
      <c r="R660" s="491" t="n"/>
      <c r="S660" s="491" t="n"/>
      <c r="T660" s="491" t="n"/>
      <c r="U660" s="491" t="n"/>
      <c r="V660" s="491" t="n"/>
      <c r="W660" s="491" t="n"/>
      <c r="X660" s="491" t="n"/>
      <c r="Y660" s="491" t="n"/>
    </row>
    <row r="661" ht="12.75" customHeight="1" s="398">
      <c r="A661" s="491" t="n"/>
      <c r="B661" s="491" t="n"/>
      <c r="C661" s="491" t="n"/>
      <c r="D661" s="491" t="n"/>
      <c r="E661" s="491" t="n"/>
      <c r="F661" s="491" t="n"/>
      <c r="G661" s="491" t="n"/>
      <c r="H661" s="491" t="n"/>
      <c r="I661" s="491" t="n"/>
      <c r="J661" s="491" t="n"/>
      <c r="K661" s="491" t="n"/>
      <c r="L661" s="491" t="n"/>
      <c r="M661" s="491" t="n"/>
      <c r="N661" s="491" t="n"/>
      <c r="O661" s="491" t="n"/>
      <c r="P661" s="491" t="n"/>
      <c r="Q661" s="491" t="n"/>
      <c r="R661" s="491" t="n"/>
      <c r="S661" s="491" t="n"/>
      <c r="T661" s="491" t="n"/>
      <c r="U661" s="491" t="n"/>
      <c r="V661" s="491" t="n"/>
      <c r="W661" s="491" t="n"/>
      <c r="X661" s="491" t="n"/>
      <c r="Y661" s="491" t="n"/>
    </row>
    <row r="662" ht="12.75" customHeight="1" s="398">
      <c r="A662" s="491" t="n"/>
      <c r="B662" s="491" t="n"/>
      <c r="C662" s="491" t="n"/>
      <c r="D662" s="491" t="n"/>
      <c r="E662" s="491" t="n"/>
      <c r="F662" s="491" t="n"/>
      <c r="G662" s="491" t="n"/>
      <c r="H662" s="491" t="n"/>
      <c r="I662" s="491" t="n"/>
      <c r="J662" s="491" t="n"/>
      <c r="K662" s="491" t="n"/>
      <c r="L662" s="491" t="n"/>
      <c r="M662" s="491" t="n"/>
      <c r="N662" s="491" t="n"/>
      <c r="O662" s="491" t="n"/>
      <c r="P662" s="491" t="n"/>
      <c r="Q662" s="491" t="n"/>
      <c r="R662" s="491" t="n"/>
      <c r="S662" s="491" t="n"/>
      <c r="T662" s="491" t="n"/>
      <c r="U662" s="491" t="n"/>
      <c r="V662" s="491" t="n"/>
      <c r="W662" s="491" t="n"/>
      <c r="X662" s="491" t="n"/>
      <c r="Y662" s="491" t="n"/>
    </row>
    <row r="663" ht="12.75" customHeight="1" s="398">
      <c r="A663" s="491" t="n"/>
      <c r="B663" s="491" t="n"/>
      <c r="C663" s="491" t="n"/>
      <c r="D663" s="491" t="n"/>
      <c r="E663" s="491" t="n"/>
      <c r="F663" s="491" t="n"/>
      <c r="G663" s="491" t="n"/>
      <c r="H663" s="491" t="n"/>
      <c r="I663" s="491" t="n"/>
      <c r="J663" s="491" t="n"/>
      <c r="K663" s="491" t="n"/>
      <c r="L663" s="491" t="n"/>
      <c r="M663" s="491" t="n"/>
      <c r="N663" s="491" t="n"/>
      <c r="O663" s="491" t="n"/>
      <c r="P663" s="491" t="n"/>
      <c r="Q663" s="491" t="n"/>
      <c r="R663" s="491" t="n"/>
      <c r="S663" s="491" t="n"/>
      <c r="T663" s="491" t="n"/>
      <c r="U663" s="491" t="n"/>
      <c r="V663" s="491" t="n"/>
      <c r="W663" s="491" t="n"/>
      <c r="X663" s="491" t="n"/>
      <c r="Y663" s="491" t="n"/>
    </row>
    <row r="664" ht="12.75" customHeight="1" s="398">
      <c r="A664" s="491" t="n"/>
      <c r="B664" s="491" t="n"/>
      <c r="C664" s="491" t="n"/>
      <c r="D664" s="491" t="n"/>
      <c r="E664" s="491" t="n"/>
      <c r="F664" s="491" t="n"/>
      <c r="G664" s="491" t="n"/>
      <c r="H664" s="491" t="n"/>
      <c r="I664" s="491" t="n"/>
      <c r="J664" s="491" t="n"/>
      <c r="K664" s="491" t="n"/>
      <c r="L664" s="491" t="n"/>
      <c r="M664" s="491" t="n"/>
      <c r="N664" s="491" t="n"/>
      <c r="O664" s="491" t="n"/>
      <c r="P664" s="491" t="n"/>
      <c r="Q664" s="491" t="n"/>
      <c r="R664" s="491" t="n"/>
      <c r="S664" s="491" t="n"/>
      <c r="T664" s="491" t="n"/>
      <c r="U664" s="491" t="n"/>
      <c r="V664" s="491" t="n"/>
      <c r="W664" s="491" t="n"/>
      <c r="X664" s="491" t="n"/>
      <c r="Y664" s="491" t="n"/>
    </row>
    <row r="665" ht="12.75" customHeight="1" s="398">
      <c r="A665" s="491" t="n"/>
      <c r="B665" s="491" t="n"/>
      <c r="C665" s="491" t="n"/>
      <c r="D665" s="491" t="n"/>
      <c r="E665" s="491" t="n"/>
      <c r="F665" s="491" t="n"/>
      <c r="G665" s="491" t="n"/>
      <c r="H665" s="491" t="n"/>
      <c r="I665" s="491" t="n"/>
      <c r="J665" s="491" t="n"/>
      <c r="K665" s="491" t="n"/>
      <c r="L665" s="491" t="n"/>
      <c r="M665" s="491" t="n"/>
      <c r="N665" s="491" t="n"/>
      <c r="O665" s="491" t="n"/>
      <c r="P665" s="491" t="n"/>
      <c r="Q665" s="491" t="n"/>
      <c r="R665" s="491" t="n"/>
      <c r="S665" s="491" t="n"/>
      <c r="T665" s="491" t="n"/>
      <c r="U665" s="491" t="n"/>
      <c r="V665" s="491" t="n"/>
      <c r="W665" s="491" t="n"/>
      <c r="X665" s="491" t="n"/>
      <c r="Y665" s="491" t="n"/>
    </row>
    <row r="666" ht="12.75" customHeight="1" s="398">
      <c r="A666" s="491" t="n"/>
      <c r="B666" s="491" t="n"/>
      <c r="C666" s="491" t="n"/>
      <c r="D666" s="491" t="n"/>
      <c r="E666" s="491" t="n"/>
      <c r="F666" s="491" t="n"/>
      <c r="G666" s="491" t="n"/>
      <c r="H666" s="491" t="n"/>
      <c r="I666" s="491" t="n"/>
      <c r="J666" s="491" t="n"/>
      <c r="K666" s="491" t="n"/>
      <c r="L666" s="491" t="n"/>
      <c r="M666" s="491" t="n"/>
      <c r="N666" s="491" t="n"/>
      <c r="O666" s="491" t="n"/>
      <c r="P666" s="491" t="n"/>
      <c r="Q666" s="491" t="n"/>
      <c r="R666" s="491" t="n"/>
      <c r="S666" s="491" t="n"/>
      <c r="T666" s="491" t="n"/>
      <c r="U666" s="491" t="n"/>
      <c r="V666" s="491" t="n"/>
      <c r="W666" s="491" t="n"/>
      <c r="X666" s="491" t="n"/>
      <c r="Y666" s="491" t="n"/>
    </row>
    <row r="667" ht="12.75" customHeight="1" s="398">
      <c r="A667" s="491" t="n"/>
      <c r="B667" s="491" t="n"/>
      <c r="C667" s="491" t="n"/>
      <c r="D667" s="491" t="n"/>
      <c r="E667" s="491" t="n"/>
      <c r="F667" s="491" t="n"/>
      <c r="G667" s="491" t="n"/>
      <c r="H667" s="491" t="n"/>
      <c r="I667" s="491" t="n"/>
      <c r="J667" s="491" t="n"/>
      <c r="K667" s="491" t="n"/>
      <c r="L667" s="491" t="n"/>
      <c r="M667" s="491" t="n"/>
      <c r="N667" s="491" t="n"/>
      <c r="O667" s="491" t="n"/>
      <c r="P667" s="491" t="n"/>
      <c r="Q667" s="491" t="n"/>
      <c r="R667" s="491" t="n"/>
      <c r="S667" s="491" t="n"/>
      <c r="T667" s="491" t="n"/>
      <c r="U667" s="491" t="n"/>
      <c r="V667" s="491" t="n"/>
      <c r="W667" s="491" t="n"/>
      <c r="X667" s="491" t="n"/>
      <c r="Y667" s="491" t="n"/>
    </row>
    <row r="668" ht="12.75" customHeight="1" s="398">
      <c r="A668" s="491" t="n"/>
      <c r="B668" s="491" t="n"/>
      <c r="C668" s="491" t="n"/>
      <c r="D668" s="491" t="n"/>
      <c r="E668" s="491" t="n"/>
      <c r="F668" s="491" t="n"/>
      <c r="G668" s="491" t="n"/>
      <c r="H668" s="491" t="n"/>
      <c r="I668" s="491" t="n"/>
      <c r="J668" s="491" t="n"/>
      <c r="K668" s="491" t="n"/>
      <c r="L668" s="491" t="n"/>
      <c r="M668" s="491" t="n"/>
      <c r="N668" s="491" t="n"/>
      <c r="O668" s="491" t="n"/>
      <c r="P668" s="491" t="n"/>
      <c r="Q668" s="491" t="n"/>
      <c r="R668" s="491" t="n"/>
      <c r="S668" s="491" t="n"/>
      <c r="T668" s="491" t="n"/>
      <c r="U668" s="491" t="n"/>
      <c r="V668" s="491" t="n"/>
      <c r="W668" s="491" t="n"/>
      <c r="X668" s="491" t="n"/>
      <c r="Y668" s="491" t="n"/>
    </row>
    <row r="669" ht="12.75" customHeight="1" s="398">
      <c r="A669" s="491" t="n"/>
      <c r="B669" s="491" t="n"/>
      <c r="C669" s="491" t="n"/>
      <c r="D669" s="491" t="n"/>
      <c r="E669" s="491" t="n"/>
      <c r="F669" s="491" t="n"/>
      <c r="G669" s="491" t="n"/>
      <c r="H669" s="491" t="n"/>
      <c r="I669" s="491" t="n"/>
      <c r="J669" s="491" t="n"/>
      <c r="K669" s="491" t="n"/>
      <c r="L669" s="491" t="n"/>
      <c r="M669" s="491" t="n"/>
      <c r="N669" s="491" t="n"/>
      <c r="O669" s="491" t="n"/>
      <c r="P669" s="491" t="n"/>
      <c r="Q669" s="491" t="n"/>
      <c r="R669" s="491" t="n"/>
      <c r="S669" s="491" t="n"/>
      <c r="T669" s="491" t="n"/>
      <c r="U669" s="491" t="n"/>
      <c r="V669" s="491" t="n"/>
      <c r="W669" s="491" t="n"/>
      <c r="X669" s="491" t="n"/>
      <c r="Y669" s="491" t="n"/>
    </row>
    <row r="670" ht="12.75" customHeight="1" s="398">
      <c r="A670" s="491" t="n"/>
      <c r="B670" s="491" t="n"/>
      <c r="C670" s="491" t="n"/>
      <c r="D670" s="491" t="n"/>
      <c r="E670" s="491" t="n"/>
      <c r="F670" s="491" t="n"/>
      <c r="G670" s="491" t="n"/>
      <c r="H670" s="491" t="n"/>
      <c r="I670" s="491" t="n"/>
      <c r="J670" s="491" t="n"/>
      <c r="K670" s="491" t="n"/>
      <c r="L670" s="491" t="n"/>
      <c r="M670" s="491" t="n"/>
      <c r="N670" s="491" t="n"/>
      <c r="O670" s="491" t="n"/>
      <c r="P670" s="491" t="n"/>
      <c r="Q670" s="491" t="n"/>
      <c r="R670" s="491" t="n"/>
      <c r="S670" s="491" t="n"/>
      <c r="T670" s="491" t="n"/>
      <c r="U670" s="491" t="n"/>
      <c r="V670" s="491" t="n"/>
      <c r="W670" s="491" t="n"/>
      <c r="X670" s="491" t="n"/>
      <c r="Y670" s="491" t="n"/>
    </row>
    <row r="671" ht="12.75" customHeight="1" s="398">
      <c r="A671" s="491" t="n"/>
      <c r="B671" s="491" t="n"/>
      <c r="C671" s="491" t="n"/>
      <c r="D671" s="491" t="n"/>
      <c r="E671" s="491" t="n"/>
      <c r="F671" s="491" t="n"/>
      <c r="G671" s="491" t="n"/>
      <c r="H671" s="491" t="n"/>
      <c r="I671" s="491" t="n"/>
      <c r="J671" s="491" t="n"/>
      <c r="K671" s="491" t="n"/>
      <c r="L671" s="491" t="n"/>
      <c r="M671" s="491" t="n"/>
      <c r="N671" s="491" t="n"/>
      <c r="O671" s="491" t="n"/>
      <c r="P671" s="491" t="n"/>
      <c r="Q671" s="491" t="n"/>
      <c r="R671" s="491" t="n"/>
      <c r="S671" s="491" t="n"/>
      <c r="T671" s="491" t="n"/>
      <c r="U671" s="491" t="n"/>
      <c r="V671" s="491" t="n"/>
      <c r="W671" s="491" t="n"/>
      <c r="X671" s="491" t="n"/>
      <c r="Y671" s="491" t="n"/>
    </row>
    <row r="672" ht="12.75" customHeight="1" s="398">
      <c r="A672" s="491" t="n"/>
      <c r="B672" s="491" t="n"/>
      <c r="C672" s="491" t="n"/>
      <c r="D672" s="491" t="n"/>
      <c r="E672" s="491" t="n"/>
      <c r="F672" s="491" t="n"/>
      <c r="G672" s="491" t="n"/>
      <c r="H672" s="491" t="n"/>
      <c r="I672" s="491" t="n"/>
      <c r="J672" s="491" t="n"/>
      <c r="K672" s="491" t="n"/>
      <c r="L672" s="491" t="n"/>
      <c r="M672" s="491" t="n"/>
      <c r="N672" s="491" t="n"/>
      <c r="O672" s="491" t="n"/>
      <c r="P672" s="491" t="n"/>
      <c r="Q672" s="491" t="n"/>
      <c r="R672" s="491" t="n"/>
      <c r="S672" s="491" t="n"/>
      <c r="T672" s="491" t="n"/>
      <c r="U672" s="491" t="n"/>
      <c r="V672" s="491" t="n"/>
      <c r="W672" s="491" t="n"/>
      <c r="X672" s="491" t="n"/>
      <c r="Y672" s="491" t="n"/>
    </row>
    <row r="673" ht="12.75" customHeight="1" s="398">
      <c r="A673" s="491" t="n"/>
      <c r="B673" s="491" t="n"/>
      <c r="C673" s="491" t="n"/>
      <c r="D673" s="491" t="n"/>
      <c r="E673" s="491" t="n"/>
      <c r="F673" s="491" t="n"/>
      <c r="G673" s="491" t="n"/>
      <c r="H673" s="491" t="n"/>
      <c r="I673" s="491" t="n"/>
      <c r="J673" s="491" t="n"/>
      <c r="K673" s="491" t="n"/>
      <c r="L673" s="491" t="n"/>
      <c r="M673" s="491" t="n"/>
      <c r="N673" s="491" t="n"/>
      <c r="O673" s="491" t="n"/>
      <c r="P673" s="491" t="n"/>
      <c r="Q673" s="491" t="n"/>
      <c r="R673" s="491" t="n"/>
      <c r="S673" s="491" t="n"/>
      <c r="T673" s="491" t="n"/>
      <c r="U673" s="491" t="n"/>
      <c r="V673" s="491" t="n"/>
      <c r="W673" s="491" t="n"/>
      <c r="X673" s="491" t="n"/>
      <c r="Y673" s="491" t="n"/>
    </row>
    <row r="674" ht="12.75" customHeight="1" s="398">
      <c r="A674" s="491" t="n"/>
      <c r="B674" s="491" t="n"/>
      <c r="C674" s="491" t="n"/>
      <c r="D674" s="491" t="n"/>
      <c r="E674" s="491" t="n"/>
      <c r="F674" s="491" t="n"/>
      <c r="G674" s="491" t="n"/>
      <c r="H674" s="491" t="n"/>
      <c r="I674" s="491" t="n"/>
      <c r="J674" s="491" t="n"/>
      <c r="K674" s="491" t="n"/>
      <c r="L674" s="491" t="n"/>
      <c r="M674" s="491" t="n"/>
      <c r="N674" s="491" t="n"/>
      <c r="O674" s="491" t="n"/>
      <c r="P674" s="491" t="n"/>
      <c r="Q674" s="491" t="n"/>
      <c r="R674" s="491" t="n"/>
      <c r="S674" s="491" t="n"/>
      <c r="T674" s="491" t="n"/>
      <c r="U674" s="491" t="n"/>
      <c r="V674" s="491" t="n"/>
      <c r="W674" s="491" t="n"/>
      <c r="X674" s="491" t="n"/>
      <c r="Y674" s="491" t="n"/>
    </row>
    <row r="675" ht="12.75" customHeight="1" s="398">
      <c r="A675" s="491" t="n"/>
      <c r="B675" s="491" t="n"/>
      <c r="C675" s="491" t="n"/>
      <c r="D675" s="491" t="n"/>
      <c r="E675" s="491" t="n"/>
      <c r="F675" s="491" t="n"/>
      <c r="G675" s="491" t="n"/>
      <c r="H675" s="491" t="n"/>
      <c r="I675" s="491" t="n"/>
      <c r="J675" s="491" t="n"/>
      <c r="K675" s="491" t="n"/>
      <c r="L675" s="491" t="n"/>
      <c r="M675" s="491" t="n"/>
      <c r="N675" s="491" t="n"/>
      <c r="O675" s="491" t="n"/>
      <c r="P675" s="491" t="n"/>
      <c r="Q675" s="491" t="n"/>
      <c r="R675" s="491" t="n"/>
      <c r="S675" s="491" t="n"/>
      <c r="T675" s="491" t="n"/>
      <c r="U675" s="491" t="n"/>
      <c r="V675" s="491" t="n"/>
      <c r="W675" s="491" t="n"/>
      <c r="X675" s="491" t="n"/>
      <c r="Y675" s="491" t="n"/>
    </row>
    <row r="676" ht="12.75" customHeight="1" s="398">
      <c r="A676" s="491" t="n"/>
      <c r="B676" s="491" t="n"/>
      <c r="C676" s="491" t="n"/>
      <c r="D676" s="491" t="n"/>
      <c r="E676" s="491" t="n"/>
      <c r="F676" s="491" t="n"/>
      <c r="G676" s="491" t="n"/>
      <c r="H676" s="491" t="n"/>
      <c r="I676" s="491" t="n"/>
      <c r="J676" s="491" t="n"/>
      <c r="K676" s="491" t="n"/>
      <c r="L676" s="491" t="n"/>
      <c r="M676" s="491" t="n"/>
      <c r="N676" s="491" t="n"/>
      <c r="O676" s="491" t="n"/>
      <c r="P676" s="491" t="n"/>
      <c r="Q676" s="491" t="n"/>
      <c r="R676" s="491" t="n"/>
      <c r="S676" s="491" t="n"/>
      <c r="T676" s="491" t="n"/>
      <c r="U676" s="491" t="n"/>
      <c r="V676" s="491" t="n"/>
      <c r="W676" s="491" t="n"/>
      <c r="X676" s="491" t="n"/>
      <c r="Y676" s="491" t="n"/>
    </row>
    <row r="677" ht="12.75" customHeight="1" s="398">
      <c r="A677" s="491" t="n"/>
      <c r="B677" s="491" t="n"/>
      <c r="C677" s="491" t="n"/>
      <c r="D677" s="491" t="n"/>
      <c r="E677" s="491" t="n"/>
      <c r="F677" s="491" t="n"/>
      <c r="G677" s="491" t="n"/>
      <c r="H677" s="491" t="n"/>
      <c r="I677" s="491" t="n"/>
      <c r="J677" s="491" t="n"/>
      <c r="K677" s="491" t="n"/>
      <c r="L677" s="491" t="n"/>
      <c r="M677" s="491" t="n"/>
      <c r="N677" s="491" t="n"/>
      <c r="O677" s="491" t="n"/>
      <c r="P677" s="491" t="n"/>
      <c r="Q677" s="491" t="n"/>
      <c r="R677" s="491" t="n"/>
      <c r="S677" s="491" t="n"/>
      <c r="T677" s="491" t="n"/>
      <c r="U677" s="491" t="n"/>
      <c r="V677" s="491" t="n"/>
      <c r="W677" s="491" t="n"/>
      <c r="X677" s="491" t="n"/>
      <c r="Y677" s="491" t="n"/>
    </row>
    <row r="678" ht="12.75" customHeight="1" s="398">
      <c r="A678" s="491" t="n"/>
      <c r="B678" s="491" t="n"/>
      <c r="C678" s="491" t="n"/>
      <c r="D678" s="491" t="n"/>
      <c r="E678" s="491" t="n"/>
      <c r="F678" s="491" t="n"/>
      <c r="G678" s="491" t="n"/>
      <c r="H678" s="491" t="n"/>
      <c r="I678" s="491" t="n"/>
      <c r="J678" s="491" t="n"/>
      <c r="K678" s="491" t="n"/>
      <c r="L678" s="491" t="n"/>
      <c r="M678" s="491" t="n"/>
      <c r="N678" s="491" t="n"/>
      <c r="O678" s="491" t="n"/>
      <c r="P678" s="491" t="n"/>
      <c r="Q678" s="491" t="n"/>
      <c r="R678" s="491" t="n"/>
      <c r="S678" s="491" t="n"/>
      <c r="T678" s="491" t="n"/>
      <c r="U678" s="491" t="n"/>
      <c r="V678" s="491" t="n"/>
      <c r="W678" s="491" t="n"/>
      <c r="X678" s="491" t="n"/>
      <c r="Y678" s="491" t="n"/>
    </row>
    <row r="679" ht="12.75" customHeight="1" s="398">
      <c r="A679" s="491" t="n"/>
      <c r="B679" s="491" t="n"/>
      <c r="C679" s="491" t="n"/>
      <c r="D679" s="491" t="n"/>
      <c r="E679" s="491" t="n"/>
      <c r="F679" s="491" t="n"/>
      <c r="G679" s="491" t="n"/>
      <c r="H679" s="491" t="n"/>
      <c r="I679" s="491" t="n"/>
      <c r="J679" s="491" t="n"/>
      <c r="K679" s="491" t="n"/>
      <c r="L679" s="491" t="n"/>
      <c r="M679" s="491" t="n"/>
      <c r="N679" s="491" t="n"/>
      <c r="O679" s="491" t="n"/>
      <c r="P679" s="491" t="n"/>
      <c r="Q679" s="491" t="n"/>
      <c r="R679" s="491" t="n"/>
      <c r="S679" s="491" t="n"/>
      <c r="T679" s="491" t="n"/>
      <c r="U679" s="491" t="n"/>
      <c r="V679" s="491" t="n"/>
      <c r="W679" s="491" t="n"/>
      <c r="X679" s="491" t="n"/>
      <c r="Y679" s="491" t="n"/>
    </row>
    <row r="680" ht="12.75" customHeight="1" s="398">
      <c r="A680" s="491" t="n"/>
      <c r="B680" s="491" t="n"/>
      <c r="C680" s="491" t="n"/>
      <c r="D680" s="491" t="n"/>
      <c r="E680" s="491" t="n"/>
      <c r="F680" s="491" t="n"/>
      <c r="G680" s="491" t="n"/>
      <c r="H680" s="491" t="n"/>
      <c r="I680" s="491" t="n"/>
      <c r="J680" s="491" t="n"/>
      <c r="K680" s="491" t="n"/>
      <c r="L680" s="491" t="n"/>
      <c r="M680" s="491" t="n"/>
      <c r="N680" s="491" t="n"/>
      <c r="O680" s="491" t="n"/>
      <c r="P680" s="491" t="n"/>
      <c r="Q680" s="491" t="n"/>
      <c r="R680" s="491" t="n"/>
      <c r="S680" s="491" t="n"/>
      <c r="T680" s="491" t="n"/>
      <c r="U680" s="491" t="n"/>
      <c r="V680" s="491" t="n"/>
      <c r="W680" s="491" t="n"/>
      <c r="X680" s="491" t="n"/>
      <c r="Y680" s="491" t="n"/>
    </row>
    <row r="681" ht="12.75" customHeight="1" s="398">
      <c r="A681" s="491" t="n"/>
      <c r="B681" s="491" t="n"/>
      <c r="C681" s="491" t="n"/>
      <c r="D681" s="491" t="n"/>
      <c r="E681" s="491" t="n"/>
      <c r="F681" s="491" t="n"/>
      <c r="G681" s="491" t="n"/>
      <c r="H681" s="491" t="n"/>
      <c r="I681" s="491" t="n"/>
      <c r="J681" s="491" t="n"/>
      <c r="K681" s="491" t="n"/>
      <c r="L681" s="491" t="n"/>
      <c r="M681" s="491" t="n"/>
      <c r="N681" s="491" t="n"/>
      <c r="O681" s="491" t="n"/>
      <c r="P681" s="491" t="n"/>
      <c r="Q681" s="491" t="n"/>
      <c r="R681" s="491" t="n"/>
      <c r="S681" s="491" t="n"/>
      <c r="T681" s="491" t="n"/>
      <c r="U681" s="491" t="n"/>
      <c r="V681" s="491" t="n"/>
      <c r="W681" s="491" t="n"/>
      <c r="X681" s="491" t="n"/>
      <c r="Y681" s="491" t="n"/>
    </row>
    <row r="682" ht="12.75" customHeight="1" s="398">
      <c r="A682" s="491" t="n"/>
      <c r="B682" s="491" t="n"/>
      <c r="C682" s="491" t="n"/>
      <c r="D682" s="491" t="n"/>
      <c r="E682" s="491" t="n"/>
      <c r="F682" s="491" t="n"/>
      <c r="G682" s="491" t="n"/>
      <c r="H682" s="491" t="n"/>
      <c r="I682" s="491" t="n"/>
      <c r="J682" s="491" t="n"/>
      <c r="K682" s="491" t="n"/>
      <c r="L682" s="491" t="n"/>
      <c r="M682" s="491" t="n"/>
      <c r="N682" s="491" t="n"/>
      <c r="O682" s="491" t="n"/>
      <c r="P682" s="491" t="n"/>
      <c r="Q682" s="491" t="n"/>
      <c r="R682" s="491" t="n"/>
      <c r="S682" s="491" t="n"/>
      <c r="T682" s="491" t="n"/>
      <c r="U682" s="491" t="n"/>
      <c r="V682" s="491" t="n"/>
      <c r="W682" s="491" t="n"/>
      <c r="X682" s="491" t="n"/>
      <c r="Y682" s="491" t="n"/>
    </row>
    <row r="683" ht="12.75" customHeight="1" s="398">
      <c r="A683" s="491" t="n"/>
      <c r="B683" s="491" t="n"/>
      <c r="C683" s="491" t="n"/>
      <c r="D683" s="491" t="n"/>
      <c r="E683" s="491" t="n"/>
      <c r="F683" s="491" t="n"/>
      <c r="G683" s="491" t="n"/>
      <c r="H683" s="491" t="n"/>
      <c r="I683" s="491" t="n"/>
      <c r="J683" s="491" t="n"/>
      <c r="K683" s="491" t="n"/>
      <c r="L683" s="491" t="n"/>
      <c r="M683" s="491" t="n"/>
      <c r="N683" s="491" t="n"/>
      <c r="O683" s="491" t="n"/>
      <c r="P683" s="491" t="n"/>
      <c r="Q683" s="491" t="n"/>
      <c r="R683" s="491" t="n"/>
      <c r="S683" s="491" t="n"/>
      <c r="T683" s="491" t="n"/>
      <c r="U683" s="491" t="n"/>
      <c r="V683" s="491" t="n"/>
      <c r="W683" s="491" t="n"/>
      <c r="X683" s="491" t="n"/>
      <c r="Y683" s="491" t="n"/>
    </row>
    <row r="684" ht="12.75" customHeight="1" s="398">
      <c r="A684" s="491" t="n"/>
      <c r="B684" s="491" t="n"/>
      <c r="C684" s="491" t="n"/>
      <c r="D684" s="491" t="n"/>
      <c r="E684" s="491" t="n"/>
      <c r="F684" s="491" t="n"/>
      <c r="G684" s="491" t="n"/>
      <c r="H684" s="491" t="n"/>
      <c r="I684" s="491" t="n"/>
      <c r="J684" s="491" t="n"/>
      <c r="K684" s="491" t="n"/>
      <c r="L684" s="491" t="n"/>
      <c r="M684" s="491" t="n"/>
      <c r="N684" s="491" t="n"/>
      <c r="O684" s="491" t="n"/>
      <c r="P684" s="491" t="n"/>
      <c r="Q684" s="491" t="n"/>
      <c r="R684" s="491" t="n"/>
      <c r="S684" s="491" t="n"/>
      <c r="T684" s="491" t="n"/>
      <c r="U684" s="491" t="n"/>
      <c r="V684" s="491" t="n"/>
      <c r="W684" s="491" t="n"/>
      <c r="X684" s="491" t="n"/>
      <c r="Y684" s="491" t="n"/>
    </row>
    <row r="685" ht="12.75" customHeight="1" s="398">
      <c r="A685" s="491" t="n"/>
      <c r="B685" s="491" t="n"/>
      <c r="C685" s="491" t="n"/>
      <c r="D685" s="491" t="n"/>
      <c r="E685" s="491" t="n"/>
      <c r="F685" s="491" t="n"/>
      <c r="G685" s="491" t="n"/>
      <c r="H685" s="491" t="n"/>
      <c r="I685" s="491" t="n"/>
      <c r="J685" s="491" t="n"/>
      <c r="K685" s="491" t="n"/>
      <c r="L685" s="491" t="n"/>
      <c r="M685" s="491" t="n"/>
      <c r="N685" s="491" t="n"/>
      <c r="O685" s="491" t="n"/>
      <c r="P685" s="491" t="n"/>
      <c r="Q685" s="491" t="n"/>
      <c r="R685" s="491" t="n"/>
      <c r="S685" s="491" t="n"/>
      <c r="T685" s="491" t="n"/>
      <c r="U685" s="491" t="n"/>
      <c r="V685" s="491" t="n"/>
      <c r="W685" s="491" t="n"/>
      <c r="X685" s="491" t="n"/>
      <c r="Y685" s="491" t="n"/>
    </row>
    <row r="686" ht="12.75" customHeight="1" s="398">
      <c r="A686" s="491" t="n"/>
      <c r="B686" s="491" t="n"/>
      <c r="C686" s="491" t="n"/>
      <c r="D686" s="491" t="n"/>
      <c r="E686" s="491" t="n"/>
      <c r="F686" s="491" t="n"/>
      <c r="G686" s="491" t="n"/>
      <c r="H686" s="491" t="n"/>
      <c r="I686" s="491" t="n"/>
      <c r="J686" s="491" t="n"/>
      <c r="K686" s="491" t="n"/>
      <c r="L686" s="491" t="n"/>
      <c r="M686" s="491" t="n"/>
      <c r="N686" s="491" t="n"/>
      <c r="O686" s="491" t="n"/>
      <c r="P686" s="491" t="n"/>
      <c r="Q686" s="491" t="n"/>
      <c r="R686" s="491" t="n"/>
      <c r="S686" s="491" t="n"/>
      <c r="T686" s="491" t="n"/>
      <c r="U686" s="491" t="n"/>
      <c r="V686" s="491" t="n"/>
      <c r="W686" s="491" t="n"/>
      <c r="X686" s="491" t="n"/>
      <c r="Y686" s="491" t="n"/>
    </row>
    <row r="687" ht="12.75" customHeight="1" s="398">
      <c r="A687" s="491" t="n"/>
      <c r="B687" s="491" t="n"/>
      <c r="C687" s="491" t="n"/>
      <c r="D687" s="491" t="n"/>
      <c r="E687" s="491" t="n"/>
      <c r="F687" s="491" t="n"/>
      <c r="G687" s="491" t="n"/>
      <c r="H687" s="491" t="n"/>
      <c r="I687" s="491" t="n"/>
      <c r="J687" s="491" t="n"/>
      <c r="K687" s="491" t="n"/>
      <c r="L687" s="491" t="n"/>
      <c r="M687" s="491" t="n"/>
      <c r="N687" s="491" t="n"/>
      <c r="O687" s="491" t="n"/>
      <c r="P687" s="491" t="n"/>
      <c r="Q687" s="491" t="n"/>
      <c r="R687" s="491" t="n"/>
      <c r="S687" s="491" t="n"/>
      <c r="T687" s="491" t="n"/>
      <c r="U687" s="491" t="n"/>
      <c r="V687" s="491" t="n"/>
      <c r="W687" s="491" t="n"/>
      <c r="X687" s="491" t="n"/>
      <c r="Y687" s="491" t="n"/>
    </row>
    <row r="688" ht="12.75" customHeight="1" s="398">
      <c r="A688" s="491" t="n"/>
      <c r="B688" s="491" t="n"/>
      <c r="C688" s="491" t="n"/>
      <c r="D688" s="491" t="n"/>
      <c r="E688" s="491" t="n"/>
      <c r="F688" s="491" t="n"/>
      <c r="G688" s="491" t="n"/>
      <c r="H688" s="491" t="n"/>
      <c r="I688" s="491" t="n"/>
      <c r="J688" s="491" t="n"/>
      <c r="K688" s="491" t="n"/>
      <c r="L688" s="491" t="n"/>
      <c r="M688" s="491" t="n"/>
      <c r="N688" s="491" t="n"/>
      <c r="O688" s="491" t="n"/>
      <c r="P688" s="491" t="n"/>
      <c r="Q688" s="491" t="n"/>
      <c r="R688" s="491" t="n"/>
      <c r="S688" s="491" t="n"/>
      <c r="T688" s="491" t="n"/>
      <c r="U688" s="491" t="n"/>
      <c r="V688" s="491" t="n"/>
      <c r="W688" s="491" t="n"/>
      <c r="X688" s="491" t="n"/>
      <c r="Y688" s="491" t="n"/>
    </row>
    <row r="689" ht="12.75" customHeight="1" s="398">
      <c r="A689" s="491" t="n"/>
      <c r="B689" s="491" t="n"/>
      <c r="C689" s="491" t="n"/>
      <c r="D689" s="491" t="n"/>
      <c r="E689" s="491" t="n"/>
      <c r="F689" s="491" t="n"/>
      <c r="G689" s="491" t="n"/>
      <c r="H689" s="491" t="n"/>
      <c r="I689" s="491" t="n"/>
      <c r="J689" s="491" t="n"/>
      <c r="K689" s="491" t="n"/>
      <c r="L689" s="491" t="n"/>
      <c r="M689" s="491" t="n"/>
      <c r="N689" s="491" t="n"/>
      <c r="O689" s="491" t="n"/>
      <c r="P689" s="491" t="n"/>
      <c r="Q689" s="491" t="n"/>
      <c r="R689" s="491" t="n"/>
      <c r="S689" s="491" t="n"/>
      <c r="T689" s="491" t="n"/>
      <c r="U689" s="491" t="n"/>
      <c r="V689" s="491" t="n"/>
      <c r="W689" s="491" t="n"/>
      <c r="X689" s="491" t="n"/>
      <c r="Y689" s="491" t="n"/>
    </row>
    <row r="690" ht="12.75" customHeight="1" s="398">
      <c r="A690" s="491" t="n"/>
      <c r="B690" s="491" t="n"/>
      <c r="C690" s="491" t="n"/>
      <c r="D690" s="491" t="n"/>
      <c r="E690" s="491" t="n"/>
      <c r="F690" s="491" t="n"/>
      <c r="G690" s="491" t="n"/>
      <c r="H690" s="491" t="n"/>
      <c r="I690" s="491" t="n"/>
      <c r="J690" s="491" t="n"/>
      <c r="K690" s="491" t="n"/>
      <c r="L690" s="491" t="n"/>
      <c r="M690" s="491" t="n"/>
      <c r="N690" s="491" t="n"/>
      <c r="O690" s="491" t="n"/>
      <c r="P690" s="491" t="n"/>
      <c r="Q690" s="491" t="n"/>
      <c r="R690" s="491" t="n"/>
      <c r="S690" s="491" t="n"/>
      <c r="T690" s="491" t="n"/>
      <c r="U690" s="491" t="n"/>
      <c r="V690" s="491" t="n"/>
      <c r="W690" s="491" t="n"/>
      <c r="X690" s="491" t="n"/>
      <c r="Y690" s="491" t="n"/>
    </row>
    <row r="691" ht="12.75" customHeight="1" s="398">
      <c r="A691" s="491" t="n"/>
      <c r="B691" s="491" t="n"/>
      <c r="C691" s="491" t="n"/>
      <c r="D691" s="491" t="n"/>
      <c r="E691" s="491" t="n"/>
      <c r="F691" s="491" t="n"/>
      <c r="G691" s="491" t="n"/>
      <c r="H691" s="491" t="n"/>
      <c r="I691" s="491" t="n"/>
      <c r="J691" s="491" t="n"/>
      <c r="K691" s="491" t="n"/>
      <c r="L691" s="491" t="n"/>
      <c r="M691" s="491" t="n"/>
      <c r="N691" s="491" t="n"/>
      <c r="O691" s="491" t="n"/>
      <c r="P691" s="491" t="n"/>
      <c r="Q691" s="491" t="n"/>
      <c r="R691" s="491" t="n"/>
      <c r="S691" s="491" t="n"/>
      <c r="T691" s="491" t="n"/>
      <c r="U691" s="491" t="n"/>
      <c r="V691" s="491" t="n"/>
      <c r="W691" s="491" t="n"/>
      <c r="X691" s="491" t="n"/>
      <c r="Y691" s="491" t="n"/>
    </row>
    <row r="692" ht="12.75" customHeight="1" s="398">
      <c r="A692" s="491" t="n"/>
      <c r="B692" s="491" t="n"/>
      <c r="C692" s="491" t="n"/>
      <c r="D692" s="491" t="n"/>
      <c r="E692" s="491" t="n"/>
      <c r="F692" s="491" t="n"/>
      <c r="G692" s="491" t="n"/>
      <c r="H692" s="491" t="n"/>
      <c r="I692" s="491" t="n"/>
      <c r="J692" s="491" t="n"/>
      <c r="K692" s="491" t="n"/>
      <c r="L692" s="491" t="n"/>
      <c r="M692" s="491" t="n"/>
      <c r="N692" s="491" t="n"/>
      <c r="O692" s="491" t="n"/>
      <c r="P692" s="491" t="n"/>
      <c r="Q692" s="491" t="n"/>
      <c r="R692" s="491" t="n"/>
      <c r="S692" s="491" t="n"/>
      <c r="T692" s="491" t="n"/>
      <c r="U692" s="491" t="n"/>
      <c r="V692" s="491" t="n"/>
      <c r="W692" s="491" t="n"/>
      <c r="X692" s="491" t="n"/>
      <c r="Y692" s="491" t="n"/>
    </row>
    <row r="693" ht="12.75" customHeight="1" s="398">
      <c r="A693" s="491" t="n"/>
      <c r="B693" s="491" t="n"/>
      <c r="C693" s="491" t="n"/>
      <c r="D693" s="491" t="n"/>
      <c r="E693" s="491" t="n"/>
      <c r="F693" s="491" t="n"/>
      <c r="G693" s="491" t="n"/>
      <c r="H693" s="491" t="n"/>
      <c r="I693" s="491" t="n"/>
      <c r="J693" s="491" t="n"/>
      <c r="K693" s="491" t="n"/>
      <c r="L693" s="491" t="n"/>
      <c r="M693" s="491" t="n"/>
      <c r="N693" s="491" t="n"/>
      <c r="O693" s="491" t="n"/>
      <c r="P693" s="491" t="n"/>
      <c r="Q693" s="491" t="n"/>
      <c r="R693" s="491" t="n"/>
      <c r="S693" s="491" t="n"/>
      <c r="T693" s="491" t="n"/>
      <c r="U693" s="491" t="n"/>
      <c r="V693" s="491" t="n"/>
      <c r="W693" s="491" t="n"/>
      <c r="X693" s="491" t="n"/>
      <c r="Y693" s="491" t="n"/>
    </row>
    <row r="694" ht="12.75" customHeight="1" s="398">
      <c r="A694" s="491" t="n"/>
      <c r="B694" s="491" t="n"/>
      <c r="C694" s="491" t="n"/>
      <c r="D694" s="491" t="n"/>
      <c r="E694" s="491" t="n"/>
      <c r="F694" s="491" t="n"/>
      <c r="G694" s="491" t="n"/>
      <c r="H694" s="491" t="n"/>
      <c r="I694" s="491" t="n"/>
      <c r="J694" s="491" t="n"/>
      <c r="K694" s="491" t="n"/>
      <c r="L694" s="491" t="n"/>
      <c r="M694" s="491" t="n"/>
      <c r="N694" s="491" t="n"/>
      <c r="O694" s="491" t="n"/>
      <c r="P694" s="491" t="n"/>
      <c r="Q694" s="491" t="n"/>
      <c r="R694" s="491" t="n"/>
      <c r="S694" s="491" t="n"/>
      <c r="T694" s="491" t="n"/>
      <c r="U694" s="491" t="n"/>
      <c r="V694" s="491" t="n"/>
      <c r="W694" s="491" t="n"/>
      <c r="X694" s="491" t="n"/>
      <c r="Y694" s="491" t="n"/>
    </row>
    <row r="695" ht="12.75" customHeight="1" s="398">
      <c r="A695" s="491" t="n"/>
      <c r="B695" s="491" t="n"/>
      <c r="C695" s="491" t="n"/>
      <c r="D695" s="491" t="n"/>
      <c r="E695" s="491" t="n"/>
      <c r="F695" s="491" t="n"/>
      <c r="G695" s="491" t="n"/>
      <c r="H695" s="491" t="n"/>
      <c r="I695" s="491" t="n"/>
      <c r="J695" s="491" t="n"/>
      <c r="K695" s="491" t="n"/>
      <c r="L695" s="491" t="n"/>
      <c r="M695" s="491" t="n"/>
      <c r="N695" s="491" t="n"/>
      <c r="O695" s="491" t="n"/>
      <c r="P695" s="491" t="n"/>
      <c r="Q695" s="491" t="n"/>
      <c r="R695" s="491" t="n"/>
      <c r="S695" s="491" t="n"/>
      <c r="T695" s="491" t="n"/>
      <c r="U695" s="491" t="n"/>
      <c r="V695" s="491" t="n"/>
      <c r="W695" s="491" t="n"/>
      <c r="X695" s="491" t="n"/>
      <c r="Y695" s="491" t="n"/>
    </row>
    <row r="696" ht="12.75" customHeight="1" s="398">
      <c r="A696" s="491" t="n"/>
      <c r="B696" s="491" t="n"/>
      <c r="C696" s="491" t="n"/>
      <c r="D696" s="491" t="n"/>
      <c r="E696" s="491" t="n"/>
      <c r="F696" s="491" t="n"/>
      <c r="G696" s="491" t="n"/>
      <c r="H696" s="491" t="n"/>
      <c r="I696" s="491" t="n"/>
      <c r="J696" s="491" t="n"/>
      <c r="K696" s="491" t="n"/>
      <c r="L696" s="491" t="n"/>
      <c r="M696" s="491" t="n"/>
      <c r="N696" s="491" t="n"/>
      <c r="O696" s="491" t="n"/>
      <c r="P696" s="491" t="n"/>
      <c r="Q696" s="491" t="n"/>
      <c r="R696" s="491" t="n"/>
      <c r="S696" s="491" t="n"/>
      <c r="T696" s="491" t="n"/>
      <c r="U696" s="491" t="n"/>
      <c r="V696" s="491" t="n"/>
      <c r="W696" s="491" t="n"/>
      <c r="X696" s="491" t="n"/>
      <c r="Y696" s="491" t="n"/>
    </row>
    <row r="697" ht="12.75" customHeight="1" s="398">
      <c r="A697" s="491" t="n"/>
      <c r="B697" s="491" t="n"/>
      <c r="C697" s="491" t="n"/>
      <c r="D697" s="491" t="n"/>
      <c r="E697" s="491" t="n"/>
      <c r="F697" s="491" t="n"/>
      <c r="G697" s="491" t="n"/>
      <c r="H697" s="491" t="n"/>
      <c r="I697" s="491" t="n"/>
      <c r="J697" s="491" t="n"/>
      <c r="K697" s="491" t="n"/>
      <c r="L697" s="491" t="n"/>
      <c r="M697" s="491" t="n"/>
      <c r="N697" s="491" t="n"/>
      <c r="O697" s="491" t="n"/>
      <c r="P697" s="491" t="n"/>
      <c r="Q697" s="491" t="n"/>
      <c r="R697" s="491" t="n"/>
      <c r="S697" s="491" t="n"/>
      <c r="T697" s="491" t="n"/>
      <c r="U697" s="491" t="n"/>
      <c r="V697" s="491" t="n"/>
      <c r="W697" s="491" t="n"/>
      <c r="X697" s="491" t="n"/>
      <c r="Y697" s="491" t="n"/>
    </row>
    <row r="698" ht="12.75" customHeight="1" s="398">
      <c r="A698" s="491" t="n"/>
      <c r="B698" s="491" t="n"/>
      <c r="C698" s="491" t="n"/>
      <c r="D698" s="491" t="n"/>
      <c r="E698" s="491" t="n"/>
      <c r="F698" s="491" t="n"/>
      <c r="G698" s="491" t="n"/>
      <c r="H698" s="491" t="n"/>
      <c r="I698" s="491" t="n"/>
      <c r="J698" s="491" t="n"/>
      <c r="K698" s="491" t="n"/>
      <c r="L698" s="491" t="n"/>
      <c r="M698" s="491" t="n"/>
      <c r="N698" s="491" t="n"/>
      <c r="O698" s="491" t="n"/>
      <c r="P698" s="491" t="n"/>
      <c r="Q698" s="491" t="n"/>
      <c r="R698" s="491" t="n"/>
      <c r="S698" s="491" t="n"/>
      <c r="T698" s="491" t="n"/>
      <c r="U698" s="491" t="n"/>
      <c r="V698" s="491" t="n"/>
      <c r="W698" s="491" t="n"/>
      <c r="X698" s="491" t="n"/>
      <c r="Y698" s="491" t="n"/>
    </row>
    <row r="699" ht="12.75" customHeight="1" s="398">
      <c r="A699" s="491" t="n"/>
      <c r="B699" s="491" t="n"/>
      <c r="C699" s="491" t="n"/>
      <c r="D699" s="491" t="n"/>
      <c r="E699" s="491" t="n"/>
      <c r="F699" s="491" t="n"/>
      <c r="G699" s="491" t="n"/>
      <c r="H699" s="491" t="n"/>
      <c r="I699" s="491" t="n"/>
      <c r="J699" s="491" t="n"/>
      <c r="K699" s="491" t="n"/>
      <c r="L699" s="491" t="n"/>
      <c r="M699" s="491" t="n"/>
      <c r="N699" s="491" t="n"/>
      <c r="O699" s="491" t="n"/>
      <c r="P699" s="491" t="n"/>
      <c r="Q699" s="491" t="n"/>
      <c r="R699" s="491" t="n"/>
      <c r="S699" s="491" t="n"/>
      <c r="T699" s="491" t="n"/>
      <c r="U699" s="491" t="n"/>
      <c r="V699" s="491" t="n"/>
      <c r="W699" s="491" t="n"/>
      <c r="X699" s="491" t="n"/>
      <c r="Y699" s="491" t="n"/>
    </row>
    <row r="700" ht="12.75" customHeight="1" s="398">
      <c r="A700" s="491" t="n"/>
      <c r="B700" s="491" t="n"/>
      <c r="C700" s="491" t="n"/>
      <c r="D700" s="491" t="n"/>
      <c r="E700" s="491" t="n"/>
      <c r="F700" s="491" t="n"/>
      <c r="G700" s="491" t="n"/>
      <c r="H700" s="491" t="n"/>
      <c r="I700" s="491" t="n"/>
      <c r="J700" s="491" t="n"/>
      <c r="K700" s="491" t="n"/>
      <c r="L700" s="491" t="n"/>
      <c r="M700" s="491" t="n"/>
      <c r="N700" s="491" t="n"/>
      <c r="O700" s="491" t="n"/>
      <c r="P700" s="491" t="n"/>
      <c r="Q700" s="491" t="n"/>
      <c r="R700" s="491" t="n"/>
      <c r="S700" s="491" t="n"/>
      <c r="T700" s="491" t="n"/>
      <c r="U700" s="491" t="n"/>
      <c r="V700" s="491" t="n"/>
      <c r="W700" s="491" t="n"/>
      <c r="X700" s="491" t="n"/>
      <c r="Y700" s="491" t="n"/>
    </row>
    <row r="701" ht="12.75" customHeight="1" s="398">
      <c r="A701" s="491" t="n"/>
      <c r="B701" s="491" t="n"/>
      <c r="C701" s="491" t="n"/>
      <c r="D701" s="491" t="n"/>
      <c r="E701" s="491" t="n"/>
      <c r="F701" s="491" t="n"/>
      <c r="G701" s="491" t="n"/>
      <c r="H701" s="491" t="n"/>
      <c r="I701" s="491" t="n"/>
      <c r="J701" s="491" t="n"/>
      <c r="K701" s="491" t="n"/>
      <c r="L701" s="491" t="n"/>
      <c r="M701" s="491" t="n"/>
      <c r="N701" s="491" t="n"/>
      <c r="O701" s="491" t="n"/>
      <c r="P701" s="491" t="n"/>
      <c r="Q701" s="491" t="n"/>
      <c r="R701" s="491" t="n"/>
      <c r="S701" s="491" t="n"/>
      <c r="T701" s="491" t="n"/>
      <c r="U701" s="491" t="n"/>
      <c r="V701" s="491" t="n"/>
      <c r="W701" s="491" t="n"/>
      <c r="X701" s="491" t="n"/>
      <c r="Y701" s="491" t="n"/>
    </row>
    <row r="702" ht="12.75" customHeight="1" s="398">
      <c r="A702" s="491" t="n"/>
      <c r="B702" s="491" t="n"/>
      <c r="C702" s="491" t="n"/>
      <c r="D702" s="491" t="n"/>
      <c r="E702" s="491" t="n"/>
      <c r="F702" s="491" t="n"/>
      <c r="G702" s="491" t="n"/>
      <c r="H702" s="491" t="n"/>
      <c r="I702" s="491" t="n"/>
      <c r="J702" s="491" t="n"/>
      <c r="K702" s="491" t="n"/>
      <c r="L702" s="491" t="n"/>
      <c r="M702" s="491" t="n"/>
      <c r="N702" s="491" t="n"/>
      <c r="O702" s="491" t="n"/>
      <c r="P702" s="491" t="n"/>
      <c r="Q702" s="491" t="n"/>
      <c r="R702" s="491" t="n"/>
      <c r="S702" s="491" t="n"/>
      <c r="T702" s="491" t="n"/>
      <c r="U702" s="491" t="n"/>
      <c r="V702" s="491" t="n"/>
      <c r="W702" s="491" t="n"/>
      <c r="X702" s="491" t="n"/>
      <c r="Y702" s="491" t="n"/>
    </row>
    <row r="703" ht="12.75" customHeight="1" s="398">
      <c r="A703" s="491" t="n"/>
      <c r="B703" s="491" t="n"/>
      <c r="C703" s="491" t="n"/>
      <c r="D703" s="491" t="n"/>
      <c r="E703" s="491" t="n"/>
      <c r="F703" s="491" t="n"/>
      <c r="G703" s="491" t="n"/>
      <c r="H703" s="491" t="n"/>
      <c r="I703" s="491" t="n"/>
      <c r="J703" s="491" t="n"/>
      <c r="K703" s="491" t="n"/>
      <c r="L703" s="491" t="n"/>
      <c r="M703" s="491" t="n"/>
      <c r="N703" s="491" t="n"/>
      <c r="O703" s="491" t="n"/>
      <c r="P703" s="491" t="n"/>
      <c r="Q703" s="491" t="n"/>
      <c r="R703" s="491" t="n"/>
      <c r="S703" s="491" t="n"/>
      <c r="T703" s="491" t="n"/>
      <c r="U703" s="491" t="n"/>
      <c r="V703" s="491" t="n"/>
      <c r="W703" s="491" t="n"/>
      <c r="X703" s="491" t="n"/>
      <c r="Y703" s="491" t="n"/>
    </row>
    <row r="704" ht="12.75" customHeight="1" s="398">
      <c r="A704" s="491" t="n"/>
      <c r="B704" s="491" t="n"/>
      <c r="C704" s="491" t="n"/>
      <c r="D704" s="491" t="n"/>
      <c r="E704" s="491" t="n"/>
      <c r="F704" s="491" t="n"/>
      <c r="G704" s="491" t="n"/>
      <c r="H704" s="491" t="n"/>
      <c r="I704" s="491" t="n"/>
      <c r="J704" s="491" t="n"/>
      <c r="K704" s="491" t="n"/>
      <c r="L704" s="491" t="n"/>
      <c r="M704" s="491" t="n"/>
      <c r="N704" s="491" t="n"/>
      <c r="O704" s="491" t="n"/>
      <c r="P704" s="491" t="n"/>
      <c r="Q704" s="491" t="n"/>
      <c r="R704" s="491" t="n"/>
      <c r="S704" s="491" t="n"/>
      <c r="T704" s="491" t="n"/>
      <c r="U704" s="491" t="n"/>
      <c r="V704" s="491" t="n"/>
      <c r="W704" s="491" t="n"/>
      <c r="X704" s="491" t="n"/>
      <c r="Y704" s="491" t="n"/>
    </row>
    <row r="705" ht="12.75" customHeight="1" s="398">
      <c r="A705" s="491" t="n"/>
      <c r="B705" s="491" t="n"/>
      <c r="C705" s="491" t="n"/>
      <c r="D705" s="491" t="n"/>
      <c r="E705" s="491" t="n"/>
      <c r="F705" s="491" t="n"/>
      <c r="G705" s="491" t="n"/>
      <c r="H705" s="491" t="n"/>
      <c r="I705" s="491" t="n"/>
      <c r="J705" s="491" t="n"/>
      <c r="K705" s="491" t="n"/>
      <c r="L705" s="491" t="n"/>
      <c r="M705" s="491" t="n"/>
      <c r="N705" s="491" t="n"/>
      <c r="O705" s="491" t="n"/>
      <c r="P705" s="491" t="n"/>
      <c r="Q705" s="491" t="n"/>
      <c r="R705" s="491" t="n"/>
      <c r="S705" s="491" t="n"/>
      <c r="T705" s="491" t="n"/>
      <c r="U705" s="491" t="n"/>
      <c r="V705" s="491" t="n"/>
      <c r="W705" s="491" t="n"/>
      <c r="X705" s="491" t="n"/>
      <c r="Y705" s="491" t="n"/>
    </row>
    <row r="706" ht="12.75" customHeight="1" s="398">
      <c r="A706" s="491" t="n"/>
      <c r="B706" s="491" t="n"/>
      <c r="C706" s="491" t="n"/>
      <c r="D706" s="491" t="n"/>
      <c r="E706" s="491" t="n"/>
      <c r="F706" s="491" t="n"/>
      <c r="G706" s="491" t="n"/>
      <c r="H706" s="491" t="n"/>
      <c r="I706" s="491" t="n"/>
      <c r="J706" s="491" t="n"/>
      <c r="K706" s="491" t="n"/>
      <c r="L706" s="491" t="n"/>
      <c r="M706" s="491" t="n"/>
      <c r="N706" s="491" t="n"/>
      <c r="O706" s="491" t="n"/>
      <c r="P706" s="491" t="n"/>
      <c r="Q706" s="491" t="n"/>
      <c r="R706" s="491" t="n"/>
      <c r="S706" s="491" t="n"/>
      <c r="T706" s="491" t="n"/>
      <c r="U706" s="491" t="n"/>
      <c r="V706" s="491" t="n"/>
      <c r="W706" s="491" t="n"/>
      <c r="X706" s="491" t="n"/>
      <c r="Y706" s="491" t="n"/>
    </row>
    <row r="707" ht="12.75" customHeight="1" s="398">
      <c r="A707" s="491" t="n"/>
      <c r="B707" s="491" t="n"/>
      <c r="C707" s="491" t="n"/>
      <c r="D707" s="491" t="n"/>
      <c r="E707" s="491" t="n"/>
      <c r="F707" s="491" t="n"/>
      <c r="G707" s="491" t="n"/>
      <c r="H707" s="491" t="n"/>
      <c r="I707" s="491" t="n"/>
      <c r="J707" s="491" t="n"/>
      <c r="K707" s="491" t="n"/>
      <c r="L707" s="491" t="n"/>
      <c r="M707" s="491" t="n"/>
      <c r="N707" s="491" t="n"/>
      <c r="O707" s="491" t="n"/>
      <c r="P707" s="491" t="n"/>
      <c r="Q707" s="491" t="n"/>
      <c r="R707" s="491" t="n"/>
      <c r="S707" s="491" t="n"/>
      <c r="T707" s="491" t="n"/>
      <c r="U707" s="491" t="n"/>
      <c r="V707" s="491" t="n"/>
      <c r="W707" s="491" t="n"/>
      <c r="X707" s="491" t="n"/>
      <c r="Y707" s="491" t="n"/>
    </row>
    <row r="708" ht="12.75" customHeight="1" s="398">
      <c r="A708" s="491" t="n"/>
      <c r="B708" s="491" t="n"/>
      <c r="C708" s="491" t="n"/>
      <c r="D708" s="491" t="n"/>
      <c r="E708" s="491" t="n"/>
      <c r="F708" s="491" t="n"/>
      <c r="G708" s="491" t="n"/>
      <c r="H708" s="491" t="n"/>
      <c r="I708" s="491" t="n"/>
      <c r="J708" s="491" t="n"/>
      <c r="K708" s="491" t="n"/>
      <c r="L708" s="491" t="n"/>
      <c r="M708" s="491" t="n"/>
      <c r="N708" s="491" t="n"/>
      <c r="O708" s="491" t="n"/>
      <c r="P708" s="491" t="n"/>
      <c r="Q708" s="491" t="n"/>
      <c r="R708" s="491" t="n"/>
      <c r="S708" s="491" t="n"/>
      <c r="T708" s="491" t="n"/>
      <c r="U708" s="491" t="n"/>
      <c r="V708" s="491" t="n"/>
      <c r="W708" s="491" t="n"/>
      <c r="X708" s="491" t="n"/>
      <c r="Y708" s="491" t="n"/>
    </row>
    <row r="709" ht="12.75" customHeight="1" s="398">
      <c r="A709" s="491" t="n"/>
      <c r="B709" s="491" t="n"/>
      <c r="C709" s="491" t="n"/>
      <c r="D709" s="491" t="n"/>
      <c r="E709" s="491" t="n"/>
      <c r="F709" s="491" t="n"/>
      <c r="G709" s="491" t="n"/>
      <c r="H709" s="491" t="n"/>
      <c r="I709" s="491" t="n"/>
      <c r="J709" s="491" t="n"/>
      <c r="K709" s="491" t="n"/>
      <c r="L709" s="491" t="n"/>
      <c r="M709" s="491" t="n"/>
      <c r="N709" s="491" t="n"/>
      <c r="O709" s="491" t="n"/>
      <c r="P709" s="491" t="n"/>
      <c r="Q709" s="491" t="n"/>
      <c r="R709" s="491" t="n"/>
      <c r="S709" s="491" t="n"/>
      <c r="T709" s="491" t="n"/>
      <c r="U709" s="491" t="n"/>
      <c r="V709" s="491" t="n"/>
      <c r="W709" s="491" t="n"/>
      <c r="X709" s="491" t="n"/>
      <c r="Y709" s="491" t="n"/>
    </row>
    <row r="710" ht="12.75" customHeight="1" s="398">
      <c r="A710" s="491" t="n"/>
      <c r="B710" s="491" t="n"/>
      <c r="C710" s="491" t="n"/>
      <c r="D710" s="491" t="n"/>
      <c r="E710" s="491" t="n"/>
      <c r="F710" s="491" t="n"/>
      <c r="G710" s="491" t="n"/>
      <c r="H710" s="491" t="n"/>
      <c r="I710" s="491" t="n"/>
      <c r="J710" s="491" t="n"/>
      <c r="K710" s="491" t="n"/>
      <c r="L710" s="491" t="n"/>
      <c r="M710" s="491" t="n"/>
      <c r="N710" s="491" t="n"/>
      <c r="O710" s="491" t="n"/>
      <c r="P710" s="491" t="n"/>
      <c r="Q710" s="491" t="n"/>
      <c r="R710" s="491" t="n"/>
      <c r="S710" s="491" t="n"/>
      <c r="T710" s="491" t="n"/>
      <c r="U710" s="491" t="n"/>
      <c r="V710" s="491" t="n"/>
      <c r="W710" s="491" t="n"/>
      <c r="X710" s="491" t="n"/>
      <c r="Y710" s="491" t="n"/>
    </row>
    <row r="711" ht="12.75" customHeight="1" s="398">
      <c r="A711" s="491" t="n"/>
      <c r="B711" s="491" t="n"/>
      <c r="C711" s="491" t="n"/>
      <c r="D711" s="491" t="n"/>
      <c r="E711" s="491" t="n"/>
      <c r="F711" s="491" t="n"/>
      <c r="G711" s="491" t="n"/>
      <c r="H711" s="491" t="n"/>
      <c r="I711" s="491" t="n"/>
      <c r="J711" s="491" t="n"/>
      <c r="K711" s="491" t="n"/>
      <c r="L711" s="491" t="n"/>
      <c r="M711" s="491" t="n"/>
      <c r="N711" s="491" t="n"/>
      <c r="O711" s="491" t="n"/>
      <c r="P711" s="491" t="n"/>
      <c r="Q711" s="491" t="n"/>
      <c r="R711" s="491" t="n"/>
      <c r="S711" s="491" t="n"/>
      <c r="T711" s="491" t="n"/>
      <c r="U711" s="491" t="n"/>
      <c r="V711" s="491" t="n"/>
      <c r="W711" s="491" t="n"/>
      <c r="X711" s="491" t="n"/>
      <c r="Y711" s="491" t="n"/>
    </row>
    <row r="712" ht="12.75" customHeight="1" s="398">
      <c r="A712" s="491" t="n"/>
      <c r="B712" s="491" t="n"/>
      <c r="C712" s="491" t="n"/>
      <c r="D712" s="491" t="n"/>
      <c r="E712" s="491" t="n"/>
      <c r="F712" s="491" t="n"/>
      <c r="G712" s="491" t="n"/>
      <c r="H712" s="491" t="n"/>
      <c r="I712" s="491" t="n"/>
      <c r="J712" s="491" t="n"/>
      <c r="K712" s="491" t="n"/>
      <c r="L712" s="491" t="n"/>
      <c r="M712" s="491" t="n"/>
      <c r="N712" s="491" t="n"/>
      <c r="O712" s="491" t="n"/>
      <c r="P712" s="491" t="n"/>
      <c r="Q712" s="491" t="n"/>
      <c r="R712" s="491" t="n"/>
      <c r="S712" s="491" t="n"/>
      <c r="T712" s="491" t="n"/>
      <c r="U712" s="491" t="n"/>
      <c r="V712" s="491" t="n"/>
      <c r="W712" s="491" t="n"/>
      <c r="X712" s="491" t="n"/>
      <c r="Y712" s="491" t="n"/>
    </row>
    <row r="713" ht="12.75" customHeight="1" s="398">
      <c r="A713" s="491" t="n"/>
      <c r="B713" s="491" t="n"/>
      <c r="C713" s="491" t="n"/>
      <c r="D713" s="491" t="n"/>
      <c r="E713" s="491" t="n"/>
      <c r="F713" s="491" t="n"/>
      <c r="G713" s="491" t="n"/>
      <c r="H713" s="491" t="n"/>
      <c r="I713" s="491" t="n"/>
      <c r="J713" s="491" t="n"/>
      <c r="K713" s="491" t="n"/>
      <c r="L713" s="491" t="n"/>
      <c r="M713" s="491" t="n"/>
      <c r="N713" s="491" t="n"/>
      <c r="O713" s="491" t="n"/>
      <c r="P713" s="491" t="n"/>
      <c r="Q713" s="491" t="n"/>
      <c r="R713" s="491" t="n"/>
      <c r="S713" s="491" t="n"/>
      <c r="T713" s="491" t="n"/>
      <c r="U713" s="491" t="n"/>
      <c r="V713" s="491" t="n"/>
      <c r="W713" s="491" t="n"/>
      <c r="X713" s="491" t="n"/>
      <c r="Y713" s="491" t="n"/>
    </row>
    <row r="714" ht="12.75" customHeight="1" s="398">
      <c r="A714" s="491" t="n"/>
      <c r="B714" s="491" t="n"/>
      <c r="C714" s="491" t="n"/>
      <c r="D714" s="491" t="n"/>
      <c r="E714" s="491" t="n"/>
      <c r="F714" s="491" t="n"/>
      <c r="G714" s="491" t="n"/>
      <c r="H714" s="491" t="n"/>
      <c r="I714" s="491" t="n"/>
      <c r="J714" s="491" t="n"/>
      <c r="K714" s="491" t="n"/>
      <c r="L714" s="491" t="n"/>
      <c r="M714" s="491" t="n"/>
      <c r="N714" s="491" t="n"/>
      <c r="O714" s="491" t="n"/>
      <c r="P714" s="491" t="n"/>
      <c r="Q714" s="491" t="n"/>
      <c r="R714" s="491" t="n"/>
      <c r="S714" s="491" t="n"/>
      <c r="T714" s="491" t="n"/>
      <c r="U714" s="491" t="n"/>
      <c r="V714" s="491" t="n"/>
      <c r="W714" s="491" t="n"/>
      <c r="X714" s="491" t="n"/>
      <c r="Y714" s="491" t="n"/>
    </row>
    <row r="715" ht="12.75" customHeight="1" s="398">
      <c r="A715" s="491" t="n"/>
      <c r="B715" s="491" t="n"/>
      <c r="C715" s="491" t="n"/>
      <c r="D715" s="491" t="n"/>
      <c r="E715" s="491" t="n"/>
      <c r="F715" s="491" t="n"/>
      <c r="G715" s="491" t="n"/>
      <c r="H715" s="491" t="n"/>
      <c r="I715" s="491" t="n"/>
      <c r="J715" s="491" t="n"/>
      <c r="K715" s="491" t="n"/>
      <c r="L715" s="491" t="n"/>
      <c r="M715" s="491" t="n"/>
      <c r="N715" s="491" t="n"/>
      <c r="O715" s="491" t="n"/>
      <c r="P715" s="491" t="n"/>
      <c r="Q715" s="491" t="n"/>
      <c r="R715" s="491" t="n"/>
      <c r="S715" s="491" t="n"/>
      <c r="T715" s="491" t="n"/>
      <c r="U715" s="491" t="n"/>
      <c r="V715" s="491" t="n"/>
      <c r="W715" s="491" t="n"/>
      <c r="X715" s="491" t="n"/>
      <c r="Y715" s="491" t="n"/>
    </row>
    <row r="716" ht="12.75" customHeight="1" s="398">
      <c r="A716" s="491" t="n"/>
      <c r="B716" s="491" t="n"/>
      <c r="C716" s="491" t="n"/>
      <c r="D716" s="491" t="n"/>
      <c r="E716" s="491" t="n"/>
      <c r="F716" s="491" t="n"/>
      <c r="G716" s="491" t="n"/>
      <c r="H716" s="491" t="n"/>
      <c r="I716" s="491" t="n"/>
      <c r="J716" s="491" t="n"/>
      <c r="K716" s="491" t="n"/>
      <c r="L716" s="491" t="n"/>
      <c r="M716" s="491" t="n"/>
      <c r="N716" s="491" t="n"/>
      <c r="O716" s="491" t="n"/>
      <c r="P716" s="491" t="n"/>
      <c r="Q716" s="491" t="n"/>
      <c r="R716" s="491" t="n"/>
      <c r="S716" s="491" t="n"/>
      <c r="T716" s="491" t="n"/>
      <c r="U716" s="491" t="n"/>
      <c r="V716" s="491" t="n"/>
      <c r="W716" s="491" t="n"/>
      <c r="X716" s="491" t="n"/>
      <c r="Y716" s="491" t="n"/>
    </row>
    <row r="717" ht="12.75" customHeight="1" s="398">
      <c r="A717" s="491" t="n"/>
      <c r="B717" s="491" t="n"/>
      <c r="C717" s="491" t="n"/>
      <c r="D717" s="491" t="n"/>
      <c r="E717" s="491" t="n"/>
      <c r="F717" s="491" t="n"/>
      <c r="G717" s="491" t="n"/>
      <c r="H717" s="491" t="n"/>
      <c r="I717" s="491" t="n"/>
      <c r="J717" s="491" t="n"/>
      <c r="K717" s="491" t="n"/>
      <c r="L717" s="491" t="n"/>
      <c r="M717" s="491" t="n"/>
      <c r="N717" s="491" t="n"/>
      <c r="O717" s="491" t="n"/>
      <c r="P717" s="491" t="n"/>
      <c r="Q717" s="491" t="n"/>
      <c r="R717" s="491" t="n"/>
      <c r="S717" s="491" t="n"/>
      <c r="T717" s="491" t="n"/>
      <c r="U717" s="491" t="n"/>
      <c r="V717" s="491" t="n"/>
      <c r="W717" s="491" t="n"/>
      <c r="X717" s="491" t="n"/>
      <c r="Y717" s="491" t="n"/>
    </row>
    <row r="718" ht="12.75" customHeight="1" s="398">
      <c r="A718" s="491" t="n"/>
      <c r="B718" s="491" t="n"/>
      <c r="C718" s="491" t="n"/>
      <c r="D718" s="491" t="n"/>
      <c r="E718" s="491" t="n"/>
      <c r="F718" s="491" t="n"/>
      <c r="G718" s="491" t="n"/>
      <c r="H718" s="491" t="n"/>
      <c r="I718" s="491" t="n"/>
      <c r="J718" s="491" t="n"/>
      <c r="K718" s="491" t="n"/>
      <c r="L718" s="491" t="n"/>
      <c r="M718" s="491" t="n"/>
      <c r="N718" s="491" t="n"/>
      <c r="O718" s="491" t="n"/>
      <c r="P718" s="491" t="n"/>
      <c r="Q718" s="491" t="n"/>
      <c r="R718" s="491" t="n"/>
      <c r="S718" s="491" t="n"/>
      <c r="T718" s="491" t="n"/>
      <c r="U718" s="491" t="n"/>
      <c r="V718" s="491" t="n"/>
      <c r="W718" s="491" t="n"/>
      <c r="X718" s="491" t="n"/>
      <c r="Y718" s="491" t="n"/>
    </row>
    <row r="719" ht="12.75" customHeight="1" s="398">
      <c r="A719" s="491" t="n"/>
      <c r="B719" s="491" t="n"/>
      <c r="C719" s="491" t="n"/>
      <c r="D719" s="491" t="n"/>
      <c r="E719" s="491" t="n"/>
      <c r="F719" s="491" t="n"/>
      <c r="G719" s="491" t="n"/>
      <c r="H719" s="491" t="n"/>
      <c r="I719" s="491" t="n"/>
      <c r="J719" s="491" t="n"/>
      <c r="K719" s="491" t="n"/>
      <c r="L719" s="491" t="n"/>
      <c r="M719" s="491" t="n"/>
      <c r="N719" s="491" t="n"/>
      <c r="O719" s="491" t="n"/>
      <c r="P719" s="491" t="n"/>
      <c r="Q719" s="491" t="n"/>
      <c r="R719" s="491" t="n"/>
      <c r="S719" s="491" t="n"/>
      <c r="T719" s="491" t="n"/>
      <c r="U719" s="491" t="n"/>
      <c r="V719" s="491" t="n"/>
      <c r="W719" s="491" t="n"/>
      <c r="X719" s="491" t="n"/>
      <c r="Y719" s="491" t="n"/>
    </row>
    <row r="720" ht="12.75" customHeight="1" s="398">
      <c r="A720" s="491" t="n"/>
      <c r="B720" s="491" t="n"/>
      <c r="C720" s="491" t="n"/>
      <c r="D720" s="491" t="n"/>
      <c r="E720" s="491" t="n"/>
      <c r="F720" s="491" t="n"/>
      <c r="G720" s="491" t="n"/>
      <c r="H720" s="491" t="n"/>
      <c r="I720" s="491" t="n"/>
      <c r="J720" s="491" t="n"/>
      <c r="K720" s="491" t="n"/>
      <c r="L720" s="491" t="n"/>
      <c r="M720" s="491" t="n"/>
      <c r="N720" s="491" t="n"/>
      <c r="O720" s="491" t="n"/>
      <c r="P720" s="491" t="n"/>
      <c r="Q720" s="491" t="n"/>
      <c r="R720" s="491" t="n"/>
      <c r="S720" s="491" t="n"/>
      <c r="T720" s="491" t="n"/>
      <c r="U720" s="491" t="n"/>
      <c r="V720" s="491" t="n"/>
      <c r="W720" s="491" t="n"/>
      <c r="X720" s="491" t="n"/>
      <c r="Y720" s="491" t="n"/>
    </row>
    <row r="721" ht="12.75" customHeight="1" s="398">
      <c r="A721" s="491" t="n"/>
      <c r="B721" s="491" t="n"/>
      <c r="C721" s="491" t="n"/>
      <c r="D721" s="491" t="n"/>
      <c r="E721" s="491" t="n"/>
      <c r="F721" s="491" t="n"/>
      <c r="G721" s="491" t="n"/>
      <c r="H721" s="491" t="n"/>
      <c r="I721" s="491" t="n"/>
      <c r="J721" s="491" t="n"/>
      <c r="K721" s="491" t="n"/>
      <c r="L721" s="491" t="n"/>
      <c r="M721" s="491" t="n"/>
      <c r="N721" s="491" t="n"/>
      <c r="O721" s="491" t="n"/>
      <c r="P721" s="491" t="n"/>
      <c r="Q721" s="491" t="n"/>
      <c r="R721" s="491" t="n"/>
      <c r="S721" s="491" t="n"/>
      <c r="T721" s="491" t="n"/>
      <c r="U721" s="491" t="n"/>
      <c r="V721" s="491" t="n"/>
      <c r="W721" s="491" t="n"/>
      <c r="X721" s="491" t="n"/>
      <c r="Y721" s="491" t="n"/>
    </row>
    <row r="722" ht="12.75" customHeight="1" s="398">
      <c r="A722" s="491" t="n"/>
      <c r="B722" s="491" t="n"/>
      <c r="C722" s="491" t="n"/>
      <c r="D722" s="491" t="n"/>
      <c r="E722" s="491" t="n"/>
      <c r="F722" s="491" t="n"/>
      <c r="G722" s="491" t="n"/>
      <c r="H722" s="491" t="n"/>
      <c r="I722" s="491" t="n"/>
      <c r="J722" s="491" t="n"/>
      <c r="K722" s="491" t="n"/>
      <c r="L722" s="491" t="n"/>
      <c r="M722" s="491" t="n"/>
      <c r="N722" s="491" t="n"/>
      <c r="O722" s="491" t="n"/>
      <c r="P722" s="491" t="n"/>
      <c r="Q722" s="491" t="n"/>
      <c r="R722" s="491" t="n"/>
      <c r="S722" s="491" t="n"/>
      <c r="T722" s="491" t="n"/>
      <c r="U722" s="491" t="n"/>
      <c r="V722" s="491" t="n"/>
      <c r="W722" s="491" t="n"/>
      <c r="X722" s="491" t="n"/>
      <c r="Y722" s="491" t="n"/>
    </row>
    <row r="723" ht="12.75" customHeight="1" s="398">
      <c r="A723" s="491" t="n"/>
      <c r="B723" s="491" t="n"/>
      <c r="C723" s="491" t="n"/>
      <c r="D723" s="491" t="n"/>
      <c r="E723" s="491" t="n"/>
      <c r="F723" s="491" t="n"/>
      <c r="G723" s="491" t="n"/>
      <c r="H723" s="491" t="n"/>
      <c r="I723" s="491" t="n"/>
      <c r="J723" s="491" t="n"/>
      <c r="K723" s="491" t="n"/>
      <c r="L723" s="491" t="n"/>
      <c r="M723" s="491" t="n"/>
      <c r="N723" s="491" t="n"/>
      <c r="O723" s="491" t="n"/>
      <c r="P723" s="491" t="n"/>
      <c r="Q723" s="491" t="n"/>
      <c r="R723" s="491" t="n"/>
      <c r="S723" s="491" t="n"/>
      <c r="T723" s="491" t="n"/>
      <c r="U723" s="491" t="n"/>
      <c r="V723" s="491" t="n"/>
      <c r="W723" s="491" t="n"/>
      <c r="X723" s="491" t="n"/>
      <c r="Y723" s="491" t="n"/>
    </row>
    <row r="724" ht="12.75" customHeight="1" s="398">
      <c r="A724" s="491" t="n"/>
      <c r="B724" s="491" t="n"/>
      <c r="C724" s="491" t="n"/>
      <c r="D724" s="491" t="n"/>
      <c r="E724" s="491" t="n"/>
      <c r="F724" s="491" t="n"/>
      <c r="G724" s="491" t="n"/>
      <c r="H724" s="491" t="n"/>
      <c r="I724" s="491" t="n"/>
      <c r="J724" s="491" t="n"/>
      <c r="K724" s="491" t="n"/>
      <c r="L724" s="491" t="n"/>
      <c r="M724" s="491" t="n"/>
      <c r="N724" s="491" t="n"/>
      <c r="O724" s="491" t="n"/>
      <c r="P724" s="491" t="n"/>
      <c r="Q724" s="491" t="n"/>
      <c r="R724" s="491" t="n"/>
      <c r="S724" s="491" t="n"/>
      <c r="T724" s="491" t="n"/>
      <c r="U724" s="491" t="n"/>
      <c r="V724" s="491" t="n"/>
      <c r="W724" s="491" t="n"/>
      <c r="X724" s="491" t="n"/>
      <c r="Y724" s="491" t="n"/>
    </row>
    <row r="725" ht="12.75" customHeight="1" s="398">
      <c r="A725" s="491" t="n"/>
      <c r="B725" s="491" t="n"/>
      <c r="C725" s="491" t="n"/>
      <c r="D725" s="491" t="n"/>
      <c r="E725" s="491" t="n"/>
      <c r="F725" s="491" t="n"/>
      <c r="G725" s="491" t="n"/>
      <c r="H725" s="491" t="n"/>
      <c r="I725" s="491" t="n"/>
      <c r="J725" s="491" t="n"/>
      <c r="K725" s="491" t="n"/>
      <c r="L725" s="491" t="n"/>
      <c r="M725" s="491" t="n"/>
      <c r="N725" s="491" t="n"/>
      <c r="O725" s="491" t="n"/>
      <c r="P725" s="491" t="n"/>
      <c r="Q725" s="491" t="n"/>
      <c r="R725" s="491" t="n"/>
      <c r="S725" s="491" t="n"/>
      <c r="T725" s="491" t="n"/>
      <c r="U725" s="491" t="n"/>
      <c r="V725" s="491" t="n"/>
      <c r="W725" s="491" t="n"/>
      <c r="X725" s="491" t="n"/>
      <c r="Y725" s="491" t="n"/>
    </row>
    <row r="726" ht="12.75" customHeight="1" s="398">
      <c r="A726" s="491" t="n"/>
      <c r="B726" s="491" t="n"/>
      <c r="C726" s="491" t="n"/>
      <c r="D726" s="491" t="n"/>
      <c r="E726" s="491" t="n"/>
      <c r="F726" s="491" t="n"/>
      <c r="G726" s="491" t="n"/>
      <c r="H726" s="491" t="n"/>
      <c r="I726" s="491" t="n"/>
      <c r="J726" s="491" t="n"/>
      <c r="K726" s="491" t="n"/>
      <c r="L726" s="491" t="n"/>
      <c r="M726" s="491" t="n"/>
      <c r="N726" s="491" t="n"/>
      <c r="O726" s="491" t="n"/>
      <c r="P726" s="491" t="n"/>
      <c r="Q726" s="491" t="n"/>
      <c r="R726" s="491" t="n"/>
      <c r="S726" s="491" t="n"/>
      <c r="T726" s="491" t="n"/>
      <c r="U726" s="491" t="n"/>
      <c r="V726" s="491" t="n"/>
      <c r="W726" s="491" t="n"/>
      <c r="X726" s="491" t="n"/>
      <c r="Y726" s="491" t="n"/>
    </row>
    <row r="727" ht="12.75" customHeight="1" s="398">
      <c r="A727" s="491" t="n"/>
      <c r="B727" s="491" t="n"/>
      <c r="C727" s="491" t="n"/>
      <c r="D727" s="491" t="n"/>
      <c r="E727" s="491" t="n"/>
      <c r="F727" s="491" t="n"/>
      <c r="G727" s="491" t="n"/>
      <c r="H727" s="491" t="n"/>
      <c r="I727" s="491" t="n"/>
      <c r="J727" s="491" t="n"/>
      <c r="K727" s="491" t="n"/>
      <c r="L727" s="491" t="n"/>
      <c r="M727" s="491" t="n"/>
      <c r="N727" s="491" t="n"/>
      <c r="O727" s="491" t="n"/>
      <c r="P727" s="491" t="n"/>
      <c r="Q727" s="491" t="n"/>
      <c r="R727" s="491" t="n"/>
      <c r="S727" s="491" t="n"/>
      <c r="T727" s="491" t="n"/>
      <c r="U727" s="491" t="n"/>
      <c r="V727" s="491" t="n"/>
      <c r="W727" s="491" t="n"/>
      <c r="X727" s="491" t="n"/>
      <c r="Y727" s="491" t="n"/>
    </row>
    <row r="728" ht="12.75" customHeight="1" s="398">
      <c r="A728" s="491" t="n"/>
      <c r="B728" s="491" t="n"/>
      <c r="C728" s="491" t="n"/>
      <c r="D728" s="491" t="n"/>
      <c r="E728" s="491" t="n"/>
      <c r="F728" s="491" t="n"/>
      <c r="G728" s="491" t="n"/>
      <c r="H728" s="491" t="n"/>
      <c r="I728" s="491" t="n"/>
      <c r="J728" s="491" t="n"/>
      <c r="K728" s="491" t="n"/>
      <c r="L728" s="491" t="n"/>
      <c r="M728" s="491" t="n"/>
      <c r="N728" s="491" t="n"/>
      <c r="O728" s="491" t="n"/>
      <c r="P728" s="491" t="n"/>
      <c r="Q728" s="491" t="n"/>
      <c r="R728" s="491" t="n"/>
      <c r="S728" s="491" t="n"/>
      <c r="T728" s="491" t="n"/>
      <c r="U728" s="491" t="n"/>
      <c r="V728" s="491" t="n"/>
      <c r="W728" s="491" t="n"/>
      <c r="X728" s="491" t="n"/>
      <c r="Y728" s="491" t="n"/>
    </row>
    <row r="729" ht="12.75" customHeight="1" s="398">
      <c r="A729" s="491" t="n"/>
      <c r="B729" s="491" t="n"/>
      <c r="C729" s="491" t="n"/>
      <c r="D729" s="491" t="n"/>
      <c r="E729" s="491" t="n"/>
      <c r="F729" s="491" t="n"/>
      <c r="G729" s="491" t="n"/>
      <c r="H729" s="491" t="n"/>
      <c r="I729" s="491" t="n"/>
      <c r="J729" s="491" t="n"/>
      <c r="K729" s="491" t="n"/>
      <c r="L729" s="491" t="n"/>
      <c r="M729" s="491" t="n"/>
      <c r="N729" s="491" t="n"/>
      <c r="O729" s="491" t="n"/>
      <c r="P729" s="491" t="n"/>
      <c r="Q729" s="491" t="n"/>
      <c r="R729" s="491" t="n"/>
      <c r="S729" s="491" t="n"/>
      <c r="T729" s="491" t="n"/>
      <c r="U729" s="491" t="n"/>
      <c r="V729" s="491" t="n"/>
      <c r="W729" s="491" t="n"/>
      <c r="X729" s="491" t="n"/>
      <c r="Y729" s="491" t="n"/>
    </row>
    <row r="730" ht="12.75" customHeight="1" s="398">
      <c r="A730" s="491" t="n"/>
      <c r="B730" s="491" t="n"/>
      <c r="C730" s="491" t="n"/>
      <c r="D730" s="491" t="n"/>
      <c r="E730" s="491" t="n"/>
      <c r="F730" s="491" t="n"/>
      <c r="G730" s="491" t="n"/>
      <c r="H730" s="491" t="n"/>
      <c r="I730" s="491" t="n"/>
      <c r="J730" s="491" t="n"/>
      <c r="K730" s="491" t="n"/>
      <c r="L730" s="491" t="n"/>
      <c r="M730" s="491" t="n"/>
      <c r="N730" s="491" t="n"/>
      <c r="O730" s="491" t="n"/>
      <c r="P730" s="491" t="n"/>
      <c r="Q730" s="491" t="n"/>
      <c r="R730" s="491" t="n"/>
      <c r="S730" s="491" t="n"/>
      <c r="T730" s="491" t="n"/>
      <c r="U730" s="491" t="n"/>
      <c r="V730" s="491" t="n"/>
      <c r="W730" s="491" t="n"/>
      <c r="X730" s="491" t="n"/>
      <c r="Y730" s="491" t="n"/>
    </row>
    <row r="731" ht="12.75" customHeight="1" s="398">
      <c r="A731" s="491" t="n"/>
      <c r="B731" s="491" t="n"/>
      <c r="C731" s="491" t="n"/>
      <c r="D731" s="491" t="n"/>
      <c r="E731" s="491" t="n"/>
      <c r="F731" s="491" t="n"/>
      <c r="G731" s="491" t="n"/>
      <c r="H731" s="491" t="n"/>
      <c r="I731" s="491" t="n"/>
      <c r="J731" s="491" t="n"/>
      <c r="K731" s="491" t="n"/>
      <c r="L731" s="491" t="n"/>
      <c r="M731" s="491" t="n"/>
      <c r="N731" s="491" t="n"/>
      <c r="O731" s="491" t="n"/>
      <c r="P731" s="491" t="n"/>
      <c r="Q731" s="491" t="n"/>
      <c r="R731" s="491" t="n"/>
      <c r="S731" s="491" t="n"/>
      <c r="T731" s="491" t="n"/>
      <c r="U731" s="491" t="n"/>
      <c r="V731" s="491" t="n"/>
      <c r="W731" s="491" t="n"/>
      <c r="X731" s="491" t="n"/>
      <c r="Y731" s="491" t="n"/>
    </row>
    <row r="732" ht="12.75" customHeight="1" s="398">
      <c r="A732" s="491" t="n"/>
      <c r="B732" s="491" t="n"/>
      <c r="C732" s="491" t="n"/>
      <c r="D732" s="491" t="n"/>
      <c r="E732" s="491" t="n"/>
      <c r="F732" s="491" t="n"/>
      <c r="G732" s="491" t="n"/>
      <c r="H732" s="491" t="n"/>
      <c r="I732" s="491" t="n"/>
      <c r="J732" s="491" t="n"/>
      <c r="K732" s="491" t="n"/>
      <c r="L732" s="491" t="n"/>
      <c r="M732" s="491" t="n"/>
      <c r="N732" s="491" t="n"/>
      <c r="O732" s="491" t="n"/>
      <c r="P732" s="491" t="n"/>
      <c r="Q732" s="491" t="n"/>
      <c r="R732" s="491" t="n"/>
      <c r="S732" s="491" t="n"/>
      <c r="T732" s="491" t="n"/>
      <c r="U732" s="491" t="n"/>
      <c r="V732" s="491" t="n"/>
      <c r="W732" s="491" t="n"/>
      <c r="X732" s="491" t="n"/>
      <c r="Y732" s="491" t="n"/>
    </row>
    <row r="733" ht="12.75" customHeight="1" s="398">
      <c r="A733" s="491" t="n"/>
      <c r="B733" s="491" t="n"/>
      <c r="C733" s="491" t="n"/>
      <c r="D733" s="491" t="n"/>
      <c r="E733" s="491" t="n"/>
      <c r="F733" s="491" t="n"/>
      <c r="G733" s="491" t="n"/>
      <c r="H733" s="491" t="n"/>
      <c r="I733" s="491" t="n"/>
      <c r="J733" s="491" t="n"/>
      <c r="K733" s="491" t="n"/>
      <c r="L733" s="491" t="n"/>
      <c r="M733" s="491" t="n"/>
      <c r="N733" s="491" t="n"/>
      <c r="O733" s="491" t="n"/>
      <c r="P733" s="491" t="n"/>
      <c r="Q733" s="491" t="n"/>
      <c r="R733" s="491" t="n"/>
      <c r="S733" s="491" t="n"/>
      <c r="T733" s="491" t="n"/>
      <c r="U733" s="491" t="n"/>
      <c r="V733" s="491" t="n"/>
      <c r="W733" s="491" t="n"/>
      <c r="X733" s="491" t="n"/>
      <c r="Y733" s="491" t="n"/>
    </row>
    <row r="734" ht="12.75" customHeight="1" s="398">
      <c r="A734" s="491" t="n"/>
      <c r="B734" s="491" t="n"/>
      <c r="C734" s="491" t="n"/>
      <c r="D734" s="491" t="n"/>
      <c r="E734" s="491" t="n"/>
      <c r="F734" s="491" t="n"/>
      <c r="G734" s="491" t="n"/>
      <c r="H734" s="491" t="n"/>
      <c r="I734" s="491" t="n"/>
      <c r="J734" s="491" t="n"/>
      <c r="K734" s="491" t="n"/>
      <c r="L734" s="491" t="n"/>
      <c r="M734" s="491" t="n"/>
      <c r="N734" s="491" t="n"/>
      <c r="O734" s="491" t="n"/>
      <c r="P734" s="491" t="n"/>
      <c r="Q734" s="491" t="n"/>
      <c r="R734" s="491" t="n"/>
      <c r="S734" s="491" t="n"/>
      <c r="T734" s="491" t="n"/>
      <c r="U734" s="491" t="n"/>
      <c r="V734" s="491" t="n"/>
      <c r="W734" s="491" t="n"/>
      <c r="X734" s="491" t="n"/>
      <c r="Y734" s="491" t="n"/>
    </row>
    <row r="735" ht="12.75" customHeight="1" s="398">
      <c r="A735" s="491" t="n"/>
      <c r="B735" s="491" t="n"/>
      <c r="C735" s="491" t="n"/>
      <c r="D735" s="491" t="n"/>
      <c r="E735" s="491" t="n"/>
      <c r="F735" s="491" t="n"/>
      <c r="G735" s="491" t="n"/>
      <c r="H735" s="491" t="n"/>
      <c r="I735" s="491" t="n"/>
      <c r="J735" s="491" t="n"/>
      <c r="K735" s="491" t="n"/>
      <c r="L735" s="491" t="n"/>
      <c r="M735" s="491" t="n"/>
      <c r="N735" s="491" t="n"/>
      <c r="O735" s="491" t="n"/>
      <c r="P735" s="491" t="n"/>
      <c r="Q735" s="491" t="n"/>
      <c r="R735" s="491" t="n"/>
      <c r="S735" s="491" t="n"/>
      <c r="T735" s="491" t="n"/>
      <c r="U735" s="491" t="n"/>
      <c r="V735" s="491" t="n"/>
      <c r="W735" s="491" t="n"/>
      <c r="X735" s="491" t="n"/>
      <c r="Y735" s="491" t="n"/>
    </row>
    <row r="736" ht="12.75" customHeight="1" s="398">
      <c r="A736" s="491" t="n"/>
      <c r="B736" s="491" t="n"/>
      <c r="C736" s="491" t="n"/>
      <c r="D736" s="491" t="n"/>
      <c r="E736" s="491" t="n"/>
      <c r="F736" s="491" t="n"/>
      <c r="G736" s="491" t="n"/>
      <c r="H736" s="491" t="n"/>
      <c r="I736" s="491" t="n"/>
      <c r="J736" s="491" t="n"/>
      <c r="K736" s="491" t="n"/>
      <c r="L736" s="491" t="n"/>
      <c r="M736" s="491" t="n"/>
      <c r="N736" s="491" t="n"/>
      <c r="O736" s="491" t="n"/>
      <c r="P736" s="491" t="n"/>
      <c r="Q736" s="491" t="n"/>
      <c r="R736" s="491" t="n"/>
      <c r="S736" s="491" t="n"/>
      <c r="T736" s="491" t="n"/>
      <c r="U736" s="491" t="n"/>
      <c r="V736" s="491" t="n"/>
      <c r="W736" s="491" t="n"/>
      <c r="X736" s="491" t="n"/>
      <c r="Y736" s="491" t="n"/>
    </row>
    <row r="737" ht="12.75" customHeight="1" s="398">
      <c r="A737" s="491" t="n"/>
      <c r="B737" s="491" t="n"/>
      <c r="C737" s="491" t="n"/>
      <c r="D737" s="491" t="n"/>
      <c r="E737" s="491" t="n"/>
      <c r="F737" s="491" t="n"/>
      <c r="G737" s="491" t="n"/>
      <c r="H737" s="491" t="n"/>
      <c r="I737" s="491" t="n"/>
      <c r="J737" s="491" t="n"/>
      <c r="K737" s="491" t="n"/>
      <c r="L737" s="491" t="n"/>
      <c r="M737" s="491" t="n"/>
      <c r="N737" s="491" t="n"/>
      <c r="O737" s="491" t="n"/>
      <c r="P737" s="491" t="n"/>
      <c r="Q737" s="491" t="n"/>
      <c r="R737" s="491" t="n"/>
      <c r="S737" s="491" t="n"/>
      <c r="T737" s="491" t="n"/>
      <c r="U737" s="491" t="n"/>
      <c r="V737" s="491" t="n"/>
      <c r="W737" s="491" t="n"/>
      <c r="X737" s="491" t="n"/>
      <c r="Y737" s="491" t="n"/>
    </row>
    <row r="738" ht="12.75" customHeight="1" s="398">
      <c r="A738" s="491" t="n"/>
      <c r="B738" s="491" t="n"/>
      <c r="C738" s="491" t="n"/>
      <c r="D738" s="491" t="n"/>
      <c r="E738" s="491" t="n"/>
      <c r="F738" s="491" t="n"/>
      <c r="G738" s="491" t="n"/>
      <c r="H738" s="491" t="n"/>
      <c r="I738" s="491" t="n"/>
      <c r="J738" s="491" t="n"/>
      <c r="K738" s="491" t="n"/>
      <c r="L738" s="491" t="n"/>
      <c r="M738" s="491" t="n"/>
      <c r="N738" s="491" t="n"/>
      <c r="O738" s="491" t="n"/>
      <c r="P738" s="491" t="n"/>
      <c r="Q738" s="491" t="n"/>
      <c r="R738" s="491" t="n"/>
      <c r="S738" s="491" t="n"/>
      <c r="T738" s="491" t="n"/>
      <c r="U738" s="491" t="n"/>
      <c r="V738" s="491" t="n"/>
      <c r="W738" s="491" t="n"/>
      <c r="X738" s="491" t="n"/>
      <c r="Y738" s="491" t="n"/>
    </row>
    <row r="739" ht="12.75" customHeight="1" s="398">
      <c r="A739" s="491" t="n"/>
      <c r="B739" s="491" t="n"/>
      <c r="C739" s="491" t="n"/>
      <c r="D739" s="491" t="n"/>
      <c r="E739" s="491" t="n"/>
      <c r="F739" s="491" t="n"/>
      <c r="G739" s="491" t="n"/>
      <c r="H739" s="491" t="n"/>
      <c r="I739" s="491" t="n"/>
      <c r="J739" s="491" t="n"/>
      <c r="K739" s="491" t="n"/>
      <c r="L739" s="491" t="n"/>
      <c r="M739" s="491" t="n"/>
      <c r="N739" s="491" t="n"/>
      <c r="O739" s="491" t="n"/>
      <c r="P739" s="491" t="n"/>
      <c r="Q739" s="491" t="n"/>
      <c r="R739" s="491" t="n"/>
      <c r="S739" s="491" t="n"/>
      <c r="T739" s="491" t="n"/>
      <c r="U739" s="491" t="n"/>
      <c r="V739" s="491" t="n"/>
      <c r="W739" s="491" t="n"/>
      <c r="X739" s="491" t="n"/>
      <c r="Y739" s="491" t="n"/>
    </row>
    <row r="740" ht="12.75" customHeight="1" s="398">
      <c r="A740" s="491" t="n"/>
      <c r="B740" s="491" t="n"/>
      <c r="C740" s="491" t="n"/>
      <c r="D740" s="491" t="n"/>
      <c r="E740" s="491" t="n"/>
      <c r="F740" s="491" t="n"/>
      <c r="G740" s="491" t="n"/>
      <c r="H740" s="491" t="n"/>
      <c r="I740" s="491" t="n"/>
      <c r="J740" s="491" t="n"/>
      <c r="K740" s="491" t="n"/>
      <c r="L740" s="491" t="n"/>
      <c r="M740" s="491" t="n"/>
      <c r="N740" s="491" t="n"/>
      <c r="O740" s="491" t="n"/>
      <c r="P740" s="491" t="n"/>
      <c r="Q740" s="491" t="n"/>
      <c r="R740" s="491" t="n"/>
      <c r="S740" s="491" t="n"/>
      <c r="T740" s="491" t="n"/>
      <c r="U740" s="491" t="n"/>
      <c r="V740" s="491" t="n"/>
      <c r="W740" s="491" t="n"/>
      <c r="X740" s="491" t="n"/>
      <c r="Y740" s="491" t="n"/>
    </row>
    <row r="741" ht="12.75" customHeight="1" s="398">
      <c r="A741" s="491" t="n"/>
      <c r="B741" s="491" t="n"/>
      <c r="C741" s="491" t="n"/>
      <c r="D741" s="491" t="n"/>
      <c r="E741" s="491" t="n"/>
      <c r="F741" s="491" t="n"/>
      <c r="G741" s="491" t="n"/>
      <c r="H741" s="491" t="n"/>
      <c r="I741" s="491" t="n"/>
      <c r="J741" s="491" t="n"/>
      <c r="K741" s="491" t="n"/>
      <c r="L741" s="491" t="n"/>
      <c r="M741" s="491" t="n"/>
      <c r="N741" s="491" t="n"/>
      <c r="O741" s="491" t="n"/>
      <c r="P741" s="491" t="n"/>
      <c r="Q741" s="491" t="n"/>
      <c r="R741" s="491" t="n"/>
      <c r="S741" s="491" t="n"/>
      <c r="T741" s="491" t="n"/>
      <c r="U741" s="491" t="n"/>
      <c r="V741" s="491" t="n"/>
      <c r="W741" s="491" t="n"/>
      <c r="X741" s="491" t="n"/>
      <c r="Y741" s="491" t="n"/>
    </row>
    <row r="742" ht="12.75" customHeight="1" s="398">
      <c r="A742" s="491" t="n"/>
      <c r="B742" s="491" t="n"/>
      <c r="C742" s="491" t="n"/>
      <c r="D742" s="491" t="n"/>
      <c r="E742" s="491" t="n"/>
      <c r="F742" s="491" t="n"/>
      <c r="G742" s="491" t="n"/>
      <c r="H742" s="491" t="n"/>
      <c r="I742" s="491" t="n"/>
      <c r="J742" s="491" t="n"/>
      <c r="K742" s="491" t="n"/>
      <c r="L742" s="491" t="n"/>
      <c r="M742" s="491" t="n"/>
      <c r="N742" s="491" t="n"/>
      <c r="O742" s="491" t="n"/>
      <c r="P742" s="491" t="n"/>
      <c r="Q742" s="491" t="n"/>
      <c r="R742" s="491" t="n"/>
      <c r="S742" s="491" t="n"/>
      <c r="T742" s="491" t="n"/>
      <c r="U742" s="491" t="n"/>
      <c r="V742" s="491" t="n"/>
      <c r="W742" s="491" t="n"/>
      <c r="X742" s="491" t="n"/>
      <c r="Y742" s="491" t="n"/>
    </row>
    <row r="743" ht="12.75" customHeight="1" s="398">
      <c r="A743" s="491" t="n"/>
      <c r="B743" s="491" t="n"/>
      <c r="C743" s="491" t="n"/>
      <c r="D743" s="491" t="n"/>
      <c r="E743" s="491" t="n"/>
      <c r="F743" s="491" t="n"/>
      <c r="G743" s="491" t="n"/>
      <c r="H743" s="491" t="n"/>
      <c r="I743" s="491" t="n"/>
      <c r="J743" s="491" t="n"/>
      <c r="K743" s="491" t="n"/>
      <c r="L743" s="491" t="n"/>
      <c r="M743" s="491" t="n"/>
      <c r="N743" s="491" t="n"/>
      <c r="O743" s="491" t="n"/>
      <c r="P743" s="491" t="n"/>
      <c r="Q743" s="491" t="n"/>
      <c r="R743" s="491" t="n"/>
      <c r="S743" s="491" t="n"/>
      <c r="T743" s="491" t="n"/>
      <c r="U743" s="491" t="n"/>
      <c r="V743" s="491" t="n"/>
      <c r="W743" s="491" t="n"/>
      <c r="X743" s="491" t="n"/>
      <c r="Y743" s="491" t="n"/>
    </row>
    <row r="744" ht="12.75" customHeight="1" s="398">
      <c r="A744" s="491" t="n"/>
      <c r="B744" s="491" t="n"/>
      <c r="C744" s="491" t="n"/>
      <c r="D744" s="491" t="n"/>
      <c r="E744" s="491" t="n"/>
      <c r="F744" s="491" t="n"/>
      <c r="G744" s="491" t="n"/>
      <c r="H744" s="491" t="n"/>
      <c r="I744" s="491" t="n"/>
      <c r="J744" s="491" t="n"/>
      <c r="K744" s="491" t="n"/>
      <c r="L744" s="491" t="n"/>
      <c r="M744" s="491" t="n"/>
      <c r="N744" s="491" t="n"/>
      <c r="O744" s="491" t="n"/>
      <c r="P744" s="491" t="n"/>
      <c r="Q744" s="491" t="n"/>
      <c r="R744" s="491" t="n"/>
      <c r="S744" s="491" t="n"/>
      <c r="T744" s="491" t="n"/>
      <c r="U744" s="491" t="n"/>
      <c r="V744" s="491" t="n"/>
      <c r="W744" s="491" t="n"/>
      <c r="X744" s="491" t="n"/>
      <c r="Y744" s="491" t="n"/>
    </row>
    <row r="745" ht="12.75" customHeight="1" s="398">
      <c r="A745" s="491" t="n"/>
      <c r="B745" s="491" t="n"/>
      <c r="C745" s="491" t="n"/>
      <c r="D745" s="491" t="n"/>
      <c r="E745" s="491" t="n"/>
      <c r="F745" s="491" t="n"/>
      <c r="G745" s="491" t="n"/>
      <c r="H745" s="491" t="n"/>
      <c r="I745" s="491" t="n"/>
      <c r="J745" s="491" t="n"/>
      <c r="K745" s="491" t="n"/>
      <c r="L745" s="491" t="n"/>
      <c r="M745" s="491" t="n"/>
      <c r="N745" s="491" t="n"/>
      <c r="O745" s="491" t="n"/>
      <c r="P745" s="491" t="n"/>
      <c r="Q745" s="491" t="n"/>
      <c r="R745" s="491" t="n"/>
      <c r="S745" s="491" t="n"/>
      <c r="T745" s="491" t="n"/>
      <c r="U745" s="491" t="n"/>
      <c r="V745" s="491" t="n"/>
      <c r="W745" s="491" t="n"/>
      <c r="X745" s="491" t="n"/>
      <c r="Y745" s="491" t="n"/>
    </row>
    <row r="746" ht="12.75" customHeight="1" s="398">
      <c r="A746" s="491" t="n"/>
      <c r="B746" s="491" t="n"/>
      <c r="C746" s="491" t="n"/>
      <c r="D746" s="491" t="n"/>
      <c r="E746" s="491" t="n"/>
      <c r="F746" s="491" t="n"/>
      <c r="G746" s="491" t="n"/>
      <c r="H746" s="491" t="n"/>
      <c r="I746" s="491" t="n"/>
      <c r="J746" s="491" t="n"/>
      <c r="K746" s="491" t="n"/>
      <c r="L746" s="491" t="n"/>
      <c r="M746" s="491" t="n"/>
      <c r="N746" s="491" t="n"/>
      <c r="O746" s="491" t="n"/>
      <c r="P746" s="491" t="n"/>
      <c r="Q746" s="491" t="n"/>
      <c r="R746" s="491" t="n"/>
      <c r="S746" s="491" t="n"/>
      <c r="T746" s="491" t="n"/>
      <c r="U746" s="491" t="n"/>
      <c r="V746" s="491" t="n"/>
      <c r="W746" s="491" t="n"/>
      <c r="X746" s="491" t="n"/>
      <c r="Y746" s="491" t="n"/>
    </row>
    <row r="747" ht="12.75" customHeight="1" s="398">
      <c r="A747" s="491" t="n"/>
      <c r="B747" s="491" t="n"/>
      <c r="C747" s="491" t="n"/>
      <c r="D747" s="491" t="n"/>
      <c r="E747" s="491" t="n"/>
      <c r="F747" s="491" t="n"/>
      <c r="G747" s="491" t="n"/>
      <c r="H747" s="491" t="n"/>
      <c r="I747" s="491" t="n"/>
      <c r="J747" s="491" t="n"/>
      <c r="K747" s="491" t="n"/>
      <c r="L747" s="491" t="n"/>
      <c r="M747" s="491" t="n"/>
      <c r="N747" s="491" t="n"/>
      <c r="O747" s="491" t="n"/>
      <c r="P747" s="491" t="n"/>
      <c r="Q747" s="491" t="n"/>
      <c r="R747" s="491" t="n"/>
      <c r="S747" s="491" t="n"/>
      <c r="T747" s="491" t="n"/>
      <c r="U747" s="491" t="n"/>
      <c r="V747" s="491" t="n"/>
      <c r="W747" s="491" t="n"/>
      <c r="X747" s="491" t="n"/>
      <c r="Y747" s="491" t="n"/>
    </row>
    <row r="748" ht="12.75" customHeight="1" s="398">
      <c r="A748" s="491" t="n"/>
      <c r="B748" s="491" t="n"/>
      <c r="C748" s="491" t="n"/>
      <c r="D748" s="491" t="n"/>
      <c r="E748" s="491" t="n"/>
      <c r="F748" s="491" t="n"/>
      <c r="G748" s="491" t="n"/>
      <c r="H748" s="491" t="n"/>
      <c r="I748" s="491" t="n"/>
      <c r="J748" s="491" t="n"/>
      <c r="K748" s="491" t="n"/>
      <c r="L748" s="491" t="n"/>
      <c r="M748" s="491" t="n"/>
      <c r="N748" s="491" t="n"/>
      <c r="O748" s="491" t="n"/>
      <c r="P748" s="491" t="n"/>
      <c r="Q748" s="491" t="n"/>
      <c r="R748" s="491" t="n"/>
      <c r="S748" s="491" t="n"/>
      <c r="T748" s="491" t="n"/>
      <c r="U748" s="491" t="n"/>
      <c r="V748" s="491" t="n"/>
      <c r="W748" s="491" t="n"/>
      <c r="X748" s="491" t="n"/>
      <c r="Y748" s="491" t="n"/>
    </row>
    <row r="749" ht="12.75" customHeight="1" s="398">
      <c r="A749" s="491" t="n"/>
      <c r="B749" s="491" t="n"/>
      <c r="C749" s="491" t="n"/>
      <c r="D749" s="491" t="n"/>
      <c r="E749" s="491" t="n"/>
      <c r="F749" s="491" t="n"/>
      <c r="G749" s="491" t="n"/>
      <c r="H749" s="491" t="n"/>
      <c r="I749" s="491" t="n"/>
      <c r="J749" s="491" t="n"/>
      <c r="K749" s="491" t="n"/>
      <c r="L749" s="491" t="n"/>
      <c r="M749" s="491" t="n"/>
      <c r="N749" s="491" t="n"/>
      <c r="O749" s="491" t="n"/>
      <c r="P749" s="491" t="n"/>
      <c r="Q749" s="491" t="n"/>
      <c r="R749" s="491" t="n"/>
      <c r="S749" s="491" t="n"/>
      <c r="T749" s="491" t="n"/>
      <c r="U749" s="491" t="n"/>
      <c r="V749" s="491" t="n"/>
      <c r="W749" s="491" t="n"/>
      <c r="X749" s="491" t="n"/>
      <c r="Y749" s="491" t="n"/>
    </row>
    <row r="750" ht="12.75" customHeight="1" s="398">
      <c r="A750" s="491" t="n"/>
      <c r="B750" s="491" t="n"/>
      <c r="C750" s="491" t="n"/>
      <c r="D750" s="491" t="n"/>
      <c r="E750" s="491" t="n"/>
      <c r="F750" s="491" t="n"/>
      <c r="G750" s="491" t="n"/>
      <c r="H750" s="491" t="n"/>
      <c r="I750" s="491" t="n"/>
      <c r="J750" s="491" t="n"/>
      <c r="K750" s="491" t="n"/>
      <c r="L750" s="491" t="n"/>
      <c r="M750" s="491" t="n"/>
      <c r="N750" s="491" t="n"/>
      <c r="O750" s="491" t="n"/>
      <c r="P750" s="491" t="n"/>
      <c r="Q750" s="491" t="n"/>
      <c r="R750" s="491" t="n"/>
      <c r="S750" s="491" t="n"/>
      <c r="T750" s="491" t="n"/>
      <c r="U750" s="491" t="n"/>
      <c r="V750" s="491" t="n"/>
      <c r="W750" s="491" t="n"/>
      <c r="X750" s="491" t="n"/>
      <c r="Y750" s="491" t="n"/>
    </row>
    <row r="751" ht="12.75" customHeight="1" s="398">
      <c r="A751" s="491" t="n"/>
      <c r="B751" s="491" t="n"/>
      <c r="C751" s="491" t="n"/>
      <c r="D751" s="491" t="n"/>
      <c r="E751" s="491" t="n"/>
      <c r="F751" s="491" t="n"/>
      <c r="G751" s="491" t="n"/>
      <c r="H751" s="491" t="n"/>
      <c r="I751" s="491" t="n"/>
      <c r="J751" s="491" t="n"/>
      <c r="K751" s="491" t="n"/>
      <c r="L751" s="491" t="n"/>
      <c r="M751" s="491" t="n"/>
      <c r="N751" s="491" t="n"/>
      <c r="O751" s="491" t="n"/>
      <c r="P751" s="491" t="n"/>
      <c r="Q751" s="491" t="n"/>
      <c r="R751" s="491" t="n"/>
      <c r="S751" s="491" t="n"/>
      <c r="T751" s="491" t="n"/>
      <c r="U751" s="491" t="n"/>
      <c r="V751" s="491" t="n"/>
      <c r="W751" s="491" t="n"/>
      <c r="X751" s="491" t="n"/>
      <c r="Y751" s="491" t="n"/>
    </row>
    <row r="752" ht="12.75" customHeight="1" s="398">
      <c r="A752" s="491" t="n"/>
      <c r="B752" s="491" t="n"/>
      <c r="C752" s="491" t="n"/>
      <c r="D752" s="491" t="n"/>
      <c r="E752" s="491" t="n"/>
      <c r="F752" s="491" t="n"/>
      <c r="G752" s="491" t="n"/>
      <c r="H752" s="491" t="n"/>
      <c r="I752" s="491" t="n"/>
      <c r="J752" s="491" t="n"/>
      <c r="K752" s="491" t="n"/>
      <c r="L752" s="491" t="n"/>
      <c r="M752" s="491" t="n"/>
      <c r="N752" s="491" t="n"/>
      <c r="O752" s="491" t="n"/>
      <c r="P752" s="491" t="n"/>
      <c r="Q752" s="491" t="n"/>
      <c r="R752" s="491" t="n"/>
      <c r="S752" s="491" t="n"/>
      <c r="T752" s="491" t="n"/>
      <c r="U752" s="491" t="n"/>
      <c r="V752" s="491" t="n"/>
      <c r="W752" s="491" t="n"/>
      <c r="X752" s="491" t="n"/>
      <c r="Y752" s="491" t="n"/>
    </row>
    <row r="753" ht="12.75" customHeight="1" s="398">
      <c r="A753" s="491" t="n"/>
      <c r="B753" s="491" t="n"/>
      <c r="C753" s="491" t="n"/>
      <c r="D753" s="491" t="n"/>
      <c r="E753" s="491" t="n"/>
      <c r="F753" s="491" t="n"/>
      <c r="G753" s="491" t="n"/>
      <c r="H753" s="491" t="n"/>
      <c r="I753" s="491" t="n"/>
      <c r="J753" s="491" t="n"/>
      <c r="K753" s="491" t="n"/>
      <c r="L753" s="491" t="n"/>
      <c r="M753" s="491" t="n"/>
      <c r="N753" s="491" t="n"/>
      <c r="O753" s="491" t="n"/>
      <c r="P753" s="491" t="n"/>
      <c r="Q753" s="491" t="n"/>
      <c r="R753" s="491" t="n"/>
      <c r="S753" s="491" t="n"/>
      <c r="T753" s="491" t="n"/>
      <c r="U753" s="491" t="n"/>
      <c r="V753" s="491" t="n"/>
      <c r="W753" s="491" t="n"/>
      <c r="X753" s="491" t="n"/>
      <c r="Y753" s="491" t="n"/>
    </row>
    <row r="754" ht="12.75" customHeight="1" s="398">
      <c r="A754" s="491" t="n"/>
      <c r="B754" s="491" t="n"/>
      <c r="C754" s="491" t="n"/>
      <c r="D754" s="491" t="n"/>
      <c r="E754" s="491" t="n"/>
      <c r="F754" s="491" t="n"/>
      <c r="G754" s="491" t="n"/>
      <c r="H754" s="491" t="n"/>
      <c r="I754" s="491" t="n"/>
      <c r="J754" s="491" t="n"/>
      <c r="K754" s="491" t="n"/>
      <c r="L754" s="491" t="n"/>
      <c r="M754" s="491" t="n"/>
      <c r="N754" s="491" t="n"/>
      <c r="O754" s="491" t="n"/>
      <c r="P754" s="491" t="n"/>
      <c r="Q754" s="491" t="n"/>
      <c r="R754" s="491" t="n"/>
      <c r="S754" s="491" t="n"/>
      <c r="T754" s="491" t="n"/>
      <c r="U754" s="491" t="n"/>
      <c r="V754" s="491" t="n"/>
      <c r="W754" s="491" t="n"/>
      <c r="X754" s="491" t="n"/>
      <c r="Y754" s="491" t="n"/>
    </row>
    <row r="755" ht="12.75" customHeight="1" s="398">
      <c r="A755" s="491" t="n"/>
      <c r="B755" s="491" t="n"/>
      <c r="C755" s="491" t="n"/>
      <c r="D755" s="491" t="n"/>
      <c r="E755" s="491" t="n"/>
      <c r="F755" s="491" t="n"/>
      <c r="G755" s="491" t="n"/>
      <c r="H755" s="491" t="n"/>
      <c r="I755" s="491" t="n"/>
      <c r="J755" s="491" t="n"/>
      <c r="K755" s="491" t="n"/>
      <c r="L755" s="491" t="n"/>
      <c r="M755" s="491" t="n"/>
      <c r="N755" s="491" t="n"/>
      <c r="O755" s="491" t="n"/>
      <c r="P755" s="491" t="n"/>
      <c r="Q755" s="491" t="n"/>
      <c r="R755" s="491" t="n"/>
      <c r="S755" s="491" t="n"/>
      <c r="T755" s="491" t="n"/>
      <c r="U755" s="491" t="n"/>
      <c r="V755" s="491" t="n"/>
      <c r="W755" s="491" t="n"/>
      <c r="X755" s="491" t="n"/>
      <c r="Y755" s="491" t="n"/>
    </row>
    <row r="756" ht="12.75" customHeight="1" s="398">
      <c r="A756" s="491" t="n"/>
      <c r="B756" s="491" t="n"/>
      <c r="C756" s="491" t="n"/>
      <c r="D756" s="491" t="n"/>
      <c r="E756" s="491" t="n"/>
      <c r="F756" s="491" t="n"/>
      <c r="G756" s="491" t="n"/>
      <c r="H756" s="491" t="n"/>
      <c r="I756" s="491" t="n"/>
      <c r="J756" s="491" t="n"/>
      <c r="K756" s="491" t="n"/>
      <c r="L756" s="491" t="n"/>
      <c r="M756" s="491" t="n"/>
      <c r="N756" s="491" t="n"/>
      <c r="O756" s="491" t="n"/>
      <c r="P756" s="491" t="n"/>
      <c r="Q756" s="491" t="n"/>
      <c r="R756" s="491" t="n"/>
      <c r="S756" s="491" t="n"/>
      <c r="T756" s="491" t="n"/>
      <c r="U756" s="491" t="n"/>
      <c r="V756" s="491" t="n"/>
      <c r="W756" s="491" t="n"/>
      <c r="X756" s="491" t="n"/>
      <c r="Y756" s="491" t="n"/>
    </row>
    <row r="757" ht="12.75" customHeight="1" s="398">
      <c r="A757" s="491" t="n"/>
      <c r="B757" s="491" t="n"/>
      <c r="C757" s="491" t="n"/>
      <c r="D757" s="491" t="n"/>
      <c r="E757" s="491" t="n"/>
      <c r="F757" s="491" t="n"/>
      <c r="G757" s="491" t="n"/>
      <c r="H757" s="491" t="n"/>
      <c r="I757" s="491" t="n"/>
      <c r="J757" s="491" t="n"/>
      <c r="K757" s="491" t="n"/>
      <c r="L757" s="491" t="n"/>
      <c r="M757" s="491" t="n"/>
      <c r="N757" s="491" t="n"/>
      <c r="O757" s="491" t="n"/>
      <c r="P757" s="491" t="n"/>
      <c r="Q757" s="491" t="n"/>
      <c r="R757" s="491" t="n"/>
      <c r="S757" s="491" t="n"/>
      <c r="T757" s="491" t="n"/>
      <c r="U757" s="491" t="n"/>
      <c r="V757" s="491" t="n"/>
      <c r="W757" s="491" t="n"/>
      <c r="X757" s="491" t="n"/>
      <c r="Y757" s="491" t="n"/>
    </row>
    <row r="758" ht="12.75" customHeight="1" s="398">
      <c r="A758" s="491" t="n"/>
      <c r="B758" s="491" t="n"/>
      <c r="C758" s="491" t="n"/>
      <c r="D758" s="491" t="n"/>
      <c r="E758" s="491" t="n"/>
      <c r="F758" s="491" t="n"/>
      <c r="G758" s="491" t="n"/>
      <c r="H758" s="491" t="n"/>
      <c r="I758" s="491" t="n"/>
      <c r="J758" s="491" t="n"/>
      <c r="K758" s="491" t="n"/>
      <c r="L758" s="491" t="n"/>
      <c r="M758" s="491" t="n"/>
      <c r="N758" s="491" t="n"/>
      <c r="O758" s="491" t="n"/>
      <c r="P758" s="491" t="n"/>
      <c r="Q758" s="491" t="n"/>
      <c r="R758" s="491" t="n"/>
      <c r="S758" s="491" t="n"/>
      <c r="T758" s="491" t="n"/>
      <c r="U758" s="491" t="n"/>
      <c r="V758" s="491" t="n"/>
      <c r="W758" s="491" t="n"/>
      <c r="X758" s="491" t="n"/>
      <c r="Y758" s="491" t="n"/>
    </row>
    <row r="759" ht="12.75" customHeight="1" s="398">
      <c r="A759" s="491" t="n"/>
      <c r="B759" s="491" t="n"/>
      <c r="C759" s="491" t="n"/>
      <c r="D759" s="491" t="n"/>
      <c r="E759" s="491" t="n"/>
      <c r="F759" s="491" t="n"/>
      <c r="G759" s="491" t="n"/>
      <c r="H759" s="491" t="n"/>
      <c r="I759" s="491" t="n"/>
      <c r="J759" s="491" t="n"/>
      <c r="K759" s="491" t="n"/>
      <c r="L759" s="491" t="n"/>
      <c r="M759" s="491" t="n"/>
      <c r="N759" s="491" t="n"/>
      <c r="O759" s="491" t="n"/>
      <c r="P759" s="491" t="n"/>
      <c r="Q759" s="491" t="n"/>
      <c r="R759" s="491" t="n"/>
      <c r="S759" s="491" t="n"/>
      <c r="T759" s="491" t="n"/>
      <c r="U759" s="491" t="n"/>
      <c r="V759" s="491" t="n"/>
      <c r="W759" s="491" t="n"/>
      <c r="X759" s="491" t="n"/>
      <c r="Y759" s="491" t="n"/>
    </row>
    <row r="760" ht="12.75" customHeight="1" s="398">
      <c r="A760" s="491" t="n"/>
      <c r="B760" s="491" t="n"/>
      <c r="C760" s="491" t="n"/>
      <c r="D760" s="491" t="n"/>
      <c r="E760" s="491" t="n"/>
      <c r="F760" s="491" t="n"/>
      <c r="G760" s="491" t="n"/>
      <c r="H760" s="491" t="n"/>
      <c r="I760" s="491" t="n"/>
      <c r="J760" s="491" t="n"/>
      <c r="K760" s="491" t="n"/>
      <c r="L760" s="491" t="n"/>
      <c r="M760" s="491" t="n"/>
      <c r="N760" s="491" t="n"/>
      <c r="O760" s="491" t="n"/>
      <c r="P760" s="491" t="n"/>
      <c r="Q760" s="491" t="n"/>
      <c r="R760" s="491" t="n"/>
      <c r="S760" s="491" t="n"/>
      <c r="T760" s="491" t="n"/>
      <c r="U760" s="491" t="n"/>
      <c r="V760" s="491" t="n"/>
      <c r="W760" s="491" t="n"/>
      <c r="X760" s="491" t="n"/>
      <c r="Y760" s="491" t="n"/>
    </row>
    <row r="761" ht="12.75" customHeight="1" s="398">
      <c r="A761" s="491" t="n"/>
      <c r="B761" s="491" t="n"/>
      <c r="C761" s="491" t="n"/>
      <c r="D761" s="491" t="n"/>
      <c r="E761" s="491" t="n"/>
      <c r="F761" s="491" t="n"/>
      <c r="G761" s="491" t="n"/>
      <c r="H761" s="491" t="n"/>
      <c r="I761" s="491" t="n"/>
      <c r="J761" s="491" t="n"/>
      <c r="K761" s="491" t="n"/>
      <c r="L761" s="491" t="n"/>
      <c r="M761" s="491" t="n"/>
      <c r="N761" s="491" t="n"/>
      <c r="O761" s="491" t="n"/>
      <c r="P761" s="491" t="n"/>
      <c r="Q761" s="491" t="n"/>
      <c r="R761" s="491" t="n"/>
      <c r="S761" s="491" t="n"/>
      <c r="T761" s="491" t="n"/>
      <c r="U761" s="491" t="n"/>
      <c r="V761" s="491" t="n"/>
      <c r="W761" s="491" t="n"/>
      <c r="X761" s="491" t="n"/>
      <c r="Y761" s="491" t="n"/>
    </row>
    <row r="762" ht="12.75" customHeight="1" s="398">
      <c r="A762" s="491" t="n"/>
      <c r="B762" s="491" t="n"/>
      <c r="C762" s="491" t="n"/>
      <c r="D762" s="491" t="n"/>
      <c r="E762" s="491" t="n"/>
      <c r="F762" s="491" t="n"/>
      <c r="G762" s="491" t="n"/>
      <c r="H762" s="491" t="n"/>
      <c r="I762" s="491" t="n"/>
      <c r="J762" s="491" t="n"/>
      <c r="K762" s="491" t="n"/>
      <c r="L762" s="491" t="n"/>
      <c r="M762" s="491" t="n"/>
      <c r="N762" s="491" t="n"/>
      <c r="O762" s="491" t="n"/>
      <c r="P762" s="491" t="n"/>
      <c r="Q762" s="491" t="n"/>
      <c r="R762" s="491" t="n"/>
      <c r="S762" s="491" t="n"/>
      <c r="T762" s="491" t="n"/>
      <c r="U762" s="491" t="n"/>
      <c r="V762" s="491" t="n"/>
      <c r="W762" s="491" t="n"/>
      <c r="X762" s="491" t="n"/>
      <c r="Y762" s="491" t="n"/>
    </row>
    <row r="763" ht="12.75" customHeight="1" s="398">
      <c r="A763" s="491" t="n"/>
      <c r="B763" s="491" t="n"/>
      <c r="C763" s="491" t="n"/>
      <c r="D763" s="491" t="n"/>
      <c r="E763" s="491" t="n"/>
      <c r="F763" s="491" t="n"/>
      <c r="G763" s="491" t="n"/>
      <c r="H763" s="491" t="n"/>
      <c r="I763" s="491" t="n"/>
      <c r="J763" s="491" t="n"/>
      <c r="K763" s="491" t="n"/>
      <c r="L763" s="491" t="n"/>
      <c r="M763" s="491" t="n"/>
      <c r="N763" s="491" t="n"/>
      <c r="O763" s="491" t="n"/>
      <c r="P763" s="491" t="n"/>
      <c r="Q763" s="491" t="n"/>
      <c r="R763" s="491" t="n"/>
      <c r="S763" s="491" t="n"/>
      <c r="T763" s="491" t="n"/>
      <c r="U763" s="491" t="n"/>
      <c r="V763" s="491" t="n"/>
      <c r="W763" s="491" t="n"/>
      <c r="X763" s="491" t="n"/>
      <c r="Y763" s="491" t="n"/>
    </row>
    <row r="764" ht="12.75" customHeight="1" s="398">
      <c r="A764" s="491" t="n"/>
      <c r="B764" s="491" t="n"/>
      <c r="C764" s="491" t="n"/>
      <c r="D764" s="491" t="n"/>
      <c r="E764" s="491" t="n"/>
      <c r="F764" s="491" t="n"/>
      <c r="G764" s="491" t="n"/>
      <c r="H764" s="491" t="n"/>
      <c r="I764" s="491" t="n"/>
      <c r="J764" s="491" t="n"/>
      <c r="K764" s="491" t="n"/>
      <c r="L764" s="491" t="n"/>
      <c r="M764" s="491" t="n"/>
      <c r="N764" s="491" t="n"/>
      <c r="O764" s="491" t="n"/>
      <c r="P764" s="491" t="n"/>
      <c r="Q764" s="491" t="n"/>
      <c r="R764" s="491" t="n"/>
      <c r="S764" s="491" t="n"/>
      <c r="T764" s="491" t="n"/>
      <c r="U764" s="491" t="n"/>
      <c r="V764" s="491" t="n"/>
      <c r="W764" s="491" t="n"/>
      <c r="X764" s="491" t="n"/>
      <c r="Y764" s="491" t="n"/>
    </row>
    <row r="765" ht="12.75" customHeight="1" s="398">
      <c r="A765" s="491" t="n"/>
      <c r="B765" s="491" t="n"/>
      <c r="C765" s="491" t="n"/>
      <c r="D765" s="491" t="n"/>
      <c r="E765" s="491" t="n"/>
      <c r="F765" s="491" t="n"/>
      <c r="G765" s="491" t="n"/>
      <c r="H765" s="491" t="n"/>
      <c r="I765" s="491" t="n"/>
      <c r="J765" s="491" t="n"/>
      <c r="K765" s="491" t="n"/>
      <c r="L765" s="491" t="n"/>
      <c r="M765" s="491" t="n"/>
      <c r="N765" s="491" t="n"/>
      <c r="O765" s="491" t="n"/>
      <c r="P765" s="491" t="n"/>
      <c r="Q765" s="491" t="n"/>
      <c r="R765" s="491" t="n"/>
      <c r="S765" s="491" t="n"/>
      <c r="T765" s="491" t="n"/>
      <c r="U765" s="491" t="n"/>
      <c r="V765" s="491" t="n"/>
      <c r="W765" s="491" t="n"/>
      <c r="X765" s="491" t="n"/>
      <c r="Y765" s="491" t="n"/>
    </row>
    <row r="766" ht="12.75" customHeight="1" s="398">
      <c r="A766" s="491" t="n"/>
      <c r="B766" s="491" t="n"/>
      <c r="C766" s="491" t="n"/>
      <c r="D766" s="491" t="n"/>
      <c r="E766" s="491" t="n"/>
      <c r="F766" s="491" t="n"/>
      <c r="G766" s="491" t="n"/>
      <c r="H766" s="491" t="n"/>
      <c r="I766" s="491" t="n"/>
      <c r="J766" s="491" t="n"/>
      <c r="K766" s="491" t="n"/>
      <c r="L766" s="491" t="n"/>
      <c r="M766" s="491" t="n"/>
      <c r="N766" s="491" t="n"/>
      <c r="O766" s="491" t="n"/>
      <c r="P766" s="491" t="n"/>
      <c r="Q766" s="491" t="n"/>
      <c r="R766" s="491" t="n"/>
      <c r="S766" s="491" t="n"/>
      <c r="T766" s="491" t="n"/>
      <c r="U766" s="491" t="n"/>
      <c r="V766" s="491" t="n"/>
      <c r="W766" s="491" t="n"/>
      <c r="X766" s="491" t="n"/>
      <c r="Y766" s="491" t="n"/>
    </row>
    <row r="767" ht="12.75" customHeight="1" s="398">
      <c r="A767" s="491" t="n"/>
      <c r="B767" s="491" t="n"/>
      <c r="C767" s="491" t="n"/>
      <c r="D767" s="491" t="n"/>
      <c r="E767" s="491" t="n"/>
      <c r="F767" s="491" t="n"/>
      <c r="G767" s="491" t="n"/>
      <c r="H767" s="491" t="n"/>
      <c r="I767" s="491" t="n"/>
      <c r="J767" s="491" t="n"/>
      <c r="K767" s="491" t="n"/>
      <c r="L767" s="491" t="n"/>
      <c r="M767" s="491" t="n"/>
      <c r="N767" s="491" t="n"/>
      <c r="O767" s="491" t="n"/>
      <c r="P767" s="491" t="n"/>
      <c r="Q767" s="491" t="n"/>
      <c r="R767" s="491" t="n"/>
      <c r="S767" s="491" t="n"/>
      <c r="T767" s="491" t="n"/>
      <c r="U767" s="491" t="n"/>
      <c r="V767" s="491" t="n"/>
      <c r="W767" s="491" t="n"/>
      <c r="X767" s="491" t="n"/>
      <c r="Y767" s="491" t="n"/>
    </row>
    <row r="768" ht="12.75" customHeight="1" s="398">
      <c r="A768" s="491" t="n"/>
      <c r="B768" s="491" t="n"/>
      <c r="C768" s="491" t="n"/>
      <c r="D768" s="491" t="n"/>
      <c r="E768" s="491" t="n"/>
      <c r="F768" s="491" t="n"/>
      <c r="G768" s="491" t="n"/>
      <c r="H768" s="491" t="n"/>
      <c r="I768" s="491" t="n"/>
      <c r="J768" s="491" t="n"/>
      <c r="K768" s="491" t="n"/>
      <c r="L768" s="491" t="n"/>
      <c r="M768" s="491" t="n"/>
      <c r="N768" s="491" t="n"/>
      <c r="O768" s="491" t="n"/>
      <c r="P768" s="491" t="n"/>
      <c r="Q768" s="491" t="n"/>
      <c r="R768" s="491" t="n"/>
      <c r="S768" s="491" t="n"/>
      <c r="T768" s="491" t="n"/>
      <c r="U768" s="491" t="n"/>
      <c r="V768" s="491" t="n"/>
      <c r="W768" s="491" t="n"/>
      <c r="X768" s="491" t="n"/>
      <c r="Y768" s="491" t="n"/>
    </row>
    <row r="769" ht="12.75" customHeight="1" s="398">
      <c r="A769" s="491" t="n"/>
      <c r="B769" s="491" t="n"/>
      <c r="C769" s="491" t="n"/>
      <c r="D769" s="491" t="n"/>
      <c r="E769" s="491" t="n"/>
      <c r="F769" s="491" t="n"/>
      <c r="G769" s="491" t="n"/>
      <c r="H769" s="491" t="n"/>
      <c r="I769" s="491" t="n"/>
      <c r="J769" s="491" t="n"/>
      <c r="K769" s="491" t="n"/>
      <c r="L769" s="491" t="n"/>
      <c r="M769" s="491" t="n"/>
      <c r="N769" s="491" t="n"/>
      <c r="O769" s="491" t="n"/>
      <c r="P769" s="491" t="n"/>
      <c r="Q769" s="491" t="n"/>
      <c r="R769" s="491" t="n"/>
      <c r="S769" s="491" t="n"/>
      <c r="T769" s="491" t="n"/>
      <c r="U769" s="491" t="n"/>
      <c r="V769" s="491" t="n"/>
      <c r="W769" s="491" t="n"/>
      <c r="X769" s="491" t="n"/>
      <c r="Y769" s="491" t="n"/>
    </row>
    <row r="770" ht="12.75" customHeight="1" s="398">
      <c r="A770" s="491" t="n"/>
      <c r="B770" s="491" t="n"/>
      <c r="C770" s="491" t="n"/>
      <c r="D770" s="491" t="n"/>
      <c r="E770" s="491" t="n"/>
      <c r="F770" s="491" t="n"/>
      <c r="G770" s="491" t="n"/>
      <c r="H770" s="491" t="n"/>
      <c r="I770" s="491" t="n"/>
      <c r="J770" s="491" t="n"/>
      <c r="K770" s="491" t="n"/>
      <c r="L770" s="491" t="n"/>
      <c r="M770" s="491" t="n"/>
      <c r="N770" s="491" t="n"/>
      <c r="O770" s="491" t="n"/>
      <c r="P770" s="491" t="n"/>
      <c r="Q770" s="491" t="n"/>
      <c r="R770" s="491" t="n"/>
      <c r="S770" s="491" t="n"/>
      <c r="T770" s="491" t="n"/>
      <c r="U770" s="491" t="n"/>
      <c r="V770" s="491" t="n"/>
      <c r="W770" s="491" t="n"/>
      <c r="X770" s="491" t="n"/>
      <c r="Y770" s="491" t="n"/>
    </row>
    <row r="771" ht="12.75" customHeight="1" s="398">
      <c r="A771" s="491" t="n"/>
      <c r="B771" s="491" t="n"/>
      <c r="C771" s="491" t="n"/>
      <c r="D771" s="491" t="n"/>
      <c r="E771" s="491" t="n"/>
      <c r="F771" s="491" t="n"/>
      <c r="G771" s="491" t="n"/>
      <c r="H771" s="491" t="n"/>
      <c r="I771" s="491" t="n"/>
      <c r="J771" s="491" t="n"/>
      <c r="K771" s="491" t="n"/>
      <c r="L771" s="491" t="n"/>
      <c r="M771" s="491" t="n"/>
      <c r="N771" s="491" t="n"/>
      <c r="O771" s="491" t="n"/>
      <c r="P771" s="491" t="n"/>
      <c r="Q771" s="491" t="n"/>
      <c r="R771" s="491" t="n"/>
      <c r="S771" s="491" t="n"/>
      <c r="T771" s="491" t="n"/>
      <c r="U771" s="491" t="n"/>
      <c r="V771" s="491" t="n"/>
      <c r="W771" s="491" t="n"/>
      <c r="X771" s="491" t="n"/>
      <c r="Y771" s="491" t="n"/>
    </row>
    <row r="772" ht="12.75" customHeight="1" s="398">
      <c r="A772" s="491" t="n"/>
      <c r="B772" s="491" t="n"/>
      <c r="C772" s="491" t="n"/>
      <c r="D772" s="491" t="n"/>
      <c r="E772" s="491" t="n"/>
      <c r="F772" s="491" t="n"/>
      <c r="G772" s="491" t="n"/>
      <c r="H772" s="491" t="n"/>
      <c r="I772" s="491" t="n"/>
      <c r="J772" s="491" t="n"/>
      <c r="K772" s="491" t="n"/>
      <c r="L772" s="491" t="n"/>
      <c r="M772" s="491" t="n"/>
      <c r="N772" s="491" t="n"/>
      <c r="O772" s="491" t="n"/>
      <c r="P772" s="491" t="n"/>
      <c r="Q772" s="491" t="n"/>
      <c r="R772" s="491" t="n"/>
      <c r="S772" s="491" t="n"/>
      <c r="T772" s="491" t="n"/>
      <c r="U772" s="491" t="n"/>
      <c r="V772" s="491" t="n"/>
      <c r="W772" s="491" t="n"/>
      <c r="X772" s="491" t="n"/>
      <c r="Y772" s="491" t="n"/>
    </row>
    <row r="773" ht="12.75" customHeight="1" s="398">
      <c r="A773" s="491" t="n"/>
      <c r="B773" s="491" t="n"/>
      <c r="C773" s="491" t="n"/>
      <c r="D773" s="491" t="n"/>
      <c r="E773" s="491" t="n"/>
      <c r="F773" s="491" t="n"/>
      <c r="G773" s="491" t="n"/>
      <c r="H773" s="491" t="n"/>
      <c r="I773" s="491" t="n"/>
      <c r="J773" s="491" t="n"/>
      <c r="K773" s="491" t="n"/>
      <c r="L773" s="491" t="n"/>
      <c r="M773" s="491" t="n"/>
      <c r="N773" s="491" t="n"/>
      <c r="O773" s="491" t="n"/>
      <c r="P773" s="491" t="n"/>
      <c r="Q773" s="491" t="n"/>
      <c r="R773" s="491" t="n"/>
      <c r="S773" s="491" t="n"/>
      <c r="T773" s="491" t="n"/>
      <c r="U773" s="491" t="n"/>
      <c r="V773" s="491" t="n"/>
      <c r="W773" s="491" t="n"/>
      <c r="X773" s="491" t="n"/>
      <c r="Y773" s="491" t="n"/>
    </row>
    <row r="774" ht="12.75" customHeight="1" s="398">
      <c r="A774" s="491" t="n"/>
      <c r="B774" s="491" t="n"/>
      <c r="C774" s="491" t="n"/>
      <c r="D774" s="491" t="n"/>
      <c r="E774" s="491" t="n"/>
      <c r="F774" s="491" t="n"/>
      <c r="G774" s="491" t="n"/>
      <c r="H774" s="491" t="n"/>
      <c r="I774" s="491" t="n"/>
      <c r="J774" s="491" t="n"/>
      <c r="K774" s="491" t="n"/>
      <c r="L774" s="491" t="n"/>
      <c r="M774" s="491" t="n"/>
      <c r="N774" s="491" t="n"/>
      <c r="O774" s="491" t="n"/>
      <c r="P774" s="491" t="n"/>
      <c r="Q774" s="491" t="n"/>
      <c r="R774" s="491" t="n"/>
      <c r="S774" s="491" t="n"/>
      <c r="T774" s="491" t="n"/>
      <c r="U774" s="491" t="n"/>
      <c r="V774" s="491" t="n"/>
      <c r="W774" s="491" t="n"/>
      <c r="X774" s="491" t="n"/>
      <c r="Y774" s="491" t="n"/>
    </row>
    <row r="775" ht="12.75" customHeight="1" s="398">
      <c r="A775" s="491" t="n"/>
      <c r="B775" s="491" t="n"/>
      <c r="C775" s="491" t="n"/>
      <c r="D775" s="491" t="n"/>
      <c r="E775" s="491" t="n"/>
      <c r="F775" s="491" t="n"/>
      <c r="G775" s="491" t="n"/>
      <c r="H775" s="491" t="n"/>
      <c r="I775" s="491" t="n"/>
      <c r="J775" s="491" t="n"/>
      <c r="K775" s="491" t="n"/>
      <c r="L775" s="491" t="n"/>
      <c r="M775" s="491" t="n"/>
      <c r="N775" s="491" t="n"/>
      <c r="O775" s="491" t="n"/>
      <c r="P775" s="491" t="n"/>
      <c r="Q775" s="491" t="n"/>
      <c r="R775" s="491" t="n"/>
      <c r="S775" s="491" t="n"/>
      <c r="T775" s="491" t="n"/>
      <c r="U775" s="491" t="n"/>
      <c r="V775" s="491" t="n"/>
      <c r="W775" s="491" t="n"/>
      <c r="X775" s="491" t="n"/>
      <c r="Y775" s="491" t="n"/>
    </row>
    <row r="776" ht="12.75" customHeight="1" s="398">
      <c r="A776" s="491" t="n"/>
      <c r="B776" s="491" t="n"/>
      <c r="C776" s="491" t="n"/>
      <c r="D776" s="491" t="n"/>
      <c r="E776" s="491" t="n"/>
      <c r="F776" s="491" t="n"/>
      <c r="G776" s="491" t="n"/>
      <c r="H776" s="491" t="n"/>
      <c r="I776" s="491" t="n"/>
      <c r="J776" s="491" t="n"/>
      <c r="K776" s="491" t="n"/>
      <c r="L776" s="491" t="n"/>
      <c r="M776" s="491" t="n"/>
      <c r="N776" s="491" t="n"/>
      <c r="O776" s="491" t="n"/>
      <c r="P776" s="491" t="n"/>
      <c r="Q776" s="491" t="n"/>
      <c r="R776" s="491" t="n"/>
      <c r="S776" s="491" t="n"/>
      <c r="T776" s="491" t="n"/>
      <c r="U776" s="491" t="n"/>
      <c r="V776" s="491" t="n"/>
      <c r="W776" s="491" t="n"/>
      <c r="X776" s="491" t="n"/>
      <c r="Y776" s="491" t="n"/>
    </row>
    <row r="777" ht="12.75" customHeight="1" s="398">
      <c r="A777" s="491" t="n"/>
      <c r="B777" s="491" t="n"/>
      <c r="C777" s="491" t="n"/>
      <c r="D777" s="491" t="n"/>
      <c r="E777" s="491" t="n"/>
      <c r="F777" s="491" t="n"/>
      <c r="G777" s="491" t="n"/>
      <c r="H777" s="491" t="n"/>
      <c r="I777" s="491" t="n"/>
      <c r="J777" s="491" t="n"/>
      <c r="K777" s="491" t="n"/>
      <c r="L777" s="491" t="n"/>
      <c r="M777" s="491" t="n"/>
      <c r="N777" s="491" t="n"/>
      <c r="O777" s="491" t="n"/>
      <c r="P777" s="491" t="n"/>
      <c r="Q777" s="491" t="n"/>
      <c r="R777" s="491" t="n"/>
      <c r="S777" s="491" t="n"/>
      <c r="T777" s="491" t="n"/>
      <c r="U777" s="491" t="n"/>
      <c r="V777" s="491" t="n"/>
      <c r="W777" s="491" t="n"/>
      <c r="X777" s="491" t="n"/>
      <c r="Y777" s="491" t="n"/>
    </row>
    <row r="778" ht="12.75" customHeight="1" s="398">
      <c r="A778" s="491" t="n"/>
      <c r="B778" s="491" t="n"/>
      <c r="C778" s="491" t="n"/>
      <c r="D778" s="491" t="n"/>
      <c r="E778" s="491" t="n"/>
      <c r="F778" s="491" t="n"/>
      <c r="G778" s="491" t="n"/>
      <c r="H778" s="491" t="n"/>
      <c r="I778" s="491" t="n"/>
      <c r="J778" s="491" t="n"/>
      <c r="K778" s="491" t="n"/>
      <c r="L778" s="491" t="n"/>
      <c r="M778" s="491" t="n"/>
      <c r="N778" s="491" t="n"/>
      <c r="O778" s="491" t="n"/>
      <c r="P778" s="491" t="n"/>
      <c r="Q778" s="491" t="n"/>
      <c r="R778" s="491" t="n"/>
      <c r="S778" s="491" t="n"/>
      <c r="T778" s="491" t="n"/>
      <c r="U778" s="491" t="n"/>
      <c r="V778" s="491" t="n"/>
      <c r="W778" s="491" t="n"/>
      <c r="X778" s="491" t="n"/>
      <c r="Y778" s="491" t="n"/>
    </row>
    <row r="779" ht="12.75" customHeight="1" s="398">
      <c r="A779" s="491" t="n"/>
      <c r="B779" s="491" t="n"/>
      <c r="C779" s="491" t="n"/>
      <c r="D779" s="491" t="n"/>
      <c r="E779" s="491" t="n"/>
      <c r="F779" s="491" t="n"/>
      <c r="G779" s="491" t="n"/>
      <c r="H779" s="491" t="n"/>
      <c r="I779" s="491" t="n"/>
      <c r="J779" s="491" t="n"/>
      <c r="K779" s="491" t="n"/>
      <c r="L779" s="491" t="n"/>
      <c r="M779" s="491" t="n"/>
      <c r="N779" s="491" t="n"/>
      <c r="O779" s="491" t="n"/>
      <c r="P779" s="491" t="n"/>
      <c r="Q779" s="491" t="n"/>
      <c r="R779" s="491" t="n"/>
      <c r="S779" s="491" t="n"/>
      <c r="T779" s="491" t="n"/>
      <c r="U779" s="491" t="n"/>
      <c r="V779" s="491" t="n"/>
      <c r="W779" s="491" t="n"/>
      <c r="X779" s="491" t="n"/>
      <c r="Y779" s="491" t="n"/>
    </row>
    <row r="780" ht="12.75" customHeight="1" s="398">
      <c r="A780" s="491" t="n"/>
      <c r="B780" s="491" t="n"/>
      <c r="C780" s="491" t="n"/>
      <c r="D780" s="491" t="n"/>
      <c r="E780" s="491" t="n"/>
      <c r="F780" s="491" t="n"/>
      <c r="G780" s="491" t="n"/>
      <c r="H780" s="491" t="n"/>
      <c r="I780" s="491" t="n"/>
      <c r="J780" s="491" t="n"/>
      <c r="K780" s="491" t="n"/>
      <c r="L780" s="491" t="n"/>
      <c r="M780" s="491" t="n"/>
      <c r="N780" s="491" t="n"/>
      <c r="O780" s="491" t="n"/>
      <c r="P780" s="491" t="n"/>
      <c r="Q780" s="491" t="n"/>
      <c r="R780" s="491" t="n"/>
      <c r="S780" s="491" t="n"/>
      <c r="T780" s="491" t="n"/>
      <c r="U780" s="491" t="n"/>
      <c r="V780" s="491" t="n"/>
      <c r="W780" s="491" t="n"/>
      <c r="X780" s="491" t="n"/>
      <c r="Y780" s="491" t="n"/>
    </row>
    <row r="781" ht="12.75" customHeight="1" s="398">
      <c r="A781" s="491" t="n"/>
      <c r="B781" s="491" t="n"/>
      <c r="C781" s="491" t="n"/>
      <c r="D781" s="491" t="n"/>
      <c r="E781" s="491" t="n"/>
      <c r="F781" s="491" t="n"/>
      <c r="G781" s="491" t="n"/>
      <c r="H781" s="491" t="n"/>
      <c r="I781" s="491" t="n"/>
      <c r="J781" s="491" t="n"/>
      <c r="K781" s="491" t="n"/>
      <c r="L781" s="491" t="n"/>
      <c r="M781" s="491" t="n"/>
      <c r="N781" s="491" t="n"/>
      <c r="O781" s="491" t="n"/>
      <c r="P781" s="491" t="n"/>
      <c r="Q781" s="491" t="n"/>
      <c r="R781" s="491" t="n"/>
      <c r="S781" s="491" t="n"/>
      <c r="T781" s="491" t="n"/>
      <c r="U781" s="491" t="n"/>
      <c r="V781" s="491" t="n"/>
      <c r="W781" s="491" t="n"/>
      <c r="X781" s="491" t="n"/>
      <c r="Y781" s="491" t="n"/>
    </row>
    <row r="782" ht="12.75" customHeight="1" s="398">
      <c r="A782" s="491" t="n"/>
      <c r="B782" s="491" t="n"/>
      <c r="C782" s="491" t="n"/>
      <c r="D782" s="491" t="n"/>
      <c r="E782" s="491" t="n"/>
      <c r="F782" s="491" t="n"/>
      <c r="G782" s="491" t="n"/>
      <c r="H782" s="491" t="n"/>
      <c r="I782" s="491" t="n"/>
      <c r="J782" s="491" t="n"/>
      <c r="K782" s="491" t="n"/>
      <c r="L782" s="491" t="n"/>
      <c r="M782" s="491" t="n"/>
      <c r="N782" s="491" t="n"/>
      <c r="O782" s="491" t="n"/>
      <c r="P782" s="491" t="n"/>
      <c r="Q782" s="491" t="n"/>
      <c r="R782" s="491" t="n"/>
      <c r="S782" s="491" t="n"/>
      <c r="T782" s="491" t="n"/>
      <c r="U782" s="491" t="n"/>
      <c r="V782" s="491" t="n"/>
      <c r="W782" s="491" t="n"/>
      <c r="X782" s="491" t="n"/>
      <c r="Y782" s="491" t="n"/>
    </row>
    <row r="783" ht="12.75" customHeight="1" s="398">
      <c r="A783" s="491" t="n"/>
      <c r="B783" s="491" t="n"/>
      <c r="C783" s="491" t="n"/>
      <c r="D783" s="491" t="n"/>
      <c r="E783" s="491" t="n"/>
      <c r="F783" s="491" t="n"/>
      <c r="G783" s="491" t="n"/>
      <c r="H783" s="491" t="n"/>
      <c r="I783" s="491" t="n"/>
      <c r="J783" s="491" t="n"/>
      <c r="K783" s="491" t="n"/>
      <c r="L783" s="491" t="n"/>
      <c r="M783" s="491" t="n"/>
      <c r="N783" s="491" t="n"/>
      <c r="O783" s="491" t="n"/>
      <c r="P783" s="491" t="n"/>
      <c r="Q783" s="491" t="n"/>
      <c r="R783" s="491" t="n"/>
      <c r="S783" s="491" t="n"/>
      <c r="T783" s="491" t="n"/>
      <c r="U783" s="491" t="n"/>
      <c r="V783" s="491" t="n"/>
      <c r="W783" s="491" t="n"/>
      <c r="X783" s="491" t="n"/>
      <c r="Y783" s="491" t="n"/>
    </row>
    <row r="784" ht="12.75" customHeight="1" s="398">
      <c r="A784" s="491" t="n"/>
      <c r="B784" s="491" t="n"/>
      <c r="C784" s="491" t="n"/>
      <c r="D784" s="491" t="n"/>
      <c r="E784" s="491" t="n"/>
      <c r="F784" s="491" t="n"/>
      <c r="G784" s="491" t="n"/>
      <c r="H784" s="491" t="n"/>
      <c r="I784" s="491" t="n"/>
      <c r="J784" s="491" t="n"/>
      <c r="K784" s="491" t="n"/>
      <c r="L784" s="491" t="n"/>
      <c r="M784" s="491" t="n"/>
      <c r="N784" s="491" t="n"/>
      <c r="O784" s="491" t="n"/>
      <c r="P784" s="491" t="n"/>
      <c r="Q784" s="491" t="n"/>
      <c r="R784" s="491" t="n"/>
      <c r="S784" s="491" t="n"/>
      <c r="T784" s="491" t="n"/>
      <c r="U784" s="491" t="n"/>
      <c r="V784" s="491" t="n"/>
      <c r="W784" s="491" t="n"/>
      <c r="X784" s="491" t="n"/>
      <c r="Y784" s="491" t="n"/>
    </row>
    <row r="785" ht="12.75" customHeight="1" s="398">
      <c r="A785" s="491" t="n"/>
      <c r="B785" s="491" t="n"/>
      <c r="C785" s="491" t="n"/>
      <c r="D785" s="491" t="n"/>
      <c r="E785" s="491" t="n"/>
      <c r="F785" s="491" t="n"/>
      <c r="G785" s="491" t="n"/>
      <c r="H785" s="491" t="n"/>
      <c r="I785" s="491" t="n"/>
      <c r="J785" s="491" t="n"/>
      <c r="K785" s="491" t="n"/>
      <c r="L785" s="491" t="n"/>
      <c r="M785" s="491" t="n"/>
      <c r="N785" s="491" t="n"/>
      <c r="O785" s="491" t="n"/>
      <c r="P785" s="491" t="n"/>
      <c r="Q785" s="491" t="n"/>
      <c r="R785" s="491" t="n"/>
      <c r="S785" s="491" t="n"/>
      <c r="T785" s="491" t="n"/>
      <c r="U785" s="491" t="n"/>
      <c r="V785" s="491" t="n"/>
      <c r="W785" s="491" t="n"/>
      <c r="X785" s="491" t="n"/>
      <c r="Y785" s="491" t="n"/>
    </row>
    <row r="786" ht="12.75" customHeight="1" s="398">
      <c r="A786" s="491" t="n"/>
      <c r="B786" s="491" t="n"/>
      <c r="C786" s="491" t="n"/>
      <c r="D786" s="491" t="n"/>
      <c r="E786" s="491" t="n"/>
      <c r="F786" s="491" t="n"/>
      <c r="G786" s="491" t="n"/>
      <c r="H786" s="491" t="n"/>
      <c r="I786" s="491" t="n"/>
      <c r="J786" s="491" t="n"/>
      <c r="K786" s="491" t="n"/>
      <c r="L786" s="491" t="n"/>
      <c r="M786" s="491" t="n"/>
      <c r="N786" s="491" t="n"/>
      <c r="O786" s="491" t="n"/>
      <c r="P786" s="491" t="n"/>
      <c r="Q786" s="491" t="n"/>
      <c r="R786" s="491" t="n"/>
      <c r="S786" s="491" t="n"/>
      <c r="T786" s="491" t="n"/>
      <c r="U786" s="491" t="n"/>
      <c r="V786" s="491" t="n"/>
      <c r="W786" s="491" t="n"/>
      <c r="X786" s="491" t="n"/>
      <c r="Y786" s="491" t="n"/>
    </row>
    <row r="787" ht="12.75" customHeight="1" s="398">
      <c r="A787" s="491" t="n"/>
      <c r="B787" s="491" t="n"/>
      <c r="C787" s="491" t="n"/>
      <c r="D787" s="491" t="n"/>
      <c r="E787" s="491" t="n"/>
      <c r="F787" s="491" t="n"/>
      <c r="G787" s="491" t="n"/>
      <c r="H787" s="491" t="n"/>
      <c r="I787" s="491" t="n"/>
      <c r="J787" s="491" t="n"/>
      <c r="K787" s="491" t="n"/>
      <c r="L787" s="491" t="n"/>
      <c r="M787" s="491" t="n"/>
      <c r="N787" s="491" t="n"/>
      <c r="O787" s="491" t="n"/>
      <c r="P787" s="491" t="n"/>
      <c r="Q787" s="491" t="n"/>
      <c r="R787" s="491" t="n"/>
      <c r="S787" s="491" t="n"/>
      <c r="T787" s="491" t="n"/>
      <c r="U787" s="491" t="n"/>
      <c r="V787" s="491" t="n"/>
      <c r="W787" s="491" t="n"/>
      <c r="X787" s="491" t="n"/>
      <c r="Y787" s="491" t="n"/>
    </row>
    <row r="788" ht="12.75" customHeight="1" s="398">
      <c r="A788" s="491" t="n"/>
      <c r="B788" s="491" t="n"/>
      <c r="C788" s="491" t="n"/>
      <c r="D788" s="491" t="n"/>
      <c r="E788" s="491" t="n"/>
      <c r="F788" s="491" t="n"/>
      <c r="G788" s="491" t="n"/>
      <c r="H788" s="491" t="n"/>
      <c r="I788" s="491" t="n"/>
      <c r="J788" s="491" t="n"/>
      <c r="K788" s="491" t="n"/>
      <c r="L788" s="491" t="n"/>
      <c r="M788" s="491" t="n"/>
      <c r="N788" s="491" t="n"/>
      <c r="O788" s="491" t="n"/>
      <c r="P788" s="491" t="n"/>
      <c r="Q788" s="491" t="n"/>
      <c r="R788" s="491" t="n"/>
      <c r="S788" s="491" t="n"/>
      <c r="T788" s="491" t="n"/>
      <c r="U788" s="491" t="n"/>
      <c r="V788" s="491" t="n"/>
      <c r="W788" s="491" t="n"/>
      <c r="X788" s="491" t="n"/>
      <c r="Y788" s="491" t="n"/>
    </row>
    <row r="789" ht="12.75" customHeight="1" s="398">
      <c r="A789" s="491" t="n"/>
      <c r="B789" s="491" t="n"/>
      <c r="C789" s="491" t="n"/>
      <c r="D789" s="491" t="n"/>
      <c r="E789" s="491" t="n"/>
      <c r="F789" s="491" t="n"/>
      <c r="G789" s="491" t="n"/>
      <c r="H789" s="491" t="n"/>
      <c r="I789" s="491" t="n"/>
      <c r="J789" s="491" t="n"/>
      <c r="K789" s="491" t="n"/>
      <c r="L789" s="491" t="n"/>
      <c r="M789" s="491" t="n"/>
      <c r="N789" s="491" t="n"/>
      <c r="O789" s="491" t="n"/>
      <c r="P789" s="491" t="n"/>
      <c r="Q789" s="491" t="n"/>
      <c r="R789" s="491" t="n"/>
      <c r="S789" s="491" t="n"/>
      <c r="T789" s="491" t="n"/>
      <c r="U789" s="491" t="n"/>
      <c r="V789" s="491" t="n"/>
      <c r="W789" s="491" t="n"/>
      <c r="X789" s="491" t="n"/>
      <c r="Y789" s="491" t="n"/>
    </row>
    <row r="790" ht="12.75" customHeight="1" s="398">
      <c r="A790" s="491" t="n"/>
      <c r="B790" s="491" t="n"/>
      <c r="C790" s="491" t="n"/>
      <c r="D790" s="491" t="n"/>
      <c r="E790" s="491" t="n"/>
      <c r="F790" s="491" t="n"/>
      <c r="G790" s="491" t="n"/>
      <c r="H790" s="491" t="n"/>
      <c r="I790" s="491" t="n"/>
      <c r="J790" s="491" t="n"/>
      <c r="K790" s="491" t="n"/>
      <c r="L790" s="491" t="n"/>
      <c r="M790" s="491" t="n"/>
      <c r="N790" s="491" t="n"/>
      <c r="O790" s="491" t="n"/>
      <c r="P790" s="491" t="n"/>
      <c r="Q790" s="491" t="n"/>
      <c r="R790" s="491" t="n"/>
      <c r="S790" s="491" t="n"/>
      <c r="T790" s="491" t="n"/>
      <c r="U790" s="491" t="n"/>
      <c r="V790" s="491" t="n"/>
      <c r="W790" s="491" t="n"/>
      <c r="X790" s="491" t="n"/>
      <c r="Y790" s="491" t="n"/>
    </row>
    <row r="791" ht="12.75" customHeight="1" s="398">
      <c r="A791" s="491" t="n"/>
      <c r="B791" s="491" t="n"/>
      <c r="C791" s="491" t="n"/>
      <c r="D791" s="491" t="n"/>
      <c r="E791" s="491" t="n"/>
      <c r="F791" s="491" t="n"/>
      <c r="G791" s="491" t="n"/>
      <c r="H791" s="491" t="n"/>
      <c r="I791" s="491" t="n"/>
      <c r="J791" s="491" t="n"/>
      <c r="K791" s="491" t="n"/>
      <c r="L791" s="491" t="n"/>
      <c r="M791" s="491" t="n"/>
      <c r="N791" s="491" t="n"/>
      <c r="O791" s="491" t="n"/>
      <c r="P791" s="491" t="n"/>
      <c r="Q791" s="491" t="n"/>
      <c r="R791" s="491" t="n"/>
      <c r="S791" s="491" t="n"/>
      <c r="T791" s="491" t="n"/>
      <c r="U791" s="491" t="n"/>
      <c r="V791" s="491" t="n"/>
      <c r="W791" s="491" t="n"/>
      <c r="X791" s="491" t="n"/>
      <c r="Y791" s="491" t="n"/>
    </row>
    <row r="792" ht="12.75" customHeight="1" s="398">
      <c r="A792" s="491" t="n"/>
      <c r="B792" s="491" t="n"/>
      <c r="C792" s="491" t="n"/>
      <c r="D792" s="491" t="n"/>
      <c r="E792" s="491" t="n"/>
      <c r="F792" s="491" t="n"/>
      <c r="G792" s="491" t="n"/>
      <c r="H792" s="491" t="n"/>
      <c r="I792" s="491" t="n"/>
      <c r="J792" s="491" t="n"/>
      <c r="K792" s="491" t="n"/>
      <c r="L792" s="491" t="n"/>
      <c r="M792" s="491" t="n"/>
      <c r="N792" s="491" t="n"/>
      <c r="O792" s="491" t="n"/>
      <c r="P792" s="491" t="n"/>
      <c r="Q792" s="491" t="n"/>
      <c r="R792" s="491" t="n"/>
      <c r="S792" s="491" t="n"/>
      <c r="T792" s="491" t="n"/>
      <c r="U792" s="491" t="n"/>
      <c r="V792" s="491" t="n"/>
      <c r="W792" s="491" t="n"/>
      <c r="X792" s="491" t="n"/>
      <c r="Y792" s="491" t="n"/>
    </row>
    <row r="793" ht="12.75" customHeight="1" s="398">
      <c r="A793" s="491" t="n"/>
      <c r="B793" s="491" t="n"/>
      <c r="C793" s="491" t="n"/>
      <c r="D793" s="491" t="n"/>
      <c r="E793" s="491" t="n"/>
      <c r="F793" s="491" t="n"/>
      <c r="G793" s="491" t="n"/>
      <c r="H793" s="491" t="n"/>
      <c r="I793" s="491" t="n"/>
      <c r="J793" s="491" t="n"/>
      <c r="K793" s="491" t="n"/>
      <c r="L793" s="491" t="n"/>
      <c r="M793" s="491" t="n"/>
      <c r="N793" s="491" t="n"/>
      <c r="O793" s="491" t="n"/>
      <c r="P793" s="491" t="n"/>
      <c r="Q793" s="491" t="n"/>
      <c r="R793" s="491" t="n"/>
      <c r="S793" s="491" t="n"/>
      <c r="T793" s="491" t="n"/>
      <c r="U793" s="491" t="n"/>
      <c r="V793" s="491" t="n"/>
      <c r="W793" s="491" t="n"/>
      <c r="X793" s="491" t="n"/>
      <c r="Y793" s="491" t="n"/>
    </row>
    <row r="794" ht="12.75" customHeight="1" s="398">
      <c r="A794" s="491" t="n"/>
      <c r="B794" s="491" t="n"/>
      <c r="C794" s="491" t="n"/>
      <c r="D794" s="491" t="n"/>
      <c r="E794" s="491" t="n"/>
      <c r="F794" s="491" t="n"/>
      <c r="G794" s="491" t="n"/>
      <c r="H794" s="491" t="n"/>
      <c r="I794" s="491" t="n"/>
      <c r="J794" s="491" t="n"/>
      <c r="K794" s="491" t="n"/>
      <c r="L794" s="491" t="n"/>
      <c r="M794" s="491" t="n"/>
      <c r="N794" s="491" t="n"/>
      <c r="O794" s="491" t="n"/>
      <c r="P794" s="491" t="n"/>
      <c r="Q794" s="491" t="n"/>
      <c r="R794" s="491" t="n"/>
      <c r="S794" s="491" t="n"/>
      <c r="T794" s="491" t="n"/>
      <c r="U794" s="491" t="n"/>
      <c r="V794" s="491" t="n"/>
      <c r="W794" s="491" t="n"/>
      <c r="X794" s="491" t="n"/>
      <c r="Y794" s="491" t="n"/>
    </row>
    <row r="795" ht="12.75" customHeight="1" s="398">
      <c r="A795" s="491" t="n"/>
      <c r="B795" s="491" t="n"/>
      <c r="C795" s="491" t="n"/>
      <c r="D795" s="491" t="n"/>
      <c r="E795" s="491" t="n"/>
      <c r="F795" s="491" t="n"/>
      <c r="G795" s="491" t="n"/>
      <c r="H795" s="491" t="n"/>
      <c r="I795" s="491" t="n"/>
      <c r="J795" s="491" t="n"/>
      <c r="K795" s="491" t="n"/>
      <c r="L795" s="491" t="n"/>
      <c r="M795" s="491" t="n"/>
      <c r="N795" s="491" t="n"/>
      <c r="O795" s="491" t="n"/>
      <c r="P795" s="491" t="n"/>
      <c r="Q795" s="491" t="n"/>
      <c r="R795" s="491" t="n"/>
      <c r="S795" s="491" t="n"/>
      <c r="T795" s="491" t="n"/>
      <c r="U795" s="491" t="n"/>
      <c r="V795" s="491" t="n"/>
      <c r="W795" s="491" t="n"/>
      <c r="X795" s="491" t="n"/>
      <c r="Y795" s="491" t="n"/>
    </row>
    <row r="796" ht="12.75" customHeight="1" s="398">
      <c r="A796" s="491" t="n"/>
      <c r="B796" s="491" t="n"/>
      <c r="C796" s="491" t="n"/>
      <c r="D796" s="491" t="n"/>
      <c r="E796" s="491" t="n"/>
      <c r="F796" s="491" t="n"/>
      <c r="G796" s="491" t="n"/>
      <c r="H796" s="491" t="n"/>
      <c r="I796" s="491" t="n"/>
      <c r="J796" s="491" t="n"/>
      <c r="K796" s="491" t="n"/>
      <c r="L796" s="491" t="n"/>
      <c r="M796" s="491" t="n"/>
      <c r="N796" s="491" t="n"/>
      <c r="O796" s="491" t="n"/>
      <c r="P796" s="491" t="n"/>
      <c r="Q796" s="491" t="n"/>
      <c r="R796" s="491" t="n"/>
      <c r="S796" s="491" t="n"/>
      <c r="T796" s="491" t="n"/>
      <c r="U796" s="491" t="n"/>
      <c r="V796" s="491" t="n"/>
      <c r="W796" s="491" t="n"/>
      <c r="X796" s="491" t="n"/>
      <c r="Y796" s="491" t="n"/>
    </row>
    <row r="797" ht="12.75" customHeight="1" s="398">
      <c r="A797" s="491" t="n"/>
      <c r="B797" s="491" t="n"/>
      <c r="C797" s="491" t="n"/>
      <c r="D797" s="491" t="n"/>
      <c r="E797" s="491" t="n"/>
      <c r="F797" s="491" t="n"/>
      <c r="G797" s="491" t="n"/>
      <c r="H797" s="491" t="n"/>
      <c r="I797" s="491" t="n"/>
      <c r="J797" s="491" t="n"/>
      <c r="K797" s="491" t="n"/>
      <c r="L797" s="491" t="n"/>
      <c r="M797" s="491" t="n"/>
      <c r="N797" s="491" t="n"/>
      <c r="O797" s="491" t="n"/>
      <c r="P797" s="491" t="n"/>
      <c r="Q797" s="491" t="n"/>
      <c r="R797" s="491" t="n"/>
      <c r="S797" s="491" t="n"/>
      <c r="T797" s="491" t="n"/>
      <c r="U797" s="491" t="n"/>
      <c r="V797" s="491" t="n"/>
      <c r="W797" s="491" t="n"/>
      <c r="X797" s="491" t="n"/>
      <c r="Y797" s="491" t="n"/>
    </row>
    <row r="798" ht="12.75" customHeight="1" s="398">
      <c r="A798" s="491" t="n"/>
      <c r="B798" s="491" t="n"/>
      <c r="C798" s="491" t="n"/>
      <c r="D798" s="491" t="n"/>
      <c r="E798" s="491" t="n"/>
      <c r="F798" s="491" t="n"/>
      <c r="G798" s="491" t="n"/>
      <c r="H798" s="491" t="n"/>
      <c r="I798" s="491" t="n"/>
      <c r="J798" s="491" t="n"/>
      <c r="K798" s="491" t="n"/>
      <c r="L798" s="491" t="n"/>
      <c r="M798" s="491" t="n"/>
      <c r="N798" s="491" t="n"/>
      <c r="O798" s="491" t="n"/>
      <c r="P798" s="491" t="n"/>
      <c r="Q798" s="491" t="n"/>
      <c r="R798" s="491" t="n"/>
      <c r="S798" s="491" t="n"/>
      <c r="T798" s="491" t="n"/>
      <c r="U798" s="491" t="n"/>
      <c r="V798" s="491" t="n"/>
      <c r="W798" s="491" t="n"/>
      <c r="X798" s="491" t="n"/>
      <c r="Y798" s="491" t="n"/>
    </row>
    <row r="799" ht="12.75" customHeight="1" s="398">
      <c r="A799" s="491" t="n"/>
      <c r="B799" s="491" t="n"/>
      <c r="C799" s="491" t="n"/>
      <c r="D799" s="491" t="n"/>
      <c r="E799" s="491" t="n"/>
      <c r="F799" s="491" t="n"/>
      <c r="G799" s="491" t="n"/>
      <c r="H799" s="491" t="n"/>
      <c r="I799" s="491" t="n"/>
      <c r="J799" s="491" t="n"/>
      <c r="K799" s="491" t="n"/>
      <c r="L799" s="491" t="n"/>
      <c r="M799" s="491" t="n"/>
      <c r="N799" s="491" t="n"/>
      <c r="O799" s="491" t="n"/>
      <c r="P799" s="491" t="n"/>
      <c r="Q799" s="491" t="n"/>
      <c r="R799" s="491" t="n"/>
      <c r="S799" s="491" t="n"/>
      <c r="T799" s="491" t="n"/>
      <c r="U799" s="491" t="n"/>
      <c r="V799" s="491" t="n"/>
      <c r="W799" s="491" t="n"/>
      <c r="X799" s="491" t="n"/>
      <c r="Y799" s="491" t="n"/>
    </row>
    <row r="800" ht="12.75" customHeight="1" s="398">
      <c r="A800" s="491" t="n"/>
      <c r="B800" s="491" t="n"/>
      <c r="C800" s="491" t="n"/>
      <c r="D800" s="491" t="n"/>
      <c r="E800" s="491" t="n"/>
      <c r="F800" s="491" t="n"/>
      <c r="G800" s="491" t="n"/>
      <c r="H800" s="491" t="n"/>
      <c r="I800" s="491" t="n"/>
      <c r="J800" s="491" t="n"/>
      <c r="K800" s="491" t="n"/>
      <c r="L800" s="491" t="n"/>
      <c r="M800" s="491" t="n"/>
      <c r="N800" s="491" t="n"/>
      <c r="O800" s="491" t="n"/>
      <c r="P800" s="491" t="n"/>
      <c r="Q800" s="491" t="n"/>
      <c r="R800" s="491" t="n"/>
      <c r="S800" s="491" t="n"/>
      <c r="T800" s="491" t="n"/>
      <c r="U800" s="491" t="n"/>
      <c r="V800" s="491" t="n"/>
      <c r="W800" s="491" t="n"/>
      <c r="X800" s="491" t="n"/>
      <c r="Y800" s="491" t="n"/>
    </row>
    <row r="801" ht="12.75" customHeight="1" s="398">
      <c r="A801" s="491" t="n"/>
      <c r="B801" s="491" t="n"/>
      <c r="C801" s="491" t="n"/>
      <c r="D801" s="491" t="n"/>
      <c r="E801" s="491" t="n"/>
      <c r="F801" s="491" t="n"/>
      <c r="G801" s="491" t="n"/>
      <c r="H801" s="491" t="n"/>
      <c r="I801" s="491" t="n"/>
      <c r="J801" s="491" t="n"/>
      <c r="K801" s="491" t="n"/>
      <c r="L801" s="491" t="n"/>
      <c r="M801" s="491" t="n"/>
      <c r="N801" s="491" t="n"/>
      <c r="O801" s="491" t="n"/>
      <c r="P801" s="491" t="n"/>
      <c r="Q801" s="491" t="n"/>
      <c r="R801" s="491" t="n"/>
      <c r="S801" s="491" t="n"/>
      <c r="T801" s="491" t="n"/>
      <c r="U801" s="491" t="n"/>
      <c r="V801" s="491" t="n"/>
      <c r="W801" s="491" t="n"/>
      <c r="X801" s="491" t="n"/>
      <c r="Y801" s="491" t="n"/>
    </row>
    <row r="802" ht="12.75" customHeight="1" s="398">
      <c r="A802" s="491" t="n"/>
      <c r="B802" s="491" t="n"/>
      <c r="C802" s="491" t="n"/>
      <c r="D802" s="491" t="n"/>
      <c r="E802" s="491" t="n"/>
      <c r="F802" s="491" t="n"/>
      <c r="G802" s="491" t="n"/>
      <c r="H802" s="491" t="n"/>
      <c r="I802" s="491" t="n"/>
      <c r="J802" s="491" t="n"/>
      <c r="K802" s="491" t="n"/>
      <c r="L802" s="491" t="n"/>
      <c r="M802" s="491" t="n"/>
      <c r="N802" s="491" t="n"/>
      <c r="O802" s="491" t="n"/>
      <c r="P802" s="491" t="n"/>
      <c r="Q802" s="491" t="n"/>
      <c r="R802" s="491" t="n"/>
      <c r="S802" s="491" t="n"/>
      <c r="T802" s="491" t="n"/>
      <c r="U802" s="491" t="n"/>
      <c r="V802" s="491" t="n"/>
      <c r="W802" s="491" t="n"/>
      <c r="X802" s="491" t="n"/>
      <c r="Y802" s="491" t="n"/>
    </row>
    <row r="803" ht="12.75" customHeight="1" s="398">
      <c r="A803" s="491" t="n"/>
      <c r="B803" s="491" t="n"/>
      <c r="C803" s="491" t="n"/>
      <c r="D803" s="491" t="n"/>
      <c r="E803" s="491" t="n"/>
      <c r="F803" s="491" t="n"/>
      <c r="G803" s="491" t="n"/>
      <c r="H803" s="491" t="n"/>
      <c r="I803" s="491" t="n"/>
      <c r="J803" s="491" t="n"/>
      <c r="K803" s="491" t="n"/>
      <c r="L803" s="491" t="n"/>
      <c r="M803" s="491" t="n"/>
      <c r="N803" s="491" t="n"/>
      <c r="O803" s="491" t="n"/>
      <c r="P803" s="491" t="n"/>
      <c r="Q803" s="491" t="n"/>
      <c r="R803" s="491" t="n"/>
      <c r="S803" s="491" t="n"/>
      <c r="T803" s="491" t="n"/>
      <c r="U803" s="491" t="n"/>
      <c r="V803" s="491" t="n"/>
      <c r="W803" s="491" t="n"/>
      <c r="X803" s="491" t="n"/>
      <c r="Y803" s="491" t="n"/>
    </row>
    <row r="804" ht="12.75" customHeight="1" s="398">
      <c r="A804" s="491" t="n"/>
      <c r="B804" s="491" t="n"/>
      <c r="C804" s="491" t="n"/>
      <c r="D804" s="491" t="n"/>
      <c r="E804" s="491" t="n"/>
      <c r="F804" s="491" t="n"/>
      <c r="G804" s="491" t="n"/>
      <c r="H804" s="491" t="n"/>
      <c r="I804" s="491" t="n"/>
      <c r="J804" s="491" t="n"/>
      <c r="K804" s="491" t="n"/>
      <c r="L804" s="491" t="n"/>
      <c r="M804" s="491" t="n"/>
      <c r="N804" s="491" t="n"/>
      <c r="O804" s="491" t="n"/>
      <c r="P804" s="491" t="n"/>
      <c r="Q804" s="491" t="n"/>
      <c r="R804" s="491" t="n"/>
      <c r="S804" s="491" t="n"/>
      <c r="T804" s="491" t="n"/>
      <c r="U804" s="491" t="n"/>
      <c r="V804" s="491" t="n"/>
      <c r="W804" s="491" t="n"/>
      <c r="X804" s="491" t="n"/>
      <c r="Y804" s="491" t="n"/>
    </row>
    <row r="805" ht="12.75" customHeight="1" s="398">
      <c r="A805" s="491" t="n"/>
      <c r="B805" s="491" t="n"/>
      <c r="C805" s="491" t="n"/>
      <c r="D805" s="491" t="n"/>
      <c r="E805" s="491" t="n"/>
      <c r="F805" s="491" t="n"/>
      <c r="G805" s="491" t="n"/>
      <c r="H805" s="491" t="n"/>
      <c r="I805" s="491" t="n"/>
      <c r="J805" s="491" t="n"/>
      <c r="K805" s="491" t="n"/>
      <c r="L805" s="491" t="n"/>
      <c r="M805" s="491" t="n"/>
      <c r="N805" s="491" t="n"/>
      <c r="O805" s="491" t="n"/>
      <c r="P805" s="491" t="n"/>
      <c r="Q805" s="491" t="n"/>
      <c r="R805" s="491" t="n"/>
      <c r="S805" s="491" t="n"/>
      <c r="T805" s="491" t="n"/>
      <c r="U805" s="491" t="n"/>
      <c r="V805" s="491" t="n"/>
      <c r="W805" s="491" t="n"/>
      <c r="X805" s="491" t="n"/>
      <c r="Y805" s="491" t="n"/>
    </row>
    <row r="806" ht="12.75" customHeight="1" s="398">
      <c r="A806" s="491" t="n"/>
      <c r="B806" s="491" t="n"/>
      <c r="C806" s="491" t="n"/>
      <c r="D806" s="491" t="n"/>
      <c r="E806" s="491" t="n"/>
      <c r="F806" s="491" t="n"/>
      <c r="G806" s="491" t="n"/>
      <c r="H806" s="491" t="n"/>
      <c r="I806" s="491" t="n"/>
      <c r="J806" s="491" t="n"/>
      <c r="K806" s="491" t="n"/>
      <c r="L806" s="491" t="n"/>
      <c r="M806" s="491" t="n"/>
      <c r="N806" s="491" t="n"/>
      <c r="O806" s="491" t="n"/>
      <c r="P806" s="491" t="n"/>
      <c r="Q806" s="491" t="n"/>
      <c r="R806" s="491" t="n"/>
      <c r="S806" s="491" t="n"/>
      <c r="T806" s="491" t="n"/>
      <c r="U806" s="491" t="n"/>
      <c r="V806" s="491" t="n"/>
      <c r="W806" s="491" t="n"/>
      <c r="X806" s="491" t="n"/>
      <c r="Y806" s="491" t="n"/>
    </row>
    <row r="807" ht="12.75" customHeight="1" s="398">
      <c r="A807" s="491" t="n"/>
      <c r="B807" s="491" t="n"/>
      <c r="C807" s="491" t="n"/>
      <c r="D807" s="491" t="n"/>
      <c r="E807" s="491" t="n"/>
      <c r="F807" s="491" t="n"/>
      <c r="G807" s="491" t="n"/>
      <c r="H807" s="491" t="n"/>
      <c r="I807" s="491" t="n"/>
      <c r="J807" s="491" t="n"/>
      <c r="K807" s="491" t="n"/>
      <c r="L807" s="491" t="n"/>
      <c r="M807" s="491" t="n"/>
      <c r="N807" s="491" t="n"/>
      <c r="O807" s="491" t="n"/>
      <c r="P807" s="491" t="n"/>
      <c r="Q807" s="491" t="n"/>
      <c r="R807" s="491" t="n"/>
      <c r="S807" s="491" t="n"/>
      <c r="T807" s="491" t="n"/>
      <c r="U807" s="491" t="n"/>
      <c r="V807" s="491" t="n"/>
      <c r="W807" s="491" t="n"/>
      <c r="X807" s="491" t="n"/>
      <c r="Y807" s="491" t="n"/>
    </row>
    <row r="808" ht="12.75" customHeight="1" s="398">
      <c r="A808" s="491" t="n"/>
      <c r="B808" s="491" t="n"/>
      <c r="C808" s="491" t="n"/>
      <c r="D808" s="491" t="n"/>
      <c r="E808" s="491" t="n"/>
      <c r="F808" s="491" t="n"/>
      <c r="G808" s="491" t="n"/>
      <c r="H808" s="491" t="n"/>
      <c r="I808" s="491" t="n"/>
      <c r="J808" s="491" t="n"/>
      <c r="K808" s="491" t="n"/>
      <c r="L808" s="491" t="n"/>
      <c r="M808" s="491" t="n"/>
      <c r="N808" s="491" t="n"/>
      <c r="O808" s="491" t="n"/>
      <c r="P808" s="491" t="n"/>
      <c r="Q808" s="491" t="n"/>
      <c r="R808" s="491" t="n"/>
      <c r="S808" s="491" t="n"/>
      <c r="T808" s="491" t="n"/>
      <c r="U808" s="491" t="n"/>
      <c r="V808" s="491" t="n"/>
      <c r="W808" s="491" t="n"/>
      <c r="X808" s="491" t="n"/>
      <c r="Y808" s="491" t="n"/>
    </row>
    <row r="809" ht="12.75" customHeight="1" s="398">
      <c r="A809" s="491" t="n"/>
      <c r="B809" s="491" t="n"/>
      <c r="C809" s="491" t="n"/>
      <c r="D809" s="491" t="n"/>
      <c r="E809" s="491" t="n"/>
      <c r="F809" s="491" t="n"/>
      <c r="G809" s="491" t="n"/>
      <c r="H809" s="491" t="n"/>
      <c r="I809" s="491" t="n"/>
      <c r="J809" s="491" t="n"/>
      <c r="K809" s="491" t="n"/>
      <c r="L809" s="491" t="n"/>
      <c r="M809" s="491" t="n"/>
      <c r="N809" s="491" t="n"/>
      <c r="O809" s="491" t="n"/>
      <c r="P809" s="491" t="n"/>
      <c r="Q809" s="491" t="n"/>
      <c r="R809" s="491" t="n"/>
      <c r="S809" s="491" t="n"/>
      <c r="T809" s="491" t="n"/>
      <c r="U809" s="491" t="n"/>
      <c r="V809" s="491" t="n"/>
      <c r="W809" s="491" t="n"/>
      <c r="X809" s="491" t="n"/>
      <c r="Y809" s="491" t="n"/>
    </row>
    <row r="810" ht="12.75" customHeight="1" s="398">
      <c r="A810" s="491" t="n"/>
      <c r="B810" s="491" t="n"/>
      <c r="C810" s="491" t="n"/>
      <c r="D810" s="491" t="n"/>
      <c r="E810" s="491" t="n"/>
      <c r="F810" s="491" t="n"/>
      <c r="G810" s="491" t="n"/>
      <c r="H810" s="491" t="n"/>
      <c r="I810" s="491" t="n"/>
      <c r="J810" s="491" t="n"/>
      <c r="K810" s="491" t="n"/>
      <c r="L810" s="491" t="n"/>
      <c r="M810" s="491" t="n"/>
      <c r="N810" s="491" t="n"/>
      <c r="O810" s="491" t="n"/>
      <c r="P810" s="491" t="n"/>
      <c r="Q810" s="491" t="n"/>
      <c r="R810" s="491" t="n"/>
      <c r="S810" s="491" t="n"/>
      <c r="T810" s="491" t="n"/>
      <c r="U810" s="491" t="n"/>
      <c r="V810" s="491" t="n"/>
      <c r="W810" s="491" t="n"/>
      <c r="X810" s="491" t="n"/>
      <c r="Y810" s="491" t="n"/>
    </row>
    <row r="811" ht="12.75" customHeight="1" s="398">
      <c r="A811" s="491" t="n"/>
      <c r="B811" s="491" t="n"/>
      <c r="C811" s="491" t="n"/>
      <c r="D811" s="491" t="n"/>
      <c r="E811" s="491" t="n"/>
      <c r="F811" s="491" t="n"/>
      <c r="G811" s="491" t="n"/>
      <c r="H811" s="491" t="n"/>
      <c r="I811" s="491" t="n"/>
      <c r="J811" s="491" t="n"/>
      <c r="K811" s="491" t="n"/>
      <c r="L811" s="491" t="n"/>
      <c r="M811" s="491" t="n"/>
      <c r="N811" s="491" t="n"/>
      <c r="O811" s="491" t="n"/>
      <c r="P811" s="491" t="n"/>
      <c r="Q811" s="491" t="n"/>
      <c r="R811" s="491" t="n"/>
      <c r="S811" s="491" t="n"/>
      <c r="T811" s="491" t="n"/>
      <c r="U811" s="491" t="n"/>
      <c r="V811" s="491" t="n"/>
      <c r="W811" s="491" t="n"/>
      <c r="X811" s="491" t="n"/>
      <c r="Y811" s="491" t="n"/>
    </row>
    <row r="812" ht="12.75" customHeight="1" s="398">
      <c r="A812" s="491" t="n"/>
      <c r="B812" s="491" t="n"/>
      <c r="C812" s="491" t="n"/>
      <c r="D812" s="491" t="n"/>
      <c r="E812" s="491" t="n"/>
      <c r="F812" s="491" t="n"/>
      <c r="G812" s="491" t="n"/>
      <c r="H812" s="491" t="n"/>
      <c r="I812" s="491" t="n"/>
      <c r="J812" s="491" t="n"/>
      <c r="K812" s="491" t="n"/>
      <c r="L812" s="491" t="n"/>
      <c r="M812" s="491" t="n"/>
      <c r="N812" s="491" t="n"/>
      <c r="O812" s="491" t="n"/>
      <c r="P812" s="491" t="n"/>
      <c r="Q812" s="491" t="n"/>
      <c r="R812" s="491" t="n"/>
      <c r="S812" s="491" t="n"/>
      <c r="T812" s="491" t="n"/>
      <c r="U812" s="491" t="n"/>
      <c r="V812" s="491" t="n"/>
      <c r="W812" s="491" t="n"/>
      <c r="X812" s="491" t="n"/>
      <c r="Y812" s="491" t="n"/>
    </row>
    <row r="813" ht="12.75" customHeight="1" s="398">
      <c r="A813" s="491" t="n"/>
      <c r="B813" s="491" t="n"/>
      <c r="C813" s="491" t="n"/>
      <c r="D813" s="491" t="n"/>
      <c r="E813" s="491" t="n"/>
      <c r="F813" s="491" t="n"/>
      <c r="G813" s="491" t="n"/>
      <c r="H813" s="491" t="n"/>
      <c r="I813" s="491" t="n"/>
      <c r="J813" s="491" t="n"/>
      <c r="K813" s="491" t="n"/>
      <c r="L813" s="491" t="n"/>
      <c r="M813" s="491" t="n"/>
      <c r="N813" s="491" t="n"/>
      <c r="O813" s="491" t="n"/>
      <c r="P813" s="491" t="n"/>
      <c r="Q813" s="491" t="n"/>
      <c r="R813" s="491" t="n"/>
      <c r="S813" s="491" t="n"/>
      <c r="T813" s="491" t="n"/>
      <c r="U813" s="491" t="n"/>
      <c r="V813" s="491" t="n"/>
      <c r="W813" s="491" t="n"/>
      <c r="X813" s="491" t="n"/>
      <c r="Y813" s="491" t="n"/>
    </row>
    <row r="814" ht="12.75" customHeight="1" s="398">
      <c r="A814" s="491" t="n"/>
      <c r="B814" s="491" t="n"/>
      <c r="C814" s="491" t="n"/>
      <c r="D814" s="491" t="n"/>
      <c r="E814" s="491" t="n"/>
      <c r="F814" s="491" t="n"/>
      <c r="G814" s="491" t="n"/>
      <c r="H814" s="491" t="n"/>
      <c r="I814" s="491" t="n"/>
      <c r="J814" s="491" t="n"/>
      <c r="K814" s="491" t="n"/>
      <c r="L814" s="491" t="n"/>
      <c r="M814" s="491" t="n"/>
      <c r="N814" s="491" t="n"/>
      <c r="O814" s="491" t="n"/>
      <c r="P814" s="491" t="n"/>
      <c r="Q814" s="491" t="n"/>
      <c r="R814" s="491" t="n"/>
      <c r="S814" s="491" t="n"/>
      <c r="T814" s="491" t="n"/>
      <c r="U814" s="491" t="n"/>
      <c r="V814" s="491" t="n"/>
      <c r="W814" s="491" t="n"/>
      <c r="X814" s="491" t="n"/>
      <c r="Y814" s="491" t="n"/>
    </row>
    <row r="815" ht="12.75" customHeight="1" s="398">
      <c r="A815" s="491" t="n"/>
      <c r="B815" s="491" t="n"/>
      <c r="C815" s="491" t="n"/>
      <c r="D815" s="491" t="n"/>
      <c r="E815" s="491" t="n"/>
      <c r="F815" s="491" t="n"/>
      <c r="G815" s="491" t="n"/>
      <c r="H815" s="491" t="n"/>
      <c r="I815" s="491" t="n"/>
      <c r="J815" s="491" t="n"/>
      <c r="K815" s="491" t="n"/>
      <c r="L815" s="491" t="n"/>
      <c r="M815" s="491" t="n"/>
      <c r="N815" s="491" t="n"/>
      <c r="O815" s="491" t="n"/>
      <c r="P815" s="491" t="n"/>
      <c r="Q815" s="491" t="n"/>
      <c r="R815" s="491" t="n"/>
      <c r="S815" s="491" t="n"/>
      <c r="T815" s="491" t="n"/>
      <c r="U815" s="491" t="n"/>
      <c r="V815" s="491" t="n"/>
      <c r="W815" s="491" t="n"/>
      <c r="X815" s="491" t="n"/>
      <c r="Y815" s="491" t="n"/>
    </row>
    <row r="816" ht="12.75" customHeight="1" s="398">
      <c r="A816" s="491" t="n"/>
      <c r="B816" s="491" t="n"/>
      <c r="C816" s="491" t="n"/>
      <c r="D816" s="491" t="n"/>
      <c r="E816" s="491" t="n"/>
      <c r="F816" s="491" t="n"/>
      <c r="G816" s="491" t="n"/>
      <c r="H816" s="491" t="n"/>
      <c r="I816" s="491" t="n"/>
      <c r="J816" s="491" t="n"/>
      <c r="K816" s="491" t="n"/>
      <c r="L816" s="491" t="n"/>
      <c r="M816" s="491" t="n"/>
      <c r="N816" s="491" t="n"/>
      <c r="O816" s="491" t="n"/>
      <c r="P816" s="491" t="n"/>
      <c r="Q816" s="491" t="n"/>
      <c r="R816" s="491" t="n"/>
      <c r="S816" s="491" t="n"/>
      <c r="T816" s="491" t="n"/>
      <c r="U816" s="491" t="n"/>
      <c r="V816" s="491" t="n"/>
      <c r="W816" s="491" t="n"/>
      <c r="X816" s="491" t="n"/>
      <c r="Y816" s="491" t="n"/>
    </row>
    <row r="817" ht="12.75" customHeight="1" s="398">
      <c r="A817" s="491" t="n"/>
      <c r="B817" s="491" t="n"/>
      <c r="C817" s="491" t="n"/>
      <c r="D817" s="491" t="n"/>
      <c r="E817" s="491" t="n"/>
      <c r="F817" s="491" t="n"/>
      <c r="G817" s="491" t="n"/>
      <c r="H817" s="491" t="n"/>
      <c r="I817" s="491" t="n"/>
      <c r="J817" s="491" t="n"/>
      <c r="K817" s="491" t="n"/>
      <c r="L817" s="491" t="n"/>
      <c r="M817" s="491" t="n"/>
      <c r="N817" s="491" t="n"/>
      <c r="O817" s="491" t="n"/>
      <c r="P817" s="491" t="n"/>
      <c r="Q817" s="491" t="n"/>
      <c r="R817" s="491" t="n"/>
      <c r="S817" s="491" t="n"/>
      <c r="T817" s="491" t="n"/>
      <c r="U817" s="491" t="n"/>
      <c r="V817" s="491" t="n"/>
      <c r="W817" s="491" t="n"/>
      <c r="X817" s="491" t="n"/>
      <c r="Y817" s="491" t="n"/>
    </row>
    <row r="818" ht="12.75" customHeight="1" s="398">
      <c r="A818" s="491" t="n"/>
      <c r="B818" s="491" t="n"/>
      <c r="C818" s="491" t="n"/>
      <c r="D818" s="491" t="n"/>
      <c r="E818" s="491" t="n"/>
      <c r="F818" s="491" t="n"/>
      <c r="G818" s="491" t="n"/>
      <c r="H818" s="491" t="n"/>
      <c r="I818" s="491" t="n"/>
      <c r="J818" s="491" t="n"/>
      <c r="K818" s="491" t="n"/>
      <c r="L818" s="491" t="n"/>
      <c r="M818" s="491" t="n"/>
      <c r="N818" s="491" t="n"/>
      <c r="O818" s="491" t="n"/>
      <c r="P818" s="491" t="n"/>
      <c r="Q818" s="491" t="n"/>
      <c r="R818" s="491" t="n"/>
      <c r="S818" s="491" t="n"/>
      <c r="T818" s="491" t="n"/>
      <c r="U818" s="491" t="n"/>
      <c r="V818" s="491" t="n"/>
      <c r="W818" s="491" t="n"/>
      <c r="X818" s="491" t="n"/>
      <c r="Y818" s="491" t="n"/>
    </row>
    <row r="819" ht="12.75" customHeight="1" s="398">
      <c r="A819" s="491" t="n"/>
      <c r="B819" s="491" t="n"/>
      <c r="C819" s="491" t="n"/>
      <c r="D819" s="491" t="n"/>
      <c r="E819" s="491" t="n"/>
      <c r="F819" s="491" t="n"/>
      <c r="G819" s="491" t="n"/>
      <c r="H819" s="491" t="n"/>
      <c r="I819" s="491" t="n"/>
      <c r="J819" s="491" t="n"/>
      <c r="K819" s="491" t="n"/>
      <c r="L819" s="491" t="n"/>
      <c r="M819" s="491" t="n"/>
      <c r="N819" s="491" t="n"/>
      <c r="O819" s="491" t="n"/>
      <c r="P819" s="491" t="n"/>
      <c r="Q819" s="491" t="n"/>
      <c r="R819" s="491" t="n"/>
      <c r="S819" s="491" t="n"/>
      <c r="T819" s="491" t="n"/>
      <c r="U819" s="491" t="n"/>
      <c r="V819" s="491" t="n"/>
      <c r="W819" s="491" t="n"/>
      <c r="X819" s="491" t="n"/>
      <c r="Y819" s="491" t="n"/>
    </row>
    <row r="820" ht="12.75" customHeight="1" s="398">
      <c r="A820" s="491" t="n"/>
      <c r="B820" s="491" t="n"/>
      <c r="C820" s="491" t="n"/>
      <c r="D820" s="491" t="n"/>
      <c r="E820" s="491" t="n"/>
      <c r="F820" s="491" t="n"/>
      <c r="G820" s="491" t="n"/>
      <c r="H820" s="491" t="n"/>
      <c r="I820" s="491" t="n"/>
      <c r="J820" s="491" t="n"/>
      <c r="K820" s="491" t="n"/>
      <c r="L820" s="491" t="n"/>
      <c r="M820" s="491" t="n"/>
      <c r="N820" s="491" t="n"/>
      <c r="O820" s="491" t="n"/>
      <c r="P820" s="491" t="n"/>
      <c r="Q820" s="491" t="n"/>
      <c r="R820" s="491" t="n"/>
      <c r="S820" s="491" t="n"/>
      <c r="T820" s="491" t="n"/>
      <c r="U820" s="491" t="n"/>
      <c r="V820" s="491" t="n"/>
      <c r="W820" s="491" t="n"/>
      <c r="X820" s="491" t="n"/>
      <c r="Y820" s="491" t="n"/>
    </row>
    <row r="821" ht="12.75" customHeight="1" s="398">
      <c r="A821" s="491" t="n"/>
      <c r="B821" s="491" t="n"/>
      <c r="C821" s="491" t="n"/>
      <c r="D821" s="491" t="n"/>
      <c r="E821" s="491" t="n"/>
      <c r="F821" s="491" t="n"/>
      <c r="G821" s="491" t="n"/>
      <c r="H821" s="491" t="n"/>
      <c r="I821" s="491" t="n"/>
      <c r="J821" s="491" t="n"/>
      <c r="K821" s="491" t="n"/>
      <c r="L821" s="491" t="n"/>
      <c r="M821" s="491" t="n"/>
      <c r="N821" s="491" t="n"/>
      <c r="O821" s="491" t="n"/>
      <c r="P821" s="491" t="n"/>
      <c r="Q821" s="491" t="n"/>
      <c r="R821" s="491" t="n"/>
      <c r="S821" s="491" t="n"/>
      <c r="T821" s="491" t="n"/>
      <c r="U821" s="491" t="n"/>
      <c r="V821" s="491" t="n"/>
      <c r="W821" s="491" t="n"/>
      <c r="X821" s="491" t="n"/>
      <c r="Y821" s="491" t="n"/>
    </row>
    <row r="822" ht="12.75" customHeight="1" s="398">
      <c r="A822" s="491" t="n"/>
      <c r="B822" s="491" t="n"/>
      <c r="C822" s="491" t="n"/>
      <c r="D822" s="491" t="n"/>
      <c r="E822" s="491" t="n"/>
      <c r="F822" s="491" t="n"/>
      <c r="G822" s="491" t="n"/>
      <c r="H822" s="491" t="n"/>
      <c r="I822" s="491" t="n"/>
      <c r="J822" s="491" t="n"/>
      <c r="K822" s="491" t="n"/>
      <c r="L822" s="491" t="n"/>
      <c r="M822" s="491" t="n"/>
      <c r="N822" s="491" t="n"/>
      <c r="O822" s="491" t="n"/>
      <c r="P822" s="491" t="n"/>
      <c r="Q822" s="491" t="n"/>
      <c r="R822" s="491" t="n"/>
      <c r="S822" s="491" t="n"/>
      <c r="T822" s="491" t="n"/>
      <c r="U822" s="491" t="n"/>
      <c r="V822" s="491" t="n"/>
      <c r="W822" s="491" t="n"/>
      <c r="X822" s="491" t="n"/>
      <c r="Y822" s="491" t="n"/>
    </row>
    <row r="823" ht="12.75" customHeight="1" s="398">
      <c r="A823" s="491" t="n"/>
      <c r="B823" s="491" t="n"/>
      <c r="C823" s="491" t="n"/>
      <c r="D823" s="491" t="n"/>
      <c r="E823" s="491" t="n"/>
      <c r="F823" s="491" t="n"/>
      <c r="G823" s="491" t="n"/>
      <c r="H823" s="491" t="n"/>
      <c r="I823" s="491" t="n"/>
      <c r="J823" s="491" t="n"/>
      <c r="K823" s="491" t="n"/>
      <c r="L823" s="491" t="n"/>
      <c r="M823" s="491" t="n"/>
      <c r="N823" s="491" t="n"/>
      <c r="O823" s="491" t="n"/>
      <c r="P823" s="491" t="n"/>
      <c r="Q823" s="491" t="n"/>
      <c r="R823" s="491" t="n"/>
      <c r="S823" s="491" t="n"/>
      <c r="T823" s="491" t="n"/>
      <c r="U823" s="491" t="n"/>
      <c r="V823" s="491" t="n"/>
      <c r="W823" s="491" t="n"/>
      <c r="X823" s="491" t="n"/>
      <c r="Y823" s="491" t="n"/>
    </row>
    <row r="824" ht="12.75" customHeight="1" s="398">
      <c r="A824" s="491" t="n"/>
      <c r="B824" s="491" t="n"/>
      <c r="C824" s="491" t="n"/>
      <c r="D824" s="491" t="n"/>
      <c r="E824" s="491" t="n"/>
      <c r="F824" s="491" t="n"/>
      <c r="G824" s="491" t="n"/>
      <c r="H824" s="491" t="n"/>
      <c r="I824" s="491" t="n"/>
      <c r="J824" s="491" t="n"/>
      <c r="K824" s="491" t="n"/>
      <c r="L824" s="491" t="n"/>
      <c r="M824" s="491" t="n"/>
      <c r="N824" s="491" t="n"/>
      <c r="O824" s="491" t="n"/>
      <c r="P824" s="491" t="n"/>
      <c r="Q824" s="491" t="n"/>
      <c r="R824" s="491" t="n"/>
      <c r="S824" s="491" t="n"/>
      <c r="T824" s="491" t="n"/>
      <c r="U824" s="491" t="n"/>
      <c r="V824" s="491" t="n"/>
      <c r="W824" s="491" t="n"/>
      <c r="X824" s="491" t="n"/>
      <c r="Y824" s="491" t="n"/>
    </row>
    <row r="825" ht="12.75" customHeight="1" s="398">
      <c r="A825" s="491" t="n"/>
      <c r="B825" s="491" t="n"/>
      <c r="C825" s="491" t="n"/>
      <c r="D825" s="491" t="n"/>
      <c r="E825" s="491" t="n"/>
      <c r="F825" s="491" t="n"/>
      <c r="G825" s="491" t="n"/>
      <c r="H825" s="491" t="n"/>
      <c r="I825" s="491" t="n"/>
      <c r="J825" s="491" t="n"/>
      <c r="K825" s="491" t="n"/>
      <c r="L825" s="491" t="n"/>
      <c r="M825" s="491" t="n"/>
      <c r="N825" s="491" t="n"/>
      <c r="O825" s="491" t="n"/>
      <c r="P825" s="491" t="n"/>
      <c r="Q825" s="491" t="n"/>
      <c r="R825" s="491" t="n"/>
      <c r="S825" s="491" t="n"/>
      <c r="T825" s="491" t="n"/>
      <c r="U825" s="491" t="n"/>
      <c r="V825" s="491" t="n"/>
      <c r="W825" s="491" t="n"/>
      <c r="X825" s="491" t="n"/>
      <c r="Y825" s="491" t="n"/>
    </row>
    <row r="826" ht="12.75" customHeight="1" s="398">
      <c r="A826" s="491" t="n"/>
      <c r="B826" s="491" t="n"/>
      <c r="C826" s="491" t="n"/>
      <c r="D826" s="491" t="n"/>
      <c r="E826" s="491" t="n"/>
      <c r="F826" s="491" t="n"/>
      <c r="G826" s="491" t="n"/>
      <c r="H826" s="491" t="n"/>
      <c r="I826" s="491" t="n"/>
      <c r="J826" s="491" t="n"/>
      <c r="K826" s="491" t="n"/>
      <c r="L826" s="491" t="n"/>
      <c r="M826" s="491" t="n"/>
      <c r="N826" s="491" t="n"/>
      <c r="O826" s="491" t="n"/>
      <c r="P826" s="491" t="n"/>
      <c r="Q826" s="491" t="n"/>
      <c r="R826" s="491" t="n"/>
      <c r="S826" s="491" t="n"/>
      <c r="T826" s="491" t="n"/>
      <c r="U826" s="491" t="n"/>
      <c r="V826" s="491" t="n"/>
      <c r="W826" s="491" t="n"/>
      <c r="X826" s="491" t="n"/>
      <c r="Y826" s="491" t="n"/>
    </row>
    <row r="827" ht="12.75" customHeight="1" s="398">
      <c r="A827" s="491" t="n"/>
      <c r="B827" s="491" t="n"/>
      <c r="C827" s="491" t="n"/>
      <c r="D827" s="491" t="n"/>
      <c r="E827" s="491" t="n"/>
      <c r="F827" s="491" t="n"/>
      <c r="G827" s="491" t="n"/>
      <c r="H827" s="491" t="n"/>
      <c r="I827" s="491" t="n"/>
      <c r="J827" s="491" t="n"/>
      <c r="K827" s="491" t="n"/>
      <c r="L827" s="491" t="n"/>
      <c r="M827" s="491" t="n"/>
      <c r="N827" s="491" t="n"/>
      <c r="O827" s="491" t="n"/>
      <c r="P827" s="491" t="n"/>
      <c r="Q827" s="491" t="n"/>
      <c r="R827" s="491" t="n"/>
      <c r="S827" s="491" t="n"/>
      <c r="T827" s="491" t="n"/>
      <c r="U827" s="491" t="n"/>
      <c r="V827" s="491" t="n"/>
      <c r="W827" s="491" t="n"/>
      <c r="X827" s="491" t="n"/>
      <c r="Y827" s="491" t="n"/>
    </row>
    <row r="828" ht="12.75" customHeight="1" s="398">
      <c r="A828" s="491" t="n"/>
      <c r="B828" s="491" t="n"/>
      <c r="C828" s="491" t="n"/>
      <c r="D828" s="491" t="n"/>
      <c r="E828" s="491" t="n"/>
      <c r="F828" s="491" t="n"/>
      <c r="G828" s="491" t="n"/>
      <c r="H828" s="491" t="n"/>
      <c r="I828" s="491" t="n"/>
      <c r="J828" s="491" t="n"/>
      <c r="K828" s="491" t="n"/>
      <c r="L828" s="491" t="n"/>
      <c r="M828" s="491" t="n"/>
      <c r="N828" s="491" t="n"/>
      <c r="O828" s="491" t="n"/>
      <c r="P828" s="491" t="n"/>
      <c r="Q828" s="491" t="n"/>
      <c r="R828" s="491" t="n"/>
      <c r="S828" s="491" t="n"/>
      <c r="T828" s="491" t="n"/>
      <c r="U828" s="491" t="n"/>
      <c r="V828" s="491" t="n"/>
      <c r="W828" s="491" t="n"/>
      <c r="X828" s="491" t="n"/>
      <c r="Y828" s="491" t="n"/>
    </row>
    <row r="829" ht="12.75" customHeight="1" s="398">
      <c r="A829" s="491" t="n"/>
      <c r="B829" s="491" t="n"/>
      <c r="C829" s="491" t="n"/>
      <c r="D829" s="491" t="n"/>
      <c r="E829" s="491" t="n"/>
      <c r="F829" s="491" t="n"/>
      <c r="G829" s="491" t="n"/>
      <c r="H829" s="491" t="n"/>
      <c r="I829" s="491" t="n"/>
      <c r="J829" s="491" t="n"/>
      <c r="K829" s="491" t="n"/>
      <c r="L829" s="491" t="n"/>
      <c r="M829" s="491" t="n"/>
      <c r="N829" s="491" t="n"/>
      <c r="O829" s="491" t="n"/>
      <c r="P829" s="491" t="n"/>
      <c r="Q829" s="491" t="n"/>
      <c r="R829" s="491" t="n"/>
      <c r="S829" s="491" t="n"/>
      <c r="T829" s="491" t="n"/>
      <c r="U829" s="491" t="n"/>
      <c r="V829" s="491" t="n"/>
      <c r="W829" s="491" t="n"/>
      <c r="X829" s="491" t="n"/>
      <c r="Y829" s="491" t="n"/>
    </row>
    <row r="830" ht="12.75" customHeight="1" s="398">
      <c r="A830" s="491" t="n"/>
      <c r="B830" s="491" t="n"/>
      <c r="C830" s="491" t="n"/>
      <c r="D830" s="491" t="n"/>
      <c r="E830" s="491" t="n"/>
      <c r="F830" s="491" t="n"/>
      <c r="G830" s="491" t="n"/>
      <c r="H830" s="491" t="n"/>
      <c r="I830" s="491" t="n"/>
      <c r="J830" s="491" t="n"/>
      <c r="K830" s="491" t="n"/>
      <c r="L830" s="491" t="n"/>
      <c r="M830" s="491" t="n"/>
      <c r="N830" s="491" t="n"/>
      <c r="O830" s="491" t="n"/>
      <c r="P830" s="491" t="n"/>
      <c r="Q830" s="491" t="n"/>
      <c r="R830" s="491" t="n"/>
      <c r="S830" s="491" t="n"/>
      <c r="T830" s="491" t="n"/>
      <c r="U830" s="491" t="n"/>
      <c r="V830" s="491" t="n"/>
      <c r="W830" s="491" t="n"/>
      <c r="X830" s="491" t="n"/>
      <c r="Y830" s="491" t="n"/>
    </row>
    <row r="831" ht="12.75" customHeight="1" s="398">
      <c r="A831" s="491" t="n"/>
      <c r="B831" s="491" t="n"/>
      <c r="C831" s="491" t="n"/>
      <c r="D831" s="491" t="n"/>
      <c r="E831" s="491" t="n"/>
      <c r="F831" s="491" t="n"/>
      <c r="G831" s="491" t="n"/>
      <c r="H831" s="491" t="n"/>
      <c r="I831" s="491" t="n"/>
      <c r="J831" s="491" t="n"/>
      <c r="K831" s="491" t="n"/>
      <c r="L831" s="491" t="n"/>
      <c r="M831" s="491" t="n"/>
      <c r="N831" s="491" t="n"/>
      <c r="O831" s="491" t="n"/>
      <c r="P831" s="491" t="n"/>
      <c r="Q831" s="491" t="n"/>
      <c r="R831" s="491" t="n"/>
      <c r="S831" s="491" t="n"/>
      <c r="T831" s="491" t="n"/>
      <c r="U831" s="491" t="n"/>
      <c r="V831" s="491" t="n"/>
      <c r="W831" s="491" t="n"/>
      <c r="X831" s="491" t="n"/>
      <c r="Y831" s="491" t="n"/>
    </row>
    <row r="832" ht="12.75" customHeight="1" s="398">
      <c r="A832" s="491" t="n"/>
      <c r="B832" s="491" t="n"/>
      <c r="C832" s="491" t="n"/>
      <c r="D832" s="491" t="n"/>
      <c r="E832" s="491" t="n"/>
      <c r="F832" s="491" t="n"/>
      <c r="G832" s="491" t="n"/>
      <c r="H832" s="491" t="n"/>
      <c r="I832" s="491" t="n"/>
      <c r="J832" s="491" t="n"/>
      <c r="K832" s="491" t="n"/>
      <c r="L832" s="491" t="n"/>
      <c r="M832" s="491" t="n"/>
      <c r="N832" s="491" t="n"/>
      <c r="O832" s="491" t="n"/>
      <c r="P832" s="491" t="n"/>
      <c r="Q832" s="491" t="n"/>
      <c r="R832" s="491" t="n"/>
      <c r="S832" s="491" t="n"/>
      <c r="T832" s="491" t="n"/>
      <c r="U832" s="491" t="n"/>
      <c r="V832" s="491" t="n"/>
      <c r="W832" s="491" t="n"/>
      <c r="X832" s="491" t="n"/>
      <c r="Y832" s="491" t="n"/>
    </row>
    <row r="833" ht="12.75" customHeight="1" s="398">
      <c r="A833" s="491" t="n"/>
      <c r="B833" s="491" t="n"/>
      <c r="C833" s="491" t="n"/>
      <c r="D833" s="491" t="n"/>
      <c r="E833" s="491" t="n"/>
      <c r="F833" s="491" t="n"/>
      <c r="G833" s="491" t="n"/>
      <c r="H833" s="491" t="n"/>
      <c r="I833" s="491" t="n"/>
      <c r="J833" s="491" t="n"/>
      <c r="K833" s="491" t="n"/>
      <c r="L833" s="491" t="n"/>
      <c r="M833" s="491" t="n"/>
      <c r="N833" s="491" t="n"/>
      <c r="O833" s="491" t="n"/>
      <c r="P833" s="491" t="n"/>
      <c r="Q833" s="491" t="n"/>
      <c r="R833" s="491" t="n"/>
      <c r="S833" s="491" t="n"/>
      <c r="T833" s="491" t="n"/>
      <c r="U833" s="491" t="n"/>
      <c r="V833" s="491" t="n"/>
      <c r="W833" s="491" t="n"/>
      <c r="X833" s="491" t="n"/>
      <c r="Y833" s="491" t="n"/>
    </row>
    <row r="834" ht="12.75" customHeight="1" s="398">
      <c r="A834" s="491" t="n"/>
      <c r="B834" s="491" t="n"/>
      <c r="C834" s="491" t="n"/>
      <c r="D834" s="491" t="n"/>
      <c r="E834" s="491" t="n"/>
      <c r="F834" s="491" t="n"/>
      <c r="G834" s="491" t="n"/>
      <c r="H834" s="491" t="n"/>
      <c r="I834" s="491" t="n"/>
      <c r="J834" s="491" t="n"/>
      <c r="K834" s="491" t="n"/>
      <c r="L834" s="491" t="n"/>
      <c r="M834" s="491" t="n"/>
      <c r="N834" s="491" t="n"/>
      <c r="O834" s="491" t="n"/>
      <c r="P834" s="491" t="n"/>
      <c r="Q834" s="491" t="n"/>
      <c r="R834" s="491" t="n"/>
      <c r="S834" s="491" t="n"/>
      <c r="T834" s="491" t="n"/>
      <c r="U834" s="491" t="n"/>
      <c r="V834" s="491" t="n"/>
      <c r="W834" s="491" t="n"/>
      <c r="X834" s="491" t="n"/>
      <c r="Y834" s="491" t="n"/>
    </row>
    <row r="835" ht="12.75" customHeight="1" s="398">
      <c r="A835" s="491" t="n"/>
      <c r="B835" s="491" t="n"/>
      <c r="C835" s="491" t="n"/>
      <c r="D835" s="491" t="n"/>
      <c r="E835" s="491" t="n"/>
      <c r="F835" s="491" t="n"/>
      <c r="G835" s="491" t="n"/>
      <c r="H835" s="491" t="n"/>
      <c r="I835" s="491" t="n"/>
      <c r="J835" s="491" t="n"/>
      <c r="K835" s="491" t="n"/>
      <c r="L835" s="491" t="n"/>
      <c r="M835" s="491" t="n"/>
      <c r="N835" s="491" t="n"/>
      <c r="O835" s="491" t="n"/>
      <c r="P835" s="491" t="n"/>
      <c r="Q835" s="491" t="n"/>
      <c r="R835" s="491" t="n"/>
      <c r="S835" s="491" t="n"/>
      <c r="T835" s="491" t="n"/>
      <c r="U835" s="491" t="n"/>
      <c r="V835" s="491" t="n"/>
      <c r="W835" s="491" t="n"/>
      <c r="X835" s="491" t="n"/>
      <c r="Y835" s="491" t="n"/>
    </row>
    <row r="836" ht="12.75" customHeight="1" s="398">
      <c r="A836" s="491" t="n"/>
      <c r="B836" s="491" t="n"/>
      <c r="C836" s="491" t="n"/>
      <c r="D836" s="491" t="n"/>
      <c r="E836" s="491" t="n"/>
      <c r="F836" s="491" t="n"/>
      <c r="G836" s="491" t="n"/>
      <c r="H836" s="491" t="n"/>
      <c r="I836" s="491" t="n"/>
      <c r="J836" s="491" t="n"/>
      <c r="K836" s="491" t="n"/>
      <c r="L836" s="491" t="n"/>
      <c r="M836" s="491" t="n"/>
      <c r="N836" s="491" t="n"/>
      <c r="O836" s="491" t="n"/>
      <c r="P836" s="491" t="n"/>
      <c r="Q836" s="491" t="n"/>
      <c r="R836" s="491" t="n"/>
      <c r="S836" s="491" t="n"/>
      <c r="T836" s="491" t="n"/>
      <c r="U836" s="491" t="n"/>
      <c r="V836" s="491" t="n"/>
      <c r="W836" s="491" t="n"/>
      <c r="X836" s="491" t="n"/>
      <c r="Y836" s="491" t="n"/>
    </row>
    <row r="837" ht="12.75" customHeight="1" s="398">
      <c r="A837" s="491" t="n"/>
      <c r="B837" s="491" t="n"/>
      <c r="C837" s="491" t="n"/>
      <c r="D837" s="491" t="n"/>
      <c r="E837" s="491" t="n"/>
      <c r="F837" s="491" t="n"/>
      <c r="G837" s="491" t="n"/>
      <c r="H837" s="491" t="n"/>
      <c r="I837" s="491" t="n"/>
      <c r="J837" s="491" t="n"/>
      <c r="K837" s="491" t="n"/>
      <c r="L837" s="491" t="n"/>
      <c r="M837" s="491" t="n"/>
      <c r="N837" s="491" t="n"/>
      <c r="O837" s="491" t="n"/>
      <c r="P837" s="491" t="n"/>
      <c r="Q837" s="491" t="n"/>
      <c r="R837" s="491" t="n"/>
      <c r="S837" s="491" t="n"/>
      <c r="T837" s="491" t="n"/>
      <c r="U837" s="491" t="n"/>
      <c r="V837" s="491" t="n"/>
      <c r="W837" s="491" t="n"/>
      <c r="X837" s="491" t="n"/>
      <c r="Y837" s="491" t="n"/>
    </row>
    <row r="838" ht="12.75" customHeight="1" s="398">
      <c r="A838" s="491" t="n"/>
      <c r="B838" s="491" t="n"/>
      <c r="C838" s="491" t="n"/>
      <c r="D838" s="491" t="n"/>
      <c r="E838" s="491" t="n"/>
      <c r="F838" s="491" t="n"/>
      <c r="G838" s="491" t="n"/>
      <c r="H838" s="491" t="n"/>
      <c r="I838" s="491" t="n"/>
      <c r="J838" s="491" t="n"/>
      <c r="K838" s="491" t="n"/>
      <c r="L838" s="491" t="n"/>
      <c r="M838" s="491" t="n"/>
      <c r="N838" s="491" t="n"/>
      <c r="O838" s="491" t="n"/>
      <c r="P838" s="491" t="n"/>
      <c r="Q838" s="491" t="n"/>
      <c r="R838" s="491" t="n"/>
      <c r="S838" s="491" t="n"/>
      <c r="T838" s="491" t="n"/>
      <c r="U838" s="491" t="n"/>
      <c r="V838" s="491" t="n"/>
      <c r="W838" s="491" t="n"/>
      <c r="X838" s="491" t="n"/>
      <c r="Y838" s="491" t="n"/>
    </row>
    <row r="839" ht="12.75" customHeight="1" s="398">
      <c r="A839" s="491" t="n"/>
      <c r="B839" s="491" t="n"/>
      <c r="C839" s="491" t="n"/>
      <c r="D839" s="491" t="n"/>
      <c r="E839" s="491" t="n"/>
      <c r="F839" s="491" t="n"/>
      <c r="G839" s="491" t="n"/>
      <c r="H839" s="491" t="n"/>
      <c r="I839" s="491" t="n"/>
      <c r="J839" s="491" t="n"/>
      <c r="K839" s="491" t="n"/>
      <c r="L839" s="491" t="n"/>
      <c r="M839" s="491" t="n"/>
      <c r="N839" s="491" t="n"/>
      <c r="O839" s="491" t="n"/>
      <c r="P839" s="491" t="n"/>
      <c r="Q839" s="491" t="n"/>
      <c r="R839" s="491" t="n"/>
      <c r="S839" s="491" t="n"/>
      <c r="T839" s="491" t="n"/>
      <c r="U839" s="491" t="n"/>
      <c r="V839" s="491" t="n"/>
      <c r="W839" s="491" t="n"/>
      <c r="X839" s="491" t="n"/>
      <c r="Y839" s="491" t="n"/>
    </row>
    <row r="840" ht="12.75" customHeight="1" s="398">
      <c r="A840" s="491" t="n"/>
      <c r="B840" s="491" t="n"/>
      <c r="C840" s="491" t="n"/>
      <c r="D840" s="491" t="n"/>
      <c r="E840" s="491" t="n"/>
      <c r="F840" s="491" t="n"/>
      <c r="G840" s="491" t="n"/>
      <c r="H840" s="491" t="n"/>
      <c r="I840" s="491" t="n"/>
      <c r="J840" s="491" t="n"/>
      <c r="K840" s="491" t="n"/>
      <c r="L840" s="491" t="n"/>
      <c r="M840" s="491" t="n"/>
      <c r="N840" s="491" t="n"/>
      <c r="O840" s="491" t="n"/>
      <c r="P840" s="491" t="n"/>
      <c r="Q840" s="491" t="n"/>
      <c r="R840" s="491" t="n"/>
      <c r="S840" s="491" t="n"/>
      <c r="T840" s="491" t="n"/>
      <c r="U840" s="491" t="n"/>
      <c r="V840" s="491" t="n"/>
      <c r="W840" s="491" t="n"/>
      <c r="X840" s="491" t="n"/>
      <c r="Y840" s="491" t="n"/>
    </row>
    <row r="841" ht="12.75" customHeight="1" s="398">
      <c r="A841" s="491" t="n"/>
      <c r="B841" s="491" t="n"/>
      <c r="C841" s="491" t="n"/>
      <c r="D841" s="491" t="n"/>
      <c r="E841" s="491" t="n"/>
      <c r="F841" s="491" t="n"/>
      <c r="G841" s="491" t="n"/>
      <c r="H841" s="491" t="n"/>
      <c r="I841" s="491" t="n"/>
      <c r="J841" s="491" t="n"/>
      <c r="K841" s="491" t="n"/>
      <c r="L841" s="491" t="n"/>
      <c r="M841" s="491" t="n"/>
      <c r="N841" s="491" t="n"/>
      <c r="O841" s="491" t="n"/>
      <c r="P841" s="491" t="n"/>
      <c r="Q841" s="491" t="n"/>
      <c r="R841" s="491" t="n"/>
      <c r="S841" s="491" t="n"/>
      <c r="T841" s="491" t="n"/>
      <c r="U841" s="491" t="n"/>
      <c r="V841" s="491" t="n"/>
      <c r="W841" s="491" t="n"/>
      <c r="X841" s="491" t="n"/>
      <c r="Y841" s="491" t="n"/>
    </row>
    <row r="842" ht="12.75" customHeight="1" s="398">
      <c r="A842" s="491" t="n"/>
      <c r="B842" s="491" t="n"/>
      <c r="C842" s="491" t="n"/>
      <c r="D842" s="491" t="n"/>
      <c r="E842" s="491" t="n"/>
      <c r="F842" s="491" t="n"/>
      <c r="G842" s="491" t="n"/>
      <c r="H842" s="491" t="n"/>
      <c r="I842" s="491" t="n"/>
      <c r="J842" s="491" t="n"/>
      <c r="K842" s="491" t="n"/>
      <c r="L842" s="491" t="n"/>
      <c r="M842" s="491" t="n"/>
      <c r="N842" s="491" t="n"/>
      <c r="O842" s="491" t="n"/>
      <c r="P842" s="491" t="n"/>
      <c r="Q842" s="491" t="n"/>
      <c r="R842" s="491" t="n"/>
      <c r="S842" s="491" t="n"/>
      <c r="T842" s="491" t="n"/>
      <c r="U842" s="491" t="n"/>
      <c r="V842" s="491" t="n"/>
      <c r="W842" s="491" t="n"/>
      <c r="X842" s="491" t="n"/>
      <c r="Y842" s="491" t="n"/>
    </row>
    <row r="843" ht="12.75" customHeight="1" s="398">
      <c r="A843" s="491" t="n"/>
      <c r="B843" s="491" t="n"/>
      <c r="C843" s="491" t="n"/>
      <c r="D843" s="491" t="n"/>
      <c r="E843" s="491" t="n"/>
      <c r="F843" s="491" t="n"/>
      <c r="G843" s="491" t="n"/>
      <c r="H843" s="491" t="n"/>
      <c r="I843" s="491" t="n"/>
      <c r="J843" s="491" t="n"/>
      <c r="K843" s="491" t="n"/>
      <c r="L843" s="491" t="n"/>
      <c r="M843" s="491" t="n"/>
      <c r="N843" s="491" t="n"/>
      <c r="O843" s="491" t="n"/>
      <c r="P843" s="491" t="n"/>
      <c r="Q843" s="491" t="n"/>
      <c r="R843" s="491" t="n"/>
      <c r="S843" s="491" t="n"/>
      <c r="T843" s="491" t="n"/>
      <c r="U843" s="491" t="n"/>
      <c r="V843" s="491" t="n"/>
      <c r="W843" s="491" t="n"/>
      <c r="X843" s="491" t="n"/>
      <c r="Y843" s="491" t="n"/>
    </row>
    <row r="844" ht="12.75" customHeight="1" s="398">
      <c r="A844" s="491" t="n"/>
      <c r="B844" s="491" t="n"/>
      <c r="C844" s="491" t="n"/>
      <c r="D844" s="491" t="n"/>
      <c r="E844" s="491" t="n"/>
      <c r="F844" s="491" t="n"/>
      <c r="G844" s="491" t="n"/>
      <c r="H844" s="491" t="n"/>
      <c r="I844" s="491" t="n"/>
      <c r="J844" s="491" t="n"/>
      <c r="K844" s="491" t="n"/>
      <c r="L844" s="491" t="n"/>
      <c r="M844" s="491" t="n"/>
      <c r="N844" s="491" t="n"/>
      <c r="O844" s="491" t="n"/>
      <c r="P844" s="491" t="n"/>
      <c r="Q844" s="491" t="n"/>
      <c r="R844" s="491" t="n"/>
      <c r="S844" s="491" t="n"/>
      <c r="T844" s="491" t="n"/>
      <c r="U844" s="491" t="n"/>
      <c r="V844" s="491" t="n"/>
      <c r="W844" s="491" t="n"/>
      <c r="X844" s="491" t="n"/>
      <c r="Y844" s="491" t="n"/>
    </row>
    <row r="845" ht="12.75" customHeight="1" s="398">
      <c r="A845" s="491" t="n"/>
      <c r="B845" s="491" t="n"/>
      <c r="C845" s="491" t="n"/>
      <c r="D845" s="491" t="n"/>
      <c r="E845" s="491" t="n"/>
      <c r="F845" s="491" t="n"/>
      <c r="G845" s="491" t="n"/>
      <c r="H845" s="491" t="n"/>
      <c r="I845" s="491" t="n"/>
      <c r="J845" s="491" t="n"/>
      <c r="K845" s="491" t="n"/>
      <c r="L845" s="491" t="n"/>
      <c r="M845" s="491" t="n"/>
      <c r="N845" s="491" t="n"/>
      <c r="O845" s="491" t="n"/>
      <c r="P845" s="491" t="n"/>
      <c r="Q845" s="491" t="n"/>
      <c r="R845" s="491" t="n"/>
      <c r="S845" s="491" t="n"/>
      <c r="T845" s="491" t="n"/>
      <c r="U845" s="491" t="n"/>
      <c r="V845" s="491" t="n"/>
      <c r="W845" s="491" t="n"/>
      <c r="X845" s="491" t="n"/>
      <c r="Y845" s="491" t="n"/>
    </row>
    <row r="846" ht="12.75" customHeight="1" s="398">
      <c r="A846" s="491" t="n"/>
      <c r="B846" s="491" t="n"/>
      <c r="C846" s="491" t="n"/>
      <c r="D846" s="491" t="n"/>
      <c r="E846" s="491" t="n"/>
      <c r="F846" s="491" t="n"/>
      <c r="G846" s="491" t="n"/>
      <c r="H846" s="491" t="n"/>
      <c r="I846" s="491" t="n"/>
      <c r="J846" s="491" t="n"/>
      <c r="K846" s="491" t="n"/>
      <c r="L846" s="491" t="n"/>
      <c r="M846" s="491" t="n"/>
      <c r="N846" s="491" t="n"/>
      <c r="O846" s="491" t="n"/>
      <c r="P846" s="491" t="n"/>
      <c r="Q846" s="491" t="n"/>
      <c r="R846" s="491" t="n"/>
      <c r="S846" s="491" t="n"/>
      <c r="T846" s="491" t="n"/>
      <c r="U846" s="491" t="n"/>
      <c r="V846" s="491" t="n"/>
      <c r="W846" s="491" t="n"/>
      <c r="X846" s="491" t="n"/>
      <c r="Y846" s="491" t="n"/>
    </row>
    <row r="847" ht="12.75" customHeight="1" s="398">
      <c r="A847" s="491" t="n"/>
      <c r="B847" s="491" t="n"/>
      <c r="C847" s="491" t="n"/>
      <c r="D847" s="491" t="n"/>
      <c r="E847" s="491" t="n"/>
      <c r="F847" s="491" t="n"/>
      <c r="G847" s="491" t="n"/>
      <c r="H847" s="491" t="n"/>
      <c r="I847" s="491" t="n"/>
      <c r="J847" s="491" t="n"/>
      <c r="K847" s="491" t="n"/>
      <c r="L847" s="491" t="n"/>
      <c r="M847" s="491" t="n"/>
      <c r="N847" s="491" t="n"/>
      <c r="O847" s="491" t="n"/>
      <c r="P847" s="491" t="n"/>
      <c r="Q847" s="491" t="n"/>
      <c r="R847" s="491" t="n"/>
      <c r="S847" s="491" t="n"/>
      <c r="T847" s="491" t="n"/>
      <c r="U847" s="491" t="n"/>
      <c r="V847" s="491" t="n"/>
      <c r="W847" s="491" t="n"/>
      <c r="X847" s="491" t="n"/>
      <c r="Y847" s="491" t="n"/>
    </row>
    <row r="848" ht="12.75" customHeight="1" s="398">
      <c r="A848" s="491" t="n"/>
      <c r="B848" s="491" t="n"/>
      <c r="C848" s="491" t="n"/>
      <c r="D848" s="491" t="n"/>
      <c r="E848" s="491" t="n"/>
      <c r="F848" s="491" t="n"/>
      <c r="G848" s="491" t="n"/>
      <c r="H848" s="491" t="n"/>
      <c r="I848" s="491" t="n"/>
      <c r="J848" s="491" t="n"/>
      <c r="K848" s="491" t="n"/>
      <c r="L848" s="491" t="n"/>
      <c r="M848" s="491" t="n"/>
      <c r="N848" s="491" t="n"/>
      <c r="O848" s="491" t="n"/>
      <c r="P848" s="491" t="n"/>
      <c r="Q848" s="491" t="n"/>
      <c r="R848" s="491" t="n"/>
      <c r="S848" s="491" t="n"/>
      <c r="T848" s="491" t="n"/>
      <c r="U848" s="491" t="n"/>
      <c r="V848" s="491" t="n"/>
      <c r="W848" s="491" t="n"/>
      <c r="X848" s="491" t="n"/>
      <c r="Y848" s="491" t="n"/>
    </row>
    <row r="849" ht="12.75" customHeight="1" s="398">
      <c r="A849" s="491" t="n"/>
      <c r="B849" s="491" t="n"/>
      <c r="C849" s="491" t="n"/>
      <c r="D849" s="491" t="n"/>
      <c r="E849" s="491" t="n"/>
      <c r="F849" s="491" t="n"/>
      <c r="G849" s="491" t="n"/>
      <c r="H849" s="491" t="n"/>
      <c r="I849" s="491" t="n"/>
      <c r="J849" s="491" t="n"/>
      <c r="K849" s="491" t="n"/>
      <c r="L849" s="491" t="n"/>
      <c r="M849" s="491" t="n"/>
      <c r="N849" s="491" t="n"/>
      <c r="O849" s="491" t="n"/>
      <c r="P849" s="491" t="n"/>
      <c r="Q849" s="491" t="n"/>
      <c r="R849" s="491" t="n"/>
      <c r="S849" s="491" t="n"/>
      <c r="T849" s="491" t="n"/>
      <c r="U849" s="491" t="n"/>
      <c r="V849" s="491" t="n"/>
      <c r="W849" s="491" t="n"/>
      <c r="X849" s="491" t="n"/>
      <c r="Y849" s="491" t="n"/>
    </row>
    <row r="850" ht="12.75" customHeight="1" s="398">
      <c r="A850" s="491" t="n"/>
      <c r="B850" s="491" t="n"/>
      <c r="C850" s="491" t="n"/>
      <c r="D850" s="491" t="n"/>
      <c r="E850" s="491" t="n"/>
      <c r="F850" s="491" t="n"/>
      <c r="G850" s="491" t="n"/>
      <c r="H850" s="491" t="n"/>
      <c r="I850" s="491" t="n"/>
      <c r="J850" s="491" t="n"/>
      <c r="K850" s="491" t="n"/>
      <c r="L850" s="491" t="n"/>
      <c r="M850" s="491" t="n"/>
      <c r="N850" s="491" t="n"/>
      <c r="O850" s="491" t="n"/>
      <c r="P850" s="491" t="n"/>
      <c r="Q850" s="491" t="n"/>
      <c r="R850" s="491" t="n"/>
      <c r="S850" s="491" t="n"/>
      <c r="T850" s="491" t="n"/>
      <c r="U850" s="491" t="n"/>
      <c r="V850" s="491" t="n"/>
      <c r="W850" s="491" t="n"/>
      <c r="X850" s="491" t="n"/>
      <c r="Y850" s="491" t="n"/>
    </row>
    <row r="851" ht="12.75" customHeight="1" s="398">
      <c r="A851" s="491" t="n"/>
      <c r="B851" s="491" t="n"/>
      <c r="C851" s="491" t="n"/>
      <c r="D851" s="491" t="n"/>
      <c r="E851" s="491" t="n"/>
      <c r="F851" s="491" t="n"/>
      <c r="G851" s="491" t="n"/>
      <c r="H851" s="491" t="n"/>
      <c r="I851" s="491" t="n"/>
      <c r="J851" s="491" t="n"/>
      <c r="K851" s="491" t="n"/>
      <c r="L851" s="491" t="n"/>
      <c r="M851" s="491" t="n"/>
      <c r="N851" s="491" t="n"/>
      <c r="O851" s="491" t="n"/>
      <c r="P851" s="491" t="n"/>
      <c r="Q851" s="491" t="n"/>
      <c r="R851" s="491" t="n"/>
      <c r="S851" s="491" t="n"/>
      <c r="T851" s="491" t="n"/>
      <c r="U851" s="491" t="n"/>
      <c r="V851" s="491" t="n"/>
      <c r="W851" s="491" t="n"/>
      <c r="X851" s="491" t="n"/>
      <c r="Y851" s="491" t="n"/>
    </row>
    <row r="852" ht="12.75" customHeight="1" s="398">
      <c r="A852" s="491" t="n"/>
      <c r="B852" s="491" t="n"/>
      <c r="C852" s="491" t="n"/>
      <c r="D852" s="491" t="n"/>
      <c r="E852" s="491" t="n"/>
      <c r="F852" s="491" t="n"/>
      <c r="G852" s="491" t="n"/>
      <c r="H852" s="491" t="n"/>
      <c r="I852" s="491" t="n"/>
      <c r="J852" s="491" t="n"/>
      <c r="K852" s="491" t="n"/>
      <c r="L852" s="491" t="n"/>
      <c r="M852" s="491" t="n"/>
      <c r="N852" s="491" t="n"/>
      <c r="O852" s="491" t="n"/>
      <c r="P852" s="491" t="n"/>
      <c r="Q852" s="491" t="n"/>
      <c r="R852" s="491" t="n"/>
      <c r="S852" s="491" t="n"/>
      <c r="T852" s="491" t="n"/>
      <c r="U852" s="491" t="n"/>
      <c r="V852" s="491" t="n"/>
      <c r="W852" s="491" t="n"/>
      <c r="X852" s="491" t="n"/>
      <c r="Y852" s="491" t="n"/>
    </row>
    <row r="853" ht="12.75" customHeight="1" s="398">
      <c r="A853" s="491" t="n"/>
      <c r="B853" s="491" t="n"/>
      <c r="C853" s="491" t="n"/>
      <c r="D853" s="491" t="n"/>
      <c r="E853" s="491" t="n"/>
      <c r="F853" s="491" t="n"/>
      <c r="G853" s="491" t="n"/>
      <c r="H853" s="491" t="n"/>
      <c r="I853" s="491" t="n"/>
      <c r="J853" s="491" t="n"/>
      <c r="K853" s="491" t="n"/>
      <c r="L853" s="491" t="n"/>
      <c r="M853" s="491" t="n"/>
      <c r="N853" s="491" t="n"/>
      <c r="O853" s="491" t="n"/>
      <c r="P853" s="491" t="n"/>
      <c r="Q853" s="491" t="n"/>
      <c r="R853" s="491" t="n"/>
      <c r="S853" s="491" t="n"/>
      <c r="T853" s="491" t="n"/>
      <c r="U853" s="491" t="n"/>
      <c r="V853" s="491" t="n"/>
      <c r="W853" s="491" t="n"/>
      <c r="X853" s="491" t="n"/>
      <c r="Y853" s="491" t="n"/>
    </row>
    <row r="854" ht="12.75" customHeight="1" s="398">
      <c r="A854" s="491" t="n"/>
      <c r="B854" s="491" t="n"/>
      <c r="C854" s="491" t="n"/>
      <c r="D854" s="491" t="n"/>
      <c r="E854" s="491" t="n"/>
      <c r="F854" s="491" t="n"/>
      <c r="G854" s="491" t="n"/>
      <c r="H854" s="491" t="n"/>
      <c r="I854" s="491" t="n"/>
      <c r="J854" s="491" t="n"/>
      <c r="K854" s="491" t="n"/>
      <c r="L854" s="491" t="n"/>
      <c r="M854" s="491" t="n"/>
      <c r="N854" s="491" t="n"/>
      <c r="O854" s="491" t="n"/>
      <c r="P854" s="491" t="n"/>
      <c r="Q854" s="491" t="n"/>
      <c r="R854" s="491" t="n"/>
      <c r="S854" s="491" t="n"/>
      <c r="T854" s="491" t="n"/>
      <c r="U854" s="491" t="n"/>
      <c r="V854" s="491" t="n"/>
      <c r="W854" s="491" t="n"/>
      <c r="X854" s="491" t="n"/>
      <c r="Y854" s="491" t="n"/>
    </row>
    <row r="855" ht="12.75" customHeight="1" s="398">
      <c r="A855" s="491" t="n"/>
      <c r="B855" s="491" t="n"/>
      <c r="C855" s="491" t="n"/>
      <c r="D855" s="491" t="n"/>
      <c r="E855" s="491" t="n"/>
      <c r="F855" s="491" t="n"/>
      <c r="G855" s="491" t="n"/>
      <c r="H855" s="491" t="n"/>
      <c r="I855" s="491" t="n"/>
      <c r="J855" s="491" t="n"/>
      <c r="K855" s="491" t="n"/>
      <c r="L855" s="491" t="n"/>
      <c r="M855" s="491" t="n"/>
      <c r="N855" s="491" t="n"/>
      <c r="O855" s="491" t="n"/>
      <c r="P855" s="491" t="n"/>
      <c r="Q855" s="491" t="n"/>
      <c r="R855" s="491" t="n"/>
      <c r="S855" s="491" t="n"/>
      <c r="T855" s="491" t="n"/>
      <c r="U855" s="491" t="n"/>
      <c r="V855" s="491" t="n"/>
      <c r="W855" s="491" t="n"/>
      <c r="X855" s="491" t="n"/>
      <c r="Y855" s="491" t="n"/>
    </row>
    <row r="856" ht="12.75" customHeight="1" s="398">
      <c r="A856" s="491" t="n"/>
      <c r="B856" s="491" t="n"/>
      <c r="C856" s="491" t="n"/>
      <c r="D856" s="491" t="n"/>
      <c r="E856" s="491" t="n"/>
      <c r="F856" s="491" t="n"/>
      <c r="G856" s="491" t="n"/>
      <c r="H856" s="491" t="n"/>
      <c r="I856" s="491" t="n"/>
      <c r="J856" s="491" t="n"/>
      <c r="K856" s="491" t="n"/>
      <c r="L856" s="491" t="n"/>
      <c r="M856" s="491" t="n"/>
      <c r="N856" s="491" t="n"/>
      <c r="O856" s="491" t="n"/>
      <c r="P856" s="491" t="n"/>
      <c r="Q856" s="491" t="n"/>
      <c r="R856" s="491" t="n"/>
      <c r="S856" s="491" t="n"/>
      <c r="T856" s="491" t="n"/>
      <c r="U856" s="491" t="n"/>
      <c r="V856" s="491" t="n"/>
      <c r="W856" s="491" t="n"/>
      <c r="X856" s="491" t="n"/>
      <c r="Y856" s="491" t="n"/>
    </row>
    <row r="857" ht="12.75" customHeight="1" s="398">
      <c r="A857" s="491" t="n"/>
      <c r="B857" s="491" t="n"/>
      <c r="C857" s="491" t="n"/>
      <c r="D857" s="491" t="n"/>
      <c r="E857" s="491" t="n"/>
      <c r="F857" s="491" t="n"/>
      <c r="G857" s="491" t="n"/>
      <c r="H857" s="491" t="n"/>
      <c r="I857" s="491" t="n"/>
      <c r="J857" s="491" t="n"/>
      <c r="K857" s="491" t="n"/>
      <c r="L857" s="491" t="n"/>
      <c r="M857" s="491" t="n"/>
      <c r="N857" s="491" t="n"/>
      <c r="O857" s="491" t="n"/>
      <c r="P857" s="491" t="n"/>
      <c r="Q857" s="491" t="n"/>
      <c r="R857" s="491" t="n"/>
      <c r="S857" s="491" t="n"/>
      <c r="T857" s="491" t="n"/>
      <c r="U857" s="491" t="n"/>
      <c r="V857" s="491" t="n"/>
      <c r="W857" s="491" t="n"/>
      <c r="X857" s="491" t="n"/>
      <c r="Y857" s="491" t="n"/>
    </row>
    <row r="858" ht="12.75" customHeight="1" s="398">
      <c r="A858" s="491" t="n"/>
      <c r="B858" s="491" t="n"/>
      <c r="C858" s="491" t="n"/>
      <c r="D858" s="491" t="n"/>
      <c r="E858" s="491" t="n"/>
      <c r="F858" s="491" t="n"/>
      <c r="G858" s="491" t="n"/>
      <c r="H858" s="491" t="n"/>
      <c r="I858" s="491" t="n"/>
      <c r="J858" s="491" t="n"/>
      <c r="K858" s="491" t="n"/>
      <c r="L858" s="491" t="n"/>
      <c r="M858" s="491" t="n"/>
      <c r="N858" s="491" t="n"/>
      <c r="O858" s="491" t="n"/>
      <c r="P858" s="491" t="n"/>
      <c r="Q858" s="491" t="n"/>
      <c r="R858" s="491" t="n"/>
      <c r="S858" s="491" t="n"/>
      <c r="T858" s="491" t="n"/>
      <c r="U858" s="491" t="n"/>
      <c r="V858" s="491" t="n"/>
      <c r="W858" s="491" t="n"/>
      <c r="X858" s="491" t="n"/>
      <c r="Y858" s="491" t="n"/>
    </row>
    <row r="859" ht="12.75" customHeight="1" s="398">
      <c r="A859" s="491" t="n"/>
      <c r="B859" s="491" t="n"/>
      <c r="C859" s="491" t="n"/>
      <c r="D859" s="491" t="n"/>
      <c r="E859" s="491" t="n"/>
      <c r="F859" s="491" t="n"/>
      <c r="G859" s="491" t="n"/>
      <c r="H859" s="491" t="n"/>
      <c r="I859" s="491" t="n"/>
      <c r="J859" s="491" t="n"/>
      <c r="K859" s="491" t="n"/>
      <c r="L859" s="491" t="n"/>
      <c r="M859" s="491" t="n"/>
      <c r="N859" s="491" t="n"/>
      <c r="O859" s="491" t="n"/>
      <c r="P859" s="491" t="n"/>
      <c r="Q859" s="491" t="n"/>
      <c r="R859" s="491" t="n"/>
      <c r="S859" s="491" t="n"/>
      <c r="T859" s="491" t="n"/>
      <c r="U859" s="491" t="n"/>
      <c r="V859" s="491" t="n"/>
      <c r="W859" s="491" t="n"/>
      <c r="X859" s="491" t="n"/>
      <c r="Y859" s="491" t="n"/>
    </row>
    <row r="860" ht="12.75" customHeight="1" s="398">
      <c r="A860" s="491" t="n"/>
      <c r="B860" s="491" t="n"/>
      <c r="C860" s="491" t="n"/>
      <c r="D860" s="491" t="n"/>
      <c r="E860" s="491" t="n"/>
      <c r="F860" s="491" t="n"/>
      <c r="G860" s="491" t="n"/>
      <c r="H860" s="491" t="n"/>
      <c r="I860" s="491" t="n"/>
      <c r="J860" s="491" t="n"/>
      <c r="K860" s="491" t="n"/>
      <c r="L860" s="491" t="n"/>
      <c r="M860" s="491" t="n"/>
      <c r="N860" s="491" t="n"/>
      <c r="O860" s="491" t="n"/>
      <c r="P860" s="491" t="n"/>
      <c r="Q860" s="491" t="n"/>
      <c r="R860" s="491" t="n"/>
      <c r="S860" s="491" t="n"/>
      <c r="T860" s="491" t="n"/>
      <c r="U860" s="491" t="n"/>
      <c r="V860" s="491" t="n"/>
      <c r="W860" s="491" t="n"/>
      <c r="X860" s="491" t="n"/>
      <c r="Y860" s="491" t="n"/>
    </row>
    <row r="861" ht="12.75" customHeight="1" s="398">
      <c r="A861" s="491" t="n"/>
      <c r="B861" s="491" t="n"/>
      <c r="C861" s="491" t="n"/>
      <c r="D861" s="491" t="n"/>
      <c r="E861" s="491" t="n"/>
      <c r="F861" s="491" t="n"/>
      <c r="G861" s="491" t="n"/>
      <c r="H861" s="491" t="n"/>
      <c r="I861" s="491" t="n"/>
      <c r="J861" s="491" t="n"/>
      <c r="K861" s="491" t="n"/>
      <c r="L861" s="491" t="n"/>
      <c r="M861" s="491" t="n"/>
      <c r="N861" s="491" t="n"/>
      <c r="O861" s="491" t="n"/>
      <c r="P861" s="491" t="n"/>
      <c r="Q861" s="491" t="n"/>
      <c r="R861" s="491" t="n"/>
      <c r="S861" s="491" t="n"/>
      <c r="T861" s="491" t="n"/>
      <c r="U861" s="491" t="n"/>
      <c r="V861" s="491" t="n"/>
      <c r="W861" s="491" t="n"/>
      <c r="X861" s="491" t="n"/>
      <c r="Y861" s="491" t="n"/>
    </row>
    <row r="862" ht="12.75" customHeight="1" s="398">
      <c r="A862" s="491" t="n"/>
      <c r="B862" s="491" t="n"/>
      <c r="C862" s="491" t="n"/>
      <c r="D862" s="491" t="n"/>
      <c r="E862" s="491" t="n"/>
      <c r="F862" s="491" t="n"/>
      <c r="G862" s="491" t="n"/>
      <c r="H862" s="491" t="n"/>
      <c r="I862" s="491" t="n"/>
      <c r="J862" s="491" t="n"/>
      <c r="K862" s="491" t="n"/>
      <c r="L862" s="491" t="n"/>
      <c r="M862" s="491" t="n"/>
      <c r="N862" s="491" t="n"/>
      <c r="O862" s="491" t="n"/>
      <c r="P862" s="491" t="n"/>
      <c r="Q862" s="491" t="n"/>
      <c r="R862" s="491" t="n"/>
      <c r="S862" s="491" t="n"/>
      <c r="T862" s="491" t="n"/>
      <c r="U862" s="491" t="n"/>
      <c r="V862" s="491" t="n"/>
      <c r="W862" s="491" t="n"/>
      <c r="X862" s="491" t="n"/>
      <c r="Y862" s="491" t="n"/>
    </row>
    <row r="863" ht="12.75" customHeight="1" s="398">
      <c r="A863" s="491" t="n"/>
      <c r="B863" s="491" t="n"/>
      <c r="C863" s="491" t="n"/>
      <c r="D863" s="491" t="n"/>
      <c r="E863" s="491" t="n"/>
      <c r="F863" s="491" t="n"/>
      <c r="G863" s="491" t="n"/>
      <c r="H863" s="491" t="n"/>
      <c r="I863" s="491" t="n"/>
      <c r="J863" s="491" t="n"/>
      <c r="K863" s="491" t="n"/>
      <c r="L863" s="491" t="n"/>
      <c r="M863" s="491" t="n"/>
      <c r="N863" s="491" t="n"/>
      <c r="O863" s="491" t="n"/>
      <c r="P863" s="491" t="n"/>
      <c r="Q863" s="491" t="n"/>
      <c r="R863" s="491" t="n"/>
      <c r="S863" s="491" t="n"/>
      <c r="T863" s="491" t="n"/>
      <c r="U863" s="491" t="n"/>
      <c r="V863" s="491" t="n"/>
      <c r="W863" s="491" t="n"/>
      <c r="X863" s="491" t="n"/>
      <c r="Y863" s="491" t="n"/>
    </row>
    <row r="864" ht="12.75" customHeight="1" s="398">
      <c r="A864" s="491" t="n"/>
      <c r="B864" s="491" t="n"/>
      <c r="C864" s="491" t="n"/>
      <c r="D864" s="491" t="n"/>
      <c r="E864" s="491" t="n"/>
      <c r="F864" s="491" t="n"/>
      <c r="G864" s="491" t="n"/>
      <c r="H864" s="491" t="n"/>
      <c r="I864" s="491" t="n"/>
      <c r="J864" s="491" t="n"/>
      <c r="K864" s="491" t="n"/>
      <c r="L864" s="491" t="n"/>
      <c r="M864" s="491" t="n"/>
      <c r="N864" s="491" t="n"/>
      <c r="O864" s="491" t="n"/>
      <c r="P864" s="491" t="n"/>
      <c r="Q864" s="491" t="n"/>
      <c r="R864" s="491" t="n"/>
      <c r="S864" s="491" t="n"/>
      <c r="T864" s="491" t="n"/>
      <c r="U864" s="491" t="n"/>
      <c r="V864" s="491" t="n"/>
      <c r="W864" s="491" t="n"/>
      <c r="X864" s="491" t="n"/>
      <c r="Y864" s="491" t="n"/>
    </row>
    <row r="865" ht="12.75" customHeight="1" s="398">
      <c r="A865" s="491" t="n"/>
      <c r="B865" s="491" t="n"/>
      <c r="C865" s="491" t="n"/>
      <c r="D865" s="491" t="n"/>
      <c r="E865" s="491" t="n"/>
      <c r="F865" s="491" t="n"/>
      <c r="G865" s="491" t="n"/>
      <c r="H865" s="491" t="n"/>
      <c r="I865" s="491" t="n"/>
      <c r="J865" s="491" t="n"/>
      <c r="K865" s="491" t="n"/>
      <c r="L865" s="491" t="n"/>
      <c r="M865" s="491" t="n"/>
      <c r="N865" s="491" t="n"/>
      <c r="O865" s="491" t="n"/>
      <c r="P865" s="491" t="n"/>
      <c r="Q865" s="491" t="n"/>
      <c r="R865" s="491" t="n"/>
      <c r="S865" s="491" t="n"/>
      <c r="T865" s="491" t="n"/>
      <c r="U865" s="491" t="n"/>
      <c r="V865" s="491" t="n"/>
      <c r="W865" s="491" t="n"/>
      <c r="X865" s="491" t="n"/>
      <c r="Y865" s="491" t="n"/>
    </row>
    <row r="866" ht="12.75" customHeight="1" s="398">
      <c r="A866" s="491" t="n"/>
      <c r="B866" s="491" t="n"/>
      <c r="C866" s="491" t="n"/>
      <c r="D866" s="491" t="n"/>
      <c r="E866" s="491" t="n"/>
      <c r="F866" s="491" t="n"/>
      <c r="G866" s="491" t="n"/>
      <c r="H866" s="491" t="n"/>
      <c r="I866" s="491" t="n"/>
      <c r="J866" s="491" t="n"/>
      <c r="K866" s="491" t="n"/>
      <c r="L866" s="491" t="n"/>
      <c r="M866" s="491" t="n"/>
      <c r="N866" s="491" t="n"/>
      <c r="O866" s="491" t="n"/>
      <c r="P866" s="491" t="n"/>
      <c r="Q866" s="491" t="n"/>
      <c r="R866" s="491" t="n"/>
      <c r="S866" s="491" t="n"/>
      <c r="T866" s="491" t="n"/>
      <c r="U866" s="491" t="n"/>
      <c r="V866" s="491" t="n"/>
      <c r="W866" s="491" t="n"/>
      <c r="X866" s="491" t="n"/>
      <c r="Y866" s="491" t="n"/>
    </row>
    <row r="867" ht="12.75" customHeight="1" s="398">
      <c r="A867" s="491" t="n"/>
      <c r="B867" s="491" t="n"/>
      <c r="C867" s="491" t="n"/>
      <c r="D867" s="491" t="n"/>
      <c r="E867" s="491" t="n"/>
      <c r="F867" s="491" t="n"/>
      <c r="G867" s="491" t="n"/>
      <c r="H867" s="491" t="n"/>
      <c r="I867" s="491" t="n"/>
      <c r="J867" s="491" t="n"/>
      <c r="K867" s="491" t="n"/>
      <c r="L867" s="491" t="n"/>
      <c r="M867" s="491" t="n"/>
      <c r="N867" s="491" t="n"/>
      <c r="O867" s="491" t="n"/>
      <c r="P867" s="491" t="n"/>
      <c r="Q867" s="491" t="n"/>
      <c r="R867" s="491" t="n"/>
      <c r="S867" s="491" t="n"/>
      <c r="T867" s="491" t="n"/>
      <c r="U867" s="491" t="n"/>
      <c r="V867" s="491" t="n"/>
      <c r="W867" s="491" t="n"/>
      <c r="X867" s="491" t="n"/>
      <c r="Y867" s="491" t="n"/>
    </row>
    <row r="868" ht="12.75" customHeight="1" s="398">
      <c r="A868" s="491" t="n"/>
      <c r="B868" s="491" t="n"/>
      <c r="C868" s="491" t="n"/>
      <c r="D868" s="491" t="n"/>
      <c r="E868" s="491" t="n"/>
      <c r="F868" s="491" t="n"/>
      <c r="G868" s="491" t="n"/>
      <c r="H868" s="491" t="n"/>
      <c r="I868" s="491" t="n"/>
      <c r="J868" s="491" t="n"/>
      <c r="K868" s="491" t="n"/>
      <c r="L868" s="491" t="n"/>
      <c r="M868" s="491" t="n"/>
      <c r="N868" s="491" t="n"/>
      <c r="O868" s="491" t="n"/>
      <c r="P868" s="491" t="n"/>
      <c r="Q868" s="491" t="n"/>
      <c r="R868" s="491" t="n"/>
      <c r="S868" s="491" t="n"/>
      <c r="T868" s="491" t="n"/>
      <c r="U868" s="491" t="n"/>
      <c r="V868" s="491" t="n"/>
      <c r="W868" s="491" t="n"/>
      <c r="X868" s="491" t="n"/>
      <c r="Y868" s="491" t="n"/>
    </row>
    <row r="869" ht="12.75" customHeight="1" s="398">
      <c r="A869" s="491" t="n"/>
      <c r="B869" s="491" t="n"/>
      <c r="C869" s="491" t="n"/>
      <c r="D869" s="491" t="n"/>
      <c r="E869" s="491" t="n"/>
      <c r="F869" s="491" t="n"/>
      <c r="G869" s="491" t="n"/>
      <c r="H869" s="491" t="n"/>
      <c r="I869" s="491" t="n"/>
      <c r="J869" s="491" t="n"/>
      <c r="K869" s="491" t="n"/>
      <c r="L869" s="491" t="n"/>
      <c r="M869" s="491" t="n"/>
      <c r="N869" s="491" t="n"/>
      <c r="O869" s="491" t="n"/>
      <c r="P869" s="491" t="n"/>
      <c r="Q869" s="491" t="n"/>
      <c r="R869" s="491" t="n"/>
      <c r="S869" s="491" t="n"/>
      <c r="T869" s="491" t="n"/>
      <c r="U869" s="491" t="n"/>
      <c r="V869" s="491" t="n"/>
      <c r="W869" s="491" t="n"/>
      <c r="X869" s="491" t="n"/>
      <c r="Y869" s="491" t="n"/>
    </row>
    <row r="870" ht="12.75" customHeight="1" s="398">
      <c r="A870" s="491" t="n"/>
      <c r="B870" s="491" t="n"/>
      <c r="C870" s="491" t="n"/>
      <c r="D870" s="491" t="n"/>
      <c r="E870" s="491" t="n"/>
      <c r="F870" s="491" t="n"/>
      <c r="G870" s="491" t="n"/>
      <c r="H870" s="491" t="n"/>
      <c r="I870" s="491" t="n"/>
      <c r="J870" s="491" t="n"/>
      <c r="K870" s="491" t="n"/>
      <c r="L870" s="491" t="n"/>
      <c r="M870" s="491" t="n"/>
      <c r="N870" s="491" t="n"/>
      <c r="O870" s="491" t="n"/>
      <c r="P870" s="491" t="n"/>
      <c r="Q870" s="491" t="n"/>
      <c r="R870" s="491" t="n"/>
      <c r="S870" s="491" t="n"/>
      <c r="T870" s="491" t="n"/>
      <c r="U870" s="491" t="n"/>
      <c r="V870" s="491" t="n"/>
      <c r="W870" s="491" t="n"/>
      <c r="X870" s="491" t="n"/>
      <c r="Y870" s="491" t="n"/>
    </row>
    <row r="871" ht="12.75" customHeight="1" s="398">
      <c r="A871" s="491" t="n"/>
      <c r="B871" s="491" t="n"/>
      <c r="C871" s="491" t="n"/>
      <c r="D871" s="491" t="n"/>
      <c r="E871" s="491" t="n"/>
      <c r="F871" s="491" t="n"/>
      <c r="G871" s="491" t="n"/>
      <c r="H871" s="491" t="n"/>
      <c r="I871" s="491" t="n"/>
      <c r="J871" s="491" t="n"/>
      <c r="K871" s="491" t="n"/>
      <c r="L871" s="491" t="n"/>
      <c r="M871" s="491" t="n"/>
      <c r="N871" s="491" t="n"/>
      <c r="O871" s="491" t="n"/>
      <c r="P871" s="491" t="n"/>
      <c r="Q871" s="491" t="n"/>
      <c r="R871" s="491" t="n"/>
      <c r="S871" s="491" t="n"/>
      <c r="T871" s="491" t="n"/>
      <c r="U871" s="491" t="n"/>
      <c r="V871" s="491" t="n"/>
      <c r="W871" s="491" t="n"/>
      <c r="X871" s="491" t="n"/>
      <c r="Y871" s="491" t="n"/>
    </row>
    <row r="872" ht="12.75" customHeight="1" s="398">
      <c r="A872" s="491" t="n"/>
      <c r="B872" s="491" t="n"/>
      <c r="C872" s="491" t="n"/>
      <c r="D872" s="491" t="n"/>
      <c r="E872" s="491" t="n"/>
      <c r="F872" s="491" t="n"/>
      <c r="G872" s="491" t="n"/>
      <c r="H872" s="491" t="n"/>
      <c r="I872" s="491" t="n"/>
      <c r="J872" s="491" t="n"/>
      <c r="K872" s="491" t="n"/>
      <c r="L872" s="491" t="n"/>
      <c r="M872" s="491" t="n"/>
      <c r="N872" s="491" t="n"/>
      <c r="O872" s="491" t="n"/>
      <c r="P872" s="491" t="n"/>
      <c r="Q872" s="491" t="n"/>
      <c r="R872" s="491" t="n"/>
      <c r="S872" s="491" t="n"/>
      <c r="T872" s="491" t="n"/>
      <c r="U872" s="491" t="n"/>
      <c r="V872" s="491" t="n"/>
      <c r="W872" s="491" t="n"/>
      <c r="X872" s="491" t="n"/>
      <c r="Y872" s="491" t="n"/>
    </row>
    <row r="873" ht="12.75" customHeight="1" s="398">
      <c r="A873" s="491" t="n"/>
      <c r="B873" s="491" t="n"/>
      <c r="C873" s="491" t="n"/>
      <c r="D873" s="491" t="n"/>
      <c r="E873" s="491" t="n"/>
      <c r="F873" s="491" t="n"/>
      <c r="G873" s="491" t="n"/>
      <c r="H873" s="491" t="n"/>
      <c r="I873" s="491" t="n"/>
      <c r="J873" s="491" t="n"/>
      <c r="K873" s="491" t="n"/>
      <c r="L873" s="491" t="n"/>
      <c r="M873" s="491" t="n"/>
      <c r="N873" s="491" t="n"/>
      <c r="O873" s="491" t="n"/>
      <c r="P873" s="491" t="n"/>
      <c r="Q873" s="491" t="n"/>
      <c r="R873" s="491" t="n"/>
      <c r="S873" s="491" t="n"/>
      <c r="T873" s="491" t="n"/>
      <c r="U873" s="491" t="n"/>
      <c r="V873" s="491" t="n"/>
      <c r="W873" s="491" t="n"/>
      <c r="X873" s="491" t="n"/>
      <c r="Y873" s="491" t="n"/>
    </row>
    <row r="874" ht="12.75" customHeight="1" s="398">
      <c r="A874" s="491" t="n"/>
      <c r="B874" s="491" t="n"/>
      <c r="C874" s="491" t="n"/>
      <c r="D874" s="491" t="n"/>
      <c r="E874" s="491" t="n"/>
      <c r="F874" s="491" t="n"/>
      <c r="G874" s="491" t="n"/>
      <c r="H874" s="491" t="n"/>
      <c r="I874" s="491" t="n"/>
      <c r="J874" s="491" t="n"/>
      <c r="K874" s="491" t="n"/>
      <c r="L874" s="491" t="n"/>
      <c r="M874" s="491" t="n"/>
      <c r="N874" s="491" t="n"/>
      <c r="O874" s="491" t="n"/>
      <c r="P874" s="491" t="n"/>
      <c r="Q874" s="491" t="n"/>
      <c r="R874" s="491" t="n"/>
      <c r="S874" s="491" t="n"/>
      <c r="T874" s="491" t="n"/>
      <c r="U874" s="491" t="n"/>
      <c r="V874" s="491" t="n"/>
      <c r="W874" s="491" t="n"/>
      <c r="X874" s="491" t="n"/>
      <c r="Y874" s="491" t="n"/>
    </row>
    <row r="875" ht="12.75" customHeight="1" s="398">
      <c r="A875" s="491" t="n"/>
      <c r="B875" s="491" t="n"/>
      <c r="C875" s="491" t="n"/>
      <c r="D875" s="491" t="n"/>
      <c r="E875" s="491" t="n"/>
      <c r="F875" s="491" t="n"/>
      <c r="G875" s="491" t="n"/>
      <c r="H875" s="491" t="n"/>
      <c r="I875" s="491" t="n"/>
      <c r="J875" s="491" t="n"/>
      <c r="K875" s="491" t="n"/>
      <c r="L875" s="491" t="n"/>
      <c r="M875" s="491" t="n"/>
      <c r="N875" s="491" t="n"/>
      <c r="O875" s="491" t="n"/>
      <c r="P875" s="491" t="n"/>
      <c r="Q875" s="491" t="n"/>
      <c r="R875" s="491" t="n"/>
      <c r="S875" s="491" t="n"/>
      <c r="T875" s="491" t="n"/>
      <c r="U875" s="491" t="n"/>
      <c r="V875" s="491" t="n"/>
      <c r="W875" s="491" t="n"/>
      <c r="X875" s="491" t="n"/>
      <c r="Y875" s="491" t="n"/>
    </row>
    <row r="876" ht="12.75" customHeight="1" s="398">
      <c r="A876" s="491" t="n"/>
      <c r="B876" s="491" t="n"/>
      <c r="C876" s="491" t="n"/>
      <c r="D876" s="491" t="n"/>
      <c r="E876" s="491" t="n"/>
      <c r="F876" s="491" t="n"/>
      <c r="G876" s="491" t="n"/>
      <c r="H876" s="491" t="n"/>
      <c r="I876" s="491" t="n"/>
      <c r="J876" s="491" t="n"/>
      <c r="K876" s="491" t="n"/>
      <c r="L876" s="491" t="n"/>
      <c r="M876" s="491" t="n"/>
      <c r="N876" s="491" t="n"/>
      <c r="O876" s="491" t="n"/>
      <c r="P876" s="491" t="n"/>
      <c r="Q876" s="491" t="n"/>
      <c r="R876" s="491" t="n"/>
      <c r="S876" s="491" t="n"/>
      <c r="T876" s="491" t="n"/>
      <c r="U876" s="491" t="n"/>
      <c r="V876" s="491" t="n"/>
      <c r="W876" s="491" t="n"/>
      <c r="X876" s="491" t="n"/>
      <c r="Y876" s="491" t="n"/>
    </row>
    <row r="877" ht="12.75" customHeight="1" s="398">
      <c r="A877" s="491" t="n"/>
      <c r="B877" s="491" t="n"/>
      <c r="C877" s="491" t="n"/>
      <c r="D877" s="491" t="n"/>
      <c r="E877" s="491" t="n"/>
      <c r="F877" s="491" t="n"/>
      <c r="G877" s="491" t="n"/>
      <c r="H877" s="491" t="n"/>
      <c r="I877" s="491" t="n"/>
      <c r="J877" s="491" t="n"/>
      <c r="K877" s="491" t="n"/>
      <c r="L877" s="491" t="n"/>
      <c r="M877" s="491" t="n"/>
      <c r="N877" s="491" t="n"/>
      <c r="O877" s="491" t="n"/>
      <c r="P877" s="491" t="n"/>
      <c r="Q877" s="491" t="n"/>
      <c r="R877" s="491" t="n"/>
      <c r="S877" s="491" t="n"/>
      <c r="T877" s="491" t="n"/>
      <c r="U877" s="491" t="n"/>
      <c r="V877" s="491" t="n"/>
      <c r="W877" s="491" t="n"/>
      <c r="X877" s="491" t="n"/>
      <c r="Y877" s="491" t="n"/>
    </row>
    <row r="878" ht="12.75" customHeight="1" s="398">
      <c r="A878" s="491" t="n"/>
      <c r="B878" s="491" t="n"/>
      <c r="C878" s="491" t="n"/>
      <c r="D878" s="491" t="n"/>
      <c r="E878" s="491" t="n"/>
      <c r="F878" s="491" t="n"/>
      <c r="G878" s="491" t="n"/>
      <c r="H878" s="491" t="n"/>
      <c r="I878" s="491" t="n"/>
      <c r="J878" s="491" t="n"/>
      <c r="K878" s="491" t="n"/>
      <c r="L878" s="491" t="n"/>
      <c r="M878" s="491" t="n"/>
      <c r="N878" s="491" t="n"/>
      <c r="O878" s="491" t="n"/>
      <c r="P878" s="491" t="n"/>
      <c r="Q878" s="491" t="n"/>
      <c r="R878" s="491" t="n"/>
      <c r="S878" s="491" t="n"/>
      <c r="T878" s="491" t="n"/>
      <c r="U878" s="491" t="n"/>
      <c r="V878" s="491" t="n"/>
      <c r="W878" s="491" t="n"/>
      <c r="X878" s="491" t="n"/>
      <c r="Y878" s="491" t="n"/>
    </row>
    <row r="879" ht="12.75" customHeight="1" s="398">
      <c r="A879" s="491" t="n"/>
      <c r="B879" s="491" t="n"/>
      <c r="C879" s="491" t="n"/>
      <c r="D879" s="491" t="n"/>
      <c r="E879" s="491" t="n"/>
      <c r="F879" s="491" t="n"/>
      <c r="G879" s="491" t="n"/>
      <c r="H879" s="491" t="n"/>
      <c r="I879" s="491" t="n"/>
      <c r="J879" s="491" t="n"/>
      <c r="K879" s="491" t="n"/>
      <c r="L879" s="491" t="n"/>
      <c r="M879" s="491" t="n"/>
      <c r="N879" s="491" t="n"/>
      <c r="O879" s="491" t="n"/>
      <c r="P879" s="491" t="n"/>
      <c r="Q879" s="491" t="n"/>
      <c r="R879" s="491" t="n"/>
      <c r="S879" s="491" t="n"/>
      <c r="T879" s="491" t="n"/>
      <c r="U879" s="491" t="n"/>
      <c r="V879" s="491" t="n"/>
      <c r="W879" s="491" t="n"/>
      <c r="X879" s="491" t="n"/>
      <c r="Y879" s="491" t="n"/>
    </row>
    <row r="880" ht="12.75" customHeight="1" s="398">
      <c r="A880" s="491" t="n"/>
      <c r="B880" s="491" t="n"/>
      <c r="C880" s="491" t="n"/>
      <c r="D880" s="491" t="n"/>
      <c r="E880" s="491" t="n"/>
      <c r="F880" s="491" t="n"/>
      <c r="G880" s="491" t="n"/>
      <c r="H880" s="491" t="n"/>
      <c r="I880" s="491" t="n"/>
      <c r="J880" s="491" t="n"/>
      <c r="K880" s="491" t="n"/>
      <c r="L880" s="491" t="n"/>
      <c r="M880" s="491" t="n"/>
      <c r="N880" s="491" t="n"/>
      <c r="O880" s="491" t="n"/>
      <c r="P880" s="491" t="n"/>
      <c r="Q880" s="491" t="n"/>
      <c r="R880" s="491" t="n"/>
      <c r="S880" s="491" t="n"/>
      <c r="T880" s="491" t="n"/>
      <c r="U880" s="491" t="n"/>
      <c r="V880" s="491" t="n"/>
      <c r="W880" s="491" t="n"/>
      <c r="X880" s="491" t="n"/>
      <c r="Y880" s="491" t="n"/>
    </row>
    <row r="881" ht="12.75" customHeight="1" s="398">
      <c r="A881" s="491" t="n"/>
      <c r="B881" s="491" t="n"/>
      <c r="C881" s="491" t="n"/>
      <c r="D881" s="491" t="n"/>
      <c r="E881" s="491" t="n"/>
      <c r="F881" s="491" t="n"/>
      <c r="G881" s="491" t="n"/>
      <c r="H881" s="491" t="n"/>
      <c r="I881" s="491" t="n"/>
      <c r="J881" s="491" t="n"/>
      <c r="K881" s="491" t="n"/>
      <c r="L881" s="491" t="n"/>
      <c r="M881" s="491" t="n"/>
      <c r="N881" s="491" t="n"/>
      <c r="O881" s="491" t="n"/>
      <c r="P881" s="491" t="n"/>
      <c r="Q881" s="491" t="n"/>
      <c r="R881" s="491" t="n"/>
      <c r="S881" s="491" t="n"/>
      <c r="T881" s="491" t="n"/>
      <c r="U881" s="491" t="n"/>
      <c r="V881" s="491" t="n"/>
      <c r="W881" s="491" t="n"/>
      <c r="X881" s="491" t="n"/>
      <c r="Y881" s="491" t="n"/>
    </row>
    <row r="882" ht="12.75" customHeight="1" s="398">
      <c r="A882" s="491" t="n"/>
      <c r="B882" s="491" t="n"/>
      <c r="C882" s="491" t="n"/>
      <c r="D882" s="491" t="n"/>
      <c r="E882" s="491" t="n"/>
      <c r="F882" s="491" t="n"/>
      <c r="G882" s="491" t="n"/>
      <c r="H882" s="491" t="n"/>
      <c r="I882" s="491" t="n"/>
      <c r="J882" s="491" t="n"/>
      <c r="K882" s="491" t="n"/>
      <c r="L882" s="491" t="n"/>
      <c r="M882" s="491" t="n"/>
      <c r="N882" s="491" t="n"/>
      <c r="O882" s="491" t="n"/>
      <c r="P882" s="491" t="n"/>
      <c r="Q882" s="491" t="n"/>
      <c r="R882" s="491" t="n"/>
      <c r="S882" s="491" t="n"/>
      <c r="T882" s="491" t="n"/>
      <c r="U882" s="491" t="n"/>
      <c r="V882" s="491" t="n"/>
      <c r="W882" s="491" t="n"/>
      <c r="X882" s="491" t="n"/>
      <c r="Y882" s="491" t="n"/>
    </row>
    <row r="883" ht="12.75" customHeight="1" s="398">
      <c r="A883" s="491" t="n"/>
      <c r="B883" s="491" t="n"/>
      <c r="C883" s="491" t="n"/>
      <c r="D883" s="491" t="n"/>
      <c r="E883" s="491" t="n"/>
      <c r="F883" s="491" t="n"/>
      <c r="G883" s="491" t="n"/>
      <c r="H883" s="491" t="n"/>
      <c r="I883" s="491" t="n"/>
      <c r="J883" s="491" t="n"/>
      <c r="K883" s="491" t="n"/>
      <c r="L883" s="491" t="n"/>
      <c r="M883" s="491" t="n"/>
      <c r="N883" s="491" t="n"/>
      <c r="O883" s="491" t="n"/>
      <c r="P883" s="491" t="n"/>
      <c r="Q883" s="491" t="n"/>
      <c r="R883" s="491" t="n"/>
      <c r="S883" s="491" t="n"/>
      <c r="T883" s="491" t="n"/>
      <c r="U883" s="491" t="n"/>
      <c r="V883" s="491" t="n"/>
      <c r="W883" s="491" t="n"/>
      <c r="X883" s="491" t="n"/>
      <c r="Y883" s="491" t="n"/>
    </row>
    <row r="884" ht="12.75" customHeight="1" s="398">
      <c r="A884" s="491" t="n"/>
      <c r="B884" s="491" t="n"/>
      <c r="C884" s="491" t="n"/>
      <c r="D884" s="491" t="n"/>
      <c r="E884" s="491" t="n"/>
      <c r="F884" s="491" t="n"/>
      <c r="G884" s="491" t="n"/>
      <c r="H884" s="491" t="n"/>
      <c r="I884" s="491" t="n"/>
      <c r="J884" s="491" t="n"/>
      <c r="K884" s="491" t="n"/>
      <c r="L884" s="491" t="n"/>
      <c r="M884" s="491" t="n"/>
      <c r="N884" s="491" t="n"/>
      <c r="O884" s="491" t="n"/>
      <c r="P884" s="491" t="n"/>
      <c r="Q884" s="491" t="n"/>
      <c r="R884" s="491" t="n"/>
      <c r="S884" s="491" t="n"/>
      <c r="T884" s="491" t="n"/>
      <c r="U884" s="491" t="n"/>
      <c r="V884" s="491" t="n"/>
      <c r="W884" s="491" t="n"/>
      <c r="X884" s="491" t="n"/>
      <c r="Y884" s="491" t="n"/>
    </row>
    <row r="885" ht="12.75" customHeight="1" s="398">
      <c r="A885" s="491" t="n"/>
      <c r="B885" s="491" t="n"/>
      <c r="C885" s="491" t="n"/>
      <c r="D885" s="491" t="n"/>
      <c r="E885" s="491" t="n"/>
      <c r="F885" s="491" t="n"/>
      <c r="G885" s="491" t="n"/>
      <c r="H885" s="491" t="n"/>
      <c r="I885" s="491" t="n"/>
      <c r="J885" s="491" t="n"/>
      <c r="K885" s="491" t="n"/>
      <c r="L885" s="491" t="n"/>
      <c r="M885" s="491" t="n"/>
      <c r="N885" s="491" t="n"/>
      <c r="O885" s="491" t="n"/>
      <c r="P885" s="491" t="n"/>
      <c r="Q885" s="491" t="n"/>
      <c r="R885" s="491" t="n"/>
      <c r="S885" s="491" t="n"/>
      <c r="T885" s="491" t="n"/>
      <c r="U885" s="491" t="n"/>
      <c r="V885" s="491" t="n"/>
      <c r="W885" s="491" t="n"/>
      <c r="X885" s="491" t="n"/>
      <c r="Y885" s="491" t="n"/>
    </row>
    <row r="886" ht="12.75" customHeight="1" s="398">
      <c r="A886" s="491" t="n"/>
      <c r="B886" s="491" t="n"/>
      <c r="C886" s="491" t="n"/>
      <c r="D886" s="491" t="n"/>
      <c r="E886" s="491" t="n"/>
      <c r="F886" s="491" t="n"/>
      <c r="G886" s="491" t="n"/>
      <c r="H886" s="491" t="n"/>
      <c r="I886" s="491" t="n"/>
      <c r="J886" s="491" t="n"/>
      <c r="K886" s="491" t="n"/>
      <c r="L886" s="491" t="n"/>
      <c r="M886" s="491" t="n"/>
      <c r="N886" s="491" t="n"/>
      <c r="O886" s="491" t="n"/>
      <c r="P886" s="491" t="n"/>
      <c r="Q886" s="491" t="n"/>
      <c r="R886" s="491" t="n"/>
      <c r="S886" s="491" t="n"/>
      <c r="T886" s="491" t="n"/>
      <c r="U886" s="491" t="n"/>
      <c r="V886" s="491" t="n"/>
      <c r="W886" s="491" t="n"/>
      <c r="X886" s="491" t="n"/>
      <c r="Y886" s="491" t="n"/>
    </row>
    <row r="887" ht="12.75" customHeight="1" s="398">
      <c r="A887" s="491" t="n"/>
      <c r="B887" s="491" t="n"/>
      <c r="C887" s="491" t="n"/>
      <c r="D887" s="491" t="n"/>
      <c r="E887" s="491" t="n"/>
      <c r="F887" s="491" t="n"/>
      <c r="G887" s="491" t="n"/>
      <c r="H887" s="491" t="n"/>
      <c r="I887" s="491" t="n"/>
      <c r="J887" s="491" t="n"/>
      <c r="K887" s="491" t="n"/>
      <c r="L887" s="491" t="n"/>
      <c r="M887" s="491" t="n"/>
      <c r="N887" s="491" t="n"/>
      <c r="O887" s="491" t="n"/>
      <c r="P887" s="491" t="n"/>
      <c r="Q887" s="491" t="n"/>
      <c r="R887" s="491" t="n"/>
      <c r="S887" s="491" t="n"/>
      <c r="T887" s="491" t="n"/>
      <c r="U887" s="491" t="n"/>
      <c r="V887" s="491" t="n"/>
      <c r="W887" s="491" t="n"/>
      <c r="X887" s="491" t="n"/>
      <c r="Y887" s="491" t="n"/>
    </row>
    <row r="888" ht="12.75" customHeight="1" s="398">
      <c r="A888" s="491" t="n"/>
      <c r="B888" s="491" t="n"/>
      <c r="C888" s="491" t="n"/>
      <c r="D888" s="491" t="n"/>
      <c r="E888" s="491" t="n"/>
      <c r="F888" s="491" t="n"/>
      <c r="G888" s="491" t="n"/>
      <c r="H888" s="491" t="n"/>
      <c r="I888" s="491" t="n"/>
      <c r="J888" s="491" t="n"/>
      <c r="K888" s="491" t="n"/>
      <c r="L888" s="491" t="n"/>
      <c r="M888" s="491" t="n"/>
      <c r="N888" s="491" t="n"/>
      <c r="O888" s="491" t="n"/>
      <c r="P888" s="491" t="n"/>
      <c r="Q888" s="491" t="n"/>
      <c r="R888" s="491" t="n"/>
      <c r="S888" s="491" t="n"/>
      <c r="T888" s="491" t="n"/>
      <c r="U888" s="491" t="n"/>
      <c r="V888" s="491" t="n"/>
      <c r="W888" s="491" t="n"/>
      <c r="X888" s="491" t="n"/>
      <c r="Y888" s="491" t="n"/>
    </row>
    <row r="889" ht="12.75" customHeight="1" s="398">
      <c r="A889" s="491" t="n"/>
      <c r="B889" s="491" t="n"/>
      <c r="C889" s="491" t="n"/>
      <c r="D889" s="491" t="n"/>
      <c r="E889" s="491" t="n"/>
      <c r="F889" s="491" t="n"/>
      <c r="G889" s="491" t="n"/>
      <c r="H889" s="491" t="n"/>
      <c r="I889" s="491" t="n"/>
      <c r="J889" s="491" t="n"/>
      <c r="K889" s="491" t="n"/>
      <c r="L889" s="491" t="n"/>
      <c r="M889" s="491" t="n"/>
      <c r="N889" s="491" t="n"/>
      <c r="O889" s="491" t="n"/>
      <c r="P889" s="491" t="n"/>
      <c r="Q889" s="491" t="n"/>
      <c r="R889" s="491" t="n"/>
      <c r="S889" s="491" t="n"/>
      <c r="T889" s="491" t="n"/>
      <c r="U889" s="491" t="n"/>
      <c r="V889" s="491" t="n"/>
      <c r="W889" s="491" t="n"/>
      <c r="X889" s="491" t="n"/>
      <c r="Y889" s="491" t="n"/>
    </row>
    <row r="890" ht="12.75" customHeight="1" s="398">
      <c r="A890" s="491" t="n"/>
      <c r="B890" s="491" t="n"/>
      <c r="C890" s="491" t="n"/>
      <c r="D890" s="491" t="n"/>
      <c r="E890" s="491" t="n"/>
      <c r="F890" s="491" t="n"/>
      <c r="G890" s="491" t="n"/>
      <c r="H890" s="491" t="n"/>
      <c r="I890" s="491" t="n"/>
      <c r="J890" s="491" t="n"/>
      <c r="K890" s="491" t="n"/>
      <c r="L890" s="491" t="n"/>
      <c r="M890" s="491" t="n"/>
      <c r="N890" s="491" t="n"/>
      <c r="O890" s="491" t="n"/>
      <c r="P890" s="491" t="n"/>
      <c r="Q890" s="491" t="n"/>
      <c r="R890" s="491" t="n"/>
      <c r="S890" s="491" t="n"/>
      <c r="T890" s="491" t="n"/>
      <c r="U890" s="491" t="n"/>
      <c r="V890" s="491" t="n"/>
      <c r="W890" s="491" t="n"/>
      <c r="X890" s="491" t="n"/>
      <c r="Y890" s="491" t="n"/>
    </row>
    <row r="891" ht="12.75" customHeight="1" s="398">
      <c r="A891" s="491" t="n"/>
      <c r="B891" s="491" t="n"/>
      <c r="C891" s="491" t="n"/>
      <c r="D891" s="491" t="n"/>
      <c r="E891" s="491" t="n"/>
      <c r="F891" s="491" t="n"/>
      <c r="G891" s="491" t="n"/>
      <c r="H891" s="491" t="n"/>
      <c r="I891" s="491" t="n"/>
      <c r="J891" s="491" t="n"/>
      <c r="K891" s="491" t="n"/>
      <c r="L891" s="491" t="n"/>
      <c r="M891" s="491" t="n"/>
      <c r="N891" s="491" t="n"/>
      <c r="O891" s="491" t="n"/>
      <c r="P891" s="491" t="n"/>
      <c r="Q891" s="491" t="n"/>
      <c r="R891" s="491" t="n"/>
      <c r="S891" s="491" t="n"/>
      <c r="T891" s="491" t="n"/>
      <c r="U891" s="491" t="n"/>
      <c r="V891" s="491" t="n"/>
      <c r="W891" s="491" t="n"/>
      <c r="X891" s="491" t="n"/>
      <c r="Y891" s="491" t="n"/>
    </row>
    <row r="892" ht="12.75" customHeight="1" s="398">
      <c r="A892" s="491" t="n"/>
      <c r="B892" s="491" t="n"/>
      <c r="C892" s="491" t="n"/>
      <c r="D892" s="491" t="n"/>
      <c r="E892" s="491" t="n"/>
      <c r="F892" s="491" t="n"/>
      <c r="G892" s="491" t="n"/>
      <c r="H892" s="491" t="n"/>
      <c r="I892" s="491" t="n"/>
      <c r="J892" s="491" t="n"/>
      <c r="K892" s="491" t="n"/>
      <c r="L892" s="491" t="n"/>
      <c r="M892" s="491" t="n"/>
      <c r="N892" s="491" t="n"/>
      <c r="O892" s="491" t="n"/>
      <c r="P892" s="491" t="n"/>
      <c r="Q892" s="491" t="n"/>
      <c r="R892" s="491" t="n"/>
      <c r="S892" s="491" t="n"/>
      <c r="T892" s="491" t="n"/>
      <c r="U892" s="491" t="n"/>
      <c r="V892" s="491" t="n"/>
      <c r="W892" s="491" t="n"/>
      <c r="X892" s="491" t="n"/>
      <c r="Y892" s="491" t="n"/>
    </row>
    <row r="893" ht="12.75" customHeight="1" s="398">
      <c r="A893" s="491" t="n"/>
      <c r="B893" s="491" t="n"/>
      <c r="C893" s="491" t="n"/>
      <c r="D893" s="491" t="n"/>
      <c r="E893" s="491" t="n"/>
      <c r="F893" s="491" t="n"/>
      <c r="G893" s="491" t="n"/>
      <c r="H893" s="491" t="n"/>
      <c r="I893" s="491" t="n"/>
      <c r="J893" s="491" t="n"/>
      <c r="K893" s="491" t="n"/>
      <c r="L893" s="491" t="n"/>
      <c r="M893" s="491" t="n"/>
      <c r="N893" s="491" t="n"/>
      <c r="O893" s="491" t="n"/>
      <c r="P893" s="491" t="n"/>
      <c r="Q893" s="491" t="n"/>
      <c r="R893" s="491" t="n"/>
      <c r="S893" s="491" t="n"/>
      <c r="T893" s="491" t="n"/>
      <c r="U893" s="491" t="n"/>
      <c r="V893" s="491" t="n"/>
      <c r="W893" s="491" t="n"/>
      <c r="X893" s="491" t="n"/>
      <c r="Y893" s="491" t="n"/>
    </row>
    <row r="894" ht="12.75" customHeight="1" s="398">
      <c r="A894" s="491" t="n"/>
      <c r="B894" s="491" t="n"/>
      <c r="C894" s="491" t="n"/>
      <c r="D894" s="491" t="n"/>
      <c r="E894" s="491" t="n"/>
      <c r="F894" s="491" t="n"/>
      <c r="G894" s="491" t="n"/>
      <c r="H894" s="491" t="n"/>
      <c r="I894" s="491" t="n"/>
      <c r="J894" s="491" t="n"/>
      <c r="K894" s="491" t="n"/>
      <c r="L894" s="491" t="n"/>
      <c r="M894" s="491" t="n"/>
      <c r="N894" s="491" t="n"/>
      <c r="O894" s="491" t="n"/>
      <c r="P894" s="491" t="n"/>
      <c r="Q894" s="491" t="n"/>
      <c r="R894" s="491" t="n"/>
      <c r="S894" s="491" t="n"/>
      <c r="T894" s="491" t="n"/>
      <c r="U894" s="491" t="n"/>
      <c r="V894" s="491" t="n"/>
      <c r="W894" s="491" t="n"/>
      <c r="X894" s="491" t="n"/>
      <c r="Y894" s="491" t="n"/>
    </row>
    <row r="895" ht="12.75" customHeight="1" s="398">
      <c r="A895" s="491" t="n"/>
      <c r="B895" s="491" t="n"/>
      <c r="C895" s="491" t="n"/>
      <c r="D895" s="491" t="n"/>
      <c r="E895" s="491" t="n"/>
      <c r="F895" s="491" t="n"/>
      <c r="G895" s="491" t="n"/>
      <c r="H895" s="491" t="n"/>
      <c r="I895" s="491" t="n"/>
      <c r="J895" s="491" t="n"/>
      <c r="K895" s="491" t="n"/>
      <c r="L895" s="491" t="n"/>
      <c r="M895" s="491" t="n"/>
      <c r="N895" s="491" t="n"/>
      <c r="O895" s="491" t="n"/>
      <c r="P895" s="491" t="n"/>
      <c r="Q895" s="491" t="n"/>
      <c r="R895" s="491" t="n"/>
      <c r="S895" s="491" t="n"/>
      <c r="T895" s="491" t="n"/>
      <c r="U895" s="491" t="n"/>
      <c r="V895" s="491" t="n"/>
      <c r="W895" s="491" t="n"/>
      <c r="X895" s="491" t="n"/>
      <c r="Y895" s="491" t="n"/>
    </row>
    <row r="896" ht="12.75" customHeight="1" s="398">
      <c r="A896" s="491" t="n"/>
      <c r="B896" s="491" t="n"/>
      <c r="C896" s="491" t="n"/>
      <c r="D896" s="491" t="n"/>
      <c r="E896" s="491" t="n"/>
      <c r="F896" s="491" t="n"/>
      <c r="G896" s="491" t="n"/>
      <c r="H896" s="491" t="n"/>
      <c r="I896" s="491" t="n"/>
      <c r="J896" s="491" t="n"/>
      <c r="K896" s="491" t="n"/>
      <c r="L896" s="491" t="n"/>
      <c r="M896" s="491" t="n"/>
      <c r="N896" s="491" t="n"/>
      <c r="O896" s="491" t="n"/>
      <c r="P896" s="491" t="n"/>
      <c r="Q896" s="491" t="n"/>
      <c r="R896" s="491" t="n"/>
      <c r="S896" s="491" t="n"/>
      <c r="T896" s="491" t="n"/>
      <c r="U896" s="491" t="n"/>
      <c r="V896" s="491" t="n"/>
      <c r="W896" s="491" t="n"/>
      <c r="X896" s="491" t="n"/>
      <c r="Y896" s="491" t="n"/>
    </row>
    <row r="897" ht="12.75" customHeight="1" s="398">
      <c r="A897" s="491" t="n"/>
      <c r="B897" s="491" t="n"/>
      <c r="C897" s="491" t="n"/>
      <c r="D897" s="491" t="n"/>
      <c r="E897" s="491" t="n"/>
      <c r="F897" s="491" t="n"/>
      <c r="G897" s="491" t="n"/>
      <c r="H897" s="491" t="n"/>
      <c r="I897" s="491" t="n"/>
      <c r="J897" s="491" t="n"/>
      <c r="K897" s="491" t="n"/>
      <c r="L897" s="491" t="n"/>
      <c r="M897" s="491" t="n"/>
      <c r="N897" s="491" t="n"/>
      <c r="O897" s="491" t="n"/>
      <c r="P897" s="491" t="n"/>
      <c r="Q897" s="491" t="n"/>
      <c r="R897" s="491" t="n"/>
      <c r="S897" s="491" t="n"/>
      <c r="T897" s="491" t="n"/>
      <c r="U897" s="491" t="n"/>
      <c r="V897" s="491" t="n"/>
      <c r="W897" s="491" t="n"/>
      <c r="X897" s="491" t="n"/>
      <c r="Y897" s="491" t="n"/>
    </row>
    <row r="898" ht="12.75" customHeight="1" s="398">
      <c r="A898" s="491" t="n"/>
      <c r="B898" s="491" t="n"/>
      <c r="C898" s="491" t="n"/>
      <c r="D898" s="491" t="n"/>
      <c r="E898" s="491" t="n"/>
      <c r="F898" s="491" t="n"/>
      <c r="G898" s="491" t="n"/>
      <c r="H898" s="491" t="n"/>
      <c r="I898" s="491" t="n"/>
      <c r="J898" s="491" t="n"/>
      <c r="K898" s="491" t="n"/>
      <c r="L898" s="491" t="n"/>
      <c r="M898" s="491" t="n"/>
      <c r="N898" s="491" t="n"/>
      <c r="O898" s="491" t="n"/>
      <c r="P898" s="491" t="n"/>
      <c r="Q898" s="491" t="n"/>
      <c r="R898" s="491" t="n"/>
      <c r="S898" s="491" t="n"/>
      <c r="T898" s="491" t="n"/>
      <c r="U898" s="491" t="n"/>
      <c r="V898" s="491" t="n"/>
      <c r="W898" s="491" t="n"/>
      <c r="X898" s="491" t="n"/>
      <c r="Y898" s="491" t="n"/>
    </row>
    <row r="899" ht="12.75" customHeight="1" s="398">
      <c r="A899" s="491" t="n"/>
      <c r="B899" s="491" t="n"/>
      <c r="C899" s="491" t="n"/>
      <c r="D899" s="491" t="n"/>
      <c r="E899" s="491" t="n"/>
      <c r="F899" s="491" t="n"/>
      <c r="G899" s="491" t="n"/>
      <c r="H899" s="491" t="n"/>
      <c r="I899" s="491" t="n"/>
      <c r="J899" s="491" t="n"/>
      <c r="K899" s="491" t="n"/>
      <c r="L899" s="491" t="n"/>
      <c r="M899" s="491" t="n"/>
      <c r="N899" s="491" t="n"/>
      <c r="O899" s="491" t="n"/>
      <c r="P899" s="491" t="n"/>
      <c r="Q899" s="491" t="n"/>
      <c r="R899" s="491" t="n"/>
      <c r="S899" s="491" t="n"/>
      <c r="T899" s="491" t="n"/>
      <c r="U899" s="491" t="n"/>
      <c r="V899" s="491" t="n"/>
      <c r="W899" s="491" t="n"/>
      <c r="X899" s="491" t="n"/>
      <c r="Y899" s="491" t="n"/>
    </row>
    <row r="900" ht="12.75" customHeight="1" s="398">
      <c r="A900" s="491" t="n"/>
      <c r="B900" s="491" t="n"/>
      <c r="C900" s="491" t="n"/>
      <c r="D900" s="491" t="n"/>
      <c r="E900" s="491" t="n"/>
      <c r="F900" s="491" t="n"/>
      <c r="G900" s="491" t="n"/>
      <c r="H900" s="491" t="n"/>
      <c r="I900" s="491" t="n"/>
      <c r="J900" s="491" t="n"/>
      <c r="K900" s="491" t="n"/>
      <c r="L900" s="491" t="n"/>
      <c r="M900" s="491" t="n"/>
      <c r="N900" s="491" t="n"/>
      <c r="O900" s="491" t="n"/>
      <c r="P900" s="491" t="n"/>
      <c r="Q900" s="491" t="n"/>
      <c r="R900" s="491" t="n"/>
      <c r="S900" s="491" t="n"/>
      <c r="T900" s="491" t="n"/>
      <c r="U900" s="491" t="n"/>
      <c r="V900" s="491" t="n"/>
      <c r="W900" s="491" t="n"/>
      <c r="X900" s="491" t="n"/>
      <c r="Y900" s="491" t="n"/>
    </row>
    <row r="901" ht="12.75" customHeight="1" s="398">
      <c r="A901" s="491" t="n"/>
      <c r="B901" s="491" t="n"/>
      <c r="C901" s="491" t="n"/>
      <c r="D901" s="491" t="n"/>
      <c r="E901" s="491" t="n"/>
      <c r="F901" s="491" t="n"/>
      <c r="G901" s="491" t="n"/>
      <c r="H901" s="491" t="n"/>
      <c r="I901" s="491" t="n"/>
      <c r="J901" s="491" t="n"/>
      <c r="K901" s="491" t="n"/>
      <c r="L901" s="491" t="n"/>
      <c r="M901" s="491" t="n"/>
      <c r="N901" s="491" t="n"/>
      <c r="O901" s="491" t="n"/>
      <c r="P901" s="491" t="n"/>
      <c r="Q901" s="491" t="n"/>
      <c r="R901" s="491" t="n"/>
      <c r="S901" s="491" t="n"/>
      <c r="T901" s="491" t="n"/>
      <c r="U901" s="491" t="n"/>
      <c r="V901" s="491" t="n"/>
      <c r="W901" s="491" t="n"/>
      <c r="X901" s="491" t="n"/>
      <c r="Y901" s="491" t="n"/>
    </row>
    <row r="902" ht="12.75" customHeight="1" s="398">
      <c r="A902" s="491" t="n"/>
      <c r="B902" s="491" t="n"/>
      <c r="C902" s="491" t="n"/>
      <c r="D902" s="491" t="n"/>
      <c r="E902" s="491" t="n"/>
      <c r="F902" s="491" t="n"/>
      <c r="G902" s="491" t="n"/>
      <c r="H902" s="491" t="n"/>
      <c r="I902" s="491" t="n"/>
      <c r="J902" s="491" t="n"/>
      <c r="K902" s="491" t="n"/>
      <c r="L902" s="491" t="n"/>
      <c r="M902" s="491" t="n"/>
      <c r="N902" s="491" t="n"/>
      <c r="O902" s="491" t="n"/>
      <c r="P902" s="491" t="n"/>
      <c r="Q902" s="491" t="n"/>
      <c r="R902" s="491" t="n"/>
      <c r="S902" s="491" t="n"/>
      <c r="T902" s="491" t="n"/>
      <c r="U902" s="491" t="n"/>
      <c r="V902" s="491" t="n"/>
      <c r="W902" s="491" t="n"/>
      <c r="X902" s="491" t="n"/>
      <c r="Y902" s="491" t="n"/>
    </row>
    <row r="903" ht="12.75" customHeight="1" s="398">
      <c r="A903" s="491" t="n"/>
      <c r="B903" s="491" t="n"/>
      <c r="C903" s="491" t="n"/>
      <c r="D903" s="491" t="n"/>
      <c r="E903" s="491" t="n"/>
      <c r="F903" s="491" t="n"/>
      <c r="G903" s="491" t="n"/>
      <c r="H903" s="491" t="n"/>
      <c r="I903" s="491" t="n"/>
      <c r="J903" s="491" t="n"/>
      <c r="K903" s="491" t="n"/>
      <c r="L903" s="491" t="n"/>
      <c r="M903" s="491" t="n"/>
      <c r="N903" s="491" t="n"/>
      <c r="O903" s="491" t="n"/>
      <c r="P903" s="491" t="n"/>
      <c r="Q903" s="491" t="n"/>
      <c r="R903" s="491" t="n"/>
      <c r="S903" s="491" t="n"/>
      <c r="T903" s="491" t="n"/>
      <c r="U903" s="491" t="n"/>
      <c r="V903" s="491" t="n"/>
      <c r="W903" s="491" t="n"/>
      <c r="X903" s="491" t="n"/>
      <c r="Y903" s="491" t="n"/>
    </row>
    <row r="904" ht="12.75" customHeight="1" s="398">
      <c r="A904" s="491" t="n"/>
      <c r="B904" s="491" t="n"/>
      <c r="C904" s="491" t="n"/>
      <c r="D904" s="491" t="n"/>
      <c r="E904" s="491" t="n"/>
      <c r="F904" s="491" t="n"/>
      <c r="G904" s="491" t="n"/>
      <c r="H904" s="491" t="n"/>
      <c r="I904" s="491" t="n"/>
      <c r="J904" s="491" t="n"/>
      <c r="K904" s="491" t="n"/>
      <c r="L904" s="491" t="n"/>
      <c r="M904" s="491" t="n"/>
      <c r="N904" s="491" t="n"/>
      <c r="O904" s="491" t="n"/>
      <c r="P904" s="491" t="n"/>
      <c r="Q904" s="491" t="n"/>
      <c r="R904" s="491" t="n"/>
      <c r="S904" s="491" t="n"/>
      <c r="T904" s="491" t="n"/>
      <c r="U904" s="491" t="n"/>
      <c r="V904" s="491" t="n"/>
      <c r="W904" s="491" t="n"/>
      <c r="X904" s="491" t="n"/>
      <c r="Y904" s="491" t="n"/>
    </row>
    <row r="905" ht="12.75" customHeight="1" s="398">
      <c r="A905" s="491" t="n"/>
      <c r="B905" s="491" t="n"/>
      <c r="C905" s="491" t="n"/>
      <c r="D905" s="491" t="n"/>
      <c r="E905" s="491" t="n"/>
      <c r="F905" s="491" t="n"/>
      <c r="G905" s="491" t="n"/>
      <c r="H905" s="491" t="n"/>
      <c r="I905" s="491" t="n"/>
      <c r="J905" s="491" t="n"/>
      <c r="K905" s="491" t="n"/>
      <c r="L905" s="491" t="n"/>
      <c r="M905" s="491" t="n"/>
      <c r="N905" s="491" t="n"/>
      <c r="O905" s="491" t="n"/>
      <c r="P905" s="491" t="n"/>
      <c r="Q905" s="491" t="n"/>
      <c r="R905" s="491" t="n"/>
      <c r="S905" s="491" t="n"/>
      <c r="T905" s="491" t="n"/>
      <c r="U905" s="491" t="n"/>
      <c r="V905" s="491" t="n"/>
      <c r="W905" s="491" t="n"/>
      <c r="X905" s="491" t="n"/>
      <c r="Y905" s="491" t="n"/>
    </row>
    <row r="906" ht="12.75" customHeight="1" s="398">
      <c r="A906" s="491" t="n"/>
      <c r="B906" s="491" t="n"/>
      <c r="C906" s="491" t="n"/>
      <c r="D906" s="491" t="n"/>
      <c r="E906" s="491" t="n"/>
      <c r="F906" s="491" t="n"/>
      <c r="G906" s="491" t="n"/>
      <c r="H906" s="491" t="n"/>
      <c r="I906" s="491" t="n"/>
      <c r="J906" s="491" t="n"/>
      <c r="K906" s="491" t="n"/>
      <c r="L906" s="491" t="n"/>
      <c r="M906" s="491" t="n"/>
      <c r="N906" s="491" t="n"/>
      <c r="O906" s="491" t="n"/>
      <c r="P906" s="491" t="n"/>
      <c r="Q906" s="491" t="n"/>
      <c r="R906" s="491" t="n"/>
      <c r="S906" s="491" t="n"/>
      <c r="T906" s="491" t="n"/>
      <c r="U906" s="491" t="n"/>
      <c r="V906" s="491" t="n"/>
      <c r="W906" s="491" t="n"/>
      <c r="X906" s="491" t="n"/>
      <c r="Y906" s="491" t="n"/>
    </row>
    <row r="907" ht="12.75" customHeight="1" s="398">
      <c r="A907" s="491" t="n"/>
      <c r="B907" s="491" t="n"/>
      <c r="C907" s="491" t="n"/>
      <c r="D907" s="491" t="n"/>
      <c r="E907" s="491" t="n"/>
      <c r="F907" s="491" t="n"/>
      <c r="G907" s="491" t="n"/>
      <c r="H907" s="491" t="n"/>
      <c r="I907" s="491" t="n"/>
      <c r="J907" s="491" t="n"/>
      <c r="K907" s="491" t="n"/>
      <c r="L907" s="491" t="n"/>
      <c r="M907" s="491" t="n"/>
      <c r="N907" s="491" t="n"/>
      <c r="O907" s="491" t="n"/>
      <c r="P907" s="491" t="n"/>
      <c r="Q907" s="491" t="n"/>
      <c r="R907" s="491" t="n"/>
      <c r="S907" s="491" t="n"/>
      <c r="T907" s="491" t="n"/>
      <c r="U907" s="491" t="n"/>
      <c r="V907" s="491" t="n"/>
      <c r="W907" s="491" t="n"/>
      <c r="X907" s="491" t="n"/>
      <c r="Y907" s="491" t="n"/>
    </row>
    <row r="908" ht="12.75" customHeight="1" s="398">
      <c r="A908" s="491" t="n"/>
      <c r="B908" s="491" t="n"/>
      <c r="C908" s="491" t="n"/>
      <c r="D908" s="491" t="n"/>
      <c r="E908" s="491" t="n"/>
      <c r="F908" s="491" t="n"/>
      <c r="G908" s="491" t="n"/>
      <c r="H908" s="491" t="n"/>
      <c r="I908" s="491" t="n"/>
      <c r="J908" s="491" t="n"/>
      <c r="K908" s="491" t="n"/>
      <c r="L908" s="491" t="n"/>
      <c r="M908" s="491" t="n"/>
      <c r="N908" s="491" t="n"/>
      <c r="O908" s="491" t="n"/>
      <c r="P908" s="491" t="n"/>
      <c r="Q908" s="491" t="n"/>
      <c r="R908" s="491" t="n"/>
      <c r="S908" s="491" t="n"/>
      <c r="T908" s="491" t="n"/>
      <c r="U908" s="491" t="n"/>
      <c r="V908" s="491" t="n"/>
      <c r="W908" s="491" t="n"/>
      <c r="X908" s="491" t="n"/>
      <c r="Y908" s="491" t="n"/>
    </row>
    <row r="909" ht="12.75" customHeight="1" s="398">
      <c r="A909" s="491" t="n"/>
      <c r="B909" s="491" t="n"/>
      <c r="C909" s="491" t="n"/>
      <c r="D909" s="491" t="n"/>
      <c r="E909" s="491" t="n"/>
      <c r="F909" s="491" t="n"/>
      <c r="G909" s="491" t="n"/>
      <c r="H909" s="491" t="n"/>
      <c r="I909" s="491" t="n"/>
      <c r="J909" s="491" t="n"/>
      <c r="K909" s="491" t="n"/>
      <c r="L909" s="491" t="n"/>
      <c r="M909" s="491" t="n"/>
      <c r="N909" s="491" t="n"/>
      <c r="O909" s="491" t="n"/>
      <c r="P909" s="491" t="n"/>
      <c r="Q909" s="491" t="n"/>
      <c r="R909" s="491" t="n"/>
      <c r="S909" s="491" t="n"/>
      <c r="T909" s="491" t="n"/>
      <c r="U909" s="491" t="n"/>
      <c r="V909" s="491" t="n"/>
      <c r="W909" s="491" t="n"/>
      <c r="X909" s="491" t="n"/>
      <c r="Y909" s="491" t="n"/>
    </row>
    <row r="910" ht="12.75" customHeight="1" s="398">
      <c r="A910" s="491" t="n"/>
      <c r="B910" s="491" t="n"/>
      <c r="C910" s="491" t="n"/>
      <c r="D910" s="491" t="n"/>
      <c r="E910" s="491" t="n"/>
      <c r="F910" s="491" t="n"/>
      <c r="G910" s="491" t="n"/>
      <c r="H910" s="491" t="n"/>
      <c r="I910" s="491" t="n"/>
      <c r="J910" s="491" t="n"/>
      <c r="K910" s="491" t="n"/>
      <c r="L910" s="491" t="n"/>
      <c r="M910" s="491" t="n"/>
      <c r="N910" s="491" t="n"/>
      <c r="O910" s="491" t="n"/>
      <c r="P910" s="491" t="n"/>
      <c r="Q910" s="491" t="n"/>
      <c r="R910" s="491" t="n"/>
      <c r="S910" s="491" t="n"/>
      <c r="T910" s="491" t="n"/>
      <c r="U910" s="491" t="n"/>
      <c r="V910" s="491" t="n"/>
      <c r="W910" s="491" t="n"/>
      <c r="X910" s="491" t="n"/>
      <c r="Y910" s="491" t="n"/>
    </row>
    <row r="911" ht="12.75" customHeight="1" s="398">
      <c r="A911" s="491" t="n"/>
      <c r="B911" s="491" t="n"/>
      <c r="C911" s="491" t="n"/>
      <c r="D911" s="491" t="n"/>
      <c r="E911" s="491" t="n"/>
      <c r="F911" s="491" t="n"/>
      <c r="G911" s="491" t="n"/>
      <c r="H911" s="491" t="n"/>
      <c r="I911" s="491" t="n"/>
      <c r="J911" s="491" t="n"/>
      <c r="K911" s="491" t="n"/>
      <c r="L911" s="491" t="n"/>
      <c r="M911" s="491" t="n"/>
      <c r="N911" s="491" t="n"/>
      <c r="O911" s="491" t="n"/>
      <c r="P911" s="491" t="n"/>
      <c r="Q911" s="491" t="n"/>
      <c r="R911" s="491" t="n"/>
      <c r="S911" s="491" t="n"/>
      <c r="T911" s="491" t="n"/>
      <c r="U911" s="491" t="n"/>
      <c r="V911" s="491" t="n"/>
      <c r="W911" s="491" t="n"/>
      <c r="X911" s="491" t="n"/>
      <c r="Y911" s="491" t="n"/>
    </row>
    <row r="912" ht="12.75" customHeight="1" s="398">
      <c r="A912" s="491" t="n"/>
      <c r="B912" s="491" t="n"/>
      <c r="C912" s="491" t="n"/>
      <c r="D912" s="491" t="n"/>
      <c r="E912" s="491" t="n"/>
      <c r="F912" s="491" t="n"/>
      <c r="G912" s="491" t="n"/>
      <c r="H912" s="491" t="n"/>
      <c r="I912" s="491" t="n"/>
      <c r="J912" s="491" t="n"/>
      <c r="K912" s="491" t="n"/>
      <c r="L912" s="491" t="n"/>
      <c r="M912" s="491" t="n"/>
      <c r="N912" s="491" t="n"/>
      <c r="O912" s="491" t="n"/>
      <c r="P912" s="491" t="n"/>
      <c r="Q912" s="491" t="n"/>
      <c r="R912" s="491" t="n"/>
      <c r="S912" s="491" t="n"/>
      <c r="T912" s="491" t="n"/>
      <c r="U912" s="491" t="n"/>
      <c r="V912" s="491" t="n"/>
      <c r="W912" s="491" t="n"/>
      <c r="X912" s="491" t="n"/>
      <c r="Y912" s="491" t="n"/>
    </row>
    <row r="913" ht="12.75" customHeight="1" s="398">
      <c r="A913" s="491" t="n"/>
      <c r="B913" s="491" t="n"/>
      <c r="C913" s="491" t="n"/>
      <c r="D913" s="491" t="n"/>
      <c r="E913" s="491" t="n"/>
      <c r="F913" s="491" t="n"/>
      <c r="G913" s="491" t="n"/>
      <c r="H913" s="491" t="n"/>
      <c r="I913" s="491" t="n"/>
      <c r="J913" s="491" t="n"/>
      <c r="K913" s="491" t="n"/>
      <c r="L913" s="491" t="n"/>
      <c r="M913" s="491" t="n"/>
      <c r="N913" s="491" t="n"/>
      <c r="O913" s="491" t="n"/>
      <c r="P913" s="491" t="n"/>
      <c r="Q913" s="491" t="n"/>
      <c r="R913" s="491" t="n"/>
      <c r="S913" s="491" t="n"/>
      <c r="T913" s="491" t="n"/>
      <c r="U913" s="491" t="n"/>
      <c r="V913" s="491" t="n"/>
      <c r="W913" s="491" t="n"/>
      <c r="X913" s="491" t="n"/>
      <c r="Y913" s="491" t="n"/>
    </row>
    <row r="914" ht="12.75" customHeight="1" s="398">
      <c r="A914" s="491" t="n"/>
      <c r="B914" s="491" t="n"/>
      <c r="C914" s="491" t="n"/>
      <c r="D914" s="491" t="n"/>
      <c r="E914" s="491" t="n"/>
      <c r="F914" s="491" t="n"/>
      <c r="G914" s="491" t="n"/>
      <c r="H914" s="491" t="n"/>
      <c r="I914" s="491" t="n"/>
      <c r="J914" s="491" t="n"/>
      <c r="K914" s="491" t="n"/>
      <c r="L914" s="491" t="n"/>
      <c r="M914" s="491" t="n"/>
      <c r="N914" s="491" t="n"/>
      <c r="O914" s="491" t="n"/>
      <c r="P914" s="491" t="n"/>
      <c r="Q914" s="491" t="n"/>
      <c r="R914" s="491" t="n"/>
      <c r="S914" s="491" t="n"/>
      <c r="T914" s="491" t="n"/>
      <c r="U914" s="491" t="n"/>
      <c r="V914" s="491" t="n"/>
      <c r="W914" s="491" t="n"/>
      <c r="X914" s="491" t="n"/>
      <c r="Y914" s="491" t="n"/>
    </row>
    <row r="915" ht="12.75" customHeight="1" s="398">
      <c r="A915" s="491" t="n"/>
      <c r="B915" s="491" t="n"/>
      <c r="C915" s="491" t="n"/>
      <c r="D915" s="491" t="n"/>
      <c r="E915" s="491" t="n"/>
      <c r="F915" s="491" t="n"/>
      <c r="G915" s="491" t="n"/>
      <c r="H915" s="491" t="n"/>
      <c r="I915" s="491" t="n"/>
      <c r="J915" s="491" t="n"/>
      <c r="K915" s="491" t="n"/>
      <c r="L915" s="491" t="n"/>
      <c r="M915" s="491" t="n"/>
      <c r="N915" s="491" t="n"/>
      <c r="O915" s="491" t="n"/>
      <c r="P915" s="491" t="n"/>
      <c r="Q915" s="491" t="n"/>
      <c r="R915" s="491" t="n"/>
      <c r="S915" s="491" t="n"/>
      <c r="T915" s="491" t="n"/>
      <c r="U915" s="491" t="n"/>
      <c r="V915" s="491" t="n"/>
      <c r="W915" s="491" t="n"/>
      <c r="X915" s="491" t="n"/>
      <c r="Y915" s="491" t="n"/>
    </row>
    <row r="916" ht="12.75" customHeight="1" s="398">
      <c r="A916" s="491" t="n"/>
      <c r="B916" s="491" t="n"/>
      <c r="C916" s="491" t="n"/>
      <c r="D916" s="491" t="n"/>
      <c r="E916" s="491" t="n"/>
      <c r="F916" s="491" t="n"/>
      <c r="G916" s="491" t="n"/>
      <c r="H916" s="491" t="n"/>
      <c r="I916" s="491" t="n"/>
      <c r="J916" s="491" t="n"/>
      <c r="K916" s="491" t="n"/>
      <c r="L916" s="491" t="n"/>
      <c r="M916" s="491" t="n"/>
      <c r="N916" s="491" t="n"/>
      <c r="O916" s="491" t="n"/>
      <c r="P916" s="491" t="n"/>
      <c r="Q916" s="491" t="n"/>
      <c r="R916" s="491" t="n"/>
      <c r="S916" s="491" t="n"/>
      <c r="T916" s="491" t="n"/>
      <c r="U916" s="491" t="n"/>
      <c r="V916" s="491" t="n"/>
      <c r="W916" s="491" t="n"/>
      <c r="X916" s="491" t="n"/>
      <c r="Y916" s="491" t="n"/>
    </row>
    <row r="917" ht="12.75" customHeight="1" s="398">
      <c r="A917" s="491" t="n"/>
      <c r="B917" s="491" t="n"/>
      <c r="C917" s="491" t="n"/>
      <c r="D917" s="491" t="n"/>
      <c r="E917" s="491" t="n"/>
      <c r="F917" s="491" t="n"/>
      <c r="G917" s="491" t="n"/>
      <c r="H917" s="491" t="n"/>
      <c r="I917" s="491" t="n"/>
      <c r="J917" s="491" t="n"/>
      <c r="K917" s="491" t="n"/>
      <c r="L917" s="491" t="n"/>
      <c r="M917" s="491" t="n"/>
      <c r="N917" s="491" t="n"/>
      <c r="O917" s="491" t="n"/>
      <c r="P917" s="491" t="n"/>
      <c r="Q917" s="491" t="n"/>
      <c r="R917" s="491" t="n"/>
      <c r="S917" s="491" t="n"/>
      <c r="T917" s="491" t="n"/>
      <c r="U917" s="491" t="n"/>
      <c r="V917" s="491" t="n"/>
      <c r="W917" s="491" t="n"/>
      <c r="X917" s="491" t="n"/>
      <c r="Y917" s="491" t="n"/>
    </row>
    <row r="918" ht="12.75" customHeight="1" s="398">
      <c r="A918" s="491" t="n"/>
      <c r="B918" s="491" t="n"/>
      <c r="C918" s="491" t="n"/>
      <c r="D918" s="491" t="n"/>
      <c r="E918" s="491" t="n"/>
      <c r="F918" s="491" t="n"/>
      <c r="G918" s="491" t="n"/>
      <c r="H918" s="491" t="n"/>
      <c r="I918" s="491" t="n"/>
      <c r="J918" s="491" t="n"/>
      <c r="K918" s="491" t="n"/>
      <c r="L918" s="491" t="n"/>
      <c r="M918" s="491" t="n"/>
      <c r="N918" s="491" t="n"/>
      <c r="O918" s="491" t="n"/>
      <c r="P918" s="491" t="n"/>
      <c r="Q918" s="491" t="n"/>
      <c r="R918" s="491" t="n"/>
      <c r="S918" s="491" t="n"/>
      <c r="T918" s="491" t="n"/>
      <c r="U918" s="491" t="n"/>
      <c r="V918" s="491" t="n"/>
      <c r="W918" s="491" t="n"/>
      <c r="X918" s="491" t="n"/>
      <c r="Y918" s="491" t="n"/>
    </row>
    <row r="919" ht="12.75" customHeight="1" s="398">
      <c r="A919" s="491" t="n"/>
      <c r="B919" s="491" t="n"/>
      <c r="C919" s="491" t="n"/>
      <c r="D919" s="491" t="n"/>
      <c r="E919" s="491" t="n"/>
      <c r="F919" s="491" t="n"/>
      <c r="G919" s="491" t="n"/>
      <c r="H919" s="491" t="n"/>
      <c r="I919" s="491" t="n"/>
      <c r="J919" s="491" t="n"/>
      <c r="K919" s="491" t="n"/>
      <c r="L919" s="491" t="n"/>
      <c r="M919" s="491" t="n"/>
      <c r="N919" s="491" t="n"/>
      <c r="O919" s="491" t="n"/>
      <c r="P919" s="491" t="n"/>
      <c r="Q919" s="491" t="n"/>
      <c r="R919" s="491" t="n"/>
      <c r="S919" s="491" t="n"/>
      <c r="T919" s="491" t="n"/>
      <c r="U919" s="491" t="n"/>
      <c r="V919" s="491" t="n"/>
      <c r="W919" s="491" t="n"/>
      <c r="X919" s="491" t="n"/>
      <c r="Y919" s="491" t="n"/>
    </row>
    <row r="920" ht="12.75" customHeight="1" s="398">
      <c r="A920" s="491" t="n"/>
      <c r="B920" s="491" t="n"/>
      <c r="C920" s="491" t="n"/>
      <c r="D920" s="491" t="n"/>
      <c r="E920" s="491" t="n"/>
      <c r="F920" s="491" t="n"/>
      <c r="G920" s="491" t="n"/>
      <c r="H920" s="491" t="n"/>
      <c r="I920" s="491" t="n"/>
      <c r="J920" s="491" t="n"/>
      <c r="K920" s="491" t="n"/>
      <c r="L920" s="491" t="n"/>
      <c r="M920" s="491" t="n"/>
      <c r="N920" s="491" t="n"/>
      <c r="O920" s="491" t="n"/>
      <c r="P920" s="491" t="n"/>
      <c r="Q920" s="491" t="n"/>
      <c r="R920" s="491" t="n"/>
      <c r="S920" s="491" t="n"/>
      <c r="T920" s="491" t="n"/>
      <c r="U920" s="491" t="n"/>
      <c r="V920" s="491" t="n"/>
      <c r="W920" s="491" t="n"/>
      <c r="X920" s="491" t="n"/>
      <c r="Y920" s="491" t="n"/>
    </row>
    <row r="921" ht="12.75" customHeight="1" s="398">
      <c r="A921" s="491" t="n"/>
      <c r="B921" s="491" t="n"/>
      <c r="C921" s="491" t="n"/>
      <c r="D921" s="491" t="n"/>
      <c r="E921" s="491" t="n"/>
      <c r="F921" s="491" t="n"/>
      <c r="G921" s="491" t="n"/>
      <c r="H921" s="491" t="n"/>
      <c r="I921" s="491" t="n"/>
      <c r="J921" s="491" t="n"/>
      <c r="K921" s="491" t="n"/>
      <c r="L921" s="491" t="n"/>
      <c r="M921" s="491" t="n"/>
      <c r="N921" s="491" t="n"/>
      <c r="O921" s="491" t="n"/>
      <c r="P921" s="491" t="n"/>
      <c r="Q921" s="491" t="n"/>
      <c r="R921" s="491" t="n"/>
      <c r="S921" s="491" t="n"/>
      <c r="T921" s="491" t="n"/>
      <c r="U921" s="491" t="n"/>
      <c r="V921" s="491" t="n"/>
      <c r="W921" s="491" t="n"/>
      <c r="X921" s="491" t="n"/>
      <c r="Y921" s="491" t="n"/>
    </row>
    <row r="922" ht="12.75" customHeight="1" s="398">
      <c r="A922" s="491" t="n"/>
      <c r="B922" s="491" t="n"/>
      <c r="C922" s="491" t="n"/>
      <c r="D922" s="491" t="n"/>
      <c r="E922" s="491" t="n"/>
      <c r="F922" s="491" t="n"/>
      <c r="G922" s="491" t="n"/>
      <c r="H922" s="491" t="n"/>
      <c r="I922" s="491" t="n"/>
      <c r="J922" s="491" t="n"/>
      <c r="K922" s="491" t="n"/>
      <c r="L922" s="491" t="n"/>
      <c r="M922" s="491" t="n"/>
      <c r="N922" s="491" t="n"/>
      <c r="O922" s="491" t="n"/>
      <c r="P922" s="491" t="n"/>
      <c r="Q922" s="491" t="n"/>
      <c r="R922" s="491" t="n"/>
      <c r="S922" s="491" t="n"/>
      <c r="T922" s="491" t="n"/>
      <c r="U922" s="491" t="n"/>
      <c r="V922" s="491" t="n"/>
      <c r="W922" s="491" t="n"/>
      <c r="X922" s="491" t="n"/>
      <c r="Y922" s="491" t="n"/>
    </row>
    <row r="923" ht="12.75" customHeight="1" s="398">
      <c r="A923" s="491" t="n"/>
      <c r="B923" s="491" t="n"/>
      <c r="C923" s="491" t="n"/>
      <c r="D923" s="491" t="n"/>
      <c r="E923" s="491" t="n"/>
      <c r="F923" s="491" t="n"/>
      <c r="G923" s="491" t="n"/>
      <c r="H923" s="491" t="n"/>
      <c r="I923" s="491" t="n"/>
      <c r="J923" s="491" t="n"/>
      <c r="K923" s="491" t="n"/>
      <c r="L923" s="491" t="n"/>
      <c r="M923" s="491" t="n"/>
      <c r="N923" s="491" t="n"/>
      <c r="O923" s="491" t="n"/>
      <c r="P923" s="491" t="n"/>
      <c r="Q923" s="491" t="n"/>
      <c r="R923" s="491" t="n"/>
      <c r="S923" s="491" t="n"/>
      <c r="T923" s="491" t="n"/>
      <c r="U923" s="491" t="n"/>
      <c r="V923" s="491" t="n"/>
      <c r="W923" s="491" t="n"/>
      <c r="X923" s="491" t="n"/>
      <c r="Y923" s="491" t="n"/>
    </row>
    <row r="924" ht="12.75" customHeight="1" s="398">
      <c r="A924" s="491" t="n"/>
      <c r="B924" s="491" t="n"/>
      <c r="C924" s="491" t="n"/>
      <c r="D924" s="491" t="n"/>
      <c r="E924" s="491" t="n"/>
      <c r="F924" s="491" t="n"/>
      <c r="G924" s="491" t="n"/>
      <c r="H924" s="491" t="n"/>
      <c r="I924" s="491" t="n"/>
      <c r="J924" s="491" t="n"/>
      <c r="K924" s="491" t="n"/>
      <c r="L924" s="491" t="n"/>
      <c r="M924" s="491" t="n"/>
      <c r="N924" s="491" t="n"/>
      <c r="O924" s="491" t="n"/>
      <c r="P924" s="491" t="n"/>
      <c r="Q924" s="491" t="n"/>
      <c r="R924" s="491" t="n"/>
      <c r="S924" s="491" t="n"/>
      <c r="T924" s="491" t="n"/>
      <c r="U924" s="491" t="n"/>
      <c r="V924" s="491" t="n"/>
      <c r="W924" s="491" t="n"/>
      <c r="X924" s="491" t="n"/>
      <c r="Y924" s="491" t="n"/>
    </row>
    <row r="925" ht="12.75" customHeight="1" s="398">
      <c r="A925" s="491" t="n"/>
      <c r="B925" s="491" t="n"/>
      <c r="C925" s="491" t="n"/>
      <c r="D925" s="491" t="n"/>
      <c r="E925" s="491" t="n"/>
      <c r="F925" s="491" t="n"/>
      <c r="G925" s="491" t="n"/>
      <c r="H925" s="491" t="n"/>
      <c r="I925" s="491" t="n"/>
      <c r="J925" s="491" t="n"/>
      <c r="K925" s="491" t="n"/>
      <c r="L925" s="491" t="n"/>
      <c r="M925" s="491" t="n"/>
      <c r="N925" s="491" t="n"/>
      <c r="O925" s="491" t="n"/>
      <c r="P925" s="491" t="n"/>
      <c r="Q925" s="491" t="n"/>
      <c r="R925" s="491" t="n"/>
      <c r="S925" s="491" t="n"/>
      <c r="T925" s="491" t="n"/>
      <c r="U925" s="491" t="n"/>
      <c r="V925" s="491" t="n"/>
      <c r="W925" s="491" t="n"/>
      <c r="X925" s="491" t="n"/>
      <c r="Y925" s="491" t="n"/>
    </row>
    <row r="926" ht="12.75" customHeight="1" s="398">
      <c r="A926" s="491" t="n"/>
      <c r="B926" s="491" t="n"/>
      <c r="C926" s="491" t="n"/>
      <c r="D926" s="491" t="n"/>
      <c r="E926" s="491" t="n"/>
      <c r="F926" s="491" t="n"/>
      <c r="G926" s="491" t="n"/>
      <c r="H926" s="491" t="n"/>
      <c r="I926" s="491" t="n"/>
      <c r="J926" s="491" t="n"/>
      <c r="K926" s="491" t="n"/>
      <c r="L926" s="491" t="n"/>
      <c r="M926" s="491" t="n"/>
      <c r="N926" s="491" t="n"/>
      <c r="O926" s="491" t="n"/>
      <c r="P926" s="491" t="n"/>
      <c r="Q926" s="491" t="n"/>
      <c r="R926" s="491" t="n"/>
      <c r="S926" s="491" t="n"/>
      <c r="T926" s="491" t="n"/>
      <c r="U926" s="491" t="n"/>
      <c r="V926" s="491" t="n"/>
      <c r="W926" s="491" t="n"/>
      <c r="X926" s="491" t="n"/>
      <c r="Y926" s="491" t="n"/>
    </row>
    <row r="927" ht="12.75" customHeight="1" s="398">
      <c r="A927" s="491" t="n"/>
      <c r="B927" s="491" t="n"/>
      <c r="C927" s="491" t="n"/>
      <c r="D927" s="491" t="n"/>
      <c r="E927" s="491" t="n"/>
      <c r="F927" s="491" t="n"/>
      <c r="G927" s="491" t="n"/>
      <c r="H927" s="491" t="n"/>
      <c r="I927" s="491" t="n"/>
      <c r="J927" s="491" t="n"/>
      <c r="K927" s="491" t="n"/>
      <c r="L927" s="491" t="n"/>
      <c r="M927" s="491" t="n"/>
      <c r="N927" s="491" t="n"/>
      <c r="O927" s="491" t="n"/>
      <c r="P927" s="491" t="n"/>
      <c r="Q927" s="491" t="n"/>
      <c r="R927" s="491" t="n"/>
      <c r="S927" s="491" t="n"/>
      <c r="T927" s="491" t="n"/>
      <c r="U927" s="491" t="n"/>
      <c r="V927" s="491" t="n"/>
      <c r="W927" s="491" t="n"/>
      <c r="X927" s="491" t="n"/>
      <c r="Y927" s="491" t="n"/>
    </row>
    <row r="928" ht="12.75" customHeight="1" s="398">
      <c r="A928" s="491" t="n"/>
      <c r="B928" s="491" t="n"/>
      <c r="C928" s="491" t="n"/>
      <c r="D928" s="491" t="n"/>
      <c r="E928" s="491" t="n"/>
      <c r="F928" s="491" t="n"/>
      <c r="G928" s="491" t="n"/>
      <c r="H928" s="491" t="n"/>
      <c r="I928" s="491" t="n"/>
      <c r="J928" s="491" t="n"/>
      <c r="K928" s="491" t="n"/>
      <c r="L928" s="491" t="n"/>
      <c r="M928" s="491" t="n"/>
      <c r="N928" s="491" t="n"/>
      <c r="O928" s="491" t="n"/>
      <c r="P928" s="491" t="n"/>
      <c r="Q928" s="491" t="n"/>
      <c r="R928" s="491" t="n"/>
      <c r="S928" s="491" t="n"/>
      <c r="T928" s="491" t="n"/>
      <c r="U928" s="491" t="n"/>
      <c r="V928" s="491" t="n"/>
      <c r="W928" s="491" t="n"/>
      <c r="X928" s="491" t="n"/>
      <c r="Y928" s="491" t="n"/>
    </row>
    <row r="929" ht="12.75" customHeight="1" s="398">
      <c r="A929" s="491" t="n"/>
      <c r="B929" s="491" t="n"/>
      <c r="C929" s="491" t="n"/>
      <c r="D929" s="491" t="n"/>
      <c r="E929" s="491" t="n"/>
      <c r="F929" s="491" t="n"/>
      <c r="G929" s="491" t="n"/>
      <c r="H929" s="491" t="n"/>
      <c r="I929" s="491" t="n"/>
      <c r="J929" s="491" t="n"/>
      <c r="K929" s="491" t="n"/>
      <c r="L929" s="491" t="n"/>
      <c r="M929" s="491" t="n"/>
      <c r="N929" s="491" t="n"/>
      <c r="O929" s="491" t="n"/>
      <c r="P929" s="491" t="n"/>
      <c r="Q929" s="491" t="n"/>
      <c r="R929" s="491" t="n"/>
      <c r="S929" s="491" t="n"/>
      <c r="T929" s="491" t="n"/>
      <c r="U929" s="491" t="n"/>
      <c r="V929" s="491" t="n"/>
      <c r="W929" s="491" t="n"/>
      <c r="X929" s="491" t="n"/>
      <c r="Y929" s="491" t="n"/>
    </row>
    <row r="930" ht="12.75" customHeight="1" s="398">
      <c r="A930" s="491" t="n"/>
      <c r="B930" s="491" t="n"/>
      <c r="C930" s="491" t="n"/>
      <c r="D930" s="491" t="n"/>
      <c r="E930" s="491" t="n"/>
      <c r="F930" s="491" t="n"/>
      <c r="G930" s="491" t="n"/>
      <c r="H930" s="491" t="n"/>
      <c r="I930" s="491" t="n"/>
      <c r="J930" s="491" t="n"/>
      <c r="K930" s="491" t="n"/>
      <c r="L930" s="491" t="n"/>
      <c r="M930" s="491" t="n"/>
      <c r="N930" s="491" t="n"/>
      <c r="O930" s="491" t="n"/>
      <c r="P930" s="491" t="n"/>
      <c r="Q930" s="491" t="n"/>
      <c r="R930" s="491" t="n"/>
      <c r="S930" s="491" t="n"/>
      <c r="T930" s="491" t="n"/>
      <c r="U930" s="491" t="n"/>
      <c r="V930" s="491" t="n"/>
      <c r="W930" s="491" t="n"/>
      <c r="X930" s="491" t="n"/>
      <c r="Y930" s="491" t="n"/>
    </row>
    <row r="931" ht="12.75" customHeight="1" s="398">
      <c r="A931" s="491" t="n"/>
      <c r="B931" s="491" t="n"/>
      <c r="C931" s="491" t="n"/>
      <c r="D931" s="491" t="n"/>
      <c r="E931" s="491" t="n"/>
      <c r="F931" s="491" t="n"/>
      <c r="G931" s="491" t="n"/>
      <c r="H931" s="491" t="n"/>
      <c r="I931" s="491" t="n"/>
      <c r="J931" s="491" t="n"/>
      <c r="K931" s="491" t="n"/>
      <c r="L931" s="491" t="n"/>
      <c r="M931" s="491" t="n"/>
      <c r="N931" s="491" t="n"/>
      <c r="O931" s="491" t="n"/>
      <c r="P931" s="491" t="n"/>
      <c r="Q931" s="491" t="n"/>
      <c r="R931" s="491" t="n"/>
      <c r="S931" s="491" t="n"/>
      <c r="T931" s="491" t="n"/>
      <c r="U931" s="491" t="n"/>
      <c r="V931" s="491" t="n"/>
      <c r="W931" s="491" t="n"/>
      <c r="X931" s="491" t="n"/>
      <c r="Y931" s="491" t="n"/>
    </row>
    <row r="932" ht="12.75" customHeight="1" s="398">
      <c r="A932" s="491" t="n"/>
      <c r="B932" s="491" t="n"/>
      <c r="C932" s="491" t="n"/>
      <c r="D932" s="491" t="n"/>
      <c r="E932" s="491" t="n"/>
      <c r="F932" s="491" t="n"/>
      <c r="G932" s="491" t="n"/>
      <c r="H932" s="491" t="n"/>
      <c r="I932" s="491" t="n"/>
      <c r="J932" s="491" t="n"/>
      <c r="K932" s="491" t="n"/>
      <c r="L932" s="491" t="n"/>
      <c r="M932" s="491" t="n"/>
      <c r="N932" s="491" t="n"/>
      <c r="O932" s="491" t="n"/>
      <c r="P932" s="491" t="n"/>
      <c r="Q932" s="491" t="n"/>
      <c r="R932" s="491" t="n"/>
      <c r="S932" s="491" t="n"/>
      <c r="T932" s="491" t="n"/>
      <c r="U932" s="491" t="n"/>
      <c r="V932" s="491" t="n"/>
      <c r="W932" s="491" t="n"/>
      <c r="X932" s="491" t="n"/>
      <c r="Y932" s="491" t="n"/>
    </row>
    <row r="933" ht="12.75" customHeight="1" s="398">
      <c r="A933" s="491" t="n"/>
      <c r="B933" s="491" t="n"/>
      <c r="C933" s="491" t="n"/>
      <c r="D933" s="491" t="n"/>
      <c r="E933" s="491" t="n"/>
      <c r="F933" s="491" t="n"/>
      <c r="G933" s="491" t="n"/>
      <c r="H933" s="491" t="n"/>
      <c r="I933" s="491" t="n"/>
      <c r="J933" s="491" t="n"/>
      <c r="K933" s="491" t="n"/>
      <c r="L933" s="491" t="n"/>
      <c r="M933" s="491" t="n"/>
      <c r="N933" s="491" t="n"/>
      <c r="O933" s="491" t="n"/>
      <c r="P933" s="491" t="n"/>
      <c r="Q933" s="491" t="n"/>
      <c r="R933" s="491" t="n"/>
      <c r="S933" s="491" t="n"/>
      <c r="T933" s="491" t="n"/>
      <c r="U933" s="491" t="n"/>
      <c r="V933" s="491" t="n"/>
      <c r="W933" s="491" t="n"/>
      <c r="X933" s="491" t="n"/>
      <c r="Y933" s="491" t="n"/>
    </row>
    <row r="934" ht="12.75" customHeight="1" s="398">
      <c r="A934" s="491" t="n"/>
      <c r="B934" s="491" t="n"/>
      <c r="C934" s="491" t="n"/>
      <c r="D934" s="491" t="n"/>
      <c r="E934" s="491" t="n"/>
      <c r="F934" s="491" t="n"/>
      <c r="G934" s="491" t="n"/>
      <c r="H934" s="491" t="n"/>
      <c r="I934" s="491" t="n"/>
      <c r="J934" s="491" t="n"/>
      <c r="K934" s="491" t="n"/>
      <c r="L934" s="491" t="n"/>
      <c r="M934" s="491" t="n"/>
      <c r="N934" s="491" t="n"/>
      <c r="O934" s="491" t="n"/>
      <c r="P934" s="491" t="n"/>
      <c r="Q934" s="491" t="n"/>
      <c r="R934" s="491" t="n"/>
      <c r="S934" s="491" t="n"/>
      <c r="T934" s="491" t="n"/>
      <c r="U934" s="491" t="n"/>
      <c r="V934" s="491" t="n"/>
      <c r="W934" s="491" t="n"/>
      <c r="X934" s="491" t="n"/>
      <c r="Y934" s="491" t="n"/>
    </row>
    <row r="935" ht="12.75" customHeight="1" s="398">
      <c r="A935" s="491" t="n"/>
      <c r="B935" s="491" t="n"/>
      <c r="C935" s="491" t="n"/>
      <c r="D935" s="491" t="n"/>
      <c r="E935" s="491" t="n"/>
      <c r="F935" s="491" t="n"/>
      <c r="G935" s="491" t="n"/>
      <c r="H935" s="491" t="n"/>
      <c r="I935" s="491" t="n"/>
      <c r="J935" s="491" t="n"/>
      <c r="K935" s="491" t="n"/>
      <c r="L935" s="491" t="n"/>
      <c r="M935" s="491" t="n"/>
      <c r="N935" s="491" t="n"/>
      <c r="O935" s="491" t="n"/>
      <c r="P935" s="491" t="n"/>
      <c r="Q935" s="491" t="n"/>
      <c r="R935" s="491" t="n"/>
      <c r="S935" s="491" t="n"/>
      <c r="T935" s="491" t="n"/>
      <c r="U935" s="491" t="n"/>
      <c r="V935" s="491" t="n"/>
      <c r="W935" s="491" t="n"/>
      <c r="X935" s="491" t="n"/>
      <c r="Y935" s="491" t="n"/>
    </row>
    <row r="936" ht="12.75" customHeight="1" s="398">
      <c r="A936" s="491" t="n"/>
      <c r="B936" s="491" t="n"/>
      <c r="C936" s="491" t="n"/>
      <c r="D936" s="491" t="n"/>
      <c r="E936" s="491" t="n"/>
      <c r="F936" s="491" t="n"/>
      <c r="G936" s="491" t="n"/>
      <c r="H936" s="491" t="n"/>
      <c r="I936" s="491" t="n"/>
      <c r="J936" s="491" t="n"/>
      <c r="K936" s="491" t="n"/>
      <c r="L936" s="491" t="n"/>
      <c r="M936" s="491" t="n"/>
      <c r="N936" s="491" t="n"/>
      <c r="O936" s="491" t="n"/>
      <c r="P936" s="491" t="n"/>
      <c r="Q936" s="491" t="n"/>
      <c r="R936" s="491" t="n"/>
      <c r="S936" s="491" t="n"/>
      <c r="T936" s="491" t="n"/>
      <c r="U936" s="491" t="n"/>
      <c r="V936" s="491" t="n"/>
      <c r="W936" s="491" t="n"/>
      <c r="X936" s="491" t="n"/>
      <c r="Y936" s="491" t="n"/>
    </row>
    <row r="937" ht="12.75" customHeight="1" s="398">
      <c r="A937" s="491" t="n"/>
      <c r="B937" s="491" t="n"/>
      <c r="C937" s="491" t="n"/>
      <c r="D937" s="491" t="n"/>
      <c r="E937" s="491" t="n"/>
      <c r="F937" s="491" t="n"/>
      <c r="G937" s="491" t="n"/>
      <c r="H937" s="491" t="n"/>
      <c r="I937" s="491" t="n"/>
      <c r="J937" s="491" t="n"/>
      <c r="K937" s="491" t="n"/>
      <c r="L937" s="491" t="n"/>
      <c r="M937" s="491" t="n"/>
      <c r="N937" s="491" t="n"/>
      <c r="O937" s="491" t="n"/>
      <c r="P937" s="491" t="n"/>
      <c r="Q937" s="491" t="n"/>
      <c r="R937" s="491" t="n"/>
      <c r="S937" s="491" t="n"/>
      <c r="T937" s="491" t="n"/>
      <c r="U937" s="491" t="n"/>
      <c r="V937" s="491" t="n"/>
      <c r="W937" s="491" t="n"/>
      <c r="X937" s="491" t="n"/>
      <c r="Y937" s="491" t="n"/>
    </row>
    <row r="938" ht="12.75" customHeight="1" s="398">
      <c r="A938" s="491" t="n"/>
      <c r="B938" s="491" t="n"/>
      <c r="C938" s="491" t="n"/>
      <c r="D938" s="491" t="n"/>
      <c r="E938" s="491" t="n"/>
      <c r="F938" s="491" t="n"/>
      <c r="G938" s="491" t="n"/>
      <c r="H938" s="491" t="n"/>
      <c r="I938" s="491" t="n"/>
      <c r="J938" s="491" t="n"/>
      <c r="K938" s="491" t="n"/>
      <c r="L938" s="491" t="n"/>
      <c r="M938" s="491" t="n"/>
      <c r="N938" s="491" t="n"/>
      <c r="O938" s="491" t="n"/>
      <c r="P938" s="491" t="n"/>
      <c r="Q938" s="491" t="n"/>
      <c r="R938" s="491" t="n"/>
      <c r="S938" s="491" t="n"/>
      <c r="T938" s="491" t="n"/>
      <c r="U938" s="491" t="n"/>
      <c r="V938" s="491" t="n"/>
      <c r="W938" s="491" t="n"/>
      <c r="X938" s="491" t="n"/>
      <c r="Y938" s="491" t="n"/>
    </row>
    <row r="939" ht="12.75" customHeight="1" s="398">
      <c r="A939" s="491" t="n"/>
      <c r="B939" s="491" t="n"/>
      <c r="C939" s="491" t="n"/>
      <c r="D939" s="491" t="n"/>
      <c r="E939" s="491" t="n"/>
      <c r="F939" s="491" t="n"/>
      <c r="G939" s="491" t="n"/>
      <c r="H939" s="491" t="n"/>
      <c r="I939" s="491" t="n"/>
      <c r="J939" s="491" t="n"/>
      <c r="K939" s="491" t="n"/>
      <c r="L939" s="491" t="n"/>
      <c r="M939" s="491" t="n"/>
      <c r="N939" s="491" t="n"/>
      <c r="O939" s="491" t="n"/>
      <c r="P939" s="491" t="n"/>
      <c r="Q939" s="491" t="n"/>
      <c r="R939" s="491" t="n"/>
      <c r="S939" s="491" t="n"/>
      <c r="T939" s="491" t="n"/>
      <c r="U939" s="491" t="n"/>
      <c r="V939" s="491" t="n"/>
      <c r="W939" s="491" t="n"/>
      <c r="X939" s="491" t="n"/>
      <c r="Y939" s="491" t="n"/>
    </row>
    <row r="940" ht="12.75" customHeight="1" s="398">
      <c r="A940" s="491" t="n"/>
      <c r="B940" s="491" t="n"/>
      <c r="C940" s="491" t="n"/>
      <c r="D940" s="491" t="n"/>
      <c r="E940" s="491" t="n"/>
      <c r="F940" s="491" t="n"/>
      <c r="G940" s="491" t="n"/>
      <c r="H940" s="491" t="n"/>
      <c r="I940" s="491" t="n"/>
      <c r="J940" s="491" t="n"/>
      <c r="K940" s="491" t="n"/>
      <c r="L940" s="491" t="n"/>
      <c r="M940" s="491" t="n"/>
      <c r="N940" s="491" t="n"/>
      <c r="O940" s="491" t="n"/>
      <c r="P940" s="491" t="n"/>
      <c r="Q940" s="491" t="n"/>
      <c r="R940" s="491" t="n"/>
      <c r="S940" s="491" t="n"/>
      <c r="T940" s="491" t="n"/>
      <c r="U940" s="491" t="n"/>
      <c r="V940" s="491" t="n"/>
      <c r="W940" s="491" t="n"/>
      <c r="X940" s="491" t="n"/>
      <c r="Y940" s="491" t="n"/>
    </row>
    <row r="941" ht="12.75" customHeight="1" s="398">
      <c r="A941" s="491" t="n"/>
      <c r="B941" s="491" t="n"/>
      <c r="C941" s="491" t="n"/>
      <c r="D941" s="491" t="n"/>
      <c r="E941" s="491" t="n"/>
      <c r="F941" s="491" t="n"/>
      <c r="G941" s="491" t="n"/>
      <c r="H941" s="491" t="n"/>
      <c r="I941" s="491" t="n"/>
      <c r="J941" s="491" t="n"/>
      <c r="K941" s="491" t="n"/>
      <c r="L941" s="491" t="n"/>
      <c r="M941" s="491" t="n"/>
      <c r="N941" s="491" t="n"/>
      <c r="O941" s="491" t="n"/>
      <c r="P941" s="491" t="n"/>
      <c r="Q941" s="491" t="n"/>
      <c r="R941" s="491" t="n"/>
      <c r="S941" s="491" t="n"/>
      <c r="T941" s="491" t="n"/>
      <c r="U941" s="491" t="n"/>
      <c r="V941" s="491" t="n"/>
      <c r="W941" s="491" t="n"/>
      <c r="X941" s="491" t="n"/>
      <c r="Y941" s="491" t="n"/>
    </row>
    <row r="942" ht="12.75" customHeight="1" s="398">
      <c r="A942" s="491" t="n"/>
      <c r="B942" s="491" t="n"/>
      <c r="C942" s="491" t="n"/>
      <c r="D942" s="491" t="n"/>
      <c r="E942" s="491" t="n"/>
      <c r="F942" s="491" t="n"/>
      <c r="G942" s="491" t="n"/>
      <c r="H942" s="491" t="n"/>
      <c r="I942" s="491" t="n"/>
      <c r="J942" s="491" t="n"/>
      <c r="K942" s="491" t="n"/>
      <c r="L942" s="491" t="n"/>
      <c r="M942" s="491" t="n"/>
      <c r="N942" s="491" t="n"/>
      <c r="O942" s="491" t="n"/>
      <c r="P942" s="491" t="n"/>
      <c r="Q942" s="491" t="n"/>
      <c r="R942" s="491" t="n"/>
      <c r="S942" s="491" t="n"/>
      <c r="T942" s="491" t="n"/>
      <c r="U942" s="491" t="n"/>
      <c r="V942" s="491" t="n"/>
      <c r="W942" s="491" t="n"/>
      <c r="X942" s="491" t="n"/>
      <c r="Y942" s="491" t="n"/>
    </row>
    <row r="943" ht="12.75" customHeight="1" s="398">
      <c r="A943" s="491" t="n"/>
      <c r="B943" s="491" t="n"/>
      <c r="C943" s="491" t="n"/>
      <c r="D943" s="491" t="n"/>
      <c r="E943" s="491" t="n"/>
      <c r="F943" s="491" t="n"/>
      <c r="G943" s="491" t="n"/>
      <c r="H943" s="491" t="n"/>
      <c r="I943" s="491" t="n"/>
      <c r="J943" s="491" t="n"/>
      <c r="K943" s="491" t="n"/>
      <c r="L943" s="491" t="n"/>
      <c r="M943" s="491" t="n"/>
      <c r="N943" s="491" t="n"/>
      <c r="O943" s="491" t="n"/>
      <c r="P943" s="491" t="n"/>
      <c r="Q943" s="491" t="n"/>
      <c r="R943" s="491" t="n"/>
      <c r="S943" s="491" t="n"/>
      <c r="T943" s="491" t="n"/>
      <c r="U943" s="491" t="n"/>
      <c r="V943" s="491" t="n"/>
      <c r="W943" s="491" t="n"/>
      <c r="X943" s="491" t="n"/>
      <c r="Y943" s="491" t="n"/>
    </row>
    <row r="944" ht="12.75" customHeight="1" s="398">
      <c r="A944" s="491" t="n"/>
      <c r="B944" s="491" t="n"/>
      <c r="C944" s="491" t="n"/>
      <c r="D944" s="491" t="n"/>
      <c r="E944" s="491" t="n"/>
      <c r="F944" s="491" t="n"/>
      <c r="G944" s="491" t="n"/>
      <c r="H944" s="491" t="n"/>
      <c r="I944" s="491" t="n"/>
      <c r="J944" s="491" t="n"/>
      <c r="K944" s="491" t="n"/>
      <c r="L944" s="491" t="n"/>
      <c r="M944" s="491" t="n"/>
      <c r="N944" s="491" t="n"/>
      <c r="O944" s="491" t="n"/>
      <c r="P944" s="491" t="n"/>
      <c r="Q944" s="491" t="n"/>
      <c r="R944" s="491" t="n"/>
      <c r="S944" s="491" t="n"/>
      <c r="T944" s="491" t="n"/>
      <c r="U944" s="491" t="n"/>
      <c r="V944" s="491" t="n"/>
      <c r="W944" s="491" t="n"/>
      <c r="X944" s="491" t="n"/>
      <c r="Y944" s="491" t="n"/>
    </row>
    <row r="945" ht="12.75" customHeight="1" s="398">
      <c r="A945" s="491" t="n"/>
      <c r="B945" s="491" t="n"/>
      <c r="C945" s="491" t="n"/>
      <c r="D945" s="491" t="n"/>
      <c r="E945" s="491" t="n"/>
      <c r="F945" s="491" t="n"/>
      <c r="G945" s="491" t="n"/>
      <c r="H945" s="491" t="n"/>
      <c r="I945" s="491" t="n"/>
      <c r="J945" s="491" t="n"/>
      <c r="K945" s="491" t="n"/>
      <c r="L945" s="491" t="n"/>
      <c r="M945" s="491" t="n"/>
      <c r="N945" s="491" t="n"/>
      <c r="O945" s="491" t="n"/>
      <c r="P945" s="491" t="n"/>
      <c r="Q945" s="491" t="n"/>
      <c r="R945" s="491" t="n"/>
      <c r="S945" s="491" t="n"/>
      <c r="T945" s="491" t="n"/>
      <c r="U945" s="491" t="n"/>
      <c r="V945" s="491" t="n"/>
      <c r="W945" s="491" t="n"/>
      <c r="X945" s="491" t="n"/>
      <c r="Y945" s="491" t="n"/>
    </row>
    <row r="946" ht="12.75" customHeight="1" s="398">
      <c r="A946" s="491" t="n"/>
      <c r="B946" s="491" t="n"/>
      <c r="C946" s="491" t="n"/>
      <c r="D946" s="491" t="n"/>
      <c r="E946" s="491" t="n"/>
      <c r="F946" s="491" t="n"/>
      <c r="G946" s="491" t="n"/>
      <c r="H946" s="491" t="n"/>
      <c r="I946" s="491" t="n"/>
      <c r="J946" s="491" t="n"/>
      <c r="K946" s="491" t="n"/>
      <c r="L946" s="491" t="n"/>
      <c r="M946" s="491" t="n"/>
      <c r="N946" s="491" t="n"/>
      <c r="O946" s="491" t="n"/>
      <c r="P946" s="491" t="n"/>
      <c r="Q946" s="491" t="n"/>
      <c r="R946" s="491" t="n"/>
      <c r="S946" s="491" t="n"/>
      <c r="T946" s="491" t="n"/>
      <c r="U946" s="491" t="n"/>
      <c r="V946" s="491" t="n"/>
      <c r="W946" s="491" t="n"/>
      <c r="X946" s="491" t="n"/>
      <c r="Y946" s="491" t="n"/>
    </row>
    <row r="947" ht="12.75" customHeight="1" s="398">
      <c r="A947" s="491" t="n"/>
      <c r="B947" s="491" t="n"/>
      <c r="C947" s="491" t="n"/>
      <c r="D947" s="491" t="n"/>
      <c r="E947" s="491" t="n"/>
      <c r="F947" s="491" t="n"/>
      <c r="G947" s="491" t="n"/>
      <c r="H947" s="491" t="n"/>
      <c r="I947" s="491" t="n"/>
      <c r="J947" s="491" t="n"/>
      <c r="K947" s="491" t="n"/>
      <c r="L947" s="491" t="n"/>
      <c r="M947" s="491" t="n"/>
      <c r="N947" s="491" t="n"/>
      <c r="O947" s="491" t="n"/>
      <c r="P947" s="491" t="n"/>
      <c r="Q947" s="491" t="n"/>
      <c r="R947" s="491" t="n"/>
      <c r="S947" s="491" t="n"/>
      <c r="T947" s="491" t="n"/>
      <c r="U947" s="491" t="n"/>
      <c r="V947" s="491" t="n"/>
      <c r="W947" s="491" t="n"/>
      <c r="X947" s="491" t="n"/>
      <c r="Y947" s="491" t="n"/>
    </row>
    <row r="948" ht="12.75" customHeight="1" s="398">
      <c r="A948" s="491" t="n"/>
      <c r="B948" s="491" t="n"/>
      <c r="C948" s="491" t="n"/>
      <c r="D948" s="491" t="n"/>
      <c r="E948" s="491" t="n"/>
      <c r="F948" s="491" t="n"/>
      <c r="G948" s="491" t="n"/>
      <c r="H948" s="491" t="n"/>
      <c r="I948" s="491" t="n"/>
      <c r="J948" s="491" t="n"/>
      <c r="K948" s="491" t="n"/>
      <c r="L948" s="491" t="n"/>
      <c r="M948" s="491" t="n"/>
      <c r="N948" s="491" t="n"/>
      <c r="O948" s="491" t="n"/>
      <c r="P948" s="491" t="n"/>
      <c r="Q948" s="491" t="n"/>
      <c r="R948" s="491" t="n"/>
      <c r="S948" s="491" t="n"/>
      <c r="T948" s="491" t="n"/>
      <c r="U948" s="491" t="n"/>
      <c r="V948" s="491" t="n"/>
      <c r="W948" s="491" t="n"/>
      <c r="X948" s="491" t="n"/>
      <c r="Y948" s="491" t="n"/>
    </row>
    <row r="949" ht="12.75" customHeight="1" s="398">
      <c r="A949" s="491" t="n"/>
      <c r="B949" s="491" t="n"/>
      <c r="C949" s="491" t="n"/>
      <c r="D949" s="491" t="n"/>
      <c r="E949" s="491" t="n"/>
      <c r="F949" s="491" t="n"/>
      <c r="G949" s="491" t="n"/>
      <c r="H949" s="491" t="n"/>
      <c r="I949" s="491" t="n"/>
      <c r="J949" s="491" t="n"/>
      <c r="K949" s="491" t="n"/>
      <c r="L949" s="491" t="n"/>
      <c r="M949" s="491" t="n"/>
      <c r="N949" s="491" t="n"/>
      <c r="O949" s="491" t="n"/>
      <c r="P949" s="491" t="n"/>
      <c r="Q949" s="491" t="n"/>
      <c r="R949" s="491" t="n"/>
      <c r="S949" s="491" t="n"/>
      <c r="T949" s="491" t="n"/>
      <c r="U949" s="491" t="n"/>
      <c r="V949" s="491" t="n"/>
      <c r="W949" s="491" t="n"/>
      <c r="X949" s="491" t="n"/>
      <c r="Y949" s="491" t="n"/>
    </row>
    <row r="950" ht="12.75" customHeight="1" s="398">
      <c r="A950" s="491" t="n"/>
      <c r="B950" s="491" t="n"/>
      <c r="C950" s="491" t="n"/>
      <c r="D950" s="491" t="n"/>
      <c r="E950" s="491" t="n"/>
      <c r="F950" s="491" t="n"/>
      <c r="G950" s="491" t="n"/>
      <c r="H950" s="491" t="n"/>
      <c r="I950" s="491" t="n"/>
      <c r="J950" s="491" t="n"/>
      <c r="K950" s="491" t="n"/>
      <c r="L950" s="491" t="n"/>
      <c r="M950" s="491" t="n"/>
      <c r="N950" s="491" t="n"/>
      <c r="O950" s="491" t="n"/>
      <c r="P950" s="491" t="n"/>
      <c r="Q950" s="491" t="n"/>
      <c r="R950" s="491" t="n"/>
      <c r="S950" s="491" t="n"/>
      <c r="T950" s="491" t="n"/>
      <c r="U950" s="491" t="n"/>
      <c r="V950" s="491" t="n"/>
      <c r="W950" s="491" t="n"/>
      <c r="X950" s="491" t="n"/>
      <c r="Y950" s="491" t="n"/>
    </row>
    <row r="951" ht="12.75" customHeight="1" s="398">
      <c r="A951" s="491" t="n"/>
      <c r="B951" s="491" t="n"/>
      <c r="C951" s="491" t="n"/>
      <c r="D951" s="491" t="n"/>
      <c r="E951" s="491" t="n"/>
      <c r="F951" s="491" t="n"/>
      <c r="G951" s="491" t="n"/>
      <c r="H951" s="491" t="n"/>
      <c r="I951" s="491" t="n"/>
      <c r="J951" s="491" t="n"/>
      <c r="K951" s="491" t="n"/>
      <c r="L951" s="491" t="n"/>
      <c r="M951" s="491" t="n"/>
      <c r="N951" s="491" t="n"/>
      <c r="O951" s="491" t="n"/>
      <c r="P951" s="491" t="n"/>
      <c r="Q951" s="491" t="n"/>
      <c r="R951" s="491" t="n"/>
      <c r="S951" s="491" t="n"/>
      <c r="T951" s="491" t="n"/>
      <c r="U951" s="491" t="n"/>
      <c r="V951" s="491" t="n"/>
      <c r="W951" s="491" t="n"/>
      <c r="X951" s="491" t="n"/>
      <c r="Y951" s="491" t="n"/>
    </row>
    <row r="952" ht="12.75" customHeight="1" s="398">
      <c r="A952" s="491" t="n"/>
      <c r="B952" s="491" t="n"/>
      <c r="C952" s="491" t="n"/>
      <c r="D952" s="491" t="n"/>
      <c r="E952" s="491" t="n"/>
      <c r="F952" s="491" t="n"/>
      <c r="G952" s="491" t="n"/>
      <c r="H952" s="491" t="n"/>
      <c r="I952" s="491" t="n"/>
      <c r="J952" s="491" t="n"/>
      <c r="K952" s="491" t="n"/>
      <c r="L952" s="491" t="n"/>
      <c r="M952" s="491" t="n"/>
      <c r="N952" s="491" t="n"/>
      <c r="O952" s="491" t="n"/>
      <c r="P952" s="491" t="n"/>
      <c r="Q952" s="491" t="n"/>
      <c r="R952" s="491" t="n"/>
      <c r="S952" s="491" t="n"/>
      <c r="T952" s="491" t="n"/>
      <c r="U952" s="491" t="n"/>
      <c r="V952" s="491" t="n"/>
      <c r="W952" s="491" t="n"/>
      <c r="X952" s="491" t="n"/>
      <c r="Y952" s="491" t="n"/>
    </row>
    <row r="953" ht="12.75" customHeight="1" s="398">
      <c r="A953" s="491" t="n"/>
      <c r="B953" s="491" t="n"/>
      <c r="C953" s="491" t="n"/>
      <c r="D953" s="491" t="n"/>
      <c r="E953" s="491" t="n"/>
      <c r="F953" s="491" t="n"/>
      <c r="G953" s="491" t="n"/>
      <c r="H953" s="491" t="n"/>
      <c r="I953" s="491" t="n"/>
      <c r="J953" s="491" t="n"/>
      <c r="K953" s="491" t="n"/>
      <c r="L953" s="491" t="n"/>
      <c r="M953" s="491" t="n"/>
      <c r="N953" s="491" t="n"/>
      <c r="O953" s="491" t="n"/>
      <c r="P953" s="491" t="n"/>
      <c r="Q953" s="491" t="n"/>
      <c r="R953" s="491" t="n"/>
      <c r="S953" s="491" t="n"/>
      <c r="T953" s="491" t="n"/>
      <c r="U953" s="491" t="n"/>
      <c r="V953" s="491" t="n"/>
      <c r="W953" s="491" t="n"/>
      <c r="X953" s="491" t="n"/>
      <c r="Y953" s="491" t="n"/>
    </row>
    <row r="954" ht="12.75" customHeight="1" s="398">
      <c r="A954" s="491" t="n"/>
      <c r="B954" s="491" t="n"/>
      <c r="C954" s="491" t="n"/>
      <c r="D954" s="491" t="n"/>
      <c r="E954" s="491" t="n"/>
      <c r="F954" s="491" t="n"/>
      <c r="G954" s="491" t="n"/>
      <c r="H954" s="491" t="n"/>
      <c r="I954" s="491" t="n"/>
      <c r="J954" s="491" t="n"/>
      <c r="K954" s="491" t="n"/>
      <c r="L954" s="491" t="n"/>
      <c r="M954" s="491" t="n"/>
      <c r="N954" s="491" t="n"/>
      <c r="O954" s="491" t="n"/>
      <c r="P954" s="491" t="n"/>
      <c r="Q954" s="491" t="n"/>
      <c r="R954" s="491" t="n"/>
      <c r="S954" s="491" t="n"/>
      <c r="T954" s="491" t="n"/>
      <c r="U954" s="491" t="n"/>
      <c r="V954" s="491" t="n"/>
      <c r="W954" s="491" t="n"/>
      <c r="X954" s="491" t="n"/>
      <c r="Y954" s="491" t="n"/>
    </row>
    <row r="955" ht="12.75" customHeight="1" s="398">
      <c r="A955" s="491" t="n"/>
      <c r="B955" s="491" t="n"/>
      <c r="C955" s="491" t="n"/>
      <c r="D955" s="491" t="n"/>
      <c r="E955" s="491" t="n"/>
      <c r="F955" s="491" t="n"/>
      <c r="G955" s="491" t="n"/>
      <c r="H955" s="491" t="n"/>
      <c r="I955" s="491" t="n"/>
      <c r="J955" s="491" t="n"/>
      <c r="K955" s="491" t="n"/>
      <c r="L955" s="491" t="n"/>
      <c r="M955" s="491" t="n"/>
      <c r="N955" s="491" t="n"/>
      <c r="O955" s="491" t="n"/>
      <c r="P955" s="491" t="n"/>
      <c r="Q955" s="491" t="n"/>
      <c r="R955" s="491" t="n"/>
      <c r="S955" s="491" t="n"/>
      <c r="T955" s="491" t="n"/>
      <c r="U955" s="491" t="n"/>
      <c r="V955" s="491" t="n"/>
      <c r="W955" s="491" t="n"/>
      <c r="X955" s="491" t="n"/>
      <c r="Y955" s="491" t="n"/>
    </row>
    <row r="956" ht="12.75" customHeight="1" s="398">
      <c r="A956" s="491" t="n"/>
      <c r="B956" s="491" t="n"/>
      <c r="C956" s="491" t="n"/>
      <c r="D956" s="491" t="n"/>
      <c r="E956" s="491" t="n"/>
      <c r="F956" s="491" t="n"/>
      <c r="G956" s="491" t="n"/>
      <c r="H956" s="491" t="n"/>
      <c r="I956" s="491" t="n"/>
      <c r="J956" s="491" t="n"/>
      <c r="K956" s="491" t="n"/>
      <c r="L956" s="491" t="n"/>
      <c r="M956" s="491" t="n"/>
      <c r="N956" s="491" t="n"/>
      <c r="O956" s="491" t="n"/>
      <c r="P956" s="491" t="n"/>
      <c r="Q956" s="491" t="n"/>
      <c r="R956" s="491" t="n"/>
      <c r="S956" s="491" t="n"/>
      <c r="T956" s="491" t="n"/>
      <c r="U956" s="491" t="n"/>
      <c r="V956" s="491" t="n"/>
      <c r="W956" s="491" t="n"/>
      <c r="X956" s="491" t="n"/>
      <c r="Y956" s="491" t="n"/>
    </row>
    <row r="957" ht="12.75" customHeight="1" s="398">
      <c r="A957" s="491" t="n"/>
      <c r="B957" s="491" t="n"/>
      <c r="C957" s="491" t="n"/>
      <c r="D957" s="491" t="n"/>
      <c r="E957" s="491" t="n"/>
      <c r="F957" s="491" t="n"/>
      <c r="G957" s="491" t="n"/>
      <c r="H957" s="491" t="n"/>
      <c r="I957" s="491" t="n"/>
      <c r="J957" s="491" t="n"/>
      <c r="K957" s="491" t="n"/>
      <c r="L957" s="491" t="n"/>
      <c r="M957" s="491" t="n"/>
      <c r="N957" s="491" t="n"/>
      <c r="O957" s="491" t="n"/>
      <c r="P957" s="491" t="n"/>
      <c r="Q957" s="491" t="n"/>
      <c r="R957" s="491" t="n"/>
      <c r="S957" s="491" t="n"/>
      <c r="T957" s="491" t="n"/>
      <c r="U957" s="491" t="n"/>
      <c r="V957" s="491" t="n"/>
      <c r="W957" s="491" t="n"/>
      <c r="X957" s="491" t="n"/>
      <c r="Y957" s="491" t="n"/>
    </row>
    <row r="958" ht="12.75" customHeight="1" s="398">
      <c r="A958" s="491" t="n"/>
      <c r="B958" s="491" t="n"/>
      <c r="C958" s="491" t="n"/>
      <c r="D958" s="491" t="n"/>
      <c r="E958" s="491" t="n"/>
      <c r="F958" s="491" t="n"/>
      <c r="G958" s="491" t="n"/>
      <c r="H958" s="491" t="n"/>
      <c r="I958" s="491" t="n"/>
      <c r="J958" s="491" t="n"/>
      <c r="K958" s="491" t="n"/>
      <c r="L958" s="491" t="n"/>
      <c r="M958" s="491" t="n"/>
      <c r="N958" s="491" t="n"/>
      <c r="O958" s="491" t="n"/>
      <c r="P958" s="491" t="n"/>
      <c r="Q958" s="491" t="n"/>
      <c r="R958" s="491" t="n"/>
      <c r="S958" s="491" t="n"/>
      <c r="T958" s="491" t="n"/>
      <c r="U958" s="491" t="n"/>
      <c r="V958" s="491" t="n"/>
      <c r="W958" s="491" t="n"/>
      <c r="X958" s="491" t="n"/>
      <c r="Y958" s="491" t="n"/>
    </row>
    <row r="959" ht="12.75" customHeight="1" s="398">
      <c r="A959" s="491" t="n"/>
      <c r="B959" s="491" t="n"/>
      <c r="C959" s="491" t="n"/>
      <c r="D959" s="491" t="n"/>
      <c r="E959" s="491" t="n"/>
      <c r="F959" s="491" t="n"/>
      <c r="G959" s="491" t="n"/>
      <c r="H959" s="491" t="n"/>
      <c r="I959" s="491" t="n"/>
      <c r="J959" s="491" t="n"/>
      <c r="K959" s="491" t="n"/>
      <c r="L959" s="491" t="n"/>
      <c r="M959" s="491" t="n"/>
      <c r="N959" s="491" t="n"/>
      <c r="O959" s="491" t="n"/>
      <c r="P959" s="491" t="n"/>
      <c r="Q959" s="491" t="n"/>
      <c r="R959" s="491" t="n"/>
      <c r="S959" s="491" t="n"/>
      <c r="T959" s="491" t="n"/>
      <c r="U959" s="491" t="n"/>
      <c r="V959" s="491" t="n"/>
      <c r="W959" s="491" t="n"/>
      <c r="X959" s="491" t="n"/>
      <c r="Y959" s="491" t="n"/>
    </row>
    <row r="960" ht="12.75" customHeight="1" s="398">
      <c r="A960" s="491" t="n"/>
      <c r="B960" s="491" t="n"/>
      <c r="C960" s="491" t="n"/>
      <c r="D960" s="491" t="n"/>
      <c r="E960" s="491" t="n"/>
      <c r="F960" s="491" t="n"/>
      <c r="G960" s="491" t="n"/>
      <c r="H960" s="491" t="n"/>
      <c r="I960" s="491" t="n"/>
      <c r="J960" s="491" t="n"/>
      <c r="K960" s="491" t="n"/>
      <c r="L960" s="491" t="n"/>
      <c r="M960" s="491" t="n"/>
      <c r="N960" s="491" t="n"/>
      <c r="O960" s="491" t="n"/>
      <c r="P960" s="491" t="n"/>
      <c r="Q960" s="491" t="n"/>
      <c r="R960" s="491" t="n"/>
      <c r="S960" s="491" t="n"/>
      <c r="T960" s="491" t="n"/>
      <c r="U960" s="491" t="n"/>
      <c r="V960" s="491" t="n"/>
      <c r="W960" s="491" t="n"/>
      <c r="X960" s="491" t="n"/>
      <c r="Y960" s="491" t="n"/>
    </row>
    <row r="961" ht="12.75" customHeight="1" s="398">
      <c r="A961" s="491" t="n"/>
      <c r="B961" s="491" t="n"/>
      <c r="C961" s="491" t="n"/>
      <c r="D961" s="491" t="n"/>
      <c r="E961" s="491" t="n"/>
      <c r="F961" s="491" t="n"/>
      <c r="G961" s="491" t="n"/>
      <c r="H961" s="491" t="n"/>
      <c r="I961" s="491" t="n"/>
      <c r="J961" s="491" t="n"/>
      <c r="K961" s="491" t="n"/>
      <c r="L961" s="491" t="n"/>
      <c r="M961" s="491" t="n"/>
      <c r="N961" s="491" t="n"/>
      <c r="O961" s="491" t="n"/>
      <c r="P961" s="491" t="n"/>
      <c r="Q961" s="491" t="n"/>
      <c r="R961" s="491" t="n"/>
      <c r="S961" s="491" t="n"/>
      <c r="T961" s="491" t="n"/>
      <c r="U961" s="491" t="n"/>
      <c r="V961" s="491" t="n"/>
      <c r="W961" s="491" t="n"/>
      <c r="X961" s="491" t="n"/>
      <c r="Y961" s="491" t="n"/>
    </row>
    <row r="962" ht="12.75" customHeight="1" s="398">
      <c r="A962" s="491" t="n"/>
      <c r="B962" s="491" t="n"/>
      <c r="C962" s="491" t="n"/>
      <c r="D962" s="491" t="n"/>
      <c r="E962" s="491" t="n"/>
      <c r="F962" s="491" t="n"/>
      <c r="G962" s="491" t="n"/>
      <c r="H962" s="491" t="n"/>
      <c r="I962" s="491" t="n"/>
      <c r="J962" s="491" t="n"/>
      <c r="K962" s="491" t="n"/>
      <c r="L962" s="491" t="n"/>
      <c r="M962" s="491" t="n"/>
      <c r="N962" s="491" t="n"/>
      <c r="O962" s="491" t="n"/>
      <c r="P962" s="491" t="n"/>
      <c r="Q962" s="491" t="n"/>
      <c r="R962" s="491" t="n"/>
      <c r="S962" s="491" t="n"/>
      <c r="T962" s="491" t="n"/>
      <c r="U962" s="491" t="n"/>
      <c r="V962" s="491" t="n"/>
      <c r="W962" s="491" t="n"/>
      <c r="X962" s="491" t="n"/>
      <c r="Y962" s="491" t="n"/>
    </row>
    <row r="963" ht="12.75" customHeight="1" s="398">
      <c r="A963" s="491" t="n"/>
      <c r="B963" s="491" t="n"/>
      <c r="C963" s="491" t="n"/>
      <c r="D963" s="491" t="n"/>
      <c r="E963" s="491" t="n"/>
      <c r="F963" s="491" t="n"/>
      <c r="G963" s="491" t="n"/>
      <c r="H963" s="491" t="n"/>
      <c r="I963" s="491" t="n"/>
      <c r="J963" s="491" t="n"/>
      <c r="K963" s="491" t="n"/>
      <c r="L963" s="491" t="n"/>
      <c r="M963" s="491" t="n"/>
      <c r="N963" s="491" t="n"/>
      <c r="O963" s="491" t="n"/>
      <c r="P963" s="491" t="n"/>
      <c r="Q963" s="491" t="n"/>
      <c r="R963" s="491" t="n"/>
      <c r="S963" s="491" t="n"/>
      <c r="T963" s="491" t="n"/>
      <c r="U963" s="491" t="n"/>
      <c r="V963" s="491" t="n"/>
      <c r="W963" s="491" t="n"/>
      <c r="X963" s="491" t="n"/>
      <c r="Y963" s="491" t="n"/>
    </row>
    <row r="964" ht="12.75" customHeight="1" s="398">
      <c r="A964" s="491" t="n"/>
      <c r="B964" s="491" t="n"/>
      <c r="C964" s="491" t="n"/>
      <c r="D964" s="491" t="n"/>
      <c r="E964" s="491" t="n"/>
      <c r="F964" s="491" t="n"/>
      <c r="G964" s="491" t="n"/>
      <c r="H964" s="491" t="n"/>
      <c r="I964" s="491" t="n"/>
      <c r="J964" s="491" t="n"/>
      <c r="K964" s="491" t="n"/>
      <c r="L964" s="491" t="n"/>
      <c r="M964" s="491" t="n"/>
      <c r="N964" s="491" t="n"/>
      <c r="O964" s="491" t="n"/>
      <c r="P964" s="491" t="n"/>
      <c r="Q964" s="491" t="n"/>
      <c r="R964" s="491" t="n"/>
      <c r="S964" s="491" t="n"/>
      <c r="T964" s="491" t="n"/>
      <c r="U964" s="491" t="n"/>
      <c r="V964" s="491" t="n"/>
      <c r="W964" s="491" t="n"/>
      <c r="X964" s="491" t="n"/>
      <c r="Y964" s="491" t="n"/>
    </row>
    <row r="965" ht="12.75" customHeight="1" s="398">
      <c r="A965" s="491" t="n"/>
      <c r="B965" s="491" t="n"/>
      <c r="C965" s="491" t="n"/>
      <c r="D965" s="491" t="n"/>
      <c r="E965" s="491" t="n"/>
      <c r="F965" s="491" t="n"/>
      <c r="G965" s="491" t="n"/>
      <c r="H965" s="491" t="n"/>
      <c r="I965" s="491" t="n"/>
      <c r="J965" s="491" t="n"/>
      <c r="K965" s="491" t="n"/>
      <c r="L965" s="491" t="n"/>
      <c r="M965" s="491" t="n"/>
      <c r="N965" s="491" t="n"/>
      <c r="O965" s="491" t="n"/>
      <c r="P965" s="491" t="n"/>
      <c r="Q965" s="491" t="n"/>
      <c r="R965" s="491" t="n"/>
      <c r="S965" s="491" t="n"/>
      <c r="T965" s="491" t="n"/>
      <c r="U965" s="491" t="n"/>
      <c r="V965" s="491" t="n"/>
      <c r="W965" s="491" t="n"/>
      <c r="X965" s="491" t="n"/>
      <c r="Y965" s="491" t="n"/>
    </row>
    <row r="966" ht="12.75" customHeight="1" s="398">
      <c r="A966" s="491" t="n"/>
      <c r="B966" s="491" t="n"/>
      <c r="C966" s="491" t="n"/>
      <c r="D966" s="491" t="n"/>
      <c r="E966" s="491" t="n"/>
      <c r="F966" s="491" t="n"/>
      <c r="G966" s="491" t="n"/>
      <c r="H966" s="491" t="n"/>
      <c r="I966" s="491" t="n"/>
      <c r="J966" s="491" t="n"/>
      <c r="K966" s="491" t="n"/>
      <c r="L966" s="491" t="n"/>
      <c r="M966" s="491" t="n"/>
      <c r="N966" s="491" t="n"/>
      <c r="O966" s="491" t="n"/>
      <c r="P966" s="491" t="n"/>
      <c r="Q966" s="491" t="n"/>
      <c r="R966" s="491" t="n"/>
      <c r="S966" s="491" t="n"/>
      <c r="T966" s="491" t="n"/>
      <c r="U966" s="491" t="n"/>
      <c r="V966" s="491" t="n"/>
      <c r="W966" s="491" t="n"/>
      <c r="X966" s="491" t="n"/>
      <c r="Y966" s="491" t="n"/>
    </row>
    <row r="967" ht="12.75" customHeight="1" s="398">
      <c r="A967" s="491" t="n"/>
      <c r="B967" s="491" t="n"/>
      <c r="C967" s="491" t="n"/>
      <c r="D967" s="491" t="n"/>
      <c r="E967" s="491" t="n"/>
      <c r="F967" s="491" t="n"/>
      <c r="G967" s="491" t="n"/>
      <c r="H967" s="491" t="n"/>
      <c r="I967" s="491" t="n"/>
      <c r="J967" s="491" t="n"/>
      <c r="K967" s="491" t="n"/>
      <c r="L967" s="491" t="n"/>
      <c r="M967" s="491" t="n"/>
      <c r="N967" s="491" t="n"/>
      <c r="O967" s="491" t="n"/>
      <c r="P967" s="491" t="n"/>
      <c r="Q967" s="491" t="n"/>
      <c r="R967" s="491" t="n"/>
      <c r="S967" s="491" t="n"/>
      <c r="T967" s="491" t="n"/>
      <c r="U967" s="491" t="n"/>
      <c r="V967" s="491" t="n"/>
      <c r="W967" s="491" t="n"/>
      <c r="X967" s="491" t="n"/>
      <c r="Y967" s="491" t="n"/>
    </row>
    <row r="968" ht="12.75" customHeight="1" s="398">
      <c r="A968" s="491" t="n"/>
      <c r="B968" s="491" t="n"/>
      <c r="C968" s="491" t="n"/>
      <c r="D968" s="491" t="n"/>
      <c r="E968" s="491" t="n"/>
      <c r="F968" s="491" t="n"/>
      <c r="G968" s="491" t="n"/>
      <c r="H968" s="491" t="n"/>
      <c r="I968" s="491" t="n"/>
      <c r="J968" s="491" t="n"/>
      <c r="K968" s="491" t="n"/>
      <c r="L968" s="491" t="n"/>
      <c r="M968" s="491" t="n"/>
      <c r="N968" s="491" t="n"/>
      <c r="O968" s="491" t="n"/>
      <c r="P968" s="491" t="n"/>
      <c r="Q968" s="491" t="n"/>
      <c r="R968" s="491" t="n"/>
      <c r="S968" s="491" t="n"/>
      <c r="T968" s="491" t="n"/>
      <c r="U968" s="491" t="n"/>
      <c r="V968" s="491" t="n"/>
      <c r="W968" s="491" t="n"/>
      <c r="X968" s="491" t="n"/>
      <c r="Y968" s="491" t="n"/>
    </row>
    <row r="969" ht="12.75" customHeight="1" s="398">
      <c r="A969" s="491" t="n"/>
      <c r="B969" s="491" t="n"/>
      <c r="C969" s="491" t="n"/>
      <c r="D969" s="491" t="n"/>
      <c r="E969" s="491" t="n"/>
      <c r="F969" s="491" t="n"/>
      <c r="G969" s="491" t="n"/>
      <c r="H969" s="491" t="n"/>
      <c r="I969" s="491" t="n"/>
      <c r="J969" s="491" t="n"/>
      <c r="K969" s="491" t="n"/>
      <c r="L969" s="491" t="n"/>
      <c r="M969" s="491" t="n"/>
      <c r="N969" s="491" t="n"/>
      <c r="O969" s="491" t="n"/>
      <c r="P969" s="491" t="n"/>
      <c r="Q969" s="491" t="n"/>
      <c r="R969" s="491" t="n"/>
      <c r="S969" s="491" t="n"/>
      <c r="T969" s="491" t="n"/>
      <c r="U969" s="491" t="n"/>
      <c r="V969" s="491" t="n"/>
      <c r="W969" s="491" t="n"/>
      <c r="X969" s="491" t="n"/>
      <c r="Y969" s="491" t="n"/>
    </row>
    <row r="970" ht="12.75" customHeight="1" s="398">
      <c r="A970" s="491" t="n"/>
      <c r="B970" s="491" t="n"/>
      <c r="C970" s="491" t="n"/>
      <c r="D970" s="491" t="n"/>
      <c r="E970" s="491" t="n"/>
      <c r="F970" s="491" t="n"/>
      <c r="G970" s="491" t="n"/>
      <c r="H970" s="491" t="n"/>
      <c r="I970" s="491" t="n"/>
      <c r="J970" s="491" t="n"/>
      <c r="K970" s="491" t="n"/>
      <c r="L970" s="491" t="n"/>
      <c r="M970" s="491" t="n"/>
      <c r="N970" s="491" t="n"/>
      <c r="O970" s="491" t="n"/>
      <c r="P970" s="491" t="n"/>
      <c r="Q970" s="491" t="n"/>
      <c r="R970" s="491" t="n"/>
      <c r="S970" s="491" t="n"/>
      <c r="T970" s="491" t="n"/>
      <c r="U970" s="491" t="n"/>
      <c r="V970" s="491" t="n"/>
      <c r="W970" s="491" t="n"/>
      <c r="X970" s="491" t="n"/>
      <c r="Y970" s="491" t="n"/>
    </row>
    <row r="971" ht="12.75" customHeight="1" s="398">
      <c r="A971" s="491" t="n"/>
      <c r="B971" s="491" t="n"/>
      <c r="C971" s="491" t="n"/>
      <c r="D971" s="491" t="n"/>
      <c r="E971" s="491" t="n"/>
      <c r="F971" s="491" t="n"/>
      <c r="G971" s="491" t="n"/>
      <c r="H971" s="491" t="n"/>
      <c r="I971" s="491" t="n"/>
      <c r="J971" s="491" t="n"/>
      <c r="K971" s="491" t="n"/>
      <c r="L971" s="491" t="n"/>
      <c r="M971" s="491" t="n"/>
      <c r="N971" s="491" t="n"/>
      <c r="O971" s="491" t="n"/>
      <c r="P971" s="491" t="n"/>
      <c r="Q971" s="491" t="n"/>
      <c r="R971" s="491" t="n"/>
      <c r="S971" s="491" t="n"/>
      <c r="T971" s="491" t="n"/>
      <c r="U971" s="491" t="n"/>
      <c r="V971" s="491" t="n"/>
      <c r="W971" s="491" t="n"/>
      <c r="X971" s="491" t="n"/>
      <c r="Y971" s="491" t="n"/>
    </row>
    <row r="972" ht="12.75" customHeight="1" s="398">
      <c r="A972" s="491" t="n"/>
      <c r="B972" s="491" t="n"/>
      <c r="C972" s="491" t="n"/>
      <c r="D972" s="491" t="n"/>
      <c r="E972" s="491" t="n"/>
      <c r="F972" s="491" t="n"/>
      <c r="G972" s="491" t="n"/>
      <c r="H972" s="491" t="n"/>
      <c r="I972" s="491" t="n"/>
      <c r="J972" s="491" t="n"/>
      <c r="K972" s="491" t="n"/>
      <c r="L972" s="491" t="n"/>
      <c r="M972" s="491" t="n"/>
      <c r="N972" s="491" t="n"/>
      <c r="O972" s="491" t="n"/>
      <c r="P972" s="491" t="n"/>
      <c r="Q972" s="491" t="n"/>
      <c r="R972" s="491" t="n"/>
      <c r="S972" s="491" t="n"/>
      <c r="T972" s="491" t="n"/>
      <c r="U972" s="491" t="n"/>
      <c r="V972" s="491" t="n"/>
      <c r="W972" s="491" t="n"/>
      <c r="X972" s="491" t="n"/>
      <c r="Y972" s="491" t="n"/>
    </row>
    <row r="973" ht="12.75" customHeight="1" s="398">
      <c r="A973" s="491" t="n"/>
      <c r="B973" s="491" t="n"/>
      <c r="C973" s="491" t="n"/>
      <c r="D973" s="491" t="n"/>
      <c r="E973" s="491" t="n"/>
      <c r="F973" s="491" t="n"/>
      <c r="G973" s="491" t="n"/>
      <c r="H973" s="491" t="n"/>
      <c r="I973" s="491" t="n"/>
      <c r="J973" s="491" t="n"/>
      <c r="K973" s="491" t="n"/>
      <c r="L973" s="491" t="n"/>
      <c r="M973" s="491" t="n"/>
      <c r="N973" s="491" t="n"/>
      <c r="O973" s="491" t="n"/>
      <c r="P973" s="491" t="n"/>
      <c r="Q973" s="491" t="n"/>
      <c r="R973" s="491" t="n"/>
      <c r="S973" s="491" t="n"/>
      <c r="T973" s="491" t="n"/>
      <c r="U973" s="491" t="n"/>
      <c r="V973" s="491" t="n"/>
      <c r="W973" s="491" t="n"/>
      <c r="X973" s="491" t="n"/>
      <c r="Y973" s="491" t="n"/>
    </row>
    <row r="974" ht="12.75" customHeight="1" s="398">
      <c r="A974" s="491" t="n"/>
      <c r="B974" s="491" t="n"/>
      <c r="C974" s="491" t="n"/>
      <c r="D974" s="491" t="n"/>
      <c r="E974" s="491" t="n"/>
      <c r="F974" s="491" t="n"/>
      <c r="G974" s="491" t="n"/>
      <c r="H974" s="491" t="n"/>
      <c r="I974" s="491" t="n"/>
      <c r="J974" s="491" t="n"/>
      <c r="K974" s="491" t="n"/>
      <c r="L974" s="491" t="n"/>
      <c r="M974" s="491" t="n"/>
      <c r="N974" s="491" t="n"/>
      <c r="O974" s="491" t="n"/>
      <c r="P974" s="491" t="n"/>
      <c r="Q974" s="491" t="n"/>
      <c r="R974" s="491" t="n"/>
      <c r="S974" s="491" t="n"/>
      <c r="T974" s="491" t="n"/>
      <c r="U974" s="491" t="n"/>
      <c r="V974" s="491" t="n"/>
      <c r="W974" s="491" t="n"/>
      <c r="X974" s="491" t="n"/>
      <c r="Y974" s="491" t="n"/>
    </row>
    <row r="975" ht="12.75" customHeight="1" s="398">
      <c r="A975" s="491" t="n"/>
      <c r="B975" s="491" t="n"/>
      <c r="C975" s="491" t="n"/>
      <c r="D975" s="491" t="n"/>
      <c r="E975" s="491" t="n"/>
      <c r="F975" s="491" t="n"/>
      <c r="G975" s="491" t="n"/>
      <c r="H975" s="491" t="n"/>
      <c r="I975" s="491" t="n"/>
      <c r="J975" s="491" t="n"/>
      <c r="K975" s="491" t="n"/>
      <c r="L975" s="491" t="n"/>
      <c r="M975" s="491" t="n"/>
      <c r="N975" s="491" t="n"/>
      <c r="O975" s="491" t="n"/>
      <c r="P975" s="491" t="n"/>
      <c r="Q975" s="491" t="n"/>
      <c r="R975" s="491" t="n"/>
      <c r="S975" s="491" t="n"/>
      <c r="T975" s="491" t="n"/>
      <c r="U975" s="491" t="n"/>
      <c r="V975" s="491" t="n"/>
      <c r="W975" s="491" t="n"/>
      <c r="X975" s="491" t="n"/>
      <c r="Y975" s="491" t="n"/>
    </row>
    <row r="976" ht="12.75" customHeight="1" s="398">
      <c r="A976" s="491" t="n"/>
      <c r="B976" s="491" t="n"/>
      <c r="C976" s="491" t="n"/>
      <c r="D976" s="491" t="n"/>
      <c r="E976" s="491" t="n"/>
      <c r="F976" s="491" t="n"/>
      <c r="G976" s="491" t="n"/>
      <c r="H976" s="491" t="n"/>
      <c r="I976" s="491" t="n"/>
      <c r="J976" s="491" t="n"/>
      <c r="K976" s="491" t="n"/>
      <c r="L976" s="491" t="n"/>
      <c r="M976" s="491" t="n"/>
      <c r="N976" s="491" t="n"/>
      <c r="O976" s="491" t="n"/>
      <c r="P976" s="491" t="n"/>
      <c r="Q976" s="491" t="n"/>
      <c r="R976" s="491" t="n"/>
      <c r="S976" s="491" t="n"/>
      <c r="T976" s="491" t="n"/>
      <c r="U976" s="491" t="n"/>
      <c r="V976" s="491" t="n"/>
      <c r="W976" s="491" t="n"/>
      <c r="X976" s="491" t="n"/>
      <c r="Y976" s="491" t="n"/>
    </row>
    <row r="977" ht="12.75" customHeight="1" s="398">
      <c r="A977" s="491" t="n"/>
      <c r="B977" s="491" t="n"/>
      <c r="C977" s="491" t="n"/>
      <c r="D977" s="491" t="n"/>
      <c r="E977" s="491" t="n"/>
      <c r="F977" s="491" t="n"/>
      <c r="G977" s="491" t="n"/>
      <c r="H977" s="491" t="n"/>
      <c r="I977" s="491" t="n"/>
      <c r="J977" s="491" t="n"/>
      <c r="K977" s="491" t="n"/>
      <c r="L977" s="491" t="n"/>
      <c r="M977" s="491" t="n"/>
      <c r="N977" s="491" t="n"/>
      <c r="O977" s="491" t="n"/>
      <c r="P977" s="491" t="n"/>
      <c r="Q977" s="491" t="n"/>
      <c r="R977" s="491" t="n"/>
      <c r="S977" s="491" t="n"/>
      <c r="T977" s="491" t="n"/>
      <c r="U977" s="491" t="n"/>
      <c r="V977" s="491" t="n"/>
      <c r="W977" s="491" t="n"/>
      <c r="X977" s="491" t="n"/>
      <c r="Y977" s="491" t="n"/>
    </row>
    <row r="978" ht="12.75" customHeight="1" s="398">
      <c r="A978" s="491" t="n"/>
      <c r="B978" s="491" t="n"/>
      <c r="C978" s="491" t="n"/>
      <c r="D978" s="491" t="n"/>
      <c r="E978" s="491" t="n"/>
      <c r="F978" s="491" t="n"/>
      <c r="G978" s="491" t="n"/>
      <c r="H978" s="491" t="n"/>
      <c r="I978" s="491" t="n"/>
      <c r="J978" s="491" t="n"/>
      <c r="K978" s="491" t="n"/>
      <c r="L978" s="491" t="n"/>
      <c r="M978" s="491" t="n"/>
      <c r="N978" s="491" t="n"/>
      <c r="O978" s="491" t="n"/>
      <c r="P978" s="491" t="n"/>
      <c r="Q978" s="491" t="n"/>
      <c r="R978" s="491" t="n"/>
      <c r="S978" s="491" t="n"/>
      <c r="T978" s="491" t="n"/>
      <c r="U978" s="491" t="n"/>
      <c r="V978" s="491" t="n"/>
      <c r="W978" s="491" t="n"/>
      <c r="X978" s="491" t="n"/>
      <c r="Y978" s="491" t="n"/>
    </row>
    <row r="979" ht="12.75" customHeight="1" s="398">
      <c r="A979" s="491" t="n"/>
      <c r="B979" s="491" t="n"/>
      <c r="C979" s="491" t="n"/>
      <c r="D979" s="491" t="n"/>
      <c r="E979" s="491" t="n"/>
      <c r="F979" s="491" t="n"/>
      <c r="G979" s="491" t="n"/>
      <c r="H979" s="491" t="n"/>
      <c r="I979" s="491" t="n"/>
      <c r="J979" s="491" t="n"/>
      <c r="K979" s="491" t="n"/>
      <c r="L979" s="491" t="n"/>
      <c r="M979" s="491" t="n"/>
      <c r="N979" s="491" t="n"/>
      <c r="O979" s="491" t="n"/>
      <c r="P979" s="491" t="n"/>
      <c r="Q979" s="491" t="n"/>
      <c r="R979" s="491" t="n"/>
      <c r="S979" s="491" t="n"/>
      <c r="T979" s="491" t="n"/>
      <c r="U979" s="491" t="n"/>
      <c r="V979" s="491" t="n"/>
      <c r="W979" s="491" t="n"/>
      <c r="X979" s="491" t="n"/>
      <c r="Y979" s="491" t="n"/>
    </row>
    <row r="980" ht="12.75" customHeight="1" s="398">
      <c r="A980" s="491" t="n"/>
      <c r="B980" s="491" t="n"/>
      <c r="C980" s="491" t="n"/>
      <c r="D980" s="491" t="n"/>
      <c r="E980" s="491" t="n"/>
      <c r="F980" s="491" t="n"/>
      <c r="G980" s="491" t="n"/>
      <c r="H980" s="491" t="n"/>
      <c r="I980" s="491" t="n"/>
      <c r="J980" s="491" t="n"/>
      <c r="K980" s="491" t="n"/>
      <c r="L980" s="491" t="n"/>
      <c r="M980" s="491" t="n"/>
      <c r="N980" s="491" t="n"/>
      <c r="O980" s="491" t="n"/>
      <c r="P980" s="491" t="n"/>
      <c r="Q980" s="491" t="n"/>
      <c r="R980" s="491" t="n"/>
      <c r="S980" s="491" t="n"/>
      <c r="T980" s="491" t="n"/>
      <c r="U980" s="491" t="n"/>
      <c r="V980" s="491" t="n"/>
      <c r="W980" s="491" t="n"/>
      <c r="X980" s="491" t="n"/>
      <c r="Y980" s="491" t="n"/>
    </row>
    <row r="981" ht="12.75" customHeight="1" s="398">
      <c r="A981" s="491" t="n"/>
      <c r="B981" s="491" t="n"/>
      <c r="C981" s="491" t="n"/>
      <c r="D981" s="491" t="n"/>
      <c r="E981" s="491" t="n"/>
      <c r="F981" s="491" t="n"/>
      <c r="G981" s="491" t="n"/>
      <c r="H981" s="491" t="n"/>
      <c r="I981" s="491" t="n"/>
      <c r="J981" s="491" t="n"/>
      <c r="K981" s="491" t="n"/>
      <c r="L981" s="491" t="n"/>
      <c r="M981" s="491" t="n"/>
      <c r="N981" s="491" t="n"/>
      <c r="O981" s="491" t="n"/>
      <c r="P981" s="491" t="n"/>
      <c r="Q981" s="491" t="n"/>
      <c r="R981" s="491" t="n"/>
      <c r="S981" s="491" t="n"/>
      <c r="T981" s="491" t="n"/>
      <c r="U981" s="491" t="n"/>
      <c r="V981" s="491" t="n"/>
      <c r="W981" s="491" t="n"/>
      <c r="X981" s="491" t="n"/>
      <c r="Y981" s="491" t="n"/>
    </row>
    <row r="982" ht="12.75" customHeight="1" s="398">
      <c r="A982" s="491" t="n"/>
      <c r="B982" s="491" t="n"/>
      <c r="C982" s="491" t="n"/>
      <c r="D982" s="491" t="n"/>
      <c r="E982" s="491" t="n"/>
      <c r="F982" s="491" t="n"/>
      <c r="G982" s="491" t="n"/>
      <c r="H982" s="491" t="n"/>
      <c r="I982" s="491" t="n"/>
      <c r="J982" s="491" t="n"/>
      <c r="K982" s="491" t="n"/>
      <c r="L982" s="491" t="n"/>
      <c r="M982" s="491" t="n"/>
      <c r="N982" s="491" t="n"/>
      <c r="O982" s="491" t="n"/>
      <c r="P982" s="491" t="n"/>
      <c r="Q982" s="491" t="n"/>
      <c r="R982" s="491" t="n"/>
      <c r="S982" s="491" t="n"/>
      <c r="T982" s="491" t="n"/>
      <c r="U982" s="491" t="n"/>
      <c r="V982" s="491" t="n"/>
      <c r="W982" s="491" t="n"/>
      <c r="X982" s="491" t="n"/>
      <c r="Y982" s="491" t="n"/>
    </row>
    <row r="983" ht="12.75" customHeight="1" s="398">
      <c r="A983" s="491" t="n"/>
      <c r="B983" s="491" t="n"/>
      <c r="C983" s="491" t="n"/>
      <c r="D983" s="491" t="n"/>
      <c r="E983" s="491" t="n"/>
      <c r="F983" s="491" t="n"/>
      <c r="G983" s="491" t="n"/>
      <c r="H983" s="491" t="n"/>
      <c r="I983" s="491" t="n"/>
      <c r="J983" s="491" t="n"/>
      <c r="K983" s="491" t="n"/>
      <c r="L983" s="491" t="n"/>
      <c r="M983" s="491" t="n"/>
      <c r="N983" s="491" t="n"/>
      <c r="O983" s="491" t="n"/>
      <c r="P983" s="491" t="n"/>
      <c r="Q983" s="491" t="n"/>
      <c r="R983" s="491" t="n"/>
      <c r="S983" s="491" t="n"/>
      <c r="T983" s="491" t="n"/>
      <c r="U983" s="491" t="n"/>
      <c r="V983" s="491" t="n"/>
      <c r="W983" s="491" t="n"/>
      <c r="X983" s="491" t="n"/>
      <c r="Y983" s="491" t="n"/>
    </row>
    <row r="984" ht="12.75" customHeight="1" s="398">
      <c r="A984" s="491" t="n"/>
      <c r="B984" s="491" t="n"/>
      <c r="C984" s="491" t="n"/>
      <c r="D984" s="491" t="n"/>
      <c r="E984" s="491" t="n"/>
      <c r="F984" s="491" t="n"/>
      <c r="G984" s="491" t="n"/>
      <c r="H984" s="491" t="n"/>
      <c r="I984" s="491" t="n"/>
      <c r="J984" s="491" t="n"/>
      <c r="K984" s="491" t="n"/>
      <c r="L984" s="491" t="n"/>
      <c r="M984" s="491" t="n"/>
      <c r="N984" s="491" t="n"/>
      <c r="O984" s="491" t="n"/>
      <c r="P984" s="491" t="n"/>
      <c r="Q984" s="491" t="n"/>
      <c r="R984" s="491" t="n"/>
      <c r="S984" s="491" t="n"/>
      <c r="T984" s="491" t="n"/>
      <c r="U984" s="491" t="n"/>
      <c r="V984" s="491" t="n"/>
      <c r="W984" s="491" t="n"/>
      <c r="X984" s="491" t="n"/>
      <c r="Y984" s="491" t="n"/>
    </row>
    <row r="985" ht="12.75" customHeight="1" s="398">
      <c r="A985" s="491" t="n"/>
      <c r="B985" s="491" t="n"/>
      <c r="C985" s="491" t="n"/>
      <c r="D985" s="491" t="n"/>
      <c r="E985" s="491" t="n"/>
      <c r="F985" s="491" t="n"/>
      <c r="G985" s="491" t="n"/>
      <c r="H985" s="491" t="n"/>
      <c r="I985" s="491" t="n"/>
      <c r="J985" s="491" t="n"/>
      <c r="K985" s="491" t="n"/>
      <c r="L985" s="491" t="n"/>
      <c r="M985" s="491" t="n"/>
      <c r="N985" s="491" t="n"/>
      <c r="O985" s="491" t="n"/>
      <c r="P985" s="491" t="n"/>
      <c r="Q985" s="491" t="n"/>
      <c r="R985" s="491" t="n"/>
      <c r="S985" s="491" t="n"/>
      <c r="T985" s="491" t="n"/>
      <c r="U985" s="491" t="n"/>
      <c r="V985" s="491" t="n"/>
      <c r="W985" s="491" t="n"/>
      <c r="X985" s="491" t="n"/>
      <c r="Y985" s="491" t="n"/>
    </row>
    <row r="986" ht="12.75" customHeight="1" s="398">
      <c r="A986" s="491" t="n"/>
      <c r="B986" s="491" t="n"/>
      <c r="C986" s="491" t="n"/>
      <c r="D986" s="491" t="n"/>
      <c r="E986" s="491" t="n"/>
      <c r="F986" s="491" t="n"/>
      <c r="G986" s="491" t="n"/>
      <c r="H986" s="491" t="n"/>
      <c r="I986" s="491" t="n"/>
      <c r="J986" s="491" t="n"/>
      <c r="K986" s="491" t="n"/>
      <c r="L986" s="491" t="n"/>
      <c r="M986" s="491" t="n"/>
      <c r="N986" s="491" t="n"/>
      <c r="O986" s="491" t="n"/>
      <c r="P986" s="491" t="n"/>
      <c r="Q986" s="491" t="n"/>
      <c r="R986" s="491" t="n"/>
      <c r="S986" s="491" t="n"/>
      <c r="T986" s="491" t="n"/>
      <c r="U986" s="491" t="n"/>
      <c r="V986" s="491" t="n"/>
      <c r="W986" s="491" t="n"/>
      <c r="X986" s="491" t="n"/>
      <c r="Y986" s="491" t="n"/>
    </row>
    <row r="987" ht="12.75" customHeight="1" s="398">
      <c r="A987" s="491" t="n"/>
      <c r="B987" s="491" t="n"/>
      <c r="C987" s="491" t="n"/>
      <c r="D987" s="491" t="n"/>
      <c r="E987" s="491" t="n"/>
      <c r="F987" s="491" t="n"/>
      <c r="G987" s="491" t="n"/>
      <c r="H987" s="491" t="n"/>
      <c r="I987" s="491" t="n"/>
      <c r="J987" s="491" t="n"/>
      <c r="K987" s="491" t="n"/>
      <c r="L987" s="491" t="n"/>
      <c r="M987" s="491" t="n"/>
      <c r="N987" s="491" t="n"/>
      <c r="O987" s="491" t="n"/>
      <c r="P987" s="491" t="n"/>
      <c r="Q987" s="491" t="n"/>
      <c r="R987" s="491" t="n"/>
      <c r="S987" s="491" t="n"/>
      <c r="T987" s="491" t="n"/>
      <c r="U987" s="491" t="n"/>
      <c r="V987" s="491" t="n"/>
      <c r="W987" s="491" t="n"/>
      <c r="X987" s="491" t="n"/>
      <c r="Y987" s="491" t="n"/>
    </row>
    <row r="988" ht="12.75" customHeight="1" s="398">
      <c r="A988" s="491" t="n"/>
      <c r="B988" s="491" t="n"/>
      <c r="C988" s="491" t="n"/>
      <c r="D988" s="491" t="n"/>
      <c r="E988" s="491" t="n"/>
      <c r="F988" s="491" t="n"/>
      <c r="G988" s="491" t="n"/>
      <c r="H988" s="491" t="n"/>
      <c r="I988" s="491" t="n"/>
      <c r="J988" s="491" t="n"/>
      <c r="K988" s="491" t="n"/>
      <c r="L988" s="491" t="n"/>
      <c r="M988" s="491" t="n"/>
      <c r="N988" s="491" t="n"/>
      <c r="O988" s="491" t="n"/>
      <c r="P988" s="491" t="n"/>
      <c r="Q988" s="491" t="n"/>
      <c r="R988" s="491" t="n"/>
      <c r="S988" s="491" t="n"/>
      <c r="T988" s="491" t="n"/>
      <c r="U988" s="491" t="n"/>
      <c r="V988" s="491" t="n"/>
      <c r="W988" s="491" t="n"/>
      <c r="X988" s="491" t="n"/>
      <c r="Y988" s="491" t="n"/>
    </row>
    <row r="989" ht="12.75" customHeight="1" s="398">
      <c r="A989" s="491" t="n"/>
      <c r="B989" s="491" t="n"/>
      <c r="C989" s="491" t="n"/>
      <c r="D989" s="491" t="n"/>
      <c r="E989" s="491" t="n"/>
      <c r="F989" s="491" t="n"/>
      <c r="G989" s="491" t="n"/>
      <c r="H989" s="491" t="n"/>
      <c r="I989" s="491" t="n"/>
      <c r="J989" s="491" t="n"/>
      <c r="K989" s="491" t="n"/>
      <c r="L989" s="491" t="n"/>
      <c r="M989" s="491" t="n"/>
      <c r="N989" s="491" t="n"/>
      <c r="O989" s="491" t="n"/>
      <c r="P989" s="491" t="n"/>
      <c r="Q989" s="491" t="n"/>
      <c r="R989" s="491" t="n"/>
      <c r="S989" s="491" t="n"/>
      <c r="T989" s="491" t="n"/>
      <c r="U989" s="491" t="n"/>
      <c r="V989" s="491" t="n"/>
      <c r="W989" s="491" t="n"/>
      <c r="X989" s="491" t="n"/>
      <c r="Y989" s="491" t="n"/>
    </row>
    <row r="990" ht="12.75" customHeight="1" s="398">
      <c r="A990" s="491" t="n"/>
      <c r="B990" s="491" t="n"/>
      <c r="C990" s="491" t="n"/>
      <c r="D990" s="491" t="n"/>
      <c r="E990" s="491" t="n"/>
      <c r="F990" s="491" t="n"/>
      <c r="G990" s="491" t="n"/>
      <c r="H990" s="491" t="n"/>
      <c r="I990" s="491" t="n"/>
      <c r="J990" s="491" t="n"/>
      <c r="K990" s="491" t="n"/>
      <c r="L990" s="491" t="n"/>
      <c r="M990" s="491" t="n"/>
      <c r="N990" s="491" t="n"/>
      <c r="O990" s="491" t="n"/>
      <c r="P990" s="491" t="n"/>
      <c r="Q990" s="491" t="n"/>
      <c r="R990" s="491" t="n"/>
      <c r="S990" s="491" t="n"/>
      <c r="T990" s="491" t="n"/>
      <c r="U990" s="491" t="n"/>
      <c r="V990" s="491" t="n"/>
      <c r="W990" s="491" t="n"/>
      <c r="X990" s="491" t="n"/>
      <c r="Y990" s="491" t="n"/>
    </row>
    <row r="991" ht="12.75" customHeight="1" s="398">
      <c r="A991" s="491" t="n"/>
      <c r="B991" s="491" t="n"/>
      <c r="C991" s="491" t="n"/>
      <c r="D991" s="491" t="n"/>
      <c r="E991" s="491" t="n"/>
      <c r="F991" s="491" t="n"/>
      <c r="G991" s="491" t="n"/>
      <c r="H991" s="491" t="n"/>
      <c r="I991" s="491" t="n"/>
      <c r="J991" s="491" t="n"/>
      <c r="K991" s="491" t="n"/>
      <c r="L991" s="491" t="n"/>
      <c r="M991" s="491" t="n"/>
      <c r="N991" s="491" t="n"/>
      <c r="O991" s="491" t="n"/>
      <c r="P991" s="491" t="n"/>
      <c r="Q991" s="491" t="n"/>
      <c r="R991" s="491" t="n"/>
      <c r="S991" s="491" t="n"/>
      <c r="T991" s="491" t="n"/>
      <c r="U991" s="491" t="n"/>
      <c r="V991" s="491" t="n"/>
      <c r="W991" s="491" t="n"/>
      <c r="X991" s="491" t="n"/>
      <c r="Y991" s="491" t="n"/>
    </row>
    <row r="992" ht="12.75" customHeight="1" s="398">
      <c r="A992" s="491" t="n"/>
      <c r="B992" s="491" t="n"/>
      <c r="C992" s="491" t="n"/>
      <c r="D992" s="491" t="n"/>
      <c r="E992" s="491" t="n"/>
      <c r="F992" s="491" t="n"/>
      <c r="G992" s="491" t="n"/>
      <c r="H992" s="491" t="n"/>
      <c r="I992" s="491" t="n"/>
      <c r="J992" s="491" t="n"/>
      <c r="K992" s="491" t="n"/>
      <c r="L992" s="491" t="n"/>
      <c r="M992" s="491" t="n"/>
      <c r="N992" s="491" t="n"/>
      <c r="O992" s="491" t="n"/>
      <c r="P992" s="491" t="n"/>
      <c r="Q992" s="491" t="n"/>
      <c r="R992" s="491" t="n"/>
      <c r="S992" s="491" t="n"/>
      <c r="T992" s="491" t="n"/>
      <c r="U992" s="491" t="n"/>
      <c r="V992" s="491" t="n"/>
      <c r="W992" s="491" t="n"/>
      <c r="X992" s="491" t="n"/>
      <c r="Y992" s="491" t="n"/>
    </row>
    <row r="993" ht="12.75" customHeight="1" s="398">
      <c r="A993" s="491" t="n"/>
      <c r="B993" s="491" t="n"/>
      <c r="C993" s="491" t="n"/>
      <c r="D993" s="491" t="n"/>
      <c r="E993" s="491" t="n"/>
      <c r="F993" s="491" t="n"/>
      <c r="G993" s="491" t="n"/>
      <c r="H993" s="491" t="n"/>
      <c r="I993" s="491" t="n"/>
      <c r="J993" s="491" t="n"/>
      <c r="K993" s="491" t="n"/>
      <c r="L993" s="491" t="n"/>
      <c r="M993" s="491" t="n"/>
      <c r="N993" s="491" t="n"/>
      <c r="O993" s="491" t="n"/>
      <c r="P993" s="491" t="n"/>
      <c r="Q993" s="491" t="n"/>
      <c r="R993" s="491" t="n"/>
      <c r="S993" s="491" t="n"/>
      <c r="T993" s="491" t="n"/>
      <c r="U993" s="491" t="n"/>
      <c r="V993" s="491" t="n"/>
      <c r="W993" s="491" t="n"/>
      <c r="X993" s="491" t="n"/>
      <c r="Y993" s="491" t="n"/>
    </row>
    <row r="994" ht="12.75" customHeight="1" s="398">
      <c r="A994" s="491" t="n"/>
      <c r="B994" s="491" t="n"/>
      <c r="C994" s="491" t="n"/>
      <c r="D994" s="491" t="n"/>
      <c r="E994" s="491" t="n"/>
      <c r="F994" s="491" t="n"/>
      <c r="G994" s="491" t="n"/>
      <c r="H994" s="491" t="n"/>
      <c r="I994" s="491" t="n"/>
      <c r="J994" s="491" t="n"/>
      <c r="K994" s="491" t="n"/>
      <c r="L994" s="491" t="n"/>
      <c r="M994" s="491" t="n"/>
      <c r="N994" s="491" t="n"/>
      <c r="O994" s="491" t="n"/>
      <c r="P994" s="491" t="n"/>
      <c r="Q994" s="491" t="n"/>
      <c r="R994" s="491" t="n"/>
      <c r="S994" s="491" t="n"/>
      <c r="T994" s="491" t="n"/>
      <c r="U994" s="491" t="n"/>
      <c r="V994" s="491" t="n"/>
      <c r="W994" s="491" t="n"/>
      <c r="X994" s="491" t="n"/>
      <c r="Y994" s="491" t="n"/>
    </row>
    <row r="995" ht="12.75" customHeight="1" s="398">
      <c r="A995" s="491" t="n"/>
      <c r="B995" s="491" t="n"/>
      <c r="C995" s="491" t="n"/>
      <c r="D995" s="491" t="n"/>
      <c r="E995" s="491" t="n"/>
      <c r="F995" s="491" t="n"/>
      <c r="G995" s="491" t="n"/>
      <c r="H995" s="491" t="n"/>
      <c r="I995" s="491" t="n"/>
      <c r="J995" s="491" t="n"/>
      <c r="K995" s="491" t="n"/>
      <c r="L995" s="491" t="n"/>
      <c r="M995" s="491" t="n"/>
      <c r="N995" s="491" t="n"/>
      <c r="O995" s="491" t="n"/>
      <c r="P995" s="491" t="n"/>
      <c r="Q995" s="491" t="n"/>
      <c r="R995" s="491" t="n"/>
      <c r="S995" s="491" t="n"/>
      <c r="T995" s="491" t="n"/>
      <c r="U995" s="491" t="n"/>
      <c r="V995" s="491" t="n"/>
      <c r="W995" s="491" t="n"/>
      <c r="X995" s="491" t="n"/>
      <c r="Y995" s="491" t="n"/>
    </row>
    <row r="996" ht="12.75" customHeight="1" s="398">
      <c r="A996" s="491" t="n"/>
      <c r="B996" s="491" t="n"/>
      <c r="C996" s="491" t="n"/>
      <c r="D996" s="491" t="n"/>
      <c r="E996" s="491" t="n"/>
      <c r="F996" s="491" t="n"/>
      <c r="G996" s="491" t="n"/>
      <c r="H996" s="491" t="n"/>
      <c r="I996" s="491" t="n"/>
      <c r="J996" s="491" t="n"/>
      <c r="K996" s="491" t="n"/>
      <c r="L996" s="491" t="n"/>
      <c r="M996" s="491" t="n"/>
      <c r="N996" s="491" t="n"/>
      <c r="O996" s="491" t="n"/>
      <c r="P996" s="491" t="n"/>
      <c r="Q996" s="491" t="n"/>
      <c r="R996" s="491" t="n"/>
      <c r="S996" s="491" t="n"/>
      <c r="T996" s="491" t="n"/>
      <c r="U996" s="491" t="n"/>
      <c r="V996" s="491" t="n"/>
      <c r="W996" s="491" t="n"/>
      <c r="X996" s="491" t="n"/>
      <c r="Y996" s="491" t="n"/>
    </row>
    <row r="997" ht="12.75" customHeight="1" s="398">
      <c r="A997" s="491" t="n"/>
      <c r="B997" s="491" t="n"/>
      <c r="C997" s="491" t="n"/>
      <c r="D997" s="491" t="n"/>
      <c r="E997" s="491" t="n"/>
      <c r="F997" s="491" t="n"/>
      <c r="G997" s="491" t="n"/>
      <c r="H997" s="491" t="n"/>
      <c r="I997" s="491" t="n"/>
      <c r="J997" s="491" t="n"/>
      <c r="K997" s="491" t="n"/>
      <c r="L997" s="491" t="n"/>
      <c r="M997" s="491" t="n"/>
      <c r="N997" s="491" t="n"/>
      <c r="O997" s="491" t="n"/>
      <c r="P997" s="491" t="n"/>
      <c r="Q997" s="491" t="n"/>
      <c r="R997" s="491" t="n"/>
      <c r="S997" s="491" t="n"/>
      <c r="T997" s="491" t="n"/>
      <c r="U997" s="491" t="n"/>
      <c r="V997" s="491" t="n"/>
      <c r="W997" s="491" t="n"/>
      <c r="X997" s="491" t="n"/>
      <c r="Y997" s="491" t="n"/>
    </row>
    <row r="998" ht="12.75" customHeight="1" s="398">
      <c r="A998" s="491" t="n"/>
      <c r="B998" s="491" t="n"/>
      <c r="C998" s="491" t="n"/>
      <c r="D998" s="491" t="n"/>
      <c r="E998" s="491" t="n"/>
      <c r="F998" s="491" t="n"/>
      <c r="G998" s="491" t="n"/>
      <c r="H998" s="491" t="n"/>
      <c r="I998" s="491" t="n"/>
      <c r="J998" s="491" t="n"/>
      <c r="K998" s="491" t="n"/>
      <c r="L998" s="491" t="n"/>
      <c r="M998" s="491" t="n"/>
      <c r="N998" s="491" t="n"/>
      <c r="O998" s="491" t="n"/>
      <c r="P998" s="491" t="n"/>
      <c r="Q998" s="491" t="n"/>
      <c r="R998" s="491" t="n"/>
      <c r="S998" s="491" t="n"/>
      <c r="T998" s="491" t="n"/>
      <c r="U998" s="491" t="n"/>
      <c r="V998" s="491" t="n"/>
      <c r="W998" s="491" t="n"/>
      <c r="X998" s="491" t="n"/>
      <c r="Y998" s="491" t="n"/>
    </row>
    <row r="999" ht="12.75" customHeight="1" s="398">
      <c r="A999" s="491" t="n"/>
      <c r="B999" s="491" t="n"/>
      <c r="C999" s="491" t="n"/>
      <c r="D999" s="491" t="n"/>
      <c r="E999" s="491" t="n"/>
      <c r="F999" s="491" t="n"/>
      <c r="G999" s="491" t="n"/>
      <c r="H999" s="491" t="n"/>
      <c r="I999" s="491" t="n"/>
      <c r="J999" s="491" t="n"/>
      <c r="K999" s="491" t="n"/>
      <c r="L999" s="491" t="n"/>
      <c r="M999" s="491" t="n"/>
      <c r="N999" s="491" t="n"/>
      <c r="O999" s="491" t="n"/>
      <c r="P999" s="491" t="n"/>
      <c r="Q999" s="491" t="n"/>
      <c r="R999" s="491" t="n"/>
      <c r="S999" s="491" t="n"/>
      <c r="T999" s="491" t="n"/>
      <c r="U999" s="491" t="n"/>
      <c r="V999" s="491" t="n"/>
      <c r="W999" s="491" t="n"/>
      <c r="X999" s="491" t="n"/>
      <c r="Y999" s="491" t="n"/>
    </row>
    <row r="1000" ht="12.75" customHeight="1" s="398">
      <c r="A1000" s="491" t="n"/>
      <c r="B1000" s="491" t="n"/>
      <c r="C1000" s="491" t="n"/>
      <c r="D1000" s="491" t="n"/>
      <c r="E1000" s="491" t="n"/>
      <c r="F1000" s="491" t="n"/>
      <c r="G1000" s="491" t="n"/>
      <c r="H1000" s="491" t="n"/>
      <c r="I1000" s="491" t="n"/>
      <c r="J1000" s="491" t="n"/>
      <c r="K1000" s="491" t="n"/>
      <c r="L1000" s="491" t="n"/>
      <c r="M1000" s="491" t="n"/>
      <c r="N1000" s="491" t="n"/>
      <c r="O1000" s="491" t="n"/>
      <c r="P1000" s="491" t="n"/>
      <c r="Q1000" s="491" t="n"/>
      <c r="R1000" s="491" t="n"/>
      <c r="S1000" s="491" t="n"/>
      <c r="T1000" s="491" t="n"/>
      <c r="U1000" s="491" t="n"/>
      <c r="V1000" s="491" t="n"/>
      <c r="W1000" s="491" t="n"/>
      <c r="X1000" s="491" t="n"/>
      <c r="Y1000" s="491" t="n"/>
    </row>
    <row r="1001" ht="12.75" customHeight="1" s="398">
      <c r="A1001" s="491" t="n"/>
      <c r="B1001" s="491" t="n"/>
      <c r="C1001" s="491" t="n"/>
      <c r="D1001" s="491" t="n"/>
      <c r="E1001" s="491" t="n"/>
      <c r="F1001" s="491" t="n"/>
      <c r="G1001" s="491" t="n"/>
      <c r="H1001" s="491" t="n"/>
      <c r="I1001" s="491" t="n"/>
      <c r="J1001" s="491" t="n"/>
      <c r="K1001" s="491" t="n"/>
      <c r="L1001" s="491" t="n"/>
      <c r="M1001" s="491" t="n"/>
      <c r="N1001" s="491" t="n"/>
      <c r="O1001" s="491" t="n"/>
      <c r="P1001" s="491" t="n"/>
      <c r="Q1001" s="491" t="n"/>
      <c r="R1001" s="491" t="n"/>
      <c r="S1001" s="491" t="n"/>
      <c r="T1001" s="491" t="n"/>
      <c r="U1001" s="491" t="n"/>
      <c r="V1001" s="491" t="n"/>
      <c r="W1001" s="491" t="n"/>
      <c r="X1001" s="491" t="n"/>
      <c r="Y1001" s="491" t="n"/>
    </row>
    <row r="1002" ht="12.75" customHeight="1" s="398">
      <c r="A1002" s="491" t="n"/>
      <c r="B1002" s="491" t="n"/>
      <c r="C1002" s="491" t="n"/>
      <c r="D1002" s="491" t="n"/>
      <c r="E1002" s="491" t="n"/>
      <c r="F1002" s="491" t="n"/>
      <c r="G1002" s="491" t="n"/>
      <c r="H1002" s="491" t="n"/>
      <c r="I1002" s="491" t="n"/>
      <c r="J1002" s="491" t="n"/>
      <c r="K1002" s="491" t="n"/>
      <c r="L1002" s="491" t="n"/>
      <c r="M1002" s="491" t="n"/>
      <c r="N1002" s="491" t="n"/>
      <c r="O1002" s="491" t="n"/>
      <c r="P1002" s="491" t="n"/>
      <c r="Q1002" s="491" t="n"/>
      <c r="R1002" s="491" t="n"/>
      <c r="S1002" s="491" t="n"/>
      <c r="T1002" s="491" t="n"/>
      <c r="U1002" s="491" t="n"/>
      <c r="V1002" s="491" t="n"/>
      <c r="W1002" s="491" t="n"/>
      <c r="X1002" s="491" t="n"/>
      <c r="Y1002" s="491" t="n"/>
    </row>
  </sheetData>
  <mergeCells count="3">
    <mergeCell ref="C3:N3"/>
    <mergeCell ref="C2:O2"/>
    <mergeCell ref="F41:R67"/>
  </mergeCells>
  <conditionalFormatting sqref="C7:O10 C13:O16 C19:O22 C25:O26 C29:O30 C33:O34">
    <cfRule type="cellIs" priority="1" operator="between" dxfId="1">
      <formula>0</formula>
      <formula>-10000000000000000000</formula>
    </cfRule>
    <cfRule type="cellIs" priority="2" operator="between" dxfId="0">
      <formula>0</formula>
      <formula>1E+23</formula>
    </cfRule>
  </conditionalFormatting>
  <printOptions horizontalCentered="1" gridLines="1"/>
  <pageMargins left="0.25" right="0.25" top="0.75" bottom="0.75" header="0" footer="0"/>
  <pageSetup orientation="landscape" paperSize="9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Z992"/>
  <sheetViews>
    <sheetView tabSelected="1" zoomScale="85" zoomScaleNormal="85" workbookViewId="0">
      <pane xSplit="3" ySplit="2" topLeftCell="K39" activePane="bottomRight" state="frozen"/>
      <selection pane="topRight" activeCell="D1" sqref="D1"/>
      <selection pane="bottomLeft" activeCell="A3" sqref="A3"/>
      <selection pane="bottomRight" activeCell="F4" sqref="F4:F10"/>
    </sheetView>
  </sheetViews>
  <sheetFormatPr baseColWidth="8" defaultColWidth="12.7109375" defaultRowHeight="15" customHeight="1"/>
  <cols>
    <col width="18.85546875" customWidth="1" style="386" min="1" max="1"/>
    <col width="67" customWidth="1" style="386" min="2" max="2"/>
    <col width="17.5703125" customWidth="1" style="386" min="3" max="4"/>
    <col width="17.5703125" customWidth="1" style="402" min="5" max="5"/>
    <col width="17.5703125" customWidth="1" style="403" min="6" max="6"/>
    <col width="17.5703125" customWidth="1" style="386" min="7" max="25"/>
    <col width="12.7109375" customWidth="1" style="386" min="26" max="16384"/>
  </cols>
  <sheetData>
    <row r="1" ht="24" customHeight="1" s="398">
      <c r="A1" s="388" t="n"/>
      <c r="B1" s="388" t="n"/>
      <c r="C1" s="388" t="inlineStr">
        <is>
          <t>APROVADO</t>
        </is>
      </c>
      <c r="D1" s="388" t="n"/>
      <c r="E1" s="341" t="n"/>
      <c r="F1" s="388" t="n"/>
      <c r="G1" s="388" t="n"/>
      <c r="H1" s="388" t="n"/>
      <c r="I1" s="388" t="n"/>
      <c r="J1" s="388" t="n"/>
      <c r="K1" s="388" t="n"/>
      <c r="L1" s="388" t="n"/>
      <c r="M1" s="388" t="n"/>
      <c r="N1" s="388" t="n"/>
      <c r="O1" s="388" t="n"/>
      <c r="P1" s="388" t="n"/>
      <c r="Q1" s="283" t="n"/>
      <c r="R1" s="284" t="n"/>
      <c r="S1" s="284" t="n"/>
      <c r="T1" s="285" t="n"/>
      <c r="U1" s="285" t="n"/>
      <c r="V1" s="285" t="n"/>
      <c r="W1" s="285" t="n"/>
      <c r="X1" s="285" t="n"/>
      <c r="Y1" s="285" t="n"/>
      <c r="Z1" s="285" t="n"/>
    </row>
    <row r="2" ht="24" customHeight="1" s="398">
      <c r="A2" s="388" t="inlineStr">
        <is>
          <t>EMPRESA</t>
        </is>
      </c>
      <c r="B2" s="388" t="inlineStr">
        <is>
          <t>PREVISÃO ORÇAMENTÁRIA - DIAMOND TOWER</t>
        </is>
      </c>
      <c r="C2" s="388" t="inlineStr">
        <is>
          <t>2024</t>
        </is>
      </c>
      <c r="D2" s="388" t="inlineStr">
        <is>
          <t>MARÇO</t>
        </is>
      </c>
      <c r="E2" s="287" t="inlineStr">
        <is>
          <t>ABRIL</t>
        </is>
      </c>
      <c r="F2" s="287" t="inlineStr">
        <is>
          <t>MAIO</t>
        </is>
      </c>
      <c r="G2" s="388" t="inlineStr">
        <is>
          <t>JUNHO</t>
        </is>
      </c>
      <c r="H2" s="388" t="inlineStr">
        <is>
          <t>JULHO</t>
        </is>
      </c>
      <c r="I2" s="388" t="inlineStr">
        <is>
          <t>AGOSTO</t>
        </is>
      </c>
      <c r="J2" s="388" t="inlineStr">
        <is>
          <t>SETEMBRO</t>
        </is>
      </c>
      <c r="K2" s="388" t="inlineStr">
        <is>
          <t>OUTUBRO</t>
        </is>
      </c>
      <c r="L2" s="388" t="inlineStr">
        <is>
          <t>NOVEMBRO</t>
        </is>
      </c>
      <c r="M2" s="388" t="inlineStr">
        <is>
          <t>DEZEMBRO</t>
        </is>
      </c>
      <c r="N2" s="388" t="inlineStr">
        <is>
          <t>JANEIRO</t>
        </is>
      </c>
      <c r="O2" s="388" t="inlineStr">
        <is>
          <t>FEVEREIRO</t>
        </is>
      </c>
      <c r="P2" s="388" t="inlineStr">
        <is>
          <t>MARÇO</t>
        </is>
      </c>
      <c r="Q2" s="288" t="n"/>
      <c r="R2" s="289" t="inlineStr">
        <is>
          <t>PREVISTO</t>
        </is>
      </c>
      <c r="S2" s="289" t="inlineStr">
        <is>
          <t>REALIZADO</t>
        </is>
      </c>
      <c r="T2" s="285" t="n"/>
      <c r="U2" s="285" t="n"/>
      <c r="V2" s="285" t="n"/>
      <c r="W2" s="285" t="n"/>
      <c r="X2" s="285" t="n"/>
      <c r="Y2" s="285" t="n"/>
      <c r="Z2" s="285" t="n"/>
    </row>
    <row r="3" ht="24" customHeight="1" s="398">
      <c r="A3" s="388" t="n"/>
      <c r="B3" s="290" t="inlineStr">
        <is>
          <t>CONTRATOS MÃO DE OBRA</t>
        </is>
      </c>
      <c r="C3" s="291">
        <f>SUM(C4:C16)</f>
        <v/>
      </c>
      <c r="D3" s="291">
        <f>SUM(D4:D16)</f>
        <v/>
      </c>
      <c r="E3" s="342">
        <f>SUM(E4:E16)</f>
        <v/>
      </c>
      <c r="F3" s="292">
        <f>SUM(F4:F16)</f>
        <v/>
      </c>
      <c r="G3" s="291">
        <f>SUM(G4:G16)</f>
        <v/>
      </c>
      <c r="H3" s="291">
        <f>SUM(H4:H16)</f>
        <v/>
      </c>
      <c r="I3" s="291">
        <f>SUM(I4:I16)</f>
        <v/>
      </c>
      <c r="J3" s="291">
        <f>SUM(J4:J16)</f>
        <v/>
      </c>
      <c r="K3" s="291">
        <f>SUM(K4:K16)</f>
        <v/>
      </c>
      <c r="L3" s="291">
        <f>SUM(L4:L16)</f>
        <v/>
      </c>
      <c r="M3" s="291">
        <f>SUM(M4:M16)</f>
        <v/>
      </c>
      <c r="N3" s="291">
        <f>SUM(N4:N16)</f>
        <v/>
      </c>
      <c r="O3" s="291">
        <f>SUM(O4:O16)</f>
        <v/>
      </c>
      <c r="P3" s="291">
        <f>SUM(P4:P16)</f>
        <v/>
      </c>
      <c r="Q3" s="288" t="n"/>
      <c r="R3" s="293">
        <f>SUM(R4:R16)</f>
        <v/>
      </c>
      <c r="S3" s="293">
        <f>SUM(S4:S16)</f>
        <v/>
      </c>
      <c r="T3" s="285" t="n"/>
      <c r="U3" s="285" t="n"/>
      <c r="V3" s="285" t="n"/>
      <c r="W3" s="285" t="n"/>
      <c r="X3" s="285" t="n"/>
      <c r="Y3" s="285" t="n"/>
      <c r="Z3" s="285" t="n"/>
    </row>
    <row r="4" ht="18.75" customHeight="1" s="398">
      <c r="A4" s="462" t="inlineStr">
        <is>
          <t>ONX SERVIÇOS</t>
        </is>
      </c>
      <c r="B4" s="389" t="inlineStr">
        <is>
          <t>Monitoramento - 01 Posto 24h - Central de Segurança - ONX</t>
        </is>
      </c>
      <c r="C4" s="465" t="n">
        <v>103500</v>
      </c>
      <c r="D4" s="465">
        <f>97531.32+5736.92+11470.24</f>
        <v/>
      </c>
      <c r="E4" s="406">
        <f>87596+5143.71+10134.47</f>
        <v/>
      </c>
      <c r="F4" s="499">
        <f>87458.17+5143.71+840</f>
        <v/>
      </c>
      <c r="G4" s="465">
        <f>87596+50+5143.71+10244.47+10535.68</f>
        <v/>
      </c>
      <c r="H4" s="465">
        <f>87475.58+5143.71+10254.89+2707.48</f>
        <v/>
      </c>
      <c r="I4" s="465">
        <f>87467.52+5143.71+10262.96+109.41+8.75+65.64+13.12</f>
        <v/>
      </c>
      <c r="J4" s="465">
        <f>87547.97+5143.71+10182.51+92.29+7.38+55.37+11.07+69.78</f>
        <v/>
      </c>
      <c r="K4" s="465">
        <f>87537.81+5143.71+10192.67</f>
        <v/>
      </c>
      <c r="L4" s="465">
        <f>87537.83+165+5141.97+102.66+8.21+61.59+12.31+241.31+198.24+363</f>
        <v/>
      </c>
      <c r="M4" s="465">
        <f>87606.22+5143.71+20283.86</f>
        <v/>
      </c>
      <c r="N4" s="465">
        <f>87442.51+5143.71+5636.32</f>
        <v/>
      </c>
      <c r="O4" s="500">
        <f>94278.05+5556.03+1042.23+11286.57</f>
        <v/>
      </c>
      <c r="P4" s="465" t="n"/>
      <c r="Q4" s="288" t="n"/>
      <c r="R4" s="468">
        <f>C4*11</f>
        <v/>
      </c>
      <c r="S4" s="468">
        <f>SUM(F4:P10)</f>
        <v/>
      </c>
      <c r="T4" s="285" t="n"/>
      <c r="U4" s="285" t="n"/>
      <c r="V4" s="285" t="n"/>
      <c r="W4" s="285" t="n"/>
      <c r="X4" s="285" t="n"/>
      <c r="Y4" s="285" t="n"/>
      <c r="Z4" s="285" t="n"/>
    </row>
    <row r="5" ht="18.75" customHeight="1" s="398">
      <c r="B5" s="389" t="inlineStr">
        <is>
          <t>Ronda Vigilante - 01 Posto 24h - ONX</t>
        </is>
      </c>
      <c r="Q5" s="288" t="n"/>
      <c r="T5" s="285" t="n"/>
      <c r="U5" s="285" t="n"/>
      <c r="V5" s="285" t="n"/>
      <c r="W5" s="285" t="n"/>
      <c r="X5" s="285" t="n"/>
      <c r="Y5" s="285" t="n"/>
      <c r="Z5" s="285" t="n"/>
    </row>
    <row r="6" ht="18.75" customHeight="1" s="398">
      <c r="B6" s="389" t="inlineStr">
        <is>
          <t>Porteiro 02 postos 8h - (Seg à Dom - das 7h as 22h)  - ONX</t>
        </is>
      </c>
      <c r="Q6" s="288" t="n"/>
      <c r="T6" s="285" t="n"/>
      <c r="U6" s="285" t="n"/>
      <c r="V6" s="285" t="n"/>
      <c r="W6" s="285" t="n"/>
      <c r="X6" s="285" t="n"/>
      <c r="Y6" s="285" t="n"/>
      <c r="Z6" s="285" t="n"/>
    </row>
    <row r="7" ht="18.75" customHeight="1" s="398">
      <c r="B7" s="389" t="inlineStr">
        <is>
          <t>Expedição 01 posto 8h - (Seg à Sáb - das 08h às 16h20)  - ONX</t>
        </is>
      </c>
      <c r="Q7" s="288" t="n"/>
      <c r="T7" s="285" t="n"/>
      <c r="U7" s="285" t="n"/>
      <c r="V7" s="285" t="n"/>
      <c r="W7" s="285" t="n"/>
      <c r="X7" s="285" t="n"/>
      <c r="Y7" s="285" t="n"/>
      <c r="Z7" s="285" t="n"/>
    </row>
    <row r="8" ht="18.75" customHeight="1" s="398">
      <c r="B8" s="389" t="inlineStr">
        <is>
          <t>Recepção - 04 postos 8h  (das 7h as 22h)  - ONX</t>
        </is>
      </c>
      <c r="Q8" s="288" t="n"/>
      <c r="T8" s="285" t="n"/>
      <c r="U8" s="285" t="n"/>
      <c r="V8" s="285" t="n"/>
      <c r="W8" s="285" t="n"/>
      <c r="X8" s="285" t="n"/>
      <c r="Y8" s="285" t="n"/>
      <c r="Z8" s="285" t="n"/>
    </row>
    <row r="9" ht="18.75" customHeight="1" s="398">
      <c r="B9" s="389" t="inlineStr">
        <is>
          <t>Limpeza - 03 Postos 44h semanais  - ONX</t>
        </is>
      </c>
      <c r="Q9" s="288" t="n"/>
      <c r="T9" s="285" t="n"/>
      <c r="U9" s="285" t="n"/>
      <c r="V9" s="285" t="n"/>
      <c r="W9" s="285" t="n"/>
      <c r="X9" s="285" t="n"/>
      <c r="Y9" s="285" t="n"/>
      <c r="Z9" s="285" t="n"/>
    </row>
    <row r="10" ht="18.75" customHeight="1" s="398">
      <c r="B10" s="389" t="inlineStr">
        <is>
          <t>Serviços Gerais – 01 posto 44h semanais  - ONX</t>
        </is>
      </c>
      <c r="Q10" s="288" t="n"/>
      <c r="T10" s="285" t="n"/>
      <c r="U10" s="285" t="n"/>
      <c r="V10" s="285" t="n"/>
      <c r="W10" s="285" t="n"/>
      <c r="X10" s="285" t="n"/>
      <c r="Y10" s="285" t="n"/>
      <c r="Z10" s="285" t="n"/>
    </row>
    <row r="11" ht="18.75" customHeight="1" s="398">
      <c r="A11" s="462" t="inlineStr">
        <is>
          <t>CAPPELLETTO</t>
        </is>
      </c>
      <c r="B11" s="389" t="inlineStr">
        <is>
          <t>Gestor Administrativa 44h - Karoline Aguirres</t>
        </is>
      </c>
      <c r="C11" s="465" t="n">
        <v>16960</v>
      </c>
      <c r="D11" s="465">
        <f>16000</f>
        <v/>
      </c>
      <c r="E11" s="501">
        <f>16558.08</f>
        <v/>
      </c>
      <c r="F11" s="465">
        <f>16000+337.92</f>
        <v/>
      </c>
      <c r="G11" s="465">
        <f>16950.8</f>
        <v/>
      </c>
      <c r="H11" s="465">
        <f>16000+345.93</f>
        <v/>
      </c>
      <c r="I11" s="465">
        <f>16000</f>
        <v/>
      </c>
      <c r="J11" s="465">
        <f>16720</f>
        <v/>
      </c>
      <c r="K11" s="465">
        <f>16720</f>
        <v/>
      </c>
      <c r="L11" s="465">
        <f>16419.04+2111.3</f>
        <v/>
      </c>
      <c r="M11" s="465">
        <f>16419.04+300.96+38.7+16419.04</f>
        <v/>
      </c>
      <c r="N11" s="465">
        <f>300.96+300.96</f>
        <v/>
      </c>
      <c r="O11" s="465">
        <f>17356.85</f>
        <v/>
      </c>
      <c r="P11" s="465" t="n"/>
      <c r="Q11" s="288" t="n"/>
      <c r="T11" s="285" t="n"/>
      <c r="U11" s="285" t="n"/>
      <c r="V11" s="285" t="n"/>
      <c r="W11" s="285" t="n"/>
      <c r="X11" s="285" t="n"/>
      <c r="Y11" s="285" t="n"/>
      <c r="Z11" s="285" t="n"/>
    </row>
    <row r="12" ht="18.75" customHeight="1" s="398">
      <c r="B12" s="389" t="inlineStr">
        <is>
          <t>Gestor Condominial - 01 Posto 44h semanais</t>
        </is>
      </c>
      <c r="Q12" s="288" t="n"/>
      <c r="R12" s="299">
        <f>C11*12</f>
        <v/>
      </c>
      <c r="S12" s="299">
        <f>SUM(D11:P12)</f>
        <v/>
      </c>
      <c r="T12" s="285" t="n"/>
      <c r="U12" s="285" t="n"/>
      <c r="V12" s="285" t="n"/>
      <c r="W12" s="285" t="n"/>
      <c r="X12" s="285" t="n"/>
      <c r="Y12" s="285" t="n"/>
      <c r="Z12" s="285" t="n"/>
    </row>
    <row r="13" ht="18.75" customHeight="1" s="398">
      <c r="A13" s="392" t="inlineStr">
        <is>
          <t>GUARIDA</t>
        </is>
      </c>
      <c r="B13" s="389" t="inlineStr">
        <is>
          <t>Auxiliar Administração</t>
        </is>
      </c>
      <c r="C13" s="393" t="n">
        <v>2835</v>
      </c>
      <c r="D13" s="393">
        <f>24.9+55.8+1139.05+256.82+1430.79</f>
        <v/>
      </c>
      <c r="E13" s="345">
        <f>58.6+1139.05+78+256.82+37.35+1430.79</f>
        <v/>
      </c>
      <c r="F13" s="405">
        <f>58.6+1139.05+256.82+22.41+1430.79</f>
        <v/>
      </c>
      <c r="G13" s="393">
        <f>61.38+1139.05+174+256.82+24.9+1430.79+543.4</f>
        <v/>
      </c>
      <c r="H13" s="393">
        <f>61.38+1139.05+256.82+1430.79+1.16+47.31</f>
        <v/>
      </c>
      <c r="I13" s="393">
        <f>1139.05+31.38+1.16+42.33+256.82+1430.79</f>
        <v/>
      </c>
      <c r="J13" s="393">
        <f>61.38+39.6+1139.05+0.01+256.82+1430.79</f>
        <v/>
      </c>
      <c r="K13" s="393">
        <f>61.38+1139.05+256.82+1430.79+1.16+24.9</f>
        <v/>
      </c>
      <c r="L13" s="393">
        <f>61.38+1.16+108.9+1139.05+269.05+1498.9</f>
        <v/>
      </c>
      <c r="M13" s="393">
        <f>1139.05+1.16+61.38+185+269.05+47.31+1498.9+259.9+259.9</f>
        <v/>
      </c>
      <c r="N13" s="393">
        <f>1139.05+61.38+1.16+94.05+269.05+1498.9</f>
        <v/>
      </c>
      <c r="O13" s="393" t="n"/>
      <c r="P13" s="393" t="n"/>
      <c r="Q13" s="288" t="n"/>
      <c r="R13" s="299">
        <f>C13*12</f>
        <v/>
      </c>
      <c r="S13" s="299">
        <f>SUM(D13:P13)</f>
        <v/>
      </c>
      <c r="T13" s="285" t="n"/>
      <c r="U13" s="285" t="n"/>
      <c r="V13" s="285" t="n"/>
      <c r="W13" s="285" t="n"/>
      <c r="X13" s="285" t="n"/>
      <c r="Y13" s="285" t="n"/>
      <c r="Z13" s="285" t="n"/>
    </row>
    <row r="14" ht="18.75" customHeight="1" s="398">
      <c r="A14" s="392" t="inlineStr">
        <is>
          <t>ORGÂNICO</t>
        </is>
      </c>
      <c r="B14" s="389" t="inlineStr">
        <is>
          <t xml:space="preserve">Oficial Manutenção - 01 Posto 44h  semanais </t>
        </is>
      </c>
      <c r="C14" s="393" t="n">
        <v>5250</v>
      </c>
      <c r="D14" s="393">
        <f>3224+291.09+46.65+335.45+727.73+1369.35+90.96+7.27+54.58+10.91+36.38+150.76+36.38+168.8+433.43+601</f>
        <v/>
      </c>
      <c r="E14" s="345">
        <f>3316+46.65+301.26+79.64+347.79+748.28+1369.35+93.53+7.48+56.12+11.22+37.41+198.26+37.41+168.8+413.86+601</f>
        <v/>
      </c>
      <c r="F14" s="405">
        <f>3381+2.48+121.69+46.65+3915.96+601+168.8+308.4+98.7+771+96.37+7.71+57.82+11.56+38.55+116.46+38.55+3215</f>
        <v/>
      </c>
      <c r="G14" s="393">
        <f>45.65+290.07+168.8+452.99+601+112.09+753.14+1369.35+90.64+7.25+54.38+10.87+36.25+27.82+36.25</f>
        <v/>
      </c>
      <c r="H14" s="393">
        <f>3537+46.65+325.62+77.72+814.06+1369.35+101.75+40.7+40.7+168.8+601</f>
        <v/>
      </c>
      <c r="I14" s="393">
        <f>3669+48.38+81+350.12+144.38+431.53+875.31+239.68+433.43+201.388+394.3+193.87+600</f>
        <v/>
      </c>
      <c r="J14" s="393">
        <f>3262+48.38+295.33+194.87+341.81+738.33+36.91+36.91+175.32+452.99+600</f>
        <v/>
      </c>
      <c r="K14" s="393">
        <f>3882+48.38+366.63+460.42+916.59+45.82+87.59+45.82+78+384+175.32+600</f>
        <v/>
      </c>
      <c r="L14" s="393">
        <f>3563+102.9+126.72+120+328.53+393.74+821.33+41.06+41.06+2072.63+175.32+403.2+600+48.38+316.8+300+259.9</f>
        <v/>
      </c>
      <c r="M14" s="393">
        <f>321.19+1195+3088+235.14+82.24+302.81+102.9+48.38+48.38+681+1508.26+46.71+542.3+1492.12+371.19+941.24+47.06+47.06+120+67.2+175.32+76.8+5203.24+300+211.2</f>
        <v/>
      </c>
      <c r="N14" s="393">
        <f>3046+681+48.38+48.38+585.65+423.52+1052.35+52.61+304.55+52.61+175.32+192+384+900+200+1212+874+778</f>
        <v/>
      </c>
      <c r="O14" s="393">
        <f>681+48.38+48.38+554.87+201.6+649.48+1387.2+69.36+173.4+13.87+104.04+20.8+43.31+195.61+69.36+175.32+403.2</f>
        <v/>
      </c>
      <c r="P14" s="393" t="n"/>
      <c r="Q14" s="288" t="n"/>
      <c r="R14" s="299">
        <f>C14*11</f>
        <v/>
      </c>
      <c r="S14" s="299">
        <f>SUM(D14:P14)</f>
        <v/>
      </c>
      <c r="T14" s="285" t="n"/>
      <c r="U14" s="285" t="n"/>
      <c r="V14" s="285" t="n"/>
      <c r="W14" s="285" t="n"/>
      <c r="X14" s="285" t="n"/>
      <c r="Y14" s="285" t="n"/>
      <c r="Z14" s="285" t="n"/>
    </row>
    <row r="15" ht="18.75" customHeight="1" s="398">
      <c r="A15" s="300" t="inlineStr">
        <is>
          <t>ORGÂNICO</t>
        </is>
      </c>
      <c r="B15" s="301" t="inlineStr">
        <is>
          <t>Remuneração Subsíndico</t>
        </is>
      </c>
      <c r="C15" s="393" t="n">
        <v>7500</v>
      </c>
      <c r="D15" s="393">
        <f>6093.62+753.14</f>
        <v/>
      </c>
      <c r="E15" s="345">
        <f>6093.62+753.14</f>
        <v/>
      </c>
      <c r="F15" s="405">
        <f>6093.62+361.41+753.14</f>
        <v/>
      </c>
      <c r="G15" s="393">
        <f>6093.62+333.92+725.18</f>
        <v/>
      </c>
      <c r="H15" s="393">
        <f>6093.62+388.65+753.14</f>
        <v/>
      </c>
      <c r="I15" s="393">
        <f>6093.62+753.14+1369.35</f>
        <v/>
      </c>
      <c r="J15" s="393">
        <f>6093.62+753.14+1369.35</f>
        <v/>
      </c>
      <c r="K15" s="393">
        <f>6093.62+753.14+1369.35</f>
        <v/>
      </c>
      <c r="L15" s="393">
        <f>6093.62+753.14+1369.75</f>
        <v/>
      </c>
      <c r="M15" s="393">
        <f>6093.62+753.14+1369.35</f>
        <v/>
      </c>
      <c r="N15" s="393">
        <f>6093.62+790.56+1437.4+359.44</f>
        <v/>
      </c>
      <c r="O15" s="393">
        <f>7206.2+753.14+1369.35</f>
        <v/>
      </c>
      <c r="P15" s="393" t="n"/>
      <c r="Q15" s="288" t="n"/>
      <c r="R15" s="299">
        <f>C15*12</f>
        <v/>
      </c>
      <c r="S15" s="299">
        <f>SUM(D15:P15)</f>
        <v/>
      </c>
      <c r="T15" s="285" t="n"/>
      <c r="U15" s="285" t="n"/>
      <c r="V15" s="285" t="n"/>
      <c r="W15" s="285" t="n"/>
      <c r="X15" s="285" t="n"/>
      <c r="Y15" s="285" t="n"/>
      <c r="Z15" s="285" t="n"/>
    </row>
    <row r="16" ht="18.75" customHeight="1" s="398">
      <c r="A16" s="392" t="inlineStr">
        <is>
          <t>AUDI PASTAS</t>
        </is>
      </c>
      <c r="B16" s="389" t="inlineStr">
        <is>
          <t xml:space="preserve">Auditoria Externa </t>
        </is>
      </c>
      <c r="C16" s="393" t="n">
        <v>1330</v>
      </c>
      <c r="D16" s="393">
        <f>26.6+1303.4</f>
        <v/>
      </c>
      <c r="E16" s="345">
        <f>26.6+1303.4</f>
        <v/>
      </c>
      <c r="F16" s="405">
        <f>26.6+1303.4</f>
        <v/>
      </c>
      <c r="G16" s="393">
        <f>26.6+1303.4</f>
        <v/>
      </c>
      <c r="H16" s="393">
        <f>26.6+1303.4</f>
        <v/>
      </c>
      <c r="I16" s="393">
        <f>26.6+1303.4</f>
        <v/>
      </c>
      <c r="J16" s="393">
        <f>26.6+1303.4</f>
        <v/>
      </c>
      <c r="K16" s="393">
        <f>26.6+1303.4</f>
        <v/>
      </c>
      <c r="L16" s="393">
        <f>26.6+1303.4</f>
        <v/>
      </c>
      <c r="M16" s="393">
        <f>26.6+1303.4</f>
        <v/>
      </c>
      <c r="N16" s="393">
        <f>26.6+1303.4</f>
        <v/>
      </c>
      <c r="O16" s="393">
        <f>26.6</f>
        <v/>
      </c>
      <c r="P16" s="393" t="n"/>
      <c r="Q16" s="288" t="n"/>
      <c r="R16" s="299">
        <f>C16*12</f>
        <v/>
      </c>
      <c r="S16" s="299">
        <f>SUM(D16:P16)</f>
        <v/>
      </c>
      <c r="T16" s="285" t="n"/>
      <c r="U16" s="285" t="n"/>
      <c r="V16" s="285" t="n"/>
      <c r="W16" s="285" t="n"/>
      <c r="X16" s="285" t="n"/>
      <c r="Y16" s="285" t="n"/>
      <c r="Z16" s="285" t="n"/>
    </row>
    <row r="17" ht="14.25" customHeight="1" s="398">
      <c r="A17" s="302" t="n"/>
      <c r="B17" s="302" t="n"/>
      <c r="C17" s="393" t="n"/>
      <c r="D17" s="393" t="n"/>
      <c r="E17" s="345" t="n"/>
      <c r="F17" s="405" t="n"/>
      <c r="G17" s="393" t="n"/>
      <c r="H17" s="393" t="n"/>
      <c r="I17" s="393" t="n"/>
      <c r="J17" s="393" t="n"/>
      <c r="K17" s="393" t="n"/>
      <c r="L17" s="393" t="n"/>
      <c r="M17" s="393" t="n"/>
      <c r="N17" s="393" t="n"/>
      <c r="O17" s="393" t="n"/>
      <c r="P17" s="393" t="n"/>
      <c r="Q17" s="288" t="n"/>
      <c r="R17" s="299" t="n"/>
      <c r="S17" s="284" t="n"/>
      <c r="T17" s="285" t="n"/>
      <c r="U17" s="285" t="n"/>
      <c r="V17" s="285" t="n"/>
      <c r="W17" s="285" t="n"/>
      <c r="X17" s="285" t="n"/>
      <c r="Y17" s="285" t="n"/>
      <c r="Z17" s="285" t="n"/>
    </row>
    <row r="18" ht="24" customHeight="1" s="398">
      <c r="A18" s="290" t="n"/>
      <c r="B18" s="290" t="inlineStr">
        <is>
          <t xml:space="preserve">MANUTENÇÕES/LOCAÇÕES - CONTRATOS </t>
        </is>
      </c>
      <c r="C18" s="291">
        <f>SUM(C19:C24)</f>
        <v/>
      </c>
      <c r="D18" s="291">
        <f>SUM(D19:D23)</f>
        <v/>
      </c>
      <c r="E18" s="342">
        <f>SUM(E19:E23)</f>
        <v/>
      </c>
      <c r="F18" s="292">
        <f>SUM(F19:F23)</f>
        <v/>
      </c>
      <c r="G18" s="291">
        <f>SUM(G19:G23)</f>
        <v/>
      </c>
      <c r="H18" s="291">
        <f>SUM(H19:H23)</f>
        <v/>
      </c>
      <c r="I18" s="291">
        <f>SUM(I19:I23)</f>
        <v/>
      </c>
      <c r="J18" s="291">
        <f>SUM(J19:J23)</f>
        <v/>
      </c>
      <c r="K18" s="291">
        <f>SUM(K19:K23)</f>
        <v/>
      </c>
      <c r="L18" s="291">
        <f>SUM(L19:L23)</f>
        <v/>
      </c>
      <c r="M18" s="291">
        <f>SUM(M19:M23)</f>
        <v/>
      </c>
      <c r="N18" s="291">
        <f>SUM(N19:N23)</f>
        <v/>
      </c>
      <c r="O18" s="291">
        <f>SUM(O19:O23)</f>
        <v/>
      </c>
      <c r="P18" s="291">
        <f>SUM(P19:P23)</f>
        <v/>
      </c>
      <c r="Q18" s="288" t="n"/>
      <c r="R18" s="303">
        <f>SUM(R19:R24)</f>
        <v/>
      </c>
      <c r="S18" s="303">
        <f>SUM(S19:S24)</f>
        <v/>
      </c>
      <c r="T18" s="285" t="n"/>
      <c r="U18" s="285" t="n"/>
      <c r="V18" s="285" t="n"/>
      <c r="W18" s="285" t="n"/>
      <c r="X18" s="285" t="n"/>
      <c r="Y18" s="285" t="n"/>
      <c r="Z18" s="285" t="n"/>
    </row>
    <row r="19" ht="18.75" customHeight="1" s="398">
      <c r="A19" s="392" t="inlineStr">
        <is>
          <t>FG PISCINAS</t>
        </is>
      </c>
      <c r="B19" s="389" t="inlineStr">
        <is>
          <t xml:space="preserve">Limpeza Espelho D'água, Química e AFT com Material </t>
        </is>
      </c>
      <c r="C19" s="393" t="n">
        <v>850</v>
      </c>
      <c r="D19" s="393">
        <f>9+19.8+771.85</f>
        <v/>
      </c>
      <c r="E19" s="345">
        <f>8.35+19.8+771.85</f>
        <v/>
      </c>
      <c r="F19" s="405">
        <f>8.35+771.85+19.8+8.51</f>
        <v/>
      </c>
      <c r="G19" s="393">
        <f>774.77</f>
        <v/>
      </c>
      <c r="H19" s="393">
        <f>7.63+17.6</f>
        <v/>
      </c>
      <c r="I19" s="393">
        <f>774.91+774.92</f>
        <v/>
      </c>
      <c r="J19" s="393">
        <f>20.18+17.6+774.89+7.62</f>
        <v/>
      </c>
      <c r="K19" s="393">
        <f>7.51+17.6+782.4</f>
        <v/>
      </c>
      <c r="L19" s="393">
        <f>17.6+898.81</f>
        <v/>
      </c>
      <c r="M19" s="393">
        <f>6.34+14.85+898.82</f>
        <v/>
      </c>
      <c r="N19" s="393">
        <f>6.33+27.22+78.65+898.97</f>
        <v/>
      </c>
      <c r="O19" s="393">
        <f>14.85</f>
        <v/>
      </c>
      <c r="P19" s="393" t="n"/>
      <c r="Q19" s="288" t="n"/>
      <c r="R19" s="299">
        <f>C19*12</f>
        <v/>
      </c>
      <c r="S19" s="299">
        <f>SUM(D19:P19)</f>
        <v/>
      </c>
      <c r="T19" s="285" t="n"/>
      <c r="U19" s="285" t="n"/>
      <c r="V19" s="285" t="n"/>
      <c r="W19" s="285" t="n"/>
      <c r="X19" s="285" t="n"/>
      <c r="Y19" s="285" t="n"/>
      <c r="Z19" s="285" t="n"/>
    </row>
    <row r="20" ht="18.75" customHeight="1" s="398">
      <c r="A20" s="392" t="inlineStr">
        <is>
          <t>BDS AR</t>
        </is>
      </c>
      <c r="B20" s="389" t="inlineStr">
        <is>
          <t>Manutenção ar condicionado / exaustão áreas comuns</t>
        </is>
      </c>
      <c r="C20" s="393" t="n">
        <v>0</v>
      </c>
      <c r="D20" s="393">
        <f>3309.98+152.7</f>
        <v/>
      </c>
      <c r="E20" s="345">
        <f>3294.05+168.63</f>
        <v/>
      </c>
      <c r="F20" s="405">
        <f>1644.77+86.57+931</f>
        <v/>
      </c>
      <c r="G20" s="393">
        <f>19+2380</f>
        <v/>
      </c>
      <c r="H20" s="393" t="n"/>
      <c r="I20" s="393" t="n"/>
      <c r="J20" s="393" t="n"/>
      <c r="K20" s="393" t="n"/>
      <c r="L20" s="393" t="n"/>
      <c r="M20" s="393" t="n">
        <v>1274</v>
      </c>
      <c r="N20" s="393">
        <f>26</f>
        <v/>
      </c>
      <c r="O20" s="393" t="n"/>
      <c r="P20" s="393" t="n"/>
      <c r="Q20" s="288" t="n"/>
      <c r="R20" s="299">
        <f>C20*12</f>
        <v/>
      </c>
      <c r="S20" s="299">
        <f>SUM(D20:P20)</f>
        <v/>
      </c>
      <c r="T20" s="285" t="n"/>
      <c r="U20" s="285" t="n"/>
      <c r="V20" s="285" t="n"/>
      <c r="W20" s="285" t="n"/>
      <c r="X20" s="285" t="n"/>
      <c r="Y20" s="285" t="n"/>
      <c r="Z20" s="285" t="n"/>
    </row>
    <row r="21" ht="18.75" customHeight="1" s="398">
      <c r="A21" s="385" t="inlineStr">
        <is>
          <t>ATLAS</t>
        </is>
      </c>
      <c r="B21" s="305" t="inlineStr">
        <is>
          <t>Manutenção Preventiva Elevadores (7) - Com Peças - Atlas</t>
        </is>
      </c>
      <c r="C21" s="393" t="n">
        <v>9000</v>
      </c>
      <c r="D21" s="306">
        <f>2.02+461.19+38.47+694.2</f>
        <v/>
      </c>
      <c r="E21" s="346">
        <f>461.19</f>
        <v/>
      </c>
      <c r="F21" s="307" t="n"/>
      <c r="G21" s="306">
        <f>461.19+694.49+694.47+694.47+694.47+8333.7+2777.9+8333.7</f>
        <v/>
      </c>
      <c r="H21" s="306">
        <f>461.19+2777.9</f>
        <v/>
      </c>
      <c r="I21" s="306">
        <f>461.19</f>
        <v/>
      </c>
      <c r="J21" s="306">
        <f>2777.9+461.18+2777.9</f>
        <v/>
      </c>
      <c r="K21" s="306">
        <f>1500+461.18+2777.9</f>
        <v/>
      </c>
      <c r="L21" s="306">
        <f>461.18+2777.9</f>
        <v/>
      </c>
      <c r="M21" s="306">
        <f>461.18+8333.7+8333.55+8333.53+8333.53+8333.53+2777.9+6034</f>
        <v/>
      </c>
      <c r="N21" s="306">
        <f>2777.9+8333.53</f>
        <v/>
      </c>
      <c r="O21" s="306">
        <f>461.18</f>
        <v/>
      </c>
      <c r="P21" s="306" t="n"/>
      <c r="Q21" s="288" t="n"/>
      <c r="R21" s="299">
        <f>C21*12</f>
        <v/>
      </c>
      <c r="S21" s="299">
        <f>SUM(D21:P21)</f>
        <v/>
      </c>
      <c r="T21" s="285" t="n"/>
      <c r="U21" s="285" t="n"/>
      <c r="V21" s="285" t="n"/>
      <c r="W21" s="285" t="n"/>
      <c r="X21" s="285" t="n"/>
      <c r="Y21" s="285" t="n"/>
      <c r="Z21" s="285" t="n"/>
    </row>
    <row r="22" ht="18.75" customHeight="1" s="398">
      <c r="A22" s="385" t="inlineStr">
        <is>
          <t>ALTITUDE</t>
        </is>
      </c>
      <c r="B22" s="305" t="inlineStr">
        <is>
          <t>Limpeza da Fachada</t>
        </is>
      </c>
      <c r="C22" s="393" t="n">
        <v>8350</v>
      </c>
      <c r="D22" s="393">
        <f>240+1509.65+35.15</f>
        <v/>
      </c>
      <c r="E22" s="345" t="n"/>
      <c r="F22" s="405" t="n"/>
      <c r="G22" s="393">
        <f>196</f>
        <v/>
      </c>
      <c r="H22" s="393" t="n"/>
      <c r="I22" s="393" t="n"/>
      <c r="J22" s="393" t="inlineStr">
        <is>
          <t> </t>
        </is>
      </c>
      <c r="K22" s="393" t="n"/>
      <c r="L22" s="393" t="n"/>
      <c r="M22" s="393">
        <f>9000</f>
        <v/>
      </c>
      <c r="N22" s="393">
        <f>9000+9000</f>
        <v/>
      </c>
      <c r="O22" s="393">
        <f>9000</f>
        <v/>
      </c>
      <c r="P22" s="393" t="n"/>
      <c r="Q22" s="288" t="n"/>
      <c r="R22" s="299">
        <f>C22*12</f>
        <v/>
      </c>
      <c r="S22" s="299">
        <f>SUM(D22:P22)</f>
        <v/>
      </c>
      <c r="T22" s="285" t="n"/>
      <c r="U22" s="285" t="n"/>
      <c r="V22" s="285" t="n"/>
      <c r="W22" s="285" t="n"/>
      <c r="X22" s="285" t="n"/>
      <c r="Y22" s="285" t="n"/>
      <c r="Z22" s="285" t="n"/>
    </row>
    <row r="23" ht="18.75" customHeight="1" s="398">
      <c r="A23" s="385" t="inlineStr">
        <is>
          <t>STEMAC</t>
        </is>
      </c>
      <c r="B23" s="305" t="inlineStr">
        <is>
          <t>Manutenção preventiva motor gerador</t>
        </is>
      </c>
      <c r="C23" s="393" t="n">
        <v>1449.41</v>
      </c>
      <c r="D23" s="393">
        <f>1096.19+69.07+151.95+1096.19</f>
        <v/>
      </c>
      <c r="E23" s="345">
        <f>69.07+151.95</f>
        <v/>
      </c>
      <c r="F23" s="405">
        <f>1096.19+69.07+151.96</f>
        <v/>
      </c>
      <c r="G23" s="393">
        <f>1096.19+69.07+151.96</f>
        <v/>
      </c>
      <c r="H23" s="393">
        <f>1096.19+69.07+151.95+1096.19</f>
        <v/>
      </c>
      <c r="I23" s="393">
        <f>69.07+151.96</f>
        <v/>
      </c>
      <c r="J23" s="393">
        <f>1096.19+69.07+151.96</f>
        <v/>
      </c>
      <c r="K23" s="393">
        <f>1096.19+69.07+151.96+1096.19</f>
        <v/>
      </c>
      <c r="L23" s="393">
        <f>69.07+151.96</f>
        <v/>
      </c>
      <c r="M23" s="393">
        <f>1096.19+140.16+69.07</f>
        <v/>
      </c>
      <c r="N23" s="393">
        <f>1096.19+69.07+151.96</f>
        <v/>
      </c>
      <c r="O23" s="393">
        <f>1167.75+73.58+161.88</f>
        <v/>
      </c>
      <c r="P23" s="393" t="n"/>
      <c r="Q23" s="288" t="n"/>
      <c r="R23" s="299">
        <f>C23*12</f>
        <v/>
      </c>
      <c r="S23" s="299">
        <f>SUM(D23:P23)</f>
        <v/>
      </c>
      <c r="T23" s="285" t="n"/>
      <c r="U23" s="285" t="n"/>
      <c r="V23" s="285" t="n"/>
      <c r="W23" s="285" t="n"/>
      <c r="X23" s="285" t="n"/>
      <c r="Y23" s="285" t="n"/>
      <c r="Z23" s="285" t="n"/>
    </row>
    <row r="24" ht="18.75" customHeight="1" s="398">
      <c r="A24" s="385" t="inlineStr">
        <is>
          <t>BELLINI</t>
        </is>
      </c>
      <c r="B24" s="305" t="inlineStr">
        <is>
          <t>Consultoria jurídica</t>
        </is>
      </c>
      <c r="C24" s="393" t="n">
        <v>2824</v>
      </c>
      <c r="D24" s="393">
        <f>2763.28+60.72</f>
        <v/>
      </c>
      <c r="E24" s="345">
        <f>2764.13+59.87</f>
        <v/>
      </c>
      <c r="F24" s="405">
        <f>2758.2</f>
        <v/>
      </c>
      <c r="G24" s="393">
        <f>2756.22+67.78</f>
        <v/>
      </c>
      <c r="H24" s="393" t="n">
        <v>2767.52</v>
      </c>
      <c r="I24" s="393">
        <f>2757.07+66.93</f>
        <v/>
      </c>
      <c r="J24" s="393">
        <f>2753.12+70.88</f>
        <v/>
      </c>
      <c r="K24" s="393">
        <f>2753.12+70.88</f>
        <v/>
      </c>
      <c r="L24" s="393">
        <f>2752.84+71.16</f>
        <v/>
      </c>
      <c r="M24" s="393">
        <f>2752.84+71.16</f>
        <v/>
      </c>
      <c r="N24" s="393">
        <f>2752.55+71.45</f>
        <v/>
      </c>
      <c r="O24" s="393">
        <f>2959.19+76.81</f>
        <v/>
      </c>
      <c r="P24" s="393" t="n"/>
      <c r="Q24" s="288" t="n"/>
      <c r="R24" s="299">
        <f>C24*12</f>
        <v/>
      </c>
      <c r="S24" s="299">
        <f>SUM(D24:P24)</f>
        <v/>
      </c>
      <c r="T24" s="285" t="n"/>
      <c r="U24" s="285" t="n"/>
      <c r="V24" s="285" t="n"/>
      <c r="W24" s="285" t="n"/>
      <c r="X24" s="285" t="n"/>
      <c r="Y24" s="285" t="n"/>
      <c r="Z24" s="285" t="n"/>
    </row>
    <row r="25" ht="15.75" customHeight="1" s="398">
      <c r="A25" s="308" t="n"/>
      <c r="B25" s="308" t="n"/>
      <c r="C25" s="309" t="n"/>
      <c r="D25" s="309" t="n"/>
      <c r="E25" s="347" t="n"/>
      <c r="F25" s="310" t="n"/>
      <c r="G25" s="309" t="n"/>
      <c r="H25" s="309" t="n"/>
      <c r="I25" s="309" t="n"/>
      <c r="J25" s="309" t="n"/>
      <c r="K25" s="309" t="n"/>
      <c r="L25" s="309" t="n"/>
      <c r="M25" s="309" t="n"/>
      <c r="N25" s="309" t="n"/>
      <c r="O25" s="309" t="n"/>
      <c r="P25" s="309" t="n"/>
      <c r="Q25" s="288" t="n"/>
      <c r="R25" s="299" t="n"/>
      <c r="S25" s="284" t="n"/>
      <c r="T25" s="285" t="n"/>
      <c r="U25" s="285" t="n"/>
      <c r="V25" s="285" t="n"/>
      <c r="W25" s="285" t="n"/>
      <c r="X25" s="285" t="n"/>
      <c r="Y25" s="285" t="n"/>
      <c r="Z25" s="285" t="n"/>
    </row>
    <row r="26" ht="24" customHeight="1" s="398">
      <c r="A26" s="290" t="n"/>
      <c r="B26" s="290" t="inlineStr">
        <is>
          <t>MANUTENÇÕES - SEM CONTRATO</t>
        </is>
      </c>
      <c r="C26" s="291">
        <f>SUM(C27:C34)</f>
        <v/>
      </c>
      <c r="D26" s="291">
        <f>SUM(D27:D34)</f>
        <v/>
      </c>
      <c r="E26" s="342">
        <f>SUM(E27:E34)</f>
        <v/>
      </c>
      <c r="F26" s="292">
        <f>SUM(F27:F34)</f>
        <v/>
      </c>
      <c r="G26" s="291">
        <f>SUM(G27:G34)</f>
        <v/>
      </c>
      <c r="H26" s="291">
        <f>SUM(H27:H34)</f>
        <v/>
      </c>
      <c r="I26" s="291">
        <f>SUM(I27:I34)</f>
        <v/>
      </c>
      <c r="J26" s="291">
        <f>SUM(J27:J34)</f>
        <v/>
      </c>
      <c r="K26" s="291">
        <f>SUM(K27:K34)</f>
        <v/>
      </c>
      <c r="L26" s="291">
        <f>SUM(L27:L34)</f>
        <v/>
      </c>
      <c r="M26" s="291">
        <f>SUM(M27:M34)</f>
        <v/>
      </c>
      <c r="N26" s="291">
        <f>SUM(N27:N34)</f>
        <v/>
      </c>
      <c r="O26" s="291">
        <f>SUM(O27:O34)</f>
        <v/>
      </c>
      <c r="P26" s="291">
        <f>SUM(P27:P34)</f>
        <v/>
      </c>
      <c r="Q26" s="288" t="n"/>
      <c r="R26" s="303">
        <f>SUM(R27:R34)</f>
        <v/>
      </c>
      <c r="S26" s="303">
        <f>SUM(S27:S34)</f>
        <v/>
      </c>
      <c r="T26" s="285" t="n"/>
      <c r="U26" s="285" t="n"/>
      <c r="V26" s="285" t="n"/>
      <c r="W26" s="285" t="n"/>
      <c r="X26" s="285" t="n"/>
      <c r="Y26" s="285" t="n"/>
      <c r="Z26" s="285" t="n"/>
    </row>
    <row r="27" ht="18.75" customHeight="1" s="398">
      <c r="A27" s="385" t="inlineStr">
        <is>
          <t>MULTIPLAN</t>
        </is>
      </c>
      <c r="B27" s="305" t="inlineStr">
        <is>
          <t xml:space="preserve">Lixo/Entulho/Manutenção Externa - Despesa Compartilhada </t>
        </is>
      </c>
      <c r="C27" s="393" t="n">
        <v>3000</v>
      </c>
      <c r="D27" s="393">
        <f>3031.82</f>
        <v/>
      </c>
      <c r="E27" s="345" t="n">
        <v>1776.8</v>
      </c>
      <c r="F27" s="405">
        <f>1705.54+3074.35</f>
        <v/>
      </c>
      <c r="G27" s="393" t="n"/>
      <c r="H27" s="393">
        <f>1852.91</f>
        <v/>
      </c>
      <c r="I27" s="393">
        <f>2574.93</f>
        <v/>
      </c>
      <c r="J27" s="393">
        <f>1808.99+2232.07</f>
        <v/>
      </c>
      <c r="K27" s="393">
        <f>2081.49</f>
        <v/>
      </c>
      <c r="L27" s="393">
        <f>1854.73</f>
        <v/>
      </c>
      <c r="M27" s="393">
        <f>3269.33</f>
        <v/>
      </c>
      <c r="N27" s="393" t="n"/>
      <c r="O27" s="393" t="n"/>
      <c r="P27" s="393" t="n"/>
      <c r="Q27" s="288" t="n"/>
      <c r="R27" s="299">
        <f>C27*12</f>
        <v/>
      </c>
      <c r="S27" s="299">
        <f>SUM(D27:P27)</f>
        <v/>
      </c>
      <c r="T27" s="285" t="n"/>
      <c r="U27" s="285" t="n"/>
      <c r="V27" s="285" t="n"/>
      <c r="W27" s="285" t="n"/>
      <c r="X27" s="285" t="n"/>
      <c r="Y27" s="285" t="n"/>
      <c r="Z27" s="285" t="n"/>
    </row>
    <row r="28" ht="18.75" customHeight="1" s="398">
      <c r="A28" s="470" t="inlineStr">
        <is>
          <t>DEMANDA</t>
        </is>
      </c>
      <c r="B28" s="305" t="inlineStr">
        <is>
          <t>Manutenção Bombas de Recalque</t>
        </is>
      </c>
      <c r="C28" s="299" t="n">
        <v>525</v>
      </c>
      <c r="D28" s="299" t="n"/>
      <c r="E28" s="348" t="n"/>
      <c r="F28" s="391" t="n"/>
      <c r="G28" s="299" t="n"/>
      <c r="H28" s="299" t="n"/>
      <c r="I28" s="299">
        <f>140</f>
        <v/>
      </c>
      <c r="J28" s="299" t="n"/>
      <c r="K28" s="299" t="n"/>
      <c r="L28" s="299" t="n"/>
      <c r="M28" s="299">
        <f>664.49</f>
        <v/>
      </c>
      <c r="N28" s="299">
        <f>664.49</f>
        <v/>
      </c>
      <c r="O28" s="299">
        <f>3556.3</f>
        <v/>
      </c>
      <c r="P28" s="299" t="n"/>
      <c r="Q28" s="288" t="n"/>
      <c r="R28" s="299">
        <f>C28*12</f>
        <v/>
      </c>
      <c r="S28" s="299">
        <f>SUM(D28:P28)</f>
        <v/>
      </c>
      <c r="T28" s="285" t="n"/>
      <c r="U28" s="285" t="n"/>
      <c r="V28" s="285" t="n"/>
      <c r="W28" s="285" t="n"/>
      <c r="X28" s="285" t="n"/>
      <c r="Y28" s="285" t="n"/>
      <c r="Z28" s="285" t="n"/>
    </row>
    <row r="29" ht="18.75" customHeight="1" s="398">
      <c r="B29" s="389" t="inlineStr">
        <is>
          <t>Manutenção Interfones</t>
        </is>
      </c>
      <c r="C29" s="299" t="n">
        <v>500</v>
      </c>
      <c r="D29" s="299" t="n"/>
      <c r="E29" s="348">
        <f>150</f>
        <v/>
      </c>
      <c r="F29" s="391" t="n"/>
      <c r="G29" s="299" t="n"/>
      <c r="H29" s="299" t="n"/>
      <c r="I29" s="299" t="n"/>
      <c r="J29" s="299">
        <f>580+280</f>
        <v/>
      </c>
      <c r="K29" s="299">
        <f>9.8+270.2</f>
        <v/>
      </c>
      <c r="L29" s="299">
        <f>9.8</f>
        <v/>
      </c>
      <c r="M29" s="299" t="n"/>
      <c r="N29" s="299" t="n"/>
      <c r="O29" s="299">
        <f>270.2</f>
        <v/>
      </c>
      <c r="P29" s="299" t="n"/>
      <c r="Q29" s="288" t="n"/>
      <c r="R29" s="299">
        <f>C29*12</f>
        <v/>
      </c>
      <c r="S29" s="299">
        <f>SUM(D29:P29)</f>
        <v/>
      </c>
      <c r="T29" s="285" t="n"/>
      <c r="U29" s="285" t="n"/>
      <c r="V29" s="285" t="n"/>
      <c r="W29" s="285" t="n"/>
      <c r="X29" s="285" t="n"/>
      <c r="Y29" s="285" t="n"/>
      <c r="Z29" s="285" t="n"/>
    </row>
    <row r="30" ht="18.75" customHeight="1" s="398">
      <c r="B30" s="305" t="inlineStr">
        <is>
          <t>Manutenção Predial</t>
        </is>
      </c>
      <c r="C30" s="299" t="n">
        <v>4000</v>
      </c>
      <c r="D30" s="299">
        <f>286+195+425.27</f>
        <v/>
      </c>
      <c r="E30" s="348">
        <f>165+34.93+129.8+173.94+85+1800+590</f>
        <v/>
      </c>
      <c r="F30" s="391">
        <f>612</f>
        <v/>
      </c>
      <c r="G30" s="299" t="n"/>
      <c r="H30" s="299">
        <f>3153.2+2376.25+3148.95+583.19+1478</f>
        <v/>
      </c>
      <c r="I30" s="299">
        <f>557.9+373.84+285+1456.95+3590</f>
        <v/>
      </c>
      <c r="J30" s="299">
        <f>370.5+343.8+16.2</f>
        <v/>
      </c>
      <c r="K30" s="299">
        <f>92.7+89.12+2772</f>
        <v/>
      </c>
      <c r="L30" s="299">
        <f>124.75+1500+1700+790</f>
        <v/>
      </c>
      <c r="M30" s="299" t="n"/>
      <c r="N30" s="299">
        <f>1570+12369.32</f>
        <v/>
      </c>
      <c r="O30" s="299">
        <f>1361.99</f>
        <v/>
      </c>
      <c r="P30" s="299" t="n"/>
      <c r="Q30" s="288" t="n"/>
      <c r="R30" s="299">
        <f>C30*12</f>
        <v/>
      </c>
      <c r="S30" s="299">
        <f>SUM(D30:P30)</f>
        <v/>
      </c>
      <c r="T30" s="285" t="n"/>
      <c r="U30" s="285" t="n"/>
      <c r="V30" s="285" t="n"/>
      <c r="W30" s="285" t="n"/>
      <c r="X30" s="285" t="n"/>
      <c r="Y30" s="285" t="n"/>
      <c r="Z30" s="285" t="n"/>
    </row>
    <row r="31" ht="18.75" customHeight="1" s="398">
      <c r="B31" s="311" t="inlineStr">
        <is>
          <t>Manutenção Preventiva Sistema de Incêndio</t>
        </is>
      </c>
      <c r="C31" s="393" t="n">
        <v>315</v>
      </c>
      <c r="D31" s="393" t="n"/>
      <c r="E31" s="401" t="n"/>
      <c r="F31" s="405" t="n"/>
      <c r="G31" s="393" t="n"/>
      <c r="I31" s="393">
        <f>48.73+2375.88</f>
        <v/>
      </c>
      <c r="J31" s="393" t="n"/>
      <c r="K31" s="393" t="n"/>
      <c r="L31" s="393">
        <f>1250</f>
        <v/>
      </c>
      <c r="M31" s="393" t="n"/>
      <c r="N31" s="393" t="n"/>
      <c r="O31" s="393" t="n"/>
      <c r="P31" s="393" t="n"/>
      <c r="Q31" s="288" t="n"/>
      <c r="R31" s="299">
        <f>C31*12</f>
        <v/>
      </c>
      <c r="S31" s="299">
        <f>SUM(D31:P31)</f>
        <v/>
      </c>
      <c r="T31" s="285" t="n"/>
      <c r="U31" s="285" t="n"/>
      <c r="V31" s="285" t="n"/>
      <c r="W31" s="285" t="n"/>
      <c r="X31" s="285" t="n"/>
      <c r="Y31" s="285" t="n"/>
      <c r="Z31" s="285" t="n"/>
    </row>
    <row r="32" ht="54.6" customHeight="1" s="398">
      <c r="B32" s="301" t="inlineStr">
        <is>
          <t xml:space="preserve">Obrigações Legais (AFT, certificado de qualidade do ar de ambiente climatizado, certificado digital, inspeção da esccada pressurizada, laudo de potabilidade, teste mangueiras, recarga extintores, SPDA, subestação de energia) </t>
        </is>
      </c>
      <c r="C32" s="299" t="n">
        <v>3200</v>
      </c>
      <c r="D32" s="299">
        <f>18+2.48+121.69</f>
        <v/>
      </c>
      <c r="E32" s="348">
        <f>2.48+121.69</f>
        <v/>
      </c>
      <c r="F32" s="391">
        <f>1159.4</f>
        <v/>
      </c>
      <c r="G32" s="299">
        <f>121.69+1159.4+166.4</f>
        <v/>
      </c>
      <c r="H32" s="299">
        <f>2.48+480+121.69+352.36</f>
        <v/>
      </c>
      <c r="I32" s="299">
        <f>121.69+19.5+2.48+480+4894.85+2082.5</f>
        <v/>
      </c>
      <c r="J32" s="299">
        <f>312.1+2.48+42.5+10.84+121.69+480+4894.85</f>
        <v/>
      </c>
      <c r="K32" s="299">
        <f>1166.2+2.48+122.52+3795</f>
        <v/>
      </c>
      <c r="L32" s="299">
        <f>1540.16+246+2.5+23.8+4855+1159.4+261.27</f>
        <v/>
      </c>
      <c r="M32" s="299">
        <f>1159.4+59.84+2.1+179.8+6497.55+818.21+1020+645+1515+1684.13</f>
        <v/>
      </c>
      <c r="N32" s="299">
        <f>31.79+252.45+2.1+102.9+295.1+4157.23+11800</f>
        <v/>
      </c>
      <c r="O32" s="299">
        <f>4158.96+3936.98+102.9+2.1+172.77+816.42+6483.38+1150</f>
        <v/>
      </c>
      <c r="P32" s="299" t="n"/>
      <c r="Q32" s="288" t="n"/>
      <c r="R32" s="299">
        <f>C32*12</f>
        <v/>
      </c>
      <c r="S32" s="299">
        <f>SUM(D32:P32)</f>
        <v/>
      </c>
      <c r="T32" s="285" t="n"/>
      <c r="U32" s="285" t="n"/>
      <c r="V32" s="285" t="n"/>
      <c r="W32" s="285" t="n"/>
      <c r="X32" s="285" t="n"/>
      <c r="Y32" s="285" t="n"/>
      <c r="Z32" s="285" t="n"/>
    </row>
    <row r="33" ht="18.75" customHeight="1" s="398">
      <c r="B33" s="311" t="inlineStr">
        <is>
          <t xml:space="preserve">Controle Pragas e Limpeza  Caixa D'água (2x ano) </t>
        </is>
      </c>
      <c r="C33" s="299" t="n">
        <v>525</v>
      </c>
      <c r="D33" s="299" t="n"/>
      <c r="E33" s="348" t="n"/>
      <c r="F33" s="391" t="n"/>
      <c r="G33" s="299" t="n"/>
      <c r="H33" s="299" t="n"/>
      <c r="I33" s="299" t="n"/>
      <c r="J33" s="299" t="n"/>
      <c r="K33" s="299" t="n"/>
      <c r="L33" s="299" t="n"/>
      <c r="M33" s="299" t="n"/>
      <c r="N33" s="299" t="n"/>
      <c r="O33" s="299" t="n"/>
      <c r="P33" s="299" t="n"/>
      <c r="Q33" s="288" t="n"/>
      <c r="R33" s="299">
        <f>C33*12</f>
        <v/>
      </c>
      <c r="S33" s="299">
        <f>SUM(D33:P33)</f>
        <v/>
      </c>
      <c r="T33" s="285" t="n"/>
      <c r="U33" s="285" t="n"/>
      <c r="V33" s="285" t="n"/>
      <c r="W33" s="285" t="n"/>
      <c r="X33" s="285" t="n"/>
      <c r="Y33" s="285" t="n"/>
      <c r="Z33" s="285" t="n"/>
    </row>
    <row r="34" ht="18.75" customHeight="1" s="398">
      <c r="B34" s="305" t="inlineStr">
        <is>
          <t>Paisagismo interno</t>
        </is>
      </c>
      <c r="C34" s="393" t="n">
        <v>105</v>
      </c>
      <c r="D34" s="393" t="n"/>
      <c r="E34" s="345">
        <f>833.34</f>
        <v/>
      </c>
      <c r="F34" s="405">
        <f>833.33</f>
        <v/>
      </c>
      <c r="G34" s="393">
        <f>833.33</f>
        <v/>
      </c>
      <c r="H34" s="393" t="n"/>
      <c r="I34" s="393" t="n"/>
      <c r="J34" s="393" t="n"/>
      <c r="K34" s="393" t="n"/>
      <c r="L34" s="393" t="n"/>
      <c r="M34" s="393" t="n"/>
      <c r="N34" s="393" t="n"/>
      <c r="O34" s="393" t="n"/>
      <c r="P34" s="393" t="n"/>
      <c r="Q34" s="288" t="n"/>
      <c r="R34" s="299">
        <f>C34*12</f>
        <v/>
      </c>
      <c r="S34" s="299">
        <f>SUM(D34:P34)</f>
        <v/>
      </c>
      <c r="T34" s="285" t="n"/>
      <c r="U34" s="285" t="n"/>
      <c r="V34" s="285" t="n"/>
      <c r="W34" s="285" t="n"/>
      <c r="X34" s="285" t="n"/>
      <c r="Y34" s="285" t="n"/>
      <c r="Z34" s="285" t="n"/>
    </row>
    <row r="35" ht="15.75" customHeight="1" s="398">
      <c r="A35" s="308" t="n"/>
      <c r="B35" s="308" t="n"/>
      <c r="C35" s="309" t="n"/>
      <c r="D35" s="309" t="n"/>
      <c r="E35" s="347" t="n"/>
      <c r="F35" s="310" t="n"/>
      <c r="G35" s="309" t="n"/>
      <c r="H35" s="309" t="n"/>
      <c r="I35" s="309" t="n"/>
      <c r="J35" s="309" t="n"/>
      <c r="K35" s="309" t="n"/>
      <c r="L35" s="309" t="n"/>
      <c r="M35" s="309" t="n"/>
      <c r="N35" s="309" t="n"/>
      <c r="O35" s="309" t="n"/>
      <c r="P35" s="309" t="n"/>
      <c r="Q35" s="288" t="n"/>
      <c r="R35" s="299" t="n"/>
      <c r="S35" s="284" t="n"/>
      <c r="T35" s="285" t="n"/>
      <c r="U35" s="285" t="n"/>
      <c r="V35" s="285" t="n"/>
      <c r="W35" s="285" t="n"/>
      <c r="X35" s="285" t="n"/>
      <c r="Y35" s="285" t="n"/>
      <c r="Z35" s="285" t="n"/>
    </row>
    <row r="36" ht="24" customHeight="1" s="398">
      <c r="A36" s="290" t="n"/>
      <c r="B36" s="290" t="inlineStr">
        <is>
          <t>MATERIAIS E EQUIPAMENTOS</t>
        </is>
      </c>
      <c r="C36" s="291">
        <f>SUM(C37:C48)</f>
        <v/>
      </c>
      <c r="D36" s="291">
        <f>SUM(D37:D48)</f>
        <v/>
      </c>
      <c r="E36" s="342">
        <f>SUM(E37:E48)</f>
        <v/>
      </c>
      <c r="F36" s="292">
        <f>SUM(F37:F48)</f>
        <v/>
      </c>
      <c r="G36" s="291">
        <f>SUM(G37:G48)</f>
        <v/>
      </c>
      <c r="H36" s="291">
        <f>SUM(H37:H48)</f>
        <v/>
      </c>
      <c r="I36" s="291">
        <f>SUM(I37:I48)</f>
        <v/>
      </c>
      <c r="J36" s="291">
        <f>SUM(J37:J48)</f>
        <v/>
      </c>
      <c r="K36" s="291">
        <f>SUM(K37:K48)</f>
        <v/>
      </c>
      <c r="L36" s="291">
        <f>SUM(L37:L48)</f>
        <v/>
      </c>
      <c r="M36" s="291">
        <f>SUM(M37:M48)</f>
        <v/>
      </c>
      <c r="N36" s="291">
        <f>SUM(N37:N48)</f>
        <v/>
      </c>
      <c r="O36" s="291">
        <f>SUM(O37:O48)</f>
        <v/>
      </c>
      <c r="P36" s="291">
        <f>SUM(P37:P48)</f>
        <v/>
      </c>
      <c r="Q36" s="288" t="n"/>
      <c r="R36" s="303">
        <f>SUM(R37:R48)</f>
        <v/>
      </c>
      <c r="S36" s="303">
        <f>SUM(S37:S48)</f>
        <v/>
      </c>
      <c r="T36" s="285" t="n"/>
      <c r="U36" s="285" t="n"/>
      <c r="V36" s="285" t="n"/>
      <c r="W36" s="285" t="n"/>
      <c r="X36" s="285" t="n"/>
      <c r="Y36" s="285" t="n"/>
      <c r="Z36" s="285" t="n"/>
    </row>
    <row r="37" ht="18.75" customHeight="1" s="398">
      <c r="A37" s="471" t="n"/>
      <c r="B37" s="305" t="inlineStr">
        <is>
          <t>Chaveiro</t>
        </is>
      </c>
      <c r="C37" s="309" t="n">
        <v>20</v>
      </c>
      <c r="D37" s="309" t="n"/>
      <c r="E37" s="347">
        <f>160</f>
        <v/>
      </c>
      <c r="F37" s="310" t="n"/>
      <c r="G37" s="309" t="n"/>
      <c r="H37" s="309">
        <f>250</f>
        <v/>
      </c>
      <c r="I37" s="309" t="n"/>
      <c r="J37" s="309" t="n"/>
      <c r="K37" s="309" t="n"/>
      <c r="L37" s="309">
        <f>260</f>
        <v/>
      </c>
      <c r="M37" s="309" t="n"/>
      <c r="N37" s="309">
        <f>340</f>
        <v/>
      </c>
      <c r="O37" s="309" t="n"/>
      <c r="P37" s="309" t="n"/>
      <c r="Q37" s="288" t="n"/>
      <c r="R37" s="299">
        <f>C37*12</f>
        <v/>
      </c>
      <c r="S37" s="299">
        <f>SUM(D37:P37)</f>
        <v/>
      </c>
      <c r="T37" s="285" t="n"/>
      <c r="U37" s="285" t="n"/>
      <c r="V37" s="285" t="n"/>
      <c r="W37" s="285" t="n"/>
      <c r="X37" s="285" t="n"/>
      <c r="Y37" s="285" t="n"/>
      <c r="Z37" s="285" t="n"/>
    </row>
    <row r="38" ht="18.75" customHeight="1" s="398">
      <c r="B38" s="389" t="inlineStr">
        <is>
          <t>Lâmpadas</t>
        </is>
      </c>
      <c r="C38" s="309" t="n">
        <v>500</v>
      </c>
      <c r="D38" s="309">
        <f>319</f>
        <v/>
      </c>
      <c r="E38" s="347">
        <f>267+98.9</f>
        <v/>
      </c>
      <c r="F38" s="310" t="n"/>
      <c r="G38" s="309" t="n"/>
      <c r="H38" s="309">
        <f>91.6</f>
        <v/>
      </c>
      <c r="I38" s="309">
        <f>774</f>
        <v/>
      </c>
      <c r="J38" s="309">
        <f>1229.87</f>
        <v/>
      </c>
      <c r="K38" s="309">
        <f>774</f>
        <v/>
      </c>
      <c r="L38" s="309" t="n"/>
      <c r="M38" s="309" t="n"/>
      <c r="N38" s="309" t="n"/>
      <c r="O38" s="309" t="n"/>
      <c r="P38" s="309" t="n"/>
      <c r="Q38" s="288" t="n"/>
      <c r="R38" s="299">
        <f>C38*12</f>
        <v/>
      </c>
      <c r="S38" s="299">
        <f>SUM(D38:P38)</f>
        <v/>
      </c>
      <c r="T38" s="285" t="n"/>
      <c r="U38" s="285" t="n"/>
      <c r="V38" s="285" t="n"/>
      <c r="W38" s="285" t="n"/>
      <c r="X38" s="285" t="n"/>
      <c r="Y38" s="285" t="n"/>
      <c r="Z38" s="285" t="n"/>
    </row>
    <row r="39" ht="30.6" customHeight="1" s="398">
      <c r="B39" s="301" t="inlineStr">
        <is>
          <t>Materiais/Serviços Obras Diversas (Alvenaria, Serralheria, Funilaria, Outros)</t>
        </is>
      </c>
      <c r="C39" s="309" t="n">
        <v>1500</v>
      </c>
      <c r="D39" s="309">
        <f>88.15</f>
        <v/>
      </c>
      <c r="E39" s="347">
        <f>1000.01</f>
        <v/>
      </c>
      <c r="F39" s="310" t="n"/>
      <c r="G39" s="309">
        <f>90+302+337.6+380</f>
        <v/>
      </c>
      <c r="H39" s="309">
        <f>99.6+394.57+306+291.35+557.9+692.6+369</f>
        <v/>
      </c>
      <c r="I39" s="309">
        <f>542+181.45</f>
        <v/>
      </c>
      <c r="J39" s="309" t="n"/>
      <c r="K39" s="309">
        <f>91.01+735</f>
        <v/>
      </c>
      <c r="L39" s="309">
        <f>15+240.91+88.7+49.5+527.95+280+298+200+65.6+521.7</f>
        <v/>
      </c>
      <c r="M39" s="309">
        <f>3040.45</f>
        <v/>
      </c>
      <c r="N39" s="502">
        <f>250+150+1150+298+140</f>
        <v/>
      </c>
      <c r="O39" s="309">
        <f>545+151.6+257.35+110.05+485.95</f>
        <v/>
      </c>
      <c r="P39" s="309" t="n"/>
      <c r="Q39" s="288" t="n"/>
      <c r="R39" s="299">
        <f>C39*12</f>
        <v/>
      </c>
      <c r="S39" s="299">
        <f>SUM(D39:P39)</f>
        <v/>
      </c>
      <c r="T39" s="285" t="n"/>
      <c r="U39" s="285" t="n"/>
      <c r="V39" s="285" t="n"/>
      <c r="W39" s="285" t="n"/>
      <c r="X39" s="285" t="n"/>
      <c r="Y39" s="285" t="n"/>
      <c r="Z39" s="285" t="n"/>
    </row>
    <row r="40" ht="18.75" customHeight="1" s="398">
      <c r="B40" s="305" t="inlineStr">
        <is>
          <t>Material de Ferragem (Elétrica, Hidráulica e Ferramentas)</t>
        </is>
      </c>
      <c r="C40" s="309" t="n">
        <v>2000</v>
      </c>
      <c r="D40" s="309">
        <f>56.91+28.98+43+180.9+48.9+291.79+349.17+291.79</f>
        <v/>
      </c>
      <c r="E40" s="347">
        <f>395.3+1625.85</f>
        <v/>
      </c>
      <c r="F40" s="310">
        <f>94+211.6+296.35</f>
        <v/>
      </c>
      <c r="G40" s="309">
        <f>284.7+385+60.8+190.65+35.96+13.3+315+90+978.87</f>
        <v/>
      </c>
      <c r="H40" s="309">
        <f>1229.87+219.99+372.95+400.55</f>
        <v/>
      </c>
      <c r="I40" s="309">
        <f>119.38+1229.87+49.98+138.7+133.95+126.65+400.55</f>
        <v/>
      </c>
      <c r="J40" s="309">
        <f>65.1+72.75+117.5+1065.9+32.3+99.5+298</f>
        <v/>
      </c>
      <c r="K40" s="309">
        <f>86.13+478.82+657.05+298+156.5</f>
        <v/>
      </c>
      <c r="L40" s="309">
        <f>284.12+521.71+388.44+430+325.6+53.05+190+18.5+741.05</f>
        <v/>
      </c>
      <c r="M40" s="309">
        <f>459.9+364.8+66.65+340.2+814.34+118.9+843.45+298</f>
        <v/>
      </c>
      <c r="N40" s="309">
        <f>946.37+147.35+67.5+74.8+110.02+79.8+447</f>
        <v/>
      </c>
      <c r="O40" s="309">
        <f>397.72+845+727.85</f>
        <v/>
      </c>
      <c r="P40" s="309" t="n"/>
      <c r="Q40" s="288" t="n"/>
      <c r="R40" s="299">
        <f>C40*12</f>
        <v/>
      </c>
      <c r="S40" s="299">
        <f>SUM(D40:P40)</f>
        <v/>
      </c>
      <c r="T40" s="285" t="n"/>
      <c r="U40" s="285" t="n"/>
      <c r="V40" s="285" t="n"/>
      <c r="W40" s="285" t="n"/>
      <c r="X40" s="285" t="n"/>
      <c r="Y40" s="285" t="n"/>
      <c r="Z40" s="285" t="n"/>
    </row>
    <row r="41" ht="18.75" customHeight="1" s="398">
      <c r="B41" s="389" t="inlineStr">
        <is>
          <t>Material Expediente Interno</t>
        </is>
      </c>
      <c r="C41" s="309" t="n">
        <v>500</v>
      </c>
      <c r="D41" s="309">
        <f>65.83</f>
        <v/>
      </c>
      <c r="E41" s="347">
        <f>144.59</f>
        <v/>
      </c>
      <c r="F41" s="310">
        <f>152.85+96.94</f>
        <v/>
      </c>
      <c r="G41" s="309">
        <f>34.18</f>
        <v/>
      </c>
      <c r="H41" s="309">
        <f>132.2+90.72+17.09+684.82</f>
        <v/>
      </c>
      <c r="I41" s="309">
        <f>179.51+138+679.34+112.5</f>
        <v/>
      </c>
      <c r="J41" s="309">
        <f>155.5+56.97+934.16+134.62</f>
        <v/>
      </c>
      <c r="K41" s="309">
        <f>236.57</f>
        <v/>
      </c>
      <c r="L41" s="309">
        <f>528.36</f>
        <v/>
      </c>
      <c r="M41" s="309">
        <f>913.61</f>
        <v/>
      </c>
      <c r="N41" s="393">
        <f>171.83</f>
        <v/>
      </c>
      <c r="O41" s="309">
        <f>903.37</f>
        <v/>
      </c>
      <c r="P41" s="309" t="n"/>
      <c r="Q41" s="288" t="n"/>
      <c r="R41" s="299">
        <f>C41*12</f>
        <v/>
      </c>
      <c r="S41" s="299">
        <f>SUM(D41:P41)</f>
        <v/>
      </c>
      <c r="T41" s="285" t="n"/>
      <c r="U41" s="285" t="n"/>
      <c r="V41" s="285" t="n"/>
      <c r="W41" s="285" t="n"/>
      <c r="X41" s="285" t="n"/>
      <c r="Y41" s="285" t="n"/>
      <c r="Z41" s="285" t="n"/>
    </row>
    <row r="42" ht="18.75" customHeight="1" s="398">
      <c r="B42" s="305" t="inlineStr">
        <is>
          <t>Material Limpeza/Consumíveis</t>
        </is>
      </c>
      <c r="C42" s="393" t="n">
        <v>2000</v>
      </c>
      <c r="D42" s="393">
        <f>115.3+446.9</f>
        <v/>
      </c>
      <c r="E42" s="345">
        <f>699.13+54.38+244+600.78</f>
        <v/>
      </c>
      <c r="F42" s="405">
        <f>805.05+348.43+970.5</f>
        <v/>
      </c>
      <c r="G42" s="393">
        <f>458.35+348.43</f>
        <v/>
      </c>
      <c r="H42" s="393">
        <f>679.93+348.43</f>
        <v/>
      </c>
      <c r="I42" s="313">
        <f>713.37+698.4+348.43</f>
        <v/>
      </c>
      <c r="J42" s="393">
        <f>258.96+655.92</f>
        <v/>
      </c>
      <c r="K42" s="309">
        <f>763.16+297.1</f>
        <v/>
      </c>
      <c r="L42" s="393">
        <f>480.15+168.48+1061.64</f>
        <v/>
      </c>
      <c r="M42" s="393">
        <f>662.98+1004.24</f>
        <v/>
      </c>
      <c r="N42" s="393">
        <f>449.83+414.81+759.8</f>
        <v/>
      </c>
      <c r="O42" s="393">
        <f>273.95</f>
        <v/>
      </c>
      <c r="P42" s="393" t="n"/>
      <c r="Q42" s="288" t="n"/>
      <c r="R42" s="299">
        <f>C42*12</f>
        <v/>
      </c>
      <c r="S42" s="299">
        <f>SUM(D42:P42)</f>
        <v/>
      </c>
      <c r="T42" s="285" t="n"/>
      <c r="U42" s="285" t="n"/>
      <c r="V42" s="285" t="n"/>
      <c r="W42" s="285" t="n"/>
      <c r="X42" s="285" t="n"/>
      <c r="Y42" s="285" t="n"/>
      <c r="Z42" s="285" t="n"/>
    </row>
    <row r="43" ht="18.75" customHeight="1" s="398">
      <c r="A43" s="385" t="inlineStr">
        <is>
          <t>ATLAS</t>
        </is>
      </c>
      <c r="B43" s="305" t="inlineStr">
        <is>
          <t>Peças elevador</t>
        </is>
      </c>
      <c r="C43" s="393" t="n">
        <v>700</v>
      </c>
      <c r="D43" s="393" t="n"/>
      <c r="E43" s="345">
        <f>459.65+447.15+694.2</f>
        <v/>
      </c>
      <c r="F43" s="405">
        <f>694.19</f>
        <v/>
      </c>
      <c r="G43" s="393" t="n"/>
      <c r="H43" s="393" t="n"/>
      <c r="I43" s="393" t="n"/>
      <c r="J43" s="393" t="n"/>
      <c r="K43" s="309">
        <f>461.18</f>
        <v/>
      </c>
      <c r="L43" s="393" t="n"/>
      <c r="M43" s="393">
        <f>322.1+542.1+79.18+225.91+79.18+322.1+322.1+542.1</f>
        <v/>
      </c>
      <c r="N43" s="393">
        <f>333.92+38.47+332.1+542.1</f>
        <v/>
      </c>
      <c r="O43" s="393" t="n"/>
      <c r="P43" s="393" t="n"/>
      <c r="Q43" s="288" t="n"/>
      <c r="R43" s="299">
        <f>C43*12</f>
        <v/>
      </c>
      <c r="S43" s="299">
        <f>SUM(D43:P43)</f>
        <v/>
      </c>
      <c r="T43" s="285" t="n"/>
      <c r="U43" s="285" t="n"/>
      <c r="V43" s="285" t="n"/>
      <c r="W43" s="285" t="n"/>
      <c r="X43" s="285" t="n"/>
      <c r="Y43" s="285" t="n"/>
      <c r="Z43" s="285" t="n"/>
    </row>
    <row r="44" ht="18.75" customHeight="1" s="398">
      <c r="A44" s="470" t="inlineStr">
        <is>
          <t>DEMANDA</t>
        </is>
      </c>
      <c r="B44" s="305" t="inlineStr">
        <is>
          <t>Móveis e Utensílios</t>
        </is>
      </c>
      <c r="C44" s="393" t="n">
        <v>600</v>
      </c>
      <c r="D44" s="393" t="n"/>
      <c r="E44" s="345">
        <f>4506.04+218.33+79.9</f>
        <v/>
      </c>
      <c r="F44" s="405">
        <f>91.96</f>
        <v/>
      </c>
      <c r="G44" s="393" t="n"/>
      <c r="H44" s="393">
        <f>421.32</f>
        <v/>
      </c>
      <c r="I44" s="393" t="n"/>
      <c r="J44" s="393" t="n"/>
      <c r="K44" s="309">
        <f>558.36</f>
        <v/>
      </c>
      <c r="L44" s="393">
        <f>255+760+714.8</f>
        <v/>
      </c>
      <c r="M44" s="393">
        <f>1143.46+290</f>
        <v/>
      </c>
      <c r="N44" s="393">
        <f>280</f>
        <v/>
      </c>
      <c r="O44" s="393">
        <f>433.49</f>
        <v/>
      </c>
      <c r="P44" s="393" t="n"/>
      <c r="Q44" s="288" t="n"/>
      <c r="R44" s="299">
        <f>C44*12</f>
        <v/>
      </c>
      <c r="S44" s="299">
        <f>SUM(D44:P44)</f>
        <v/>
      </c>
      <c r="T44" s="285" t="n"/>
      <c r="U44" s="285" t="inlineStr">
        <is>
          <t>despesa de cartão</t>
        </is>
      </c>
      <c r="V44" s="285" t="inlineStr">
        <is>
          <t>903 pila</t>
        </is>
      </c>
      <c r="W44" s="285" t="n"/>
      <c r="X44" s="285" t="n"/>
      <c r="Y44" s="285" t="n"/>
      <c r="Z44" s="285" t="n"/>
    </row>
    <row r="45" ht="18.75" customHeight="1" s="398">
      <c r="B45" s="389" t="inlineStr">
        <is>
          <t>Peças Ar Condicionado/Exaustores</t>
        </is>
      </c>
      <c r="C45" s="393" t="n">
        <v>525</v>
      </c>
      <c r="D45" s="393">
        <f>1200</f>
        <v/>
      </c>
      <c r="E45" s="345" t="n"/>
      <c r="F45" s="405" t="n"/>
      <c r="G45" s="393" t="n"/>
      <c r="H45" s="393" t="n"/>
      <c r="I45" s="393" t="n"/>
      <c r="J45" s="393" t="n"/>
      <c r="K45" s="309" t="n"/>
      <c r="L45" s="393" t="n"/>
      <c r="M45" s="393" t="n"/>
      <c r="N45" s="393" t="n"/>
      <c r="O45" s="393" t="n"/>
      <c r="P45" s="393" t="n"/>
      <c r="Q45" s="288" t="n"/>
      <c r="R45" s="299">
        <f>C45*12</f>
        <v/>
      </c>
      <c r="S45" s="299">
        <f>SUM(D45:P45)</f>
        <v/>
      </c>
      <c r="T45" s="285" t="n"/>
      <c r="U45" s="285" t="n"/>
      <c r="V45" s="285" t="n"/>
      <c r="W45" s="285" t="n"/>
      <c r="X45" s="285" t="n"/>
      <c r="Y45" s="285" t="n"/>
      <c r="Z45" s="285" t="n"/>
    </row>
    <row r="46" ht="18.75" customHeight="1" s="398">
      <c r="B46" s="301" t="inlineStr">
        <is>
          <t>Peças de reposição para extintores e hidrantes e recargas eventuais</t>
        </is>
      </c>
      <c r="C46" s="393" t="n">
        <v>150</v>
      </c>
      <c r="D46" s="393" t="n"/>
      <c r="E46" s="345" t="n"/>
      <c r="F46" s="405" t="n"/>
      <c r="G46" s="393" t="n"/>
      <c r="H46" s="393" t="n"/>
      <c r="I46" s="393">
        <f>530</f>
        <v/>
      </c>
      <c r="J46" s="393">
        <f>140</f>
        <v/>
      </c>
      <c r="K46" s="309" t="n"/>
      <c r="L46" s="393" t="n"/>
      <c r="M46" s="393" t="n"/>
      <c r="N46" s="393" t="n"/>
      <c r="O46" s="393" t="n"/>
      <c r="P46" s="393" t="n"/>
      <c r="Q46" s="288" t="n"/>
      <c r="R46" s="299">
        <f>C46*12</f>
        <v/>
      </c>
      <c r="S46" s="299">
        <f>SUM(D46:P46)</f>
        <v/>
      </c>
      <c r="T46" s="285" t="n"/>
      <c r="U46" s="285" t="n"/>
      <c r="V46" s="285" t="n"/>
      <c r="W46" s="285" t="n"/>
      <c r="X46" s="285" t="n"/>
      <c r="Y46" s="285" t="n"/>
      <c r="Z46" s="285" t="n"/>
    </row>
    <row r="47" ht="22.9" customHeight="1" s="398">
      <c r="B47" s="314" t="inlineStr">
        <is>
          <t>Peças para Grupo Gerador, limpeza semestral filtro e óleo e óleo diesel</t>
        </is>
      </c>
      <c r="C47" s="393" t="n">
        <v>500</v>
      </c>
      <c r="D47" s="393" t="n"/>
      <c r="E47" s="345" t="n"/>
      <c r="F47" s="405">
        <f>308.19+2359.32+566</f>
        <v/>
      </c>
      <c r="G47" s="393">
        <f>283</f>
        <v/>
      </c>
      <c r="H47" s="393" t="n"/>
      <c r="I47" s="393" t="n"/>
      <c r="J47" s="393" t="n"/>
      <c r="K47" s="309">
        <f>325.44+886.72</f>
        <v/>
      </c>
      <c r="L47" s="393">
        <f>140.16+318.45+867.63</f>
        <v/>
      </c>
      <c r="M47" s="393">
        <f>319.99+318.54+867.9</f>
        <v/>
      </c>
      <c r="N47" s="393">
        <f>140.19</f>
        <v/>
      </c>
      <c r="O47" s="393" t="n"/>
      <c r="P47" s="393" t="n"/>
      <c r="Q47" s="288" t="n"/>
      <c r="R47" s="299">
        <f>C47*12</f>
        <v/>
      </c>
      <c r="S47" s="299">
        <f>SUM(D47:P47)</f>
        <v/>
      </c>
      <c r="T47" s="285" t="n"/>
      <c r="U47" s="285" t="n"/>
      <c r="V47" s="285" t="n"/>
      <c r="W47" s="285" t="n"/>
      <c r="X47" s="285" t="n"/>
      <c r="Y47" s="285" t="n"/>
      <c r="Z47" s="285" t="n"/>
    </row>
    <row r="48" ht="18.75" customHeight="1" s="398">
      <c r="B48" s="305" t="inlineStr">
        <is>
          <t>Peças para manutenção das catracas</t>
        </is>
      </c>
      <c r="C48" s="393" t="n">
        <v>350</v>
      </c>
      <c r="D48" s="393" t="n"/>
      <c r="E48" s="345" t="n"/>
      <c r="F48" s="405" t="n"/>
      <c r="G48" s="393" t="n"/>
      <c r="H48" s="393" t="n"/>
      <c r="I48" s="393">
        <f>269.16</f>
        <v/>
      </c>
      <c r="J48" s="315" t="n"/>
      <c r="K48" s="309" t="n"/>
      <c r="L48" s="393" t="n"/>
      <c r="M48" s="393">
        <f>3219.78</f>
        <v/>
      </c>
      <c r="N48" s="393">
        <f>2466.72</f>
        <v/>
      </c>
      <c r="O48" s="285">
        <f>1284.74</f>
        <v/>
      </c>
      <c r="P48" s="393" t="n"/>
      <c r="Q48" s="288" t="n"/>
      <c r="R48" s="299">
        <f>C48*12</f>
        <v/>
      </c>
      <c r="S48" s="299">
        <f>SUM(D48:P48)</f>
        <v/>
      </c>
      <c r="T48" s="285" t="n"/>
      <c r="U48" s="285" t="n"/>
      <c r="V48" s="285" t="n"/>
      <c r="W48" s="285" t="n"/>
      <c r="X48" s="285" t="n"/>
      <c r="Y48" s="285" t="n"/>
      <c r="Z48" s="285" t="n"/>
    </row>
    <row r="49" ht="15.75" customHeight="1" s="398">
      <c r="A49" s="302" t="n"/>
      <c r="B49" s="302" t="n"/>
      <c r="C49" s="315" t="n"/>
      <c r="D49" s="315" t="n"/>
      <c r="E49" s="349" t="n"/>
      <c r="F49" s="316" t="n"/>
      <c r="G49" s="315" t="n"/>
      <c r="H49" s="315" t="n"/>
      <c r="I49" s="315" t="n"/>
      <c r="K49" s="315" t="n"/>
      <c r="L49" s="315" t="n"/>
      <c r="M49" s="315" t="n"/>
      <c r="N49" s="315" t="n"/>
      <c r="O49" s="315" t="n"/>
      <c r="P49" s="315" t="n"/>
      <c r="Q49" s="288" t="n"/>
      <c r="R49" s="299" t="n"/>
      <c r="S49" s="284" t="n"/>
      <c r="T49" s="285" t="n"/>
      <c r="U49" s="285" t="n"/>
      <c r="V49" s="285" t="n"/>
      <c r="W49" s="285" t="n"/>
      <c r="X49" s="285" t="n"/>
      <c r="Y49" s="285" t="n"/>
      <c r="Z49" s="285" t="n"/>
    </row>
    <row r="50" ht="24" customHeight="1" s="398">
      <c r="A50" s="290" t="n"/>
      <c r="B50" s="290" t="inlineStr">
        <is>
          <t>DESPESAS  ADMINISTRATIVAS</t>
        </is>
      </c>
      <c r="C50" s="291">
        <f>SUM(C51:C56)</f>
        <v/>
      </c>
      <c r="D50" s="291">
        <f>SUM(D51:D55)</f>
        <v/>
      </c>
      <c r="E50" s="342">
        <f>SUM(E51:E55)</f>
        <v/>
      </c>
      <c r="F50" s="292">
        <f>SUM(F51:F55)</f>
        <v/>
      </c>
      <c r="G50" s="291">
        <f>SUM(G51:G55)</f>
        <v/>
      </c>
      <c r="H50" s="291">
        <f>SUM(H51:H55)</f>
        <v/>
      </c>
      <c r="I50" s="291">
        <f>SUM(I51:I55)</f>
        <v/>
      </c>
      <c r="J50" s="291">
        <f>SUM(J51:J55)</f>
        <v/>
      </c>
      <c r="K50" s="291">
        <f>SUM(K51:K55)</f>
        <v/>
      </c>
      <c r="L50" s="291">
        <f>SUM(L51:L55)</f>
        <v/>
      </c>
      <c r="M50" s="291">
        <f>SUM(M51:M55)</f>
        <v/>
      </c>
      <c r="N50" s="291">
        <f>SUM(N51:N55)</f>
        <v/>
      </c>
      <c r="O50" s="291">
        <f>SUM(O51:O55)</f>
        <v/>
      </c>
      <c r="P50" s="291">
        <f>SUM(P51:P55)</f>
        <v/>
      </c>
      <c r="Q50" s="288" t="n"/>
      <c r="R50" s="303">
        <f>SUM(R51:R56)</f>
        <v/>
      </c>
      <c r="S50" s="303">
        <f>SUM(S51:S56)</f>
        <v/>
      </c>
      <c r="T50" s="285" t="n"/>
      <c r="U50" s="285" t="n"/>
      <c r="V50" s="285" t="n"/>
      <c r="W50" s="285" t="n"/>
      <c r="X50" s="285" t="n"/>
      <c r="Y50" s="285" t="n"/>
      <c r="Z50" s="285" t="n"/>
    </row>
    <row r="51" ht="18.75" customHeight="1" s="398">
      <c r="A51" s="317" t="n"/>
      <c r="B51" s="318" t="inlineStr">
        <is>
          <t>Telefonia/Internet- apenas telefone, internet comodato</t>
        </is>
      </c>
      <c r="C51" s="299" t="n">
        <v>250</v>
      </c>
      <c r="D51" s="299">
        <f>50.63+61.51</f>
        <v/>
      </c>
      <c r="E51" s="348">
        <f>49.49+99.98</f>
        <v/>
      </c>
      <c r="F51" s="391">
        <f>98.49+99.98</f>
        <v/>
      </c>
      <c r="G51" s="299">
        <f>39.9+99.98</f>
        <v/>
      </c>
      <c r="H51" s="299">
        <f>39.9+99.98</f>
        <v/>
      </c>
      <c r="I51" s="299">
        <f>39.9+99.98</f>
        <v/>
      </c>
      <c r="J51" s="299">
        <f>39.9+99.98</f>
        <v/>
      </c>
      <c r="K51" s="299">
        <f>102.02+40.7</f>
        <v/>
      </c>
      <c r="L51" s="299">
        <f>101.12+39.9</f>
        <v/>
      </c>
      <c r="M51" s="299">
        <f>101.12</f>
        <v/>
      </c>
      <c r="N51" s="299">
        <f>40.8+101.12+39.9</f>
        <v/>
      </c>
      <c r="O51" s="299">
        <f>101.12</f>
        <v/>
      </c>
      <c r="P51" s="299" t="n"/>
      <c r="Q51" s="288" t="n"/>
      <c r="R51" s="299">
        <f>C51*12</f>
        <v/>
      </c>
      <c r="S51" s="299">
        <f>SUM(D51:P51)</f>
        <v/>
      </c>
      <c r="T51" s="285" t="n"/>
      <c r="U51" s="285" t="n"/>
      <c r="V51" s="285" t="n"/>
      <c r="W51" s="285" t="n"/>
      <c r="X51" s="285" t="n"/>
      <c r="Y51" s="285" t="n"/>
      <c r="Z51" s="285" t="n"/>
    </row>
    <row r="52" ht="18.75" customHeight="1" s="398">
      <c r="A52" s="284" t="n"/>
      <c r="B52" s="319" t="inlineStr">
        <is>
          <t xml:space="preserve">Correio/Remessa Correspondências/Motoboy/Diversas </t>
        </is>
      </c>
      <c r="C52" s="299" t="n">
        <v>150</v>
      </c>
      <c r="D52" s="299">
        <f>29.89+17.9+25.16+18.5</f>
        <v/>
      </c>
      <c r="E52" s="348">
        <f>44.51</f>
        <v/>
      </c>
      <c r="F52" s="391" t="n"/>
      <c r="G52" s="299" t="n"/>
      <c r="H52" s="299" t="n"/>
      <c r="I52" s="299">
        <f>44.51</f>
        <v/>
      </c>
      <c r="J52" s="299">
        <f>36.98</f>
        <v/>
      </c>
      <c r="K52" s="299">
        <f>190</f>
        <v/>
      </c>
      <c r="L52" s="299" t="n"/>
      <c r="M52" s="315">
        <f>2.02+117.65+9.41+70.59+14.11+149.83+27.82+202.46</f>
        <v/>
      </c>
      <c r="N52" s="299" t="n"/>
      <c r="O52" s="299" t="n"/>
      <c r="P52" s="299" t="n"/>
      <c r="Q52" s="288" t="n"/>
      <c r="R52" s="299">
        <f>C52*12</f>
        <v/>
      </c>
      <c r="S52" s="299">
        <f>SUM(D52:P52)</f>
        <v/>
      </c>
      <c r="T52" s="285" t="n"/>
      <c r="U52" s="285" t="n"/>
      <c r="V52" s="285" t="n"/>
      <c r="W52" s="285" t="n"/>
      <c r="X52" s="285" t="n"/>
      <c r="Y52" s="285" t="n"/>
      <c r="Z52" s="285" t="n"/>
    </row>
    <row r="53" ht="18.75" customHeight="1" s="398">
      <c r="A53" s="284" t="n"/>
      <c r="B53" s="319" t="inlineStr">
        <is>
          <t>Impostos - DIRF/DARF/ISSQN/PIS/COFINS</t>
        </is>
      </c>
      <c r="C53" s="315" t="n">
        <v>170</v>
      </c>
      <c r="D53" s="315">
        <f>25.44+24.75</f>
        <v/>
      </c>
      <c r="E53" s="349">
        <f>91.26+74.5</f>
        <v/>
      </c>
      <c r="F53" s="316">
        <f>461.19</f>
        <v/>
      </c>
      <c r="G53" s="315">
        <f>2.48+597.23</f>
        <v/>
      </c>
      <c r="H53" s="315">
        <f>81.4</f>
        <v/>
      </c>
      <c r="I53" s="315" t="n"/>
      <c r="J53" s="315" t="n"/>
      <c r="K53" s="315">
        <f>3090.49+114.57+9.16+68.74+13.74+134.01</f>
        <v/>
      </c>
      <c r="L53" s="315">
        <f>170.84</f>
        <v/>
      </c>
      <c r="N53" s="315">
        <f>131.54+10.52+78.92+15.78</f>
        <v/>
      </c>
      <c r="O53" s="315">
        <f>243.21</f>
        <v/>
      </c>
      <c r="P53" s="315" t="n"/>
      <c r="Q53" s="288" t="n"/>
      <c r="R53" s="299">
        <f>C53*12</f>
        <v/>
      </c>
      <c r="S53" s="299">
        <f>SUM(D53:P53)</f>
        <v/>
      </c>
      <c r="T53" s="285" t="n"/>
      <c r="U53" s="285" t="n"/>
      <c r="V53" s="285" t="n"/>
      <c r="W53" s="285" t="n"/>
      <c r="X53" s="285" t="n"/>
      <c r="Y53" s="285" t="n"/>
      <c r="Z53" s="285" t="n"/>
    </row>
    <row r="54" ht="18.75" customHeight="1" s="398">
      <c r="A54" s="317" t="n"/>
      <c r="B54" s="318" t="inlineStr">
        <is>
          <t xml:space="preserve">Taxa Desepesas com Assembleia </t>
        </is>
      </c>
      <c r="C54" s="315" t="n">
        <v>150</v>
      </c>
      <c r="D54" s="315" t="n"/>
      <c r="E54" s="349" t="n"/>
      <c r="F54" s="316" t="n"/>
      <c r="G54" s="315" t="n"/>
      <c r="H54" s="315" t="n"/>
      <c r="I54" s="315" t="n"/>
      <c r="J54" s="315" t="n"/>
      <c r="K54" s="315" t="n"/>
      <c r="L54" s="315" t="n"/>
      <c r="M54" s="315" t="n"/>
      <c r="N54" s="315" t="n"/>
      <c r="O54" s="315" t="n"/>
      <c r="P54" s="315" t="n"/>
      <c r="Q54" s="288" t="n"/>
      <c r="R54" s="299">
        <f>C54*12</f>
        <v/>
      </c>
      <c r="S54" s="299">
        <f>SUM(D54:P54)</f>
        <v/>
      </c>
      <c r="T54" s="285" t="n"/>
      <c r="U54" s="285" t="n"/>
      <c r="V54" s="285" t="n"/>
      <c r="W54" s="285" t="n"/>
      <c r="X54" s="285" t="n"/>
      <c r="Y54" s="285" t="n"/>
      <c r="Z54" s="285" t="n"/>
    </row>
    <row r="55" ht="18.75" customHeight="1" s="398">
      <c r="A55" s="284" t="n"/>
      <c r="B55" s="319" t="inlineStr">
        <is>
          <t>Custas Judiciais</t>
        </is>
      </c>
      <c r="C55" s="299" t="n">
        <v>200</v>
      </c>
      <c r="D55" s="299">
        <f>412.2</f>
        <v/>
      </c>
      <c r="E55" s="348" t="n"/>
      <c r="F55" s="391" t="n"/>
      <c r="G55" s="299" t="n"/>
      <c r="H55" s="299" t="n"/>
      <c r="I55" s="299" t="n"/>
      <c r="J55" s="299" t="n"/>
      <c r="K55" s="299" t="n"/>
      <c r="L55" s="299" t="n"/>
      <c r="M55" s="299" t="n"/>
      <c r="N55" s="299" t="n"/>
      <c r="O55" s="299" t="n"/>
      <c r="P55" s="299" t="n"/>
      <c r="Q55" s="288" t="n"/>
      <c r="R55" s="299">
        <f>C55*12</f>
        <v/>
      </c>
      <c r="S55" s="299">
        <f>SUM(D55:P55)</f>
        <v/>
      </c>
      <c r="T55" s="285" t="n"/>
      <c r="U55" s="285" t="n"/>
      <c r="V55" s="285" t="n"/>
      <c r="W55" s="285" t="n"/>
      <c r="X55" s="285" t="n"/>
      <c r="Y55" s="285" t="n"/>
      <c r="Z55" s="285" t="n"/>
    </row>
    <row r="56" ht="18.75" customHeight="1" s="398">
      <c r="A56" s="320" t="inlineStr">
        <is>
          <t>GOOGLE</t>
        </is>
      </c>
      <c r="B56" s="319" t="inlineStr">
        <is>
          <t>Hospedagem / Domínio Corporativo</t>
        </is>
      </c>
      <c r="C56" s="299" t="n">
        <v>200</v>
      </c>
      <c r="D56" s="299">
        <f>162</f>
        <v/>
      </c>
      <c r="E56" s="348">
        <f>188.12</f>
        <v/>
      </c>
      <c r="F56" s="391">
        <f>252</f>
        <v/>
      </c>
      <c r="G56" s="299" t="n"/>
      <c r="H56" s="299">
        <f>302</f>
        <v/>
      </c>
      <c r="I56" s="299">
        <f>252</f>
        <v/>
      </c>
      <c r="J56" s="299" t="n"/>
      <c r="K56" s="299">
        <f>252</f>
        <v/>
      </c>
      <c r="L56" s="299">
        <f>252</f>
        <v/>
      </c>
      <c r="M56" s="299" t="n"/>
      <c r="N56" s="299" t="n"/>
      <c r="O56" s="299" t="n"/>
      <c r="P56" s="299" t="n"/>
      <c r="Q56" s="288" t="n"/>
      <c r="R56" s="299">
        <f>C56*12</f>
        <v/>
      </c>
      <c r="S56" s="299">
        <f>SUM(D56:P56)</f>
        <v/>
      </c>
      <c r="T56" s="285" t="n"/>
      <c r="U56" s="285" t="n"/>
      <c r="V56" s="285" t="n"/>
      <c r="W56" s="285" t="n"/>
      <c r="X56" s="285" t="n"/>
      <c r="Y56" s="285" t="n"/>
      <c r="Z56" s="285" t="n"/>
    </row>
    <row r="57" ht="15.75" customHeight="1" s="398">
      <c r="A57" s="284" t="n"/>
      <c r="B57" s="284" t="n"/>
      <c r="C57" s="299" t="n"/>
      <c r="D57" s="299" t="n"/>
      <c r="E57" s="348" t="n"/>
      <c r="F57" s="391" t="n"/>
      <c r="G57" s="299" t="n"/>
      <c r="H57" s="299" t="n"/>
      <c r="I57" s="299" t="n"/>
      <c r="J57" s="299" t="n"/>
      <c r="K57" s="299" t="n"/>
      <c r="L57" s="299" t="n"/>
      <c r="M57" s="299" t="n"/>
      <c r="N57" s="299" t="n"/>
      <c r="O57" s="299" t="n"/>
      <c r="P57" s="299" t="n"/>
      <c r="Q57" s="288" t="n"/>
      <c r="R57" s="299" t="n"/>
      <c r="S57" s="284" t="n"/>
      <c r="T57" s="285" t="n"/>
      <c r="U57" s="285" t="n"/>
      <c r="V57" s="285" t="n"/>
      <c r="W57" s="285" t="n"/>
      <c r="X57" s="285" t="n"/>
      <c r="Y57" s="285" t="n"/>
      <c r="Z57" s="285" t="n"/>
    </row>
    <row r="58" ht="24" customHeight="1" s="398">
      <c r="A58" s="321" t="n"/>
      <c r="B58" s="321" t="inlineStr">
        <is>
          <t xml:space="preserve">COTA </t>
        </is>
      </c>
      <c r="C58" s="291">
        <f>C3+C18+C26+C36+C50</f>
        <v/>
      </c>
      <c r="D58" s="291">
        <f>SUM(D3,D18,D26,D36,D50)</f>
        <v/>
      </c>
      <c r="E58" s="342">
        <f>SUM(E3,E18,E26,E36,E50)</f>
        <v/>
      </c>
      <c r="F58" s="292">
        <f>SUM(F3,F18,F26,F36,F50)</f>
        <v/>
      </c>
      <c r="G58" s="291">
        <f>SUM(G3,G18,G26,G36,G50)</f>
        <v/>
      </c>
      <c r="H58" s="291">
        <f>SUM(H3,H18,H26,H36,H50)</f>
        <v/>
      </c>
      <c r="I58" s="291">
        <f>SUM(I3,I18,I26,I36,I50)</f>
        <v/>
      </c>
      <c r="J58" s="291">
        <f>SUM(J3,J18,J26,J36,J50)</f>
        <v/>
      </c>
      <c r="K58" s="291">
        <f>SUM(K3,K18,K26,K36,K50)</f>
        <v/>
      </c>
      <c r="L58" s="291">
        <f>SUM(L3,L18,L26,L36,L50)</f>
        <v/>
      </c>
      <c r="M58" s="291">
        <f>SUM(M3,M18,M26,M36,M50)</f>
        <v/>
      </c>
      <c r="N58" s="291">
        <f>SUM(N3,N18,N26,N36,N50)</f>
        <v/>
      </c>
      <c r="O58" s="291">
        <f>SUM(O3,O18,O26,O36,O50)</f>
        <v/>
      </c>
      <c r="P58" s="291">
        <f>SUM(P3,P18,P26,P36,P50)</f>
        <v/>
      </c>
      <c r="Q58" s="288" t="n"/>
      <c r="R58" s="303">
        <f>C58*12</f>
        <v/>
      </c>
      <c r="S58" s="293">
        <f>S3+S18+S26+S36+S50</f>
        <v/>
      </c>
      <c r="T58" s="285" t="n"/>
      <c r="U58" s="285" t="n"/>
      <c r="V58" s="285" t="n"/>
      <c r="W58" s="285" t="n"/>
      <c r="X58" s="285" t="n"/>
      <c r="Y58" s="285" t="n"/>
      <c r="Z58" s="285" t="n"/>
    </row>
    <row r="59" ht="15.75" customHeight="1" s="398">
      <c r="A59" s="322" t="n"/>
      <c r="B59" s="322" t="n"/>
      <c r="C59" s="323" t="n"/>
      <c r="D59" s="323" t="n"/>
      <c r="E59" s="350" t="n"/>
      <c r="F59" s="324" t="n"/>
      <c r="G59" s="323" t="n"/>
      <c r="H59" s="323" t="n"/>
      <c r="I59" s="323" t="n"/>
      <c r="J59" s="323" t="n"/>
      <c r="K59" s="323" t="n"/>
      <c r="L59" s="323" t="n"/>
      <c r="M59" s="323" t="n"/>
      <c r="N59" s="323" t="n"/>
      <c r="O59" s="323" t="n"/>
      <c r="P59" s="323" t="n"/>
      <c r="Q59" s="288" t="n"/>
      <c r="R59" s="299" t="n"/>
      <c r="S59" s="284" t="n"/>
      <c r="T59" s="285" t="n"/>
      <c r="U59" s="285" t="n"/>
      <c r="V59" s="285" t="n"/>
      <c r="W59" s="285" t="n"/>
      <c r="X59" s="285" t="n"/>
      <c r="Y59" s="285" t="n"/>
      <c r="Z59" s="285" t="n"/>
    </row>
    <row r="60" ht="24" customHeight="1" s="398">
      <c r="A60" s="290" t="n"/>
      <c r="B60" s="290" t="inlineStr">
        <is>
          <t xml:space="preserve">DESPESAS VARIÁVEIS </t>
        </is>
      </c>
      <c r="C60" s="291" t="inlineStr">
        <is>
          <t>R$  -</t>
        </is>
      </c>
      <c r="D60" s="291">
        <f>SUM(D61:D63)</f>
        <v/>
      </c>
      <c r="E60" s="342">
        <f>SUM(E61:E63)</f>
        <v/>
      </c>
      <c r="F60" s="292">
        <f>SUM(F61:F63)</f>
        <v/>
      </c>
      <c r="G60" s="291">
        <f>SUM(G61:G63)</f>
        <v/>
      </c>
      <c r="H60" s="291">
        <f>SUM(H61:H63)</f>
        <v/>
      </c>
      <c r="I60" s="291">
        <f>SUM(I61:I63)</f>
        <v/>
      </c>
      <c r="J60" s="291">
        <f>SUM(J61:J63)</f>
        <v/>
      </c>
      <c r="K60" s="291">
        <f>SUM(K61:K63)</f>
        <v/>
      </c>
      <c r="L60" s="291">
        <f>SUM(L61:L63)</f>
        <v/>
      </c>
      <c r="M60" s="291">
        <f>SUM(M61:M63)</f>
        <v/>
      </c>
      <c r="N60" s="291">
        <f>SUM(N61:N63)</f>
        <v/>
      </c>
      <c r="O60" s="291">
        <f>SUM(O61:O63)</f>
        <v/>
      </c>
      <c r="P60" s="291">
        <f>SUM(P61:P63)</f>
        <v/>
      </c>
      <c r="Q60" s="288" t="n"/>
      <c r="R60" s="303">
        <f>SUM(R61:R63)</f>
        <v/>
      </c>
      <c r="S60" s="303">
        <f>SUM(S61:S63)</f>
        <v/>
      </c>
      <c r="T60" s="285" t="n"/>
      <c r="U60" s="285" t="n"/>
      <c r="V60" s="285" t="n"/>
      <c r="W60" s="285" t="n"/>
      <c r="X60" s="285" t="n"/>
      <c r="Y60" s="285" t="n"/>
      <c r="Z60" s="285" t="n"/>
    </row>
    <row r="61" ht="18.75" customHeight="1" s="398">
      <c r="A61" s="325" t="n"/>
      <c r="B61" s="326" t="inlineStr">
        <is>
          <t>Água e Esgoto - Área Comum</t>
        </is>
      </c>
      <c r="C61" s="327" t="inlineStr">
        <is>
          <t>-</t>
        </is>
      </c>
      <c r="D61" s="327" t="n"/>
      <c r="E61" s="351">
        <f>11626.27+9552.81</f>
        <v/>
      </c>
      <c r="F61" s="328">
        <f>9552.81</f>
        <v/>
      </c>
      <c r="G61" s="327">
        <f>9552.81</f>
        <v/>
      </c>
      <c r="H61" s="327">
        <f>9552.81</f>
        <v/>
      </c>
      <c r="I61" s="327">
        <f>9552.81</f>
        <v/>
      </c>
      <c r="J61" s="327">
        <f>9552.81</f>
        <v/>
      </c>
      <c r="K61" s="327">
        <f>9552.81</f>
        <v/>
      </c>
      <c r="L61" s="327">
        <f>9552.81</f>
        <v/>
      </c>
      <c r="M61" s="327">
        <f>9552.81</f>
        <v/>
      </c>
      <c r="N61" s="327">
        <f>9552.81</f>
        <v/>
      </c>
      <c r="O61" s="327">
        <f>9552.81</f>
        <v/>
      </c>
      <c r="P61" s="327" t="n"/>
      <c r="Q61" s="288" t="n"/>
      <c r="R61" s="299" t="n"/>
      <c r="S61" s="299">
        <f>SUM(D61:P61)</f>
        <v/>
      </c>
      <c r="T61" s="285" t="n"/>
      <c r="U61" s="285" t="n"/>
      <c r="V61" s="285" t="n"/>
      <c r="W61" s="285" t="n"/>
      <c r="X61" s="285" t="n"/>
      <c r="Y61" s="285" t="n"/>
      <c r="Z61" s="285" t="n"/>
    </row>
    <row r="62" ht="18.75" customHeight="1" s="398">
      <c r="A62" s="325" t="n"/>
      <c r="B62" s="326" t="inlineStr">
        <is>
          <t>Energia Elétrica - Área Comum</t>
        </is>
      </c>
      <c r="C62" s="327" t="inlineStr">
        <is>
          <t>-</t>
        </is>
      </c>
      <c r="D62" s="327" t="n"/>
      <c r="E62" s="351">
        <f>19020.77+22207.26</f>
        <v/>
      </c>
      <c r="F62" s="328">
        <f>19922.55</f>
        <v/>
      </c>
      <c r="G62" s="327" t="n"/>
      <c r="H62" s="327">
        <f>17480.64+18304.5</f>
        <v/>
      </c>
      <c r="I62" s="327">
        <f>19879.76</f>
        <v/>
      </c>
      <c r="J62" s="327">
        <f>19825.49</f>
        <v/>
      </c>
      <c r="K62" s="327">
        <f>19684.02</f>
        <v/>
      </c>
      <c r="L62" s="327">
        <f>22611.32</f>
        <v/>
      </c>
      <c r="M62" s="327">
        <f>19895.15</f>
        <v/>
      </c>
      <c r="N62" s="327">
        <f>20245.43</f>
        <v/>
      </c>
      <c r="O62" s="327" t="n"/>
      <c r="P62" s="327" t="n"/>
      <c r="Q62" s="288" t="n"/>
      <c r="R62" s="299" t="n"/>
      <c r="S62" s="299">
        <f>SUM(D62:P62)</f>
        <v/>
      </c>
      <c r="T62" s="285" t="n"/>
      <c r="U62" s="285" t="n"/>
      <c r="V62" s="285" t="n"/>
      <c r="W62" s="285" t="n"/>
      <c r="X62" s="285" t="n"/>
      <c r="Y62" s="285" t="n"/>
      <c r="Z62" s="285" t="n"/>
    </row>
    <row r="63" ht="18.75" customHeight="1" s="398">
      <c r="A63" s="325" t="n"/>
      <c r="B63" s="326" t="inlineStr">
        <is>
          <t>Seguro fogo</t>
        </is>
      </c>
      <c r="C63" s="327" t="inlineStr">
        <is>
          <t>-</t>
        </is>
      </c>
      <c r="D63" s="327" t="n"/>
      <c r="E63" s="351" t="n"/>
      <c r="F63" s="328" t="n"/>
      <c r="G63" s="327" t="n"/>
      <c r="H63" s="327" t="n">
        <v>5192.48</v>
      </c>
      <c r="I63" s="327" t="n"/>
      <c r="J63" s="327">
        <f>5192.37</f>
        <v/>
      </c>
      <c r="K63" s="327">
        <f>5192.37</f>
        <v/>
      </c>
      <c r="L63" s="327">
        <f>5192.37</f>
        <v/>
      </c>
      <c r="M63" s="327">
        <f>5192.37</f>
        <v/>
      </c>
      <c r="N63" s="327">
        <f>5192.3</f>
        <v/>
      </c>
      <c r="O63" s="327" t="n"/>
      <c r="P63" s="327" t="n"/>
      <c r="Q63" s="288" t="n"/>
      <c r="R63" s="299" t="n"/>
      <c r="S63" s="299">
        <f>SUM(D63:P63)</f>
        <v/>
      </c>
      <c r="T63" s="285" t="n"/>
      <c r="U63" s="285" t="n"/>
      <c r="V63" s="285" t="n"/>
      <c r="W63" s="285" t="n"/>
      <c r="X63" s="285" t="n"/>
      <c r="Y63" s="285" t="n"/>
      <c r="Z63" s="285" t="n"/>
    </row>
    <row r="64" ht="15.75" customHeight="1" s="398">
      <c r="A64" s="317" t="n"/>
      <c r="B64" s="317" t="n"/>
      <c r="C64" s="315" t="n"/>
      <c r="D64" s="315" t="n"/>
      <c r="E64" s="349" t="n"/>
      <c r="F64" s="316" t="n"/>
      <c r="G64" s="315" t="n"/>
      <c r="H64" s="315" t="n"/>
      <c r="I64" s="315" t="n"/>
      <c r="J64" s="315" t="n"/>
      <c r="K64" s="315" t="n"/>
      <c r="L64" s="315" t="n"/>
      <c r="M64" s="315" t="n"/>
      <c r="N64" s="315" t="n"/>
      <c r="O64" s="315" t="n"/>
      <c r="P64" s="315" t="n"/>
      <c r="Q64" s="288" t="n"/>
      <c r="R64" s="299" t="n"/>
      <c r="S64" s="284" t="n"/>
      <c r="T64" s="285" t="n"/>
      <c r="U64" s="285" t="n"/>
      <c r="V64" s="285" t="n"/>
      <c r="W64" s="285" t="n"/>
      <c r="X64" s="285" t="n"/>
      <c r="Y64" s="285" t="n"/>
      <c r="Z64" s="285" t="n"/>
    </row>
    <row r="65" ht="24" customHeight="1" s="398">
      <c r="A65" s="290" t="n"/>
      <c r="B65" s="290" t="inlineStr">
        <is>
          <t>OUTRAS DESPESAS</t>
        </is>
      </c>
      <c r="C65" s="291" t="inlineStr">
        <is>
          <t>R$  -</t>
        </is>
      </c>
      <c r="D65" s="291">
        <f>SUM(D66:D70)</f>
        <v/>
      </c>
      <c r="E65" s="342">
        <f>SUM(E66:E70)</f>
        <v/>
      </c>
      <c r="F65" s="292">
        <f>SUM(F66:F70)</f>
        <v/>
      </c>
      <c r="G65" s="291">
        <f>SUM(G66:G70)</f>
        <v/>
      </c>
      <c r="H65" s="291">
        <f>SUM(H66:H70)</f>
        <v/>
      </c>
      <c r="I65" s="291">
        <f>SUM(I66:I70)</f>
        <v/>
      </c>
      <c r="J65" s="291">
        <f>SUM(J66:J70)</f>
        <v/>
      </c>
      <c r="K65" s="291">
        <f>SUM(K66:K70)</f>
        <v/>
      </c>
      <c r="L65" s="291">
        <f>SUM(L66:L70)</f>
        <v/>
      </c>
      <c r="M65" s="291">
        <f>SUM(M66:M70)</f>
        <v/>
      </c>
      <c r="N65" s="291">
        <f>SUM(N66:N70)</f>
        <v/>
      </c>
      <c r="O65" s="291">
        <f>SUM(O66:O70)</f>
        <v/>
      </c>
      <c r="P65" s="291">
        <f>SUM(P66:P70)</f>
        <v/>
      </c>
      <c r="Q65" s="288" t="n"/>
      <c r="R65" s="303">
        <f>SUM(R66:R69)</f>
        <v/>
      </c>
      <c r="S65" s="303">
        <f>SUM(S66:S70)</f>
        <v/>
      </c>
      <c r="T65" s="285" t="n"/>
      <c r="U65" s="285" t="n"/>
      <c r="V65" s="285" t="n"/>
      <c r="W65" s="285" t="n"/>
      <c r="X65" s="285" t="n"/>
      <c r="Y65" s="285" t="n"/>
      <c r="Z65" s="285" t="n"/>
    </row>
    <row r="66" ht="18.75" customHeight="1" s="398">
      <c r="A66" s="325" t="n"/>
      <c r="B66" s="326" t="inlineStr">
        <is>
          <t>Despesas Não Orçadas</t>
        </is>
      </c>
      <c r="C66" s="327" t="inlineStr">
        <is>
          <t>-</t>
        </is>
      </c>
      <c r="D66" s="327">
        <f>3079.5+868.15</f>
        <v/>
      </c>
      <c r="E66" s="351">
        <f>720.8+160+8.94+22.56</f>
        <v/>
      </c>
      <c r="F66" s="328">
        <f>12800+5404</f>
        <v/>
      </c>
      <c r="G66" s="327">
        <f>12800</f>
        <v/>
      </c>
      <c r="H66" s="327">
        <f>12800+5000+25770.36+230.5</f>
        <v/>
      </c>
      <c r="I66" s="327">
        <f>36507.93+36507.93</f>
        <v/>
      </c>
      <c r="J66" s="327">
        <f>36507.93</f>
        <v/>
      </c>
      <c r="K66" s="327">
        <f>5356.85+983.65+529.26</f>
        <v/>
      </c>
      <c r="L66" s="327">
        <f>5356.85+983.65+666.44</f>
        <v/>
      </c>
      <c r="M66" s="327">
        <f>11619.03+11619.03+11619.03</f>
        <v/>
      </c>
      <c r="N66" s="327">
        <f>11169.03+36507.85</f>
        <v/>
      </c>
      <c r="O66" s="327" t="n"/>
      <c r="P66" s="327" t="n"/>
      <c r="Q66" s="288" t="n"/>
      <c r="R66" s="299" t="n"/>
      <c r="S66" s="299">
        <f>SUM(D66:P66)</f>
        <v/>
      </c>
      <c r="T66" s="285" t="n"/>
      <c r="U66" s="285" t="n"/>
      <c r="V66" s="285" t="n"/>
      <c r="W66" s="285" t="n"/>
      <c r="X66" s="285" t="n"/>
      <c r="Y66" s="285" t="n"/>
      <c r="Z66" s="285" t="n"/>
    </row>
    <row r="67" ht="18.75" customHeight="1" s="398">
      <c r="A67" s="325" t="n"/>
      <c r="B67" s="326" t="inlineStr">
        <is>
          <t>Despesas reembolsáveis</t>
        </is>
      </c>
      <c r="C67" s="327" t="n"/>
      <c r="D67" s="327">
        <f>784</f>
        <v/>
      </c>
      <c r="E67" s="351">
        <f>453.01+240.41+2116.39+16+1416.83</f>
        <v/>
      </c>
      <c r="F67" s="328">
        <f>1416.83+453.01</f>
        <v/>
      </c>
      <c r="G67" s="327">
        <f>1416.83+453.01</f>
        <v/>
      </c>
      <c r="H67" s="327">
        <f>28.92+9.25+453.01+1416.83+495.4</f>
        <v/>
      </c>
      <c r="I67" s="327">
        <f>9.25+28.92+10.11+134.45+1416.83+453.01</f>
        <v/>
      </c>
      <c r="J67" s="327">
        <f>2.74+28.92+9.25+276.95</f>
        <v/>
      </c>
      <c r="K67" s="327">
        <f>453.01+1416.83+9.25+28.92+1350</f>
        <v/>
      </c>
      <c r="L67" s="503" t="n"/>
      <c r="M67" s="327">
        <f>260.15+4920+864+2875</f>
        <v/>
      </c>
      <c r="N67" s="327">
        <f>5.31</f>
        <v/>
      </c>
      <c r="O67" s="325" t="n"/>
      <c r="P67" s="327" t="n"/>
      <c r="Q67" s="288" t="n"/>
      <c r="R67" s="299">
        <f>C67*12</f>
        <v/>
      </c>
      <c r="S67" s="299">
        <f>SUM(D67:P67)</f>
        <v/>
      </c>
      <c r="T67" s="285" t="n"/>
      <c r="U67" s="285" t="n"/>
      <c r="V67" s="285" t="n"/>
      <c r="W67" s="285" t="n"/>
      <c r="X67" s="285" t="n"/>
      <c r="Y67" s="285" t="n"/>
      <c r="Z67" s="285" t="n"/>
    </row>
    <row r="68" ht="18.75" customHeight="1" s="398">
      <c r="A68" s="325" t="n"/>
      <c r="B68" s="326" t="inlineStr">
        <is>
          <t xml:space="preserve">Honorários advocatícios </t>
        </is>
      </c>
      <c r="C68" s="327" t="n"/>
      <c r="D68" s="327">
        <f>978.5+978.5+1957+21.5+21.5+43</f>
        <v/>
      </c>
      <c r="E68" s="351">
        <f>978.8+978.8+1957.6+489.4+489.4+978.8+21.2+83.7+21.2+42.4+10.6+10.6+50.4+21.2</f>
        <v/>
      </c>
      <c r="F68" s="328">
        <f>1953.4+976.7+488.35+488.35+976.7+976.7+976.7+9.25+28.92+5.74+65.8+46.6+23.3+11.65+11.65+23.3+23.3+23.3+43.19</f>
        <v/>
      </c>
      <c r="G68" s="327">
        <f>976+976+1952+488+488+976+976+28.92+9.25+24+24+48+12+12+24+24</f>
        <v/>
      </c>
      <c r="H68" s="327">
        <f>1960+490+980+980+10+40+56.48+10+20+20+490</f>
        <v/>
      </c>
      <c r="I68" s="327">
        <f>488.15+1952.6+976.3+976.3+976.3+976.3+488.15+47.4+23.7+23.7+23.7+23.7+11.85+11.85</f>
        <v/>
      </c>
      <c r="J68" s="327">
        <f>1949.8+974.9+974.9+974.9+487.45+487.45+50.2+25.1+25.1+25.1+12.55+12.55</f>
        <v/>
      </c>
      <c r="K68" s="327">
        <f>974.9+974.9+487.45+487.45+25.1+25.1+12.55+12.55</f>
        <v/>
      </c>
      <c r="L68" s="327">
        <f>974.8+974.8+487.4+487.4+974.8+25.2+25.2+12.6+12.6+25.2</f>
        <v/>
      </c>
      <c r="M68" s="327">
        <f>487.4+487.4+974.8+974.8+974.8+12.6+12.6+25.2+25.2+25.2</f>
        <v/>
      </c>
      <c r="N68" s="327">
        <f>487.35+487.35+974.7+12.65+12.65+25.3</f>
        <v/>
      </c>
      <c r="O68" s="327">
        <f>974.7+25.3+2436.25+2436.25</f>
        <v/>
      </c>
      <c r="P68" s="327" t="n"/>
      <c r="Q68" s="288" t="n"/>
      <c r="R68" s="299">
        <f>C68*12</f>
        <v/>
      </c>
      <c r="S68" s="299">
        <f>SUM(D68:P68)</f>
        <v/>
      </c>
      <c r="T68" s="285" t="n"/>
      <c r="U68" s="285" t="n"/>
      <c r="V68" s="285" t="n"/>
      <c r="W68" s="285" t="n"/>
      <c r="X68" s="285" t="n"/>
      <c r="Y68" s="285" t="n"/>
      <c r="Z68" s="285" t="n"/>
    </row>
    <row r="69" ht="18.75" customHeight="1" s="398">
      <c r="A69" s="325" t="n"/>
      <c r="B69" s="326" t="inlineStr">
        <is>
          <t>Ampliação do CFTV</t>
        </is>
      </c>
      <c r="C69" s="327" t="n"/>
      <c r="D69" s="327">
        <f>180+12924.2</f>
        <v/>
      </c>
      <c r="E69" s="351">
        <f>180+32.4+13.95</f>
        <v/>
      </c>
      <c r="F69" s="328" t="n"/>
      <c r="G69" s="327">
        <f>12376.51</f>
        <v/>
      </c>
      <c r="H69" s="327">
        <f>12485.76</f>
        <v/>
      </c>
      <c r="I69" s="327" t="n"/>
      <c r="K69" s="327" t="n"/>
      <c r="L69" s="327" t="n"/>
      <c r="M69" s="327" t="n"/>
      <c r="N69" s="327" t="n"/>
      <c r="O69" s="327" t="n"/>
      <c r="P69" s="327" t="n"/>
      <c r="Q69" s="288" t="n"/>
      <c r="R69" s="299">
        <f>C69*12</f>
        <v/>
      </c>
      <c r="S69" s="299">
        <f>SUM(D69:P69)</f>
        <v/>
      </c>
      <c r="T69" s="285" t="n"/>
      <c r="U69" s="285" t="n"/>
      <c r="V69" s="285" t="n"/>
      <c r="W69" s="285" t="n"/>
      <c r="X69" s="285" t="n"/>
      <c r="Y69" s="285" t="n"/>
      <c r="Z69" s="285" t="n"/>
    </row>
    <row r="70" ht="18.75" customHeight="1" s="398">
      <c r="A70" s="325" t="n"/>
      <c r="B70" s="326" t="inlineStr">
        <is>
          <t>Transferências Entre Contas</t>
        </is>
      </c>
      <c r="C70" s="327" t="inlineStr">
        <is>
          <t>-</t>
        </is>
      </c>
      <c r="D70" s="327" t="n"/>
      <c r="E70" s="351" t="n"/>
      <c r="F70" s="328" t="n"/>
      <c r="G70" s="327" t="n"/>
      <c r="H70" s="327" t="n"/>
      <c r="I70" s="327" t="n"/>
      <c r="J70" s="327" t="n"/>
      <c r="K70" s="327" t="n"/>
      <c r="L70" s="327" t="n"/>
      <c r="M70" s="327" t="n"/>
      <c r="N70" s="327" t="n"/>
      <c r="O70" s="327" t="n"/>
      <c r="P70" s="327" t="n"/>
      <c r="Q70" s="288" t="n"/>
      <c r="R70" s="299" t="n"/>
      <c r="S70" s="284" t="n"/>
      <c r="T70" s="285" t="n"/>
      <c r="U70" s="285" t="n"/>
      <c r="V70" s="285" t="n"/>
      <c r="W70" s="285" t="n"/>
      <c r="X70" s="285" t="n"/>
      <c r="Y70" s="285" t="n"/>
      <c r="Z70" s="285" t="n"/>
    </row>
    <row r="71" ht="15.75" customHeight="1" s="398">
      <c r="A71" s="317" t="n"/>
      <c r="B71" s="317" t="n"/>
      <c r="C71" s="315" t="n"/>
      <c r="D71" s="288" t="n"/>
      <c r="E71" s="349" t="n"/>
      <c r="F71" s="316" t="n"/>
      <c r="G71" s="315" t="n"/>
      <c r="H71" s="315" t="n"/>
      <c r="I71" s="315" t="n"/>
      <c r="J71" s="315" t="n"/>
      <c r="K71" s="315" t="n"/>
      <c r="L71" s="315" t="n"/>
      <c r="M71" s="315" t="n"/>
      <c r="N71" s="288" t="n"/>
      <c r="O71" s="288" t="n"/>
      <c r="P71" s="288" t="n"/>
      <c r="Q71" s="288" t="n"/>
      <c r="R71" s="299" t="n"/>
      <c r="S71" s="284" t="n"/>
      <c r="T71" s="285" t="n"/>
      <c r="U71" s="285" t="n"/>
      <c r="V71" s="285" t="n"/>
      <c r="W71" s="285" t="n"/>
      <c r="X71" s="285" t="n"/>
      <c r="Y71" s="285" t="n"/>
      <c r="Z71" s="285" t="n"/>
    </row>
    <row r="72" ht="24" customHeight="1" s="398">
      <c r="A72" s="330" t="n"/>
      <c r="B72" s="330" t="inlineStr">
        <is>
          <t>TOTAL DESPESAS CONTA PRINCIPAL</t>
        </is>
      </c>
      <c r="C72" s="477">
        <f>C58</f>
        <v/>
      </c>
      <c r="D72" s="477">
        <f>D65+D60+D58</f>
        <v/>
      </c>
      <c r="E72" s="352">
        <f>E65+E60+E58</f>
        <v/>
      </c>
      <c r="F72" s="332">
        <f>F65+F60+F58</f>
        <v/>
      </c>
      <c r="G72" s="477">
        <f>G65+G60+G58</f>
        <v/>
      </c>
      <c r="H72" s="477">
        <f>H65+H60+H58</f>
        <v/>
      </c>
      <c r="I72" s="477">
        <f>I65+I60+I58</f>
        <v/>
      </c>
      <c r="J72" s="477">
        <f>J65+J60+J58</f>
        <v/>
      </c>
      <c r="K72" s="477">
        <f>K65+K60+K58</f>
        <v/>
      </c>
      <c r="L72" s="477">
        <f>L65+L60+L58</f>
        <v/>
      </c>
      <c r="M72" s="477">
        <f>M65+M60+M58</f>
        <v/>
      </c>
      <c r="N72" s="477">
        <f>N58+N60+N65</f>
        <v/>
      </c>
      <c r="O72" s="477">
        <f>O58+O60+O65</f>
        <v/>
      </c>
      <c r="P72" s="477">
        <f>P65+P60+P58</f>
        <v/>
      </c>
      <c r="Q72" s="288" t="n"/>
      <c r="R72" s="303">
        <f>R58+R60+R65</f>
        <v/>
      </c>
      <c r="S72" s="293">
        <f>S58+S60+S65</f>
        <v/>
      </c>
      <c r="T72" s="285" t="n"/>
      <c r="U72" s="504">
        <f>(S58+S65)-S67</f>
        <v/>
      </c>
      <c r="V72" s="285" t="n"/>
      <c r="W72" s="285" t="n"/>
      <c r="X72" s="285" t="n"/>
      <c r="Y72" s="285" t="n"/>
      <c r="Z72" s="285" t="n"/>
    </row>
    <row r="73" ht="15.75" customHeight="1" s="398">
      <c r="A73" s="317" t="n"/>
      <c r="B73" s="317" t="n"/>
      <c r="C73" s="315" t="n"/>
      <c r="D73" s="288" t="n"/>
      <c r="E73" s="348" t="n"/>
      <c r="F73" s="391" t="n"/>
      <c r="G73" s="284" t="n"/>
      <c r="H73" s="288" t="n"/>
      <c r="I73" s="288" t="n"/>
      <c r="J73" s="288" t="n"/>
      <c r="K73" s="288" t="n"/>
      <c r="L73" s="288" t="n"/>
      <c r="M73" s="288" t="n"/>
      <c r="N73" s="288" t="n"/>
      <c r="O73" s="288" t="n"/>
      <c r="P73" s="288" t="n"/>
      <c r="Q73" s="288" t="n"/>
      <c r="R73" s="284" t="n"/>
      <c r="S73" s="284" t="n"/>
      <c r="T73" s="285" t="n"/>
      <c r="U73" s="504">
        <f>U72-R72</f>
        <v/>
      </c>
      <c r="V73" s="285" t="n"/>
      <c r="W73" s="285" t="n"/>
      <c r="X73" s="285" t="n"/>
      <c r="Y73" s="285" t="n"/>
      <c r="Z73" s="285" t="n"/>
    </row>
    <row r="74" ht="15.75" customHeight="1" s="398">
      <c r="A74" s="317" t="n"/>
      <c r="B74" s="317" t="n"/>
      <c r="C74" s="315" t="n"/>
      <c r="D74" s="288" t="n"/>
      <c r="E74" s="348" t="n"/>
      <c r="F74" s="391" t="n"/>
      <c r="G74" s="284" t="n"/>
      <c r="H74" s="288" t="n"/>
      <c r="I74" s="335" t="n"/>
      <c r="J74" s="288" t="n"/>
      <c r="K74" s="288" t="n"/>
      <c r="L74" s="288" t="n"/>
      <c r="M74" s="288" t="n"/>
      <c r="N74" s="288" t="n"/>
      <c r="O74" s="288" t="n"/>
      <c r="P74" s="288" t="n"/>
      <c r="Q74" s="288" t="n"/>
      <c r="R74" s="479" t="n"/>
      <c r="S74" s="284" t="n"/>
      <c r="T74" s="285" t="n"/>
      <c r="U74" s="285" t="n"/>
      <c r="V74" s="285" t="n"/>
      <c r="W74" s="285" t="n"/>
      <c r="X74" s="285" t="n"/>
      <c r="Y74" s="285" t="n"/>
      <c r="Z74" s="285" t="n"/>
    </row>
    <row r="75" ht="15.75" customHeight="1" s="398">
      <c r="A75" s="317" t="n"/>
      <c r="B75" s="317" t="n"/>
      <c r="C75" s="315" t="n"/>
      <c r="D75" s="288" t="n"/>
      <c r="E75" s="353" t="n"/>
      <c r="F75" s="284" t="n"/>
      <c r="G75" s="284" t="n"/>
      <c r="H75" s="288" t="n"/>
      <c r="I75" s="288" t="n"/>
      <c r="J75" s="288" t="n"/>
      <c r="K75" s="288" t="n"/>
      <c r="L75" s="288" t="n"/>
      <c r="M75" s="288" t="n"/>
      <c r="N75" s="288" t="n"/>
      <c r="O75" s="288" t="n"/>
      <c r="P75" s="288" t="n"/>
      <c r="Q75" s="288" t="n"/>
      <c r="R75" s="284" t="n"/>
      <c r="S75" s="284" t="n"/>
      <c r="T75" s="285" t="n"/>
      <c r="U75" s="285" t="n"/>
      <c r="V75" s="285" t="n"/>
      <c r="W75" s="285" t="n"/>
      <c r="X75" s="285" t="n"/>
      <c r="Y75" s="285" t="n"/>
      <c r="Z75" s="285" t="n"/>
    </row>
    <row r="76" ht="15.75" customHeight="1" s="398">
      <c r="A76" s="317" t="n"/>
      <c r="B76" s="317" t="n"/>
      <c r="C76" s="315" t="n"/>
      <c r="D76" s="288" t="n"/>
      <c r="E76" s="353" t="n"/>
      <c r="F76" s="284" t="n"/>
      <c r="G76" s="284" t="n"/>
      <c r="H76" s="288" t="n"/>
      <c r="I76" s="288" t="n"/>
      <c r="J76" s="288" t="n"/>
      <c r="K76" s="288" t="n"/>
      <c r="L76" s="288" t="n"/>
      <c r="M76" s="288" t="n"/>
      <c r="N76" s="288" t="n"/>
      <c r="O76" s="288" t="n"/>
      <c r="P76" s="288" t="n"/>
      <c r="Q76" s="288" t="n"/>
      <c r="R76" s="284" t="n"/>
      <c r="S76" s="284" t="n"/>
      <c r="T76" s="285" t="n"/>
      <c r="U76" s="285" t="n"/>
      <c r="V76" s="285" t="n"/>
      <c r="W76" s="285" t="n"/>
      <c r="X76" s="285" t="n"/>
      <c r="Y76" s="285" t="n"/>
      <c r="Z76" s="285" t="n"/>
    </row>
    <row r="77" ht="15.75" customHeight="1" s="398">
      <c r="A77" s="317" t="n"/>
      <c r="B77" s="317" t="n"/>
      <c r="C77" s="315" t="n"/>
      <c r="D77" s="288" t="n"/>
      <c r="E77" s="348" t="n"/>
      <c r="F77" s="391" t="n"/>
      <c r="G77" s="284" t="n"/>
      <c r="H77" s="288" t="n"/>
      <c r="I77" s="288" t="n"/>
      <c r="J77" s="288" t="n"/>
      <c r="K77" s="288" t="n"/>
      <c r="L77" s="288" t="n"/>
      <c r="M77" s="288" t="n"/>
      <c r="N77" s="288" t="n"/>
      <c r="O77" s="288" t="n"/>
      <c r="P77" s="288" t="n"/>
      <c r="Q77" s="288" t="n"/>
      <c r="R77" s="284" t="n"/>
      <c r="S77" s="284" t="n"/>
      <c r="T77" s="285" t="n"/>
      <c r="U77" s="285" t="n"/>
      <c r="V77" s="285" t="n"/>
      <c r="W77" s="285" t="n"/>
      <c r="X77" s="285" t="n"/>
      <c r="Y77" s="285" t="n"/>
      <c r="Z77" s="285" t="n"/>
    </row>
    <row r="78" ht="15.75" customHeight="1" s="398">
      <c r="A78" s="317" t="n"/>
      <c r="B78" s="317" t="n"/>
      <c r="C78" s="315" t="n"/>
      <c r="D78" s="288" t="n"/>
      <c r="E78" s="348" t="n"/>
      <c r="F78" s="391" t="n"/>
      <c r="G78" s="284" t="n"/>
      <c r="H78" s="288" t="n"/>
      <c r="I78" s="288" t="n"/>
      <c r="J78" s="288" t="n"/>
      <c r="K78" s="288" t="n"/>
      <c r="L78" s="288" t="n"/>
      <c r="M78" s="288" t="n"/>
      <c r="N78" s="288" t="n"/>
      <c r="O78" s="288" t="n"/>
      <c r="P78" s="288" t="n"/>
      <c r="Q78" s="288" t="n"/>
      <c r="R78" s="284" t="n"/>
      <c r="S78" s="284" t="n"/>
      <c r="T78" s="285" t="n"/>
      <c r="U78" s="285" t="n"/>
      <c r="V78" s="285" t="n"/>
      <c r="W78" s="285" t="n"/>
      <c r="X78" s="285" t="n"/>
      <c r="Y78" s="285" t="n"/>
      <c r="Z78" s="285" t="n"/>
    </row>
    <row r="79" ht="15.75" customHeight="1" s="398">
      <c r="A79" s="317" t="n"/>
      <c r="B79" s="317" t="n"/>
      <c r="C79" s="315" t="n"/>
      <c r="D79" s="288" t="n"/>
      <c r="E79" s="348" t="n"/>
      <c r="F79" s="391" t="n"/>
      <c r="G79" s="284" t="n"/>
      <c r="H79" s="288" t="n"/>
      <c r="I79" s="288" t="n"/>
      <c r="J79" s="288" t="n"/>
      <c r="K79" s="288" t="n"/>
      <c r="L79" s="288" t="n"/>
      <c r="M79" s="288" t="n"/>
      <c r="N79" s="288" t="n"/>
      <c r="O79" s="288" t="n"/>
      <c r="P79" s="288" t="n"/>
      <c r="Q79" s="288" t="n"/>
      <c r="R79" s="284" t="n"/>
      <c r="S79" s="284" t="n"/>
      <c r="T79" s="285" t="n"/>
      <c r="U79" s="285" t="n"/>
      <c r="V79" s="285" t="n"/>
      <c r="W79" s="285" t="n"/>
      <c r="X79" s="285" t="n"/>
      <c r="Y79" s="285" t="n"/>
      <c r="Z79" s="285" t="n"/>
    </row>
    <row r="80" ht="15.75" customHeight="1" s="398">
      <c r="A80" s="317" t="n"/>
      <c r="B80" s="317" t="n"/>
      <c r="C80" s="315" t="n"/>
      <c r="D80" s="288" t="n"/>
      <c r="E80" s="348" t="n"/>
      <c r="F80" s="391" t="n"/>
      <c r="G80" s="284" t="n"/>
      <c r="H80" s="288" t="n"/>
      <c r="I80" s="288" t="n"/>
      <c r="J80" s="288" t="n"/>
      <c r="K80" s="288" t="n"/>
      <c r="L80" s="288" t="n"/>
      <c r="M80" s="288" t="n"/>
      <c r="N80" s="288" t="n"/>
      <c r="O80" s="288" t="n"/>
      <c r="P80" s="288" t="n"/>
      <c r="Q80" s="288" t="n"/>
      <c r="R80" s="284" t="n"/>
      <c r="S80" s="284" t="n"/>
      <c r="T80" s="285" t="n"/>
      <c r="U80" s="285" t="n"/>
      <c r="V80" s="285" t="n"/>
      <c r="W80" s="285" t="n"/>
      <c r="X80" s="285" t="n"/>
      <c r="Y80" s="285" t="n"/>
      <c r="Z80" s="285" t="n"/>
    </row>
    <row r="81" ht="15.75" customHeight="1" s="398">
      <c r="A81" s="317" t="n"/>
      <c r="B81" s="317" t="n"/>
      <c r="C81" s="315" t="n"/>
      <c r="D81" s="288" t="n"/>
      <c r="E81" s="348" t="n"/>
      <c r="F81" s="391" t="n"/>
      <c r="G81" s="284" t="n"/>
      <c r="H81" s="288" t="n"/>
      <c r="I81" s="288" t="n"/>
      <c r="J81" s="288" t="n"/>
      <c r="K81" s="288" t="n"/>
      <c r="L81" s="288" t="n"/>
      <c r="M81" s="288" t="n"/>
      <c r="N81" s="288" t="n"/>
      <c r="O81" s="288" t="n"/>
      <c r="P81" s="288" t="n"/>
      <c r="Q81" s="288" t="n"/>
      <c r="R81" s="284" t="n"/>
      <c r="S81" s="284" t="n"/>
      <c r="T81" s="285" t="n"/>
      <c r="U81" s="285" t="n"/>
      <c r="V81" s="285" t="n"/>
      <c r="W81" s="285" t="n"/>
      <c r="X81" s="285" t="n"/>
      <c r="Y81" s="285" t="n"/>
      <c r="Z81" s="285" t="n"/>
    </row>
    <row r="82" ht="15.75" customHeight="1" s="398">
      <c r="A82" s="317" t="n"/>
      <c r="B82" s="317" t="n"/>
      <c r="C82" s="315" t="n"/>
      <c r="D82" s="288" t="n"/>
      <c r="E82" s="348" t="n"/>
      <c r="F82" s="391" t="n"/>
      <c r="G82" s="284" t="n"/>
      <c r="H82" s="288" t="n"/>
      <c r="I82" s="288" t="n"/>
      <c r="J82" s="288" t="n"/>
      <c r="K82" s="288" t="n"/>
      <c r="L82" s="288" t="n"/>
      <c r="M82" s="288" t="n"/>
      <c r="N82" s="288" t="n"/>
      <c r="O82" s="288" t="n"/>
      <c r="P82" s="288" t="n"/>
      <c r="Q82" s="288" t="n"/>
      <c r="R82" s="284" t="n"/>
      <c r="S82" s="284" t="n"/>
      <c r="T82" s="285" t="n"/>
      <c r="U82" s="285" t="n"/>
      <c r="V82" s="285" t="n"/>
      <c r="W82" s="285" t="n"/>
      <c r="X82" s="285" t="n"/>
      <c r="Y82" s="285" t="n"/>
      <c r="Z82" s="285" t="n"/>
    </row>
    <row r="83" ht="15.75" customHeight="1" s="398">
      <c r="A83" s="317" t="n"/>
      <c r="B83" s="317" t="n"/>
      <c r="C83" s="315" t="n"/>
      <c r="D83" s="288" t="n"/>
      <c r="E83" s="348" t="n"/>
      <c r="F83" s="391" t="n"/>
      <c r="G83" s="284" t="n"/>
      <c r="H83" s="288" t="n"/>
      <c r="I83" s="288" t="n"/>
      <c r="J83" s="288" t="n"/>
      <c r="K83" s="288" t="n"/>
      <c r="L83" s="288" t="n"/>
      <c r="M83" s="288" t="n"/>
      <c r="N83" s="288" t="n"/>
      <c r="O83" s="288" t="n"/>
      <c r="P83" s="288" t="n"/>
      <c r="Q83" s="288" t="n"/>
      <c r="R83" s="284" t="n"/>
      <c r="S83" s="284" t="n"/>
      <c r="T83" s="285" t="n"/>
      <c r="U83" s="285" t="n"/>
      <c r="V83" s="285" t="n"/>
      <c r="W83" s="285" t="n"/>
      <c r="X83" s="285" t="n"/>
      <c r="Y83" s="285" t="n"/>
      <c r="Z83" s="285" t="n"/>
    </row>
    <row r="84" ht="15.75" customHeight="1" s="398">
      <c r="A84" s="317" t="n"/>
      <c r="B84" s="317" t="n"/>
      <c r="C84" s="315" t="n"/>
      <c r="D84" s="288" t="n"/>
      <c r="E84" s="348" t="n"/>
      <c r="F84" s="391" t="n"/>
      <c r="G84" s="284" t="n"/>
      <c r="H84" s="288" t="n"/>
      <c r="I84" s="288" t="n"/>
      <c r="J84" s="288" t="n"/>
      <c r="K84" s="288" t="n"/>
      <c r="L84" s="288" t="n"/>
      <c r="M84" s="288" t="n"/>
      <c r="N84" s="288" t="n"/>
      <c r="O84" s="288" t="n"/>
      <c r="P84" s="288" t="n"/>
      <c r="Q84" s="288" t="n"/>
      <c r="R84" s="284" t="n"/>
      <c r="S84" s="284" t="n"/>
      <c r="T84" s="285" t="n"/>
      <c r="U84" s="285" t="n"/>
      <c r="V84" s="285" t="n"/>
      <c r="W84" s="285" t="n"/>
      <c r="X84" s="285" t="n"/>
      <c r="Y84" s="285" t="n"/>
      <c r="Z84" s="285" t="n"/>
    </row>
    <row r="85" ht="15.75" customHeight="1" s="398">
      <c r="A85" s="317" t="n"/>
      <c r="B85" s="317" t="n"/>
      <c r="C85" s="315" t="n"/>
      <c r="D85" s="288" t="n"/>
      <c r="E85" s="348" t="n"/>
      <c r="F85" s="391" t="n"/>
      <c r="G85" s="284" t="n"/>
      <c r="H85" s="288" t="n"/>
      <c r="I85" s="288" t="n"/>
      <c r="J85" s="288" t="n"/>
      <c r="K85" s="288" t="n"/>
      <c r="L85" s="288" t="n"/>
      <c r="M85" s="288" t="n"/>
      <c r="N85" s="288" t="n"/>
      <c r="O85" s="288" t="n"/>
      <c r="P85" s="288" t="n"/>
      <c r="Q85" s="288" t="n"/>
      <c r="R85" s="284" t="n"/>
      <c r="S85" s="284" t="n"/>
      <c r="T85" s="285" t="n"/>
      <c r="U85" s="285" t="n"/>
      <c r="V85" s="285" t="n"/>
      <c r="W85" s="285" t="n"/>
      <c r="X85" s="285" t="n"/>
      <c r="Y85" s="285" t="n"/>
      <c r="Z85" s="285" t="n"/>
    </row>
    <row r="86" ht="15.75" customHeight="1" s="398">
      <c r="A86" s="317" t="n"/>
      <c r="B86" s="317" t="n"/>
      <c r="C86" s="315" t="n"/>
      <c r="D86" s="288" t="n"/>
      <c r="E86" s="348" t="n"/>
      <c r="F86" s="391" t="n"/>
      <c r="G86" s="284" t="n"/>
      <c r="H86" s="288" t="n"/>
      <c r="I86" s="288" t="n"/>
      <c r="J86" s="288" t="n"/>
      <c r="K86" s="288" t="n"/>
      <c r="L86" s="288" t="n"/>
      <c r="M86" s="288" t="n"/>
      <c r="N86" s="288" t="n"/>
      <c r="O86" s="288" t="n"/>
      <c r="P86" s="288" t="n"/>
      <c r="Q86" s="288" t="n"/>
      <c r="R86" s="284" t="n"/>
      <c r="S86" s="284" t="n"/>
      <c r="T86" s="285" t="n"/>
      <c r="U86" s="285" t="n"/>
      <c r="V86" s="285" t="n"/>
      <c r="W86" s="285" t="n"/>
      <c r="X86" s="285" t="n"/>
      <c r="Y86" s="285" t="n"/>
      <c r="Z86" s="285" t="n"/>
    </row>
    <row r="87" ht="15.75" customHeight="1" s="398">
      <c r="A87" s="317" t="n"/>
      <c r="B87" s="317" t="n"/>
      <c r="C87" s="315" t="n"/>
      <c r="D87" s="288" t="n"/>
      <c r="E87" s="348" t="n"/>
      <c r="F87" s="391" t="n"/>
      <c r="G87" s="284" t="n"/>
      <c r="H87" s="288" t="n"/>
      <c r="I87" s="288" t="n"/>
      <c r="J87" s="288" t="n"/>
      <c r="K87" s="288" t="n"/>
      <c r="L87" s="288" t="n"/>
      <c r="M87" s="288" t="n"/>
      <c r="N87" s="288" t="n"/>
      <c r="O87" s="288" t="n"/>
      <c r="P87" s="288" t="n"/>
      <c r="Q87" s="288" t="n"/>
      <c r="R87" s="284" t="n"/>
      <c r="S87" s="284" t="n"/>
      <c r="T87" s="285" t="n"/>
      <c r="U87" s="285" t="n"/>
      <c r="V87" s="285" t="n"/>
      <c r="W87" s="285" t="n"/>
      <c r="X87" s="285" t="n"/>
      <c r="Y87" s="285" t="n"/>
      <c r="Z87" s="285" t="n"/>
    </row>
    <row r="88" ht="15.75" customHeight="1" s="398">
      <c r="A88" s="317" t="n"/>
      <c r="B88" s="317" t="n"/>
      <c r="C88" s="315" t="n"/>
      <c r="D88" s="288" t="n"/>
      <c r="E88" s="348" t="n"/>
      <c r="F88" s="391" t="n"/>
      <c r="G88" s="284" t="n"/>
      <c r="H88" s="288" t="n"/>
      <c r="I88" s="288" t="n"/>
      <c r="J88" s="288" t="n"/>
      <c r="K88" s="288" t="n"/>
      <c r="L88" s="288" t="n"/>
      <c r="M88" s="288" t="n"/>
      <c r="N88" s="288" t="n"/>
      <c r="O88" s="288" t="n"/>
      <c r="P88" s="288" t="n"/>
      <c r="Q88" s="288" t="n"/>
      <c r="R88" s="284" t="n"/>
      <c r="S88" s="284" t="n"/>
      <c r="T88" s="285" t="n"/>
      <c r="U88" s="285" t="n"/>
      <c r="V88" s="285" t="n"/>
      <c r="W88" s="285" t="n"/>
      <c r="X88" s="285" t="n"/>
      <c r="Y88" s="285" t="n"/>
      <c r="Z88" s="285" t="n"/>
    </row>
    <row r="89" ht="15.75" customHeight="1" s="398">
      <c r="A89" s="317" t="n"/>
      <c r="B89" s="317" t="n"/>
      <c r="C89" s="315" t="n"/>
      <c r="D89" s="288" t="n"/>
      <c r="E89" s="348" t="n"/>
      <c r="F89" s="391" t="n"/>
      <c r="G89" s="284" t="n"/>
      <c r="H89" s="288" t="n"/>
      <c r="I89" s="288" t="n"/>
      <c r="J89" s="288" t="n"/>
      <c r="K89" s="288" t="n"/>
      <c r="L89" s="288" t="n"/>
      <c r="M89" s="288" t="n"/>
      <c r="N89" s="288" t="n"/>
      <c r="O89" s="288" t="n"/>
      <c r="P89" s="288" t="n"/>
      <c r="Q89" s="288" t="n"/>
      <c r="R89" s="284" t="n"/>
      <c r="S89" s="284" t="n"/>
      <c r="T89" s="285" t="n"/>
      <c r="U89" s="285" t="n"/>
      <c r="V89" s="285" t="n"/>
      <c r="W89" s="285" t="n"/>
      <c r="X89" s="285" t="n"/>
      <c r="Y89" s="285" t="n"/>
      <c r="Z89" s="285" t="n"/>
    </row>
    <row r="90" ht="15.75" customHeight="1" s="398">
      <c r="A90" s="317" t="n"/>
      <c r="B90" s="317" t="n"/>
      <c r="C90" s="315" t="n"/>
      <c r="D90" s="288" t="n"/>
      <c r="E90" s="348" t="n"/>
      <c r="F90" s="391" t="n"/>
      <c r="G90" s="284" t="n"/>
      <c r="H90" s="288" t="n"/>
      <c r="I90" s="288" t="n"/>
      <c r="J90" s="288" t="n"/>
      <c r="K90" s="288" t="n"/>
      <c r="L90" s="288" t="n"/>
      <c r="M90" s="288" t="n"/>
      <c r="N90" s="288" t="n"/>
      <c r="O90" s="288" t="n"/>
      <c r="P90" s="288" t="n"/>
      <c r="Q90" s="288" t="n"/>
      <c r="R90" s="284" t="n"/>
      <c r="S90" s="284" t="n"/>
      <c r="T90" s="285" t="n"/>
      <c r="U90" s="285" t="n"/>
      <c r="V90" s="285" t="n"/>
      <c r="W90" s="285" t="n"/>
      <c r="X90" s="285" t="n"/>
      <c r="Y90" s="285" t="n"/>
      <c r="Z90" s="285" t="n"/>
    </row>
    <row r="91" ht="15.75" customHeight="1" s="398">
      <c r="A91" s="317" t="n"/>
      <c r="B91" s="317" t="n"/>
      <c r="C91" s="315" t="n"/>
      <c r="D91" s="288" t="n"/>
      <c r="E91" s="348" t="n"/>
      <c r="F91" s="391" t="n"/>
      <c r="G91" s="284" t="n"/>
      <c r="H91" s="288" t="n"/>
      <c r="I91" s="288" t="n"/>
      <c r="J91" s="288" t="n"/>
      <c r="K91" s="288" t="n"/>
      <c r="L91" s="288" t="n"/>
      <c r="M91" s="288" t="n"/>
      <c r="N91" s="288" t="n"/>
      <c r="O91" s="288" t="n"/>
      <c r="P91" s="288" t="n"/>
      <c r="Q91" s="288" t="n"/>
      <c r="R91" s="284" t="n"/>
      <c r="S91" s="284" t="n"/>
      <c r="T91" s="285" t="n"/>
      <c r="U91" s="285" t="n"/>
      <c r="V91" s="285" t="n"/>
      <c r="W91" s="285" t="n"/>
      <c r="X91" s="285" t="n"/>
      <c r="Y91" s="285" t="n"/>
      <c r="Z91" s="285" t="n"/>
    </row>
    <row r="92" ht="15.75" customHeight="1" s="398">
      <c r="A92" s="317" t="n"/>
      <c r="B92" s="317" t="n"/>
      <c r="C92" s="315" t="n"/>
      <c r="D92" s="288" t="n"/>
      <c r="E92" s="348" t="n"/>
      <c r="F92" s="391" t="n"/>
      <c r="G92" s="284" t="n"/>
      <c r="H92" s="288" t="n"/>
      <c r="I92" s="288" t="n"/>
      <c r="J92" s="288" t="n"/>
      <c r="K92" s="288" t="n"/>
      <c r="L92" s="288" t="n"/>
      <c r="M92" s="288" t="n"/>
      <c r="N92" s="288" t="n"/>
      <c r="O92" s="288" t="n"/>
      <c r="P92" s="288" t="n"/>
      <c r="Q92" s="288" t="n"/>
      <c r="R92" s="284" t="n"/>
      <c r="S92" s="284" t="n"/>
      <c r="T92" s="285" t="n"/>
      <c r="U92" s="285" t="n"/>
      <c r="V92" s="285" t="n"/>
      <c r="W92" s="285" t="n"/>
      <c r="X92" s="285" t="n"/>
      <c r="Y92" s="285" t="n"/>
      <c r="Z92" s="285" t="n"/>
    </row>
    <row r="93" ht="15.75" customHeight="1" s="398">
      <c r="A93" s="317" t="n"/>
      <c r="B93" s="317" t="n"/>
      <c r="C93" s="315" t="n"/>
      <c r="D93" s="288" t="n"/>
      <c r="E93" s="348" t="n"/>
      <c r="F93" s="391" t="n"/>
      <c r="G93" s="284" t="n"/>
      <c r="H93" s="288" t="n"/>
      <c r="I93" s="288" t="n"/>
      <c r="J93" s="288" t="n"/>
      <c r="K93" s="288" t="n"/>
      <c r="L93" s="288" t="n"/>
      <c r="M93" s="288" t="n"/>
      <c r="N93" s="288" t="n"/>
      <c r="O93" s="288" t="n"/>
      <c r="P93" s="288" t="n"/>
      <c r="Q93" s="288" t="n"/>
      <c r="R93" s="284" t="n"/>
      <c r="S93" s="284" t="n"/>
      <c r="T93" s="285" t="n"/>
      <c r="U93" s="285" t="n"/>
      <c r="V93" s="285" t="n"/>
      <c r="W93" s="285" t="n"/>
      <c r="X93" s="285" t="n"/>
      <c r="Y93" s="285" t="n"/>
      <c r="Z93" s="285" t="n"/>
    </row>
    <row r="94" ht="15.75" customHeight="1" s="398">
      <c r="A94" s="317" t="n"/>
      <c r="B94" s="317" t="n"/>
      <c r="C94" s="315" t="n"/>
      <c r="D94" s="288" t="n"/>
      <c r="E94" s="348" t="n"/>
      <c r="F94" s="391" t="n"/>
      <c r="G94" s="284" t="n"/>
      <c r="H94" s="288" t="n"/>
      <c r="I94" s="288" t="n"/>
      <c r="J94" s="288" t="n"/>
      <c r="K94" s="288" t="n"/>
      <c r="L94" s="288" t="n"/>
      <c r="M94" s="288" t="n"/>
      <c r="N94" s="288" t="n"/>
      <c r="O94" s="288" t="n"/>
      <c r="P94" s="288" t="n"/>
      <c r="Q94" s="288" t="n"/>
      <c r="R94" s="284" t="n"/>
      <c r="S94" s="284" t="n"/>
      <c r="T94" s="285" t="n"/>
      <c r="U94" s="285" t="n"/>
      <c r="V94" s="285" t="n"/>
      <c r="W94" s="285" t="n"/>
      <c r="X94" s="285" t="n"/>
      <c r="Y94" s="285" t="n"/>
      <c r="Z94" s="285" t="n"/>
    </row>
    <row r="95" ht="15.75" customHeight="1" s="398">
      <c r="A95" s="317" t="n"/>
      <c r="B95" s="317" t="n"/>
      <c r="C95" s="315" t="n"/>
      <c r="D95" s="288" t="n"/>
      <c r="E95" s="348" t="n"/>
      <c r="F95" s="391" t="n"/>
      <c r="G95" s="284" t="n"/>
      <c r="H95" s="288" t="n"/>
      <c r="I95" s="288" t="n"/>
      <c r="J95" s="288" t="n"/>
      <c r="K95" s="288" t="n"/>
      <c r="L95" s="288" t="n"/>
      <c r="M95" s="288" t="n"/>
      <c r="N95" s="288" t="n"/>
      <c r="O95" s="288" t="n"/>
      <c r="P95" s="288" t="n"/>
      <c r="Q95" s="288" t="n"/>
      <c r="R95" s="284" t="n"/>
      <c r="S95" s="284" t="n"/>
      <c r="T95" s="285" t="n"/>
      <c r="U95" s="285" t="n"/>
      <c r="V95" s="285" t="n"/>
      <c r="W95" s="285" t="n"/>
      <c r="X95" s="285" t="n"/>
      <c r="Y95" s="285" t="n"/>
      <c r="Z95" s="285" t="n"/>
    </row>
    <row r="96" ht="15.75" customHeight="1" s="398">
      <c r="A96" s="317" t="n"/>
      <c r="B96" s="317" t="n"/>
      <c r="C96" s="315" t="n"/>
      <c r="D96" s="288" t="n"/>
      <c r="E96" s="348" t="n"/>
      <c r="F96" s="391" t="n"/>
      <c r="G96" s="284" t="n"/>
      <c r="H96" s="288" t="n"/>
      <c r="I96" s="288" t="n"/>
      <c r="J96" s="288" t="n"/>
      <c r="K96" s="288" t="n"/>
      <c r="L96" s="288" t="n"/>
      <c r="M96" s="288" t="n"/>
      <c r="N96" s="288" t="n"/>
      <c r="O96" s="288" t="n"/>
      <c r="P96" s="288" t="n"/>
      <c r="Q96" s="288" t="n"/>
      <c r="R96" s="284" t="n"/>
      <c r="S96" s="284" t="n"/>
      <c r="T96" s="285" t="n"/>
      <c r="U96" s="285" t="n"/>
      <c r="V96" s="285" t="n"/>
      <c r="W96" s="285" t="n"/>
      <c r="X96" s="285" t="n"/>
      <c r="Y96" s="285" t="n"/>
      <c r="Z96" s="285" t="n"/>
    </row>
    <row r="97" ht="15.75" customHeight="1" s="398">
      <c r="A97" s="317" t="n"/>
      <c r="B97" s="317" t="n"/>
      <c r="C97" s="315" t="n"/>
      <c r="D97" s="288" t="n"/>
      <c r="E97" s="348" t="n"/>
      <c r="F97" s="391" t="n"/>
      <c r="G97" s="284" t="n"/>
      <c r="H97" s="288" t="n"/>
      <c r="I97" s="288" t="n"/>
      <c r="J97" s="288" t="n"/>
      <c r="K97" s="288" t="n"/>
      <c r="L97" s="288" t="n"/>
      <c r="M97" s="288" t="n"/>
      <c r="N97" s="288" t="n"/>
      <c r="O97" s="288" t="n"/>
      <c r="P97" s="288" t="n"/>
      <c r="Q97" s="288" t="n"/>
      <c r="R97" s="284" t="n"/>
      <c r="S97" s="284" t="n"/>
      <c r="T97" s="285" t="n"/>
      <c r="U97" s="285" t="n"/>
      <c r="V97" s="285" t="n"/>
      <c r="W97" s="285" t="n"/>
      <c r="X97" s="285" t="n"/>
      <c r="Y97" s="285" t="n"/>
      <c r="Z97" s="285" t="n"/>
    </row>
    <row r="98" ht="15.75" customHeight="1" s="398">
      <c r="A98" s="317" t="n"/>
      <c r="B98" s="317" t="n"/>
      <c r="C98" s="315" t="n"/>
      <c r="D98" s="288" t="n"/>
      <c r="E98" s="348" t="n"/>
      <c r="F98" s="391" t="n"/>
      <c r="G98" s="284" t="n"/>
      <c r="H98" s="288" t="n"/>
      <c r="I98" s="288" t="n"/>
      <c r="J98" s="288" t="n"/>
      <c r="K98" s="288" t="n"/>
      <c r="L98" s="288" t="n"/>
      <c r="M98" s="288" t="n"/>
      <c r="N98" s="288" t="n"/>
      <c r="O98" s="288" t="n"/>
      <c r="P98" s="288" t="n"/>
      <c r="Q98" s="288" t="n"/>
      <c r="R98" s="284" t="n"/>
      <c r="S98" s="284" t="n"/>
      <c r="T98" s="285" t="n"/>
      <c r="U98" s="285" t="n"/>
      <c r="V98" s="285" t="n"/>
      <c r="W98" s="285" t="n"/>
      <c r="X98" s="285" t="n"/>
      <c r="Y98" s="285" t="n"/>
      <c r="Z98" s="285" t="n"/>
    </row>
    <row r="99" ht="15.75" customHeight="1" s="398">
      <c r="A99" s="317" t="n"/>
      <c r="B99" s="317" t="n"/>
      <c r="C99" s="315" t="n"/>
      <c r="D99" s="288" t="n"/>
      <c r="E99" s="348" t="n"/>
      <c r="F99" s="391" t="n"/>
      <c r="G99" s="284" t="n"/>
      <c r="H99" s="288" t="n"/>
      <c r="I99" s="288" t="n"/>
      <c r="J99" s="288" t="n"/>
      <c r="K99" s="288" t="n"/>
      <c r="L99" s="288" t="n"/>
      <c r="M99" s="288" t="n"/>
      <c r="N99" s="288" t="n"/>
      <c r="O99" s="288" t="n"/>
      <c r="P99" s="288" t="n"/>
      <c r="Q99" s="288" t="n"/>
      <c r="R99" s="284" t="n"/>
      <c r="S99" s="284" t="n"/>
      <c r="T99" s="285" t="n"/>
      <c r="U99" s="285" t="n"/>
      <c r="V99" s="285" t="n"/>
      <c r="W99" s="285" t="n"/>
      <c r="X99" s="285" t="n"/>
      <c r="Y99" s="285" t="n"/>
      <c r="Z99" s="285" t="n"/>
    </row>
    <row r="100" ht="15.75" customHeight="1" s="398">
      <c r="A100" s="317" t="n"/>
      <c r="B100" s="317" t="n"/>
      <c r="C100" s="315" t="n"/>
      <c r="D100" s="288" t="n"/>
      <c r="E100" s="348" t="n"/>
      <c r="F100" s="391" t="n"/>
      <c r="G100" s="284" t="n"/>
      <c r="H100" s="288" t="n"/>
      <c r="I100" s="288" t="n"/>
      <c r="J100" s="288" t="n"/>
      <c r="K100" s="288" t="n"/>
      <c r="L100" s="288" t="n"/>
      <c r="M100" s="288" t="n"/>
      <c r="N100" s="288" t="n"/>
      <c r="O100" s="288" t="n"/>
      <c r="P100" s="288" t="n"/>
      <c r="Q100" s="288" t="n"/>
      <c r="R100" s="284" t="n"/>
      <c r="S100" s="284" t="n"/>
      <c r="T100" s="285" t="n"/>
      <c r="U100" s="285" t="n"/>
      <c r="V100" s="285" t="n"/>
      <c r="W100" s="285" t="n"/>
      <c r="X100" s="285" t="n"/>
      <c r="Y100" s="285" t="n"/>
      <c r="Z100" s="285" t="n"/>
    </row>
    <row r="101" ht="15.75" customHeight="1" s="398">
      <c r="A101" s="317" t="n"/>
      <c r="B101" s="317" t="n"/>
      <c r="C101" s="315" t="n"/>
      <c r="D101" s="288" t="n"/>
      <c r="E101" s="348" t="n"/>
      <c r="F101" s="391" t="n"/>
      <c r="G101" s="284" t="n"/>
      <c r="H101" s="288" t="n"/>
      <c r="I101" s="288" t="n"/>
      <c r="J101" s="288" t="n"/>
      <c r="K101" s="288" t="n"/>
      <c r="L101" s="288" t="n"/>
      <c r="M101" s="288" t="n"/>
      <c r="N101" s="288" t="n"/>
      <c r="O101" s="288" t="n"/>
      <c r="P101" s="288" t="n"/>
      <c r="Q101" s="288" t="n"/>
      <c r="R101" s="284" t="n"/>
      <c r="S101" s="284" t="n"/>
      <c r="T101" s="285" t="n"/>
      <c r="U101" s="285" t="n"/>
      <c r="V101" s="285" t="n"/>
      <c r="W101" s="285" t="n"/>
      <c r="X101" s="285" t="n"/>
      <c r="Y101" s="285" t="n"/>
      <c r="Z101" s="285" t="n"/>
    </row>
    <row r="102" ht="15.75" customHeight="1" s="398">
      <c r="A102" s="317" t="n"/>
      <c r="B102" s="317" t="n"/>
      <c r="C102" s="315" t="n"/>
      <c r="D102" s="288" t="n"/>
      <c r="E102" s="348" t="n"/>
      <c r="F102" s="391" t="n"/>
      <c r="G102" s="284" t="n"/>
      <c r="H102" s="288" t="n"/>
      <c r="I102" s="288" t="n"/>
      <c r="J102" s="288" t="n"/>
      <c r="K102" s="288" t="n"/>
      <c r="L102" s="288" t="n"/>
      <c r="M102" s="288" t="n"/>
      <c r="N102" s="288" t="n"/>
      <c r="O102" s="288" t="n"/>
      <c r="P102" s="288" t="n"/>
      <c r="Q102" s="288" t="n"/>
      <c r="R102" s="284" t="n"/>
      <c r="S102" s="284" t="n"/>
      <c r="T102" s="285" t="n"/>
      <c r="U102" s="285" t="n"/>
      <c r="V102" s="285" t="n"/>
      <c r="W102" s="285" t="n"/>
      <c r="X102" s="285" t="n"/>
      <c r="Y102" s="285" t="n"/>
      <c r="Z102" s="285" t="n"/>
    </row>
    <row r="103" ht="15.75" customHeight="1" s="398">
      <c r="A103" s="317" t="n"/>
      <c r="B103" s="317" t="n"/>
      <c r="C103" s="315" t="n"/>
      <c r="D103" s="288" t="n"/>
      <c r="E103" s="348" t="n"/>
      <c r="F103" s="391" t="n"/>
      <c r="G103" s="284" t="n"/>
      <c r="H103" s="288" t="n"/>
      <c r="I103" s="288" t="n"/>
      <c r="J103" s="288" t="n"/>
      <c r="K103" s="288" t="n"/>
      <c r="L103" s="288" t="n"/>
      <c r="M103" s="288" t="n"/>
      <c r="N103" s="288" t="n"/>
      <c r="O103" s="288" t="n"/>
      <c r="P103" s="288" t="n"/>
      <c r="Q103" s="288" t="n"/>
      <c r="R103" s="284" t="n"/>
      <c r="S103" s="284" t="n"/>
      <c r="T103" s="285" t="n"/>
      <c r="U103" s="285" t="n"/>
      <c r="V103" s="285" t="n"/>
      <c r="W103" s="285" t="n"/>
      <c r="X103" s="285" t="n"/>
      <c r="Y103" s="285" t="n"/>
      <c r="Z103" s="285" t="n"/>
    </row>
    <row r="104" ht="15.75" customHeight="1" s="398">
      <c r="A104" s="317" t="n"/>
      <c r="B104" s="317" t="n"/>
      <c r="C104" s="315" t="n"/>
      <c r="D104" s="288" t="n"/>
      <c r="E104" s="348" t="n"/>
      <c r="F104" s="391" t="n"/>
      <c r="G104" s="284" t="n"/>
      <c r="H104" s="288" t="n"/>
      <c r="I104" s="288" t="n"/>
      <c r="J104" s="288" t="n"/>
      <c r="K104" s="288" t="n"/>
      <c r="L104" s="288" t="n"/>
      <c r="M104" s="288" t="n"/>
      <c r="N104" s="288" t="n"/>
      <c r="O104" s="288" t="n"/>
      <c r="P104" s="288" t="n"/>
      <c r="Q104" s="288" t="n"/>
      <c r="R104" s="284" t="n"/>
      <c r="S104" s="284" t="n"/>
      <c r="T104" s="285" t="n"/>
      <c r="U104" s="285" t="n"/>
      <c r="V104" s="285" t="n"/>
      <c r="W104" s="285" t="n"/>
      <c r="X104" s="285" t="n"/>
      <c r="Y104" s="285" t="n"/>
      <c r="Z104" s="285" t="n"/>
    </row>
    <row r="105" ht="15.75" customHeight="1" s="398">
      <c r="A105" s="317" t="n"/>
      <c r="B105" s="317" t="n"/>
      <c r="C105" s="315" t="n"/>
      <c r="D105" s="288" t="n"/>
      <c r="E105" s="348" t="n"/>
      <c r="F105" s="391" t="n"/>
      <c r="G105" s="284" t="n"/>
      <c r="H105" s="288" t="n"/>
      <c r="I105" s="288" t="n"/>
      <c r="J105" s="288" t="n"/>
      <c r="K105" s="288" t="n"/>
      <c r="L105" s="288" t="n"/>
      <c r="M105" s="288" t="n"/>
      <c r="N105" s="288" t="n"/>
      <c r="O105" s="288" t="n"/>
      <c r="P105" s="288" t="n"/>
      <c r="Q105" s="288" t="n"/>
      <c r="R105" s="284" t="n"/>
      <c r="S105" s="284" t="n"/>
      <c r="T105" s="285" t="n"/>
      <c r="U105" s="285" t="n"/>
      <c r="V105" s="285" t="n"/>
      <c r="W105" s="285" t="n"/>
      <c r="X105" s="285" t="n"/>
      <c r="Y105" s="285" t="n"/>
      <c r="Z105" s="285" t="n"/>
    </row>
    <row r="106" ht="15.75" customHeight="1" s="398">
      <c r="A106" s="317" t="n"/>
      <c r="B106" s="317" t="n"/>
      <c r="C106" s="315" t="n"/>
      <c r="D106" s="288" t="n"/>
      <c r="E106" s="348" t="n"/>
      <c r="F106" s="391" t="n"/>
      <c r="G106" s="284" t="n"/>
      <c r="H106" s="288" t="n"/>
      <c r="I106" s="288" t="n"/>
      <c r="J106" s="288" t="n"/>
      <c r="K106" s="288" t="n"/>
      <c r="L106" s="288" t="n"/>
      <c r="M106" s="288" t="n"/>
      <c r="N106" s="288" t="n"/>
      <c r="O106" s="288" t="n"/>
      <c r="P106" s="288" t="n"/>
      <c r="Q106" s="288" t="n"/>
      <c r="R106" s="284" t="n"/>
      <c r="S106" s="284" t="n"/>
      <c r="T106" s="285" t="n"/>
      <c r="U106" s="285" t="n"/>
      <c r="V106" s="285" t="n"/>
      <c r="W106" s="285" t="n"/>
      <c r="X106" s="285" t="n"/>
      <c r="Y106" s="285" t="n"/>
      <c r="Z106" s="285" t="n"/>
    </row>
    <row r="107" ht="15.75" customHeight="1" s="398">
      <c r="A107" s="317" t="n"/>
      <c r="B107" s="317" t="n"/>
      <c r="C107" s="315" t="n"/>
      <c r="D107" s="288" t="n"/>
      <c r="E107" s="348" t="n"/>
      <c r="F107" s="391" t="n"/>
      <c r="G107" s="284" t="n"/>
      <c r="H107" s="288" t="n"/>
      <c r="I107" s="288" t="n"/>
      <c r="J107" s="288" t="n"/>
      <c r="K107" s="288" t="n"/>
      <c r="L107" s="288" t="n"/>
      <c r="M107" s="288" t="n"/>
      <c r="N107" s="288" t="n"/>
      <c r="O107" s="288" t="n"/>
      <c r="P107" s="288" t="n"/>
      <c r="Q107" s="288" t="n"/>
      <c r="R107" s="284" t="n"/>
      <c r="S107" s="284" t="n"/>
      <c r="T107" s="285" t="n"/>
      <c r="U107" s="285" t="n"/>
      <c r="V107" s="285" t="n"/>
      <c r="W107" s="285" t="n"/>
      <c r="X107" s="285" t="n"/>
      <c r="Y107" s="285" t="n"/>
      <c r="Z107" s="285" t="n"/>
    </row>
    <row r="108" ht="15.75" customHeight="1" s="398">
      <c r="A108" s="317" t="n"/>
      <c r="B108" s="317" t="n"/>
      <c r="C108" s="315" t="n"/>
      <c r="D108" s="288" t="n"/>
      <c r="E108" s="348" t="n"/>
      <c r="F108" s="391" t="n"/>
      <c r="G108" s="284" t="n"/>
      <c r="H108" s="288" t="n"/>
      <c r="I108" s="288" t="n"/>
      <c r="J108" s="288" t="n"/>
      <c r="K108" s="288" t="n"/>
      <c r="L108" s="288" t="n"/>
      <c r="M108" s="288" t="n"/>
      <c r="N108" s="288" t="n"/>
      <c r="O108" s="288" t="n"/>
      <c r="P108" s="288" t="n"/>
      <c r="Q108" s="288" t="n"/>
      <c r="R108" s="284" t="n"/>
      <c r="S108" s="284" t="n"/>
      <c r="T108" s="285" t="n"/>
      <c r="U108" s="285" t="n"/>
      <c r="V108" s="285" t="n"/>
      <c r="W108" s="285" t="n"/>
      <c r="X108" s="285" t="n"/>
      <c r="Y108" s="285" t="n"/>
      <c r="Z108" s="285" t="n"/>
    </row>
    <row r="109" ht="15.75" customHeight="1" s="398">
      <c r="A109" s="317" t="n"/>
      <c r="B109" s="317" t="n"/>
      <c r="C109" s="315" t="n"/>
      <c r="D109" s="288" t="n"/>
      <c r="E109" s="348" t="n"/>
      <c r="F109" s="391" t="n"/>
      <c r="G109" s="284" t="n"/>
      <c r="H109" s="288" t="n"/>
      <c r="I109" s="288" t="n"/>
      <c r="J109" s="288" t="n"/>
      <c r="K109" s="288" t="n"/>
      <c r="L109" s="288" t="n"/>
      <c r="M109" s="288" t="n"/>
      <c r="N109" s="288" t="n"/>
      <c r="O109" s="288" t="n"/>
      <c r="P109" s="288" t="n"/>
      <c r="Q109" s="288" t="n"/>
      <c r="R109" s="284" t="n"/>
      <c r="S109" s="284" t="n"/>
      <c r="T109" s="285" t="n"/>
      <c r="U109" s="285" t="n"/>
      <c r="V109" s="285" t="n"/>
      <c r="W109" s="285" t="n"/>
      <c r="X109" s="285" t="n"/>
      <c r="Y109" s="285" t="n"/>
      <c r="Z109" s="285" t="n"/>
    </row>
    <row r="110" ht="15.75" customHeight="1" s="398">
      <c r="A110" s="317" t="n"/>
      <c r="B110" s="317" t="n"/>
      <c r="C110" s="315" t="n"/>
      <c r="D110" s="288" t="n"/>
      <c r="E110" s="348" t="n"/>
      <c r="F110" s="391" t="n"/>
      <c r="G110" s="284" t="n"/>
      <c r="H110" s="288" t="n"/>
      <c r="I110" s="288" t="n"/>
      <c r="J110" s="288" t="n"/>
      <c r="K110" s="288" t="n"/>
      <c r="L110" s="288" t="n"/>
      <c r="M110" s="288" t="n"/>
      <c r="N110" s="288" t="n"/>
      <c r="O110" s="288" t="n"/>
      <c r="P110" s="288" t="n"/>
      <c r="Q110" s="288" t="n"/>
      <c r="R110" s="284" t="n"/>
      <c r="S110" s="284" t="n"/>
      <c r="T110" s="285" t="n"/>
      <c r="U110" s="285" t="n"/>
      <c r="V110" s="285" t="n"/>
      <c r="W110" s="285" t="n"/>
      <c r="X110" s="285" t="n"/>
      <c r="Y110" s="285" t="n"/>
      <c r="Z110" s="285" t="n"/>
    </row>
    <row r="111" ht="15.75" customHeight="1" s="398">
      <c r="A111" s="317" t="n"/>
      <c r="B111" s="317" t="n"/>
      <c r="C111" s="315" t="n"/>
      <c r="D111" s="288" t="n"/>
      <c r="E111" s="348" t="n"/>
      <c r="F111" s="391" t="n"/>
      <c r="G111" s="284" t="n"/>
      <c r="H111" s="288" t="n"/>
      <c r="I111" s="288" t="n"/>
      <c r="J111" s="288" t="n"/>
      <c r="K111" s="288" t="n"/>
      <c r="L111" s="288" t="n"/>
      <c r="M111" s="288" t="n"/>
      <c r="N111" s="288" t="n"/>
      <c r="O111" s="288" t="n"/>
      <c r="P111" s="288" t="n"/>
      <c r="Q111" s="288" t="n"/>
      <c r="R111" s="284" t="n"/>
      <c r="S111" s="284" t="n"/>
      <c r="T111" s="285" t="n"/>
      <c r="U111" s="285" t="n"/>
      <c r="V111" s="285" t="n"/>
      <c r="W111" s="285" t="n"/>
      <c r="X111" s="285" t="n"/>
      <c r="Y111" s="285" t="n"/>
      <c r="Z111" s="285" t="n"/>
    </row>
    <row r="112" ht="15.75" customHeight="1" s="398">
      <c r="A112" s="317" t="n"/>
      <c r="B112" s="317" t="n"/>
      <c r="C112" s="315" t="n"/>
      <c r="D112" s="288" t="n"/>
      <c r="E112" s="348" t="n"/>
      <c r="F112" s="391" t="n"/>
      <c r="G112" s="284" t="n"/>
      <c r="H112" s="288" t="n"/>
      <c r="I112" s="288" t="n"/>
      <c r="J112" s="288" t="n"/>
      <c r="K112" s="288" t="n"/>
      <c r="L112" s="288" t="n"/>
      <c r="M112" s="288" t="n"/>
      <c r="N112" s="288" t="n"/>
      <c r="O112" s="288" t="n"/>
      <c r="P112" s="288" t="n"/>
      <c r="Q112" s="288" t="n"/>
      <c r="R112" s="284" t="n"/>
      <c r="S112" s="284" t="n"/>
      <c r="T112" s="285" t="n"/>
      <c r="U112" s="285" t="n"/>
      <c r="V112" s="285" t="n"/>
      <c r="W112" s="285" t="n"/>
      <c r="X112" s="285" t="n"/>
      <c r="Y112" s="285" t="n"/>
      <c r="Z112" s="285" t="n"/>
    </row>
    <row r="113" ht="15.75" customHeight="1" s="398">
      <c r="A113" s="317" t="n"/>
      <c r="B113" s="317" t="n"/>
      <c r="C113" s="315" t="n"/>
      <c r="D113" s="288" t="n"/>
      <c r="E113" s="348" t="n"/>
      <c r="F113" s="391" t="n"/>
      <c r="G113" s="284" t="n"/>
      <c r="H113" s="288" t="n"/>
      <c r="I113" s="288" t="n"/>
      <c r="J113" s="288" t="n"/>
      <c r="K113" s="288" t="n"/>
      <c r="L113" s="288" t="n"/>
      <c r="M113" s="288" t="n"/>
      <c r="N113" s="288" t="n"/>
      <c r="O113" s="288" t="n"/>
      <c r="P113" s="288" t="n"/>
      <c r="Q113" s="288" t="n"/>
      <c r="R113" s="284" t="n"/>
      <c r="S113" s="284" t="n"/>
      <c r="T113" s="285" t="n"/>
      <c r="U113" s="285" t="n"/>
      <c r="V113" s="285" t="n"/>
      <c r="W113" s="285" t="n"/>
      <c r="X113" s="285" t="n"/>
      <c r="Y113" s="285" t="n"/>
      <c r="Z113" s="285" t="n"/>
    </row>
    <row r="114" ht="15.75" customHeight="1" s="398">
      <c r="A114" s="317" t="n"/>
      <c r="B114" s="317" t="n"/>
      <c r="C114" s="315" t="n"/>
      <c r="D114" s="288" t="n"/>
      <c r="E114" s="348" t="n"/>
      <c r="F114" s="391" t="n"/>
      <c r="G114" s="284" t="n"/>
      <c r="H114" s="288" t="n"/>
      <c r="I114" s="288" t="n"/>
      <c r="J114" s="288" t="n"/>
      <c r="K114" s="288" t="n"/>
      <c r="L114" s="288" t="n"/>
      <c r="M114" s="288" t="n"/>
      <c r="N114" s="288" t="n"/>
      <c r="O114" s="288" t="n"/>
      <c r="P114" s="288" t="n"/>
      <c r="Q114" s="288" t="n"/>
      <c r="R114" s="284" t="n"/>
      <c r="S114" s="284" t="n"/>
      <c r="T114" s="285" t="n"/>
      <c r="U114" s="285" t="n"/>
      <c r="V114" s="285" t="n"/>
      <c r="W114" s="285" t="n"/>
      <c r="X114" s="285" t="n"/>
      <c r="Y114" s="285" t="n"/>
      <c r="Z114" s="285" t="n"/>
    </row>
    <row r="115" ht="15.75" customHeight="1" s="398">
      <c r="A115" s="317" t="n"/>
      <c r="B115" s="317" t="n"/>
      <c r="C115" s="315" t="n"/>
      <c r="D115" s="288" t="n"/>
      <c r="E115" s="348" t="n"/>
      <c r="F115" s="391" t="n"/>
      <c r="G115" s="284" t="n"/>
      <c r="H115" s="288" t="n"/>
      <c r="I115" s="288" t="n"/>
      <c r="J115" s="288" t="n"/>
      <c r="K115" s="288" t="n"/>
      <c r="L115" s="288" t="n"/>
      <c r="M115" s="288" t="n"/>
      <c r="N115" s="288" t="n"/>
      <c r="O115" s="288" t="n"/>
      <c r="P115" s="288" t="n"/>
      <c r="Q115" s="288" t="n"/>
      <c r="R115" s="284" t="n"/>
      <c r="S115" s="284" t="n"/>
      <c r="T115" s="285" t="n"/>
      <c r="U115" s="285" t="n"/>
      <c r="V115" s="285" t="n"/>
      <c r="W115" s="285" t="n"/>
      <c r="X115" s="285" t="n"/>
      <c r="Y115" s="285" t="n"/>
      <c r="Z115" s="285" t="n"/>
    </row>
    <row r="116" ht="15.75" customHeight="1" s="398">
      <c r="A116" s="317" t="n"/>
      <c r="B116" s="317" t="n"/>
      <c r="C116" s="315" t="n"/>
      <c r="D116" s="288" t="n"/>
      <c r="E116" s="348" t="n"/>
      <c r="F116" s="391" t="n"/>
      <c r="G116" s="284" t="n"/>
      <c r="H116" s="288" t="n"/>
      <c r="I116" s="288" t="n"/>
      <c r="J116" s="288" t="n"/>
      <c r="K116" s="288" t="n"/>
      <c r="L116" s="288" t="n"/>
      <c r="M116" s="288" t="n"/>
      <c r="N116" s="288" t="n"/>
      <c r="O116" s="288" t="n"/>
      <c r="P116" s="288" t="n"/>
      <c r="Q116" s="288" t="n"/>
      <c r="R116" s="284" t="n"/>
      <c r="S116" s="284" t="n"/>
      <c r="T116" s="285" t="n"/>
      <c r="U116" s="285" t="n"/>
      <c r="V116" s="285" t="n"/>
      <c r="W116" s="285" t="n"/>
      <c r="X116" s="285" t="n"/>
      <c r="Y116" s="285" t="n"/>
      <c r="Z116" s="285" t="n"/>
    </row>
    <row r="117" ht="15.75" customHeight="1" s="398">
      <c r="A117" s="317" t="n"/>
      <c r="B117" s="317" t="n"/>
      <c r="C117" s="315" t="n"/>
      <c r="D117" s="288" t="n"/>
      <c r="E117" s="348" t="n"/>
      <c r="F117" s="391" t="n"/>
      <c r="G117" s="284" t="n"/>
      <c r="H117" s="288" t="n"/>
      <c r="I117" s="288" t="n"/>
      <c r="J117" s="288" t="n"/>
      <c r="K117" s="288" t="n"/>
      <c r="L117" s="288" t="n"/>
      <c r="M117" s="288" t="n"/>
      <c r="N117" s="288" t="n"/>
      <c r="O117" s="288" t="n"/>
      <c r="P117" s="288" t="n"/>
      <c r="Q117" s="288" t="n"/>
      <c r="R117" s="284" t="n"/>
      <c r="S117" s="284" t="n"/>
      <c r="T117" s="285" t="n"/>
      <c r="U117" s="285" t="n"/>
      <c r="V117" s="285" t="n"/>
      <c r="W117" s="285" t="n"/>
      <c r="X117" s="285" t="n"/>
      <c r="Y117" s="285" t="n"/>
      <c r="Z117" s="285" t="n"/>
    </row>
    <row r="118" ht="15.75" customHeight="1" s="398">
      <c r="A118" s="317" t="n"/>
      <c r="B118" s="317" t="n"/>
      <c r="C118" s="315" t="n"/>
      <c r="D118" s="288" t="n"/>
      <c r="E118" s="348" t="n"/>
      <c r="F118" s="391" t="n"/>
      <c r="G118" s="284" t="n"/>
      <c r="H118" s="288" t="n"/>
      <c r="I118" s="288" t="n"/>
      <c r="J118" s="288" t="n"/>
      <c r="K118" s="288" t="n"/>
      <c r="L118" s="288" t="n"/>
      <c r="M118" s="288" t="n"/>
      <c r="N118" s="288" t="n"/>
      <c r="O118" s="288" t="n"/>
      <c r="P118" s="288" t="n"/>
      <c r="Q118" s="288" t="n"/>
      <c r="R118" s="284" t="n"/>
      <c r="S118" s="284" t="n"/>
      <c r="T118" s="285" t="n"/>
      <c r="U118" s="285" t="n"/>
      <c r="V118" s="285" t="n"/>
      <c r="W118" s="285" t="n"/>
      <c r="X118" s="285" t="n"/>
      <c r="Y118" s="285" t="n"/>
      <c r="Z118" s="285" t="n"/>
    </row>
    <row r="119" ht="15.75" customHeight="1" s="398">
      <c r="A119" s="317" t="n"/>
      <c r="B119" s="317" t="n"/>
      <c r="C119" s="315" t="n"/>
      <c r="D119" s="288" t="n"/>
      <c r="E119" s="348" t="n"/>
      <c r="F119" s="391" t="n"/>
      <c r="G119" s="284" t="n"/>
      <c r="H119" s="288" t="n"/>
      <c r="I119" s="288" t="n"/>
      <c r="J119" s="288" t="n"/>
      <c r="K119" s="288" t="n"/>
      <c r="L119" s="288" t="n"/>
      <c r="M119" s="288" t="n"/>
      <c r="N119" s="288" t="n"/>
      <c r="O119" s="288" t="n"/>
      <c r="P119" s="288" t="n"/>
      <c r="Q119" s="288" t="n"/>
      <c r="R119" s="284" t="n"/>
      <c r="S119" s="284" t="n"/>
      <c r="T119" s="285" t="n"/>
      <c r="U119" s="285" t="n"/>
      <c r="V119" s="285" t="n"/>
      <c r="W119" s="285" t="n"/>
      <c r="X119" s="285" t="n"/>
      <c r="Y119" s="285" t="n"/>
      <c r="Z119" s="285" t="n"/>
    </row>
    <row r="120" ht="15.75" customHeight="1" s="398">
      <c r="A120" s="317" t="n"/>
      <c r="B120" s="317" t="n"/>
      <c r="C120" s="315" t="n"/>
      <c r="D120" s="288" t="n"/>
      <c r="E120" s="348" t="n"/>
      <c r="F120" s="391" t="n"/>
      <c r="G120" s="284" t="n"/>
      <c r="H120" s="288" t="n"/>
      <c r="I120" s="288" t="n"/>
      <c r="J120" s="288" t="n"/>
      <c r="K120" s="288" t="n"/>
      <c r="L120" s="288" t="n"/>
      <c r="M120" s="288" t="n"/>
      <c r="N120" s="288" t="n"/>
      <c r="O120" s="288" t="n"/>
      <c r="P120" s="288" t="n"/>
      <c r="Q120" s="288" t="n"/>
      <c r="R120" s="284" t="n"/>
      <c r="S120" s="284" t="n"/>
      <c r="T120" s="285" t="n"/>
      <c r="U120" s="285" t="n"/>
      <c r="V120" s="285" t="n"/>
      <c r="W120" s="285" t="n"/>
      <c r="X120" s="285" t="n"/>
      <c r="Y120" s="285" t="n"/>
      <c r="Z120" s="285" t="n"/>
    </row>
    <row r="121" ht="15.75" customHeight="1" s="398">
      <c r="A121" s="317" t="n"/>
      <c r="B121" s="317" t="n"/>
      <c r="C121" s="315" t="n"/>
      <c r="D121" s="288" t="n"/>
      <c r="E121" s="348" t="n"/>
      <c r="F121" s="391" t="n"/>
      <c r="G121" s="284" t="n"/>
      <c r="H121" s="288" t="n"/>
      <c r="I121" s="288" t="n"/>
      <c r="J121" s="288" t="n"/>
      <c r="K121" s="288" t="n"/>
      <c r="L121" s="288" t="n"/>
      <c r="M121" s="288" t="n"/>
      <c r="N121" s="288" t="n"/>
      <c r="O121" s="288" t="n"/>
      <c r="P121" s="288" t="n"/>
      <c r="Q121" s="288" t="n"/>
      <c r="R121" s="284" t="n"/>
      <c r="S121" s="284" t="n"/>
      <c r="T121" s="285" t="n"/>
      <c r="U121" s="285" t="n"/>
      <c r="V121" s="285" t="n"/>
      <c r="W121" s="285" t="n"/>
      <c r="X121" s="285" t="n"/>
      <c r="Y121" s="285" t="n"/>
      <c r="Z121" s="285" t="n"/>
    </row>
    <row r="122" ht="15.75" customHeight="1" s="398">
      <c r="A122" s="317" t="n"/>
      <c r="B122" s="317" t="n"/>
      <c r="C122" s="315" t="n"/>
      <c r="D122" s="288" t="n"/>
      <c r="E122" s="348" t="n"/>
      <c r="F122" s="391" t="n"/>
      <c r="G122" s="284" t="n"/>
      <c r="H122" s="288" t="n"/>
      <c r="I122" s="288" t="n"/>
      <c r="J122" s="288" t="n"/>
      <c r="K122" s="288" t="n"/>
      <c r="L122" s="288" t="n"/>
      <c r="M122" s="288" t="n"/>
      <c r="N122" s="288" t="n"/>
      <c r="O122" s="288" t="n"/>
      <c r="P122" s="288" t="n"/>
      <c r="Q122" s="288" t="n"/>
      <c r="R122" s="284" t="n"/>
      <c r="S122" s="284" t="n"/>
      <c r="T122" s="285" t="n"/>
      <c r="U122" s="285" t="n"/>
      <c r="V122" s="285" t="n"/>
      <c r="W122" s="285" t="n"/>
      <c r="X122" s="285" t="n"/>
      <c r="Y122" s="285" t="n"/>
      <c r="Z122" s="285" t="n"/>
    </row>
    <row r="123" ht="15.75" customHeight="1" s="398">
      <c r="A123" s="317" t="n"/>
      <c r="B123" s="317" t="n"/>
      <c r="C123" s="315" t="n"/>
      <c r="D123" s="288" t="n"/>
      <c r="E123" s="348" t="n"/>
      <c r="F123" s="391" t="n"/>
      <c r="G123" s="284" t="n"/>
      <c r="H123" s="288" t="n"/>
      <c r="I123" s="288" t="n"/>
      <c r="J123" s="288" t="n"/>
      <c r="K123" s="288" t="n"/>
      <c r="L123" s="288" t="n"/>
      <c r="M123" s="288" t="n"/>
      <c r="N123" s="288" t="n"/>
      <c r="O123" s="288" t="n"/>
      <c r="P123" s="288" t="n"/>
      <c r="Q123" s="288" t="n"/>
      <c r="R123" s="284" t="n"/>
      <c r="S123" s="284" t="n"/>
      <c r="T123" s="285" t="n"/>
      <c r="U123" s="285" t="n"/>
      <c r="V123" s="285" t="n"/>
      <c r="W123" s="285" t="n"/>
      <c r="X123" s="285" t="n"/>
      <c r="Y123" s="285" t="n"/>
      <c r="Z123" s="285" t="n"/>
    </row>
    <row r="124" ht="15.75" customHeight="1" s="398">
      <c r="A124" s="317" t="n"/>
      <c r="B124" s="317" t="n"/>
      <c r="C124" s="315" t="n"/>
      <c r="D124" s="288" t="n"/>
      <c r="E124" s="348" t="n"/>
      <c r="F124" s="391" t="n"/>
      <c r="G124" s="284" t="n"/>
      <c r="H124" s="288" t="n"/>
      <c r="I124" s="288" t="n"/>
      <c r="J124" s="288" t="n"/>
      <c r="K124" s="288" t="n"/>
      <c r="L124" s="288" t="n"/>
      <c r="M124" s="288" t="n"/>
      <c r="N124" s="288" t="n"/>
      <c r="O124" s="288" t="n"/>
      <c r="P124" s="288" t="n"/>
      <c r="Q124" s="288" t="n"/>
      <c r="R124" s="284" t="n"/>
      <c r="S124" s="284" t="n"/>
      <c r="T124" s="285" t="n"/>
      <c r="U124" s="285" t="n"/>
      <c r="V124" s="285" t="n"/>
      <c r="W124" s="285" t="n"/>
      <c r="X124" s="285" t="n"/>
      <c r="Y124" s="285" t="n"/>
      <c r="Z124" s="285" t="n"/>
    </row>
    <row r="125" ht="15.75" customHeight="1" s="398">
      <c r="A125" s="317" t="n"/>
      <c r="B125" s="317" t="n"/>
      <c r="C125" s="315" t="n"/>
      <c r="D125" s="288" t="n"/>
      <c r="E125" s="348" t="n"/>
      <c r="F125" s="391" t="n"/>
      <c r="G125" s="284" t="n"/>
      <c r="H125" s="288" t="n"/>
      <c r="I125" s="288" t="n"/>
      <c r="J125" s="288" t="n"/>
      <c r="K125" s="288" t="n"/>
      <c r="L125" s="288" t="n"/>
      <c r="M125" s="288" t="n"/>
      <c r="N125" s="288" t="n"/>
      <c r="O125" s="288" t="n"/>
      <c r="P125" s="288" t="n"/>
      <c r="Q125" s="288" t="n"/>
      <c r="R125" s="284" t="n"/>
      <c r="S125" s="284" t="n"/>
      <c r="T125" s="285" t="n"/>
      <c r="U125" s="285" t="n"/>
      <c r="V125" s="285" t="n"/>
      <c r="W125" s="285" t="n"/>
      <c r="X125" s="285" t="n"/>
      <c r="Y125" s="285" t="n"/>
      <c r="Z125" s="285" t="n"/>
    </row>
    <row r="126" ht="15.75" customHeight="1" s="398">
      <c r="A126" s="317" t="n"/>
      <c r="B126" s="317" t="n"/>
      <c r="C126" s="315" t="n"/>
      <c r="D126" s="288" t="n"/>
      <c r="E126" s="348" t="n"/>
      <c r="F126" s="391" t="n"/>
      <c r="G126" s="284" t="n"/>
      <c r="H126" s="288" t="n"/>
      <c r="I126" s="288" t="n"/>
      <c r="J126" s="288" t="n"/>
      <c r="K126" s="288" t="n"/>
      <c r="L126" s="288" t="n"/>
      <c r="M126" s="288" t="n"/>
      <c r="N126" s="288" t="n"/>
      <c r="O126" s="288" t="n"/>
      <c r="P126" s="288" t="n"/>
      <c r="Q126" s="288" t="n"/>
      <c r="R126" s="284" t="n"/>
      <c r="S126" s="284" t="n"/>
      <c r="T126" s="285" t="n"/>
      <c r="U126" s="285" t="n"/>
      <c r="V126" s="285" t="n"/>
      <c r="W126" s="285" t="n"/>
      <c r="X126" s="285" t="n"/>
      <c r="Y126" s="285" t="n"/>
      <c r="Z126" s="285" t="n"/>
    </row>
    <row r="127" ht="15.75" customHeight="1" s="398">
      <c r="A127" s="317" t="n"/>
      <c r="B127" s="317" t="n"/>
      <c r="C127" s="315" t="n"/>
      <c r="D127" s="288" t="n"/>
      <c r="E127" s="348" t="n"/>
      <c r="F127" s="391" t="n"/>
      <c r="G127" s="284" t="n"/>
      <c r="H127" s="288" t="n"/>
      <c r="I127" s="288" t="n"/>
      <c r="J127" s="288" t="n"/>
      <c r="K127" s="288" t="n"/>
      <c r="L127" s="288" t="n"/>
      <c r="M127" s="288" t="n"/>
      <c r="N127" s="288" t="n"/>
      <c r="O127" s="288" t="n"/>
      <c r="P127" s="288" t="n"/>
      <c r="Q127" s="288" t="n"/>
      <c r="R127" s="284" t="n"/>
      <c r="S127" s="284" t="n"/>
      <c r="T127" s="285" t="n"/>
      <c r="U127" s="285" t="n"/>
      <c r="V127" s="285" t="n"/>
      <c r="W127" s="285" t="n"/>
      <c r="X127" s="285" t="n"/>
      <c r="Y127" s="285" t="n"/>
      <c r="Z127" s="285" t="n"/>
    </row>
    <row r="128" ht="15.75" customHeight="1" s="398">
      <c r="A128" s="317" t="n"/>
      <c r="B128" s="317" t="n"/>
      <c r="C128" s="315" t="n"/>
      <c r="D128" s="288" t="n"/>
      <c r="E128" s="348" t="n"/>
      <c r="F128" s="391" t="n"/>
      <c r="G128" s="284" t="n"/>
      <c r="H128" s="288" t="n"/>
      <c r="I128" s="288" t="n"/>
      <c r="J128" s="288" t="n"/>
      <c r="K128" s="288" t="n"/>
      <c r="L128" s="288" t="n"/>
      <c r="M128" s="288" t="n"/>
      <c r="N128" s="288" t="n"/>
      <c r="O128" s="288" t="n"/>
      <c r="P128" s="288" t="n"/>
      <c r="Q128" s="288" t="n"/>
      <c r="R128" s="284" t="n"/>
      <c r="S128" s="284" t="n"/>
      <c r="T128" s="285" t="n"/>
      <c r="U128" s="285" t="n"/>
      <c r="V128" s="285" t="n"/>
      <c r="W128" s="285" t="n"/>
      <c r="X128" s="285" t="n"/>
      <c r="Y128" s="285" t="n"/>
      <c r="Z128" s="285" t="n"/>
    </row>
    <row r="129" ht="15.75" customHeight="1" s="398">
      <c r="A129" s="317" t="n"/>
      <c r="B129" s="317" t="n"/>
      <c r="C129" s="315" t="n"/>
      <c r="D129" s="288" t="n"/>
      <c r="E129" s="348" t="n"/>
      <c r="F129" s="391" t="n"/>
      <c r="G129" s="284" t="n"/>
      <c r="H129" s="288" t="n"/>
      <c r="I129" s="288" t="n"/>
      <c r="J129" s="288" t="n"/>
      <c r="K129" s="288" t="n"/>
      <c r="L129" s="288" t="n"/>
      <c r="M129" s="288" t="n"/>
      <c r="N129" s="288" t="n"/>
      <c r="O129" s="288" t="n"/>
      <c r="P129" s="288" t="n"/>
      <c r="Q129" s="288" t="n"/>
      <c r="R129" s="284" t="n"/>
      <c r="S129" s="284" t="n"/>
      <c r="T129" s="285" t="n"/>
      <c r="U129" s="285" t="n"/>
      <c r="V129" s="285" t="n"/>
      <c r="W129" s="285" t="n"/>
      <c r="X129" s="285" t="n"/>
      <c r="Y129" s="285" t="n"/>
      <c r="Z129" s="285" t="n"/>
    </row>
    <row r="130" ht="15.75" customHeight="1" s="398">
      <c r="A130" s="317" t="n"/>
      <c r="B130" s="317" t="n"/>
      <c r="C130" s="315" t="n"/>
      <c r="D130" s="288" t="n"/>
      <c r="E130" s="348" t="n"/>
      <c r="F130" s="391" t="n"/>
      <c r="G130" s="284" t="n"/>
      <c r="H130" s="288" t="n"/>
      <c r="I130" s="288" t="n"/>
      <c r="J130" s="288" t="n"/>
      <c r="K130" s="288" t="n"/>
      <c r="L130" s="288" t="n"/>
      <c r="M130" s="288" t="n"/>
      <c r="N130" s="288" t="n"/>
      <c r="O130" s="288" t="n"/>
      <c r="P130" s="288" t="n"/>
      <c r="Q130" s="288" t="n"/>
      <c r="R130" s="284" t="n"/>
      <c r="S130" s="284" t="n"/>
      <c r="T130" s="285" t="n"/>
      <c r="U130" s="285" t="n"/>
      <c r="V130" s="285" t="n"/>
      <c r="W130" s="285" t="n"/>
      <c r="X130" s="285" t="n"/>
      <c r="Y130" s="285" t="n"/>
      <c r="Z130" s="285" t="n"/>
    </row>
    <row r="131" ht="15.75" customHeight="1" s="398">
      <c r="A131" s="317" t="n"/>
      <c r="B131" s="317" t="n"/>
      <c r="C131" s="315" t="n"/>
      <c r="D131" s="288" t="n"/>
      <c r="E131" s="348" t="n"/>
      <c r="F131" s="391" t="n"/>
      <c r="G131" s="284" t="n"/>
      <c r="H131" s="288" t="n"/>
      <c r="I131" s="288" t="n"/>
      <c r="J131" s="288" t="n"/>
      <c r="K131" s="288" t="n"/>
      <c r="L131" s="288" t="n"/>
      <c r="M131" s="288" t="n"/>
      <c r="N131" s="288" t="n"/>
      <c r="O131" s="288" t="n"/>
      <c r="P131" s="288" t="n"/>
      <c r="Q131" s="288" t="n"/>
      <c r="R131" s="284" t="n"/>
      <c r="S131" s="284" t="n"/>
      <c r="T131" s="285" t="n"/>
      <c r="U131" s="285" t="n"/>
      <c r="V131" s="285" t="n"/>
      <c r="W131" s="285" t="n"/>
      <c r="X131" s="285" t="n"/>
      <c r="Y131" s="285" t="n"/>
      <c r="Z131" s="285" t="n"/>
    </row>
    <row r="132" ht="15.75" customHeight="1" s="398">
      <c r="A132" s="317" t="n"/>
      <c r="B132" s="317" t="n"/>
      <c r="C132" s="315" t="n"/>
      <c r="D132" s="288" t="n"/>
      <c r="E132" s="348" t="n"/>
      <c r="F132" s="391" t="n"/>
      <c r="G132" s="284" t="n"/>
      <c r="H132" s="288" t="n"/>
      <c r="I132" s="288" t="n"/>
      <c r="J132" s="288" t="n"/>
      <c r="K132" s="288" t="n"/>
      <c r="L132" s="288" t="n"/>
      <c r="M132" s="288" t="n"/>
      <c r="N132" s="288" t="n"/>
      <c r="O132" s="288" t="n"/>
      <c r="P132" s="288" t="n"/>
      <c r="Q132" s="288" t="n"/>
      <c r="R132" s="284" t="n"/>
      <c r="S132" s="284" t="n"/>
      <c r="T132" s="285" t="n"/>
      <c r="U132" s="285" t="n"/>
      <c r="V132" s="285" t="n"/>
      <c r="W132" s="285" t="n"/>
      <c r="X132" s="285" t="n"/>
      <c r="Y132" s="285" t="n"/>
      <c r="Z132" s="285" t="n"/>
    </row>
    <row r="133" ht="15.75" customHeight="1" s="398">
      <c r="A133" s="317" t="n"/>
      <c r="B133" s="317" t="n"/>
      <c r="C133" s="315" t="n"/>
      <c r="D133" s="288" t="n"/>
      <c r="E133" s="348" t="n"/>
      <c r="F133" s="391" t="n"/>
      <c r="G133" s="284" t="n"/>
      <c r="H133" s="288" t="n"/>
      <c r="I133" s="288" t="n"/>
      <c r="J133" s="288" t="n"/>
      <c r="K133" s="288" t="n"/>
      <c r="L133" s="288" t="n"/>
      <c r="M133" s="288" t="n"/>
      <c r="N133" s="288" t="n"/>
      <c r="O133" s="288" t="n"/>
      <c r="P133" s="288" t="n"/>
      <c r="Q133" s="288" t="n"/>
      <c r="R133" s="284" t="n"/>
      <c r="S133" s="284" t="n"/>
      <c r="T133" s="285" t="n"/>
      <c r="U133" s="285" t="n"/>
      <c r="V133" s="285" t="n"/>
      <c r="W133" s="285" t="n"/>
      <c r="X133" s="285" t="n"/>
      <c r="Y133" s="285" t="n"/>
      <c r="Z133" s="285" t="n"/>
    </row>
    <row r="134" ht="15.75" customHeight="1" s="398">
      <c r="A134" s="317" t="n"/>
      <c r="B134" s="317" t="n"/>
      <c r="C134" s="315" t="n"/>
      <c r="D134" s="288" t="n"/>
      <c r="E134" s="348" t="n"/>
      <c r="F134" s="391" t="n"/>
      <c r="G134" s="284" t="n"/>
      <c r="H134" s="288" t="n"/>
      <c r="I134" s="288" t="n"/>
      <c r="J134" s="288" t="n"/>
      <c r="K134" s="288" t="n"/>
      <c r="L134" s="288" t="n"/>
      <c r="M134" s="288" t="n"/>
      <c r="N134" s="288" t="n"/>
      <c r="O134" s="288" t="n"/>
      <c r="P134" s="288" t="n"/>
      <c r="Q134" s="288" t="n"/>
      <c r="R134" s="284" t="n"/>
      <c r="S134" s="284" t="n"/>
      <c r="T134" s="285" t="n"/>
      <c r="U134" s="285" t="n"/>
      <c r="V134" s="285" t="n"/>
      <c r="W134" s="285" t="n"/>
      <c r="X134" s="285" t="n"/>
      <c r="Y134" s="285" t="n"/>
      <c r="Z134" s="285" t="n"/>
    </row>
    <row r="135" ht="15.75" customHeight="1" s="398">
      <c r="A135" s="317" t="n"/>
      <c r="B135" s="317" t="n"/>
      <c r="C135" s="315" t="n"/>
      <c r="D135" s="288" t="n"/>
      <c r="E135" s="348" t="n"/>
      <c r="F135" s="391" t="n"/>
      <c r="G135" s="284" t="n"/>
      <c r="H135" s="288" t="n"/>
      <c r="I135" s="288" t="n"/>
      <c r="J135" s="288" t="n"/>
      <c r="K135" s="288" t="n"/>
      <c r="L135" s="288" t="n"/>
      <c r="M135" s="288" t="n"/>
      <c r="N135" s="288" t="n"/>
      <c r="O135" s="288" t="n"/>
      <c r="P135" s="288" t="n"/>
      <c r="Q135" s="288" t="n"/>
      <c r="R135" s="284" t="n"/>
      <c r="S135" s="284" t="n"/>
      <c r="T135" s="285" t="n"/>
      <c r="U135" s="285" t="n"/>
      <c r="V135" s="285" t="n"/>
      <c r="W135" s="285" t="n"/>
      <c r="X135" s="285" t="n"/>
      <c r="Y135" s="285" t="n"/>
      <c r="Z135" s="285" t="n"/>
    </row>
    <row r="136" ht="15.75" customHeight="1" s="398">
      <c r="A136" s="317" t="n"/>
      <c r="B136" s="317" t="n"/>
      <c r="C136" s="315" t="n"/>
      <c r="D136" s="288" t="n"/>
      <c r="E136" s="348" t="n"/>
      <c r="F136" s="391" t="n"/>
      <c r="G136" s="284" t="n"/>
      <c r="H136" s="288" t="n"/>
      <c r="I136" s="288" t="n"/>
      <c r="J136" s="288" t="n"/>
      <c r="K136" s="288" t="n"/>
      <c r="L136" s="288" t="n"/>
      <c r="M136" s="288" t="n"/>
      <c r="N136" s="288" t="n"/>
      <c r="O136" s="288" t="n"/>
      <c r="P136" s="288" t="n"/>
      <c r="Q136" s="288" t="n"/>
      <c r="R136" s="284" t="n"/>
      <c r="S136" s="284" t="n"/>
      <c r="T136" s="285" t="n"/>
      <c r="U136" s="285" t="n"/>
      <c r="V136" s="285" t="n"/>
      <c r="W136" s="285" t="n"/>
      <c r="X136" s="285" t="n"/>
      <c r="Y136" s="285" t="n"/>
      <c r="Z136" s="285" t="n"/>
    </row>
    <row r="137" ht="15.75" customHeight="1" s="398">
      <c r="A137" s="317" t="n"/>
      <c r="B137" s="317" t="n"/>
      <c r="C137" s="315" t="n"/>
      <c r="D137" s="288" t="n"/>
      <c r="E137" s="348" t="n"/>
      <c r="F137" s="391" t="n"/>
      <c r="G137" s="284" t="n"/>
      <c r="H137" s="288" t="n"/>
      <c r="I137" s="288" t="n"/>
      <c r="J137" s="288" t="n"/>
      <c r="K137" s="288" t="n"/>
      <c r="L137" s="288" t="n"/>
      <c r="M137" s="288" t="n"/>
      <c r="N137" s="288" t="n"/>
      <c r="O137" s="288" t="n"/>
      <c r="P137" s="288" t="n"/>
      <c r="Q137" s="288" t="n"/>
      <c r="R137" s="284" t="n"/>
      <c r="S137" s="284" t="n"/>
      <c r="T137" s="285" t="n"/>
      <c r="U137" s="285" t="n"/>
      <c r="V137" s="285" t="n"/>
      <c r="W137" s="285" t="n"/>
      <c r="X137" s="285" t="n"/>
      <c r="Y137" s="285" t="n"/>
      <c r="Z137" s="285" t="n"/>
    </row>
    <row r="138" ht="15.75" customHeight="1" s="398">
      <c r="A138" s="317" t="n"/>
      <c r="B138" s="317" t="n"/>
      <c r="C138" s="315" t="n"/>
      <c r="D138" s="288" t="n"/>
      <c r="E138" s="348" t="n"/>
      <c r="F138" s="391" t="n"/>
      <c r="G138" s="284" t="n"/>
      <c r="H138" s="288" t="n"/>
      <c r="I138" s="288" t="n"/>
      <c r="J138" s="288" t="n"/>
      <c r="K138" s="288" t="n"/>
      <c r="L138" s="288" t="n"/>
      <c r="M138" s="288" t="n"/>
      <c r="N138" s="288" t="n"/>
      <c r="O138" s="288" t="n"/>
      <c r="P138" s="288" t="n"/>
      <c r="Q138" s="288" t="n"/>
      <c r="R138" s="284" t="n"/>
      <c r="S138" s="284" t="n"/>
      <c r="T138" s="285" t="n"/>
      <c r="U138" s="285" t="n"/>
      <c r="V138" s="285" t="n"/>
      <c r="W138" s="285" t="n"/>
      <c r="X138" s="285" t="n"/>
      <c r="Y138" s="285" t="n"/>
      <c r="Z138" s="285" t="n"/>
    </row>
    <row r="139" ht="15.75" customHeight="1" s="398">
      <c r="A139" s="317" t="n"/>
      <c r="B139" s="317" t="n"/>
      <c r="C139" s="315" t="n"/>
      <c r="D139" s="288" t="n"/>
      <c r="E139" s="348" t="n"/>
      <c r="F139" s="391" t="n"/>
      <c r="G139" s="284" t="n"/>
      <c r="H139" s="288" t="n"/>
      <c r="I139" s="288" t="n"/>
      <c r="J139" s="288" t="n"/>
      <c r="K139" s="288" t="n"/>
      <c r="L139" s="288" t="n"/>
      <c r="M139" s="288" t="n"/>
      <c r="N139" s="288" t="n"/>
      <c r="O139" s="288" t="n"/>
      <c r="P139" s="288" t="n"/>
      <c r="Q139" s="288" t="n"/>
      <c r="R139" s="284" t="n"/>
      <c r="S139" s="284" t="n"/>
      <c r="T139" s="285" t="n"/>
      <c r="U139" s="285" t="n"/>
      <c r="V139" s="285" t="n"/>
      <c r="W139" s="285" t="n"/>
      <c r="X139" s="285" t="n"/>
      <c r="Y139" s="285" t="n"/>
      <c r="Z139" s="285" t="n"/>
    </row>
    <row r="140" ht="15.75" customHeight="1" s="398">
      <c r="A140" s="317" t="n"/>
      <c r="B140" s="317" t="n"/>
      <c r="C140" s="315" t="n"/>
      <c r="D140" s="288" t="n"/>
      <c r="E140" s="348" t="n"/>
      <c r="F140" s="391" t="n"/>
      <c r="G140" s="284" t="n"/>
      <c r="H140" s="288" t="n"/>
      <c r="I140" s="288" t="n"/>
      <c r="J140" s="288" t="n"/>
      <c r="K140" s="288" t="n"/>
      <c r="L140" s="288" t="n"/>
      <c r="M140" s="288" t="n"/>
      <c r="N140" s="288" t="n"/>
      <c r="O140" s="288" t="n"/>
      <c r="P140" s="288" t="n"/>
      <c r="Q140" s="288" t="n"/>
      <c r="R140" s="284" t="n"/>
      <c r="S140" s="284" t="n"/>
      <c r="T140" s="285" t="n"/>
      <c r="U140" s="285" t="n"/>
      <c r="V140" s="285" t="n"/>
      <c r="W140" s="285" t="n"/>
      <c r="X140" s="285" t="n"/>
      <c r="Y140" s="285" t="n"/>
      <c r="Z140" s="285" t="n"/>
    </row>
    <row r="141" ht="15.75" customHeight="1" s="398">
      <c r="A141" s="317" t="n"/>
      <c r="B141" s="317" t="n"/>
      <c r="C141" s="315" t="n"/>
      <c r="D141" s="288" t="n"/>
      <c r="E141" s="348" t="n"/>
      <c r="F141" s="391" t="n"/>
      <c r="G141" s="284" t="n"/>
      <c r="H141" s="288" t="n"/>
      <c r="I141" s="288" t="n"/>
      <c r="J141" s="288" t="n"/>
      <c r="K141" s="288" t="n"/>
      <c r="L141" s="288" t="n"/>
      <c r="M141" s="288" t="n"/>
      <c r="N141" s="288" t="n"/>
      <c r="O141" s="288" t="n"/>
      <c r="P141" s="288" t="n"/>
      <c r="Q141" s="288" t="n"/>
      <c r="R141" s="284" t="n"/>
      <c r="S141" s="284" t="n"/>
      <c r="T141" s="285" t="n"/>
      <c r="U141" s="285" t="n"/>
      <c r="V141" s="285" t="n"/>
      <c r="W141" s="285" t="n"/>
      <c r="X141" s="285" t="n"/>
      <c r="Y141" s="285" t="n"/>
      <c r="Z141" s="285" t="n"/>
    </row>
    <row r="142" ht="15.75" customHeight="1" s="398">
      <c r="A142" s="317" t="n"/>
      <c r="B142" s="317" t="n"/>
      <c r="C142" s="315" t="n"/>
      <c r="D142" s="288" t="n"/>
      <c r="E142" s="348" t="n"/>
      <c r="F142" s="391" t="n"/>
      <c r="G142" s="284" t="n"/>
      <c r="H142" s="288" t="n"/>
      <c r="I142" s="288" t="n"/>
      <c r="J142" s="288" t="n"/>
      <c r="K142" s="288" t="n"/>
      <c r="L142" s="288" t="n"/>
      <c r="M142" s="288" t="n"/>
      <c r="N142" s="288" t="n"/>
      <c r="O142" s="288" t="n"/>
      <c r="P142" s="288" t="n"/>
      <c r="Q142" s="288" t="n"/>
      <c r="R142" s="284" t="n"/>
      <c r="S142" s="284" t="n"/>
      <c r="T142" s="285" t="n"/>
      <c r="U142" s="285" t="n"/>
      <c r="V142" s="285" t="n"/>
      <c r="W142" s="285" t="n"/>
      <c r="X142" s="285" t="n"/>
      <c r="Y142" s="285" t="n"/>
      <c r="Z142" s="285" t="n"/>
    </row>
    <row r="143" ht="15.75" customHeight="1" s="398">
      <c r="A143" s="317" t="n"/>
      <c r="B143" s="317" t="n"/>
      <c r="C143" s="315" t="n"/>
      <c r="D143" s="288" t="n"/>
      <c r="E143" s="348" t="n"/>
      <c r="F143" s="391" t="n"/>
      <c r="G143" s="284" t="n"/>
      <c r="H143" s="288" t="n"/>
      <c r="I143" s="288" t="n"/>
      <c r="J143" s="288" t="n"/>
      <c r="K143" s="288" t="n"/>
      <c r="L143" s="288" t="n"/>
      <c r="M143" s="288" t="n"/>
      <c r="N143" s="288" t="n"/>
      <c r="O143" s="288" t="n"/>
      <c r="P143" s="288" t="n"/>
      <c r="Q143" s="288" t="n"/>
      <c r="R143" s="284" t="n"/>
      <c r="S143" s="284" t="n"/>
      <c r="T143" s="285" t="n"/>
      <c r="U143" s="285" t="n"/>
      <c r="V143" s="285" t="n"/>
      <c r="W143" s="285" t="n"/>
      <c r="X143" s="285" t="n"/>
      <c r="Y143" s="285" t="n"/>
      <c r="Z143" s="285" t="n"/>
    </row>
    <row r="144" ht="15.75" customHeight="1" s="398">
      <c r="A144" s="317" t="n"/>
      <c r="B144" s="317" t="n"/>
      <c r="C144" s="315" t="n"/>
      <c r="D144" s="288" t="n"/>
      <c r="E144" s="348" t="n"/>
      <c r="F144" s="391" t="n"/>
      <c r="G144" s="284" t="n"/>
      <c r="H144" s="288" t="n"/>
      <c r="I144" s="288" t="n"/>
      <c r="J144" s="288" t="n"/>
      <c r="K144" s="288" t="n"/>
      <c r="L144" s="288" t="n"/>
      <c r="M144" s="288" t="n"/>
      <c r="N144" s="288" t="n"/>
      <c r="O144" s="288" t="n"/>
      <c r="P144" s="288" t="n"/>
      <c r="Q144" s="288" t="n"/>
      <c r="R144" s="284" t="n"/>
      <c r="S144" s="284" t="n"/>
      <c r="T144" s="285" t="n"/>
      <c r="U144" s="285" t="n"/>
      <c r="V144" s="285" t="n"/>
      <c r="W144" s="285" t="n"/>
      <c r="X144" s="285" t="n"/>
      <c r="Y144" s="285" t="n"/>
      <c r="Z144" s="285" t="n"/>
    </row>
    <row r="145" ht="15.75" customHeight="1" s="398">
      <c r="A145" s="317" t="n"/>
      <c r="B145" s="317" t="n"/>
      <c r="C145" s="315" t="n"/>
      <c r="D145" s="288" t="n"/>
      <c r="E145" s="348" t="n"/>
      <c r="F145" s="391" t="n"/>
      <c r="G145" s="284" t="n"/>
      <c r="H145" s="288" t="n"/>
      <c r="I145" s="288" t="n"/>
      <c r="J145" s="288" t="n"/>
      <c r="K145" s="288" t="n"/>
      <c r="L145" s="288" t="n"/>
      <c r="M145" s="288" t="n"/>
      <c r="N145" s="288" t="n"/>
      <c r="O145" s="288" t="n"/>
      <c r="P145" s="288" t="n"/>
      <c r="Q145" s="288" t="n"/>
      <c r="R145" s="284" t="n"/>
      <c r="S145" s="284" t="n"/>
      <c r="T145" s="285" t="n"/>
      <c r="U145" s="285" t="n"/>
      <c r="V145" s="285" t="n"/>
      <c r="W145" s="285" t="n"/>
      <c r="X145" s="285" t="n"/>
      <c r="Y145" s="285" t="n"/>
      <c r="Z145" s="285" t="n"/>
    </row>
    <row r="146" ht="15.75" customHeight="1" s="398">
      <c r="A146" s="317" t="n"/>
      <c r="B146" s="317" t="n"/>
      <c r="C146" s="315" t="n"/>
      <c r="D146" s="288" t="n"/>
      <c r="E146" s="348" t="n"/>
      <c r="F146" s="391" t="n"/>
      <c r="G146" s="284" t="n"/>
      <c r="H146" s="288" t="n"/>
      <c r="I146" s="288" t="n"/>
      <c r="J146" s="288" t="n"/>
      <c r="K146" s="288" t="n"/>
      <c r="L146" s="288" t="n"/>
      <c r="M146" s="288" t="n"/>
      <c r="N146" s="288" t="n"/>
      <c r="O146" s="288" t="n"/>
      <c r="P146" s="288" t="n"/>
      <c r="Q146" s="288" t="n"/>
      <c r="R146" s="284" t="n"/>
      <c r="S146" s="284" t="n"/>
      <c r="T146" s="285" t="n"/>
      <c r="U146" s="285" t="n"/>
      <c r="V146" s="285" t="n"/>
      <c r="W146" s="285" t="n"/>
      <c r="X146" s="285" t="n"/>
      <c r="Y146" s="285" t="n"/>
      <c r="Z146" s="285" t="n"/>
    </row>
    <row r="147" ht="15.75" customHeight="1" s="398">
      <c r="A147" s="317" t="n"/>
      <c r="B147" s="317" t="n"/>
      <c r="C147" s="315" t="n"/>
      <c r="D147" s="288" t="n"/>
      <c r="E147" s="348" t="n"/>
      <c r="F147" s="391" t="n"/>
      <c r="G147" s="284" t="n"/>
      <c r="H147" s="288" t="n"/>
      <c r="I147" s="288" t="n"/>
      <c r="J147" s="288" t="n"/>
      <c r="K147" s="288" t="n"/>
      <c r="L147" s="288" t="n"/>
      <c r="M147" s="288" t="n"/>
      <c r="N147" s="288" t="n"/>
      <c r="O147" s="288" t="n"/>
      <c r="P147" s="288" t="n"/>
      <c r="Q147" s="288" t="n"/>
      <c r="R147" s="284" t="n"/>
      <c r="S147" s="284" t="n"/>
      <c r="T147" s="285" t="n"/>
      <c r="U147" s="285" t="n"/>
      <c r="V147" s="285" t="n"/>
      <c r="W147" s="285" t="n"/>
      <c r="X147" s="285" t="n"/>
      <c r="Y147" s="285" t="n"/>
      <c r="Z147" s="285" t="n"/>
    </row>
    <row r="148" ht="15.75" customHeight="1" s="398">
      <c r="A148" s="317" t="n"/>
      <c r="B148" s="317" t="n"/>
      <c r="C148" s="315" t="n"/>
      <c r="D148" s="288" t="n"/>
      <c r="E148" s="348" t="n"/>
      <c r="F148" s="391" t="n"/>
      <c r="G148" s="284" t="n"/>
      <c r="H148" s="288" t="n"/>
      <c r="I148" s="288" t="n"/>
      <c r="J148" s="288" t="n"/>
      <c r="K148" s="288" t="n"/>
      <c r="L148" s="288" t="n"/>
      <c r="M148" s="288" t="n"/>
      <c r="N148" s="288" t="n"/>
      <c r="O148" s="288" t="n"/>
      <c r="P148" s="288" t="n"/>
      <c r="Q148" s="288" t="n"/>
      <c r="R148" s="284" t="n"/>
      <c r="S148" s="284" t="n"/>
      <c r="T148" s="285" t="n"/>
      <c r="U148" s="285" t="n"/>
      <c r="V148" s="285" t="n"/>
      <c r="W148" s="285" t="n"/>
      <c r="X148" s="285" t="n"/>
      <c r="Y148" s="285" t="n"/>
      <c r="Z148" s="285" t="n"/>
    </row>
    <row r="149" ht="15.75" customHeight="1" s="398">
      <c r="A149" s="317" t="n"/>
      <c r="B149" s="317" t="n"/>
      <c r="C149" s="315" t="n"/>
      <c r="D149" s="288" t="n"/>
      <c r="E149" s="348" t="n"/>
      <c r="F149" s="391" t="n"/>
      <c r="G149" s="284" t="n"/>
      <c r="H149" s="288" t="n"/>
      <c r="I149" s="288" t="n"/>
      <c r="J149" s="288" t="n"/>
      <c r="K149" s="288" t="n"/>
      <c r="L149" s="288" t="n"/>
      <c r="M149" s="288" t="n"/>
      <c r="N149" s="288" t="n"/>
      <c r="O149" s="288" t="n"/>
      <c r="P149" s="288" t="n"/>
      <c r="Q149" s="288" t="n"/>
      <c r="R149" s="284" t="n"/>
      <c r="S149" s="284" t="n"/>
      <c r="T149" s="285" t="n"/>
      <c r="U149" s="285" t="n"/>
      <c r="V149" s="285" t="n"/>
      <c r="W149" s="285" t="n"/>
      <c r="X149" s="285" t="n"/>
      <c r="Y149" s="285" t="n"/>
      <c r="Z149" s="285" t="n"/>
    </row>
    <row r="150" ht="15.75" customHeight="1" s="398">
      <c r="A150" s="317" t="n"/>
      <c r="B150" s="317" t="n"/>
      <c r="C150" s="315" t="n"/>
      <c r="D150" s="288" t="n"/>
      <c r="E150" s="348" t="n"/>
      <c r="F150" s="391" t="n"/>
      <c r="G150" s="284" t="n"/>
      <c r="H150" s="288" t="n"/>
      <c r="I150" s="288" t="n"/>
      <c r="J150" s="288" t="n"/>
      <c r="K150" s="288" t="n"/>
      <c r="L150" s="288" t="n"/>
      <c r="M150" s="288" t="n"/>
      <c r="N150" s="288" t="n"/>
      <c r="O150" s="288" t="n"/>
      <c r="P150" s="288" t="n"/>
      <c r="Q150" s="288" t="n"/>
      <c r="R150" s="284" t="n"/>
      <c r="S150" s="284" t="n"/>
      <c r="T150" s="285" t="n"/>
      <c r="U150" s="285" t="n"/>
      <c r="V150" s="285" t="n"/>
      <c r="W150" s="285" t="n"/>
      <c r="X150" s="285" t="n"/>
      <c r="Y150" s="285" t="n"/>
      <c r="Z150" s="285" t="n"/>
    </row>
    <row r="151" ht="15.75" customHeight="1" s="398">
      <c r="A151" s="317" t="n"/>
      <c r="B151" s="317" t="n"/>
      <c r="C151" s="315" t="n"/>
      <c r="D151" s="288" t="n"/>
      <c r="E151" s="348" t="n"/>
      <c r="F151" s="391" t="n"/>
      <c r="G151" s="284" t="n"/>
      <c r="H151" s="288" t="n"/>
      <c r="I151" s="288" t="n"/>
      <c r="J151" s="288" t="n"/>
      <c r="K151" s="288" t="n"/>
      <c r="L151" s="288" t="n"/>
      <c r="M151" s="288" t="n"/>
      <c r="N151" s="288" t="n"/>
      <c r="O151" s="288" t="n"/>
      <c r="P151" s="288" t="n"/>
      <c r="Q151" s="288" t="n"/>
      <c r="R151" s="284" t="n"/>
      <c r="S151" s="284" t="n"/>
      <c r="T151" s="285" t="n"/>
      <c r="U151" s="285" t="n"/>
      <c r="V151" s="285" t="n"/>
      <c r="W151" s="285" t="n"/>
      <c r="X151" s="285" t="n"/>
      <c r="Y151" s="285" t="n"/>
      <c r="Z151" s="285" t="n"/>
    </row>
    <row r="152" ht="15.75" customHeight="1" s="398">
      <c r="A152" s="317" t="n"/>
      <c r="B152" s="317" t="n"/>
      <c r="C152" s="315" t="n"/>
      <c r="D152" s="288" t="n"/>
      <c r="E152" s="348" t="n"/>
      <c r="F152" s="391" t="n"/>
      <c r="G152" s="284" t="n"/>
      <c r="H152" s="288" t="n"/>
      <c r="I152" s="288" t="n"/>
      <c r="J152" s="288" t="n"/>
      <c r="K152" s="288" t="n"/>
      <c r="L152" s="288" t="n"/>
      <c r="M152" s="288" t="n"/>
      <c r="N152" s="288" t="n"/>
      <c r="O152" s="288" t="n"/>
      <c r="P152" s="288" t="n"/>
      <c r="Q152" s="288" t="n"/>
      <c r="R152" s="284" t="n"/>
      <c r="S152" s="284" t="n"/>
      <c r="T152" s="285" t="n"/>
      <c r="U152" s="285" t="n"/>
      <c r="V152" s="285" t="n"/>
      <c r="W152" s="285" t="n"/>
      <c r="X152" s="285" t="n"/>
      <c r="Y152" s="285" t="n"/>
      <c r="Z152" s="285" t="n"/>
    </row>
    <row r="153" ht="15.75" customHeight="1" s="398">
      <c r="A153" s="317" t="n"/>
      <c r="B153" s="317" t="n"/>
      <c r="C153" s="315" t="n"/>
      <c r="D153" s="288" t="n"/>
      <c r="E153" s="348" t="n"/>
      <c r="F153" s="391" t="n"/>
      <c r="G153" s="284" t="n"/>
      <c r="H153" s="288" t="n"/>
      <c r="I153" s="288" t="n"/>
      <c r="J153" s="288" t="n"/>
      <c r="K153" s="288" t="n"/>
      <c r="L153" s="288" t="n"/>
      <c r="M153" s="288" t="n"/>
      <c r="N153" s="288" t="n"/>
      <c r="O153" s="288" t="n"/>
      <c r="P153" s="288" t="n"/>
      <c r="Q153" s="288" t="n"/>
      <c r="R153" s="284" t="n"/>
      <c r="S153" s="284" t="n"/>
      <c r="T153" s="285" t="n"/>
      <c r="U153" s="285" t="n"/>
      <c r="V153" s="285" t="n"/>
      <c r="W153" s="285" t="n"/>
      <c r="X153" s="285" t="n"/>
      <c r="Y153" s="285" t="n"/>
      <c r="Z153" s="285" t="n"/>
    </row>
    <row r="154" ht="15.75" customHeight="1" s="398">
      <c r="A154" s="317" t="n"/>
      <c r="B154" s="317" t="n"/>
      <c r="C154" s="315" t="n"/>
      <c r="D154" s="288" t="n"/>
      <c r="E154" s="348" t="n"/>
      <c r="F154" s="391" t="n"/>
      <c r="G154" s="284" t="n"/>
      <c r="H154" s="288" t="n"/>
      <c r="I154" s="288" t="n"/>
      <c r="J154" s="288" t="n"/>
      <c r="K154" s="288" t="n"/>
      <c r="L154" s="288" t="n"/>
      <c r="M154" s="288" t="n"/>
      <c r="N154" s="288" t="n"/>
      <c r="O154" s="288" t="n"/>
      <c r="P154" s="288" t="n"/>
      <c r="Q154" s="288" t="n"/>
      <c r="R154" s="284" t="n"/>
      <c r="S154" s="284" t="n"/>
      <c r="T154" s="285" t="n"/>
      <c r="U154" s="285" t="n"/>
      <c r="V154" s="285" t="n"/>
      <c r="W154" s="285" t="n"/>
      <c r="X154" s="285" t="n"/>
      <c r="Y154" s="285" t="n"/>
      <c r="Z154" s="285" t="n"/>
    </row>
    <row r="155" ht="15.75" customHeight="1" s="398">
      <c r="A155" s="317" t="n"/>
      <c r="B155" s="317" t="n"/>
      <c r="C155" s="315" t="n"/>
      <c r="D155" s="288" t="n"/>
      <c r="E155" s="348" t="n"/>
      <c r="F155" s="391" t="n"/>
      <c r="G155" s="284" t="n"/>
      <c r="H155" s="288" t="n"/>
      <c r="I155" s="288" t="n"/>
      <c r="J155" s="288" t="n"/>
      <c r="K155" s="288" t="n"/>
      <c r="L155" s="288" t="n"/>
      <c r="M155" s="288" t="n"/>
      <c r="N155" s="288" t="n"/>
      <c r="O155" s="288" t="n"/>
      <c r="P155" s="288" t="n"/>
      <c r="Q155" s="288" t="n"/>
      <c r="R155" s="284" t="n"/>
      <c r="S155" s="284" t="n"/>
      <c r="T155" s="285" t="n"/>
      <c r="U155" s="285" t="n"/>
      <c r="V155" s="285" t="n"/>
      <c r="W155" s="285" t="n"/>
      <c r="X155" s="285" t="n"/>
      <c r="Y155" s="285" t="n"/>
      <c r="Z155" s="285" t="n"/>
    </row>
    <row r="156" ht="15.75" customHeight="1" s="398">
      <c r="A156" s="317" t="n"/>
      <c r="B156" s="317" t="n"/>
      <c r="C156" s="315" t="n"/>
      <c r="D156" s="288" t="n"/>
      <c r="E156" s="348" t="n"/>
      <c r="F156" s="391" t="n"/>
      <c r="G156" s="284" t="n"/>
      <c r="H156" s="288" t="n"/>
      <c r="I156" s="288" t="n"/>
      <c r="J156" s="288" t="n"/>
      <c r="K156" s="288" t="n"/>
      <c r="L156" s="288" t="n"/>
      <c r="M156" s="288" t="n"/>
      <c r="N156" s="288" t="n"/>
      <c r="O156" s="288" t="n"/>
      <c r="P156" s="288" t="n"/>
      <c r="Q156" s="288" t="n"/>
      <c r="R156" s="284" t="n"/>
      <c r="S156" s="284" t="n"/>
      <c r="T156" s="285" t="n"/>
      <c r="U156" s="285" t="n"/>
      <c r="V156" s="285" t="n"/>
      <c r="W156" s="285" t="n"/>
      <c r="X156" s="285" t="n"/>
      <c r="Y156" s="285" t="n"/>
      <c r="Z156" s="285" t="n"/>
    </row>
    <row r="157" ht="15.75" customHeight="1" s="398">
      <c r="A157" s="317" t="n"/>
      <c r="B157" s="317" t="n"/>
      <c r="C157" s="315" t="n"/>
      <c r="D157" s="288" t="n"/>
      <c r="E157" s="348" t="n"/>
      <c r="F157" s="391" t="n"/>
      <c r="G157" s="284" t="n"/>
      <c r="H157" s="288" t="n"/>
      <c r="I157" s="288" t="n"/>
      <c r="J157" s="288" t="n"/>
      <c r="K157" s="288" t="n"/>
      <c r="L157" s="288" t="n"/>
      <c r="M157" s="288" t="n"/>
      <c r="N157" s="288" t="n"/>
      <c r="O157" s="288" t="n"/>
      <c r="P157" s="288" t="n"/>
      <c r="Q157" s="288" t="n"/>
      <c r="R157" s="284" t="n"/>
      <c r="S157" s="284" t="n"/>
      <c r="T157" s="285" t="n"/>
      <c r="U157" s="285" t="n"/>
      <c r="V157" s="285" t="n"/>
      <c r="W157" s="285" t="n"/>
      <c r="X157" s="285" t="n"/>
      <c r="Y157" s="285" t="n"/>
      <c r="Z157" s="285" t="n"/>
    </row>
    <row r="158" ht="15.75" customHeight="1" s="398">
      <c r="A158" s="317" t="n"/>
      <c r="B158" s="317" t="n"/>
      <c r="C158" s="315" t="n"/>
      <c r="D158" s="288" t="n"/>
      <c r="E158" s="348" t="n"/>
      <c r="F158" s="391" t="n"/>
      <c r="G158" s="284" t="n"/>
      <c r="H158" s="288" t="n"/>
      <c r="I158" s="288" t="n"/>
      <c r="J158" s="288" t="n"/>
      <c r="K158" s="288" t="n"/>
      <c r="L158" s="288" t="n"/>
      <c r="M158" s="288" t="n"/>
      <c r="N158" s="288" t="n"/>
      <c r="O158" s="288" t="n"/>
      <c r="P158" s="288" t="n"/>
      <c r="Q158" s="288" t="n"/>
      <c r="R158" s="284" t="n"/>
      <c r="S158" s="284" t="n"/>
      <c r="T158" s="285" t="n"/>
      <c r="U158" s="285" t="n"/>
      <c r="V158" s="285" t="n"/>
      <c r="W158" s="285" t="n"/>
      <c r="X158" s="285" t="n"/>
      <c r="Y158" s="285" t="n"/>
      <c r="Z158" s="285" t="n"/>
    </row>
    <row r="159" ht="15.75" customHeight="1" s="398">
      <c r="A159" s="317" t="n"/>
      <c r="B159" s="317" t="n"/>
      <c r="C159" s="315" t="n"/>
      <c r="D159" s="288" t="n"/>
      <c r="E159" s="348" t="n"/>
      <c r="F159" s="391" t="n"/>
      <c r="G159" s="284" t="n"/>
      <c r="H159" s="288" t="n"/>
      <c r="I159" s="288" t="n"/>
      <c r="J159" s="288" t="n"/>
      <c r="K159" s="288" t="n"/>
      <c r="L159" s="288" t="n"/>
      <c r="M159" s="288" t="n"/>
      <c r="N159" s="288" t="n"/>
      <c r="O159" s="288" t="n"/>
      <c r="P159" s="288" t="n"/>
      <c r="Q159" s="288" t="n"/>
      <c r="R159" s="284" t="n"/>
      <c r="S159" s="284" t="n"/>
      <c r="T159" s="285" t="n"/>
      <c r="U159" s="285" t="n"/>
      <c r="V159" s="285" t="n"/>
      <c r="W159" s="285" t="n"/>
      <c r="X159" s="285" t="n"/>
      <c r="Y159" s="285" t="n"/>
      <c r="Z159" s="285" t="n"/>
    </row>
    <row r="160" ht="15.75" customHeight="1" s="398">
      <c r="A160" s="317" t="n"/>
      <c r="B160" s="317" t="n"/>
      <c r="C160" s="315" t="n"/>
      <c r="D160" s="288" t="n"/>
      <c r="E160" s="348" t="n"/>
      <c r="F160" s="391" t="n"/>
      <c r="G160" s="284" t="n"/>
      <c r="H160" s="288" t="n"/>
      <c r="I160" s="288" t="n"/>
      <c r="J160" s="288" t="n"/>
      <c r="K160" s="288" t="n"/>
      <c r="L160" s="288" t="n"/>
      <c r="M160" s="288" t="n"/>
      <c r="N160" s="288" t="n"/>
      <c r="O160" s="288" t="n"/>
      <c r="P160" s="288" t="n"/>
      <c r="Q160" s="288" t="n"/>
      <c r="R160" s="284" t="n"/>
      <c r="S160" s="284" t="n"/>
      <c r="T160" s="285" t="n"/>
      <c r="U160" s="285" t="n"/>
      <c r="V160" s="285" t="n"/>
      <c r="W160" s="285" t="n"/>
      <c r="X160" s="285" t="n"/>
      <c r="Y160" s="285" t="n"/>
      <c r="Z160" s="285" t="n"/>
    </row>
    <row r="161" ht="15.75" customHeight="1" s="398">
      <c r="A161" s="317" t="n"/>
      <c r="B161" s="317" t="n"/>
      <c r="C161" s="315" t="n"/>
      <c r="D161" s="288" t="n"/>
      <c r="E161" s="348" t="n"/>
      <c r="F161" s="391" t="n"/>
      <c r="G161" s="284" t="n"/>
      <c r="H161" s="288" t="n"/>
      <c r="I161" s="288" t="n"/>
      <c r="J161" s="288" t="n"/>
      <c r="K161" s="288" t="n"/>
      <c r="L161" s="288" t="n"/>
      <c r="M161" s="288" t="n"/>
      <c r="N161" s="288" t="n"/>
      <c r="O161" s="288" t="n"/>
      <c r="P161" s="288" t="n"/>
      <c r="Q161" s="288" t="n"/>
      <c r="R161" s="284" t="n"/>
      <c r="S161" s="284" t="n"/>
      <c r="T161" s="285" t="n"/>
      <c r="U161" s="285" t="n"/>
      <c r="V161" s="285" t="n"/>
      <c r="W161" s="285" t="n"/>
      <c r="X161" s="285" t="n"/>
      <c r="Y161" s="285" t="n"/>
      <c r="Z161" s="285" t="n"/>
    </row>
    <row r="162" ht="15.75" customHeight="1" s="398">
      <c r="A162" s="317" t="n"/>
      <c r="B162" s="317" t="n"/>
      <c r="C162" s="315" t="n"/>
      <c r="D162" s="288" t="n"/>
      <c r="E162" s="348" t="n"/>
      <c r="F162" s="391" t="n"/>
      <c r="G162" s="284" t="n"/>
      <c r="H162" s="288" t="n"/>
      <c r="I162" s="288" t="n"/>
      <c r="J162" s="288" t="n"/>
      <c r="K162" s="288" t="n"/>
      <c r="L162" s="288" t="n"/>
      <c r="M162" s="288" t="n"/>
      <c r="N162" s="288" t="n"/>
      <c r="O162" s="288" t="n"/>
      <c r="P162" s="288" t="n"/>
      <c r="Q162" s="288" t="n"/>
      <c r="R162" s="284" t="n"/>
      <c r="S162" s="284" t="n"/>
      <c r="T162" s="285" t="n"/>
      <c r="U162" s="285" t="n"/>
      <c r="V162" s="285" t="n"/>
      <c r="W162" s="285" t="n"/>
      <c r="X162" s="285" t="n"/>
      <c r="Y162" s="285" t="n"/>
      <c r="Z162" s="285" t="n"/>
    </row>
    <row r="163" ht="15.75" customHeight="1" s="398">
      <c r="A163" s="317" t="n"/>
      <c r="B163" s="317" t="n"/>
      <c r="C163" s="315" t="n"/>
      <c r="D163" s="288" t="n"/>
      <c r="E163" s="348" t="n"/>
      <c r="F163" s="391" t="n"/>
      <c r="G163" s="284" t="n"/>
      <c r="H163" s="288" t="n"/>
      <c r="I163" s="288" t="n"/>
      <c r="J163" s="288" t="n"/>
      <c r="K163" s="288" t="n"/>
      <c r="L163" s="288" t="n"/>
      <c r="M163" s="288" t="n"/>
      <c r="N163" s="288" t="n"/>
      <c r="O163" s="288" t="n"/>
      <c r="P163" s="288" t="n"/>
      <c r="Q163" s="288" t="n"/>
      <c r="R163" s="284" t="n"/>
      <c r="S163" s="284" t="n"/>
      <c r="T163" s="285" t="n"/>
      <c r="U163" s="285" t="n"/>
      <c r="V163" s="285" t="n"/>
      <c r="W163" s="285" t="n"/>
      <c r="X163" s="285" t="n"/>
      <c r="Y163" s="285" t="n"/>
      <c r="Z163" s="285" t="n"/>
    </row>
    <row r="164" ht="15.75" customHeight="1" s="398">
      <c r="A164" s="317" t="n"/>
      <c r="B164" s="317" t="n"/>
      <c r="C164" s="315" t="n"/>
      <c r="D164" s="288" t="n"/>
      <c r="E164" s="348" t="n"/>
      <c r="F164" s="391" t="n"/>
      <c r="G164" s="284" t="n"/>
      <c r="H164" s="288" t="n"/>
      <c r="I164" s="288" t="n"/>
      <c r="J164" s="288" t="n"/>
      <c r="K164" s="288" t="n"/>
      <c r="L164" s="288" t="n"/>
      <c r="M164" s="288" t="n"/>
      <c r="N164" s="288" t="n"/>
      <c r="O164" s="288" t="n"/>
      <c r="P164" s="288" t="n"/>
      <c r="Q164" s="288" t="n"/>
      <c r="R164" s="284" t="n"/>
      <c r="S164" s="284" t="n"/>
      <c r="T164" s="285" t="n"/>
      <c r="U164" s="285" t="n"/>
      <c r="V164" s="285" t="n"/>
      <c r="W164" s="285" t="n"/>
      <c r="X164" s="285" t="n"/>
      <c r="Y164" s="285" t="n"/>
      <c r="Z164" s="285" t="n"/>
    </row>
    <row r="165" ht="15.75" customHeight="1" s="398">
      <c r="A165" s="317" t="n"/>
      <c r="B165" s="317" t="n"/>
      <c r="C165" s="315" t="n"/>
      <c r="D165" s="288" t="n"/>
      <c r="E165" s="348" t="n"/>
      <c r="F165" s="391" t="n"/>
      <c r="G165" s="284" t="n"/>
      <c r="H165" s="288" t="n"/>
      <c r="I165" s="288" t="n"/>
      <c r="J165" s="288" t="n"/>
      <c r="K165" s="288" t="n"/>
      <c r="L165" s="288" t="n"/>
      <c r="M165" s="288" t="n"/>
      <c r="N165" s="288" t="n"/>
      <c r="O165" s="288" t="n"/>
      <c r="P165" s="288" t="n"/>
      <c r="Q165" s="288" t="n"/>
      <c r="R165" s="284" t="n"/>
      <c r="S165" s="284" t="n"/>
      <c r="T165" s="285" t="n"/>
      <c r="U165" s="285" t="n"/>
      <c r="V165" s="285" t="n"/>
      <c r="W165" s="285" t="n"/>
      <c r="X165" s="285" t="n"/>
      <c r="Y165" s="285" t="n"/>
      <c r="Z165" s="285" t="n"/>
    </row>
    <row r="166" ht="15.75" customHeight="1" s="398">
      <c r="A166" s="317" t="n"/>
      <c r="B166" s="317" t="n"/>
      <c r="C166" s="315" t="n"/>
      <c r="D166" s="288" t="n"/>
      <c r="E166" s="348" t="n"/>
      <c r="F166" s="391" t="n"/>
      <c r="G166" s="284" t="n"/>
      <c r="H166" s="288" t="n"/>
      <c r="I166" s="288" t="n"/>
      <c r="J166" s="288" t="n"/>
      <c r="K166" s="288" t="n"/>
      <c r="L166" s="288" t="n"/>
      <c r="M166" s="288" t="n"/>
      <c r="N166" s="288" t="n"/>
      <c r="O166" s="288" t="n"/>
      <c r="P166" s="288" t="n"/>
      <c r="Q166" s="288" t="n"/>
      <c r="R166" s="284" t="n"/>
      <c r="S166" s="284" t="n"/>
      <c r="T166" s="285" t="n"/>
      <c r="U166" s="285" t="n"/>
      <c r="V166" s="285" t="n"/>
      <c r="W166" s="285" t="n"/>
      <c r="X166" s="285" t="n"/>
      <c r="Y166" s="285" t="n"/>
      <c r="Z166" s="285" t="n"/>
    </row>
    <row r="167" ht="15.75" customHeight="1" s="398">
      <c r="A167" s="317" t="n"/>
      <c r="B167" s="317" t="n"/>
      <c r="C167" s="315" t="n"/>
      <c r="D167" s="288" t="n"/>
      <c r="E167" s="348" t="n"/>
      <c r="F167" s="391" t="n"/>
      <c r="G167" s="284" t="n"/>
      <c r="H167" s="288" t="n"/>
      <c r="I167" s="288" t="n"/>
      <c r="J167" s="288" t="n"/>
      <c r="K167" s="288" t="n"/>
      <c r="L167" s="288" t="n"/>
      <c r="M167" s="288" t="n"/>
      <c r="N167" s="288" t="n"/>
      <c r="O167" s="288" t="n"/>
      <c r="P167" s="288" t="n"/>
      <c r="Q167" s="288" t="n"/>
      <c r="R167" s="284" t="n"/>
      <c r="S167" s="284" t="n"/>
      <c r="T167" s="285" t="n"/>
      <c r="U167" s="285" t="n"/>
      <c r="V167" s="285" t="n"/>
      <c r="W167" s="285" t="n"/>
      <c r="X167" s="285" t="n"/>
      <c r="Y167" s="285" t="n"/>
      <c r="Z167" s="285" t="n"/>
    </row>
    <row r="168" ht="15.75" customHeight="1" s="398">
      <c r="A168" s="317" t="n"/>
      <c r="B168" s="317" t="n"/>
      <c r="C168" s="315" t="n"/>
      <c r="D168" s="288" t="n"/>
      <c r="E168" s="348" t="n"/>
      <c r="F168" s="391" t="n"/>
      <c r="G168" s="284" t="n"/>
      <c r="H168" s="288" t="n"/>
      <c r="I168" s="288" t="n"/>
      <c r="J168" s="288" t="n"/>
      <c r="K168" s="288" t="n"/>
      <c r="L168" s="288" t="n"/>
      <c r="M168" s="288" t="n"/>
      <c r="N168" s="288" t="n"/>
      <c r="O168" s="288" t="n"/>
      <c r="P168" s="288" t="n"/>
      <c r="Q168" s="288" t="n"/>
      <c r="R168" s="284" t="n"/>
      <c r="S168" s="284" t="n"/>
      <c r="T168" s="285" t="n"/>
      <c r="U168" s="285" t="n"/>
      <c r="V168" s="285" t="n"/>
      <c r="W168" s="285" t="n"/>
      <c r="X168" s="285" t="n"/>
      <c r="Y168" s="285" t="n"/>
      <c r="Z168" s="285" t="n"/>
    </row>
    <row r="169" ht="15.75" customHeight="1" s="398">
      <c r="A169" s="317" t="n"/>
      <c r="B169" s="317" t="n"/>
      <c r="C169" s="315" t="n"/>
      <c r="D169" s="288" t="n"/>
      <c r="E169" s="348" t="n"/>
      <c r="F169" s="391" t="n"/>
      <c r="G169" s="284" t="n"/>
      <c r="H169" s="288" t="n"/>
      <c r="I169" s="288" t="n"/>
      <c r="J169" s="288" t="n"/>
      <c r="K169" s="288" t="n"/>
      <c r="L169" s="288" t="n"/>
      <c r="M169" s="288" t="n"/>
      <c r="N169" s="288" t="n"/>
      <c r="O169" s="288" t="n"/>
      <c r="P169" s="288" t="n"/>
      <c r="Q169" s="288" t="n"/>
      <c r="R169" s="284" t="n"/>
      <c r="S169" s="284" t="n"/>
      <c r="T169" s="285" t="n"/>
      <c r="U169" s="285" t="n"/>
      <c r="V169" s="285" t="n"/>
      <c r="W169" s="285" t="n"/>
      <c r="X169" s="285" t="n"/>
      <c r="Y169" s="285" t="n"/>
      <c r="Z169" s="285" t="n"/>
    </row>
    <row r="170" ht="15.75" customHeight="1" s="398">
      <c r="A170" s="317" t="n"/>
      <c r="B170" s="317" t="n"/>
      <c r="C170" s="315" t="n"/>
      <c r="D170" s="288" t="n"/>
      <c r="E170" s="348" t="n"/>
      <c r="F170" s="391" t="n"/>
      <c r="G170" s="284" t="n"/>
      <c r="H170" s="288" t="n"/>
      <c r="I170" s="288" t="n"/>
      <c r="J170" s="288" t="n"/>
      <c r="K170" s="288" t="n"/>
      <c r="L170" s="288" t="n"/>
      <c r="M170" s="288" t="n"/>
      <c r="N170" s="288" t="n"/>
      <c r="O170" s="288" t="n"/>
      <c r="P170" s="288" t="n"/>
      <c r="Q170" s="288" t="n"/>
      <c r="R170" s="284" t="n"/>
      <c r="S170" s="284" t="n"/>
      <c r="T170" s="285" t="n"/>
      <c r="U170" s="285" t="n"/>
      <c r="V170" s="285" t="n"/>
      <c r="W170" s="285" t="n"/>
      <c r="X170" s="285" t="n"/>
      <c r="Y170" s="285" t="n"/>
      <c r="Z170" s="285" t="n"/>
    </row>
    <row r="171" ht="15.75" customHeight="1" s="398">
      <c r="A171" s="317" t="n"/>
      <c r="B171" s="317" t="n"/>
      <c r="C171" s="315" t="n"/>
      <c r="D171" s="288" t="n"/>
      <c r="E171" s="348" t="n"/>
      <c r="F171" s="391" t="n"/>
      <c r="G171" s="284" t="n"/>
      <c r="H171" s="288" t="n"/>
      <c r="I171" s="288" t="n"/>
      <c r="J171" s="288" t="n"/>
      <c r="K171" s="288" t="n"/>
      <c r="L171" s="288" t="n"/>
      <c r="M171" s="288" t="n"/>
      <c r="N171" s="288" t="n"/>
      <c r="O171" s="288" t="n"/>
      <c r="P171" s="288" t="n"/>
      <c r="Q171" s="288" t="n"/>
      <c r="R171" s="284" t="n"/>
      <c r="S171" s="284" t="n"/>
      <c r="T171" s="285" t="n"/>
      <c r="U171" s="285" t="n"/>
      <c r="V171" s="285" t="n"/>
      <c r="W171" s="285" t="n"/>
      <c r="X171" s="285" t="n"/>
      <c r="Y171" s="285" t="n"/>
      <c r="Z171" s="285" t="n"/>
    </row>
    <row r="172" ht="15.75" customHeight="1" s="398">
      <c r="A172" s="317" t="n"/>
      <c r="B172" s="317" t="n"/>
      <c r="C172" s="315" t="n"/>
      <c r="D172" s="288" t="n"/>
      <c r="E172" s="348" t="n"/>
      <c r="F172" s="391" t="n"/>
      <c r="G172" s="284" t="n"/>
      <c r="H172" s="288" t="n"/>
      <c r="I172" s="288" t="n"/>
      <c r="J172" s="288" t="n"/>
      <c r="K172" s="288" t="n"/>
      <c r="L172" s="288" t="n"/>
      <c r="M172" s="288" t="n"/>
      <c r="N172" s="288" t="n"/>
      <c r="O172" s="288" t="n"/>
      <c r="P172" s="288" t="n"/>
      <c r="Q172" s="288" t="n"/>
      <c r="R172" s="284" t="n"/>
      <c r="S172" s="284" t="n"/>
      <c r="T172" s="285" t="n"/>
      <c r="U172" s="285" t="n"/>
      <c r="V172" s="285" t="n"/>
      <c r="W172" s="285" t="n"/>
      <c r="X172" s="285" t="n"/>
      <c r="Y172" s="285" t="n"/>
      <c r="Z172" s="285" t="n"/>
    </row>
    <row r="173" ht="15.75" customHeight="1" s="398">
      <c r="A173" s="317" t="n"/>
      <c r="B173" s="317" t="n"/>
      <c r="C173" s="315" t="n"/>
      <c r="D173" s="288" t="n"/>
      <c r="E173" s="348" t="n"/>
      <c r="F173" s="391" t="n"/>
      <c r="G173" s="284" t="n"/>
      <c r="H173" s="288" t="n"/>
      <c r="I173" s="288" t="n"/>
      <c r="J173" s="288" t="n"/>
      <c r="K173" s="288" t="n"/>
      <c r="L173" s="288" t="n"/>
      <c r="M173" s="288" t="n"/>
      <c r="N173" s="288" t="n"/>
      <c r="O173" s="288" t="n"/>
      <c r="P173" s="288" t="n"/>
      <c r="Q173" s="288" t="n"/>
      <c r="R173" s="284" t="n"/>
      <c r="S173" s="284" t="n"/>
      <c r="T173" s="285" t="n"/>
      <c r="U173" s="285" t="n"/>
      <c r="V173" s="285" t="n"/>
      <c r="W173" s="285" t="n"/>
      <c r="X173" s="285" t="n"/>
      <c r="Y173" s="285" t="n"/>
      <c r="Z173" s="285" t="n"/>
    </row>
    <row r="174" ht="15.75" customHeight="1" s="398">
      <c r="A174" s="317" t="n"/>
      <c r="B174" s="317" t="n"/>
      <c r="C174" s="315" t="n"/>
      <c r="D174" s="288" t="n"/>
      <c r="E174" s="348" t="n"/>
      <c r="F174" s="391" t="n"/>
      <c r="G174" s="284" t="n"/>
      <c r="H174" s="288" t="n"/>
      <c r="I174" s="288" t="n"/>
      <c r="J174" s="288" t="n"/>
      <c r="K174" s="288" t="n"/>
      <c r="L174" s="288" t="n"/>
      <c r="M174" s="288" t="n"/>
      <c r="N174" s="288" t="n"/>
      <c r="O174" s="288" t="n"/>
      <c r="P174" s="288" t="n"/>
      <c r="Q174" s="288" t="n"/>
      <c r="R174" s="284" t="n"/>
      <c r="S174" s="284" t="n"/>
      <c r="T174" s="285" t="n"/>
      <c r="U174" s="285" t="n"/>
      <c r="V174" s="285" t="n"/>
      <c r="W174" s="285" t="n"/>
      <c r="X174" s="285" t="n"/>
      <c r="Y174" s="285" t="n"/>
      <c r="Z174" s="285" t="n"/>
    </row>
    <row r="175" ht="15.75" customHeight="1" s="398">
      <c r="A175" s="317" t="n"/>
      <c r="B175" s="317" t="n"/>
      <c r="C175" s="315" t="n"/>
      <c r="D175" s="288" t="n"/>
      <c r="E175" s="348" t="n"/>
      <c r="F175" s="391" t="n"/>
      <c r="G175" s="284" t="n"/>
      <c r="H175" s="288" t="n"/>
      <c r="I175" s="288" t="n"/>
      <c r="J175" s="288" t="n"/>
      <c r="K175" s="288" t="n"/>
      <c r="L175" s="288" t="n"/>
      <c r="M175" s="288" t="n"/>
      <c r="N175" s="288" t="n"/>
      <c r="O175" s="288" t="n"/>
      <c r="P175" s="288" t="n"/>
      <c r="Q175" s="288" t="n"/>
      <c r="R175" s="284" t="n"/>
      <c r="S175" s="284" t="n"/>
      <c r="T175" s="285" t="n"/>
      <c r="U175" s="285" t="n"/>
      <c r="V175" s="285" t="n"/>
      <c r="W175" s="285" t="n"/>
      <c r="X175" s="285" t="n"/>
      <c r="Y175" s="285" t="n"/>
      <c r="Z175" s="285" t="n"/>
    </row>
    <row r="176" ht="15.75" customHeight="1" s="398">
      <c r="A176" s="317" t="n"/>
      <c r="B176" s="317" t="n"/>
      <c r="C176" s="315" t="n"/>
      <c r="D176" s="288" t="n"/>
      <c r="E176" s="348" t="n"/>
      <c r="F176" s="391" t="n"/>
      <c r="G176" s="284" t="n"/>
      <c r="H176" s="288" t="n"/>
      <c r="I176" s="288" t="n"/>
      <c r="J176" s="288" t="n"/>
      <c r="K176" s="288" t="n"/>
      <c r="L176" s="288" t="n"/>
      <c r="M176" s="288" t="n"/>
      <c r="N176" s="288" t="n"/>
      <c r="O176" s="288" t="n"/>
      <c r="P176" s="288" t="n"/>
      <c r="Q176" s="288" t="n"/>
      <c r="R176" s="284" t="n"/>
      <c r="S176" s="284" t="n"/>
      <c r="T176" s="285" t="n"/>
      <c r="U176" s="285" t="n"/>
      <c r="V176" s="285" t="n"/>
      <c r="W176" s="285" t="n"/>
      <c r="X176" s="285" t="n"/>
      <c r="Y176" s="285" t="n"/>
      <c r="Z176" s="285" t="n"/>
    </row>
    <row r="177" ht="15.75" customHeight="1" s="398">
      <c r="A177" s="317" t="n"/>
      <c r="B177" s="317" t="n"/>
      <c r="C177" s="315" t="n"/>
      <c r="D177" s="288" t="n"/>
      <c r="E177" s="348" t="n"/>
      <c r="F177" s="391" t="n"/>
      <c r="G177" s="284" t="n"/>
      <c r="H177" s="288" t="n"/>
      <c r="I177" s="288" t="n"/>
      <c r="J177" s="288" t="n"/>
      <c r="K177" s="288" t="n"/>
      <c r="L177" s="288" t="n"/>
      <c r="M177" s="288" t="n"/>
      <c r="N177" s="288" t="n"/>
      <c r="O177" s="288" t="n"/>
      <c r="P177" s="288" t="n"/>
      <c r="Q177" s="288" t="n"/>
      <c r="R177" s="284" t="n"/>
      <c r="S177" s="284" t="n"/>
      <c r="T177" s="285" t="n"/>
      <c r="U177" s="285" t="n"/>
      <c r="V177" s="285" t="n"/>
      <c r="W177" s="285" t="n"/>
      <c r="X177" s="285" t="n"/>
      <c r="Y177" s="285" t="n"/>
      <c r="Z177" s="285" t="n"/>
    </row>
    <row r="178" ht="15.75" customHeight="1" s="398">
      <c r="A178" s="317" t="n"/>
      <c r="B178" s="317" t="n"/>
      <c r="C178" s="315" t="n"/>
      <c r="D178" s="288" t="n"/>
      <c r="E178" s="348" t="n"/>
      <c r="F178" s="391" t="n"/>
      <c r="G178" s="284" t="n"/>
      <c r="H178" s="288" t="n"/>
      <c r="I178" s="288" t="n"/>
      <c r="J178" s="288" t="n"/>
      <c r="K178" s="288" t="n"/>
      <c r="L178" s="288" t="n"/>
      <c r="M178" s="288" t="n"/>
      <c r="N178" s="288" t="n"/>
      <c r="O178" s="288" t="n"/>
      <c r="P178" s="288" t="n"/>
      <c r="Q178" s="288" t="n"/>
      <c r="R178" s="284" t="n"/>
      <c r="S178" s="284" t="n"/>
      <c r="T178" s="285" t="n"/>
      <c r="U178" s="285" t="n"/>
      <c r="V178" s="285" t="n"/>
      <c r="W178" s="285" t="n"/>
      <c r="X178" s="285" t="n"/>
      <c r="Y178" s="285" t="n"/>
      <c r="Z178" s="285" t="n"/>
    </row>
    <row r="179" ht="15.75" customHeight="1" s="398">
      <c r="A179" s="317" t="n"/>
      <c r="B179" s="317" t="n"/>
      <c r="C179" s="315" t="n"/>
      <c r="D179" s="288" t="n"/>
      <c r="E179" s="348" t="n"/>
      <c r="F179" s="391" t="n"/>
      <c r="G179" s="284" t="n"/>
      <c r="H179" s="288" t="n"/>
      <c r="I179" s="288" t="n"/>
      <c r="J179" s="288" t="n"/>
      <c r="K179" s="288" t="n"/>
      <c r="L179" s="288" t="n"/>
      <c r="M179" s="288" t="n"/>
      <c r="N179" s="288" t="n"/>
      <c r="O179" s="288" t="n"/>
      <c r="P179" s="288" t="n"/>
      <c r="Q179" s="288" t="n"/>
      <c r="R179" s="284" t="n"/>
      <c r="S179" s="284" t="n"/>
      <c r="T179" s="285" t="n"/>
      <c r="U179" s="285" t="n"/>
      <c r="V179" s="285" t="n"/>
      <c r="W179" s="285" t="n"/>
      <c r="X179" s="285" t="n"/>
      <c r="Y179" s="285" t="n"/>
      <c r="Z179" s="285" t="n"/>
    </row>
    <row r="180" ht="15.75" customHeight="1" s="398">
      <c r="A180" s="317" t="n"/>
      <c r="B180" s="317" t="n"/>
      <c r="C180" s="315" t="n"/>
      <c r="D180" s="288" t="n"/>
      <c r="E180" s="348" t="n"/>
      <c r="F180" s="391" t="n"/>
      <c r="G180" s="284" t="n"/>
      <c r="H180" s="288" t="n"/>
      <c r="I180" s="288" t="n"/>
      <c r="J180" s="288" t="n"/>
      <c r="K180" s="288" t="n"/>
      <c r="L180" s="288" t="n"/>
      <c r="M180" s="288" t="n"/>
      <c r="N180" s="288" t="n"/>
      <c r="O180" s="288" t="n"/>
      <c r="P180" s="288" t="n"/>
      <c r="Q180" s="288" t="n"/>
      <c r="R180" s="284" t="n"/>
      <c r="S180" s="284" t="n"/>
      <c r="T180" s="285" t="n"/>
      <c r="U180" s="285" t="n"/>
      <c r="V180" s="285" t="n"/>
      <c r="W180" s="285" t="n"/>
      <c r="X180" s="285" t="n"/>
      <c r="Y180" s="285" t="n"/>
      <c r="Z180" s="285" t="n"/>
    </row>
    <row r="181" ht="15.75" customHeight="1" s="398">
      <c r="A181" s="317" t="n"/>
      <c r="B181" s="317" t="n"/>
      <c r="C181" s="315" t="n"/>
      <c r="D181" s="288" t="n"/>
      <c r="E181" s="348" t="n"/>
      <c r="F181" s="391" t="n"/>
      <c r="G181" s="284" t="n"/>
      <c r="H181" s="288" t="n"/>
      <c r="I181" s="288" t="n"/>
      <c r="J181" s="288" t="n"/>
      <c r="K181" s="288" t="n"/>
      <c r="L181" s="288" t="n"/>
      <c r="M181" s="288" t="n"/>
      <c r="N181" s="288" t="n"/>
      <c r="O181" s="288" t="n"/>
      <c r="P181" s="288" t="n"/>
      <c r="Q181" s="288" t="n"/>
      <c r="R181" s="284" t="n"/>
      <c r="S181" s="284" t="n"/>
      <c r="T181" s="285" t="n"/>
      <c r="U181" s="285" t="n"/>
      <c r="V181" s="285" t="n"/>
      <c r="W181" s="285" t="n"/>
      <c r="X181" s="285" t="n"/>
      <c r="Y181" s="285" t="n"/>
      <c r="Z181" s="285" t="n"/>
    </row>
    <row r="182" ht="15.75" customHeight="1" s="398">
      <c r="A182" s="317" t="n"/>
      <c r="B182" s="317" t="n"/>
      <c r="C182" s="315" t="n"/>
      <c r="D182" s="288" t="n"/>
      <c r="E182" s="348" t="n"/>
      <c r="F182" s="391" t="n"/>
      <c r="G182" s="284" t="n"/>
      <c r="H182" s="288" t="n"/>
      <c r="I182" s="288" t="n"/>
      <c r="J182" s="288" t="n"/>
      <c r="K182" s="288" t="n"/>
      <c r="L182" s="288" t="n"/>
      <c r="M182" s="288" t="n"/>
      <c r="N182" s="288" t="n"/>
      <c r="O182" s="288" t="n"/>
      <c r="P182" s="288" t="n"/>
      <c r="Q182" s="288" t="n"/>
      <c r="R182" s="284" t="n"/>
      <c r="S182" s="284" t="n"/>
      <c r="T182" s="285" t="n"/>
      <c r="U182" s="285" t="n"/>
      <c r="V182" s="285" t="n"/>
      <c r="W182" s="285" t="n"/>
      <c r="X182" s="285" t="n"/>
      <c r="Y182" s="285" t="n"/>
      <c r="Z182" s="285" t="n"/>
    </row>
    <row r="183" ht="15.75" customHeight="1" s="398">
      <c r="A183" s="317" t="n"/>
      <c r="B183" s="317" t="n"/>
      <c r="C183" s="315" t="n"/>
      <c r="D183" s="288" t="n"/>
      <c r="E183" s="348" t="n"/>
      <c r="F183" s="391" t="n"/>
      <c r="G183" s="284" t="n"/>
      <c r="H183" s="288" t="n"/>
      <c r="I183" s="288" t="n"/>
      <c r="J183" s="288" t="n"/>
      <c r="K183" s="288" t="n"/>
      <c r="L183" s="288" t="n"/>
      <c r="M183" s="288" t="n"/>
      <c r="N183" s="288" t="n"/>
      <c r="O183" s="288" t="n"/>
      <c r="P183" s="288" t="n"/>
      <c r="Q183" s="288" t="n"/>
      <c r="R183" s="284" t="n"/>
      <c r="S183" s="284" t="n"/>
      <c r="T183" s="285" t="n"/>
      <c r="U183" s="285" t="n"/>
      <c r="V183" s="285" t="n"/>
      <c r="W183" s="285" t="n"/>
      <c r="X183" s="285" t="n"/>
      <c r="Y183" s="285" t="n"/>
      <c r="Z183" s="285" t="n"/>
    </row>
    <row r="184" ht="15.75" customHeight="1" s="398">
      <c r="A184" s="317" t="n"/>
      <c r="B184" s="317" t="n"/>
      <c r="C184" s="315" t="n"/>
      <c r="D184" s="288" t="n"/>
      <c r="E184" s="348" t="n"/>
      <c r="F184" s="391" t="n"/>
      <c r="G184" s="284" t="n"/>
      <c r="H184" s="288" t="n"/>
      <c r="I184" s="288" t="n"/>
      <c r="J184" s="288" t="n"/>
      <c r="K184" s="288" t="n"/>
      <c r="L184" s="288" t="n"/>
      <c r="M184" s="288" t="n"/>
      <c r="N184" s="288" t="n"/>
      <c r="O184" s="288" t="n"/>
      <c r="P184" s="288" t="n"/>
      <c r="Q184" s="288" t="n"/>
      <c r="R184" s="284" t="n"/>
      <c r="S184" s="284" t="n"/>
      <c r="T184" s="285" t="n"/>
      <c r="U184" s="285" t="n"/>
      <c r="V184" s="285" t="n"/>
      <c r="W184" s="285" t="n"/>
      <c r="X184" s="285" t="n"/>
      <c r="Y184" s="285" t="n"/>
      <c r="Z184" s="285" t="n"/>
    </row>
    <row r="185" ht="15.75" customHeight="1" s="398">
      <c r="A185" s="317" t="n"/>
      <c r="B185" s="317" t="n"/>
      <c r="C185" s="315" t="n"/>
      <c r="D185" s="288" t="n"/>
      <c r="E185" s="348" t="n"/>
      <c r="F185" s="391" t="n"/>
      <c r="G185" s="284" t="n"/>
      <c r="H185" s="288" t="n"/>
      <c r="I185" s="288" t="n"/>
      <c r="J185" s="288" t="n"/>
      <c r="K185" s="288" t="n"/>
      <c r="L185" s="288" t="n"/>
      <c r="M185" s="288" t="n"/>
      <c r="N185" s="288" t="n"/>
      <c r="O185" s="288" t="n"/>
      <c r="P185" s="288" t="n"/>
      <c r="Q185" s="288" t="n"/>
      <c r="R185" s="284" t="n"/>
      <c r="S185" s="284" t="n"/>
      <c r="T185" s="285" t="n"/>
      <c r="U185" s="285" t="n"/>
      <c r="V185" s="285" t="n"/>
      <c r="W185" s="285" t="n"/>
      <c r="X185" s="285" t="n"/>
      <c r="Y185" s="285" t="n"/>
      <c r="Z185" s="285" t="n"/>
    </row>
    <row r="186" ht="15.75" customHeight="1" s="398">
      <c r="A186" s="317" t="n"/>
      <c r="B186" s="317" t="n"/>
      <c r="C186" s="315" t="n"/>
      <c r="D186" s="288" t="n"/>
      <c r="E186" s="348" t="n"/>
      <c r="F186" s="391" t="n"/>
      <c r="G186" s="284" t="n"/>
      <c r="H186" s="288" t="n"/>
      <c r="I186" s="288" t="n"/>
      <c r="J186" s="288" t="n"/>
      <c r="K186" s="288" t="n"/>
      <c r="L186" s="288" t="n"/>
      <c r="M186" s="288" t="n"/>
      <c r="N186" s="288" t="n"/>
      <c r="O186" s="288" t="n"/>
      <c r="P186" s="288" t="n"/>
      <c r="Q186" s="288" t="n"/>
      <c r="R186" s="284" t="n"/>
      <c r="S186" s="284" t="n"/>
      <c r="T186" s="285" t="n"/>
      <c r="U186" s="285" t="n"/>
      <c r="V186" s="285" t="n"/>
      <c r="W186" s="285" t="n"/>
      <c r="X186" s="285" t="n"/>
      <c r="Y186" s="285" t="n"/>
      <c r="Z186" s="285" t="n"/>
    </row>
    <row r="187" ht="15.75" customHeight="1" s="398">
      <c r="A187" s="317" t="n"/>
      <c r="B187" s="317" t="n"/>
      <c r="C187" s="315" t="n"/>
      <c r="D187" s="288" t="n"/>
      <c r="E187" s="348" t="n"/>
      <c r="F187" s="391" t="n"/>
      <c r="G187" s="284" t="n"/>
      <c r="H187" s="288" t="n"/>
      <c r="I187" s="288" t="n"/>
      <c r="J187" s="288" t="n"/>
      <c r="K187" s="288" t="n"/>
      <c r="L187" s="288" t="n"/>
      <c r="M187" s="288" t="n"/>
      <c r="N187" s="288" t="n"/>
      <c r="O187" s="288" t="n"/>
      <c r="P187" s="288" t="n"/>
      <c r="Q187" s="288" t="n"/>
      <c r="R187" s="284" t="n"/>
      <c r="S187" s="284" t="n"/>
      <c r="T187" s="285" t="n"/>
      <c r="U187" s="285" t="n"/>
      <c r="V187" s="285" t="n"/>
      <c r="W187" s="285" t="n"/>
      <c r="X187" s="285" t="n"/>
      <c r="Y187" s="285" t="n"/>
      <c r="Z187" s="285" t="n"/>
    </row>
    <row r="188" ht="15.75" customHeight="1" s="398">
      <c r="A188" s="317" t="n"/>
      <c r="B188" s="317" t="n"/>
      <c r="C188" s="315" t="n"/>
      <c r="D188" s="288" t="n"/>
      <c r="E188" s="348" t="n"/>
      <c r="F188" s="391" t="n"/>
      <c r="G188" s="284" t="n"/>
      <c r="H188" s="288" t="n"/>
      <c r="I188" s="288" t="n"/>
      <c r="J188" s="288" t="n"/>
      <c r="K188" s="288" t="n"/>
      <c r="L188" s="288" t="n"/>
      <c r="M188" s="288" t="n"/>
      <c r="N188" s="288" t="n"/>
      <c r="O188" s="288" t="n"/>
      <c r="P188" s="288" t="n"/>
      <c r="Q188" s="288" t="n"/>
      <c r="R188" s="284" t="n"/>
      <c r="S188" s="284" t="n"/>
      <c r="T188" s="285" t="n"/>
      <c r="U188" s="285" t="n"/>
      <c r="V188" s="285" t="n"/>
      <c r="W188" s="285" t="n"/>
      <c r="X188" s="285" t="n"/>
      <c r="Y188" s="285" t="n"/>
      <c r="Z188" s="285" t="n"/>
    </row>
    <row r="189" ht="15.75" customHeight="1" s="398">
      <c r="A189" s="317" t="n"/>
      <c r="B189" s="317" t="n"/>
      <c r="C189" s="315" t="n"/>
      <c r="D189" s="288" t="n"/>
      <c r="E189" s="348" t="n"/>
      <c r="F189" s="391" t="n"/>
      <c r="G189" s="284" t="n"/>
      <c r="H189" s="288" t="n"/>
      <c r="I189" s="288" t="n"/>
      <c r="J189" s="288" t="n"/>
      <c r="K189" s="288" t="n"/>
      <c r="L189" s="288" t="n"/>
      <c r="M189" s="288" t="n"/>
      <c r="N189" s="288" t="n"/>
      <c r="O189" s="288" t="n"/>
      <c r="P189" s="288" t="n"/>
      <c r="Q189" s="288" t="n"/>
      <c r="R189" s="284" t="n"/>
      <c r="S189" s="284" t="n"/>
      <c r="T189" s="285" t="n"/>
      <c r="U189" s="285" t="n"/>
      <c r="V189" s="285" t="n"/>
      <c r="W189" s="285" t="n"/>
      <c r="X189" s="285" t="n"/>
      <c r="Y189" s="285" t="n"/>
      <c r="Z189" s="285" t="n"/>
    </row>
    <row r="190" ht="15.75" customHeight="1" s="398">
      <c r="A190" s="317" t="n"/>
      <c r="B190" s="317" t="n"/>
      <c r="C190" s="315" t="n"/>
      <c r="D190" s="288" t="n"/>
      <c r="E190" s="348" t="n"/>
      <c r="F190" s="391" t="n"/>
      <c r="G190" s="284" t="n"/>
      <c r="H190" s="288" t="n"/>
      <c r="I190" s="288" t="n"/>
      <c r="J190" s="288" t="n"/>
      <c r="K190" s="288" t="n"/>
      <c r="L190" s="288" t="n"/>
      <c r="M190" s="288" t="n"/>
      <c r="N190" s="288" t="n"/>
      <c r="O190" s="288" t="n"/>
      <c r="P190" s="288" t="n"/>
      <c r="Q190" s="288" t="n"/>
      <c r="R190" s="284" t="n"/>
      <c r="S190" s="284" t="n"/>
      <c r="T190" s="285" t="n"/>
      <c r="U190" s="285" t="n"/>
      <c r="V190" s="285" t="n"/>
      <c r="W190" s="285" t="n"/>
      <c r="X190" s="285" t="n"/>
      <c r="Y190" s="285" t="n"/>
      <c r="Z190" s="285" t="n"/>
    </row>
    <row r="191" ht="15.75" customHeight="1" s="398">
      <c r="A191" s="317" t="n"/>
      <c r="B191" s="317" t="n"/>
      <c r="C191" s="315" t="n"/>
      <c r="D191" s="288" t="n"/>
      <c r="E191" s="348" t="n"/>
      <c r="F191" s="391" t="n"/>
      <c r="G191" s="284" t="n"/>
      <c r="H191" s="288" t="n"/>
      <c r="I191" s="288" t="n"/>
      <c r="J191" s="288" t="n"/>
      <c r="K191" s="288" t="n"/>
      <c r="L191" s="288" t="n"/>
      <c r="M191" s="288" t="n"/>
      <c r="N191" s="288" t="n"/>
      <c r="O191" s="288" t="n"/>
      <c r="P191" s="288" t="n"/>
      <c r="Q191" s="288" t="n"/>
      <c r="R191" s="284" t="n"/>
      <c r="S191" s="284" t="n"/>
      <c r="T191" s="285" t="n"/>
      <c r="U191" s="285" t="n"/>
      <c r="V191" s="285" t="n"/>
      <c r="W191" s="285" t="n"/>
      <c r="X191" s="285" t="n"/>
      <c r="Y191" s="285" t="n"/>
      <c r="Z191" s="285" t="n"/>
    </row>
    <row r="192" ht="15.75" customHeight="1" s="398">
      <c r="A192" s="317" t="n"/>
      <c r="B192" s="317" t="n"/>
      <c r="C192" s="315" t="n"/>
      <c r="D192" s="288" t="n"/>
      <c r="E192" s="348" t="n"/>
      <c r="F192" s="391" t="n"/>
      <c r="G192" s="284" t="n"/>
      <c r="H192" s="288" t="n"/>
      <c r="I192" s="288" t="n"/>
      <c r="J192" s="288" t="n"/>
      <c r="K192" s="288" t="n"/>
      <c r="L192" s="288" t="n"/>
      <c r="M192" s="288" t="n"/>
      <c r="N192" s="288" t="n"/>
      <c r="O192" s="288" t="n"/>
      <c r="P192" s="288" t="n"/>
      <c r="Q192" s="288" t="n"/>
      <c r="R192" s="284" t="n"/>
      <c r="S192" s="284" t="n"/>
      <c r="T192" s="285" t="n"/>
      <c r="U192" s="285" t="n"/>
      <c r="V192" s="285" t="n"/>
      <c r="W192" s="285" t="n"/>
      <c r="X192" s="285" t="n"/>
      <c r="Y192" s="285" t="n"/>
      <c r="Z192" s="285" t="n"/>
    </row>
    <row r="193" ht="15.75" customHeight="1" s="398">
      <c r="A193" s="317" t="n"/>
      <c r="B193" s="317" t="n"/>
      <c r="C193" s="315" t="n"/>
      <c r="D193" s="288" t="n"/>
      <c r="E193" s="348" t="n"/>
      <c r="F193" s="391" t="n"/>
      <c r="G193" s="284" t="n"/>
      <c r="H193" s="288" t="n"/>
      <c r="I193" s="288" t="n"/>
      <c r="J193" s="288" t="n"/>
      <c r="K193" s="288" t="n"/>
      <c r="L193" s="288" t="n"/>
      <c r="M193" s="288" t="n"/>
      <c r="N193" s="288" t="n"/>
      <c r="O193" s="288" t="n"/>
      <c r="P193" s="288" t="n"/>
      <c r="Q193" s="288" t="n"/>
      <c r="R193" s="284" t="n"/>
      <c r="S193" s="284" t="n"/>
      <c r="T193" s="285" t="n"/>
      <c r="U193" s="285" t="n"/>
      <c r="V193" s="285" t="n"/>
      <c r="W193" s="285" t="n"/>
      <c r="X193" s="285" t="n"/>
      <c r="Y193" s="285" t="n"/>
      <c r="Z193" s="285" t="n"/>
    </row>
    <row r="194" ht="15.75" customHeight="1" s="398">
      <c r="A194" s="317" t="n"/>
      <c r="B194" s="317" t="n"/>
      <c r="C194" s="315" t="n"/>
      <c r="D194" s="288" t="n"/>
      <c r="E194" s="348" t="n"/>
      <c r="F194" s="391" t="n"/>
      <c r="G194" s="284" t="n"/>
      <c r="H194" s="288" t="n"/>
      <c r="I194" s="288" t="n"/>
      <c r="J194" s="288" t="n"/>
      <c r="K194" s="288" t="n"/>
      <c r="L194" s="288" t="n"/>
      <c r="M194" s="288" t="n"/>
      <c r="N194" s="288" t="n"/>
      <c r="O194" s="288" t="n"/>
      <c r="P194" s="288" t="n"/>
      <c r="Q194" s="288" t="n"/>
      <c r="R194" s="284" t="n"/>
      <c r="S194" s="284" t="n"/>
      <c r="T194" s="285" t="n"/>
      <c r="U194" s="285" t="n"/>
      <c r="V194" s="285" t="n"/>
      <c r="W194" s="285" t="n"/>
      <c r="X194" s="285" t="n"/>
      <c r="Y194" s="285" t="n"/>
      <c r="Z194" s="285" t="n"/>
    </row>
    <row r="195" ht="15.75" customHeight="1" s="398">
      <c r="A195" s="317" t="n"/>
      <c r="B195" s="317" t="n"/>
      <c r="C195" s="315" t="n"/>
      <c r="D195" s="288" t="n"/>
      <c r="E195" s="348" t="n"/>
      <c r="F195" s="391" t="n"/>
      <c r="G195" s="284" t="n"/>
      <c r="H195" s="288" t="n"/>
      <c r="I195" s="288" t="n"/>
      <c r="J195" s="288" t="n"/>
      <c r="K195" s="288" t="n"/>
      <c r="L195" s="288" t="n"/>
      <c r="M195" s="288" t="n"/>
      <c r="N195" s="288" t="n"/>
      <c r="O195" s="288" t="n"/>
      <c r="P195" s="288" t="n"/>
      <c r="Q195" s="288" t="n"/>
      <c r="R195" s="284" t="n"/>
      <c r="S195" s="284" t="n"/>
      <c r="T195" s="285" t="n"/>
      <c r="U195" s="285" t="n"/>
      <c r="V195" s="285" t="n"/>
      <c r="W195" s="285" t="n"/>
      <c r="X195" s="285" t="n"/>
      <c r="Y195" s="285" t="n"/>
      <c r="Z195" s="285" t="n"/>
    </row>
    <row r="196" ht="15.75" customHeight="1" s="398">
      <c r="A196" s="317" t="n"/>
      <c r="B196" s="317" t="n"/>
      <c r="C196" s="315" t="n"/>
      <c r="D196" s="288" t="n"/>
      <c r="E196" s="348" t="n"/>
      <c r="F196" s="391" t="n"/>
      <c r="G196" s="284" t="n"/>
      <c r="H196" s="288" t="n"/>
      <c r="I196" s="288" t="n"/>
      <c r="J196" s="288" t="n"/>
      <c r="K196" s="288" t="n"/>
      <c r="L196" s="288" t="n"/>
      <c r="M196" s="288" t="n"/>
      <c r="N196" s="288" t="n"/>
      <c r="O196" s="288" t="n"/>
      <c r="P196" s="288" t="n"/>
      <c r="Q196" s="288" t="n"/>
      <c r="R196" s="284" t="n"/>
      <c r="S196" s="284" t="n"/>
      <c r="T196" s="285" t="n"/>
      <c r="U196" s="285" t="n"/>
      <c r="V196" s="285" t="n"/>
      <c r="W196" s="285" t="n"/>
      <c r="X196" s="285" t="n"/>
      <c r="Y196" s="285" t="n"/>
      <c r="Z196" s="285" t="n"/>
    </row>
    <row r="197" ht="15.75" customHeight="1" s="398">
      <c r="A197" s="317" t="n"/>
      <c r="B197" s="317" t="n"/>
      <c r="C197" s="315" t="n"/>
      <c r="D197" s="288" t="n"/>
      <c r="E197" s="348" t="n"/>
      <c r="F197" s="391" t="n"/>
      <c r="G197" s="284" t="n"/>
      <c r="H197" s="288" t="n"/>
      <c r="I197" s="288" t="n"/>
      <c r="J197" s="288" t="n"/>
      <c r="K197" s="288" t="n"/>
      <c r="L197" s="288" t="n"/>
      <c r="M197" s="288" t="n"/>
      <c r="N197" s="288" t="n"/>
      <c r="O197" s="288" t="n"/>
      <c r="P197" s="288" t="n"/>
      <c r="Q197" s="288" t="n"/>
      <c r="R197" s="284" t="n"/>
      <c r="S197" s="284" t="n"/>
      <c r="T197" s="285" t="n"/>
      <c r="U197" s="285" t="n"/>
      <c r="V197" s="285" t="n"/>
      <c r="W197" s="285" t="n"/>
      <c r="X197" s="285" t="n"/>
      <c r="Y197" s="285" t="n"/>
      <c r="Z197" s="285" t="n"/>
    </row>
    <row r="198" ht="15.75" customHeight="1" s="398">
      <c r="A198" s="317" t="n"/>
      <c r="B198" s="317" t="n"/>
      <c r="C198" s="315" t="n"/>
      <c r="D198" s="288" t="n"/>
      <c r="E198" s="348" t="n"/>
      <c r="F198" s="391" t="n"/>
      <c r="G198" s="284" t="n"/>
      <c r="H198" s="288" t="n"/>
      <c r="I198" s="288" t="n"/>
      <c r="J198" s="288" t="n"/>
      <c r="K198" s="288" t="n"/>
      <c r="L198" s="288" t="n"/>
      <c r="M198" s="288" t="n"/>
      <c r="N198" s="288" t="n"/>
      <c r="O198" s="288" t="n"/>
      <c r="P198" s="288" t="n"/>
      <c r="Q198" s="288" t="n"/>
      <c r="R198" s="284" t="n"/>
      <c r="S198" s="284" t="n"/>
      <c r="T198" s="285" t="n"/>
      <c r="U198" s="285" t="n"/>
      <c r="V198" s="285" t="n"/>
      <c r="W198" s="285" t="n"/>
      <c r="X198" s="285" t="n"/>
      <c r="Y198" s="285" t="n"/>
      <c r="Z198" s="285" t="n"/>
    </row>
    <row r="199" ht="15.75" customHeight="1" s="398">
      <c r="A199" s="317" t="n"/>
      <c r="B199" s="317" t="n"/>
      <c r="C199" s="315" t="n"/>
      <c r="D199" s="288" t="n"/>
      <c r="E199" s="348" t="n"/>
      <c r="F199" s="391" t="n"/>
      <c r="G199" s="284" t="n"/>
      <c r="H199" s="288" t="n"/>
      <c r="I199" s="288" t="n"/>
      <c r="J199" s="288" t="n"/>
      <c r="K199" s="288" t="n"/>
      <c r="L199" s="288" t="n"/>
      <c r="M199" s="288" t="n"/>
      <c r="N199" s="288" t="n"/>
      <c r="O199" s="288" t="n"/>
      <c r="P199" s="288" t="n"/>
      <c r="Q199" s="288" t="n"/>
      <c r="R199" s="284" t="n"/>
      <c r="S199" s="284" t="n"/>
      <c r="T199" s="285" t="n"/>
      <c r="U199" s="285" t="n"/>
      <c r="V199" s="285" t="n"/>
      <c r="W199" s="285" t="n"/>
      <c r="X199" s="285" t="n"/>
      <c r="Y199" s="285" t="n"/>
      <c r="Z199" s="285" t="n"/>
    </row>
    <row r="200" ht="15.75" customHeight="1" s="398">
      <c r="A200" s="317" t="n"/>
      <c r="B200" s="317" t="n"/>
      <c r="C200" s="315" t="n"/>
      <c r="D200" s="288" t="n"/>
      <c r="E200" s="348" t="n"/>
      <c r="F200" s="391" t="n"/>
      <c r="G200" s="284" t="n"/>
      <c r="H200" s="288" t="n"/>
      <c r="I200" s="288" t="n"/>
      <c r="J200" s="288" t="n"/>
      <c r="K200" s="288" t="n"/>
      <c r="L200" s="288" t="n"/>
      <c r="M200" s="288" t="n"/>
      <c r="N200" s="288" t="n"/>
      <c r="O200" s="288" t="n"/>
      <c r="P200" s="288" t="n"/>
      <c r="Q200" s="288" t="n"/>
      <c r="R200" s="284" t="n"/>
      <c r="S200" s="284" t="n"/>
      <c r="T200" s="285" t="n"/>
      <c r="U200" s="285" t="n"/>
      <c r="V200" s="285" t="n"/>
      <c r="W200" s="285" t="n"/>
      <c r="X200" s="285" t="n"/>
      <c r="Y200" s="285" t="n"/>
      <c r="Z200" s="285" t="n"/>
    </row>
    <row r="201" ht="15.75" customHeight="1" s="398">
      <c r="A201" s="317" t="n"/>
      <c r="B201" s="317" t="n"/>
      <c r="C201" s="315" t="n"/>
      <c r="D201" s="288" t="n"/>
      <c r="E201" s="348" t="n"/>
      <c r="F201" s="391" t="n"/>
      <c r="G201" s="284" t="n"/>
      <c r="H201" s="288" t="n"/>
      <c r="I201" s="288" t="n"/>
      <c r="J201" s="288" t="n"/>
      <c r="K201" s="288" t="n"/>
      <c r="L201" s="288" t="n"/>
      <c r="M201" s="288" t="n"/>
      <c r="N201" s="288" t="n"/>
      <c r="O201" s="288" t="n"/>
      <c r="P201" s="288" t="n"/>
      <c r="Q201" s="288" t="n"/>
      <c r="R201" s="284" t="n"/>
      <c r="S201" s="284" t="n"/>
      <c r="T201" s="285" t="n"/>
      <c r="U201" s="285" t="n"/>
      <c r="V201" s="285" t="n"/>
      <c r="W201" s="285" t="n"/>
      <c r="X201" s="285" t="n"/>
      <c r="Y201" s="285" t="n"/>
      <c r="Z201" s="285" t="n"/>
    </row>
    <row r="202" ht="15.75" customHeight="1" s="398">
      <c r="A202" s="317" t="n"/>
      <c r="B202" s="317" t="n"/>
      <c r="C202" s="315" t="n"/>
      <c r="D202" s="288" t="n"/>
      <c r="E202" s="348" t="n"/>
      <c r="F202" s="391" t="n"/>
      <c r="G202" s="284" t="n"/>
      <c r="H202" s="288" t="n"/>
      <c r="I202" s="288" t="n"/>
      <c r="J202" s="288" t="n"/>
      <c r="K202" s="288" t="n"/>
      <c r="L202" s="288" t="n"/>
      <c r="M202" s="288" t="n"/>
      <c r="N202" s="288" t="n"/>
      <c r="O202" s="288" t="n"/>
      <c r="P202" s="288" t="n"/>
      <c r="Q202" s="288" t="n"/>
      <c r="R202" s="284" t="n"/>
      <c r="S202" s="284" t="n"/>
      <c r="T202" s="285" t="n"/>
      <c r="U202" s="285" t="n"/>
      <c r="V202" s="285" t="n"/>
      <c r="W202" s="285" t="n"/>
      <c r="X202" s="285" t="n"/>
      <c r="Y202" s="285" t="n"/>
      <c r="Z202" s="285" t="n"/>
    </row>
    <row r="203" ht="15.75" customHeight="1" s="398">
      <c r="A203" s="317" t="n"/>
      <c r="B203" s="317" t="n"/>
      <c r="C203" s="315" t="n"/>
      <c r="D203" s="288" t="n"/>
      <c r="E203" s="348" t="n"/>
      <c r="F203" s="391" t="n"/>
      <c r="G203" s="284" t="n"/>
      <c r="H203" s="288" t="n"/>
      <c r="I203" s="288" t="n"/>
      <c r="J203" s="288" t="n"/>
      <c r="K203" s="288" t="n"/>
      <c r="L203" s="288" t="n"/>
      <c r="M203" s="288" t="n"/>
      <c r="N203" s="288" t="n"/>
      <c r="O203" s="288" t="n"/>
      <c r="P203" s="288" t="n"/>
      <c r="Q203" s="288" t="n"/>
      <c r="R203" s="284" t="n"/>
      <c r="S203" s="284" t="n"/>
      <c r="T203" s="285" t="n"/>
      <c r="U203" s="285" t="n"/>
      <c r="V203" s="285" t="n"/>
      <c r="W203" s="285" t="n"/>
      <c r="X203" s="285" t="n"/>
      <c r="Y203" s="285" t="n"/>
      <c r="Z203" s="285" t="n"/>
    </row>
    <row r="204" ht="15.75" customHeight="1" s="398">
      <c r="A204" s="317" t="n"/>
      <c r="B204" s="317" t="n"/>
      <c r="C204" s="315" t="n"/>
      <c r="D204" s="288" t="n"/>
      <c r="E204" s="348" t="n"/>
      <c r="F204" s="391" t="n"/>
      <c r="G204" s="284" t="n"/>
      <c r="H204" s="288" t="n"/>
      <c r="I204" s="288" t="n"/>
      <c r="J204" s="288" t="n"/>
      <c r="K204" s="288" t="n"/>
      <c r="L204" s="288" t="n"/>
      <c r="M204" s="288" t="n"/>
      <c r="N204" s="288" t="n"/>
      <c r="O204" s="288" t="n"/>
      <c r="P204" s="288" t="n"/>
      <c r="Q204" s="288" t="n"/>
      <c r="R204" s="284" t="n"/>
      <c r="S204" s="284" t="n"/>
      <c r="T204" s="285" t="n"/>
      <c r="U204" s="285" t="n"/>
      <c r="V204" s="285" t="n"/>
      <c r="W204" s="285" t="n"/>
      <c r="X204" s="285" t="n"/>
      <c r="Y204" s="285" t="n"/>
      <c r="Z204" s="285" t="n"/>
    </row>
    <row r="205" ht="15.75" customHeight="1" s="398">
      <c r="A205" s="317" t="n"/>
      <c r="B205" s="317" t="n"/>
      <c r="C205" s="315" t="n"/>
      <c r="D205" s="288" t="n"/>
      <c r="E205" s="348" t="n"/>
      <c r="F205" s="391" t="n"/>
      <c r="G205" s="284" t="n"/>
      <c r="H205" s="288" t="n"/>
      <c r="I205" s="288" t="n"/>
      <c r="J205" s="288" t="n"/>
      <c r="K205" s="288" t="n"/>
      <c r="L205" s="288" t="n"/>
      <c r="M205" s="288" t="n"/>
      <c r="N205" s="288" t="n"/>
      <c r="O205" s="288" t="n"/>
      <c r="P205" s="288" t="n"/>
      <c r="Q205" s="288" t="n"/>
      <c r="R205" s="284" t="n"/>
      <c r="S205" s="284" t="n"/>
      <c r="T205" s="285" t="n"/>
      <c r="U205" s="285" t="n"/>
      <c r="V205" s="285" t="n"/>
      <c r="W205" s="285" t="n"/>
      <c r="X205" s="285" t="n"/>
      <c r="Y205" s="285" t="n"/>
      <c r="Z205" s="285" t="n"/>
    </row>
    <row r="206" ht="15.75" customHeight="1" s="398">
      <c r="A206" s="317" t="n"/>
      <c r="B206" s="317" t="n"/>
      <c r="C206" s="315" t="n"/>
      <c r="D206" s="288" t="n"/>
      <c r="E206" s="348" t="n"/>
      <c r="F206" s="391" t="n"/>
      <c r="G206" s="284" t="n"/>
      <c r="H206" s="288" t="n"/>
      <c r="I206" s="288" t="n"/>
      <c r="J206" s="288" t="n"/>
      <c r="K206" s="288" t="n"/>
      <c r="L206" s="288" t="n"/>
      <c r="M206" s="288" t="n"/>
      <c r="N206" s="288" t="n"/>
      <c r="O206" s="288" t="n"/>
      <c r="P206" s="288" t="n"/>
      <c r="Q206" s="288" t="n"/>
      <c r="R206" s="284" t="n"/>
      <c r="S206" s="284" t="n"/>
      <c r="T206" s="285" t="n"/>
      <c r="U206" s="285" t="n"/>
      <c r="V206" s="285" t="n"/>
      <c r="W206" s="285" t="n"/>
      <c r="X206" s="285" t="n"/>
      <c r="Y206" s="285" t="n"/>
      <c r="Z206" s="285" t="n"/>
    </row>
    <row r="207" ht="15.75" customHeight="1" s="398">
      <c r="A207" s="317" t="n"/>
      <c r="B207" s="317" t="n"/>
      <c r="C207" s="315" t="n"/>
      <c r="D207" s="288" t="n"/>
      <c r="E207" s="348" t="n"/>
      <c r="F207" s="391" t="n"/>
      <c r="G207" s="284" t="n"/>
      <c r="H207" s="288" t="n"/>
      <c r="I207" s="288" t="n"/>
      <c r="J207" s="288" t="n"/>
      <c r="K207" s="288" t="n"/>
      <c r="L207" s="288" t="n"/>
      <c r="M207" s="288" t="n"/>
      <c r="N207" s="288" t="n"/>
      <c r="O207" s="288" t="n"/>
      <c r="P207" s="288" t="n"/>
      <c r="Q207" s="288" t="n"/>
      <c r="R207" s="284" t="n"/>
      <c r="S207" s="284" t="n"/>
      <c r="T207" s="285" t="n"/>
      <c r="U207" s="285" t="n"/>
      <c r="V207" s="285" t="n"/>
      <c r="W207" s="285" t="n"/>
      <c r="X207" s="285" t="n"/>
      <c r="Y207" s="285" t="n"/>
      <c r="Z207" s="285" t="n"/>
    </row>
    <row r="208" ht="15.75" customHeight="1" s="398">
      <c r="A208" s="317" t="n"/>
      <c r="B208" s="317" t="n"/>
      <c r="C208" s="315" t="n"/>
      <c r="D208" s="288" t="n"/>
      <c r="E208" s="348" t="n"/>
      <c r="F208" s="391" t="n"/>
      <c r="G208" s="284" t="n"/>
      <c r="H208" s="288" t="n"/>
      <c r="I208" s="288" t="n"/>
      <c r="J208" s="288" t="n"/>
      <c r="K208" s="288" t="n"/>
      <c r="L208" s="288" t="n"/>
      <c r="M208" s="288" t="n"/>
      <c r="N208" s="288" t="n"/>
      <c r="O208" s="288" t="n"/>
      <c r="P208" s="288" t="n"/>
      <c r="Q208" s="288" t="n"/>
      <c r="R208" s="284" t="n"/>
      <c r="S208" s="284" t="n"/>
      <c r="T208" s="285" t="n"/>
      <c r="U208" s="285" t="n"/>
      <c r="V208" s="285" t="n"/>
      <c r="W208" s="285" t="n"/>
      <c r="X208" s="285" t="n"/>
      <c r="Y208" s="285" t="n"/>
      <c r="Z208" s="285" t="n"/>
    </row>
    <row r="209" ht="15.75" customHeight="1" s="398">
      <c r="A209" s="317" t="n"/>
      <c r="B209" s="317" t="n"/>
      <c r="C209" s="315" t="n"/>
      <c r="D209" s="288" t="n"/>
      <c r="E209" s="348" t="n"/>
      <c r="F209" s="391" t="n"/>
      <c r="G209" s="284" t="n"/>
      <c r="H209" s="288" t="n"/>
      <c r="I209" s="288" t="n"/>
      <c r="J209" s="288" t="n"/>
      <c r="K209" s="288" t="n"/>
      <c r="L209" s="288" t="n"/>
      <c r="M209" s="288" t="n"/>
      <c r="N209" s="288" t="n"/>
      <c r="O209" s="288" t="n"/>
      <c r="P209" s="288" t="n"/>
      <c r="Q209" s="288" t="n"/>
      <c r="R209" s="284" t="n"/>
      <c r="S209" s="284" t="n"/>
      <c r="T209" s="285" t="n"/>
      <c r="U209" s="285" t="n"/>
      <c r="V209" s="285" t="n"/>
      <c r="W209" s="285" t="n"/>
      <c r="X209" s="285" t="n"/>
      <c r="Y209" s="285" t="n"/>
      <c r="Z209" s="285" t="n"/>
    </row>
    <row r="210" ht="15.75" customHeight="1" s="398">
      <c r="A210" s="317" t="n"/>
      <c r="B210" s="317" t="n"/>
      <c r="C210" s="315" t="n"/>
      <c r="D210" s="288" t="n"/>
      <c r="E210" s="348" t="n"/>
      <c r="F210" s="391" t="n"/>
      <c r="G210" s="284" t="n"/>
      <c r="H210" s="288" t="n"/>
      <c r="I210" s="288" t="n"/>
      <c r="J210" s="288" t="n"/>
      <c r="K210" s="288" t="n"/>
      <c r="L210" s="288" t="n"/>
      <c r="M210" s="288" t="n"/>
      <c r="N210" s="288" t="n"/>
      <c r="O210" s="288" t="n"/>
      <c r="P210" s="288" t="n"/>
      <c r="Q210" s="288" t="n"/>
      <c r="R210" s="284" t="n"/>
      <c r="S210" s="284" t="n"/>
      <c r="T210" s="285" t="n"/>
      <c r="U210" s="285" t="n"/>
      <c r="V210" s="285" t="n"/>
      <c r="W210" s="285" t="n"/>
      <c r="X210" s="285" t="n"/>
      <c r="Y210" s="285" t="n"/>
      <c r="Z210" s="285" t="n"/>
    </row>
    <row r="211" ht="15.75" customHeight="1" s="398">
      <c r="A211" s="317" t="n"/>
      <c r="B211" s="317" t="n"/>
      <c r="C211" s="315" t="n"/>
      <c r="D211" s="288" t="n"/>
      <c r="E211" s="348" t="n"/>
      <c r="F211" s="391" t="n"/>
      <c r="G211" s="284" t="n"/>
      <c r="H211" s="288" t="n"/>
      <c r="I211" s="288" t="n"/>
      <c r="J211" s="288" t="n"/>
      <c r="K211" s="288" t="n"/>
      <c r="L211" s="288" t="n"/>
      <c r="M211" s="288" t="n"/>
      <c r="N211" s="288" t="n"/>
      <c r="O211" s="288" t="n"/>
      <c r="P211" s="288" t="n"/>
      <c r="Q211" s="288" t="n"/>
      <c r="R211" s="284" t="n"/>
      <c r="S211" s="284" t="n"/>
      <c r="T211" s="285" t="n"/>
      <c r="U211" s="285" t="n"/>
      <c r="V211" s="285" t="n"/>
      <c r="W211" s="285" t="n"/>
      <c r="X211" s="285" t="n"/>
      <c r="Y211" s="285" t="n"/>
      <c r="Z211" s="285" t="n"/>
    </row>
    <row r="212" ht="15.75" customHeight="1" s="398">
      <c r="A212" s="317" t="n"/>
      <c r="B212" s="317" t="n"/>
      <c r="C212" s="315" t="n"/>
      <c r="D212" s="288" t="n"/>
      <c r="E212" s="348" t="n"/>
      <c r="F212" s="391" t="n"/>
      <c r="G212" s="284" t="n"/>
      <c r="H212" s="288" t="n"/>
      <c r="I212" s="288" t="n"/>
      <c r="J212" s="288" t="n"/>
      <c r="K212" s="288" t="n"/>
      <c r="L212" s="288" t="n"/>
      <c r="M212" s="288" t="n"/>
      <c r="N212" s="288" t="n"/>
      <c r="O212" s="288" t="n"/>
      <c r="P212" s="288" t="n"/>
      <c r="Q212" s="288" t="n"/>
      <c r="R212" s="284" t="n"/>
      <c r="S212" s="284" t="n"/>
      <c r="T212" s="285" t="n"/>
      <c r="U212" s="285" t="n"/>
      <c r="V212" s="285" t="n"/>
      <c r="W212" s="285" t="n"/>
      <c r="X212" s="285" t="n"/>
      <c r="Y212" s="285" t="n"/>
      <c r="Z212" s="285" t="n"/>
    </row>
    <row r="213" ht="15.75" customHeight="1" s="398">
      <c r="A213" s="317" t="n"/>
      <c r="B213" s="317" t="n"/>
      <c r="C213" s="315" t="n"/>
      <c r="D213" s="288" t="n"/>
      <c r="E213" s="348" t="n"/>
      <c r="F213" s="391" t="n"/>
      <c r="G213" s="284" t="n"/>
      <c r="H213" s="288" t="n"/>
      <c r="I213" s="288" t="n"/>
      <c r="J213" s="288" t="n"/>
      <c r="K213" s="288" t="n"/>
      <c r="L213" s="288" t="n"/>
      <c r="M213" s="288" t="n"/>
      <c r="N213" s="288" t="n"/>
      <c r="O213" s="288" t="n"/>
      <c r="P213" s="288" t="n"/>
      <c r="Q213" s="288" t="n"/>
      <c r="R213" s="284" t="n"/>
      <c r="S213" s="284" t="n"/>
      <c r="T213" s="285" t="n"/>
      <c r="U213" s="285" t="n"/>
      <c r="V213" s="285" t="n"/>
      <c r="W213" s="285" t="n"/>
      <c r="X213" s="285" t="n"/>
      <c r="Y213" s="285" t="n"/>
      <c r="Z213" s="285" t="n"/>
    </row>
    <row r="214" ht="15.75" customHeight="1" s="398">
      <c r="A214" s="317" t="n"/>
      <c r="B214" s="317" t="n"/>
      <c r="C214" s="315" t="n"/>
      <c r="D214" s="288" t="n"/>
      <c r="E214" s="348" t="n"/>
      <c r="F214" s="391" t="n"/>
      <c r="G214" s="284" t="n"/>
      <c r="H214" s="288" t="n"/>
      <c r="I214" s="288" t="n"/>
      <c r="J214" s="288" t="n"/>
      <c r="K214" s="288" t="n"/>
      <c r="L214" s="288" t="n"/>
      <c r="M214" s="288" t="n"/>
      <c r="N214" s="288" t="n"/>
      <c r="O214" s="288" t="n"/>
      <c r="P214" s="288" t="n"/>
      <c r="Q214" s="288" t="n"/>
      <c r="R214" s="284" t="n"/>
      <c r="S214" s="284" t="n"/>
      <c r="T214" s="285" t="n"/>
      <c r="U214" s="285" t="n"/>
      <c r="V214" s="285" t="n"/>
      <c r="W214" s="285" t="n"/>
      <c r="X214" s="285" t="n"/>
      <c r="Y214" s="285" t="n"/>
      <c r="Z214" s="285" t="n"/>
    </row>
    <row r="215" ht="15.75" customHeight="1" s="398">
      <c r="A215" s="317" t="n"/>
      <c r="B215" s="317" t="n"/>
      <c r="C215" s="315" t="n"/>
      <c r="D215" s="288" t="n"/>
      <c r="E215" s="348" t="n"/>
      <c r="F215" s="391" t="n"/>
      <c r="G215" s="284" t="n"/>
      <c r="H215" s="288" t="n"/>
      <c r="I215" s="288" t="n"/>
      <c r="J215" s="288" t="n"/>
      <c r="K215" s="288" t="n"/>
      <c r="L215" s="288" t="n"/>
      <c r="M215" s="288" t="n"/>
      <c r="N215" s="288" t="n"/>
      <c r="O215" s="288" t="n"/>
      <c r="P215" s="288" t="n"/>
      <c r="Q215" s="288" t="n"/>
      <c r="R215" s="284" t="n"/>
      <c r="S215" s="284" t="n"/>
      <c r="T215" s="285" t="n"/>
      <c r="U215" s="285" t="n"/>
      <c r="V215" s="285" t="n"/>
      <c r="W215" s="285" t="n"/>
      <c r="X215" s="285" t="n"/>
      <c r="Y215" s="285" t="n"/>
      <c r="Z215" s="285" t="n"/>
    </row>
    <row r="216" ht="15.75" customHeight="1" s="398">
      <c r="A216" s="317" t="n"/>
      <c r="B216" s="317" t="n"/>
      <c r="C216" s="315" t="n"/>
      <c r="D216" s="288" t="n"/>
      <c r="E216" s="348" t="n"/>
      <c r="F216" s="391" t="n"/>
      <c r="G216" s="284" t="n"/>
      <c r="H216" s="288" t="n"/>
      <c r="I216" s="288" t="n"/>
      <c r="J216" s="288" t="n"/>
      <c r="K216" s="288" t="n"/>
      <c r="L216" s="288" t="n"/>
      <c r="M216" s="288" t="n"/>
      <c r="N216" s="288" t="n"/>
      <c r="O216" s="288" t="n"/>
      <c r="P216" s="288" t="n"/>
      <c r="Q216" s="288" t="n"/>
      <c r="R216" s="284" t="n"/>
      <c r="S216" s="284" t="n"/>
      <c r="T216" s="285" t="n"/>
      <c r="U216" s="285" t="n"/>
      <c r="V216" s="285" t="n"/>
      <c r="W216" s="285" t="n"/>
      <c r="X216" s="285" t="n"/>
      <c r="Y216" s="285" t="n"/>
      <c r="Z216" s="285" t="n"/>
    </row>
    <row r="217" ht="15.75" customHeight="1" s="398">
      <c r="A217" s="317" t="n"/>
      <c r="B217" s="317" t="n"/>
      <c r="C217" s="315" t="n"/>
      <c r="D217" s="288" t="n"/>
      <c r="E217" s="348" t="n"/>
      <c r="F217" s="391" t="n"/>
      <c r="G217" s="284" t="n"/>
      <c r="H217" s="288" t="n"/>
      <c r="I217" s="288" t="n"/>
      <c r="J217" s="288" t="n"/>
      <c r="K217" s="288" t="n"/>
      <c r="L217" s="288" t="n"/>
      <c r="M217" s="288" t="n"/>
      <c r="N217" s="288" t="n"/>
      <c r="O217" s="288" t="n"/>
      <c r="P217" s="288" t="n"/>
      <c r="Q217" s="288" t="n"/>
      <c r="R217" s="284" t="n"/>
      <c r="S217" s="284" t="n"/>
      <c r="T217" s="285" t="n"/>
      <c r="U217" s="285" t="n"/>
      <c r="V217" s="285" t="n"/>
      <c r="W217" s="285" t="n"/>
      <c r="X217" s="285" t="n"/>
      <c r="Y217" s="285" t="n"/>
      <c r="Z217" s="285" t="n"/>
    </row>
    <row r="218" ht="15.75" customHeight="1" s="398">
      <c r="A218" s="317" t="n"/>
      <c r="B218" s="317" t="n"/>
      <c r="C218" s="315" t="n"/>
      <c r="D218" s="288" t="n"/>
      <c r="E218" s="348" t="n"/>
      <c r="F218" s="391" t="n"/>
      <c r="G218" s="284" t="n"/>
      <c r="H218" s="288" t="n"/>
      <c r="I218" s="288" t="n"/>
      <c r="J218" s="288" t="n"/>
      <c r="K218" s="288" t="n"/>
      <c r="L218" s="288" t="n"/>
      <c r="M218" s="288" t="n"/>
      <c r="N218" s="288" t="n"/>
      <c r="O218" s="288" t="n"/>
      <c r="P218" s="288" t="n"/>
      <c r="Q218" s="288" t="n"/>
      <c r="R218" s="284" t="n"/>
      <c r="S218" s="284" t="n"/>
      <c r="T218" s="285" t="n"/>
      <c r="U218" s="285" t="n"/>
      <c r="V218" s="285" t="n"/>
      <c r="W218" s="285" t="n"/>
      <c r="X218" s="285" t="n"/>
      <c r="Y218" s="285" t="n"/>
      <c r="Z218" s="285" t="n"/>
    </row>
    <row r="219" ht="15.75" customHeight="1" s="398">
      <c r="A219" s="317" t="n"/>
      <c r="B219" s="317" t="n"/>
      <c r="C219" s="315" t="n"/>
      <c r="D219" s="288" t="n"/>
      <c r="E219" s="348" t="n"/>
      <c r="F219" s="391" t="n"/>
      <c r="G219" s="284" t="n"/>
      <c r="H219" s="288" t="n"/>
      <c r="I219" s="288" t="n"/>
      <c r="J219" s="288" t="n"/>
      <c r="K219" s="288" t="n"/>
      <c r="L219" s="288" t="n"/>
      <c r="M219" s="288" t="n"/>
      <c r="N219" s="288" t="n"/>
      <c r="O219" s="288" t="n"/>
      <c r="P219" s="288" t="n"/>
      <c r="Q219" s="288" t="n"/>
      <c r="R219" s="284" t="n"/>
      <c r="S219" s="284" t="n"/>
      <c r="T219" s="285" t="n"/>
      <c r="U219" s="285" t="n"/>
      <c r="V219" s="285" t="n"/>
      <c r="W219" s="285" t="n"/>
      <c r="X219" s="285" t="n"/>
      <c r="Y219" s="285" t="n"/>
      <c r="Z219" s="285" t="n"/>
    </row>
    <row r="220" ht="15.75" customHeight="1" s="398">
      <c r="A220" s="317" t="n"/>
      <c r="B220" s="317" t="n"/>
      <c r="C220" s="315" t="n"/>
      <c r="D220" s="288" t="n"/>
      <c r="E220" s="348" t="n"/>
      <c r="F220" s="391" t="n"/>
      <c r="G220" s="284" t="n"/>
      <c r="H220" s="288" t="n"/>
      <c r="I220" s="288" t="n"/>
      <c r="J220" s="288" t="n"/>
      <c r="K220" s="288" t="n"/>
      <c r="L220" s="288" t="n"/>
      <c r="M220" s="288" t="n"/>
      <c r="N220" s="288" t="n"/>
      <c r="O220" s="288" t="n"/>
      <c r="P220" s="288" t="n"/>
      <c r="Q220" s="288" t="n"/>
      <c r="R220" s="284" t="n"/>
      <c r="S220" s="284" t="n"/>
      <c r="T220" s="285" t="n"/>
      <c r="U220" s="285" t="n"/>
      <c r="V220" s="285" t="n"/>
      <c r="W220" s="285" t="n"/>
      <c r="X220" s="285" t="n"/>
      <c r="Y220" s="285" t="n"/>
      <c r="Z220" s="285" t="n"/>
    </row>
    <row r="221" ht="15.75" customHeight="1" s="398">
      <c r="A221" s="317" t="n"/>
      <c r="B221" s="317" t="n"/>
      <c r="C221" s="315" t="n"/>
      <c r="D221" s="288" t="n"/>
      <c r="E221" s="348" t="n"/>
      <c r="F221" s="391" t="n"/>
      <c r="G221" s="284" t="n"/>
      <c r="H221" s="288" t="n"/>
      <c r="I221" s="288" t="n"/>
      <c r="J221" s="288" t="n"/>
      <c r="K221" s="288" t="n"/>
      <c r="L221" s="288" t="n"/>
      <c r="M221" s="288" t="n"/>
      <c r="N221" s="288" t="n"/>
      <c r="O221" s="288" t="n"/>
      <c r="P221" s="288" t="n"/>
      <c r="Q221" s="288" t="n"/>
      <c r="R221" s="284" t="n"/>
      <c r="S221" s="284" t="n"/>
      <c r="T221" s="285" t="n"/>
      <c r="U221" s="285" t="n"/>
      <c r="V221" s="285" t="n"/>
      <c r="W221" s="285" t="n"/>
      <c r="X221" s="285" t="n"/>
      <c r="Y221" s="285" t="n"/>
      <c r="Z221" s="285" t="n"/>
    </row>
    <row r="222" ht="15.75" customHeight="1" s="398">
      <c r="A222" s="317" t="n"/>
      <c r="B222" s="317" t="n"/>
      <c r="C222" s="315" t="n"/>
      <c r="D222" s="288" t="n"/>
      <c r="E222" s="348" t="n"/>
      <c r="F222" s="391" t="n"/>
      <c r="G222" s="284" t="n"/>
      <c r="H222" s="288" t="n"/>
      <c r="I222" s="288" t="n"/>
      <c r="J222" s="288" t="n"/>
      <c r="K222" s="288" t="n"/>
      <c r="L222" s="288" t="n"/>
      <c r="M222" s="288" t="n"/>
      <c r="N222" s="288" t="n"/>
      <c r="O222" s="288" t="n"/>
      <c r="P222" s="288" t="n"/>
      <c r="Q222" s="288" t="n"/>
      <c r="R222" s="284" t="n"/>
      <c r="S222" s="284" t="n"/>
      <c r="T222" s="285" t="n"/>
      <c r="U222" s="285" t="n"/>
      <c r="V222" s="285" t="n"/>
      <c r="W222" s="285" t="n"/>
      <c r="X222" s="285" t="n"/>
      <c r="Y222" s="285" t="n"/>
      <c r="Z222" s="285" t="n"/>
    </row>
    <row r="223" ht="15.75" customHeight="1" s="398">
      <c r="A223" s="317" t="n"/>
      <c r="B223" s="317" t="n"/>
      <c r="C223" s="315" t="n"/>
      <c r="D223" s="288" t="n"/>
      <c r="E223" s="348" t="n"/>
      <c r="F223" s="391" t="n"/>
      <c r="G223" s="284" t="n"/>
      <c r="H223" s="288" t="n"/>
      <c r="I223" s="288" t="n"/>
      <c r="J223" s="288" t="n"/>
      <c r="K223" s="288" t="n"/>
      <c r="L223" s="288" t="n"/>
      <c r="M223" s="288" t="n"/>
      <c r="N223" s="288" t="n"/>
      <c r="O223" s="288" t="n"/>
      <c r="P223" s="288" t="n"/>
      <c r="Q223" s="288" t="n"/>
      <c r="R223" s="284" t="n"/>
      <c r="S223" s="284" t="n"/>
      <c r="T223" s="285" t="n"/>
      <c r="U223" s="285" t="n"/>
      <c r="V223" s="285" t="n"/>
      <c r="W223" s="285" t="n"/>
      <c r="X223" s="285" t="n"/>
      <c r="Y223" s="285" t="n"/>
      <c r="Z223" s="285" t="n"/>
    </row>
    <row r="224" ht="15.75" customHeight="1" s="398">
      <c r="A224" s="317" t="n"/>
      <c r="B224" s="317" t="n"/>
      <c r="C224" s="315" t="n"/>
      <c r="D224" s="288" t="n"/>
      <c r="E224" s="348" t="n"/>
      <c r="F224" s="391" t="n"/>
      <c r="G224" s="284" t="n"/>
      <c r="H224" s="288" t="n"/>
      <c r="I224" s="288" t="n"/>
      <c r="J224" s="288" t="n"/>
      <c r="K224" s="288" t="n"/>
      <c r="L224" s="288" t="n"/>
      <c r="M224" s="288" t="n"/>
      <c r="N224" s="288" t="n"/>
      <c r="O224" s="288" t="n"/>
      <c r="P224" s="288" t="n"/>
      <c r="Q224" s="288" t="n"/>
      <c r="R224" s="284" t="n"/>
      <c r="S224" s="284" t="n"/>
      <c r="T224" s="285" t="n"/>
      <c r="U224" s="285" t="n"/>
      <c r="V224" s="285" t="n"/>
      <c r="W224" s="285" t="n"/>
      <c r="X224" s="285" t="n"/>
      <c r="Y224" s="285" t="n"/>
      <c r="Z224" s="285" t="n"/>
    </row>
    <row r="225" ht="15.75" customHeight="1" s="398">
      <c r="A225" s="317" t="n"/>
      <c r="B225" s="317" t="n"/>
      <c r="C225" s="315" t="n"/>
      <c r="D225" s="288" t="n"/>
      <c r="E225" s="348" t="n"/>
      <c r="F225" s="391" t="n"/>
      <c r="G225" s="284" t="n"/>
      <c r="H225" s="288" t="n"/>
      <c r="I225" s="288" t="n"/>
      <c r="J225" s="288" t="n"/>
      <c r="K225" s="288" t="n"/>
      <c r="L225" s="288" t="n"/>
      <c r="M225" s="288" t="n"/>
      <c r="N225" s="288" t="n"/>
      <c r="O225" s="288" t="n"/>
      <c r="P225" s="288" t="n"/>
      <c r="Q225" s="288" t="n"/>
      <c r="R225" s="284" t="n"/>
      <c r="S225" s="284" t="n"/>
      <c r="T225" s="285" t="n"/>
      <c r="U225" s="285" t="n"/>
      <c r="V225" s="285" t="n"/>
      <c r="W225" s="285" t="n"/>
      <c r="X225" s="285" t="n"/>
      <c r="Y225" s="285" t="n"/>
      <c r="Z225" s="285" t="n"/>
    </row>
    <row r="226" ht="15.75" customHeight="1" s="398">
      <c r="A226" s="317" t="n"/>
      <c r="B226" s="317" t="n"/>
      <c r="C226" s="315" t="n"/>
      <c r="D226" s="288" t="n"/>
      <c r="E226" s="348" t="n"/>
      <c r="F226" s="391" t="n"/>
      <c r="G226" s="284" t="n"/>
      <c r="H226" s="288" t="n"/>
      <c r="I226" s="288" t="n"/>
      <c r="J226" s="288" t="n"/>
      <c r="K226" s="288" t="n"/>
      <c r="L226" s="288" t="n"/>
      <c r="M226" s="288" t="n"/>
      <c r="N226" s="288" t="n"/>
      <c r="O226" s="288" t="n"/>
      <c r="P226" s="288" t="n"/>
      <c r="Q226" s="288" t="n"/>
      <c r="R226" s="284" t="n"/>
      <c r="S226" s="284" t="n"/>
      <c r="T226" s="285" t="n"/>
      <c r="U226" s="285" t="n"/>
      <c r="V226" s="285" t="n"/>
      <c r="W226" s="285" t="n"/>
      <c r="X226" s="285" t="n"/>
      <c r="Y226" s="285" t="n"/>
      <c r="Z226" s="285" t="n"/>
    </row>
    <row r="227" ht="15.75" customHeight="1" s="398">
      <c r="A227" s="317" t="n"/>
      <c r="B227" s="317" t="n"/>
      <c r="C227" s="315" t="n"/>
      <c r="D227" s="288" t="n"/>
      <c r="E227" s="348" t="n"/>
      <c r="F227" s="391" t="n"/>
      <c r="G227" s="284" t="n"/>
      <c r="H227" s="288" t="n"/>
      <c r="I227" s="288" t="n"/>
      <c r="J227" s="288" t="n"/>
      <c r="K227" s="288" t="n"/>
      <c r="L227" s="288" t="n"/>
      <c r="M227" s="288" t="n"/>
      <c r="N227" s="288" t="n"/>
      <c r="O227" s="288" t="n"/>
      <c r="P227" s="288" t="n"/>
      <c r="Q227" s="288" t="n"/>
      <c r="R227" s="284" t="n"/>
      <c r="S227" s="284" t="n"/>
      <c r="T227" s="285" t="n"/>
      <c r="U227" s="285" t="n"/>
      <c r="V227" s="285" t="n"/>
      <c r="W227" s="285" t="n"/>
      <c r="X227" s="285" t="n"/>
      <c r="Y227" s="285" t="n"/>
      <c r="Z227" s="285" t="n"/>
    </row>
    <row r="228" ht="15.75" customHeight="1" s="398">
      <c r="A228" s="317" t="n"/>
      <c r="B228" s="317" t="n"/>
      <c r="C228" s="315" t="n"/>
      <c r="D228" s="288" t="n"/>
      <c r="E228" s="348" t="n"/>
      <c r="F228" s="391" t="n"/>
      <c r="G228" s="284" t="n"/>
      <c r="H228" s="288" t="n"/>
      <c r="I228" s="288" t="n"/>
      <c r="J228" s="288" t="n"/>
      <c r="K228" s="288" t="n"/>
      <c r="L228" s="288" t="n"/>
      <c r="M228" s="288" t="n"/>
      <c r="N228" s="288" t="n"/>
      <c r="O228" s="288" t="n"/>
      <c r="P228" s="288" t="n"/>
      <c r="Q228" s="288" t="n"/>
      <c r="R228" s="284" t="n"/>
      <c r="S228" s="284" t="n"/>
      <c r="T228" s="285" t="n"/>
      <c r="U228" s="285" t="n"/>
      <c r="V228" s="285" t="n"/>
      <c r="W228" s="285" t="n"/>
      <c r="X228" s="285" t="n"/>
      <c r="Y228" s="285" t="n"/>
      <c r="Z228" s="285" t="n"/>
    </row>
    <row r="229" ht="15.75" customHeight="1" s="398">
      <c r="A229" s="317" t="n"/>
      <c r="B229" s="317" t="n"/>
      <c r="C229" s="315" t="n"/>
      <c r="D229" s="288" t="n"/>
      <c r="E229" s="348" t="n"/>
      <c r="F229" s="391" t="n"/>
      <c r="G229" s="284" t="n"/>
      <c r="H229" s="288" t="n"/>
      <c r="I229" s="288" t="n"/>
      <c r="J229" s="288" t="n"/>
      <c r="K229" s="288" t="n"/>
      <c r="L229" s="288" t="n"/>
      <c r="M229" s="288" t="n"/>
      <c r="N229" s="288" t="n"/>
      <c r="O229" s="288" t="n"/>
      <c r="P229" s="288" t="n"/>
      <c r="Q229" s="288" t="n"/>
      <c r="R229" s="284" t="n"/>
      <c r="S229" s="284" t="n"/>
      <c r="T229" s="285" t="n"/>
      <c r="U229" s="285" t="n"/>
      <c r="V229" s="285" t="n"/>
      <c r="W229" s="285" t="n"/>
      <c r="X229" s="285" t="n"/>
      <c r="Y229" s="285" t="n"/>
      <c r="Z229" s="285" t="n"/>
    </row>
    <row r="230" ht="15.75" customHeight="1" s="398">
      <c r="A230" s="317" t="n"/>
      <c r="B230" s="317" t="n"/>
      <c r="C230" s="315" t="n"/>
      <c r="D230" s="288" t="n"/>
      <c r="E230" s="348" t="n"/>
      <c r="F230" s="391" t="n"/>
      <c r="G230" s="284" t="n"/>
      <c r="H230" s="288" t="n"/>
      <c r="I230" s="288" t="n"/>
      <c r="J230" s="288" t="n"/>
      <c r="K230" s="288" t="n"/>
      <c r="L230" s="288" t="n"/>
      <c r="M230" s="288" t="n"/>
      <c r="N230" s="288" t="n"/>
      <c r="O230" s="288" t="n"/>
      <c r="P230" s="288" t="n"/>
      <c r="Q230" s="288" t="n"/>
      <c r="R230" s="284" t="n"/>
      <c r="S230" s="284" t="n"/>
      <c r="T230" s="285" t="n"/>
      <c r="U230" s="285" t="n"/>
      <c r="V230" s="285" t="n"/>
      <c r="W230" s="285" t="n"/>
      <c r="X230" s="285" t="n"/>
      <c r="Y230" s="285" t="n"/>
      <c r="Z230" s="285" t="n"/>
    </row>
    <row r="231" ht="15.75" customHeight="1" s="398">
      <c r="A231" s="317" t="n"/>
      <c r="B231" s="317" t="n"/>
      <c r="C231" s="315" t="n"/>
      <c r="D231" s="288" t="n"/>
      <c r="E231" s="348" t="n"/>
      <c r="F231" s="391" t="n"/>
      <c r="G231" s="284" t="n"/>
      <c r="H231" s="288" t="n"/>
      <c r="I231" s="288" t="n"/>
      <c r="J231" s="288" t="n"/>
      <c r="K231" s="288" t="n"/>
      <c r="L231" s="288" t="n"/>
      <c r="M231" s="288" t="n"/>
      <c r="N231" s="288" t="n"/>
      <c r="O231" s="288" t="n"/>
      <c r="P231" s="288" t="n"/>
      <c r="Q231" s="288" t="n"/>
      <c r="R231" s="284" t="n"/>
      <c r="S231" s="284" t="n"/>
      <c r="T231" s="285" t="n"/>
      <c r="U231" s="285" t="n"/>
      <c r="V231" s="285" t="n"/>
      <c r="W231" s="285" t="n"/>
      <c r="X231" s="285" t="n"/>
      <c r="Y231" s="285" t="n"/>
      <c r="Z231" s="285" t="n"/>
    </row>
    <row r="232" ht="15.75" customHeight="1" s="398">
      <c r="A232" s="317" t="n"/>
      <c r="B232" s="317" t="n"/>
      <c r="C232" s="315" t="n"/>
      <c r="D232" s="288" t="n"/>
      <c r="E232" s="348" t="n"/>
      <c r="F232" s="391" t="n"/>
      <c r="G232" s="284" t="n"/>
      <c r="H232" s="288" t="n"/>
      <c r="I232" s="288" t="n"/>
      <c r="J232" s="288" t="n"/>
      <c r="K232" s="288" t="n"/>
      <c r="L232" s="288" t="n"/>
      <c r="M232" s="288" t="n"/>
      <c r="N232" s="288" t="n"/>
      <c r="O232" s="288" t="n"/>
      <c r="P232" s="288" t="n"/>
      <c r="Q232" s="288" t="n"/>
      <c r="R232" s="284" t="n"/>
      <c r="S232" s="284" t="n"/>
      <c r="T232" s="285" t="n"/>
      <c r="U232" s="285" t="n"/>
      <c r="V232" s="285" t="n"/>
      <c r="W232" s="285" t="n"/>
      <c r="X232" s="285" t="n"/>
      <c r="Y232" s="285" t="n"/>
      <c r="Z232" s="285" t="n"/>
    </row>
    <row r="233" ht="15.75" customHeight="1" s="398">
      <c r="A233" s="317" t="n"/>
      <c r="B233" s="317" t="n"/>
      <c r="C233" s="315" t="n"/>
      <c r="D233" s="288" t="n"/>
      <c r="E233" s="348" t="n"/>
      <c r="F233" s="391" t="n"/>
      <c r="G233" s="284" t="n"/>
      <c r="H233" s="288" t="n"/>
      <c r="I233" s="288" t="n"/>
      <c r="J233" s="288" t="n"/>
      <c r="K233" s="288" t="n"/>
      <c r="L233" s="288" t="n"/>
      <c r="M233" s="288" t="n"/>
      <c r="N233" s="288" t="n"/>
      <c r="O233" s="288" t="n"/>
      <c r="P233" s="288" t="n"/>
      <c r="Q233" s="288" t="n"/>
      <c r="R233" s="284" t="n"/>
      <c r="S233" s="284" t="n"/>
      <c r="T233" s="285" t="n"/>
      <c r="U233" s="285" t="n"/>
      <c r="V233" s="285" t="n"/>
      <c r="W233" s="285" t="n"/>
      <c r="X233" s="285" t="n"/>
      <c r="Y233" s="285" t="n"/>
      <c r="Z233" s="285" t="n"/>
    </row>
    <row r="234" ht="15.75" customHeight="1" s="398">
      <c r="A234" s="317" t="n"/>
      <c r="B234" s="317" t="n"/>
      <c r="C234" s="315" t="n"/>
      <c r="D234" s="288" t="n"/>
      <c r="E234" s="348" t="n"/>
      <c r="F234" s="391" t="n"/>
      <c r="G234" s="284" t="n"/>
      <c r="H234" s="288" t="n"/>
      <c r="I234" s="288" t="n"/>
      <c r="J234" s="288" t="n"/>
      <c r="K234" s="288" t="n"/>
      <c r="L234" s="288" t="n"/>
      <c r="M234" s="288" t="n"/>
      <c r="N234" s="288" t="n"/>
      <c r="O234" s="288" t="n"/>
      <c r="P234" s="288" t="n"/>
      <c r="Q234" s="288" t="n"/>
      <c r="R234" s="284" t="n"/>
      <c r="S234" s="284" t="n"/>
      <c r="T234" s="285" t="n"/>
      <c r="U234" s="285" t="n"/>
      <c r="V234" s="285" t="n"/>
      <c r="W234" s="285" t="n"/>
      <c r="X234" s="285" t="n"/>
      <c r="Y234" s="285" t="n"/>
      <c r="Z234" s="285" t="n"/>
    </row>
    <row r="235" ht="15.75" customHeight="1" s="398">
      <c r="A235" s="317" t="n"/>
      <c r="B235" s="317" t="n"/>
      <c r="C235" s="315" t="n"/>
      <c r="D235" s="288" t="n"/>
      <c r="E235" s="348" t="n"/>
      <c r="F235" s="391" t="n"/>
      <c r="G235" s="284" t="n"/>
      <c r="H235" s="288" t="n"/>
      <c r="I235" s="288" t="n"/>
      <c r="J235" s="288" t="n"/>
      <c r="K235" s="288" t="n"/>
      <c r="L235" s="288" t="n"/>
      <c r="M235" s="288" t="n"/>
      <c r="N235" s="288" t="n"/>
      <c r="O235" s="288" t="n"/>
      <c r="P235" s="288" t="n"/>
      <c r="Q235" s="288" t="n"/>
      <c r="R235" s="284" t="n"/>
      <c r="S235" s="284" t="n"/>
      <c r="T235" s="285" t="n"/>
      <c r="U235" s="285" t="n"/>
      <c r="V235" s="285" t="n"/>
      <c r="W235" s="285" t="n"/>
      <c r="X235" s="285" t="n"/>
      <c r="Y235" s="285" t="n"/>
      <c r="Z235" s="285" t="n"/>
    </row>
    <row r="236" ht="15.75" customHeight="1" s="398">
      <c r="A236" s="317" t="n"/>
      <c r="B236" s="317" t="n"/>
      <c r="C236" s="315" t="n"/>
      <c r="D236" s="288" t="n"/>
      <c r="E236" s="348" t="n"/>
      <c r="F236" s="391" t="n"/>
      <c r="G236" s="284" t="n"/>
      <c r="H236" s="288" t="n"/>
      <c r="I236" s="288" t="n"/>
      <c r="J236" s="288" t="n"/>
      <c r="K236" s="288" t="n"/>
      <c r="L236" s="288" t="n"/>
      <c r="M236" s="288" t="n"/>
      <c r="N236" s="288" t="n"/>
      <c r="O236" s="288" t="n"/>
      <c r="P236" s="288" t="n"/>
      <c r="Q236" s="288" t="n"/>
      <c r="R236" s="284" t="n"/>
      <c r="S236" s="284" t="n"/>
      <c r="T236" s="285" t="n"/>
      <c r="U236" s="285" t="n"/>
      <c r="V236" s="285" t="n"/>
      <c r="W236" s="285" t="n"/>
      <c r="X236" s="285" t="n"/>
      <c r="Y236" s="285" t="n"/>
      <c r="Z236" s="285" t="n"/>
    </row>
    <row r="237" ht="15.75" customHeight="1" s="398">
      <c r="A237" s="317" t="n"/>
      <c r="B237" s="317" t="n"/>
      <c r="C237" s="315" t="n"/>
      <c r="D237" s="288" t="n"/>
      <c r="E237" s="348" t="n"/>
      <c r="F237" s="391" t="n"/>
      <c r="G237" s="284" t="n"/>
      <c r="H237" s="288" t="n"/>
      <c r="I237" s="288" t="n"/>
      <c r="J237" s="288" t="n"/>
      <c r="K237" s="288" t="n"/>
      <c r="L237" s="288" t="n"/>
      <c r="M237" s="288" t="n"/>
      <c r="N237" s="288" t="n"/>
      <c r="O237" s="288" t="n"/>
      <c r="P237" s="288" t="n"/>
      <c r="Q237" s="288" t="n"/>
      <c r="R237" s="284" t="n"/>
      <c r="S237" s="284" t="n"/>
      <c r="T237" s="285" t="n"/>
      <c r="U237" s="285" t="n"/>
      <c r="V237" s="285" t="n"/>
      <c r="W237" s="285" t="n"/>
      <c r="X237" s="285" t="n"/>
      <c r="Y237" s="285" t="n"/>
      <c r="Z237" s="285" t="n"/>
    </row>
    <row r="238" ht="15.75" customHeight="1" s="398">
      <c r="A238" s="317" t="n"/>
      <c r="B238" s="317" t="n"/>
      <c r="C238" s="315" t="n"/>
      <c r="D238" s="288" t="n"/>
      <c r="E238" s="348" t="n"/>
      <c r="F238" s="391" t="n"/>
      <c r="G238" s="284" t="n"/>
      <c r="H238" s="288" t="n"/>
      <c r="I238" s="288" t="n"/>
      <c r="J238" s="288" t="n"/>
      <c r="K238" s="288" t="n"/>
      <c r="L238" s="288" t="n"/>
      <c r="M238" s="288" t="n"/>
      <c r="N238" s="288" t="n"/>
      <c r="O238" s="288" t="n"/>
      <c r="P238" s="288" t="n"/>
      <c r="Q238" s="288" t="n"/>
      <c r="R238" s="284" t="n"/>
      <c r="S238" s="284" t="n"/>
      <c r="T238" s="285" t="n"/>
      <c r="U238" s="285" t="n"/>
      <c r="V238" s="285" t="n"/>
      <c r="W238" s="285" t="n"/>
      <c r="X238" s="285" t="n"/>
      <c r="Y238" s="285" t="n"/>
      <c r="Z238" s="285" t="n"/>
    </row>
    <row r="239" ht="15.75" customHeight="1" s="398">
      <c r="A239" s="317" t="n"/>
      <c r="B239" s="317" t="n"/>
      <c r="C239" s="315" t="n"/>
      <c r="D239" s="288" t="n"/>
      <c r="E239" s="348" t="n"/>
      <c r="F239" s="391" t="n"/>
      <c r="G239" s="284" t="n"/>
      <c r="H239" s="288" t="n"/>
      <c r="I239" s="288" t="n"/>
      <c r="J239" s="288" t="n"/>
      <c r="K239" s="288" t="n"/>
      <c r="L239" s="288" t="n"/>
      <c r="M239" s="288" t="n"/>
      <c r="N239" s="288" t="n"/>
      <c r="O239" s="288" t="n"/>
      <c r="P239" s="288" t="n"/>
      <c r="Q239" s="288" t="n"/>
      <c r="R239" s="284" t="n"/>
      <c r="S239" s="284" t="n"/>
      <c r="T239" s="285" t="n"/>
      <c r="U239" s="285" t="n"/>
      <c r="V239" s="285" t="n"/>
      <c r="W239" s="285" t="n"/>
      <c r="X239" s="285" t="n"/>
      <c r="Y239" s="285" t="n"/>
      <c r="Z239" s="285" t="n"/>
    </row>
    <row r="240" ht="15.75" customHeight="1" s="398">
      <c r="A240" s="317" t="n"/>
      <c r="B240" s="317" t="n"/>
      <c r="C240" s="315" t="n"/>
      <c r="D240" s="288" t="n"/>
      <c r="E240" s="348" t="n"/>
      <c r="F240" s="391" t="n"/>
      <c r="G240" s="284" t="n"/>
      <c r="H240" s="288" t="n"/>
      <c r="I240" s="288" t="n"/>
      <c r="J240" s="288" t="n"/>
      <c r="K240" s="288" t="n"/>
      <c r="L240" s="288" t="n"/>
      <c r="M240" s="288" t="n"/>
      <c r="N240" s="288" t="n"/>
      <c r="O240" s="288" t="n"/>
      <c r="P240" s="288" t="n"/>
      <c r="Q240" s="288" t="n"/>
      <c r="R240" s="284" t="n"/>
      <c r="S240" s="284" t="n"/>
      <c r="T240" s="285" t="n"/>
      <c r="U240" s="285" t="n"/>
      <c r="V240" s="285" t="n"/>
      <c r="W240" s="285" t="n"/>
      <c r="X240" s="285" t="n"/>
      <c r="Y240" s="285" t="n"/>
      <c r="Z240" s="285" t="n"/>
    </row>
    <row r="241" ht="15.75" customHeight="1" s="398">
      <c r="A241" s="317" t="n"/>
      <c r="B241" s="317" t="n"/>
      <c r="C241" s="315" t="n"/>
      <c r="D241" s="288" t="n"/>
      <c r="E241" s="348" t="n"/>
      <c r="F241" s="391" t="n"/>
      <c r="G241" s="284" t="n"/>
      <c r="H241" s="288" t="n"/>
      <c r="I241" s="288" t="n"/>
      <c r="J241" s="288" t="n"/>
      <c r="K241" s="288" t="n"/>
      <c r="L241" s="288" t="n"/>
      <c r="M241" s="288" t="n"/>
      <c r="N241" s="288" t="n"/>
      <c r="O241" s="288" t="n"/>
      <c r="P241" s="288" t="n"/>
      <c r="Q241" s="288" t="n"/>
      <c r="R241" s="284" t="n"/>
      <c r="S241" s="284" t="n"/>
      <c r="T241" s="285" t="n"/>
      <c r="U241" s="285" t="n"/>
      <c r="V241" s="285" t="n"/>
      <c r="W241" s="285" t="n"/>
      <c r="X241" s="285" t="n"/>
      <c r="Y241" s="285" t="n"/>
      <c r="Z241" s="285" t="n"/>
    </row>
    <row r="242" ht="15.75" customHeight="1" s="398">
      <c r="A242" s="317" t="n"/>
      <c r="B242" s="317" t="n"/>
      <c r="C242" s="315" t="n"/>
      <c r="D242" s="288" t="n"/>
      <c r="E242" s="348" t="n"/>
      <c r="F242" s="391" t="n"/>
      <c r="G242" s="284" t="n"/>
      <c r="H242" s="288" t="n"/>
      <c r="I242" s="288" t="n"/>
      <c r="J242" s="288" t="n"/>
      <c r="K242" s="288" t="n"/>
      <c r="L242" s="288" t="n"/>
      <c r="M242" s="288" t="n"/>
      <c r="N242" s="288" t="n"/>
      <c r="O242" s="288" t="n"/>
      <c r="P242" s="288" t="n"/>
      <c r="Q242" s="288" t="n"/>
      <c r="R242" s="284" t="n"/>
      <c r="S242" s="284" t="n"/>
      <c r="T242" s="285" t="n"/>
      <c r="U242" s="285" t="n"/>
      <c r="V242" s="285" t="n"/>
      <c r="W242" s="285" t="n"/>
      <c r="X242" s="285" t="n"/>
      <c r="Y242" s="285" t="n"/>
      <c r="Z242" s="285" t="n"/>
    </row>
    <row r="243" ht="15.75" customHeight="1" s="398">
      <c r="A243" s="317" t="n"/>
      <c r="B243" s="317" t="n"/>
      <c r="C243" s="315" t="n"/>
      <c r="D243" s="288" t="n"/>
      <c r="E243" s="348" t="n"/>
      <c r="F243" s="391" t="n"/>
      <c r="G243" s="284" t="n"/>
      <c r="H243" s="288" t="n"/>
      <c r="I243" s="288" t="n"/>
      <c r="J243" s="288" t="n"/>
      <c r="K243" s="288" t="n"/>
      <c r="L243" s="288" t="n"/>
      <c r="M243" s="288" t="n"/>
      <c r="N243" s="288" t="n"/>
      <c r="O243" s="288" t="n"/>
      <c r="P243" s="288" t="n"/>
      <c r="Q243" s="288" t="n"/>
      <c r="R243" s="284" t="n"/>
      <c r="S243" s="284" t="n"/>
      <c r="T243" s="285" t="n"/>
      <c r="U243" s="285" t="n"/>
      <c r="V243" s="285" t="n"/>
      <c r="W243" s="285" t="n"/>
      <c r="X243" s="285" t="n"/>
      <c r="Y243" s="285" t="n"/>
      <c r="Z243" s="285" t="n"/>
    </row>
    <row r="244" ht="15.75" customHeight="1" s="398">
      <c r="A244" s="317" t="n"/>
      <c r="B244" s="317" t="n"/>
      <c r="C244" s="315" t="n"/>
      <c r="D244" s="288" t="n"/>
      <c r="E244" s="348" t="n"/>
      <c r="F244" s="391" t="n"/>
      <c r="G244" s="284" t="n"/>
      <c r="H244" s="288" t="n"/>
      <c r="I244" s="288" t="n"/>
      <c r="J244" s="288" t="n"/>
      <c r="K244" s="288" t="n"/>
      <c r="L244" s="288" t="n"/>
      <c r="M244" s="288" t="n"/>
      <c r="N244" s="288" t="n"/>
      <c r="O244" s="288" t="n"/>
      <c r="P244" s="288" t="n"/>
      <c r="Q244" s="288" t="n"/>
      <c r="R244" s="284" t="n"/>
      <c r="S244" s="284" t="n"/>
      <c r="T244" s="285" t="n"/>
      <c r="U244" s="285" t="n"/>
      <c r="V244" s="285" t="n"/>
      <c r="W244" s="285" t="n"/>
      <c r="X244" s="285" t="n"/>
      <c r="Y244" s="285" t="n"/>
      <c r="Z244" s="285" t="n"/>
    </row>
    <row r="245" ht="15.75" customHeight="1" s="398">
      <c r="A245" s="317" t="n"/>
      <c r="B245" s="317" t="n"/>
      <c r="C245" s="315" t="n"/>
      <c r="D245" s="288" t="n"/>
      <c r="E245" s="348" t="n"/>
      <c r="F245" s="391" t="n"/>
      <c r="G245" s="284" t="n"/>
      <c r="H245" s="288" t="n"/>
      <c r="I245" s="288" t="n"/>
      <c r="J245" s="288" t="n"/>
      <c r="K245" s="288" t="n"/>
      <c r="L245" s="288" t="n"/>
      <c r="M245" s="288" t="n"/>
      <c r="N245" s="288" t="n"/>
      <c r="O245" s="288" t="n"/>
      <c r="P245" s="288" t="n"/>
      <c r="Q245" s="288" t="n"/>
      <c r="R245" s="284" t="n"/>
      <c r="S245" s="284" t="n"/>
      <c r="T245" s="285" t="n"/>
      <c r="U245" s="285" t="n"/>
      <c r="V245" s="285" t="n"/>
      <c r="W245" s="285" t="n"/>
      <c r="X245" s="285" t="n"/>
      <c r="Y245" s="285" t="n"/>
      <c r="Z245" s="285" t="n"/>
    </row>
    <row r="246" ht="15.75" customHeight="1" s="398">
      <c r="A246" s="317" t="n"/>
      <c r="B246" s="317" t="n"/>
      <c r="C246" s="315" t="n"/>
      <c r="D246" s="288" t="n"/>
      <c r="E246" s="348" t="n"/>
      <c r="F246" s="391" t="n"/>
      <c r="G246" s="284" t="n"/>
      <c r="H246" s="288" t="n"/>
      <c r="I246" s="288" t="n"/>
      <c r="J246" s="288" t="n"/>
      <c r="K246" s="288" t="n"/>
      <c r="L246" s="288" t="n"/>
      <c r="M246" s="288" t="n"/>
      <c r="N246" s="288" t="n"/>
      <c r="O246" s="288" t="n"/>
      <c r="P246" s="288" t="n"/>
      <c r="Q246" s="288" t="n"/>
      <c r="R246" s="284" t="n"/>
      <c r="S246" s="284" t="n"/>
      <c r="T246" s="285" t="n"/>
      <c r="U246" s="285" t="n"/>
      <c r="V246" s="285" t="n"/>
      <c r="W246" s="285" t="n"/>
      <c r="X246" s="285" t="n"/>
      <c r="Y246" s="285" t="n"/>
      <c r="Z246" s="285" t="n"/>
    </row>
    <row r="247" ht="15.75" customHeight="1" s="398">
      <c r="A247" s="317" t="n"/>
      <c r="B247" s="317" t="n"/>
      <c r="C247" s="315" t="n"/>
      <c r="D247" s="288" t="n"/>
      <c r="E247" s="348" t="n"/>
      <c r="F247" s="391" t="n"/>
      <c r="G247" s="284" t="n"/>
      <c r="H247" s="288" t="n"/>
      <c r="I247" s="288" t="n"/>
      <c r="J247" s="288" t="n"/>
      <c r="K247" s="288" t="n"/>
      <c r="L247" s="288" t="n"/>
      <c r="M247" s="288" t="n"/>
      <c r="N247" s="288" t="n"/>
      <c r="O247" s="288" t="n"/>
      <c r="P247" s="288" t="n"/>
      <c r="Q247" s="288" t="n"/>
      <c r="R247" s="284" t="n"/>
      <c r="S247" s="284" t="n"/>
      <c r="T247" s="285" t="n"/>
      <c r="U247" s="285" t="n"/>
      <c r="V247" s="285" t="n"/>
      <c r="W247" s="285" t="n"/>
      <c r="X247" s="285" t="n"/>
      <c r="Y247" s="285" t="n"/>
      <c r="Z247" s="285" t="n"/>
    </row>
    <row r="248" ht="15.75" customHeight="1" s="398">
      <c r="A248" s="317" t="n"/>
      <c r="B248" s="317" t="n"/>
      <c r="C248" s="315" t="n"/>
      <c r="D248" s="288" t="n"/>
      <c r="E248" s="348" t="n"/>
      <c r="F248" s="391" t="n"/>
      <c r="G248" s="284" t="n"/>
      <c r="H248" s="288" t="n"/>
      <c r="I248" s="288" t="n"/>
      <c r="J248" s="288" t="n"/>
      <c r="K248" s="288" t="n"/>
      <c r="L248" s="288" t="n"/>
      <c r="M248" s="288" t="n"/>
      <c r="N248" s="288" t="n"/>
      <c r="O248" s="288" t="n"/>
      <c r="P248" s="288" t="n"/>
      <c r="Q248" s="288" t="n"/>
      <c r="R248" s="284" t="n"/>
      <c r="S248" s="284" t="n"/>
      <c r="T248" s="285" t="n"/>
      <c r="U248" s="285" t="n"/>
      <c r="V248" s="285" t="n"/>
      <c r="W248" s="285" t="n"/>
      <c r="X248" s="285" t="n"/>
      <c r="Y248" s="285" t="n"/>
      <c r="Z248" s="285" t="n"/>
    </row>
    <row r="249" ht="15.75" customHeight="1" s="398">
      <c r="A249" s="317" t="n"/>
      <c r="B249" s="317" t="n"/>
      <c r="C249" s="315" t="n"/>
      <c r="D249" s="288" t="n"/>
      <c r="E249" s="348" t="n"/>
      <c r="F249" s="391" t="n"/>
      <c r="G249" s="284" t="n"/>
      <c r="H249" s="288" t="n"/>
      <c r="I249" s="288" t="n"/>
      <c r="J249" s="288" t="n"/>
      <c r="K249" s="288" t="n"/>
      <c r="L249" s="288" t="n"/>
      <c r="M249" s="288" t="n"/>
      <c r="N249" s="288" t="n"/>
      <c r="O249" s="288" t="n"/>
      <c r="P249" s="288" t="n"/>
      <c r="Q249" s="288" t="n"/>
      <c r="R249" s="284" t="n"/>
      <c r="S249" s="284" t="n"/>
      <c r="T249" s="285" t="n"/>
      <c r="U249" s="285" t="n"/>
      <c r="V249" s="285" t="n"/>
      <c r="W249" s="285" t="n"/>
      <c r="X249" s="285" t="n"/>
      <c r="Y249" s="285" t="n"/>
      <c r="Z249" s="285" t="n"/>
    </row>
    <row r="250" ht="15.75" customHeight="1" s="398">
      <c r="A250" s="317" t="n"/>
      <c r="B250" s="317" t="n"/>
      <c r="C250" s="315" t="n"/>
      <c r="D250" s="288" t="n"/>
      <c r="E250" s="348" t="n"/>
      <c r="F250" s="391" t="n"/>
      <c r="G250" s="284" t="n"/>
      <c r="H250" s="288" t="n"/>
      <c r="I250" s="288" t="n"/>
      <c r="J250" s="288" t="n"/>
      <c r="K250" s="288" t="n"/>
      <c r="L250" s="288" t="n"/>
      <c r="M250" s="288" t="n"/>
      <c r="N250" s="288" t="n"/>
      <c r="O250" s="288" t="n"/>
      <c r="P250" s="288" t="n"/>
      <c r="Q250" s="288" t="n"/>
      <c r="R250" s="284" t="n"/>
      <c r="S250" s="284" t="n"/>
      <c r="T250" s="285" t="n"/>
      <c r="U250" s="285" t="n"/>
      <c r="V250" s="285" t="n"/>
      <c r="W250" s="285" t="n"/>
      <c r="X250" s="285" t="n"/>
      <c r="Y250" s="285" t="n"/>
      <c r="Z250" s="285" t="n"/>
    </row>
    <row r="251" ht="15.75" customHeight="1" s="398">
      <c r="A251" s="317" t="n"/>
      <c r="B251" s="317" t="n"/>
      <c r="C251" s="315" t="n"/>
      <c r="D251" s="288" t="n"/>
      <c r="E251" s="348" t="n"/>
      <c r="F251" s="391" t="n"/>
      <c r="G251" s="284" t="n"/>
      <c r="H251" s="288" t="n"/>
      <c r="I251" s="288" t="n"/>
      <c r="J251" s="288" t="n"/>
      <c r="K251" s="288" t="n"/>
      <c r="L251" s="288" t="n"/>
      <c r="M251" s="288" t="n"/>
      <c r="N251" s="288" t="n"/>
      <c r="O251" s="288" t="n"/>
      <c r="P251" s="288" t="n"/>
      <c r="Q251" s="288" t="n"/>
      <c r="R251" s="284" t="n"/>
      <c r="S251" s="284" t="n"/>
      <c r="T251" s="285" t="n"/>
      <c r="U251" s="285" t="n"/>
      <c r="V251" s="285" t="n"/>
      <c r="W251" s="285" t="n"/>
      <c r="X251" s="285" t="n"/>
      <c r="Y251" s="285" t="n"/>
      <c r="Z251" s="285" t="n"/>
    </row>
    <row r="252" ht="15.75" customHeight="1" s="398">
      <c r="A252" s="317" t="n"/>
      <c r="B252" s="317" t="n"/>
      <c r="C252" s="315" t="n"/>
      <c r="D252" s="288" t="n"/>
      <c r="E252" s="348" t="n"/>
      <c r="F252" s="391" t="n"/>
      <c r="G252" s="284" t="n"/>
      <c r="H252" s="288" t="n"/>
      <c r="I252" s="288" t="n"/>
      <c r="J252" s="288" t="n"/>
      <c r="K252" s="288" t="n"/>
      <c r="L252" s="288" t="n"/>
      <c r="M252" s="288" t="n"/>
      <c r="N252" s="288" t="n"/>
      <c r="O252" s="288" t="n"/>
      <c r="P252" s="288" t="n"/>
      <c r="Q252" s="288" t="n"/>
      <c r="R252" s="284" t="n"/>
      <c r="S252" s="284" t="n"/>
      <c r="T252" s="285" t="n"/>
      <c r="U252" s="285" t="n"/>
      <c r="V252" s="285" t="n"/>
      <c r="W252" s="285" t="n"/>
      <c r="X252" s="285" t="n"/>
      <c r="Y252" s="285" t="n"/>
      <c r="Z252" s="285" t="n"/>
    </row>
    <row r="253" ht="15.75" customHeight="1" s="398">
      <c r="A253" s="317" t="n"/>
      <c r="B253" s="317" t="n"/>
      <c r="C253" s="315" t="n"/>
      <c r="D253" s="288" t="n"/>
      <c r="E253" s="348" t="n"/>
      <c r="F253" s="391" t="n"/>
      <c r="G253" s="284" t="n"/>
      <c r="H253" s="288" t="n"/>
      <c r="I253" s="288" t="n"/>
      <c r="J253" s="288" t="n"/>
      <c r="K253" s="288" t="n"/>
      <c r="L253" s="288" t="n"/>
      <c r="M253" s="288" t="n"/>
      <c r="N253" s="288" t="n"/>
      <c r="O253" s="288" t="n"/>
      <c r="P253" s="288" t="n"/>
      <c r="Q253" s="288" t="n"/>
      <c r="R253" s="284" t="n"/>
      <c r="S253" s="284" t="n"/>
      <c r="T253" s="285" t="n"/>
      <c r="U253" s="285" t="n"/>
      <c r="V253" s="285" t="n"/>
      <c r="W253" s="285" t="n"/>
      <c r="X253" s="285" t="n"/>
      <c r="Y253" s="285" t="n"/>
      <c r="Z253" s="285" t="n"/>
    </row>
    <row r="254" ht="15.75" customHeight="1" s="398">
      <c r="A254" s="317" t="n"/>
      <c r="B254" s="317" t="n"/>
      <c r="C254" s="315" t="n"/>
      <c r="D254" s="288" t="n"/>
      <c r="E254" s="348" t="n"/>
      <c r="F254" s="391" t="n"/>
      <c r="G254" s="284" t="n"/>
      <c r="H254" s="288" t="n"/>
      <c r="I254" s="288" t="n"/>
      <c r="J254" s="288" t="n"/>
      <c r="K254" s="288" t="n"/>
      <c r="L254" s="288" t="n"/>
      <c r="M254" s="288" t="n"/>
      <c r="N254" s="288" t="n"/>
      <c r="O254" s="288" t="n"/>
      <c r="P254" s="288" t="n"/>
      <c r="Q254" s="288" t="n"/>
      <c r="R254" s="284" t="n"/>
      <c r="S254" s="284" t="n"/>
      <c r="T254" s="285" t="n"/>
      <c r="U254" s="285" t="n"/>
      <c r="V254" s="285" t="n"/>
      <c r="W254" s="285" t="n"/>
      <c r="X254" s="285" t="n"/>
      <c r="Y254" s="285" t="n"/>
      <c r="Z254" s="285" t="n"/>
    </row>
    <row r="255" ht="15.75" customHeight="1" s="398">
      <c r="A255" s="317" t="n"/>
      <c r="B255" s="317" t="n"/>
      <c r="C255" s="315" t="n"/>
      <c r="D255" s="288" t="n"/>
      <c r="E255" s="348" t="n"/>
      <c r="F255" s="391" t="n"/>
      <c r="G255" s="284" t="n"/>
      <c r="H255" s="288" t="n"/>
      <c r="I255" s="288" t="n"/>
      <c r="J255" s="288" t="n"/>
      <c r="K255" s="288" t="n"/>
      <c r="L255" s="288" t="n"/>
      <c r="M255" s="288" t="n"/>
      <c r="N255" s="288" t="n"/>
      <c r="O255" s="288" t="n"/>
      <c r="P255" s="288" t="n"/>
      <c r="Q255" s="288" t="n"/>
      <c r="R255" s="284" t="n"/>
      <c r="S255" s="284" t="n"/>
      <c r="T255" s="285" t="n"/>
      <c r="U255" s="285" t="n"/>
      <c r="V255" s="285" t="n"/>
      <c r="W255" s="285" t="n"/>
      <c r="X255" s="285" t="n"/>
      <c r="Y255" s="285" t="n"/>
      <c r="Z255" s="285" t="n"/>
    </row>
    <row r="256" ht="15.75" customHeight="1" s="398">
      <c r="A256" s="317" t="n"/>
      <c r="B256" s="317" t="n"/>
      <c r="C256" s="315" t="n"/>
      <c r="D256" s="288" t="n"/>
      <c r="E256" s="348" t="n"/>
      <c r="F256" s="391" t="n"/>
      <c r="G256" s="284" t="n"/>
      <c r="H256" s="288" t="n"/>
      <c r="I256" s="288" t="n"/>
      <c r="J256" s="288" t="n"/>
      <c r="K256" s="288" t="n"/>
      <c r="L256" s="288" t="n"/>
      <c r="M256" s="288" t="n"/>
      <c r="N256" s="288" t="n"/>
      <c r="O256" s="288" t="n"/>
      <c r="P256" s="288" t="n"/>
      <c r="Q256" s="288" t="n"/>
      <c r="R256" s="284" t="n"/>
      <c r="S256" s="284" t="n"/>
      <c r="T256" s="285" t="n"/>
      <c r="U256" s="285" t="n"/>
      <c r="V256" s="285" t="n"/>
      <c r="W256" s="285" t="n"/>
      <c r="X256" s="285" t="n"/>
      <c r="Y256" s="285" t="n"/>
      <c r="Z256" s="285" t="n"/>
    </row>
    <row r="257" ht="15.75" customHeight="1" s="398">
      <c r="A257" s="317" t="n"/>
      <c r="B257" s="317" t="n"/>
      <c r="C257" s="315" t="n"/>
      <c r="D257" s="288" t="n"/>
      <c r="E257" s="348" t="n"/>
      <c r="F257" s="391" t="n"/>
      <c r="G257" s="284" t="n"/>
      <c r="H257" s="288" t="n"/>
      <c r="I257" s="288" t="n"/>
      <c r="J257" s="288" t="n"/>
      <c r="K257" s="288" t="n"/>
      <c r="L257" s="288" t="n"/>
      <c r="M257" s="288" t="n"/>
      <c r="N257" s="288" t="n"/>
      <c r="O257" s="288" t="n"/>
      <c r="P257" s="288" t="n"/>
      <c r="Q257" s="288" t="n"/>
      <c r="R257" s="284" t="n"/>
      <c r="S257" s="284" t="n"/>
      <c r="T257" s="285" t="n"/>
      <c r="U257" s="285" t="n"/>
      <c r="V257" s="285" t="n"/>
      <c r="W257" s="285" t="n"/>
      <c r="X257" s="285" t="n"/>
      <c r="Y257" s="285" t="n"/>
      <c r="Z257" s="285" t="n"/>
    </row>
    <row r="258" ht="15.75" customHeight="1" s="398">
      <c r="A258" s="317" t="n"/>
      <c r="B258" s="317" t="n"/>
      <c r="C258" s="315" t="n"/>
      <c r="D258" s="288" t="n"/>
      <c r="E258" s="348" t="n"/>
      <c r="F258" s="391" t="n"/>
      <c r="G258" s="284" t="n"/>
      <c r="H258" s="288" t="n"/>
      <c r="I258" s="288" t="n"/>
      <c r="J258" s="288" t="n"/>
      <c r="K258" s="288" t="n"/>
      <c r="L258" s="288" t="n"/>
      <c r="M258" s="288" t="n"/>
      <c r="N258" s="288" t="n"/>
      <c r="O258" s="288" t="n"/>
      <c r="P258" s="288" t="n"/>
      <c r="Q258" s="288" t="n"/>
      <c r="R258" s="284" t="n"/>
      <c r="S258" s="284" t="n"/>
      <c r="T258" s="285" t="n"/>
      <c r="U258" s="285" t="n"/>
      <c r="V258" s="285" t="n"/>
      <c r="W258" s="285" t="n"/>
      <c r="X258" s="285" t="n"/>
      <c r="Y258" s="285" t="n"/>
      <c r="Z258" s="285" t="n"/>
    </row>
    <row r="259" ht="15.75" customHeight="1" s="398">
      <c r="A259" s="317" t="n"/>
      <c r="B259" s="317" t="n"/>
      <c r="C259" s="315" t="n"/>
      <c r="D259" s="288" t="n"/>
      <c r="E259" s="348" t="n"/>
      <c r="F259" s="391" t="n"/>
      <c r="G259" s="284" t="n"/>
      <c r="H259" s="288" t="n"/>
      <c r="I259" s="288" t="n"/>
      <c r="J259" s="288" t="n"/>
      <c r="K259" s="288" t="n"/>
      <c r="L259" s="288" t="n"/>
      <c r="M259" s="288" t="n"/>
      <c r="N259" s="288" t="n"/>
      <c r="O259" s="288" t="n"/>
      <c r="P259" s="288" t="n"/>
      <c r="Q259" s="288" t="n"/>
      <c r="R259" s="284" t="n"/>
      <c r="S259" s="284" t="n"/>
      <c r="T259" s="285" t="n"/>
      <c r="U259" s="285" t="n"/>
      <c r="V259" s="285" t="n"/>
      <c r="W259" s="285" t="n"/>
      <c r="X259" s="285" t="n"/>
      <c r="Y259" s="285" t="n"/>
      <c r="Z259" s="285" t="n"/>
    </row>
    <row r="260" ht="15.75" customHeight="1" s="398">
      <c r="A260" s="317" t="n"/>
      <c r="B260" s="317" t="n"/>
      <c r="C260" s="315" t="n"/>
      <c r="D260" s="288" t="n"/>
      <c r="E260" s="348" t="n"/>
      <c r="F260" s="391" t="n"/>
      <c r="G260" s="284" t="n"/>
      <c r="H260" s="288" t="n"/>
      <c r="I260" s="288" t="n"/>
      <c r="J260" s="288" t="n"/>
      <c r="K260" s="288" t="n"/>
      <c r="L260" s="288" t="n"/>
      <c r="M260" s="288" t="n"/>
      <c r="N260" s="288" t="n"/>
      <c r="O260" s="288" t="n"/>
      <c r="P260" s="288" t="n"/>
      <c r="Q260" s="288" t="n"/>
      <c r="R260" s="284" t="n"/>
      <c r="S260" s="284" t="n"/>
      <c r="T260" s="285" t="n"/>
      <c r="U260" s="285" t="n"/>
      <c r="V260" s="285" t="n"/>
      <c r="W260" s="285" t="n"/>
      <c r="X260" s="285" t="n"/>
      <c r="Y260" s="285" t="n"/>
      <c r="Z260" s="285" t="n"/>
    </row>
    <row r="261" ht="15.75" customHeight="1" s="398">
      <c r="A261" s="317" t="n"/>
      <c r="B261" s="317" t="n"/>
      <c r="C261" s="315" t="n"/>
      <c r="D261" s="288" t="n"/>
      <c r="E261" s="348" t="n"/>
      <c r="F261" s="391" t="n"/>
      <c r="G261" s="284" t="n"/>
      <c r="H261" s="288" t="n"/>
      <c r="I261" s="288" t="n"/>
      <c r="J261" s="288" t="n"/>
      <c r="K261" s="288" t="n"/>
      <c r="L261" s="288" t="n"/>
      <c r="M261" s="288" t="n"/>
      <c r="N261" s="288" t="n"/>
      <c r="O261" s="288" t="n"/>
      <c r="P261" s="288" t="n"/>
      <c r="Q261" s="288" t="n"/>
      <c r="R261" s="284" t="n"/>
      <c r="S261" s="284" t="n"/>
      <c r="T261" s="285" t="n"/>
      <c r="U261" s="285" t="n"/>
      <c r="V261" s="285" t="n"/>
      <c r="W261" s="285" t="n"/>
      <c r="X261" s="285" t="n"/>
      <c r="Y261" s="285" t="n"/>
      <c r="Z261" s="285" t="n"/>
    </row>
    <row r="262" ht="15.75" customHeight="1" s="398">
      <c r="A262" s="317" t="n"/>
      <c r="B262" s="317" t="n"/>
      <c r="C262" s="315" t="n"/>
      <c r="D262" s="288" t="n"/>
      <c r="E262" s="348" t="n"/>
      <c r="F262" s="391" t="n"/>
      <c r="G262" s="284" t="n"/>
      <c r="H262" s="288" t="n"/>
      <c r="I262" s="288" t="n"/>
      <c r="J262" s="288" t="n"/>
      <c r="K262" s="288" t="n"/>
      <c r="L262" s="288" t="n"/>
      <c r="M262" s="288" t="n"/>
      <c r="N262" s="288" t="n"/>
      <c r="O262" s="288" t="n"/>
      <c r="P262" s="288" t="n"/>
      <c r="Q262" s="288" t="n"/>
      <c r="R262" s="284" t="n"/>
      <c r="S262" s="284" t="n"/>
      <c r="T262" s="285" t="n"/>
      <c r="U262" s="285" t="n"/>
      <c r="V262" s="285" t="n"/>
      <c r="W262" s="285" t="n"/>
      <c r="X262" s="285" t="n"/>
      <c r="Y262" s="285" t="n"/>
      <c r="Z262" s="285" t="n"/>
    </row>
    <row r="263" ht="15.75" customHeight="1" s="398">
      <c r="A263" s="317" t="n"/>
      <c r="B263" s="317" t="n"/>
      <c r="C263" s="315" t="n"/>
      <c r="D263" s="288" t="n"/>
      <c r="E263" s="348" t="n"/>
      <c r="F263" s="391" t="n"/>
      <c r="G263" s="284" t="n"/>
      <c r="H263" s="288" t="n"/>
      <c r="I263" s="288" t="n"/>
      <c r="J263" s="288" t="n"/>
      <c r="K263" s="288" t="n"/>
      <c r="L263" s="288" t="n"/>
      <c r="M263" s="288" t="n"/>
      <c r="N263" s="288" t="n"/>
      <c r="O263" s="288" t="n"/>
      <c r="P263" s="288" t="n"/>
      <c r="Q263" s="288" t="n"/>
      <c r="R263" s="284" t="n"/>
      <c r="S263" s="284" t="n"/>
      <c r="T263" s="285" t="n"/>
      <c r="U263" s="285" t="n"/>
      <c r="V263" s="285" t="n"/>
      <c r="W263" s="285" t="n"/>
      <c r="X263" s="285" t="n"/>
      <c r="Y263" s="285" t="n"/>
      <c r="Z263" s="285" t="n"/>
    </row>
    <row r="264" ht="15.75" customHeight="1" s="398">
      <c r="A264" s="317" t="n"/>
      <c r="B264" s="317" t="n"/>
      <c r="C264" s="315" t="n"/>
      <c r="D264" s="288" t="n"/>
      <c r="E264" s="348" t="n"/>
      <c r="F264" s="391" t="n"/>
      <c r="G264" s="284" t="n"/>
      <c r="H264" s="288" t="n"/>
      <c r="I264" s="288" t="n"/>
      <c r="J264" s="288" t="n"/>
      <c r="K264" s="288" t="n"/>
      <c r="L264" s="288" t="n"/>
      <c r="M264" s="288" t="n"/>
      <c r="N264" s="288" t="n"/>
      <c r="O264" s="288" t="n"/>
      <c r="P264" s="288" t="n"/>
      <c r="Q264" s="288" t="n"/>
      <c r="R264" s="284" t="n"/>
      <c r="S264" s="284" t="n"/>
      <c r="T264" s="285" t="n"/>
      <c r="U264" s="285" t="n"/>
      <c r="V264" s="285" t="n"/>
      <c r="W264" s="285" t="n"/>
      <c r="X264" s="285" t="n"/>
      <c r="Y264" s="285" t="n"/>
      <c r="Z264" s="285" t="n"/>
    </row>
    <row r="265" ht="15.75" customHeight="1" s="398">
      <c r="A265" s="317" t="n"/>
      <c r="B265" s="317" t="n"/>
      <c r="C265" s="315" t="n"/>
      <c r="D265" s="288" t="n"/>
      <c r="E265" s="348" t="n"/>
      <c r="F265" s="391" t="n"/>
      <c r="G265" s="284" t="n"/>
      <c r="H265" s="288" t="n"/>
      <c r="I265" s="288" t="n"/>
      <c r="J265" s="288" t="n"/>
      <c r="K265" s="288" t="n"/>
      <c r="L265" s="288" t="n"/>
      <c r="M265" s="288" t="n"/>
      <c r="N265" s="288" t="n"/>
      <c r="O265" s="288" t="n"/>
      <c r="P265" s="288" t="n"/>
      <c r="Q265" s="288" t="n"/>
      <c r="R265" s="284" t="n"/>
      <c r="S265" s="284" t="n"/>
      <c r="T265" s="285" t="n"/>
      <c r="U265" s="285" t="n"/>
      <c r="V265" s="285" t="n"/>
      <c r="W265" s="285" t="n"/>
      <c r="X265" s="285" t="n"/>
      <c r="Y265" s="285" t="n"/>
      <c r="Z265" s="285" t="n"/>
    </row>
    <row r="266" ht="15.75" customHeight="1" s="398">
      <c r="A266" s="317" t="n"/>
      <c r="B266" s="317" t="n"/>
      <c r="C266" s="315" t="n"/>
      <c r="D266" s="288" t="n"/>
      <c r="E266" s="348" t="n"/>
      <c r="F266" s="391" t="n"/>
      <c r="G266" s="284" t="n"/>
      <c r="H266" s="288" t="n"/>
      <c r="I266" s="288" t="n"/>
      <c r="J266" s="288" t="n"/>
      <c r="K266" s="288" t="n"/>
      <c r="L266" s="288" t="n"/>
      <c r="M266" s="288" t="n"/>
      <c r="N266" s="288" t="n"/>
      <c r="O266" s="288" t="n"/>
      <c r="P266" s="288" t="n"/>
      <c r="Q266" s="288" t="n"/>
      <c r="R266" s="284" t="n"/>
      <c r="S266" s="284" t="n"/>
      <c r="T266" s="285" t="n"/>
      <c r="U266" s="285" t="n"/>
      <c r="V266" s="285" t="n"/>
      <c r="W266" s="285" t="n"/>
      <c r="X266" s="285" t="n"/>
      <c r="Y266" s="285" t="n"/>
      <c r="Z266" s="285" t="n"/>
    </row>
    <row r="267" ht="15.75" customHeight="1" s="398">
      <c r="A267" s="317" t="n"/>
      <c r="B267" s="317" t="n"/>
      <c r="C267" s="315" t="n"/>
      <c r="D267" s="288" t="n"/>
      <c r="E267" s="348" t="n"/>
      <c r="F267" s="391" t="n"/>
      <c r="G267" s="284" t="n"/>
      <c r="H267" s="288" t="n"/>
      <c r="I267" s="288" t="n"/>
      <c r="J267" s="288" t="n"/>
      <c r="K267" s="288" t="n"/>
      <c r="L267" s="288" t="n"/>
      <c r="M267" s="288" t="n"/>
      <c r="N267" s="288" t="n"/>
      <c r="O267" s="288" t="n"/>
      <c r="P267" s="288" t="n"/>
      <c r="Q267" s="288" t="n"/>
      <c r="R267" s="284" t="n"/>
      <c r="S267" s="284" t="n"/>
      <c r="T267" s="285" t="n"/>
      <c r="U267" s="285" t="n"/>
      <c r="V267" s="285" t="n"/>
      <c r="W267" s="285" t="n"/>
      <c r="X267" s="285" t="n"/>
      <c r="Y267" s="285" t="n"/>
      <c r="Z267" s="285" t="n"/>
    </row>
    <row r="268" ht="15.75" customHeight="1" s="398">
      <c r="A268" s="317" t="n"/>
      <c r="B268" s="317" t="n"/>
      <c r="C268" s="315" t="n"/>
      <c r="D268" s="288" t="n"/>
      <c r="E268" s="348" t="n"/>
      <c r="F268" s="391" t="n"/>
      <c r="G268" s="284" t="n"/>
      <c r="H268" s="288" t="n"/>
      <c r="I268" s="288" t="n"/>
      <c r="J268" s="288" t="n"/>
      <c r="K268" s="288" t="n"/>
      <c r="L268" s="288" t="n"/>
      <c r="M268" s="288" t="n"/>
      <c r="N268" s="288" t="n"/>
      <c r="O268" s="288" t="n"/>
      <c r="P268" s="288" t="n"/>
      <c r="Q268" s="288" t="n"/>
      <c r="R268" s="284" t="n"/>
      <c r="S268" s="284" t="n"/>
      <c r="T268" s="285" t="n"/>
      <c r="U268" s="285" t="n"/>
      <c r="V268" s="285" t="n"/>
      <c r="W268" s="285" t="n"/>
      <c r="X268" s="285" t="n"/>
      <c r="Y268" s="285" t="n"/>
      <c r="Z268" s="285" t="n"/>
    </row>
    <row r="269" ht="15.75" customHeight="1" s="398">
      <c r="A269" s="317" t="n"/>
      <c r="B269" s="317" t="n"/>
      <c r="C269" s="315" t="n"/>
      <c r="D269" s="288" t="n"/>
      <c r="E269" s="348" t="n"/>
      <c r="F269" s="391" t="n"/>
      <c r="G269" s="284" t="n"/>
      <c r="H269" s="288" t="n"/>
      <c r="I269" s="288" t="n"/>
      <c r="J269" s="288" t="n"/>
      <c r="K269" s="288" t="n"/>
      <c r="L269" s="288" t="n"/>
      <c r="M269" s="288" t="n"/>
      <c r="N269" s="288" t="n"/>
      <c r="O269" s="288" t="n"/>
      <c r="P269" s="288" t="n"/>
      <c r="Q269" s="288" t="n"/>
      <c r="R269" s="284" t="n"/>
      <c r="S269" s="284" t="n"/>
      <c r="T269" s="285" t="n"/>
      <c r="U269" s="285" t="n"/>
      <c r="V269" s="285" t="n"/>
      <c r="W269" s="285" t="n"/>
      <c r="X269" s="285" t="n"/>
      <c r="Y269" s="285" t="n"/>
      <c r="Z269" s="285" t="n"/>
    </row>
    <row r="270" ht="15.75" customHeight="1" s="398">
      <c r="A270" s="317" t="n"/>
      <c r="B270" s="317" t="n"/>
      <c r="C270" s="315" t="n"/>
      <c r="D270" s="288" t="n"/>
      <c r="E270" s="348" t="n"/>
      <c r="F270" s="391" t="n"/>
      <c r="G270" s="284" t="n"/>
      <c r="H270" s="288" t="n"/>
      <c r="I270" s="288" t="n"/>
      <c r="J270" s="288" t="n"/>
      <c r="K270" s="288" t="n"/>
      <c r="L270" s="288" t="n"/>
      <c r="M270" s="288" t="n"/>
      <c r="N270" s="288" t="n"/>
      <c r="O270" s="288" t="n"/>
      <c r="P270" s="288" t="n"/>
      <c r="Q270" s="288" t="n"/>
      <c r="R270" s="284" t="n"/>
      <c r="S270" s="284" t="n"/>
      <c r="T270" s="285" t="n"/>
      <c r="U270" s="285" t="n"/>
      <c r="V270" s="285" t="n"/>
      <c r="W270" s="285" t="n"/>
      <c r="X270" s="285" t="n"/>
      <c r="Y270" s="285" t="n"/>
      <c r="Z270" s="285" t="n"/>
    </row>
    <row r="271" ht="15.75" customHeight="1" s="398">
      <c r="A271" s="317" t="n"/>
      <c r="B271" s="317" t="n"/>
      <c r="C271" s="315" t="n"/>
      <c r="D271" s="288" t="n"/>
      <c r="E271" s="348" t="n"/>
      <c r="F271" s="391" t="n"/>
      <c r="G271" s="284" t="n"/>
      <c r="H271" s="288" t="n"/>
      <c r="I271" s="288" t="n"/>
      <c r="J271" s="288" t="n"/>
      <c r="K271" s="288" t="n"/>
      <c r="L271" s="288" t="n"/>
      <c r="M271" s="288" t="n"/>
      <c r="N271" s="288" t="n"/>
      <c r="O271" s="288" t="n"/>
      <c r="P271" s="288" t="n"/>
      <c r="Q271" s="288" t="n"/>
      <c r="R271" s="284" t="n"/>
      <c r="S271" s="284" t="n"/>
      <c r="T271" s="285" t="n"/>
      <c r="U271" s="285" t="n"/>
      <c r="V271" s="285" t="n"/>
      <c r="W271" s="285" t="n"/>
      <c r="X271" s="285" t="n"/>
      <c r="Y271" s="285" t="n"/>
      <c r="Z271" s="285" t="n"/>
    </row>
    <row r="272" ht="15.75" customHeight="1" s="398">
      <c r="A272" s="317" t="n"/>
      <c r="B272" s="317" t="n"/>
      <c r="C272" s="315" t="n"/>
      <c r="D272" s="288" t="n"/>
      <c r="E272" s="348" t="n"/>
      <c r="F272" s="391" t="n"/>
      <c r="G272" s="284" t="n"/>
      <c r="H272" s="288" t="n"/>
      <c r="I272" s="288" t="n"/>
      <c r="J272" s="288" t="n"/>
      <c r="K272" s="288" t="n"/>
      <c r="L272" s="288" t="n"/>
      <c r="M272" s="288" t="n"/>
      <c r="N272" s="288" t="n"/>
      <c r="O272" s="288" t="n"/>
      <c r="P272" s="288" t="n"/>
      <c r="Q272" s="288" t="n"/>
      <c r="R272" s="284" t="n"/>
      <c r="S272" s="284" t="n"/>
      <c r="T272" s="285" t="n"/>
      <c r="U272" s="285" t="n"/>
      <c r="V272" s="285" t="n"/>
      <c r="W272" s="285" t="n"/>
      <c r="X272" s="285" t="n"/>
      <c r="Y272" s="285" t="n"/>
      <c r="Z272" s="285" t="n"/>
    </row>
    <row r="273" ht="15.75" customHeight="1" s="398">
      <c r="A273" s="284" t="n"/>
      <c r="B273" s="285" t="n"/>
      <c r="C273" s="284" t="n"/>
      <c r="D273" s="285" t="n"/>
      <c r="E273" s="354" t="n"/>
      <c r="F273" s="336" t="n"/>
      <c r="G273" s="336" t="n"/>
      <c r="H273" s="285" t="n"/>
      <c r="I273" s="285" t="n"/>
      <c r="J273" s="285" t="n"/>
      <c r="K273" s="285" t="n"/>
      <c r="L273" s="285" t="n"/>
      <c r="M273" s="285" t="n"/>
      <c r="N273" s="285" t="n"/>
      <c r="O273" s="285" t="n"/>
      <c r="P273" s="285" t="n"/>
      <c r="Q273" s="285" t="n"/>
      <c r="R273" s="284" t="n"/>
      <c r="S273" s="284" t="n"/>
      <c r="T273" s="285" t="n"/>
      <c r="U273" s="285" t="n"/>
      <c r="V273" s="285" t="n"/>
      <c r="W273" s="285" t="n"/>
      <c r="X273" s="285" t="n"/>
      <c r="Y273" s="285" t="n"/>
      <c r="Z273" s="285" t="n"/>
    </row>
    <row r="274" ht="15.75" customHeight="1" s="398">
      <c r="A274" s="284" t="n"/>
      <c r="B274" s="285" t="n"/>
      <c r="C274" s="284" t="n"/>
      <c r="D274" s="285" t="n"/>
      <c r="E274" s="354" t="n"/>
      <c r="F274" s="336" t="n"/>
      <c r="G274" s="336" t="n"/>
      <c r="H274" s="285" t="n"/>
      <c r="I274" s="285" t="n"/>
      <c r="J274" s="285" t="n"/>
      <c r="K274" s="285" t="n"/>
      <c r="L274" s="285" t="n"/>
      <c r="M274" s="285" t="n"/>
      <c r="N274" s="285" t="n"/>
      <c r="O274" s="285" t="n"/>
      <c r="P274" s="285" t="n"/>
      <c r="Q274" s="285" t="n"/>
      <c r="R274" s="284" t="n"/>
      <c r="S274" s="284" t="n"/>
      <c r="T274" s="285" t="n"/>
      <c r="U274" s="285" t="n"/>
      <c r="V274" s="285" t="n"/>
      <c r="W274" s="285" t="n"/>
      <c r="X274" s="285" t="n"/>
      <c r="Y274" s="285" t="n"/>
      <c r="Z274" s="285" t="n"/>
    </row>
    <row r="275" ht="15.75" customHeight="1" s="398">
      <c r="A275" s="284" t="n"/>
      <c r="B275" s="285" t="n"/>
      <c r="C275" s="284" t="n"/>
      <c r="D275" s="285" t="n"/>
      <c r="E275" s="354" t="n"/>
      <c r="F275" s="336" t="n"/>
      <c r="G275" s="336" t="n"/>
      <c r="H275" s="285" t="n"/>
      <c r="I275" s="285" t="n"/>
      <c r="J275" s="285" t="n"/>
      <c r="K275" s="285" t="n"/>
      <c r="L275" s="285" t="n"/>
      <c r="M275" s="285" t="n"/>
      <c r="N275" s="285" t="n"/>
      <c r="O275" s="285" t="n"/>
      <c r="P275" s="285" t="n"/>
      <c r="Q275" s="285" t="n"/>
      <c r="R275" s="284" t="n"/>
      <c r="S275" s="284" t="n"/>
      <c r="T275" s="285" t="n"/>
      <c r="U275" s="285" t="n"/>
      <c r="V275" s="285" t="n"/>
      <c r="W275" s="285" t="n"/>
      <c r="X275" s="285" t="n"/>
      <c r="Y275" s="285" t="n"/>
      <c r="Z275" s="285" t="n"/>
    </row>
    <row r="276" ht="15.75" customHeight="1" s="398">
      <c r="A276" s="284" t="n"/>
      <c r="B276" s="285" t="n"/>
      <c r="C276" s="284" t="n"/>
      <c r="D276" s="285" t="n"/>
      <c r="E276" s="354" t="n"/>
      <c r="F276" s="336" t="n"/>
      <c r="G276" s="336" t="n"/>
      <c r="H276" s="285" t="n"/>
      <c r="I276" s="285" t="n"/>
      <c r="J276" s="285" t="n"/>
      <c r="K276" s="285" t="n"/>
      <c r="L276" s="285" t="n"/>
      <c r="M276" s="285" t="n"/>
      <c r="N276" s="285" t="n"/>
      <c r="O276" s="285" t="n"/>
      <c r="P276" s="285" t="n"/>
      <c r="Q276" s="285" t="n"/>
      <c r="R276" s="284" t="n"/>
      <c r="S276" s="284" t="n"/>
      <c r="T276" s="285" t="n"/>
      <c r="U276" s="285" t="n"/>
      <c r="V276" s="285" t="n"/>
      <c r="W276" s="285" t="n"/>
      <c r="X276" s="285" t="n"/>
      <c r="Y276" s="285" t="n"/>
      <c r="Z276" s="285" t="n"/>
    </row>
    <row r="277" ht="15.75" customHeight="1" s="398">
      <c r="A277" s="284" t="n"/>
      <c r="B277" s="285" t="n"/>
      <c r="C277" s="284" t="n"/>
      <c r="D277" s="285" t="n"/>
      <c r="E277" s="354" t="n"/>
      <c r="F277" s="336" t="n"/>
      <c r="G277" s="336" t="n"/>
      <c r="H277" s="285" t="n"/>
      <c r="I277" s="285" t="n"/>
      <c r="J277" s="285" t="n"/>
      <c r="K277" s="285" t="n"/>
      <c r="L277" s="285" t="n"/>
      <c r="M277" s="285" t="n"/>
      <c r="N277" s="285" t="n"/>
      <c r="O277" s="285" t="n"/>
      <c r="P277" s="285" t="n"/>
      <c r="Q277" s="285" t="n"/>
      <c r="R277" s="284" t="n"/>
      <c r="S277" s="284" t="n"/>
      <c r="T277" s="285" t="n"/>
      <c r="U277" s="285" t="n"/>
      <c r="V277" s="285" t="n"/>
      <c r="W277" s="285" t="n"/>
      <c r="X277" s="285" t="n"/>
      <c r="Y277" s="285" t="n"/>
      <c r="Z277" s="285" t="n"/>
    </row>
    <row r="278" ht="15.75" customHeight="1" s="398">
      <c r="A278" s="284" t="n"/>
      <c r="B278" s="285" t="n"/>
      <c r="C278" s="284" t="n"/>
      <c r="D278" s="285" t="n"/>
      <c r="E278" s="354" t="n"/>
      <c r="F278" s="336" t="n"/>
      <c r="G278" s="336" t="n"/>
      <c r="H278" s="285" t="n"/>
      <c r="I278" s="285" t="n"/>
      <c r="J278" s="285" t="n"/>
      <c r="K278" s="285" t="n"/>
      <c r="L278" s="285" t="n"/>
      <c r="M278" s="285" t="n"/>
      <c r="N278" s="285" t="n"/>
      <c r="O278" s="285" t="n"/>
      <c r="P278" s="285" t="n"/>
      <c r="Q278" s="285" t="n"/>
      <c r="R278" s="284" t="n"/>
      <c r="S278" s="284" t="n"/>
      <c r="T278" s="285" t="n"/>
      <c r="U278" s="285" t="n"/>
      <c r="V278" s="285" t="n"/>
      <c r="W278" s="285" t="n"/>
      <c r="X278" s="285" t="n"/>
      <c r="Y278" s="285" t="n"/>
      <c r="Z278" s="285" t="n"/>
    </row>
    <row r="279" ht="15.75" customHeight="1" s="398">
      <c r="A279" s="284" t="n"/>
      <c r="B279" s="285" t="n"/>
      <c r="C279" s="284" t="n"/>
      <c r="D279" s="285" t="n"/>
      <c r="E279" s="354" t="n"/>
      <c r="F279" s="336" t="n"/>
      <c r="G279" s="336" t="n"/>
      <c r="H279" s="285" t="n"/>
      <c r="I279" s="285" t="n"/>
      <c r="J279" s="285" t="n"/>
      <c r="K279" s="285" t="n"/>
      <c r="L279" s="285" t="n"/>
      <c r="M279" s="285" t="n"/>
      <c r="N279" s="285" t="n"/>
      <c r="O279" s="285" t="n"/>
      <c r="P279" s="285" t="n"/>
      <c r="Q279" s="285" t="n"/>
      <c r="R279" s="284" t="n"/>
      <c r="S279" s="284" t="n"/>
      <c r="T279" s="285" t="n"/>
      <c r="U279" s="285" t="n"/>
      <c r="V279" s="285" t="n"/>
      <c r="W279" s="285" t="n"/>
      <c r="X279" s="285" t="n"/>
      <c r="Y279" s="285" t="n"/>
      <c r="Z279" s="285" t="n"/>
    </row>
    <row r="280" ht="15.75" customHeight="1" s="398">
      <c r="A280" s="284" t="n"/>
      <c r="B280" s="285" t="n"/>
      <c r="C280" s="284" t="n"/>
      <c r="D280" s="285" t="n"/>
      <c r="E280" s="354" t="n"/>
      <c r="F280" s="336" t="n"/>
      <c r="G280" s="336" t="n"/>
      <c r="H280" s="285" t="n"/>
      <c r="I280" s="285" t="n"/>
      <c r="J280" s="285" t="n"/>
      <c r="K280" s="285" t="n"/>
      <c r="L280" s="285" t="n"/>
      <c r="M280" s="285" t="n"/>
      <c r="N280" s="285" t="n"/>
      <c r="O280" s="285" t="n"/>
      <c r="P280" s="285" t="n"/>
      <c r="Q280" s="285" t="n"/>
      <c r="R280" s="284" t="n"/>
      <c r="S280" s="284" t="n"/>
      <c r="T280" s="285" t="n"/>
      <c r="U280" s="285" t="n"/>
      <c r="V280" s="285" t="n"/>
      <c r="W280" s="285" t="n"/>
      <c r="X280" s="285" t="n"/>
      <c r="Y280" s="285" t="n"/>
      <c r="Z280" s="285" t="n"/>
    </row>
    <row r="281" ht="15.75" customHeight="1" s="398">
      <c r="A281" s="284" t="n"/>
      <c r="B281" s="285" t="n"/>
      <c r="C281" s="284" t="n"/>
      <c r="D281" s="285" t="n"/>
      <c r="E281" s="354" t="n"/>
      <c r="F281" s="336" t="n"/>
      <c r="G281" s="336" t="n"/>
      <c r="H281" s="285" t="n"/>
      <c r="I281" s="285" t="n"/>
      <c r="J281" s="285" t="n"/>
      <c r="K281" s="285" t="n"/>
      <c r="L281" s="285" t="n"/>
      <c r="M281" s="285" t="n"/>
      <c r="N281" s="285" t="n"/>
      <c r="O281" s="285" t="n"/>
      <c r="P281" s="285" t="n"/>
      <c r="Q281" s="285" t="n"/>
      <c r="R281" s="284" t="n"/>
      <c r="S281" s="284" t="n"/>
      <c r="T281" s="285" t="n"/>
      <c r="U281" s="285" t="n"/>
      <c r="V281" s="285" t="n"/>
      <c r="W281" s="285" t="n"/>
      <c r="X281" s="285" t="n"/>
      <c r="Y281" s="285" t="n"/>
      <c r="Z281" s="285" t="n"/>
    </row>
    <row r="282" ht="15.75" customHeight="1" s="398">
      <c r="A282" s="284" t="n"/>
      <c r="B282" s="285" t="n"/>
      <c r="C282" s="284" t="n"/>
      <c r="D282" s="285" t="n"/>
      <c r="E282" s="354" t="n"/>
      <c r="F282" s="336" t="n"/>
      <c r="G282" s="336" t="n"/>
      <c r="H282" s="285" t="n"/>
      <c r="I282" s="285" t="n"/>
      <c r="J282" s="285" t="n"/>
      <c r="K282" s="285" t="n"/>
      <c r="L282" s="285" t="n"/>
      <c r="M282" s="285" t="n"/>
      <c r="N282" s="285" t="n"/>
      <c r="O282" s="285" t="n"/>
      <c r="P282" s="285" t="n"/>
      <c r="Q282" s="285" t="n"/>
      <c r="R282" s="284" t="n"/>
      <c r="S282" s="284" t="n"/>
      <c r="T282" s="285" t="n"/>
      <c r="U282" s="285" t="n"/>
      <c r="V282" s="285" t="n"/>
      <c r="W282" s="285" t="n"/>
      <c r="X282" s="285" t="n"/>
      <c r="Y282" s="285" t="n"/>
      <c r="Z282" s="285" t="n"/>
    </row>
    <row r="283" ht="15.75" customHeight="1" s="398">
      <c r="A283" s="284" t="n"/>
      <c r="B283" s="285" t="n"/>
      <c r="C283" s="284" t="n"/>
      <c r="D283" s="285" t="n"/>
      <c r="E283" s="354" t="n"/>
      <c r="F283" s="336" t="n"/>
      <c r="G283" s="336" t="n"/>
      <c r="H283" s="285" t="n"/>
      <c r="I283" s="285" t="n"/>
      <c r="J283" s="285" t="n"/>
      <c r="K283" s="285" t="n"/>
      <c r="L283" s="285" t="n"/>
      <c r="M283" s="285" t="n"/>
      <c r="N283" s="285" t="n"/>
      <c r="O283" s="285" t="n"/>
      <c r="P283" s="285" t="n"/>
      <c r="Q283" s="285" t="n"/>
      <c r="R283" s="284" t="n"/>
      <c r="S283" s="284" t="n"/>
      <c r="T283" s="285" t="n"/>
      <c r="U283" s="285" t="n"/>
      <c r="V283" s="285" t="n"/>
      <c r="W283" s="285" t="n"/>
      <c r="X283" s="285" t="n"/>
      <c r="Y283" s="285" t="n"/>
      <c r="Z283" s="285" t="n"/>
    </row>
    <row r="284" ht="15.75" customHeight="1" s="398">
      <c r="A284" s="284" t="n"/>
      <c r="B284" s="285" t="n"/>
      <c r="C284" s="284" t="n"/>
      <c r="D284" s="285" t="n"/>
      <c r="E284" s="354" t="n"/>
      <c r="F284" s="336" t="n"/>
      <c r="G284" s="336" t="n"/>
      <c r="H284" s="285" t="n"/>
      <c r="I284" s="285" t="n"/>
      <c r="J284" s="285" t="n"/>
      <c r="K284" s="285" t="n"/>
      <c r="L284" s="285" t="n"/>
      <c r="M284" s="285" t="n"/>
      <c r="N284" s="285" t="n"/>
      <c r="O284" s="285" t="n"/>
      <c r="P284" s="285" t="n"/>
      <c r="Q284" s="285" t="n"/>
      <c r="R284" s="284" t="n"/>
      <c r="S284" s="284" t="n"/>
      <c r="T284" s="285" t="n"/>
      <c r="U284" s="285" t="n"/>
      <c r="V284" s="285" t="n"/>
      <c r="W284" s="285" t="n"/>
      <c r="X284" s="285" t="n"/>
      <c r="Y284" s="285" t="n"/>
      <c r="Z284" s="285" t="n"/>
    </row>
    <row r="285" ht="15.75" customHeight="1" s="398">
      <c r="A285" s="284" t="n"/>
      <c r="B285" s="285" t="n"/>
      <c r="C285" s="284" t="n"/>
      <c r="D285" s="285" t="n"/>
      <c r="E285" s="354" t="n"/>
      <c r="F285" s="336" t="n"/>
      <c r="G285" s="336" t="n"/>
      <c r="H285" s="285" t="n"/>
      <c r="I285" s="285" t="n"/>
      <c r="J285" s="285" t="n"/>
      <c r="K285" s="285" t="n"/>
      <c r="L285" s="285" t="n"/>
      <c r="M285" s="285" t="n"/>
      <c r="N285" s="285" t="n"/>
      <c r="O285" s="285" t="n"/>
      <c r="P285" s="285" t="n"/>
      <c r="Q285" s="285" t="n"/>
      <c r="R285" s="284" t="n"/>
      <c r="S285" s="284" t="n"/>
      <c r="T285" s="285" t="n"/>
      <c r="U285" s="285" t="n"/>
      <c r="V285" s="285" t="n"/>
      <c r="W285" s="285" t="n"/>
      <c r="X285" s="285" t="n"/>
      <c r="Y285" s="285" t="n"/>
      <c r="Z285" s="285" t="n"/>
    </row>
    <row r="286" ht="15.75" customHeight="1" s="398">
      <c r="A286" s="284" t="n"/>
      <c r="B286" s="285" t="n"/>
      <c r="C286" s="284" t="n"/>
      <c r="D286" s="285" t="n"/>
      <c r="E286" s="354" t="n"/>
      <c r="F286" s="336" t="n"/>
      <c r="G286" s="336" t="n"/>
      <c r="H286" s="285" t="n"/>
      <c r="I286" s="285" t="n"/>
      <c r="J286" s="285" t="n"/>
      <c r="K286" s="285" t="n"/>
      <c r="L286" s="285" t="n"/>
      <c r="M286" s="285" t="n"/>
      <c r="N286" s="285" t="n"/>
      <c r="O286" s="285" t="n"/>
      <c r="P286" s="285" t="n"/>
      <c r="Q286" s="285" t="n"/>
      <c r="R286" s="284" t="n"/>
      <c r="S286" s="284" t="n"/>
      <c r="T286" s="285" t="n"/>
      <c r="U286" s="285" t="n"/>
      <c r="V286" s="285" t="n"/>
      <c r="W286" s="285" t="n"/>
      <c r="X286" s="285" t="n"/>
      <c r="Y286" s="285" t="n"/>
      <c r="Z286" s="285" t="n"/>
    </row>
    <row r="287" ht="15.75" customHeight="1" s="398">
      <c r="A287" s="284" t="n"/>
      <c r="B287" s="285" t="n"/>
      <c r="C287" s="284" t="n"/>
      <c r="D287" s="285" t="n"/>
      <c r="E287" s="354" t="n"/>
      <c r="F287" s="336" t="n"/>
      <c r="G287" s="336" t="n"/>
      <c r="H287" s="285" t="n"/>
      <c r="I287" s="285" t="n"/>
      <c r="J287" s="285" t="n"/>
      <c r="K287" s="285" t="n"/>
      <c r="L287" s="285" t="n"/>
      <c r="M287" s="285" t="n"/>
      <c r="N287" s="285" t="n"/>
      <c r="O287" s="285" t="n"/>
      <c r="P287" s="285" t="n"/>
      <c r="Q287" s="285" t="n"/>
      <c r="R287" s="284" t="n"/>
      <c r="S287" s="284" t="n"/>
      <c r="T287" s="285" t="n"/>
      <c r="U287" s="285" t="n"/>
      <c r="V287" s="285" t="n"/>
      <c r="W287" s="285" t="n"/>
      <c r="X287" s="285" t="n"/>
      <c r="Y287" s="285" t="n"/>
      <c r="Z287" s="285" t="n"/>
    </row>
    <row r="288" ht="15.75" customHeight="1" s="398">
      <c r="A288" s="284" t="n"/>
      <c r="B288" s="285" t="n"/>
      <c r="C288" s="284" t="n"/>
      <c r="D288" s="285" t="n"/>
      <c r="E288" s="354" t="n"/>
      <c r="F288" s="336" t="n"/>
      <c r="G288" s="336" t="n"/>
      <c r="H288" s="285" t="n"/>
      <c r="I288" s="285" t="n"/>
      <c r="J288" s="285" t="n"/>
      <c r="K288" s="285" t="n"/>
      <c r="L288" s="285" t="n"/>
      <c r="M288" s="285" t="n"/>
      <c r="N288" s="285" t="n"/>
      <c r="O288" s="285" t="n"/>
      <c r="P288" s="285" t="n"/>
      <c r="Q288" s="285" t="n"/>
      <c r="R288" s="284" t="n"/>
      <c r="S288" s="284" t="n"/>
      <c r="T288" s="285" t="n"/>
      <c r="U288" s="285" t="n"/>
      <c r="V288" s="285" t="n"/>
      <c r="W288" s="285" t="n"/>
      <c r="X288" s="285" t="n"/>
      <c r="Y288" s="285" t="n"/>
      <c r="Z288" s="285" t="n"/>
    </row>
    <row r="289" ht="15.75" customHeight="1" s="398">
      <c r="A289" s="284" t="n"/>
      <c r="B289" s="285" t="n"/>
      <c r="C289" s="284" t="n"/>
      <c r="D289" s="285" t="n"/>
      <c r="E289" s="354" t="n"/>
      <c r="F289" s="336" t="n"/>
      <c r="G289" s="336" t="n"/>
      <c r="H289" s="285" t="n"/>
      <c r="I289" s="285" t="n"/>
      <c r="J289" s="285" t="n"/>
      <c r="K289" s="285" t="n"/>
      <c r="L289" s="285" t="n"/>
      <c r="M289" s="285" t="n"/>
      <c r="N289" s="285" t="n"/>
      <c r="O289" s="285" t="n"/>
      <c r="P289" s="285" t="n"/>
      <c r="Q289" s="285" t="n"/>
      <c r="R289" s="284" t="n"/>
      <c r="S289" s="284" t="n"/>
      <c r="T289" s="285" t="n"/>
      <c r="U289" s="285" t="n"/>
      <c r="V289" s="285" t="n"/>
      <c r="W289" s="285" t="n"/>
      <c r="X289" s="285" t="n"/>
      <c r="Y289" s="285" t="n"/>
      <c r="Z289" s="285" t="n"/>
    </row>
    <row r="290" ht="15.75" customHeight="1" s="398">
      <c r="A290" s="284" t="n"/>
      <c r="B290" s="285" t="n"/>
      <c r="C290" s="284" t="n"/>
      <c r="D290" s="285" t="n"/>
      <c r="E290" s="354" t="n"/>
      <c r="F290" s="336" t="n"/>
      <c r="G290" s="336" t="n"/>
      <c r="H290" s="285" t="n"/>
      <c r="I290" s="285" t="n"/>
      <c r="J290" s="285" t="n"/>
      <c r="K290" s="285" t="n"/>
      <c r="L290" s="285" t="n"/>
      <c r="M290" s="285" t="n"/>
      <c r="N290" s="285" t="n"/>
      <c r="O290" s="285" t="n"/>
      <c r="P290" s="285" t="n"/>
      <c r="Q290" s="285" t="n"/>
      <c r="R290" s="284" t="n"/>
      <c r="S290" s="284" t="n"/>
      <c r="T290" s="285" t="n"/>
      <c r="U290" s="285" t="n"/>
      <c r="V290" s="285" t="n"/>
      <c r="W290" s="285" t="n"/>
      <c r="X290" s="285" t="n"/>
      <c r="Y290" s="285" t="n"/>
      <c r="Z290" s="285" t="n"/>
    </row>
    <row r="291" ht="15.75" customHeight="1" s="398">
      <c r="A291" s="284" t="n"/>
      <c r="B291" s="285" t="n"/>
      <c r="C291" s="284" t="n"/>
      <c r="D291" s="285" t="n"/>
      <c r="E291" s="354" t="n"/>
      <c r="F291" s="336" t="n"/>
      <c r="G291" s="336" t="n"/>
      <c r="H291" s="285" t="n"/>
      <c r="I291" s="285" t="n"/>
      <c r="J291" s="285" t="n"/>
      <c r="K291" s="285" t="n"/>
      <c r="L291" s="285" t="n"/>
      <c r="M291" s="285" t="n"/>
      <c r="N291" s="285" t="n"/>
      <c r="O291" s="285" t="n"/>
      <c r="P291" s="285" t="n"/>
      <c r="Q291" s="285" t="n"/>
      <c r="R291" s="284" t="n"/>
      <c r="S291" s="284" t="n"/>
      <c r="T291" s="285" t="n"/>
      <c r="U291" s="285" t="n"/>
      <c r="V291" s="285" t="n"/>
      <c r="W291" s="285" t="n"/>
      <c r="X291" s="285" t="n"/>
      <c r="Y291" s="285" t="n"/>
      <c r="Z291" s="285" t="n"/>
    </row>
    <row r="292" ht="15.75" customHeight="1" s="398">
      <c r="A292" s="284" t="n"/>
      <c r="B292" s="285" t="n"/>
      <c r="C292" s="284" t="n"/>
      <c r="D292" s="285" t="n"/>
      <c r="E292" s="354" t="n"/>
      <c r="F292" s="336" t="n"/>
      <c r="G292" s="336" t="n"/>
      <c r="H292" s="285" t="n"/>
      <c r="I292" s="285" t="n"/>
      <c r="J292" s="285" t="n"/>
      <c r="K292" s="285" t="n"/>
      <c r="L292" s="285" t="n"/>
      <c r="M292" s="285" t="n"/>
      <c r="N292" s="285" t="n"/>
      <c r="O292" s="285" t="n"/>
      <c r="P292" s="285" t="n"/>
      <c r="Q292" s="285" t="n"/>
      <c r="R292" s="284" t="n"/>
      <c r="S292" s="284" t="n"/>
      <c r="T292" s="285" t="n"/>
      <c r="U292" s="285" t="n"/>
      <c r="V292" s="285" t="n"/>
      <c r="W292" s="285" t="n"/>
      <c r="X292" s="285" t="n"/>
      <c r="Y292" s="285" t="n"/>
      <c r="Z292" s="285" t="n"/>
    </row>
    <row r="293" ht="15.75" customHeight="1" s="398">
      <c r="A293" s="284" t="n"/>
      <c r="B293" s="285" t="n"/>
      <c r="C293" s="284" t="n"/>
      <c r="D293" s="285" t="n"/>
      <c r="E293" s="354" t="n"/>
      <c r="F293" s="336" t="n"/>
      <c r="G293" s="336" t="n"/>
      <c r="H293" s="285" t="n"/>
      <c r="I293" s="285" t="n"/>
      <c r="J293" s="285" t="n"/>
      <c r="K293" s="285" t="n"/>
      <c r="L293" s="285" t="n"/>
      <c r="M293" s="285" t="n"/>
      <c r="N293" s="285" t="n"/>
      <c r="O293" s="285" t="n"/>
      <c r="P293" s="285" t="n"/>
      <c r="Q293" s="285" t="n"/>
      <c r="R293" s="284" t="n"/>
      <c r="S293" s="284" t="n"/>
      <c r="T293" s="285" t="n"/>
      <c r="U293" s="285" t="n"/>
      <c r="V293" s="285" t="n"/>
      <c r="W293" s="285" t="n"/>
      <c r="X293" s="285" t="n"/>
      <c r="Y293" s="285" t="n"/>
      <c r="Z293" s="285" t="n"/>
    </row>
    <row r="294" ht="15.75" customHeight="1" s="398">
      <c r="A294" s="284" t="n"/>
      <c r="B294" s="285" t="n"/>
      <c r="C294" s="284" t="n"/>
      <c r="D294" s="285" t="n"/>
      <c r="E294" s="354" t="n"/>
      <c r="F294" s="336" t="n"/>
      <c r="G294" s="336" t="n"/>
      <c r="H294" s="285" t="n"/>
      <c r="I294" s="285" t="n"/>
      <c r="J294" s="285" t="n"/>
      <c r="K294" s="285" t="n"/>
      <c r="L294" s="285" t="n"/>
      <c r="M294" s="285" t="n"/>
      <c r="N294" s="285" t="n"/>
      <c r="O294" s="285" t="n"/>
      <c r="P294" s="285" t="n"/>
      <c r="Q294" s="285" t="n"/>
      <c r="R294" s="284" t="n"/>
      <c r="S294" s="284" t="n"/>
      <c r="T294" s="285" t="n"/>
      <c r="U294" s="285" t="n"/>
      <c r="V294" s="285" t="n"/>
      <c r="W294" s="285" t="n"/>
      <c r="X294" s="285" t="n"/>
      <c r="Y294" s="285" t="n"/>
      <c r="Z294" s="285" t="n"/>
    </row>
    <row r="295" ht="15.75" customHeight="1" s="398">
      <c r="A295" s="284" t="n"/>
      <c r="B295" s="285" t="n"/>
      <c r="C295" s="284" t="n"/>
      <c r="D295" s="285" t="n"/>
      <c r="E295" s="354" t="n"/>
      <c r="F295" s="336" t="n"/>
      <c r="G295" s="336" t="n"/>
      <c r="H295" s="285" t="n"/>
      <c r="I295" s="285" t="n"/>
      <c r="J295" s="285" t="n"/>
      <c r="K295" s="285" t="n"/>
      <c r="L295" s="285" t="n"/>
      <c r="M295" s="285" t="n"/>
      <c r="N295" s="285" t="n"/>
      <c r="O295" s="285" t="n"/>
      <c r="P295" s="285" t="n"/>
      <c r="Q295" s="285" t="n"/>
      <c r="R295" s="284" t="n"/>
      <c r="S295" s="284" t="n"/>
      <c r="T295" s="285" t="n"/>
      <c r="U295" s="285" t="n"/>
      <c r="V295" s="285" t="n"/>
      <c r="W295" s="285" t="n"/>
      <c r="X295" s="285" t="n"/>
      <c r="Y295" s="285" t="n"/>
      <c r="Z295" s="285" t="n"/>
    </row>
    <row r="296" ht="15.75" customHeight="1" s="398">
      <c r="A296" s="284" t="n"/>
      <c r="B296" s="285" t="n"/>
      <c r="C296" s="284" t="n"/>
      <c r="D296" s="285" t="n"/>
      <c r="E296" s="354" t="n"/>
      <c r="F296" s="336" t="n"/>
      <c r="G296" s="336" t="n"/>
      <c r="H296" s="285" t="n"/>
      <c r="I296" s="285" t="n"/>
      <c r="J296" s="285" t="n"/>
      <c r="K296" s="285" t="n"/>
      <c r="L296" s="285" t="n"/>
      <c r="M296" s="285" t="n"/>
      <c r="N296" s="285" t="n"/>
      <c r="O296" s="285" t="n"/>
      <c r="P296" s="285" t="n"/>
      <c r="Q296" s="285" t="n"/>
      <c r="R296" s="284" t="n"/>
      <c r="S296" s="284" t="n"/>
      <c r="T296" s="285" t="n"/>
      <c r="U296" s="285" t="n"/>
      <c r="V296" s="285" t="n"/>
      <c r="W296" s="285" t="n"/>
      <c r="X296" s="285" t="n"/>
      <c r="Y296" s="285" t="n"/>
      <c r="Z296" s="285" t="n"/>
    </row>
    <row r="297" ht="15.75" customHeight="1" s="398">
      <c r="A297" s="284" t="n"/>
      <c r="B297" s="285" t="n"/>
      <c r="C297" s="284" t="n"/>
      <c r="D297" s="285" t="n"/>
      <c r="E297" s="354" t="n"/>
      <c r="F297" s="336" t="n"/>
      <c r="G297" s="336" t="n"/>
      <c r="H297" s="285" t="n"/>
      <c r="I297" s="285" t="n"/>
      <c r="J297" s="285" t="n"/>
      <c r="K297" s="285" t="n"/>
      <c r="L297" s="285" t="n"/>
      <c r="M297" s="285" t="n"/>
      <c r="N297" s="285" t="n"/>
      <c r="O297" s="285" t="n"/>
      <c r="P297" s="285" t="n"/>
      <c r="Q297" s="285" t="n"/>
      <c r="R297" s="284" t="n"/>
      <c r="S297" s="284" t="n"/>
      <c r="T297" s="285" t="n"/>
      <c r="U297" s="285" t="n"/>
      <c r="V297" s="285" t="n"/>
      <c r="W297" s="285" t="n"/>
      <c r="X297" s="285" t="n"/>
      <c r="Y297" s="285" t="n"/>
      <c r="Z297" s="285" t="n"/>
    </row>
    <row r="298" ht="15.75" customHeight="1" s="398">
      <c r="A298" s="284" t="n"/>
      <c r="B298" s="285" t="n"/>
      <c r="C298" s="284" t="n"/>
      <c r="D298" s="285" t="n"/>
      <c r="E298" s="354" t="n"/>
      <c r="F298" s="336" t="n"/>
      <c r="G298" s="336" t="n"/>
      <c r="H298" s="285" t="n"/>
      <c r="I298" s="285" t="n"/>
      <c r="J298" s="285" t="n"/>
      <c r="K298" s="285" t="n"/>
      <c r="L298" s="285" t="n"/>
      <c r="M298" s="285" t="n"/>
      <c r="N298" s="285" t="n"/>
      <c r="O298" s="285" t="n"/>
      <c r="P298" s="285" t="n"/>
      <c r="Q298" s="285" t="n"/>
      <c r="R298" s="284" t="n"/>
      <c r="S298" s="284" t="n"/>
      <c r="T298" s="285" t="n"/>
      <c r="U298" s="285" t="n"/>
      <c r="V298" s="285" t="n"/>
      <c r="W298" s="285" t="n"/>
      <c r="X298" s="285" t="n"/>
      <c r="Y298" s="285" t="n"/>
      <c r="Z298" s="285" t="n"/>
    </row>
    <row r="299" ht="15.75" customHeight="1" s="398">
      <c r="A299" s="284" t="n"/>
      <c r="B299" s="285" t="n"/>
      <c r="C299" s="284" t="n"/>
      <c r="D299" s="285" t="n"/>
      <c r="E299" s="354" t="n"/>
      <c r="F299" s="336" t="n"/>
      <c r="G299" s="336" t="n"/>
      <c r="H299" s="285" t="n"/>
      <c r="I299" s="285" t="n"/>
      <c r="J299" s="285" t="n"/>
      <c r="K299" s="285" t="n"/>
      <c r="L299" s="285" t="n"/>
      <c r="M299" s="285" t="n"/>
      <c r="N299" s="285" t="n"/>
      <c r="O299" s="285" t="n"/>
      <c r="P299" s="285" t="n"/>
      <c r="Q299" s="285" t="n"/>
      <c r="R299" s="284" t="n"/>
      <c r="S299" s="284" t="n"/>
      <c r="T299" s="285" t="n"/>
      <c r="U299" s="285" t="n"/>
      <c r="V299" s="285" t="n"/>
      <c r="W299" s="285" t="n"/>
      <c r="X299" s="285" t="n"/>
      <c r="Y299" s="285" t="n"/>
      <c r="Z299" s="285" t="n"/>
    </row>
    <row r="300" ht="15.75" customHeight="1" s="398">
      <c r="A300" s="284" t="n"/>
      <c r="B300" s="285" t="n"/>
      <c r="C300" s="284" t="n"/>
      <c r="D300" s="285" t="n"/>
      <c r="E300" s="354" t="n"/>
      <c r="F300" s="336" t="n"/>
      <c r="G300" s="336" t="n"/>
      <c r="H300" s="285" t="n"/>
      <c r="I300" s="285" t="n"/>
      <c r="J300" s="285" t="n"/>
      <c r="K300" s="285" t="n"/>
      <c r="L300" s="285" t="n"/>
      <c r="M300" s="285" t="n"/>
      <c r="N300" s="285" t="n"/>
      <c r="O300" s="285" t="n"/>
      <c r="P300" s="285" t="n"/>
      <c r="Q300" s="285" t="n"/>
      <c r="R300" s="284" t="n"/>
      <c r="S300" s="284" t="n"/>
      <c r="T300" s="285" t="n"/>
      <c r="U300" s="285" t="n"/>
      <c r="V300" s="285" t="n"/>
      <c r="W300" s="285" t="n"/>
      <c r="X300" s="285" t="n"/>
      <c r="Y300" s="285" t="n"/>
      <c r="Z300" s="285" t="n"/>
    </row>
    <row r="301" ht="15.75" customHeight="1" s="398">
      <c r="A301" s="284" t="n"/>
      <c r="B301" s="285" t="n"/>
      <c r="C301" s="284" t="n"/>
      <c r="D301" s="285" t="n"/>
      <c r="E301" s="354" t="n"/>
      <c r="F301" s="336" t="n"/>
      <c r="G301" s="336" t="n"/>
      <c r="H301" s="285" t="n"/>
      <c r="I301" s="285" t="n"/>
      <c r="J301" s="285" t="n"/>
      <c r="K301" s="285" t="n"/>
      <c r="L301" s="285" t="n"/>
      <c r="M301" s="285" t="n"/>
      <c r="N301" s="285" t="n"/>
      <c r="O301" s="285" t="n"/>
      <c r="P301" s="285" t="n"/>
      <c r="Q301" s="285" t="n"/>
      <c r="R301" s="284" t="n"/>
      <c r="S301" s="284" t="n"/>
      <c r="T301" s="285" t="n"/>
      <c r="U301" s="285" t="n"/>
      <c r="V301" s="285" t="n"/>
      <c r="W301" s="285" t="n"/>
      <c r="X301" s="285" t="n"/>
      <c r="Y301" s="285" t="n"/>
      <c r="Z301" s="285" t="n"/>
    </row>
    <row r="302" ht="15.75" customHeight="1" s="398">
      <c r="A302" s="284" t="n"/>
      <c r="B302" s="285" t="n"/>
      <c r="C302" s="284" t="n"/>
      <c r="D302" s="285" t="n"/>
      <c r="E302" s="354" t="n"/>
      <c r="F302" s="336" t="n"/>
      <c r="G302" s="336" t="n"/>
      <c r="H302" s="285" t="n"/>
      <c r="I302" s="285" t="n"/>
      <c r="J302" s="285" t="n"/>
      <c r="K302" s="285" t="n"/>
      <c r="L302" s="285" t="n"/>
      <c r="M302" s="285" t="n"/>
      <c r="N302" s="285" t="n"/>
      <c r="O302" s="285" t="n"/>
      <c r="P302" s="285" t="n"/>
      <c r="Q302" s="285" t="n"/>
      <c r="R302" s="284" t="n"/>
      <c r="S302" s="284" t="n"/>
      <c r="T302" s="285" t="n"/>
      <c r="U302" s="285" t="n"/>
      <c r="V302" s="285" t="n"/>
      <c r="W302" s="285" t="n"/>
      <c r="X302" s="285" t="n"/>
      <c r="Y302" s="285" t="n"/>
      <c r="Z302" s="285" t="n"/>
    </row>
    <row r="303" ht="15.75" customHeight="1" s="398">
      <c r="A303" s="284" t="n"/>
      <c r="B303" s="285" t="n"/>
      <c r="C303" s="284" t="n"/>
      <c r="D303" s="285" t="n"/>
      <c r="E303" s="354" t="n"/>
      <c r="F303" s="336" t="n"/>
      <c r="G303" s="336" t="n"/>
      <c r="H303" s="285" t="n"/>
      <c r="I303" s="285" t="n"/>
      <c r="J303" s="285" t="n"/>
      <c r="K303" s="285" t="n"/>
      <c r="L303" s="285" t="n"/>
      <c r="M303" s="285" t="n"/>
      <c r="N303" s="285" t="n"/>
      <c r="O303" s="285" t="n"/>
      <c r="P303" s="285" t="n"/>
      <c r="Q303" s="285" t="n"/>
      <c r="R303" s="284" t="n"/>
      <c r="S303" s="284" t="n"/>
      <c r="T303" s="285" t="n"/>
      <c r="U303" s="285" t="n"/>
      <c r="V303" s="285" t="n"/>
      <c r="W303" s="285" t="n"/>
      <c r="X303" s="285" t="n"/>
      <c r="Y303" s="285" t="n"/>
      <c r="Z303" s="285" t="n"/>
    </row>
    <row r="304" ht="15.75" customHeight="1" s="398">
      <c r="A304" s="284" t="n"/>
      <c r="B304" s="285" t="n"/>
      <c r="C304" s="284" t="n"/>
      <c r="D304" s="285" t="n"/>
      <c r="E304" s="354" t="n"/>
      <c r="F304" s="336" t="n"/>
      <c r="G304" s="336" t="n"/>
      <c r="H304" s="285" t="n"/>
      <c r="I304" s="285" t="n"/>
      <c r="J304" s="285" t="n"/>
      <c r="K304" s="285" t="n"/>
      <c r="L304" s="285" t="n"/>
      <c r="M304" s="285" t="n"/>
      <c r="N304" s="285" t="n"/>
      <c r="O304" s="285" t="n"/>
      <c r="P304" s="285" t="n"/>
      <c r="Q304" s="285" t="n"/>
      <c r="R304" s="284" t="n"/>
      <c r="S304" s="284" t="n"/>
      <c r="T304" s="285" t="n"/>
      <c r="U304" s="285" t="n"/>
      <c r="V304" s="285" t="n"/>
      <c r="W304" s="285" t="n"/>
      <c r="X304" s="285" t="n"/>
      <c r="Y304" s="285" t="n"/>
      <c r="Z304" s="285" t="n"/>
    </row>
    <row r="305" ht="15.75" customHeight="1" s="398">
      <c r="A305" s="284" t="n"/>
      <c r="B305" s="285" t="n"/>
      <c r="C305" s="284" t="n"/>
      <c r="D305" s="285" t="n"/>
      <c r="E305" s="354" t="n"/>
      <c r="F305" s="336" t="n"/>
      <c r="G305" s="336" t="n"/>
      <c r="H305" s="285" t="n"/>
      <c r="I305" s="285" t="n"/>
      <c r="J305" s="285" t="n"/>
      <c r="K305" s="285" t="n"/>
      <c r="L305" s="285" t="n"/>
      <c r="M305" s="285" t="n"/>
      <c r="N305" s="285" t="n"/>
      <c r="O305" s="285" t="n"/>
      <c r="P305" s="285" t="n"/>
      <c r="Q305" s="285" t="n"/>
      <c r="R305" s="284" t="n"/>
      <c r="S305" s="284" t="n"/>
      <c r="T305" s="285" t="n"/>
      <c r="U305" s="285" t="n"/>
      <c r="V305" s="285" t="n"/>
      <c r="W305" s="285" t="n"/>
      <c r="X305" s="285" t="n"/>
      <c r="Y305" s="285" t="n"/>
      <c r="Z305" s="285" t="n"/>
    </row>
    <row r="306" ht="15.75" customHeight="1" s="398">
      <c r="A306" s="284" t="n"/>
      <c r="B306" s="285" t="n"/>
      <c r="C306" s="284" t="n"/>
      <c r="D306" s="285" t="n"/>
      <c r="E306" s="354" t="n"/>
      <c r="F306" s="336" t="n"/>
      <c r="G306" s="336" t="n"/>
      <c r="H306" s="285" t="n"/>
      <c r="I306" s="285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84" t="n"/>
      <c r="S306" s="284" t="n"/>
      <c r="T306" s="285" t="n"/>
      <c r="U306" s="285" t="n"/>
      <c r="V306" s="285" t="n"/>
      <c r="W306" s="285" t="n"/>
      <c r="X306" s="285" t="n"/>
      <c r="Y306" s="285" t="n"/>
      <c r="Z306" s="285" t="n"/>
    </row>
    <row r="307" ht="15.75" customHeight="1" s="398">
      <c r="A307" s="284" t="n"/>
      <c r="B307" s="285" t="n"/>
      <c r="C307" s="284" t="n"/>
      <c r="D307" s="285" t="n"/>
      <c r="E307" s="354" t="n"/>
      <c r="F307" s="336" t="n"/>
      <c r="G307" s="336" t="n"/>
      <c r="H307" s="285" t="n"/>
      <c r="I307" s="285" t="n"/>
      <c r="J307" s="285" t="n"/>
      <c r="K307" s="285" t="n"/>
      <c r="L307" s="285" t="n"/>
      <c r="M307" s="285" t="n"/>
      <c r="N307" s="285" t="n"/>
      <c r="O307" s="285" t="n"/>
      <c r="P307" s="285" t="n"/>
      <c r="Q307" s="285" t="n"/>
      <c r="R307" s="284" t="n"/>
      <c r="S307" s="284" t="n"/>
      <c r="T307" s="285" t="n"/>
      <c r="U307" s="285" t="n"/>
      <c r="V307" s="285" t="n"/>
      <c r="W307" s="285" t="n"/>
      <c r="X307" s="285" t="n"/>
      <c r="Y307" s="285" t="n"/>
      <c r="Z307" s="285" t="n"/>
    </row>
    <row r="308" ht="15.75" customHeight="1" s="398">
      <c r="A308" s="284" t="n"/>
      <c r="B308" s="285" t="n"/>
      <c r="C308" s="284" t="n"/>
      <c r="D308" s="285" t="n"/>
      <c r="E308" s="354" t="n"/>
      <c r="F308" s="336" t="n"/>
      <c r="G308" s="336" t="n"/>
      <c r="H308" s="285" t="n"/>
      <c r="I308" s="285" t="n"/>
      <c r="J308" s="285" t="n"/>
      <c r="K308" s="285" t="n"/>
      <c r="L308" s="285" t="n"/>
      <c r="M308" s="285" t="n"/>
      <c r="N308" s="285" t="n"/>
      <c r="O308" s="285" t="n"/>
      <c r="P308" s="285" t="n"/>
      <c r="Q308" s="285" t="n"/>
      <c r="R308" s="284" t="n"/>
      <c r="S308" s="284" t="n"/>
      <c r="T308" s="285" t="n"/>
      <c r="U308" s="285" t="n"/>
      <c r="V308" s="285" t="n"/>
      <c r="W308" s="285" t="n"/>
      <c r="X308" s="285" t="n"/>
      <c r="Y308" s="285" t="n"/>
      <c r="Z308" s="285" t="n"/>
    </row>
    <row r="309" ht="15.75" customHeight="1" s="398">
      <c r="A309" s="284" t="n"/>
      <c r="B309" s="285" t="n"/>
      <c r="C309" s="284" t="n"/>
      <c r="D309" s="285" t="n"/>
      <c r="E309" s="354" t="n"/>
      <c r="F309" s="336" t="n"/>
      <c r="G309" s="336" t="n"/>
      <c r="H309" s="285" t="n"/>
      <c r="I309" s="285" t="n"/>
      <c r="J309" s="285" t="n"/>
      <c r="K309" s="285" t="n"/>
      <c r="L309" s="285" t="n"/>
      <c r="M309" s="285" t="n"/>
      <c r="N309" s="285" t="n"/>
      <c r="O309" s="285" t="n"/>
      <c r="P309" s="285" t="n"/>
      <c r="Q309" s="285" t="n"/>
      <c r="R309" s="284" t="n"/>
      <c r="S309" s="284" t="n"/>
      <c r="T309" s="285" t="n"/>
      <c r="U309" s="285" t="n"/>
      <c r="V309" s="285" t="n"/>
      <c r="W309" s="285" t="n"/>
      <c r="X309" s="285" t="n"/>
      <c r="Y309" s="285" t="n"/>
      <c r="Z309" s="285" t="n"/>
    </row>
    <row r="310" ht="15.75" customHeight="1" s="398">
      <c r="A310" s="284" t="n"/>
      <c r="B310" s="285" t="n"/>
      <c r="C310" s="284" t="n"/>
      <c r="D310" s="285" t="n"/>
      <c r="E310" s="354" t="n"/>
      <c r="F310" s="336" t="n"/>
      <c r="G310" s="336" t="n"/>
      <c r="H310" s="285" t="n"/>
      <c r="I310" s="285" t="n"/>
      <c r="J310" s="285" t="n"/>
      <c r="K310" s="285" t="n"/>
      <c r="L310" s="285" t="n"/>
      <c r="M310" s="285" t="n"/>
      <c r="N310" s="285" t="n"/>
      <c r="O310" s="285" t="n"/>
      <c r="P310" s="285" t="n"/>
      <c r="Q310" s="285" t="n"/>
      <c r="R310" s="284" t="n"/>
      <c r="S310" s="284" t="n"/>
      <c r="T310" s="285" t="n"/>
      <c r="U310" s="285" t="n"/>
      <c r="V310" s="285" t="n"/>
      <c r="W310" s="285" t="n"/>
      <c r="X310" s="285" t="n"/>
      <c r="Y310" s="285" t="n"/>
      <c r="Z310" s="285" t="n"/>
    </row>
    <row r="311" ht="15.75" customHeight="1" s="398">
      <c r="A311" s="284" t="n"/>
      <c r="B311" s="285" t="n"/>
      <c r="C311" s="284" t="n"/>
      <c r="D311" s="285" t="n"/>
      <c r="E311" s="354" t="n"/>
      <c r="F311" s="336" t="n"/>
      <c r="G311" s="336" t="n"/>
      <c r="H311" s="285" t="n"/>
      <c r="I311" s="285" t="n"/>
      <c r="J311" s="285" t="n"/>
      <c r="K311" s="285" t="n"/>
      <c r="L311" s="285" t="n"/>
      <c r="M311" s="285" t="n"/>
      <c r="N311" s="285" t="n"/>
      <c r="O311" s="285" t="n"/>
      <c r="P311" s="285" t="n"/>
      <c r="Q311" s="285" t="n"/>
      <c r="R311" s="284" t="n"/>
      <c r="S311" s="284" t="n"/>
      <c r="T311" s="285" t="n"/>
      <c r="U311" s="285" t="n"/>
      <c r="V311" s="285" t="n"/>
      <c r="W311" s="285" t="n"/>
      <c r="X311" s="285" t="n"/>
      <c r="Y311" s="285" t="n"/>
      <c r="Z311" s="285" t="n"/>
    </row>
    <row r="312" ht="15.75" customHeight="1" s="398">
      <c r="A312" s="284" t="n"/>
      <c r="B312" s="285" t="n"/>
      <c r="C312" s="284" t="n"/>
      <c r="D312" s="285" t="n"/>
      <c r="E312" s="354" t="n"/>
      <c r="F312" s="336" t="n"/>
      <c r="G312" s="336" t="n"/>
      <c r="H312" s="285" t="n"/>
      <c r="I312" s="285" t="n"/>
      <c r="J312" s="285" t="n"/>
      <c r="K312" s="285" t="n"/>
      <c r="L312" s="285" t="n"/>
      <c r="M312" s="285" t="n"/>
      <c r="N312" s="285" t="n"/>
      <c r="O312" s="285" t="n"/>
      <c r="P312" s="285" t="n"/>
      <c r="Q312" s="285" t="n"/>
      <c r="R312" s="284" t="n"/>
      <c r="S312" s="284" t="n"/>
      <c r="T312" s="285" t="n"/>
      <c r="U312" s="285" t="n"/>
      <c r="V312" s="285" t="n"/>
      <c r="W312" s="285" t="n"/>
      <c r="X312" s="285" t="n"/>
      <c r="Y312" s="285" t="n"/>
      <c r="Z312" s="285" t="n"/>
    </row>
    <row r="313" ht="15.75" customHeight="1" s="398">
      <c r="A313" s="284" t="n"/>
      <c r="B313" s="285" t="n"/>
      <c r="C313" s="284" t="n"/>
      <c r="D313" s="285" t="n"/>
      <c r="E313" s="354" t="n"/>
      <c r="F313" s="336" t="n"/>
      <c r="G313" s="336" t="n"/>
      <c r="H313" s="285" t="n"/>
      <c r="I313" s="285" t="n"/>
      <c r="J313" s="285" t="n"/>
      <c r="K313" s="285" t="n"/>
      <c r="L313" s="285" t="n"/>
      <c r="M313" s="285" t="n"/>
      <c r="N313" s="285" t="n"/>
      <c r="O313" s="285" t="n"/>
      <c r="P313" s="285" t="n"/>
      <c r="Q313" s="285" t="n"/>
      <c r="R313" s="284" t="n"/>
      <c r="S313" s="284" t="n"/>
      <c r="T313" s="285" t="n"/>
      <c r="U313" s="285" t="n"/>
      <c r="V313" s="285" t="n"/>
      <c r="W313" s="285" t="n"/>
      <c r="X313" s="285" t="n"/>
      <c r="Y313" s="285" t="n"/>
      <c r="Z313" s="285" t="n"/>
    </row>
    <row r="314" ht="15.75" customHeight="1" s="398">
      <c r="A314" s="284" t="n"/>
      <c r="B314" s="285" t="n"/>
      <c r="C314" s="284" t="n"/>
      <c r="D314" s="285" t="n"/>
      <c r="E314" s="354" t="n"/>
      <c r="F314" s="336" t="n"/>
      <c r="G314" s="336" t="n"/>
      <c r="H314" s="285" t="n"/>
      <c r="I314" s="285" t="n"/>
      <c r="J314" s="285" t="n"/>
      <c r="K314" s="285" t="n"/>
      <c r="L314" s="285" t="n"/>
      <c r="M314" s="285" t="n"/>
      <c r="N314" s="285" t="n"/>
      <c r="O314" s="285" t="n"/>
      <c r="P314" s="285" t="n"/>
      <c r="Q314" s="285" t="n"/>
      <c r="R314" s="284" t="n"/>
      <c r="S314" s="284" t="n"/>
      <c r="T314" s="285" t="n"/>
      <c r="U314" s="285" t="n"/>
      <c r="V314" s="285" t="n"/>
      <c r="W314" s="285" t="n"/>
      <c r="X314" s="285" t="n"/>
      <c r="Y314" s="285" t="n"/>
      <c r="Z314" s="285" t="n"/>
    </row>
    <row r="315" ht="15.75" customHeight="1" s="398">
      <c r="A315" s="284" t="n"/>
      <c r="B315" s="285" t="n"/>
      <c r="C315" s="284" t="n"/>
      <c r="D315" s="285" t="n"/>
      <c r="E315" s="354" t="n"/>
      <c r="F315" s="336" t="n"/>
      <c r="G315" s="336" t="n"/>
      <c r="H315" s="285" t="n"/>
      <c r="I315" s="285" t="n"/>
      <c r="J315" s="285" t="n"/>
      <c r="K315" s="285" t="n"/>
      <c r="L315" s="285" t="n"/>
      <c r="M315" s="285" t="n"/>
      <c r="N315" s="285" t="n"/>
      <c r="O315" s="285" t="n"/>
      <c r="P315" s="285" t="n"/>
      <c r="Q315" s="285" t="n"/>
      <c r="R315" s="284" t="n"/>
      <c r="S315" s="284" t="n"/>
      <c r="T315" s="285" t="n"/>
      <c r="U315" s="285" t="n"/>
      <c r="V315" s="285" t="n"/>
      <c r="W315" s="285" t="n"/>
      <c r="X315" s="285" t="n"/>
      <c r="Y315" s="285" t="n"/>
      <c r="Z315" s="285" t="n"/>
    </row>
    <row r="316" ht="15.75" customHeight="1" s="398">
      <c r="A316" s="284" t="n"/>
      <c r="B316" s="285" t="n"/>
      <c r="C316" s="284" t="n"/>
      <c r="D316" s="285" t="n"/>
      <c r="E316" s="354" t="n"/>
      <c r="F316" s="336" t="n"/>
      <c r="G316" s="336" t="n"/>
      <c r="H316" s="285" t="n"/>
      <c r="I316" s="285" t="n"/>
      <c r="J316" s="285" t="n"/>
      <c r="K316" s="285" t="n"/>
      <c r="L316" s="285" t="n"/>
      <c r="M316" s="285" t="n"/>
      <c r="N316" s="285" t="n"/>
      <c r="O316" s="285" t="n"/>
      <c r="P316" s="285" t="n"/>
      <c r="Q316" s="285" t="n"/>
      <c r="R316" s="284" t="n"/>
      <c r="S316" s="284" t="n"/>
      <c r="T316" s="285" t="n"/>
      <c r="U316" s="285" t="n"/>
      <c r="V316" s="285" t="n"/>
      <c r="W316" s="285" t="n"/>
      <c r="X316" s="285" t="n"/>
      <c r="Y316" s="285" t="n"/>
      <c r="Z316" s="285" t="n"/>
    </row>
    <row r="317" ht="15.75" customHeight="1" s="398">
      <c r="A317" s="284" t="n"/>
      <c r="B317" s="285" t="n"/>
      <c r="C317" s="284" t="n"/>
      <c r="D317" s="285" t="n"/>
      <c r="E317" s="354" t="n"/>
      <c r="F317" s="336" t="n"/>
      <c r="G317" s="336" t="n"/>
      <c r="H317" s="285" t="n"/>
      <c r="I317" s="285" t="n"/>
      <c r="J317" s="285" t="n"/>
      <c r="K317" s="285" t="n"/>
      <c r="L317" s="285" t="n"/>
      <c r="M317" s="285" t="n"/>
      <c r="N317" s="285" t="n"/>
      <c r="O317" s="285" t="n"/>
      <c r="P317" s="285" t="n"/>
      <c r="Q317" s="285" t="n"/>
      <c r="R317" s="284" t="n"/>
      <c r="S317" s="284" t="n"/>
      <c r="T317" s="285" t="n"/>
      <c r="U317" s="285" t="n"/>
      <c r="V317" s="285" t="n"/>
      <c r="W317" s="285" t="n"/>
      <c r="X317" s="285" t="n"/>
      <c r="Y317" s="285" t="n"/>
      <c r="Z317" s="285" t="n"/>
    </row>
    <row r="318" ht="15.75" customHeight="1" s="398">
      <c r="A318" s="284" t="n"/>
      <c r="B318" s="285" t="n"/>
      <c r="C318" s="284" t="n"/>
      <c r="D318" s="285" t="n"/>
      <c r="E318" s="354" t="n"/>
      <c r="F318" s="336" t="n"/>
      <c r="G318" s="336" t="n"/>
      <c r="H318" s="285" t="n"/>
      <c r="I318" s="285" t="n"/>
      <c r="J318" s="285" t="n"/>
      <c r="K318" s="285" t="n"/>
      <c r="L318" s="285" t="n"/>
      <c r="M318" s="285" t="n"/>
      <c r="N318" s="285" t="n"/>
      <c r="O318" s="285" t="n"/>
      <c r="P318" s="285" t="n"/>
      <c r="Q318" s="285" t="n"/>
      <c r="R318" s="284" t="n"/>
      <c r="S318" s="284" t="n"/>
      <c r="T318" s="285" t="n"/>
      <c r="U318" s="285" t="n"/>
      <c r="V318" s="285" t="n"/>
      <c r="W318" s="285" t="n"/>
      <c r="X318" s="285" t="n"/>
      <c r="Y318" s="285" t="n"/>
      <c r="Z318" s="285" t="n"/>
    </row>
    <row r="319" ht="15.75" customHeight="1" s="398">
      <c r="A319" s="284" t="n"/>
      <c r="B319" s="285" t="n"/>
      <c r="C319" s="284" t="n"/>
      <c r="D319" s="285" t="n"/>
      <c r="E319" s="354" t="n"/>
      <c r="F319" s="336" t="n"/>
      <c r="G319" s="336" t="n"/>
      <c r="H319" s="285" t="n"/>
      <c r="I319" s="285" t="n"/>
      <c r="J319" s="285" t="n"/>
      <c r="K319" s="285" t="n"/>
      <c r="L319" s="285" t="n"/>
      <c r="M319" s="285" t="n"/>
      <c r="N319" s="285" t="n"/>
      <c r="O319" s="285" t="n"/>
      <c r="P319" s="285" t="n"/>
      <c r="Q319" s="285" t="n"/>
      <c r="R319" s="284" t="n"/>
      <c r="S319" s="284" t="n"/>
      <c r="T319" s="285" t="n"/>
      <c r="U319" s="285" t="n"/>
      <c r="V319" s="285" t="n"/>
      <c r="W319" s="285" t="n"/>
      <c r="X319" s="285" t="n"/>
      <c r="Y319" s="285" t="n"/>
      <c r="Z319" s="285" t="n"/>
    </row>
    <row r="320" ht="15.75" customHeight="1" s="398">
      <c r="A320" s="284" t="n"/>
      <c r="B320" s="285" t="n"/>
      <c r="C320" s="284" t="n"/>
      <c r="D320" s="285" t="n"/>
      <c r="E320" s="354" t="n"/>
      <c r="F320" s="336" t="n"/>
      <c r="G320" s="336" t="n"/>
      <c r="H320" s="285" t="n"/>
      <c r="I320" s="285" t="n"/>
      <c r="J320" s="285" t="n"/>
      <c r="K320" s="285" t="n"/>
      <c r="L320" s="285" t="n"/>
      <c r="M320" s="285" t="n"/>
      <c r="N320" s="285" t="n"/>
      <c r="O320" s="285" t="n"/>
      <c r="P320" s="285" t="n"/>
      <c r="Q320" s="285" t="n"/>
      <c r="R320" s="284" t="n"/>
      <c r="S320" s="284" t="n"/>
      <c r="T320" s="285" t="n"/>
      <c r="U320" s="285" t="n"/>
      <c r="V320" s="285" t="n"/>
      <c r="W320" s="285" t="n"/>
      <c r="X320" s="285" t="n"/>
      <c r="Y320" s="285" t="n"/>
      <c r="Z320" s="285" t="n"/>
    </row>
    <row r="321" ht="15.75" customHeight="1" s="398">
      <c r="A321" s="284" t="n"/>
      <c r="B321" s="285" t="n"/>
      <c r="C321" s="284" t="n"/>
      <c r="D321" s="285" t="n"/>
      <c r="E321" s="354" t="n"/>
      <c r="F321" s="336" t="n"/>
      <c r="G321" s="336" t="n"/>
      <c r="H321" s="285" t="n"/>
      <c r="I321" s="285" t="n"/>
      <c r="J321" s="285" t="n"/>
      <c r="K321" s="285" t="n"/>
      <c r="L321" s="285" t="n"/>
      <c r="M321" s="285" t="n"/>
      <c r="N321" s="285" t="n"/>
      <c r="O321" s="285" t="n"/>
      <c r="P321" s="285" t="n"/>
      <c r="Q321" s="285" t="n"/>
      <c r="R321" s="284" t="n"/>
      <c r="S321" s="284" t="n"/>
      <c r="T321" s="285" t="n"/>
      <c r="U321" s="285" t="n"/>
      <c r="V321" s="285" t="n"/>
      <c r="W321" s="285" t="n"/>
      <c r="X321" s="285" t="n"/>
      <c r="Y321" s="285" t="n"/>
      <c r="Z321" s="285" t="n"/>
    </row>
    <row r="322" ht="15.75" customHeight="1" s="398">
      <c r="A322" s="284" t="n"/>
      <c r="B322" s="285" t="n"/>
      <c r="C322" s="284" t="n"/>
      <c r="D322" s="285" t="n"/>
      <c r="E322" s="354" t="n"/>
      <c r="F322" s="336" t="n"/>
      <c r="G322" s="336" t="n"/>
      <c r="H322" s="285" t="n"/>
      <c r="I322" s="285" t="n"/>
      <c r="J322" s="285" t="n"/>
      <c r="K322" s="285" t="n"/>
      <c r="L322" s="285" t="n"/>
      <c r="M322" s="285" t="n"/>
      <c r="N322" s="285" t="n"/>
      <c r="O322" s="285" t="n"/>
      <c r="P322" s="285" t="n"/>
      <c r="Q322" s="285" t="n"/>
      <c r="R322" s="284" t="n"/>
      <c r="S322" s="284" t="n"/>
      <c r="T322" s="285" t="n"/>
      <c r="U322" s="285" t="n"/>
      <c r="V322" s="285" t="n"/>
      <c r="W322" s="285" t="n"/>
      <c r="X322" s="285" t="n"/>
      <c r="Y322" s="285" t="n"/>
      <c r="Z322" s="285" t="n"/>
    </row>
    <row r="323" ht="15.75" customHeight="1" s="398">
      <c r="A323" s="284" t="n"/>
      <c r="B323" s="285" t="n"/>
      <c r="C323" s="284" t="n"/>
      <c r="D323" s="285" t="n"/>
      <c r="E323" s="354" t="n"/>
      <c r="F323" s="336" t="n"/>
      <c r="G323" s="336" t="n"/>
      <c r="H323" s="285" t="n"/>
      <c r="I323" s="285" t="n"/>
      <c r="J323" s="285" t="n"/>
      <c r="K323" s="285" t="n"/>
      <c r="L323" s="285" t="n"/>
      <c r="M323" s="285" t="n"/>
      <c r="N323" s="285" t="n"/>
      <c r="O323" s="285" t="n"/>
      <c r="P323" s="285" t="n"/>
      <c r="Q323" s="285" t="n"/>
      <c r="R323" s="284" t="n"/>
      <c r="S323" s="284" t="n"/>
      <c r="T323" s="285" t="n"/>
      <c r="U323" s="285" t="n"/>
      <c r="V323" s="285" t="n"/>
      <c r="W323" s="285" t="n"/>
      <c r="X323" s="285" t="n"/>
      <c r="Y323" s="285" t="n"/>
      <c r="Z323" s="285" t="n"/>
    </row>
    <row r="324" ht="15.75" customHeight="1" s="398">
      <c r="A324" s="284" t="n"/>
      <c r="B324" s="285" t="n"/>
      <c r="C324" s="284" t="n"/>
      <c r="D324" s="285" t="n"/>
      <c r="E324" s="354" t="n"/>
      <c r="F324" s="336" t="n"/>
      <c r="G324" s="336" t="n"/>
      <c r="H324" s="285" t="n"/>
      <c r="I324" s="285" t="n"/>
      <c r="J324" s="285" t="n"/>
      <c r="K324" s="285" t="n"/>
      <c r="L324" s="285" t="n"/>
      <c r="M324" s="285" t="n"/>
      <c r="N324" s="285" t="n"/>
      <c r="O324" s="285" t="n"/>
      <c r="P324" s="285" t="n"/>
      <c r="Q324" s="285" t="n"/>
      <c r="R324" s="284" t="n"/>
      <c r="S324" s="284" t="n"/>
      <c r="T324" s="285" t="n"/>
      <c r="U324" s="285" t="n"/>
      <c r="V324" s="285" t="n"/>
      <c r="W324" s="285" t="n"/>
      <c r="X324" s="285" t="n"/>
      <c r="Y324" s="285" t="n"/>
      <c r="Z324" s="285" t="n"/>
    </row>
    <row r="325" ht="15.75" customHeight="1" s="398">
      <c r="A325" s="284" t="n"/>
      <c r="B325" s="285" t="n"/>
      <c r="C325" s="284" t="n"/>
      <c r="D325" s="285" t="n"/>
      <c r="E325" s="354" t="n"/>
      <c r="F325" s="336" t="n"/>
      <c r="G325" s="336" t="n"/>
      <c r="H325" s="285" t="n"/>
      <c r="I325" s="285" t="n"/>
      <c r="J325" s="285" t="n"/>
      <c r="K325" s="285" t="n"/>
      <c r="L325" s="285" t="n"/>
      <c r="M325" s="285" t="n"/>
      <c r="N325" s="285" t="n"/>
      <c r="O325" s="285" t="n"/>
      <c r="P325" s="285" t="n"/>
      <c r="Q325" s="285" t="n"/>
      <c r="R325" s="284" t="n"/>
      <c r="S325" s="284" t="n"/>
      <c r="T325" s="285" t="n"/>
      <c r="U325" s="285" t="n"/>
      <c r="V325" s="285" t="n"/>
      <c r="W325" s="285" t="n"/>
      <c r="X325" s="285" t="n"/>
      <c r="Y325" s="285" t="n"/>
      <c r="Z325" s="285" t="n"/>
    </row>
    <row r="326" ht="15.75" customHeight="1" s="398">
      <c r="A326" s="284" t="n"/>
      <c r="B326" s="285" t="n"/>
      <c r="C326" s="284" t="n"/>
      <c r="D326" s="285" t="n"/>
      <c r="E326" s="354" t="n"/>
      <c r="F326" s="336" t="n"/>
      <c r="G326" s="336" t="n"/>
      <c r="H326" s="285" t="n"/>
      <c r="I326" s="285" t="n"/>
      <c r="J326" s="285" t="n"/>
      <c r="K326" s="285" t="n"/>
      <c r="L326" s="285" t="n"/>
      <c r="M326" s="285" t="n"/>
      <c r="N326" s="285" t="n"/>
      <c r="O326" s="285" t="n"/>
      <c r="P326" s="285" t="n"/>
      <c r="Q326" s="285" t="n"/>
      <c r="R326" s="284" t="n"/>
      <c r="S326" s="284" t="n"/>
      <c r="T326" s="285" t="n"/>
      <c r="U326" s="285" t="n"/>
      <c r="V326" s="285" t="n"/>
      <c r="W326" s="285" t="n"/>
      <c r="X326" s="285" t="n"/>
      <c r="Y326" s="285" t="n"/>
      <c r="Z326" s="285" t="n"/>
    </row>
    <row r="327" ht="15.75" customHeight="1" s="398">
      <c r="A327" s="284" t="n"/>
      <c r="B327" s="285" t="n"/>
      <c r="C327" s="284" t="n"/>
      <c r="D327" s="285" t="n"/>
      <c r="E327" s="354" t="n"/>
      <c r="F327" s="336" t="n"/>
      <c r="G327" s="336" t="n"/>
      <c r="H327" s="285" t="n"/>
      <c r="I327" s="285" t="n"/>
      <c r="J327" s="285" t="n"/>
      <c r="K327" s="285" t="n"/>
      <c r="L327" s="285" t="n"/>
      <c r="M327" s="285" t="n"/>
      <c r="N327" s="285" t="n"/>
      <c r="O327" s="285" t="n"/>
      <c r="P327" s="285" t="n"/>
      <c r="Q327" s="285" t="n"/>
      <c r="R327" s="284" t="n"/>
      <c r="S327" s="284" t="n"/>
      <c r="T327" s="285" t="n"/>
      <c r="U327" s="285" t="n"/>
      <c r="V327" s="285" t="n"/>
      <c r="W327" s="285" t="n"/>
      <c r="X327" s="285" t="n"/>
      <c r="Y327" s="285" t="n"/>
      <c r="Z327" s="285" t="n"/>
    </row>
    <row r="328" ht="15.75" customHeight="1" s="398">
      <c r="A328" s="284" t="n"/>
      <c r="B328" s="285" t="n"/>
      <c r="C328" s="284" t="n"/>
      <c r="D328" s="285" t="n"/>
      <c r="E328" s="354" t="n"/>
      <c r="F328" s="336" t="n"/>
      <c r="G328" s="336" t="n"/>
      <c r="H328" s="285" t="n"/>
      <c r="I328" s="285" t="n"/>
      <c r="J328" s="285" t="n"/>
      <c r="K328" s="285" t="n"/>
      <c r="L328" s="285" t="n"/>
      <c r="M328" s="285" t="n"/>
      <c r="N328" s="285" t="n"/>
      <c r="O328" s="285" t="n"/>
      <c r="P328" s="285" t="n"/>
      <c r="Q328" s="285" t="n"/>
      <c r="R328" s="284" t="n"/>
      <c r="S328" s="284" t="n"/>
      <c r="T328" s="285" t="n"/>
      <c r="U328" s="285" t="n"/>
      <c r="V328" s="285" t="n"/>
      <c r="W328" s="285" t="n"/>
      <c r="X328" s="285" t="n"/>
      <c r="Y328" s="285" t="n"/>
      <c r="Z328" s="285" t="n"/>
    </row>
    <row r="329" ht="15.75" customHeight="1" s="398">
      <c r="A329" s="284" t="n"/>
      <c r="B329" s="285" t="n"/>
      <c r="C329" s="284" t="n"/>
      <c r="D329" s="285" t="n"/>
      <c r="E329" s="354" t="n"/>
      <c r="F329" s="336" t="n"/>
      <c r="G329" s="336" t="n"/>
      <c r="H329" s="285" t="n"/>
      <c r="I329" s="285" t="n"/>
      <c r="J329" s="285" t="n"/>
      <c r="K329" s="285" t="n"/>
      <c r="L329" s="285" t="n"/>
      <c r="M329" s="285" t="n"/>
      <c r="N329" s="285" t="n"/>
      <c r="O329" s="285" t="n"/>
      <c r="P329" s="285" t="n"/>
      <c r="Q329" s="285" t="n"/>
      <c r="R329" s="284" t="n"/>
      <c r="S329" s="284" t="n"/>
      <c r="T329" s="285" t="n"/>
      <c r="U329" s="285" t="n"/>
      <c r="V329" s="285" t="n"/>
      <c r="W329" s="285" t="n"/>
      <c r="X329" s="285" t="n"/>
      <c r="Y329" s="285" t="n"/>
      <c r="Z329" s="285" t="n"/>
    </row>
    <row r="330" ht="15.75" customHeight="1" s="398">
      <c r="A330" s="284" t="n"/>
      <c r="B330" s="285" t="n"/>
      <c r="C330" s="284" t="n"/>
      <c r="D330" s="285" t="n"/>
      <c r="E330" s="354" t="n"/>
      <c r="F330" s="336" t="n"/>
      <c r="G330" s="336" t="n"/>
      <c r="H330" s="285" t="n"/>
      <c r="I330" s="285" t="n"/>
      <c r="J330" s="285" t="n"/>
      <c r="K330" s="285" t="n"/>
      <c r="L330" s="285" t="n"/>
      <c r="M330" s="285" t="n"/>
      <c r="N330" s="285" t="n"/>
      <c r="O330" s="285" t="n"/>
      <c r="P330" s="285" t="n"/>
      <c r="Q330" s="285" t="n"/>
      <c r="R330" s="284" t="n"/>
      <c r="S330" s="284" t="n"/>
      <c r="T330" s="285" t="n"/>
      <c r="U330" s="285" t="n"/>
      <c r="V330" s="285" t="n"/>
      <c r="W330" s="285" t="n"/>
      <c r="X330" s="285" t="n"/>
      <c r="Y330" s="285" t="n"/>
      <c r="Z330" s="285" t="n"/>
    </row>
    <row r="331" ht="15.75" customHeight="1" s="398">
      <c r="A331" s="284" t="n"/>
      <c r="B331" s="285" t="n"/>
      <c r="C331" s="284" t="n"/>
      <c r="D331" s="285" t="n"/>
      <c r="E331" s="354" t="n"/>
      <c r="F331" s="336" t="n"/>
      <c r="G331" s="336" t="n"/>
      <c r="H331" s="285" t="n"/>
      <c r="I331" s="285" t="n"/>
      <c r="J331" s="285" t="n"/>
      <c r="K331" s="285" t="n"/>
      <c r="L331" s="285" t="n"/>
      <c r="M331" s="285" t="n"/>
      <c r="N331" s="285" t="n"/>
      <c r="O331" s="285" t="n"/>
      <c r="P331" s="285" t="n"/>
      <c r="Q331" s="285" t="n"/>
      <c r="R331" s="284" t="n"/>
      <c r="S331" s="284" t="n"/>
      <c r="T331" s="285" t="n"/>
      <c r="U331" s="285" t="n"/>
      <c r="V331" s="285" t="n"/>
      <c r="W331" s="285" t="n"/>
      <c r="X331" s="285" t="n"/>
      <c r="Y331" s="285" t="n"/>
      <c r="Z331" s="285" t="n"/>
    </row>
    <row r="332" ht="15.75" customHeight="1" s="398">
      <c r="A332" s="284" t="n"/>
      <c r="B332" s="285" t="n"/>
      <c r="C332" s="284" t="n"/>
      <c r="D332" s="285" t="n"/>
      <c r="E332" s="354" t="n"/>
      <c r="F332" s="336" t="n"/>
      <c r="G332" s="336" t="n"/>
      <c r="H332" s="285" t="n"/>
      <c r="I332" s="285" t="n"/>
      <c r="J332" s="285" t="n"/>
      <c r="K332" s="285" t="n"/>
      <c r="L332" s="285" t="n"/>
      <c r="M332" s="285" t="n"/>
      <c r="N332" s="285" t="n"/>
      <c r="O332" s="285" t="n"/>
      <c r="P332" s="285" t="n"/>
      <c r="Q332" s="285" t="n"/>
      <c r="R332" s="284" t="n"/>
      <c r="S332" s="284" t="n"/>
      <c r="T332" s="285" t="n"/>
      <c r="U332" s="285" t="n"/>
      <c r="V332" s="285" t="n"/>
      <c r="W332" s="285" t="n"/>
      <c r="X332" s="285" t="n"/>
      <c r="Y332" s="285" t="n"/>
      <c r="Z332" s="285" t="n"/>
    </row>
    <row r="333" ht="15.75" customHeight="1" s="398">
      <c r="A333" s="284" t="n"/>
      <c r="B333" s="285" t="n"/>
      <c r="C333" s="284" t="n"/>
      <c r="D333" s="285" t="n"/>
      <c r="E333" s="354" t="n"/>
      <c r="F333" s="336" t="n"/>
      <c r="G333" s="336" t="n"/>
      <c r="H333" s="285" t="n"/>
      <c r="I333" s="285" t="n"/>
      <c r="J333" s="285" t="n"/>
      <c r="K333" s="285" t="n"/>
      <c r="L333" s="285" t="n"/>
      <c r="M333" s="285" t="n"/>
      <c r="N333" s="285" t="n"/>
      <c r="O333" s="285" t="n"/>
      <c r="P333" s="285" t="n"/>
      <c r="Q333" s="285" t="n"/>
      <c r="R333" s="284" t="n"/>
      <c r="S333" s="284" t="n"/>
      <c r="T333" s="285" t="n"/>
      <c r="U333" s="285" t="n"/>
      <c r="V333" s="285" t="n"/>
      <c r="W333" s="285" t="n"/>
      <c r="X333" s="285" t="n"/>
      <c r="Y333" s="285" t="n"/>
      <c r="Z333" s="285" t="n"/>
    </row>
    <row r="334" ht="15.75" customHeight="1" s="398">
      <c r="A334" s="284" t="n"/>
      <c r="B334" s="285" t="n"/>
      <c r="C334" s="284" t="n"/>
      <c r="D334" s="285" t="n"/>
      <c r="E334" s="354" t="n"/>
      <c r="F334" s="336" t="n"/>
      <c r="G334" s="336" t="n"/>
      <c r="H334" s="285" t="n"/>
      <c r="I334" s="285" t="n"/>
      <c r="J334" s="285" t="n"/>
      <c r="K334" s="285" t="n"/>
      <c r="L334" s="285" t="n"/>
      <c r="M334" s="285" t="n"/>
      <c r="N334" s="285" t="n"/>
      <c r="O334" s="285" t="n"/>
      <c r="P334" s="285" t="n"/>
      <c r="Q334" s="285" t="n"/>
      <c r="R334" s="284" t="n"/>
      <c r="S334" s="284" t="n"/>
      <c r="T334" s="285" t="n"/>
      <c r="U334" s="285" t="n"/>
      <c r="V334" s="285" t="n"/>
      <c r="W334" s="285" t="n"/>
      <c r="X334" s="285" t="n"/>
      <c r="Y334" s="285" t="n"/>
      <c r="Z334" s="285" t="n"/>
    </row>
    <row r="335" ht="15.75" customHeight="1" s="398">
      <c r="A335" s="284" t="n"/>
      <c r="B335" s="285" t="n"/>
      <c r="C335" s="284" t="n"/>
      <c r="D335" s="285" t="n"/>
      <c r="E335" s="354" t="n"/>
      <c r="F335" s="336" t="n"/>
      <c r="G335" s="336" t="n"/>
      <c r="H335" s="285" t="n"/>
      <c r="I335" s="285" t="n"/>
      <c r="J335" s="285" t="n"/>
      <c r="K335" s="285" t="n"/>
      <c r="L335" s="285" t="n"/>
      <c r="M335" s="285" t="n"/>
      <c r="N335" s="285" t="n"/>
      <c r="O335" s="285" t="n"/>
      <c r="P335" s="285" t="n"/>
      <c r="Q335" s="285" t="n"/>
      <c r="R335" s="284" t="n"/>
      <c r="S335" s="284" t="n"/>
      <c r="T335" s="285" t="n"/>
      <c r="U335" s="285" t="n"/>
      <c r="V335" s="285" t="n"/>
      <c r="W335" s="285" t="n"/>
      <c r="X335" s="285" t="n"/>
      <c r="Y335" s="285" t="n"/>
      <c r="Z335" s="285" t="n"/>
    </row>
    <row r="336" ht="15.75" customHeight="1" s="398">
      <c r="A336" s="284" t="n"/>
      <c r="B336" s="285" t="n"/>
      <c r="C336" s="284" t="n"/>
      <c r="D336" s="285" t="n"/>
      <c r="E336" s="354" t="n"/>
      <c r="F336" s="336" t="n"/>
      <c r="G336" s="336" t="n"/>
      <c r="H336" s="285" t="n"/>
      <c r="I336" s="285" t="n"/>
      <c r="J336" s="285" t="n"/>
      <c r="K336" s="285" t="n"/>
      <c r="L336" s="285" t="n"/>
      <c r="M336" s="285" t="n"/>
      <c r="N336" s="285" t="n"/>
      <c r="O336" s="285" t="n"/>
      <c r="P336" s="285" t="n"/>
      <c r="Q336" s="285" t="n"/>
      <c r="R336" s="284" t="n"/>
      <c r="S336" s="284" t="n"/>
      <c r="T336" s="285" t="n"/>
      <c r="U336" s="285" t="n"/>
      <c r="V336" s="285" t="n"/>
      <c r="W336" s="285" t="n"/>
      <c r="X336" s="285" t="n"/>
      <c r="Y336" s="285" t="n"/>
      <c r="Z336" s="285" t="n"/>
    </row>
    <row r="337" ht="15.75" customHeight="1" s="398">
      <c r="A337" s="284" t="n"/>
      <c r="B337" s="285" t="n"/>
      <c r="C337" s="284" t="n"/>
      <c r="D337" s="285" t="n"/>
      <c r="E337" s="354" t="n"/>
      <c r="F337" s="336" t="n"/>
      <c r="G337" s="336" t="n"/>
      <c r="H337" s="285" t="n"/>
      <c r="I337" s="285" t="n"/>
      <c r="J337" s="285" t="n"/>
      <c r="K337" s="285" t="n"/>
      <c r="L337" s="285" t="n"/>
      <c r="M337" s="285" t="n"/>
      <c r="N337" s="285" t="n"/>
      <c r="O337" s="285" t="n"/>
      <c r="P337" s="285" t="n"/>
      <c r="Q337" s="285" t="n"/>
      <c r="R337" s="284" t="n"/>
      <c r="S337" s="284" t="n"/>
      <c r="T337" s="285" t="n"/>
      <c r="U337" s="285" t="n"/>
      <c r="V337" s="285" t="n"/>
      <c r="W337" s="285" t="n"/>
      <c r="X337" s="285" t="n"/>
      <c r="Y337" s="285" t="n"/>
      <c r="Z337" s="285" t="n"/>
    </row>
    <row r="338" ht="15.75" customHeight="1" s="398">
      <c r="A338" s="284" t="n"/>
      <c r="B338" s="285" t="n"/>
      <c r="C338" s="284" t="n"/>
      <c r="D338" s="285" t="n"/>
      <c r="E338" s="354" t="n"/>
      <c r="F338" s="336" t="n"/>
      <c r="G338" s="336" t="n"/>
      <c r="H338" s="285" t="n"/>
      <c r="I338" s="285" t="n"/>
      <c r="J338" s="285" t="n"/>
      <c r="K338" s="285" t="n"/>
      <c r="L338" s="285" t="n"/>
      <c r="M338" s="285" t="n"/>
      <c r="N338" s="285" t="n"/>
      <c r="O338" s="285" t="n"/>
      <c r="P338" s="285" t="n"/>
      <c r="Q338" s="285" t="n"/>
      <c r="R338" s="284" t="n"/>
      <c r="S338" s="284" t="n"/>
      <c r="T338" s="285" t="n"/>
      <c r="U338" s="285" t="n"/>
      <c r="V338" s="285" t="n"/>
      <c r="W338" s="285" t="n"/>
      <c r="X338" s="285" t="n"/>
      <c r="Y338" s="285" t="n"/>
      <c r="Z338" s="285" t="n"/>
    </row>
    <row r="339" ht="15.75" customHeight="1" s="398">
      <c r="A339" s="284" t="n"/>
      <c r="B339" s="285" t="n"/>
      <c r="C339" s="284" t="n"/>
      <c r="D339" s="285" t="n"/>
      <c r="E339" s="354" t="n"/>
      <c r="F339" s="336" t="n"/>
      <c r="G339" s="336" t="n"/>
      <c r="H339" s="285" t="n"/>
      <c r="I339" s="285" t="n"/>
      <c r="J339" s="285" t="n"/>
      <c r="K339" s="285" t="n"/>
      <c r="L339" s="285" t="n"/>
      <c r="M339" s="285" t="n"/>
      <c r="N339" s="285" t="n"/>
      <c r="O339" s="285" t="n"/>
      <c r="P339" s="285" t="n"/>
      <c r="Q339" s="285" t="n"/>
      <c r="R339" s="284" t="n"/>
      <c r="S339" s="284" t="n"/>
      <c r="T339" s="285" t="n"/>
      <c r="U339" s="285" t="n"/>
      <c r="V339" s="285" t="n"/>
      <c r="W339" s="285" t="n"/>
      <c r="X339" s="285" t="n"/>
      <c r="Y339" s="285" t="n"/>
      <c r="Z339" s="285" t="n"/>
    </row>
    <row r="340" ht="15.75" customHeight="1" s="398">
      <c r="A340" s="284" t="n"/>
      <c r="B340" s="285" t="n"/>
      <c r="C340" s="284" t="n"/>
      <c r="D340" s="285" t="n"/>
      <c r="E340" s="354" t="n"/>
      <c r="F340" s="336" t="n"/>
      <c r="G340" s="336" t="n"/>
      <c r="H340" s="285" t="n"/>
      <c r="I340" s="285" t="n"/>
      <c r="J340" s="285" t="n"/>
      <c r="K340" s="285" t="n"/>
      <c r="L340" s="285" t="n"/>
      <c r="M340" s="285" t="n"/>
      <c r="N340" s="285" t="n"/>
      <c r="O340" s="285" t="n"/>
      <c r="P340" s="285" t="n"/>
      <c r="Q340" s="285" t="n"/>
      <c r="R340" s="284" t="n"/>
      <c r="S340" s="284" t="n"/>
      <c r="T340" s="285" t="n"/>
      <c r="U340" s="285" t="n"/>
      <c r="V340" s="285" t="n"/>
      <c r="W340" s="285" t="n"/>
      <c r="X340" s="285" t="n"/>
      <c r="Y340" s="285" t="n"/>
      <c r="Z340" s="285" t="n"/>
    </row>
    <row r="341" ht="15.75" customHeight="1" s="398">
      <c r="A341" s="284" t="n"/>
      <c r="B341" s="285" t="n"/>
      <c r="C341" s="284" t="n"/>
      <c r="D341" s="285" t="n"/>
      <c r="E341" s="354" t="n"/>
      <c r="F341" s="336" t="n"/>
      <c r="G341" s="336" t="n"/>
      <c r="H341" s="285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84" t="n"/>
      <c r="S341" s="284" t="n"/>
      <c r="T341" s="285" t="n"/>
      <c r="U341" s="285" t="n"/>
      <c r="V341" s="285" t="n"/>
      <c r="W341" s="285" t="n"/>
      <c r="X341" s="285" t="n"/>
      <c r="Y341" s="285" t="n"/>
      <c r="Z341" s="285" t="n"/>
    </row>
    <row r="342" ht="15.75" customHeight="1" s="398">
      <c r="A342" s="284" t="n"/>
      <c r="B342" s="285" t="n"/>
      <c r="C342" s="284" t="n"/>
      <c r="D342" s="285" t="n"/>
      <c r="E342" s="354" t="n"/>
      <c r="F342" s="336" t="n"/>
      <c r="G342" s="336" t="n"/>
      <c r="H342" s="285" t="n"/>
      <c r="I342" s="285" t="n"/>
      <c r="J342" s="285" t="n"/>
      <c r="K342" s="285" t="n"/>
      <c r="L342" s="285" t="n"/>
      <c r="M342" s="285" t="n"/>
      <c r="N342" s="285" t="n"/>
      <c r="O342" s="285" t="n"/>
      <c r="P342" s="285" t="n"/>
      <c r="Q342" s="285" t="n"/>
      <c r="R342" s="284" t="n"/>
      <c r="S342" s="284" t="n"/>
      <c r="T342" s="285" t="n"/>
      <c r="U342" s="285" t="n"/>
      <c r="V342" s="285" t="n"/>
      <c r="W342" s="285" t="n"/>
      <c r="X342" s="285" t="n"/>
      <c r="Y342" s="285" t="n"/>
      <c r="Z342" s="285" t="n"/>
    </row>
    <row r="343" ht="15.75" customHeight="1" s="398">
      <c r="A343" s="284" t="n"/>
      <c r="B343" s="285" t="n"/>
      <c r="C343" s="284" t="n"/>
      <c r="D343" s="285" t="n"/>
      <c r="E343" s="354" t="n"/>
      <c r="F343" s="336" t="n"/>
      <c r="G343" s="336" t="n"/>
      <c r="H343" s="285" t="n"/>
      <c r="I343" s="285" t="n"/>
      <c r="J343" s="285" t="n"/>
      <c r="K343" s="285" t="n"/>
      <c r="L343" s="285" t="n"/>
      <c r="M343" s="285" t="n"/>
      <c r="N343" s="285" t="n"/>
      <c r="O343" s="285" t="n"/>
      <c r="P343" s="285" t="n"/>
      <c r="Q343" s="285" t="n"/>
      <c r="R343" s="284" t="n"/>
      <c r="S343" s="284" t="n"/>
      <c r="T343" s="285" t="n"/>
      <c r="U343" s="285" t="n"/>
      <c r="V343" s="285" t="n"/>
      <c r="W343" s="285" t="n"/>
      <c r="X343" s="285" t="n"/>
      <c r="Y343" s="285" t="n"/>
      <c r="Z343" s="285" t="n"/>
    </row>
    <row r="344" ht="15.75" customHeight="1" s="398">
      <c r="A344" s="284" t="n"/>
      <c r="B344" s="285" t="n"/>
      <c r="C344" s="284" t="n"/>
      <c r="D344" s="285" t="n"/>
      <c r="E344" s="354" t="n"/>
      <c r="F344" s="336" t="n"/>
      <c r="G344" s="336" t="n"/>
      <c r="H344" s="285" t="n"/>
      <c r="I344" s="285" t="n"/>
      <c r="J344" s="285" t="n"/>
      <c r="K344" s="285" t="n"/>
      <c r="L344" s="285" t="n"/>
      <c r="M344" s="285" t="n"/>
      <c r="N344" s="285" t="n"/>
      <c r="O344" s="285" t="n"/>
      <c r="P344" s="285" t="n"/>
      <c r="Q344" s="285" t="n"/>
      <c r="R344" s="284" t="n"/>
      <c r="S344" s="284" t="n"/>
      <c r="T344" s="285" t="n"/>
      <c r="U344" s="285" t="n"/>
      <c r="V344" s="285" t="n"/>
      <c r="W344" s="285" t="n"/>
      <c r="X344" s="285" t="n"/>
      <c r="Y344" s="285" t="n"/>
      <c r="Z344" s="285" t="n"/>
    </row>
    <row r="345" ht="15.75" customHeight="1" s="398">
      <c r="A345" s="284" t="n"/>
      <c r="B345" s="285" t="n"/>
      <c r="C345" s="284" t="n"/>
      <c r="D345" s="285" t="n"/>
      <c r="E345" s="354" t="n"/>
      <c r="F345" s="336" t="n"/>
      <c r="G345" s="336" t="n"/>
      <c r="H345" s="285" t="n"/>
      <c r="I345" s="285" t="n"/>
      <c r="J345" s="285" t="n"/>
      <c r="K345" s="285" t="n"/>
      <c r="L345" s="285" t="n"/>
      <c r="M345" s="285" t="n"/>
      <c r="N345" s="285" t="n"/>
      <c r="O345" s="285" t="n"/>
      <c r="P345" s="285" t="n"/>
      <c r="Q345" s="285" t="n"/>
      <c r="R345" s="284" t="n"/>
      <c r="S345" s="284" t="n"/>
      <c r="T345" s="285" t="n"/>
      <c r="U345" s="285" t="n"/>
      <c r="V345" s="285" t="n"/>
      <c r="W345" s="285" t="n"/>
      <c r="X345" s="285" t="n"/>
      <c r="Y345" s="285" t="n"/>
      <c r="Z345" s="285" t="n"/>
    </row>
    <row r="346" ht="15.75" customHeight="1" s="398">
      <c r="A346" s="284" t="n"/>
      <c r="B346" s="285" t="n"/>
      <c r="C346" s="284" t="n"/>
      <c r="D346" s="285" t="n"/>
      <c r="E346" s="354" t="n"/>
      <c r="F346" s="336" t="n"/>
      <c r="G346" s="336" t="n"/>
      <c r="H346" s="285" t="n"/>
      <c r="I346" s="285" t="n"/>
      <c r="J346" s="285" t="n"/>
      <c r="K346" s="285" t="n"/>
      <c r="L346" s="285" t="n"/>
      <c r="M346" s="285" t="n"/>
      <c r="N346" s="285" t="n"/>
      <c r="O346" s="285" t="n"/>
      <c r="P346" s="285" t="n"/>
      <c r="Q346" s="285" t="n"/>
      <c r="R346" s="284" t="n"/>
      <c r="S346" s="284" t="n"/>
      <c r="T346" s="285" t="n"/>
      <c r="U346" s="285" t="n"/>
      <c r="V346" s="285" t="n"/>
      <c r="W346" s="285" t="n"/>
      <c r="X346" s="285" t="n"/>
      <c r="Y346" s="285" t="n"/>
      <c r="Z346" s="285" t="n"/>
    </row>
    <row r="347" ht="15.75" customHeight="1" s="398">
      <c r="A347" s="284" t="n"/>
      <c r="B347" s="285" t="n"/>
      <c r="C347" s="284" t="n"/>
      <c r="D347" s="285" t="n"/>
      <c r="E347" s="354" t="n"/>
      <c r="F347" s="336" t="n"/>
      <c r="G347" s="336" t="n"/>
      <c r="H347" s="285" t="n"/>
      <c r="I347" s="285" t="n"/>
      <c r="J347" s="285" t="n"/>
      <c r="K347" s="285" t="n"/>
      <c r="L347" s="285" t="n"/>
      <c r="M347" s="285" t="n"/>
      <c r="N347" s="285" t="n"/>
      <c r="O347" s="285" t="n"/>
      <c r="P347" s="285" t="n"/>
      <c r="Q347" s="285" t="n"/>
      <c r="R347" s="284" t="n"/>
      <c r="S347" s="284" t="n"/>
      <c r="T347" s="285" t="n"/>
      <c r="U347" s="285" t="n"/>
      <c r="V347" s="285" t="n"/>
      <c r="W347" s="285" t="n"/>
      <c r="X347" s="285" t="n"/>
      <c r="Y347" s="285" t="n"/>
      <c r="Z347" s="285" t="n"/>
    </row>
    <row r="348" ht="15.75" customHeight="1" s="398">
      <c r="A348" s="284" t="n"/>
      <c r="B348" s="285" t="n"/>
      <c r="C348" s="284" t="n"/>
      <c r="D348" s="285" t="n"/>
      <c r="E348" s="354" t="n"/>
      <c r="F348" s="336" t="n"/>
      <c r="G348" s="336" t="n"/>
      <c r="H348" s="285" t="n"/>
      <c r="I348" s="285" t="n"/>
      <c r="J348" s="285" t="n"/>
      <c r="K348" s="285" t="n"/>
      <c r="L348" s="285" t="n"/>
      <c r="M348" s="285" t="n"/>
      <c r="N348" s="285" t="n"/>
      <c r="O348" s="285" t="n"/>
      <c r="P348" s="285" t="n"/>
      <c r="Q348" s="285" t="n"/>
      <c r="R348" s="284" t="n"/>
      <c r="S348" s="284" t="n"/>
      <c r="T348" s="285" t="n"/>
      <c r="U348" s="285" t="n"/>
      <c r="V348" s="285" t="n"/>
      <c r="W348" s="285" t="n"/>
      <c r="X348" s="285" t="n"/>
      <c r="Y348" s="285" t="n"/>
      <c r="Z348" s="285" t="n"/>
    </row>
    <row r="349" ht="15.75" customHeight="1" s="398">
      <c r="A349" s="284" t="n"/>
      <c r="B349" s="285" t="n"/>
      <c r="C349" s="284" t="n"/>
      <c r="D349" s="285" t="n"/>
      <c r="E349" s="354" t="n"/>
      <c r="F349" s="336" t="n"/>
      <c r="G349" s="336" t="n"/>
      <c r="H349" s="285" t="n"/>
      <c r="I349" s="285" t="n"/>
      <c r="J349" s="285" t="n"/>
      <c r="K349" s="285" t="n"/>
      <c r="L349" s="285" t="n"/>
      <c r="M349" s="285" t="n"/>
      <c r="N349" s="285" t="n"/>
      <c r="O349" s="285" t="n"/>
      <c r="P349" s="285" t="n"/>
      <c r="Q349" s="285" t="n"/>
      <c r="R349" s="284" t="n"/>
      <c r="S349" s="284" t="n"/>
      <c r="T349" s="285" t="n"/>
      <c r="U349" s="285" t="n"/>
      <c r="V349" s="285" t="n"/>
      <c r="W349" s="285" t="n"/>
      <c r="X349" s="285" t="n"/>
      <c r="Y349" s="285" t="n"/>
      <c r="Z349" s="285" t="n"/>
    </row>
    <row r="350" ht="15.75" customHeight="1" s="398">
      <c r="A350" s="284" t="n"/>
      <c r="B350" s="285" t="n"/>
      <c r="C350" s="284" t="n"/>
      <c r="D350" s="285" t="n"/>
      <c r="E350" s="354" t="n"/>
      <c r="F350" s="336" t="n"/>
      <c r="G350" s="336" t="n"/>
      <c r="H350" s="285" t="n"/>
      <c r="I350" s="285" t="n"/>
      <c r="J350" s="285" t="n"/>
      <c r="K350" s="285" t="n"/>
      <c r="L350" s="285" t="n"/>
      <c r="M350" s="285" t="n"/>
      <c r="N350" s="285" t="n"/>
      <c r="O350" s="285" t="n"/>
      <c r="P350" s="285" t="n"/>
      <c r="Q350" s="285" t="n"/>
      <c r="R350" s="284" t="n"/>
      <c r="S350" s="284" t="n"/>
      <c r="T350" s="285" t="n"/>
      <c r="U350" s="285" t="n"/>
      <c r="V350" s="285" t="n"/>
      <c r="W350" s="285" t="n"/>
      <c r="X350" s="285" t="n"/>
      <c r="Y350" s="285" t="n"/>
      <c r="Z350" s="285" t="n"/>
    </row>
    <row r="351" ht="15.75" customHeight="1" s="398">
      <c r="A351" s="284" t="n"/>
      <c r="B351" s="285" t="n"/>
      <c r="C351" s="284" t="n"/>
      <c r="D351" s="285" t="n"/>
      <c r="E351" s="354" t="n"/>
      <c r="F351" s="336" t="n"/>
      <c r="G351" s="336" t="n"/>
      <c r="H351" s="285" t="n"/>
      <c r="I351" s="285" t="n"/>
      <c r="J351" s="285" t="n"/>
      <c r="K351" s="285" t="n"/>
      <c r="L351" s="285" t="n"/>
      <c r="M351" s="285" t="n"/>
      <c r="N351" s="285" t="n"/>
      <c r="O351" s="285" t="n"/>
      <c r="P351" s="285" t="n"/>
      <c r="Q351" s="285" t="n"/>
      <c r="R351" s="284" t="n"/>
      <c r="S351" s="284" t="n"/>
      <c r="T351" s="285" t="n"/>
      <c r="U351" s="285" t="n"/>
      <c r="V351" s="285" t="n"/>
      <c r="W351" s="285" t="n"/>
      <c r="X351" s="285" t="n"/>
      <c r="Y351" s="285" t="n"/>
      <c r="Z351" s="285" t="n"/>
    </row>
    <row r="352" ht="15.75" customHeight="1" s="398">
      <c r="A352" s="284" t="n"/>
      <c r="B352" s="285" t="n"/>
      <c r="C352" s="284" t="n"/>
      <c r="D352" s="285" t="n"/>
      <c r="E352" s="354" t="n"/>
      <c r="F352" s="336" t="n"/>
      <c r="G352" s="336" t="n"/>
      <c r="H352" s="285" t="n"/>
      <c r="I352" s="285" t="n"/>
      <c r="J352" s="285" t="n"/>
      <c r="K352" s="285" t="n"/>
      <c r="L352" s="285" t="n"/>
      <c r="M352" s="285" t="n"/>
      <c r="N352" s="285" t="n"/>
      <c r="O352" s="285" t="n"/>
      <c r="P352" s="285" t="n"/>
      <c r="Q352" s="285" t="n"/>
      <c r="R352" s="284" t="n"/>
      <c r="S352" s="284" t="n"/>
      <c r="T352" s="285" t="n"/>
      <c r="U352" s="285" t="n"/>
      <c r="V352" s="285" t="n"/>
      <c r="W352" s="285" t="n"/>
      <c r="X352" s="285" t="n"/>
      <c r="Y352" s="285" t="n"/>
      <c r="Z352" s="285" t="n"/>
    </row>
    <row r="353" ht="15.75" customHeight="1" s="398">
      <c r="A353" s="284" t="n"/>
      <c r="B353" s="285" t="n"/>
      <c r="C353" s="284" t="n"/>
      <c r="D353" s="285" t="n"/>
      <c r="E353" s="354" t="n"/>
      <c r="F353" s="336" t="n"/>
      <c r="G353" s="336" t="n"/>
      <c r="H353" s="285" t="n"/>
      <c r="I353" s="285" t="n"/>
      <c r="J353" s="285" t="n"/>
      <c r="K353" s="285" t="n"/>
      <c r="L353" s="285" t="n"/>
      <c r="M353" s="285" t="n"/>
      <c r="N353" s="285" t="n"/>
      <c r="O353" s="285" t="n"/>
      <c r="P353" s="285" t="n"/>
      <c r="Q353" s="285" t="n"/>
      <c r="R353" s="284" t="n"/>
      <c r="S353" s="284" t="n"/>
      <c r="T353" s="285" t="n"/>
      <c r="U353" s="285" t="n"/>
      <c r="V353" s="285" t="n"/>
      <c r="W353" s="285" t="n"/>
      <c r="X353" s="285" t="n"/>
      <c r="Y353" s="285" t="n"/>
      <c r="Z353" s="285" t="n"/>
    </row>
    <row r="354" ht="15.75" customHeight="1" s="398">
      <c r="A354" s="284" t="n"/>
      <c r="B354" s="285" t="n"/>
      <c r="C354" s="284" t="n"/>
      <c r="D354" s="285" t="n"/>
      <c r="E354" s="354" t="n"/>
      <c r="F354" s="336" t="n"/>
      <c r="G354" s="336" t="n"/>
      <c r="H354" s="285" t="n"/>
      <c r="I354" s="285" t="n"/>
      <c r="J354" s="285" t="n"/>
      <c r="K354" s="285" t="n"/>
      <c r="L354" s="285" t="n"/>
      <c r="M354" s="285" t="n"/>
      <c r="N354" s="285" t="n"/>
      <c r="O354" s="285" t="n"/>
      <c r="P354" s="285" t="n"/>
      <c r="Q354" s="285" t="n"/>
      <c r="R354" s="284" t="n"/>
      <c r="S354" s="284" t="n"/>
      <c r="T354" s="285" t="n"/>
      <c r="U354" s="285" t="n"/>
      <c r="V354" s="285" t="n"/>
      <c r="W354" s="285" t="n"/>
      <c r="X354" s="285" t="n"/>
      <c r="Y354" s="285" t="n"/>
      <c r="Z354" s="285" t="n"/>
    </row>
    <row r="355" ht="15.75" customHeight="1" s="398">
      <c r="A355" s="284" t="n"/>
      <c r="B355" s="285" t="n"/>
      <c r="C355" s="284" t="n"/>
      <c r="D355" s="285" t="n"/>
      <c r="E355" s="354" t="n"/>
      <c r="F355" s="336" t="n"/>
      <c r="G355" s="336" t="n"/>
      <c r="H355" s="285" t="n"/>
      <c r="I355" s="285" t="n"/>
      <c r="J355" s="285" t="n"/>
      <c r="K355" s="285" t="n"/>
      <c r="L355" s="285" t="n"/>
      <c r="M355" s="285" t="n"/>
      <c r="N355" s="285" t="n"/>
      <c r="O355" s="285" t="n"/>
      <c r="P355" s="285" t="n"/>
      <c r="Q355" s="285" t="n"/>
      <c r="R355" s="284" t="n"/>
      <c r="S355" s="284" t="n"/>
      <c r="T355" s="285" t="n"/>
      <c r="U355" s="285" t="n"/>
      <c r="V355" s="285" t="n"/>
      <c r="W355" s="285" t="n"/>
      <c r="X355" s="285" t="n"/>
      <c r="Y355" s="285" t="n"/>
      <c r="Z355" s="285" t="n"/>
    </row>
    <row r="356" ht="15.75" customHeight="1" s="398">
      <c r="A356" s="284" t="n"/>
      <c r="B356" s="285" t="n"/>
      <c r="C356" s="284" t="n"/>
      <c r="D356" s="285" t="n"/>
      <c r="E356" s="354" t="n"/>
      <c r="F356" s="336" t="n"/>
      <c r="G356" s="336" t="n"/>
      <c r="H356" s="285" t="n"/>
      <c r="I356" s="285" t="n"/>
      <c r="J356" s="285" t="n"/>
      <c r="K356" s="285" t="n"/>
      <c r="L356" s="285" t="n"/>
      <c r="M356" s="285" t="n"/>
      <c r="N356" s="285" t="n"/>
      <c r="O356" s="285" t="n"/>
      <c r="P356" s="285" t="n"/>
      <c r="Q356" s="285" t="n"/>
      <c r="R356" s="284" t="n"/>
      <c r="S356" s="284" t="n"/>
      <c r="T356" s="285" t="n"/>
      <c r="U356" s="285" t="n"/>
      <c r="V356" s="285" t="n"/>
      <c r="W356" s="285" t="n"/>
      <c r="X356" s="285" t="n"/>
      <c r="Y356" s="285" t="n"/>
      <c r="Z356" s="285" t="n"/>
    </row>
    <row r="357" ht="15.75" customHeight="1" s="398">
      <c r="A357" s="284" t="n"/>
      <c r="B357" s="285" t="n"/>
      <c r="C357" s="284" t="n"/>
      <c r="D357" s="285" t="n"/>
      <c r="E357" s="354" t="n"/>
      <c r="F357" s="336" t="n"/>
      <c r="G357" s="336" t="n"/>
      <c r="H357" s="285" t="n"/>
      <c r="I357" s="285" t="n"/>
      <c r="J357" s="285" t="n"/>
      <c r="K357" s="285" t="n"/>
      <c r="L357" s="285" t="n"/>
      <c r="M357" s="285" t="n"/>
      <c r="N357" s="285" t="n"/>
      <c r="O357" s="285" t="n"/>
      <c r="P357" s="285" t="n"/>
      <c r="Q357" s="285" t="n"/>
      <c r="R357" s="284" t="n"/>
      <c r="S357" s="284" t="n"/>
      <c r="T357" s="285" t="n"/>
      <c r="U357" s="285" t="n"/>
      <c r="V357" s="285" t="n"/>
      <c r="W357" s="285" t="n"/>
      <c r="X357" s="285" t="n"/>
      <c r="Y357" s="285" t="n"/>
      <c r="Z357" s="285" t="n"/>
    </row>
    <row r="358" ht="15.75" customHeight="1" s="398">
      <c r="A358" s="284" t="n"/>
      <c r="B358" s="285" t="n"/>
      <c r="C358" s="284" t="n"/>
      <c r="D358" s="285" t="n"/>
      <c r="E358" s="354" t="n"/>
      <c r="F358" s="336" t="n"/>
      <c r="G358" s="336" t="n"/>
      <c r="H358" s="285" t="n"/>
      <c r="I358" s="285" t="n"/>
      <c r="J358" s="285" t="n"/>
      <c r="K358" s="285" t="n"/>
      <c r="L358" s="285" t="n"/>
      <c r="M358" s="285" t="n"/>
      <c r="N358" s="285" t="n"/>
      <c r="O358" s="285" t="n"/>
      <c r="P358" s="285" t="n"/>
      <c r="Q358" s="285" t="n"/>
      <c r="R358" s="284" t="n"/>
      <c r="S358" s="284" t="n"/>
      <c r="T358" s="285" t="n"/>
      <c r="U358" s="285" t="n"/>
      <c r="V358" s="285" t="n"/>
      <c r="W358" s="285" t="n"/>
      <c r="X358" s="285" t="n"/>
      <c r="Y358" s="285" t="n"/>
      <c r="Z358" s="285" t="n"/>
    </row>
    <row r="359" ht="15.75" customHeight="1" s="398">
      <c r="A359" s="284" t="n"/>
      <c r="B359" s="285" t="n"/>
      <c r="C359" s="284" t="n"/>
      <c r="D359" s="285" t="n"/>
      <c r="E359" s="354" t="n"/>
      <c r="F359" s="336" t="n"/>
      <c r="G359" s="336" t="n"/>
      <c r="H359" s="285" t="n"/>
      <c r="I359" s="285" t="n"/>
      <c r="J359" s="285" t="n"/>
      <c r="K359" s="285" t="n"/>
      <c r="L359" s="285" t="n"/>
      <c r="M359" s="285" t="n"/>
      <c r="N359" s="285" t="n"/>
      <c r="O359" s="285" t="n"/>
      <c r="P359" s="285" t="n"/>
      <c r="Q359" s="285" t="n"/>
      <c r="R359" s="284" t="n"/>
      <c r="S359" s="284" t="n"/>
      <c r="T359" s="285" t="n"/>
      <c r="U359" s="285" t="n"/>
      <c r="V359" s="285" t="n"/>
      <c r="W359" s="285" t="n"/>
      <c r="X359" s="285" t="n"/>
      <c r="Y359" s="285" t="n"/>
      <c r="Z359" s="285" t="n"/>
    </row>
    <row r="360" ht="15.75" customHeight="1" s="398">
      <c r="A360" s="284" t="n"/>
      <c r="B360" s="285" t="n"/>
      <c r="C360" s="284" t="n"/>
      <c r="D360" s="285" t="n"/>
      <c r="E360" s="354" t="n"/>
      <c r="F360" s="336" t="n"/>
      <c r="G360" s="336" t="n"/>
      <c r="H360" s="285" t="n"/>
      <c r="I360" s="285" t="n"/>
      <c r="J360" s="285" t="n"/>
      <c r="K360" s="285" t="n"/>
      <c r="L360" s="285" t="n"/>
      <c r="M360" s="285" t="n"/>
      <c r="N360" s="285" t="n"/>
      <c r="O360" s="285" t="n"/>
      <c r="P360" s="285" t="n"/>
      <c r="Q360" s="285" t="n"/>
      <c r="R360" s="284" t="n"/>
      <c r="S360" s="284" t="n"/>
      <c r="T360" s="285" t="n"/>
      <c r="U360" s="285" t="n"/>
      <c r="V360" s="285" t="n"/>
      <c r="W360" s="285" t="n"/>
      <c r="X360" s="285" t="n"/>
      <c r="Y360" s="285" t="n"/>
      <c r="Z360" s="285" t="n"/>
    </row>
    <row r="361" ht="15.75" customHeight="1" s="398">
      <c r="A361" s="284" t="n"/>
      <c r="B361" s="285" t="n"/>
      <c r="C361" s="284" t="n"/>
      <c r="D361" s="285" t="n"/>
      <c r="E361" s="354" t="n"/>
      <c r="F361" s="336" t="n"/>
      <c r="G361" s="336" t="n"/>
      <c r="H361" s="285" t="n"/>
      <c r="I361" s="285" t="n"/>
      <c r="J361" s="285" t="n"/>
      <c r="K361" s="285" t="n"/>
      <c r="L361" s="285" t="n"/>
      <c r="M361" s="285" t="n"/>
      <c r="N361" s="285" t="n"/>
      <c r="O361" s="285" t="n"/>
      <c r="P361" s="285" t="n"/>
      <c r="Q361" s="285" t="n"/>
      <c r="R361" s="284" t="n"/>
      <c r="S361" s="284" t="n"/>
      <c r="T361" s="285" t="n"/>
      <c r="U361" s="285" t="n"/>
      <c r="V361" s="285" t="n"/>
      <c r="W361" s="285" t="n"/>
      <c r="X361" s="285" t="n"/>
      <c r="Y361" s="285" t="n"/>
      <c r="Z361" s="285" t="n"/>
    </row>
    <row r="362" ht="15.75" customHeight="1" s="398">
      <c r="A362" s="284" t="n"/>
      <c r="B362" s="285" t="n"/>
      <c r="C362" s="284" t="n"/>
      <c r="D362" s="285" t="n"/>
      <c r="E362" s="354" t="n"/>
      <c r="F362" s="336" t="n"/>
      <c r="G362" s="336" t="n"/>
      <c r="H362" s="285" t="n"/>
      <c r="I362" s="285" t="n"/>
      <c r="J362" s="285" t="n"/>
      <c r="K362" s="285" t="n"/>
      <c r="L362" s="285" t="n"/>
      <c r="M362" s="285" t="n"/>
      <c r="N362" s="285" t="n"/>
      <c r="O362" s="285" t="n"/>
      <c r="P362" s="285" t="n"/>
      <c r="Q362" s="285" t="n"/>
      <c r="R362" s="284" t="n"/>
      <c r="S362" s="284" t="n"/>
      <c r="T362" s="285" t="n"/>
      <c r="U362" s="285" t="n"/>
      <c r="V362" s="285" t="n"/>
      <c r="W362" s="285" t="n"/>
      <c r="X362" s="285" t="n"/>
      <c r="Y362" s="285" t="n"/>
      <c r="Z362" s="285" t="n"/>
    </row>
    <row r="363" ht="15.75" customHeight="1" s="398">
      <c r="A363" s="284" t="n"/>
      <c r="B363" s="285" t="n"/>
      <c r="C363" s="284" t="n"/>
      <c r="D363" s="285" t="n"/>
      <c r="E363" s="354" t="n"/>
      <c r="F363" s="336" t="n"/>
      <c r="G363" s="336" t="n"/>
      <c r="H363" s="285" t="n"/>
      <c r="I363" s="285" t="n"/>
      <c r="J363" s="285" t="n"/>
      <c r="K363" s="285" t="n"/>
      <c r="L363" s="285" t="n"/>
      <c r="M363" s="285" t="n"/>
      <c r="N363" s="285" t="n"/>
      <c r="O363" s="285" t="n"/>
      <c r="P363" s="285" t="n"/>
      <c r="Q363" s="285" t="n"/>
      <c r="R363" s="284" t="n"/>
      <c r="S363" s="284" t="n"/>
      <c r="T363" s="285" t="n"/>
      <c r="U363" s="285" t="n"/>
      <c r="V363" s="285" t="n"/>
      <c r="W363" s="285" t="n"/>
      <c r="X363" s="285" t="n"/>
      <c r="Y363" s="285" t="n"/>
      <c r="Z363" s="285" t="n"/>
    </row>
    <row r="364" ht="15.75" customHeight="1" s="398">
      <c r="A364" s="284" t="n"/>
      <c r="B364" s="285" t="n"/>
      <c r="C364" s="284" t="n"/>
      <c r="D364" s="285" t="n"/>
      <c r="E364" s="354" t="n"/>
      <c r="F364" s="336" t="n"/>
      <c r="G364" s="336" t="n"/>
      <c r="H364" s="285" t="n"/>
      <c r="I364" s="285" t="n"/>
      <c r="J364" s="285" t="n"/>
      <c r="K364" s="285" t="n"/>
      <c r="L364" s="285" t="n"/>
      <c r="M364" s="285" t="n"/>
      <c r="N364" s="285" t="n"/>
      <c r="O364" s="285" t="n"/>
      <c r="P364" s="285" t="n"/>
      <c r="Q364" s="285" t="n"/>
      <c r="R364" s="284" t="n"/>
      <c r="S364" s="284" t="n"/>
      <c r="T364" s="285" t="n"/>
      <c r="U364" s="285" t="n"/>
      <c r="V364" s="285" t="n"/>
      <c r="W364" s="285" t="n"/>
      <c r="X364" s="285" t="n"/>
      <c r="Y364" s="285" t="n"/>
      <c r="Z364" s="285" t="n"/>
    </row>
    <row r="365" ht="15.75" customHeight="1" s="398">
      <c r="A365" s="284" t="n"/>
      <c r="B365" s="285" t="n"/>
      <c r="C365" s="284" t="n"/>
      <c r="D365" s="285" t="n"/>
      <c r="E365" s="354" t="n"/>
      <c r="F365" s="336" t="n"/>
      <c r="G365" s="336" t="n"/>
      <c r="H365" s="285" t="n"/>
      <c r="I365" s="285" t="n"/>
      <c r="J365" s="285" t="n"/>
      <c r="K365" s="285" t="n"/>
      <c r="L365" s="285" t="n"/>
      <c r="M365" s="285" t="n"/>
      <c r="N365" s="285" t="n"/>
      <c r="O365" s="285" t="n"/>
      <c r="P365" s="285" t="n"/>
      <c r="Q365" s="285" t="n"/>
      <c r="R365" s="284" t="n"/>
      <c r="S365" s="284" t="n"/>
      <c r="T365" s="285" t="n"/>
      <c r="U365" s="285" t="n"/>
      <c r="V365" s="285" t="n"/>
      <c r="W365" s="285" t="n"/>
      <c r="X365" s="285" t="n"/>
      <c r="Y365" s="285" t="n"/>
      <c r="Z365" s="285" t="n"/>
    </row>
    <row r="366" ht="15.75" customHeight="1" s="398">
      <c r="A366" s="284" t="n"/>
      <c r="B366" s="285" t="n"/>
      <c r="C366" s="284" t="n"/>
      <c r="D366" s="285" t="n"/>
      <c r="E366" s="354" t="n"/>
      <c r="F366" s="336" t="n"/>
      <c r="G366" s="336" t="n"/>
      <c r="H366" s="285" t="n"/>
      <c r="I366" s="285" t="n"/>
      <c r="J366" s="285" t="n"/>
      <c r="K366" s="285" t="n"/>
      <c r="L366" s="285" t="n"/>
      <c r="M366" s="285" t="n"/>
      <c r="N366" s="285" t="n"/>
      <c r="O366" s="285" t="n"/>
      <c r="P366" s="285" t="n"/>
      <c r="Q366" s="285" t="n"/>
      <c r="R366" s="284" t="n"/>
      <c r="S366" s="284" t="n"/>
      <c r="T366" s="285" t="n"/>
      <c r="U366" s="285" t="n"/>
      <c r="V366" s="285" t="n"/>
      <c r="W366" s="285" t="n"/>
      <c r="X366" s="285" t="n"/>
      <c r="Y366" s="285" t="n"/>
      <c r="Z366" s="285" t="n"/>
    </row>
    <row r="367" ht="15.75" customHeight="1" s="398">
      <c r="A367" s="284" t="n"/>
      <c r="B367" s="285" t="n"/>
      <c r="C367" s="284" t="n"/>
      <c r="D367" s="285" t="n"/>
      <c r="E367" s="354" t="n"/>
      <c r="F367" s="336" t="n"/>
      <c r="G367" s="336" t="n"/>
      <c r="H367" s="285" t="n"/>
      <c r="I367" s="285" t="n"/>
      <c r="J367" s="285" t="n"/>
      <c r="K367" s="285" t="n"/>
      <c r="L367" s="285" t="n"/>
      <c r="M367" s="285" t="n"/>
      <c r="N367" s="285" t="n"/>
      <c r="O367" s="285" t="n"/>
      <c r="P367" s="285" t="n"/>
      <c r="Q367" s="285" t="n"/>
      <c r="R367" s="284" t="n"/>
      <c r="S367" s="284" t="n"/>
      <c r="T367" s="285" t="n"/>
      <c r="U367" s="285" t="n"/>
      <c r="V367" s="285" t="n"/>
      <c r="W367" s="285" t="n"/>
      <c r="X367" s="285" t="n"/>
      <c r="Y367" s="285" t="n"/>
      <c r="Z367" s="285" t="n"/>
    </row>
    <row r="368" ht="15.75" customHeight="1" s="398">
      <c r="A368" s="284" t="n"/>
      <c r="B368" s="285" t="n"/>
      <c r="C368" s="284" t="n"/>
      <c r="D368" s="285" t="n"/>
      <c r="E368" s="354" t="n"/>
      <c r="F368" s="336" t="n"/>
      <c r="G368" s="336" t="n"/>
      <c r="H368" s="285" t="n"/>
      <c r="I368" s="285" t="n"/>
      <c r="J368" s="285" t="n"/>
      <c r="K368" s="285" t="n"/>
      <c r="L368" s="285" t="n"/>
      <c r="M368" s="285" t="n"/>
      <c r="N368" s="285" t="n"/>
      <c r="O368" s="285" t="n"/>
      <c r="P368" s="285" t="n"/>
      <c r="Q368" s="285" t="n"/>
      <c r="R368" s="284" t="n"/>
      <c r="S368" s="284" t="n"/>
      <c r="T368" s="285" t="n"/>
      <c r="U368" s="285" t="n"/>
      <c r="V368" s="285" t="n"/>
      <c r="W368" s="285" t="n"/>
      <c r="X368" s="285" t="n"/>
      <c r="Y368" s="285" t="n"/>
      <c r="Z368" s="285" t="n"/>
    </row>
    <row r="369" ht="15.75" customHeight="1" s="398">
      <c r="A369" s="284" t="n"/>
      <c r="B369" s="285" t="n"/>
      <c r="C369" s="284" t="n"/>
      <c r="D369" s="285" t="n"/>
      <c r="E369" s="354" t="n"/>
      <c r="F369" s="336" t="n"/>
      <c r="G369" s="336" t="n"/>
      <c r="H369" s="285" t="n"/>
      <c r="I369" s="285" t="n"/>
      <c r="J369" s="285" t="n"/>
      <c r="K369" s="285" t="n"/>
      <c r="L369" s="285" t="n"/>
      <c r="M369" s="285" t="n"/>
      <c r="N369" s="285" t="n"/>
      <c r="O369" s="285" t="n"/>
      <c r="P369" s="285" t="n"/>
      <c r="Q369" s="285" t="n"/>
      <c r="R369" s="284" t="n"/>
      <c r="S369" s="284" t="n"/>
      <c r="T369" s="285" t="n"/>
      <c r="U369" s="285" t="n"/>
      <c r="V369" s="285" t="n"/>
      <c r="W369" s="285" t="n"/>
      <c r="X369" s="285" t="n"/>
      <c r="Y369" s="285" t="n"/>
      <c r="Z369" s="285" t="n"/>
    </row>
    <row r="370" ht="15.75" customHeight="1" s="398">
      <c r="A370" s="284" t="n"/>
      <c r="B370" s="285" t="n"/>
      <c r="C370" s="284" t="n"/>
      <c r="D370" s="285" t="n"/>
      <c r="E370" s="354" t="n"/>
      <c r="F370" s="336" t="n"/>
      <c r="G370" s="336" t="n"/>
      <c r="H370" s="285" t="n"/>
      <c r="I370" s="285" t="n"/>
      <c r="J370" s="285" t="n"/>
      <c r="K370" s="285" t="n"/>
      <c r="L370" s="285" t="n"/>
      <c r="M370" s="285" t="n"/>
      <c r="N370" s="285" t="n"/>
      <c r="O370" s="285" t="n"/>
      <c r="P370" s="285" t="n"/>
      <c r="Q370" s="285" t="n"/>
      <c r="R370" s="284" t="n"/>
      <c r="S370" s="284" t="n"/>
      <c r="T370" s="285" t="n"/>
      <c r="U370" s="285" t="n"/>
      <c r="V370" s="285" t="n"/>
      <c r="W370" s="285" t="n"/>
      <c r="X370" s="285" t="n"/>
      <c r="Y370" s="285" t="n"/>
      <c r="Z370" s="285" t="n"/>
    </row>
    <row r="371" ht="15.75" customHeight="1" s="398">
      <c r="A371" s="284" t="n"/>
      <c r="B371" s="285" t="n"/>
      <c r="C371" s="284" t="n"/>
      <c r="D371" s="285" t="n"/>
      <c r="E371" s="354" t="n"/>
      <c r="F371" s="336" t="n"/>
      <c r="G371" s="336" t="n"/>
      <c r="H371" s="285" t="n"/>
      <c r="I371" s="285" t="n"/>
      <c r="J371" s="285" t="n"/>
      <c r="K371" s="285" t="n"/>
      <c r="L371" s="285" t="n"/>
      <c r="M371" s="285" t="n"/>
      <c r="N371" s="285" t="n"/>
      <c r="O371" s="285" t="n"/>
      <c r="P371" s="285" t="n"/>
      <c r="Q371" s="285" t="n"/>
      <c r="R371" s="284" t="n"/>
      <c r="S371" s="284" t="n"/>
      <c r="T371" s="285" t="n"/>
      <c r="U371" s="285" t="n"/>
      <c r="V371" s="285" t="n"/>
      <c r="W371" s="285" t="n"/>
      <c r="X371" s="285" t="n"/>
      <c r="Y371" s="285" t="n"/>
      <c r="Z371" s="285" t="n"/>
    </row>
    <row r="372" ht="15.75" customHeight="1" s="398">
      <c r="A372" s="284" t="n"/>
      <c r="B372" s="285" t="n"/>
      <c r="C372" s="284" t="n"/>
      <c r="D372" s="285" t="n"/>
      <c r="E372" s="354" t="n"/>
      <c r="F372" s="336" t="n"/>
      <c r="G372" s="336" t="n"/>
      <c r="H372" s="285" t="n"/>
      <c r="I372" s="285" t="n"/>
      <c r="J372" s="285" t="n"/>
      <c r="K372" s="285" t="n"/>
      <c r="L372" s="285" t="n"/>
      <c r="M372" s="285" t="n"/>
      <c r="N372" s="285" t="n"/>
      <c r="O372" s="285" t="n"/>
      <c r="P372" s="285" t="n"/>
      <c r="Q372" s="285" t="n"/>
      <c r="R372" s="284" t="n"/>
      <c r="S372" s="284" t="n"/>
      <c r="T372" s="285" t="n"/>
      <c r="U372" s="285" t="n"/>
      <c r="V372" s="285" t="n"/>
      <c r="W372" s="285" t="n"/>
      <c r="X372" s="285" t="n"/>
      <c r="Y372" s="285" t="n"/>
      <c r="Z372" s="285" t="n"/>
    </row>
    <row r="373" ht="15.75" customHeight="1" s="398">
      <c r="A373" s="284" t="n"/>
      <c r="B373" s="285" t="n"/>
      <c r="C373" s="284" t="n"/>
      <c r="D373" s="285" t="n"/>
      <c r="E373" s="354" t="n"/>
      <c r="F373" s="336" t="n"/>
      <c r="G373" s="336" t="n"/>
      <c r="H373" s="285" t="n"/>
      <c r="I373" s="285" t="n"/>
      <c r="J373" s="285" t="n"/>
      <c r="K373" s="285" t="n"/>
      <c r="L373" s="285" t="n"/>
      <c r="M373" s="285" t="n"/>
      <c r="N373" s="285" t="n"/>
      <c r="O373" s="285" t="n"/>
      <c r="P373" s="285" t="n"/>
      <c r="Q373" s="285" t="n"/>
      <c r="R373" s="284" t="n"/>
      <c r="S373" s="284" t="n"/>
      <c r="T373" s="285" t="n"/>
      <c r="U373" s="285" t="n"/>
      <c r="V373" s="285" t="n"/>
      <c r="W373" s="285" t="n"/>
      <c r="X373" s="285" t="n"/>
      <c r="Y373" s="285" t="n"/>
      <c r="Z373" s="285" t="n"/>
    </row>
    <row r="374" ht="15.75" customHeight="1" s="398">
      <c r="A374" s="284" t="n"/>
      <c r="B374" s="285" t="n"/>
      <c r="C374" s="284" t="n"/>
      <c r="D374" s="285" t="n"/>
      <c r="E374" s="354" t="n"/>
      <c r="F374" s="336" t="n"/>
      <c r="G374" s="336" t="n"/>
      <c r="H374" s="285" t="n"/>
      <c r="I374" s="285" t="n"/>
      <c r="J374" s="285" t="n"/>
      <c r="K374" s="285" t="n"/>
      <c r="L374" s="285" t="n"/>
      <c r="M374" s="285" t="n"/>
      <c r="N374" s="285" t="n"/>
      <c r="O374" s="285" t="n"/>
      <c r="P374" s="285" t="n"/>
      <c r="Q374" s="285" t="n"/>
      <c r="R374" s="284" t="n"/>
      <c r="S374" s="284" t="n"/>
      <c r="T374" s="285" t="n"/>
      <c r="U374" s="285" t="n"/>
      <c r="V374" s="285" t="n"/>
      <c r="W374" s="285" t="n"/>
      <c r="X374" s="285" t="n"/>
      <c r="Y374" s="285" t="n"/>
      <c r="Z374" s="285" t="n"/>
    </row>
    <row r="375" ht="15.75" customHeight="1" s="398">
      <c r="A375" s="284" t="n"/>
      <c r="B375" s="285" t="n"/>
      <c r="C375" s="284" t="n"/>
      <c r="D375" s="285" t="n"/>
      <c r="E375" s="354" t="n"/>
      <c r="F375" s="336" t="n"/>
      <c r="G375" s="336" t="n"/>
      <c r="H375" s="285" t="n"/>
      <c r="I375" s="285" t="n"/>
      <c r="J375" s="285" t="n"/>
      <c r="K375" s="285" t="n"/>
      <c r="L375" s="285" t="n"/>
      <c r="M375" s="285" t="n"/>
      <c r="N375" s="285" t="n"/>
      <c r="O375" s="285" t="n"/>
      <c r="P375" s="285" t="n"/>
      <c r="Q375" s="285" t="n"/>
      <c r="R375" s="284" t="n"/>
      <c r="S375" s="284" t="n"/>
      <c r="T375" s="285" t="n"/>
      <c r="U375" s="285" t="n"/>
      <c r="V375" s="285" t="n"/>
      <c r="W375" s="285" t="n"/>
      <c r="X375" s="285" t="n"/>
      <c r="Y375" s="285" t="n"/>
      <c r="Z375" s="285" t="n"/>
    </row>
    <row r="376" ht="15.75" customHeight="1" s="398">
      <c r="A376" s="284" t="n"/>
      <c r="B376" s="285" t="n"/>
      <c r="C376" s="284" t="n"/>
      <c r="D376" s="285" t="n"/>
      <c r="E376" s="354" t="n"/>
      <c r="F376" s="336" t="n"/>
      <c r="G376" s="336" t="n"/>
      <c r="H376" s="285" t="n"/>
      <c r="I376" s="285" t="n"/>
      <c r="J376" s="285" t="n"/>
      <c r="K376" s="285" t="n"/>
      <c r="L376" s="285" t="n"/>
      <c r="M376" s="285" t="n"/>
      <c r="N376" s="285" t="n"/>
      <c r="O376" s="285" t="n"/>
      <c r="P376" s="285" t="n"/>
      <c r="Q376" s="285" t="n"/>
      <c r="R376" s="284" t="n"/>
      <c r="S376" s="284" t="n"/>
      <c r="T376" s="285" t="n"/>
      <c r="U376" s="285" t="n"/>
      <c r="V376" s="285" t="n"/>
      <c r="W376" s="285" t="n"/>
      <c r="X376" s="285" t="n"/>
      <c r="Y376" s="285" t="n"/>
      <c r="Z376" s="285" t="n"/>
    </row>
    <row r="377" ht="15.75" customHeight="1" s="398">
      <c r="A377" s="284" t="n"/>
      <c r="B377" s="285" t="n"/>
      <c r="C377" s="284" t="n"/>
      <c r="D377" s="285" t="n"/>
      <c r="E377" s="354" t="n"/>
      <c r="F377" s="336" t="n"/>
      <c r="G377" s="336" t="n"/>
      <c r="H377" s="285" t="n"/>
      <c r="I377" s="285" t="n"/>
      <c r="J377" s="285" t="n"/>
      <c r="K377" s="285" t="n"/>
      <c r="L377" s="285" t="n"/>
      <c r="M377" s="285" t="n"/>
      <c r="N377" s="285" t="n"/>
      <c r="O377" s="285" t="n"/>
      <c r="P377" s="285" t="n"/>
      <c r="Q377" s="285" t="n"/>
      <c r="R377" s="284" t="n"/>
      <c r="S377" s="284" t="n"/>
      <c r="T377" s="285" t="n"/>
      <c r="U377" s="285" t="n"/>
      <c r="V377" s="285" t="n"/>
      <c r="W377" s="285" t="n"/>
      <c r="X377" s="285" t="n"/>
      <c r="Y377" s="285" t="n"/>
      <c r="Z377" s="285" t="n"/>
    </row>
    <row r="378" ht="15.75" customHeight="1" s="398">
      <c r="A378" s="284" t="n"/>
      <c r="B378" s="285" t="n"/>
      <c r="C378" s="284" t="n"/>
      <c r="D378" s="285" t="n"/>
      <c r="E378" s="354" t="n"/>
      <c r="F378" s="336" t="n"/>
      <c r="G378" s="336" t="n"/>
      <c r="H378" s="285" t="n"/>
      <c r="I378" s="285" t="n"/>
      <c r="J378" s="285" t="n"/>
      <c r="K378" s="285" t="n"/>
      <c r="L378" s="285" t="n"/>
      <c r="M378" s="285" t="n"/>
      <c r="N378" s="285" t="n"/>
      <c r="O378" s="285" t="n"/>
      <c r="P378" s="285" t="n"/>
      <c r="Q378" s="285" t="n"/>
      <c r="R378" s="284" t="n"/>
      <c r="S378" s="284" t="n"/>
      <c r="T378" s="285" t="n"/>
      <c r="U378" s="285" t="n"/>
      <c r="V378" s="285" t="n"/>
      <c r="W378" s="285" t="n"/>
      <c r="X378" s="285" t="n"/>
      <c r="Y378" s="285" t="n"/>
      <c r="Z378" s="285" t="n"/>
    </row>
    <row r="379" ht="15.75" customHeight="1" s="398">
      <c r="A379" s="284" t="n"/>
      <c r="B379" s="285" t="n"/>
      <c r="C379" s="284" t="n"/>
      <c r="D379" s="285" t="n"/>
      <c r="E379" s="354" t="n"/>
      <c r="F379" s="336" t="n"/>
      <c r="G379" s="336" t="n"/>
      <c r="H379" s="285" t="n"/>
      <c r="I379" s="285" t="n"/>
      <c r="J379" s="285" t="n"/>
      <c r="K379" s="285" t="n"/>
      <c r="L379" s="285" t="n"/>
      <c r="M379" s="285" t="n"/>
      <c r="N379" s="285" t="n"/>
      <c r="O379" s="285" t="n"/>
      <c r="P379" s="285" t="n"/>
      <c r="Q379" s="285" t="n"/>
      <c r="R379" s="284" t="n"/>
      <c r="S379" s="284" t="n"/>
      <c r="T379" s="285" t="n"/>
      <c r="U379" s="285" t="n"/>
      <c r="V379" s="285" t="n"/>
      <c r="W379" s="285" t="n"/>
      <c r="X379" s="285" t="n"/>
      <c r="Y379" s="285" t="n"/>
      <c r="Z379" s="285" t="n"/>
    </row>
    <row r="380" ht="15.75" customHeight="1" s="398">
      <c r="A380" s="284" t="n"/>
      <c r="B380" s="285" t="n"/>
      <c r="C380" s="284" t="n"/>
      <c r="D380" s="285" t="n"/>
      <c r="E380" s="354" t="n"/>
      <c r="F380" s="336" t="n"/>
      <c r="G380" s="336" t="n"/>
      <c r="H380" s="285" t="n"/>
      <c r="I380" s="285" t="n"/>
      <c r="J380" s="285" t="n"/>
      <c r="K380" s="285" t="n"/>
      <c r="L380" s="285" t="n"/>
      <c r="M380" s="285" t="n"/>
      <c r="N380" s="285" t="n"/>
      <c r="O380" s="285" t="n"/>
      <c r="P380" s="285" t="n"/>
      <c r="Q380" s="285" t="n"/>
      <c r="R380" s="284" t="n"/>
      <c r="S380" s="284" t="n"/>
      <c r="T380" s="285" t="n"/>
      <c r="U380" s="285" t="n"/>
      <c r="V380" s="285" t="n"/>
      <c r="W380" s="285" t="n"/>
      <c r="X380" s="285" t="n"/>
      <c r="Y380" s="285" t="n"/>
      <c r="Z380" s="285" t="n"/>
    </row>
    <row r="381" ht="15.75" customHeight="1" s="398">
      <c r="A381" s="284" t="n"/>
      <c r="B381" s="285" t="n"/>
      <c r="C381" s="284" t="n"/>
      <c r="D381" s="285" t="n"/>
      <c r="E381" s="354" t="n"/>
      <c r="F381" s="336" t="n"/>
      <c r="G381" s="336" t="n"/>
      <c r="H381" s="285" t="n"/>
      <c r="I381" s="285" t="n"/>
      <c r="J381" s="285" t="n"/>
      <c r="K381" s="285" t="n"/>
      <c r="L381" s="285" t="n"/>
      <c r="M381" s="285" t="n"/>
      <c r="N381" s="285" t="n"/>
      <c r="O381" s="285" t="n"/>
      <c r="P381" s="285" t="n"/>
      <c r="Q381" s="285" t="n"/>
      <c r="R381" s="284" t="n"/>
      <c r="S381" s="284" t="n"/>
      <c r="T381" s="285" t="n"/>
      <c r="U381" s="285" t="n"/>
      <c r="V381" s="285" t="n"/>
      <c r="W381" s="285" t="n"/>
      <c r="X381" s="285" t="n"/>
      <c r="Y381" s="285" t="n"/>
      <c r="Z381" s="285" t="n"/>
    </row>
    <row r="382" ht="15.75" customHeight="1" s="398">
      <c r="A382" s="284" t="n"/>
      <c r="B382" s="285" t="n"/>
      <c r="C382" s="284" t="n"/>
      <c r="D382" s="285" t="n"/>
      <c r="E382" s="354" t="n"/>
      <c r="F382" s="336" t="n"/>
      <c r="G382" s="336" t="n"/>
      <c r="H382" s="285" t="n"/>
      <c r="I382" s="285" t="n"/>
      <c r="J382" s="285" t="n"/>
      <c r="K382" s="285" t="n"/>
      <c r="L382" s="285" t="n"/>
      <c r="M382" s="285" t="n"/>
      <c r="N382" s="285" t="n"/>
      <c r="O382" s="285" t="n"/>
      <c r="P382" s="285" t="n"/>
      <c r="Q382" s="285" t="n"/>
      <c r="R382" s="284" t="n"/>
      <c r="S382" s="284" t="n"/>
      <c r="T382" s="285" t="n"/>
      <c r="U382" s="285" t="n"/>
      <c r="V382" s="285" t="n"/>
      <c r="W382" s="285" t="n"/>
      <c r="X382" s="285" t="n"/>
      <c r="Y382" s="285" t="n"/>
      <c r="Z382" s="285" t="n"/>
    </row>
    <row r="383" ht="15.75" customHeight="1" s="398">
      <c r="A383" s="284" t="n"/>
      <c r="B383" s="285" t="n"/>
      <c r="C383" s="284" t="n"/>
      <c r="D383" s="285" t="n"/>
      <c r="E383" s="354" t="n"/>
      <c r="F383" s="336" t="n"/>
      <c r="G383" s="336" t="n"/>
      <c r="H383" s="285" t="n"/>
      <c r="I383" s="285" t="n"/>
      <c r="J383" s="285" t="n"/>
      <c r="K383" s="285" t="n"/>
      <c r="L383" s="285" t="n"/>
      <c r="M383" s="285" t="n"/>
      <c r="N383" s="285" t="n"/>
      <c r="O383" s="285" t="n"/>
      <c r="P383" s="285" t="n"/>
      <c r="Q383" s="285" t="n"/>
      <c r="R383" s="284" t="n"/>
      <c r="S383" s="284" t="n"/>
      <c r="T383" s="285" t="n"/>
      <c r="U383" s="285" t="n"/>
      <c r="V383" s="285" t="n"/>
      <c r="W383" s="285" t="n"/>
      <c r="X383" s="285" t="n"/>
      <c r="Y383" s="285" t="n"/>
      <c r="Z383" s="285" t="n"/>
    </row>
    <row r="384" ht="15.75" customHeight="1" s="398">
      <c r="A384" s="284" t="n"/>
      <c r="B384" s="285" t="n"/>
      <c r="C384" s="284" t="n"/>
      <c r="D384" s="285" t="n"/>
      <c r="E384" s="354" t="n"/>
      <c r="F384" s="336" t="n"/>
      <c r="G384" s="336" t="n"/>
      <c r="H384" s="285" t="n"/>
      <c r="I384" s="285" t="n"/>
      <c r="J384" s="285" t="n"/>
      <c r="K384" s="285" t="n"/>
      <c r="L384" s="285" t="n"/>
      <c r="M384" s="285" t="n"/>
      <c r="N384" s="285" t="n"/>
      <c r="O384" s="285" t="n"/>
      <c r="P384" s="285" t="n"/>
      <c r="Q384" s="285" t="n"/>
      <c r="R384" s="284" t="n"/>
      <c r="S384" s="284" t="n"/>
      <c r="T384" s="285" t="n"/>
      <c r="U384" s="285" t="n"/>
      <c r="V384" s="285" t="n"/>
      <c r="W384" s="285" t="n"/>
      <c r="X384" s="285" t="n"/>
      <c r="Y384" s="285" t="n"/>
      <c r="Z384" s="285" t="n"/>
    </row>
    <row r="385" ht="15.75" customHeight="1" s="398">
      <c r="A385" s="284" t="n"/>
      <c r="B385" s="285" t="n"/>
      <c r="C385" s="284" t="n"/>
      <c r="D385" s="285" t="n"/>
      <c r="E385" s="354" t="n"/>
      <c r="F385" s="336" t="n"/>
      <c r="G385" s="336" t="n"/>
      <c r="H385" s="285" t="n"/>
      <c r="I385" s="285" t="n"/>
      <c r="J385" s="285" t="n"/>
      <c r="K385" s="285" t="n"/>
      <c r="L385" s="285" t="n"/>
      <c r="M385" s="285" t="n"/>
      <c r="N385" s="285" t="n"/>
      <c r="O385" s="285" t="n"/>
      <c r="P385" s="285" t="n"/>
      <c r="Q385" s="285" t="n"/>
      <c r="R385" s="284" t="n"/>
      <c r="S385" s="284" t="n"/>
      <c r="T385" s="285" t="n"/>
      <c r="U385" s="285" t="n"/>
      <c r="V385" s="285" t="n"/>
      <c r="W385" s="285" t="n"/>
      <c r="X385" s="285" t="n"/>
      <c r="Y385" s="285" t="n"/>
      <c r="Z385" s="285" t="n"/>
    </row>
    <row r="386" ht="15.75" customHeight="1" s="398">
      <c r="A386" s="284" t="n"/>
      <c r="B386" s="285" t="n"/>
      <c r="C386" s="284" t="n"/>
      <c r="D386" s="285" t="n"/>
      <c r="E386" s="354" t="n"/>
      <c r="F386" s="336" t="n"/>
      <c r="G386" s="336" t="n"/>
      <c r="H386" s="285" t="n"/>
      <c r="I386" s="285" t="n"/>
      <c r="J386" s="285" t="n"/>
      <c r="K386" s="285" t="n"/>
      <c r="L386" s="285" t="n"/>
      <c r="M386" s="285" t="n"/>
      <c r="N386" s="285" t="n"/>
      <c r="O386" s="285" t="n"/>
      <c r="P386" s="285" t="n"/>
      <c r="Q386" s="285" t="n"/>
      <c r="R386" s="284" t="n"/>
      <c r="S386" s="284" t="n"/>
      <c r="T386" s="285" t="n"/>
      <c r="U386" s="285" t="n"/>
      <c r="V386" s="285" t="n"/>
      <c r="W386" s="285" t="n"/>
      <c r="X386" s="285" t="n"/>
      <c r="Y386" s="285" t="n"/>
      <c r="Z386" s="285" t="n"/>
    </row>
    <row r="387" ht="15.75" customHeight="1" s="398">
      <c r="A387" s="284" t="n"/>
      <c r="B387" s="285" t="n"/>
      <c r="C387" s="284" t="n"/>
      <c r="D387" s="285" t="n"/>
      <c r="E387" s="354" t="n"/>
      <c r="F387" s="336" t="n"/>
      <c r="G387" s="336" t="n"/>
      <c r="H387" s="285" t="n"/>
      <c r="I387" s="285" t="n"/>
      <c r="J387" s="285" t="n"/>
      <c r="K387" s="285" t="n"/>
      <c r="L387" s="285" t="n"/>
      <c r="M387" s="285" t="n"/>
      <c r="N387" s="285" t="n"/>
      <c r="O387" s="285" t="n"/>
      <c r="P387" s="285" t="n"/>
      <c r="Q387" s="285" t="n"/>
      <c r="R387" s="284" t="n"/>
      <c r="S387" s="284" t="n"/>
      <c r="T387" s="285" t="n"/>
      <c r="U387" s="285" t="n"/>
      <c r="V387" s="285" t="n"/>
      <c r="W387" s="285" t="n"/>
      <c r="X387" s="285" t="n"/>
      <c r="Y387" s="285" t="n"/>
      <c r="Z387" s="285" t="n"/>
    </row>
    <row r="388" ht="15.75" customHeight="1" s="398">
      <c r="A388" s="284" t="n"/>
      <c r="B388" s="285" t="n"/>
      <c r="C388" s="284" t="n"/>
      <c r="D388" s="285" t="n"/>
      <c r="E388" s="354" t="n"/>
      <c r="F388" s="336" t="n"/>
      <c r="G388" s="336" t="n"/>
      <c r="H388" s="285" t="n"/>
      <c r="I388" s="285" t="n"/>
      <c r="J388" s="285" t="n"/>
      <c r="K388" s="285" t="n"/>
      <c r="L388" s="285" t="n"/>
      <c r="M388" s="285" t="n"/>
      <c r="N388" s="285" t="n"/>
      <c r="O388" s="285" t="n"/>
      <c r="P388" s="285" t="n"/>
      <c r="Q388" s="285" t="n"/>
      <c r="R388" s="284" t="n"/>
      <c r="S388" s="284" t="n"/>
      <c r="T388" s="285" t="n"/>
      <c r="U388" s="285" t="n"/>
      <c r="V388" s="285" t="n"/>
      <c r="W388" s="285" t="n"/>
      <c r="X388" s="285" t="n"/>
      <c r="Y388" s="285" t="n"/>
      <c r="Z388" s="285" t="n"/>
    </row>
    <row r="389" ht="15.75" customHeight="1" s="398">
      <c r="A389" s="284" t="n"/>
      <c r="B389" s="285" t="n"/>
      <c r="C389" s="284" t="n"/>
      <c r="D389" s="285" t="n"/>
      <c r="E389" s="354" t="n"/>
      <c r="F389" s="336" t="n"/>
      <c r="G389" s="336" t="n"/>
      <c r="H389" s="285" t="n"/>
      <c r="I389" s="285" t="n"/>
      <c r="J389" s="285" t="n"/>
      <c r="K389" s="285" t="n"/>
      <c r="L389" s="285" t="n"/>
      <c r="M389" s="285" t="n"/>
      <c r="N389" s="285" t="n"/>
      <c r="O389" s="285" t="n"/>
      <c r="P389" s="285" t="n"/>
      <c r="Q389" s="285" t="n"/>
      <c r="R389" s="284" t="n"/>
      <c r="S389" s="284" t="n"/>
      <c r="T389" s="285" t="n"/>
      <c r="U389" s="285" t="n"/>
      <c r="V389" s="285" t="n"/>
      <c r="W389" s="285" t="n"/>
      <c r="X389" s="285" t="n"/>
      <c r="Y389" s="285" t="n"/>
      <c r="Z389" s="285" t="n"/>
    </row>
    <row r="390" ht="15.75" customHeight="1" s="398">
      <c r="A390" s="284" t="n"/>
      <c r="B390" s="285" t="n"/>
      <c r="C390" s="284" t="n"/>
      <c r="D390" s="285" t="n"/>
      <c r="E390" s="354" t="n"/>
      <c r="F390" s="336" t="n"/>
      <c r="G390" s="336" t="n"/>
      <c r="H390" s="285" t="n"/>
      <c r="I390" s="285" t="n"/>
      <c r="J390" s="285" t="n"/>
      <c r="K390" s="285" t="n"/>
      <c r="L390" s="285" t="n"/>
      <c r="M390" s="285" t="n"/>
      <c r="N390" s="285" t="n"/>
      <c r="O390" s="285" t="n"/>
      <c r="P390" s="285" t="n"/>
      <c r="Q390" s="285" t="n"/>
      <c r="R390" s="284" t="n"/>
      <c r="S390" s="284" t="n"/>
      <c r="T390" s="285" t="n"/>
      <c r="U390" s="285" t="n"/>
      <c r="V390" s="285" t="n"/>
      <c r="W390" s="285" t="n"/>
      <c r="X390" s="285" t="n"/>
      <c r="Y390" s="285" t="n"/>
      <c r="Z390" s="285" t="n"/>
    </row>
    <row r="391" ht="15.75" customHeight="1" s="398">
      <c r="A391" s="284" t="n"/>
      <c r="B391" s="285" t="n"/>
      <c r="C391" s="284" t="n"/>
      <c r="D391" s="285" t="n"/>
      <c r="E391" s="354" t="n"/>
      <c r="F391" s="336" t="n"/>
      <c r="G391" s="336" t="n"/>
      <c r="H391" s="285" t="n"/>
      <c r="I391" s="285" t="n"/>
      <c r="J391" s="285" t="n"/>
      <c r="K391" s="285" t="n"/>
      <c r="L391" s="285" t="n"/>
      <c r="M391" s="285" t="n"/>
      <c r="N391" s="285" t="n"/>
      <c r="O391" s="285" t="n"/>
      <c r="P391" s="285" t="n"/>
      <c r="Q391" s="285" t="n"/>
      <c r="R391" s="284" t="n"/>
      <c r="S391" s="284" t="n"/>
      <c r="T391" s="285" t="n"/>
      <c r="U391" s="285" t="n"/>
      <c r="V391" s="285" t="n"/>
      <c r="W391" s="285" t="n"/>
      <c r="X391" s="285" t="n"/>
      <c r="Y391" s="285" t="n"/>
      <c r="Z391" s="285" t="n"/>
    </row>
    <row r="392" ht="15.75" customHeight="1" s="398">
      <c r="A392" s="284" t="n"/>
      <c r="B392" s="285" t="n"/>
      <c r="C392" s="284" t="n"/>
      <c r="D392" s="285" t="n"/>
      <c r="E392" s="354" t="n"/>
      <c r="F392" s="336" t="n"/>
      <c r="G392" s="336" t="n"/>
      <c r="H392" s="285" t="n"/>
      <c r="I392" s="285" t="n"/>
      <c r="J392" s="285" t="n"/>
      <c r="K392" s="285" t="n"/>
      <c r="L392" s="285" t="n"/>
      <c r="M392" s="285" t="n"/>
      <c r="N392" s="285" t="n"/>
      <c r="O392" s="285" t="n"/>
      <c r="P392" s="285" t="n"/>
      <c r="Q392" s="285" t="n"/>
      <c r="R392" s="284" t="n"/>
      <c r="S392" s="284" t="n"/>
      <c r="T392" s="285" t="n"/>
      <c r="U392" s="285" t="n"/>
      <c r="V392" s="285" t="n"/>
      <c r="W392" s="285" t="n"/>
      <c r="X392" s="285" t="n"/>
      <c r="Y392" s="285" t="n"/>
      <c r="Z392" s="285" t="n"/>
    </row>
    <row r="393" ht="15.75" customHeight="1" s="398">
      <c r="A393" s="284" t="n"/>
      <c r="B393" s="285" t="n"/>
      <c r="C393" s="284" t="n"/>
      <c r="D393" s="285" t="n"/>
      <c r="E393" s="354" t="n"/>
      <c r="F393" s="336" t="n"/>
      <c r="G393" s="336" t="n"/>
      <c r="H393" s="285" t="n"/>
      <c r="I393" s="285" t="n"/>
      <c r="J393" s="285" t="n"/>
      <c r="K393" s="285" t="n"/>
      <c r="L393" s="285" t="n"/>
      <c r="M393" s="285" t="n"/>
      <c r="N393" s="285" t="n"/>
      <c r="O393" s="285" t="n"/>
      <c r="P393" s="285" t="n"/>
      <c r="Q393" s="285" t="n"/>
      <c r="R393" s="284" t="n"/>
      <c r="S393" s="284" t="n"/>
      <c r="T393" s="285" t="n"/>
      <c r="U393" s="285" t="n"/>
      <c r="V393" s="285" t="n"/>
      <c r="W393" s="285" t="n"/>
      <c r="X393" s="285" t="n"/>
      <c r="Y393" s="285" t="n"/>
      <c r="Z393" s="285" t="n"/>
    </row>
    <row r="394" ht="15.75" customHeight="1" s="398">
      <c r="A394" s="284" t="n"/>
      <c r="B394" s="285" t="n"/>
      <c r="C394" s="284" t="n"/>
      <c r="D394" s="285" t="n"/>
      <c r="E394" s="354" t="n"/>
      <c r="F394" s="336" t="n"/>
      <c r="G394" s="336" t="n"/>
      <c r="H394" s="285" t="n"/>
      <c r="I394" s="285" t="n"/>
      <c r="J394" s="285" t="n"/>
      <c r="K394" s="285" t="n"/>
      <c r="L394" s="285" t="n"/>
      <c r="M394" s="285" t="n"/>
      <c r="N394" s="285" t="n"/>
      <c r="O394" s="285" t="n"/>
      <c r="P394" s="285" t="n"/>
      <c r="Q394" s="285" t="n"/>
      <c r="R394" s="284" t="n"/>
      <c r="S394" s="284" t="n"/>
      <c r="T394" s="285" t="n"/>
      <c r="U394" s="285" t="n"/>
      <c r="V394" s="285" t="n"/>
      <c r="W394" s="285" t="n"/>
      <c r="X394" s="285" t="n"/>
      <c r="Y394" s="285" t="n"/>
      <c r="Z394" s="285" t="n"/>
    </row>
    <row r="395" ht="15.75" customHeight="1" s="398">
      <c r="A395" s="284" t="n"/>
      <c r="B395" s="285" t="n"/>
      <c r="C395" s="284" t="n"/>
      <c r="D395" s="285" t="n"/>
      <c r="E395" s="354" t="n"/>
      <c r="F395" s="336" t="n"/>
      <c r="G395" s="336" t="n"/>
      <c r="H395" s="285" t="n"/>
      <c r="I395" s="285" t="n"/>
      <c r="J395" s="285" t="n"/>
      <c r="K395" s="285" t="n"/>
      <c r="L395" s="285" t="n"/>
      <c r="M395" s="285" t="n"/>
      <c r="N395" s="285" t="n"/>
      <c r="O395" s="285" t="n"/>
      <c r="P395" s="285" t="n"/>
      <c r="Q395" s="285" t="n"/>
      <c r="R395" s="284" t="n"/>
      <c r="S395" s="284" t="n"/>
      <c r="T395" s="285" t="n"/>
      <c r="U395" s="285" t="n"/>
      <c r="V395" s="285" t="n"/>
      <c r="W395" s="285" t="n"/>
      <c r="X395" s="285" t="n"/>
      <c r="Y395" s="285" t="n"/>
      <c r="Z395" s="285" t="n"/>
    </row>
    <row r="396" ht="15.75" customHeight="1" s="398">
      <c r="A396" s="284" t="n"/>
      <c r="B396" s="285" t="n"/>
      <c r="C396" s="284" t="n"/>
      <c r="D396" s="285" t="n"/>
      <c r="E396" s="354" t="n"/>
      <c r="F396" s="336" t="n"/>
      <c r="G396" s="336" t="n"/>
      <c r="H396" s="285" t="n"/>
      <c r="I396" s="285" t="n"/>
      <c r="J396" s="285" t="n"/>
      <c r="K396" s="285" t="n"/>
      <c r="L396" s="285" t="n"/>
      <c r="M396" s="285" t="n"/>
      <c r="N396" s="285" t="n"/>
      <c r="O396" s="285" t="n"/>
      <c r="P396" s="285" t="n"/>
      <c r="Q396" s="285" t="n"/>
      <c r="R396" s="284" t="n"/>
      <c r="S396" s="284" t="n"/>
      <c r="T396" s="285" t="n"/>
      <c r="U396" s="285" t="n"/>
      <c r="V396" s="285" t="n"/>
      <c r="W396" s="285" t="n"/>
      <c r="X396" s="285" t="n"/>
      <c r="Y396" s="285" t="n"/>
      <c r="Z396" s="285" t="n"/>
    </row>
    <row r="397" ht="15.75" customHeight="1" s="398">
      <c r="A397" s="284" t="n"/>
      <c r="B397" s="285" t="n"/>
      <c r="C397" s="284" t="n"/>
      <c r="D397" s="285" t="n"/>
      <c r="E397" s="354" t="n"/>
      <c r="F397" s="336" t="n"/>
      <c r="G397" s="336" t="n"/>
      <c r="H397" s="285" t="n"/>
      <c r="I397" s="285" t="n"/>
      <c r="J397" s="285" t="n"/>
      <c r="K397" s="285" t="n"/>
      <c r="L397" s="285" t="n"/>
      <c r="M397" s="285" t="n"/>
      <c r="N397" s="285" t="n"/>
      <c r="O397" s="285" t="n"/>
      <c r="P397" s="285" t="n"/>
      <c r="Q397" s="285" t="n"/>
      <c r="R397" s="284" t="n"/>
      <c r="S397" s="284" t="n"/>
      <c r="T397" s="285" t="n"/>
      <c r="U397" s="285" t="n"/>
      <c r="V397" s="285" t="n"/>
      <c r="W397" s="285" t="n"/>
      <c r="X397" s="285" t="n"/>
      <c r="Y397" s="285" t="n"/>
      <c r="Z397" s="285" t="n"/>
    </row>
    <row r="398" ht="15.75" customHeight="1" s="398">
      <c r="A398" s="284" t="n"/>
      <c r="B398" s="285" t="n"/>
      <c r="C398" s="284" t="n"/>
      <c r="D398" s="285" t="n"/>
      <c r="E398" s="354" t="n"/>
      <c r="F398" s="336" t="n"/>
      <c r="G398" s="336" t="n"/>
      <c r="H398" s="285" t="n"/>
      <c r="I398" s="285" t="n"/>
      <c r="J398" s="285" t="n"/>
      <c r="K398" s="285" t="n"/>
      <c r="L398" s="285" t="n"/>
      <c r="M398" s="285" t="n"/>
      <c r="N398" s="285" t="n"/>
      <c r="O398" s="285" t="n"/>
      <c r="P398" s="285" t="n"/>
      <c r="Q398" s="285" t="n"/>
      <c r="R398" s="284" t="n"/>
      <c r="S398" s="284" t="n"/>
      <c r="T398" s="285" t="n"/>
      <c r="U398" s="285" t="n"/>
      <c r="V398" s="285" t="n"/>
      <c r="W398" s="285" t="n"/>
      <c r="X398" s="285" t="n"/>
      <c r="Y398" s="285" t="n"/>
      <c r="Z398" s="285" t="n"/>
    </row>
    <row r="399" ht="15.75" customHeight="1" s="398">
      <c r="A399" s="284" t="n"/>
      <c r="B399" s="285" t="n"/>
      <c r="C399" s="284" t="n"/>
      <c r="D399" s="285" t="n"/>
      <c r="E399" s="354" t="n"/>
      <c r="F399" s="336" t="n"/>
      <c r="G399" s="336" t="n"/>
      <c r="H399" s="285" t="n"/>
      <c r="I399" s="285" t="n"/>
      <c r="J399" s="285" t="n"/>
      <c r="K399" s="285" t="n"/>
      <c r="L399" s="285" t="n"/>
      <c r="M399" s="285" t="n"/>
      <c r="N399" s="285" t="n"/>
      <c r="O399" s="285" t="n"/>
      <c r="P399" s="285" t="n"/>
      <c r="Q399" s="285" t="n"/>
      <c r="R399" s="284" t="n"/>
      <c r="S399" s="284" t="n"/>
      <c r="T399" s="285" t="n"/>
      <c r="U399" s="285" t="n"/>
      <c r="V399" s="285" t="n"/>
      <c r="W399" s="285" t="n"/>
      <c r="X399" s="285" t="n"/>
      <c r="Y399" s="285" t="n"/>
      <c r="Z399" s="285" t="n"/>
    </row>
    <row r="400" ht="15.75" customHeight="1" s="398">
      <c r="A400" s="284" t="n"/>
      <c r="B400" s="285" t="n"/>
      <c r="C400" s="284" t="n"/>
      <c r="D400" s="285" t="n"/>
      <c r="E400" s="354" t="n"/>
      <c r="F400" s="336" t="n"/>
      <c r="G400" s="336" t="n"/>
      <c r="H400" s="285" t="n"/>
      <c r="I400" s="285" t="n"/>
      <c r="J400" s="285" t="n"/>
      <c r="K400" s="285" t="n"/>
      <c r="L400" s="285" t="n"/>
      <c r="M400" s="285" t="n"/>
      <c r="N400" s="285" t="n"/>
      <c r="O400" s="285" t="n"/>
      <c r="P400" s="285" t="n"/>
      <c r="Q400" s="285" t="n"/>
      <c r="R400" s="284" t="n"/>
      <c r="S400" s="284" t="n"/>
      <c r="T400" s="285" t="n"/>
      <c r="U400" s="285" t="n"/>
      <c r="V400" s="285" t="n"/>
      <c r="W400" s="285" t="n"/>
      <c r="X400" s="285" t="n"/>
      <c r="Y400" s="285" t="n"/>
      <c r="Z400" s="285" t="n"/>
    </row>
    <row r="401" ht="15.75" customHeight="1" s="398">
      <c r="A401" s="284" t="n"/>
      <c r="B401" s="285" t="n"/>
      <c r="C401" s="284" t="n"/>
      <c r="D401" s="285" t="n"/>
      <c r="E401" s="354" t="n"/>
      <c r="F401" s="336" t="n"/>
      <c r="G401" s="336" t="n"/>
      <c r="H401" s="285" t="n"/>
      <c r="I401" s="285" t="n"/>
      <c r="J401" s="285" t="n"/>
      <c r="K401" s="285" t="n"/>
      <c r="L401" s="285" t="n"/>
      <c r="M401" s="285" t="n"/>
      <c r="N401" s="285" t="n"/>
      <c r="O401" s="285" t="n"/>
      <c r="P401" s="285" t="n"/>
      <c r="Q401" s="285" t="n"/>
      <c r="R401" s="284" t="n"/>
      <c r="S401" s="284" t="n"/>
      <c r="T401" s="285" t="n"/>
      <c r="U401" s="285" t="n"/>
      <c r="V401" s="285" t="n"/>
      <c r="W401" s="285" t="n"/>
      <c r="X401" s="285" t="n"/>
      <c r="Y401" s="285" t="n"/>
      <c r="Z401" s="285" t="n"/>
    </row>
    <row r="402" ht="15.75" customHeight="1" s="398">
      <c r="A402" s="284" t="n"/>
      <c r="B402" s="285" t="n"/>
      <c r="C402" s="284" t="n"/>
      <c r="D402" s="285" t="n"/>
      <c r="E402" s="354" t="n"/>
      <c r="F402" s="336" t="n"/>
      <c r="G402" s="336" t="n"/>
      <c r="H402" s="285" t="n"/>
      <c r="I402" s="285" t="n"/>
      <c r="J402" s="285" t="n"/>
      <c r="K402" s="285" t="n"/>
      <c r="L402" s="285" t="n"/>
      <c r="M402" s="285" t="n"/>
      <c r="N402" s="285" t="n"/>
      <c r="O402" s="285" t="n"/>
      <c r="P402" s="285" t="n"/>
      <c r="Q402" s="285" t="n"/>
      <c r="R402" s="284" t="n"/>
      <c r="S402" s="284" t="n"/>
      <c r="T402" s="285" t="n"/>
      <c r="U402" s="285" t="n"/>
      <c r="V402" s="285" t="n"/>
      <c r="W402" s="285" t="n"/>
      <c r="X402" s="285" t="n"/>
      <c r="Y402" s="285" t="n"/>
      <c r="Z402" s="285" t="n"/>
    </row>
    <row r="403" ht="15.75" customHeight="1" s="398">
      <c r="A403" s="284" t="n"/>
      <c r="B403" s="285" t="n"/>
      <c r="C403" s="284" t="n"/>
      <c r="D403" s="285" t="n"/>
      <c r="E403" s="354" t="n"/>
      <c r="F403" s="336" t="n"/>
      <c r="G403" s="336" t="n"/>
      <c r="H403" s="285" t="n"/>
      <c r="I403" s="285" t="n"/>
      <c r="J403" s="285" t="n"/>
      <c r="K403" s="285" t="n"/>
      <c r="L403" s="285" t="n"/>
      <c r="M403" s="285" t="n"/>
      <c r="N403" s="285" t="n"/>
      <c r="O403" s="285" t="n"/>
      <c r="P403" s="285" t="n"/>
      <c r="Q403" s="285" t="n"/>
      <c r="R403" s="284" t="n"/>
      <c r="S403" s="284" t="n"/>
      <c r="T403" s="285" t="n"/>
      <c r="U403" s="285" t="n"/>
      <c r="V403" s="285" t="n"/>
      <c r="W403" s="285" t="n"/>
      <c r="X403" s="285" t="n"/>
      <c r="Y403" s="285" t="n"/>
      <c r="Z403" s="285" t="n"/>
    </row>
    <row r="404" ht="15.75" customHeight="1" s="398">
      <c r="A404" s="284" t="n"/>
      <c r="B404" s="285" t="n"/>
      <c r="C404" s="284" t="n"/>
      <c r="D404" s="285" t="n"/>
      <c r="E404" s="354" t="n"/>
      <c r="F404" s="336" t="n"/>
      <c r="G404" s="336" t="n"/>
      <c r="H404" s="285" t="n"/>
      <c r="I404" s="285" t="n"/>
      <c r="J404" s="285" t="n"/>
      <c r="K404" s="285" t="n"/>
      <c r="L404" s="285" t="n"/>
      <c r="M404" s="285" t="n"/>
      <c r="N404" s="285" t="n"/>
      <c r="O404" s="285" t="n"/>
      <c r="P404" s="285" t="n"/>
      <c r="Q404" s="285" t="n"/>
      <c r="R404" s="284" t="n"/>
      <c r="S404" s="284" t="n"/>
      <c r="T404" s="285" t="n"/>
      <c r="U404" s="285" t="n"/>
      <c r="V404" s="285" t="n"/>
      <c r="W404" s="285" t="n"/>
      <c r="X404" s="285" t="n"/>
      <c r="Y404" s="285" t="n"/>
      <c r="Z404" s="285" t="n"/>
    </row>
    <row r="405" ht="15.75" customHeight="1" s="398">
      <c r="A405" s="284" t="n"/>
      <c r="B405" s="285" t="n"/>
      <c r="C405" s="284" t="n"/>
      <c r="D405" s="285" t="n"/>
      <c r="E405" s="354" t="n"/>
      <c r="F405" s="336" t="n"/>
      <c r="G405" s="336" t="n"/>
      <c r="H405" s="285" t="n"/>
      <c r="I405" s="285" t="n"/>
      <c r="J405" s="285" t="n"/>
      <c r="K405" s="285" t="n"/>
      <c r="L405" s="285" t="n"/>
      <c r="M405" s="285" t="n"/>
      <c r="N405" s="285" t="n"/>
      <c r="O405" s="285" t="n"/>
      <c r="P405" s="285" t="n"/>
      <c r="Q405" s="285" t="n"/>
      <c r="R405" s="284" t="n"/>
      <c r="S405" s="284" t="n"/>
      <c r="T405" s="285" t="n"/>
      <c r="U405" s="285" t="n"/>
      <c r="V405" s="285" t="n"/>
      <c r="W405" s="285" t="n"/>
      <c r="X405" s="285" t="n"/>
      <c r="Y405" s="285" t="n"/>
      <c r="Z405" s="285" t="n"/>
    </row>
    <row r="406" ht="15.75" customHeight="1" s="398">
      <c r="A406" s="284" t="n"/>
      <c r="B406" s="285" t="n"/>
      <c r="C406" s="284" t="n"/>
      <c r="D406" s="285" t="n"/>
      <c r="E406" s="354" t="n"/>
      <c r="F406" s="336" t="n"/>
      <c r="G406" s="336" t="n"/>
      <c r="H406" s="285" t="n"/>
      <c r="I406" s="285" t="n"/>
      <c r="J406" s="285" t="n"/>
      <c r="K406" s="285" t="n"/>
      <c r="L406" s="285" t="n"/>
      <c r="M406" s="285" t="n"/>
      <c r="N406" s="285" t="n"/>
      <c r="O406" s="285" t="n"/>
      <c r="P406" s="285" t="n"/>
      <c r="Q406" s="285" t="n"/>
      <c r="R406" s="284" t="n"/>
      <c r="S406" s="284" t="n"/>
      <c r="T406" s="285" t="n"/>
      <c r="U406" s="285" t="n"/>
      <c r="V406" s="285" t="n"/>
      <c r="W406" s="285" t="n"/>
      <c r="X406" s="285" t="n"/>
      <c r="Y406" s="285" t="n"/>
      <c r="Z406" s="285" t="n"/>
    </row>
    <row r="407" ht="15.75" customHeight="1" s="398">
      <c r="A407" s="284" t="n"/>
      <c r="B407" s="285" t="n"/>
      <c r="C407" s="284" t="n"/>
      <c r="D407" s="285" t="n"/>
      <c r="E407" s="354" t="n"/>
      <c r="F407" s="336" t="n"/>
      <c r="G407" s="336" t="n"/>
      <c r="H407" s="285" t="n"/>
      <c r="I407" s="285" t="n"/>
      <c r="J407" s="285" t="n"/>
      <c r="K407" s="285" t="n"/>
      <c r="L407" s="285" t="n"/>
      <c r="M407" s="285" t="n"/>
      <c r="N407" s="285" t="n"/>
      <c r="O407" s="285" t="n"/>
      <c r="P407" s="285" t="n"/>
      <c r="Q407" s="285" t="n"/>
      <c r="R407" s="284" t="n"/>
      <c r="S407" s="284" t="n"/>
      <c r="T407" s="285" t="n"/>
      <c r="U407" s="285" t="n"/>
      <c r="V407" s="285" t="n"/>
      <c r="W407" s="285" t="n"/>
      <c r="X407" s="285" t="n"/>
      <c r="Y407" s="285" t="n"/>
      <c r="Z407" s="285" t="n"/>
    </row>
    <row r="408" ht="15.75" customHeight="1" s="398">
      <c r="A408" s="284" t="n"/>
      <c r="B408" s="285" t="n"/>
      <c r="C408" s="284" t="n"/>
      <c r="D408" s="285" t="n"/>
      <c r="E408" s="354" t="n"/>
      <c r="F408" s="336" t="n"/>
      <c r="G408" s="336" t="n"/>
      <c r="H408" s="285" t="n"/>
      <c r="I408" s="285" t="n"/>
      <c r="J408" s="285" t="n"/>
      <c r="K408" s="285" t="n"/>
      <c r="L408" s="285" t="n"/>
      <c r="M408" s="285" t="n"/>
      <c r="N408" s="285" t="n"/>
      <c r="O408" s="285" t="n"/>
      <c r="P408" s="285" t="n"/>
      <c r="Q408" s="285" t="n"/>
      <c r="R408" s="284" t="n"/>
      <c r="S408" s="284" t="n"/>
      <c r="T408" s="285" t="n"/>
      <c r="U408" s="285" t="n"/>
      <c r="V408" s="285" t="n"/>
      <c r="W408" s="285" t="n"/>
      <c r="X408" s="285" t="n"/>
      <c r="Y408" s="285" t="n"/>
      <c r="Z408" s="285" t="n"/>
    </row>
    <row r="409" ht="15.75" customHeight="1" s="398">
      <c r="A409" s="284" t="n"/>
      <c r="B409" s="285" t="n"/>
      <c r="C409" s="284" t="n"/>
      <c r="D409" s="285" t="n"/>
      <c r="E409" s="354" t="n"/>
      <c r="F409" s="336" t="n"/>
      <c r="G409" s="336" t="n"/>
      <c r="H409" s="285" t="n"/>
      <c r="I409" s="285" t="n"/>
      <c r="J409" s="285" t="n"/>
      <c r="K409" s="285" t="n"/>
      <c r="L409" s="285" t="n"/>
      <c r="M409" s="285" t="n"/>
      <c r="N409" s="285" t="n"/>
      <c r="O409" s="285" t="n"/>
      <c r="P409" s="285" t="n"/>
      <c r="Q409" s="285" t="n"/>
      <c r="R409" s="284" t="n"/>
      <c r="S409" s="284" t="n"/>
      <c r="T409" s="285" t="n"/>
      <c r="U409" s="285" t="n"/>
      <c r="V409" s="285" t="n"/>
      <c r="W409" s="285" t="n"/>
      <c r="X409" s="285" t="n"/>
      <c r="Y409" s="285" t="n"/>
      <c r="Z409" s="285" t="n"/>
    </row>
    <row r="410" ht="15.75" customHeight="1" s="398">
      <c r="A410" s="284" t="n"/>
      <c r="B410" s="285" t="n"/>
      <c r="C410" s="284" t="n"/>
      <c r="D410" s="285" t="n"/>
      <c r="E410" s="354" t="n"/>
      <c r="F410" s="336" t="n"/>
      <c r="G410" s="336" t="n"/>
      <c r="H410" s="285" t="n"/>
      <c r="I410" s="285" t="n"/>
      <c r="J410" s="285" t="n"/>
      <c r="K410" s="285" t="n"/>
      <c r="L410" s="285" t="n"/>
      <c r="M410" s="285" t="n"/>
      <c r="N410" s="285" t="n"/>
      <c r="O410" s="285" t="n"/>
      <c r="P410" s="285" t="n"/>
      <c r="Q410" s="285" t="n"/>
      <c r="R410" s="284" t="n"/>
      <c r="S410" s="284" t="n"/>
      <c r="T410" s="285" t="n"/>
      <c r="U410" s="285" t="n"/>
      <c r="V410" s="285" t="n"/>
      <c r="W410" s="285" t="n"/>
      <c r="X410" s="285" t="n"/>
      <c r="Y410" s="285" t="n"/>
      <c r="Z410" s="285" t="n"/>
    </row>
    <row r="411" ht="15.75" customHeight="1" s="398">
      <c r="A411" s="284" t="n"/>
      <c r="B411" s="285" t="n"/>
      <c r="C411" s="284" t="n"/>
      <c r="D411" s="285" t="n"/>
      <c r="E411" s="354" t="n"/>
      <c r="F411" s="336" t="n"/>
      <c r="G411" s="336" t="n"/>
      <c r="H411" s="285" t="n"/>
      <c r="I411" s="285" t="n"/>
      <c r="J411" s="285" t="n"/>
      <c r="K411" s="285" t="n"/>
      <c r="L411" s="285" t="n"/>
      <c r="M411" s="285" t="n"/>
      <c r="N411" s="285" t="n"/>
      <c r="O411" s="285" t="n"/>
      <c r="P411" s="285" t="n"/>
      <c r="Q411" s="285" t="n"/>
      <c r="R411" s="284" t="n"/>
      <c r="S411" s="284" t="n"/>
      <c r="T411" s="285" t="n"/>
      <c r="U411" s="285" t="n"/>
      <c r="V411" s="285" t="n"/>
      <c r="W411" s="285" t="n"/>
      <c r="X411" s="285" t="n"/>
      <c r="Y411" s="285" t="n"/>
      <c r="Z411" s="285" t="n"/>
    </row>
    <row r="412" ht="15.75" customHeight="1" s="398">
      <c r="A412" s="284" t="n"/>
      <c r="B412" s="285" t="n"/>
      <c r="C412" s="284" t="n"/>
      <c r="D412" s="285" t="n"/>
      <c r="E412" s="354" t="n"/>
      <c r="F412" s="336" t="n"/>
      <c r="G412" s="336" t="n"/>
      <c r="H412" s="285" t="n"/>
      <c r="I412" s="285" t="n"/>
      <c r="J412" s="285" t="n"/>
      <c r="K412" s="285" t="n"/>
      <c r="L412" s="285" t="n"/>
      <c r="M412" s="285" t="n"/>
      <c r="N412" s="285" t="n"/>
      <c r="O412" s="285" t="n"/>
      <c r="P412" s="285" t="n"/>
      <c r="Q412" s="285" t="n"/>
      <c r="R412" s="284" t="n"/>
      <c r="S412" s="284" t="n"/>
      <c r="T412" s="285" t="n"/>
      <c r="U412" s="285" t="n"/>
      <c r="V412" s="285" t="n"/>
      <c r="W412" s="285" t="n"/>
      <c r="X412" s="285" t="n"/>
      <c r="Y412" s="285" t="n"/>
      <c r="Z412" s="285" t="n"/>
    </row>
    <row r="413" ht="15.75" customHeight="1" s="398">
      <c r="A413" s="284" t="n"/>
      <c r="B413" s="285" t="n"/>
      <c r="C413" s="284" t="n"/>
      <c r="D413" s="285" t="n"/>
      <c r="E413" s="354" t="n"/>
      <c r="F413" s="336" t="n"/>
      <c r="G413" s="336" t="n"/>
      <c r="H413" s="285" t="n"/>
      <c r="I413" s="285" t="n"/>
      <c r="J413" s="285" t="n"/>
      <c r="K413" s="285" t="n"/>
      <c r="L413" s="285" t="n"/>
      <c r="M413" s="285" t="n"/>
      <c r="N413" s="285" t="n"/>
      <c r="O413" s="285" t="n"/>
      <c r="P413" s="285" t="n"/>
      <c r="Q413" s="285" t="n"/>
      <c r="R413" s="284" t="n"/>
      <c r="S413" s="284" t="n"/>
      <c r="T413" s="285" t="n"/>
      <c r="U413" s="285" t="n"/>
      <c r="V413" s="285" t="n"/>
      <c r="W413" s="285" t="n"/>
      <c r="X413" s="285" t="n"/>
      <c r="Y413" s="285" t="n"/>
      <c r="Z413" s="285" t="n"/>
    </row>
    <row r="414" ht="15.75" customHeight="1" s="398">
      <c r="A414" s="284" t="n"/>
      <c r="B414" s="285" t="n"/>
      <c r="C414" s="284" t="n"/>
      <c r="D414" s="285" t="n"/>
      <c r="E414" s="354" t="n"/>
      <c r="F414" s="336" t="n"/>
      <c r="G414" s="336" t="n"/>
      <c r="H414" s="285" t="n"/>
      <c r="I414" s="285" t="n"/>
      <c r="J414" s="285" t="n"/>
      <c r="K414" s="285" t="n"/>
      <c r="L414" s="285" t="n"/>
      <c r="M414" s="285" t="n"/>
      <c r="N414" s="285" t="n"/>
      <c r="O414" s="285" t="n"/>
      <c r="P414" s="285" t="n"/>
      <c r="Q414" s="285" t="n"/>
      <c r="R414" s="284" t="n"/>
      <c r="S414" s="284" t="n"/>
      <c r="T414" s="285" t="n"/>
      <c r="U414" s="285" t="n"/>
      <c r="V414" s="285" t="n"/>
      <c r="W414" s="285" t="n"/>
      <c r="X414" s="285" t="n"/>
      <c r="Y414" s="285" t="n"/>
      <c r="Z414" s="285" t="n"/>
    </row>
    <row r="415" ht="15.75" customHeight="1" s="398">
      <c r="A415" s="284" t="n"/>
      <c r="B415" s="285" t="n"/>
      <c r="C415" s="284" t="n"/>
      <c r="D415" s="285" t="n"/>
      <c r="E415" s="354" t="n"/>
      <c r="F415" s="336" t="n"/>
      <c r="G415" s="336" t="n"/>
      <c r="H415" s="285" t="n"/>
      <c r="I415" s="285" t="n"/>
      <c r="J415" s="285" t="n"/>
      <c r="K415" s="285" t="n"/>
      <c r="L415" s="285" t="n"/>
      <c r="M415" s="285" t="n"/>
      <c r="N415" s="285" t="n"/>
      <c r="O415" s="285" t="n"/>
      <c r="P415" s="285" t="n"/>
      <c r="Q415" s="285" t="n"/>
      <c r="R415" s="284" t="n"/>
      <c r="S415" s="284" t="n"/>
      <c r="T415" s="285" t="n"/>
      <c r="U415" s="285" t="n"/>
      <c r="V415" s="285" t="n"/>
      <c r="W415" s="285" t="n"/>
      <c r="X415" s="285" t="n"/>
      <c r="Y415" s="285" t="n"/>
      <c r="Z415" s="285" t="n"/>
    </row>
    <row r="416" ht="15.75" customHeight="1" s="398">
      <c r="A416" s="284" t="n"/>
      <c r="B416" s="285" t="n"/>
      <c r="C416" s="284" t="n"/>
      <c r="D416" s="285" t="n"/>
      <c r="E416" s="354" t="n"/>
      <c r="F416" s="336" t="n"/>
      <c r="G416" s="336" t="n"/>
      <c r="H416" s="285" t="n"/>
      <c r="I416" s="285" t="n"/>
      <c r="J416" s="285" t="n"/>
      <c r="K416" s="285" t="n"/>
      <c r="L416" s="285" t="n"/>
      <c r="M416" s="285" t="n"/>
      <c r="N416" s="285" t="n"/>
      <c r="O416" s="285" t="n"/>
      <c r="P416" s="285" t="n"/>
      <c r="Q416" s="285" t="n"/>
      <c r="R416" s="284" t="n"/>
      <c r="S416" s="284" t="n"/>
      <c r="T416" s="285" t="n"/>
      <c r="U416" s="285" t="n"/>
      <c r="V416" s="285" t="n"/>
      <c r="W416" s="285" t="n"/>
      <c r="X416" s="285" t="n"/>
      <c r="Y416" s="285" t="n"/>
      <c r="Z416" s="285" t="n"/>
    </row>
    <row r="417" ht="15.75" customHeight="1" s="398">
      <c r="A417" s="284" t="n"/>
      <c r="B417" s="285" t="n"/>
      <c r="C417" s="284" t="n"/>
      <c r="D417" s="285" t="n"/>
      <c r="E417" s="354" t="n"/>
      <c r="F417" s="336" t="n"/>
      <c r="G417" s="336" t="n"/>
      <c r="H417" s="285" t="n"/>
      <c r="I417" s="285" t="n"/>
      <c r="J417" s="285" t="n"/>
      <c r="K417" s="285" t="n"/>
      <c r="L417" s="285" t="n"/>
      <c r="M417" s="285" t="n"/>
      <c r="N417" s="285" t="n"/>
      <c r="O417" s="285" t="n"/>
      <c r="P417" s="285" t="n"/>
      <c r="Q417" s="285" t="n"/>
      <c r="R417" s="284" t="n"/>
      <c r="S417" s="284" t="n"/>
      <c r="T417" s="285" t="n"/>
      <c r="U417" s="285" t="n"/>
      <c r="V417" s="285" t="n"/>
      <c r="W417" s="285" t="n"/>
      <c r="X417" s="285" t="n"/>
      <c r="Y417" s="285" t="n"/>
      <c r="Z417" s="285" t="n"/>
    </row>
    <row r="418" ht="15.75" customHeight="1" s="398">
      <c r="A418" s="284" t="n"/>
      <c r="B418" s="285" t="n"/>
      <c r="C418" s="284" t="n"/>
      <c r="D418" s="285" t="n"/>
      <c r="E418" s="354" t="n"/>
      <c r="F418" s="336" t="n"/>
      <c r="G418" s="336" t="n"/>
      <c r="H418" s="285" t="n"/>
      <c r="I418" s="285" t="n"/>
      <c r="J418" s="285" t="n"/>
      <c r="K418" s="285" t="n"/>
      <c r="L418" s="285" t="n"/>
      <c r="M418" s="285" t="n"/>
      <c r="N418" s="285" t="n"/>
      <c r="O418" s="285" t="n"/>
      <c r="P418" s="285" t="n"/>
      <c r="Q418" s="285" t="n"/>
      <c r="R418" s="284" t="n"/>
      <c r="S418" s="284" t="n"/>
      <c r="T418" s="285" t="n"/>
      <c r="U418" s="285" t="n"/>
      <c r="V418" s="285" t="n"/>
      <c r="W418" s="285" t="n"/>
      <c r="X418" s="285" t="n"/>
      <c r="Y418" s="285" t="n"/>
      <c r="Z418" s="285" t="n"/>
    </row>
    <row r="419" ht="15.75" customHeight="1" s="398">
      <c r="A419" s="284" t="n"/>
      <c r="B419" s="285" t="n"/>
      <c r="C419" s="284" t="n"/>
      <c r="D419" s="285" t="n"/>
      <c r="E419" s="354" t="n"/>
      <c r="F419" s="336" t="n"/>
      <c r="G419" s="336" t="n"/>
      <c r="H419" s="285" t="n"/>
      <c r="I419" s="285" t="n"/>
      <c r="J419" s="285" t="n"/>
      <c r="K419" s="285" t="n"/>
      <c r="L419" s="285" t="n"/>
      <c r="M419" s="285" t="n"/>
      <c r="N419" s="285" t="n"/>
      <c r="O419" s="285" t="n"/>
      <c r="P419" s="285" t="n"/>
      <c r="Q419" s="285" t="n"/>
      <c r="R419" s="284" t="n"/>
      <c r="S419" s="284" t="n"/>
      <c r="T419" s="285" t="n"/>
      <c r="U419" s="285" t="n"/>
      <c r="V419" s="285" t="n"/>
      <c r="W419" s="285" t="n"/>
      <c r="X419" s="285" t="n"/>
      <c r="Y419" s="285" t="n"/>
      <c r="Z419" s="285" t="n"/>
    </row>
    <row r="420" ht="15.75" customHeight="1" s="398">
      <c r="A420" s="284" t="n"/>
      <c r="B420" s="285" t="n"/>
      <c r="C420" s="284" t="n"/>
      <c r="D420" s="285" t="n"/>
      <c r="E420" s="354" t="n"/>
      <c r="F420" s="336" t="n"/>
      <c r="G420" s="336" t="n"/>
      <c r="H420" s="285" t="n"/>
      <c r="I420" s="285" t="n"/>
      <c r="J420" s="285" t="n"/>
      <c r="K420" s="285" t="n"/>
      <c r="L420" s="285" t="n"/>
      <c r="M420" s="285" t="n"/>
      <c r="N420" s="285" t="n"/>
      <c r="O420" s="285" t="n"/>
      <c r="P420" s="285" t="n"/>
      <c r="Q420" s="285" t="n"/>
      <c r="R420" s="284" t="n"/>
      <c r="S420" s="284" t="n"/>
      <c r="T420" s="285" t="n"/>
      <c r="U420" s="285" t="n"/>
      <c r="V420" s="285" t="n"/>
      <c r="W420" s="285" t="n"/>
      <c r="X420" s="285" t="n"/>
      <c r="Y420" s="285" t="n"/>
      <c r="Z420" s="285" t="n"/>
    </row>
    <row r="421" ht="15.75" customHeight="1" s="398">
      <c r="A421" s="284" t="n"/>
      <c r="B421" s="285" t="n"/>
      <c r="C421" s="284" t="n"/>
      <c r="D421" s="285" t="n"/>
      <c r="E421" s="354" t="n"/>
      <c r="F421" s="336" t="n"/>
      <c r="G421" s="336" t="n"/>
      <c r="H421" s="285" t="n"/>
      <c r="I421" s="285" t="n"/>
      <c r="J421" s="285" t="n"/>
      <c r="K421" s="285" t="n"/>
      <c r="L421" s="285" t="n"/>
      <c r="M421" s="285" t="n"/>
      <c r="N421" s="285" t="n"/>
      <c r="O421" s="285" t="n"/>
      <c r="P421" s="285" t="n"/>
      <c r="Q421" s="285" t="n"/>
      <c r="R421" s="284" t="n"/>
      <c r="S421" s="284" t="n"/>
      <c r="T421" s="285" t="n"/>
      <c r="U421" s="285" t="n"/>
      <c r="V421" s="285" t="n"/>
      <c r="W421" s="285" t="n"/>
      <c r="X421" s="285" t="n"/>
      <c r="Y421" s="285" t="n"/>
      <c r="Z421" s="285" t="n"/>
    </row>
    <row r="422" ht="15.75" customHeight="1" s="398">
      <c r="A422" s="284" t="n"/>
      <c r="B422" s="285" t="n"/>
      <c r="C422" s="284" t="n"/>
      <c r="D422" s="285" t="n"/>
      <c r="E422" s="354" t="n"/>
      <c r="F422" s="336" t="n"/>
      <c r="G422" s="336" t="n"/>
      <c r="H422" s="285" t="n"/>
      <c r="I422" s="285" t="n"/>
      <c r="J422" s="285" t="n"/>
      <c r="K422" s="285" t="n"/>
      <c r="L422" s="285" t="n"/>
      <c r="M422" s="285" t="n"/>
      <c r="N422" s="285" t="n"/>
      <c r="O422" s="285" t="n"/>
      <c r="P422" s="285" t="n"/>
      <c r="Q422" s="285" t="n"/>
      <c r="R422" s="284" t="n"/>
      <c r="S422" s="284" t="n"/>
      <c r="T422" s="285" t="n"/>
      <c r="U422" s="285" t="n"/>
      <c r="V422" s="285" t="n"/>
      <c r="W422" s="285" t="n"/>
      <c r="X422" s="285" t="n"/>
      <c r="Y422" s="285" t="n"/>
      <c r="Z422" s="285" t="n"/>
    </row>
    <row r="423" ht="15.75" customHeight="1" s="398">
      <c r="A423" s="284" t="n"/>
      <c r="B423" s="285" t="n"/>
      <c r="C423" s="284" t="n"/>
      <c r="D423" s="285" t="n"/>
      <c r="E423" s="354" t="n"/>
      <c r="F423" s="336" t="n"/>
      <c r="G423" s="336" t="n"/>
      <c r="H423" s="285" t="n"/>
      <c r="I423" s="285" t="n"/>
      <c r="J423" s="285" t="n"/>
      <c r="K423" s="285" t="n"/>
      <c r="L423" s="285" t="n"/>
      <c r="M423" s="285" t="n"/>
      <c r="N423" s="285" t="n"/>
      <c r="O423" s="285" t="n"/>
      <c r="P423" s="285" t="n"/>
      <c r="Q423" s="285" t="n"/>
      <c r="R423" s="284" t="n"/>
      <c r="S423" s="284" t="n"/>
      <c r="T423" s="285" t="n"/>
      <c r="U423" s="285" t="n"/>
      <c r="V423" s="285" t="n"/>
      <c r="W423" s="285" t="n"/>
      <c r="X423" s="285" t="n"/>
      <c r="Y423" s="285" t="n"/>
      <c r="Z423" s="285" t="n"/>
    </row>
    <row r="424" ht="15.75" customHeight="1" s="398">
      <c r="A424" s="284" t="n"/>
      <c r="B424" s="285" t="n"/>
      <c r="C424" s="284" t="n"/>
      <c r="D424" s="285" t="n"/>
      <c r="E424" s="354" t="n"/>
      <c r="F424" s="336" t="n"/>
      <c r="G424" s="336" t="n"/>
      <c r="H424" s="285" t="n"/>
      <c r="I424" s="285" t="n"/>
      <c r="J424" s="285" t="n"/>
      <c r="K424" s="285" t="n"/>
      <c r="L424" s="285" t="n"/>
      <c r="M424" s="285" t="n"/>
      <c r="N424" s="285" t="n"/>
      <c r="O424" s="285" t="n"/>
      <c r="P424" s="285" t="n"/>
      <c r="Q424" s="285" t="n"/>
      <c r="R424" s="284" t="n"/>
      <c r="S424" s="284" t="n"/>
      <c r="T424" s="285" t="n"/>
      <c r="U424" s="285" t="n"/>
      <c r="V424" s="285" t="n"/>
      <c r="W424" s="285" t="n"/>
      <c r="X424" s="285" t="n"/>
      <c r="Y424" s="285" t="n"/>
      <c r="Z424" s="285" t="n"/>
    </row>
    <row r="425" ht="15.75" customHeight="1" s="398">
      <c r="A425" s="284" t="n"/>
      <c r="B425" s="285" t="n"/>
      <c r="C425" s="284" t="n"/>
      <c r="D425" s="285" t="n"/>
      <c r="E425" s="354" t="n"/>
      <c r="F425" s="336" t="n"/>
      <c r="G425" s="336" t="n"/>
      <c r="H425" s="285" t="n"/>
      <c r="I425" s="285" t="n"/>
      <c r="J425" s="285" t="n"/>
      <c r="K425" s="285" t="n"/>
      <c r="L425" s="285" t="n"/>
      <c r="M425" s="285" t="n"/>
      <c r="N425" s="285" t="n"/>
      <c r="O425" s="285" t="n"/>
      <c r="P425" s="285" t="n"/>
      <c r="Q425" s="285" t="n"/>
      <c r="R425" s="284" t="n"/>
      <c r="S425" s="284" t="n"/>
      <c r="T425" s="285" t="n"/>
      <c r="U425" s="285" t="n"/>
      <c r="V425" s="285" t="n"/>
      <c r="W425" s="285" t="n"/>
      <c r="X425" s="285" t="n"/>
      <c r="Y425" s="285" t="n"/>
      <c r="Z425" s="285" t="n"/>
    </row>
    <row r="426" ht="15.75" customHeight="1" s="398">
      <c r="A426" s="284" t="n"/>
      <c r="B426" s="285" t="n"/>
      <c r="C426" s="284" t="n"/>
      <c r="D426" s="285" t="n"/>
      <c r="E426" s="354" t="n"/>
      <c r="F426" s="336" t="n"/>
      <c r="G426" s="336" t="n"/>
      <c r="H426" s="285" t="n"/>
      <c r="I426" s="285" t="n"/>
      <c r="J426" s="285" t="n"/>
      <c r="K426" s="285" t="n"/>
      <c r="L426" s="285" t="n"/>
      <c r="M426" s="285" t="n"/>
      <c r="N426" s="285" t="n"/>
      <c r="O426" s="285" t="n"/>
      <c r="P426" s="285" t="n"/>
      <c r="Q426" s="285" t="n"/>
      <c r="R426" s="284" t="n"/>
      <c r="S426" s="284" t="n"/>
      <c r="T426" s="285" t="n"/>
      <c r="U426" s="285" t="n"/>
      <c r="V426" s="285" t="n"/>
      <c r="W426" s="285" t="n"/>
      <c r="X426" s="285" t="n"/>
      <c r="Y426" s="285" t="n"/>
      <c r="Z426" s="285" t="n"/>
    </row>
    <row r="427" ht="15.75" customHeight="1" s="398">
      <c r="A427" s="284" t="n"/>
      <c r="B427" s="285" t="n"/>
      <c r="C427" s="284" t="n"/>
      <c r="D427" s="285" t="n"/>
      <c r="E427" s="354" t="n"/>
      <c r="F427" s="336" t="n"/>
      <c r="G427" s="336" t="n"/>
      <c r="H427" s="285" t="n"/>
      <c r="I427" s="285" t="n"/>
      <c r="J427" s="285" t="n"/>
      <c r="K427" s="285" t="n"/>
      <c r="L427" s="285" t="n"/>
      <c r="M427" s="285" t="n"/>
      <c r="N427" s="285" t="n"/>
      <c r="O427" s="285" t="n"/>
      <c r="P427" s="285" t="n"/>
      <c r="Q427" s="285" t="n"/>
      <c r="R427" s="284" t="n"/>
      <c r="S427" s="284" t="n"/>
      <c r="T427" s="285" t="n"/>
      <c r="U427" s="285" t="n"/>
      <c r="V427" s="285" t="n"/>
      <c r="W427" s="285" t="n"/>
      <c r="X427" s="285" t="n"/>
      <c r="Y427" s="285" t="n"/>
      <c r="Z427" s="285" t="n"/>
    </row>
    <row r="428" ht="15.75" customHeight="1" s="398">
      <c r="A428" s="284" t="n"/>
      <c r="B428" s="285" t="n"/>
      <c r="C428" s="284" t="n"/>
      <c r="D428" s="285" t="n"/>
      <c r="E428" s="354" t="n"/>
      <c r="F428" s="336" t="n"/>
      <c r="G428" s="336" t="n"/>
      <c r="H428" s="285" t="n"/>
      <c r="I428" s="285" t="n"/>
      <c r="J428" s="285" t="n"/>
      <c r="K428" s="285" t="n"/>
      <c r="L428" s="285" t="n"/>
      <c r="M428" s="285" t="n"/>
      <c r="N428" s="285" t="n"/>
      <c r="O428" s="285" t="n"/>
      <c r="P428" s="285" t="n"/>
      <c r="Q428" s="285" t="n"/>
      <c r="R428" s="284" t="n"/>
      <c r="S428" s="284" t="n"/>
      <c r="T428" s="285" t="n"/>
      <c r="U428" s="285" t="n"/>
      <c r="V428" s="285" t="n"/>
      <c r="W428" s="285" t="n"/>
      <c r="X428" s="285" t="n"/>
      <c r="Y428" s="285" t="n"/>
      <c r="Z428" s="285" t="n"/>
    </row>
    <row r="429" ht="15.75" customHeight="1" s="398">
      <c r="A429" s="284" t="n"/>
      <c r="B429" s="285" t="n"/>
      <c r="C429" s="284" t="n"/>
      <c r="D429" s="285" t="n"/>
      <c r="E429" s="354" t="n"/>
      <c r="F429" s="336" t="n"/>
      <c r="G429" s="336" t="n"/>
      <c r="H429" s="285" t="n"/>
      <c r="I429" s="285" t="n"/>
      <c r="J429" s="285" t="n"/>
      <c r="K429" s="285" t="n"/>
      <c r="L429" s="285" t="n"/>
      <c r="M429" s="285" t="n"/>
      <c r="N429" s="285" t="n"/>
      <c r="O429" s="285" t="n"/>
      <c r="P429" s="285" t="n"/>
      <c r="Q429" s="285" t="n"/>
      <c r="R429" s="284" t="n"/>
      <c r="S429" s="284" t="n"/>
      <c r="T429" s="285" t="n"/>
      <c r="U429" s="285" t="n"/>
      <c r="V429" s="285" t="n"/>
      <c r="W429" s="285" t="n"/>
      <c r="X429" s="285" t="n"/>
      <c r="Y429" s="285" t="n"/>
      <c r="Z429" s="285" t="n"/>
    </row>
    <row r="430" ht="15.75" customHeight="1" s="398">
      <c r="A430" s="284" t="n"/>
      <c r="B430" s="285" t="n"/>
      <c r="C430" s="284" t="n"/>
      <c r="D430" s="285" t="n"/>
      <c r="E430" s="354" t="n"/>
      <c r="F430" s="336" t="n"/>
      <c r="G430" s="336" t="n"/>
      <c r="H430" s="285" t="n"/>
      <c r="I430" s="285" t="n"/>
      <c r="J430" s="285" t="n"/>
      <c r="K430" s="285" t="n"/>
      <c r="L430" s="285" t="n"/>
      <c r="M430" s="285" t="n"/>
      <c r="N430" s="285" t="n"/>
      <c r="O430" s="285" t="n"/>
      <c r="P430" s="285" t="n"/>
      <c r="Q430" s="285" t="n"/>
      <c r="R430" s="284" t="n"/>
      <c r="S430" s="284" t="n"/>
      <c r="T430" s="285" t="n"/>
      <c r="U430" s="285" t="n"/>
      <c r="V430" s="285" t="n"/>
      <c r="W430" s="285" t="n"/>
      <c r="X430" s="285" t="n"/>
      <c r="Y430" s="285" t="n"/>
      <c r="Z430" s="285" t="n"/>
    </row>
    <row r="431" ht="15.75" customHeight="1" s="398">
      <c r="A431" s="284" t="n"/>
      <c r="B431" s="285" t="n"/>
      <c r="C431" s="284" t="n"/>
      <c r="D431" s="285" t="n"/>
      <c r="E431" s="354" t="n"/>
      <c r="F431" s="336" t="n"/>
      <c r="G431" s="336" t="n"/>
      <c r="H431" s="285" t="n"/>
      <c r="I431" s="285" t="n"/>
      <c r="J431" s="285" t="n"/>
      <c r="K431" s="285" t="n"/>
      <c r="L431" s="285" t="n"/>
      <c r="M431" s="285" t="n"/>
      <c r="N431" s="285" t="n"/>
      <c r="O431" s="285" t="n"/>
      <c r="P431" s="285" t="n"/>
      <c r="Q431" s="285" t="n"/>
      <c r="R431" s="284" t="n"/>
      <c r="S431" s="284" t="n"/>
      <c r="T431" s="285" t="n"/>
      <c r="U431" s="285" t="n"/>
      <c r="V431" s="285" t="n"/>
      <c r="W431" s="285" t="n"/>
      <c r="X431" s="285" t="n"/>
      <c r="Y431" s="285" t="n"/>
      <c r="Z431" s="285" t="n"/>
    </row>
    <row r="432" ht="15.75" customHeight="1" s="398">
      <c r="A432" s="284" t="n"/>
      <c r="B432" s="285" t="n"/>
      <c r="C432" s="284" t="n"/>
      <c r="D432" s="285" t="n"/>
      <c r="E432" s="354" t="n"/>
      <c r="F432" s="336" t="n"/>
      <c r="G432" s="336" t="n"/>
      <c r="H432" s="285" t="n"/>
      <c r="I432" s="285" t="n"/>
      <c r="J432" s="285" t="n"/>
      <c r="K432" s="285" t="n"/>
      <c r="L432" s="285" t="n"/>
      <c r="M432" s="285" t="n"/>
      <c r="N432" s="285" t="n"/>
      <c r="O432" s="285" t="n"/>
      <c r="P432" s="285" t="n"/>
      <c r="Q432" s="285" t="n"/>
      <c r="R432" s="284" t="n"/>
      <c r="S432" s="284" t="n"/>
      <c r="T432" s="285" t="n"/>
      <c r="U432" s="285" t="n"/>
      <c r="V432" s="285" t="n"/>
      <c r="W432" s="285" t="n"/>
      <c r="X432" s="285" t="n"/>
      <c r="Y432" s="285" t="n"/>
      <c r="Z432" s="285" t="n"/>
    </row>
    <row r="433" ht="15.75" customHeight="1" s="398">
      <c r="A433" s="284" t="n"/>
      <c r="B433" s="285" t="n"/>
      <c r="C433" s="284" t="n"/>
      <c r="D433" s="285" t="n"/>
      <c r="E433" s="354" t="n"/>
      <c r="F433" s="336" t="n"/>
      <c r="G433" s="336" t="n"/>
      <c r="H433" s="285" t="n"/>
      <c r="I433" s="285" t="n"/>
      <c r="J433" s="285" t="n"/>
      <c r="K433" s="285" t="n"/>
      <c r="L433" s="285" t="n"/>
      <c r="M433" s="285" t="n"/>
      <c r="N433" s="285" t="n"/>
      <c r="O433" s="285" t="n"/>
      <c r="P433" s="285" t="n"/>
      <c r="Q433" s="285" t="n"/>
      <c r="R433" s="284" t="n"/>
      <c r="S433" s="284" t="n"/>
      <c r="T433" s="285" t="n"/>
      <c r="U433" s="285" t="n"/>
      <c r="V433" s="285" t="n"/>
      <c r="W433" s="285" t="n"/>
      <c r="X433" s="285" t="n"/>
      <c r="Y433" s="285" t="n"/>
      <c r="Z433" s="285" t="n"/>
    </row>
    <row r="434" ht="15.75" customHeight="1" s="398">
      <c r="A434" s="284" t="n"/>
      <c r="B434" s="285" t="n"/>
      <c r="C434" s="284" t="n"/>
      <c r="D434" s="285" t="n"/>
      <c r="E434" s="354" t="n"/>
      <c r="F434" s="336" t="n"/>
      <c r="G434" s="336" t="n"/>
      <c r="H434" s="285" t="n"/>
      <c r="I434" s="285" t="n"/>
      <c r="J434" s="285" t="n"/>
      <c r="K434" s="285" t="n"/>
      <c r="L434" s="285" t="n"/>
      <c r="M434" s="285" t="n"/>
      <c r="N434" s="285" t="n"/>
      <c r="O434" s="285" t="n"/>
      <c r="P434" s="285" t="n"/>
      <c r="Q434" s="285" t="n"/>
      <c r="R434" s="284" t="n"/>
      <c r="S434" s="284" t="n"/>
      <c r="T434" s="285" t="n"/>
      <c r="U434" s="285" t="n"/>
      <c r="V434" s="285" t="n"/>
      <c r="W434" s="285" t="n"/>
      <c r="X434" s="285" t="n"/>
      <c r="Y434" s="285" t="n"/>
      <c r="Z434" s="285" t="n"/>
    </row>
    <row r="435" ht="15.75" customHeight="1" s="398">
      <c r="A435" s="284" t="n"/>
      <c r="B435" s="285" t="n"/>
      <c r="C435" s="284" t="n"/>
      <c r="D435" s="285" t="n"/>
      <c r="E435" s="354" t="n"/>
      <c r="F435" s="336" t="n"/>
      <c r="G435" s="336" t="n"/>
      <c r="H435" s="285" t="n"/>
      <c r="I435" s="285" t="n"/>
      <c r="J435" s="285" t="n"/>
      <c r="K435" s="285" t="n"/>
      <c r="L435" s="285" t="n"/>
      <c r="M435" s="285" t="n"/>
      <c r="N435" s="285" t="n"/>
      <c r="O435" s="285" t="n"/>
      <c r="P435" s="285" t="n"/>
      <c r="Q435" s="285" t="n"/>
      <c r="R435" s="284" t="n"/>
      <c r="S435" s="284" t="n"/>
      <c r="T435" s="285" t="n"/>
      <c r="U435" s="285" t="n"/>
      <c r="V435" s="285" t="n"/>
      <c r="W435" s="285" t="n"/>
      <c r="X435" s="285" t="n"/>
      <c r="Y435" s="285" t="n"/>
      <c r="Z435" s="285" t="n"/>
    </row>
    <row r="436" ht="15.75" customHeight="1" s="398">
      <c r="A436" s="284" t="n"/>
      <c r="B436" s="285" t="n"/>
      <c r="C436" s="284" t="n"/>
      <c r="D436" s="285" t="n"/>
      <c r="E436" s="354" t="n"/>
      <c r="F436" s="336" t="n"/>
      <c r="G436" s="336" t="n"/>
      <c r="H436" s="285" t="n"/>
      <c r="I436" s="285" t="n"/>
      <c r="J436" s="285" t="n"/>
      <c r="K436" s="285" t="n"/>
      <c r="L436" s="285" t="n"/>
      <c r="M436" s="285" t="n"/>
      <c r="N436" s="285" t="n"/>
      <c r="O436" s="285" t="n"/>
      <c r="P436" s="285" t="n"/>
      <c r="Q436" s="285" t="n"/>
      <c r="R436" s="284" t="n"/>
      <c r="S436" s="284" t="n"/>
      <c r="T436" s="285" t="n"/>
      <c r="U436" s="285" t="n"/>
      <c r="V436" s="285" t="n"/>
      <c r="W436" s="285" t="n"/>
      <c r="X436" s="285" t="n"/>
      <c r="Y436" s="285" t="n"/>
      <c r="Z436" s="285" t="n"/>
    </row>
    <row r="437" ht="15.75" customHeight="1" s="398">
      <c r="A437" s="284" t="n"/>
      <c r="B437" s="285" t="n"/>
      <c r="C437" s="284" t="n"/>
      <c r="D437" s="285" t="n"/>
      <c r="E437" s="354" t="n"/>
      <c r="F437" s="336" t="n"/>
      <c r="G437" s="336" t="n"/>
      <c r="H437" s="285" t="n"/>
      <c r="I437" s="285" t="n"/>
      <c r="J437" s="285" t="n"/>
      <c r="K437" s="285" t="n"/>
      <c r="L437" s="285" t="n"/>
      <c r="M437" s="285" t="n"/>
      <c r="N437" s="285" t="n"/>
      <c r="O437" s="285" t="n"/>
      <c r="P437" s="285" t="n"/>
      <c r="Q437" s="285" t="n"/>
      <c r="R437" s="284" t="n"/>
      <c r="S437" s="284" t="n"/>
      <c r="T437" s="285" t="n"/>
      <c r="U437" s="285" t="n"/>
      <c r="V437" s="285" t="n"/>
      <c r="W437" s="285" t="n"/>
      <c r="X437" s="285" t="n"/>
      <c r="Y437" s="285" t="n"/>
      <c r="Z437" s="285" t="n"/>
    </row>
    <row r="438" ht="15.75" customHeight="1" s="398">
      <c r="A438" s="284" t="n"/>
      <c r="B438" s="285" t="n"/>
      <c r="C438" s="284" t="n"/>
      <c r="D438" s="285" t="n"/>
      <c r="E438" s="354" t="n"/>
      <c r="F438" s="336" t="n"/>
      <c r="G438" s="336" t="n"/>
      <c r="H438" s="285" t="n"/>
      <c r="I438" s="285" t="n"/>
      <c r="J438" s="285" t="n"/>
      <c r="K438" s="285" t="n"/>
      <c r="L438" s="285" t="n"/>
      <c r="M438" s="285" t="n"/>
      <c r="N438" s="285" t="n"/>
      <c r="O438" s="285" t="n"/>
      <c r="P438" s="285" t="n"/>
      <c r="Q438" s="285" t="n"/>
      <c r="R438" s="284" t="n"/>
      <c r="S438" s="284" t="n"/>
      <c r="T438" s="285" t="n"/>
      <c r="U438" s="285" t="n"/>
      <c r="V438" s="285" t="n"/>
      <c r="W438" s="285" t="n"/>
      <c r="X438" s="285" t="n"/>
      <c r="Y438" s="285" t="n"/>
      <c r="Z438" s="285" t="n"/>
    </row>
    <row r="439" ht="15.75" customHeight="1" s="398">
      <c r="A439" s="284" t="n"/>
      <c r="B439" s="285" t="n"/>
      <c r="C439" s="284" t="n"/>
      <c r="D439" s="285" t="n"/>
      <c r="E439" s="354" t="n"/>
      <c r="F439" s="336" t="n"/>
      <c r="G439" s="336" t="n"/>
      <c r="H439" s="285" t="n"/>
      <c r="I439" s="285" t="n"/>
      <c r="J439" s="285" t="n"/>
      <c r="K439" s="285" t="n"/>
      <c r="L439" s="285" t="n"/>
      <c r="M439" s="285" t="n"/>
      <c r="N439" s="285" t="n"/>
      <c r="O439" s="285" t="n"/>
      <c r="P439" s="285" t="n"/>
      <c r="Q439" s="285" t="n"/>
      <c r="R439" s="284" t="n"/>
      <c r="S439" s="284" t="n"/>
      <c r="T439" s="285" t="n"/>
      <c r="U439" s="285" t="n"/>
      <c r="V439" s="285" t="n"/>
      <c r="W439" s="285" t="n"/>
      <c r="X439" s="285" t="n"/>
      <c r="Y439" s="285" t="n"/>
      <c r="Z439" s="285" t="n"/>
    </row>
    <row r="440" ht="15.75" customHeight="1" s="398">
      <c r="A440" s="284" t="n"/>
      <c r="B440" s="285" t="n"/>
      <c r="C440" s="284" t="n"/>
      <c r="D440" s="285" t="n"/>
      <c r="E440" s="354" t="n"/>
      <c r="F440" s="336" t="n"/>
      <c r="G440" s="336" t="n"/>
      <c r="H440" s="285" t="n"/>
      <c r="I440" s="285" t="n"/>
      <c r="J440" s="285" t="n"/>
      <c r="K440" s="285" t="n"/>
      <c r="L440" s="285" t="n"/>
      <c r="M440" s="285" t="n"/>
      <c r="N440" s="285" t="n"/>
      <c r="O440" s="285" t="n"/>
      <c r="P440" s="285" t="n"/>
      <c r="Q440" s="285" t="n"/>
      <c r="R440" s="284" t="n"/>
      <c r="S440" s="284" t="n"/>
      <c r="T440" s="285" t="n"/>
      <c r="U440" s="285" t="n"/>
      <c r="V440" s="285" t="n"/>
      <c r="W440" s="285" t="n"/>
      <c r="X440" s="285" t="n"/>
      <c r="Y440" s="285" t="n"/>
      <c r="Z440" s="285" t="n"/>
    </row>
    <row r="441" ht="15.75" customHeight="1" s="398">
      <c r="A441" s="284" t="n"/>
      <c r="B441" s="285" t="n"/>
      <c r="C441" s="284" t="n"/>
      <c r="D441" s="285" t="n"/>
      <c r="E441" s="354" t="n"/>
      <c r="F441" s="336" t="n"/>
      <c r="G441" s="336" t="n"/>
      <c r="H441" s="285" t="n"/>
      <c r="I441" s="285" t="n"/>
      <c r="J441" s="285" t="n"/>
      <c r="K441" s="285" t="n"/>
      <c r="L441" s="285" t="n"/>
      <c r="M441" s="285" t="n"/>
      <c r="N441" s="285" t="n"/>
      <c r="O441" s="285" t="n"/>
      <c r="P441" s="285" t="n"/>
      <c r="Q441" s="285" t="n"/>
      <c r="R441" s="284" t="n"/>
      <c r="S441" s="284" t="n"/>
      <c r="T441" s="285" t="n"/>
      <c r="U441" s="285" t="n"/>
      <c r="V441" s="285" t="n"/>
      <c r="W441" s="285" t="n"/>
      <c r="X441" s="285" t="n"/>
      <c r="Y441" s="285" t="n"/>
      <c r="Z441" s="285" t="n"/>
    </row>
    <row r="442" ht="15.75" customHeight="1" s="398">
      <c r="A442" s="284" t="n"/>
      <c r="B442" s="285" t="n"/>
      <c r="C442" s="284" t="n"/>
      <c r="D442" s="285" t="n"/>
      <c r="E442" s="354" t="n"/>
      <c r="F442" s="336" t="n"/>
      <c r="G442" s="336" t="n"/>
      <c r="H442" s="285" t="n"/>
      <c r="I442" s="285" t="n"/>
      <c r="J442" s="285" t="n"/>
      <c r="K442" s="285" t="n"/>
      <c r="L442" s="285" t="n"/>
      <c r="M442" s="285" t="n"/>
      <c r="N442" s="285" t="n"/>
      <c r="O442" s="285" t="n"/>
      <c r="P442" s="285" t="n"/>
      <c r="Q442" s="285" t="n"/>
      <c r="R442" s="284" t="n"/>
      <c r="S442" s="284" t="n"/>
      <c r="T442" s="285" t="n"/>
      <c r="U442" s="285" t="n"/>
      <c r="V442" s="285" t="n"/>
      <c r="W442" s="285" t="n"/>
      <c r="X442" s="285" t="n"/>
      <c r="Y442" s="285" t="n"/>
      <c r="Z442" s="285" t="n"/>
    </row>
    <row r="443" ht="15.75" customHeight="1" s="398">
      <c r="A443" s="284" t="n"/>
      <c r="B443" s="285" t="n"/>
      <c r="C443" s="284" t="n"/>
      <c r="D443" s="285" t="n"/>
      <c r="E443" s="354" t="n"/>
      <c r="F443" s="336" t="n"/>
      <c r="G443" s="336" t="n"/>
      <c r="H443" s="285" t="n"/>
      <c r="I443" s="285" t="n"/>
      <c r="J443" s="285" t="n"/>
      <c r="K443" s="285" t="n"/>
      <c r="L443" s="285" t="n"/>
      <c r="M443" s="285" t="n"/>
      <c r="N443" s="285" t="n"/>
      <c r="O443" s="285" t="n"/>
      <c r="P443" s="285" t="n"/>
      <c r="Q443" s="285" t="n"/>
      <c r="R443" s="284" t="n"/>
      <c r="S443" s="284" t="n"/>
      <c r="T443" s="285" t="n"/>
      <c r="U443" s="285" t="n"/>
      <c r="V443" s="285" t="n"/>
      <c r="W443" s="285" t="n"/>
      <c r="X443" s="285" t="n"/>
      <c r="Y443" s="285" t="n"/>
      <c r="Z443" s="285" t="n"/>
    </row>
    <row r="444" ht="15.75" customHeight="1" s="398">
      <c r="A444" s="284" t="n"/>
      <c r="B444" s="285" t="n"/>
      <c r="C444" s="284" t="n"/>
      <c r="D444" s="285" t="n"/>
      <c r="E444" s="354" t="n"/>
      <c r="F444" s="336" t="n"/>
      <c r="G444" s="336" t="n"/>
      <c r="H444" s="285" t="n"/>
      <c r="I444" s="285" t="n"/>
      <c r="J444" s="285" t="n"/>
      <c r="K444" s="285" t="n"/>
      <c r="L444" s="285" t="n"/>
      <c r="M444" s="285" t="n"/>
      <c r="N444" s="285" t="n"/>
      <c r="O444" s="285" t="n"/>
      <c r="P444" s="285" t="n"/>
      <c r="Q444" s="285" t="n"/>
      <c r="R444" s="284" t="n"/>
      <c r="S444" s="284" t="n"/>
      <c r="T444" s="285" t="n"/>
      <c r="U444" s="285" t="n"/>
      <c r="V444" s="285" t="n"/>
      <c r="W444" s="285" t="n"/>
      <c r="X444" s="285" t="n"/>
      <c r="Y444" s="285" t="n"/>
      <c r="Z444" s="285" t="n"/>
    </row>
    <row r="445" ht="15.75" customHeight="1" s="398">
      <c r="A445" s="284" t="n"/>
      <c r="B445" s="285" t="n"/>
      <c r="C445" s="284" t="n"/>
      <c r="D445" s="285" t="n"/>
      <c r="E445" s="354" t="n"/>
      <c r="F445" s="336" t="n"/>
      <c r="G445" s="336" t="n"/>
      <c r="H445" s="285" t="n"/>
      <c r="I445" s="285" t="n"/>
      <c r="J445" s="285" t="n"/>
      <c r="K445" s="285" t="n"/>
      <c r="L445" s="285" t="n"/>
      <c r="M445" s="285" t="n"/>
      <c r="N445" s="285" t="n"/>
      <c r="O445" s="285" t="n"/>
      <c r="P445" s="285" t="n"/>
      <c r="Q445" s="285" t="n"/>
      <c r="R445" s="284" t="n"/>
      <c r="S445" s="284" t="n"/>
      <c r="T445" s="285" t="n"/>
      <c r="U445" s="285" t="n"/>
      <c r="V445" s="285" t="n"/>
      <c r="W445" s="285" t="n"/>
      <c r="X445" s="285" t="n"/>
      <c r="Y445" s="285" t="n"/>
      <c r="Z445" s="285" t="n"/>
    </row>
    <row r="446" ht="15.75" customHeight="1" s="398">
      <c r="A446" s="284" t="n"/>
      <c r="B446" s="285" t="n"/>
      <c r="C446" s="284" t="n"/>
      <c r="D446" s="285" t="n"/>
      <c r="E446" s="354" t="n"/>
      <c r="F446" s="336" t="n"/>
      <c r="G446" s="336" t="n"/>
      <c r="H446" s="285" t="n"/>
      <c r="I446" s="285" t="n"/>
      <c r="J446" s="285" t="n"/>
      <c r="K446" s="285" t="n"/>
      <c r="L446" s="285" t="n"/>
      <c r="M446" s="285" t="n"/>
      <c r="N446" s="285" t="n"/>
      <c r="O446" s="285" t="n"/>
      <c r="P446" s="285" t="n"/>
      <c r="Q446" s="285" t="n"/>
      <c r="R446" s="284" t="n"/>
      <c r="S446" s="284" t="n"/>
      <c r="T446" s="285" t="n"/>
      <c r="U446" s="285" t="n"/>
      <c r="V446" s="285" t="n"/>
      <c r="W446" s="285" t="n"/>
      <c r="X446" s="285" t="n"/>
      <c r="Y446" s="285" t="n"/>
      <c r="Z446" s="285" t="n"/>
    </row>
    <row r="447" ht="15.75" customHeight="1" s="398">
      <c r="A447" s="284" t="n"/>
      <c r="B447" s="285" t="n"/>
      <c r="C447" s="284" t="n"/>
      <c r="D447" s="285" t="n"/>
      <c r="E447" s="354" t="n"/>
      <c r="F447" s="336" t="n"/>
      <c r="G447" s="336" t="n"/>
      <c r="H447" s="285" t="n"/>
      <c r="I447" s="285" t="n"/>
      <c r="J447" s="285" t="n"/>
      <c r="K447" s="285" t="n"/>
      <c r="L447" s="285" t="n"/>
      <c r="M447" s="285" t="n"/>
      <c r="N447" s="285" t="n"/>
      <c r="O447" s="285" t="n"/>
      <c r="P447" s="285" t="n"/>
      <c r="Q447" s="285" t="n"/>
      <c r="R447" s="284" t="n"/>
      <c r="S447" s="284" t="n"/>
      <c r="T447" s="285" t="n"/>
      <c r="U447" s="285" t="n"/>
      <c r="V447" s="285" t="n"/>
      <c r="W447" s="285" t="n"/>
      <c r="X447" s="285" t="n"/>
      <c r="Y447" s="285" t="n"/>
      <c r="Z447" s="285" t="n"/>
    </row>
    <row r="448" ht="15.75" customHeight="1" s="398">
      <c r="A448" s="284" t="n"/>
      <c r="B448" s="285" t="n"/>
      <c r="C448" s="284" t="n"/>
      <c r="D448" s="285" t="n"/>
      <c r="E448" s="354" t="n"/>
      <c r="F448" s="336" t="n"/>
      <c r="G448" s="336" t="n"/>
      <c r="H448" s="285" t="n"/>
      <c r="I448" s="285" t="n"/>
      <c r="J448" s="285" t="n"/>
      <c r="K448" s="285" t="n"/>
      <c r="L448" s="285" t="n"/>
      <c r="M448" s="285" t="n"/>
      <c r="N448" s="285" t="n"/>
      <c r="O448" s="285" t="n"/>
      <c r="P448" s="285" t="n"/>
      <c r="Q448" s="285" t="n"/>
      <c r="R448" s="284" t="n"/>
      <c r="S448" s="284" t="n"/>
      <c r="T448" s="285" t="n"/>
      <c r="U448" s="285" t="n"/>
      <c r="V448" s="285" t="n"/>
      <c r="W448" s="285" t="n"/>
      <c r="X448" s="285" t="n"/>
      <c r="Y448" s="285" t="n"/>
      <c r="Z448" s="285" t="n"/>
    </row>
    <row r="449" ht="15.75" customHeight="1" s="398">
      <c r="A449" s="284" t="n"/>
      <c r="B449" s="285" t="n"/>
      <c r="C449" s="284" t="n"/>
      <c r="D449" s="285" t="n"/>
      <c r="E449" s="354" t="n"/>
      <c r="F449" s="336" t="n"/>
      <c r="G449" s="336" t="n"/>
      <c r="H449" s="285" t="n"/>
      <c r="I449" s="285" t="n"/>
      <c r="J449" s="285" t="n"/>
      <c r="K449" s="285" t="n"/>
      <c r="L449" s="285" t="n"/>
      <c r="M449" s="285" t="n"/>
      <c r="N449" s="285" t="n"/>
      <c r="O449" s="285" t="n"/>
      <c r="P449" s="285" t="n"/>
      <c r="Q449" s="285" t="n"/>
      <c r="R449" s="284" t="n"/>
      <c r="S449" s="284" t="n"/>
      <c r="T449" s="285" t="n"/>
      <c r="U449" s="285" t="n"/>
      <c r="V449" s="285" t="n"/>
      <c r="W449" s="285" t="n"/>
      <c r="X449" s="285" t="n"/>
      <c r="Y449" s="285" t="n"/>
      <c r="Z449" s="285" t="n"/>
    </row>
    <row r="450" ht="15.75" customHeight="1" s="398">
      <c r="A450" s="284" t="n"/>
      <c r="B450" s="285" t="n"/>
      <c r="C450" s="284" t="n"/>
      <c r="D450" s="285" t="n"/>
      <c r="E450" s="354" t="n"/>
      <c r="F450" s="336" t="n"/>
      <c r="G450" s="336" t="n"/>
      <c r="H450" s="285" t="n"/>
      <c r="I450" s="285" t="n"/>
      <c r="J450" s="285" t="n"/>
      <c r="K450" s="285" t="n"/>
      <c r="L450" s="285" t="n"/>
      <c r="M450" s="285" t="n"/>
      <c r="N450" s="285" t="n"/>
      <c r="O450" s="285" t="n"/>
      <c r="P450" s="285" t="n"/>
      <c r="Q450" s="285" t="n"/>
      <c r="R450" s="284" t="n"/>
      <c r="S450" s="284" t="n"/>
      <c r="T450" s="285" t="n"/>
      <c r="U450" s="285" t="n"/>
      <c r="V450" s="285" t="n"/>
      <c r="W450" s="285" t="n"/>
      <c r="X450" s="285" t="n"/>
      <c r="Y450" s="285" t="n"/>
      <c r="Z450" s="285" t="n"/>
    </row>
    <row r="451" ht="15.75" customHeight="1" s="398">
      <c r="A451" s="284" t="n"/>
      <c r="B451" s="285" t="n"/>
      <c r="C451" s="284" t="n"/>
      <c r="D451" s="285" t="n"/>
      <c r="E451" s="354" t="n"/>
      <c r="F451" s="336" t="n"/>
      <c r="G451" s="336" t="n"/>
      <c r="H451" s="285" t="n"/>
      <c r="I451" s="285" t="n"/>
      <c r="J451" s="285" t="n"/>
      <c r="K451" s="285" t="n"/>
      <c r="L451" s="285" t="n"/>
      <c r="M451" s="285" t="n"/>
      <c r="N451" s="285" t="n"/>
      <c r="O451" s="285" t="n"/>
      <c r="P451" s="285" t="n"/>
      <c r="Q451" s="285" t="n"/>
      <c r="R451" s="284" t="n"/>
      <c r="S451" s="284" t="n"/>
      <c r="T451" s="285" t="n"/>
      <c r="U451" s="285" t="n"/>
      <c r="V451" s="285" t="n"/>
      <c r="W451" s="285" t="n"/>
      <c r="X451" s="285" t="n"/>
      <c r="Y451" s="285" t="n"/>
      <c r="Z451" s="285" t="n"/>
    </row>
    <row r="452" ht="15.75" customHeight="1" s="398">
      <c r="A452" s="284" t="n"/>
      <c r="B452" s="285" t="n"/>
      <c r="C452" s="284" t="n"/>
      <c r="D452" s="285" t="n"/>
      <c r="E452" s="354" t="n"/>
      <c r="F452" s="336" t="n"/>
      <c r="G452" s="336" t="n"/>
      <c r="H452" s="285" t="n"/>
      <c r="I452" s="285" t="n"/>
      <c r="J452" s="285" t="n"/>
      <c r="K452" s="285" t="n"/>
      <c r="L452" s="285" t="n"/>
      <c r="M452" s="285" t="n"/>
      <c r="N452" s="285" t="n"/>
      <c r="O452" s="285" t="n"/>
      <c r="P452" s="285" t="n"/>
      <c r="Q452" s="285" t="n"/>
      <c r="R452" s="284" t="n"/>
      <c r="S452" s="284" t="n"/>
      <c r="T452" s="285" t="n"/>
      <c r="U452" s="285" t="n"/>
      <c r="V452" s="285" t="n"/>
      <c r="W452" s="285" t="n"/>
      <c r="X452" s="285" t="n"/>
      <c r="Y452" s="285" t="n"/>
      <c r="Z452" s="285" t="n"/>
    </row>
    <row r="453" ht="15.75" customHeight="1" s="398">
      <c r="A453" s="284" t="n"/>
      <c r="B453" s="285" t="n"/>
      <c r="C453" s="284" t="n"/>
      <c r="D453" s="285" t="n"/>
      <c r="E453" s="354" t="n"/>
      <c r="F453" s="336" t="n"/>
      <c r="G453" s="336" t="n"/>
      <c r="H453" s="285" t="n"/>
      <c r="I453" s="285" t="n"/>
      <c r="J453" s="285" t="n"/>
      <c r="K453" s="285" t="n"/>
      <c r="L453" s="285" t="n"/>
      <c r="M453" s="285" t="n"/>
      <c r="N453" s="285" t="n"/>
      <c r="O453" s="285" t="n"/>
      <c r="P453" s="285" t="n"/>
      <c r="Q453" s="285" t="n"/>
      <c r="R453" s="284" t="n"/>
      <c r="S453" s="284" t="n"/>
      <c r="T453" s="285" t="n"/>
      <c r="U453" s="285" t="n"/>
      <c r="V453" s="285" t="n"/>
      <c r="W453" s="285" t="n"/>
      <c r="X453" s="285" t="n"/>
      <c r="Y453" s="285" t="n"/>
      <c r="Z453" s="285" t="n"/>
    </row>
    <row r="454" ht="15.75" customHeight="1" s="398">
      <c r="A454" s="284" t="n"/>
      <c r="B454" s="285" t="n"/>
      <c r="C454" s="284" t="n"/>
      <c r="D454" s="285" t="n"/>
      <c r="E454" s="354" t="n"/>
      <c r="F454" s="336" t="n"/>
      <c r="G454" s="336" t="n"/>
      <c r="H454" s="285" t="n"/>
      <c r="I454" s="285" t="n"/>
      <c r="J454" s="285" t="n"/>
      <c r="K454" s="285" t="n"/>
      <c r="L454" s="285" t="n"/>
      <c r="M454" s="285" t="n"/>
      <c r="N454" s="285" t="n"/>
      <c r="O454" s="285" t="n"/>
      <c r="P454" s="285" t="n"/>
      <c r="Q454" s="285" t="n"/>
      <c r="R454" s="284" t="n"/>
      <c r="S454" s="284" t="n"/>
      <c r="T454" s="285" t="n"/>
      <c r="U454" s="285" t="n"/>
      <c r="V454" s="285" t="n"/>
      <c r="W454" s="285" t="n"/>
      <c r="X454" s="285" t="n"/>
      <c r="Y454" s="285" t="n"/>
      <c r="Z454" s="285" t="n"/>
    </row>
    <row r="455" ht="15.75" customHeight="1" s="398">
      <c r="A455" s="284" t="n"/>
      <c r="B455" s="285" t="n"/>
      <c r="C455" s="284" t="n"/>
      <c r="D455" s="285" t="n"/>
      <c r="E455" s="354" t="n"/>
      <c r="F455" s="336" t="n"/>
      <c r="G455" s="336" t="n"/>
      <c r="H455" s="285" t="n"/>
      <c r="I455" s="285" t="n"/>
      <c r="J455" s="285" t="n"/>
      <c r="K455" s="285" t="n"/>
      <c r="L455" s="285" t="n"/>
      <c r="M455" s="285" t="n"/>
      <c r="N455" s="285" t="n"/>
      <c r="O455" s="285" t="n"/>
      <c r="P455" s="285" t="n"/>
      <c r="Q455" s="285" t="n"/>
      <c r="R455" s="284" t="n"/>
      <c r="S455" s="284" t="n"/>
      <c r="T455" s="285" t="n"/>
      <c r="U455" s="285" t="n"/>
      <c r="V455" s="285" t="n"/>
      <c r="W455" s="285" t="n"/>
      <c r="X455" s="285" t="n"/>
      <c r="Y455" s="285" t="n"/>
      <c r="Z455" s="285" t="n"/>
    </row>
    <row r="456" ht="15.75" customHeight="1" s="398">
      <c r="A456" s="284" t="n"/>
      <c r="B456" s="285" t="n"/>
      <c r="C456" s="284" t="n"/>
      <c r="D456" s="285" t="n"/>
      <c r="E456" s="354" t="n"/>
      <c r="F456" s="336" t="n"/>
      <c r="G456" s="336" t="n"/>
      <c r="H456" s="285" t="n"/>
      <c r="I456" s="285" t="n"/>
      <c r="J456" s="285" t="n"/>
      <c r="K456" s="285" t="n"/>
      <c r="L456" s="285" t="n"/>
      <c r="M456" s="285" t="n"/>
      <c r="N456" s="285" t="n"/>
      <c r="O456" s="285" t="n"/>
      <c r="P456" s="285" t="n"/>
      <c r="Q456" s="285" t="n"/>
      <c r="R456" s="284" t="n"/>
      <c r="S456" s="284" t="n"/>
      <c r="T456" s="285" t="n"/>
      <c r="U456" s="285" t="n"/>
      <c r="V456" s="285" t="n"/>
      <c r="W456" s="285" t="n"/>
      <c r="X456" s="285" t="n"/>
      <c r="Y456" s="285" t="n"/>
      <c r="Z456" s="285" t="n"/>
    </row>
    <row r="457" ht="15.75" customHeight="1" s="398">
      <c r="A457" s="284" t="n"/>
      <c r="B457" s="285" t="n"/>
      <c r="C457" s="284" t="n"/>
      <c r="D457" s="285" t="n"/>
      <c r="E457" s="354" t="n"/>
      <c r="F457" s="336" t="n"/>
      <c r="G457" s="336" t="n"/>
      <c r="H457" s="285" t="n"/>
      <c r="I457" s="285" t="n"/>
      <c r="J457" s="285" t="n"/>
      <c r="K457" s="285" t="n"/>
      <c r="L457" s="285" t="n"/>
      <c r="M457" s="285" t="n"/>
      <c r="N457" s="285" t="n"/>
      <c r="O457" s="285" t="n"/>
      <c r="P457" s="285" t="n"/>
      <c r="Q457" s="285" t="n"/>
      <c r="R457" s="284" t="n"/>
      <c r="S457" s="284" t="n"/>
      <c r="T457" s="285" t="n"/>
      <c r="U457" s="285" t="n"/>
      <c r="V457" s="285" t="n"/>
      <c r="W457" s="285" t="n"/>
      <c r="X457" s="285" t="n"/>
      <c r="Y457" s="285" t="n"/>
      <c r="Z457" s="285" t="n"/>
    </row>
    <row r="458" ht="15.75" customHeight="1" s="398">
      <c r="A458" s="284" t="n"/>
      <c r="B458" s="285" t="n"/>
      <c r="C458" s="284" t="n"/>
      <c r="D458" s="285" t="n"/>
      <c r="E458" s="354" t="n"/>
      <c r="F458" s="336" t="n"/>
      <c r="G458" s="336" t="n"/>
      <c r="H458" s="285" t="n"/>
      <c r="I458" s="285" t="n"/>
      <c r="J458" s="285" t="n"/>
      <c r="K458" s="285" t="n"/>
      <c r="L458" s="285" t="n"/>
      <c r="M458" s="285" t="n"/>
      <c r="N458" s="285" t="n"/>
      <c r="O458" s="285" t="n"/>
      <c r="P458" s="285" t="n"/>
      <c r="Q458" s="285" t="n"/>
      <c r="R458" s="284" t="n"/>
      <c r="S458" s="284" t="n"/>
      <c r="T458" s="285" t="n"/>
      <c r="U458" s="285" t="n"/>
      <c r="V458" s="285" t="n"/>
      <c r="W458" s="285" t="n"/>
      <c r="X458" s="285" t="n"/>
      <c r="Y458" s="285" t="n"/>
      <c r="Z458" s="285" t="n"/>
    </row>
    <row r="459" ht="15.75" customHeight="1" s="398">
      <c r="A459" s="284" t="n"/>
      <c r="B459" s="285" t="n"/>
      <c r="C459" s="284" t="n"/>
      <c r="D459" s="285" t="n"/>
      <c r="E459" s="354" t="n"/>
      <c r="F459" s="336" t="n"/>
      <c r="G459" s="336" t="n"/>
      <c r="H459" s="285" t="n"/>
      <c r="I459" s="285" t="n"/>
      <c r="J459" s="285" t="n"/>
      <c r="K459" s="285" t="n"/>
      <c r="L459" s="285" t="n"/>
      <c r="M459" s="285" t="n"/>
      <c r="N459" s="285" t="n"/>
      <c r="O459" s="285" t="n"/>
      <c r="P459" s="285" t="n"/>
      <c r="Q459" s="285" t="n"/>
      <c r="R459" s="284" t="n"/>
      <c r="S459" s="284" t="n"/>
      <c r="T459" s="285" t="n"/>
      <c r="U459" s="285" t="n"/>
      <c r="V459" s="285" t="n"/>
      <c r="W459" s="285" t="n"/>
      <c r="X459" s="285" t="n"/>
      <c r="Y459" s="285" t="n"/>
      <c r="Z459" s="285" t="n"/>
    </row>
    <row r="460" ht="15.75" customHeight="1" s="398">
      <c r="A460" s="284" t="n"/>
      <c r="B460" s="285" t="n"/>
      <c r="C460" s="284" t="n"/>
      <c r="D460" s="285" t="n"/>
      <c r="E460" s="354" t="n"/>
      <c r="F460" s="336" t="n"/>
      <c r="G460" s="336" t="n"/>
      <c r="H460" s="285" t="n"/>
      <c r="I460" s="285" t="n"/>
      <c r="J460" s="285" t="n"/>
      <c r="K460" s="285" t="n"/>
      <c r="L460" s="285" t="n"/>
      <c r="M460" s="285" t="n"/>
      <c r="N460" s="285" t="n"/>
      <c r="O460" s="285" t="n"/>
      <c r="P460" s="285" t="n"/>
      <c r="Q460" s="285" t="n"/>
      <c r="R460" s="284" t="n"/>
      <c r="S460" s="284" t="n"/>
      <c r="T460" s="285" t="n"/>
      <c r="U460" s="285" t="n"/>
      <c r="V460" s="285" t="n"/>
      <c r="W460" s="285" t="n"/>
      <c r="X460" s="285" t="n"/>
      <c r="Y460" s="285" t="n"/>
      <c r="Z460" s="285" t="n"/>
    </row>
    <row r="461" ht="15.75" customHeight="1" s="398">
      <c r="A461" s="284" t="n"/>
      <c r="B461" s="285" t="n"/>
      <c r="C461" s="284" t="n"/>
      <c r="D461" s="285" t="n"/>
      <c r="E461" s="354" t="n"/>
      <c r="F461" s="336" t="n"/>
      <c r="G461" s="336" t="n"/>
      <c r="H461" s="285" t="n"/>
      <c r="I461" s="285" t="n"/>
      <c r="J461" s="285" t="n"/>
      <c r="K461" s="285" t="n"/>
      <c r="L461" s="285" t="n"/>
      <c r="M461" s="285" t="n"/>
      <c r="N461" s="285" t="n"/>
      <c r="O461" s="285" t="n"/>
      <c r="P461" s="285" t="n"/>
      <c r="Q461" s="285" t="n"/>
      <c r="R461" s="284" t="n"/>
      <c r="S461" s="284" t="n"/>
      <c r="T461" s="285" t="n"/>
      <c r="U461" s="285" t="n"/>
      <c r="V461" s="285" t="n"/>
      <c r="W461" s="285" t="n"/>
      <c r="X461" s="285" t="n"/>
      <c r="Y461" s="285" t="n"/>
      <c r="Z461" s="285" t="n"/>
    </row>
    <row r="462" ht="15.75" customHeight="1" s="398">
      <c r="A462" s="284" t="n"/>
      <c r="B462" s="285" t="n"/>
      <c r="C462" s="284" t="n"/>
      <c r="D462" s="285" t="n"/>
      <c r="E462" s="354" t="n"/>
      <c r="F462" s="336" t="n"/>
      <c r="G462" s="336" t="n"/>
      <c r="H462" s="285" t="n"/>
      <c r="I462" s="285" t="n"/>
      <c r="J462" s="285" t="n"/>
      <c r="K462" s="285" t="n"/>
      <c r="L462" s="285" t="n"/>
      <c r="M462" s="285" t="n"/>
      <c r="N462" s="285" t="n"/>
      <c r="O462" s="285" t="n"/>
      <c r="P462" s="285" t="n"/>
      <c r="Q462" s="285" t="n"/>
      <c r="R462" s="284" t="n"/>
      <c r="S462" s="284" t="n"/>
      <c r="T462" s="285" t="n"/>
      <c r="U462" s="285" t="n"/>
      <c r="V462" s="285" t="n"/>
      <c r="W462" s="285" t="n"/>
      <c r="X462" s="285" t="n"/>
      <c r="Y462" s="285" t="n"/>
      <c r="Z462" s="285" t="n"/>
    </row>
    <row r="463" ht="15.75" customHeight="1" s="398">
      <c r="A463" s="284" t="n"/>
      <c r="B463" s="285" t="n"/>
      <c r="C463" s="284" t="n"/>
      <c r="D463" s="285" t="n"/>
      <c r="E463" s="354" t="n"/>
      <c r="F463" s="336" t="n"/>
      <c r="G463" s="336" t="n"/>
      <c r="H463" s="285" t="n"/>
      <c r="I463" s="285" t="n"/>
      <c r="J463" s="285" t="n"/>
      <c r="K463" s="285" t="n"/>
      <c r="L463" s="285" t="n"/>
      <c r="M463" s="285" t="n"/>
      <c r="N463" s="285" t="n"/>
      <c r="O463" s="285" t="n"/>
      <c r="P463" s="285" t="n"/>
      <c r="Q463" s="285" t="n"/>
      <c r="R463" s="284" t="n"/>
      <c r="S463" s="284" t="n"/>
      <c r="T463" s="285" t="n"/>
      <c r="U463" s="285" t="n"/>
      <c r="V463" s="285" t="n"/>
      <c r="W463" s="285" t="n"/>
      <c r="X463" s="285" t="n"/>
      <c r="Y463" s="285" t="n"/>
      <c r="Z463" s="285" t="n"/>
    </row>
    <row r="464" ht="15.75" customHeight="1" s="398">
      <c r="A464" s="284" t="n"/>
      <c r="B464" s="285" t="n"/>
      <c r="C464" s="284" t="n"/>
      <c r="D464" s="285" t="n"/>
      <c r="E464" s="354" t="n"/>
      <c r="F464" s="336" t="n"/>
      <c r="G464" s="336" t="n"/>
      <c r="H464" s="285" t="n"/>
      <c r="I464" s="285" t="n"/>
      <c r="J464" s="285" t="n"/>
      <c r="K464" s="285" t="n"/>
      <c r="L464" s="285" t="n"/>
      <c r="M464" s="285" t="n"/>
      <c r="N464" s="285" t="n"/>
      <c r="O464" s="285" t="n"/>
      <c r="P464" s="285" t="n"/>
      <c r="Q464" s="285" t="n"/>
      <c r="R464" s="284" t="n"/>
      <c r="S464" s="284" t="n"/>
      <c r="T464" s="285" t="n"/>
      <c r="U464" s="285" t="n"/>
      <c r="V464" s="285" t="n"/>
      <c r="W464" s="285" t="n"/>
      <c r="X464" s="285" t="n"/>
      <c r="Y464" s="285" t="n"/>
      <c r="Z464" s="285" t="n"/>
    </row>
    <row r="465" ht="15.75" customHeight="1" s="398">
      <c r="A465" s="284" t="n"/>
      <c r="B465" s="285" t="n"/>
      <c r="C465" s="284" t="n"/>
      <c r="D465" s="285" t="n"/>
      <c r="E465" s="354" t="n"/>
      <c r="F465" s="336" t="n"/>
      <c r="G465" s="336" t="n"/>
      <c r="H465" s="285" t="n"/>
      <c r="I465" s="285" t="n"/>
      <c r="J465" s="285" t="n"/>
      <c r="K465" s="285" t="n"/>
      <c r="L465" s="285" t="n"/>
      <c r="M465" s="285" t="n"/>
      <c r="N465" s="285" t="n"/>
      <c r="O465" s="285" t="n"/>
      <c r="P465" s="285" t="n"/>
      <c r="Q465" s="285" t="n"/>
      <c r="R465" s="284" t="n"/>
      <c r="S465" s="284" t="n"/>
      <c r="T465" s="285" t="n"/>
      <c r="U465" s="285" t="n"/>
      <c r="V465" s="285" t="n"/>
      <c r="W465" s="285" t="n"/>
      <c r="X465" s="285" t="n"/>
      <c r="Y465" s="285" t="n"/>
      <c r="Z465" s="285" t="n"/>
    </row>
    <row r="466" ht="15.75" customHeight="1" s="398">
      <c r="A466" s="284" t="n"/>
      <c r="B466" s="285" t="n"/>
      <c r="C466" s="284" t="n"/>
      <c r="D466" s="285" t="n"/>
      <c r="E466" s="354" t="n"/>
      <c r="F466" s="336" t="n"/>
      <c r="G466" s="336" t="n"/>
      <c r="H466" s="285" t="n"/>
      <c r="I466" s="285" t="n"/>
      <c r="J466" s="285" t="n"/>
      <c r="K466" s="285" t="n"/>
      <c r="L466" s="285" t="n"/>
      <c r="M466" s="285" t="n"/>
      <c r="N466" s="285" t="n"/>
      <c r="O466" s="285" t="n"/>
      <c r="P466" s="285" t="n"/>
      <c r="Q466" s="285" t="n"/>
      <c r="R466" s="284" t="n"/>
      <c r="S466" s="284" t="n"/>
      <c r="T466" s="285" t="n"/>
      <c r="U466" s="285" t="n"/>
      <c r="V466" s="285" t="n"/>
      <c r="W466" s="285" t="n"/>
      <c r="X466" s="285" t="n"/>
      <c r="Y466" s="285" t="n"/>
      <c r="Z466" s="285" t="n"/>
    </row>
    <row r="467" ht="15.75" customHeight="1" s="398">
      <c r="A467" s="284" t="n"/>
      <c r="B467" s="285" t="n"/>
      <c r="C467" s="284" t="n"/>
      <c r="D467" s="285" t="n"/>
      <c r="E467" s="354" t="n"/>
      <c r="F467" s="336" t="n"/>
      <c r="G467" s="336" t="n"/>
      <c r="H467" s="285" t="n"/>
      <c r="I467" s="285" t="n"/>
      <c r="J467" s="285" t="n"/>
      <c r="K467" s="285" t="n"/>
      <c r="L467" s="285" t="n"/>
      <c r="M467" s="285" t="n"/>
      <c r="N467" s="285" t="n"/>
      <c r="O467" s="285" t="n"/>
      <c r="P467" s="285" t="n"/>
      <c r="Q467" s="285" t="n"/>
      <c r="R467" s="284" t="n"/>
      <c r="S467" s="284" t="n"/>
      <c r="T467" s="285" t="n"/>
      <c r="U467" s="285" t="n"/>
      <c r="V467" s="285" t="n"/>
      <c r="W467" s="285" t="n"/>
      <c r="X467" s="285" t="n"/>
      <c r="Y467" s="285" t="n"/>
      <c r="Z467" s="285" t="n"/>
    </row>
    <row r="468" ht="15.75" customHeight="1" s="398">
      <c r="A468" s="284" t="n"/>
      <c r="B468" s="285" t="n"/>
      <c r="C468" s="284" t="n"/>
      <c r="D468" s="285" t="n"/>
      <c r="E468" s="354" t="n"/>
      <c r="F468" s="336" t="n"/>
      <c r="G468" s="336" t="n"/>
      <c r="H468" s="285" t="n"/>
      <c r="I468" s="285" t="n"/>
      <c r="J468" s="285" t="n"/>
      <c r="K468" s="285" t="n"/>
      <c r="L468" s="285" t="n"/>
      <c r="M468" s="285" t="n"/>
      <c r="N468" s="285" t="n"/>
      <c r="O468" s="285" t="n"/>
      <c r="P468" s="285" t="n"/>
      <c r="Q468" s="285" t="n"/>
      <c r="R468" s="284" t="n"/>
      <c r="S468" s="284" t="n"/>
      <c r="T468" s="285" t="n"/>
      <c r="U468" s="285" t="n"/>
      <c r="V468" s="285" t="n"/>
      <c r="W468" s="285" t="n"/>
      <c r="X468" s="285" t="n"/>
      <c r="Y468" s="285" t="n"/>
      <c r="Z468" s="285" t="n"/>
    </row>
    <row r="469" ht="15.75" customHeight="1" s="398">
      <c r="A469" s="284" t="n"/>
      <c r="B469" s="285" t="n"/>
      <c r="C469" s="284" t="n"/>
      <c r="D469" s="285" t="n"/>
      <c r="E469" s="354" t="n"/>
      <c r="F469" s="336" t="n"/>
      <c r="G469" s="336" t="n"/>
      <c r="H469" s="285" t="n"/>
      <c r="I469" s="285" t="n"/>
      <c r="J469" s="285" t="n"/>
      <c r="K469" s="285" t="n"/>
      <c r="L469" s="285" t="n"/>
      <c r="M469" s="285" t="n"/>
      <c r="N469" s="285" t="n"/>
      <c r="O469" s="285" t="n"/>
      <c r="P469" s="285" t="n"/>
      <c r="Q469" s="285" t="n"/>
      <c r="R469" s="284" t="n"/>
      <c r="S469" s="284" t="n"/>
      <c r="T469" s="285" t="n"/>
      <c r="U469" s="285" t="n"/>
      <c r="V469" s="285" t="n"/>
      <c r="W469" s="285" t="n"/>
      <c r="X469" s="285" t="n"/>
      <c r="Y469" s="285" t="n"/>
      <c r="Z469" s="285" t="n"/>
    </row>
    <row r="470" ht="15.75" customHeight="1" s="398">
      <c r="A470" s="284" t="n"/>
      <c r="B470" s="285" t="n"/>
      <c r="C470" s="284" t="n"/>
      <c r="D470" s="285" t="n"/>
      <c r="E470" s="354" t="n"/>
      <c r="F470" s="336" t="n"/>
      <c r="G470" s="336" t="n"/>
      <c r="H470" s="285" t="n"/>
      <c r="I470" s="285" t="n"/>
      <c r="J470" s="285" t="n"/>
      <c r="K470" s="285" t="n"/>
      <c r="L470" s="285" t="n"/>
      <c r="M470" s="285" t="n"/>
      <c r="N470" s="285" t="n"/>
      <c r="O470" s="285" t="n"/>
      <c r="P470" s="285" t="n"/>
      <c r="Q470" s="285" t="n"/>
      <c r="R470" s="284" t="n"/>
      <c r="S470" s="284" t="n"/>
      <c r="T470" s="285" t="n"/>
      <c r="U470" s="285" t="n"/>
      <c r="V470" s="285" t="n"/>
      <c r="W470" s="285" t="n"/>
      <c r="X470" s="285" t="n"/>
      <c r="Y470" s="285" t="n"/>
      <c r="Z470" s="285" t="n"/>
    </row>
    <row r="471" ht="15.75" customHeight="1" s="398">
      <c r="A471" s="284" t="n"/>
      <c r="B471" s="285" t="n"/>
      <c r="C471" s="284" t="n"/>
      <c r="D471" s="285" t="n"/>
      <c r="E471" s="354" t="n"/>
      <c r="F471" s="336" t="n"/>
      <c r="G471" s="336" t="n"/>
      <c r="H471" s="285" t="n"/>
      <c r="I471" s="285" t="n"/>
      <c r="J471" s="285" t="n"/>
      <c r="K471" s="285" t="n"/>
      <c r="L471" s="285" t="n"/>
      <c r="M471" s="285" t="n"/>
      <c r="N471" s="285" t="n"/>
      <c r="O471" s="285" t="n"/>
      <c r="P471" s="285" t="n"/>
      <c r="Q471" s="285" t="n"/>
      <c r="R471" s="284" t="n"/>
      <c r="S471" s="284" t="n"/>
      <c r="T471" s="285" t="n"/>
      <c r="U471" s="285" t="n"/>
      <c r="V471" s="285" t="n"/>
      <c r="W471" s="285" t="n"/>
      <c r="X471" s="285" t="n"/>
      <c r="Y471" s="285" t="n"/>
      <c r="Z471" s="285" t="n"/>
    </row>
    <row r="472" ht="15.75" customHeight="1" s="398">
      <c r="A472" s="284" t="n"/>
      <c r="B472" s="285" t="n"/>
      <c r="C472" s="284" t="n"/>
      <c r="D472" s="285" t="n"/>
      <c r="E472" s="354" t="n"/>
      <c r="F472" s="336" t="n"/>
      <c r="G472" s="336" t="n"/>
      <c r="H472" s="285" t="n"/>
      <c r="I472" s="285" t="n"/>
      <c r="J472" s="285" t="n"/>
      <c r="K472" s="285" t="n"/>
      <c r="L472" s="285" t="n"/>
      <c r="M472" s="285" t="n"/>
      <c r="N472" s="285" t="n"/>
      <c r="O472" s="285" t="n"/>
      <c r="P472" s="285" t="n"/>
      <c r="Q472" s="285" t="n"/>
      <c r="R472" s="284" t="n"/>
      <c r="S472" s="284" t="n"/>
      <c r="T472" s="285" t="n"/>
      <c r="U472" s="285" t="n"/>
      <c r="V472" s="285" t="n"/>
      <c r="W472" s="285" t="n"/>
      <c r="X472" s="285" t="n"/>
      <c r="Y472" s="285" t="n"/>
      <c r="Z472" s="285" t="n"/>
    </row>
    <row r="473" ht="15.75" customHeight="1" s="398">
      <c r="A473" s="284" t="n"/>
      <c r="B473" s="285" t="n"/>
      <c r="C473" s="284" t="n"/>
      <c r="D473" s="285" t="n"/>
      <c r="E473" s="354" t="n"/>
      <c r="F473" s="336" t="n"/>
      <c r="G473" s="336" t="n"/>
      <c r="H473" s="285" t="n"/>
      <c r="I473" s="285" t="n"/>
      <c r="J473" s="285" t="n"/>
      <c r="K473" s="285" t="n"/>
      <c r="L473" s="285" t="n"/>
      <c r="M473" s="285" t="n"/>
      <c r="N473" s="285" t="n"/>
      <c r="O473" s="285" t="n"/>
      <c r="P473" s="285" t="n"/>
      <c r="Q473" s="285" t="n"/>
      <c r="R473" s="284" t="n"/>
      <c r="S473" s="284" t="n"/>
      <c r="T473" s="285" t="n"/>
      <c r="U473" s="285" t="n"/>
      <c r="V473" s="285" t="n"/>
      <c r="W473" s="285" t="n"/>
      <c r="X473" s="285" t="n"/>
      <c r="Y473" s="285" t="n"/>
      <c r="Z473" s="285" t="n"/>
    </row>
    <row r="474" ht="15.75" customHeight="1" s="398">
      <c r="A474" s="284" t="n"/>
      <c r="B474" s="285" t="n"/>
      <c r="C474" s="284" t="n"/>
      <c r="D474" s="285" t="n"/>
      <c r="E474" s="354" t="n"/>
      <c r="F474" s="336" t="n"/>
      <c r="G474" s="336" t="n"/>
      <c r="H474" s="285" t="n"/>
      <c r="I474" s="285" t="n"/>
      <c r="J474" s="285" t="n"/>
      <c r="K474" s="285" t="n"/>
      <c r="L474" s="285" t="n"/>
      <c r="M474" s="285" t="n"/>
      <c r="N474" s="285" t="n"/>
      <c r="O474" s="285" t="n"/>
      <c r="P474" s="285" t="n"/>
      <c r="Q474" s="285" t="n"/>
      <c r="R474" s="284" t="n"/>
      <c r="S474" s="284" t="n"/>
      <c r="T474" s="285" t="n"/>
      <c r="U474" s="285" t="n"/>
      <c r="V474" s="285" t="n"/>
      <c r="W474" s="285" t="n"/>
      <c r="X474" s="285" t="n"/>
      <c r="Y474" s="285" t="n"/>
      <c r="Z474" s="285" t="n"/>
    </row>
    <row r="475" ht="15.75" customHeight="1" s="398">
      <c r="A475" s="284" t="n"/>
      <c r="B475" s="285" t="n"/>
      <c r="C475" s="284" t="n"/>
      <c r="D475" s="285" t="n"/>
      <c r="E475" s="354" t="n"/>
      <c r="F475" s="336" t="n"/>
      <c r="G475" s="336" t="n"/>
      <c r="H475" s="285" t="n"/>
      <c r="I475" s="285" t="n"/>
      <c r="J475" s="285" t="n"/>
      <c r="K475" s="285" t="n"/>
      <c r="L475" s="285" t="n"/>
      <c r="M475" s="285" t="n"/>
      <c r="N475" s="285" t="n"/>
      <c r="O475" s="285" t="n"/>
      <c r="P475" s="285" t="n"/>
      <c r="Q475" s="285" t="n"/>
      <c r="R475" s="284" t="n"/>
      <c r="S475" s="284" t="n"/>
      <c r="T475" s="285" t="n"/>
      <c r="U475" s="285" t="n"/>
      <c r="V475" s="285" t="n"/>
      <c r="W475" s="285" t="n"/>
      <c r="X475" s="285" t="n"/>
      <c r="Y475" s="285" t="n"/>
      <c r="Z475" s="285" t="n"/>
    </row>
    <row r="476" ht="15.75" customHeight="1" s="398">
      <c r="A476" s="284" t="n"/>
      <c r="B476" s="285" t="n"/>
      <c r="C476" s="284" t="n"/>
      <c r="D476" s="285" t="n"/>
      <c r="E476" s="354" t="n"/>
      <c r="F476" s="336" t="n"/>
      <c r="G476" s="336" t="n"/>
      <c r="H476" s="285" t="n"/>
      <c r="I476" s="285" t="n"/>
      <c r="J476" s="285" t="n"/>
      <c r="K476" s="285" t="n"/>
      <c r="L476" s="285" t="n"/>
      <c r="M476" s="285" t="n"/>
      <c r="N476" s="285" t="n"/>
      <c r="O476" s="285" t="n"/>
      <c r="P476" s="285" t="n"/>
      <c r="Q476" s="285" t="n"/>
      <c r="R476" s="284" t="n"/>
      <c r="S476" s="284" t="n"/>
      <c r="T476" s="285" t="n"/>
      <c r="U476" s="285" t="n"/>
      <c r="V476" s="285" t="n"/>
      <c r="W476" s="285" t="n"/>
      <c r="X476" s="285" t="n"/>
      <c r="Y476" s="285" t="n"/>
      <c r="Z476" s="285" t="n"/>
    </row>
    <row r="477" ht="15.75" customHeight="1" s="398">
      <c r="A477" s="284" t="n"/>
      <c r="B477" s="285" t="n"/>
      <c r="C477" s="284" t="n"/>
      <c r="D477" s="285" t="n"/>
      <c r="E477" s="354" t="n"/>
      <c r="F477" s="336" t="n"/>
      <c r="G477" s="336" t="n"/>
      <c r="H477" s="285" t="n"/>
      <c r="I477" s="285" t="n"/>
      <c r="J477" s="285" t="n"/>
      <c r="K477" s="285" t="n"/>
      <c r="L477" s="285" t="n"/>
      <c r="M477" s="285" t="n"/>
      <c r="N477" s="285" t="n"/>
      <c r="O477" s="285" t="n"/>
      <c r="P477" s="285" t="n"/>
      <c r="Q477" s="285" t="n"/>
      <c r="R477" s="284" t="n"/>
      <c r="S477" s="284" t="n"/>
      <c r="T477" s="285" t="n"/>
      <c r="U477" s="285" t="n"/>
      <c r="V477" s="285" t="n"/>
      <c r="W477" s="285" t="n"/>
      <c r="X477" s="285" t="n"/>
      <c r="Y477" s="285" t="n"/>
      <c r="Z477" s="285" t="n"/>
    </row>
    <row r="478" ht="15.75" customHeight="1" s="398">
      <c r="A478" s="284" t="n"/>
      <c r="B478" s="285" t="n"/>
      <c r="C478" s="284" t="n"/>
      <c r="D478" s="285" t="n"/>
      <c r="E478" s="354" t="n"/>
      <c r="F478" s="336" t="n"/>
      <c r="G478" s="336" t="n"/>
      <c r="H478" s="285" t="n"/>
      <c r="I478" s="285" t="n"/>
      <c r="J478" s="285" t="n"/>
      <c r="K478" s="285" t="n"/>
      <c r="L478" s="285" t="n"/>
      <c r="M478" s="285" t="n"/>
      <c r="N478" s="285" t="n"/>
      <c r="O478" s="285" t="n"/>
      <c r="P478" s="285" t="n"/>
      <c r="Q478" s="285" t="n"/>
      <c r="R478" s="284" t="n"/>
      <c r="S478" s="284" t="n"/>
      <c r="T478" s="285" t="n"/>
      <c r="U478" s="285" t="n"/>
      <c r="V478" s="285" t="n"/>
      <c r="W478" s="285" t="n"/>
      <c r="X478" s="285" t="n"/>
      <c r="Y478" s="285" t="n"/>
      <c r="Z478" s="285" t="n"/>
    </row>
    <row r="479" ht="15.75" customHeight="1" s="398">
      <c r="A479" s="284" t="n"/>
      <c r="B479" s="285" t="n"/>
      <c r="C479" s="284" t="n"/>
      <c r="D479" s="285" t="n"/>
      <c r="E479" s="354" t="n"/>
      <c r="F479" s="336" t="n"/>
      <c r="G479" s="336" t="n"/>
      <c r="H479" s="285" t="n"/>
      <c r="I479" s="285" t="n"/>
      <c r="J479" s="285" t="n"/>
      <c r="K479" s="285" t="n"/>
      <c r="L479" s="285" t="n"/>
      <c r="M479" s="285" t="n"/>
      <c r="N479" s="285" t="n"/>
      <c r="O479" s="285" t="n"/>
      <c r="P479" s="285" t="n"/>
      <c r="Q479" s="285" t="n"/>
      <c r="R479" s="284" t="n"/>
      <c r="S479" s="284" t="n"/>
      <c r="T479" s="285" t="n"/>
      <c r="U479" s="285" t="n"/>
      <c r="V479" s="285" t="n"/>
      <c r="W479" s="285" t="n"/>
      <c r="X479" s="285" t="n"/>
      <c r="Y479" s="285" t="n"/>
      <c r="Z479" s="285" t="n"/>
    </row>
    <row r="480" ht="15.75" customHeight="1" s="398">
      <c r="A480" s="284" t="n"/>
      <c r="B480" s="285" t="n"/>
      <c r="C480" s="284" t="n"/>
      <c r="D480" s="285" t="n"/>
      <c r="E480" s="354" t="n"/>
      <c r="F480" s="336" t="n"/>
      <c r="G480" s="336" t="n"/>
      <c r="H480" s="285" t="n"/>
      <c r="I480" s="285" t="n"/>
      <c r="J480" s="285" t="n"/>
      <c r="K480" s="285" t="n"/>
      <c r="L480" s="285" t="n"/>
      <c r="M480" s="285" t="n"/>
      <c r="N480" s="285" t="n"/>
      <c r="O480" s="285" t="n"/>
      <c r="P480" s="285" t="n"/>
      <c r="Q480" s="285" t="n"/>
      <c r="R480" s="284" t="n"/>
      <c r="S480" s="284" t="n"/>
      <c r="T480" s="285" t="n"/>
      <c r="U480" s="285" t="n"/>
      <c r="V480" s="285" t="n"/>
      <c r="W480" s="285" t="n"/>
      <c r="X480" s="285" t="n"/>
      <c r="Y480" s="285" t="n"/>
      <c r="Z480" s="285" t="n"/>
    </row>
    <row r="481" ht="15.75" customHeight="1" s="398">
      <c r="A481" s="284" t="n"/>
      <c r="B481" s="285" t="n"/>
      <c r="C481" s="284" t="n"/>
      <c r="D481" s="285" t="n"/>
      <c r="E481" s="354" t="n"/>
      <c r="F481" s="336" t="n"/>
      <c r="G481" s="336" t="n"/>
      <c r="H481" s="285" t="n"/>
      <c r="I481" s="285" t="n"/>
      <c r="J481" s="285" t="n"/>
      <c r="K481" s="285" t="n"/>
      <c r="L481" s="285" t="n"/>
      <c r="M481" s="285" t="n"/>
      <c r="N481" s="285" t="n"/>
      <c r="O481" s="285" t="n"/>
      <c r="P481" s="285" t="n"/>
      <c r="Q481" s="285" t="n"/>
      <c r="R481" s="284" t="n"/>
      <c r="S481" s="284" t="n"/>
      <c r="T481" s="285" t="n"/>
      <c r="U481" s="285" t="n"/>
      <c r="V481" s="285" t="n"/>
      <c r="W481" s="285" t="n"/>
      <c r="X481" s="285" t="n"/>
      <c r="Y481" s="285" t="n"/>
      <c r="Z481" s="285" t="n"/>
    </row>
    <row r="482" ht="15.75" customHeight="1" s="398">
      <c r="A482" s="284" t="n"/>
      <c r="B482" s="285" t="n"/>
      <c r="C482" s="284" t="n"/>
      <c r="D482" s="285" t="n"/>
      <c r="E482" s="354" t="n"/>
      <c r="F482" s="336" t="n"/>
      <c r="G482" s="336" t="n"/>
      <c r="H482" s="285" t="n"/>
      <c r="I482" s="285" t="n"/>
      <c r="J482" s="285" t="n"/>
      <c r="K482" s="285" t="n"/>
      <c r="L482" s="285" t="n"/>
      <c r="M482" s="285" t="n"/>
      <c r="N482" s="285" t="n"/>
      <c r="O482" s="285" t="n"/>
      <c r="P482" s="285" t="n"/>
      <c r="Q482" s="285" t="n"/>
      <c r="R482" s="284" t="n"/>
      <c r="S482" s="284" t="n"/>
      <c r="T482" s="285" t="n"/>
      <c r="U482" s="285" t="n"/>
      <c r="V482" s="285" t="n"/>
      <c r="W482" s="285" t="n"/>
      <c r="X482" s="285" t="n"/>
      <c r="Y482" s="285" t="n"/>
      <c r="Z482" s="285" t="n"/>
    </row>
    <row r="483" ht="15.75" customHeight="1" s="398">
      <c r="A483" s="284" t="n"/>
      <c r="B483" s="285" t="n"/>
      <c r="C483" s="284" t="n"/>
      <c r="D483" s="285" t="n"/>
      <c r="E483" s="354" t="n"/>
      <c r="F483" s="336" t="n"/>
      <c r="G483" s="336" t="n"/>
      <c r="H483" s="285" t="n"/>
      <c r="I483" s="285" t="n"/>
      <c r="J483" s="285" t="n"/>
      <c r="K483" s="285" t="n"/>
      <c r="L483" s="285" t="n"/>
      <c r="M483" s="285" t="n"/>
      <c r="N483" s="285" t="n"/>
      <c r="O483" s="285" t="n"/>
      <c r="P483" s="285" t="n"/>
      <c r="Q483" s="285" t="n"/>
      <c r="R483" s="284" t="n"/>
      <c r="S483" s="284" t="n"/>
      <c r="T483" s="285" t="n"/>
      <c r="U483" s="285" t="n"/>
      <c r="V483" s="285" t="n"/>
      <c r="W483" s="285" t="n"/>
      <c r="X483" s="285" t="n"/>
      <c r="Y483" s="285" t="n"/>
      <c r="Z483" s="285" t="n"/>
    </row>
    <row r="484" ht="15.75" customHeight="1" s="398">
      <c r="A484" s="284" t="n"/>
      <c r="B484" s="285" t="n"/>
      <c r="C484" s="284" t="n"/>
      <c r="D484" s="285" t="n"/>
      <c r="E484" s="354" t="n"/>
      <c r="F484" s="336" t="n"/>
      <c r="G484" s="336" t="n"/>
      <c r="H484" s="285" t="n"/>
      <c r="I484" s="285" t="n"/>
      <c r="J484" s="285" t="n"/>
      <c r="K484" s="285" t="n"/>
      <c r="L484" s="285" t="n"/>
      <c r="M484" s="285" t="n"/>
      <c r="N484" s="285" t="n"/>
      <c r="O484" s="285" t="n"/>
      <c r="P484" s="285" t="n"/>
      <c r="Q484" s="285" t="n"/>
      <c r="R484" s="284" t="n"/>
      <c r="S484" s="284" t="n"/>
      <c r="T484" s="285" t="n"/>
      <c r="U484" s="285" t="n"/>
      <c r="V484" s="285" t="n"/>
      <c r="W484" s="285" t="n"/>
      <c r="X484" s="285" t="n"/>
      <c r="Y484" s="285" t="n"/>
      <c r="Z484" s="285" t="n"/>
    </row>
    <row r="485" ht="15.75" customHeight="1" s="398">
      <c r="A485" s="284" t="n"/>
      <c r="B485" s="285" t="n"/>
      <c r="C485" s="284" t="n"/>
      <c r="D485" s="285" t="n"/>
      <c r="E485" s="354" t="n"/>
      <c r="F485" s="336" t="n"/>
      <c r="G485" s="336" t="n"/>
      <c r="H485" s="285" t="n"/>
      <c r="I485" s="285" t="n"/>
      <c r="J485" s="285" t="n"/>
      <c r="K485" s="285" t="n"/>
      <c r="L485" s="285" t="n"/>
      <c r="M485" s="285" t="n"/>
      <c r="N485" s="285" t="n"/>
      <c r="O485" s="285" t="n"/>
      <c r="P485" s="285" t="n"/>
      <c r="Q485" s="285" t="n"/>
      <c r="R485" s="284" t="n"/>
      <c r="S485" s="284" t="n"/>
      <c r="T485" s="285" t="n"/>
      <c r="U485" s="285" t="n"/>
      <c r="V485" s="285" t="n"/>
      <c r="W485" s="285" t="n"/>
      <c r="X485" s="285" t="n"/>
      <c r="Y485" s="285" t="n"/>
      <c r="Z485" s="285" t="n"/>
    </row>
    <row r="486" ht="15.75" customHeight="1" s="398">
      <c r="A486" s="284" t="n"/>
      <c r="B486" s="285" t="n"/>
      <c r="C486" s="284" t="n"/>
      <c r="D486" s="285" t="n"/>
      <c r="E486" s="354" t="n"/>
      <c r="F486" s="336" t="n"/>
      <c r="G486" s="336" t="n"/>
      <c r="H486" s="285" t="n"/>
      <c r="I486" s="285" t="n"/>
      <c r="J486" s="285" t="n"/>
      <c r="K486" s="285" t="n"/>
      <c r="L486" s="285" t="n"/>
      <c r="M486" s="285" t="n"/>
      <c r="N486" s="285" t="n"/>
      <c r="O486" s="285" t="n"/>
      <c r="P486" s="285" t="n"/>
      <c r="Q486" s="285" t="n"/>
      <c r="R486" s="284" t="n"/>
      <c r="S486" s="284" t="n"/>
      <c r="T486" s="285" t="n"/>
      <c r="U486" s="285" t="n"/>
      <c r="V486" s="285" t="n"/>
      <c r="W486" s="285" t="n"/>
      <c r="X486" s="285" t="n"/>
      <c r="Y486" s="285" t="n"/>
      <c r="Z486" s="285" t="n"/>
    </row>
    <row r="487" ht="15.75" customHeight="1" s="398">
      <c r="A487" s="284" t="n"/>
      <c r="B487" s="285" t="n"/>
      <c r="C487" s="284" t="n"/>
      <c r="D487" s="285" t="n"/>
      <c r="E487" s="354" t="n"/>
      <c r="F487" s="336" t="n"/>
      <c r="G487" s="336" t="n"/>
      <c r="H487" s="285" t="n"/>
      <c r="I487" s="285" t="n"/>
      <c r="J487" s="285" t="n"/>
      <c r="K487" s="285" t="n"/>
      <c r="L487" s="285" t="n"/>
      <c r="M487" s="285" t="n"/>
      <c r="N487" s="285" t="n"/>
      <c r="O487" s="285" t="n"/>
      <c r="P487" s="285" t="n"/>
      <c r="Q487" s="285" t="n"/>
      <c r="R487" s="284" t="n"/>
      <c r="S487" s="284" t="n"/>
      <c r="T487" s="285" t="n"/>
      <c r="U487" s="285" t="n"/>
      <c r="V487" s="285" t="n"/>
      <c r="W487" s="285" t="n"/>
      <c r="X487" s="285" t="n"/>
      <c r="Y487" s="285" t="n"/>
      <c r="Z487" s="285" t="n"/>
    </row>
    <row r="488" ht="15.75" customHeight="1" s="398">
      <c r="A488" s="284" t="n"/>
      <c r="B488" s="285" t="n"/>
      <c r="C488" s="284" t="n"/>
      <c r="D488" s="285" t="n"/>
      <c r="E488" s="354" t="n"/>
      <c r="F488" s="336" t="n"/>
      <c r="G488" s="336" t="n"/>
      <c r="H488" s="285" t="n"/>
      <c r="I488" s="285" t="n"/>
      <c r="J488" s="285" t="n"/>
      <c r="K488" s="285" t="n"/>
      <c r="L488" s="285" t="n"/>
      <c r="M488" s="285" t="n"/>
      <c r="N488" s="285" t="n"/>
      <c r="O488" s="285" t="n"/>
      <c r="P488" s="285" t="n"/>
      <c r="Q488" s="285" t="n"/>
      <c r="R488" s="284" t="n"/>
      <c r="S488" s="284" t="n"/>
      <c r="T488" s="285" t="n"/>
      <c r="U488" s="285" t="n"/>
      <c r="V488" s="285" t="n"/>
      <c r="W488" s="285" t="n"/>
      <c r="X488" s="285" t="n"/>
      <c r="Y488" s="285" t="n"/>
      <c r="Z488" s="285" t="n"/>
    </row>
    <row r="489" ht="15.75" customHeight="1" s="398">
      <c r="A489" s="284" t="n"/>
      <c r="B489" s="285" t="n"/>
      <c r="C489" s="284" t="n"/>
      <c r="D489" s="285" t="n"/>
      <c r="E489" s="354" t="n"/>
      <c r="F489" s="336" t="n"/>
      <c r="G489" s="336" t="n"/>
      <c r="H489" s="285" t="n"/>
      <c r="I489" s="285" t="n"/>
      <c r="J489" s="285" t="n"/>
      <c r="K489" s="285" t="n"/>
      <c r="L489" s="285" t="n"/>
      <c r="M489" s="285" t="n"/>
      <c r="N489" s="285" t="n"/>
      <c r="O489" s="285" t="n"/>
      <c r="P489" s="285" t="n"/>
      <c r="Q489" s="285" t="n"/>
      <c r="R489" s="284" t="n"/>
      <c r="S489" s="284" t="n"/>
      <c r="T489" s="285" t="n"/>
      <c r="U489" s="285" t="n"/>
      <c r="V489" s="285" t="n"/>
      <c r="W489" s="285" t="n"/>
      <c r="X489" s="285" t="n"/>
      <c r="Y489" s="285" t="n"/>
      <c r="Z489" s="285" t="n"/>
    </row>
    <row r="490" ht="15.75" customHeight="1" s="398">
      <c r="A490" s="284" t="n"/>
      <c r="B490" s="285" t="n"/>
      <c r="C490" s="284" t="n"/>
      <c r="D490" s="285" t="n"/>
      <c r="E490" s="354" t="n"/>
      <c r="F490" s="336" t="n"/>
      <c r="G490" s="336" t="n"/>
      <c r="H490" s="285" t="n"/>
      <c r="I490" s="285" t="n"/>
      <c r="J490" s="285" t="n"/>
      <c r="K490" s="285" t="n"/>
      <c r="L490" s="285" t="n"/>
      <c r="M490" s="285" t="n"/>
      <c r="N490" s="285" t="n"/>
      <c r="O490" s="285" t="n"/>
      <c r="P490" s="285" t="n"/>
      <c r="Q490" s="285" t="n"/>
      <c r="R490" s="284" t="n"/>
      <c r="S490" s="284" t="n"/>
      <c r="T490" s="285" t="n"/>
      <c r="U490" s="285" t="n"/>
      <c r="V490" s="285" t="n"/>
      <c r="W490" s="285" t="n"/>
      <c r="X490" s="285" t="n"/>
      <c r="Y490" s="285" t="n"/>
      <c r="Z490" s="285" t="n"/>
    </row>
    <row r="491" ht="15.75" customHeight="1" s="398">
      <c r="A491" s="284" t="n"/>
      <c r="B491" s="285" t="n"/>
      <c r="C491" s="284" t="n"/>
      <c r="D491" s="285" t="n"/>
      <c r="E491" s="354" t="n"/>
      <c r="F491" s="336" t="n"/>
      <c r="G491" s="336" t="n"/>
      <c r="H491" s="285" t="n"/>
      <c r="I491" s="285" t="n"/>
      <c r="J491" s="285" t="n"/>
      <c r="K491" s="285" t="n"/>
      <c r="L491" s="285" t="n"/>
      <c r="M491" s="285" t="n"/>
      <c r="N491" s="285" t="n"/>
      <c r="O491" s="285" t="n"/>
      <c r="P491" s="285" t="n"/>
      <c r="Q491" s="285" t="n"/>
      <c r="R491" s="284" t="n"/>
      <c r="S491" s="284" t="n"/>
      <c r="T491" s="285" t="n"/>
      <c r="U491" s="285" t="n"/>
      <c r="V491" s="285" t="n"/>
      <c r="W491" s="285" t="n"/>
      <c r="X491" s="285" t="n"/>
      <c r="Y491" s="285" t="n"/>
      <c r="Z491" s="285" t="n"/>
    </row>
    <row r="492" ht="15.75" customHeight="1" s="398">
      <c r="A492" s="284" t="n"/>
      <c r="B492" s="285" t="n"/>
      <c r="C492" s="284" t="n"/>
      <c r="D492" s="285" t="n"/>
      <c r="E492" s="354" t="n"/>
      <c r="F492" s="336" t="n"/>
      <c r="G492" s="336" t="n"/>
      <c r="H492" s="285" t="n"/>
      <c r="I492" s="285" t="n"/>
      <c r="J492" s="285" t="n"/>
      <c r="K492" s="285" t="n"/>
      <c r="L492" s="285" t="n"/>
      <c r="M492" s="285" t="n"/>
      <c r="N492" s="285" t="n"/>
      <c r="O492" s="285" t="n"/>
      <c r="P492" s="285" t="n"/>
      <c r="Q492" s="285" t="n"/>
      <c r="R492" s="284" t="n"/>
      <c r="S492" s="284" t="n"/>
      <c r="T492" s="285" t="n"/>
      <c r="U492" s="285" t="n"/>
      <c r="V492" s="285" t="n"/>
      <c r="W492" s="285" t="n"/>
      <c r="X492" s="285" t="n"/>
      <c r="Y492" s="285" t="n"/>
      <c r="Z492" s="285" t="n"/>
    </row>
    <row r="493" ht="15.75" customHeight="1" s="398">
      <c r="A493" s="284" t="n"/>
      <c r="B493" s="285" t="n"/>
      <c r="C493" s="284" t="n"/>
      <c r="D493" s="285" t="n"/>
      <c r="E493" s="354" t="n"/>
      <c r="F493" s="336" t="n"/>
      <c r="G493" s="336" t="n"/>
      <c r="H493" s="285" t="n"/>
      <c r="I493" s="285" t="n"/>
      <c r="J493" s="285" t="n"/>
      <c r="K493" s="285" t="n"/>
      <c r="L493" s="285" t="n"/>
      <c r="M493" s="285" t="n"/>
      <c r="N493" s="285" t="n"/>
      <c r="O493" s="285" t="n"/>
      <c r="P493" s="285" t="n"/>
      <c r="Q493" s="285" t="n"/>
      <c r="R493" s="284" t="n"/>
      <c r="S493" s="284" t="n"/>
      <c r="T493" s="285" t="n"/>
      <c r="U493" s="285" t="n"/>
      <c r="V493" s="285" t="n"/>
      <c r="W493" s="285" t="n"/>
      <c r="X493" s="285" t="n"/>
      <c r="Y493" s="285" t="n"/>
      <c r="Z493" s="285" t="n"/>
    </row>
    <row r="494" ht="15.75" customHeight="1" s="398">
      <c r="A494" s="284" t="n"/>
      <c r="B494" s="285" t="n"/>
      <c r="C494" s="284" t="n"/>
      <c r="D494" s="285" t="n"/>
      <c r="E494" s="354" t="n"/>
      <c r="F494" s="336" t="n"/>
      <c r="G494" s="336" t="n"/>
      <c r="H494" s="285" t="n"/>
      <c r="I494" s="285" t="n"/>
      <c r="J494" s="285" t="n"/>
      <c r="K494" s="285" t="n"/>
      <c r="L494" s="285" t="n"/>
      <c r="M494" s="285" t="n"/>
      <c r="N494" s="285" t="n"/>
      <c r="O494" s="285" t="n"/>
      <c r="P494" s="285" t="n"/>
      <c r="Q494" s="285" t="n"/>
      <c r="R494" s="284" t="n"/>
      <c r="S494" s="284" t="n"/>
      <c r="T494" s="285" t="n"/>
      <c r="U494" s="285" t="n"/>
      <c r="V494" s="285" t="n"/>
      <c r="W494" s="285" t="n"/>
      <c r="X494" s="285" t="n"/>
      <c r="Y494" s="285" t="n"/>
      <c r="Z494" s="285" t="n"/>
    </row>
    <row r="495" ht="15.75" customHeight="1" s="398">
      <c r="A495" s="284" t="n"/>
      <c r="B495" s="285" t="n"/>
      <c r="C495" s="284" t="n"/>
      <c r="D495" s="285" t="n"/>
      <c r="E495" s="354" t="n"/>
      <c r="F495" s="336" t="n"/>
      <c r="G495" s="336" t="n"/>
      <c r="H495" s="285" t="n"/>
      <c r="I495" s="285" t="n"/>
      <c r="J495" s="285" t="n"/>
      <c r="K495" s="285" t="n"/>
      <c r="L495" s="285" t="n"/>
      <c r="M495" s="285" t="n"/>
      <c r="N495" s="285" t="n"/>
      <c r="O495" s="285" t="n"/>
      <c r="P495" s="285" t="n"/>
      <c r="Q495" s="285" t="n"/>
      <c r="R495" s="284" t="n"/>
      <c r="S495" s="284" t="n"/>
      <c r="T495" s="285" t="n"/>
      <c r="U495" s="285" t="n"/>
      <c r="V495" s="285" t="n"/>
      <c r="W495" s="285" t="n"/>
      <c r="X495" s="285" t="n"/>
      <c r="Y495" s="285" t="n"/>
      <c r="Z495" s="285" t="n"/>
    </row>
    <row r="496" ht="15.75" customHeight="1" s="398">
      <c r="A496" s="284" t="n"/>
      <c r="B496" s="285" t="n"/>
      <c r="C496" s="284" t="n"/>
      <c r="D496" s="285" t="n"/>
      <c r="E496" s="354" t="n"/>
      <c r="F496" s="336" t="n"/>
      <c r="G496" s="336" t="n"/>
      <c r="H496" s="285" t="n"/>
      <c r="I496" s="285" t="n"/>
      <c r="J496" s="285" t="n"/>
      <c r="K496" s="285" t="n"/>
      <c r="L496" s="285" t="n"/>
      <c r="M496" s="285" t="n"/>
      <c r="N496" s="285" t="n"/>
      <c r="O496" s="285" t="n"/>
      <c r="P496" s="285" t="n"/>
      <c r="Q496" s="285" t="n"/>
      <c r="R496" s="284" t="n"/>
      <c r="S496" s="284" t="n"/>
      <c r="T496" s="285" t="n"/>
      <c r="U496" s="285" t="n"/>
      <c r="V496" s="285" t="n"/>
      <c r="W496" s="285" t="n"/>
      <c r="X496" s="285" t="n"/>
      <c r="Y496" s="285" t="n"/>
      <c r="Z496" s="285" t="n"/>
    </row>
    <row r="497" ht="15.75" customHeight="1" s="398">
      <c r="A497" s="284" t="n"/>
      <c r="B497" s="285" t="n"/>
      <c r="C497" s="284" t="n"/>
      <c r="D497" s="285" t="n"/>
      <c r="E497" s="354" t="n"/>
      <c r="F497" s="336" t="n"/>
      <c r="G497" s="336" t="n"/>
      <c r="H497" s="285" t="n"/>
      <c r="I497" s="285" t="n"/>
      <c r="J497" s="285" t="n"/>
      <c r="K497" s="285" t="n"/>
      <c r="L497" s="285" t="n"/>
      <c r="M497" s="285" t="n"/>
      <c r="N497" s="285" t="n"/>
      <c r="O497" s="285" t="n"/>
      <c r="P497" s="285" t="n"/>
      <c r="Q497" s="285" t="n"/>
      <c r="R497" s="284" t="n"/>
      <c r="S497" s="284" t="n"/>
      <c r="T497" s="285" t="n"/>
      <c r="U497" s="285" t="n"/>
      <c r="V497" s="285" t="n"/>
      <c r="W497" s="285" t="n"/>
      <c r="X497" s="285" t="n"/>
      <c r="Y497" s="285" t="n"/>
      <c r="Z497" s="285" t="n"/>
    </row>
    <row r="498" ht="15.75" customHeight="1" s="398">
      <c r="A498" s="284" t="n"/>
      <c r="B498" s="285" t="n"/>
      <c r="C498" s="284" t="n"/>
      <c r="D498" s="285" t="n"/>
      <c r="E498" s="354" t="n"/>
      <c r="F498" s="336" t="n"/>
      <c r="G498" s="336" t="n"/>
      <c r="H498" s="285" t="n"/>
      <c r="I498" s="285" t="n"/>
      <c r="J498" s="285" t="n"/>
      <c r="K498" s="285" t="n"/>
      <c r="L498" s="285" t="n"/>
      <c r="M498" s="285" t="n"/>
      <c r="N498" s="285" t="n"/>
      <c r="O498" s="285" t="n"/>
      <c r="P498" s="285" t="n"/>
      <c r="Q498" s="285" t="n"/>
      <c r="R498" s="284" t="n"/>
      <c r="S498" s="284" t="n"/>
      <c r="T498" s="285" t="n"/>
      <c r="U498" s="285" t="n"/>
      <c r="V498" s="285" t="n"/>
      <c r="W498" s="285" t="n"/>
      <c r="X498" s="285" t="n"/>
      <c r="Y498" s="285" t="n"/>
      <c r="Z498" s="285" t="n"/>
    </row>
    <row r="499" ht="15.75" customHeight="1" s="398">
      <c r="A499" s="284" t="n"/>
      <c r="B499" s="285" t="n"/>
      <c r="C499" s="284" t="n"/>
      <c r="D499" s="285" t="n"/>
      <c r="E499" s="354" t="n"/>
      <c r="F499" s="336" t="n"/>
      <c r="G499" s="336" t="n"/>
      <c r="H499" s="285" t="n"/>
      <c r="I499" s="285" t="n"/>
      <c r="J499" s="285" t="n"/>
      <c r="K499" s="285" t="n"/>
      <c r="L499" s="285" t="n"/>
      <c r="M499" s="285" t="n"/>
      <c r="N499" s="285" t="n"/>
      <c r="O499" s="285" t="n"/>
      <c r="P499" s="285" t="n"/>
      <c r="Q499" s="285" t="n"/>
      <c r="R499" s="284" t="n"/>
      <c r="S499" s="284" t="n"/>
      <c r="T499" s="285" t="n"/>
      <c r="U499" s="285" t="n"/>
      <c r="V499" s="285" t="n"/>
      <c r="W499" s="285" t="n"/>
      <c r="X499" s="285" t="n"/>
      <c r="Y499" s="285" t="n"/>
      <c r="Z499" s="285" t="n"/>
    </row>
    <row r="500" ht="15.75" customHeight="1" s="398">
      <c r="A500" s="284" t="n"/>
      <c r="B500" s="285" t="n"/>
      <c r="C500" s="284" t="n"/>
      <c r="D500" s="285" t="n"/>
      <c r="E500" s="354" t="n"/>
      <c r="F500" s="336" t="n"/>
      <c r="G500" s="336" t="n"/>
      <c r="H500" s="285" t="n"/>
      <c r="I500" s="285" t="n"/>
      <c r="J500" s="285" t="n"/>
      <c r="K500" s="285" t="n"/>
      <c r="L500" s="285" t="n"/>
      <c r="M500" s="285" t="n"/>
      <c r="N500" s="285" t="n"/>
      <c r="O500" s="285" t="n"/>
      <c r="P500" s="285" t="n"/>
      <c r="Q500" s="285" t="n"/>
      <c r="R500" s="284" t="n"/>
      <c r="S500" s="284" t="n"/>
      <c r="T500" s="285" t="n"/>
      <c r="U500" s="285" t="n"/>
      <c r="V500" s="285" t="n"/>
      <c r="W500" s="285" t="n"/>
      <c r="X500" s="285" t="n"/>
      <c r="Y500" s="285" t="n"/>
      <c r="Z500" s="285" t="n"/>
    </row>
    <row r="501" ht="15.75" customHeight="1" s="398">
      <c r="A501" s="284" t="n"/>
      <c r="B501" s="285" t="n"/>
      <c r="C501" s="284" t="n"/>
      <c r="D501" s="285" t="n"/>
      <c r="E501" s="354" t="n"/>
      <c r="F501" s="336" t="n"/>
      <c r="G501" s="336" t="n"/>
      <c r="H501" s="285" t="n"/>
      <c r="I501" s="285" t="n"/>
      <c r="J501" s="285" t="n"/>
      <c r="K501" s="285" t="n"/>
      <c r="L501" s="285" t="n"/>
      <c r="M501" s="285" t="n"/>
      <c r="N501" s="285" t="n"/>
      <c r="O501" s="285" t="n"/>
      <c r="P501" s="285" t="n"/>
      <c r="Q501" s="285" t="n"/>
      <c r="R501" s="284" t="n"/>
      <c r="S501" s="284" t="n"/>
      <c r="T501" s="285" t="n"/>
      <c r="U501" s="285" t="n"/>
      <c r="V501" s="285" t="n"/>
      <c r="W501" s="285" t="n"/>
      <c r="X501" s="285" t="n"/>
      <c r="Y501" s="285" t="n"/>
      <c r="Z501" s="285" t="n"/>
    </row>
    <row r="502" ht="15.75" customHeight="1" s="398">
      <c r="A502" s="284" t="n"/>
      <c r="B502" s="285" t="n"/>
      <c r="C502" s="284" t="n"/>
      <c r="D502" s="285" t="n"/>
      <c r="E502" s="354" t="n"/>
      <c r="F502" s="336" t="n"/>
      <c r="G502" s="336" t="n"/>
      <c r="H502" s="285" t="n"/>
      <c r="I502" s="285" t="n"/>
      <c r="J502" s="285" t="n"/>
      <c r="K502" s="285" t="n"/>
      <c r="L502" s="285" t="n"/>
      <c r="M502" s="285" t="n"/>
      <c r="N502" s="285" t="n"/>
      <c r="O502" s="285" t="n"/>
      <c r="P502" s="285" t="n"/>
      <c r="Q502" s="285" t="n"/>
      <c r="R502" s="284" t="n"/>
      <c r="S502" s="284" t="n"/>
      <c r="T502" s="285" t="n"/>
      <c r="U502" s="285" t="n"/>
      <c r="V502" s="285" t="n"/>
      <c r="W502" s="285" t="n"/>
      <c r="X502" s="285" t="n"/>
      <c r="Y502" s="285" t="n"/>
      <c r="Z502" s="285" t="n"/>
    </row>
    <row r="503" ht="15.75" customHeight="1" s="398">
      <c r="A503" s="284" t="n"/>
      <c r="B503" s="285" t="n"/>
      <c r="C503" s="284" t="n"/>
      <c r="D503" s="285" t="n"/>
      <c r="E503" s="354" t="n"/>
      <c r="F503" s="336" t="n"/>
      <c r="G503" s="336" t="n"/>
      <c r="H503" s="285" t="n"/>
      <c r="I503" s="285" t="n"/>
      <c r="J503" s="285" t="n"/>
      <c r="K503" s="285" t="n"/>
      <c r="L503" s="285" t="n"/>
      <c r="M503" s="285" t="n"/>
      <c r="N503" s="285" t="n"/>
      <c r="O503" s="285" t="n"/>
      <c r="P503" s="285" t="n"/>
      <c r="Q503" s="285" t="n"/>
      <c r="R503" s="284" t="n"/>
      <c r="S503" s="284" t="n"/>
      <c r="T503" s="285" t="n"/>
      <c r="U503" s="285" t="n"/>
      <c r="V503" s="285" t="n"/>
      <c r="W503" s="285" t="n"/>
      <c r="X503" s="285" t="n"/>
      <c r="Y503" s="285" t="n"/>
      <c r="Z503" s="285" t="n"/>
    </row>
    <row r="504" ht="15.75" customHeight="1" s="398">
      <c r="A504" s="284" t="n"/>
      <c r="B504" s="285" t="n"/>
      <c r="C504" s="284" t="n"/>
      <c r="D504" s="285" t="n"/>
      <c r="E504" s="354" t="n"/>
      <c r="F504" s="336" t="n"/>
      <c r="G504" s="336" t="n"/>
      <c r="H504" s="285" t="n"/>
      <c r="I504" s="285" t="n"/>
      <c r="J504" s="285" t="n"/>
      <c r="K504" s="285" t="n"/>
      <c r="L504" s="285" t="n"/>
      <c r="M504" s="285" t="n"/>
      <c r="N504" s="285" t="n"/>
      <c r="O504" s="285" t="n"/>
      <c r="P504" s="285" t="n"/>
      <c r="Q504" s="285" t="n"/>
      <c r="R504" s="284" t="n"/>
      <c r="S504" s="284" t="n"/>
      <c r="T504" s="285" t="n"/>
      <c r="U504" s="285" t="n"/>
      <c r="V504" s="285" t="n"/>
      <c r="W504" s="285" t="n"/>
      <c r="X504" s="285" t="n"/>
      <c r="Y504" s="285" t="n"/>
      <c r="Z504" s="285" t="n"/>
    </row>
    <row r="505" ht="15.75" customHeight="1" s="398">
      <c r="A505" s="284" t="n"/>
      <c r="B505" s="285" t="n"/>
      <c r="C505" s="284" t="n"/>
      <c r="D505" s="285" t="n"/>
      <c r="E505" s="354" t="n"/>
      <c r="F505" s="336" t="n"/>
      <c r="G505" s="336" t="n"/>
      <c r="H505" s="285" t="n"/>
      <c r="I505" s="285" t="n"/>
      <c r="J505" s="285" t="n"/>
      <c r="K505" s="285" t="n"/>
      <c r="L505" s="285" t="n"/>
      <c r="M505" s="285" t="n"/>
      <c r="N505" s="285" t="n"/>
      <c r="O505" s="285" t="n"/>
      <c r="P505" s="285" t="n"/>
      <c r="Q505" s="285" t="n"/>
      <c r="R505" s="284" t="n"/>
      <c r="S505" s="284" t="n"/>
      <c r="T505" s="285" t="n"/>
      <c r="U505" s="285" t="n"/>
      <c r="V505" s="285" t="n"/>
      <c r="W505" s="285" t="n"/>
      <c r="X505" s="285" t="n"/>
      <c r="Y505" s="285" t="n"/>
      <c r="Z505" s="285" t="n"/>
    </row>
    <row r="506" ht="15.75" customHeight="1" s="398">
      <c r="A506" s="284" t="n"/>
      <c r="B506" s="285" t="n"/>
      <c r="C506" s="284" t="n"/>
      <c r="D506" s="285" t="n"/>
      <c r="E506" s="354" t="n"/>
      <c r="F506" s="336" t="n"/>
      <c r="G506" s="336" t="n"/>
      <c r="H506" s="285" t="n"/>
      <c r="I506" s="285" t="n"/>
      <c r="J506" s="285" t="n"/>
      <c r="K506" s="285" t="n"/>
      <c r="L506" s="285" t="n"/>
      <c r="M506" s="285" t="n"/>
      <c r="N506" s="285" t="n"/>
      <c r="O506" s="285" t="n"/>
      <c r="P506" s="285" t="n"/>
      <c r="Q506" s="285" t="n"/>
      <c r="R506" s="284" t="n"/>
      <c r="S506" s="284" t="n"/>
      <c r="T506" s="285" t="n"/>
      <c r="U506" s="285" t="n"/>
      <c r="V506" s="285" t="n"/>
      <c r="W506" s="285" t="n"/>
      <c r="X506" s="285" t="n"/>
      <c r="Y506" s="285" t="n"/>
      <c r="Z506" s="285" t="n"/>
    </row>
    <row r="507" ht="15.75" customHeight="1" s="398">
      <c r="A507" s="284" t="n"/>
      <c r="B507" s="285" t="n"/>
      <c r="C507" s="284" t="n"/>
      <c r="D507" s="285" t="n"/>
      <c r="E507" s="354" t="n"/>
      <c r="F507" s="336" t="n"/>
      <c r="G507" s="336" t="n"/>
      <c r="H507" s="285" t="n"/>
      <c r="I507" s="285" t="n"/>
      <c r="J507" s="285" t="n"/>
      <c r="K507" s="285" t="n"/>
      <c r="L507" s="285" t="n"/>
      <c r="M507" s="285" t="n"/>
      <c r="N507" s="285" t="n"/>
      <c r="O507" s="285" t="n"/>
      <c r="P507" s="285" t="n"/>
      <c r="Q507" s="285" t="n"/>
      <c r="R507" s="284" t="n"/>
      <c r="S507" s="284" t="n"/>
      <c r="T507" s="285" t="n"/>
      <c r="U507" s="285" t="n"/>
      <c r="V507" s="285" t="n"/>
      <c r="W507" s="285" t="n"/>
      <c r="X507" s="285" t="n"/>
      <c r="Y507" s="285" t="n"/>
      <c r="Z507" s="285" t="n"/>
    </row>
    <row r="508" ht="15.75" customHeight="1" s="398">
      <c r="A508" s="284" t="n"/>
      <c r="B508" s="285" t="n"/>
      <c r="C508" s="284" t="n"/>
      <c r="D508" s="285" t="n"/>
      <c r="E508" s="354" t="n"/>
      <c r="F508" s="336" t="n"/>
      <c r="G508" s="336" t="n"/>
      <c r="H508" s="285" t="n"/>
      <c r="I508" s="285" t="n"/>
      <c r="J508" s="285" t="n"/>
      <c r="K508" s="285" t="n"/>
      <c r="L508" s="285" t="n"/>
      <c r="M508" s="285" t="n"/>
      <c r="N508" s="285" t="n"/>
      <c r="O508" s="285" t="n"/>
      <c r="P508" s="285" t="n"/>
      <c r="Q508" s="285" t="n"/>
      <c r="R508" s="284" t="n"/>
      <c r="S508" s="284" t="n"/>
      <c r="T508" s="285" t="n"/>
      <c r="U508" s="285" t="n"/>
      <c r="V508" s="285" t="n"/>
      <c r="W508" s="285" t="n"/>
      <c r="X508" s="285" t="n"/>
      <c r="Y508" s="285" t="n"/>
      <c r="Z508" s="285" t="n"/>
    </row>
    <row r="509" ht="15.75" customHeight="1" s="398">
      <c r="A509" s="284" t="n"/>
      <c r="B509" s="285" t="n"/>
      <c r="C509" s="284" t="n"/>
      <c r="D509" s="285" t="n"/>
      <c r="E509" s="354" t="n"/>
      <c r="F509" s="336" t="n"/>
      <c r="G509" s="336" t="n"/>
      <c r="H509" s="285" t="n"/>
      <c r="I509" s="285" t="n"/>
      <c r="J509" s="285" t="n"/>
      <c r="K509" s="285" t="n"/>
      <c r="L509" s="285" t="n"/>
      <c r="M509" s="285" t="n"/>
      <c r="N509" s="285" t="n"/>
      <c r="O509" s="285" t="n"/>
      <c r="P509" s="285" t="n"/>
      <c r="Q509" s="285" t="n"/>
      <c r="R509" s="284" t="n"/>
      <c r="S509" s="284" t="n"/>
      <c r="T509" s="285" t="n"/>
      <c r="U509" s="285" t="n"/>
      <c r="V509" s="285" t="n"/>
      <c r="W509" s="285" t="n"/>
      <c r="X509" s="285" t="n"/>
      <c r="Y509" s="285" t="n"/>
      <c r="Z509" s="285" t="n"/>
    </row>
    <row r="510" ht="15.75" customHeight="1" s="398">
      <c r="A510" s="284" t="n"/>
      <c r="B510" s="285" t="n"/>
      <c r="C510" s="284" t="n"/>
      <c r="D510" s="285" t="n"/>
      <c r="E510" s="354" t="n"/>
      <c r="F510" s="336" t="n"/>
      <c r="G510" s="336" t="n"/>
      <c r="H510" s="285" t="n"/>
      <c r="I510" s="285" t="n"/>
      <c r="J510" s="285" t="n"/>
      <c r="K510" s="285" t="n"/>
      <c r="L510" s="285" t="n"/>
      <c r="M510" s="285" t="n"/>
      <c r="N510" s="285" t="n"/>
      <c r="O510" s="285" t="n"/>
      <c r="P510" s="285" t="n"/>
      <c r="Q510" s="285" t="n"/>
      <c r="R510" s="284" t="n"/>
      <c r="S510" s="284" t="n"/>
      <c r="T510" s="285" t="n"/>
      <c r="U510" s="285" t="n"/>
      <c r="V510" s="285" t="n"/>
      <c r="W510" s="285" t="n"/>
      <c r="X510" s="285" t="n"/>
      <c r="Y510" s="285" t="n"/>
      <c r="Z510" s="285" t="n"/>
    </row>
    <row r="511" ht="15.75" customHeight="1" s="398">
      <c r="A511" s="284" t="n"/>
      <c r="B511" s="285" t="n"/>
      <c r="C511" s="284" t="n"/>
      <c r="D511" s="285" t="n"/>
      <c r="E511" s="354" t="n"/>
      <c r="F511" s="336" t="n"/>
      <c r="G511" s="336" t="n"/>
      <c r="H511" s="285" t="n"/>
      <c r="I511" s="285" t="n"/>
      <c r="J511" s="285" t="n"/>
      <c r="K511" s="285" t="n"/>
      <c r="L511" s="285" t="n"/>
      <c r="M511" s="285" t="n"/>
      <c r="N511" s="285" t="n"/>
      <c r="O511" s="285" t="n"/>
      <c r="P511" s="285" t="n"/>
      <c r="Q511" s="285" t="n"/>
      <c r="R511" s="284" t="n"/>
      <c r="S511" s="284" t="n"/>
      <c r="T511" s="285" t="n"/>
      <c r="U511" s="285" t="n"/>
      <c r="V511" s="285" t="n"/>
      <c r="W511" s="285" t="n"/>
      <c r="X511" s="285" t="n"/>
      <c r="Y511" s="285" t="n"/>
      <c r="Z511" s="285" t="n"/>
    </row>
    <row r="512" ht="15.75" customHeight="1" s="398">
      <c r="A512" s="284" t="n"/>
      <c r="B512" s="285" t="n"/>
      <c r="C512" s="284" t="n"/>
      <c r="D512" s="285" t="n"/>
      <c r="E512" s="354" t="n"/>
      <c r="F512" s="336" t="n"/>
      <c r="G512" s="336" t="n"/>
      <c r="H512" s="285" t="n"/>
      <c r="I512" s="285" t="n"/>
      <c r="J512" s="285" t="n"/>
      <c r="K512" s="285" t="n"/>
      <c r="L512" s="285" t="n"/>
      <c r="M512" s="285" t="n"/>
      <c r="N512" s="285" t="n"/>
      <c r="O512" s="285" t="n"/>
      <c r="P512" s="285" t="n"/>
      <c r="Q512" s="285" t="n"/>
      <c r="R512" s="284" t="n"/>
      <c r="S512" s="284" t="n"/>
      <c r="T512" s="285" t="n"/>
      <c r="U512" s="285" t="n"/>
      <c r="V512" s="285" t="n"/>
      <c r="W512" s="285" t="n"/>
      <c r="X512" s="285" t="n"/>
      <c r="Y512" s="285" t="n"/>
      <c r="Z512" s="285" t="n"/>
    </row>
    <row r="513" ht="15.75" customHeight="1" s="398">
      <c r="A513" s="284" t="n"/>
      <c r="B513" s="285" t="n"/>
      <c r="C513" s="284" t="n"/>
      <c r="D513" s="285" t="n"/>
      <c r="E513" s="354" t="n"/>
      <c r="F513" s="336" t="n"/>
      <c r="G513" s="336" t="n"/>
      <c r="H513" s="285" t="n"/>
      <c r="I513" s="285" t="n"/>
      <c r="J513" s="285" t="n"/>
      <c r="K513" s="285" t="n"/>
      <c r="L513" s="285" t="n"/>
      <c r="M513" s="285" t="n"/>
      <c r="N513" s="285" t="n"/>
      <c r="O513" s="285" t="n"/>
      <c r="P513" s="285" t="n"/>
      <c r="Q513" s="285" t="n"/>
      <c r="R513" s="284" t="n"/>
      <c r="S513" s="284" t="n"/>
      <c r="T513" s="285" t="n"/>
      <c r="U513" s="285" t="n"/>
      <c r="V513" s="285" t="n"/>
      <c r="W513" s="285" t="n"/>
      <c r="X513" s="285" t="n"/>
      <c r="Y513" s="285" t="n"/>
      <c r="Z513" s="285" t="n"/>
    </row>
    <row r="514" ht="15.75" customHeight="1" s="398">
      <c r="A514" s="284" t="n"/>
      <c r="B514" s="285" t="n"/>
      <c r="C514" s="284" t="n"/>
      <c r="D514" s="285" t="n"/>
      <c r="E514" s="354" t="n"/>
      <c r="F514" s="336" t="n"/>
      <c r="G514" s="336" t="n"/>
      <c r="H514" s="285" t="n"/>
      <c r="I514" s="285" t="n"/>
      <c r="J514" s="285" t="n"/>
      <c r="K514" s="285" t="n"/>
      <c r="L514" s="285" t="n"/>
      <c r="M514" s="285" t="n"/>
      <c r="N514" s="285" t="n"/>
      <c r="O514" s="285" t="n"/>
      <c r="P514" s="285" t="n"/>
      <c r="Q514" s="285" t="n"/>
      <c r="R514" s="284" t="n"/>
      <c r="S514" s="284" t="n"/>
      <c r="T514" s="285" t="n"/>
      <c r="U514" s="285" t="n"/>
      <c r="V514" s="285" t="n"/>
      <c r="W514" s="285" t="n"/>
      <c r="X514" s="285" t="n"/>
      <c r="Y514" s="285" t="n"/>
      <c r="Z514" s="285" t="n"/>
    </row>
    <row r="515" ht="15.75" customHeight="1" s="398">
      <c r="A515" s="284" t="n"/>
      <c r="B515" s="285" t="n"/>
      <c r="C515" s="284" t="n"/>
      <c r="D515" s="285" t="n"/>
      <c r="E515" s="354" t="n"/>
      <c r="F515" s="336" t="n"/>
      <c r="G515" s="336" t="n"/>
      <c r="H515" s="285" t="n"/>
      <c r="I515" s="285" t="n"/>
      <c r="J515" s="285" t="n"/>
      <c r="K515" s="285" t="n"/>
      <c r="L515" s="285" t="n"/>
      <c r="M515" s="285" t="n"/>
      <c r="N515" s="285" t="n"/>
      <c r="O515" s="285" t="n"/>
      <c r="P515" s="285" t="n"/>
      <c r="Q515" s="285" t="n"/>
      <c r="R515" s="284" t="n"/>
      <c r="S515" s="284" t="n"/>
      <c r="T515" s="285" t="n"/>
      <c r="U515" s="285" t="n"/>
      <c r="V515" s="285" t="n"/>
      <c r="W515" s="285" t="n"/>
      <c r="X515" s="285" t="n"/>
      <c r="Y515" s="285" t="n"/>
      <c r="Z515" s="285" t="n"/>
    </row>
    <row r="516" ht="15.75" customHeight="1" s="398">
      <c r="A516" s="284" t="n"/>
      <c r="B516" s="285" t="n"/>
      <c r="C516" s="284" t="n"/>
      <c r="D516" s="285" t="n"/>
      <c r="E516" s="354" t="n"/>
      <c r="F516" s="336" t="n"/>
      <c r="G516" s="336" t="n"/>
      <c r="H516" s="285" t="n"/>
      <c r="I516" s="285" t="n"/>
      <c r="J516" s="285" t="n"/>
      <c r="K516" s="285" t="n"/>
      <c r="L516" s="285" t="n"/>
      <c r="M516" s="285" t="n"/>
      <c r="N516" s="285" t="n"/>
      <c r="O516" s="285" t="n"/>
      <c r="P516" s="285" t="n"/>
      <c r="Q516" s="285" t="n"/>
      <c r="R516" s="284" t="n"/>
      <c r="S516" s="284" t="n"/>
      <c r="T516" s="285" t="n"/>
      <c r="U516" s="285" t="n"/>
      <c r="V516" s="285" t="n"/>
      <c r="W516" s="285" t="n"/>
      <c r="X516" s="285" t="n"/>
      <c r="Y516" s="285" t="n"/>
      <c r="Z516" s="285" t="n"/>
    </row>
    <row r="517" ht="15.75" customHeight="1" s="398">
      <c r="A517" s="284" t="n"/>
      <c r="B517" s="285" t="n"/>
      <c r="C517" s="284" t="n"/>
      <c r="D517" s="285" t="n"/>
      <c r="E517" s="354" t="n"/>
      <c r="F517" s="336" t="n"/>
      <c r="G517" s="336" t="n"/>
      <c r="H517" s="285" t="n"/>
      <c r="I517" s="285" t="n"/>
      <c r="J517" s="285" t="n"/>
      <c r="K517" s="285" t="n"/>
      <c r="L517" s="285" t="n"/>
      <c r="M517" s="285" t="n"/>
      <c r="N517" s="285" t="n"/>
      <c r="O517" s="285" t="n"/>
      <c r="P517" s="285" t="n"/>
      <c r="Q517" s="285" t="n"/>
      <c r="R517" s="284" t="n"/>
      <c r="S517" s="284" t="n"/>
      <c r="T517" s="285" t="n"/>
      <c r="U517" s="285" t="n"/>
      <c r="V517" s="285" t="n"/>
      <c r="W517" s="285" t="n"/>
      <c r="X517" s="285" t="n"/>
      <c r="Y517" s="285" t="n"/>
      <c r="Z517" s="285" t="n"/>
    </row>
    <row r="518" ht="15.75" customHeight="1" s="398">
      <c r="A518" s="284" t="n"/>
      <c r="B518" s="285" t="n"/>
      <c r="C518" s="284" t="n"/>
      <c r="D518" s="285" t="n"/>
      <c r="E518" s="354" t="n"/>
      <c r="F518" s="336" t="n"/>
      <c r="G518" s="336" t="n"/>
      <c r="H518" s="285" t="n"/>
      <c r="I518" s="285" t="n"/>
      <c r="J518" s="285" t="n"/>
      <c r="K518" s="285" t="n"/>
      <c r="L518" s="285" t="n"/>
      <c r="M518" s="285" t="n"/>
      <c r="N518" s="285" t="n"/>
      <c r="O518" s="285" t="n"/>
      <c r="P518" s="285" t="n"/>
      <c r="Q518" s="285" t="n"/>
      <c r="R518" s="284" t="n"/>
      <c r="S518" s="284" t="n"/>
      <c r="T518" s="285" t="n"/>
      <c r="U518" s="285" t="n"/>
      <c r="V518" s="285" t="n"/>
      <c r="W518" s="285" t="n"/>
      <c r="X518" s="285" t="n"/>
      <c r="Y518" s="285" t="n"/>
      <c r="Z518" s="285" t="n"/>
    </row>
    <row r="519" ht="15.75" customHeight="1" s="398">
      <c r="A519" s="284" t="n"/>
      <c r="B519" s="285" t="n"/>
      <c r="C519" s="284" t="n"/>
      <c r="D519" s="285" t="n"/>
      <c r="E519" s="354" t="n"/>
      <c r="F519" s="336" t="n"/>
      <c r="G519" s="336" t="n"/>
      <c r="H519" s="285" t="n"/>
      <c r="I519" s="285" t="n"/>
      <c r="J519" s="285" t="n"/>
      <c r="K519" s="285" t="n"/>
      <c r="L519" s="285" t="n"/>
      <c r="M519" s="285" t="n"/>
      <c r="N519" s="285" t="n"/>
      <c r="O519" s="285" t="n"/>
      <c r="P519" s="285" t="n"/>
      <c r="Q519" s="285" t="n"/>
      <c r="R519" s="284" t="n"/>
      <c r="S519" s="284" t="n"/>
      <c r="T519" s="285" t="n"/>
      <c r="U519" s="285" t="n"/>
      <c r="V519" s="285" t="n"/>
      <c r="W519" s="285" t="n"/>
      <c r="X519" s="285" t="n"/>
      <c r="Y519" s="285" t="n"/>
      <c r="Z519" s="285" t="n"/>
    </row>
    <row r="520" ht="15.75" customHeight="1" s="398">
      <c r="A520" s="284" t="n"/>
      <c r="B520" s="285" t="n"/>
      <c r="C520" s="284" t="n"/>
      <c r="D520" s="285" t="n"/>
      <c r="E520" s="354" t="n"/>
      <c r="F520" s="336" t="n"/>
      <c r="G520" s="336" t="n"/>
      <c r="H520" s="285" t="n"/>
      <c r="I520" s="285" t="n"/>
      <c r="J520" s="285" t="n"/>
      <c r="K520" s="285" t="n"/>
      <c r="L520" s="285" t="n"/>
      <c r="M520" s="285" t="n"/>
      <c r="N520" s="285" t="n"/>
      <c r="O520" s="285" t="n"/>
      <c r="P520" s="285" t="n"/>
      <c r="Q520" s="285" t="n"/>
      <c r="R520" s="284" t="n"/>
      <c r="S520" s="284" t="n"/>
      <c r="T520" s="285" t="n"/>
      <c r="U520" s="285" t="n"/>
      <c r="V520" s="285" t="n"/>
      <c r="W520" s="285" t="n"/>
      <c r="X520" s="285" t="n"/>
      <c r="Y520" s="285" t="n"/>
      <c r="Z520" s="285" t="n"/>
    </row>
    <row r="521" ht="15.75" customHeight="1" s="398">
      <c r="A521" s="284" t="n"/>
      <c r="B521" s="285" t="n"/>
      <c r="C521" s="284" t="n"/>
      <c r="D521" s="285" t="n"/>
      <c r="E521" s="354" t="n"/>
      <c r="F521" s="336" t="n"/>
      <c r="G521" s="336" t="n"/>
      <c r="H521" s="285" t="n"/>
      <c r="I521" s="285" t="n"/>
      <c r="J521" s="285" t="n"/>
      <c r="K521" s="285" t="n"/>
      <c r="L521" s="285" t="n"/>
      <c r="M521" s="285" t="n"/>
      <c r="N521" s="285" t="n"/>
      <c r="O521" s="285" t="n"/>
      <c r="P521" s="285" t="n"/>
      <c r="Q521" s="285" t="n"/>
      <c r="R521" s="284" t="n"/>
      <c r="S521" s="284" t="n"/>
      <c r="T521" s="285" t="n"/>
      <c r="U521" s="285" t="n"/>
      <c r="V521" s="285" t="n"/>
      <c r="W521" s="285" t="n"/>
      <c r="X521" s="285" t="n"/>
      <c r="Y521" s="285" t="n"/>
      <c r="Z521" s="285" t="n"/>
    </row>
    <row r="522" ht="15.75" customHeight="1" s="398">
      <c r="A522" s="284" t="n"/>
      <c r="B522" s="285" t="n"/>
      <c r="C522" s="284" t="n"/>
      <c r="D522" s="285" t="n"/>
      <c r="E522" s="354" t="n"/>
      <c r="F522" s="336" t="n"/>
      <c r="G522" s="336" t="n"/>
      <c r="H522" s="285" t="n"/>
      <c r="I522" s="285" t="n"/>
      <c r="J522" s="285" t="n"/>
      <c r="K522" s="285" t="n"/>
      <c r="L522" s="285" t="n"/>
      <c r="M522" s="285" t="n"/>
      <c r="N522" s="285" t="n"/>
      <c r="O522" s="285" t="n"/>
      <c r="P522" s="285" t="n"/>
      <c r="Q522" s="285" t="n"/>
      <c r="R522" s="284" t="n"/>
      <c r="S522" s="284" t="n"/>
      <c r="T522" s="285" t="n"/>
      <c r="U522" s="285" t="n"/>
      <c r="V522" s="285" t="n"/>
      <c r="W522" s="285" t="n"/>
      <c r="X522" s="285" t="n"/>
      <c r="Y522" s="285" t="n"/>
      <c r="Z522" s="285" t="n"/>
    </row>
    <row r="523" ht="15.75" customHeight="1" s="398">
      <c r="A523" s="284" t="n"/>
      <c r="B523" s="285" t="n"/>
      <c r="C523" s="284" t="n"/>
      <c r="D523" s="285" t="n"/>
      <c r="E523" s="354" t="n"/>
      <c r="F523" s="336" t="n"/>
      <c r="G523" s="336" t="n"/>
      <c r="H523" s="285" t="n"/>
      <c r="I523" s="285" t="n"/>
      <c r="J523" s="285" t="n"/>
      <c r="K523" s="285" t="n"/>
      <c r="L523" s="285" t="n"/>
      <c r="M523" s="285" t="n"/>
      <c r="N523" s="285" t="n"/>
      <c r="O523" s="285" t="n"/>
      <c r="P523" s="285" t="n"/>
      <c r="Q523" s="285" t="n"/>
      <c r="R523" s="284" t="n"/>
      <c r="S523" s="284" t="n"/>
      <c r="T523" s="285" t="n"/>
      <c r="U523" s="285" t="n"/>
      <c r="V523" s="285" t="n"/>
      <c r="W523" s="285" t="n"/>
      <c r="X523" s="285" t="n"/>
      <c r="Y523" s="285" t="n"/>
      <c r="Z523" s="285" t="n"/>
    </row>
    <row r="524" ht="15.75" customHeight="1" s="398">
      <c r="A524" s="284" t="n"/>
      <c r="B524" s="285" t="n"/>
      <c r="C524" s="284" t="n"/>
      <c r="D524" s="285" t="n"/>
      <c r="E524" s="354" t="n"/>
      <c r="F524" s="336" t="n"/>
      <c r="G524" s="336" t="n"/>
      <c r="H524" s="285" t="n"/>
      <c r="I524" s="285" t="n"/>
      <c r="J524" s="285" t="n"/>
      <c r="K524" s="285" t="n"/>
      <c r="L524" s="285" t="n"/>
      <c r="M524" s="285" t="n"/>
      <c r="N524" s="285" t="n"/>
      <c r="O524" s="285" t="n"/>
      <c r="P524" s="285" t="n"/>
      <c r="Q524" s="285" t="n"/>
      <c r="R524" s="284" t="n"/>
      <c r="S524" s="284" t="n"/>
      <c r="T524" s="285" t="n"/>
      <c r="U524" s="285" t="n"/>
      <c r="V524" s="285" t="n"/>
      <c r="W524" s="285" t="n"/>
      <c r="X524" s="285" t="n"/>
      <c r="Y524" s="285" t="n"/>
      <c r="Z524" s="285" t="n"/>
    </row>
    <row r="525" ht="15.75" customHeight="1" s="398">
      <c r="A525" s="284" t="n"/>
      <c r="B525" s="285" t="n"/>
      <c r="C525" s="284" t="n"/>
      <c r="D525" s="285" t="n"/>
      <c r="E525" s="354" t="n"/>
      <c r="F525" s="336" t="n"/>
      <c r="G525" s="336" t="n"/>
      <c r="H525" s="285" t="n"/>
      <c r="I525" s="285" t="n"/>
      <c r="J525" s="285" t="n"/>
      <c r="K525" s="285" t="n"/>
      <c r="L525" s="285" t="n"/>
      <c r="M525" s="285" t="n"/>
      <c r="N525" s="285" t="n"/>
      <c r="O525" s="285" t="n"/>
      <c r="P525" s="285" t="n"/>
      <c r="Q525" s="285" t="n"/>
      <c r="R525" s="284" t="n"/>
      <c r="S525" s="284" t="n"/>
      <c r="T525" s="285" t="n"/>
      <c r="U525" s="285" t="n"/>
      <c r="V525" s="285" t="n"/>
      <c r="W525" s="285" t="n"/>
      <c r="X525" s="285" t="n"/>
      <c r="Y525" s="285" t="n"/>
      <c r="Z525" s="285" t="n"/>
    </row>
    <row r="526" ht="15.75" customHeight="1" s="398">
      <c r="A526" s="284" t="n"/>
      <c r="B526" s="285" t="n"/>
      <c r="C526" s="284" t="n"/>
      <c r="D526" s="285" t="n"/>
      <c r="E526" s="354" t="n"/>
      <c r="F526" s="336" t="n"/>
      <c r="G526" s="336" t="n"/>
      <c r="H526" s="285" t="n"/>
      <c r="I526" s="285" t="n"/>
      <c r="J526" s="285" t="n"/>
      <c r="K526" s="285" t="n"/>
      <c r="L526" s="285" t="n"/>
      <c r="M526" s="285" t="n"/>
      <c r="N526" s="285" t="n"/>
      <c r="O526" s="285" t="n"/>
      <c r="P526" s="285" t="n"/>
      <c r="Q526" s="285" t="n"/>
      <c r="R526" s="284" t="n"/>
      <c r="S526" s="284" t="n"/>
      <c r="T526" s="285" t="n"/>
      <c r="U526" s="285" t="n"/>
      <c r="V526" s="285" t="n"/>
      <c r="W526" s="285" t="n"/>
      <c r="X526" s="285" t="n"/>
      <c r="Y526" s="285" t="n"/>
      <c r="Z526" s="285" t="n"/>
    </row>
    <row r="527" ht="15.75" customHeight="1" s="398">
      <c r="A527" s="284" t="n"/>
      <c r="B527" s="285" t="n"/>
      <c r="C527" s="284" t="n"/>
      <c r="D527" s="285" t="n"/>
      <c r="E527" s="354" t="n"/>
      <c r="F527" s="336" t="n"/>
      <c r="G527" s="336" t="n"/>
      <c r="H527" s="285" t="n"/>
      <c r="I527" s="285" t="n"/>
      <c r="J527" s="285" t="n"/>
      <c r="K527" s="285" t="n"/>
      <c r="L527" s="285" t="n"/>
      <c r="M527" s="285" t="n"/>
      <c r="N527" s="285" t="n"/>
      <c r="O527" s="285" t="n"/>
      <c r="P527" s="285" t="n"/>
      <c r="Q527" s="285" t="n"/>
      <c r="R527" s="284" t="n"/>
      <c r="S527" s="284" t="n"/>
      <c r="T527" s="285" t="n"/>
      <c r="U527" s="285" t="n"/>
      <c r="V527" s="285" t="n"/>
      <c r="W527" s="285" t="n"/>
      <c r="X527" s="285" t="n"/>
      <c r="Y527" s="285" t="n"/>
      <c r="Z527" s="285" t="n"/>
    </row>
    <row r="528" ht="15.75" customHeight="1" s="398">
      <c r="A528" s="284" t="n"/>
      <c r="B528" s="285" t="n"/>
      <c r="C528" s="284" t="n"/>
      <c r="D528" s="285" t="n"/>
      <c r="E528" s="354" t="n"/>
      <c r="F528" s="336" t="n"/>
      <c r="G528" s="336" t="n"/>
      <c r="H528" s="285" t="n"/>
      <c r="I528" s="285" t="n"/>
      <c r="J528" s="285" t="n"/>
      <c r="K528" s="285" t="n"/>
      <c r="L528" s="285" t="n"/>
      <c r="M528" s="285" t="n"/>
      <c r="N528" s="285" t="n"/>
      <c r="O528" s="285" t="n"/>
      <c r="P528" s="285" t="n"/>
      <c r="Q528" s="285" t="n"/>
      <c r="R528" s="284" t="n"/>
      <c r="S528" s="284" t="n"/>
      <c r="T528" s="285" t="n"/>
      <c r="U528" s="285" t="n"/>
      <c r="V528" s="285" t="n"/>
      <c r="W528" s="285" t="n"/>
      <c r="X528" s="285" t="n"/>
      <c r="Y528" s="285" t="n"/>
      <c r="Z528" s="285" t="n"/>
    </row>
    <row r="529" ht="15.75" customHeight="1" s="398">
      <c r="A529" s="284" t="n"/>
      <c r="B529" s="285" t="n"/>
      <c r="C529" s="284" t="n"/>
      <c r="D529" s="285" t="n"/>
      <c r="E529" s="354" t="n"/>
      <c r="F529" s="336" t="n"/>
      <c r="G529" s="336" t="n"/>
      <c r="H529" s="285" t="n"/>
      <c r="I529" s="285" t="n"/>
      <c r="J529" s="285" t="n"/>
      <c r="K529" s="285" t="n"/>
      <c r="L529" s="285" t="n"/>
      <c r="M529" s="285" t="n"/>
      <c r="N529" s="285" t="n"/>
      <c r="O529" s="285" t="n"/>
      <c r="P529" s="285" t="n"/>
      <c r="Q529" s="285" t="n"/>
      <c r="R529" s="284" t="n"/>
      <c r="S529" s="284" t="n"/>
      <c r="T529" s="285" t="n"/>
      <c r="U529" s="285" t="n"/>
      <c r="V529" s="285" t="n"/>
      <c r="W529" s="285" t="n"/>
      <c r="X529" s="285" t="n"/>
      <c r="Y529" s="285" t="n"/>
      <c r="Z529" s="285" t="n"/>
    </row>
    <row r="530" ht="15.75" customHeight="1" s="398">
      <c r="A530" s="284" t="n"/>
      <c r="B530" s="285" t="n"/>
      <c r="C530" s="284" t="n"/>
      <c r="D530" s="285" t="n"/>
      <c r="E530" s="354" t="n"/>
      <c r="F530" s="336" t="n"/>
      <c r="G530" s="336" t="n"/>
      <c r="H530" s="285" t="n"/>
      <c r="I530" s="285" t="n"/>
      <c r="J530" s="285" t="n"/>
      <c r="K530" s="285" t="n"/>
      <c r="L530" s="285" t="n"/>
      <c r="M530" s="285" t="n"/>
      <c r="N530" s="285" t="n"/>
      <c r="O530" s="285" t="n"/>
      <c r="P530" s="285" t="n"/>
      <c r="Q530" s="285" t="n"/>
      <c r="R530" s="284" t="n"/>
      <c r="S530" s="284" t="n"/>
      <c r="T530" s="285" t="n"/>
      <c r="U530" s="285" t="n"/>
      <c r="V530" s="285" t="n"/>
      <c r="W530" s="285" t="n"/>
      <c r="X530" s="285" t="n"/>
      <c r="Y530" s="285" t="n"/>
      <c r="Z530" s="285" t="n"/>
    </row>
    <row r="531" ht="15.75" customHeight="1" s="398">
      <c r="A531" s="284" t="n"/>
      <c r="B531" s="285" t="n"/>
      <c r="C531" s="284" t="n"/>
      <c r="D531" s="285" t="n"/>
      <c r="E531" s="354" t="n"/>
      <c r="F531" s="336" t="n"/>
      <c r="G531" s="336" t="n"/>
      <c r="H531" s="285" t="n"/>
      <c r="I531" s="285" t="n"/>
      <c r="J531" s="285" t="n"/>
      <c r="K531" s="285" t="n"/>
      <c r="L531" s="285" t="n"/>
      <c r="M531" s="285" t="n"/>
      <c r="N531" s="285" t="n"/>
      <c r="O531" s="285" t="n"/>
      <c r="P531" s="285" t="n"/>
      <c r="Q531" s="285" t="n"/>
      <c r="R531" s="284" t="n"/>
      <c r="S531" s="284" t="n"/>
      <c r="T531" s="285" t="n"/>
      <c r="U531" s="285" t="n"/>
      <c r="V531" s="285" t="n"/>
      <c r="W531" s="285" t="n"/>
      <c r="X531" s="285" t="n"/>
      <c r="Y531" s="285" t="n"/>
      <c r="Z531" s="285" t="n"/>
    </row>
    <row r="532" ht="15.75" customHeight="1" s="398">
      <c r="A532" s="284" t="n"/>
      <c r="B532" s="285" t="n"/>
      <c r="C532" s="284" t="n"/>
      <c r="D532" s="285" t="n"/>
      <c r="E532" s="354" t="n"/>
      <c r="F532" s="336" t="n"/>
      <c r="G532" s="336" t="n"/>
      <c r="H532" s="285" t="n"/>
      <c r="I532" s="285" t="n"/>
      <c r="J532" s="285" t="n"/>
      <c r="K532" s="285" t="n"/>
      <c r="L532" s="285" t="n"/>
      <c r="M532" s="285" t="n"/>
      <c r="N532" s="285" t="n"/>
      <c r="O532" s="285" t="n"/>
      <c r="P532" s="285" t="n"/>
      <c r="Q532" s="285" t="n"/>
      <c r="R532" s="284" t="n"/>
      <c r="S532" s="284" t="n"/>
      <c r="T532" s="285" t="n"/>
      <c r="U532" s="285" t="n"/>
      <c r="V532" s="285" t="n"/>
      <c r="W532" s="285" t="n"/>
      <c r="X532" s="285" t="n"/>
      <c r="Y532" s="285" t="n"/>
      <c r="Z532" s="285" t="n"/>
    </row>
    <row r="533" ht="15.75" customHeight="1" s="398">
      <c r="A533" s="284" t="n"/>
      <c r="B533" s="285" t="n"/>
      <c r="C533" s="284" t="n"/>
      <c r="D533" s="285" t="n"/>
      <c r="E533" s="354" t="n"/>
      <c r="F533" s="336" t="n"/>
      <c r="G533" s="336" t="n"/>
      <c r="H533" s="285" t="n"/>
      <c r="I533" s="285" t="n"/>
      <c r="J533" s="285" t="n"/>
      <c r="K533" s="285" t="n"/>
      <c r="L533" s="285" t="n"/>
      <c r="M533" s="285" t="n"/>
      <c r="N533" s="285" t="n"/>
      <c r="O533" s="285" t="n"/>
      <c r="P533" s="285" t="n"/>
      <c r="Q533" s="285" t="n"/>
      <c r="R533" s="284" t="n"/>
      <c r="S533" s="284" t="n"/>
      <c r="T533" s="285" t="n"/>
      <c r="U533" s="285" t="n"/>
      <c r="V533" s="285" t="n"/>
      <c r="W533" s="285" t="n"/>
      <c r="X533" s="285" t="n"/>
      <c r="Y533" s="285" t="n"/>
      <c r="Z533" s="285" t="n"/>
    </row>
    <row r="534" ht="15.75" customHeight="1" s="398">
      <c r="A534" s="284" t="n"/>
      <c r="B534" s="285" t="n"/>
      <c r="C534" s="284" t="n"/>
      <c r="D534" s="285" t="n"/>
      <c r="E534" s="354" t="n"/>
      <c r="F534" s="336" t="n"/>
      <c r="G534" s="336" t="n"/>
      <c r="H534" s="285" t="n"/>
      <c r="I534" s="285" t="n"/>
      <c r="J534" s="285" t="n"/>
      <c r="K534" s="285" t="n"/>
      <c r="L534" s="285" t="n"/>
      <c r="M534" s="285" t="n"/>
      <c r="N534" s="285" t="n"/>
      <c r="O534" s="285" t="n"/>
      <c r="P534" s="285" t="n"/>
      <c r="Q534" s="285" t="n"/>
      <c r="R534" s="284" t="n"/>
      <c r="S534" s="284" t="n"/>
      <c r="T534" s="285" t="n"/>
      <c r="U534" s="285" t="n"/>
      <c r="V534" s="285" t="n"/>
      <c r="W534" s="285" t="n"/>
      <c r="X534" s="285" t="n"/>
      <c r="Y534" s="285" t="n"/>
      <c r="Z534" s="285" t="n"/>
    </row>
    <row r="535" ht="15.75" customHeight="1" s="398">
      <c r="A535" s="284" t="n"/>
      <c r="B535" s="285" t="n"/>
      <c r="C535" s="284" t="n"/>
      <c r="D535" s="285" t="n"/>
      <c r="E535" s="354" t="n"/>
      <c r="F535" s="336" t="n"/>
      <c r="G535" s="336" t="n"/>
      <c r="H535" s="285" t="n"/>
      <c r="I535" s="285" t="n"/>
      <c r="J535" s="285" t="n"/>
      <c r="K535" s="285" t="n"/>
      <c r="L535" s="285" t="n"/>
      <c r="M535" s="285" t="n"/>
      <c r="N535" s="285" t="n"/>
      <c r="O535" s="285" t="n"/>
      <c r="P535" s="285" t="n"/>
      <c r="Q535" s="285" t="n"/>
      <c r="R535" s="284" t="n"/>
      <c r="S535" s="284" t="n"/>
      <c r="T535" s="285" t="n"/>
      <c r="U535" s="285" t="n"/>
      <c r="V535" s="285" t="n"/>
      <c r="W535" s="285" t="n"/>
      <c r="X535" s="285" t="n"/>
      <c r="Y535" s="285" t="n"/>
      <c r="Z535" s="285" t="n"/>
    </row>
    <row r="536" ht="15.75" customHeight="1" s="398">
      <c r="A536" s="284" t="n"/>
      <c r="B536" s="285" t="n"/>
      <c r="C536" s="284" t="n"/>
      <c r="D536" s="285" t="n"/>
      <c r="E536" s="354" t="n"/>
      <c r="F536" s="336" t="n"/>
      <c r="G536" s="336" t="n"/>
      <c r="H536" s="285" t="n"/>
      <c r="I536" s="285" t="n"/>
      <c r="J536" s="285" t="n"/>
      <c r="K536" s="285" t="n"/>
      <c r="L536" s="285" t="n"/>
      <c r="M536" s="285" t="n"/>
      <c r="N536" s="285" t="n"/>
      <c r="O536" s="285" t="n"/>
      <c r="P536" s="285" t="n"/>
      <c r="Q536" s="285" t="n"/>
      <c r="R536" s="284" t="n"/>
      <c r="S536" s="284" t="n"/>
      <c r="T536" s="285" t="n"/>
      <c r="U536" s="285" t="n"/>
      <c r="V536" s="285" t="n"/>
      <c r="W536" s="285" t="n"/>
      <c r="X536" s="285" t="n"/>
      <c r="Y536" s="285" t="n"/>
      <c r="Z536" s="285" t="n"/>
    </row>
    <row r="537" ht="15.75" customHeight="1" s="398">
      <c r="A537" s="284" t="n"/>
      <c r="B537" s="285" t="n"/>
      <c r="C537" s="284" t="n"/>
      <c r="D537" s="285" t="n"/>
      <c r="E537" s="354" t="n"/>
      <c r="F537" s="336" t="n"/>
      <c r="G537" s="336" t="n"/>
      <c r="H537" s="285" t="n"/>
      <c r="I537" s="285" t="n"/>
      <c r="J537" s="285" t="n"/>
      <c r="K537" s="285" t="n"/>
      <c r="L537" s="285" t="n"/>
      <c r="M537" s="285" t="n"/>
      <c r="N537" s="285" t="n"/>
      <c r="O537" s="285" t="n"/>
      <c r="P537" s="285" t="n"/>
      <c r="Q537" s="285" t="n"/>
      <c r="R537" s="284" t="n"/>
      <c r="S537" s="284" t="n"/>
      <c r="T537" s="285" t="n"/>
      <c r="U537" s="285" t="n"/>
      <c r="V537" s="285" t="n"/>
      <c r="W537" s="285" t="n"/>
      <c r="X537" s="285" t="n"/>
      <c r="Y537" s="285" t="n"/>
      <c r="Z537" s="285" t="n"/>
    </row>
    <row r="538" ht="15.75" customHeight="1" s="398">
      <c r="A538" s="284" t="n"/>
      <c r="B538" s="285" t="n"/>
      <c r="C538" s="284" t="n"/>
      <c r="D538" s="285" t="n"/>
      <c r="E538" s="354" t="n"/>
      <c r="F538" s="336" t="n"/>
      <c r="G538" s="336" t="n"/>
      <c r="H538" s="285" t="n"/>
      <c r="I538" s="285" t="n"/>
      <c r="J538" s="285" t="n"/>
      <c r="K538" s="285" t="n"/>
      <c r="L538" s="285" t="n"/>
      <c r="M538" s="285" t="n"/>
      <c r="N538" s="285" t="n"/>
      <c r="O538" s="285" t="n"/>
      <c r="P538" s="285" t="n"/>
      <c r="Q538" s="285" t="n"/>
      <c r="R538" s="284" t="n"/>
      <c r="S538" s="284" t="n"/>
      <c r="T538" s="285" t="n"/>
      <c r="U538" s="285" t="n"/>
      <c r="V538" s="285" t="n"/>
      <c r="W538" s="285" t="n"/>
      <c r="X538" s="285" t="n"/>
      <c r="Y538" s="285" t="n"/>
      <c r="Z538" s="285" t="n"/>
    </row>
    <row r="539" ht="15.75" customHeight="1" s="398">
      <c r="A539" s="284" t="n"/>
      <c r="B539" s="285" t="n"/>
      <c r="C539" s="284" t="n"/>
      <c r="D539" s="285" t="n"/>
      <c r="E539" s="354" t="n"/>
      <c r="F539" s="336" t="n"/>
      <c r="G539" s="336" t="n"/>
      <c r="H539" s="285" t="n"/>
      <c r="I539" s="285" t="n"/>
      <c r="J539" s="285" t="n"/>
      <c r="K539" s="285" t="n"/>
      <c r="L539" s="285" t="n"/>
      <c r="M539" s="285" t="n"/>
      <c r="N539" s="285" t="n"/>
      <c r="O539" s="285" t="n"/>
      <c r="P539" s="285" t="n"/>
      <c r="Q539" s="285" t="n"/>
      <c r="R539" s="284" t="n"/>
      <c r="S539" s="284" t="n"/>
      <c r="T539" s="285" t="n"/>
      <c r="U539" s="285" t="n"/>
      <c r="V539" s="285" t="n"/>
      <c r="W539" s="285" t="n"/>
      <c r="X539" s="285" t="n"/>
      <c r="Y539" s="285" t="n"/>
      <c r="Z539" s="285" t="n"/>
    </row>
    <row r="540" ht="15.75" customHeight="1" s="398">
      <c r="A540" s="284" t="n"/>
      <c r="B540" s="285" t="n"/>
      <c r="C540" s="284" t="n"/>
      <c r="D540" s="285" t="n"/>
      <c r="E540" s="354" t="n"/>
      <c r="F540" s="336" t="n"/>
      <c r="G540" s="336" t="n"/>
      <c r="H540" s="285" t="n"/>
      <c r="I540" s="285" t="n"/>
      <c r="J540" s="285" t="n"/>
      <c r="K540" s="285" t="n"/>
      <c r="L540" s="285" t="n"/>
      <c r="M540" s="285" t="n"/>
      <c r="N540" s="285" t="n"/>
      <c r="O540" s="285" t="n"/>
      <c r="P540" s="285" t="n"/>
      <c r="Q540" s="285" t="n"/>
      <c r="R540" s="284" t="n"/>
      <c r="S540" s="284" t="n"/>
      <c r="T540" s="285" t="n"/>
      <c r="U540" s="285" t="n"/>
      <c r="V540" s="285" t="n"/>
      <c r="W540" s="285" t="n"/>
      <c r="X540" s="285" t="n"/>
      <c r="Y540" s="285" t="n"/>
      <c r="Z540" s="285" t="n"/>
    </row>
    <row r="541" ht="15.75" customHeight="1" s="398">
      <c r="A541" s="284" t="n"/>
      <c r="B541" s="285" t="n"/>
      <c r="C541" s="284" t="n"/>
      <c r="D541" s="285" t="n"/>
      <c r="E541" s="354" t="n"/>
      <c r="F541" s="336" t="n"/>
      <c r="G541" s="336" t="n"/>
      <c r="H541" s="285" t="n"/>
      <c r="I541" s="285" t="n"/>
      <c r="J541" s="285" t="n"/>
      <c r="K541" s="285" t="n"/>
      <c r="L541" s="285" t="n"/>
      <c r="M541" s="285" t="n"/>
      <c r="N541" s="285" t="n"/>
      <c r="O541" s="285" t="n"/>
      <c r="P541" s="285" t="n"/>
      <c r="Q541" s="285" t="n"/>
      <c r="R541" s="284" t="n"/>
      <c r="S541" s="284" t="n"/>
      <c r="T541" s="285" t="n"/>
      <c r="U541" s="285" t="n"/>
      <c r="V541" s="285" t="n"/>
      <c r="W541" s="285" t="n"/>
      <c r="X541" s="285" t="n"/>
      <c r="Y541" s="285" t="n"/>
      <c r="Z541" s="285" t="n"/>
    </row>
    <row r="542" ht="15.75" customHeight="1" s="398">
      <c r="A542" s="284" t="n"/>
      <c r="B542" s="285" t="n"/>
      <c r="C542" s="284" t="n"/>
      <c r="D542" s="285" t="n"/>
      <c r="E542" s="354" t="n"/>
      <c r="F542" s="336" t="n"/>
      <c r="G542" s="336" t="n"/>
      <c r="H542" s="285" t="n"/>
      <c r="I542" s="285" t="n"/>
      <c r="J542" s="285" t="n"/>
      <c r="K542" s="285" t="n"/>
      <c r="L542" s="285" t="n"/>
      <c r="M542" s="285" t="n"/>
      <c r="N542" s="285" t="n"/>
      <c r="O542" s="285" t="n"/>
      <c r="P542" s="285" t="n"/>
      <c r="Q542" s="285" t="n"/>
      <c r="R542" s="284" t="n"/>
      <c r="S542" s="284" t="n"/>
      <c r="T542" s="285" t="n"/>
      <c r="U542" s="285" t="n"/>
      <c r="V542" s="285" t="n"/>
      <c r="W542" s="285" t="n"/>
      <c r="X542" s="285" t="n"/>
      <c r="Y542" s="285" t="n"/>
      <c r="Z542" s="285" t="n"/>
    </row>
    <row r="543" ht="15.75" customHeight="1" s="398">
      <c r="A543" s="284" t="n"/>
      <c r="B543" s="285" t="n"/>
      <c r="C543" s="284" t="n"/>
      <c r="D543" s="285" t="n"/>
      <c r="E543" s="354" t="n"/>
      <c r="F543" s="336" t="n"/>
      <c r="G543" s="336" t="n"/>
      <c r="H543" s="285" t="n"/>
      <c r="I543" s="285" t="n"/>
      <c r="J543" s="285" t="n"/>
      <c r="K543" s="285" t="n"/>
      <c r="L543" s="285" t="n"/>
      <c r="M543" s="285" t="n"/>
      <c r="N543" s="285" t="n"/>
      <c r="O543" s="285" t="n"/>
      <c r="P543" s="285" t="n"/>
      <c r="Q543" s="285" t="n"/>
      <c r="R543" s="284" t="n"/>
      <c r="S543" s="284" t="n"/>
      <c r="T543" s="285" t="n"/>
      <c r="U543" s="285" t="n"/>
      <c r="V543" s="285" t="n"/>
      <c r="W543" s="285" t="n"/>
      <c r="X543" s="285" t="n"/>
      <c r="Y543" s="285" t="n"/>
      <c r="Z543" s="285" t="n"/>
    </row>
    <row r="544" ht="15.75" customHeight="1" s="398">
      <c r="A544" s="284" t="n"/>
      <c r="B544" s="285" t="n"/>
      <c r="C544" s="284" t="n"/>
      <c r="D544" s="285" t="n"/>
      <c r="E544" s="354" t="n"/>
      <c r="F544" s="336" t="n"/>
      <c r="G544" s="336" t="n"/>
      <c r="H544" s="285" t="n"/>
      <c r="I544" s="285" t="n"/>
      <c r="J544" s="285" t="n"/>
      <c r="K544" s="285" t="n"/>
      <c r="L544" s="285" t="n"/>
      <c r="M544" s="285" t="n"/>
      <c r="N544" s="285" t="n"/>
      <c r="O544" s="285" t="n"/>
      <c r="P544" s="285" t="n"/>
      <c r="Q544" s="285" t="n"/>
      <c r="R544" s="284" t="n"/>
      <c r="S544" s="284" t="n"/>
      <c r="T544" s="285" t="n"/>
      <c r="U544" s="285" t="n"/>
      <c r="V544" s="285" t="n"/>
      <c r="W544" s="285" t="n"/>
      <c r="X544" s="285" t="n"/>
      <c r="Y544" s="285" t="n"/>
      <c r="Z544" s="285" t="n"/>
    </row>
    <row r="545" ht="15.75" customHeight="1" s="398">
      <c r="A545" s="284" t="n"/>
      <c r="B545" s="285" t="n"/>
      <c r="C545" s="284" t="n"/>
      <c r="D545" s="285" t="n"/>
      <c r="E545" s="354" t="n"/>
      <c r="F545" s="336" t="n"/>
      <c r="G545" s="336" t="n"/>
      <c r="H545" s="285" t="n"/>
      <c r="I545" s="285" t="n"/>
      <c r="J545" s="285" t="n"/>
      <c r="K545" s="285" t="n"/>
      <c r="L545" s="285" t="n"/>
      <c r="M545" s="285" t="n"/>
      <c r="N545" s="285" t="n"/>
      <c r="O545" s="285" t="n"/>
      <c r="P545" s="285" t="n"/>
      <c r="Q545" s="285" t="n"/>
      <c r="R545" s="284" t="n"/>
      <c r="S545" s="284" t="n"/>
      <c r="T545" s="285" t="n"/>
      <c r="U545" s="285" t="n"/>
      <c r="V545" s="285" t="n"/>
      <c r="W545" s="285" t="n"/>
      <c r="X545" s="285" t="n"/>
      <c r="Y545" s="285" t="n"/>
      <c r="Z545" s="285" t="n"/>
    </row>
    <row r="546" ht="15.75" customHeight="1" s="398">
      <c r="A546" s="284" t="n"/>
      <c r="B546" s="285" t="n"/>
      <c r="C546" s="284" t="n"/>
      <c r="D546" s="285" t="n"/>
      <c r="E546" s="354" t="n"/>
      <c r="F546" s="336" t="n"/>
      <c r="G546" s="336" t="n"/>
      <c r="H546" s="285" t="n"/>
      <c r="I546" s="285" t="n"/>
      <c r="J546" s="285" t="n"/>
      <c r="K546" s="285" t="n"/>
      <c r="L546" s="285" t="n"/>
      <c r="M546" s="285" t="n"/>
      <c r="N546" s="285" t="n"/>
      <c r="O546" s="285" t="n"/>
      <c r="P546" s="285" t="n"/>
      <c r="Q546" s="285" t="n"/>
      <c r="R546" s="284" t="n"/>
      <c r="S546" s="284" t="n"/>
      <c r="T546" s="285" t="n"/>
      <c r="U546" s="285" t="n"/>
      <c r="V546" s="285" t="n"/>
      <c r="W546" s="285" t="n"/>
      <c r="X546" s="285" t="n"/>
      <c r="Y546" s="285" t="n"/>
      <c r="Z546" s="285" t="n"/>
    </row>
    <row r="547" ht="15.75" customHeight="1" s="398">
      <c r="A547" s="284" t="n"/>
      <c r="B547" s="285" t="n"/>
      <c r="C547" s="284" t="n"/>
      <c r="D547" s="285" t="n"/>
      <c r="E547" s="354" t="n"/>
      <c r="F547" s="336" t="n"/>
      <c r="G547" s="336" t="n"/>
      <c r="H547" s="285" t="n"/>
      <c r="I547" s="285" t="n"/>
      <c r="J547" s="285" t="n"/>
      <c r="K547" s="285" t="n"/>
      <c r="L547" s="285" t="n"/>
      <c r="M547" s="285" t="n"/>
      <c r="N547" s="285" t="n"/>
      <c r="O547" s="285" t="n"/>
      <c r="P547" s="285" t="n"/>
      <c r="Q547" s="285" t="n"/>
      <c r="R547" s="284" t="n"/>
      <c r="S547" s="284" t="n"/>
      <c r="T547" s="285" t="n"/>
      <c r="U547" s="285" t="n"/>
      <c r="V547" s="285" t="n"/>
      <c r="W547" s="285" t="n"/>
      <c r="X547" s="285" t="n"/>
      <c r="Y547" s="285" t="n"/>
      <c r="Z547" s="285" t="n"/>
    </row>
    <row r="548" ht="15.75" customHeight="1" s="398">
      <c r="A548" s="284" t="n"/>
      <c r="B548" s="285" t="n"/>
      <c r="C548" s="284" t="n"/>
      <c r="D548" s="285" t="n"/>
      <c r="E548" s="354" t="n"/>
      <c r="F548" s="336" t="n"/>
      <c r="G548" s="336" t="n"/>
      <c r="H548" s="285" t="n"/>
      <c r="I548" s="285" t="n"/>
      <c r="J548" s="285" t="n"/>
      <c r="K548" s="285" t="n"/>
      <c r="L548" s="285" t="n"/>
      <c r="M548" s="285" t="n"/>
      <c r="N548" s="285" t="n"/>
      <c r="O548" s="285" t="n"/>
      <c r="P548" s="285" t="n"/>
      <c r="Q548" s="285" t="n"/>
      <c r="R548" s="284" t="n"/>
      <c r="S548" s="284" t="n"/>
      <c r="T548" s="285" t="n"/>
      <c r="U548" s="285" t="n"/>
      <c r="V548" s="285" t="n"/>
      <c r="W548" s="285" t="n"/>
      <c r="X548" s="285" t="n"/>
      <c r="Y548" s="285" t="n"/>
      <c r="Z548" s="285" t="n"/>
    </row>
    <row r="549" ht="15.75" customHeight="1" s="398">
      <c r="A549" s="284" t="n"/>
      <c r="B549" s="285" t="n"/>
      <c r="C549" s="284" t="n"/>
      <c r="D549" s="285" t="n"/>
      <c r="E549" s="354" t="n"/>
      <c r="F549" s="336" t="n"/>
      <c r="G549" s="336" t="n"/>
      <c r="H549" s="285" t="n"/>
      <c r="I549" s="285" t="n"/>
      <c r="J549" s="285" t="n"/>
      <c r="K549" s="285" t="n"/>
      <c r="L549" s="285" t="n"/>
      <c r="M549" s="285" t="n"/>
      <c r="N549" s="285" t="n"/>
      <c r="O549" s="285" t="n"/>
      <c r="P549" s="285" t="n"/>
      <c r="Q549" s="285" t="n"/>
      <c r="R549" s="284" t="n"/>
      <c r="S549" s="284" t="n"/>
      <c r="T549" s="285" t="n"/>
      <c r="U549" s="285" t="n"/>
      <c r="V549" s="285" t="n"/>
      <c r="W549" s="285" t="n"/>
      <c r="X549" s="285" t="n"/>
      <c r="Y549" s="285" t="n"/>
      <c r="Z549" s="285" t="n"/>
    </row>
    <row r="550" ht="15.75" customHeight="1" s="398">
      <c r="A550" s="284" t="n"/>
      <c r="B550" s="285" t="n"/>
      <c r="C550" s="284" t="n"/>
      <c r="D550" s="285" t="n"/>
      <c r="E550" s="354" t="n"/>
      <c r="F550" s="336" t="n"/>
      <c r="G550" s="336" t="n"/>
      <c r="H550" s="285" t="n"/>
      <c r="I550" s="285" t="n"/>
      <c r="J550" s="285" t="n"/>
      <c r="K550" s="285" t="n"/>
      <c r="L550" s="285" t="n"/>
      <c r="M550" s="285" t="n"/>
      <c r="N550" s="285" t="n"/>
      <c r="O550" s="285" t="n"/>
      <c r="P550" s="285" t="n"/>
      <c r="Q550" s="285" t="n"/>
      <c r="R550" s="284" t="n"/>
      <c r="S550" s="284" t="n"/>
      <c r="T550" s="285" t="n"/>
      <c r="U550" s="285" t="n"/>
      <c r="V550" s="285" t="n"/>
      <c r="W550" s="285" t="n"/>
      <c r="X550" s="285" t="n"/>
      <c r="Y550" s="285" t="n"/>
      <c r="Z550" s="285" t="n"/>
    </row>
    <row r="551" ht="15.75" customHeight="1" s="398">
      <c r="A551" s="284" t="n"/>
      <c r="B551" s="285" t="n"/>
      <c r="C551" s="284" t="n"/>
      <c r="D551" s="285" t="n"/>
      <c r="E551" s="354" t="n"/>
      <c r="F551" s="336" t="n"/>
      <c r="G551" s="336" t="n"/>
      <c r="H551" s="285" t="n"/>
      <c r="I551" s="285" t="n"/>
      <c r="J551" s="285" t="n"/>
      <c r="K551" s="285" t="n"/>
      <c r="L551" s="285" t="n"/>
      <c r="M551" s="285" t="n"/>
      <c r="N551" s="285" t="n"/>
      <c r="O551" s="285" t="n"/>
      <c r="P551" s="285" t="n"/>
      <c r="Q551" s="285" t="n"/>
      <c r="R551" s="284" t="n"/>
      <c r="S551" s="284" t="n"/>
      <c r="T551" s="285" t="n"/>
      <c r="U551" s="285" t="n"/>
      <c r="V551" s="285" t="n"/>
      <c r="W551" s="285" t="n"/>
      <c r="X551" s="285" t="n"/>
      <c r="Y551" s="285" t="n"/>
      <c r="Z551" s="285" t="n"/>
    </row>
    <row r="552" ht="15.75" customHeight="1" s="398">
      <c r="A552" s="284" t="n"/>
      <c r="B552" s="285" t="n"/>
      <c r="C552" s="284" t="n"/>
      <c r="D552" s="285" t="n"/>
      <c r="E552" s="354" t="n"/>
      <c r="F552" s="336" t="n"/>
      <c r="G552" s="336" t="n"/>
      <c r="H552" s="285" t="n"/>
      <c r="I552" s="285" t="n"/>
      <c r="J552" s="285" t="n"/>
      <c r="K552" s="285" t="n"/>
      <c r="L552" s="285" t="n"/>
      <c r="M552" s="285" t="n"/>
      <c r="N552" s="285" t="n"/>
      <c r="O552" s="285" t="n"/>
      <c r="P552" s="285" t="n"/>
      <c r="Q552" s="285" t="n"/>
      <c r="R552" s="284" t="n"/>
      <c r="S552" s="284" t="n"/>
      <c r="T552" s="285" t="n"/>
      <c r="U552" s="285" t="n"/>
      <c r="V552" s="285" t="n"/>
      <c r="W552" s="285" t="n"/>
      <c r="X552" s="285" t="n"/>
      <c r="Y552" s="285" t="n"/>
      <c r="Z552" s="285" t="n"/>
    </row>
    <row r="553" ht="15.75" customHeight="1" s="398">
      <c r="A553" s="284" t="n"/>
      <c r="B553" s="285" t="n"/>
      <c r="C553" s="284" t="n"/>
      <c r="D553" s="285" t="n"/>
      <c r="E553" s="354" t="n"/>
      <c r="F553" s="336" t="n"/>
      <c r="G553" s="336" t="n"/>
      <c r="H553" s="285" t="n"/>
      <c r="I553" s="285" t="n"/>
      <c r="J553" s="285" t="n"/>
      <c r="K553" s="285" t="n"/>
      <c r="L553" s="285" t="n"/>
      <c r="M553" s="285" t="n"/>
      <c r="N553" s="285" t="n"/>
      <c r="O553" s="285" t="n"/>
      <c r="P553" s="285" t="n"/>
      <c r="Q553" s="285" t="n"/>
      <c r="R553" s="284" t="n"/>
      <c r="S553" s="284" t="n"/>
      <c r="T553" s="285" t="n"/>
      <c r="U553" s="285" t="n"/>
      <c r="V553" s="285" t="n"/>
      <c r="W553" s="285" t="n"/>
      <c r="X553" s="285" t="n"/>
      <c r="Y553" s="285" t="n"/>
      <c r="Z553" s="285" t="n"/>
    </row>
    <row r="554" ht="15.75" customHeight="1" s="398">
      <c r="A554" s="284" t="n"/>
      <c r="B554" s="285" t="n"/>
      <c r="C554" s="284" t="n"/>
      <c r="D554" s="285" t="n"/>
      <c r="E554" s="354" t="n"/>
      <c r="F554" s="336" t="n"/>
      <c r="G554" s="336" t="n"/>
      <c r="H554" s="285" t="n"/>
      <c r="I554" s="285" t="n"/>
      <c r="J554" s="285" t="n"/>
      <c r="K554" s="285" t="n"/>
      <c r="L554" s="285" t="n"/>
      <c r="M554" s="285" t="n"/>
      <c r="N554" s="285" t="n"/>
      <c r="O554" s="285" t="n"/>
      <c r="P554" s="285" t="n"/>
      <c r="Q554" s="285" t="n"/>
      <c r="R554" s="284" t="n"/>
      <c r="S554" s="284" t="n"/>
      <c r="T554" s="285" t="n"/>
      <c r="U554" s="285" t="n"/>
      <c r="V554" s="285" t="n"/>
      <c r="W554" s="285" t="n"/>
      <c r="X554" s="285" t="n"/>
      <c r="Y554" s="285" t="n"/>
      <c r="Z554" s="285" t="n"/>
    </row>
    <row r="555" ht="15.75" customHeight="1" s="398">
      <c r="A555" s="284" t="n"/>
      <c r="B555" s="285" t="n"/>
      <c r="C555" s="284" t="n"/>
      <c r="D555" s="285" t="n"/>
      <c r="E555" s="354" t="n"/>
      <c r="F555" s="336" t="n"/>
      <c r="G555" s="336" t="n"/>
      <c r="H555" s="285" t="n"/>
      <c r="I555" s="285" t="n"/>
      <c r="J555" s="285" t="n"/>
      <c r="K555" s="285" t="n"/>
      <c r="L555" s="285" t="n"/>
      <c r="M555" s="285" t="n"/>
      <c r="N555" s="285" t="n"/>
      <c r="O555" s="285" t="n"/>
      <c r="P555" s="285" t="n"/>
      <c r="Q555" s="285" t="n"/>
      <c r="R555" s="284" t="n"/>
      <c r="S555" s="284" t="n"/>
      <c r="T555" s="285" t="n"/>
      <c r="U555" s="285" t="n"/>
      <c r="V555" s="285" t="n"/>
      <c r="W555" s="285" t="n"/>
      <c r="X555" s="285" t="n"/>
      <c r="Y555" s="285" t="n"/>
      <c r="Z555" s="285" t="n"/>
    </row>
    <row r="556" ht="15.75" customHeight="1" s="398">
      <c r="A556" s="284" t="n"/>
      <c r="B556" s="285" t="n"/>
      <c r="C556" s="284" t="n"/>
      <c r="D556" s="285" t="n"/>
      <c r="E556" s="354" t="n"/>
      <c r="F556" s="336" t="n"/>
      <c r="G556" s="336" t="n"/>
      <c r="H556" s="285" t="n"/>
      <c r="I556" s="285" t="n"/>
      <c r="J556" s="285" t="n"/>
      <c r="K556" s="285" t="n"/>
      <c r="L556" s="285" t="n"/>
      <c r="M556" s="285" t="n"/>
      <c r="N556" s="285" t="n"/>
      <c r="O556" s="285" t="n"/>
      <c r="P556" s="285" t="n"/>
      <c r="Q556" s="285" t="n"/>
      <c r="R556" s="284" t="n"/>
      <c r="S556" s="284" t="n"/>
      <c r="T556" s="285" t="n"/>
      <c r="U556" s="285" t="n"/>
      <c r="V556" s="285" t="n"/>
      <c r="W556" s="285" t="n"/>
      <c r="X556" s="285" t="n"/>
      <c r="Y556" s="285" t="n"/>
      <c r="Z556" s="285" t="n"/>
    </row>
    <row r="557" ht="15.75" customHeight="1" s="398">
      <c r="A557" s="284" t="n"/>
      <c r="B557" s="285" t="n"/>
      <c r="C557" s="284" t="n"/>
      <c r="D557" s="285" t="n"/>
      <c r="E557" s="354" t="n"/>
      <c r="F557" s="336" t="n"/>
      <c r="G557" s="336" t="n"/>
      <c r="H557" s="285" t="n"/>
      <c r="I557" s="285" t="n"/>
      <c r="J557" s="285" t="n"/>
      <c r="K557" s="285" t="n"/>
      <c r="L557" s="285" t="n"/>
      <c r="M557" s="285" t="n"/>
      <c r="N557" s="285" t="n"/>
      <c r="O557" s="285" t="n"/>
      <c r="P557" s="285" t="n"/>
      <c r="Q557" s="285" t="n"/>
      <c r="R557" s="284" t="n"/>
      <c r="S557" s="284" t="n"/>
      <c r="T557" s="285" t="n"/>
      <c r="U557" s="285" t="n"/>
      <c r="V557" s="285" t="n"/>
      <c r="W557" s="285" t="n"/>
      <c r="X557" s="285" t="n"/>
      <c r="Y557" s="285" t="n"/>
      <c r="Z557" s="285" t="n"/>
    </row>
    <row r="558" ht="15.75" customHeight="1" s="398">
      <c r="A558" s="284" t="n"/>
      <c r="B558" s="285" t="n"/>
      <c r="C558" s="284" t="n"/>
      <c r="D558" s="285" t="n"/>
      <c r="E558" s="354" t="n"/>
      <c r="F558" s="336" t="n"/>
      <c r="G558" s="336" t="n"/>
      <c r="H558" s="285" t="n"/>
      <c r="I558" s="285" t="n"/>
      <c r="J558" s="285" t="n"/>
      <c r="K558" s="285" t="n"/>
      <c r="L558" s="285" t="n"/>
      <c r="M558" s="285" t="n"/>
      <c r="N558" s="285" t="n"/>
      <c r="O558" s="285" t="n"/>
      <c r="P558" s="285" t="n"/>
      <c r="Q558" s="285" t="n"/>
      <c r="R558" s="284" t="n"/>
      <c r="S558" s="284" t="n"/>
      <c r="T558" s="285" t="n"/>
      <c r="U558" s="285" t="n"/>
      <c r="V558" s="285" t="n"/>
      <c r="W558" s="285" t="n"/>
      <c r="X558" s="285" t="n"/>
      <c r="Y558" s="285" t="n"/>
      <c r="Z558" s="285" t="n"/>
    </row>
    <row r="559" ht="15.75" customHeight="1" s="398">
      <c r="A559" s="284" t="n"/>
      <c r="B559" s="285" t="n"/>
      <c r="C559" s="284" t="n"/>
      <c r="D559" s="285" t="n"/>
      <c r="E559" s="354" t="n"/>
      <c r="F559" s="336" t="n"/>
      <c r="G559" s="336" t="n"/>
      <c r="H559" s="285" t="n"/>
      <c r="I559" s="285" t="n"/>
      <c r="J559" s="285" t="n"/>
      <c r="K559" s="285" t="n"/>
      <c r="L559" s="285" t="n"/>
      <c r="M559" s="285" t="n"/>
      <c r="N559" s="285" t="n"/>
      <c r="O559" s="285" t="n"/>
      <c r="P559" s="285" t="n"/>
      <c r="Q559" s="285" t="n"/>
      <c r="R559" s="284" t="n"/>
      <c r="S559" s="284" t="n"/>
      <c r="T559" s="285" t="n"/>
      <c r="U559" s="285" t="n"/>
      <c r="V559" s="285" t="n"/>
      <c r="W559" s="285" t="n"/>
      <c r="X559" s="285" t="n"/>
      <c r="Y559" s="285" t="n"/>
      <c r="Z559" s="285" t="n"/>
    </row>
    <row r="560" ht="15.75" customHeight="1" s="398">
      <c r="A560" s="284" t="n"/>
      <c r="B560" s="285" t="n"/>
      <c r="C560" s="284" t="n"/>
      <c r="D560" s="285" t="n"/>
      <c r="E560" s="354" t="n"/>
      <c r="F560" s="336" t="n"/>
      <c r="G560" s="336" t="n"/>
      <c r="H560" s="285" t="n"/>
      <c r="I560" s="285" t="n"/>
      <c r="J560" s="285" t="n"/>
      <c r="K560" s="285" t="n"/>
      <c r="L560" s="285" t="n"/>
      <c r="M560" s="285" t="n"/>
      <c r="N560" s="285" t="n"/>
      <c r="O560" s="285" t="n"/>
      <c r="P560" s="285" t="n"/>
      <c r="Q560" s="285" t="n"/>
      <c r="R560" s="284" t="n"/>
      <c r="S560" s="284" t="n"/>
      <c r="T560" s="285" t="n"/>
      <c r="U560" s="285" t="n"/>
      <c r="V560" s="285" t="n"/>
      <c r="W560" s="285" t="n"/>
      <c r="X560" s="285" t="n"/>
      <c r="Y560" s="285" t="n"/>
      <c r="Z560" s="285" t="n"/>
    </row>
    <row r="561" ht="15.75" customHeight="1" s="398">
      <c r="A561" s="284" t="n"/>
      <c r="B561" s="285" t="n"/>
      <c r="C561" s="284" t="n"/>
      <c r="D561" s="285" t="n"/>
      <c r="E561" s="354" t="n"/>
      <c r="F561" s="336" t="n"/>
      <c r="G561" s="336" t="n"/>
      <c r="H561" s="285" t="n"/>
      <c r="I561" s="285" t="n"/>
      <c r="J561" s="285" t="n"/>
      <c r="K561" s="285" t="n"/>
      <c r="L561" s="285" t="n"/>
      <c r="M561" s="285" t="n"/>
      <c r="N561" s="285" t="n"/>
      <c r="O561" s="285" t="n"/>
      <c r="P561" s="285" t="n"/>
      <c r="Q561" s="285" t="n"/>
      <c r="R561" s="284" t="n"/>
      <c r="S561" s="284" t="n"/>
      <c r="T561" s="285" t="n"/>
      <c r="U561" s="285" t="n"/>
      <c r="V561" s="285" t="n"/>
      <c r="W561" s="285" t="n"/>
      <c r="X561" s="285" t="n"/>
      <c r="Y561" s="285" t="n"/>
      <c r="Z561" s="285" t="n"/>
    </row>
    <row r="562" ht="15.75" customHeight="1" s="398">
      <c r="A562" s="284" t="n"/>
      <c r="B562" s="285" t="n"/>
      <c r="C562" s="284" t="n"/>
      <c r="D562" s="285" t="n"/>
      <c r="E562" s="354" t="n"/>
      <c r="F562" s="336" t="n"/>
      <c r="G562" s="336" t="n"/>
      <c r="H562" s="285" t="n"/>
      <c r="I562" s="285" t="n"/>
      <c r="J562" s="285" t="n"/>
      <c r="K562" s="285" t="n"/>
      <c r="L562" s="285" t="n"/>
      <c r="M562" s="285" t="n"/>
      <c r="N562" s="285" t="n"/>
      <c r="O562" s="285" t="n"/>
      <c r="P562" s="285" t="n"/>
      <c r="Q562" s="285" t="n"/>
      <c r="R562" s="284" t="n"/>
      <c r="S562" s="284" t="n"/>
      <c r="T562" s="285" t="n"/>
      <c r="U562" s="285" t="n"/>
      <c r="V562" s="285" t="n"/>
      <c r="W562" s="285" t="n"/>
      <c r="X562" s="285" t="n"/>
      <c r="Y562" s="285" t="n"/>
      <c r="Z562" s="285" t="n"/>
    </row>
    <row r="563" ht="15.75" customHeight="1" s="398">
      <c r="A563" s="284" t="n"/>
      <c r="B563" s="285" t="n"/>
      <c r="C563" s="284" t="n"/>
      <c r="D563" s="285" t="n"/>
      <c r="E563" s="354" t="n"/>
      <c r="F563" s="336" t="n"/>
      <c r="G563" s="336" t="n"/>
      <c r="H563" s="285" t="n"/>
      <c r="I563" s="285" t="n"/>
      <c r="J563" s="285" t="n"/>
      <c r="K563" s="285" t="n"/>
      <c r="L563" s="285" t="n"/>
      <c r="M563" s="285" t="n"/>
      <c r="N563" s="285" t="n"/>
      <c r="O563" s="285" t="n"/>
      <c r="P563" s="285" t="n"/>
      <c r="Q563" s="285" t="n"/>
      <c r="R563" s="284" t="n"/>
      <c r="S563" s="284" t="n"/>
      <c r="T563" s="285" t="n"/>
      <c r="U563" s="285" t="n"/>
      <c r="V563" s="285" t="n"/>
      <c r="W563" s="285" t="n"/>
      <c r="X563" s="285" t="n"/>
      <c r="Y563" s="285" t="n"/>
      <c r="Z563" s="285" t="n"/>
    </row>
    <row r="564" ht="15.75" customHeight="1" s="398">
      <c r="A564" s="284" t="n"/>
      <c r="B564" s="285" t="n"/>
      <c r="C564" s="284" t="n"/>
      <c r="D564" s="285" t="n"/>
      <c r="E564" s="354" t="n"/>
      <c r="F564" s="336" t="n"/>
      <c r="G564" s="336" t="n"/>
      <c r="H564" s="285" t="n"/>
      <c r="I564" s="285" t="n"/>
      <c r="J564" s="285" t="n"/>
      <c r="K564" s="285" t="n"/>
      <c r="L564" s="285" t="n"/>
      <c r="M564" s="285" t="n"/>
      <c r="N564" s="285" t="n"/>
      <c r="O564" s="285" t="n"/>
      <c r="P564" s="285" t="n"/>
      <c r="Q564" s="285" t="n"/>
      <c r="R564" s="284" t="n"/>
      <c r="S564" s="284" t="n"/>
      <c r="T564" s="285" t="n"/>
      <c r="U564" s="285" t="n"/>
      <c r="V564" s="285" t="n"/>
      <c r="W564" s="285" t="n"/>
      <c r="X564" s="285" t="n"/>
      <c r="Y564" s="285" t="n"/>
      <c r="Z564" s="285" t="n"/>
    </row>
    <row r="565" ht="15.75" customHeight="1" s="398">
      <c r="A565" s="284" t="n"/>
      <c r="B565" s="285" t="n"/>
      <c r="C565" s="284" t="n"/>
      <c r="D565" s="285" t="n"/>
      <c r="E565" s="354" t="n"/>
      <c r="F565" s="336" t="n"/>
      <c r="G565" s="336" t="n"/>
      <c r="H565" s="285" t="n"/>
      <c r="I565" s="285" t="n"/>
      <c r="J565" s="285" t="n"/>
      <c r="K565" s="285" t="n"/>
      <c r="L565" s="285" t="n"/>
      <c r="M565" s="285" t="n"/>
      <c r="N565" s="285" t="n"/>
      <c r="O565" s="285" t="n"/>
      <c r="P565" s="285" t="n"/>
      <c r="Q565" s="285" t="n"/>
      <c r="R565" s="284" t="n"/>
      <c r="S565" s="284" t="n"/>
      <c r="T565" s="285" t="n"/>
      <c r="U565" s="285" t="n"/>
      <c r="V565" s="285" t="n"/>
      <c r="W565" s="285" t="n"/>
      <c r="X565" s="285" t="n"/>
      <c r="Y565" s="285" t="n"/>
      <c r="Z565" s="285" t="n"/>
    </row>
    <row r="566" ht="15.75" customHeight="1" s="398">
      <c r="A566" s="284" t="n"/>
      <c r="B566" s="285" t="n"/>
      <c r="C566" s="284" t="n"/>
      <c r="D566" s="285" t="n"/>
      <c r="E566" s="354" t="n"/>
      <c r="F566" s="336" t="n"/>
      <c r="G566" s="336" t="n"/>
      <c r="H566" s="285" t="n"/>
      <c r="I566" s="285" t="n"/>
      <c r="J566" s="285" t="n"/>
      <c r="K566" s="285" t="n"/>
      <c r="L566" s="285" t="n"/>
      <c r="M566" s="285" t="n"/>
      <c r="N566" s="285" t="n"/>
      <c r="O566" s="285" t="n"/>
      <c r="P566" s="285" t="n"/>
      <c r="Q566" s="285" t="n"/>
      <c r="R566" s="284" t="n"/>
      <c r="S566" s="284" t="n"/>
      <c r="T566" s="285" t="n"/>
      <c r="U566" s="285" t="n"/>
      <c r="V566" s="285" t="n"/>
      <c r="W566" s="285" t="n"/>
      <c r="X566" s="285" t="n"/>
      <c r="Y566" s="285" t="n"/>
      <c r="Z566" s="285" t="n"/>
    </row>
    <row r="567" ht="15.75" customHeight="1" s="398">
      <c r="A567" s="284" t="n"/>
      <c r="B567" s="285" t="n"/>
      <c r="C567" s="284" t="n"/>
      <c r="D567" s="285" t="n"/>
      <c r="E567" s="354" t="n"/>
      <c r="F567" s="336" t="n"/>
      <c r="G567" s="336" t="n"/>
      <c r="H567" s="285" t="n"/>
      <c r="I567" s="285" t="n"/>
      <c r="J567" s="285" t="n"/>
      <c r="K567" s="285" t="n"/>
      <c r="L567" s="285" t="n"/>
      <c r="M567" s="285" t="n"/>
      <c r="N567" s="285" t="n"/>
      <c r="O567" s="285" t="n"/>
      <c r="P567" s="285" t="n"/>
      <c r="Q567" s="285" t="n"/>
      <c r="R567" s="284" t="n"/>
      <c r="S567" s="284" t="n"/>
      <c r="T567" s="285" t="n"/>
      <c r="U567" s="285" t="n"/>
      <c r="V567" s="285" t="n"/>
      <c r="W567" s="285" t="n"/>
      <c r="X567" s="285" t="n"/>
      <c r="Y567" s="285" t="n"/>
      <c r="Z567" s="285" t="n"/>
    </row>
    <row r="568" ht="15.75" customHeight="1" s="398">
      <c r="A568" s="284" t="n"/>
      <c r="B568" s="285" t="n"/>
      <c r="C568" s="284" t="n"/>
      <c r="D568" s="285" t="n"/>
      <c r="E568" s="354" t="n"/>
      <c r="F568" s="336" t="n"/>
      <c r="G568" s="336" t="n"/>
      <c r="H568" s="285" t="n"/>
      <c r="I568" s="285" t="n"/>
      <c r="J568" s="285" t="n"/>
      <c r="K568" s="285" t="n"/>
      <c r="L568" s="285" t="n"/>
      <c r="M568" s="285" t="n"/>
      <c r="N568" s="285" t="n"/>
      <c r="O568" s="285" t="n"/>
      <c r="P568" s="285" t="n"/>
      <c r="Q568" s="285" t="n"/>
      <c r="R568" s="284" t="n"/>
      <c r="S568" s="284" t="n"/>
      <c r="T568" s="285" t="n"/>
      <c r="U568" s="285" t="n"/>
      <c r="V568" s="285" t="n"/>
      <c r="W568" s="285" t="n"/>
      <c r="X568" s="285" t="n"/>
      <c r="Y568" s="285" t="n"/>
      <c r="Z568" s="285" t="n"/>
    </row>
    <row r="569" ht="15.75" customHeight="1" s="398">
      <c r="A569" s="284" t="n"/>
      <c r="B569" s="285" t="n"/>
      <c r="C569" s="284" t="n"/>
      <c r="D569" s="285" t="n"/>
      <c r="E569" s="354" t="n"/>
      <c r="F569" s="336" t="n"/>
      <c r="G569" s="336" t="n"/>
      <c r="H569" s="285" t="n"/>
      <c r="I569" s="285" t="n"/>
      <c r="J569" s="285" t="n"/>
      <c r="K569" s="285" t="n"/>
      <c r="L569" s="285" t="n"/>
      <c r="M569" s="285" t="n"/>
      <c r="N569" s="285" t="n"/>
      <c r="O569" s="285" t="n"/>
      <c r="P569" s="285" t="n"/>
      <c r="Q569" s="285" t="n"/>
      <c r="R569" s="284" t="n"/>
      <c r="S569" s="284" t="n"/>
      <c r="T569" s="285" t="n"/>
      <c r="U569" s="285" t="n"/>
      <c r="V569" s="285" t="n"/>
      <c r="W569" s="285" t="n"/>
      <c r="X569" s="285" t="n"/>
      <c r="Y569" s="285" t="n"/>
      <c r="Z569" s="285" t="n"/>
    </row>
    <row r="570" ht="15.75" customHeight="1" s="398">
      <c r="A570" s="284" t="n"/>
      <c r="B570" s="285" t="n"/>
      <c r="C570" s="284" t="n"/>
      <c r="D570" s="285" t="n"/>
      <c r="E570" s="354" t="n"/>
      <c r="F570" s="336" t="n"/>
      <c r="G570" s="336" t="n"/>
      <c r="H570" s="285" t="n"/>
      <c r="I570" s="285" t="n"/>
      <c r="J570" s="285" t="n"/>
      <c r="K570" s="285" t="n"/>
      <c r="L570" s="285" t="n"/>
      <c r="M570" s="285" t="n"/>
      <c r="N570" s="285" t="n"/>
      <c r="O570" s="285" t="n"/>
      <c r="P570" s="285" t="n"/>
      <c r="Q570" s="285" t="n"/>
      <c r="R570" s="284" t="n"/>
      <c r="S570" s="284" t="n"/>
      <c r="T570" s="285" t="n"/>
      <c r="U570" s="285" t="n"/>
      <c r="V570" s="285" t="n"/>
      <c r="W570" s="285" t="n"/>
      <c r="X570" s="285" t="n"/>
      <c r="Y570" s="285" t="n"/>
      <c r="Z570" s="285" t="n"/>
    </row>
    <row r="571" ht="15.75" customHeight="1" s="398">
      <c r="A571" s="284" t="n"/>
      <c r="B571" s="285" t="n"/>
      <c r="C571" s="284" t="n"/>
      <c r="D571" s="285" t="n"/>
      <c r="E571" s="354" t="n"/>
      <c r="F571" s="336" t="n"/>
      <c r="G571" s="336" t="n"/>
      <c r="H571" s="285" t="n"/>
      <c r="I571" s="285" t="n"/>
      <c r="J571" s="285" t="n"/>
      <c r="K571" s="285" t="n"/>
      <c r="L571" s="285" t="n"/>
      <c r="M571" s="285" t="n"/>
      <c r="N571" s="285" t="n"/>
      <c r="O571" s="285" t="n"/>
      <c r="P571" s="285" t="n"/>
      <c r="Q571" s="285" t="n"/>
      <c r="R571" s="284" t="n"/>
      <c r="S571" s="284" t="n"/>
      <c r="T571" s="285" t="n"/>
      <c r="U571" s="285" t="n"/>
      <c r="V571" s="285" t="n"/>
      <c r="W571" s="285" t="n"/>
      <c r="X571" s="285" t="n"/>
      <c r="Y571" s="285" t="n"/>
      <c r="Z571" s="285" t="n"/>
    </row>
    <row r="572" ht="15.75" customHeight="1" s="398">
      <c r="A572" s="284" t="n"/>
      <c r="B572" s="285" t="n"/>
      <c r="C572" s="284" t="n"/>
      <c r="D572" s="285" t="n"/>
      <c r="E572" s="354" t="n"/>
      <c r="F572" s="336" t="n"/>
      <c r="G572" s="336" t="n"/>
      <c r="H572" s="285" t="n"/>
      <c r="I572" s="285" t="n"/>
      <c r="J572" s="285" t="n"/>
      <c r="K572" s="285" t="n"/>
      <c r="L572" s="285" t="n"/>
      <c r="M572" s="285" t="n"/>
      <c r="N572" s="285" t="n"/>
      <c r="O572" s="285" t="n"/>
      <c r="P572" s="285" t="n"/>
      <c r="Q572" s="285" t="n"/>
      <c r="R572" s="284" t="n"/>
      <c r="S572" s="284" t="n"/>
      <c r="T572" s="285" t="n"/>
      <c r="U572" s="285" t="n"/>
      <c r="V572" s="285" t="n"/>
      <c r="W572" s="285" t="n"/>
      <c r="X572" s="285" t="n"/>
      <c r="Y572" s="285" t="n"/>
      <c r="Z572" s="285" t="n"/>
    </row>
    <row r="573" ht="15.75" customHeight="1" s="398">
      <c r="A573" s="284" t="n"/>
      <c r="B573" s="285" t="n"/>
      <c r="C573" s="284" t="n"/>
      <c r="D573" s="285" t="n"/>
      <c r="E573" s="354" t="n"/>
      <c r="F573" s="336" t="n"/>
      <c r="G573" s="336" t="n"/>
      <c r="H573" s="285" t="n"/>
      <c r="I573" s="285" t="n"/>
      <c r="J573" s="285" t="n"/>
      <c r="K573" s="285" t="n"/>
      <c r="L573" s="285" t="n"/>
      <c r="M573" s="285" t="n"/>
      <c r="N573" s="285" t="n"/>
      <c r="O573" s="285" t="n"/>
      <c r="P573" s="285" t="n"/>
      <c r="Q573" s="285" t="n"/>
      <c r="R573" s="284" t="n"/>
      <c r="S573" s="284" t="n"/>
      <c r="T573" s="285" t="n"/>
      <c r="U573" s="285" t="n"/>
      <c r="V573" s="285" t="n"/>
      <c r="W573" s="285" t="n"/>
      <c r="X573" s="285" t="n"/>
      <c r="Y573" s="285" t="n"/>
      <c r="Z573" s="285" t="n"/>
    </row>
    <row r="574" ht="15.75" customHeight="1" s="398">
      <c r="A574" s="284" t="n"/>
      <c r="B574" s="285" t="n"/>
      <c r="C574" s="284" t="n"/>
      <c r="D574" s="285" t="n"/>
      <c r="E574" s="354" t="n"/>
      <c r="F574" s="336" t="n"/>
      <c r="G574" s="336" t="n"/>
      <c r="H574" s="285" t="n"/>
      <c r="I574" s="285" t="n"/>
      <c r="J574" s="285" t="n"/>
      <c r="K574" s="285" t="n"/>
      <c r="L574" s="285" t="n"/>
      <c r="M574" s="285" t="n"/>
      <c r="N574" s="285" t="n"/>
      <c r="O574" s="285" t="n"/>
      <c r="P574" s="285" t="n"/>
      <c r="Q574" s="285" t="n"/>
      <c r="R574" s="284" t="n"/>
      <c r="S574" s="284" t="n"/>
      <c r="T574" s="285" t="n"/>
      <c r="U574" s="285" t="n"/>
      <c r="V574" s="285" t="n"/>
      <c r="W574" s="285" t="n"/>
      <c r="X574" s="285" t="n"/>
      <c r="Y574" s="285" t="n"/>
      <c r="Z574" s="285" t="n"/>
    </row>
    <row r="575" ht="15.75" customHeight="1" s="398">
      <c r="A575" s="284" t="n"/>
      <c r="B575" s="285" t="n"/>
      <c r="C575" s="284" t="n"/>
      <c r="D575" s="285" t="n"/>
      <c r="E575" s="354" t="n"/>
      <c r="F575" s="336" t="n"/>
      <c r="G575" s="336" t="n"/>
      <c r="H575" s="285" t="n"/>
      <c r="I575" s="285" t="n"/>
      <c r="J575" s="285" t="n"/>
      <c r="K575" s="285" t="n"/>
      <c r="L575" s="285" t="n"/>
      <c r="M575" s="285" t="n"/>
      <c r="N575" s="285" t="n"/>
      <c r="O575" s="285" t="n"/>
      <c r="P575" s="285" t="n"/>
      <c r="Q575" s="285" t="n"/>
      <c r="R575" s="284" t="n"/>
      <c r="S575" s="284" t="n"/>
      <c r="T575" s="285" t="n"/>
      <c r="U575" s="285" t="n"/>
      <c r="V575" s="285" t="n"/>
      <c r="W575" s="285" t="n"/>
      <c r="X575" s="285" t="n"/>
      <c r="Y575" s="285" t="n"/>
      <c r="Z575" s="285" t="n"/>
    </row>
    <row r="576" ht="15.75" customHeight="1" s="398">
      <c r="A576" s="284" t="n"/>
      <c r="B576" s="285" t="n"/>
      <c r="C576" s="284" t="n"/>
      <c r="D576" s="285" t="n"/>
      <c r="E576" s="354" t="n"/>
      <c r="F576" s="336" t="n"/>
      <c r="G576" s="336" t="n"/>
      <c r="H576" s="285" t="n"/>
      <c r="I576" s="285" t="n"/>
      <c r="J576" s="285" t="n"/>
      <c r="K576" s="285" t="n"/>
      <c r="L576" s="285" t="n"/>
      <c r="M576" s="285" t="n"/>
      <c r="N576" s="285" t="n"/>
      <c r="O576" s="285" t="n"/>
      <c r="P576" s="285" t="n"/>
      <c r="Q576" s="285" t="n"/>
      <c r="R576" s="284" t="n"/>
      <c r="S576" s="284" t="n"/>
      <c r="T576" s="285" t="n"/>
      <c r="U576" s="285" t="n"/>
      <c r="V576" s="285" t="n"/>
      <c r="W576" s="285" t="n"/>
      <c r="X576" s="285" t="n"/>
      <c r="Y576" s="285" t="n"/>
      <c r="Z576" s="285" t="n"/>
    </row>
    <row r="577" ht="15.75" customHeight="1" s="398">
      <c r="A577" s="284" t="n"/>
      <c r="B577" s="285" t="n"/>
      <c r="C577" s="284" t="n"/>
      <c r="D577" s="285" t="n"/>
      <c r="E577" s="354" t="n"/>
      <c r="F577" s="336" t="n"/>
      <c r="G577" s="336" t="n"/>
      <c r="H577" s="285" t="n"/>
      <c r="I577" s="285" t="n"/>
      <c r="J577" s="285" t="n"/>
      <c r="K577" s="285" t="n"/>
      <c r="L577" s="285" t="n"/>
      <c r="M577" s="285" t="n"/>
      <c r="N577" s="285" t="n"/>
      <c r="O577" s="285" t="n"/>
      <c r="P577" s="285" t="n"/>
      <c r="Q577" s="285" t="n"/>
      <c r="R577" s="284" t="n"/>
      <c r="S577" s="284" t="n"/>
      <c r="T577" s="285" t="n"/>
      <c r="U577" s="285" t="n"/>
      <c r="V577" s="285" t="n"/>
      <c r="W577" s="285" t="n"/>
      <c r="X577" s="285" t="n"/>
      <c r="Y577" s="285" t="n"/>
      <c r="Z577" s="285" t="n"/>
    </row>
    <row r="578" ht="15.75" customHeight="1" s="398">
      <c r="A578" s="284" t="n"/>
      <c r="B578" s="285" t="n"/>
      <c r="C578" s="284" t="n"/>
      <c r="D578" s="285" t="n"/>
      <c r="E578" s="354" t="n"/>
      <c r="F578" s="336" t="n"/>
      <c r="G578" s="336" t="n"/>
      <c r="H578" s="285" t="n"/>
      <c r="I578" s="285" t="n"/>
      <c r="J578" s="285" t="n"/>
      <c r="K578" s="285" t="n"/>
      <c r="L578" s="285" t="n"/>
      <c r="M578" s="285" t="n"/>
      <c r="N578" s="285" t="n"/>
      <c r="O578" s="285" t="n"/>
      <c r="P578" s="285" t="n"/>
      <c r="Q578" s="285" t="n"/>
      <c r="R578" s="284" t="n"/>
      <c r="S578" s="284" t="n"/>
      <c r="T578" s="285" t="n"/>
      <c r="U578" s="285" t="n"/>
      <c r="V578" s="285" t="n"/>
      <c r="W578" s="285" t="n"/>
      <c r="X578" s="285" t="n"/>
      <c r="Y578" s="285" t="n"/>
      <c r="Z578" s="285" t="n"/>
    </row>
    <row r="579" ht="15.75" customHeight="1" s="398">
      <c r="A579" s="284" t="n"/>
      <c r="B579" s="285" t="n"/>
      <c r="C579" s="284" t="n"/>
      <c r="D579" s="285" t="n"/>
      <c r="E579" s="354" t="n"/>
      <c r="F579" s="336" t="n"/>
      <c r="G579" s="336" t="n"/>
      <c r="H579" s="285" t="n"/>
      <c r="I579" s="285" t="n"/>
      <c r="J579" s="285" t="n"/>
      <c r="K579" s="285" t="n"/>
      <c r="L579" s="285" t="n"/>
      <c r="M579" s="285" t="n"/>
      <c r="N579" s="285" t="n"/>
      <c r="O579" s="285" t="n"/>
      <c r="P579" s="285" t="n"/>
      <c r="Q579" s="285" t="n"/>
      <c r="R579" s="284" t="n"/>
      <c r="S579" s="284" t="n"/>
      <c r="T579" s="285" t="n"/>
      <c r="U579" s="285" t="n"/>
      <c r="V579" s="285" t="n"/>
      <c r="W579" s="285" t="n"/>
      <c r="X579" s="285" t="n"/>
      <c r="Y579" s="285" t="n"/>
      <c r="Z579" s="285" t="n"/>
    </row>
    <row r="580" ht="15.75" customHeight="1" s="398">
      <c r="A580" s="284" t="n"/>
      <c r="B580" s="285" t="n"/>
      <c r="C580" s="284" t="n"/>
      <c r="D580" s="285" t="n"/>
      <c r="E580" s="354" t="n"/>
      <c r="F580" s="336" t="n"/>
      <c r="G580" s="336" t="n"/>
      <c r="H580" s="285" t="n"/>
      <c r="I580" s="285" t="n"/>
      <c r="J580" s="285" t="n"/>
      <c r="K580" s="285" t="n"/>
      <c r="L580" s="285" t="n"/>
      <c r="M580" s="285" t="n"/>
      <c r="N580" s="285" t="n"/>
      <c r="O580" s="285" t="n"/>
      <c r="P580" s="285" t="n"/>
      <c r="Q580" s="285" t="n"/>
      <c r="R580" s="284" t="n"/>
      <c r="S580" s="284" t="n"/>
      <c r="T580" s="285" t="n"/>
      <c r="U580" s="285" t="n"/>
      <c r="V580" s="285" t="n"/>
      <c r="W580" s="285" t="n"/>
      <c r="X580" s="285" t="n"/>
      <c r="Y580" s="285" t="n"/>
      <c r="Z580" s="285" t="n"/>
    </row>
    <row r="581" ht="15.75" customHeight="1" s="398">
      <c r="A581" s="284" t="n"/>
      <c r="B581" s="285" t="n"/>
      <c r="C581" s="284" t="n"/>
      <c r="D581" s="285" t="n"/>
      <c r="E581" s="354" t="n"/>
      <c r="F581" s="336" t="n"/>
      <c r="G581" s="336" t="n"/>
      <c r="H581" s="285" t="n"/>
      <c r="I581" s="285" t="n"/>
      <c r="J581" s="285" t="n"/>
      <c r="K581" s="285" t="n"/>
      <c r="L581" s="285" t="n"/>
      <c r="M581" s="285" t="n"/>
      <c r="N581" s="285" t="n"/>
      <c r="O581" s="285" t="n"/>
      <c r="P581" s="285" t="n"/>
      <c r="Q581" s="285" t="n"/>
      <c r="R581" s="284" t="n"/>
      <c r="S581" s="284" t="n"/>
      <c r="T581" s="285" t="n"/>
      <c r="U581" s="285" t="n"/>
      <c r="V581" s="285" t="n"/>
      <c r="W581" s="285" t="n"/>
      <c r="X581" s="285" t="n"/>
      <c r="Y581" s="285" t="n"/>
      <c r="Z581" s="285" t="n"/>
    </row>
    <row r="582" ht="15.75" customHeight="1" s="398">
      <c r="A582" s="284" t="n"/>
      <c r="B582" s="285" t="n"/>
      <c r="C582" s="284" t="n"/>
      <c r="D582" s="285" t="n"/>
      <c r="E582" s="354" t="n"/>
      <c r="F582" s="336" t="n"/>
      <c r="G582" s="336" t="n"/>
      <c r="H582" s="285" t="n"/>
      <c r="I582" s="285" t="n"/>
      <c r="J582" s="285" t="n"/>
      <c r="K582" s="285" t="n"/>
      <c r="L582" s="285" t="n"/>
      <c r="M582" s="285" t="n"/>
      <c r="N582" s="285" t="n"/>
      <c r="O582" s="285" t="n"/>
      <c r="P582" s="285" t="n"/>
      <c r="Q582" s="285" t="n"/>
      <c r="R582" s="284" t="n"/>
      <c r="S582" s="284" t="n"/>
      <c r="T582" s="285" t="n"/>
      <c r="U582" s="285" t="n"/>
      <c r="V582" s="285" t="n"/>
      <c r="W582" s="285" t="n"/>
      <c r="X582" s="285" t="n"/>
      <c r="Y582" s="285" t="n"/>
      <c r="Z582" s="285" t="n"/>
    </row>
    <row r="583" ht="15.75" customHeight="1" s="398">
      <c r="A583" s="284" t="n"/>
      <c r="B583" s="285" t="n"/>
      <c r="C583" s="284" t="n"/>
      <c r="D583" s="285" t="n"/>
      <c r="E583" s="354" t="n"/>
      <c r="F583" s="336" t="n"/>
      <c r="G583" s="336" t="n"/>
      <c r="H583" s="285" t="n"/>
      <c r="I583" s="285" t="n"/>
      <c r="J583" s="285" t="n"/>
      <c r="K583" s="285" t="n"/>
      <c r="L583" s="285" t="n"/>
      <c r="M583" s="285" t="n"/>
      <c r="N583" s="285" t="n"/>
      <c r="O583" s="285" t="n"/>
      <c r="P583" s="285" t="n"/>
      <c r="Q583" s="285" t="n"/>
      <c r="R583" s="284" t="n"/>
      <c r="S583" s="284" t="n"/>
      <c r="T583" s="285" t="n"/>
      <c r="U583" s="285" t="n"/>
      <c r="V583" s="285" t="n"/>
      <c r="W583" s="285" t="n"/>
      <c r="X583" s="285" t="n"/>
      <c r="Y583" s="285" t="n"/>
      <c r="Z583" s="285" t="n"/>
    </row>
    <row r="584" ht="15.75" customHeight="1" s="398">
      <c r="A584" s="284" t="n"/>
      <c r="B584" s="285" t="n"/>
      <c r="C584" s="284" t="n"/>
      <c r="D584" s="285" t="n"/>
      <c r="E584" s="354" t="n"/>
      <c r="F584" s="336" t="n"/>
      <c r="G584" s="336" t="n"/>
      <c r="H584" s="285" t="n"/>
      <c r="I584" s="285" t="n"/>
      <c r="J584" s="285" t="n"/>
      <c r="K584" s="285" t="n"/>
      <c r="L584" s="285" t="n"/>
      <c r="M584" s="285" t="n"/>
      <c r="N584" s="285" t="n"/>
      <c r="O584" s="285" t="n"/>
      <c r="P584" s="285" t="n"/>
      <c r="Q584" s="285" t="n"/>
      <c r="R584" s="284" t="n"/>
      <c r="S584" s="284" t="n"/>
      <c r="T584" s="285" t="n"/>
      <c r="U584" s="285" t="n"/>
      <c r="V584" s="285" t="n"/>
      <c r="W584" s="285" t="n"/>
      <c r="X584" s="285" t="n"/>
      <c r="Y584" s="285" t="n"/>
      <c r="Z584" s="285" t="n"/>
    </row>
    <row r="585" ht="15.75" customHeight="1" s="398">
      <c r="A585" s="284" t="n"/>
      <c r="B585" s="285" t="n"/>
      <c r="C585" s="284" t="n"/>
      <c r="D585" s="285" t="n"/>
      <c r="E585" s="354" t="n"/>
      <c r="F585" s="336" t="n"/>
      <c r="G585" s="336" t="n"/>
      <c r="H585" s="285" t="n"/>
      <c r="I585" s="285" t="n"/>
      <c r="J585" s="285" t="n"/>
      <c r="K585" s="285" t="n"/>
      <c r="L585" s="285" t="n"/>
      <c r="M585" s="285" t="n"/>
      <c r="N585" s="285" t="n"/>
      <c r="O585" s="285" t="n"/>
      <c r="P585" s="285" t="n"/>
      <c r="Q585" s="285" t="n"/>
      <c r="R585" s="284" t="n"/>
      <c r="S585" s="284" t="n"/>
      <c r="T585" s="285" t="n"/>
      <c r="U585" s="285" t="n"/>
      <c r="V585" s="285" t="n"/>
      <c r="W585" s="285" t="n"/>
      <c r="X585" s="285" t="n"/>
      <c r="Y585" s="285" t="n"/>
      <c r="Z585" s="285" t="n"/>
    </row>
    <row r="586" ht="15.75" customHeight="1" s="398">
      <c r="A586" s="284" t="n"/>
      <c r="B586" s="285" t="n"/>
      <c r="C586" s="284" t="n"/>
      <c r="D586" s="285" t="n"/>
      <c r="E586" s="354" t="n"/>
      <c r="F586" s="336" t="n"/>
      <c r="G586" s="336" t="n"/>
      <c r="H586" s="285" t="n"/>
      <c r="I586" s="285" t="n"/>
      <c r="J586" s="285" t="n"/>
      <c r="K586" s="285" t="n"/>
      <c r="L586" s="285" t="n"/>
      <c r="M586" s="285" t="n"/>
      <c r="N586" s="285" t="n"/>
      <c r="O586" s="285" t="n"/>
      <c r="P586" s="285" t="n"/>
      <c r="Q586" s="285" t="n"/>
      <c r="R586" s="284" t="n"/>
      <c r="S586" s="284" t="n"/>
      <c r="T586" s="285" t="n"/>
      <c r="U586" s="285" t="n"/>
      <c r="V586" s="285" t="n"/>
      <c r="W586" s="285" t="n"/>
      <c r="X586" s="285" t="n"/>
      <c r="Y586" s="285" t="n"/>
      <c r="Z586" s="285" t="n"/>
    </row>
    <row r="587" ht="15.75" customHeight="1" s="398">
      <c r="A587" s="284" t="n"/>
      <c r="B587" s="285" t="n"/>
      <c r="C587" s="284" t="n"/>
      <c r="D587" s="285" t="n"/>
      <c r="E587" s="354" t="n"/>
      <c r="F587" s="336" t="n"/>
      <c r="G587" s="336" t="n"/>
      <c r="H587" s="285" t="n"/>
      <c r="I587" s="285" t="n"/>
      <c r="J587" s="285" t="n"/>
      <c r="K587" s="285" t="n"/>
      <c r="L587" s="285" t="n"/>
      <c r="M587" s="285" t="n"/>
      <c r="N587" s="285" t="n"/>
      <c r="O587" s="285" t="n"/>
      <c r="P587" s="285" t="n"/>
      <c r="Q587" s="285" t="n"/>
      <c r="R587" s="284" t="n"/>
      <c r="S587" s="284" t="n"/>
      <c r="T587" s="285" t="n"/>
      <c r="U587" s="285" t="n"/>
      <c r="V587" s="285" t="n"/>
      <c r="W587" s="285" t="n"/>
      <c r="X587" s="285" t="n"/>
      <c r="Y587" s="285" t="n"/>
      <c r="Z587" s="285" t="n"/>
    </row>
    <row r="588" ht="15.75" customHeight="1" s="398">
      <c r="A588" s="284" t="n"/>
      <c r="B588" s="285" t="n"/>
      <c r="C588" s="284" t="n"/>
      <c r="D588" s="285" t="n"/>
      <c r="E588" s="354" t="n"/>
      <c r="F588" s="336" t="n"/>
      <c r="G588" s="336" t="n"/>
      <c r="H588" s="285" t="n"/>
      <c r="I588" s="285" t="n"/>
      <c r="J588" s="285" t="n"/>
      <c r="K588" s="285" t="n"/>
      <c r="L588" s="285" t="n"/>
      <c r="M588" s="285" t="n"/>
      <c r="N588" s="285" t="n"/>
      <c r="O588" s="285" t="n"/>
      <c r="P588" s="285" t="n"/>
      <c r="Q588" s="285" t="n"/>
      <c r="R588" s="284" t="n"/>
      <c r="S588" s="284" t="n"/>
      <c r="T588" s="285" t="n"/>
      <c r="U588" s="285" t="n"/>
      <c r="V588" s="285" t="n"/>
      <c r="W588" s="285" t="n"/>
      <c r="X588" s="285" t="n"/>
      <c r="Y588" s="285" t="n"/>
      <c r="Z588" s="285" t="n"/>
    </row>
    <row r="589" ht="15.75" customHeight="1" s="398">
      <c r="A589" s="284" t="n"/>
      <c r="B589" s="285" t="n"/>
      <c r="C589" s="284" t="n"/>
      <c r="D589" s="285" t="n"/>
      <c r="E589" s="354" t="n"/>
      <c r="F589" s="336" t="n"/>
      <c r="G589" s="336" t="n"/>
      <c r="H589" s="285" t="n"/>
      <c r="I589" s="285" t="n"/>
      <c r="J589" s="285" t="n"/>
      <c r="K589" s="285" t="n"/>
      <c r="L589" s="285" t="n"/>
      <c r="M589" s="285" t="n"/>
      <c r="N589" s="285" t="n"/>
      <c r="O589" s="285" t="n"/>
      <c r="P589" s="285" t="n"/>
      <c r="Q589" s="285" t="n"/>
      <c r="R589" s="284" t="n"/>
      <c r="S589" s="284" t="n"/>
      <c r="T589" s="285" t="n"/>
      <c r="U589" s="285" t="n"/>
      <c r="V589" s="285" t="n"/>
      <c r="W589" s="285" t="n"/>
      <c r="X589" s="285" t="n"/>
      <c r="Y589" s="285" t="n"/>
      <c r="Z589" s="285" t="n"/>
    </row>
    <row r="590" ht="15.75" customHeight="1" s="398">
      <c r="A590" s="284" t="n"/>
      <c r="B590" s="285" t="n"/>
      <c r="C590" s="284" t="n"/>
      <c r="D590" s="285" t="n"/>
      <c r="E590" s="354" t="n"/>
      <c r="F590" s="336" t="n"/>
      <c r="G590" s="336" t="n"/>
      <c r="H590" s="285" t="n"/>
      <c r="I590" s="285" t="n"/>
      <c r="J590" s="285" t="n"/>
      <c r="K590" s="285" t="n"/>
      <c r="L590" s="285" t="n"/>
      <c r="M590" s="285" t="n"/>
      <c r="N590" s="285" t="n"/>
      <c r="O590" s="285" t="n"/>
      <c r="P590" s="285" t="n"/>
      <c r="Q590" s="285" t="n"/>
      <c r="R590" s="284" t="n"/>
      <c r="S590" s="284" t="n"/>
      <c r="T590" s="285" t="n"/>
      <c r="U590" s="285" t="n"/>
      <c r="V590" s="285" t="n"/>
      <c r="W590" s="285" t="n"/>
      <c r="X590" s="285" t="n"/>
      <c r="Y590" s="285" t="n"/>
      <c r="Z590" s="285" t="n"/>
    </row>
    <row r="591" ht="15.75" customHeight="1" s="398">
      <c r="A591" s="284" t="n"/>
      <c r="B591" s="285" t="n"/>
      <c r="C591" s="284" t="n"/>
      <c r="D591" s="285" t="n"/>
      <c r="E591" s="354" t="n"/>
      <c r="F591" s="336" t="n"/>
      <c r="G591" s="336" t="n"/>
      <c r="H591" s="285" t="n"/>
      <c r="I591" s="285" t="n"/>
      <c r="J591" s="285" t="n"/>
      <c r="K591" s="285" t="n"/>
      <c r="L591" s="285" t="n"/>
      <c r="M591" s="285" t="n"/>
      <c r="N591" s="285" t="n"/>
      <c r="O591" s="285" t="n"/>
      <c r="P591" s="285" t="n"/>
      <c r="Q591" s="285" t="n"/>
      <c r="R591" s="284" t="n"/>
      <c r="S591" s="284" t="n"/>
      <c r="T591" s="285" t="n"/>
      <c r="U591" s="285" t="n"/>
      <c r="V591" s="285" t="n"/>
      <c r="W591" s="285" t="n"/>
      <c r="X591" s="285" t="n"/>
      <c r="Y591" s="285" t="n"/>
      <c r="Z591" s="285" t="n"/>
    </row>
    <row r="592" ht="15.75" customHeight="1" s="398">
      <c r="A592" s="284" t="n"/>
      <c r="B592" s="285" t="n"/>
      <c r="C592" s="284" t="n"/>
      <c r="D592" s="285" t="n"/>
      <c r="E592" s="354" t="n"/>
      <c r="F592" s="336" t="n"/>
      <c r="G592" s="336" t="n"/>
      <c r="H592" s="285" t="n"/>
      <c r="I592" s="285" t="n"/>
      <c r="J592" s="285" t="n"/>
      <c r="K592" s="285" t="n"/>
      <c r="L592" s="285" t="n"/>
      <c r="M592" s="285" t="n"/>
      <c r="N592" s="285" t="n"/>
      <c r="O592" s="285" t="n"/>
      <c r="P592" s="285" t="n"/>
      <c r="Q592" s="285" t="n"/>
      <c r="R592" s="284" t="n"/>
      <c r="S592" s="284" t="n"/>
      <c r="T592" s="285" t="n"/>
      <c r="U592" s="285" t="n"/>
      <c r="V592" s="285" t="n"/>
      <c r="W592" s="285" t="n"/>
      <c r="X592" s="285" t="n"/>
      <c r="Y592" s="285" t="n"/>
      <c r="Z592" s="285" t="n"/>
    </row>
    <row r="593" ht="15.75" customHeight="1" s="398">
      <c r="A593" s="284" t="n"/>
      <c r="B593" s="285" t="n"/>
      <c r="C593" s="284" t="n"/>
      <c r="D593" s="285" t="n"/>
      <c r="E593" s="354" t="n"/>
      <c r="F593" s="336" t="n"/>
      <c r="G593" s="336" t="n"/>
      <c r="H593" s="285" t="n"/>
      <c r="I593" s="285" t="n"/>
      <c r="J593" s="285" t="n"/>
      <c r="K593" s="285" t="n"/>
      <c r="L593" s="285" t="n"/>
      <c r="M593" s="285" t="n"/>
      <c r="N593" s="285" t="n"/>
      <c r="O593" s="285" t="n"/>
      <c r="P593" s="285" t="n"/>
      <c r="Q593" s="285" t="n"/>
      <c r="R593" s="284" t="n"/>
      <c r="S593" s="284" t="n"/>
      <c r="T593" s="285" t="n"/>
      <c r="U593" s="285" t="n"/>
      <c r="V593" s="285" t="n"/>
      <c r="W593" s="285" t="n"/>
      <c r="X593" s="285" t="n"/>
      <c r="Y593" s="285" t="n"/>
      <c r="Z593" s="285" t="n"/>
    </row>
    <row r="594" ht="15.75" customHeight="1" s="398">
      <c r="A594" s="284" t="n"/>
      <c r="B594" s="285" t="n"/>
      <c r="C594" s="284" t="n"/>
      <c r="D594" s="285" t="n"/>
      <c r="E594" s="354" t="n"/>
      <c r="F594" s="336" t="n"/>
      <c r="G594" s="336" t="n"/>
      <c r="H594" s="285" t="n"/>
      <c r="I594" s="285" t="n"/>
      <c r="J594" s="285" t="n"/>
      <c r="K594" s="285" t="n"/>
      <c r="L594" s="285" t="n"/>
      <c r="M594" s="285" t="n"/>
      <c r="N594" s="285" t="n"/>
      <c r="O594" s="285" t="n"/>
      <c r="P594" s="285" t="n"/>
      <c r="Q594" s="285" t="n"/>
      <c r="R594" s="284" t="n"/>
      <c r="S594" s="284" t="n"/>
      <c r="T594" s="285" t="n"/>
      <c r="U594" s="285" t="n"/>
      <c r="V594" s="285" t="n"/>
      <c r="W594" s="285" t="n"/>
      <c r="X594" s="285" t="n"/>
      <c r="Y594" s="285" t="n"/>
      <c r="Z594" s="285" t="n"/>
    </row>
    <row r="595" ht="15.75" customHeight="1" s="398">
      <c r="A595" s="284" t="n"/>
      <c r="B595" s="285" t="n"/>
      <c r="C595" s="284" t="n"/>
      <c r="D595" s="285" t="n"/>
      <c r="E595" s="354" t="n"/>
      <c r="F595" s="336" t="n"/>
      <c r="G595" s="336" t="n"/>
      <c r="H595" s="285" t="n"/>
      <c r="I595" s="285" t="n"/>
      <c r="J595" s="285" t="n"/>
      <c r="K595" s="285" t="n"/>
      <c r="L595" s="285" t="n"/>
      <c r="M595" s="285" t="n"/>
      <c r="N595" s="285" t="n"/>
      <c r="O595" s="285" t="n"/>
      <c r="P595" s="285" t="n"/>
      <c r="Q595" s="285" t="n"/>
      <c r="R595" s="284" t="n"/>
      <c r="S595" s="284" t="n"/>
      <c r="T595" s="285" t="n"/>
      <c r="U595" s="285" t="n"/>
      <c r="V595" s="285" t="n"/>
      <c r="W595" s="285" t="n"/>
      <c r="X595" s="285" t="n"/>
      <c r="Y595" s="285" t="n"/>
      <c r="Z595" s="285" t="n"/>
    </row>
    <row r="596" ht="15.75" customHeight="1" s="398">
      <c r="A596" s="284" t="n"/>
      <c r="B596" s="285" t="n"/>
      <c r="C596" s="284" t="n"/>
      <c r="D596" s="285" t="n"/>
      <c r="E596" s="354" t="n"/>
      <c r="F596" s="336" t="n"/>
      <c r="G596" s="336" t="n"/>
      <c r="H596" s="285" t="n"/>
      <c r="I596" s="285" t="n"/>
      <c r="J596" s="285" t="n"/>
      <c r="K596" s="285" t="n"/>
      <c r="L596" s="285" t="n"/>
      <c r="M596" s="285" t="n"/>
      <c r="N596" s="285" t="n"/>
      <c r="O596" s="285" t="n"/>
      <c r="P596" s="285" t="n"/>
      <c r="Q596" s="285" t="n"/>
      <c r="R596" s="284" t="n"/>
      <c r="S596" s="284" t="n"/>
      <c r="T596" s="285" t="n"/>
      <c r="U596" s="285" t="n"/>
      <c r="V596" s="285" t="n"/>
      <c r="W596" s="285" t="n"/>
      <c r="X596" s="285" t="n"/>
      <c r="Y596" s="285" t="n"/>
      <c r="Z596" s="285" t="n"/>
    </row>
    <row r="597" ht="15.75" customHeight="1" s="398">
      <c r="A597" s="284" t="n"/>
      <c r="B597" s="285" t="n"/>
      <c r="C597" s="284" t="n"/>
      <c r="D597" s="285" t="n"/>
      <c r="E597" s="354" t="n"/>
      <c r="F597" s="336" t="n"/>
      <c r="G597" s="336" t="n"/>
      <c r="H597" s="285" t="n"/>
      <c r="I597" s="285" t="n"/>
      <c r="J597" s="285" t="n"/>
      <c r="K597" s="285" t="n"/>
      <c r="L597" s="285" t="n"/>
      <c r="M597" s="285" t="n"/>
      <c r="N597" s="285" t="n"/>
      <c r="O597" s="285" t="n"/>
      <c r="P597" s="285" t="n"/>
      <c r="Q597" s="285" t="n"/>
      <c r="R597" s="284" t="n"/>
      <c r="S597" s="284" t="n"/>
      <c r="T597" s="285" t="n"/>
      <c r="U597" s="285" t="n"/>
      <c r="V597" s="285" t="n"/>
      <c r="W597" s="285" t="n"/>
      <c r="X597" s="285" t="n"/>
      <c r="Y597" s="285" t="n"/>
      <c r="Z597" s="285" t="n"/>
    </row>
    <row r="598" ht="15.75" customHeight="1" s="398">
      <c r="A598" s="284" t="n"/>
      <c r="B598" s="285" t="n"/>
      <c r="C598" s="284" t="n"/>
      <c r="D598" s="285" t="n"/>
      <c r="E598" s="354" t="n"/>
      <c r="F598" s="336" t="n"/>
      <c r="G598" s="336" t="n"/>
      <c r="H598" s="285" t="n"/>
      <c r="I598" s="285" t="n"/>
      <c r="J598" s="285" t="n"/>
      <c r="K598" s="285" t="n"/>
      <c r="L598" s="285" t="n"/>
      <c r="M598" s="285" t="n"/>
      <c r="N598" s="285" t="n"/>
      <c r="O598" s="285" t="n"/>
      <c r="P598" s="285" t="n"/>
      <c r="Q598" s="285" t="n"/>
      <c r="R598" s="284" t="n"/>
      <c r="S598" s="284" t="n"/>
      <c r="T598" s="285" t="n"/>
      <c r="U598" s="285" t="n"/>
      <c r="V598" s="285" t="n"/>
      <c r="W598" s="285" t="n"/>
      <c r="X598" s="285" t="n"/>
      <c r="Y598" s="285" t="n"/>
      <c r="Z598" s="285" t="n"/>
    </row>
    <row r="599" ht="15.75" customHeight="1" s="398">
      <c r="A599" s="284" t="n"/>
      <c r="B599" s="285" t="n"/>
      <c r="C599" s="284" t="n"/>
      <c r="D599" s="285" t="n"/>
      <c r="E599" s="354" t="n"/>
      <c r="F599" s="336" t="n"/>
      <c r="G599" s="336" t="n"/>
      <c r="H599" s="285" t="n"/>
      <c r="I599" s="285" t="n"/>
      <c r="J599" s="285" t="n"/>
      <c r="K599" s="285" t="n"/>
      <c r="L599" s="285" t="n"/>
      <c r="M599" s="285" t="n"/>
      <c r="N599" s="285" t="n"/>
      <c r="O599" s="285" t="n"/>
      <c r="P599" s="285" t="n"/>
      <c r="Q599" s="285" t="n"/>
      <c r="R599" s="284" t="n"/>
      <c r="S599" s="284" t="n"/>
      <c r="T599" s="285" t="n"/>
      <c r="U599" s="285" t="n"/>
      <c r="V599" s="285" t="n"/>
      <c r="W599" s="285" t="n"/>
      <c r="X599" s="285" t="n"/>
      <c r="Y599" s="285" t="n"/>
      <c r="Z599" s="285" t="n"/>
    </row>
    <row r="600" ht="15.75" customHeight="1" s="398">
      <c r="A600" s="284" t="n"/>
      <c r="B600" s="285" t="n"/>
      <c r="C600" s="284" t="n"/>
      <c r="D600" s="285" t="n"/>
      <c r="E600" s="354" t="n"/>
      <c r="F600" s="336" t="n"/>
      <c r="G600" s="336" t="n"/>
      <c r="H600" s="285" t="n"/>
      <c r="I600" s="285" t="n"/>
      <c r="J600" s="285" t="n"/>
      <c r="K600" s="285" t="n"/>
      <c r="L600" s="285" t="n"/>
      <c r="M600" s="285" t="n"/>
      <c r="N600" s="285" t="n"/>
      <c r="O600" s="285" t="n"/>
      <c r="P600" s="285" t="n"/>
      <c r="Q600" s="285" t="n"/>
      <c r="R600" s="284" t="n"/>
      <c r="S600" s="284" t="n"/>
      <c r="T600" s="285" t="n"/>
      <c r="U600" s="285" t="n"/>
      <c r="V600" s="285" t="n"/>
      <c r="W600" s="285" t="n"/>
      <c r="X600" s="285" t="n"/>
      <c r="Y600" s="285" t="n"/>
      <c r="Z600" s="285" t="n"/>
    </row>
    <row r="601" ht="15.75" customHeight="1" s="398">
      <c r="A601" s="284" t="n"/>
      <c r="B601" s="285" t="n"/>
      <c r="C601" s="284" t="n"/>
      <c r="D601" s="285" t="n"/>
      <c r="E601" s="354" t="n"/>
      <c r="F601" s="336" t="n"/>
      <c r="G601" s="336" t="n"/>
      <c r="H601" s="285" t="n"/>
      <c r="I601" s="285" t="n"/>
      <c r="J601" s="285" t="n"/>
      <c r="K601" s="285" t="n"/>
      <c r="L601" s="285" t="n"/>
      <c r="M601" s="285" t="n"/>
      <c r="N601" s="285" t="n"/>
      <c r="O601" s="285" t="n"/>
      <c r="P601" s="285" t="n"/>
      <c r="Q601" s="285" t="n"/>
      <c r="R601" s="284" t="n"/>
      <c r="S601" s="284" t="n"/>
      <c r="T601" s="285" t="n"/>
      <c r="U601" s="285" t="n"/>
      <c r="V601" s="285" t="n"/>
      <c r="W601" s="285" t="n"/>
      <c r="X601" s="285" t="n"/>
      <c r="Y601" s="285" t="n"/>
      <c r="Z601" s="285" t="n"/>
    </row>
    <row r="602" ht="15.75" customHeight="1" s="398">
      <c r="A602" s="284" t="n"/>
      <c r="B602" s="285" t="n"/>
      <c r="C602" s="284" t="n"/>
      <c r="D602" s="285" t="n"/>
      <c r="E602" s="354" t="n"/>
      <c r="F602" s="336" t="n"/>
      <c r="G602" s="336" t="n"/>
      <c r="H602" s="285" t="n"/>
      <c r="I602" s="285" t="n"/>
      <c r="J602" s="285" t="n"/>
      <c r="K602" s="285" t="n"/>
      <c r="L602" s="285" t="n"/>
      <c r="M602" s="285" t="n"/>
      <c r="N602" s="285" t="n"/>
      <c r="O602" s="285" t="n"/>
      <c r="P602" s="285" t="n"/>
      <c r="Q602" s="285" t="n"/>
      <c r="R602" s="284" t="n"/>
      <c r="S602" s="284" t="n"/>
      <c r="T602" s="285" t="n"/>
      <c r="U602" s="285" t="n"/>
      <c r="V602" s="285" t="n"/>
      <c r="W602" s="285" t="n"/>
      <c r="X602" s="285" t="n"/>
      <c r="Y602" s="285" t="n"/>
      <c r="Z602" s="285" t="n"/>
    </row>
    <row r="603" ht="15.75" customHeight="1" s="398">
      <c r="A603" s="284" t="n"/>
      <c r="B603" s="285" t="n"/>
      <c r="C603" s="284" t="n"/>
      <c r="D603" s="285" t="n"/>
      <c r="E603" s="354" t="n"/>
      <c r="F603" s="336" t="n"/>
      <c r="G603" s="336" t="n"/>
      <c r="H603" s="285" t="n"/>
      <c r="I603" s="285" t="n"/>
      <c r="J603" s="285" t="n"/>
      <c r="K603" s="285" t="n"/>
      <c r="L603" s="285" t="n"/>
      <c r="M603" s="285" t="n"/>
      <c r="N603" s="285" t="n"/>
      <c r="O603" s="285" t="n"/>
      <c r="P603" s="285" t="n"/>
      <c r="Q603" s="285" t="n"/>
      <c r="R603" s="284" t="n"/>
      <c r="S603" s="284" t="n"/>
      <c r="T603" s="285" t="n"/>
      <c r="U603" s="285" t="n"/>
      <c r="V603" s="285" t="n"/>
      <c r="W603" s="285" t="n"/>
      <c r="X603" s="285" t="n"/>
      <c r="Y603" s="285" t="n"/>
      <c r="Z603" s="285" t="n"/>
    </row>
    <row r="604" ht="15.75" customHeight="1" s="398">
      <c r="A604" s="284" t="n"/>
      <c r="B604" s="285" t="n"/>
      <c r="C604" s="284" t="n"/>
      <c r="D604" s="285" t="n"/>
      <c r="E604" s="354" t="n"/>
      <c r="F604" s="336" t="n"/>
      <c r="G604" s="336" t="n"/>
      <c r="H604" s="285" t="n"/>
      <c r="I604" s="285" t="n"/>
      <c r="J604" s="285" t="n"/>
      <c r="K604" s="285" t="n"/>
      <c r="L604" s="285" t="n"/>
      <c r="M604" s="285" t="n"/>
      <c r="N604" s="285" t="n"/>
      <c r="O604" s="285" t="n"/>
      <c r="P604" s="285" t="n"/>
      <c r="Q604" s="285" t="n"/>
      <c r="R604" s="284" t="n"/>
      <c r="S604" s="284" t="n"/>
      <c r="T604" s="285" t="n"/>
      <c r="U604" s="285" t="n"/>
      <c r="V604" s="285" t="n"/>
      <c r="W604" s="285" t="n"/>
      <c r="X604" s="285" t="n"/>
      <c r="Y604" s="285" t="n"/>
      <c r="Z604" s="285" t="n"/>
    </row>
    <row r="605" ht="15.75" customHeight="1" s="398">
      <c r="A605" s="284" t="n"/>
      <c r="B605" s="285" t="n"/>
      <c r="C605" s="284" t="n"/>
      <c r="D605" s="285" t="n"/>
      <c r="E605" s="354" t="n"/>
      <c r="F605" s="336" t="n"/>
      <c r="G605" s="336" t="n"/>
      <c r="H605" s="285" t="n"/>
      <c r="I605" s="285" t="n"/>
      <c r="J605" s="285" t="n"/>
      <c r="K605" s="285" t="n"/>
      <c r="L605" s="285" t="n"/>
      <c r="M605" s="285" t="n"/>
      <c r="N605" s="285" t="n"/>
      <c r="O605" s="285" t="n"/>
      <c r="P605" s="285" t="n"/>
      <c r="Q605" s="285" t="n"/>
      <c r="R605" s="284" t="n"/>
      <c r="S605" s="284" t="n"/>
      <c r="T605" s="285" t="n"/>
      <c r="U605" s="285" t="n"/>
      <c r="V605" s="285" t="n"/>
      <c r="W605" s="285" t="n"/>
      <c r="X605" s="285" t="n"/>
      <c r="Y605" s="285" t="n"/>
      <c r="Z605" s="285" t="n"/>
    </row>
    <row r="606" ht="15.75" customHeight="1" s="398">
      <c r="A606" s="284" t="n"/>
      <c r="B606" s="285" t="n"/>
      <c r="C606" s="284" t="n"/>
      <c r="D606" s="285" t="n"/>
      <c r="E606" s="354" t="n"/>
      <c r="F606" s="336" t="n"/>
      <c r="G606" s="336" t="n"/>
      <c r="H606" s="285" t="n"/>
      <c r="I606" s="285" t="n"/>
      <c r="J606" s="285" t="n"/>
      <c r="K606" s="285" t="n"/>
      <c r="L606" s="285" t="n"/>
      <c r="M606" s="285" t="n"/>
      <c r="N606" s="285" t="n"/>
      <c r="O606" s="285" t="n"/>
      <c r="P606" s="285" t="n"/>
      <c r="Q606" s="285" t="n"/>
      <c r="R606" s="284" t="n"/>
      <c r="S606" s="284" t="n"/>
      <c r="T606" s="285" t="n"/>
      <c r="U606" s="285" t="n"/>
      <c r="V606" s="285" t="n"/>
      <c r="W606" s="285" t="n"/>
      <c r="X606" s="285" t="n"/>
      <c r="Y606" s="285" t="n"/>
      <c r="Z606" s="285" t="n"/>
    </row>
    <row r="607" ht="15.75" customHeight="1" s="398">
      <c r="A607" s="284" t="n"/>
      <c r="B607" s="285" t="n"/>
      <c r="C607" s="284" t="n"/>
      <c r="D607" s="285" t="n"/>
      <c r="E607" s="354" t="n"/>
      <c r="F607" s="336" t="n"/>
      <c r="G607" s="336" t="n"/>
      <c r="H607" s="285" t="n"/>
      <c r="I607" s="285" t="n"/>
      <c r="J607" s="285" t="n"/>
      <c r="K607" s="285" t="n"/>
      <c r="L607" s="285" t="n"/>
      <c r="M607" s="285" t="n"/>
      <c r="N607" s="285" t="n"/>
      <c r="O607" s="285" t="n"/>
      <c r="P607" s="285" t="n"/>
      <c r="Q607" s="285" t="n"/>
      <c r="R607" s="284" t="n"/>
      <c r="S607" s="284" t="n"/>
      <c r="T607" s="285" t="n"/>
      <c r="U607" s="285" t="n"/>
      <c r="V607" s="285" t="n"/>
      <c r="W607" s="285" t="n"/>
      <c r="X607" s="285" t="n"/>
      <c r="Y607" s="285" t="n"/>
      <c r="Z607" s="285" t="n"/>
    </row>
    <row r="608" ht="15.75" customHeight="1" s="398">
      <c r="A608" s="284" t="n"/>
      <c r="B608" s="285" t="n"/>
      <c r="C608" s="284" t="n"/>
      <c r="D608" s="285" t="n"/>
      <c r="E608" s="354" t="n"/>
      <c r="F608" s="336" t="n"/>
      <c r="G608" s="336" t="n"/>
      <c r="H608" s="285" t="n"/>
      <c r="I608" s="285" t="n"/>
      <c r="J608" s="285" t="n"/>
      <c r="K608" s="285" t="n"/>
      <c r="L608" s="285" t="n"/>
      <c r="M608" s="285" t="n"/>
      <c r="N608" s="285" t="n"/>
      <c r="O608" s="285" t="n"/>
      <c r="P608" s="285" t="n"/>
      <c r="Q608" s="285" t="n"/>
      <c r="R608" s="284" t="n"/>
      <c r="S608" s="284" t="n"/>
      <c r="T608" s="285" t="n"/>
      <c r="U608" s="285" t="n"/>
      <c r="V608" s="285" t="n"/>
      <c r="W608" s="285" t="n"/>
      <c r="X608" s="285" t="n"/>
      <c r="Y608" s="285" t="n"/>
      <c r="Z608" s="285" t="n"/>
    </row>
    <row r="609" ht="15.75" customHeight="1" s="398">
      <c r="A609" s="284" t="n"/>
      <c r="B609" s="285" t="n"/>
      <c r="C609" s="284" t="n"/>
      <c r="D609" s="285" t="n"/>
      <c r="E609" s="354" t="n"/>
      <c r="F609" s="336" t="n"/>
      <c r="G609" s="336" t="n"/>
      <c r="H609" s="285" t="n"/>
      <c r="I609" s="285" t="n"/>
      <c r="J609" s="285" t="n"/>
      <c r="K609" s="285" t="n"/>
      <c r="L609" s="285" t="n"/>
      <c r="M609" s="285" t="n"/>
      <c r="N609" s="285" t="n"/>
      <c r="O609" s="285" t="n"/>
      <c r="P609" s="285" t="n"/>
      <c r="Q609" s="285" t="n"/>
      <c r="R609" s="284" t="n"/>
      <c r="S609" s="284" t="n"/>
      <c r="T609" s="285" t="n"/>
      <c r="U609" s="285" t="n"/>
      <c r="V609" s="285" t="n"/>
      <c r="W609" s="285" t="n"/>
      <c r="X609" s="285" t="n"/>
      <c r="Y609" s="285" t="n"/>
      <c r="Z609" s="285" t="n"/>
    </row>
    <row r="610" ht="15.75" customHeight="1" s="398">
      <c r="A610" s="284" t="n"/>
      <c r="B610" s="285" t="n"/>
      <c r="C610" s="284" t="n"/>
      <c r="D610" s="285" t="n"/>
      <c r="E610" s="354" t="n"/>
      <c r="F610" s="336" t="n"/>
      <c r="G610" s="336" t="n"/>
      <c r="H610" s="285" t="n"/>
      <c r="I610" s="285" t="n"/>
      <c r="J610" s="285" t="n"/>
      <c r="K610" s="285" t="n"/>
      <c r="L610" s="285" t="n"/>
      <c r="M610" s="285" t="n"/>
      <c r="N610" s="285" t="n"/>
      <c r="O610" s="285" t="n"/>
      <c r="P610" s="285" t="n"/>
      <c r="Q610" s="285" t="n"/>
      <c r="R610" s="284" t="n"/>
      <c r="S610" s="284" t="n"/>
      <c r="T610" s="285" t="n"/>
      <c r="U610" s="285" t="n"/>
      <c r="V610" s="285" t="n"/>
      <c r="W610" s="285" t="n"/>
      <c r="X610" s="285" t="n"/>
      <c r="Y610" s="285" t="n"/>
      <c r="Z610" s="285" t="n"/>
    </row>
    <row r="611" ht="15.75" customHeight="1" s="398">
      <c r="A611" s="284" t="n"/>
      <c r="B611" s="285" t="n"/>
      <c r="C611" s="284" t="n"/>
      <c r="D611" s="285" t="n"/>
      <c r="E611" s="354" t="n"/>
      <c r="F611" s="336" t="n"/>
      <c r="G611" s="336" t="n"/>
      <c r="H611" s="285" t="n"/>
      <c r="I611" s="285" t="n"/>
      <c r="J611" s="285" t="n"/>
      <c r="K611" s="285" t="n"/>
      <c r="L611" s="285" t="n"/>
      <c r="M611" s="285" t="n"/>
      <c r="N611" s="285" t="n"/>
      <c r="O611" s="285" t="n"/>
      <c r="P611" s="285" t="n"/>
      <c r="Q611" s="285" t="n"/>
      <c r="R611" s="284" t="n"/>
      <c r="S611" s="284" t="n"/>
      <c r="T611" s="285" t="n"/>
      <c r="U611" s="285" t="n"/>
      <c r="V611" s="285" t="n"/>
      <c r="W611" s="285" t="n"/>
      <c r="X611" s="285" t="n"/>
      <c r="Y611" s="285" t="n"/>
      <c r="Z611" s="285" t="n"/>
    </row>
    <row r="612" ht="15.75" customHeight="1" s="398">
      <c r="A612" s="284" t="n"/>
      <c r="B612" s="285" t="n"/>
      <c r="C612" s="284" t="n"/>
      <c r="D612" s="285" t="n"/>
      <c r="E612" s="354" t="n"/>
      <c r="F612" s="336" t="n"/>
      <c r="G612" s="336" t="n"/>
      <c r="H612" s="285" t="n"/>
      <c r="I612" s="285" t="n"/>
      <c r="J612" s="285" t="n"/>
      <c r="K612" s="285" t="n"/>
      <c r="L612" s="285" t="n"/>
      <c r="M612" s="285" t="n"/>
      <c r="N612" s="285" t="n"/>
      <c r="O612" s="285" t="n"/>
      <c r="P612" s="285" t="n"/>
      <c r="Q612" s="285" t="n"/>
      <c r="R612" s="284" t="n"/>
      <c r="S612" s="284" t="n"/>
      <c r="T612" s="285" t="n"/>
      <c r="U612" s="285" t="n"/>
      <c r="V612" s="285" t="n"/>
      <c r="W612" s="285" t="n"/>
      <c r="X612" s="285" t="n"/>
      <c r="Y612" s="285" t="n"/>
      <c r="Z612" s="285" t="n"/>
    </row>
    <row r="613" ht="15.75" customHeight="1" s="398">
      <c r="A613" s="284" t="n"/>
      <c r="B613" s="285" t="n"/>
      <c r="C613" s="284" t="n"/>
      <c r="D613" s="285" t="n"/>
      <c r="E613" s="354" t="n"/>
      <c r="F613" s="336" t="n"/>
      <c r="G613" s="336" t="n"/>
      <c r="H613" s="285" t="n"/>
      <c r="I613" s="285" t="n"/>
      <c r="J613" s="285" t="n"/>
      <c r="K613" s="285" t="n"/>
      <c r="L613" s="285" t="n"/>
      <c r="M613" s="285" t="n"/>
      <c r="N613" s="285" t="n"/>
      <c r="O613" s="285" t="n"/>
      <c r="P613" s="285" t="n"/>
      <c r="Q613" s="285" t="n"/>
      <c r="R613" s="284" t="n"/>
      <c r="S613" s="284" t="n"/>
      <c r="T613" s="285" t="n"/>
      <c r="U613" s="285" t="n"/>
      <c r="V613" s="285" t="n"/>
      <c r="W613" s="285" t="n"/>
      <c r="X613" s="285" t="n"/>
      <c r="Y613" s="285" t="n"/>
      <c r="Z613" s="285" t="n"/>
    </row>
    <row r="614" ht="15.75" customHeight="1" s="398">
      <c r="A614" s="284" t="n"/>
      <c r="B614" s="285" t="n"/>
      <c r="C614" s="284" t="n"/>
      <c r="D614" s="285" t="n"/>
      <c r="E614" s="354" t="n"/>
      <c r="F614" s="336" t="n"/>
      <c r="G614" s="336" t="n"/>
      <c r="H614" s="285" t="n"/>
      <c r="I614" s="285" t="n"/>
      <c r="J614" s="285" t="n"/>
      <c r="K614" s="285" t="n"/>
      <c r="L614" s="285" t="n"/>
      <c r="M614" s="285" t="n"/>
      <c r="N614" s="285" t="n"/>
      <c r="O614" s="285" t="n"/>
      <c r="P614" s="285" t="n"/>
      <c r="Q614" s="285" t="n"/>
      <c r="R614" s="284" t="n"/>
      <c r="S614" s="284" t="n"/>
      <c r="T614" s="285" t="n"/>
      <c r="U614" s="285" t="n"/>
      <c r="V614" s="285" t="n"/>
      <c r="W614" s="285" t="n"/>
      <c r="X614" s="285" t="n"/>
      <c r="Y614" s="285" t="n"/>
      <c r="Z614" s="285" t="n"/>
    </row>
    <row r="615" ht="15.75" customHeight="1" s="398">
      <c r="A615" s="284" t="n"/>
      <c r="B615" s="285" t="n"/>
      <c r="C615" s="284" t="n"/>
      <c r="D615" s="285" t="n"/>
      <c r="E615" s="354" t="n"/>
      <c r="F615" s="336" t="n"/>
      <c r="G615" s="336" t="n"/>
      <c r="H615" s="285" t="n"/>
      <c r="I615" s="285" t="n"/>
      <c r="J615" s="285" t="n"/>
      <c r="K615" s="285" t="n"/>
      <c r="L615" s="285" t="n"/>
      <c r="M615" s="285" t="n"/>
      <c r="N615" s="285" t="n"/>
      <c r="O615" s="285" t="n"/>
      <c r="P615" s="285" t="n"/>
      <c r="Q615" s="285" t="n"/>
      <c r="R615" s="284" t="n"/>
      <c r="S615" s="284" t="n"/>
      <c r="T615" s="285" t="n"/>
      <c r="U615" s="285" t="n"/>
      <c r="V615" s="285" t="n"/>
      <c r="W615" s="285" t="n"/>
      <c r="X615" s="285" t="n"/>
      <c r="Y615" s="285" t="n"/>
      <c r="Z615" s="285" t="n"/>
    </row>
    <row r="616" ht="15.75" customHeight="1" s="398">
      <c r="A616" s="284" t="n"/>
      <c r="B616" s="285" t="n"/>
      <c r="C616" s="284" t="n"/>
      <c r="D616" s="285" t="n"/>
      <c r="E616" s="354" t="n"/>
      <c r="F616" s="336" t="n"/>
      <c r="G616" s="336" t="n"/>
      <c r="H616" s="285" t="n"/>
      <c r="I616" s="285" t="n"/>
      <c r="J616" s="285" t="n"/>
      <c r="K616" s="285" t="n"/>
      <c r="L616" s="285" t="n"/>
      <c r="M616" s="285" t="n"/>
      <c r="N616" s="285" t="n"/>
      <c r="O616" s="285" t="n"/>
      <c r="P616" s="285" t="n"/>
      <c r="Q616" s="285" t="n"/>
      <c r="R616" s="284" t="n"/>
      <c r="S616" s="284" t="n"/>
      <c r="T616" s="285" t="n"/>
      <c r="U616" s="285" t="n"/>
      <c r="V616" s="285" t="n"/>
      <c r="W616" s="285" t="n"/>
      <c r="X616" s="285" t="n"/>
      <c r="Y616" s="285" t="n"/>
      <c r="Z616" s="285" t="n"/>
    </row>
    <row r="617" ht="15.75" customHeight="1" s="398">
      <c r="A617" s="284" t="n"/>
      <c r="B617" s="285" t="n"/>
      <c r="C617" s="284" t="n"/>
      <c r="D617" s="285" t="n"/>
      <c r="E617" s="354" t="n"/>
      <c r="F617" s="336" t="n"/>
      <c r="G617" s="336" t="n"/>
      <c r="H617" s="285" t="n"/>
      <c r="I617" s="285" t="n"/>
      <c r="J617" s="285" t="n"/>
      <c r="K617" s="285" t="n"/>
      <c r="L617" s="285" t="n"/>
      <c r="M617" s="285" t="n"/>
      <c r="N617" s="285" t="n"/>
      <c r="O617" s="285" t="n"/>
      <c r="P617" s="285" t="n"/>
      <c r="Q617" s="285" t="n"/>
      <c r="R617" s="284" t="n"/>
      <c r="S617" s="284" t="n"/>
      <c r="T617" s="285" t="n"/>
      <c r="U617" s="285" t="n"/>
      <c r="V617" s="285" t="n"/>
      <c r="W617" s="285" t="n"/>
      <c r="X617" s="285" t="n"/>
      <c r="Y617" s="285" t="n"/>
      <c r="Z617" s="285" t="n"/>
    </row>
    <row r="618" ht="15.75" customHeight="1" s="398">
      <c r="A618" s="284" t="n"/>
      <c r="B618" s="285" t="n"/>
      <c r="C618" s="284" t="n"/>
      <c r="D618" s="285" t="n"/>
      <c r="E618" s="354" t="n"/>
      <c r="F618" s="336" t="n"/>
      <c r="G618" s="336" t="n"/>
      <c r="H618" s="285" t="n"/>
      <c r="I618" s="285" t="n"/>
      <c r="J618" s="285" t="n"/>
      <c r="K618" s="285" t="n"/>
      <c r="L618" s="285" t="n"/>
      <c r="M618" s="285" t="n"/>
      <c r="N618" s="285" t="n"/>
      <c r="O618" s="285" t="n"/>
      <c r="P618" s="285" t="n"/>
      <c r="Q618" s="285" t="n"/>
      <c r="R618" s="284" t="n"/>
      <c r="S618" s="284" t="n"/>
      <c r="T618" s="285" t="n"/>
      <c r="U618" s="285" t="n"/>
      <c r="V618" s="285" t="n"/>
      <c r="W618" s="285" t="n"/>
      <c r="X618" s="285" t="n"/>
      <c r="Y618" s="285" t="n"/>
      <c r="Z618" s="285" t="n"/>
    </row>
    <row r="619" ht="15.75" customHeight="1" s="398">
      <c r="A619" s="284" t="n"/>
      <c r="B619" s="285" t="n"/>
      <c r="C619" s="284" t="n"/>
      <c r="D619" s="285" t="n"/>
      <c r="E619" s="354" t="n"/>
      <c r="F619" s="336" t="n"/>
      <c r="G619" s="336" t="n"/>
      <c r="H619" s="285" t="n"/>
      <c r="I619" s="285" t="n"/>
      <c r="J619" s="285" t="n"/>
      <c r="K619" s="285" t="n"/>
      <c r="L619" s="285" t="n"/>
      <c r="M619" s="285" t="n"/>
      <c r="N619" s="285" t="n"/>
      <c r="O619" s="285" t="n"/>
      <c r="P619" s="285" t="n"/>
      <c r="Q619" s="285" t="n"/>
      <c r="R619" s="284" t="n"/>
      <c r="S619" s="284" t="n"/>
      <c r="T619" s="285" t="n"/>
      <c r="U619" s="285" t="n"/>
      <c r="V619" s="285" t="n"/>
      <c r="W619" s="285" t="n"/>
      <c r="X619" s="285" t="n"/>
      <c r="Y619" s="285" t="n"/>
      <c r="Z619" s="285" t="n"/>
    </row>
    <row r="620" ht="15.75" customHeight="1" s="398">
      <c r="A620" s="284" t="n"/>
      <c r="B620" s="285" t="n"/>
      <c r="C620" s="284" t="n"/>
      <c r="D620" s="285" t="n"/>
      <c r="E620" s="354" t="n"/>
      <c r="F620" s="336" t="n"/>
      <c r="G620" s="336" t="n"/>
      <c r="H620" s="285" t="n"/>
      <c r="I620" s="285" t="n"/>
      <c r="J620" s="285" t="n"/>
      <c r="K620" s="285" t="n"/>
      <c r="L620" s="285" t="n"/>
      <c r="M620" s="285" t="n"/>
      <c r="N620" s="285" t="n"/>
      <c r="O620" s="285" t="n"/>
      <c r="P620" s="285" t="n"/>
      <c r="Q620" s="285" t="n"/>
      <c r="R620" s="284" t="n"/>
      <c r="S620" s="284" t="n"/>
      <c r="T620" s="285" t="n"/>
      <c r="U620" s="285" t="n"/>
      <c r="V620" s="285" t="n"/>
      <c r="W620" s="285" t="n"/>
      <c r="X620" s="285" t="n"/>
      <c r="Y620" s="285" t="n"/>
      <c r="Z620" s="285" t="n"/>
    </row>
    <row r="621" ht="15.75" customHeight="1" s="398">
      <c r="A621" s="284" t="n"/>
      <c r="B621" s="285" t="n"/>
      <c r="C621" s="284" t="n"/>
      <c r="D621" s="285" t="n"/>
      <c r="E621" s="354" t="n"/>
      <c r="F621" s="336" t="n"/>
      <c r="G621" s="336" t="n"/>
      <c r="H621" s="285" t="n"/>
      <c r="I621" s="285" t="n"/>
      <c r="J621" s="285" t="n"/>
      <c r="K621" s="285" t="n"/>
      <c r="L621" s="285" t="n"/>
      <c r="M621" s="285" t="n"/>
      <c r="N621" s="285" t="n"/>
      <c r="O621" s="285" t="n"/>
      <c r="P621" s="285" t="n"/>
      <c r="Q621" s="285" t="n"/>
      <c r="R621" s="284" t="n"/>
      <c r="S621" s="284" t="n"/>
      <c r="T621" s="285" t="n"/>
      <c r="U621" s="285" t="n"/>
      <c r="V621" s="285" t="n"/>
      <c r="W621" s="285" t="n"/>
      <c r="X621" s="285" t="n"/>
      <c r="Y621" s="285" t="n"/>
      <c r="Z621" s="285" t="n"/>
    </row>
    <row r="622" ht="15.75" customHeight="1" s="398">
      <c r="A622" s="284" t="n"/>
      <c r="B622" s="285" t="n"/>
      <c r="C622" s="284" t="n"/>
      <c r="D622" s="285" t="n"/>
      <c r="E622" s="354" t="n"/>
      <c r="F622" s="336" t="n"/>
      <c r="G622" s="336" t="n"/>
      <c r="H622" s="285" t="n"/>
      <c r="I622" s="285" t="n"/>
      <c r="J622" s="285" t="n"/>
      <c r="K622" s="285" t="n"/>
      <c r="L622" s="285" t="n"/>
      <c r="M622" s="285" t="n"/>
      <c r="N622" s="285" t="n"/>
      <c r="O622" s="285" t="n"/>
      <c r="P622" s="285" t="n"/>
      <c r="Q622" s="285" t="n"/>
      <c r="R622" s="284" t="n"/>
      <c r="S622" s="284" t="n"/>
      <c r="T622" s="285" t="n"/>
      <c r="U622" s="285" t="n"/>
      <c r="V622" s="285" t="n"/>
      <c r="W622" s="285" t="n"/>
      <c r="X622" s="285" t="n"/>
      <c r="Y622" s="285" t="n"/>
      <c r="Z622" s="285" t="n"/>
    </row>
    <row r="623" ht="15.75" customHeight="1" s="398">
      <c r="A623" s="284" t="n"/>
      <c r="B623" s="285" t="n"/>
      <c r="C623" s="284" t="n"/>
      <c r="D623" s="285" t="n"/>
      <c r="E623" s="354" t="n"/>
      <c r="F623" s="336" t="n"/>
      <c r="G623" s="336" t="n"/>
      <c r="H623" s="285" t="n"/>
      <c r="I623" s="285" t="n"/>
      <c r="J623" s="285" t="n"/>
      <c r="K623" s="285" t="n"/>
      <c r="L623" s="285" t="n"/>
      <c r="M623" s="285" t="n"/>
      <c r="N623" s="285" t="n"/>
      <c r="O623" s="285" t="n"/>
      <c r="P623" s="285" t="n"/>
      <c r="Q623" s="285" t="n"/>
      <c r="R623" s="284" t="n"/>
      <c r="S623" s="284" t="n"/>
      <c r="T623" s="285" t="n"/>
      <c r="U623" s="285" t="n"/>
      <c r="V623" s="285" t="n"/>
      <c r="W623" s="285" t="n"/>
      <c r="X623" s="285" t="n"/>
      <c r="Y623" s="285" t="n"/>
      <c r="Z623" s="285" t="n"/>
    </row>
    <row r="624" ht="15.75" customHeight="1" s="398">
      <c r="A624" s="284" t="n"/>
      <c r="B624" s="285" t="n"/>
      <c r="C624" s="284" t="n"/>
      <c r="D624" s="285" t="n"/>
      <c r="E624" s="354" t="n"/>
      <c r="F624" s="336" t="n"/>
      <c r="G624" s="336" t="n"/>
      <c r="H624" s="285" t="n"/>
      <c r="I624" s="285" t="n"/>
      <c r="J624" s="285" t="n"/>
      <c r="K624" s="285" t="n"/>
      <c r="L624" s="285" t="n"/>
      <c r="M624" s="285" t="n"/>
      <c r="N624" s="285" t="n"/>
      <c r="O624" s="285" t="n"/>
      <c r="P624" s="285" t="n"/>
      <c r="Q624" s="285" t="n"/>
      <c r="R624" s="284" t="n"/>
      <c r="S624" s="284" t="n"/>
      <c r="T624" s="285" t="n"/>
      <c r="U624" s="285" t="n"/>
      <c r="V624" s="285" t="n"/>
      <c r="W624" s="285" t="n"/>
      <c r="X624" s="285" t="n"/>
      <c r="Y624" s="285" t="n"/>
      <c r="Z624" s="285" t="n"/>
    </row>
    <row r="625" ht="15.75" customHeight="1" s="398">
      <c r="A625" s="284" t="n"/>
      <c r="B625" s="285" t="n"/>
      <c r="C625" s="284" t="n"/>
      <c r="D625" s="285" t="n"/>
      <c r="E625" s="354" t="n"/>
      <c r="F625" s="336" t="n"/>
      <c r="G625" s="336" t="n"/>
      <c r="H625" s="285" t="n"/>
      <c r="I625" s="285" t="n"/>
      <c r="J625" s="285" t="n"/>
      <c r="K625" s="285" t="n"/>
      <c r="L625" s="285" t="n"/>
      <c r="M625" s="285" t="n"/>
      <c r="N625" s="285" t="n"/>
      <c r="O625" s="285" t="n"/>
      <c r="P625" s="285" t="n"/>
      <c r="Q625" s="285" t="n"/>
      <c r="R625" s="284" t="n"/>
      <c r="S625" s="284" t="n"/>
      <c r="T625" s="285" t="n"/>
      <c r="U625" s="285" t="n"/>
      <c r="V625" s="285" t="n"/>
      <c r="W625" s="285" t="n"/>
      <c r="X625" s="285" t="n"/>
      <c r="Y625" s="285" t="n"/>
      <c r="Z625" s="285" t="n"/>
    </row>
    <row r="626" ht="15.75" customHeight="1" s="398">
      <c r="A626" s="284" t="n"/>
      <c r="B626" s="285" t="n"/>
      <c r="C626" s="284" t="n"/>
      <c r="D626" s="285" t="n"/>
      <c r="E626" s="354" t="n"/>
      <c r="F626" s="336" t="n"/>
      <c r="G626" s="336" t="n"/>
      <c r="H626" s="285" t="n"/>
      <c r="I626" s="285" t="n"/>
      <c r="J626" s="285" t="n"/>
      <c r="K626" s="285" t="n"/>
      <c r="L626" s="285" t="n"/>
      <c r="M626" s="285" t="n"/>
      <c r="N626" s="285" t="n"/>
      <c r="O626" s="285" t="n"/>
      <c r="P626" s="285" t="n"/>
      <c r="Q626" s="285" t="n"/>
      <c r="R626" s="284" t="n"/>
      <c r="S626" s="284" t="n"/>
      <c r="T626" s="285" t="n"/>
      <c r="U626" s="285" t="n"/>
      <c r="V626" s="285" t="n"/>
      <c r="W626" s="285" t="n"/>
      <c r="X626" s="285" t="n"/>
      <c r="Y626" s="285" t="n"/>
      <c r="Z626" s="285" t="n"/>
    </row>
    <row r="627" ht="15.75" customHeight="1" s="398">
      <c r="A627" s="284" t="n"/>
      <c r="B627" s="285" t="n"/>
      <c r="C627" s="284" t="n"/>
      <c r="D627" s="285" t="n"/>
      <c r="E627" s="354" t="n"/>
      <c r="F627" s="336" t="n"/>
      <c r="G627" s="336" t="n"/>
      <c r="H627" s="285" t="n"/>
      <c r="I627" s="285" t="n"/>
      <c r="J627" s="285" t="n"/>
      <c r="K627" s="285" t="n"/>
      <c r="L627" s="285" t="n"/>
      <c r="M627" s="285" t="n"/>
      <c r="N627" s="285" t="n"/>
      <c r="O627" s="285" t="n"/>
      <c r="P627" s="285" t="n"/>
      <c r="Q627" s="285" t="n"/>
      <c r="R627" s="284" t="n"/>
      <c r="S627" s="284" t="n"/>
      <c r="T627" s="285" t="n"/>
      <c r="U627" s="285" t="n"/>
      <c r="V627" s="285" t="n"/>
      <c r="W627" s="285" t="n"/>
      <c r="X627" s="285" t="n"/>
      <c r="Y627" s="285" t="n"/>
      <c r="Z627" s="285" t="n"/>
    </row>
    <row r="628" ht="15.75" customHeight="1" s="398">
      <c r="A628" s="284" t="n"/>
      <c r="B628" s="285" t="n"/>
      <c r="C628" s="284" t="n"/>
      <c r="D628" s="285" t="n"/>
      <c r="E628" s="354" t="n"/>
      <c r="F628" s="336" t="n"/>
      <c r="G628" s="336" t="n"/>
      <c r="H628" s="285" t="n"/>
      <c r="I628" s="285" t="n"/>
      <c r="J628" s="285" t="n"/>
      <c r="K628" s="285" t="n"/>
      <c r="L628" s="285" t="n"/>
      <c r="M628" s="285" t="n"/>
      <c r="N628" s="285" t="n"/>
      <c r="O628" s="285" t="n"/>
      <c r="P628" s="285" t="n"/>
      <c r="Q628" s="285" t="n"/>
      <c r="R628" s="284" t="n"/>
      <c r="S628" s="284" t="n"/>
      <c r="T628" s="285" t="n"/>
      <c r="U628" s="285" t="n"/>
      <c r="V628" s="285" t="n"/>
      <c r="W628" s="285" t="n"/>
      <c r="X628" s="285" t="n"/>
      <c r="Y628" s="285" t="n"/>
      <c r="Z628" s="285" t="n"/>
    </row>
    <row r="629" ht="15.75" customHeight="1" s="398">
      <c r="A629" s="284" t="n"/>
      <c r="B629" s="285" t="n"/>
      <c r="C629" s="284" t="n"/>
      <c r="D629" s="285" t="n"/>
      <c r="E629" s="354" t="n"/>
      <c r="F629" s="336" t="n"/>
      <c r="G629" s="336" t="n"/>
      <c r="H629" s="285" t="n"/>
      <c r="I629" s="285" t="n"/>
      <c r="J629" s="285" t="n"/>
      <c r="K629" s="285" t="n"/>
      <c r="L629" s="285" t="n"/>
      <c r="M629" s="285" t="n"/>
      <c r="N629" s="285" t="n"/>
      <c r="O629" s="285" t="n"/>
      <c r="P629" s="285" t="n"/>
      <c r="Q629" s="285" t="n"/>
      <c r="R629" s="284" t="n"/>
      <c r="S629" s="284" t="n"/>
      <c r="T629" s="285" t="n"/>
      <c r="U629" s="285" t="n"/>
      <c r="V629" s="285" t="n"/>
      <c r="W629" s="285" t="n"/>
      <c r="X629" s="285" t="n"/>
      <c r="Y629" s="285" t="n"/>
      <c r="Z629" s="285" t="n"/>
    </row>
    <row r="630" ht="15.75" customHeight="1" s="398">
      <c r="A630" s="284" t="n"/>
      <c r="B630" s="285" t="n"/>
      <c r="C630" s="284" t="n"/>
      <c r="D630" s="285" t="n"/>
      <c r="E630" s="354" t="n"/>
      <c r="F630" s="336" t="n"/>
      <c r="G630" s="336" t="n"/>
      <c r="H630" s="285" t="n"/>
      <c r="I630" s="285" t="n"/>
      <c r="J630" s="285" t="n"/>
      <c r="K630" s="285" t="n"/>
      <c r="L630" s="285" t="n"/>
      <c r="M630" s="285" t="n"/>
      <c r="N630" s="285" t="n"/>
      <c r="O630" s="285" t="n"/>
      <c r="P630" s="285" t="n"/>
      <c r="Q630" s="285" t="n"/>
      <c r="R630" s="284" t="n"/>
      <c r="S630" s="284" t="n"/>
      <c r="T630" s="285" t="n"/>
      <c r="U630" s="285" t="n"/>
      <c r="V630" s="285" t="n"/>
      <c r="W630" s="285" t="n"/>
      <c r="X630" s="285" t="n"/>
      <c r="Y630" s="285" t="n"/>
      <c r="Z630" s="285" t="n"/>
    </row>
    <row r="631" ht="15.75" customHeight="1" s="398">
      <c r="A631" s="284" t="n"/>
      <c r="B631" s="285" t="n"/>
      <c r="C631" s="284" t="n"/>
      <c r="D631" s="285" t="n"/>
      <c r="E631" s="354" t="n"/>
      <c r="F631" s="336" t="n"/>
      <c r="G631" s="336" t="n"/>
      <c r="H631" s="285" t="n"/>
      <c r="I631" s="285" t="n"/>
      <c r="J631" s="285" t="n"/>
      <c r="K631" s="285" t="n"/>
      <c r="L631" s="285" t="n"/>
      <c r="M631" s="285" t="n"/>
      <c r="N631" s="285" t="n"/>
      <c r="O631" s="285" t="n"/>
      <c r="P631" s="285" t="n"/>
      <c r="Q631" s="285" t="n"/>
      <c r="R631" s="284" t="n"/>
      <c r="S631" s="284" t="n"/>
      <c r="T631" s="285" t="n"/>
      <c r="U631" s="285" t="n"/>
      <c r="V631" s="285" t="n"/>
      <c r="W631" s="285" t="n"/>
      <c r="X631" s="285" t="n"/>
      <c r="Y631" s="285" t="n"/>
      <c r="Z631" s="285" t="n"/>
    </row>
    <row r="632" ht="15.75" customHeight="1" s="398">
      <c r="A632" s="284" t="n"/>
      <c r="B632" s="285" t="n"/>
      <c r="C632" s="284" t="n"/>
      <c r="D632" s="285" t="n"/>
      <c r="E632" s="354" t="n"/>
      <c r="F632" s="336" t="n"/>
      <c r="G632" s="336" t="n"/>
      <c r="H632" s="285" t="n"/>
      <c r="I632" s="285" t="n"/>
      <c r="J632" s="285" t="n"/>
      <c r="K632" s="285" t="n"/>
      <c r="L632" s="285" t="n"/>
      <c r="M632" s="285" t="n"/>
      <c r="N632" s="285" t="n"/>
      <c r="O632" s="285" t="n"/>
      <c r="P632" s="285" t="n"/>
      <c r="Q632" s="285" t="n"/>
      <c r="R632" s="284" t="n"/>
      <c r="S632" s="284" t="n"/>
      <c r="T632" s="285" t="n"/>
      <c r="U632" s="285" t="n"/>
      <c r="V632" s="285" t="n"/>
      <c r="W632" s="285" t="n"/>
      <c r="X632" s="285" t="n"/>
      <c r="Y632" s="285" t="n"/>
      <c r="Z632" s="285" t="n"/>
    </row>
    <row r="633" ht="15.75" customHeight="1" s="398">
      <c r="A633" s="284" t="n"/>
      <c r="B633" s="285" t="n"/>
      <c r="C633" s="284" t="n"/>
      <c r="D633" s="285" t="n"/>
      <c r="E633" s="354" t="n"/>
      <c r="F633" s="336" t="n"/>
      <c r="G633" s="336" t="n"/>
      <c r="H633" s="285" t="n"/>
      <c r="I633" s="285" t="n"/>
      <c r="J633" s="285" t="n"/>
      <c r="K633" s="285" t="n"/>
      <c r="L633" s="285" t="n"/>
      <c r="M633" s="285" t="n"/>
      <c r="N633" s="285" t="n"/>
      <c r="O633" s="285" t="n"/>
      <c r="P633" s="285" t="n"/>
      <c r="Q633" s="285" t="n"/>
      <c r="R633" s="284" t="n"/>
      <c r="S633" s="284" t="n"/>
      <c r="T633" s="285" t="n"/>
      <c r="U633" s="285" t="n"/>
      <c r="V633" s="285" t="n"/>
      <c r="W633" s="285" t="n"/>
      <c r="X633" s="285" t="n"/>
      <c r="Y633" s="285" t="n"/>
      <c r="Z633" s="285" t="n"/>
    </row>
    <row r="634" ht="15.75" customHeight="1" s="398">
      <c r="A634" s="284" t="n"/>
      <c r="B634" s="285" t="n"/>
      <c r="C634" s="284" t="n"/>
      <c r="D634" s="285" t="n"/>
      <c r="E634" s="354" t="n"/>
      <c r="F634" s="336" t="n"/>
      <c r="G634" s="336" t="n"/>
      <c r="H634" s="285" t="n"/>
      <c r="I634" s="285" t="n"/>
      <c r="J634" s="285" t="n"/>
      <c r="K634" s="285" t="n"/>
      <c r="L634" s="285" t="n"/>
      <c r="M634" s="285" t="n"/>
      <c r="N634" s="285" t="n"/>
      <c r="O634" s="285" t="n"/>
      <c r="P634" s="285" t="n"/>
      <c r="Q634" s="285" t="n"/>
      <c r="R634" s="284" t="n"/>
      <c r="S634" s="284" t="n"/>
      <c r="T634" s="285" t="n"/>
      <c r="U634" s="285" t="n"/>
      <c r="V634" s="285" t="n"/>
      <c r="W634" s="285" t="n"/>
      <c r="X634" s="285" t="n"/>
      <c r="Y634" s="285" t="n"/>
      <c r="Z634" s="285" t="n"/>
    </row>
    <row r="635" ht="15.75" customHeight="1" s="398">
      <c r="A635" s="284" t="n"/>
      <c r="B635" s="285" t="n"/>
      <c r="C635" s="284" t="n"/>
      <c r="D635" s="285" t="n"/>
      <c r="E635" s="354" t="n"/>
      <c r="F635" s="336" t="n"/>
      <c r="G635" s="336" t="n"/>
      <c r="H635" s="285" t="n"/>
      <c r="I635" s="285" t="n"/>
      <c r="J635" s="285" t="n"/>
      <c r="K635" s="285" t="n"/>
      <c r="L635" s="285" t="n"/>
      <c r="M635" s="285" t="n"/>
      <c r="N635" s="285" t="n"/>
      <c r="O635" s="285" t="n"/>
      <c r="P635" s="285" t="n"/>
      <c r="Q635" s="285" t="n"/>
      <c r="R635" s="284" t="n"/>
      <c r="S635" s="284" t="n"/>
      <c r="T635" s="285" t="n"/>
      <c r="U635" s="285" t="n"/>
      <c r="V635" s="285" t="n"/>
      <c r="W635" s="285" t="n"/>
      <c r="X635" s="285" t="n"/>
      <c r="Y635" s="285" t="n"/>
      <c r="Z635" s="285" t="n"/>
    </row>
    <row r="636" ht="15.75" customHeight="1" s="398">
      <c r="A636" s="284" t="n"/>
      <c r="B636" s="285" t="n"/>
      <c r="C636" s="284" t="n"/>
      <c r="D636" s="285" t="n"/>
      <c r="E636" s="354" t="n"/>
      <c r="F636" s="336" t="n"/>
      <c r="G636" s="336" t="n"/>
      <c r="H636" s="285" t="n"/>
      <c r="I636" s="285" t="n"/>
      <c r="J636" s="285" t="n"/>
      <c r="K636" s="285" t="n"/>
      <c r="L636" s="285" t="n"/>
      <c r="M636" s="285" t="n"/>
      <c r="N636" s="285" t="n"/>
      <c r="O636" s="285" t="n"/>
      <c r="P636" s="285" t="n"/>
      <c r="Q636" s="285" t="n"/>
      <c r="R636" s="284" t="n"/>
      <c r="S636" s="284" t="n"/>
      <c r="T636" s="285" t="n"/>
      <c r="U636" s="285" t="n"/>
      <c r="V636" s="285" t="n"/>
      <c r="W636" s="285" t="n"/>
      <c r="X636" s="285" t="n"/>
      <c r="Y636" s="285" t="n"/>
      <c r="Z636" s="285" t="n"/>
    </row>
    <row r="637" ht="15.75" customHeight="1" s="398">
      <c r="A637" s="284" t="n"/>
      <c r="B637" s="285" t="n"/>
      <c r="C637" s="284" t="n"/>
      <c r="D637" s="285" t="n"/>
      <c r="E637" s="354" t="n"/>
      <c r="F637" s="336" t="n"/>
      <c r="G637" s="336" t="n"/>
      <c r="H637" s="285" t="n"/>
      <c r="I637" s="285" t="n"/>
      <c r="J637" s="285" t="n"/>
      <c r="K637" s="285" t="n"/>
      <c r="L637" s="285" t="n"/>
      <c r="M637" s="285" t="n"/>
      <c r="N637" s="285" t="n"/>
      <c r="O637" s="285" t="n"/>
      <c r="P637" s="285" t="n"/>
      <c r="Q637" s="285" t="n"/>
      <c r="R637" s="284" t="n"/>
      <c r="S637" s="284" t="n"/>
      <c r="T637" s="285" t="n"/>
      <c r="U637" s="285" t="n"/>
      <c r="V637" s="285" t="n"/>
      <c r="W637" s="285" t="n"/>
      <c r="X637" s="285" t="n"/>
      <c r="Y637" s="285" t="n"/>
      <c r="Z637" s="285" t="n"/>
    </row>
    <row r="638" ht="15.75" customHeight="1" s="398">
      <c r="A638" s="284" t="n"/>
      <c r="B638" s="285" t="n"/>
      <c r="C638" s="284" t="n"/>
      <c r="D638" s="285" t="n"/>
      <c r="E638" s="354" t="n"/>
      <c r="F638" s="336" t="n"/>
      <c r="G638" s="336" t="n"/>
      <c r="H638" s="285" t="n"/>
      <c r="I638" s="285" t="n"/>
      <c r="J638" s="285" t="n"/>
      <c r="K638" s="285" t="n"/>
      <c r="L638" s="285" t="n"/>
      <c r="M638" s="285" t="n"/>
      <c r="N638" s="285" t="n"/>
      <c r="O638" s="285" t="n"/>
      <c r="P638" s="285" t="n"/>
      <c r="Q638" s="285" t="n"/>
      <c r="R638" s="284" t="n"/>
      <c r="S638" s="284" t="n"/>
      <c r="T638" s="285" t="n"/>
      <c r="U638" s="285" t="n"/>
      <c r="V638" s="285" t="n"/>
      <c r="W638" s="285" t="n"/>
      <c r="X638" s="285" t="n"/>
      <c r="Y638" s="285" t="n"/>
      <c r="Z638" s="285" t="n"/>
    </row>
    <row r="639" ht="15.75" customHeight="1" s="398">
      <c r="A639" s="284" t="n"/>
      <c r="B639" s="285" t="n"/>
      <c r="C639" s="284" t="n"/>
      <c r="D639" s="285" t="n"/>
      <c r="E639" s="354" t="n"/>
      <c r="F639" s="336" t="n"/>
      <c r="G639" s="336" t="n"/>
      <c r="H639" s="285" t="n"/>
      <c r="I639" s="285" t="n"/>
      <c r="J639" s="285" t="n"/>
      <c r="K639" s="285" t="n"/>
      <c r="L639" s="285" t="n"/>
      <c r="M639" s="285" t="n"/>
      <c r="N639" s="285" t="n"/>
      <c r="O639" s="285" t="n"/>
      <c r="P639" s="285" t="n"/>
      <c r="Q639" s="285" t="n"/>
      <c r="R639" s="284" t="n"/>
      <c r="S639" s="284" t="n"/>
      <c r="T639" s="285" t="n"/>
      <c r="U639" s="285" t="n"/>
      <c r="V639" s="285" t="n"/>
      <c r="W639" s="285" t="n"/>
      <c r="X639" s="285" t="n"/>
      <c r="Y639" s="285" t="n"/>
      <c r="Z639" s="285" t="n"/>
    </row>
    <row r="640" ht="15.75" customHeight="1" s="398">
      <c r="A640" s="284" t="n"/>
      <c r="B640" s="285" t="n"/>
      <c r="C640" s="284" t="n"/>
      <c r="D640" s="285" t="n"/>
      <c r="E640" s="354" t="n"/>
      <c r="F640" s="336" t="n"/>
      <c r="G640" s="336" t="n"/>
      <c r="H640" s="285" t="n"/>
      <c r="I640" s="285" t="n"/>
      <c r="J640" s="285" t="n"/>
      <c r="K640" s="285" t="n"/>
      <c r="L640" s="285" t="n"/>
      <c r="M640" s="285" t="n"/>
      <c r="N640" s="285" t="n"/>
      <c r="O640" s="285" t="n"/>
      <c r="P640" s="285" t="n"/>
      <c r="Q640" s="285" t="n"/>
      <c r="R640" s="284" t="n"/>
      <c r="S640" s="284" t="n"/>
      <c r="T640" s="285" t="n"/>
      <c r="U640" s="285" t="n"/>
      <c r="V640" s="285" t="n"/>
      <c r="W640" s="285" t="n"/>
      <c r="X640" s="285" t="n"/>
      <c r="Y640" s="285" t="n"/>
      <c r="Z640" s="285" t="n"/>
    </row>
    <row r="641" ht="15.75" customHeight="1" s="398">
      <c r="A641" s="284" t="n"/>
      <c r="B641" s="285" t="n"/>
      <c r="C641" s="284" t="n"/>
      <c r="D641" s="285" t="n"/>
      <c r="E641" s="354" t="n"/>
      <c r="F641" s="336" t="n"/>
      <c r="G641" s="336" t="n"/>
      <c r="H641" s="285" t="n"/>
      <c r="I641" s="285" t="n"/>
      <c r="J641" s="285" t="n"/>
      <c r="K641" s="285" t="n"/>
      <c r="L641" s="285" t="n"/>
      <c r="M641" s="285" t="n"/>
      <c r="N641" s="285" t="n"/>
      <c r="O641" s="285" t="n"/>
      <c r="P641" s="285" t="n"/>
      <c r="Q641" s="285" t="n"/>
      <c r="R641" s="284" t="n"/>
      <c r="S641" s="284" t="n"/>
      <c r="T641" s="285" t="n"/>
      <c r="U641" s="285" t="n"/>
      <c r="V641" s="285" t="n"/>
      <c r="W641" s="285" t="n"/>
      <c r="X641" s="285" t="n"/>
      <c r="Y641" s="285" t="n"/>
      <c r="Z641" s="285" t="n"/>
    </row>
    <row r="642" ht="15.75" customHeight="1" s="398">
      <c r="A642" s="284" t="n"/>
      <c r="B642" s="285" t="n"/>
      <c r="C642" s="284" t="n"/>
      <c r="D642" s="285" t="n"/>
      <c r="E642" s="354" t="n"/>
      <c r="F642" s="336" t="n"/>
      <c r="G642" s="336" t="n"/>
      <c r="H642" s="285" t="n"/>
      <c r="I642" s="285" t="n"/>
      <c r="J642" s="285" t="n"/>
      <c r="K642" s="285" t="n"/>
      <c r="L642" s="285" t="n"/>
      <c r="M642" s="285" t="n"/>
      <c r="N642" s="285" t="n"/>
      <c r="O642" s="285" t="n"/>
      <c r="P642" s="285" t="n"/>
      <c r="Q642" s="285" t="n"/>
      <c r="R642" s="284" t="n"/>
      <c r="S642" s="284" t="n"/>
      <c r="T642" s="285" t="n"/>
      <c r="U642" s="285" t="n"/>
      <c r="V642" s="285" t="n"/>
      <c r="W642" s="285" t="n"/>
      <c r="X642" s="285" t="n"/>
      <c r="Y642" s="285" t="n"/>
      <c r="Z642" s="285" t="n"/>
    </row>
    <row r="643" ht="15.75" customHeight="1" s="398">
      <c r="A643" s="284" t="n"/>
      <c r="B643" s="285" t="n"/>
      <c r="C643" s="284" t="n"/>
      <c r="D643" s="285" t="n"/>
      <c r="E643" s="354" t="n"/>
      <c r="F643" s="336" t="n"/>
      <c r="G643" s="336" t="n"/>
      <c r="H643" s="285" t="n"/>
      <c r="I643" s="285" t="n"/>
      <c r="J643" s="285" t="n"/>
      <c r="K643" s="285" t="n"/>
      <c r="L643" s="285" t="n"/>
      <c r="M643" s="285" t="n"/>
      <c r="N643" s="285" t="n"/>
      <c r="O643" s="285" t="n"/>
      <c r="P643" s="285" t="n"/>
      <c r="Q643" s="285" t="n"/>
      <c r="R643" s="284" t="n"/>
      <c r="S643" s="284" t="n"/>
      <c r="T643" s="285" t="n"/>
      <c r="U643" s="285" t="n"/>
      <c r="V643" s="285" t="n"/>
      <c r="W643" s="285" t="n"/>
      <c r="X643" s="285" t="n"/>
      <c r="Y643" s="285" t="n"/>
      <c r="Z643" s="285" t="n"/>
    </row>
    <row r="644" ht="15.75" customHeight="1" s="398">
      <c r="A644" s="284" t="n"/>
      <c r="B644" s="285" t="n"/>
      <c r="C644" s="284" t="n"/>
      <c r="D644" s="285" t="n"/>
      <c r="E644" s="354" t="n"/>
      <c r="F644" s="336" t="n"/>
      <c r="G644" s="336" t="n"/>
      <c r="H644" s="285" t="n"/>
      <c r="I644" s="285" t="n"/>
      <c r="J644" s="285" t="n"/>
      <c r="K644" s="285" t="n"/>
      <c r="L644" s="285" t="n"/>
      <c r="M644" s="285" t="n"/>
      <c r="N644" s="285" t="n"/>
      <c r="O644" s="285" t="n"/>
      <c r="P644" s="285" t="n"/>
      <c r="Q644" s="285" t="n"/>
      <c r="R644" s="284" t="n"/>
      <c r="S644" s="284" t="n"/>
      <c r="T644" s="285" t="n"/>
      <c r="U644" s="285" t="n"/>
      <c r="V644" s="285" t="n"/>
      <c r="W644" s="285" t="n"/>
      <c r="X644" s="285" t="n"/>
      <c r="Y644" s="285" t="n"/>
      <c r="Z644" s="285" t="n"/>
    </row>
    <row r="645" ht="15.75" customHeight="1" s="398">
      <c r="A645" s="284" t="n"/>
      <c r="B645" s="285" t="n"/>
      <c r="C645" s="284" t="n"/>
      <c r="D645" s="285" t="n"/>
      <c r="E645" s="354" t="n"/>
      <c r="F645" s="336" t="n"/>
      <c r="G645" s="336" t="n"/>
      <c r="H645" s="285" t="n"/>
      <c r="I645" s="285" t="n"/>
      <c r="J645" s="285" t="n"/>
      <c r="K645" s="285" t="n"/>
      <c r="L645" s="285" t="n"/>
      <c r="M645" s="285" t="n"/>
      <c r="N645" s="285" t="n"/>
      <c r="O645" s="285" t="n"/>
      <c r="P645" s="285" t="n"/>
      <c r="Q645" s="285" t="n"/>
      <c r="R645" s="284" t="n"/>
      <c r="S645" s="284" t="n"/>
      <c r="T645" s="285" t="n"/>
      <c r="U645" s="285" t="n"/>
      <c r="V645" s="285" t="n"/>
      <c r="W645" s="285" t="n"/>
      <c r="X645" s="285" t="n"/>
      <c r="Y645" s="285" t="n"/>
      <c r="Z645" s="285" t="n"/>
    </row>
    <row r="646" ht="15.75" customHeight="1" s="398">
      <c r="A646" s="284" t="n"/>
      <c r="B646" s="285" t="n"/>
      <c r="C646" s="284" t="n"/>
      <c r="D646" s="285" t="n"/>
      <c r="E646" s="354" t="n"/>
      <c r="F646" s="336" t="n"/>
      <c r="G646" s="336" t="n"/>
      <c r="H646" s="285" t="n"/>
      <c r="I646" s="285" t="n"/>
      <c r="J646" s="285" t="n"/>
      <c r="K646" s="285" t="n"/>
      <c r="L646" s="285" t="n"/>
      <c r="M646" s="285" t="n"/>
      <c r="N646" s="285" t="n"/>
      <c r="O646" s="285" t="n"/>
      <c r="P646" s="285" t="n"/>
      <c r="Q646" s="285" t="n"/>
      <c r="R646" s="284" t="n"/>
      <c r="S646" s="284" t="n"/>
      <c r="T646" s="285" t="n"/>
      <c r="U646" s="285" t="n"/>
      <c r="V646" s="285" t="n"/>
      <c r="W646" s="285" t="n"/>
      <c r="X646" s="285" t="n"/>
      <c r="Y646" s="285" t="n"/>
      <c r="Z646" s="285" t="n"/>
    </row>
    <row r="647" ht="15.75" customHeight="1" s="398">
      <c r="A647" s="284" t="n"/>
      <c r="B647" s="285" t="n"/>
      <c r="C647" s="284" t="n"/>
      <c r="D647" s="285" t="n"/>
      <c r="E647" s="354" t="n"/>
      <c r="F647" s="336" t="n"/>
      <c r="G647" s="336" t="n"/>
      <c r="H647" s="285" t="n"/>
      <c r="I647" s="285" t="n"/>
      <c r="J647" s="285" t="n"/>
      <c r="K647" s="285" t="n"/>
      <c r="L647" s="285" t="n"/>
      <c r="M647" s="285" t="n"/>
      <c r="N647" s="285" t="n"/>
      <c r="O647" s="285" t="n"/>
      <c r="P647" s="285" t="n"/>
      <c r="Q647" s="285" t="n"/>
      <c r="R647" s="284" t="n"/>
      <c r="S647" s="284" t="n"/>
      <c r="T647" s="285" t="n"/>
      <c r="U647" s="285" t="n"/>
      <c r="V647" s="285" t="n"/>
      <c r="W647" s="285" t="n"/>
      <c r="X647" s="285" t="n"/>
      <c r="Y647" s="285" t="n"/>
      <c r="Z647" s="285" t="n"/>
    </row>
    <row r="648" ht="15.75" customHeight="1" s="398">
      <c r="A648" s="284" t="n"/>
      <c r="B648" s="285" t="n"/>
      <c r="C648" s="284" t="n"/>
      <c r="D648" s="285" t="n"/>
      <c r="E648" s="354" t="n"/>
      <c r="F648" s="336" t="n"/>
      <c r="G648" s="336" t="n"/>
      <c r="H648" s="285" t="n"/>
      <c r="I648" s="285" t="n"/>
      <c r="J648" s="285" t="n"/>
      <c r="K648" s="285" t="n"/>
      <c r="L648" s="285" t="n"/>
      <c r="M648" s="285" t="n"/>
      <c r="N648" s="285" t="n"/>
      <c r="O648" s="285" t="n"/>
      <c r="P648" s="285" t="n"/>
      <c r="Q648" s="285" t="n"/>
      <c r="R648" s="284" t="n"/>
      <c r="S648" s="284" t="n"/>
      <c r="T648" s="285" t="n"/>
      <c r="U648" s="285" t="n"/>
      <c r="V648" s="285" t="n"/>
      <c r="W648" s="285" t="n"/>
      <c r="X648" s="285" t="n"/>
      <c r="Y648" s="285" t="n"/>
      <c r="Z648" s="285" t="n"/>
    </row>
    <row r="649" ht="15.75" customHeight="1" s="398">
      <c r="A649" s="284" t="n"/>
      <c r="B649" s="285" t="n"/>
      <c r="C649" s="284" t="n"/>
      <c r="D649" s="285" t="n"/>
      <c r="E649" s="354" t="n"/>
      <c r="F649" s="336" t="n"/>
      <c r="G649" s="336" t="n"/>
      <c r="H649" s="285" t="n"/>
      <c r="I649" s="285" t="n"/>
      <c r="J649" s="285" t="n"/>
      <c r="K649" s="285" t="n"/>
      <c r="L649" s="285" t="n"/>
      <c r="M649" s="285" t="n"/>
      <c r="N649" s="285" t="n"/>
      <c r="O649" s="285" t="n"/>
      <c r="P649" s="285" t="n"/>
      <c r="Q649" s="285" t="n"/>
      <c r="R649" s="284" t="n"/>
      <c r="S649" s="284" t="n"/>
      <c r="T649" s="285" t="n"/>
      <c r="U649" s="285" t="n"/>
      <c r="V649" s="285" t="n"/>
      <c r="W649" s="285" t="n"/>
      <c r="X649" s="285" t="n"/>
      <c r="Y649" s="285" t="n"/>
      <c r="Z649" s="285" t="n"/>
    </row>
    <row r="650" ht="15.75" customHeight="1" s="398">
      <c r="A650" s="284" t="n"/>
      <c r="B650" s="285" t="n"/>
      <c r="C650" s="284" t="n"/>
      <c r="D650" s="285" t="n"/>
      <c r="E650" s="354" t="n"/>
      <c r="F650" s="336" t="n"/>
      <c r="G650" s="336" t="n"/>
      <c r="H650" s="285" t="n"/>
      <c r="I650" s="285" t="n"/>
      <c r="J650" s="285" t="n"/>
      <c r="K650" s="285" t="n"/>
      <c r="L650" s="285" t="n"/>
      <c r="M650" s="285" t="n"/>
      <c r="N650" s="285" t="n"/>
      <c r="O650" s="285" t="n"/>
      <c r="P650" s="285" t="n"/>
      <c r="Q650" s="285" t="n"/>
      <c r="R650" s="284" t="n"/>
      <c r="S650" s="284" t="n"/>
      <c r="T650" s="285" t="n"/>
      <c r="U650" s="285" t="n"/>
      <c r="V650" s="285" t="n"/>
      <c r="W650" s="285" t="n"/>
      <c r="X650" s="285" t="n"/>
      <c r="Y650" s="285" t="n"/>
      <c r="Z650" s="285" t="n"/>
    </row>
    <row r="651" ht="15.75" customHeight="1" s="398">
      <c r="A651" s="284" t="n"/>
      <c r="B651" s="285" t="n"/>
      <c r="C651" s="284" t="n"/>
      <c r="D651" s="285" t="n"/>
      <c r="E651" s="354" t="n"/>
      <c r="F651" s="336" t="n"/>
      <c r="G651" s="336" t="n"/>
      <c r="H651" s="285" t="n"/>
      <c r="I651" s="285" t="n"/>
      <c r="J651" s="285" t="n"/>
      <c r="K651" s="285" t="n"/>
      <c r="L651" s="285" t="n"/>
      <c r="M651" s="285" t="n"/>
      <c r="N651" s="285" t="n"/>
      <c r="O651" s="285" t="n"/>
      <c r="P651" s="285" t="n"/>
      <c r="Q651" s="285" t="n"/>
      <c r="R651" s="284" t="n"/>
      <c r="S651" s="284" t="n"/>
      <c r="T651" s="285" t="n"/>
      <c r="U651" s="285" t="n"/>
      <c r="V651" s="285" t="n"/>
      <c r="W651" s="285" t="n"/>
      <c r="X651" s="285" t="n"/>
      <c r="Y651" s="285" t="n"/>
      <c r="Z651" s="285" t="n"/>
    </row>
    <row r="652" ht="15.75" customHeight="1" s="398">
      <c r="A652" s="284" t="n"/>
      <c r="B652" s="285" t="n"/>
      <c r="C652" s="284" t="n"/>
      <c r="D652" s="285" t="n"/>
      <c r="E652" s="354" t="n"/>
      <c r="F652" s="336" t="n"/>
      <c r="G652" s="336" t="n"/>
      <c r="H652" s="285" t="n"/>
      <c r="I652" s="285" t="n"/>
      <c r="J652" s="285" t="n"/>
      <c r="K652" s="285" t="n"/>
      <c r="L652" s="285" t="n"/>
      <c r="M652" s="285" t="n"/>
      <c r="N652" s="285" t="n"/>
      <c r="O652" s="285" t="n"/>
      <c r="P652" s="285" t="n"/>
      <c r="Q652" s="285" t="n"/>
      <c r="R652" s="284" t="n"/>
      <c r="S652" s="284" t="n"/>
      <c r="T652" s="285" t="n"/>
      <c r="U652" s="285" t="n"/>
      <c r="V652" s="285" t="n"/>
      <c r="W652" s="285" t="n"/>
      <c r="X652" s="285" t="n"/>
      <c r="Y652" s="285" t="n"/>
      <c r="Z652" s="285" t="n"/>
    </row>
    <row r="653" ht="15.75" customHeight="1" s="398">
      <c r="A653" s="284" t="n"/>
      <c r="B653" s="285" t="n"/>
      <c r="C653" s="284" t="n"/>
      <c r="D653" s="285" t="n"/>
      <c r="E653" s="354" t="n"/>
      <c r="F653" s="336" t="n"/>
      <c r="G653" s="336" t="n"/>
      <c r="H653" s="285" t="n"/>
      <c r="I653" s="285" t="n"/>
      <c r="J653" s="285" t="n"/>
      <c r="K653" s="285" t="n"/>
      <c r="L653" s="285" t="n"/>
      <c r="M653" s="285" t="n"/>
      <c r="N653" s="285" t="n"/>
      <c r="O653" s="285" t="n"/>
      <c r="P653" s="285" t="n"/>
      <c r="Q653" s="285" t="n"/>
      <c r="R653" s="284" t="n"/>
      <c r="S653" s="284" t="n"/>
      <c r="T653" s="285" t="n"/>
      <c r="U653" s="285" t="n"/>
      <c r="V653" s="285" t="n"/>
      <c r="W653" s="285" t="n"/>
      <c r="X653" s="285" t="n"/>
      <c r="Y653" s="285" t="n"/>
      <c r="Z653" s="285" t="n"/>
    </row>
    <row r="654" ht="15.75" customHeight="1" s="398">
      <c r="A654" s="284" t="n"/>
      <c r="B654" s="285" t="n"/>
      <c r="C654" s="284" t="n"/>
      <c r="D654" s="285" t="n"/>
      <c r="E654" s="354" t="n"/>
      <c r="F654" s="336" t="n"/>
      <c r="G654" s="336" t="n"/>
      <c r="H654" s="285" t="n"/>
      <c r="I654" s="285" t="n"/>
      <c r="J654" s="285" t="n"/>
      <c r="K654" s="285" t="n"/>
      <c r="L654" s="285" t="n"/>
      <c r="M654" s="285" t="n"/>
      <c r="N654" s="285" t="n"/>
      <c r="O654" s="285" t="n"/>
      <c r="P654" s="285" t="n"/>
      <c r="Q654" s="285" t="n"/>
      <c r="R654" s="284" t="n"/>
      <c r="S654" s="284" t="n"/>
      <c r="T654" s="285" t="n"/>
      <c r="U654" s="285" t="n"/>
      <c r="V654" s="285" t="n"/>
      <c r="W654" s="285" t="n"/>
      <c r="X654" s="285" t="n"/>
      <c r="Y654" s="285" t="n"/>
      <c r="Z654" s="285" t="n"/>
    </row>
    <row r="655" ht="15.75" customHeight="1" s="398">
      <c r="A655" s="284" t="n"/>
      <c r="B655" s="285" t="n"/>
      <c r="C655" s="284" t="n"/>
      <c r="D655" s="285" t="n"/>
      <c r="E655" s="354" t="n"/>
      <c r="F655" s="336" t="n"/>
      <c r="G655" s="336" t="n"/>
      <c r="H655" s="285" t="n"/>
      <c r="I655" s="285" t="n"/>
      <c r="J655" s="285" t="n"/>
      <c r="K655" s="285" t="n"/>
      <c r="L655" s="285" t="n"/>
      <c r="M655" s="285" t="n"/>
      <c r="N655" s="285" t="n"/>
      <c r="O655" s="285" t="n"/>
      <c r="P655" s="285" t="n"/>
      <c r="Q655" s="285" t="n"/>
      <c r="R655" s="284" t="n"/>
      <c r="S655" s="284" t="n"/>
      <c r="T655" s="285" t="n"/>
      <c r="U655" s="285" t="n"/>
      <c r="V655" s="285" t="n"/>
      <c r="W655" s="285" t="n"/>
      <c r="X655" s="285" t="n"/>
      <c r="Y655" s="285" t="n"/>
      <c r="Z655" s="285" t="n"/>
    </row>
    <row r="656" ht="15.75" customHeight="1" s="398">
      <c r="A656" s="284" t="n"/>
      <c r="B656" s="285" t="n"/>
      <c r="C656" s="284" t="n"/>
      <c r="D656" s="285" t="n"/>
      <c r="E656" s="354" t="n"/>
      <c r="F656" s="336" t="n"/>
      <c r="G656" s="336" t="n"/>
      <c r="H656" s="285" t="n"/>
      <c r="I656" s="285" t="n"/>
      <c r="J656" s="285" t="n"/>
      <c r="K656" s="285" t="n"/>
      <c r="L656" s="285" t="n"/>
      <c r="M656" s="285" t="n"/>
      <c r="N656" s="285" t="n"/>
      <c r="O656" s="285" t="n"/>
      <c r="P656" s="285" t="n"/>
      <c r="Q656" s="285" t="n"/>
      <c r="R656" s="284" t="n"/>
      <c r="S656" s="284" t="n"/>
      <c r="T656" s="285" t="n"/>
      <c r="U656" s="285" t="n"/>
      <c r="V656" s="285" t="n"/>
      <c r="W656" s="285" t="n"/>
      <c r="X656" s="285" t="n"/>
      <c r="Y656" s="285" t="n"/>
      <c r="Z656" s="285" t="n"/>
    </row>
    <row r="657" ht="15.75" customHeight="1" s="398">
      <c r="A657" s="284" t="n"/>
      <c r="B657" s="285" t="n"/>
      <c r="C657" s="284" t="n"/>
      <c r="D657" s="285" t="n"/>
      <c r="E657" s="354" t="n"/>
      <c r="F657" s="336" t="n"/>
      <c r="G657" s="336" t="n"/>
      <c r="H657" s="285" t="n"/>
      <c r="I657" s="285" t="n"/>
      <c r="J657" s="285" t="n"/>
      <c r="K657" s="285" t="n"/>
      <c r="L657" s="285" t="n"/>
      <c r="M657" s="285" t="n"/>
      <c r="N657" s="285" t="n"/>
      <c r="O657" s="285" t="n"/>
      <c r="P657" s="285" t="n"/>
      <c r="Q657" s="285" t="n"/>
      <c r="R657" s="284" t="n"/>
      <c r="S657" s="284" t="n"/>
      <c r="T657" s="285" t="n"/>
      <c r="U657" s="285" t="n"/>
      <c r="V657" s="285" t="n"/>
      <c r="W657" s="285" t="n"/>
      <c r="X657" s="285" t="n"/>
      <c r="Y657" s="285" t="n"/>
      <c r="Z657" s="285" t="n"/>
    </row>
    <row r="658" ht="15.75" customHeight="1" s="398">
      <c r="A658" s="284" t="n"/>
      <c r="B658" s="285" t="n"/>
      <c r="C658" s="284" t="n"/>
      <c r="D658" s="285" t="n"/>
      <c r="E658" s="354" t="n"/>
      <c r="F658" s="336" t="n"/>
      <c r="G658" s="336" t="n"/>
      <c r="H658" s="285" t="n"/>
      <c r="I658" s="285" t="n"/>
      <c r="J658" s="285" t="n"/>
      <c r="K658" s="285" t="n"/>
      <c r="L658" s="285" t="n"/>
      <c r="M658" s="285" t="n"/>
      <c r="N658" s="285" t="n"/>
      <c r="O658" s="285" t="n"/>
      <c r="P658" s="285" t="n"/>
      <c r="Q658" s="285" t="n"/>
      <c r="R658" s="284" t="n"/>
      <c r="S658" s="284" t="n"/>
      <c r="T658" s="285" t="n"/>
      <c r="U658" s="285" t="n"/>
      <c r="V658" s="285" t="n"/>
      <c r="W658" s="285" t="n"/>
      <c r="X658" s="285" t="n"/>
      <c r="Y658" s="285" t="n"/>
      <c r="Z658" s="285" t="n"/>
    </row>
    <row r="659" ht="15.75" customHeight="1" s="398">
      <c r="A659" s="284" t="n"/>
      <c r="B659" s="285" t="n"/>
      <c r="C659" s="284" t="n"/>
      <c r="D659" s="285" t="n"/>
      <c r="E659" s="354" t="n"/>
      <c r="F659" s="336" t="n"/>
      <c r="G659" s="336" t="n"/>
      <c r="H659" s="285" t="n"/>
      <c r="I659" s="285" t="n"/>
      <c r="J659" s="285" t="n"/>
      <c r="K659" s="285" t="n"/>
      <c r="L659" s="285" t="n"/>
      <c r="M659" s="285" t="n"/>
      <c r="N659" s="285" t="n"/>
      <c r="O659" s="285" t="n"/>
      <c r="P659" s="285" t="n"/>
      <c r="Q659" s="285" t="n"/>
      <c r="R659" s="284" t="n"/>
      <c r="S659" s="284" t="n"/>
      <c r="T659" s="285" t="n"/>
      <c r="U659" s="285" t="n"/>
      <c r="V659" s="285" t="n"/>
      <c r="W659" s="285" t="n"/>
      <c r="X659" s="285" t="n"/>
      <c r="Y659" s="285" t="n"/>
      <c r="Z659" s="285" t="n"/>
    </row>
    <row r="660" ht="15.75" customHeight="1" s="398">
      <c r="A660" s="284" t="n"/>
      <c r="B660" s="285" t="n"/>
      <c r="C660" s="284" t="n"/>
      <c r="D660" s="285" t="n"/>
      <c r="E660" s="354" t="n"/>
      <c r="F660" s="336" t="n"/>
      <c r="G660" s="336" t="n"/>
      <c r="H660" s="285" t="n"/>
      <c r="I660" s="285" t="n"/>
      <c r="J660" s="285" t="n"/>
      <c r="K660" s="285" t="n"/>
      <c r="L660" s="285" t="n"/>
      <c r="M660" s="285" t="n"/>
      <c r="N660" s="285" t="n"/>
      <c r="O660" s="285" t="n"/>
      <c r="P660" s="285" t="n"/>
      <c r="Q660" s="285" t="n"/>
      <c r="R660" s="284" t="n"/>
      <c r="S660" s="284" t="n"/>
      <c r="T660" s="285" t="n"/>
      <c r="U660" s="285" t="n"/>
      <c r="V660" s="285" t="n"/>
      <c r="W660" s="285" t="n"/>
      <c r="X660" s="285" t="n"/>
      <c r="Y660" s="285" t="n"/>
      <c r="Z660" s="285" t="n"/>
    </row>
    <row r="661" ht="15.75" customHeight="1" s="398">
      <c r="A661" s="284" t="n"/>
      <c r="B661" s="285" t="n"/>
      <c r="C661" s="284" t="n"/>
      <c r="D661" s="285" t="n"/>
      <c r="E661" s="354" t="n"/>
      <c r="F661" s="336" t="n"/>
      <c r="G661" s="336" t="n"/>
      <c r="H661" s="285" t="n"/>
      <c r="I661" s="285" t="n"/>
      <c r="J661" s="285" t="n"/>
      <c r="K661" s="285" t="n"/>
      <c r="L661" s="285" t="n"/>
      <c r="M661" s="285" t="n"/>
      <c r="N661" s="285" t="n"/>
      <c r="O661" s="285" t="n"/>
      <c r="P661" s="285" t="n"/>
      <c r="Q661" s="285" t="n"/>
      <c r="R661" s="284" t="n"/>
      <c r="S661" s="284" t="n"/>
      <c r="T661" s="285" t="n"/>
      <c r="U661" s="285" t="n"/>
      <c r="V661" s="285" t="n"/>
      <c r="W661" s="285" t="n"/>
      <c r="X661" s="285" t="n"/>
      <c r="Y661" s="285" t="n"/>
      <c r="Z661" s="285" t="n"/>
    </row>
    <row r="662" ht="15.75" customHeight="1" s="398">
      <c r="A662" s="284" t="n"/>
      <c r="B662" s="285" t="n"/>
      <c r="C662" s="284" t="n"/>
      <c r="D662" s="285" t="n"/>
      <c r="E662" s="354" t="n"/>
      <c r="F662" s="336" t="n"/>
      <c r="G662" s="336" t="n"/>
      <c r="H662" s="285" t="n"/>
      <c r="I662" s="285" t="n"/>
      <c r="J662" s="285" t="n"/>
      <c r="K662" s="285" t="n"/>
      <c r="L662" s="285" t="n"/>
      <c r="M662" s="285" t="n"/>
      <c r="N662" s="285" t="n"/>
      <c r="O662" s="285" t="n"/>
      <c r="P662" s="285" t="n"/>
      <c r="Q662" s="285" t="n"/>
      <c r="R662" s="284" t="n"/>
      <c r="S662" s="284" t="n"/>
      <c r="T662" s="285" t="n"/>
      <c r="U662" s="285" t="n"/>
      <c r="V662" s="285" t="n"/>
      <c r="W662" s="285" t="n"/>
      <c r="X662" s="285" t="n"/>
      <c r="Y662" s="285" t="n"/>
      <c r="Z662" s="285" t="n"/>
    </row>
    <row r="663" ht="15.75" customHeight="1" s="398">
      <c r="A663" s="284" t="n"/>
      <c r="B663" s="285" t="n"/>
      <c r="C663" s="284" t="n"/>
      <c r="D663" s="285" t="n"/>
      <c r="E663" s="354" t="n"/>
      <c r="F663" s="336" t="n"/>
      <c r="G663" s="336" t="n"/>
      <c r="H663" s="285" t="n"/>
      <c r="I663" s="285" t="n"/>
      <c r="J663" s="285" t="n"/>
      <c r="K663" s="285" t="n"/>
      <c r="L663" s="285" t="n"/>
      <c r="M663" s="285" t="n"/>
      <c r="N663" s="285" t="n"/>
      <c r="O663" s="285" t="n"/>
      <c r="P663" s="285" t="n"/>
      <c r="Q663" s="285" t="n"/>
      <c r="R663" s="284" t="n"/>
      <c r="S663" s="284" t="n"/>
      <c r="T663" s="285" t="n"/>
      <c r="U663" s="285" t="n"/>
      <c r="V663" s="285" t="n"/>
      <c r="W663" s="285" t="n"/>
      <c r="X663" s="285" t="n"/>
      <c r="Y663" s="285" t="n"/>
      <c r="Z663" s="285" t="n"/>
    </row>
    <row r="664" ht="15.75" customHeight="1" s="398">
      <c r="A664" s="284" t="n"/>
      <c r="B664" s="285" t="n"/>
      <c r="C664" s="284" t="n"/>
      <c r="D664" s="285" t="n"/>
      <c r="E664" s="354" t="n"/>
      <c r="F664" s="336" t="n"/>
      <c r="G664" s="336" t="n"/>
      <c r="H664" s="285" t="n"/>
      <c r="I664" s="285" t="n"/>
      <c r="J664" s="285" t="n"/>
      <c r="K664" s="285" t="n"/>
      <c r="L664" s="285" t="n"/>
      <c r="M664" s="285" t="n"/>
      <c r="N664" s="285" t="n"/>
      <c r="O664" s="285" t="n"/>
      <c r="P664" s="285" t="n"/>
      <c r="Q664" s="285" t="n"/>
      <c r="R664" s="284" t="n"/>
      <c r="S664" s="284" t="n"/>
      <c r="T664" s="285" t="n"/>
      <c r="U664" s="285" t="n"/>
      <c r="V664" s="285" t="n"/>
      <c r="W664" s="285" t="n"/>
      <c r="X664" s="285" t="n"/>
      <c r="Y664" s="285" t="n"/>
      <c r="Z664" s="285" t="n"/>
    </row>
    <row r="665" ht="15.75" customHeight="1" s="398">
      <c r="A665" s="284" t="n"/>
      <c r="B665" s="285" t="n"/>
      <c r="C665" s="284" t="n"/>
      <c r="D665" s="285" t="n"/>
      <c r="E665" s="354" t="n"/>
      <c r="F665" s="336" t="n"/>
      <c r="G665" s="336" t="n"/>
      <c r="H665" s="285" t="n"/>
      <c r="I665" s="285" t="n"/>
      <c r="J665" s="285" t="n"/>
      <c r="K665" s="285" t="n"/>
      <c r="L665" s="285" t="n"/>
      <c r="M665" s="285" t="n"/>
      <c r="N665" s="285" t="n"/>
      <c r="O665" s="285" t="n"/>
      <c r="P665" s="285" t="n"/>
      <c r="Q665" s="285" t="n"/>
      <c r="R665" s="284" t="n"/>
      <c r="S665" s="284" t="n"/>
      <c r="T665" s="285" t="n"/>
      <c r="U665" s="285" t="n"/>
      <c r="V665" s="285" t="n"/>
      <c r="W665" s="285" t="n"/>
      <c r="X665" s="285" t="n"/>
      <c r="Y665" s="285" t="n"/>
      <c r="Z665" s="285" t="n"/>
    </row>
    <row r="666" ht="15.75" customHeight="1" s="398">
      <c r="A666" s="284" t="n"/>
      <c r="B666" s="285" t="n"/>
      <c r="C666" s="284" t="n"/>
      <c r="D666" s="285" t="n"/>
      <c r="E666" s="354" t="n"/>
      <c r="F666" s="336" t="n"/>
      <c r="G666" s="336" t="n"/>
      <c r="H666" s="285" t="n"/>
      <c r="I666" s="285" t="n"/>
      <c r="J666" s="285" t="n"/>
      <c r="K666" s="285" t="n"/>
      <c r="L666" s="285" t="n"/>
      <c r="M666" s="285" t="n"/>
      <c r="N666" s="285" t="n"/>
      <c r="O666" s="285" t="n"/>
      <c r="P666" s="285" t="n"/>
      <c r="Q666" s="285" t="n"/>
      <c r="R666" s="284" t="n"/>
      <c r="S666" s="284" t="n"/>
      <c r="T666" s="285" t="n"/>
      <c r="U666" s="285" t="n"/>
      <c r="V666" s="285" t="n"/>
      <c r="W666" s="285" t="n"/>
      <c r="X666" s="285" t="n"/>
      <c r="Y666" s="285" t="n"/>
      <c r="Z666" s="285" t="n"/>
    </row>
    <row r="667" ht="15.75" customHeight="1" s="398">
      <c r="A667" s="284" t="n"/>
      <c r="B667" s="285" t="n"/>
      <c r="C667" s="284" t="n"/>
      <c r="D667" s="285" t="n"/>
      <c r="E667" s="354" t="n"/>
      <c r="F667" s="336" t="n"/>
      <c r="G667" s="336" t="n"/>
      <c r="H667" s="285" t="n"/>
      <c r="I667" s="285" t="n"/>
      <c r="J667" s="285" t="n"/>
      <c r="K667" s="285" t="n"/>
      <c r="L667" s="285" t="n"/>
      <c r="M667" s="285" t="n"/>
      <c r="N667" s="285" t="n"/>
      <c r="O667" s="285" t="n"/>
      <c r="P667" s="285" t="n"/>
      <c r="Q667" s="285" t="n"/>
      <c r="R667" s="284" t="n"/>
      <c r="S667" s="284" t="n"/>
      <c r="T667" s="285" t="n"/>
      <c r="U667" s="285" t="n"/>
      <c r="V667" s="285" t="n"/>
      <c r="W667" s="285" t="n"/>
      <c r="X667" s="285" t="n"/>
      <c r="Y667" s="285" t="n"/>
      <c r="Z667" s="285" t="n"/>
    </row>
    <row r="668" ht="15.75" customHeight="1" s="398">
      <c r="A668" s="284" t="n"/>
      <c r="B668" s="285" t="n"/>
      <c r="C668" s="284" t="n"/>
      <c r="D668" s="285" t="n"/>
      <c r="E668" s="354" t="n"/>
      <c r="F668" s="336" t="n"/>
      <c r="G668" s="336" t="n"/>
      <c r="H668" s="285" t="n"/>
      <c r="I668" s="285" t="n"/>
      <c r="J668" s="285" t="n"/>
      <c r="K668" s="285" t="n"/>
      <c r="L668" s="285" t="n"/>
      <c r="M668" s="285" t="n"/>
      <c r="N668" s="285" t="n"/>
      <c r="O668" s="285" t="n"/>
      <c r="P668" s="285" t="n"/>
      <c r="Q668" s="285" t="n"/>
      <c r="R668" s="284" t="n"/>
      <c r="S668" s="284" t="n"/>
      <c r="T668" s="285" t="n"/>
      <c r="U668" s="285" t="n"/>
      <c r="V668" s="285" t="n"/>
      <c r="W668" s="285" t="n"/>
      <c r="X668" s="285" t="n"/>
      <c r="Y668" s="285" t="n"/>
      <c r="Z668" s="285" t="n"/>
    </row>
    <row r="669" ht="15.75" customHeight="1" s="398">
      <c r="A669" s="284" t="n"/>
      <c r="B669" s="285" t="n"/>
      <c r="C669" s="284" t="n"/>
      <c r="D669" s="285" t="n"/>
      <c r="E669" s="354" t="n"/>
      <c r="F669" s="336" t="n"/>
      <c r="G669" s="336" t="n"/>
      <c r="H669" s="285" t="n"/>
      <c r="I669" s="285" t="n"/>
      <c r="J669" s="285" t="n"/>
      <c r="K669" s="285" t="n"/>
      <c r="L669" s="285" t="n"/>
      <c r="M669" s="285" t="n"/>
      <c r="N669" s="285" t="n"/>
      <c r="O669" s="285" t="n"/>
      <c r="P669" s="285" t="n"/>
      <c r="Q669" s="285" t="n"/>
      <c r="R669" s="284" t="n"/>
      <c r="S669" s="284" t="n"/>
      <c r="T669" s="285" t="n"/>
      <c r="U669" s="285" t="n"/>
      <c r="V669" s="285" t="n"/>
      <c r="W669" s="285" t="n"/>
      <c r="X669" s="285" t="n"/>
      <c r="Y669" s="285" t="n"/>
      <c r="Z669" s="285" t="n"/>
    </row>
    <row r="670" ht="15.75" customHeight="1" s="398">
      <c r="A670" s="284" t="n"/>
      <c r="B670" s="285" t="n"/>
      <c r="C670" s="284" t="n"/>
      <c r="D670" s="285" t="n"/>
      <c r="E670" s="354" t="n"/>
      <c r="F670" s="336" t="n"/>
      <c r="G670" s="336" t="n"/>
      <c r="H670" s="285" t="n"/>
      <c r="I670" s="285" t="n"/>
      <c r="J670" s="285" t="n"/>
      <c r="K670" s="285" t="n"/>
      <c r="L670" s="285" t="n"/>
      <c r="M670" s="285" t="n"/>
      <c r="N670" s="285" t="n"/>
      <c r="O670" s="285" t="n"/>
      <c r="P670" s="285" t="n"/>
      <c r="Q670" s="285" t="n"/>
      <c r="R670" s="284" t="n"/>
      <c r="S670" s="284" t="n"/>
      <c r="T670" s="285" t="n"/>
      <c r="U670" s="285" t="n"/>
      <c r="V670" s="285" t="n"/>
      <c r="W670" s="285" t="n"/>
      <c r="X670" s="285" t="n"/>
      <c r="Y670" s="285" t="n"/>
      <c r="Z670" s="285" t="n"/>
    </row>
    <row r="671" ht="15.75" customHeight="1" s="398">
      <c r="A671" s="284" t="n"/>
      <c r="B671" s="285" t="n"/>
      <c r="C671" s="284" t="n"/>
      <c r="D671" s="285" t="n"/>
      <c r="E671" s="354" t="n"/>
      <c r="F671" s="336" t="n"/>
      <c r="G671" s="336" t="n"/>
      <c r="H671" s="285" t="n"/>
      <c r="I671" s="285" t="n"/>
      <c r="J671" s="285" t="n"/>
      <c r="K671" s="285" t="n"/>
      <c r="L671" s="285" t="n"/>
      <c r="M671" s="285" t="n"/>
      <c r="N671" s="285" t="n"/>
      <c r="O671" s="285" t="n"/>
      <c r="P671" s="285" t="n"/>
      <c r="Q671" s="285" t="n"/>
      <c r="R671" s="284" t="n"/>
      <c r="S671" s="284" t="n"/>
      <c r="T671" s="285" t="n"/>
      <c r="U671" s="285" t="n"/>
      <c r="V671" s="285" t="n"/>
      <c r="W671" s="285" t="n"/>
      <c r="X671" s="285" t="n"/>
      <c r="Y671" s="285" t="n"/>
      <c r="Z671" s="285" t="n"/>
    </row>
    <row r="672" ht="15.75" customHeight="1" s="398">
      <c r="A672" s="284" t="n"/>
      <c r="B672" s="285" t="n"/>
      <c r="C672" s="284" t="n"/>
      <c r="D672" s="285" t="n"/>
      <c r="E672" s="354" t="n"/>
      <c r="F672" s="336" t="n"/>
      <c r="G672" s="336" t="n"/>
      <c r="H672" s="285" t="n"/>
      <c r="I672" s="285" t="n"/>
      <c r="J672" s="285" t="n"/>
      <c r="K672" s="285" t="n"/>
      <c r="L672" s="285" t="n"/>
      <c r="M672" s="285" t="n"/>
      <c r="N672" s="285" t="n"/>
      <c r="O672" s="285" t="n"/>
      <c r="P672" s="285" t="n"/>
      <c r="Q672" s="285" t="n"/>
      <c r="R672" s="284" t="n"/>
      <c r="S672" s="284" t="n"/>
      <c r="T672" s="285" t="n"/>
      <c r="U672" s="285" t="n"/>
      <c r="V672" s="285" t="n"/>
      <c r="W672" s="285" t="n"/>
      <c r="X672" s="285" t="n"/>
      <c r="Y672" s="285" t="n"/>
      <c r="Z672" s="285" t="n"/>
    </row>
    <row r="673" ht="15.75" customHeight="1" s="398">
      <c r="A673" s="284" t="n"/>
      <c r="B673" s="285" t="n"/>
      <c r="C673" s="284" t="n"/>
      <c r="D673" s="285" t="n"/>
      <c r="E673" s="354" t="n"/>
      <c r="F673" s="336" t="n"/>
      <c r="G673" s="336" t="n"/>
      <c r="H673" s="285" t="n"/>
      <c r="I673" s="285" t="n"/>
      <c r="J673" s="285" t="n"/>
      <c r="K673" s="285" t="n"/>
      <c r="L673" s="285" t="n"/>
      <c r="M673" s="285" t="n"/>
      <c r="N673" s="285" t="n"/>
      <c r="O673" s="285" t="n"/>
      <c r="P673" s="285" t="n"/>
      <c r="Q673" s="285" t="n"/>
      <c r="R673" s="284" t="n"/>
      <c r="S673" s="284" t="n"/>
      <c r="T673" s="285" t="n"/>
      <c r="U673" s="285" t="n"/>
      <c r="V673" s="285" t="n"/>
      <c r="W673" s="285" t="n"/>
      <c r="X673" s="285" t="n"/>
      <c r="Y673" s="285" t="n"/>
      <c r="Z673" s="285" t="n"/>
    </row>
    <row r="674" ht="15.75" customHeight="1" s="398">
      <c r="A674" s="284" t="n"/>
      <c r="B674" s="285" t="n"/>
      <c r="C674" s="284" t="n"/>
      <c r="D674" s="285" t="n"/>
      <c r="E674" s="354" t="n"/>
      <c r="F674" s="336" t="n"/>
      <c r="G674" s="336" t="n"/>
      <c r="H674" s="285" t="n"/>
      <c r="I674" s="285" t="n"/>
      <c r="J674" s="285" t="n"/>
      <c r="K674" s="285" t="n"/>
      <c r="L674" s="285" t="n"/>
      <c r="M674" s="285" t="n"/>
      <c r="N674" s="285" t="n"/>
      <c r="O674" s="285" t="n"/>
      <c r="P674" s="285" t="n"/>
      <c r="Q674" s="285" t="n"/>
      <c r="R674" s="284" t="n"/>
      <c r="S674" s="284" t="n"/>
      <c r="T674" s="285" t="n"/>
      <c r="U674" s="285" t="n"/>
      <c r="V674" s="285" t="n"/>
      <c r="W674" s="285" t="n"/>
      <c r="X674" s="285" t="n"/>
      <c r="Y674" s="285" t="n"/>
      <c r="Z674" s="285" t="n"/>
    </row>
    <row r="675" ht="15.75" customHeight="1" s="398">
      <c r="A675" s="284" t="n"/>
      <c r="B675" s="285" t="n"/>
      <c r="C675" s="284" t="n"/>
      <c r="D675" s="285" t="n"/>
      <c r="E675" s="354" t="n"/>
      <c r="F675" s="336" t="n"/>
      <c r="G675" s="336" t="n"/>
      <c r="H675" s="285" t="n"/>
      <c r="I675" s="285" t="n"/>
      <c r="J675" s="285" t="n"/>
      <c r="K675" s="285" t="n"/>
      <c r="L675" s="285" t="n"/>
      <c r="M675" s="285" t="n"/>
      <c r="N675" s="285" t="n"/>
      <c r="O675" s="285" t="n"/>
      <c r="P675" s="285" t="n"/>
      <c r="Q675" s="285" t="n"/>
      <c r="R675" s="284" t="n"/>
      <c r="S675" s="284" t="n"/>
      <c r="T675" s="285" t="n"/>
      <c r="U675" s="285" t="n"/>
      <c r="V675" s="285" t="n"/>
      <c r="W675" s="285" t="n"/>
      <c r="X675" s="285" t="n"/>
      <c r="Y675" s="285" t="n"/>
      <c r="Z675" s="285" t="n"/>
    </row>
    <row r="676" ht="15.75" customHeight="1" s="398">
      <c r="A676" s="284" t="n"/>
      <c r="B676" s="285" t="n"/>
      <c r="C676" s="284" t="n"/>
      <c r="D676" s="285" t="n"/>
      <c r="E676" s="354" t="n"/>
      <c r="F676" s="336" t="n"/>
      <c r="G676" s="336" t="n"/>
      <c r="H676" s="285" t="n"/>
      <c r="I676" s="285" t="n"/>
      <c r="J676" s="285" t="n"/>
      <c r="K676" s="285" t="n"/>
      <c r="L676" s="285" t="n"/>
      <c r="M676" s="285" t="n"/>
      <c r="N676" s="285" t="n"/>
      <c r="O676" s="285" t="n"/>
      <c r="P676" s="285" t="n"/>
      <c r="Q676" s="285" t="n"/>
      <c r="R676" s="284" t="n"/>
      <c r="S676" s="284" t="n"/>
      <c r="T676" s="285" t="n"/>
      <c r="U676" s="285" t="n"/>
      <c r="V676" s="285" t="n"/>
      <c r="W676" s="285" t="n"/>
      <c r="X676" s="285" t="n"/>
      <c r="Y676" s="285" t="n"/>
      <c r="Z676" s="285" t="n"/>
    </row>
    <row r="677" ht="15.75" customHeight="1" s="398">
      <c r="A677" s="284" t="n"/>
      <c r="B677" s="285" t="n"/>
      <c r="C677" s="284" t="n"/>
      <c r="D677" s="285" t="n"/>
      <c r="E677" s="354" t="n"/>
      <c r="F677" s="336" t="n"/>
      <c r="G677" s="336" t="n"/>
      <c r="H677" s="285" t="n"/>
      <c r="I677" s="285" t="n"/>
      <c r="J677" s="285" t="n"/>
      <c r="K677" s="285" t="n"/>
      <c r="L677" s="285" t="n"/>
      <c r="M677" s="285" t="n"/>
      <c r="N677" s="285" t="n"/>
      <c r="O677" s="285" t="n"/>
      <c r="P677" s="285" t="n"/>
      <c r="Q677" s="285" t="n"/>
      <c r="R677" s="284" t="n"/>
      <c r="S677" s="284" t="n"/>
      <c r="T677" s="285" t="n"/>
      <c r="U677" s="285" t="n"/>
      <c r="V677" s="285" t="n"/>
      <c r="W677" s="285" t="n"/>
      <c r="X677" s="285" t="n"/>
      <c r="Y677" s="285" t="n"/>
      <c r="Z677" s="285" t="n"/>
    </row>
    <row r="678" ht="15.75" customHeight="1" s="398">
      <c r="A678" s="284" t="n"/>
      <c r="B678" s="285" t="n"/>
      <c r="C678" s="284" t="n"/>
      <c r="D678" s="285" t="n"/>
      <c r="E678" s="354" t="n"/>
      <c r="F678" s="336" t="n"/>
      <c r="G678" s="336" t="n"/>
      <c r="H678" s="285" t="n"/>
      <c r="I678" s="285" t="n"/>
      <c r="J678" s="285" t="n"/>
      <c r="K678" s="285" t="n"/>
      <c r="L678" s="285" t="n"/>
      <c r="M678" s="285" t="n"/>
      <c r="N678" s="285" t="n"/>
      <c r="O678" s="285" t="n"/>
      <c r="P678" s="285" t="n"/>
      <c r="Q678" s="285" t="n"/>
      <c r="R678" s="284" t="n"/>
      <c r="S678" s="284" t="n"/>
      <c r="T678" s="285" t="n"/>
      <c r="U678" s="285" t="n"/>
      <c r="V678" s="285" t="n"/>
      <c r="W678" s="285" t="n"/>
      <c r="X678" s="285" t="n"/>
      <c r="Y678" s="285" t="n"/>
      <c r="Z678" s="285" t="n"/>
    </row>
    <row r="679" ht="15.75" customHeight="1" s="398">
      <c r="A679" s="284" t="n"/>
      <c r="B679" s="285" t="n"/>
      <c r="C679" s="284" t="n"/>
      <c r="D679" s="285" t="n"/>
      <c r="E679" s="354" t="n"/>
      <c r="F679" s="336" t="n"/>
      <c r="G679" s="336" t="n"/>
      <c r="H679" s="285" t="n"/>
      <c r="I679" s="285" t="n"/>
      <c r="J679" s="285" t="n"/>
      <c r="K679" s="285" t="n"/>
      <c r="L679" s="285" t="n"/>
      <c r="M679" s="285" t="n"/>
      <c r="N679" s="285" t="n"/>
      <c r="O679" s="285" t="n"/>
      <c r="P679" s="285" t="n"/>
      <c r="Q679" s="285" t="n"/>
      <c r="R679" s="284" t="n"/>
      <c r="S679" s="284" t="n"/>
      <c r="T679" s="285" t="n"/>
      <c r="U679" s="285" t="n"/>
      <c r="V679" s="285" t="n"/>
      <c r="W679" s="285" t="n"/>
      <c r="X679" s="285" t="n"/>
      <c r="Y679" s="285" t="n"/>
      <c r="Z679" s="285" t="n"/>
    </row>
    <row r="680" ht="15.75" customHeight="1" s="398">
      <c r="A680" s="284" t="n"/>
      <c r="B680" s="285" t="n"/>
      <c r="C680" s="284" t="n"/>
      <c r="D680" s="285" t="n"/>
      <c r="E680" s="354" t="n"/>
      <c r="F680" s="336" t="n"/>
      <c r="G680" s="336" t="n"/>
      <c r="H680" s="285" t="n"/>
      <c r="I680" s="285" t="n"/>
      <c r="J680" s="285" t="n"/>
      <c r="K680" s="285" t="n"/>
      <c r="L680" s="285" t="n"/>
      <c r="M680" s="285" t="n"/>
      <c r="N680" s="285" t="n"/>
      <c r="O680" s="285" t="n"/>
      <c r="P680" s="285" t="n"/>
      <c r="Q680" s="285" t="n"/>
      <c r="R680" s="284" t="n"/>
      <c r="S680" s="284" t="n"/>
      <c r="T680" s="285" t="n"/>
      <c r="U680" s="285" t="n"/>
      <c r="V680" s="285" t="n"/>
      <c r="W680" s="285" t="n"/>
      <c r="X680" s="285" t="n"/>
      <c r="Y680" s="285" t="n"/>
      <c r="Z680" s="285" t="n"/>
    </row>
    <row r="681" ht="15.75" customHeight="1" s="398">
      <c r="A681" s="284" t="n"/>
      <c r="B681" s="285" t="n"/>
      <c r="C681" s="284" t="n"/>
      <c r="D681" s="285" t="n"/>
      <c r="E681" s="354" t="n"/>
      <c r="F681" s="336" t="n"/>
      <c r="G681" s="336" t="n"/>
      <c r="H681" s="285" t="n"/>
      <c r="I681" s="285" t="n"/>
      <c r="J681" s="285" t="n"/>
      <c r="K681" s="285" t="n"/>
      <c r="L681" s="285" t="n"/>
      <c r="M681" s="285" t="n"/>
      <c r="N681" s="285" t="n"/>
      <c r="O681" s="285" t="n"/>
      <c r="P681" s="285" t="n"/>
      <c r="Q681" s="285" t="n"/>
      <c r="R681" s="284" t="n"/>
      <c r="S681" s="284" t="n"/>
      <c r="T681" s="285" t="n"/>
      <c r="U681" s="285" t="n"/>
      <c r="V681" s="285" t="n"/>
      <c r="W681" s="285" t="n"/>
      <c r="X681" s="285" t="n"/>
      <c r="Y681" s="285" t="n"/>
      <c r="Z681" s="285" t="n"/>
    </row>
    <row r="682" ht="15.75" customHeight="1" s="398">
      <c r="A682" s="284" t="n"/>
      <c r="B682" s="285" t="n"/>
      <c r="C682" s="284" t="n"/>
      <c r="D682" s="285" t="n"/>
      <c r="E682" s="354" t="n"/>
      <c r="F682" s="336" t="n"/>
      <c r="G682" s="336" t="n"/>
      <c r="H682" s="285" t="n"/>
      <c r="I682" s="285" t="n"/>
      <c r="J682" s="285" t="n"/>
      <c r="K682" s="285" t="n"/>
      <c r="L682" s="285" t="n"/>
      <c r="M682" s="285" t="n"/>
      <c r="N682" s="285" t="n"/>
      <c r="O682" s="285" t="n"/>
      <c r="P682" s="285" t="n"/>
      <c r="Q682" s="285" t="n"/>
      <c r="R682" s="284" t="n"/>
      <c r="S682" s="284" t="n"/>
      <c r="T682" s="285" t="n"/>
      <c r="U682" s="285" t="n"/>
      <c r="V682" s="285" t="n"/>
      <c r="W682" s="285" t="n"/>
      <c r="X682" s="285" t="n"/>
      <c r="Y682" s="285" t="n"/>
      <c r="Z682" s="285" t="n"/>
    </row>
    <row r="683" ht="15.75" customHeight="1" s="398">
      <c r="A683" s="284" t="n"/>
      <c r="B683" s="285" t="n"/>
      <c r="C683" s="284" t="n"/>
      <c r="D683" s="285" t="n"/>
      <c r="E683" s="354" t="n"/>
      <c r="F683" s="336" t="n"/>
      <c r="G683" s="336" t="n"/>
      <c r="H683" s="285" t="n"/>
      <c r="I683" s="285" t="n"/>
      <c r="J683" s="285" t="n"/>
      <c r="K683" s="285" t="n"/>
      <c r="L683" s="285" t="n"/>
      <c r="M683" s="285" t="n"/>
      <c r="N683" s="285" t="n"/>
      <c r="O683" s="285" t="n"/>
      <c r="P683" s="285" t="n"/>
      <c r="Q683" s="285" t="n"/>
      <c r="R683" s="284" t="n"/>
      <c r="S683" s="284" t="n"/>
      <c r="T683" s="285" t="n"/>
      <c r="U683" s="285" t="n"/>
      <c r="V683" s="285" t="n"/>
      <c r="W683" s="285" t="n"/>
      <c r="X683" s="285" t="n"/>
      <c r="Y683" s="285" t="n"/>
      <c r="Z683" s="285" t="n"/>
    </row>
    <row r="684" ht="15.75" customHeight="1" s="398">
      <c r="A684" s="284" t="n"/>
      <c r="B684" s="285" t="n"/>
      <c r="C684" s="284" t="n"/>
      <c r="D684" s="285" t="n"/>
      <c r="E684" s="354" t="n"/>
      <c r="F684" s="336" t="n"/>
      <c r="G684" s="336" t="n"/>
      <c r="H684" s="285" t="n"/>
      <c r="I684" s="285" t="n"/>
      <c r="J684" s="285" t="n"/>
      <c r="K684" s="285" t="n"/>
      <c r="L684" s="285" t="n"/>
      <c r="M684" s="285" t="n"/>
      <c r="N684" s="285" t="n"/>
      <c r="O684" s="285" t="n"/>
      <c r="P684" s="285" t="n"/>
      <c r="Q684" s="285" t="n"/>
      <c r="R684" s="284" t="n"/>
      <c r="S684" s="284" t="n"/>
      <c r="T684" s="285" t="n"/>
      <c r="U684" s="285" t="n"/>
      <c r="V684" s="285" t="n"/>
      <c r="W684" s="285" t="n"/>
      <c r="X684" s="285" t="n"/>
      <c r="Y684" s="285" t="n"/>
      <c r="Z684" s="285" t="n"/>
    </row>
    <row r="685" ht="15.75" customHeight="1" s="398">
      <c r="A685" s="284" t="n"/>
      <c r="B685" s="285" t="n"/>
      <c r="C685" s="284" t="n"/>
      <c r="D685" s="285" t="n"/>
      <c r="E685" s="354" t="n"/>
      <c r="F685" s="336" t="n"/>
      <c r="G685" s="336" t="n"/>
      <c r="H685" s="285" t="n"/>
      <c r="I685" s="285" t="n"/>
      <c r="J685" s="285" t="n"/>
      <c r="K685" s="285" t="n"/>
      <c r="L685" s="285" t="n"/>
      <c r="M685" s="285" t="n"/>
      <c r="N685" s="285" t="n"/>
      <c r="O685" s="285" t="n"/>
      <c r="P685" s="285" t="n"/>
      <c r="Q685" s="285" t="n"/>
      <c r="R685" s="284" t="n"/>
      <c r="S685" s="284" t="n"/>
      <c r="T685" s="285" t="n"/>
      <c r="U685" s="285" t="n"/>
      <c r="V685" s="285" t="n"/>
      <c r="W685" s="285" t="n"/>
      <c r="X685" s="285" t="n"/>
      <c r="Y685" s="285" t="n"/>
      <c r="Z685" s="285" t="n"/>
    </row>
    <row r="686" ht="15.75" customHeight="1" s="398">
      <c r="A686" s="284" t="n"/>
      <c r="B686" s="285" t="n"/>
      <c r="C686" s="284" t="n"/>
      <c r="D686" s="285" t="n"/>
      <c r="E686" s="354" t="n"/>
      <c r="F686" s="336" t="n"/>
      <c r="G686" s="336" t="n"/>
      <c r="H686" s="285" t="n"/>
      <c r="I686" s="285" t="n"/>
      <c r="J686" s="285" t="n"/>
      <c r="K686" s="285" t="n"/>
      <c r="L686" s="285" t="n"/>
      <c r="M686" s="285" t="n"/>
      <c r="N686" s="285" t="n"/>
      <c r="O686" s="285" t="n"/>
      <c r="P686" s="285" t="n"/>
      <c r="Q686" s="285" t="n"/>
      <c r="R686" s="284" t="n"/>
      <c r="S686" s="284" t="n"/>
      <c r="T686" s="285" t="n"/>
      <c r="U686" s="285" t="n"/>
      <c r="V686" s="285" t="n"/>
      <c r="W686" s="285" t="n"/>
      <c r="X686" s="285" t="n"/>
      <c r="Y686" s="285" t="n"/>
      <c r="Z686" s="285" t="n"/>
    </row>
    <row r="687" ht="15.75" customHeight="1" s="398">
      <c r="A687" s="284" t="n"/>
      <c r="B687" s="285" t="n"/>
      <c r="C687" s="284" t="n"/>
      <c r="D687" s="285" t="n"/>
      <c r="E687" s="354" t="n"/>
      <c r="F687" s="336" t="n"/>
      <c r="G687" s="336" t="n"/>
      <c r="H687" s="285" t="n"/>
      <c r="I687" s="285" t="n"/>
      <c r="J687" s="285" t="n"/>
      <c r="K687" s="285" t="n"/>
      <c r="L687" s="285" t="n"/>
      <c r="M687" s="285" t="n"/>
      <c r="N687" s="285" t="n"/>
      <c r="O687" s="285" t="n"/>
      <c r="P687" s="285" t="n"/>
      <c r="Q687" s="285" t="n"/>
      <c r="R687" s="284" t="n"/>
      <c r="S687" s="284" t="n"/>
      <c r="T687" s="285" t="n"/>
      <c r="U687" s="285" t="n"/>
      <c r="V687" s="285" t="n"/>
      <c r="W687" s="285" t="n"/>
      <c r="X687" s="285" t="n"/>
      <c r="Y687" s="285" t="n"/>
      <c r="Z687" s="285" t="n"/>
    </row>
    <row r="688" ht="15.75" customHeight="1" s="398">
      <c r="A688" s="284" t="n"/>
      <c r="B688" s="285" t="n"/>
      <c r="C688" s="284" t="n"/>
      <c r="D688" s="285" t="n"/>
      <c r="E688" s="354" t="n"/>
      <c r="F688" s="336" t="n"/>
      <c r="G688" s="336" t="n"/>
      <c r="H688" s="285" t="n"/>
      <c r="I688" s="285" t="n"/>
      <c r="J688" s="285" t="n"/>
      <c r="K688" s="285" t="n"/>
      <c r="L688" s="285" t="n"/>
      <c r="M688" s="285" t="n"/>
      <c r="N688" s="285" t="n"/>
      <c r="O688" s="285" t="n"/>
      <c r="P688" s="285" t="n"/>
      <c r="Q688" s="285" t="n"/>
      <c r="R688" s="284" t="n"/>
      <c r="S688" s="284" t="n"/>
      <c r="T688" s="285" t="n"/>
      <c r="U688" s="285" t="n"/>
      <c r="V688" s="285" t="n"/>
      <c r="W688" s="285" t="n"/>
      <c r="X688" s="285" t="n"/>
      <c r="Y688" s="285" t="n"/>
      <c r="Z688" s="285" t="n"/>
    </row>
    <row r="689" ht="15.75" customHeight="1" s="398">
      <c r="A689" s="284" t="n"/>
      <c r="B689" s="285" t="n"/>
      <c r="C689" s="284" t="n"/>
      <c r="D689" s="285" t="n"/>
      <c r="E689" s="354" t="n"/>
      <c r="F689" s="336" t="n"/>
      <c r="G689" s="336" t="n"/>
      <c r="H689" s="285" t="n"/>
      <c r="I689" s="285" t="n"/>
      <c r="J689" s="285" t="n"/>
      <c r="K689" s="285" t="n"/>
      <c r="L689" s="285" t="n"/>
      <c r="M689" s="285" t="n"/>
      <c r="N689" s="285" t="n"/>
      <c r="O689" s="285" t="n"/>
      <c r="P689" s="285" t="n"/>
      <c r="Q689" s="285" t="n"/>
      <c r="R689" s="284" t="n"/>
      <c r="S689" s="284" t="n"/>
      <c r="T689" s="285" t="n"/>
      <c r="U689" s="285" t="n"/>
      <c r="V689" s="285" t="n"/>
      <c r="W689" s="285" t="n"/>
      <c r="X689" s="285" t="n"/>
      <c r="Y689" s="285" t="n"/>
      <c r="Z689" s="285" t="n"/>
    </row>
    <row r="690" ht="15.75" customHeight="1" s="398">
      <c r="A690" s="284" t="n"/>
      <c r="B690" s="285" t="n"/>
      <c r="C690" s="284" t="n"/>
      <c r="D690" s="285" t="n"/>
      <c r="E690" s="354" t="n"/>
      <c r="F690" s="336" t="n"/>
      <c r="G690" s="336" t="n"/>
      <c r="H690" s="285" t="n"/>
      <c r="I690" s="285" t="n"/>
      <c r="J690" s="285" t="n"/>
      <c r="K690" s="285" t="n"/>
      <c r="L690" s="285" t="n"/>
      <c r="M690" s="285" t="n"/>
      <c r="N690" s="285" t="n"/>
      <c r="O690" s="285" t="n"/>
      <c r="P690" s="285" t="n"/>
      <c r="Q690" s="285" t="n"/>
      <c r="R690" s="284" t="n"/>
      <c r="S690" s="284" t="n"/>
      <c r="T690" s="285" t="n"/>
      <c r="U690" s="285" t="n"/>
      <c r="V690" s="285" t="n"/>
      <c r="W690" s="285" t="n"/>
      <c r="X690" s="285" t="n"/>
      <c r="Y690" s="285" t="n"/>
      <c r="Z690" s="285" t="n"/>
    </row>
    <row r="691" ht="15.75" customHeight="1" s="398">
      <c r="A691" s="284" t="n"/>
      <c r="B691" s="285" t="n"/>
      <c r="C691" s="284" t="n"/>
      <c r="D691" s="285" t="n"/>
      <c r="E691" s="354" t="n"/>
      <c r="F691" s="336" t="n"/>
      <c r="G691" s="336" t="n"/>
      <c r="H691" s="285" t="n"/>
      <c r="I691" s="285" t="n"/>
      <c r="J691" s="285" t="n"/>
      <c r="K691" s="285" t="n"/>
      <c r="L691" s="285" t="n"/>
      <c r="M691" s="285" t="n"/>
      <c r="N691" s="285" t="n"/>
      <c r="O691" s="285" t="n"/>
      <c r="P691" s="285" t="n"/>
      <c r="Q691" s="285" t="n"/>
      <c r="R691" s="284" t="n"/>
      <c r="S691" s="284" t="n"/>
      <c r="T691" s="285" t="n"/>
      <c r="U691" s="285" t="n"/>
      <c r="V691" s="285" t="n"/>
      <c r="W691" s="285" t="n"/>
      <c r="X691" s="285" t="n"/>
      <c r="Y691" s="285" t="n"/>
      <c r="Z691" s="285" t="n"/>
    </row>
    <row r="692" ht="15.75" customHeight="1" s="398">
      <c r="A692" s="284" t="n"/>
      <c r="B692" s="285" t="n"/>
      <c r="C692" s="284" t="n"/>
      <c r="D692" s="285" t="n"/>
      <c r="E692" s="354" t="n"/>
      <c r="F692" s="336" t="n"/>
      <c r="G692" s="336" t="n"/>
      <c r="H692" s="285" t="n"/>
      <c r="I692" s="285" t="n"/>
      <c r="J692" s="285" t="n"/>
      <c r="K692" s="285" t="n"/>
      <c r="L692" s="285" t="n"/>
      <c r="M692" s="285" t="n"/>
      <c r="N692" s="285" t="n"/>
      <c r="O692" s="285" t="n"/>
      <c r="P692" s="285" t="n"/>
      <c r="Q692" s="285" t="n"/>
      <c r="R692" s="284" t="n"/>
      <c r="S692" s="284" t="n"/>
      <c r="T692" s="285" t="n"/>
      <c r="U692" s="285" t="n"/>
      <c r="V692" s="285" t="n"/>
      <c r="W692" s="285" t="n"/>
      <c r="X692" s="285" t="n"/>
      <c r="Y692" s="285" t="n"/>
      <c r="Z692" s="285" t="n"/>
    </row>
    <row r="693" ht="15.75" customHeight="1" s="398">
      <c r="A693" s="284" t="n"/>
      <c r="B693" s="285" t="n"/>
      <c r="C693" s="284" t="n"/>
      <c r="D693" s="285" t="n"/>
      <c r="E693" s="354" t="n"/>
      <c r="F693" s="336" t="n"/>
      <c r="G693" s="336" t="n"/>
      <c r="H693" s="285" t="n"/>
      <c r="I693" s="285" t="n"/>
      <c r="J693" s="285" t="n"/>
      <c r="K693" s="285" t="n"/>
      <c r="L693" s="285" t="n"/>
      <c r="M693" s="285" t="n"/>
      <c r="N693" s="285" t="n"/>
      <c r="O693" s="285" t="n"/>
      <c r="P693" s="285" t="n"/>
      <c r="Q693" s="285" t="n"/>
      <c r="R693" s="284" t="n"/>
      <c r="S693" s="284" t="n"/>
      <c r="T693" s="285" t="n"/>
      <c r="U693" s="285" t="n"/>
      <c r="V693" s="285" t="n"/>
      <c r="W693" s="285" t="n"/>
      <c r="X693" s="285" t="n"/>
      <c r="Y693" s="285" t="n"/>
      <c r="Z693" s="285" t="n"/>
    </row>
    <row r="694" ht="15.75" customHeight="1" s="398">
      <c r="A694" s="284" t="n"/>
      <c r="B694" s="285" t="n"/>
      <c r="C694" s="284" t="n"/>
      <c r="D694" s="285" t="n"/>
      <c r="E694" s="354" t="n"/>
      <c r="F694" s="336" t="n"/>
      <c r="G694" s="336" t="n"/>
      <c r="H694" s="285" t="n"/>
      <c r="I694" s="285" t="n"/>
      <c r="J694" s="285" t="n"/>
      <c r="K694" s="285" t="n"/>
      <c r="L694" s="285" t="n"/>
      <c r="M694" s="285" t="n"/>
      <c r="N694" s="285" t="n"/>
      <c r="O694" s="285" t="n"/>
      <c r="P694" s="285" t="n"/>
      <c r="Q694" s="285" t="n"/>
      <c r="R694" s="284" t="n"/>
      <c r="S694" s="284" t="n"/>
      <c r="T694" s="285" t="n"/>
      <c r="U694" s="285" t="n"/>
      <c r="V694" s="285" t="n"/>
      <c r="W694" s="285" t="n"/>
      <c r="X694" s="285" t="n"/>
      <c r="Y694" s="285" t="n"/>
      <c r="Z694" s="285" t="n"/>
    </row>
    <row r="695" ht="15.75" customHeight="1" s="398">
      <c r="A695" s="284" t="n"/>
      <c r="B695" s="285" t="n"/>
      <c r="C695" s="284" t="n"/>
      <c r="D695" s="285" t="n"/>
      <c r="E695" s="354" t="n"/>
      <c r="F695" s="336" t="n"/>
      <c r="G695" s="336" t="n"/>
      <c r="H695" s="285" t="n"/>
      <c r="I695" s="285" t="n"/>
      <c r="J695" s="285" t="n"/>
      <c r="K695" s="285" t="n"/>
      <c r="L695" s="285" t="n"/>
      <c r="M695" s="285" t="n"/>
      <c r="N695" s="285" t="n"/>
      <c r="O695" s="285" t="n"/>
      <c r="P695" s="285" t="n"/>
      <c r="Q695" s="285" t="n"/>
      <c r="R695" s="284" t="n"/>
      <c r="S695" s="284" t="n"/>
      <c r="T695" s="285" t="n"/>
      <c r="U695" s="285" t="n"/>
      <c r="V695" s="285" t="n"/>
      <c r="W695" s="285" t="n"/>
      <c r="X695" s="285" t="n"/>
      <c r="Y695" s="285" t="n"/>
      <c r="Z695" s="285" t="n"/>
    </row>
    <row r="696" ht="15.75" customHeight="1" s="398">
      <c r="A696" s="284" t="n"/>
      <c r="B696" s="285" t="n"/>
      <c r="C696" s="284" t="n"/>
      <c r="D696" s="285" t="n"/>
      <c r="E696" s="354" t="n"/>
      <c r="F696" s="336" t="n"/>
      <c r="G696" s="336" t="n"/>
      <c r="H696" s="285" t="n"/>
      <c r="I696" s="285" t="n"/>
      <c r="J696" s="285" t="n"/>
      <c r="K696" s="285" t="n"/>
      <c r="L696" s="285" t="n"/>
      <c r="M696" s="285" t="n"/>
      <c r="N696" s="285" t="n"/>
      <c r="O696" s="285" t="n"/>
      <c r="P696" s="285" t="n"/>
      <c r="Q696" s="285" t="n"/>
      <c r="R696" s="284" t="n"/>
      <c r="S696" s="284" t="n"/>
      <c r="T696" s="285" t="n"/>
      <c r="U696" s="285" t="n"/>
      <c r="V696" s="285" t="n"/>
      <c r="W696" s="285" t="n"/>
      <c r="X696" s="285" t="n"/>
      <c r="Y696" s="285" t="n"/>
      <c r="Z696" s="285" t="n"/>
    </row>
    <row r="697" ht="15.75" customHeight="1" s="398">
      <c r="A697" s="284" t="n"/>
      <c r="B697" s="285" t="n"/>
      <c r="C697" s="284" t="n"/>
      <c r="D697" s="285" t="n"/>
      <c r="E697" s="354" t="n"/>
      <c r="F697" s="336" t="n"/>
      <c r="G697" s="336" t="n"/>
      <c r="H697" s="285" t="n"/>
      <c r="I697" s="285" t="n"/>
      <c r="J697" s="285" t="n"/>
      <c r="K697" s="285" t="n"/>
      <c r="L697" s="285" t="n"/>
      <c r="M697" s="285" t="n"/>
      <c r="N697" s="285" t="n"/>
      <c r="O697" s="285" t="n"/>
      <c r="P697" s="285" t="n"/>
      <c r="Q697" s="285" t="n"/>
      <c r="R697" s="284" t="n"/>
      <c r="S697" s="284" t="n"/>
      <c r="T697" s="285" t="n"/>
      <c r="U697" s="285" t="n"/>
      <c r="V697" s="285" t="n"/>
      <c r="W697" s="285" t="n"/>
      <c r="X697" s="285" t="n"/>
      <c r="Y697" s="285" t="n"/>
      <c r="Z697" s="285" t="n"/>
    </row>
    <row r="698" ht="15.75" customHeight="1" s="398">
      <c r="A698" s="284" t="n"/>
      <c r="B698" s="285" t="n"/>
      <c r="C698" s="284" t="n"/>
      <c r="D698" s="285" t="n"/>
      <c r="E698" s="354" t="n"/>
      <c r="F698" s="336" t="n"/>
      <c r="G698" s="336" t="n"/>
      <c r="H698" s="285" t="n"/>
      <c r="I698" s="285" t="n"/>
      <c r="J698" s="285" t="n"/>
      <c r="K698" s="285" t="n"/>
      <c r="L698" s="285" t="n"/>
      <c r="M698" s="285" t="n"/>
      <c r="N698" s="285" t="n"/>
      <c r="O698" s="285" t="n"/>
      <c r="P698" s="285" t="n"/>
      <c r="Q698" s="285" t="n"/>
      <c r="R698" s="284" t="n"/>
      <c r="S698" s="284" t="n"/>
      <c r="T698" s="285" t="n"/>
      <c r="U698" s="285" t="n"/>
      <c r="V698" s="285" t="n"/>
      <c r="W698" s="285" t="n"/>
      <c r="X698" s="285" t="n"/>
      <c r="Y698" s="285" t="n"/>
      <c r="Z698" s="285" t="n"/>
    </row>
    <row r="699" ht="15.75" customHeight="1" s="398">
      <c r="A699" s="284" t="n"/>
      <c r="B699" s="285" t="n"/>
      <c r="C699" s="284" t="n"/>
      <c r="D699" s="285" t="n"/>
      <c r="E699" s="354" t="n"/>
      <c r="F699" s="336" t="n"/>
      <c r="G699" s="336" t="n"/>
      <c r="H699" s="285" t="n"/>
      <c r="I699" s="285" t="n"/>
      <c r="J699" s="285" t="n"/>
      <c r="K699" s="285" t="n"/>
      <c r="L699" s="285" t="n"/>
      <c r="M699" s="285" t="n"/>
      <c r="N699" s="285" t="n"/>
      <c r="O699" s="285" t="n"/>
      <c r="P699" s="285" t="n"/>
      <c r="Q699" s="285" t="n"/>
      <c r="R699" s="284" t="n"/>
      <c r="S699" s="284" t="n"/>
      <c r="T699" s="285" t="n"/>
      <c r="U699" s="285" t="n"/>
      <c r="V699" s="285" t="n"/>
      <c r="W699" s="285" t="n"/>
      <c r="X699" s="285" t="n"/>
      <c r="Y699" s="285" t="n"/>
      <c r="Z699" s="285" t="n"/>
    </row>
    <row r="700" ht="15.75" customHeight="1" s="398">
      <c r="A700" s="284" t="n"/>
      <c r="B700" s="285" t="n"/>
      <c r="C700" s="284" t="n"/>
      <c r="D700" s="285" t="n"/>
      <c r="E700" s="354" t="n"/>
      <c r="F700" s="336" t="n"/>
      <c r="G700" s="336" t="n"/>
      <c r="H700" s="285" t="n"/>
      <c r="I700" s="285" t="n"/>
      <c r="J700" s="285" t="n"/>
      <c r="K700" s="285" t="n"/>
      <c r="L700" s="285" t="n"/>
      <c r="M700" s="285" t="n"/>
      <c r="N700" s="285" t="n"/>
      <c r="O700" s="285" t="n"/>
      <c r="P700" s="285" t="n"/>
      <c r="Q700" s="285" t="n"/>
      <c r="R700" s="284" t="n"/>
      <c r="S700" s="284" t="n"/>
      <c r="T700" s="285" t="n"/>
      <c r="U700" s="285" t="n"/>
      <c r="V700" s="285" t="n"/>
      <c r="W700" s="285" t="n"/>
      <c r="X700" s="285" t="n"/>
      <c r="Y700" s="285" t="n"/>
      <c r="Z700" s="285" t="n"/>
    </row>
    <row r="701" ht="15.75" customHeight="1" s="398">
      <c r="A701" s="284" t="n"/>
      <c r="B701" s="285" t="n"/>
      <c r="C701" s="284" t="n"/>
      <c r="D701" s="285" t="n"/>
      <c r="E701" s="354" t="n"/>
      <c r="F701" s="336" t="n"/>
      <c r="G701" s="336" t="n"/>
      <c r="H701" s="285" t="n"/>
      <c r="I701" s="285" t="n"/>
      <c r="J701" s="285" t="n"/>
      <c r="K701" s="285" t="n"/>
      <c r="L701" s="285" t="n"/>
      <c r="M701" s="285" t="n"/>
      <c r="N701" s="285" t="n"/>
      <c r="O701" s="285" t="n"/>
      <c r="P701" s="285" t="n"/>
      <c r="Q701" s="285" t="n"/>
      <c r="R701" s="284" t="n"/>
      <c r="S701" s="284" t="n"/>
      <c r="T701" s="285" t="n"/>
      <c r="U701" s="285" t="n"/>
      <c r="V701" s="285" t="n"/>
      <c r="W701" s="285" t="n"/>
      <c r="X701" s="285" t="n"/>
      <c r="Y701" s="285" t="n"/>
      <c r="Z701" s="285" t="n"/>
    </row>
    <row r="702" ht="15.75" customHeight="1" s="398">
      <c r="A702" s="284" t="n"/>
      <c r="B702" s="285" t="n"/>
      <c r="C702" s="284" t="n"/>
      <c r="D702" s="285" t="n"/>
      <c r="E702" s="354" t="n"/>
      <c r="F702" s="336" t="n"/>
      <c r="G702" s="336" t="n"/>
      <c r="H702" s="285" t="n"/>
      <c r="I702" s="285" t="n"/>
      <c r="J702" s="285" t="n"/>
      <c r="K702" s="285" t="n"/>
      <c r="L702" s="285" t="n"/>
      <c r="M702" s="285" t="n"/>
      <c r="N702" s="285" t="n"/>
      <c r="O702" s="285" t="n"/>
      <c r="P702" s="285" t="n"/>
      <c r="Q702" s="285" t="n"/>
      <c r="R702" s="284" t="n"/>
      <c r="S702" s="284" t="n"/>
      <c r="T702" s="285" t="n"/>
      <c r="U702" s="285" t="n"/>
      <c r="V702" s="285" t="n"/>
      <c r="W702" s="285" t="n"/>
      <c r="X702" s="285" t="n"/>
      <c r="Y702" s="285" t="n"/>
      <c r="Z702" s="285" t="n"/>
    </row>
    <row r="703" ht="15.75" customHeight="1" s="398">
      <c r="A703" s="284" t="n"/>
      <c r="B703" s="285" t="n"/>
      <c r="C703" s="284" t="n"/>
      <c r="D703" s="285" t="n"/>
      <c r="E703" s="354" t="n"/>
      <c r="F703" s="336" t="n"/>
      <c r="G703" s="336" t="n"/>
      <c r="H703" s="285" t="n"/>
      <c r="I703" s="285" t="n"/>
      <c r="J703" s="285" t="n"/>
      <c r="K703" s="285" t="n"/>
      <c r="L703" s="285" t="n"/>
      <c r="M703" s="285" t="n"/>
      <c r="N703" s="285" t="n"/>
      <c r="O703" s="285" t="n"/>
      <c r="P703" s="285" t="n"/>
      <c r="Q703" s="285" t="n"/>
      <c r="R703" s="284" t="n"/>
      <c r="S703" s="284" t="n"/>
      <c r="T703" s="285" t="n"/>
      <c r="U703" s="285" t="n"/>
      <c r="V703" s="285" t="n"/>
      <c r="W703" s="285" t="n"/>
      <c r="X703" s="285" t="n"/>
      <c r="Y703" s="285" t="n"/>
      <c r="Z703" s="285" t="n"/>
    </row>
    <row r="704" ht="15.75" customHeight="1" s="398">
      <c r="A704" s="284" t="n"/>
      <c r="B704" s="285" t="n"/>
      <c r="C704" s="284" t="n"/>
      <c r="D704" s="285" t="n"/>
      <c r="E704" s="354" t="n"/>
      <c r="F704" s="336" t="n"/>
      <c r="G704" s="336" t="n"/>
      <c r="H704" s="285" t="n"/>
      <c r="I704" s="285" t="n"/>
      <c r="J704" s="285" t="n"/>
      <c r="K704" s="285" t="n"/>
      <c r="L704" s="285" t="n"/>
      <c r="M704" s="285" t="n"/>
      <c r="N704" s="285" t="n"/>
      <c r="O704" s="285" t="n"/>
      <c r="P704" s="285" t="n"/>
      <c r="Q704" s="285" t="n"/>
      <c r="R704" s="284" t="n"/>
      <c r="S704" s="284" t="n"/>
      <c r="T704" s="285" t="n"/>
      <c r="U704" s="285" t="n"/>
      <c r="V704" s="285" t="n"/>
      <c r="W704" s="285" t="n"/>
      <c r="X704" s="285" t="n"/>
      <c r="Y704" s="285" t="n"/>
      <c r="Z704" s="285" t="n"/>
    </row>
    <row r="705" ht="15.75" customHeight="1" s="398">
      <c r="A705" s="284" t="n"/>
      <c r="B705" s="285" t="n"/>
      <c r="C705" s="284" t="n"/>
      <c r="D705" s="285" t="n"/>
      <c r="E705" s="354" t="n"/>
      <c r="F705" s="336" t="n"/>
      <c r="G705" s="336" t="n"/>
      <c r="H705" s="285" t="n"/>
      <c r="I705" s="285" t="n"/>
      <c r="J705" s="285" t="n"/>
      <c r="K705" s="285" t="n"/>
      <c r="L705" s="285" t="n"/>
      <c r="M705" s="285" t="n"/>
      <c r="N705" s="285" t="n"/>
      <c r="O705" s="285" t="n"/>
      <c r="P705" s="285" t="n"/>
      <c r="Q705" s="285" t="n"/>
      <c r="R705" s="284" t="n"/>
      <c r="S705" s="284" t="n"/>
      <c r="T705" s="285" t="n"/>
      <c r="U705" s="285" t="n"/>
      <c r="V705" s="285" t="n"/>
      <c r="W705" s="285" t="n"/>
      <c r="X705" s="285" t="n"/>
      <c r="Y705" s="285" t="n"/>
      <c r="Z705" s="285" t="n"/>
    </row>
    <row r="706" ht="15.75" customHeight="1" s="398">
      <c r="A706" s="284" t="n"/>
      <c r="B706" s="285" t="n"/>
      <c r="C706" s="284" t="n"/>
      <c r="D706" s="285" t="n"/>
      <c r="E706" s="354" t="n"/>
      <c r="F706" s="336" t="n"/>
      <c r="G706" s="336" t="n"/>
      <c r="H706" s="285" t="n"/>
      <c r="I706" s="285" t="n"/>
      <c r="J706" s="285" t="n"/>
      <c r="K706" s="285" t="n"/>
      <c r="L706" s="285" t="n"/>
      <c r="M706" s="285" t="n"/>
      <c r="N706" s="285" t="n"/>
      <c r="O706" s="285" t="n"/>
      <c r="P706" s="285" t="n"/>
      <c r="Q706" s="285" t="n"/>
      <c r="R706" s="284" t="n"/>
      <c r="S706" s="284" t="n"/>
      <c r="T706" s="285" t="n"/>
      <c r="U706" s="285" t="n"/>
      <c r="V706" s="285" t="n"/>
      <c r="W706" s="285" t="n"/>
      <c r="X706" s="285" t="n"/>
      <c r="Y706" s="285" t="n"/>
      <c r="Z706" s="285" t="n"/>
    </row>
    <row r="707" ht="15.75" customHeight="1" s="398">
      <c r="A707" s="284" t="n"/>
      <c r="B707" s="285" t="n"/>
      <c r="C707" s="284" t="n"/>
      <c r="D707" s="285" t="n"/>
      <c r="E707" s="354" t="n"/>
      <c r="F707" s="336" t="n"/>
      <c r="G707" s="336" t="n"/>
      <c r="H707" s="285" t="n"/>
      <c r="I707" s="285" t="n"/>
      <c r="J707" s="285" t="n"/>
      <c r="K707" s="285" t="n"/>
      <c r="L707" s="285" t="n"/>
      <c r="M707" s="285" t="n"/>
      <c r="N707" s="285" t="n"/>
      <c r="O707" s="285" t="n"/>
      <c r="P707" s="285" t="n"/>
      <c r="Q707" s="285" t="n"/>
      <c r="R707" s="284" t="n"/>
      <c r="S707" s="284" t="n"/>
      <c r="T707" s="285" t="n"/>
      <c r="U707" s="285" t="n"/>
      <c r="V707" s="285" t="n"/>
      <c r="W707" s="285" t="n"/>
      <c r="X707" s="285" t="n"/>
      <c r="Y707" s="285" t="n"/>
      <c r="Z707" s="285" t="n"/>
    </row>
    <row r="708" ht="15.75" customHeight="1" s="398">
      <c r="A708" s="284" t="n"/>
      <c r="B708" s="285" t="n"/>
      <c r="C708" s="284" t="n"/>
      <c r="D708" s="285" t="n"/>
      <c r="E708" s="354" t="n"/>
      <c r="F708" s="336" t="n"/>
      <c r="G708" s="336" t="n"/>
      <c r="H708" s="285" t="n"/>
      <c r="I708" s="285" t="n"/>
      <c r="J708" s="285" t="n"/>
      <c r="K708" s="285" t="n"/>
      <c r="L708" s="285" t="n"/>
      <c r="M708" s="285" t="n"/>
      <c r="N708" s="285" t="n"/>
      <c r="O708" s="285" t="n"/>
      <c r="P708" s="285" t="n"/>
      <c r="Q708" s="285" t="n"/>
      <c r="R708" s="284" t="n"/>
      <c r="S708" s="284" t="n"/>
      <c r="T708" s="285" t="n"/>
      <c r="U708" s="285" t="n"/>
      <c r="V708" s="285" t="n"/>
      <c r="W708" s="285" t="n"/>
      <c r="X708" s="285" t="n"/>
      <c r="Y708" s="285" t="n"/>
      <c r="Z708" s="285" t="n"/>
    </row>
    <row r="709" ht="15.75" customHeight="1" s="398">
      <c r="A709" s="284" t="n"/>
      <c r="B709" s="285" t="n"/>
      <c r="C709" s="284" t="n"/>
      <c r="D709" s="285" t="n"/>
      <c r="E709" s="354" t="n"/>
      <c r="F709" s="336" t="n"/>
      <c r="G709" s="336" t="n"/>
      <c r="H709" s="285" t="n"/>
      <c r="I709" s="285" t="n"/>
      <c r="J709" s="285" t="n"/>
      <c r="K709" s="285" t="n"/>
      <c r="L709" s="285" t="n"/>
      <c r="M709" s="285" t="n"/>
      <c r="N709" s="285" t="n"/>
      <c r="O709" s="285" t="n"/>
      <c r="P709" s="285" t="n"/>
      <c r="Q709" s="285" t="n"/>
      <c r="R709" s="284" t="n"/>
      <c r="S709" s="284" t="n"/>
      <c r="T709" s="285" t="n"/>
      <c r="U709" s="285" t="n"/>
      <c r="V709" s="285" t="n"/>
      <c r="W709" s="285" t="n"/>
      <c r="X709" s="285" t="n"/>
      <c r="Y709" s="285" t="n"/>
      <c r="Z709" s="285" t="n"/>
    </row>
    <row r="710" ht="15.75" customHeight="1" s="398">
      <c r="A710" s="284" t="n"/>
      <c r="B710" s="285" t="n"/>
      <c r="C710" s="284" t="n"/>
      <c r="D710" s="285" t="n"/>
      <c r="E710" s="354" t="n"/>
      <c r="F710" s="336" t="n"/>
      <c r="G710" s="336" t="n"/>
      <c r="H710" s="285" t="n"/>
      <c r="I710" s="285" t="n"/>
      <c r="J710" s="285" t="n"/>
      <c r="K710" s="285" t="n"/>
      <c r="L710" s="285" t="n"/>
      <c r="M710" s="285" t="n"/>
      <c r="N710" s="285" t="n"/>
      <c r="O710" s="285" t="n"/>
      <c r="P710" s="285" t="n"/>
      <c r="Q710" s="285" t="n"/>
      <c r="R710" s="284" t="n"/>
      <c r="S710" s="284" t="n"/>
      <c r="T710" s="285" t="n"/>
      <c r="U710" s="285" t="n"/>
      <c r="V710" s="285" t="n"/>
      <c r="W710" s="285" t="n"/>
      <c r="X710" s="285" t="n"/>
      <c r="Y710" s="285" t="n"/>
      <c r="Z710" s="285" t="n"/>
    </row>
    <row r="711" ht="15.75" customHeight="1" s="398">
      <c r="A711" s="284" t="n"/>
      <c r="B711" s="285" t="n"/>
      <c r="C711" s="284" t="n"/>
      <c r="D711" s="285" t="n"/>
      <c r="E711" s="354" t="n"/>
      <c r="F711" s="336" t="n"/>
      <c r="G711" s="336" t="n"/>
      <c r="H711" s="285" t="n"/>
      <c r="I711" s="285" t="n"/>
      <c r="J711" s="285" t="n"/>
      <c r="K711" s="285" t="n"/>
      <c r="L711" s="285" t="n"/>
      <c r="M711" s="285" t="n"/>
      <c r="N711" s="285" t="n"/>
      <c r="O711" s="285" t="n"/>
      <c r="P711" s="285" t="n"/>
      <c r="Q711" s="285" t="n"/>
      <c r="R711" s="284" t="n"/>
      <c r="S711" s="284" t="n"/>
      <c r="T711" s="285" t="n"/>
      <c r="U711" s="285" t="n"/>
      <c r="V711" s="285" t="n"/>
      <c r="W711" s="285" t="n"/>
      <c r="X711" s="285" t="n"/>
      <c r="Y711" s="285" t="n"/>
      <c r="Z711" s="285" t="n"/>
    </row>
    <row r="712" ht="15.75" customHeight="1" s="398">
      <c r="A712" s="284" t="n"/>
      <c r="B712" s="285" t="n"/>
      <c r="C712" s="284" t="n"/>
      <c r="D712" s="285" t="n"/>
      <c r="E712" s="354" t="n"/>
      <c r="F712" s="336" t="n"/>
      <c r="G712" s="336" t="n"/>
      <c r="H712" s="285" t="n"/>
      <c r="I712" s="285" t="n"/>
      <c r="J712" s="285" t="n"/>
      <c r="K712" s="285" t="n"/>
      <c r="L712" s="285" t="n"/>
      <c r="M712" s="285" t="n"/>
      <c r="N712" s="285" t="n"/>
      <c r="O712" s="285" t="n"/>
      <c r="P712" s="285" t="n"/>
      <c r="Q712" s="285" t="n"/>
      <c r="R712" s="284" t="n"/>
      <c r="S712" s="284" t="n"/>
      <c r="T712" s="285" t="n"/>
      <c r="U712" s="285" t="n"/>
      <c r="V712" s="285" t="n"/>
      <c r="W712" s="285" t="n"/>
      <c r="X712" s="285" t="n"/>
      <c r="Y712" s="285" t="n"/>
      <c r="Z712" s="285" t="n"/>
    </row>
    <row r="713" ht="15.75" customHeight="1" s="398">
      <c r="A713" s="284" t="n"/>
      <c r="B713" s="285" t="n"/>
      <c r="C713" s="284" t="n"/>
      <c r="D713" s="285" t="n"/>
      <c r="E713" s="354" t="n"/>
      <c r="F713" s="336" t="n"/>
      <c r="G713" s="336" t="n"/>
      <c r="H713" s="285" t="n"/>
      <c r="I713" s="285" t="n"/>
      <c r="J713" s="285" t="n"/>
      <c r="K713" s="285" t="n"/>
      <c r="L713" s="285" t="n"/>
      <c r="M713" s="285" t="n"/>
      <c r="N713" s="285" t="n"/>
      <c r="O713" s="285" t="n"/>
      <c r="P713" s="285" t="n"/>
      <c r="Q713" s="285" t="n"/>
      <c r="R713" s="284" t="n"/>
      <c r="S713" s="284" t="n"/>
      <c r="T713" s="285" t="n"/>
      <c r="U713" s="285" t="n"/>
      <c r="V713" s="285" t="n"/>
      <c r="W713" s="285" t="n"/>
      <c r="X713" s="285" t="n"/>
      <c r="Y713" s="285" t="n"/>
      <c r="Z713" s="285" t="n"/>
    </row>
    <row r="714" ht="15.75" customHeight="1" s="398">
      <c r="A714" s="284" t="n"/>
      <c r="B714" s="285" t="n"/>
      <c r="C714" s="284" t="n"/>
      <c r="D714" s="285" t="n"/>
      <c r="E714" s="354" t="n"/>
      <c r="F714" s="336" t="n"/>
      <c r="G714" s="336" t="n"/>
      <c r="H714" s="285" t="n"/>
      <c r="I714" s="285" t="n"/>
      <c r="J714" s="285" t="n"/>
      <c r="K714" s="285" t="n"/>
      <c r="L714" s="285" t="n"/>
      <c r="M714" s="285" t="n"/>
      <c r="N714" s="285" t="n"/>
      <c r="O714" s="285" t="n"/>
      <c r="P714" s="285" t="n"/>
      <c r="Q714" s="285" t="n"/>
      <c r="R714" s="284" t="n"/>
      <c r="S714" s="284" t="n"/>
      <c r="T714" s="285" t="n"/>
      <c r="U714" s="285" t="n"/>
      <c r="V714" s="285" t="n"/>
      <c r="W714" s="285" t="n"/>
      <c r="X714" s="285" t="n"/>
      <c r="Y714" s="285" t="n"/>
      <c r="Z714" s="285" t="n"/>
    </row>
    <row r="715" ht="15.75" customHeight="1" s="398">
      <c r="A715" s="284" t="n"/>
      <c r="B715" s="285" t="n"/>
      <c r="C715" s="284" t="n"/>
      <c r="D715" s="285" t="n"/>
      <c r="E715" s="354" t="n"/>
      <c r="F715" s="336" t="n"/>
      <c r="G715" s="336" t="n"/>
      <c r="H715" s="285" t="n"/>
      <c r="I715" s="285" t="n"/>
      <c r="J715" s="285" t="n"/>
      <c r="K715" s="285" t="n"/>
      <c r="L715" s="285" t="n"/>
      <c r="M715" s="285" t="n"/>
      <c r="N715" s="285" t="n"/>
      <c r="O715" s="285" t="n"/>
      <c r="P715" s="285" t="n"/>
      <c r="Q715" s="285" t="n"/>
      <c r="R715" s="284" t="n"/>
      <c r="S715" s="284" t="n"/>
      <c r="T715" s="285" t="n"/>
      <c r="U715" s="285" t="n"/>
      <c r="V715" s="285" t="n"/>
      <c r="W715" s="285" t="n"/>
      <c r="X715" s="285" t="n"/>
      <c r="Y715" s="285" t="n"/>
      <c r="Z715" s="285" t="n"/>
    </row>
    <row r="716" ht="15.75" customHeight="1" s="398">
      <c r="A716" s="284" t="n"/>
      <c r="B716" s="285" t="n"/>
      <c r="C716" s="284" t="n"/>
      <c r="D716" s="285" t="n"/>
      <c r="E716" s="354" t="n"/>
      <c r="F716" s="336" t="n"/>
      <c r="G716" s="336" t="n"/>
      <c r="H716" s="285" t="n"/>
      <c r="I716" s="285" t="n"/>
      <c r="J716" s="285" t="n"/>
      <c r="K716" s="285" t="n"/>
      <c r="L716" s="285" t="n"/>
      <c r="M716" s="285" t="n"/>
      <c r="N716" s="285" t="n"/>
      <c r="O716" s="285" t="n"/>
      <c r="P716" s="285" t="n"/>
      <c r="Q716" s="285" t="n"/>
      <c r="R716" s="284" t="n"/>
      <c r="S716" s="284" t="n"/>
      <c r="T716" s="285" t="n"/>
      <c r="U716" s="285" t="n"/>
      <c r="V716" s="285" t="n"/>
      <c r="W716" s="285" t="n"/>
      <c r="X716" s="285" t="n"/>
      <c r="Y716" s="285" t="n"/>
      <c r="Z716" s="285" t="n"/>
    </row>
    <row r="717" ht="15.75" customHeight="1" s="398">
      <c r="A717" s="284" t="n"/>
      <c r="B717" s="285" t="n"/>
      <c r="C717" s="284" t="n"/>
      <c r="D717" s="285" t="n"/>
      <c r="E717" s="354" t="n"/>
      <c r="F717" s="336" t="n"/>
      <c r="G717" s="336" t="n"/>
      <c r="H717" s="285" t="n"/>
      <c r="I717" s="285" t="n"/>
      <c r="J717" s="285" t="n"/>
      <c r="K717" s="285" t="n"/>
      <c r="L717" s="285" t="n"/>
      <c r="M717" s="285" t="n"/>
      <c r="N717" s="285" t="n"/>
      <c r="O717" s="285" t="n"/>
      <c r="P717" s="285" t="n"/>
      <c r="Q717" s="285" t="n"/>
      <c r="R717" s="284" t="n"/>
      <c r="S717" s="284" t="n"/>
      <c r="T717" s="285" t="n"/>
      <c r="U717" s="285" t="n"/>
      <c r="V717" s="285" t="n"/>
      <c r="W717" s="285" t="n"/>
      <c r="X717" s="285" t="n"/>
      <c r="Y717" s="285" t="n"/>
      <c r="Z717" s="285" t="n"/>
    </row>
    <row r="718" ht="15.75" customHeight="1" s="398">
      <c r="A718" s="284" t="n"/>
      <c r="B718" s="285" t="n"/>
      <c r="C718" s="284" t="n"/>
      <c r="D718" s="285" t="n"/>
      <c r="E718" s="354" t="n"/>
      <c r="F718" s="336" t="n"/>
      <c r="G718" s="336" t="n"/>
      <c r="H718" s="285" t="n"/>
      <c r="I718" s="285" t="n"/>
      <c r="J718" s="285" t="n"/>
      <c r="K718" s="285" t="n"/>
      <c r="L718" s="285" t="n"/>
      <c r="M718" s="285" t="n"/>
      <c r="N718" s="285" t="n"/>
      <c r="O718" s="285" t="n"/>
      <c r="P718" s="285" t="n"/>
      <c r="Q718" s="285" t="n"/>
      <c r="R718" s="284" t="n"/>
      <c r="S718" s="284" t="n"/>
      <c r="T718" s="285" t="n"/>
      <c r="U718" s="285" t="n"/>
      <c r="V718" s="285" t="n"/>
      <c r="W718" s="285" t="n"/>
      <c r="X718" s="285" t="n"/>
      <c r="Y718" s="285" t="n"/>
      <c r="Z718" s="285" t="n"/>
    </row>
    <row r="719" ht="15.75" customHeight="1" s="398">
      <c r="A719" s="284" t="n"/>
      <c r="B719" s="285" t="n"/>
      <c r="C719" s="284" t="n"/>
      <c r="D719" s="285" t="n"/>
      <c r="E719" s="354" t="n"/>
      <c r="F719" s="336" t="n"/>
      <c r="G719" s="336" t="n"/>
      <c r="H719" s="285" t="n"/>
      <c r="I719" s="285" t="n"/>
      <c r="J719" s="285" t="n"/>
      <c r="K719" s="285" t="n"/>
      <c r="L719" s="285" t="n"/>
      <c r="M719" s="285" t="n"/>
      <c r="N719" s="285" t="n"/>
      <c r="O719" s="285" t="n"/>
      <c r="P719" s="285" t="n"/>
      <c r="Q719" s="285" t="n"/>
      <c r="R719" s="284" t="n"/>
      <c r="S719" s="284" t="n"/>
      <c r="T719" s="285" t="n"/>
      <c r="U719" s="285" t="n"/>
      <c r="V719" s="285" t="n"/>
      <c r="W719" s="285" t="n"/>
      <c r="X719" s="285" t="n"/>
      <c r="Y719" s="285" t="n"/>
      <c r="Z719" s="285" t="n"/>
    </row>
    <row r="720" ht="15.75" customHeight="1" s="398">
      <c r="A720" s="284" t="n"/>
      <c r="B720" s="285" t="n"/>
      <c r="C720" s="284" t="n"/>
      <c r="D720" s="285" t="n"/>
      <c r="E720" s="354" t="n"/>
      <c r="F720" s="336" t="n"/>
      <c r="G720" s="336" t="n"/>
      <c r="H720" s="285" t="n"/>
      <c r="I720" s="285" t="n"/>
      <c r="J720" s="285" t="n"/>
      <c r="K720" s="285" t="n"/>
      <c r="L720" s="285" t="n"/>
      <c r="M720" s="285" t="n"/>
      <c r="N720" s="285" t="n"/>
      <c r="O720" s="285" t="n"/>
      <c r="P720" s="285" t="n"/>
      <c r="Q720" s="285" t="n"/>
      <c r="R720" s="284" t="n"/>
      <c r="S720" s="284" t="n"/>
      <c r="T720" s="285" t="n"/>
      <c r="U720" s="285" t="n"/>
      <c r="V720" s="285" t="n"/>
      <c r="W720" s="285" t="n"/>
      <c r="X720" s="285" t="n"/>
      <c r="Y720" s="285" t="n"/>
      <c r="Z720" s="285" t="n"/>
    </row>
    <row r="721" ht="15.75" customHeight="1" s="398">
      <c r="A721" s="284" t="n"/>
      <c r="B721" s="285" t="n"/>
      <c r="C721" s="284" t="n"/>
      <c r="D721" s="285" t="n"/>
      <c r="E721" s="354" t="n"/>
      <c r="F721" s="336" t="n"/>
      <c r="G721" s="336" t="n"/>
      <c r="H721" s="285" t="n"/>
      <c r="I721" s="285" t="n"/>
      <c r="J721" s="285" t="n"/>
      <c r="K721" s="285" t="n"/>
      <c r="L721" s="285" t="n"/>
      <c r="M721" s="285" t="n"/>
      <c r="N721" s="285" t="n"/>
      <c r="O721" s="285" t="n"/>
      <c r="P721" s="285" t="n"/>
      <c r="Q721" s="285" t="n"/>
      <c r="R721" s="284" t="n"/>
      <c r="S721" s="284" t="n"/>
      <c r="T721" s="285" t="n"/>
      <c r="U721" s="285" t="n"/>
      <c r="V721" s="285" t="n"/>
      <c r="W721" s="285" t="n"/>
      <c r="X721" s="285" t="n"/>
      <c r="Y721" s="285" t="n"/>
      <c r="Z721" s="285" t="n"/>
    </row>
    <row r="722" ht="15.75" customHeight="1" s="398">
      <c r="A722" s="284" t="n"/>
      <c r="B722" s="285" t="n"/>
      <c r="C722" s="284" t="n"/>
      <c r="D722" s="285" t="n"/>
      <c r="E722" s="354" t="n"/>
      <c r="F722" s="336" t="n"/>
      <c r="G722" s="336" t="n"/>
      <c r="H722" s="285" t="n"/>
      <c r="I722" s="285" t="n"/>
      <c r="J722" s="285" t="n"/>
      <c r="K722" s="285" t="n"/>
      <c r="L722" s="285" t="n"/>
      <c r="M722" s="285" t="n"/>
      <c r="N722" s="285" t="n"/>
      <c r="O722" s="285" t="n"/>
      <c r="P722" s="285" t="n"/>
      <c r="Q722" s="285" t="n"/>
      <c r="R722" s="284" t="n"/>
      <c r="S722" s="284" t="n"/>
      <c r="T722" s="285" t="n"/>
      <c r="U722" s="285" t="n"/>
      <c r="V722" s="285" t="n"/>
      <c r="W722" s="285" t="n"/>
      <c r="X722" s="285" t="n"/>
      <c r="Y722" s="285" t="n"/>
      <c r="Z722" s="285" t="n"/>
    </row>
    <row r="723" ht="15.75" customHeight="1" s="398">
      <c r="A723" s="284" t="n"/>
      <c r="B723" s="285" t="n"/>
      <c r="C723" s="284" t="n"/>
      <c r="D723" s="285" t="n"/>
      <c r="E723" s="354" t="n"/>
      <c r="F723" s="336" t="n"/>
      <c r="G723" s="336" t="n"/>
      <c r="H723" s="285" t="n"/>
      <c r="I723" s="285" t="n"/>
      <c r="J723" s="285" t="n"/>
      <c r="K723" s="285" t="n"/>
      <c r="L723" s="285" t="n"/>
      <c r="M723" s="285" t="n"/>
      <c r="N723" s="285" t="n"/>
      <c r="O723" s="285" t="n"/>
      <c r="P723" s="285" t="n"/>
      <c r="Q723" s="285" t="n"/>
      <c r="R723" s="284" t="n"/>
      <c r="S723" s="284" t="n"/>
      <c r="T723" s="285" t="n"/>
      <c r="U723" s="285" t="n"/>
      <c r="V723" s="285" t="n"/>
      <c r="W723" s="285" t="n"/>
      <c r="X723" s="285" t="n"/>
      <c r="Y723" s="285" t="n"/>
      <c r="Z723" s="285" t="n"/>
    </row>
    <row r="724" ht="15.75" customHeight="1" s="398">
      <c r="A724" s="284" t="n"/>
      <c r="B724" s="285" t="n"/>
      <c r="C724" s="284" t="n"/>
      <c r="D724" s="285" t="n"/>
      <c r="E724" s="354" t="n"/>
      <c r="F724" s="336" t="n"/>
      <c r="G724" s="336" t="n"/>
      <c r="H724" s="285" t="n"/>
      <c r="I724" s="285" t="n"/>
      <c r="J724" s="285" t="n"/>
      <c r="K724" s="285" t="n"/>
      <c r="L724" s="285" t="n"/>
      <c r="M724" s="285" t="n"/>
      <c r="N724" s="285" t="n"/>
      <c r="O724" s="285" t="n"/>
      <c r="P724" s="285" t="n"/>
      <c r="Q724" s="285" t="n"/>
      <c r="R724" s="284" t="n"/>
      <c r="S724" s="284" t="n"/>
      <c r="T724" s="285" t="n"/>
      <c r="U724" s="285" t="n"/>
      <c r="V724" s="285" t="n"/>
      <c r="W724" s="285" t="n"/>
      <c r="X724" s="285" t="n"/>
      <c r="Y724" s="285" t="n"/>
      <c r="Z724" s="285" t="n"/>
    </row>
    <row r="725" ht="15.75" customHeight="1" s="398">
      <c r="A725" s="284" t="n"/>
      <c r="B725" s="285" t="n"/>
      <c r="C725" s="284" t="n"/>
      <c r="D725" s="285" t="n"/>
      <c r="E725" s="354" t="n"/>
      <c r="F725" s="336" t="n"/>
      <c r="G725" s="336" t="n"/>
      <c r="H725" s="285" t="n"/>
      <c r="I725" s="285" t="n"/>
      <c r="J725" s="285" t="n"/>
      <c r="K725" s="285" t="n"/>
      <c r="L725" s="285" t="n"/>
      <c r="M725" s="285" t="n"/>
      <c r="N725" s="285" t="n"/>
      <c r="O725" s="285" t="n"/>
      <c r="P725" s="285" t="n"/>
      <c r="Q725" s="285" t="n"/>
      <c r="R725" s="284" t="n"/>
      <c r="S725" s="284" t="n"/>
      <c r="T725" s="285" t="n"/>
      <c r="U725" s="285" t="n"/>
      <c r="V725" s="285" t="n"/>
      <c r="W725" s="285" t="n"/>
      <c r="X725" s="285" t="n"/>
      <c r="Y725" s="285" t="n"/>
      <c r="Z725" s="285" t="n"/>
    </row>
    <row r="726" ht="15.75" customHeight="1" s="398">
      <c r="A726" s="284" t="n"/>
      <c r="B726" s="285" t="n"/>
      <c r="C726" s="284" t="n"/>
      <c r="D726" s="285" t="n"/>
      <c r="E726" s="354" t="n"/>
      <c r="F726" s="336" t="n"/>
      <c r="G726" s="336" t="n"/>
      <c r="H726" s="285" t="n"/>
      <c r="I726" s="285" t="n"/>
      <c r="J726" s="285" t="n"/>
      <c r="K726" s="285" t="n"/>
      <c r="L726" s="285" t="n"/>
      <c r="M726" s="285" t="n"/>
      <c r="N726" s="285" t="n"/>
      <c r="O726" s="285" t="n"/>
      <c r="P726" s="285" t="n"/>
      <c r="Q726" s="285" t="n"/>
      <c r="R726" s="284" t="n"/>
      <c r="S726" s="284" t="n"/>
      <c r="T726" s="285" t="n"/>
      <c r="U726" s="285" t="n"/>
      <c r="V726" s="285" t="n"/>
      <c r="W726" s="285" t="n"/>
      <c r="X726" s="285" t="n"/>
      <c r="Y726" s="285" t="n"/>
      <c r="Z726" s="285" t="n"/>
    </row>
    <row r="727" ht="15.75" customHeight="1" s="398">
      <c r="A727" s="284" t="n"/>
      <c r="B727" s="285" t="n"/>
      <c r="C727" s="284" t="n"/>
      <c r="D727" s="285" t="n"/>
      <c r="E727" s="354" t="n"/>
      <c r="F727" s="336" t="n"/>
      <c r="G727" s="336" t="n"/>
      <c r="H727" s="285" t="n"/>
      <c r="I727" s="285" t="n"/>
      <c r="J727" s="285" t="n"/>
      <c r="K727" s="285" t="n"/>
      <c r="L727" s="285" t="n"/>
      <c r="M727" s="285" t="n"/>
      <c r="N727" s="285" t="n"/>
      <c r="O727" s="285" t="n"/>
      <c r="P727" s="285" t="n"/>
      <c r="Q727" s="285" t="n"/>
      <c r="R727" s="284" t="n"/>
      <c r="S727" s="284" t="n"/>
      <c r="T727" s="285" t="n"/>
      <c r="U727" s="285" t="n"/>
      <c r="V727" s="285" t="n"/>
      <c r="W727" s="285" t="n"/>
      <c r="X727" s="285" t="n"/>
      <c r="Y727" s="285" t="n"/>
      <c r="Z727" s="285" t="n"/>
    </row>
    <row r="728" ht="15.75" customHeight="1" s="398">
      <c r="A728" s="284" t="n"/>
      <c r="B728" s="285" t="n"/>
      <c r="C728" s="284" t="n"/>
      <c r="D728" s="285" t="n"/>
      <c r="E728" s="354" t="n"/>
      <c r="F728" s="336" t="n"/>
      <c r="G728" s="336" t="n"/>
      <c r="H728" s="285" t="n"/>
      <c r="I728" s="285" t="n"/>
      <c r="J728" s="285" t="n"/>
      <c r="K728" s="285" t="n"/>
      <c r="L728" s="285" t="n"/>
      <c r="M728" s="285" t="n"/>
      <c r="N728" s="285" t="n"/>
      <c r="O728" s="285" t="n"/>
      <c r="P728" s="285" t="n"/>
      <c r="Q728" s="285" t="n"/>
      <c r="R728" s="284" t="n"/>
      <c r="S728" s="284" t="n"/>
      <c r="T728" s="285" t="n"/>
      <c r="U728" s="285" t="n"/>
      <c r="V728" s="285" t="n"/>
      <c r="W728" s="285" t="n"/>
      <c r="X728" s="285" t="n"/>
      <c r="Y728" s="285" t="n"/>
      <c r="Z728" s="285" t="n"/>
    </row>
    <row r="729" ht="15.75" customHeight="1" s="398">
      <c r="A729" s="284" t="n"/>
      <c r="B729" s="285" t="n"/>
      <c r="C729" s="284" t="n"/>
      <c r="D729" s="285" t="n"/>
      <c r="E729" s="354" t="n"/>
      <c r="F729" s="336" t="n"/>
      <c r="G729" s="336" t="n"/>
      <c r="H729" s="285" t="n"/>
      <c r="I729" s="285" t="n"/>
      <c r="J729" s="285" t="n"/>
      <c r="K729" s="285" t="n"/>
      <c r="L729" s="285" t="n"/>
      <c r="M729" s="285" t="n"/>
      <c r="N729" s="285" t="n"/>
      <c r="O729" s="285" t="n"/>
      <c r="P729" s="285" t="n"/>
      <c r="Q729" s="285" t="n"/>
      <c r="R729" s="284" t="n"/>
      <c r="S729" s="284" t="n"/>
      <c r="T729" s="285" t="n"/>
      <c r="U729" s="285" t="n"/>
      <c r="V729" s="285" t="n"/>
      <c r="W729" s="285" t="n"/>
      <c r="X729" s="285" t="n"/>
      <c r="Y729" s="285" t="n"/>
      <c r="Z729" s="285" t="n"/>
    </row>
    <row r="730" ht="15.75" customHeight="1" s="398">
      <c r="A730" s="284" t="n"/>
      <c r="B730" s="285" t="n"/>
      <c r="C730" s="284" t="n"/>
      <c r="D730" s="285" t="n"/>
      <c r="E730" s="354" t="n"/>
      <c r="F730" s="336" t="n"/>
      <c r="G730" s="336" t="n"/>
      <c r="H730" s="285" t="n"/>
      <c r="I730" s="285" t="n"/>
      <c r="J730" s="285" t="n"/>
      <c r="K730" s="285" t="n"/>
      <c r="L730" s="285" t="n"/>
      <c r="M730" s="285" t="n"/>
      <c r="N730" s="285" t="n"/>
      <c r="O730" s="285" t="n"/>
      <c r="P730" s="285" t="n"/>
      <c r="Q730" s="285" t="n"/>
      <c r="R730" s="284" t="n"/>
      <c r="S730" s="284" t="n"/>
      <c r="T730" s="285" t="n"/>
      <c r="U730" s="285" t="n"/>
      <c r="V730" s="285" t="n"/>
      <c r="W730" s="285" t="n"/>
      <c r="X730" s="285" t="n"/>
      <c r="Y730" s="285" t="n"/>
      <c r="Z730" s="285" t="n"/>
    </row>
    <row r="731" ht="15.75" customHeight="1" s="398">
      <c r="A731" s="284" t="n"/>
      <c r="B731" s="285" t="n"/>
      <c r="C731" s="284" t="n"/>
      <c r="D731" s="285" t="n"/>
      <c r="E731" s="354" t="n"/>
      <c r="F731" s="336" t="n"/>
      <c r="G731" s="336" t="n"/>
      <c r="H731" s="285" t="n"/>
      <c r="I731" s="285" t="n"/>
      <c r="J731" s="285" t="n"/>
      <c r="K731" s="285" t="n"/>
      <c r="L731" s="285" t="n"/>
      <c r="M731" s="285" t="n"/>
      <c r="N731" s="285" t="n"/>
      <c r="O731" s="285" t="n"/>
      <c r="P731" s="285" t="n"/>
      <c r="Q731" s="285" t="n"/>
      <c r="R731" s="284" t="n"/>
      <c r="S731" s="284" t="n"/>
      <c r="T731" s="285" t="n"/>
      <c r="U731" s="285" t="n"/>
      <c r="V731" s="285" t="n"/>
      <c r="W731" s="285" t="n"/>
      <c r="X731" s="285" t="n"/>
      <c r="Y731" s="285" t="n"/>
      <c r="Z731" s="285" t="n"/>
    </row>
    <row r="732" ht="15.75" customHeight="1" s="398">
      <c r="A732" s="284" t="n"/>
      <c r="B732" s="285" t="n"/>
      <c r="C732" s="284" t="n"/>
      <c r="D732" s="285" t="n"/>
      <c r="E732" s="354" t="n"/>
      <c r="F732" s="336" t="n"/>
      <c r="G732" s="336" t="n"/>
      <c r="H732" s="285" t="n"/>
      <c r="I732" s="285" t="n"/>
      <c r="J732" s="285" t="n"/>
      <c r="K732" s="285" t="n"/>
      <c r="L732" s="285" t="n"/>
      <c r="M732" s="285" t="n"/>
      <c r="N732" s="285" t="n"/>
      <c r="O732" s="285" t="n"/>
      <c r="P732" s="285" t="n"/>
      <c r="Q732" s="285" t="n"/>
      <c r="R732" s="284" t="n"/>
      <c r="S732" s="284" t="n"/>
      <c r="T732" s="285" t="n"/>
      <c r="U732" s="285" t="n"/>
      <c r="V732" s="285" t="n"/>
      <c r="W732" s="285" t="n"/>
      <c r="X732" s="285" t="n"/>
      <c r="Y732" s="285" t="n"/>
      <c r="Z732" s="285" t="n"/>
    </row>
    <row r="733" ht="15.75" customHeight="1" s="398">
      <c r="A733" s="284" t="n"/>
      <c r="B733" s="285" t="n"/>
      <c r="C733" s="284" t="n"/>
      <c r="D733" s="285" t="n"/>
      <c r="E733" s="354" t="n"/>
      <c r="F733" s="336" t="n"/>
      <c r="G733" s="336" t="n"/>
      <c r="H733" s="285" t="n"/>
      <c r="I733" s="285" t="n"/>
      <c r="J733" s="285" t="n"/>
      <c r="K733" s="285" t="n"/>
      <c r="L733" s="285" t="n"/>
      <c r="M733" s="285" t="n"/>
      <c r="N733" s="285" t="n"/>
      <c r="O733" s="285" t="n"/>
      <c r="P733" s="285" t="n"/>
      <c r="Q733" s="285" t="n"/>
      <c r="R733" s="284" t="n"/>
      <c r="S733" s="284" t="n"/>
      <c r="T733" s="285" t="n"/>
      <c r="U733" s="285" t="n"/>
      <c r="V733" s="285" t="n"/>
      <c r="W733" s="285" t="n"/>
      <c r="X733" s="285" t="n"/>
      <c r="Y733" s="285" t="n"/>
      <c r="Z733" s="285" t="n"/>
    </row>
    <row r="734" ht="15.75" customHeight="1" s="398">
      <c r="A734" s="284" t="n"/>
      <c r="B734" s="285" t="n"/>
      <c r="C734" s="284" t="n"/>
      <c r="D734" s="285" t="n"/>
      <c r="E734" s="354" t="n"/>
      <c r="F734" s="336" t="n"/>
      <c r="G734" s="336" t="n"/>
      <c r="H734" s="285" t="n"/>
      <c r="I734" s="285" t="n"/>
      <c r="J734" s="285" t="n"/>
      <c r="K734" s="285" t="n"/>
      <c r="L734" s="285" t="n"/>
      <c r="M734" s="285" t="n"/>
      <c r="N734" s="285" t="n"/>
      <c r="O734" s="285" t="n"/>
      <c r="P734" s="285" t="n"/>
      <c r="Q734" s="285" t="n"/>
      <c r="R734" s="284" t="n"/>
      <c r="S734" s="284" t="n"/>
      <c r="T734" s="285" t="n"/>
      <c r="U734" s="285" t="n"/>
      <c r="V734" s="285" t="n"/>
      <c r="W734" s="285" t="n"/>
      <c r="X734" s="285" t="n"/>
      <c r="Y734" s="285" t="n"/>
      <c r="Z734" s="285" t="n"/>
    </row>
    <row r="735" ht="15.75" customHeight="1" s="398">
      <c r="A735" s="284" t="n"/>
      <c r="B735" s="285" t="n"/>
      <c r="C735" s="284" t="n"/>
      <c r="D735" s="285" t="n"/>
      <c r="E735" s="354" t="n"/>
      <c r="F735" s="336" t="n"/>
      <c r="G735" s="336" t="n"/>
      <c r="H735" s="285" t="n"/>
      <c r="I735" s="285" t="n"/>
      <c r="J735" s="285" t="n"/>
      <c r="K735" s="285" t="n"/>
      <c r="L735" s="285" t="n"/>
      <c r="M735" s="285" t="n"/>
      <c r="N735" s="285" t="n"/>
      <c r="O735" s="285" t="n"/>
      <c r="P735" s="285" t="n"/>
      <c r="Q735" s="285" t="n"/>
      <c r="R735" s="284" t="n"/>
      <c r="S735" s="284" t="n"/>
      <c r="T735" s="285" t="n"/>
      <c r="U735" s="285" t="n"/>
      <c r="V735" s="285" t="n"/>
      <c r="W735" s="285" t="n"/>
      <c r="X735" s="285" t="n"/>
      <c r="Y735" s="285" t="n"/>
      <c r="Z735" s="285" t="n"/>
    </row>
    <row r="736" ht="15.75" customHeight="1" s="398">
      <c r="A736" s="284" t="n"/>
      <c r="B736" s="285" t="n"/>
      <c r="C736" s="284" t="n"/>
      <c r="D736" s="285" t="n"/>
      <c r="E736" s="354" t="n"/>
      <c r="F736" s="336" t="n"/>
      <c r="G736" s="336" t="n"/>
      <c r="H736" s="285" t="n"/>
      <c r="I736" s="285" t="n"/>
      <c r="J736" s="285" t="n"/>
      <c r="K736" s="285" t="n"/>
      <c r="L736" s="285" t="n"/>
      <c r="M736" s="285" t="n"/>
      <c r="N736" s="285" t="n"/>
      <c r="O736" s="285" t="n"/>
      <c r="P736" s="285" t="n"/>
      <c r="Q736" s="285" t="n"/>
      <c r="R736" s="284" t="n"/>
      <c r="S736" s="284" t="n"/>
      <c r="T736" s="285" t="n"/>
      <c r="U736" s="285" t="n"/>
      <c r="V736" s="285" t="n"/>
      <c r="W736" s="285" t="n"/>
      <c r="X736" s="285" t="n"/>
      <c r="Y736" s="285" t="n"/>
      <c r="Z736" s="285" t="n"/>
    </row>
    <row r="737" ht="15.75" customHeight="1" s="398">
      <c r="A737" s="284" t="n"/>
      <c r="B737" s="285" t="n"/>
      <c r="C737" s="284" t="n"/>
      <c r="D737" s="285" t="n"/>
      <c r="E737" s="354" t="n"/>
      <c r="F737" s="336" t="n"/>
      <c r="G737" s="336" t="n"/>
      <c r="H737" s="285" t="n"/>
      <c r="I737" s="285" t="n"/>
      <c r="J737" s="285" t="n"/>
      <c r="K737" s="285" t="n"/>
      <c r="L737" s="285" t="n"/>
      <c r="M737" s="285" t="n"/>
      <c r="N737" s="285" t="n"/>
      <c r="O737" s="285" t="n"/>
      <c r="P737" s="285" t="n"/>
      <c r="Q737" s="285" t="n"/>
      <c r="R737" s="284" t="n"/>
      <c r="S737" s="284" t="n"/>
      <c r="T737" s="285" t="n"/>
      <c r="U737" s="285" t="n"/>
      <c r="V737" s="285" t="n"/>
      <c r="W737" s="285" t="n"/>
      <c r="X737" s="285" t="n"/>
      <c r="Y737" s="285" t="n"/>
      <c r="Z737" s="285" t="n"/>
    </row>
    <row r="738" ht="15.75" customHeight="1" s="398">
      <c r="A738" s="284" t="n"/>
      <c r="B738" s="285" t="n"/>
      <c r="C738" s="284" t="n"/>
      <c r="D738" s="285" t="n"/>
      <c r="E738" s="354" t="n"/>
      <c r="F738" s="336" t="n"/>
      <c r="G738" s="336" t="n"/>
      <c r="H738" s="285" t="n"/>
      <c r="I738" s="285" t="n"/>
      <c r="J738" s="285" t="n"/>
      <c r="K738" s="285" t="n"/>
      <c r="L738" s="285" t="n"/>
      <c r="M738" s="285" t="n"/>
      <c r="N738" s="285" t="n"/>
      <c r="O738" s="285" t="n"/>
      <c r="P738" s="285" t="n"/>
      <c r="Q738" s="285" t="n"/>
      <c r="R738" s="284" t="n"/>
      <c r="S738" s="284" t="n"/>
      <c r="T738" s="285" t="n"/>
      <c r="U738" s="285" t="n"/>
      <c r="V738" s="285" t="n"/>
      <c r="W738" s="285" t="n"/>
      <c r="X738" s="285" t="n"/>
      <c r="Y738" s="285" t="n"/>
      <c r="Z738" s="285" t="n"/>
    </row>
    <row r="739" ht="15.75" customHeight="1" s="398">
      <c r="A739" s="284" t="n"/>
      <c r="B739" s="285" t="n"/>
      <c r="C739" s="284" t="n"/>
      <c r="D739" s="285" t="n"/>
      <c r="E739" s="354" t="n"/>
      <c r="F739" s="336" t="n"/>
      <c r="G739" s="336" t="n"/>
      <c r="H739" s="285" t="n"/>
      <c r="I739" s="285" t="n"/>
      <c r="J739" s="285" t="n"/>
      <c r="K739" s="285" t="n"/>
      <c r="L739" s="285" t="n"/>
      <c r="M739" s="285" t="n"/>
      <c r="N739" s="285" t="n"/>
      <c r="O739" s="285" t="n"/>
      <c r="P739" s="285" t="n"/>
      <c r="Q739" s="285" t="n"/>
      <c r="R739" s="284" t="n"/>
      <c r="S739" s="284" t="n"/>
      <c r="T739" s="285" t="n"/>
      <c r="U739" s="285" t="n"/>
      <c r="V739" s="285" t="n"/>
      <c r="W739" s="285" t="n"/>
      <c r="X739" s="285" t="n"/>
      <c r="Y739" s="285" t="n"/>
      <c r="Z739" s="285" t="n"/>
    </row>
    <row r="740" ht="15.75" customHeight="1" s="398">
      <c r="A740" s="284" t="n"/>
      <c r="B740" s="285" t="n"/>
      <c r="C740" s="284" t="n"/>
      <c r="D740" s="285" t="n"/>
      <c r="E740" s="354" t="n"/>
      <c r="F740" s="336" t="n"/>
      <c r="G740" s="336" t="n"/>
      <c r="H740" s="285" t="n"/>
      <c r="I740" s="285" t="n"/>
      <c r="J740" s="285" t="n"/>
      <c r="K740" s="285" t="n"/>
      <c r="L740" s="285" t="n"/>
      <c r="M740" s="285" t="n"/>
      <c r="N740" s="285" t="n"/>
      <c r="O740" s="285" t="n"/>
      <c r="P740" s="285" t="n"/>
      <c r="Q740" s="285" t="n"/>
      <c r="R740" s="284" t="n"/>
      <c r="S740" s="284" t="n"/>
      <c r="T740" s="285" t="n"/>
      <c r="U740" s="285" t="n"/>
      <c r="V740" s="285" t="n"/>
      <c r="W740" s="285" t="n"/>
      <c r="X740" s="285" t="n"/>
      <c r="Y740" s="285" t="n"/>
      <c r="Z740" s="285" t="n"/>
    </row>
    <row r="741" ht="15.75" customHeight="1" s="398">
      <c r="A741" s="284" t="n"/>
      <c r="B741" s="285" t="n"/>
      <c r="C741" s="284" t="n"/>
      <c r="D741" s="285" t="n"/>
      <c r="E741" s="354" t="n"/>
      <c r="F741" s="336" t="n"/>
      <c r="G741" s="336" t="n"/>
      <c r="H741" s="285" t="n"/>
      <c r="I741" s="285" t="n"/>
      <c r="J741" s="285" t="n"/>
      <c r="K741" s="285" t="n"/>
      <c r="L741" s="285" t="n"/>
      <c r="M741" s="285" t="n"/>
      <c r="N741" s="285" t="n"/>
      <c r="O741" s="285" t="n"/>
      <c r="P741" s="285" t="n"/>
      <c r="Q741" s="285" t="n"/>
      <c r="R741" s="284" t="n"/>
      <c r="S741" s="284" t="n"/>
      <c r="T741" s="285" t="n"/>
      <c r="U741" s="285" t="n"/>
      <c r="V741" s="285" t="n"/>
      <c r="W741" s="285" t="n"/>
      <c r="X741" s="285" t="n"/>
      <c r="Y741" s="285" t="n"/>
      <c r="Z741" s="285" t="n"/>
    </row>
    <row r="742" ht="15.75" customHeight="1" s="398">
      <c r="A742" s="284" t="n"/>
      <c r="B742" s="285" t="n"/>
      <c r="C742" s="284" t="n"/>
      <c r="D742" s="285" t="n"/>
      <c r="E742" s="354" t="n"/>
      <c r="F742" s="336" t="n"/>
      <c r="G742" s="336" t="n"/>
      <c r="H742" s="285" t="n"/>
      <c r="I742" s="285" t="n"/>
      <c r="J742" s="285" t="n"/>
      <c r="K742" s="285" t="n"/>
      <c r="L742" s="285" t="n"/>
      <c r="M742" s="285" t="n"/>
      <c r="N742" s="285" t="n"/>
      <c r="O742" s="285" t="n"/>
      <c r="P742" s="285" t="n"/>
      <c r="Q742" s="285" t="n"/>
      <c r="R742" s="284" t="n"/>
      <c r="S742" s="284" t="n"/>
      <c r="T742" s="285" t="n"/>
      <c r="U742" s="285" t="n"/>
      <c r="V742" s="285" t="n"/>
      <c r="W742" s="285" t="n"/>
      <c r="X742" s="285" t="n"/>
      <c r="Y742" s="285" t="n"/>
      <c r="Z742" s="285" t="n"/>
    </row>
    <row r="743" ht="15.75" customHeight="1" s="398">
      <c r="A743" s="284" t="n"/>
      <c r="B743" s="285" t="n"/>
      <c r="C743" s="284" t="n"/>
      <c r="D743" s="285" t="n"/>
      <c r="E743" s="354" t="n"/>
      <c r="F743" s="336" t="n"/>
      <c r="G743" s="336" t="n"/>
      <c r="H743" s="285" t="n"/>
      <c r="I743" s="285" t="n"/>
      <c r="J743" s="285" t="n"/>
      <c r="K743" s="285" t="n"/>
      <c r="L743" s="285" t="n"/>
      <c r="M743" s="285" t="n"/>
      <c r="N743" s="285" t="n"/>
      <c r="O743" s="285" t="n"/>
      <c r="P743" s="285" t="n"/>
      <c r="Q743" s="285" t="n"/>
      <c r="R743" s="284" t="n"/>
      <c r="S743" s="284" t="n"/>
      <c r="T743" s="285" t="n"/>
      <c r="U743" s="285" t="n"/>
      <c r="V743" s="285" t="n"/>
      <c r="W743" s="285" t="n"/>
      <c r="X743" s="285" t="n"/>
      <c r="Y743" s="285" t="n"/>
      <c r="Z743" s="285" t="n"/>
    </row>
    <row r="744" ht="15.75" customHeight="1" s="398">
      <c r="A744" s="284" t="n"/>
      <c r="B744" s="285" t="n"/>
      <c r="C744" s="284" t="n"/>
      <c r="D744" s="285" t="n"/>
      <c r="E744" s="354" t="n"/>
      <c r="F744" s="336" t="n"/>
      <c r="G744" s="336" t="n"/>
      <c r="H744" s="285" t="n"/>
      <c r="I744" s="285" t="n"/>
      <c r="J744" s="285" t="n"/>
      <c r="K744" s="285" t="n"/>
      <c r="L744" s="285" t="n"/>
      <c r="M744" s="285" t="n"/>
      <c r="N744" s="285" t="n"/>
      <c r="O744" s="285" t="n"/>
      <c r="P744" s="285" t="n"/>
      <c r="Q744" s="285" t="n"/>
      <c r="R744" s="284" t="n"/>
      <c r="S744" s="284" t="n"/>
      <c r="T744" s="285" t="n"/>
      <c r="U744" s="285" t="n"/>
      <c r="V744" s="285" t="n"/>
      <c r="W744" s="285" t="n"/>
      <c r="X744" s="285" t="n"/>
      <c r="Y744" s="285" t="n"/>
      <c r="Z744" s="285" t="n"/>
    </row>
    <row r="745" ht="15.75" customHeight="1" s="398">
      <c r="A745" s="284" t="n"/>
      <c r="B745" s="285" t="n"/>
      <c r="C745" s="284" t="n"/>
      <c r="D745" s="285" t="n"/>
      <c r="E745" s="354" t="n"/>
      <c r="F745" s="336" t="n"/>
      <c r="G745" s="336" t="n"/>
      <c r="H745" s="285" t="n"/>
      <c r="I745" s="285" t="n"/>
      <c r="J745" s="285" t="n"/>
      <c r="K745" s="285" t="n"/>
      <c r="L745" s="285" t="n"/>
      <c r="M745" s="285" t="n"/>
      <c r="N745" s="285" t="n"/>
      <c r="O745" s="285" t="n"/>
      <c r="P745" s="285" t="n"/>
      <c r="Q745" s="285" t="n"/>
      <c r="R745" s="284" t="n"/>
      <c r="S745" s="284" t="n"/>
      <c r="T745" s="285" t="n"/>
      <c r="U745" s="285" t="n"/>
      <c r="V745" s="285" t="n"/>
      <c r="W745" s="285" t="n"/>
      <c r="X745" s="285" t="n"/>
      <c r="Y745" s="285" t="n"/>
      <c r="Z745" s="285" t="n"/>
    </row>
    <row r="746" ht="15.75" customHeight="1" s="398">
      <c r="A746" s="284" t="n"/>
      <c r="B746" s="285" t="n"/>
      <c r="C746" s="284" t="n"/>
      <c r="D746" s="285" t="n"/>
      <c r="E746" s="354" t="n"/>
      <c r="F746" s="336" t="n"/>
      <c r="G746" s="336" t="n"/>
      <c r="H746" s="285" t="n"/>
      <c r="I746" s="285" t="n"/>
      <c r="J746" s="285" t="n"/>
      <c r="K746" s="285" t="n"/>
      <c r="L746" s="285" t="n"/>
      <c r="M746" s="285" t="n"/>
      <c r="N746" s="285" t="n"/>
      <c r="O746" s="285" t="n"/>
      <c r="P746" s="285" t="n"/>
      <c r="Q746" s="285" t="n"/>
      <c r="R746" s="284" t="n"/>
      <c r="S746" s="284" t="n"/>
      <c r="T746" s="285" t="n"/>
      <c r="U746" s="285" t="n"/>
      <c r="V746" s="285" t="n"/>
      <c r="W746" s="285" t="n"/>
      <c r="X746" s="285" t="n"/>
      <c r="Y746" s="285" t="n"/>
      <c r="Z746" s="285" t="n"/>
    </row>
    <row r="747" ht="15.75" customHeight="1" s="398">
      <c r="A747" s="284" t="n"/>
      <c r="B747" s="285" t="n"/>
      <c r="C747" s="284" t="n"/>
      <c r="D747" s="285" t="n"/>
      <c r="E747" s="354" t="n"/>
      <c r="F747" s="336" t="n"/>
      <c r="G747" s="336" t="n"/>
      <c r="H747" s="285" t="n"/>
      <c r="I747" s="285" t="n"/>
      <c r="J747" s="285" t="n"/>
      <c r="K747" s="285" t="n"/>
      <c r="L747" s="285" t="n"/>
      <c r="M747" s="285" t="n"/>
      <c r="N747" s="285" t="n"/>
      <c r="O747" s="285" t="n"/>
      <c r="P747" s="285" t="n"/>
      <c r="Q747" s="285" t="n"/>
      <c r="R747" s="284" t="n"/>
      <c r="S747" s="284" t="n"/>
      <c r="T747" s="285" t="n"/>
      <c r="U747" s="285" t="n"/>
      <c r="V747" s="285" t="n"/>
      <c r="W747" s="285" t="n"/>
      <c r="X747" s="285" t="n"/>
      <c r="Y747" s="285" t="n"/>
      <c r="Z747" s="285" t="n"/>
    </row>
    <row r="748" ht="15.75" customHeight="1" s="398">
      <c r="A748" s="284" t="n"/>
      <c r="B748" s="285" t="n"/>
      <c r="C748" s="284" t="n"/>
      <c r="D748" s="285" t="n"/>
      <c r="E748" s="354" t="n"/>
      <c r="F748" s="336" t="n"/>
      <c r="G748" s="336" t="n"/>
      <c r="H748" s="285" t="n"/>
      <c r="I748" s="285" t="n"/>
      <c r="J748" s="285" t="n"/>
      <c r="K748" s="285" t="n"/>
      <c r="L748" s="285" t="n"/>
      <c r="M748" s="285" t="n"/>
      <c r="N748" s="285" t="n"/>
      <c r="O748" s="285" t="n"/>
      <c r="P748" s="285" t="n"/>
      <c r="Q748" s="285" t="n"/>
      <c r="R748" s="284" t="n"/>
      <c r="S748" s="284" t="n"/>
      <c r="T748" s="285" t="n"/>
      <c r="U748" s="285" t="n"/>
      <c r="V748" s="285" t="n"/>
      <c r="W748" s="285" t="n"/>
      <c r="X748" s="285" t="n"/>
      <c r="Y748" s="285" t="n"/>
      <c r="Z748" s="285" t="n"/>
    </row>
    <row r="749" ht="15.75" customHeight="1" s="398">
      <c r="A749" s="284" t="n"/>
      <c r="B749" s="285" t="n"/>
      <c r="C749" s="284" t="n"/>
      <c r="D749" s="285" t="n"/>
      <c r="E749" s="354" t="n"/>
      <c r="F749" s="336" t="n"/>
      <c r="G749" s="336" t="n"/>
      <c r="H749" s="285" t="n"/>
      <c r="I749" s="285" t="n"/>
      <c r="J749" s="285" t="n"/>
      <c r="K749" s="285" t="n"/>
      <c r="L749" s="285" t="n"/>
      <c r="M749" s="285" t="n"/>
      <c r="N749" s="285" t="n"/>
      <c r="O749" s="285" t="n"/>
      <c r="P749" s="285" t="n"/>
      <c r="Q749" s="285" t="n"/>
      <c r="R749" s="284" t="n"/>
      <c r="S749" s="284" t="n"/>
      <c r="T749" s="285" t="n"/>
      <c r="U749" s="285" t="n"/>
      <c r="V749" s="285" t="n"/>
      <c r="W749" s="285" t="n"/>
      <c r="X749" s="285" t="n"/>
      <c r="Y749" s="285" t="n"/>
      <c r="Z749" s="285" t="n"/>
    </row>
    <row r="750" ht="15.75" customHeight="1" s="398">
      <c r="A750" s="284" t="n"/>
      <c r="B750" s="285" t="n"/>
      <c r="C750" s="284" t="n"/>
      <c r="D750" s="285" t="n"/>
      <c r="E750" s="354" t="n"/>
      <c r="F750" s="336" t="n"/>
      <c r="G750" s="336" t="n"/>
      <c r="H750" s="285" t="n"/>
      <c r="I750" s="285" t="n"/>
      <c r="J750" s="285" t="n"/>
      <c r="K750" s="285" t="n"/>
      <c r="L750" s="285" t="n"/>
      <c r="M750" s="285" t="n"/>
      <c r="N750" s="285" t="n"/>
      <c r="O750" s="285" t="n"/>
      <c r="P750" s="285" t="n"/>
      <c r="Q750" s="285" t="n"/>
      <c r="R750" s="284" t="n"/>
      <c r="S750" s="284" t="n"/>
      <c r="T750" s="285" t="n"/>
      <c r="U750" s="285" t="n"/>
      <c r="V750" s="285" t="n"/>
      <c r="W750" s="285" t="n"/>
      <c r="X750" s="285" t="n"/>
      <c r="Y750" s="285" t="n"/>
      <c r="Z750" s="285" t="n"/>
    </row>
    <row r="751" ht="15.75" customHeight="1" s="398">
      <c r="A751" s="284" t="n"/>
      <c r="B751" s="285" t="n"/>
      <c r="C751" s="284" t="n"/>
      <c r="D751" s="285" t="n"/>
      <c r="E751" s="354" t="n"/>
      <c r="F751" s="336" t="n"/>
      <c r="G751" s="336" t="n"/>
      <c r="H751" s="285" t="n"/>
      <c r="I751" s="285" t="n"/>
      <c r="J751" s="285" t="n"/>
      <c r="K751" s="285" t="n"/>
      <c r="L751" s="285" t="n"/>
      <c r="M751" s="285" t="n"/>
      <c r="N751" s="285" t="n"/>
      <c r="O751" s="285" t="n"/>
      <c r="P751" s="285" t="n"/>
      <c r="Q751" s="285" t="n"/>
      <c r="R751" s="284" t="n"/>
      <c r="S751" s="284" t="n"/>
      <c r="T751" s="285" t="n"/>
      <c r="U751" s="285" t="n"/>
      <c r="V751" s="285" t="n"/>
      <c r="W751" s="285" t="n"/>
      <c r="X751" s="285" t="n"/>
      <c r="Y751" s="285" t="n"/>
      <c r="Z751" s="285" t="n"/>
    </row>
    <row r="752" ht="15.75" customHeight="1" s="398">
      <c r="A752" s="284" t="n"/>
      <c r="B752" s="285" t="n"/>
      <c r="C752" s="284" t="n"/>
      <c r="D752" s="285" t="n"/>
      <c r="E752" s="354" t="n"/>
      <c r="F752" s="336" t="n"/>
      <c r="G752" s="336" t="n"/>
      <c r="H752" s="285" t="n"/>
      <c r="I752" s="285" t="n"/>
      <c r="J752" s="285" t="n"/>
      <c r="K752" s="285" t="n"/>
      <c r="L752" s="285" t="n"/>
      <c r="M752" s="285" t="n"/>
      <c r="N752" s="285" t="n"/>
      <c r="O752" s="285" t="n"/>
      <c r="P752" s="285" t="n"/>
      <c r="Q752" s="285" t="n"/>
      <c r="R752" s="284" t="n"/>
      <c r="S752" s="284" t="n"/>
      <c r="T752" s="285" t="n"/>
      <c r="U752" s="285" t="n"/>
      <c r="V752" s="285" t="n"/>
      <c r="W752" s="285" t="n"/>
      <c r="X752" s="285" t="n"/>
      <c r="Y752" s="285" t="n"/>
      <c r="Z752" s="285" t="n"/>
    </row>
    <row r="753" ht="15.75" customHeight="1" s="398">
      <c r="A753" s="284" t="n"/>
      <c r="B753" s="285" t="n"/>
      <c r="C753" s="284" t="n"/>
      <c r="D753" s="285" t="n"/>
      <c r="E753" s="354" t="n"/>
      <c r="F753" s="336" t="n"/>
      <c r="G753" s="336" t="n"/>
      <c r="H753" s="285" t="n"/>
      <c r="I753" s="285" t="n"/>
      <c r="J753" s="285" t="n"/>
      <c r="K753" s="285" t="n"/>
      <c r="L753" s="285" t="n"/>
      <c r="M753" s="285" t="n"/>
      <c r="N753" s="285" t="n"/>
      <c r="O753" s="285" t="n"/>
      <c r="P753" s="285" t="n"/>
      <c r="Q753" s="285" t="n"/>
      <c r="R753" s="284" t="n"/>
      <c r="S753" s="284" t="n"/>
      <c r="T753" s="285" t="n"/>
      <c r="U753" s="285" t="n"/>
      <c r="V753" s="285" t="n"/>
      <c r="W753" s="285" t="n"/>
      <c r="X753" s="285" t="n"/>
      <c r="Y753" s="285" t="n"/>
      <c r="Z753" s="285" t="n"/>
    </row>
    <row r="754" ht="15.75" customHeight="1" s="398">
      <c r="A754" s="284" t="n"/>
      <c r="B754" s="285" t="n"/>
      <c r="C754" s="284" t="n"/>
      <c r="D754" s="285" t="n"/>
      <c r="E754" s="354" t="n"/>
      <c r="F754" s="336" t="n"/>
      <c r="G754" s="336" t="n"/>
      <c r="H754" s="285" t="n"/>
      <c r="I754" s="285" t="n"/>
      <c r="J754" s="285" t="n"/>
      <c r="K754" s="285" t="n"/>
      <c r="L754" s="285" t="n"/>
      <c r="M754" s="285" t="n"/>
      <c r="N754" s="285" t="n"/>
      <c r="O754" s="285" t="n"/>
      <c r="P754" s="285" t="n"/>
      <c r="Q754" s="285" t="n"/>
      <c r="R754" s="284" t="n"/>
      <c r="S754" s="284" t="n"/>
      <c r="T754" s="285" t="n"/>
      <c r="U754" s="285" t="n"/>
      <c r="V754" s="285" t="n"/>
      <c r="W754" s="285" t="n"/>
      <c r="X754" s="285" t="n"/>
      <c r="Y754" s="285" t="n"/>
      <c r="Z754" s="285" t="n"/>
    </row>
    <row r="755" ht="15.75" customHeight="1" s="398">
      <c r="A755" s="284" t="n"/>
      <c r="B755" s="285" t="n"/>
      <c r="C755" s="284" t="n"/>
      <c r="D755" s="285" t="n"/>
      <c r="E755" s="354" t="n"/>
      <c r="F755" s="336" t="n"/>
      <c r="G755" s="336" t="n"/>
      <c r="H755" s="285" t="n"/>
      <c r="I755" s="285" t="n"/>
      <c r="J755" s="285" t="n"/>
      <c r="K755" s="285" t="n"/>
      <c r="L755" s="285" t="n"/>
      <c r="M755" s="285" t="n"/>
      <c r="N755" s="285" t="n"/>
      <c r="O755" s="285" t="n"/>
      <c r="P755" s="285" t="n"/>
      <c r="Q755" s="285" t="n"/>
      <c r="R755" s="284" t="n"/>
      <c r="S755" s="284" t="n"/>
      <c r="T755" s="285" t="n"/>
      <c r="U755" s="285" t="n"/>
      <c r="V755" s="285" t="n"/>
      <c r="W755" s="285" t="n"/>
      <c r="X755" s="285" t="n"/>
      <c r="Y755" s="285" t="n"/>
      <c r="Z755" s="285" t="n"/>
    </row>
    <row r="756" ht="15.75" customHeight="1" s="398">
      <c r="A756" s="284" t="n"/>
      <c r="B756" s="285" t="n"/>
      <c r="C756" s="284" t="n"/>
      <c r="D756" s="285" t="n"/>
      <c r="E756" s="354" t="n"/>
      <c r="F756" s="336" t="n"/>
      <c r="G756" s="336" t="n"/>
      <c r="H756" s="285" t="n"/>
      <c r="I756" s="285" t="n"/>
      <c r="J756" s="285" t="n"/>
      <c r="K756" s="285" t="n"/>
      <c r="L756" s="285" t="n"/>
      <c r="M756" s="285" t="n"/>
      <c r="N756" s="285" t="n"/>
      <c r="O756" s="285" t="n"/>
      <c r="P756" s="285" t="n"/>
      <c r="Q756" s="285" t="n"/>
      <c r="R756" s="284" t="n"/>
      <c r="S756" s="284" t="n"/>
      <c r="T756" s="285" t="n"/>
      <c r="U756" s="285" t="n"/>
      <c r="V756" s="285" t="n"/>
      <c r="W756" s="285" t="n"/>
      <c r="X756" s="285" t="n"/>
      <c r="Y756" s="285" t="n"/>
      <c r="Z756" s="285" t="n"/>
    </row>
    <row r="757" ht="15.75" customHeight="1" s="398">
      <c r="A757" s="284" t="n"/>
      <c r="B757" s="285" t="n"/>
      <c r="C757" s="284" t="n"/>
      <c r="D757" s="285" t="n"/>
      <c r="E757" s="354" t="n"/>
      <c r="F757" s="336" t="n"/>
      <c r="G757" s="336" t="n"/>
      <c r="H757" s="285" t="n"/>
      <c r="I757" s="285" t="n"/>
      <c r="J757" s="285" t="n"/>
      <c r="K757" s="285" t="n"/>
      <c r="L757" s="285" t="n"/>
      <c r="M757" s="285" t="n"/>
      <c r="N757" s="285" t="n"/>
      <c r="O757" s="285" t="n"/>
      <c r="P757" s="285" t="n"/>
      <c r="Q757" s="285" t="n"/>
      <c r="R757" s="284" t="n"/>
      <c r="S757" s="284" t="n"/>
      <c r="T757" s="285" t="n"/>
      <c r="U757" s="285" t="n"/>
      <c r="V757" s="285" t="n"/>
      <c r="W757" s="285" t="n"/>
      <c r="X757" s="285" t="n"/>
      <c r="Y757" s="285" t="n"/>
      <c r="Z757" s="285" t="n"/>
    </row>
    <row r="758" ht="15.75" customHeight="1" s="398">
      <c r="A758" s="284" t="n"/>
      <c r="B758" s="285" t="n"/>
      <c r="C758" s="284" t="n"/>
      <c r="D758" s="285" t="n"/>
      <c r="E758" s="354" t="n"/>
      <c r="F758" s="336" t="n"/>
      <c r="G758" s="336" t="n"/>
      <c r="H758" s="285" t="n"/>
      <c r="I758" s="285" t="n"/>
      <c r="J758" s="285" t="n"/>
      <c r="K758" s="285" t="n"/>
      <c r="L758" s="285" t="n"/>
      <c r="M758" s="285" t="n"/>
      <c r="N758" s="285" t="n"/>
      <c r="O758" s="285" t="n"/>
      <c r="P758" s="285" t="n"/>
      <c r="Q758" s="285" t="n"/>
      <c r="R758" s="284" t="n"/>
      <c r="S758" s="284" t="n"/>
      <c r="T758" s="285" t="n"/>
      <c r="U758" s="285" t="n"/>
      <c r="V758" s="285" t="n"/>
      <c r="W758" s="285" t="n"/>
      <c r="X758" s="285" t="n"/>
      <c r="Y758" s="285" t="n"/>
      <c r="Z758" s="285" t="n"/>
    </row>
    <row r="759" ht="15.75" customHeight="1" s="398">
      <c r="A759" s="284" t="n"/>
      <c r="B759" s="285" t="n"/>
      <c r="C759" s="284" t="n"/>
      <c r="D759" s="285" t="n"/>
      <c r="E759" s="354" t="n"/>
      <c r="F759" s="336" t="n"/>
      <c r="G759" s="336" t="n"/>
      <c r="H759" s="285" t="n"/>
      <c r="I759" s="285" t="n"/>
      <c r="J759" s="285" t="n"/>
      <c r="K759" s="285" t="n"/>
      <c r="L759" s="285" t="n"/>
      <c r="M759" s="285" t="n"/>
      <c r="N759" s="285" t="n"/>
      <c r="O759" s="285" t="n"/>
      <c r="P759" s="285" t="n"/>
      <c r="Q759" s="285" t="n"/>
      <c r="R759" s="284" t="n"/>
      <c r="S759" s="284" t="n"/>
      <c r="T759" s="285" t="n"/>
      <c r="U759" s="285" t="n"/>
      <c r="V759" s="285" t="n"/>
      <c r="W759" s="285" t="n"/>
      <c r="X759" s="285" t="n"/>
      <c r="Y759" s="285" t="n"/>
      <c r="Z759" s="285" t="n"/>
    </row>
    <row r="760" ht="15.75" customHeight="1" s="398">
      <c r="A760" s="284" t="n"/>
      <c r="B760" s="285" t="n"/>
      <c r="C760" s="284" t="n"/>
      <c r="D760" s="285" t="n"/>
      <c r="E760" s="354" t="n"/>
      <c r="F760" s="336" t="n"/>
      <c r="G760" s="336" t="n"/>
      <c r="H760" s="285" t="n"/>
      <c r="I760" s="285" t="n"/>
      <c r="J760" s="285" t="n"/>
      <c r="K760" s="285" t="n"/>
      <c r="L760" s="285" t="n"/>
      <c r="M760" s="285" t="n"/>
      <c r="N760" s="285" t="n"/>
      <c r="O760" s="285" t="n"/>
      <c r="P760" s="285" t="n"/>
      <c r="Q760" s="285" t="n"/>
      <c r="R760" s="284" t="n"/>
      <c r="S760" s="284" t="n"/>
      <c r="T760" s="285" t="n"/>
      <c r="U760" s="285" t="n"/>
      <c r="V760" s="285" t="n"/>
      <c r="W760" s="285" t="n"/>
      <c r="X760" s="285" t="n"/>
      <c r="Y760" s="285" t="n"/>
      <c r="Z760" s="285" t="n"/>
    </row>
    <row r="761" ht="15.75" customHeight="1" s="398">
      <c r="A761" s="284" t="n"/>
      <c r="B761" s="285" t="n"/>
      <c r="C761" s="284" t="n"/>
      <c r="D761" s="285" t="n"/>
      <c r="E761" s="354" t="n"/>
      <c r="F761" s="336" t="n"/>
      <c r="G761" s="336" t="n"/>
      <c r="H761" s="285" t="n"/>
      <c r="I761" s="285" t="n"/>
      <c r="J761" s="285" t="n"/>
      <c r="K761" s="285" t="n"/>
      <c r="L761" s="285" t="n"/>
      <c r="M761" s="285" t="n"/>
      <c r="N761" s="285" t="n"/>
      <c r="O761" s="285" t="n"/>
      <c r="P761" s="285" t="n"/>
      <c r="Q761" s="285" t="n"/>
      <c r="R761" s="284" t="n"/>
      <c r="S761" s="284" t="n"/>
      <c r="T761" s="285" t="n"/>
      <c r="U761" s="285" t="n"/>
      <c r="V761" s="285" t="n"/>
      <c r="W761" s="285" t="n"/>
      <c r="X761" s="285" t="n"/>
      <c r="Y761" s="285" t="n"/>
      <c r="Z761" s="285" t="n"/>
    </row>
    <row r="762" ht="15.75" customHeight="1" s="398">
      <c r="A762" s="284" t="n"/>
      <c r="B762" s="285" t="n"/>
      <c r="C762" s="284" t="n"/>
      <c r="D762" s="285" t="n"/>
      <c r="E762" s="354" t="n"/>
      <c r="F762" s="336" t="n"/>
      <c r="G762" s="336" t="n"/>
      <c r="H762" s="285" t="n"/>
      <c r="I762" s="285" t="n"/>
      <c r="J762" s="285" t="n"/>
      <c r="K762" s="285" t="n"/>
      <c r="L762" s="285" t="n"/>
      <c r="M762" s="285" t="n"/>
      <c r="N762" s="285" t="n"/>
      <c r="O762" s="285" t="n"/>
      <c r="P762" s="285" t="n"/>
      <c r="Q762" s="285" t="n"/>
      <c r="R762" s="284" t="n"/>
      <c r="S762" s="284" t="n"/>
      <c r="T762" s="285" t="n"/>
      <c r="U762" s="285" t="n"/>
      <c r="V762" s="285" t="n"/>
      <c r="W762" s="285" t="n"/>
      <c r="X762" s="285" t="n"/>
      <c r="Y762" s="285" t="n"/>
      <c r="Z762" s="285" t="n"/>
    </row>
    <row r="763" ht="15.75" customHeight="1" s="398">
      <c r="A763" s="284" t="n"/>
      <c r="B763" s="285" t="n"/>
      <c r="C763" s="284" t="n"/>
      <c r="D763" s="285" t="n"/>
      <c r="E763" s="354" t="n"/>
      <c r="F763" s="336" t="n"/>
      <c r="G763" s="336" t="n"/>
      <c r="H763" s="285" t="n"/>
      <c r="I763" s="285" t="n"/>
      <c r="J763" s="285" t="n"/>
      <c r="K763" s="285" t="n"/>
      <c r="L763" s="285" t="n"/>
      <c r="M763" s="285" t="n"/>
      <c r="N763" s="285" t="n"/>
      <c r="O763" s="285" t="n"/>
      <c r="P763" s="285" t="n"/>
      <c r="Q763" s="285" t="n"/>
      <c r="R763" s="284" t="n"/>
      <c r="S763" s="284" t="n"/>
      <c r="T763" s="285" t="n"/>
      <c r="U763" s="285" t="n"/>
      <c r="V763" s="285" t="n"/>
      <c r="W763" s="285" t="n"/>
      <c r="X763" s="285" t="n"/>
      <c r="Y763" s="285" t="n"/>
      <c r="Z763" s="285" t="n"/>
    </row>
    <row r="764" ht="15.75" customHeight="1" s="398">
      <c r="A764" s="284" t="n"/>
      <c r="B764" s="285" t="n"/>
      <c r="C764" s="284" t="n"/>
      <c r="D764" s="285" t="n"/>
      <c r="E764" s="354" t="n"/>
      <c r="F764" s="336" t="n"/>
      <c r="G764" s="336" t="n"/>
      <c r="H764" s="285" t="n"/>
      <c r="I764" s="285" t="n"/>
      <c r="J764" s="285" t="n"/>
      <c r="K764" s="285" t="n"/>
      <c r="L764" s="285" t="n"/>
      <c r="M764" s="285" t="n"/>
      <c r="N764" s="285" t="n"/>
      <c r="O764" s="285" t="n"/>
      <c r="P764" s="285" t="n"/>
      <c r="Q764" s="285" t="n"/>
      <c r="R764" s="284" t="n"/>
      <c r="S764" s="284" t="n"/>
      <c r="T764" s="285" t="n"/>
      <c r="U764" s="285" t="n"/>
      <c r="V764" s="285" t="n"/>
      <c r="W764" s="285" t="n"/>
      <c r="X764" s="285" t="n"/>
      <c r="Y764" s="285" t="n"/>
      <c r="Z764" s="285" t="n"/>
    </row>
    <row r="765" ht="15.75" customHeight="1" s="398">
      <c r="A765" s="284" t="n"/>
      <c r="B765" s="285" t="n"/>
      <c r="C765" s="284" t="n"/>
      <c r="D765" s="285" t="n"/>
      <c r="E765" s="354" t="n"/>
      <c r="F765" s="336" t="n"/>
      <c r="G765" s="336" t="n"/>
      <c r="H765" s="285" t="n"/>
      <c r="I765" s="285" t="n"/>
      <c r="J765" s="285" t="n"/>
      <c r="K765" s="285" t="n"/>
      <c r="L765" s="285" t="n"/>
      <c r="M765" s="285" t="n"/>
      <c r="N765" s="285" t="n"/>
      <c r="O765" s="285" t="n"/>
      <c r="P765" s="285" t="n"/>
      <c r="Q765" s="285" t="n"/>
      <c r="R765" s="284" t="n"/>
      <c r="S765" s="284" t="n"/>
      <c r="T765" s="285" t="n"/>
      <c r="U765" s="285" t="n"/>
      <c r="V765" s="285" t="n"/>
      <c r="W765" s="285" t="n"/>
      <c r="X765" s="285" t="n"/>
      <c r="Y765" s="285" t="n"/>
      <c r="Z765" s="285" t="n"/>
    </row>
    <row r="766" ht="15.75" customHeight="1" s="398">
      <c r="A766" s="284" t="n"/>
      <c r="B766" s="285" t="n"/>
      <c r="C766" s="284" t="n"/>
      <c r="D766" s="285" t="n"/>
      <c r="E766" s="354" t="n"/>
      <c r="F766" s="336" t="n"/>
      <c r="G766" s="336" t="n"/>
      <c r="H766" s="285" t="n"/>
      <c r="I766" s="285" t="n"/>
      <c r="J766" s="285" t="n"/>
      <c r="K766" s="285" t="n"/>
      <c r="L766" s="285" t="n"/>
      <c r="M766" s="285" t="n"/>
      <c r="N766" s="285" t="n"/>
      <c r="O766" s="285" t="n"/>
      <c r="P766" s="285" t="n"/>
      <c r="Q766" s="285" t="n"/>
      <c r="R766" s="284" t="n"/>
      <c r="S766" s="284" t="n"/>
      <c r="T766" s="285" t="n"/>
      <c r="U766" s="285" t="n"/>
      <c r="V766" s="285" t="n"/>
      <c r="W766" s="285" t="n"/>
      <c r="X766" s="285" t="n"/>
      <c r="Y766" s="285" t="n"/>
      <c r="Z766" s="285" t="n"/>
    </row>
    <row r="767" ht="15.75" customHeight="1" s="398">
      <c r="A767" s="284" t="n"/>
      <c r="B767" s="285" t="n"/>
      <c r="C767" s="284" t="n"/>
      <c r="D767" s="285" t="n"/>
      <c r="E767" s="354" t="n"/>
      <c r="F767" s="336" t="n"/>
      <c r="G767" s="336" t="n"/>
      <c r="H767" s="285" t="n"/>
      <c r="I767" s="285" t="n"/>
      <c r="J767" s="285" t="n"/>
      <c r="K767" s="285" t="n"/>
      <c r="L767" s="285" t="n"/>
      <c r="M767" s="285" t="n"/>
      <c r="N767" s="285" t="n"/>
      <c r="O767" s="285" t="n"/>
      <c r="P767" s="285" t="n"/>
      <c r="Q767" s="285" t="n"/>
      <c r="R767" s="284" t="n"/>
      <c r="S767" s="284" t="n"/>
      <c r="T767" s="285" t="n"/>
      <c r="U767" s="285" t="n"/>
      <c r="V767" s="285" t="n"/>
      <c r="W767" s="285" t="n"/>
      <c r="X767" s="285" t="n"/>
      <c r="Y767" s="285" t="n"/>
      <c r="Z767" s="285" t="n"/>
    </row>
    <row r="768" ht="15.75" customHeight="1" s="398">
      <c r="A768" s="284" t="n"/>
      <c r="B768" s="285" t="n"/>
      <c r="C768" s="284" t="n"/>
      <c r="D768" s="285" t="n"/>
      <c r="E768" s="354" t="n"/>
      <c r="F768" s="336" t="n"/>
      <c r="G768" s="336" t="n"/>
      <c r="H768" s="285" t="n"/>
      <c r="I768" s="285" t="n"/>
      <c r="J768" s="285" t="n"/>
      <c r="K768" s="285" t="n"/>
      <c r="L768" s="285" t="n"/>
      <c r="M768" s="285" t="n"/>
      <c r="N768" s="285" t="n"/>
      <c r="O768" s="285" t="n"/>
      <c r="P768" s="285" t="n"/>
      <c r="Q768" s="285" t="n"/>
      <c r="R768" s="284" t="n"/>
      <c r="S768" s="284" t="n"/>
      <c r="T768" s="285" t="n"/>
      <c r="U768" s="285" t="n"/>
      <c r="V768" s="285" t="n"/>
      <c r="W768" s="285" t="n"/>
      <c r="X768" s="285" t="n"/>
      <c r="Y768" s="285" t="n"/>
      <c r="Z768" s="285" t="n"/>
    </row>
    <row r="769" ht="15.75" customHeight="1" s="398">
      <c r="A769" s="284" t="n"/>
      <c r="B769" s="285" t="n"/>
      <c r="C769" s="284" t="n"/>
      <c r="D769" s="285" t="n"/>
      <c r="E769" s="354" t="n"/>
      <c r="F769" s="336" t="n"/>
      <c r="G769" s="336" t="n"/>
      <c r="H769" s="285" t="n"/>
      <c r="I769" s="285" t="n"/>
      <c r="J769" s="285" t="n"/>
      <c r="K769" s="285" t="n"/>
      <c r="L769" s="285" t="n"/>
      <c r="M769" s="285" t="n"/>
      <c r="N769" s="285" t="n"/>
      <c r="O769" s="285" t="n"/>
      <c r="P769" s="285" t="n"/>
      <c r="Q769" s="285" t="n"/>
      <c r="R769" s="284" t="n"/>
      <c r="S769" s="284" t="n"/>
      <c r="T769" s="285" t="n"/>
      <c r="U769" s="285" t="n"/>
      <c r="V769" s="285" t="n"/>
      <c r="W769" s="285" t="n"/>
      <c r="X769" s="285" t="n"/>
      <c r="Y769" s="285" t="n"/>
      <c r="Z769" s="285" t="n"/>
    </row>
    <row r="770" ht="15.75" customHeight="1" s="398">
      <c r="A770" s="284" t="n"/>
      <c r="B770" s="285" t="n"/>
      <c r="C770" s="284" t="n"/>
      <c r="D770" s="285" t="n"/>
      <c r="E770" s="354" t="n"/>
      <c r="F770" s="336" t="n"/>
      <c r="G770" s="336" t="n"/>
      <c r="H770" s="285" t="n"/>
      <c r="I770" s="285" t="n"/>
      <c r="J770" s="285" t="n"/>
      <c r="K770" s="285" t="n"/>
      <c r="L770" s="285" t="n"/>
      <c r="M770" s="285" t="n"/>
      <c r="N770" s="285" t="n"/>
      <c r="O770" s="285" t="n"/>
      <c r="P770" s="285" t="n"/>
      <c r="Q770" s="285" t="n"/>
      <c r="R770" s="284" t="n"/>
      <c r="S770" s="284" t="n"/>
      <c r="T770" s="285" t="n"/>
      <c r="U770" s="285" t="n"/>
      <c r="V770" s="285" t="n"/>
      <c r="W770" s="285" t="n"/>
      <c r="X770" s="285" t="n"/>
      <c r="Y770" s="285" t="n"/>
      <c r="Z770" s="285" t="n"/>
    </row>
    <row r="771" ht="15.75" customHeight="1" s="398">
      <c r="A771" s="284" t="n"/>
      <c r="B771" s="285" t="n"/>
      <c r="C771" s="284" t="n"/>
      <c r="D771" s="285" t="n"/>
      <c r="E771" s="354" t="n"/>
      <c r="F771" s="336" t="n"/>
      <c r="G771" s="336" t="n"/>
      <c r="H771" s="285" t="n"/>
      <c r="I771" s="285" t="n"/>
      <c r="J771" s="285" t="n"/>
      <c r="K771" s="285" t="n"/>
      <c r="L771" s="285" t="n"/>
      <c r="M771" s="285" t="n"/>
      <c r="N771" s="285" t="n"/>
      <c r="O771" s="285" t="n"/>
      <c r="P771" s="285" t="n"/>
      <c r="Q771" s="285" t="n"/>
      <c r="R771" s="284" t="n"/>
      <c r="S771" s="284" t="n"/>
      <c r="T771" s="285" t="n"/>
      <c r="U771" s="285" t="n"/>
      <c r="V771" s="285" t="n"/>
      <c r="W771" s="285" t="n"/>
      <c r="X771" s="285" t="n"/>
      <c r="Y771" s="285" t="n"/>
      <c r="Z771" s="285" t="n"/>
    </row>
    <row r="772" ht="15.75" customHeight="1" s="398">
      <c r="A772" s="284" t="n"/>
      <c r="B772" s="285" t="n"/>
      <c r="C772" s="284" t="n"/>
      <c r="D772" s="285" t="n"/>
      <c r="E772" s="354" t="n"/>
      <c r="F772" s="336" t="n"/>
      <c r="G772" s="336" t="n"/>
      <c r="H772" s="285" t="n"/>
      <c r="I772" s="285" t="n"/>
      <c r="J772" s="285" t="n"/>
      <c r="K772" s="285" t="n"/>
      <c r="L772" s="285" t="n"/>
      <c r="M772" s="285" t="n"/>
      <c r="N772" s="285" t="n"/>
      <c r="O772" s="285" t="n"/>
      <c r="P772" s="285" t="n"/>
      <c r="Q772" s="285" t="n"/>
      <c r="R772" s="284" t="n"/>
      <c r="S772" s="284" t="n"/>
      <c r="T772" s="285" t="n"/>
      <c r="U772" s="285" t="n"/>
      <c r="V772" s="285" t="n"/>
      <c r="W772" s="285" t="n"/>
      <c r="X772" s="285" t="n"/>
      <c r="Y772" s="285" t="n"/>
      <c r="Z772" s="285" t="n"/>
    </row>
    <row r="773" ht="15.75" customHeight="1" s="398">
      <c r="A773" s="284" t="n"/>
      <c r="B773" s="285" t="n"/>
      <c r="C773" s="284" t="n"/>
      <c r="D773" s="285" t="n"/>
      <c r="E773" s="354" t="n"/>
      <c r="F773" s="336" t="n"/>
      <c r="G773" s="336" t="n"/>
      <c r="H773" s="285" t="n"/>
      <c r="I773" s="285" t="n"/>
      <c r="J773" s="285" t="n"/>
      <c r="K773" s="285" t="n"/>
      <c r="L773" s="285" t="n"/>
      <c r="M773" s="285" t="n"/>
      <c r="N773" s="285" t="n"/>
      <c r="O773" s="285" t="n"/>
      <c r="P773" s="285" t="n"/>
      <c r="Q773" s="285" t="n"/>
      <c r="R773" s="284" t="n"/>
      <c r="S773" s="284" t="n"/>
      <c r="T773" s="285" t="n"/>
      <c r="U773" s="285" t="n"/>
      <c r="V773" s="285" t="n"/>
      <c r="W773" s="285" t="n"/>
      <c r="X773" s="285" t="n"/>
      <c r="Y773" s="285" t="n"/>
      <c r="Z773" s="285" t="n"/>
    </row>
    <row r="774" ht="15.75" customHeight="1" s="398">
      <c r="A774" s="284" t="n"/>
      <c r="B774" s="285" t="n"/>
      <c r="C774" s="284" t="n"/>
      <c r="D774" s="285" t="n"/>
      <c r="E774" s="354" t="n"/>
      <c r="F774" s="336" t="n"/>
      <c r="G774" s="336" t="n"/>
      <c r="H774" s="285" t="n"/>
      <c r="I774" s="285" t="n"/>
      <c r="J774" s="285" t="n"/>
      <c r="K774" s="285" t="n"/>
      <c r="L774" s="285" t="n"/>
      <c r="M774" s="285" t="n"/>
      <c r="N774" s="285" t="n"/>
      <c r="O774" s="285" t="n"/>
      <c r="P774" s="285" t="n"/>
      <c r="Q774" s="285" t="n"/>
      <c r="R774" s="284" t="n"/>
      <c r="S774" s="284" t="n"/>
      <c r="T774" s="285" t="n"/>
      <c r="U774" s="285" t="n"/>
      <c r="V774" s="285" t="n"/>
      <c r="W774" s="285" t="n"/>
      <c r="X774" s="285" t="n"/>
      <c r="Y774" s="285" t="n"/>
      <c r="Z774" s="285" t="n"/>
    </row>
    <row r="775" ht="15.75" customHeight="1" s="398">
      <c r="A775" s="284" t="n"/>
      <c r="B775" s="285" t="n"/>
      <c r="C775" s="284" t="n"/>
      <c r="D775" s="285" t="n"/>
      <c r="E775" s="354" t="n"/>
      <c r="F775" s="336" t="n"/>
      <c r="G775" s="336" t="n"/>
      <c r="H775" s="285" t="n"/>
      <c r="I775" s="285" t="n"/>
      <c r="J775" s="285" t="n"/>
      <c r="K775" s="285" t="n"/>
      <c r="L775" s="285" t="n"/>
      <c r="M775" s="285" t="n"/>
      <c r="N775" s="285" t="n"/>
      <c r="O775" s="285" t="n"/>
      <c r="P775" s="285" t="n"/>
      <c r="Q775" s="285" t="n"/>
      <c r="R775" s="284" t="n"/>
      <c r="S775" s="284" t="n"/>
      <c r="T775" s="285" t="n"/>
      <c r="U775" s="285" t="n"/>
      <c r="V775" s="285" t="n"/>
      <c r="W775" s="285" t="n"/>
      <c r="X775" s="285" t="n"/>
      <c r="Y775" s="285" t="n"/>
      <c r="Z775" s="285" t="n"/>
    </row>
    <row r="776" ht="15.75" customHeight="1" s="398">
      <c r="A776" s="284" t="n"/>
      <c r="B776" s="285" t="n"/>
      <c r="C776" s="284" t="n"/>
      <c r="D776" s="285" t="n"/>
      <c r="E776" s="354" t="n"/>
      <c r="F776" s="336" t="n"/>
      <c r="G776" s="336" t="n"/>
      <c r="H776" s="285" t="n"/>
      <c r="I776" s="285" t="n"/>
      <c r="J776" s="285" t="n"/>
      <c r="K776" s="285" t="n"/>
      <c r="L776" s="285" t="n"/>
      <c r="M776" s="285" t="n"/>
      <c r="N776" s="285" t="n"/>
      <c r="O776" s="285" t="n"/>
      <c r="P776" s="285" t="n"/>
      <c r="Q776" s="285" t="n"/>
      <c r="R776" s="284" t="n"/>
      <c r="S776" s="284" t="n"/>
      <c r="T776" s="285" t="n"/>
      <c r="U776" s="285" t="n"/>
      <c r="V776" s="285" t="n"/>
      <c r="W776" s="285" t="n"/>
      <c r="X776" s="285" t="n"/>
      <c r="Y776" s="285" t="n"/>
      <c r="Z776" s="285" t="n"/>
    </row>
    <row r="777" ht="15.75" customHeight="1" s="398">
      <c r="A777" s="284" t="n"/>
      <c r="B777" s="285" t="n"/>
      <c r="C777" s="284" t="n"/>
      <c r="D777" s="285" t="n"/>
      <c r="E777" s="354" t="n"/>
      <c r="F777" s="336" t="n"/>
      <c r="G777" s="336" t="n"/>
      <c r="H777" s="285" t="n"/>
      <c r="I777" s="285" t="n"/>
      <c r="J777" s="285" t="n"/>
      <c r="K777" s="285" t="n"/>
      <c r="L777" s="285" t="n"/>
      <c r="M777" s="285" t="n"/>
      <c r="N777" s="285" t="n"/>
      <c r="O777" s="285" t="n"/>
      <c r="P777" s="285" t="n"/>
      <c r="Q777" s="285" t="n"/>
      <c r="R777" s="284" t="n"/>
      <c r="S777" s="284" t="n"/>
      <c r="T777" s="285" t="n"/>
      <c r="U777" s="285" t="n"/>
      <c r="V777" s="285" t="n"/>
      <c r="W777" s="285" t="n"/>
      <c r="X777" s="285" t="n"/>
      <c r="Y777" s="285" t="n"/>
      <c r="Z777" s="285" t="n"/>
    </row>
    <row r="778" ht="15.75" customHeight="1" s="398">
      <c r="A778" s="284" t="n"/>
      <c r="B778" s="285" t="n"/>
      <c r="C778" s="284" t="n"/>
      <c r="D778" s="285" t="n"/>
      <c r="E778" s="354" t="n"/>
      <c r="F778" s="336" t="n"/>
      <c r="G778" s="336" t="n"/>
      <c r="H778" s="285" t="n"/>
      <c r="I778" s="285" t="n"/>
      <c r="J778" s="285" t="n"/>
      <c r="K778" s="285" t="n"/>
      <c r="L778" s="285" t="n"/>
      <c r="M778" s="285" t="n"/>
      <c r="N778" s="285" t="n"/>
      <c r="O778" s="285" t="n"/>
      <c r="P778" s="285" t="n"/>
      <c r="Q778" s="285" t="n"/>
      <c r="R778" s="284" t="n"/>
      <c r="S778" s="284" t="n"/>
      <c r="T778" s="285" t="n"/>
      <c r="U778" s="285" t="n"/>
      <c r="V778" s="285" t="n"/>
      <c r="W778" s="285" t="n"/>
      <c r="X778" s="285" t="n"/>
      <c r="Y778" s="285" t="n"/>
      <c r="Z778" s="285" t="n"/>
    </row>
    <row r="779" ht="15.75" customHeight="1" s="398">
      <c r="A779" s="284" t="n"/>
      <c r="B779" s="285" t="n"/>
      <c r="C779" s="284" t="n"/>
      <c r="D779" s="285" t="n"/>
      <c r="E779" s="354" t="n"/>
      <c r="F779" s="336" t="n"/>
      <c r="G779" s="336" t="n"/>
      <c r="H779" s="285" t="n"/>
      <c r="I779" s="285" t="n"/>
      <c r="J779" s="285" t="n"/>
      <c r="K779" s="285" t="n"/>
      <c r="L779" s="285" t="n"/>
      <c r="M779" s="285" t="n"/>
      <c r="N779" s="285" t="n"/>
      <c r="O779" s="285" t="n"/>
      <c r="P779" s="285" t="n"/>
      <c r="Q779" s="285" t="n"/>
      <c r="R779" s="284" t="n"/>
      <c r="S779" s="284" t="n"/>
      <c r="T779" s="285" t="n"/>
      <c r="U779" s="285" t="n"/>
      <c r="V779" s="285" t="n"/>
      <c r="W779" s="285" t="n"/>
      <c r="X779" s="285" t="n"/>
      <c r="Y779" s="285" t="n"/>
      <c r="Z779" s="285" t="n"/>
    </row>
    <row r="780" ht="15.75" customHeight="1" s="398">
      <c r="A780" s="284" t="n"/>
      <c r="B780" s="285" t="n"/>
      <c r="C780" s="284" t="n"/>
      <c r="D780" s="285" t="n"/>
      <c r="E780" s="354" t="n"/>
      <c r="F780" s="336" t="n"/>
      <c r="G780" s="336" t="n"/>
      <c r="H780" s="285" t="n"/>
      <c r="I780" s="285" t="n"/>
      <c r="J780" s="285" t="n"/>
      <c r="K780" s="285" t="n"/>
      <c r="L780" s="285" t="n"/>
      <c r="M780" s="285" t="n"/>
      <c r="N780" s="285" t="n"/>
      <c r="O780" s="285" t="n"/>
      <c r="P780" s="285" t="n"/>
      <c r="Q780" s="285" t="n"/>
      <c r="R780" s="284" t="n"/>
      <c r="S780" s="284" t="n"/>
      <c r="T780" s="285" t="n"/>
      <c r="U780" s="285" t="n"/>
      <c r="V780" s="285" t="n"/>
      <c r="W780" s="285" t="n"/>
      <c r="X780" s="285" t="n"/>
      <c r="Y780" s="285" t="n"/>
      <c r="Z780" s="285" t="n"/>
    </row>
    <row r="781" ht="15.75" customHeight="1" s="398">
      <c r="A781" s="284" t="n"/>
      <c r="B781" s="285" t="n"/>
      <c r="C781" s="284" t="n"/>
      <c r="D781" s="285" t="n"/>
      <c r="E781" s="354" t="n"/>
      <c r="F781" s="336" t="n"/>
      <c r="G781" s="336" t="n"/>
      <c r="H781" s="285" t="n"/>
      <c r="I781" s="285" t="n"/>
      <c r="J781" s="285" t="n"/>
      <c r="K781" s="285" t="n"/>
      <c r="L781" s="285" t="n"/>
      <c r="M781" s="285" t="n"/>
      <c r="N781" s="285" t="n"/>
      <c r="O781" s="285" t="n"/>
      <c r="P781" s="285" t="n"/>
      <c r="Q781" s="285" t="n"/>
      <c r="R781" s="284" t="n"/>
      <c r="S781" s="284" t="n"/>
      <c r="T781" s="285" t="n"/>
      <c r="U781" s="285" t="n"/>
      <c r="V781" s="285" t="n"/>
      <c r="W781" s="285" t="n"/>
      <c r="X781" s="285" t="n"/>
      <c r="Y781" s="285" t="n"/>
      <c r="Z781" s="285" t="n"/>
    </row>
    <row r="782" ht="15.75" customHeight="1" s="398">
      <c r="A782" s="284" t="n"/>
      <c r="B782" s="285" t="n"/>
      <c r="C782" s="284" t="n"/>
      <c r="D782" s="285" t="n"/>
      <c r="E782" s="354" t="n"/>
      <c r="F782" s="336" t="n"/>
      <c r="G782" s="336" t="n"/>
      <c r="H782" s="285" t="n"/>
      <c r="I782" s="285" t="n"/>
      <c r="J782" s="285" t="n"/>
      <c r="K782" s="285" t="n"/>
      <c r="L782" s="285" t="n"/>
      <c r="M782" s="285" t="n"/>
      <c r="N782" s="285" t="n"/>
      <c r="O782" s="285" t="n"/>
      <c r="P782" s="285" t="n"/>
      <c r="Q782" s="285" t="n"/>
      <c r="R782" s="284" t="n"/>
      <c r="S782" s="284" t="n"/>
      <c r="T782" s="285" t="n"/>
      <c r="U782" s="285" t="n"/>
      <c r="V782" s="285" t="n"/>
      <c r="W782" s="285" t="n"/>
      <c r="X782" s="285" t="n"/>
      <c r="Y782" s="285" t="n"/>
      <c r="Z782" s="285" t="n"/>
    </row>
    <row r="783" ht="15.75" customHeight="1" s="398">
      <c r="A783" s="284" t="n"/>
      <c r="B783" s="285" t="n"/>
      <c r="C783" s="284" t="n"/>
      <c r="D783" s="285" t="n"/>
      <c r="E783" s="354" t="n"/>
      <c r="F783" s="336" t="n"/>
      <c r="G783" s="336" t="n"/>
      <c r="H783" s="285" t="n"/>
      <c r="I783" s="285" t="n"/>
      <c r="J783" s="285" t="n"/>
      <c r="K783" s="285" t="n"/>
      <c r="L783" s="285" t="n"/>
      <c r="M783" s="285" t="n"/>
      <c r="N783" s="285" t="n"/>
      <c r="O783" s="285" t="n"/>
      <c r="P783" s="285" t="n"/>
      <c r="Q783" s="285" t="n"/>
      <c r="R783" s="284" t="n"/>
      <c r="S783" s="284" t="n"/>
      <c r="T783" s="285" t="n"/>
      <c r="U783" s="285" t="n"/>
      <c r="V783" s="285" t="n"/>
      <c r="W783" s="285" t="n"/>
      <c r="X783" s="285" t="n"/>
      <c r="Y783" s="285" t="n"/>
      <c r="Z783" s="285" t="n"/>
    </row>
    <row r="784" ht="15.75" customHeight="1" s="398">
      <c r="A784" s="284" t="n"/>
      <c r="B784" s="285" t="n"/>
      <c r="C784" s="284" t="n"/>
      <c r="D784" s="285" t="n"/>
      <c r="E784" s="354" t="n"/>
      <c r="F784" s="336" t="n"/>
      <c r="G784" s="336" t="n"/>
      <c r="H784" s="285" t="n"/>
      <c r="I784" s="285" t="n"/>
      <c r="J784" s="285" t="n"/>
      <c r="K784" s="285" t="n"/>
      <c r="L784" s="285" t="n"/>
      <c r="M784" s="285" t="n"/>
      <c r="N784" s="285" t="n"/>
      <c r="O784" s="285" t="n"/>
      <c r="P784" s="285" t="n"/>
      <c r="Q784" s="285" t="n"/>
      <c r="R784" s="284" t="n"/>
      <c r="S784" s="284" t="n"/>
      <c r="T784" s="285" t="n"/>
      <c r="U784" s="285" t="n"/>
      <c r="V784" s="285" t="n"/>
      <c r="W784" s="285" t="n"/>
      <c r="X784" s="285" t="n"/>
      <c r="Y784" s="285" t="n"/>
      <c r="Z784" s="285" t="n"/>
    </row>
    <row r="785" ht="15.75" customHeight="1" s="398">
      <c r="A785" s="284" t="n"/>
      <c r="B785" s="285" t="n"/>
      <c r="C785" s="284" t="n"/>
      <c r="D785" s="285" t="n"/>
      <c r="E785" s="354" t="n"/>
      <c r="F785" s="336" t="n"/>
      <c r="G785" s="336" t="n"/>
      <c r="H785" s="285" t="n"/>
      <c r="I785" s="285" t="n"/>
      <c r="J785" s="285" t="n"/>
      <c r="K785" s="285" t="n"/>
      <c r="L785" s="285" t="n"/>
      <c r="M785" s="285" t="n"/>
      <c r="N785" s="285" t="n"/>
      <c r="O785" s="285" t="n"/>
      <c r="P785" s="285" t="n"/>
      <c r="Q785" s="285" t="n"/>
      <c r="R785" s="284" t="n"/>
      <c r="S785" s="284" t="n"/>
      <c r="T785" s="285" t="n"/>
      <c r="U785" s="285" t="n"/>
      <c r="V785" s="285" t="n"/>
      <c r="W785" s="285" t="n"/>
      <c r="X785" s="285" t="n"/>
      <c r="Y785" s="285" t="n"/>
      <c r="Z785" s="285" t="n"/>
    </row>
    <row r="786" ht="15.75" customHeight="1" s="398">
      <c r="A786" s="284" t="n"/>
      <c r="B786" s="285" t="n"/>
      <c r="C786" s="284" t="n"/>
      <c r="D786" s="285" t="n"/>
      <c r="E786" s="354" t="n"/>
      <c r="F786" s="336" t="n"/>
      <c r="G786" s="336" t="n"/>
      <c r="H786" s="285" t="n"/>
      <c r="I786" s="285" t="n"/>
      <c r="J786" s="285" t="n"/>
      <c r="K786" s="285" t="n"/>
      <c r="L786" s="285" t="n"/>
      <c r="M786" s="285" t="n"/>
      <c r="N786" s="285" t="n"/>
      <c r="O786" s="285" t="n"/>
      <c r="P786" s="285" t="n"/>
      <c r="Q786" s="285" t="n"/>
      <c r="R786" s="284" t="n"/>
      <c r="S786" s="284" t="n"/>
      <c r="T786" s="285" t="n"/>
      <c r="U786" s="285" t="n"/>
      <c r="V786" s="285" t="n"/>
      <c r="W786" s="285" t="n"/>
      <c r="X786" s="285" t="n"/>
      <c r="Y786" s="285" t="n"/>
      <c r="Z786" s="285" t="n"/>
    </row>
    <row r="787" ht="15.75" customHeight="1" s="398">
      <c r="A787" s="284" t="n"/>
      <c r="B787" s="285" t="n"/>
      <c r="C787" s="284" t="n"/>
      <c r="D787" s="285" t="n"/>
      <c r="E787" s="354" t="n"/>
      <c r="F787" s="336" t="n"/>
      <c r="G787" s="336" t="n"/>
      <c r="H787" s="285" t="n"/>
      <c r="I787" s="285" t="n"/>
      <c r="J787" s="285" t="n"/>
      <c r="K787" s="285" t="n"/>
      <c r="L787" s="285" t="n"/>
      <c r="M787" s="285" t="n"/>
      <c r="N787" s="285" t="n"/>
      <c r="O787" s="285" t="n"/>
      <c r="P787" s="285" t="n"/>
      <c r="Q787" s="285" t="n"/>
      <c r="R787" s="284" t="n"/>
      <c r="S787" s="284" t="n"/>
      <c r="T787" s="285" t="n"/>
      <c r="U787" s="285" t="n"/>
      <c r="V787" s="285" t="n"/>
      <c r="W787" s="285" t="n"/>
      <c r="X787" s="285" t="n"/>
      <c r="Y787" s="285" t="n"/>
      <c r="Z787" s="285" t="n"/>
    </row>
    <row r="788" ht="15.75" customHeight="1" s="398">
      <c r="A788" s="284" t="n"/>
      <c r="B788" s="285" t="n"/>
      <c r="C788" s="284" t="n"/>
      <c r="D788" s="285" t="n"/>
      <c r="E788" s="354" t="n"/>
      <c r="F788" s="336" t="n"/>
      <c r="G788" s="336" t="n"/>
      <c r="H788" s="285" t="n"/>
      <c r="I788" s="285" t="n"/>
      <c r="J788" s="285" t="n"/>
      <c r="K788" s="285" t="n"/>
      <c r="L788" s="285" t="n"/>
      <c r="M788" s="285" t="n"/>
      <c r="N788" s="285" t="n"/>
      <c r="O788" s="285" t="n"/>
      <c r="P788" s="285" t="n"/>
      <c r="Q788" s="285" t="n"/>
      <c r="R788" s="284" t="n"/>
      <c r="S788" s="284" t="n"/>
      <c r="T788" s="285" t="n"/>
      <c r="U788" s="285" t="n"/>
      <c r="V788" s="285" t="n"/>
      <c r="W788" s="285" t="n"/>
      <c r="X788" s="285" t="n"/>
      <c r="Y788" s="285" t="n"/>
      <c r="Z788" s="285" t="n"/>
    </row>
    <row r="789" ht="15.75" customHeight="1" s="398">
      <c r="A789" s="284" t="n"/>
      <c r="B789" s="285" t="n"/>
      <c r="C789" s="284" t="n"/>
      <c r="D789" s="285" t="n"/>
      <c r="E789" s="354" t="n"/>
      <c r="F789" s="336" t="n"/>
      <c r="G789" s="336" t="n"/>
      <c r="H789" s="285" t="n"/>
      <c r="I789" s="285" t="n"/>
      <c r="J789" s="285" t="n"/>
      <c r="K789" s="285" t="n"/>
      <c r="L789" s="285" t="n"/>
      <c r="M789" s="285" t="n"/>
      <c r="N789" s="285" t="n"/>
      <c r="O789" s="285" t="n"/>
      <c r="P789" s="285" t="n"/>
      <c r="Q789" s="285" t="n"/>
      <c r="R789" s="284" t="n"/>
      <c r="S789" s="284" t="n"/>
      <c r="T789" s="285" t="n"/>
      <c r="U789" s="285" t="n"/>
      <c r="V789" s="285" t="n"/>
      <c r="W789" s="285" t="n"/>
      <c r="X789" s="285" t="n"/>
      <c r="Y789" s="285" t="n"/>
      <c r="Z789" s="285" t="n"/>
    </row>
    <row r="790" ht="15.75" customHeight="1" s="398">
      <c r="A790" s="284" t="n"/>
      <c r="B790" s="285" t="n"/>
      <c r="C790" s="284" t="n"/>
      <c r="D790" s="285" t="n"/>
      <c r="E790" s="354" t="n"/>
      <c r="F790" s="336" t="n"/>
      <c r="G790" s="336" t="n"/>
      <c r="H790" s="285" t="n"/>
      <c r="I790" s="285" t="n"/>
      <c r="J790" s="285" t="n"/>
      <c r="K790" s="285" t="n"/>
      <c r="L790" s="285" t="n"/>
      <c r="M790" s="285" t="n"/>
      <c r="N790" s="285" t="n"/>
      <c r="O790" s="285" t="n"/>
      <c r="P790" s="285" t="n"/>
      <c r="Q790" s="285" t="n"/>
      <c r="R790" s="284" t="n"/>
      <c r="S790" s="284" t="n"/>
      <c r="T790" s="285" t="n"/>
      <c r="U790" s="285" t="n"/>
      <c r="V790" s="285" t="n"/>
      <c r="W790" s="285" t="n"/>
      <c r="X790" s="285" t="n"/>
      <c r="Y790" s="285" t="n"/>
      <c r="Z790" s="285" t="n"/>
    </row>
    <row r="791" ht="15.75" customHeight="1" s="398">
      <c r="A791" s="284" t="n"/>
      <c r="B791" s="285" t="n"/>
      <c r="C791" s="284" t="n"/>
      <c r="D791" s="285" t="n"/>
      <c r="E791" s="354" t="n"/>
      <c r="F791" s="336" t="n"/>
      <c r="G791" s="336" t="n"/>
      <c r="H791" s="285" t="n"/>
      <c r="I791" s="285" t="n"/>
      <c r="J791" s="285" t="n"/>
      <c r="K791" s="285" t="n"/>
      <c r="L791" s="285" t="n"/>
      <c r="M791" s="285" t="n"/>
      <c r="N791" s="285" t="n"/>
      <c r="O791" s="285" t="n"/>
      <c r="P791" s="285" t="n"/>
      <c r="Q791" s="285" t="n"/>
      <c r="R791" s="284" t="n"/>
      <c r="S791" s="284" t="n"/>
      <c r="T791" s="285" t="n"/>
      <c r="U791" s="285" t="n"/>
      <c r="V791" s="285" t="n"/>
      <c r="W791" s="285" t="n"/>
      <c r="X791" s="285" t="n"/>
      <c r="Y791" s="285" t="n"/>
      <c r="Z791" s="285" t="n"/>
    </row>
    <row r="792" ht="15.75" customHeight="1" s="398">
      <c r="A792" s="284" t="n"/>
      <c r="B792" s="285" t="n"/>
      <c r="C792" s="284" t="n"/>
      <c r="D792" s="285" t="n"/>
      <c r="E792" s="354" t="n"/>
      <c r="F792" s="336" t="n"/>
      <c r="G792" s="336" t="n"/>
      <c r="H792" s="285" t="n"/>
      <c r="I792" s="285" t="n"/>
      <c r="J792" s="285" t="n"/>
      <c r="K792" s="285" t="n"/>
      <c r="L792" s="285" t="n"/>
      <c r="M792" s="285" t="n"/>
      <c r="N792" s="285" t="n"/>
      <c r="O792" s="285" t="n"/>
      <c r="P792" s="285" t="n"/>
      <c r="Q792" s="285" t="n"/>
      <c r="R792" s="284" t="n"/>
      <c r="S792" s="284" t="n"/>
      <c r="T792" s="285" t="n"/>
      <c r="U792" s="285" t="n"/>
      <c r="V792" s="285" t="n"/>
      <c r="W792" s="285" t="n"/>
      <c r="X792" s="285" t="n"/>
      <c r="Y792" s="285" t="n"/>
      <c r="Z792" s="285" t="n"/>
    </row>
    <row r="793" ht="15.75" customHeight="1" s="398">
      <c r="A793" s="284" t="n"/>
      <c r="B793" s="285" t="n"/>
      <c r="C793" s="284" t="n"/>
      <c r="D793" s="285" t="n"/>
      <c r="E793" s="354" t="n"/>
      <c r="F793" s="336" t="n"/>
      <c r="G793" s="336" t="n"/>
      <c r="H793" s="285" t="n"/>
      <c r="I793" s="285" t="n"/>
      <c r="J793" s="285" t="n"/>
      <c r="K793" s="285" t="n"/>
      <c r="L793" s="285" t="n"/>
      <c r="M793" s="285" t="n"/>
      <c r="N793" s="285" t="n"/>
      <c r="O793" s="285" t="n"/>
      <c r="P793" s="285" t="n"/>
      <c r="Q793" s="285" t="n"/>
      <c r="R793" s="284" t="n"/>
      <c r="S793" s="284" t="n"/>
      <c r="T793" s="285" t="n"/>
      <c r="U793" s="285" t="n"/>
      <c r="V793" s="285" t="n"/>
      <c r="W793" s="285" t="n"/>
      <c r="X793" s="285" t="n"/>
      <c r="Y793" s="285" t="n"/>
      <c r="Z793" s="285" t="n"/>
    </row>
    <row r="794" ht="15.75" customHeight="1" s="398">
      <c r="A794" s="284" t="n"/>
      <c r="B794" s="285" t="n"/>
      <c r="C794" s="284" t="n"/>
      <c r="D794" s="285" t="n"/>
      <c r="E794" s="354" t="n"/>
      <c r="F794" s="336" t="n"/>
      <c r="G794" s="336" t="n"/>
      <c r="H794" s="285" t="n"/>
      <c r="I794" s="285" t="n"/>
      <c r="J794" s="285" t="n"/>
      <c r="K794" s="285" t="n"/>
      <c r="L794" s="285" t="n"/>
      <c r="M794" s="285" t="n"/>
      <c r="N794" s="285" t="n"/>
      <c r="O794" s="285" t="n"/>
      <c r="P794" s="285" t="n"/>
      <c r="Q794" s="285" t="n"/>
      <c r="R794" s="284" t="n"/>
      <c r="S794" s="284" t="n"/>
      <c r="T794" s="285" t="n"/>
      <c r="U794" s="285" t="n"/>
      <c r="V794" s="285" t="n"/>
      <c r="W794" s="285" t="n"/>
      <c r="X794" s="285" t="n"/>
      <c r="Y794" s="285" t="n"/>
      <c r="Z794" s="285" t="n"/>
    </row>
    <row r="795" ht="15.75" customHeight="1" s="398">
      <c r="A795" s="284" t="n"/>
      <c r="B795" s="285" t="n"/>
      <c r="C795" s="284" t="n"/>
      <c r="D795" s="285" t="n"/>
      <c r="E795" s="354" t="n"/>
      <c r="F795" s="336" t="n"/>
      <c r="G795" s="336" t="n"/>
      <c r="H795" s="285" t="n"/>
      <c r="I795" s="285" t="n"/>
      <c r="J795" s="285" t="n"/>
      <c r="K795" s="285" t="n"/>
      <c r="L795" s="285" t="n"/>
      <c r="M795" s="285" t="n"/>
      <c r="N795" s="285" t="n"/>
      <c r="O795" s="285" t="n"/>
      <c r="P795" s="285" t="n"/>
      <c r="Q795" s="285" t="n"/>
      <c r="R795" s="284" t="n"/>
      <c r="S795" s="284" t="n"/>
      <c r="T795" s="285" t="n"/>
      <c r="U795" s="285" t="n"/>
      <c r="V795" s="285" t="n"/>
      <c r="W795" s="285" t="n"/>
      <c r="X795" s="285" t="n"/>
      <c r="Y795" s="285" t="n"/>
      <c r="Z795" s="285" t="n"/>
    </row>
    <row r="796" ht="15.75" customHeight="1" s="398">
      <c r="A796" s="284" t="n"/>
      <c r="B796" s="285" t="n"/>
      <c r="C796" s="284" t="n"/>
      <c r="D796" s="285" t="n"/>
      <c r="E796" s="354" t="n"/>
      <c r="F796" s="336" t="n"/>
      <c r="G796" s="336" t="n"/>
      <c r="H796" s="285" t="n"/>
      <c r="I796" s="285" t="n"/>
      <c r="J796" s="285" t="n"/>
      <c r="K796" s="285" t="n"/>
      <c r="L796" s="285" t="n"/>
      <c r="M796" s="285" t="n"/>
      <c r="N796" s="285" t="n"/>
      <c r="O796" s="285" t="n"/>
      <c r="P796" s="285" t="n"/>
      <c r="Q796" s="285" t="n"/>
      <c r="R796" s="284" t="n"/>
      <c r="S796" s="284" t="n"/>
      <c r="T796" s="285" t="n"/>
      <c r="U796" s="285" t="n"/>
      <c r="V796" s="285" t="n"/>
      <c r="W796" s="285" t="n"/>
      <c r="X796" s="285" t="n"/>
      <c r="Y796" s="285" t="n"/>
      <c r="Z796" s="285" t="n"/>
    </row>
    <row r="797" ht="15.75" customHeight="1" s="398">
      <c r="A797" s="284" t="n"/>
      <c r="B797" s="285" t="n"/>
      <c r="C797" s="284" t="n"/>
      <c r="D797" s="285" t="n"/>
      <c r="E797" s="354" t="n"/>
      <c r="F797" s="336" t="n"/>
      <c r="G797" s="336" t="n"/>
      <c r="H797" s="285" t="n"/>
      <c r="I797" s="285" t="n"/>
      <c r="J797" s="285" t="n"/>
      <c r="K797" s="285" t="n"/>
      <c r="L797" s="285" t="n"/>
      <c r="M797" s="285" t="n"/>
      <c r="N797" s="285" t="n"/>
      <c r="O797" s="285" t="n"/>
      <c r="P797" s="285" t="n"/>
      <c r="Q797" s="285" t="n"/>
      <c r="R797" s="284" t="n"/>
      <c r="S797" s="284" t="n"/>
      <c r="T797" s="285" t="n"/>
      <c r="U797" s="285" t="n"/>
      <c r="V797" s="285" t="n"/>
      <c r="W797" s="285" t="n"/>
      <c r="X797" s="285" t="n"/>
      <c r="Y797" s="285" t="n"/>
      <c r="Z797" s="285" t="n"/>
    </row>
    <row r="798" ht="15.75" customHeight="1" s="398">
      <c r="A798" s="284" t="n"/>
      <c r="B798" s="285" t="n"/>
      <c r="C798" s="284" t="n"/>
      <c r="D798" s="285" t="n"/>
      <c r="E798" s="354" t="n"/>
      <c r="F798" s="336" t="n"/>
      <c r="G798" s="336" t="n"/>
      <c r="H798" s="285" t="n"/>
      <c r="I798" s="285" t="n"/>
      <c r="J798" s="285" t="n"/>
      <c r="K798" s="285" t="n"/>
      <c r="L798" s="285" t="n"/>
      <c r="M798" s="285" t="n"/>
      <c r="N798" s="285" t="n"/>
      <c r="O798" s="285" t="n"/>
      <c r="P798" s="285" t="n"/>
      <c r="Q798" s="285" t="n"/>
      <c r="R798" s="284" t="n"/>
      <c r="S798" s="284" t="n"/>
      <c r="T798" s="285" t="n"/>
      <c r="U798" s="285" t="n"/>
      <c r="V798" s="285" t="n"/>
      <c r="W798" s="285" t="n"/>
      <c r="X798" s="285" t="n"/>
      <c r="Y798" s="285" t="n"/>
      <c r="Z798" s="285" t="n"/>
    </row>
    <row r="799" ht="15.75" customHeight="1" s="398">
      <c r="A799" s="284" t="n"/>
      <c r="B799" s="285" t="n"/>
      <c r="C799" s="284" t="n"/>
      <c r="D799" s="285" t="n"/>
      <c r="E799" s="354" t="n"/>
      <c r="F799" s="336" t="n"/>
      <c r="G799" s="336" t="n"/>
      <c r="H799" s="285" t="n"/>
      <c r="I799" s="285" t="n"/>
      <c r="J799" s="285" t="n"/>
      <c r="K799" s="285" t="n"/>
      <c r="L799" s="285" t="n"/>
      <c r="M799" s="285" t="n"/>
      <c r="N799" s="285" t="n"/>
      <c r="O799" s="285" t="n"/>
      <c r="P799" s="285" t="n"/>
      <c r="Q799" s="285" t="n"/>
      <c r="R799" s="284" t="n"/>
      <c r="S799" s="284" t="n"/>
      <c r="T799" s="285" t="n"/>
      <c r="U799" s="285" t="n"/>
      <c r="V799" s="285" t="n"/>
      <c r="W799" s="285" t="n"/>
      <c r="X799" s="285" t="n"/>
      <c r="Y799" s="285" t="n"/>
      <c r="Z799" s="285" t="n"/>
    </row>
    <row r="800" ht="15.75" customHeight="1" s="398">
      <c r="A800" s="284" t="n"/>
      <c r="B800" s="285" t="n"/>
      <c r="C800" s="284" t="n"/>
      <c r="D800" s="285" t="n"/>
      <c r="E800" s="354" t="n"/>
      <c r="F800" s="336" t="n"/>
      <c r="G800" s="336" t="n"/>
      <c r="H800" s="285" t="n"/>
      <c r="I800" s="285" t="n"/>
      <c r="J800" s="285" t="n"/>
      <c r="K800" s="285" t="n"/>
      <c r="L800" s="285" t="n"/>
      <c r="M800" s="285" t="n"/>
      <c r="N800" s="285" t="n"/>
      <c r="O800" s="285" t="n"/>
      <c r="P800" s="285" t="n"/>
      <c r="Q800" s="285" t="n"/>
      <c r="R800" s="284" t="n"/>
      <c r="S800" s="284" t="n"/>
      <c r="T800" s="285" t="n"/>
      <c r="U800" s="285" t="n"/>
      <c r="V800" s="285" t="n"/>
      <c r="W800" s="285" t="n"/>
      <c r="X800" s="285" t="n"/>
      <c r="Y800" s="285" t="n"/>
      <c r="Z800" s="285" t="n"/>
    </row>
    <row r="801" ht="15.75" customHeight="1" s="398">
      <c r="A801" s="284" t="n"/>
      <c r="B801" s="285" t="n"/>
      <c r="C801" s="284" t="n"/>
      <c r="D801" s="285" t="n"/>
      <c r="E801" s="354" t="n"/>
      <c r="F801" s="336" t="n"/>
      <c r="G801" s="336" t="n"/>
      <c r="H801" s="285" t="n"/>
      <c r="I801" s="285" t="n"/>
      <c r="J801" s="285" t="n"/>
      <c r="K801" s="285" t="n"/>
      <c r="L801" s="285" t="n"/>
      <c r="M801" s="285" t="n"/>
      <c r="N801" s="285" t="n"/>
      <c r="O801" s="285" t="n"/>
      <c r="P801" s="285" t="n"/>
      <c r="Q801" s="285" t="n"/>
      <c r="R801" s="284" t="n"/>
      <c r="S801" s="284" t="n"/>
      <c r="T801" s="285" t="n"/>
      <c r="U801" s="285" t="n"/>
      <c r="V801" s="285" t="n"/>
      <c r="W801" s="285" t="n"/>
      <c r="X801" s="285" t="n"/>
      <c r="Y801" s="285" t="n"/>
      <c r="Z801" s="285" t="n"/>
    </row>
    <row r="802" ht="15.75" customHeight="1" s="398">
      <c r="A802" s="284" t="n"/>
      <c r="B802" s="285" t="n"/>
      <c r="C802" s="284" t="n"/>
      <c r="D802" s="285" t="n"/>
      <c r="E802" s="354" t="n"/>
      <c r="F802" s="336" t="n"/>
      <c r="G802" s="336" t="n"/>
      <c r="H802" s="285" t="n"/>
      <c r="I802" s="285" t="n"/>
      <c r="J802" s="285" t="n"/>
      <c r="K802" s="285" t="n"/>
      <c r="L802" s="285" t="n"/>
      <c r="M802" s="285" t="n"/>
      <c r="N802" s="285" t="n"/>
      <c r="O802" s="285" t="n"/>
      <c r="P802" s="285" t="n"/>
      <c r="Q802" s="285" t="n"/>
      <c r="R802" s="284" t="n"/>
      <c r="S802" s="284" t="n"/>
      <c r="T802" s="285" t="n"/>
      <c r="U802" s="285" t="n"/>
      <c r="V802" s="285" t="n"/>
      <c r="W802" s="285" t="n"/>
      <c r="X802" s="285" t="n"/>
      <c r="Y802" s="285" t="n"/>
      <c r="Z802" s="285" t="n"/>
    </row>
    <row r="803" ht="15.75" customHeight="1" s="398">
      <c r="A803" s="284" t="n"/>
      <c r="B803" s="285" t="n"/>
      <c r="C803" s="284" t="n"/>
      <c r="D803" s="285" t="n"/>
      <c r="E803" s="354" t="n"/>
      <c r="F803" s="336" t="n"/>
      <c r="G803" s="336" t="n"/>
      <c r="H803" s="285" t="n"/>
      <c r="I803" s="285" t="n"/>
      <c r="J803" s="285" t="n"/>
      <c r="K803" s="285" t="n"/>
      <c r="L803" s="285" t="n"/>
      <c r="M803" s="285" t="n"/>
      <c r="N803" s="285" t="n"/>
      <c r="O803" s="285" t="n"/>
      <c r="P803" s="285" t="n"/>
      <c r="Q803" s="285" t="n"/>
      <c r="R803" s="284" t="n"/>
      <c r="S803" s="284" t="n"/>
      <c r="T803" s="285" t="n"/>
      <c r="U803" s="285" t="n"/>
      <c r="V803" s="285" t="n"/>
      <c r="W803" s="285" t="n"/>
      <c r="X803" s="285" t="n"/>
      <c r="Y803" s="285" t="n"/>
      <c r="Z803" s="285" t="n"/>
    </row>
    <row r="804" ht="15.75" customHeight="1" s="398">
      <c r="A804" s="284" t="n"/>
      <c r="B804" s="285" t="n"/>
      <c r="C804" s="284" t="n"/>
      <c r="D804" s="285" t="n"/>
      <c r="E804" s="354" t="n"/>
      <c r="F804" s="336" t="n"/>
      <c r="G804" s="336" t="n"/>
      <c r="H804" s="285" t="n"/>
      <c r="I804" s="285" t="n"/>
      <c r="J804" s="285" t="n"/>
      <c r="K804" s="285" t="n"/>
      <c r="L804" s="285" t="n"/>
      <c r="M804" s="285" t="n"/>
      <c r="N804" s="285" t="n"/>
      <c r="O804" s="285" t="n"/>
      <c r="P804" s="285" t="n"/>
      <c r="Q804" s="285" t="n"/>
      <c r="R804" s="284" t="n"/>
      <c r="S804" s="284" t="n"/>
      <c r="T804" s="285" t="n"/>
      <c r="U804" s="285" t="n"/>
      <c r="V804" s="285" t="n"/>
      <c r="W804" s="285" t="n"/>
      <c r="X804" s="285" t="n"/>
      <c r="Y804" s="285" t="n"/>
      <c r="Z804" s="285" t="n"/>
    </row>
    <row r="805" ht="15.75" customHeight="1" s="398">
      <c r="A805" s="284" t="n"/>
      <c r="B805" s="285" t="n"/>
      <c r="C805" s="284" t="n"/>
      <c r="D805" s="285" t="n"/>
      <c r="E805" s="354" t="n"/>
      <c r="F805" s="336" t="n"/>
      <c r="G805" s="336" t="n"/>
      <c r="H805" s="285" t="n"/>
      <c r="I805" s="285" t="n"/>
      <c r="J805" s="285" t="n"/>
      <c r="K805" s="285" t="n"/>
      <c r="L805" s="285" t="n"/>
      <c r="M805" s="285" t="n"/>
      <c r="N805" s="285" t="n"/>
      <c r="O805" s="285" t="n"/>
      <c r="P805" s="285" t="n"/>
      <c r="Q805" s="285" t="n"/>
      <c r="R805" s="284" t="n"/>
      <c r="S805" s="284" t="n"/>
      <c r="T805" s="285" t="n"/>
      <c r="U805" s="285" t="n"/>
      <c r="V805" s="285" t="n"/>
      <c r="W805" s="285" t="n"/>
      <c r="X805" s="285" t="n"/>
      <c r="Y805" s="285" t="n"/>
      <c r="Z805" s="285" t="n"/>
    </row>
    <row r="806" ht="15.75" customHeight="1" s="398">
      <c r="A806" s="284" t="n"/>
      <c r="B806" s="285" t="n"/>
      <c r="C806" s="284" t="n"/>
      <c r="D806" s="285" t="n"/>
      <c r="E806" s="354" t="n"/>
      <c r="F806" s="336" t="n"/>
      <c r="G806" s="336" t="n"/>
      <c r="H806" s="285" t="n"/>
      <c r="I806" s="285" t="n"/>
      <c r="J806" s="285" t="n"/>
      <c r="K806" s="285" t="n"/>
      <c r="L806" s="285" t="n"/>
      <c r="M806" s="285" t="n"/>
      <c r="N806" s="285" t="n"/>
      <c r="O806" s="285" t="n"/>
      <c r="P806" s="285" t="n"/>
      <c r="Q806" s="285" t="n"/>
      <c r="R806" s="284" t="n"/>
      <c r="S806" s="284" t="n"/>
      <c r="T806" s="285" t="n"/>
      <c r="U806" s="285" t="n"/>
      <c r="V806" s="285" t="n"/>
      <c r="W806" s="285" t="n"/>
      <c r="X806" s="285" t="n"/>
      <c r="Y806" s="285" t="n"/>
      <c r="Z806" s="285" t="n"/>
    </row>
    <row r="807" ht="15.75" customHeight="1" s="398">
      <c r="A807" s="284" t="n"/>
      <c r="B807" s="285" t="n"/>
      <c r="C807" s="284" t="n"/>
      <c r="D807" s="285" t="n"/>
      <c r="E807" s="354" t="n"/>
      <c r="F807" s="336" t="n"/>
      <c r="G807" s="336" t="n"/>
      <c r="H807" s="285" t="n"/>
      <c r="I807" s="285" t="n"/>
      <c r="J807" s="285" t="n"/>
      <c r="K807" s="285" t="n"/>
      <c r="L807" s="285" t="n"/>
      <c r="M807" s="285" t="n"/>
      <c r="N807" s="285" t="n"/>
      <c r="O807" s="285" t="n"/>
      <c r="P807" s="285" t="n"/>
      <c r="Q807" s="285" t="n"/>
      <c r="R807" s="284" t="n"/>
      <c r="S807" s="284" t="n"/>
      <c r="T807" s="285" t="n"/>
      <c r="U807" s="285" t="n"/>
      <c r="V807" s="285" t="n"/>
      <c r="W807" s="285" t="n"/>
      <c r="X807" s="285" t="n"/>
      <c r="Y807" s="285" t="n"/>
      <c r="Z807" s="285" t="n"/>
    </row>
    <row r="808" ht="15.75" customHeight="1" s="398">
      <c r="A808" s="284" t="n"/>
      <c r="B808" s="285" t="n"/>
      <c r="C808" s="284" t="n"/>
      <c r="D808" s="285" t="n"/>
      <c r="E808" s="354" t="n"/>
      <c r="F808" s="336" t="n"/>
      <c r="G808" s="336" t="n"/>
      <c r="H808" s="285" t="n"/>
      <c r="I808" s="285" t="n"/>
      <c r="J808" s="285" t="n"/>
      <c r="K808" s="285" t="n"/>
      <c r="L808" s="285" t="n"/>
      <c r="M808" s="285" t="n"/>
      <c r="N808" s="285" t="n"/>
      <c r="O808" s="285" t="n"/>
      <c r="P808" s="285" t="n"/>
      <c r="Q808" s="285" t="n"/>
      <c r="R808" s="284" t="n"/>
      <c r="S808" s="284" t="n"/>
      <c r="T808" s="285" t="n"/>
      <c r="U808" s="285" t="n"/>
      <c r="V808" s="285" t="n"/>
      <c r="W808" s="285" t="n"/>
      <c r="X808" s="285" t="n"/>
      <c r="Y808" s="285" t="n"/>
      <c r="Z808" s="285" t="n"/>
    </row>
    <row r="809" ht="15.75" customHeight="1" s="398">
      <c r="A809" s="284" t="n"/>
      <c r="B809" s="285" t="n"/>
      <c r="C809" s="284" t="n"/>
      <c r="D809" s="285" t="n"/>
      <c r="E809" s="354" t="n"/>
      <c r="F809" s="336" t="n"/>
      <c r="G809" s="336" t="n"/>
      <c r="H809" s="285" t="n"/>
      <c r="I809" s="285" t="n"/>
      <c r="J809" s="285" t="n"/>
      <c r="K809" s="285" t="n"/>
      <c r="L809" s="285" t="n"/>
      <c r="M809" s="285" t="n"/>
      <c r="N809" s="285" t="n"/>
      <c r="O809" s="285" t="n"/>
      <c r="P809" s="285" t="n"/>
      <c r="Q809" s="285" t="n"/>
      <c r="R809" s="284" t="n"/>
      <c r="S809" s="284" t="n"/>
      <c r="T809" s="285" t="n"/>
      <c r="U809" s="285" t="n"/>
      <c r="V809" s="285" t="n"/>
      <c r="W809" s="285" t="n"/>
      <c r="X809" s="285" t="n"/>
      <c r="Y809" s="285" t="n"/>
      <c r="Z809" s="285" t="n"/>
    </row>
    <row r="810" ht="15.75" customHeight="1" s="398">
      <c r="A810" s="284" t="n"/>
      <c r="B810" s="285" t="n"/>
      <c r="C810" s="284" t="n"/>
      <c r="D810" s="285" t="n"/>
      <c r="E810" s="354" t="n"/>
      <c r="F810" s="336" t="n"/>
      <c r="G810" s="336" t="n"/>
      <c r="H810" s="285" t="n"/>
      <c r="I810" s="285" t="n"/>
      <c r="J810" s="285" t="n"/>
      <c r="K810" s="285" t="n"/>
      <c r="L810" s="285" t="n"/>
      <c r="M810" s="285" t="n"/>
      <c r="N810" s="285" t="n"/>
      <c r="O810" s="285" t="n"/>
      <c r="P810" s="285" t="n"/>
      <c r="Q810" s="285" t="n"/>
      <c r="R810" s="284" t="n"/>
      <c r="S810" s="284" t="n"/>
      <c r="T810" s="285" t="n"/>
      <c r="U810" s="285" t="n"/>
      <c r="V810" s="285" t="n"/>
      <c r="W810" s="285" t="n"/>
      <c r="X810" s="285" t="n"/>
      <c r="Y810" s="285" t="n"/>
      <c r="Z810" s="285" t="n"/>
    </row>
    <row r="811" ht="15.75" customHeight="1" s="398">
      <c r="A811" s="284" t="n"/>
      <c r="B811" s="285" t="n"/>
      <c r="C811" s="284" t="n"/>
      <c r="D811" s="285" t="n"/>
      <c r="E811" s="354" t="n"/>
      <c r="F811" s="336" t="n"/>
      <c r="G811" s="336" t="n"/>
      <c r="H811" s="285" t="n"/>
      <c r="I811" s="285" t="n"/>
      <c r="J811" s="285" t="n"/>
      <c r="K811" s="285" t="n"/>
      <c r="L811" s="285" t="n"/>
      <c r="M811" s="285" t="n"/>
      <c r="N811" s="285" t="n"/>
      <c r="O811" s="285" t="n"/>
      <c r="P811" s="285" t="n"/>
      <c r="Q811" s="285" t="n"/>
      <c r="R811" s="284" t="n"/>
      <c r="S811" s="284" t="n"/>
      <c r="T811" s="285" t="n"/>
      <c r="U811" s="285" t="n"/>
      <c r="V811" s="285" t="n"/>
      <c r="W811" s="285" t="n"/>
      <c r="X811" s="285" t="n"/>
      <c r="Y811" s="285" t="n"/>
      <c r="Z811" s="285" t="n"/>
    </row>
    <row r="812" ht="15.75" customHeight="1" s="398">
      <c r="A812" s="284" t="n"/>
      <c r="B812" s="285" t="n"/>
      <c r="C812" s="284" t="n"/>
      <c r="D812" s="285" t="n"/>
      <c r="E812" s="354" t="n"/>
      <c r="F812" s="336" t="n"/>
      <c r="G812" s="336" t="n"/>
      <c r="H812" s="285" t="n"/>
      <c r="I812" s="285" t="n"/>
      <c r="J812" s="285" t="n"/>
      <c r="K812" s="285" t="n"/>
      <c r="L812" s="285" t="n"/>
      <c r="M812" s="285" t="n"/>
      <c r="N812" s="285" t="n"/>
      <c r="O812" s="285" t="n"/>
      <c r="P812" s="285" t="n"/>
      <c r="Q812" s="285" t="n"/>
      <c r="R812" s="284" t="n"/>
      <c r="S812" s="284" t="n"/>
      <c r="T812" s="285" t="n"/>
      <c r="U812" s="285" t="n"/>
      <c r="V812" s="285" t="n"/>
      <c r="W812" s="285" t="n"/>
      <c r="X812" s="285" t="n"/>
      <c r="Y812" s="285" t="n"/>
      <c r="Z812" s="285" t="n"/>
    </row>
    <row r="813" ht="15.75" customHeight="1" s="398">
      <c r="A813" s="284" t="n"/>
      <c r="B813" s="285" t="n"/>
      <c r="C813" s="284" t="n"/>
      <c r="D813" s="285" t="n"/>
      <c r="E813" s="354" t="n"/>
      <c r="F813" s="336" t="n"/>
      <c r="G813" s="336" t="n"/>
      <c r="H813" s="285" t="n"/>
      <c r="I813" s="285" t="n"/>
      <c r="J813" s="285" t="n"/>
      <c r="K813" s="285" t="n"/>
      <c r="L813" s="285" t="n"/>
      <c r="M813" s="285" t="n"/>
      <c r="N813" s="285" t="n"/>
      <c r="O813" s="285" t="n"/>
      <c r="P813" s="285" t="n"/>
      <c r="Q813" s="285" t="n"/>
      <c r="R813" s="284" t="n"/>
      <c r="S813" s="284" t="n"/>
      <c r="T813" s="285" t="n"/>
      <c r="U813" s="285" t="n"/>
      <c r="V813" s="285" t="n"/>
      <c r="W813" s="285" t="n"/>
      <c r="X813" s="285" t="n"/>
      <c r="Y813" s="285" t="n"/>
      <c r="Z813" s="285" t="n"/>
    </row>
    <row r="814" ht="15.75" customHeight="1" s="398">
      <c r="A814" s="284" t="n"/>
      <c r="B814" s="285" t="n"/>
      <c r="C814" s="284" t="n"/>
      <c r="D814" s="285" t="n"/>
      <c r="E814" s="354" t="n"/>
      <c r="F814" s="336" t="n"/>
      <c r="G814" s="336" t="n"/>
      <c r="H814" s="285" t="n"/>
      <c r="I814" s="285" t="n"/>
      <c r="J814" s="285" t="n"/>
      <c r="K814" s="285" t="n"/>
      <c r="L814" s="285" t="n"/>
      <c r="M814" s="285" t="n"/>
      <c r="N814" s="285" t="n"/>
      <c r="O814" s="285" t="n"/>
      <c r="P814" s="285" t="n"/>
      <c r="Q814" s="285" t="n"/>
      <c r="R814" s="284" t="n"/>
      <c r="S814" s="284" t="n"/>
      <c r="T814" s="285" t="n"/>
      <c r="U814" s="285" t="n"/>
      <c r="V814" s="285" t="n"/>
      <c r="W814" s="285" t="n"/>
      <c r="X814" s="285" t="n"/>
      <c r="Y814" s="285" t="n"/>
      <c r="Z814" s="285" t="n"/>
    </row>
    <row r="815" ht="15.75" customHeight="1" s="398">
      <c r="A815" s="284" t="n"/>
      <c r="B815" s="285" t="n"/>
      <c r="C815" s="284" t="n"/>
      <c r="D815" s="285" t="n"/>
      <c r="E815" s="354" t="n"/>
      <c r="F815" s="336" t="n"/>
      <c r="G815" s="336" t="n"/>
      <c r="H815" s="285" t="n"/>
      <c r="I815" s="285" t="n"/>
      <c r="J815" s="285" t="n"/>
      <c r="K815" s="285" t="n"/>
      <c r="L815" s="285" t="n"/>
      <c r="M815" s="285" t="n"/>
      <c r="N815" s="285" t="n"/>
      <c r="O815" s="285" t="n"/>
      <c r="P815" s="285" t="n"/>
      <c r="Q815" s="285" t="n"/>
      <c r="R815" s="284" t="n"/>
      <c r="S815" s="284" t="n"/>
      <c r="T815" s="285" t="n"/>
      <c r="U815" s="285" t="n"/>
      <c r="V815" s="285" t="n"/>
      <c r="W815" s="285" t="n"/>
      <c r="X815" s="285" t="n"/>
      <c r="Y815" s="285" t="n"/>
      <c r="Z815" s="285" t="n"/>
    </row>
    <row r="816" ht="15.75" customHeight="1" s="398">
      <c r="A816" s="284" t="n"/>
      <c r="B816" s="285" t="n"/>
      <c r="C816" s="284" t="n"/>
      <c r="D816" s="285" t="n"/>
      <c r="E816" s="354" t="n"/>
      <c r="F816" s="336" t="n"/>
      <c r="G816" s="336" t="n"/>
      <c r="H816" s="285" t="n"/>
      <c r="I816" s="285" t="n"/>
      <c r="J816" s="285" t="n"/>
      <c r="K816" s="285" t="n"/>
      <c r="L816" s="285" t="n"/>
      <c r="M816" s="285" t="n"/>
      <c r="N816" s="285" t="n"/>
      <c r="O816" s="285" t="n"/>
      <c r="P816" s="285" t="n"/>
      <c r="Q816" s="285" t="n"/>
      <c r="R816" s="284" t="n"/>
      <c r="S816" s="284" t="n"/>
      <c r="T816" s="285" t="n"/>
      <c r="U816" s="285" t="n"/>
      <c r="V816" s="285" t="n"/>
      <c r="W816" s="285" t="n"/>
      <c r="X816" s="285" t="n"/>
      <c r="Y816" s="285" t="n"/>
      <c r="Z816" s="285" t="n"/>
    </row>
    <row r="817" ht="15.75" customHeight="1" s="398">
      <c r="A817" s="284" t="n"/>
      <c r="B817" s="285" t="n"/>
      <c r="C817" s="284" t="n"/>
      <c r="D817" s="285" t="n"/>
      <c r="E817" s="354" t="n"/>
      <c r="F817" s="336" t="n"/>
      <c r="G817" s="336" t="n"/>
      <c r="H817" s="285" t="n"/>
      <c r="I817" s="285" t="n"/>
      <c r="J817" s="285" t="n"/>
      <c r="K817" s="285" t="n"/>
      <c r="L817" s="285" t="n"/>
      <c r="M817" s="285" t="n"/>
      <c r="N817" s="285" t="n"/>
      <c r="O817" s="285" t="n"/>
      <c r="P817" s="285" t="n"/>
      <c r="Q817" s="285" t="n"/>
      <c r="R817" s="284" t="n"/>
      <c r="S817" s="284" t="n"/>
      <c r="T817" s="285" t="n"/>
      <c r="U817" s="285" t="n"/>
      <c r="V817" s="285" t="n"/>
      <c r="W817" s="285" t="n"/>
      <c r="X817" s="285" t="n"/>
      <c r="Y817" s="285" t="n"/>
      <c r="Z817" s="285" t="n"/>
    </row>
    <row r="818" ht="15.75" customHeight="1" s="398">
      <c r="A818" s="284" t="n"/>
      <c r="B818" s="285" t="n"/>
      <c r="C818" s="284" t="n"/>
      <c r="D818" s="285" t="n"/>
      <c r="E818" s="354" t="n"/>
      <c r="F818" s="336" t="n"/>
      <c r="G818" s="336" t="n"/>
      <c r="H818" s="285" t="n"/>
      <c r="I818" s="285" t="n"/>
      <c r="J818" s="285" t="n"/>
      <c r="K818" s="285" t="n"/>
      <c r="L818" s="285" t="n"/>
      <c r="M818" s="285" t="n"/>
      <c r="N818" s="285" t="n"/>
      <c r="O818" s="285" t="n"/>
      <c r="P818" s="285" t="n"/>
      <c r="Q818" s="285" t="n"/>
      <c r="R818" s="284" t="n"/>
      <c r="S818" s="284" t="n"/>
      <c r="T818" s="285" t="n"/>
      <c r="U818" s="285" t="n"/>
      <c r="V818" s="285" t="n"/>
      <c r="W818" s="285" t="n"/>
      <c r="X818" s="285" t="n"/>
      <c r="Y818" s="285" t="n"/>
      <c r="Z818" s="285" t="n"/>
    </row>
    <row r="819" ht="15.75" customHeight="1" s="398">
      <c r="A819" s="284" t="n"/>
      <c r="B819" s="285" t="n"/>
      <c r="C819" s="284" t="n"/>
      <c r="D819" s="285" t="n"/>
      <c r="E819" s="354" t="n"/>
      <c r="F819" s="336" t="n"/>
      <c r="G819" s="336" t="n"/>
      <c r="H819" s="285" t="n"/>
      <c r="I819" s="285" t="n"/>
      <c r="J819" s="285" t="n"/>
      <c r="K819" s="285" t="n"/>
      <c r="L819" s="285" t="n"/>
      <c r="M819" s="285" t="n"/>
      <c r="N819" s="285" t="n"/>
      <c r="O819" s="285" t="n"/>
      <c r="P819" s="285" t="n"/>
      <c r="Q819" s="285" t="n"/>
      <c r="R819" s="284" t="n"/>
      <c r="S819" s="284" t="n"/>
      <c r="T819" s="285" t="n"/>
      <c r="U819" s="285" t="n"/>
      <c r="V819" s="285" t="n"/>
      <c r="W819" s="285" t="n"/>
      <c r="X819" s="285" t="n"/>
      <c r="Y819" s="285" t="n"/>
      <c r="Z819" s="285" t="n"/>
    </row>
    <row r="820" ht="15.75" customHeight="1" s="398">
      <c r="A820" s="284" t="n"/>
      <c r="B820" s="285" t="n"/>
      <c r="C820" s="284" t="n"/>
      <c r="D820" s="285" t="n"/>
      <c r="E820" s="354" t="n"/>
      <c r="F820" s="336" t="n"/>
      <c r="G820" s="336" t="n"/>
      <c r="H820" s="285" t="n"/>
      <c r="I820" s="285" t="n"/>
      <c r="J820" s="285" t="n"/>
      <c r="K820" s="285" t="n"/>
      <c r="L820" s="285" t="n"/>
      <c r="M820" s="285" t="n"/>
      <c r="N820" s="285" t="n"/>
      <c r="O820" s="285" t="n"/>
      <c r="P820" s="285" t="n"/>
      <c r="Q820" s="285" t="n"/>
      <c r="R820" s="284" t="n"/>
      <c r="S820" s="284" t="n"/>
      <c r="T820" s="285" t="n"/>
      <c r="U820" s="285" t="n"/>
      <c r="V820" s="285" t="n"/>
      <c r="W820" s="285" t="n"/>
      <c r="X820" s="285" t="n"/>
      <c r="Y820" s="285" t="n"/>
      <c r="Z820" s="285" t="n"/>
    </row>
    <row r="821" ht="15.75" customHeight="1" s="398">
      <c r="A821" s="284" t="n"/>
      <c r="B821" s="285" t="n"/>
      <c r="C821" s="284" t="n"/>
      <c r="D821" s="285" t="n"/>
      <c r="E821" s="354" t="n"/>
      <c r="F821" s="336" t="n"/>
      <c r="G821" s="336" t="n"/>
      <c r="H821" s="285" t="n"/>
      <c r="I821" s="285" t="n"/>
      <c r="J821" s="285" t="n"/>
      <c r="K821" s="285" t="n"/>
      <c r="L821" s="285" t="n"/>
      <c r="M821" s="285" t="n"/>
      <c r="N821" s="285" t="n"/>
      <c r="O821" s="285" t="n"/>
      <c r="P821" s="285" t="n"/>
      <c r="Q821" s="285" t="n"/>
      <c r="R821" s="284" t="n"/>
      <c r="S821" s="284" t="n"/>
      <c r="T821" s="285" t="n"/>
      <c r="U821" s="285" t="n"/>
      <c r="V821" s="285" t="n"/>
      <c r="W821" s="285" t="n"/>
      <c r="X821" s="285" t="n"/>
      <c r="Y821" s="285" t="n"/>
      <c r="Z821" s="285" t="n"/>
    </row>
    <row r="822" ht="15.75" customHeight="1" s="398">
      <c r="A822" s="284" t="n"/>
      <c r="B822" s="285" t="n"/>
      <c r="C822" s="284" t="n"/>
      <c r="D822" s="285" t="n"/>
      <c r="E822" s="354" t="n"/>
      <c r="F822" s="336" t="n"/>
      <c r="G822" s="336" t="n"/>
      <c r="H822" s="285" t="n"/>
      <c r="I822" s="285" t="n"/>
      <c r="J822" s="285" t="n"/>
      <c r="K822" s="285" t="n"/>
      <c r="L822" s="285" t="n"/>
      <c r="M822" s="285" t="n"/>
      <c r="N822" s="285" t="n"/>
      <c r="O822" s="285" t="n"/>
      <c r="P822" s="285" t="n"/>
      <c r="Q822" s="285" t="n"/>
      <c r="R822" s="284" t="n"/>
      <c r="S822" s="284" t="n"/>
      <c r="T822" s="285" t="n"/>
      <c r="U822" s="285" t="n"/>
      <c r="V822" s="285" t="n"/>
      <c r="W822" s="285" t="n"/>
      <c r="X822" s="285" t="n"/>
      <c r="Y822" s="285" t="n"/>
      <c r="Z822" s="285" t="n"/>
    </row>
    <row r="823" ht="15.75" customHeight="1" s="398">
      <c r="A823" s="284" t="n"/>
      <c r="B823" s="285" t="n"/>
      <c r="C823" s="284" t="n"/>
      <c r="D823" s="285" t="n"/>
      <c r="E823" s="354" t="n"/>
      <c r="F823" s="336" t="n"/>
      <c r="G823" s="336" t="n"/>
      <c r="H823" s="285" t="n"/>
      <c r="I823" s="285" t="n"/>
      <c r="J823" s="285" t="n"/>
      <c r="K823" s="285" t="n"/>
      <c r="L823" s="285" t="n"/>
      <c r="M823" s="285" t="n"/>
      <c r="N823" s="285" t="n"/>
      <c r="O823" s="285" t="n"/>
      <c r="P823" s="285" t="n"/>
      <c r="Q823" s="285" t="n"/>
      <c r="R823" s="284" t="n"/>
      <c r="S823" s="284" t="n"/>
      <c r="T823" s="285" t="n"/>
      <c r="U823" s="285" t="n"/>
      <c r="V823" s="285" t="n"/>
      <c r="W823" s="285" t="n"/>
      <c r="X823" s="285" t="n"/>
      <c r="Y823" s="285" t="n"/>
      <c r="Z823" s="285" t="n"/>
    </row>
    <row r="824" ht="15.75" customHeight="1" s="398">
      <c r="A824" s="284" t="n"/>
      <c r="B824" s="285" t="n"/>
      <c r="C824" s="284" t="n"/>
      <c r="D824" s="285" t="n"/>
      <c r="E824" s="354" t="n"/>
      <c r="F824" s="336" t="n"/>
      <c r="G824" s="336" t="n"/>
      <c r="H824" s="285" t="n"/>
      <c r="I824" s="285" t="n"/>
      <c r="J824" s="285" t="n"/>
      <c r="K824" s="285" t="n"/>
      <c r="L824" s="285" t="n"/>
      <c r="M824" s="285" t="n"/>
      <c r="N824" s="285" t="n"/>
      <c r="O824" s="285" t="n"/>
      <c r="P824" s="285" t="n"/>
      <c r="Q824" s="285" t="n"/>
      <c r="R824" s="284" t="n"/>
      <c r="S824" s="284" t="n"/>
      <c r="T824" s="285" t="n"/>
      <c r="U824" s="285" t="n"/>
      <c r="V824" s="285" t="n"/>
      <c r="W824" s="285" t="n"/>
      <c r="X824" s="285" t="n"/>
      <c r="Y824" s="285" t="n"/>
      <c r="Z824" s="285" t="n"/>
    </row>
    <row r="825" ht="15.75" customHeight="1" s="398">
      <c r="A825" s="284" t="n"/>
      <c r="B825" s="285" t="n"/>
      <c r="C825" s="284" t="n"/>
      <c r="D825" s="285" t="n"/>
      <c r="E825" s="354" t="n"/>
      <c r="F825" s="336" t="n"/>
      <c r="G825" s="336" t="n"/>
      <c r="H825" s="285" t="n"/>
      <c r="I825" s="285" t="n"/>
      <c r="J825" s="285" t="n"/>
      <c r="K825" s="285" t="n"/>
      <c r="L825" s="285" t="n"/>
      <c r="M825" s="285" t="n"/>
      <c r="N825" s="285" t="n"/>
      <c r="O825" s="285" t="n"/>
      <c r="P825" s="285" t="n"/>
      <c r="Q825" s="285" t="n"/>
      <c r="R825" s="284" t="n"/>
      <c r="S825" s="284" t="n"/>
      <c r="T825" s="285" t="n"/>
      <c r="U825" s="285" t="n"/>
      <c r="V825" s="285" t="n"/>
      <c r="W825" s="285" t="n"/>
      <c r="X825" s="285" t="n"/>
      <c r="Y825" s="285" t="n"/>
      <c r="Z825" s="285" t="n"/>
    </row>
    <row r="826" ht="15.75" customHeight="1" s="398">
      <c r="A826" s="284" t="n"/>
      <c r="B826" s="285" t="n"/>
      <c r="C826" s="284" t="n"/>
      <c r="D826" s="285" t="n"/>
      <c r="E826" s="354" t="n"/>
      <c r="F826" s="336" t="n"/>
      <c r="G826" s="336" t="n"/>
      <c r="H826" s="285" t="n"/>
      <c r="I826" s="285" t="n"/>
      <c r="J826" s="285" t="n"/>
      <c r="K826" s="285" t="n"/>
      <c r="L826" s="285" t="n"/>
      <c r="M826" s="285" t="n"/>
      <c r="N826" s="285" t="n"/>
      <c r="O826" s="285" t="n"/>
      <c r="P826" s="285" t="n"/>
      <c r="Q826" s="285" t="n"/>
      <c r="R826" s="284" t="n"/>
      <c r="S826" s="284" t="n"/>
      <c r="T826" s="285" t="n"/>
      <c r="U826" s="285" t="n"/>
      <c r="V826" s="285" t="n"/>
      <c r="W826" s="285" t="n"/>
      <c r="X826" s="285" t="n"/>
      <c r="Y826" s="285" t="n"/>
      <c r="Z826" s="285" t="n"/>
    </row>
    <row r="827" ht="15.75" customHeight="1" s="398">
      <c r="A827" s="284" t="n"/>
      <c r="B827" s="285" t="n"/>
      <c r="C827" s="284" t="n"/>
      <c r="D827" s="285" t="n"/>
      <c r="E827" s="354" t="n"/>
      <c r="F827" s="336" t="n"/>
      <c r="G827" s="336" t="n"/>
      <c r="H827" s="285" t="n"/>
      <c r="I827" s="285" t="n"/>
      <c r="J827" s="285" t="n"/>
      <c r="K827" s="285" t="n"/>
      <c r="L827" s="285" t="n"/>
      <c r="M827" s="285" t="n"/>
      <c r="N827" s="285" t="n"/>
      <c r="O827" s="285" t="n"/>
      <c r="P827" s="285" t="n"/>
      <c r="Q827" s="285" t="n"/>
      <c r="R827" s="284" t="n"/>
      <c r="S827" s="284" t="n"/>
      <c r="T827" s="285" t="n"/>
      <c r="U827" s="285" t="n"/>
      <c r="V827" s="285" t="n"/>
      <c r="W827" s="285" t="n"/>
      <c r="X827" s="285" t="n"/>
      <c r="Y827" s="285" t="n"/>
      <c r="Z827" s="285" t="n"/>
    </row>
    <row r="828" ht="15.75" customHeight="1" s="398">
      <c r="A828" s="284" t="n"/>
      <c r="B828" s="285" t="n"/>
      <c r="C828" s="284" t="n"/>
      <c r="D828" s="285" t="n"/>
      <c r="E828" s="354" t="n"/>
      <c r="F828" s="336" t="n"/>
      <c r="G828" s="336" t="n"/>
      <c r="H828" s="285" t="n"/>
      <c r="I828" s="285" t="n"/>
      <c r="J828" s="285" t="n"/>
      <c r="K828" s="285" t="n"/>
      <c r="L828" s="285" t="n"/>
      <c r="M828" s="285" t="n"/>
      <c r="N828" s="285" t="n"/>
      <c r="O828" s="285" t="n"/>
      <c r="P828" s="285" t="n"/>
      <c r="Q828" s="285" t="n"/>
      <c r="R828" s="284" t="n"/>
      <c r="S828" s="284" t="n"/>
      <c r="T828" s="285" t="n"/>
      <c r="U828" s="285" t="n"/>
      <c r="V828" s="285" t="n"/>
      <c r="W828" s="285" t="n"/>
      <c r="X828" s="285" t="n"/>
      <c r="Y828" s="285" t="n"/>
      <c r="Z828" s="285" t="n"/>
    </row>
    <row r="829" ht="15.75" customHeight="1" s="398">
      <c r="A829" s="284" t="n"/>
      <c r="B829" s="285" t="n"/>
      <c r="C829" s="284" t="n"/>
      <c r="D829" s="285" t="n"/>
      <c r="E829" s="354" t="n"/>
      <c r="F829" s="336" t="n"/>
      <c r="G829" s="336" t="n"/>
      <c r="H829" s="285" t="n"/>
      <c r="I829" s="285" t="n"/>
      <c r="J829" s="285" t="n"/>
      <c r="K829" s="285" t="n"/>
      <c r="L829" s="285" t="n"/>
      <c r="M829" s="285" t="n"/>
      <c r="N829" s="285" t="n"/>
      <c r="O829" s="285" t="n"/>
      <c r="P829" s="285" t="n"/>
      <c r="Q829" s="285" t="n"/>
      <c r="R829" s="284" t="n"/>
      <c r="S829" s="284" t="n"/>
      <c r="T829" s="285" t="n"/>
      <c r="U829" s="285" t="n"/>
      <c r="V829" s="285" t="n"/>
      <c r="W829" s="285" t="n"/>
      <c r="X829" s="285" t="n"/>
      <c r="Y829" s="285" t="n"/>
      <c r="Z829" s="285" t="n"/>
    </row>
    <row r="830" ht="15.75" customHeight="1" s="398">
      <c r="A830" s="284" t="n"/>
      <c r="B830" s="285" t="n"/>
      <c r="C830" s="284" t="n"/>
      <c r="D830" s="285" t="n"/>
      <c r="E830" s="354" t="n"/>
      <c r="F830" s="336" t="n"/>
      <c r="G830" s="336" t="n"/>
      <c r="H830" s="285" t="n"/>
      <c r="I830" s="285" t="n"/>
      <c r="J830" s="285" t="n"/>
      <c r="K830" s="285" t="n"/>
      <c r="L830" s="285" t="n"/>
      <c r="M830" s="285" t="n"/>
      <c r="N830" s="285" t="n"/>
      <c r="O830" s="285" t="n"/>
      <c r="P830" s="285" t="n"/>
      <c r="Q830" s="285" t="n"/>
      <c r="R830" s="284" t="n"/>
      <c r="S830" s="284" t="n"/>
      <c r="T830" s="285" t="n"/>
      <c r="U830" s="285" t="n"/>
      <c r="V830" s="285" t="n"/>
      <c r="W830" s="285" t="n"/>
      <c r="X830" s="285" t="n"/>
      <c r="Y830" s="285" t="n"/>
      <c r="Z830" s="285" t="n"/>
    </row>
    <row r="831" ht="15.75" customHeight="1" s="398">
      <c r="A831" s="284" t="n"/>
      <c r="B831" s="285" t="n"/>
      <c r="C831" s="284" t="n"/>
      <c r="D831" s="285" t="n"/>
      <c r="E831" s="354" t="n"/>
      <c r="F831" s="336" t="n"/>
      <c r="G831" s="336" t="n"/>
      <c r="H831" s="285" t="n"/>
      <c r="I831" s="285" t="n"/>
      <c r="J831" s="285" t="n"/>
      <c r="K831" s="285" t="n"/>
      <c r="L831" s="285" t="n"/>
      <c r="M831" s="285" t="n"/>
      <c r="N831" s="285" t="n"/>
      <c r="O831" s="285" t="n"/>
      <c r="P831" s="285" t="n"/>
      <c r="Q831" s="285" t="n"/>
      <c r="R831" s="284" t="n"/>
      <c r="S831" s="284" t="n"/>
      <c r="T831" s="285" t="n"/>
      <c r="U831" s="285" t="n"/>
      <c r="V831" s="285" t="n"/>
      <c r="W831" s="285" t="n"/>
      <c r="X831" s="285" t="n"/>
      <c r="Y831" s="285" t="n"/>
      <c r="Z831" s="285" t="n"/>
    </row>
    <row r="832" ht="15.75" customHeight="1" s="398">
      <c r="A832" s="284" t="n"/>
      <c r="B832" s="285" t="n"/>
      <c r="C832" s="284" t="n"/>
      <c r="D832" s="285" t="n"/>
      <c r="E832" s="354" t="n"/>
      <c r="F832" s="336" t="n"/>
      <c r="G832" s="336" t="n"/>
      <c r="H832" s="285" t="n"/>
      <c r="I832" s="285" t="n"/>
      <c r="J832" s="285" t="n"/>
      <c r="K832" s="285" t="n"/>
      <c r="L832" s="285" t="n"/>
      <c r="M832" s="285" t="n"/>
      <c r="N832" s="285" t="n"/>
      <c r="O832" s="285" t="n"/>
      <c r="P832" s="285" t="n"/>
      <c r="Q832" s="285" t="n"/>
      <c r="R832" s="284" t="n"/>
      <c r="S832" s="284" t="n"/>
      <c r="T832" s="285" t="n"/>
      <c r="U832" s="285" t="n"/>
      <c r="V832" s="285" t="n"/>
      <c r="W832" s="285" t="n"/>
      <c r="X832" s="285" t="n"/>
      <c r="Y832" s="285" t="n"/>
      <c r="Z832" s="285" t="n"/>
    </row>
    <row r="833" ht="15.75" customHeight="1" s="398">
      <c r="A833" s="284" t="n"/>
      <c r="B833" s="285" t="n"/>
      <c r="C833" s="284" t="n"/>
      <c r="D833" s="285" t="n"/>
      <c r="E833" s="354" t="n"/>
      <c r="F833" s="336" t="n"/>
      <c r="G833" s="336" t="n"/>
      <c r="H833" s="285" t="n"/>
      <c r="I833" s="285" t="n"/>
      <c r="J833" s="285" t="n"/>
      <c r="K833" s="285" t="n"/>
      <c r="L833" s="285" t="n"/>
      <c r="M833" s="285" t="n"/>
      <c r="N833" s="285" t="n"/>
      <c r="O833" s="285" t="n"/>
      <c r="P833" s="285" t="n"/>
      <c r="Q833" s="285" t="n"/>
      <c r="R833" s="284" t="n"/>
      <c r="S833" s="284" t="n"/>
      <c r="T833" s="285" t="n"/>
      <c r="U833" s="285" t="n"/>
      <c r="V833" s="285" t="n"/>
      <c r="W833" s="285" t="n"/>
      <c r="X833" s="285" t="n"/>
      <c r="Y833" s="285" t="n"/>
      <c r="Z833" s="285" t="n"/>
    </row>
    <row r="834" ht="15.75" customHeight="1" s="398">
      <c r="A834" s="284" t="n"/>
      <c r="B834" s="285" t="n"/>
      <c r="C834" s="284" t="n"/>
      <c r="D834" s="285" t="n"/>
      <c r="E834" s="354" t="n"/>
      <c r="F834" s="336" t="n"/>
      <c r="G834" s="336" t="n"/>
      <c r="H834" s="285" t="n"/>
      <c r="I834" s="285" t="n"/>
      <c r="J834" s="285" t="n"/>
      <c r="K834" s="285" t="n"/>
      <c r="L834" s="285" t="n"/>
      <c r="M834" s="285" t="n"/>
      <c r="N834" s="285" t="n"/>
      <c r="O834" s="285" t="n"/>
      <c r="P834" s="285" t="n"/>
      <c r="Q834" s="285" t="n"/>
      <c r="R834" s="284" t="n"/>
      <c r="S834" s="284" t="n"/>
      <c r="T834" s="285" t="n"/>
      <c r="U834" s="285" t="n"/>
      <c r="V834" s="285" t="n"/>
      <c r="W834" s="285" t="n"/>
      <c r="X834" s="285" t="n"/>
      <c r="Y834" s="285" t="n"/>
      <c r="Z834" s="285" t="n"/>
    </row>
    <row r="835" ht="15.75" customHeight="1" s="398">
      <c r="A835" s="284" t="n"/>
      <c r="B835" s="285" t="n"/>
      <c r="C835" s="284" t="n"/>
      <c r="D835" s="285" t="n"/>
      <c r="E835" s="354" t="n"/>
      <c r="F835" s="336" t="n"/>
      <c r="G835" s="336" t="n"/>
      <c r="H835" s="285" t="n"/>
      <c r="I835" s="285" t="n"/>
      <c r="J835" s="285" t="n"/>
      <c r="K835" s="285" t="n"/>
      <c r="L835" s="285" t="n"/>
      <c r="M835" s="285" t="n"/>
      <c r="N835" s="285" t="n"/>
      <c r="O835" s="285" t="n"/>
      <c r="P835" s="285" t="n"/>
      <c r="Q835" s="285" t="n"/>
      <c r="R835" s="284" t="n"/>
      <c r="S835" s="284" t="n"/>
      <c r="T835" s="285" t="n"/>
      <c r="U835" s="285" t="n"/>
      <c r="V835" s="285" t="n"/>
      <c r="W835" s="285" t="n"/>
      <c r="X835" s="285" t="n"/>
      <c r="Y835" s="285" t="n"/>
      <c r="Z835" s="285" t="n"/>
    </row>
    <row r="836" ht="15.75" customHeight="1" s="398">
      <c r="A836" s="284" t="n"/>
      <c r="B836" s="285" t="n"/>
      <c r="C836" s="284" t="n"/>
      <c r="D836" s="285" t="n"/>
      <c r="E836" s="354" t="n"/>
      <c r="F836" s="336" t="n"/>
      <c r="G836" s="336" t="n"/>
      <c r="H836" s="285" t="n"/>
      <c r="I836" s="285" t="n"/>
      <c r="J836" s="285" t="n"/>
      <c r="K836" s="285" t="n"/>
      <c r="L836" s="285" t="n"/>
      <c r="M836" s="285" t="n"/>
      <c r="N836" s="285" t="n"/>
      <c r="O836" s="285" t="n"/>
      <c r="P836" s="285" t="n"/>
      <c r="Q836" s="285" t="n"/>
      <c r="R836" s="284" t="n"/>
      <c r="S836" s="284" t="n"/>
      <c r="T836" s="285" t="n"/>
      <c r="U836" s="285" t="n"/>
      <c r="V836" s="285" t="n"/>
      <c r="W836" s="285" t="n"/>
      <c r="X836" s="285" t="n"/>
      <c r="Y836" s="285" t="n"/>
      <c r="Z836" s="285" t="n"/>
    </row>
    <row r="837" ht="15.75" customHeight="1" s="398">
      <c r="A837" s="284" t="n"/>
      <c r="B837" s="285" t="n"/>
      <c r="C837" s="284" t="n"/>
      <c r="D837" s="285" t="n"/>
      <c r="E837" s="354" t="n"/>
      <c r="F837" s="336" t="n"/>
      <c r="G837" s="336" t="n"/>
      <c r="H837" s="285" t="n"/>
      <c r="I837" s="285" t="n"/>
      <c r="J837" s="285" t="n"/>
      <c r="K837" s="285" t="n"/>
      <c r="L837" s="285" t="n"/>
      <c r="M837" s="285" t="n"/>
      <c r="N837" s="285" t="n"/>
      <c r="O837" s="285" t="n"/>
      <c r="P837" s="285" t="n"/>
      <c r="Q837" s="285" t="n"/>
      <c r="R837" s="284" t="n"/>
      <c r="S837" s="284" t="n"/>
      <c r="T837" s="285" t="n"/>
      <c r="U837" s="285" t="n"/>
      <c r="V837" s="285" t="n"/>
      <c r="W837" s="285" t="n"/>
      <c r="X837" s="285" t="n"/>
      <c r="Y837" s="285" t="n"/>
      <c r="Z837" s="285" t="n"/>
    </row>
    <row r="838" ht="15.75" customHeight="1" s="398">
      <c r="A838" s="284" t="n"/>
      <c r="B838" s="285" t="n"/>
      <c r="C838" s="284" t="n"/>
      <c r="D838" s="285" t="n"/>
      <c r="E838" s="354" t="n"/>
      <c r="F838" s="336" t="n"/>
      <c r="G838" s="336" t="n"/>
      <c r="H838" s="285" t="n"/>
      <c r="I838" s="285" t="n"/>
      <c r="J838" s="285" t="n"/>
      <c r="K838" s="285" t="n"/>
      <c r="L838" s="285" t="n"/>
      <c r="M838" s="285" t="n"/>
      <c r="N838" s="285" t="n"/>
      <c r="O838" s="285" t="n"/>
      <c r="P838" s="285" t="n"/>
      <c r="Q838" s="285" t="n"/>
      <c r="R838" s="284" t="n"/>
      <c r="S838" s="284" t="n"/>
      <c r="T838" s="285" t="n"/>
      <c r="U838" s="285" t="n"/>
      <c r="V838" s="285" t="n"/>
      <c r="W838" s="285" t="n"/>
      <c r="X838" s="285" t="n"/>
      <c r="Y838" s="285" t="n"/>
      <c r="Z838" s="285" t="n"/>
    </row>
    <row r="839" ht="15.75" customHeight="1" s="398">
      <c r="A839" s="284" t="n"/>
      <c r="B839" s="285" t="n"/>
      <c r="C839" s="284" t="n"/>
      <c r="D839" s="285" t="n"/>
      <c r="E839" s="354" t="n"/>
      <c r="F839" s="336" t="n"/>
      <c r="G839" s="336" t="n"/>
      <c r="H839" s="285" t="n"/>
      <c r="I839" s="285" t="n"/>
      <c r="J839" s="285" t="n"/>
      <c r="K839" s="285" t="n"/>
      <c r="L839" s="285" t="n"/>
      <c r="M839" s="285" t="n"/>
      <c r="N839" s="285" t="n"/>
      <c r="O839" s="285" t="n"/>
      <c r="P839" s="285" t="n"/>
      <c r="Q839" s="285" t="n"/>
      <c r="R839" s="284" t="n"/>
      <c r="S839" s="284" t="n"/>
      <c r="T839" s="285" t="n"/>
      <c r="U839" s="285" t="n"/>
      <c r="V839" s="285" t="n"/>
      <c r="W839" s="285" t="n"/>
      <c r="X839" s="285" t="n"/>
      <c r="Y839" s="285" t="n"/>
      <c r="Z839" s="285" t="n"/>
    </row>
    <row r="840" ht="15.75" customHeight="1" s="398">
      <c r="A840" s="284" t="n"/>
      <c r="B840" s="285" t="n"/>
      <c r="C840" s="284" t="n"/>
      <c r="D840" s="285" t="n"/>
      <c r="E840" s="354" t="n"/>
      <c r="F840" s="336" t="n"/>
      <c r="G840" s="336" t="n"/>
      <c r="H840" s="285" t="n"/>
      <c r="I840" s="285" t="n"/>
      <c r="J840" s="285" t="n"/>
      <c r="K840" s="285" t="n"/>
      <c r="L840" s="285" t="n"/>
      <c r="M840" s="285" t="n"/>
      <c r="N840" s="285" t="n"/>
      <c r="O840" s="285" t="n"/>
      <c r="P840" s="285" t="n"/>
      <c r="Q840" s="285" t="n"/>
      <c r="R840" s="284" t="n"/>
      <c r="S840" s="284" t="n"/>
      <c r="T840" s="285" t="n"/>
      <c r="U840" s="285" t="n"/>
      <c r="V840" s="285" t="n"/>
      <c r="W840" s="285" t="n"/>
      <c r="X840" s="285" t="n"/>
      <c r="Y840" s="285" t="n"/>
      <c r="Z840" s="285" t="n"/>
    </row>
    <row r="841" ht="15.75" customHeight="1" s="398">
      <c r="A841" s="284" t="n"/>
      <c r="B841" s="285" t="n"/>
      <c r="C841" s="284" t="n"/>
      <c r="D841" s="285" t="n"/>
      <c r="E841" s="354" t="n"/>
      <c r="F841" s="336" t="n"/>
      <c r="G841" s="336" t="n"/>
      <c r="H841" s="285" t="n"/>
      <c r="I841" s="285" t="n"/>
      <c r="J841" s="285" t="n"/>
      <c r="K841" s="285" t="n"/>
      <c r="L841" s="285" t="n"/>
      <c r="M841" s="285" t="n"/>
      <c r="N841" s="285" t="n"/>
      <c r="O841" s="285" t="n"/>
      <c r="P841" s="285" t="n"/>
      <c r="Q841" s="285" t="n"/>
      <c r="R841" s="284" t="n"/>
      <c r="S841" s="284" t="n"/>
      <c r="T841" s="285" t="n"/>
      <c r="U841" s="285" t="n"/>
      <c r="V841" s="285" t="n"/>
      <c r="W841" s="285" t="n"/>
      <c r="X841" s="285" t="n"/>
      <c r="Y841" s="285" t="n"/>
      <c r="Z841" s="285" t="n"/>
    </row>
    <row r="842" ht="15.75" customHeight="1" s="398">
      <c r="A842" s="284" t="n"/>
      <c r="B842" s="285" t="n"/>
      <c r="C842" s="284" t="n"/>
      <c r="D842" s="285" t="n"/>
      <c r="E842" s="354" t="n"/>
      <c r="F842" s="336" t="n"/>
      <c r="G842" s="336" t="n"/>
      <c r="H842" s="285" t="n"/>
      <c r="I842" s="285" t="n"/>
      <c r="J842" s="285" t="n"/>
      <c r="K842" s="285" t="n"/>
      <c r="L842" s="285" t="n"/>
      <c r="M842" s="285" t="n"/>
      <c r="N842" s="285" t="n"/>
      <c r="O842" s="285" t="n"/>
      <c r="P842" s="285" t="n"/>
      <c r="Q842" s="285" t="n"/>
      <c r="R842" s="284" t="n"/>
      <c r="S842" s="284" t="n"/>
      <c r="T842" s="285" t="n"/>
      <c r="U842" s="285" t="n"/>
      <c r="V842" s="285" t="n"/>
      <c r="W842" s="285" t="n"/>
      <c r="X842" s="285" t="n"/>
      <c r="Y842" s="285" t="n"/>
      <c r="Z842" s="285" t="n"/>
    </row>
    <row r="843" ht="15.75" customHeight="1" s="398">
      <c r="A843" s="284" t="n"/>
      <c r="B843" s="285" t="n"/>
      <c r="C843" s="284" t="n"/>
      <c r="D843" s="285" t="n"/>
      <c r="E843" s="354" t="n"/>
      <c r="F843" s="336" t="n"/>
      <c r="G843" s="336" t="n"/>
      <c r="H843" s="285" t="n"/>
      <c r="I843" s="285" t="n"/>
      <c r="J843" s="285" t="n"/>
      <c r="K843" s="285" t="n"/>
      <c r="L843" s="285" t="n"/>
      <c r="M843" s="285" t="n"/>
      <c r="N843" s="285" t="n"/>
      <c r="O843" s="285" t="n"/>
      <c r="P843" s="285" t="n"/>
      <c r="Q843" s="285" t="n"/>
      <c r="R843" s="284" t="n"/>
      <c r="S843" s="284" t="n"/>
      <c r="T843" s="285" t="n"/>
      <c r="U843" s="285" t="n"/>
      <c r="V843" s="285" t="n"/>
      <c r="W843" s="285" t="n"/>
      <c r="X843" s="285" t="n"/>
      <c r="Y843" s="285" t="n"/>
      <c r="Z843" s="285" t="n"/>
    </row>
    <row r="844" ht="15.75" customHeight="1" s="398">
      <c r="A844" s="284" t="n"/>
      <c r="B844" s="285" t="n"/>
      <c r="C844" s="284" t="n"/>
      <c r="D844" s="285" t="n"/>
      <c r="E844" s="354" t="n"/>
      <c r="F844" s="336" t="n"/>
      <c r="G844" s="336" t="n"/>
      <c r="H844" s="285" t="n"/>
      <c r="I844" s="285" t="n"/>
      <c r="J844" s="285" t="n"/>
      <c r="K844" s="285" t="n"/>
      <c r="L844" s="285" t="n"/>
      <c r="M844" s="285" t="n"/>
      <c r="N844" s="285" t="n"/>
      <c r="O844" s="285" t="n"/>
      <c r="P844" s="285" t="n"/>
      <c r="Q844" s="285" t="n"/>
      <c r="R844" s="284" t="n"/>
      <c r="S844" s="284" t="n"/>
      <c r="T844" s="285" t="n"/>
      <c r="U844" s="285" t="n"/>
      <c r="V844" s="285" t="n"/>
      <c r="W844" s="285" t="n"/>
      <c r="X844" s="285" t="n"/>
      <c r="Y844" s="285" t="n"/>
      <c r="Z844" s="285" t="n"/>
    </row>
    <row r="845" ht="15.75" customHeight="1" s="398">
      <c r="A845" s="284" t="n"/>
      <c r="B845" s="285" t="n"/>
      <c r="C845" s="284" t="n"/>
      <c r="D845" s="285" t="n"/>
      <c r="E845" s="354" t="n"/>
      <c r="F845" s="336" t="n"/>
      <c r="G845" s="336" t="n"/>
      <c r="H845" s="285" t="n"/>
      <c r="I845" s="285" t="n"/>
      <c r="J845" s="285" t="n"/>
      <c r="K845" s="285" t="n"/>
      <c r="L845" s="285" t="n"/>
      <c r="M845" s="285" t="n"/>
      <c r="N845" s="285" t="n"/>
      <c r="O845" s="285" t="n"/>
      <c r="P845" s="285" t="n"/>
      <c r="Q845" s="285" t="n"/>
      <c r="R845" s="284" t="n"/>
      <c r="S845" s="284" t="n"/>
      <c r="T845" s="285" t="n"/>
      <c r="U845" s="285" t="n"/>
      <c r="V845" s="285" t="n"/>
      <c r="W845" s="285" t="n"/>
      <c r="X845" s="285" t="n"/>
      <c r="Y845" s="285" t="n"/>
      <c r="Z845" s="285" t="n"/>
    </row>
    <row r="846" ht="15.75" customHeight="1" s="398">
      <c r="A846" s="284" t="n"/>
      <c r="B846" s="285" t="n"/>
      <c r="C846" s="284" t="n"/>
      <c r="D846" s="285" t="n"/>
      <c r="E846" s="354" t="n"/>
      <c r="F846" s="336" t="n"/>
      <c r="G846" s="336" t="n"/>
      <c r="H846" s="285" t="n"/>
      <c r="I846" s="285" t="n"/>
      <c r="J846" s="285" t="n"/>
      <c r="K846" s="285" t="n"/>
      <c r="L846" s="285" t="n"/>
      <c r="M846" s="285" t="n"/>
      <c r="N846" s="285" t="n"/>
      <c r="O846" s="285" t="n"/>
      <c r="P846" s="285" t="n"/>
      <c r="Q846" s="285" t="n"/>
      <c r="R846" s="284" t="n"/>
      <c r="S846" s="284" t="n"/>
      <c r="T846" s="285" t="n"/>
      <c r="U846" s="285" t="n"/>
      <c r="V846" s="285" t="n"/>
      <c r="W846" s="285" t="n"/>
      <c r="X846" s="285" t="n"/>
      <c r="Y846" s="285" t="n"/>
      <c r="Z846" s="285" t="n"/>
    </row>
    <row r="847" ht="15.75" customHeight="1" s="398">
      <c r="A847" s="284" t="n"/>
      <c r="B847" s="285" t="n"/>
      <c r="C847" s="284" t="n"/>
      <c r="D847" s="285" t="n"/>
      <c r="E847" s="354" t="n"/>
      <c r="F847" s="336" t="n"/>
      <c r="G847" s="336" t="n"/>
      <c r="H847" s="285" t="n"/>
      <c r="I847" s="285" t="n"/>
      <c r="J847" s="285" t="n"/>
      <c r="K847" s="285" t="n"/>
      <c r="L847" s="285" t="n"/>
      <c r="M847" s="285" t="n"/>
      <c r="N847" s="285" t="n"/>
      <c r="O847" s="285" t="n"/>
      <c r="P847" s="285" t="n"/>
      <c r="Q847" s="285" t="n"/>
      <c r="R847" s="284" t="n"/>
      <c r="S847" s="284" t="n"/>
      <c r="T847" s="285" t="n"/>
      <c r="U847" s="285" t="n"/>
      <c r="V847" s="285" t="n"/>
      <c r="W847" s="285" t="n"/>
      <c r="X847" s="285" t="n"/>
      <c r="Y847" s="285" t="n"/>
      <c r="Z847" s="285" t="n"/>
    </row>
    <row r="848" ht="15.75" customHeight="1" s="398">
      <c r="A848" s="284" t="n"/>
      <c r="B848" s="285" t="n"/>
      <c r="C848" s="284" t="n"/>
      <c r="D848" s="285" t="n"/>
      <c r="E848" s="354" t="n"/>
      <c r="F848" s="336" t="n"/>
      <c r="G848" s="336" t="n"/>
      <c r="H848" s="285" t="n"/>
      <c r="I848" s="285" t="n"/>
      <c r="J848" s="285" t="n"/>
      <c r="K848" s="285" t="n"/>
      <c r="L848" s="285" t="n"/>
      <c r="M848" s="285" t="n"/>
      <c r="N848" s="285" t="n"/>
      <c r="O848" s="285" t="n"/>
      <c r="P848" s="285" t="n"/>
      <c r="Q848" s="285" t="n"/>
      <c r="R848" s="284" t="n"/>
      <c r="S848" s="284" t="n"/>
      <c r="T848" s="285" t="n"/>
      <c r="U848" s="285" t="n"/>
      <c r="V848" s="285" t="n"/>
      <c r="W848" s="285" t="n"/>
      <c r="X848" s="285" t="n"/>
      <c r="Y848" s="285" t="n"/>
      <c r="Z848" s="285" t="n"/>
    </row>
    <row r="849" ht="15.75" customHeight="1" s="398">
      <c r="A849" s="284" t="n"/>
      <c r="B849" s="285" t="n"/>
      <c r="C849" s="284" t="n"/>
      <c r="D849" s="285" t="n"/>
      <c r="E849" s="354" t="n"/>
      <c r="F849" s="336" t="n"/>
      <c r="G849" s="336" t="n"/>
      <c r="H849" s="285" t="n"/>
      <c r="I849" s="285" t="n"/>
      <c r="J849" s="285" t="n"/>
      <c r="K849" s="285" t="n"/>
      <c r="L849" s="285" t="n"/>
      <c r="M849" s="285" t="n"/>
      <c r="N849" s="285" t="n"/>
      <c r="O849" s="285" t="n"/>
      <c r="P849" s="285" t="n"/>
      <c r="Q849" s="285" t="n"/>
      <c r="R849" s="284" t="n"/>
      <c r="S849" s="284" t="n"/>
      <c r="T849" s="285" t="n"/>
      <c r="U849" s="285" t="n"/>
      <c r="V849" s="285" t="n"/>
      <c r="W849" s="285" t="n"/>
      <c r="X849" s="285" t="n"/>
      <c r="Y849" s="285" t="n"/>
      <c r="Z849" s="285" t="n"/>
    </row>
    <row r="850" ht="15.75" customHeight="1" s="398">
      <c r="A850" s="284" t="n"/>
      <c r="B850" s="285" t="n"/>
      <c r="C850" s="284" t="n"/>
      <c r="D850" s="285" t="n"/>
      <c r="E850" s="354" t="n"/>
      <c r="F850" s="336" t="n"/>
      <c r="G850" s="336" t="n"/>
      <c r="H850" s="285" t="n"/>
      <c r="I850" s="285" t="n"/>
      <c r="J850" s="285" t="n"/>
      <c r="K850" s="285" t="n"/>
      <c r="L850" s="285" t="n"/>
      <c r="M850" s="285" t="n"/>
      <c r="N850" s="285" t="n"/>
      <c r="O850" s="285" t="n"/>
      <c r="P850" s="285" t="n"/>
      <c r="Q850" s="285" t="n"/>
      <c r="R850" s="284" t="n"/>
      <c r="S850" s="284" t="n"/>
      <c r="T850" s="285" t="n"/>
      <c r="U850" s="285" t="n"/>
      <c r="V850" s="285" t="n"/>
      <c r="W850" s="285" t="n"/>
      <c r="X850" s="285" t="n"/>
      <c r="Y850" s="285" t="n"/>
      <c r="Z850" s="285" t="n"/>
    </row>
    <row r="851" ht="15.75" customHeight="1" s="398">
      <c r="A851" s="284" t="n"/>
      <c r="B851" s="285" t="n"/>
      <c r="C851" s="284" t="n"/>
      <c r="D851" s="285" t="n"/>
      <c r="E851" s="354" t="n"/>
      <c r="F851" s="336" t="n"/>
      <c r="G851" s="336" t="n"/>
      <c r="H851" s="285" t="n"/>
      <c r="I851" s="285" t="n"/>
      <c r="J851" s="285" t="n"/>
      <c r="K851" s="285" t="n"/>
      <c r="L851" s="285" t="n"/>
      <c r="M851" s="285" t="n"/>
      <c r="N851" s="285" t="n"/>
      <c r="O851" s="285" t="n"/>
      <c r="P851" s="285" t="n"/>
      <c r="Q851" s="285" t="n"/>
      <c r="R851" s="284" t="n"/>
      <c r="S851" s="284" t="n"/>
      <c r="T851" s="285" t="n"/>
      <c r="U851" s="285" t="n"/>
      <c r="V851" s="285" t="n"/>
      <c r="W851" s="285" t="n"/>
      <c r="X851" s="285" t="n"/>
      <c r="Y851" s="285" t="n"/>
      <c r="Z851" s="285" t="n"/>
    </row>
    <row r="852" ht="15.75" customHeight="1" s="398">
      <c r="A852" s="284" t="n"/>
      <c r="B852" s="285" t="n"/>
      <c r="C852" s="284" t="n"/>
      <c r="D852" s="285" t="n"/>
      <c r="E852" s="354" t="n"/>
      <c r="F852" s="336" t="n"/>
      <c r="G852" s="336" t="n"/>
      <c r="H852" s="285" t="n"/>
      <c r="I852" s="285" t="n"/>
      <c r="J852" s="285" t="n"/>
      <c r="K852" s="285" t="n"/>
      <c r="L852" s="285" t="n"/>
      <c r="M852" s="285" t="n"/>
      <c r="N852" s="285" t="n"/>
      <c r="O852" s="285" t="n"/>
      <c r="P852" s="285" t="n"/>
      <c r="Q852" s="285" t="n"/>
      <c r="R852" s="284" t="n"/>
      <c r="S852" s="284" t="n"/>
      <c r="T852" s="285" t="n"/>
      <c r="U852" s="285" t="n"/>
      <c r="V852" s="285" t="n"/>
      <c r="W852" s="285" t="n"/>
      <c r="X852" s="285" t="n"/>
      <c r="Y852" s="285" t="n"/>
      <c r="Z852" s="285" t="n"/>
    </row>
    <row r="853" ht="15.75" customHeight="1" s="398">
      <c r="A853" s="284" t="n"/>
      <c r="B853" s="285" t="n"/>
      <c r="C853" s="284" t="n"/>
      <c r="D853" s="285" t="n"/>
      <c r="E853" s="354" t="n"/>
      <c r="F853" s="336" t="n"/>
      <c r="G853" s="336" t="n"/>
      <c r="H853" s="285" t="n"/>
      <c r="I853" s="285" t="n"/>
      <c r="J853" s="285" t="n"/>
      <c r="K853" s="285" t="n"/>
      <c r="L853" s="285" t="n"/>
      <c r="M853" s="285" t="n"/>
      <c r="N853" s="285" t="n"/>
      <c r="O853" s="285" t="n"/>
      <c r="P853" s="285" t="n"/>
      <c r="Q853" s="285" t="n"/>
      <c r="R853" s="284" t="n"/>
      <c r="S853" s="284" t="n"/>
      <c r="T853" s="285" t="n"/>
      <c r="U853" s="285" t="n"/>
      <c r="V853" s="285" t="n"/>
      <c r="W853" s="285" t="n"/>
      <c r="X853" s="285" t="n"/>
      <c r="Y853" s="285" t="n"/>
      <c r="Z853" s="285" t="n"/>
    </row>
    <row r="854" ht="15.75" customHeight="1" s="398">
      <c r="A854" s="284" t="n"/>
      <c r="B854" s="285" t="n"/>
      <c r="C854" s="284" t="n"/>
      <c r="D854" s="285" t="n"/>
      <c r="E854" s="354" t="n"/>
      <c r="F854" s="336" t="n"/>
      <c r="G854" s="336" t="n"/>
      <c r="H854" s="285" t="n"/>
      <c r="I854" s="285" t="n"/>
      <c r="J854" s="285" t="n"/>
      <c r="K854" s="285" t="n"/>
      <c r="L854" s="285" t="n"/>
      <c r="M854" s="285" t="n"/>
      <c r="N854" s="285" t="n"/>
      <c r="O854" s="285" t="n"/>
      <c r="P854" s="285" t="n"/>
      <c r="Q854" s="285" t="n"/>
      <c r="R854" s="284" t="n"/>
      <c r="S854" s="284" t="n"/>
      <c r="T854" s="285" t="n"/>
      <c r="U854" s="285" t="n"/>
      <c r="V854" s="285" t="n"/>
      <c r="W854" s="285" t="n"/>
      <c r="X854" s="285" t="n"/>
      <c r="Y854" s="285" t="n"/>
      <c r="Z854" s="285" t="n"/>
    </row>
    <row r="855" ht="15.75" customHeight="1" s="398">
      <c r="A855" s="284" t="n"/>
      <c r="B855" s="285" t="n"/>
      <c r="C855" s="284" t="n"/>
      <c r="D855" s="285" t="n"/>
      <c r="E855" s="354" t="n"/>
      <c r="F855" s="336" t="n"/>
      <c r="G855" s="336" t="n"/>
      <c r="H855" s="285" t="n"/>
      <c r="I855" s="285" t="n"/>
      <c r="J855" s="285" t="n"/>
      <c r="K855" s="285" t="n"/>
      <c r="L855" s="285" t="n"/>
      <c r="M855" s="285" t="n"/>
      <c r="N855" s="285" t="n"/>
      <c r="O855" s="285" t="n"/>
      <c r="P855" s="285" t="n"/>
      <c r="Q855" s="285" t="n"/>
      <c r="R855" s="284" t="n"/>
      <c r="S855" s="284" t="n"/>
      <c r="T855" s="285" t="n"/>
      <c r="U855" s="285" t="n"/>
      <c r="V855" s="285" t="n"/>
      <c r="W855" s="285" t="n"/>
      <c r="X855" s="285" t="n"/>
      <c r="Y855" s="285" t="n"/>
      <c r="Z855" s="285" t="n"/>
    </row>
    <row r="856" ht="15.75" customHeight="1" s="398">
      <c r="A856" s="284" t="n"/>
      <c r="B856" s="285" t="n"/>
      <c r="C856" s="284" t="n"/>
      <c r="D856" s="285" t="n"/>
      <c r="E856" s="354" t="n"/>
      <c r="F856" s="336" t="n"/>
      <c r="G856" s="336" t="n"/>
      <c r="H856" s="285" t="n"/>
      <c r="I856" s="285" t="n"/>
      <c r="J856" s="285" t="n"/>
      <c r="K856" s="285" t="n"/>
      <c r="L856" s="285" t="n"/>
      <c r="M856" s="285" t="n"/>
      <c r="N856" s="285" t="n"/>
      <c r="O856" s="285" t="n"/>
      <c r="P856" s="285" t="n"/>
      <c r="Q856" s="285" t="n"/>
      <c r="R856" s="284" t="n"/>
      <c r="S856" s="284" t="n"/>
      <c r="T856" s="285" t="n"/>
      <c r="U856" s="285" t="n"/>
      <c r="V856" s="285" t="n"/>
      <c r="W856" s="285" t="n"/>
      <c r="X856" s="285" t="n"/>
      <c r="Y856" s="285" t="n"/>
      <c r="Z856" s="285" t="n"/>
    </row>
    <row r="857" ht="15.75" customHeight="1" s="398">
      <c r="A857" s="284" t="n"/>
      <c r="B857" s="285" t="n"/>
      <c r="C857" s="284" t="n"/>
      <c r="D857" s="285" t="n"/>
      <c r="E857" s="354" t="n"/>
      <c r="F857" s="336" t="n"/>
      <c r="G857" s="336" t="n"/>
      <c r="H857" s="285" t="n"/>
      <c r="I857" s="285" t="n"/>
      <c r="J857" s="285" t="n"/>
      <c r="K857" s="285" t="n"/>
      <c r="L857" s="285" t="n"/>
      <c r="M857" s="285" t="n"/>
      <c r="N857" s="285" t="n"/>
      <c r="O857" s="285" t="n"/>
      <c r="P857" s="285" t="n"/>
      <c r="Q857" s="285" t="n"/>
      <c r="R857" s="284" t="n"/>
      <c r="S857" s="284" t="n"/>
      <c r="T857" s="285" t="n"/>
      <c r="U857" s="285" t="n"/>
      <c r="V857" s="285" t="n"/>
      <c r="W857" s="285" t="n"/>
      <c r="X857" s="285" t="n"/>
      <c r="Y857" s="285" t="n"/>
      <c r="Z857" s="285" t="n"/>
    </row>
    <row r="858" ht="15.75" customHeight="1" s="398">
      <c r="A858" s="284" t="n"/>
      <c r="B858" s="285" t="n"/>
      <c r="C858" s="284" t="n"/>
      <c r="D858" s="285" t="n"/>
      <c r="E858" s="354" t="n"/>
      <c r="F858" s="336" t="n"/>
      <c r="G858" s="336" t="n"/>
      <c r="H858" s="285" t="n"/>
      <c r="I858" s="285" t="n"/>
      <c r="J858" s="285" t="n"/>
      <c r="K858" s="285" t="n"/>
      <c r="L858" s="285" t="n"/>
      <c r="M858" s="285" t="n"/>
      <c r="N858" s="285" t="n"/>
      <c r="O858" s="285" t="n"/>
      <c r="P858" s="285" t="n"/>
      <c r="Q858" s="285" t="n"/>
      <c r="R858" s="284" t="n"/>
      <c r="S858" s="284" t="n"/>
      <c r="T858" s="285" t="n"/>
      <c r="U858" s="285" t="n"/>
      <c r="V858" s="285" t="n"/>
      <c r="W858" s="285" t="n"/>
      <c r="X858" s="285" t="n"/>
      <c r="Y858" s="285" t="n"/>
      <c r="Z858" s="285" t="n"/>
    </row>
    <row r="859" ht="15.75" customHeight="1" s="398">
      <c r="A859" s="284" t="n"/>
      <c r="B859" s="285" t="n"/>
      <c r="C859" s="284" t="n"/>
      <c r="D859" s="285" t="n"/>
      <c r="E859" s="354" t="n"/>
      <c r="F859" s="336" t="n"/>
      <c r="G859" s="336" t="n"/>
      <c r="H859" s="285" t="n"/>
      <c r="I859" s="285" t="n"/>
      <c r="J859" s="285" t="n"/>
      <c r="K859" s="285" t="n"/>
      <c r="L859" s="285" t="n"/>
      <c r="M859" s="285" t="n"/>
      <c r="N859" s="285" t="n"/>
      <c r="O859" s="285" t="n"/>
      <c r="P859" s="285" t="n"/>
      <c r="Q859" s="285" t="n"/>
      <c r="R859" s="284" t="n"/>
      <c r="S859" s="284" t="n"/>
      <c r="T859" s="285" t="n"/>
      <c r="U859" s="285" t="n"/>
      <c r="V859" s="285" t="n"/>
      <c r="W859" s="285" t="n"/>
      <c r="X859" s="285" t="n"/>
      <c r="Y859" s="285" t="n"/>
      <c r="Z859" s="285" t="n"/>
    </row>
    <row r="860" ht="15.75" customHeight="1" s="398">
      <c r="A860" s="284" t="n"/>
      <c r="B860" s="285" t="n"/>
      <c r="C860" s="284" t="n"/>
      <c r="D860" s="285" t="n"/>
      <c r="E860" s="354" t="n"/>
      <c r="F860" s="336" t="n"/>
      <c r="G860" s="336" t="n"/>
      <c r="H860" s="285" t="n"/>
      <c r="I860" s="285" t="n"/>
      <c r="J860" s="285" t="n"/>
      <c r="K860" s="285" t="n"/>
      <c r="L860" s="285" t="n"/>
      <c r="M860" s="285" t="n"/>
      <c r="N860" s="285" t="n"/>
      <c r="O860" s="285" t="n"/>
      <c r="P860" s="285" t="n"/>
      <c r="Q860" s="285" t="n"/>
      <c r="R860" s="284" t="n"/>
      <c r="S860" s="284" t="n"/>
      <c r="T860" s="285" t="n"/>
      <c r="U860" s="285" t="n"/>
      <c r="V860" s="285" t="n"/>
      <c r="W860" s="285" t="n"/>
      <c r="X860" s="285" t="n"/>
      <c r="Y860" s="285" t="n"/>
      <c r="Z860" s="285" t="n"/>
    </row>
    <row r="861" ht="15.75" customHeight="1" s="398">
      <c r="A861" s="284" t="n"/>
      <c r="B861" s="285" t="n"/>
      <c r="C861" s="284" t="n"/>
      <c r="D861" s="285" t="n"/>
      <c r="E861" s="354" t="n"/>
      <c r="F861" s="336" t="n"/>
      <c r="G861" s="336" t="n"/>
      <c r="H861" s="285" t="n"/>
      <c r="I861" s="285" t="n"/>
      <c r="J861" s="285" t="n"/>
      <c r="K861" s="285" t="n"/>
      <c r="L861" s="285" t="n"/>
      <c r="M861" s="285" t="n"/>
      <c r="N861" s="285" t="n"/>
      <c r="O861" s="285" t="n"/>
      <c r="P861" s="285" t="n"/>
      <c r="Q861" s="285" t="n"/>
      <c r="R861" s="284" t="n"/>
      <c r="S861" s="284" t="n"/>
      <c r="T861" s="285" t="n"/>
      <c r="U861" s="285" t="n"/>
      <c r="V861" s="285" t="n"/>
      <c r="W861" s="285" t="n"/>
      <c r="X861" s="285" t="n"/>
      <c r="Y861" s="285" t="n"/>
      <c r="Z861" s="285" t="n"/>
    </row>
    <row r="862" ht="15.75" customHeight="1" s="398">
      <c r="A862" s="284" t="n"/>
      <c r="B862" s="285" t="n"/>
      <c r="C862" s="284" t="n"/>
      <c r="D862" s="285" t="n"/>
      <c r="E862" s="354" t="n"/>
      <c r="F862" s="336" t="n"/>
      <c r="G862" s="336" t="n"/>
      <c r="H862" s="285" t="n"/>
      <c r="I862" s="285" t="n"/>
      <c r="J862" s="285" t="n"/>
      <c r="K862" s="285" t="n"/>
      <c r="L862" s="285" t="n"/>
      <c r="M862" s="285" t="n"/>
      <c r="N862" s="285" t="n"/>
      <c r="O862" s="285" t="n"/>
      <c r="P862" s="285" t="n"/>
      <c r="Q862" s="285" t="n"/>
      <c r="R862" s="284" t="n"/>
      <c r="S862" s="284" t="n"/>
      <c r="T862" s="285" t="n"/>
      <c r="U862" s="285" t="n"/>
      <c r="V862" s="285" t="n"/>
      <c r="W862" s="285" t="n"/>
      <c r="X862" s="285" t="n"/>
      <c r="Y862" s="285" t="n"/>
      <c r="Z862" s="285" t="n"/>
    </row>
    <row r="863" ht="15.75" customHeight="1" s="398">
      <c r="A863" s="284" t="n"/>
      <c r="B863" s="285" t="n"/>
      <c r="C863" s="284" t="n"/>
      <c r="D863" s="285" t="n"/>
      <c r="E863" s="354" t="n"/>
      <c r="F863" s="336" t="n"/>
      <c r="G863" s="336" t="n"/>
      <c r="H863" s="285" t="n"/>
      <c r="I863" s="285" t="n"/>
      <c r="J863" s="285" t="n"/>
      <c r="K863" s="285" t="n"/>
      <c r="L863" s="285" t="n"/>
      <c r="M863" s="285" t="n"/>
      <c r="N863" s="285" t="n"/>
      <c r="O863" s="285" t="n"/>
      <c r="P863" s="285" t="n"/>
      <c r="Q863" s="285" t="n"/>
      <c r="R863" s="284" t="n"/>
      <c r="S863" s="284" t="n"/>
      <c r="T863" s="285" t="n"/>
      <c r="U863" s="285" t="n"/>
      <c r="V863" s="285" t="n"/>
      <c r="W863" s="285" t="n"/>
      <c r="X863" s="285" t="n"/>
      <c r="Y863" s="285" t="n"/>
      <c r="Z863" s="285" t="n"/>
    </row>
    <row r="864" ht="15.75" customHeight="1" s="398">
      <c r="A864" s="284" t="n"/>
      <c r="B864" s="285" t="n"/>
      <c r="C864" s="284" t="n"/>
      <c r="D864" s="285" t="n"/>
      <c r="E864" s="354" t="n"/>
      <c r="F864" s="336" t="n"/>
      <c r="G864" s="336" t="n"/>
      <c r="H864" s="285" t="n"/>
      <c r="I864" s="285" t="n"/>
      <c r="J864" s="285" t="n"/>
      <c r="K864" s="285" t="n"/>
      <c r="L864" s="285" t="n"/>
      <c r="M864" s="285" t="n"/>
      <c r="N864" s="285" t="n"/>
      <c r="O864" s="285" t="n"/>
      <c r="P864" s="285" t="n"/>
      <c r="Q864" s="285" t="n"/>
      <c r="R864" s="284" t="n"/>
      <c r="S864" s="284" t="n"/>
      <c r="T864" s="285" t="n"/>
      <c r="U864" s="285" t="n"/>
      <c r="V864" s="285" t="n"/>
      <c r="W864" s="285" t="n"/>
      <c r="X864" s="285" t="n"/>
      <c r="Y864" s="285" t="n"/>
      <c r="Z864" s="285" t="n"/>
    </row>
    <row r="865" ht="15.75" customHeight="1" s="398">
      <c r="A865" s="284" t="n"/>
      <c r="B865" s="285" t="n"/>
      <c r="C865" s="284" t="n"/>
      <c r="D865" s="285" t="n"/>
      <c r="E865" s="354" t="n"/>
      <c r="F865" s="336" t="n"/>
      <c r="G865" s="336" t="n"/>
      <c r="H865" s="285" t="n"/>
      <c r="I865" s="285" t="n"/>
      <c r="J865" s="285" t="n"/>
      <c r="K865" s="285" t="n"/>
      <c r="L865" s="285" t="n"/>
      <c r="M865" s="285" t="n"/>
      <c r="N865" s="285" t="n"/>
      <c r="O865" s="285" t="n"/>
      <c r="P865" s="285" t="n"/>
      <c r="Q865" s="285" t="n"/>
      <c r="R865" s="284" t="n"/>
      <c r="S865" s="284" t="n"/>
      <c r="T865" s="285" t="n"/>
      <c r="U865" s="285" t="n"/>
      <c r="V865" s="285" t="n"/>
      <c r="W865" s="285" t="n"/>
      <c r="X865" s="285" t="n"/>
      <c r="Y865" s="285" t="n"/>
      <c r="Z865" s="285" t="n"/>
    </row>
    <row r="866" ht="15.75" customHeight="1" s="398">
      <c r="A866" s="284" t="n"/>
      <c r="B866" s="285" t="n"/>
      <c r="C866" s="284" t="n"/>
      <c r="D866" s="285" t="n"/>
      <c r="E866" s="354" t="n"/>
      <c r="F866" s="336" t="n"/>
      <c r="G866" s="336" t="n"/>
      <c r="H866" s="285" t="n"/>
      <c r="I866" s="285" t="n"/>
      <c r="J866" s="285" t="n"/>
      <c r="K866" s="285" t="n"/>
      <c r="L866" s="285" t="n"/>
      <c r="M866" s="285" t="n"/>
      <c r="N866" s="285" t="n"/>
      <c r="O866" s="285" t="n"/>
      <c r="P866" s="285" t="n"/>
      <c r="Q866" s="285" t="n"/>
      <c r="R866" s="284" t="n"/>
      <c r="S866" s="284" t="n"/>
      <c r="T866" s="285" t="n"/>
      <c r="U866" s="285" t="n"/>
      <c r="V866" s="285" t="n"/>
      <c r="W866" s="285" t="n"/>
      <c r="X866" s="285" t="n"/>
      <c r="Y866" s="285" t="n"/>
      <c r="Z866" s="285" t="n"/>
    </row>
    <row r="867" ht="15.75" customHeight="1" s="398">
      <c r="A867" s="284" t="n"/>
      <c r="B867" s="285" t="n"/>
      <c r="C867" s="284" t="n"/>
      <c r="D867" s="285" t="n"/>
      <c r="E867" s="354" t="n"/>
      <c r="F867" s="336" t="n"/>
      <c r="G867" s="336" t="n"/>
      <c r="H867" s="285" t="n"/>
      <c r="I867" s="285" t="n"/>
      <c r="J867" s="285" t="n"/>
      <c r="K867" s="285" t="n"/>
      <c r="L867" s="285" t="n"/>
      <c r="M867" s="285" t="n"/>
      <c r="N867" s="285" t="n"/>
      <c r="O867" s="285" t="n"/>
      <c r="P867" s="285" t="n"/>
      <c r="Q867" s="285" t="n"/>
      <c r="R867" s="284" t="n"/>
      <c r="S867" s="284" t="n"/>
      <c r="T867" s="285" t="n"/>
      <c r="U867" s="285" t="n"/>
      <c r="V867" s="285" t="n"/>
      <c r="W867" s="285" t="n"/>
      <c r="X867" s="285" t="n"/>
      <c r="Y867" s="285" t="n"/>
      <c r="Z867" s="285" t="n"/>
    </row>
    <row r="868" ht="15.75" customHeight="1" s="398">
      <c r="A868" s="284" t="n"/>
      <c r="B868" s="285" t="n"/>
      <c r="C868" s="284" t="n"/>
      <c r="D868" s="285" t="n"/>
      <c r="E868" s="354" t="n"/>
      <c r="F868" s="336" t="n"/>
      <c r="G868" s="336" t="n"/>
      <c r="H868" s="285" t="n"/>
      <c r="I868" s="285" t="n"/>
      <c r="J868" s="285" t="n"/>
      <c r="K868" s="285" t="n"/>
      <c r="L868" s="285" t="n"/>
      <c r="M868" s="285" t="n"/>
      <c r="N868" s="285" t="n"/>
      <c r="O868" s="285" t="n"/>
      <c r="P868" s="285" t="n"/>
      <c r="Q868" s="285" t="n"/>
      <c r="R868" s="284" t="n"/>
      <c r="S868" s="284" t="n"/>
      <c r="T868" s="285" t="n"/>
      <c r="U868" s="285" t="n"/>
      <c r="V868" s="285" t="n"/>
      <c r="W868" s="285" t="n"/>
      <c r="X868" s="285" t="n"/>
      <c r="Y868" s="285" t="n"/>
      <c r="Z868" s="285" t="n"/>
    </row>
    <row r="869" ht="15.75" customHeight="1" s="398">
      <c r="A869" s="284" t="n"/>
      <c r="B869" s="285" t="n"/>
      <c r="C869" s="284" t="n"/>
      <c r="D869" s="285" t="n"/>
      <c r="E869" s="354" t="n"/>
      <c r="F869" s="336" t="n"/>
      <c r="G869" s="336" t="n"/>
      <c r="H869" s="285" t="n"/>
      <c r="I869" s="285" t="n"/>
      <c r="J869" s="285" t="n"/>
      <c r="K869" s="285" t="n"/>
      <c r="L869" s="285" t="n"/>
      <c r="M869" s="285" t="n"/>
      <c r="N869" s="285" t="n"/>
      <c r="O869" s="285" t="n"/>
      <c r="P869" s="285" t="n"/>
      <c r="Q869" s="285" t="n"/>
      <c r="R869" s="284" t="n"/>
      <c r="S869" s="284" t="n"/>
      <c r="T869" s="285" t="n"/>
      <c r="U869" s="285" t="n"/>
      <c r="V869" s="285" t="n"/>
      <c r="W869" s="285" t="n"/>
      <c r="X869" s="285" t="n"/>
      <c r="Y869" s="285" t="n"/>
      <c r="Z869" s="285" t="n"/>
    </row>
    <row r="870" ht="15.75" customHeight="1" s="398">
      <c r="A870" s="284" t="n"/>
      <c r="B870" s="285" t="n"/>
      <c r="C870" s="284" t="n"/>
      <c r="D870" s="285" t="n"/>
      <c r="E870" s="354" t="n"/>
      <c r="F870" s="336" t="n"/>
      <c r="G870" s="336" t="n"/>
      <c r="H870" s="285" t="n"/>
      <c r="I870" s="285" t="n"/>
      <c r="J870" s="285" t="n"/>
      <c r="K870" s="285" t="n"/>
      <c r="L870" s="285" t="n"/>
      <c r="M870" s="285" t="n"/>
      <c r="N870" s="285" t="n"/>
      <c r="O870" s="285" t="n"/>
      <c r="P870" s="285" t="n"/>
      <c r="Q870" s="285" t="n"/>
      <c r="R870" s="284" t="n"/>
      <c r="S870" s="284" t="n"/>
      <c r="T870" s="285" t="n"/>
      <c r="U870" s="285" t="n"/>
      <c r="V870" s="285" t="n"/>
      <c r="W870" s="285" t="n"/>
      <c r="X870" s="285" t="n"/>
      <c r="Y870" s="285" t="n"/>
      <c r="Z870" s="285" t="n"/>
    </row>
    <row r="871" ht="15.75" customHeight="1" s="398">
      <c r="A871" s="284" t="n"/>
      <c r="B871" s="285" t="n"/>
      <c r="C871" s="284" t="n"/>
      <c r="D871" s="285" t="n"/>
      <c r="E871" s="354" t="n"/>
      <c r="F871" s="336" t="n"/>
      <c r="G871" s="336" t="n"/>
      <c r="H871" s="285" t="n"/>
      <c r="I871" s="285" t="n"/>
      <c r="J871" s="285" t="n"/>
      <c r="K871" s="285" t="n"/>
      <c r="L871" s="285" t="n"/>
      <c r="M871" s="285" t="n"/>
      <c r="N871" s="285" t="n"/>
      <c r="O871" s="285" t="n"/>
      <c r="P871" s="285" t="n"/>
      <c r="Q871" s="285" t="n"/>
      <c r="R871" s="284" t="n"/>
      <c r="S871" s="284" t="n"/>
      <c r="T871" s="285" t="n"/>
      <c r="U871" s="285" t="n"/>
      <c r="V871" s="285" t="n"/>
      <c r="W871" s="285" t="n"/>
      <c r="X871" s="285" t="n"/>
      <c r="Y871" s="285" t="n"/>
      <c r="Z871" s="285" t="n"/>
    </row>
    <row r="872" ht="15.75" customHeight="1" s="398">
      <c r="A872" s="284" t="n"/>
      <c r="B872" s="285" t="n"/>
      <c r="C872" s="284" t="n"/>
      <c r="D872" s="285" t="n"/>
      <c r="E872" s="354" t="n"/>
      <c r="F872" s="336" t="n"/>
      <c r="G872" s="336" t="n"/>
      <c r="H872" s="285" t="n"/>
      <c r="I872" s="285" t="n"/>
      <c r="J872" s="285" t="n"/>
      <c r="K872" s="285" t="n"/>
      <c r="L872" s="285" t="n"/>
      <c r="M872" s="285" t="n"/>
      <c r="N872" s="285" t="n"/>
      <c r="O872" s="285" t="n"/>
      <c r="P872" s="285" t="n"/>
      <c r="Q872" s="285" t="n"/>
      <c r="R872" s="284" t="n"/>
      <c r="S872" s="284" t="n"/>
      <c r="T872" s="285" t="n"/>
      <c r="U872" s="285" t="n"/>
      <c r="V872" s="285" t="n"/>
      <c r="W872" s="285" t="n"/>
      <c r="X872" s="285" t="n"/>
      <c r="Y872" s="285" t="n"/>
      <c r="Z872" s="285" t="n"/>
    </row>
    <row r="873" ht="15.75" customHeight="1" s="398">
      <c r="A873" s="284" t="n"/>
      <c r="B873" s="285" t="n"/>
      <c r="C873" s="284" t="n"/>
      <c r="D873" s="285" t="n"/>
      <c r="E873" s="354" t="n"/>
      <c r="F873" s="336" t="n"/>
      <c r="G873" s="336" t="n"/>
      <c r="H873" s="285" t="n"/>
      <c r="I873" s="285" t="n"/>
      <c r="J873" s="285" t="n"/>
      <c r="K873" s="285" t="n"/>
      <c r="L873" s="285" t="n"/>
      <c r="M873" s="285" t="n"/>
      <c r="N873" s="285" t="n"/>
      <c r="O873" s="285" t="n"/>
      <c r="P873" s="285" t="n"/>
      <c r="Q873" s="285" t="n"/>
      <c r="R873" s="284" t="n"/>
      <c r="S873" s="284" t="n"/>
      <c r="T873" s="285" t="n"/>
      <c r="U873" s="285" t="n"/>
      <c r="V873" s="285" t="n"/>
      <c r="W873" s="285" t="n"/>
      <c r="X873" s="285" t="n"/>
      <c r="Y873" s="285" t="n"/>
      <c r="Z873" s="285" t="n"/>
    </row>
    <row r="874" ht="15.75" customHeight="1" s="398">
      <c r="A874" s="284" t="n"/>
      <c r="B874" s="285" t="n"/>
      <c r="C874" s="284" t="n"/>
      <c r="D874" s="285" t="n"/>
      <c r="E874" s="354" t="n"/>
      <c r="F874" s="336" t="n"/>
      <c r="G874" s="336" t="n"/>
      <c r="H874" s="285" t="n"/>
      <c r="I874" s="285" t="n"/>
      <c r="J874" s="285" t="n"/>
      <c r="K874" s="285" t="n"/>
      <c r="L874" s="285" t="n"/>
      <c r="M874" s="285" t="n"/>
      <c r="N874" s="285" t="n"/>
      <c r="O874" s="285" t="n"/>
      <c r="P874" s="285" t="n"/>
      <c r="Q874" s="285" t="n"/>
      <c r="R874" s="284" t="n"/>
      <c r="S874" s="284" t="n"/>
      <c r="T874" s="285" t="n"/>
      <c r="U874" s="285" t="n"/>
      <c r="V874" s="285" t="n"/>
      <c r="W874" s="285" t="n"/>
      <c r="X874" s="285" t="n"/>
      <c r="Y874" s="285" t="n"/>
      <c r="Z874" s="285" t="n"/>
    </row>
    <row r="875" ht="15.75" customHeight="1" s="398">
      <c r="A875" s="284" t="n"/>
      <c r="B875" s="285" t="n"/>
      <c r="C875" s="284" t="n"/>
      <c r="D875" s="285" t="n"/>
      <c r="E875" s="354" t="n"/>
      <c r="F875" s="336" t="n"/>
      <c r="G875" s="336" t="n"/>
      <c r="H875" s="285" t="n"/>
      <c r="I875" s="285" t="n"/>
      <c r="J875" s="285" t="n"/>
      <c r="K875" s="285" t="n"/>
      <c r="L875" s="285" t="n"/>
      <c r="M875" s="285" t="n"/>
      <c r="N875" s="285" t="n"/>
      <c r="O875" s="285" t="n"/>
      <c r="P875" s="285" t="n"/>
      <c r="Q875" s="285" t="n"/>
      <c r="R875" s="284" t="n"/>
      <c r="S875" s="284" t="n"/>
      <c r="T875" s="285" t="n"/>
      <c r="U875" s="285" t="n"/>
      <c r="V875" s="285" t="n"/>
      <c r="W875" s="285" t="n"/>
      <c r="X875" s="285" t="n"/>
      <c r="Y875" s="285" t="n"/>
      <c r="Z875" s="285" t="n"/>
    </row>
    <row r="876" ht="15.75" customHeight="1" s="398">
      <c r="A876" s="284" t="n"/>
      <c r="B876" s="285" t="n"/>
      <c r="C876" s="284" t="n"/>
      <c r="D876" s="285" t="n"/>
      <c r="E876" s="354" t="n"/>
      <c r="F876" s="336" t="n"/>
      <c r="G876" s="336" t="n"/>
      <c r="H876" s="285" t="n"/>
      <c r="I876" s="285" t="n"/>
      <c r="J876" s="285" t="n"/>
      <c r="K876" s="285" t="n"/>
      <c r="L876" s="285" t="n"/>
      <c r="M876" s="285" t="n"/>
      <c r="N876" s="285" t="n"/>
      <c r="O876" s="285" t="n"/>
      <c r="P876" s="285" t="n"/>
      <c r="Q876" s="285" t="n"/>
      <c r="R876" s="284" t="n"/>
      <c r="S876" s="284" t="n"/>
      <c r="T876" s="285" t="n"/>
      <c r="U876" s="285" t="n"/>
      <c r="V876" s="285" t="n"/>
      <c r="W876" s="285" t="n"/>
      <c r="X876" s="285" t="n"/>
      <c r="Y876" s="285" t="n"/>
      <c r="Z876" s="285" t="n"/>
    </row>
    <row r="877" ht="15.75" customHeight="1" s="398">
      <c r="A877" s="284" t="n"/>
      <c r="B877" s="285" t="n"/>
      <c r="C877" s="284" t="n"/>
      <c r="D877" s="285" t="n"/>
      <c r="E877" s="354" t="n"/>
      <c r="F877" s="336" t="n"/>
      <c r="G877" s="336" t="n"/>
      <c r="H877" s="285" t="n"/>
      <c r="I877" s="285" t="n"/>
      <c r="J877" s="285" t="n"/>
      <c r="K877" s="285" t="n"/>
      <c r="L877" s="285" t="n"/>
      <c r="M877" s="285" t="n"/>
      <c r="N877" s="285" t="n"/>
      <c r="O877" s="285" t="n"/>
      <c r="P877" s="285" t="n"/>
      <c r="Q877" s="285" t="n"/>
      <c r="R877" s="284" t="n"/>
      <c r="S877" s="284" t="n"/>
      <c r="T877" s="285" t="n"/>
      <c r="U877" s="285" t="n"/>
      <c r="V877" s="285" t="n"/>
      <c r="W877" s="285" t="n"/>
      <c r="X877" s="285" t="n"/>
      <c r="Y877" s="285" t="n"/>
      <c r="Z877" s="285" t="n"/>
    </row>
    <row r="878" ht="15.75" customHeight="1" s="398">
      <c r="A878" s="284" t="n"/>
      <c r="B878" s="285" t="n"/>
      <c r="C878" s="284" t="n"/>
      <c r="D878" s="285" t="n"/>
      <c r="E878" s="354" t="n"/>
      <c r="F878" s="336" t="n"/>
      <c r="G878" s="336" t="n"/>
      <c r="H878" s="285" t="n"/>
      <c r="I878" s="285" t="n"/>
      <c r="J878" s="285" t="n"/>
      <c r="K878" s="285" t="n"/>
      <c r="L878" s="285" t="n"/>
      <c r="M878" s="285" t="n"/>
      <c r="N878" s="285" t="n"/>
      <c r="O878" s="285" t="n"/>
      <c r="P878" s="285" t="n"/>
      <c r="Q878" s="285" t="n"/>
      <c r="R878" s="284" t="n"/>
      <c r="S878" s="284" t="n"/>
      <c r="T878" s="285" t="n"/>
      <c r="U878" s="285" t="n"/>
      <c r="V878" s="285" t="n"/>
      <c r="W878" s="285" t="n"/>
      <c r="X878" s="285" t="n"/>
      <c r="Y878" s="285" t="n"/>
      <c r="Z878" s="285" t="n"/>
    </row>
    <row r="879" ht="15.75" customHeight="1" s="398">
      <c r="A879" s="284" t="n"/>
      <c r="B879" s="285" t="n"/>
      <c r="C879" s="284" t="n"/>
      <c r="D879" s="285" t="n"/>
      <c r="E879" s="354" t="n"/>
      <c r="F879" s="336" t="n"/>
      <c r="G879" s="336" t="n"/>
      <c r="H879" s="285" t="n"/>
      <c r="I879" s="285" t="n"/>
      <c r="J879" s="285" t="n"/>
      <c r="K879" s="285" t="n"/>
      <c r="L879" s="285" t="n"/>
      <c r="M879" s="285" t="n"/>
      <c r="N879" s="285" t="n"/>
      <c r="O879" s="285" t="n"/>
      <c r="P879" s="285" t="n"/>
      <c r="Q879" s="285" t="n"/>
      <c r="R879" s="284" t="n"/>
      <c r="S879" s="284" t="n"/>
      <c r="T879" s="285" t="n"/>
      <c r="U879" s="285" t="n"/>
      <c r="V879" s="285" t="n"/>
      <c r="W879" s="285" t="n"/>
      <c r="X879" s="285" t="n"/>
      <c r="Y879" s="285" t="n"/>
      <c r="Z879" s="285" t="n"/>
    </row>
    <row r="880" ht="15.75" customHeight="1" s="398">
      <c r="A880" s="284" t="n"/>
      <c r="B880" s="285" t="n"/>
      <c r="C880" s="284" t="n"/>
      <c r="D880" s="285" t="n"/>
      <c r="E880" s="354" t="n"/>
      <c r="F880" s="336" t="n"/>
      <c r="G880" s="336" t="n"/>
      <c r="H880" s="285" t="n"/>
      <c r="I880" s="285" t="n"/>
      <c r="J880" s="285" t="n"/>
      <c r="K880" s="285" t="n"/>
      <c r="L880" s="285" t="n"/>
      <c r="M880" s="285" t="n"/>
      <c r="N880" s="285" t="n"/>
      <c r="O880" s="285" t="n"/>
      <c r="P880" s="285" t="n"/>
      <c r="Q880" s="285" t="n"/>
      <c r="R880" s="284" t="n"/>
      <c r="S880" s="284" t="n"/>
      <c r="T880" s="285" t="n"/>
      <c r="U880" s="285" t="n"/>
      <c r="V880" s="285" t="n"/>
      <c r="W880" s="285" t="n"/>
      <c r="X880" s="285" t="n"/>
      <c r="Y880" s="285" t="n"/>
      <c r="Z880" s="285" t="n"/>
    </row>
    <row r="881" ht="15.75" customHeight="1" s="398">
      <c r="A881" s="284" t="n"/>
      <c r="B881" s="285" t="n"/>
      <c r="C881" s="284" t="n"/>
      <c r="D881" s="285" t="n"/>
      <c r="E881" s="354" t="n"/>
      <c r="F881" s="336" t="n"/>
      <c r="G881" s="336" t="n"/>
      <c r="H881" s="285" t="n"/>
      <c r="I881" s="285" t="n"/>
      <c r="J881" s="285" t="n"/>
      <c r="K881" s="285" t="n"/>
      <c r="L881" s="285" t="n"/>
      <c r="M881" s="285" t="n"/>
      <c r="N881" s="285" t="n"/>
      <c r="O881" s="285" t="n"/>
      <c r="P881" s="285" t="n"/>
      <c r="Q881" s="285" t="n"/>
      <c r="R881" s="284" t="n"/>
      <c r="S881" s="284" t="n"/>
      <c r="T881" s="285" t="n"/>
      <c r="U881" s="285" t="n"/>
      <c r="V881" s="285" t="n"/>
      <c r="W881" s="285" t="n"/>
      <c r="X881" s="285" t="n"/>
      <c r="Y881" s="285" t="n"/>
      <c r="Z881" s="285" t="n"/>
    </row>
    <row r="882" ht="15.75" customHeight="1" s="398">
      <c r="A882" s="284" t="n"/>
      <c r="B882" s="285" t="n"/>
      <c r="C882" s="284" t="n"/>
      <c r="D882" s="285" t="n"/>
      <c r="E882" s="354" t="n"/>
      <c r="F882" s="336" t="n"/>
      <c r="G882" s="336" t="n"/>
      <c r="H882" s="285" t="n"/>
      <c r="I882" s="285" t="n"/>
      <c r="J882" s="285" t="n"/>
      <c r="K882" s="285" t="n"/>
      <c r="L882" s="285" t="n"/>
      <c r="M882" s="285" t="n"/>
      <c r="N882" s="285" t="n"/>
      <c r="O882" s="285" t="n"/>
      <c r="P882" s="285" t="n"/>
      <c r="Q882" s="285" t="n"/>
      <c r="R882" s="284" t="n"/>
      <c r="S882" s="284" t="n"/>
      <c r="T882" s="285" t="n"/>
      <c r="U882" s="285" t="n"/>
      <c r="V882" s="285" t="n"/>
      <c r="W882" s="285" t="n"/>
      <c r="X882" s="285" t="n"/>
      <c r="Y882" s="285" t="n"/>
      <c r="Z882" s="285" t="n"/>
    </row>
    <row r="883" ht="15.75" customHeight="1" s="398">
      <c r="A883" s="284" t="n"/>
      <c r="B883" s="285" t="n"/>
      <c r="C883" s="284" t="n"/>
      <c r="D883" s="285" t="n"/>
      <c r="E883" s="354" t="n"/>
      <c r="F883" s="336" t="n"/>
      <c r="G883" s="336" t="n"/>
      <c r="H883" s="285" t="n"/>
      <c r="I883" s="285" t="n"/>
      <c r="J883" s="285" t="n"/>
      <c r="K883" s="285" t="n"/>
      <c r="L883" s="285" t="n"/>
      <c r="M883" s="285" t="n"/>
      <c r="N883" s="285" t="n"/>
      <c r="O883" s="285" t="n"/>
      <c r="P883" s="285" t="n"/>
      <c r="Q883" s="285" t="n"/>
      <c r="R883" s="284" t="n"/>
      <c r="S883" s="284" t="n"/>
      <c r="T883" s="285" t="n"/>
      <c r="U883" s="285" t="n"/>
      <c r="V883" s="285" t="n"/>
      <c r="W883" s="285" t="n"/>
      <c r="X883" s="285" t="n"/>
      <c r="Y883" s="285" t="n"/>
      <c r="Z883" s="285" t="n"/>
    </row>
    <row r="884" ht="15.75" customHeight="1" s="398">
      <c r="A884" s="284" t="n"/>
      <c r="B884" s="285" t="n"/>
      <c r="C884" s="284" t="n"/>
      <c r="D884" s="285" t="n"/>
      <c r="E884" s="354" t="n"/>
      <c r="F884" s="336" t="n"/>
      <c r="G884" s="336" t="n"/>
      <c r="H884" s="285" t="n"/>
      <c r="I884" s="285" t="n"/>
      <c r="J884" s="285" t="n"/>
      <c r="K884" s="285" t="n"/>
      <c r="L884" s="285" t="n"/>
      <c r="M884" s="285" t="n"/>
      <c r="N884" s="285" t="n"/>
      <c r="O884" s="285" t="n"/>
      <c r="P884" s="285" t="n"/>
      <c r="Q884" s="285" t="n"/>
      <c r="R884" s="284" t="n"/>
      <c r="S884" s="284" t="n"/>
      <c r="T884" s="285" t="n"/>
      <c r="U884" s="285" t="n"/>
      <c r="V884" s="285" t="n"/>
      <c r="W884" s="285" t="n"/>
      <c r="X884" s="285" t="n"/>
      <c r="Y884" s="285" t="n"/>
      <c r="Z884" s="285" t="n"/>
    </row>
    <row r="885" ht="15.75" customHeight="1" s="398">
      <c r="A885" s="284" t="n"/>
      <c r="B885" s="285" t="n"/>
      <c r="C885" s="284" t="n"/>
      <c r="D885" s="285" t="n"/>
      <c r="E885" s="354" t="n"/>
      <c r="F885" s="336" t="n"/>
      <c r="G885" s="336" t="n"/>
      <c r="H885" s="285" t="n"/>
      <c r="I885" s="285" t="n"/>
      <c r="J885" s="285" t="n"/>
      <c r="K885" s="285" t="n"/>
      <c r="L885" s="285" t="n"/>
      <c r="M885" s="285" t="n"/>
      <c r="N885" s="285" t="n"/>
      <c r="O885" s="285" t="n"/>
      <c r="P885" s="285" t="n"/>
      <c r="Q885" s="285" t="n"/>
      <c r="R885" s="284" t="n"/>
      <c r="S885" s="284" t="n"/>
      <c r="T885" s="285" t="n"/>
      <c r="U885" s="285" t="n"/>
      <c r="V885" s="285" t="n"/>
      <c r="W885" s="285" t="n"/>
      <c r="X885" s="285" t="n"/>
      <c r="Y885" s="285" t="n"/>
      <c r="Z885" s="285" t="n"/>
    </row>
    <row r="886" ht="15.75" customHeight="1" s="398">
      <c r="A886" s="284" t="n"/>
      <c r="B886" s="285" t="n"/>
      <c r="C886" s="284" t="n"/>
      <c r="D886" s="285" t="n"/>
      <c r="E886" s="354" t="n"/>
      <c r="F886" s="336" t="n"/>
      <c r="G886" s="336" t="n"/>
      <c r="H886" s="285" t="n"/>
      <c r="I886" s="285" t="n"/>
      <c r="J886" s="285" t="n"/>
      <c r="K886" s="285" t="n"/>
      <c r="L886" s="285" t="n"/>
      <c r="M886" s="285" t="n"/>
      <c r="N886" s="285" t="n"/>
      <c r="O886" s="285" t="n"/>
      <c r="P886" s="285" t="n"/>
      <c r="Q886" s="285" t="n"/>
      <c r="R886" s="284" t="n"/>
      <c r="S886" s="284" t="n"/>
      <c r="T886" s="285" t="n"/>
      <c r="U886" s="285" t="n"/>
      <c r="V886" s="285" t="n"/>
      <c r="W886" s="285" t="n"/>
      <c r="X886" s="285" t="n"/>
      <c r="Y886" s="285" t="n"/>
      <c r="Z886" s="285" t="n"/>
    </row>
    <row r="887" ht="15.75" customHeight="1" s="398">
      <c r="A887" s="284" t="n"/>
      <c r="B887" s="285" t="n"/>
      <c r="C887" s="284" t="n"/>
      <c r="D887" s="285" t="n"/>
      <c r="E887" s="354" t="n"/>
      <c r="F887" s="336" t="n"/>
      <c r="G887" s="336" t="n"/>
      <c r="H887" s="285" t="n"/>
      <c r="I887" s="285" t="n"/>
      <c r="J887" s="285" t="n"/>
      <c r="K887" s="285" t="n"/>
      <c r="L887" s="285" t="n"/>
      <c r="M887" s="285" t="n"/>
      <c r="N887" s="285" t="n"/>
      <c r="O887" s="285" t="n"/>
      <c r="P887" s="285" t="n"/>
      <c r="Q887" s="285" t="n"/>
      <c r="R887" s="284" t="n"/>
      <c r="S887" s="284" t="n"/>
      <c r="T887" s="285" t="n"/>
      <c r="U887" s="285" t="n"/>
      <c r="V887" s="285" t="n"/>
      <c r="W887" s="285" t="n"/>
      <c r="X887" s="285" t="n"/>
      <c r="Y887" s="285" t="n"/>
      <c r="Z887" s="285" t="n"/>
    </row>
    <row r="888" ht="15.75" customHeight="1" s="398">
      <c r="A888" s="284" t="n"/>
      <c r="B888" s="285" t="n"/>
      <c r="C888" s="284" t="n"/>
      <c r="D888" s="285" t="n"/>
      <c r="E888" s="354" t="n"/>
      <c r="F888" s="336" t="n"/>
      <c r="G888" s="336" t="n"/>
      <c r="H888" s="285" t="n"/>
      <c r="I888" s="285" t="n"/>
      <c r="J888" s="285" t="n"/>
      <c r="K888" s="285" t="n"/>
      <c r="L888" s="285" t="n"/>
      <c r="M888" s="285" t="n"/>
      <c r="N888" s="285" t="n"/>
      <c r="O888" s="285" t="n"/>
      <c r="P888" s="285" t="n"/>
      <c r="Q888" s="285" t="n"/>
      <c r="R888" s="284" t="n"/>
      <c r="S888" s="284" t="n"/>
      <c r="T888" s="285" t="n"/>
      <c r="U888" s="285" t="n"/>
      <c r="V888" s="285" t="n"/>
      <c r="W888" s="285" t="n"/>
      <c r="X888" s="285" t="n"/>
      <c r="Y888" s="285" t="n"/>
      <c r="Z888" s="285" t="n"/>
    </row>
    <row r="889" ht="15.75" customHeight="1" s="398">
      <c r="A889" s="284" t="n"/>
      <c r="B889" s="285" t="n"/>
      <c r="C889" s="284" t="n"/>
      <c r="D889" s="285" t="n"/>
      <c r="E889" s="354" t="n"/>
      <c r="F889" s="336" t="n"/>
      <c r="G889" s="336" t="n"/>
      <c r="H889" s="285" t="n"/>
      <c r="I889" s="285" t="n"/>
      <c r="J889" s="285" t="n"/>
      <c r="K889" s="285" t="n"/>
      <c r="L889" s="285" t="n"/>
      <c r="M889" s="285" t="n"/>
      <c r="N889" s="285" t="n"/>
      <c r="O889" s="285" t="n"/>
      <c r="P889" s="285" t="n"/>
      <c r="Q889" s="285" t="n"/>
      <c r="R889" s="284" t="n"/>
      <c r="S889" s="284" t="n"/>
      <c r="T889" s="285" t="n"/>
      <c r="U889" s="285" t="n"/>
      <c r="V889" s="285" t="n"/>
      <c r="W889" s="285" t="n"/>
      <c r="X889" s="285" t="n"/>
      <c r="Y889" s="285" t="n"/>
      <c r="Z889" s="285" t="n"/>
    </row>
    <row r="890" ht="15.75" customHeight="1" s="398">
      <c r="A890" s="284" t="n"/>
      <c r="B890" s="285" t="n"/>
      <c r="C890" s="284" t="n"/>
      <c r="D890" s="285" t="n"/>
      <c r="E890" s="354" t="n"/>
      <c r="F890" s="336" t="n"/>
      <c r="G890" s="336" t="n"/>
      <c r="H890" s="285" t="n"/>
      <c r="I890" s="285" t="n"/>
      <c r="J890" s="285" t="n"/>
      <c r="K890" s="285" t="n"/>
      <c r="L890" s="285" t="n"/>
      <c r="M890" s="285" t="n"/>
      <c r="N890" s="285" t="n"/>
      <c r="O890" s="285" t="n"/>
      <c r="P890" s="285" t="n"/>
      <c r="Q890" s="285" t="n"/>
      <c r="R890" s="284" t="n"/>
      <c r="S890" s="284" t="n"/>
      <c r="T890" s="285" t="n"/>
      <c r="U890" s="285" t="n"/>
      <c r="V890" s="285" t="n"/>
      <c r="W890" s="285" t="n"/>
      <c r="X890" s="285" t="n"/>
      <c r="Y890" s="285" t="n"/>
      <c r="Z890" s="285" t="n"/>
    </row>
    <row r="891" ht="15.75" customHeight="1" s="398">
      <c r="A891" s="284" t="n"/>
      <c r="B891" s="285" t="n"/>
      <c r="C891" s="284" t="n"/>
      <c r="D891" s="285" t="n"/>
      <c r="E891" s="354" t="n"/>
      <c r="F891" s="336" t="n"/>
      <c r="G891" s="336" t="n"/>
      <c r="H891" s="285" t="n"/>
      <c r="I891" s="285" t="n"/>
      <c r="J891" s="285" t="n"/>
      <c r="K891" s="285" t="n"/>
      <c r="L891" s="285" t="n"/>
      <c r="M891" s="285" t="n"/>
      <c r="N891" s="285" t="n"/>
      <c r="O891" s="285" t="n"/>
      <c r="P891" s="285" t="n"/>
      <c r="Q891" s="285" t="n"/>
      <c r="R891" s="284" t="n"/>
      <c r="S891" s="284" t="n"/>
      <c r="T891" s="285" t="n"/>
      <c r="U891" s="285" t="n"/>
      <c r="V891" s="285" t="n"/>
      <c r="W891" s="285" t="n"/>
      <c r="X891" s="285" t="n"/>
      <c r="Y891" s="285" t="n"/>
      <c r="Z891" s="285" t="n"/>
    </row>
    <row r="892" ht="15.75" customHeight="1" s="398">
      <c r="A892" s="284" t="n"/>
      <c r="B892" s="285" t="n"/>
      <c r="C892" s="284" t="n"/>
      <c r="D892" s="285" t="n"/>
      <c r="E892" s="354" t="n"/>
      <c r="F892" s="336" t="n"/>
      <c r="G892" s="336" t="n"/>
      <c r="H892" s="285" t="n"/>
      <c r="I892" s="285" t="n"/>
      <c r="J892" s="285" t="n"/>
      <c r="K892" s="285" t="n"/>
      <c r="L892" s="285" t="n"/>
      <c r="M892" s="285" t="n"/>
      <c r="N892" s="285" t="n"/>
      <c r="O892" s="285" t="n"/>
      <c r="P892" s="285" t="n"/>
      <c r="Q892" s="285" t="n"/>
      <c r="R892" s="284" t="n"/>
      <c r="S892" s="284" t="n"/>
      <c r="T892" s="285" t="n"/>
      <c r="U892" s="285" t="n"/>
      <c r="V892" s="285" t="n"/>
      <c r="W892" s="285" t="n"/>
      <c r="X892" s="285" t="n"/>
      <c r="Y892" s="285" t="n"/>
      <c r="Z892" s="285" t="n"/>
    </row>
    <row r="893" ht="15.75" customHeight="1" s="398">
      <c r="A893" s="284" t="n"/>
      <c r="B893" s="285" t="n"/>
      <c r="C893" s="284" t="n"/>
      <c r="D893" s="285" t="n"/>
      <c r="E893" s="354" t="n"/>
      <c r="F893" s="336" t="n"/>
      <c r="G893" s="336" t="n"/>
      <c r="H893" s="285" t="n"/>
      <c r="I893" s="285" t="n"/>
      <c r="J893" s="285" t="n"/>
      <c r="K893" s="285" t="n"/>
      <c r="L893" s="285" t="n"/>
      <c r="M893" s="285" t="n"/>
      <c r="N893" s="285" t="n"/>
      <c r="O893" s="285" t="n"/>
      <c r="P893" s="285" t="n"/>
      <c r="Q893" s="285" t="n"/>
      <c r="R893" s="284" t="n"/>
      <c r="S893" s="284" t="n"/>
      <c r="T893" s="285" t="n"/>
      <c r="U893" s="285" t="n"/>
      <c r="V893" s="285" t="n"/>
      <c r="W893" s="285" t="n"/>
      <c r="X893" s="285" t="n"/>
      <c r="Y893" s="285" t="n"/>
      <c r="Z893" s="285" t="n"/>
    </row>
    <row r="894" ht="15.75" customHeight="1" s="398">
      <c r="A894" s="284" t="n"/>
      <c r="B894" s="285" t="n"/>
      <c r="C894" s="284" t="n"/>
      <c r="D894" s="285" t="n"/>
      <c r="E894" s="354" t="n"/>
      <c r="F894" s="336" t="n"/>
      <c r="G894" s="336" t="n"/>
      <c r="H894" s="285" t="n"/>
      <c r="I894" s="285" t="n"/>
      <c r="J894" s="285" t="n"/>
      <c r="K894" s="285" t="n"/>
      <c r="L894" s="285" t="n"/>
      <c r="M894" s="285" t="n"/>
      <c r="N894" s="285" t="n"/>
      <c r="O894" s="285" t="n"/>
      <c r="P894" s="285" t="n"/>
      <c r="Q894" s="285" t="n"/>
      <c r="R894" s="284" t="n"/>
      <c r="S894" s="284" t="n"/>
      <c r="T894" s="285" t="n"/>
      <c r="U894" s="285" t="n"/>
      <c r="V894" s="285" t="n"/>
      <c r="W894" s="285" t="n"/>
      <c r="X894" s="285" t="n"/>
      <c r="Y894" s="285" t="n"/>
      <c r="Z894" s="285" t="n"/>
    </row>
    <row r="895" ht="15.75" customHeight="1" s="398">
      <c r="A895" s="284" t="n"/>
      <c r="B895" s="285" t="n"/>
      <c r="C895" s="284" t="n"/>
      <c r="D895" s="285" t="n"/>
      <c r="E895" s="354" t="n"/>
      <c r="F895" s="336" t="n"/>
      <c r="G895" s="336" t="n"/>
      <c r="H895" s="285" t="n"/>
      <c r="I895" s="285" t="n"/>
      <c r="J895" s="285" t="n"/>
      <c r="K895" s="285" t="n"/>
      <c r="L895" s="285" t="n"/>
      <c r="M895" s="285" t="n"/>
      <c r="N895" s="285" t="n"/>
      <c r="O895" s="285" t="n"/>
      <c r="P895" s="285" t="n"/>
      <c r="Q895" s="285" t="n"/>
      <c r="R895" s="284" t="n"/>
      <c r="S895" s="284" t="n"/>
      <c r="T895" s="285" t="n"/>
      <c r="U895" s="285" t="n"/>
      <c r="V895" s="285" t="n"/>
      <c r="W895" s="285" t="n"/>
      <c r="X895" s="285" t="n"/>
      <c r="Y895" s="285" t="n"/>
      <c r="Z895" s="285" t="n"/>
    </row>
    <row r="896" ht="15.75" customHeight="1" s="398">
      <c r="A896" s="284" t="n"/>
      <c r="B896" s="285" t="n"/>
      <c r="C896" s="284" t="n"/>
      <c r="D896" s="285" t="n"/>
      <c r="E896" s="354" t="n"/>
      <c r="F896" s="336" t="n"/>
      <c r="G896" s="336" t="n"/>
      <c r="H896" s="285" t="n"/>
      <c r="I896" s="285" t="n"/>
      <c r="J896" s="285" t="n"/>
      <c r="K896" s="285" t="n"/>
      <c r="L896" s="285" t="n"/>
      <c r="M896" s="285" t="n"/>
      <c r="N896" s="285" t="n"/>
      <c r="O896" s="285" t="n"/>
      <c r="P896" s="285" t="n"/>
      <c r="Q896" s="285" t="n"/>
      <c r="R896" s="284" t="n"/>
      <c r="S896" s="284" t="n"/>
      <c r="T896" s="285" t="n"/>
      <c r="U896" s="285" t="n"/>
      <c r="V896" s="285" t="n"/>
      <c r="W896" s="285" t="n"/>
      <c r="X896" s="285" t="n"/>
      <c r="Y896" s="285" t="n"/>
      <c r="Z896" s="285" t="n"/>
    </row>
    <row r="897" ht="15.75" customHeight="1" s="398">
      <c r="A897" s="284" t="n"/>
      <c r="B897" s="285" t="n"/>
      <c r="C897" s="284" t="n"/>
      <c r="D897" s="285" t="n"/>
      <c r="E897" s="354" t="n"/>
      <c r="F897" s="336" t="n"/>
      <c r="G897" s="336" t="n"/>
      <c r="H897" s="285" t="n"/>
      <c r="I897" s="285" t="n"/>
      <c r="J897" s="285" t="n"/>
      <c r="K897" s="285" t="n"/>
      <c r="L897" s="285" t="n"/>
      <c r="M897" s="285" t="n"/>
      <c r="N897" s="285" t="n"/>
      <c r="O897" s="285" t="n"/>
      <c r="P897" s="285" t="n"/>
      <c r="Q897" s="285" t="n"/>
      <c r="R897" s="284" t="n"/>
      <c r="S897" s="284" t="n"/>
      <c r="T897" s="285" t="n"/>
      <c r="U897" s="285" t="n"/>
      <c r="V897" s="285" t="n"/>
      <c r="W897" s="285" t="n"/>
      <c r="X897" s="285" t="n"/>
      <c r="Y897" s="285" t="n"/>
      <c r="Z897" s="285" t="n"/>
    </row>
    <row r="898" ht="15.75" customHeight="1" s="398">
      <c r="A898" s="284" t="n"/>
      <c r="B898" s="285" t="n"/>
      <c r="C898" s="284" t="n"/>
      <c r="D898" s="285" t="n"/>
      <c r="E898" s="354" t="n"/>
      <c r="F898" s="336" t="n"/>
      <c r="G898" s="336" t="n"/>
      <c r="H898" s="285" t="n"/>
      <c r="I898" s="285" t="n"/>
      <c r="J898" s="285" t="n"/>
      <c r="K898" s="285" t="n"/>
      <c r="L898" s="285" t="n"/>
      <c r="M898" s="285" t="n"/>
      <c r="N898" s="285" t="n"/>
      <c r="O898" s="285" t="n"/>
      <c r="P898" s="285" t="n"/>
      <c r="Q898" s="285" t="n"/>
      <c r="R898" s="284" t="n"/>
      <c r="S898" s="284" t="n"/>
      <c r="T898" s="285" t="n"/>
      <c r="U898" s="285" t="n"/>
      <c r="V898" s="285" t="n"/>
      <c r="W898" s="285" t="n"/>
      <c r="X898" s="285" t="n"/>
      <c r="Y898" s="285" t="n"/>
      <c r="Z898" s="285" t="n"/>
    </row>
    <row r="899" ht="15.75" customHeight="1" s="398">
      <c r="A899" s="284" t="n"/>
      <c r="B899" s="285" t="n"/>
      <c r="C899" s="284" t="n"/>
      <c r="D899" s="285" t="n"/>
      <c r="E899" s="354" t="n"/>
      <c r="F899" s="336" t="n"/>
      <c r="G899" s="336" t="n"/>
      <c r="H899" s="285" t="n"/>
      <c r="I899" s="285" t="n"/>
      <c r="J899" s="285" t="n"/>
      <c r="K899" s="285" t="n"/>
      <c r="L899" s="285" t="n"/>
      <c r="M899" s="285" t="n"/>
      <c r="N899" s="285" t="n"/>
      <c r="O899" s="285" t="n"/>
      <c r="P899" s="285" t="n"/>
      <c r="Q899" s="285" t="n"/>
      <c r="R899" s="284" t="n"/>
      <c r="S899" s="284" t="n"/>
      <c r="T899" s="285" t="n"/>
      <c r="U899" s="285" t="n"/>
      <c r="V899" s="285" t="n"/>
      <c r="W899" s="285" t="n"/>
      <c r="X899" s="285" t="n"/>
      <c r="Y899" s="285" t="n"/>
      <c r="Z899" s="285" t="n"/>
    </row>
    <row r="900" ht="15.75" customHeight="1" s="398">
      <c r="A900" s="284" t="n"/>
      <c r="B900" s="285" t="n"/>
      <c r="C900" s="284" t="n"/>
      <c r="D900" s="285" t="n"/>
      <c r="E900" s="354" t="n"/>
      <c r="F900" s="336" t="n"/>
      <c r="G900" s="336" t="n"/>
      <c r="H900" s="285" t="n"/>
      <c r="I900" s="285" t="n"/>
      <c r="J900" s="285" t="n"/>
      <c r="K900" s="285" t="n"/>
      <c r="L900" s="285" t="n"/>
      <c r="M900" s="285" t="n"/>
      <c r="N900" s="285" t="n"/>
      <c r="O900" s="285" t="n"/>
      <c r="P900" s="285" t="n"/>
      <c r="Q900" s="285" t="n"/>
      <c r="R900" s="284" t="n"/>
      <c r="S900" s="284" t="n"/>
      <c r="T900" s="285" t="n"/>
      <c r="U900" s="285" t="n"/>
      <c r="V900" s="285" t="n"/>
      <c r="W900" s="285" t="n"/>
      <c r="X900" s="285" t="n"/>
      <c r="Y900" s="285" t="n"/>
      <c r="Z900" s="285" t="n"/>
    </row>
    <row r="901" ht="15.75" customHeight="1" s="398">
      <c r="A901" s="284" t="n"/>
      <c r="B901" s="285" t="n"/>
      <c r="C901" s="284" t="n"/>
      <c r="D901" s="285" t="n"/>
      <c r="E901" s="354" t="n"/>
      <c r="F901" s="336" t="n"/>
      <c r="G901" s="336" t="n"/>
      <c r="H901" s="285" t="n"/>
      <c r="I901" s="285" t="n"/>
      <c r="J901" s="285" t="n"/>
      <c r="K901" s="285" t="n"/>
      <c r="L901" s="285" t="n"/>
      <c r="M901" s="285" t="n"/>
      <c r="N901" s="285" t="n"/>
      <c r="O901" s="285" t="n"/>
      <c r="P901" s="285" t="n"/>
      <c r="Q901" s="285" t="n"/>
      <c r="R901" s="284" t="n"/>
      <c r="S901" s="284" t="n"/>
      <c r="T901" s="285" t="n"/>
      <c r="U901" s="285" t="n"/>
      <c r="V901" s="285" t="n"/>
      <c r="W901" s="285" t="n"/>
      <c r="X901" s="285" t="n"/>
      <c r="Y901" s="285" t="n"/>
      <c r="Z901" s="285" t="n"/>
    </row>
    <row r="902" ht="15.75" customHeight="1" s="398">
      <c r="A902" s="284" t="n"/>
      <c r="B902" s="285" t="n"/>
      <c r="C902" s="284" t="n"/>
      <c r="D902" s="285" t="n"/>
      <c r="E902" s="354" t="n"/>
      <c r="F902" s="336" t="n"/>
      <c r="G902" s="336" t="n"/>
      <c r="H902" s="285" t="n"/>
      <c r="I902" s="285" t="n"/>
      <c r="J902" s="285" t="n"/>
      <c r="K902" s="285" t="n"/>
      <c r="L902" s="285" t="n"/>
      <c r="M902" s="285" t="n"/>
      <c r="N902" s="285" t="n"/>
      <c r="O902" s="285" t="n"/>
      <c r="P902" s="285" t="n"/>
      <c r="Q902" s="285" t="n"/>
      <c r="R902" s="284" t="n"/>
      <c r="S902" s="284" t="n"/>
      <c r="T902" s="285" t="n"/>
      <c r="U902" s="285" t="n"/>
      <c r="V902" s="285" t="n"/>
      <c r="W902" s="285" t="n"/>
      <c r="X902" s="285" t="n"/>
      <c r="Y902" s="285" t="n"/>
      <c r="Z902" s="285" t="n"/>
    </row>
    <row r="903" ht="15.75" customHeight="1" s="398">
      <c r="A903" s="284" t="n"/>
      <c r="B903" s="285" t="n"/>
      <c r="C903" s="284" t="n"/>
      <c r="D903" s="285" t="n"/>
      <c r="E903" s="354" t="n"/>
      <c r="F903" s="336" t="n"/>
      <c r="G903" s="336" t="n"/>
      <c r="H903" s="285" t="n"/>
      <c r="I903" s="285" t="n"/>
      <c r="J903" s="285" t="n"/>
      <c r="K903" s="285" t="n"/>
      <c r="L903" s="285" t="n"/>
      <c r="M903" s="285" t="n"/>
      <c r="N903" s="285" t="n"/>
      <c r="O903" s="285" t="n"/>
      <c r="P903" s="285" t="n"/>
      <c r="Q903" s="285" t="n"/>
      <c r="R903" s="284" t="n"/>
      <c r="S903" s="284" t="n"/>
      <c r="T903" s="285" t="n"/>
      <c r="U903" s="285" t="n"/>
      <c r="V903" s="285" t="n"/>
      <c r="W903" s="285" t="n"/>
      <c r="X903" s="285" t="n"/>
      <c r="Y903" s="285" t="n"/>
      <c r="Z903" s="285" t="n"/>
    </row>
    <row r="904" ht="15.75" customHeight="1" s="398">
      <c r="A904" s="284" t="n"/>
      <c r="B904" s="285" t="n"/>
      <c r="C904" s="284" t="n"/>
      <c r="D904" s="285" t="n"/>
      <c r="E904" s="354" t="n"/>
      <c r="F904" s="336" t="n"/>
      <c r="G904" s="336" t="n"/>
      <c r="H904" s="285" t="n"/>
      <c r="I904" s="285" t="n"/>
      <c r="J904" s="285" t="n"/>
      <c r="K904" s="285" t="n"/>
      <c r="L904" s="285" t="n"/>
      <c r="M904" s="285" t="n"/>
      <c r="N904" s="285" t="n"/>
      <c r="O904" s="285" t="n"/>
      <c r="P904" s="285" t="n"/>
      <c r="Q904" s="285" t="n"/>
      <c r="R904" s="284" t="n"/>
      <c r="S904" s="284" t="n"/>
      <c r="T904" s="285" t="n"/>
      <c r="U904" s="285" t="n"/>
      <c r="V904" s="285" t="n"/>
      <c r="W904" s="285" t="n"/>
      <c r="X904" s="285" t="n"/>
      <c r="Y904" s="285" t="n"/>
      <c r="Z904" s="285" t="n"/>
    </row>
    <row r="905" ht="15.75" customHeight="1" s="398">
      <c r="A905" s="284" t="n"/>
      <c r="B905" s="285" t="n"/>
      <c r="C905" s="284" t="n"/>
      <c r="D905" s="285" t="n"/>
      <c r="E905" s="354" t="n"/>
      <c r="F905" s="336" t="n"/>
      <c r="G905" s="336" t="n"/>
      <c r="H905" s="285" t="n"/>
      <c r="I905" s="285" t="n"/>
      <c r="J905" s="285" t="n"/>
      <c r="K905" s="285" t="n"/>
      <c r="L905" s="285" t="n"/>
      <c r="M905" s="285" t="n"/>
      <c r="N905" s="285" t="n"/>
      <c r="O905" s="285" t="n"/>
      <c r="P905" s="285" t="n"/>
      <c r="Q905" s="285" t="n"/>
      <c r="R905" s="284" t="n"/>
      <c r="S905" s="284" t="n"/>
      <c r="T905" s="285" t="n"/>
      <c r="U905" s="285" t="n"/>
      <c r="V905" s="285" t="n"/>
      <c r="W905" s="285" t="n"/>
      <c r="X905" s="285" t="n"/>
      <c r="Y905" s="285" t="n"/>
      <c r="Z905" s="285" t="n"/>
    </row>
    <row r="906" ht="15.75" customHeight="1" s="398">
      <c r="A906" s="284" t="n"/>
      <c r="B906" s="285" t="n"/>
      <c r="C906" s="284" t="n"/>
      <c r="D906" s="285" t="n"/>
      <c r="E906" s="354" t="n"/>
      <c r="F906" s="336" t="n"/>
      <c r="G906" s="336" t="n"/>
      <c r="H906" s="285" t="n"/>
      <c r="I906" s="285" t="n"/>
      <c r="J906" s="285" t="n"/>
      <c r="K906" s="285" t="n"/>
      <c r="L906" s="285" t="n"/>
      <c r="M906" s="285" t="n"/>
      <c r="N906" s="285" t="n"/>
      <c r="O906" s="285" t="n"/>
      <c r="P906" s="285" t="n"/>
      <c r="Q906" s="285" t="n"/>
      <c r="R906" s="284" t="n"/>
      <c r="S906" s="284" t="n"/>
      <c r="T906" s="285" t="n"/>
      <c r="U906" s="285" t="n"/>
      <c r="V906" s="285" t="n"/>
      <c r="W906" s="285" t="n"/>
      <c r="X906" s="285" t="n"/>
      <c r="Y906" s="285" t="n"/>
      <c r="Z906" s="285" t="n"/>
    </row>
    <row r="907" ht="15.75" customHeight="1" s="398">
      <c r="A907" s="284" t="n"/>
      <c r="B907" s="285" t="n"/>
      <c r="C907" s="284" t="n"/>
      <c r="D907" s="285" t="n"/>
      <c r="E907" s="354" t="n"/>
      <c r="F907" s="336" t="n"/>
      <c r="G907" s="336" t="n"/>
      <c r="H907" s="285" t="n"/>
      <c r="I907" s="285" t="n"/>
      <c r="J907" s="285" t="n"/>
      <c r="K907" s="285" t="n"/>
      <c r="L907" s="285" t="n"/>
      <c r="M907" s="285" t="n"/>
      <c r="N907" s="285" t="n"/>
      <c r="O907" s="285" t="n"/>
      <c r="P907" s="285" t="n"/>
      <c r="Q907" s="285" t="n"/>
      <c r="R907" s="284" t="n"/>
      <c r="S907" s="284" t="n"/>
      <c r="T907" s="285" t="n"/>
      <c r="U907" s="285" t="n"/>
      <c r="V907" s="285" t="n"/>
      <c r="W907" s="285" t="n"/>
      <c r="X907" s="285" t="n"/>
      <c r="Y907" s="285" t="n"/>
      <c r="Z907" s="285" t="n"/>
    </row>
    <row r="908" ht="15.75" customHeight="1" s="398">
      <c r="A908" s="284" t="n"/>
      <c r="B908" s="285" t="n"/>
      <c r="C908" s="284" t="n"/>
      <c r="D908" s="285" t="n"/>
      <c r="E908" s="354" t="n"/>
      <c r="F908" s="336" t="n"/>
      <c r="G908" s="336" t="n"/>
      <c r="H908" s="285" t="n"/>
      <c r="I908" s="285" t="n"/>
      <c r="J908" s="285" t="n"/>
      <c r="K908" s="285" t="n"/>
      <c r="L908" s="285" t="n"/>
      <c r="M908" s="285" t="n"/>
      <c r="N908" s="285" t="n"/>
      <c r="O908" s="285" t="n"/>
      <c r="P908" s="285" t="n"/>
      <c r="Q908" s="285" t="n"/>
      <c r="R908" s="284" t="n"/>
      <c r="S908" s="284" t="n"/>
      <c r="T908" s="285" t="n"/>
      <c r="U908" s="285" t="n"/>
      <c r="V908" s="285" t="n"/>
      <c r="W908" s="285" t="n"/>
      <c r="X908" s="285" t="n"/>
      <c r="Y908" s="285" t="n"/>
      <c r="Z908" s="285" t="n"/>
    </row>
    <row r="909" ht="15.75" customHeight="1" s="398">
      <c r="A909" s="284" t="n"/>
      <c r="B909" s="285" t="n"/>
      <c r="C909" s="284" t="n"/>
      <c r="D909" s="285" t="n"/>
      <c r="E909" s="354" t="n"/>
      <c r="F909" s="336" t="n"/>
      <c r="G909" s="336" t="n"/>
      <c r="H909" s="285" t="n"/>
      <c r="I909" s="285" t="n"/>
      <c r="J909" s="285" t="n"/>
      <c r="K909" s="285" t="n"/>
      <c r="L909" s="285" t="n"/>
      <c r="M909" s="285" t="n"/>
      <c r="N909" s="285" t="n"/>
      <c r="O909" s="285" t="n"/>
      <c r="P909" s="285" t="n"/>
      <c r="Q909" s="285" t="n"/>
      <c r="R909" s="284" t="n"/>
      <c r="S909" s="284" t="n"/>
      <c r="T909" s="285" t="n"/>
      <c r="U909" s="285" t="n"/>
      <c r="V909" s="285" t="n"/>
      <c r="W909" s="285" t="n"/>
      <c r="X909" s="285" t="n"/>
      <c r="Y909" s="285" t="n"/>
      <c r="Z909" s="285" t="n"/>
    </row>
    <row r="910" ht="15.75" customHeight="1" s="398">
      <c r="A910" s="284" t="n"/>
      <c r="B910" s="285" t="n"/>
      <c r="C910" s="284" t="n"/>
      <c r="D910" s="285" t="n"/>
      <c r="E910" s="354" t="n"/>
      <c r="F910" s="336" t="n"/>
      <c r="G910" s="336" t="n"/>
      <c r="H910" s="285" t="n"/>
      <c r="I910" s="285" t="n"/>
      <c r="J910" s="285" t="n"/>
      <c r="K910" s="285" t="n"/>
      <c r="L910" s="285" t="n"/>
      <c r="M910" s="285" t="n"/>
      <c r="N910" s="285" t="n"/>
      <c r="O910" s="285" t="n"/>
      <c r="P910" s="285" t="n"/>
      <c r="Q910" s="285" t="n"/>
      <c r="R910" s="284" t="n"/>
      <c r="S910" s="284" t="n"/>
      <c r="T910" s="285" t="n"/>
      <c r="U910" s="285" t="n"/>
      <c r="V910" s="285" t="n"/>
      <c r="W910" s="285" t="n"/>
      <c r="X910" s="285" t="n"/>
      <c r="Y910" s="285" t="n"/>
      <c r="Z910" s="285" t="n"/>
    </row>
    <row r="911" ht="15.75" customHeight="1" s="398">
      <c r="A911" s="284" t="n"/>
      <c r="B911" s="285" t="n"/>
      <c r="C911" s="284" t="n"/>
      <c r="D911" s="285" t="n"/>
      <c r="E911" s="354" t="n"/>
      <c r="F911" s="336" t="n"/>
      <c r="G911" s="336" t="n"/>
      <c r="H911" s="285" t="n"/>
      <c r="I911" s="285" t="n"/>
      <c r="J911" s="285" t="n"/>
      <c r="K911" s="285" t="n"/>
      <c r="L911" s="285" t="n"/>
      <c r="M911" s="285" t="n"/>
      <c r="N911" s="285" t="n"/>
      <c r="O911" s="285" t="n"/>
      <c r="P911" s="285" t="n"/>
      <c r="Q911" s="285" t="n"/>
      <c r="R911" s="284" t="n"/>
      <c r="S911" s="284" t="n"/>
      <c r="T911" s="285" t="n"/>
      <c r="U911" s="285" t="n"/>
      <c r="V911" s="285" t="n"/>
      <c r="W911" s="285" t="n"/>
      <c r="X911" s="285" t="n"/>
      <c r="Y911" s="285" t="n"/>
      <c r="Z911" s="285" t="n"/>
    </row>
    <row r="912" ht="15.75" customHeight="1" s="398">
      <c r="A912" s="284" t="n"/>
      <c r="B912" s="285" t="n"/>
      <c r="C912" s="284" t="n"/>
      <c r="D912" s="285" t="n"/>
      <c r="E912" s="354" t="n"/>
      <c r="F912" s="336" t="n"/>
      <c r="G912" s="336" t="n"/>
      <c r="H912" s="285" t="n"/>
      <c r="I912" s="285" t="n"/>
      <c r="J912" s="285" t="n"/>
      <c r="K912" s="285" t="n"/>
      <c r="L912" s="285" t="n"/>
      <c r="M912" s="285" t="n"/>
      <c r="N912" s="285" t="n"/>
      <c r="O912" s="285" t="n"/>
      <c r="P912" s="285" t="n"/>
      <c r="Q912" s="285" t="n"/>
      <c r="R912" s="284" t="n"/>
      <c r="S912" s="284" t="n"/>
      <c r="T912" s="285" t="n"/>
      <c r="U912" s="285" t="n"/>
      <c r="V912" s="285" t="n"/>
      <c r="W912" s="285" t="n"/>
      <c r="X912" s="285" t="n"/>
      <c r="Y912" s="285" t="n"/>
      <c r="Z912" s="285" t="n"/>
    </row>
    <row r="913" ht="15.75" customHeight="1" s="398">
      <c r="A913" s="284" t="n"/>
      <c r="B913" s="285" t="n"/>
      <c r="C913" s="284" t="n"/>
      <c r="D913" s="285" t="n"/>
      <c r="E913" s="354" t="n"/>
      <c r="F913" s="336" t="n"/>
      <c r="G913" s="336" t="n"/>
      <c r="H913" s="285" t="n"/>
      <c r="I913" s="285" t="n"/>
      <c r="J913" s="285" t="n"/>
      <c r="K913" s="285" t="n"/>
      <c r="L913" s="285" t="n"/>
      <c r="M913" s="285" t="n"/>
      <c r="N913" s="285" t="n"/>
      <c r="O913" s="285" t="n"/>
      <c r="P913" s="285" t="n"/>
      <c r="Q913" s="285" t="n"/>
      <c r="R913" s="284" t="n"/>
      <c r="S913" s="284" t="n"/>
      <c r="T913" s="285" t="n"/>
      <c r="U913" s="285" t="n"/>
      <c r="V913" s="285" t="n"/>
      <c r="W913" s="285" t="n"/>
      <c r="X913" s="285" t="n"/>
      <c r="Y913" s="285" t="n"/>
      <c r="Z913" s="285" t="n"/>
    </row>
    <row r="914" ht="15.75" customHeight="1" s="398">
      <c r="A914" s="284" t="n"/>
      <c r="B914" s="285" t="n"/>
      <c r="C914" s="284" t="n"/>
      <c r="D914" s="285" t="n"/>
      <c r="E914" s="354" t="n"/>
      <c r="F914" s="336" t="n"/>
      <c r="G914" s="336" t="n"/>
      <c r="H914" s="285" t="n"/>
      <c r="I914" s="285" t="n"/>
      <c r="J914" s="285" t="n"/>
      <c r="K914" s="285" t="n"/>
      <c r="L914" s="285" t="n"/>
      <c r="M914" s="285" t="n"/>
      <c r="N914" s="285" t="n"/>
      <c r="O914" s="285" t="n"/>
      <c r="P914" s="285" t="n"/>
      <c r="Q914" s="285" t="n"/>
      <c r="R914" s="284" t="n"/>
      <c r="S914" s="284" t="n"/>
      <c r="T914" s="285" t="n"/>
      <c r="U914" s="285" t="n"/>
      <c r="V914" s="285" t="n"/>
      <c r="W914" s="285" t="n"/>
      <c r="X914" s="285" t="n"/>
      <c r="Y914" s="285" t="n"/>
      <c r="Z914" s="285" t="n"/>
    </row>
    <row r="915" ht="15.75" customHeight="1" s="398">
      <c r="A915" s="284" t="n"/>
      <c r="B915" s="285" t="n"/>
      <c r="C915" s="284" t="n"/>
      <c r="D915" s="285" t="n"/>
      <c r="E915" s="354" t="n"/>
      <c r="F915" s="336" t="n"/>
      <c r="G915" s="336" t="n"/>
      <c r="H915" s="285" t="n"/>
      <c r="I915" s="285" t="n"/>
      <c r="J915" s="285" t="n"/>
      <c r="K915" s="285" t="n"/>
      <c r="L915" s="285" t="n"/>
      <c r="M915" s="285" t="n"/>
      <c r="N915" s="285" t="n"/>
      <c r="O915" s="285" t="n"/>
      <c r="P915" s="285" t="n"/>
      <c r="Q915" s="285" t="n"/>
      <c r="R915" s="284" t="n"/>
      <c r="S915" s="284" t="n"/>
      <c r="T915" s="285" t="n"/>
      <c r="U915" s="285" t="n"/>
      <c r="V915" s="285" t="n"/>
      <c r="W915" s="285" t="n"/>
      <c r="X915" s="285" t="n"/>
      <c r="Y915" s="285" t="n"/>
      <c r="Z915" s="285" t="n"/>
    </row>
    <row r="916" ht="15.75" customHeight="1" s="398">
      <c r="A916" s="284" t="n"/>
      <c r="B916" s="285" t="n"/>
      <c r="C916" s="284" t="n"/>
      <c r="D916" s="285" t="n"/>
      <c r="E916" s="354" t="n"/>
      <c r="F916" s="336" t="n"/>
      <c r="G916" s="336" t="n"/>
      <c r="H916" s="285" t="n"/>
      <c r="I916" s="285" t="n"/>
      <c r="J916" s="285" t="n"/>
      <c r="K916" s="285" t="n"/>
      <c r="L916" s="285" t="n"/>
      <c r="M916" s="285" t="n"/>
      <c r="N916" s="285" t="n"/>
      <c r="O916" s="285" t="n"/>
      <c r="P916" s="285" t="n"/>
      <c r="Q916" s="285" t="n"/>
      <c r="R916" s="284" t="n"/>
      <c r="S916" s="284" t="n"/>
      <c r="T916" s="285" t="n"/>
      <c r="U916" s="285" t="n"/>
      <c r="V916" s="285" t="n"/>
      <c r="W916" s="285" t="n"/>
      <c r="X916" s="285" t="n"/>
      <c r="Y916" s="285" t="n"/>
      <c r="Z916" s="285" t="n"/>
    </row>
    <row r="917" ht="15.75" customHeight="1" s="398">
      <c r="A917" s="284" t="n"/>
      <c r="B917" s="285" t="n"/>
      <c r="C917" s="284" t="n"/>
      <c r="D917" s="285" t="n"/>
      <c r="E917" s="354" t="n"/>
      <c r="F917" s="336" t="n"/>
      <c r="G917" s="336" t="n"/>
      <c r="H917" s="285" t="n"/>
      <c r="I917" s="285" t="n"/>
      <c r="J917" s="285" t="n"/>
      <c r="K917" s="285" t="n"/>
      <c r="L917" s="285" t="n"/>
      <c r="M917" s="285" t="n"/>
      <c r="N917" s="285" t="n"/>
      <c r="O917" s="285" t="n"/>
      <c r="P917" s="285" t="n"/>
      <c r="Q917" s="285" t="n"/>
      <c r="R917" s="284" t="n"/>
      <c r="S917" s="284" t="n"/>
      <c r="T917" s="285" t="n"/>
      <c r="U917" s="285" t="n"/>
      <c r="V917" s="285" t="n"/>
      <c r="W917" s="285" t="n"/>
      <c r="X917" s="285" t="n"/>
      <c r="Y917" s="285" t="n"/>
      <c r="Z917" s="285" t="n"/>
    </row>
    <row r="918" ht="15.75" customHeight="1" s="398">
      <c r="A918" s="284" t="n"/>
      <c r="B918" s="285" t="n"/>
      <c r="C918" s="284" t="n"/>
      <c r="D918" s="285" t="n"/>
      <c r="E918" s="354" t="n"/>
      <c r="F918" s="336" t="n"/>
      <c r="G918" s="336" t="n"/>
      <c r="H918" s="285" t="n"/>
      <c r="I918" s="285" t="n"/>
      <c r="J918" s="285" t="n"/>
      <c r="K918" s="285" t="n"/>
      <c r="L918" s="285" t="n"/>
      <c r="M918" s="285" t="n"/>
      <c r="N918" s="285" t="n"/>
      <c r="O918" s="285" t="n"/>
      <c r="P918" s="285" t="n"/>
      <c r="Q918" s="285" t="n"/>
      <c r="R918" s="284" t="n"/>
      <c r="S918" s="284" t="n"/>
      <c r="T918" s="285" t="n"/>
      <c r="U918" s="285" t="n"/>
      <c r="V918" s="285" t="n"/>
      <c r="W918" s="285" t="n"/>
      <c r="X918" s="285" t="n"/>
      <c r="Y918" s="285" t="n"/>
      <c r="Z918" s="285" t="n"/>
    </row>
    <row r="919" ht="15.75" customHeight="1" s="398">
      <c r="A919" s="284" t="n"/>
      <c r="B919" s="285" t="n"/>
      <c r="C919" s="284" t="n"/>
      <c r="D919" s="285" t="n"/>
      <c r="E919" s="354" t="n"/>
      <c r="F919" s="336" t="n"/>
      <c r="G919" s="336" t="n"/>
      <c r="H919" s="285" t="n"/>
      <c r="I919" s="285" t="n"/>
      <c r="J919" s="285" t="n"/>
      <c r="K919" s="285" t="n"/>
      <c r="L919" s="285" t="n"/>
      <c r="M919" s="285" t="n"/>
      <c r="N919" s="285" t="n"/>
      <c r="O919" s="285" t="n"/>
      <c r="P919" s="285" t="n"/>
      <c r="Q919" s="285" t="n"/>
      <c r="R919" s="284" t="n"/>
      <c r="S919" s="284" t="n"/>
      <c r="T919" s="285" t="n"/>
      <c r="U919" s="285" t="n"/>
      <c r="V919" s="285" t="n"/>
      <c r="W919" s="285" t="n"/>
      <c r="X919" s="285" t="n"/>
      <c r="Y919" s="285" t="n"/>
      <c r="Z919" s="285" t="n"/>
    </row>
    <row r="920" ht="15.75" customHeight="1" s="398">
      <c r="A920" s="284" t="n"/>
      <c r="B920" s="285" t="n"/>
      <c r="C920" s="284" t="n"/>
      <c r="D920" s="285" t="n"/>
      <c r="E920" s="354" t="n"/>
      <c r="F920" s="336" t="n"/>
      <c r="G920" s="336" t="n"/>
      <c r="H920" s="285" t="n"/>
      <c r="I920" s="285" t="n"/>
      <c r="J920" s="285" t="n"/>
      <c r="K920" s="285" t="n"/>
      <c r="L920" s="285" t="n"/>
      <c r="M920" s="285" t="n"/>
      <c r="N920" s="285" t="n"/>
      <c r="O920" s="285" t="n"/>
      <c r="P920" s="285" t="n"/>
      <c r="Q920" s="285" t="n"/>
      <c r="R920" s="284" t="n"/>
      <c r="S920" s="284" t="n"/>
      <c r="T920" s="285" t="n"/>
      <c r="U920" s="285" t="n"/>
      <c r="V920" s="285" t="n"/>
      <c r="W920" s="285" t="n"/>
      <c r="X920" s="285" t="n"/>
      <c r="Y920" s="285" t="n"/>
      <c r="Z920" s="285" t="n"/>
    </row>
    <row r="921" ht="15.75" customHeight="1" s="398">
      <c r="A921" s="284" t="n"/>
      <c r="B921" s="285" t="n"/>
      <c r="C921" s="284" t="n"/>
      <c r="D921" s="285" t="n"/>
      <c r="E921" s="354" t="n"/>
      <c r="F921" s="336" t="n"/>
      <c r="G921" s="336" t="n"/>
      <c r="H921" s="285" t="n"/>
      <c r="I921" s="285" t="n"/>
      <c r="J921" s="285" t="n"/>
      <c r="K921" s="285" t="n"/>
      <c r="L921" s="285" t="n"/>
      <c r="M921" s="285" t="n"/>
      <c r="N921" s="285" t="n"/>
      <c r="O921" s="285" t="n"/>
      <c r="P921" s="285" t="n"/>
      <c r="Q921" s="285" t="n"/>
      <c r="R921" s="284" t="n"/>
      <c r="S921" s="284" t="n"/>
      <c r="T921" s="285" t="n"/>
      <c r="U921" s="285" t="n"/>
      <c r="V921" s="285" t="n"/>
      <c r="W921" s="285" t="n"/>
      <c r="X921" s="285" t="n"/>
      <c r="Y921" s="285" t="n"/>
      <c r="Z921" s="285" t="n"/>
    </row>
    <row r="922" ht="15.75" customHeight="1" s="398">
      <c r="A922" s="284" t="n"/>
      <c r="B922" s="285" t="n"/>
      <c r="C922" s="284" t="n"/>
      <c r="D922" s="285" t="n"/>
      <c r="E922" s="354" t="n"/>
      <c r="F922" s="336" t="n"/>
      <c r="G922" s="336" t="n"/>
      <c r="H922" s="285" t="n"/>
      <c r="I922" s="285" t="n"/>
      <c r="J922" s="285" t="n"/>
      <c r="K922" s="285" t="n"/>
      <c r="L922" s="285" t="n"/>
      <c r="M922" s="285" t="n"/>
      <c r="N922" s="285" t="n"/>
      <c r="O922" s="285" t="n"/>
      <c r="P922" s="285" t="n"/>
      <c r="Q922" s="285" t="n"/>
      <c r="R922" s="284" t="n"/>
      <c r="S922" s="284" t="n"/>
      <c r="T922" s="285" t="n"/>
      <c r="U922" s="285" t="n"/>
      <c r="V922" s="285" t="n"/>
      <c r="W922" s="285" t="n"/>
      <c r="X922" s="285" t="n"/>
      <c r="Y922" s="285" t="n"/>
      <c r="Z922" s="285" t="n"/>
    </row>
    <row r="923" ht="15.75" customHeight="1" s="398">
      <c r="A923" s="284" t="n"/>
      <c r="B923" s="285" t="n"/>
      <c r="C923" s="284" t="n"/>
      <c r="D923" s="285" t="n"/>
      <c r="E923" s="354" t="n"/>
      <c r="F923" s="336" t="n"/>
      <c r="G923" s="336" t="n"/>
      <c r="H923" s="285" t="n"/>
      <c r="I923" s="285" t="n"/>
      <c r="J923" s="285" t="n"/>
      <c r="K923" s="285" t="n"/>
      <c r="L923" s="285" t="n"/>
      <c r="M923" s="285" t="n"/>
      <c r="N923" s="285" t="n"/>
      <c r="O923" s="285" t="n"/>
      <c r="P923" s="285" t="n"/>
      <c r="Q923" s="285" t="n"/>
      <c r="R923" s="284" t="n"/>
      <c r="S923" s="284" t="n"/>
      <c r="T923" s="285" t="n"/>
      <c r="U923" s="285" t="n"/>
      <c r="V923" s="285" t="n"/>
      <c r="W923" s="285" t="n"/>
      <c r="X923" s="285" t="n"/>
      <c r="Y923" s="285" t="n"/>
      <c r="Z923" s="285" t="n"/>
    </row>
    <row r="924" ht="15.75" customHeight="1" s="398">
      <c r="A924" s="284" t="n"/>
      <c r="B924" s="285" t="n"/>
      <c r="C924" s="284" t="n"/>
      <c r="D924" s="285" t="n"/>
      <c r="E924" s="354" t="n"/>
      <c r="F924" s="336" t="n"/>
      <c r="G924" s="336" t="n"/>
      <c r="H924" s="285" t="n"/>
      <c r="I924" s="285" t="n"/>
      <c r="J924" s="285" t="n"/>
      <c r="K924" s="285" t="n"/>
      <c r="L924" s="285" t="n"/>
      <c r="M924" s="285" t="n"/>
      <c r="N924" s="285" t="n"/>
      <c r="O924" s="285" t="n"/>
      <c r="P924" s="285" t="n"/>
      <c r="Q924" s="285" t="n"/>
      <c r="R924" s="284" t="n"/>
      <c r="S924" s="284" t="n"/>
      <c r="T924" s="285" t="n"/>
      <c r="U924" s="285" t="n"/>
      <c r="V924" s="285" t="n"/>
      <c r="W924" s="285" t="n"/>
      <c r="X924" s="285" t="n"/>
      <c r="Y924" s="285" t="n"/>
      <c r="Z924" s="285" t="n"/>
    </row>
    <row r="925" ht="15.75" customHeight="1" s="398">
      <c r="A925" s="284" t="n"/>
      <c r="B925" s="285" t="n"/>
      <c r="C925" s="284" t="n"/>
      <c r="D925" s="285" t="n"/>
      <c r="E925" s="354" t="n"/>
      <c r="F925" s="336" t="n"/>
      <c r="G925" s="336" t="n"/>
      <c r="H925" s="285" t="n"/>
      <c r="I925" s="285" t="n"/>
      <c r="J925" s="285" t="n"/>
      <c r="K925" s="285" t="n"/>
      <c r="L925" s="285" t="n"/>
      <c r="M925" s="285" t="n"/>
      <c r="N925" s="285" t="n"/>
      <c r="O925" s="285" t="n"/>
      <c r="P925" s="285" t="n"/>
      <c r="Q925" s="285" t="n"/>
      <c r="R925" s="284" t="n"/>
      <c r="S925" s="284" t="n"/>
      <c r="T925" s="285" t="n"/>
      <c r="U925" s="285" t="n"/>
      <c r="V925" s="285" t="n"/>
      <c r="W925" s="285" t="n"/>
      <c r="X925" s="285" t="n"/>
      <c r="Y925" s="285" t="n"/>
      <c r="Z925" s="285" t="n"/>
    </row>
    <row r="926" ht="15.75" customHeight="1" s="398">
      <c r="A926" s="284" t="n"/>
      <c r="B926" s="285" t="n"/>
      <c r="C926" s="284" t="n"/>
      <c r="D926" s="285" t="n"/>
      <c r="E926" s="354" t="n"/>
      <c r="F926" s="336" t="n"/>
      <c r="G926" s="336" t="n"/>
      <c r="H926" s="285" t="n"/>
      <c r="I926" s="285" t="n"/>
      <c r="J926" s="285" t="n"/>
      <c r="K926" s="285" t="n"/>
      <c r="L926" s="285" t="n"/>
      <c r="M926" s="285" t="n"/>
      <c r="N926" s="285" t="n"/>
      <c r="O926" s="285" t="n"/>
      <c r="P926" s="285" t="n"/>
      <c r="Q926" s="285" t="n"/>
      <c r="R926" s="284" t="n"/>
      <c r="S926" s="284" t="n"/>
      <c r="T926" s="285" t="n"/>
      <c r="U926" s="285" t="n"/>
      <c r="V926" s="285" t="n"/>
      <c r="W926" s="285" t="n"/>
      <c r="X926" s="285" t="n"/>
      <c r="Y926" s="285" t="n"/>
      <c r="Z926" s="285" t="n"/>
    </row>
    <row r="927" ht="15.75" customHeight="1" s="398">
      <c r="A927" s="284" t="n"/>
      <c r="B927" s="285" t="n"/>
      <c r="C927" s="284" t="n"/>
      <c r="D927" s="285" t="n"/>
      <c r="E927" s="354" t="n"/>
      <c r="F927" s="336" t="n"/>
      <c r="G927" s="336" t="n"/>
      <c r="H927" s="285" t="n"/>
      <c r="I927" s="285" t="n"/>
      <c r="J927" s="285" t="n"/>
      <c r="K927" s="285" t="n"/>
      <c r="L927" s="285" t="n"/>
      <c r="M927" s="285" t="n"/>
      <c r="N927" s="285" t="n"/>
      <c r="O927" s="285" t="n"/>
      <c r="P927" s="285" t="n"/>
      <c r="Q927" s="285" t="n"/>
      <c r="R927" s="284" t="n"/>
      <c r="S927" s="284" t="n"/>
      <c r="T927" s="285" t="n"/>
      <c r="U927" s="285" t="n"/>
      <c r="V927" s="285" t="n"/>
      <c r="W927" s="285" t="n"/>
      <c r="X927" s="285" t="n"/>
      <c r="Y927" s="285" t="n"/>
      <c r="Z927" s="285" t="n"/>
    </row>
    <row r="928" ht="15.75" customHeight="1" s="398">
      <c r="A928" s="284" t="n"/>
      <c r="B928" s="285" t="n"/>
      <c r="C928" s="284" t="n"/>
      <c r="D928" s="285" t="n"/>
      <c r="E928" s="354" t="n"/>
      <c r="F928" s="336" t="n"/>
      <c r="G928" s="336" t="n"/>
      <c r="H928" s="285" t="n"/>
      <c r="I928" s="285" t="n"/>
      <c r="J928" s="285" t="n"/>
      <c r="K928" s="285" t="n"/>
      <c r="L928" s="285" t="n"/>
      <c r="M928" s="285" t="n"/>
      <c r="N928" s="285" t="n"/>
      <c r="O928" s="285" t="n"/>
      <c r="P928" s="285" t="n"/>
      <c r="Q928" s="285" t="n"/>
      <c r="R928" s="284" t="n"/>
      <c r="S928" s="284" t="n"/>
      <c r="T928" s="285" t="n"/>
      <c r="U928" s="285" t="n"/>
      <c r="V928" s="285" t="n"/>
      <c r="W928" s="285" t="n"/>
      <c r="X928" s="285" t="n"/>
      <c r="Y928" s="285" t="n"/>
      <c r="Z928" s="285" t="n"/>
    </row>
    <row r="929" ht="15.75" customHeight="1" s="398">
      <c r="A929" s="284" t="n"/>
      <c r="B929" s="285" t="n"/>
      <c r="C929" s="284" t="n"/>
      <c r="D929" s="285" t="n"/>
      <c r="E929" s="354" t="n"/>
      <c r="F929" s="336" t="n"/>
      <c r="G929" s="336" t="n"/>
      <c r="H929" s="285" t="n"/>
      <c r="I929" s="285" t="n"/>
      <c r="J929" s="285" t="n"/>
      <c r="K929" s="285" t="n"/>
      <c r="L929" s="285" t="n"/>
      <c r="M929" s="285" t="n"/>
      <c r="N929" s="285" t="n"/>
      <c r="O929" s="285" t="n"/>
      <c r="P929" s="285" t="n"/>
      <c r="Q929" s="285" t="n"/>
      <c r="R929" s="284" t="n"/>
      <c r="S929" s="284" t="n"/>
      <c r="T929" s="285" t="n"/>
      <c r="U929" s="285" t="n"/>
      <c r="V929" s="285" t="n"/>
      <c r="W929" s="285" t="n"/>
      <c r="X929" s="285" t="n"/>
      <c r="Y929" s="285" t="n"/>
      <c r="Z929" s="285" t="n"/>
    </row>
    <row r="930" ht="15.75" customHeight="1" s="398">
      <c r="A930" s="284" t="n"/>
      <c r="B930" s="285" t="n"/>
      <c r="C930" s="284" t="n"/>
      <c r="D930" s="285" t="n"/>
      <c r="E930" s="354" t="n"/>
      <c r="F930" s="336" t="n"/>
      <c r="G930" s="336" t="n"/>
      <c r="H930" s="285" t="n"/>
      <c r="I930" s="285" t="n"/>
      <c r="J930" s="285" t="n"/>
      <c r="K930" s="285" t="n"/>
      <c r="L930" s="285" t="n"/>
      <c r="M930" s="285" t="n"/>
      <c r="N930" s="285" t="n"/>
      <c r="O930" s="285" t="n"/>
      <c r="P930" s="285" t="n"/>
      <c r="Q930" s="285" t="n"/>
      <c r="R930" s="284" t="n"/>
      <c r="S930" s="284" t="n"/>
      <c r="T930" s="285" t="n"/>
      <c r="U930" s="285" t="n"/>
      <c r="V930" s="285" t="n"/>
      <c r="W930" s="285" t="n"/>
      <c r="X930" s="285" t="n"/>
      <c r="Y930" s="285" t="n"/>
      <c r="Z930" s="285" t="n"/>
    </row>
    <row r="931" ht="15.75" customHeight="1" s="398">
      <c r="A931" s="284" t="n"/>
      <c r="B931" s="285" t="n"/>
      <c r="C931" s="284" t="n"/>
      <c r="D931" s="285" t="n"/>
      <c r="E931" s="354" t="n"/>
      <c r="F931" s="336" t="n"/>
      <c r="G931" s="336" t="n"/>
      <c r="H931" s="285" t="n"/>
      <c r="I931" s="285" t="n"/>
      <c r="J931" s="285" t="n"/>
      <c r="K931" s="285" t="n"/>
      <c r="L931" s="285" t="n"/>
      <c r="M931" s="285" t="n"/>
      <c r="N931" s="285" t="n"/>
      <c r="O931" s="285" t="n"/>
      <c r="P931" s="285" t="n"/>
      <c r="Q931" s="285" t="n"/>
      <c r="R931" s="284" t="n"/>
      <c r="S931" s="284" t="n"/>
      <c r="T931" s="285" t="n"/>
      <c r="U931" s="285" t="n"/>
      <c r="V931" s="285" t="n"/>
      <c r="W931" s="285" t="n"/>
      <c r="X931" s="285" t="n"/>
      <c r="Y931" s="285" t="n"/>
      <c r="Z931" s="285" t="n"/>
    </row>
    <row r="932" ht="15.75" customHeight="1" s="398">
      <c r="A932" s="284" t="n"/>
      <c r="B932" s="285" t="n"/>
      <c r="C932" s="284" t="n"/>
      <c r="D932" s="285" t="n"/>
      <c r="E932" s="354" t="n"/>
      <c r="F932" s="336" t="n"/>
      <c r="G932" s="336" t="n"/>
      <c r="H932" s="285" t="n"/>
      <c r="I932" s="285" t="n"/>
      <c r="J932" s="285" t="n"/>
      <c r="K932" s="285" t="n"/>
      <c r="L932" s="285" t="n"/>
      <c r="M932" s="285" t="n"/>
      <c r="N932" s="285" t="n"/>
      <c r="O932" s="285" t="n"/>
      <c r="P932" s="285" t="n"/>
      <c r="Q932" s="285" t="n"/>
      <c r="R932" s="284" t="n"/>
      <c r="S932" s="284" t="n"/>
      <c r="T932" s="285" t="n"/>
      <c r="U932" s="285" t="n"/>
      <c r="V932" s="285" t="n"/>
      <c r="W932" s="285" t="n"/>
      <c r="X932" s="285" t="n"/>
      <c r="Y932" s="285" t="n"/>
      <c r="Z932" s="285" t="n"/>
    </row>
    <row r="933" ht="15.75" customHeight="1" s="398">
      <c r="A933" s="284" t="n"/>
      <c r="B933" s="285" t="n"/>
      <c r="C933" s="284" t="n"/>
      <c r="D933" s="285" t="n"/>
      <c r="E933" s="354" t="n"/>
      <c r="F933" s="336" t="n"/>
      <c r="G933" s="336" t="n"/>
      <c r="H933" s="285" t="n"/>
      <c r="I933" s="285" t="n"/>
      <c r="J933" s="285" t="n"/>
      <c r="K933" s="285" t="n"/>
      <c r="L933" s="285" t="n"/>
      <c r="M933" s="285" t="n"/>
      <c r="N933" s="285" t="n"/>
      <c r="O933" s="285" t="n"/>
      <c r="P933" s="285" t="n"/>
      <c r="Q933" s="285" t="n"/>
      <c r="R933" s="284" t="n"/>
      <c r="S933" s="284" t="n"/>
      <c r="T933" s="285" t="n"/>
      <c r="U933" s="285" t="n"/>
      <c r="V933" s="285" t="n"/>
      <c r="W933" s="285" t="n"/>
      <c r="X933" s="285" t="n"/>
      <c r="Y933" s="285" t="n"/>
      <c r="Z933" s="285" t="n"/>
    </row>
    <row r="934" ht="15.75" customHeight="1" s="398">
      <c r="A934" s="284" t="n"/>
      <c r="B934" s="285" t="n"/>
      <c r="C934" s="284" t="n"/>
      <c r="D934" s="285" t="n"/>
      <c r="E934" s="354" t="n"/>
      <c r="F934" s="336" t="n"/>
      <c r="G934" s="336" t="n"/>
      <c r="H934" s="285" t="n"/>
      <c r="I934" s="285" t="n"/>
      <c r="J934" s="285" t="n"/>
      <c r="K934" s="285" t="n"/>
      <c r="L934" s="285" t="n"/>
      <c r="M934" s="285" t="n"/>
      <c r="N934" s="285" t="n"/>
      <c r="O934" s="285" t="n"/>
      <c r="P934" s="285" t="n"/>
      <c r="Q934" s="285" t="n"/>
      <c r="R934" s="284" t="n"/>
      <c r="S934" s="284" t="n"/>
      <c r="T934" s="285" t="n"/>
      <c r="U934" s="285" t="n"/>
      <c r="V934" s="285" t="n"/>
      <c r="W934" s="285" t="n"/>
      <c r="X934" s="285" t="n"/>
      <c r="Y934" s="285" t="n"/>
      <c r="Z934" s="285" t="n"/>
    </row>
    <row r="935" ht="15.75" customHeight="1" s="398">
      <c r="A935" s="284" t="n"/>
      <c r="B935" s="285" t="n"/>
      <c r="C935" s="284" t="n"/>
      <c r="D935" s="285" t="n"/>
      <c r="E935" s="354" t="n"/>
      <c r="F935" s="336" t="n"/>
      <c r="G935" s="336" t="n"/>
      <c r="H935" s="285" t="n"/>
      <c r="I935" s="285" t="n"/>
      <c r="J935" s="285" t="n"/>
      <c r="K935" s="285" t="n"/>
      <c r="L935" s="285" t="n"/>
      <c r="M935" s="285" t="n"/>
      <c r="N935" s="285" t="n"/>
      <c r="O935" s="285" t="n"/>
      <c r="P935" s="285" t="n"/>
      <c r="Q935" s="285" t="n"/>
      <c r="R935" s="284" t="n"/>
      <c r="S935" s="284" t="n"/>
      <c r="T935" s="285" t="n"/>
      <c r="U935" s="285" t="n"/>
      <c r="V935" s="285" t="n"/>
      <c r="W935" s="285" t="n"/>
      <c r="X935" s="285" t="n"/>
      <c r="Y935" s="285" t="n"/>
      <c r="Z935" s="285" t="n"/>
    </row>
    <row r="936" ht="15.75" customHeight="1" s="398">
      <c r="A936" s="284" t="n"/>
      <c r="B936" s="285" t="n"/>
      <c r="C936" s="284" t="n"/>
      <c r="D936" s="285" t="n"/>
      <c r="E936" s="354" t="n"/>
      <c r="F936" s="336" t="n"/>
      <c r="G936" s="336" t="n"/>
      <c r="H936" s="285" t="n"/>
      <c r="I936" s="285" t="n"/>
      <c r="J936" s="285" t="n"/>
      <c r="K936" s="285" t="n"/>
      <c r="L936" s="285" t="n"/>
      <c r="M936" s="285" t="n"/>
      <c r="N936" s="285" t="n"/>
      <c r="O936" s="285" t="n"/>
      <c r="P936" s="285" t="n"/>
      <c r="Q936" s="285" t="n"/>
      <c r="R936" s="284" t="n"/>
      <c r="S936" s="284" t="n"/>
      <c r="T936" s="285" t="n"/>
      <c r="U936" s="285" t="n"/>
      <c r="V936" s="285" t="n"/>
      <c r="W936" s="285" t="n"/>
      <c r="X936" s="285" t="n"/>
      <c r="Y936" s="285" t="n"/>
      <c r="Z936" s="285" t="n"/>
    </row>
    <row r="937" ht="15.75" customHeight="1" s="398">
      <c r="A937" s="284" t="n"/>
      <c r="B937" s="285" t="n"/>
      <c r="C937" s="284" t="n"/>
      <c r="D937" s="285" t="n"/>
      <c r="E937" s="354" t="n"/>
      <c r="F937" s="336" t="n"/>
      <c r="G937" s="336" t="n"/>
      <c r="H937" s="285" t="n"/>
      <c r="I937" s="285" t="n"/>
      <c r="J937" s="285" t="n"/>
      <c r="K937" s="285" t="n"/>
      <c r="L937" s="285" t="n"/>
      <c r="M937" s="285" t="n"/>
      <c r="N937" s="285" t="n"/>
      <c r="O937" s="285" t="n"/>
      <c r="P937" s="285" t="n"/>
      <c r="Q937" s="285" t="n"/>
      <c r="R937" s="284" t="n"/>
      <c r="S937" s="284" t="n"/>
      <c r="T937" s="285" t="n"/>
      <c r="U937" s="285" t="n"/>
      <c r="V937" s="285" t="n"/>
      <c r="W937" s="285" t="n"/>
      <c r="X937" s="285" t="n"/>
      <c r="Y937" s="285" t="n"/>
      <c r="Z937" s="285" t="n"/>
    </row>
    <row r="938" ht="15.75" customHeight="1" s="398">
      <c r="A938" s="284" t="n"/>
      <c r="B938" s="285" t="n"/>
      <c r="C938" s="284" t="n"/>
      <c r="D938" s="285" t="n"/>
      <c r="E938" s="354" t="n"/>
      <c r="F938" s="336" t="n"/>
      <c r="G938" s="336" t="n"/>
      <c r="H938" s="285" t="n"/>
      <c r="I938" s="285" t="n"/>
      <c r="J938" s="285" t="n"/>
      <c r="K938" s="285" t="n"/>
      <c r="L938" s="285" t="n"/>
      <c r="M938" s="285" t="n"/>
      <c r="N938" s="285" t="n"/>
      <c r="O938" s="285" t="n"/>
      <c r="P938" s="285" t="n"/>
      <c r="Q938" s="285" t="n"/>
      <c r="R938" s="284" t="n"/>
      <c r="S938" s="284" t="n"/>
      <c r="T938" s="285" t="n"/>
      <c r="U938" s="285" t="n"/>
      <c r="V938" s="285" t="n"/>
      <c r="W938" s="285" t="n"/>
      <c r="X938" s="285" t="n"/>
      <c r="Y938" s="285" t="n"/>
      <c r="Z938" s="285" t="n"/>
    </row>
    <row r="939" ht="15.75" customHeight="1" s="398">
      <c r="A939" s="284" t="n"/>
      <c r="B939" s="285" t="n"/>
      <c r="C939" s="284" t="n"/>
      <c r="D939" s="285" t="n"/>
      <c r="E939" s="354" t="n"/>
      <c r="F939" s="336" t="n"/>
      <c r="G939" s="336" t="n"/>
      <c r="H939" s="285" t="n"/>
      <c r="I939" s="285" t="n"/>
      <c r="J939" s="285" t="n"/>
      <c r="K939" s="285" t="n"/>
      <c r="L939" s="285" t="n"/>
      <c r="M939" s="285" t="n"/>
      <c r="N939" s="285" t="n"/>
      <c r="O939" s="285" t="n"/>
      <c r="P939" s="285" t="n"/>
      <c r="Q939" s="285" t="n"/>
      <c r="R939" s="284" t="n"/>
      <c r="S939" s="284" t="n"/>
      <c r="T939" s="285" t="n"/>
      <c r="U939" s="285" t="n"/>
      <c r="V939" s="285" t="n"/>
      <c r="W939" s="285" t="n"/>
      <c r="X939" s="285" t="n"/>
      <c r="Y939" s="285" t="n"/>
      <c r="Z939" s="285" t="n"/>
    </row>
    <row r="940" ht="15.75" customHeight="1" s="398">
      <c r="A940" s="284" t="n"/>
      <c r="B940" s="285" t="n"/>
      <c r="C940" s="284" t="n"/>
      <c r="D940" s="285" t="n"/>
      <c r="E940" s="354" t="n"/>
      <c r="F940" s="336" t="n"/>
      <c r="G940" s="336" t="n"/>
      <c r="H940" s="285" t="n"/>
      <c r="I940" s="285" t="n"/>
      <c r="J940" s="285" t="n"/>
      <c r="K940" s="285" t="n"/>
      <c r="L940" s="285" t="n"/>
      <c r="M940" s="285" t="n"/>
      <c r="N940" s="285" t="n"/>
      <c r="O940" s="285" t="n"/>
      <c r="P940" s="285" t="n"/>
      <c r="Q940" s="285" t="n"/>
      <c r="R940" s="284" t="n"/>
      <c r="S940" s="284" t="n"/>
      <c r="T940" s="285" t="n"/>
      <c r="U940" s="285" t="n"/>
      <c r="V940" s="285" t="n"/>
      <c r="W940" s="285" t="n"/>
      <c r="X940" s="285" t="n"/>
      <c r="Y940" s="285" t="n"/>
      <c r="Z940" s="285" t="n"/>
    </row>
    <row r="941" ht="15.75" customHeight="1" s="398">
      <c r="A941" s="284" t="n"/>
      <c r="B941" s="285" t="n"/>
      <c r="C941" s="284" t="n"/>
      <c r="D941" s="285" t="n"/>
      <c r="E941" s="354" t="n"/>
      <c r="F941" s="336" t="n"/>
      <c r="G941" s="336" t="n"/>
      <c r="H941" s="285" t="n"/>
      <c r="I941" s="285" t="n"/>
      <c r="J941" s="285" t="n"/>
      <c r="K941" s="285" t="n"/>
      <c r="L941" s="285" t="n"/>
      <c r="M941" s="285" t="n"/>
      <c r="N941" s="285" t="n"/>
      <c r="O941" s="285" t="n"/>
      <c r="P941" s="285" t="n"/>
      <c r="Q941" s="285" t="n"/>
      <c r="R941" s="284" t="n"/>
      <c r="S941" s="284" t="n"/>
      <c r="T941" s="285" t="n"/>
      <c r="U941" s="285" t="n"/>
      <c r="V941" s="285" t="n"/>
      <c r="W941" s="285" t="n"/>
      <c r="X941" s="285" t="n"/>
      <c r="Y941" s="285" t="n"/>
      <c r="Z941" s="285" t="n"/>
    </row>
    <row r="942" ht="15.75" customHeight="1" s="398">
      <c r="A942" s="284" t="n"/>
      <c r="B942" s="285" t="n"/>
      <c r="C942" s="284" t="n"/>
      <c r="D942" s="285" t="n"/>
      <c r="E942" s="354" t="n"/>
      <c r="F942" s="336" t="n"/>
      <c r="G942" s="336" t="n"/>
      <c r="H942" s="285" t="n"/>
      <c r="I942" s="285" t="n"/>
      <c r="J942" s="285" t="n"/>
      <c r="K942" s="285" t="n"/>
      <c r="L942" s="285" t="n"/>
      <c r="M942" s="285" t="n"/>
      <c r="N942" s="285" t="n"/>
      <c r="O942" s="285" t="n"/>
      <c r="P942" s="285" t="n"/>
      <c r="Q942" s="285" t="n"/>
      <c r="R942" s="284" t="n"/>
      <c r="S942" s="284" t="n"/>
      <c r="T942" s="285" t="n"/>
      <c r="U942" s="285" t="n"/>
      <c r="V942" s="285" t="n"/>
      <c r="W942" s="285" t="n"/>
      <c r="X942" s="285" t="n"/>
      <c r="Y942" s="285" t="n"/>
      <c r="Z942" s="285" t="n"/>
    </row>
    <row r="943" ht="15.75" customHeight="1" s="398">
      <c r="A943" s="284" t="n"/>
      <c r="B943" s="285" t="n"/>
      <c r="C943" s="284" t="n"/>
      <c r="D943" s="285" t="n"/>
      <c r="E943" s="354" t="n"/>
      <c r="F943" s="336" t="n"/>
      <c r="G943" s="336" t="n"/>
      <c r="H943" s="285" t="n"/>
      <c r="I943" s="285" t="n"/>
      <c r="J943" s="285" t="n"/>
      <c r="K943" s="285" t="n"/>
      <c r="L943" s="285" t="n"/>
      <c r="M943" s="285" t="n"/>
      <c r="N943" s="285" t="n"/>
      <c r="O943" s="285" t="n"/>
      <c r="P943" s="285" t="n"/>
      <c r="Q943" s="285" t="n"/>
      <c r="R943" s="284" t="n"/>
      <c r="S943" s="284" t="n"/>
      <c r="T943" s="285" t="n"/>
      <c r="U943" s="285" t="n"/>
      <c r="V943" s="285" t="n"/>
      <c r="W943" s="285" t="n"/>
      <c r="X943" s="285" t="n"/>
      <c r="Y943" s="285" t="n"/>
      <c r="Z943" s="285" t="n"/>
    </row>
    <row r="944" ht="15.75" customHeight="1" s="398">
      <c r="A944" s="284" t="n"/>
      <c r="B944" s="285" t="n"/>
      <c r="C944" s="284" t="n"/>
      <c r="D944" s="285" t="n"/>
      <c r="E944" s="354" t="n"/>
      <c r="F944" s="336" t="n"/>
      <c r="G944" s="336" t="n"/>
      <c r="H944" s="285" t="n"/>
      <c r="I944" s="285" t="n"/>
      <c r="J944" s="285" t="n"/>
      <c r="K944" s="285" t="n"/>
      <c r="L944" s="285" t="n"/>
      <c r="M944" s="285" t="n"/>
      <c r="N944" s="285" t="n"/>
      <c r="O944" s="285" t="n"/>
      <c r="P944" s="285" t="n"/>
      <c r="Q944" s="285" t="n"/>
      <c r="R944" s="284" t="n"/>
      <c r="S944" s="284" t="n"/>
      <c r="T944" s="285" t="n"/>
      <c r="U944" s="285" t="n"/>
      <c r="V944" s="285" t="n"/>
      <c r="W944" s="285" t="n"/>
      <c r="X944" s="285" t="n"/>
      <c r="Y944" s="285" t="n"/>
      <c r="Z944" s="285" t="n"/>
    </row>
    <row r="945" ht="15.75" customHeight="1" s="398">
      <c r="A945" s="284" t="n"/>
      <c r="B945" s="285" t="n"/>
      <c r="C945" s="284" t="n"/>
      <c r="D945" s="285" t="n"/>
      <c r="E945" s="354" t="n"/>
      <c r="F945" s="336" t="n"/>
      <c r="G945" s="336" t="n"/>
      <c r="H945" s="285" t="n"/>
      <c r="I945" s="285" t="n"/>
      <c r="J945" s="285" t="n"/>
      <c r="K945" s="285" t="n"/>
      <c r="L945" s="285" t="n"/>
      <c r="M945" s="285" t="n"/>
      <c r="N945" s="285" t="n"/>
      <c r="O945" s="285" t="n"/>
      <c r="P945" s="285" t="n"/>
      <c r="Q945" s="285" t="n"/>
      <c r="R945" s="284" t="n"/>
      <c r="S945" s="284" t="n"/>
      <c r="T945" s="285" t="n"/>
      <c r="U945" s="285" t="n"/>
      <c r="V945" s="285" t="n"/>
      <c r="W945" s="285" t="n"/>
      <c r="X945" s="285" t="n"/>
      <c r="Y945" s="285" t="n"/>
      <c r="Z945" s="285" t="n"/>
    </row>
    <row r="946" ht="15.75" customHeight="1" s="398">
      <c r="A946" s="284" t="n"/>
      <c r="B946" s="285" t="n"/>
      <c r="C946" s="284" t="n"/>
      <c r="D946" s="285" t="n"/>
      <c r="E946" s="354" t="n"/>
      <c r="F946" s="336" t="n"/>
      <c r="G946" s="336" t="n"/>
      <c r="H946" s="285" t="n"/>
      <c r="I946" s="285" t="n"/>
      <c r="J946" s="285" t="n"/>
      <c r="K946" s="285" t="n"/>
      <c r="L946" s="285" t="n"/>
      <c r="M946" s="285" t="n"/>
      <c r="N946" s="285" t="n"/>
      <c r="O946" s="285" t="n"/>
      <c r="P946" s="285" t="n"/>
      <c r="Q946" s="285" t="n"/>
      <c r="R946" s="284" t="n"/>
      <c r="S946" s="284" t="n"/>
      <c r="T946" s="285" t="n"/>
      <c r="U946" s="285" t="n"/>
      <c r="V946" s="285" t="n"/>
      <c r="W946" s="285" t="n"/>
      <c r="X946" s="285" t="n"/>
      <c r="Y946" s="285" t="n"/>
      <c r="Z946" s="285" t="n"/>
    </row>
    <row r="947" ht="15.75" customHeight="1" s="398">
      <c r="A947" s="284" t="n"/>
      <c r="B947" s="285" t="n"/>
      <c r="C947" s="284" t="n"/>
      <c r="D947" s="285" t="n"/>
      <c r="E947" s="354" t="n"/>
      <c r="F947" s="336" t="n"/>
      <c r="G947" s="336" t="n"/>
      <c r="H947" s="285" t="n"/>
      <c r="I947" s="285" t="n"/>
      <c r="J947" s="285" t="n"/>
      <c r="K947" s="285" t="n"/>
      <c r="L947" s="285" t="n"/>
      <c r="M947" s="285" t="n"/>
      <c r="N947" s="285" t="n"/>
      <c r="O947" s="285" t="n"/>
      <c r="P947" s="285" t="n"/>
      <c r="Q947" s="285" t="n"/>
      <c r="R947" s="284" t="n"/>
      <c r="S947" s="284" t="n"/>
      <c r="T947" s="285" t="n"/>
      <c r="U947" s="285" t="n"/>
      <c r="V947" s="285" t="n"/>
      <c r="W947" s="285" t="n"/>
      <c r="X947" s="285" t="n"/>
      <c r="Y947" s="285" t="n"/>
      <c r="Z947" s="285" t="n"/>
    </row>
    <row r="948" ht="15.75" customHeight="1" s="398">
      <c r="A948" s="284" t="n"/>
      <c r="B948" s="285" t="n"/>
      <c r="C948" s="284" t="n"/>
      <c r="D948" s="285" t="n"/>
      <c r="E948" s="354" t="n"/>
      <c r="F948" s="336" t="n"/>
      <c r="G948" s="336" t="n"/>
      <c r="H948" s="285" t="n"/>
      <c r="I948" s="285" t="n"/>
      <c r="J948" s="285" t="n"/>
      <c r="K948" s="285" t="n"/>
      <c r="L948" s="285" t="n"/>
      <c r="M948" s="285" t="n"/>
      <c r="N948" s="285" t="n"/>
      <c r="O948" s="285" t="n"/>
      <c r="P948" s="285" t="n"/>
      <c r="Q948" s="285" t="n"/>
      <c r="R948" s="284" t="n"/>
      <c r="S948" s="284" t="n"/>
      <c r="T948" s="285" t="n"/>
      <c r="U948" s="285" t="n"/>
      <c r="V948" s="285" t="n"/>
      <c r="W948" s="285" t="n"/>
      <c r="X948" s="285" t="n"/>
      <c r="Y948" s="285" t="n"/>
      <c r="Z948" s="285" t="n"/>
    </row>
    <row r="949" ht="15.75" customHeight="1" s="398">
      <c r="A949" s="284" t="n"/>
      <c r="B949" s="285" t="n"/>
      <c r="C949" s="284" t="n"/>
      <c r="D949" s="285" t="n"/>
      <c r="E949" s="354" t="n"/>
      <c r="F949" s="336" t="n"/>
      <c r="G949" s="336" t="n"/>
      <c r="H949" s="285" t="n"/>
      <c r="I949" s="285" t="n"/>
      <c r="J949" s="285" t="n"/>
      <c r="K949" s="285" t="n"/>
      <c r="L949" s="285" t="n"/>
      <c r="M949" s="285" t="n"/>
      <c r="N949" s="285" t="n"/>
      <c r="O949" s="285" t="n"/>
      <c r="P949" s="285" t="n"/>
      <c r="Q949" s="285" t="n"/>
      <c r="R949" s="284" t="n"/>
      <c r="S949" s="284" t="n"/>
      <c r="T949" s="285" t="n"/>
      <c r="U949" s="285" t="n"/>
      <c r="V949" s="285" t="n"/>
      <c r="W949" s="285" t="n"/>
      <c r="X949" s="285" t="n"/>
      <c r="Y949" s="285" t="n"/>
      <c r="Z949" s="285" t="n"/>
    </row>
    <row r="950" ht="15.75" customHeight="1" s="398">
      <c r="A950" s="284" t="n"/>
      <c r="B950" s="285" t="n"/>
      <c r="C950" s="284" t="n"/>
      <c r="D950" s="285" t="n"/>
      <c r="E950" s="354" t="n"/>
      <c r="F950" s="336" t="n"/>
      <c r="G950" s="336" t="n"/>
      <c r="H950" s="285" t="n"/>
      <c r="I950" s="285" t="n"/>
      <c r="J950" s="285" t="n"/>
      <c r="K950" s="285" t="n"/>
      <c r="L950" s="285" t="n"/>
      <c r="M950" s="285" t="n"/>
      <c r="N950" s="285" t="n"/>
      <c r="O950" s="285" t="n"/>
      <c r="P950" s="285" t="n"/>
      <c r="Q950" s="285" t="n"/>
      <c r="R950" s="284" t="n"/>
      <c r="S950" s="284" t="n"/>
      <c r="T950" s="285" t="n"/>
      <c r="U950" s="285" t="n"/>
      <c r="V950" s="285" t="n"/>
      <c r="W950" s="285" t="n"/>
      <c r="X950" s="285" t="n"/>
      <c r="Y950" s="285" t="n"/>
      <c r="Z950" s="285" t="n"/>
    </row>
    <row r="951" ht="15.75" customHeight="1" s="398">
      <c r="A951" s="284" t="n"/>
      <c r="B951" s="285" t="n"/>
      <c r="C951" s="284" t="n"/>
      <c r="D951" s="285" t="n"/>
      <c r="E951" s="354" t="n"/>
      <c r="F951" s="336" t="n"/>
      <c r="G951" s="336" t="n"/>
      <c r="H951" s="285" t="n"/>
      <c r="I951" s="285" t="n"/>
      <c r="J951" s="285" t="n"/>
      <c r="K951" s="285" t="n"/>
      <c r="L951" s="285" t="n"/>
      <c r="M951" s="285" t="n"/>
      <c r="N951" s="285" t="n"/>
      <c r="O951" s="285" t="n"/>
      <c r="P951" s="285" t="n"/>
      <c r="Q951" s="285" t="n"/>
      <c r="R951" s="284" t="n"/>
      <c r="S951" s="284" t="n"/>
      <c r="T951" s="285" t="n"/>
      <c r="U951" s="285" t="n"/>
      <c r="V951" s="285" t="n"/>
      <c r="W951" s="285" t="n"/>
      <c r="X951" s="285" t="n"/>
      <c r="Y951" s="285" t="n"/>
      <c r="Z951" s="285" t="n"/>
    </row>
    <row r="952" ht="15.75" customHeight="1" s="398">
      <c r="A952" s="284" t="n"/>
      <c r="B952" s="285" t="n"/>
      <c r="C952" s="284" t="n"/>
      <c r="D952" s="285" t="n"/>
      <c r="E952" s="354" t="n"/>
      <c r="F952" s="336" t="n"/>
      <c r="G952" s="336" t="n"/>
      <c r="H952" s="285" t="n"/>
      <c r="I952" s="285" t="n"/>
      <c r="J952" s="285" t="n"/>
      <c r="K952" s="285" t="n"/>
      <c r="L952" s="285" t="n"/>
      <c r="M952" s="285" t="n"/>
      <c r="N952" s="285" t="n"/>
      <c r="O952" s="285" t="n"/>
      <c r="P952" s="285" t="n"/>
      <c r="Q952" s="285" t="n"/>
      <c r="R952" s="284" t="n"/>
      <c r="S952" s="284" t="n"/>
      <c r="T952" s="285" t="n"/>
      <c r="U952" s="285" t="n"/>
      <c r="V952" s="285" t="n"/>
      <c r="W952" s="285" t="n"/>
      <c r="X952" s="285" t="n"/>
      <c r="Y952" s="285" t="n"/>
      <c r="Z952" s="285" t="n"/>
    </row>
    <row r="953" ht="15.75" customHeight="1" s="398">
      <c r="A953" s="284" t="n"/>
      <c r="B953" s="285" t="n"/>
      <c r="C953" s="284" t="n"/>
      <c r="D953" s="285" t="n"/>
      <c r="E953" s="354" t="n"/>
      <c r="F953" s="336" t="n"/>
      <c r="G953" s="336" t="n"/>
      <c r="H953" s="285" t="n"/>
      <c r="I953" s="285" t="n"/>
      <c r="J953" s="285" t="n"/>
      <c r="K953" s="285" t="n"/>
      <c r="L953" s="285" t="n"/>
      <c r="M953" s="285" t="n"/>
      <c r="N953" s="285" t="n"/>
      <c r="O953" s="285" t="n"/>
      <c r="P953" s="285" t="n"/>
      <c r="Q953" s="285" t="n"/>
      <c r="R953" s="284" t="n"/>
      <c r="S953" s="284" t="n"/>
      <c r="T953" s="285" t="n"/>
      <c r="U953" s="285" t="n"/>
      <c r="V953" s="285" t="n"/>
      <c r="W953" s="285" t="n"/>
      <c r="X953" s="285" t="n"/>
      <c r="Y953" s="285" t="n"/>
      <c r="Z953" s="285" t="n"/>
    </row>
    <row r="954" ht="15.75" customHeight="1" s="398">
      <c r="A954" s="284" t="n"/>
      <c r="B954" s="285" t="n"/>
      <c r="C954" s="284" t="n"/>
      <c r="D954" s="285" t="n"/>
      <c r="E954" s="354" t="n"/>
      <c r="F954" s="336" t="n"/>
      <c r="G954" s="336" t="n"/>
      <c r="H954" s="285" t="n"/>
      <c r="I954" s="285" t="n"/>
      <c r="J954" s="285" t="n"/>
      <c r="K954" s="285" t="n"/>
      <c r="L954" s="285" t="n"/>
      <c r="M954" s="285" t="n"/>
      <c r="N954" s="285" t="n"/>
      <c r="O954" s="285" t="n"/>
      <c r="P954" s="285" t="n"/>
      <c r="Q954" s="285" t="n"/>
      <c r="R954" s="284" t="n"/>
      <c r="S954" s="284" t="n"/>
      <c r="T954" s="285" t="n"/>
      <c r="U954" s="285" t="n"/>
      <c r="V954" s="285" t="n"/>
      <c r="W954" s="285" t="n"/>
      <c r="X954" s="285" t="n"/>
      <c r="Y954" s="285" t="n"/>
      <c r="Z954" s="285" t="n"/>
    </row>
    <row r="955" ht="15.75" customHeight="1" s="398">
      <c r="A955" s="284" t="n"/>
      <c r="B955" s="285" t="n"/>
      <c r="C955" s="284" t="n"/>
      <c r="D955" s="285" t="n"/>
      <c r="E955" s="354" t="n"/>
      <c r="F955" s="336" t="n"/>
      <c r="G955" s="336" t="n"/>
      <c r="H955" s="285" t="n"/>
      <c r="I955" s="285" t="n"/>
      <c r="J955" s="285" t="n"/>
      <c r="K955" s="285" t="n"/>
      <c r="L955" s="285" t="n"/>
      <c r="M955" s="285" t="n"/>
      <c r="N955" s="285" t="n"/>
      <c r="O955" s="285" t="n"/>
      <c r="P955" s="285" t="n"/>
      <c r="Q955" s="285" t="n"/>
      <c r="R955" s="284" t="n"/>
      <c r="S955" s="284" t="n"/>
      <c r="T955" s="285" t="n"/>
      <c r="U955" s="285" t="n"/>
      <c r="V955" s="285" t="n"/>
      <c r="W955" s="285" t="n"/>
      <c r="X955" s="285" t="n"/>
      <c r="Y955" s="285" t="n"/>
      <c r="Z955" s="285" t="n"/>
    </row>
    <row r="956" ht="15.75" customHeight="1" s="398">
      <c r="A956" s="284" t="n"/>
      <c r="B956" s="285" t="n"/>
      <c r="C956" s="284" t="n"/>
      <c r="D956" s="285" t="n"/>
      <c r="E956" s="354" t="n"/>
      <c r="F956" s="336" t="n"/>
      <c r="G956" s="336" t="n"/>
      <c r="H956" s="285" t="n"/>
      <c r="I956" s="285" t="n"/>
      <c r="J956" s="285" t="n"/>
      <c r="K956" s="285" t="n"/>
      <c r="L956" s="285" t="n"/>
      <c r="M956" s="285" t="n"/>
      <c r="N956" s="285" t="n"/>
      <c r="O956" s="285" t="n"/>
      <c r="P956" s="285" t="n"/>
      <c r="Q956" s="285" t="n"/>
      <c r="R956" s="284" t="n"/>
      <c r="S956" s="284" t="n"/>
      <c r="T956" s="285" t="n"/>
      <c r="U956" s="285" t="n"/>
      <c r="V956" s="285" t="n"/>
      <c r="W956" s="285" t="n"/>
      <c r="X956" s="285" t="n"/>
      <c r="Y956" s="285" t="n"/>
      <c r="Z956" s="285" t="n"/>
    </row>
    <row r="957" ht="15.75" customHeight="1" s="398">
      <c r="A957" s="284" t="n"/>
      <c r="B957" s="285" t="n"/>
      <c r="C957" s="284" t="n"/>
      <c r="D957" s="285" t="n"/>
      <c r="E957" s="354" t="n"/>
      <c r="F957" s="336" t="n"/>
      <c r="G957" s="336" t="n"/>
      <c r="H957" s="285" t="n"/>
      <c r="I957" s="285" t="n"/>
      <c r="J957" s="285" t="n"/>
      <c r="K957" s="285" t="n"/>
      <c r="L957" s="285" t="n"/>
      <c r="M957" s="285" t="n"/>
      <c r="N957" s="285" t="n"/>
      <c r="O957" s="285" t="n"/>
      <c r="P957" s="285" t="n"/>
      <c r="Q957" s="285" t="n"/>
      <c r="R957" s="284" t="n"/>
      <c r="S957" s="284" t="n"/>
      <c r="T957" s="285" t="n"/>
      <c r="U957" s="285" t="n"/>
      <c r="V957" s="285" t="n"/>
      <c r="W957" s="285" t="n"/>
      <c r="X957" s="285" t="n"/>
      <c r="Y957" s="285" t="n"/>
      <c r="Z957" s="285" t="n"/>
    </row>
    <row r="958" ht="15.75" customHeight="1" s="398">
      <c r="A958" s="284" t="n"/>
      <c r="B958" s="285" t="n"/>
      <c r="C958" s="284" t="n"/>
      <c r="D958" s="285" t="n"/>
      <c r="E958" s="354" t="n"/>
      <c r="F958" s="336" t="n"/>
      <c r="G958" s="336" t="n"/>
      <c r="H958" s="285" t="n"/>
      <c r="I958" s="285" t="n"/>
      <c r="J958" s="285" t="n"/>
      <c r="K958" s="285" t="n"/>
      <c r="L958" s="285" t="n"/>
      <c r="M958" s="285" t="n"/>
      <c r="N958" s="285" t="n"/>
      <c r="O958" s="285" t="n"/>
      <c r="P958" s="285" t="n"/>
      <c r="Q958" s="285" t="n"/>
      <c r="R958" s="284" t="n"/>
      <c r="S958" s="284" t="n"/>
      <c r="T958" s="285" t="n"/>
      <c r="U958" s="285" t="n"/>
      <c r="V958" s="285" t="n"/>
      <c r="W958" s="285" t="n"/>
      <c r="X958" s="285" t="n"/>
      <c r="Y958" s="285" t="n"/>
      <c r="Z958" s="285" t="n"/>
    </row>
    <row r="959" ht="15.75" customHeight="1" s="398">
      <c r="A959" s="284" t="n"/>
      <c r="B959" s="285" t="n"/>
      <c r="C959" s="284" t="n"/>
      <c r="D959" s="285" t="n"/>
      <c r="E959" s="354" t="n"/>
      <c r="F959" s="336" t="n"/>
      <c r="G959" s="336" t="n"/>
      <c r="H959" s="285" t="n"/>
      <c r="I959" s="285" t="n"/>
      <c r="J959" s="285" t="n"/>
      <c r="K959" s="285" t="n"/>
      <c r="L959" s="285" t="n"/>
      <c r="M959" s="285" t="n"/>
      <c r="N959" s="285" t="n"/>
      <c r="O959" s="285" t="n"/>
      <c r="P959" s="285" t="n"/>
      <c r="Q959" s="285" t="n"/>
      <c r="R959" s="284" t="n"/>
      <c r="S959" s="284" t="n"/>
      <c r="T959" s="285" t="n"/>
      <c r="U959" s="285" t="n"/>
      <c r="V959" s="285" t="n"/>
      <c r="W959" s="285" t="n"/>
      <c r="X959" s="285" t="n"/>
      <c r="Y959" s="285" t="n"/>
      <c r="Z959" s="285" t="n"/>
    </row>
    <row r="960" ht="15.75" customHeight="1" s="398">
      <c r="A960" s="284" t="n"/>
      <c r="B960" s="285" t="n"/>
      <c r="C960" s="284" t="n"/>
      <c r="D960" s="285" t="n"/>
      <c r="E960" s="354" t="n"/>
      <c r="F960" s="336" t="n"/>
      <c r="G960" s="336" t="n"/>
      <c r="H960" s="285" t="n"/>
      <c r="I960" s="285" t="n"/>
      <c r="J960" s="285" t="n"/>
      <c r="K960" s="285" t="n"/>
      <c r="L960" s="285" t="n"/>
      <c r="M960" s="285" t="n"/>
      <c r="N960" s="285" t="n"/>
      <c r="O960" s="285" t="n"/>
      <c r="P960" s="285" t="n"/>
      <c r="Q960" s="285" t="n"/>
      <c r="R960" s="284" t="n"/>
      <c r="S960" s="284" t="n"/>
      <c r="T960" s="285" t="n"/>
      <c r="U960" s="285" t="n"/>
      <c r="V960" s="285" t="n"/>
      <c r="W960" s="285" t="n"/>
      <c r="X960" s="285" t="n"/>
      <c r="Y960" s="285" t="n"/>
      <c r="Z960" s="285" t="n"/>
    </row>
    <row r="961" ht="15.75" customHeight="1" s="398">
      <c r="A961" s="284" t="n"/>
      <c r="B961" s="285" t="n"/>
      <c r="C961" s="284" t="n"/>
      <c r="D961" s="285" t="n"/>
      <c r="E961" s="354" t="n"/>
      <c r="F961" s="336" t="n"/>
      <c r="G961" s="336" t="n"/>
      <c r="H961" s="285" t="n"/>
      <c r="I961" s="285" t="n"/>
      <c r="J961" s="285" t="n"/>
      <c r="K961" s="285" t="n"/>
      <c r="L961" s="285" t="n"/>
      <c r="M961" s="285" t="n"/>
      <c r="N961" s="285" t="n"/>
      <c r="O961" s="285" t="n"/>
      <c r="P961" s="285" t="n"/>
      <c r="Q961" s="285" t="n"/>
      <c r="R961" s="284" t="n"/>
      <c r="S961" s="284" t="n"/>
      <c r="T961" s="285" t="n"/>
      <c r="U961" s="285" t="n"/>
      <c r="V961" s="285" t="n"/>
      <c r="W961" s="285" t="n"/>
      <c r="X961" s="285" t="n"/>
      <c r="Y961" s="285" t="n"/>
      <c r="Z961" s="285" t="n"/>
    </row>
    <row r="962" ht="15.75" customHeight="1" s="398">
      <c r="A962" s="284" t="n"/>
      <c r="B962" s="285" t="n"/>
      <c r="C962" s="284" t="n"/>
      <c r="D962" s="285" t="n"/>
      <c r="E962" s="354" t="n"/>
      <c r="F962" s="336" t="n"/>
      <c r="G962" s="336" t="n"/>
      <c r="H962" s="285" t="n"/>
      <c r="I962" s="285" t="n"/>
      <c r="J962" s="285" t="n"/>
      <c r="K962" s="285" t="n"/>
      <c r="L962" s="285" t="n"/>
      <c r="M962" s="285" t="n"/>
      <c r="N962" s="285" t="n"/>
      <c r="O962" s="285" t="n"/>
      <c r="P962" s="285" t="n"/>
      <c r="Q962" s="285" t="n"/>
      <c r="R962" s="284" t="n"/>
      <c r="S962" s="284" t="n"/>
      <c r="T962" s="285" t="n"/>
      <c r="U962" s="285" t="n"/>
      <c r="V962" s="285" t="n"/>
      <c r="W962" s="285" t="n"/>
      <c r="X962" s="285" t="n"/>
      <c r="Y962" s="285" t="n"/>
      <c r="Z962" s="285" t="n"/>
    </row>
    <row r="963" ht="15.75" customHeight="1" s="398">
      <c r="A963" s="284" t="n"/>
      <c r="B963" s="285" t="n"/>
      <c r="C963" s="284" t="n"/>
      <c r="D963" s="285" t="n"/>
      <c r="E963" s="354" t="n"/>
      <c r="F963" s="336" t="n"/>
      <c r="G963" s="336" t="n"/>
      <c r="H963" s="285" t="n"/>
      <c r="I963" s="285" t="n"/>
      <c r="J963" s="285" t="n"/>
      <c r="K963" s="285" t="n"/>
      <c r="L963" s="285" t="n"/>
      <c r="M963" s="285" t="n"/>
      <c r="N963" s="285" t="n"/>
      <c r="O963" s="285" t="n"/>
      <c r="P963" s="285" t="n"/>
      <c r="Q963" s="285" t="n"/>
      <c r="R963" s="284" t="n"/>
      <c r="S963" s="284" t="n"/>
      <c r="T963" s="285" t="n"/>
      <c r="U963" s="285" t="n"/>
      <c r="V963" s="285" t="n"/>
      <c r="W963" s="285" t="n"/>
      <c r="X963" s="285" t="n"/>
      <c r="Y963" s="285" t="n"/>
      <c r="Z963" s="285" t="n"/>
    </row>
    <row r="964" ht="15.75" customHeight="1" s="398">
      <c r="A964" s="284" t="n"/>
      <c r="B964" s="285" t="n"/>
      <c r="C964" s="284" t="n"/>
      <c r="D964" s="285" t="n"/>
      <c r="E964" s="354" t="n"/>
      <c r="F964" s="336" t="n"/>
      <c r="G964" s="336" t="n"/>
      <c r="H964" s="285" t="n"/>
      <c r="I964" s="285" t="n"/>
      <c r="J964" s="285" t="n"/>
      <c r="K964" s="285" t="n"/>
      <c r="L964" s="285" t="n"/>
      <c r="M964" s="285" t="n"/>
      <c r="N964" s="285" t="n"/>
      <c r="O964" s="285" t="n"/>
      <c r="P964" s="285" t="n"/>
      <c r="Q964" s="285" t="n"/>
      <c r="R964" s="284" t="n"/>
      <c r="S964" s="284" t="n"/>
      <c r="T964" s="285" t="n"/>
      <c r="U964" s="285" t="n"/>
      <c r="V964" s="285" t="n"/>
      <c r="W964" s="285" t="n"/>
      <c r="X964" s="285" t="n"/>
      <c r="Y964" s="285" t="n"/>
      <c r="Z964" s="285" t="n"/>
    </row>
    <row r="965" ht="15.75" customHeight="1" s="398">
      <c r="A965" s="284" t="n"/>
      <c r="B965" s="285" t="n"/>
      <c r="C965" s="284" t="n"/>
      <c r="D965" s="285" t="n"/>
      <c r="E965" s="354" t="n"/>
      <c r="F965" s="336" t="n"/>
      <c r="G965" s="336" t="n"/>
      <c r="H965" s="285" t="n"/>
      <c r="I965" s="285" t="n"/>
      <c r="J965" s="285" t="n"/>
      <c r="K965" s="285" t="n"/>
      <c r="L965" s="285" t="n"/>
      <c r="M965" s="285" t="n"/>
      <c r="N965" s="285" t="n"/>
      <c r="O965" s="285" t="n"/>
      <c r="P965" s="285" t="n"/>
      <c r="Q965" s="285" t="n"/>
      <c r="R965" s="284" t="n"/>
      <c r="S965" s="284" t="n"/>
      <c r="T965" s="285" t="n"/>
      <c r="U965" s="285" t="n"/>
      <c r="V965" s="285" t="n"/>
      <c r="W965" s="285" t="n"/>
      <c r="X965" s="285" t="n"/>
      <c r="Y965" s="285" t="n"/>
      <c r="Z965" s="285" t="n"/>
    </row>
    <row r="966" ht="15.75" customHeight="1" s="398">
      <c r="A966" s="284" t="n"/>
      <c r="B966" s="285" t="n"/>
      <c r="C966" s="284" t="n"/>
      <c r="D966" s="285" t="n"/>
      <c r="E966" s="354" t="n"/>
      <c r="F966" s="336" t="n"/>
      <c r="G966" s="336" t="n"/>
      <c r="H966" s="285" t="n"/>
      <c r="I966" s="285" t="n"/>
      <c r="J966" s="285" t="n"/>
      <c r="K966" s="285" t="n"/>
      <c r="L966" s="285" t="n"/>
      <c r="M966" s="285" t="n"/>
      <c r="N966" s="285" t="n"/>
      <c r="O966" s="285" t="n"/>
      <c r="P966" s="285" t="n"/>
      <c r="Q966" s="285" t="n"/>
      <c r="R966" s="284" t="n"/>
      <c r="S966" s="284" t="n"/>
      <c r="T966" s="285" t="n"/>
      <c r="U966" s="285" t="n"/>
      <c r="V966" s="285" t="n"/>
      <c r="W966" s="285" t="n"/>
      <c r="X966" s="285" t="n"/>
      <c r="Y966" s="285" t="n"/>
      <c r="Z966" s="285" t="n"/>
    </row>
    <row r="967" ht="15.75" customHeight="1" s="398">
      <c r="A967" s="284" t="n"/>
      <c r="B967" s="285" t="n"/>
      <c r="C967" s="284" t="n"/>
      <c r="D967" s="285" t="n"/>
      <c r="E967" s="354" t="n"/>
      <c r="F967" s="336" t="n"/>
      <c r="G967" s="336" t="n"/>
      <c r="H967" s="285" t="n"/>
      <c r="I967" s="285" t="n"/>
      <c r="J967" s="285" t="n"/>
      <c r="K967" s="285" t="n"/>
      <c r="L967" s="285" t="n"/>
      <c r="M967" s="285" t="n"/>
      <c r="N967" s="285" t="n"/>
      <c r="O967" s="285" t="n"/>
      <c r="P967" s="285" t="n"/>
      <c r="Q967" s="285" t="n"/>
      <c r="R967" s="284" t="n"/>
      <c r="S967" s="284" t="n"/>
      <c r="T967" s="285" t="n"/>
      <c r="U967" s="285" t="n"/>
      <c r="V967" s="285" t="n"/>
      <c r="W967" s="285" t="n"/>
      <c r="X967" s="285" t="n"/>
      <c r="Y967" s="285" t="n"/>
      <c r="Z967" s="285" t="n"/>
    </row>
    <row r="968" ht="15.75" customHeight="1" s="398">
      <c r="A968" s="284" t="n"/>
      <c r="B968" s="285" t="n"/>
      <c r="C968" s="284" t="n"/>
      <c r="D968" s="285" t="n"/>
      <c r="E968" s="354" t="n"/>
      <c r="F968" s="336" t="n"/>
      <c r="G968" s="336" t="n"/>
      <c r="H968" s="285" t="n"/>
      <c r="I968" s="285" t="n"/>
      <c r="J968" s="285" t="n"/>
      <c r="K968" s="285" t="n"/>
      <c r="L968" s="285" t="n"/>
      <c r="M968" s="285" t="n"/>
      <c r="N968" s="285" t="n"/>
      <c r="O968" s="285" t="n"/>
      <c r="P968" s="285" t="n"/>
      <c r="Q968" s="285" t="n"/>
      <c r="R968" s="284" t="n"/>
      <c r="S968" s="284" t="n"/>
      <c r="T968" s="285" t="n"/>
      <c r="U968" s="285" t="n"/>
      <c r="V968" s="285" t="n"/>
      <c r="W968" s="285" t="n"/>
      <c r="X968" s="285" t="n"/>
      <c r="Y968" s="285" t="n"/>
      <c r="Z968" s="285" t="n"/>
    </row>
    <row r="969" ht="15.75" customHeight="1" s="398">
      <c r="A969" s="284" t="n"/>
      <c r="B969" s="285" t="n"/>
      <c r="C969" s="284" t="n"/>
      <c r="D969" s="285" t="n"/>
      <c r="E969" s="354" t="n"/>
      <c r="F969" s="336" t="n"/>
      <c r="G969" s="336" t="n"/>
      <c r="H969" s="285" t="n"/>
      <c r="I969" s="285" t="n"/>
      <c r="J969" s="285" t="n"/>
      <c r="K969" s="285" t="n"/>
      <c r="L969" s="285" t="n"/>
      <c r="M969" s="285" t="n"/>
      <c r="N969" s="285" t="n"/>
      <c r="O969" s="285" t="n"/>
      <c r="P969" s="285" t="n"/>
      <c r="Q969" s="285" t="n"/>
      <c r="R969" s="284" t="n"/>
      <c r="S969" s="284" t="n"/>
      <c r="T969" s="285" t="n"/>
      <c r="U969" s="285" t="n"/>
      <c r="V969" s="285" t="n"/>
      <c r="W969" s="285" t="n"/>
      <c r="X969" s="285" t="n"/>
      <c r="Y969" s="285" t="n"/>
      <c r="Z969" s="285" t="n"/>
    </row>
    <row r="970" ht="15.75" customHeight="1" s="398">
      <c r="A970" s="284" t="n"/>
      <c r="B970" s="285" t="n"/>
      <c r="C970" s="284" t="n"/>
      <c r="D970" s="285" t="n"/>
      <c r="E970" s="354" t="n"/>
      <c r="F970" s="336" t="n"/>
      <c r="G970" s="336" t="n"/>
      <c r="H970" s="285" t="n"/>
      <c r="I970" s="285" t="n"/>
      <c r="J970" s="285" t="n"/>
      <c r="K970" s="285" t="n"/>
      <c r="L970" s="285" t="n"/>
      <c r="M970" s="285" t="n"/>
      <c r="N970" s="285" t="n"/>
      <c r="O970" s="285" t="n"/>
      <c r="P970" s="285" t="n"/>
      <c r="Q970" s="285" t="n"/>
      <c r="R970" s="284" t="n"/>
      <c r="S970" s="284" t="n"/>
      <c r="T970" s="285" t="n"/>
      <c r="U970" s="285" t="n"/>
      <c r="V970" s="285" t="n"/>
      <c r="W970" s="285" t="n"/>
      <c r="X970" s="285" t="n"/>
      <c r="Y970" s="285" t="n"/>
      <c r="Z970" s="285" t="n"/>
    </row>
    <row r="971" ht="15.75" customHeight="1" s="398">
      <c r="A971" s="284" t="n"/>
      <c r="B971" s="285" t="n"/>
      <c r="C971" s="284" t="n"/>
      <c r="D971" s="285" t="n"/>
      <c r="E971" s="354" t="n"/>
      <c r="F971" s="336" t="n"/>
      <c r="G971" s="336" t="n"/>
      <c r="H971" s="285" t="n"/>
      <c r="I971" s="285" t="n"/>
      <c r="J971" s="285" t="n"/>
      <c r="K971" s="285" t="n"/>
      <c r="L971" s="285" t="n"/>
      <c r="M971" s="285" t="n"/>
      <c r="N971" s="285" t="n"/>
      <c r="O971" s="285" t="n"/>
      <c r="P971" s="285" t="n"/>
      <c r="Q971" s="285" t="n"/>
      <c r="R971" s="284" t="n"/>
      <c r="S971" s="284" t="n"/>
      <c r="T971" s="285" t="n"/>
      <c r="U971" s="285" t="n"/>
      <c r="V971" s="285" t="n"/>
      <c r="W971" s="285" t="n"/>
      <c r="X971" s="285" t="n"/>
      <c r="Y971" s="285" t="n"/>
      <c r="Z971" s="285" t="n"/>
    </row>
    <row r="972" ht="15.75" customHeight="1" s="398">
      <c r="A972" s="284" t="n"/>
      <c r="B972" s="285" t="n"/>
      <c r="C972" s="284" t="n"/>
      <c r="D972" s="285" t="n"/>
      <c r="E972" s="354" t="n"/>
      <c r="F972" s="336" t="n"/>
      <c r="G972" s="336" t="n"/>
      <c r="H972" s="285" t="n"/>
      <c r="I972" s="285" t="n"/>
      <c r="J972" s="285" t="n"/>
      <c r="K972" s="285" t="n"/>
      <c r="L972" s="285" t="n"/>
      <c r="M972" s="285" t="n"/>
      <c r="N972" s="285" t="n"/>
      <c r="O972" s="285" t="n"/>
      <c r="P972" s="285" t="n"/>
      <c r="Q972" s="285" t="n"/>
      <c r="R972" s="284" t="n"/>
      <c r="S972" s="284" t="n"/>
      <c r="T972" s="285" t="n"/>
      <c r="U972" s="285" t="n"/>
      <c r="V972" s="285" t="n"/>
      <c r="W972" s="285" t="n"/>
      <c r="X972" s="285" t="n"/>
      <c r="Y972" s="285" t="n"/>
      <c r="Z972" s="285" t="n"/>
    </row>
    <row r="973" ht="15.75" customHeight="1" s="398">
      <c r="A973" s="284" t="n"/>
      <c r="B973" s="285" t="n"/>
      <c r="C973" s="284" t="n"/>
      <c r="D973" s="285" t="n"/>
      <c r="E973" s="354" t="n"/>
      <c r="F973" s="336" t="n"/>
      <c r="G973" s="336" t="n"/>
      <c r="H973" s="285" t="n"/>
      <c r="I973" s="285" t="n"/>
      <c r="J973" s="285" t="n"/>
      <c r="K973" s="285" t="n"/>
      <c r="L973" s="285" t="n"/>
      <c r="M973" s="285" t="n"/>
      <c r="N973" s="285" t="n"/>
      <c r="O973" s="285" t="n"/>
      <c r="P973" s="285" t="n"/>
      <c r="Q973" s="285" t="n"/>
      <c r="R973" s="284" t="n"/>
      <c r="S973" s="284" t="n"/>
      <c r="T973" s="285" t="n"/>
      <c r="U973" s="285" t="n"/>
      <c r="V973" s="285" t="n"/>
      <c r="W973" s="285" t="n"/>
      <c r="X973" s="285" t="n"/>
      <c r="Y973" s="285" t="n"/>
      <c r="Z973" s="285" t="n"/>
    </row>
    <row r="974" ht="15.75" customHeight="1" s="398">
      <c r="A974" s="284" t="n"/>
      <c r="B974" s="285" t="n"/>
      <c r="C974" s="284" t="n"/>
      <c r="D974" s="285" t="n"/>
      <c r="E974" s="354" t="n"/>
      <c r="F974" s="336" t="n"/>
      <c r="G974" s="336" t="n"/>
      <c r="H974" s="285" t="n"/>
      <c r="I974" s="285" t="n"/>
      <c r="J974" s="285" t="n"/>
      <c r="K974" s="285" t="n"/>
      <c r="L974" s="285" t="n"/>
      <c r="M974" s="285" t="n"/>
      <c r="N974" s="285" t="n"/>
      <c r="O974" s="285" t="n"/>
      <c r="P974" s="285" t="n"/>
      <c r="Q974" s="285" t="n"/>
      <c r="R974" s="284" t="n"/>
      <c r="S974" s="284" t="n"/>
      <c r="T974" s="285" t="n"/>
      <c r="U974" s="285" t="n"/>
      <c r="V974" s="285" t="n"/>
      <c r="W974" s="285" t="n"/>
      <c r="X974" s="285" t="n"/>
      <c r="Y974" s="285" t="n"/>
      <c r="Z974" s="285" t="n"/>
    </row>
    <row r="975" ht="15.75" customHeight="1" s="398">
      <c r="A975" s="284" t="n"/>
      <c r="B975" s="285" t="n"/>
      <c r="C975" s="284" t="n"/>
      <c r="D975" s="285" t="n"/>
      <c r="E975" s="354" t="n"/>
      <c r="F975" s="336" t="n"/>
      <c r="G975" s="336" t="n"/>
      <c r="H975" s="285" t="n"/>
      <c r="I975" s="285" t="n"/>
      <c r="J975" s="285" t="n"/>
      <c r="K975" s="285" t="n"/>
      <c r="L975" s="285" t="n"/>
      <c r="M975" s="285" t="n"/>
      <c r="N975" s="285" t="n"/>
      <c r="O975" s="285" t="n"/>
      <c r="P975" s="285" t="n"/>
      <c r="Q975" s="285" t="n"/>
      <c r="R975" s="284" t="n"/>
      <c r="S975" s="284" t="n"/>
      <c r="T975" s="285" t="n"/>
      <c r="U975" s="285" t="n"/>
      <c r="V975" s="285" t="n"/>
      <c r="W975" s="285" t="n"/>
      <c r="X975" s="285" t="n"/>
      <c r="Y975" s="285" t="n"/>
      <c r="Z975" s="285" t="n"/>
    </row>
    <row r="976" ht="15.75" customHeight="1" s="398">
      <c r="A976" s="284" t="n"/>
      <c r="B976" s="285" t="n"/>
      <c r="C976" s="284" t="n"/>
      <c r="D976" s="285" t="n"/>
      <c r="E976" s="354" t="n"/>
      <c r="F976" s="336" t="n"/>
      <c r="G976" s="336" t="n"/>
      <c r="H976" s="285" t="n"/>
      <c r="I976" s="285" t="n"/>
      <c r="J976" s="285" t="n"/>
      <c r="K976" s="285" t="n"/>
      <c r="L976" s="285" t="n"/>
      <c r="M976" s="285" t="n"/>
      <c r="N976" s="285" t="n"/>
      <c r="O976" s="285" t="n"/>
      <c r="P976" s="285" t="n"/>
      <c r="Q976" s="285" t="n"/>
      <c r="R976" s="284" t="n"/>
      <c r="S976" s="284" t="n"/>
      <c r="T976" s="285" t="n"/>
      <c r="U976" s="285" t="n"/>
      <c r="V976" s="285" t="n"/>
      <c r="W976" s="285" t="n"/>
      <c r="X976" s="285" t="n"/>
      <c r="Y976" s="285" t="n"/>
      <c r="Z976" s="285" t="n"/>
    </row>
    <row r="977" ht="15.75" customHeight="1" s="398">
      <c r="A977" s="284" t="n"/>
      <c r="B977" s="285" t="n"/>
      <c r="C977" s="284" t="n"/>
      <c r="D977" s="285" t="n"/>
      <c r="E977" s="354" t="n"/>
      <c r="F977" s="336" t="n"/>
      <c r="G977" s="336" t="n"/>
      <c r="H977" s="285" t="n"/>
      <c r="I977" s="285" t="n"/>
      <c r="J977" s="285" t="n"/>
      <c r="K977" s="285" t="n"/>
      <c r="L977" s="285" t="n"/>
      <c r="M977" s="285" t="n"/>
      <c r="N977" s="285" t="n"/>
      <c r="O977" s="285" t="n"/>
      <c r="P977" s="285" t="n"/>
      <c r="Q977" s="285" t="n"/>
      <c r="R977" s="284" t="n"/>
      <c r="S977" s="284" t="n"/>
      <c r="T977" s="285" t="n"/>
      <c r="U977" s="285" t="n"/>
      <c r="V977" s="285" t="n"/>
      <c r="W977" s="285" t="n"/>
      <c r="X977" s="285" t="n"/>
      <c r="Y977" s="285" t="n"/>
      <c r="Z977" s="285" t="n"/>
    </row>
    <row r="978" ht="15.75" customHeight="1" s="398">
      <c r="A978" s="284" t="n"/>
      <c r="B978" s="285" t="n"/>
      <c r="C978" s="284" t="n"/>
      <c r="D978" s="285" t="n"/>
      <c r="E978" s="354" t="n"/>
      <c r="F978" s="336" t="n"/>
      <c r="G978" s="336" t="n"/>
      <c r="H978" s="285" t="n"/>
      <c r="I978" s="285" t="n"/>
      <c r="J978" s="285" t="n"/>
      <c r="K978" s="285" t="n"/>
      <c r="L978" s="285" t="n"/>
      <c r="M978" s="285" t="n"/>
      <c r="N978" s="285" t="n"/>
      <c r="O978" s="285" t="n"/>
      <c r="P978" s="285" t="n"/>
      <c r="Q978" s="285" t="n"/>
      <c r="R978" s="284" t="n"/>
      <c r="S978" s="284" t="n"/>
      <c r="T978" s="285" t="n"/>
      <c r="U978" s="285" t="n"/>
      <c r="V978" s="285" t="n"/>
      <c r="W978" s="285" t="n"/>
      <c r="X978" s="285" t="n"/>
      <c r="Y978" s="285" t="n"/>
      <c r="Z978" s="285" t="n"/>
    </row>
    <row r="979" ht="15.75" customHeight="1" s="398">
      <c r="A979" s="284" t="n"/>
      <c r="B979" s="285" t="n"/>
      <c r="C979" s="284" t="n"/>
      <c r="D979" s="285" t="n"/>
      <c r="E979" s="354" t="n"/>
      <c r="F979" s="336" t="n"/>
      <c r="G979" s="336" t="n"/>
      <c r="H979" s="285" t="n"/>
      <c r="I979" s="285" t="n"/>
      <c r="J979" s="285" t="n"/>
      <c r="K979" s="285" t="n"/>
      <c r="L979" s="285" t="n"/>
      <c r="M979" s="285" t="n"/>
      <c r="N979" s="285" t="n"/>
      <c r="O979" s="285" t="n"/>
      <c r="P979" s="285" t="n"/>
      <c r="Q979" s="285" t="n"/>
      <c r="R979" s="284" t="n"/>
      <c r="S979" s="284" t="n"/>
      <c r="T979" s="285" t="n"/>
      <c r="U979" s="285" t="n"/>
      <c r="V979" s="285" t="n"/>
      <c r="W979" s="285" t="n"/>
      <c r="X979" s="285" t="n"/>
      <c r="Y979" s="285" t="n"/>
      <c r="Z979" s="285" t="n"/>
    </row>
    <row r="980" ht="15.75" customHeight="1" s="398">
      <c r="A980" s="284" t="n"/>
      <c r="B980" s="285" t="n"/>
      <c r="C980" s="284" t="n"/>
      <c r="D980" s="285" t="n"/>
      <c r="E980" s="354" t="n"/>
      <c r="F980" s="336" t="n"/>
      <c r="G980" s="336" t="n"/>
      <c r="H980" s="285" t="n"/>
      <c r="I980" s="285" t="n"/>
      <c r="J980" s="285" t="n"/>
      <c r="K980" s="285" t="n"/>
      <c r="L980" s="285" t="n"/>
      <c r="M980" s="285" t="n"/>
      <c r="N980" s="285" t="n"/>
      <c r="O980" s="285" t="n"/>
      <c r="P980" s="285" t="n"/>
      <c r="Q980" s="285" t="n"/>
      <c r="R980" s="284" t="n"/>
      <c r="S980" s="284" t="n"/>
      <c r="T980" s="285" t="n"/>
      <c r="U980" s="285" t="n"/>
      <c r="V980" s="285" t="n"/>
      <c r="W980" s="285" t="n"/>
      <c r="X980" s="285" t="n"/>
      <c r="Y980" s="285" t="n"/>
      <c r="Z980" s="285" t="n"/>
    </row>
    <row r="981" ht="15.75" customHeight="1" s="398">
      <c r="A981" s="284" t="n"/>
      <c r="B981" s="285" t="n"/>
      <c r="C981" s="284" t="n"/>
      <c r="D981" s="285" t="n"/>
      <c r="E981" s="354" t="n"/>
      <c r="F981" s="336" t="n"/>
      <c r="G981" s="336" t="n"/>
      <c r="H981" s="285" t="n"/>
      <c r="I981" s="285" t="n"/>
      <c r="J981" s="285" t="n"/>
      <c r="K981" s="285" t="n"/>
      <c r="L981" s="285" t="n"/>
      <c r="M981" s="285" t="n"/>
      <c r="N981" s="285" t="n"/>
      <c r="O981" s="285" t="n"/>
      <c r="P981" s="285" t="n"/>
      <c r="Q981" s="285" t="n"/>
      <c r="R981" s="284" t="n"/>
      <c r="S981" s="284" t="n"/>
      <c r="T981" s="285" t="n"/>
      <c r="U981" s="285" t="n"/>
      <c r="V981" s="285" t="n"/>
      <c r="W981" s="285" t="n"/>
      <c r="X981" s="285" t="n"/>
      <c r="Y981" s="285" t="n"/>
      <c r="Z981" s="285" t="n"/>
    </row>
    <row r="982" ht="15.75" customHeight="1" s="398">
      <c r="A982" s="284" t="n"/>
      <c r="B982" s="285" t="n"/>
      <c r="C982" s="284" t="n"/>
      <c r="D982" s="285" t="n"/>
      <c r="E982" s="354" t="n"/>
      <c r="F982" s="336" t="n"/>
      <c r="G982" s="336" t="n"/>
      <c r="H982" s="285" t="n"/>
      <c r="I982" s="285" t="n"/>
      <c r="J982" s="285" t="n"/>
      <c r="K982" s="285" t="n"/>
      <c r="L982" s="285" t="n"/>
      <c r="M982" s="285" t="n"/>
      <c r="N982" s="285" t="n"/>
      <c r="O982" s="285" t="n"/>
      <c r="P982" s="285" t="n"/>
      <c r="Q982" s="285" t="n"/>
      <c r="R982" s="284" t="n"/>
      <c r="S982" s="284" t="n"/>
      <c r="T982" s="285" t="n"/>
      <c r="U982" s="285" t="n"/>
      <c r="V982" s="285" t="n"/>
      <c r="W982" s="285" t="n"/>
      <c r="X982" s="285" t="n"/>
      <c r="Y982" s="285" t="n"/>
      <c r="Z982" s="285" t="n"/>
    </row>
    <row r="983" ht="15.75" customHeight="1" s="398">
      <c r="A983" s="284" t="n"/>
      <c r="B983" s="285" t="n"/>
      <c r="C983" s="284" t="n"/>
      <c r="D983" s="285" t="n"/>
      <c r="E983" s="354" t="n"/>
      <c r="F983" s="336" t="n"/>
      <c r="G983" s="336" t="n"/>
      <c r="H983" s="285" t="n"/>
      <c r="I983" s="285" t="n"/>
      <c r="J983" s="285" t="n"/>
      <c r="K983" s="285" t="n"/>
      <c r="L983" s="285" t="n"/>
      <c r="M983" s="285" t="n"/>
      <c r="N983" s="285" t="n"/>
      <c r="O983" s="285" t="n"/>
      <c r="P983" s="285" t="n"/>
      <c r="Q983" s="285" t="n"/>
      <c r="R983" s="284" t="n"/>
      <c r="S983" s="284" t="n"/>
      <c r="T983" s="285" t="n"/>
      <c r="U983" s="285" t="n"/>
      <c r="V983" s="285" t="n"/>
      <c r="W983" s="285" t="n"/>
      <c r="X983" s="285" t="n"/>
      <c r="Y983" s="285" t="n"/>
      <c r="Z983" s="285" t="n"/>
    </row>
    <row r="984" ht="15.75" customHeight="1" s="398">
      <c r="A984" s="284" t="n"/>
      <c r="B984" s="285" t="n"/>
      <c r="C984" s="284" t="n"/>
      <c r="D984" s="285" t="n"/>
      <c r="E984" s="354" t="n"/>
      <c r="F984" s="336" t="n"/>
      <c r="G984" s="336" t="n"/>
      <c r="H984" s="285" t="n"/>
      <c r="I984" s="285" t="n"/>
      <c r="J984" s="285" t="n"/>
      <c r="K984" s="285" t="n"/>
      <c r="L984" s="285" t="n"/>
      <c r="M984" s="285" t="n"/>
      <c r="N984" s="285" t="n"/>
      <c r="O984" s="285" t="n"/>
      <c r="P984" s="285" t="n"/>
      <c r="Q984" s="285" t="n"/>
      <c r="R984" s="284" t="n"/>
      <c r="S984" s="284" t="n"/>
      <c r="T984" s="285" t="n"/>
      <c r="U984" s="285" t="n"/>
      <c r="V984" s="285" t="n"/>
      <c r="W984" s="285" t="n"/>
      <c r="X984" s="285" t="n"/>
      <c r="Y984" s="285" t="n"/>
      <c r="Z984" s="285" t="n"/>
    </row>
    <row r="985" ht="15.75" customHeight="1" s="398">
      <c r="A985" s="284" t="n"/>
      <c r="B985" s="285" t="n"/>
      <c r="C985" s="284" t="n"/>
      <c r="D985" s="285" t="n"/>
      <c r="E985" s="354" t="n"/>
      <c r="F985" s="336" t="n"/>
      <c r="G985" s="336" t="n"/>
      <c r="H985" s="285" t="n"/>
      <c r="I985" s="285" t="n"/>
      <c r="J985" s="285" t="n"/>
      <c r="K985" s="285" t="n"/>
      <c r="L985" s="285" t="n"/>
      <c r="M985" s="285" t="n"/>
      <c r="N985" s="285" t="n"/>
      <c r="O985" s="285" t="n"/>
      <c r="P985" s="285" t="n"/>
      <c r="Q985" s="285" t="n"/>
      <c r="R985" s="284" t="n"/>
      <c r="S985" s="284" t="n"/>
      <c r="T985" s="285" t="n"/>
      <c r="U985" s="285" t="n"/>
      <c r="V985" s="285" t="n"/>
      <c r="W985" s="285" t="n"/>
      <c r="X985" s="285" t="n"/>
      <c r="Y985" s="285" t="n"/>
      <c r="Z985" s="285" t="n"/>
    </row>
    <row r="986" ht="15.75" customHeight="1" s="398">
      <c r="A986" s="284" t="n"/>
      <c r="B986" s="285" t="n"/>
      <c r="C986" s="284" t="n"/>
      <c r="D986" s="285" t="n"/>
      <c r="E986" s="354" t="n"/>
      <c r="F986" s="336" t="n"/>
      <c r="G986" s="336" t="n"/>
      <c r="H986" s="285" t="n"/>
      <c r="I986" s="285" t="n"/>
      <c r="J986" s="285" t="n"/>
      <c r="K986" s="285" t="n"/>
      <c r="L986" s="285" t="n"/>
      <c r="M986" s="285" t="n"/>
      <c r="N986" s="285" t="n"/>
      <c r="O986" s="285" t="n"/>
      <c r="P986" s="285" t="n"/>
      <c r="Q986" s="285" t="n"/>
      <c r="R986" s="284" t="n"/>
      <c r="S986" s="284" t="n"/>
      <c r="T986" s="285" t="n"/>
      <c r="U986" s="285" t="n"/>
      <c r="V986" s="285" t="n"/>
      <c r="W986" s="285" t="n"/>
      <c r="X986" s="285" t="n"/>
      <c r="Y986" s="285" t="n"/>
      <c r="Z986" s="285" t="n"/>
    </row>
    <row r="987" ht="15.75" customHeight="1" s="398">
      <c r="A987" s="284" t="n"/>
      <c r="B987" s="285" t="n"/>
      <c r="C987" s="284" t="n"/>
      <c r="D987" s="285" t="n"/>
      <c r="E987" s="354" t="n"/>
      <c r="F987" s="336" t="n"/>
      <c r="G987" s="336" t="n"/>
      <c r="H987" s="285" t="n"/>
      <c r="I987" s="285" t="n"/>
      <c r="J987" s="285" t="n"/>
      <c r="K987" s="285" t="n"/>
      <c r="L987" s="285" t="n"/>
      <c r="M987" s="285" t="n"/>
      <c r="N987" s="285" t="n"/>
      <c r="O987" s="285" t="n"/>
      <c r="P987" s="285" t="n"/>
      <c r="Q987" s="285" t="n"/>
      <c r="R987" s="284" t="n"/>
      <c r="S987" s="284" t="n"/>
      <c r="T987" s="285" t="n"/>
      <c r="U987" s="285" t="n"/>
      <c r="V987" s="285" t="n"/>
      <c r="W987" s="285" t="n"/>
      <c r="X987" s="285" t="n"/>
      <c r="Y987" s="285" t="n"/>
      <c r="Z987" s="285" t="n"/>
    </row>
    <row r="988" ht="15.75" customHeight="1" s="398">
      <c r="A988" s="284" t="n"/>
      <c r="B988" s="285" t="n"/>
      <c r="C988" s="284" t="n"/>
      <c r="D988" s="285" t="n"/>
      <c r="E988" s="354" t="n"/>
      <c r="F988" s="336" t="n"/>
      <c r="G988" s="336" t="n"/>
      <c r="H988" s="285" t="n"/>
      <c r="I988" s="285" t="n"/>
      <c r="J988" s="285" t="n"/>
      <c r="K988" s="285" t="n"/>
      <c r="L988" s="285" t="n"/>
      <c r="M988" s="285" t="n"/>
      <c r="N988" s="285" t="n"/>
      <c r="O988" s="285" t="n"/>
      <c r="P988" s="285" t="n"/>
      <c r="Q988" s="285" t="n"/>
      <c r="R988" s="284" t="n"/>
      <c r="S988" s="284" t="n"/>
      <c r="T988" s="285" t="n"/>
      <c r="U988" s="285" t="n"/>
      <c r="V988" s="285" t="n"/>
      <c r="W988" s="285" t="n"/>
      <c r="X988" s="285" t="n"/>
      <c r="Y988" s="285" t="n"/>
      <c r="Z988" s="285" t="n"/>
    </row>
    <row r="989" ht="15.75" customHeight="1" s="398">
      <c r="A989" s="284" t="n"/>
      <c r="B989" s="285" t="n"/>
      <c r="C989" s="284" t="n"/>
      <c r="D989" s="285" t="n"/>
      <c r="E989" s="354" t="n"/>
      <c r="F989" s="336" t="n"/>
      <c r="G989" s="336" t="n"/>
      <c r="H989" s="285" t="n"/>
      <c r="I989" s="285" t="n"/>
      <c r="J989" s="285" t="n"/>
      <c r="K989" s="285" t="n"/>
      <c r="L989" s="285" t="n"/>
      <c r="M989" s="285" t="n"/>
      <c r="N989" s="285" t="n"/>
      <c r="O989" s="285" t="n"/>
      <c r="P989" s="285" t="n"/>
      <c r="Q989" s="285" t="n"/>
      <c r="R989" s="284" t="n"/>
      <c r="S989" s="284" t="n"/>
      <c r="T989" s="285" t="n"/>
      <c r="U989" s="285" t="n"/>
      <c r="V989" s="285" t="n"/>
      <c r="W989" s="285" t="n"/>
      <c r="X989" s="285" t="n"/>
      <c r="Y989" s="285" t="n"/>
      <c r="Z989" s="285" t="n"/>
    </row>
    <row r="990" ht="15.75" customHeight="1" s="398">
      <c r="A990" s="284" t="n"/>
      <c r="B990" s="285" t="n"/>
      <c r="C990" s="284" t="n"/>
      <c r="D990" s="285" t="n"/>
      <c r="E990" s="354" t="n"/>
      <c r="F990" s="336" t="n"/>
      <c r="G990" s="336" t="n"/>
      <c r="H990" s="285" t="n"/>
      <c r="I990" s="285" t="n"/>
      <c r="J990" s="285" t="n"/>
      <c r="K990" s="285" t="n"/>
      <c r="L990" s="285" t="n"/>
      <c r="M990" s="285" t="n"/>
      <c r="N990" s="285" t="n"/>
      <c r="O990" s="285" t="n"/>
      <c r="P990" s="285" t="n"/>
      <c r="Q990" s="285" t="n"/>
      <c r="R990" s="284" t="n"/>
      <c r="S990" s="284" t="n"/>
      <c r="T990" s="285" t="n"/>
      <c r="U990" s="285" t="n"/>
      <c r="V990" s="285" t="n"/>
      <c r="W990" s="285" t="n"/>
      <c r="X990" s="285" t="n"/>
      <c r="Y990" s="285" t="n"/>
      <c r="Z990" s="285" t="n"/>
    </row>
    <row r="991" ht="15.75" customHeight="1" s="398">
      <c r="A991" s="284" t="n"/>
      <c r="B991" s="285" t="n"/>
      <c r="C991" s="284" t="n"/>
      <c r="D991" s="285" t="n"/>
      <c r="E991" s="354" t="n"/>
      <c r="F991" s="336" t="n"/>
      <c r="G991" s="336" t="n"/>
      <c r="H991" s="285" t="n"/>
      <c r="I991" s="285" t="n"/>
      <c r="J991" s="285" t="n"/>
      <c r="K991" s="285" t="n"/>
      <c r="L991" s="285" t="n"/>
      <c r="M991" s="285" t="n"/>
      <c r="N991" s="285" t="n"/>
      <c r="O991" s="285" t="n"/>
      <c r="P991" s="285" t="n"/>
      <c r="Q991" s="285" t="n"/>
      <c r="R991" s="284" t="n"/>
      <c r="S991" s="284" t="n"/>
      <c r="T991" s="285" t="n"/>
      <c r="U991" s="285" t="n"/>
      <c r="V991" s="285" t="n"/>
      <c r="W991" s="285" t="n"/>
      <c r="X991" s="285" t="n"/>
      <c r="Y991" s="285" t="n"/>
      <c r="Z991" s="285" t="n"/>
    </row>
    <row r="992" ht="15.75" customHeight="1" s="398">
      <c r="A992" s="284" t="n"/>
      <c r="B992" s="285" t="n"/>
      <c r="C992" s="284" t="n"/>
      <c r="D992" s="285" t="n"/>
      <c r="E992" s="354" t="n"/>
      <c r="F992" s="336" t="n"/>
      <c r="G992" s="336" t="n"/>
      <c r="H992" s="285" t="n"/>
      <c r="I992" s="285" t="n"/>
      <c r="J992" s="285" t="n"/>
      <c r="K992" s="285" t="n"/>
      <c r="L992" s="285" t="n"/>
      <c r="M992" s="285" t="n"/>
      <c r="N992" s="285" t="n"/>
      <c r="O992" s="285" t="n"/>
      <c r="P992" s="285" t="n"/>
      <c r="Q992" s="285" t="n"/>
      <c r="R992" s="284" t="n"/>
      <c r="S992" s="284" t="n"/>
      <c r="T992" s="285" t="n"/>
      <c r="U992" s="285" t="n"/>
      <c r="V992" s="285" t="n"/>
      <c r="W992" s="285" t="n"/>
      <c r="X992" s="285" t="n"/>
      <c r="Y992" s="285" t="n"/>
      <c r="Z992" s="285" t="n"/>
    </row>
  </sheetData>
  <autoFilter ref="B18:P24"/>
  <mergeCells count="35">
    <mergeCell ref="S4:S11"/>
    <mergeCell ref="D4:D10"/>
    <mergeCell ref="J4:J10"/>
    <mergeCell ref="L4:L10"/>
    <mergeCell ref="M11:M12"/>
    <mergeCell ref="D11:D12"/>
    <mergeCell ref="H11:H12"/>
    <mergeCell ref="J11:J12"/>
    <mergeCell ref="P11:P12"/>
    <mergeCell ref="A44:A48"/>
    <mergeCell ref="R4:R11"/>
    <mergeCell ref="K11:K12"/>
    <mergeCell ref="A4:A10"/>
    <mergeCell ref="G4:G10"/>
    <mergeCell ref="I4:I10"/>
    <mergeCell ref="K4:K10"/>
    <mergeCell ref="M4:M10"/>
    <mergeCell ref="C11:C12"/>
    <mergeCell ref="E11:E12"/>
    <mergeCell ref="A37:A42"/>
    <mergeCell ref="A28:A34"/>
    <mergeCell ref="F4:F10"/>
    <mergeCell ref="H4:H10"/>
    <mergeCell ref="N4:N10"/>
    <mergeCell ref="O11:O12"/>
    <mergeCell ref="P4:P10"/>
    <mergeCell ref="F11:F12"/>
    <mergeCell ref="L11:L12"/>
    <mergeCell ref="N11:N12"/>
    <mergeCell ref="C4:C10"/>
    <mergeCell ref="E4:E10"/>
    <mergeCell ref="O4:O10"/>
    <mergeCell ref="G11:G12"/>
    <mergeCell ref="I11:I12"/>
    <mergeCell ref="A11:A12"/>
  </mergeCells>
  <printOptions horizontalCentered="1" verticalCentered="1" gridLines="1"/>
  <pageMargins left="0.7" right="0.7" top="0.75" bottom="0.75" header="0" footer="0"/>
  <pageSetup orientation="portrait" paperSize="9" pageOrder="overThenDown" cellComments="atEnd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Y100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32" sqref="N32"/>
    </sheetView>
  </sheetViews>
  <sheetFormatPr baseColWidth="8" defaultColWidth="12.7109375" defaultRowHeight="15" customHeight="1"/>
  <cols>
    <col width="1.28515625" customWidth="1" style="398" min="1" max="1"/>
    <col width="21.28515625" customWidth="1" style="398" min="2" max="2"/>
  </cols>
  <sheetData>
    <row r="1" ht="4.5" customHeight="1" s="398" thickBot="1">
      <c r="A1" s="480" t="n"/>
      <c r="B1" s="480" t="n"/>
      <c r="C1" s="480" t="n"/>
      <c r="D1" s="480" t="n"/>
      <c r="E1" s="480" t="n"/>
      <c r="F1" s="480" t="n"/>
      <c r="G1" s="480" t="n"/>
      <c r="H1" s="480" t="n"/>
      <c r="I1" s="480" t="n"/>
      <c r="J1" s="480" t="n"/>
      <c r="K1" s="480" t="n"/>
      <c r="L1" s="480" t="n"/>
      <c r="M1" s="480" t="n"/>
      <c r="N1" s="480" t="n"/>
      <c r="O1" s="480" t="n"/>
      <c r="P1" s="480" t="n"/>
      <c r="Q1" s="480" t="n"/>
      <c r="R1" s="480" t="n"/>
      <c r="S1" s="480" t="n"/>
      <c r="T1" s="480" t="n"/>
      <c r="U1" s="480" t="n"/>
      <c r="V1" s="480" t="n"/>
      <c r="W1" s="480" t="n"/>
      <c r="X1" s="480" t="n"/>
      <c r="Y1" s="480" t="n"/>
    </row>
    <row r="2" ht="12.75" customHeight="1" s="398">
      <c r="A2" s="480" t="n"/>
      <c r="B2" s="481" t="n"/>
      <c r="C2" s="482" t="inlineStr">
        <is>
          <t>RESUMO DE SALDOS</t>
        </is>
      </c>
      <c r="D2" s="483" t="n"/>
      <c r="E2" s="483" t="n"/>
      <c r="F2" s="483" t="n"/>
      <c r="G2" s="483" t="n"/>
      <c r="H2" s="483" t="n"/>
      <c r="I2" s="483" t="n"/>
      <c r="J2" s="483" t="n"/>
      <c r="K2" s="483" t="n"/>
      <c r="L2" s="483" t="n"/>
      <c r="M2" s="483" t="n"/>
      <c r="N2" s="483" t="n"/>
      <c r="O2" s="484" t="n"/>
      <c r="P2" s="480" t="n"/>
      <c r="Q2" s="480" t="n"/>
      <c r="R2" s="480" t="n"/>
      <c r="S2" s="480" t="n"/>
      <c r="T2" s="480" t="n"/>
      <c r="U2" s="480" t="n"/>
      <c r="V2" s="480" t="n"/>
      <c r="W2" s="480" t="n"/>
      <c r="X2" s="480" t="n"/>
      <c r="Y2" s="480" t="n"/>
    </row>
    <row r="3" ht="12.75" customHeight="1" s="398">
      <c r="A3" s="480" t="n"/>
      <c r="B3" s="485" t="n"/>
      <c r="C3" s="486" t="inlineStr">
        <is>
          <t>2024</t>
        </is>
      </c>
      <c r="O3" s="383" t="inlineStr">
        <is>
          <t>2025</t>
        </is>
      </c>
      <c r="P3" s="480" t="n"/>
      <c r="Q3" s="480" t="n"/>
      <c r="R3" s="480" t="n"/>
      <c r="S3" s="480" t="n"/>
      <c r="T3" s="480" t="n"/>
      <c r="U3" s="480" t="n"/>
      <c r="V3" s="480" t="n"/>
      <c r="W3" s="480" t="n"/>
      <c r="X3" s="480" t="n"/>
      <c r="Y3" s="480" t="n"/>
    </row>
    <row r="4" ht="13.5" customHeight="1" s="398" thickBot="1">
      <c r="A4" s="480" t="n"/>
      <c r="B4" s="487" t="inlineStr">
        <is>
          <t>CONTA</t>
        </is>
      </c>
      <c r="C4" s="488" t="inlineStr">
        <is>
          <t>MARÇO</t>
        </is>
      </c>
      <c r="D4" s="488" t="inlineStr">
        <is>
          <t>ABRIL</t>
        </is>
      </c>
      <c r="E4" s="488" t="inlineStr">
        <is>
          <t>MAIO</t>
        </is>
      </c>
      <c r="F4" s="488" t="inlineStr">
        <is>
          <t>JUNHO</t>
        </is>
      </c>
      <c r="G4" s="488" t="inlineStr">
        <is>
          <t>JULHO</t>
        </is>
      </c>
      <c r="H4" s="488" t="inlineStr">
        <is>
          <t>AGOSTO</t>
        </is>
      </c>
      <c r="I4" s="488" t="inlineStr">
        <is>
          <t>SETEMBRO</t>
        </is>
      </c>
      <c r="J4" s="488" t="inlineStr">
        <is>
          <t>OUTUBRO</t>
        </is>
      </c>
      <c r="K4" s="488" t="inlineStr">
        <is>
          <t>NOVEMBRO</t>
        </is>
      </c>
      <c r="L4" s="488" t="inlineStr">
        <is>
          <t>DEZEMBRO</t>
        </is>
      </c>
      <c r="M4" s="488" t="inlineStr">
        <is>
          <t>JANEIRO</t>
        </is>
      </c>
      <c r="N4" s="488" t="inlineStr">
        <is>
          <t>FEVEREIRO</t>
        </is>
      </c>
      <c r="O4" s="489" t="inlineStr">
        <is>
          <t>MARÇO</t>
        </is>
      </c>
      <c r="P4" s="480" t="n"/>
      <c r="Q4" s="480" t="n"/>
      <c r="R4" s="480" t="n"/>
      <c r="S4" s="480" t="n"/>
      <c r="T4" s="480" t="n"/>
      <c r="U4" s="480" t="n"/>
      <c r="V4" s="480" t="n"/>
      <c r="W4" s="480" t="n"/>
      <c r="X4" s="480" t="n"/>
      <c r="Y4" s="480" t="n"/>
    </row>
    <row r="5" ht="7.5" customHeight="1" s="398" thickBot="1">
      <c r="A5" s="490" t="n"/>
      <c r="B5" s="490" t="n"/>
      <c r="C5" s="491" t="n"/>
      <c r="D5" s="491" t="n"/>
      <c r="E5" s="491" t="n"/>
      <c r="F5" s="491" t="n"/>
      <c r="G5" s="491" t="n"/>
      <c r="H5" s="491" t="n"/>
      <c r="I5" s="491" t="n"/>
      <c r="J5" s="491" t="n"/>
      <c r="K5" s="491" t="n"/>
      <c r="L5" s="491" t="n"/>
      <c r="M5" s="491" t="n"/>
      <c r="N5" s="491" t="n"/>
      <c r="O5" s="491" t="n"/>
      <c r="P5" s="491" t="n"/>
      <c r="Q5" s="491" t="n"/>
      <c r="R5" s="491" t="n"/>
      <c r="S5" s="491" t="n"/>
      <c r="T5" s="491" t="n"/>
      <c r="U5" s="491" t="n"/>
      <c r="V5" s="491" t="n"/>
      <c r="W5" s="491" t="n"/>
      <c r="X5" s="491" t="n"/>
      <c r="Y5" s="491" t="n"/>
    </row>
    <row r="6" ht="13.5" customHeight="1" s="398" thickBot="1">
      <c r="A6" s="492" t="n"/>
      <c r="B6" s="493" t="inlineStr">
        <is>
          <t>PRINCIPAL</t>
        </is>
      </c>
      <c r="C6" s="494">
        <f>C10</f>
        <v/>
      </c>
      <c r="D6" s="494">
        <f>D10</f>
        <v/>
      </c>
      <c r="E6" s="494">
        <f>E10</f>
        <v/>
      </c>
      <c r="F6" s="494">
        <f>F10</f>
        <v/>
      </c>
      <c r="G6" s="494">
        <f>G10</f>
        <v/>
      </c>
      <c r="H6" s="494">
        <f>H10</f>
        <v/>
      </c>
      <c r="I6" s="494">
        <f>I10</f>
        <v/>
      </c>
      <c r="J6" s="494">
        <f>J10</f>
        <v/>
      </c>
      <c r="K6" s="494">
        <f>K10</f>
        <v/>
      </c>
      <c r="L6" s="494">
        <f>L10</f>
        <v/>
      </c>
      <c r="M6" s="494">
        <f>M10</f>
        <v/>
      </c>
      <c r="N6" s="494">
        <f>N10</f>
        <v/>
      </c>
      <c r="O6" s="495">
        <f>O10</f>
        <v/>
      </c>
      <c r="P6" s="480" t="n"/>
      <c r="Q6" s="480" t="n"/>
      <c r="R6" s="480" t="n"/>
      <c r="S6" s="480" t="n"/>
      <c r="T6" s="480" t="n"/>
      <c r="U6" s="480" t="n"/>
      <c r="V6" s="480" t="n"/>
      <c r="W6" s="480" t="n"/>
      <c r="X6" s="480" t="n"/>
      <c r="Y6" s="480" t="n"/>
    </row>
    <row r="7" ht="12.75" customHeight="1" s="398">
      <c r="A7" s="496" t="n"/>
      <c r="B7" s="496" t="inlineStr">
        <is>
          <t>SALDO ANTERIOR</t>
        </is>
      </c>
      <c r="C7" s="491" t="n">
        <v>16871.3</v>
      </c>
      <c r="D7" s="491">
        <f>C10</f>
        <v/>
      </c>
      <c r="E7" s="491">
        <f>D10</f>
        <v/>
      </c>
      <c r="F7" s="491">
        <f>E10</f>
        <v/>
      </c>
      <c r="G7" s="491">
        <f>F10</f>
        <v/>
      </c>
      <c r="H7" s="491">
        <f>G10</f>
        <v/>
      </c>
      <c r="I7" s="491">
        <f>H10</f>
        <v/>
      </c>
      <c r="J7" s="491">
        <f>I10</f>
        <v/>
      </c>
      <c r="K7" s="491">
        <f>J10</f>
        <v/>
      </c>
      <c r="L7" s="491">
        <f>K10</f>
        <v/>
      </c>
      <c r="M7" s="491">
        <f>L10</f>
        <v/>
      </c>
      <c r="N7" s="491">
        <f>M10</f>
        <v/>
      </c>
      <c r="O7" s="491">
        <f>N10</f>
        <v/>
      </c>
      <c r="P7" s="491" t="n"/>
      <c r="Q7" s="491" t="n"/>
      <c r="R7" s="491" t="n"/>
      <c r="S7" s="491" t="n"/>
      <c r="T7" s="491" t="n"/>
      <c r="U7" s="491" t="n"/>
      <c r="V7" s="491" t="n"/>
      <c r="W7" s="491" t="n"/>
      <c r="X7" s="491" t="n"/>
      <c r="Y7" s="491" t="n"/>
    </row>
    <row r="8" ht="12.75" customHeight="1" s="398">
      <c r="A8" s="496" t="n"/>
      <c r="B8" s="496" t="inlineStr">
        <is>
          <t>RECEITA</t>
        </is>
      </c>
      <c r="C8" s="491" t="n">
        <v>204236.66</v>
      </c>
      <c r="D8" s="491" t="n">
        <v>191434.5</v>
      </c>
      <c r="E8" s="491" t="n">
        <v>243335.54</v>
      </c>
      <c r="F8" s="491" t="n">
        <v>236208.99</v>
      </c>
      <c r="G8" s="491" t="n">
        <v>235527.16</v>
      </c>
      <c r="H8" s="491" t="n">
        <v>236642.1</v>
      </c>
      <c r="I8" s="491" t="n">
        <v>232346.51</v>
      </c>
      <c r="J8" s="491" t="n">
        <v>219206.53</v>
      </c>
      <c r="K8" s="491" t="n">
        <v>212433.84</v>
      </c>
      <c r="L8" s="491" t="n">
        <v>211554.13</v>
      </c>
      <c r="M8" s="491" t="n">
        <v>214325.07</v>
      </c>
      <c r="N8" s="491" t="n">
        <v>215181.27</v>
      </c>
      <c r="O8" s="491" t="n"/>
      <c r="P8" s="491" t="n"/>
      <c r="Q8" s="491" t="n"/>
      <c r="R8" s="491" t="n"/>
      <c r="S8" s="491" t="n"/>
      <c r="T8" s="491" t="n"/>
      <c r="U8" s="491" t="n"/>
      <c r="V8" s="491" t="n"/>
      <c r="W8" s="491" t="n"/>
      <c r="X8" s="491" t="n"/>
      <c r="Y8" s="491" t="n"/>
    </row>
    <row r="9" ht="12.75" customHeight="1" s="398">
      <c r="A9" s="496" t="n"/>
      <c r="B9" s="496" t="inlineStr">
        <is>
          <t>DESPESA</t>
        </is>
      </c>
      <c r="C9" s="491" t="n">
        <v>-191575.88</v>
      </c>
      <c r="D9" s="491" t="n">
        <v>-238300.53</v>
      </c>
      <c r="E9" s="491" t="n">
        <v>-215132.72</v>
      </c>
      <c r="F9" s="491" t="n">
        <v>-228131.61</v>
      </c>
      <c r="G9" s="491" t="n">
        <v>-284997.84</v>
      </c>
      <c r="H9" s="491" t="n">
        <v>-282574.06</v>
      </c>
      <c r="I9" s="491" t="n">
        <v>-243571.57</v>
      </c>
      <c r="J9" s="491" t="n">
        <v>-218526.74</v>
      </c>
      <c r="K9" s="491" t="n">
        <v>-216941.31</v>
      </c>
      <c r="L9" s="491" t="n">
        <v>-359797.57</v>
      </c>
      <c r="M9" s="491" t="n">
        <v>-283655.73</v>
      </c>
      <c r="N9" s="491" t="n">
        <v>-266100.77</v>
      </c>
      <c r="O9" s="491" t="n"/>
      <c r="P9" s="491" t="n"/>
      <c r="Q9" s="491" t="n"/>
      <c r="R9" s="491" t="n"/>
      <c r="S9" s="491" t="n"/>
      <c r="T9" s="491" t="n"/>
      <c r="U9" s="491" t="n"/>
      <c r="V9" s="491" t="n"/>
      <c r="W9" s="491" t="n"/>
      <c r="X9" s="491" t="n"/>
      <c r="Y9" s="491" t="n"/>
    </row>
    <row r="10" ht="12.75" customHeight="1" s="398">
      <c r="A10" s="496" t="n"/>
      <c r="B10" s="496" t="inlineStr">
        <is>
          <t>SALDO ATUAL</t>
        </is>
      </c>
      <c r="C10" s="491">
        <f>SUM(C7:C9)</f>
        <v/>
      </c>
      <c r="D10" s="491">
        <f>SUM(D7:D9)</f>
        <v/>
      </c>
      <c r="E10" s="491">
        <f>SUM(E7:E9)</f>
        <v/>
      </c>
      <c r="F10" s="491">
        <f>SUM(F7:F9)</f>
        <v/>
      </c>
      <c r="G10" s="491">
        <f>SUM(G7:G9)</f>
        <v/>
      </c>
      <c r="H10" s="491">
        <f>SUM(H7:H9)</f>
        <v/>
      </c>
      <c r="I10" s="491">
        <f>SUM(I7:I9)</f>
        <v/>
      </c>
      <c r="J10" s="491">
        <f>SUM(J7:J9)</f>
        <v/>
      </c>
      <c r="K10" s="491">
        <f>SUM(K7:K9)</f>
        <v/>
      </c>
      <c r="L10" s="491">
        <f>SUM(L7:L9)</f>
        <v/>
      </c>
      <c r="M10" s="491">
        <f>SUM(M7:M9)</f>
        <v/>
      </c>
      <c r="N10" s="491">
        <f>SUM(N7:N9)</f>
        <v/>
      </c>
      <c r="O10" s="491">
        <f>SUM(O7:O9)</f>
        <v/>
      </c>
      <c r="P10" s="491" t="n"/>
      <c r="Q10" s="491" t="n"/>
      <c r="R10" s="491" t="n"/>
      <c r="S10" s="491" t="n"/>
      <c r="T10" s="491" t="n"/>
      <c r="U10" s="491" t="n"/>
      <c r="V10" s="491" t="n"/>
      <c r="W10" s="491" t="n"/>
      <c r="X10" s="491" t="n"/>
      <c r="Y10" s="491" t="n"/>
    </row>
    <row r="11" ht="7.5" customHeight="1" s="398" thickBot="1">
      <c r="A11" s="490" t="n"/>
      <c r="B11" s="490" t="n"/>
      <c r="C11" s="491" t="n"/>
      <c r="D11" s="491" t="n"/>
      <c r="E11" s="491" t="n"/>
      <c r="F11" s="491" t="n"/>
      <c r="G11" s="491" t="n"/>
      <c r="H11" s="491" t="n"/>
      <c r="I11" s="491" t="n"/>
      <c r="J11" s="491" t="n"/>
      <c r="K11" s="491" t="n"/>
      <c r="L11" s="491" t="n"/>
      <c r="M11" s="491" t="n"/>
      <c r="N11" s="491" t="n"/>
      <c r="O11" s="491" t="n"/>
      <c r="P11" s="491" t="n"/>
      <c r="Q11" s="491" t="n"/>
      <c r="R11" s="491" t="n"/>
      <c r="S11" s="491" t="n"/>
      <c r="T11" s="491" t="n"/>
      <c r="U11" s="491" t="n"/>
      <c r="V11" s="491" t="n"/>
      <c r="W11" s="491" t="n"/>
      <c r="X11" s="491" t="n"/>
      <c r="Y11" s="491" t="n"/>
    </row>
    <row r="12" ht="13.5" customHeight="1" s="398" thickBot="1">
      <c r="A12" s="492" t="n"/>
      <c r="B12" s="493" t="inlineStr">
        <is>
          <t>SALA DE EVENTOS</t>
        </is>
      </c>
      <c r="C12" s="494">
        <f>C16</f>
        <v/>
      </c>
      <c r="D12" s="494">
        <f>D16</f>
        <v/>
      </c>
      <c r="E12" s="494">
        <f>E16</f>
        <v/>
      </c>
      <c r="F12" s="494">
        <f>F16</f>
        <v/>
      </c>
      <c r="G12" s="494">
        <f>G16</f>
        <v/>
      </c>
      <c r="H12" s="494">
        <f>H16</f>
        <v/>
      </c>
      <c r="I12" s="494">
        <f>I16</f>
        <v/>
      </c>
      <c r="J12" s="494">
        <f>J16</f>
        <v/>
      </c>
      <c r="K12" s="494">
        <f>K16</f>
        <v/>
      </c>
      <c r="L12" s="494">
        <f>L16</f>
        <v/>
      </c>
      <c r="M12" s="494">
        <f>M16</f>
        <v/>
      </c>
      <c r="N12" s="494">
        <f>N16</f>
        <v/>
      </c>
      <c r="O12" s="495">
        <f>O16</f>
        <v/>
      </c>
      <c r="P12" s="480" t="n"/>
      <c r="Q12" s="480" t="n"/>
      <c r="R12" s="480" t="n"/>
      <c r="S12" s="480" t="n"/>
      <c r="T12" s="480" t="n"/>
      <c r="U12" s="480" t="n"/>
      <c r="V12" s="480" t="n"/>
      <c r="W12" s="480" t="n"/>
      <c r="X12" s="480" t="n"/>
      <c r="Y12" s="480" t="n"/>
    </row>
    <row r="13" ht="12.75" customHeight="1" s="398">
      <c r="A13" s="496" t="n"/>
      <c r="B13" s="496" t="inlineStr">
        <is>
          <t>SALDO ANTERIOR</t>
        </is>
      </c>
      <c r="C13" s="491" t="n">
        <v>174810.85</v>
      </c>
      <c r="D13" s="491">
        <f>C16</f>
        <v/>
      </c>
      <c r="E13" s="491">
        <f>D16</f>
        <v/>
      </c>
      <c r="F13" s="491">
        <f>E16</f>
        <v/>
      </c>
      <c r="G13" s="491">
        <f>F16</f>
        <v/>
      </c>
      <c r="H13" s="491">
        <f>G16</f>
        <v/>
      </c>
      <c r="I13" s="491">
        <f>H16</f>
        <v/>
      </c>
      <c r="J13" s="491">
        <f>I16</f>
        <v/>
      </c>
      <c r="K13" s="491">
        <f>J16</f>
        <v/>
      </c>
      <c r="L13" s="491">
        <f>K16</f>
        <v/>
      </c>
      <c r="M13" s="491">
        <f>L16</f>
        <v/>
      </c>
      <c r="N13" s="491">
        <f>M16</f>
        <v/>
      </c>
      <c r="O13" s="491">
        <f>N16</f>
        <v/>
      </c>
      <c r="P13" s="491" t="n"/>
      <c r="Q13" s="491" t="n"/>
      <c r="R13" s="491" t="n"/>
      <c r="S13" s="491" t="n"/>
      <c r="T13" s="491" t="n"/>
      <c r="U13" s="491" t="n"/>
      <c r="V13" s="491" t="n"/>
      <c r="W13" s="491" t="n"/>
      <c r="X13" s="491" t="n"/>
      <c r="Y13" s="491" t="n"/>
    </row>
    <row r="14" ht="12.75" customHeight="1" s="398">
      <c r="A14" s="496" t="n"/>
      <c r="B14" s="496" t="inlineStr">
        <is>
          <t>RECEITA</t>
        </is>
      </c>
      <c r="C14" s="491" t="n">
        <v>7100</v>
      </c>
      <c r="D14" s="491" t="n">
        <v>4200</v>
      </c>
      <c r="E14" s="491" t="n">
        <v>9975</v>
      </c>
      <c r="F14" s="491" t="n">
        <v>8800</v>
      </c>
      <c r="G14" s="491" t="n">
        <v>1309</v>
      </c>
      <c r="H14" s="491" t="n">
        <v>6314.74</v>
      </c>
      <c r="I14" s="491" t="n">
        <v>5000</v>
      </c>
      <c r="J14" s="491" t="n">
        <v>9533.200000000001</v>
      </c>
      <c r="K14" s="491" t="n">
        <v>5450</v>
      </c>
      <c r="L14" s="491" t="n">
        <v>5550</v>
      </c>
      <c r="M14" s="491" t="n">
        <v>5575</v>
      </c>
      <c r="N14" s="491" t="n">
        <v>3822.91</v>
      </c>
      <c r="O14" s="491" t="n"/>
      <c r="P14" s="491" t="n"/>
      <c r="Q14" s="491" t="n"/>
      <c r="R14" s="491" t="n"/>
      <c r="S14" s="491" t="n"/>
      <c r="T14" s="491" t="n"/>
      <c r="U14" s="491" t="n"/>
      <c r="V14" s="491" t="n"/>
      <c r="W14" s="491" t="n"/>
      <c r="X14" s="491" t="n"/>
      <c r="Y14" s="491" t="n"/>
    </row>
    <row r="15" ht="12.75" customHeight="1" s="398">
      <c r="A15" s="496" t="n"/>
      <c r="B15" s="496" t="inlineStr">
        <is>
          <t>DESPESA</t>
        </is>
      </c>
      <c r="C15" s="491" t="n">
        <v>0</v>
      </c>
      <c r="D15" s="491" t="n">
        <v>-1900</v>
      </c>
      <c r="E15" s="491" t="n">
        <v>-100</v>
      </c>
      <c r="F15" s="491" t="n">
        <v>0</v>
      </c>
      <c r="G15" s="491" t="n">
        <v>0</v>
      </c>
      <c r="H15" s="491" t="n">
        <v>0</v>
      </c>
      <c r="I15" s="491" t="n">
        <v>0</v>
      </c>
      <c r="J15" s="491" t="n">
        <v>0</v>
      </c>
      <c r="K15" s="491" t="n">
        <v>-1516</v>
      </c>
      <c r="L15" s="491" t="n">
        <v>0</v>
      </c>
      <c r="M15" s="491" t="n">
        <v>-9029.08</v>
      </c>
      <c r="N15" s="491" t="n">
        <v>0</v>
      </c>
      <c r="O15" s="491" t="n">
        <v>0</v>
      </c>
      <c r="P15" s="491" t="n"/>
      <c r="Q15" s="491" t="n"/>
      <c r="R15" s="491" t="n"/>
      <c r="S15" s="491" t="n"/>
      <c r="T15" s="491" t="n"/>
      <c r="U15" s="491" t="n"/>
      <c r="V15" s="491" t="n"/>
      <c r="W15" s="491" t="n"/>
      <c r="X15" s="491" t="n"/>
      <c r="Y15" s="491" t="n"/>
    </row>
    <row r="16" ht="12.75" customHeight="1" s="398">
      <c r="A16" s="496" t="n"/>
      <c r="B16" s="496" t="inlineStr">
        <is>
          <t>SALDO ATUAL</t>
        </is>
      </c>
      <c r="C16" s="491">
        <f>SUM(C13:C15)</f>
        <v/>
      </c>
      <c r="D16" s="491">
        <f>SUM(D13:D15)</f>
        <v/>
      </c>
      <c r="E16" s="491">
        <f>SUM(E13:E15)</f>
        <v/>
      </c>
      <c r="F16" s="491">
        <f>SUM(F13:F15)</f>
        <v/>
      </c>
      <c r="G16" s="491">
        <f>SUM(G13:G15)</f>
        <v/>
      </c>
      <c r="H16" s="491">
        <f>SUM(H13:H15)</f>
        <v/>
      </c>
      <c r="I16" s="491">
        <f>SUM(I13:I15)</f>
        <v/>
      </c>
      <c r="J16" s="491">
        <f>SUM(J13:J15)</f>
        <v/>
      </c>
      <c r="K16" s="491">
        <f>SUM(K13:K15)</f>
        <v/>
      </c>
      <c r="L16" s="491">
        <f>SUM(L13:L15)</f>
        <v/>
      </c>
      <c r="M16" s="491">
        <f>SUM(M13:M15)</f>
        <v/>
      </c>
      <c r="N16" s="491">
        <f>SUM(N13:N15)</f>
        <v/>
      </c>
      <c r="O16" s="491">
        <f>SUM(O13:O15)</f>
        <v/>
      </c>
      <c r="P16" s="491" t="n"/>
      <c r="Q16" s="491" t="n"/>
      <c r="R16" s="491" t="n"/>
      <c r="S16" s="491" t="n"/>
      <c r="T16" s="491" t="n"/>
      <c r="U16" s="491" t="n"/>
      <c r="V16" s="491" t="n"/>
      <c r="W16" s="491" t="n"/>
      <c r="X16" s="491" t="n"/>
      <c r="Y16" s="491" t="n"/>
    </row>
    <row r="17" ht="7.5" customHeight="1" s="398" thickBot="1">
      <c r="A17" s="490" t="n"/>
      <c r="B17" s="490" t="n"/>
      <c r="C17" s="491" t="n"/>
      <c r="D17" s="491" t="n"/>
      <c r="E17" s="491" t="n"/>
      <c r="F17" s="491" t="n"/>
      <c r="G17" s="491" t="n"/>
      <c r="H17" s="491" t="n"/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1" t="n"/>
      <c r="T17" s="491" t="n"/>
      <c r="U17" s="491" t="n"/>
      <c r="V17" s="491" t="n"/>
      <c r="W17" s="491" t="n"/>
      <c r="X17" s="491" t="n"/>
      <c r="Y17" s="491" t="n"/>
    </row>
    <row r="18" ht="13.5" customHeight="1" s="398" thickBot="1">
      <c r="A18" s="492" t="n"/>
      <c r="B18" s="493" t="inlineStr">
        <is>
          <t>ESTACIONAMENTO</t>
        </is>
      </c>
      <c r="C18" s="494">
        <f>C22</f>
        <v/>
      </c>
      <c r="D18" s="494">
        <f>D22</f>
        <v/>
      </c>
      <c r="E18" s="494">
        <f>E22</f>
        <v/>
      </c>
      <c r="F18" s="494">
        <f>F22</f>
        <v/>
      </c>
      <c r="G18" s="494">
        <f>G22</f>
        <v/>
      </c>
      <c r="H18" s="494">
        <f>H22</f>
        <v/>
      </c>
      <c r="I18" s="494">
        <f>I22</f>
        <v/>
      </c>
      <c r="J18" s="494">
        <f>J22</f>
        <v/>
      </c>
      <c r="K18" s="494">
        <f>K22</f>
        <v/>
      </c>
      <c r="L18" s="494">
        <f>L22</f>
        <v/>
      </c>
      <c r="M18" s="494">
        <f>M22</f>
        <v/>
      </c>
      <c r="N18" s="494">
        <f>N22</f>
        <v/>
      </c>
      <c r="O18" s="495">
        <f>O22</f>
        <v/>
      </c>
      <c r="P18" s="480" t="n"/>
      <c r="Q18" s="480" t="n"/>
      <c r="R18" s="480" t="n"/>
      <c r="S18" s="480" t="n"/>
      <c r="T18" s="480" t="n"/>
      <c r="U18" s="480" t="n"/>
      <c r="V18" s="480" t="n"/>
      <c r="W18" s="480" t="n"/>
      <c r="X18" s="480" t="n"/>
      <c r="Y18" s="480" t="n"/>
    </row>
    <row r="19" ht="12.75" customHeight="1" s="398">
      <c r="A19" s="496" t="n"/>
      <c r="B19" s="496" t="inlineStr">
        <is>
          <t>SALDO ANTERIOR</t>
        </is>
      </c>
      <c r="C19" s="491" t="n">
        <v>193938.04</v>
      </c>
      <c r="D19" s="491">
        <f>C22</f>
        <v/>
      </c>
      <c r="E19" s="491">
        <f>D22</f>
        <v/>
      </c>
      <c r="F19" s="491">
        <f>E22</f>
        <v/>
      </c>
      <c r="G19" s="491">
        <f>F22</f>
        <v/>
      </c>
      <c r="H19" s="491">
        <f>G22</f>
        <v/>
      </c>
      <c r="I19" s="491">
        <f>H22</f>
        <v/>
      </c>
      <c r="J19" s="491">
        <f>I22</f>
        <v/>
      </c>
      <c r="K19" s="491">
        <f>J22</f>
        <v/>
      </c>
      <c r="L19" s="491">
        <f>K22</f>
        <v/>
      </c>
      <c r="M19" s="491">
        <f>L22</f>
        <v/>
      </c>
      <c r="N19" s="491">
        <f>M22</f>
        <v/>
      </c>
      <c r="O19" s="491">
        <f>N22</f>
        <v/>
      </c>
      <c r="P19" s="491" t="n"/>
      <c r="Q19" s="491" t="n"/>
      <c r="R19" s="491" t="n"/>
      <c r="S19" s="491" t="n"/>
      <c r="T19" s="491" t="n"/>
      <c r="U19" s="491" t="n"/>
      <c r="V19" s="491" t="n"/>
      <c r="W19" s="491" t="n"/>
      <c r="X19" s="491" t="n"/>
      <c r="Y19" s="491" t="n"/>
    </row>
    <row r="20" ht="12.75" customHeight="1" s="398">
      <c r="A20" s="496" t="n"/>
      <c r="B20" s="496" t="inlineStr">
        <is>
          <t>RECEITA</t>
        </is>
      </c>
      <c r="C20" s="491" t="n">
        <v>13172.23</v>
      </c>
      <c r="D20" s="491" t="n">
        <v>12967.84</v>
      </c>
      <c r="E20" s="491" t="n">
        <v>12975.84</v>
      </c>
      <c r="F20" s="491" t="n">
        <v>18354.5</v>
      </c>
      <c r="G20" s="491" t="n">
        <v>17935.45</v>
      </c>
      <c r="H20" s="491" t="n">
        <v>18646.37</v>
      </c>
      <c r="I20" s="491" t="n">
        <v>18614.09</v>
      </c>
      <c r="J20" s="491" t="n">
        <v>16513.4</v>
      </c>
      <c r="K20" s="491" t="n">
        <v>17433.49</v>
      </c>
      <c r="L20" s="491" t="n">
        <v>17120.99</v>
      </c>
      <c r="M20" s="491" t="n">
        <v>17546.84</v>
      </c>
      <c r="N20" s="491" t="n">
        <v>18055.41</v>
      </c>
      <c r="O20" s="491" t="n"/>
      <c r="P20" s="491" t="n"/>
      <c r="Q20" s="491" t="n"/>
      <c r="R20" s="491" t="n"/>
      <c r="S20" s="491" t="n"/>
      <c r="T20" s="491" t="n"/>
      <c r="U20" s="491" t="n"/>
      <c r="V20" s="491" t="n"/>
      <c r="W20" s="491" t="n"/>
      <c r="X20" s="491" t="n"/>
      <c r="Y20" s="491" t="n"/>
    </row>
    <row r="21" ht="12.75" customHeight="1" s="398">
      <c r="A21" s="496" t="n"/>
      <c r="B21" s="496" t="inlineStr">
        <is>
          <t>DESPESA</t>
        </is>
      </c>
      <c r="C21" s="491" t="n">
        <v>0</v>
      </c>
      <c r="D21" s="491" t="n">
        <v>0</v>
      </c>
      <c r="E21" s="491" t="n">
        <v>0</v>
      </c>
      <c r="F21" s="491" t="n">
        <v>0</v>
      </c>
      <c r="G21" s="491" t="n">
        <v>0</v>
      </c>
      <c r="H21" s="491" t="n">
        <v>0</v>
      </c>
      <c r="I21" s="491" t="n">
        <v>0</v>
      </c>
      <c r="J21" s="491" t="n">
        <v>-4900</v>
      </c>
      <c r="K21" s="491" t="n">
        <v>-119.6</v>
      </c>
      <c r="L21" s="491" t="n">
        <v>-492.4</v>
      </c>
      <c r="M21" s="491" t="n">
        <v>0</v>
      </c>
      <c r="N21" s="491" t="n">
        <v>-1932.75</v>
      </c>
      <c r="O21" s="491" t="n">
        <v>0</v>
      </c>
      <c r="P21" s="491" t="n"/>
      <c r="Q21" s="491" t="n"/>
      <c r="R21" s="491" t="n"/>
      <c r="S21" s="491" t="n"/>
      <c r="T21" s="491" t="n"/>
      <c r="U21" s="491" t="n"/>
      <c r="V21" s="491" t="n"/>
      <c r="W21" s="491" t="n"/>
      <c r="X21" s="491" t="n"/>
      <c r="Y21" s="491" t="n"/>
    </row>
    <row r="22" ht="12.75" customHeight="1" s="398">
      <c r="A22" s="496" t="n"/>
      <c r="B22" s="496" t="inlineStr">
        <is>
          <t>SALDO ATUAL</t>
        </is>
      </c>
      <c r="C22" s="491">
        <f>SUM(C19:C21)</f>
        <v/>
      </c>
      <c r="D22" s="491">
        <f>SUM(D19:D21)</f>
        <v/>
      </c>
      <c r="E22" s="491">
        <f>SUM(E19:E21)</f>
        <v/>
      </c>
      <c r="F22" s="491">
        <f>SUM(F19:F21)</f>
        <v/>
      </c>
      <c r="G22" s="491">
        <f>SUM(G19:G21)</f>
        <v/>
      </c>
      <c r="H22" s="491">
        <f>SUM(H19:H21)</f>
        <v/>
      </c>
      <c r="I22" s="491">
        <f>SUM(I19:I21)</f>
        <v/>
      </c>
      <c r="J22" s="491">
        <f>SUM(J19:J21)</f>
        <v/>
      </c>
      <c r="K22" s="491">
        <f>SUM(K19:K21)</f>
        <v/>
      </c>
      <c r="L22" s="491">
        <f>SUM(L19:L21)</f>
        <v/>
      </c>
      <c r="M22" s="491">
        <f>SUM(M19:M21)</f>
        <v/>
      </c>
      <c r="N22" s="491">
        <f>SUM(N19:N21)</f>
        <v/>
      </c>
      <c r="O22" s="491">
        <f>SUM(O19:O21)</f>
        <v/>
      </c>
      <c r="P22" s="491" t="n"/>
      <c r="Q22" s="491" t="n"/>
      <c r="R22" s="491" t="n"/>
      <c r="S22" s="491" t="n"/>
      <c r="T22" s="491" t="n"/>
      <c r="U22" s="491" t="n"/>
      <c r="V22" s="491" t="n"/>
      <c r="W22" s="491" t="n"/>
      <c r="X22" s="491" t="n"/>
      <c r="Y22" s="491" t="n"/>
    </row>
    <row r="23" ht="7.5" customHeight="1" s="398" thickBot="1">
      <c r="A23" s="490" t="n"/>
      <c r="B23" s="490" t="n"/>
      <c r="C23" s="491" t="n"/>
      <c r="D23" s="491" t="n"/>
      <c r="E23" s="491" t="n"/>
      <c r="F23" s="491" t="n"/>
      <c r="G23" s="491" t="n"/>
      <c r="H23" s="491" t="n"/>
      <c r="I23" s="491" t="n"/>
      <c r="J23" s="491" t="n"/>
      <c r="K23" s="491" t="n"/>
      <c r="L23" s="491" t="n"/>
      <c r="M23" s="491" t="n"/>
      <c r="N23" s="491" t="n"/>
      <c r="O23" s="491" t="n"/>
      <c r="P23" s="491" t="n"/>
      <c r="Q23" s="491" t="n"/>
      <c r="R23" s="491" t="n"/>
      <c r="S23" s="491" t="n"/>
      <c r="T23" s="491" t="n"/>
      <c r="U23" s="491" t="n"/>
      <c r="V23" s="491" t="n"/>
      <c r="W23" s="491" t="n"/>
      <c r="X23" s="491" t="n"/>
      <c r="Y23" s="491" t="n"/>
    </row>
    <row r="24" ht="13.5" customHeight="1" s="398" thickBot="1">
      <c r="A24" s="492" t="n"/>
      <c r="B24" s="493" t="inlineStr">
        <is>
          <t>INADIMPLÊNCIA</t>
        </is>
      </c>
      <c r="C24" s="494">
        <f>C26</f>
        <v/>
      </c>
      <c r="D24" s="494">
        <f>D26</f>
        <v/>
      </c>
      <c r="E24" s="494">
        <f>E26</f>
        <v/>
      </c>
      <c r="F24" s="494">
        <f>F26</f>
        <v/>
      </c>
      <c r="G24" s="494">
        <f>G26</f>
        <v/>
      </c>
      <c r="H24" s="494">
        <f>H26</f>
        <v/>
      </c>
      <c r="I24" s="494">
        <f>I26</f>
        <v/>
      </c>
      <c r="J24" s="494">
        <f>J26</f>
        <v/>
      </c>
      <c r="K24" s="494">
        <f>K26</f>
        <v/>
      </c>
      <c r="L24" s="494">
        <f>L26</f>
        <v/>
      </c>
      <c r="M24" s="494">
        <f>M26</f>
        <v/>
      </c>
      <c r="N24" s="494">
        <f>N26</f>
        <v/>
      </c>
      <c r="O24" s="495">
        <f>O26</f>
        <v/>
      </c>
      <c r="P24" s="480" t="n"/>
      <c r="Q24" s="480" t="n"/>
      <c r="R24" s="480" t="n"/>
      <c r="S24" s="480" t="n"/>
      <c r="T24" s="480" t="n"/>
      <c r="U24" s="480" t="n"/>
      <c r="V24" s="480" t="n"/>
      <c r="W24" s="480" t="n"/>
      <c r="X24" s="480" t="n"/>
      <c r="Y24" s="480" t="n"/>
    </row>
    <row r="25" ht="12.75" customHeight="1" s="398">
      <c r="A25" s="496" t="n"/>
      <c r="B25" s="496" t="inlineStr">
        <is>
          <t>SALDO ANTERIOR</t>
        </is>
      </c>
      <c r="C25" s="491" t="n">
        <v>6358.97</v>
      </c>
      <c r="D25" s="491">
        <f>C26</f>
        <v/>
      </c>
      <c r="E25" s="491">
        <f>D26</f>
        <v/>
      </c>
      <c r="F25" s="491">
        <f>E26</f>
        <v/>
      </c>
      <c r="G25" s="491">
        <f>F26</f>
        <v/>
      </c>
      <c r="H25" s="491">
        <f>G26</f>
        <v/>
      </c>
      <c r="I25" s="491">
        <f>H26</f>
        <v/>
      </c>
      <c r="J25" s="491">
        <f>I26</f>
        <v/>
      </c>
      <c r="K25" s="491">
        <f>J26</f>
        <v/>
      </c>
      <c r="L25" s="491">
        <f>K26</f>
        <v/>
      </c>
      <c r="M25" s="491">
        <f>L26</f>
        <v/>
      </c>
      <c r="N25" s="491">
        <f>M26</f>
        <v/>
      </c>
      <c r="O25" s="491">
        <f>N26</f>
        <v/>
      </c>
      <c r="P25" s="491" t="n"/>
      <c r="Q25" s="491" t="n"/>
      <c r="R25" s="491" t="n"/>
      <c r="S25" s="491" t="n"/>
      <c r="T25" s="491" t="n"/>
      <c r="U25" s="491" t="n"/>
      <c r="V25" s="491" t="n"/>
      <c r="W25" s="491" t="n"/>
      <c r="X25" s="491" t="n"/>
      <c r="Y25" s="491" t="n"/>
    </row>
    <row r="26" ht="12.75" customHeight="1" s="398">
      <c r="A26" s="496" t="n"/>
      <c r="B26" s="496" t="inlineStr">
        <is>
          <t>SALDO ATUAL</t>
        </is>
      </c>
      <c r="C26" s="491" t="n">
        <v>6358.97</v>
      </c>
      <c r="D26" s="491" t="n">
        <v>6358.97</v>
      </c>
      <c r="E26" s="491" t="n">
        <v>6358.97</v>
      </c>
      <c r="F26" s="491" t="n">
        <v>6358.97</v>
      </c>
      <c r="G26" s="491" t="n">
        <v>6358.97</v>
      </c>
      <c r="H26" s="491" t="n">
        <v>6358.97</v>
      </c>
      <c r="I26" s="491" t="n">
        <v>6358.97</v>
      </c>
      <c r="J26" s="491" t="n">
        <v>6358.97</v>
      </c>
      <c r="K26" s="491" t="n">
        <v>6358.97</v>
      </c>
      <c r="L26" s="491" t="n">
        <v>6358.97</v>
      </c>
      <c r="M26" s="491" t="n">
        <v>6358.97</v>
      </c>
      <c r="N26" s="491" t="n">
        <v>6358.97</v>
      </c>
      <c r="O26" s="491" t="n">
        <v>6358.97</v>
      </c>
      <c r="P26" s="491" t="n"/>
      <c r="Q26" s="491" t="n"/>
      <c r="R26" s="491" t="n"/>
      <c r="S26" s="491" t="n"/>
      <c r="T26" s="491" t="n"/>
      <c r="U26" s="491" t="n"/>
      <c r="V26" s="491" t="n"/>
      <c r="W26" s="491" t="n"/>
      <c r="X26" s="491" t="n"/>
      <c r="Y26" s="491" t="n"/>
    </row>
    <row r="27" ht="7.5" customHeight="1" s="398" thickBot="1">
      <c r="A27" s="490" t="n"/>
      <c r="B27" s="490" t="n"/>
      <c r="C27" s="491" t="n"/>
      <c r="D27" s="491" t="n"/>
      <c r="E27" s="491" t="n"/>
      <c r="F27" s="491" t="n"/>
      <c r="G27" s="491" t="n"/>
      <c r="H27" s="491" t="n"/>
      <c r="I27" s="491" t="n"/>
      <c r="J27" s="491" t="n"/>
      <c r="K27" s="491" t="n"/>
      <c r="L27" s="491" t="n"/>
      <c r="M27" s="491" t="n"/>
      <c r="N27" s="491" t="n"/>
      <c r="O27" s="491" t="n"/>
      <c r="P27" s="491" t="n"/>
      <c r="Q27" s="491" t="n"/>
      <c r="R27" s="491" t="n"/>
      <c r="S27" s="491" t="n"/>
      <c r="T27" s="491" t="n"/>
      <c r="U27" s="491" t="n"/>
      <c r="V27" s="491" t="n"/>
      <c r="W27" s="491" t="n"/>
      <c r="X27" s="491" t="n"/>
      <c r="Y27" s="491" t="n"/>
    </row>
    <row r="28" ht="13.5" customHeight="1" s="398" thickBot="1">
      <c r="A28" s="492" t="n"/>
      <c r="B28" s="493" t="inlineStr">
        <is>
          <t>FUNDO DE RESERVA</t>
        </is>
      </c>
      <c r="C28" s="494">
        <f>C30</f>
        <v/>
      </c>
      <c r="D28" s="494">
        <f>D30</f>
        <v/>
      </c>
      <c r="E28" s="494">
        <f>E30</f>
        <v/>
      </c>
      <c r="F28" s="494">
        <f>F30</f>
        <v/>
      </c>
      <c r="G28" s="494">
        <f>G30</f>
        <v/>
      </c>
      <c r="H28" s="494">
        <f>H30</f>
        <v/>
      </c>
      <c r="I28" s="494">
        <f>I30</f>
        <v/>
      </c>
      <c r="J28" s="494">
        <f>J30</f>
        <v/>
      </c>
      <c r="K28" s="494">
        <f>K30</f>
        <v/>
      </c>
      <c r="L28" s="494">
        <f>L30</f>
        <v/>
      </c>
      <c r="M28" s="494">
        <f>M30</f>
        <v/>
      </c>
      <c r="N28" s="494">
        <f>N30</f>
        <v/>
      </c>
      <c r="O28" s="495">
        <f>O30</f>
        <v/>
      </c>
      <c r="P28" s="480" t="n"/>
      <c r="Q28" s="480" t="n"/>
      <c r="R28" s="480" t="n"/>
      <c r="S28" s="480" t="n"/>
      <c r="T28" s="480" t="n"/>
      <c r="U28" s="480" t="n"/>
      <c r="V28" s="480" t="n"/>
      <c r="W28" s="480" t="n"/>
      <c r="X28" s="480" t="n"/>
      <c r="Y28" s="480" t="n"/>
    </row>
    <row r="29" ht="12.75" customHeight="1" s="398">
      <c r="A29" s="496" t="n"/>
      <c r="B29" s="496" t="inlineStr">
        <is>
          <t>SALDO ANTERIOR</t>
        </is>
      </c>
      <c r="C29" s="491" t="n">
        <v>4522.65</v>
      </c>
      <c r="D29" s="491">
        <f>C30</f>
        <v/>
      </c>
      <c r="E29" s="491">
        <f>D30</f>
        <v/>
      </c>
      <c r="F29" s="491">
        <f>E30</f>
        <v/>
      </c>
      <c r="G29" s="491">
        <f>F30</f>
        <v/>
      </c>
      <c r="H29" s="491">
        <f>G30</f>
        <v/>
      </c>
      <c r="I29" s="491">
        <f>H30</f>
        <v/>
      </c>
      <c r="J29" s="491">
        <f>I30</f>
        <v/>
      </c>
      <c r="K29" s="491">
        <f>J30</f>
        <v/>
      </c>
      <c r="L29" s="491">
        <f>K30</f>
        <v/>
      </c>
      <c r="M29" s="491">
        <f>L30</f>
        <v/>
      </c>
      <c r="N29" s="491">
        <f>M30</f>
        <v/>
      </c>
      <c r="O29" s="491">
        <f>N30</f>
        <v/>
      </c>
      <c r="P29" s="491" t="n"/>
      <c r="Q29" s="491" t="n"/>
      <c r="R29" s="491" t="n"/>
      <c r="S29" s="491" t="n"/>
      <c r="T29" s="491" t="n"/>
      <c r="U29" s="491" t="n"/>
      <c r="V29" s="491" t="n"/>
      <c r="W29" s="491" t="n"/>
      <c r="X29" s="491" t="n"/>
      <c r="Y29" s="491" t="n"/>
    </row>
    <row r="30" ht="12.75" customHeight="1" s="398">
      <c r="A30" s="496" t="n"/>
      <c r="B30" s="496" t="inlineStr">
        <is>
          <t>SALDO ATUAL</t>
        </is>
      </c>
      <c r="C30" s="491" t="n">
        <v>4522.65</v>
      </c>
      <c r="D30" s="491" t="n">
        <v>4522.65</v>
      </c>
      <c r="E30" s="491" t="n">
        <v>4522.65</v>
      </c>
      <c r="F30" s="491" t="n">
        <v>4522.65</v>
      </c>
      <c r="G30" s="491" t="n">
        <v>4522.65</v>
      </c>
      <c r="H30" s="491" t="n">
        <v>4522.65</v>
      </c>
      <c r="I30" s="491" t="n">
        <v>4522.65</v>
      </c>
      <c r="J30" s="491" t="n">
        <v>4522.65</v>
      </c>
      <c r="K30" s="491" t="n">
        <v>4522.65</v>
      </c>
      <c r="L30" s="491" t="n">
        <v>4522.65</v>
      </c>
      <c r="M30" s="491" t="n">
        <v>4522.65</v>
      </c>
      <c r="N30" s="491" t="n">
        <v>4522.65</v>
      </c>
      <c r="O30" s="491" t="n">
        <v>4522.65</v>
      </c>
      <c r="P30" s="491" t="n"/>
      <c r="Q30" s="491" t="n"/>
      <c r="R30" s="491" t="n"/>
      <c r="S30" s="491" t="n"/>
      <c r="T30" s="491" t="n"/>
      <c r="U30" s="491" t="n"/>
      <c r="V30" s="491" t="n"/>
      <c r="W30" s="491" t="n"/>
      <c r="X30" s="491" t="n"/>
      <c r="Y30" s="491" t="n"/>
    </row>
    <row r="31" ht="7.5" customHeight="1" s="398" thickBot="1">
      <c r="A31" s="490" t="n"/>
      <c r="B31" s="490" t="n"/>
      <c r="C31" s="491" t="n"/>
      <c r="D31" s="491" t="n"/>
      <c r="E31" s="491" t="n"/>
      <c r="F31" s="491" t="n"/>
      <c r="G31" s="491" t="n"/>
      <c r="H31" s="491" t="n"/>
      <c r="I31" s="491" t="n"/>
      <c r="J31" s="491" t="n"/>
      <c r="K31" s="491" t="n"/>
      <c r="L31" s="491" t="n"/>
      <c r="M31" s="491" t="n"/>
      <c r="N31" s="491" t="n"/>
      <c r="O31" s="491" t="n"/>
      <c r="P31" s="491" t="n"/>
      <c r="Q31" s="491" t="n"/>
      <c r="R31" s="491" t="n"/>
      <c r="S31" s="491" t="n"/>
      <c r="T31" s="491" t="n"/>
      <c r="U31" s="491" t="n"/>
      <c r="V31" s="491" t="n"/>
      <c r="W31" s="491" t="n"/>
      <c r="X31" s="491" t="n"/>
      <c r="Y31" s="491" t="n"/>
    </row>
    <row r="32" ht="13.5" customHeight="1" s="398" thickBot="1">
      <c r="A32" s="492" t="n"/>
      <c r="B32" s="493" t="inlineStr">
        <is>
          <t>BRADESCO</t>
        </is>
      </c>
      <c r="C32" s="494">
        <f>C34</f>
        <v/>
      </c>
      <c r="D32" s="494">
        <f>D34</f>
        <v/>
      </c>
      <c r="E32" s="494">
        <f>E34</f>
        <v/>
      </c>
      <c r="F32" s="494">
        <f>F34</f>
        <v/>
      </c>
      <c r="G32" s="494">
        <f>G34</f>
        <v/>
      </c>
      <c r="H32" s="494">
        <f>H34</f>
        <v/>
      </c>
      <c r="I32" s="494">
        <f>I34</f>
        <v/>
      </c>
      <c r="J32" s="494">
        <f>J34</f>
        <v/>
      </c>
      <c r="K32" s="494">
        <f>K34</f>
        <v/>
      </c>
      <c r="L32" s="494">
        <f>L34</f>
        <v/>
      </c>
      <c r="M32" s="494">
        <f>M34</f>
        <v/>
      </c>
      <c r="N32" s="494">
        <f>N34</f>
        <v/>
      </c>
      <c r="O32" s="495">
        <f>O34</f>
        <v/>
      </c>
      <c r="P32" s="480" t="n"/>
      <c r="Q32" s="480" t="n"/>
      <c r="R32" s="480" t="n"/>
      <c r="S32" s="480" t="n"/>
      <c r="T32" s="480" t="n"/>
      <c r="U32" s="480" t="n"/>
      <c r="V32" s="480" t="n"/>
      <c r="W32" s="480" t="n"/>
      <c r="X32" s="480" t="n"/>
      <c r="Y32" s="480" t="n"/>
    </row>
    <row r="33" ht="12.75" customHeight="1" s="398">
      <c r="A33" s="496" t="n"/>
      <c r="B33" s="496" t="inlineStr">
        <is>
          <t>SALDO ANTERIOR</t>
        </is>
      </c>
      <c r="C33" s="497">
        <f>114858.61+941415.06</f>
        <v/>
      </c>
      <c r="D33" s="497">
        <f>C34</f>
        <v/>
      </c>
      <c r="E33" s="497">
        <f>D34</f>
        <v/>
      </c>
      <c r="F33" s="497">
        <f>E34</f>
        <v/>
      </c>
      <c r="G33" s="497">
        <f>F34</f>
        <v/>
      </c>
      <c r="H33" s="497">
        <f>G34</f>
        <v/>
      </c>
      <c r="I33" s="497">
        <f>H34</f>
        <v/>
      </c>
      <c r="J33" s="497">
        <f>I34</f>
        <v/>
      </c>
      <c r="K33" s="497">
        <f>J34</f>
        <v/>
      </c>
      <c r="L33" s="497">
        <f>K34</f>
        <v/>
      </c>
      <c r="M33" s="497">
        <f>L34</f>
        <v/>
      </c>
      <c r="N33" s="497">
        <f>M34</f>
        <v/>
      </c>
      <c r="O33" s="497">
        <f>N34</f>
        <v/>
      </c>
      <c r="P33" s="491" t="n"/>
      <c r="Q33" s="491" t="n"/>
      <c r="R33" s="491" t="n"/>
      <c r="S33" s="491" t="n"/>
      <c r="T33" s="491" t="n"/>
      <c r="U33" s="491" t="n"/>
      <c r="V33" s="491" t="n"/>
      <c r="W33" s="491" t="n"/>
      <c r="X33" s="491" t="n"/>
      <c r="Y33" s="491" t="n"/>
    </row>
    <row r="34" ht="12.75" customHeight="1" s="398">
      <c r="A34" s="496" t="n"/>
      <c r="B34" s="496" t="inlineStr">
        <is>
          <t>SALDO ATUAL</t>
        </is>
      </c>
      <c r="C34" s="497" t="n">
        <v>1116354.07</v>
      </c>
      <c r="D34" s="497" t="n"/>
      <c r="E34" s="497" t="n"/>
      <c r="F34" s="497" t="n"/>
      <c r="G34" s="497" t="n"/>
      <c r="H34" s="497" t="n"/>
      <c r="I34" s="497" t="n"/>
      <c r="J34" s="497" t="n"/>
      <c r="K34" s="497" t="n"/>
      <c r="L34" s="497" t="n"/>
      <c r="M34" s="497" t="n"/>
      <c r="N34" s="497" t="n"/>
      <c r="O34" s="497" t="n"/>
      <c r="P34" s="491" t="n"/>
      <c r="Q34" s="491" t="n"/>
      <c r="R34" s="491" t="n"/>
      <c r="S34" s="491" t="n"/>
      <c r="T34" s="491" t="n"/>
      <c r="U34" s="491" t="n"/>
      <c r="V34" s="491" t="n"/>
      <c r="W34" s="491" t="n"/>
      <c r="X34" s="491" t="n"/>
      <c r="Y34" s="491" t="n"/>
    </row>
    <row r="35" ht="7.5" customHeight="1" s="398" thickBot="1">
      <c r="A35" s="490" t="n"/>
      <c r="B35" s="490" t="n"/>
      <c r="C35" s="491" t="n"/>
      <c r="D35" s="491" t="n"/>
      <c r="E35" s="491" t="n"/>
      <c r="F35" s="491" t="n"/>
      <c r="G35" s="491" t="n"/>
      <c r="H35" s="491" t="n"/>
      <c r="I35" s="491" t="n"/>
      <c r="J35" s="491" t="n"/>
      <c r="K35" s="491" t="n"/>
      <c r="L35" s="491" t="n"/>
      <c r="M35" s="491" t="n"/>
      <c r="N35" s="491" t="n"/>
      <c r="O35" s="491" t="n"/>
      <c r="P35" s="491" t="n"/>
      <c r="Q35" s="491" t="n"/>
      <c r="R35" s="491" t="n"/>
      <c r="S35" s="491" t="n"/>
      <c r="T35" s="491" t="n"/>
      <c r="U35" s="491" t="n"/>
      <c r="V35" s="491" t="n"/>
      <c r="W35" s="491" t="n"/>
      <c r="X35" s="491" t="n"/>
      <c r="Y35" s="491" t="n"/>
    </row>
    <row r="36" ht="13.5" customHeight="1" s="398" thickBot="1">
      <c r="A36" s="492" t="n"/>
      <c r="B36" s="493" t="inlineStr">
        <is>
          <t>TOTAL</t>
        </is>
      </c>
      <c r="C36" s="494">
        <f>C6+C12+C18+C24+C28+C32</f>
        <v/>
      </c>
      <c r="D36" s="494">
        <f>D6+D12+D18+D24+D28+D32</f>
        <v/>
      </c>
      <c r="E36" s="494">
        <f>E6+E12+E18+E24+E28+E32</f>
        <v/>
      </c>
      <c r="F36" s="494">
        <f>F6+F12+F18+F24+F28+F32</f>
        <v/>
      </c>
      <c r="G36" s="494">
        <f>G6+G12+G18+G24+G28+G32</f>
        <v/>
      </c>
      <c r="H36" s="494">
        <f>H6+H12+H18+H24+H28+H32</f>
        <v/>
      </c>
      <c r="I36" s="494">
        <f>I6+I12+I18+I24+I28+I32</f>
        <v/>
      </c>
      <c r="J36" s="494">
        <f>J6+J12+J18+J24+J28+J32</f>
        <v/>
      </c>
      <c r="K36" s="494">
        <f>K6+K12+K18+K24+K28+K32</f>
        <v/>
      </c>
      <c r="L36" s="494">
        <f>L6+L12+L18+L24+L28+L32</f>
        <v/>
      </c>
      <c r="M36" s="494">
        <f>M6+M12+M18+M24+M28+M32</f>
        <v/>
      </c>
      <c r="N36" s="494">
        <f>N6+N12+N18+N24+N28+N32</f>
        <v/>
      </c>
      <c r="O36" s="495">
        <f>O6+O12+O18+O24+O28+O32</f>
        <v/>
      </c>
      <c r="P36" s="480" t="n"/>
      <c r="Q36" s="480" t="n"/>
      <c r="R36" s="480" t="n"/>
      <c r="S36" s="480" t="n"/>
      <c r="T36" s="480" t="n"/>
      <c r="U36" s="480" t="n"/>
      <c r="V36" s="480" t="n"/>
      <c r="W36" s="480" t="n"/>
      <c r="X36" s="480" t="n"/>
      <c r="Y36" s="480" t="n"/>
    </row>
    <row r="37" ht="12.75" customHeight="1" s="398">
      <c r="A37" s="491" t="n"/>
      <c r="B37" s="491" t="n"/>
      <c r="C37" s="491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491" t="n"/>
      <c r="Q37" s="491" t="n"/>
      <c r="R37" s="491" t="n"/>
      <c r="S37" s="491" t="n"/>
      <c r="T37" s="491" t="n"/>
      <c r="U37" s="491" t="n"/>
      <c r="V37" s="491" t="n"/>
      <c r="W37" s="491" t="n"/>
      <c r="X37" s="491" t="n"/>
      <c r="Y37" s="491" t="n"/>
    </row>
    <row r="38" ht="12.75" customHeight="1" s="398">
      <c r="A38" s="491" t="n"/>
      <c r="B38" s="491" t="n"/>
      <c r="C38" s="491" t="n"/>
      <c r="D38" s="52" t="n"/>
      <c r="E38" s="52" t="n"/>
      <c r="F38" s="52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3" t="n"/>
      <c r="P38" s="491" t="n"/>
      <c r="Q38" s="491" t="n"/>
      <c r="R38" s="491" t="n"/>
      <c r="S38" s="491" t="n"/>
      <c r="T38" s="491" t="n"/>
      <c r="U38" s="491" t="n"/>
      <c r="V38" s="491" t="n"/>
      <c r="W38" s="491" t="n"/>
      <c r="X38" s="491" t="n"/>
      <c r="Y38" s="491" t="n"/>
    </row>
    <row r="39" ht="12.75" customHeight="1" s="398">
      <c r="A39" s="491" t="n"/>
      <c r="B39" s="491" t="n"/>
      <c r="C39" s="491" t="n"/>
      <c r="D39" s="491" t="n"/>
      <c r="E39" s="491" t="n"/>
      <c r="F39" s="491" t="n"/>
      <c r="G39" s="491" t="n"/>
      <c r="H39" s="491" t="n"/>
      <c r="I39" s="491" t="n"/>
      <c r="J39" s="491" t="n"/>
      <c r="K39" s="491" t="n"/>
      <c r="L39" s="491" t="n"/>
      <c r="M39" s="491" t="n"/>
      <c r="N39" s="491" t="n"/>
      <c r="O39" s="491" t="n"/>
      <c r="P39" s="491" t="n"/>
      <c r="Q39" s="491" t="n"/>
      <c r="R39" s="491" t="n"/>
      <c r="S39" s="491" t="n"/>
      <c r="T39" s="491" t="n"/>
      <c r="U39" s="491" t="n"/>
      <c r="V39" s="491" t="n"/>
      <c r="W39" s="491" t="n"/>
      <c r="X39" s="491" t="n"/>
      <c r="Y39" s="491" t="n"/>
    </row>
    <row r="40" ht="12.75" customHeight="1" s="398">
      <c r="A40" s="491" t="n"/>
      <c r="B40" s="491" t="n"/>
      <c r="C40" s="491" t="n"/>
      <c r="D40" s="491" t="n"/>
      <c r="E40" s="491" t="n"/>
      <c r="F40" s="491" t="n"/>
      <c r="G40" s="491" t="n"/>
      <c r="H40" s="491" t="n"/>
      <c r="I40" s="491" t="n"/>
      <c r="J40" s="491" t="n"/>
      <c r="K40" s="491" t="n"/>
      <c r="L40" s="491" t="n"/>
      <c r="M40" s="491" t="n"/>
      <c r="N40" s="491" t="n"/>
      <c r="O40" s="491" t="n"/>
      <c r="P40" s="491" t="n"/>
      <c r="Q40" s="491" t="n"/>
      <c r="R40" s="491" t="n"/>
      <c r="S40" s="491" t="n"/>
      <c r="T40" s="491" t="n"/>
      <c r="U40" s="491" t="n"/>
      <c r="V40" s="491" t="n"/>
      <c r="W40" s="491" t="n"/>
      <c r="X40" s="491" t="n"/>
      <c r="Y40" s="491" t="n"/>
    </row>
    <row r="41" ht="12.75" customHeight="1" s="398">
      <c r="A41" s="491" t="n"/>
      <c r="B41" s="491" t="n"/>
      <c r="C41" s="491" t="n"/>
      <c r="D41" s="491" t="n"/>
      <c r="E41" s="491" t="n"/>
      <c r="F41" s="498" t="n"/>
      <c r="S41" s="491" t="n"/>
      <c r="T41" s="491" t="n"/>
      <c r="U41" s="491" t="n"/>
      <c r="V41" s="491" t="n"/>
      <c r="W41" s="491" t="n"/>
      <c r="X41" s="491" t="n"/>
      <c r="Y41" s="491" t="n"/>
    </row>
    <row r="42" ht="12.75" customHeight="1" s="398">
      <c r="A42" s="491" t="n"/>
      <c r="B42" s="491" t="n"/>
      <c r="C42" s="491" t="n"/>
      <c r="D42" s="491" t="n"/>
      <c r="E42" s="491" t="n"/>
      <c r="S42" s="491" t="n"/>
      <c r="T42" s="491" t="n"/>
      <c r="U42" s="491" t="n"/>
      <c r="V42" s="491" t="n"/>
      <c r="W42" s="491" t="n"/>
      <c r="X42" s="491" t="n"/>
      <c r="Y42" s="491" t="n"/>
    </row>
    <row r="43" ht="12.75" customHeight="1" s="398">
      <c r="A43" s="491" t="n"/>
      <c r="B43" s="491" t="n"/>
      <c r="C43" s="491" t="n"/>
      <c r="D43" s="491" t="n"/>
      <c r="E43" s="491" t="n"/>
      <c r="S43" s="491" t="n"/>
      <c r="T43" s="491" t="n"/>
      <c r="U43" s="491" t="n"/>
      <c r="V43" s="491" t="n"/>
      <c r="W43" s="491" t="n"/>
      <c r="X43" s="491" t="n"/>
      <c r="Y43" s="491" t="n"/>
    </row>
    <row r="44" ht="12.75" customHeight="1" s="398">
      <c r="A44" s="491" t="n"/>
      <c r="B44" s="491" t="n"/>
      <c r="C44" s="491" t="n"/>
      <c r="D44" s="491" t="n"/>
      <c r="E44" s="491" t="n"/>
      <c r="S44" s="491" t="n"/>
      <c r="T44" s="491" t="n"/>
      <c r="U44" s="491" t="n"/>
      <c r="V44" s="491" t="n"/>
      <c r="W44" s="491" t="n"/>
      <c r="X44" s="491" t="n"/>
      <c r="Y44" s="491" t="n"/>
    </row>
    <row r="45" ht="12.75" customHeight="1" s="398">
      <c r="A45" s="491" t="n"/>
      <c r="B45" s="491" t="n"/>
      <c r="C45" s="491" t="n"/>
      <c r="D45" s="491" t="n"/>
      <c r="E45" s="491" t="n"/>
      <c r="S45" s="491" t="n"/>
      <c r="T45" s="491" t="n"/>
      <c r="U45" s="491" t="n"/>
      <c r="V45" s="491" t="n"/>
      <c r="W45" s="491" t="n"/>
      <c r="X45" s="491" t="n"/>
      <c r="Y45" s="491" t="n"/>
    </row>
    <row r="46" ht="12.75" customHeight="1" s="398">
      <c r="A46" s="491" t="n"/>
      <c r="B46" s="491" t="n"/>
      <c r="C46" s="491" t="n"/>
      <c r="D46" s="491" t="n"/>
      <c r="E46" s="491" t="n"/>
      <c r="S46" s="491" t="n"/>
      <c r="T46" s="491" t="n"/>
      <c r="U46" s="491" t="n"/>
      <c r="V46" s="491" t="n"/>
      <c r="W46" s="491" t="n"/>
      <c r="X46" s="491" t="n"/>
      <c r="Y46" s="491" t="n"/>
    </row>
    <row r="47" ht="12.75" customHeight="1" s="398">
      <c r="A47" s="491" t="n"/>
      <c r="B47" s="491" t="n"/>
      <c r="C47" s="491" t="n"/>
      <c r="D47" s="491" t="n"/>
      <c r="E47" s="491" t="n"/>
      <c r="S47" s="491" t="n"/>
      <c r="T47" s="491" t="n"/>
      <c r="U47" s="491" t="n"/>
      <c r="V47" s="491" t="n"/>
      <c r="W47" s="491" t="n"/>
      <c r="X47" s="491" t="n"/>
      <c r="Y47" s="491" t="n"/>
    </row>
    <row r="48" ht="12.75" customHeight="1" s="398">
      <c r="A48" s="491" t="n"/>
      <c r="B48" s="491" t="n"/>
      <c r="C48" s="491" t="n"/>
      <c r="D48" s="491" t="n"/>
      <c r="E48" s="491" t="n"/>
      <c r="S48" s="491" t="n"/>
      <c r="T48" s="491" t="n"/>
      <c r="U48" s="491" t="n"/>
      <c r="V48" s="491" t="n"/>
      <c r="W48" s="491" t="n"/>
      <c r="X48" s="491" t="n"/>
      <c r="Y48" s="491" t="n"/>
    </row>
    <row r="49" ht="12.75" customHeight="1" s="398">
      <c r="A49" s="491" t="n"/>
      <c r="B49" s="491" t="n"/>
      <c r="C49" s="491" t="n"/>
      <c r="D49" s="491" t="n"/>
      <c r="E49" s="491" t="n"/>
      <c r="S49" s="491" t="n"/>
      <c r="T49" s="491" t="n"/>
      <c r="U49" s="491" t="n"/>
      <c r="V49" s="491" t="n"/>
      <c r="W49" s="491" t="n"/>
      <c r="X49" s="491" t="n"/>
      <c r="Y49" s="491" t="n"/>
    </row>
    <row r="50" ht="12.75" customHeight="1" s="398">
      <c r="A50" s="491" t="n"/>
      <c r="B50" s="491" t="n"/>
      <c r="C50" s="491" t="n"/>
      <c r="D50" s="491" t="n"/>
      <c r="E50" s="491" t="n"/>
      <c r="S50" s="491" t="n"/>
      <c r="T50" s="491" t="n"/>
      <c r="U50" s="491" t="n"/>
      <c r="V50" s="491" t="n"/>
      <c r="W50" s="491" t="n"/>
      <c r="X50" s="491" t="n"/>
      <c r="Y50" s="491" t="n"/>
    </row>
    <row r="51" ht="12.75" customHeight="1" s="398">
      <c r="A51" s="491" t="n"/>
      <c r="B51" s="491" t="n"/>
      <c r="C51" s="491" t="n"/>
      <c r="D51" s="491" t="n"/>
      <c r="E51" s="491" t="n"/>
      <c r="S51" s="491" t="n"/>
      <c r="T51" s="491" t="n"/>
      <c r="U51" s="491" t="n"/>
      <c r="V51" s="491" t="n"/>
      <c r="W51" s="491" t="n"/>
      <c r="X51" s="491" t="n"/>
      <c r="Y51" s="491" t="n"/>
    </row>
    <row r="52" ht="12.75" customHeight="1" s="398">
      <c r="A52" s="491" t="n"/>
      <c r="B52" s="491" t="n"/>
      <c r="C52" s="491" t="n"/>
      <c r="D52" s="491" t="n"/>
      <c r="E52" s="491" t="n"/>
      <c r="S52" s="491" t="n"/>
      <c r="T52" s="491" t="n"/>
      <c r="U52" s="491" t="n"/>
      <c r="V52" s="491" t="n"/>
      <c r="W52" s="491" t="n"/>
      <c r="X52" s="491" t="n"/>
      <c r="Y52" s="491" t="n"/>
    </row>
    <row r="53" ht="12.75" customHeight="1" s="398">
      <c r="A53" s="491" t="n"/>
      <c r="B53" s="491" t="n"/>
      <c r="C53" s="491" t="n"/>
      <c r="D53" s="491" t="n"/>
      <c r="E53" s="491" t="n"/>
      <c r="S53" s="491" t="n"/>
      <c r="T53" s="491" t="n"/>
      <c r="U53" s="491" t="n"/>
      <c r="V53" s="491" t="n"/>
      <c r="W53" s="491" t="n"/>
      <c r="X53" s="491" t="n"/>
      <c r="Y53" s="491" t="n"/>
    </row>
    <row r="54" ht="12.75" customHeight="1" s="398">
      <c r="A54" s="491" t="n"/>
      <c r="B54" s="491" t="n"/>
      <c r="C54" s="491" t="n"/>
      <c r="D54" s="491" t="n"/>
      <c r="E54" s="491" t="n"/>
      <c r="S54" s="491" t="n"/>
      <c r="T54" s="491" t="n"/>
      <c r="U54" s="491" t="n"/>
      <c r="V54" s="491" t="n"/>
      <c r="W54" s="491" t="n"/>
      <c r="X54" s="491" t="n"/>
      <c r="Y54" s="491" t="n"/>
    </row>
    <row r="55" ht="12.75" customHeight="1" s="398">
      <c r="A55" s="491" t="n"/>
      <c r="B55" s="491" t="n"/>
      <c r="C55" s="491" t="n"/>
      <c r="D55" s="491" t="n"/>
      <c r="E55" s="491" t="n"/>
      <c r="S55" s="491" t="n"/>
      <c r="T55" s="491" t="n"/>
      <c r="U55" s="491" t="n"/>
      <c r="V55" s="491" t="n"/>
      <c r="W55" s="491" t="n"/>
      <c r="X55" s="491" t="n"/>
      <c r="Y55" s="491" t="n"/>
    </row>
    <row r="56" ht="12.75" customHeight="1" s="398">
      <c r="A56" s="491" t="n"/>
      <c r="B56" s="491" t="n"/>
      <c r="C56" s="491" t="n"/>
      <c r="D56" s="491" t="n"/>
      <c r="E56" s="491" t="n"/>
      <c r="S56" s="491" t="n"/>
      <c r="T56" s="491" t="n"/>
      <c r="U56" s="491" t="n"/>
      <c r="V56" s="491" t="n"/>
      <c r="W56" s="491" t="n"/>
      <c r="X56" s="491" t="n"/>
      <c r="Y56" s="491" t="n"/>
    </row>
    <row r="57" ht="12.75" customHeight="1" s="398">
      <c r="A57" s="491" t="n"/>
      <c r="B57" s="491" t="n"/>
      <c r="C57" s="491" t="n"/>
      <c r="D57" s="491" t="n"/>
      <c r="E57" s="491" t="n"/>
      <c r="S57" s="491" t="n"/>
      <c r="T57" s="491" t="n"/>
      <c r="U57" s="491" t="n"/>
      <c r="V57" s="491" t="n"/>
      <c r="W57" s="491" t="n"/>
      <c r="X57" s="491" t="n"/>
      <c r="Y57" s="491" t="n"/>
    </row>
    <row r="58" ht="12.75" customHeight="1" s="398">
      <c r="A58" s="491" t="n"/>
      <c r="B58" s="491" t="n"/>
      <c r="C58" s="491" t="n"/>
      <c r="D58" s="491" t="n"/>
      <c r="E58" s="491" t="n"/>
      <c r="S58" s="491" t="n"/>
      <c r="T58" s="491" t="n"/>
      <c r="U58" s="491" t="n"/>
      <c r="V58" s="491" t="n"/>
      <c r="W58" s="491" t="n"/>
      <c r="X58" s="491" t="n"/>
      <c r="Y58" s="491" t="n"/>
    </row>
    <row r="59" ht="12.75" customHeight="1" s="398">
      <c r="A59" s="491" t="n"/>
      <c r="B59" s="491" t="n"/>
      <c r="C59" s="491" t="n"/>
      <c r="D59" s="491" t="n"/>
      <c r="E59" s="491" t="n"/>
      <c r="S59" s="491" t="n"/>
      <c r="T59" s="491" t="n"/>
      <c r="U59" s="491" t="n"/>
      <c r="V59" s="491" t="n"/>
      <c r="W59" s="491" t="n"/>
      <c r="X59" s="491" t="n"/>
      <c r="Y59" s="491" t="n"/>
    </row>
    <row r="60" ht="12.75" customHeight="1" s="398">
      <c r="A60" s="491" t="n"/>
      <c r="B60" s="491" t="n"/>
      <c r="C60" s="491" t="n"/>
      <c r="D60" s="491" t="n"/>
      <c r="E60" s="491" t="n"/>
      <c r="S60" s="491" t="n"/>
      <c r="T60" s="491" t="n"/>
      <c r="U60" s="491" t="n"/>
      <c r="V60" s="491" t="n"/>
      <c r="W60" s="491" t="n"/>
      <c r="X60" s="491" t="n"/>
      <c r="Y60" s="491" t="n"/>
    </row>
    <row r="61" ht="12.75" customHeight="1" s="398">
      <c r="A61" s="491" t="n"/>
      <c r="B61" s="491" t="n"/>
      <c r="C61" s="491" t="n"/>
      <c r="D61" s="491" t="n"/>
      <c r="E61" s="491" t="n"/>
      <c r="S61" s="491" t="n"/>
      <c r="T61" s="491" t="n"/>
      <c r="U61" s="491" t="n"/>
      <c r="V61" s="491" t="n"/>
      <c r="W61" s="491" t="n"/>
      <c r="X61" s="491" t="n"/>
      <c r="Y61" s="491" t="n"/>
    </row>
    <row r="62" ht="12.75" customHeight="1" s="398">
      <c r="A62" s="491" t="n"/>
      <c r="B62" s="491" t="n"/>
      <c r="C62" s="491" t="n"/>
      <c r="D62" s="491" t="n"/>
      <c r="E62" s="491" t="n"/>
      <c r="S62" s="491" t="n"/>
      <c r="T62" s="491" t="n"/>
      <c r="U62" s="491" t="n"/>
      <c r="V62" s="491" t="n"/>
      <c r="W62" s="491" t="n"/>
      <c r="X62" s="491" t="n"/>
      <c r="Y62" s="491" t="n"/>
    </row>
    <row r="63" ht="12.75" customHeight="1" s="398">
      <c r="A63" s="491" t="n"/>
      <c r="B63" s="491" t="n"/>
      <c r="C63" s="491" t="n"/>
      <c r="D63" s="491" t="n"/>
      <c r="E63" s="491" t="n"/>
      <c r="S63" s="491" t="n"/>
      <c r="T63" s="491" t="n"/>
      <c r="U63" s="491" t="n"/>
      <c r="V63" s="491" t="n"/>
      <c r="W63" s="491" t="n"/>
      <c r="X63" s="491" t="n"/>
      <c r="Y63" s="491" t="n"/>
    </row>
    <row r="64" ht="12.75" customHeight="1" s="398">
      <c r="A64" s="491" t="n"/>
      <c r="B64" s="491" t="n"/>
      <c r="C64" s="491" t="n"/>
      <c r="D64" s="491" t="n"/>
      <c r="E64" s="491" t="n"/>
      <c r="S64" s="491" t="n"/>
      <c r="T64" s="491" t="n"/>
      <c r="U64" s="491" t="n"/>
      <c r="V64" s="491" t="n"/>
      <c r="W64" s="491" t="n"/>
      <c r="X64" s="491" t="n"/>
      <c r="Y64" s="491" t="n"/>
    </row>
    <row r="65" ht="12.75" customHeight="1" s="398">
      <c r="A65" s="491" t="n"/>
      <c r="B65" s="491" t="n"/>
      <c r="C65" s="491" t="n"/>
      <c r="D65" s="491" t="n"/>
      <c r="E65" s="491" t="n"/>
      <c r="S65" s="491" t="n"/>
      <c r="T65" s="491" t="n"/>
      <c r="U65" s="491" t="n"/>
      <c r="V65" s="491" t="n"/>
      <c r="W65" s="491" t="n"/>
      <c r="X65" s="491" t="n"/>
      <c r="Y65" s="491" t="n"/>
    </row>
    <row r="66" ht="12.75" customHeight="1" s="398">
      <c r="A66" s="491" t="n"/>
      <c r="B66" s="491" t="n"/>
      <c r="C66" s="491" t="n"/>
      <c r="D66" s="491" t="n"/>
      <c r="E66" s="491" t="n"/>
      <c r="S66" s="491" t="n"/>
      <c r="T66" s="491" t="n"/>
      <c r="U66" s="491" t="n"/>
      <c r="V66" s="491" t="n"/>
      <c r="W66" s="491" t="n"/>
      <c r="X66" s="491" t="n"/>
      <c r="Y66" s="491" t="n"/>
    </row>
    <row r="67" ht="12.75" customHeight="1" s="398">
      <c r="A67" s="491" t="n"/>
      <c r="B67" s="491" t="n"/>
      <c r="C67" s="491" t="n"/>
      <c r="D67" s="491" t="n"/>
      <c r="E67" s="491" t="n"/>
      <c r="S67" s="491" t="n"/>
      <c r="T67" s="491" t="n"/>
      <c r="U67" s="491" t="n"/>
      <c r="V67" s="491" t="n"/>
      <c r="W67" s="491" t="n"/>
      <c r="X67" s="491" t="n"/>
      <c r="Y67" s="491" t="n"/>
    </row>
    <row r="68" ht="12.75" customHeight="1" s="398">
      <c r="A68" s="491" t="n"/>
      <c r="B68" s="491" t="n"/>
      <c r="C68" s="491" t="n"/>
      <c r="D68" s="491" t="n"/>
      <c r="E68" s="491" t="n"/>
      <c r="S68" s="491" t="n"/>
      <c r="T68" s="491" t="n"/>
      <c r="U68" s="491" t="n"/>
      <c r="V68" s="491" t="n"/>
      <c r="W68" s="491" t="n"/>
      <c r="X68" s="491" t="n"/>
      <c r="Y68" s="491" t="n"/>
    </row>
    <row r="69" ht="12.75" customHeight="1" s="398">
      <c r="A69" s="491" t="n"/>
      <c r="B69" s="491" t="n"/>
      <c r="C69" s="491" t="n"/>
      <c r="D69" s="491" t="n"/>
      <c r="E69" s="491" t="n"/>
      <c r="F69" s="491" t="n"/>
      <c r="G69" s="491" t="n"/>
      <c r="H69" s="491" t="n"/>
      <c r="I69" s="491" t="n"/>
      <c r="J69" s="491" t="n"/>
      <c r="K69" s="491" t="n"/>
      <c r="L69" s="491" t="n"/>
      <c r="M69" s="491" t="n"/>
      <c r="N69" s="491" t="n"/>
      <c r="O69" s="491" t="n"/>
      <c r="P69" s="491" t="n"/>
      <c r="Q69" s="491" t="n"/>
      <c r="R69" s="491" t="n"/>
      <c r="S69" s="491" t="n"/>
      <c r="T69" s="491" t="n"/>
      <c r="U69" s="491" t="n"/>
      <c r="V69" s="491" t="n"/>
      <c r="W69" s="491" t="n"/>
      <c r="X69" s="491" t="n"/>
      <c r="Y69" s="491" t="n"/>
    </row>
    <row r="70" ht="12.75" customHeight="1" s="398">
      <c r="A70" s="491" t="n"/>
      <c r="B70" s="491" t="n"/>
      <c r="C70" s="491" t="n"/>
      <c r="D70" s="491" t="n"/>
      <c r="E70" s="491" t="n"/>
      <c r="F70" s="491" t="n"/>
      <c r="G70" s="491" t="n"/>
      <c r="H70" s="491" t="n"/>
      <c r="I70" s="491" t="n"/>
      <c r="J70" s="491" t="n"/>
      <c r="K70" s="491" t="n"/>
      <c r="L70" s="491" t="n"/>
      <c r="M70" s="491" t="n"/>
      <c r="N70" s="491" t="n"/>
      <c r="O70" s="491" t="n"/>
      <c r="P70" s="491" t="n"/>
      <c r="Q70" s="491" t="n"/>
      <c r="R70" s="491" t="n"/>
      <c r="S70" s="491" t="n"/>
      <c r="T70" s="491" t="n"/>
      <c r="U70" s="491" t="n"/>
      <c r="V70" s="491" t="n"/>
      <c r="W70" s="491" t="n"/>
      <c r="X70" s="491" t="n"/>
      <c r="Y70" s="491" t="n"/>
    </row>
    <row r="71" ht="12.75" customHeight="1" s="398">
      <c r="A71" s="491" t="n"/>
      <c r="B71" s="491" t="n"/>
      <c r="C71" s="491" t="n"/>
      <c r="D71" s="491" t="n"/>
      <c r="E71" s="491" t="n"/>
      <c r="F71" s="491" t="n"/>
      <c r="G71" s="491" t="n"/>
      <c r="H71" s="491" t="n"/>
      <c r="I71" s="491" t="n"/>
      <c r="J71" s="491" t="n"/>
      <c r="K71" s="491" t="n"/>
      <c r="L71" s="491" t="n"/>
      <c r="M71" s="491" t="n"/>
      <c r="N71" s="491" t="n"/>
      <c r="O71" s="491" t="n"/>
      <c r="P71" s="491" t="n"/>
      <c r="Q71" s="491" t="n"/>
      <c r="R71" s="491" t="n"/>
      <c r="S71" s="491" t="n"/>
      <c r="T71" s="491" t="n"/>
      <c r="U71" s="491" t="n"/>
      <c r="V71" s="491" t="n"/>
      <c r="W71" s="491" t="n"/>
      <c r="X71" s="491" t="n"/>
      <c r="Y71" s="491" t="n"/>
    </row>
    <row r="72" ht="12.75" customHeight="1" s="398">
      <c r="A72" s="491" t="n"/>
      <c r="B72" s="491" t="n"/>
      <c r="C72" s="491" t="n"/>
      <c r="D72" s="491" t="n"/>
      <c r="E72" s="491" t="n"/>
      <c r="F72" s="491" t="n"/>
      <c r="G72" s="491" t="n"/>
      <c r="H72" s="491" t="n"/>
      <c r="I72" s="491" t="n"/>
      <c r="J72" s="491" t="n"/>
      <c r="K72" s="491" t="n"/>
      <c r="L72" s="491" t="n"/>
      <c r="M72" s="491" t="n"/>
      <c r="N72" s="491" t="n"/>
      <c r="O72" s="491" t="n"/>
      <c r="P72" s="491" t="n"/>
      <c r="Q72" s="491" t="n"/>
      <c r="R72" s="491" t="n"/>
      <c r="S72" s="491" t="n"/>
      <c r="T72" s="491" t="n"/>
      <c r="U72" s="491" t="n"/>
      <c r="V72" s="491" t="n"/>
      <c r="W72" s="491" t="n"/>
      <c r="X72" s="491" t="n"/>
      <c r="Y72" s="491" t="n"/>
    </row>
    <row r="73" ht="12.75" customHeight="1" s="398">
      <c r="A73" s="491" t="n"/>
      <c r="B73" s="491" t="n"/>
      <c r="C73" s="491" t="n"/>
      <c r="D73" s="491" t="n"/>
      <c r="E73" s="491" t="n"/>
      <c r="F73" s="491" t="n"/>
      <c r="G73" s="491" t="n"/>
      <c r="H73" s="491" t="n"/>
      <c r="I73" s="491" t="n"/>
      <c r="J73" s="491" t="n"/>
      <c r="K73" s="491" t="n"/>
      <c r="L73" s="491" t="n"/>
      <c r="M73" s="491" t="n"/>
      <c r="N73" s="491" t="n"/>
      <c r="O73" s="491" t="n"/>
      <c r="P73" s="491" t="n"/>
      <c r="Q73" s="491" t="n"/>
      <c r="R73" s="491" t="n"/>
      <c r="S73" s="491" t="n"/>
      <c r="T73" s="491" t="n"/>
      <c r="U73" s="491" t="n"/>
      <c r="V73" s="491" t="n"/>
      <c r="W73" s="491" t="n"/>
      <c r="X73" s="491" t="n"/>
      <c r="Y73" s="491" t="n"/>
    </row>
    <row r="74" ht="12.75" customHeight="1" s="398">
      <c r="A74" s="491" t="n"/>
      <c r="B74" s="491" t="n"/>
      <c r="C74" s="491" t="n"/>
      <c r="D74" s="491" t="n"/>
      <c r="E74" s="491" t="n"/>
      <c r="F74" s="491" t="n"/>
      <c r="G74" s="491" t="n"/>
      <c r="H74" s="491" t="n"/>
      <c r="I74" s="491" t="n"/>
      <c r="J74" s="491" t="n"/>
      <c r="K74" s="491" t="n"/>
      <c r="L74" s="491" t="n"/>
      <c r="M74" s="491" t="n"/>
      <c r="N74" s="491" t="n"/>
      <c r="O74" s="491" t="n"/>
      <c r="P74" s="491" t="n"/>
      <c r="Q74" s="491" t="n"/>
      <c r="R74" s="491" t="n"/>
      <c r="S74" s="491" t="n"/>
      <c r="T74" s="491" t="n"/>
      <c r="U74" s="491" t="n"/>
      <c r="V74" s="491" t="n"/>
      <c r="W74" s="491" t="n"/>
      <c r="X74" s="491" t="n"/>
      <c r="Y74" s="491" t="n"/>
    </row>
    <row r="75" ht="12.75" customHeight="1" s="398">
      <c r="A75" s="491" t="n"/>
      <c r="B75" s="491" t="n"/>
      <c r="C75" s="491" t="n"/>
      <c r="D75" s="491" t="n"/>
      <c r="E75" s="491" t="n"/>
      <c r="F75" s="491" t="n"/>
      <c r="G75" s="491" t="n"/>
      <c r="H75" s="491" t="n"/>
      <c r="I75" s="491" t="n"/>
      <c r="J75" s="491" t="n"/>
      <c r="K75" s="491" t="n"/>
      <c r="L75" s="491" t="n"/>
      <c r="M75" s="491" t="n"/>
      <c r="N75" s="491" t="n"/>
      <c r="O75" s="491" t="n"/>
      <c r="P75" s="491" t="n"/>
      <c r="Q75" s="491" t="n"/>
      <c r="R75" s="491" t="n"/>
      <c r="S75" s="491" t="n"/>
      <c r="T75" s="491" t="n"/>
      <c r="U75" s="491" t="n"/>
      <c r="V75" s="491" t="n"/>
      <c r="W75" s="491" t="n"/>
      <c r="X75" s="491" t="n"/>
      <c r="Y75" s="491" t="n"/>
    </row>
    <row r="76" ht="12.75" customHeight="1" s="398">
      <c r="A76" s="491" t="n"/>
      <c r="B76" s="491" t="n"/>
      <c r="C76" s="491" t="n"/>
      <c r="D76" s="491" t="n"/>
      <c r="E76" s="491" t="n"/>
      <c r="F76" s="491" t="n"/>
      <c r="G76" s="491" t="n"/>
      <c r="H76" s="491" t="n"/>
      <c r="I76" s="491" t="n"/>
      <c r="J76" s="491" t="n"/>
      <c r="K76" s="491" t="n"/>
      <c r="L76" s="480" t="n"/>
      <c r="M76" s="491" t="n"/>
      <c r="N76" s="491" t="n"/>
      <c r="O76" s="491" t="n"/>
      <c r="P76" s="491" t="n"/>
      <c r="Q76" s="491" t="n"/>
      <c r="R76" s="491" t="n"/>
      <c r="S76" s="491" t="n"/>
      <c r="T76" s="491" t="n"/>
      <c r="U76" s="491" t="n"/>
      <c r="V76" s="491" t="n"/>
      <c r="W76" s="491" t="n"/>
      <c r="X76" s="491" t="n"/>
      <c r="Y76" s="491" t="n"/>
    </row>
    <row r="77" ht="12.75" customHeight="1" s="398">
      <c r="A77" s="491" t="n"/>
      <c r="B77" s="491" t="n"/>
      <c r="C77" s="491" t="n"/>
      <c r="D77" s="491" t="n"/>
      <c r="E77" s="491" t="n"/>
      <c r="F77" s="491" t="n"/>
      <c r="G77" s="491" t="n"/>
      <c r="H77" s="491" t="n"/>
      <c r="I77" s="491" t="n"/>
      <c r="J77" s="491" t="n"/>
      <c r="K77" s="491" t="n"/>
      <c r="L77" s="491" t="n"/>
      <c r="M77" s="491" t="n"/>
      <c r="N77" s="491" t="n"/>
      <c r="O77" s="491" t="n"/>
      <c r="P77" s="491" t="n"/>
      <c r="Q77" s="491" t="n"/>
      <c r="R77" s="491" t="n"/>
      <c r="S77" s="491" t="n"/>
      <c r="T77" s="491" t="n"/>
      <c r="U77" s="491" t="n"/>
      <c r="V77" s="491" t="n"/>
      <c r="W77" s="491" t="n"/>
      <c r="X77" s="491" t="n"/>
      <c r="Y77" s="491" t="n"/>
    </row>
    <row r="78" ht="12.75" customHeight="1" s="398">
      <c r="A78" s="491" t="n"/>
      <c r="B78" s="491" t="n"/>
      <c r="C78" s="491" t="n"/>
      <c r="D78" s="491" t="n"/>
      <c r="E78" s="491" t="n"/>
      <c r="F78" s="491" t="n"/>
      <c r="G78" s="491" t="n"/>
      <c r="H78" s="491" t="n"/>
      <c r="I78" s="491" t="n"/>
      <c r="J78" s="491" t="n"/>
      <c r="K78" s="491" t="n"/>
      <c r="L78" s="491" t="n"/>
      <c r="M78" s="491" t="n"/>
      <c r="N78" s="491" t="n"/>
      <c r="O78" s="491" t="n"/>
      <c r="P78" s="491" t="n"/>
      <c r="Q78" s="491" t="n"/>
      <c r="R78" s="491" t="n"/>
      <c r="S78" s="491" t="n"/>
      <c r="T78" s="491" t="n"/>
      <c r="U78" s="491" t="n"/>
      <c r="V78" s="491" t="n"/>
      <c r="W78" s="491" t="n"/>
      <c r="X78" s="491" t="n"/>
      <c r="Y78" s="491" t="n"/>
    </row>
    <row r="79" ht="12.75" customHeight="1" s="398">
      <c r="A79" s="491" t="n"/>
      <c r="B79" s="491" t="n"/>
      <c r="C79" s="491" t="n"/>
      <c r="D79" s="491" t="n"/>
      <c r="E79" s="491" t="n"/>
      <c r="F79" s="491" t="n"/>
      <c r="G79" s="491" t="n"/>
      <c r="H79" s="491" t="n"/>
      <c r="I79" s="491" t="n"/>
      <c r="J79" s="491" t="n"/>
      <c r="K79" s="491" t="n"/>
      <c r="L79" s="491" t="n"/>
      <c r="M79" s="491" t="n"/>
      <c r="N79" s="491" t="n"/>
      <c r="O79" s="491" t="n"/>
      <c r="P79" s="491" t="n"/>
      <c r="Q79" s="491" t="n"/>
      <c r="R79" s="491" t="n"/>
      <c r="S79" s="491" t="n"/>
      <c r="T79" s="491" t="n"/>
      <c r="U79" s="491" t="n"/>
      <c r="V79" s="491" t="n"/>
      <c r="W79" s="491" t="n"/>
      <c r="X79" s="491" t="n"/>
      <c r="Y79" s="491" t="n"/>
    </row>
    <row r="80" ht="12.75" customHeight="1" s="398">
      <c r="A80" s="491" t="n"/>
      <c r="B80" s="491" t="n"/>
      <c r="C80" s="491" t="n"/>
      <c r="D80" s="491" t="n"/>
      <c r="E80" s="491" t="n"/>
      <c r="F80" s="491" t="n"/>
      <c r="G80" s="491" t="n"/>
      <c r="H80" s="491" t="n"/>
      <c r="I80" s="491" t="n"/>
      <c r="J80" s="491" t="n"/>
      <c r="K80" s="491" t="n"/>
      <c r="L80" s="491" t="n"/>
      <c r="M80" s="491" t="n"/>
      <c r="N80" s="491" t="n"/>
      <c r="O80" s="491" t="n"/>
      <c r="P80" s="491" t="n"/>
      <c r="Q80" s="491" t="n"/>
      <c r="R80" s="491" t="n"/>
      <c r="S80" s="491" t="n"/>
      <c r="T80" s="491" t="n"/>
      <c r="U80" s="491" t="n"/>
      <c r="V80" s="491" t="n"/>
      <c r="W80" s="491" t="n"/>
      <c r="X80" s="491" t="n"/>
      <c r="Y80" s="491" t="n"/>
    </row>
    <row r="81" ht="12.75" customHeight="1" s="398">
      <c r="A81" s="491" t="n"/>
      <c r="B81" s="491" t="n"/>
      <c r="C81" s="491" t="n"/>
      <c r="D81" s="491" t="n"/>
      <c r="E81" s="491" t="n"/>
      <c r="F81" s="491" t="n"/>
      <c r="G81" s="491" t="n"/>
      <c r="H81" s="491" t="n"/>
      <c r="I81" s="491" t="n"/>
      <c r="J81" s="491" t="n"/>
      <c r="K81" s="491" t="n"/>
      <c r="L81" s="491" t="n"/>
      <c r="M81" s="491" t="n"/>
      <c r="N81" s="491" t="n"/>
      <c r="O81" s="491" t="n"/>
      <c r="P81" s="491" t="n"/>
      <c r="Q81" s="491" t="n"/>
      <c r="R81" s="491" t="n"/>
      <c r="S81" s="491" t="n"/>
      <c r="T81" s="491" t="n"/>
      <c r="U81" s="491" t="n"/>
      <c r="V81" s="491" t="n"/>
      <c r="W81" s="491" t="n"/>
      <c r="X81" s="491" t="n"/>
      <c r="Y81" s="491" t="n"/>
    </row>
    <row r="82" ht="12.75" customHeight="1" s="398">
      <c r="A82" s="491" t="n"/>
      <c r="B82" s="491" t="n"/>
      <c r="C82" s="491" t="n"/>
      <c r="D82" s="491" t="n"/>
      <c r="E82" s="491" t="n"/>
      <c r="F82" s="491" t="n"/>
      <c r="G82" s="491" t="n"/>
      <c r="H82" s="491" t="n"/>
      <c r="I82" s="491" t="n"/>
      <c r="J82" s="491" t="n"/>
      <c r="K82" s="491" t="n"/>
      <c r="L82" s="491" t="n"/>
      <c r="M82" s="491" t="n"/>
      <c r="N82" s="491" t="n"/>
      <c r="O82" s="491" t="n"/>
      <c r="P82" s="491" t="n"/>
      <c r="Q82" s="491" t="n"/>
      <c r="R82" s="491" t="n"/>
      <c r="S82" s="491" t="n"/>
      <c r="T82" s="491" t="n"/>
      <c r="U82" s="491" t="n"/>
      <c r="V82" s="491" t="n"/>
      <c r="W82" s="491" t="n"/>
      <c r="X82" s="491" t="n"/>
      <c r="Y82" s="491" t="n"/>
    </row>
    <row r="83" ht="12.75" customHeight="1" s="398">
      <c r="A83" s="491" t="n"/>
      <c r="B83" s="491" t="n"/>
      <c r="C83" s="491" t="n"/>
      <c r="D83" s="491" t="n"/>
      <c r="E83" s="491" t="n"/>
      <c r="F83" s="491" t="n"/>
      <c r="G83" s="491" t="n"/>
      <c r="H83" s="491" t="n"/>
      <c r="I83" s="491" t="n"/>
      <c r="J83" s="491" t="n"/>
      <c r="K83" s="491" t="n"/>
      <c r="L83" s="491" t="n"/>
      <c r="M83" s="491" t="n"/>
      <c r="N83" s="491" t="n"/>
      <c r="O83" s="491" t="n"/>
      <c r="P83" s="491" t="n"/>
      <c r="Q83" s="491" t="n"/>
      <c r="R83" s="491" t="n"/>
      <c r="S83" s="491" t="n"/>
      <c r="T83" s="491" t="n"/>
      <c r="U83" s="491" t="n"/>
      <c r="V83" s="491" t="n"/>
      <c r="W83" s="491" t="n"/>
      <c r="X83" s="491" t="n"/>
      <c r="Y83" s="491" t="n"/>
    </row>
    <row r="84" ht="12.75" customHeight="1" s="398">
      <c r="A84" s="491" t="n"/>
      <c r="B84" s="491" t="n"/>
      <c r="C84" s="491" t="n"/>
      <c r="D84" s="491" t="n"/>
      <c r="E84" s="491" t="n"/>
      <c r="F84" s="491" t="n"/>
      <c r="G84" s="491" t="n"/>
      <c r="H84" s="491" t="n"/>
      <c r="I84" s="491" t="n"/>
      <c r="J84" s="491" t="n"/>
      <c r="K84" s="491" t="n"/>
      <c r="L84" s="491" t="n"/>
      <c r="M84" s="491" t="n"/>
      <c r="N84" s="491" t="n"/>
      <c r="O84" s="491" t="n"/>
      <c r="P84" s="491" t="n"/>
      <c r="Q84" s="491" t="n"/>
      <c r="R84" s="491" t="n"/>
      <c r="S84" s="491" t="n"/>
      <c r="T84" s="491" t="n"/>
      <c r="U84" s="491" t="n"/>
      <c r="V84" s="491" t="n"/>
      <c r="W84" s="491" t="n"/>
      <c r="X84" s="491" t="n"/>
      <c r="Y84" s="491" t="n"/>
    </row>
    <row r="85" ht="12.75" customHeight="1" s="398">
      <c r="A85" s="491" t="n"/>
      <c r="B85" s="491" t="n"/>
      <c r="C85" s="491" t="n"/>
      <c r="D85" s="491" t="n"/>
      <c r="E85" s="491" t="n"/>
      <c r="F85" s="491" t="n"/>
      <c r="G85" s="491" t="n"/>
      <c r="H85" s="491" t="n"/>
      <c r="I85" s="491" t="n"/>
      <c r="J85" s="491" t="n"/>
      <c r="K85" s="491" t="n"/>
      <c r="L85" s="491" t="n"/>
      <c r="M85" s="491" t="n"/>
      <c r="N85" s="491" t="n"/>
      <c r="O85" s="491" t="n"/>
      <c r="P85" s="491" t="n"/>
      <c r="Q85" s="491" t="n"/>
      <c r="R85" s="491" t="n"/>
      <c r="S85" s="491" t="n"/>
      <c r="T85" s="491" t="n"/>
      <c r="U85" s="491" t="n"/>
      <c r="V85" s="491" t="n"/>
      <c r="W85" s="491" t="n"/>
      <c r="X85" s="491" t="n"/>
      <c r="Y85" s="491" t="n"/>
    </row>
    <row r="86" ht="12.75" customHeight="1" s="398">
      <c r="A86" s="491" t="n"/>
      <c r="B86" s="491" t="n"/>
      <c r="C86" s="491" t="n"/>
      <c r="D86" s="491" t="n"/>
      <c r="E86" s="491" t="n"/>
      <c r="F86" s="491" t="n"/>
      <c r="G86" s="491" t="n"/>
      <c r="H86" s="491" t="n"/>
      <c r="I86" s="491" t="n"/>
      <c r="J86" s="491" t="n"/>
      <c r="K86" s="491" t="n"/>
      <c r="L86" s="491" t="n"/>
      <c r="M86" s="491" t="n"/>
      <c r="N86" s="491" t="n"/>
      <c r="O86" s="491" t="n"/>
      <c r="P86" s="491" t="n"/>
      <c r="Q86" s="491" t="n"/>
      <c r="R86" s="491" t="n"/>
      <c r="S86" s="491" t="n"/>
      <c r="T86" s="491" t="n"/>
      <c r="U86" s="491" t="n"/>
      <c r="V86" s="491" t="n"/>
      <c r="W86" s="491" t="n"/>
      <c r="X86" s="491" t="n"/>
      <c r="Y86" s="491" t="n"/>
    </row>
    <row r="87" ht="12.75" customHeight="1" s="398">
      <c r="A87" s="491" t="n"/>
      <c r="B87" s="491" t="n"/>
      <c r="C87" s="491" t="n"/>
      <c r="D87" s="491" t="n"/>
      <c r="E87" s="491" t="n"/>
      <c r="F87" s="491" t="n"/>
      <c r="G87" s="491" t="n"/>
      <c r="H87" s="491" t="n"/>
      <c r="I87" s="491" t="n"/>
      <c r="J87" s="491" t="n"/>
      <c r="K87" s="491" t="n"/>
      <c r="L87" s="491" t="n"/>
      <c r="M87" s="491" t="n"/>
      <c r="N87" s="491" t="n"/>
      <c r="O87" s="491" t="n"/>
      <c r="P87" s="491" t="n"/>
      <c r="Q87" s="491" t="n"/>
      <c r="R87" s="491" t="n"/>
      <c r="S87" s="491" t="n"/>
      <c r="T87" s="491" t="n"/>
      <c r="U87" s="491" t="n"/>
      <c r="V87" s="491" t="n"/>
      <c r="W87" s="491" t="n"/>
      <c r="X87" s="491" t="n"/>
      <c r="Y87" s="491" t="n"/>
    </row>
    <row r="88" ht="12.75" customHeight="1" s="398">
      <c r="A88" s="491" t="n"/>
      <c r="B88" s="491" t="n"/>
      <c r="C88" s="491" t="n"/>
      <c r="D88" s="491" t="n"/>
      <c r="E88" s="491" t="n"/>
      <c r="F88" s="491" t="n"/>
      <c r="G88" s="491" t="n"/>
      <c r="H88" s="491" t="n"/>
      <c r="I88" s="491" t="n"/>
      <c r="J88" s="491" t="n"/>
      <c r="K88" s="491" t="n"/>
      <c r="L88" s="491" t="n"/>
      <c r="M88" s="491" t="n"/>
      <c r="N88" s="491" t="n"/>
      <c r="O88" s="491" t="n"/>
      <c r="P88" s="491" t="n"/>
      <c r="Q88" s="491" t="n"/>
      <c r="R88" s="491" t="n"/>
      <c r="S88" s="491" t="n"/>
      <c r="T88" s="491" t="n"/>
      <c r="U88" s="491" t="n"/>
      <c r="V88" s="491" t="n"/>
      <c r="W88" s="491" t="n"/>
      <c r="X88" s="491" t="n"/>
      <c r="Y88" s="491" t="n"/>
    </row>
    <row r="89" ht="12.75" customHeight="1" s="398">
      <c r="A89" s="491" t="n"/>
      <c r="B89" s="491" t="n"/>
      <c r="C89" s="491" t="n"/>
      <c r="D89" s="491" t="n"/>
      <c r="E89" s="491" t="n"/>
      <c r="F89" s="491" t="n"/>
      <c r="G89" s="491" t="n"/>
      <c r="H89" s="491" t="n"/>
      <c r="I89" s="491" t="n"/>
      <c r="J89" s="491" t="n"/>
      <c r="K89" s="491" t="n"/>
      <c r="L89" s="491" t="n"/>
      <c r="M89" s="491" t="n"/>
      <c r="N89" s="491" t="n"/>
      <c r="O89" s="491" t="n"/>
      <c r="P89" s="491" t="n"/>
      <c r="Q89" s="491" t="n"/>
      <c r="R89" s="491" t="n"/>
      <c r="S89" s="491" t="n"/>
      <c r="T89" s="491" t="n"/>
      <c r="U89" s="491" t="n"/>
      <c r="V89" s="491" t="n"/>
      <c r="W89" s="491" t="n"/>
      <c r="X89" s="491" t="n"/>
      <c r="Y89" s="491" t="n"/>
    </row>
    <row r="90" ht="12.75" customHeight="1" s="398">
      <c r="A90" s="491" t="n"/>
      <c r="B90" s="491" t="n"/>
      <c r="C90" s="491" t="n"/>
      <c r="D90" s="491" t="n"/>
      <c r="E90" s="491" t="n"/>
      <c r="F90" s="491" t="n"/>
      <c r="G90" s="491" t="n"/>
      <c r="H90" s="491" t="n"/>
      <c r="I90" s="491" t="n"/>
      <c r="J90" s="491" t="n"/>
      <c r="K90" s="491" t="n"/>
      <c r="L90" s="491" t="n"/>
      <c r="M90" s="491" t="n"/>
      <c r="N90" s="491" t="n"/>
      <c r="O90" s="491" t="n"/>
      <c r="P90" s="491" t="n"/>
      <c r="Q90" s="491" t="n"/>
      <c r="R90" s="491" t="n"/>
      <c r="S90" s="491" t="n"/>
      <c r="T90" s="491" t="n"/>
      <c r="U90" s="491" t="n"/>
      <c r="V90" s="491" t="n"/>
      <c r="W90" s="491" t="n"/>
      <c r="X90" s="491" t="n"/>
      <c r="Y90" s="491" t="n"/>
    </row>
    <row r="91" ht="12.75" customHeight="1" s="398">
      <c r="A91" s="491" t="n"/>
      <c r="B91" s="491" t="n"/>
      <c r="C91" s="491" t="n"/>
      <c r="D91" s="491" t="n"/>
      <c r="E91" s="491" t="n"/>
      <c r="F91" s="491" t="n"/>
      <c r="G91" s="491" t="n"/>
      <c r="H91" s="491" t="n"/>
      <c r="I91" s="491" t="n"/>
      <c r="J91" s="491" t="n"/>
      <c r="K91" s="491" t="n"/>
      <c r="L91" s="491" t="n"/>
      <c r="M91" s="491" t="n"/>
      <c r="N91" s="491" t="n"/>
      <c r="O91" s="491" t="n"/>
      <c r="P91" s="491" t="n"/>
      <c r="Q91" s="491" t="n"/>
      <c r="R91" s="491" t="n"/>
      <c r="S91" s="491" t="n"/>
      <c r="T91" s="491" t="n"/>
      <c r="U91" s="491" t="n"/>
      <c r="V91" s="491" t="n"/>
      <c r="W91" s="491" t="n"/>
      <c r="X91" s="491" t="n"/>
      <c r="Y91" s="491" t="n"/>
    </row>
    <row r="92" ht="12.75" customHeight="1" s="398">
      <c r="A92" s="491" t="n"/>
      <c r="B92" s="491" t="n"/>
      <c r="C92" s="491" t="n"/>
      <c r="D92" s="491" t="n"/>
      <c r="E92" s="491" t="n"/>
      <c r="F92" s="491" t="n"/>
      <c r="G92" s="491" t="n"/>
      <c r="H92" s="491" t="n"/>
      <c r="I92" s="491" t="n"/>
      <c r="J92" s="491" t="n"/>
      <c r="K92" s="491" t="n"/>
      <c r="L92" s="491" t="n"/>
      <c r="M92" s="491" t="n"/>
      <c r="N92" s="491" t="n"/>
      <c r="O92" s="491" t="n"/>
      <c r="P92" s="491" t="n"/>
      <c r="Q92" s="491" t="n"/>
      <c r="R92" s="491" t="n"/>
      <c r="S92" s="491" t="n"/>
      <c r="T92" s="491" t="n"/>
      <c r="U92" s="491" t="n"/>
      <c r="V92" s="491" t="n"/>
      <c r="W92" s="491" t="n"/>
      <c r="X92" s="491" t="n"/>
      <c r="Y92" s="491" t="n"/>
    </row>
    <row r="93" ht="12.75" customHeight="1" s="398">
      <c r="A93" s="491" t="n"/>
      <c r="B93" s="491" t="n"/>
      <c r="C93" s="491" t="n"/>
      <c r="D93" s="491" t="n"/>
      <c r="E93" s="491" t="n"/>
      <c r="F93" s="491" t="n"/>
      <c r="G93" s="491" t="n"/>
      <c r="H93" s="491" t="n"/>
      <c r="I93" s="491" t="n"/>
      <c r="J93" s="491" t="n"/>
      <c r="K93" s="491" t="n"/>
      <c r="L93" s="491" t="n"/>
      <c r="M93" s="491" t="n"/>
      <c r="N93" s="491" t="n"/>
      <c r="O93" s="491" t="n"/>
      <c r="P93" s="491" t="n"/>
      <c r="Q93" s="491" t="n"/>
      <c r="R93" s="491" t="n"/>
      <c r="S93" s="491" t="n"/>
      <c r="T93" s="491" t="n"/>
      <c r="U93" s="491" t="n"/>
      <c r="V93" s="491" t="n"/>
      <c r="W93" s="491" t="n"/>
      <c r="X93" s="491" t="n"/>
      <c r="Y93" s="491" t="n"/>
    </row>
    <row r="94" ht="12.75" customHeight="1" s="398">
      <c r="A94" s="491" t="n"/>
      <c r="B94" s="491" t="n"/>
      <c r="C94" s="491" t="n"/>
      <c r="D94" s="491" t="n"/>
      <c r="E94" s="491" t="n"/>
      <c r="F94" s="491" t="n"/>
      <c r="G94" s="491" t="n"/>
      <c r="H94" s="491" t="n"/>
      <c r="I94" s="491" t="n"/>
      <c r="J94" s="491" t="n"/>
      <c r="K94" s="491" t="n"/>
      <c r="L94" s="491" t="n"/>
      <c r="M94" s="491" t="n"/>
      <c r="N94" s="491" t="n"/>
      <c r="O94" s="491" t="n"/>
      <c r="P94" s="491" t="n"/>
      <c r="Q94" s="491" t="n"/>
      <c r="R94" s="491" t="n"/>
      <c r="S94" s="491" t="n"/>
      <c r="T94" s="491" t="n"/>
      <c r="U94" s="491" t="n"/>
      <c r="V94" s="491" t="n"/>
      <c r="W94" s="491" t="n"/>
      <c r="X94" s="491" t="n"/>
      <c r="Y94" s="491" t="n"/>
    </row>
    <row r="95" ht="12.75" customHeight="1" s="398">
      <c r="A95" s="491" t="n"/>
      <c r="B95" s="491" t="n"/>
      <c r="C95" s="491" t="n"/>
      <c r="D95" s="491" t="n"/>
      <c r="E95" s="491" t="n"/>
      <c r="F95" s="491" t="n"/>
      <c r="G95" s="491" t="n"/>
      <c r="H95" s="491" t="n"/>
      <c r="I95" s="491" t="n"/>
      <c r="J95" s="491" t="n"/>
      <c r="K95" s="491" t="n"/>
      <c r="L95" s="491" t="n"/>
      <c r="M95" s="491" t="n"/>
      <c r="N95" s="491" t="n"/>
      <c r="O95" s="491" t="n"/>
      <c r="P95" s="491" t="n"/>
      <c r="Q95" s="491" t="n"/>
      <c r="R95" s="491" t="n"/>
      <c r="S95" s="491" t="n"/>
      <c r="T95" s="491" t="n"/>
      <c r="U95" s="491" t="n"/>
      <c r="V95" s="491" t="n"/>
      <c r="W95" s="491" t="n"/>
      <c r="X95" s="491" t="n"/>
      <c r="Y95" s="491" t="n"/>
    </row>
    <row r="96" ht="12.75" customHeight="1" s="398">
      <c r="A96" s="491" t="n"/>
      <c r="B96" s="491" t="n"/>
      <c r="C96" s="491" t="n"/>
      <c r="D96" s="491" t="n"/>
      <c r="E96" s="491" t="n"/>
      <c r="F96" s="491" t="n"/>
      <c r="G96" s="491" t="n"/>
      <c r="H96" s="491" t="n"/>
      <c r="I96" s="491" t="n"/>
      <c r="J96" s="491" t="n"/>
      <c r="K96" s="491" t="n"/>
      <c r="L96" s="491" t="n"/>
      <c r="M96" s="491" t="n"/>
      <c r="N96" s="491" t="n"/>
      <c r="O96" s="491" t="n"/>
      <c r="P96" s="491" t="n"/>
      <c r="Q96" s="491" t="n"/>
      <c r="R96" s="491" t="n"/>
      <c r="S96" s="491" t="n"/>
      <c r="T96" s="491" t="n"/>
      <c r="U96" s="491" t="n"/>
      <c r="V96" s="491" t="n"/>
      <c r="W96" s="491" t="n"/>
      <c r="X96" s="491" t="n"/>
      <c r="Y96" s="491" t="n"/>
    </row>
    <row r="97" ht="12.75" customHeight="1" s="398">
      <c r="A97" s="491" t="n"/>
      <c r="B97" s="491" t="n"/>
      <c r="C97" s="491" t="n"/>
      <c r="D97" s="491" t="n"/>
      <c r="E97" s="491" t="n"/>
      <c r="F97" s="491" t="n"/>
      <c r="G97" s="491" t="n"/>
      <c r="H97" s="491" t="n"/>
      <c r="I97" s="491" t="n"/>
      <c r="J97" s="491" t="n"/>
      <c r="K97" s="491" t="n"/>
      <c r="L97" s="491" t="n"/>
      <c r="M97" s="491" t="n"/>
      <c r="N97" s="491" t="n"/>
      <c r="O97" s="491" t="n"/>
      <c r="P97" s="491" t="n"/>
      <c r="Q97" s="491" t="n"/>
      <c r="R97" s="491" t="n"/>
      <c r="S97" s="491" t="n"/>
      <c r="T97" s="491" t="n"/>
      <c r="U97" s="491" t="n"/>
      <c r="V97" s="491" t="n"/>
      <c r="W97" s="491" t="n"/>
      <c r="X97" s="491" t="n"/>
      <c r="Y97" s="491" t="n"/>
    </row>
    <row r="98" ht="12.75" customHeight="1" s="398">
      <c r="A98" s="491" t="n"/>
      <c r="B98" s="491" t="n"/>
      <c r="C98" s="491" t="n"/>
      <c r="D98" s="491" t="n"/>
      <c r="E98" s="491" t="n"/>
      <c r="F98" s="491" t="n"/>
      <c r="G98" s="491" t="n"/>
      <c r="H98" s="491" t="n"/>
      <c r="I98" s="491" t="n"/>
      <c r="J98" s="491" t="n"/>
      <c r="K98" s="491" t="n"/>
      <c r="L98" s="491" t="n"/>
      <c r="M98" s="491" t="n"/>
      <c r="N98" s="491" t="n"/>
      <c r="O98" s="491" t="n"/>
      <c r="P98" s="491" t="n"/>
      <c r="Q98" s="491" t="n"/>
      <c r="R98" s="491" t="n"/>
      <c r="S98" s="491" t="n"/>
      <c r="T98" s="491" t="n"/>
      <c r="U98" s="491" t="n"/>
      <c r="V98" s="491" t="n"/>
      <c r="W98" s="491" t="n"/>
      <c r="X98" s="491" t="n"/>
      <c r="Y98" s="491" t="n"/>
    </row>
    <row r="99" ht="12.75" customHeight="1" s="398">
      <c r="A99" s="491" t="n"/>
      <c r="B99" s="491" t="n"/>
      <c r="C99" s="491" t="n"/>
      <c r="D99" s="491" t="n"/>
      <c r="E99" s="491" t="n"/>
      <c r="F99" s="491" t="n"/>
      <c r="G99" s="491" t="n"/>
      <c r="H99" s="491" t="n"/>
      <c r="I99" s="491" t="n"/>
      <c r="J99" s="491" t="n"/>
      <c r="K99" s="491" t="n"/>
      <c r="L99" s="491" t="n"/>
      <c r="M99" s="491" t="n"/>
      <c r="N99" s="491" t="n"/>
      <c r="O99" s="491" t="n"/>
      <c r="P99" s="491" t="n"/>
      <c r="Q99" s="491" t="n"/>
      <c r="R99" s="491" t="n"/>
      <c r="S99" s="491" t="n"/>
      <c r="T99" s="491" t="n"/>
      <c r="U99" s="491" t="n"/>
      <c r="V99" s="491" t="n"/>
      <c r="W99" s="491" t="n"/>
      <c r="X99" s="491" t="n"/>
      <c r="Y99" s="491" t="n"/>
    </row>
    <row r="100" ht="12.75" customHeight="1" s="398">
      <c r="A100" s="491" t="n"/>
      <c r="B100" s="491" t="n"/>
      <c r="C100" s="491" t="n"/>
      <c r="D100" s="491" t="n"/>
      <c r="E100" s="491" t="n"/>
      <c r="F100" s="491" t="n"/>
      <c r="G100" s="491" t="n"/>
      <c r="H100" s="491" t="n"/>
      <c r="I100" s="491" t="n"/>
      <c r="J100" s="491" t="n"/>
      <c r="K100" s="491" t="n"/>
      <c r="L100" s="491" t="n"/>
      <c r="M100" s="491" t="n"/>
      <c r="N100" s="491" t="n"/>
      <c r="O100" s="491" t="n"/>
      <c r="P100" s="491" t="n"/>
      <c r="Q100" s="491" t="n"/>
      <c r="R100" s="491" t="n"/>
      <c r="S100" s="491" t="n"/>
      <c r="T100" s="491" t="n"/>
      <c r="U100" s="491" t="n"/>
      <c r="V100" s="491" t="n"/>
      <c r="W100" s="491" t="n"/>
      <c r="X100" s="491" t="n"/>
      <c r="Y100" s="491" t="n"/>
    </row>
    <row r="101" ht="12.75" customHeight="1" s="398">
      <c r="A101" s="491" t="n"/>
      <c r="B101" s="491" t="n"/>
      <c r="C101" s="491" t="n"/>
      <c r="D101" s="491" t="n"/>
      <c r="E101" s="491" t="n"/>
      <c r="F101" s="491" t="n"/>
      <c r="G101" s="491" t="n"/>
      <c r="H101" s="491" t="n"/>
      <c r="I101" s="491" t="n"/>
      <c r="J101" s="491" t="n"/>
      <c r="K101" s="491" t="n"/>
      <c r="L101" s="491" t="n"/>
      <c r="M101" s="491" t="n"/>
      <c r="N101" s="491" t="n"/>
      <c r="O101" s="491" t="n"/>
      <c r="P101" s="491" t="n"/>
      <c r="Q101" s="491" t="n"/>
      <c r="R101" s="491" t="n"/>
      <c r="S101" s="491" t="n"/>
      <c r="T101" s="491" t="n"/>
      <c r="U101" s="491" t="n"/>
      <c r="V101" s="491" t="n"/>
      <c r="W101" s="491" t="n"/>
      <c r="X101" s="491" t="n"/>
      <c r="Y101" s="491" t="n"/>
    </row>
    <row r="102" ht="12.75" customHeight="1" s="398">
      <c r="A102" s="491" t="n"/>
      <c r="B102" s="491" t="n"/>
      <c r="C102" s="491" t="n"/>
      <c r="D102" s="491" t="n"/>
      <c r="E102" s="491" t="n"/>
      <c r="F102" s="491" t="n"/>
      <c r="G102" s="491" t="n"/>
      <c r="H102" s="491" t="n"/>
      <c r="I102" s="491" t="n"/>
      <c r="J102" s="491" t="n"/>
      <c r="K102" s="491" t="n"/>
      <c r="L102" s="491" t="n"/>
      <c r="M102" s="491" t="n"/>
      <c r="N102" s="491" t="n"/>
      <c r="O102" s="491" t="n"/>
      <c r="P102" s="491" t="n"/>
      <c r="Q102" s="491" t="n"/>
      <c r="R102" s="491" t="n"/>
      <c r="S102" s="491" t="n"/>
      <c r="T102" s="491" t="n"/>
      <c r="U102" s="491" t="n"/>
      <c r="V102" s="491" t="n"/>
      <c r="W102" s="491" t="n"/>
      <c r="X102" s="491" t="n"/>
      <c r="Y102" s="491" t="n"/>
    </row>
    <row r="103" ht="12.75" customHeight="1" s="398">
      <c r="A103" s="491" t="n"/>
      <c r="B103" s="491" t="n"/>
      <c r="C103" s="491" t="n"/>
      <c r="D103" s="491" t="n"/>
      <c r="E103" s="491" t="n"/>
      <c r="F103" s="491" t="n"/>
      <c r="G103" s="491" t="n"/>
      <c r="H103" s="491" t="n"/>
      <c r="I103" s="491" t="n"/>
      <c r="J103" s="491" t="n"/>
      <c r="K103" s="491" t="n"/>
      <c r="L103" s="491" t="n"/>
      <c r="M103" s="491" t="n"/>
      <c r="N103" s="491" t="n"/>
      <c r="O103" s="491" t="n"/>
      <c r="P103" s="491" t="n"/>
      <c r="Q103" s="491" t="n"/>
      <c r="R103" s="491" t="n"/>
      <c r="S103" s="491" t="n"/>
      <c r="T103" s="491" t="n"/>
      <c r="U103" s="491" t="n"/>
      <c r="V103" s="491" t="n"/>
      <c r="W103" s="491" t="n"/>
      <c r="X103" s="491" t="n"/>
      <c r="Y103" s="491" t="n"/>
    </row>
    <row r="104" ht="12.75" customHeight="1" s="398">
      <c r="A104" s="491" t="n"/>
      <c r="B104" s="491" t="n"/>
      <c r="C104" s="491" t="n"/>
      <c r="D104" s="491" t="n"/>
      <c r="E104" s="491" t="n"/>
      <c r="F104" s="491" t="n"/>
      <c r="G104" s="491" t="n"/>
      <c r="H104" s="491" t="n"/>
      <c r="I104" s="491" t="n"/>
      <c r="J104" s="491" t="n"/>
      <c r="K104" s="491" t="n"/>
      <c r="L104" s="491" t="n"/>
      <c r="M104" s="491" t="n"/>
      <c r="N104" s="491" t="n"/>
      <c r="O104" s="491" t="n"/>
      <c r="P104" s="491" t="n"/>
      <c r="Q104" s="491" t="n"/>
      <c r="R104" s="491" t="n"/>
      <c r="S104" s="491" t="n"/>
      <c r="T104" s="491" t="n"/>
      <c r="U104" s="491" t="n"/>
      <c r="V104" s="491" t="n"/>
      <c r="W104" s="491" t="n"/>
      <c r="X104" s="491" t="n"/>
      <c r="Y104" s="491" t="n"/>
    </row>
    <row r="105" ht="12.75" customHeight="1" s="398">
      <c r="A105" s="491" t="n"/>
      <c r="B105" s="491" t="n"/>
      <c r="C105" s="491" t="n"/>
      <c r="D105" s="491" t="n"/>
      <c r="E105" s="491" t="n"/>
      <c r="F105" s="491" t="n"/>
      <c r="G105" s="491" t="n"/>
      <c r="H105" s="491" t="n"/>
      <c r="I105" s="491" t="n"/>
      <c r="J105" s="491" t="n"/>
      <c r="K105" s="491" t="n"/>
      <c r="L105" s="491" t="n"/>
      <c r="M105" s="491" t="n"/>
      <c r="N105" s="491" t="n"/>
      <c r="O105" s="491" t="n"/>
      <c r="P105" s="491" t="n"/>
      <c r="Q105" s="491" t="n"/>
      <c r="R105" s="491" t="n"/>
      <c r="S105" s="491" t="n"/>
      <c r="T105" s="491" t="n"/>
      <c r="U105" s="491" t="n"/>
      <c r="V105" s="491" t="n"/>
      <c r="W105" s="491" t="n"/>
      <c r="X105" s="491" t="n"/>
      <c r="Y105" s="491" t="n"/>
    </row>
    <row r="106" ht="12.75" customHeight="1" s="398">
      <c r="A106" s="491" t="n"/>
      <c r="B106" s="491" t="n"/>
      <c r="C106" s="491" t="n"/>
      <c r="D106" s="491" t="n"/>
      <c r="E106" s="491" t="n"/>
      <c r="F106" s="491" t="n"/>
      <c r="G106" s="491" t="n"/>
      <c r="H106" s="491" t="n"/>
      <c r="I106" s="491" t="n"/>
      <c r="J106" s="491" t="n"/>
      <c r="K106" s="491" t="n"/>
      <c r="L106" s="491" t="n"/>
      <c r="M106" s="491" t="n"/>
      <c r="N106" s="491" t="n"/>
      <c r="O106" s="491" t="n"/>
      <c r="P106" s="491" t="n"/>
      <c r="Q106" s="491" t="n"/>
      <c r="R106" s="491" t="n"/>
      <c r="S106" s="491" t="n"/>
      <c r="T106" s="491" t="n"/>
      <c r="U106" s="491" t="n"/>
      <c r="V106" s="491" t="n"/>
      <c r="W106" s="491" t="n"/>
      <c r="X106" s="491" t="n"/>
      <c r="Y106" s="491" t="n"/>
    </row>
    <row r="107" ht="12.75" customHeight="1" s="398">
      <c r="A107" s="491" t="n"/>
      <c r="B107" s="491" t="n"/>
      <c r="C107" s="491" t="n"/>
      <c r="D107" s="491" t="n"/>
      <c r="E107" s="491" t="n"/>
      <c r="F107" s="491" t="n"/>
      <c r="G107" s="491" t="n"/>
      <c r="H107" s="491" t="n"/>
      <c r="I107" s="491" t="n"/>
      <c r="J107" s="491" t="n"/>
      <c r="K107" s="491" t="n"/>
      <c r="L107" s="491" t="n"/>
      <c r="M107" s="491" t="n"/>
      <c r="N107" s="491" t="n"/>
      <c r="O107" s="491" t="n"/>
      <c r="P107" s="491" t="n"/>
      <c r="Q107" s="491" t="n"/>
      <c r="R107" s="491" t="n"/>
      <c r="S107" s="491" t="n"/>
      <c r="T107" s="491" t="n"/>
      <c r="U107" s="491" t="n"/>
      <c r="V107" s="491" t="n"/>
      <c r="W107" s="491" t="n"/>
      <c r="X107" s="491" t="n"/>
      <c r="Y107" s="491" t="n"/>
    </row>
    <row r="108" ht="12.75" customHeight="1" s="398">
      <c r="A108" s="491" t="n"/>
      <c r="B108" s="491" t="n"/>
      <c r="C108" s="491" t="n"/>
      <c r="D108" s="491" t="n"/>
      <c r="E108" s="491" t="n"/>
      <c r="F108" s="491" t="n"/>
      <c r="G108" s="491" t="n"/>
      <c r="H108" s="491" t="n"/>
      <c r="I108" s="491" t="n"/>
      <c r="J108" s="491" t="n"/>
      <c r="K108" s="491" t="n"/>
      <c r="L108" s="491" t="n"/>
      <c r="M108" s="491" t="n"/>
      <c r="N108" s="491" t="n"/>
      <c r="O108" s="491" t="n"/>
      <c r="P108" s="491" t="n"/>
      <c r="Q108" s="491" t="n"/>
      <c r="R108" s="491" t="n"/>
      <c r="S108" s="491" t="n"/>
      <c r="T108" s="491" t="n"/>
      <c r="U108" s="491" t="n"/>
      <c r="V108" s="491" t="n"/>
      <c r="W108" s="491" t="n"/>
      <c r="X108" s="491" t="n"/>
      <c r="Y108" s="491" t="n"/>
    </row>
    <row r="109" ht="12.75" customHeight="1" s="398">
      <c r="A109" s="491" t="n"/>
      <c r="B109" s="491" t="n"/>
      <c r="C109" s="491" t="n"/>
      <c r="D109" s="491" t="n"/>
      <c r="E109" s="491" t="n"/>
      <c r="F109" s="491" t="n"/>
      <c r="G109" s="491" t="n"/>
      <c r="H109" s="491" t="n"/>
      <c r="I109" s="491" t="n"/>
      <c r="J109" s="491" t="n"/>
      <c r="K109" s="491" t="n"/>
      <c r="L109" s="491" t="n"/>
      <c r="M109" s="491" t="n"/>
      <c r="N109" s="491" t="n"/>
      <c r="O109" s="491" t="n"/>
      <c r="P109" s="491" t="n"/>
      <c r="Q109" s="491" t="n"/>
      <c r="R109" s="491" t="n"/>
      <c r="S109" s="491" t="n"/>
      <c r="T109" s="491" t="n"/>
      <c r="U109" s="491" t="n"/>
      <c r="V109" s="491" t="n"/>
      <c r="W109" s="491" t="n"/>
      <c r="X109" s="491" t="n"/>
      <c r="Y109" s="491" t="n"/>
    </row>
    <row r="110" ht="12.75" customHeight="1" s="398">
      <c r="A110" s="491" t="n"/>
      <c r="B110" s="491" t="n"/>
      <c r="C110" s="491" t="n"/>
      <c r="D110" s="491" t="n"/>
      <c r="E110" s="491" t="n"/>
      <c r="F110" s="491" t="n"/>
      <c r="G110" s="491" t="n"/>
      <c r="H110" s="491" t="n"/>
      <c r="I110" s="491" t="n"/>
      <c r="J110" s="491" t="n"/>
      <c r="K110" s="491" t="n"/>
      <c r="L110" s="491" t="n"/>
      <c r="M110" s="491" t="n"/>
      <c r="N110" s="491" t="n"/>
      <c r="O110" s="491" t="n"/>
      <c r="P110" s="491" t="n"/>
      <c r="Q110" s="491" t="n"/>
      <c r="R110" s="491" t="n"/>
      <c r="S110" s="491" t="n"/>
      <c r="T110" s="491" t="n"/>
      <c r="U110" s="491" t="n"/>
      <c r="V110" s="491" t="n"/>
      <c r="W110" s="491" t="n"/>
      <c r="X110" s="491" t="n"/>
      <c r="Y110" s="491" t="n"/>
    </row>
    <row r="111" ht="12.75" customHeight="1" s="398">
      <c r="A111" s="491" t="n"/>
      <c r="B111" s="491" t="n"/>
      <c r="C111" s="491" t="n"/>
      <c r="D111" s="491" t="n"/>
      <c r="E111" s="491" t="n"/>
      <c r="F111" s="491" t="n"/>
      <c r="G111" s="491" t="n"/>
      <c r="H111" s="491" t="n"/>
      <c r="I111" s="491" t="n"/>
      <c r="J111" s="491" t="n"/>
      <c r="K111" s="491" t="n"/>
      <c r="L111" s="491" t="n"/>
      <c r="M111" s="491" t="n"/>
      <c r="N111" s="491" t="n"/>
      <c r="O111" s="491" t="n"/>
      <c r="P111" s="491" t="n"/>
      <c r="Q111" s="491" t="n"/>
      <c r="R111" s="491" t="n"/>
      <c r="S111" s="491" t="n"/>
      <c r="T111" s="491" t="n"/>
      <c r="U111" s="491" t="n"/>
      <c r="V111" s="491" t="n"/>
      <c r="W111" s="491" t="n"/>
      <c r="X111" s="491" t="n"/>
      <c r="Y111" s="491" t="n"/>
    </row>
    <row r="112" ht="12.75" customHeight="1" s="398">
      <c r="A112" s="491" t="n"/>
      <c r="B112" s="491" t="n"/>
      <c r="C112" s="491" t="n"/>
      <c r="D112" s="491" t="n"/>
      <c r="E112" s="491" t="n"/>
      <c r="F112" s="491" t="n"/>
      <c r="G112" s="491" t="n"/>
      <c r="H112" s="491" t="n"/>
      <c r="I112" s="491" t="n"/>
      <c r="J112" s="491" t="n"/>
      <c r="K112" s="491" t="n"/>
      <c r="L112" s="491" t="n"/>
      <c r="M112" s="491" t="n"/>
      <c r="N112" s="491" t="n"/>
      <c r="O112" s="491" t="n"/>
      <c r="P112" s="491" t="n"/>
      <c r="Q112" s="491" t="n"/>
      <c r="R112" s="491" t="n"/>
      <c r="S112" s="491" t="n"/>
      <c r="T112" s="491" t="n"/>
      <c r="U112" s="491" t="n"/>
      <c r="V112" s="491" t="n"/>
      <c r="W112" s="491" t="n"/>
      <c r="X112" s="491" t="n"/>
      <c r="Y112" s="491" t="n"/>
    </row>
    <row r="113" ht="12.75" customHeight="1" s="398">
      <c r="A113" s="491" t="n"/>
      <c r="B113" s="491" t="n"/>
      <c r="C113" s="491" t="n"/>
      <c r="D113" s="491" t="n"/>
      <c r="E113" s="491" t="n"/>
      <c r="F113" s="491" t="n"/>
      <c r="G113" s="491" t="n"/>
      <c r="H113" s="491" t="n"/>
      <c r="I113" s="491" t="n"/>
      <c r="J113" s="491" t="n"/>
      <c r="K113" s="491" t="n"/>
      <c r="L113" s="491" t="n"/>
      <c r="M113" s="491" t="n"/>
      <c r="N113" s="491" t="n"/>
      <c r="O113" s="491" t="n"/>
      <c r="P113" s="491" t="n"/>
      <c r="Q113" s="491" t="n"/>
      <c r="R113" s="491" t="n"/>
      <c r="S113" s="491" t="n"/>
      <c r="T113" s="491" t="n"/>
      <c r="U113" s="491" t="n"/>
      <c r="V113" s="491" t="n"/>
      <c r="W113" s="491" t="n"/>
      <c r="X113" s="491" t="n"/>
      <c r="Y113" s="491" t="n"/>
    </row>
    <row r="114" ht="12.75" customHeight="1" s="398">
      <c r="A114" s="491" t="n"/>
      <c r="B114" s="491" t="n"/>
      <c r="C114" s="491" t="n"/>
      <c r="D114" s="491" t="n"/>
      <c r="E114" s="491" t="n"/>
      <c r="F114" s="491" t="n"/>
      <c r="G114" s="491" t="n"/>
      <c r="H114" s="491" t="n"/>
      <c r="I114" s="491" t="n"/>
      <c r="J114" s="491" t="n"/>
      <c r="K114" s="491" t="n"/>
      <c r="L114" s="491" t="n"/>
      <c r="M114" s="491" t="n"/>
      <c r="N114" s="491" t="n"/>
      <c r="O114" s="491" t="n"/>
      <c r="P114" s="491" t="n"/>
      <c r="Q114" s="491" t="n"/>
      <c r="R114" s="491" t="n"/>
      <c r="S114" s="491" t="n"/>
      <c r="T114" s="491" t="n"/>
      <c r="U114" s="491" t="n"/>
      <c r="V114" s="491" t="n"/>
      <c r="W114" s="491" t="n"/>
      <c r="X114" s="491" t="n"/>
      <c r="Y114" s="491" t="n"/>
    </row>
    <row r="115" ht="12.75" customHeight="1" s="398">
      <c r="A115" s="491" t="n"/>
      <c r="B115" s="491" t="n"/>
      <c r="C115" s="491" t="n"/>
      <c r="D115" s="491" t="n"/>
      <c r="E115" s="491" t="n"/>
      <c r="F115" s="491" t="n"/>
      <c r="G115" s="491" t="n"/>
      <c r="H115" s="491" t="n"/>
      <c r="I115" s="491" t="n"/>
      <c r="J115" s="491" t="n"/>
      <c r="K115" s="491" t="n"/>
      <c r="L115" s="491" t="n"/>
      <c r="M115" s="491" t="n"/>
      <c r="N115" s="491" t="n"/>
      <c r="O115" s="491" t="n"/>
      <c r="P115" s="491" t="n"/>
      <c r="Q115" s="491" t="n"/>
      <c r="R115" s="491" t="n"/>
      <c r="S115" s="491" t="n"/>
      <c r="T115" s="491" t="n"/>
      <c r="U115" s="491" t="n"/>
      <c r="V115" s="491" t="n"/>
      <c r="W115" s="491" t="n"/>
      <c r="X115" s="491" t="n"/>
      <c r="Y115" s="491" t="n"/>
    </row>
    <row r="116" ht="12.75" customHeight="1" s="398">
      <c r="A116" s="491" t="n"/>
      <c r="B116" s="491" t="n"/>
      <c r="C116" s="491" t="n"/>
      <c r="D116" s="491" t="n"/>
      <c r="E116" s="491" t="n"/>
      <c r="F116" s="491" t="n"/>
      <c r="G116" s="491" t="n"/>
      <c r="H116" s="491" t="n"/>
      <c r="I116" s="491" t="n"/>
      <c r="J116" s="491" t="n"/>
      <c r="K116" s="491" t="n"/>
      <c r="L116" s="491" t="n"/>
      <c r="M116" s="491" t="n"/>
      <c r="N116" s="491" t="n"/>
      <c r="O116" s="491" t="n"/>
      <c r="P116" s="491" t="n"/>
      <c r="Q116" s="491" t="n"/>
      <c r="R116" s="491" t="n"/>
      <c r="S116" s="491" t="n"/>
      <c r="T116" s="491" t="n"/>
      <c r="U116" s="491" t="n"/>
      <c r="V116" s="491" t="n"/>
      <c r="W116" s="491" t="n"/>
      <c r="X116" s="491" t="n"/>
      <c r="Y116" s="491" t="n"/>
    </row>
    <row r="117" ht="12.75" customHeight="1" s="398">
      <c r="A117" s="491" t="n"/>
      <c r="B117" s="491" t="n"/>
      <c r="C117" s="491" t="n"/>
      <c r="D117" s="491" t="n"/>
      <c r="E117" s="491" t="n"/>
      <c r="F117" s="491" t="n"/>
      <c r="G117" s="491" t="n"/>
      <c r="H117" s="491" t="n"/>
      <c r="I117" s="491" t="n"/>
      <c r="J117" s="491" t="n"/>
      <c r="K117" s="491" t="n"/>
      <c r="L117" s="491" t="n"/>
      <c r="M117" s="491" t="n"/>
      <c r="N117" s="491" t="n"/>
      <c r="O117" s="491" t="n"/>
      <c r="P117" s="491" t="n"/>
      <c r="Q117" s="491" t="n"/>
      <c r="R117" s="491" t="n"/>
      <c r="S117" s="491" t="n"/>
      <c r="T117" s="491" t="n"/>
      <c r="U117" s="491" t="n"/>
      <c r="V117" s="491" t="n"/>
      <c r="W117" s="491" t="n"/>
      <c r="X117" s="491" t="n"/>
      <c r="Y117" s="491" t="n"/>
    </row>
    <row r="118" ht="12.75" customHeight="1" s="398">
      <c r="A118" s="491" t="n"/>
      <c r="B118" s="491" t="n"/>
      <c r="C118" s="491" t="n"/>
      <c r="D118" s="491" t="n"/>
      <c r="E118" s="491" t="n"/>
      <c r="F118" s="491" t="n"/>
      <c r="G118" s="491" t="n"/>
      <c r="H118" s="491" t="n"/>
      <c r="I118" s="491" t="n"/>
      <c r="J118" s="491" t="n"/>
      <c r="K118" s="491" t="n"/>
      <c r="L118" s="491" t="n"/>
      <c r="M118" s="491" t="n"/>
      <c r="N118" s="491" t="n"/>
      <c r="O118" s="491" t="n"/>
      <c r="P118" s="491" t="n"/>
      <c r="Q118" s="491" t="n"/>
      <c r="R118" s="491" t="n"/>
      <c r="S118" s="491" t="n"/>
      <c r="T118" s="491" t="n"/>
      <c r="U118" s="491" t="n"/>
      <c r="V118" s="491" t="n"/>
      <c r="W118" s="491" t="n"/>
      <c r="X118" s="491" t="n"/>
      <c r="Y118" s="491" t="n"/>
    </row>
    <row r="119" ht="12.75" customHeight="1" s="398">
      <c r="A119" s="491" t="n"/>
      <c r="B119" s="491" t="n"/>
      <c r="C119" s="491" t="n"/>
      <c r="D119" s="491" t="n"/>
      <c r="E119" s="491" t="n"/>
      <c r="F119" s="491" t="n"/>
      <c r="G119" s="491" t="n"/>
      <c r="H119" s="491" t="n"/>
      <c r="I119" s="491" t="n"/>
      <c r="J119" s="491" t="n"/>
      <c r="K119" s="491" t="n"/>
      <c r="L119" s="491" t="n"/>
      <c r="M119" s="491" t="n"/>
      <c r="N119" s="491" t="n"/>
      <c r="O119" s="491" t="n"/>
      <c r="P119" s="491" t="n"/>
      <c r="Q119" s="491" t="n"/>
      <c r="R119" s="491" t="n"/>
      <c r="S119" s="491" t="n"/>
      <c r="T119" s="491" t="n"/>
      <c r="U119" s="491" t="n"/>
      <c r="V119" s="491" t="n"/>
      <c r="W119" s="491" t="n"/>
      <c r="X119" s="491" t="n"/>
      <c r="Y119" s="491" t="n"/>
    </row>
    <row r="120" ht="12.75" customHeight="1" s="398">
      <c r="A120" s="491" t="n"/>
      <c r="B120" s="491" t="n"/>
      <c r="C120" s="491" t="n"/>
      <c r="D120" s="491" t="n"/>
      <c r="E120" s="491" t="n"/>
      <c r="F120" s="491" t="n"/>
      <c r="G120" s="491" t="n"/>
      <c r="H120" s="491" t="n"/>
      <c r="I120" s="491" t="n"/>
      <c r="J120" s="491" t="n"/>
      <c r="K120" s="491" t="n"/>
      <c r="L120" s="491" t="n"/>
      <c r="M120" s="491" t="n"/>
      <c r="N120" s="491" t="n"/>
      <c r="O120" s="491" t="n"/>
      <c r="P120" s="491" t="n"/>
      <c r="Q120" s="491" t="n"/>
      <c r="R120" s="491" t="n"/>
      <c r="S120" s="491" t="n"/>
      <c r="T120" s="491" t="n"/>
      <c r="U120" s="491" t="n"/>
      <c r="V120" s="491" t="n"/>
      <c r="W120" s="491" t="n"/>
      <c r="X120" s="491" t="n"/>
      <c r="Y120" s="491" t="n"/>
    </row>
    <row r="121" ht="12.75" customHeight="1" s="398">
      <c r="A121" s="491" t="n"/>
      <c r="B121" s="491" t="n"/>
      <c r="C121" s="491" t="n"/>
      <c r="D121" s="491" t="n"/>
      <c r="E121" s="491" t="n"/>
      <c r="F121" s="491" t="n"/>
      <c r="G121" s="491" t="n"/>
      <c r="H121" s="491" t="n"/>
      <c r="I121" s="491" t="n"/>
      <c r="J121" s="491" t="n"/>
      <c r="K121" s="491" t="n"/>
      <c r="L121" s="491" t="n"/>
      <c r="M121" s="491" t="n"/>
      <c r="N121" s="491" t="n"/>
      <c r="O121" s="491" t="n"/>
      <c r="P121" s="491" t="n"/>
      <c r="Q121" s="491" t="n"/>
      <c r="R121" s="491" t="n"/>
      <c r="S121" s="491" t="n"/>
      <c r="T121" s="491" t="n"/>
      <c r="U121" s="491" t="n"/>
      <c r="V121" s="491" t="n"/>
      <c r="W121" s="491" t="n"/>
      <c r="X121" s="491" t="n"/>
      <c r="Y121" s="491" t="n"/>
    </row>
    <row r="122" ht="12.75" customHeight="1" s="398">
      <c r="A122" s="491" t="n"/>
      <c r="B122" s="491" t="n"/>
      <c r="C122" s="491" t="n"/>
      <c r="D122" s="491" t="n"/>
      <c r="E122" s="491" t="n"/>
      <c r="F122" s="491" t="n"/>
      <c r="G122" s="491" t="n"/>
      <c r="H122" s="491" t="n"/>
      <c r="I122" s="491" t="n"/>
      <c r="J122" s="491" t="n"/>
      <c r="K122" s="491" t="n"/>
      <c r="L122" s="491" t="n"/>
      <c r="M122" s="491" t="n"/>
      <c r="N122" s="491" t="n"/>
      <c r="O122" s="491" t="n"/>
      <c r="P122" s="491" t="n"/>
      <c r="Q122" s="491" t="n"/>
      <c r="R122" s="491" t="n"/>
      <c r="S122" s="491" t="n"/>
      <c r="T122" s="491" t="n"/>
      <c r="U122" s="491" t="n"/>
      <c r="V122" s="491" t="n"/>
      <c r="W122" s="491" t="n"/>
      <c r="X122" s="491" t="n"/>
      <c r="Y122" s="491" t="n"/>
    </row>
    <row r="123" ht="12.75" customHeight="1" s="398">
      <c r="A123" s="491" t="n"/>
      <c r="B123" s="491" t="n"/>
      <c r="C123" s="491" t="n"/>
      <c r="D123" s="491" t="n"/>
      <c r="E123" s="491" t="n"/>
      <c r="F123" s="491" t="n"/>
      <c r="G123" s="491" t="n"/>
      <c r="H123" s="491" t="n"/>
      <c r="I123" s="491" t="n"/>
      <c r="J123" s="491" t="n"/>
      <c r="K123" s="491" t="n"/>
      <c r="L123" s="491" t="n"/>
      <c r="M123" s="491" t="n"/>
      <c r="N123" s="491" t="n"/>
      <c r="O123" s="491" t="n"/>
      <c r="P123" s="491" t="n"/>
      <c r="Q123" s="491" t="n"/>
      <c r="R123" s="491" t="n"/>
      <c r="S123" s="491" t="n"/>
      <c r="T123" s="491" t="n"/>
      <c r="U123" s="491" t="n"/>
      <c r="V123" s="491" t="n"/>
      <c r="W123" s="491" t="n"/>
      <c r="X123" s="491" t="n"/>
      <c r="Y123" s="491" t="n"/>
    </row>
    <row r="124" ht="12.75" customHeight="1" s="398">
      <c r="A124" s="491" t="n"/>
      <c r="B124" s="491" t="n"/>
      <c r="C124" s="491" t="n"/>
      <c r="D124" s="491" t="n"/>
      <c r="E124" s="491" t="n"/>
      <c r="F124" s="491" t="n"/>
      <c r="G124" s="491" t="n"/>
      <c r="H124" s="491" t="n"/>
      <c r="I124" s="491" t="n"/>
      <c r="J124" s="491" t="n"/>
      <c r="K124" s="491" t="n"/>
      <c r="L124" s="491" t="n"/>
      <c r="M124" s="491" t="n"/>
      <c r="N124" s="491" t="n"/>
      <c r="O124" s="491" t="n"/>
      <c r="P124" s="491" t="n"/>
      <c r="Q124" s="491" t="n"/>
      <c r="R124" s="491" t="n"/>
      <c r="S124" s="491" t="n"/>
      <c r="T124" s="491" t="n"/>
      <c r="U124" s="491" t="n"/>
      <c r="V124" s="491" t="n"/>
      <c r="W124" s="491" t="n"/>
      <c r="X124" s="491" t="n"/>
      <c r="Y124" s="491" t="n"/>
    </row>
    <row r="125" ht="12.75" customHeight="1" s="398">
      <c r="A125" s="491" t="n"/>
      <c r="B125" s="491" t="n"/>
      <c r="C125" s="491" t="n"/>
      <c r="D125" s="491" t="n"/>
      <c r="E125" s="491" t="n"/>
      <c r="F125" s="491" t="n"/>
      <c r="G125" s="491" t="n"/>
      <c r="H125" s="491" t="n"/>
      <c r="I125" s="491" t="n"/>
      <c r="J125" s="491" t="n"/>
      <c r="K125" s="491" t="n"/>
      <c r="L125" s="491" t="n"/>
      <c r="M125" s="491" t="n"/>
      <c r="N125" s="491" t="n"/>
      <c r="O125" s="491" t="n"/>
      <c r="P125" s="491" t="n"/>
      <c r="Q125" s="491" t="n"/>
      <c r="R125" s="491" t="n"/>
      <c r="S125" s="491" t="n"/>
      <c r="T125" s="491" t="n"/>
      <c r="U125" s="491" t="n"/>
      <c r="V125" s="491" t="n"/>
      <c r="W125" s="491" t="n"/>
      <c r="X125" s="491" t="n"/>
      <c r="Y125" s="491" t="n"/>
    </row>
    <row r="126" ht="12.75" customHeight="1" s="398">
      <c r="A126" s="491" t="n"/>
      <c r="B126" s="491" t="n"/>
      <c r="C126" s="491" t="n"/>
      <c r="D126" s="491" t="n"/>
      <c r="E126" s="491" t="n"/>
      <c r="F126" s="491" t="n"/>
      <c r="G126" s="491" t="n"/>
      <c r="H126" s="491" t="n"/>
      <c r="I126" s="491" t="n"/>
      <c r="J126" s="491" t="n"/>
      <c r="K126" s="491" t="n"/>
      <c r="L126" s="491" t="n"/>
      <c r="M126" s="491" t="n"/>
      <c r="N126" s="491" t="n"/>
      <c r="O126" s="491" t="n"/>
      <c r="P126" s="491" t="n"/>
      <c r="Q126" s="491" t="n"/>
      <c r="R126" s="491" t="n"/>
      <c r="S126" s="491" t="n"/>
      <c r="T126" s="491" t="n"/>
      <c r="U126" s="491" t="n"/>
      <c r="V126" s="491" t="n"/>
      <c r="W126" s="491" t="n"/>
      <c r="X126" s="491" t="n"/>
      <c r="Y126" s="491" t="n"/>
    </row>
    <row r="127" ht="12.75" customHeight="1" s="398">
      <c r="A127" s="491" t="n"/>
      <c r="B127" s="491" t="n"/>
      <c r="C127" s="491" t="n"/>
      <c r="D127" s="491" t="n"/>
      <c r="E127" s="491" t="n"/>
      <c r="F127" s="491" t="n"/>
      <c r="G127" s="491" t="n"/>
      <c r="H127" s="491" t="n"/>
      <c r="I127" s="491" t="n"/>
      <c r="J127" s="491" t="n"/>
      <c r="K127" s="491" t="n"/>
      <c r="L127" s="491" t="n"/>
      <c r="M127" s="491" t="n"/>
      <c r="N127" s="491" t="n"/>
      <c r="O127" s="491" t="n"/>
      <c r="P127" s="491" t="n"/>
      <c r="Q127" s="491" t="n"/>
      <c r="R127" s="491" t="n"/>
      <c r="S127" s="491" t="n"/>
      <c r="T127" s="491" t="n"/>
      <c r="U127" s="491" t="n"/>
      <c r="V127" s="491" t="n"/>
      <c r="W127" s="491" t="n"/>
      <c r="X127" s="491" t="n"/>
      <c r="Y127" s="491" t="n"/>
    </row>
    <row r="128" ht="12.75" customHeight="1" s="398">
      <c r="A128" s="491" t="n"/>
      <c r="B128" s="491" t="n"/>
      <c r="C128" s="491" t="n"/>
      <c r="D128" s="491" t="n"/>
      <c r="E128" s="491" t="n"/>
      <c r="F128" s="491" t="n"/>
      <c r="G128" s="491" t="n"/>
      <c r="H128" s="491" t="n"/>
      <c r="I128" s="491" t="n"/>
      <c r="J128" s="491" t="n"/>
      <c r="K128" s="491" t="n"/>
      <c r="L128" s="491" t="n"/>
      <c r="M128" s="491" t="n"/>
      <c r="N128" s="491" t="n"/>
      <c r="O128" s="491" t="n"/>
      <c r="P128" s="491" t="n"/>
      <c r="Q128" s="491" t="n"/>
      <c r="R128" s="491" t="n"/>
      <c r="S128" s="491" t="n"/>
      <c r="T128" s="491" t="n"/>
      <c r="U128" s="491" t="n"/>
      <c r="V128" s="491" t="n"/>
      <c r="W128" s="491" t="n"/>
      <c r="X128" s="491" t="n"/>
      <c r="Y128" s="491" t="n"/>
    </row>
    <row r="129" ht="12.75" customHeight="1" s="398">
      <c r="A129" s="491" t="n"/>
      <c r="B129" s="491" t="n"/>
      <c r="C129" s="491" t="n"/>
      <c r="D129" s="491" t="n"/>
      <c r="E129" s="491" t="n"/>
      <c r="F129" s="491" t="n"/>
      <c r="G129" s="491" t="n"/>
      <c r="H129" s="491" t="n"/>
      <c r="I129" s="491" t="n"/>
      <c r="J129" s="491" t="n"/>
      <c r="K129" s="491" t="n"/>
      <c r="L129" s="491" t="n"/>
      <c r="M129" s="491" t="n"/>
      <c r="N129" s="491" t="n"/>
      <c r="O129" s="491" t="n"/>
      <c r="P129" s="491" t="n"/>
      <c r="Q129" s="491" t="n"/>
      <c r="R129" s="491" t="n"/>
      <c r="S129" s="491" t="n"/>
      <c r="T129" s="491" t="n"/>
      <c r="U129" s="491" t="n"/>
      <c r="V129" s="491" t="n"/>
      <c r="W129" s="491" t="n"/>
      <c r="X129" s="491" t="n"/>
      <c r="Y129" s="491" t="n"/>
    </row>
    <row r="130" ht="12.75" customHeight="1" s="398">
      <c r="A130" s="491" t="n"/>
      <c r="B130" s="491" t="n"/>
      <c r="C130" s="491" t="n"/>
      <c r="D130" s="491" t="n"/>
      <c r="E130" s="491" t="n"/>
      <c r="F130" s="491" t="n"/>
      <c r="G130" s="491" t="n"/>
      <c r="H130" s="491" t="n"/>
      <c r="I130" s="491" t="n"/>
      <c r="J130" s="491" t="n"/>
      <c r="K130" s="491" t="n"/>
      <c r="L130" s="491" t="n"/>
      <c r="M130" s="491" t="n"/>
      <c r="N130" s="491" t="n"/>
      <c r="O130" s="491" t="n"/>
      <c r="P130" s="491" t="n"/>
      <c r="Q130" s="491" t="n"/>
      <c r="R130" s="491" t="n"/>
      <c r="S130" s="491" t="n"/>
      <c r="T130" s="491" t="n"/>
      <c r="U130" s="491" t="n"/>
      <c r="V130" s="491" t="n"/>
      <c r="W130" s="491" t="n"/>
      <c r="X130" s="491" t="n"/>
      <c r="Y130" s="491" t="n"/>
    </row>
    <row r="131" ht="12.75" customHeight="1" s="398">
      <c r="A131" s="491" t="n"/>
      <c r="B131" s="491" t="n"/>
      <c r="C131" s="491" t="n"/>
      <c r="D131" s="491" t="n"/>
      <c r="E131" s="491" t="n"/>
      <c r="F131" s="491" t="n"/>
      <c r="G131" s="491" t="n"/>
      <c r="H131" s="491" t="n"/>
      <c r="I131" s="491" t="n"/>
      <c r="J131" s="491" t="n"/>
      <c r="K131" s="491" t="n"/>
      <c r="L131" s="491" t="n"/>
      <c r="M131" s="491" t="n"/>
      <c r="N131" s="491" t="n"/>
      <c r="O131" s="491" t="n"/>
      <c r="P131" s="491" t="n"/>
      <c r="Q131" s="491" t="n"/>
      <c r="R131" s="491" t="n"/>
      <c r="S131" s="491" t="n"/>
      <c r="T131" s="491" t="n"/>
      <c r="U131" s="491" t="n"/>
      <c r="V131" s="491" t="n"/>
      <c r="W131" s="491" t="n"/>
      <c r="X131" s="491" t="n"/>
      <c r="Y131" s="491" t="n"/>
    </row>
    <row r="132" ht="12.75" customHeight="1" s="398">
      <c r="A132" s="491" t="n"/>
      <c r="B132" s="491" t="n"/>
      <c r="C132" s="491" t="n"/>
      <c r="D132" s="491" t="n"/>
      <c r="E132" s="491" t="n"/>
      <c r="F132" s="491" t="n"/>
      <c r="G132" s="491" t="n"/>
      <c r="H132" s="491" t="n"/>
      <c r="I132" s="491" t="n"/>
      <c r="J132" s="491" t="n"/>
      <c r="K132" s="491" t="n"/>
      <c r="L132" s="491" t="n"/>
      <c r="M132" s="491" t="n"/>
      <c r="N132" s="491" t="n"/>
      <c r="O132" s="491" t="n"/>
      <c r="P132" s="491" t="n"/>
      <c r="Q132" s="491" t="n"/>
      <c r="R132" s="491" t="n"/>
      <c r="S132" s="491" t="n"/>
      <c r="T132" s="491" t="n"/>
      <c r="U132" s="491" t="n"/>
      <c r="V132" s="491" t="n"/>
      <c r="W132" s="491" t="n"/>
      <c r="X132" s="491" t="n"/>
      <c r="Y132" s="491" t="n"/>
    </row>
    <row r="133" ht="12.75" customHeight="1" s="398">
      <c r="A133" s="491" t="n"/>
      <c r="B133" s="491" t="n"/>
      <c r="C133" s="491" t="n"/>
      <c r="D133" s="491" t="n"/>
      <c r="E133" s="491" t="n"/>
      <c r="F133" s="491" t="n"/>
      <c r="G133" s="491" t="n"/>
      <c r="H133" s="491" t="n"/>
      <c r="I133" s="491" t="n"/>
      <c r="J133" s="491" t="n"/>
      <c r="K133" s="491" t="n"/>
      <c r="L133" s="491" t="n"/>
      <c r="M133" s="491" t="n"/>
      <c r="N133" s="491" t="n"/>
      <c r="O133" s="491" t="n"/>
      <c r="P133" s="491" t="n"/>
      <c r="Q133" s="491" t="n"/>
      <c r="R133" s="491" t="n"/>
      <c r="S133" s="491" t="n"/>
      <c r="T133" s="491" t="n"/>
      <c r="U133" s="491" t="n"/>
      <c r="V133" s="491" t="n"/>
      <c r="W133" s="491" t="n"/>
      <c r="X133" s="491" t="n"/>
      <c r="Y133" s="491" t="n"/>
    </row>
    <row r="134" ht="12.75" customHeight="1" s="398">
      <c r="A134" s="491" t="n"/>
      <c r="B134" s="491" t="n"/>
      <c r="C134" s="491" t="n"/>
      <c r="D134" s="491" t="n"/>
      <c r="E134" s="491" t="n"/>
      <c r="F134" s="491" t="n"/>
      <c r="G134" s="491" t="n"/>
      <c r="H134" s="491" t="n"/>
      <c r="I134" s="491" t="n"/>
      <c r="J134" s="491" t="n"/>
      <c r="K134" s="491" t="n"/>
      <c r="L134" s="491" t="n"/>
      <c r="M134" s="491" t="n"/>
      <c r="N134" s="491" t="n"/>
      <c r="O134" s="491" t="n"/>
      <c r="P134" s="491" t="n"/>
      <c r="Q134" s="491" t="n"/>
      <c r="R134" s="491" t="n"/>
      <c r="S134" s="491" t="n"/>
      <c r="T134" s="491" t="n"/>
      <c r="U134" s="491" t="n"/>
      <c r="V134" s="491" t="n"/>
      <c r="W134" s="491" t="n"/>
      <c r="X134" s="491" t="n"/>
      <c r="Y134" s="491" t="n"/>
    </row>
    <row r="135" ht="12.75" customHeight="1" s="398">
      <c r="A135" s="491" t="n"/>
      <c r="B135" s="491" t="n"/>
      <c r="C135" s="491" t="n"/>
      <c r="D135" s="491" t="n"/>
      <c r="E135" s="491" t="n"/>
      <c r="F135" s="491" t="n"/>
      <c r="G135" s="491" t="n"/>
      <c r="H135" s="491" t="n"/>
      <c r="I135" s="491" t="n"/>
      <c r="J135" s="491" t="n"/>
      <c r="K135" s="491" t="n"/>
      <c r="L135" s="491" t="n"/>
      <c r="M135" s="491" t="n"/>
      <c r="N135" s="491" t="n"/>
      <c r="O135" s="491" t="n"/>
      <c r="P135" s="491" t="n"/>
      <c r="Q135" s="491" t="n"/>
      <c r="R135" s="491" t="n"/>
      <c r="S135" s="491" t="n"/>
      <c r="T135" s="491" t="n"/>
      <c r="U135" s="491" t="n"/>
      <c r="V135" s="491" t="n"/>
      <c r="W135" s="491" t="n"/>
      <c r="X135" s="491" t="n"/>
      <c r="Y135" s="491" t="n"/>
    </row>
    <row r="136" ht="12.75" customHeight="1" s="398">
      <c r="A136" s="491" t="n"/>
      <c r="B136" s="491" t="n"/>
      <c r="C136" s="491" t="n"/>
      <c r="D136" s="491" t="n"/>
      <c r="E136" s="491" t="n"/>
      <c r="F136" s="491" t="n"/>
      <c r="G136" s="491" t="n"/>
      <c r="H136" s="491" t="n"/>
      <c r="I136" s="491" t="n"/>
      <c r="J136" s="491" t="n"/>
      <c r="K136" s="491" t="n"/>
      <c r="L136" s="491" t="n"/>
      <c r="M136" s="491" t="n"/>
      <c r="N136" s="491" t="n"/>
      <c r="O136" s="491" t="n"/>
      <c r="P136" s="491" t="n"/>
      <c r="Q136" s="491" t="n"/>
      <c r="R136" s="491" t="n"/>
      <c r="S136" s="491" t="n"/>
      <c r="T136" s="491" t="n"/>
      <c r="U136" s="491" t="n"/>
      <c r="V136" s="491" t="n"/>
      <c r="W136" s="491" t="n"/>
      <c r="X136" s="491" t="n"/>
      <c r="Y136" s="491" t="n"/>
    </row>
    <row r="137" ht="12.75" customHeight="1" s="398">
      <c r="A137" s="491" t="n"/>
      <c r="B137" s="491" t="n"/>
      <c r="C137" s="491" t="n"/>
      <c r="D137" s="491" t="n"/>
      <c r="E137" s="491" t="n"/>
      <c r="F137" s="491" t="n"/>
      <c r="G137" s="491" t="n"/>
      <c r="H137" s="491" t="n"/>
      <c r="I137" s="491" t="n"/>
      <c r="J137" s="491" t="n"/>
      <c r="K137" s="491" t="n"/>
      <c r="L137" s="491" t="n"/>
      <c r="M137" s="491" t="n"/>
      <c r="N137" s="491" t="n"/>
      <c r="O137" s="491" t="n"/>
      <c r="P137" s="491" t="n"/>
      <c r="Q137" s="491" t="n"/>
      <c r="R137" s="491" t="n"/>
      <c r="S137" s="491" t="n"/>
      <c r="T137" s="491" t="n"/>
      <c r="U137" s="491" t="n"/>
      <c r="V137" s="491" t="n"/>
      <c r="W137" s="491" t="n"/>
      <c r="X137" s="491" t="n"/>
      <c r="Y137" s="491" t="n"/>
    </row>
    <row r="138" ht="12.75" customHeight="1" s="398">
      <c r="A138" s="491" t="n"/>
      <c r="B138" s="491" t="n"/>
      <c r="C138" s="491" t="n"/>
      <c r="D138" s="491" t="n"/>
      <c r="E138" s="491" t="n"/>
      <c r="F138" s="491" t="n"/>
      <c r="G138" s="491" t="n"/>
      <c r="H138" s="491" t="n"/>
      <c r="I138" s="491" t="n"/>
      <c r="J138" s="491" t="n"/>
      <c r="K138" s="491" t="n"/>
      <c r="L138" s="491" t="n"/>
      <c r="M138" s="491" t="n"/>
      <c r="N138" s="491" t="n"/>
      <c r="O138" s="491" t="n"/>
      <c r="P138" s="491" t="n"/>
      <c r="Q138" s="491" t="n"/>
      <c r="R138" s="491" t="n"/>
      <c r="S138" s="491" t="n"/>
      <c r="T138" s="491" t="n"/>
      <c r="U138" s="491" t="n"/>
      <c r="V138" s="491" t="n"/>
      <c r="W138" s="491" t="n"/>
      <c r="X138" s="491" t="n"/>
      <c r="Y138" s="491" t="n"/>
    </row>
    <row r="139" ht="12.75" customHeight="1" s="398">
      <c r="A139" s="491" t="n"/>
      <c r="B139" s="491" t="n"/>
      <c r="C139" s="491" t="n"/>
      <c r="D139" s="491" t="n"/>
      <c r="E139" s="491" t="n"/>
      <c r="F139" s="491" t="n"/>
      <c r="G139" s="491" t="n"/>
      <c r="H139" s="491" t="n"/>
      <c r="I139" s="491" t="n"/>
      <c r="J139" s="491" t="n"/>
      <c r="K139" s="491" t="n"/>
      <c r="L139" s="491" t="n"/>
      <c r="M139" s="491" t="n"/>
      <c r="N139" s="491" t="n"/>
      <c r="O139" s="491" t="n"/>
      <c r="P139" s="491" t="n"/>
      <c r="Q139" s="491" t="n"/>
      <c r="R139" s="491" t="n"/>
      <c r="S139" s="491" t="n"/>
      <c r="T139" s="491" t="n"/>
      <c r="U139" s="491" t="n"/>
      <c r="V139" s="491" t="n"/>
      <c r="W139" s="491" t="n"/>
      <c r="X139" s="491" t="n"/>
      <c r="Y139" s="491" t="n"/>
    </row>
    <row r="140" ht="12.75" customHeight="1" s="398">
      <c r="A140" s="491" t="n"/>
      <c r="B140" s="491" t="n"/>
      <c r="C140" s="491" t="n"/>
      <c r="D140" s="491" t="n"/>
      <c r="E140" s="491" t="n"/>
      <c r="F140" s="491" t="n"/>
      <c r="G140" s="491" t="n"/>
      <c r="H140" s="491" t="n"/>
      <c r="I140" s="491" t="n"/>
      <c r="J140" s="491" t="n"/>
      <c r="K140" s="491" t="n"/>
      <c r="L140" s="491" t="n"/>
      <c r="M140" s="491" t="n"/>
      <c r="N140" s="491" t="n"/>
      <c r="O140" s="491" t="n"/>
      <c r="P140" s="491" t="n"/>
      <c r="Q140" s="491" t="n"/>
      <c r="R140" s="491" t="n"/>
      <c r="S140" s="491" t="n"/>
      <c r="T140" s="491" t="n"/>
      <c r="U140" s="491" t="n"/>
      <c r="V140" s="491" t="n"/>
      <c r="W140" s="491" t="n"/>
      <c r="X140" s="491" t="n"/>
      <c r="Y140" s="491" t="n"/>
    </row>
    <row r="141" ht="12.75" customHeight="1" s="398">
      <c r="A141" s="491" t="n"/>
      <c r="B141" s="491" t="n"/>
      <c r="C141" s="491" t="n"/>
      <c r="D141" s="491" t="n"/>
      <c r="E141" s="491" t="n"/>
      <c r="F141" s="491" t="n"/>
      <c r="G141" s="491" t="n"/>
      <c r="H141" s="491" t="n"/>
      <c r="I141" s="491" t="n"/>
      <c r="J141" s="491" t="n"/>
      <c r="K141" s="491" t="n"/>
      <c r="L141" s="491" t="n"/>
      <c r="M141" s="491" t="n"/>
      <c r="N141" s="491" t="n"/>
      <c r="O141" s="491" t="n"/>
      <c r="P141" s="491" t="n"/>
      <c r="Q141" s="491" t="n"/>
      <c r="R141" s="491" t="n"/>
      <c r="S141" s="491" t="n"/>
      <c r="T141" s="491" t="n"/>
      <c r="U141" s="491" t="n"/>
      <c r="V141" s="491" t="n"/>
      <c r="W141" s="491" t="n"/>
      <c r="X141" s="491" t="n"/>
      <c r="Y141" s="491" t="n"/>
    </row>
    <row r="142" ht="12.75" customHeight="1" s="398">
      <c r="A142" s="491" t="n"/>
      <c r="B142" s="491" t="n"/>
      <c r="C142" s="491" t="n"/>
      <c r="D142" s="491" t="n"/>
      <c r="E142" s="491" t="n"/>
      <c r="F142" s="491" t="n"/>
      <c r="G142" s="491" t="n"/>
      <c r="H142" s="491" t="n"/>
      <c r="I142" s="491" t="n"/>
      <c r="J142" s="491" t="n"/>
      <c r="K142" s="491" t="n"/>
      <c r="L142" s="491" t="n"/>
      <c r="M142" s="491" t="n"/>
      <c r="N142" s="491" t="n"/>
      <c r="O142" s="491" t="n"/>
      <c r="P142" s="491" t="n"/>
      <c r="Q142" s="491" t="n"/>
      <c r="R142" s="491" t="n"/>
      <c r="S142" s="491" t="n"/>
      <c r="T142" s="491" t="n"/>
      <c r="U142" s="491" t="n"/>
      <c r="V142" s="491" t="n"/>
      <c r="W142" s="491" t="n"/>
      <c r="X142" s="491" t="n"/>
      <c r="Y142" s="491" t="n"/>
    </row>
    <row r="143" ht="12.75" customHeight="1" s="398">
      <c r="A143" s="491" t="n"/>
      <c r="B143" s="491" t="n"/>
      <c r="C143" s="491" t="n"/>
      <c r="D143" s="491" t="n"/>
      <c r="E143" s="491" t="n"/>
      <c r="F143" s="491" t="n"/>
      <c r="G143" s="491" t="n"/>
      <c r="H143" s="491" t="n"/>
      <c r="I143" s="491" t="n"/>
      <c r="J143" s="491" t="n"/>
      <c r="K143" s="491" t="n"/>
      <c r="L143" s="491" t="n"/>
      <c r="M143" s="491" t="n"/>
      <c r="N143" s="491" t="n"/>
      <c r="O143" s="491" t="n"/>
      <c r="P143" s="491" t="n"/>
      <c r="Q143" s="491" t="n"/>
      <c r="R143" s="491" t="n"/>
      <c r="S143" s="491" t="n"/>
      <c r="T143" s="491" t="n"/>
      <c r="U143" s="491" t="n"/>
      <c r="V143" s="491" t="n"/>
      <c r="W143" s="491" t="n"/>
      <c r="X143" s="491" t="n"/>
      <c r="Y143" s="491" t="n"/>
    </row>
    <row r="144" ht="12.75" customHeight="1" s="398">
      <c r="A144" s="491" t="n"/>
      <c r="B144" s="491" t="n"/>
      <c r="C144" s="491" t="n"/>
      <c r="D144" s="491" t="n"/>
      <c r="E144" s="491" t="n"/>
      <c r="F144" s="491" t="n"/>
      <c r="G144" s="491" t="n"/>
      <c r="H144" s="491" t="n"/>
      <c r="I144" s="491" t="n"/>
      <c r="J144" s="491" t="n"/>
      <c r="K144" s="491" t="n"/>
      <c r="L144" s="491" t="n"/>
      <c r="M144" s="491" t="n"/>
      <c r="N144" s="491" t="n"/>
      <c r="O144" s="491" t="n"/>
      <c r="P144" s="491" t="n"/>
      <c r="Q144" s="491" t="n"/>
      <c r="R144" s="491" t="n"/>
      <c r="S144" s="491" t="n"/>
      <c r="T144" s="491" t="n"/>
      <c r="U144" s="491" t="n"/>
      <c r="V144" s="491" t="n"/>
      <c r="W144" s="491" t="n"/>
      <c r="X144" s="491" t="n"/>
      <c r="Y144" s="491" t="n"/>
    </row>
    <row r="145" ht="12.75" customHeight="1" s="398">
      <c r="A145" s="491" t="n"/>
      <c r="B145" s="491" t="n"/>
      <c r="C145" s="491" t="n"/>
      <c r="D145" s="491" t="n"/>
      <c r="E145" s="491" t="n"/>
      <c r="F145" s="491" t="n"/>
      <c r="G145" s="491" t="n"/>
      <c r="H145" s="491" t="n"/>
      <c r="I145" s="491" t="n"/>
      <c r="J145" s="491" t="n"/>
      <c r="K145" s="491" t="n"/>
      <c r="L145" s="491" t="n"/>
      <c r="M145" s="491" t="n"/>
      <c r="N145" s="491" t="n"/>
      <c r="O145" s="491" t="n"/>
      <c r="P145" s="491" t="n"/>
      <c r="Q145" s="491" t="n"/>
      <c r="R145" s="491" t="n"/>
      <c r="S145" s="491" t="n"/>
      <c r="T145" s="491" t="n"/>
      <c r="U145" s="491" t="n"/>
      <c r="V145" s="491" t="n"/>
      <c r="W145" s="491" t="n"/>
      <c r="X145" s="491" t="n"/>
      <c r="Y145" s="491" t="n"/>
    </row>
    <row r="146" ht="12.75" customHeight="1" s="398">
      <c r="A146" s="491" t="n"/>
      <c r="B146" s="491" t="n"/>
      <c r="C146" s="491" t="n"/>
      <c r="D146" s="491" t="n"/>
      <c r="E146" s="491" t="n"/>
      <c r="F146" s="491" t="n"/>
      <c r="G146" s="491" t="n"/>
      <c r="H146" s="491" t="n"/>
      <c r="I146" s="491" t="n"/>
      <c r="J146" s="491" t="n"/>
      <c r="K146" s="491" t="n"/>
      <c r="L146" s="491" t="n"/>
      <c r="M146" s="491" t="n"/>
      <c r="N146" s="491" t="n"/>
      <c r="O146" s="491" t="n"/>
      <c r="P146" s="491" t="n"/>
      <c r="Q146" s="491" t="n"/>
      <c r="R146" s="491" t="n"/>
      <c r="S146" s="491" t="n"/>
      <c r="T146" s="491" t="n"/>
      <c r="U146" s="491" t="n"/>
      <c r="V146" s="491" t="n"/>
      <c r="W146" s="491" t="n"/>
      <c r="X146" s="491" t="n"/>
      <c r="Y146" s="491" t="n"/>
    </row>
    <row r="147" ht="12.75" customHeight="1" s="398">
      <c r="A147" s="491" t="n"/>
      <c r="B147" s="491" t="n"/>
      <c r="C147" s="491" t="n"/>
      <c r="D147" s="491" t="n"/>
      <c r="E147" s="491" t="n"/>
      <c r="F147" s="491" t="n"/>
      <c r="G147" s="491" t="n"/>
      <c r="H147" s="491" t="n"/>
      <c r="I147" s="491" t="n"/>
      <c r="J147" s="491" t="n"/>
      <c r="K147" s="491" t="n"/>
      <c r="L147" s="491" t="n"/>
      <c r="M147" s="491" t="n"/>
      <c r="N147" s="491" t="n"/>
      <c r="O147" s="491" t="n"/>
      <c r="P147" s="491" t="n"/>
      <c r="Q147" s="491" t="n"/>
      <c r="R147" s="491" t="n"/>
      <c r="S147" s="491" t="n"/>
      <c r="T147" s="491" t="n"/>
      <c r="U147" s="491" t="n"/>
      <c r="V147" s="491" t="n"/>
      <c r="W147" s="491" t="n"/>
      <c r="X147" s="491" t="n"/>
      <c r="Y147" s="491" t="n"/>
    </row>
    <row r="148" ht="12.75" customHeight="1" s="398">
      <c r="A148" s="491" t="n"/>
      <c r="B148" s="491" t="n"/>
      <c r="C148" s="491" t="n"/>
      <c r="D148" s="491" t="n"/>
      <c r="E148" s="491" t="n"/>
      <c r="F148" s="491" t="n"/>
      <c r="G148" s="491" t="n"/>
      <c r="H148" s="491" t="n"/>
      <c r="I148" s="491" t="n"/>
      <c r="J148" s="491" t="n"/>
      <c r="K148" s="491" t="n"/>
      <c r="L148" s="491" t="n"/>
      <c r="M148" s="491" t="n"/>
      <c r="N148" s="491" t="n"/>
      <c r="O148" s="491" t="n"/>
      <c r="P148" s="491" t="n"/>
      <c r="Q148" s="491" t="n"/>
      <c r="R148" s="491" t="n"/>
      <c r="S148" s="491" t="n"/>
      <c r="T148" s="491" t="n"/>
      <c r="U148" s="491" t="n"/>
      <c r="V148" s="491" t="n"/>
      <c r="W148" s="491" t="n"/>
      <c r="X148" s="491" t="n"/>
      <c r="Y148" s="491" t="n"/>
    </row>
    <row r="149" ht="12.75" customHeight="1" s="398">
      <c r="A149" s="491" t="n"/>
      <c r="B149" s="491" t="n"/>
      <c r="C149" s="491" t="n"/>
      <c r="D149" s="491" t="n"/>
      <c r="E149" s="491" t="n"/>
      <c r="F149" s="491" t="n"/>
      <c r="G149" s="491" t="n"/>
      <c r="H149" s="491" t="n"/>
      <c r="I149" s="491" t="n"/>
      <c r="J149" s="491" t="n"/>
      <c r="K149" s="491" t="n"/>
      <c r="L149" s="491" t="n"/>
      <c r="M149" s="491" t="n"/>
      <c r="N149" s="491" t="n"/>
      <c r="O149" s="491" t="n"/>
      <c r="P149" s="491" t="n"/>
      <c r="Q149" s="491" t="n"/>
      <c r="R149" s="491" t="n"/>
      <c r="S149" s="491" t="n"/>
      <c r="T149" s="491" t="n"/>
      <c r="U149" s="491" t="n"/>
      <c r="V149" s="491" t="n"/>
      <c r="W149" s="491" t="n"/>
      <c r="X149" s="491" t="n"/>
      <c r="Y149" s="491" t="n"/>
    </row>
    <row r="150" ht="12.75" customHeight="1" s="398">
      <c r="A150" s="491" t="n"/>
      <c r="B150" s="491" t="n"/>
      <c r="C150" s="491" t="n"/>
      <c r="D150" s="491" t="n"/>
      <c r="E150" s="491" t="n"/>
      <c r="F150" s="491" t="n"/>
      <c r="G150" s="491" t="n"/>
      <c r="H150" s="491" t="n"/>
      <c r="I150" s="491" t="n"/>
      <c r="J150" s="491" t="n"/>
      <c r="K150" s="491" t="n"/>
      <c r="L150" s="491" t="n"/>
      <c r="M150" s="491" t="n"/>
      <c r="N150" s="491" t="n"/>
      <c r="O150" s="491" t="n"/>
      <c r="P150" s="491" t="n"/>
      <c r="Q150" s="491" t="n"/>
      <c r="R150" s="491" t="n"/>
      <c r="S150" s="491" t="n"/>
      <c r="T150" s="491" t="n"/>
      <c r="U150" s="491" t="n"/>
      <c r="V150" s="491" t="n"/>
      <c r="W150" s="491" t="n"/>
      <c r="X150" s="491" t="n"/>
      <c r="Y150" s="491" t="n"/>
    </row>
    <row r="151" ht="12.75" customHeight="1" s="398">
      <c r="A151" s="491" t="n"/>
      <c r="B151" s="491" t="n"/>
      <c r="C151" s="491" t="n"/>
      <c r="D151" s="491" t="n"/>
      <c r="E151" s="491" t="n"/>
      <c r="F151" s="491" t="n"/>
      <c r="G151" s="491" t="n"/>
      <c r="H151" s="491" t="n"/>
      <c r="I151" s="491" t="n"/>
      <c r="J151" s="491" t="n"/>
      <c r="K151" s="491" t="n"/>
      <c r="L151" s="491" t="n"/>
      <c r="M151" s="491" t="n"/>
      <c r="N151" s="491" t="n"/>
      <c r="O151" s="491" t="n"/>
      <c r="P151" s="491" t="n"/>
      <c r="Q151" s="491" t="n"/>
      <c r="R151" s="491" t="n"/>
      <c r="S151" s="491" t="n"/>
      <c r="T151" s="491" t="n"/>
      <c r="U151" s="491" t="n"/>
      <c r="V151" s="491" t="n"/>
      <c r="W151" s="491" t="n"/>
      <c r="X151" s="491" t="n"/>
      <c r="Y151" s="491" t="n"/>
    </row>
    <row r="152" ht="12.75" customHeight="1" s="398">
      <c r="A152" s="491" t="n"/>
      <c r="B152" s="491" t="n"/>
      <c r="C152" s="491" t="n"/>
      <c r="D152" s="491" t="n"/>
      <c r="E152" s="491" t="n"/>
      <c r="F152" s="491" t="n"/>
      <c r="G152" s="491" t="n"/>
      <c r="H152" s="491" t="n"/>
      <c r="I152" s="491" t="n"/>
      <c r="J152" s="491" t="n"/>
      <c r="K152" s="491" t="n"/>
      <c r="L152" s="491" t="n"/>
      <c r="M152" s="491" t="n"/>
      <c r="N152" s="491" t="n"/>
      <c r="O152" s="491" t="n"/>
      <c r="P152" s="491" t="n"/>
      <c r="Q152" s="491" t="n"/>
      <c r="R152" s="491" t="n"/>
      <c r="S152" s="491" t="n"/>
      <c r="T152" s="491" t="n"/>
      <c r="U152" s="491" t="n"/>
      <c r="V152" s="491" t="n"/>
      <c r="W152" s="491" t="n"/>
      <c r="X152" s="491" t="n"/>
      <c r="Y152" s="491" t="n"/>
    </row>
    <row r="153" ht="12.75" customHeight="1" s="398">
      <c r="A153" s="491" t="n"/>
      <c r="B153" s="491" t="n"/>
      <c r="C153" s="491" t="n"/>
      <c r="D153" s="491" t="n"/>
      <c r="E153" s="491" t="n"/>
      <c r="F153" s="491" t="n"/>
      <c r="G153" s="491" t="n"/>
      <c r="H153" s="491" t="n"/>
      <c r="I153" s="491" t="n"/>
      <c r="J153" s="491" t="n"/>
      <c r="K153" s="491" t="n"/>
      <c r="L153" s="491" t="n"/>
      <c r="M153" s="491" t="n"/>
      <c r="N153" s="491" t="n"/>
      <c r="O153" s="491" t="n"/>
      <c r="P153" s="491" t="n"/>
      <c r="Q153" s="491" t="n"/>
      <c r="R153" s="491" t="n"/>
      <c r="S153" s="491" t="n"/>
      <c r="T153" s="491" t="n"/>
      <c r="U153" s="491" t="n"/>
      <c r="V153" s="491" t="n"/>
      <c r="W153" s="491" t="n"/>
      <c r="X153" s="491" t="n"/>
      <c r="Y153" s="491" t="n"/>
    </row>
    <row r="154" ht="12.75" customHeight="1" s="398">
      <c r="A154" s="491" t="n"/>
      <c r="B154" s="491" t="n"/>
      <c r="C154" s="491" t="n"/>
      <c r="D154" s="491" t="n"/>
      <c r="E154" s="491" t="n"/>
      <c r="F154" s="491" t="n"/>
      <c r="G154" s="491" t="n"/>
      <c r="H154" s="491" t="n"/>
      <c r="I154" s="491" t="n"/>
      <c r="J154" s="491" t="n"/>
      <c r="K154" s="491" t="n"/>
      <c r="L154" s="491" t="n"/>
      <c r="M154" s="491" t="n"/>
      <c r="N154" s="491" t="n"/>
      <c r="O154" s="491" t="n"/>
      <c r="P154" s="491" t="n"/>
      <c r="Q154" s="491" t="n"/>
      <c r="R154" s="491" t="n"/>
      <c r="S154" s="491" t="n"/>
      <c r="T154" s="491" t="n"/>
      <c r="U154" s="491" t="n"/>
      <c r="V154" s="491" t="n"/>
      <c r="W154" s="491" t="n"/>
      <c r="X154" s="491" t="n"/>
      <c r="Y154" s="491" t="n"/>
    </row>
    <row r="155" ht="12.75" customHeight="1" s="398">
      <c r="A155" s="491" t="n"/>
      <c r="B155" s="491" t="n"/>
      <c r="C155" s="491" t="n"/>
      <c r="D155" s="491" t="n"/>
      <c r="E155" s="491" t="n"/>
      <c r="F155" s="491" t="n"/>
      <c r="G155" s="491" t="n"/>
      <c r="H155" s="491" t="n"/>
      <c r="I155" s="491" t="n"/>
      <c r="J155" s="491" t="n"/>
      <c r="K155" s="491" t="n"/>
      <c r="L155" s="491" t="n"/>
      <c r="M155" s="491" t="n"/>
      <c r="N155" s="491" t="n"/>
      <c r="O155" s="491" t="n"/>
      <c r="P155" s="491" t="n"/>
      <c r="Q155" s="491" t="n"/>
      <c r="R155" s="491" t="n"/>
      <c r="S155" s="491" t="n"/>
      <c r="T155" s="491" t="n"/>
      <c r="U155" s="491" t="n"/>
      <c r="V155" s="491" t="n"/>
      <c r="W155" s="491" t="n"/>
      <c r="X155" s="491" t="n"/>
      <c r="Y155" s="491" t="n"/>
    </row>
    <row r="156" ht="12.75" customHeight="1" s="398">
      <c r="A156" s="491" t="n"/>
      <c r="B156" s="491" t="n"/>
      <c r="C156" s="491" t="n"/>
      <c r="D156" s="491" t="n"/>
      <c r="E156" s="491" t="n"/>
      <c r="F156" s="491" t="n"/>
      <c r="G156" s="491" t="n"/>
      <c r="H156" s="491" t="n"/>
      <c r="I156" s="491" t="n"/>
      <c r="J156" s="491" t="n"/>
      <c r="K156" s="491" t="n"/>
      <c r="L156" s="491" t="n"/>
      <c r="M156" s="491" t="n"/>
      <c r="N156" s="491" t="n"/>
      <c r="O156" s="491" t="n"/>
      <c r="P156" s="491" t="n"/>
      <c r="Q156" s="491" t="n"/>
      <c r="R156" s="491" t="n"/>
      <c r="S156" s="491" t="n"/>
      <c r="T156" s="491" t="n"/>
      <c r="U156" s="491" t="n"/>
      <c r="V156" s="491" t="n"/>
      <c r="W156" s="491" t="n"/>
      <c r="X156" s="491" t="n"/>
      <c r="Y156" s="491" t="n"/>
    </row>
    <row r="157" ht="12.75" customHeight="1" s="398">
      <c r="A157" s="491" t="n"/>
      <c r="B157" s="491" t="n"/>
      <c r="C157" s="491" t="n"/>
      <c r="D157" s="491" t="n"/>
      <c r="E157" s="491" t="n"/>
      <c r="F157" s="491" t="n"/>
      <c r="G157" s="491" t="n"/>
      <c r="H157" s="491" t="n"/>
      <c r="I157" s="491" t="n"/>
      <c r="J157" s="491" t="n"/>
      <c r="K157" s="491" t="n"/>
      <c r="L157" s="491" t="n"/>
      <c r="M157" s="491" t="n"/>
      <c r="N157" s="491" t="n"/>
      <c r="O157" s="491" t="n"/>
      <c r="P157" s="491" t="n"/>
      <c r="Q157" s="491" t="n"/>
      <c r="R157" s="491" t="n"/>
      <c r="S157" s="491" t="n"/>
      <c r="T157" s="491" t="n"/>
      <c r="U157" s="491" t="n"/>
      <c r="V157" s="491" t="n"/>
      <c r="W157" s="491" t="n"/>
      <c r="X157" s="491" t="n"/>
      <c r="Y157" s="491" t="n"/>
    </row>
    <row r="158" ht="12.75" customHeight="1" s="398">
      <c r="A158" s="491" t="n"/>
      <c r="B158" s="491" t="n"/>
      <c r="C158" s="491" t="n"/>
      <c r="D158" s="491" t="n"/>
      <c r="E158" s="491" t="n"/>
      <c r="F158" s="491" t="n"/>
      <c r="G158" s="491" t="n"/>
      <c r="H158" s="491" t="n"/>
      <c r="I158" s="491" t="n"/>
      <c r="J158" s="491" t="n"/>
      <c r="K158" s="491" t="n"/>
      <c r="L158" s="491" t="n"/>
      <c r="M158" s="491" t="n"/>
      <c r="N158" s="491" t="n"/>
      <c r="O158" s="491" t="n"/>
      <c r="P158" s="491" t="n"/>
      <c r="Q158" s="491" t="n"/>
      <c r="R158" s="491" t="n"/>
      <c r="S158" s="491" t="n"/>
      <c r="T158" s="491" t="n"/>
      <c r="U158" s="491" t="n"/>
      <c r="V158" s="491" t="n"/>
      <c r="W158" s="491" t="n"/>
      <c r="X158" s="491" t="n"/>
      <c r="Y158" s="491" t="n"/>
    </row>
    <row r="159" ht="12.75" customHeight="1" s="398">
      <c r="A159" s="491" t="n"/>
      <c r="B159" s="491" t="n"/>
      <c r="C159" s="491" t="n"/>
      <c r="D159" s="491" t="n"/>
      <c r="E159" s="491" t="n"/>
      <c r="F159" s="491" t="n"/>
      <c r="G159" s="491" t="n"/>
      <c r="H159" s="491" t="n"/>
      <c r="I159" s="491" t="n"/>
      <c r="J159" s="491" t="n"/>
      <c r="K159" s="491" t="n"/>
      <c r="L159" s="491" t="n"/>
      <c r="M159" s="491" t="n"/>
      <c r="N159" s="491" t="n"/>
      <c r="O159" s="491" t="n"/>
      <c r="P159" s="491" t="n"/>
      <c r="Q159" s="491" t="n"/>
      <c r="R159" s="491" t="n"/>
      <c r="S159" s="491" t="n"/>
      <c r="T159" s="491" t="n"/>
      <c r="U159" s="491" t="n"/>
      <c r="V159" s="491" t="n"/>
      <c r="W159" s="491" t="n"/>
      <c r="X159" s="491" t="n"/>
      <c r="Y159" s="491" t="n"/>
    </row>
    <row r="160" ht="12.75" customHeight="1" s="398">
      <c r="A160" s="491" t="n"/>
      <c r="B160" s="491" t="n"/>
      <c r="C160" s="491" t="n"/>
      <c r="D160" s="491" t="n"/>
      <c r="E160" s="491" t="n"/>
      <c r="F160" s="491" t="n"/>
      <c r="G160" s="491" t="n"/>
      <c r="H160" s="491" t="n"/>
      <c r="I160" s="491" t="n"/>
      <c r="J160" s="491" t="n"/>
      <c r="K160" s="491" t="n"/>
      <c r="L160" s="491" t="n"/>
      <c r="M160" s="491" t="n"/>
      <c r="N160" s="491" t="n"/>
      <c r="O160" s="491" t="n"/>
      <c r="P160" s="491" t="n"/>
      <c r="Q160" s="491" t="n"/>
      <c r="R160" s="491" t="n"/>
      <c r="S160" s="491" t="n"/>
      <c r="T160" s="491" t="n"/>
      <c r="U160" s="491" t="n"/>
      <c r="V160" s="491" t="n"/>
      <c r="W160" s="491" t="n"/>
      <c r="X160" s="491" t="n"/>
      <c r="Y160" s="491" t="n"/>
    </row>
    <row r="161" ht="12.75" customHeight="1" s="398">
      <c r="A161" s="491" t="n"/>
      <c r="B161" s="491" t="n"/>
      <c r="C161" s="491" t="n"/>
      <c r="D161" s="491" t="n"/>
      <c r="E161" s="491" t="n"/>
      <c r="F161" s="491" t="n"/>
      <c r="G161" s="491" t="n"/>
      <c r="H161" s="491" t="n"/>
      <c r="I161" s="491" t="n"/>
      <c r="J161" s="491" t="n"/>
      <c r="K161" s="491" t="n"/>
      <c r="L161" s="491" t="n"/>
      <c r="M161" s="491" t="n"/>
      <c r="N161" s="491" t="n"/>
      <c r="O161" s="491" t="n"/>
      <c r="P161" s="491" t="n"/>
      <c r="Q161" s="491" t="n"/>
      <c r="R161" s="491" t="n"/>
      <c r="S161" s="491" t="n"/>
      <c r="T161" s="491" t="n"/>
      <c r="U161" s="491" t="n"/>
      <c r="V161" s="491" t="n"/>
      <c r="W161" s="491" t="n"/>
      <c r="X161" s="491" t="n"/>
      <c r="Y161" s="491" t="n"/>
    </row>
    <row r="162" ht="12.75" customHeight="1" s="398">
      <c r="A162" s="491" t="n"/>
      <c r="B162" s="491" t="n"/>
      <c r="C162" s="491" t="n"/>
      <c r="D162" s="491" t="n"/>
      <c r="E162" s="491" t="n"/>
      <c r="F162" s="491" t="n"/>
      <c r="G162" s="491" t="n"/>
      <c r="H162" s="491" t="n"/>
      <c r="I162" s="491" t="n"/>
      <c r="J162" s="491" t="n"/>
      <c r="K162" s="491" t="n"/>
      <c r="L162" s="491" t="n"/>
      <c r="M162" s="491" t="n"/>
      <c r="N162" s="491" t="n"/>
      <c r="O162" s="491" t="n"/>
      <c r="P162" s="491" t="n"/>
      <c r="Q162" s="491" t="n"/>
      <c r="R162" s="491" t="n"/>
      <c r="S162" s="491" t="n"/>
      <c r="T162" s="491" t="n"/>
      <c r="U162" s="491" t="n"/>
      <c r="V162" s="491" t="n"/>
      <c r="W162" s="491" t="n"/>
      <c r="X162" s="491" t="n"/>
      <c r="Y162" s="491" t="n"/>
    </row>
    <row r="163" ht="12.75" customHeight="1" s="398">
      <c r="A163" s="491" t="n"/>
      <c r="B163" s="491" t="n"/>
      <c r="C163" s="491" t="n"/>
      <c r="D163" s="491" t="n"/>
      <c r="E163" s="491" t="n"/>
      <c r="F163" s="491" t="n"/>
      <c r="G163" s="491" t="n"/>
      <c r="H163" s="491" t="n"/>
      <c r="I163" s="491" t="n"/>
      <c r="J163" s="491" t="n"/>
      <c r="K163" s="491" t="n"/>
      <c r="L163" s="491" t="n"/>
      <c r="M163" s="491" t="n"/>
      <c r="N163" s="491" t="n"/>
      <c r="O163" s="491" t="n"/>
      <c r="P163" s="491" t="n"/>
      <c r="Q163" s="491" t="n"/>
      <c r="R163" s="491" t="n"/>
      <c r="S163" s="491" t="n"/>
      <c r="T163" s="491" t="n"/>
      <c r="U163" s="491" t="n"/>
      <c r="V163" s="491" t="n"/>
      <c r="W163" s="491" t="n"/>
      <c r="X163" s="491" t="n"/>
      <c r="Y163" s="491" t="n"/>
    </row>
    <row r="164" ht="12.75" customHeight="1" s="398">
      <c r="A164" s="491" t="n"/>
      <c r="B164" s="491" t="n"/>
      <c r="C164" s="491" t="n"/>
      <c r="D164" s="491" t="n"/>
      <c r="E164" s="491" t="n"/>
      <c r="F164" s="491" t="n"/>
      <c r="G164" s="491" t="n"/>
      <c r="H164" s="491" t="n"/>
      <c r="I164" s="491" t="n"/>
      <c r="J164" s="491" t="n"/>
      <c r="K164" s="491" t="n"/>
      <c r="L164" s="491" t="n"/>
      <c r="M164" s="491" t="n"/>
      <c r="N164" s="491" t="n"/>
      <c r="O164" s="491" t="n"/>
      <c r="P164" s="491" t="n"/>
      <c r="Q164" s="491" t="n"/>
      <c r="R164" s="491" t="n"/>
      <c r="S164" s="491" t="n"/>
      <c r="T164" s="491" t="n"/>
      <c r="U164" s="491" t="n"/>
      <c r="V164" s="491" t="n"/>
      <c r="W164" s="491" t="n"/>
      <c r="X164" s="491" t="n"/>
      <c r="Y164" s="491" t="n"/>
    </row>
    <row r="165" ht="12.75" customHeight="1" s="398">
      <c r="A165" s="491" t="n"/>
      <c r="B165" s="491" t="n"/>
      <c r="C165" s="491" t="n"/>
      <c r="D165" s="491" t="n"/>
      <c r="E165" s="491" t="n"/>
      <c r="F165" s="491" t="n"/>
      <c r="G165" s="491" t="n"/>
      <c r="H165" s="491" t="n"/>
      <c r="I165" s="491" t="n"/>
      <c r="J165" s="491" t="n"/>
      <c r="K165" s="491" t="n"/>
      <c r="L165" s="491" t="n"/>
      <c r="M165" s="491" t="n"/>
      <c r="N165" s="491" t="n"/>
      <c r="O165" s="491" t="n"/>
      <c r="P165" s="491" t="n"/>
      <c r="Q165" s="491" t="n"/>
      <c r="R165" s="491" t="n"/>
      <c r="S165" s="491" t="n"/>
      <c r="T165" s="491" t="n"/>
      <c r="U165" s="491" t="n"/>
      <c r="V165" s="491" t="n"/>
      <c r="W165" s="491" t="n"/>
      <c r="X165" s="491" t="n"/>
      <c r="Y165" s="491" t="n"/>
    </row>
    <row r="166" ht="12.75" customHeight="1" s="398">
      <c r="A166" s="491" t="n"/>
      <c r="B166" s="491" t="n"/>
      <c r="C166" s="491" t="n"/>
      <c r="D166" s="491" t="n"/>
      <c r="E166" s="491" t="n"/>
      <c r="F166" s="491" t="n"/>
      <c r="G166" s="491" t="n"/>
      <c r="H166" s="491" t="n"/>
      <c r="I166" s="491" t="n"/>
      <c r="J166" s="491" t="n"/>
      <c r="K166" s="491" t="n"/>
      <c r="L166" s="491" t="n"/>
      <c r="M166" s="491" t="n"/>
      <c r="N166" s="491" t="n"/>
      <c r="O166" s="491" t="n"/>
      <c r="P166" s="491" t="n"/>
      <c r="Q166" s="491" t="n"/>
      <c r="R166" s="491" t="n"/>
      <c r="S166" s="491" t="n"/>
      <c r="T166" s="491" t="n"/>
      <c r="U166" s="491" t="n"/>
      <c r="V166" s="491" t="n"/>
      <c r="W166" s="491" t="n"/>
      <c r="X166" s="491" t="n"/>
      <c r="Y166" s="491" t="n"/>
    </row>
    <row r="167" ht="12.75" customHeight="1" s="398">
      <c r="A167" s="491" t="n"/>
      <c r="B167" s="491" t="n"/>
      <c r="C167" s="491" t="n"/>
      <c r="D167" s="491" t="n"/>
      <c r="E167" s="491" t="n"/>
      <c r="F167" s="491" t="n"/>
      <c r="G167" s="491" t="n"/>
      <c r="H167" s="491" t="n"/>
      <c r="I167" s="491" t="n"/>
      <c r="J167" s="491" t="n"/>
      <c r="K167" s="491" t="n"/>
      <c r="L167" s="491" t="n"/>
      <c r="M167" s="491" t="n"/>
      <c r="N167" s="491" t="n"/>
      <c r="O167" s="491" t="n"/>
      <c r="P167" s="491" t="n"/>
      <c r="Q167" s="491" t="n"/>
      <c r="R167" s="491" t="n"/>
      <c r="S167" s="491" t="n"/>
      <c r="T167" s="491" t="n"/>
      <c r="U167" s="491" t="n"/>
      <c r="V167" s="491" t="n"/>
      <c r="W167" s="491" t="n"/>
      <c r="X167" s="491" t="n"/>
      <c r="Y167" s="491" t="n"/>
    </row>
    <row r="168" ht="12.75" customHeight="1" s="398">
      <c r="A168" s="491" t="n"/>
      <c r="B168" s="491" t="n"/>
      <c r="C168" s="491" t="n"/>
      <c r="D168" s="491" t="n"/>
      <c r="E168" s="491" t="n"/>
      <c r="F168" s="491" t="n"/>
      <c r="G168" s="491" t="n"/>
      <c r="H168" s="491" t="n"/>
      <c r="I168" s="491" t="n"/>
      <c r="J168" s="491" t="n"/>
      <c r="K168" s="491" t="n"/>
      <c r="L168" s="491" t="n"/>
      <c r="M168" s="491" t="n"/>
      <c r="N168" s="491" t="n"/>
      <c r="O168" s="491" t="n"/>
      <c r="P168" s="491" t="n"/>
      <c r="Q168" s="491" t="n"/>
      <c r="R168" s="491" t="n"/>
      <c r="S168" s="491" t="n"/>
      <c r="T168" s="491" t="n"/>
      <c r="U168" s="491" t="n"/>
      <c r="V168" s="491" t="n"/>
      <c r="W168" s="491" t="n"/>
      <c r="X168" s="491" t="n"/>
      <c r="Y168" s="491" t="n"/>
    </row>
    <row r="169" ht="12.75" customHeight="1" s="398">
      <c r="A169" s="491" t="n"/>
      <c r="B169" s="491" t="n"/>
      <c r="C169" s="491" t="n"/>
      <c r="D169" s="491" t="n"/>
      <c r="E169" s="491" t="n"/>
      <c r="F169" s="491" t="n"/>
      <c r="G169" s="491" t="n"/>
      <c r="H169" s="491" t="n"/>
      <c r="I169" s="491" t="n"/>
      <c r="J169" s="491" t="n"/>
      <c r="K169" s="491" t="n"/>
      <c r="L169" s="491" t="n"/>
      <c r="M169" s="491" t="n"/>
      <c r="N169" s="491" t="n"/>
      <c r="O169" s="491" t="n"/>
      <c r="P169" s="491" t="n"/>
      <c r="Q169" s="491" t="n"/>
      <c r="R169" s="491" t="n"/>
      <c r="S169" s="491" t="n"/>
      <c r="T169" s="491" t="n"/>
      <c r="U169" s="491" t="n"/>
      <c r="V169" s="491" t="n"/>
      <c r="W169" s="491" t="n"/>
      <c r="X169" s="491" t="n"/>
      <c r="Y169" s="491" t="n"/>
    </row>
    <row r="170" ht="12.75" customHeight="1" s="398">
      <c r="A170" s="491" t="n"/>
      <c r="B170" s="491" t="n"/>
      <c r="C170" s="491" t="n"/>
      <c r="D170" s="491" t="n"/>
      <c r="E170" s="491" t="n"/>
      <c r="F170" s="491" t="n"/>
      <c r="G170" s="491" t="n"/>
      <c r="H170" s="491" t="n"/>
      <c r="I170" s="491" t="n"/>
      <c r="J170" s="491" t="n"/>
      <c r="K170" s="491" t="n"/>
      <c r="L170" s="491" t="n"/>
      <c r="M170" s="491" t="n"/>
      <c r="N170" s="491" t="n"/>
      <c r="O170" s="491" t="n"/>
      <c r="P170" s="491" t="n"/>
      <c r="Q170" s="491" t="n"/>
      <c r="R170" s="491" t="n"/>
      <c r="S170" s="491" t="n"/>
      <c r="T170" s="491" t="n"/>
      <c r="U170" s="491" t="n"/>
      <c r="V170" s="491" t="n"/>
      <c r="W170" s="491" t="n"/>
      <c r="X170" s="491" t="n"/>
      <c r="Y170" s="491" t="n"/>
    </row>
    <row r="171" ht="12.75" customHeight="1" s="398">
      <c r="A171" s="491" t="n"/>
      <c r="B171" s="491" t="n"/>
      <c r="C171" s="491" t="n"/>
      <c r="D171" s="491" t="n"/>
      <c r="E171" s="491" t="n"/>
      <c r="F171" s="491" t="n"/>
      <c r="G171" s="491" t="n"/>
      <c r="H171" s="491" t="n"/>
      <c r="I171" s="491" t="n"/>
      <c r="J171" s="491" t="n"/>
      <c r="K171" s="491" t="n"/>
      <c r="L171" s="491" t="n"/>
      <c r="M171" s="491" t="n"/>
      <c r="N171" s="491" t="n"/>
      <c r="O171" s="491" t="n"/>
      <c r="P171" s="491" t="n"/>
      <c r="Q171" s="491" t="n"/>
      <c r="R171" s="491" t="n"/>
      <c r="S171" s="491" t="n"/>
      <c r="T171" s="491" t="n"/>
      <c r="U171" s="491" t="n"/>
      <c r="V171" s="491" t="n"/>
      <c r="W171" s="491" t="n"/>
      <c r="X171" s="491" t="n"/>
      <c r="Y171" s="491" t="n"/>
    </row>
    <row r="172" ht="12.75" customHeight="1" s="398">
      <c r="A172" s="491" t="n"/>
      <c r="B172" s="491" t="n"/>
      <c r="C172" s="491" t="n"/>
      <c r="D172" s="491" t="n"/>
      <c r="E172" s="491" t="n"/>
      <c r="F172" s="491" t="n"/>
      <c r="G172" s="491" t="n"/>
      <c r="H172" s="491" t="n"/>
      <c r="I172" s="491" t="n"/>
      <c r="J172" s="491" t="n"/>
      <c r="K172" s="491" t="n"/>
      <c r="L172" s="491" t="n"/>
      <c r="M172" s="491" t="n"/>
      <c r="N172" s="491" t="n"/>
      <c r="O172" s="491" t="n"/>
      <c r="P172" s="491" t="n"/>
      <c r="Q172" s="491" t="n"/>
      <c r="R172" s="491" t="n"/>
      <c r="S172" s="491" t="n"/>
      <c r="T172" s="491" t="n"/>
      <c r="U172" s="491" t="n"/>
      <c r="V172" s="491" t="n"/>
      <c r="W172" s="491" t="n"/>
      <c r="X172" s="491" t="n"/>
      <c r="Y172" s="491" t="n"/>
    </row>
    <row r="173" ht="12.75" customHeight="1" s="398">
      <c r="A173" s="491" t="n"/>
      <c r="B173" s="491" t="n"/>
      <c r="C173" s="491" t="n"/>
      <c r="D173" s="491" t="n"/>
      <c r="E173" s="491" t="n"/>
      <c r="F173" s="491" t="n"/>
      <c r="G173" s="491" t="n"/>
      <c r="H173" s="491" t="n"/>
      <c r="I173" s="491" t="n"/>
      <c r="J173" s="491" t="n"/>
      <c r="K173" s="491" t="n"/>
      <c r="L173" s="491" t="n"/>
      <c r="M173" s="491" t="n"/>
      <c r="N173" s="491" t="n"/>
      <c r="O173" s="491" t="n"/>
      <c r="P173" s="491" t="n"/>
      <c r="Q173" s="491" t="n"/>
      <c r="R173" s="491" t="n"/>
      <c r="S173" s="491" t="n"/>
      <c r="T173" s="491" t="n"/>
      <c r="U173" s="491" t="n"/>
      <c r="V173" s="491" t="n"/>
      <c r="W173" s="491" t="n"/>
      <c r="X173" s="491" t="n"/>
      <c r="Y173" s="491" t="n"/>
    </row>
    <row r="174" ht="12.75" customHeight="1" s="398">
      <c r="A174" s="491" t="n"/>
      <c r="B174" s="491" t="n"/>
      <c r="C174" s="491" t="n"/>
      <c r="D174" s="491" t="n"/>
      <c r="E174" s="491" t="n"/>
      <c r="F174" s="491" t="n"/>
      <c r="G174" s="491" t="n"/>
      <c r="H174" s="491" t="n"/>
      <c r="I174" s="491" t="n"/>
      <c r="J174" s="491" t="n"/>
      <c r="K174" s="491" t="n"/>
      <c r="L174" s="491" t="n"/>
      <c r="M174" s="491" t="n"/>
      <c r="N174" s="491" t="n"/>
      <c r="O174" s="491" t="n"/>
      <c r="P174" s="491" t="n"/>
      <c r="Q174" s="491" t="n"/>
      <c r="R174" s="491" t="n"/>
      <c r="S174" s="491" t="n"/>
      <c r="T174" s="491" t="n"/>
      <c r="U174" s="491" t="n"/>
      <c r="V174" s="491" t="n"/>
      <c r="W174" s="491" t="n"/>
      <c r="X174" s="491" t="n"/>
      <c r="Y174" s="491" t="n"/>
    </row>
    <row r="175" ht="12.75" customHeight="1" s="398">
      <c r="A175" s="491" t="n"/>
      <c r="B175" s="491" t="n"/>
      <c r="C175" s="491" t="n"/>
      <c r="D175" s="491" t="n"/>
      <c r="E175" s="491" t="n"/>
      <c r="F175" s="491" t="n"/>
      <c r="G175" s="491" t="n"/>
      <c r="H175" s="491" t="n"/>
      <c r="I175" s="491" t="n"/>
      <c r="J175" s="491" t="n"/>
      <c r="K175" s="491" t="n"/>
      <c r="L175" s="491" t="n"/>
      <c r="M175" s="491" t="n"/>
      <c r="N175" s="491" t="n"/>
      <c r="O175" s="491" t="n"/>
      <c r="P175" s="491" t="n"/>
      <c r="Q175" s="491" t="n"/>
      <c r="R175" s="491" t="n"/>
      <c r="S175" s="491" t="n"/>
      <c r="T175" s="491" t="n"/>
      <c r="U175" s="491" t="n"/>
      <c r="V175" s="491" t="n"/>
      <c r="W175" s="491" t="n"/>
      <c r="X175" s="491" t="n"/>
      <c r="Y175" s="491" t="n"/>
    </row>
    <row r="176" ht="12.75" customHeight="1" s="398">
      <c r="A176" s="491" t="n"/>
      <c r="B176" s="491" t="n"/>
      <c r="C176" s="491" t="n"/>
      <c r="D176" s="491" t="n"/>
      <c r="E176" s="491" t="n"/>
      <c r="F176" s="491" t="n"/>
      <c r="G176" s="491" t="n"/>
      <c r="H176" s="491" t="n"/>
      <c r="I176" s="491" t="n"/>
      <c r="J176" s="491" t="n"/>
      <c r="K176" s="491" t="n"/>
      <c r="L176" s="491" t="n"/>
      <c r="M176" s="491" t="n"/>
      <c r="N176" s="491" t="n"/>
      <c r="O176" s="491" t="n"/>
      <c r="P176" s="491" t="n"/>
      <c r="Q176" s="491" t="n"/>
      <c r="R176" s="491" t="n"/>
      <c r="S176" s="491" t="n"/>
      <c r="T176" s="491" t="n"/>
      <c r="U176" s="491" t="n"/>
      <c r="V176" s="491" t="n"/>
      <c r="W176" s="491" t="n"/>
      <c r="X176" s="491" t="n"/>
      <c r="Y176" s="491" t="n"/>
    </row>
    <row r="177" ht="12.75" customHeight="1" s="398">
      <c r="A177" s="491" t="n"/>
      <c r="B177" s="491" t="n"/>
      <c r="C177" s="491" t="n"/>
      <c r="D177" s="491" t="n"/>
      <c r="E177" s="491" t="n"/>
      <c r="F177" s="491" t="n"/>
      <c r="G177" s="491" t="n"/>
      <c r="H177" s="491" t="n"/>
      <c r="I177" s="491" t="n"/>
      <c r="J177" s="491" t="n"/>
      <c r="K177" s="491" t="n"/>
      <c r="L177" s="491" t="n"/>
      <c r="M177" s="491" t="n"/>
      <c r="N177" s="491" t="n"/>
      <c r="O177" s="491" t="n"/>
      <c r="P177" s="491" t="n"/>
      <c r="Q177" s="491" t="n"/>
      <c r="R177" s="491" t="n"/>
      <c r="S177" s="491" t="n"/>
      <c r="T177" s="491" t="n"/>
      <c r="U177" s="491" t="n"/>
      <c r="V177" s="491" t="n"/>
      <c r="W177" s="491" t="n"/>
      <c r="X177" s="491" t="n"/>
      <c r="Y177" s="491" t="n"/>
    </row>
    <row r="178" ht="12.75" customHeight="1" s="398">
      <c r="A178" s="491" t="n"/>
      <c r="B178" s="491" t="n"/>
      <c r="C178" s="491" t="n"/>
      <c r="D178" s="491" t="n"/>
      <c r="E178" s="491" t="n"/>
      <c r="F178" s="491" t="n"/>
      <c r="G178" s="491" t="n"/>
      <c r="H178" s="491" t="n"/>
      <c r="I178" s="491" t="n"/>
      <c r="J178" s="491" t="n"/>
      <c r="K178" s="491" t="n"/>
      <c r="L178" s="491" t="n"/>
      <c r="M178" s="491" t="n"/>
      <c r="N178" s="491" t="n"/>
      <c r="O178" s="491" t="n"/>
      <c r="P178" s="491" t="n"/>
      <c r="Q178" s="491" t="n"/>
      <c r="R178" s="491" t="n"/>
      <c r="S178" s="491" t="n"/>
      <c r="T178" s="491" t="n"/>
      <c r="U178" s="491" t="n"/>
      <c r="V178" s="491" t="n"/>
      <c r="W178" s="491" t="n"/>
      <c r="X178" s="491" t="n"/>
      <c r="Y178" s="491" t="n"/>
    </row>
    <row r="179" ht="12.75" customHeight="1" s="398">
      <c r="A179" s="491" t="n"/>
      <c r="B179" s="491" t="n"/>
      <c r="C179" s="491" t="n"/>
      <c r="D179" s="491" t="n"/>
      <c r="E179" s="491" t="n"/>
      <c r="F179" s="491" t="n"/>
      <c r="G179" s="491" t="n"/>
      <c r="H179" s="491" t="n"/>
      <c r="I179" s="491" t="n"/>
      <c r="J179" s="491" t="n"/>
      <c r="K179" s="491" t="n"/>
      <c r="L179" s="491" t="n"/>
      <c r="M179" s="491" t="n"/>
      <c r="N179" s="491" t="n"/>
      <c r="O179" s="491" t="n"/>
      <c r="P179" s="491" t="n"/>
      <c r="Q179" s="491" t="n"/>
      <c r="R179" s="491" t="n"/>
      <c r="S179" s="491" t="n"/>
      <c r="T179" s="491" t="n"/>
      <c r="U179" s="491" t="n"/>
      <c r="V179" s="491" t="n"/>
      <c r="W179" s="491" t="n"/>
      <c r="X179" s="491" t="n"/>
      <c r="Y179" s="491" t="n"/>
    </row>
    <row r="180" ht="12.75" customHeight="1" s="398">
      <c r="A180" s="491" t="n"/>
      <c r="B180" s="491" t="n"/>
      <c r="C180" s="491" t="n"/>
      <c r="D180" s="491" t="n"/>
      <c r="E180" s="491" t="n"/>
      <c r="F180" s="491" t="n"/>
      <c r="G180" s="491" t="n"/>
      <c r="H180" s="491" t="n"/>
      <c r="I180" s="491" t="n"/>
      <c r="J180" s="491" t="n"/>
      <c r="K180" s="491" t="n"/>
      <c r="L180" s="491" t="n"/>
      <c r="M180" s="491" t="n"/>
      <c r="N180" s="491" t="n"/>
      <c r="O180" s="491" t="n"/>
      <c r="P180" s="491" t="n"/>
      <c r="Q180" s="491" t="n"/>
      <c r="R180" s="491" t="n"/>
      <c r="S180" s="491" t="n"/>
      <c r="T180" s="491" t="n"/>
      <c r="U180" s="491" t="n"/>
      <c r="V180" s="491" t="n"/>
      <c r="W180" s="491" t="n"/>
      <c r="X180" s="491" t="n"/>
      <c r="Y180" s="491" t="n"/>
    </row>
    <row r="181" ht="12.75" customHeight="1" s="398">
      <c r="A181" s="491" t="n"/>
      <c r="B181" s="491" t="n"/>
      <c r="C181" s="491" t="n"/>
      <c r="D181" s="491" t="n"/>
      <c r="E181" s="491" t="n"/>
      <c r="F181" s="491" t="n"/>
      <c r="G181" s="491" t="n"/>
      <c r="H181" s="491" t="n"/>
      <c r="I181" s="491" t="n"/>
      <c r="J181" s="491" t="n"/>
      <c r="K181" s="491" t="n"/>
      <c r="L181" s="491" t="n"/>
      <c r="M181" s="491" t="n"/>
      <c r="N181" s="491" t="n"/>
      <c r="O181" s="491" t="n"/>
      <c r="P181" s="491" t="n"/>
      <c r="Q181" s="491" t="n"/>
      <c r="R181" s="491" t="n"/>
      <c r="S181" s="491" t="n"/>
      <c r="T181" s="491" t="n"/>
      <c r="U181" s="491" t="n"/>
      <c r="V181" s="491" t="n"/>
      <c r="W181" s="491" t="n"/>
      <c r="X181" s="491" t="n"/>
      <c r="Y181" s="491" t="n"/>
    </row>
    <row r="182" ht="12.75" customHeight="1" s="398">
      <c r="A182" s="491" t="n"/>
      <c r="B182" s="491" t="n"/>
      <c r="C182" s="491" t="n"/>
      <c r="D182" s="491" t="n"/>
      <c r="E182" s="491" t="n"/>
      <c r="F182" s="491" t="n"/>
      <c r="G182" s="491" t="n"/>
      <c r="H182" s="491" t="n"/>
      <c r="I182" s="491" t="n"/>
      <c r="J182" s="491" t="n"/>
      <c r="K182" s="491" t="n"/>
      <c r="L182" s="491" t="n"/>
      <c r="M182" s="491" t="n"/>
      <c r="N182" s="491" t="n"/>
      <c r="O182" s="491" t="n"/>
      <c r="P182" s="491" t="n"/>
      <c r="Q182" s="491" t="n"/>
      <c r="R182" s="491" t="n"/>
      <c r="S182" s="491" t="n"/>
      <c r="T182" s="491" t="n"/>
      <c r="U182" s="491" t="n"/>
      <c r="V182" s="491" t="n"/>
      <c r="W182" s="491" t="n"/>
      <c r="X182" s="491" t="n"/>
      <c r="Y182" s="491" t="n"/>
    </row>
    <row r="183" ht="12.75" customHeight="1" s="398">
      <c r="A183" s="491" t="n"/>
      <c r="B183" s="491" t="n"/>
      <c r="C183" s="491" t="n"/>
      <c r="D183" s="491" t="n"/>
      <c r="E183" s="491" t="n"/>
      <c r="F183" s="491" t="n"/>
      <c r="G183" s="491" t="n"/>
      <c r="H183" s="491" t="n"/>
      <c r="I183" s="491" t="n"/>
      <c r="J183" s="491" t="n"/>
      <c r="K183" s="491" t="n"/>
      <c r="L183" s="491" t="n"/>
      <c r="M183" s="491" t="n"/>
      <c r="N183" s="491" t="n"/>
      <c r="O183" s="491" t="n"/>
      <c r="P183" s="491" t="n"/>
      <c r="Q183" s="491" t="n"/>
      <c r="R183" s="491" t="n"/>
      <c r="S183" s="491" t="n"/>
      <c r="T183" s="491" t="n"/>
      <c r="U183" s="491" t="n"/>
      <c r="V183" s="491" t="n"/>
      <c r="W183" s="491" t="n"/>
      <c r="X183" s="491" t="n"/>
      <c r="Y183" s="491" t="n"/>
    </row>
    <row r="184" ht="12.75" customHeight="1" s="398">
      <c r="A184" s="491" t="n"/>
      <c r="B184" s="491" t="n"/>
      <c r="C184" s="491" t="n"/>
      <c r="D184" s="491" t="n"/>
      <c r="E184" s="491" t="n"/>
      <c r="F184" s="491" t="n"/>
      <c r="G184" s="491" t="n"/>
      <c r="H184" s="491" t="n"/>
      <c r="I184" s="491" t="n"/>
      <c r="J184" s="491" t="n"/>
      <c r="K184" s="491" t="n"/>
      <c r="L184" s="491" t="n"/>
      <c r="M184" s="491" t="n"/>
      <c r="N184" s="491" t="n"/>
      <c r="O184" s="491" t="n"/>
      <c r="P184" s="491" t="n"/>
      <c r="Q184" s="491" t="n"/>
      <c r="R184" s="491" t="n"/>
      <c r="S184" s="491" t="n"/>
      <c r="T184" s="491" t="n"/>
      <c r="U184" s="491" t="n"/>
      <c r="V184" s="491" t="n"/>
      <c r="W184" s="491" t="n"/>
      <c r="X184" s="491" t="n"/>
      <c r="Y184" s="491" t="n"/>
    </row>
    <row r="185" ht="12.75" customHeight="1" s="398">
      <c r="A185" s="491" t="n"/>
      <c r="B185" s="491" t="n"/>
      <c r="C185" s="491" t="n"/>
      <c r="D185" s="491" t="n"/>
      <c r="E185" s="491" t="n"/>
      <c r="F185" s="491" t="n"/>
      <c r="G185" s="491" t="n"/>
      <c r="H185" s="491" t="n"/>
      <c r="I185" s="491" t="n"/>
      <c r="J185" s="491" t="n"/>
      <c r="K185" s="491" t="n"/>
      <c r="L185" s="491" t="n"/>
      <c r="M185" s="491" t="n"/>
      <c r="N185" s="491" t="n"/>
      <c r="O185" s="491" t="n"/>
      <c r="P185" s="491" t="n"/>
      <c r="Q185" s="491" t="n"/>
      <c r="R185" s="491" t="n"/>
      <c r="S185" s="491" t="n"/>
      <c r="T185" s="491" t="n"/>
      <c r="U185" s="491" t="n"/>
      <c r="V185" s="491" t="n"/>
      <c r="W185" s="491" t="n"/>
      <c r="X185" s="491" t="n"/>
      <c r="Y185" s="491" t="n"/>
    </row>
    <row r="186" ht="12.75" customHeight="1" s="398">
      <c r="A186" s="491" t="n"/>
      <c r="B186" s="491" t="n"/>
      <c r="C186" s="491" t="n"/>
      <c r="D186" s="491" t="n"/>
      <c r="E186" s="491" t="n"/>
      <c r="F186" s="491" t="n"/>
      <c r="G186" s="491" t="n"/>
      <c r="H186" s="491" t="n"/>
      <c r="I186" s="491" t="n"/>
      <c r="J186" s="491" t="n"/>
      <c r="K186" s="491" t="n"/>
      <c r="L186" s="491" t="n"/>
      <c r="M186" s="491" t="n"/>
      <c r="N186" s="491" t="n"/>
      <c r="O186" s="491" t="n"/>
      <c r="P186" s="491" t="n"/>
      <c r="Q186" s="491" t="n"/>
      <c r="R186" s="491" t="n"/>
      <c r="S186" s="491" t="n"/>
      <c r="T186" s="491" t="n"/>
      <c r="U186" s="491" t="n"/>
      <c r="V186" s="491" t="n"/>
      <c r="W186" s="491" t="n"/>
      <c r="X186" s="491" t="n"/>
      <c r="Y186" s="491" t="n"/>
    </row>
    <row r="187" ht="12.75" customHeight="1" s="398">
      <c r="A187" s="491" t="n"/>
      <c r="B187" s="491" t="n"/>
      <c r="C187" s="491" t="n"/>
      <c r="D187" s="491" t="n"/>
      <c r="E187" s="491" t="n"/>
      <c r="F187" s="491" t="n"/>
      <c r="G187" s="491" t="n"/>
      <c r="H187" s="491" t="n"/>
      <c r="I187" s="491" t="n"/>
      <c r="J187" s="491" t="n"/>
      <c r="K187" s="491" t="n"/>
      <c r="L187" s="491" t="n"/>
      <c r="M187" s="491" t="n"/>
      <c r="N187" s="491" t="n"/>
      <c r="O187" s="491" t="n"/>
      <c r="P187" s="491" t="n"/>
      <c r="Q187" s="491" t="n"/>
      <c r="R187" s="491" t="n"/>
      <c r="S187" s="491" t="n"/>
      <c r="T187" s="491" t="n"/>
      <c r="U187" s="491" t="n"/>
      <c r="V187" s="491" t="n"/>
      <c r="W187" s="491" t="n"/>
      <c r="X187" s="491" t="n"/>
      <c r="Y187" s="491" t="n"/>
    </row>
    <row r="188" ht="12.75" customHeight="1" s="398">
      <c r="A188" s="491" t="n"/>
      <c r="B188" s="491" t="n"/>
      <c r="C188" s="491" t="n"/>
      <c r="D188" s="491" t="n"/>
      <c r="E188" s="491" t="n"/>
      <c r="F188" s="491" t="n"/>
      <c r="G188" s="491" t="n"/>
      <c r="H188" s="491" t="n"/>
      <c r="I188" s="491" t="n"/>
      <c r="J188" s="491" t="n"/>
      <c r="K188" s="491" t="n"/>
      <c r="L188" s="491" t="n"/>
      <c r="M188" s="491" t="n"/>
      <c r="N188" s="491" t="n"/>
      <c r="O188" s="491" t="n"/>
      <c r="P188" s="491" t="n"/>
      <c r="Q188" s="491" t="n"/>
      <c r="R188" s="491" t="n"/>
      <c r="S188" s="491" t="n"/>
      <c r="T188" s="491" t="n"/>
      <c r="U188" s="491" t="n"/>
      <c r="V188" s="491" t="n"/>
      <c r="W188" s="491" t="n"/>
      <c r="X188" s="491" t="n"/>
      <c r="Y188" s="491" t="n"/>
    </row>
    <row r="189" ht="12.75" customHeight="1" s="398">
      <c r="A189" s="491" t="n"/>
      <c r="B189" s="491" t="n"/>
      <c r="C189" s="491" t="n"/>
      <c r="D189" s="491" t="n"/>
      <c r="E189" s="491" t="n"/>
      <c r="F189" s="491" t="n"/>
      <c r="G189" s="491" t="n"/>
      <c r="H189" s="491" t="n"/>
      <c r="I189" s="491" t="n"/>
      <c r="J189" s="491" t="n"/>
      <c r="K189" s="491" t="n"/>
      <c r="L189" s="491" t="n"/>
      <c r="M189" s="491" t="n"/>
      <c r="N189" s="491" t="n"/>
      <c r="O189" s="491" t="n"/>
      <c r="P189" s="491" t="n"/>
      <c r="Q189" s="491" t="n"/>
      <c r="R189" s="491" t="n"/>
      <c r="S189" s="491" t="n"/>
      <c r="T189" s="491" t="n"/>
      <c r="U189" s="491" t="n"/>
      <c r="V189" s="491" t="n"/>
      <c r="W189" s="491" t="n"/>
      <c r="X189" s="491" t="n"/>
      <c r="Y189" s="491" t="n"/>
    </row>
    <row r="190" ht="12.75" customHeight="1" s="398">
      <c r="A190" s="491" t="n"/>
      <c r="B190" s="491" t="n"/>
      <c r="C190" s="491" t="n"/>
      <c r="D190" s="491" t="n"/>
      <c r="E190" s="491" t="n"/>
      <c r="F190" s="491" t="n"/>
      <c r="G190" s="491" t="n"/>
      <c r="H190" s="491" t="n"/>
      <c r="I190" s="491" t="n"/>
      <c r="J190" s="491" t="n"/>
      <c r="K190" s="491" t="n"/>
      <c r="L190" s="491" t="n"/>
      <c r="M190" s="491" t="n"/>
      <c r="N190" s="491" t="n"/>
      <c r="O190" s="491" t="n"/>
      <c r="P190" s="491" t="n"/>
      <c r="Q190" s="491" t="n"/>
      <c r="R190" s="491" t="n"/>
      <c r="S190" s="491" t="n"/>
      <c r="T190" s="491" t="n"/>
      <c r="U190" s="491" t="n"/>
      <c r="V190" s="491" t="n"/>
      <c r="W190" s="491" t="n"/>
      <c r="X190" s="491" t="n"/>
      <c r="Y190" s="491" t="n"/>
    </row>
    <row r="191" ht="12.75" customHeight="1" s="398">
      <c r="A191" s="491" t="n"/>
      <c r="B191" s="491" t="n"/>
      <c r="C191" s="491" t="n"/>
      <c r="D191" s="491" t="n"/>
      <c r="E191" s="491" t="n"/>
      <c r="F191" s="491" t="n"/>
      <c r="G191" s="491" t="n"/>
      <c r="H191" s="491" t="n"/>
      <c r="I191" s="491" t="n"/>
      <c r="J191" s="491" t="n"/>
      <c r="K191" s="491" t="n"/>
      <c r="L191" s="491" t="n"/>
      <c r="M191" s="491" t="n"/>
      <c r="N191" s="491" t="n"/>
      <c r="O191" s="491" t="n"/>
      <c r="P191" s="491" t="n"/>
      <c r="Q191" s="491" t="n"/>
      <c r="R191" s="491" t="n"/>
      <c r="S191" s="491" t="n"/>
      <c r="T191" s="491" t="n"/>
      <c r="U191" s="491" t="n"/>
      <c r="V191" s="491" t="n"/>
      <c r="W191" s="491" t="n"/>
      <c r="X191" s="491" t="n"/>
      <c r="Y191" s="491" t="n"/>
    </row>
    <row r="192" ht="12.75" customHeight="1" s="398">
      <c r="A192" s="491" t="n"/>
      <c r="B192" s="491" t="n"/>
      <c r="C192" s="491" t="n"/>
      <c r="D192" s="491" t="n"/>
      <c r="E192" s="491" t="n"/>
      <c r="F192" s="491" t="n"/>
      <c r="G192" s="491" t="n"/>
      <c r="H192" s="491" t="n"/>
      <c r="I192" s="491" t="n"/>
      <c r="J192" s="491" t="n"/>
      <c r="K192" s="491" t="n"/>
      <c r="L192" s="491" t="n"/>
      <c r="M192" s="491" t="n"/>
      <c r="N192" s="491" t="n"/>
      <c r="O192" s="491" t="n"/>
      <c r="P192" s="491" t="n"/>
      <c r="Q192" s="491" t="n"/>
      <c r="R192" s="491" t="n"/>
      <c r="S192" s="491" t="n"/>
      <c r="T192" s="491" t="n"/>
      <c r="U192" s="491" t="n"/>
      <c r="V192" s="491" t="n"/>
      <c r="W192" s="491" t="n"/>
      <c r="X192" s="491" t="n"/>
      <c r="Y192" s="491" t="n"/>
    </row>
    <row r="193" ht="12.75" customHeight="1" s="398">
      <c r="A193" s="491" t="n"/>
      <c r="B193" s="491" t="n"/>
      <c r="C193" s="491" t="n"/>
      <c r="D193" s="491" t="n"/>
      <c r="E193" s="491" t="n"/>
      <c r="F193" s="491" t="n"/>
      <c r="G193" s="491" t="n"/>
      <c r="H193" s="491" t="n"/>
      <c r="I193" s="491" t="n"/>
      <c r="J193" s="491" t="n"/>
      <c r="K193" s="491" t="n"/>
      <c r="L193" s="491" t="n"/>
      <c r="M193" s="491" t="n"/>
      <c r="N193" s="491" t="n"/>
      <c r="O193" s="491" t="n"/>
      <c r="P193" s="491" t="n"/>
      <c r="Q193" s="491" t="n"/>
      <c r="R193" s="491" t="n"/>
      <c r="S193" s="491" t="n"/>
      <c r="T193" s="491" t="n"/>
      <c r="U193" s="491" t="n"/>
      <c r="V193" s="491" t="n"/>
      <c r="W193" s="491" t="n"/>
      <c r="X193" s="491" t="n"/>
      <c r="Y193" s="491" t="n"/>
    </row>
    <row r="194" ht="12.75" customHeight="1" s="398">
      <c r="A194" s="491" t="n"/>
      <c r="B194" s="491" t="n"/>
      <c r="C194" s="491" t="n"/>
      <c r="D194" s="491" t="n"/>
      <c r="E194" s="491" t="n"/>
      <c r="F194" s="491" t="n"/>
      <c r="G194" s="491" t="n"/>
      <c r="H194" s="491" t="n"/>
      <c r="I194" s="491" t="n"/>
      <c r="J194" s="491" t="n"/>
      <c r="K194" s="491" t="n"/>
      <c r="L194" s="491" t="n"/>
      <c r="M194" s="491" t="n"/>
      <c r="N194" s="491" t="n"/>
      <c r="O194" s="491" t="n"/>
      <c r="P194" s="491" t="n"/>
      <c r="Q194" s="491" t="n"/>
      <c r="R194" s="491" t="n"/>
      <c r="S194" s="491" t="n"/>
      <c r="T194" s="491" t="n"/>
      <c r="U194" s="491" t="n"/>
      <c r="V194" s="491" t="n"/>
      <c r="W194" s="491" t="n"/>
      <c r="X194" s="491" t="n"/>
      <c r="Y194" s="491" t="n"/>
    </row>
    <row r="195" ht="12.75" customHeight="1" s="398">
      <c r="A195" s="491" t="n"/>
      <c r="B195" s="491" t="n"/>
      <c r="C195" s="491" t="n"/>
      <c r="D195" s="491" t="n"/>
      <c r="E195" s="491" t="n"/>
      <c r="F195" s="491" t="n"/>
      <c r="G195" s="491" t="n"/>
      <c r="H195" s="491" t="n"/>
      <c r="I195" s="491" t="n"/>
      <c r="J195" s="491" t="n"/>
      <c r="K195" s="491" t="n"/>
      <c r="L195" s="491" t="n"/>
      <c r="M195" s="491" t="n"/>
      <c r="N195" s="491" t="n"/>
      <c r="O195" s="491" t="n"/>
      <c r="P195" s="491" t="n"/>
      <c r="Q195" s="491" t="n"/>
      <c r="R195" s="491" t="n"/>
      <c r="S195" s="491" t="n"/>
      <c r="T195" s="491" t="n"/>
      <c r="U195" s="491" t="n"/>
      <c r="V195" s="491" t="n"/>
      <c r="W195" s="491" t="n"/>
      <c r="X195" s="491" t="n"/>
      <c r="Y195" s="491" t="n"/>
    </row>
    <row r="196" ht="12.75" customHeight="1" s="398">
      <c r="A196" s="491" t="n"/>
      <c r="B196" s="491" t="n"/>
      <c r="C196" s="491" t="n"/>
      <c r="D196" s="491" t="n"/>
      <c r="E196" s="491" t="n"/>
      <c r="F196" s="491" t="n"/>
      <c r="G196" s="491" t="n"/>
      <c r="H196" s="491" t="n"/>
      <c r="I196" s="491" t="n"/>
      <c r="J196" s="491" t="n"/>
      <c r="K196" s="491" t="n"/>
      <c r="L196" s="491" t="n"/>
      <c r="M196" s="491" t="n"/>
      <c r="N196" s="491" t="n"/>
      <c r="O196" s="491" t="n"/>
      <c r="P196" s="491" t="n"/>
      <c r="Q196" s="491" t="n"/>
      <c r="R196" s="491" t="n"/>
      <c r="S196" s="491" t="n"/>
      <c r="T196" s="491" t="n"/>
      <c r="U196" s="491" t="n"/>
      <c r="V196" s="491" t="n"/>
      <c r="W196" s="491" t="n"/>
      <c r="X196" s="491" t="n"/>
      <c r="Y196" s="491" t="n"/>
    </row>
    <row r="197" ht="12.75" customHeight="1" s="398">
      <c r="A197" s="491" t="n"/>
      <c r="B197" s="491" t="n"/>
      <c r="C197" s="491" t="n"/>
      <c r="D197" s="491" t="n"/>
      <c r="E197" s="491" t="n"/>
      <c r="F197" s="491" t="n"/>
      <c r="G197" s="491" t="n"/>
      <c r="H197" s="491" t="n"/>
      <c r="I197" s="491" t="n"/>
      <c r="J197" s="491" t="n"/>
      <c r="K197" s="491" t="n"/>
      <c r="L197" s="491" t="n"/>
      <c r="M197" s="491" t="n"/>
      <c r="N197" s="491" t="n"/>
      <c r="O197" s="491" t="n"/>
      <c r="P197" s="491" t="n"/>
      <c r="Q197" s="491" t="n"/>
      <c r="R197" s="491" t="n"/>
      <c r="S197" s="491" t="n"/>
      <c r="T197" s="491" t="n"/>
      <c r="U197" s="491" t="n"/>
      <c r="V197" s="491" t="n"/>
      <c r="W197" s="491" t="n"/>
      <c r="X197" s="491" t="n"/>
      <c r="Y197" s="491" t="n"/>
    </row>
    <row r="198" ht="12.75" customHeight="1" s="398">
      <c r="A198" s="491" t="n"/>
      <c r="B198" s="491" t="n"/>
      <c r="C198" s="491" t="n"/>
      <c r="D198" s="491" t="n"/>
      <c r="E198" s="491" t="n"/>
      <c r="F198" s="491" t="n"/>
      <c r="G198" s="491" t="n"/>
      <c r="H198" s="491" t="n"/>
      <c r="I198" s="491" t="n"/>
      <c r="J198" s="491" t="n"/>
      <c r="K198" s="491" t="n"/>
      <c r="L198" s="491" t="n"/>
      <c r="M198" s="491" t="n"/>
      <c r="N198" s="491" t="n"/>
      <c r="O198" s="491" t="n"/>
      <c r="P198" s="491" t="n"/>
      <c r="Q198" s="491" t="n"/>
      <c r="R198" s="491" t="n"/>
      <c r="S198" s="491" t="n"/>
      <c r="T198" s="491" t="n"/>
      <c r="U198" s="491" t="n"/>
      <c r="V198" s="491" t="n"/>
      <c r="W198" s="491" t="n"/>
      <c r="X198" s="491" t="n"/>
      <c r="Y198" s="491" t="n"/>
    </row>
    <row r="199" ht="12.75" customHeight="1" s="398">
      <c r="A199" s="491" t="n"/>
      <c r="B199" s="491" t="n"/>
      <c r="C199" s="491" t="n"/>
      <c r="D199" s="491" t="n"/>
      <c r="E199" s="491" t="n"/>
      <c r="F199" s="491" t="n"/>
      <c r="G199" s="491" t="n"/>
      <c r="H199" s="491" t="n"/>
      <c r="I199" s="491" t="n"/>
      <c r="J199" s="491" t="n"/>
      <c r="K199" s="491" t="n"/>
      <c r="L199" s="491" t="n"/>
      <c r="M199" s="491" t="n"/>
      <c r="N199" s="491" t="n"/>
      <c r="O199" s="491" t="n"/>
      <c r="P199" s="491" t="n"/>
      <c r="Q199" s="491" t="n"/>
      <c r="R199" s="491" t="n"/>
      <c r="S199" s="491" t="n"/>
      <c r="T199" s="491" t="n"/>
      <c r="U199" s="491" t="n"/>
      <c r="V199" s="491" t="n"/>
      <c r="W199" s="491" t="n"/>
      <c r="X199" s="491" t="n"/>
      <c r="Y199" s="491" t="n"/>
    </row>
    <row r="200" ht="12.75" customHeight="1" s="398">
      <c r="A200" s="491" t="n"/>
      <c r="B200" s="491" t="n"/>
      <c r="C200" s="491" t="n"/>
      <c r="D200" s="491" t="n"/>
      <c r="E200" s="491" t="n"/>
      <c r="F200" s="491" t="n"/>
      <c r="G200" s="491" t="n"/>
      <c r="H200" s="491" t="n"/>
      <c r="I200" s="491" t="n"/>
      <c r="J200" s="491" t="n"/>
      <c r="K200" s="491" t="n"/>
      <c r="L200" s="491" t="n"/>
      <c r="M200" s="491" t="n"/>
      <c r="N200" s="491" t="n"/>
      <c r="O200" s="491" t="n"/>
      <c r="P200" s="491" t="n"/>
      <c r="Q200" s="491" t="n"/>
      <c r="R200" s="491" t="n"/>
      <c r="S200" s="491" t="n"/>
      <c r="T200" s="491" t="n"/>
      <c r="U200" s="491" t="n"/>
      <c r="V200" s="491" t="n"/>
      <c r="W200" s="491" t="n"/>
      <c r="X200" s="491" t="n"/>
      <c r="Y200" s="491" t="n"/>
    </row>
    <row r="201" ht="12.75" customHeight="1" s="398">
      <c r="A201" s="491" t="n"/>
      <c r="B201" s="491" t="n"/>
      <c r="C201" s="491" t="n"/>
      <c r="D201" s="491" t="n"/>
      <c r="E201" s="491" t="n"/>
      <c r="F201" s="491" t="n"/>
      <c r="G201" s="491" t="n"/>
      <c r="H201" s="491" t="n"/>
      <c r="I201" s="491" t="n"/>
      <c r="J201" s="491" t="n"/>
      <c r="K201" s="491" t="n"/>
      <c r="L201" s="491" t="n"/>
      <c r="M201" s="491" t="n"/>
      <c r="N201" s="491" t="n"/>
      <c r="O201" s="491" t="n"/>
      <c r="P201" s="491" t="n"/>
      <c r="Q201" s="491" t="n"/>
      <c r="R201" s="491" t="n"/>
      <c r="S201" s="491" t="n"/>
      <c r="T201" s="491" t="n"/>
      <c r="U201" s="491" t="n"/>
      <c r="V201" s="491" t="n"/>
      <c r="W201" s="491" t="n"/>
      <c r="X201" s="491" t="n"/>
      <c r="Y201" s="491" t="n"/>
    </row>
    <row r="202" ht="12.75" customHeight="1" s="398">
      <c r="A202" s="491" t="n"/>
      <c r="B202" s="491" t="n"/>
      <c r="C202" s="491" t="n"/>
      <c r="D202" s="491" t="n"/>
      <c r="E202" s="491" t="n"/>
      <c r="F202" s="491" t="n"/>
      <c r="G202" s="491" t="n"/>
      <c r="H202" s="491" t="n"/>
      <c r="I202" s="491" t="n"/>
      <c r="J202" s="491" t="n"/>
      <c r="K202" s="491" t="n"/>
      <c r="L202" s="491" t="n"/>
      <c r="M202" s="491" t="n"/>
      <c r="N202" s="491" t="n"/>
      <c r="O202" s="491" t="n"/>
      <c r="P202" s="491" t="n"/>
      <c r="Q202" s="491" t="n"/>
      <c r="R202" s="491" t="n"/>
      <c r="S202" s="491" t="n"/>
      <c r="T202" s="491" t="n"/>
      <c r="U202" s="491" t="n"/>
      <c r="V202" s="491" t="n"/>
      <c r="W202" s="491" t="n"/>
      <c r="X202" s="491" t="n"/>
      <c r="Y202" s="491" t="n"/>
    </row>
    <row r="203" ht="12.75" customHeight="1" s="398">
      <c r="A203" s="491" t="n"/>
      <c r="B203" s="491" t="n"/>
      <c r="C203" s="491" t="n"/>
      <c r="D203" s="491" t="n"/>
      <c r="E203" s="491" t="n"/>
      <c r="F203" s="491" t="n"/>
      <c r="G203" s="491" t="n"/>
      <c r="H203" s="491" t="n"/>
      <c r="I203" s="491" t="n"/>
      <c r="J203" s="491" t="n"/>
      <c r="K203" s="491" t="n"/>
      <c r="L203" s="491" t="n"/>
      <c r="M203" s="491" t="n"/>
      <c r="N203" s="491" t="n"/>
      <c r="O203" s="491" t="n"/>
      <c r="P203" s="491" t="n"/>
      <c r="Q203" s="491" t="n"/>
      <c r="R203" s="491" t="n"/>
      <c r="S203" s="491" t="n"/>
      <c r="T203" s="491" t="n"/>
      <c r="U203" s="491" t="n"/>
      <c r="V203" s="491" t="n"/>
      <c r="W203" s="491" t="n"/>
      <c r="X203" s="491" t="n"/>
      <c r="Y203" s="491" t="n"/>
    </row>
    <row r="204" ht="12.75" customHeight="1" s="398">
      <c r="A204" s="491" t="n"/>
      <c r="B204" s="491" t="n"/>
      <c r="C204" s="491" t="n"/>
      <c r="D204" s="491" t="n"/>
      <c r="E204" s="491" t="n"/>
      <c r="F204" s="491" t="n"/>
      <c r="G204" s="491" t="n"/>
      <c r="H204" s="491" t="n"/>
      <c r="I204" s="491" t="n"/>
      <c r="J204" s="491" t="n"/>
      <c r="K204" s="491" t="n"/>
      <c r="L204" s="491" t="n"/>
      <c r="M204" s="491" t="n"/>
      <c r="N204" s="491" t="n"/>
      <c r="O204" s="491" t="n"/>
      <c r="P204" s="491" t="n"/>
      <c r="Q204" s="491" t="n"/>
      <c r="R204" s="491" t="n"/>
      <c r="S204" s="491" t="n"/>
      <c r="T204" s="491" t="n"/>
      <c r="U204" s="491" t="n"/>
      <c r="V204" s="491" t="n"/>
      <c r="W204" s="491" t="n"/>
      <c r="X204" s="491" t="n"/>
      <c r="Y204" s="491" t="n"/>
    </row>
    <row r="205" ht="12.75" customHeight="1" s="398">
      <c r="A205" s="491" t="n"/>
      <c r="B205" s="491" t="n"/>
      <c r="C205" s="491" t="n"/>
      <c r="D205" s="491" t="n"/>
      <c r="E205" s="491" t="n"/>
      <c r="F205" s="491" t="n"/>
      <c r="G205" s="491" t="n"/>
      <c r="H205" s="491" t="n"/>
      <c r="I205" s="491" t="n"/>
      <c r="J205" s="491" t="n"/>
      <c r="K205" s="491" t="n"/>
      <c r="L205" s="491" t="n"/>
      <c r="M205" s="491" t="n"/>
      <c r="N205" s="491" t="n"/>
      <c r="O205" s="491" t="n"/>
      <c r="P205" s="491" t="n"/>
      <c r="Q205" s="491" t="n"/>
      <c r="R205" s="491" t="n"/>
      <c r="S205" s="491" t="n"/>
      <c r="T205" s="491" t="n"/>
      <c r="U205" s="491" t="n"/>
      <c r="V205" s="491" t="n"/>
      <c r="W205" s="491" t="n"/>
      <c r="X205" s="491" t="n"/>
      <c r="Y205" s="491" t="n"/>
    </row>
    <row r="206" ht="12.75" customHeight="1" s="398">
      <c r="A206" s="491" t="n"/>
      <c r="B206" s="491" t="n"/>
      <c r="C206" s="491" t="n"/>
      <c r="D206" s="491" t="n"/>
      <c r="E206" s="491" t="n"/>
      <c r="F206" s="491" t="n"/>
      <c r="G206" s="491" t="n"/>
      <c r="H206" s="491" t="n"/>
      <c r="I206" s="491" t="n"/>
      <c r="J206" s="491" t="n"/>
      <c r="K206" s="491" t="n"/>
      <c r="L206" s="491" t="n"/>
      <c r="M206" s="491" t="n"/>
      <c r="N206" s="491" t="n"/>
      <c r="O206" s="491" t="n"/>
      <c r="P206" s="491" t="n"/>
      <c r="Q206" s="491" t="n"/>
      <c r="R206" s="491" t="n"/>
      <c r="S206" s="491" t="n"/>
      <c r="T206" s="491" t="n"/>
      <c r="U206" s="491" t="n"/>
      <c r="V206" s="491" t="n"/>
      <c r="W206" s="491" t="n"/>
      <c r="X206" s="491" t="n"/>
      <c r="Y206" s="491" t="n"/>
    </row>
    <row r="207" ht="12.75" customHeight="1" s="398">
      <c r="A207" s="491" t="n"/>
      <c r="B207" s="491" t="n"/>
      <c r="C207" s="491" t="n"/>
      <c r="D207" s="491" t="n"/>
      <c r="E207" s="491" t="n"/>
      <c r="F207" s="491" t="n"/>
      <c r="G207" s="491" t="n"/>
      <c r="H207" s="491" t="n"/>
      <c r="I207" s="491" t="n"/>
      <c r="J207" s="491" t="n"/>
      <c r="K207" s="491" t="n"/>
      <c r="L207" s="491" t="n"/>
      <c r="M207" s="491" t="n"/>
      <c r="N207" s="491" t="n"/>
      <c r="O207" s="491" t="n"/>
      <c r="P207" s="491" t="n"/>
      <c r="Q207" s="491" t="n"/>
      <c r="R207" s="491" t="n"/>
      <c r="S207" s="491" t="n"/>
      <c r="T207" s="491" t="n"/>
      <c r="U207" s="491" t="n"/>
      <c r="V207" s="491" t="n"/>
      <c r="W207" s="491" t="n"/>
      <c r="X207" s="491" t="n"/>
      <c r="Y207" s="491" t="n"/>
    </row>
    <row r="208" ht="12.75" customHeight="1" s="398">
      <c r="A208" s="491" t="n"/>
      <c r="B208" s="491" t="n"/>
      <c r="C208" s="491" t="n"/>
      <c r="D208" s="491" t="n"/>
      <c r="E208" s="491" t="n"/>
      <c r="F208" s="491" t="n"/>
      <c r="G208" s="491" t="n"/>
      <c r="H208" s="491" t="n"/>
      <c r="I208" s="491" t="n"/>
      <c r="J208" s="491" t="n"/>
      <c r="K208" s="491" t="n"/>
      <c r="L208" s="491" t="n"/>
      <c r="M208" s="491" t="n"/>
      <c r="N208" s="491" t="n"/>
      <c r="O208" s="491" t="n"/>
      <c r="P208" s="491" t="n"/>
      <c r="Q208" s="491" t="n"/>
      <c r="R208" s="491" t="n"/>
      <c r="S208" s="491" t="n"/>
      <c r="T208" s="491" t="n"/>
      <c r="U208" s="491" t="n"/>
      <c r="V208" s="491" t="n"/>
      <c r="W208" s="491" t="n"/>
      <c r="X208" s="491" t="n"/>
      <c r="Y208" s="491" t="n"/>
    </row>
    <row r="209" ht="12.75" customHeight="1" s="398">
      <c r="A209" s="491" t="n"/>
      <c r="B209" s="491" t="n"/>
      <c r="C209" s="491" t="n"/>
      <c r="D209" s="491" t="n"/>
      <c r="E209" s="491" t="n"/>
      <c r="F209" s="491" t="n"/>
      <c r="G209" s="491" t="n"/>
      <c r="H209" s="491" t="n"/>
      <c r="I209" s="491" t="n"/>
      <c r="J209" s="491" t="n"/>
      <c r="K209" s="491" t="n"/>
      <c r="L209" s="491" t="n"/>
      <c r="M209" s="491" t="n"/>
      <c r="N209" s="491" t="n"/>
      <c r="O209" s="491" t="n"/>
      <c r="P209" s="491" t="n"/>
      <c r="Q209" s="491" t="n"/>
      <c r="R209" s="491" t="n"/>
      <c r="S209" s="491" t="n"/>
      <c r="T209" s="491" t="n"/>
      <c r="U209" s="491" t="n"/>
      <c r="V209" s="491" t="n"/>
      <c r="W209" s="491" t="n"/>
      <c r="X209" s="491" t="n"/>
      <c r="Y209" s="491" t="n"/>
    </row>
    <row r="210" ht="12.75" customHeight="1" s="398">
      <c r="A210" s="491" t="n"/>
      <c r="B210" s="491" t="n"/>
      <c r="C210" s="491" t="n"/>
      <c r="D210" s="491" t="n"/>
      <c r="E210" s="491" t="n"/>
      <c r="F210" s="491" t="n"/>
      <c r="G210" s="491" t="n"/>
      <c r="H210" s="491" t="n"/>
      <c r="I210" s="491" t="n"/>
      <c r="J210" s="491" t="n"/>
      <c r="K210" s="491" t="n"/>
      <c r="L210" s="491" t="n"/>
      <c r="M210" s="491" t="n"/>
      <c r="N210" s="491" t="n"/>
      <c r="O210" s="491" t="n"/>
      <c r="P210" s="491" t="n"/>
      <c r="Q210" s="491" t="n"/>
      <c r="R210" s="491" t="n"/>
      <c r="S210" s="491" t="n"/>
      <c r="T210" s="491" t="n"/>
      <c r="U210" s="491" t="n"/>
      <c r="V210" s="491" t="n"/>
      <c r="W210" s="491" t="n"/>
      <c r="X210" s="491" t="n"/>
      <c r="Y210" s="491" t="n"/>
    </row>
    <row r="211" ht="12.75" customHeight="1" s="398">
      <c r="A211" s="491" t="n"/>
      <c r="B211" s="491" t="n"/>
      <c r="C211" s="491" t="n"/>
      <c r="D211" s="491" t="n"/>
      <c r="E211" s="491" t="n"/>
      <c r="F211" s="491" t="n"/>
      <c r="G211" s="491" t="n"/>
      <c r="H211" s="491" t="n"/>
      <c r="I211" s="491" t="n"/>
      <c r="J211" s="491" t="n"/>
      <c r="K211" s="491" t="n"/>
      <c r="L211" s="491" t="n"/>
      <c r="M211" s="491" t="n"/>
      <c r="N211" s="491" t="n"/>
      <c r="O211" s="491" t="n"/>
      <c r="P211" s="491" t="n"/>
      <c r="Q211" s="491" t="n"/>
      <c r="R211" s="491" t="n"/>
      <c r="S211" s="491" t="n"/>
      <c r="T211" s="491" t="n"/>
      <c r="U211" s="491" t="n"/>
      <c r="V211" s="491" t="n"/>
      <c r="W211" s="491" t="n"/>
      <c r="X211" s="491" t="n"/>
      <c r="Y211" s="491" t="n"/>
    </row>
    <row r="212" ht="12.75" customHeight="1" s="398">
      <c r="A212" s="491" t="n"/>
      <c r="B212" s="491" t="n"/>
      <c r="C212" s="491" t="n"/>
      <c r="D212" s="491" t="n"/>
      <c r="E212" s="491" t="n"/>
      <c r="F212" s="491" t="n"/>
      <c r="G212" s="491" t="n"/>
      <c r="H212" s="491" t="n"/>
      <c r="I212" s="491" t="n"/>
      <c r="J212" s="491" t="n"/>
      <c r="K212" s="491" t="n"/>
      <c r="L212" s="491" t="n"/>
      <c r="M212" s="491" t="n"/>
      <c r="N212" s="491" t="n"/>
      <c r="O212" s="491" t="n"/>
      <c r="P212" s="491" t="n"/>
      <c r="Q212" s="491" t="n"/>
      <c r="R212" s="491" t="n"/>
      <c r="S212" s="491" t="n"/>
      <c r="T212" s="491" t="n"/>
      <c r="U212" s="491" t="n"/>
      <c r="V212" s="491" t="n"/>
      <c r="W212" s="491" t="n"/>
      <c r="X212" s="491" t="n"/>
      <c r="Y212" s="491" t="n"/>
    </row>
    <row r="213" ht="12.75" customHeight="1" s="398">
      <c r="A213" s="491" t="n"/>
      <c r="B213" s="491" t="n"/>
      <c r="C213" s="491" t="n"/>
      <c r="D213" s="491" t="n"/>
      <c r="E213" s="491" t="n"/>
      <c r="F213" s="491" t="n"/>
      <c r="G213" s="491" t="n"/>
      <c r="H213" s="491" t="n"/>
      <c r="I213" s="491" t="n"/>
      <c r="J213" s="491" t="n"/>
      <c r="K213" s="491" t="n"/>
      <c r="L213" s="491" t="n"/>
      <c r="M213" s="491" t="n"/>
      <c r="N213" s="491" t="n"/>
      <c r="O213" s="491" t="n"/>
      <c r="P213" s="491" t="n"/>
      <c r="Q213" s="491" t="n"/>
      <c r="R213" s="491" t="n"/>
      <c r="S213" s="491" t="n"/>
      <c r="T213" s="491" t="n"/>
      <c r="U213" s="491" t="n"/>
      <c r="V213" s="491" t="n"/>
      <c r="W213" s="491" t="n"/>
      <c r="X213" s="491" t="n"/>
      <c r="Y213" s="491" t="n"/>
    </row>
    <row r="214" ht="12.75" customHeight="1" s="398">
      <c r="A214" s="491" t="n"/>
      <c r="B214" s="491" t="n"/>
      <c r="C214" s="491" t="n"/>
      <c r="D214" s="491" t="n"/>
      <c r="E214" s="491" t="n"/>
      <c r="F214" s="491" t="n"/>
      <c r="G214" s="491" t="n"/>
      <c r="H214" s="491" t="n"/>
      <c r="I214" s="491" t="n"/>
      <c r="J214" s="491" t="n"/>
      <c r="K214" s="491" t="n"/>
      <c r="L214" s="491" t="n"/>
      <c r="M214" s="491" t="n"/>
      <c r="N214" s="491" t="n"/>
      <c r="O214" s="491" t="n"/>
      <c r="P214" s="491" t="n"/>
      <c r="Q214" s="491" t="n"/>
      <c r="R214" s="491" t="n"/>
      <c r="S214" s="491" t="n"/>
      <c r="T214" s="491" t="n"/>
      <c r="U214" s="491" t="n"/>
      <c r="V214" s="491" t="n"/>
      <c r="W214" s="491" t="n"/>
      <c r="X214" s="491" t="n"/>
      <c r="Y214" s="491" t="n"/>
    </row>
    <row r="215" ht="12.75" customHeight="1" s="398">
      <c r="A215" s="491" t="n"/>
      <c r="B215" s="491" t="n"/>
      <c r="C215" s="491" t="n"/>
      <c r="D215" s="491" t="n"/>
      <c r="E215" s="491" t="n"/>
      <c r="F215" s="491" t="n"/>
      <c r="G215" s="491" t="n"/>
      <c r="H215" s="491" t="n"/>
      <c r="I215" s="491" t="n"/>
      <c r="J215" s="491" t="n"/>
      <c r="K215" s="491" t="n"/>
      <c r="L215" s="491" t="n"/>
      <c r="M215" s="491" t="n"/>
      <c r="N215" s="491" t="n"/>
      <c r="O215" s="491" t="n"/>
      <c r="P215" s="491" t="n"/>
      <c r="Q215" s="491" t="n"/>
      <c r="R215" s="491" t="n"/>
      <c r="S215" s="491" t="n"/>
      <c r="T215" s="491" t="n"/>
      <c r="U215" s="491" t="n"/>
      <c r="V215" s="491" t="n"/>
      <c r="W215" s="491" t="n"/>
      <c r="X215" s="491" t="n"/>
      <c r="Y215" s="491" t="n"/>
    </row>
    <row r="216" ht="12.75" customHeight="1" s="398">
      <c r="A216" s="491" t="n"/>
      <c r="B216" s="491" t="n"/>
      <c r="C216" s="491" t="n"/>
      <c r="D216" s="491" t="n"/>
      <c r="E216" s="491" t="n"/>
      <c r="F216" s="491" t="n"/>
      <c r="G216" s="491" t="n"/>
      <c r="H216" s="491" t="n"/>
      <c r="I216" s="491" t="n"/>
      <c r="J216" s="491" t="n"/>
      <c r="K216" s="491" t="n"/>
      <c r="L216" s="491" t="n"/>
      <c r="M216" s="491" t="n"/>
      <c r="N216" s="491" t="n"/>
      <c r="O216" s="491" t="n"/>
      <c r="P216" s="491" t="n"/>
      <c r="Q216" s="491" t="n"/>
      <c r="R216" s="491" t="n"/>
      <c r="S216" s="491" t="n"/>
      <c r="T216" s="491" t="n"/>
      <c r="U216" s="491" t="n"/>
      <c r="V216" s="491" t="n"/>
      <c r="W216" s="491" t="n"/>
      <c r="X216" s="491" t="n"/>
      <c r="Y216" s="491" t="n"/>
    </row>
    <row r="217" ht="12.75" customHeight="1" s="398">
      <c r="A217" s="491" t="n"/>
      <c r="B217" s="491" t="n"/>
      <c r="C217" s="491" t="n"/>
      <c r="D217" s="491" t="n"/>
      <c r="E217" s="491" t="n"/>
      <c r="F217" s="491" t="n"/>
      <c r="G217" s="491" t="n"/>
      <c r="H217" s="491" t="n"/>
      <c r="I217" s="491" t="n"/>
      <c r="J217" s="491" t="n"/>
      <c r="K217" s="491" t="n"/>
      <c r="L217" s="491" t="n"/>
      <c r="M217" s="491" t="n"/>
      <c r="N217" s="491" t="n"/>
      <c r="O217" s="491" t="n"/>
      <c r="P217" s="491" t="n"/>
      <c r="Q217" s="491" t="n"/>
      <c r="R217" s="491" t="n"/>
      <c r="S217" s="491" t="n"/>
      <c r="T217" s="491" t="n"/>
      <c r="U217" s="491" t="n"/>
      <c r="V217" s="491" t="n"/>
      <c r="W217" s="491" t="n"/>
      <c r="X217" s="491" t="n"/>
      <c r="Y217" s="491" t="n"/>
    </row>
    <row r="218" ht="12.75" customHeight="1" s="398">
      <c r="A218" s="491" t="n"/>
      <c r="B218" s="491" t="n"/>
      <c r="C218" s="491" t="n"/>
      <c r="D218" s="491" t="n"/>
      <c r="E218" s="491" t="n"/>
      <c r="F218" s="491" t="n"/>
      <c r="G218" s="491" t="n"/>
      <c r="H218" s="491" t="n"/>
      <c r="I218" s="491" t="n"/>
      <c r="J218" s="491" t="n"/>
      <c r="K218" s="491" t="n"/>
      <c r="L218" s="491" t="n"/>
      <c r="M218" s="491" t="n"/>
      <c r="N218" s="491" t="n"/>
      <c r="O218" s="491" t="n"/>
      <c r="P218" s="491" t="n"/>
      <c r="Q218" s="491" t="n"/>
      <c r="R218" s="491" t="n"/>
      <c r="S218" s="491" t="n"/>
      <c r="T218" s="491" t="n"/>
      <c r="U218" s="491" t="n"/>
      <c r="V218" s="491" t="n"/>
      <c r="W218" s="491" t="n"/>
      <c r="X218" s="491" t="n"/>
      <c r="Y218" s="491" t="n"/>
    </row>
    <row r="219" ht="12.75" customHeight="1" s="398">
      <c r="A219" s="491" t="n"/>
      <c r="B219" s="491" t="n"/>
      <c r="C219" s="491" t="n"/>
      <c r="D219" s="491" t="n"/>
      <c r="E219" s="491" t="n"/>
      <c r="F219" s="491" t="n"/>
      <c r="G219" s="491" t="n"/>
      <c r="H219" s="491" t="n"/>
      <c r="I219" s="491" t="n"/>
      <c r="J219" s="491" t="n"/>
      <c r="K219" s="491" t="n"/>
      <c r="L219" s="491" t="n"/>
      <c r="M219" s="491" t="n"/>
      <c r="N219" s="491" t="n"/>
      <c r="O219" s="491" t="n"/>
      <c r="P219" s="491" t="n"/>
      <c r="Q219" s="491" t="n"/>
      <c r="R219" s="491" t="n"/>
      <c r="S219" s="491" t="n"/>
      <c r="T219" s="491" t="n"/>
      <c r="U219" s="491" t="n"/>
      <c r="V219" s="491" t="n"/>
      <c r="W219" s="491" t="n"/>
      <c r="X219" s="491" t="n"/>
      <c r="Y219" s="491" t="n"/>
    </row>
    <row r="220" ht="12.75" customHeight="1" s="398">
      <c r="A220" s="491" t="n"/>
      <c r="B220" s="491" t="n"/>
      <c r="C220" s="491" t="n"/>
      <c r="D220" s="491" t="n"/>
      <c r="E220" s="491" t="n"/>
      <c r="F220" s="491" t="n"/>
      <c r="G220" s="491" t="n"/>
      <c r="H220" s="491" t="n"/>
      <c r="I220" s="491" t="n"/>
      <c r="J220" s="491" t="n"/>
      <c r="K220" s="491" t="n"/>
      <c r="L220" s="491" t="n"/>
      <c r="M220" s="491" t="n"/>
      <c r="N220" s="491" t="n"/>
      <c r="O220" s="491" t="n"/>
      <c r="P220" s="491" t="n"/>
      <c r="Q220" s="491" t="n"/>
      <c r="R220" s="491" t="n"/>
      <c r="S220" s="491" t="n"/>
      <c r="T220" s="491" t="n"/>
      <c r="U220" s="491" t="n"/>
      <c r="V220" s="491" t="n"/>
      <c r="W220" s="491" t="n"/>
      <c r="X220" s="491" t="n"/>
      <c r="Y220" s="491" t="n"/>
    </row>
    <row r="221" ht="12.75" customHeight="1" s="398">
      <c r="A221" s="491" t="n"/>
      <c r="B221" s="491" t="n"/>
      <c r="C221" s="491" t="n"/>
      <c r="D221" s="491" t="n"/>
      <c r="E221" s="491" t="n"/>
      <c r="F221" s="491" t="n"/>
      <c r="G221" s="491" t="n"/>
      <c r="H221" s="491" t="n"/>
      <c r="I221" s="491" t="n"/>
      <c r="J221" s="491" t="n"/>
      <c r="K221" s="491" t="n"/>
      <c r="L221" s="491" t="n"/>
      <c r="M221" s="491" t="n"/>
      <c r="N221" s="491" t="n"/>
      <c r="O221" s="491" t="n"/>
      <c r="P221" s="491" t="n"/>
      <c r="Q221" s="491" t="n"/>
      <c r="R221" s="491" t="n"/>
      <c r="S221" s="491" t="n"/>
      <c r="T221" s="491" t="n"/>
      <c r="U221" s="491" t="n"/>
      <c r="V221" s="491" t="n"/>
      <c r="W221" s="491" t="n"/>
      <c r="X221" s="491" t="n"/>
      <c r="Y221" s="491" t="n"/>
    </row>
    <row r="222" ht="12.75" customHeight="1" s="398">
      <c r="A222" s="491" t="n"/>
      <c r="B222" s="491" t="n"/>
      <c r="C222" s="491" t="n"/>
      <c r="D222" s="491" t="n"/>
      <c r="E222" s="491" t="n"/>
      <c r="F222" s="491" t="n"/>
      <c r="G222" s="491" t="n"/>
      <c r="H222" s="491" t="n"/>
      <c r="I222" s="491" t="n"/>
      <c r="J222" s="491" t="n"/>
      <c r="K222" s="491" t="n"/>
      <c r="L222" s="491" t="n"/>
      <c r="M222" s="491" t="n"/>
      <c r="N222" s="491" t="n"/>
      <c r="O222" s="491" t="n"/>
      <c r="P222" s="491" t="n"/>
      <c r="Q222" s="491" t="n"/>
      <c r="R222" s="491" t="n"/>
      <c r="S222" s="491" t="n"/>
      <c r="T222" s="491" t="n"/>
      <c r="U222" s="491" t="n"/>
      <c r="V222" s="491" t="n"/>
      <c r="W222" s="491" t="n"/>
      <c r="X222" s="491" t="n"/>
      <c r="Y222" s="491" t="n"/>
    </row>
    <row r="223" ht="12.75" customHeight="1" s="398">
      <c r="A223" s="491" t="n"/>
      <c r="B223" s="491" t="n"/>
      <c r="C223" s="491" t="n"/>
      <c r="D223" s="491" t="n"/>
      <c r="E223" s="491" t="n"/>
      <c r="F223" s="491" t="n"/>
      <c r="G223" s="491" t="n"/>
      <c r="H223" s="491" t="n"/>
      <c r="I223" s="491" t="n"/>
      <c r="J223" s="491" t="n"/>
      <c r="K223" s="491" t="n"/>
      <c r="L223" s="491" t="n"/>
      <c r="M223" s="491" t="n"/>
      <c r="N223" s="491" t="n"/>
      <c r="O223" s="491" t="n"/>
      <c r="P223" s="491" t="n"/>
      <c r="Q223" s="491" t="n"/>
      <c r="R223" s="491" t="n"/>
      <c r="S223" s="491" t="n"/>
      <c r="T223" s="491" t="n"/>
      <c r="U223" s="491" t="n"/>
      <c r="V223" s="491" t="n"/>
      <c r="W223" s="491" t="n"/>
      <c r="X223" s="491" t="n"/>
      <c r="Y223" s="491" t="n"/>
    </row>
    <row r="224" ht="12.75" customHeight="1" s="398">
      <c r="A224" s="491" t="n"/>
      <c r="B224" s="491" t="n"/>
      <c r="C224" s="491" t="n"/>
      <c r="D224" s="491" t="n"/>
      <c r="E224" s="491" t="n"/>
      <c r="F224" s="491" t="n"/>
      <c r="G224" s="491" t="n"/>
      <c r="H224" s="491" t="n"/>
      <c r="I224" s="491" t="n"/>
      <c r="J224" s="491" t="n"/>
      <c r="K224" s="491" t="n"/>
      <c r="L224" s="491" t="n"/>
      <c r="M224" s="491" t="n"/>
      <c r="N224" s="491" t="n"/>
      <c r="O224" s="491" t="n"/>
      <c r="P224" s="491" t="n"/>
      <c r="Q224" s="491" t="n"/>
      <c r="R224" s="491" t="n"/>
      <c r="S224" s="491" t="n"/>
      <c r="T224" s="491" t="n"/>
      <c r="U224" s="491" t="n"/>
      <c r="V224" s="491" t="n"/>
      <c r="W224" s="491" t="n"/>
      <c r="X224" s="491" t="n"/>
      <c r="Y224" s="491" t="n"/>
    </row>
    <row r="225" ht="12.75" customHeight="1" s="398">
      <c r="A225" s="491" t="n"/>
      <c r="B225" s="491" t="n"/>
      <c r="C225" s="491" t="n"/>
      <c r="D225" s="491" t="n"/>
      <c r="E225" s="491" t="n"/>
      <c r="F225" s="491" t="n"/>
      <c r="G225" s="491" t="n"/>
      <c r="H225" s="491" t="n"/>
      <c r="I225" s="491" t="n"/>
      <c r="J225" s="491" t="n"/>
      <c r="K225" s="491" t="n"/>
      <c r="L225" s="491" t="n"/>
      <c r="M225" s="491" t="n"/>
      <c r="N225" s="491" t="n"/>
      <c r="O225" s="491" t="n"/>
      <c r="P225" s="491" t="n"/>
      <c r="Q225" s="491" t="n"/>
      <c r="R225" s="491" t="n"/>
      <c r="S225" s="491" t="n"/>
      <c r="T225" s="491" t="n"/>
      <c r="U225" s="491" t="n"/>
      <c r="V225" s="491" t="n"/>
      <c r="W225" s="491" t="n"/>
      <c r="X225" s="491" t="n"/>
      <c r="Y225" s="491" t="n"/>
    </row>
    <row r="226" ht="12.75" customHeight="1" s="398">
      <c r="A226" s="491" t="n"/>
      <c r="B226" s="491" t="n"/>
      <c r="C226" s="491" t="n"/>
      <c r="D226" s="491" t="n"/>
      <c r="E226" s="491" t="n"/>
      <c r="F226" s="491" t="n"/>
      <c r="G226" s="491" t="n"/>
      <c r="H226" s="491" t="n"/>
      <c r="I226" s="491" t="n"/>
      <c r="J226" s="491" t="n"/>
      <c r="K226" s="491" t="n"/>
      <c r="L226" s="491" t="n"/>
      <c r="M226" s="491" t="n"/>
      <c r="N226" s="491" t="n"/>
      <c r="O226" s="491" t="n"/>
      <c r="P226" s="491" t="n"/>
      <c r="Q226" s="491" t="n"/>
      <c r="R226" s="491" t="n"/>
      <c r="S226" s="491" t="n"/>
      <c r="T226" s="491" t="n"/>
      <c r="U226" s="491" t="n"/>
      <c r="V226" s="491" t="n"/>
      <c r="W226" s="491" t="n"/>
      <c r="X226" s="491" t="n"/>
      <c r="Y226" s="491" t="n"/>
    </row>
    <row r="227" ht="12.75" customHeight="1" s="398">
      <c r="A227" s="491" t="n"/>
      <c r="B227" s="491" t="n"/>
      <c r="C227" s="491" t="n"/>
      <c r="D227" s="491" t="n"/>
      <c r="E227" s="491" t="n"/>
      <c r="F227" s="491" t="n"/>
      <c r="G227" s="491" t="n"/>
      <c r="H227" s="491" t="n"/>
      <c r="I227" s="491" t="n"/>
      <c r="J227" s="491" t="n"/>
      <c r="K227" s="491" t="n"/>
      <c r="L227" s="491" t="n"/>
      <c r="M227" s="491" t="n"/>
      <c r="N227" s="491" t="n"/>
      <c r="O227" s="491" t="n"/>
      <c r="P227" s="491" t="n"/>
      <c r="Q227" s="491" t="n"/>
      <c r="R227" s="491" t="n"/>
      <c r="S227" s="491" t="n"/>
      <c r="T227" s="491" t="n"/>
      <c r="U227" s="491" t="n"/>
      <c r="V227" s="491" t="n"/>
      <c r="W227" s="491" t="n"/>
      <c r="X227" s="491" t="n"/>
      <c r="Y227" s="491" t="n"/>
    </row>
    <row r="228" ht="12.75" customHeight="1" s="398">
      <c r="A228" s="491" t="n"/>
      <c r="B228" s="491" t="n"/>
      <c r="C228" s="491" t="n"/>
      <c r="D228" s="491" t="n"/>
      <c r="E228" s="491" t="n"/>
      <c r="F228" s="491" t="n"/>
      <c r="G228" s="491" t="n"/>
      <c r="H228" s="491" t="n"/>
      <c r="I228" s="491" t="n"/>
      <c r="J228" s="491" t="n"/>
      <c r="K228" s="491" t="n"/>
      <c r="L228" s="491" t="n"/>
      <c r="M228" s="491" t="n"/>
      <c r="N228" s="491" t="n"/>
      <c r="O228" s="491" t="n"/>
      <c r="P228" s="491" t="n"/>
      <c r="Q228" s="491" t="n"/>
      <c r="R228" s="491" t="n"/>
      <c r="S228" s="491" t="n"/>
      <c r="T228" s="491" t="n"/>
      <c r="U228" s="491" t="n"/>
      <c r="V228" s="491" t="n"/>
      <c r="W228" s="491" t="n"/>
      <c r="X228" s="491" t="n"/>
      <c r="Y228" s="491" t="n"/>
    </row>
    <row r="229" ht="12.75" customHeight="1" s="398">
      <c r="A229" s="491" t="n"/>
      <c r="B229" s="491" t="n"/>
      <c r="C229" s="491" t="n"/>
      <c r="D229" s="491" t="n"/>
      <c r="E229" s="491" t="n"/>
      <c r="F229" s="491" t="n"/>
      <c r="G229" s="491" t="n"/>
      <c r="H229" s="491" t="n"/>
      <c r="I229" s="491" t="n"/>
      <c r="J229" s="491" t="n"/>
      <c r="K229" s="491" t="n"/>
      <c r="L229" s="491" t="n"/>
      <c r="M229" s="491" t="n"/>
      <c r="N229" s="491" t="n"/>
      <c r="O229" s="491" t="n"/>
      <c r="P229" s="491" t="n"/>
      <c r="Q229" s="491" t="n"/>
      <c r="R229" s="491" t="n"/>
      <c r="S229" s="491" t="n"/>
      <c r="T229" s="491" t="n"/>
      <c r="U229" s="491" t="n"/>
      <c r="V229" s="491" t="n"/>
      <c r="W229" s="491" t="n"/>
      <c r="X229" s="491" t="n"/>
      <c r="Y229" s="491" t="n"/>
    </row>
    <row r="230" ht="12.75" customHeight="1" s="398">
      <c r="A230" s="491" t="n"/>
      <c r="B230" s="491" t="n"/>
      <c r="C230" s="491" t="n"/>
      <c r="D230" s="491" t="n"/>
      <c r="E230" s="491" t="n"/>
      <c r="F230" s="491" t="n"/>
      <c r="G230" s="491" t="n"/>
      <c r="H230" s="491" t="n"/>
      <c r="I230" s="491" t="n"/>
      <c r="J230" s="491" t="n"/>
      <c r="K230" s="491" t="n"/>
      <c r="L230" s="491" t="n"/>
      <c r="M230" s="491" t="n"/>
      <c r="N230" s="491" t="n"/>
      <c r="O230" s="491" t="n"/>
      <c r="P230" s="491" t="n"/>
      <c r="Q230" s="491" t="n"/>
      <c r="R230" s="491" t="n"/>
      <c r="S230" s="491" t="n"/>
      <c r="T230" s="491" t="n"/>
      <c r="U230" s="491" t="n"/>
      <c r="V230" s="491" t="n"/>
      <c r="W230" s="491" t="n"/>
      <c r="X230" s="491" t="n"/>
      <c r="Y230" s="491" t="n"/>
    </row>
    <row r="231" ht="12.75" customHeight="1" s="398">
      <c r="A231" s="491" t="n"/>
      <c r="B231" s="491" t="n"/>
      <c r="C231" s="491" t="n"/>
      <c r="D231" s="491" t="n"/>
      <c r="E231" s="491" t="n"/>
      <c r="F231" s="491" t="n"/>
      <c r="G231" s="491" t="n"/>
      <c r="H231" s="491" t="n"/>
      <c r="I231" s="491" t="n"/>
      <c r="J231" s="491" t="n"/>
      <c r="K231" s="491" t="n"/>
      <c r="L231" s="491" t="n"/>
      <c r="M231" s="491" t="n"/>
      <c r="N231" s="491" t="n"/>
      <c r="O231" s="491" t="n"/>
      <c r="P231" s="491" t="n"/>
      <c r="Q231" s="491" t="n"/>
      <c r="R231" s="491" t="n"/>
      <c r="S231" s="491" t="n"/>
      <c r="T231" s="491" t="n"/>
      <c r="U231" s="491" t="n"/>
      <c r="V231" s="491" t="n"/>
      <c r="W231" s="491" t="n"/>
      <c r="X231" s="491" t="n"/>
      <c r="Y231" s="491" t="n"/>
    </row>
    <row r="232" ht="12.75" customHeight="1" s="398">
      <c r="A232" s="491" t="n"/>
      <c r="B232" s="491" t="n"/>
      <c r="C232" s="491" t="n"/>
      <c r="D232" s="491" t="n"/>
      <c r="E232" s="491" t="n"/>
      <c r="F232" s="491" t="n"/>
      <c r="G232" s="491" t="n"/>
      <c r="H232" s="491" t="n"/>
      <c r="I232" s="491" t="n"/>
      <c r="J232" s="491" t="n"/>
      <c r="K232" s="491" t="n"/>
      <c r="L232" s="491" t="n"/>
      <c r="M232" s="491" t="n"/>
      <c r="N232" s="491" t="n"/>
      <c r="O232" s="491" t="n"/>
      <c r="P232" s="491" t="n"/>
      <c r="Q232" s="491" t="n"/>
      <c r="R232" s="491" t="n"/>
      <c r="S232" s="491" t="n"/>
      <c r="T232" s="491" t="n"/>
      <c r="U232" s="491" t="n"/>
      <c r="V232" s="491" t="n"/>
      <c r="W232" s="491" t="n"/>
      <c r="X232" s="491" t="n"/>
      <c r="Y232" s="491" t="n"/>
    </row>
    <row r="233" ht="12.75" customHeight="1" s="398">
      <c r="A233" s="491" t="n"/>
      <c r="B233" s="491" t="n"/>
      <c r="C233" s="491" t="n"/>
      <c r="D233" s="491" t="n"/>
      <c r="E233" s="491" t="n"/>
      <c r="F233" s="491" t="n"/>
      <c r="G233" s="491" t="n"/>
      <c r="H233" s="491" t="n"/>
      <c r="I233" s="491" t="n"/>
      <c r="J233" s="491" t="n"/>
      <c r="K233" s="491" t="n"/>
      <c r="L233" s="491" t="n"/>
      <c r="M233" s="491" t="n"/>
      <c r="N233" s="491" t="n"/>
      <c r="O233" s="491" t="n"/>
      <c r="P233" s="491" t="n"/>
      <c r="Q233" s="491" t="n"/>
      <c r="R233" s="491" t="n"/>
      <c r="S233" s="491" t="n"/>
      <c r="T233" s="491" t="n"/>
      <c r="U233" s="491" t="n"/>
      <c r="V233" s="491" t="n"/>
      <c r="W233" s="491" t="n"/>
      <c r="X233" s="491" t="n"/>
      <c r="Y233" s="491" t="n"/>
    </row>
    <row r="234" ht="12.75" customHeight="1" s="398">
      <c r="A234" s="491" t="n"/>
      <c r="B234" s="491" t="n"/>
      <c r="C234" s="491" t="n"/>
      <c r="D234" s="491" t="n"/>
      <c r="E234" s="491" t="n"/>
      <c r="F234" s="491" t="n"/>
      <c r="G234" s="491" t="n"/>
      <c r="H234" s="491" t="n"/>
      <c r="I234" s="491" t="n"/>
      <c r="J234" s="491" t="n"/>
      <c r="K234" s="491" t="n"/>
      <c r="L234" s="491" t="n"/>
      <c r="M234" s="491" t="n"/>
      <c r="N234" s="491" t="n"/>
      <c r="O234" s="491" t="n"/>
      <c r="P234" s="491" t="n"/>
      <c r="Q234" s="491" t="n"/>
      <c r="R234" s="491" t="n"/>
      <c r="S234" s="491" t="n"/>
      <c r="T234" s="491" t="n"/>
      <c r="U234" s="491" t="n"/>
      <c r="V234" s="491" t="n"/>
      <c r="W234" s="491" t="n"/>
      <c r="X234" s="491" t="n"/>
      <c r="Y234" s="491" t="n"/>
    </row>
    <row r="235" ht="12.75" customHeight="1" s="398">
      <c r="A235" s="491" t="n"/>
      <c r="B235" s="491" t="n"/>
      <c r="C235" s="491" t="n"/>
      <c r="D235" s="491" t="n"/>
      <c r="E235" s="491" t="n"/>
      <c r="F235" s="491" t="n"/>
      <c r="G235" s="491" t="n"/>
      <c r="H235" s="491" t="n"/>
      <c r="I235" s="491" t="n"/>
      <c r="J235" s="491" t="n"/>
      <c r="K235" s="491" t="n"/>
      <c r="L235" s="491" t="n"/>
      <c r="M235" s="491" t="n"/>
      <c r="N235" s="491" t="n"/>
      <c r="O235" s="491" t="n"/>
      <c r="P235" s="491" t="n"/>
      <c r="Q235" s="491" t="n"/>
      <c r="R235" s="491" t="n"/>
      <c r="S235" s="491" t="n"/>
      <c r="T235" s="491" t="n"/>
      <c r="U235" s="491" t="n"/>
      <c r="V235" s="491" t="n"/>
      <c r="W235" s="491" t="n"/>
      <c r="X235" s="491" t="n"/>
      <c r="Y235" s="491" t="n"/>
    </row>
    <row r="236" ht="12.75" customHeight="1" s="398">
      <c r="A236" s="491" t="n"/>
      <c r="B236" s="491" t="n"/>
      <c r="C236" s="491" t="n"/>
      <c r="D236" s="491" t="n"/>
      <c r="E236" s="491" t="n"/>
      <c r="F236" s="491" t="n"/>
      <c r="G236" s="491" t="n"/>
      <c r="H236" s="491" t="n"/>
      <c r="I236" s="491" t="n"/>
      <c r="J236" s="491" t="n"/>
      <c r="K236" s="491" t="n"/>
      <c r="L236" s="491" t="n"/>
      <c r="M236" s="491" t="n"/>
      <c r="N236" s="491" t="n"/>
      <c r="O236" s="491" t="n"/>
      <c r="P236" s="491" t="n"/>
      <c r="Q236" s="491" t="n"/>
      <c r="R236" s="491" t="n"/>
      <c r="S236" s="491" t="n"/>
      <c r="T236" s="491" t="n"/>
      <c r="U236" s="491" t="n"/>
      <c r="V236" s="491" t="n"/>
      <c r="W236" s="491" t="n"/>
      <c r="X236" s="491" t="n"/>
      <c r="Y236" s="491" t="n"/>
    </row>
    <row r="237" ht="12.75" customHeight="1" s="398">
      <c r="A237" s="491" t="n"/>
      <c r="B237" s="491" t="n"/>
      <c r="C237" s="491" t="n"/>
      <c r="D237" s="491" t="n"/>
      <c r="E237" s="491" t="n"/>
      <c r="F237" s="491" t="n"/>
      <c r="G237" s="491" t="n"/>
      <c r="H237" s="491" t="n"/>
      <c r="I237" s="491" t="n"/>
      <c r="J237" s="491" t="n"/>
      <c r="K237" s="491" t="n"/>
      <c r="L237" s="491" t="n"/>
      <c r="M237" s="491" t="n"/>
      <c r="N237" s="491" t="n"/>
      <c r="O237" s="491" t="n"/>
      <c r="P237" s="491" t="n"/>
      <c r="Q237" s="491" t="n"/>
      <c r="R237" s="491" t="n"/>
      <c r="S237" s="491" t="n"/>
      <c r="T237" s="491" t="n"/>
      <c r="U237" s="491" t="n"/>
      <c r="V237" s="491" t="n"/>
      <c r="W237" s="491" t="n"/>
      <c r="X237" s="491" t="n"/>
      <c r="Y237" s="491" t="n"/>
    </row>
    <row r="238" ht="12.75" customHeight="1" s="398">
      <c r="A238" s="491" t="n"/>
      <c r="B238" s="491" t="n"/>
      <c r="C238" s="491" t="n"/>
      <c r="D238" s="491" t="n"/>
      <c r="E238" s="491" t="n"/>
      <c r="F238" s="491" t="n"/>
      <c r="G238" s="491" t="n"/>
      <c r="H238" s="491" t="n"/>
      <c r="I238" s="491" t="n"/>
      <c r="J238" s="491" t="n"/>
      <c r="K238" s="491" t="n"/>
      <c r="L238" s="491" t="n"/>
      <c r="M238" s="491" t="n"/>
      <c r="N238" s="491" t="n"/>
      <c r="O238" s="491" t="n"/>
      <c r="P238" s="491" t="n"/>
      <c r="Q238" s="491" t="n"/>
      <c r="R238" s="491" t="n"/>
      <c r="S238" s="491" t="n"/>
      <c r="T238" s="491" t="n"/>
      <c r="U238" s="491" t="n"/>
      <c r="V238" s="491" t="n"/>
      <c r="W238" s="491" t="n"/>
      <c r="X238" s="491" t="n"/>
      <c r="Y238" s="491" t="n"/>
    </row>
    <row r="239" ht="12.75" customHeight="1" s="398">
      <c r="A239" s="491" t="n"/>
      <c r="B239" s="491" t="n"/>
      <c r="C239" s="491" t="n"/>
      <c r="D239" s="491" t="n"/>
      <c r="E239" s="491" t="n"/>
      <c r="F239" s="491" t="n"/>
      <c r="G239" s="491" t="n"/>
      <c r="H239" s="491" t="n"/>
      <c r="I239" s="491" t="n"/>
      <c r="J239" s="491" t="n"/>
      <c r="K239" s="491" t="n"/>
      <c r="L239" s="491" t="n"/>
      <c r="M239" s="491" t="n"/>
      <c r="N239" s="491" t="n"/>
      <c r="O239" s="491" t="n"/>
      <c r="P239" s="491" t="n"/>
      <c r="Q239" s="491" t="n"/>
      <c r="R239" s="491" t="n"/>
      <c r="S239" s="491" t="n"/>
      <c r="T239" s="491" t="n"/>
      <c r="U239" s="491" t="n"/>
      <c r="V239" s="491" t="n"/>
      <c r="W239" s="491" t="n"/>
      <c r="X239" s="491" t="n"/>
      <c r="Y239" s="491" t="n"/>
    </row>
    <row r="240" ht="12.75" customHeight="1" s="398">
      <c r="A240" s="491" t="n"/>
      <c r="B240" s="491" t="n"/>
      <c r="C240" s="491" t="n"/>
      <c r="D240" s="491" t="n"/>
      <c r="E240" s="491" t="n"/>
      <c r="F240" s="491" t="n"/>
      <c r="G240" s="491" t="n"/>
      <c r="H240" s="491" t="n"/>
      <c r="I240" s="491" t="n"/>
      <c r="J240" s="491" t="n"/>
      <c r="K240" s="491" t="n"/>
      <c r="L240" s="491" t="n"/>
      <c r="M240" s="491" t="n"/>
      <c r="N240" s="491" t="n"/>
      <c r="O240" s="491" t="n"/>
      <c r="P240" s="491" t="n"/>
      <c r="Q240" s="491" t="n"/>
      <c r="R240" s="491" t="n"/>
      <c r="S240" s="491" t="n"/>
      <c r="T240" s="491" t="n"/>
      <c r="U240" s="491" t="n"/>
      <c r="V240" s="491" t="n"/>
      <c r="W240" s="491" t="n"/>
      <c r="X240" s="491" t="n"/>
      <c r="Y240" s="491" t="n"/>
    </row>
    <row r="241" ht="12.75" customHeight="1" s="398">
      <c r="A241" s="491" t="n"/>
      <c r="B241" s="491" t="n"/>
      <c r="C241" s="491" t="n"/>
      <c r="D241" s="491" t="n"/>
      <c r="E241" s="491" t="n"/>
      <c r="F241" s="491" t="n"/>
      <c r="G241" s="491" t="n"/>
      <c r="H241" s="491" t="n"/>
      <c r="I241" s="491" t="n"/>
      <c r="J241" s="491" t="n"/>
      <c r="K241" s="491" t="n"/>
      <c r="L241" s="491" t="n"/>
      <c r="M241" s="491" t="n"/>
      <c r="N241" s="491" t="n"/>
      <c r="O241" s="491" t="n"/>
      <c r="P241" s="491" t="n"/>
      <c r="Q241" s="491" t="n"/>
      <c r="R241" s="491" t="n"/>
      <c r="S241" s="491" t="n"/>
      <c r="T241" s="491" t="n"/>
      <c r="U241" s="491" t="n"/>
      <c r="V241" s="491" t="n"/>
      <c r="W241" s="491" t="n"/>
      <c r="X241" s="491" t="n"/>
      <c r="Y241" s="491" t="n"/>
    </row>
    <row r="242" ht="12.75" customHeight="1" s="398">
      <c r="A242" s="491" t="n"/>
      <c r="B242" s="491" t="n"/>
      <c r="C242" s="491" t="n"/>
      <c r="D242" s="491" t="n"/>
      <c r="E242" s="491" t="n"/>
      <c r="F242" s="491" t="n"/>
      <c r="G242" s="491" t="n"/>
      <c r="H242" s="491" t="n"/>
      <c r="I242" s="491" t="n"/>
      <c r="J242" s="491" t="n"/>
      <c r="K242" s="491" t="n"/>
      <c r="L242" s="491" t="n"/>
      <c r="M242" s="491" t="n"/>
      <c r="N242" s="491" t="n"/>
      <c r="O242" s="491" t="n"/>
      <c r="P242" s="491" t="n"/>
      <c r="Q242" s="491" t="n"/>
      <c r="R242" s="491" t="n"/>
      <c r="S242" s="491" t="n"/>
      <c r="T242" s="491" t="n"/>
      <c r="U242" s="491" t="n"/>
      <c r="V242" s="491" t="n"/>
      <c r="W242" s="491" t="n"/>
      <c r="X242" s="491" t="n"/>
      <c r="Y242" s="491" t="n"/>
    </row>
    <row r="243" ht="12.75" customHeight="1" s="398">
      <c r="A243" s="491" t="n"/>
      <c r="B243" s="491" t="n"/>
      <c r="C243" s="491" t="n"/>
      <c r="D243" s="491" t="n"/>
      <c r="E243" s="491" t="n"/>
      <c r="F243" s="491" t="n"/>
      <c r="G243" s="491" t="n"/>
      <c r="H243" s="491" t="n"/>
      <c r="I243" s="491" t="n"/>
      <c r="J243" s="491" t="n"/>
      <c r="K243" s="491" t="n"/>
      <c r="L243" s="491" t="n"/>
      <c r="M243" s="491" t="n"/>
      <c r="N243" s="491" t="n"/>
      <c r="O243" s="491" t="n"/>
      <c r="P243" s="491" t="n"/>
      <c r="Q243" s="491" t="n"/>
      <c r="R243" s="491" t="n"/>
      <c r="S243" s="491" t="n"/>
      <c r="T243" s="491" t="n"/>
      <c r="U243" s="491" t="n"/>
      <c r="V243" s="491" t="n"/>
      <c r="W243" s="491" t="n"/>
      <c r="X243" s="491" t="n"/>
      <c r="Y243" s="491" t="n"/>
    </row>
    <row r="244" ht="12.75" customHeight="1" s="398">
      <c r="A244" s="491" t="n"/>
      <c r="B244" s="491" t="n"/>
      <c r="C244" s="491" t="n"/>
      <c r="D244" s="491" t="n"/>
      <c r="E244" s="491" t="n"/>
      <c r="F244" s="491" t="n"/>
      <c r="G244" s="491" t="n"/>
      <c r="H244" s="491" t="n"/>
      <c r="I244" s="491" t="n"/>
      <c r="J244" s="491" t="n"/>
      <c r="K244" s="491" t="n"/>
      <c r="L244" s="491" t="n"/>
      <c r="M244" s="491" t="n"/>
      <c r="N244" s="491" t="n"/>
      <c r="O244" s="491" t="n"/>
      <c r="P244" s="491" t="n"/>
      <c r="Q244" s="491" t="n"/>
      <c r="R244" s="491" t="n"/>
      <c r="S244" s="491" t="n"/>
      <c r="T244" s="491" t="n"/>
      <c r="U244" s="491" t="n"/>
      <c r="V244" s="491" t="n"/>
      <c r="W244" s="491" t="n"/>
      <c r="X244" s="491" t="n"/>
      <c r="Y244" s="491" t="n"/>
    </row>
    <row r="245" ht="12.75" customHeight="1" s="398">
      <c r="A245" s="491" t="n"/>
      <c r="B245" s="491" t="n"/>
      <c r="C245" s="491" t="n"/>
      <c r="D245" s="491" t="n"/>
      <c r="E245" s="491" t="n"/>
      <c r="F245" s="491" t="n"/>
      <c r="G245" s="491" t="n"/>
      <c r="H245" s="491" t="n"/>
      <c r="I245" s="491" t="n"/>
      <c r="J245" s="491" t="n"/>
      <c r="K245" s="491" t="n"/>
      <c r="L245" s="491" t="n"/>
      <c r="M245" s="491" t="n"/>
      <c r="N245" s="491" t="n"/>
      <c r="O245" s="491" t="n"/>
      <c r="P245" s="491" t="n"/>
      <c r="Q245" s="491" t="n"/>
      <c r="R245" s="491" t="n"/>
      <c r="S245" s="491" t="n"/>
      <c r="T245" s="491" t="n"/>
      <c r="U245" s="491" t="n"/>
      <c r="V245" s="491" t="n"/>
      <c r="W245" s="491" t="n"/>
      <c r="X245" s="491" t="n"/>
      <c r="Y245" s="491" t="n"/>
    </row>
    <row r="246" ht="12.75" customHeight="1" s="398">
      <c r="A246" s="491" t="n"/>
      <c r="B246" s="491" t="n"/>
      <c r="C246" s="491" t="n"/>
      <c r="D246" s="491" t="n"/>
      <c r="E246" s="491" t="n"/>
      <c r="F246" s="491" t="n"/>
      <c r="G246" s="491" t="n"/>
      <c r="H246" s="491" t="n"/>
      <c r="I246" s="491" t="n"/>
      <c r="J246" s="491" t="n"/>
      <c r="K246" s="491" t="n"/>
      <c r="L246" s="491" t="n"/>
      <c r="M246" s="491" t="n"/>
      <c r="N246" s="491" t="n"/>
      <c r="O246" s="491" t="n"/>
      <c r="P246" s="491" t="n"/>
      <c r="Q246" s="491" t="n"/>
      <c r="R246" s="491" t="n"/>
      <c r="S246" s="491" t="n"/>
      <c r="T246" s="491" t="n"/>
      <c r="U246" s="491" t="n"/>
      <c r="V246" s="491" t="n"/>
      <c r="W246" s="491" t="n"/>
      <c r="X246" s="491" t="n"/>
      <c r="Y246" s="491" t="n"/>
    </row>
    <row r="247" ht="12.75" customHeight="1" s="398">
      <c r="A247" s="491" t="n"/>
      <c r="B247" s="491" t="n"/>
      <c r="C247" s="491" t="n"/>
      <c r="D247" s="491" t="n"/>
      <c r="E247" s="491" t="n"/>
      <c r="F247" s="491" t="n"/>
      <c r="G247" s="491" t="n"/>
      <c r="H247" s="491" t="n"/>
      <c r="I247" s="491" t="n"/>
      <c r="J247" s="491" t="n"/>
      <c r="K247" s="491" t="n"/>
      <c r="L247" s="491" t="n"/>
      <c r="M247" s="491" t="n"/>
      <c r="N247" s="491" t="n"/>
      <c r="O247" s="491" t="n"/>
      <c r="P247" s="491" t="n"/>
      <c r="Q247" s="491" t="n"/>
      <c r="R247" s="491" t="n"/>
      <c r="S247" s="491" t="n"/>
      <c r="T247" s="491" t="n"/>
      <c r="U247" s="491" t="n"/>
      <c r="V247" s="491" t="n"/>
      <c r="W247" s="491" t="n"/>
      <c r="X247" s="491" t="n"/>
      <c r="Y247" s="491" t="n"/>
    </row>
    <row r="248" ht="12.75" customHeight="1" s="398">
      <c r="A248" s="491" t="n"/>
      <c r="B248" s="491" t="n"/>
      <c r="C248" s="491" t="n"/>
      <c r="D248" s="491" t="n"/>
      <c r="E248" s="491" t="n"/>
      <c r="F248" s="491" t="n"/>
      <c r="G248" s="491" t="n"/>
      <c r="H248" s="491" t="n"/>
      <c r="I248" s="491" t="n"/>
      <c r="J248" s="491" t="n"/>
      <c r="K248" s="491" t="n"/>
      <c r="L248" s="491" t="n"/>
      <c r="M248" s="491" t="n"/>
      <c r="N248" s="491" t="n"/>
      <c r="O248" s="491" t="n"/>
      <c r="P248" s="491" t="n"/>
      <c r="Q248" s="491" t="n"/>
      <c r="R248" s="491" t="n"/>
      <c r="S248" s="491" t="n"/>
      <c r="T248" s="491" t="n"/>
      <c r="U248" s="491" t="n"/>
      <c r="V248" s="491" t="n"/>
      <c r="W248" s="491" t="n"/>
      <c r="X248" s="491" t="n"/>
      <c r="Y248" s="491" t="n"/>
    </row>
    <row r="249" ht="12.75" customHeight="1" s="398">
      <c r="A249" s="491" t="n"/>
      <c r="B249" s="491" t="n"/>
      <c r="C249" s="491" t="n"/>
      <c r="D249" s="491" t="n"/>
      <c r="E249" s="491" t="n"/>
      <c r="F249" s="491" t="n"/>
      <c r="G249" s="491" t="n"/>
      <c r="H249" s="491" t="n"/>
      <c r="I249" s="491" t="n"/>
      <c r="J249" s="491" t="n"/>
      <c r="K249" s="491" t="n"/>
      <c r="L249" s="491" t="n"/>
      <c r="M249" s="491" t="n"/>
      <c r="N249" s="491" t="n"/>
      <c r="O249" s="491" t="n"/>
      <c r="P249" s="491" t="n"/>
      <c r="Q249" s="491" t="n"/>
      <c r="R249" s="491" t="n"/>
      <c r="S249" s="491" t="n"/>
      <c r="T249" s="491" t="n"/>
      <c r="U249" s="491" t="n"/>
      <c r="V249" s="491" t="n"/>
      <c r="W249" s="491" t="n"/>
      <c r="X249" s="491" t="n"/>
      <c r="Y249" s="491" t="n"/>
    </row>
    <row r="250" ht="12.75" customHeight="1" s="398">
      <c r="A250" s="491" t="n"/>
      <c r="B250" s="491" t="n"/>
      <c r="C250" s="491" t="n"/>
      <c r="D250" s="491" t="n"/>
      <c r="E250" s="491" t="n"/>
      <c r="F250" s="491" t="n"/>
      <c r="G250" s="491" t="n"/>
      <c r="H250" s="491" t="n"/>
      <c r="I250" s="491" t="n"/>
      <c r="J250" s="491" t="n"/>
      <c r="K250" s="491" t="n"/>
      <c r="L250" s="491" t="n"/>
      <c r="M250" s="491" t="n"/>
      <c r="N250" s="491" t="n"/>
      <c r="O250" s="491" t="n"/>
      <c r="P250" s="491" t="n"/>
      <c r="Q250" s="491" t="n"/>
      <c r="R250" s="491" t="n"/>
      <c r="S250" s="491" t="n"/>
      <c r="T250" s="491" t="n"/>
      <c r="U250" s="491" t="n"/>
      <c r="V250" s="491" t="n"/>
      <c r="W250" s="491" t="n"/>
      <c r="X250" s="491" t="n"/>
      <c r="Y250" s="491" t="n"/>
    </row>
    <row r="251" ht="12.75" customHeight="1" s="398">
      <c r="A251" s="491" t="n"/>
      <c r="B251" s="491" t="n"/>
      <c r="C251" s="491" t="n"/>
      <c r="D251" s="491" t="n"/>
      <c r="E251" s="491" t="n"/>
      <c r="F251" s="491" t="n"/>
      <c r="G251" s="491" t="n"/>
      <c r="H251" s="491" t="n"/>
      <c r="I251" s="491" t="n"/>
      <c r="J251" s="491" t="n"/>
      <c r="K251" s="491" t="n"/>
      <c r="L251" s="491" t="n"/>
      <c r="M251" s="491" t="n"/>
      <c r="N251" s="491" t="n"/>
      <c r="O251" s="491" t="n"/>
      <c r="P251" s="491" t="n"/>
      <c r="Q251" s="491" t="n"/>
      <c r="R251" s="491" t="n"/>
      <c r="S251" s="491" t="n"/>
      <c r="T251" s="491" t="n"/>
      <c r="U251" s="491" t="n"/>
      <c r="V251" s="491" t="n"/>
      <c r="W251" s="491" t="n"/>
      <c r="X251" s="491" t="n"/>
      <c r="Y251" s="491" t="n"/>
    </row>
    <row r="252" ht="12.75" customHeight="1" s="398">
      <c r="A252" s="491" t="n"/>
      <c r="B252" s="491" t="n"/>
      <c r="C252" s="491" t="n"/>
      <c r="D252" s="491" t="n"/>
      <c r="E252" s="491" t="n"/>
      <c r="F252" s="491" t="n"/>
      <c r="G252" s="491" t="n"/>
      <c r="H252" s="491" t="n"/>
      <c r="I252" s="491" t="n"/>
      <c r="J252" s="491" t="n"/>
      <c r="K252" s="491" t="n"/>
      <c r="L252" s="491" t="n"/>
      <c r="M252" s="491" t="n"/>
      <c r="N252" s="491" t="n"/>
      <c r="O252" s="491" t="n"/>
      <c r="P252" s="491" t="n"/>
      <c r="Q252" s="491" t="n"/>
      <c r="R252" s="491" t="n"/>
      <c r="S252" s="491" t="n"/>
      <c r="T252" s="491" t="n"/>
      <c r="U252" s="491" t="n"/>
      <c r="V252" s="491" t="n"/>
      <c r="W252" s="491" t="n"/>
      <c r="X252" s="491" t="n"/>
      <c r="Y252" s="491" t="n"/>
    </row>
    <row r="253" ht="12.75" customHeight="1" s="398">
      <c r="A253" s="491" t="n"/>
      <c r="B253" s="491" t="n"/>
      <c r="C253" s="491" t="n"/>
      <c r="D253" s="491" t="n"/>
      <c r="E253" s="491" t="n"/>
      <c r="F253" s="491" t="n"/>
      <c r="G253" s="491" t="n"/>
      <c r="H253" s="491" t="n"/>
      <c r="I253" s="491" t="n"/>
      <c r="J253" s="491" t="n"/>
      <c r="K253" s="491" t="n"/>
      <c r="L253" s="491" t="n"/>
      <c r="M253" s="491" t="n"/>
      <c r="N253" s="491" t="n"/>
      <c r="O253" s="491" t="n"/>
      <c r="P253" s="491" t="n"/>
      <c r="Q253" s="491" t="n"/>
      <c r="R253" s="491" t="n"/>
      <c r="S253" s="491" t="n"/>
      <c r="T253" s="491" t="n"/>
      <c r="U253" s="491" t="n"/>
      <c r="V253" s="491" t="n"/>
      <c r="W253" s="491" t="n"/>
      <c r="X253" s="491" t="n"/>
      <c r="Y253" s="491" t="n"/>
    </row>
    <row r="254" ht="12.75" customHeight="1" s="398">
      <c r="A254" s="491" t="n"/>
      <c r="B254" s="491" t="n"/>
      <c r="C254" s="491" t="n"/>
      <c r="D254" s="491" t="n"/>
      <c r="E254" s="491" t="n"/>
      <c r="F254" s="491" t="n"/>
      <c r="G254" s="491" t="n"/>
      <c r="H254" s="491" t="n"/>
      <c r="I254" s="491" t="n"/>
      <c r="J254" s="491" t="n"/>
      <c r="K254" s="491" t="n"/>
      <c r="L254" s="491" t="n"/>
      <c r="M254" s="491" t="n"/>
      <c r="N254" s="491" t="n"/>
      <c r="O254" s="491" t="n"/>
      <c r="P254" s="491" t="n"/>
      <c r="Q254" s="491" t="n"/>
      <c r="R254" s="491" t="n"/>
      <c r="S254" s="491" t="n"/>
      <c r="T254" s="491" t="n"/>
      <c r="U254" s="491" t="n"/>
      <c r="V254" s="491" t="n"/>
      <c r="W254" s="491" t="n"/>
      <c r="X254" s="491" t="n"/>
      <c r="Y254" s="491" t="n"/>
    </row>
    <row r="255" ht="12.75" customHeight="1" s="398">
      <c r="A255" s="491" t="n"/>
      <c r="B255" s="491" t="n"/>
      <c r="C255" s="491" t="n"/>
      <c r="D255" s="491" t="n"/>
      <c r="E255" s="491" t="n"/>
      <c r="F255" s="491" t="n"/>
      <c r="G255" s="491" t="n"/>
      <c r="H255" s="491" t="n"/>
      <c r="I255" s="491" t="n"/>
      <c r="J255" s="491" t="n"/>
      <c r="K255" s="491" t="n"/>
      <c r="L255" s="491" t="n"/>
      <c r="M255" s="491" t="n"/>
      <c r="N255" s="491" t="n"/>
      <c r="O255" s="491" t="n"/>
      <c r="P255" s="491" t="n"/>
      <c r="Q255" s="491" t="n"/>
      <c r="R255" s="491" t="n"/>
      <c r="S255" s="491" t="n"/>
      <c r="T255" s="491" t="n"/>
      <c r="U255" s="491" t="n"/>
      <c r="V255" s="491" t="n"/>
      <c r="W255" s="491" t="n"/>
      <c r="X255" s="491" t="n"/>
      <c r="Y255" s="491" t="n"/>
    </row>
    <row r="256" ht="12.75" customHeight="1" s="398">
      <c r="A256" s="491" t="n"/>
      <c r="B256" s="491" t="n"/>
      <c r="C256" s="491" t="n"/>
      <c r="D256" s="491" t="n"/>
      <c r="E256" s="491" t="n"/>
      <c r="F256" s="491" t="n"/>
      <c r="G256" s="491" t="n"/>
      <c r="H256" s="491" t="n"/>
      <c r="I256" s="491" t="n"/>
      <c r="J256" s="491" t="n"/>
      <c r="K256" s="491" t="n"/>
      <c r="L256" s="491" t="n"/>
      <c r="M256" s="491" t="n"/>
      <c r="N256" s="491" t="n"/>
      <c r="O256" s="491" t="n"/>
      <c r="P256" s="491" t="n"/>
      <c r="Q256" s="491" t="n"/>
      <c r="R256" s="491" t="n"/>
      <c r="S256" s="491" t="n"/>
      <c r="T256" s="491" t="n"/>
      <c r="U256" s="491" t="n"/>
      <c r="V256" s="491" t="n"/>
      <c r="W256" s="491" t="n"/>
      <c r="X256" s="491" t="n"/>
      <c r="Y256" s="491" t="n"/>
    </row>
    <row r="257" ht="12.75" customHeight="1" s="398">
      <c r="A257" s="491" t="n"/>
      <c r="B257" s="491" t="n"/>
      <c r="C257" s="491" t="n"/>
      <c r="D257" s="491" t="n"/>
      <c r="E257" s="491" t="n"/>
      <c r="F257" s="491" t="n"/>
      <c r="G257" s="491" t="n"/>
      <c r="H257" s="491" t="n"/>
      <c r="I257" s="491" t="n"/>
      <c r="J257" s="491" t="n"/>
      <c r="K257" s="491" t="n"/>
      <c r="L257" s="491" t="n"/>
      <c r="M257" s="491" t="n"/>
      <c r="N257" s="491" t="n"/>
      <c r="O257" s="491" t="n"/>
      <c r="P257" s="491" t="n"/>
      <c r="Q257" s="491" t="n"/>
      <c r="R257" s="491" t="n"/>
      <c r="S257" s="491" t="n"/>
      <c r="T257" s="491" t="n"/>
      <c r="U257" s="491" t="n"/>
      <c r="V257" s="491" t="n"/>
      <c r="W257" s="491" t="n"/>
      <c r="X257" s="491" t="n"/>
      <c r="Y257" s="491" t="n"/>
    </row>
    <row r="258" ht="12.75" customHeight="1" s="398">
      <c r="A258" s="491" t="n"/>
      <c r="B258" s="491" t="n"/>
      <c r="C258" s="491" t="n"/>
      <c r="D258" s="491" t="n"/>
      <c r="E258" s="491" t="n"/>
      <c r="F258" s="491" t="n"/>
      <c r="G258" s="491" t="n"/>
      <c r="H258" s="491" t="n"/>
      <c r="I258" s="491" t="n"/>
      <c r="J258" s="491" t="n"/>
      <c r="K258" s="491" t="n"/>
      <c r="L258" s="491" t="n"/>
      <c r="M258" s="491" t="n"/>
      <c r="N258" s="491" t="n"/>
      <c r="O258" s="491" t="n"/>
      <c r="P258" s="491" t="n"/>
      <c r="Q258" s="491" t="n"/>
      <c r="R258" s="491" t="n"/>
      <c r="S258" s="491" t="n"/>
      <c r="T258" s="491" t="n"/>
      <c r="U258" s="491" t="n"/>
      <c r="V258" s="491" t="n"/>
      <c r="W258" s="491" t="n"/>
      <c r="X258" s="491" t="n"/>
      <c r="Y258" s="491" t="n"/>
    </row>
    <row r="259" ht="12.75" customHeight="1" s="398">
      <c r="A259" s="491" t="n"/>
      <c r="B259" s="491" t="n"/>
      <c r="C259" s="491" t="n"/>
      <c r="D259" s="491" t="n"/>
      <c r="E259" s="491" t="n"/>
      <c r="F259" s="491" t="n"/>
      <c r="G259" s="491" t="n"/>
      <c r="H259" s="491" t="n"/>
      <c r="I259" s="491" t="n"/>
      <c r="J259" s="491" t="n"/>
      <c r="K259" s="491" t="n"/>
      <c r="L259" s="491" t="n"/>
      <c r="M259" s="491" t="n"/>
      <c r="N259" s="491" t="n"/>
      <c r="O259" s="491" t="n"/>
      <c r="P259" s="491" t="n"/>
      <c r="Q259" s="491" t="n"/>
      <c r="R259" s="491" t="n"/>
      <c r="S259" s="491" t="n"/>
      <c r="T259" s="491" t="n"/>
      <c r="U259" s="491" t="n"/>
      <c r="V259" s="491" t="n"/>
      <c r="W259" s="491" t="n"/>
      <c r="X259" s="491" t="n"/>
      <c r="Y259" s="491" t="n"/>
    </row>
    <row r="260" ht="12.75" customHeight="1" s="398">
      <c r="A260" s="491" t="n"/>
      <c r="B260" s="491" t="n"/>
      <c r="C260" s="491" t="n"/>
      <c r="D260" s="491" t="n"/>
      <c r="E260" s="491" t="n"/>
      <c r="F260" s="491" t="n"/>
      <c r="G260" s="491" t="n"/>
      <c r="H260" s="491" t="n"/>
      <c r="I260" s="491" t="n"/>
      <c r="J260" s="491" t="n"/>
      <c r="K260" s="491" t="n"/>
      <c r="L260" s="491" t="n"/>
      <c r="M260" s="491" t="n"/>
      <c r="N260" s="491" t="n"/>
      <c r="O260" s="491" t="n"/>
      <c r="P260" s="491" t="n"/>
      <c r="Q260" s="491" t="n"/>
      <c r="R260" s="491" t="n"/>
      <c r="S260" s="491" t="n"/>
      <c r="T260" s="491" t="n"/>
      <c r="U260" s="491" t="n"/>
      <c r="V260" s="491" t="n"/>
      <c r="W260" s="491" t="n"/>
      <c r="X260" s="491" t="n"/>
      <c r="Y260" s="491" t="n"/>
    </row>
    <row r="261" ht="12.75" customHeight="1" s="398">
      <c r="A261" s="491" t="n"/>
      <c r="B261" s="491" t="n"/>
      <c r="C261" s="491" t="n"/>
      <c r="D261" s="491" t="n"/>
      <c r="E261" s="491" t="n"/>
      <c r="F261" s="491" t="n"/>
      <c r="G261" s="491" t="n"/>
      <c r="H261" s="491" t="n"/>
      <c r="I261" s="491" t="n"/>
      <c r="J261" s="491" t="n"/>
      <c r="K261" s="491" t="n"/>
      <c r="L261" s="491" t="n"/>
      <c r="M261" s="491" t="n"/>
      <c r="N261" s="491" t="n"/>
      <c r="O261" s="491" t="n"/>
      <c r="P261" s="491" t="n"/>
      <c r="Q261" s="491" t="n"/>
      <c r="R261" s="491" t="n"/>
      <c r="S261" s="491" t="n"/>
      <c r="T261" s="491" t="n"/>
      <c r="U261" s="491" t="n"/>
      <c r="V261" s="491" t="n"/>
      <c r="W261" s="491" t="n"/>
      <c r="X261" s="491" t="n"/>
      <c r="Y261" s="491" t="n"/>
    </row>
    <row r="262" ht="12.75" customHeight="1" s="398">
      <c r="A262" s="491" t="n"/>
      <c r="B262" s="491" t="n"/>
      <c r="C262" s="491" t="n"/>
      <c r="D262" s="491" t="n"/>
      <c r="E262" s="491" t="n"/>
      <c r="F262" s="491" t="n"/>
      <c r="G262" s="491" t="n"/>
      <c r="H262" s="491" t="n"/>
      <c r="I262" s="491" t="n"/>
      <c r="J262" s="491" t="n"/>
      <c r="K262" s="491" t="n"/>
      <c r="L262" s="491" t="n"/>
      <c r="M262" s="491" t="n"/>
      <c r="N262" s="491" t="n"/>
      <c r="O262" s="491" t="n"/>
      <c r="P262" s="491" t="n"/>
      <c r="Q262" s="491" t="n"/>
      <c r="R262" s="491" t="n"/>
      <c r="S262" s="491" t="n"/>
      <c r="T262" s="491" t="n"/>
      <c r="U262" s="491" t="n"/>
      <c r="V262" s="491" t="n"/>
      <c r="W262" s="491" t="n"/>
      <c r="X262" s="491" t="n"/>
      <c r="Y262" s="491" t="n"/>
    </row>
    <row r="263" ht="12.75" customHeight="1" s="398">
      <c r="A263" s="491" t="n"/>
      <c r="B263" s="491" t="n"/>
      <c r="C263" s="491" t="n"/>
      <c r="D263" s="491" t="n"/>
      <c r="E263" s="491" t="n"/>
      <c r="F263" s="491" t="n"/>
      <c r="G263" s="491" t="n"/>
      <c r="H263" s="491" t="n"/>
      <c r="I263" s="491" t="n"/>
      <c r="J263" s="491" t="n"/>
      <c r="K263" s="491" t="n"/>
      <c r="L263" s="491" t="n"/>
      <c r="M263" s="491" t="n"/>
      <c r="N263" s="491" t="n"/>
      <c r="O263" s="491" t="n"/>
      <c r="P263" s="491" t="n"/>
      <c r="Q263" s="491" t="n"/>
      <c r="R263" s="491" t="n"/>
      <c r="S263" s="491" t="n"/>
      <c r="T263" s="491" t="n"/>
      <c r="U263" s="491" t="n"/>
      <c r="V263" s="491" t="n"/>
      <c r="W263" s="491" t="n"/>
      <c r="X263" s="491" t="n"/>
      <c r="Y263" s="491" t="n"/>
    </row>
    <row r="264" ht="12.75" customHeight="1" s="398">
      <c r="A264" s="491" t="n"/>
      <c r="B264" s="491" t="n"/>
      <c r="C264" s="491" t="n"/>
      <c r="D264" s="491" t="n"/>
      <c r="E264" s="491" t="n"/>
      <c r="F264" s="491" t="n"/>
      <c r="G264" s="491" t="n"/>
      <c r="H264" s="491" t="n"/>
      <c r="I264" s="491" t="n"/>
      <c r="J264" s="491" t="n"/>
      <c r="K264" s="491" t="n"/>
      <c r="L264" s="491" t="n"/>
      <c r="M264" s="491" t="n"/>
      <c r="N264" s="491" t="n"/>
      <c r="O264" s="491" t="n"/>
      <c r="P264" s="491" t="n"/>
      <c r="Q264" s="491" t="n"/>
      <c r="R264" s="491" t="n"/>
      <c r="S264" s="491" t="n"/>
      <c r="T264" s="491" t="n"/>
      <c r="U264" s="491" t="n"/>
      <c r="V264" s="491" t="n"/>
      <c r="W264" s="491" t="n"/>
      <c r="X264" s="491" t="n"/>
      <c r="Y264" s="491" t="n"/>
    </row>
    <row r="265" ht="12.75" customHeight="1" s="398">
      <c r="A265" s="491" t="n"/>
      <c r="B265" s="491" t="n"/>
      <c r="C265" s="491" t="n"/>
      <c r="D265" s="491" t="n"/>
      <c r="E265" s="491" t="n"/>
      <c r="F265" s="491" t="n"/>
      <c r="G265" s="491" t="n"/>
      <c r="H265" s="491" t="n"/>
      <c r="I265" s="491" t="n"/>
      <c r="J265" s="491" t="n"/>
      <c r="K265" s="491" t="n"/>
      <c r="L265" s="491" t="n"/>
      <c r="M265" s="491" t="n"/>
      <c r="N265" s="491" t="n"/>
      <c r="O265" s="491" t="n"/>
      <c r="P265" s="491" t="n"/>
      <c r="Q265" s="491" t="n"/>
      <c r="R265" s="491" t="n"/>
      <c r="S265" s="491" t="n"/>
      <c r="T265" s="491" t="n"/>
      <c r="U265" s="491" t="n"/>
      <c r="V265" s="491" t="n"/>
      <c r="W265" s="491" t="n"/>
      <c r="X265" s="491" t="n"/>
      <c r="Y265" s="491" t="n"/>
    </row>
    <row r="266" ht="12.75" customHeight="1" s="398">
      <c r="A266" s="491" t="n"/>
      <c r="B266" s="491" t="n"/>
      <c r="C266" s="491" t="n"/>
      <c r="D266" s="491" t="n"/>
      <c r="E266" s="491" t="n"/>
      <c r="F266" s="491" t="n"/>
      <c r="G266" s="491" t="n"/>
      <c r="H266" s="491" t="n"/>
      <c r="I266" s="491" t="n"/>
      <c r="J266" s="491" t="n"/>
      <c r="K266" s="491" t="n"/>
      <c r="L266" s="491" t="n"/>
      <c r="M266" s="491" t="n"/>
      <c r="N266" s="491" t="n"/>
      <c r="O266" s="491" t="n"/>
      <c r="P266" s="491" t="n"/>
      <c r="Q266" s="491" t="n"/>
      <c r="R266" s="491" t="n"/>
      <c r="S266" s="491" t="n"/>
      <c r="T266" s="491" t="n"/>
      <c r="U266" s="491" t="n"/>
      <c r="V266" s="491" t="n"/>
      <c r="W266" s="491" t="n"/>
      <c r="X266" s="491" t="n"/>
      <c r="Y266" s="491" t="n"/>
    </row>
    <row r="267" ht="12.75" customHeight="1" s="398">
      <c r="A267" s="491" t="n"/>
      <c r="B267" s="491" t="n"/>
      <c r="C267" s="491" t="n"/>
      <c r="D267" s="491" t="n"/>
      <c r="E267" s="491" t="n"/>
      <c r="F267" s="491" t="n"/>
      <c r="G267" s="491" t="n"/>
      <c r="H267" s="491" t="n"/>
      <c r="I267" s="491" t="n"/>
      <c r="J267" s="491" t="n"/>
      <c r="K267" s="491" t="n"/>
      <c r="L267" s="491" t="n"/>
      <c r="M267" s="491" t="n"/>
      <c r="N267" s="491" t="n"/>
      <c r="O267" s="491" t="n"/>
      <c r="P267" s="491" t="n"/>
      <c r="Q267" s="491" t="n"/>
      <c r="R267" s="491" t="n"/>
      <c r="S267" s="491" t="n"/>
      <c r="T267" s="491" t="n"/>
      <c r="U267" s="491" t="n"/>
      <c r="V267" s="491" t="n"/>
      <c r="W267" s="491" t="n"/>
      <c r="X267" s="491" t="n"/>
      <c r="Y267" s="491" t="n"/>
    </row>
    <row r="268" ht="12.75" customHeight="1" s="398">
      <c r="A268" s="491" t="n"/>
      <c r="B268" s="491" t="n"/>
      <c r="C268" s="491" t="n"/>
      <c r="D268" s="491" t="n"/>
      <c r="E268" s="491" t="n"/>
      <c r="F268" s="491" t="n"/>
      <c r="G268" s="491" t="n"/>
      <c r="H268" s="491" t="n"/>
      <c r="I268" s="491" t="n"/>
      <c r="J268" s="491" t="n"/>
      <c r="K268" s="491" t="n"/>
      <c r="L268" s="491" t="n"/>
      <c r="M268" s="491" t="n"/>
      <c r="N268" s="491" t="n"/>
      <c r="O268" s="491" t="n"/>
      <c r="P268" s="491" t="n"/>
      <c r="Q268" s="491" t="n"/>
      <c r="R268" s="491" t="n"/>
      <c r="S268" s="491" t="n"/>
      <c r="T268" s="491" t="n"/>
      <c r="U268" s="491" t="n"/>
      <c r="V268" s="491" t="n"/>
      <c r="W268" s="491" t="n"/>
      <c r="X268" s="491" t="n"/>
      <c r="Y268" s="491" t="n"/>
    </row>
    <row r="269" ht="12.75" customHeight="1" s="398">
      <c r="A269" s="491" t="n"/>
      <c r="B269" s="491" t="n"/>
      <c r="C269" s="491" t="n"/>
      <c r="D269" s="491" t="n"/>
      <c r="E269" s="491" t="n"/>
      <c r="F269" s="491" t="n"/>
      <c r="G269" s="491" t="n"/>
      <c r="H269" s="491" t="n"/>
      <c r="I269" s="491" t="n"/>
      <c r="J269" s="491" t="n"/>
      <c r="K269" s="491" t="n"/>
      <c r="L269" s="491" t="n"/>
      <c r="M269" s="491" t="n"/>
      <c r="N269" s="491" t="n"/>
      <c r="O269" s="491" t="n"/>
      <c r="P269" s="491" t="n"/>
      <c r="Q269" s="491" t="n"/>
      <c r="R269" s="491" t="n"/>
      <c r="S269" s="491" t="n"/>
      <c r="T269" s="491" t="n"/>
      <c r="U269" s="491" t="n"/>
      <c r="V269" s="491" t="n"/>
      <c r="W269" s="491" t="n"/>
      <c r="X269" s="491" t="n"/>
      <c r="Y269" s="491" t="n"/>
    </row>
    <row r="270" ht="12.75" customHeight="1" s="398">
      <c r="A270" s="491" t="n"/>
      <c r="B270" s="491" t="n"/>
      <c r="C270" s="491" t="n"/>
      <c r="D270" s="491" t="n"/>
      <c r="E270" s="491" t="n"/>
      <c r="F270" s="491" t="n"/>
      <c r="G270" s="491" t="n"/>
      <c r="H270" s="491" t="n"/>
      <c r="I270" s="491" t="n"/>
      <c r="J270" s="491" t="n"/>
      <c r="K270" s="491" t="n"/>
      <c r="L270" s="491" t="n"/>
      <c r="M270" s="491" t="n"/>
      <c r="N270" s="491" t="n"/>
      <c r="O270" s="491" t="n"/>
      <c r="P270" s="491" t="n"/>
      <c r="Q270" s="491" t="n"/>
      <c r="R270" s="491" t="n"/>
      <c r="S270" s="491" t="n"/>
      <c r="T270" s="491" t="n"/>
      <c r="U270" s="491" t="n"/>
      <c r="V270" s="491" t="n"/>
      <c r="W270" s="491" t="n"/>
      <c r="X270" s="491" t="n"/>
      <c r="Y270" s="491" t="n"/>
    </row>
    <row r="271" ht="12.75" customHeight="1" s="398">
      <c r="A271" s="491" t="n"/>
      <c r="B271" s="491" t="n"/>
      <c r="C271" s="491" t="n"/>
      <c r="D271" s="491" t="n"/>
      <c r="E271" s="491" t="n"/>
      <c r="F271" s="491" t="n"/>
      <c r="G271" s="491" t="n"/>
      <c r="H271" s="491" t="n"/>
      <c r="I271" s="491" t="n"/>
      <c r="J271" s="491" t="n"/>
      <c r="K271" s="491" t="n"/>
      <c r="L271" s="491" t="n"/>
      <c r="M271" s="491" t="n"/>
      <c r="N271" s="491" t="n"/>
      <c r="O271" s="491" t="n"/>
      <c r="P271" s="491" t="n"/>
      <c r="Q271" s="491" t="n"/>
      <c r="R271" s="491" t="n"/>
      <c r="S271" s="491" t="n"/>
      <c r="T271" s="491" t="n"/>
      <c r="U271" s="491" t="n"/>
      <c r="V271" s="491" t="n"/>
      <c r="W271" s="491" t="n"/>
      <c r="X271" s="491" t="n"/>
      <c r="Y271" s="491" t="n"/>
    </row>
    <row r="272" ht="12.75" customHeight="1" s="398">
      <c r="A272" s="491" t="n"/>
      <c r="B272" s="491" t="n"/>
      <c r="C272" s="491" t="n"/>
      <c r="D272" s="491" t="n"/>
      <c r="E272" s="491" t="n"/>
      <c r="F272" s="491" t="n"/>
      <c r="G272" s="491" t="n"/>
      <c r="H272" s="491" t="n"/>
      <c r="I272" s="491" t="n"/>
      <c r="J272" s="491" t="n"/>
      <c r="K272" s="491" t="n"/>
      <c r="L272" s="491" t="n"/>
      <c r="M272" s="491" t="n"/>
      <c r="N272" s="491" t="n"/>
      <c r="O272" s="491" t="n"/>
      <c r="P272" s="491" t="n"/>
      <c r="Q272" s="491" t="n"/>
      <c r="R272" s="491" t="n"/>
      <c r="S272" s="491" t="n"/>
      <c r="T272" s="491" t="n"/>
      <c r="U272" s="491" t="n"/>
      <c r="V272" s="491" t="n"/>
      <c r="W272" s="491" t="n"/>
      <c r="X272" s="491" t="n"/>
      <c r="Y272" s="491" t="n"/>
    </row>
    <row r="273" ht="12.75" customHeight="1" s="398">
      <c r="A273" s="491" t="n"/>
      <c r="B273" s="491" t="n"/>
      <c r="C273" s="491" t="n"/>
      <c r="D273" s="491" t="n"/>
      <c r="E273" s="491" t="n"/>
      <c r="F273" s="491" t="n"/>
      <c r="G273" s="491" t="n"/>
      <c r="H273" s="491" t="n"/>
      <c r="I273" s="491" t="n"/>
      <c r="J273" s="491" t="n"/>
      <c r="K273" s="491" t="n"/>
      <c r="L273" s="491" t="n"/>
      <c r="M273" s="491" t="n"/>
      <c r="N273" s="491" t="n"/>
      <c r="O273" s="491" t="n"/>
      <c r="P273" s="491" t="n"/>
      <c r="Q273" s="491" t="n"/>
      <c r="R273" s="491" t="n"/>
      <c r="S273" s="491" t="n"/>
      <c r="T273" s="491" t="n"/>
      <c r="U273" s="491" t="n"/>
      <c r="V273" s="491" t="n"/>
      <c r="W273" s="491" t="n"/>
      <c r="X273" s="491" t="n"/>
      <c r="Y273" s="491" t="n"/>
    </row>
    <row r="274" ht="12.75" customHeight="1" s="398">
      <c r="A274" s="491" t="n"/>
      <c r="B274" s="491" t="n"/>
      <c r="C274" s="491" t="n"/>
      <c r="D274" s="491" t="n"/>
      <c r="E274" s="491" t="n"/>
      <c r="F274" s="491" t="n"/>
      <c r="G274" s="491" t="n"/>
      <c r="H274" s="491" t="n"/>
      <c r="I274" s="491" t="n"/>
      <c r="J274" s="491" t="n"/>
      <c r="K274" s="491" t="n"/>
      <c r="L274" s="491" t="n"/>
      <c r="M274" s="491" t="n"/>
      <c r="N274" s="491" t="n"/>
      <c r="O274" s="491" t="n"/>
      <c r="P274" s="491" t="n"/>
      <c r="Q274" s="491" t="n"/>
      <c r="R274" s="491" t="n"/>
      <c r="S274" s="491" t="n"/>
      <c r="T274" s="491" t="n"/>
      <c r="U274" s="491" t="n"/>
      <c r="V274" s="491" t="n"/>
      <c r="W274" s="491" t="n"/>
      <c r="X274" s="491" t="n"/>
      <c r="Y274" s="491" t="n"/>
    </row>
    <row r="275" ht="12.75" customHeight="1" s="398">
      <c r="A275" s="491" t="n"/>
      <c r="B275" s="491" t="n"/>
      <c r="C275" s="491" t="n"/>
      <c r="D275" s="491" t="n"/>
      <c r="E275" s="491" t="n"/>
      <c r="F275" s="491" t="n"/>
      <c r="G275" s="491" t="n"/>
      <c r="H275" s="491" t="n"/>
      <c r="I275" s="491" t="n"/>
      <c r="J275" s="491" t="n"/>
      <c r="K275" s="491" t="n"/>
      <c r="L275" s="491" t="n"/>
      <c r="M275" s="491" t="n"/>
      <c r="N275" s="491" t="n"/>
      <c r="O275" s="491" t="n"/>
      <c r="P275" s="491" t="n"/>
      <c r="Q275" s="491" t="n"/>
      <c r="R275" s="491" t="n"/>
      <c r="S275" s="491" t="n"/>
      <c r="T275" s="491" t="n"/>
      <c r="U275" s="491" t="n"/>
      <c r="V275" s="491" t="n"/>
      <c r="W275" s="491" t="n"/>
      <c r="X275" s="491" t="n"/>
      <c r="Y275" s="491" t="n"/>
    </row>
    <row r="276" ht="12.75" customHeight="1" s="398">
      <c r="A276" s="491" t="n"/>
      <c r="B276" s="491" t="n"/>
      <c r="C276" s="491" t="n"/>
      <c r="D276" s="491" t="n"/>
      <c r="E276" s="491" t="n"/>
      <c r="F276" s="491" t="n"/>
      <c r="G276" s="491" t="n"/>
      <c r="H276" s="491" t="n"/>
      <c r="I276" s="491" t="n"/>
      <c r="J276" s="491" t="n"/>
      <c r="K276" s="491" t="n"/>
      <c r="L276" s="491" t="n"/>
      <c r="M276" s="491" t="n"/>
      <c r="N276" s="491" t="n"/>
      <c r="O276" s="491" t="n"/>
      <c r="P276" s="491" t="n"/>
      <c r="Q276" s="491" t="n"/>
      <c r="R276" s="491" t="n"/>
      <c r="S276" s="491" t="n"/>
      <c r="T276" s="491" t="n"/>
      <c r="U276" s="491" t="n"/>
      <c r="V276" s="491" t="n"/>
      <c r="W276" s="491" t="n"/>
      <c r="X276" s="491" t="n"/>
      <c r="Y276" s="491" t="n"/>
    </row>
    <row r="277" ht="12.75" customHeight="1" s="398">
      <c r="A277" s="491" t="n"/>
      <c r="B277" s="491" t="n"/>
      <c r="C277" s="491" t="n"/>
      <c r="D277" s="491" t="n"/>
      <c r="E277" s="491" t="n"/>
      <c r="F277" s="491" t="n"/>
      <c r="G277" s="491" t="n"/>
      <c r="H277" s="491" t="n"/>
      <c r="I277" s="491" t="n"/>
      <c r="J277" s="491" t="n"/>
      <c r="K277" s="491" t="n"/>
      <c r="L277" s="491" t="n"/>
      <c r="M277" s="491" t="n"/>
      <c r="N277" s="491" t="n"/>
      <c r="O277" s="491" t="n"/>
      <c r="P277" s="491" t="n"/>
      <c r="Q277" s="491" t="n"/>
      <c r="R277" s="491" t="n"/>
      <c r="S277" s="491" t="n"/>
      <c r="T277" s="491" t="n"/>
      <c r="U277" s="491" t="n"/>
      <c r="V277" s="491" t="n"/>
      <c r="W277" s="491" t="n"/>
      <c r="X277" s="491" t="n"/>
      <c r="Y277" s="491" t="n"/>
    </row>
    <row r="278" ht="12.75" customHeight="1" s="398">
      <c r="A278" s="491" t="n"/>
      <c r="B278" s="491" t="n"/>
      <c r="C278" s="491" t="n"/>
      <c r="D278" s="491" t="n"/>
      <c r="E278" s="491" t="n"/>
      <c r="F278" s="491" t="n"/>
      <c r="G278" s="491" t="n"/>
      <c r="H278" s="491" t="n"/>
      <c r="I278" s="491" t="n"/>
      <c r="J278" s="491" t="n"/>
      <c r="K278" s="491" t="n"/>
      <c r="L278" s="491" t="n"/>
      <c r="M278" s="491" t="n"/>
      <c r="N278" s="491" t="n"/>
      <c r="O278" s="491" t="n"/>
      <c r="P278" s="491" t="n"/>
      <c r="Q278" s="491" t="n"/>
      <c r="R278" s="491" t="n"/>
      <c r="S278" s="491" t="n"/>
      <c r="T278" s="491" t="n"/>
      <c r="U278" s="491" t="n"/>
      <c r="V278" s="491" t="n"/>
      <c r="W278" s="491" t="n"/>
      <c r="X278" s="491" t="n"/>
      <c r="Y278" s="491" t="n"/>
    </row>
    <row r="279" ht="12.75" customHeight="1" s="398">
      <c r="A279" s="491" t="n"/>
      <c r="B279" s="491" t="n"/>
      <c r="C279" s="491" t="n"/>
      <c r="D279" s="491" t="n"/>
      <c r="E279" s="491" t="n"/>
      <c r="F279" s="491" t="n"/>
      <c r="G279" s="491" t="n"/>
      <c r="H279" s="491" t="n"/>
      <c r="I279" s="491" t="n"/>
      <c r="J279" s="491" t="n"/>
      <c r="K279" s="491" t="n"/>
      <c r="L279" s="491" t="n"/>
      <c r="M279" s="491" t="n"/>
      <c r="N279" s="491" t="n"/>
      <c r="O279" s="491" t="n"/>
      <c r="P279" s="491" t="n"/>
      <c r="Q279" s="491" t="n"/>
      <c r="R279" s="491" t="n"/>
      <c r="S279" s="491" t="n"/>
      <c r="T279" s="491" t="n"/>
      <c r="U279" s="491" t="n"/>
      <c r="V279" s="491" t="n"/>
      <c r="W279" s="491" t="n"/>
      <c r="X279" s="491" t="n"/>
      <c r="Y279" s="491" t="n"/>
    </row>
    <row r="280" ht="12.75" customHeight="1" s="398">
      <c r="A280" s="491" t="n"/>
      <c r="B280" s="491" t="n"/>
      <c r="C280" s="491" t="n"/>
      <c r="D280" s="491" t="n"/>
      <c r="E280" s="491" t="n"/>
      <c r="F280" s="491" t="n"/>
      <c r="G280" s="491" t="n"/>
      <c r="H280" s="491" t="n"/>
      <c r="I280" s="491" t="n"/>
      <c r="J280" s="491" t="n"/>
      <c r="K280" s="491" t="n"/>
      <c r="L280" s="491" t="n"/>
      <c r="M280" s="491" t="n"/>
      <c r="N280" s="491" t="n"/>
      <c r="O280" s="491" t="n"/>
      <c r="P280" s="491" t="n"/>
      <c r="Q280" s="491" t="n"/>
      <c r="R280" s="491" t="n"/>
      <c r="S280" s="491" t="n"/>
      <c r="T280" s="491" t="n"/>
      <c r="U280" s="491" t="n"/>
      <c r="V280" s="491" t="n"/>
      <c r="W280" s="491" t="n"/>
      <c r="X280" s="491" t="n"/>
      <c r="Y280" s="491" t="n"/>
    </row>
    <row r="281" ht="12.75" customHeight="1" s="398">
      <c r="A281" s="491" t="n"/>
      <c r="B281" s="491" t="n"/>
      <c r="C281" s="491" t="n"/>
      <c r="D281" s="491" t="n"/>
      <c r="E281" s="491" t="n"/>
      <c r="F281" s="491" t="n"/>
      <c r="G281" s="491" t="n"/>
      <c r="H281" s="491" t="n"/>
      <c r="I281" s="491" t="n"/>
      <c r="J281" s="491" t="n"/>
      <c r="K281" s="491" t="n"/>
      <c r="L281" s="491" t="n"/>
      <c r="M281" s="491" t="n"/>
      <c r="N281" s="491" t="n"/>
      <c r="O281" s="491" t="n"/>
      <c r="P281" s="491" t="n"/>
      <c r="Q281" s="491" t="n"/>
      <c r="R281" s="491" t="n"/>
      <c r="S281" s="491" t="n"/>
      <c r="T281" s="491" t="n"/>
      <c r="U281" s="491" t="n"/>
      <c r="V281" s="491" t="n"/>
      <c r="W281" s="491" t="n"/>
      <c r="X281" s="491" t="n"/>
      <c r="Y281" s="491" t="n"/>
    </row>
    <row r="282" ht="12.75" customHeight="1" s="398">
      <c r="A282" s="491" t="n"/>
      <c r="B282" s="491" t="n"/>
      <c r="C282" s="491" t="n"/>
      <c r="D282" s="491" t="n"/>
      <c r="E282" s="491" t="n"/>
      <c r="F282" s="491" t="n"/>
      <c r="G282" s="491" t="n"/>
      <c r="H282" s="491" t="n"/>
      <c r="I282" s="491" t="n"/>
      <c r="J282" s="491" t="n"/>
      <c r="K282" s="491" t="n"/>
      <c r="L282" s="491" t="n"/>
      <c r="M282" s="491" t="n"/>
      <c r="N282" s="491" t="n"/>
      <c r="O282" s="491" t="n"/>
      <c r="P282" s="491" t="n"/>
      <c r="Q282" s="491" t="n"/>
      <c r="R282" s="491" t="n"/>
      <c r="S282" s="491" t="n"/>
      <c r="T282" s="491" t="n"/>
      <c r="U282" s="491" t="n"/>
      <c r="V282" s="491" t="n"/>
      <c r="W282" s="491" t="n"/>
      <c r="X282" s="491" t="n"/>
      <c r="Y282" s="491" t="n"/>
    </row>
    <row r="283" ht="12.75" customHeight="1" s="398">
      <c r="A283" s="491" t="n"/>
      <c r="B283" s="491" t="n"/>
      <c r="C283" s="491" t="n"/>
      <c r="D283" s="491" t="n"/>
      <c r="E283" s="491" t="n"/>
      <c r="F283" s="491" t="n"/>
      <c r="G283" s="491" t="n"/>
      <c r="H283" s="491" t="n"/>
      <c r="I283" s="491" t="n"/>
      <c r="J283" s="491" t="n"/>
      <c r="K283" s="491" t="n"/>
      <c r="L283" s="491" t="n"/>
      <c r="M283" s="491" t="n"/>
      <c r="N283" s="491" t="n"/>
      <c r="O283" s="491" t="n"/>
      <c r="P283" s="491" t="n"/>
      <c r="Q283" s="491" t="n"/>
      <c r="R283" s="491" t="n"/>
      <c r="S283" s="491" t="n"/>
      <c r="T283" s="491" t="n"/>
      <c r="U283" s="491" t="n"/>
      <c r="V283" s="491" t="n"/>
      <c r="W283" s="491" t="n"/>
      <c r="X283" s="491" t="n"/>
      <c r="Y283" s="491" t="n"/>
    </row>
    <row r="284" ht="12.75" customHeight="1" s="398">
      <c r="A284" s="491" t="n"/>
      <c r="B284" s="491" t="n"/>
      <c r="C284" s="491" t="n"/>
      <c r="D284" s="491" t="n"/>
      <c r="E284" s="491" t="n"/>
      <c r="F284" s="491" t="n"/>
      <c r="G284" s="491" t="n"/>
      <c r="H284" s="491" t="n"/>
      <c r="I284" s="491" t="n"/>
      <c r="J284" s="491" t="n"/>
      <c r="K284" s="491" t="n"/>
      <c r="L284" s="491" t="n"/>
      <c r="M284" s="491" t="n"/>
      <c r="N284" s="491" t="n"/>
      <c r="O284" s="491" t="n"/>
      <c r="P284" s="491" t="n"/>
      <c r="Q284" s="491" t="n"/>
      <c r="R284" s="491" t="n"/>
      <c r="S284" s="491" t="n"/>
      <c r="T284" s="491" t="n"/>
      <c r="U284" s="491" t="n"/>
      <c r="V284" s="491" t="n"/>
      <c r="W284" s="491" t="n"/>
      <c r="X284" s="491" t="n"/>
      <c r="Y284" s="491" t="n"/>
    </row>
    <row r="285" ht="12.75" customHeight="1" s="398">
      <c r="A285" s="491" t="n"/>
      <c r="B285" s="491" t="n"/>
      <c r="C285" s="491" t="n"/>
      <c r="D285" s="491" t="n"/>
      <c r="E285" s="491" t="n"/>
      <c r="F285" s="491" t="n"/>
      <c r="G285" s="491" t="n"/>
      <c r="H285" s="491" t="n"/>
      <c r="I285" s="491" t="n"/>
      <c r="J285" s="491" t="n"/>
      <c r="K285" s="491" t="n"/>
      <c r="L285" s="491" t="n"/>
      <c r="M285" s="491" t="n"/>
      <c r="N285" s="491" t="n"/>
      <c r="O285" s="491" t="n"/>
      <c r="P285" s="491" t="n"/>
      <c r="Q285" s="491" t="n"/>
      <c r="R285" s="491" t="n"/>
      <c r="S285" s="491" t="n"/>
      <c r="T285" s="491" t="n"/>
      <c r="U285" s="491" t="n"/>
      <c r="V285" s="491" t="n"/>
      <c r="W285" s="491" t="n"/>
      <c r="X285" s="491" t="n"/>
      <c r="Y285" s="491" t="n"/>
    </row>
    <row r="286" ht="12.75" customHeight="1" s="398">
      <c r="A286" s="491" t="n"/>
      <c r="B286" s="491" t="n"/>
      <c r="C286" s="491" t="n"/>
      <c r="D286" s="491" t="n"/>
      <c r="E286" s="491" t="n"/>
      <c r="F286" s="491" t="n"/>
      <c r="G286" s="491" t="n"/>
      <c r="H286" s="491" t="n"/>
      <c r="I286" s="491" t="n"/>
      <c r="J286" s="491" t="n"/>
      <c r="K286" s="491" t="n"/>
      <c r="L286" s="491" t="n"/>
      <c r="M286" s="491" t="n"/>
      <c r="N286" s="491" t="n"/>
      <c r="O286" s="491" t="n"/>
      <c r="P286" s="491" t="n"/>
      <c r="Q286" s="491" t="n"/>
      <c r="R286" s="491" t="n"/>
      <c r="S286" s="491" t="n"/>
      <c r="T286" s="491" t="n"/>
      <c r="U286" s="491" t="n"/>
      <c r="V286" s="491" t="n"/>
      <c r="W286" s="491" t="n"/>
      <c r="X286" s="491" t="n"/>
      <c r="Y286" s="491" t="n"/>
    </row>
    <row r="287" ht="12.75" customHeight="1" s="398">
      <c r="A287" s="491" t="n"/>
      <c r="B287" s="491" t="n"/>
      <c r="C287" s="491" t="n"/>
      <c r="D287" s="491" t="n"/>
      <c r="E287" s="491" t="n"/>
      <c r="F287" s="491" t="n"/>
      <c r="G287" s="491" t="n"/>
      <c r="H287" s="491" t="n"/>
      <c r="I287" s="491" t="n"/>
      <c r="J287" s="491" t="n"/>
      <c r="K287" s="491" t="n"/>
      <c r="L287" s="491" t="n"/>
      <c r="M287" s="491" t="n"/>
      <c r="N287" s="491" t="n"/>
      <c r="O287" s="491" t="n"/>
      <c r="P287" s="491" t="n"/>
      <c r="Q287" s="491" t="n"/>
      <c r="R287" s="491" t="n"/>
      <c r="S287" s="491" t="n"/>
      <c r="T287" s="491" t="n"/>
      <c r="U287" s="491" t="n"/>
      <c r="V287" s="491" t="n"/>
      <c r="W287" s="491" t="n"/>
      <c r="X287" s="491" t="n"/>
      <c r="Y287" s="491" t="n"/>
    </row>
    <row r="288" ht="12.75" customHeight="1" s="398">
      <c r="A288" s="491" t="n"/>
      <c r="B288" s="491" t="n"/>
      <c r="C288" s="491" t="n"/>
      <c r="D288" s="491" t="n"/>
      <c r="E288" s="491" t="n"/>
      <c r="F288" s="491" t="n"/>
      <c r="G288" s="491" t="n"/>
      <c r="H288" s="491" t="n"/>
      <c r="I288" s="491" t="n"/>
      <c r="J288" s="491" t="n"/>
      <c r="K288" s="491" t="n"/>
      <c r="L288" s="491" t="n"/>
      <c r="M288" s="491" t="n"/>
      <c r="N288" s="491" t="n"/>
      <c r="O288" s="491" t="n"/>
      <c r="P288" s="491" t="n"/>
      <c r="Q288" s="491" t="n"/>
      <c r="R288" s="491" t="n"/>
      <c r="S288" s="491" t="n"/>
      <c r="T288" s="491" t="n"/>
      <c r="U288" s="491" t="n"/>
      <c r="V288" s="491" t="n"/>
      <c r="W288" s="491" t="n"/>
      <c r="X288" s="491" t="n"/>
      <c r="Y288" s="491" t="n"/>
    </row>
    <row r="289" ht="12.75" customHeight="1" s="398">
      <c r="A289" s="491" t="n"/>
      <c r="B289" s="491" t="n"/>
      <c r="C289" s="491" t="n"/>
      <c r="D289" s="491" t="n"/>
      <c r="E289" s="491" t="n"/>
      <c r="F289" s="491" t="n"/>
      <c r="G289" s="491" t="n"/>
      <c r="H289" s="491" t="n"/>
      <c r="I289" s="491" t="n"/>
      <c r="J289" s="491" t="n"/>
      <c r="K289" s="491" t="n"/>
      <c r="L289" s="491" t="n"/>
      <c r="M289" s="491" t="n"/>
      <c r="N289" s="491" t="n"/>
      <c r="O289" s="491" t="n"/>
      <c r="P289" s="491" t="n"/>
      <c r="Q289" s="491" t="n"/>
      <c r="R289" s="491" t="n"/>
      <c r="S289" s="491" t="n"/>
      <c r="T289" s="491" t="n"/>
      <c r="U289" s="491" t="n"/>
      <c r="V289" s="491" t="n"/>
      <c r="W289" s="491" t="n"/>
      <c r="X289" s="491" t="n"/>
      <c r="Y289" s="491" t="n"/>
    </row>
    <row r="290" ht="12.75" customHeight="1" s="398">
      <c r="A290" s="491" t="n"/>
      <c r="B290" s="491" t="n"/>
      <c r="C290" s="491" t="n"/>
      <c r="D290" s="491" t="n"/>
      <c r="E290" s="491" t="n"/>
      <c r="F290" s="491" t="n"/>
      <c r="G290" s="491" t="n"/>
      <c r="H290" s="491" t="n"/>
      <c r="I290" s="491" t="n"/>
      <c r="J290" s="491" t="n"/>
      <c r="K290" s="491" t="n"/>
      <c r="L290" s="491" t="n"/>
      <c r="M290" s="491" t="n"/>
      <c r="N290" s="491" t="n"/>
      <c r="O290" s="491" t="n"/>
      <c r="P290" s="491" t="n"/>
      <c r="Q290" s="491" t="n"/>
      <c r="R290" s="491" t="n"/>
      <c r="S290" s="491" t="n"/>
      <c r="T290" s="491" t="n"/>
      <c r="U290" s="491" t="n"/>
      <c r="V290" s="491" t="n"/>
      <c r="W290" s="491" t="n"/>
      <c r="X290" s="491" t="n"/>
      <c r="Y290" s="491" t="n"/>
    </row>
    <row r="291" ht="12.75" customHeight="1" s="398">
      <c r="A291" s="491" t="n"/>
      <c r="B291" s="491" t="n"/>
      <c r="C291" s="491" t="n"/>
      <c r="D291" s="491" t="n"/>
      <c r="E291" s="491" t="n"/>
      <c r="F291" s="491" t="n"/>
      <c r="G291" s="491" t="n"/>
      <c r="H291" s="491" t="n"/>
      <c r="I291" s="491" t="n"/>
      <c r="J291" s="491" t="n"/>
      <c r="K291" s="491" t="n"/>
      <c r="L291" s="491" t="n"/>
      <c r="M291" s="491" t="n"/>
      <c r="N291" s="491" t="n"/>
      <c r="O291" s="491" t="n"/>
      <c r="P291" s="491" t="n"/>
      <c r="Q291" s="491" t="n"/>
      <c r="R291" s="491" t="n"/>
      <c r="S291" s="491" t="n"/>
      <c r="T291" s="491" t="n"/>
      <c r="U291" s="491" t="n"/>
      <c r="V291" s="491" t="n"/>
      <c r="W291" s="491" t="n"/>
      <c r="X291" s="491" t="n"/>
      <c r="Y291" s="491" t="n"/>
    </row>
    <row r="292" ht="12.75" customHeight="1" s="398">
      <c r="A292" s="491" t="n"/>
      <c r="B292" s="491" t="n"/>
      <c r="C292" s="491" t="n"/>
      <c r="D292" s="491" t="n"/>
      <c r="E292" s="491" t="n"/>
      <c r="F292" s="491" t="n"/>
      <c r="G292" s="491" t="n"/>
      <c r="H292" s="491" t="n"/>
      <c r="I292" s="491" t="n"/>
      <c r="J292" s="491" t="n"/>
      <c r="K292" s="491" t="n"/>
      <c r="L292" s="491" t="n"/>
      <c r="M292" s="491" t="n"/>
      <c r="N292" s="491" t="n"/>
      <c r="O292" s="491" t="n"/>
      <c r="P292" s="491" t="n"/>
      <c r="Q292" s="491" t="n"/>
      <c r="R292" s="491" t="n"/>
      <c r="S292" s="491" t="n"/>
      <c r="T292" s="491" t="n"/>
      <c r="U292" s="491" t="n"/>
      <c r="V292" s="491" t="n"/>
      <c r="W292" s="491" t="n"/>
      <c r="X292" s="491" t="n"/>
      <c r="Y292" s="491" t="n"/>
    </row>
    <row r="293" ht="12.75" customHeight="1" s="398">
      <c r="A293" s="491" t="n"/>
      <c r="B293" s="491" t="n"/>
      <c r="C293" s="491" t="n"/>
      <c r="D293" s="491" t="n"/>
      <c r="E293" s="491" t="n"/>
      <c r="F293" s="491" t="n"/>
      <c r="G293" s="491" t="n"/>
      <c r="H293" s="491" t="n"/>
      <c r="I293" s="491" t="n"/>
      <c r="J293" s="491" t="n"/>
      <c r="K293" s="491" t="n"/>
      <c r="L293" s="491" t="n"/>
      <c r="M293" s="491" t="n"/>
      <c r="N293" s="491" t="n"/>
      <c r="O293" s="491" t="n"/>
      <c r="P293" s="491" t="n"/>
      <c r="Q293" s="491" t="n"/>
      <c r="R293" s="491" t="n"/>
      <c r="S293" s="491" t="n"/>
      <c r="T293" s="491" t="n"/>
      <c r="U293" s="491" t="n"/>
      <c r="V293" s="491" t="n"/>
      <c r="W293" s="491" t="n"/>
      <c r="X293" s="491" t="n"/>
      <c r="Y293" s="491" t="n"/>
    </row>
    <row r="294" ht="12.75" customHeight="1" s="398">
      <c r="A294" s="491" t="n"/>
      <c r="B294" s="491" t="n"/>
      <c r="C294" s="491" t="n"/>
      <c r="D294" s="491" t="n"/>
      <c r="E294" s="491" t="n"/>
      <c r="F294" s="491" t="n"/>
      <c r="G294" s="491" t="n"/>
      <c r="H294" s="491" t="n"/>
      <c r="I294" s="491" t="n"/>
      <c r="J294" s="491" t="n"/>
      <c r="K294" s="491" t="n"/>
      <c r="L294" s="491" t="n"/>
      <c r="M294" s="491" t="n"/>
      <c r="N294" s="491" t="n"/>
      <c r="O294" s="491" t="n"/>
      <c r="P294" s="491" t="n"/>
      <c r="Q294" s="491" t="n"/>
      <c r="R294" s="491" t="n"/>
      <c r="S294" s="491" t="n"/>
      <c r="T294" s="491" t="n"/>
      <c r="U294" s="491" t="n"/>
      <c r="V294" s="491" t="n"/>
      <c r="W294" s="491" t="n"/>
      <c r="X294" s="491" t="n"/>
      <c r="Y294" s="491" t="n"/>
    </row>
    <row r="295" ht="12.75" customHeight="1" s="398">
      <c r="A295" s="491" t="n"/>
      <c r="B295" s="491" t="n"/>
      <c r="C295" s="491" t="n"/>
      <c r="D295" s="491" t="n"/>
      <c r="E295" s="491" t="n"/>
      <c r="F295" s="491" t="n"/>
      <c r="G295" s="491" t="n"/>
      <c r="H295" s="491" t="n"/>
      <c r="I295" s="491" t="n"/>
      <c r="J295" s="491" t="n"/>
      <c r="K295" s="491" t="n"/>
      <c r="L295" s="491" t="n"/>
      <c r="M295" s="491" t="n"/>
      <c r="N295" s="491" t="n"/>
      <c r="O295" s="491" t="n"/>
      <c r="P295" s="491" t="n"/>
      <c r="Q295" s="491" t="n"/>
      <c r="R295" s="491" t="n"/>
      <c r="S295" s="491" t="n"/>
      <c r="T295" s="491" t="n"/>
      <c r="U295" s="491" t="n"/>
      <c r="V295" s="491" t="n"/>
      <c r="W295" s="491" t="n"/>
      <c r="X295" s="491" t="n"/>
      <c r="Y295" s="491" t="n"/>
    </row>
    <row r="296" ht="12.75" customHeight="1" s="398">
      <c r="A296" s="491" t="n"/>
      <c r="B296" s="491" t="n"/>
      <c r="C296" s="491" t="n"/>
      <c r="D296" s="491" t="n"/>
      <c r="E296" s="491" t="n"/>
      <c r="F296" s="491" t="n"/>
      <c r="G296" s="491" t="n"/>
      <c r="H296" s="491" t="n"/>
      <c r="I296" s="491" t="n"/>
      <c r="J296" s="491" t="n"/>
      <c r="K296" s="491" t="n"/>
      <c r="L296" s="491" t="n"/>
      <c r="M296" s="491" t="n"/>
      <c r="N296" s="491" t="n"/>
      <c r="O296" s="491" t="n"/>
      <c r="P296" s="491" t="n"/>
      <c r="Q296" s="491" t="n"/>
      <c r="R296" s="491" t="n"/>
      <c r="S296" s="491" t="n"/>
      <c r="T296" s="491" t="n"/>
      <c r="U296" s="491" t="n"/>
      <c r="V296" s="491" t="n"/>
      <c r="W296" s="491" t="n"/>
      <c r="X296" s="491" t="n"/>
      <c r="Y296" s="491" t="n"/>
    </row>
    <row r="297" ht="12.75" customHeight="1" s="398">
      <c r="A297" s="491" t="n"/>
      <c r="B297" s="491" t="n"/>
      <c r="C297" s="491" t="n"/>
      <c r="D297" s="491" t="n"/>
      <c r="E297" s="491" t="n"/>
      <c r="F297" s="491" t="n"/>
      <c r="G297" s="491" t="n"/>
      <c r="H297" s="491" t="n"/>
      <c r="I297" s="491" t="n"/>
      <c r="J297" s="491" t="n"/>
      <c r="K297" s="491" t="n"/>
      <c r="L297" s="491" t="n"/>
      <c r="M297" s="491" t="n"/>
      <c r="N297" s="491" t="n"/>
      <c r="O297" s="491" t="n"/>
      <c r="P297" s="491" t="n"/>
      <c r="Q297" s="491" t="n"/>
      <c r="R297" s="491" t="n"/>
      <c r="S297" s="491" t="n"/>
      <c r="T297" s="491" t="n"/>
      <c r="U297" s="491" t="n"/>
      <c r="V297" s="491" t="n"/>
      <c r="W297" s="491" t="n"/>
      <c r="X297" s="491" t="n"/>
      <c r="Y297" s="491" t="n"/>
    </row>
    <row r="298" ht="12.75" customHeight="1" s="398">
      <c r="A298" s="491" t="n"/>
      <c r="B298" s="491" t="n"/>
      <c r="C298" s="491" t="n"/>
      <c r="D298" s="491" t="n"/>
      <c r="E298" s="491" t="n"/>
      <c r="F298" s="491" t="n"/>
      <c r="G298" s="491" t="n"/>
      <c r="H298" s="491" t="n"/>
      <c r="I298" s="491" t="n"/>
      <c r="J298" s="491" t="n"/>
      <c r="K298" s="491" t="n"/>
      <c r="L298" s="491" t="n"/>
      <c r="M298" s="491" t="n"/>
      <c r="N298" s="491" t="n"/>
      <c r="O298" s="491" t="n"/>
      <c r="P298" s="491" t="n"/>
      <c r="Q298" s="491" t="n"/>
      <c r="R298" s="491" t="n"/>
      <c r="S298" s="491" t="n"/>
      <c r="T298" s="491" t="n"/>
      <c r="U298" s="491" t="n"/>
      <c r="V298" s="491" t="n"/>
      <c r="W298" s="491" t="n"/>
      <c r="X298" s="491" t="n"/>
      <c r="Y298" s="491" t="n"/>
    </row>
    <row r="299" ht="12.75" customHeight="1" s="398">
      <c r="A299" s="491" t="n"/>
      <c r="B299" s="491" t="n"/>
      <c r="C299" s="491" t="n"/>
      <c r="D299" s="491" t="n"/>
      <c r="E299" s="491" t="n"/>
      <c r="F299" s="491" t="n"/>
      <c r="G299" s="491" t="n"/>
      <c r="H299" s="491" t="n"/>
      <c r="I299" s="491" t="n"/>
      <c r="J299" s="491" t="n"/>
      <c r="K299" s="491" t="n"/>
      <c r="L299" s="491" t="n"/>
      <c r="M299" s="491" t="n"/>
      <c r="N299" s="491" t="n"/>
      <c r="O299" s="491" t="n"/>
      <c r="P299" s="491" t="n"/>
      <c r="Q299" s="491" t="n"/>
      <c r="R299" s="491" t="n"/>
      <c r="S299" s="491" t="n"/>
      <c r="T299" s="491" t="n"/>
      <c r="U299" s="491" t="n"/>
      <c r="V299" s="491" t="n"/>
      <c r="W299" s="491" t="n"/>
      <c r="X299" s="491" t="n"/>
      <c r="Y299" s="491" t="n"/>
    </row>
    <row r="300" ht="12.75" customHeight="1" s="398">
      <c r="A300" s="491" t="n"/>
      <c r="B300" s="491" t="n"/>
      <c r="C300" s="491" t="n"/>
      <c r="D300" s="491" t="n"/>
      <c r="E300" s="491" t="n"/>
      <c r="F300" s="491" t="n"/>
      <c r="G300" s="491" t="n"/>
      <c r="H300" s="491" t="n"/>
      <c r="I300" s="491" t="n"/>
      <c r="J300" s="491" t="n"/>
      <c r="K300" s="491" t="n"/>
      <c r="L300" s="491" t="n"/>
      <c r="M300" s="491" t="n"/>
      <c r="N300" s="491" t="n"/>
      <c r="O300" s="491" t="n"/>
      <c r="P300" s="491" t="n"/>
      <c r="Q300" s="491" t="n"/>
      <c r="R300" s="491" t="n"/>
      <c r="S300" s="491" t="n"/>
      <c r="T300" s="491" t="n"/>
      <c r="U300" s="491" t="n"/>
      <c r="V300" s="491" t="n"/>
      <c r="W300" s="491" t="n"/>
      <c r="X300" s="491" t="n"/>
      <c r="Y300" s="491" t="n"/>
    </row>
    <row r="301" ht="12.75" customHeight="1" s="398">
      <c r="A301" s="491" t="n"/>
      <c r="B301" s="491" t="n"/>
      <c r="C301" s="491" t="n"/>
      <c r="D301" s="491" t="n"/>
      <c r="E301" s="491" t="n"/>
      <c r="F301" s="491" t="n"/>
      <c r="G301" s="491" t="n"/>
      <c r="H301" s="491" t="n"/>
      <c r="I301" s="491" t="n"/>
      <c r="J301" s="491" t="n"/>
      <c r="K301" s="491" t="n"/>
      <c r="L301" s="491" t="n"/>
      <c r="M301" s="491" t="n"/>
      <c r="N301" s="491" t="n"/>
      <c r="O301" s="491" t="n"/>
      <c r="P301" s="491" t="n"/>
      <c r="Q301" s="491" t="n"/>
      <c r="R301" s="491" t="n"/>
      <c r="S301" s="491" t="n"/>
      <c r="T301" s="491" t="n"/>
      <c r="U301" s="491" t="n"/>
      <c r="V301" s="491" t="n"/>
      <c r="W301" s="491" t="n"/>
      <c r="X301" s="491" t="n"/>
      <c r="Y301" s="491" t="n"/>
    </row>
    <row r="302" ht="12.75" customHeight="1" s="398">
      <c r="A302" s="491" t="n"/>
      <c r="B302" s="491" t="n"/>
      <c r="C302" s="491" t="n"/>
      <c r="D302" s="491" t="n"/>
      <c r="E302" s="491" t="n"/>
      <c r="F302" s="491" t="n"/>
      <c r="G302" s="491" t="n"/>
      <c r="H302" s="491" t="n"/>
      <c r="I302" s="491" t="n"/>
      <c r="J302" s="491" t="n"/>
      <c r="K302" s="491" t="n"/>
      <c r="L302" s="491" t="n"/>
      <c r="M302" s="491" t="n"/>
      <c r="N302" s="491" t="n"/>
      <c r="O302" s="491" t="n"/>
      <c r="P302" s="491" t="n"/>
      <c r="Q302" s="491" t="n"/>
      <c r="R302" s="491" t="n"/>
      <c r="S302" s="491" t="n"/>
      <c r="T302" s="491" t="n"/>
      <c r="U302" s="491" t="n"/>
      <c r="V302" s="491" t="n"/>
      <c r="W302" s="491" t="n"/>
      <c r="X302" s="491" t="n"/>
      <c r="Y302" s="491" t="n"/>
    </row>
    <row r="303" ht="12.75" customHeight="1" s="398">
      <c r="A303" s="491" t="n"/>
      <c r="B303" s="491" t="n"/>
      <c r="C303" s="491" t="n"/>
      <c r="D303" s="491" t="n"/>
      <c r="E303" s="491" t="n"/>
      <c r="F303" s="491" t="n"/>
      <c r="G303" s="491" t="n"/>
      <c r="H303" s="491" t="n"/>
      <c r="I303" s="491" t="n"/>
      <c r="J303" s="491" t="n"/>
      <c r="K303" s="491" t="n"/>
      <c r="L303" s="491" t="n"/>
      <c r="M303" s="491" t="n"/>
      <c r="N303" s="491" t="n"/>
      <c r="O303" s="491" t="n"/>
      <c r="P303" s="491" t="n"/>
      <c r="Q303" s="491" t="n"/>
      <c r="R303" s="491" t="n"/>
      <c r="S303" s="491" t="n"/>
      <c r="T303" s="491" t="n"/>
      <c r="U303" s="491" t="n"/>
      <c r="V303" s="491" t="n"/>
      <c r="W303" s="491" t="n"/>
      <c r="X303" s="491" t="n"/>
      <c r="Y303" s="491" t="n"/>
    </row>
    <row r="304" ht="12.75" customHeight="1" s="398">
      <c r="A304" s="491" t="n"/>
      <c r="B304" s="491" t="n"/>
      <c r="C304" s="491" t="n"/>
      <c r="D304" s="491" t="n"/>
      <c r="E304" s="491" t="n"/>
      <c r="F304" s="491" t="n"/>
      <c r="G304" s="491" t="n"/>
      <c r="H304" s="491" t="n"/>
      <c r="I304" s="491" t="n"/>
      <c r="J304" s="491" t="n"/>
      <c r="K304" s="491" t="n"/>
      <c r="L304" s="491" t="n"/>
      <c r="M304" s="491" t="n"/>
      <c r="N304" s="491" t="n"/>
      <c r="O304" s="491" t="n"/>
      <c r="P304" s="491" t="n"/>
      <c r="Q304" s="491" t="n"/>
      <c r="R304" s="491" t="n"/>
      <c r="S304" s="491" t="n"/>
      <c r="T304" s="491" t="n"/>
      <c r="U304" s="491" t="n"/>
      <c r="V304" s="491" t="n"/>
      <c r="W304" s="491" t="n"/>
      <c r="X304" s="491" t="n"/>
      <c r="Y304" s="491" t="n"/>
    </row>
    <row r="305" ht="12.75" customHeight="1" s="398">
      <c r="A305" s="491" t="n"/>
      <c r="B305" s="491" t="n"/>
      <c r="C305" s="491" t="n"/>
      <c r="D305" s="491" t="n"/>
      <c r="E305" s="491" t="n"/>
      <c r="F305" s="491" t="n"/>
      <c r="G305" s="491" t="n"/>
      <c r="H305" s="491" t="n"/>
      <c r="I305" s="491" t="n"/>
      <c r="J305" s="491" t="n"/>
      <c r="K305" s="491" t="n"/>
      <c r="L305" s="491" t="n"/>
      <c r="M305" s="491" t="n"/>
      <c r="N305" s="491" t="n"/>
      <c r="O305" s="491" t="n"/>
      <c r="P305" s="491" t="n"/>
      <c r="Q305" s="491" t="n"/>
      <c r="R305" s="491" t="n"/>
      <c r="S305" s="491" t="n"/>
      <c r="T305" s="491" t="n"/>
      <c r="U305" s="491" t="n"/>
      <c r="V305" s="491" t="n"/>
      <c r="W305" s="491" t="n"/>
      <c r="X305" s="491" t="n"/>
      <c r="Y305" s="491" t="n"/>
    </row>
    <row r="306" ht="12.75" customHeight="1" s="398">
      <c r="A306" s="491" t="n"/>
      <c r="B306" s="491" t="n"/>
      <c r="C306" s="491" t="n"/>
      <c r="D306" s="491" t="n"/>
      <c r="E306" s="491" t="n"/>
      <c r="F306" s="491" t="n"/>
      <c r="G306" s="491" t="n"/>
      <c r="H306" s="491" t="n"/>
      <c r="I306" s="491" t="n"/>
      <c r="J306" s="491" t="n"/>
      <c r="K306" s="491" t="n"/>
      <c r="L306" s="491" t="n"/>
      <c r="M306" s="491" t="n"/>
      <c r="N306" s="491" t="n"/>
      <c r="O306" s="491" t="n"/>
      <c r="P306" s="491" t="n"/>
      <c r="Q306" s="491" t="n"/>
      <c r="R306" s="491" t="n"/>
      <c r="S306" s="491" t="n"/>
      <c r="T306" s="491" t="n"/>
      <c r="U306" s="491" t="n"/>
      <c r="V306" s="491" t="n"/>
      <c r="W306" s="491" t="n"/>
      <c r="X306" s="491" t="n"/>
      <c r="Y306" s="491" t="n"/>
    </row>
    <row r="307" ht="12.75" customHeight="1" s="398">
      <c r="A307" s="491" t="n"/>
      <c r="B307" s="491" t="n"/>
      <c r="C307" s="491" t="n"/>
      <c r="D307" s="491" t="n"/>
      <c r="E307" s="491" t="n"/>
      <c r="F307" s="491" t="n"/>
      <c r="G307" s="491" t="n"/>
      <c r="H307" s="491" t="n"/>
      <c r="I307" s="491" t="n"/>
      <c r="J307" s="491" t="n"/>
      <c r="K307" s="491" t="n"/>
      <c r="L307" s="491" t="n"/>
      <c r="M307" s="491" t="n"/>
      <c r="N307" s="491" t="n"/>
      <c r="O307" s="491" t="n"/>
      <c r="P307" s="491" t="n"/>
      <c r="Q307" s="491" t="n"/>
      <c r="R307" s="491" t="n"/>
      <c r="S307" s="491" t="n"/>
      <c r="T307" s="491" t="n"/>
      <c r="U307" s="491" t="n"/>
      <c r="V307" s="491" t="n"/>
      <c r="W307" s="491" t="n"/>
      <c r="X307" s="491" t="n"/>
      <c r="Y307" s="491" t="n"/>
    </row>
    <row r="308" ht="12.75" customHeight="1" s="398">
      <c r="A308" s="491" t="n"/>
      <c r="B308" s="491" t="n"/>
      <c r="C308" s="491" t="n"/>
      <c r="D308" s="491" t="n"/>
      <c r="E308" s="491" t="n"/>
      <c r="F308" s="491" t="n"/>
      <c r="G308" s="491" t="n"/>
      <c r="H308" s="491" t="n"/>
      <c r="I308" s="491" t="n"/>
      <c r="J308" s="491" t="n"/>
      <c r="K308" s="491" t="n"/>
      <c r="L308" s="491" t="n"/>
      <c r="M308" s="491" t="n"/>
      <c r="N308" s="491" t="n"/>
      <c r="O308" s="491" t="n"/>
      <c r="P308" s="491" t="n"/>
      <c r="Q308" s="491" t="n"/>
      <c r="R308" s="491" t="n"/>
      <c r="S308" s="491" t="n"/>
      <c r="T308" s="491" t="n"/>
      <c r="U308" s="491" t="n"/>
      <c r="V308" s="491" t="n"/>
      <c r="W308" s="491" t="n"/>
      <c r="X308" s="491" t="n"/>
      <c r="Y308" s="491" t="n"/>
    </row>
    <row r="309" ht="12.75" customHeight="1" s="398">
      <c r="A309" s="491" t="n"/>
      <c r="B309" s="491" t="n"/>
      <c r="C309" s="491" t="n"/>
      <c r="D309" s="491" t="n"/>
      <c r="E309" s="491" t="n"/>
      <c r="F309" s="491" t="n"/>
      <c r="G309" s="491" t="n"/>
      <c r="H309" s="491" t="n"/>
      <c r="I309" s="491" t="n"/>
      <c r="J309" s="491" t="n"/>
      <c r="K309" s="491" t="n"/>
      <c r="L309" s="491" t="n"/>
      <c r="M309" s="491" t="n"/>
      <c r="N309" s="491" t="n"/>
      <c r="O309" s="491" t="n"/>
      <c r="P309" s="491" t="n"/>
      <c r="Q309" s="491" t="n"/>
      <c r="R309" s="491" t="n"/>
      <c r="S309" s="491" t="n"/>
      <c r="T309" s="491" t="n"/>
      <c r="U309" s="491" t="n"/>
      <c r="V309" s="491" t="n"/>
      <c r="W309" s="491" t="n"/>
      <c r="X309" s="491" t="n"/>
      <c r="Y309" s="491" t="n"/>
    </row>
    <row r="310" ht="12.75" customHeight="1" s="398">
      <c r="A310" s="491" t="n"/>
      <c r="B310" s="491" t="n"/>
      <c r="C310" s="491" t="n"/>
      <c r="D310" s="491" t="n"/>
      <c r="E310" s="491" t="n"/>
      <c r="F310" s="491" t="n"/>
      <c r="G310" s="491" t="n"/>
      <c r="H310" s="491" t="n"/>
      <c r="I310" s="491" t="n"/>
      <c r="J310" s="491" t="n"/>
      <c r="K310" s="491" t="n"/>
      <c r="L310" s="491" t="n"/>
      <c r="M310" s="491" t="n"/>
      <c r="N310" s="491" t="n"/>
      <c r="O310" s="491" t="n"/>
      <c r="P310" s="491" t="n"/>
      <c r="Q310" s="491" t="n"/>
      <c r="R310" s="491" t="n"/>
      <c r="S310" s="491" t="n"/>
      <c r="T310" s="491" t="n"/>
      <c r="U310" s="491" t="n"/>
      <c r="V310" s="491" t="n"/>
      <c r="W310" s="491" t="n"/>
      <c r="X310" s="491" t="n"/>
      <c r="Y310" s="491" t="n"/>
    </row>
    <row r="311" ht="12.75" customHeight="1" s="398">
      <c r="A311" s="491" t="n"/>
      <c r="B311" s="491" t="n"/>
      <c r="C311" s="491" t="n"/>
      <c r="D311" s="491" t="n"/>
      <c r="E311" s="491" t="n"/>
      <c r="F311" s="491" t="n"/>
      <c r="G311" s="491" t="n"/>
      <c r="H311" s="491" t="n"/>
      <c r="I311" s="491" t="n"/>
      <c r="J311" s="491" t="n"/>
      <c r="K311" s="491" t="n"/>
      <c r="L311" s="491" t="n"/>
      <c r="M311" s="491" t="n"/>
      <c r="N311" s="491" t="n"/>
      <c r="O311" s="491" t="n"/>
      <c r="P311" s="491" t="n"/>
      <c r="Q311" s="491" t="n"/>
      <c r="R311" s="491" t="n"/>
      <c r="S311" s="491" t="n"/>
      <c r="T311" s="491" t="n"/>
      <c r="U311" s="491" t="n"/>
      <c r="V311" s="491" t="n"/>
      <c r="W311" s="491" t="n"/>
      <c r="X311" s="491" t="n"/>
      <c r="Y311" s="491" t="n"/>
    </row>
    <row r="312" ht="12.75" customHeight="1" s="398">
      <c r="A312" s="491" t="n"/>
      <c r="B312" s="491" t="n"/>
      <c r="C312" s="491" t="n"/>
      <c r="D312" s="491" t="n"/>
      <c r="E312" s="491" t="n"/>
      <c r="F312" s="491" t="n"/>
      <c r="G312" s="491" t="n"/>
      <c r="H312" s="491" t="n"/>
      <c r="I312" s="491" t="n"/>
      <c r="J312" s="491" t="n"/>
      <c r="K312" s="491" t="n"/>
      <c r="L312" s="491" t="n"/>
      <c r="M312" s="491" t="n"/>
      <c r="N312" s="491" t="n"/>
      <c r="O312" s="491" t="n"/>
      <c r="P312" s="491" t="n"/>
      <c r="Q312" s="491" t="n"/>
      <c r="R312" s="491" t="n"/>
      <c r="S312" s="491" t="n"/>
      <c r="T312" s="491" t="n"/>
      <c r="U312" s="491" t="n"/>
      <c r="V312" s="491" t="n"/>
      <c r="W312" s="491" t="n"/>
      <c r="X312" s="491" t="n"/>
      <c r="Y312" s="491" t="n"/>
    </row>
    <row r="313" ht="12.75" customHeight="1" s="398">
      <c r="A313" s="491" t="n"/>
      <c r="B313" s="491" t="n"/>
      <c r="C313" s="491" t="n"/>
      <c r="D313" s="491" t="n"/>
      <c r="E313" s="491" t="n"/>
      <c r="F313" s="491" t="n"/>
      <c r="G313" s="491" t="n"/>
      <c r="H313" s="491" t="n"/>
      <c r="I313" s="491" t="n"/>
      <c r="J313" s="491" t="n"/>
      <c r="K313" s="491" t="n"/>
      <c r="L313" s="491" t="n"/>
      <c r="M313" s="491" t="n"/>
      <c r="N313" s="491" t="n"/>
      <c r="O313" s="491" t="n"/>
      <c r="P313" s="491" t="n"/>
      <c r="Q313" s="491" t="n"/>
      <c r="R313" s="491" t="n"/>
      <c r="S313" s="491" t="n"/>
      <c r="T313" s="491" t="n"/>
      <c r="U313" s="491" t="n"/>
      <c r="V313" s="491" t="n"/>
      <c r="W313" s="491" t="n"/>
      <c r="X313" s="491" t="n"/>
      <c r="Y313" s="491" t="n"/>
    </row>
    <row r="314" ht="12.75" customHeight="1" s="398">
      <c r="A314" s="491" t="n"/>
      <c r="B314" s="491" t="n"/>
      <c r="C314" s="491" t="n"/>
      <c r="D314" s="491" t="n"/>
      <c r="E314" s="491" t="n"/>
      <c r="F314" s="491" t="n"/>
      <c r="G314" s="491" t="n"/>
      <c r="H314" s="491" t="n"/>
      <c r="I314" s="491" t="n"/>
      <c r="J314" s="491" t="n"/>
      <c r="K314" s="491" t="n"/>
      <c r="L314" s="491" t="n"/>
      <c r="M314" s="491" t="n"/>
      <c r="N314" s="491" t="n"/>
      <c r="O314" s="491" t="n"/>
      <c r="P314" s="491" t="n"/>
      <c r="Q314" s="491" t="n"/>
      <c r="R314" s="491" t="n"/>
      <c r="S314" s="491" t="n"/>
      <c r="T314" s="491" t="n"/>
      <c r="U314" s="491" t="n"/>
      <c r="V314" s="491" t="n"/>
      <c r="W314" s="491" t="n"/>
      <c r="X314" s="491" t="n"/>
      <c r="Y314" s="491" t="n"/>
    </row>
    <row r="315" ht="12.75" customHeight="1" s="398">
      <c r="A315" s="491" t="n"/>
      <c r="B315" s="491" t="n"/>
      <c r="C315" s="491" t="n"/>
      <c r="D315" s="491" t="n"/>
      <c r="E315" s="491" t="n"/>
      <c r="F315" s="491" t="n"/>
      <c r="G315" s="491" t="n"/>
      <c r="H315" s="491" t="n"/>
      <c r="I315" s="491" t="n"/>
      <c r="J315" s="491" t="n"/>
      <c r="K315" s="491" t="n"/>
      <c r="L315" s="491" t="n"/>
      <c r="M315" s="491" t="n"/>
      <c r="N315" s="491" t="n"/>
      <c r="O315" s="491" t="n"/>
      <c r="P315" s="491" t="n"/>
      <c r="Q315" s="491" t="n"/>
      <c r="R315" s="491" t="n"/>
      <c r="S315" s="491" t="n"/>
      <c r="T315" s="491" t="n"/>
      <c r="U315" s="491" t="n"/>
      <c r="V315" s="491" t="n"/>
      <c r="W315" s="491" t="n"/>
      <c r="X315" s="491" t="n"/>
      <c r="Y315" s="491" t="n"/>
    </row>
    <row r="316" ht="12.75" customHeight="1" s="398">
      <c r="A316" s="491" t="n"/>
      <c r="B316" s="491" t="n"/>
      <c r="C316" s="491" t="n"/>
      <c r="D316" s="491" t="n"/>
      <c r="E316" s="491" t="n"/>
      <c r="F316" s="491" t="n"/>
      <c r="G316" s="491" t="n"/>
      <c r="H316" s="491" t="n"/>
      <c r="I316" s="491" t="n"/>
      <c r="J316" s="491" t="n"/>
      <c r="K316" s="491" t="n"/>
      <c r="L316" s="491" t="n"/>
      <c r="M316" s="491" t="n"/>
      <c r="N316" s="491" t="n"/>
      <c r="O316" s="491" t="n"/>
      <c r="P316" s="491" t="n"/>
      <c r="Q316" s="491" t="n"/>
      <c r="R316" s="491" t="n"/>
      <c r="S316" s="491" t="n"/>
      <c r="T316" s="491" t="n"/>
      <c r="U316" s="491" t="n"/>
      <c r="V316" s="491" t="n"/>
      <c r="W316" s="491" t="n"/>
      <c r="X316" s="491" t="n"/>
      <c r="Y316" s="491" t="n"/>
    </row>
    <row r="317" ht="12.75" customHeight="1" s="398">
      <c r="A317" s="491" t="n"/>
      <c r="B317" s="491" t="n"/>
      <c r="C317" s="491" t="n"/>
      <c r="D317" s="491" t="n"/>
      <c r="E317" s="491" t="n"/>
      <c r="F317" s="491" t="n"/>
      <c r="G317" s="491" t="n"/>
      <c r="H317" s="491" t="n"/>
      <c r="I317" s="491" t="n"/>
      <c r="J317" s="491" t="n"/>
      <c r="K317" s="491" t="n"/>
      <c r="L317" s="491" t="n"/>
      <c r="M317" s="491" t="n"/>
      <c r="N317" s="491" t="n"/>
      <c r="O317" s="491" t="n"/>
      <c r="P317" s="491" t="n"/>
      <c r="Q317" s="491" t="n"/>
      <c r="R317" s="491" t="n"/>
      <c r="S317" s="491" t="n"/>
      <c r="T317" s="491" t="n"/>
      <c r="U317" s="491" t="n"/>
      <c r="V317" s="491" t="n"/>
      <c r="W317" s="491" t="n"/>
      <c r="X317" s="491" t="n"/>
      <c r="Y317" s="491" t="n"/>
    </row>
    <row r="318" ht="12.75" customHeight="1" s="398">
      <c r="A318" s="491" t="n"/>
      <c r="B318" s="491" t="n"/>
      <c r="C318" s="491" t="n"/>
      <c r="D318" s="491" t="n"/>
      <c r="E318" s="491" t="n"/>
      <c r="F318" s="491" t="n"/>
      <c r="G318" s="491" t="n"/>
      <c r="H318" s="491" t="n"/>
      <c r="I318" s="491" t="n"/>
      <c r="J318" s="491" t="n"/>
      <c r="K318" s="491" t="n"/>
      <c r="L318" s="491" t="n"/>
      <c r="M318" s="491" t="n"/>
      <c r="N318" s="491" t="n"/>
      <c r="O318" s="491" t="n"/>
      <c r="P318" s="491" t="n"/>
      <c r="Q318" s="491" t="n"/>
      <c r="R318" s="491" t="n"/>
      <c r="S318" s="491" t="n"/>
      <c r="T318" s="491" t="n"/>
      <c r="U318" s="491" t="n"/>
      <c r="V318" s="491" t="n"/>
      <c r="W318" s="491" t="n"/>
      <c r="X318" s="491" t="n"/>
      <c r="Y318" s="491" t="n"/>
    </row>
    <row r="319" ht="12.75" customHeight="1" s="398">
      <c r="A319" s="491" t="n"/>
      <c r="B319" s="491" t="n"/>
      <c r="C319" s="491" t="n"/>
      <c r="D319" s="491" t="n"/>
      <c r="E319" s="491" t="n"/>
      <c r="F319" s="491" t="n"/>
      <c r="G319" s="491" t="n"/>
      <c r="H319" s="491" t="n"/>
      <c r="I319" s="491" t="n"/>
      <c r="J319" s="491" t="n"/>
      <c r="K319" s="491" t="n"/>
      <c r="L319" s="491" t="n"/>
      <c r="M319" s="491" t="n"/>
      <c r="N319" s="491" t="n"/>
      <c r="O319" s="491" t="n"/>
      <c r="P319" s="491" t="n"/>
      <c r="Q319" s="491" t="n"/>
      <c r="R319" s="491" t="n"/>
      <c r="S319" s="491" t="n"/>
      <c r="T319" s="491" t="n"/>
      <c r="U319" s="491" t="n"/>
      <c r="V319" s="491" t="n"/>
      <c r="W319" s="491" t="n"/>
      <c r="X319" s="491" t="n"/>
      <c r="Y319" s="491" t="n"/>
    </row>
    <row r="320" ht="12.75" customHeight="1" s="398">
      <c r="A320" s="491" t="n"/>
      <c r="B320" s="491" t="n"/>
      <c r="C320" s="491" t="n"/>
      <c r="D320" s="491" t="n"/>
      <c r="E320" s="491" t="n"/>
      <c r="F320" s="491" t="n"/>
      <c r="G320" s="491" t="n"/>
      <c r="H320" s="491" t="n"/>
      <c r="I320" s="491" t="n"/>
      <c r="J320" s="491" t="n"/>
      <c r="K320" s="491" t="n"/>
      <c r="L320" s="491" t="n"/>
      <c r="M320" s="491" t="n"/>
      <c r="N320" s="491" t="n"/>
      <c r="O320" s="491" t="n"/>
      <c r="P320" s="491" t="n"/>
      <c r="Q320" s="491" t="n"/>
      <c r="R320" s="491" t="n"/>
      <c r="S320" s="491" t="n"/>
      <c r="T320" s="491" t="n"/>
      <c r="U320" s="491" t="n"/>
      <c r="V320" s="491" t="n"/>
      <c r="W320" s="491" t="n"/>
      <c r="X320" s="491" t="n"/>
      <c r="Y320" s="491" t="n"/>
    </row>
    <row r="321" ht="12.75" customHeight="1" s="398">
      <c r="A321" s="491" t="n"/>
      <c r="B321" s="491" t="n"/>
      <c r="C321" s="491" t="n"/>
      <c r="D321" s="491" t="n"/>
      <c r="E321" s="491" t="n"/>
      <c r="F321" s="491" t="n"/>
      <c r="G321" s="491" t="n"/>
      <c r="H321" s="491" t="n"/>
      <c r="I321" s="491" t="n"/>
      <c r="J321" s="491" t="n"/>
      <c r="K321" s="491" t="n"/>
      <c r="L321" s="491" t="n"/>
      <c r="M321" s="491" t="n"/>
      <c r="N321" s="491" t="n"/>
      <c r="O321" s="491" t="n"/>
      <c r="P321" s="491" t="n"/>
      <c r="Q321" s="491" t="n"/>
      <c r="R321" s="491" t="n"/>
      <c r="S321" s="491" t="n"/>
      <c r="T321" s="491" t="n"/>
      <c r="U321" s="491" t="n"/>
      <c r="V321" s="491" t="n"/>
      <c r="W321" s="491" t="n"/>
      <c r="X321" s="491" t="n"/>
      <c r="Y321" s="491" t="n"/>
    </row>
    <row r="322" ht="12.75" customHeight="1" s="398">
      <c r="A322" s="491" t="n"/>
      <c r="B322" s="491" t="n"/>
      <c r="C322" s="491" t="n"/>
      <c r="D322" s="491" t="n"/>
      <c r="E322" s="491" t="n"/>
      <c r="F322" s="491" t="n"/>
      <c r="G322" s="491" t="n"/>
      <c r="H322" s="491" t="n"/>
      <c r="I322" s="491" t="n"/>
      <c r="J322" s="491" t="n"/>
      <c r="K322" s="491" t="n"/>
      <c r="L322" s="491" t="n"/>
      <c r="M322" s="491" t="n"/>
      <c r="N322" s="491" t="n"/>
      <c r="O322" s="491" t="n"/>
      <c r="P322" s="491" t="n"/>
      <c r="Q322" s="491" t="n"/>
      <c r="R322" s="491" t="n"/>
      <c r="S322" s="491" t="n"/>
      <c r="T322" s="491" t="n"/>
      <c r="U322" s="491" t="n"/>
      <c r="V322" s="491" t="n"/>
      <c r="W322" s="491" t="n"/>
      <c r="X322" s="491" t="n"/>
      <c r="Y322" s="491" t="n"/>
    </row>
    <row r="323" ht="12.75" customHeight="1" s="398">
      <c r="A323" s="491" t="n"/>
      <c r="B323" s="491" t="n"/>
      <c r="C323" s="491" t="n"/>
      <c r="D323" s="491" t="n"/>
      <c r="E323" s="491" t="n"/>
      <c r="F323" s="491" t="n"/>
      <c r="G323" s="491" t="n"/>
      <c r="H323" s="491" t="n"/>
      <c r="I323" s="491" t="n"/>
      <c r="J323" s="491" t="n"/>
      <c r="K323" s="491" t="n"/>
      <c r="L323" s="491" t="n"/>
      <c r="M323" s="491" t="n"/>
      <c r="N323" s="491" t="n"/>
      <c r="O323" s="491" t="n"/>
      <c r="P323" s="491" t="n"/>
      <c r="Q323" s="491" t="n"/>
      <c r="R323" s="491" t="n"/>
      <c r="S323" s="491" t="n"/>
      <c r="T323" s="491" t="n"/>
      <c r="U323" s="491" t="n"/>
      <c r="V323" s="491" t="n"/>
      <c r="W323" s="491" t="n"/>
      <c r="X323" s="491" t="n"/>
      <c r="Y323" s="491" t="n"/>
    </row>
    <row r="324" ht="12.75" customHeight="1" s="398">
      <c r="A324" s="491" t="n"/>
      <c r="B324" s="491" t="n"/>
      <c r="C324" s="491" t="n"/>
      <c r="D324" s="491" t="n"/>
      <c r="E324" s="491" t="n"/>
      <c r="F324" s="491" t="n"/>
      <c r="G324" s="491" t="n"/>
      <c r="H324" s="491" t="n"/>
      <c r="I324" s="491" t="n"/>
      <c r="J324" s="491" t="n"/>
      <c r="K324" s="491" t="n"/>
      <c r="L324" s="491" t="n"/>
      <c r="M324" s="491" t="n"/>
      <c r="N324" s="491" t="n"/>
      <c r="O324" s="491" t="n"/>
      <c r="P324" s="491" t="n"/>
      <c r="Q324" s="491" t="n"/>
      <c r="R324" s="491" t="n"/>
      <c r="S324" s="491" t="n"/>
      <c r="T324" s="491" t="n"/>
      <c r="U324" s="491" t="n"/>
      <c r="V324" s="491" t="n"/>
      <c r="W324" s="491" t="n"/>
      <c r="X324" s="491" t="n"/>
      <c r="Y324" s="491" t="n"/>
    </row>
    <row r="325" ht="12.75" customHeight="1" s="398">
      <c r="A325" s="491" t="n"/>
      <c r="B325" s="491" t="n"/>
      <c r="C325" s="491" t="n"/>
      <c r="D325" s="491" t="n"/>
      <c r="E325" s="491" t="n"/>
      <c r="F325" s="491" t="n"/>
      <c r="G325" s="491" t="n"/>
      <c r="H325" s="491" t="n"/>
      <c r="I325" s="491" t="n"/>
      <c r="J325" s="491" t="n"/>
      <c r="K325" s="491" t="n"/>
      <c r="L325" s="491" t="n"/>
      <c r="M325" s="491" t="n"/>
      <c r="N325" s="491" t="n"/>
      <c r="O325" s="491" t="n"/>
      <c r="P325" s="491" t="n"/>
      <c r="Q325" s="491" t="n"/>
      <c r="R325" s="491" t="n"/>
      <c r="S325" s="491" t="n"/>
      <c r="T325" s="491" t="n"/>
      <c r="U325" s="491" t="n"/>
      <c r="V325" s="491" t="n"/>
      <c r="W325" s="491" t="n"/>
      <c r="X325" s="491" t="n"/>
      <c r="Y325" s="491" t="n"/>
    </row>
    <row r="326" ht="12.75" customHeight="1" s="398">
      <c r="A326" s="491" t="n"/>
      <c r="B326" s="491" t="n"/>
      <c r="C326" s="491" t="n"/>
      <c r="D326" s="491" t="n"/>
      <c r="E326" s="491" t="n"/>
      <c r="F326" s="491" t="n"/>
      <c r="G326" s="491" t="n"/>
      <c r="H326" s="491" t="n"/>
      <c r="I326" s="491" t="n"/>
      <c r="J326" s="491" t="n"/>
      <c r="K326" s="491" t="n"/>
      <c r="L326" s="491" t="n"/>
      <c r="M326" s="491" t="n"/>
      <c r="N326" s="491" t="n"/>
      <c r="O326" s="491" t="n"/>
      <c r="P326" s="491" t="n"/>
      <c r="Q326" s="491" t="n"/>
      <c r="R326" s="491" t="n"/>
      <c r="S326" s="491" t="n"/>
      <c r="T326" s="491" t="n"/>
      <c r="U326" s="491" t="n"/>
      <c r="V326" s="491" t="n"/>
      <c r="W326" s="491" t="n"/>
      <c r="X326" s="491" t="n"/>
      <c r="Y326" s="491" t="n"/>
    </row>
    <row r="327" ht="12.75" customHeight="1" s="398">
      <c r="A327" s="491" t="n"/>
      <c r="B327" s="491" t="n"/>
      <c r="C327" s="491" t="n"/>
      <c r="D327" s="491" t="n"/>
      <c r="E327" s="491" t="n"/>
      <c r="F327" s="491" t="n"/>
      <c r="G327" s="491" t="n"/>
      <c r="H327" s="491" t="n"/>
      <c r="I327" s="491" t="n"/>
      <c r="J327" s="491" t="n"/>
      <c r="K327" s="491" t="n"/>
      <c r="L327" s="491" t="n"/>
      <c r="M327" s="491" t="n"/>
      <c r="N327" s="491" t="n"/>
      <c r="O327" s="491" t="n"/>
      <c r="P327" s="491" t="n"/>
      <c r="Q327" s="491" t="n"/>
      <c r="R327" s="491" t="n"/>
      <c r="S327" s="491" t="n"/>
      <c r="T327" s="491" t="n"/>
      <c r="U327" s="491" t="n"/>
      <c r="V327" s="491" t="n"/>
      <c r="W327" s="491" t="n"/>
      <c r="X327" s="491" t="n"/>
      <c r="Y327" s="491" t="n"/>
    </row>
    <row r="328" ht="12.75" customHeight="1" s="398">
      <c r="A328" s="491" t="n"/>
      <c r="B328" s="491" t="n"/>
      <c r="C328" s="491" t="n"/>
      <c r="D328" s="491" t="n"/>
      <c r="E328" s="491" t="n"/>
      <c r="F328" s="491" t="n"/>
      <c r="G328" s="491" t="n"/>
      <c r="H328" s="491" t="n"/>
      <c r="I328" s="491" t="n"/>
      <c r="J328" s="491" t="n"/>
      <c r="K328" s="491" t="n"/>
      <c r="L328" s="491" t="n"/>
      <c r="M328" s="491" t="n"/>
      <c r="N328" s="491" t="n"/>
      <c r="O328" s="491" t="n"/>
      <c r="P328" s="491" t="n"/>
      <c r="Q328" s="491" t="n"/>
      <c r="R328" s="491" t="n"/>
      <c r="S328" s="491" t="n"/>
      <c r="T328" s="491" t="n"/>
      <c r="U328" s="491" t="n"/>
      <c r="V328" s="491" t="n"/>
      <c r="W328" s="491" t="n"/>
      <c r="X328" s="491" t="n"/>
      <c r="Y328" s="491" t="n"/>
    </row>
    <row r="329" ht="12.75" customHeight="1" s="398">
      <c r="A329" s="491" t="n"/>
      <c r="B329" s="491" t="n"/>
      <c r="C329" s="491" t="n"/>
      <c r="D329" s="491" t="n"/>
      <c r="E329" s="491" t="n"/>
      <c r="F329" s="491" t="n"/>
      <c r="G329" s="491" t="n"/>
      <c r="H329" s="491" t="n"/>
      <c r="I329" s="491" t="n"/>
      <c r="J329" s="491" t="n"/>
      <c r="K329" s="491" t="n"/>
      <c r="L329" s="491" t="n"/>
      <c r="M329" s="491" t="n"/>
      <c r="N329" s="491" t="n"/>
      <c r="O329" s="491" t="n"/>
      <c r="P329" s="491" t="n"/>
      <c r="Q329" s="491" t="n"/>
      <c r="R329" s="491" t="n"/>
      <c r="S329" s="491" t="n"/>
      <c r="T329" s="491" t="n"/>
      <c r="U329" s="491" t="n"/>
      <c r="V329" s="491" t="n"/>
      <c r="W329" s="491" t="n"/>
      <c r="X329" s="491" t="n"/>
      <c r="Y329" s="491" t="n"/>
    </row>
    <row r="330" ht="12.75" customHeight="1" s="398">
      <c r="A330" s="491" t="n"/>
      <c r="B330" s="491" t="n"/>
      <c r="C330" s="491" t="n"/>
      <c r="D330" s="491" t="n"/>
      <c r="E330" s="491" t="n"/>
      <c r="F330" s="491" t="n"/>
      <c r="G330" s="491" t="n"/>
      <c r="H330" s="491" t="n"/>
      <c r="I330" s="491" t="n"/>
      <c r="J330" s="491" t="n"/>
      <c r="K330" s="491" t="n"/>
      <c r="L330" s="491" t="n"/>
      <c r="M330" s="491" t="n"/>
      <c r="N330" s="491" t="n"/>
      <c r="O330" s="491" t="n"/>
      <c r="P330" s="491" t="n"/>
      <c r="Q330" s="491" t="n"/>
      <c r="R330" s="491" t="n"/>
      <c r="S330" s="491" t="n"/>
      <c r="T330" s="491" t="n"/>
      <c r="U330" s="491" t="n"/>
      <c r="V330" s="491" t="n"/>
      <c r="W330" s="491" t="n"/>
      <c r="X330" s="491" t="n"/>
      <c r="Y330" s="491" t="n"/>
    </row>
    <row r="331" ht="12.75" customHeight="1" s="398">
      <c r="A331" s="491" t="n"/>
      <c r="B331" s="491" t="n"/>
      <c r="C331" s="491" t="n"/>
      <c r="D331" s="491" t="n"/>
      <c r="E331" s="491" t="n"/>
      <c r="F331" s="491" t="n"/>
      <c r="G331" s="491" t="n"/>
      <c r="H331" s="491" t="n"/>
      <c r="I331" s="491" t="n"/>
      <c r="J331" s="491" t="n"/>
      <c r="K331" s="491" t="n"/>
      <c r="L331" s="491" t="n"/>
      <c r="M331" s="491" t="n"/>
      <c r="N331" s="491" t="n"/>
      <c r="O331" s="491" t="n"/>
      <c r="P331" s="491" t="n"/>
      <c r="Q331" s="491" t="n"/>
      <c r="R331" s="491" t="n"/>
      <c r="S331" s="491" t="n"/>
      <c r="T331" s="491" t="n"/>
      <c r="U331" s="491" t="n"/>
      <c r="V331" s="491" t="n"/>
      <c r="W331" s="491" t="n"/>
      <c r="X331" s="491" t="n"/>
      <c r="Y331" s="491" t="n"/>
    </row>
    <row r="332" ht="12.75" customHeight="1" s="398">
      <c r="A332" s="491" t="n"/>
      <c r="B332" s="491" t="n"/>
      <c r="C332" s="491" t="n"/>
      <c r="D332" s="491" t="n"/>
      <c r="E332" s="491" t="n"/>
      <c r="F332" s="491" t="n"/>
      <c r="G332" s="491" t="n"/>
      <c r="H332" s="491" t="n"/>
      <c r="I332" s="491" t="n"/>
      <c r="J332" s="491" t="n"/>
      <c r="K332" s="491" t="n"/>
      <c r="L332" s="491" t="n"/>
      <c r="M332" s="491" t="n"/>
      <c r="N332" s="491" t="n"/>
      <c r="O332" s="491" t="n"/>
      <c r="P332" s="491" t="n"/>
      <c r="Q332" s="491" t="n"/>
      <c r="R332" s="491" t="n"/>
      <c r="S332" s="491" t="n"/>
      <c r="T332" s="491" t="n"/>
      <c r="U332" s="491" t="n"/>
      <c r="V332" s="491" t="n"/>
      <c r="W332" s="491" t="n"/>
      <c r="X332" s="491" t="n"/>
      <c r="Y332" s="491" t="n"/>
    </row>
    <row r="333" ht="12.75" customHeight="1" s="398">
      <c r="A333" s="491" t="n"/>
      <c r="B333" s="491" t="n"/>
      <c r="C333" s="491" t="n"/>
      <c r="D333" s="491" t="n"/>
      <c r="E333" s="491" t="n"/>
      <c r="F333" s="491" t="n"/>
      <c r="G333" s="491" t="n"/>
      <c r="H333" s="491" t="n"/>
      <c r="I333" s="491" t="n"/>
      <c r="J333" s="491" t="n"/>
      <c r="K333" s="491" t="n"/>
      <c r="L333" s="491" t="n"/>
      <c r="M333" s="491" t="n"/>
      <c r="N333" s="491" t="n"/>
      <c r="O333" s="491" t="n"/>
      <c r="P333" s="491" t="n"/>
      <c r="Q333" s="491" t="n"/>
      <c r="R333" s="491" t="n"/>
      <c r="S333" s="491" t="n"/>
      <c r="T333" s="491" t="n"/>
      <c r="U333" s="491" t="n"/>
      <c r="V333" s="491" t="n"/>
      <c r="W333" s="491" t="n"/>
      <c r="X333" s="491" t="n"/>
      <c r="Y333" s="491" t="n"/>
    </row>
    <row r="334" ht="12.75" customHeight="1" s="398">
      <c r="A334" s="491" t="n"/>
      <c r="B334" s="491" t="n"/>
      <c r="C334" s="491" t="n"/>
      <c r="D334" s="491" t="n"/>
      <c r="E334" s="491" t="n"/>
      <c r="F334" s="491" t="n"/>
      <c r="G334" s="491" t="n"/>
      <c r="H334" s="491" t="n"/>
      <c r="I334" s="491" t="n"/>
      <c r="J334" s="491" t="n"/>
      <c r="K334" s="491" t="n"/>
      <c r="L334" s="491" t="n"/>
      <c r="M334" s="491" t="n"/>
      <c r="N334" s="491" t="n"/>
      <c r="O334" s="491" t="n"/>
      <c r="P334" s="491" t="n"/>
      <c r="Q334" s="491" t="n"/>
      <c r="R334" s="491" t="n"/>
      <c r="S334" s="491" t="n"/>
      <c r="T334" s="491" t="n"/>
      <c r="U334" s="491" t="n"/>
      <c r="V334" s="491" t="n"/>
      <c r="W334" s="491" t="n"/>
      <c r="X334" s="491" t="n"/>
      <c r="Y334" s="491" t="n"/>
    </row>
    <row r="335" ht="12.75" customHeight="1" s="398">
      <c r="A335" s="491" t="n"/>
      <c r="B335" s="491" t="n"/>
      <c r="C335" s="491" t="n"/>
      <c r="D335" s="491" t="n"/>
      <c r="E335" s="491" t="n"/>
      <c r="F335" s="491" t="n"/>
      <c r="G335" s="491" t="n"/>
      <c r="H335" s="491" t="n"/>
      <c r="I335" s="491" t="n"/>
      <c r="J335" s="491" t="n"/>
      <c r="K335" s="491" t="n"/>
      <c r="L335" s="491" t="n"/>
      <c r="M335" s="491" t="n"/>
      <c r="N335" s="491" t="n"/>
      <c r="O335" s="491" t="n"/>
      <c r="P335" s="491" t="n"/>
      <c r="Q335" s="491" t="n"/>
      <c r="R335" s="491" t="n"/>
      <c r="S335" s="491" t="n"/>
      <c r="T335" s="491" t="n"/>
      <c r="U335" s="491" t="n"/>
      <c r="V335" s="491" t="n"/>
      <c r="W335" s="491" t="n"/>
      <c r="X335" s="491" t="n"/>
      <c r="Y335" s="491" t="n"/>
    </row>
    <row r="336" ht="12.75" customHeight="1" s="398">
      <c r="A336" s="491" t="n"/>
      <c r="B336" s="491" t="n"/>
      <c r="C336" s="491" t="n"/>
      <c r="D336" s="491" t="n"/>
      <c r="E336" s="491" t="n"/>
      <c r="F336" s="491" t="n"/>
      <c r="G336" s="491" t="n"/>
      <c r="H336" s="491" t="n"/>
      <c r="I336" s="491" t="n"/>
      <c r="J336" s="491" t="n"/>
      <c r="K336" s="491" t="n"/>
      <c r="L336" s="491" t="n"/>
      <c r="M336" s="491" t="n"/>
      <c r="N336" s="491" t="n"/>
      <c r="O336" s="491" t="n"/>
      <c r="P336" s="491" t="n"/>
      <c r="Q336" s="491" t="n"/>
      <c r="R336" s="491" t="n"/>
      <c r="S336" s="491" t="n"/>
      <c r="T336" s="491" t="n"/>
      <c r="U336" s="491" t="n"/>
      <c r="V336" s="491" t="n"/>
      <c r="W336" s="491" t="n"/>
      <c r="X336" s="491" t="n"/>
      <c r="Y336" s="491" t="n"/>
    </row>
    <row r="337" ht="12.75" customHeight="1" s="398">
      <c r="A337" s="491" t="n"/>
      <c r="B337" s="491" t="n"/>
      <c r="C337" s="491" t="n"/>
      <c r="D337" s="491" t="n"/>
      <c r="E337" s="491" t="n"/>
      <c r="F337" s="491" t="n"/>
      <c r="G337" s="491" t="n"/>
      <c r="H337" s="491" t="n"/>
      <c r="I337" s="491" t="n"/>
      <c r="J337" s="491" t="n"/>
      <c r="K337" s="491" t="n"/>
      <c r="L337" s="491" t="n"/>
      <c r="M337" s="491" t="n"/>
      <c r="N337" s="491" t="n"/>
      <c r="O337" s="491" t="n"/>
      <c r="P337" s="491" t="n"/>
      <c r="Q337" s="491" t="n"/>
      <c r="R337" s="491" t="n"/>
      <c r="S337" s="491" t="n"/>
      <c r="T337" s="491" t="n"/>
      <c r="U337" s="491" t="n"/>
      <c r="V337" s="491" t="n"/>
      <c r="W337" s="491" t="n"/>
      <c r="X337" s="491" t="n"/>
      <c r="Y337" s="491" t="n"/>
    </row>
    <row r="338" ht="12.75" customHeight="1" s="398">
      <c r="A338" s="491" t="n"/>
      <c r="B338" s="491" t="n"/>
      <c r="C338" s="491" t="n"/>
      <c r="D338" s="491" t="n"/>
      <c r="E338" s="491" t="n"/>
      <c r="F338" s="491" t="n"/>
      <c r="G338" s="491" t="n"/>
      <c r="H338" s="491" t="n"/>
      <c r="I338" s="491" t="n"/>
      <c r="J338" s="491" t="n"/>
      <c r="K338" s="491" t="n"/>
      <c r="L338" s="491" t="n"/>
      <c r="M338" s="491" t="n"/>
      <c r="N338" s="491" t="n"/>
      <c r="O338" s="491" t="n"/>
      <c r="P338" s="491" t="n"/>
      <c r="Q338" s="491" t="n"/>
      <c r="R338" s="491" t="n"/>
      <c r="S338" s="491" t="n"/>
      <c r="T338" s="491" t="n"/>
      <c r="U338" s="491" t="n"/>
      <c r="V338" s="491" t="n"/>
      <c r="W338" s="491" t="n"/>
      <c r="X338" s="491" t="n"/>
      <c r="Y338" s="491" t="n"/>
    </row>
    <row r="339" ht="12.75" customHeight="1" s="398">
      <c r="A339" s="491" t="n"/>
      <c r="B339" s="491" t="n"/>
      <c r="C339" s="491" t="n"/>
      <c r="D339" s="491" t="n"/>
      <c r="E339" s="491" t="n"/>
      <c r="F339" s="491" t="n"/>
      <c r="G339" s="491" t="n"/>
      <c r="H339" s="491" t="n"/>
      <c r="I339" s="491" t="n"/>
      <c r="J339" s="491" t="n"/>
      <c r="K339" s="491" t="n"/>
      <c r="L339" s="491" t="n"/>
      <c r="M339" s="491" t="n"/>
      <c r="N339" s="491" t="n"/>
      <c r="O339" s="491" t="n"/>
      <c r="P339" s="491" t="n"/>
      <c r="Q339" s="491" t="n"/>
      <c r="R339" s="491" t="n"/>
      <c r="S339" s="491" t="n"/>
      <c r="T339" s="491" t="n"/>
      <c r="U339" s="491" t="n"/>
      <c r="V339" s="491" t="n"/>
      <c r="W339" s="491" t="n"/>
      <c r="X339" s="491" t="n"/>
      <c r="Y339" s="491" t="n"/>
    </row>
    <row r="340" ht="12.75" customHeight="1" s="398">
      <c r="A340" s="491" t="n"/>
      <c r="B340" s="491" t="n"/>
      <c r="C340" s="491" t="n"/>
      <c r="D340" s="491" t="n"/>
      <c r="E340" s="491" t="n"/>
      <c r="F340" s="491" t="n"/>
      <c r="G340" s="491" t="n"/>
      <c r="H340" s="491" t="n"/>
      <c r="I340" s="491" t="n"/>
      <c r="J340" s="491" t="n"/>
      <c r="K340" s="491" t="n"/>
      <c r="L340" s="491" t="n"/>
      <c r="M340" s="491" t="n"/>
      <c r="N340" s="491" t="n"/>
      <c r="O340" s="491" t="n"/>
      <c r="P340" s="491" t="n"/>
      <c r="Q340" s="491" t="n"/>
      <c r="R340" s="491" t="n"/>
      <c r="S340" s="491" t="n"/>
      <c r="T340" s="491" t="n"/>
      <c r="U340" s="491" t="n"/>
      <c r="V340" s="491" t="n"/>
      <c r="W340" s="491" t="n"/>
      <c r="X340" s="491" t="n"/>
      <c r="Y340" s="491" t="n"/>
    </row>
    <row r="341" ht="12.75" customHeight="1" s="398">
      <c r="A341" s="491" t="n"/>
      <c r="B341" s="491" t="n"/>
      <c r="C341" s="491" t="n"/>
      <c r="D341" s="491" t="n"/>
      <c r="E341" s="491" t="n"/>
      <c r="F341" s="491" t="n"/>
      <c r="G341" s="491" t="n"/>
      <c r="H341" s="491" t="n"/>
      <c r="I341" s="491" t="n"/>
      <c r="J341" s="491" t="n"/>
      <c r="K341" s="491" t="n"/>
      <c r="L341" s="491" t="n"/>
      <c r="M341" s="491" t="n"/>
      <c r="N341" s="491" t="n"/>
      <c r="O341" s="491" t="n"/>
      <c r="P341" s="491" t="n"/>
      <c r="Q341" s="491" t="n"/>
      <c r="R341" s="491" t="n"/>
      <c r="S341" s="491" t="n"/>
      <c r="T341" s="491" t="n"/>
      <c r="U341" s="491" t="n"/>
      <c r="V341" s="491" t="n"/>
      <c r="W341" s="491" t="n"/>
      <c r="X341" s="491" t="n"/>
      <c r="Y341" s="491" t="n"/>
    </row>
    <row r="342" ht="12.75" customHeight="1" s="398">
      <c r="A342" s="491" t="n"/>
      <c r="B342" s="491" t="n"/>
      <c r="C342" s="491" t="n"/>
      <c r="D342" s="491" t="n"/>
      <c r="E342" s="491" t="n"/>
      <c r="F342" s="491" t="n"/>
      <c r="G342" s="491" t="n"/>
      <c r="H342" s="491" t="n"/>
      <c r="I342" s="491" t="n"/>
      <c r="J342" s="491" t="n"/>
      <c r="K342" s="491" t="n"/>
      <c r="L342" s="491" t="n"/>
      <c r="M342" s="491" t="n"/>
      <c r="N342" s="491" t="n"/>
      <c r="O342" s="491" t="n"/>
      <c r="P342" s="491" t="n"/>
      <c r="Q342" s="491" t="n"/>
      <c r="R342" s="491" t="n"/>
      <c r="S342" s="491" t="n"/>
      <c r="T342" s="491" t="n"/>
      <c r="U342" s="491" t="n"/>
      <c r="V342" s="491" t="n"/>
      <c r="W342" s="491" t="n"/>
      <c r="X342" s="491" t="n"/>
      <c r="Y342" s="491" t="n"/>
    </row>
    <row r="343" ht="12.75" customHeight="1" s="398">
      <c r="A343" s="491" t="n"/>
      <c r="B343" s="491" t="n"/>
      <c r="C343" s="491" t="n"/>
      <c r="D343" s="491" t="n"/>
      <c r="E343" s="491" t="n"/>
      <c r="F343" s="491" t="n"/>
      <c r="G343" s="491" t="n"/>
      <c r="H343" s="491" t="n"/>
      <c r="I343" s="491" t="n"/>
      <c r="J343" s="491" t="n"/>
      <c r="K343" s="491" t="n"/>
      <c r="L343" s="491" t="n"/>
      <c r="M343" s="491" t="n"/>
      <c r="N343" s="491" t="n"/>
      <c r="O343" s="491" t="n"/>
      <c r="P343" s="491" t="n"/>
      <c r="Q343" s="491" t="n"/>
      <c r="R343" s="491" t="n"/>
      <c r="S343" s="491" t="n"/>
      <c r="T343" s="491" t="n"/>
      <c r="U343" s="491" t="n"/>
      <c r="V343" s="491" t="n"/>
      <c r="W343" s="491" t="n"/>
      <c r="X343" s="491" t="n"/>
      <c r="Y343" s="491" t="n"/>
    </row>
    <row r="344" ht="12.75" customHeight="1" s="398">
      <c r="A344" s="491" t="n"/>
      <c r="B344" s="491" t="n"/>
      <c r="C344" s="491" t="n"/>
      <c r="D344" s="491" t="n"/>
      <c r="E344" s="491" t="n"/>
      <c r="F344" s="491" t="n"/>
      <c r="G344" s="491" t="n"/>
      <c r="H344" s="491" t="n"/>
      <c r="I344" s="491" t="n"/>
      <c r="J344" s="491" t="n"/>
      <c r="K344" s="491" t="n"/>
      <c r="L344" s="491" t="n"/>
      <c r="M344" s="491" t="n"/>
      <c r="N344" s="491" t="n"/>
      <c r="O344" s="491" t="n"/>
      <c r="P344" s="491" t="n"/>
      <c r="Q344" s="491" t="n"/>
      <c r="R344" s="491" t="n"/>
      <c r="S344" s="491" t="n"/>
      <c r="T344" s="491" t="n"/>
      <c r="U344" s="491" t="n"/>
      <c r="V344" s="491" t="n"/>
      <c r="W344" s="491" t="n"/>
      <c r="X344" s="491" t="n"/>
      <c r="Y344" s="491" t="n"/>
    </row>
    <row r="345" ht="12.75" customHeight="1" s="398">
      <c r="A345" s="491" t="n"/>
      <c r="B345" s="491" t="n"/>
      <c r="C345" s="491" t="n"/>
      <c r="D345" s="491" t="n"/>
      <c r="E345" s="491" t="n"/>
      <c r="F345" s="491" t="n"/>
      <c r="G345" s="491" t="n"/>
      <c r="H345" s="491" t="n"/>
      <c r="I345" s="491" t="n"/>
      <c r="J345" s="491" t="n"/>
      <c r="K345" s="491" t="n"/>
      <c r="L345" s="491" t="n"/>
      <c r="M345" s="491" t="n"/>
      <c r="N345" s="491" t="n"/>
      <c r="O345" s="491" t="n"/>
      <c r="P345" s="491" t="n"/>
      <c r="Q345" s="491" t="n"/>
      <c r="R345" s="491" t="n"/>
      <c r="S345" s="491" t="n"/>
      <c r="T345" s="491" t="n"/>
      <c r="U345" s="491" t="n"/>
      <c r="V345" s="491" t="n"/>
      <c r="W345" s="491" t="n"/>
      <c r="X345" s="491" t="n"/>
      <c r="Y345" s="491" t="n"/>
    </row>
    <row r="346" ht="12.75" customHeight="1" s="398">
      <c r="A346" s="491" t="n"/>
      <c r="B346" s="491" t="n"/>
      <c r="C346" s="491" t="n"/>
      <c r="D346" s="491" t="n"/>
      <c r="E346" s="491" t="n"/>
      <c r="F346" s="491" t="n"/>
      <c r="G346" s="491" t="n"/>
      <c r="H346" s="491" t="n"/>
      <c r="I346" s="491" t="n"/>
      <c r="J346" s="491" t="n"/>
      <c r="K346" s="491" t="n"/>
      <c r="L346" s="491" t="n"/>
      <c r="M346" s="491" t="n"/>
      <c r="N346" s="491" t="n"/>
      <c r="O346" s="491" t="n"/>
      <c r="P346" s="491" t="n"/>
      <c r="Q346" s="491" t="n"/>
      <c r="R346" s="491" t="n"/>
      <c r="S346" s="491" t="n"/>
      <c r="T346" s="491" t="n"/>
      <c r="U346" s="491" t="n"/>
      <c r="V346" s="491" t="n"/>
      <c r="W346" s="491" t="n"/>
      <c r="X346" s="491" t="n"/>
      <c r="Y346" s="491" t="n"/>
    </row>
    <row r="347" ht="12.75" customHeight="1" s="398">
      <c r="A347" s="491" t="n"/>
      <c r="B347" s="491" t="n"/>
      <c r="C347" s="491" t="n"/>
      <c r="D347" s="491" t="n"/>
      <c r="E347" s="491" t="n"/>
      <c r="F347" s="491" t="n"/>
      <c r="G347" s="491" t="n"/>
      <c r="H347" s="491" t="n"/>
      <c r="I347" s="491" t="n"/>
      <c r="J347" s="491" t="n"/>
      <c r="K347" s="491" t="n"/>
      <c r="L347" s="491" t="n"/>
      <c r="M347" s="491" t="n"/>
      <c r="N347" s="491" t="n"/>
      <c r="O347" s="491" t="n"/>
      <c r="P347" s="491" t="n"/>
      <c r="Q347" s="491" t="n"/>
      <c r="R347" s="491" t="n"/>
      <c r="S347" s="491" t="n"/>
      <c r="T347" s="491" t="n"/>
      <c r="U347" s="491" t="n"/>
      <c r="V347" s="491" t="n"/>
      <c r="W347" s="491" t="n"/>
      <c r="X347" s="491" t="n"/>
      <c r="Y347" s="491" t="n"/>
    </row>
    <row r="348" ht="12.75" customHeight="1" s="398">
      <c r="A348" s="491" t="n"/>
      <c r="B348" s="491" t="n"/>
      <c r="C348" s="491" t="n"/>
      <c r="D348" s="491" t="n"/>
      <c r="E348" s="491" t="n"/>
      <c r="F348" s="491" t="n"/>
      <c r="G348" s="491" t="n"/>
      <c r="H348" s="491" t="n"/>
      <c r="I348" s="491" t="n"/>
      <c r="J348" s="491" t="n"/>
      <c r="K348" s="491" t="n"/>
      <c r="L348" s="491" t="n"/>
      <c r="M348" s="491" t="n"/>
      <c r="N348" s="491" t="n"/>
      <c r="O348" s="491" t="n"/>
      <c r="P348" s="491" t="n"/>
      <c r="Q348" s="491" t="n"/>
      <c r="R348" s="491" t="n"/>
      <c r="S348" s="491" t="n"/>
      <c r="T348" s="491" t="n"/>
      <c r="U348" s="491" t="n"/>
      <c r="V348" s="491" t="n"/>
      <c r="W348" s="491" t="n"/>
      <c r="X348" s="491" t="n"/>
      <c r="Y348" s="491" t="n"/>
    </row>
    <row r="349" ht="12.75" customHeight="1" s="398">
      <c r="A349" s="491" t="n"/>
      <c r="B349" s="491" t="n"/>
      <c r="C349" s="491" t="n"/>
      <c r="D349" s="491" t="n"/>
      <c r="E349" s="491" t="n"/>
      <c r="F349" s="491" t="n"/>
      <c r="G349" s="491" t="n"/>
      <c r="H349" s="491" t="n"/>
      <c r="I349" s="491" t="n"/>
      <c r="J349" s="491" t="n"/>
      <c r="K349" s="491" t="n"/>
      <c r="L349" s="491" t="n"/>
      <c r="M349" s="491" t="n"/>
      <c r="N349" s="491" t="n"/>
      <c r="O349" s="491" t="n"/>
      <c r="P349" s="491" t="n"/>
      <c r="Q349" s="491" t="n"/>
      <c r="R349" s="491" t="n"/>
      <c r="S349" s="491" t="n"/>
      <c r="T349" s="491" t="n"/>
      <c r="U349" s="491" t="n"/>
      <c r="V349" s="491" t="n"/>
      <c r="W349" s="491" t="n"/>
      <c r="X349" s="491" t="n"/>
      <c r="Y349" s="491" t="n"/>
    </row>
    <row r="350" ht="12.75" customHeight="1" s="398">
      <c r="A350" s="491" t="n"/>
      <c r="B350" s="491" t="n"/>
      <c r="C350" s="491" t="n"/>
      <c r="D350" s="491" t="n"/>
      <c r="E350" s="491" t="n"/>
      <c r="F350" s="491" t="n"/>
      <c r="G350" s="491" t="n"/>
      <c r="H350" s="491" t="n"/>
      <c r="I350" s="491" t="n"/>
      <c r="J350" s="491" t="n"/>
      <c r="K350" s="491" t="n"/>
      <c r="L350" s="491" t="n"/>
      <c r="M350" s="491" t="n"/>
      <c r="N350" s="491" t="n"/>
      <c r="O350" s="491" t="n"/>
      <c r="P350" s="491" t="n"/>
      <c r="Q350" s="491" t="n"/>
      <c r="R350" s="491" t="n"/>
      <c r="S350" s="491" t="n"/>
      <c r="T350" s="491" t="n"/>
      <c r="U350" s="491" t="n"/>
      <c r="V350" s="491" t="n"/>
      <c r="W350" s="491" t="n"/>
      <c r="X350" s="491" t="n"/>
      <c r="Y350" s="491" t="n"/>
    </row>
    <row r="351" ht="12.75" customHeight="1" s="398">
      <c r="A351" s="491" t="n"/>
      <c r="B351" s="491" t="n"/>
      <c r="C351" s="491" t="n"/>
      <c r="D351" s="491" t="n"/>
      <c r="E351" s="491" t="n"/>
      <c r="F351" s="491" t="n"/>
      <c r="G351" s="491" t="n"/>
      <c r="H351" s="491" t="n"/>
      <c r="I351" s="491" t="n"/>
      <c r="J351" s="491" t="n"/>
      <c r="K351" s="491" t="n"/>
      <c r="L351" s="491" t="n"/>
      <c r="M351" s="491" t="n"/>
      <c r="N351" s="491" t="n"/>
      <c r="O351" s="491" t="n"/>
      <c r="P351" s="491" t="n"/>
      <c r="Q351" s="491" t="n"/>
      <c r="R351" s="491" t="n"/>
      <c r="S351" s="491" t="n"/>
      <c r="T351" s="491" t="n"/>
      <c r="U351" s="491" t="n"/>
      <c r="V351" s="491" t="n"/>
      <c r="W351" s="491" t="n"/>
      <c r="X351" s="491" t="n"/>
      <c r="Y351" s="491" t="n"/>
    </row>
    <row r="352" ht="12.75" customHeight="1" s="398">
      <c r="A352" s="491" t="n"/>
      <c r="B352" s="491" t="n"/>
      <c r="C352" s="491" t="n"/>
      <c r="D352" s="491" t="n"/>
      <c r="E352" s="491" t="n"/>
      <c r="F352" s="491" t="n"/>
      <c r="G352" s="491" t="n"/>
      <c r="H352" s="491" t="n"/>
      <c r="I352" s="491" t="n"/>
      <c r="J352" s="491" t="n"/>
      <c r="K352" s="491" t="n"/>
      <c r="L352" s="491" t="n"/>
      <c r="M352" s="491" t="n"/>
      <c r="N352" s="491" t="n"/>
      <c r="O352" s="491" t="n"/>
      <c r="P352" s="491" t="n"/>
      <c r="Q352" s="491" t="n"/>
      <c r="R352" s="491" t="n"/>
      <c r="S352" s="491" t="n"/>
      <c r="T352" s="491" t="n"/>
      <c r="U352" s="491" t="n"/>
      <c r="V352" s="491" t="n"/>
      <c r="W352" s="491" t="n"/>
      <c r="X352" s="491" t="n"/>
      <c r="Y352" s="491" t="n"/>
    </row>
    <row r="353" ht="12.75" customHeight="1" s="398">
      <c r="A353" s="491" t="n"/>
      <c r="B353" s="491" t="n"/>
      <c r="C353" s="491" t="n"/>
      <c r="D353" s="491" t="n"/>
      <c r="E353" s="491" t="n"/>
      <c r="F353" s="491" t="n"/>
      <c r="G353" s="491" t="n"/>
      <c r="H353" s="491" t="n"/>
      <c r="I353" s="491" t="n"/>
      <c r="J353" s="491" t="n"/>
      <c r="K353" s="491" t="n"/>
      <c r="L353" s="491" t="n"/>
      <c r="M353" s="491" t="n"/>
      <c r="N353" s="491" t="n"/>
      <c r="O353" s="491" t="n"/>
      <c r="P353" s="491" t="n"/>
      <c r="Q353" s="491" t="n"/>
      <c r="R353" s="491" t="n"/>
      <c r="S353" s="491" t="n"/>
      <c r="T353" s="491" t="n"/>
      <c r="U353" s="491" t="n"/>
      <c r="V353" s="491" t="n"/>
      <c r="W353" s="491" t="n"/>
      <c r="X353" s="491" t="n"/>
      <c r="Y353" s="491" t="n"/>
    </row>
    <row r="354" ht="12.75" customHeight="1" s="398">
      <c r="A354" s="491" t="n"/>
      <c r="B354" s="491" t="n"/>
      <c r="C354" s="491" t="n"/>
      <c r="D354" s="491" t="n"/>
      <c r="E354" s="491" t="n"/>
      <c r="F354" s="491" t="n"/>
      <c r="G354" s="491" t="n"/>
      <c r="H354" s="491" t="n"/>
      <c r="I354" s="491" t="n"/>
      <c r="J354" s="491" t="n"/>
      <c r="K354" s="491" t="n"/>
      <c r="L354" s="491" t="n"/>
      <c r="M354" s="491" t="n"/>
      <c r="N354" s="491" t="n"/>
      <c r="O354" s="491" t="n"/>
      <c r="P354" s="491" t="n"/>
      <c r="Q354" s="491" t="n"/>
      <c r="R354" s="491" t="n"/>
      <c r="S354" s="491" t="n"/>
      <c r="T354" s="491" t="n"/>
      <c r="U354" s="491" t="n"/>
      <c r="V354" s="491" t="n"/>
      <c r="W354" s="491" t="n"/>
      <c r="X354" s="491" t="n"/>
      <c r="Y354" s="491" t="n"/>
    </row>
    <row r="355" ht="12.75" customHeight="1" s="398">
      <c r="A355" s="491" t="n"/>
      <c r="B355" s="491" t="n"/>
      <c r="C355" s="491" t="n"/>
      <c r="D355" s="491" t="n"/>
      <c r="E355" s="491" t="n"/>
      <c r="F355" s="491" t="n"/>
      <c r="G355" s="491" t="n"/>
      <c r="H355" s="491" t="n"/>
      <c r="I355" s="491" t="n"/>
      <c r="J355" s="491" t="n"/>
      <c r="K355" s="491" t="n"/>
      <c r="L355" s="491" t="n"/>
      <c r="M355" s="491" t="n"/>
      <c r="N355" s="491" t="n"/>
      <c r="O355" s="491" t="n"/>
      <c r="P355" s="491" t="n"/>
      <c r="Q355" s="491" t="n"/>
      <c r="R355" s="491" t="n"/>
      <c r="S355" s="491" t="n"/>
      <c r="T355" s="491" t="n"/>
      <c r="U355" s="491" t="n"/>
      <c r="V355" s="491" t="n"/>
      <c r="W355" s="491" t="n"/>
      <c r="X355" s="491" t="n"/>
      <c r="Y355" s="491" t="n"/>
    </row>
    <row r="356" ht="12.75" customHeight="1" s="398">
      <c r="A356" s="491" t="n"/>
      <c r="B356" s="491" t="n"/>
      <c r="C356" s="491" t="n"/>
      <c r="D356" s="491" t="n"/>
      <c r="E356" s="491" t="n"/>
      <c r="F356" s="491" t="n"/>
      <c r="G356" s="491" t="n"/>
      <c r="H356" s="491" t="n"/>
      <c r="I356" s="491" t="n"/>
      <c r="J356" s="491" t="n"/>
      <c r="K356" s="491" t="n"/>
      <c r="L356" s="491" t="n"/>
      <c r="M356" s="491" t="n"/>
      <c r="N356" s="491" t="n"/>
      <c r="O356" s="491" t="n"/>
      <c r="P356" s="491" t="n"/>
      <c r="Q356" s="491" t="n"/>
      <c r="R356" s="491" t="n"/>
      <c r="S356" s="491" t="n"/>
      <c r="T356" s="491" t="n"/>
      <c r="U356" s="491" t="n"/>
      <c r="V356" s="491" t="n"/>
      <c r="W356" s="491" t="n"/>
      <c r="X356" s="491" t="n"/>
      <c r="Y356" s="491" t="n"/>
    </row>
    <row r="357" ht="12.75" customHeight="1" s="398">
      <c r="A357" s="491" t="n"/>
      <c r="B357" s="491" t="n"/>
      <c r="C357" s="491" t="n"/>
      <c r="D357" s="491" t="n"/>
      <c r="E357" s="491" t="n"/>
      <c r="F357" s="491" t="n"/>
      <c r="G357" s="491" t="n"/>
      <c r="H357" s="491" t="n"/>
      <c r="I357" s="491" t="n"/>
      <c r="J357" s="491" t="n"/>
      <c r="K357" s="491" t="n"/>
      <c r="L357" s="491" t="n"/>
      <c r="M357" s="491" t="n"/>
      <c r="N357" s="491" t="n"/>
      <c r="O357" s="491" t="n"/>
      <c r="P357" s="491" t="n"/>
      <c r="Q357" s="491" t="n"/>
      <c r="R357" s="491" t="n"/>
      <c r="S357" s="491" t="n"/>
      <c r="T357" s="491" t="n"/>
      <c r="U357" s="491" t="n"/>
      <c r="V357" s="491" t="n"/>
      <c r="W357" s="491" t="n"/>
      <c r="X357" s="491" t="n"/>
      <c r="Y357" s="491" t="n"/>
    </row>
    <row r="358" ht="12.75" customHeight="1" s="398">
      <c r="A358" s="491" t="n"/>
      <c r="B358" s="491" t="n"/>
      <c r="C358" s="491" t="n"/>
      <c r="D358" s="491" t="n"/>
      <c r="E358" s="491" t="n"/>
      <c r="F358" s="491" t="n"/>
      <c r="G358" s="491" t="n"/>
      <c r="H358" s="491" t="n"/>
      <c r="I358" s="491" t="n"/>
      <c r="J358" s="491" t="n"/>
      <c r="K358" s="491" t="n"/>
      <c r="L358" s="491" t="n"/>
      <c r="M358" s="491" t="n"/>
      <c r="N358" s="491" t="n"/>
      <c r="O358" s="491" t="n"/>
      <c r="P358" s="491" t="n"/>
      <c r="Q358" s="491" t="n"/>
      <c r="R358" s="491" t="n"/>
      <c r="S358" s="491" t="n"/>
      <c r="T358" s="491" t="n"/>
      <c r="U358" s="491" t="n"/>
      <c r="V358" s="491" t="n"/>
      <c r="W358" s="491" t="n"/>
      <c r="X358" s="491" t="n"/>
      <c r="Y358" s="491" t="n"/>
    </row>
    <row r="359" ht="12.75" customHeight="1" s="398">
      <c r="A359" s="491" t="n"/>
      <c r="B359" s="491" t="n"/>
      <c r="C359" s="491" t="n"/>
      <c r="D359" s="491" t="n"/>
      <c r="E359" s="491" t="n"/>
      <c r="F359" s="491" t="n"/>
      <c r="G359" s="491" t="n"/>
      <c r="H359" s="491" t="n"/>
      <c r="I359" s="491" t="n"/>
      <c r="J359" s="491" t="n"/>
      <c r="K359" s="491" t="n"/>
      <c r="L359" s="491" t="n"/>
      <c r="M359" s="491" t="n"/>
      <c r="N359" s="491" t="n"/>
      <c r="O359" s="491" t="n"/>
      <c r="P359" s="491" t="n"/>
      <c r="Q359" s="491" t="n"/>
      <c r="R359" s="491" t="n"/>
      <c r="S359" s="491" t="n"/>
      <c r="T359" s="491" t="n"/>
      <c r="U359" s="491" t="n"/>
      <c r="V359" s="491" t="n"/>
      <c r="W359" s="491" t="n"/>
      <c r="X359" s="491" t="n"/>
      <c r="Y359" s="491" t="n"/>
    </row>
    <row r="360" ht="12.75" customHeight="1" s="398">
      <c r="A360" s="491" t="n"/>
      <c r="B360" s="491" t="n"/>
      <c r="C360" s="491" t="n"/>
      <c r="D360" s="491" t="n"/>
      <c r="E360" s="491" t="n"/>
      <c r="F360" s="491" t="n"/>
      <c r="G360" s="491" t="n"/>
      <c r="H360" s="491" t="n"/>
      <c r="I360" s="491" t="n"/>
      <c r="J360" s="491" t="n"/>
      <c r="K360" s="491" t="n"/>
      <c r="L360" s="491" t="n"/>
      <c r="M360" s="491" t="n"/>
      <c r="N360" s="491" t="n"/>
      <c r="O360" s="491" t="n"/>
      <c r="P360" s="491" t="n"/>
      <c r="Q360" s="491" t="n"/>
      <c r="R360" s="491" t="n"/>
      <c r="S360" s="491" t="n"/>
      <c r="T360" s="491" t="n"/>
      <c r="U360" s="491" t="n"/>
      <c r="V360" s="491" t="n"/>
      <c r="W360" s="491" t="n"/>
      <c r="X360" s="491" t="n"/>
      <c r="Y360" s="491" t="n"/>
    </row>
    <row r="361" ht="12.75" customHeight="1" s="398">
      <c r="A361" s="491" t="n"/>
      <c r="B361" s="491" t="n"/>
      <c r="C361" s="491" t="n"/>
      <c r="D361" s="491" t="n"/>
      <c r="E361" s="491" t="n"/>
      <c r="F361" s="491" t="n"/>
      <c r="G361" s="491" t="n"/>
      <c r="H361" s="491" t="n"/>
      <c r="I361" s="491" t="n"/>
      <c r="J361" s="491" t="n"/>
      <c r="K361" s="491" t="n"/>
      <c r="L361" s="491" t="n"/>
      <c r="M361" s="491" t="n"/>
      <c r="N361" s="491" t="n"/>
      <c r="O361" s="491" t="n"/>
      <c r="P361" s="491" t="n"/>
      <c r="Q361" s="491" t="n"/>
      <c r="R361" s="491" t="n"/>
      <c r="S361" s="491" t="n"/>
      <c r="T361" s="491" t="n"/>
      <c r="U361" s="491" t="n"/>
      <c r="V361" s="491" t="n"/>
      <c r="W361" s="491" t="n"/>
      <c r="X361" s="491" t="n"/>
      <c r="Y361" s="491" t="n"/>
    </row>
    <row r="362" ht="12.75" customHeight="1" s="398">
      <c r="A362" s="491" t="n"/>
      <c r="B362" s="491" t="n"/>
      <c r="C362" s="491" t="n"/>
      <c r="D362" s="491" t="n"/>
      <c r="E362" s="491" t="n"/>
      <c r="F362" s="491" t="n"/>
      <c r="G362" s="491" t="n"/>
      <c r="H362" s="491" t="n"/>
      <c r="I362" s="491" t="n"/>
      <c r="J362" s="491" t="n"/>
      <c r="K362" s="491" t="n"/>
      <c r="L362" s="491" t="n"/>
      <c r="M362" s="491" t="n"/>
      <c r="N362" s="491" t="n"/>
      <c r="O362" s="491" t="n"/>
      <c r="P362" s="491" t="n"/>
      <c r="Q362" s="491" t="n"/>
      <c r="R362" s="491" t="n"/>
      <c r="S362" s="491" t="n"/>
      <c r="T362" s="491" t="n"/>
      <c r="U362" s="491" t="n"/>
      <c r="V362" s="491" t="n"/>
      <c r="W362" s="491" t="n"/>
      <c r="X362" s="491" t="n"/>
      <c r="Y362" s="491" t="n"/>
    </row>
    <row r="363" ht="12.75" customHeight="1" s="398">
      <c r="A363" s="491" t="n"/>
      <c r="B363" s="491" t="n"/>
      <c r="C363" s="491" t="n"/>
      <c r="D363" s="491" t="n"/>
      <c r="E363" s="491" t="n"/>
      <c r="F363" s="491" t="n"/>
      <c r="G363" s="491" t="n"/>
      <c r="H363" s="491" t="n"/>
      <c r="I363" s="491" t="n"/>
      <c r="J363" s="491" t="n"/>
      <c r="K363" s="491" t="n"/>
      <c r="L363" s="491" t="n"/>
      <c r="M363" s="491" t="n"/>
      <c r="N363" s="491" t="n"/>
      <c r="O363" s="491" t="n"/>
      <c r="P363" s="491" t="n"/>
      <c r="Q363" s="491" t="n"/>
      <c r="R363" s="491" t="n"/>
      <c r="S363" s="491" t="n"/>
      <c r="T363" s="491" t="n"/>
      <c r="U363" s="491" t="n"/>
      <c r="V363" s="491" t="n"/>
      <c r="W363" s="491" t="n"/>
      <c r="X363" s="491" t="n"/>
      <c r="Y363" s="491" t="n"/>
    </row>
    <row r="364" ht="12.75" customHeight="1" s="398">
      <c r="A364" s="491" t="n"/>
      <c r="B364" s="491" t="n"/>
      <c r="C364" s="491" t="n"/>
      <c r="D364" s="491" t="n"/>
      <c r="E364" s="491" t="n"/>
      <c r="F364" s="491" t="n"/>
      <c r="G364" s="491" t="n"/>
      <c r="H364" s="491" t="n"/>
      <c r="I364" s="491" t="n"/>
      <c r="J364" s="491" t="n"/>
      <c r="K364" s="491" t="n"/>
      <c r="L364" s="491" t="n"/>
      <c r="M364" s="491" t="n"/>
      <c r="N364" s="491" t="n"/>
      <c r="O364" s="491" t="n"/>
      <c r="P364" s="491" t="n"/>
      <c r="Q364" s="491" t="n"/>
      <c r="R364" s="491" t="n"/>
      <c r="S364" s="491" t="n"/>
      <c r="T364" s="491" t="n"/>
      <c r="U364" s="491" t="n"/>
      <c r="V364" s="491" t="n"/>
      <c r="W364" s="491" t="n"/>
      <c r="X364" s="491" t="n"/>
      <c r="Y364" s="491" t="n"/>
    </row>
    <row r="365" ht="12.75" customHeight="1" s="398">
      <c r="A365" s="491" t="n"/>
      <c r="B365" s="491" t="n"/>
      <c r="C365" s="491" t="n"/>
      <c r="D365" s="491" t="n"/>
      <c r="E365" s="491" t="n"/>
      <c r="F365" s="491" t="n"/>
      <c r="G365" s="491" t="n"/>
      <c r="H365" s="491" t="n"/>
      <c r="I365" s="491" t="n"/>
      <c r="J365" s="491" t="n"/>
      <c r="K365" s="491" t="n"/>
      <c r="L365" s="491" t="n"/>
      <c r="M365" s="491" t="n"/>
      <c r="N365" s="491" t="n"/>
      <c r="O365" s="491" t="n"/>
      <c r="P365" s="491" t="n"/>
      <c r="Q365" s="491" t="n"/>
      <c r="R365" s="491" t="n"/>
      <c r="S365" s="491" t="n"/>
      <c r="T365" s="491" t="n"/>
      <c r="U365" s="491" t="n"/>
      <c r="V365" s="491" t="n"/>
      <c r="W365" s="491" t="n"/>
      <c r="X365" s="491" t="n"/>
      <c r="Y365" s="491" t="n"/>
    </row>
    <row r="366" ht="12.75" customHeight="1" s="398">
      <c r="A366" s="491" t="n"/>
      <c r="B366" s="491" t="n"/>
      <c r="C366" s="491" t="n"/>
      <c r="D366" s="491" t="n"/>
      <c r="E366" s="491" t="n"/>
      <c r="F366" s="491" t="n"/>
      <c r="G366" s="491" t="n"/>
      <c r="H366" s="491" t="n"/>
      <c r="I366" s="491" t="n"/>
      <c r="J366" s="491" t="n"/>
      <c r="K366" s="491" t="n"/>
      <c r="L366" s="491" t="n"/>
      <c r="M366" s="491" t="n"/>
      <c r="N366" s="491" t="n"/>
      <c r="O366" s="491" t="n"/>
      <c r="P366" s="491" t="n"/>
      <c r="Q366" s="491" t="n"/>
      <c r="R366" s="491" t="n"/>
      <c r="S366" s="491" t="n"/>
      <c r="T366" s="491" t="n"/>
      <c r="U366" s="491" t="n"/>
      <c r="V366" s="491" t="n"/>
      <c r="W366" s="491" t="n"/>
      <c r="X366" s="491" t="n"/>
      <c r="Y366" s="491" t="n"/>
    </row>
    <row r="367" ht="12.75" customHeight="1" s="398">
      <c r="A367" s="491" t="n"/>
      <c r="B367" s="491" t="n"/>
      <c r="C367" s="491" t="n"/>
      <c r="D367" s="491" t="n"/>
      <c r="E367" s="491" t="n"/>
      <c r="F367" s="491" t="n"/>
      <c r="G367" s="491" t="n"/>
      <c r="H367" s="491" t="n"/>
      <c r="I367" s="491" t="n"/>
      <c r="J367" s="491" t="n"/>
      <c r="K367" s="491" t="n"/>
      <c r="L367" s="491" t="n"/>
      <c r="M367" s="491" t="n"/>
      <c r="N367" s="491" t="n"/>
      <c r="O367" s="491" t="n"/>
      <c r="P367" s="491" t="n"/>
      <c r="Q367" s="491" t="n"/>
      <c r="R367" s="491" t="n"/>
      <c r="S367" s="491" t="n"/>
      <c r="T367" s="491" t="n"/>
      <c r="U367" s="491" t="n"/>
      <c r="V367" s="491" t="n"/>
      <c r="W367" s="491" t="n"/>
      <c r="X367" s="491" t="n"/>
      <c r="Y367" s="491" t="n"/>
    </row>
    <row r="368" ht="12.75" customHeight="1" s="398">
      <c r="A368" s="491" t="n"/>
      <c r="B368" s="491" t="n"/>
      <c r="C368" s="491" t="n"/>
      <c r="D368" s="491" t="n"/>
      <c r="E368" s="491" t="n"/>
      <c r="F368" s="491" t="n"/>
      <c r="G368" s="491" t="n"/>
      <c r="H368" s="491" t="n"/>
      <c r="I368" s="491" t="n"/>
      <c r="J368" s="491" t="n"/>
      <c r="K368" s="491" t="n"/>
      <c r="L368" s="491" t="n"/>
      <c r="M368" s="491" t="n"/>
      <c r="N368" s="491" t="n"/>
      <c r="O368" s="491" t="n"/>
      <c r="P368" s="491" t="n"/>
      <c r="Q368" s="491" t="n"/>
      <c r="R368" s="491" t="n"/>
      <c r="S368" s="491" t="n"/>
      <c r="T368" s="491" t="n"/>
      <c r="U368" s="491" t="n"/>
      <c r="V368" s="491" t="n"/>
      <c r="W368" s="491" t="n"/>
      <c r="X368" s="491" t="n"/>
      <c r="Y368" s="491" t="n"/>
    </row>
    <row r="369" ht="12.75" customHeight="1" s="398">
      <c r="A369" s="491" t="n"/>
      <c r="B369" s="491" t="n"/>
      <c r="C369" s="491" t="n"/>
      <c r="D369" s="491" t="n"/>
      <c r="E369" s="491" t="n"/>
      <c r="F369" s="491" t="n"/>
      <c r="G369" s="491" t="n"/>
      <c r="H369" s="491" t="n"/>
      <c r="I369" s="491" t="n"/>
      <c r="J369" s="491" t="n"/>
      <c r="K369" s="491" t="n"/>
      <c r="L369" s="491" t="n"/>
      <c r="M369" s="491" t="n"/>
      <c r="N369" s="491" t="n"/>
      <c r="O369" s="491" t="n"/>
      <c r="P369" s="491" t="n"/>
      <c r="Q369" s="491" t="n"/>
      <c r="R369" s="491" t="n"/>
      <c r="S369" s="491" t="n"/>
      <c r="T369" s="491" t="n"/>
      <c r="U369" s="491" t="n"/>
      <c r="V369" s="491" t="n"/>
      <c r="W369" s="491" t="n"/>
      <c r="X369" s="491" t="n"/>
      <c r="Y369" s="491" t="n"/>
    </row>
    <row r="370" ht="12.75" customHeight="1" s="398">
      <c r="A370" s="491" t="n"/>
      <c r="B370" s="491" t="n"/>
      <c r="C370" s="491" t="n"/>
      <c r="D370" s="491" t="n"/>
      <c r="E370" s="491" t="n"/>
      <c r="F370" s="491" t="n"/>
      <c r="G370" s="491" t="n"/>
      <c r="H370" s="491" t="n"/>
      <c r="I370" s="491" t="n"/>
      <c r="J370" s="491" t="n"/>
      <c r="K370" s="491" t="n"/>
      <c r="L370" s="491" t="n"/>
      <c r="M370" s="491" t="n"/>
      <c r="N370" s="491" t="n"/>
      <c r="O370" s="491" t="n"/>
      <c r="P370" s="491" t="n"/>
      <c r="Q370" s="491" t="n"/>
      <c r="R370" s="491" t="n"/>
      <c r="S370" s="491" t="n"/>
      <c r="T370" s="491" t="n"/>
      <c r="U370" s="491" t="n"/>
      <c r="V370" s="491" t="n"/>
      <c r="W370" s="491" t="n"/>
      <c r="X370" s="491" t="n"/>
      <c r="Y370" s="491" t="n"/>
    </row>
    <row r="371" ht="12.75" customHeight="1" s="398">
      <c r="A371" s="491" t="n"/>
      <c r="B371" s="491" t="n"/>
      <c r="C371" s="491" t="n"/>
      <c r="D371" s="491" t="n"/>
      <c r="E371" s="491" t="n"/>
      <c r="F371" s="491" t="n"/>
      <c r="G371" s="491" t="n"/>
      <c r="H371" s="491" t="n"/>
      <c r="I371" s="491" t="n"/>
      <c r="J371" s="491" t="n"/>
      <c r="K371" s="491" t="n"/>
      <c r="L371" s="491" t="n"/>
      <c r="M371" s="491" t="n"/>
      <c r="N371" s="491" t="n"/>
      <c r="O371" s="491" t="n"/>
      <c r="P371" s="491" t="n"/>
      <c r="Q371" s="491" t="n"/>
      <c r="R371" s="491" t="n"/>
      <c r="S371" s="491" t="n"/>
      <c r="T371" s="491" t="n"/>
      <c r="U371" s="491" t="n"/>
      <c r="V371" s="491" t="n"/>
      <c r="W371" s="491" t="n"/>
      <c r="X371" s="491" t="n"/>
      <c r="Y371" s="491" t="n"/>
    </row>
    <row r="372" ht="12.75" customHeight="1" s="398">
      <c r="A372" s="491" t="n"/>
      <c r="B372" s="491" t="n"/>
      <c r="C372" s="491" t="n"/>
      <c r="D372" s="491" t="n"/>
      <c r="E372" s="491" t="n"/>
      <c r="F372" s="491" t="n"/>
      <c r="G372" s="491" t="n"/>
      <c r="H372" s="491" t="n"/>
      <c r="I372" s="491" t="n"/>
      <c r="J372" s="491" t="n"/>
      <c r="K372" s="491" t="n"/>
      <c r="L372" s="491" t="n"/>
      <c r="M372" s="491" t="n"/>
      <c r="N372" s="491" t="n"/>
      <c r="O372" s="491" t="n"/>
      <c r="P372" s="491" t="n"/>
      <c r="Q372" s="491" t="n"/>
      <c r="R372" s="491" t="n"/>
      <c r="S372" s="491" t="n"/>
      <c r="T372" s="491" t="n"/>
      <c r="U372" s="491" t="n"/>
      <c r="V372" s="491" t="n"/>
      <c r="W372" s="491" t="n"/>
      <c r="X372" s="491" t="n"/>
      <c r="Y372" s="491" t="n"/>
    </row>
    <row r="373" ht="12.75" customHeight="1" s="398">
      <c r="A373" s="491" t="n"/>
      <c r="B373" s="491" t="n"/>
      <c r="C373" s="491" t="n"/>
      <c r="D373" s="491" t="n"/>
      <c r="E373" s="491" t="n"/>
      <c r="F373" s="491" t="n"/>
      <c r="G373" s="491" t="n"/>
      <c r="H373" s="491" t="n"/>
      <c r="I373" s="491" t="n"/>
      <c r="J373" s="491" t="n"/>
      <c r="K373" s="491" t="n"/>
      <c r="L373" s="491" t="n"/>
      <c r="M373" s="491" t="n"/>
      <c r="N373" s="491" t="n"/>
      <c r="O373" s="491" t="n"/>
      <c r="P373" s="491" t="n"/>
      <c r="Q373" s="491" t="n"/>
      <c r="R373" s="491" t="n"/>
      <c r="S373" s="491" t="n"/>
      <c r="T373" s="491" t="n"/>
      <c r="U373" s="491" t="n"/>
      <c r="V373" s="491" t="n"/>
      <c r="W373" s="491" t="n"/>
      <c r="X373" s="491" t="n"/>
      <c r="Y373" s="491" t="n"/>
    </row>
    <row r="374" ht="12.75" customHeight="1" s="398">
      <c r="A374" s="491" t="n"/>
      <c r="B374" s="491" t="n"/>
      <c r="C374" s="491" t="n"/>
      <c r="D374" s="491" t="n"/>
      <c r="E374" s="491" t="n"/>
      <c r="F374" s="491" t="n"/>
      <c r="G374" s="491" t="n"/>
      <c r="H374" s="491" t="n"/>
      <c r="I374" s="491" t="n"/>
      <c r="J374" s="491" t="n"/>
      <c r="K374" s="491" t="n"/>
      <c r="L374" s="491" t="n"/>
      <c r="M374" s="491" t="n"/>
      <c r="N374" s="491" t="n"/>
      <c r="O374" s="491" t="n"/>
      <c r="P374" s="491" t="n"/>
      <c r="Q374" s="491" t="n"/>
      <c r="R374" s="491" t="n"/>
      <c r="S374" s="491" t="n"/>
      <c r="T374" s="491" t="n"/>
      <c r="U374" s="491" t="n"/>
      <c r="V374" s="491" t="n"/>
      <c r="W374" s="491" t="n"/>
      <c r="X374" s="491" t="n"/>
      <c r="Y374" s="491" t="n"/>
    </row>
    <row r="375" ht="12.75" customHeight="1" s="398">
      <c r="A375" s="491" t="n"/>
      <c r="B375" s="491" t="n"/>
      <c r="C375" s="491" t="n"/>
      <c r="D375" s="491" t="n"/>
      <c r="E375" s="491" t="n"/>
      <c r="F375" s="491" t="n"/>
      <c r="G375" s="491" t="n"/>
      <c r="H375" s="491" t="n"/>
      <c r="I375" s="491" t="n"/>
      <c r="J375" s="491" t="n"/>
      <c r="K375" s="491" t="n"/>
      <c r="L375" s="491" t="n"/>
      <c r="M375" s="491" t="n"/>
      <c r="N375" s="491" t="n"/>
      <c r="O375" s="491" t="n"/>
      <c r="P375" s="491" t="n"/>
      <c r="Q375" s="491" t="n"/>
      <c r="R375" s="491" t="n"/>
      <c r="S375" s="491" t="n"/>
      <c r="T375" s="491" t="n"/>
      <c r="U375" s="491" t="n"/>
      <c r="V375" s="491" t="n"/>
      <c r="W375" s="491" t="n"/>
      <c r="X375" s="491" t="n"/>
      <c r="Y375" s="491" t="n"/>
    </row>
    <row r="376" ht="12.75" customHeight="1" s="398">
      <c r="A376" s="491" t="n"/>
      <c r="B376" s="491" t="n"/>
      <c r="C376" s="491" t="n"/>
      <c r="D376" s="491" t="n"/>
      <c r="E376" s="491" t="n"/>
      <c r="F376" s="491" t="n"/>
      <c r="G376" s="491" t="n"/>
      <c r="H376" s="491" t="n"/>
      <c r="I376" s="491" t="n"/>
      <c r="J376" s="491" t="n"/>
      <c r="K376" s="491" t="n"/>
      <c r="L376" s="491" t="n"/>
      <c r="M376" s="491" t="n"/>
      <c r="N376" s="491" t="n"/>
      <c r="O376" s="491" t="n"/>
      <c r="P376" s="491" t="n"/>
      <c r="Q376" s="491" t="n"/>
      <c r="R376" s="491" t="n"/>
      <c r="S376" s="491" t="n"/>
      <c r="T376" s="491" t="n"/>
      <c r="U376" s="491" t="n"/>
      <c r="V376" s="491" t="n"/>
      <c r="W376" s="491" t="n"/>
      <c r="X376" s="491" t="n"/>
      <c r="Y376" s="491" t="n"/>
    </row>
    <row r="377" ht="12.75" customHeight="1" s="398">
      <c r="A377" s="491" t="n"/>
      <c r="B377" s="491" t="n"/>
      <c r="C377" s="491" t="n"/>
      <c r="D377" s="491" t="n"/>
      <c r="E377" s="491" t="n"/>
      <c r="F377" s="491" t="n"/>
      <c r="G377" s="491" t="n"/>
      <c r="H377" s="491" t="n"/>
      <c r="I377" s="491" t="n"/>
      <c r="J377" s="491" t="n"/>
      <c r="K377" s="491" t="n"/>
      <c r="L377" s="491" t="n"/>
      <c r="M377" s="491" t="n"/>
      <c r="N377" s="491" t="n"/>
      <c r="O377" s="491" t="n"/>
      <c r="P377" s="491" t="n"/>
      <c r="Q377" s="491" t="n"/>
      <c r="R377" s="491" t="n"/>
      <c r="S377" s="491" t="n"/>
      <c r="T377" s="491" t="n"/>
      <c r="U377" s="491" t="n"/>
      <c r="V377" s="491" t="n"/>
      <c r="W377" s="491" t="n"/>
      <c r="X377" s="491" t="n"/>
      <c r="Y377" s="491" t="n"/>
    </row>
    <row r="378" ht="12.75" customHeight="1" s="398">
      <c r="A378" s="491" t="n"/>
      <c r="B378" s="491" t="n"/>
      <c r="C378" s="491" t="n"/>
      <c r="D378" s="491" t="n"/>
      <c r="E378" s="491" t="n"/>
      <c r="F378" s="491" t="n"/>
      <c r="G378" s="491" t="n"/>
      <c r="H378" s="491" t="n"/>
      <c r="I378" s="491" t="n"/>
      <c r="J378" s="491" t="n"/>
      <c r="K378" s="491" t="n"/>
      <c r="L378" s="491" t="n"/>
      <c r="M378" s="491" t="n"/>
      <c r="N378" s="491" t="n"/>
      <c r="O378" s="491" t="n"/>
      <c r="P378" s="491" t="n"/>
      <c r="Q378" s="491" t="n"/>
      <c r="R378" s="491" t="n"/>
      <c r="S378" s="491" t="n"/>
      <c r="T378" s="491" t="n"/>
      <c r="U378" s="491" t="n"/>
      <c r="V378" s="491" t="n"/>
      <c r="W378" s="491" t="n"/>
      <c r="X378" s="491" t="n"/>
      <c r="Y378" s="491" t="n"/>
    </row>
    <row r="379" ht="12.75" customHeight="1" s="398">
      <c r="A379" s="491" t="n"/>
      <c r="B379" s="491" t="n"/>
      <c r="C379" s="491" t="n"/>
      <c r="D379" s="491" t="n"/>
      <c r="E379" s="491" t="n"/>
      <c r="F379" s="491" t="n"/>
      <c r="G379" s="491" t="n"/>
      <c r="H379" s="491" t="n"/>
      <c r="I379" s="491" t="n"/>
      <c r="J379" s="491" t="n"/>
      <c r="K379" s="491" t="n"/>
      <c r="L379" s="491" t="n"/>
      <c r="M379" s="491" t="n"/>
      <c r="N379" s="491" t="n"/>
      <c r="O379" s="491" t="n"/>
      <c r="P379" s="491" t="n"/>
      <c r="Q379" s="491" t="n"/>
      <c r="R379" s="491" t="n"/>
      <c r="S379" s="491" t="n"/>
      <c r="T379" s="491" t="n"/>
      <c r="U379" s="491" t="n"/>
      <c r="V379" s="491" t="n"/>
      <c r="W379" s="491" t="n"/>
      <c r="X379" s="491" t="n"/>
      <c r="Y379" s="491" t="n"/>
    </row>
    <row r="380" ht="12.75" customHeight="1" s="398">
      <c r="A380" s="491" t="n"/>
      <c r="B380" s="491" t="n"/>
      <c r="C380" s="491" t="n"/>
      <c r="D380" s="491" t="n"/>
      <c r="E380" s="491" t="n"/>
      <c r="F380" s="491" t="n"/>
      <c r="G380" s="491" t="n"/>
      <c r="H380" s="491" t="n"/>
      <c r="I380" s="491" t="n"/>
      <c r="J380" s="491" t="n"/>
      <c r="K380" s="491" t="n"/>
      <c r="L380" s="491" t="n"/>
      <c r="M380" s="491" t="n"/>
      <c r="N380" s="491" t="n"/>
      <c r="O380" s="491" t="n"/>
      <c r="P380" s="491" t="n"/>
      <c r="Q380" s="491" t="n"/>
      <c r="R380" s="491" t="n"/>
      <c r="S380" s="491" t="n"/>
      <c r="T380" s="491" t="n"/>
      <c r="U380" s="491" t="n"/>
      <c r="V380" s="491" t="n"/>
      <c r="W380" s="491" t="n"/>
      <c r="X380" s="491" t="n"/>
      <c r="Y380" s="491" t="n"/>
    </row>
    <row r="381" ht="12.75" customHeight="1" s="398">
      <c r="A381" s="491" t="n"/>
      <c r="B381" s="491" t="n"/>
      <c r="C381" s="491" t="n"/>
      <c r="D381" s="491" t="n"/>
      <c r="E381" s="491" t="n"/>
      <c r="F381" s="491" t="n"/>
      <c r="G381" s="491" t="n"/>
      <c r="H381" s="491" t="n"/>
      <c r="I381" s="491" t="n"/>
      <c r="J381" s="491" t="n"/>
      <c r="K381" s="491" t="n"/>
      <c r="L381" s="491" t="n"/>
      <c r="M381" s="491" t="n"/>
      <c r="N381" s="491" t="n"/>
      <c r="O381" s="491" t="n"/>
      <c r="P381" s="491" t="n"/>
      <c r="Q381" s="491" t="n"/>
      <c r="R381" s="491" t="n"/>
      <c r="S381" s="491" t="n"/>
      <c r="T381" s="491" t="n"/>
      <c r="U381" s="491" t="n"/>
      <c r="V381" s="491" t="n"/>
      <c r="W381" s="491" t="n"/>
      <c r="X381" s="491" t="n"/>
      <c r="Y381" s="491" t="n"/>
    </row>
    <row r="382" ht="12.75" customHeight="1" s="398">
      <c r="A382" s="491" t="n"/>
      <c r="B382" s="491" t="n"/>
      <c r="C382" s="491" t="n"/>
      <c r="D382" s="491" t="n"/>
      <c r="E382" s="491" t="n"/>
      <c r="F382" s="491" t="n"/>
      <c r="G382" s="491" t="n"/>
      <c r="H382" s="491" t="n"/>
      <c r="I382" s="491" t="n"/>
      <c r="J382" s="491" t="n"/>
      <c r="K382" s="491" t="n"/>
      <c r="L382" s="491" t="n"/>
      <c r="M382" s="491" t="n"/>
      <c r="N382" s="491" t="n"/>
      <c r="O382" s="491" t="n"/>
      <c r="P382" s="491" t="n"/>
      <c r="Q382" s="491" t="n"/>
      <c r="R382" s="491" t="n"/>
      <c r="S382" s="491" t="n"/>
      <c r="T382" s="491" t="n"/>
      <c r="U382" s="491" t="n"/>
      <c r="V382" s="491" t="n"/>
      <c r="W382" s="491" t="n"/>
      <c r="X382" s="491" t="n"/>
      <c r="Y382" s="491" t="n"/>
    </row>
    <row r="383" ht="12.75" customHeight="1" s="398">
      <c r="A383" s="491" t="n"/>
      <c r="B383" s="491" t="n"/>
      <c r="C383" s="491" t="n"/>
      <c r="D383" s="491" t="n"/>
      <c r="E383" s="491" t="n"/>
      <c r="F383" s="491" t="n"/>
      <c r="G383" s="491" t="n"/>
      <c r="H383" s="491" t="n"/>
      <c r="I383" s="491" t="n"/>
      <c r="J383" s="491" t="n"/>
      <c r="K383" s="491" t="n"/>
      <c r="L383" s="491" t="n"/>
      <c r="M383" s="491" t="n"/>
      <c r="N383" s="491" t="n"/>
      <c r="O383" s="491" t="n"/>
      <c r="P383" s="491" t="n"/>
      <c r="Q383" s="491" t="n"/>
      <c r="R383" s="491" t="n"/>
      <c r="S383" s="491" t="n"/>
      <c r="T383" s="491" t="n"/>
      <c r="U383" s="491" t="n"/>
      <c r="V383" s="491" t="n"/>
      <c r="W383" s="491" t="n"/>
      <c r="X383" s="491" t="n"/>
      <c r="Y383" s="491" t="n"/>
    </row>
    <row r="384" ht="12.75" customHeight="1" s="398">
      <c r="A384" s="491" t="n"/>
      <c r="B384" s="491" t="n"/>
      <c r="C384" s="491" t="n"/>
      <c r="D384" s="491" t="n"/>
      <c r="E384" s="491" t="n"/>
      <c r="F384" s="491" t="n"/>
      <c r="G384" s="491" t="n"/>
      <c r="H384" s="491" t="n"/>
      <c r="I384" s="491" t="n"/>
      <c r="J384" s="491" t="n"/>
      <c r="K384" s="491" t="n"/>
      <c r="L384" s="491" t="n"/>
      <c r="M384" s="491" t="n"/>
      <c r="N384" s="491" t="n"/>
      <c r="O384" s="491" t="n"/>
      <c r="P384" s="491" t="n"/>
      <c r="Q384" s="491" t="n"/>
      <c r="R384" s="491" t="n"/>
      <c r="S384" s="491" t="n"/>
      <c r="T384" s="491" t="n"/>
      <c r="U384" s="491" t="n"/>
      <c r="V384" s="491" t="n"/>
      <c r="W384" s="491" t="n"/>
      <c r="X384" s="491" t="n"/>
      <c r="Y384" s="491" t="n"/>
    </row>
    <row r="385" ht="12.75" customHeight="1" s="398">
      <c r="A385" s="491" t="n"/>
      <c r="B385" s="491" t="n"/>
      <c r="C385" s="491" t="n"/>
      <c r="D385" s="491" t="n"/>
      <c r="E385" s="491" t="n"/>
      <c r="F385" s="491" t="n"/>
      <c r="G385" s="491" t="n"/>
      <c r="H385" s="491" t="n"/>
      <c r="I385" s="491" t="n"/>
      <c r="J385" s="491" t="n"/>
      <c r="K385" s="491" t="n"/>
      <c r="L385" s="491" t="n"/>
      <c r="M385" s="491" t="n"/>
      <c r="N385" s="491" t="n"/>
      <c r="O385" s="491" t="n"/>
      <c r="P385" s="491" t="n"/>
      <c r="Q385" s="491" t="n"/>
      <c r="R385" s="491" t="n"/>
      <c r="S385" s="491" t="n"/>
      <c r="T385" s="491" t="n"/>
      <c r="U385" s="491" t="n"/>
      <c r="V385" s="491" t="n"/>
      <c r="W385" s="491" t="n"/>
      <c r="X385" s="491" t="n"/>
      <c r="Y385" s="491" t="n"/>
    </row>
    <row r="386" ht="12.75" customHeight="1" s="398">
      <c r="A386" s="491" t="n"/>
      <c r="B386" s="491" t="n"/>
      <c r="C386" s="491" t="n"/>
      <c r="D386" s="491" t="n"/>
      <c r="E386" s="491" t="n"/>
      <c r="F386" s="491" t="n"/>
      <c r="G386" s="491" t="n"/>
      <c r="H386" s="491" t="n"/>
      <c r="I386" s="491" t="n"/>
      <c r="J386" s="491" t="n"/>
      <c r="K386" s="491" t="n"/>
      <c r="L386" s="491" t="n"/>
      <c r="M386" s="491" t="n"/>
      <c r="N386" s="491" t="n"/>
      <c r="O386" s="491" t="n"/>
      <c r="P386" s="491" t="n"/>
      <c r="Q386" s="491" t="n"/>
      <c r="R386" s="491" t="n"/>
      <c r="S386" s="491" t="n"/>
      <c r="T386" s="491" t="n"/>
      <c r="U386" s="491" t="n"/>
      <c r="V386" s="491" t="n"/>
      <c r="W386" s="491" t="n"/>
      <c r="X386" s="491" t="n"/>
      <c r="Y386" s="491" t="n"/>
    </row>
    <row r="387" ht="12.75" customHeight="1" s="398">
      <c r="A387" s="491" t="n"/>
      <c r="B387" s="491" t="n"/>
      <c r="C387" s="491" t="n"/>
      <c r="D387" s="491" t="n"/>
      <c r="E387" s="491" t="n"/>
      <c r="F387" s="491" t="n"/>
      <c r="G387" s="491" t="n"/>
      <c r="H387" s="491" t="n"/>
      <c r="I387" s="491" t="n"/>
      <c r="J387" s="491" t="n"/>
      <c r="K387" s="491" t="n"/>
      <c r="L387" s="491" t="n"/>
      <c r="M387" s="491" t="n"/>
      <c r="N387" s="491" t="n"/>
      <c r="O387" s="491" t="n"/>
      <c r="P387" s="491" t="n"/>
      <c r="Q387" s="491" t="n"/>
      <c r="R387" s="491" t="n"/>
      <c r="S387" s="491" t="n"/>
      <c r="T387" s="491" t="n"/>
      <c r="U387" s="491" t="n"/>
      <c r="V387" s="491" t="n"/>
      <c r="W387" s="491" t="n"/>
      <c r="X387" s="491" t="n"/>
      <c r="Y387" s="491" t="n"/>
    </row>
    <row r="388" ht="12.75" customHeight="1" s="398">
      <c r="A388" s="491" t="n"/>
      <c r="B388" s="491" t="n"/>
      <c r="C388" s="491" t="n"/>
      <c r="D388" s="491" t="n"/>
      <c r="E388" s="491" t="n"/>
      <c r="F388" s="491" t="n"/>
      <c r="G388" s="491" t="n"/>
      <c r="H388" s="491" t="n"/>
      <c r="I388" s="491" t="n"/>
      <c r="J388" s="491" t="n"/>
      <c r="K388" s="491" t="n"/>
      <c r="L388" s="491" t="n"/>
      <c r="M388" s="491" t="n"/>
      <c r="N388" s="491" t="n"/>
      <c r="O388" s="491" t="n"/>
      <c r="P388" s="491" t="n"/>
      <c r="Q388" s="491" t="n"/>
      <c r="R388" s="491" t="n"/>
      <c r="S388" s="491" t="n"/>
      <c r="T388" s="491" t="n"/>
      <c r="U388" s="491" t="n"/>
      <c r="V388" s="491" t="n"/>
      <c r="W388" s="491" t="n"/>
      <c r="X388" s="491" t="n"/>
      <c r="Y388" s="491" t="n"/>
    </row>
    <row r="389" ht="12.75" customHeight="1" s="398">
      <c r="A389" s="491" t="n"/>
      <c r="B389" s="491" t="n"/>
      <c r="C389" s="491" t="n"/>
      <c r="D389" s="491" t="n"/>
      <c r="E389" s="491" t="n"/>
      <c r="F389" s="491" t="n"/>
      <c r="G389" s="491" t="n"/>
      <c r="H389" s="491" t="n"/>
      <c r="I389" s="491" t="n"/>
      <c r="J389" s="491" t="n"/>
      <c r="K389" s="491" t="n"/>
      <c r="L389" s="491" t="n"/>
      <c r="M389" s="491" t="n"/>
      <c r="N389" s="491" t="n"/>
      <c r="O389" s="491" t="n"/>
      <c r="P389" s="491" t="n"/>
      <c r="Q389" s="491" t="n"/>
      <c r="R389" s="491" t="n"/>
      <c r="S389" s="491" t="n"/>
      <c r="T389" s="491" t="n"/>
      <c r="U389" s="491" t="n"/>
      <c r="V389" s="491" t="n"/>
      <c r="W389" s="491" t="n"/>
      <c r="X389" s="491" t="n"/>
      <c r="Y389" s="491" t="n"/>
    </row>
    <row r="390" ht="12.75" customHeight="1" s="398">
      <c r="A390" s="491" t="n"/>
      <c r="B390" s="491" t="n"/>
      <c r="C390" s="491" t="n"/>
      <c r="D390" s="491" t="n"/>
      <c r="E390" s="491" t="n"/>
      <c r="F390" s="491" t="n"/>
      <c r="G390" s="491" t="n"/>
      <c r="H390" s="491" t="n"/>
      <c r="I390" s="491" t="n"/>
      <c r="J390" s="491" t="n"/>
      <c r="K390" s="491" t="n"/>
      <c r="L390" s="491" t="n"/>
      <c r="M390" s="491" t="n"/>
      <c r="N390" s="491" t="n"/>
      <c r="O390" s="491" t="n"/>
      <c r="P390" s="491" t="n"/>
      <c r="Q390" s="491" t="n"/>
      <c r="R390" s="491" t="n"/>
      <c r="S390" s="491" t="n"/>
      <c r="T390" s="491" t="n"/>
      <c r="U390" s="491" t="n"/>
      <c r="V390" s="491" t="n"/>
      <c r="W390" s="491" t="n"/>
      <c r="X390" s="491" t="n"/>
      <c r="Y390" s="491" t="n"/>
    </row>
    <row r="391" ht="12.75" customHeight="1" s="398">
      <c r="A391" s="491" t="n"/>
      <c r="B391" s="491" t="n"/>
      <c r="C391" s="491" t="n"/>
      <c r="D391" s="491" t="n"/>
      <c r="E391" s="491" t="n"/>
      <c r="F391" s="491" t="n"/>
      <c r="G391" s="491" t="n"/>
      <c r="H391" s="491" t="n"/>
      <c r="I391" s="491" t="n"/>
      <c r="J391" s="491" t="n"/>
      <c r="K391" s="491" t="n"/>
      <c r="L391" s="491" t="n"/>
      <c r="M391" s="491" t="n"/>
      <c r="N391" s="491" t="n"/>
      <c r="O391" s="491" t="n"/>
      <c r="P391" s="491" t="n"/>
      <c r="Q391" s="491" t="n"/>
      <c r="R391" s="491" t="n"/>
      <c r="S391" s="491" t="n"/>
      <c r="T391" s="491" t="n"/>
      <c r="U391" s="491" t="n"/>
      <c r="V391" s="491" t="n"/>
      <c r="W391" s="491" t="n"/>
      <c r="X391" s="491" t="n"/>
      <c r="Y391" s="491" t="n"/>
    </row>
    <row r="392" ht="12.75" customHeight="1" s="398">
      <c r="A392" s="491" t="n"/>
      <c r="B392" s="491" t="n"/>
      <c r="C392" s="491" t="n"/>
      <c r="D392" s="491" t="n"/>
      <c r="E392" s="491" t="n"/>
      <c r="F392" s="491" t="n"/>
      <c r="G392" s="491" t="n"/>
      <c r="H392" s="491" t="n"/>
      <c r="I392" s="491" t="n"/>
      <c r="J392" s="491" t="n"/>
      <c r="K392" s="491" t="n"/>
      <c r="L392" s="491" t="n"/>
      <c r="M392" s="491" t="n"/>
      <c r="N392" s="491" t="n"/>
      <c r="O392" s="491" t="n"/>
      <c r="P392" s="491" t="n"/>
      <c r="Q392" s="491" t="n"/>
      <c r="R392" s="491" t="n"/>
      <c r="S392" s="491" t="n"/>
      <c r="T392" s="491" t="n"/>
      <c r="U392" s="491" t="n"/>
      <c r="V392" s="491" t="n"/>
      <c r="W392" s="491" t="n"/>
      <c r="X392" s="491" t="n"/>
      <c r="Y392" s="491" t="n"/>
    </row>
    <row r="393" ht="12.75" customHeight="1" s="398">
      <c r="A393" s="491" t="n"/>
      <c r="B393" s="491" t="n"/>
      <c r="C393" s="491" t="n"/>
      <c r="D393" s="491" t="n"/>
      <c r="E393" s="491" t="n"/>
      <c r="F393" s="491" t="n"/>
      <c r="G393" s="491" t="n"/>
      <c r="H393" s="491" t="n"/>
      <c r="I393" s="491" t="n"/>
      <c r="J393" s="491" t="n"/>
      <c r="K393" s="491" t="n"/>
      <c r="L393" s="491" t="n"/>
      <c r="M393" s="491" t="n"/>
      <c r="N393" s="491" t="n"/>
      <c r="O393" s="491" t="n"/>
      <c r="P393" s="491" t="n"/>
      <c r="Q393" s="491" t="n"/>
      <c r="R393" s="491" t="n"/>
      <c r="S393" s="491" t="n"/>
      <c r="T393" s="491" t="n"/>
      <c r="U393" s="491" t="n"/>
      <c r="V393" s="491" t="n"/>
      <c r="W393" s="491" t="n"/>
      <c r="X393" s="491" t="n"/>
      <c r="Y393" s="491" t="n"/>
    </row>
    <row r="394" ht="12.75" customHeight="1" s="398">
      <c r="A394" s="491" t="n"/>
      <c r="B394" s="491" t="n"/>
      <c r="C394" s="491" t="n"/>
      <c r="D394" s="491" t="n"/>
      <c r="E394" s="491" t="n"/>
      <c r="F394" s="491" t="n"/>
      <c r="G394" s="491" t="n"/>
      <c r="H394" s="491" t="n"/>
      <c r="I394" s="491" t="n"/>
      <c r="J394" s="491" t="n"/>
      <c r="K394" s="491" t="n"/>
      <c r="L394" s="491" t="n"/>
      <c r="M394" s="491" t="n"/>
      <c r="N394" s="491" t="n"/>
      <c r="O394" s="491" t="n"/>
      <c r="P394" s="491" t="n"/>
      <c r="Q394" s="491" t="n"/>
      <c r="R394" s="491" t="n"/>
      <c r="S394" s="491" t="n"/>
      <c r="T394" s="491" t="n"/>
      <c r="U394" s="491" t="n"/>
      <c r="V394" s="491" t="n"/>
      <c r="W394" s="491" t="n"/>
      <c r="X394" s="491" t="n"/>
      <c r="Y394" s="491" t="n"/>
    </row>
    <row r="395" ht="12.75" customHeight="1" s="398">
      <c r="A395" s="491" t="n"/>
      <c r="B395" s="491" t="n"/>
      <c r="C395" s="491" t="n"/>
      <c r="D395" s="491" t="n"/>
      <c r="E395" s="491" t="n"/>
      <c r="F395" s="491" t="n"/>
      <c r="G395" s="491" t="n"/>
      <c r="H395" s="491" t="n"/>
      <c r="I395" s="491" t="n"/>
      <c r="J395" s="491" t="n"/>
      <c r="K395" s="491" t="n"/>
      <c r="L395" s="491" t="n"/>
      <c r="M395" s="491" t="n"/>
      <c r="N395" s="491" t="n"/>
      <c r="O395" s="491" t="n"/>
      <c r="P395" s="491" t="n"/>
      <c r="Q395" s="491" t="n"/>
      <c r="R395" s="491" t="n"/>
      <c r="S395" s="491" t="n"/>
      <c r="T395" s="491" t="n"/>
      <c r="U395" s="491" t="n"/>
      <c r="V395" s="491" t="n"/>
      <c r="W395" s="491" t="n"/>
      <c r="X395" s="491" t="n"/>
      <c r="Y395" s="491" t="n"/>
    </row>
    <row r="396" ht="12.75" customHeight="1" s="398">
      <c r="A396" s="491" t="n"/>
      <c r="B396" s="491" t="n"/>
      <c r="C396" s="491" t="n"/>
      <c r="D396" s="491" t="n"/>
      <c r="E396" s="491" t="n"/>
      <c r="F396" s="491" t="n"/>
      <c r="G396" s="491" t="n"/>
      <c r="H396" s="491" t="n"/>
      <c r="I396" s="491" t="n"/>
      <c r="J396" s="491" t="n"/>
      <c r="K396" s="491" t="n"/>
      <c r="L396" s="491" t="n"/>
      <c r="M396" s="491" t="n"/>
      <c r="N396" s="491" t="n"/>
      <c r="O396" s="491" t="n"/>
      <c r="P396" s="491" t="n"/>
      <c r="Q396" s="491" t="n"/>
      <c r="R396" s="491" t="n"/>
      <c r="S396" s="491" t="n"/>
      <c r="T396" s="491" t="n"/>
      <c r="U396" s="491" t="n"/>
      <c r="V396" s="491" t="n"/>
      <c r="W396" s="491" t="n"/>
      <c r="X396" s="491" t="n"/>
      <c r="Y396" s="491" t="n"/>
    </row>
    <row r="397" ht="12.75" customHeight="1" s="398">
      <c r="A397" s="491" t="n"/>
      <c r="B397" s="491" t="n"/>
      <c r="C397" s="491" t="n"/>
      <c r="D397" s="491" t="n"/>
      <c r="E397" s="491" t="n"/>
      <c r="F397" s="491" t="n"/>
      <c r="G397" s="491" t="n"/>
      <c r="H397" s="491" t="n"/>
      <c r="I397" s="491" t="n"/>
      <c r="J397" s="491" t="n"/>
      <c r="K397" s="491" t="n"/>
      <c r="L397" s="491" t="n"/>
      <c r="M397" s="491" t="n"/>
      <c r="N397" s="491" t="n"/>
      <c r="O397" s="491" t="n"/>
      <c r="P397" s="491" t="n"/>
      <c r="Q397" s="491" t="n"/>
      <c r="R397" s="491" t="n"/>
      <c r="S397" s="491" t="n"/>
      <c r="T397" s="491" t="n"/>
      <c r="U397" s="491" t="n"/>
      <c r="V397" s="491" t="n"/>
      <c r="W397" s="491" t="n"/>
      <c r="X397" s="491" t="n"/>
      <c r="Y397" s="491" t="n"/>
    </row>
    <row r="398" ht="12.75" customHeight="1" s="398">
      <c r="A398" s="491" t="n"/>
      <c r="B398" s="491" t="n"/>
      <c r="C398" s="491" t="n"/>
      <c r="D398" s="491" t="n"/>
      <c r="E398" s="491" t="n"/>
      <c r="F398" s="491" t="n"/>
      <c r="G398" s="491" t="n"/>
      <c r="H398" s="491" t="n"/>
      <c r="I398" s="491" t="n"/>
      <c r="J398" s="491" t="n"/>
      <c r="K398" s="491" t="n"/>
      <c r="L398" s="491" t="n"/>
      <c r="M398" s="491" t="n"/>
      <c r="N398" s="491" t="n"/>
      <c r="O398" s="491" t="n"/>
      <c r="P398" s="491" t="n"/>
      <c r="Q398" s="491" t="n"/>
      <c r="R398" s="491" t="n"/>
      <c r="S398" s="491" t="n"/>
      <c r="T398" s="491" t="n"/>
      <c r="U398" s="491" t="n"/>
      <c r="V398" s="491" t="n"/>
      <c r="W398" s="491" t="n"/>
      <c r="X398" s="491" t="n"/>
      <c r="Y398" s="491" t="n"/>
    </row>
    <row r="399" ht="12.75" customHeight="1" s="398">
      <c r="A399" s="491" t="n"/>
      <c r="B399" s="491" t="n"/>
      <c r="C399" s="491" t="n"/>
      <c r="D399" s="491" t="n"/>
      <c r="E399" s="491" t="n"/>
      <c r="F399" s="491" t="n"/>
      <c r="G399" s="491" t="n"/>
      <c r="H399" s="491" t="n"/>
      <c r="I399" s="491" t="n"/>
      <c r="J399" s="491" t="n"/>
      <c r="K399" s="491" t="n"/>
      <c r="L399" s="491" t="n"/>
      <c r="M399" s="491" t="n"/>
      <c r="N399" s="491" t="n"/>
      <c r="O399" s="491" t="n"/>
      <c r="P399" s="491" t="n"/>
      <c r="Q399" s="491" t="n"/>
      <c r="R399" s="491" t="n"/>
      <c r="S399" s="491" t="n"/>
      <c r="T399" s="491" t="n"/>
      <c r="U399" s="491" t="n"/>
      <c r="V399" s="491" t="n"/>
      <c r="W399" s="491" t="n"/>
      <c r="X399" s="491" t="n"/>
      <c r="Y399" s="491" t="n"/>
    </row>
    <row r="400" ht="12.75" customHeight="1" s="398">
      <c r="A400" s="491" t="n"/>
      <c r="B400" s="491" t="n"/>
      <c r="C400" s="491" t="n"/>
      <c r="D400" s="491" t="n"/>
      <c r="E400" s="491" t="n"/>
      <c r="F400" s="491" t="n"/>
      <c r="G400" s="491" t="n"/>
      <c r="H400" s="491" t="n"/>
      <c r="I400" s="491" t="n"/>
      <c r="J400" s="491" t="n"/>
      <c r="K400" s="491" t="n"/>
      <c r="L400" s="491" t="n"/>
      <c r="M400" s="491" t="n"/>
      <c r="N400" s="491" t="n"/>
      <c r="O400" s="491" t="n"/>
      <c r="P400" s="491" t="n"/>
      <c r="Q400" s="491" t="n"/>
      <c r="R400" s="491" t="n"/>
      <c r="S400" s="491" t="n"/>
      <c r="T400" s="491" t="n"/>
      <c r="U400" s="491" t="n"/>
      <c r="V400" s="491" t="n"/>
      <c r="W400" s="491" t="n"/>
      <c r="X400" s="491" t="n"/>
      <c r="Y400" s="491" t="n"/>
    </row>
    <row r="401" ht="12.75" customHeight="1" s="398">
      <c r="A401" s="491" t="n"/>
      <c r="B401" s="491" t="n"/>
      <c r="C401" s="491" t="n"/>
      <c r="D401" s="491" t="n"/>
      <c r="E401" s="491" t="n"/>
      <c r="F401" s="491" t="n"/>
      <c r="G401" s="491" t="n"/>
      <c r="H401" s="491" t="n"/>
      <c r="I401" s="491" t="n"/>
      <c r="J401" s="491" t="n"/>
      <c r="K401" s="491" t="n"/>
      <c r="L401" s="491" t="n"/>
      <c r="M401" s="491" t="n"/>
      <c r="N401" s="491" t="n"/>
      <c r="O401" s="491" t="n"/>
      <c r="P401" s="491" t="n"/>
      <c r="Q401" s="491" t="n"/>
      <c r="R401" s="491" t="n"/>
      <c r="S401" s="491" t="n"/>
      <c r="T401" s="491" t="n"/>
      <c r="U401" s="491" t="n"/>
      <c r="V401" s="491" t="n"/>
      <c r="W401" s="491" t="n"/>
      <c r="X401" s="491" t="n"/>
      <c r="Y401" s="491" t="n"/>
    </row>
    <row r="402" ht="12.75" customHeight="1" s="398">
      <c r="A402" s="491" t="n"/>
      <c r="B402" s="491" t="n"/>
      <c r="C402" s="491" t="n"/>
      <c r="D402" s="491" t="n"/>
      <c r="E402" s="491" t="n"/>
      <c r="F402" s="491" t="n"/>
      <c r="G402" s="491" t="n"/>
      <c r="H402" s="491" t="n"/>
      <c r="I402" s="491" t="n"/>
      <c r="J402" s="491" t="n"/>
      <c r="K402" s="491" t="n"/>
      <c r="L402" s="491" t="n"/>
      <c r="M402" s="491" t="n"/>
      <c r="N402" s="491" t="n"/>
      <c r="O402" s="491" t="n"/>
      <c r="P402" s="491" t="n"/>
      <c r="Q402" s="491" t="n"/>
      <c r="R402" s="491" t="n"/>
      <c r="S402" s="491" t="n"/>
      <c r="T402" s="491" t="n"/>
      <c r="U402" s="491" t="n"/>
      <c r="V402" s="491" t="n"/>
      <c r="W402" s="491" t="n"/>
      <c r="X402" s="491" t="n"/>
      <c r="Y402" s="491" t="n"/>
    </row>
    <row r="403" ht="12.75" customHeight="1" s="398">
      <c r="A403" s="491" t="n"/>
      <c r="B403" s="491" t="n"/>
      <c r="C403" s="491" t="n"/>
      <c r="D403" s="491" t="n"/>
      <c r="E403" s="491" t="n"/>
      <c r="F403" s="491" t="n"/>
      <c r="G403" s="491" t="n"/>
      <c r="H403" s="491" t="n"/>
      <c r="I403" s="491" t="n"/>
      <c r="J403" s="491" t="n"/>
      <c r="K403" s="491" t="n"/>
      <c r="L403" s="491" t="n"/>
      <c r="M403" s="491" t="n"/>
      <c r="N403" s="491" t="n"/>
      <c r="O403" s="491" t="n"/>
      <c r="P403" s="491" t="n"/>
      <c r="Q403" s="491" t="n"/>
      <c r="R403" s="491" t="n"/>
      <c r="S403" s="491" t="n"/>
      <c r="T403" s="491" t="n"/>
      <c r="U403" s="491" t="n"/>
      <c r="V403" s="491" t="n"/>
      <c r="W403" s="491" t="n"/>
      <c r="X403" s="491" t="n"/>
      <c r="Y403" s="491" t="n"/>
    </row>
    <row r="404" ht="12.75" customHeight="1" s="398">
      <c r="A404" s="491" t="n"/>
      <c r="B404" s="491" t="n"/>
      <c r="C404" s="491" t="n"/>
      <c r="D404" s="491" t="n"/>
      <c r="E404" s="491" t="n"/>
      <c r="F404" s="491" t="n"/>
      <c r="G404" s="491" t="n"/>
      <c r="H404" s="491" t="n"/>
      <c r="I404" s="491" t="n"/>
      <c r="J404" s="491" t="n"/>
      <c r="K404" s="491" t="n"/>
      <c r="L404" s="491" t="n"/>
      <c r="M404" s="491" t="n"/>
      <c r="N404" s="491" t="n"/>
      <c r="O404" s="491" t="n"/>
      <c r="P404" s="491" t="n"/>
      <c r="Q404" s="491" t="n"/>
      <c r="R404" s="491" t="n"/>
      <c r="S404" s="491" t="n"/>
      <c r="T404" s="491" t="n"/>
      <c r="U404" s="491" t="n"/>
      <c r="V404" s="491" t="n"/>
      <c r="W404" s="491" t="n"/>
      <c r="X404" s="491" t="n"/>
      <c r="Y404" s="491" t="n"/>
    </row>
    <row r="405" ht="12.75" customHeight="1" s="398">
      <c r="A405" s="491" t="n"/>
      <c r="B405" s="491" t="n"/>
      <c r="C405" s="491" t="n"/>
      <c r="D405" s="491" t="n"/>
      <c r="E405" s="491" t="n"/>
      <c r="F405" s="491" t="n"/>
      <c r="G405" s="491" t="n"/>
      <c r="H405" s="491" t="n"/>
      <c r="I405" s="491" t="n"/>
      <c r="J405" s="491" t="n"/>
      <c r="K405" s="491" t="n"/>
      <c r="L405" s="491" t="n"/>
      <c r="M405" s="491" t="n"/>
      <c r="N405" s="491" t="n"/>
      <c r="O405" s="491" t="n"/>
      <c r="P405" s="491" t="n"/>
      <c r="Q405" s="491" t="n"/>
      <c r="R405" s="491" t="n"/>
      <c r="S405" s="491" t="n"/>
      <c r="T405" s="491" t="n"/>
      <c r="U405" s="491" t="n"/>
      <c r="V405" s="491" t="n"/>
      <c r="W405" s="491" t="n"/>
      <c r="X405" s="491" t="n"/>
      <c r="Y405" s="491" t="n"/>
    </row>
    <row r="406" ht="12.75" customHeight="1" s="398">
      <c r="A406" s="491" t="n"/>
      <c r="B406" s="491" t="n"/>
      <c r="C406" s="491" t="n"/>
      <c r="D406" s="491" t="n"/>
      <c r="E406" s="491" t="n"/>
      <c r="F406" s="491" t="n"/>
      <c r="G406" s="491" t="n"/>
      <c r="H406" s="491" t="n"/>
      <c r="I406" s="491" t="n"/>
      <c r="J406" s="491" t="n"/>
      <c r="K406" s="491" t="n"/>
      <c r="L406" s="491" t="n"/>
      <c r="M406" s="491" t="n"/>
      <c r="N406" s="491" t="n"/>
      <c r="O406" s="491" t="n"/>
      <c r="P406" s="491" t="n"/>
      <c r="Q406" s="491" t="n"/>
      <c r="R406" s="491" t="n"/>
      <c r="S406" s="491" t="n"/>
      <c r="T406" s="491" t="n"/>
      <c r="U406" s="491" t="n"/>
      <c r="V406" s="491" t="n"/>
      <c r="W406" s="491" t="n"/>
      <c r="X406" s="491" t="n"/>
      <c r="Y406" s="491" t="n"/>
    </row>
    <row r="407" ht="12.75" customHeight="1" s="398">
      <c r="A407" s="491" t="n"/>
      <c r="B407" s="491" t="n"/>
      <c r="C407" s="491" t="n"/>
      <c r="D407" s="491" t="n"/>
      <c r="E407" s="491" t="n"/>
      <c r="F407" s="491" t="n"/>
      <c r="G407" s="491" t="n"/>
      <c r="H407" s="491" t="n"/>
      <c r="I407" s="491" t="n"/>
      <c r="J407" s="491" t="n"/>
      <c r="K407" s="491" t="n"/>
      <c r="L407" s="491" t="n"/>
      <c r="M407" s="491" t="n"/>
      <c r="N407" s="491" t="n"/>
      <c r="O407" s="491" t="n"/>
      <c r="P407" s="491" t="n"/>
      <c r="Q407" s="491" t="n"/>
      <c r="R407" s="491" t="n"/>
      <c r="S407" s="491" t="n"/>
      <c r="T407" s="491" t="n"/>
      <c r="U407" s="491" t="n"/>
      <c r="V407" s="491" t="n"/>
      <c r="W407" s="491" t="n"/>
      <c r="X407" s="491" t="n"/>
      <c r="Y407" s="491" t="n"/>
    </row>
    <row r="408" ht="12.75" customHeight="1" s="398">
      <c r="A408" s="491" t="n"/>
      <c r="B408" s="491" t="n"/>
      <c r="C408" s="491" t="n"/>
      <c r="D408" s="491" t="n"/>
      <c r="E408" s="491" t="n"/>
      <c r="F408" s="491" t="n"/>
      <c r="G408" s="491" t="n"/>
      <c r="H408" s="491" t="n"/>
      <c r="I408" s="491" t="n"/>
      <c r="J408" s="491" t="n"/>
      <c r="K408" s="491" t="n"/>
      <c r="L408" s="491" t="n"/>
      <c r="M408" s="491" t="n"/>
      <c r="N408" s="491" t="n"/>
      <c r="O408" s="491" t="n"/>
      <c r="P408" s="491" t="n"/>
      <c r="Q408" s="491" t="n"/>
      <c r="R408" s="491" t="n"/>
      <c r="S408" s="491" t="n"/>
      <c r="T408" s="491" t="n"/>
      <c r="U408" s="491" t="n"/>
      <c r="V408" s="491" t="n"/>
      <c r="W408" s="491" t="n"/>
      <c r="X408" s="491" t="n"/>
      <c r="Y408" s="491" t="n"/>
    </row>
    <row r="409" ht="12.75" customHeight="1" s="398">
      <c r="A409" s="491" t="n"/>
      <c r="B409" s="491" t="n"/>
      <c r="C409" s="491" t="n"/>
      <c r="D409" s="491" t="n"/>
      <c r="E409" s="491" t="n"/>
      <c r="F409" s="491" t="n"/>
      <c r="G409" s="491" t="n"/>
      <c r="H409" s="491" t="n"/>
      <c r="I409" s="491" t="n"/>
      <c r="J409" s="491" t="n"/>
      <c r="K409" s="491" t="n"/>
      <c r="L409" s="491" t="n"/>
      <c r="M409" s="491" t="n"/>
      <c r="N409" s="491" t="n"/>
      <c r="O409" s="491" t="n"/>
      <c r="P409" s="491" t="n"/>
      <c r="Q409" s="491" t="n"/>
      <c r="R409" s="491" t="n"/>
      <c r="S409" s="491" t="n"/>
      <c r="T409" s="491" t="n"/>
      <c r="U409" s="491" t="n"/>
      <c r="V409" s="491" t="n"/>
      <c r="W409" s="491" t="n"/>
      <c r="X409" s="491" t="n"/>
      <c r="Y409" s="491" t="n"/>
    </row>
    <row r="410" ht="12.75" customHeight="1" s="398">
      <c r="A410" s="491" t="n"/>
      <c r="B410" s="491" t="n"/>
      <c r="C410" s="491" t="n"/>
      <c r="D410" s="491" t="n"/>
      <c r="E410" s="491" t="n"/>
      <c r="F410" s="491" t="n"/>
      <c r="G410" s="491" t="n"/>
      <c r="H410" s="491" t="n"/>
      <c r="I410" s="491" t="n"/>
      <c r="J410" s="491" t="n"/>
      <c r="K410" s="491" t="n"/>
      <c r="L410" s="491" t="n"/>
      <c r="M410" s="491" t="n"/>
      <c r="N410" s="491" t="n"/>
      <c r="O410" s="491" t="n"/>
      <c r="P410" s="491" t="n"/>
      <c r="Q410" s="491" t="n"/>
      <c r="R410" s="491" t="n"/>
      <c r="S410" s="491" t="n"/>
      <c r="T410" s="491" t="n"/>
      <c r="U410" s="491" t="n"/>
      <c r="V410" s="491" t="n"/>
      <c r="W410" s="491" t="n"/>
      <c r="X410" s="491" t="n"/>
      <c r="Y410" s="491" t="n"/>
    </row>
    <row r="411" ht="12.75" customHeight="1" s="398">
      <c r="A411" s="491" t="n"/>
      <c r="B411" s="491" t="n"/>
      <c r="C411" s="491" t="n"/>
      <c r="D411" s="491" t="n"/>
      <c r="E411" s="491" t="n"/>
      <c r="F411" s="491" t="n"/>
      <c r="G411" s="491" t="n"/>
      <c r="H411" s="491" t="n"/>
      <c r="I411" s="491" t="n"/>
      <c r="J411" s="491" t="n"/>
      <c r="K411" s="491" t="n"/>
      <c r="L411" s="491" t="n"/>
      <c r="M411" s="491" t="n"/>
      <c r="N411" s="491" t="n"/>
      <c r="O411" s="491" t="n"/>
      <c r="P411" s="491" t="n"/>
      <c r="Q411" s="491" t="n"/>
      <c r="R411" s="491" t="n"/>
      <c r="S411" s="491" t="n"/>
      <c r="T411" s="491" t="n"/>
      <c r="U411" s="491" t="n"/>
      <c r="V411" s="491" t="n"/>
      <c r="W411" s="491" t="n"/>
      <c r="X411" s="491" t="n"/>
      <c r="Y411" s="491" t="n"/>
    </row>
    <row r="412" ht="12.75" customHeight="1" s="398">
      <c r="A412" s="491" t="n"/>
      <c r="B412" s="491" t="n"/>
      <c r="C412" s="491" t="n"/>
      <c r="D412" s="491" t="n"/>
      <c r="E412" s="491" t="n"/>
      <c r="F412" s="491" t="n"/>
      <c r="G412" s="491" t="n"/>
      <c r="H412" s="491" t="n"/>
      <c r="I412" s="491" t="n"/>
      <c r="J412" s="491" t="n"/>
      <c r="K412" s="491" t="n"/>
      <c r="L412" s="491" t="n"/>
      <c r="M412" s="491" t="n"/>
      <c r="N412" s="491" t="n"/>
      <c r="O412" s="491" t="n"/>
      <c r="P412" s="491" t="n"/>
      <c r="Q412" s="491" t="n"/>
      <c r="R412" s="491" t="n"/>
      <c r="S412" s="491" t="n"/>
      <c r="T412" s="491" t="n"/>
      <c r="U412" s="491" t="n"/>
      <c r="V412" s="491" t="n"/>
      <c r="W412" s="491" t="n"/>
      <c r="X412" s="491" t="n"/>
      <c r="Y412" s="491" t="n"/>
    </row>
    <row r="413" ht="12.75" customHeight="1" s="398">
      <c r="A413" s="491" t="n"/>
      <c r="B413" s="491" t="n"/>
      <c r="C413" s="491" t="n"/>
      <c r="D413" s="491" t="n"/>
      <c r="E413" s="491" t="n"/>
      <c r="F413" s="491" t="n"/>
      <c r="G413" s="491" t="n"/>
      <c r="H413" s="491" t="n"/>
      <c r="I413" s="491" t="n"/>
      <c r="J413" s="491" t="n"/>
      <c r="K413" s="491" t="n"/>
      <c r="L413" s="491" t="n"/>
      <c r="M413" s="491" t="n"/>
      <c r="N413" s="491" t="n"/>
      <c r="O413" s="491" t="n"/>
      <c r="P413" s="491" t="n"/>
      <c r="Q413" s="491" t="n"/>
      <c r="R413" s="491" t="n"/>
      <c r="S413" s="491" t="n"/>
      <c r="T413" s="491" t="n"/>
      <c r="U413" s="491" t="n"/>
      <c r="V413" s="491" t="n"/>
      <c r="W413" s="491" t="n"/>
      <c r="X413" s="491" t="n"/>
      <c r="Y413" s="491" t="n"/>
    </row>
    <row r="414" ht="12.75" customHeight="1" s="398">
      <c r="A414" s="491" t="n"/>
      <c r="B414" s="491" t="n"/>
      <c r="C414" s="491" t="n"/>
      <c r="D414" s="491" t="n"/>
      <c r="E414" s="491" t="n"/>
      <c r="F414" s="491" t="n"/>
      <c r="G414" s="491" t="n"/>
      <c r="H414" s="491" t="n"/>
      <c r="I414" s="491" t="n"/>
      <c r="J414" s="491" t="n"/>
      <c r="K414" s="491" t="n"/>
      <c r="L414" s="491" t="n"/>
      <c r="M414" s="491" t="n"/>
      <c r="N414" s="491" t="n"/>
      <c r="O414" s="491" t="n"/>
      <c r="P414" s="491" t="n"/>
      <c r="Q414" s="491" t="n"/>
      <c r="R414" s="491" t="n"/>
      <c r="S414" s="491" t="n"/>
      <c r="T414" s="491" t="n"/>
      <c r="U414" s="491" t="n"/>
      <c r="V414" s="491" t="n"/>
      <c r="W414" s="491" t="n"/>
      <c r="X414" s="491" t="n"/>
      <c r="Y414" s="491" t="n"/>
    </row>
    <row r="415" ht="12.75" customHeight="1" s="398">
      <c r="A415" s="491" t="n"/>
      <c r="B415" s="491" t="n"/>
      <c r="C415" s="491" t="n"/>
      <c r="D415" s="491" t="n"/>
      <c r="E415" s="491" t="n"/>
      <c r="F415" s="491" t="n"/>
      <c r="G415" s="491" t="n"/>
      <c r="H415" s="491" t="n"/>
      <c r="I415" s="491" t="n"/>
      <c r="J415" s="491" t="n"/>
      <c r="K415" s="491" t="n"/>
      <c r="L415" s="491" t="n"/>
      <c r="M415" s="491" t="n"/>
      <c r="N415" s="491" t="n"/>
      <c r="O415" s="491" t="n"/>
      <c r="P415" s="491" t="n"/>
      <c r="Q415" s="491" t="n"/>
      <c r="R415" s="491" t="n"/>
      <c r="S415" s="491" t="n"/>
      <c r="T415" s="491" t="n"/>
      <c r="U415" s="491" t="n"/>
      <c r="V415" s="491" t="n"/>
      <c r="W415" s="491" t="n"/>
      <c r="X415" s="491" t="n"/>
      <c r="Y415" s="491" t="n"/>
    </row>
    <row r="416" ht="12.75" customHeight="1" s="398">
      <c r="A416" s="491" t="n"/>
      <c r="B416" s="491" t="n"/>
      <c r="C416" s="491" t="n"/>
      <c r="D416" s="491" t="n"/>
      <c r="E416" s="491" t="n"/>
      <c r="F416" s="491" t="n"/>
      <c r="G416" s="491" t="n"/>
      <c r="H416" s="491" t="n"/>
      <c r="I416" s="491" t="n"/>
      <c r="J416" s="491" t="n"/>
      <c r="K416" s="491" t="n"/>
      <c r="L416" s="491" t="n"/>
      <c r="M416" s="491" t="n"/>
      <c r="N416" s="491" t="n"/>
      <c r="O416" s="491" t="n"/>
      <c r="P416" s="491" t="n"/>
      <c r="Q416" s="491" t="n"/>
      <c r="R416" s="491" t="n"/>
      <c r="S416" s="491" t="n"/>
      <c r="T416" s="491" t="n"/>
      <c r="U416" s="491" t="n"/>
      <c r="V416" s="491" t="n"/>
      <c r="W416" s="491" t="n"/>
      <c r="X416" s="491" t="n"/>
      <c r="Y416" s="491" t="n"/>
    </row>
    <row r="417" ht="12.75" customHeight="1" s="398">
      <c r="A417" s="491" t="n"/>
      <c r="B417" s="491" t="n"/>
      <c r="C417" s="491" t="n"/>
      <c r="D417" s="491" t="n"/>
      <c r="E417" s="491" t="n"/>
      <c r="F417" s="491" t="n"/>
      <c r="G417" s="491" t="n"/>
      <c r="H417" s="491" t="n"/>
      <c r="I417" s="491" t="n"/>
      <c r="J417" s="491" t="n"/>
      <c r="K417" s="491" t="n"/>
      <c r="L417" s="491" t="n"/>
      <c r="M417" s="491" t="n"/>
      <c r="N417" s="491" t="n"/>
      <c r="O417" s="491" t="n"/>
      <c r="P417" s="491" t="n"/>
      <c r="Q417" s="491" t="n"/>
      <c r="R417" s="491" t="n"/>
      <c r="S417" s="491" t="n"/>
      <c r="T417" s="491" t="n"/>
      <c r="U417" s="491" t="n"/>
      <c r="V417" s="491" t="n"/>
      <c r="W417" s="491" t="n"/>
      <c r="X417" s="491" t="n"/>
      <c r="Y417" s="491" t="n"/>
    </row>
    <row r="418" ht="12.75" customHeight="1" s="398">
      <c r="A418" s="491" t="n"/>
      <c r="B418" s="491" t="n"/>
      <c r="C418" s="491" t="n"/>
      <c r="D418" s="491" t="n"/>
      <c r="E418" s="491" t="n"/>
      <c r="F418" s="491" t="n"/>
      <c r="G418" s="491" t="n"/>
      <c r="H418" s="491" t="n"/>
      <c r="I418" s="491" t="n"/>
      <c r="J418" s="491" t="n"/>
      <c r="K418" s="491" t="n"/>
      <c r="L418" s="491" t="n"/>
      <c r="M418" s="491" t="n"/>
      <c r="N418" s="491" t="n"/>
      <c r="O418" s="491" t="n"/>
      <c r="P418" s="491" t="n"/>
      <c r="Q418" s="491" t="n"/>
      <c r="R418" s="491" t="n"/>
      <c r="S418" s="491" t="n"/>
      <c r="T418" s="491" t="n"/>
      <c r="U418" s="491" t="n"/>
      <c r="V418" s="491" t="n"/>
      <c r="W418" s="491" t="n"/>
      <c r="X418" s="491" t="n"/>
      <c r="Y418" s="491" t="n"/>
    </row>
    <row r="419" ht="12.75" customHeight="1" s="398">
      <c r="A419" s="491" t="n"/>
      <c r="B419" s="491" t="n"/>
      <c r="C419" s="491" t="n"/>
      <c r="D419" s="491" t="n"/>
      <c r="E419" s="491" t="n"/>
      <c r="F419" s="491" t="n"/>
      <c r="G419" s="491" t="n"/>
      <c r="H419" s="491" t="n"/>
      <c r="I419" s="491" t="n"/>
      <c r="J419" s="491" t="n"/>
      <c r="K419" s="491" t="n"/>
      <c r="L419" s="491" t="n"/>
      <c r="M419" s="491" t="n"/>
      <c r="N419" s="491" t="n"/>
      <c r="O419" s="491" t="n"/>
      <c r="P419" s="491" t="n"/>
      <c r="Q419" s="491" t="n"/>
      <c r="R419" s="491" t="n"/>
      <c r="S419" s="491" t="n"/>
      <c r="T419" s="491" t="n"/>
      <c r="U419" s="491" t="n"/>
      <c r="V419" s="491" t="n"/>
      <c r="W419" s="491" t="n"/>
      <c r="X419" s="491" t="n"/>
      <c r="Y419" s="491" t="n"/>
    </row>
    <row r="420" ht="12.75" customHeight="1" s="398">
      <c r="A420" s="491" t="n"/>
      <c r="B420" s="491" t="n"/>
      <c r="C420" s="491" t="n"/>
      <c r="D420" s="491" t="n"/>
      <c r="E420" s="491" t="n"/>
      <c r="F420" s="491" t="n"/>
      <c r="G420" s="491" t="n"/>
      <c r="H420" s="491" t="n"/>
      <c r="I420" s="491" t="n"/>
      <c r="J420" s="491" t="n"/>
      <c r="K420" s="491" t="n"/>
      <c r="L420" s="491" t="n"/>
      <c r="M420" s="491" t="n"/>
      <c r="N420" s="491" t="n"/>
      <c r="O420" s="491" t="n"/>
      <c r="P420" s="491" t="n"/>
      <c r="Q420" s="491" t="n"/>
      <c r="R420" s="491" t="n"/>
      <c r="S420" s="491" t="n"/>
      <c r="T420" s="491" t="n"/>
      <c r="U420" s="491" t="n"/>
      <c r="V420" s="491" t="n"/>
      <c r="W420" s="491" t="n"/>
      <c r="X420" s="491" t="n"/>
      <c r="Y420" s="491" t="n"/>
    </row>
    <row r="421" ht="12.75" customHeight="1" s="398">
      <c r="A421" s="491" t="n"/>
      <c r="B421" s="491" t="n"/>
      <c r="C421" s="491" t="n"/>
      <c r="D421" s="491" t="n"/>
      <c r="E421" s="491" t="n"/>
      <c r="F421" s="491" t="n"/>
      <c r="G421" s="491" t="n"/>
      <c r="H421" s="491" t="n"/>
      <c r="I421" s="491" t="n"/>
      <c r="J421" s="491" t="n"/>
      <c r="K421" s="491" t="n"/>
      <c r="L421" s="491" t="n"/>
      <c r="M421" s="491" t="n"/>
      <c r="N421" s="491" t="n"/>
      <c r="O421" s="491" t="n"/>
      <c r="P421" s="491" t="n"/>
      <c r="Q421" s="491" t="n"/>
      <c r="R421" s="491" t="n"/>
      <c r="S421" s="491" t="n"/>
      <c r="T421" s="491" t="n"/>
      <c r="U421" s="491" t="n"/>
      <c r="V421" s="491" t="n"/>
      <c r="W421" s="491" t="n"/>
      <c r="X421" s="491" t="n"/>
      <c r="Y421" s="491" t="n"/>
    </row>
    <row r="422" ht="12.75" customHeight="1" s="398">
      <c r="A422" s="491" t="n"/>
      <c r="B422" s="491" t="n"/>
      <c r="C422" s="491" t="n"/>
      <c r="D422" s="491" t="n"/>
      <c r="E422" s="491" t="n"/>
      <c r="F422" s="491" t="n"/>
      <c r="G422" s="491" t="n"/>
      <c r="H422" s="491" t="n"/>
      <c r="I422" s="491" t="n"/>
      <c r="J422" s="491" t="n"/>
      <c r="K422" s="491" t="n"/>
      <c r="L422" s="491" t="n"/>
      <c r="M422" s="491" t="n"/>
      <c r="N422" s="491" t="n"/>
      <c r="O422" s="491" t="n"/>
      <c r="P422" s="491" t="n"/>
      <c r="Q422" s="491" t="n"/>
      <c r="R422" s="491" t="n"/>
      <c r="S422" s="491" t="n"/>
      <c r="T422" s="491" t="n"/>
      <c r="U422" s="491" t="n"/>
      <c r="V422" s="491" t="n"/>
      <c r="W422" s="491" t="n"/>
      <c r="X422" s="491" t="n"/>
      <c r="Y422" s="491" t="n"/>
    </row>
    <row r="423" ht="12.75" customHeight="1" s="398">
      <c r="A423" s="491" t="n"/>
      <c r="B423" s="491" t="n"/>
      <c r="C423" s="491" t="n"/>
      <c r="D423" s="491" t="n"/>
      <c r="E423" s="491" t="n"/>
      <c r="F423" s="491" t="n"/>
      <c r="G423" s="491" t="n"/>
      <c r="H423" s="491" t="n"/>
      <c r="I423" s="491" t="n"/>
      <c r="J423" s="491" t="n"/>
      <c r="K423" s="491" t="n"/>
      <c r="L423" s="491" t="n"/>
      <c r="M423" s="491" t="n"/>
      <c r="N423" s="491" t="n"/>
      <c r="O423" s="491" t="n"/>
      <c r="P423" s="491" t="n"/>
      <c r="Q423" s="491" t="n"/>
      <c r="R423" s="491" t="n"/>
      <c r="S423" s="491" t="n"/>
      <c r="T423" s="491" t="n"/>
      <c r="U423" s="491" t="n"/>
      <c r="V423" s="491" t="n"/>
      <c r="W423" s="491" t="n"/>
      <c r="X423" s="491" t="n"/>
      <c r="Y423" s="491" t="n"/>
    </row>
    <row r="424" ht="12.75" customHeight="1" s="398">
      <c r="A424" s="491" t="n"/>
      <c r="B424" s="491" t="n"/>
      <c r="C424" s="491" t="n"/>
      <c r="D424" s="491" t="n"/>
      <c r="E424" s="491" t="n"/>
      <c r="F424" s="491" t="n"/>
      <c r="G424" s="491" t="n"/>
      <c r="H424" s="491" t="n"/>
      <c r="I424" s="491" t="n"/>
      <c r="J424" s="491" t="n"/>
      <c r="K424" s="491" t="n"/>
      <c r="L424" s="491" t="n"/>
      <c r="M424" s="491" t="n"/>
      <c r="N424" s="491" t="n"/>
      <c r="O424" s="491" t="n"/>
      <c r="P424" s="491" t="n"/>
      <c r="Q424" s="491" t="n"/>
      <c r="R424" s="491" t="n"/>
      <c r="S424" s="491" t="n"/>
      <c r="T424" s="491" t="n"/>
      <c r="U424" s="491" t="n"/>
      <c r="V424" s="491" t="n"/>
      <c r="W424" s="491" t="n"/>
      <c r="X424" s="491" t="n"/>
      <c r="Y424" s="491" t="n"/>
    </row>
    <row r="425" ht="12.75" customHeight="1" s="398">
      <c r="A425" s="491" t="n"/>
      <c r="B425" s="491" t="n"/>
      <c r="C425" s="491" t="n"/>
      <c r="D425" s="491" t="n"/>
      <c r="E425" s="491" t="n"/>
      <c r="F425" s="491" t="n"/>
      <c r="G425" s="491" t="n"/>
      <c r="H425" s="491" t="n"/>
      <c r="I425" s="491" t="n"/>
      <c r="J425" s="491" t="n"/>
      <c r="K425" s="491" t="n"/>
      <c r="L425" s="491" t="n"/>
      <c r="M425" s="491" t="n"/>
      <c r="N425" s="491" t="n"/>
      <c r="O425" s="491" t="n"/>
      <c r="P425" s="491" t="n"/>
      <c r="Q425" s="491" t="n"/>
      <c r="R425" s="491" t="n"/>
      <c r="S425" s="491" t="n"/>
      <c r="T425" s="491" t="n"/>
      <c r="U425" s="491" t="n"/>
      <c r="V425" s="491" t="n"/>
      <c r="W425" s="491" t="n"/>
      <c r="X425" s="491" t="n"/>
      <c r="Y425" s="491" t="n"/>
    </row>
    <row r="426" ht="12.75" customHeight="1" s="398">
      <c r="A426" s="491" t="n"/>
      <c r="B426" s="491" t="n"/>
      <c r="C426" s="491" t="n"/>
      <c r="D426" s="491" t="n"/>
      <c r="E426" s="491" t="n"/>
      <c r="F426" s="491" t="n"/>
      <c r="G426" s="491" t="n"/>
      <c r="H426" s="491" t="n"/>
      <c r="I426" s="491" t="n"/>
      <c r="J426" s="491" t="n"/>
      <c r="K426" s="491" t="n"/>
      <c r="L426" s="491" t="n"/>
      <c r="M426" s="491" t="n"/>
      <c r="N426" s="491" t="n"/>
      <c r="O426" s="491" t="n"/>
      <c r="P426" s="491" t="n"/>
      <c r="Q426" s="491" t="n"/>
      <c r="R426" s="491" t="n"/>
      <c r="S426" s="491" t="n"/>
      <c r="T426" s="491" t="n"/>
      <c r="U426" s="491" t="n"/>
      <c r="V426" s="491" t="n"/>
      <c r="W426" s="491" t="n"/>
      <c r="X426" s="491" t="n"/>
      <c r="Y426" s="491" t="n"/>
    </row>
    <row r="427" ht="12.75" customHeight="1" s="398">
      <c r="A427" s="491" t="n"/>
      <c r="B427" s="491" t="n"/>
      <c r="C427" s="491" t="n"/>
      <c r="D427" s="491" t="n"/>
      <c r="E427" s="491" t="n"/>
      <c r="F427" s="491" t="n"/>
      <c r="G427" s="491" t="n"/>
      <c r="H427" s="491" t="n"/>
      <c r="I427" s="491" t="n"/>
      <c r="J427" s="491" t="n"/>
      <c r="K427" s="491" t="n"/>
      <c r="L427" s="491" t="n"/>
      <c r="M427" s="491" t="n"/>
      <c r="N427" s="491" t="n"/>
      <c r="O427" s="491" t="n"/>
      <c r="P427" s="491" t="n"/>
      <c r="Q427" s="491" t="n"/>
      <c r="R427" s="491" t="n"/>
      <c r="S427" s="491" t="n"/>
      <c r="T427" s="491" t="n"/>
      <c r="U427" s="491" t="n"/>
      <c r="V427" s="491" t="n"/>
      <c r="W427" s="491" t="n"/>
      <c r="X427" s="491" t="n"/>
      <c r="Y427" s="491" t="n"/>
    </row>
    <row r="428" ht="12.75" customHeight="1" s="398">
      <c r="A428" s="491" t="n"/>
      <c r="B428" s="491" t="n"/>
      <c r="C428" s="491" t="n"/>
      <c r="D428" s="491" t="n"/>
      <c r="E428" s="491" t="n"/>
      <c r="F428" s="491" t="n"/>
      <c r="G428" s="491" t="n"/>
      <c r="H428" s="491" t="n"/>
      <c r="I428" s="491" t="n"/>
      <c r="J428" s="491" t="n"/>
      <c r="K428" s="491" t="n"/>
      <c r="L428" s="491" t="n"/>
      <c r="M428" s="491" t="n"/>
      <c r="N428" s="491" t="n"/>
      <c r="O428" s="491" t="n"/>
      <c r="P428" s="491" t="n"/>
      <c r="Q428" s="491" t="n"/>
      <c r="R428" s="491" t="n"/>
      <c r="S428" s="491" t="n"/>
      <c r="T428" s="491" t="n"/>
      <c r="U428" s="491" t="n"/>
      <c r="V428" s="491" t="n"/>
      <c r="W428" s="491" t="n"/>
      <c r="X428" s="491" t="n"/>
      <c r="Y428" s="491" t="n"/>
    </row>
    <row r="429" ht="12.75" customHeight="1" s="398">
      <c r="A429" s="491" t="n"/>
      <c r="B429" s="491" t="n"/>
      <c r="C429" s="491" t="n"/>
      <c r="D429" s="491" t="n"/>
      <c r="E429" s="491" t="n"/>
      <c r="F429" s="491" t="n"/>
      <c r="G429" s="491" t="n"/>
      <c r="H429" s="491" t="n"/>
      <c r="I429" s="491" t="n"/>
      <c r="J429" s="491" t="n"/>
      <c r="K429" s="491" t="n"/>
      <c r="L429" s="491" t="n"/>
      <c r="M429" s="491" t="n"/>
      <c r="N429" s="491" t="n"/>
      <c r="O429" s="491" t="n"/>
      <c r="P429" s="491" t="n"/>
      <c r="Q429" s="491" t="n"/>
      <c r="R429" s="491" t="n"/>
      <c r="S429" s="491" t="n"/>
      <c r="T429" s="491" t="n"/>
      <c r="U429" s="491" t="n"/>
      <c r="V429" s="491" t="n"/>
      <c r="W429" s="491" t="n"/>
      <c r="X429" s="491" t="n"/>
      <c r="Y429" s="491" t="n"/>
    </row>
    <row r="430" ht="12.75" customHeight="1" s="398">
      <c r="A430" s="491" t="n"/>
      <c r="B430" s="491" t="n"/>
      <c r="C430" s="491" t="n"/>
      <c r="D430" s="491" t="n"/>
      <c r="E430" s="491" t="n"/>
      <c r="F430" s="491" t="n"/>
      <c r="G430" s="491" t="n"/>
      <c r="H430" s="491" t="n"/>
      <c r="I430" s="491" t="n"/>
      <c r="J430" s="491" t="n"/>
      <c r="K430" s="491" t="n"/>
      <c r="L430" s="491" t="n"/>
      <c r="M430" s="491" t="n"/>
      <c r="N430" s="491" t="n"/>
      <c r="O430" s="491" t="n"/>
      <c r="P430" s="491" t="n"/>
      <c r="Q430" s="491" t="n"/>
      <c r="R430" s="491" t="n"/>
      <c r="S430" s="491" t="n"/>
      <c r="T430" s="491" t="n"/>
      <c r="U430" s="491" t="n"/>
      <c r="V430" s="491" t="n"/>
      <c r="W430" s="491" t="n"/>
      <c r="X430" s="491" t="n"/>
      <c r="Y430" s="491" t="n"/>
    </row>
    <row r="431" ht="12.75" customHeight="1" s="398">
      <c r="A431" s="491" t="n"/>
      <c r="B431" s="491" t="n"/>
      <c r="C431" s="491" t="n"/>
      <c r="D431" s="491" t="n"/>
      <c r="E431" s="491" t="n"/>
      <c r="F431" s="491" t="n"/>
      <c r="G431" s="491" t="n"/>
      <c r="H431" s="491" t="n"/>
      <c r="I431" s="491" t="n"/>
      <c r="J431" s="491" t="n"/>
      <c r="K431" s="491" t="n"/>
      <c r="L431" s="491" t="n"/>
      <c r="M431" s="491" t="n"/>
      <c r="N431" s="491" t="n"/>
      <c r="O431" s="491" t="n"/>
      <c r="P431" s="491" t="n"/>
      <c r="Q431" s="491" t="n"/>
      <c r="R431" s="491" t="n"/>
      <c r="S431" s="491" t="n"/>
      <c r="T431" s="491" t="n"/>
      <c r="U431" s="491" t="n"/>
      <c r="V431" s="491" t="n"/>
      <c r="W431" s="491" t="n"/>
      <c r="X431" s="491" t="n"/>
      <c r="Y431" s="491" t="n"/>
    </row>
    <row r="432" ht="12.75" customHeight="1" s="398">
      <c r="A432" s="491" t="n"/>
      <c r="B432" s="491" t="n"/>
      <c r="C432" s="491" t="n"/>
      <c r="D432" s="491" t="n"/>
      <c r="E432" s="491" t="n"/>
      <c r="F432" s="491" t="n"/>
      <c r="G432" s="491" t="n"/>
      <c r="H432" s="491" t="n"/>
      <c r="I432" s="491" t="n"/>
      <c r="J432" s="491" t="n"/>
      <c r="K432" s="491" t="n"/>
      <c r="L432" s="491" t="n"/>
      <c r="M432" s="491" t="n"/>
      <c r="N432" s="491" t="n"/>
      <c r="O432" s="491" t="n"/>
      <c r="P432" s="491" t="n"/>
      <c r="Q432" s="491" t="n"/>
      <c r="R432" s="491" t="n"/>
      <c r="S432" s="491" t="n"/>
      <c r="T432" s="491" t="n"/>
      <c r="U432" s="491" t="n"/>
      <c r="V432" s="491" t="n"/>
      <c r="W432" s="491" t="n"/>
      <c r="X432" s="491" t="n"/>
      <c r="Y432" s="491" t="n"/>
    </row>
    <row r="433" ht="12.75" customHeight="1" s="398">
      <c r="A433" s="491" t="n"/>
      <c r="B433" s="491" t="n"/>
      <c r="C433" s="491" t="n"/>
      <c r="D433" s="491" t="n"/>
      <c r="E433" s="491" t="n"/>
      <c r="F433" s="491" t="n"/>
      <c r="G433" s="491" t="n"/>
      <c r="H433" s="491" t="n"/>
      <c r="I433" s="491" t="n"/>
      <c r="J433" s="491" t="n"/>
      <c r="K433" s="491" t="n"/>
      <c r="L433" s="491" t="n"/>
      <c r="M433" s="491" t="n"/>
      <c r="N433" s="491" t="n"/>
      <c r="O433" s="491" t="n"/>
      <c r="P433" s="491" t="n"/>
      <c r="Q433" s="491" t="n"/>
      <c r="R433" s="491" t="n"/>
      <c r="S433" s="491" t="n"/>
      <c r="T433" s="491" t="n"/>
      <c r="U433" s="491" t="n"/>
      <c r="V433" s="491" t="n"/>
      <c r="W433" s="491" t="n"/>
      <c r="X433" s="491" t="n"/>
      <c r="Y433" s="491" t="n"/>
    </row>
    <row r="434" ht="12.75" customHeight="1" s="398">
      <c r="A434" s="491" t="n"/>
      <c r="B434" s="491" t="n"/>
      <c r="C434" s="491" t="n"/>
      <c r="D434" s="491" t="n"/>
      <c r="E434" s="491" t="n"/>
      <c r="F434" s="491" t="n"/>
      <c r="G434" s="491" t="n"/>
      <c r="H434" s="491" t="n"/>
      <c r="I434" s="491" t="n"/>
      <c r="J434" s="491" t="n"/>
      <c r="K434" s="491" t="n"/>
      <c r="L434" s="491" t="n"/>
      <c r="M434" s="491" t="n"/>
      <c r="N434" s="491" t="n"/>
      <c r="O434" s="491" t="n"/>
      <c r="P434" s="491" t="n"/>
      <c r="Q434" s="491" t="n"/>
      <c r="R434" s="491" t="n"/>
      <c r="S434" s="491" t="n"/>
      <c r="T434" s="491" t="n"/>
      <c r="U434" s="491" t="n"/>
      <c r="V434" s="491" t="n"/>
      <c r="W434" s="491" t="n"/>
      <c r="X434" s="491" t="n"/>
      <c r="Y434" s="491" t="n"/>
    </row>
    <row r="435" ht="12.75" customHeight="1" s="398">
      <c r="A435" s="491" t="n"/>
      <c r="B435" s="491" t="n"/>
      <c r="C435" s="491" t="n"/>
      <c r="D435" s="491" t="n"/>
      <c r="E435" s="491" t="n"/>
      <c r="F435" s="491" t="n"/>
      <c r="G435" s="491" t="n"/>
      <c r="H435" s="491" t="n"/>
      <c r="I435" s="491" t="n"/>
      <c r="J435" s="491" t="n"/>
      <c r="K435" s="491" t="n"/>
      <c r="L435" s="491" t="n"/>
      <c r="M435" s="491" t="n"/>
      <c r="N435" s="491" t="n"/>
      <c r="O435" s="491" t="n"/>
      <c r="P435" s="491" t="n"/>
      <c r="Q435" s="491" t="n"/>
      <c r="R435" s="491" t="n"/>
      <c r="S435" s="491" t="n"/>
      <c r="T435" s="491" t="n"/>
      <c r="U435" s="491" t="n"/>
      <c r="V435" s="491" t="n"/>
      <c r="W435" s="491" t="n"/>
      <c r="X435" s="491" t="n"/>
      <c r="Y435" s="491" t="n"/>
    </row>
    <row r="436" ht="12.75" customHeight="1" s="398">
      <c r="A436" s="491" t="n"/>
      <c r="B436" s="491" t="n"/>
      <c r="C436" s="491" t="n"/>
      <c r="D436" s="491" t="n"/>
      <c r="E436" s="491" t="n"/>
      <c r="F436" s="491" t="n"/>
      <c r="G436" s="491" t="n"/>
      <c r="H436" s="491" t="n"/>
      <c r="I436" s="491" t="n"/>
      <c r="J436" s="491" t="n"/>
      <c r="K436" s="491" t="n"/>
      <c r="L436" s="491" t="n"/>
      <c r="M436" s="491" t="n"/>
      <c r="N436" s="491" t="n"/>
      <c r="O436" s="491" t="n"/>
      <c r="P436" s="491" t="n"/>
      <c r="Q436" s="491" t="n"/>
      <c r="R436" s="491" t="n"/>
      <c r="S436" s="491" t="n"/>
      <c r="T436" s="491" t="n"/>
      <c r="U436" s="491" t="n"/>
      <c r="V436" s="491" t="n"/>
      <c r="W436" s="491" t="n"/>
      <c r="X436" s="491" t="n"/>
      <c r="Y436" s="491" t="n"/>
    </row>
    <row r="437" ht="12.75" customHeight="1" s="398">
      <c r="A437" s="491" t="n"/>
      <c r="B437" s="491" t="n"/>
      <c r="C437" s="491" t="n"/>
      <c r="D437" s="491" t="n"/>
      <c r="E437" s="491" t="n"/>
      <c r="F437" s="491" t="n"/>
      <c r="G437" s="491" t="n"/>
      <c r="H437" s="491" t="n"/>
      <c r="I437" s="491" t="n"/>
      <c r="J437" s="491" t="n"/>
      <c r="K437" s="491" t="n"/>
      <c r="L437" s="491" t="n"/>
      <c r="M437" s="491" t="n"/>
      <c r="N437" s="491" t="n"/>
      <c r="O437" s="491" t="n"/>
      <c r="P437" s="491" t="n"/>
      <c r="Q437" s="491" t="n"/>
      <c r="R437" s="491" t="n"/>
      <c r="S437" s="491" t="n"/>
      <c r="T437" s="491" t="n"/>
      <c r="U437" s="491" t="n"/>
      <c r="V437" s="491" t="n"/>
      <c r="W437" s="491" t="n"/>
      <c r="X437" s="491" t="n"/>
      <c r="Y437" s="491" t="n"/>
    </row>
    <row r="438" ht="12.75" customHeight="1" s="398">
      <c r="A438" s="491" t="n"/>
      <c r="B438" s="491" t="n"/>
      <c r="C438" s="491" t="n"/>
      <c r="D438" s="491" t="n"/>
      <c r="E438" s="491" t="n"/>
      <c r="F438" s="491" t="n"/>
      <c r="G438" s="491" t="n"/>
      <c r="H438" s="491" t="n"/>
      <c r="I438" s="491" t="n"/>
      <c r="J438" s="491" t="n"/>
      <c r="K438" s="491" t="n"/>
      <c r="L438" s="491" t="n"/>
      <c r="M438" s="491" t="n"/>
      <c r="N438" s="491" t="n"/>
      <c r="O438" s="491" t="n"/>
      <c r="P438" s="491" t="n"/>
      <c r="Q438" s="491" t="n"/>
      <c r="R438" s="491" t="n"/>
      <c r="S438" s="491" t="n"/>
      <c r="T438" s="491" t="n"/>
      <c r="U438" s="491" t="n"/>
      <c r="V438" s="491" t="n"/>
      <c r="W438" s="491" t="n"/>
      <c r="X438" s="491" t="n"/>
      <c r="Y438" s="491" t="n"/>
    </row>
    <row r="439" ht="12.75" customHeight="1" s="398">
      <c r="A439" s="491" t="n"/>
      <c r="B439" s="491" t="n"/>
      <c r="C439" s="491" t="n"/>
      <c r="D439" s="491" t="n"/>
      <c r="E439" s="491" t="n"/>
      <c r="F439" s="491" t="n"/>
      <c r="G439" s="491" t="n"/>
      <c r="H439" s="491" t="n"/>
      <c r="I439" s="491" t="n"/>
      <c r="J439" s="491" t="n"/>
      <c r="K439" s="491" t="n"/>
      <c r="L439" s="491" t="n"/>
      <c r="M439" s="491" t="n"/>
      <c r="N439" s="491" t="n"/>
      <c r="O439" s="491" t="n"/>
      <c r="P439" s="491" t="n"/>
      <c r="Q439" s="491" t="n"/>
      <c r="R439" s="491" t="n"/>
      <c r="S439" s="491" t="n"/>
      <c r="T439" s="491" t="n"/>
      <c r="U439" s="491" t="n"/>
      <c r="V439" s="491" t="n"/>
      <c r="W439" s="491" t="n"/>
      <c r="X439" s="491" t="n"/>
      <c r="Y439" s="491" t="n"/>
    </row>
    <row r="440" ht="12.75" customHeight="1" s="398">
      <c r="A440" s="491" t="n"/>
      <c r="B440" s="491" t="n"/>
      <c r="C440" s="491" t="n"/>
      <c r="D440" s="491" t="n"/>
      <c r="E440" s="491" t="n"/>
      <c r="F440" s="491" t="n"/>
      <c r="G440" s="491" t="n"/>
      <c r="H440" s="491" t="n"/>
      <c r="I440" s="491" t="n"/>
      <c r="J440" s="491" t="n"/>
      <c r="K440" s="491" t="n"/>
      <c r="L440" s="491" t="n"/>
      <c r="M440" s="491" t="n"/>
      <c r="N440" s="491" t="n"/>
      <c r="O440" s="491" t="n"/>
      <c r="P440" s="491" t="n"/>
      <c r="Q440" s="491" t="n"/>
      <c r="R440" s="491" t="n"/>
      <c r="S440" s="491" t="n"/>
      <c r="T440" s="491" t="n"/>
      <c r="U440" s="491" t="n"/>
      <c r="V440" s="491" t="n"/>
      <c r="W440" s="491" t="n"/>
      <c r="X440" s="491" t="n"/>
      <c r="Y440" s="491" t="n"/>
    </row>
    <row r="441" ht="12.75" customHeight="1" s="398">
      <c r="A441" s="491" t="n"/>
      <c r="B441" s="491" t="n"/>
      <c r="C441" s="491" t="n"/>
      <c r="D441" s="491" t="n"/>
      <c r="E441" s="491" t="n"/>
      <c r="F441" s="491" t="n"/>
      <c r="G441" s="491" t="n"/>
      <c r="H441" s="491" t="n"/>
      <c r="I441" s="491" t="n"/>
      <c r="J441" s="491" t="n"/>
      <c r="K441" s="491" t="n"/>
      <c r="L441" s="491" t="n"/>
      <c r="M441" s="491" t="n"/>
      <c r="N441" s="491" t="n"/>
      <c r="O441" s="491" t="n"/>
      <c r="P441" s="491" t="n"/>
      <c r="Q441" s="491" t="n"/>
      <c r="R441" s="491" t="n"/>
      <c r="S441" s="491" t="n"/>
      <c r="T441" s="491" t="n"/>
      <c r="U441" s="491" t="n"/>
      <c r="V441" s="491" t="n"/>
      <c r="W441" s="491" t="n"/>
      <c r="X441" s="491" t="n"/>
      <c r="Y441" s="491" t="n"/>
    </row>
    <row r="442" ht="12.75" customHeight="1" s="398">
      <c r="A442" s="491" t="n"/>
      <c r="B442" s="491" t="n"/>
      <c r="C442" s="491" t="n"/>
      <c r="D442" s="491" t="n"/>
      <c r="E442" s="491" t="n"/>
      <c r="F442" s="491" t="n"/>
      <c r="G442" s="491" t="n"/>
      <c r="H442" s="491" t="n"/>
      <c r="I442" s="491" t="n"/>
      <c r="J442" s="491" t="n"/>
      <c r="K442" s="491" t="n"/>
      <c r="L442" s="491" t="n"/>
      <c r="M442" s="491" t="n"/>
      <c r="N442" s="491" t="n"/>
      <c r="O442" s="491" t="n"/>
      <c r="P442" s="491" t="n"/>
      <c r="Q442" s="491" t="n"/>
      <c r="R442" s="491" t="n"/>
      <c r="S442" s="491" t="n"/>
      <c r="T442" s="491" t="n"/>
      <c r="U442" s="491" t="n"/>
      <c r="V442" s="491" t="n"/>
      <c r="W442" s="491" t="n"/>
      <c r="X442" s="491" t="n"/>
      <c r="Y442" s="491" t="n"/>
    </row>
    <row r="443" ht="12.75" customHeight="1" s="398">
      <c r="A443" s="491" t="n"/>
      <c r="B443" s="491" t="n"/>
      <c r="C443" s="491" t="n"/>
      <c r="D443" s="491" t="n"/>
      <c r="E443" s="491" t="n"/>
      <c r="F443" s="491" t="n"/>
      <c r="G443" s="491" t="n"/>
      <c r="H443" s="491" t="n"/>
      <c r="I443" s="491" t="n"/>
      <c r="J443" s="491" t="n"/>
      <c r="K443" s="491" t="n"/>
      <c r="L443" s="491" t="n"/>
      <c r="M443" s="491" t="n"/>
      <c r="N443" s="491" t="n"/>
      <c r="O443" s="491" t="n"/>
      <c r="P443" s="491" t="n"/>
      <c r="Q443" s="491" t="n"/>
      <c r="R443" s="491" t="n"/>
      <c r="S443" s="491" t="n"/>
      <c r="T443" s="491" t="n"/>
      <c r="U443" s="491" t="n"/>
      <c r="V443" s="491" t="n"/>
      <c r="W443" s="491" t="n"/>
      <c r="X443" s="491" t="n"/>
      <c r="Y443" s="491" t="n"/>
    </row>
    <row r="444" ht="12.75" customHeight="1" s="398">
      <c r="A444" s="491" t="n"/>
      <c r="B444" s="491" t="n"/>
      <c r="C444" s="491" t="n"/>
      <c r="D444" s="491" t="n"/>
      <c r="E444" s="491" t="n"/>
      <c r="F444" s="491" t="n"/>
      <c r="G444" s="491" t="n"/>
      <c r="H444" s="491" t="n"/>
      <c r="I444" s="491" t="n"/>
      <c r="J444" s="491" t="n"/>
      <c r="K444" s="491" t="n"/>
      <c r="L444" s="491" t="n"/>
      <c r="M444" s="491" t="n"/>
      <c r="N444" s="491" t="n"/>
      <c r="O444" s="491" t="n"/>
      <c r="P444" s="491" t="n"/>
      <c r="Q444" s="491" t="n"/>
      <c r="R444" s="491" t="n"/>
      <c r="S444" s="491" t="n"/>
      <c r="T444" s="491" t="n"/>
      <c r="U444" s="491" t="n"/>
      <c r="V444" s="491" t="n"/>
      <c r="W444" s="491" t="n"/>
      <c r="X444" s="491" t="n"/>
      <c r="Y444" s="491" t="n"/>
    </row>
    <row r="445" ht="12.75" customHeight="1" s="398">
      <c r="A445" s="491" t="n"/>
      <c r="B445" s="491" t="n"/>
      <c r="C445" s="491" t="n"/>
      <c r="D445" s="491" t="n"/>
      <c r="E445" s="491" t="n"/>
      <c r="F445" s="491" t="n"/>
      <c r="G445" s="491" t="n"/>
      <c r="H445" s="491" t="n"/>
      <c r="I445" s="491" t="n"/>
      <c r="J445" s="491" t="n"/>
      <c r="K445" s="491" t="n"/>
      <c r="L445" s="491" t="n"/>
      <c r="M445" s="491" t="n"/>
      <c r="N445" s="491" t="n"/>
      <c r="O445" s="491" t="n"/>
      <c r="P445" s="491" t="n"/>
      <c r="Q445" s="491" t="n"/>
      <c r="R445" s="491" t="n"/>
      <c r="S445" s="491" t="n"/>
      <c r="T445" s="491" t="n"/>
      <c r="U445" s="491" t="n"/>
      <c r="V445" s="491" t="n"/>
      <c r="W445" s="491" t="n"/>
      <c r="X445" s="491" t="n"/>
      <c r="Y445" s="491" t="n"/>
    </row>
    <row r="446" ht="12.75" customHeight="1" s="398">
      <c r="A446" s="491" t="n"/>
      <c r="B446" s="491" t="n"/>
      <c r="C446" s="491" t="n"/>
      <c r="D446" s="491" t="n"/>
      <c r="E446" s="491" t="n"/>
      <c r="F446" s="491" t="n"/>
      <c r="G446" s="491" t="n"/>
      <c r="H446" s="491" t="n"/>
      <c r="I446" s="491" t="n"/>
      <c r="J446" s="491" t="n"/>
      <c r="K446" s="491" t="n"/>
      <c r="L446" s="491" t="n"/>
      <c r="M446" s="491" t="n"/>
      <c r="N446" s="491" t="n"/>
      <c r="O446" s="491" t="n"/>
      <c r="P446" s="491" t="n"/>
      <c r="Q446" s="491" t="n"/>
      <c r="R446" s="491" t="n"/>
      <c r="S446" s="491" t="n"/>
      <c r="T446" s="491" t="n"/>
      <c r="U446" s="491" t="n"/>
      <c r="V446" s="491" t="n"/>
      <c r="W446" s="491" t="n"/>
      <c r="X446" s="491" t="n"/>
      <c r="Y446" s="491" t="n"/>
    </row>
    <row r="447" ht="12.75" customHeight="1" s="398">
      <c r="A447" s="491" t="n"/>
      <c r="B447" s="491" t="n"/>
      <c r="C447" s="491" t="n"/>
      <c r="D447" s="491" t="n"/>
      <c r="E447" s="491" t="n"/>
      <c r="F447" s="491" t="n"/>
      <c r="G447" s="491" t="n"/>
      <c r="H447" s="491" t="n"/>
      <c r="I447" s="491" t="n"/>
      <c r="J447" s="491" t="n"/>
      <c r="K447" s="491" t="n"/>
      <c r="L447" s="491" t="n"/>
      <c r="M447" s="491" t="n"/>
      <c r="N447" s="491" t="n"/>
      <c r="O447" s="491" t="n"/>
      <c r="P447" s="491" t="n"/>
      <c r="Q447" s="491" t="n"/>
      <c r="R447" s="491" t="n"/>
      <c r="S447" s="491" t="n"/>
      <c r="T447" s="491" t="n"/>
      <c r="U447" s="491" t="n"/>
      <c r="V447" s="491" t="n"/>
      <c r="W447" s="491" t="n"/>
      <c r="X447" s="491" t="n"/>
      <c r="Y447" s="491" t="n"/>
    </row>
    <row r="448" ht="12.75" customHeight="1" s="398">
      <c r="A448" s="491" t="n"/>
      <c r="B448" s="491" t="n"/>
      <c r="C448" s="491" t="n"/>
      <c r="D448" s="491" t="n"/>
      <c r="E448" s="491" t="n"/>
      <c r="F448" s="491" t="n"/>
      <c r="G448" s="491" t="n"/>
      <c r="H448" s="491" t="n"/>
      <c r="I448" s="491" t="n"/>
      <c r="J448" s="491" t="n"/>
      <c r="K448" s="491" t="n"/>
      <c r="L448" s="491" t="n"/>
      <c r="M448" s="491" t="n"/>
      <c r="N448" s="491" t="n"/>
      <c r="O448" s="491" t="n"/>
      <c r="P448" s="491" t="n"/>
      <c r="Q448" s="491" t="n"/>
      <c r="R448" s="491" t="n"/>
      <c r="S448" s="491" t="n"/>
      <c r="T448" s="491" t="n"/>
      <c r="U448" s="491" t="n"/>
      <c r="V448" s="491" t="n"/>
      <c r="W448" s="491" t="n"/>
      <c r="X448" s="491" t="n"/>
      <c r="Y448" s="491" t="n"/>
    </row>
    <row r="449" ht="12.75" customHeight="1" s="398">
      <c r="A449" s="491" t="n"/>
      <c r="B449" s="491" t="n"/>
      <c r="C449" s="491" t="n"/>
      <c r="D449" s="491" t="n"/>
      <c r="E449" s="491" t="n"/>
      <c r="F449" s="491" t="n"/>
      <c r="G449" s="491" t="n"/>
      <c r="H449" s="491" t="n"/>
      <c r="I449" s="491" t="n"/>
      <c r="J449" s="491" t="n"/>
      <c r="K449" s="491" t="n"/>
      <c r="L449" s="491" t="n"/>
      <c r="M449" s="491" t="n"/>
      <c r="N449" s="491" t="n"/>
      <c r="O449" s="491" t="n"/>
      <c r="P449" s="491" t="n"/>
      <c r="Q449" s="491" t="n"/>
      <c r="R449" s="491" t="n"/>
      <c r="S449" s="491" t="n"/>
      <c r="T449" s="491" t="n"/>
      <c r="U449" s="491" t="n"/>
      <c r="V449" s="491" t="n"/>
      <c r="W449" s="491" t="n"/>
      <c r="X449" s="491" t="n"/>
      <c r="Y449" s="491" t="n"/>
    </row>
    <row r="450" ht="12.75" customHeight="1" s="398">
      <c r="A450" s="491" t="n"/>
      <c r="B450" s="491" t="n"/>
      <c r="C450" s="491" t="n"/>
      <c r="D450" s="491" t="n"/>
      <c r="E450" s="491" t="n"/>
      <c r="F450" s="491" t="n"/>
      <c r="G450" s="491" t="n"/>
      <c r="H450" s="491" t="n"/>
      <c r="I450" s="491" t="n"/>
      <c r="J450" s="491" t="n"/>
      <c r="K450" s="491" t="n"/>
      <c r="L450" s="491" t="n"/>
      <c r="M450" s="491" t="n"/>
      <c r="N450" s="491" t="n"/>
      <c r="O450" s="491" t="n"/>
      <c r="P450" s="491" t="n"/>
      <c r="Q450" s="491" t="n"/>
      <c r="R450" s="491" t="n"/>
      <c r="S450" s="491" t="n"/>
      <c r="T450" s="491" t="n"/>
      <c r="U450" s="491" t="n"/>
      <c r="V450" s="491" t="n"/>
      <c r="W450" s="491" t="n"/>
      <c r="X450" s="491" t="n"/>
      <c r="Y450" s="491" t="n"/>
    </row>
    <row r="451" ht="12.75" customHeight="1" s="398">
      <c r="A451" s="491" t="n"/>
      <c r="B451" s="491" t="n"/>
      <c r="C451" s="491" t="n"/>
      <c r="D451" s="491" t="n"/>
      <c r="E451" s="491" t="n"/>
      <c r="F451" s="491" t="n"/>
      <c r="G451" s="491" t="n"/>
      <c r="H451" s="491" t="n"/>
      <c r="I451" s="491" t="n"/>
      <c r="J451" s="491" t="n"/>
      <c r="K451" s="491" t="n"/>
      <c r="L451" s="491" t="n"/>
      <c r="M451" s="491" t="n"/>
      <c r="N451" s="491" t="n"/>
      <c r="O451" s="491" t="n"/>
      <c r="P451" s="491" t="n"/>
      <c r="Q451" s="491" t="n"/>
      <c r="R451" s="491" t="n"/>
      <c r="S451" s="491" t="n"/>
      <c r="T451" s="491" t="n"/>
      <c r="U451" s="491" t="n"/>
      <c r="V451" s="491" t="n"/>
      <c r="W451" s="491" t="n"/>
      <c r="X451" s="491" t="n"/>
      <c r="Y451" s="491" t="n"/>
    </row>
    <row r="452" ht="12.75" customHeight="1" s="398">
      <c r="A452" s="491" t="n"/>
      <c r="B452" s="491" t="n"/>
      <c r="C452" s="491" t="n"/>
      <c r="D452" s="491" t="n"/>
      <c r="E452" s="491" t="n"/>
      <c r="F452" s="491" t="n"/>
      <c r="G452" s="491" t="n"/>
      <c r="H452" s="491" t="n"/>
      <c r="I452" s="491" t="n"/>
      <c r="J452" s="491" t="n"/>
      <c r="K452" s="491" t="n"/>
      <c r="L452" s="491" t="n"/>
      <c r="M452" s="491" t="n"/>
      <c r="N452" s="491" t="n"/>
      <c r="O452" s="491" t="n"/>
      <c r="P452" s="491" t="n"/>
      <c r="Q452" s="491" t="n"/>
      <c r="R452" s="491" t="n"/>
      <c r="S452" s="491" t="n"/>
      <c r="T452" s="491" t="n"/>
      <c r="U452" s="491" t="n"/>
      <c r="V452" s="491" t="n"/>
      <c r="W452" s="491" t="n"/>
      <c r="X452" s="491" t="n"/>
      <c r="Y452" s="491" t="n"/>
    </row>
    <row r="453" ht="12.75" customHeight="1" s="398">
      <c r="A453" s="491" t="n"/>
      <c r="B453" s="491" t="n"/>
      <c r="C453" s="491" t="n"/>
      <c r="D453" s="491" t="n"/>
      <c r="E453" s="491" t="n"/>
      <c r="F453" s="491" t="n"/>
      <c r="G453" s="491" t="n"/>
      <c r="H453" s="491" t="n"/>
      <c r="I453" s="491" t="n"/>
      <c r="J453" s="491" t="n"/>
      <c r="K453" s="491" t="n"/>
      <c r="L453" s="491" t="n"/>
      <c r="M453" s="491" t="n"/>
      <c r="N453" s="491" t="n"/>
      <c r="O453" s="491" t="n"/>
      <c r="P453" s="491" t="n"/>
      <c r="Q453" s="491" t="n"/>
      <c r="R453" s="491" t="n"/>
      <c r="S453" s="491" t="n"/>
      <c r="T453" s="491" t="n"/>
      <c r="U453" s="491" t="n"/>
      <c r="V453" s="491" t="n"/>
      <c r="W453" s="491" t="n"/>
      <c r="X453" s="491" t="n"/>
      <c r="Y453" s="491" t="n"/>
    </row>
    <row r="454" ht="12.75" customHeight="1" s="398">
      <c r="A454" s="491" t="n"/>
      <c r="B454" s="491" t="n"/>
      <c r="C454" s="491" t="n"/>
      <c r="D454" s="491" t="n"/>
      <c r="E454" s="491" t="n"/>
      <c r="F454" s="491" t="n"/>
      <c r="G454" s="491" t="n"/>
      <c r="H454" s="491" t="n"/>
      <c r="I454" s="491" t="n"/>
      <c r="J454" s="491" t="n"/>
      <c r="K454" s="491" t="n"/>
      <c r="L454" s="491" t="n"/>
      <c r="M454" s="491" t="n"/>
      <c r="N454" s="491" t="n"/>
      <c r="O454" s="491" t="n"/>
      <c r="P454" s="491" t="n"/>
      <c r="Q454" s="491" t="n"/>
      <c r="R454" s="491" t="n"/>
      <c r="S454" s="491" t="n"/>
      <c r="T454" s="491" t="n"/>
      <c r="U454" s="491" t="n"/>
      <c r="V454" s="491" t="n"/>
      <c r="W454" s="491" t="n"/>
      <c r="X454" s="491" t="n"/>
      <c r="Y454" s="491" t="n"/>
    </row>
    <row r="455" ht="12.75" customHeight="1" s="398">
      <c r="A455" s="491" t="n"/>
      <c r="B455" s="491" t="n"/>
      <c r="C455" s="491" t="n"/>
      <c r="D455" s="491" t="n"/>
      <c r="E455" s="491" t="n"/>
      <c r="F455" s="491" t="n"/>
      <c r="G455" s="491" t="n"/>
      <c r="H455" s="491" t="n"/>
      <c r="I455" s="491" t="n"/>
      <c r="J455" s="491" t="n"/>
      <c r="K455" s="491" t="n"/>
      <c r="L455" s="491" t="n"/>
      <c r="M455" s="491" t="n"/>
      <c r="N455" s="491" t="n"/>
      <c r="O455" s="491" t="n"/>
      <c r="P455" s="491" t="n"/>
      <c r="Q455" s="491" t="n"/>
      <c r="R455" s="491" t="n"/>
      <c r="S455" s="491" t="n"/>
      <c r="T455" s="491" t="n"/>
      <c r="U455" s="491" t="n"/>
      <c r="V455" s="491" t="n"/>
      <c r="W455" s="491" t="n"/>
      <c r="X455" s="491" t="n"/>
      <c r="Y455" s="491" t="n"/>
    </row>
    <row r="456" ht="12.75" customHeight="1" s="398">
      <c r="A456" s="491" t="n"/>
      <c r="B456" s="491" t="n"/>
      <c r="C456" s="491" t="n"/>
      <c r="D456" s="491" t="n"/>
      <c r="E456" s="491" t="n"/>
      <c r="F456" s="491" t="n"/>
      <c r="G456" s="491" t="n"/>
      <c r="H456" s="491" t="n"/>
      <c r="I456" s="491" t="n"/>
      <c r="J456" s="491" t="n"/>
      <c r="K456" s="491" t="n"/>
      <c r="L456" s="491" t="n"/>
      <c r="M456" s="491" t="n"/>
      <c r="N456" s="491" t="n"/>
      <c r="O456" s="491" t="n"/>
      <c r="P456" s="491" t="n"/>
      <c r="Q456" s="491" t="n"/>
      <c r="R456" s="491" t="n"/>
      <c r="S456" s="491" t="n"/>
      <c r="T456" s="491" t="n"/>
      <c r="U456" s="491" t="n"/>
      <c r="V456" s="491" t="n"/>
      <c r="W456" s="491" t="n"/>
      <c r="X456" s="491" t="n"/>
      <c r="Y456" s="491" t="n"/>
    </row>
    <row r="457" ht="12.75" customHeight="1" s="398">
      <c r="A457" s="491" t="n"/>
      <c r="B457" s="491" t="n"/>
      <c r="C457" s="491" t="n"/>
      <c r="D457" s="491" t="n"/>
      <c r="E457" s="491" t="n"/>
      <c r="F457" s="491" t="n"/>
      <c r="G457" s="491" t="n"/>
      <c r="H457" s="491" t="n"/>
      <c r="I457" s="491" t="n"/>
      <c r="J457" s="491" t="n"/>
      <c r="K457" s="491" t="n"/>
      <c r="L457" s="491" t="n"/>
      <c r="M457" s="491" t="n"/>
      <c r="N457" s="491" t="n"/>
      <c r="O457" s="491" t="n"/>
      <c r="P457" s="491" t="n"/>
      <c r="Q457" s="491" t="n"/>
      <c r="R457" s="491" t="n"/>
      <c r="S457" s="491" t="n"/>
      <c r="T457" s="491" t="n"/>
      <c r="U457" s="491" t="n"/>
      <c r="V457" s="491" t="n"/>
      <c r="W457" s="491" t="n"/>
      <c r="X457" s="491" t="n"/>
      <c r="Y457" s="491" t="n"/>
    </row>
    <row r="458" ht="12.75" customHeight="1" s="398">
      <c r="A458" s="491" t="n"/>
      <c r="B458" s="491" t="n"/>
      <c r="C458" s="491" t="n"/>
      <c r="D458" s="491" t="n"/>
      <c r="E458" s="491" t="n"/>
      <c r="F458" s="491" t="n"/>
      <c r="G458" s="491" t="n"/>
      <c r="H458" s="491" t="n"/>
      <c r="I458" s="491" t="n"/>
      <c r="J458" s="491" t="n"/>
      <c r="K458" s="491" t="n"/>
      <c r="L458" s="491" t="n"/>
      <c r="M458" s="491" t="n"/>
      <c r="N458" s="491" t="n"/>
      <c r="O458" s="491" t="n"/>
      <c r="P458" s="491" t="n"/>
      <c r="Q458" s="491" t="n"/>
      <c r="R458" s="491" t="n"/>
      <c r="S458" s="491" t="n"/>
      <c r="T458" s="491" t="n"/>
      <c r="U458" s="491" t="n"/>
      <c r="V458" s="491" t="n"/>
      <c r="W458" s="491" t="n"/>
      <c r="X458" s="491" t="n"/>
      <c r="Y458" s="491" t="n"/>
    </row>
    <row r="459" ht="12.75" customHeight="1" s="398">
      <c r="A459" s="491" t="n"/>
      <c r="B459" s="491" t="n"/>
      <c r="C459" s="491" t="n"/>
      <c r="D459" s="491" t="n"/>
      <c r="E459" s="491" t="n"/>
      <c r="F459" s="491" t="n"/>
      <c r="G459" s="491" t="n"/>
      <c r="H459" s="491" t="n"/>
      <c r="I459" s="491" t="n"/>
      <c r="J459" s="491" t="n"/>
      <c r="K459" s="491" t="n"/>
      <c r="L459" s="491" t="n"/>
      <c r="M459" s="491" t="n"/>
      <c r="N459" s="491" t="n"/>
      <c r="O459" s="491" t="n"/>
      <c r="P459" s="491" t="n"/>
      <c r="Q459" s="491" t="n"/>
      <c r="R459" s="491" t="n"/>
      <c r="S459" s="491" t="n"/>
      <c r="T459" s="491" t="n"/>
      <c r="U459" s="491" t="n"/>
      <c r="V459" s="491" t="n"/>
      <c r="W459" s="491" t="n"/>
      <c r="X459" s="491" t="n"/>
      <c r="Y459" s="491" t="n"/>
    </row>
    <row r="460" ht="12.75" customHeight="1" s="398">
      <c r="A460" s="491" t="n"/>
      <c r="B460" s="491" t="n"/>
      <c r="C460" s="491" t="n"/>
      <c r="D460" s="491" t="n"/>
      <c r="E460" s="491" t="n"/>
      <c r="F460" s="491" t="n"/>
      <c r="G460" s="491" t="n"/>
      <c r="H460" s="491" t="n"/>
      <c r="I460" s="491" t="n"/>
      <c r="J460" s="491" t="n"/>
      <c r="K460" s="491" t="n"/>
      <c r="L460" s="491" t="n"/>
      <c r="M460" s="491" t="n"/>
      <c r="N460" s="491" t="n"/>
      <c r="O460" s="491" t="n"/>
      <c r="P460" s="491" t="n"/>
      <c r="Q460" s="491" t="n"/>
      <c r="R460" s="491" t="n"/>
      <c r="S460" s="491" t="n"/>
      <c r="T460" s="491" t="n"/>
      <c r="U460" s="491" t="n"/>
      <c r="V460" s="491" t="n"/>
      <c r="W460" s="491" t="n"/>
      <c r="X460" s="491" t="n"/>
      <c r="Y460" s="491" t="n"/>
    </row>
    <row r="461" ht="12.75" customHeight="1" s="398">
      <c r="A461" s="491" t="n"/>
      <c r="B461" s="491" t="n"/>
      <c r="C461" s="491" t="n"/>
      <c r="D461" s="491" t="n"/>
      <c r="E461" s="491" t="n"/>
      <c r="F461" s="491" t="n"/>
      <c r="G461" s="491" t="n"/>
      <c r="H461" s="491" t="n"/>
      <c r="I461" s="491" t="n"/>
      <c r="J461" s="491" t="n"/>
      <c r="K461" s="491" t="n"/>
      <c r="L461" s="491" t="n"/>
      <c r="M461" s="491" t="n"/>
      <c r="N461" s="491" t="n"/>
      <c r="O461" s="491" t="n"/>
      <c r="P461" s="491" t="n"/>
      <c r="Q461" s="491" t="n"/>
      <c r="R461" s="491" t="n"/>
      <c r="S461" s="491" t="n"/>
      <c r="T461" s="491" t="n"/>
      <c r="U461" s="491" t="n"/>
      <c r="V461" s="491" t="n"/>
      <c r="W461" s="491" t="n"/>
      <c r="X461" s="491" t="n"/>
      <c r="Y461" s="491" t="n"/>
    </row>
    <row r="462" ht="12.75" customHeight="1" s="398">
      <c r="A462" s="491" t="n"/>
      <c r="B462" s="491" t="n"/>
      <c r="C462" s="491" t="n"/>
      <c r="D462" s="491" t="n"/>
      <c r="E462" s="491" t="n"/>
      <c r="F462" s="491" t="n"/>
      <c r="G462" s="491" t="n"/>
      <c r="H462" s="491" t="n"/>
      <c r="I462" s="491" t="n"/>
      <c r="J462" s="491" t="n"/>
      <c r="K462" s="491" t="n"/>
      <c r="L462" s="491" t="n"/>
      <c r="M462" s="491" t="n"/>
      <c r="N462" s="491" t="n"/>
      <c r="O462" s="491" t="n"/>
      <c r="P462" s="491" t="n"/>
      <c r="Q462" s="491" t="n"/>
      <c r="R462" s="491" t="n"/>
      <c r="S462" s="491" t="n"/>
      <c r="T462" s="491" t="n"/>
      <c r="U462" s="491" t="n"/>
      <c r="V462" s="491" t="n"/>
      <c r="W462" s="491" t="n"/>
      <c r="X462" s="491" t="n"/>
      <c r="Y462" s="491" t="n"/>
    </row>
    <row r="463" ht="12.75" customHeight="1" s="398">
      <c r="A463" s="491" t="n"/>
      <c r="B463" s="491" t="n"/>
      <c r="C463" s="491" t="n"/>
      <c r="D463" s="491" t="n"/>
      <c r="E463" s="491" t="n"/>
      <c r="F463" s="491" t="n"/>
      <c r="G463" s="491" t="n"/>
      <c r="H463" s="491" t="n"/>
      <c r="I463" s="491" t="n"/>
      <c r="J463" s="491" t="n"/>
      <c r="K463" s="491" t="n"/>
      <c r="L463" s="491" t="n"/>
      <c r="M463" s="491" t="n"/>
      <c r="N463" s="491" t="n"/>
      <c r="O463" s="491" t="n"/>
      <c r="P463" s="491" t="n"/>
      <c r="Q463" s="491" t="n"/>
      <c r="R463" s="491" t="n"/>
      <c r="S463" s="491" t="n"/>
      <c r="T463" s="491" t="n"/>
      <c r="U463" s="491" t="n"/>
      <c r="V463" s="491" t="n"/>
      <c r="W463" s="491" t="n"/>
      <c r="X463" s="491" t="n"/>
      <c r="Y463" s="491" t="n"/>
    </row>
    <row r="464" ht="12.75" customHeight="1" s="398">
      <c r="A464" s="491" t="n"/>
      <c r="B464" s="491" t="n"/>
      <c r="C464" s="491" t="n"/>
      <c r="D464" s="491" t="n"/>
      <c r="E464" s="491" t="n"/>
      <c r="F464" s="491" t="n"/>
      <c r="G464" s="491" t="n"/>
      <c r="H464" s="491" t="n"/>
      <c r="I464" s="491" t="n"/>
      <c r="J464" s="491" t="n"/>
      <c r="K464" s="491" t="n"/>
      <c r="L464" s="491" t="n"/>
      <c r="M464" s="491" t="n"/>
      <c r="N464" s="491" t="n"/>
      <c r="O464" s="491" t="n"/>
      <c r="P464" s="491" t="n"/>
      <c r="Q464" s="491" t="n"/>
      <c r="R464" s="491" t="n"/>
      <c r="S464" s="491" t="n"/>
      <c r="T464" s="491" t="n"/>
      <c r="U464" s="491" t="n"/>
      <c r="V464" s="491" t="n"/>
      <c r="W464" s="491" t="n"/>
      <c r="X464" s="491" t="n"/>
      <c r="Y464" s="491" t="n"/>
    </row>
    <row r="465" ht="12.75" customHeight="1" s="398">
      <c r="A465" s="491" t="n"/>
      <c r="B465" s="491" t="n"/>
      <c r="C465" s="491" t="n"/>
      <c r="D465" s="491" t="n"/>
      <c r="E465" s="491" t="n"/>
      <c r="F465" s="491" t="n"/>
      <c r="G465" s="491" t="n"/>
      <c r="H465" s="491" t="n"/>
      <c r="I465" s="491" t="n"/>
      <c r="J465" s="491" t="n"/>
      <c r="K465" s="491" t="n"/>
      <c r="L465" s="491" t="n"/>
      <c r="M465" s="491" t="n"/>
      <c r="N465" s="491" t="n"/>
      <c r="O465" s="491" t="n"/>
      <c r="P465" s="491" t="n"/>
      <c r="Q465" s="491" t="n"/>
      <c r="R465" s="491" t="n"/>
      <c r="S465" s="491" t="n"/>
      <c r="T465" s="491" t="n"/>
      <c r="U465" s="491" t="n"/>
      <c r="V465" s="491" t="n"/>
      <c r="W465" s="491" t="n"/>
      <c r="X465" s="491" t="n"/>
      <c r="Y465" s="491" t="n"/>
    </row>
    <row r="466" ht="12.75" customHeight="1" s="398">
      <c r="A466" s="491" t="n"/>
      <c r="B466" s="491" t="n"/>
      <c r="C466" s="491" t="n"/>
      <c r="D466" s="491" t="n"/>
      <c r="E466" s="491" t="n"/>
      <c r="F466" s="491" t="n"/>
      <c r="G466" s="491" t="n"/>
      <c r="H466" s="491" t="n"/>
      <c r="I466" s="491" t="n"/>
      <c r="J466" s="491" t="n"/>
      <c r="K466" s="491" t="n"/>
      <c r="L466" s="491" t="n"/>
      <c r="M466" s="491" t="n"/>
      <c r="N466" s="491" t="n"/>
      <c r="O466" s="491" t="n"/>
      <c r="P466" s="491" t="n"/>
      <c r="Q466" s="491" t="n"/>
      <c r="R466" s="491" t="n"/>
      <c r="S466" s="491" t="n"/>
      <c r="T466" s="491" t="n"/>
      <c r="U466" s="491" t="n"/>
      <c r="V466" s="491" t="n"/>
      <c r="W466" s="491" t="n"/>
      <c r="X466" s="491" t="n"/>
      <c r="Y466" s="491" t="n"/>
    </row>
    <row r="467" ht="12.75" customHeight="1" s="398">
      <c r="A467" s="491" t="n"/>
      <c r="B467" s="491" t="n"/>
      <c r="C467" s="491" t="n"/>
      <c r="D467" s="491" t="n"/>
      <c r="E467" s="491" t="n"/>
      <c r="F467" s="491" t="n"/>
      <c r="G467" s="491" t="n"/>
      <c r="H467" s="491" t="n"/>
      <c r="I467" s="491" t="n"/>
      <c r="J467" s="491" t="n"/>
      <c r="K467" s="491" t="n"/>
      <c r="L467" s="491" t="n"/>
      <c r="M467" s="491" t="n"/>
      <c r="N467" s="491" t="n"/>
      <c r="O467" s="491" t="n"/>
      <c r="P467" s="491" t="n"/>
      <c r="Q467" s="491" t="n"/>
      <c r="R467" s="491" t="n"/>
      <c r="S467" s="491" t="n"/>
      <c r="T467" s="491" t="n"/>
      <c r="U467" s="491" t="n"/>
      <c r="V467" s="491" t="n"/>
      <c r="W467" s="491" t="n"/>
      <c r="X467" s="491" t="n"/>
      <c r="Y467" s="491" t="n"/>
    </row>
    <row r="468" ht="12.75" customHeight="1" s="398">
      <c r="A468" s="491" t="n"/>
      <c r="B468" s="491" t="n"/>
      <c r="C468" s="491" t="n"/>
      <c r="D468" s="491" t="n"/>
      <c r="E468" s="491" t="n"/>
      <c r="F468" s="491" t="n"/>
      <c r="G468" s="491" t="n"/>
      <c r="H468" s="491" t="n"/>
      <c r="I468" s="491" t="n"/>
      <c r="J468" s="491" t="n"/>
      <c r="K468" s="491" t="n"/>
      <c r="L468" s="491" t="n"/>
      <c r="M468" s="491" t="n"/>
      <c r="N468" s="491" t="n"/>
      <c r="O468" s="491" t="n"/>
      <c r="P468" s="491" t="n"/>
      <c r="Q468" s="491" t="n"/>
      <c r="R468" s="491" t="n"/>
      <c r="S468" s="491" t="n"/>
      <c r="T468" s="491" t="n"/>
      <c r="U468" s="491" t="n"/>
      <c r="V468" s="491" t="n"/>
      <c r="W468" s="491" t="n"/>
      <c r="X468" s="491" t="n"/>
      <c r="Y468" s="491" t="n"/>
    </row>
    <row r="469" ht="12.75" customHeight="1" s="398">
      <c r="A469" s="491" t="n"/>
      <c r="B469" s="491" t="n"/>
      <c r="C469" s="491" t="n"/>
      <c r="D469" s="491" t="n"/>
      <c r="E469" s="491" t="n"/>
      <c r="F469" s="491" t="n"/>
      <c r="G469" s="491" t="n"/>
      <c r="H469" s="491" t="n"/>
      <c r="I469" s="491" t="n"/>
      <c r="J469" s="491" t="n"/>
      <c r="K469" s="491" t="n"/>
      <c r="L469" s="491" t="n"/>
      <c r="M469" s="491" t="n"/>
      <c r="N469" s="491" t="n"/>
      <c r="O469" s="491" t="n"/>
      <c r="P469" s="491" t="n"/>
      <c r="Q469" s="491" t="n"/>
      <c r="R469" s="491" t="n"/>
      <c r="S469" s="491" t="n"/>
      <c r="T469" s="491" t="n"/>
      <c r="U469" s="491" t="n"/>
      <c r="V469" s="491" t="n"/>
      <c r="W469" s="491" t="n"/>
      <c r="X469" s="491" t="n"/>
      <c r="Y469" s="491" t="n"/>
    </row>
    <row r="470" ht="12.75" customHeight="1" s="398">
      <c r="A470" s="491" t="n"/>
      <c r="B470" s="491" t="n"/>
      <c r="C470" s="491" t="n"/>
      <c r="D470" s="491" t="n"/>
      <c r="E470" s="491" t="n"/>
      <c r="F470" s="491" t="n"/>
      <c r="G470" s="491" t="n"/>
      <c r="H470" s="491" t="n"/>
      <c r="I470" s="491" t="n"/>
      <c r="J470" s="491" t="n"/>
      <c r="K470" s="491" t="n"/>
      <c r="L470" s="491" t="n"/>
      <c r="M470" s="491" t="n"/>
      <c r="N470" s="491" t="n"/>
      <c r="O470" s="491" t="n"/>
      <c r="P470" s="491" t="n"/>
      <c r="Q470" s="491" t="n"/>
      <c r="R470" s="491" t="n"/>
      <c r="S470" s="491" t="n"/>
      <c r="T470" s="491" t="n"/>
      <c r="U470" s="491" t="n"/>
      <c r="V470" s="491" t="n"/>
      <c r="W470" s="491" t="n"/>
      <c r="X470" s="491" t="n"/>
      <c r="Y470" s="491" t="n"/>
    </row>
    <row r="471" ht="12.75" customHeight="1" s="398">
      <c r="A471" s="491" t="n"/>
      <c r="B471" s="491" t="n"/>
      <c r="C471" s="491" t="n"/>
      <c r="D471" s="491" t="n"/>
      <c r="E471" s="491" t="n"/>
      <c r="F471" s="491" t="n"/>
      <c r="G471" s="491" t="n"/>
      <c r="H471" s="491" t="n"/>
      <c r="I471" s="491" t="n"/>
      <c r="J471" s="491" t="n"/>
      <c r="K471" s="491" t="n"/>
      <c r="L471" s="491" t="n"/>
      <c r="M471" s="491" t="n"/>
      <c r="N471" s="491" t="n"/>
      <c r="O471" s="491" t="n"/>
      <c r="P471" s="491" t="n"/>
      <c r="Q471" s="491" t="n"/>
      <c r="R471" s="491" t="n"/>
      <c r="S471" s="491" t="n"/>
      <c r="T471" s="491" t="n"/>
      <c r="U471" s="491" t="n"/>
      <c r="V471" s="491" t="n"/>
      <c r="W471" s="491" t="n"/>
      <c r="X471" s="491" t="n"/>
      <c r="Y471" s="491" t="n"/>
    </row>
    <row r="472" ht="12.75" customHeight="1" s="398">
      <c r="A472" s="491" t="n"/>
      <c r="B472" s="491" t="n"/>
      <c r="C472" s="491" t="n"/>
      <c r="D472" s="491" t="n"/>
      <c r="E472" s="491" t="n"/>
      <c r="F472" s="491" t="n"/>
      <c r="G472" s="491" t="n"/>
      <c r="H472" s="491" t="n"/>
      <c r="I472" s="491" t="n"/>
      <c r="J472" s="491" t="n"/>
      <c r="K472" s="491" t="n"/>
      <c r="L472" s="491" t="n"/>
      <c r="M472" s="491" t="n"/>
      <c r="N472" s="491" t="n"/>
      <c r="O472" s="491" t="n"/>
      <c r="P472" s="491" t="n"/>
      <c r="Q472" s="491" t="n"/>
      <c r="R472" s="491" t="n"/>
      <c r="S472" s="491" t="n"/>
      <c r="T472" s="491" t="n"/>
      <c r="U472" s="491" t="n"/>
      <c r="V472" s="491" t="n"/>
      <c r="W472" s="491" t="n"/>
      <c r="X472" s="491" t="n"/>
      <c r="Y472" s="491" t="n"/>
    </row>
    <row r="473" ht="12.75" customHeight="1" s="398">
      <c r="A473" s="491" t="n"/>
      <c r="B473" s="491" t="n"/>
      <c r="C473" s="491" t="n"/>
      <c r="D473" s="491" t="n"/>
      <c r="E473" s="491" t="n"/>
      <c r="F473" s="491" t="n"/>
      <c r="G473" s="491" t="n"/>
      <c r="H473" s="491" t="n"/>
      <c r="I473" s="491" t="n"/>
      <c r="J473" s="491" t="n"/>
      <c r="K473" s="491" t="n"/>
      <c r="L473" s="491" t="n"/>
      <c r="M473" s="491" t="n"/>
      <c r="N473" s="491" t="n"/>
      <c r="O473" s="491" t="n"/>
      <c r="P473" s="491" t="n"/>
      <c r="Q473" s="491" t="n"/>
      <c r="R473" s="491" t="n"/>
      <c r="S473" s="491" t="n"/>
      <c r="T473" s="491" t="n"/>
      <c r="U473" s="491" t="n"/>
      <c r="V473" s="491" t="n"/>
      <c r="W473" s="491" t="n"/>
      <c r="X473" s="491" t="n"/>
      <c r="Y473" s="491" t="n"/>
    </row>
    <row r="474" ht="12.75" customHeight="1" s="398">
      <c r="A474" s="491" t="n"/>
      <c r="B474" s="491" t="n"/>
      <c r="C474" s="491" t="n"/>
      <c r="D474" s="491" t="n"/>
      <c r="E474" s="491" t="n"/>
      <c r="F474" s="491" t="n"/>
      <c r="G474" s="491" t="n"/>
      <c r="H474" s="491" t="n"/>
      <c r="I474" s="491" t="n"/>
      <c r="J474" s="491" t="n"/>
      <c r="K474" s="491" t="n"/>
      <c r="L474" s="491" t="n"/>
      <c r="M474" s="491" t="n"/>
      <c r="N474" s="491" t="n"/>
      <c r="O474" s="491" t="n"/>
      <c r="P474" s="491" t="n"/>
      <c r="Q474" s="491" t="n"/>
      <c r="R474" s="491" t="n"/>
      <c r="S474" s="491" t="n"/>
      <c r="T474" s="491" t="n"/>
      <c r="U474" s="491" t="n"/>
      <c r="V474" s="491" t="n"/>
      <c r="W474" s="491" t="n"/>
      <c r="X474" s="491" t="n"/>
      <c r="Y474" s="491" t="n"/>
    </row>
    <row r="475" ht="12.75" customHeight="1" s="398">
      <c r="A475" s="491" t="n"/>
      <c r="B475" s="491" t="n"/>
      <c r="C475" s="491" t="n"/>
      <c r="D475" s="491" t="n"/>
      <c r="E475" s="491" t="n"/>
      <c r="F475" s="491" t="n"/>
      <c r="G475" s="491" t="n"/>
      <c r="H475" s="491" t="n"/>
      <c r="I475" s="491" t="n"/>
      <c r="J475" s="491" t="n"/>
      <c r="K475" s="491" t="n"/>
      <c r="L475" s="491" t="n"/>
      <c r="M475" s="491" t="n"/>
      <c r="N475" s="491" t="n"/>
      <c r="O475" s="491" t="n"/>
      <c r="P475" s="491" t="n"/>
      <c r="Q475" s="491" t="n"/>
      <c r="R475" s="491" t="n"/>
      <c r="S475" s="491" t="n"/>
      <c r="T475" s="491" t="n"/>
      <c r="U475" s="491" t="n"/>
      <c r="V475" s="491" t="n"/>
      <c r="W475" s="491" t="n"/>
      <c r="X475" s="491" t="n"/>
      <c r="Y475" s="491" t="n"/>
    </row>
    <row r="476" ht="12.75" customHeight="1" s="398">
      <c r="A476" s="491" t="n"/>
      <c r="B476" s="491" t="n"/>
      <c r="C476" s="491" t="n"/>
      <c r="D476" s="491" t="n"/>
      <c r="E476" s="491" t="n"/>
      <c r="F476" s="491" t="n"/>
      <c r="G476" s="491" t="n"/>
      <c r="H476" s="491" t="n"/>
      <c r="I476" s="491" t="n"/>
      <c r="J476" s="491" t="n"/>
      <c r="K476" s="491" t="n"/>
      <c r="L476" s="491" t="n"/>
      <c r="M476" s="491" t="n"/>
      <c r="N476" s="491" t="n"/>
      <c r="O476" s="491" t="n"/>
      <c r="P476" s="491" t="n"/>
      <c r="Q476" s="491" t="n"/>
      <c r="R476" s="491" t="n"/>
      <c r="S476" s="491" t="n"/>
      <c r="T476" s="491" t="n"/>
      <c r="U476" s="491" t="n"/>
      <c r="V476" s="491" t="n"/>
      <c r="W476" s="491" t="n"/>
      <c r="X476" s="491" t="n"/>
      <c r="Y476" s="491" t="n"/>
    </row>
    <row r="477" ht="12.75" customHeight="1" s="398">
      <c r="A477" s="491" t="n"/>
      <c r="B477" s="491" t="n"/>
      <c r="C477" s="491" t="n"/>
      <c r="D477" s="491" t="n"/>
      <c r="E477" s="491" t="n"/>
      <c r="F477" s="491" t="n"/>
      <c r="G477" s="491" t="n"/>
      <c r="H477" s="491" t="n"/>
      <c r="I477" s="491" t="n"/>
      <c r="J477" s="491" t="n"/>
      <c r="K477" s="491" t="n"/>
      <c r="L477" s="491" t="n"/>
      <c r="M477" s="491" t="n"/>
      <c r="N477" s="491" t="n"/>
      <c r="O477" s="491" t="n"/>
      <c r="P477" s="491" t="n"/>
      <c r="Q477" s="491" t="n"/>
      <c r="R477" s="491" t="n"/>
      <c r="S477" s="491" t="n"/>
      <c r="T477" s="491" t="n"/>
      <c r="U477" s="491" t="n"/>
      <c r="V477" s="491" t="n"/>
      <c r="W477" s="491" t="n"/>
      <c r="X477" s="491" t="n"/>
      <c r="Y477" s="491" t="n"/>
    </row>
    <row r="478" ht="12.75" customHeight="1" s="398">
      <c r="A478" s="491" t="n"/>
      <c r="B478" s="491" t="n"/>
      <c r="C478" s="491" t="n"/>
      <c r="D478" s="491" t="n"/>
      <c r="E478" s="491" t="n"/>
      <c r="F478" s="491" t="n"/>
      <c r="G478" s="491" t="n"/>
      <c r="H478" s="491" t="n"/>
      <c r="I478" s="491" t="n"/>
      <c r="J478" s="491" t="n"/>
      <c r="K478" s="491" t="n"/>
      <c r="L478" s="491" t="n"/>
      <c r="M478" s="491" t="n"/>
      <c r="N478" s="491" t="n"/>
      <c r="O478" s="491" t="n"/>
      <c r="P478" s="491" t="n"/>
      <c r="Q478" s="491" t="n"/>
      <c r="R478" s="491" t="n"/>
      <c r="S478" s="491" t="n"/>
      <c r="T478" s="491" t="n"/>
      <c r="U478" s="491" t="n"/>
      <c r="V478" s="491" t="n"/>
      <c r="W478" s="491" t="n"/>
      <c r="X478" s="491" t="n"/>
      <c r="Y478" s="491" t="n"/>
    </row>
    <row r="479" ht="12.75" customHeight="1" s="398">
      <c r="A479" s="491" t="n"/>
      <c r="B479" s="491" t="n"/>
      <c r="C479" s="491" t="n"/>
      <c r="D479" s="491" t="n"/>
      <c r="E479" s="491" t="n"/>
      <c r="F479" s="491" t="n"/>
      <c r="G479" s="491" t="n"/>
      <c r="H479" s="491" t="n"/>
      <c r="I479" s="491" t="n"/>
      <c r="J479" s="491" t="n"/>
      <c r="K479" s="491" t="n"/>
      <c r="L479" s="491" t="n"/>
      <c r="M479" s="491" t="n"/>
      <c r="N479" s="491" t="n"/>
      <c r="O479" s="491" t="n"/>
      <c r="P479" s="491" t="n"/>
      <c r="Q479" s="491" t="n"/>
      <c r="R479" s="491" t="n"/>
      <c r="S479" s="491" t="n"/>
      <c r="T479" s="491" t="n"/>
      <c r="U479" s="491" t="n"/>
      <c r="V479" s="491" t="n"/>
      <c r="W479" s="491" t="n"/>
      <c r="X479" s="491" t="n"/>
      <c r="Y479" s="491" t="n"/>
    </row>
    <row r="480" ht="12.75" customHeight="1" s="398">
      <c r="A480" s="491" t="n"/>
      <c r="B480" s="491" t="n"/>
      <c r="C480" s="491" t="n"/>
      <c r="D480" s="491" t="n"/>
      <c r="E480" s="491" t="n"/>
      <c r="F480" s="491" t="n"/>
      <c r="G480" s="491" t="n"/>
      <c r="H480" s="491" t="n"/>
      <c r="I480" s="491" t="n"/>
      <c r="J480" s="491" t="n"/>
      <c r="K480" s="491" t="n"/>
      <c r="L480" s="491" t="n"/>
      <c r="M480" s="491" t="n"/>
      <c r="N480" s="491" t="n"/>
      <c r="O480" s="491" t="n"/>
      <c r="P480" s="491" t="n"/>
      <c r="Q480" s="491" t="n"/>
      <c r="R480" s="491" t="n"/>
      <c r="S480" s="491" t="n"/>
      <c r="T480" s="491" t="n"/>
      <c r="U480" s="491" t="n"/>
      <c r="V480" s="491" t="n"/>
      <c r="W480" s="491" t="n"/>
      <c r="X480" s="491" t="n"/>
      <c r="Y480" s="491" t="n"/>
    </row>
    <row r="481" ht="12.75" customHeight="1" s="398">
      <c r="A481" s="491" t="n"/>
      <c r="B481" s="491" t="n"/>
      <c r="C481" s="491" t="n"/>
      <c r="D481" s="491" t="n"/>
      <c r="E481" s="491" t="n"/>
      <c r="F481" s="491" t="n"/>
      <c r="G481" s="491" t="n"/>
      <c r="H481" s="491" t="n"/>
      <c r="I481" s="491" t="n"/>
      <c r="J481" s="491" t="n"/>
      <c r="K481" s="491" t="n"/>
      <c r="L481" s="491" t="n"/>
      <c r="M481" s="491" t="n"/>
      <c r="N481" s="491" t="n"/>
      <c r="O481" s="491" t="n"/>
      <c r="P481" s="491" t="n"/>
      <c r="Q481" s="491" t="n"/>
      <c r="R481" s="491" t="n"/>
      <c r="S481" s="491" t="n"/>
      <c r="T481" s="491" t="n"/>
      <c r="U481" s="491" t="n"/>
      <c r="V481" s="491" t="n"/>
      <c r="W481" s="491" t="n"/>
      <c r="X481" s="491" t="n"/>
      <c r="Y481" s="491" t="n"/>
    </row>
    <row r="482" ht="12.75" customHeight="1" s="398">
      <c r="A482" s="491" t="n"/>
      <c r="B482" s="491" t="n"/>
      <c r="C482" s="491" t="n"/>
      <c r="D482" s="491" t="n"/>
      <c r="E482" s="491" t="n"/>
      <c r="F482" s="491" t="n"/>
      <c r="G482" s="491" t="n"/>
      <c r="H482" s="491" t="n"/>
      <c r="I482" s="491" t="n"/>
      <c r="J482" s="491" t="n"/>
      <c r="K482" s="491" t="n"/>
      <c r="L482" s="491" t="n"/>
      <c r="M482" s="491" t="n"/>
      <c r="N482" s="491" t="n"/>
      <c r="O482" s="491" t="n"/>
      <c r="P482" s="491" t="n"/>
      <c r="Q482" s="491" t="n"/>
      <c r="R482" s="491" t="n"/>
      <c r="S482" s="491" t="n"/>
      <c r="T482" s="491" t="n"/>
      <c r="U482" s="491" t="n"/>
      <c r="V482" s="491" t="n"/>
      <c r="W482" s="491" t="n"/>
      <c r="X482" s="491" t="n"/>
      <c r="Y482" s="491" t="n"/>
    </row>
    <row r="483" ht="12.75" customHeight="1" s="398">
      <c r="A483" s="491" t="n"/>
      <c r="B483" s="491" t="n"/>
      <c r="C483" s="491" t="n"/>
      <c r="D483" s="491" t="n"/>
      <c r="E483" s="491" t="n"/>
      <c r="F483" s="491" t="n"/>
      <c r="G483" s="491" t="n"/>
      <c r="H483" s="491" t="n"/>
      <c r="I483" s="491" t="n"/>
      <c r="J483" s="491" t="n"/>
      <c r="K483" s="491" t="n"/>
      <c r="L483" s="491" t="n"/>
      <c r="M483" s="491" t="n"/>
      <c r="N483" s="491" t="n"/>
      <c r="O483" s="491" t="n"/>
      <c r="P483" s="491" t="n"/>
      <c r="Q483" s="491" t="n"/>
      <c r="R483" s="491" t="n"/>
      <c r="S483" s="491" t="n"/>
      <c r="T483" s="491" t="n"/>
      <c r="U483" s="491" t="n"/>
      <c r="V483" s="491" t="n"/>
      <c r="W483" s="491" t="n"/>
      <c r="X483" s="491" t="n"/>
      <c r="Y483" s="491" t="n"/>
    </row>
    <row r="484" ht="12.75" customHeight="1" s="398">
      <c r="A484" s="491" t="n"/>
      <c r="B484" s="491" t="n"/>
      <c r="C484" s="491" t="n"/>
      <c r="D484" s="491" t="n"/>
      <c r="E484" s="491" t="n"/>
      <c r="F484" s="491" t="n"/>
      <c r="G484" s="491" t="n"/>
      <c r="H484" s="491" t="n"/>
      <c r="I484" s="491" t="n"/>
      <c r="J484" s="491" t="n"/>
      <c r="K484" s="491" t="n"/>
      <c r="L484" s="491" t="n"/>
      <c r="M484" s="491" t="n"/>
      <c r="N484" s="491" t="n"/>
      <c r="O484" s="491" t="n"/>
      <c r="P484" s="491" t="n"/>
      <c r="Q484" s="491" t="n"/>
      <c r="R484" s="491" t="n"/>
      <c r="S484" s="491" t="n"/>
      <c r="T484" s="491" t="n"/>
      <c r="U484" s="491" t="n"/>
      <c r="V484" s="491" t="n"/>
      <c r="W484" s="491" t="n"/>
      <c r="X484" s="491" t="n"/>
      <c r="Y484" s="491" t="n"/>
    </row>
    <row r="485" ht="12.75" customHeight="1" s="398">
      <c r="A485" s="491" t="n"/>
      <c r="B485" s="491" t="n"/>
      <c r="C485" s="491" t="n"/>
      <c r="D485" s="491" t="n"/>
      <c r="E485" s="491" t="n"/>
      <c r="F485" s="491" t="n"/>
      <c r="G485" s="491" t="n"/>
      <c r="H485" s="491" t="n"/>
      <c r="I485" s="491" t="n"/>
      <c r="J485" s="491" t="n"/>
      <c r="K485" s="491" t="n"/>
      <c r="L485" s="491" t="n"/>
      <c r="M485" s="491" t="n"/>
      <c r="N485" s="491" t="n"/>
      <c r="O485" s="491" t="n"/>
      <c r="P485" s="491" t="n"/>
      <c r="Q485" s="491" t="n"/>
      <c r="R485" s="491" t="n"/>
      <c r="S485" s="491" t="n"/>
      <c r="T485" s="491" t="n"/>
      <c r="U485" s="491" t="n"/>
      <c r="V485" s="491" t="n"/>
      <c r="W485" s="491" t="n"/>
      <c r="X485" s="491" t="n"/>
      <c r="Y485" s="491" t="n"/>
    </row>
    <row r="486" ht="12.75" customHeight="1" s="398">
      <c r="A486" s="491" t="n"/>
      <c r="B486" s="491" t="n"/>
      <c r="C486" s="491" t="n"/>
      <c r="D486" s="491" t="n"/>
      <c r="E486" s="491" t="n"/>
      <c r="F486" s="491" t="n"/>
      <c r="G486" s="491" t="n"/>
      <c r="H486" s="491" t="n"/>
      <c r="I486" s="491" t="n"/>
      <c r="J486" s="491" t="n"/>
      <c r="K486" s="491" t="n"/>
      <c r="L486" s="491" t="n"/>
      <c r="M486" s="491" t="n"/>
      <c r="N486" s="491" t="n"/>
      <c r="O486" s="491" t="n"/>
      <c r="P486" s="491" t="n"/>
      <c r="Q486" s="491" t="n"/>
      <c r="R486" s="491" t="n"/>
      <c r="S486" s="491" t="n"/>
      <c r="T486" s="491" t="n"/>
      <c r="U486" s="491" t="n"/>
      <c r="V486" s="491" t="n"/>
      <c r="W486" s="491" t="n"/>
      <c r="X486" s="491" t="n"/>
      <c r="Y486" s="491" t="n"/>
    </row>
    <row r="487" ht="12.75" customHeight="1" s="398">
      <c r="A487" s="491" t="n"/>
      <c r="B487" s="491" t="n"/>
      <c r="C487" s="491" t="n"/>
      <c r="D487" s="491" t="n"/>
      <c r="E487" s="491" t="n"/>
      <c r="F487" s="491" t="n"/>
      <c r="G487" s="491" t="n"/>
      <c r="H487" s="491" t="n"/>
      <c r="I487" s="491" t="n"/>
      <c r="J487" s="491" t="n"/>
      <c r="K487" s="491" t="n"/>
      <c r="L487" s="491" t="n"/>
      <c r="M487" s="491" t="n"/>
      <c r="N487" s="491" t="n"/>
      <c r="O487" s="491" t="n"/>
      <c r="P487" s="491" t="n"/>
      <c r="Q487" s="491" t="n"/>
      <c r="R487" s="491" t="n"/>
      <c r="S487" s="491" t="n"/>
      <c r="T487" s="491" t="n"/>
      <c r="U487" s="491" t="n"/>
      <c r="V487" s="491" t="n"/>
      <c r="W487" s="491" t="n"/>
      <c r="X487" s="491" t="n"/>
      <c r="Y487" s="491" t="n"/>
    </row>
    <row r="488" ht="12.75" customHeight="1" s="398">
      <c r="A488" s="491" t="n"/>
      <c r="B488" s="491" t="n"/>
      <c r="C488" s="491" t="n"/>
      <c r="D488" s="491" t="n"/>
      <c r="E488" s="491" t="n"/>
      <c r="F488" s="491" t="n"/>
      <c r="G488" s="491" t="n"/>
      <c r="H488" s="491" t="n"/>
      <c r="I488" s="491" t="n"/>
      <c r="J488" s="491" t="n"/>
      <c r="K488" s="491" t="n"/>
      <c r="L488" s="491" t="n"/>
      <c r="M488" s="491" t="n"/>
      <c r="N488" s="491" t="n"/>
      <c r="O488" s="491" t="n"/>
      <c r="P488" s="491" t="n"/>
      <c r="Q488" s="491" t="n"/>
      <c r="R488" s="491" t="n"/>
      <c r="S488" s="491" t="n"/>
      <c r="T488" s="491" t="n"/>
      <c r="U488" s="491" t="n"/>
      <c r="V488" s="491" t="n"/>
      <c r="W488" s="491" t="n"/>
      <c r="X488" s="491" t="n"/>
      <c r="Y488" s="491" t="n"/>
    </row>
    <row r="489" ht="12.75" customHeight="1" s="398">
      <c r="A489" s="491" t="n"/>
      <c r="B489" s="491" t="n"/>
      <c r="C489" s="491" t="n"/>
      <c r="D489" s="491" t="n"/>
      <c r="E489" s="491" t="n"/>
      <c r="F489" s="491" t="n"/>
      <c r="G489" s="491" t="n"/>
      <c r="H489" s="491" t="n"/>
      <c r="I489" s="491" t="n"/>
      <c r="J489" s="491" t="n"/>
      <c r="K489" s="491" t="n"/>
      <c r="L489" s="491" t="n"/>
      <c r="M489" s="491" t="n"/>
      <c r="N489" s="491" t="n"/>
      <c r="O489" s="491" t="n"/>
      <c r="P489" s="491" t="n"/>
      <c r="Q489" s="491" t="n"/>
      <c r="R489" s="491" t="n"/>
      <c r="S489" s="491" t="n"/>
      <c r="T489" s="491" t="n"/>
      <c r="U489" s="491" t="n"/>
      <c r="V489" s="491" t="n"/>
      <c r="W489" s="491" t="n"/>
      <c r="X489" s="491" t="n"/>
      <c r="Y489" s="491" t="n"/>
    </row>
    <row r="490" ht="12.75" customHeight="1" s="398">
      <c r="A490" s="491" t="n"/>
      <c r="B490" s="491" t="n"/>
      <c r="C490" s="491" t="n"/>
      <c r="D490" s="491" t="n"/>
      <c r="E490" s="491" t="n"/>
      <c r="F490" s="491" t="n"/>
      <c r="G490" s="491" t="n"/>
      <c r="H490" s="491" t="n"/>
      <c r="I490" s="491" t="n"/>
      <c r="J490" s="491" t="n"/>
      <c r="K490" s="491" t="n"/>
      <c r="L490" s="491" t="n"/>
      <c r="M490" s="491" t="n"/>
      <c r="N490" s="491" t="n"/>
      <c r="O490" s="491" t="n"/>
      <c r="P490" s="491" t="n"/>
      <c r="Q490" s="491" t="n"/>
      <c r="R490" s="491" t="n"/>
      <c r="S490" s="491" t="n"/>
      <c r="T490" s="491" t="n"/>
      <c r="U490" s="491" t="n"/>
      <c r="V490" s="491" t="n"/>
      <c r="W490" s="491" t="n"/>
      <c r="X490" s="491" t="n"/>
      <c r="Y490" s="491" t="n"/>
    </row>
    <row r="491" ht="12.75" customHeight="1" s="398">
      <c r="A491" s="491" t="n"/>
      <c r="B491" s="491" t="n"/>
      <c r="C491" s="491" t="n"/>
      <c r="D491" s="491" t="n"/>
      <c r="E491" s="491" t="n"/>
      <c r="F491" s="491" t="n"/>
      <c r="G491" s="491" t="n"/>
      <c r="H491" s="491" t="n"/>
      <c r="I491" s="491" t="n"/>
      <c r="J491" s="491" t="n"/>
      <c r="K491" s="491" t="n"/>
      <c r="L491" s="491" t="n"/>
      <c r="M491" s="491" t="n"/>
      <c r="N491" s="491" t="n"/>
      <c r="O491" s="491" t="n"/>
      <c r="P491" s="491" t="n"/>
      <c r="Q491" s="491" t="n"/>
      <c r="R491" s="491" t="n"/>
      <c r="S491" s="491" t="n"/>
      <c r="T491" s="491" t="n"/>
      <c r="U491" s="491" t="n"/>
      <c r="V491" s="491" t="n"/>
      <c r="W491" s="491" t="n"/>
      <c r="X491" s="491" t="n"/>
      <c r="Y491" s="491" t="n"/>
    </row>
    <row r="492" ht="12.75" customHeight="1" s="398">
      <c r="A492" s="491" t="n"/>
      <c r="B492" s="491" t="n"/>
      <c r="C492" s="491" t="n"/>
      <c r="D492" s="491" t="n"/>
      <c r="E492" s="491" t="n"/>
      <c r="F492" s="491" t="n"/>
      <c r="G492" s="491" t="n"/>
      <c r="H492" s="491" t="n"/>
      <c r="I492" s="491" t="n"/>
      <c r="J492" s="491" t="n"/>
      <c r="K492" s="491" t="n"/>
      <c r="L492" s="491" t="n"/>
      <c r="M492" s="491" t="n"/>
      <c r="N492" s="491" t="n"/>
      <c r="O492" s="491" t="n"/>
      <c r="P492" s="491" t="n"/>
      <c r="Q492" s="491" t="n"/>
      <c r="R492" s="491" t="n"/>
      <c r="S492" s="491" t="n"/>
      <c r="T492" s="491" t="n"/>
      <c r="U492" s="491" t="n"/>
      <c r="V492" s="491" t="n"/>
      <c r="W492" s="491" t="n"/>
      <c r="X492" s="491" t="n"/>
      <c r="Y492" s="491" t="n"/>
    </row>
    <row r="493" ht="12.75" customHeight="1" s="398">
      <c r="A493" s="491" t="n"/>
      <c r="B493" s="491" t="n"/>
      <c r="C493" s="491" t="n"/>
      <c r="D493" s="491" t="n"/>
      <c r="E493" s="491" t="n"/>
      <c r="F493" s="491" t="n"/>
      <c r="G493" s="491" t="n"/>
      <c r="H493" s="491" t="n"/>
      <c r="I493" s="491" t="n"/>
      <c r="J493" s="491" t="n"/>
      <c r="K493" s="491" t="n"/>
      <c r="L493" s="491" t="n"/>
      <c r="M493" s="491" t="n"/>
      <c r="N493" s="491" t="n"/>
      <c r="O493" s="491" t="n"/>
      <c r="P493" s="491" t="n"/>
      <c r="Q493" s="491" t="n"/>
      <c r="R493" s="491" t="n"/>
      <c r="S493" s="491" t="n"/>
      <c r="T493" s="491" t="n"/>
      <c r="U493" s="491" t="n"/>
      <c r="V493" s="491" t="n"/>
      <c r="W493" s="491" t="n"/>
      <c r="X493" s="491" t="n"/>
      <c r="Y493" s="491" t="n"/>
    </row>
    <row r="494" ht="12.75" customHeight="1" s="398">
      <c r="A494" s="491" t="n"/>
      <c r="B494" s="491" t="n"/>
      <c r="C494" s="491" t="n"/>
      <c r="D494" s="491" t="n"/>
      <c r="E494" s="491" t="n"/>
      <c r="F494" s="491" t="n"/>
      <c r="G494" s="491" t="n"/>
      <c r="H494" s="491" t="n"/>
      <c r="I494" s="491" t="n"/>
      <c r="J494" s="491" t="n"/>
      <c r="K494" s="491" t="n"/>
      <c r="L494" s="491" t="n"/>
      <c r="M494" s="491" t="n"/>
      <c r="N494" s="491" t="n"/>
      <c r="O494" s="491" t="n"/>
      <c r="P494" s="491" t="n"/>
      <c r="Q494" s="491" t="n"/>
      <c r="R494" s="491" t="n"/>
      <c r="S494" s="491" t="n"/>
      <c r="T494" s="491" t="n"/>
      <c r="U494" s="491" t="n"/>
      <c r="V494" s="491" t="n"/>
      <c r="W494" s="491" t="n"/>
      <c r="X494" s="491" t="n"/>
      <c r="Y494" s="491" t="n"/>
    </row>
    <row r="495" ht="12.75" customHeight="1" s="398">
      <c r="A495" s="491" t="n"/>
      <c r="B495" s="491" t="n"/>
      <c r="C495" s="491" t="n"/>
      <c r="D495" s="491" t="n"/>
      <c r="E495" s="491" t="n"/>
      <c r="F495" s="491" t="n"/>
      <c r="G495" s="491" t="n"/>
      <c r="H495" s="491" t="n"/>
      <c r="I495" s="491" t="n"/>
      <c r="J495" s="491" t="n"/>
      <c r="K495" s="491" t="n"/>
      <c r="L495" s="491" t="n"/>
      <c r="M495" s="491" t="n"/>
      <c r="N495" s="491" t="n"/>
      <c r="O495" s="491" t="n"/>
      <c r="P495" s="491" t="n"/>
      <c r="Q495" s="491" t="n"/>
      <c r="R495" s="491" t="n"/>
      <c r="S495" s="491" t="n"/>
      <c r="T495" s="491" t="n"/>
      <c r="U495" s="491" t="n"/>
      <c r="V495" s="491" t="n"/>
      <c r="W495" s="491" t="n"/>
      <c r="X495" s="491" t="n"/>
      <c r="Y495" s="491" t="n"/>
    </row>
    <row r="496" ht="12.75" customHeight="1" s="398">
      <c r="A496" s="491" t="n"/>
      <c r="B496" s="491" t="n"/>
      <c r="C496" s="491" t="n"/>
      <c r="D496" s="491" t="n"/>
      <c r="E496" s="491" t="n"/>
      <c r="F496" s="491" t="n"/>
      <c r="G496" s="491" t="n"/>
      <c r="H496" s="491" t="n"/>
      <c r="I496" s="491" t="n"/>
      <c r="J496" s="491" t="n"/>
      <c r="K496" s="491" t="n"/>
      <c r="L496" s="491" t="n"/>
      <c r="M496" s="491" t="n"/>
      <c r="N496" s="491" t="n"/>
      <c r="O496" s="491" t="n"/>
      <c r="P496" s="491" t="n"/>
      <c r="Q496" s="491" t="n"/>
      <c r="R496" s="491" t="n"/>
      <c r="S496" s="491" t="n"/>
      <c r="T496" s="491" t="n"/>
      <c r="U496" s="491" t="n"/>
      <c r="V496" s="491" t="n"/>
      <c r="W496" s="491" t="n"/>
      <c r="X496" s="491" t="n"/>
      <c r="Y496" s="491" t="n"/>
    </row>
    <row r="497" ht="12.75" customHeight="1" s="398">
      <c r="A497" s="491" t="n"/>
      <c r="B497" s="491" t="n"/>
      <c r="C497" s="491" t="n"/>
      <c r="D497" s="491" t="n"/>
      <c r="E497" s="491" t="n"/>
      <c r="F497" s="491" t="n"/>
      <c r="G497" s="491" t="n"/>
      <c r="H497" s="491" t="n"/>
      <c r="I497" s="491" t="n"/>
      <c r="J497" s="491" t="n"/>
      <c r="K497" s="491" t="n"/>
      <c r="L497" s="491" t="n"/>
      <c r="M497" s="491" t="n"/>
      <c r="N497" s="491" t="n"/>
      <c r="O497" s="491" t="n"/>
      <c r="P497" s="491" t="n"/>
      <c r="Q497" s="491" t="n"/>
      <c r="R497" s="491" t="n"/>
      <c r="S497" s="491" t="n"/>
      <c r="T497" s="491" t="n"/>
      <c r="U497" s="491" t="n"/>
      <c r="V497" s="491" t="n"/>
      <c r="W497" s="491" t="n"/>
      <c r="X497" s="491" t="n"/>
      <c r="Y497" s="491" t="n"/>
    </row>
    <row r="498" ht="12.75" customHeight="1" s="398">
      <c r="A498" s="491" t="n"/>
      <c r="B498" s="491" t="n"/>
      <c r="C498" s="491" t="n"/>
      <c r="D498" s="491" t="n"/>
      <c r="E498" s="491" t="n"/>
      <c r="F498" s="491" t="n"/>
      <c r="G498" s="491" t="n"/>
      <c r="H498" s="491" t="n"/>
      <c r="I498" s="491" t="n"/>
      <c r="J498" s="491" t="n"/>
      <c r="K498" s="491" t="n"/>
      <c r="L498" s="491" t="n"/>
      <c r="M498" s="491" t="n"/>
      <c r="N498" s="491" t="n"/>
      <c r="O498" s="491" t="n"/>
      <c r="P498" s="491" t="n"/>
      <c r="Q498" s="491" t="n"/>
      <c r="R498" s="491" t="n"/>
      <c r="S498" s="491" t="n"/>
      <c r="T498" s="491" t="n"/>
      <c r="U498" s="491" t="n"/>
      <c r="V498" s="491" t="n"/>
      <c r="W498" s="491" t="n"/>
      <c r="X498" s="491" t="n"/>
      <c r="Y498" s="491" t="n"/>
    </row>
    <row r="499" ht="12.75" customHeight="1" s="398">
      <c r="A499" s="491" t="n"/>
      <c r="B499" s="491" t="n"/>
      <c r="C499" s="491" t="n"/>
      <c r="D499" s="491" t="n"/>
      <c r="E499" s="491" t="n"/>
      <c r="F499" s="491" t="n"/>
      <c r="G499" s="491" t="n"/>
      <c r="H499" s="491" t="n"/>
      <c r="I499" s="491" t="n"/>
      <c r="J499" s="491" t="n"/>
      <c r="K499" s="491" t="n"/>
      <c r="L499" s="491" t="n"/>
      <c r="M499" s="491" t="n"/>
      <c r="N499" s="491" t="n"/>
      <c r="O499" s="491" t="n"/>
      <c r="P499" s="491" t="n"/>
      <c r="Q499" s="491" t="n"/>
      <c r="R499" s="491" t="n"/>
      <c r="S499" s="491" t="n"/>
      <c r="T499" s="491" t="n"/>
      <c r="U499" s="491" t="n"/>
      <c r="V499" s="491" t="n"/>
      <c r="W499" s="491" t="n"/>
      <c r="X499" s="491" t="n"/>
      <c r="Y499" s="491" t="n"/>
    </row>
    <row r="500" ht="12.75" customHeight="1" s="398">
      <c r="A500" s="491" t="n"/>
      <c r="B500" s="491" t="n"/>
      <c r="C500" s="491" t="n"/>
      <c r="D500" s="491" t="n"/>
      <c r="E500" s="491" t="n"/>
      <c r="F500" s="491" t="n"/>
      <c r="G500" s="491" t="n"/>
      <c r="H500" s="491" t="n"/>
      <c r="I500" s="491" t="n"/>
      <c r="J500" s="491" t="n"/>
      <c r="K500" s="491" t="n"/>
      <c r="L500" s="491" t="n"/>
      <c r="M500" s="491" t="n"/>
      <c r="N500" s="491" t="n"/>
      <c r="O500" s="491" t="n"/>
      <c r="P500" s="491" t="n"/>
      <c r="Q500" s="491" t="n"/>
      <c r="R500" s="491" t="n"/>
      <c r="S500" s="491" t="n"/>
      <c r="T500" s="491" t="n"/>
      <c r="U500" s="491" t="n"/>
      <c r="V500" s="491" t="n"/>
      <c r="W500" s="491" t="n"/>
      <c r="X500" s="491" t="n"/>
      <c r="Y500" s="491" t="n"/>
    </row>
    <row r="501" ht="12.75" customHeight="1" s="398">
      <c r="A501" s="491" t="n"/>
      <c r="B501" s="491" t="n"/>
      <c r="C501" s="491" t="n"/>
      <c r="D501" s="491" t="n"/>
      <c r="E501" s="491" t="n"/>
      <c r="F501" s="491" t="n"/>
      <c r="G501" s="491" t="n"/>
      <c r="H501" s="491" t="n"/>
      <c r="I501" s="491" t="n"/>
      <c r="J501" s="491" t="n"/>
      <c r="K501" s="491" t="n"/>
      <c r="L501" s="491" t="n"/>
      <c r="M501" s="491" t="n"/>
      <c r="N501" s="491" t="n"/>
      <c r="O501" s="491" t="n"/>
      <c r="P501" s="491" t="n"/>
      <c r="Q501" s="491" t="n"/>
      <c r="R501" s="491" t="n"/>
      <c r="S501" s="491" t="n"/>
      <c r="T501" s="491" t="n"/>
      <c r="U501" s="491" t="n"/>
      <c r="V501" s="491" t="n"/>
      <c r="W501" s="491" t="n"/>
      <c r="X501" s="491" t="n"/>
      <c r="Y501" s="491" t="n"/>
    </row>
    <row r="502" ht="12.75" customHeight="1" s="398">
      <c r="A502" s="491" t="n"/>
      <c r="B502" s="491" t="n"/>
      <c r="C502" s="491" t="n"/>
      <c r="D502" s="491" t="n"/>
      <c r="E502" s="491" t="n"/>
      <c r="F502" s="491" t="n"/>
      <c r="G502" s="491" t="n"/>
      <c r="H502" s="491" t="n"/>
      <c r="I502" s="491" t="n"/>
      <c r="J502" s="491" t="n"/>
      <c r="K502" s="491" t="n"/>
      <c r="L502" s="491" t="n"/>
      <c r="M502" s="491" t="n"/>
      <c r="N502" s="491" t="n"/>
      <c r="O502" s="491" t="n"/>
      <c r="P502" s="491" t="n"/>
      <c r="Q502" s="491" t="n"/>
      <c r="R502" s="491" t="n"/>
      <c r="S502" s="491" t="n"/>
      <c r="T502" s="491" t="n"/>
      <c r="U502" s="491" t="n"/>
      <c r="V502" s="491" t="n"/>
      <c r="W502" s="491" t="n"/>
      <c r="X502" s="491" t="n"/>
      <c r="Y502" s="491" t="n"/>
    </row>
    <row r="503" ht="12.75" customHeight="1" s="398">
      <c r="A503" s="491" t="n"/>
      <c r="B503" s="491" t="n"/>
      <c r="C503" s="491" t="n"/>
      <c r="D503" s="491" t="n"/>
      <c r="E503" s="491" t="n"/>
      <c r="F503" s="491" t="n"/>
      <c r="G503" s="491" t="n"/>
      <c r="H503" s="491" t="n"/>
      <c r="I503" s="491" t="n"/>
      <c r="J503" s="491" t="n"/>
      <c r="K503" s="491" t="n"/>
      <c r="L503" s="491" t="n"/>
      <c r="M503" s="491" t="n"/>
      <c r="N503" s="491" t="n"/>
      <c r="O503" s="491" t="n"/>
      <c r="P503" s="491" t="n"/>
      <c r="Q503" s="491" t="n"/>
      <c r="R503" s="491" t="n"/>
      <c r="S503" s="491" t="n"/>
      <c r="T503" s="491" t="n"/>
      <c r="U503" s="491" t="n"/>
      <c r="V503" s="491" t="n"/>
      <c r="W503" s="491" t="n"/>
      <c r="X503" s="491" t="n"/>
      <c r="Y503" s="491" t="n"/>
    </row>
    <row r="504" ht="12.75" customHeight="1" s="398">
      <c r="A504" s="491" t="n"/>
      <c r="B504" s="491" t="n"/>
      <c r="C504" s="491" t="n"/>
      <c r="D504" s="491" t="n"/>
      <c r="E504" s="491" t="n"/>
      <c r="F504" s="491" t="n"/>
      <c r="G504" s="491" t="n"/>
      <c r="H504" s="491" t="n"/>
      <c r="I504" s="491" t="n"/>
      <c r="J504" s="491" t="n"/>
      <c r="K504" s="491" t="n"/>
      <c r="L504" s="491" t="n"/>
      <c r="M504" s="491" t="n"/>
      <c r="N504" s="491" t="n"/>
      <c r="O504" s="491" t="n"/>
      <c r="P504" s="491" t="n"/>
      <c r="Q504" s="491" t="n"/>
      <c r="R504" s="491" t="n"/>
      <c r="S504" s="491" t="n"/>
      <c r="T504" s="491" t="n"/>
      <c r="U504" s="491" t="n"/>
      <c r="V504" s="491" t="n"/>
      <c r="W504" s="491" t="n"/>
      <c r="X504" s="491" t="n"/>
      <c r="Y504" s="491" t="n"/>
    </row>
    <row r="505" ht="12.75" customHeight="1" s="398">
      <c r="A505" s="491" t="n"/>
      <c r="B505" s="491" t="n"/>
      <c r="C505" s="491" t="n"/>
      <c r="D505" s="491" t="n"/>
      <c r="E505" s="491" t="n"/>
      <c r="F505" s="491" t="n"/>
      <c r="G505" s="491" t="n"/>
      <c r="H505" s="491" t="n"/>
      <c r="I505" s="491" t="n"/>
      <c r="J505" s="491" t="n"/>
      <c r="K505" s="491" t="n"/>
      <c r="L505" s="491" t="n"/>
      <c r="M505" s="491" t="n"/>
      <c r="N505" s="491" t="n"/>
      <c r="O505" s="491" t="n"/>
      <c r="P505" s="491" t="n"/>
      <c r="Q505" s="491" t="n"/>
      <c r="R505" s="491" t="n"/>
      <c r="S505" s="491" t="n"/>
      <c r="T505" s="491" t="n"/>
      <c r="U505" s="491" t="n"/>
      <c r="V505" s="491" t="n"/>
      <c r="W505" s="491" t="n"/>
      <c r="X505" s="491" t="n"/>
      <c r="Y505" s="491" t="n"/>
    </row>
    <row r="506" ht="12.75" customHeight="1" s="398">
      <c r="A506" s="491" t="n"/>
      <c r="B506" s="491" t="n"/>
      <c r="C506" s="491" t="n"/>
      <c r="D506" s="491" t="n"/>
      <c r="E506" s="491" t="n"/>
      <c r="F506" s="491" t="n"/>
      <c r="G506" s="491" t="n"/>
      <c r="H506" s="491" t="n"/>
      <c r="I506" s="491" t="n"/>
      <c r="J506" s="491" t="n"/>
      <c r="K506" s="491" t="n"/>
      <c r="L506" s="491" t="n"/>
      <c r="M506" s="491" t="n"/>
      <c r="N506" s="491" t="n"/>
      <c r="O506" s="491" t="n"/>
      <c r="P506" s="491" t="n"/>
      <c r="Q506" s="491" t="n"/>
      <c r="R506" s="491" t="n"/>
      <c r="S506" s="491" t="n"/>
      <c r="T506" s="491" t="n"/>
      <c r="U506" s="491" t="n"/>
      <c r="V506" s="491" t="n"/>
      <c r="W506" s="491" t="n"/>
      <c r="X506" s="491" t="n"/>
      <c r="Y506" s="491" t="n"/>
    </row>
    <row r="507" ht="12.75" customHeight="1" s="398">
      <c r="A507" s="491" t="n"/>
      <c r="B507" s="491" t="n"/>
      <c r="C507" s="491" t="n"/>
      <c r="D507" s="491" t="n"/>
      <c r="E507" s="491" t="n"/>
      <c r="F507" s="491" t="n"/>
      <c r="G507" s="491" t="n"/>
      <c r="H507" s="491" t="n"/>
      <c r="I507" s="491" t="n"/>
      <c r="J507" s="491" t="n"/>
      <c r="K507" s="491" t="n"/>
      <c r="L507" s="491" t="n"/>
      <c r="M507" s="491" t="n"/>
      <c r="N507" s="491" t="n"/>
      <c r="O507" s="491" t="n"/>
      <c r="P507" s="491" t="n"/>
      <c r="Q507" s="491" t="n"/>
      <c r="R507" s="491" t="n"/>
      <c r="S507" s="491" t="n"/>
      <c r="T507" s="491" t="n"/>
      <c r="U507" s="491" t="n"/>
      <c r="V507" s="491" t="n"/>
      <c r="W507" s="491" t="n"/>
      <c r="X507" s="491" t="n"/>
      <c r="Y507" s="491" t="n"/>
    </row>
    <row r="508" ht="12.75" customHeight="1" s="398">
      <c r="A508" s="491" t="n"/>
      <c r="B508" s="491" t="n"/>
      <c r="C508" s="491" t="n"/>
      <c r="D508" s="491" t="n"/>
      <c r="E508" s="491" t="n"/>
      <c r="F508" s="491" t="n"/>
      <c r="G508" s="491" t="n"/>
      <c r="H508" s="491" t="n"/>
      <c r="I508" s="491" t="n"/>
      <c r="J508" s="491" t="n"/>
      <c r="K508" s="491" t="n"/>
      <c r="L508" s="491" t="n"/>
      <c r="M508" s="491" t="n"/>
      <c r="N508" s="491" t="n"/>
      <c r="O508" s="491" t="n"/>
      <c r="P508" s="491" t="n"/>
      <c r="Q508" s="491" t="n"/>
      <c r="R508" s="491" t="n"/>
      <c r="S508" s="491" t="n"/>
      <c r="T508" s="491" t="n"/>
      <c r="U508" s="491" t="n"/>
      <c r="V508" s="491" t="n"/>
      <c r="W508" s="491" t="n"/>
      <c r="X508" s="491" t="n"/>
      <c r="Y508" s="491" t="n"/>
    </row>
    <row r="509" ht="12.75" customHeight="1" s="398">
      <c r="A509" s="491" t="n"/>
      <c r="B509" s="491" t="n"/>
      <c r="C509" s="491" t="n"/>
      <c r="D509" s="491" t="n"/>
      <c r="E509" s="491" t="n"/>
      <c r="F509" s="491" t="n"/>
      <c r="G509" s="491" t="n"/>
      <c r="H509" s="491" t="n"/>
      <c r="I509" s="491" t="n"/>
      <c r="J509" s="491" t="n"/>
      <c r="K509" s="491" t="n"/>
      <c r="L509" s="491" t="n"/>
      <c r="M509" s="491" t="n"/>
      <c r="N509" s="491" t="n"/>
      <c r="O509" s="491" t="n"/>
      <c r="P509" s="491" t="n"/>
      <c r="Q509" s="491" t="n"/>
      <c r="R509" s="491" t="n"/>
      <c r="S509" s="491" t="n"/>
      <c r="T509" s="491" t="n"/>
      <c r="U509" s="491" t="n"/>
      <c r="V509" s="491" t="n"/>
      <c r="W509" s="491" t="n"/>
      <c r="X509" s="491" t="n"/>
      <c r="Y509" s="491" t="n"/>
    </row>
    <row r="510" ht="12.75" customHeight="1" s="398">
      <c r="A510" s="491" t="n"/>
      <c r="B510" s="491" t="n"/>
      <c r="C510" s="491" t="n"/>
      <c r="D510" s="491" t="n"/>
      <c r="E510" s="491" t="n"/>
      <c r="F510" s="491" t="n"/>
      <c r="G510" s="491" t="n"/>
      <c r="H510" s="491" t="n"/>
      <c r="I510" s="491" t="n"/>
      <c r="J510" s="491" t="n"/>
      <c r="K510" s="491" t="n"/>
      <c r="L510" s="491" t="n"/>
      <c r="M510" s="491" t="n"/>
      <c r="N510" s="491" t="n"/>
      <c r="O510" s="491" t="n"/>
      <c r="P510" s="491" t="n"/>
      <c r="Q510" s="491" t="n"/>
      <c r="R510" s="491" t="n"/>
      <c r="S510" s="491" t="n"/>
      <c r="T510" s="491" t="n"/>
      <c r="U510" s="491" t="n"/>
      <c r="V510" s="491" t="n"/>
      <c r="W510" s="491" t="n"/>
      <c r="X510" s="491" t="n"/>
      <c r="Y510" s="491" t="n"/>
    </row>
    <row r="511" ht="12.75" customHeight="1" s="398">
      <c r="A511" s="491" t="n"/>
      <c r="B511" s="491" t="n"/>
      <c r="C511" s="491" t="n"/>
      <c r="D511" s="491" t="n"/>
      <c r="E511" s="491" t="n"/>
      <c r="F511" s="491" t="n"/>
      <c r="G511" s="491" t="n"/>
      <c r="H511" s="491" t="n"/>
      <c r="I511" s="491" t="n"/>
      <c r="J511" s="491" t="n"/>
      <c r="K511" s="491" t="n"/>
      <c r="L511" s="491" t="n"/>
      <c r="M511" s="491" t="n"/>
      <c r="N511" s="491" t="n"/>
      <c r="O511" s="491" t="n"/>
      <c r="P511" s="491" t="n"/>
      <c r="Q511" s="491" t="n"/>
      <c r="R511" s="491" t="n"/>
      <c r="S511" s="491" t="n"/>
      <c r="T511" s="491" t="n"/>
      <c r="U511" s="491" t="n"/>
      <c r="V511" s="491" t="n"/>
      <c r="W511" s="491" t="n"/>
      <c r="X511" s="491" t="n"/>
      <c r="Y511" s="491" t="n"/>
    </row>
    <row r="512" ht="12.75" customHeight="1" s="398">
      <c r="A512" s="491" t="n"/>
      <c r="B512" s="491" t="n"/>
      <c r="C512" s="491" t="n"/>
      <c r="D512" s="491" t="n"/>
      <c r="E512" s="491" t="n"/>
      <c r="F512" s="491" t="n"/>
      <c r="G512" s="491" t="n"/>
      <c r="H512" s="491" t="n"/>
      <c r="I512" s="491" t="n"/>
      <c r="J512" s="491" t="n"/>
      <c r="K512" s="491" t="n"/>
      <c r="L512" s="491" t="n"/>
      <c r="M512" s="491" t="n"/>
      <c r="N512" s="491" t="n"/>
      <c r="O512" s="491" t="n"/>
      <c r="P512" s="491" t="n"/>
      <c r="Q512" s="491" t="n"/>
      <c r="R512" s="491" t="n"/>
      <c r="S512" s="491" t="n"/>
      <c r="T512" s="491" t="n"/>
      <c r="U512" s="491" t="n"/>
      <c r="V512" s="491" t="n"/>
      <c r="W512" s="491" t="n"/>
      <c r="X512" s="491" t="n"/>
      <c r="Y512" s="491" t="n"/>
    </row>
    <row r="513" ht="12.75" customHeight="1" s="398">
      <c r="A513" s="491" t="n"/>
      <c r="B513" s="491" t="n"/>
      <c r="C513" s="491" t="n"/>
      <c r="D513" s="491" t="n"/>
      <c r="E513" s="491" t="n"/>
      <c r="F513" s="491" t="n"/>
      <c r="G513" s="491" t="n"/>
      <c r="H513" s="491" t="n"/>
      <c r="I513" s="491" t="n"/>
      <c r="J513" s="491" t="n"/>
      <c r="K513" s="491" t="n"/>
      <c r="L513" s="491" t="n"/>
      <c r="M513" s="491" t="n"/>
      <c r="N513" s="491" t="n"/>
      <c r="O513" s="491" t="n"/>
      <c r="P513" s="491" t="n"/>
      <c r="Q513" s="491" t="n"/>
      <c r="R513" s="491" t="n"/>
      <c r="S513" s="491" t="n"/>
      <c r="T513" s="491" t="n"/>
      <c r="U513" s="491" t="n"/>
      <c r="V513" s="491" t="n"/>
      <c r="W513" s="491" t="n"/>
      <c r="X513" s="491" t="n"/>
      <c r="Y513" s="491" t="n"/>
    </row>
    <row r="514" ht="12.75" customHeight="1" s="398">
      <c r="A514" s="491" t="n"/>
      <c r="B514" s="491" t="n"/>
      <c r="C514" s="491" t="n"/>
      <c r="D514" s="491" t="n"/>
      <c r="E514" s="491" t="n"/>
      <c r="F514" s="491" t="n"/>
      <c r="G514" s="491" t="n"/>
      <c r="H514" s="491" t="n"/>
      <c r="I514" s="491" t="n"/>
      <c r="J514" s="491" t="n"/>
      <c r="K514" s="491" t="n"/>
      <c r="L514" s="491" t="n"/>
      <c r="M514" s="491" t="n"/>
      <c r="N514" s="491" t="n"/>
      <c r="O514" s="491" t="n"/>
      <c r="P514" s="491" t="n"/>
      <c r="Q514" s="491" t="n"/>
      <c r="R514" s="491" t="n"/>
      <c r="S514" s="491" t="n"/>
      <c r="T514" s="491" t="n"/>
      <c r="U514" s="491" t="n"/>
      <c r="V514" s="491" t="n"/>
      <c r="W514" s="491" t="n"/>
      <c r="X514" s="491" t="n"/>
      <c r="Y514" s="491" t="n"/>
    </row>
    <row r="515" ht="12.75" customHeight="1" s="398">
      <c r="A515" s="491" t="n"/>
      <c r="B515" s="491" t="n"/>
      <c r="C515" s="491" t="n"/>
      <c r="D515" s="491" t="n"/>
      <c r="E515" s="491" t="n"/>
      <c r="F515" s="491" t="n"/>
      <c r="G515" s="491" t="n"/>
      <c r="H515" s="491" t="n"/>
      <c r="I515" s="491" t="n"/>
      <c r="J515" s="491" t="n"/>
      <c r="K515" s="491" t="n"/>
      <c r="L515" s="491" t="n"/>
      <c r="M515" s="491" t="n"/>
      <c r="N515" s="491" t="n"/>
      <c r="O515" s="491" t="n"/>
      <c r="P515" s="491" t="n"/>
      <c r="Q515" s="491" t="n"/>
      <c r="R515" s="491" t="n"/>
      <c r="S515" s="491" t="n"/>
      <c r="T515" s="491" t="n"/>
      <c r="U515" s="491" t="n"/>
      <c r="V515" s="491" t="n"/>
      <c r="W515" s="491" t="n"/>
      <c r="X515" s="491" t="n"/>
      <c r="Y515" s="491" t="n"/>
    </row>
    <row r="516" ht="12.75" customHeight="1" s="398">
      <c r="A516" s="491" t="n"/>
      <c r="B516" s="491" t="n"/>
      <c r="C516" s="491" t="n"/>
      <c r="D516" s="491" t="n"/>
      <c r="E516" s="491" t="n"/>
      <c r="F516" s="491" t="n"/>
      <c r="G516" s="491" t="n"/>
      <c r="H516" s="491" t="n"/>
      <c r="I516" s="491" t="n"/>
      <c r="J516" s="491" t="n"/>
      <c r="K516" s="491" t="n"/>
      <c r="L516" s="491" t="n"/>
      <c r="M516" s="491" t="n"/>
      <c r="N516" s="491" t="n"/>
      <c r="O516" s="491" t="n"/>
      <c r="P516" s="491" t="n"/>
      <c r="Q516" s="491" t="n"/>
      <c r="R516" s="491" t="n"/>
      <c r="S516" s="491" t="n"/>
      <c r="T516" s="491" t="n"/>
      <c r="U516" s="491" t="n"/>
      <c r="V516" s="491" t="n"/>
      <c r="W516" s="491" t="n"/>
      <c r="X516" s="491" t="n"/>
      <c r="Y516" s="491" t="n"/>
    </row>
    <row r="517" ht="12.75" customHeight="1" s="398">
      <c r="A517" s="491" t="n"/>
      <c r="B517" s="491" t="n"/>
      <c r="C517" s="491" t="n"/>
      <c r="D517" s="491" t="n"/>
      <c r="E517" s="491" t="n"/>
      <c r="F517" s="491" t="n"/>
      <c r="G517" s="491" t="n"/>
      <c r="H517" s="491" t="n"/>
      <c r="I517" s="491" t="n"/>
      <c r="J517" s="491" t="n"/>
      <c r="K517" s="491" t="n"/>
      <c r="L517" s="491" t="n"/>
      <c r="M517" s="491" t="n"/>
      <c r="N517" s="491" t="n"/>
      <c r="O517" s="491" t="n"/>
      <c r="P517" s="491" t="n"/>
      <c r="Q517" s="491" t="n"/>
      <c r="R517" s="491" t="n"/>
      <c r="S517" s="491" t="n"/>
      <c r="T517" s="491" t="n"/>
      <c r="U517" s="491" t="n"/>
      <c r="V517" s="491" t="n"/>
      <c r="W517" s="491" t="n"/>
      <c r="X517" s="491" t="n"/>
      <c r="Y517" s="491" t="n"/>
    </row>
    <row r="518" ht="12.75" customHeight="1" s="398">
      <c r="A518" s="491" t="n"/>
      <c r="B518" s="491" t="n"/>
      <c r="C518" s="491" t="n"/>
      <c r="D518" s="491" t="n"/>
      <c r="E518" s="491" t="n"/>
      <c r="F518" s="491" t="n"/>
      <c r="G518" s="491" t="n"/>
      <c r="H518" s="491" t="n"/>
      <c r="I518" s="491" t="n"/>
      <c r="J518" s="491" t="n"/>
      <c r="K518" s="491" t="n"/>
      <c r="L518" s="491" t="n"/>
      <c r="M518" s="491" t="n"/>
      <c r="N518" s="491" t="n"/>
      <c r="O518" s="491" t="n"/>
      <c r="P518" s="491" t="n"/>
      <c r="Q518" s="491" t="n"/>
      <c r="R518" s="491" t="n"/>
      <c r="S518" s="491" t="n"/>
      <c r="T518" s="491" t="n"/>
      <c r="U518" s="491" t="n"/>
      <c r="V518" s="491" t="n"/>
      <c r="W518" s="491" t="n"/>
      <c r="X518" s="491" t="n"/>
      <c r="Y518" s="491" t="n"/>
    </row>
    <row r="519" ht="12.75" customHeight="1" s="398">
      <c r="A519" s="491" t="n"/>
      <c r="B519" s="491" t="n"/>
      <c r="C519" s="491" t="n"/>
      <c r="D519" s="491" t="n"/>
      <c r="E519" s="491" t="n"/>
      <c r="F519" s="491" t="n"/>
      <c r="G519" s="491" t="n"/>
      <c r="H519" s="491" t="n"/>
      <c r="I519" s="491" t="n"/>
      <c r="J519" s="491" t="n"/>
      <c r="K519" s="491" t="n"/>
      <c r="L519" s="491" t="n"/>
      <c r="M519" s="491" t="n"/>
      <c r="N519" s="491" t="n"/>
      <c r="O519" s="491" t="n"/>
      <c r="P519" s="491" t="n"/>
      <c r="Q519" s="491" t="n"/>
      <c r="R519" s="491" t="n"/>
      <c r="S519" s="491" t="n"/>
      <c r="T519" s="491" t="n"/>
      <c r="U519" s="491" t="n"/>
      <c r="V519" s="491" t="n"/>
      <c r="W519" s="491" t="n"/>
      <c r="X519" s="491" t="n"/>
      <c r="Y519" s="491" t="n"/>
    </row>
    <row r="520" ht="12.75" customHeight="1" s="398">
      <c r="A520" s="491" t="n"/>
      <c r="B520" s="491" t="n"/>
      <c r="C520" s="491" t="n"/>
      <c r="D520" s="491" t="n"/>
      <c r="E520" s="491" t="n"/>
      <c r="F520" s="491" t="n"/>
      <c r="G520" s="491" t="n"/>
      <c r="H520" s="491" t="n"/>
      <c r="I520" s="491" t="n"/>
      <c r="J520" s="491" t="n"/>
      <c r="K520" s="491" t="n"/>
      <c r="L520" s="491" t="n"/>
      <c r="M520" s="491" t="n"/>
      <c r="N520" s="491" t="n"/>
      <c r="O520" s="491" t="n"/>
      <c r="P520" s="491" t="n"/>
      <c r="Q520" s="491" t="n"/>
      <c r="R520" s="491" t="n"/>
      <c r="S520" s="491" t="n"/>
      <c r="T520" s="491" t="n"/>
      <c r="U520" s="491" t="n"/>
      <c r="V520" s="491" t="n"/>
      <c r="W520" s="491" t="n"/>
      <c r="X520" s="491" t="n"/>
      <c r="Y520" s="491" t="n"/>
    </row>
    <row r="521" ht="12.75" customHeight="1" s="398">
      <c r="A521" s="491" t="n"/>
      <c r="B521" s="491" t="n"/>
      <c r="C521" s="491" t="n"/>
      <c r="D521" s="491" t="n"/>
      <c r="E521" s="491" t="n"/>
      <c r="F521" s="491" t="n"/>
      <c r="G521" s="491" t="n"/>
      <c r="H521" s="491" t="n"/>
      <c r="I521" s="491" t="n"/>
      <c r="J521" s="491" t="n"/>
      <c r="K521" s="491" t="n"/>
      <c r="L521" s="491" t="n"/>
      <c r="M521" s="491" t="n"/>
      <c r="N521" s="491" t="n"/>
      <c r="O521" s="491" t="n"/>
      <c r="P521" s="491" t="n"/>
      <c r="Q521" s="491" t="n"/>
      <c r="R521" s="491" t="n"/>
      <c r="S521" s="491" t="n"/>
      <c r="T521" s="491" t="n"/>
      <c r="U521" s="491" t="n"/>
      <c r="V521" s="491" t="n"/>
      <c r="W521" s="491" t="n"/>
      <c r="X521" s="491" t="n"/>
      <c r="Y521" s="491" t="n"/>
    </row>
    <row r="522" ht="12.75" customHeight="1" s="398">
      <c r="A522" s="491" t="n"/>
      <c r="B522" s="491" t="n"/>
      <c r="C522" s="491" t="n"/>
      <c r="D522" s="491" t="n"/>
      <c r="E522" s="491" t="n"/>
      <c r="F522" s="491" t="n"/>
      <c r="G522" s="491" t="n"/>
      <c r="H522" s="491" t="n"/>
      <c r="I522" s="491" t="n"/>
      <c r="J522" s="491" t="n"/>
      <c r="K522" s="491" t="n"/>
      <c r="L522" s="491" t="n"/>
      <c r="M522" s="491" t="n"/>
      <c r="N522" s="491" t="n"/>
      <c r="O522" s="491" t="n"/>
      <c r="P522" s="491" t="n"/>
      <c r="Q522" s="491" t="n"/>
      <c r="R522" s="491" t="n"/>
      <c r="S522" s="491" t="n"/>
      <c r="T522" s="491" t="n"/>
      <c r="U522" s="491" t="n"/>
      <c r="V522" s="491" t="n"/>
      <c r="W522" s="491" t="n"/>
      <c r="X522" s="491" t="n"/>
      <c r="Y522" s="491" t="n"/>
    </row>
    <row r="523" ht="12.75" customHeight="1" s="398">
      <c r="A523" s="491" t="n"/>
      <c r="B523" s="491" t="n"/>
      <c r="C523" s="491" t="n"/>
      <c r="D523" s="491" t="n"/>
      <c r="E523" s="491" t="n"/>
      <c r="F523" s="491" t="n"/>
      <c r="G523" s="491" t="n"/>
      <c r="H523" s="491" t="n"/>
      <c r="I523" s="491" t="n"/>
      <c r="J523" s="491" t="n"/>
      <c r="K523" s="491" t="n"/>
      <c r="L523" s="491" t="n"/>
      <c r="M523" s="491" t="n"/>
      <c r="N523" s="491" t="n"/>
      <c r="O523" s="491" t="n"/>
      <c r="P523" s="491" t="n"/>
      <c r="Q523" s="491" t="n"/>
      <c r="R523" s="491" t="n"/>
      <c r="S523" s="491" t="n"/>
      <c r="T523" s="491" t="n"/>
      <c r="U523" s="491" t="n"/>
      <c r="V523" s="491" t="n"/>
      <c r="W523" s="491" t="n"/>
      <c r="X523" s="491" t="n"/>
      <c r="Y523" s="491" t="n"/>
    </row>
    <row r="524" ht="12.75" customHeight="1" s="398">
      <c r="A524" s="491" t="n"/>
      <c r="B524" s="491" t="n"/>
      <c r="C524" s="491" t="n"/>
      <c r="D524" s="491" t="n"/>
      <c r="E524" s="491" t="n"/>
      <c r="F524" s="491" t="n"/>
      <c r="G524" s="491" t="n"/>
      <c r="H524" s="491" t="n"/>
      <c r="I524" s="491" t="n"/>
      <c r="J524" s="491" t="n"/>
      <c r="K524" s="491" t="n"/>
      <c r="L524" s="491" t="n"/>
      <c r="M524" s="491" t="n"/>
      <c r="N524" s="491" t="n"/>
      <c r="O524" s="491" t="n"/>
      <c r="P524" s="491" t="n"/>
      <c r="Q524" s="491" t="n"/>
      <c r="R524" s="491" t="n"/>
      <c r="S524" s="491" t="n"/>
      <c r="T524" s="491" t="n"/>
      <c r="U524" s="491" t="n"/>
      <c r="V524" s="491" t="n"/>
      <c r="W524" s="491" t="n"/>
      <c r="X524" s="491" t="n"/>
      <c r="Y524" s="491" t="n"/>
    </row>
    <row r="525" ht="12.75" customHeight="1" s="398">
      <c r="A525" s="491" t="n"/>
      <c r="B525" s="491" t="n"/>
      <c r="C525" s="491" t="n"/>
      <c r="D525" s="491" t="n"/>
      <c r="E525" s="491" t="n"/>
      <c r="F525" s="491" t="n"/>
      <c r="G525" s="491" t="n"/>
      <c r="H525" s="491" t="n"/>
      <c r="I525" s="491" t="n"/>
      <c r="J525" s="491" t="n"/>
      <c r="K525" s="491" t="n"/>
      <c r="L525" s="491" t="n"/>
      <c r="M525" s="491" t="n"/>
      <c r="N525" s="491" t="n"/>
      <c r="O525" s="491" t="n"/>
      <c r="P525" s="491" t="n"/>
      <c r="Q525" s="491" t="n"/>
      <c r="R525" s="491" t="n"/>
      <c r="S525" s="491" t="n"/>
      <c r="T525" s="491" t="n"/>
      <c r="U525" s="491" t="n"/>
      <c r="V525" s="491" t="n"/>
      <c r="W525" s="491" t="n"/>
      <c r="X525" s="491" t="n"/>
      <c r="Y525" s="491" t="n"/>
    </row>
    <row r="526" ht="12.75" customHeight="1" s="398">
      <c r="A526" s="491" t="n"/>
      <c r="B526" s="491" t="n"/>
      <c r="C526" s="491" t="n"/>
      <c r="D526" s="491" t="n"/>
      <c r="E526" s="491" t="n"/>
      <c r="F526" s="491" t="n"/>
      <c r="G526" s="491" t="n"/>
      <c r="H526" s="491" t="n"/>
      <c r="I526" s="491" t="n"/>
      <c r="J526" s="491" t="n"/>
      <c r="K526" s="491" t="n"/>
      <c r="L526" s="491" t="n"/>
      <c r="M526" s="491" t="n"/>
      <c r="N526" s="491" t="n"/>
      <c r="O526" s="491" t="n"/>
      <c r="P526" s="491" t="n"/>
      <c r="Q526" s="491" t="n"/>
      <c r="R526" s="491" t="n"/>
      <c r="S526" s="491" t="n"/>
      <c r="T526" s="491" t="n"/>
      <c r="U526" s="491" t="n"/>
      <c r="V526" s="491" t="n"/>
      <c r="W526" s="491" t="n"/>
      <c r="X526" s="491" t="n"/>
      <c r="Y526" s="491" t="n"/>
    </row>
    <row r="527" ht="12.75" customHeight="1" s="398">
      <c r="A527" s="491" t="n"/>
      <c r="B527" s="491" t="n"/>
      <c r="C527" s="491" t="n"/>
      <c r="D527" s="491" t="n"/>
      <c r="E527" s="491" t="n"/>
      <c r="F527" s="491" t="n"/>
      <c r="G527" s="491" t="n"/>
      <c r="H527" s="491" t="n"/>
      <c r="I527" s="491" t="n"/>
      <c r="J527" s="491" t="n"/>
      <c r="K527" s="491" t="n"/>
      <c r="L527" s="491" t="n"/>
      <c r="M527" s="491" t="n"/>
      <c r="N527" s="491" t="n"/>
      <c r="O527" s="491" t="n"/>
      <c r="P527" s="491" t="n"/>
      <c r="Q527" s="491" t="n"/>
      <c r="R527" s="491" t="n"/>
      <c r="S527" s="491" t="n"/>
      <c r="T527" s="491" t="n"/>
      <c r="U527" s="491" t="n"/>
      <c r="V527" s="491" t="n"/>
      <c r="W527" s="491" t="n"/>
      <c r="X527" s="491" t="n"/>
      <c r="Y527" s="491" t="n"/>
    </row>
    <row r="528" ht="12.75" customHeight="1" s="398">
      <c r="A528" s="491" t="n"/>
      <c r="B528" s="491" t="n"/>
      <c r="C528" s="491" t="n"/>
      <c r="D528" s="491" t="n"/>
      <c r="E528" s="491" t="n"/>
      <c r="F528" s="491" t="n"/>
      <c r="G528" s="491" t="n"/>
      <c r="H528" s="491" t="n"/>
      <c r="I528" s="491" t="n"/>
      <c r="J528" s="491" t="n"/>
      <c r="K528" s="491" t="n"/>
      <c r="L528" s="491" t="n"/>
      <c r="M528" s="491" t="n"/>
      <c r="N528" s="491" t="n"/>
      <c r="O528" s="491" t="n"/>
      <c r="P528" s="491" t="n"/>
      <c r="Q528" s="491" t="n"/>
      <c r="R528" s="491" t="n"/>
      <c r="S528" s="491" t="n"/>
      <c r="T528" s="491" t="n"/>
      <c r="U528" s="491" t="n"/>
      <c r="V528" s="491" t="n"/>
      <c r="W528" s="491" t="n"/>
      <c r="X528" s="491" t="n"/>
      <c r="Y528" s="491" t="n"/>
    </row>
    <row r="529" ht="12.75" customHeight="1" s="398">
      <c r="A529" s="491" t="n"/>
      <c r="B529" s="491" t="n"/>
      <c r="C529" s="491" t="n"/>
      <c r="D529" s="491" t="n"/>
      <c r="E529" s="491" t="n"/>
      <c r="F529" s="491" t="n"/>
      <c r="G529" s="491" t="n"/>
      <c r="H529" s="491" t="n"/>
      <c r="I529" s="491" t="n"/>
      <c r="J529" s="491" t="n"/>
      <c r="K529" s="491" t="n"/>
      <c r="L529" s="491" t="n"/>
      <c r="M529" s="491" t="n"/>
      <c r="N529" s="491" t="n"/>
      <c r="O529" s="491" t="n"/>
      <c r="P529" s="491" t="n"/>
      <c r="Q529" s="491" t="n"/>
      <c r="R529" s="491" t="n"/>
      <c r="S529" s="491" t="n"/>
      <c r="T529" s="491" t="n"/>
      <c r="U529" s="491" t="n"/>
      <c r="V529" s="491" t="n"/>
      <c r="W529" s="491" t="n"/>
      <c r="X529" s="491" t="n"/>
      <c r="Y529" s="491" t="n"/>
    </row>
    <row r="530" ht="12.75" customHeight="1" s="398">
      <c r="A530" s="491" t="n"/>
      <c r="B530" s="491" t="n"/>
      <c r="C530" s="491" t="n"/>
      <c r="D530" s="491" t="n"/>
      <c r="E530" s="491" t="n"/>
      <c r="F530" s="491" t="n"/>
      <c r="G530" s="491" t="n"/>
      <c r="H530" s="491" t="n"/>
      <c r="I530" s="491" t="n"/>
      <c r="J530" s="491" t="n"/>
      <c r="K530" s="491" t="n"/>
      <c r="L530" s="491" t="n"/>
      <c r="M530" s="491" t="n"/>
      <c r="N530" s="491" t="n"/>
      <c r="O530" s="491" t="n"/>
      <c r="P530" s="491" t="n"/>
      <c r="Q530" s="491" t="n"/>
      <c r="R530" s="491" t="n"/>
      <c r="S530" s="491" t="n"/>
      <c r="T530" s="491" t="n"/>
      <c r="U530" s="491" t="n"/>
      <c r="V530" s="491" t="n"/>
      <c r="W530" s="491" t="n"/>
      <c r="X530" s="491" t="n"/>
      <c r="Y530" s="491" t="n"/>
    </row>
    <row r="531" ht="12.75" customHeight="1" s="398">
      <c r="A531" s="491" t="n"/>
      <c r="B531" s="491" t="n"/>
      <c r="C531" s="491" t="n"/>
      <c r="D531" s="491" t="n"/>
      <c r="E531" s="491" t="n"/>
      <c r="F531" s="491" t="n"/>
      <c r="G531" s="491" t="n"/>
      <c r="H531" s="491" t="n"/>
      <c r="I531" s="491" t="n"/>
      <c r="J531" s="491" t="n"/>
      <c r="K531" s="491" t="n"/>
      <c r="L531" s="491" t="n"/>
      <c r="M531" s="491" t="n"/>
      <c r="N531" s="491" t="n"/>
      <c r="O531" s="491" t="n"/>
      <c r="P531" s="491" t="n"/>
      <c r="Q531" s="491" t="n"/>
      <c r="R531" s="491" t="n"/>
      <c r="S531" s="491" t="n"/>
      <c r="T531" s="491" t="n"/>
      <c r="U531" s="491" t="n"/>
      <c r="V531" s="491" t="n"/>
      <c r="W531" s="491" t="n"/>
      <c r="X531" s="491" t="n"/>
      <c r="Y531" s="491" t="n"/>
    </row>
    <row r="532" ht="12.75" customHeight="1" s="398">
      <c r="A532" s="491" t="n"/>
      <c r="B532" s="491" t="n"/>
      <c r="C532" s="491" t="n"/>
      <c r="D532" s="491" t="n"/>
      <c r="E532" s="491" t="n"/>
      <c r="F532" s="491" t="n"/>
      <c r="G532" s="491" t="n"/>
      <c r="H532" s="491" t="n"/>
      <c r="I532" s="491" t="n"/>
      <c r="J532" s="491" t="n"/>
      <c r="K532" s="491" t="n"/>
      <c r="L532" s="491" t="n"/>
      <c r="M532" s="491" t="n"/>
      <c r="N532" s="491" t="n"/>
      <c r="O532" s="491" t="n"/>
      <c r="P532" s="491" t="n"/>
      <c r="Q532" s="491" t="n"/>
      <c r="R532" s="491" t="n"/>
      <c r="S532" s="491" t="n"/>
      <c r="T532" s="491" t="n"/>
      <c r="U532" s="491" t="n"/>
      <c r="V532" s="491" t="n"/>
      <c r="W532" s="491" t="n"/>
      <c r="X532" s="491" t="n"/>
      <c r="Y532" s="491" t="n"/>
    </row>
    <row r="533" ht="12.75" customHeight="1" s="398">
      <c r="A533" s="491" t="n"/>
      <c r="B533" s="491" t="n"/>
      <c r="C533" s="491" t="n"/>
      <c r="D533" s="491" t="n"/>
      <c r="E533" s="491" t="n"/>
      <c r="F533" s="491" t="n"/>
      <c r="G533" s="491" t="n"/>
      <c r="H533" s="491" t="n"/>
      <c r="I533" s="491" t="n"/>
      <c r="J533" s="491" t="n"/>
      <c r="K533" s="491" t="n"/>
      <c r="L533" s="491" t="n"/>
      <c r="M533" s="491" t="n"/>
      <c r="N533" s="491" t="n"/>
      <c r="O533" s="491" t="n"/>
      <c r="P533" s="491" t="n"/>
      <c r="Q533" s="491" t="n"/>
      <c r="R533" s="491" t="n"/>
      <c r="S533" s="491" t="n"/>
      <c r="T533" s="491" t="n"/>
      <c r="U533" s="491" t="n"/>
      <c r="V533" s="491" t="n"/>
      <c r="W533" s="491" t="n"/>
      <c r="X533" s="491" t="n"/>
      <c r="Y533" s="491" t="n"/>
    </row>
    <row r="534" ht="12.75" customHeight="1" s="398">
      <c r="A534" s="491" t="n"/>
      <c r="B534" s="491" t="n"/>
      <c r="C534" s="491" t="n"/>
      <c r="D534" s="491" t="n"/>
      <c r="E534" s="491" t="n"/>
      <c r="F534" s="491" t="n"/>
      <c r="G534" s="491" t="n"/>
      <c r="H534" s="491" t="n"/>
      <c r="I534" s="491" t="n"/>
      <c r="J534" s="491" t="n"/>
      <c r="K534" s="491" t="n"/>
      <c r="L534" s="491" t="n"/>
      <c r="M534" s="491" t="n"/>
      <c r="N534" s="491" t="n"/>
      <c r="O534" s="491" t="n"/>
      <c r="P534" s="491" t="n"/>
      <c r="Q534" s="491" t="n"/>
      <c r="R534" s="491" t="n"/>
      <c r="S534" s="491" t="n"/>
      <c r="T534" s="491" t="n"/>
      <c r="U534" s="491" t="n"/>
      <c r="V534" s="491" t="n"/>
      <c r="W534" s="491" t="n"/>
      <c r="X534" s="491" t="n"/>
      <c r="Y534" s="491" t="n"/>
    </row>
    <row r="535" ht="12.75" customHeight="1" s="398">
      <c r="A535" s="491" t="n"/>
      <c r="B535" s="491" t="n"/>
      <c r="C535" s="491" t="n"/>
      <c r="D535" s="491" t="n"/>
      <c r="E535" s="491" t="n"/>
      <c r="F535" s="491" t="n"/>
      <c r="G535" s="491" t="n"/>
      <c r="H535" s="491" t="n"/>
      <c r="I535" s="491" t="n"/>
      <c r="J535" s="491" t="n"/>
      <c r="K535" s="491" t="n"/>
      <c r="L535" s="491" t="n"/>
      <c r="M535" s="491" t="n"/>
      <c r="N535" s="491" t="n"/>
      <c r="O535" s="491" t="n"/>
      <c r="P535" s="491" t="n"/>
      <c r="Q535" s="491" t="n"/>
      <c r="R535" s="491" t="n"/>
      <c r="S535" s="491" t="n"/>
      <c r="T535" s="491" t="n"/>
      <c r="U535" s="491" t="n"/>
      <c r="V535" s="491" t="n"/>
      <c r="W535" s="491" t="n"/>
      <c r="X535" s="491" t="n"/>
      <c r="Y535" s="491" t="n"/>
    </row>
    <row r="536" ht="12.75" customHeight="1" s="398">
      <c r="A536" s="491" t="n"/>
      <c r="B536" s="491" t="n"/>
      <c r="C536" s="491" t="n"/>
      <c r="D536" s="491" t="n"/>
      <c r="E536" s="491" t="n"/>
      <c r="F536" s="491" t="n"/>
      <c r="G536" s="491" t="n"/>
      <c r="H536" s="491" t="n"/>
      <c r="I536" s="491" t="n"/>
      <c r="J536" s="491" t="n"/>
      <c r="K536" s="491" t="n"/>
      <c r="L536" s="491" t="n"/>
      <c r="M536" s="491" t="n"/>
      <c r="N536" s="491" t="n"/>
      <c r="O536" s="491" t="n"/>
      <c r="P536" s="491" t="n"/>
      <c r="Q536" s="491" t="n"/>
      <c r="R536" s="491" t="n"/>
      <c r="S536" s="491" t="n"/>
      <c r="T536" s="491" t="n"/>
      <c r="U536" s="491" t="n"/>
      <c r="V536" s="491" t="n"/>
      <c r="W536" s="491" t="n"/>
      <c r="X536" s="491" t="n"/>
      <c r="Y536" s="491" t="n"/>
    </row>
    <row r="537" ht="12.75" customHeight="1" s="398">
      <c r="A537" s="491" t="n"/>
      <c r="B537" s="491" t="n"/>
      <c r="C537" s="491" t="n"/>
      <c r="D537" s="491" t="n"/>
      <c r="E537" s="491" t="n"/>
      <c r="F537" s="491" t="n"/>
      <c r="G537" s="491" t="n"/>
      <c r="H537" s="491" t="n"/>
      <c r="I537" s="491" t="n"/>
      <c r="J537" s="491" t="n"/>
      <c r="K537" s="491" t="n"/>
      <c r="L537" s="491" t="n"/>
      <c r="M537" s="491" t="n"/>
      <c r="N537" s="491" t="n"/>
      <c r="O537" s="491" t="n"/>
      <c r="P537" s="491" t="n"/>
      <c r="Q537" s="491" t="n"/>
      <c r="R537" s="491" t="n"/>
      <c r="S537" s="491" t="n"/>
      <c r="T537" s="491" t="n"/>
      <c r="U537" s="491" t="n"/>
      <c r="V537" s="491" t="n"/>
      <c r="W537" s="491" t="n"/>
      <c r="X537" s="491" t="n"/>
      <c r="Y537" s="491" t="n"/>
    </row>
    <row r="538" ht="12.75" customHeight="1" s="398">
      <c r="A538" s="491" t="n"/>
      <c r="B538" s="491" t="n"/>
      <c r="C538" s="491" t="n"/>
      <c r="D538" s="491" t="n"/>
      <c r="E538" s="491" t="n"/>
      <c r="F538" s="491" t="n"/>
      <c r="G538" s="491" t="n"/>
      <c r="H538" s="491" t="n"/>
      <c r="I538" s="491" t="n"/>
      <c r="J538" s="491" t="n"/>
      <c r="K538" s="491" t="n"/>
      <c r="L538" s="491" t="n"/>
      <c r="M538" s="491" t="n"/>
      <c r="N538" s="491" t="n"/>
      <c r="O538" s="491" t="n"/>
      <c r="P538" s="491" t="n"/>
      <c r="Q538" s="491" t="n"/>
      <c r="R538" s="491" t="n"/>
      <c r="S538" s="491" t="n"/>
      <c r="T538" s="491" t="n"/>
      <c r="U538" s="491" t="n"/>
      <c r="V538" s="491" t="n"/>
      <c r="W538" s="491" t="n"/>
      <c r="X538" s="491" t="n"/>
      <c r="Y538" s="491" t="n"/>
    </row>
    <row r="539" ht="12.75" customHeight="1" s="398">
      <c r="A539" s="491" t="n"/>
      <c r="B539" s="491" t="n"/>
      <c r="C539" s="491" t="n"/>
      <c r="D539" s="491" t="n"/>
      <c r="E539" s="491" t="n"/>
      <c r="F539" s="491" t="n"/>
      <c r="G539" s="491" t="n"/>
      <c r="H539" s="491" t="n"/>
      <c r="I539" s="491" t="n"/>
      <c r="J539" s="491" t="n"/>
      <c r="K539" s="491" t="n"/>
      <c r="L539" s="491" t="n"/>
      <c r="M539" s="491" t="n"/>
      <c r="N539" s="491" t="n"/>
      <c r="O539" s="491" t="n"/>
      <c r="P539" s="491" t="n"/>
      <c r="Q539" s="491" t="n"/>
      <c r="R539" s="491" t="n"/>
      <c r="S539" s="491" t="n"/>
      <c r="T539" s="491" t="n"/>
      <c r="U539" s="491" t="n"/>
      <c r="V539" s="491" t="n"/>
      <c r="W539" s="491" t="n"/>
      <c r="X539" s="491" t="n"/>
      <c r="Y539" s="491" t="n"/>
    </row>
    <row r="540" ht="12.75" customHeight="1" s="398">
      <c r="A540" s="491" t="n"/>
      <c r="B540" s="491" t="n"/>
      <c r="C540" s="491" t="n"/>
      <c r="D540" s="491" t="n"/>
      <c r="E540" s="491" t="n"/>
      <c r="F540" s="491" t="n"/>
      <c r="G540" s="491" t="n"/>
      <c r="H540" s="491" t="n"/>
      <c r="I540" s="491" t="n"/>
      <c r="J540" s="491" t="n"/>
      <c r="K540" s="491" t="n"/>
      <c r="L540" s="491" t="n"/>
      <c r="M540" s="491" t="n"/>
      <c r="N540" s="491" t="n"/>
      <c r="O540" s="491" t="n"/>
      <c r="P540" s="491" t="n"/>
      <c r="Q540" s="491" t="n"/>
      <c r="R540" s="491" t="n"/>
      <c r="S540" s="491" t="n"/>
      <c r="T540" s="491" t="n"/>
      <c r="U540" s="491" t="n"/>
      <c r="V540" s="491" t="n"/>
      <c r="W540" s="491" t="n"/>
      <c r="X540" s="491" t="n"/>
      <c r="Y540" s="491" t="n"/>
    </row>
    <row r="541" ht="12.75" customHeight="1" s="398">
      <c r="A541" s="491" t="n"/>
      <c r="B541" s="491" t="n"/>
      <c r="C541" s="491" t="n"/>
      <c r="D541" s="491" t="n"/>
      <c r="E541" s="491" t="n"/>
      <c r="F541" s="491" t="n"/>
      <c r="G541" s="491" t="n"/>
      <c r="H541" s="491" t="n"/>
      <c r="I541" s="491" t="n"/>
      <c r="J541" s="491" t="n"/>
      <c r="K541" s="491" t="n"/>
      <c r="L541" s="491" t="n"/>
      <c r="M541" s="491" t="n"/>
      <c r="N541" s="491" t="n"/>
      <c r="O541" s="491" t="n"/>
      <c r="P541" s="491" t="n"/>
      <c r="Q541" s="491" t="n"/>
      <c r="R541" s="491" t="n"/>
      <c r="S541" s="491" t="n"/>
      <c r="T541" s="491" t="n"/>
      <c r="U541" s="491" t="n"/>
      <c r="V541" s="491" t="n"/>
      <c r="W541" s="491" t="n"/>
      <c r="X541" s="491" t="n"/>
      <c r="Y541" s="491" t="n"/>
    </row>
    <row r="542" ht="12.75" customHeight="1" s="398">
      <c r="A542" s="491" t="n"/>
      <c r="B542" s="491" t="n"/>
      <c r="C542" s="491" t="n"/>
      <c r="D542" s="491" t="n"/>
      <c r="E542" s="491" t="n"/>
      <c r="F542" s="491" t="n"/>
      <c r="G542" s="491" t="n"/>
      <c r="H542" s="491" t="n"/>
      <c r="I542" s="491" t="n"/>
      <c r="J542" s="491" t="n"/>
      <c r="K542" s="491" t="n"/>
      <c r="L542" s="491" t="n"/>
      <c r="M542" s="491" t="n"/>
      <c r="N542" s="491" t="n"/>
      <c r="O542" s="491" t="n"/>
      <c r="P542" s="491" t="n"/>
      <c r="Q542" s="491" t="n"/>
      <c r="R542" s="491" t="n"/>
      <c r="S542" s="491" t="n"/>
      <c r="T542" s="491" t="n"/>
      <c r="U542" s="491" t="n"/>
      <c r="V542" s="491" t="n"/>
      <c r="W542" s="491" t="n"/>
      <c r="X542" s="491" t="n"/>
      <c r="Y542" s="491" t="n"/>
    </row>
    <row r="543" ht="12.75" customHeight="1" s="398">
      <c r="A543" s="491" t="n"/>
      <c r="B543" s="491" t="n"/>
      <c r="C543" s="491" t="n"/>
      <c r="D543" s="491" t="n"/>
      <c r="E543" s="491" t="n"/>
      <c r="F543" s="491" t="n"/>
      <c r="G543" s="491" t="n"/>
      <c r="H543" s="491" t="n"/>
      <c r="I543" s="491" t="n"/>
      <c r="J543" s="491" t="n"/>
      <c r="K543" s="491" t="n"/>
      <c r="L543" s="491" t="n"/>
      <c r="M543" s="491" t="n"/>
      <c r="N543" s="491" t="n"/>
      <c r="O543" s="491" t="n"/>
      <c r="P543" s="491" t="n"/>
      <c r="Q543" s="491" t="n"/>
      <c r="R543" s="491" t="n"/>
      <c r="S543" s="491" t="n"/>
      <c r="T543" s="491" t="n"/>
      <c r="U543" s="491" t="n"/>
      <c r="V543" s="491" t="n"/>
      <c r="W543" s="491" t="n"/>
      <c r="X543" s="491" t="n"/>
      <c r="Y543" s="491" t="n"/>
    </row>
    <row r="544" ht="12.75" customHeight="1" s="398">
      <c r="A544" s="491" t="n"/>
      <c r="B544" s="491" t="n"/>
      <c r="C544" s="491" t="n"/>
      <c r="D544" s="491" t="n"/>
      <c r="E544" s="491" t="n"/>
      <c r="F544" s="491" t="n"/>
      <c r="G544" s="491" t="n"/>
      <c r="H544" s="491" t="n"/>
      <c r="I544" s="491" t="n"/>
      <c r="J544" s="491" t="n"/>
      <c r="K544" s="491" t="n"/>
      <c r="L544" s="491" t="n"/>
      <c r="M544" s="491" t="n"/>
      <c r="N544" s="491" t="n"/>
      <c r="O544" s="491" t="n"/>
      <c r="P544" s="491" t="n"/>
      <c r="Q544" s="491" t="n"/>
      <c r="R544" s="491" t="n"/>
      <c r="S544" s="491" t="n"/>
      <c r="T544" s="491" t="n"/>
      <c r="U544" s="491" t="n"/>
      <c r="V544" s="491" t="n"/>
      <c r="W544" s="491" t="n"/>
      <c r="X544" s="491" t="n"/>
      <c r="Y544" s="491" t="n"/>
    </row>
    <row r="545" ht="12.75" customHeight="1" s="398">
      <c r="A545" s="491" t="n"/>
      <c r="B545" s="491" t="n"/>
      <c r="C545" s="491" t="n"/>
      <c r="D545" s="491" t="n"/>
      <c r="E545" s="491" t="n"/>
      <c r="F545" s="491" t="n"/>
      <c r="G545" s="491" t="n"/>
      <c r="H545" s="491" t="n"/>
      <c r="I545" s="491" t="n"/>
      <c r="J545" s="491" t="n"/>
      <c r="K545" s="491" t="n"/>
      <c r="L545" s="491" t="n"/>
      <c r="M545" s="491" t="n"/>
      <c r="N545" s="491" t="n"/>
      <c r="O545" s="491" t="n"/>
      <c r="P545" s="491" t="n"/>
      <c r="Q545" s="491" t="n"/>
      <c r="R545" s="491" t="n"/>
      <c r="S545" s="491" t="n"/>
      <c r="T545" s="491" t="n"/>
      <c r="U545" s="491" t="n"/>
      <c r="V545" s="491" t="n"/>
      <c r="W545" s="491" t="n"/>
      <c r="X545" s="491" t="n"/>
      <c r="Y545" s="491" t="n"/>
    </row>
    <row r="546" ht="12.75" customHeight="1" s="398">
      <c r="A546" s="491" t="n"/>
      <c r="B546" s="491" t="n"/>
      <c r="C546" s="491" t="n"/>
      <c r="D546" s="491" t="n"/>
      <c r="E546" s="491" t="n"/>
      <c r="F546" s="491" t="n"/>
      <c r="G546" s="491" t="n"/>
      <c r="H546" s="491" t="n"/>
      <c r="I546" s="491" t="n"/>
      <c r="J546" s="491" t="n"/>
      <c r="K546" s="491" t="n"/>
      <c r="L546" s="491" t="n"/>
      <c r="M546" s="491" t="n"/>
      <c r="N546" s="491" t="n"/>
      <c r="O546" s="491" t="n"/>
      <c r="P546" s="491" t="n"/>
      <c r="Q546" s="491" t="n"/>
      <c r="R546" s="491" t="n"/>
      <c r="S546" s="491" t="n"/>
      <c r="T546" s="491" t="n"/>
      <c r="U546" s="491" t="n"/>
      <c r="V546" s="491" t="n"/>
      <c r="W546" s="491" t="n"/>
      <c r="X546" s="491" t="n"/>
      <c r="Y546" s="491" t="n"/>
    </row>
    <row r="547" ht="12.75" customHeight="1" s="398">
      <c r="A547" s="491" t="n"/>
      <c r="B547" s="491" t="n"/>
      <c r="C547" s="491" t="n"/>
      <c r="D547" s="491" t="n"/>
      <c r="E547" s="491" t="n"/>
      <c r="F547" s="491" t="n"/>
      <c r="G547" s="491" t="n"/>
      <c r="H547" s="491" t="n"/>
      <c r="I547" s="491" t="n"/>
      <c r="J547" s="491" t="n"/>
      <c r="K547" s="491" t="n"/>
      <c r="L547" s="491" t="n"/>
      <c r="M547" s="491" t="n"/>
      <c r="N547" s="491" t="n"/>
      <c r="O547" s="491" t="n"/>
      <c r="P547" s="491" t="n"/>
      <c r="Q547" s="491" t="n"/>
      <c r="R547" s="491" t="n"/>
      <c r="S547" s="491" t="n"/>
      <c r="T547" s="491" t="n"/>
      <c r="U547" s="491" t="n"/>
      <c r="V547" s="491" t="n"/>
      <c r="W547" s="491" t="n"/>
      <c r="X547" s="491" t="n"/>
      <c r="Y547" s="491" t="n"/>
    </row>
    <row r="548" ht="12.75" customHeight="1" s="398">
      <c r="A548" s="491" t="n"/>
      <c r="B548" s="491" t="n"/>
      <c r="C548" s="491" t="n"/>
      <c r="D548" s="491" t="n"/>
      <c r="E548" s="491" t="n"/>
      <c r="F548" s="491" t="n"/>
      <c r="G548" s="491" t="n"/>
      <c r="H548" s="491" t="n"/>
      <c r="I548" s="491" t="n"/>
      <c r="J548" s="491" t="n"/>
      <c r="K548" s="491" t="n"/>
      <c r="L548" s="491" t="n"/>
      <c r="M548" s="491" t="n"/>
      <c r="N548" s="491" t="n"/>
      <c r="O548" s="491" t="n"/>
      <c r="P548" s="491" t="n"/>
      <c r="Q548" s="491" t="n"/>
      <c r="R548" s="491" t="n"/>
      <c r="S548" s="491" t="n"/>
      <c r="T548" s="491" t="n"/>
      <c r="U548" s="491" t="n"/>
      <c r="V548" s="491" t="n"/>
      <c r="W548" s="491" t="n"/>
      <c r="X548" s="491" t="n"/>
      <c r="Y548" s="491" t="n"/>
    </row>
    <row r="549" ht="12.75" customHeight="1" s="398">
      <c r="A549" s="491" t="n"/>
      <c r="B549" s="491" t="n"/>
      <c r="C549" s="491" t="n"/>
      <c r="D549" s="491" t="n"/>
      <c r="E549" s="491" t="n"/>
      <c r="F549" s="491" t="n"/>
      <c r="G549" s="491" t="n"/>
      <c r="H549" s="491" t="n"/>
      <c r="I549" s="491" t="n"/>
      <c r="J549" s="491" t="n"/>
      <c r="K549" s="491" t="n"/>
      <c r="L549" s="491" t="n"/>
      <c r="M549" s="491" t="n"/>
      <c r="N549" s="491" t="n"/>
      <c r="O549" s="491" t="n"/>
      <c r="P549" s="491" t="n"/>
      <c r="Q549" s="491" t="n"/>
      <c r="R549" s="491" t="n"/>
      <c r="S549" s="491" t="n"/>
      <c r="T549" s="491" t="n"/>
      <c r="U549" s="491" t="n"/>
      <c r="V549" s="491" t="n"/>
      <c r="W549" s="491" t="n"/>
      <c r="X549" s="491" t="n"/>
      <c r="Y549" s="491" t="n"/>
    </row>
    <row r="550" ht="12.75" customHeight="1" s="398">
      <c r="A550" s="491" t="n"/>
      <c r="B550" s="491" t="n"/>
      <c r="C550" s="491" t="n"/>
      <c r="D550" s="491" t="n"/>
      <c r="E550" s="491" t="n"/>
      <c r="F550" s="491" t="n"/>
      <c r="G550" s="491" t="n"/>
      <c r="H550" s="491" t="n"/>
      <c r="I550" s="491" t="n"/>
      <c r="J550" s="491" t="n"/>
      <c r="K550" s="491" t="n"/>
      <c r="L550" s="491" t="n"/>
      <c r="M550" s="491" t="n"/>
      <c r="N550" s="491" t="n"/>
      <c r="O550" s="491" t="n"/>
      <c r="P550" s="491" t="n"/>
      <c r="Q550" s="491" t="n"/>
      <c r="R550" s="491" t="n"/>
      <c r="S550" s="491" t="n"/>
      <c r="T550" s="491" t="n"/>
      <c r="U550" s="491" t="n"/>
      <c r="V550" s="491" t="n"/>
      <c r="W550" s="491" t="n"/>
      <c r="X550" s="491" t="n"/>
      <c r="Y550" s="491" t="n"/>
    </row>
    <row r="551" ht="12.75" customHeight="1" s="398">
      <c r="A551" s="491" t="n"/>
      <c r="B551" s="491" t="n"/>
      <c r="C551" s="491" t="n"/>
      <c r="D551" s="491" t="n"/>
      <c r="E551" s="491" t="n"/>
      <c r="F551" s="491" t="n"/>
      <c r="G551" s="491" t="n"/>
      <c r="H551" s="491" t="n"/>
      <c r="I551" s="491" t="n"/>
      <c r="J551" s="491" t="n"/>
      <c r="K551" s="491" t="n"/>
      <c r="L551" s="491" t="n"/>
      <c r="M551" s="491" t="n"/>
      <c r="N551" s="491" t="n"/>
      <c r="O551" s="491" t="n"/>
      <c r="P551" s="491" t="n"/>
      <c r="Q551" s="491" t="n"/>
      <c r="R551" s="491" t="n"/>
      <c r="S551" s="491" t="n"/>
      <c r="T551" s="491" t="n"/>
      <c r="U551" s="491" t="n"/>
      <c r="V551" s="491" t="n"/>
      <c r="W551" s="491" t="n"/>
      <c r="X551" s="491" t="n"/>
      <c r="Y551" s="491" t="n"/>
    </row>
    <row r="552" ht="12.75" customHeight="1" s="398">
      <c r="A552" s="491" t="n"/>
      <c r="B552" s="491" t="n"/>
      <c r="C552" s="491" t="n"/>
      <c r="D552" s="491" t="n"/>
      <c r="E552" s="491" t="n"/>
      <c r="F552" s="491" t="n"/>
      <c r="G552" s="491" t="n"/>
      <c r="H552" s="491" t="n"/>
      <c r="I552" s="491" t="n"/>
      <c r="J552" s="491" t="n"/>
      <c r="K552" s="491" t="n"/>
      <c r="L552" s="491" t="n"/>
      <c r="M552" s="491" t="n"/>
      <c r="N552" s="491" t="n"/>
      <c r="O552" s="491" t="n"/>
      <c r="P552" s="491" t="n"/>
      <c r="Q552" s="491" t="n"/>
      <c r="R552" s="491" t="n"/>
      <c r="S552" s="491" t="n"/>
      <c r="T552" s="491" t="n"/>
      <c r="U552" s="491" t="n"/>
      <c r="V552" s="491" t="n"/>
      <c r="W552" s="491" t="n"/>
      <c r="X552" s="491" t="n"/>
      <c r="Y552" s="491" t="n"/>
    </row>
    <row r="553" ht="12.75" customHeight="1" s="398">
      <c r="A553" s="491" t="n"/>
      <c r="B553" s="491" t="n"/>
      <c r="C553" s="491" t="n"/>
      <c r="D553" s="491" t="n"/>
      <c r="E553" s="491" t="n"/>
      <c r="F553" s="491" t="n"/>
      <c r="G553" s="491" t="n"/>
      <c r="H553" s="491" t="n"/>
      <c r="I553" s="491" t="n"/>
      <c r="J553" s="491" t="n"/>
      <c r="K553" s="491" t="n"/>
      <c r="L553" s="491" t="n"/>
      <c r="M553" s="491" t="n"/>
      <c r="N553" s="491" t="n"/>
      <c r="O553" s="491" t="n"/>
      <c r="P553" s="491" t="n"/>
      <c r="Q553" s="491" t="n"/>
      <c r="R553" s="491" t="n"/>
      <c r="S553" s="491" t="n"/>
      <c r="T553" s="491" t="n"/>
      <c r="U553" s="491" t="n"/>
      <c r="V553" s="491" t="n"/>
      <c r="W553" s="491" t="n"/>
      <c r="X553" s="491" t="n"/>
      <c r="Y553" s="491" t="n"/>
    </row>
    <row r="554" ht="12.75" customHeight="1" s="398">
      <c r="A554" s="491" t="n"/>
      <c r="B554" s="491" t="n"/>
      <c r="C554" s="491" t="n"/>
      <c r="D554" s="491" t="n"/>
      <c r="E554" s="491" t="n"/>
      <c r="F554" s="491" t="n"/>
      <c r="G554" s="491" t="n"/>
      <c r="H554" s="491" t="n"/>
      <c r="I554" s="491" t="n"/>
      <c r="J554" s="491" t="n"/>
      <c r="K554" s="491" t="n"/>
      <c r="L554" s="491" t="n"/>
      <c r="M554" s="491" t="n"/>
      <c r="N554" s="491" t="n"/>
      <c r="O554" s="491" t="n"/>
      <c r="P554" s="491" t="n"/>
      <c r="Q554" s="491" t="n"/>
      <c r="R554" s="491" t="n"/>
      <c r="S554" s="491" t="n"/>
      <c r="T554" s="491" t="n"/>
      <c r="U554" s="491" t="n"/>
      <c r="V554" s="491" t="n"/>
      <c r="W554" s="491" t="n"/>
      <c r="X554" s="491" t="n"/>
      <c r="Y554" s="491" t="n"/>
    </row>
    <row r="555" ht="12.75" customHeight="1" s="398">
      <c r="A555" s="491" t="n"/>
      <c r="B555" s="491" t="n"/>
      <c r="C555" s="491" t="n"/>
      <c r="D555" s="491" t="n"/>
      <c r="E555" s="491" t="n"/>
      <c r="F555" s="491" t="n"/>
      <c r="G555" s="491" t="n"/>
      <c r="H555" s="491" t="n"/>
      <c r="I555" s="491" t="n"/>
      <c r="J555" s="491" t="n"/>
      <c r="K555" s="491" t="n"/>
      <c r="L555" s="491" t="n"/>
      <c r="M555" s="491" t="n"/>
      <c r="N555" s="491" t="n"/>
      <c r="O555" s="491" t="n"/>
      <c r="P555" s="491" t="n"/>
      <c r="Q555" s="491" t="n"/>
      <c r="R555" s="491" t="n"/>
      <c r="S555" s="491" t="n"/>
      <c r="T555" s="491" t="n"/>
      <c r="U555" s="491" t="n"/>
      <c r="V555" s="491" t="n"/>
      <c r="W555" s="491" t="n"/>
      <c r="X555" s="491" t="n"/>
      <c r="Y555" s="491" t="n"/>
    </row>
    <row r="556" ht="12.75" customHeight="1" s="398">
      <c r="A556" s="491" t="n"/>
      <c r="B556" s="491" t="n"/>
      <c r="C556" s="491" t="n"/>
      <c r="D556" s="491" t="n"/>
      <c r="E556" s="491" t="n"/>
      <c r="F556" s="491" t="n"/>
      <c r="G556" s="491" t="n"/>
      <c r="H556" s="491" t="n"/>
      <c r="I556" s="491" t="n"/>
      <c r="J556" s="491" t="n"/>
      <c r="K556" s="491" t="n"/>
      <c r="L556" s="491" t="n"/>
      <c r="M556" s="491" t="n"/>
      <c r="N556" s="491" t="n"/>
      <c r="O556" s="491" t="n"/>
      <c r="P556" s="491" t="n"/>
      <c r="Q556" s="491" t="n"/>
      <c r="R556" s="491" t="n"/>
      <c r="S556" s="491" t="n"/>
      <c r="T556" s="491" t="n"/>
      <c r="U556" s="491" t="n"/>
      <c r="V556" s="491" t="n"/>
      <c r="W556" s="491" t="n"/>
      <c r="X556" s="491" t="n"/>
      <c r="Y556" s="491" t="n"/>
    </row>
    <row r="557" ht="12.75" customHeight="1" s="398">
      <c r="A557" s="491" t="n"/>
      <c r="B557" s="491" t="n"/>
      <c r="C557" s="491" t="n"/>
      <c r="D557" s="491" t="n"/>
      <c r="E557" s="491" t="n"/>
      <c r="F557" s="491" t="n"/>
      <c r="G557" s="491" t="n"/>
      <c r="H557" s="491" t="n"/>
      <c r="I557" s="491" t="n"/>
      <c r="J557" s="491" t="n"/>
      <c r="K557" s="491" t="n"/>
      <c r="L557" s="491" t="n"/>
      <c r="M557" s="491" t="n"/>
      <c r="N557" s="491" t="n"/>
      <c r="O557" s="491" t="n"/>
      <c r="P557" s="491" t="n"/>
      <c r="Q557" s="491" t="n"/>
      <c r="R557" s="491" t="n"/>
      <c r="S557" s="491" t="n"/>
      <c r="T557" s="491" t="n"/>
      <c r="U557" s="491" t="n"/>
      <c r="V557" s="491" t="n"/>
      <c r="W557" s="491" t="n"/>
      <c r="X557" s="491" t="n"/>
      <c r="Y557" s="491" t="n"/>
    </row>
    <row r="558" ht="12.75" customHeight="1" s="398">
      <c r="A558" s="491" t="n"/>
      <c r="B558" s="491" t="n"/>
      <c r="C558" s="491" t="n"/>
      <c r="D558" s="491" t="n"/>
      <c r="E558" s="491" t="n"/>
      <c r="F558" s="491" t="n"/>
      <c r="G558" s="491" t="n"/>
      <c r="H558" s="491" t="n"/>
      <c r="I558" s="491" t="n"/>
      <c r="J558" s="491" t="n"/>
      <c r="K558" s="491" t="n"/>
      <c r="L558" s="491" t="n"/>
      <c r="M558" s="491" t="n"/>
      <c r="N558" s="491" t="n"/>
      <c r="O558" s="491" t="n"/>
      <c r="P558" s="491" t="n"/>
      <c r="Q558" s="491" t="n"/>
      <c r="R558" s="491" t="n"/>
      <c r="S558" s="491" t="n"/>
      <c r="T558" s="491" t="n"/>
      <c r="U558" s="491" t="n"/>
      <c r="V558" s="491" t="n"/>
      <c r="W558" s="491" t="n"/>
      <c r="X558" s="491" t="n"/>
      <c r="Y558" s="491" t="n"/>
    </row>
    <row r="559" ht="12.75" customHeight="1" s="398">
      <c r="A559" s="491" t="n"/>
      <c r="B559" s="491" t="n"/>
      <c r="C559" s="491" t="n"/>
      <c r="D559" s="491" t="n"/>
      <c r="E559" s="491" t="n"/>
      <c r="F559" s="491" t="n"/>
      <c r="G559" s="491" t="n"/>
      <c r="H559" s="491" t="n"/>
      <c r="I559" s="491" t="n"/>
      <c r="J559" s="491" t="n"/>
      <c r="K559" s="491" t="n"/>
      <c r="L559" s="491" t="n"/>
      <c r="M559" s="491" t="n"/>
      <c r="N559" s="491" t="n"/>
      <c r="O559" s="491" t="n"/>
      <c r="P559" s="491" t="n"/>
      <c r="Q559" s="491" t="n"/>
      <c r="R559" s="491" t="n"/>
      <c r="S559" s="491" t="n"/>
      <c r="T559" s="491" t="n"/>
      <c r="U559" s="491" t="n"/>
      <c r="V559" s="491" t="n"/>
      <c r="W559" s="491" t="n"/>
      <c r="X559" s="491" t="n"/>
      <c r="Y559" s="491" t="n"/>
    </row>
    <row r="560" ht="12.75" customHeight="1" s="398">
      <c r="A560" s="491" t="n"/>
      <c r="B560" s="491" t="n"/>
      <c r="C560" s="491" t="n"/>
      <c r="D560" s="491" t="n"/>
      <c r="E560" s="491" t="n"/>
      <c r="F560" s="491" t="n"/>
      <c r="G560" s="491" t="n"/>
      <c r="H560" s="491" t="n"/>
      <c r="I560" s="491" t="n"/>
      <c r="J560" s="491" t="n"/>
      <c r="K560" s="491" t="n"/>
      <c r="L560" s="491" t="n"/>
      <c r="M560" s="491" t="n"/>
      <c r="N560" s="491" t="n"/>
      <c r="O560" s="491" t="n"/>
      <c r="P560" s="491" t="n"/>
      <c r="Q560" s="491" t="n"/>
      <c r="R560" s="491" t="n"/>
      <c r="S560" s="491" t="n"/>
      <c r="T560" s="491" t="n"/>
      <c r="U560" s="491" t="n"/>
      <c r="V560" s="491" t="n"/>
      <c r="W560" s="491" t="n"/>
      <c r="X560" s="491" t="n"/>
      <c r="Y560" s="491" t="n"/>
    </row>
    <row r="561" ht="12.75" customHeight="1" s="398">
      <c r="A561" s="491" t="n"/>
      <c r="B561" s="491" t="n"/>
      <c r="C561" s="491" t="n"/>
      <c r="D561" s="491" t="n"/>
      <c r="E561" s="491" t="n"/>
      <c r="F561" s="491" t="n"/>
      <c r="G561" s="491" t="n"/>
      <c r="H561" s="491" t="n"/>
      <c r="I561" s="491" t="n"/>
      <c r="J561" s="491" t="n"/>
      <c r="K561" s="491" t="n"/>
      <c r="L561" s="491" t="n"/>
      <c r="M561" s="491" t="n"/>
      <c r="N561" s="491" t="n"/>
      <c r="O561" s="491" t="n"/>
      <c r="P561" s="491" t="n"/>
      <c r="Q561" s="491" t="n"/>
      <c r="R561" s="491" t="n"/>
      <c r="S561" s="491" t="n"/>
      <c r="T561" s="491" t="n"/>
      <c r="U561" s="491" t="n"/>
      <c r="V561" s="491" t="n"/>
      <c r="W561" s="491" t="n"/>
      <c r="X561" s="491" t="n"/>
      <c r="Y561" s="491" t="n"/>
    </row>
    <row r="562" ht="12.75" customHeight="1" s="398">
      <c r="A562" s="491" t="n"/>
      <c r="B562" s="491" t="n"/>
      <c r="C562" s="491" t="n"/>
      <c r="D562" s="491" t="n"/>
      <c r="E562" s="491" t="n"/>
      <c r="F562" s="491" t="n"/>
      <c r="G562" s="491" t="n"/>
      <c r="H562" s="491" t="n"/>
      <c r="I562" s="491" t="n"/>
      <c r="J562" s="491" t="n"/>
      <c r="K562" s="491" t="n"/>
      <c r="L562" s="491" t="n"/>
      <c r="M562" s="491" t="n"/>
      <c r="N562" s="491" t="n"/>
      <c r="O562" s="491" t="n"/>
      <c r="P562" s="491" t="n"/>
      <c r="Q562" s="491" t="n"/>
      <c r="R562" s="491" t="n"/>
      <c r="S562" s="491" t="n"/>
      <c r="T562" s="491" t="n"/>
      <c r="U562" s="491" t="n"/>
      <c r="V562" s="491" t="n"/>
      <c r="W562" s="491" t="n"/>
      <c r="X562" s="491" t="n"/>
      <c r="Y562" s="491" t="n"/>
    </row>
    <row r="563" ht="12.75" customHeight="1" s="398">
      <c r="A563" s="491" t="n"/>
      <c r="B563" s="491" t="n"/>
      <c r="C563" s="491" t="n"/>
      <c r="D563" s="491" t="n"/>
      <c r="E563" s="491" t="n"/>
      <c r="F563" s="491" t="n"/>
      <c r="G563" s="491" t="n"/>
      <c r="H563" s="491" t="n"/>
      <c r="I563" s="491" t="n"/>
      <c r="J563" s="491" t="n"/>
      <c r="K563" s="491" t="n"/>
      <c r="L563" s="491" t="n"/>
      <c r="M563" s="491" t="n"/>
      <c r="N563" s="491" t="n"/>
      <c r="O563" s="491" t="n"/>
      <c r="P563" s="491" t="n"/>
      <c r="Q563" s="491" t="n"/>
      <c r="R563" s="491" t="n"/>
      <c r="S563" s="491" t="n"/>
      <c r="T563" s="491" t="n"/>
      <c r="U563" s="491" t="n"/>
      <c r="V563" s="491" t="n"/>
      <c r="W563" s="491" t="n"/>
      <c r="X563" s="491" t="n"/>
      <c r="Y563" s="491" t="n"/>
    </row>
    <row r="564" ht="12.75" customHeight="1" s="398">
      <c r="A564" s="491" t="n"/>
      <c r="B564" s="491" t="n"/>
      <c r="C564" s="491" t="n"/>
      <c r="D564" s="491" t="n"/>
      <c r="E564" s="491" t="n"/>
      <c r="F564" s="491" t="n"/>
      <c r="G564" s="491" t="n"/>
      <c r="H564" s="491" t="n"/>
      <c r="I564" s="491" t="n"/>
      <c r="J564" s="491" t="n"/>
      <c r="K564" s="491" t="n"/>
      <c r="L564" s="491" t="n"/>
      <c r="M564" s="491" t="n"/>
      <c r="N564" s="491" t="n"/>
      <c r="O564" s="491" t="n"/>
      <c r="P564" s="491" t="n"/>
      <c r="Q564" s="491" t="n"/>
      <c r="R564" s="491" t="n"/>
      <c r="S564" s="491" t="n"/>
      <c r="T564" s="491" t="n"/>
      <c r="U564" s="491" t="n"/>
      <c r="V564" s="491" t="n"/>
      <c r="W564" s="491" t="n"/>
      <c r="X564" s="491" t="n"/>
      <c r="Y564" s="491" t="n"/>
    </row>
    <row r="565" ht="12.75" customHeight="1" s="398">
      <c r="A565" s="491" t="n"/>
      <c r="B565" s="491" t="n"/>
      <c r="C565" s="491" t="n"/>
      <c r="D565" s="491" t="n"/>
      <c r="E565" s="491" t="n"/>
      <c r="F565" s="491" t="n"/>
      <c r="G565" s="491" t="n"/>
      <c r="H565" s="491" t="n"/>
      <c r="I565" s="491" t="n"/>
      <c r="J565" s="491" t="n"/>
      <c r="K565" s="491" t="n"/>
      <c r="L565" s="491" t="n"/>
      <c r="M565" s="491" t="n"/>
      <c r="N565" s="491" t="n"/>
      <c r="O565" s="491" t="n"/>
      <c r="P565" s="491" t="n"/>
      <c r="Q565" s="491" t="n"/>
      <c r="R565" s="491" t="n"/>
      <c r="S565" s="491" t="n"/>
      <c r="T565" s="491" t="n"/>
      <c r="U565" s="491" t="n"/>
      <c r="V565" s="491" t="n"/>
      <c r="W565" s="491" t="n"/>
      <c r="X565" s="491" t="n"/>
      <c r="Y565" s="491" t="n"/>
    </row>
    <row r="566" ht="12.75" customHeight="1" s="398">
      <c r="A566" s="491" t="n"/>
      <c r="B566" s="491" t="n"/>
      <c r="C566" s="491" t="n"/>
      <c r="D566" s="491" t="n"/>
      <c r="E566" s="491" t="n"/>
      <c r="F566" s="491" t="n"/>
      <c r="G566" s="491" t="n"/>
      <c r="H566" s="491" t="n"/>
      <c r="I566" s="491" t="n"/>
      <c r="J566" s="491" t="n"/>
      <c r="K566" s="491" t="n"/>
      <c r="L566" s="491" t="n"/>
      <c r="M566" s="491" t="n"/>
      <c r="N566" s="491" t="n"/>
      <c r="O566" s="491" t="n"/>
      <c r="P566" s="491" t="n"/>
      <c r="Q566" s="491" t="n"/>
      <c r="R566" s="491" t="n"/>
      <c r="S566" s="491" t="n"/>
      <c r="T566" s="491" t="n"/>
      <c r="U566" s="491" t="n"/>
      <c r="V566" s="491" t="n"/>
      <c r="W566" s="491" t="n"/>
      <c r="X566" s="491" t="n"/>
      <c r="Y566" s="491" t="n"/>
    </row>
    <row r="567" ht="12.75" customHeight="1" s="398">
      <c r="A567" s="491" t="n"/>
      <c r="B567" s="491" t="n"/>
      <c r="C567" s="491" t="n"/>
      <c r="D567" s="491" t="n"/>
      <c r="E567" s="491" t="n"/>
      <c r="F567" s="491" t="n"/>
      <c r="G567" s="491" t="n"/>
      <c r="H567" s="491" t="n"/>
      <c r="I567" s="491" t="n"/>
      <c r="J567" s="491" t="n"/>
      <c r="K567" s="491" t="n"/>
      <c r="L567" s="491" t="n"/>
      <c r="M567" s="491" t="n"/>
      <c r="N567" s="491" t="n"/>
      <c r="O567" s="491" t="n"/>
      <c r="P567" s="491" t="n"/>
      <c r="Q567" s="491" t="n"/>
      <c r="R567" s="491" t="n"/>
      <c r="S567" s="491" t="n"/>
      <c r="T567" s="491" t="n"/>
      <c r="U567" s="491" t="n"/>
      <c r="V567" s="491" t="n"/>
      <c r="W567" s="491" t="n"/>
      <c r="X567" s="491" t="n"/>
      <c r="Y567" s="491" t="n"/>
    </row>
    <row r="568" ht="12.75" customHeight="1" s="398">
      <c r="A568" s="491" t="n"/>
      <c r="B568" s="491" t="n"/>
      <c r="C568" s="491" t="n"/>
      <c r="D568" s="491" t="n"/>
      <c r="E568" s="491" t="n"/>
      <c r="F568" s="491" t="n"/>
      <c r="G568" s="491" t="n"/>
      <c r="H568" s="491" t="n"/>
      <c r="I568" s="491" t="n"/>
      <c r="J568" s="491" t="n"/>
      <c r="K568" s="491" t="n"/>
      <c r="L568" s="491" t="n"/>
      <c r="M568" s="491" t="n"/>
      <c r="N568" s="491" t="n"/>
      <c r="O568" s="491" t="n"/>
      <c r="P568" s="491" t="n"/>
      <c r="Q568" s="491" t="n"/>
      <c r="R568" s="491" t="n"/>
      <c r="S568" s="491" t="n"/>
      <c r="T568" s="491" t="n"/>
      <c r="U568" s="491" t="n"/>
      <c r="V568" s="491" t="n"/>
      <c r="W568" s="491" t="n"/>
      <c r="X568" s="491" t="n"/>
      <c r="Y568" s="491" t="n"/>
    </row>
    <row r="569" ht="12.75" customHeight="1" s="398">
      <c r="A569" s="491" t="n"/>
      <c r="B569" s="491" t="n"/>
      <c r="C569" s="491" t="n"/>
      <c r="D569" s="491" t="n"/>
      <c r="E569" s="491" t="n"/>
      <c r="F569" s="491" t="n"/>
      <c r="G569" s="491" t="n"/>
      <c r="H569" s="491" t="n"/>
      <c r="I569" s="491" t="n"/>
      <c r="J569" s="491" t="n"/>
      <c r="K569" s="491" t="n"/>
      <c r="L569" s="491" t="n"/>
      <c r="M569" s="491" t="n"/>
      <c r="N569" s="491" t="n"/>
      <c r="O569" s="491" t="n"/>
      <c r="P569" s="491" t="n"/>
      <c r="Q569" s="491" t="n"/>
      <c r="R569" s="491" t="n"/>
      <c r="S569" s="491" t="n"/>
      <c r="T569" s="491" t="n"/>
      <c r="U569" s="491" t="n"/>
      <c r="V569" s="491" t="n"/>
      <c r="W569" s="491" t="n"/>
      <c r="X569" s="491" t="n"/>
      <c r="Y569" s="491" t="n"/>
    </row>
    <row r="570" ht="12.75" customHeight="1" s="398">
      <c r="A570" s="491" t="n"/>
      <c r="B570" s="491" t="n"/>
      <c r="C570" s="491" t="n"/>
      <c r="D570" s="491" t="n"/>
      <c r="E570" s="491" t="n"/>
      <c r="F570" s="491" t="n"/>
      <c r="G570" s="491" t="n"/>
      <c r="H570" s="491" t="n"/>
      <c r="I570" s="491" t="n"/>
      <c r="J570" s="491" t="n"/>
      <c r="K570" s="491" t="n"/>
      <c r="L570" s="491" t="n"/>
      <c r="M570" s="491" t="n"/>
      <c r="N570" s="491" t="n"/>
      <c r="O570" s="491" t="n"/>
      <c r="P570" s="491" t="n"/>
      <c r="Q570" s="491" t="n"/>
      <c r="R570" s="491" t="n"/>
      <c r="S570" s="491" t="n"/>
      <c r="T570" s="491" t="n"/>
      <c r="U570" s="491" t="n"/>
      <c r="V570" s="491" t="n"/>
      <c r="W570" s="491" t="n"/>
      <c r="X570" s="491" t="n"/>
      <c r="Y570" s="491" t="n"/>
    </row>
    <row r="571" ht="12.75" customHeight="1" s="398">
      <c r="A571" s="491" t="n"/>
      <c r="B571" s="491" t="n"/>
      <c r="C571" s="491" t="n"/>
      <c r="D571" s="491" t="n"/>
      <c r="E571" s="491" t="n"/>
      <c r="F571" s="491" t="n"/>
      <c r="G571" s="491" t="n"/>
      <c r="H571" s="491" t="n"/>
      <c r="I571" s="491" t="n"/>
      <c r="J571" s="491" t="n"/>
      <c r="K571" s="491" t="n"/>
      <c r="L571" s="491" t="n"/>
      <c r="M571" s="491" t="n"/>
      <c r="N571" s="491" t="n"/>
      <c r="O571" s="491" t="n"/>
      <c r="P571" s="491" t="n"/>
      <c r="Q571" s="491" t="n"/>
      <c r="R571" s="491" t="n"/>
      <c r="S571" s="491" t="n"/>
      <c r="T571" s="491" t="n"/>
      <c r="U571" s="491" t="n"/>
      <c r="V571" s="491" t="n"/>
      <c r="W571" s="491" t="n"/>
      <c r="X571" s="491" t="n"/>
      <c r="Y571" s="491" t="n"/>
    </row>
    <row r="572" ht="12.75" customHeight="1" s="398">
      <c r="A572" s="491" t="n"/>
      <c r="B572" s="491" t="n"/>
      <c r="C572" s="491" t="n"/>
      <c r="D572" s="491" t="n"/>
      <c r="E572" s="491" t="n"/>
      <c r="F572" s="491" t="n"/>
      <c r="G572" s="491" t="n"/>
      <c r="H572" s="491" t="n"/>
      <c r="I572" s="491" t="n"/>
      <c r="J572" s="491" t="n"/>
      <c r="K572" s="491" t="n"/>
      <c r="L572" s="491" t="n"/>
      <c r="M572" s="491" t="n"/>
      <c r="N572" s="491" t="n"/>
      <c r="O572" s="491" t="n"/>
      <c r="P572" s="491" t="n"/>
      <c r="Q572" s="491" t="n"/>
      <c r="R572" s="491" t="n"/>
      <c r="S572" s="491" t="n"/>
      <c r="T572" s="491" t="n"/>
      <c r="U572" s="491" t="n"/>
      <c r="V572" s="491" t="n"/>
      <c r="W572" s="491" t="n"/>
      <c r="X572" s="491" t="n"/>
      <c r="Y572" s="491" t="n"/>
    </row>
    <row r="573" ht="12.75" customHeight="1" s="398">
      <c r="A573" s="491" t="n"/>
      <c r="B573" s="491" t="n"/>
      <c r="C573" s="491" t="n"/>
      <c r="D573" s="491" t="n"/>
      <c r="E573" s="491" t="n"/>
      <c r="F573" s="491" t="n"/>
      <c r="G573" s="491" t="n"/>
      <c r="H573" s="491" t="n"/>
      <c r="I573" s="491" t="n"/>
      <c r="J573" s="491" t="n"/>
      <c r="K573" s="491" t="n"/>
      <c r="L573" s="491" t="n"/>
      <c r="M573" s="491" t="n"/>
      <c r="N573" s="491" t="n"/>
      <c r="O573" s="491" t="n"/>
      <c r="P573" s="491" t="n"/>
      <c r="Q573" s="491" t="n"/>
      <c r="R573" s="491" t="n"/>
      <c r="S573" s="491" t="n"/>
      <c r="T573" s="491" t="n"/>
      <c r="U573" s="491" t="n"/>
      <c r="V573" s="491" t="n"/>
      <c r="W573" s="491" t="n"/>
      <c r="X573" s="491" t="n"/>
      <c r="Y573" s="491" t="n"/>
    </row>
    <row r="574" ht="12.75" customHeight="1" s="398">
      <c r="A574" s="491" t="n"/>
      <c r="B574" s="491" t="n"/>
      <c r="C574" s="491" t="n"/>
      <c r="D574" s="491" t="n"/>
      <c r="E574" s="491" t="n"/>
      <c r="F574" s="491" t="n"/>
      <c r="G574" s="491" t="n"/>
      <c r="H574" s="491" t="n"/>
      <c r="I574" s="491" t="n"/>
      <c r="J574" s="491" t="n"/>
      <c r="K574" s="491" t="n"/>
      <c r="L574" s="491" t="n"/>
      <c r="M574" s="491" t="n"/>
      <c r="N574" s="491" t="n"/>
      <c r="O574" s="491" t="n"/>
      <c r="P574" s="491" t="n"/>
      <c r="Q574" s="491" t="n"/>
      <c r="R574" s="491" t="n"/>
      <c r="S574" s="491" t="n"/>
      <c r="T574" s="491" t="n"/>
      <c r="U574" s="491" t="n"/>
      <c r="V574" s="491" t="n"/>
      <c r="W574" s="491" t="n"/>
      <c r="X574" s="491" t="n"/>
      <c r="Y574" s="491" t="n"/>
    </row>
    <row r="575" ht="12.75" customHeight="1" s="398">
      <c r="A575" s="491" t="n"/>
      <c r="B575" s="491" t="n"/>
      <c r="C575" s="491" t="n"/>
      <c r="D575" s="491" t="n"/>
      <c r="E575" s="491" t="n"/>
      <c r="F575" s="491" t="n"/>
      <c r="G575" s="491" t="n"/>
      <c r="H575" s="491" t="n"/>
      <c r="I575" s="491" t="n"/>
      <c r="J575" s="491" t="n"/>
      <c r="K575" s="491" t="n"/>
      <c r="L575" s="491" t="n"/>
      <c r="M575" s="491" t="n"/>
      <c r="N575" s="491" t="n"/>
      <c r="O575" s="491" t="n"/>
      <c r="P575" s="491" t="n"/>
      <c r="Q575" s="491" t="n"/>
      <c r="R575" s="491" t="n"/>
      <c r="S575" s="491" t="n"/>
      <c r="T575" s="491" t="n"/>
      <c r="U575" s="491" t="n"/>
      <c r="V575" s="491" t="n"/>
      <c r="W575" s="491" t="n"/>
      <c r="X575" s="491" t="n"/>
      <c r="Y575" s="491" t="n"/>
    </row>
    <row r="576" ht="12.75" customHeight="1" s="398">
      <c r="A576" s="491" t="n"/>
      <c r="B576" s="491" t="n"/>
      <c r="C576" s="491" t="n"/>
      <c r="D576" s="491" t="n"/>
      <c r="E576" s="491" t="n"/>
      <c r="F576" s="491" t="n"/>
      <c r="G576" s="491" t="n"/>
      <c r="H576" s="491" t="n"/>
      <c r="I576" s="491" t="n"/>
      <c r="J576" s="491" t="n"/>
      <c r="K576" s="491" t="n"/>
      <c r="L576" s="491" t="n"/>
      <c r="M576" s="491" t="n"/>
      <c r="N576" s="491" t="n"/>
      <c r="O576" s="491" t="n"/>
      <c r="P576" s="491" t="n"/>
      <c r="Q576" s="491" t="n"/>
      <c r="R576" s="491" t="n"/>
      <c r="S576" s="491" t="n"/>
      <c r="T576" s="491" t="n"/>
      <c r="U576" s="491" t="n"/>
      <c r="V576" s="491" t="n"/>
      <c r="W576" s="491" t="n"/>
      <c r="X576" s="491" t="n"/>
      <c r="Y576" s="491" t="n"/>
    </row>
    <row r="577" ht="12.75" customHeight="1" s="398">
      <c r="A577" s="491" t="n"/>
      <c r="B577" s="491" t="n"/>
      <c r="C577" s="491" t="n"/>
      <c r="D577" s="491" t="n"/>
      <c r="E577" s="491" t="n"/>
      <c r="F577" s="491" t="n"/>
      <c r="G577" s="491" t="n"/>
      <c r="H577" s="491" t="n"/>
      <c r="I577" s="491" t="n"/>
      <c r="J577" s="491" t="n"/>
      <c r="K577" s="491" t="n"/>
      <c r="L577" s="491" t="n"/>
      <c r="M577" s="491" t="n"/>
      <c r="N577" s="491" t="n"/>
      <c r="O577" s="491" t="n"/>
      <c r="P577" s="491" t="n"/>
      <c r="Q577" s="491" t="n"/>
      <c r="R577" s="491" t="n"/>
      <c r="S577" s="491" t="n"/>
      <c r="T577" s="491" t="n"/>
      <c r="U577" s="491" t="n"/>
      <c r="V577" s="491" t="n"/>
      <c r="W577" s="491" t="n"/>
      <c r="X577" s="491" t="n"/>
      <c r="Y577" s="491" t="n"/>
    </row>
    <row r="578" ht="12.75" customHeight="1" s="398">
      <c r="A578" s="491" t="n"/>
      <c r="B578" s="491" t="n"/>
      <c r="C578" s="491" t="n"/>
      <c r="D578" s="491" t="n"/>
      <c r="E578" s="491" t="n"/>
      <c r="F578" s="491" t="n"/>
      <c r="G578" s="491" t="n"/>
      <c r="H578" s="491" t="n"/>
      <c r="I578" s="491" t="n"/>
      <c r="J578" s="491" t="n"/>
      <c r="K578" s="491" t="n"/>
      <c r="L578" s="491" t="n"/>
      <c r="M578" s="491" t="n"/>
      <c r="N578" s="491" t="n"/>
      <c r="O578" s="491" t="n"/>
      <c r="P578" s="491" t="n"/>
      <c r="Q578" s="491" t="n"/>
      <c r="R578" s="491" t="n"/>
      <c r="S578" s="491" t="n"/>
      <c r="T578" s="491" t="n"/>
      <c r="U578" s="491" t="n"/>
      <c r="V578" s="491" t="n"/>
      <c r="W578" s="491" t="n"/>
      <c r="X578" s="491" t="n"/>
      <c r="Y578" s="491" t="n"/>
    </row>
    <row r="579" ht="12.75" customHeight="1" s="398">
      <c r="A579" s="491" t="n"/>
      <c r="B579" s="491" t="n"/>
      <c r="C579" s="491" t="n"/>
      <c r="D579" s="491" t="n"/>
      <c r="E579" s="491" t="n"/>
      <c r="F579" s="491" t="n"/>
      <c r="G579" s="491" t="n"/>
      <c r="H579" s="491" t="n"/>
      <c r="I579" s="491" t="n"/>
      <c r="J579" s="491" t="n"/>
      <c r="K579" s="491" t="n"/>
      <c r="L579" s="491" t="n"/>
      <c r="M579" s="491" t="n"/>
      <c r="N579" s="491" t="n"/>
      <c r="O579" s="491" t="n"/>
      <c r="P579" s="491" t="n"/>
      <c r="Q579" s="491" t="n"/>
      <c r="R579" s="491" t="n"/>
      <c r="S579" s="491" t="n"/>
      <c r="T579" s="491" t="n"/>
      <c r="U579" s="491" t="n"/>
      <c r="V579" s="491" t="n"/>
      <c r="W579" s="491" t="n"/>
      <c r="X579" s="491" t="n"/>
      <c r="Y579" s="491" t="n"/>
    </row>
    <row r="580" ht="12.75" customHeight="1" s="398">
      <c r="A580" s="491" t="n"/>
      <c r="B580" s="491" t="n"/>
      <c r="C580" s="491" t="n"/>
      <c r="D580" s="491" t="n"/>
      <c r="E580" s="491" t="n"/>
      <c r="F580" s="491" t="n"/>
      <c r="G580" s="491" t="n"/>
      <c r="H580" s="491" t="n"/>
      <c r="I580" s="491" t="n"/>
      <c r="J580" s="491" t="n"/>
      <c r="K580" s="491" t="n"/>
      <c r="L580" s="491" t="n"/>
      <c r="M580" s="491" t="n"/>
      <c r="N580" s="491" t="n"/>
      <c r="O580" s="491" t="n"/>
      <c r="P580" s="491" t="n"/>
      <c r="Q580" s="491" t="n"/>
      <c r="R580" s="491" t="n"/>
      <c r="S580" s="491" t="n"/>
      <c r="T580" s="491" t="n"/>
      <c r="U580" s="491" t="n"/>
      <c r="V580" s="491" t="n"/>
      <c r="W580" s="491" t="n"/>
      <c r="X580" s="491" t="n"/>
      <c r="Y580" s="491" t="n"/>
    </row>
    <row r="581" ht="12.75" customHeight="1" s="398">
      <c r="A581" s="491" t="n"/>
      <c r="B581" s="491" t="n"/>
      <c r="C581" s="491" t="n"/>
      <c r="D581" s="491" t="n"/>
      <c r="E581" s="491" t="n"/>
      <c r="F581" s="491" t="n"/>
      <c r="G581" s="491" t="n"/>
      <c r="H581" s="491" t="n"/>
      <c r="I581" s="491" t="n"/>
      <c r="J581" s="491" t="n"/>
      <c r="K581" s="491" t="n"/>
      <c r="L581" s="491" t="n"/>
      <c r="M581" s="491" t="n"/>
      <c r="N581" s="491" t="n"/>
      <c r="O581" s="491" t="n"/>
      <c r="P581" s="491" t="n"/>
      <c r="Q581" s="491" t="n"/>
      <c r="R581" s="491" t="n"/>
      <c r="S581" s="491" t="n"/>
      <c r="T581" s="491" t="n"/>
      <c r="U581" s="491" t="n"/>
      <c r="V581" s="491" t="n"/>
      <c r="W581" s="491" t="n"/>
      <c r="X581" s="491" t="n"/>
      <c r="Y581" s="491" t="n"/>
    </row>
    <row r="582" ht="12.75" customHeight="1" s="398">
      <c r="A582" s="491" t="n"/>
      <c r="B582" s="491" t="n"/>
      <c r="C582" s="491" t="n"/>
      <c r="D582" s="491" t="n"/>
      <c r="E582" s="491" t="n"/>
      <c r="F582" s="491" t="n"/>
      <c r="G582" s="491" t="n"/>
      <c r="H582" s="491" t="n"/>
      <c r="I582" s="491" t="n"/>
      <c r="J582" s="491" t="n"/>
      <c r="K582" s="491" t="n"/>
      <c r="L582" s="491" t="n"/>
      <c r="M582" s="491" t="n"/>
      <c r="N582" s="491" t="n"/>
      <c r="O582" s="491" t="n"/>
      <c r="P582" s="491" t="n"/>
      <c r="Q582" s="491" t="n"/>
      <c r="R582" s="491" t="n"/>
      <c r="S582" s="491" t="n"/>
      <c r="T582" s="491" t="n"/>
      <c r="U582" s="491" t="n"/>
      <c r="V582" s="491" t="n"/>
      <c r="W582" s="491" t="n"/>
      <c r="X582" s="491" t="n"/>
      <c r="Y582" s="491" t="n"/>
    </row>
    <row r="583" ht="12.75" customHeight="1" s="398">
      <c r="A583" s="491" t="n"/>
      <c r="B583" s="491" t="n"/>
      <c r="C583" s="491" t="n"/>
      <c r="D583" s="491" t="n"/>
      <c r="E583" s="491" t="n"/>
      <c r="F583" s="491" t="n"/>
      <c r="G583" s="491" t="n"/>
      <c r="H583" s="491" t="n"/>
      <c r="I583" s="491" t="n"/>
      <c r="J583" s="491" t="n"/>
      <c r="K583" s="491" t="n"/>
      <c r="L583" s="491" t="n"/>
      <c r="M583" s="491" t="n"/>
      <c r="N583" s="491" t="n"/>
      <c r="O583" s="491" t="n"/>
      <c r="P583" s="491" t="n"/>
      <c r="Q583" s="491" t="n"/>
      <c r="R583" s="491" t="n"/>
      <c r="S583" s="491" t="n"/>
      <c r="T583" s="491" t="n"/>
      <c r="U583" s="491" t="n"/>
      <c r="V583" s="491" t="n"/>
      <c r="W583" s="491" t="n"/>
      <c r="X583" s="491" t="n"/>
      <c r="Y583" s="491" t="n"/>
    </row>
    <row r="584" ht="12.75" customHeight="1" s="398">
      <c r="A584" s="491" t="n"/>
      <c r="B584" s="491" t="n"/>
      <c r="C584" s="491" t="n"/>
      <c r="D584" s="491" t="n"/>
      <c r="E584" s="491" t="n"/>
      <c r="F584" s="491" t="n"/>
      <c r="G584" s="491" t="n"/>
      <c r="H584" s="491" t="n"/>
      <c r="I584" s="491" t="n"/>
      <c r="J584" s="491" t="n"/>
      <c r="K584" s="491" t="n"/>
      <c r="L584" s="491" t="n"/>
      <c r="M584" s="491" t="n"/>
      <c r="N584" s="491" t="n"/>
      <c r="O584" s="491" t="n"/>
      <c r="P584" s="491" t="n"/>
      <c r="Q584" s="491" t="n"/>
      <c r="R584" s="491" t="n"/>
      <c r="S584" s="491" t="n"/>
      <c r="T584" s="491" t="n"/>
      <c r="U584" s="491" t="n"/>
      <c r="V584" s="491" t="n"/>
      <c r="W584" s="491" t="n"/>
      <c r="X584" s="491" t="n"/>
      <c r="Y584" s="491" t="n"/>
    </row>
    <row r="585" ht="12.75" customHeight="1" s="398">
      <c r="A585" s="491" t="n"/>
      <c r="B585" s="491" t="n"/>
      <c r="C585" s="491" t="n"/>
      <c r="D585" s="491" t="n"/>
      <c r="E585" s="491" t="n"/>
      <c r="F585" s="491" t="n"/>
      <c r="G585" s="491" t="n"/>
      <c r="H585" s="491" t="n"/>
      <c r="I585" s="491" t="n"/>
      <c r="J585" s="491" t="n"/>
      <c r="K585" s="491" t="n"/>
      <c r="L585" s="491" t="n"/>
      <c r="M585" s="491" t="n"/>
      <c r="N585" s="491" t="n"/>
      <c r="O585" s="491" t="n"/>
      <c r="P585" s="491" t="n"/>
      <c r="Q585" s="491" t="n"/>
      <c r="R585" s="491" t="n"/>
      <c r="S585" s="491" t="n"/>
      <c r="T585" s="491" t="n"/>
      <c r="U585" s="491" t="n"/>
      <c r="V585" s="491" t="n"/>
      <c r="W585" s="491" t="n"/>
      <c r="X585" s="491" t="n"/>
      <c r="Y585" s="491" t="n"/>
    </row>
    <row r="586" ht="12.75" customHeight="1" s="398">
      <c r="A586" s="491" t="n"/>
      <c r="B586" s="491" t="n"/>
      <c r="C586" s="491" t="n"/>
      <c r="D586" s="491" t="n"/>
      <c r="E586" s="491" t="n"/>
      <c r="F586" s="491" t="n"/>
      <c r="G586" s="491" t="n"/>
      <c r="H586" s="491" t="n"/>
      <c r="I586" s="491" t="n"/>
      <c r="J586" s="491" t="n"/>
      <c r="K586" s="491" t="n"/>
      <c r="L586" s="491" t="n"/>
      <c r="M586" s="491" t="n"/>
      <c r="N586" s="491" t="n"/>
      <c r="O586" s="491" t="n"/>
      <c r="P586" s="491" t="n"/>
      <c r="Q586" s="491" t="n"/>
      <c r="R586" s="491" t="n"/>
      <c r="S586" s="491" t="n"/>
      <c r="T586" s="491" t="n"/>
      <c r="U586" s="491" t="n"/>
      <c r="V586" s="491" t="n"/>
      <c r="W586" s="491" t="n"/>
      <c r="X586" s="491" t="n"/>
      <c r="Y586" s="491" t="n"/>
    </row>
    <row r="587" ht="12.75" customHeight="1" s="398">
      <c r="A587" s="491" t="n"/>
      <c r="B587" s="491" t="n"/>
      <c r="C587" s="491" t="n"/>
      <c r="D587" s="491" t="n"/>
      <c r="E587" s="491" t="n"/>
      <c r="F587" s="491" t="n"/>
      <c r="G587" s="491" t="n"/>
      <c r="H587" s="491" t="n"/>
      <c r="I587" s="491" t="n"/>
      <c r="J587" s="491" t="n"/>
      <c r="K587" s="491" t="n"/>
      <c r="L587" s="491" t="n"/>
      <c r="M587" s="491" t="n"/>
      <c r="N587" s="491" t="n"/>
      <c r="O587" s="491" t="n"/>
      <c r="P587" s="491" t="n"/>
      <c r="Q587" s="491" t="n"/>
      <c r="R587" s="491" t="n"/>
      <c r="S587" s="491" t="n"/>
      <c r="T587" s="491" t="n"/>
      <c r="U587" s="491" t="n"/>
      <c r="V587" s="491" t="n"/>
      <c r="W587" s="491" t="n"/>
      <c r="X587" s="491" t="n"/>
      <c r="Y587" s="491" t="n"/>
    </row>
    <row r="588" ht="12.75" customHeight="1" s="398">
      <c r="A588" s="491" t="n"/>
      <c r="B588" s="491" t="n"/>
      <c r="C588" s="491" t="n"/>
      <c r="D588" s="491" t="n"/>
      <c r="E588" s="491" t="n"/>
      <c r="F588" s="491" t="n"/>
      <c r="G588" s="491" t="n"/>
      <c r="H588" s="491" t="n"/>
      <c r="I588" s="491" t="n"/>
      <c r="J588" s="491" t="n"/>
      <c r="K588" s="491" t="n"/>
      <c r="L588" s="491" t="n"/>
      <c r="M588" s="491" t="n"/>
      <c r="N588" s="491" t="n"/>
      <c r="O588" s="491" t="n"/>
      <c r="P588" s="491" t="n"/>
      <c r="Q588" s="491" t="n"/>
      <c r="R588" s="491" t="n"/>
      <c r="S588" s="491" t="n"/>
      <c r="T588" s="491" t="n"/>
      <c r="U588" s="491" t="n"/>
      <c r="V588" s="491" t="n"/>
      <c r="W588" s="491" t="n"/>
      <c r="X588" s="491" t="n"/>
      <c r="Y588" s="491" t="n"/>
    </row>
    <row r="589" ht="12.75" customHeight="1" s="398">
      <c r="A589" s="491" t="n"/>
      <c r="B589" s="491" t="n"/>
      <c r="C589" s="491" t="n"/>
      <c r="D589" s="491" t="n"/>
      <c r="E589" s="491" t="n"/>
      <c r="F589" s="491" t="n"/>
      <c r="G589" s="491" t="n"/>
      <c r="H589" s="491" t="n"/>
      <c r="I589" s="491" t="n"/>
      <c r="J589" s="491" t="n"/>
      <c r="K589" s="491" t="n"/>
      <c r="L589" s="491" t="n"/>
      <c r="M589" s="491" t="n"/>
      <c r="N589" s="491" t="n"/>
      <c r="O589" s="491" t="n"/>
      <c r="P589" s="491" t="n"/>
      <c r="Q589" s="491" t="n"/>
      <c r="R589" s="491" t="n"/>
      <c r="S589" s="491" t="n"/>
      <c r="T589" s="491" t="n"/>
      <c r="U589" s="491" t="n"/>
      <c r="V589" s="491" t="n"/>
      <c r="W589" s="491" t="n"/>
      <c r="X589" s="491" t="n"/>
      <c r="Y589" s="491" t="n"/>
    </row>
    <row r="590" ht="12.75" customHeight="1" s="398">
      <c r="A590" s="491" t="n"/>
      <c r="B590" s="491" t="n"/>
      <c r="C590" s="491" t="n"/>
      <c r="D590" s="491" t="n"/>
      <c r="E590" s="491" t="n"/>
      <c r="F590" s="491" t="n"/>
      <c r="G590" s="491" t="n"/>
      <c r="H590" s="491" t="n"/>
      <c r="I590" s="491" t="n"/>
      <c r="J590" s="491" t="n"/>
      <c r="K590" s="491" t="n"/>
      <c r="L590" s="491" t="n"/>
      <c r="M590" s="491" t="n"/>
      <c r="N590" s="491" t="n"/>
      <c r="O590" s="491" t="n"/>
      <c r="P590" s="491" t="n"/>
      <c r="Q590" s="491" t="n"/>
      <c r="R590" s="491" t="n"/>
      <c r="S590" s="491" t="n"/>
      <c r="T590" s="491" t="n"/>
      <c r="U590" s="491" t="n"/>
      <c r="V590" s="491" t="n"/>
      <c r="W590" s="491" t="n"/>
      <c r="X590" s="491" t="n"/>
      <c r="Y590" s="491" t="n"/>
    </row>
    <row r="591" ht="12.75" customHeight="1" s="398">
      <c r="A591" s="491" t="n"/>
      <c r="B591" s="491" t="n"/>
      <c r="C591" s="491" t="n"/>
      <c r="D591" s="491" t="n"/>
      <c r="E591" s="491" t="n"/>
      <c r="F591" s="491" t="n"/>
      <c r="G591" s="491" t="n"/>
      <c r="H591" s="491" t="n"/>
      <c r="I591" s="491" t="n"/>
      <c r="J591" s="491" t="n"/>
      <c r="K591" s="491" t="n"/>
      <c r="L591" s="491" t="n"/>
      <c r="M591" s="491" t="n"/>
      <c r="N591" s="491" t="n"/>
      <c r="O591" s="491" t="n"/>
      <c r="P591" s="491" t="n"/>
      <c r="Q591" s="491" t="n"/>
      <c r="R591" s="491" t="n"/>
      <c r="S591" s="491" t="n"/>
      <c r="T591" s="491" t="n"/>
      <c r="U591" s="491" t="n"/>
      <c r="V591" s="491" t="n"/>
      <c r="W591" s="491" t="n"/>
      <c r="X591" s="491" t="n"/>
      <c r="Y591" s="491" t="n"/>
    </row>
    <row r="592" ht="12.75" customHeight="1" s="398">
      <c r="A592" s="491" t="n"/>
      <c r="B592" s="491" t="n"/>
      <c r="C592" s="491" t="n"/>
      <c r="D592" s="491" t="n"/>
      <c r="E592" s="491" t="n"/>
      <c r="F592" s="491" t="n"/>
      <c r="G592" s="491" t="n"/>
      <c r="H592" s="491" t="n"/>
      <c r="I592" s="491" t="n"/>
      <c r="J592" s="491" t="n"/>
      <c r="K592" s="491" t="n"/>
      <c r="L592" s="491" t="n"/>
      <c r="M592" s="491" t="n"/>
      <c r="N592" s="491" t="n"/>
      <c r="O592" s="491" t="n"/>
      <c r="P592" s="491" t="n"/>
      <c r="Q592" s="491" t="n"/>
      <c r="R592" s="491" t="n"/>
      <c r="S592" s="491" t="n"/>
      <c r="T592" s="491" t="n"/>
      <c r="U592" s="491" t="n"/>
      <c r="V592" s="491" t="n"/>
      <c r="W592" s="491" t="n"/>
      <c r="X592" s="491" t="n"/>
      <c r="Y592" s="491" t="n"/>
    </row>
    <row r="593" ht="12.75" customHeight="1" s="398">
      <c r="A593" s="491" t="n"/>
      <c r="B593" s="491" t="n"/>
      <c r="C593" s="491" t="n"/>
      <c r="D593" s="491" t="n"/>
      <c r="E593" s="491" t="n"/>
      <c r="F593" s="491" t="n"/>
      <c r="G593" s="491" t="n"/>
      <c r="H593" s="491" t="n"/>
      <c r="I593" s="491" t="n"/>
      <c r="J593" s="491" t="n"/>
      <c r="K593" s="491" t="n"/>
      <c r="L593" s="491" t="n"/>
      <c r="M593" s="491" t="n"/>
      <c r="N593" s="491" t="n"/>
      <c r="O593" s="491" t="n"/>
      <c r="P593" s="491" t="n"/>
      <c r="Q593" s="491" t="n"/>
      <c r="R593" s="491" t="n"/>
      <c r="S593" s="491" t="n"/>
      <c r="T593" s="491" t="n"/>
      <c r="U593" s="491" t="n"/>
      <c r="V593" s="491" t="n"/>
      <c r="W593" s="491" t="n"/>
      <c r="X593" s="491" t="n"/>
      <c r="Y593" s="491" t="n"/>
    </row>
    <row r="594" ht="12.75" customHeight="1" s="398">
      <c r="A594" s="491" t="n"/>
      <c r="B594" s="491" t="n"/>
      <c r="C594" s="491" t="n"/>
      <c r="D594" s="491" t="n"/>
      <c r="E594" s="491" t="n"/>
      <c r="F594" s="491" t="n"/>
      <c r="G594" s="491" t="n"/>
      <c r="H594" s="491" t="n"/>
      <c r="I594" s="491" t="n"/>
      <c r="J594" s="491" t="n"/>
      <c r="K594" s="491" t="n"/>
      <c r="L594" s="491" t="n"/>
      <c r="M594" s="491" t="n"/>
      <c r="N594" s="491" t="n"/>
      <c r="O594" s="491" t="n"/>
      <c r="P594" s="491" t="n"/>
      <c r="Q594" s="491" t="n"/>
      <c r="R594" s="491" t="n"/>
      <c r="S594" s="491" t="n"/>
      <c r="T594" s="491" t="n"/>
      <c r="U594" s="491" t="n"/>
      <c r="V594" s="491" t="n"/>
      <c r="W594" s="491" t="n"/>
      <c r="X594" s="491" t="n"/>
      <c r="Y594" s="491" t="n"/>
    </row>
    <row r="595" ht="12.75" customHeight="1" s="398">
      <c r="A595" s="491" t="n"/>
      <c r="B595" s="491" t="n"/>
      <c r="C595" s="491" t="n"/>
      <c r="D595" s="491" t="n"/>
      <c r="E595" s="491" t="n"/>
      <c r="F595" s="491" t="n"/>
      <c r="G595" s="491" t="n"/>
      <c r="H595" s="491" t="n"/>
      <c r="I595" s="491" t="n"/>
      <c r="J595" s="491" t="n"/>
      <c r="K595" s="491" t="n"/>
      <c r="L595" s="491" t="n"/>
      <c r="M595" s="491" t="n"/>
      <c r="N595" s="491" t="n"/>
      <c r="O595" s="491" t="n"/>
      <c r="P595" s="491" t="n"/>
      <c r="Q595" s="491" t="n"/>
      <c r="R595" s="491" t="n"/>
      <c r="S595" s="491" t="n"/>
      <c r="T595" s="491" t="n"/>
      <c r="U595" s="491" t="n"/>
      <c r="V595" s="491" t="n"/>
      <c r="W595" s="491" t="n"/>
      <c r="X595" s="491" t="n"/>
      <c r="Y595" s="491" t="n"/>
    </row>
    <row r="596" ht="12.75" customHeight="1" s="398">
      <c r="A596" s="491" t="n"/>
      <c r="B596" s="491" t="n"/>
      <c r="C596" s="491" t="n"/>
      <c r="D596" s="491" t="n"/>
      <c r="E596" s="491" t="n"/>
      <c r="F596" s="491" t="n"/>
      <c r="G596" s="491" t="n"/>
      <c r="H596" s="491" t="n"/>
      <c r="I596" s="491" t="n"/>
      <c r="J596" s="491" t="n"/>
      <c r="K596" s="491" t="n"/>
      <c r="L596" s="491" t="n"/>
      <c r="M596" s="491" t="n"/>
      <c r="N596" s="491" t="n"/>
      <c r="O596" s="491" t="n"/>
      <c r="P596" s="491" t="n"/>
      <c r="Q596" s="491" t="n"/>
      <c r="R596" s="491" t="n"/>
      <c r="S596" s="491" t="n"/>
      <c r="T596" s="491" t="n"/>
      <c r="U596" s="491" t="n"/>
      <c r="V596" s="491" t="n"/>
      <c r="W596" s="491" t="n"/>
      <c r="X596" s="491" t="n"/>
      <c r="Y596" s="491" t="n"/>
    </row>
    <row r="597" ht="12.75" customHeight="1" s="398">
      <c r="A597" s="491" t="n"/>
      <c r="B597" s="491" t="n"/>
      <c r="C597" s="491" t="n"/>
      <c r="D597" s="491" t="n"/>
      <c r="E597" s="491" t="n"/>
      <c r="F597" s="491" t="n"/>
      <c r="G597" s="491" t="n"/>
      <c r="H597" s="491" t="n"/>
      <c r="I597" s="491" t="n"/>
      <c r="J597" s="491" t="n"/>
      <c r="K597" s="491" t="n"/>
      <c r="L597" s="491" t="n"/>
      <c r="M597" s="491" t="n"/>
      <c r="N597" s="491" t="n"/>
      <c r="O597" s="491" t="n"/>
      <c r="P597" s="491" t="n"/>
      <c r="Q597" s="491" t="n"/>
      <c r="R597" s="491" t="n"/>
      <c r="S597" s="491" t="n"/>
      <c r="T597" s="491" t="n"/>
      <c r="U597" s="491" t="n"/>
      <c r="V597" s="491" t="n"/>
      <c r="W597" s="491" t="n"/>
      <c r="X597" s="491" t="n"/>
      <c r="Y597" s="491" t="n"/>
    </row>
    <row r="598" ht="12.75" customHeight="1" s="398">
      <c r="A598" s="491" t="n"/>
      <c r="B598" s="491" t="n"/>
      <c r="C598" s="491" t="n"/>
      <c r="D598" s="491" t="n"/>
      <c r="E598" s="491" t="n"/>
      <c r="F598" s="491" t="n"/>
      <c r="G598" s="491" t="n"/>
      <c r="H598" s="491" t="n"/>
      <c r="I598" s="491" t="n"/>
      <c r="J598" s="491" t="n"/>
      <c r="K598" s="491" t="n"/>
      <c r="L598" s="491" t="n"/>
      <c r="M598" s="491" t="n"/>
      <c r="N598" s="491" t="n"/>
      <c r="O598" s="491" t="n"/>
      <c r="P598" s="491" t="n"/>
      <c r="Q598" s="491" t="n"/>
      <c r="R598" s="491" t="n"/>
      <c r="S598" s="491" t="n"/>
      <c r="T598" s="491" t="n"/>
      <c r="U598" s="491" t="n"/>
      <c r="V598" s="491" t="n"/>
      <c r="W598" s="491" t="n"/>
      <c r="X598" s="491" t="n"/>
      <c r="Y598" s="491" t="n"/>
    </row>
    <row r="599" ht="12.75" customHeight="1" s="398">
      <c r="A599" s="491" t="n"/>
      <c r="B599" s="491" t="n"/>
      <c r="C599" s="491" t="n"/>
      <c r="D599" s="491" t="n"/>
      <c r="E599" s="491" t="n"/>
      <c r="F599" s="491" t="n"/>
      <c r="G599" s="491" t="n"/>
      <c r="H599" s="491" t="n"/>
      <c r="I599" s="491" t="n"/>
      <c r="J599" s="491" t="n"/>
      <c r="K599" s="491" t="n"/>
      <c r="L599" s="491" t="n"/>
      <c r="M599" s="491" t="n"/>
      <c r="N599" s="491" t="n"/>
      <c r="O599" s="491" t="n"/>
      <c r="P599" s="491" t="n"/>
      <c r="Q599" s="491" t="n"/>
      <c r="R599" s="491" t="n"/>
      <c r="S599" s="491" t="n"/>
      <c r="T599" s="491" t="n"/>
      <c r="U599" s="491" t="n"/>
      <c r="V599" s="491" t="n"/>
      <c r="W599" s="491" t="n"/>
      <c r="X599" s="491" t="n"/>
      <c r="Y599" s="491" t="n"/>
    </row>
    <row r="600" ht="12.75" customHeight="1" s="398">
      <c r="A600" s="491" t="n"/>
      <c r="B600" s="491" t="n"/>
      <c r="C600" s="491" t="n"/>
      <c r="D600" s="491" t="n"/>
      <c r="E600" s="491" t="n"/>
      <c r="F600" s="491" t="n"/>
      <c r="G600" s="491" t="n"/>
      <c r="H600" s="491" t="n"/>
      <c r="I600" s="491" t="n"/>
      <c r="J600" s="491" t="n"/>
      <c r="K600" s="491" t="n"/>
      <c r="L600" s="491" t="n"/>
      <c r="M600" s="491" t="n"/>
      <c r="N600" s="491" t="n"/>
      <c r="O600" s="491" t="n"/>
      <c r="P600" s="491" t="n"/>
      <c r="Q600" s="491" t="n"/>
      <c r="R600" s="491" t="n"/>
      <c r="S600" s="491" t="n"/>
      <c r="T600" s="491" t="n"/>
      <c r="U600" s="491" t="n"/>
      <c r="V600" s="491" t="n"/>
      <c r="W600" s="491" t="n"/>
      <c r="X600" s="491" t="n"/>
      <c r="Y600" s="491" t="n"/>
    </row>
    <row r="601" ht="12.75" customHeight="1" s="398">
      <c r="A601" s="491" t="n"/>
      <c r="B601" s="491" t="n"/>
      <c r="C601" s="491" t="n"/>
      <c r="D601" s="491" t="n"/>
      <c r="E601" s="491" t="n"/>
      <c r="F601" s="491" t="n"/>
      <c r="G601" s="491" t="n"/>
      <c r="H601" s="491" t="n"/>
      <c r="I601" s="491" t="n"/>
      <c r="J601" s="491" t="n"/>
      <c r="K601" s="491" t="n"/>
      <c r="L601" s="491" t="n"/>
      <c r="M601" s="491" t="n"/>
      <c r="N601" s="491" t="n"/>
      <c r="O601" s="491" t="n"/>
      <c r="P601" s="491" t="n"/>
      <c r="Q601" s="491" t="n"/>
      <c r="R601" s="491" t="n"/>
      <c r="S601" s="491" t="n"/>
      <c r="T601" s="491" t="n"/>
      <c r="U601" s="491" t="n"/>
      <c r="V601" s="491" t="n"/>
      <c r="W601" s="491" t="n"/>
      <c r="X601" s="491" t="n"/>
      <c r="Y601" s="491" t="n"/>
    </row>
    <row r="602" ht="12.75" customHeight="1" s="398">
      <c r="A602" s="491" t="n"/>
      <c r="B602" s="491" t="n"/>
      <c r="C602" s="491" t="n"/>
      <c r="D602" s="491" t="n"/>
      <c r="E602" s="491" t="n"/>
      <c r="F602" s="491" t="n"/>
      <c r="G602" s="491" t="n"/>
      <c r="H602" s="491" t="n"/>
      <c r="I602" s="491" t="n"/>
      <c r="J602" s="491" t="n"/>
      <c r="K602" s="491" t="n"/>
      <c r="L602" s="491" t="n"/>
      <c r="M602" s="491" t="n"/>
      <c r="N602" s="491" t="n"/>
      <c r="O602" s="491" t="n"/>
      <c r="P602" s="491" t="n"/>
      <c r="Q602" s="491" t="n"/>
      <c r="R602" s="491" t="n"/>
      <c r="S602" s="491" t="n"/>
      <c r="T602" s="491" t="n"/>
      <c r="U602" s="491" t="n"/>
      <c r="V602" s="491" t="n"/>
      <c r="W602" s="491" t="n"/>
      <c r="X602" s="491" t="n"/>
      <c r="Y602" s="491" t="n"/>
    </row>
    <row r="603" ht="12.75" customHeight="1" s="398">
      <c r="A603" s="491" t="n"/>
      <c r="B603" s="491" t="n"/>
      <c r="C603" s="491" t="n"/>
      <c r="D603" s="491" t="n"/>
      <c r="E603" s="491" t="n"/>
      <c r="F603" s="491" t="n"/>
      <c r="G603" s="491" t="n"/>
      <c r="H603" s="491" t="n"/>
      <c r="I603" s="491" t="n"/>
      <c r="J603" s="491" t="n"/>
      <c r="K603" s="491" t="n"/>
      <c r="L603" s="491" t="n"/>
      <c r="M603" s="491" t="n"/>
      <c r="N603" s="491" t="n"/>
      <c r="O603" s="491" t="n"/>
      <c r="P603" s="491" t="n"/>
      <c r="Q603" s="491" t="n"/>
      <c r="R603" s="491" t="n"/>
      <c r="S603" s="491" t="n"/>
      <c r="T603" s="491" t="n"/>
      <c r="U603" s="491" t="n"/>
      <c r="V603" s="491" t="n"/>
      <c r="W603" s="491" t="n"/>
      <c r="X603" s="491" t="n"/>
      <c r="Y603" s="491" t="n"/>
    </row>
    <row r="604" ht="12.75" customHeight="1" s="398">
      <c r="A604" s="491" t="n"/>
      <c r="B604" s="491" t="n"/>
      <c r="C604" s="491" t="n"/>
      <c r="D604" s="491" t="n"/>
      <c r="E604" s="491" t="n"/>
      <c r="F604" s="491" t="n"/>
      <c r="G604" s="491" t="n"/>
      <c r="H604" s="491" t="n"/>
      <c r="I604" s="491" t="n"/>
      <c r="J604" s="491" t="n"/>
      <c r="K604" s="491" t="n"/>
      <c r="L604" s="491" t="n"/>
      <c r="M604" s="491" t="n"/>
      <c r="N604" s="491" t="n"/>
      <c r="O604" s="491" t="n"/>
      <c r="P604" s="491" t="n"/>
      <c r="Q604" s="491" t="n"/>
      <c r="R604" s="491" t="n"/>
      <c r="S604" s="491" t="n"/>
      <c r="T604" s="491" t="n"/>
      <c r="U604" s="491" t="n"/>
      <c r="V604" s="491" t="n"/>
      <c r="W604" s="491" t="n"/>
      <c r="X604" s="491" t="n"/>
      <c r="Y604" s="491" t="n"/>
    </row>
    <row r="605" ht="12.75" customHeight="1" s="398">
      <c r="A605" s="491" t="n"/>
      <c r="B605" s="491" t="n"/>
      <c r="C605" s="491" t="n"/>
      <c r="D605" s="491" t="n"/>
      <c r="E605" s="491" t="n"/>
      <c r="F605" s="491" t="n"/>
      <c r="G605" s="491" t="n"/>
      <c r="H605" s="491" t="n"/>
      <c r="I605" s="491" t="n"/>
      <c r="J605" s="491" t="n"/>
      <c r="K605" s="491" t="n"/>
      <c r="L605" s="491" t="n"/>
      <c r="M605" s="491" t="n"/>
      <c r="N605" s="491" t="n"/>
      <c r="O605" s="491" t="n"/>
      <c r="P605" s="491" t="n"/>
      <c r="Q605" s="491" t="n"/>
      <c r="R605" s="491" t="n"/>
      <c r="S605" s="491" t="n"/>
      <c r="T605" s="491" t="n"/>
      <c r="U605" s="491" t="n"/>
      <c r="V605" s="491" t="n"/>
      <c r="W605" s="491" t="n"/>
      <c r="X605" s="491" t="n"/>
      <c r="Y605" s="491" t="n"/>
    </row>
    <row r="606" ht="12.75" customHeight="1" s="398">
      <c r="A606" s="491" t="n"/>
      <c r="B606" s="491" t="n"/>
      <c r="C606" s="491" t="n"/>
      <c r="D606" s="491" t="n"/>
      <c r="E606" s="491" t="n"/>
      <c r="F606" s="491" t="n"/>
      <c r="G606" s="491" t="n"/>
      <c r="H606" s="491" t="n"/>
      <c r="I606" s="491" t="n"/>
      <c r="J606" s="491" t="n"/>
      <c r="K606" s="491" t="n"/>
      <c r="L606" s="491" t="n"/>
      <c r="M606" s="491" t="n"/>
      <c r="N606" s="491" t="n"/>
      <c r="O606" s="491" t="n"/>
      <c r="P606" s="491" t="n"/>
      <c r="Q606" s="491" t="n"/>
      <c r="R606" s="491" t="n"/>
      <c r="S606" s="491" t="n"/>
      <c r="T606" s="491" t="n"/>
      <c r="U606" s="491" t="n"/>
      <c r="V606" s="491" t="n"/>
      <c r="W606" s="491" t="n"/>
      <c r="X606" s="491" t="n"/>
      <c r="Y606" s="491" t="n"/>
    </row>
    <row r="607" ht="12.75" customHeight="1" s="398">
      <c r="A607" s="491" t="n"/>
      <c r="B607" s="491" t="n"/>
      <c r="C607" s="491" t="n"/>
      <c r="D607" s="491" t="n"/>
      <c r="E607" s="491" t="n"/>
      <c r="F607" s="491" t="n"/>
      <c r="G607" s="491" t="n"/>
      <c r="H607" s="491" t="n"/>
      <c r="I607" s="491" t="n"/>
      <c r="J607" s="491" t="n"/>
      <c r="K607" s="491" t="n"/>
      <c r="L607" s="491" t="n"/>
      <c r="M607" s="491" t="n"/>
      <c r="N607" s="491" t="n"/>
      <c r="O607" s="491" t="n"/>
      <c r="P607" s="491" t="n"/>
      <c r="Q607" s="491" t="n"/>
      <c r="R607" s="491" t="n"/>
      <c r="S607" s="491" t="n"/>
      <c r="T607" s="491" t="n"/>
      <c r="U607" s="491" t="n"/>
      <c r="V607" s="491" t="n"/>
      <c r="W607" s="491" t="n"/>
      <c r="X607" s="491" t="n"/>
      <c r="Y607" s="491" t="n"/>
    </row>
    <row r="608" ht="12.75" customHeight="1" s="398">
      <c r="A608" s="491" t="n"/>
      <c r="B608" s="491" t="n"/>
      <c r="C608" s="491" t="n"/>
      <c r="D608" s="491" t="n"/>
      <c r="E608" s="491" t="n"/>
      <c r="F608" s="491" t="n"/>
      <c r="G608" s="491" t="n"/>
      <c r="H608" s="491" t="n"/>
      <c r="I608" s="491" t="n"/>
      <c r="J608" s="491" t="n"/>
      <c r="K608" s="491" t="n"/>
      <c r="L608" s="491" t="n"/>
      <c r="M608" s="491" t="n"/>
      <c r="N608" s="491" t="n"/>
      <c r="O608" s="491" t="n"/>
      <c r="P608" s="491" t="n"/>
      <c r="Q608" s="491" t="n"/>
      <c r="R608" s="491" t="n"/>
      <c r="S608" s="491" t="n"/>
      <c r="T608" s="491" t="n"/>
      <c r="U608" s="491" t="n"/>
      <c r="V608" s="491" t="n"/>
      <c r="W608" s="491" t="n"/>
      <c r="X608" s="491" t="n"/>
      <c r="Y608" s="491" t="n"/>
    </row>
    <row r="609" ht="12.75" customHeight="1" s="398">
      <c r="A609" s="491" t="n"/>
      <c r="B609" s="491" t="n"/>
      <c r="C609" s="491" t="n"/>
      <c r="D609" s="491" t="n"/>
      <c r="E609" s="491" t="n"/>
      <c r="F609" s="491" t="n"/>
      <c r="G609" s="491" t="n"/>
      <c r="H609" s="491" t="n"/>
      <c r="I609" s="491" t="n"/>
      <c r="J609" s="491" t="n"/>
      <c r="K609" s="491" t="n"/>
      <c r="L609" s="491" t="n"/>
      <c r="M609" s="491" t="n"/>
      <c r="N609" s="491" t="n"/>
      <c r="O609" s="491" t="n"/>
      <c r="P609" s="491" t="n"/>
      <c r="Q609" s="491" t="n"/>
      <c r="R609" s="491" t="n"/>
      <c r="S609" s="491" t="n"/>
      <c r="T609" s="491" t="n"/>
      <c r="U609" s="491" t="n"/>
      <c r="V609" s="491" t="n"/>
      <c r="W609" s="491" t="n"/>
      <c r="X609" s="491" t="n"/>
      <c r="Y609" s="491" t="n"/>
    </row>
    <row r="610" ht="12.75" customHeight="1" s="398">
      <c r="A610" s="491" t="n"/>
      <c r="B610" s="491" t="n"/>
      <c r="C610" s="491" t="n"/>
      <c r="D610" s="491" t="n"/>
      <c r="E610" s="491" t="n"/>
      <c r="F610" s="491" t="n"/>
      <c r="G610" s="491" t="n"/>
      <c r="H610" s="491" t="n"/>
      <c r="I610" s="491" t="n"/>
      <c r="J610" s="491" t="n"/>
      <c r="K610" s="491" t="n"/>
      <c r="L610" s="491" t="n"/>
      <c r="M610" s="491" t="n"/>
      <c r="N610" s="491" t="n"/>
      <c r="O610" s="491" t="n"/>
      <c r="P610" s="491" t="n"/>
      <c r="Q610" s="491" t="n"/>
      <c r="R610" s="491" t="n"/>
      <c r="S610" s="491" t="n"/>
      <c r="T610" s="491" t="n"/>
      <c r="U610" s="491" t="n"/>
      <c r="V610" s="491" t="n"/>
      <c r="W610" s="491" t="n"/>
      <c r="X610" s="491" t="n"/>
      <c r="Y610" s="491" t="n"/>
    </row>
    <row r="611" ht="12.75" customHeight="1" s="398">
      <c r="A611" s="491" t="n"/>
      <c r="B611" s="491" t="n"/>
      <c r="C611" s="491" t="n"/>
      <c r="D611" s="491" t="n"/>
      <c r="E611" s="491" t="n"/>
      <c r="F611" s="491" t="n"/>
      <c r="G611" s="491" t="n"/>
      <c r="H611" s="491" t="n"/>
      <c r="I611" s="491" t="n"/>
      <c r="J611" s="491" t="n"/>
      <c r="K611" s="491" t="n"/>
      <c r="L611" s="491" t="n"/>
      <c r="M611" s="491" t="n"/>
      <c r="N611" s="491" t="n"/>
      <c r="O611" s="491" t="n"/>
      <c r="P611" s="491" t="n"/>
      <c r="Q611" s="491" t="n"/>
      <c r="R611" s="491" t="n"/>
      <c r="S611" s="491" t="n"/>
      <c r="T611" s="491" t="n"/>
      <c r="U611" s="491" t="n"/>
      <c r="V611" s="491" t="n"/>
      <c r="W611" s="491" t="n"/>
      <c r="X611" s="491" t="n"/>
      <c r="Y611" s="491" t="n"/>
    </row>
    <row r="612" ht="12.75" customHeight="1" s="398">
      <c r="A612" s="491" t="n"/>
      <c r="B612" s="491" t="n"/>
      <c r="C612" s="491" t="n"/>
      <c r="D612" s="491" t="n"/>
      <c r="E612" s="491" t="n"/>
      <c r="F612" s="491" t="n"/>
      <c r="G612" s="491" t="n"/>
      <c r="H612" s="491" t="n"/>
      <c r="I612" s="491" t="n"/>
      <c r="J612" s="491" t="n"/>
      <c r="K612" s="491" t="n"/>
      <c r="L612" s="491" t="n"/>
      <c r="M612" s="491" t="n"/>
      <c r="N612" s="491" t="n"/>
      <c r="O612" s="491" t="n"/>
      <c r="P612" s="491" t="n"/>
      <c r="Q612" s="491" t="n"/>
      <c r="R612" s="491" t="n"/>
      <c r="S612" s="491" t="n"/>
      <c r="T612" s="491" t="n"/>
      <c r="U612" s="491" t="n"/>
      <c r="V612" s="491" t="n"/>
      <c r="W612" s="491" t="n"/>
      <c r="X612" s="491" t="n"/>
      <c r="Y612" s="491" t="n"/>
    </row>
    <row r="613" ht="12.75" customHeight="1" s="398">
      <c r="A613" s="491" t="n"/>
      <c r="B613" s="491" t="n"/>
      <c r="C613" s="491" t="n"/>
      <c r="D613" s="491" t="n"/>
      <c r="E613" s="491" t="n"/>
      <c r="F613" s="491" t="n"/>
      <c r="G613" s="491" t="n"/>
      <c r="H613" s="491" t="n"/>
      <c r="I613" s="491" t="n"/>
      <c r="J613" s="491" t="n"/>
      <c r="K613" s="491" t="n"/>
      <c r="L613" s="491" t="n"/>
      <c r="M613" s="491" t="n"/>
      <c r="N613" s="491" t="n"/>
      <c r="O613" s="491" t="n"/>
      <c r="P613" s="491" t="n"/>
      <c r="Q613" s="491" t="n"/>
      <c r="R613" s="491" t="n"/>
      <c r="S613" s="491" t="n"/>
      <c r="T613" s="491" t="n"/>
      <c r="U613" s="491" t="n"/>
      <c r="V613" s="491" t="n"/>
      <c r="W613" s="491" t="n"/>
      <c r="X613" s="491" t="n"/>
      <c r="Y613" s="491" t="n"/>
    </row>
    <row r="614" ht="12.75" customHeight="1" s="398">
      <c r="A614" s="491" t="n"/>
      <c r="B614" s="491" t="n"/>
      <c r="C614" s="491" t="n"/>
      <c r="D614" s="491" t="n"/>
      <c r="E614" s="491" t="n"/>
      <c r="F614" s="491" t="n"/>
      <c r="G614" s="491" t="n"/>
      <c r="H614" s="491" t="n"/>
      <c r="I614" s="491" t="n"/>
      <c r="J614" s="491" t="n"/>
      <c r="K614" s="491" t="n"/>
      <c r="L614" s="491" t="n"/>
      <c r="M614" s="491" t="n"/>
      <c r="N614" s="491" t="n"/>
      <c r="O614" s="491" t="n"/>
      <c r="P614" s="491" t="n"/>
      <c r="Q614" s="491" t="n"/>
      <c r="R614" s="491" t="n"/>
      <c r="S614" s="491" t="n"/>
      <c r="T614" s="491" t="n"/>
      <c r="U614" s="491" t="n"/>
      <c r="V614" s="491" t="n"/>
      <c r="W614" s="491" t="n"/>
      <c r="X614" s="491" t="n"/>
      <c r="Y614" s="491" t="n"/>
    </row>
    <row r="615" ht="12.75" customHeight="1" s="398">
      <c r="A615" s="491" t="n"/>
      <c r="B615" s="491" t="n"/>
      <c r="C615" s="491" t="n"/>
      <c r="D615" s="491" t="n"/>
      <c r="E615" s="491" t="n"/>
      <c r="F615" s="491" t="n"/>
      <c r="G615" s="491" t="n"/>
      <c r="H615" s="491" t="n"/>
      <c r="I615" s="491" t="n"/>
      <c r="J615" s="491" t="n"/>
      <c r="K615" s="491" t="n"/>
      <c r="L615" s="491" t="n"/>
      <c r="M615" s="491" t="n"/>
      <c r="N615" s="491" t="n"/>
      <c r="O615" s="491" t="n"/>
      <c r="P615" s="491" t="n"/>
      <c r="Q615" s="491" t="n"/>
      <c r="R615" s="491" t="n"/>
      <c r="S615" s="491" t="n"/>
      <c r="T615" s="491" t="n"/>
      <c r="U615" s="491" t="n"/>
      <c r="V615" s="491" t="n"/>
      <c r="W615" s="491" t="n"/>
      <c r="X615" s="491" t="n"/>
      <c r="Y615" s="491" t="n"/>
    </row>
    <row r="616" ht="12.75" customHeight="1" s="398">
      <c r="A616" s="491" t="n"/>
      <c r="B616" s="491" t="n"/>
      <c r="C616" s="491" t="n"/>
      <c r="D616" s="491" t="n"/>
      <c r="E616" s="491" t="n"/>
      <c r="F616" s="491" t="n"/>
      <c r="G616" s="491" t="n"/>
      <c r="H616" s="491" t="n"/>
      <c r="I616" s="491" t="n"/>
      <c r="J616" s="491" t="n"/>
      <c r="K616" s="491" t="n"/>
      <c r="L616" s="491" t="n"/>
      <c r="M616" s="491" t="n"/>
      <c r="N616" s="491" t="n"/>
      <c r="O616" s="491" t="n"/>
      <c r="P616" s="491" t="n"/>
      <c r="Q616" s="491" t="n"/>
      <c r="R616" s="491" t="n"/>
      <c r="S616" s="491" t="n"/>
      <c r="T616" s="491" t="n"/>
      <c r="U616" s="491" t="n"/>
      <c r="V616" s="491" t="n"/>
      <c r="W616" s="491" t="n"/>
      <c r="X616" s="491" t="n"/>
      <c r="Y616" s="491" t="n"/>
    </row>
    <row r="617" ht="12.75" customHeight="1" s="398">
      <c r="A617" s="491" t="n"/>
      <c r="B617" s="491" t="n"/>
      <c r="C617" s="491" t="n"/>
      <c r="D617" s="491" t="n"/>
      <c r="E617" s="491" t="n"/>
      <c r="F617" s="491" t="n"/>
      <c r="G617" s="491" t="n"/>
      <c r="H617" s="491" t="n"/>
      <c r="I617" s="491" t="n"/>
      <c r="J617" s="491" t="n"/>
      <c r="K617" s="491" t="n"/>
      <c r="L617" s="491" t="n"/>
      <c r="M617" s="491" t="n"/>
      <c r="N617" s="491" t="n"/>
      <c r="O617" s="491" t="n"/>
      <c r="P617" s="491" t="n"/>
      <c r="Q617" s="491" t="n"/>
      <c r="R617" s="491" t="n"/>
      <c r="S617" s="491" t="n"/>
      <c r="T617" s="491" t="n"/>
      <c r="U617" s="491" t="n"/>
      <c r="V617" s="491" t="n"/>
      <c r="W617" s="491" t="n"/>
      <c r="X617" s="491" t="n"/>
      <c r="Y617" s="491" t="n"/>
    </row>
    <row r="618" ht="12.75" customHeight="1" s="398">
      <c r="A618" s="491" t="n"/>
      <c r="B618" s="491" t="n"/>
      <c r="C618" s="491" t="n"/>
      <c r="D618" s="491" t="n"/>
      <c r="E618" s="491" t="n"/>
      <c r="F618" s="491" t="n"/>
      <c r="G618" s="491" t="n"/>
      <c r="H618" s="491" t="n"/>
      <c r="I618" s="491" t="n"/>
      <c r="J618" s="491" t="n"/>
      <c r="K618" s="491" t="n"/>
      <c r="L618" s="491" t="n"/>
      <c r="M618" s="491" t="n"/>
      <c r="N618" s="491" t="n"/>
      <c r="O618" s="491" t="n"/>
      <c r="P618" s="491" t="n"/>
      <c r="Q618" s="491" t="n"/>
      <c r="R618" s="491" t="n"/>
      <c r="S618" s="491" t="n"/>
      <c r="T618" s="491" t="n"/>
      <c r="U618" s="491" t="n"/>
      <c r="V618" s="491" t="n"/>
      <c r="W618" s="491" t="n"/>
      <c r="X618" s="491" t="n"/>
      <c r="Y618" s="491" t="n"/>
    </row>
    <row r="619" ht="12.75" customHeight="1" s="398">
      <c r="A619" s="491" t="n"/>
      <c r="B619" s="491" t="n"/>
      <c r="C619" s="491" t="n"/>
      <c r="D619" s="491" t="n"/>
      <c r="E619" s="491" t="n"/>
      <c r="F619" s="491" t="n"/>
      <c r="G619" s="491" t="n"/>
      <c r="H619" s="491" t="n"/>
      <c r="I619" s="491" t="n"/>
      <c r="J619" s="491" t="n"/>
      <c r="K619" s="491" t="n"/>
      <c r="L619" s="491" t="n"/>
      <c r="M619" s="491" t="n"/>
      <c r="N619" s="491" t="n"/>
      <c r="O619" s="491" t="n"/>
      <c r="P619" s="491" t="n"/>
      <c r="Q619" s="491" t="n"/>
      <c r="R619" s="491" t="n"/>
      <c r="S619" s="491" t="n"/>
      <c r="T619" s="491" t="n"/>
      <c r="U619" s="491" t="n"/>
      <c r="V619" s="491" t="n"/>
      <c r="W619" s="491" t="n"/>
      <c r="X619" s="491" t="n"/>
      <c r="Y619" s="491" t="n"/>
    </row>
    <row r="620" ht="12.75" customHeight="1" s="398">
      <c r="A620" s="491" t="n"/>
      <c r="B620" s="491" t="n"/>
      <c r="C620" s="491" t="n"/>
      <c r="D620" s="491" t="n"/>
      <c r="E620" s="491" t="n"/>
      <c r="F620" s="491" t="n"/>
      <c r="G620" s="491" t="n"/>
      <c r="H620" s="491" t="n"/>
      <c r="I620" s="491" t="n"/>
      <c r="J620" s="491" t="n"/>
      <c r="K620" s="491" t="n"/>
      <c r="L620" s="491" t="n"/>
      <c r="M620" s="491" t="n"/>
      <c r="N620" s="491" t="n"/>
      <c r="O620" s="491" t="n"/>
      <c r="P620" s="491" t="n"/>
      <c r="Q620" s="491" t="n"/>
      <c r="R620" s="491" t="n"/>
      <c r="S620" s="491" t="n"/>
      <c r="T620" s="491" t="n"/>
      <c r="U620" s="491" t="n"/>
      <c r="V620" s="491" t="n"/>
      <c r="W620" s="491" t="n"/>
      <c r="X620" s="491" t="n"/>
      <c r="Y620" s="491" t="n"/>
    </row>
    <row r="621" ht="12.75" customHeight="1" s="398">
      <c r="A621" s="491" t="n"/>
      <c r="B621" s="491" t="n"/>
      <c r="C621" s="491" t="n"/>
      <c r="D621" s="491" t="n"/>
      <c r="E621" s="491" t="n"/>
      <c r="F621" s="491" t="n"/>
      <c r="G621" s="491" t="n"/>
      <c r="H621" s="491" t="n"/>
      <c r="I621" s="491" t="n"/>
      <c r="J621" s="491" t="n"/>
      <c r="K621" s="491" t="n"/>
      <c r="L621" s="491" t="n"/>
      <c r="M621" s="491" t="n"/>
      <c r="N621" s="491" t="n"/>
      <c r="O621" s="491" t="n"/>
      <c r="P621" s="491" t="n"/>
      <c r="Q621" s="491" t="n"/>
      <c r="R621" s="491" t="n"/>
      <c r="S621" s="491" t="n"/>
      <c r="T621" s="491" t="n"/>
      <c r="U621" s="491" t="n"/>
      <c r="V621" s="491" t="n"/>
      <c r="W621" s="491" t="n"/>
      <c r="X621" s="491" t="n"/>
      <c r="Y621" s="491" t="n"/>
    </row>
    <row r="622" ht="12.75" customHeight="1" s="398">
      <c r="A622" s="491" t="n"/>
      <c r="B622" s="491" t="n"/>
      <c r="C622" s="491" t="n"/>
      <c r="D622" s="491" t="n"/>
      <c r="E622" s="491" t="n"/>
      <c r="F622" s="491" t="n"/>
      <c r="G622" s="491" t="n"/>
      <c r="H622" s="491" t="n"/>
      <c r="I622" s="491" t="n"/>
      <c r="J622" s="491" t="n"/>
      <c r="K622" s="491" t="n"/>
      <c r="L622" s="491" t="n"/>
      <c r="M622" s="491" t="n"/>
      <c r="N622" s="491" t="n"/>
      <c r="O622" s="491" t="n"/>
      <c r="P622" s="491" t="n"/>
      <c r="Q622" s="491" t="n"/>
      <c r="R622" s="491" t="n"/>
      <c r="S622" s="491" t="n"/>
      <c r="T622" s="491" t="n"/>
      <c r="U622" s="491" t="n"/>
      <c r="V622" s="491" t="n"/>
      <c r="W622" s="491" t="n"/>
      <c r="X622" s="491" t="n"/>
      <c r="Y622" s="491" t="n"/>
    </row>
    <row r="623" ht="12.75" customHeight="1" s="398">
      <c r="A623" s="491" t="n"/>
      <c r="B623" s="491" t="n"/>
      <c r="C623" s="491" t="n"/>
      <c r="D623" s="491" t="n"/>
      <c r="E623" s="491" t="n"/>
      <c r="F623" s="491" t="n"/>
      <c r="G623" s="491" t="n"/>
      <c r="H623" s="491" t="n"/>
      <c r="I623" s="491" t="n"/>
      <c r="J623" s="491" t="n"/>
      <c r="K623" s="491" t="n"/>
      <c r="L623" s="491" t="n"/>
      <c r="M623" s="491" t="n"/>
      <c r="N623" s="491" t="n"/>
      <c r="O623" s="491" t="n"/>
      <c r="P623" s="491" t="n"/>
      <c r="Q623" s="491" t="n"/>
      <c r="R623" s="491" t="n"/>
      <c r="S623" s="491" t="n"/>
      <c r="T623" s="491" t="n"/>
      <c r="U623" s="491" t="n"/>
      <c r="V623" s="491" t="n"/>
      <c r="W623" s="491" t="n"/>
      <c r="X623" s="491" t="n"/>
      <c r="Y623" s="491" t="n"/>
    </row>
    <row r="624" ht="12.75" customHeight="1" s="398">
      <c r="A624" s="491" t="n"/>
      <c r="B624" s="491" t="n"/>
      <c r="C624" s="491" t="n"/>
      <c r="D624" s="491" t="n"/>
      <c r="E624" s="491" t="n"/>
      <c r="F624" s="491" t="n"/>
      <c r="G624" s="491" t="n"/>
      <c r="H624" s="491" t="n"/>
      <c r="I624" s="491" t="n"/>
      <c r="J624" s="491" t="n"/>
      <c r="K624" s="491" t="n"/>
      <c r="L624" s="491" t="n"/>
      <c r="M624" s="491" t="n"/>
      <c r="N624" s="491" t="n"/>
      <c r="O624" s="491" t="n"/>
      <c r="P624" s="491" t="n"/>
      <c r="Q624" s="491" t="n"/>
      <c r="R624" s="491" t="n"/>
      <c r="S624" s="491" t="n"/>
      <c r="T624" s="491" t="n"/>
      <c r="U624" s="491" t="n"/>
      <c r="V624" s="491" t="n"/>
      <c r="W624" s="491" t="n"/>
      <c r="X624" s="491" t="n"/>
      <c r="Y624" s="491" t="n"/>
    </row>
    <row r="625" ht="12.75" customHeight="1" s="398">
      <c r="A625" s="491" t="n"/>
      <c r="B625" s="491" t="n"/>
      <c r="C625" s="491" t="n"/>
      <c r="D625" s="491" t="n"/>
      <c r="E625" s="491" t="n"/>
      <c r="F625" s="491" t="n"/>
      <c r="G625" s="491" t="n"/>
      <c r="H625" s="491" t="n"/>
      <c r="I625" s="491" t="n"/>
      <c r="J625" s="491" t="n"/>
      <c r="K625" s="491" t="n"/>
      <c r="L625" s="491" t="n"/>
      <c r="M625" s="491" t="n"/>
      <c r="N625" s="491" t="n"/>
      <c r="O625" s="491" t="n"/>
      <c r="P625" s="491" t="n"/>
      <c r="Q625" s="491" t="n"/>
      <c r="R625" s="491" t="n"/>
      <c r="S625" s="491" t="n"/>
      <c r="T625" s="491" t="n"/>
      <c r="U625" s="491" t="n"/>
      <c r="V625" s="491" t="n"/>
      <c r="W625" s="491" t="n"/>
      <c r="X625" s="491" t="n"/>
      <c r="Y625" s="491" t="n"/>
    </row>
    <row r="626" ht="12.75" customHeight="1" s="398">
      <c r="A626" s="491" t="n"/>
      <c r="B626" s="491" t="n"/>
      <c r="C626" s="491" t="n"/>
      <c r="D626" s="491" t="n"/>
      <c r="E626" s="491" t="n"/>
      <c r="F626" s="491" t="n"/>
      <c r="G626" s="491" t="n"/>
      <c r="H626" s="491" t="n"/>
      <c r="I626" s="491" t="n"/>
      <c r="J626" s="491" t="n"/>
      <c r="K626" s="491" t="n"/>
      <c r="L626" s="491" t="n"/>
      <c r="M626" s="491" t="n"/>
      <c r="N626" s="491" t="n"/>
      <c r="O626" s="491" t="n"/>
      <c r="P626" s="491" t="n"/>
      <c r="Q626" s="491" t="n"/>
      <c r="R626" s="491" t="n"/>
      <c r="S626" s="491" t="n"/>
      <c r="T626" s="491" t="n"/>
      <c r="U626" s="491" t="n"/>
      <c r="V626" s="491" t="n"/>
      <c r="W626" s="491" t="n"/>
      <c r="X626" s="491" t="n"/>
      <c r="Y626" s="491" t="n"/>
    </row>
    <row r="627" ht="12.75" customHeight="1" s="398">
      <c r="A627" s="491" t="n"/>
      <c r="B627" s="491" t="n"/>
      <c r="C627" s="491" t="n"/>
      <c r="D627" s="491" t="n"/>
      <c r="E627" s="491" t="n"/>
      <c r="F627" s="491" t="n"/>
      <c r="G627" s="491" t="n"/>
      <c r="H627" s="491" t="n"/>
      <c r="I627" s="491" t="n"/>
      <c r="J627" s="491" t="n"/>
      <c r="K627" s="491" t="n"/>
      <c r="L627" s="491" t="n"/>
      <c r="M627" s="491" t="n"/>
      <c r="N627" s="491" t="n"/>
      <c r="O627" s="491" t="n"/>
      <c r="P627" s="491" t="n"/>
      <c r="Q627" s="491" t="n"/>
      <c r="R627" s="491" t="n"/>
      <c r="S627" s="491" t="n"/>
      <c r="T627" s="491" t="n"/>
      <c r="U627" s="491" t="n"/>
      <c r="V627" s="491" t="n"/>
      <c r="W627" s="491" t="n"/>
      <c r="X627" s="491" t="n"/>
      <c r="Y627" s="491" t="n"/>
    </row>
    <row r="628" ht="12.75" customHeight="1" s="398">
      <c r="A628" s="491" t="n"/>
      <c r="B628" s="491" t="n"/>
      <c r="C628" s="491" t="n"/>
      <c r="D628" s="491" t="n"/>
      <c r="E628" s="491" t="n"/>
      <c r="F628" s="491" t="n"/>
      <c r="G628" s="491" t="n"/>
      <c r="H628" s="491" t="n"/>
      <c r="I628" s="491" t="n"/>
      <c r="J628" s="491" t="n"/>
      <c r="K628" s="491" t="n"/>
      <c r="L628" s="491" t="n"/>
      <c r="M628" s="491" t="n"/>
      <c r="N628" s="491" t="n"/>
      <c r="O628" s="491" t="n"/>
      <c r="P628" s="491" t="n"/>
      <c r="Q628" s="491" t="n"/>
      <c r="R628" s="491" t="n"/>
      <c r="S628" s="491" t="n"/>
      <c r="T628" s="491" t="n"/>
      <c r="U628" s="491" t="n"/>
      <c r="V628" s="491" t="n"/>
      <c r="W628" s="491" t="n"/>
      <c r="X628" s="491" t="n"/>
      <c r="Y628" s="491" t="n"/>
    </row>
    <row r="629" ht="12.75" customHeight="1" s="398">
      <c r="A629" s="491" t="n"/>
      <c r="B629" s="491" t="n"/>
      <c r="C629" s="491" t="n"/>
      <c r="D629" s="491" t="n"/>
      <c r="E629" s="491" t="n"/>
      <c r="F629" s="491" t="n"/>
      <c r="G629" s="491" t="n"/>
      <c r="H629" s="491" t="n"/>
      <c r="I629" s="491" t="n"/>
      <c r="J629" s="491" t="n"/>
      <c r="K629" s="491" t="n"/>
      <c r="L629" s="491" t="n"/>
      <c r="M629" s="491" t="n"/>
      <c r="N629" s="491" t="n"/>
      <c r="O629" s="491" t="n"/>
      <c r="P629" s="491" t="n"/>
      <c r="Q629" s="491" t="n"/>
      <c r="R629" s="491" t="n"/>
      <c r="S629" s="491" t="n"/>
      <c r="T629" s="491" t="n"/>
      <c r="U629" s="491" t="n"/>
      <c r="V629" s="491" t="n"/>
      <c r="W629" s="491" t="n"/>
      <c r="X629" s="491" t="n"/>
      <c r="Y629" s="491" t="n"/>
    </row>
    <row r="630" ht="12.75" customHeight="1" s="398">
      <c r="A630" s="491" t="n"/>
      <c r="B630" s="491" t="n"/>
      <c r="C630" s="491" t="n"/>
      <c r="D630" s="491" t="n"/>
      <c r="E630" s="491" t="n"/>
      <c r="F630" s="491" t="n"/>
      <c r="G630" s="491" t="n"/>
      <c r="H630" s="491" t="n"/>
      <c r="I630" s="491" t="n"/>
      <c r="J630" s="491" t="n"/>
      <c r="K630" s="491" t="n"/>
      <c r="L630" s="491" t="n"/>
      <c r="M630" s="491" t="n"/>
      <c r="N630" s="491" t="n"/>
      <c r="O630" s="491" t="n"/>
      <c r="P630" s="491" t="n"/>
      <c r="Q630" s="491" t="n"/>
      <c r="R630" s="491" t="n"/>
      <c r="S630" s="491" t="n"/>
      <c r="T630" s="491" t="n"/>
      <c r="U630" s="491" t="n"/>
      <c r="V630" s="491" t="n"/>
      <c r="W630" s="491" t="n"/>
      <c r="X630" s="491" t="n"/>
      <c r="Y630" s="491" t="n"/>
    </row>
    <row r="631" ht="12.75" customHeight="1" s="398">
      <c r="A631" s="491" t="n"/>
      <c r="B631" s="491" t="n"/>
      <c r="C631" s="491" t="n"/>
      <c r="D631" s="491" t="n"/>
      <c r="E631" s="491" t="n"/>
      <c r="F631" s="491" t="n"/>
      <c r="G631" s="491" t="n"/>
      <c r="H631" s="491" t="n"/>
      <c r="I631" s="491" t="n"/>
      <c r="J631" s="491" t="n"/>
      <c r="K631" s="491" t="n"/>
      <c r="L631" s="491" t="n"/>
      <c r="M631" s="491" t="n"/>
      <c r="N631" s="491" t="n"/>
      <c r="O631" s="491" t="n"/>
      <c r="P631" s="491" t="n"/>
      <c r="Q631" s="491" t="n"/>
      <c r="R631" s="491" t="n"/>
      <c r="S631" s="491" t="n"/>
      <c r="T631" s="491" t="n"/>
      <c r="U631" s="491" t="n"/>
      <c r="V631" s="491" t="n"/>
      <c r="W631" s="491" t="n"/>
      <c r="X631" s="491" t="n"/>
      <c r="Y631" s="491" t="n"/>
    </row>
    <row r="632" ht="12.75" customHeight="1" s="398">
      <c r="A632" s="491" t="n"/>
      <c r="B632" s="491" t="n"/>
      <c r="C632" s="491" t="n"/>
      <c r="D632" s="491" t="n"/>
      <c r="E632" s="491" t="n"/>
      <c r="F632" s="491" t="n"/>
      <c r="G632" s="491" t="n"/>
      <c r="H632" s="491" t="n"/>
      <c r="I632" s="491" t="n"/>
      <c r="J632" s="491" t="n"/>
      <c r="K632" s="491" t="n"/>
      <c r="L632" s="491" t="n"/>
      <c r="M632" s="491" t="n"/>
      <c r="N632" s="491" t="n"/>
      <c r="O632" s="491" t="n"/>
      <c r="P632" s="491" t="n"/>
      <c r="Q632" s="491" t="n"/>
      <c r="R632" s="491" t="n"/>
      <c r="S632" s="491" t="n"/>
      <c r="T632" s="491" t="n"/>
      <c r="U632" s="491" t="n"/>
      <c r="V632" s="491" t="n"/>
      <c r="W632" s="491" t="n"/>
      <c r="X632" s="491" t="n"/>
      <c r="Y632" s="491" t="n"/>
    </row>
    <row r="633" ht="12.75" customHeight="1" s="398">
      <c r="A633" s="491" t="n"/>
      <c r="B633" s="491" t="n"/>
      <c r="C633" s="491" t="n"/>
      <c r="D633" s="491" t="n"/>
      <c r="E633" s="491" t="n"/>
      <c r="F633" s="491" t="n"/>
      <c r="G633" s="491" t="n"/>
      <c r="H633" s="491" t="n"/>
      <c r="I633" s="491" t="n"/>
      <c r="J633" s="491" t="n"/>
      <c r="K633" s="491" t="n"/>
      <c r="L633" s="491" t="n"/>
      <c r="M633" s="491" t="n"/>
      <c r="N633" s="491" t="n"/>
      <c r="O633" s="491" t="n"/>
      <c r="P633" s="491" t="n"/>
      <c r="Q633" s="491" t="n"/>
      <c r="R633" s="491" t="n"/>
      <c r="S633" s="491" t="n"/>
      <c r="T633" s="491" t="n"/>
      <c r="U633" s="491" t="n"/>
      <c r="V633" s="491" t="n"/>
      <c r="W633" s="491" t="n"/>
      <c r="X633" s="491" t="n"/>
      <c r="Y633" s="491" t="n"/>
    </row>
    <row r="634" ht="12.75" customHeight="1" s="398">
      <c r="A634" s="491" t="n"/>
      <c r="B634" s="491" t="n"/>
      <c r="C634" s="491" t="n"/>
      <c r="D634" s="491" t="n"/>
      <c r="E634" s="491" t="n"/>
      <c r="F634" s="491" t="n"/>
      <c r="G634" s="491" t="n"/>
      <c r="H634" s="491" t="n"/>
      <c r="I634" s="491" t="n"/>
      <c r="J634" s="491" t="n"/>
      <c r="K634" s="491" t="n"/>
      <c r="L634" s="491" t="n"/>
      <c r="M634" s="491" t="n"/>
      <c r="N634" s="491" t="n"/>
      <c r="O634" s="491" t="n"/>
      <c r="P634" s="491" t="n"/>
      <c r="Q634" s="491" t="n"/>
      <c r="R634" s="491" t="n"/>
      <c r="S634" s="491" t="n"/>
      <c r="T634" s="491" t="n"/>
      <c r="U634" s="491" t="n"/>
      <c r="V634" s="491" t="n"/>
      <c r="W634" s="491" t="n"/>
      <c r="X634" s="491" t="n"/>
      <c r="Y634" s="491" t="n"/>
    </row>
    <row r="635" ht="12.75" customHeight="1" s="398">
      <c r="A635" s="491" t="n"/>
      <c r="B635" s="491" t="n"/>
      <c r="C635" s="491" t="n"/>
      <c r="D635" s="491" t="n"/>
      <c r="E635" s="491" t="n"/>
      <c r="F635" s="491" t="n"/>
      <c r="G635" s="491" t="n"/>
      <c r="H635" s="491" t="n"/>
      <c r="I635" s="491" t="n"/>
      <c r="J635" s="491" t="n"/>
      <c r="K635" s="491" t="n"/>
      <c r="L635" s="491" t="n"/>
      <c r="M635" s="491" t="n"/>
      <c r="N635" s="491" t="n"/>
      <c r="O635" s="491" t="n"/>
      <c r="P635" s="491" t="n"/>
      <c r="Q635" s="491" t="n"/>
      <c r="R635" s="491" t="n"/>
      <c r="S635" s="491" t="n"/>
      <c r="T635" s="491" t="n"/>
      <c r="U635" s="491" t="n"/>
      <c r="V635" s="491" t="n"/>
      <c r="W635" s="491" t="n"/>
      <c r="X635" s="491" t="n"/>
      <c r="Y635" s="491" t="n"/>
    </row>
    <row r="636" ht="12.75" customHeight="1" s="398">
      <c r="A636" s="491" t="n"/>
      <c r="B636" s="491" t="n"/>
      <c r="C636" s="491" t="n"/>
      <c r="D636" s="491" t="n"/>
      <c r="E636" s="491" t="n"/>
      <c r="F636" s="491" t="n"/>
      <c r="G636" s="491" t="n"/>
      <c r="H636" s="491" t="n"/>
      <c r="I636" s="491" t="n"/>
      <c r="J636" s="491" t="n"/>
      <c r="K636" s="491" t="n"/>
      <c r="L636" s="491" t="n"/>
      <c r="M636" s="491" t="n"/>
      <c r="N636" s="491" t="n"/>
      <c r="O636" s="491" t="n"/>
      <c r="P636" s="491" t="n"/>
      <c r="Q636" s="491" t="n"/>
      <c r="R636" s="491" t="n"/>
      <c r="S636" s="491" t="n"/>
      <c r="T636" s="491" t="n"/>
      <c r="U636" s="491" t="n"/>
      <c r="V636" s="491" t="n"/>
      <c r="W636" s="491" t="n"/>
      <c r="X636" s="491" t="n"/>
      <c r="Y636" s="491" t="n"/>
    </row>
    <row r="637" ht="12.75" customHeight="1" s="398">
      <c r="A637" s="491" t="n"/>
      <c r="B637" s="491" t="n"/>
      <c r="C637" s="491" t="n"/>
      <c r="D637" s="491" t="n"/>
      <c r="E637" s="491" t="n"/>
      <c r="F637" s="491" t="n"/>
      <c r="G637" s="491" t="n"/>
      <c r="H637" s="491" t="n"/>
      <c r="I637" s="491" t="n"/>
      <c r="J637" s="491" t="n"/>
      <c r="K637" s="491" t="n"/>
      <c r="L637" s="491" t="n"/>
      <c r="M637" s="491" t="n"/>
      <c r="N637" s="491" t="n"/>
      <c r="O637" s="491" t="n"/>
      <c r="P637" s="491" t="n"/>
      <c r="Q637" s="491" t="n"/>
      <c r="R637" s="491" t="n"/>
      <c r="S637" s="491" t="n"/>
      <c r="T637" s="491" t="n"/>
      <c r="U637" s="491" t="n"/>
      <c r="V637" s="491" t="n"/>
      <c r="W637" s="491" t="n"/>
      <c r="X637" s="491" t="n"/>
      <c r="Y637" s="491" t="n"/>
    </row>
    <row r="638" ht="12.75" customHeight="1" s="398">
      <c r="A638" s="491" t="n"/>
      <c r="B638" s="491" t="n"/>
      <c r="C638" s="491" t="n"/>
      <c r="D638" s="491" t="n"/>
      <c r="E638" s="491" t="n"/>
      <c r="F638" s="491" t="n"/>
      <c r="G638" s="491" t="n"/>
      <c r="H638" s="491" t="n"/>
      <c r="I638" s="491" t="n"/>
      <c r="J638" s="491" t="n"/>
      <c r="K638" s="491" t="n"/>
      <c r="L638" s="491" t="n"/>
      <c r="M638" s="491" t="n"/>
      <c r="N638" s="491" t="n"/>
      <c r="O638" s="491" t="n"/>
      <c r="P638" s="491" t="n"/>
      <c r="Q638" s="491" t="n"/>
      <c r="R638" s="491" t="n"/>
      <c r="S638" s="491" t="n"/>
      <c r="T638" s="491" t="n"/>
      <c r="U638" s="491" t="n"/>
      <c r="V638" s="491" t="n"/>
      <c r="W638" s="491" t="n"/>
      <c r="X638" s="491" t="n"/>
      <c r="Y638" s="491" t="n"/>
    </row>
    <row r="639" ht="12.75" customHeight="1" s="398">
      <c r="A639" s="491" t="n"/>
      <c r="B639" s="491" t="n"/>
      <c r="C639" s="491" t="n"/>
      <c r="D639" s="491" t="n"/>
      <c r="E639" s="491" t="n"/>
      <c r="F639" s="491" t="n"/>
      <c r="G639" s="491" t="n"/>
      <c r="H639" s="491" t="n"/>
      <c r="I639" s="491" t="n"/>
      <c r="J639" s="491" t="n"/>
      <c r="K639" s="491" t="n"/>
      <c r="L639" s="491" t="n"/>
      <c r="M639" s="491" t="n"/>
      <c r="N639" s="491" t="n"/>
      <c r="O639" s="491" t="n"/>
      <c r="P639" s="491" t="n"/>
      <c r="Q639" s="491" t="n"/>
      <c r="R639" s="491" t="n"/>
      <c r="S639" s="491" t="n"/>
      <c r="T639" s="491" t="n"/>
      <c r="U639" s="491" t="n"/>
      <c r="V639" s="491" t="n"/>
      <c r="W639" s="491" t="n"/>
      <c r="X639" s="491" t="n"/>
      <c r="Y639" s="491" t="n"/>
    </row>
    <row r="640" ht="12.75" customHeight="1" s="398">
      <c r="A640" s="491" t="n"/>
      <c r="B640" s="491" t="n"/>
      <c r="C640" s="491" t="n"/>
      <c r="D640" s="491" t="n"/>
      <c r="E640" s="491" t="n"/>
      <c r="F640" s="491" t="n"/>
      <c r="G640" s="491" t="n"/>
      <c r="H640" s="491" t="n"/>
      <c r="I640" s="491" t="n"/>
      <c r="J640" s="491" t="n"/>
      <c r="K640" s="491" t="n"/>
      <c r="L640" s="491" t="n"/>
      <c r="M640" s="491" t="n"/>
      <c r="N640" s="491" t="n"/>
      <c r="O640" s="491" t="n"/>
      <c r="P640" s="491" t="n"/>
      <c r="Q640" s="491" t="n"/>
      <c r="R640" s="491" t="n"/>
      <c r="S640" s="491" t="n"/>
      <c r="T640" s="491" t="n"/>
      <c r="U640" s="491" t="n"/>
      <c r="V640" s="491" t="n"/>
      <c r="W640" s="491" t="n"/>
      <c r="X640" s="491" t="n"/>
      <c r="Y640" s="491" t="n"/>
    </row>
    <row r="641" ht="12.75" customHeight="1" s="398">
      <c r="A641" s="491" t="n"/>
      <c r="B641" s="491" t="n"/>
      <c r="C641" s="491" t="n"/>
      <c r="D641" s="491" t="n"/>
      <c r="E641" s="491" t="n"/>
      <c r="F641" s="491" t="n"/>
      <c r="G641" s="491" t="n"/>
      <c r="H641" s="491" t="n"/>
      <c r="I641" s="491" t="n"/>
      <c r="J641" s="491" t="n"/>
      <c r="K641" s="491" t="n"/>
      <c r="L641" s="491" t="n"/>
      <c r="M641" s="491" t="n"/>
      <c r="N641" s="491" t="n"/>
      <c r="O641" s="491" t="n"/>
      <c r="P641" s="491" t="n"/>
      <c r="Q641" s="491" t="n"/>
      <c r="R641" s="491" t="n"/>
      <c r="S641" s="491" t="n"/>
      <c r="T641" s="491" t="n"/>
      <c r="U641" s="491" t="n"/>
      <c r="V641" s="491" t="n"/>
      <c r="W641" s="491" t="n"/>
      <c r="X641" s="491" t="n"/>
      <c r="Y641" s="491" t="n"/>
    </row>
    <row r="642" ht="12.75" customHeight="1" s="398">
      <c r="A642" s="491" t="n"/>
      <c r="B642" s="491" t="n"/>
      <c r="C642" s="491" t="n"/>
      <c r="D642" s="491" t="n"/>
      <c r="E642" s="491" t="n"/>
      <c r="F642" s="491" t="n"/>
      <c r="G642" s="491" t="n"/>
      <c r="H642" s="491" t="n"/>
      <c r="I642" s="491" t="n"/>
      <c r="J642" s="491" t="n"/>
      <c r="K642" s="491" t="n"/>
      <c r="L642" s="491" t="n"/>
      <c r="M642" s="491" t="n"/>
      <c r="N642" s="491" t="n"/>
      <c r="O642" s="491" t="n"/>
      <c r="P642" s="491" t="n"/>
      <c r="Q642" s="491" t="n"/>
      <c r="R642" s="491" t="n"/>
      <c r="S642" s="491" t="n"/>
      <c r="T642" s="491" t="n"/>
      <c r="U642" s="491" t="n"/>
      <c r="V642" s="491" t="n"/>
      <c r="W642" s="491" t="n"/>
      <c r="X642" s="491" t="n"/>
      <c r="Y642" s="491" t="n"/>
    </row>
    <row r="643" ht="12.75" customHeight="1" s="398">
      <c r="A643" s="491" t="n"/>
      <c r="B643" s="491" t="n"/>
      <c r="C643" s="491" t="n"/>
      <c r="D643" s="491" t="n"/>
      <c r="E643" s="491" t="n"/>
      <c r="F643" s="491" t="n"/>
      <c r="G643" s="491" t="n"/>
      <c r="H643" s="491" t="n"/>
      <c r="I643" s="491" t="n"/>
      <c r="J643" s="491" t="n"/>
      <c r="K643" s="491" t="n"/>
      <c r="L643" s="491" t="n"/>
      <c r="M643" s="491" t="n"/>
      <c r="N643" s="491" t="n"/>
      <c r="O643" s="491" t="n"/>
      <c r="P643" s="491" t="n"/>
      <c r="Q643" s="491" t="n"/>
      <c r="R643" s="491" t="n"/>
      <c r="S643" s="491" t="n"/>
      <c r="T643" s="491" t="n"/>
      <c r="U643" s="491" t="n"/>
      <c r="V643" s="491" t="n"/>
      <c r="W643" s="491" t="n"/>
      <c r="X643" s="491" t="n"/>
      <c r="Y643" s="491" t="n"/>
    </row>
    <row r="644" ht="12.75" customHeight="1" s="398">
      <c r="A644" s="491" t="n"/>
      <c r="B644" s="491" t="n"/>
      <c r="C644" s="491" t="n"/>
      <c r="D644" s="491" t="n"/>
      <c r="E644" s="491" t="n"/>
      <c r="F644" s="491" t="n"/>
      <c r="G644" s="491" t="n"/>
      <c r="H644" s="491" t="n"/>
      <c r="I644" s="491" t="n"/>
      <c r="J644" s="491" t="n"/>
      <c r="K644" s="491" t="n"/>
      <c r="L644" s="491" t="n"/>
      <c r="M644" s="491" t="n"/>
      <c r="N644" s="491" t="n"/>
      <c r="O644" s="491" t="n"/>
      <c r="P644" s="491" t="n"/>
      <c r="Q644" s="491" t="n"/>
      <c r="R644" s="491" t="n"/>
      <c r="S644" s="491" t="n"/>
      <c r="T644" s="491" t="n"/>
      <c r="U644" s="491" t="n"/>
      <c r="V644" s="491" t="n"/>
      <c r="W644" s="491" t="n"/>
      <c r="X644" s="491" t="n"/>
      <c r="Y644" s="491" t="n"/>
    </row>
    <row r="645" ht="12.75" customHeight="1" s="398">
      <c r="A645" s="491" t="n"/>
      <c r="B645" s="491" t="n"/>
      <c r="C645" s="491" t="n"/>
      <c r="D645" s="491" t="n"/>
      <c r="E645" s="491" t="n"/>
      <c r="F645" s="491" t="n"/>
      <c r="G645" s="491" t="n"/>
      <c r="H645" s="491" t="n"/>
      <c r="I645" s="491" t="n"/>
      <c r="J645" s="491" t="n"/>
      <c r="K645" s="491" t="n"/>
      <c r="L645" s="491" t="n"/>
      <c r="M645" s="491" t="n"/>
      <c r="N645" s="491" t="n"/>
      <c r="O645" s="491" t="n"/>
      <c r="P645" s="491" t="n"/>
      <c r="Q645" s="491" t="n"/>
      <c r="R645" s="491" t="n"/>
      <c r="S645" s="491" t="n"/>
      <c r="T645" s="491" t="n"/>
      <c r="U645" s="491" t="n"/>
      <c r="V645" s="491" t="n"/>
      <c r="W645" s="491" t="n"/>
      <c r="X645" s="491" t="n"/>
      <c r="Y645" s="491" t="n"/>
    </row>
    <row r="646" ht="12.75" customHeight="1" s="398">
      <c r="A646" s="491" t="n"/>
      <c r="B646" s="491" t="n"/>
      <c r="C646" s="491" t="n"/>
      <c r="D646" s="491" t="n"/>
      <c r="E646" s="491" t="n"/>
      <c r="F646" s="491" t="n"/>
      <c r="G646" s="491" t="n"/>
      <c r="H646" s="491" t="n"/>
      <c r="I646" s="491" t="n"/>
      <c r="J646" s="491" t="n"/>
      <c r="K646" s="491" t="n"/>
      <c r="L646" s="491" t="n"/>
      <c r="M646" s="491" t="n"/>
      <c r="N646" s="491" t="n"/>
      <c r="O646" s="491" t="n"/>
      <c r="P646" s="491" t="n"/>
      <c r="Q646" s="491" t="n"/>
      <c r="R646" s="491" t="n"/>
      <c r="S646" s="491" t="n"/>
      <c r="T646" s="491" t="n"/>
      <c r="U646" s="491" t="n"/>
      <c r="V646" s="491" t="n"/>
      <c r="W646" s="491" t="n"/>
      <c r="X646" s="491" t="n"/>
      <c r="Y646" s="491" t="n"/>
    </row>
    <row r="647" ht="12.75" customHeight="1" s="398">
      <c r="A647" s="491" t="n"/>
      <c r="B647" s="491" t="n"/>
      <c r="C647" s="491" t="n"/>
      <c r="D647" s="491" t="n"/>
      <c r="E647" s="491" t="n"/>
      <c r="F647" s="491" t="n"/>
      <c r="G647" s="491" t="n"/>
      <c r="H647" s="491" t="n"/>
      <c r="I647" s="491" t="n"/>
      <c r="J647" s="491" t="n"/>
      <c r="K647" s="491" t="n"/>
      <c r="L647" s="491" t="n"/>
      <c r="M647" s="491" t="n"/>
      <c r="N647" s="491" t="n"/>
      <c r="O647" s="491" t="n"/>
      <c r="P647" s="491" t="n"/>
      <c r="Q647" s="491" t="n"/>
      <c r="R647" s="491" t="n"/>
      <c r="S647" s="491" t="n"/>
      <c r="T647" s="491" t="n"/>
      <c r="U647" s="491" t="n"/>
      <c r="V647" s="491" t="n"/>
      <c r="W647" s="491" t="n"/>
      <c r="X647" s="491" t="n"/>
      <c r="Y647" s="491" t="n"/>
    </row>
    <row r="648" ht="12.75" customHeight="1" s="398">
      <c r="A648" s="491" t="n"/>
      <c r="B648" s="491" t="n"/>
      <c r="C648" s="491" t="n"/>
      <c r="D648" s="491" t="n"/>
      <c r="E648" s="491" t="n"/>
      <c r="F648" s="491" t="n"/>
      <c r="G648" s="491" t="n"/>
      <c r="H648" s="491" t="n"/>
      <c r="I648" s="491" t="n"/>
      <c r="J648" s="491" t="n"/>
      <c r="K648" s="491" t="n"/>
      <c r="L648" s="491" t="n"/>
      <c r="M648" s="491" t="n"/>
      <c r="N648" s="491" t="n"/>
      <c r="O648" s="491" t="n"/>
      <c r="P648" s="491" t="n"/>
      <c r="Q648" s="491" t="n"/>
      <c r="R648" s="491" t="n"/>
      <c r="S648" s="491" t="n"/>
      <c r="T648" s="491" t="n"/>
      <c r="U648" s="491" t="n"/>
      <c r="V648" s="491" t="n"/>
      <c r="W648" s="491" t="n"/>
      <c r="X648" s="491" t="n"/>
      <c r="Y648" s="491" t="n"/>
    </row>
    <row r="649" ht="12.75" customHeight="1" s="398">
      <c r="A649" s="491" t="n"/>
      <c r="B649" s="491" t="n"/>
      <c r="C649" s="491" t="n"/>
      <c r="D649" s="491" t="n"/>
      <c r="E649" s="491" t="n"/>
      <c r="F649" s="491" t="n"/>
      <c r="G649" s="491" t="n"/>
      <c r="H649" s="491" t="n"/>
      <c r="I649" s="491" t="n"/>
      <c r="J649" s="491" t="n"/>
      <c r="K649" s="491" t="n"/>
      <c r="L649" s="491" t="n"/>
      <c r="M649" s="491" t="n"/>
      <c r="N649" s="491" t="n"/>
      <c r="O649" s="491" t="n"/>
      <c r="P649" s="491" t="n"/>
      <c r="Q649" s="491" t="n"/>
      <c r="R649" s="491" t="n"/>
      <c r="S649" s="491" t="n"/>
      <c r="T649" s="491" t="n"/>
      <c r="U649" s="491" t="n"/>
      <c r="V649" s="491" t="n"/>
      <c r="W649" s="491" t="n"/>
      <c r="X649" s="491" t="n"/>
      <c r="Y649" s="491" t="n"/>
    </row>
    <row r="650" ht="12.75" customHeight="1" s="398">
      <c r="A650" s="491" t="n"/>
      <c r="B650" s="491" t="n"/>
      <c r="C650" s="491" t="n"/>
      <c r="D650" s="491" t="n"/>
      <c r="E650" s="491" t="n"/>
      <c r="F650" s="491" t="n"/>
      <c r="G650" s="491" t="n"/>
      <c r="H650" s="491" t="n"/>
      <c r="I650" s="491" t="n"/>
      <c r="J650" s="491" t="n"/>
      <c r="K650" s="491" t="n"/>
      <c r="L650" s="491" t="n"/>
      <c r="M650" s="491" t="n"/>
      <c r="N650" s="491" t="n"/>
      <c r="O650" s="491" t="n"/>
      <c r="P650" s="491" t="n"/>
      <c r="Q650" s="491" t="n"/>
      <c r="R650" s="491" t="n"/>
      <c r="S650" s="491" t="n"/>
      <c r="T650" s="491" t="n"/>
      <c r="U650" s="491" t="n"/>
      <c r="V650" s="491" t="n"/>
      <c r="W650" s="491" t="n"/>
      <c r="X650" s="491" t="n"/>
      <c r="Y650" s="491" t="n"/>
    </row>
    <row r="651" ht="12.75" customHeight="1" s="398">
      <c r="A651" s="491" t="n"/>
      <c r="B651" s="491" t="n"/>
      <c r="C651" s="491" t="n"/>
      <c r="D651" s="491" t="n"/>
      <c r="E651" s="491" t="n"/>
      <c r="F651" s="491" t="n"/>
      <c r="G651" s="491" t="n"/>
      <c r="H651" s="491" t="n"/>
      <c r="I651" s="491" t="n"/>
      <c r="J651" s="491" t="n"/>
      <c r="K651" s="491" t="n"/>
      <c r="L651" s="491" t="n"/>
      <c r="M651" s="491" t="n"/>
      <c r="N651" s="491" t="n"/>
      <c r="O651" s="491" t="n"/>
      <c r="P651" s="491" t="n"/>
      <c r="Q651" s="491" t="n"/>
      <c r="R651" s="491" t="n"/>
      <c r="S651" s="491" t="n"/>
      <c r="T651" s="491" t="n"/>
      <c r="U651" s="491" t="n"/>
      <c r="V651" s="491" t="n"/>
      <c r="W651" s="491" t="n"/>
      <c r="X651" s="491" t="n"/>
      <c r="Y651" s="491" t="n"/>
    </row>
    <row r="652" ht="12.75" customHeight="1" s="398">
      <c r="A652" s="491" t="n"/>
      <c r="B652" s="491" t="n"/>
      <c r="C652" s="491" t="n"/>
      <c r="D652" s="491" t="n"/>
      <c r="E652" s="491" t="n"/>
      <c r="F652" s="491" t="n"/>
      <c r="G652" s="491" t="n"/>
      <c r="H652" s="491" t="n"/>
      <c r="I652" s="491" t="n"/>
      <c r="J652" s="491" t="n"/>
      <c r="K652" s="491" t="n"/>
      <c r="L652" s="491" t="n"/>
      <c r="M652" s="491" t="n"/>
      <c r="N652" s="491" t="n"/>
      <c r="O652" s="491" t="n"/>
      <c r="P652" s="491" t="n"/>
      <c r="Q652" s="491" t="n"/>
      <c r="R652" s="491" t="n"/>
      <c r="S652" s="491" t="n"/>
      <c r="T652" s="491" t="n"/>
      <c r="U652" s="491" t="n"/>
      <c r="V652" s="491" t="n"/>
      <c r="W652" s="491" t="n"/>
      <c r="X652" s="491" t="n"/>
      <c r="Y652" s="491" t="n"/>
    </row>
    <row r="653" ht="12.75" customHeight="1" s="398">
      <c r="A653" s="491" t="n"/>
      <c r="B653" s="491" t="n"/>
      <c r="C653" s="491" t="n"/>
      <c r="D653" s="491" t="n"/>
      <c r="E653" s="491" t="n"/>
      <c r="F653" s="491" t="n"/>
      <c r="G653" s="491" t="n"/>
      <c r="H653" s="491" t="n"/>
      <c r="I653" s="491" t="n"/>
      <c r="J653" s="491" t="n"/>
      <c r="K653" s="491" t="n"/>
      <c r="L653" s="491" t="n"/>
      <c r="M653" s="491" t="n"/>
      <c r="N653" s="491" t="n"/>
      <c r="O653" s="491" t="n"/>
      <c r="P653" s="491" t="n"/>
      <c r="Q653" s="491" t="n"/>
      <c r="R653" s="491" t="n"/>
      <c r="S653" s="491" t="n"/>
      <c r="T653" s="491" t="n"/>
      <c r="U653" s="491" t="n"/>
      <c r="V653" s="491" t="n"/>
      <c r="W653" s="491" t="n"/>
      <c r="X653" s="491" t="n"/>
      <c r="Y653" s="491" t="n"/>
    </row>
    <row r="654" ht="12.75" customHeight="1" s="398">
      <c r="A654" s="491" t="n"/>
      <c r="B654" s="491" t="n"/>
      <c r="C654" s="491" t="n"/>
      <c r="D654" s="491" t="n"/>
      <c r="E654" s="491" t="n"/>
      <c r="F654" s="491" t="n"/>
      <c r="G654" s="491" t="n"/>
      <c r="H654" s="491" t="n"/>
      <c r="I654" s="491" t="n"/>
      <c r="J654" s="491" t="n"/>
      <c r="K654" s="491" t="n"/>
      <c r="L654" s="491" t="n"/>
      <c r="M654" s="491" t="n"/>
      <c r="N654" s="491" t="n"/>
      <c r="O654" s="491" t="n"/>
      <c r="P654" s="491" t="n"/>
      <c r="Q654" s="491" t="n"/>
      <c r="R654" s="491" t="n"/>
      <c r="S654" s="491" t="n"/>
      <c r="T654" s="491" t="n"/>
      <c r="U654" s="491" t="n"/>
      <c r="V654" s="491" t="n"/>
      <c r="W654" s="491" t="n"/>
      <c r="X654" s="491" t="n"/>
      <c r="Y654" s="491" t="n"/>
    </row>
    <row r="655" ht="12.75" customHeight="1" s="398">
      <c r="A655" s="491" t="n"/>
      <c r="B655" s="491" t="n"/>
      <c r="C655" s="491" t="n"/>
      <c r="D655" s="491" t="n"/>
      <c r="E655" s="491" t="n"/>
      <c r="F655" s="491" t="n"/>
      <c r="G655" s="491" t="n"/>
      <c r="H655" s="491" t="n"/>
      <c r="I655" s="491" t="n"/>
      <c r="J655" s="491" t="n"/>
      <c r="K655" s="491" t="n"/>
      <c r="L655" s="491" t="n"/>
      <c r="M655" s="491" t="n"/>
      <c r="N655" s="491" t="n"/>
      <c r="O655" s="491" t="n"/>
      <c r="P655" s="491" t="n"/>
      <c r="Q655" s="491" t="n"/>
      <c r="R655" s="491" t="n"/>
      <c r="S655" s="491" t="n"/>
      <c r="T655" s="491" t="n"/>
      <c r="U655" s="491" t="n"/>
      <c r="V655" s="491" t="n"/>
      <c r="W655" s="491" t="n"/>
      <c r="X655" s="491" t="n"/>
      <c r="Y655" s="491" t="n"/>
    </row>
    <row r="656" ht="12.75" customHeight="1" s="398">
      <c r="A656" s="491" t="n"/>
      <c r="B656" s="491" t="n"/>
      <c r="C656" s="491" t="n"/>
      <c r="D656" s="491" t="n"/>
      <c r="E656" s="491" t="n"/>
      <c r="F656" s="491" t="n"/>
      <c r="G656" s="491" t="n"/>
      <c r="H656" s="491" t="n"/>
      <c r="I656" s="491" t="n"/>
      <c r="J656" s="491" t="n"/>
      <c r="K656" s="491" t="n"/>
      <c r="L656" s="491" t="n"/>
      <c r="M656" s="491" t="n"/>
      <c r="N656" s="491" t="n"/>
      <c r="O656" s="491" t="n"/>
      <c r="P656" s="491" t="n"/>
      <c r="Q656" s="491" t="n"/>
      <c r="R656" s="491" t="n"/>
      <c r="S656" s="491" t="n"/>
      <c r="T656" s="491" t="n"/>
      <c r="U656" s="491" t="n"/>
      <c r="V656" s="491" t="n"/>
      <c r="W656" s="491" t="n"/>
      <c r="X656" s="491" t="n"/>
      <c r="Y656" s="491" t="n"/>
    </row>
    <row r="657" ht="12.75" customHeight="1" s="398">
      <c r="A657" s="491" t="n"/>
      <c r="B657" s="491" t="n"/>
      <c r="C657" s="491" t="n"/>
      <c r="D657" s="491" t="n"/>
      <c r="E657" s="491" t="n"/>
      <c r="F657" s="491" t="n"/>
      <c r="G657" s="491" t="n"/>
      <c r="H657" s="491" t="n"/>
      <c r="I657" s="491" t="n"/>
      <c r="J657" s="491" t="n"/>
      <c r="K657" s="491" t="n"/>
      <c r="L657" s="491" t="n"/>
      <c r="M657" s="491" t="n"/>
      <c r="N657" s="491" t="n"/>
      <c r="O657" s="491" t="n"/>
      <c r="P657" s="491" t="n"/>
      <c r="Q657" s="491" t="n"/>
      <c r="R657" s="491" t="n"/>
      <c r="S657" s="491" t="n"/>
      <c r="T657" s="491" t="n"/>
      <c r="U657" s="491" t="n"/>
      <c r="V657" s="491" t="n"/>
      <c r="W657" s="491" t="n"/>
      <c r="X657" s="491" t="n"/>
      <c r="Y657" s="491" t="n"/>
    </row>
    <row r="658" ht="12.75" customHeight="1" s="398">
      <c r="A658" s="491" t="n"/>
      <c r="B658" s="491" t="n"/>
      <c r="C658" s="491" t="n"/>
      <c r="D658" s="491" t="n"/>
      <c r="E658" s="491" t="n"/>
      <c r="F658" s="491" t="n"/>
      <c r="G658" s="491" t="n"/>
      <c r="H658" s="491" t="n"/>
      <c r="I658" s="491" t="n"/>
      <c r="J658" s="491" t="n"/>
      <c r="K658" s="491" t="n"/>
      <c r="L658" s="491" t="n"/>
      <c r="M658" s="491" t="n"/>
      <c r="N658" s="491" t="n"/>
      <c r="O658" s="491" t="n"/>
      <c r="P658" s="491" t="n"/>
      <c r="Q658" s="491" t="n"/>
      <c r="R658" s="491" t="n"/>
      <c r="S658" s="491" t="n"/>
      <c r="T658" s="491" t="n"/>
      <c r="U658" s="491" t="n"/>
      <c r="V658" s="491" t="n"/>
      <c r="W658" s="491" t="n"/>
      <c r="X658" s="491" t="n"/>
      <c r="Y658" s="491" t="n"/>
    </row>
    <row r="659" ht="12.75" customHeight="1" s="398">
      <c r="A659" s="491" t="n"/>
      <c r="B659" s="491" t="n"/>
      <c r="C659" s="491" t="n"/>
      <c r="D659" s="491" t="n"/>
      <c r="E659" s="491" t="n"/>
      <c r="F659" s="491" t="n"/>
      <c r="G659" s="491" t="n"/>
      <c r="H659" s="491" t="n"/>
      <c r="I659" s="491" t="n"/>
      <c r="J659" s="491" t="n"/>
      <c r="K659" s="491" t="n"/>
      <c r="L659" s="491" t="n"/>
      <c r="M659" s="491" t="n"/>
      <c r="N659" s="491" t="n"/>
      <c r="O659" s="491" t="n"/>
      <c r="P659" s="491" t="n"/>
      <c r="Q659" s="491" t="n"/>
      <c r="R659" s="491" t="n"/>
      <c r="S659" s="491" t="n"/>
      <c r="T659" s="491" t="n"/>
      <c r="U659" s="491" t="n"/>
      <c r="V659" s="491" t="n"/>
      <c r="W659" s="491" t="n"/>
      <c r="X659" s="491" t="n"/>
      <c r="Y659" s="491" t="n"/>
    </row>
    <row r="660" ht="12.75" customHeight="1" s="398">
      <c r="A660" s="491" t="n"/>
      <c r="B660" s="491" t="n"/>
      <c r="C660" s="491" t="n"/>
      <c r="D660" s="491" t="n"/>
      <c r="E660" s="491" t="n"/>
      <c r="F660" s="491" t="n"/>
      <c r="G660" s="491" t="n"/>
      <c r="H660" s="491" t="n"/>
      <c r="I660" s="491" t="n"/>
      <c r="J660" s="491" t="n"/>
      <c r="K660" s="491" t="n"/>
      <c r="L660" s="491" t="n"/>
      <c r="M660" s="491" t="n"/>
      <c r="N660" s="491" t="n"/>
      <c r="O660" s="491" t="n"/>
      <c r="P660" s="491" t="n"/>
      <c r="Q660" s="491" t="n"/>
      <c r="R660" s="491" t="n"/>
      <c r="S660" s="491" t="n"/>
      <c r="T660" s="491" t="n"/>
      <c r="U660" s="491" t="n"/>
      <c r="V660" s="491" t="n"/>
      <c r="W660" s="491" t="n"/>
      <c r="X660" s="491" t="n"/>
      <c r="Y660" s="491" t="n"/>
    </row>
    <row r="661" ht="12.75" customHeight="1" s="398">
      <c r="A661" s="491" t="n"/>
      <c r="B661" s="491" t="n"/>
      <c r="C661" s="491" t="n"/>
      <c r="D661" s="491" t="n"/>
      <c r="E661" s="491" t="n"/>
      <c r="F661" s="491" t="n"/>
      <c r="G661" s="491" t="n"/>
      <c r="H661" s="491" t="n"/>
      <c r="I661" s="491" t="n"/>
      <c r="J661" s="491" t="n"/>
      <c r="K661" s="491" t="n"/>
      <c r="L661" s="491" t="n"/>
      <c r="M661" s="491" t="n"/>
      <c r="N661" s="491" t="n"/>
      <c r="O661" s="491" t="n"/>
      <c r="P661" s="491" t="n"/>
      <c r="Q661" s="491" t="n"/>
      <c r="R661" s="491" t="n"/>
      <c r="S661" s="491" t="n"/>
      <c r="T661" s="491" t="n"/>
      <c r="U661" s="491" t="n"/>
      <c r="V661" s="491" t="n"/>
      <c r="W661" s="491" t="n"/>
      <c r="X661" s="491" t="n"/>
      <c r="Y661" s="491" t="n"/>
    </row>
    <row r="662" ht="12.75" customHeight="1" s="398">
      <c r="A662" s="491" t="n"/>
      <c r="B662" s="491" t="n"/>
      <c r="C662" s="491" t="n"/>
      <c r="D662" s="491" t="n"/>
      <c r="E662" s="491" t="n"/>
      <c r="F662" s="491" t="n"/>
      <c r="G662" s="491" t="n"/>
      <c r="H662" s="491" t="n"/>
      <c r="I662" s="491" t="n"/>
      <c r="J662" s="491" t="n"/>
      <c r="K662" s="491" t="n"/>
      <c r="L662" s="491" t="n"/>
      <c r="M662" s="491" t="n"/>
      <c r="N662" s="491" t="n"/>
      <c r="O662" s="491" t="n"/>
      <c r="P662" s="491" t="n"/>
      <c r="Q662" s="491" t="n"/>
      <c r="R662" s="491" t="n"/>
      <c r="S662" s="491" t="n"/>
      <c r="T662" s="491" t="n"/>
      <c r="U662" s="491" t="n"/>
      <c r="V662" s="491" t="n"/>
      <c r="W662" s="491" t="n"/>
      <c r="X662" s="491" t="n"/>
      <c r="Y662" s="491" t="n"/>
    </row>
    <row r="663" ht="12.75" customHeight="1" s="398">
      <c r="A663" s="491" t="n"/>
      <c r="B663" s="491" t="n"/>
      <c r="C663" s="491" t="n"/>
      <c r="D663" s="491" t="n"/>
      <c r="E663" s="491" t="n"/>
      <c r="F663" s="491" t="n"/>
      <c r="G663" s="491" t="n"/>
      <c r="H663" s="491" t="n"/>
      <c r="I663" s="491" t="n"/>
      <c r="J663" s="491" t="n"/>
      <c r="K663" s="491" t="n"/>
      <c r="L663" s="491" t="n"/>
      <c r="M663" s="491" t="n"/>
      <c r="N663" s="491" t="n"/>
      <c r="O663" s="491" t="n"/>
      <c r="P663" s="491" t="n"/>
      <c r="Q663" s="491" t="n"/>
      <c r="R663" s="491" t="n"/>
      <c r="S663" s="491" t="n"/>
      <c r="T663" s="491" t="n"/>
      <c r="U663" s="491" t="n"/>
      <c r="V663" s="491" t="n"/>
      <c r="W663" s="491" t="n"/>
      <c r="X663" s="491" t="n"/>
      <c r="Y663" s="491" t="n"/>
    </row>
    <row r="664" ht="12.75" customHeight="1" s="398">
      <c r="A664" s="491" t="n"/>
      <c r="B664" s="491" t="n"/>
      <c r="C664" s="491" t="n"/>
      <c r="D664" s="491" t="n"/>
      <c r="E664" s="491" t="n"/>
      <c r="F664" s="491" t="n"/>
      <c r="G664" s="491" t="n"/>
      <c r="H664" s="491" t="n"/>
      <c r="I664" s="491" t="n"/>
      <c r="J664" s="491" t="n"/>
      <c r="K664" s="491" t="n"/>
      <c r="L664" s="491" t="n"/>
      <c r="M664" s="491" t="n"/>
      <c r="N664" s="491" t="n"/>
      <c r="O664" s="491" t="n"/>
      <c r="P664" s="491" t="n"/>
      <c r="Q664" s="491" t="n"/>
      <c r="R664" s="491" t="n"/>
      <c r="S664" s="491" t="n"/>
      <c r="T664" s="491" t="n"/>
      <c r="U664" s="491" t="n"/>
      <c r="V664" s="491" t="n"/>
      <c r="W664" s="491" t="n"/>
      <c r="X664" s="491" t="n"/>
      <c r="Y664" s="491" t="n"/>
    </row>
    <row r="665" ht="12.75" customHeight="1" s="398">
      <c r="A665" s="491" t="n"/>
      <c r="B665" s="491" t="n"/>
      <c r="C665" s="491" t="n"/>
      <c r="D665" s="491" t="n"/>
      <c r="E665" s="491" t="n"/>
      <c r="F665" s="491" t="n"/>
      <c r="G665" s="491" t="n"/>
      <c r="H665" s="491" t="n"/>
      <c r="I665" s="491" t="n"/>
      <c r="J665" s="491" t="n"/>
      <c r="K665" s="491" t="n"/>
      <c r="L665" s="491" t="n"/>
      <c r="M665" s="491" t="n"/>
      <c r="N665" s="491" t="n"/>
      <c r="O665" s="491" t="n"/>
      <c r="P665" s="491" t="n"/>
      <c r="Q665" s="491" t="n"/>
      <c r="R665" s="491" t="n"/>
      <c r="S665" s="491" t="n"/>
      <c r="T665" s="491" t="n"/>
      <c r="U665" s="491" t="n"/>
      <c r="V665" s="491" t="n"/>
      <c r="W665" s="491" t="n"/>
      <c r="X665" s="491" t="n"/>
      <c r="Y665" s="491" t="n"/>
    </row>
    <row r="666" ht="12.75" customHeight="1" s="398">
      <c r="A666" s="491" t="n"/>
      <c r="B666" s="491" t="n"/>
      <c r="C666" s="491" t="n"/>
      <c r="D666" s="491" t="n"/>
      <c r="E666" s="491" t="n"/>
      <c r="F666" s="491" t="n"/>
      <c r="G666" s="491" t="n"/>
      <c r="H666" s="491" t="n"/>
      <c r="I666" s="491" t="n"/>
      <c r="J666" s="491" t="n"/>
      <c r="K666" s="491" t="n"/>
      <c r="L666" s="491" t="n"/>
      <c r="M666" s="491" t="n"/>
      <c r="N666" s="491" t="n"/>
      <c r="O666" s="491" t="n"/>
      <c r="P666" s="491" t="n"/>
      <c r="Q666" s="491" t="n"/>
      <c r="R666" s="491" t="n"/>
      <c r="S666" s="491" t="n"/>
      <c r="T666" s="491" t="n"/>
      <c r="U666" s="491" t="n"/>
      <c r="V666" s="491" t="n"/>
      <c r="W666" s="491" t="n"/>
      <c r="X666" s="491" t="n"/>
      <c r="Y666" s="491" t="n"/>
    </row>
    <row r="667" ht="12.75" customHeight="1" s="398">
      <c r="A667" s="491" t="n"/>
      <c r="B667" s="491" t="n"/>
      <c r="C667" s="491" t="n"/>
      <c r="D667" s="491" t="n"/>
      <c r="E667" s="491" t="n"/>
      <c r="F667" s="491" t="n"/>
      <c r="G667" s="491" t="n"/>
      <c r="H667" s="491" t="n"/>
      <c r="I667" s="491" t="n"/>
      <c r="J667" s="491" t="n"/>
      <c r="K667" s="491" t="n"/>
      <c r="L667" s="491" t="n"/>
      <c r="M667" s="491" t="n"/>
      <c r="N667" s="491" t="n"/>
      <c r="O667" s="491" t="n"/>
      <c r="P667" s="491" t="n"/>
      <c r="Q667" s="491" t="n"/>
      <c r="R667" s="491" t="n"/>
      <c r="S667" s="491" t="n"/>
      <c r="T667" s="491" t="n"/>
      <c r="U667" s="491" t="n"/>
      <c r="V667" s="491" t="n"/>
      <c r="W667" s="491" t="n"/>
      <c r="X667" s="491" t="n"/>
      <c r="Y667" s="491" t="n"/>
    </row>
    <row r="668" ht="12.75" customHeight="1" s="398">
      <c r="A668" s="491" t="n"/>
      <c r="B668" s="491" t="n"/>
      <c r="C668" s="491" t="n"/>
      <c r="D668" s="491" t="n"/>
      <c r="E668" s="491" t="n"/>
      <c r="F668" s="491" t="n"/>
      <c r="G668" s="491" t="n"/>
      <c r="H668" s="491" t="n"/>
      <c r="I668" s="491" t="n"/>
      <c r="J668" s="491" t="n"/>
      <c r="K668" s="491" t="n"/>
      <c r="L668" s="491" t="n"/>
      <c r="M668" s="491" t="n"/>
      <c r="N668" s="491" t="n"/>
      <c r="O668" s="491" t="n"/>
      <c r="P668" s="491" t="n"/>
      <c r="Q668" s="491" t="n"/>
      <c r="R668" s="491" t="n"/>
      <c r="S668" s="491" t="n"/>
      <c r="T668" s="491" t="n"/>
      <c r="U668" s="491" t="n"/>
      <c r="V668" s="491" t="n"/>
      <c r="W668" s="491" t="n"/>
      <c r="X668" s="491" t="n"/>
      <c r="Y668" s="491" t="n"/>
    </row>
    <row r="669" ht="12.75" customHeight="1" s="398">
      <c r="A669" s="491" t="n"/>
      <c r="B669" s="491" t="n"/>
      <c r="C669" s="491" t="n"/>
      <c r="D669" s="491" t="n"/>
      <c r="E669" s="491" t="n"/>
      <c r="F669" s="491" t="n"/>
      <c r="G669" s="491" t="n"/>
      <c r="H669" s="491" t="n"/>
      <c r="I669" s="491" t="n"/>
      <c r="J669" s="491" t="n"/>
      <c r="K669" s="491" t="n"/>
      <c r="L669" s="491" t="n"/>
      <c r="M669" s="491" t="n"/>
      <c r="N669" s="491" t="n"/>
      <c r="O669" s="491" t="n"/>
      <c r="P669" s="491" t="n"/>
      <c r="Q669" s="491" t="n"/>
      <c r="R669" s="491" t="n"/>
      <c r="S669" s="491" t="n"/>
      <c r="T669" s="491" t="n"/>
      <c r="U669" s="491" t="n"/>
      <c r="V669" s="491" t="n"/>
      <c r="W669" s="491" t="n"/>
      <c r="X669" s="491" t="n"/>
      <c r="Y669" s="491" t="n"/>
    </row>
    <row r="670" ht="12.75" customHeight="1" s="398">
      <c r="A670" s="491" t="n"/>
      <c r="B670" s="491" t="n"/>
      <c r="C670" s="491" t="n"/>
      <c r="D670" s="491" t="n"/>
      <c r="E670" s="491" t="n"/>
      <c r="F670" s="491" t="n"/>
      <c r="G670" s="491" t="n"/>
      <c r="H670" s="491" t="n"/>
      <c r="I670" s="491" t="n"/>
      <c r="J670" s="491" t="n"/>
      <c r="K670" s="491" t="n"/>
      <c r="L670" s="491" t="n"/>
      <c r="M670" s="491" t="n"/>
      <c r="N670" s="491" t="n"/>
      <c r="O670" s="491" t="n"/>
      <c r="P670" s="491" t="n"/>
      <c r="Q670" s="491" t="n"/>
      <c r="R670" s="491" t="n"/>
      <c r="S670" s="491" t="n"/>
      <c r="T670" s="491" t="n"/>
      <c r="U670" s="491" t="n"/>
      <c r="V670" s="491" t="n"/>
      <c r="W670" s="491" t="n"/>
      <c r="X670" s="491" t="n"/>
      <c r="Y670" s="491" t="n"/>
    </row>
    <row r="671" ht="12.75" customHeight="1" s="398">
      <c r="A671" s="491" t="n"/>
      <c r="B671" s="491" t="n"/>
      <c r="C671" s="491" t="n"/>
      <c r="D671" s="491" t="n"/>
      <c r="E671" s="491" t="n"/>
      <c r="F671" s="491" t="n"/>
      <c r="G671" s="491" t="n"/>
      <c r="H671" s="491" t="n"/>
      <c r="I671" s="491" t="n"/>
      <c r="J671" s="491" t="n"/>
      <c r="K671" s="491" t="n"/>
      <c r="L671" s="491" t="n"/>
      <c r="M671" s="491" t="n"/>
      <c r="N671" s="491" t="n"/>
      <c r="O671" s="491" t="n"/>
      <c r="P671" s="491" t="n"/>
      <c r="Q671" s="491" t="n"/>
      <c r="R671" s="491" t="n"/>
      <c r="S671" s="491" t="n"/>
      <c r="T671" s="491" t="n"/>
      <c r="U671" s="491" t="n"/>
      <c r="V671" s="491" t="n"/>
      <c r="W671" s="491" t="n"/>
      <c r="X671" s="491" t="n"/>
      <c r="Y671" s="491" t="n"/>
    </row>
    <row r="672" ht="12.75" customHeight="1" s="398">
      <c r="A672" s="491" t="n"/>
      <c r="B672" s="491" t="n"/>
      <c r="C672" s="491" t="n"/>
      <c r="D672" s="491" t="n"/>
      <c r="E672" s="491" t="n"/>
      <c r="F672" s="491" t="n"/>
      <c r="G672" s="491" t="n"/>
      <c r="H672" s="491" t="n"/>
      <c r="I672" s="491" t="n"/>
      <c r="J672" s="491" t="n"/>
      <c r="K672" s="491" t="n"/>
      <c r="L672" s="491" t="n"/>
      <c r="M672" s="491" t="n"/>
      <c r="N672" s="491" t="n"/>
      <c r="O672" s="491" t="n"/>
      <c r="P672" s="491" t="n"/>
      <c r="Q672" s="491" t="n"/>
      <c r="R672" s="491" t="n"/>
      <c r="S672" s="491" t="n"/>
      <c r="T672" s="491" t="n"/>
      <c r="U672" s="491" t="n"/>
      <c r="V672" s="491" t="n"/>
      <c r="W672" s="491" t="n"/>
      <c r="X672" s="491" t="n"/>
      <c r="Y672" s="491" t="n"/>
    </row>
    <row r="673" ht="12.75" customHeight="1" s="398">
      <c r="A673" s="491" t="n"/>
      <c r="B673" s="491" t="n"/>
      <c r="C673" s="491" t="n"/>
      <c r="D673" s="491" t="n"/>
      <c r="E673" s="491" t="n"/>
      <c r="F673" s="491" t="n"/>
      <c r="G673" s="491" t="n"/>
      <c r="H673" s="491" t="n"/>
      <c r="I673" s="491" t="n"/>
      <c r="J673" s="491" t="n"/>
      <c r="K673" s="491" t="n"/>
      <c r="L673" s="491" t="n"/>
      <c r="M673" s="491" t="n"/>
      <c r="N673" s="491" t="n"/>
      <c r="O673" s="491" t="n"/>
      <c r="P673" s="491" t="n"/>
      <c r="Q673" s="491" t="n"/>
      <c r="R673" s="491" t="n"/>
      <c r="S673" s="491" t="n"/>
      <c r="T673" s="491" t="n"/>
      <c r="U673" s="491" t="n"/>
      <c r="V673" s="491" t="n"/>
      <c r="W673" s="491" t="n"/>
      <c r="X673" s="491" t="n"/>
      <c r="Y673" s="491" t="n"/>
    </row>
    <row r="674" ht="12.75" customHeight="1" s="398">
      <c r="A674" s="491" t="n"/>
      <c r="B674" s="491" t="n"/>
      <c r="C674" s="491" t="n"/>
      <c r="D674" s="491" t="n"/>
      <c r="E674" s="491" t="n"/>
      <c r="F674" s="491" t="n"/>
      <c r="G674" s="491" t="n"/>
      <c r="H674" s="491" t="n"/>
      <c r="I674" s="491" t="n"/>
      <c r="J674" s="491" t="n"/>
      <c r="K674" s="491" t="n"/>
      <c r="L674" s="491" t="n"/>
      <c r="M674" s="491" t="n"/>
      <c r="N674" s="491" t="n"/>
      <c r="O674" s="491" t="n"/>
      <c r="P674" s="491" t="n"/>
      <c r="Q674" s="491" t="n"/>
      <c r="R674" s="491" t="n"/>
      <c r="S674" s="491" t="n"/>
      <c r="T674" s="491" t="n"/>
      <c r="U674" s="491" t="n"/>
      <c r="V674" s="491" t="n"/>
      <c r="W674" s="491" t="n"/>
      <c r="X674" s="491" t="n"/>
      <c r="Y674" s="491" t="n"/>
    </row>
    <row r="675" ht="12.75" customHeight="1" s="398">
      <c r="A675" s="491" t="n"/>
      <c r="B675" s="491" t="n"/>
      <c r="C675" s="491" t="n"/>
      <c r="D675" s="491" t="n"/>
      <c r="E675" s="491" t="n"/>
      <c r="F675" s="491" t="n"/>
      <c r="G675" s="491" t="n"/>
      <c r="H675" s="491" t="n"/>
      <c r="I675" s="491" t="n"/>
      <c r="J675" s="491" t="n"/>
      <c r="K675" s="491" t="n"/>
      <c r="L675" s="491" t="n"/>
      <c r="M675" s="491" t="n"/>
      <c r="N675" s="491" t="n"/>
      <c r="O675" s="491" t="n"/>
      <c r="P675" s="491" t="n"/>
      <c r="Q675" s="491" t="n"/>
      <c r="R675" s="491" t="n"/>
      <c r="S675" s="491" t="n"/>
      <c r="T675" s="491" t="n"/>
      <c r="U675" s="491" t="n"/>
      <c r="V675" s="491" t="n"/>
      <c r="W675" s="491" t="n"/>
      <c r="X675" s="491" t="n"/>
      <c r="Y675" s="491" t="n"/>
    </row>
    <row r="676" ht="12.75" customHeight="1" s="398">
      <c r="A676" s="491" t="n"/>
      <c r="B676" s="491" t="n"/>
      <c r="C676" s="491" t="n"/>
      <c r="D676" s="491" t="n"/>
      <c r="E676" s="491" t="n"/>
      <c r="F676" s="491" t="n"/>
      <c r="G676" s="491" t="n"/>
      <c r="H676" s="491" t="n"/>
      <c r="I676" s="491" t="n"/>
      <c r="J676" s="491" t="n"/>
      <c r="K676" s="491" t="n"/>
      <c r="L676" s="491" t="n"/>
      <c r="M676" s="491" t="n"/>
      <c r="N676" s="491" t="n"/>
      <c r="O676" s="491" t="n"/>
      <c r="P676" s="491" t="n"/>
      <c r="Q676" s="491" t="n"/>
      <c r="R676" s="491" t="n"/>
      <c r="S676" s="491" t="n"/>
      <c r="T676" s="491" t="n"/>
      <c r="U676" s="491" t="n"/>
      <c r="V676" s="491" t="n"/>
      <c r="W676" s="491" t="n"/>
      <c r="X676" s="491" t="n"/>
      <c r="Y676" s="491" t="n"/>
    </row>
    <row r="677" ht="12.75" customHeight="1" s="398">
      <c r="A677" s="491" t="n"/>
      <c r="B677" s="491" t="n"/>
      <c r="C677" s="491" t="n"/>
      <c r="D677" s="491" t="n"/>
      <c r="E677" s="491" t="n"/>
      <c r="F677" s="491" t="n"/>
      <c r="G677" s="491" t="n"/>
      <c r="H677" s="491" t="n"/>
      <c r="I677" s="491" t="n"/>
      <c r="J677" s="491" t="n"/>
      <c r="K677" s="491" t="n"/>
      <c r="L677" s="491" t="n"/>
      <c r="M677" s="491" t="n"/>
      <c r="N677" s="491" t="n"/>
      <c r="O677" s="491" t="n"/>
      <c r="P677" s="491" t="n"/>
      <c r="Q677" s="491" t="n"/>
      <c r="R677" s="491" t="n"/>
      <c r="S677" s="491" t="n"/>
      <c r="T677" s="491" t="n"/>
      <c r="U677" s="491" t="n"/>
      <c r="V677" s="491" t="n"/>
      <c r="W677" s="491" t="n"/>
      <c r="X677" s="491" t="n"/>
      <c r="Y677" s="491" t="n"/>
    </row>
    <row r="678" ht="12.75" customHeight="1" s="398">
      <c r="A678" s="491" t="n"/>
      <c r="B678" s="491" t="n"/>
      <c r="C678" s="491" t="n"/>
      <c r="D678" s="491" t="n"/>
      <c r="E678" s="491" t="n"/>
      <c r="F678" s="491" t="n"/>
      <c r="G678" s="491" t="n"/>
      <c r="H678" s="491" t="n"/>
      <c r="I678" s="491" t="n"/>
      <c r="J678" s="491" t="n"/>
      <c r="K678" s="491" t="n"/>
      <c r="L678" s="491" t="n"/>
      <c r="M678" s="491" t="n"/>
      <c r="N678" s="491" t="n"/>
      <c r="O678" s="491" t="n"/>
      <c r="P678" s="491" t="n"/>
      <c r="Q678" s="491" t="n"/>
      <c r="R678" s="491" t="n"/>
      <c r="S678" s="491" t="n"/>
      <c r="T678" s="491" t="n"/>
      <c r="U678" s="491" t="n"/>
      <c r="V678" s="491" t="n"/>
      <c r="W678" s="491" t="n"/>
      <c r="X678" s="491" t="n"/>
      <c r="Y678" s="491" t="n"/>
    </row>
    <row r="679" ht="12.75" customHeight="1" s="398">
      <c r="A679" s="491" t="n"/>
      <c r="B679" s="491" t="n"/>
      <c r="C679" s="491" t="n"/>
      <c r="D679" s="491" t="n"/>
      <c r="E679" s="491" t="n"/>
      <c r="F679" s="491" t="n"/>
      <c r="G679" s="491" t="n"/>
      <c r="H679" s="491" t="n"/>
      <c r="I679" s="491" t="n"/>
      <c r="J679" s="491" t="n"/>
      <c r="K679" s="491" t="n"/>
      <c r="L679" s="491" t="n"/>
      <c r="M679" s="491" t="n"/>
      <c r="N679" s="491" t="n"/>
      <c r="O679" s="491" t="n"/>
      <c r="P679" s="491" t="n"/>
      <c r="Q679" s="491" t="n"/>
      <c r="R679" s="491" t="n"/>
      <c r="S679" s="491" t="n"/>
      <c r="T679" s="491" t="n"/>
      <c r="U679" s="491" t="n"/>
      <c r="V679" s="491" t="n"/>
      <c r="W679" s="491" t="n"/>
      <c r="X679" s="491" t="n"/>
      <c r="Y679" s="491" t="n"/>
    </row>
    <row r="680" ht="12.75" customHeight="1" s="398">
      <c r="A680" s="491" t="n"/>
      <c r="B680" s="491" t="n"/>
      <c r="C680" s="491" t="n"/>
      <c r="D680" s="491" t="n"/>
      <c r="E680" s="491" t="n"/>
      <c r="F680" s="491" t="n"/>
      <c r="G680" s="491" t="n"/>
      <c r="H680" s="491" t="n"/>
      <c r="I680" s="491" t="n"/>
      <c r="J680" s="491" t="n"/>
      <c r="K680" s="491" t="n"/>
      <c r="L680" s="491" t="n"/>
      <c r="M680" s="491" t="n"/>
      <c r="N680" s="491" t="n"/>
      <c r="O680" s="491" t="n"/>
      <c r="P680" s="491" t="n"/>
      <c r="Q680" s="491" t="n"/>
      <c r="R680" s="491" t="n"/>
      <c r="S680" s="491" t="n"/>
      <c r="T680" s="491" t="n"/>
      <c r="U680" s="491" t="n"/>
      <c r="V680" s="491" t="n"/>
      <c r="W680" s="491" t="n"/>
      <c r="X680" s="491" t="n"/>
      <c r="Y680" s="491" t="n"/>
    </row>
    <row r="681" ht="12.75" customHeight="1" s="398">
      <c r="A681" s="491" t="n"/>
      <c r="B681" s="491" t="n"/>
      <c r="C681" s="491" t="n"/>
      <c r="D681" s="491" t="n"/>
      <c r="E681" s="491" t="n"/>
      <c r="F681" s="491" t="n"/>
      <c r="G681" s="491" t="n"/>
      <c r="H681" s="491" t="n"/>
      <c r="I681" s="491" t="n"/>
      <c r="J681" s="491" t="n"/>
      <c r="K681" s="491" t="n"/>
      <c r="L681" s="491" t="n"/>
      <c r="M681" s="491" t="n"/>
      <c r="N681" s="491" t="n"/>
      <c r="O681" s="491" t="n"/>
      <c r="P681" s="491" t="n"/>
      <c r="Q681" s="491" t="n"/>
      <c r="R681" s="491" t="n"/>
      <c r="S681" s="491" t="n"/>
      <c r="T681" s="491" t="n"/>
      <c r="U681" s="491" t="n"/>
      <c r="V681" s="491" t="n"/>
      <c r="W681" s="491" t="n"/>
      <c r="X681" s="491" t="n"/>
      <c r="Y681" s="491" t="n"/>
    </row>
    <row r="682" ht="12.75" customHeight="1" s="398">
      <c r="A682" s="491" t="n"/>
      <c r="B682" s="491" t="n"/>
      <c r="C682" s="491" t="n"/>
      <c r="D682" s="491" t="n"/>
      <c r="E682" s="491" t="n"/>
      <c r="F682" s="491" t="n"/>
      <c r="G682" s="491" t="n"/>
      <c r="H682" s="491" t="n"/>
      <c r="I682" s="491" t="n"/>
      <c r="J682" s="491" t="n"/>
      <c r="K682" s="491" t="n"/>
      <c r="L682" s="491" t="n"/>
      <c r="M682" s="491" t="n"/>
      <c r="N682" s="491" t="n"/>
      <c r="O682" s="491" t="n"/>
      <c r="P682" s="491" t="n"/>
      <c r="Q682" s="491" t="n"/>
      <c r="R682" s="491" t="n"/>
      <c r="S682" s="491" t="n"/>
      <c r="T682" s="491" t="n"/>
      <c r="U682" s="491" t="n"/>
      <c r="V682" s="491" t="n"/>
      <c r="W682" s="491" t="n"/>
      <c r="X682" s="491" t="n"/>
      <c r="Y682" s="491" t="n"/>
    </row>
    <row r="683" ht="12.75" customHeight="1" s="398">
      <c r="A683" s="491" t="n"/>
      <c r="B683" s="491" t="n"/>
      <c r="C683" s="491" t="n"/>
      <c r="D683" s="491" t="n"/>
      <c r="E683" s="491" t="n"/>
      <c r="F683" s="491" t="n"/>
      <c r="G683" s="491" t="n"/>
      <c r="H683" s="491" t="n"/>
      <c r="I683" s="491" t="n"/>
      <c r="J683" s="491" t="n"/>
      <c r="K683" s="491" t="n"/>
      <c r="L683" s="491" t="n"/>
      <c r="M683" s="491" t="n"/>
      <c r="N683" s="491" t="n"/>
      <c r="O683" s="491" t="n"/>
      <c r="P683" s="491" t="n"/>
      <c r="Q683" s="491" t="n"/>
      <c r="R683" s="491" t="n"/>
      <c r="S683" s="491" t="n"/>
      <c r="T683" s="491" t="n"/>
      <c r="U683" s="491" t="n"/>
      <c r="V683" s="491" t="n"/>
      <c r="W683" s="491" t="n"/>
      <c r="X683" s="491" t="n"/>
      <c r="Y683" s="491" t="n"/>
    </row>
    <row r="684" ht="12.75" customHeight="1" s="398">
      <c r="A684" s="491" t="n"/>
      <c r="B684" s="491" t="n"/>
      <c r="C684" s="491" t="n"/>
      <c r="D684" s="491" t="n"/>
      <c r="E684" s="491" t="n"/>
      <c r="F684" s="491" t="n"/>
      <c r="G684" s="491" t="n"/>
      <c r="H684" s="491" t="n"/>
      <c r="I684" s="491" t="n"/>
      <c r="J684" s="491" t="n"/>
      <c r="K684" s="491" t="n"/>
      <c r="L684" s="491" t="n"/>
      <c r="M684" s="491" t="n"/>
      <c r="N684" s="491" t="n"/>
      <c r="O684" s="491" t="n"/>
      <c r="P684" s="491" t="n"/>
      <c r="Q684" s="491" t="n"/>
      <c r="R684" s="491" t="n"/>
      <c r="S684" s="491" t="n"/>
      <c r="T684" s="491" t="n"/>
      <c r="U684" s="491" t="n"/>
      <c r="V684" s="491" t="n"/>
      <c r="W684" s="491" t="n"/>
      <c r="X684" s="491" t="n"/>
      <c r="Y684" s="491" t="n"/>
    </row>
    <row r="685" ht="12.75" customHeight="1" s="398">
      <c r="A685" s="491" t="n"/>
      <c r="B685" s="491" t="n"/>
      <c r="C685" s="491" t="n"/>
      <c r="D685" s="491" t="n"/>
      <c r="E685" s="491" t="n"/>
      <c r="F685" s="491" t="n"/>
      <c r="G685" s="491" t="n"/>
      <c r="H685" s="491" t="n"/>
      <c r="I685" s="491" t="n"/>
      <c r="J685" s="491" t="n"/>
      <c r="K685" s="491" t="n"/>
      <c r="L685" s="491" t="n"/>
      <c r="M685" s="491" t="n"/>
      <c r="N685" s="491" t="n"/>
      <c r="O685" s="491" t="n"/>
      <c r="P685" s="491" t="n"/>
      <c r="Q685" s="491" t="n"/>
      <c r="R685" s="491" t="n"/>
      <c r="S685" s="491" t="n"/>
      <c r="T685" s="491" t="n"/>
      <c r="U685" s="491" t="n"/>
      <c r="V685" s="491" t="n"/>
      <c r="W685" s="491" t="n"/>
      <c r="X685" s="491" t="n"/>
      <c r="Y685" s="491" t="n"/>
    </row>
    <row r="686" ht="12.75" customHeight="1" s="398">
      <c r="A686" s="491" t="n"/>
      <c r="B686" s="491" t="n"/>
      <c r="C686" s="491" t="n"/>
      <c r="D686" s="491" t="n"/>
      <c r="E686" s="491" t="n"/>
      <c r="F686" s="491" t="n"/>
      <c r="G686" s="491" t="n"/>
      <c r="H686" s="491" t="n"/>
      <c r="I686" s="491" t="n"/>
      <c r="J686" s="491" t="n"/>
      <c r="K686" s="491" t="n"/>
      <c r="L686" s="491" t="n"/>
      <c r="M686" s="491" t="n"/>
      <c r="N686" s="491" t="n"/>
      <c r="O686" s="491" t="n"/>
      <c r="P686" s="491" t="n"/>
      <c r="Q686" s="491" t="n"/>
      <c r="R686" s="491" t="n"/>
      <c r="S686" s="491" t="n"/>
      <c r="T686" s="491" t="n"/>
      <c r="U686" s="491" t="n"/>
      <c r="V686" s="491" t="n"/>
      <c r="W686" s="491" t="n"/>
      <c r="X686" s="491" t="n"/>
      <c r="Y686" s="491" t="n"/>
    </row>
    <row r="687" ht="12.75" customHeight="1" s="398">
      <c r="A687" s="491" t="n"/>
      <c r="B687" s="491" t="n"/>
      <c r="C687" s="491" t="n"/>
      <c r="D687" s="491" t="n"/>
      <c r="E687" s="491" t="n"/>
      <c r="F687" s="491" t="n"/>
      <c r="G687" s="491" t="n"/>
      <c r="H687" s="491" t="n"/>
      <c r="I687" s="491" t="n"/>
      <c r="J687" s="491" t="n"/>
      <c r="K687" s="491" t="n"/>
      <c r="L687" s="491" t="n"/>
      <c r="M687" s="491" t="n"/>
      <c r="N687" s="491" t="n"/>
      <c r="O687" s="491" t="n"/>
      <c r="P687" s="491" t="n"/>
      <c r="Q687" s="491" t="n"/>
      <c r="R687" s="491" t="n"/>
      <c r="S687" s="491" t="n"/>
      <c r="T687" s="491" t="n"/>
      <c r="U687" s="491" t="n"/>
      <c r="V687" s="491" t="n"/>
      <c r="W687" s="491" t="n"/>
      <c r="X687" s="491" t="n"/>
      <c r="Y687" s="491" t="n"/>
    </row>
    <row r="688" ht="12.75" customHeight="1" s="398">
      <c r="A688" s="491" t="n"/>
      <c r="B688" s="491" t="n"/>
      <c r="C688" s="491" t="n"/>
      <c r="D688" s="491" t="n"/>
      <c r="E688" s="491" t="n"/>
      <c r="F688" s="491" t="n"/>
      <c r="G688" s="491" t="n"/>
      <c r="H688" s="491" t="n"/>
      <c r="I688" s="491" t="n"/>
      <c r="J688" s="491" t="n"/>
      <c r="K688" s="491" t="n"/>
      <c r="L688" s="491" t="n"/>
      <c r="M688" s="491" t="n"/>
      <c r="N688" s="491" t="n"/>
      <c r="O688" s="491" t="n"/>
      <c r="P688" s="491" t="n"/>
      <c r="Q688" s="491" t="n"/>
      <c r="R688" s="491" t="n"/>
      <c r="S688" s="491" t="n"/>
      <c r="T688" s="491" t="n"/>
      <c r="U688" s="491" t="n"/>
      <c r="V688" s="491" t="n"/>
      <c r="W688" s="491" t="n"/>
      <c r="X688" s="491" t="n"/>
      <c r="Y688" s="491" t="n"/>
    </row>
    <row r="689" ht="12.75" customHeight="1" s="398">
      <c r="A689" s="491" t="n"/>
      <c r="B689" s="491" t="n"/>
      <c r="C689" s="491" t="n"/>
      <c r="D689" s="491" t="n"/>
      <c r="E689" s="491" t="n"/>
      <c r="F689" s="491" t="n"/>
      <c r="G689" s="491" t="n"/>
      <c r="H689" s="491" t="n"/>
      <c r="I689" s="491" t="n"/>
      <c r="J689" s="491" t="n"/>
      <c r="K689" s="491" t="n"/>
      <c r="L689" s="491" t="n"/>
      <c r="M689" s="491" t="n"/>
      <c r="N689" s="491" t="n"/>
      <c r="O689" s="491" t="n"/>
      <c r="P689" s="491" t="n"/>
      <c r="Q689" s="491" t="n"/>
      <c r="R689" s="491" t="n"/>
      <c r="S689" s="491" t="n"/>
      <c r="T689" s="491" t="n"/>
      <c r="U689" s="491" t="n"/>
      <c r="V689" s="491" t="n"/>
      <c r="W689" s="491" t="n"/>
      <c r="X689" s="491" t="n"/>
      <c r="Y689" s="491" t="n"/>
    </row>
    <row r="690" ht="12.75" customHeight="1" s="398">
      <c r="A690" s="491" t="n"/>
      <c r="B690" s="491" t="n"/>
      <c r="C690" s="491" t="n"/>
      <c r="D690" s="491" t="n"/>
      <c r="E690" s="491" t="n"/>
      <c r="F690" s="491" t="n"/>
      <c r="G690" s="491" t="n"/>
      <c r="H690" s="491" t="n"/>
      <c r="I690" s="491" t="n"/>
      <c r="J690" s="491" t="n"/>
      <c r="K690" s="491" t="n"/>
      <c r="L690" s="491" t="n"/>
      <c r="M690" s="491" t="n"/>
      <c r="N690" s="491" t="n"/>
      <c r="O690" s="491" t="n"/>
      <c r="P690" s="491" t="n"/>
      <c r="Q690" s="491" t="n"/>
      <c r="R690" s="491" t="n"/>
      <c r="S690" s="491" t="n"/>
      <c r="T690" s="491" t="n"/>
      <c r="U690" s="491" t="n"/>
      <c r="V690" s="491" t="n"/>
      <c r="W690" s="491" t="n"/>
      <c r="X690" s="491" t="n"/>
      <c r="Y690" s="491" t="n"/>
    </row>
    <row r="691" ht="12.75" customHeight="1" s="398">
      <c r="A691" s="491" t="n"/>
      <c r="B691" s="491" t="n"/>
      <c r="C691" s="491" t="n"/>
      <c r="D691" s="491" t="n"/>
      <c r="E691" s="491" t="n"/>
      <c r="F691" s="491" t="n"/>
      <c r="G691" s="491" t="n"/>
      <c r="H691" s="491" t="n"/>
      <c r="I691" s="491" t="n"/>
      <c r="J691" s="491" t="n"/>
      <c r="K691" s="491" t="n"/>
      <c r="L691" s="491" t="n"/>
      <c r="M691" s="491" t="n"/>
      <c r="N691" s="491" t="n"/>
      <c r="O691" s="491" t="n"/>
      <c r="P691" s="491" t="n"/>
      <c r="Q691" s="491" t="n"/>
      <c r="R691" s="491" t="n"/>
      <c r="S691" s="491" t="n"/>
      <c r="T691" s="491" t="n"/>
      <c r="U691" s="491" t="n"/>
      <c r="V691" s="491" t="n"/>
      <c r="W691" s="491" t="n"/>
      <c r="X691" s="491" t="n"/>
      <c r="Y691" s="491" t="n"/>
    </row>
    <row r="692" ht="12.75" customHeight="1" s="398">
      <c r="A692" s="491" t="n"/>
      <c r="B692" s="491" t="n"/>
      <c r="C692" s="491" t="n"/>
      <c r="D692" s="491" t="n"/>
      <c r="E692" s="491" t="n"/>
      <c r="F692" s="491" t="n"/>
      <c r="G692" s="491" t="n"/>
      <c r="H692" s="491" t="n"/>
      <c r="I692" s="491" t="n"/>
      <c r="J692" s="491" t="n"/>
      <c r="K692" s="491" t="n"/>
      <c r="L692" s="491" t="n"/>
      <c r="M692" s="491" t="n"/>
      <c r="N692" s="491" t="n"/>
      <c r="O692" s="491" t="n"/>
      <c r="P692" s="491" t="n"/>
      <c r="Q692" s="491" t="n"/>
      <c r="R692" s="491" t="n"/>
      <c r="S692" s="491" t="n"/>
      <c r="T692" s="491" t="n"/>
      <c r="U692" s="491" t="n"/>
      <c r="V692" s="491" t="n"/>
      <c r="W692" s="491" t="n"/>
      <c r="X692" s="491" t="n"/>
      <c r="Y692" s="491" t="n"/>
    </row>
    <row r="693" ht="12.75" customHeight="1" s="398">
      <c r="A693" s="491" t="n"/>
      <c r="B693" s="491" t="n"/>
      <c r="C693" s="491" t="n"/>
      <c r="D693" s="491" t="n"/>
      <c r="E693" s="491" t="n"/>
      <c r="F693" s="491" t="n"/>
      <c r="G693" s="491" t="n"/>
      <c r="H693" s="491" t="n"/>
      <c r="I693" s="491" t="n"/>
      <c r="J693" s="491" t="n"/>
      <c r="K693" s="491" t="n"/>
      <c r="L693" s="491" t="n"/>
      <c r="M693" s="491" t="n"/>
      <c r="N693" s="491" t="n"/>
      <c r="O693" s="491" t="n"/>
      <c r="P693" s="491" t="n"/>
      <c r="Q693" s="491" t="n"/>
      <c r="R693" s="491" t="n"/>
      <c r="S693" s="491" t="n"/>
      <c r="T693" s="491" t="n"/>
      <c r="U693" s="491" t="n"/>
      <c r="V693" s="491" t="n"/>
      <c r="W693" s="491" t="n"/>
      <c r="X693" s="491" t="n"/>
      <c r="Y693" s="491" t="n"/>
    </row>
    <row r="694" ht="12.75" customHeight="1" s="398">
      <c r="A694" s="491" t="n"/>
      <c r="B694" s="491" t="n"/>
      <c r="C694" s="491" t="n"/>
      <c r="D694" s="491" t="n"/>
      <c r="E694" s="491" t="n"/>
      <c r="F694" s="491" t="n"/>
      <c r="G694" s="491" t="n"/>
      <c r="H694" s="491" t="n"/>
      <c r="I694" s="491" t="n"/>
      <c r="J694" s="491" t="n"/>
      <c r="K694" s="491" t="n"/>
      <c r="L694" s="491" t="n"/>
      <c r="M694" s="491" t="n"/>
      <c r="N694" s="491" t="n"/>
      <c r="O694" s="491" t="n"/>
      <c r="P694" s="491" t="n"/>
      <c r="Q694" s="491" t="n"/>
      <c r="R694" s="491" t="n"/>
      <c r="S694" s="491" t="n"/>
      <c r="T694" s="491" t="n"/>
      <c r="U694" s="491" t="n"/>
      <c r="V694" s="491" t="n"/>
      <c r="W694" s="491" t="n"/>
      <c r="X694" s="491" t="n"/>
      <c r="Y694" s="491" t="n"/>
    </row>
    <row r="695" ht="12.75" customHeight="1" s="398">
      <c r="A695" s="491" t="n"/>
      <c r="B695" s="491" t="n"/>
      <c r="C695" s="491" t="n"/>
      <c r="D695" s="491" t="n"/>
      <c r="E695" s="491" t="n"/>
      <c r="F695" s="491" t="n"/>
      <c r="G695" s="491" t="n"/>
      <c r="H695" s="491" t="n"/>
      <c r="I695" s="491" t="n"/>
      <c r="J695" s="491" t="n"/>
      <c r="K695" s="491" t="n"/>
      <c r="L695" s="491" t="n"/>
      <c r="M695" s="491" t="n"/>
      <c r="N695" s="491" t="n"/>
      <c r="O695" s="491" t="n"/>
      <c r="P695" s="491" t="n"/>
      <c r="Q695" s="491" t="n"/>
      <c r="R695" s="491" t="n"/>
      <c r="S695" s="491" t="n"/>
      <c r="T695" s="491" t="n"/>
      <c r="U695" s="491" t="n"/>
      <c r="V695" s="491" t="n"/>
      <c r="W695" s="491" t="n"/>
      <c r="X695" s="491" t="n"/>
      <c r="Y695" s="491" t="n"/>
    </row>
    <row r="696" ht="12.75" customHeight="1" s="398">
      <c r="A696" s="491" t="n"/>
      <c r="B696" s="491" t="n"/>
      <c r="C696" s="491" t="n"/>
      <c r="D696" s="491" t="n"/>
      <c r="E696" s="491" t="n"/>
      <c r="F696" s="491" t="n"/>
      <c r="G696" s="491" t="n"/>
      <c r="H696" s="491" t="n"/>
      <c r="I696" s="491" t="n"/>
      <c r="J696" s="491" t="n"/>
      <c r="K696" s="491" t="n"/>
      <c r="L696" s="491" t="n"/>
      <c r="M696" s="491" t="n"/>
      <c r="N696" s="491" t="n"/>
      <c r="O696" s="491" t="n"/>
      <c r="P696" s="491" t="n"/>
      <c r="Q696" s="491" t="n"/>
      <c r="R696" s="491" t="n"/>
      <c r="S696" s="491" t="n"/>
      <c r="T696" s="491" t="n"/>
      <c r="U696" s="491" t="n"/>
      <c r="V696" s="491" t="n"/>
      <c r="W696" s="491" t="n"/>
      <c r="X696" s="491" t="n"/>
      <c r="Y696" s="491" t="n"/>
    </row>
    <row r="697" ht="12.75" customHeight="1" s="398">
      <c r="A697" s="491" t="n"/>
      <c r="B697" s="491" t="n"/>
      <c r="C697" s="491" t="n"/>
      <c r="D697" s="491" t="n"/>
      <c r="E697" s="491" t="n"/>
      <c r="F697" s="491" t="n"/>
      <c r="G697" s="491" t="n"/>
      <c r="H697" s="491" t="n"/>
      <c r="I697" s="491" t="n"/>
      <c r="J697" s="491" t="n"/>
      <c r="K697" s="491" t="n"/>
      <c r="L697" s="491" t="n"/>
      <c r="M697" s="491" t="n"/>
      <c r="N697" s="491" t="n"/>
      <c r="O697" s="491" t="n"/>
      <c r="P697" s="491" t="n"/>
      <c r="Q697" s="491" t="n"/>
      <c r="R697" s="491" t="n"/>
      <c r="S697" s="491" t="n"/>
      <c r="T697" s="491" t="n"/>
      <c r="U697" s="491" t="n"/>
      <c r="V697" s="491" t="n"/>
      <c r="W697" s="491" t="n"/>
      <c r="X697" s="491" t="n"/>
      <c r="Y697" s="491" t="n"/>
    </row>
    <row r="698" ht="12.75" customHeight="1" s="398">
      <c r="A698" s="491" t="n"/>
      <c r="B698" s="491" t="n"/>
      <c r="C698" s="491" t="n"/>
      <c r="D698" s="491" t="n"/>
      <c r="E698" s="491" t="n"/>
      <c r="F698" s="491" t="n"/>
      <c r="G698" s="491" t="n"/>
      <c r="H698" s="491" t="n"/>
      <c r="I698" s="491" t="n"/>
      <c r="J698" s="491" t="n"/>
      <c r="K698" s="491" t="n"/>
      <c r="L698" s="491" t="n"/>
      <c r="M698" s="491" t="n"/>
      <c r="N698" s="491" t="n"/>
      <c r="O698" s="491" t="n"/>
      <c r="P698" s="491" t="n"/>
      <c r="Q698" s="491" t="n"/>
      <c r="R698" s="491" t="n"/>
      <c r="S698" s="491" t="n"/>
      <c r="T698" s="491" t="n"/>
      <c r="U698" s="491" t="n"/>
      <c r="V698" s="491" t="n"/>
      <c r="W698" s="491" t="n"/>
      <c r="X698" s="491" t="n"/>
      <c r="Y698" s="491" t="n"/>
    </row>
    <row r="699" ht="12.75" customHeight="1" s="398">
      <c r="A699" s="491" t="n"/>
      <c r="B699" s="491" t="n"/>
      <c r="C699" s="491" t="n"/>
      <c r="D699" s="491" t="n"/>
      <c r="E699" s="491" t="n"/>
      <c r="F699" s="491" t="n"/>
      <c r="G699" s="491" t="n"/>
      <c r="H699" s="491" t="n"/>
      <c r="I699" s="491" t="n"/>
      <c r="J699" s="491" t="n"/>
      <c r="K699" s="491" t="n"/>
      <c r="L699" s="491" t="n"/>
      <c r="M699" s="491" t="n"/>
      <c r="N699" s="491" t="n"/>
      <c r="O699" s="491" t="n"/>
      <c r="P699" s="491" t="n"/>
      <c r="Q699" s="491" t="n"/>
      <c r="R699" s="491" t="n"/>
      <c r="S699" s="491" t="n"/>
      <c r="T699" s="491" t="n"/>
      <c r="U699" s="491" t="n"/>
      <c r="V699" s="491" t="n"/>
      <c r="W699" s="491" t="n"/>
      <c r="X699" s="491" t="n"/>
      <c r="Y699" s="491" t="n"/>
    </row>
    <row r="700" ht="12.75" customHeight="1" s="398">
      <c r="A700" s="491" t="n"/>
      <c r="B700" s="491" t="n"/>
      <c r="C700" s="491" t="n"/>
      <c r="D700" s="491" t="n"/>
      <c r="E700" s="491" t="n"/>
      <c r="F700" s="491" t="n"/>
      <c r="G700" s="491" t="n"/>
      <c r="H700" s="491" t="n"/>
      <c r="I700" s="491" t="n"/>
      <c r="J700" s="491" t="n"/>
      <c r="K700" s="491" t="n"/>
      <c r="L700" s="491" t="n"/>
      <c r="M700" s="491" t="n"/>
      <c r="N700" s="491" t="n"/>
      <c r="O700" s="491" t="n"/>
      <c r="P700" s="491" t="n"/>
      <c r="Q700" s="491" t="n"/>
      <c r="R700" s="491" t="n"/>
      <c r="S700" s="491" t="n"/>
      <c r="T700" s="491" t="n"/>
      <c r="U700" s="491" t="n"/>
      <c r="V700" s="491" t="n"/>
      <c r="W700" s="491" t="n"/>
      <c r="X700" s="491" t="n"/>
      <c r="Y700" s="491" t="n"/>
    </row>
    <row r="701" ht="12.75" customHeight="1" s="398">
      <c r="A701" s="491" t="n"/>
      <c r="B701" s="491" t="n"/>
      <c r="C701" s="491" t="n"/>
      <c r="D701" s="491" t="n"/>
      <c r="E701" s="491" t="n"/>
      <c r="F701" s="491" t="n"/>
      <c r="G701" s="491" t="n"/>
      <c r="H701" s="491" t="n"/>
      <c r="I701" s="491" t="n"/>
      <c r="J701" s="491" t="n"/>
      <c r="K701" s="491" t="n"/>
      <c r="L701" s="491" t="n"/>
      <c r="M701" s="491" t="n"/>
      <c r="N701" s="491" t="n"/>
      <c r="O701" s="491" t="n"/>
      <c r="P701" s="491" t="n"/>
      <c r="Q701" s="491" t="n"/>
      <c r="R701" s="491" t="n"/>
      <c r="S701" s="491" t="n"/>
      <c r="T701" s="491" t="n"/>
      <c r="U701" s="491" t="n"/>
      <c r="V701" s="491" t="n"/>
      <c r="W701" s="491" t="n"/>
      <c r="X701" s="491" t="n"/>
      <c r="Y701" s="491" t="n"/>
    </row>
    <row r="702" ht="12.75" customHeight="1" s="398">
      <c r="A702" s="491" t="n"/>
      <c r="B702" s="491" t="n"/>
      <c r="C702" s="491" t="n"/>
      <c r="D702" s="491" t="n"/>
      <c r="E702" s="491" t="n"/>
      <c r="F702" s="491" t="n"/>
      <c r="G702" s="491" t="n"/>
      <c r="H702" s="491" t="n"/>
      <c r="I702" s="491" t="n"/>
      <c r="J702" s="491" t="n"/>
      <c r="K702" s="491" t="n"/>
      <c r="L702" s="491" t="n"/>
      <c r="M702" s="491" t="n"/>
      <c r="N702" s="491" t="n"/>
      <c r="O702" s="491" t="n"/>
      <c r="P702" s="491" t="n"/>
      <c r="Q702" s="491" t="n"/>
      <c r="R702" s="491" t="n"/>
      <c r="S702" s="491" t="n"/>
      <c r="T702" s="491" t="n"/>
      <c r="U702" s="491" t="n"/>
      <c r="V702" s="491" t="n"/>
      <c r="W702" s="491" t="n"/>
      <c r="X702" s="491" t="n"/>
      <c r="Y702" s="491" t="n"/>
    </row>
    <row r="703" ht="12.75" customHeight="1" s="398">
      <c r="A703" s="491" t="n"/>
      <c r="B703" s="491" t="n"/>
      <c r="C703" s="491" t="n"/>
      <c r="D703" s="491" t="n"/>
      <c r="E703" s="491" t="n"/>
      <c r="F703" s="491" t="n"/>
      <c r="G703" s="491" t="n"/>
      <c r="H703" s="491" t="n"/>
      <c r="I703" s="491" t="n"/>
      <c r="J703" s="491" t="n"/>
      <c r="K703" s="491" t="n"/>
      <c r="L703" s="491" t="n"/>
      <c r="M703" s="491" t="n"/>
      <c r="N703" s="491" t="n"/>
      <c r="O703" s="491" t="n"/>
      <c r="P703" s="491" t="n"/>
      <c r="Q703" s="491" t="n"/>
      <c r="R703" s="491" t="n"/>
      <c r="S703" s="491" t="n"/>
      <c r="T703" s="491" t="n"/>
      <c r="U703" s="491" t="n"/>
      <c r="V703" s="491" t="n"/>
      <c r="W703" s="491" t="n"/>
      <c r="X703" s="491" t="n"/>
      <c r="Y703" s="491" t="n"/>
    </row>
    <row r="704" ht="12.75" customHeight="1" s="398">
      <c r="A704" s="491" t="n"/>
      <c r="B704" s="491" t="n"/>
      <c r="C704" s="491" t="n"/>
      <c r="D704" s="491" t="n"/>
      <c r="E704" s="491" t="n"/>
      <c r="F704" s="491" t="n"/>
      <c r="G704" s="491" t="n"/>
      <c r="H704" s="491" t="n"/>
      <c r="I704" s="491" t="n"/>
      <c r="J704" s="491" t="n"/>
      <c r="K704" s="491" t="n"/>
      <c r="L704" s="491" t="n"/>
      <c r="M704" s="491" t="n"/>
      <c r="N704" s="491" t="n"/>
      <c r="O704" s="491" t="n"/>
      <c r="P704" s="491" t="n"/>
      <c r="Q704" s="491" t="n"/>
      <c r="R704" s="491" t="n"/>
      <c r="S704" s="491" t="n"/>
      <c r="T704" s="491" t="n"/>
      <c r="U704" s="491" t="n"/>
      <c r="V704" s="491" t="n"/>
      <c r="W704" s="491" t="n"/>
      <c r="X704" s="491" t="n"/>
      <c r="Y704" s="491" t="n"/>
    </row>
    <row r="705" ht="12.75" customHeight="1" s="398">
      <c r="A705" s="491" t="n"/>
      <c r="B705" s="491" t="n"/>
      <c r="C705" s="491" t="n"/>
      <c r="D705" s="491" t="n"/>
      <c r="E705" s="491" t="n"/>
      <c r="F705" s="491" t="n"/>
      <c r="G705" s="491" t="n"/>
      <c r="H705" s="491" t="n"/>
      <c r="I705" s="491" t="n"/>
      <c r="J705" s="491" t="n"/>
      <c r="K705" s="491" t="n"/>
      <c r="L705" s="491" t="n"/>
      <c r="M705" s="491" t="n"/>
      <c r="N705" s="491" t="n"/>
      <c r="O705" s="491" t="n"/>
      <c r="P705" s="491" t="n"/>
      <c r="Q705" s="491" t="n"/>
      <c r="R705" s="491" t="n"/>
      <c r="S705" s="491" t="n"/>
      <c r="T705" s="491" t="n"/>
      <c r="U705" s="491" t="n"/>
      <c r="V705" s="491" t="n"/>
      <c r="W705" s="491" t="n"/>
      <c r="X705" s="491" t="n"/>
      <c r="Y705" s="491" t="n"/>
    </row>
    <row r="706" ht="12.75" customHeight="1" s="398">
      <c r="A706" s="491" t="n"/>
      <c r="B706" s="491" t="n"/>
      <c r="C706" s="491" t="n"/>
      <c r="D706" s="491" t="n"/>
      <c r="E706" s="491" t="n"/>
      <c r="F706" s="491" t="n"/>
      <c r="G706" s="491" t="n"/>
      <c r="H706" s="491" t="n"/>
      <c r="I706" s="491" t="n"/>
      <c r="J706" s="491" t="n"/>
      <c r="K706" s="491" t="n"/>
      <c r="L706" s="491" t="n"/>
      <c r="M706" s="491" t="n"/>
      <c r="N706" s="491" t="n"/>
      <c r="O706" s="491" t="n"/>
      <c r="P706" s="491" t="n"/>
      <c r="Q706" s="491" t="n"/>
      <c r="R706" s="491" t="n"/>
      <c r="S706" s="491" t="n"/>
      <c r="T706" s="491" t="n"/>
      <c r="U706" s="491" t="n"/>
      <c r="V706" s="491" t="n"/>
      <c r="W706" s="491" t="n"/>
      <c r="X706" s="491" t="n"/>
      <c r="Y706" s="491" t="n"/>
    </row>
    <row r="707" ht="12.75" customHeight="1" s="398">
      <c r="A707" s="491" t="n"/>
      <c r="B707" s="491" t="n"/>
      <c r="C707" s="491" t="n"/>
      <c r="D707" s="491" t="n"/>
      <c r="E707" s="491" t="n"/>
      <c r="F707" s="491" t="n"/>
      <c r="G707" s="491" t="n"/>
      <c r="H707" s="491" t="n"/>
      <c r="I707" s="491" t="n"/>
      <c r="J707" s="491" t="n"/>
      <c r="K707" s="491" t="n"/>
      <c r="L707" s="491" t="n"/>
      <c r="M707" s="491" t="n"/>
      <c r="N707" s="491" t="n"/>
      <c r="O707" s="491" t="n"/>
      <c r="P707" s="491" t="n"/>
      <c r="Q707" s="491" t="n"/>
      <c r="R707" s="491" t="n"/>
      <c r="S707" s="491" t="n"/>
      <c r="T707" s="491" t="n"/>
      <c r="U707" s="491" t="n"/>
      <c r="V707" s="491" t="n"/>
      <c r="W707" s="491" t="n"/>
      <c r="X707" s="491" t="n"/>
      <c r="Y707" s="491" t="n"/>
    </row>
    <row r="708" ht="12.75" customHeight="1" s="398">
      <c r="A708" s="491" t="n"/>
      <c r="B708" s="491" t="n"/>
      <c r="C708" s="491" t="n"/>
      <c r="D708" s="491" t="n"/>
      <c r="E708" s="491" t="n"/>
      <c r="F708" s="491" t="n"/>
      <c r="G708" s="491" t="n"/>
      <c r="H708" s="491" t="n"/>
      <c r="I708" s="491" t="n"/>
      <c r="J708" s="491" t="n"/>
      <c r="K708" s="491" t="n"/>
      <c r="L708" s="491" t="n"/>
      <c r="M708" s="491" t="n"/>
      <c r="N708" s="491" t="n"/>
      <c r="O708" s="491" t="n"/>
      <c r="P708" s="491" t="n"/>
      <c r="Q708" s="491" t="n"/>
      <c r="R708" s="491" t="n"/>
      <c r="S708" s="491" t="n"/>
      <c r="T708" s="491" t="n"/>
      <c r="U708" s="491" t="n"/>
      <c r="V708" s="491" t="n"/>
      <c r="W708" s="491" t="n"/>
      <c r="X708" s="491" t="n"/>
      <c r="Y708" s="491" t="n"/>
    </row>
    <row r="709" ht="12.75" customHeight="1" s="398">
      <c r="A709" s="491" t="n"/>
      <c r="B709" s="491" t="n"/>
      <c r="C709" s="491" t="n"/>
      <c r="D709" s="491" t="n"/>
      <c r="E709" s="491" t="n"/>
      <c r="F709" s="491" t="n"/>
      <c r="G709" s="491" t="n"/>
      <c r="H709" s="491" t="n"/>
      <c r="I709" s="491" t="n"/>
      <c r="J709" s="491" t="n"/>
      <c r="K709" s="491" t="n"/>
      <c r="L709" s="491" t="n"/>
      <c r="M709" s="491" t="n"/>
      <c r="N709" s="491" t="n"/>
      <c r="O709" s="491" t="n"/>
      <c r="P709" s="491" t="n"/>
      <c r="Q709" s="491" t="n"/>
      <c r="R709" s="491" t="n"/>
      <c r="S709" s="491" t="n"/>
      <c r="T709" s="491" t="n"/>
      <c r="U709" s="491" t="n"/>
      <c r="V709" s="491" t="n"/>
      <c r="W709" s="491" t="n"/>
      <c r="X709" s="491" t="n"/>
      <c r="Y709" s="491" t="n"/>
    </row>
    <row r="710" ht="12.75" customHeight="1" s="398">
      <c r="A710" s="491" t="n"/>
      <c r="B710" s="491" t="n"/>
      <c r="C710" s="491" t="n"/>
      <c r="D710" s="491" t="n"/>
      <c r="E710" s="491" t="n"/>
      <c r="F710" s="491" t="n"/>
      <c r="G710" s="491" t="n"/>
      <c r="H710" s="491" t="n"/>
      <c r="I710" s="491" t="n"/>
      <c r="J710" s="491" t="n"/>
      <c r="K710" s="491" t="n"/>
      <c r="L710" s="491" t="n"/>
      <c r="M710" s="491" t="n"/>
      <c r="N710" s="491" t="n"/>
      <c r="O710" s="491" t="n"/>
      <c r="P710" s="491" t="n"/>
      <c r="Q710" s="491" t="n"/>
      <c r="R710" s="491" t="n"/>
      <c r="S710" s="491" t="n"/>
      <c r="T710" s="491" t="n"/>
      <c r="U710" s="491" t="n"/>
      <c r="V710" s="491" t="n"/>
      <c r="W710" s="491" t="n"/>
      <c r="X710" s="491" t="n"/>
      <c r="Y710" s="491" t="n"/>
    </row>
    <row r="711" ht="12.75" customHeight="1" s="398">
      <c r="A711" s="491" t="n"/>
      <c r="B711" s="491" t="n"/>
      <c r="C711" s="491" t="n"/>
      <c r="D711" s="491" t="n"/>
      <c r="E711" s="491" t="n"/>
      <c r="F711" s="491" t="n"/>
      <c r="G711" s="491" t="n"/>
      <c r="H711" s="491" t="n"/>
      <c r="I711" s="491" t="n"/>
      <c r="J711" s="491" t="n"/>
      <c r="K711" s="491" t="n"/>
      <c r="L711" s="491" t="n"/>
      <c r="M711" s="491" t="n"/>
      <c r="N711" s="491" t="n"/>
      <c r="O711" s="491" t="n"/>
      <c r="P711" s="491" t="n"/>
      <c r="Q711" s="491" t="n"/>
      <c r="R711" s="491" t="n"/>
      <c r="S711" s="491" t="n"/>
      <c r="T711" s="491" t="n"/>
      <c r="U711" s="491" t="n"/>
      <c r="V711" s="491" t="n"/>
      <c r="W711" s="491" t="n"/>
      <c r="X711" s="491" t="n"/>
      <c r="Y711" s="491" t="n"/>
    </row>
    <row r="712" ht="12.75" customHeight="1" s="398">
      <c r="A712" s="491" t="n"/>
      <c r="B712" s="491" t="n"/>
      <c r="C712" s="491" t="n"/>
      <c r="D712" s="491" t="n"/>
      <c r="E712" s="491" t="n"/>
      <c r="F712" s="491" t="n"/>
      <c r="G712" s="491" t="n"/>
      <c r="H712" s="491" t="n"/>
      <c r="I712" s="491" t="n"/>
      <c r="J712" s="491" t="n"/>
      <c r="K712" s="491" t="n"/>
      <c r="L712" s="491" t="n"/>
      <c r="M712" s="491" t="n"/>
      <c r="N712" s="491" t="n"/>
      <c r="O712" s="491" t="n"/>
      <c r="P712" s="491" t="n"/>
      <c r="Q712" s="491" t="n"/>
      <c r="R712" s="491" t="n"/>
      <c r="S712" s="491" t="n"/>
      <c r="T712" s="491" t="n"/>
      <c r="U712" s="491" t="n"/>
      <c r="V712" s="491" t="n"/>
      <c r="W712" s="491" t="n"/>
      <c r="X712" s="491" t="n"/>
      <c r="Y712" s="491" t="n"/>
    </row>
    <row r="713" ht="12.75" customHeight="1" s="398">
      <c r="A713" s="491" t="n"/>
      <c r="B713" s="491" t="n"/>
      <c r="C713" s="491" t="n"/>
      <c r="D713" s="491" t="n"/>
      <c r="E713" s="491" t="n"/>
      <c r="F713" s="491" t="n"/>
      <c r="G713" s="491" t="n"/>
      <c r="H713" s="491" t="n"/>
      <c r="I713" s="491" t="n"/>
      <c r="J713" s="491" t="n"/>
      <c r="K713" s="491" t="n"/>
      <c r="L713" s="491" t="n"/>
      <c r="M713" s="491" t="n"/>
      <c r="N713" s="491" t="n"/>
      <c r="O713" s="491" t="n"/>
      <c r="P713" s="491" t="n"/>
      <c r="Q713" s="491" t="n"/>
      <c r="R713" s="491" t="n"/>
      <c r="S713" s="491" t="n"/>
      <c r="T713" s="491" t="n"/>
      <c r="U713" s="491" t="n"/>
      <c r="V713" s="491" t="n"/>
      <c r="W713" s="491" t="n"/>
      <c r="X713" s="491" t="n"/>
      <c r="Y713" s="491" t="n"/>
    </row>
    <row r="714" ht="12.75" customHeight="1" s="398">
      <c r="A714" s="491" t="n"/>
      <c r="B714" s="491" t="n"/>
      <c r="C714" s="491" t="n"/>
      <c r="D714" s="491" t="n"/>
      <c r="E714" s="491" t="n"/>
      <c r="F714" s="491" t="n"/>
      <c r="G714" s="491" t="n"/>
      <c r="H714" s="491" t="n"/>
      <c r="I714" s="491" t="n"/>
      <c r="J714" s="491" t="n"/>
      <c r="K714" s="491" t="n"/>
      <c r="L714" s="491" t="n"/>
      <c r="M714" s="491" t="n"/>
      <c r="N714" s="491" t="n"/>
      <c r="O714" s="491" t="n"/>
      <c r="P714" s="491" t="n"/>
      <c r="Q714" s="491" t="n"/>
      <c r="R714" s="491" t="n"/>
      <c r="S714" s="491" t="n"/>
      <c r="T714" s="491" t="n"/>
      <c r="U714" s="491" t="n"/>
      <c r="V714" s="491" t="n"/>
      <c r="W714" s="491" t="n"/>
      <c r="X714" s="491" t="n"/>
      <c r="Y714" s="491" t="n"/>
    </row>
    <row r="715" ht="12.75" customHeight="1" s="398">
      <c r="A715" s="491" t="n"/>
      <c r="B715" s="491" t="n"/>
      <c r="C715" s="491" t="n"/>
      <c r="D715" s="491" t="n"/>
      <c r="E715" s="491" t="n"/>
      <c r="F715" s="491" t="n"/>
      <c r="G715" s="491" t="n"/>
      <c r="H715" s="491" t="n"/>
      <c r="I715" s="491" t="n"/>
      <c r="J715" s="491" t="n"/>
      <c r="K715" s="491" t="n"/>
      <c r="L715" s="491" t="n"/>
      <c r="M715" s="491" t="n"/>
      <c r="N715" s="491" t="n"/>
      <c r="O715" s="491" t="n"/>
      <c r="P715" s="491" t="n"/>
      <c r="Q715" s="491" t="n"/>
      <c r="R715" s="491" t="n"/>
      <c r="S715" s="491" t="n"/>
      <c r="T715" s="491" t="n"/>
      <c r="U715" s="491" t="n"/>
      <c r="V715" s="491" t="n"/>
      <c r="W715" s="491" t="n"/>
      <c r="X715" s="491" t="n"/>
      <c r="Y715" s="491" t="n"/>
    </row>
    <row r="716" ht="12.75" customHeight="1" s="398">
      <c r="A716" s="491" t="n"/>
      <c r="B716" s="491" t="n"/>
      <c r="C716" s="491" t="n"/>
      <c r="D716" s="491" t="n"/>
      <c r="E716" s="491" t="n"/>
      <c r="F716" s="491" t="n"/>
      <c r="G716" s="491" t="n"/>
      <c r="H716" s="491" t="n"/>
      <c r="I716" s="491" t="n"/>
      <c r="J716" s="491" t="n"/>
      <c r="K716" s="491" t="n"/>
      <c r="L716" s="491" t="n"/>
      <c r="M716" s="491" t="n"/>
      <c r="N716" s="491" t="n"/>
      <c r="O716" s="491" t="n"/>
      <c r="P716" s="491" t="n"/>
      <c r="Q716" s="491" t="n"/>
      <c r="R716" s="491" t="n"/>
      <c r="S716" s="491" t="n"/>
      <c r="T716" s="491" t="n"/>
      <c r="U716" s="491" t="n"/>
      <c r="V716" s="491" t="n"/>
      <c r="W716" s="491" t="n"/>
      <c r="X716" s="491" t="n"/>
      <c r="Y716" s="491" t="n"/>
    </row>
    <row r="717" ht="12.75" customHeight="1" s="398">
      <c r="A717" s="491" t="n"/>
      <c r="B717" s="491" t="n"/>
      <c r="C717" s="491" t="n"/>
      <c r="D717" s="491" t="n"/>
      <c r="E717" s="491" t="n"/>
      <c r="F717" s="491" t="n"/>
      <c r="G717" s="491" t="n"/>
      <c r="H717" s="491" t="n"/>
      <c r="I717" s="491" t="n"/>
      <c r="J717" s="491" t="n"/>
      <c r="K717" s="491" t="n"/>
      <c r="L717" s="491" t="n"/>
      <c r="M717" s="491" t="n"/>
      <c r="N717" s="491" t="n"/>
      <c r="O717" s="491" t="n"/>
      <c r="P717" s="491" t="n"/>
      <c r="Q717" s="491" t="n"/>
      <c r="R717" s="491" t="n"/>
      <c r="S717" s="491" t="n"/>
      <c r="T717" s="491" t="n"/>
      <c r="U717" s="491" t="n"/>
      <c r="V717" s="491" t="n"/>
      <c r="W717" s="491" t="n"/>
      <c r="X717" s="491" t="n"/>
      <c r="Y717" s="491" t="n"/>
    </row>
    <row r="718" ht="12.75" customHeight="1" s="398">
      <c r="A718" s="491" t="n"/>
      <c r="B718" s="491" t="n"/>
      <c r="C718" s="491" t="n"/>
      <c r="D718" s="491" t="n"/>
      <c r="E718" s="491" t="n"/>
      <c r="F718" s="491" t="n"/>
      <c r="G718" s="491" t="n"/>
      <c r="H718" s="491" t="n"/>
      <c r="I718" s="491" t="n"/>
      <c r="J718" s="491" t="n"/>
      <c r="K718" s="491" t="n"/>
      <c r="L718" s="491" t="n"/>
      <c r="M718" s="491" t="n"/>
      <c r="N718" s="491" t="n"/>
      <c r="O718" s="491" t="n"/>
      <c r="P718" s="491" t="n"/>
      <c r="Q718" s="491" t="n"/>
      <c r="R718" s="491" t="n"/>
      <c r="S718" s="491" t="n"/>
      <c r="T718" s="491" t="n"/>
      <c r="U718" s="491" t="n"/>
      <c r="V718" s="491" t="n"/>
      <c r="W718" s="491" t="n"/>
      <c r="X718" s="491" t="n"/>
      <c r="Y718" s="491" t="n"/>
    </row>
    <row r="719" ht="12.75" customHeight="1" s="398">
      <c r="A719" s="491" t="n"/>
      <c r="B719" s="491" t="n"/>
      <c r="C719" s="491" t="n"/>
      <c r="D719" s="491" t="n"/>
      <c r="E719" s="491" t="n"/>
      <c r="F719" s="491" t="n"/>
      <c r="G719" s="491" t="n"/>
      <c r="H719" s="491" t="n"/>
      <c r="I719" s="491" t="n"/>
      <c r="J719" s="491" t="n"/>
      <c r="K719" s="491" t="n"/>
      <c r="L719" s="491" t="n"/>
      <c r="M719" s="491" t="n"/>
      <c r="N719" s="491" t="n"/>
      <c r="O719" s="491" t="n"/>
      <c r="P719" s="491" t="n"/>
      <c r="Q719" s="491" t="n"/>
      <c r="R719" s="491" t="n"/>
      <c r="S719" s="491" t="n"/>
      <c r="T719" s="491" t="n"/>
      <c r="U719" s="491" t="n"/>
      <c r="V719" s="491" t="n"/>
      <c r="W719" s="491" t="n"/>
      <c r="X719" s="491" t="n"/>
      <c r="Y719" s="491" t="n"/>
    </row>
    <row r="720" ht="12.75" customHeight="1" s="398">
      <c r="A720" s="491" t="n"/>
      <c r="B720" s="491" t="n"/>
      <c r="C720" s="491" t="n"/>
      <c r="D720" s="491" t="n"/>
      <c r="E720" s="491" t="n"/>
      <c r="F720" s="491" t="n"/>
      <c r="G720" s="491" t="n"/>
      <c r="H720" s="491" t="n"/>
      <c r="I720" s="491" t="n"/>
      <c r="J720" s="491" t="n"/>
      <c r="K720" s="491" t="n"/>
      <c r="L720" s="491" t="n"/>
      <c r="M720" s="491" t="n"/>
      <c r="N720" s="491" t="n"/>
      <c r="O720" s="491" t="n"/>
      <c r="P720" s="491" t="n"/>
      <c r="Q720" s="491" t="n"/>
      <c r="R720" s="491" t="n"/>
      <c r="S720" s="491" t="n"/>
      <c r="T720" s="491" t="n"/>
      <c r="U720" s="491" t="n"/>
      <c r="V720" s="491" t="n"/>
      <c r="W720" s="491" t="n"/>
      <c r="X720" s="491" t="n"/>
      <c r="Y720" s="491" t="n"/>
    </row>
    <row r="721" ht="12.75" customHeight="1" s="398">
      <c r="A721" s="491" t="n"/>
      <c r="B721" s="491" t="n"/>
      <c r="C721" s="491" t="n"/>
      <c r="D721" s="491" t="n"/>
      <c r="E721" s="491" t="n"/>
      <c r="F721" s="491" t="n"/>
      <c r="G721" s="491" t="n"/>
      <c r="H721" s="491" t="n"/>
      <c r="I721" s="491" t="n"/>
      <c r="J721" s="491" t="n"/>
      <c r="K721" s="491" t="n"/>
      <c r="L721" s="491" t="n"/>
      <c r="M721" s="491" t="n"/>
      <c r="N721" s="491" t="n"/>
      <c r="O721" s="491" t="n"/>
      <c r="P721" s="491" t="n"/>
      <c r="Q721" s="491" t="n"/>
      <c r="R721" s="491" t="n"/>
      <c r="S721" s="491" t="n"/>
      <c r="T721" s="491" t="n"/>
      <c r="U721" s="491" t="n"/>
      <c r="V721" s="491" t="n"/>
      <c r="W721" s="491" t="n"/>
      <c r="X721" s="491" t="n"/>
      <c r="Y721" s="491" t="n"/>
    </row>
    <row r="722" ht="12.75" customHeight="1" s="398">
      <c r="A722" s="491" t="n"/>
      <c r="B722" s="491" t="n"/>
      <c r="C722" s="491" t="n"/>
      <c r="D722" s="491" t="n"/>
      <c r="E722" s="491" t="n"/>
      <c r="F722" s="491" t="n"/>
      <c r="G722" s="491" t="n"/>
      <c r="H722" s="491" t="n"/>
      <c r="I722" s="491" t="n"/>
      <c r="J722" s="491" t="n"/>
      <c r="K722" s="491" t="n"/>
      <c r="L722" s="491" t="n"/>
      <c r="M722" s="491" t="n"/>
      <c r="N722" s="491" t="n"/>
      <c r="O722" s="491" t="n"/>
      <c r="P722" s="491" t="n"/>
      <c r="Q722" s="491" t="n"/>
      <c r="R722" s="491" t="n"/>
      <c r="S722" s="491" t="n"/>
      <c r="T722" s="491" t="n"/>
      <c r="U722" s="491" t="n"/>
      <c r="V722" s="491" t="n"/>
      <c r="W722" s="491" t="n"/>
      <c r="X722" s="491" t="n"/>
      <c r="Y722" s="491" t="n"/>
    </row>
    <row r="723" ht="12.75" customHeight="1" s="398">
      <c r="A723" s="491" t="n"/>
      <c r="B723" s="491" t="n"/>
      <c r="C723" s="491" t="n"/>
      <c r="D723" s="491" t="n"/>
      <c r="E723" s="491" t="n"/>
      <c r="F723" s="491" t="n"/>
      <c r="G723" s="491" t="n"/>
      <c r="H723" s="491" t="n"/>
      <c r="I723" s="491" t="n"/>
      <c r="J723" s="491" t="n"/>
      <c r="K723" s="491" t="n"/>
      <c r="L723" s="491" t="n"/>
      <c r="M723" s="491" t="n"/>
      <c r="N723" s="491" t="n"/>
      <c r="O723" s="491" t="n"/>
      <c r="P723" s="491" t="n"/>
      <c r="Q723" s="491" t="n"/>
      <c r="R723" s="491" t="n"/>
      <c r="S723" s="491" t="n"/>
      <c r="T723" s="491" t="n"/>
      <c r="U723" s="491" t="n"/>
      <c r="V723" s="491" t="n"/>
      <c r="W723" s="491" t="n"/>
      <c r="X723" s="491" t="n"/>
      <c r="Y723" s="491" t="n"/>
    </row>
    <row r="724" ht="12.75" customHeight="1" s="398">
      <c r="A724" s="491" t="n"/>
      <c r="B724" s="491" t="n"/>
      <c r="C724" s="491" t="n"/>
      <c r="D724" s="491" t="n"/>
      <c r="E724" s="491" t="n"/>
      <c r="F724" s="491" t="n"/>
      <c r="G724" s="491" t="n"/>
      <c r="H724" s="491" t="n"/>
      <c r="I724" s="491" t="n"/>
      <c r="J724" s="491" t="n"/>
      <c r="K724" s="491" t="n"/>
      <c r="L724" s="491" t="n"/>
      <c r="M724" s="491" t="n"/>
      <c r="N724" s="491" t="n"/>
      <c r="O724" s="491" t="n"/>
      <c r="P724" s="491" t="n"/>
      <c r="Q724" s="491" t="n"/>
      <c r="R724" s="491" t="n"/>
      <c r="S724" s="491" t="n"/>
      <c r="T724" s="491" t="n"/>
      <c r="U724" s="491" t="n"/>
      <c r="V724" s="491" t="n"/>
      <c r="W724" s="491" t="n"/>
      <c r="X724" s="491" t="n"/>
      <c r="Y724" s="491" t="n"/>
    </row>
    <row r="725" ht="12.75" customHeight="1" s="398">
      <c r="A725" s="491" t="n"/>
      <c r="B725" s="491" t="n"/>
      <c r="C725" s="491" t="n"/>
      <c r="D725" s="491" t="n"/>
      <c r="E725" s="491" t="n"/>
      <c r="F725" s="491" t="n"/>
      <c r="G725" s="491" t="n"/>
      <c r="H725" s="491" t="n"/>
      <c r="I725" s="491" t="n"/>
      <c r="J725" s="491" t="n"/>
      <c r="K725" s="491" t="n"/>
      <c r="L725" s="491" t="n"/>
      <c r="M725" s="491" t="n"/>
      <c r="N725" s="491" t="n"/>
      <c r="O725" s="491" t="n"/>
      <c r="P725" s="491" t="n"/>
      <c r="Q725" s="491" t="n"/>
      <c r="R725" s="491" t="n"/>
      <c r="S725" s="491" t="n"/>
      <c r="T725" s="491" t="n"/>
      <c r="U725" s="491" t="n"/>
      <c r="V725" s="491" t="n"/>
      <c r="W725" s="491" t="n"/>
      <c r="X725" s="491" t="n"/>
      <c r="Y725" s="491" t="n"/>
    </row>
    <row r="726" ht="12.75" customHeight="1" s="398">
      <c r="A726" s="491" t="n"/>
      <c r="B726" s="491" t="n"/>
      <c r="C726" s="491" t="n"/>
      <c r="D726" s="491" t="n"/>
      <c r="E726" s="491" t="n"/>
      <c r="F726" s="491" t="n"/>
      <c r="G726" s="491" t="n"/>
      <c r="H726" s="491" t="n"/>
      <c r="I726" s="491" t="n"/>
      <c r="J726" s="491" t="n"/>
      <c r="K726" s="491" t="n"/>
      <c r="L726" s="491" t="n"/>
      <c r="M726" s="491" t="n"/>
      <c r="N726" s="491" t="n"/>
      <c r="O726" s="491" t="n"/>
      <c r="P726" s="491" t="n"/>
      <c r="Q726" s="491" t="n"/>
      <c r="R726" s="491" t="n"/>
      <c r="S726" s="491" t="n"/>
      <c r="T726" s="491" t="n"/>
      <c r="U726" s="491" t="n"/>
      <c r="V726" s="491" t="n"/>
      <c r="W726" s="491" t="n"/>
      <c r="X726" s="491" t="n"/>
      <c r="Y726" s="491" t="n"/>
    </row>
    <row r="727" ht="12.75" customHeight="1" s="398">
      <c r="A727" s="491" t="n"/>
      <c r="B727" s="491" t="n"/>
      <c r="C727" s="491" t="n"/>
      <c r="D727" s="491" t="n"/>
      <c r="E727" s="491" t="n"/>
      <c r="F727" s="491" t="n"/>
      <c r="G727" s="491" t="n"/>
      <c r="H727" s="491" t="n"/>
      <c r="I727" s="491" t="n"/>
      <c r="J727" s="491" t="n"/>
      <c r="K727" s="491" t="n"/>
      <c r="L727" s="491" t="n"/>
      <c r="M727" s="491" t="n"/>
      <c r="N727" s="491" t="n"/>
      <c r="O727" s="491" t="n"/>
      <c r="P727" s="491" t="n"/>
      <c r="Q727" s="491" t="n"/>
      <c r="R727" s="491" t="n"/>
      <c r="S727" s="491" t="n"/>
      <c r="T727" s="491" t="n"/>
      <c r="U727" s="491" t="n"/>
      <c r="V727" s="491" t="n"/>
      <c r="W727" s="491" t="n"/>
      <c r="X727" s="491" t="n"/>
      <c r="Y727" s="491" t="n"/>
    </row>
    <row r="728" ht="12.75" customHeight="1" s="398">
      <c r="A728" s="491" t="n"/>
      <c r="B728" s="491" t="n"/>
      <c r="C728" s="491" t="n"/>
      <c r="D728" s="491" t="n"/>
      <c r="E728" s="491" t="n"/>
      <c r="F728" s="491" t="n"/>
      <c r="G728" s="491" t="n"/>
      <c r="H728" s="491" t="n"/>
      <c r="I728" s="491" t="n"/>
      <c r="J728" s="491" t="n"/>
      <c r="K728" s="491" t="n"/>
      <c r="L728" s="491" t="n"/>
      <c r="M728" s="491" t="n"/>
      <c r="N728" s="491" t="n"/>
      <c r="O728" s="491" t="n"/>
      <c r="P728" s="491" t="n"/>
      <c r="Q728" s="491" t="n"/>
      <c r="R728" s="491" t="n"/>
      <c r="S728" s="491" t="n"/>
      <c r="T728" s="491" t="n"/>
      <c r="U728" s="491" t="n"/>
      <c r="V728" s="491" t="n"/>
      <c r="W728" s="491" t="n"/>
      <c r="X728" s="491" t="n"/>
      <c r="Y728" s="491" t="n"/>
    </row>
    <row r="729" ht="12.75" customHeight="1" s="398">
      <c r="A729" s="491" t="n"/>
      <c r="B729" s="491" t="n"/>
      <c r="C729" s="491" t="n"/>
      <c r="D729" s="491" t="n"/>
      <c r="E729" s="491" t="n"/>
      <c r="F729" s="491" t="n"/>
      <c r="G729" s="491" t="n"/>
      <c r="H729" s="491" t="n"/>
      <c r="I729" s="491" t="n"/>
      <c r="J729" s="491" t="n"/>
      <c r="K729" s="491" t="n"/>
      <c r="L729" s="491" t="n"/>
      <c r="M729" s="491" t="n"/>
      <c r="N729" s="491" t="n"/>
      <c r="O729" s="491" t="n"/>
      <c r="P729" s="491" t="n"/>
      <c r="Q729" s="491" t="n"/>
      <c r="R729" s="491" t="n"/>
      <c r="S729" s="491" t="n"/>
      <c r="T729" s="491" t="n"/>
      <c r="U729" s="491" t="n"/>
      <c r="V729" s="491" t="n"/>
      <c r="W729" s="491" t="n"/>
      <c r="X729" s="491" t="n"/>
      <c r="Y729" s="491" t="n"/>
    </row>
    <row r="730" ht="12.75" customHeight="1" s="398">
      <c r="A730" s="491" t="n"/>
      <c r="B730" s="491" t="n"/>
      <c r="C730" s="491" t="n"/>
      <c r="D730" s="491" t="n"/>
      <c r="E730" s="491" t="n"/>
      <c r="F730" s="491" t="n"/>
      <c r="G730" s="491" t="n"/>
      <c r="H730" s="491" t="n"/>
      <c r="I730" s="491" t="n"/>
      <c r="J730" s="491" t="n"/>
      <c r="K730" s="491" t="n"/>
      <c r="L730" s="491" t="n"/>
      <c r="M730" s="491" t="n"/>
      <c r="N730" s="491" t="n"/>
      <c r="O730" s="491" t="n"/>
      <c r="P730" s="491" t="n"/>
      <c r="Q730" s="491" t="n"/>
      <c r="R730" s="491" t="n"/>
      <c r="S730" s="491" t="n"/>
      <c r="T730" s="491" t="n"/>
      <c r="U730" s="491" t="n"/>
      <c r="V730" s="491" t="n"/>
      <c r="W730" s="491" t="n"/>
      <c r="X730" s="491" t="n"/>
      <c r="Y730" s="491" t="n"/>
    </row>
    <row r="731" ht="12.75" customHeight="1" s="398">
      <c r="A731" s="491" t="n"/>
      <c r="B731" s="491" t="n"/>
      <c r="C731" s="491" t="n"/>
      <c r="D731" s="491" t="n"/>
      <c r="E731" s="491" t="n"/>
      <c r="F731" s="491" t="n"/>
      <c r="G731" s="491" t="n"/>
      <c r="H731" s="491" t="n"/>
      <c r="I731" s="491" t="n"/>
      <c r="J731" s="491" t="n"/>
      <c r="K731" s="491" t="n"/>
      <c r="L731" s="491" t="n"/>
      <c r="M731" s="491" t="n"/>
      <c r="N731" s="491" t="n"/>
      <c r="O731" s="491" t="n"/>
      <c r="P731" s="491" t="n"/>
      <c r="Q731" s="491" t="n"/>
      <c r="R731" s="491" t="n"/>
      <c r="S731" s="491" t="n"/>
      <c r="T731" s="491" t="n"/>
      <c r="U731" s="491" t="n"/>
      <c r="V731" s="491" t="n"/>
      <c r="W731" s="491" t="n"/>
      <c r="X731" s="491" t="n"/>
      <c r="Y731" s="491" t="n"/>
    </row>
    <row r="732" ht="12.75" customHeight="1" s="398">
      <c r="A732" s="491" t="n"/>
      <c r="B732" s="491" t="n"/>
      <c r="C732" s="491" t="n"/>
      <c r="D732" s="491" t="n"/>
      <c r="E732" s="491" t="n"/>
      <c r="F732" s="491" t="n"/>
      <c r="G732" s="491" t="n"/>
      <c r="H732" s="491" t="n"/>
      <c r="I732" s="491" t="n"/>
      <c r="J732" s="491" t="n"/>
      <c r="K732" s="491" t="n"/>
      <c r="L732" s="491" t="n"/>
      <c r="M732" s="491" t="n"/>
      <c r="N732" s="491" t="n"/>
      <c r="O732" s="491" t="n"/>
      <c r="P732" s="491" t="n"/>
      <c r="Q732" s="491" t="n"/>
      <c r="R732" s="491" t="n"/>
      <c r="S732" s="491" t="n"/>
      <c r="T732" s="491" t="n"/>
      <c r="U732" s="491" t="n"/>
      <c r="V732" s="491" t="n"/>
      <c r="W732" s="491" t="n"/>
      <c r="X732" s="491" t="n"/>
      <c r="Y732" s="491" t="n"/>
    </row>
    <row r="733" ht="12.75" customHeight="1" s="398">
      <c r="A733" s="491" t="n"/>
      <c r="B733" s="491" t="n"/>
      <c r="C733" s="491" t="n"/>
      <c r="D733" s="491" t="n"/>
      <c r="E733" s="491" t="n"/>
      <c r="F733" s="491" t="n"/>
      <c r="G733" s="491" t="n"/>
      <c r="H733" s="491" t="n"/>
      <c r="I733" s="491" t="n"/>
      <c r="J733" s="491" t="n"/>
      <c r="K733" s="491" t="n"/>
      <c r="L733" s="491" t="n"/>
      <c r="M733" s="491" t="n"/>
      <c r="N733" s="491" t="n"/>
      <c r="O733" s="491" t="n"/>
      <c r="P733" s="491" t="n"/>
      <c r="Q733" s="491" t="n"/>
      <c r="R733" s="491" t="n"/>
      <c r="S733" s="491" t="n"/>
      <c r="T733" s="491" t="n"/>
      <c r="U733" s="491" t="n"/>
      <c r="V733" s="491" t="n"/>
      <c r="W733" s="491" t="n"/>
      <c r="X733" s="491" t="n"/>
      <c r="Y733" s="491" t="n"/>
    </row>
    <row r="734" ht="12.75" customHeight="1" s="398">
      <c r="A734" s="491" t="n"/>
      <c r="B734" s="491" t="n"/>
      <c r="C734" s="491" t="n"/>
      <c r="D734" s="491" t="n"/>
      <c r="E734" s="491" t="n"/>
      <c r="F734" s="491" t="n"/>
      <c r="G734" s="491" t="n"/>
      <c r="H734" s="491" t="n"/>
      <c r="I734" s="491" t="n"/>
      <c r="J734" s="491" t="n"/>
      <c r="K734" s="491" t="n"/>
      <c r="L734" s="491" t="n"/>
      <c r="M734" s="491" t="n"/>
      <c r="N734" s="491" t="n"/>
      <c r="O734" s="491" t="n"/>
      <c r="P734" s="491" t="n"/>
      <c r="Q734" s="491" t="n"/>
      <c r="R734" s="491" t="n"/>
      <c r="S734" s="491" t="n"/>
      <c r="T734" s="491" t="n"/>
      <c r="U734" s="491" t="n"/>
      <c r="V734" s="491" t="n"/>
      <c r="W734" s="491" t="n"/>
      <c r="X734" s="491" t="n"/>
      <c r="Y734" s="491" t="n"/>
    </row>
    <row r="735" ht="12.75" customHeight="1" s="398">
      <c r="A735" s="491" t="n"/>
      <c r="B735" s="491" t="n"/>
      <c r="C735" s="491" t="n"/>
      <c r="D735" s="491" t="n"/>
      <c r="E735" s="491" t="n"/>
      <c r="F735" s="491" t="n"/>
      <c r="G735" s="491" t="n"/>
      <c r="H735" s="491" t="n"/>
      <c r="I735" s="491" t="n"/>
      <c r="J735" s="491" t="n"/>
      <c r="K735" s="491" t="n"/>
      <c r="L735" s="491" t="n"/>
      <c r="M735" s="491" t="n"/>
      <c r="N735" s="491" t="n"/>
      <c r="O735" s="491" t="n"/>
      <c r="P735" s="491" t="n"/>
      <c r="Q735" s="491" t="n"/>
      <c r="R735" s="491" t="n"/>
      <c r="S735" s="491" t="n"/>
      <c r="T735" s="491" t="n"/>
      <c r="U735" s="491" t="n"/>
      <c r="V735" s="491" t="n"/>
      <c r="W735" s="491" t="n"/>
      <c r="X735" s="491" t="n"/>
      <c r="Y735" s="491" t="n"/>
    </row>
    <row r="736" ht="12.75" customHeight="1" s="398">
      <c r="A736" s="491" t="n"/>
      <c r="B736" s="491" t="n"/>
      <c r="C736" s="491" t="n"/>
      <c r="D736" s="491" t="n"/>
      <c r="E736" s="491" t="n"/>
      <c r="F736" s="491" t="n"/>
      <c r="G736" s="491" t="n"/>
      <c r="H736" s="491" t="n"/>
      <c r="I736" s="491" t="n"/>
      <c r="J736" s="491" t="n"/>
      <c r="K736" s="491" t="n"/>
      <c r="L736" s="491" t="n"/>
      <c r="M736" s="491" t="n"/>
      <c r="N736" s="491" t="n"/>
      <c r="O736" s="491" t="n"/>
      <c r="P736" s="491" t="n"/>
      <c r="Q736" s="491" t="n"/>
      <c r="R736" s="491" t="n"/>
      <c r="S736" s="491" t="n"/>
      <c r="T736" s="491" t="n"/>
      <c r="U736" s="491" t="n"/>
      <c r="V736" s="491" t="n"/>
      <c r="W736" s="491" t="n"/>
      <c r="X736" s="491" t="n"/>
      <c r="Y736" s="491" t="n"/>
    </row>
    <row r="737" ht="12.75" customHeight="1" s="398">
      <c r="A737" s="491" t="n"/>
      <c r="B737" s="491" t="n"/>
      <c r="C737" s="491" t="n"/>
      <c r="D737" s="491" t="n"/>
      <c r="E737" s="491" t="n"/>
      <c r="F737" s="491" t="n"/>
      <c r="G737" s="491" t="n"/>
      <c r="H737" s="491" t="n"/>
      <c r="I737" s="491" t="n"/>
      <c r="J737" s="491" t="n"/>
      <c r="K737" s="491" t="n"/>
      <c r="L737" s="491" t="n"/>
      <c r="M737" s="491" t="n"/>
      <c r="N737" s="491" t="n"/>
      <c r="O737" s="491" t="n"/>
      <c r="P737" s="491" t="n"/>
      <c r="Q737" s="491" t="n"/>
      <c r="R737" s="491" t="n"/>
      <c r="S737" s="491" t="n"/>
      <c r="T737" s="491" t="n"/>
      <c r="U737" s="491" t="n"/>
      <c r="V737" s="491" t="n"/>
      <c r="W737" s="491" t="n"/>
      <c r="X737" s="491" t="n"/>
      <c r="Y737" s="491" t="n"/>
    </row>
    <row r="738" ht="12.75" customHeight="1" s="398">
      <c r="A738" s="491" t="n"/>
      <c r="B738" s="491" t="n"/>
      <c r="C738" s="491" t="n"/>
      <c r="D738" s="491" t="n"/>
      <c r="E738" s="491" t="n"/>
      <c r="F738" s="491" t="n"/>
      <c r="G738" s="491" t="n"/>
      <c r="H738" s="491" t="n"/>
      <c r="I738" s="491" t="n"/>
      <c r="J738" s="491" t="n"/>
      <c r="K738" s="491" t="n"/>
      <c r="L738" s="491" t="n"/>
      <c r="M738" s="491" t="n"/>
      <c r="N738" s="491" t="n"/>
      <c r="O738" s="491" t="n"/>
      <c r="P738" s="491" t="n"/>
      <c r="Q738" s="491" t="n"/>
      <c r="R738" s="491" t="n"/>
      <c r="S738" s="491" t="n"/>
      <c r="T738" s="491" t="n"/>
      <c r="U738" s="491" t="n"/>
      <c r="V738" s="491" t="n"/>
      <c r="W738" s="491" t="n"/>
      <c r="X738" s="491" t="n"/>
      <c r="Y738" s="491" t="n"/>
    </row>
    <row r="739" ht="12.75" customHeight="1" s="398">
      <c r="A739" s="491" t="n"/>
      <c r="B739" s="491" t="n"/>
      <c r="C739" s="491" t="n"/>
      <c r="D739" s="491" t="n"/>
      <c r="E739" s="491" t="n"/>
      <c r="F739" s="491" t="n"/>
      <c r="G739" s="491" t="n"/>
      <c r="H739" s="491" t="n"/>
      <c r="I739" s="491" t="n"/>
      <c r="J739" s="491" t="n"/>
      <c r="K739" s="491" t="n"/>
      <c r="L739" s="491" t="n"/>
      <c r="M739" s="491" t="n"/>
      <c r="N739" s="491" t="n"/>
      <c r="O739" s="491" t="n"/>
      <c r="P739" s="491" t="n"/>
      <c r="Q739" s="491" t="n"/>
      <c r="R739" s="491" t="n"/>
      <c r="S739" s="491" t="n"/>
      <c r="T739" s="491" t="n"/>
      <c r="U739" s="491" t="n"/>
      <c r="V739" s="491" t="n"/>
      <c r="W739" s="491" t="n"/>
      <c r="X739" s="491" t="n"/>
      <c r="Y739" s="491" t="n"/>
    </row>
    <row r="740" ht="12.75" customHeight="1" s="398">
      <c r="A740" s="491" t="n"/>
      <c r="B740" s="491" t="n"/>
      <c r="C740" s="491" t="n"/>
      <c r="D740" s="491" t="n"/>
      <c r="E740" s="491" t="n"/>
      <c r="F740" s="491" t="n"/>
      <c r="G740" s="491" t="n"/>
      <c r="H740" s="491" t="n"/>
      <c r="I740" s="491" t="n"/>
      <c r="J740" s="491" t="n"/>
      <c r="K740" s="491" t="n"/>
      <c r="L740" s="491" t="n"/>
      <c r="M740" s="491" t="n"/>
      <c r="N740" s="491" t="n"/>
      <c r="O740" s="491" t="n"/>
      <c r="P740" s="491" t="n"/>
      <c r="Q740" s="491" t="n"/>
      <c r="R740" s="491" t="n"/>
      <c r="S740" s="491" t="n"/>
      <c r="T740" s="491" t="n"/>
      <c r="U740" s="491" t="n"/>
      <c r="V740" s="491" t="n"/>
      <c r="W740" s="491" t="n"/>
      <c r="X740" s="491" t="n"/>
      <c r="Y740" s="491" t="n"/>
    </row>
    <row r="741" ht="12.75" customHeight="1" s="398">
      <c r="A741" s="491" t="n"/>
      <c r="B741" s="491" t="n"/>
      <c r="C741" s="491" t="n"/>
      <c r="D741" s="491" t="n"/>
      <c r="E741" s="491" t="n"/>
      <c r="F741" s="491" t="n"/>
      <c r="G741" s="491" t="n"/>
      <c r="H741" s="491" t="n"/>
      <c r="I741" s="491" t="n"/>
      <c r="J741" s="491" t="n"/>
      <c r="K741" s="491" t="n"/>
      <c r="L741" s="491" t="n"/>
      <c r="M741" s="491" t="n"/>
      <c r="N741" s="491" t="n"/>
      <c r="O741" s="491" t="n"/>
      <c r="P741" s="491" t="n"/>
      <c r="Q741" s="491" t="n"/>
      <c r="R741" s="491" t="n"/>
      <c r="S741" s="491" t="n"/>
      <c r="T741" s="491" t="n"/>
      <c r="U741" s="491" t="n"/>
      <c r="V741" s="491" t="n"/>
      <c r="W741" s="491" t="n"/>
      <c r="X741" s="491" t="n"/>
      <c r="Y741" s="491" t="n"/>
    </row>
    <row r="742" ht="12.75" customHeight="1" s="398">
      <c r="A742" s="491" t="n"/>
      <c r="B742" s="491" t="n"/>
      <c r="C742" s="491" t="n"/>
      <c r="D742" s="491" t="n"/>
      <c r="E742" s="491" t="n"/>
      <c r="F742" s="491" t="n"/>
      <c r="G742" s="491" t="n"/>
      <c r="H742" s="491" t="n"/>
      <c r="I742" s="491" t="n"/>
      <c r="J742" s="491" t="n"/>
      <c r="K742" s="491" t="n"/>
      <c r="L742" s="491" t="n"/>
      <c r="M742" s="491" t="n"/>
      <c r="N742" s="491" t="n"/>
      <c r="O742" s="491" t="n"/>
      <c r="P742" s="491" t="n"/>
      <c r="Q742" s="491" t="n"/>
      <c r="R742" s="491" t="n"/>
      <c r="S742" s="491" t="n"/>
      <c r="T742" s="491" t="n"/>
      <c r="U742" s="491" t="n"/>
      <c r="V742" s="491" t="n"/>
      <c r="W742" s="491" t="n"/>
      <c r="X742" s="491" t="n"/>
      <c r="Y742" s="491" t="n"/>
    </row>
    <row r="743" ht="12.75" customHeight="1" s="398">
      <c r="A743" s="491" t="n"/>
      <c r="B743" s="491" t="n"/>
      <c r="C743" s="491" t="n"/>
      <c r="D743" s="491" t="n"/>
      <c r="E743" s="491" t="n"/>
      <c r="F743" s="491" t="n"/>
      <c r="G743" s="491" t="n"/>
      <c r="H743" s="491" t="n"/>
      <c r="I743" s="491" t="n"/>
      <c r="J743" s="491" t="n"/>
      <c r="K743" s="491" t="n"/>
      <c r="L743" s="491" t="n"/>
      <c r="M743" s="491" t="n"/>
      <c r="N743" s="491" t="n"/>
      <c r="O743" s="491" t="n"/>
      <c r="P743" s="491" t="n"/>
      <c r="Q743" s="491" t="n"/>
      <c r="R743" s="491" t="n"/>
      <c r="S743" s="491" t="n"/>
      <c r="T743" s="491" t="n"/>
      <c r="U743" s="491" t="n"/>
      <c r="V743" s="491" t="n"/>
      <c r="W743" s="491" t="n"/>
      <c r="X743" s="491" t="n"/>
      <c r="Y743" s="491" t="n"/>
    </row>
    <row r="744" ht="12.75" customHeight="1" s="398">
      <c r="A744" s="491" t="n"/>
      <c r="B744" s="491" t="n"/>
      <c r="C744" s="491" t="n"/>
      <c r="D744" s="491" t="n"/>
      <c r="E744" s="491" t="n"/>
      <c r="F744" s="491" t="n"/>
      <c r="G744" s="491" t="n"/>
      <c r="H744" s="491" t="n"/>
      <c r="I744" s="491" t="n"/>
      <c r="J744" s="491" t="n"/>
      <c r="K744" s="491" t="n"/>
      <c r="L744" s="491" t="n"/>
      <c r="M744" s="491" t="n"/>
      <c r="N744" s="491" t="n"/>
      <c r="O744" s="491" t="n"/>
      <c r="P744" s="491" t="n"/>
      <c r="Q744" s="491" t="n"/>
      <c r="R744" s="491" t="n"/>
      <c r="S744" s="491" t="n"/>
      <c r="T744" s="491" t="n"/>
      <c r="U744" s="491" t="n"/>
      <c r="V744" s="491" t="n"/>
      <c r="W744" s="491" t="n"/>
      <c r="X744" s="491" t="n"/>
      <c r="Y744" s="491" t="n"/>
    </row>
    <row r="745" ht="12.75" customHeight="1" s="398">
      <c r="A745" s="491" t="n"/>
      <c r="B745" s="491" t="n"/>
      <c r="C745" s="491" t="n"/>
      <c r="D745" s="491" t="n"/>
      <c r="E745" s="491" t="n"/>
      <c r="F745" s="491" t="n"/>
      <c r="G745" s="491" t="n"/>
      <c r="H745" s="491" t="n"/>
      <c r="I745" s="491" t="n"/>
      <c r="J745" s="491" t="n"/>
      <c r="K745" s="491" t="n"/>
      <c r="L745" s="491" t="n"/>
      <c r="M745" s="491" t="n"/>
      <c r="N745" s="491" t="n"/>
      <c r="O745" s="491" t="n"/>
      <c r="P745" s="491" t="n"/>
      <c r="Q745" s="491" t="n"/>
      <c r="R745" s="491" t="n"/>
      <c r="S745" s="491" t="n"/>
      <c r="T745" s="491" t="n"/>
      <c r="U745" s="491" t="n"/>
      <c r="V745" s="491" t="n"/>
      <c r="W745" s="491" t="n"/>
      <c r="X745" s="491" t="n"/>
      <c r="Y745" s="491" t="n"/>
    </row>
    <row r="746" ht="12.75" customHeight="1" s="398">
      <c r="A746" s="491" t="n"/>
      <c r="B746" s="491" t="n"/>
      <c r="C746" s="491" t="n"/>
      <c r="D746" s="491" t="n"/>
      <c r="E746" s="491" t="n"/>
      <c r="F746" s="491" t="n"/>
      <c r="G746" s="491" t="n"/>
      <c r="H746" s="491" t="n"/>
      <c r="I746" s="491" t="n"/>
      <c r="J746" s="491" t="n"/>
      <c r="K746" s="491" t="n"/>
      <c r="L746" s="491" t="n"/>
      <c r="M746" s="491" t="n"/>
      <c r="N746" s="491" t="n"/>
      <c r="O746" s="491" t="n"/>
      <c r="P746" s="491" t="n"/>
      <c r="Q746" s="491" t="n"/>
      <c r="R746" s="491" t="n"/>
      <c r="S746" s="491" t="n"/>
      <c r="T746" s="491" t="n"/>
      <c r="U746" s="491" t="n"/>
      <c r="V746" s="491" t="n"/>
      <c r="W746" s="491" t="n"/>
      <c r="X746" s="491" t="n"/>
      <c r="Y746" s="491" t="n"/>
    </row>
    <row r="747" ht="12.75" customHeight="1" s="398">
      <c r="A747" s="491" t="n"/>
      <c r="B747" s="491" t="n"/>
      <c r="C747" s="491" t="n"/>
      <c r="D747" s="491" t="n"/>
      <c r="E747" s="491" t="n"/>
      <c r="F747" s="491" t="n"/>
      <c r="G747" s="491" t="n"/>
      <c r="H747" s="491" t="n"/>
      <c r="I747" s="491" t="n"/>
      <c r="J747" s="491" t="n"/>
      <c r="K747" s="491" t="n"/>
      <c r="L747" s="491" t="n"/>
      <c r="M747" s="491" t="n"/>
      <c r="N747" s="491" t="n"/>
      <c r="O747" s="491" t="n"/>
      <c r="P747" s="491" t="n"/>
      <c r="Q747" s="491" t="n"/>
      <c r="R747" s="491" t="n"/>
      <c r="S747" s="491" t="n"/>
      <c r="T747" s="491" t="n"/>
      <c r="U747" s="491" t="n"/>
      <c r="V747" s="491" t="n"/>
      <c r="W747" s="491" t="n"/>
      <c r="X747" s="491" t="n"/>
      <c r="Y747" s="491" t="n"/>
    </row>
    <row r="748" ht="12.75" customHeight="1" s="398">
      <c r="A748" s="491" t="n"/>
      <c r="B748" s="491" t="n"/>
      <c r="C748" s="491" t="n"/>
      <c r="D748" s="491" t="n"/>
      <c r="E748" s="491" t="n"/>
      <c r="F748" s="491" t="n"/>
      <c r="G748" s="491" t="n"/>
      <c r="H748" s="491" t="n"/>
      <c r="I748" s="491" t="n"/>
      <c r="J748" s="491" t="n"/>
      <c r="K748" s="491" t="n"/>
      <c r="L748" s="491" t="n"/>
      <c r="M748" s="491" t="n"/>
      <c r="N748" s="491" t="n"/>
      <c r="O748" s="491" t="n"/>
      <c r="P748" s="491" t="n"/>
      <c r="Q748" s="491" t="n"/>
      <c r="R748" s="491" t="n"/>
      <c r="S748" s="491" t="n"/>
      <c r="T748" s="491" t="n"/>
      <c r="U748" s="491" t="n"/>
      <c r="V748" s="491" t="n"/>
      <c r="W748" s="491" t="n"/>
      <c r="X748" s="491" t="n"/>
      <c r="Y748" s="491" t="n"/>
    </row>
    <row r="749" ht="12.75" customHeight="1" s="398">
      <c r="A749" s="491" t="n"/>
      <c r="B749" s="491" t="n"/>
      <c r="C749" s="491" t="n"/>
      <c r="D749" s="491" t="n"/>
      <c r="E749" s="491" t="n"/>
      <c r="F749" s="491" t="n"/>
      <c r="G749" s="491" t="n"/>
      <c r="H749" s="491" t="n"/>
      <c r="I749" s="491" t="n"/>
      <c r="J749" s="491" t="n"/>
      <c r="K749" s="491" t="n"/>
      <c r="L749" s="491" t="n"/>
      <c r="M749" s="491" t="n"/>
      <c r="N749" s="491" t="n"/>
      <c r="O749" s="491" t="n"/>
      <c r="P749" s="491" t="n"/>
      <c r="Q749" s="491" t="n"/>
      <c r="R749" s="491" t="n"/>
      <c r="S749" s="491" t="n"/>
      <c r="T749" s="491" t="n"/>
      <c r="U749" s="491" t="n"/>
      <c r="V749" s="491" t="n"/>
      <c r="W749" s="491" t="n"/>
      <c r="X749" s="491" t="n"/>
      <c r="Y749" s="491" t="n"/>
    </row>
    <row r="750" ht="12.75" customHeight="1" s="398">
      <c r="A750" s="491" t="n"/>
      <c r="B750" s="491" t="n"/>
      <c r="C750" s="491" t="n"/>
      <c r="D750" s="491" t="n"/>
      <c r="E750" s="491" t="n"/>
      <c r="F750" s="491" t="n"/>
      <c r="G750" s="491" t="n"/>
      <c r="H750" s="491" t="n"/>
      <c r="I750" s="491" t="n"/>
      <c r="J750" s="491" t="n"/>
      <c r="K750" s="491" t="n"/>
      <c r="L750" s="491" t="n"/>
      <c r="M750" s="491" t="n"/>
      <c r="N750" s="491" t="n"/>
      <c r="O750" s="491" t="n"/>
      <c r="P750" s="491" t="n"/>
      <c r="Q750" s="491" t="n"/>
      <c r="R750" s="491" t="n"/>
      <c r="S750" s="491" t="n"/>
      <c r="T750" s="491" t="n"/>
      <c r="U750" s="491" t="n"/>
      <c r="V750" s="491" t="n"/>
      <c r="W750" s="491" t="n"/>
      <c r="X750" s="491" t="n"/>
      <c r="Y750" s="491" t="n"/>
    </row>
    <row r="751" ht="12.75" customHeight="1" s="398">
      <c r="A751" s="491" t="n"/>
      <c r="B751" s="491" t="n"/>
      <c r="C751" s="491" t="n"/>
      <c r="D751" s="491" t="n"/>
      <c r="E751" s="491" t="n"/>
      <c r="F751" s="491" t="n"/>
      <c r="G751" s="491" t="n"/>
      <c r="H751" s="491" t="n"/>
      <c r="I751" s="491" t="n"/>
      <c r="J751" s="491" t="n"/>
      <c r="K751" s="491" t="n"/>
      <c r="L751" s="491" t="n"/>
      <c r="M751" s="491" t="n"/>
      <c r="N751" s="491" t="n"/>
      <c r="O751" s="491" t="n"/>
      <c r="P751" s="491" t="n"/>
      <c r="Q751" s="491" t="n"/>
      <c r="R751" s="491" t="n"/>
      <c r="S751" s="491" t="n"/>
      <c r="T751" s="491" t="n"/>
      <c r="U751" s="491" t="n"/>
      <c r="V751" s="491" t="n"/>
      <c r="W751" s="491" t="n"/>
      <c r="X751" s="491" t="n"/>
      <c r="Y751" s="491" t="n"/>
    </row>
    <row r="752" ht="12.75" customHeight="1" s="398">
      <c r="A752" s="491" t="n"/>
      <c r="B752" s="491" t="n"/>
      <c r="C752" s="491" t="n"/>
      <c r="D752" s="491" t="n"/>
      <c r="E752" s="491" t="n"/>
      <c r="F752" s="491" t="n"/>
      <c r="G752" s="491" t="n"/>
      <c r="H752" s="491" t="n"/>
      <c r="I752" s="491" t="n"/>
      <c r="J752" s="491" t="n"/>
      <c r="K752" s="491" t="n"/>
      <c r="L752" s="491" t="n"/>
      <c r="M752" s="491" t="n"/>
      <c r="N752" s="491" t="n"/>
      <c r="O752" s="491" t="n"/>
      <c r="P752" s="491" t="n"/>
      <c r="Q752" s="491" t="n"/>
      <c r="R752" s="491" t="n"/>
      <c r="S752" s="491" t="n"/>
      <c r="T752" s="491" t="n"/>
      <c r="U752" s="491" t="n"/>
      <c r="V752" s="491" t="n"/>
      <c r="W752" s="491" t="n"/>
      <c r="X752" s="491" t="n"/>
      <c r="Y752" s="491" t="n"/>
    </row>
    <row r="753" ht="12.75" customHeight="1" s="398">
      <c r="A753" s="491" t="n"/>
      <c r="B753" s="491" t="n"/>
      <c r="C753" s="491" t="n"/>
      <c r="D753" s="491" t="n"/>
      <c r="E753" s="491" t="n"/>
      <c r="F753" s="491" t="n"/>
      <c r="G753" s="491" t="n"/>
      <c r="H753" s="491" t="n"/>
      <c r="I753" s="491" t="n"/>
      <c r="J753" s="491" t="n"/>
      <c r="K753" s="491" t="n"/>
      <c r="L753" s="491" t="n"/>
      <c r="M753" s="491" t="n"/>
      <c r="N753" s="491" t="n"/>
      <c r="O753" s="491" t="n"/>
      <c r="P753" s="491" t="n"/>
      <c r="Q753" s="491" t="n"/>
      <c r="R753" s="491" t="n"/>
      <c r="S753" s="491" t="n"/>
      <c r="T753" s="491" t="n"/>
      <c r="U753" s="491" t="n"/>
      <c r="V753" s="491" t="n"/>
      <c r="W753" s="491" t="n"/>
      <c r="X753" s="491" t="n"/>
      <c r="Y753" s="491" t="n"/>
    </row>
    <row r="754" ht="12.75" customHeight="1" s="398">
      <c r="A754" s="491" t="n"/>
      <c r="B754" s="491" t="n"/>
      <c r="C754" s="491" t="n"/>
      <c r="D754" s="491" t="n"/>
      <c r="E754" s="491" t="n"/>
      <c r="F754" s="491" t="n"/>
      <c r="G754" s="491" t="n"/>
      <c r="H754" s="491" t="n"/>
      <c r="I754" s="491" t="n"/>
      <c r="J754" s="491" t="n"/>
      <c r="K754" s="491" t="n"/>
      <c r="L754" s="491" t="n"/>
      <c r="M754" s="491" t="n"/>
      <c r="N754" s="491" t="n"/>
      <c r="O754" s="491" t="n"/>
      <c r="P754" s="491" t="n"/>
      <c r="Q754" s="491" t="n"/>
      <c r="R754" s="491" t="n"/>
      <c r="S754" s="491" t="n"/>
      <c r="T754" s="491" t="n"/>
      <c r="U754" s="491" t="n"/>
      <c r="V754" s="491" t="n"/>
      <c r="W754" s="491" t="n"/>
      <c r="X754" s="491" t="n"/>
      <c r="Y754" s="491" t="n"/>
    </row>
    <row r="755" ht="12.75" customHeight="1" s="398">
      <c r="A755" s="491" t="n"/>
      <c r="B755" s="491" t="n"/>
      <c r="C755" s="491" t="n"/>
      <c r="D755" s="491" t="n"/>
      <c r="E755" s="491" t="n"/>
      <c r="F755" s="491" t="n"/>
      <c r="G755" s="491" t="n"/>
      <c r="H755" s="491" t="n"/>
      <c r="I755" s="491" t="n"/>
      <c r="J755" s="491" t="n"/>
      <c r="K755" s="491" t="n"/>
      <c r="L755" s="491" t="n"/>
      <c r="M755" s="491" t="n"/>
      <c r="N755" s="491" t="n"/>
      <c r="O755" s="491" t="n"/>
      <c r="P755" s="491" t="n"/>
      <c r="Q755" s="491" t="n"/>
      <c r="R755" s="491" t="n"/>
      <c r="S755" s="491" t="n"/>
      <c r="T755" s="491" t="n"/>
      <c r="U755" s="491" t="n"/>
      <c r="V755" s="491" t="n"/>
      <c r="W755" s="491" t="n"/>
      <c r="X755" s="491" t="n"/>
      <c r="Y755" s="491" t="n"/>
    </row>
    <row r="756" ht="12.75" customHeight="1" s="398">
      <c r="A756" s="491" t="n"/>
      <c r="B756" s="491" t="n"/>
      <c r="C756" s="491" t="n"/>
      <c r="D756" s="491" t="n"/>
      <c r="E756" s="491" t="n"/>
      <c r="F756" s="491" t="n"/>
      <c r="G756" s="491" t="n"/>
      <c r="H756" s="491" t="n"/>
      <c r="I756" s="491" t="n"/>
      <c r="J756" s="491" t="n"/>
      <c r="K756" s="491" t="n"/>
      <c r="L756" s="491" t="n"/>
      <c r="M756" s="491" t="n"/>
      <c r="N756" s="491" t="n"/>
      <c r="O756" s="491" t="n"/>
      <c r="P756" s="491" t="n"/>
      <c r="Q756" s="491" t="n"/>
      <c r="R756" s="491" t="n"/>
      <c r="S756" s="491" t="n"/>
      <c r="T756" s="491" t="n"/>
      <c r="U756" s="491" t="n"/>
      <c r="V756" s="491" t="n"/>
      <c r="W756" s="491" t="n"/>
      <c r="X756" s="491" t="n"/>
      <c r="Y756" s="491" t="n"/>
    </row>
    <row r="757" ht="12.75" customHeight="1" s="398">
      <c r="A757" s="491" t="n"/>
      <c r="B757" s="491" t="n"/>
      <c r="C757" s="491" t="n"/>
      <c r="D757" s="491" t="n"/>
      <c r="E757" s="491" t="n"/>
      <c r="F757" s="491" t="n"/>
      <c r="G757" s="491" t="n"/>
      <c r="H757" s="491" t="n"/>
      <c r="I757" s="491" t="n"/>
      <c r="J757" s="491" t="n"/>
      <c r="K757" s="491" t="n"/>
      <c r="L757" s="491" t="n"/>
      <c r="M757" s="491" t="n"/>
      <c r="N757" s="491" t="n"/>
      <c r="O757" s="491" t="n"/>
      <c r="P757" s="491" t="n"/>
      <c r="Q757" s="491" t="n"/>
      <c r="R757" s="491" t="n"/>
      <c r="S757" s="491" t="n"/>
      <c r="T757" s="491" t="n"/>
      <c r="U757" s="491" t="n"/>
      <c r="V757" s="491" t="n"/>
      <c r="W757" s="491" t="n"/>
      <c r="X757" s="491" t="n"/>
      <c r="Y757" s="491" t="n"/>
    </row>
    <row r="758" ht="12.75" customHeight="1" s="398">
      <c r="A758" s="491" t="n"/>
      <c r="B758" s="491" t="n"/>
      <c r="C758" s="491" t="n"/>
      <c r="D758" s="491" t="n"/>
      <c r="E758" s="491" t="n"/>
      <c r="F758" s="491" t="n"/>
      <c r="G758" s="491" t="n"/>
      <c r="H758" s="491" t="n"/>
      <c r="I758" s="491" t="n"/>
      <c r="J758" s="491" t="n"/>
      <c r="K758" s="491" t="n"/>
      <c r="L758" s="491" t="n"/>
      <c r="M758" s="491" t="n"/>
      <c r="N758" s="491" t="n"/>
      <c r="O758" s="491" t="n"/>
      <c r="P758" s="491" t="n"/>
      <c r="Q758" s="491" t="n"/>
      <c r="R758" s="491" t="n"/>
      <c r="S758" s="491" t="n"/>
      <c r="T758" s="491" t="n"/>
      <c r="U758" s="491" t="n"/>
      <c r="V758" s="491" t="n"/>
      <c r="W758" s="491" t="n"/>
      <c r="X758" s="491" t="n"/>
      <c r="Y758" s="491" t="n"/>
    </row>
    <row r="759" ht="12.75" customHeight="1" s="398">
      <c r="A759" s="491" t="n"/>
      <c r="B759" s="491" t="n"/>
      <c r="C759" s="491" t="n"/>
      <c r="D759" s="491" t="n"/>
      <c r="E759" s="491" t="n"/>
      <c r="F759" s="491" t="n"/>
      <c r="G759" s="491" t="n"/>
      <c r="H759" s="491" t="n"/>
      <c r="I759" s="491" t="n"/>
      <c r="J759" s="491" t="n"/>
      <c r="K759" s="491" t="n"/>
      <c r="L759" s="491" t="n"/>
      <c r="M759" s="491" t="n"/>
      <c r="N759" s="491" t="n"/>
      <c r="O759" s="491" t="n"/>
      <c r="P759" s="491" t="n"/>
      <c r="Q759" s="491" t="n"/>
      <c r="R759" s="491" t="n"/>
      <c r="S759" s="491" t="n"/>
      <c r="T759" s="491" t="n"/>
      <c r="U759" s="491" t="n"/>
      <c r="V759" s="491" t="n"/>
      <c r="W759" s="491" t="n"/>
      <c r="X759" s="491" t="n"/>
      <c r="Y759" s="491" t="n"/>
    </row>
    <row r="760" ht="12.75" customHeight="1" s="398">
      <c r="A760" s="491" t="n"/>
      <c r="B760" s="491" t="n"/>
      <c r="C760" s="491" t="n"/>
      <c r="D760" s="491" t="n"/>
      <c r="E760" s="491" t="n"/>
      <c r="F760" s="491" t="n"/>
      <c r="G760" s="491" t="n"/>
      <c r="H760" s="491" t="n"/>
      <c r="I760" s="491" t="n"/>
      <c r="J760" s="491" t="n"/>
      <c r="K760" s="491" t="n"/>
      <c r="L760" s="491" t="n"/>
      <c r="M760" s="491" t="n"/>
      <c r="N760" s="491" t="n"/>
      <c r="O760" s="491" t="n"/>
      <c r="P760" s="491" t="n"/>
      <c r="Q760" s="491" t="n"/>
      <c r="R760" s="491" t="n"/>
      <c r="S760" s="491" t="n"/>
      <c r="T760" s="491" t="n"/>
      <c r="U760" s="491" t="n"/>
      <c r="V760" s="491" t="n"/>
      <c r="W760" s="491" t="n"/>
      <c r="X760" s="491" t="n"/>
      <c r="Y760" s="491" t="n"/>
    </row>
    <row r="761" ht="12.75" customHeight="1" s="398">
      <c r="A761" s="491" t="n"/>
      <c r="B761" s="491" t="n"/>
      <c r="C761" s="491" t="n"/>
      <c r="D761" s="491" t="n"/>
      <c r="E761" s="491" t="n"/>
      <c r="F761" s="491" t="n"/>
      <c r="G761" s="491" t="n"/>
      <c r="H761" s="491" t="n"/>
      <c r="I761" s="491" t="n"/>
      <c r="J761" s="491" t="n"/>
      <c r="K761" s="491" t="n"/>
      <c r="L761" s="491" t="n"/>
      <c r="M761" s="491" t="n"/>
      <c r="N761" s="491" t="n"/>
      <c r="O761" s="491" t="n"/>
      <c r="P761" s="491" t="n"/>
      <c r="Q761" s="491" t="n"/>
      <c r="R761" s="491" t="n"/>
      <c r="S761" s="491" t="n"/>
      <c r="T761" s="491" t="n"/>
      <c r="U761" s="491" t="n"/>
      <c r="V761" s="491" t="n"/>
      <c r="W761" s="491" t="n"/>
      <c r="X761" s="491" t="n"/>
      <c r="Y761" s="491" t="n"/>
    </row>
    <row r="762" ht="12.75" customHeight="1" s="398">
      <c r="A762" s="491" t="n"/>
      <c r="B762" s="491" t="n"/>
      <c r="C762" s="491" t="n"/>
      <c r="D762" s="491" t="n"/>
      <c r="E762" s="491" t="n"/>
      <c r="F762" s="491" t="n"/>
      <c r="G762" s="491" t="n"/>
      <c r="H762" s="491" t="n"/>
      <c r="I762" s="491" t="n"/>
      <c r="J762" s="491" t="n"/>
      <c r="K762" s="491" t="n"/>
      <c r="L762" s="491" t="n"/>
      <c r="M762" s="491" t="n"/>
      <c r="N762" s="491" t="n"/>
      <c r="O762" s="491" t="n"/>
      <c r="P762" s="491" t="n"/>
      <c r="Q762" s="491" t="n"/>
      <c r="R762" s="491" t="n"/>
      <c r="S762" s="491" t="n"/>
      <c r="T762" s="491" t="n"/>
      <c r="U762" s="491" t="n"/>
      <c r="V762" s="491" t="n"/>
      <c r="W762" s="491" t="n"/>
      <c r="X762" s="491" t="n"/>
      <c r="Y762" s="491" t="n"/>
    </row>
    <row r="763" ht="12.75" customHeight="1" s="398">
      <c r="A763" s="491" t="n"/>
      <c r="B763" s="491" t="n"/>
      <c r="C763" s="491" t="n"/>
      <c r="D763" s="491" t="n"/>
      <c r="E763" s="491" t="n"/>
      <c r="F763" s="491" t="n"/>
      <c r="G763" s="491" t="n"/>
      <c r="H763" s="491" t="n"/>
      <c r="I763" s="491" t="n"/>
      <c r="J763" s="491" t="n"/>
      <c r="K763" s="491" t="n"/>
      <c r="L763" s="491" t="n"/>
      <c r="M763" s="491" t="n"/>
      <c r="N763" s="491" t="n"/>
      <c r="O763" s="491" t="n"/>
      <c r="P763" s="491" t="n"/>
      <c r="Q763" s="491" t="n"/>
      <c r="R763" s="491" t="n"/>
      <c r="S763" s="491" t="n"/>
      <c r="T763" s="491" t="n"/>
      <c r="U763" s="491" t="n"/>
      <c r="V763" s="491" t="n"/>
      <c r="W763" s="491" t="n"/>
      <c r="X763" s="491" t="n"/>
      <c r="Y763" s="491" t="n"/>
    </row>
    <row r="764" ht="12.75" customHeight="1" s="398">
      <c r="A764" s="491" t="n"/>
      <c r="B764" s="491" t="n"/>
      <c r="C764" s="491" t="n"/>
      <c r="D764" s="491" t="n"/>
      <c r="E764" s="491" t="n"/>
      <c r="F764" s="491" t="n"/>
      <c r="G764" s="491" t="n"/>
      <c r="H764" s="491" t="n"/>
      <c r="I764" s="491" t="n"/>
      <c r="J764" s="491" t="n"/>
      <c r="K764" s="491" t="n"/>
      <c r="L764" s="491" t="n"/>
      <c r="M764" s="491" t="n"/>
      <c r="N764" s="491" t="n"/>
      <c r="O764" s="491" t="n"/>
      <c r="P764" s="491" t="n"/>
      <c r="Q764" s="491" t="n"/>
      <c r="R764" s="491" t="n"/>
      <c r="S764" s="491" t="n"/>
      <c r="T764" s="491" t="n"/>
      <c r="U764" s="491" t="n"/>
      <c r="V764" s="491" t="n"/>
      <c r="W764" s="491" t="n"/>
      <c r="X764" s="491" t="n"/>
      <c r="Y764" s="491" t="n"/>
    </row>
    <row r="765" ht="12.75" customHeight="1" s="398">
      <c r="A765" s="491" t="n"/>
      <c r="B765" s="491" t="n"/>
      <c r="C765" s="491" t="n"/>
      <c r="D765" s="491" t="n"/>
      <c r="E765" s="491" t="n"/>
      <c r="F765" s="491" t="n"/>
      <c r="G765" s="491" t="n"/>
      <c r="H765" s="491" t="n"/>
      <c r="I765" s="491" t="n"/>
      <c r="J765" s="491" t="n"/>
      <c r="K765" s="491" t="n"/>
      <c r="L765" s="491" t="n"/>
      <c r="M765" s="491" t="n"/>
      <c r="N765" s="491" t="n"/>
      <c r="O765" s="491" t="n"/>
      <c r="P765" s="491" t="n"/>
      <c r="Q765" s="491" t="n"/>
      <c r="R765" s="491" t="n"/>
      <c r="S765" s="491" t="n"/>
      <c r="T765" s="491" t="n"/>
      <c r="U765" s="491" t="n"/>
      <c r="V765" s="491" t="n"/>
      <c r="W765" s="491" t="n"/>
      <c r="X765" s="491" t="n"/>
      <c r="Y765" s="491" t="n"/>
    </row>
    <row r="766" ht="12.75" customHeight="1" s="398">
      <c r="A766" s="491" t="n"/>
      <c r="B766" s="491" t="n"/>
      <c r="C766" s="491" t="n"/>
      <c r="D766" s="491" t="n"/>
      <c r="E766" s="491" t="n"/>
      <c r="F766" s="491" t="n"/>
      <c r="G766" s="491" t="n"/>
      <c r="H766" s="491" t="n"/>
      <c r="I766" s="491" t="n"/>
      <c r="J766" s="491" t="n"/>
      <c r="K766" s="491" t="n"/>
      <c r="L766" s="491" t="n"/>
      <c r="M766" s="491" t="n"/>
      <c r="N766" s="491" t="n"/>
      <c r="O766" s="491" t="n"/>
      <c r="P766" s="491" t="n"/>
      <c r="Q766" s="491" t="n"/>
      <c r="R766" s="491" t="n"/>
      <c r="S766" s="491" t="n"/>
      <c r="T766" s="491" t="n"/>
      <c r="U766" s="491" t="n"/>
      <c r="V766" s="491" t="n"/>
      <c r="W766" s="491" t="n"/>
      <c r="X766" s="491" t="n"/>
      <c r="Y766" s="491" t="n"/>
    </row>
    <row r="767" ht="12.75" customHeight="1" s="398">
      <c r="A767" s="491" t="n"/>
      <c r="B767" s="491" t="n"/>
      <c r="C767" s="491" t="n"/>
      <c r="D767" s="491" t="n"/>
      <c r="E767" s="491" t="n"/>
      <c r="F767" s="491" t="n"/>
      <c r="G767" s="491" t="n"/>
      <c r="H767" s="491" t="n"/>
      <c r="I767" s="491" t="n"/>
      <c r="J767" s="491" t="n"/>
      <c r="K767" s="491" t="n"/>
      <c r="L767" s="491" t="n"/>
      <c r="M767" s="491" t="n"/>
      <c r="N767" s="491" t="n"/>
      <c r="O767" s="491" t="n"/>
      <c r="P767" s="491" t="n"/>
      <c r="Q767" s="491" t="n"/>
      <c r="R767" s="491" t="n"/>
      <c r="S767" s="491" t="n"/>
      <c r="T767" s="491" t="n"/>
      <c r="U767" s="491" t="n"/>
      <c r="V767" s="491" t="n"/>
      <c r="W767" s="491" t="n"/>
      <c r="X767" s="491" t="n"/>
      <c r="Y767" s="491" t="n"/>
    </row>
    <row r="768" ht="12.75" customHeight="1" s="398">
      <c r="A768" s="491" t="n"/>
      <c r="B768" s="491" t="n"/>
      <c r="C768" s="491" t="n"/>
      <c r="D768" s="491" t="n"/>
      <c r="E768" s="491" t="n"/>
      <c r="F768" s="491" t="n"/>
      <c r="G768" s="491" t="n"/>
      <c r="H768" s="491" t="n"/>
      <c r="I768" s="491" t="n"/>
      <c r="J768" s="491" t="n"/>
      <c r="K768" s="491" t="n"/>
      <c r="L768" s="491" t="n"/>
      <c r="M768" s="491" t="n"/>
      <c r="N768" s="491" t="n"/>
      <c r="O768" s="491" t="n"/>
      <c r="P768" s="491" t="n"/>
      <c r="Q768" s="491" t="n"/>
      <c r="R768" s="491" t="n"/>
      <c r="S768" s="491" t="n"/>
      <c r="T768" s="491" t="n"/>
      <c r="U768" s="491" t="n"/>
      <c r="V768" s="491" t="n"/>
      <c r="W768" s="491" t="n"/>
      <c r="X768" s="491" t="n"/>
      <c r="Y768" s="491" t="n"/>
    </row>
    <row r="769" ht="12.75" customHeight="1" s="398">
      <c r="A769" s="491" t="n"/>
      <c r="B769" s="491" t="n"/>
      <c r="C769" s="491" t="n"/>
      <c r="D769" s="491" t="n"/>
      <c r="E769" s="491" t="n"/>
      <c r="F769" s="491" t="n"/>
      <c r="G769" s="491" t="n"/>
      <c r="H769" s="491" t="n"/>
      <c r="I769" s="491" t="n"/>
      <c r="J769" s="491" t="n"/>
      <c r="K769" s="491" t="n"/>
      <c r="L769" s="491" t="n"/>
      <c r="M769" s="491" t="n"/>
      <c r="N769" s="491" t="n"/>
      <c r="O769" s="491" t="n"/>
      <c r="P769" s="491" t="n"/>
      <c r="Q769" s="491" t="n"/>
      <c r="R769" s="491" t="n"/>
      <c r="S769" s="491" t="n"/>
      <c r="T769" s="491" t="n"/>
      <c r="U769" s="491" t="n"/>
      <c r="V769" s="491" t="n"/>
      <c r="W769" s="491" t="n"/>
      <c r="X769" s="491" t="n"/>
      <c r="Y769" s="491" t="n"/>
    </row>
    <row r="770" ht="12.75" customHeight="1" s="398">
      <c r="A770" s="491" t="n"/>
      <c r="B770" s="491" t="n"/>
      <c r="C770" s="491" t="n"/>
      <c r="D770" s="491" t="n"/>
      <c r="E770" s="491" t="n"/>
      <c r="F770" s="491" t="n"/>
      <c r="G770" s="491" t="n"/>
      <c r="H770" s="491" t="n"/>
      <c r="I770" s="491" t="n"/>
      <c r="J770" s="491" t="n"/>
      <c r="K770" s="491" t="n"/>
      <c r="L770" s="491" t="n"/>
      <c r="M770" s="491" t="n"/>
      <c r="N770" s="491" t="n"/>
      <c r="O770" s="491" t="n"/>
      <c r="P770" s="491" t="n"/>
      <c r="Q770" s="491" t="n"/>
      <c r="R770" s="491" t="n"/>
      <c r="S770" s="491" t="n"/>
      <c r="T770" s="491" t="n"/>
      <c r="U770" s="491" t="n"/>
      <c r="V770" s="491" t="n"/>
      <c r="W770" s="491" t="n"/>
      <c r="X770" s="491" t="n"/>
      <c r="Y770" s="491" t="n"/>
    </row>
    <row r="771" ht="12.75" customHeight="1" s="398">
      <c r="A771" s="491" t="n"/>
      <c r="B771" s="491" t="n"/>
      <c r="C771" s="491" t="n"/>
      <c r="D771" s="491" t="n"/>
      <c r="E771" s="491" t="n"/>
      <c r="F771" s="491" t="n"/>
      <c r="G771" s="491" t="n"/>
      <c r="H771" s="491" t="n"/>
      <c r="I771" s="491" t="n"/>
      <c r="J771" s="491" t="n"/>
      <c r="K771" s="491" t="n"/>
      <c r="L771" s="491" t="n"/>
      <c r="M771" s="491" t="n"/>
      <c r="N771" s="491" t="n"/>
      <c r="O771" s="491" t="n"/>
      <c r="P771" s="491" t="n"/>
      <c r="Q771" s="491" t="n"/>
      <c r="R771" s="491" t="n"/>
      <c r="S771" s="491" t="n"/>
      <c r="T771" s="491" t="n"/>
      <c r="U771" s="491" t="n"/>
      <c r="V771" s="491" t="n"/>
      <c r="W771" s="491" t="n"/>
      <c r="X771" s="491" t="n"/>
      <c r="Y771" s="491" t="n"/>
    </row>
    <row r="772" ht="12.75" customHeight="1" s="398">
      <c r="A772" s="491" t="n"/>
      <c r="B772" s="491" t="n"/>
      <c r="C772" s="491" t="n"/>
      <c r="D772" s="491" t="n"/>
      <c r="E772" s="491" t="n"/>
      <c r="F772" s="491" t="n"/>
      <c r="G772" s="491" t="n"/>
      <c r="H772" s="491" t="n"/>
      <c r="I772" s="491" t="n"/>
      <c r="J772" s="491" t="n"/>
      <c r="K772" s="491" t="n"/>
      <c r="L772" s="491" t="n"/>
      <c r="M772" s="491" t="n"/>
      <c r="N772" s="491" t="n"/>
      <c r="O772" s="491" t="n"/>
      <c r="P772" s="491" t="n"/>
      <c r="Q772" s="491" t="n"/>
      <c r="R772" s="491" t="n"/>
      <c r="S772" s="491" t="n"/>
      <c r="T772" s="491" t="n"/>
      <c r="U772" s="491" t="n"/>
      <c r="V772" s="491" t="n"/>
      <c r="W772" s="491" t="n"/>
      <c r="X772" s="491" t="n"/>
      <c r="Y772" s="491" t="n"/>
    </row>
    <row r="773" ht="12.75" customHeight="1" s="398">
      <c r="A773" s="491" t="n"/>
      <c r="B773" s="491" t="n"/>
      <c r="C773" s="491" t="n"/>
      <c r="D773" s="491" t="n"/>
      <c r="E773" s="491" t="n"/>
      <c r="F773" s="491" t="n"/>
      <c r="G773" s="491" t="n"/>
      <c r="H773" s="491" t="n"/>
      <c r="I773" s="491" t="n"/>
      <c r="J773" s="491" t="n"/>
      <c r="K773" s="491" t="n"/>
      <c r="L773" s="491" t="n"/>
      <c r="M773" s="491" t="n"/>
      <c r="N773" s="491" t="n"/>
      <c r="O773" s="491" t="n"/>
      <c r="P773" s="491" t="n"/>
      <c r="Q773" s="491" t="n"/>
      <c r="R773" s="491" t="n"/>
      <c r="S773" s="491" t="n"/>
      <c r="T773" s="491" t="n"/>
      <c r="U773" s="491" t="n"/>
      <c r="V773" s="491" t="n"/>
      <c r="W773" s="491" t="n"/>
      <c r="X773" s="491" t="n"/>
      <c r="Y773" s="491" t="n"/>
    </row>
    <row r="774" ht="12.75" customHeight="1" s="398">
      <c r="A774" s="491" t="n"/>
      <c r="B774" s="491" t="n"/>
      <c r="C774" s="491" t="n"/>
      <c r="D774" s="491" t="n"/>
      <c r="E774" s="491" t="n"/>
      <c r="F774" s="491" t="n"/>
      <c r="G774" s="491" t="n"/>
      <c r="H774" s="491" t="n"/>
      <c r="I774" s="491" t="n"/>
      <c r="J774" s="491" t="n"/>
      <c r="K774" s="491" t="n"/>
      <c r="L774" s="491" t="n"/>
      <c r="M774" s="491" t="n"/>
      <c r="N774" s="491" t="n"/>
      <c r="O774" s="491" t="n"/>
      <c r="P774" s="491" t="n"/>
      <c r="Q774" s="491" t="n"/>
      <c r="R774" s="491" t="n"/>
      <c r="S774" s="491" t="n"/>
      <c r="T774" s="491" t="n"/>
      <c r="U774" s="491" t="n"/>
      <c r="V774" s="491" t="n"/>
      <c r="W774" s="491" t="n"/>
      <c r="X774" s="491" t="n"/>
      <c r="Y774" s="491" t="n"/>
    </row>
    <row r="775" ht="12.75" customHeight="1" s="398">
      <c r="A775" s="491" t="n"/>
      <c r="B775" s="491" t="n"/>
      <c r="C775" s="491" t="n"/>
      <c r="D775" s="491" t="n"/>
      <c r="E775" s="491" t="n"/>
      <c r="F775" s="491" t="n"/>
      <c r="G775" s="491" t="n"/>
      <c r="H775" s="491" t="n"/>
      <c r="I775" s="491" t="n"/>
      <c r="J775" s="491" t="n"/>
      <c r="K775" s="491" t="n"/>
      <c r="L775" s="491" t="n"/>
      <c r="M775" s="491" t="n"/>
      <c r="N775" s="491" t="n"/>
      <c r="O775" s="491" t="n"/>
      <c r="P775" s="491" t="n"/>
      <c r="Q775" s="491" t="n"/>
      <c r="R775" s="491" t="n"/>
      <c r="S775" s="491" t="n"/>
      <c r="T775" s="491" t="n"/>
      <c r="U775" s="491" t="n"/>
      <c r="V775" s="491" t="n"/>
      <c r="W775" s="491" t="n"/>
      <c r="X775" s="491" t="n"/>
      <c r="Y775" s="491" t="n"/>
    </row>
    <row r="776" ht="12.75" customHeight="1" s="398">
      <c r="A776" s="491" t="n"/>
      <c r="B776" s="491" t="n"/>
      <c r="C776" s="491" t="n"/>
      <c r="D776" s="491" t="n"/>
      <c r="E776" s="491" t="n"/>
      <c r="F776" s="491" t="n"/>
      <c r="G776" s="491" t="n"/>
      <c r="H776" s="491" t="n"/>
      <c r="I776" s="491" t="n"/>
      <c r="J776" s="491" t="n"/>
      <c r="K776" s="491" t="n"/>
      <c r="L776" s="491" t="n"/>
      <c r="M776" s="491" t="n"/>
      <c r="N776" s="491" t="n"/>
      <c r="O776" s="491" t="n"/>
      <c r="P776" s="491" t="n"/>
      <c r="Q776" s="491" t="n"/>
      <c r="R776" s="491" t="n"/>
      <c r="S776" s="491" t="n"/>
      <c r="T776" s="491" t="n"/>
      <c r="U776" s="491" t="n"/>
      <c r="V776" s="491" t="n"/>
      <c r="W776" s="491" t="n"/>
      <c r="X776" s="491" t="n"/>
      <c r="Y776" s="491" t="n"/>
    </row>
    <row r="777" ht="12.75" customHeight="1" s="398">
      <c r="A777" s="491" t="n"/>
      <c r="B777" s="491" t="n"/>
      <c r="C777" s="491" t="n"/>
      <c r="D777" s="491" t="n"/>
      <c r="E777" s="491" t="n"/>
      <c r="F777" s="491" t="n"/>
      <c r="G777" s="491" t="n"/>
      <c r="H777" s="491" t="n"/>
      <c r="I777" s="491" t="n"/>
      <c r="J777" s="491" t="n"/>
      <c r="K777" s="491" t="n"/>
      <c r="L777" s="491" t="n"/>
      <c r="M777" s="491" t="n"/>
      <c r="N777" s="491" t="n"/>
      <c r="O777" s="491" t="n"/>
      <c r="P777" s="491" t="n"/>
      <c r="Q777" s="491" t="n"/>
      <c r="R777" s="491" t="n"/>
      <c r="S777" s="491" t="n"/>
      <c r="T777" s="491" t="n"/>
      <c r="U777" s="491" t="n"/>
      <c r="V777" s="491" t="n"/>
      <c r="W777" s="491" t="n"/>
      <c r="X777" s="491" t="n"/>
      <c r="Y777" s="491" t="n"/>
    </row>
    <row r="778" ht="12.75" customHeight="1" s="398">
      <c r="A778" s="491" t="n"/>
      <c r="B778" s="491" t="n"/>
      <c r="C778" s="491" t="n"/>
      <c r="D778" s="491" t="n"/>
      <c r="E778" s="491" t="n"/>
      <c r="F778" s="491" t="n"/>
      <c r="G778" s="491" t="n"/>
      <c r="H778" s="491" t="n"/>
      <c r="I778" s="491" t="n"/>
      <c r="J778" s="491" t="n"/>
      <c r="K778" s="491" t="n"/>
      <c r="L778" s="491" t="n"/>
      <c r="M778" s="491" t="n"/>
      <c r="N778" s="491" t="n"/>
      <c r="O778" s="491" t="n"/>
      <c r="P778" s="491" t="n"/>
      <c r="Q778" s="491" t="n"/>
      <c r="R778" s="491" t="n"/>
      <c r="S778" s="491" t="n"/>
      <c r="T778" s="491" t="n"/>
      <c r="U778" s="491" t="n"/>
      <c r="V778" s="491" t="n"/>
      <c r="W778" s="491" t="n"/>
      <c r="X778" s="491" t="n"/>
      <c r="Y778" s="491" t="n"/>
    </row>
    <row r="779" ht="12.75" customHeight="1" s="398">
      <c r="A779" s="491" t="n"/>
      <c r="B779" s="491" t="n"/>
      <c r="C779" s="491" t="n"/>
      <c r="D779" s="491" t="n"/>
      <c r="E779" s="491" t="n"/>
      <c r="F779" s="491" t="n"/>
      <c r="G779" s="491" t="n"/>
      <c r="H779" s="491" t="n"/>
      <c r="I779" s="491" t="n"/>
      <c r="J779" s="491" t="n"/>
      <c r="K779" s="491" t="n"/>
      <c r="L779" s="491" t="n"/>
      <c r="M779" s="491" t="n"/>
      <c r="N779" s="491" t="n"/>
      <c r="O779" s="491" t="n"/>
      <c r="P779" s="491" t="n"/>
      <c r="Q779" s="491" t="n"/>
      <c r="R779" s="491" t="n"/>
      <c r="S779" s="491" t="n"/>
      <c r="T779" s="491" t="n"/>
      <c r="U779" s="491" t="n"/>
      <c r="V779" s="491" t="n"/>
      <c r="W779" s="491" t="n"/>
      <c r="X779" s="491" t="n"/>
      <c r="Y779" s="491" t="n"/>
    </row>
    <row r="780" ht="12.75" customHeight="1" s="398">
      <c r="A780" s="491" t="n"/>
      <c r="B780" s="491" t="n"/>
      <c r="C780" s="491" t="n"/>
      <c r="D780" s="491" t="n"/>
      <c r="E780" s="491" t="n"/>
      <c r="F780" s="491" t="n"/>
      <c r="G780" s="491" t="n"/>
      <c r="H780" s="491" t="n"/>
      <c r="I780" s="491" t="n"/>
      <c r="J780" s="491" t="n"/>
      <c r="K780" s="491" t="n"/>
      <c r="L780" s="491" t="n"/>
      <c r="M780" s="491" t="n"/>
      <c r="N780" s="491" t="n"/>
      <c r="O780" s="491" t="n"/>
      <c r="P780" s="491" t="n"/>
      <c r="Q780" s="491" t="n"/>
      <c r="R780" s="491" t="n"/>
      <c r="S780" s="491" t="n"/>
      <c r="T780" s="491" t="n"/>
      <c r="U780" s="491" t="n"/>
      <c r="V780" s="491" t="n"/>
      <c r="W780" s="491" t="n"/>
      <c r="X780" s="491" t="n"/>
      <c r="Y780" s="491" t="n"/>
    </row>
    <row r="781" ht="12.75" customHeight="1" s="398">
      <c r="A781" s="491" t="n"/>
      <c r="B781" s="491" t="n"/>
      <c r="C781" s="491" t="n"/>
      <c r="D781" s="491" t="n"/>
      <c r="E781" s="491" t="n"/>
      <c r="F781" s="491" t="n"/>
      <c r="G781" s="491" t="n"/>
      <c r="H781" s="491" t="n"/>
      <c r="I781" s="491" t="n"/>
      <c r="J781" s="491" t="n"/>
      <c r="K781" s="491" t="n"/>
      <c r="L781" s="491" t="n"/>
      <c r="M781" s="491" t="n"/>
      <c r="N781" s="491" t="n"/>
      <c r="O781" s="491" t="n"/>
      <c r="P781" s="491" t="n"/>
      <c r="Q781" s="491" t="n"/>
      <c r="R781" s="491" t="n"/>
      <c r="S781" s="491" t="n"/>
      <c r="T781" s="491" t="n"/>
      <c r="U781" s="491" t="n"/>
      <c r="V781" s="491" t="n"/>
      <c r="W781" s="491" t="n"/>
      <c r="X781" s="491" t="n"/>
      <c r="Y781" s="491" t="n"/>
    </row>
    <row r="782" ht="12.75" customHeight="1" s="398">
      <c r="A782" s="491" t="n"/>
      <c r="B782" s="491" t="n"/>
      <c r="C782" s="491" t="n"/>
      <c r="D782" s="491" t="n"/>
      <c r="E782" s="491" t="n"/>
      <c r="F782" s="491" t="n"/>
      <c r="G782" s="491" t="n"/>
      <c r="H782" s="491" t="n"/>
      <c r="I782" s="491" t="n"/>
      <c r="J782" s="491" t="n"/>
      <c r="K782" s="491" t="n"/>
      <c r="L782" s="491" t="n"/>
      <c r="M782" s="491" t="n"/>
      <c r="N782" s="491" t="n"/>
      <c r="O782" s="491" t="n"/>
      <c r="P782" s="491" t="n"/>
      <c r="Q782" s="491" t="n"/>
      <c r="R782" s="491" t="n"/>
      <c r="S782" s="491" t="n"/>
      <c r="T782" s="491" t="n"/>
      <c r="U782" s="491" t="n"/>
      <c r="V782" s="491" t="n"/>
      <c r="W782" s="491" t="n"/>
      <c r="X782" s="491" t="n"/>
      <c r="Y782" s="491" t="n"/>
    </row>
    <row r="783" ht="12.75" customHeight="1" s="398">
      <c r="A783" s="491" t="n"/>
      <c r="B783" s="491" t="n"/>
      <c r="C783" s="491" t="n"/>
      <c r="D783" s="491" t="n"/>
      <c r="E783" s="491" t="n"/>
      <c r="F783" s="491" t="n"/>
      <c r="G783" s="491" t="n"/>
      <c r="H783" s="491" t="n"/>
      <c r="I783" s="491" t="n"/>
      <c r="J783" s="491" t="n"/>
      <c r="K783" s="491" t="n"/>
      <c r="L783" s="491" t="n"/>
      <c r="M783" s="491" t="n"/>
      <c r="N783" s="491" t="n"/>
      <c r="O783" s="491" t="n"/>
      <c r="P783" s="491" t="n"/>
      <c r="Q783" s="491" t="n"/>
      <c r="R783" s="491" t="n"/>
      <c r="S783" s="491" t="n"/>
      <c r="T783" s="491" t="n"/>
      <c r="U783" s="491" t="n"/>
      <c r="V783" s="491" t="n"/>
      <c r="W783" s="491" t="n"/>
      <c r="X783" s="491" t="n"/>
      <c r="Y783" s="491" t="n"/>
    </row>
    <row r="784" ht="12.75" customHeight="1" s="398">
      <c r="A784" s="491" t="n"/>
      <c r="B784" s="491" t="n"/>
      <c r="C784" s="491" t="n"/>
      <c r="D784" s="491" t="n"/>
      <c r="E784" s="491" t="n"/>
      <c r="F784" s="491" t="n"/>
      <c r="G784" s="491" t="n"/>
      <c r="H784" s="491" t="n"/>
      <c r="I784" s="491" t="n"/>
      <c r="J784" s="491" t="n"/>
      <c r="K784" s="491" t="n"/>
      <c r="L784" s="491" t="n"/>
      <c r="M784" s="491" t="n"/>
      <c r="N784" s="491" t="n"/>
      <c r="O784" s="491" t="n"/>
      <c r="P784" s="491" t="n"/>
      <c r="Q784" s="491" t="n"/>
      <c r="R784" s="491" t="n"/>
      <c r="S784" s="491" t="n"/>
      <c r="T784" s="491" t="n"/>
      <c r="U784" s="491" t="n"/>
      <c r="V784" s="491" t="n"/>
      <c r="W784" s="491" t="n"/>
      <c r="X784" s="491" t="n"/>
      <c r="Y784" s="491" t="n"/>
    </row>
    <row r="785" ht="12.75" customHeight="1" s="398">
      <c r="A785" s="491" t="n"/>
      <c r="B785" s="491" t="n"/>
      <c r="C785" s="491" t="n"/>
      <c r="D785" s="491" t="n"/>
      <c r="E785" s="491" t="n"/>
      <c r="F785" s="491" t="n"/>
      <c r="G785" s="491" t="n"/>
      <c r="H785" s="491" t="n"/>
      <c r="I785" s="491" t="n"/>
      <c r="J785" s="491" t="n"/>
      <c r="K785" s="491" t="n"/>
      <c r="L785" s="491" t="n"/>
      <c r="M785" s="491" t="n"/>
      <c r="N785" s="491" t="n"/>
      <c r="O785" s="491" t="n"/>
      <c r="P785" s="491" t="n"/>
      <c r="Q785" s="491" t="n"/>
      <c r="R785" s="491" t="n"/>
      <c r="S785" s="491" t="n"/>
      <c r="T785" s="491" t="n"/>
      <c r="U785" s="491" t="n"/>
      <c r="V785" s="491" t="n"/>
      <c r="W785" s="491" t="n"/>
      <c r="X785" s="491" t="n"/>
      <c r="Y785" s="491" t="n"/>
    </row>
    <row r="786" ht="12.75" customHeight="1" s="398">
      <c r="A786" s="491" t="n"/>
      <c r="B786" s="491" t="n"/>
      <c r="C786" s="491" t="n"/>
      <c r="D786" s="491" t="n"/>
      <c r="E786" s="491" t="n"/>
      <c r="F786" s="491" t="n"/>
      <c r="G786" s="491" t="n"/>
      <c r="H786" s="491" t="n"/>
      <c r="I786" s="491" t="n"/>
      <c r="J786" s="491" t="n"/>
      <c r="K786" s="491" t="n"/>
      <c r="L786" s="491" t="n"/>
      <c r="M786" s="491" t="n"/>
      <c r="N786" s="491" t="n"/>
      <c r="O786" s="491" t="n"/>
      <c r="P786" s="491" t="n"/>
      <c r="Q786" s="491" t="n"/>
      <c r="R786" s="491" t="n"/>
      <c r="S786" s="491" t="n"/>
      <c r="T786" s="491" t="n"/>
      <c r="U786" s="491" t="n"/>
      <c r="V786" s="491" t="n"/>
      <c r="W786" s="491" t="n"/>
      <c r="X786" s="491" t="n"/>
      <c r="Y786" s="491" t="n"/>
    </row>
    <row r="787" ht="12.75" customHeight="1" s="398">
      <c r="A787" s="491" t="n"/>
      <c r="B787" s="491" t="n"/>
      <c r="C787" s="491" t="n"/>
      <c r="D787" s="491" t="n"/>
      <c r="E787" s="491" t="n"/>
      <c r="F787" s="491" t="n"/>
      <c r="G787" s="491" t="n"/>
      <c r="H787" s="491" t="n"/>
      <c r="I787" s="491" t="n"/>
      <c r="J787" s="491" t="n"/>
      <c r="K787" s="491" t="n"/>
      <c r="L787" s="491" t="n"/>
      <c r="M787" s="491" t="n"/>
      <c r="N787" s="491" t="n"/>
      <c r="O787" s="491" t="n"/>
      <c r="P787" s="491" t="n"/>
      <c r="Q787" s="491" t="n"/>
      <c r="R787" s="491" t="n"/>
      <c r="S787" s="491" t="n"/>
      <c r="T787" s="491" t="n"/>
      <c r="U787" s="491" t="n"/>
      <c r="V787" s="491" t="n"/>
      <c r="W787" s="491" t="n"/>
      <c r="X787" s="491" t="n"/>
      <c r="Y787" s="491" t="n"/>
    </row>
    <row r="788" ht="12.75" customHeight="1" s="398">
      <c r="A788" s="491" t="n"/>
      <c r="B788" s="491" t="n"/>
      <c r="C788" s="491" t="n"/>
      <c r="D788" s="491" t="n"/>
      <c r="E788" s="491" t="n"/>
      <c r="F788" s="491" t="n"/>
      <c r="G788" s="491" t="n"/>
      <c r="H788" s="491" t="n"/>
      <c r="I788" s="491" t="n"/>
      <c r="J788" s="491" t="n"/>
      <c r="K788" s="491" t="n"/>
      <c r="L788" s="491" t="n"/>
      <c r="M788" s="491" t="n"/>
      <c r="N788" s="491" t="n"/>
      <c r="O788" s="491" t="n"/>
      <c r="P788" s="491" t="n"/>
      <c r="Q788" s="491" t="n"/>
      <c r="R788" s="491" t="n"/>
      <c r="S788" s="491" t="n"/>
      <c r="T788" s="491" t="n"/>
      <c r="U788" s="491" t="n"/>
      <c r="V788" s="491" t="n"/>
      <c r="W788" s="491" t="n"/>
      <c r="X788" s="491" t="n"/>
      <c r="Y788" s="491" t="n"/>
    </row>
    <row r="789" ht="12.75" customHeight="1" s="398">
      <c r="A789" s="491" t="n"/>
      <c r="B789" s="491" t="n"/>
      <c r="C789" s="491" t="n"/>
      <c r="D789" s="491" t="n"/>
      <c r="E789" s="491" t="n"/>
      <c r="F789" s="491" t="n"/>
      <c r="G789" s="491" t="n"/>
      <c r="H789" s="491" t="n"/>
      <c r="I789" s="491" t="n"/>
      <c r="J789" s="491" t="n"/>
      <c r="K789" s="491" t="n"/>
      <c r="L789" s="491" t="n"/>
      <c r="M789" s="491" t="n"/>
      <c r="N789" s="491" t="n"/>
      <c r="O789" s="491" t="n"/>
      <c r="P789" s="491" t="n"/>
      <c r="Q789" s="491" t="n"/>
      <c r="R789" s="491" t="n"/>
      <c r="S789" s="491" t="n"/>
      <c r="T789" s="491" t="n"/>
      <c r="U789" s="491" t="n"/>
      <c r="V789" s="491" t="n"/>
      <c r="W789" s="491" t="n"/>
      <c r="X789" s="491" t="n"/>
      <c r="Y789" s="491" t="n"/>
    </row>
    <row r="790" ht="12.75" customHeight="1" s="398">
      <c r="A790" s="491" t="n"/>
      <c r="B790" s="491" t="n"/>
      <c r="C790" s="491" t="n"/>
      <c r="D790" s="491" t="n"/>
      <c r="E790" s="491" t="n"/>
      <c r="F790" s="491" t="n"/>
      <c r="G790" s="491" t="n"/>
      <c r="H790" s="491" t="n"/>
      <c r="I790" s="491" t="n"/>
      <c r="J790" s="491" t="n"/>
      <c r="K790" s="491" t="n"/>
      <c r="L790" s="491" t="n"/>
      <c r="M790" s="491" t="n"/>
      <c r="N790" s="491" t="n"/>
      <c r="O790" s="491" t="n"/>
      <c r="P790" s="491" t="n"/>
      <c r="Q790" s="491" t="n"/>
      <c r="R790" s="491" t="n"/>
      <c r="S790" s="491" t="n"/>
      <c r="T790" s="491" t="n"/>
      <c r="U790" s="491" t="n"/>
      <c r="V790" s="491" t="n"/>
      <c r="W790" s="491" t="n"/>
      <c r="X790" s="491" t="n"/>
      <c r="Y790" s="491" t="n"/>
    </row>
    <row r="791" ht="12.75" customHeight="1" s="398">
      <c r="A791" s="491" t="n"/>
      <c r="B791" s="491" t="n"/>
      <c r="C791" s="491" t="n"/>
      <c r="D791" s="491" t="n"/>
      <c r="E791" s="491" t="n"/>
      <c r="F791" s="491" t="n"/>
      <c r="G791" s="491" t="n"/>
      <c r="H791" s="491" t="n"/>
      <c r="I791" s="491" t="n"/>
      <c r="J791" s="491" t="n"/>
      <c r="K791" s="491" t="n"/>
      <c r="L791" s="491" t="n"/>
      <c r="M791" s="491" t="n"/>
      <c r="N791" s="491" t="n"/>
      <c r="O791" s="491" t="n"/>
      <c r="P791" s="491" t="n"/>
      <c r="Q791" s="491" t="n"/>
      <c r="R791" s="491" t="n"/>
      <c r="S791" s="491" t="n"/>
      <c r="T791" s="491" t="n"/>
      <c r="U791" s="491" t="n"/>
      <c r="V791" s="491" t="n"/>
      <c r="W791" s="491" t="n"/>
      <c r="X791" s="491" t="n"/>
      <c r="Y791" s="491" t="n"/>
    </row>
    <row r="792" ht="12.75" customHeight="1" s="398">
      <c r="A792" s="491" t="n"/>
      <c r="B792" s="491" t="n"/>
      <c r="C792" s="491" t="n"/>
      <c r="D792" s="491" t="n"/>
      <c r="E792" s="491" t="n"/>
      <c r="F792" s="491" t="n"/>
      <c r="G792" s="491" t="n"/>
      <c r="H792" s="491" t="n"/>
      <c r="I792" s="491" t="n"/>
      <c r="J792" s="491" t="n"/>
      <c r="K792" s="491" t="n"/>
      <c r="L792" s="491" t="n"/>
      <c r="M792" s="491" t="n"/>
      <c r="N792" s="491" t="n"/>
      <c r="O792" s="491" t="n"/>
      <c r="P792" s="491" t="n"/>
      <c r="Q792" s="491" t="n"/>
      <c r="R792" s="491" t="n"/>
      <c r="S792" s="491" t="n"/>
      <c r="T792" s="491" t="n"/>
      <c r="U792" s="491" t="n"/>
      <c r="V792" s="491" t="n"/>
      <c r="W792" s="491" t="n"/>
      <c r="X792" s="491" t="n"/>
      <c r="Y792" s="491" t="n"/>
    </row>
    <row r="793" ht="12.75" customHeight="1" s="398">
      <c r="A793" s="491" t="n"/>
      <c r="B793" s="491" t="n"/>
      <c r="C793" s="491" t="n"/>
      <c r="D793" s="491" t="n"/>
      <c r="E793" s="491" t="n"/>
      <c r="F793" s="491" t="n"/>
      <c r="G793" s="491" t="n"/>
      <c r="H793" s="491" t="n"/>
      <c r="I793" s="491" t="n"/>
      <c r="J793" s="491" t="n"/>
      <c r="K793" s="491" t="n"/>
      <c r="L793" s="491" t="n"/>
      <c r="M793" s="491" t="n"/>
      <c r="N793" s="491" t="n"/>
      <c r="O793" s="491" t="n"/>
      <c r="P793" s="491" t="n"/>
      <c r="Q793" s="491" t="n"/>
      <c r="R793" s="491" t="n"/>
      <c r="S793" s="491" t="n"/>
      <c r="T793" s="491" t="n"/>
      <c r="U793" s="491" t="n"/>
      <c r="V793" s="491" t="n"/>
      <c r="W793" s="491" t="n"/>
      <c r="X793" s="491" t="n"/>
      <c r="Y793" s="491" t="n"/>
    </row>
    <row r="794" ht="12.75" customHeight="1" s="398">
      <c r="A794" s="491" t="n"/>
      <c r="B794" s="491" t="n"/>
      <c r="C794" s="491" t="n"/>
      <c r="D794" s="491" t="n"/>
      <c r="E794" s="491" t="n"/>
      <c r="F794" s="491" t="n"/>
      <c r="G794" s="491" t="n"/>
      <c r="H794" s="491" t="n"/>
      <c r="I794" s="491" t="n"/>
      <c r="J794" s="491" t="n"/>
      <c r="K794" s="491" t="n"/>
      <c r="L794" s="491" t="n"/>
      <c r="M794" s="491" t="n"/>
      <c r="N794" s="491" t="n"/>
      <c r="O794" s="491" t="n"/>
      <c r="P794" s="491" t="n"/>
      <c r="Q794" s="491" t="n"/>
      <c r="R794" s="491" t="n"/>
      <c r="S794" s="491" t="n"/>
      <c r="T794" s="491" t="n"/>
      <c r="U794" s="491" t="n"/>
      <c r="V794" s="491" t="n"/>
      <c r="W794" s="491" t="n"/>
      <c r="X794" s="491" t="n"/>
      <c r="Y794" s="491" t="n"/>
    </row>
    <row r="795" ht="12.75" customHeight="1" s="398">
      <c r="A795" s="491" t="n"/>
      <c r="B795" s="491" t="n"/>
      <c r="C795" s="491" t="n"/>
      <c r="D795" s="491" t="n"/>
      <c r="E795" s="491" t="n"/>
      <c r="F795" s="491" t="n"/>
      <c r="G795" s="491" t="n"/>
      <c r="H795" s="491" t="n"/>
      <c r="I795" s="491" t="n"/>
      <c r="J795" s="491" t="n"/>
      <c r="K795" s="491" t="n"/>
      <c r="L795" s="491" t="n"/>
      <c r="M795" s="491" t="n"/>
      <c r="N795" s="491" t="n"/>
      <c r="O795" s="491" t="n"/>
      <c r="P795" s="491" t="n"/>
      <c r="Q795" s="491" t="n"/>
      <c r="R795" s="491" t="n"/>
      <c r="S795" s="491" t="n"/>
      <c r="T795" s="491" t="n"/>
      <c r="U795" s="491" t="n"/>
      <c r="V795" s="491" t="n"/>
      <c r="W795" s="491" t="n"/>
      <c r="X795" s="491" t="n"/>
      <c r="Y795" s="491" t="n"/>
    </row>
    <row r="796" ht="12.75" customHeight="1" s="398">
      <c r="A796" s="491" t="n"/>
      <c r="B796" s="491" t="n"/>
      <c r="C796" s="491" t="n"/>
      <c r="D796" s="491" t="n"/>
      <c r="E796" s="491" t="n"/>
      <c r="F796" s="491" t="n"/>
      <c r="G796" s="491" t="n"/>
      <c r="H796" s="491" t="n"/>
      <c r="I796" s="491" t="n"/>
      <c r="J796" s="491" t="n"/>
      <c r="K796" s="491" t="n"/>
      <c r="L796" s="491" t="n"/>
      <c r="M796" s="491" t="n"/>
      <c r="N796" s="491" t="n"/>
      <c r="O796" s="491" t="n"/>
      <c r="P796" s="491" t="n"/>
      <c r="Q796" s="491" t="n"/>
      <c r="R796" s="491" t="n"/>
      <c r="S796" s="491" t="n"/>
      <c r="T796" s="491" t="n"/>
      <c r="U796" s="491" t="n"/>
      <c r="V796" s="491" t="n"/>
      <c r="W796" s="491" t="n"/>
      <c r="X796" s="491" t="n"/>
      <c r="Y796" s="491" t="n"/>
    </row>
    <row r="797" ht="12.75" customHeight="1" s="398">
      <c r="A797" s="491" t="n"/>
      <c r="B797" s="491" t="n"/>
      <c r="C797" s="491" t="n"/>
      <c r="D797" s="491" t="n"/>
      <c r="E797" s="491" t="n"/>
      <c r="F797" s="491" t="n"/>
      <c r="G797" s="491" t="n"/>
      <c r="H797" s="491" t="n"/>
      <c r="I797" s="491" t="n"/>
      <c r="J797" s="491" t="n"/>
      <c r="K797" s="491" t="n"/>
      <c r="L797" s="491" t="n"/>
      <c r="M797" s="491" t="n"/>
      <c r="N797" s="491" t="n"/>
      <c r="O797" s="491" t="n"/>
      <c r="P797" s="491" t="n"/>
      <c r="Q797" s="491" t="n"/>
      <c r="R797" s="491" t="n"/>
      <c r="S797" s="491" t="n"/>
      <c r="T797" s="491" t="n"/>
      <c r="U797" s="491" t="n"/>
      <c r="V797" s="491" t="n"/>
      <c r="W797" s="491" t="n"/>
      <c r="X797" s="491" t="n"/>
      <c r="Y797" s="491" t="n"/>
    </row>
    <row r="798" ht="12.75" customHeight="1" s="398">
      <c r="A798" s="491" t="n"/>
      <c r="B798" s="491" t="n"/>
      <c r="C798" s="491" t="n"/>
      <c r="D798" s="491" t="n"/>
      <c r="E798" s="491" t="n"/>
      <c r="F798" s="491" t="n"/>
      <c r="G798" s="491" t="n"/>
      <c r="H798" s="491" t="n"/>
      <c r="I798" s="491" t="n"/>
      <c r="J798" s="491" t="n"/>
      <c r="K798" s="491" t="n"/>
      <c r="L798" s="491" t="n"/>
      <c r="M798" s="491" t="n"/>
      <c r="N798" s="491" t="n"/>
      <c r="O798" s="491" t="n"/>
      <c r="P798" s="491" t="n"/>
      <c r="Q798" s="491" t="n"/>
      <c r="R798" s="491" t="n"/>
      <c r="S798" s="491" t="n"/>
      <c r="T798" s="491" t="n"/>
      <c r="U798" s="491" t="n"/>
      <c r="V798" s="491" t="n"/>
      <c r="W798" s="491" t="n"/>
      <c r="X798" s="491" t="n"/>
      <c r="Y798" s="491" t="n"/>
    </row>
    <row r="799" ht="12.75" customHeight="1" s="398">
      <c r="A799" s="491" t="n"/>
      <c r="B799" s="491" t="n"/>
      <c r="C799" s="491" t="n"/>
      <c r="D799" s="491" t="n"/>
      <c r="E799" s="491" t="n"/>
      <c r="F799" s="491" t="n"/>
      <c r="G799" s="491" t="n"/>
      <c r="H799" s="491" t="n"/>
      <c r="I799" s="491" t="n"/>
      <c r="J799" s="491" t="n"/>
      <c r="K799" s="491" t="n"/>
      <c r="L799" s="491" t="n"/>
      <c r="M799" s="491" t="n"/>
      <c r="N799" s="491" t="n"/>
      <c r="O799" s="491" t="n"/>
      <c r="P799" s="491" t="n"/>
      <c r="Q799" s="491" t="n"/>
      <c r="R799" s="491" t="n"/>
      <c r="S799" s="491" t="n"/>
      <c r="T799" s="491" t="n"/>
      <c r="U799" s="491" t="n"/>
      <c r="V799" s="491" t="n"/>
      <c r="W799" s="491" t="n"/>
      <c r="X799" s="491" t="n"/>
      <c r="Y799" s="491" t="n"/>
    </row>
    <row r="800" ht="12.75" customHeight="1" s="398">
      <c r="A800" s="491" t="n"/>
      <c r="B800" s="491" t="n"/>
      <c r="C800" s="491" t="n"/>
      <c r="D800" s="491" t="n"/>
      <c r="E800" s="491" t="n"/>
      <c r="F800" s="491" t="n"/>
      <c r="G800" s="491" t="n"/>
      <c r="H800" s="491" t="n"/>
      <c r="I800" s="491" t="n"/>
      <c r="J800" s="491" t="n"/>
      <c r="K800" s="491" t="n"/>
      <c r="L800" s="491" t="n"/>
      <c r="M800" s="491" t="n"/>
      <c r="N800" s="491" t="n"/>
      <c r="O800" s="491" t="n"/>
      <c r="P800" s="491" t="n"/>
      <c r="Q800" s="491" t="n"/>
      <c r="R800" s="491" t="n"/>
      <c r="S800" s="491" t="n"/>
      <c r="T800" s="491" t="n"/>
      <c r="U800" s="491" t="n"/>
      <c r="V800" s="491" t="n"/>
      <c r="W800" s="491" t="n"/>
      <c r="X800" s="491" t="n"/>
      <c r="Y800" s="491" t="n"/>
    </row>
    <row r="801" ht="12.75" customHeight="1" s="398">
      <c r="A801" s="491" t="n"/>
      <c r="B801" s="491" t="n"/>
      <c r="C801" s="491" t="n"/>
      <c r="D801" s="491" t="n"/>
      <c r="E801" s="491" t="n"/>
      <c r="F801" s="491" t="n"/>
      <c r="G801" s="491" t="n"/>
      <c r="H801" s="491" t="n"/>
      <c r="I801" s="491" t="n"/>
      <c r="J801" s="491" t="n"/>
      <c r="K801" s="491" t="n"/>
      <c r="L801" s="491" t="n"/>
      <c r="M801" s="491" t="n"/>
      <c r="N801" s="491" t="n"/>
      <c r="O801" s="491" t="n"/>
      <c r="P801" s="491" t="n"/>
      <c r="Q801" s="491" t="n"/>
      <c r="R801" s="491" t="n"/>
      <c r="S801" s="491" t="n"/>
      <c r="T801" s="491" t="n"/>
      <c r="U801" s="491" t="n"/>
      <c r="V801" s="491" t="n"/>
      <c r="W801" s="491" t="n"/>
      <c r="X801" s="491" t="n"/>
      <c r="Y801" s="491" t="n"/>
    </row>
    <row r="802" ht="12.75" customHeight="1" s="398">
      <c r="A802" s="491" t="n"/>
      <c r="B802" s="491" t="n"/>
      <c r="C802" s="491" t="n"/>
      <c r="D802" s="491" t="n"/>
      <c r="E802" s="491" t="n"/>
      <c r="F802" s="491" t="n"/>
      <c r="G802" s="491" t="n"/>
      <c r="H802" s="491" t="n"/>
      <c r="I802" s="491" t="n"/>
      <c r="J802" s="491" t="n"/>
      <c r="K802" s="491" t="n"/>
      <c r="L802" s="491" t="n"/>
      <c r="M802" s="491" t="n"/>
      <c r="N802" s="491" t="n"/>
      <c r="O802" s="491" t="n"/>
      <c r="P802" s="491" t="n"/>
      <c r="Q802" s="491" t="n"/>
      <c r="R802" s="491" t="n"/>
      <c r="S802" s="491" t="n"/>
      <c r="T802" s="491" t="n"/>
      <c r="U802" s="491" t="n"/>
      <c r="V802" s="491" t="n"/>
      <c r="W802" s="491" t="n"/>
      <c r="X802" s="491" t="n"/>
      <c r="Y802" s="491" t="n"/>
    </row>
    <row r="803" ht="12.75" customHeight="1" s="398">
      <c r="A803" s="491" t="n"/>
      <c r="B803" s="491" t="n"/>
      <c r="C803" s="491" t="n"/>
      <c r="D803" s="491" t="n"/>
      <c r="E803" s="491" t="n"/>
      <c r="F803" s="491" t="n"/>
      <c r="G803" s="491" t="n"/>
      <c r="H803" s="491" t="n"/>
      <c r="I803" s="491" t="n"/>
      <c r="J803" s="491" t="n"/>
      <c r="K803" s="491" t="n"/>
      <c r="L803" s="491" t="n"/>
      <c r="M803" s="491" t="n"/>
      <c r="N803" s="491" t="n"/>
      <c r="O803" s="491" t="n"/>
      <c r="P803" s="491" t="n"/>
      <c r="Q803" s="491" t="n"/>
      <c r="R803" s="491" t="n"/>
      <c r="S803" s="491" t="n"/>
      <c r="T803" s="491" t="n"/>
      <c r="U803" s="491" t="n"/>
      <c r="V803" s="491" t="n"/>
      <c r="W803" s="491" t="n"/>
      <c r="X803" s="491" t="n"/>
      <c r="Y803" s="491" t="n"/>
    </row>
    <row r="804" ht="12.75" customHeight="1" s="398">
      <c r="A804" s="491" t="n"/>
      <c r="B804" s="491" t="n"/>
      <c r="C804" s="491" t="n"/>
      <c r="D804" s="491" t="n"/>
      <c r="E804" s="491" t="n"/>
      <c r="F804" s="491" t="n"/>
      <c r="G804" s="491" t="n"/>
      <c r="H804" s="491" t="n"/>
      <c r="I804" s="491" t="n"/>
      <c r="J804" s="491" t="n"/>
      <c r="K804" s="491" t="n"/>
      <c r="L804" s="491" t="n"/>
      <c r="M804" s="491" t="n"/>
      <c r="N804" s="491" t="n"/>
      <c r="O804" s="491" t="n"/>
      <c r="P804" s="491" t="n"/>
      <c r="Q804" s="491" t="n"/>
      <c r="R804" s="491" t="n"/>
      <c r="S804" s="491" t="n"/>
      <c r="T804" s="491" t="n"/>
      <c r="U804" s="491" t="n"/>
      <c r="V804" s="491" t="n"/>
      <c r="W804" s="491" t="n"/>
      <c r="X804" s="491" t="n"/>
      <c r="Y804" s="491" t="n"/>
    </row>
    <row r="805" ht="12.75" customHeight="1" s="398">
      <c r="A805" s="491" t="n"/>
      <c r="B805" s="491" t="n"/>
      <c r="C805" s="491" t="n"/>
      <c r="D805" s="491" t="n"/>
      <c r="E805" s="491" t="n"/>
      <c r="F805" s="491" t="n"/>
      <c r="G805" s="491" t="n"/>
      <c r="H805" s="491" t="n"/>
      <c r="I805" s="491" t="n"/>
      <c r="J805" s="491" t="n"/>
      <c r="K805" s="491" t="n"/>
      <c r="L805" s="491" t="n"/>
      <c r="M805" s="491" t="n"/>
      <c r="N805" s="491" t="n"/>
      <c r="O805" s="491" t="n"/>
      <c r="P805" s="491" t="n"/>
      <c r="Q805" s="491" t="n"/>
      <c r="R805" s="491" t="n"/>
      <c r="S805" s="491" t="n"/>
      <c r="T805" s="491" t="n"/>
      <c r="U805" s="491" t="n"/>
      <c r="V805" s="491" t="n"/>
      <c r="W805" s="491" t="n"/>
      <c r="X805" s="491" t="n"/>
      <c r="Y805" s="491" t="n"/>
    </row>
    <row r="806" ht="12.75" customHeight="1" s="398">
      <c r="A806" s="491" t="n"/>
      <c r="B806" s="491" t="n"/>
      <c r="C806" s="491" t="n"/>
      <c r="D806" s="491" t="n"/>
      <c r="E806" s="491" t="n"/>
      <c r="F806" s="491" t="n"/>
      <c r="G806" s="491" t="n"/>
      <c r="H806" s="491" t="n"/>
      <c r="I806" s="491" t="n"/>
      <c r="J806" s="491" t="n"/>
      <c r="K806" s="491" t="n"/>
      <c r="L806" s="491" t="n"/>
      <c r="M806" s="491" t="n"/>
      <c r="N806" s="491" t="n"/>
      <c r="O806" s="491" t="n"/>
      <c r="P806" s="491" t="n"/>
      <c r="Q806" s="491" t="n"/>
      <c r="R806" s="491" t="n"/>
      <c r="S806" s="491" t="n"/>
      <c r="T806" s="491" t="n"/>
      <c r="U806" s="491" t="n"/>
      <c r="V806" s="491" t="n"/>
      <c r="W806" s="491" t="n"/>
      <c r="X806" s="491" t="n"/>
      <c r="Y806" s="491" t="n"/>
    </row>
    <row r="807" ht="12.75" customHeight="1" s="398">
      <c r="A807" s="491" t="n"/>
      <c r="B807" s="491" t="n"/>
      <c r="C807" s="491" t="n"/>
      <c r="D807" s="491" t="n"/>
      <c r="E807" s="491" t="n"/>
      <c r="F807" s="491" t="n"/>
      <c r="G807" s="491" t="n"/>
      <c r="H807" s="491" t="n"/>
      <c r="I807" s="491" t="n"/>
      <c r="J807" s="491" t="n"/>
      <c r="K807" s="491" t="n"/>
      <c r="L807" s="491" t="n"/>
      <c r="M807" s="491" t="n"/>
      <c r="N807" s="491" t="n"/>
      <c r="O807" s="491" t="n"/>
      <c r="P807" s="491" t="n"/>
      <c r="Q807" s="491" t="n"/>
      <c r="R807" s="491" t="n"/>
      <c r="S807" s="491" t="n"/>
      <c r="T807" s="491" t="n"/>
      <c r="U807" s="491" t="n"/>
      <c r="V807" s="491" t="n"/>
      <c r="W807" s="491" t="n"/>
      <c r="X807" s="491" t="n"/>
      <c r="Y807" s="491" t="n"/>
    </row>
    <row r="808" ht="12.75" customHeight="1" s="398">
      <c r="A808" s="491" t="n"/>
      <c r="B808" s="491" t="n"/>
      <c r="C808" s="491" t="n"/>
      <c r="D808" s="491" t="n"/>
      <c r="E808" s="491" t="n"/>
      <c r="F808" s="491" t="n"/>
      <c r="G808" s="491" t="n"/>
      <c r="H808" s="491" t="n"/>
      <c r="I808" s="491" t="n"/>
      <c r="J808" s="491" t="n"/>
      <c r="K808" s="491" t="n"/>
      <c r="L808" s="491" t="n"/>
      <c r="M808" s="491" t="n"/>
      <c r="N808" s="491" t="n"/>
      <c r="O808" s="491" t="n"/>
      <c r="P808" s="491" t="n"/>
      <c r="Q808" s="491" t="n"/>
      <c r="R808" s="491" t="n"/>
      <c r="S808" s="491" t="n"/>
      <c r="T808" s="491" t="n"/>
      <c r="U808" s="491" t="n"/>
      <c r="V808" s="491" t="n"/>
      <c r="W808" s="491" t="n"/>
      <c r="X808" s="491" t="n"/>
      <c r="Y808" s="491" t="n"/>
    </row>
    <row r="809" ht="12.75" customHeight="1" s="398">
      <c r="A809" s="491" t="n"/>
      <c r="B809" s="491" t="n"/>
      <c r="C809" s="491" t="n"/>
      <c r="D809" s="491" t="n"/>
      <c r="E809" s="491" t="n"/>
      <c r="F809" s="491" t="n"/>
      <c r="G809" s="491" t="n"/>
      <c r="H809" s="491" t="n"/>
      <c r="I809" s="491" t="n"/>
      <c r="J809" s="491" t="n"/>
      <c r="K809" s="491" t="n"/>
      <c r="L809" s="491" t="n"/>
      <c r="M809" s="491" t="n"/>
      <c r="N809" s="491" t="n"/>
      <c r="O809" s="491" t="n"/>
      <c r="P809" s="491" t="n"/>
      <c r="Q809" s="491" t="n"/>
      <c r="R809" s="491" t="n"/>
      <c r="S809" s="491" t="n"/>
      <c r="T809" s="491" t="n"/>
      <c r="U809" s="491" t="n"/>
      <c r="V809" s="491" t="n"/>
      <c r="W809" s="491" t="n"/>
      <c r="X809" s="491" t="n"/>
      <c r="Y809" s="491" t="n"/>
    </row>
    <row r="810" ht="12.75" customHeight="1" s="398">
      <c r="A810" s="491" t="n"/>
      <c r="B810" s="491" t="n"/>
      <c r="C810" s="491" t="n"/>
      <c r="D810" s="491" t="n"/>
      <c r="E810" s="491" t="n"/>
      <c r="F810" s="491" t="n"/>
      <c r="G810" s="491" t="n"/>
      <c r="H810" s="491" t="n"/>
      <c r="I810" s="491" t="n"/>
      <c r="J810" s="491" t="n"/>
      <c r="K810" s="491" t="n"/>
      <c r="L810" s="491" t="n"/>
      <c r="M810" s="491" t="n"/>
      <c r="N810" s="491" t="n"/>
      <c r="O810" s="491" t="n"/>
      <c r="P810" s="491" t="n"/>
      <c r="Q810" s="491" t="n"/>
      <c r="R810" s="491" t="n"/>
      <c r="S810" s="491" t="n"/>
      <c r="T810" s="491" t="n"/>
      <c r="U810" s="491" t="n"/>
      <c r="V810" s="491" t="n"/>
      <c r="W810" s="491" t="n"/>
      <c r="X810" s="491" t="n"/>
      <c r="Y810" s="491" t="n"/>
    </row>
    <row r="811" ht="12.75" customHeight="1" s="398">
      <c r="A811" s="491" t="n"/>
      <c r="B811" s="491" t="n"/>
      <c r="C811" s="491" t="n"/>
      <c r="D811" s="491" t="n"/>
      <c r="E811" s="491" t="n"/>
      <c r="F811" s="491" t="n"/>
      <c r="G811" s="491" t="n"/>
      <c r="H811" s="491" t="n"/>
      <c r="I811" s="491" t="n"/>
      <c r="J811" s="491" t="n"/>
      <c r="K811" s="491" t="n"/>
      <c r="L811" s="491" t="n"/>
      <c r="M811" s="491" t="n"/>
      <c r="N811" s="491" t="n"/>
      <c r="O811" s="491" t="n"/>
      <c r="P811" s="491" t="n"/>
      <c r="Q811" s="491" t="n"/>
      <c r="R811" s="491" t="n"/>
      <c r="S811" s="491" t="n"/>
      <c r="T811" s="491" t="n"/>
      <c r="U811" s="491" t="n"/>
      <c r="V811" s="491" t="n"/>
      <c r="W811" s="491" t="n"/>
      <c r="X811" s="491" t="n"/>
      <c r="Y811" s="491" t="n"/>
    </row>
    <row r="812" ht="12.75" customHeight="1" s="398">
      <c r="A812" s="491" t="n"/>
      <c r="B812" s="491" t="n"/>
      <c r="C812" s="491" t="n"/>
      <c r="D812" s="491" t="n"/>
      <c r="E812" s="491" t="n"/>
      <c r="F812" s="491" t="n"/>
      <c r="G812" s="491" t="n"/>
      <c r="H812" s="491" t="n"/>
      <c r="I812" s="491" t="n"/>
      <c r="J812" s="491" t="n"/>
      <c r="K812" s="491" t="n"/>
      <c r="L812" s="491" t="n"/>
      <c r="M812" s="491" t="n"/>
      <c r="N812" s="491" t="n"/>
      <c r="O812" s="491" t="n"/>
      <c r="P812" s="491" t="n"/>
      <c r="Q812" s="491" t="n"/>
      <c r="R812" s="491" t="n"/>
      <c r="S812" s="491" t="n"/>
      <c r="T812" s="491" t="n"/>
      <c r="U812" s="491" t="n"/>
      <c r="V812" s="491" t="n"/>
      <c r="W812" s="491" t="n"/>
      <c r="X812" s="491" t="n"/>
      <c r="Y812" s="491" t="n"/>
    </row>
    <row r="813" ht="12.75" customHeight="1" s="398">
      <c r="A813" s="491" t="n"/>
      <c r="B813" s="491" t="n"/>
      <c r="C813" s="491" t="n"/>
      <c r="D813" s="491" t="n"/>
      <c r="E813" s="491" t="n"/>
      <c r="F813" s="491" t="n"/>
      <c r="G813" s="491" t="n"/>
      <c r="H813" s="491" t="n"/>
      <c r="I813" s="491" t="n"/>
      <c r="J813" s="491" t="n"/>
      <c r="K813" s="491" t="n"/>
      <c r="L813" s="491" t="n"/>
      <c r="M813" s="491" t="n"/>
      <c r="N813" s="491" t="n"/>
      <c r="O813" s="491" t="n"/>
      <c r="P813" s="491" t="n"/>
      <c r="Q813" s="491" t="n"/>
      <c r="R813" s="491" t="n"/>
      <c r="S813" s="491" t="n"/>
      <c r="T813" s="491" t="n"/>
      <c r="U813" s="491" t="n"/>
      <c r="V813" s="491" t="n"/>
      <c r="W813" s="491" t="n"/>
      <c r="X813" s="491" t="n"/>
      <c r="Y813" s="491" t="n"/>
    </row>
    <row r="814" ht="12.75" customHeight="1" s="398">
      <c r="A814" s="491" t="n"/>
      <c r="B814" s="491" t="n"/>
      <c r="C814" s="491" t="n"/>
      <c r="D814" s="491" t="n"/>
      <c r="E814" s="491" t="n"/>
      <c r="F814" s="491" t="n"/>
      <c r="G814" s="491" t="n"/>
      <c r="H814" s="491" t="n"/>
      <c r="I814" s="491" t="n"/>
      <c r="J814" s="491" t="n"/>
      <c r="K814" s="491" t="n"/>
      <c r="L814" s="491" t="n"/>
      <c r="M814" s="491" t="n"/>
      <c r="N814" s="491" t="n"/>
      <c r="O814" s="491" t="n"/>
      <c r="P814" s="491" t="n"/>
      <c r="Q814" s="491" t="n"/>
      <c r="R814" s="491" t="n"/>
      <c r="S814" s="491" t="n"/>
      <c r="T814" s="491" t="n"/>
      <c r="U814" s="491" t="n"/>
      <c r="V814" s="491" t="n"/>
      <c r="W814" s="491" t="n"/>
      <c r="X814" s="491" t="n"/>
      <c r="Y814" s="491" t="n"/>
    </row>
    <row r="815" ht="12.75" customHeight="1" s="398">
      <c r="A815" s="491" t="n"/>
      <c r="B815" s="491" t="n"/>
      <c r="C815" s="491" t="n"/>
      <c r="D815" s="491" t="n"/>
      <c r="E815" s="491" t="n"/>
      <c r="F815" s="491" t="n"/>
      <c r="G815" s="491" t="n"/>
      <c r="H815" s="491" t="n"/>
      <c r="I815" s="491" t="n"/>
      <c r="J815" s="491" t="n"/>
      <c r="K815" s="491" t="n"/>
      <c r="L815" s="491" t="n"/>
      <c r="M815" s="491" t="n"/>
      <c r="N815" s="491" t="n"/>
      <c r="O815" s="491" t="n"/>
      <c r="P815" s="491" t="n"/>
      <c r="Q815" s="491" t="n"/>
      <c r="R815" s="491" t="n"/>
      <c r="S815" s="491" t="n"/>
      <c r="T815" s="491" t="n"/>
      <c r="U815" s="491" t="n"/>
      <c r="V815" s="491" t="n"/>
      <c r="W815" s="491" t="n"/>
      <c r="X815" s="491" t="n"/>
      <c r="Y815" s="491" t="n"/>
    </row>
    <row r="816" ht="12.75" customHeight="1" s="398">
      <c r="A816" s="491" t="n"/>
      <c r="B816" s="491" t="n"/>
      <c r="C816" s="491" t="n"/>
      <c r="D816" s="491" t="n"/>
      <c r="E816" s="491" t="n"/>
      <c r="F816" s="491" t="n"/>
      <c r="G816" s="491" t="n"/>
      <c r="H816" s="491" t="n"/>
      <c r="I816" s="491" t="n"/>
      <c r="J816" s="491" t="n"/>
      <c r="K816" s="491" t="n"/>
      <c r="L816" s="491" t="n"/>
      <c r="M816" s="491" t="n"/>
      <c r="N816" s="491" t="n"/>
      <c r="O816" s="491" t="n"/>
      <c r="P816" s="491" t="n"/>
      <c r="Q816" s="491" t="n"/>
      <c r="R816" s="491" t="n"/>
      <c r="S816" s="491" t="n"/>
      <c r="T816" s="491" t="n"/>
      <c r="U816" s="491" t="n"/>
      <c r="V816" s="491" t="n"/>
      <c r="W816" s="491" t="n"/>
      <c r="X816" s="491" t="n"/>
      <c r="Y816" s="491" t="n"/>
    </row>
    <row r="817" ht="12.75" customHeight="1" s="398">
      <c r="A817" s="491" t="n"/>
      <c r="B817" s="491" t="n"/>
      <c r="C817" s="491" t="n"/>
      <c r="D817" s="491" t="n"/>
      <c r="E817" s="491" t="n"/>
      <c r="F817" s="491" t="n"/>
      <c r="G817" s="491" t="n"/>
      <c r="H817" s="491" t="n"/>
      <c r="I817" s="491" t="n"/>
      <c r="J817" s="491" t="n"/>
      <c r="K817" s="491" t="n"/>
      <c r="L817" s="491" t="n"/>
      <c r="M817" s="491" t="n"/>
      <c r="N817" s="491" t="n"/>
      <c r="O817" s="491" t="n"/>
      <c r="P817" s="491" t="n"/>
      <c r="Q817" s="491" t="n"/>
      <c r="R817" s="491" t="n"/>
      <c r="S817" s="491" t="n"/>
      <c r="T817" s="491" t="n"/>
      <c r="U817" s="491" t="n"/>
      <c r="V817" s="491" t="n"/>
      <c r="W817" s="491" t="n"/>
      <c r="X817" s="491" t="n"/>
      <c r="Y817" s="491" t="n"/>
    </row>
    <row r="818" ht="12.75" customHeight="1" s="398">
      <c r="A818" s="491" t="n"/>
      <c r="B818" s="491" t="n"/>
      <c r="C818" s="491" t="n"/>
      <c r="D818" s="491" t="n"/>
      <c r="E818" s="491" t="n"/>
      <c r="F818" s="491" t="n"/>
      <c r="G818" s="491" t="n"/>
      <c r="H818" s="491" t="n"/>
      <c r="I818" s="491" t="n"/>
      <c r="J818" s="491" t="n"/>
      <c r="K818" s="491" t="n"/>
      <c r="L818" s="491" t="n"/>
      <c r="M818" s="491" t="n"/>
      <c r="N818" s="491" t="n"/>
      <c r="O818" s="491" t="n"/>
      <c r="P818" s="491" t="n"/>
      <c r="Q818" s="491" t="n"/>
      <c r="R818" s="491" t="n"/>
      <c r="S818" s="491" t="n"/>
      <c r="T818" s="491" t="n"/>
      <c r="U818" s="491" t="n"/>
      <c r="V818" s="491" t="n"/>
      <c r="W818" s="491" t="n"/>
      <c r="X818" s="491" t="n"/>
      <c r="Y818" s="491" t="n"/>
    </row>
    <row r="819" ht="12.75" customHeight="1" s="398">
      <c r="A819" s="491" t="n"/>
      <c r="B819" s="491" t="n"/>
      <c r="C819" s="491" t="n"/>
      <c r="D819" s="491" t="n"/>
      <c r="E819" s="491" t="n"/>
      <c r="F819" s="491" t="n"/>
      <c r="G819" s="491" t="n"/>
      <c r="H819" s="491" t="n"/>
      <c r="I819" s="491" t="n"/>
      <c r="J819" s="491" t="n"/>
      <c r="K819" s="491" t="n"/>
      <c r="L819" s="491" t="n"/>
      <c r="M819" s="491" t="n"/>
      <c r="N819" s="491" t="n"/>
      <c r="O819" s="491" t="n"/>
      <c r="P819" s="491" t="n"/>
      <c r="Q819" s="491" t="n"/>
      <c r="R819" s="491" t="n"/>
      <c r="S819" s="491" t="n"/>
      <c r="T819" s="491" t="n"/>
      <c r="U819" s="491" t="n"/>
      <c r="V819" s="491" t="n"/>
      <c r="W819" s="491" t="n"/>
      <c r="X819" s="491" t="n"/>
      <c r="Y819" s="491" t="n"/>
    </row>
    <row r="820" ht="12.75" customHeight="1" s="398">
      <c r="A820" s="491" t="n"/>
      <c r="B820" s="491" t="n"/>
      <c r="C820" s="491" t="n"/>
      <c r="D820" s="491" t="n"/>
      <c r="E820" s="491" t="n"/>
      <c r="F820" s="491" t="n"/>
      <c r="G820" s="491" t="n"/>
      <c r="H820" s="491" t="n"/>
      <c r="I820" s="491" t="n"/>
      <c r="J820" s="491" t="n"/>
      <c r="K820" s="491" t="n"/>
      <c r="L820" s="491" t="n"/>
      <c r="M820" s="491" t="n"/>
      <c r="N820" s="491" t="n"/>
      <c r="O820" s="491" t="n"/>
      <c r="P820" s="491" t="n"/>
      <c r="Q820" s="491" t="n"/>
      <c r="R820" s="491" t="n"/>
      <c r="S820" s="491" t="n"/>
      <c r="T820" s="491" t="n"/>
      <c r="U820" s="491" t="n"/>
      <c r="V820" s="491" t="n"/>
      <c r="W820" s="491" t="n"/>
      <c r="X820" s="491" t="n"/>
      <c r="Y820" s="491" t="n"/>
    </row>
    <row r="821" ht="12.75" customHeight="1" s="398">
      <c r="A821" s="491" t="n"/>
      <c r="B821" s="491" t="n"/>
      <c r="C821" s="491" t="n"/>
      <c r="D821" s="491" t="n"/>
      <c r="E821" s="491" t="n"/>
      <c r="F821" s="491" t="n"/>
      <c r="G821" s="491" t="n"/>
      <c r="H821" s="491" t="n"/>
      <c r="I821" s="491" t="n"/>
      <c r="J821" s="491" t="n"/>
      <c r="K821" s="491" t="n"/>
      <c r="L821" s="491" t="n"/>
      <c r="M821" s="491" t="n"/>
      <c r="N821" s="491" t="n"/>
      <c r="O821" s="491" t="n"/>
      <c r="P821" s="491" t="n"/>
      <c r="Q821" s="491" t="n"/>
      <c r="R821" s="491" t="n"/>
      <c r="S821" s="491" t="n"/>
      <c r="T821" s="491" t="n"/>
      <c r="U821" s="491" t="n"/>
      <c r="V821" s="491" t="n"/>
      <c r="W821" s="491" t="n"/>
      <c r="X821" s="491" t="n"/>
      <c r="Y821" s="491" t="n"/>
    </row>
    <row r="822" ht="12.75" customHeight="1" s="398">
      <c r="A822" s="491" t="n"/>
      <c r="B822" s="491" t="n"/>
      <c r="C822" s="491" t="n"/>
      <c r="D822" s="491" t="n"/>
      <c r="E822" s="491" t="n"/>
      <c r="F822" s="491" t="n"/>
      <c r="G822" s="491" t="n"/>
      <c r="H822" s="491" t="n"/>
      <c r="I822" s="491" t="n"/>
      <c r="J822" s="491" t="n"/>
      <c r="K822" s="491" t="n"/>
      <c r="L822" s="491" t="n"/>
      <c r="M822" s="491" t="n"/>
      <c r="N822" s="491" t="n"/>
      <c r="O822" s="491" t="n"/>
      <c r="P822" s="491" t="n"/>
      <c r="Q822" s="491" t="n"/>
      <c r="R822" s="491" t="n"/>
      <c r="S822" s="491" t="n"/>
      <c r="T822" s="491" t="n"/>
      <c r="U822" s="491" t="n"/>
      <c r="V822" s="491" t="n"/>
      <c r="W822" s="491" t="n"/>
      <c r="X822" s="491" t="n"/>
      <c r="Y822" s="491" t="n"/>
    </row>
    <row r="823" ht="12.75" customHeight="1" s="398">
      <c r="A823" s="491" t="n"/>
      <c r="B823" s="491" t="n"/>
      <c r="C823" s="491" t="n"/>
      <c r="D823" s="491" t="n"/>
      <c r="E823" s="491" t="n"/>
      <c r="F823" s="491" t="n"/>
      <c r="G823" s="491" t="n"/>
      <c r="H823" s="491" t="n"/>
      <c r="I823" s="491" t="n"/>
      <c r="J823" s="491" t="n"/>
      <c r="K823" s="491" t="n"/>
      <c r="L823" s="491" t="n"/>
      <c r="M823" s="491" t="n"/>
      <c r="N823" s="491" t="n"/>
      <c r="O823" s="491" t="n"/>
      <c r="P823" s="491" t="n"/>
      <c r="Q823" s="491" t="n"/>
      <c r="R823" s="491" t="n"/>
      <c r="S823" s="491" t="n"/>
      <c r="T823" s="491" t="n"/>
      <c r="U823" s="491" t="n"/>
      <c r="V823" s="491" t="n"/>
      <c r="W823" s="491" t="n"/>
      <c r="X823" s="491" t="n"/>
      <c r="Y823" s="491" t="n"/>
    </row>
    <row r="824" ht="12.75" customHeight="1" s="398">
      <c r="A824" s="491" t="n"/>
      <c r="B824" s="491" t="n"/>
      <c r="C824" s="491" t="n"/>
      <c r="D824" s="491" t="n"/>
      <c r="E824" s="491" t="n"/>
      <c r="F824" s="491" t="n"/>
      <c r="G824" s="491" t="n"/>
      <c r="H824" s="491" t="n"/>
      <c r="I824" s="491" t="n"/>
      <c r="J824" s="491" t="n"/>
      <c r="K824" s="491" t="n"/>
      <c r="L824" s="491" t="n"/>
      <c r="M824" s="491" t="n"/>
      <c r="N824" s="491" t="n"/>
      <c r="O824" s="491" t="n"/>
      <c r="P824" s="491" t="n"/>
      <c r="Q824" s="491" t="n"/>
      <c r="R824" s="491" t="n"/>
      <c r="S824" s="491" t="n"/>
      <c r="T824" s="491" t="n"/>
      <c r="U824" s="491" t="n"/>
      <c r="V824" s="491" t="n"/>
      <c r="W824" s="491" t="n"/>
      <c r="X824" s="491" t="n"/>
      <c r="Y824" s="491" t="n"/>
    </row>
    <row r="825" ht="12.75" customHeight="1" s="398">
      <c r="A825" s="491" t="n"/>
      <c r="B825" s="491" t="n"/>
      <c r="C825" s="491" t="n"/>
      <c r="D825" s="491" t="n"/>
      <c r="E825" s="491" t="n"/>
      <c r="F825" s="491" t="n"/>
      <c r="G825" s="491" t="n"/>
      <c r="H825" s="491" t="n"/>
      <c r="I825" s="491" t="n"/>
      <c r="J825" s="491" t="n"/>
      <c r="K825" s="491" t="n"/>
      <c r="L825" s="491" t="n"/>
      <c r="M825" s="491" t="n"/>
      <c r="N825" s="491" t="n"/>
      <c r="O825" s="491" t="n"/>
      <c r="P825" s="491" t="n"/>
      <c r="Q825" s="491" t="n"/>
      <c r="R825" s="491" t="n"/>
      <c r="S825" s="491" t="n"/>
      <c r="T825" s="491" t="n"/>
      <c r="U825" s="491" t="n"/>
      <c r="V825" s="491" t="n"/>
      <c r="W825" s="491" t="n"/>
      <c r="X825" s="491" t="n"/>
      <c r="Y825" s="491" t="n"/>
    </row>
    <row r="826" ht="12.75" customHeight="1" s="398">
      <c r="A826" s="491" t="n"/>
      <c r="B826" s="491" t="n"/>
      <c r="C826" s="491" t="n"/>
      <c r="D826" s="491" t="n"/>
      <c r="E826" s="491" t="n"/>
      <c r="F826" s="491" t="n"/>
      <c r="G826" s="491" t="n"/>
      <c r="H826" s="491" t="n"/>
      <c r="I826" s="491" t="n"/>
      <c r="J826" s="491" t="n"/>
      <c r="K826" s="491" t="n"/>
      <c r="L826" s="491" t="n"/>
      <c r="M826" s="491" t="n"/>
      <c r="N826" s="491" t="n"/>
      <c r="O826" s="491" t="n"/>
      <c r="P826" s="491" t="n"/>
      <c r="Q826" s="491" t="n"/>
      <c r="R826" s="491" t="n"/>
      <c r="S826" s="491" t="n"/>
      <c r="T826" s="491" t="n"/>
      <c r="U826" s="491" t="n"/>
      <c r="V826" s="491" t="n"/>
      <c r="W826" s="491" t="n"/>
      <c r="X826" s="491" t="n"/>
      <c r="Y826" s="491" t="n"/>
    </row>
    <row r="827" ht="12.75" customHeight="1" s="398">
      <c r="A827" s="491" t="n"/>
      <c r="B827" s="491" t="n"/>
      <c r="C827" s="491" t="n"/>
      <c r="D827" s="491" t="n"/>
      <c r="E827" s="491" t="n"/>
      <c r="F827" s="491" t="n"/>
      <c r="G827" s="491" t="n"/>
      <c r="H827" s="491" t="n"/>
      <c r="I827" s="491" t="n"/>
      <c r="J827" s="491" t="n"/>
      <c r="K827" s="491" t="n"/>
      <c r="L827" s="491" t="n"/>
      <c r="M827" s="491" t="n"/>
      <c r="N827" s="491" t="n"/>
      <c r="O827" s="491" t="n"/>
      <c r="P827" s="491" t="n"/>
      <c r="Q827" s="491" t="n"/>
      <c r="R827" s="491" t="n"/>
      <c r="S827" s="491" t="n"/>
      <c r="T827" s="491" t="n"/>
      <c r="U827" s="491" t="n"/>
      <c r="V827" s="491" t="n"/>
      <c r="W827" s="491" t="n"/>
      <c r="X827" s="491" t="n"/>
      <c r="Y827" s="491" t="n"/>
    </row>
    <row r="828" ht="12.75" customHeight="1" s="398">
      <c r="A828" s="491" t="n"/>
      <c r="B828" s="491" t="n"/>
      <c r="C828" s="491" t="n"/>
      <c r="D828" s="491" t="n"/>
      <c r="E828" s="491" t="n"/>
      <c r="F828" s="491" t="n"/>
      <c r="G828" s="491" t="n"/>
      <c r="H828" s="491" t="n"/>
      <c r="I828" s="491" t="n"/>
      <c r="J828" s="491" t="n"/>
      <c r="K828" s="491" t="n"/>
      <c r="L828" s="491" t="n"/>
      <c r="M828" s="491" t="n"/>
      <c r="N828" s="491" t="n"/>
      <c r="O828" s="491" t="n"/>
      <c r="P828" s="491" t="n"/>
      <c r="Q828" s="491" t="n"/>
      <c r="R828" s="491" t="n"/>
      <c r="S828" s="491" t="n"/>
      <c r="T828" s="491" t="n"/>
      <c r="U828" s="491" t="n"/>
      <c r="V828" s="491" t="n"/>
      <c r="W828" s="491" t="n"/>
      <c r="X828" s="491" t="n"/>
      <c r="Y828" s="491" t="n"/>
    </row>
    <row r="829" ht="12.75" customHeight="1" s="398">
      <c r="A829" s="491" t="n"/>
      <c r="B829" s="491" t="n"/>
      <c r="C829" s="491" t="n"/>
      <c r="D829" s="491" t="n"/>
      <c r="E829" s="491" t="n"/>
      <c r="F829" s="491" t="n"/>
      <c r="G829" s="491" t="n"/>
      <c r="H829" s="491" t="n"/>
      <c r="I829" s="491" t="n"/>
      <c r="J829" s="491" t="n"/>
      <c r="K829" s="491" t="n"/>
      <c r="L829" s="491" t="n"/>
      <c r="M829" s="491" t="n"/>
      <c r="N829" s="491" t="n"/>
      <c r="O829" s="491" t="n"/>
      <c r="P829" s="491" t="n"/>
      <c r="Q829" s="491" t="n"/>
      <c r="R829" s="491" t="n"/>
      <c r="S829" s="491" t="n"/>
      <c r="T829" s="491" t="n"/>
      <c r="U829" s="491" t="n"/>
      <c r="V829" s="491" t="n"/>
      <c r="W829" s="491" t="n"/>
      <c r="X829" s="491" t="n"/>
      <c r="Y829" s="491" t="n"/>
    </row>
    <row r="830" ht="12.75" customHeight="1" s="398">
      <c r="A830" s="491" t="n"/>
      <c r="B830" s="491" t="n"/>
      <c r="C830" s="491" t="n"/>
      <c r="D830" s="491" t="n"/>
      <c r="E830" s="491" t="n"/>
      <c r="F830" s="491" t="n"/>
      <c r="G830" s="491" t="n"/>
      <c r="H830" s="491" t="n"/>
      <c r="I830" s="491" t="n"/>
      <c r="J830" s="491" t="n"/>
      <c r="K830" s="491" t="n"/>
      <c r="L830" s="491" t="n"/>
      <c r="M830" s="491" t="n"/>
      <c r="N830" s="491" t="n"/>
      <c r="O830" s="491" t="n"/>
      <c r="P830" s="491" t="n"/>
      <c r="Q830" s="491" t="n"/>
      <c r="R830" s="491" t="n"/>
      <c r="S830" s="491" t="n"/>
      <c r="T830" s="491" t="n"/>
      <c r="U830" s="491" t="n"/>
      <c r="V830" s="491" t="n"/>
      <c r="W830" s="491" t="n"/>
      <c r="X830" s="491" t="n"/>
      <c r="Y830" s="491" t="n"/>
    </row>
    <row r="831" ht="12.75" customHeight="1" s="398">
      <c r="A831" s="491" t="n"/>
      <c r="B831" s="491" t="n"/>
      <c r="C831" s="491" t="n"/>
      <c r="D831" s="491" t="n"/>
      <c r="E831" s="491" t="n"/>
      <c r="F831" s="491" t="n"/>
      <c r="G831" s="491" t="n"/>
      <c r="H831" s="491" t="n"/>
      <c r="I831" s="491" t="n"/>
      <c r="J831" s="491" t="n"/>
      <c r="K831" s="491" t="n"/>
      <c r="L831" s="491" t="n"/>
      <c r="M831" s="491" t="n"/>
      <c r="N831" s="491" t="n"/>
      <c r="O831" s="491" t="n"/>
      <c r="P831" s="491" t="n"/>
      <c r="Q831" s="491" t="n"/>
      <c r="R831" s="491" t="n"/>
      <c r="S831" s="491" t="n"/>
      <c r="T831" s="491" t="n"/>
      <c r="U831" s="491" t="n"/>
      <c r="V831" s="491" t="n"/>
      <c r="W831" s="491" t="n"/>
      <c r="X831" s="491" t="n"/>
      <c r="Y831" s="491" t="n"/>
    </row>
    <row r="832" ht="12.75" customHeight="1" s="398">
      <c r="A832" s="491" t="n"/>
      <c r="B832" s="491" t="n"/>
      <c r="C832" s="491" t="n"/>
      <c r="D832" s="491" t="n"/>
      <c r="E832" s="491" t="n"/>
      <c r="F832" s="491" t="n"/>
      <c r="G832" s="491" t="n"/>
      <c r="H832" s="491" t="n"/>
      <c r="I832" s="491" t="n"/>
      <c r="J832" s="491" t="n"/>
      <c r="K832" s="491" t="n"/>
      <c r="L832" s="491" t="n"/>
      <c r="M832" s="491" t="n"/>
      <c r="N832" s="491" t="n"/>
      <c r="O832" s="491" t="n"/>
      <c r="P832" s="491" t="n"/>
      <c r="Q832" s="491" t="n"/>
      <c r="R832" s="491" t="n"/>
      <c r="S832" s="491" t="n"/>
      <c r="T832" s="491" t="n"/>
      <c r="U832" s="491" t="n"/>
      <c r="V832" s="491" t="n"/>
      <c r="W832" s="491" t="n"/>
      <c r="X832" s="491" t="n"/>
      <c r="Y832" s="491" t="n"/>
    </row>
    <row r="833" ht="12.75" customHeight="1" s="398">
      <c r="A833" s="491" t="n"/>
      <c r="B833" s="491" t="n"/>
      <c r="C833" s="491" t="n"/>
      <c r="D833" s="491" t="n"/>
      <c r="E833" s="491" t="n"/>
      <c r="F833" s="491" t="n"/>
      <c r="G833" s="491" t="n"/>
      <c r="H833" s="491" t="n"/>
      <c r="I833" s="491" t="n"/>
      <c r="J833" s="491" t="n"/>
      <c r="K833" s="491" t="n"/>
      <c r="L833" s="491" t="n"/>
      <c r="M833" s="491" t="n"/>
      <c r="N833" s="491" t="n"/>
      <c r="O833" s="491" t="n"/>
      <c r="P833" s="491" t="n"/>
      <c r="Q833" s="491" t="n"/>
      <c r="R833" s="491" t="n"/>
      <c r="S833" s="491" t="n"/>
      <c r="T833" s="491" t="n"/>
      <c r="U833" s="491" t="n"/>
      <c r="V833" s="491" t="n"/>
      <c r="W833" s="491" t="n"/>
      <c r="X833" s="491" t="n"/>
      <c r="Y833" s="491" t="n"/>
    </row>
    <row r="834" ht="12.75" customHeight="1" s="398">
      <c r="A834" s="491" t="n"/>
      <c r="B834" s="491" t="n"/>
      <c r="C834" s="491" t="n"/>
      <c r="D834" s="491" t="n"/>
      <c r="E834" s="491" t="n"/>
      <c r="F834" s="491" t="n"/>
      <c r="G834" s="491" t="n"/>
      <c r="H834" s="491" t="n"/>
      <c r="I834" s="491" t="n"/>
      <c r="J834" s="491" t="n"/>
      <c r="K834" s="491" t="n"/>
      <c r="L834" s="491" t="n"/>
      <c r="M834" s="491" t="n"/>
      <c r="N834" s="491" t="n"/>
      <c r="O834" s="491" t="n"/>
      <c r="P834" s="491" t="n"/>
      <c r="Q834" s="491" t="n"/>
      <c r="R834" s="491" t="n"/>
      <c r="S834" s="491" t="n"/>
      <c r="T834" s="491" t="n"/>
      <c r="U834" s="491" t="n"/>
      <c r="V834" s="491" t="n"/>
      <c r="W834" s="491" t="n"/>
      <c r="X834" s="491" t="n"/>
      <c r="Y834" s="491" t="n"/>
    </row>
    <row r="835" ht="12.75" customHeight="1" s="398">
      <c r="A835" s="491" t="n"/>
      <c r="B835" s="491" t="n"/>
      <c r="C835" s="491" t="n"/>
      <c r="D835" s="491" t="n"/>
      <c r="E835" s="491" t="n"/>
      <c r="F835" s="491" t="n"/>
      <c r="G835" s="491" t="n"/>
      <c r="H835" s="491" t="n"/>
      <c r="I835" s="491" t="n"/>
      <c r="J835" s="491" t="n"/>
      <c r="K835" s="491" t="n"/>
      <c r="L835" s="491" t="n"/>
      <c r="M835" s="491" t="n"/>
      <c r="N835" s="491" t="n"/>
      <c r="O835" s="491" t="n"/>
      <c r="P835" s="491" t="n"/>
      <c r="Q835" s="491" t="n"/>
      <c r="R835" s="491" t="n"/>
      <c r="S835" s="491" t="n"/>
      <c r="T835" s="491" t="n"/>
      <c r="U835" s="491" t="n"/>
      <c r="V835" s="491" t="n"/>
      <c r="W835" s="491" t="n"/>
      <c r="X835" s="491" t="n"/>
      <c r="Y835" s="491" t="n"/>
    </row>
    <row r="836" ht="12.75" customHeight="1" s="398">
      <c r="A836" s="491" t="n"/>
      <c r="B836" s="491" t="n"/>
      <c r="C836" s="491" t="n"/>
      <c r="D836" s="491" t="n"/>
      <c r="E836" s="491" t="n"/>
      <c r="F836" s="491" t="n"/>
      <c r="G836" s="491" t="n"/>
      <c r="H836" s="491" t="n"/>
      <c r="I836" s="491" t="n"/>
      <c r="J836" s="491" t="n"/>
      <c r="K836" s="491" t="n"/>
      <c r="L836" s="491" t="n"/>
      <c r="M836" s="491" t="n"/>
      <c r="N836" s="491" t="n"/>
      <c r="O836" s="491" t="n"/>
      <c r="P836" s="491" t="n"/>
      <c r="Q836" s="491" t="n"/>
      <c r="R836" s="491" t="n"/>
      <c r="S836" s="491" t="n"/>
      <c r="T836" s="491" t="n"/>
      <c r="U836" s="491" t="n"/>
      <c r="V836" s="491" t="n"/>
      <c r="W836" s="491" t="n"/>
      <c r="X836" s="491" t="n"/>
      <c r="Y836" s="491" t="n"/>
    </row>
    <row r="837" ht="12.75" customHeight="1" s="398">
      <c r="A837" s="491" t="n"/>
      <c r="B837" s="491" t="n"/>
      <c r="C837" s="491" t="n"/>
      <c r="D837" s="491" t="n"/>
      <c r="E837" s="491" t="n"/>
      <c r="F837" s="491" t="n"/>
      <c r="G837" s="491" t="n"/>
      <c r="H837" s="491" t="n"/>
      <c r="I837" s="491" t="n"/>
      <c r="J837" s="491" t="n"/>
      <c r="K837" s="491" t="n"/>
      <c r="L837" s="491" t="n"/>
      <c r="M837" s="491" t="n"/>
      <c r="N837" s="491" t="n"/>
      <c r="O837" s="491" t="n"/>
      <c r="P837" s="491" t="n"/>
      <c r="Q837" s="491" t="n"/>
      <c r="R837" s="491" t="n"/>
      <c r="S837" s="491" t="n"/>
      <c r="T837" s="491" t="n"/>
      <c r="U837" s="491" t="n"/>
      <c r="V837" s="491" t="n"/>
      <c r="W837" s="491" t="n"/>
      <c r="X837" s="491" t="n"/>
      <c r="Y837" s="491" t="n"/>
    </row>
    <row r="838" ht="12.75" customHeight="1" s="398">
      <c r="A838" s="491" t="n"/>
      <c r="B838" s="491" t="n"/>
      <c r="C838" s="491" t="n"/>
      <c r="D838" s="491" t="n"/>
      <c r="E838" s="491" t="n"/>
      <c r="F838" s="491" t="n"/>
      <c r="G838" s="491" t="n"/>
      <c r="H838" s="491" t="n"/>
      <c r="I838" s="491" t="n"/>
      <c r="J838" s="491" t="n"/>
      <c r="K838" s="491" t="n"/>
      <c r="L838" s="491" t="n"/>
      <c r="M838" s="491" t="n"/>
      <c r="N838" s="491" t="n"/>
      <c r="O838" s="491" t="n"/>
      <c r="P838" s="491" t="n"/>
      <c r="Q838" s="491" t="n"/>
      <c r="R838" s="491" t="n"/>
      <c r="S838" s="491" t="n"/>
      <c r="T838" s="491" t="n"/>
      <c r="U838" s="491" t="n"/>
      <c r="V838" s="491" t="n"/>
      <c r="W838" s="491" t="n"/>
      <c r="X838" s="491" t="n"/>
      <c r="Y838" s="491" t="n"/>
    </row>
    <row r="839" ht="12.75" customHeight="1" s="398">
      <c r="A839" s="491" t="n"/>
      <c r="B839" s="491" t="n"/>
      <c r="C839" s="491" t="n"/>
      <c r="D839" s="491" t="n"/>
      <c r="E839" s="491" t="n"/>
      <c r="F839" s="491" t="n"/>
      <c r="G839" s="491" t="n"/>
      <c r="H839" s="491" t="n"/>
      <c r="I839" s="491" t="n"/>
      <c r="J839" s="491" t="n"/>
      <c r="K839" s="491" t="n"/>
      <c r="L839" s="491" t="n"/>
      <c r="M839" s="491" t="n"/>
      <c r="N839" s="491" t="n"/>
      <c r="O839" s="491" t="n"/>
      <c r="P839" s="491" t="n"/>
      <c r="Q839" s="491" t="n"/>
      <c r="R839" s="491" t="n"/>
      <c r="S839" s="491" t="n"/>
      <c r="T839" s="491" t="n"/>
      <c r="U839" s="491" t="n"/>
      <c r="V839" s="491" t="n"/>
      <c r="W839" s="491" t="n"/>
      <c r="X839" s="491" t="n"/>
      <c r="Y839" s="491" t="n"/>
    </row>
    <row r="840" ht="12.75" customHeight="1" s="398">
      <c r="A840" s="491" t="n"/>
      <c r="B840" s="491" t="n"/>
      <c r="C840" s="491" t="n"/>
      <c r="D840" s="491" t="n"/>
      <c r="E840" s="491" t="n"/>
      <c r="F840" s="491" t="n"/>
      <c r="G840" s="491" t="n"/>
      <c r="H840" s="491" t="n"/>
      <c r="I840" s="491" t="n"/>
      <c r="J840" s="491" t="n"/>
      <c r="K840" s="491" t="n"/>
      <c r="L840" s="491" t="n"/>
      <c r="M840" s="491" t="n"/>
      <c r="N840" s="491" t="n"/>
      <c r="O840" s="491" t="n"/>
      <c r="P840" s="491" t="n"/>
      <c r="Q840" s="491" t="n"/>
      <c r="R840" s="491" t="n"/>
      <c r="S840" s="491" t="n"/>
      <c r="T840" s="491" t="n"/>
      <c r="U840" s="491" t="n"/>
      <c r="V840" s="491" t="n"/>
      <c r="W840" s="491" t="n"/>
      <c r="X840" s="491" t="n"/>
      <c r="Y840" s="491" t="n"/>
    </row>
    <row r="841" ht="12.75" customHeight="1" s="398">
      <c r="A841" s="491" t="n"/>
      <c r="B841" s="491" t="n"/>
      <c r="C841" s="491" t="n"/>
      <c r="D841" s="491" t="n"/>
      <c r="E841" s="491" t="n"/>
      <c r="F841" s="491" t="n"/>
      <c r="G841" s="491" t="n"/>
      <c r="H841" s="491" t="n"/>
      <c r="I841" s="491" t="n"/>
      <c r="J841" s="491" t="n"/>
      <c r="K841" s="491" t="n"/>
      <c r="L841" s="491" t="n"/>
      <c r="M841" s="491" t="n"/>
      <c r="N841" s="491" t="n"/>
      <c r="O841" s="491" t="n"/>
      <c r="P841" s="491" t="n"/>
      <c r="Q841" s="491" t="n"/>
      <c r="R841" s="491" t="n"/>
      <c r="S841" s="491" t="n"/>
      <c r="T841" s="491" t="n"/>
      <c r="U841" s="491" t="n"/>
      <c r="V841" s="491" t="n"/>
      <c r="W841" s="491" t="n"/>
      <c r="X841" s="491" t="n"/>
      <c r="Y841" s="491" t="n"/>
    </row>
    <row r="842" ht="12.75" customHeight="1" s="398">
      <c r="A842" s="491" t="n"/>
      <c r="B842" s="491" t="n"/>
      <c r="C842" s="491" t="n"/>
      <c r="D842" s="491" t="n"/>
      <c r="E842" s="491" t="n"/>
      <c r="F842" s="491" t="n"/>
      <c r="G842" s="491" t="n"/>
      <c r="H842" s="491" t="n"/>
      <c r="I842" s="491" t="n"/>
      <c r="J842" s="491" t="n"/>
      <c r="K842" s="491" t="n"/>
      <c r="L842" s="491" t="n"/>
      <c r="M842" s="491" t="n"/>
      <c r="N842" s="491" t="n"/>
      <c r="O842" s="491" t="n"/>
      <c r="P842" s="491" t="n"/>
      <c r="Q842" s="491" t="n"/>
      <c r="R842" s="491" t="n"/>
      <c r="S842" s="491" t="n"/>
      <c r="T842" s="491" t="n"/>
      <c r="U842" s="491" t="n"/>
      <c r="V842" s="491" t="n"/>
      <c r="W842" s="491" t="n"/>
      <c r="X842" s="491" t="n"/>
      <c r="Y842" s="491" t="n"/>
    </row>
    <row r="843" ht="12.75" customHeight="1" s="398">
      <c r="A843" s="491" t="n"/>
      <c r="B843" s="491" t="n"/>
      <c r="C843" s="491" t="n"/>
      <c r="D843" s="491" t="n"/>
      <c r="E843" s="491" t="n"/>
      <c r="F843" s="491" t="n"/>
      <c r="G843" s="491" t="n"/>
      <c r="H843" s="491" t="n"/>
      <c r="I843" s="491" t="n"/>
      <c r="J843" s="491" t="n"/>
      <c r="K843" s="491" t="n"/>
      <c r="L843" s="491" t="n"/>
      <c r="M843" s="491" t="n"/>
      <c r="N843" s="491" t="n"/>
      <c r="O843" s="491" t="n"/>
      <c r="P843" s="491" t="n"/>
      <c r="Q843" s="491" t="n"/>
      <c r="R843" s="491" t="n"/>
      <c r="S843" s="491" t="n"/>
      <c r="T843" s="491" t="n"/>
      <c r="U843" s="491" t="n"/>
      <c r="V843" s="491" t="n"/>
      <c r="W843" s="491" t="n"/>
      <c r="X843" s="491" t="n"/>
      <c r="Y843" s="491" t="n"/>
    </row>
    <row r="844" ht="12.75" customHeight="1" s="398">
      <c r="A844" s="491" t="n"/>
      <c r="B844" s="491" t="n"/>
      <c r="C844" s="491" t="n"/>
      <c r="D844" s="491" t="n"/>
      <c r="E844" s="491" t="n"/>
      <c r="F844" s="491" t="n"/>
      <c r="G844" s="491" t="n"/>
      <c r="H844" s="491" t="n"/>
      <c r="I844" s="491" t="n"/>
      <c r="J844" s="491" t="n"/>
      <c r="K844" s="491" t="n"/>
      <c r="L844" s="491" t="n"/>
      <c r="M844" s="491" t="n"/>
      <c r="N844" s="491" t="n"/>
      <c r="O844" s="491" t="n"/>
      <c r="P844" s="491" t="n"/>
      <c r="Q844" s="491" t="n"/>
      <c r="R844" s="491" t="n"/>
      <c r="S844" s="491" t="n"/>
      <c r="T844" s="491" t="n"/>
      <c r="U844" s="491" t="n"/>
      <c r="V844" s="491" t="n"/>
      <c r="W844" s="491" t="n"/>
      <c r="X844" s="491" t="n"/>
      <c r="Y844" s="491" t="n"/>
    </row>
    <row r="845" ht="12.75" customHeight="1" s="398">
      <c r="A845" s="491" t="n"/>
      <c r="B845" s="491" t="n"/>
      <c r="C845" s="491" t="n"/>
      <c r="D845" s="491" t="n"/>
      <c r="E845" s="491" t="n"/>
      <c r="F845" s="491" t="n"/>
      <c r="G845" s="491" t="n"/>
      <c r="H845" s="491" t="n"/>
      <c r="I845" s="491" t="n"/>
      <c r="J845" s="491" t="n"/>
      <c r="K845" s="491" t="n"/>
      <c r="L845" s="491" t="n"/>
      <c r="M845" s="491" t="n"/>
      <c r="N845" s="491" t="n"/>
      <c r="O845" s="491" t="n"/>
      <c r="P845" s="491" t="n"/>
      <c r="Q845" s="491" t="n"/>
      <c r="R845" s="491" t="n"/>
      <c r="S845" s="491" t="n"/>
      <c r="T845" s="491" t="n"/>
      <c r="U845" s="491" t="n"/>
      <c r="V845" s="491" t="n"/>
      <c r="W845" s="491" t="n"/>
      <c r="X845" s="491" t="n"/>
      <c r="Y845" s="491" t="n"/>
    </row>
    <row r="846" ht="12.75" customHeight="1" s="398">
      <c r="A846" s="491" t="n"/>
      <c r="B846" s="491" t="n"/>
      <c r="C846" s="491" t="n"/>
      <c r="D846" s="491" t="n"/>
      <c r="E846" s="491" t="n"/>
      <c r="F846" s="491" t="n"/>
      <c r="G846" s="491" t="n"/>
      <c r="H846" s="491" t="n"/>
      <c r="I846" s="491" t="n"/>
      <c r="J846" s="491" t="n"/>
      <c r="K846" s="491" t="n"/>
      <c r="L846" s="491" t="n"/>
      <c r="M846" s="491" t="n"/>
      <c r="N846" s="491" t="n"/>
      <c r="O846" s="491" t="n"/>
      <c r="P846" s="491" t="n"/>
      <c r="Q846" s="491" t="n"/>
      <c r="R846" s="491" t="n"/>
      <c r="S846" s="491" t="n"/>
      <c r="T846" s="491" t="n"/>
      <c r="U846" s="491" t="n"/>
      <c r="V846" s="491" t="n"/>
      <c r="W846" s="491" t="n"/>
      <c r="X846" s="491" t="n"/>
      <c r="Y846" s="491" t="n"/>
    </row>
    <row r="847" ht="12.75" customHeight="1" s="398">
      <c r="A847" s="491" t="n"/>
      <c r="B847" s="491" t="n"/>
      <c r="C847" s="491" t="n"/>
      <c r="D847" s="491" t="n"/>
      <c r="E847" s="491" t="n"/>
      <c r="F847" s="491" t="n"/>
      <c r="G847" s="491" t="n"/>
      <c r="H847" s="491" t="n"/>
      <c r="I847" s="491" t="n"/>
      <c r="J847" s="491" t="n"/>
      <c r="K847" s="491" t="n"/>
      <c r="L847" s="491" t="n"/>
      <c r="M847" s="491" t="n"/>
      <c r="N847" s="491" t="n"/>
      <c r="O847" s="491" t="n"/>
      <c r="P847" s="491" t="n"/>
      <c r="Q847" s="491" t="n"/>
      <c r="R847" s="491" t="n"/>
      <c r="S847" s="491" t="n"/>
      <c r="T847" s="491" t="n"/>
      <c r="U847" s="491" t="n"/>
      <c r="V847" s="491" t="n"/>
      <c r="W847" s="491" t="n"/>
      <c r="X847" s="491" t="n"/>
      <c r="Y847" s="491" t="n"/>
    </row>
    <row r="848" ht="12.75" customHeight="1" s="398">
      <c r="A848" s="491" t="n"/>
      <c r="B848" s="491" t="n"/>
      <c r="C848" s="491" t="n"/>
      <c r="D848" s="491" t="n"/>
      <c r="E848" s="491" t="n"/>
      <c r="F848" s="491" t="n"/>
      <c r="G848" s="491" t="n"/>
      <c r="H848" s="491" t="n"/>
      <c r="I848" s="491" t="n"/>
      <c r="J848" s="491" t="n"/>
      <c r="K848" s="491" t="n"/>
      <c r="L848" s="491" t="n"/>
      <c r="M848" s="491" t="n"/>
      <c r="N848" s="491" t="n"/>
      <c r="O848" s="491" t="n"/>
      <c r="P848" s="491" t="n"/>
      <c r="Q848" s="491" t="n"/>
      <c r="R848" s="491" t="n"/>
      <c r="S848" s="491" t="n"/>
      <c r="T848" s="491" t="n"/>
      <c r="U848" s="491" t="n"/>
      <c r="V848" s="491" t="n"/>
      <c r="W848" s="491" t="n"/>
      <c r="X848" s="491" t="n"/>
      <c r="Y848" s="491" t="n"/>
    </row>
    <row r="849" ht="12.75" customHeight="1" s="398">
      <c r="A849" s="491" t="n"/>
      <c r="B849" s="491" t="n"/>
      <c r="C849" s="491" t="n"/>
      <c r="D849" s="491" t="n"/>
      <c r="E849" s="491" t="n"/>
      <c r="F849" s="491" t="n"/>
      <c r="G849" s="491" t="n"/>
      <c r="H849" s="491" t="n"/>
      <c r="I849" s="491" t="n"/>
      <c r="J849" s="491" t="n"/>
      <c r="K849" s="491" t="n"/>
      <c r="L849" s="491" t="n"/>
      <c r="M849" s="491" t="n"/>
      <c r="N849" s="491" t="n"/>
      <c r="O849" s="491" t="n"/>
      <c r="P849" s="491" t="n"/>
      <c r="Q849" s="491" t="n"/>
      <c r="R849" s="491" t="n"/>
      <c r="S849" s="491" t="n"/>
      <c r="T849" s="491" t="n"/>
      <c r="U849" s="491" t="n"/>
      <c r="V849" s="491" t="n"/>
      <c r="W849" s="491" t="n"/>
      <c r="X849" s="491" t="n"/>
      <c r="Y849" s="491" t="n"/>
    </row>
    <row r="850" ht="12.75" customHeight="1" s="398">
      <c r="A850" s="491" t="n"/>
      <c r="B850" s="491" t="n"/>
      <c r="C850" s="491" t="n"/>
      <c r="D850" s="491" t="n"/>
      <c r="E850" s="491" t="n"/>
      <c r="F850" s="491" t="n"/>
      <c r="G850" s="491" t="n"/>
      <c r="H850" s="491" t="n"/>
      <c r="I850" s="491" t="n"/>
      <c r="J850" s="491" t="n"/>
      <c r="K850" s="491" t="n"/>
      <c r="L850" s="491" t="n"/>
      <c r="M850" s="491" t="n"/>
      <c r="N850" s="491" t="n"/>
      <c r="O850" s="491" t="n"/>
      <c r="P850" s="491" t="n"/>
      <c r="Q850" s="491" t="n"/>
      <c r="R850" s="491" t="n"/>
      <c r="S850" s="491" t="n"/>
      <c r="T850" s="491" t="n"/>
      <c r="U850" s="491" t="n"/>
      <c r="V850" s="491" t="n"/>
      <c r="W850" s="491" t="n"/>
      <c r="X850" s="491" t="n"/>
      <c r="Y850" s="491" t="n"/>
    </row>
    <row r="851" ht="12.75" customHeight="1" s="398">
      <c r="A851" s="491" t="n"/>
      <c r="B851" s="491" t="n"/>
      <c r="C851" s="491" t="n"/>
      <c r="D851" s="491" t="n"/>
      <c r="E851" s="491" t="n"/>
      <c r="F851" s="491" t="n"/>
      <c r="G851" s="491" t="n"/>
      <c r="H851" s="491" t="n"/>
      <c r="I851" s="491" t="n"/>
      <c r="J851" s="491" t="n"/>
      <c r="K851" s="491" t="n"/>
      <c r="L851" s="491" t="n"/>
      <c r="M851" s="491" t="n"/>
      <c r="N851" s="491" t="n"/>
      <c r="O851" s="491" t="n"/>
      <c r="P851" s="491" t="n"/>
      <c r="Q851" s="491" t="n"/>
      <c r="R851" s="491" t="n"/>
      <c r="S851" s="491" t="n"/>
      <c r="T851" s="491" t="n"/>
      <c r="U851" s="491" t="n"/>
      <c r="V851" s="491" t="n"/>
      <c r="W851" s="491" t="n"/>
      <c r="X851" s="491" t="n"/>
      <c r="Y851" s="491" t="n"/>
    </row>
    <row r="852" ht="12.75" customHeight="1" s="398">
      <c r="A852" s="491" t="n"/>
      <c r="B852" s="491" t="n"/>
      <c r="C852" s="491" t="n"/>
      <c r="D852" s="491" t="n"/>
      <c r="E852" s="491" t="n"/>
      <c r="F852" s="491" t="n"/>
      <c r="G852" s="491" t="n"/>
      <c r="H852" s="491" t="n"/>
      <c r="I852" s="491" t="n"/>
      <c r="J852" s="491" t="n"/>
      <c r="K852" s="491" t="n"/>
      <c r="L852" s="491" t="n"/>
      <c r="M852" s="491" t="n"/>
      <c r="N852" s="491" t="n"/>
      <c r="O852" s="491" t="n"/>
      <c r="P852" s="491" t="n"/>
      <c r="Q852" s="491" t="n"/>
      <c r="R852" s="491" t="n"/>
      <c r="S852" s="491" t="n"/>
      <c r="T852" s="491" t="n"/>
      <c r="U852" s="491" t="n"/>
      <c r="V852" s="491" t="n"/>
      <c r="W852" s="491" t="n"/>
      <c r="X852" s="491" t="n"/>
      <c r="Y852" s="491" t="n"/>
    </row>
    <row r="853" ht="12.75" customHeight="1" s="398">
      <c r="A853" s="491" t="n"/>
      <c r="B853" s="491" t="n"/>
      <c r="C853" s="491" t="n"/>
      <c r="D853" s="491" t="n"/>
      <c r="E853" s="491" t="n"/>
      <c r="F853" s="491" t="n"/>
      <c r="G853" s="491" t="n"/>
      <c r="H853" s="491" t="n"/>
      <c r="I853" s="491" t="n"/>
      <c r="J853" s="491" t="n"/>
      <c r="K853" s="491" t="n"/>
      <c r="L853" s="491" t="n"/>
      <c r="M853" s="491" t="n"/>
      <c r="N853" s="491" t="n"/>
      <c r="O853" s="491" t="n"/>
      <c r="P853" s="491" t="n"/>
      <c r="Q853" s="491" t="n"/>
      <c r="R853" s="491" t="n"/>
      <c r="S853" s="491" t="n"/>
      <c r="T853" s="491" t="n"/>
      <c r="U853" s="491" t="n"/>
      <c r="V853" s="491" t="n"/>
      <c r="W853" s="491" t="n"/>
      <c r="X853" s="491" t="n"/>
      <c r="Y853" s="491" t="n"/>
    </row>
    <row r="854" ht="12.75" customHeight="1" s="398">
      <c r="A854" s="491" t="n"/>
      <c r="B854" s="491" t="n"/>
      <c r="C854" s="491" t="n"/>
      <c r="D854" s="491" t="n"/>
      <c r="E854" s="491" t="n"/>
      <c r="F854" s="491" t="n"/>
      <c r="G854" s="491" t="n"/>
      <c r="H854" s="491" t="n"/>
      <c r="I854" s="491" t="n"/>
      <c r="J854" s="491" t="n"/>
      <c r="K854" s="491" t="n"/>
      <c r="L854" s="491" t="n"/>
      <c r="M854" s="491" t="n"/>
      <c r="N854" s="491" t="n"/>
      <c r="O854" s="491" t="n"/>
      <c r="P854" s="491" t="n"/>
      <c r="Q854" s="491" t="n"/>
      <c r="R854" s="491" t="n"/>
      <c r="S854" s="491" t="n"/>
      <c r="T854" s="491" t="n"/>
      <c r="U854" s="491" t="n"/>
      <c r="V854" s="491" t="n"/>
      <c r="W854" s="491" t="n"/>
      <c r="X854" s="491" t="n"/>
      <c r="Y854" s="491" t="n"/>
    </row>
    <row r="855" ht="12.75" customHeight="1" s="398">
      <c r="A855" s="491" t="n"/>
      <c r="B855" s="491" t="n"/>
      <c r="C855" s="491" t="n"/>
      <c r="D855" s="491" t="n"/>
      <c r="E855" s="491" t="n"/>
      <c r="F855" s="491" t="n"/>
      <c r="G855" s="491" t="n"/>
      <c r="H855" s="491" t="n"/>
      <c r="I855" s="491" t="n"/>
      <c r="J855" s="491" t="n"/>
      <c r="K855" s="491" t="n"/>
      <c r="L855" s="491" t="n"/>
      <c r="M855" s="491" t="n"/>
      <c r="N855" s="491" t="n"/>
      <c r="O855" s="491" t="n"/>
      <c r="P855" s="491" t="n"/>
      <c r="Q855" s="491" t="n"/>
      <c r="R855" s="491" t="n"/>
      <c r="S855" s="491" t="n"/>
      <c r="T855" s="491" t="n"/>
      <c r="U855" s="491" t="n"/>
      <c r="V855" s="491" t="n"/>
      <c r="W855" s="491" t="n"/>
      <c r="X855" s="491" t="n"/>
      <c r="Y855" s="491" t="n"/>
    </row>
    <row r="856" ht="12.75" customHeight="1" s="398">
      <c r="A856" s="491" t="n"/>
      <c r="B856" s="491" t="n"/>
      <c r="C856" s="491" t="n"/>
      <c r="D856" s="491" t="n"/>
      <c r="E856" s="491" t="n"/>
      <c r="F856" s="491" t="n"/>
      <c r="G856" s="491" t="n"/>
      <c r="H856" s="491" t="n"/>
      <c r="I856" s="491" t="n"/>
      <c r="J856" s="491" t="n"/>
      <c r="K856" s="491" t="n"/>
      <c r="L856" s="491" t="n"/>
      <c r="M856" s="491" t="n"/>
      <c r="N856" s="491" t="n"/>
      <c r="O856" s="491" t="n"/>
      <c r="P856" s="491" t="n"/>
      <c r="Q856" s="491" t="n"/>
      <c r="R856" s="491" t="n"/>
      <c r="S856" s="491" t="n"/>
      <c r="T856" s="491" t="n"/>
      <c r="U856" s="491" t="n"/>
      <c r="V856" s="491" t="n"/>
      <c r="W856" s="491" t="n"/>
      <c r="X856" s="491" t="n"/>
      <c r="Y856" s="491" t="n"/>
    </row>
    <row r="857" ht="12.75" customHeight="1" s="398">
      <c r="A857" s="491" t="n"/>
      <c r="B857" s="491" t="n"/>
      <c r="C857" s="491" t="n"/>
      <c r="D857" s="491" t="n"/>
      <c r="E857" s="491" t="n"/>
      <c r="F857" s="491" t="n"/>
      <c r="G857" s="491" t="n"/>
      <c r="H857" s="491" t="n"/>
      <c r="I857" s="491" t="n"/>
      <c r="J857" s="491" t="n"/>
      <c r="K857" s="491" t="n"/>
      <c r="L857" s="491" t="n"/>
      <c r="M857" s="491" t="n"/>
      <c r="N857" s="491" t="n"/>
      <c r="O857" s="491" t="n"/>
      <c r="P857" s="491" t="n"/>
      <c r="Q857" s="491" t="n"/>
      <c r="R857" s="491" t="n"/>
      <c r="S857" s="491" t="n"/>
      <c r="T857" s="491" t="n"/>
      <c r="U857" s="491" t="n"/>
      <c r="V857" s="491" t="n"/>
      <c r="W857" s="491" t="n"/>
      <c r="X857" s="491" t="n"/>
      <c r="Y857" s="491" t="n"/>
    </row>
    <row r="858" ht="12.75" customHeight="1" s="398">
      <c r="A858" s="491" t="n"/>
      <c r="B858" s="491" t="n"/>
      <c r="C858" s="491" t="n"/>
      <c r="D858" s="491" t="n"/>
      <c r="E858" s="491" t="n"/>
      <c r="F858" s="491" t="n"/>
      <c r="G858" s="491" t="n"/>
      <c r="H858" s="491" t="n"/>
      <c r="I858" s="491" t="n"/>
      <c r="J858" s="491" t="n"/>
      <c r="K858" s="491" t="n"/>
      <c r="L858" s="491" t="n"/>
      <c r="M858" s="491" t="n"/>
      <c r="N858" s="491" t="n"/>
      <c r="O858" s="491" t="n"/>
      <c r="P858" s="491" t="n"/>
      <c r="Q858" s="491" t="n"/>
      <c r="R858" s="491" t="n"/>
      <c r="S858" s="491" t="n"/>
      <c r="T858" s="491" t="n"/>
      <c r="U858" s="491" t="n"/>
      <c r="V858" s="491" t="n"/>
      <c r="W858" s="491" t="n"/>
      <c r="X858" s="491" t="n"/>
      <c r="Y858" s="491" t="n"/>
    </row>
    <row r="859" ht="12.75" customHeight="1" s="398">
      <c r="A859" s="491" t="n"/>
      <c r="B859" s="491" t="n"/>
      <c r="C859" s="491" t="n"/>
      <c r="D859" s="491" t="n"/>
      <c r="E859" s="491" t="n"/>
      <c r="F859" s="491" t="n"/>
      <c r="G859" s="491" t="n"/>
      <c r="H859" s="491" t="n"/>
      <c r="I859" s="491" t="n"/>
      <c r="J859" s="491" t="n"/>
      <c r="K859" s="491" t="n"/>
      <c r="L859" s="491" t="n"/>
      <c r="M859" s="491" t="n"/>
      <c r="N859" s="491" t="n"/>
      <c r="O859" s="491" t="n"/>
      <c r="P859" s="491" t="n"/>
      <c r="Q859" s="491" t="n"/>
      <c r="R859" s="491" t="n"/>
      <c r="S859" s="491" t="n"/>
      <c r="T859" s="491" t="n"/>
      <c r="U859" s="491" t="n"/>
      <c r="V859" s="491" t="n"/>
      <c r="W859" s="491" t="n"/>
      <c r="X859" s="491" t="n"/>
      <c r="Y859" s="491" t="n"/>
    </row>
    <row r="860" ht="12.75" customHeight="1" s="398">
      <c r="A860" s="491" t="n"/>
      <c r="B860" s="491" t="n"/>
      <c r="C860" s="491" t="n"/>
      <c r="D860" s="491" t="n"/>
      <c r="E860" s="491" t="n"/>
      <c r="F860" s="491" t="n"/>
      <c r="G860" s="491" t="n"/>
      <c r="H860" s="491" t="n"/>
      <c r="I860" s="491" t="n"/>
      <c r="J860" s="491" t="n"/>
      <c r="K860" s="491" t="n"/>
      <c r="L860" s="491" t="n"/>
      <c r="M860" s="491" t="n"/>
      <c r="N860" s="491" t="n"/>
      <c r="O860" s="491" t="n"/>
      <c r="P860" s="491" t="n"/>
      <c r="Q860" s="491" t="n"/>
      <c r="R860" s="491" t="n"/>
      <c r="S860" s="491" t="n"/>
      <c r="T860" s="491" t="n"/>
      <c r="U860" s="491" t="n"/>
      <c r="V860" s="491" t="n"/>
      <c r="W860" s="491" t="n"/>
      <c r="X860" s="491" t="n"/>
      <c r="Y860" s="491" t="n"/>
    </row>
    <row r="861" ht="12.75" customHeight="1" s="398">
      <c r="A861" s="491" t="n"/>
      <c r="B861" s="491" t="n"/>
      <c r="C861" s="491" t="n"/>
      <c r="D861" s="491" t="n"/>
      <c r="E861" s="491" t="n"/>
      <c r="F861" s="491" t="n"/>
      <c r="G861" s="491" t="n"/>
      <c r="H861" s="491" t="n"/>
      <c r="I861" s="491" t="n"/>
      <c r="J861" s="491" t="n"/>
      <c r="K861" s="491" t="n"/>
      <c r="L861" s="491" t="n"/>
      <c r="M861" s="491" t="n"/>
      <c r="N861" s="491" t="n"/>
      <c r="O861" s="491" t="n"/>
      <c r="P861" s="491" t="n"/>
      <c r="Q861" s="491" t="n"/>
      <c r="R861" s="491" t="n"/>
      <c r="S861" s="491" t="n"/>
      <c r="T861" s="491" t="n"/>
      <c r="U861" s="491" t="n"/>
      <c r="V861" s="491" t="n"/>
      <c r="W861" s="491" t="n"/>
      <c r="X861" s="491" t="n"/>
      <c r="Y861" s="491" t="n"/>
    </row>
    <row r="862" ht="12.75" customHeight="1" s="398">
      <c r="A862" s="491" t="n"/>
      <c r="B862" s="491" t="n"/>
      <c r="C862" s="491" t="n"/>
      <c r="D862" s="491" t="n"/>
      <c r="E862" s="491" t="n"/>
      <c r="F862" s="491" t="n"/>
      <c r="G862" s="491" t="n"/>
      <c r="H862" s="491" t="n"/>
      <c r="I862" s="491" t="n"/>
      <c r="J862" s="491" t="n"/>
      <c r="K862" s="491" t="n"/>
      <c r="L862" s="491" t="n"/>
      <c r="M862" s="491" t="n"/>
      <c r="N862" s="491" t="n"/>
      <c r="O862" s="491" t="n"/>
      <c r="P862" s="491" t="n"/>
      <c r="Q862" s="491" t="n"/>
      <c r="R862" s="491" t="n"/>
      <c r="S862" s="491" t="n"/>
      <c r="T862" s="491" t="n"/>
      <c r="U862" s="491" t="n"/>
      <c r="V862" s="491" t="n"/>
      <c r="W862" s="491" t="n"/>
      <c r="X862" s="491" t="n"/>
      <c r="Y862" s="491" t="n"/>
    </row>
    <row r="863" ht="12.75" customHeight="1" s="398">
      <c r="A863" s="491" t="n"/>
      <c r="B863" s="491" t="n"/>
      <c r="C863" s="491" t="n"/>
      <c r="D863" s="491" t="n"/>
      <c r="E863" s="491" t="n"/>
      <c r="F863" s="491" t="n"/>
      <c r="G863" s="491" t="n"/>
      <c r="H863" s="491" t="n"/>
      <c r="I863" s="491" t="n"/>
      <c r="J863" s="491" t="n"/>
      <c r="K863" s="491" t="n"/>
      <c r="L863" s="491" t="n"/>
      <c r="M863" s="491" t="n"/>
      <c r="N863" s="491" t="n"/>
      <c r="O863" s="491" t="n"/>
      <c r="P863" s="491" t="n"/>
      <c r="Q863" s="491" t="n"/>
      <c r="R863" s="491" t="n"/>
      <c r="S863" s="491" t="n"/>
      <c r="T863" s="491" t="n"/>
      <c r="U863" s="491" t="n"/>
      <c r="V863" s="491" t="n"/>
      <c r="W863" s="491" t="n"/>
      <c r="X863" s="491" t="n"/>
      <c r="Y863" s="491" t="n"/>
    </row>
    <row r="864" ht="12.75" customHeight="1" s="398">
      <c r="A864" s="491" t="n"/>
      <c r="B864" s="491" t="n"/>
      <c r="C864" s="491" t="n"/>
      <c r="D864" s="491" t="n"/>
      <c r="E864" s="491" t="n"/>
      <c r="F864" s="491" t="n"/>
      <c r="G864" s="491" t="n"/>
      <c r="H864" s="491" t="n"/>
      <c r="I864" s="491" t="n"/>
      <c r="J864" s="491" t="n"/>
      <c r="K864" s="491" t="n"/>
      <c r="L864" s="491" t="n"/>
      <c r="M864" s="491" t="n"/>
      <c r="N864" s="491" t="n"/>
      <c r="O864" s="491" t="n"/>
      <c r="P864" s="491" t="n"/>
      <c r="Q864" s="491" t="n"/>
      <c r="R864" s="491" t="n"/>
      <c r="S864" s="491" t="n"/>
      <c r="T864" s="491" t="n"/>
      <c r="U864" s="491" t="n"/>
      <c r="V864" s="491" t="n"/>
      <c r="W864" s="491" t="n"/>
      <c r="X864" s="491" t="n"/>
      <c r="Y864" s="491" t="n"/>
    </row>
    <row r="865" ht="12.75" customHeight="1" s="398">
      <c r="A865" s="491" t="n"/>
      <c r="B865" s="491" t="n"/>
      <c r="C865" s="491" t="n"/>
      <c r="D865" s="491" t="n"/>
      <c r="E865" s="491" t="n"/>
      <c r="F865" s="491" t="n"/>
      <c r="G865" s="491" t="n"/>
      <c r="H865" s="491" t="n"/>
      <c r="I865" s="491" t="n"/>
      <c r="J865" s="491" t="n"/>
      <c r="K865" s="491" t="n"/>
      <c r="L865" s="491" t="n"/>
      <c r="M865" s="491" t="n"/>
      <c r="N865" s="491" t="n"/>
      <c r="O865" s="491" t="n"/>
      <c r="P865" s="491" t="n"/>
      <c r="Q865" s="491" t="n"/>
      <c r="R865" s="491" t="n"/>
      <c r="S865" s="491" t="n"/>
      <c r="T865" s="491" t="n"/>
      <c r="U865" s="491" t="n"/>
      <c r="V865" s="491" t="n"/>
      <c r="W865" s="491" t="n"/>
      <c r="X865" s="491" t="n"/>
      <c r="Y865" s="491" t="n"/>
    </row>
    <row r="866" ht="12.75" customHeight="1" s="398">
      <c r="A866" s="491" t="n"/>
      <c r="B866" s="491" t="n"/>
      <c r="C866" s="491" t="n"/>
      <c r="D866" s="491" t="n"/>
      <c r="E866" s="491" t="n"/>
      <c r="F866" s="491" t="n"/>
      <c r="G866" s="491" t="n"/>
      <c r="H866" s="491" t="n"/>
      <c r="I866" s="491" t="n"/>
      <c r="J866" s="491" t="n"/>
      <c r="K866" s="491" t="n"/>
      <c r="L866" s="491" t="n"/>
      <c r="M866" s="491" t="n"/>
      <c r="N866" s="491" t="n"/>
      <c r="O866" s="491" t="n"/>
      <c r="P866" s="491" t="n"/>
      <c r="Q866" s="491" t="n"/>
      <c r="R866" s="491" t="n"/>
      <c r="S866" s="491" t="n"/>
      <c r="T866" s="491" t="n"/>
      <c r="U866" s="491" t="n"/>
      <c r="V866" s="491" t="n"/>
      <c r="W866" s="491" t="n"/>
      <c r="X866" s="491" t="n"/>
      <c r="Y866" s="491" t="n"/>
    </row>
    <row r="867" ht="12.75" customHeight="1" s="398">
      <c r="A867" s="491" t="n"/>
      <c r="B867" s="491" t="n"/>
      <c r="C867" s="491" t="n"/>
      <c r="D867" s="491" t="n"/>
      <c r="E867" s="491" t="n"/>
      <c r="F867" s="491" t="n"/>
      <c r="G867" s="491" t="n"/>
      <c r="H867" s="491" t="n"/>
      <c r="I867" s="491" t="n"/>
      <c r="J867" s="491" t="n"/>
      <c r="K867" s="491" t="n"/>
      <c r="L867" s="491" t="n"/>
      <c r="M867" s="491" t="n"/>
      <c r="N867" s="491" t="n"/>
      <c r="O867" s="491" t="n"/>
      <c r="P867" s="491" t="n"/>
      <c r="Q867" s="491" t="n"/>
      <c r="R867" s="491" t="n"/>
      <c r="S867" s="491" t="n"/>
      <c r="T867" s="491" t="n"/>
      <c r="U867" s="491" t="n"/>
      <c r="V867" s="491" t="n"/>
      <c r="W867" s="491" t="n"/>
      <c r="X867" s="491" t="n"/>
      <c r="Y867" s="491" t="n"/>
    </row>
    <row r="868" ht="12.75" customHeight="1" s="398">
      <c r="A868" s="491" t="n"/>
      <c r="B868" s="491" t="n"/>
      <c r="C868" s="491" t="n"/>
      <c r="D868" s="491" t="n"/>
      <c r="E868" s="491" t="n"/>
      <c r="F868" s="491" t="n"/>
      <c r="G868" s="491" t="n"/>
      <c r="H868" s="491" t="n"/>
      <c r="I868" s="491" t="n"/>
      <c r="J868" s="491" t="n"/>
      <c r="K868" s="491" t="n"/>
      <c r="L868" s="491" t="n"/>
      <c r="M868" s="491" t="n"/>
      <c r="N868" s="491" t="n"/>
      <c r="O868" s="491" t="n"/>
      <c r="P868" s="491" t="n"/>
      <c r="Q868" s="491" t="n"/>
      <c r="R868" s="491" t="n"/>
      <c r="S868" s="491" t="n"/>
      <c r="T868" s="491" t="n"/>
      <c r="U868" s="491" t="n"/>
      <c r="V868" s="491" t="n"/>
      <c r="W868" s="491" t="n"/>
      <c r="X868" s="491" t="n"/>
      <c r="Y868" s="491" t="n"/>
    </row>
    <row r="869" ht="12.75" customHeight="1" s="398">
      <c r="A869" s="491" t="n"/>
      <c r="B869" s="491" t="n"/>
      <c r="C869" s="491" t="n"/>
      <c r="D869" s="491" t="n"/>
      <c r="E869" s="491" t="n"/>
      <c r="F869" s="491" t="n"/>
      <c r="G869" s="491" t="n"/>
      <c r="H869" s="491" t="n"/>
      <c r="I869" s="491" t="n"/>
      <c r="J869" s="491" t="n"/>
      <c r="K869" s="491" t="n"/>
      <c r="L869" s="491" t="n"/>
      <c r="M869" s="491" t="n"/>
      <c r="N869" s="491" t="n"/>
      <c r="O869" s="491" t="n"/>
      <c r="P869" s="491" t="n"/>
      <c r="Q869" s="491" t="n"/>
      <c r="R869" s="491" t="n"/>
      <c r="S869" s="491" t="n"/>
      <c r="T869" s="491" t="n"/>
      <c r="U869" s="491" t="n"/>
      <c r="V869" s="491" t="n"/>
      <c r="W869" s="491" t="n"/>
      <c r="X869" s="491" t="n"/>
      <c r="Y869" s="491" t="n"/>
    </row>
    <row r="870" ht="12.75" customHeight="1" s="398">
      <c r="A870" s="491" t="n"/>
      <c r="B870" s="491" t="n"/>
      <c r="C870" s="491" t="n"/>
      <c r="D870" s="491" t="n"/>
      <c r="E870" s="491" t="n"/>
      <c r="F870" s="491" t="n"/>
      <c r="G870" s="491" t="n"/>
      <c r="H870" s="491" t="n"/>
      <c r="I870" s="491" t="n"/>
      <c r="J870" s="491" t="n"/>
      <c r="K870" s="491" t="n"/>
      <c r="L870" s="491" t="n"/>
      <c r="M870" s="491" t="n"/>
      <c r="N870" s="491" t="n"/>
      <c r="O870" s="491" t="n"/>
      <c r="P870" s="491" t="n"/>
      <c r="Q870" s="491" t="n"/>
      <c r="R870" s="491" t="n"/>
      <c r="S870" s="491" t="n"/>
      <c r="T870" s="491" t="n"/>
      <c r="U870" s="491" t="n"/>
      <c r="V870" s="491" t="n"/>
      <c r="W870" s="491" t="n"/>
      <c r="X870" s="491" t="n"/>
      <c r="Y870" s="491" t="n"/>
    </row>
    <row r="871" ht="12.75" customHeight="1" s="398">
      <c r="A871" s="491" t="n"/>
      <c r="B871" s="491" t="n"/>
      <c r="C871" s="491" t="n"/>
      <c r="D871" s="491" t="n"/>
      <c r="E871" s="491" t="n"/>
      <c r="F871" s="491" t="n"/>
      <c r="G871" s="491" t="n"/>
      <c r="H871" s="491" t="n"/>
      <c r="I871" s="491" t="n"/>
      <c r="J871" s="491" t="n"/>
      <c r="K871" s="491" t="n"/>
      <c r="L871" s="491" t="n"/>
      <c r="M871" s="491" t="n"/>
      <c r="N871" s="491" t="n"/>
      <c r="O871" s="491" t="n"/>
      <c r="P871" s="491" t="n"/>
      <c r="Q871" s="491" t="n"/>
      <c r="R871" s="491" t="n"/>
      <c r="S871" s="491" t="n"/>
      <c r="T871" s="491" t="n"/>
      <c r="U871" s="491" t="n"/>
      <c r="V871" s="491" t="n"/>
      <c r="W871" s="491" t="n"/>
      <c r="X871" s="491" t="n"/>
      <c r="Y871" s="491" t="n"/>
    </row>
    <row r="872" ht="12.75" customHeight="1" s="398">
      <c r="A872" s="491" t="n"/>
      <c r="B872" s="491" t="n"/>
      <c r="C872" s="491" t="n"/>
      <c r="D872" s="491" t="n"/>
      <c r="E872" s="491" t="n"/>
      <c r="F872" s="491" t="n"/>
      <c r="G872" s="491" t="n"/>
      <c r="H872" s="491" t="n"/>
      <c r="I872" s="491" t="n"/>
      <c r="J872" s="491" t="n"/>
      <c r="K872" s="491" t="n"/>
      <c r="L872" s="491" t="n"/>
      <c r="M872" s="491" t="n"/>
      <c r="N872" s="491" t="n"/>
      <c r="O872" s="491" t="n"/>
      <c r="P872" s="491" t="n"/>
      <c r="Q872" s="491" t="n"/>
      <c r="R872" s="491" t="n"/>
      <c r="S872" s="491" t="n"/>
      <c r="T872" s="491" t="n"/>
      <c r="U872" s="491" t="n"/>
      <c r="V872" s="491" t="n"/>
      <c r="W872" s="491" t="n"/>
      <c r="X872" s="491" t="n"/>
      <c r="Y872" s="491" t="n"/>
    </row>
    <row r="873" ht="12.75" customHeight="1" s="398">
      <c r="A873" s="491" t="n"/>
      <c r="B873" s="491" t="n"/>
      <c r="C873" s="491" t="n"/>
      <c r="D873" s="491" t="n"/>
      <c r="E873" s="491" t="n"/>
      <c r="F873" s="491" t="n"/>
      <c r="G873" s="491" t="n"/>
      <c r="H873" s="491" t="n"/>
      <c r="I873" s="491" t="n"/>
      <c r="J873" s="491" t="n"/>
      <c r="K873" s="491" t="n"/>
      <c r="L873" s="491" t="n"/>
      <c r="M873" s="491" t="n"/>
      <c r="N873" s="491" t="n"/>
      <c r="O873" s="491" t="n"/>
      <c r="P873" s="491" t="n"/>
      <c r="Q873" s="491" t="n"/>
      <c r="R873" s="491" t="n"/>
      <c r="S873" s="491" t="n"/>
      <c r="T873" s="491" t="n"/>
      <c r="U873" s="491" t="n"/>
      <c r="V873" s="491" t="n"/>
      <c r="W873" s="491" t="n"/>
      <c r="X873" s="491" t="n"/>
      <c r="Y873" s="491" t="n"/>
    </row>
    <row r="874" ht="12.75" customHeight="1" s="398">
      <c r="A874" s="491" t="n"/>
      <c r="B874" s="491" t="n"/>
      <c r="C874" s="491" t="n"/>
      <c r="D874" s="491" t="n"/>
      <c r="E874" s="491" t="n"/>
      <c r="F874" s="491" t="n"/>
      <c r="G874" s="491" t="n"/>
      <c r="H874" s="491" t="n"/>
      <c r="I874" s="491" t="n"/>
      <c r="J874" s="491" t="n"/>
      <c r="K874" s="491" t="n"/>
      <c r="L874" s="491" t="n"/>
      <c r="M874" s="491" t="n"/>
      <c r="N874" s="491" t="n"/>
      <c r="O874" s="491" t="n"/>
      <c r="P874" s="491" t="n"/>
      <c r="Q874" s="491" t="n"/>
      <c r="R874" s="491" t="n"/>
      <c r="S874" s="491" t="n"/>
      <c r="T874" s="491" t="n"/>
      <c r="U874" s="491" t="n"/>
      <c r="V874" s="491" t="n"/>
      <c r="W874" s="491" t="n"/>
      <c r="X874" s="491" t="n"/>
      <c r="Y874" s="491" t="n"/>
    </row>
    <row r="875" ht="12.75" customHeight="1" s="398">
      <c r="A875" s="491" t="n"/>
      <c r="B875" s="491" t="n"/>
      <c r="C875" s="491" t="n"/>
      <c r="D875" s="491" t="n"/>
      <c r="E875" s="491" t="n"/>
      <c r="F875" s="491" t="n"/>
      <c r="G875" s="491" t="n"/>
      <c r="H875" s="491" t="n"/>
      <c r="I875" s="491" t="n"/>
      <c r="J875" s="491" t="n"/>
      <c r="K875" s="491" t="n"/>
      <c r="L875" s="491" t="n"/>
      <c r="M875" s="491" t="n"/>
      <c r="N875" s="491" t="n"/>
      <c r="O875" s="491" t="n"/>
      <c r="P875" s="491" t="n"/>
      <c r="Q875" s="491" t="n"/>
      <c r="R875" s="491" t="n"/>
      <c r="S875" s="491" t="n"/>
      <c r="T875" s="491" t="n"/>
      <c r="U875" s="491" t="n"/>
      <c r="V875" s="491" t="n"/>
      <c r="W875" s="491" t="n"/>
      <c r="X875" s="491" t="n"/>
      <c r="Y875" s="491" t="n"/>
    </row>
    <row r="876" ht="12.75" customHeight="1" s="398">
      <c r="A876" s="491" t="n"/>
      <c r="B876" s="491" t="n"/>
      <c r="C876" s="491" t="n"/>
      <c r="D876" s="491" t="n"/>
      <c r="E876" s="491" t="n"/>
      <c r="F876" s="491" t="n"/>
      <c r="G876" s="491" t="n"/>
      <c r="H876" s="491" t="n"/>
      <c r="I876" s="491" t="n"/>
      <c r="J876" s="491" t="n"/>
      <c r="K876" s="491" t="n"/>
      <c r="L876" s="491" t="n"/>
      <c r="M876" s="491" t="n"/>
      <c r="N876" s="491" t="n"/>
      <c r="O876" s="491" t="n"/>
      <c r="P876" s="491" t="n"/>
      <c r="Q876" s="491" t="n"/>
      <c r="R876" s="491" t="n"/>
      <c r="S876" s="491" t="n"/>
      <c r="T876" s="491" t="n"/>
      <c r="U876" s="491" t="n"/>
      <c r="V876" s="491" t="n"/>
      <c r="W876" s="491" t="n"/>
      <c r="X876" s="491" t="n"/>
      <c r="Y876" s="491" t="n"/>
    </row>
    <row r="877" ht="12.75" customHeight="1" s="398">
      <c r="A877" s="491" t="n"/>
      <c r="B877" s="491" t="n"/>
      <c r="C877" s="491" t="n"/>
      <c r="D877" s="491" t="n"/>
      <c r="E877" s="491" t="n"/>
      <c r="F877" s="491" t="n"/>
      <c r="G877" s="491" t="n"/>
      <c r="H877" s="491" t="n"/>
      <c r="I877" s="491" t="n"/>
      <c r="J877" s="491" t="n"/>
      <c r="K877" s="491" t="n"/>
      <c r="L877" s="491" t="n"/>
      <c r="M877" s="491" t="n"/>
      <c r="N877" s="491" t="n"/>
      <c r="O877" s="491" t="n"/>
      <c r="P877" s="491" t="n"/>
      <c r="Q877" s="491" t="n"/>
      <c r="R877" s="491" t="n"/>
      <c r="S877" s="491" t="n"/>
      <c r="T877" s="491" t="n"/>
      <c r="U877" s="491" t="n"/>
      <c r="V877" s="491" t="n"/>
      <c r="W877" s="491" t="n"/>
      <c r="X877" s="491" t="n"/>
      <c r="Y877" s="491" t="n"/>
    </row>
    <row r="878" ht="12.75" customHeight="1" s="398">
      <c r="A878" s="491" t="n"/>
      <c r="B878" s="491" t="n"/>
      <c r="C878" s="491" t="n"/>
      <c r="D878" s="491" t="n"/>
      <c r="E878" s="491" t="n"/>
      <c r="F878" s="491" t="n"/>
      <c r="G878" s="491" t="n"/>
      <c r="H878" s="491" t="n"/>
      <c r="I878" s="491" t="n"/>
      <c r="J878" s="491" t="n"/>
      <c r="K878" s="491" t="n"/>
      <c r="L878" s="491" t="n"/>
      <c r="M878" s="491" t="n"/>
      <c r="N878" s="491" t="n"/>
      <c r="O878" s="491" t="n"/>
      <c r="P878" s="491" t="n"/>
      <c r="Q878" s="491" t="n"/>
      <c r="R878" s="491" t="n"/>
      <c r="S878" s="491" t="n"/>
      <c r="T878" s="491" t="n"/>
      <c r="U878" s="491" t="n"/>
      <c r="V878" s="491" t="n"/>
      <c r="W878" s="491" t="n"/>
      <c r="X878" s="491" t="n"/>
      <c r="Y878" s="491" t="n"/>
    </row>
    <row r="879" ht="12.75" customHeight="1" s="398">
      <c r="A879" s="491" t="n"/>
      <c r="B879" s="491" t="n"/>
      <c r="C879" s="491" t="n"/>
      <c r="D879" s="491" t="n"/>
      <c r="E879" s="491" t="n"/>
      <c r="F879" s="491" t="n"/>
      <c r="G879" s="491" t="n"/>
      <c r="H879" s="491" t="n"/>
      <c r="I879" s="491" t="n"/>
      <c r="J879" s="491" t="n"/>
      <c r="K879" s="491" t="n"/>
      <c r="L879" s="491" t="n"/>
      <c r="M879" s="491" t="n"/>
      <c r="N879" s="491" t="n"/>
      <c r="O879" s="491" t="n"/>
      <c r="P879" s="491" t="n"/>
      <c r="Q879" s="491" t="n"/>
      <c r="R879" s="491" t="n"/>
      <c r="S879" s="491" t="n"/>
      <c r="T879" s="491" t="n"/>
      <c r="U879" s="491" t="n"/>
      <c r="V879" s="491" t="n"/>
      <c r="W879" s="491" t="n"/>
      <c r="X879" s="491" t="n"/>
      <c r="Y879" s="491" t="n"/>
    </row>
    <row r="880" ht="12.75" customHeight="1" s="398">
      <c r="A880" s="491" t="n"/>
      <c r="B880" s="491" t="n"/>
      <c r="C880" s="491" t="n"/>
      <c r="D880" s="491" t="n"/>
      <c r="E880" s="491" t="n"/>
      <c r="F880" s="491" t="n"/>
      <c r="G880" s="491" t="n"/>
      <c r="H880" s="491" t="n"/>
      <c r="I880" s="491" t="n"/>
      <c r="J880" s="491" t="n"/>
      <c r="K880" s="491" t="n"/>
      <c r="L880" s="491" t="n"/>
      <c r="M880" s="491" t="n"/>
      <c r="N880" s="491" t="n"/>
      <c r="O880" s="491" t="n"/>
      <c r="P880" s="491" t="n"/>
      <c r="Q880" s="491" t="n"/>
      <c r="R880" s="491" t="n"/>
      <c r="S880" s="491" t="n"/>
      <c r="T880" s="491" t="n"/>
      <c r="U880" s="491" t="n"/>
      <c r="V880" s="491" t="n"/>
      <c r="W880" s="491" t="n"/>
      <c r="X880" s="491" t="n"/>
      <c r="Y880" s="491" t="n"/>
    </row>
    <row r="881" ht="12.75" customHeight="1" s="398">
      <c r="A881" s="491" t="n"/>
      <c r="B881" s="491" t="n"/>
      <c r="C881" s="491" t="n"/>
      <c r="D881" s="491" t="n"/>
      <c r="E881" s="491" t="n"/>
      <c r="F881" s="491" t="n"/>
      <c r="G881" s="491" t="n"/>
      <c r="H881" s="491" t="n"/>
      <c r="I881" s="491" t="n"/>
      <c r="J881" s="491" t="n"/>
      <c r="K881" s="491" t="n"/>
      <c r="L881" s="491" t="n"/>
      <c r="M881" s="491" t="n"/>
      <c r="N881" s="491" t="n"/>
      <c r="O881" s="491" t="n"/>
      <c r="P881" s="491" t="n"/>
      <c r="Q881" s="491" t="n"/>
      <c r="R881" s="491" t="n"/>
      <c r="S881" s="491" t="n"/>
      <c r="T881" s="491" t="n"/>
      <c r="U881" s="491" t="n"/>
      <c r="V881" s="491" t="n"/>
      <c r="W881" s="491" t="n"/>
      <c r="X881" s="491" t="n"/>
      <c r="Y881" s="491" t="n"/>
    </row>
    <row r="882" ht="12.75" customHeight="1" s="398">
      <c r="A882" s="491" t="n"/>
      <c r="B882" s="491" t="n"/>
      <c r="C882" s="491" t="n"/>
      <c r="D882" s="491" t="n"/>
      <c r="E882" s="491" t="n"/>
      <c r="F882" s="491" t="n"/>
      <c r="G882" s="491" t="n"/>
      <c r="H882" s="491" t="n"/>
      <c r="I882" s="491" t="n"/>
      <c r="J882" s="491" t="n"/>
      <c r="K882" s="491" t="n"/>
      <c r="L882" s="491" t="n"/>
      <c r="M882" s="491" t="n"/>
      <c r="N882" s="491" t="n"/>
      <c r="O882" s="491" t="n"/>
      <c r="P882" s="491" t="n"/>
      <c r="Q882" s="491" t="n"/>
      <c r="R882" s="491" t="n"/>
      <c r="S882" s="491" t="n"/>
      <c r="T882" s="491" t="n"/>
      <c r="U882" s="491" t="n"/>
      <c r="V882" s="491" t="n"/>
      <c r="W882" s="491" t="n"/>
      <c r="X882" s="491" t="n"/>
      <c r="Y882" s="491" t="n"/>
    </row>
    <row r="883" ht="12.75" customHeight="1" s="398">
      <c r="A883" s="491" t="n"/>
      <c r="B883" s="491" t="n"/>
      <c r="C883" s="491" t="n"/>
      <c r="D883" s="491" t="n"/>
      <c r="E883" s="491" t="n"/>
      <c r="F883" s="491" t="n"/>
      <c r="G883" s="491" t="n"/>
      <c r="H883" s="491" t="n"/>
      <c r="I883" s="491" t="n"/>
      <c r="J883" s="491" t="n"/>
      <c r="K883" s="491" t="n"/>
      <c r="L883" s="491" t="n"/>
      <c r="M883" s="491" t="n"/>
      <c r="N883" s="491" t="n"/>
      <c r="O883" s="491" t="n"/>
      <c r="P883" s="491" t="n"/>
      <c r="Q883" s="491" t="n"/>
      <c r="R883" s="491" t="n"/>
      <c r="S883" s="491" t="n"/>
      <c r="T883" s="491" t="n"/>
      <c r="U883" s="491" t="n"/>
      <c r="V883" s="491" t="n"/>
      <c r="W883" s="491" t="n"/>
      <c r="X883" s="491" t="n"/>
      <c r="Y883" s="491" t="n"/>
    </row>
    <row r="884" ht="12.75" customHeight="1" s="398">
      <c r="A884" s="491" t="n"/>
      <c r="B884" s="491" t="n"/>
      <c r="C884" s="491" t="n"/>
      <c r="D884" s="491" t="n"/>
      <c r="E884" s="491" t="n"/>
      <c r="F884" s="491" t="n"/>
      <c r="G884" s="491" t="n"/>
      <c r="H884" s="491" t="n"/>
      <c r="I884" s="491" t="n"/>
      <c r="J884" s="491" t="n"/>
      <c r="K884" s="491" t="n"/>
      <c r="L884" s="491" t="n"/>
      <c r="M884" s="491" t="n"/>
      <c r="N884" s="491" t="n"/>
      <c r="O884" s="491" t="n"/>
      <c r="P884" s="491" t="n"/>
      <c r="Q884" s="491" t="n"/>
      <c r="R884" s="491" t="n"/>
      <c r="S884" s="491" t="n"/>
      <c r="T884" s="491" t="n"/>
      <c r="U884" s="491" t="n"/>
      <c r="V884" s="491" t="n"/>
      <c r="W884" s="491" t="n"/>
      <c r="X884" s="491" t="n"/>
      <c r="Y884" s="491" t="n"/>
    </row>
    <row r="885" ht="12.75" customHeight="1" s="398">
      <c r="A885" s="491" t="n"/>
      <c r="B885" s="491" t="n"/>
      <c r="C885" s="491" t="n"/>
      <c r="D885" s="491" t="n"/>
      <c r="E885" s="491" t="n"/>
      <c r="F885" s="491" t="n"/>
      <c r="G885" s="491" t="n"/>
      <c r="H885" s="491" t="n"/>
      <c r="I885" s="491" t="n"/>
      <c r="J885" s="491" t="n"/>
      <c r="K885" s="491" t="n"/>
      <c r="L885" s="491" t="n"/>
      <c r="M885" s="491" t="n"/>
      <c r="N885" s="491" t="n"/>
      <c r="O885" s="491" t="n"/>
      <c r="P885" s="491" t="n"/>
      <c r="Q885" s="491" t="n"/>
      <c r="R885" s="491" t="n"/>
      <c r="S885" s="491" t="n"/>
      <c r="T885" s="491" t="n"/>
      <c r="U885" s="491" t="n"/>
      <c r="V885" s="491" t="n"/>
      <c r="W885" s="491" t="n"/>
      <c r="X885" s="491" t="n"/>
      <c r="Y885" s="491" t="n"/>
    </row>
    <row r="886" ht="12.75" customHeight="1" s="398">
      <c r="A886" s="491" t="n"/>
      <c r="B886" s="491" t="n"/>
      <c r="C886" s="491" t="n"/>
      <c r="D886" s="491" t="n"/>
      <c r="E886" s="491" t="n"/>
      <c r="F886" s="491" t="n"/>
      <c r="G886" s="491" t="n"/>
      <c r="H886" s="491" t="n"/>
      <c r="I886" s="491" t="n"/>
      <c r="J886" s="491" t="n"/>
      <c r="K886" s="491" t="n"/>
      <c r="L886" s="491" t="n"/>
      <c r="M886" s="491" t="n"/>
      <c r="N886" s="491" t="n"/>
      <c r="O886" s="491" t="n"/>
      <c r="P886" s="491" t="n"/>
      <c r="Q886" s="491" t="n"/>
      <c r="R886" s="491" t="n"/>
      <c r="S886" s="491" t="n"/>
      <c r="T886" s="491" t="n"/>
      <c r="U886" s="491" t="n"/>
      <c r="V886" s="491" t="n"/>
      <c r="W886" s="491" t="n"/>
      <c r="X886" s="491" t="n"/>
      <c r="Y886" s="491" t="n"/>
    </row>
    <row r="887" ht="12.75" customHeight="1" s="398">
      <c r="A887" s="491" t="n"/>
      <c r="B887" s="491" t="n"/>
      <c r="C887" s="491" t="n"/>
      <c r="D887" s="491" t="n"/>
      <c r="E887" s="491" t="n"/>
      <c r="F887" s="491" t="n"/>
      <c r="G887" s="491" t="n"/>
      <c r="H887" s="491" t="n"/>
      <c r="I887" s="491" t="n"/>
      <c r="J887" s="491" t="n"/>
      <c r="K887" s="491" t="n"/>
      <c r="L887" s="491" t="n"/>
      <c r="M887" s="491" t="n"/>
      <c r="N887" s="491" t="n"/>
      <c r="O887" s="491" t="n"/>
      <c r="P887" s="491" t="n"/>
      <c r="Q887" s="491" t="n"/>
      <c r="R887" s="491" t="n"/>
      <c r="S887" s="491" t="n"/>
      <c r="T887" s="491" t="n"/>
      <c r="U887" s="491" t="n"/>
      <c r="V887" s="491" t="n"/>
      <c r="W887" s="491" t="n"/>
      <c r="X887" s="491" t="n"/>
      <c r="Y887" s="491" t="n"/>
    </row>
    <row r="888" ht="12.75" customHeight="1" s="398">
      <c r="A888" s="491" t="n"/>
      <c r="B888" s="491" t="n"/>
      <c r="C888" s="491" t="n"/>
      <c r="D888" s="491" t="n"/>
      <c r="E888" s="491" t="n"/>
      <c r="F888" s="491" t="n"/>
      <c r="G888" s="491" t="n"/>
      <c r="H888" s="491" t="n"/>
      <c r="I888" s="491" t="n"/>
      <c r="J888" s="491" t="n"/>
      <c r="K888" s="491" t="n"/>
      <c r="L888" s="491" t="n"/>
      <c r="M888" s="491" t="n"/>
      <c r="N888" s="491" t="n"/>
      <c r="O888" s="491" t="n"/>
      <c r="P888" s="491" t="n"/>
      <c r="Q888" s="491" t="n"/>
      <c r="R888" s="491" t="n"/>
      <c r="S888" s="491" t="n"/>
      <c r="T888" s="491" t="n"/>
      <c r="U888" s="491" t="n"/>
      <c r="V888" s="491" t="n"/>
      <c r="W888" s="491" t="n"/>
      <c r="X888" s="491" t="n"/>
      <c r="Y888" s="491" t="n"/>
    </row>
    <row r="889" ht="12.75" customHeight="1" s="398">
      <c r="A889" s="491" t="n"/>
      <c r="B889" s="491" t="n"/>
      <c r="C889" s="491" t="n"/>
      <c r="D889" s="491" t="n"/>
      <c r="E889" s="491" t="n"/>
      <c r="F889" s="491" t="n"/>
      <c r="G889" s="491" t="n"/>
      <c r="H889" s="491" t="n"/>
      <c r="I889" s="491" t="n"/>
      <c r="J889" s="491" t="n"/>
      <c r="K889" s="491" t="n"/>
      <c r="L889" s="491" t="n"/>
      <c r="M889" s="491" t="n"/>
      <c r="N889" s="491" t="n"/>
      <c r="O889" s="491" t="n"/>
      <c r="P889" s="491" t="n"/>
      <c r="Q889" s="491" t="n"/>
      <c r="R889" s="491" t="n"/>
      <c r="S889" s="491" t="n"/>
      <c r="T889" s="491" t="n"/>
      <c r="U889" s="491" t="n"/>
      <c r="V889" s="491" t="n"/>
      <c r="W889" s="491" t="n"/>
      <c r="X889" s="491" t="n"/>
      <c r="Y889" s="491" t="n"/>
    </row>
    <row r="890" ht="12.75" customHeight="1" s="398">
      <c r="A890" s="491" t="n"/>
      <c r="B890" s="491" t="n"/>
      <c r="C890" s="491" t="n"/>
      <c r="D890" s="491" t="n"/>
      <c r="E890" s="491" t="n"/>
      <c r="F890" s="491" t="n"/>
      <c r="G890" s="491" t="n"/>
      <c r="H890" s="491" t="n"/>
      <c r="I890" s="491" t="n"/>
      <c r="J890" s="491" t="n"/>
      <c r="K890" s="491" t="n"/>
      <c r="L890" s="491" t="n"/>
      <c r="M890" s="491" t="n"/>
      <c r="N890" s="491" t="n"/>
      <c r="O890" s="491" t="n"/>
      <c r="P890" s="491" t="n"/>
      <c r="Q890" s="491" t="n"/>
      <c r="R890" s="491" t="n"/>
      <c r="S890" s="491" t="n"/>
      <c r="T890" s="491" t="n"/>
      <c r="U890" s="491" t="n"/>
      <c r="V890" s="491" t="n"/>
      <c r="W890" s="491" t="n"/>
      <c r="X890" s="491" t="n"/>
      <c r="Y890" s="491" t="n"/>
    </row>
    <row r="891" ht="12.75" customHeight="1" s="398">
      <c r="A891" s="491" t="n"/>
      <c r="B891" s="491" t="n"/>
      <c r="C891" s="491" t="n"/>
      <c r="D891" s="491" t="n"/>
      <c r="E891" s="491" t="n"/>
      <c r="F891" s="491" t="n"/>
      <c r="G891" s="491" t="n"/>
      <c r="H891" s="491" t="n"/>
      <c r="I891" s="491" t="n"/>
      <c r="J891" s="491" t="n"/>
      <c r="K891" s="491" t="n"/>
      <c r="L891" s="491" t="n"/>
      <c r="M891" s="491" t="n"/>
      <c r="N891" s="491" t="n"/>
      <c r="O891" s="491" t="n"/>
      <c r="P891" s="491" t="n"/>
      <c r="Q891" s="491" t="n"/>
      <c r="R891" s="491" t="n"/>
      <c r="S891" s="491" t="n"/>
      <c r="T891" s="491" t="n"/>
      <c r="U891" s="491" t="n"/>
      <c r="V891" s="491" t="n"/>
      <c r="W891" s="491" t="n"/>
      <c r="X891" s="491" t="n"/>
      <c r="Y891" s="491" t="n"/>
    </row>
    <row r="892" ht="12.75" customHeight="1" s="398">
      <c r="A892" s="491" t="n"/>
      <c r="B892" s="491" t="n"/>
      <c r="C892" s="491" t="n"/>
      <c r="D892" s="491" t="n"/>
      <c r="E892" s="491" t="n"/>
      <c r="F892" s="491" t="n"/>
      <c r="G892" s="491" t="n"/>
      <c r="H892" s="491" t="n"/>
      <c r="I892" s="491" t="n"/>
      <c r="J892" s="491" t="n"/>
      <c r="K892" s="491" t="n"/>
      <c r="L892" s="491" t="n"/>
      <c r="M892" s="491" t="n"/>
      <c r="N892" s="491" t="n"/>
      <c r="O892" s="491" t="n"/>
      <c r="P892" s="491" t="n"/>
      <c r="Q892" s="491" t="n"/>
      <c r="R892" s="491" t="n"/>
      <c r="S892" s="491" t="n"/>
      <c r="T892" s="491" t="n"/>
      <c r="U892" s="491" t="n"/>
      <c r="V892" s="491" t="n"/>
      <c r="W892" s="491" t="n"/>
      <c r="X892" s="491" t="n"/>
      <c r="Y892" s="491" t="n"/>
    </row>
    <row r="893" ht="12.75" customHeight="1" s="398">
      <c r="A893" s="491" t="n"/>
      <c r="B893" s="491" t="n"/>
      <c r="C893" s="491" t="n"/>
      <c r="D893" s="491" t="n"/>
      <c r="E893" s="491" t="n"/>
      <c r="F893" s="491" t="n"/>
      <c r="G893" s="491" t="n"/>
      <c r="H893" s="491" t="n"/>
      <c r="I893" s="491" t="n"/>
      <c r="J893" s="491" t="n"/>
      <c r="K893" s="491" t="n"/>
      <c r="L893" s="491" t="n"/>
      <c r="M893" s="491" t="n"/>
      <c r="N893" s="491" t="n"/>
      <c r="O893" s="491" t="n"/>
      <c r="P893" s="491" t="n"/>
      <c r="Q893" s="491" t="n"/>
      <c r="R893" s="491" t="n"/>
      <c r="S893" s="491" t="n"/>
      <c r="T893" s="491" t="n"/>
      <c r="U893" s="491" t="n"/>
      <c r="V893" s="491" t="n"/>
      <c r="W893" s="491" t="n"/>
      <c r="X893" s="491" t="n"/>
      <c r="Y893" s="491" t="n"/>
    </row>
    <row r="894" ht="12.75" customHeight="1" s="398">
      <c r="A894" s="491" t="n"/>
      <c r="B894" s="491" t="n"/>
      <c r="C894" s="491" t="n"/>
      <c r="D894" s="491" t="n"/>
      <c r="E894" s="491" t="n"/>
      <c r="F894" s="491" t="n"/>
      <c r="G894" s="491" t="n"/>
      <c r="H894" s="491" t="n"/>
      <c r="I894" s="491" t="n"/>
      <c r="J894" s="491" t="n"/>
      <c r="K894" s="491" t="n"/>
      <c r="L894" s="491" t="n"/>
      <c r="M894" s="491" t="n"/>
      <c r="N894" s="491" t="n"/>
      <c r="O894" s="491" t="n"/>
      <c r="P894" s="491" t="n"/>
      <c r="Q894" s="491" t="n"/>
      <c r="R894" s="491" t="n"/>
      <c r="S894" s="491" t="n"/>
      <c r="T894" s="491" t="n"/>
      <c r="U894" s="491" t="n"/>
      <c r="V894" s="491" t="n"/>
      <c r="W894" s="491" t="n"/>
      <c r="X894" s="491" t="n"/>
      <c r="Y894" s="491" t="n"/>
    </row>
    <row r="895" ht="12.75" customHeight="1" s="398">
      <c r="A895" s="491" t="n"/>
      <c r="B895" s="491" t="n"/>
      <c r="C895" s="491" t="n"/>
      <c r="D895" s="491" t="n"/>
      <c r="E895" s="491" t="n"/>
      <c r="F895" s="491" t="n"/>
      <c r="G895" s="491" t="n"/>
      <c r="H895" s="491" t="n"/>
      <c r="I895" s="491" t="n"/>
      <c r="J895" s="491" t="n"/>
      <c r="K895" s="491" t="n"/>
      <c r="L895" s="491" t="n"/>
      <c r="M895" s="491" t="n"/>
      <c r="N895" s="491" t="n"/>
      <c r="O895" s="491" t="n"/>
      <c r="P895" s="491" t="n"/>
      <c r="Q895" s="491" t="n"/>
      <c r="R895" s="491" t="n"/>
      <c r="S895" s="491" t="n"/>
      <c r="T895" s="491" t="n"/>
      <c r="U895" s="491" t="n"/>
      <c r="V895" s="491" t="n"/>
      <c r="W895" s="491" t="n"/>
      <c r="X895" s="491" t="n"/>
      <c r="Y895" s="491" t="n"/>
    </row>
    <row r="896" ht="12.75" customHeight="1" s="398">
      <c r="A896" s="491" t="n"/>
      <c r="B896" s="491" t="n"/>
      <c r="C896" s="491" t="n"/>
      <c r="D896" s="491" t="n"/>
      <c r="E896" s="491" t="n"/>
      <c r="F896" s="491" t="n"/>
      <c r="G896" s="491" t="n"/>
      <c r="H896" s="491" t="n"/>
      <c r="I896" s="491" t="n"/>
      <c r="J896" s="491" t="n"/>
      <c r="K896" s="491" t="n"/>
      <c r="L896" s="491" t="n"/>
      <c r="M896" s="491" t="n"/>
      <c r="N896" s="491" t="n"/>
      <c r="O896" s="491" t="n"/>
      <c r="P896" s="491" t="n"/>
      <c r="Q896" s="491" t="n"/>
      <c r="R896" s="491" t="n"/>
      <c r="S896" s="491" t="n"/>
      <c r="T896" s="491" t="n"/>
      <c r="U896" s="491" t="n"/>
      <c r="V896" s="491" t="n"/>
      <c r="W896" s="491" t="n"/>
      <c r="X896" s="491" t="n"/>
      <c r="Y896" s="491" t="n"/>
    </row>
    <row r="897" ht="12.75" customHeight="1" s="398">
      <c r="A897" s="491" t="n"/>
      <c r="B897" s="491" t="n"/>
      <c r="C897" s="491" t="n"/>
      <c r="D897" s="491" t="n"/>
      <c r="E897" s="491" t="n"/>
      <c r="F897" s="491" t="n"/>
      <c r="G897" s="491" t="n"/>
      <c r="H897" s="491" t="n"/>
      <c r="I897" s="491" t="n"/>
      <c r="J897" s="491" t="n"/>
      <c r="K897" s="491" t="n"/>
      <c r="L897" s="491" t="n"/>
      <c r="M897" s="491" t="n"/>
      <c r="N897" s="491" t="n"/>
      <c r="O897" s="491" t="n"/>
      <c r="P897" s="491" t="n"/>
      <c r="Q897" s="491" t="n"/>
      <c r="R897" s="491" t="n"/>
      <c r="S897" s="491" t="n"/>
      <c r="T897" s="491" t="n"/>
      <c r="U897" s="491" t="n"/>
      <c r="V897" s="491" t="n"/>
      <c r="W897" s="491" t="n"/>
      <c r="X897" s="491" t="n"/>
      <c r="Y897" s="491" t="n"/>
    </row>
    <row r="898" ht="12.75" customHeight="1" s="398">
      <c r="A898" s="491" t="n"/>
      <c r="B898" s="491" t="n"/>
      <c r="C898" s="491" t="n"/>
      <c r="D898" s="491" t="n"/>
      <c r="E898" s="491" t="n"/>
      <c r="F898" s="491" t="n"/>
      <c r="G898" s="491" t="n"/>
      <c r="H898" s="491" t="n"/>
      <c r="I898" s="491" t="n"/>
      <c r="J898" s="491" t="n"/>
      <c r="K898" s="491" t="n"/>
      <c r="L898" s="491" t="n"/>
      <c r="M898" s="491" t="n"/>
      <c r="N898" s="491" t="n"/>
      <c r="O898" s="491" t="n"/>
      <c r="P898" s="491" t="n"/>
      <c r="Q898" s="491" t="n"/>
      <c r="R898" s="491" t="n"/>
      <c r="S898" s="491" t="n"/>
      <c r="T898" s="491" t="n"/>
      <c r="U898" s="491" t="n"/>
      <c r="V898" s="491" t="n"/>
      <c r="W898" s="491" t="n"/>
      <c r="X898" s="491" t="n"/>
      <c r="Y898" s="491" t="n"/>
    </row>
    <row r="899" ht="12.75" customHeight="1" s="398">
      <c r="A899" s="491" t="n"/>
      <c r="B899" s="491" t="n"/>
      <c r="C899" s="491" t="n"/>
      <c r="D899" s="491" t="n"/>
      <c r="E899" s="491" t="n"/>
      <c r="F899" s="491" t="n"/>
      <c r="G899" s="491" t="n"/>
      <c r="H899" s="491" t="n"/>
      <c r="I899" s="491" t="n"/>
      <c r="J899" s="491" t="n"/>
      <c r="K899" s="491" t="n"/>
      <c r="L899" s="491" t="n"/>
      <c r="M899" s="491" t="n"/>
      <c r="N899" s="491" t="n"/>
      <c r="O899" s="491" t="n"/>
      <c r="P899" s="491" t="n"/>
      <c r="Q899" s="491" t="n"/>
      <c r="R899" s="491" t="n"/>
      <c r="S899" s="491" t="n"/>
      <c r="T899" s="491" t="n"/>
      <c r="U899" s="491" t="n"/>
      <c r="V899" s="491" t="n"/>
      <c r="W899" s="491" t="n"/>
      <c r="X899" s="491" t="n"/>
      <c r="Y899" s="491" t="n"/>
    </row>
    <row r="900" ht="12.75" customHeight="1" s="398">
      <c r="A900" s="491" t="n"/>
      <c r="B900" s="491" t="n"/>
      <c r="C900" s="491" t="n"/>
      <c r="D900" s="491" t="n"/>
      <c r="E900" s="491" t="n"/>
      <c r="F900" s="491" t="n"/>
      <c r="G900" s="491" t="n"/>
      <c r="H900" s="491" t="n"/>
      <c r="I900" s="491" t="n"/>
      <c r="J900" s="491" t="n"/>
      <c r="K900" s="491" t="n"/>
      <c r="L900" s="491" t="n"/>
      <c r="M900" s="491" t="n"/>
      <c r="N900" s="491" t="n"/>
      <c r="O900" s="491" t="n"/>
      <c r="P900" s="491" t="n"/>
      <c r="Q900" s="491" t="n"/>
      <c r="R900" s="491" t="n"/>
      <c r="S900" s="491" t="n"/>
      <c r="T900" s="491" t="n"/>
      <c r="U900" s="491" t="n"/>
      <c r="V900" s="491" t="n"/>
      <c r="W900" s="491" t="n"/>
      <c r="X900" s="491" t="n"/>
      <c r="Y900" s="491" t="n"/>
    </row>
    <row r="901" ht="12.75" customHeight="1" s="398">
      <c r="A901" s="491" t="n"/>
      <c r="B901" s="491" t="n"/>
      <c r="C901" s="491" t="n"/>
      <c r="D901" s="491" t="n"/>
      <c r="E901" s="491" t="n"/>
      <c r="F901" s="491" t="n"/>
      <c r="G901" s="491" t="n"/>
      <c r="H901" s="491" t="n"/>
      <c r="I901" s="491" t="n"/>
      <c r="J901" s="491" t="n"/>
      <c r="K901" s="491" t="n"/>
      <c r="L901" s="491" t="n"/>
      <c r="M901" s="491" t="n"/>
      <c r="N901" s="491" t="n"/>
      <c r="O901" s="491" t="n"/>
      <c r="P901" s="491" t="n"/>
      <c r="Q901" s="491" t="n"/>
      <c r="R901" s="491" t="n"/>
      <c r="S901" s="491" t="n"/>
      <c r="T901" s="491" t="n"/>
      <c r="U901" s="491" t="n"/>
      <c r="V901" s="491" t="n"/>
      <c r="W901" s="491" t="n"/>
      <c r="X901" s="491" t="n"/>
      <c r="Y901" s="491" t="n"/>
    </row>
    <row r="902" ht="12.75" customHeight="1" s="398">
      <c r="A902" s="491" t="n"/>
      <c r="B902" s="491" t="n"/>
      <c r="C902" s="491" t="n"/>
      <c r="D902" s="491" t="n"/>
      <c r="E902" s="491" t="n"/>
      <c r="F902" s="491" t="n"/>
      <c r="G902" s="491" t="n"/>
      <c r="H902" s="491" t="n"/>
      <c r="I902" s="491" t="n"/>
      <c r="J902" s="491" t="n"/>
      <c r="K902" s="491" t="n"/>
      <c r="L902" s="491" t="n"/>
      <c r="M902" s="491" t="n"/>
      <c r="N902" s="491" t="n"/>
      <c r="O902" s="491" t="n"/>
      <c r="P902" s="491" t="n"/>
      <c r="Q902" s="491" t="n"/>
      <c r="R902" s="491" t="n"/>
      <c r="S902" s="491" t="n"/>
      <c r="T902" s="491" t="n"/>
      <c r="U902" s="491" t="n"/>
      <c r="V902" s="491" t="n"/>
      <c r="W902" s="491" t="n"/>
      <c r="X902" s="491" t="n"/>
      <c r="Y902" s="491" t="n"/>
    </row>
    <row r="903" ht="12.75" customHeight="1" s="398">
      <c r="A903" s="491" t="n"/>
      <c r="B903" s="491" t="n"/>
      <c r="C903" s="491" t="n"/>
      <c r="D903" s="491" t="n"/>
      <c r="E903" s="491" t="n"/>
      <c r="F903" s="491" t="n"/>
      <c r="G903" s="491" t="n"/>
      <c r="H903" s="491" t="n"/>
      <c r="I903" s="491" t="n"/>
      <c r="J903" s="491" t="n"/>
      <c r="K903" s="491" t="n"/>
      <c r="L903" s="491" t="n"/>
      <c r="M903" s="491" t="n"/>
      <c r="N903" s="491" t="n"/>
      <c r="O903" s="491" t="n"/>
      <c r="P903" s="491" t="n"/>
      <c r="Q903" s="491" t="n"/>
      <c r="R903" s="491" t="n"/>
      <c r="S903" s="491" t="n"/>
      <c r="T903" s="491" t="n"/>
      <c r="U903" s="491" t="n"/>
      <c r="V903" s="491" t="n"/>
      <c r="W903" s="491" t="n"/>
      <c r="X903" s="491" t="n"/>
      <c r="Y903" s="491" t="n"/>
    </row>
    <row r="904" ht="12.75" customHeight="1" s="398">
      <c r="A904" s="491" t="n"/>
      <c r="B904" s="491" t="n"/>
      <c r="C904" s="491" t="n"/>
      <c r="D904" s="491" t="n"/>
      <c r="E904" s="491" t="n"/>
      <c r="F904" s="491" t="n"/>
      <c r="G904" s="491" t="n"/>
      <c r="H904" s="491" t="n"/>
      <c r="I904" s="491" t="n"/>
      <c r="J904" s="491" t="n"/>
      <c r="K904" s="491" t="n"/>
      <c r="L904" s="491" t="n"/>
      <c r="M904" s="491" t="n"/>
      <c r="N904" s="491" t="n"/>
      <c r="O904" s="491" t="n"/>
      <c r="P904" s="491" t="n"/>
      <c r="Q904" s="491" t="n"/>
      <c r="R904" s="491" t="n"/>
      <c r="S904" s="491" t="n"/>
      <c r="T904" s="491" t="n"/>
      <c r="U904" s="491" t="n"/>
      <c r="V904" s="491" t="n"/>
      <c r="W904" s="491" t="n"/>
      <c r="X904" s="491" t="n"/>
      <c r="Y904" s="491" t="n"/>
    </row>
    <row r="905" ht="12.75" customHeight="1" s="398">
      <c r="A905" s="491" t="n"/>
      <c r="B905" s="491" t="n"/>
      <c r="C905" s="491" t="n"/>
      <c r="D905" s="491" t="n"/>
      <c r="E905" s="491" t="n"/>
      <c r="F905" s="491" t="n"/>
      <c r="G905" s="491" t="n"/>
      <c r="H905" s="491" t="n"/>
      <c r="I905" s="491" t="n"/>
      <c r="J905" s="491" t="n"/>
      <c r="K905" s="491" t="n"/>
      <c r="L905" s="491" t="n"/>
      <c r="M905" s="491" t="n"/>
      <c r="N905" s="491" t="n"/>
      <c r="O905" s="491" t="n"/>
      <c r="P905" s="491" t="n"/>
      <c r="Q905" s="491" t="n"/>
      <c r="R905" s="491" t="n"/>
      <c r="S905" s="491" t="n"/>
      <c r="T905" s="491" t="n"/>
      <c r="U905" s="491" t="n"/>
      <c r="V905" s="491" t="n"/>
      <c r="W905" s="491" t="n"/>
      <c r="X905" s="491" t="n"/>
      <c r="Y905" s="491" t="n"/>
    </row>
    <row r="906" ht="12.75" customHeight="1" s="398">
      <c r="A906" s="491" t="n"/>
      <c r="B906" s="491" t="n"/>
      <c r="C906" s="491" t="n"/>
      <c r="D906" s="491" t="n"/>
      <c r="E906" s="491" t="n"/>
      <c r="F906" s="491" t="n"/>
      <c r="G906" s="491" t="n"/>
      <c r="H906" s="491" t="n"/>
      <c r="I906" s="491" t="n"/>
      <c r="J906" s="491" t="n"/>
      <c r="K906" s="491" t="n"/>
      <c r="L906" s="491" t="n"/>
      <c r="M906" s="491" t="n"/>
      <c r="N906" s="491" t="n"/>
      <c r="O906" s="491" t="n"/>
      <c r="P906" s="491" t="n"/>
      <c r="Q906" s="491" t="n"/>
      <c r="R906" s="491" t="n"/>
      <c r="S906" s="491" t="n"/>
      <c r="T906" s="491" t="n"/>
      <c r="U906" s="491" t="n"/>
      <c r="V906" s="491" t="n"/>
      <c r="W906" s="491" t="n"/>
      <c r="X906" s="491" t="n"/>
      <c r="Y906" s="491" t="n"/>
    </row>
    <row r="907" ht="12.75" customHeight="1" s="398">
      <c r="A907" s="491" t="n"/>
      <c r="B907" s="491" t="n"/>
      <c r="C907" s="491" t="n"/>
      <c r="D907" s="491" t="n"/>
      <c r="E907" s="491" t="n"/>
      <c r="F907" s="491" t="n"/>
      <c r="G907" s="491" t="n"/>
      <c r="H907" s="491" t="n"/>
      <c r="I907" s="491" t="n"/>
      <c r="J907" s="491" t="n"/>
      <c r="K907" s="491" t="n"/>
      <c r="L907" s="491" t="n"/>
      <c r="M907" s="491" t="n"/>
      <c r="N907" s="491" t="n"/>
      <c r="O907" s="491" t="n"/>
      <c r="P907" s="491" t="n"/>
      <c r="Q907" s="491" t="n"/>
      <c r="R907" s="491" t="n"/>
      <c r="S907" s="491" t="n"/>
      <c r="T907" s="491" t="n"/>
      <c r="U907" s="491" t="n"/>
      <c r="V907" s="491" t="n"/>
      <c r="W907" s="491" t="n"/>
      <c r="X907" s="491" t="n"/>
      <c r="Y907" s="491" t="n"/>
    </row>
    <row r="908" ht="12.75" customHeight="1" s="398">
      <c r="A908" s="491" t="n"/>
      <c r="B908" s="491" t="n"/>
      <c r="C908" s="491" t="n"/>
      <c r="D908" s="491" t="n"/>
      <c r="E908" s="491" t="n"/>
      <c r="F908" s="491" t="n"/>
      <c r="G908" s="491" t="n"/>
      <c r="H908" s="491" t="n"/>
      <c r="I908" s="491" t="n"/>
      <c r="J908" s="491" t="n"/>
      <c r="K908" s="491" t="n"/>
      <c r="L908" s="491" t="n"/>
      <c r="M908" s="491" t="n"/>
      <c r="N908" s="491" t="n"/>
      <c r="O908" s="491" t="n"/>
      <c r="P908" s="491" t="n"/>
      <c r="Q908" s="491" t="n"/>
      <c r="R908" s="491" t="n"/>
      <c r="S908" s="491" t="n"/>
      <c r="T908" s="491" t="n"/>
      <c r="U908" s="491" t="n"/>
      <c r="V908" s="491" t="n"/>
      <c r="W908" s="491" t="n"/>
      <c r="X908" s="491" t="n"/>
      <c r="Y908" s="491" t="n"/>
    </row>
    <row r="909" ht="12.75" customHeight="1" s="398">
      <c r="A909" s="491" t="n"/>
      <c r="B909" s="491" t="n"/>
      <c r="C909" s="491" t="n"/>
      <c r="D909" s="491" t="n"/>
      <c r="E909" s="491" t="n"/>
      <c r="F909" s="491" t="n"/>
      <c r="G909" s="491" t="n"/>
      <c r="H909" s="491" t="n"/>
      <c r="I909" s="491" t="n"/>
      <c r="J909" s="491" t="n"/>
      <c r="K909" s="491" t="n"/>
      <c r="L909" s="491" t="n"/>
      <c r="M909" s="491" t="n"/>
      <c r="N909" s="491" t="n"/>
      <c r="O909" s="491" t="n"/>
      <c r="P909" s="491" t="n"/>
      <c r="Q909" s="491" t="n"/>
      <c r="R909" s="491" t="n"/>
      <c r="S909" s="491" t="n"/>
      <c r="T909" s="491" t="n"/>
      <c r="U909" s="491" t="n"/>
      <c r="V909" s="491" t="n"/>
      <c r="W909" s="491" t="n"/>
      <c r="X909" s="491" t="n"/>
      <c r="Y909" s="491" t="n"/>
    </row>
    <row r="910" ht="12.75" customHeight="1" s="398">
      <c r="A910" s="491" t="n"/>
      <c r="B910" s="491" t="n"/>
      <c r="C910" s="491" t="n"/>
      <c r="D910" s="491" t="n"/>
      <c r="E910" s="491" t="n"/>
      <c r="F910" s="491" t="n"/>
      <c r="G910" s="491" t="n"/>
      <c r="H910" s="491" t="n"/>
      <c r="I910" s="491" t="n"/>
      <c r="J910" s="491" t="n"/>
      <c r="K910" s="491" t="n"/>
      <c r="L910" s="491" t="n"/>
      <c r="M910" s="491" t="n"/>
      <c r="N910" s="491" t="n"/>
      <c r="O910" s="491" t="n"/>
      <c r="P910" s="491" t="n"/>
      <c r="Q910" s="491" t="n"/>
      <c r="R910" s="491" t="n"/>
      <c r="S910" s="491" t="n"/>
      <c r="T910" s="491" t="n"/>
      <c r="U910" s="491" t="n"/>
      <c r="V910" s="491" t="n"/>
      <c r="W910" s="491" t="n"/>
      <c r="X910" s="491" t="n"/>
      <c r="Y910" s="491" t="n"/>
    </row>
    <row r="911" ht="12.75" customHeight="1" s="398">
      <c r="A911" s="491" t="n"/>
      <c r="B911" s="491" t="n"/>
      <c r="C911" s="491" t="n"/>
      <c r="D911" s="491" t="n"/>
      <c r="E911" s="491" t="n"/>
      <c r="F911" s="491" t="n"/>
      <c r="G911" s="491" t="n"/>
      <c r="H911" s="491" t="n"/>
      <c r="I911" s="491" t="n"/>
      <c r="J911" s="491" t="n"/>
      <c r="K911" s="491" t="n"/>
      <c r="L911" s="491" t="n"/>
      <c r="M911" s="491" t="n"/>
      <c r="N911" s="491" t="n"/>
      <c r="O911" s="491" t="n"/>
      <c r="P911" s="491" t="n"/>
      <c r="Q911" s="491" t="n"/>
      <c r="R911" s="491" t="n"/>
      <c r="S911" s="491" t="n"/>
      <c r="T911" s="491" t="n"/>
      <c r="U911" s="491" t="n"/>
      <c r="V911" s="491" t="n"/>
      <c r="W911" s="491" t="n"/>
      <c r="X911" s="491" t="n"/>
      <c r="Y911" s="491" t="n"/>
    </row>
    <row r="912" ht="12.75" customHeight="1" s="398">
      <c r="A912" s="491" t="n"/>
      <c r="B912" s="491" t="n"/>
      <c r="C912" s="491" t="n"/>
      <c r="D912" s="491" t="n"/>
      <c r="E912" s="491" t="n"/>
      <c r="F912" s="491" t="n"/>
      <c r="G912" s="491" t="n"/>
      <c r="H912" s="491" t="n"/>
      <c r="I912" s="491" t="n"/>
      <c r="J912" s="491" t="n"/>
      <c r="K912" s="491" t="n"/>
      <c r="L912" s="491" t="n"/>
      <c r="M912" s="491" t="n"/>
      <c r="N912" s="491" t="n"/>
      <c r="O912" s="491" t="n"/>
      <c r="P912" s="491" t="n"/>
      <c r="Q912" s="491" t="n"/>
      <c r="R912" s="491" t="n"/>
      <c r="S912" s="491" t="n"/>
      <c r="T912" s="491" t="n"/>
      <c r="U912" s="491" t="n"/>
      <c r="V912" s="491" t="n"/>
      <c r="W912" s="491" t="n"/>
      <c r="X912" s="491" t="n"/>
      <c r="Y912" s="491" t="n"/>
    </row>
    <row r="913" ht="12.75" customHeight="1" s="398">
      <c r="A913" s="491" t="n"/>
      <c r="B913" s="491" t="n"/>
      <c r="C913" s="491" t="n"/>
      <c r="D913" s="491" t="n"/>
      <c r="E913" s="491" t="n"/>
      <c r="F913" s="491" t="n"/>
      <c r="G913" s="491" t="n"/>
      <c r="H913" s="491" t="n"/>
      <c r="I913" s="491" t="n"/>
      <c r="J913" s="491" t="n"/>
      <c r="K913" s="491" t="n"/>
      <c r="L913" s="491" t="n"/>
      <c r="M913" s="491" t="n"/>
      <c r="N913" s="491" t="n"/>
      <c r="O913" s="491" t="n"/>
      <c r="P913" s="491" t="n"/>
      <c r="Q913" s="491" t="n"/>
      <c r="R913" s="491" t="n"/>
      <c r="S913" s="491" t="n"/>
      <c r="T913" s="491" t="n"/>
      <c r="U913" s="491" t="n"/>
      <c r="V913" s="491" t="n"/>
      <c r="W913" s="491" t="n"/>
      <c r="X913" s="491" t="n"/>
      <c r="Y913" s="491" t="n"/>
    </row>
    <row r="914" ht="12.75" customHeight="1" s="398">
      <c r="A914" s="491" t="n"/>
      <c r="B914" s="491" t="n"/>
      <c r="C914" s="491" t="n"/>
      <c r="D914" s="491" t="n"/>
      <c r="E914" s="491" t="n"/>
      <c r="F914" s="491" t="n"/>
      <c r="G914" s="491" t="n"/>
      <c r="H914" s="491" t="n"/>
      <c r="I914" s="491" t="n"/>
      <c r="J914" s="491" t="n"/>
      <c r="K914" s="491" t="n"/>
      <c r="L914" s="491" t="n"/>
      <c r="M914" s="491" t="n"/>
      <c r="N914" s="491" t="n"/>
      <c r="O914" s="491" t="n"/>
      <c r="P914" s="491" t="n"/>
      <c r="Q914" s="491" t="n"/>
      <c r="R914" s="491" t="n"/>
      <c r="S914" s="491" t="n"/>
      <c r="T914" s="491" t="n"/>
      <c r="U914" s="491" t="n"/>
      <c r="V914" s="491" t="n"/>
      <c r="W914" s="491" t="n"/>
      <c r="X914" s="491" t="n"/>
      <c r="Y914" s="491" t="n"/>
    </row>
    <row r="915" ht="12.75" customHeight="1" s="398">
      <c r="A915" s="491" t="n"/>
      <c r="B915" s="491" t="n"/>
      <c r="C915" s="491" t="n"/>
      <c r="D915" s="491" t="n"/>
      <c r="E915" s="491" t="n"/>
      <c r="F915" s="491" t="n"/>
      <c r="G915" s="491" t="n"/>
      <c r="H915" s="491" t="n"/>
      <c r="I915" s="491" t="n"/>
      <c r="J915" s="491" t="n"/>
      <c r="K915" s="491" t="n"/>
      <c r="L915" s="491" t="n"/>
      <c r="M915" s="491" t="n"/>
      <c r="N915" s="491" t="n"/>
      <c r="O915" s="491" t="n"/>
      <c r="P915" s="491" t="n"/>
      <c r="Q915" s="491" t="n"/>
      <c r="R915" s="491" t="n"/>
      <c r="S915" s="491" t="n"/>
      <c r="T915" s="491" t="n"/>
      <c r="U915" s="491" t="n"/>
      <c r="V915" s="491" t="n"/>
      <c r="W915" s="491" t="n"/>
      <c r="X915" s="491" t="n"/>
      <c r="Y915" s="491" t="n"/>
    </row>
    <row r="916" ht="12.75" customHeight="1" s="398">
      <c r="A916" s="491" t="n"/>
      <c r="B916" s="491" t="n"/>
      <c r="C916" s="491" t="n"/>
      <c r="D916" s="491" t="n"/>
      <c r="E916" s="491" t="n"/>
      <c r="F916" s="491" t="n"/>
      <c r="G916" s="491" t="n"/>
      <c r="H916" s="491" t="n"/>
      <c r="I916" s="491" t="n"/>
      <c r="J916" s="491" t="n"/>
      <c r="K916" s="491" t="n"/>
      <c r="L916" s="491" t="n"/>
      <c r="M916" s="491" t="n"/>
      <c r="N916" s="491" t="n"/>
      <c r="O916" s="491" t="n"/>
      <c r="P916" s="491" t="n"/>
      <c r="Q916" s="491" t="n"/>
      <c r="R916" s="491" t="n"/>
      <c r="S916" s="491" t="n"/>
      <c r="T916" s="491" t="n"/>
      <c r="U916" s="491" t="n"/>
      <c r="V916" s="491" t="n"/>
      <c r="W916" s="491" t="n"/>
      <c r="X916" s="491" t="n"/>
      <c r="Y916" s="491" t="n"/>
    </row>
    <row r="917" ht="12.75" customHeight="1" s="398">
      <c r="A917" s="491" t="n"/>
      <c r="B917" s="491" t="n"/>
      <c r="C917" s="491" t="n"/>
      <c r="D917" s="491" t="n"/>
      <c r="E917" s="491" t="n"/>
      <c r="F917" s="491" t="n"/>
      <c r="G917" s="491" t="n"/>
      <c r="H917" s="491" t="n"/>
      <c r="I917" s="491" t="n"/>
      <c r="J917" s="491" t="n"/>
      <c r="K917" s="491" t="n"/>
      <c r="L917" s="491" t="n"/>
      <c r="M917" s="491" t="n"/>
      <c r="N917" s="491" t="n"/>
      <c r="O917" s="491" t="n"/>
      <c r="P917" s="491" t="n"/>
      <c r="Q917" s="491" t="n"/>
      <c r="R917" s="491" t="n"/>
      <c r="S917" s="491" t="n"/>
      <c r="T917" s="491" t="n"/>
      <c r="U917" s="491" t="n"/>
      <c r="V917" s="491" t="n"/>
      <c r="W917" s="491" t="n"/>
      <c r="X917" s="491" t="n"/>
      <c r="Y917" s="491" t="n"/>
    </row>
    <row r="918" ht="12.75" customHeight="1" s="398">
      <c r="A918" s="491" t="n"/>
      <c r="B918" s="491" t="n"/>
      <c r="C918" s="491" t="n"/>
      <c r="D918" s="491" t="n"/>
      <c r="E918" s="491" t="n"/>
      <c r="F918" s="491" t="n"/>
      <c r="G918" s="491" t="n"/>
      <c r="H918" s="491" t="n"/>
      <c r="I918" s="491" t="n"/>
      <c r="J918" s="491" t="n"/>
      <c r="K918" s="491" t="n"/>
      <c r="L918" s="491" t="n"/>
      <c r="M918" s="491" t="n"/>
      <c r="N918" s="491" t="n"/>
      <c r="O918" s="491" t="n"/>
      <c r="P918" s="491" t="n"/>
      <c r="Q918" s="491" t="n"/>
      <c r="R918" s="491" t="n"/>
      <c r="S918" s="491" t="n"/>
      <c r="T918" s="491" t="n"/>
      <c r="U918" s="491" t="n"/>
      <c r="V918" s="491" t="n"/>
      <c r="W918" s="491" t="n"/>
      <c r="X918" s="491" t="n"/>
      <c r="Y918" s="491" t="n"/>
    </row>
    <row r="919" ht="12.75" customHeight="1" s="398">
      <c r="A919" s="491" t="n"/>
      <c r="B919" s="491" t="n"/>
      <c r="C919" s="491" t="n"/>
      <c r="D919" s="491" t="n"/>
      <c r="E919" s="491" t="n"/>
      <c r="F919" s="491" t="n"/>
      <c r="G919" s="491" t="n"/>
      <c r="H919" s="491" t="n"/>
      <c r="I919" s="491" t="n"/>
      <c r="J919" s="491" t="n"/>
      <c r="K919" s="491" t="n"/>
      <c r="L919" s="491" t="n"/>
      <c r="M919" s="491" t="n"/>
      <c r="N919" s="491" t="n"/>
      <c r="O919" s="491" t="n"/>
      <c r="P919" s="491" t="n"/>
      <c r="Q919" s="491" t="n"/>
      <c r="R919" s="491" t="n"/>
      <c r="S919" s="491" t="n"/>
      <c r="T919" s="491" t="n"/>
      <c r="U919" s="491" t="n"/>
      <c r="V919" s="491" t="n"/>
      <c r="W919" s="491" t="n"/>
      <c r="X919" s="491" t="n"/>
      <c r="Y919" s="491" t="n"/>
    </row>
    <row r="920" ht="12.75" customHeight="1" s="398">
      <c r="A920" s="491" t="n"/>
      <c r="B920" s="491" t="n"/>
      <c r="C920" s="491" t="n"/>
      <c r="D920" s="491" t="n"/>
      <c r="E920" s="491" t="n"/>
      <c r="F920" s="491" t="n"/>
      <c r="G920" s="491" t="n"/>
      <c r="H920" s="491" t="n"/>
      <c r="I920" s="491" t="n"/>
      <c r="J920" s="491" t="n"/>
      <c r="K920" s="491" t="n"/>
      <c r="L920" s="491" t="n"/>
      <c r="M920" s="491" t="n"/>
      <c r="N920" s="491" t="n"/>
      <c r="O920" s="491" t="n"/>
      <c r="P920" s="491" t="n"/>
      <c r="Q920" s="491" t="n"/>
      <c r="R920" s="491" t="n"/>
      <c r="S920" s="491" t="n"/>
      <c r="T920" s="491" t="n"/>
      <c r="U920" s="491" t="n"/>
      <c r="V920" s="491" t="n"/>
      <c r="W920" s="491" t="n"/>
      <c r="X920" s="491" t="n"/>
      <c r="Y920" s="491" t="n"/>
    </row>
    <row r="921" ht="12.75" customHeight="1" s="398">
      <c r="A921" s="491" t="n"/>
      <c r="B921" s="491" t="n"/>
      <c r="C921" s="491" t="n"/>
      <c r="D921" s="491" t="n"/>
      <c r="E921" s="491" t="n"/>
      <c r="F921" s="491" t="n"/>
      <c r="G921" s="491" t="n"/>
      <c r="H921" s="491" t="n"/>
      <c r="I921" s="491" t="n"/>
      <c r="J921" s="491" t="n"/>
      <c r="K921" s="491" t="n"/>
      <c r="L921" s="491" t="n"/>
      <c r="M921" s="491" t="n"/>
      <c r="N921" s="491" t="n"/>
      <c r="O921" s="491" t="n"/>
      <c r="P921" s="491" t="n"/>
      <c r="Q921" s="491" t="n"/>
      <c r="R921" s="491" t="n"/>
      <c r="S921" s="491" t="n"/>
      <c r="T921" s="491" t="n"/>
      <c r="U921" s="491" t="n"/>
      <c r="V921" s="491" t="n"/>
      <c r="W921" s="491" t="n"/>
      <c r="X921" s="491" t="n"/>
      <c r="Y921" s="491" t="n"/>
    </row>
    <row r="922" ht="12.75" customHeight="1" s="398">
      <c r="A922" s="491" t="n"/>
      <c r="B922" s="491" t="n"/>
      <c r="C922" s="491" t="n"/>
      <c r="D922" s="491" t="n"/>
      <c r="E922" s="491" t="n"/>
      <c r="F922" s="491" t="n"/>
      <c r="G922" s="491" t="n"/>
      <c r="H922" s="491" t="n"/>
      <c r="I922" s="491" t="n"/>
      <c r="J922" s="491" t="n"/>
      <c r="K922" s="491" t="n"/>
      <c r="L922" s="491" t="n"/>
      <c r="M922" s="491" t="n"/>
      <c r="N922" s="491" t="n"/>
      <c r="O922" s="491" t="n"/>
      <c r="P922" s="491" t="n"/>
      <c r="Q922" s="491" t="n"/>
      <c r="R922" s="491" t="n"/>
      <c r="S922" s="491" t="n"/>
      <c r="T922" s="491" t="n"/>
      <c r="U922" s="491" t="n"/>
      <c r="V922" s="491" t="n"/>
      <c r="W922" s="491" t="n"/>
      <c r="X922" s="491" t="n"/>
      <c r="Y922" s="491" t="n"/>
    </row>
    <row r="923" ht="12.75" customHeight="1" s="398">
      <c r="A923" s="491" t="n"/>
      <c r="B923" s="491" t="n"/>
      <c r="C923" s="491" t="n"/>
      <c r="D923" s="491" t="n"/>
      <c r="E923" s="491" t="n"/>
      <c r="F923" s="491" t="n"/>
      <c r="G923" s="491" t="n"/>
      <c r="H923" s="491" t="n"/>
      <c r="I923" s="491" t="n"/>
      <c r="J923" s="491" t="n"/>
      <c r="K923" s="491" t="n"/>
      <c r="L923" s="491" t="n"/>
      <c r="M923" s="491" t="n"/>
      <c r="N923" s="491" t="n"/>
      <c r="O923" s="491" t="n"/>
      <c r="P923" s="491" t="n"/>
      <c r="Q923" s="491" t="n"/>
      <c r="R923" s="491" t="n"/>
      <c r="S923" s="491" t="n"/>
      <c r="T923" s="491" t="n"/>
      <c r="U923" s="491" t="n"/>
      <c r="V923" s="491" t="n"/>
      <c r="W923" s="491" t="n"/>
      <c r="X923" s="491" t="n"/>
      <c r="Y923" s="491" t="n"/>
    </row>
    <row r="924" ht="12.75" customHeight="1" s="398">
      <c r="A924" s="491" t="n"/>
      <c r="B924" s="491" t="n"/>
      <c r="C924" s="491" t="n"/>
      <c r="D924" s="491" t="n"/>
      <c r="E924" s="491" t="n"/>
      <c r="F924" s="491" t="n"/>
      <c r="G924" s="491" t="n"/>
      <c r="H924" s="491" t="n"/>
      <c r="I924" s="491" t="n"/>
      <c r="J924" s="491" t="n"/>
      <c r="K924" s="491" t="n"/>
      <c r="L924" s="491" t="n"/>
      <c r="M924" s="491" t="n"/>
      <c r="N924" s="491" t="n"/>
      <c r="O924" s="491" t="n"/>
      <c r="P924" s="491" t="n"/>
      <c r="Q924" s="491" t="n"/>
      <c r="R924" s="491" t="n"/>
      <c r="S924" s="491" t="n"/>
      <c r="T924" s="491" t="n"/>
      <c r="U924" s="491" t="n"/>
      <c r="V924" s="491" t="n"/>
      <c r="W924" s="491" t="n"/>
      <c r="X924" s="491" t="n"/>
      <c r="Y924" s="491" t="n"/>
    </row>
    <row r="925" ht="12.75" customHeight="1" s="398">
      <c r="A925" s="491" t="n"/>
      <c r="B925" s="491" t="n"/>
      <c r="C925" s="491" t="n"/>
      <c r="D925" s="491" t="n"/>
      <c r="E925" s="491" t="n"/>
      <c r="F925" s="491" t="n"/>
      <c r="G925" s="491" t="n"/>
      <c r="H925" s="491" t="n"/>
      <c r="I925" s="491" t="n"/>
      <c r="J925" s="491" t="n"/>
      <c r="K925" s="491" t="n"/>
      <c r="L925" s="491" t="n"/>
      <c r="M925" s="491" t="n"/>
      <c r="N925" s="491" t="n"/>
      <c r="O925" s="491" t="n"/>
      <c r="P925" s="491" t="n"/>
      <c r="Q925" s="491" t="n"/>
      <c r="R925" s="491" t="n"/>
      <c r="S925" s="491" t="n"/>
      <c r="T925" s="491" t="n"/>
      <c r="U925" s="491" t="n"/>
      <c r="V925" s="491" t="n"/>
      <c r="W925" s="491" t="n"/>
      <c r="X925" s="491" t="n"/>
      <c r="Y925" s="491" t="n"/>
    </row>
    <row r="926" ht="12.75" customHeight="1" s="398">
      <c r="A926" s="491" t="n"/>
      <c r="B926" s="491" t="n"/>
      <c r="C926" s="491" t="n"/>
      <c r="D926" s="491" t="n"/>
      <c r="E926" s="491" t="n"/>
      <c r="F926" s="491" t="n"/>
      <c r="G926" s="491" t="n"/>
      <c r="H926" s="491" t="n"/>
      <c r="I926" s="491" t="n"/>
      <c r="J926" s="491" t="n"/>
      <c r="K926" s="491" t="n"/>
      <c r="L926" s="491" t="n"/>
      <c r="M926" s="491" t="n"/>
      <c r="N926" s="491" t="n"/>
      <c r="O926" s="491" t="n"/>
      <c r="P926" s="491" t="n"/>
      <c r="Q926" s="491" t="n"/>
      <c r="R926" s="491" t="n"/>
      <c r="S926" s="491" t="n"/>
      <c r="T926" s="491" t="n"/>
      <c r="U926" s="491" t="n"/>
      <c r="V926" s="491" t="n"/>
      <c r="W926" s="491" t="n"/>
      <c r="X926" s="491" t="n"/>
      <c r="Y926" s="491" t="n"/>
    </row>
    <row r="927" ht="12.75" customHeight="1" s="398">
      <c r="A927" s="491" t="n"/>
      <c r="B927" s="491" t="n"/>
      <c r="C927" s="491" t="n"/>
      <c r="D927" s="491" t="n"/>
      <c r="E927" s="491" t="n"/>
      <c r="F927" s="491" t="n"/>
      <c r="G927" s="491" t="n"/>
      <c r="H927" s="491" t="n"/>
      <c r="I927" s="491" t="n"/>
      <c r="J927" s="491" t="n"/>
      <c r="K927" s="491" t="n"/>
      <c r="L927" s="491" t="n"/>
      <c r="M927" s="491" t="n"/>
      <c r="N927" s="491" t="n"/>
      <c r="O927" s="491" t="n"/>
      <c r="P927" s="491" t="n"/>
      <c r="Q927" s="491" t="n"/>
      <c r="R927" s="491" t="n"/>
      <c r="S927" s="491" t="n"/>
      <c r="T927" s="491" t="n"/>
      <c r="U927" s="491" t="n"/>
      <c r="V927" s="491" t="n"/>
      <c r="W927" s="491" t="n"/>
      <c r="X927" s="491" t="n"/>
      <c r="Y927" s="491" t="n"/>
    </row>
    <row r="928" ht="12.75" customHeight="1" s="398">
      <c r="A928" s="491" t="n"/>
      <c r="B928" s="491" t="n"/>
      <c r="C928" s="491" t="n"/>
      <c r="D928" s="491" t="n"/>
      <c r="E928" s="491" t="n"/>
      <c r="F928" s="491" t="n"/>
      <c r="G928" s="491" t="n"/>
      <c r="H928" s="491" t="n"/>
      <c r="I928" s="491" t="n"/>
      <c r="J928" s="491" t="n"/>
      <c r="K928" s="491" t="n"/>
      <c r="L928" s="491" t="n"/>
      <c r="M928" s="491" t="n"/>
      <c r="N928" s="491" t="n"/>
      <c r="O928" s="491" t="n"/>
      <c r="P928" s="491" t="n"/>
      <c r="Q928" s="491" t="n"/>
      <c r="R928" s="491" t="n"/>
      <c r="S928" s="491" t="n"/>
      <c r="T928" s="491" t="n"/>
      <c r="U928" s="491" t="n"/>
      <c r="V928" s="491" t="n"/>
      <c r="W928" s="491" t="n"/>
      <c r="X928" s="491" t="n"/>
      <c r="Y928" s="491" t="n"/>
    </row>
    <row r="929" ht="12.75" customHeight="1" s="398">
      <c r="A929" s="491" t="n"/>
      <c r="B929" s="491" t="n"/>
      <c r="C929" s="491" t="n"/>
      <c r="D929" s="491" t="n"/>
      <c r="E929" s="491" t="n"/>
      <c r="F929" s="491" t="n"/>
      <c r="G929" s="491" t="n"/>
      <c r="H929" s="491" t="n"/>
      <c r="I929" s="491" t="n"/>
      <c r="J929" s="491" t="n"/>
      <c r="K929" s="491" t="n"/>
      <c r="L929" s="491" t="n"/>
      <c r="M929" s="491" t="n"/>
      <c r="N929" s="491" t="n"/>
      <c r="O929" s="491" t="n"/>
      <c r="P929" s="491" t="n"/>
      <c r="Q929" s="491" t="n"/>
      <c r="R929" s="491" t="n"/>
      <c r="S929" s="491" t="n"/>
      <c r="T929" s="491" t="n"/>
      <c r="U929" s="491" t="n"/>
      <c r="V929" s="491" t="n"/>
      <c r="W929" s="491" t="n"/>
      <c r="X929" s="491" t="n"/>
      <c r="Y929" s="491" t="n"/>
    </row>
    <row r="930" ht="12.75" customHeight="1" s="398">
      <c r="A930" s="491" t="n"/>
      <c r="B930" s="491" t="n"/>
      <c r="C930" s="491" t="n"/>
      <c r="D930" s="491" t="n"/>
      <c r="E930" s="491" t="n"/>
      <c r="F930" s="491" t="n"/>
      <c r="G930" s="491" t="n"/>
      <c r="H930" s="491" t="n"/>
      <c r="I930" s="491" t="n"/>
      <c r="J930" s="491" t="n"/>
      <c r="K930" s="491" t="n"/>
      <c r="L930" s="491" t="n"/>
      <c r="M930" s="491" t="n"/>
      <c r="N930" s="491" t="n"/>
      <c r="O930" s="491" t="n"/>
      <c r="P930" s="491" t="n"/>
      <c r="Q930" s="491" t="n"/>
      <c r="R930" s="491" t="n"/>
      <c r="S930" s="491" t="n"/>
      <c r="T930" s="491" t="n"/>
      <c r="U930" s="491" t="n"/>
      <c r="V930" s="491" t="n"/>
      <c r="W930" s="491" t="n"/>
      <c r="X930" s="491" t="n"/>
      <c r="Y930" s="491" t="n"/>
    </row>
    <row r="931" ht="12.75" customHeight="1" s="398">
      <c r="A931" s="491" t="n"/>
      <c r="B931" s="491" t="n"/>
      <c r="C931" s="491" t="n"/>
      <c r="D931" s="491" t="n"/>
      <c r="E931" s="491" t="n"/>
      <c r="F931" s="491" t="n"/>
      <c r="G931" s="491" t="n"/>
      <c r="H931" s="491" t="n"/>
      <c r="I931" s="491" t="n"/>
      <c r="J931" s="491" t="n"/>
      <c r="K931" s="491" t="n"/>
      <c r="L931" s="491" t="n"/>
      <c r="M931" s="491" t="n"/>
      <c r="N931" s="491" t="n"/>
      <c r="O931" s="491" t="n"/>
      <c r="P931" s="491" t="n"/>
      <c r="Q931" s="491" t="n"/>
      <c r="R931" s="491" t="n"/>
      <c r="S931" s="491" t="n"/>
      <c r="T931" s="491" t="n"/>
      <c r="U931" s="491" t="n"/>
      <c r="V931" s="491" t="n"/>
      <c r="W931" s="491" t="n"/>
      <c r="X931" s="491" t="n"/>
      <c r="Y931" s="491" t="n"/>
    </row>
    <row r="932" ht="12.75" customHeight="1" s="398">
      <c r="A932" s="491" t="n"/>
      <c r="B932" s="491" t="n"/>
      <c r="C932" s="491" t="n"/>
      <c r="D932" s="491" t="n"/>
      <c r="E932" s="491" t="n"/>
      <c r="F932" s="491" t="n"/>
      <c r="G932" s="491" t="n"/>
      <c r="H932" s="491" t="n"/>
      <c r="I932" s="491" t="n"/>
      <c r="J932" s="491" t="n"/>
      <c r="K932" s="491" t="n"/>
      <c r="L932" s="491" t="n"/>
      <c r="M932" s="491" t="n"/>
      <c r="N932" s="491" t="n"/>
      <c r="O932" s="491" t="n"/>
      <c r="P932" s="491" t="n"/>
      <c r="Q932" s="491" t="n"/>
      <c r="R932" s="491" t="n"/>
      <c r="S932" s="491" t="n"/>
      <c r="T932" s="491" t="n"/>
      <c r="U932" s="491" t="n"/>
      <c r="V932" s="491" t="n"/>
      <c r="W932" s="491" t="n"/>
      <c r="X932" s="491" t="n"/>
      <c r="Y932" s="491" t="n"/>
    </row>
    <row r="933" ht="12.75" customHeight="1" s="398">
      <c r="A933" s="491" t="n"/>
      <c r="B933" s="491" t="n"/>
      <c r="C933" s="491" t="n"/>
      <c r="D933" s="491" t="n"/>
      <c r="E933" s="491" t="n"/>
      <c r="F933" s="491" t="n"/>
      <c r="G933" s="491" t="n"/>
      <c r="H933" s="491" t="n"/>
      <c r="I933" s="491" t="n"/>
      <c r="J933" s="491" t="n"/>
      <c r="K933" s="491" t="n"/>
      <c r="L933" s="491" t="n"/>
      <c r="M933" s="491" t="n"/>
      <c r="N933" s="491" t="n"/>
      <c r="O933" s="491" t="n"/>
      <c r="P933" s="491" t="n"/>
      <c r="Q933" s="491" t="n"/>
      <c r="R933" s="491" t="n"/>
      <c r="S933" s="491" t="n"/>
      <c r="T933" s="491" t="n"/>
      <c r="U933" s="491" t="n"/>
      <c r="V933" s="491" t="n"/>
      <c r="W933" s="491" t="n"/>
      <c r="X933" s="491" t="n"/>
      <c r="Y933" s="491" t="n"/>
    </row>
    <row r="934" ht="12.75" customHeight="1" s="398">
      <c r="A934" s="491" t="n"/>
      <c r="B934" s="491" t="n"/>
      <c r="C934" s="491" t="n"/>
      <c r="D934" s="491" t="n"/>
      <c r="E934" s="491" t="n"/>
      <c r="F934" s="491" t="n"/>
      <c r="G934" s="491" t="n"/>
      <c r="H934" s="491" t="n"/>
      <c r="I934" s="491" t="n"/>
      <c r="J934" s="491" t="n"/>
      <c r="K934" s="491" t="n"/>
      <c r="L934" s="491" t="n"/>
      <c r="M934" s="491" t="n"/>
      <c r="N934" s="491" t="n"/>
      <c r="O934" s="491" t="n"/>
      <c r="P934" s="491" t="n"/>
      <c r="Q934" s="491" t="n"/>
      <c r="R934" s="491" t="n"/>
      <c r="S934" s="491" t="n"/>
      <c r="T934" s="491" t="n"/>
      <c r="U934" s="491" t="n"/>
      <c r="V934" s="491" t="n"/>
      <c r="W934" s="491" t="n"/>
      <c r="X934" s="491" t="n"/>
      <c r="Y934" s="491" t="n"/>
    </row>
    <row r="935" ht="12.75" customHeight="1" s="398">
      <c r="A935" s="491" t="n"/>
      <c r="B935" s="491" t="n"/>
      <c r="C935" s="491" t="n"/>
      <c r="D935" s="491" t="n"/>
      <c r="E935" s="491" t="n"/>
      <c r="F935" s="491" t="n"/>
      <c r="G935" s="491" t="n"/>
      <c r="H935" s="491" t="n"/>
      <c r="I935" s="491" t="n"/>
      <c r="J935" s="491" t="n"/>
      <c r="K935" s="491" t="n"/>
      <c r="L935" s="491" t="n"/>
      <c r="M935" s="491" t="n"/>
      <c r="N935" s="491" t="n"/>
      <c r="O935" s="491" t="n"/>
      <c r="P935" s="491" t="n"/>
      <c r="Q935" s="491" t="n"/>
      <c r="R935" s="491" t="n"/>
      <c r="S935" s="491" t="n"/>
      <c r="T935" s="491" t="n"/>
      <c r="U935" s="491" t="n"/>
      <c r="V935" s="491" t="n"/>
      <c r="W935" s="491" t="n"/>
      <c r="X935" s="491" t="n"/>
      <c r="Y935" s="491" t="n"/>
    </row>
    <row r="936" ht="12.75" customHeight="1" s="398">
      <c r="A936" s="491" t="n"/>
      <c r="B936" s="491" t="n"/>
      <c r="C936" s="491" t="n"/>
      <c r="D936" s="491" t="n"/>
      <c r="E936" s="491" t="n"/>
      <c r="F936" s="491" t="n"/>
      <c r="G936" s="491" t="n"/>
      <c r="H936" s="491" t="n"/>
      <c r="I936" s="491" t="n"/>
      <c r="J936" s="491" t="n"/>
      <c r="K936" s="491" t="n"/>
      <c r="L936" s="491" t="n"/>
      <c r="M936" s="491" t="n"/>
      <c r="N936" s="491" t="n"/>
      <c r="O936" s="491" t="n"/>
      <c r="P936" s="491" t="n"/>
      <c r="Q936" s="491" t="n"/>
      <c r="R936" s="491" t="n"/>
      <c r="S936" s="491" t="n"/>
      <c r="T936" s="491" t="n"/>
      <c r="U936" s="491" t="n"/>
      <c r="V936" s="491" t="n"/>
      <c r="W936" s="491" t="n"/>
      <c r="X936" s="491" t="n"/>
      <c r="Y936" s="491" t="n"/>
    </row>
    <row r="937" ht="12.75" customHeight="1" s="398">
      <c r="A937" s="491" t="n"/>
      <c r="B937" s="491" t="n"/>
      <c r="C937" s="491" t="n"/>
      <c r="D937" s="491" t="n"/>
      <c r="E937" s="491" t="n"/>
      <c r="F937" s="491" t="n"/>
      <c r="G937" s="491" t="n"/>
      <c r="H937" s="491" t="n"/>
      <c r="I937" s="491" t="n"/>
      <c r="J937" s="491" t="n"/>
      <c r="K937" s="491" t="n"/>
      <c r="L937" s="491" t="n"/>
      <c r="M937" s="491" t="n"/>
      <c r="N937" s="491" t="n"/>
      <c r="O937" s="491" t="n"/>
      <c r="P937" s="491" t="n"/>
      <c r="Q937" s="491" t="n"/>
      <c r="R937" s="491" t="n"/>
      <c r="S937" s="491" t="n"/>
      <c r="T937" s="491" t="n"/>
      <c r="U937" s="491" t="n"/>
      <c r="V937" s="491" t="n"/>
      <c r="W937" s="491" t="n"/>
      <c r="X937" s="491" t="n"/>
      <c r="Y937" s="491" t="n"/>
    </row>
    <row r="938" ht="12.75" customHeight="1" s="398">
      <c r="A938" s="491" t="n"/>
      <c r="B938" s="491" t="n"/>
      <c r="C938" s="491" t="n"/>
      <c r="D938" s="491" t="n"/>
      <c r="E938" s="491" t="n"/>
      <c r="F938" s="491" t="n"/>
      <c r="G938" s="491" t="n"/>
      <c r="H938" s="491" t="n"/>
      <c r="I938" s="491" t="n"/>
      <c r="J938" s="491" t="n"/>
      <c r="K938" s="491" t="n"/>
      <c r="L938" s="491" t="n"/>
      <c r="M938" s="491" t="n"/>
      <c r="N938" s="491" t="n"/>
      <c r="O938" s="491" t="n"/>
      <c r="P938" s="491" t="n"/>
      <c r="Q938" s="491" t="n"/>
      <c r="R938" s="491" t="n"/>
      <c r="S938" s="491" t="n"/>
      <c r="T938" s="491" t="n"/>
      <c r="U938" s="491" t="n"/>
      <c r="V938" s="491" t="n"/>
      <c r="W938" s="491" t="n"/>
      <c r="X938" s="491" t="n"/>
      <c r="Y938" s="491" t="n"/>
    </row>
    <row r="939" ht="12.75" customHeight="1" s="398">
      <c r="A939" s="491" t="n"/>
      <c r="B939" s="491" t="n"/>
      <c r="C939" s="491" t="n"/>
      <c r="D939" s="491" t="n"/>
      <c r="E939" s="491" t="n"/>
      <c r="F939" s="491" t="n"/>
      <c r="G939" s="491" t="n"/>
      <c r="H939" s="491" t="n"/>
      <c r="I939" s="491" t="n"/>
      <c r="J939" s="491" t="n"/>
      <c r="K939" s="491" t="n"/>
      <c r="L939" s="491" t="n"/>
      <c r="M939" s="491" t="n"/>
      <c r="N939" s="491" t="n"/>
      <c r="O939" s="491" t="n"/>
      <c r="P939" s="491" t="n"/>
      <c r="Q939" s="491" t="n"/>
      <c r="R939" s="491" t="n"/>
      <c r="S939" s="491" t="n"/>
      <c r="T939" s="491" t="n"/>
      <c r="U939" s="491" t="n"/>
      <c r="V939" s="491" t="n"/>
      <c r="W939" s="491" t="n"/>
      <c r="X939" s="491" t="n"/>
      <c r="Y939" s="491" t="n"/>
    </row>
    <row r="940" ht="12.75" customHeight="1" s="398">
      <c r="A940" s="491" t="n"/>
      <c r="B940" s="491" t="n"/>
      <c r="C940" s="491" t="n"/>
      <c r="D940" s="491" t="n"/>
      <c r="E940" s="491" t="n"/>
      <c r="F940" s="491" t="n"/>
      <c r="G940" s="491" t="n"/>
      <c r="H940" s="491" t="n"/>
      <c r="I940" s="491" t="n"/>
      <c r="J940" s="491" t="n"/>
      <c r="K940" s="491" t="n"/>
      <c r="L940" s="491" t="n"/>
      <c r="M940" s="491" t="n"/>
      <c r="N940" s="491" t="n"/>
      <c r="O940" s="491" t="n"/>
      <c r="P940" s="491" t="n"/>
      <c r="Q940" s="491" t="n"/>
      <c r="R940" s="491" t="n"/>
      <c r="S940" s="491" t="n"/>
      <c r="T940" s="491" t="n"/>
      <c r="U940" s="491" t="n"/>
      <c r="V940" s="491" t="n"/>
      <c r="W940" s="491" t="n"/>
      <c r="X940" s="491" t="n"/>
      <c r="Y940" s="491" t="n"/>
    </row>
    <row r="941" ht="12.75" customHeight="1" s="398">
      <c r="A941" s="491" t="n"/>
      <c r="B941" s="491" t="n"/>
      <c r="C941" s="491" t="n"/>
      <c r="D941" s="491" t="n"/>
      <c r="E941" s="491" t="n"/>
      <c r="F941" s="491" t="n"/>
      <c r="G941" s="491" t="n"/>
      <c r="H941" s="491" t="n"/>
      <c r="I941" s="491" t="n"/>
      <c r="J941" s="491" t="n"/>
      <c r="K941" s="491" t="n"/>
      <c r="L941" s="491" t="n"/>
      <c r="M941" s="491" t="n"/>
      <c r="N941" s="491" t="n"/>
      <c r="O941" s="491" t="n"/>
      <c r="P941" s="491" t="n"/>
      <c r="Q941" s="491" t="n"/>
      <c r="R941" s="491" t="n"/>
      <c r="S941" s="491" t="n"/>
      <c r="T941" s="491" t="n"/>
      <c r="U941" s="491" t="n"/>
      <c r="V941" s="491" t="n"/>
      <c r="W941" s="491" t="n"/>
      <c r="X941" s="491" t="n"/>
      <c r="Y941" s="491" t="n"/>
    </row>
    <row r="942" ht="12.75" customHeight="1" s="398">
      <c r="A942" s="491" t="n"/>
      <c r="B942" s="491" t="n"/>
      <c r="C942" s="491" t="n"/>
      <c r="D942" s="491" t="n"/>
      <c r="E942" s="491" t="n"/>
      <c r="F942" s="491" t="n"/>
      <c r="G942" s="491" t="n"/>
      <c r="H942" s="491" t="n"/>
      <c r="I942" s="491" t="n"/>
      <c r="J942" s="491" t="n"/>
      <c r="K942" s="491" t="n"/>
      <c r="L942" s="491" t="n"/>
      <c r="M942" s="491" t="n"/>
      <c r="N942" s="491" t="n"/>
      <c r="O942" s="491" t="n"/>
      <c r="P942" s="491" t="n"/>
      <c r="Q942" s="491" t="n"/>
      <c r="R942" s="491" t="n"/>
      <c r="S942" s="491" t="n"/>
      <c r="T942" s="491" t="n"/>
      <c r="U942" s="491" t="n"/>
      <c r="V942" s="491" t="n"/>
      <c r="W942" s="491" t="n"/>
      <c r="X942" s="491" t="n"/>
      <c r="Y942" s="491" t="n"/>
    </row>
    <row r="943" ht="12.75" customHeight="1" s="398">
      <c r="A943" s="491" t="n"/>
      <c r="B943" s="491" t="n"/>
      <c r="C943" s="491" t="n"/>
      <c r="D943" s="491" t="n"/>
      <c r="E943" s="491" t="n"/>
      <c r="F943" s="491" t="n"/>
      <c r="G943" s="491" t="n"/>
      <c r="H943" s="491" t="n"/>
      <c r="I943" s="491" t="n"/>
      <c r="J943" s="491" t="n"/>
      <c r="K943" s="491" t="n"/>
      <c r="L943" s="491" t="n"/>
      <c r="M943" s="491" t="n"/>
      <c r="N943" s="491" t="n"/>
      <c r="O943" s="491" t="n"/>
      <c r="P943" s="491" t="n"/>
      <c r="Q943" s="491" t="n"/>
      <c r="R943" s="491" t="n"/>
      <c r="S943" s="491" t="n"/>
      <c r="T943" s="491" t="n"/>
      <c r="U943" s="491" t="n"/>
      <c r="V943" s="491" t="n"/>
      <c r="W943" s="491" t="n"/>
      <c r="X943" s="491" t="n"/>
      <c r="Y943" s="491" t="n"/>
    </row>
    <row r="944" ht="12.75" customHeight="1" s="398">
      <c r="A944" s="491" t="n"/>
      <c r="B944" s="491" t="n"/>
      <c r="C944" s="491" t="n"/>
      <c r="D944" s="491" t="n"/>
      <c r="E944" s="491" t="n"/>
      <c r="F944" s="491" t="n"/>
      <c r="G944" s="491" t="n"/>
      <c r="H944" s="491" t="n"/>
      <c r="I944" s="491" t="n"/>
      <c r="J944" s="491" t="n"/>
      <c r="K944" s="491" t="n"/>
      <c r="L944" s="491" t="n"/>
      <c r="M944" s="491" t="n"/>
      <c r="N944" s="491" t="n"/>
      <c r="O944" s="491" t="n"/>
      <c r="P944" s="491" t="n"/>
      <c r="Q944" s="491" t="n"/>
      <c r="R944" s="491" t="n"/>
      <c r="S944" s="491" t="n"/>
      <c r="T944" s="491" t="n"/>
      <c r="U944" s="491" t="n"/>
      <c r="V944" s="491" t="n"/>
      <c r="W944" s="491" t="n"/>
      <c r="X944" s="491" t="n"/>
      <c r="Y944" s="491" t="n"/>
    </row>
    <row r="945" ht="12.75" customHeight="1" s="398">
      <c r="A945" s="491" t="n"/>
      <c r="B945" s="491" t="n"/>
      <c r="C945" s="491" t="n"/>
      <c r="D945" s="491" t="n"/>
      <c r="E945" s="491" t="n"/>
      <c r="F945" s="491" t="n"/>
      <c r="G945" s="491" t="n"/>
      <c r="H945" s="491" t="n"/>
      <c r="I945" s="491" t="n"/>
      <c r="J945" s="491" t="n"/>
      <c r="K945" s="491" t="n"/>
      <c r="L945" s="491" t="n"/>
      <c r="M945" s="491" t="n"/>
      <c r="N945" s="491" t="n"/>
      <c r="O945" s="491" t="n"/>
      <c r="P945" s="491" t="n"/>
      <c r="Q945" s="491" t="n"/>
      <c r="R945" s="491" t="n"/>
      <c r="S945" s="491" t="n"/>
      <c r="T945" s="491" t="n"/>
      <c r="U945" s="491" t="n"/>
      <c r="V945" s="491" t="n"/>
      <c r="W945" s="491" t="n"/>
      <c r="X945" s="491" t="n"/>
      <c r="Y945" s="491" t="n"/>
    </row>
    <row r="946" ht="12.75" customHeight="1" s="398">
      <c r="A946" s="491" t="n"/>
      <c r="B946" s="491" t="n"/>
      <c r="C946" s="491" t="n"/>
      <c r="D946" s="491" t="n"/>
      <c r="E946" s="491" t="n"/>
      <c r="F946" s="491" t="n"/>
      <c r="G946" s="491" t="n"/>
      <c r="H946" s="491" t="n"/>
      <c r="I946" s="491" t="n"/>
      <c r="J946" s="491" t="n"/>
      <c r="K946" s="491" t="n"/>
      <c r="L946" s="491" t="n"/>
      <c r="M946" s="491" t="n"/>
      <c r="N946" s="491" t="n"/>
      <c r="O946" s="491" t="n"/>
      <c r="P946" s="491" t="n"/>
      <c r="Q946" s="491" t="n"/>
      <c r="R946" s="491" t="n"/>
      <c r="S946" s="491" t="n"/>
      <c r="T946" s="491" t="n"/>
      <c r="U946" s="491" t="n"/>
      <c r="V946" s="491" t="n"/>
      <c r="W946" s="491" t="n"/>
      <c r="X946" s="491" t="n"/>
      <c r="Y946" s="491" t="n"/>
    </row>
    <row r="947" ht="12.75" customHeight="1" s="398">
      <c r="A947" s="491" t="n"/>
      <c r="B947" s="491" t="n"/>
      <c r="C947" s="491" t="n"/>
      <c r="D947" s="491" t="n"/>
      <c r="E947" s="491" t="n"/>
      <c r="F947" s="491" t="n"/>
      <c r="G947" s="491" t="n"/>
      <c r="H947" s="491" t="n"/>
      <c r="I947" s="491" t="n"/>
      <c r="J947" s="491" t="n"/>
      <c r="K947" s="491" t="n"/>
      <c r="L947" s="491" t="n"/>
      <c r="M947" s="491" t="n"/>
      <c r="N947" s="491" t="n"/>
      <c r="O947" s="491" t="n"/>
      <c r="P947" s="491" t="n"/>
      <c r="Q947" s="491" t="n"/>
      <c r="R947" s="491" t="n"/>
      <c r="S947" s="491" t="n"/>
      <c r="T947" s="491" t="n"/>
      <c r="U947" s="491" t="n"/>
      <c r="V947" s="491" t="n"/>
      <c r="W947" s="491" t="n"/>
      <c r="X947" s="491" t="n"/>
      <c r="Y947" s="491" t="n"/>
    </row>
    <row r="948" ht="12.75" customHeight="1" s="398">
      <c r="A948" s="491" t="n"/>
      <c r="B948" s="491" t="n"/>
      <c r="C948" s="491" t="n"/>
      <c r="D948" s="491" t="n"/>
      <c r="E948" s="491" t="n"/>
      <c r="F948" s="491" t="n"/>
      <c r="G948" s="491" t="n"/>
      <c r="H948" s="491" t="n"/>
      <c r="I948" s="491" t="n"/>
      <c r="J948" s="491" t="n"/>
      <c r="K948" s="491" t="n"/>
      <c r="L948" s="491" t="n"/>
      <c r="M948" s="491" t="n"/>
      <c r="N948" s="491" t="n"/>
      <c r="O948" s="491" t="n"/>
      <c r="P948" s="491" t="n"/>
      <c r="Q948" s="491" t="n"/>
      <c r="R948" s="491" t="n"/>
      <c r="S948" s="491" t="n"/>
      <c r="T948" s="491" t="n"/>
      <c r="U948" s="491" t="n"/>
      <c r="V948" s="491" t="n"/>
      <c r="W948" s="491" t="n"/>
      <c r="X948" s="491" t="n"/>
      <c r="Y948" s="491" t="n"/>
    </row>
    <row r="949" ht="12.75" customHeight="1" s="398">
      <c r="A949" s="491" t="n"/>
      <c r="B949" s="491" t="n"/>
      <c r="C949" s="491" t="n"/>
      <c r="D949" s="491" t="n"/>
      <c r="E949" s="491" t="n"/>
      <c r="F949" s="491" t="n"/>
      <c r="G949" s="491" t="n"/>
      <c r="H949" s="491" t="n"/>
      <c r="I949" s="491" t="n"/>
      <c r="J949" s="491" t="n"/>
      <c r="K949" s="491" t="n"/>
      <c r="L949" s="491" t="n"/>
      <c r="M949" s="491" t="n"/>
      <c r="N949" s="491" t="n"/>
      <c r="O949" s="491" t="n"/>
      <c r="P949" s="491" t="n"/>
      <c r="Q949" s="491" t="n"/>
      <c r="R949" s="491" t="n"/>
      <c r="S949" s="491" t="n"/>
      <c r="T949" s="491" t="n"/>
      <c r="U949" s="491" t="n"/>
      <c r="V949" s="491" t="n"/>
      <c r="W949" s="491" t="n"/>
      <c r="X949" s="491" t="n"/>
      <c r="Y949" s="491" t="n"/>
    </row>
    <row r="950" ht="12.75" customHeight="1" s="398">
      <c r="A950" s="491" t="n"/>
      <c r="B950" s="491" t="n"/>
      <c r="C950" s="491" t="n"/>
      <c r="D950" s="491" t="n"/>
      <c r="E950" s="491" t="n"/>
      <c r="F950" s="491" t="n"/>
      <c r="G950" s="491" t="n"/>
      <c r="H950" s="491" t="n"/>
      <c r="I950" s="491" t="n"/>
      <c r="J950" s="491" t="n"/>
      <c r="K950" s="491" t="n"/>
      <c r="L950" s="491" t="n"/>
      <c r="M950" s="491" t="n"/>
      <c r="N950" s="491" t="n"/>
      <c r="O950" s="491" t="n"/>
      <c r="P950" s="491" t="n"/>
      <c r="Q950" s="491" t="n"/>
      <c r="R950" s="491" t="n"/>
      <c r="S950" s="491" t="n"/>
      <c r="T950" s="491" t="n"/>
      <c r="U950" s="491" t="n"/>
      <c r="V950" s="491" t="n"/>
      <c r="W950" s="491" t="n"/>
      <c r="X950" s="491" t="n"/>
      <c r="Y950" s="491" t="n"/>
    </row>
    <row r="951" ht="12.75" customHeight="1" s="398">
      <c r="A951" s="491" t="n"/>
      <c r="B951" s="491" t="n"/>
      <c r="C951" s="491" t="n"/>
      <c r="D951" s="491" t="n"/>
      <c r="E951" s="491" t="n"/>
      <c r="F951" s="491" t="n"/>
      <c r="G951" s="491" t="n"/>
      <c r="H951" s="491" t="n"/>
      <c r="I951" s="491" t="n"/>
      <c r="J951" s="491" t="n"/>
      <c r="K951" s="491" t="n"/>
      <c r="L951" s="491" t="n"/>
      <c r="M951" s="491" t="n"/>
      <c r="N951" s="491" t="n"/>
      <c r="O951" s="491" t="n"/>
      <c r="P951" s="491" t="n"/>
      <c r="Q951" s="491" t="n"/>
      <c r="R951" s="491" t="n"/>
      <c r="S951" s="491" t="n"/>
      <c r="T951" s="491" t="n"/>
      <c r="U951" s="491" t="n"/>
      <c r="V951" s="491" t="n"/>
      <c r="W951" s="491" t="n"/>
      <c r="X951" s="491" t="n"/>
      <c r="Y951" s="491" t="n"/>
    </row>
    <row r="952" ht="12.75" customHeight="1" s="398">
      <c r="A952" s="491" t="n"/>
      <c r="B952" s="491" t="n"/>
      <c r="C952" s="491" t="n"/>
      <c r="D952" s="491" t="n"/>
      <c r="E952" s="491" t="n"/>
      <c r="F952" s="491" t="n"/>
      <c r="G952" s="491" t="n"/>
      <c r="H952" s="491" t="n"/>
      <c r="I952" s="491" t="n"/>
      <c r="J952" s="491" t="n"/>
      <c r="K952" s="491" t="n"/>
      <c r="L952" s="491" t="n"/>
      <c r="M952" s="491" t="n"/>
      <c r="N952" s="491" t="n"/>
      <c r="O952" s="491" t="n"/>
      <c r="P952" s="491" t="n"/>
      <c r="Q952" s="491" t="n"/>
      <c r="R952" s="491" t="n"/>
      <c r="S952" s="491" t="n"/>
      <c r="T952" s="491" t="n"/>
      <c r="U952" s="491" t="n"/>
      <c r="V952" s="491" t="n"/>
      <c r="W952" s="491" t="n"/>
      <c r="X952" s="491" t="n"/>
      <c r="Y952" s="491" t="n"/>
    </row>
    <row r="953" ht="12.75" customHeight="1" s="398">
      <c r="A953" s="491" t="n"/>
      <c r="B953" s="491" t="n"/>
      <c r="C953" s="491" t="n"/>
      <c r="D953" s="491" t="n"/>
      <c r="E953" s="491" t="n"/>
      <c r="F953" s="491" t="n"/>
      <c r="G953" s="491" t="n"/>
      <c r="H953" s="491" t="n"/>
      <c r="I953" s="491" t="n"/>
      <c r="J953" s="491" t="n"/>
      <c r="K953" s="491" t="n"/>
      <c r="L953" s="491" t="n"/>
      <c r="M953" s="491" t="n"/>
      <c r="N953" s="491" t="n"/>
      <c r="O953" s="491" t="n"/>
      <c r="P953" s="491" t="n"/>
      <c r="Q953" s="491" t="n"/>
      <c r="R953" s="491" t="n"/>
      <c r="S953" s="491" t="n"/>
      <c r="T953" s="491" t="n"/>
      <c r="U953" s="491" t="n"/>
      <c r="V953" s="491" t="n"/>
      <c r="W953" s="491" t="n"/>
      <c r="X953" s="491" t="n"/>
      <c r="Y953" s="491" t="n"/>
    </row>
    <row r="954" ht="12.75" customHeight="1" s="398">
      <c r="A954" s="491" t="n"/>
      <c r="B954" s="491" t="n"/>
      <c r="C954" s="491" t="n"/>
      <c r="D954" s="491" t="n"/>
      <c r="E954" s="491" t="n"/>
      <c r="F954" s="491" t="n"/>
      <c r="G954" s="491" t="n"/>
      <c r="H954" s="491" t="n"/>
      <c r="I954" s="491" t="n"/>
      <c r="J954" s="491" t="n"/>
      <c r="K954" s="491" t="n"/>
      <c r="L954" s="491" t="n"/>
      <c r="M954" s="491" t="n"/>
      <c r="N954" s="491" t="n"/>
      <c r="O954" s="491" t="n"/>
      <c r="P954" s="491" t="n"/>
      <c r="Q954" s="491" t="n"/>
      <c r="R954" s="491" t="n"/>
      <c r="S954" s="491" t="n"/>
      <c r="T954" s="491" t="n"/>
      <c r="U954" s="491" t="n"/>
      <c r="V954" s="491" t="n"/>
      <c r="W954" s="491" t="n"/>
      <c r="X954" s="491" t="n"/>
      <c r="Y954" s="491" t="n"/>
    </row>
    <row r="955" ht="12.75" customHeight="1" s="398">
      <c r="A955" s="491" t="n"/>
      <c r="B955" s="491" t="n"/>
      <c r="C955" s="491" t="n"/>
      <c r="D955" s="491" t="n"/>
      <c r="E955" s="491" t="n"/>
      <c r="F955" s="491" t="n"/>
      <c r="G955" s="491" t="n"/>
      <c r="H955" s="491" t="n"/>
      <c r="I955" s="491" t="n"/>
      <c r="J955" s="491" t="n"/>
      <c r="K955" s="491" t="n"/>
      <c r="L955" s="491" t="n"/>
      <c r="M955" s="491" t="n"/>
      <c r="N955" s="491" t="n"/>
      <c r="O955" s="491" t="n"/>
      <c r="P955" s="491" t="n"/>
      <c r="Q955" s="491" t="n"/>
      <c r="R955" s="491" t="n"/>
      <c r="S955" s="491" t="n"/>
      <c r="T955" s="491" t="n"/>
      <c r="U955" s="491" t="n"/>
      <c r="V955" s="491" t="n"/>
      <c r="W955" s="491" t="n"/>
      <c r="X955" s="491" t="n"/>
      <c r="Y955" s="491" t="n"/>
    </row>
    <row r="956" ht="12.75" customHeight="1" s="398">
      <c r="A956" s="491" t="n"/>
      <c r="B956" s="491" t="n"/>
      <c r="C956" s="491" t="n"/>
      <c r="D956" s="491" t="n"/>
      <c r="E956" s="491" t="n"/>
      <c r="F956" s="491" t="n"/>
      <c r="G956" s="491" t="n"/>
      <c r="H956" s="491" t="n"/>
      <c r="I956" s="491" t="n"/>
      <c r="J956" s="491" t="n"/>
      <c r="K956" s="491" t="n"/>
      <c r="L956" s="491" t="n"/>
      <c r="M956" s="491" t="n"/>
      <c r="N956" s="491" t="n"/>
      <c r="O956" s="491" t="n"/>
      <c r="P956" s="491" t="n"/>
      <c r="Q956" s="491" t="n"/>
      <c r="R956" s="491" t="n"/>
      <c r="S956" s="491" t="n"/>
      <c r="T956" s="491" t="n"/>
      <c r="U956" s="491" t="n"/>
      <c r="V956" s="491" t="n"/>
      <c r="W956" s="491" t="n"/>
      <c r="X956" s="491" t="n"/>
      <c r="Y956" s="491" t="n"/>
    </row>
    <row r="957" ht="12.75" customHeight="1" s="398">
      <c r="A957" s="491" t="n"/>
      <c r="B957" s="491" t="n"/>
      <c r="C957" s="491" t="n"/>
      <c r="D957" s="491" t="n"/>
      <c r="E957" s="491" t="n"/>
      <c r="F957" s="491" t="n"/>
      <c r="G957" s="491" t="n"/>
      <c r="H957" s="491" t="n"/>
      <c r="I957" s="491" t="n"/>
      <c r="J957" s="491" t="n"/>
      <c r="K957" s="491" t="n"/>
      <c r="L957" s="491" t="n"/>
      <c r="M957" s="491" t="n"/>
      <c r="N957" s="491" t="n"/>
      <c r="O957" s="491" t="n"/>
      <c r="P957" s="491" t="n"/>
      <c r="Q957" s="491" t="n"/>
      <c r="R957" s="491" t="n"/>
      <c r="S957" s="491" t="n"/>
      <c r="T957" s="491" t="n"/>
      <c r="U957" s="491" t="n"/>
      <c r="V957" s="491" t="n"/>
      <c r="W957" s="491" t="n"/>
      <c r="X957" s="491" t="n"/>
      <c r="Y957" s="491" t="n"/>
    </row>
    <row r="958" ht="12.75" customHeight="1" s="398">
      <c r="A958" s="491" t="n"/>
      <c r="B958" s="491" t="n"/>
      <c r="C958" s="491" t="n"/>
      <c r="D958" s="491" t="n"/>
      <c r="E958" s="491" t="n"/>
      <c r="F958" s="491" t="n"/>
      <c r="G958" s="491" t="n"/>
      <c r="H958" s="491" t="n"/>
      <c r="I958" s="491" t="n"/>
      <c r="J958" s="491" t="n"/>
      <c r="K958" s="491" t="n"/>
      <c r="L958" s="491" t="n"/>
      <c r="M958" s="491" t="n"/>
      <c r="N958" s="491" t="n"/>
      <c r="O958" s="491" t="n"/>
      <c r="P958" s="491" t="n"/>
      <c r="Q958" s="491" t="n"/>
      <c r="R958" s="491" t="n"/>
      <c r="S958" s="491" t="n"/>
      <c r="T958" s="491" t="n"/>
      <c r="U958" s="491" t="n"/>
      <c r="V958" s="491" t="n"/>
      <c r="W958" s="491" t="n"/>
      <c r="X958" s="491" t="n"/>
      <c r="Y958" s="491" t="n"/>
    </row>
    <row r="959" ht="12.75" customHeight="1" s="398">
      <c r="A959" s="491" t="n"/>
      <c r="B959" s="491" t="n"/>
      <c r="C959" s="491" t="n"/>
      <c r="D959" s="491" t="n"/>
      <c r="E959" s="491" t="n"/>
      <c r="F959" s="491" t="n"/>
      <c r="G959" s="491" t="n"/>
      <c r="H959" s="491" t="n"/>
      <c r="I959" s="491" t="n"/>
      <c r="J959" s="491" t="n"/>
      <c r="K959" s="491" t="n"/>
      <c r="L959" s="491" t="n"/>
      <c r="M959" s="491" t="n"/>
      <c r="N959" s="491" t="n"/>
      <c r="O959" s="491" t="n"/>
      <c r="P959" s="491" t="n"/>
      <c r="Q959" s="491" t="n"/>
      <c r="R959" s="491" t="n"/>
      <c r="S959" s="491" t="n"/>
      <c r="T959" s="491" t="n"/>
      <c r="U959" s="491" t="n"/>
      <c r="V959" s="491" t="n"/>
      <c r="W959" s="491" t="n"/>
      <c r="X959" s="491" t="n"/>
      <c r="Y959" s="491" t="n"/>
    </row>
    <row r="960" ht="12.75" customHeight="1" s="398">
      <c r="A960" s="491" t="n"/>
      <c r="B960" s="491" t="n"/>
      <c r="C960" s="491" t="n"/>
      <c r="D960" s="491" t="n"/>
      <c r="E960" s="491" t="n"/>
      <c r="F960" s="491" t="n"/>
      <c r="G960" s="491" t="n"/>
      <c r="H960" s="491" t="n"/>
      <c r="I960" s="491" t="n"/>
      <c r="J960" s="491" t="n"/>
      <c r="K960" s="491" t="n"/>
      <c r="L960" s="491" t="n"/>
      <c r="M960" s="491" t="n"/>
      <c r="N960" s="491" t="n"/>
      <c r="O960" s="491" t="n"/>
      <c r="P960" s="491" t="n"/>
      <c r="Q960" s="491" t="n"/>
      <c r="R960" s="491" t="n"/>
      <c r="S960" s="491" t="n"/>
      <c r="T960" s="491" t="n"/>
      <c r="U960" s="491" t="n"/>
      <c r="V960" s="491" t="n"/>
      <c r="W960" s="491" t="n"/>
      <c r="X960" s="491" t="n"/>
      <c r="Y960" s="491" t="n"/>
    </row>
    <row r="961" ht="12.75" customHeight="1" s="398">
      <c r="A961" s="491" t="n"/>
      <c r="B961" s="491" t="n"/>
      <c r="C961" s="491" t="n"/>
      <c r="D961" s="491" t="n"/>
      <c r="E961" s="491" t="n"/>
      <c r="F961" s="491" t="n"/>
      <c r="G961" s="491" t="n"/>
      <c r="H961" s="491" t="n"/>
      <c r="I961" s="491" t="n"/>
      <c r="J961" s="491" t="n"/>
      <c r="K961" s="491" t="n"/>
      <c r="L961" s="491" t="n"/>
      <c r="M961" s="491" t="n"/>
      <c r="N961" s="491" t="n"/>
      <c r="O961" s="491" t="n"/>
      <c r="P961" s="491" t="n"/>
      <c r="Q961" s="491" t="n"/>
      <c r="R961" s="491" t="n"/>
      <c r="S961" s="491" t="n"/>
      <c r="T961" s="491" t="n"/>
      <c r="U961" s="491" t="n"/>
      <c r="V961" s="491" t="n"/>
      <c r="W961" s="491" t="n"/>
      <c r="X961" s="491" t="n"/>
      <c r="Y961" s="491" t="n"/>
    </row>
    <row r="962" ht="12.75" customHeight="1" s="398">
      <c r="A962" s="491" t="n"/>
      <c r="B962" s="491" t="n"/>
      <c r="C962" s="491" t="n"/>
      <c r="D962" s="491" t="n"/>
      <c r="E962" s="491" t="n"/>
      <c r="F962" s="491" t="n"/>
      <c r="G962" s="491" t="n"/>
      <c r="H962" s="491" t="n"/>
      <c r="I962" s="491" t="n"/>
      <c r="J962" s="491" t="n"/>
      <c r="K962" s="491" t="n"/>
      <c r="L962" s="491" t="n"/>
      <c r="M962" s="491" t="n"/>
      <c r="N962" s="491" t="n"/>
      <c r="O962" s="491" t="n"/>
      <c r="P962" s="491" t="n"/>
      <c r="Q962" s="491" t="n"/>
      <c r="R962" s="491" t="n"/>
      <c r="S962" s="491" t="n"/>
      <c r="T962" s="491" t="n"/>
      <c r="U962" s="491" t="n"/>
      <c r="V962" s="491" t="n"/>
      <c r="W962" s="491" t="n"/>
      <c r="X962" s="491" t="n"/>
      <c r="Y962" s="491" t="n"/>
    </row>
    <row r="963" ht="12.75" customHeight="1" s="398">
      <c r="A963" s="491" t="n"/>
      <c r="B963" s="491" t="n"/>
      <c r="C963" s="491" t="n"/>
      <c r="D963" s="491" t="n"/>
      <c r="E963" s="491" t="n"/>
      <c r="F963" s="491" t="n"/>
      <c r="G963" s="491" t="n"/>
      <c r="H963" s="491" t="n"/>
      <c r="I963" s="491" t="n"/>
      <c r="J963" s="491" t="n"/>
      <c r="K963" s="491" t="n"/>
      <c r="L963" s="491" t="n"/>
      <c r="M963" s="491" t="n"/>
      <c r="N963" s="491" t="n"/>
      <c r="O963" s="491" t="n"/>
      <c r="P963" s="491" t="n"/>
      <c r="Q963" s="491" t="n"/>
      <c r="R963" s="491" t="n"/>
      <c r="S963" s="491" t="n"/>
      <c r="T963" s="491" t="n"/>
      <c r="U963" s="491" t="n"/>
      <c r="V963" s="491" t="n"/>
      <c r="W963" s="491" t="n"/>
      <c r="X963" s="491" t="n"/>
      <c r="Y963" s="491" t="n"/>
    </row>
    <row r="964" ht="12.75" customHeight="1" s="398">
      <c r="A964" s="491" t="n"/>
      <c r="B964" s="491" t="n"/>
      <c r="C964" s="491" t="n"/>
      <c r="D964" s="491" t="n"/>
      <c r="E964" s="491" t="n"/>
      <c r="F964" s="491" t="n"/>
      <c r="G964" s="491" t="n"/>
      <c r="H964" s="491" t="n"/>
      <c r="I964" s="491" t="n"/>
      <c r="J964" s="491" t="n"/>
      <c r="K964" s="491" t="n"/>
      <c r="L964" s="491" t="n"/>
      <c r="M964" s="491" t="n"/>
      <c r="N964" s="491" t="n"/>
      <c r="O964" s="491" t="n"/>
      <c r="P964" s="491" t="n"/>
      <c r="Q964" s="491" t="n"/>
      <c r="R964" s="491" t="n"/>
      <c r="S964" s="491" t="n"/>
      <c r="T964" s="491" t="n"/>
      <c r="U964" s="491" t="n"/>
      <c r="V964" s="491" t="n"/>
      <c r="W964" s="491" t="n"/>
      <c r="X964" s="491" t="n"/>
      <c r="Y964" s="491" t="n"/>
    </row>
    <row r="965" ht="12.75" customHeight="1" s="398">
      <c r="A965" s="491" t="n"/>
      <c r="B965" s="491" t="n"/>
      <c r="C965" s="491" t="n"/>
      <c r="D965" s="491" t="n"/>
      <c r="E965" s="491" t="n"/>
      <c r="F965" s="491" t="n"/>
      <c r="G965" s="491" t="n"/>
      <c r="H965" s="491" t="n"/>
      <c r="I965" s="491" t="n"/>
      <c r="J965" s="491" t="n"/>
      <c r="K965" s="491" t="n"/>
      <c r="L965" s="491" t="n"/>
      <c r="M965" s="491" t="n"/>
      <c r="N965" s="491" t="n"/>
      <c r="O965" s="491" t="n"/>
      <c r="P965" s="491" t="n"/>
      <c r="Q965" s="491" t="n"/>
      <c r="R965" s="491" t="n"/>
      <c r="S965" s="491" t="n"/>
      <c r="T965" s="491" t="n"/>
      <c r="U965" s="491" t="n"/>
      <c r="V965" s="491" t="n"/>
      <c r="W965" s="491" t="n"/>
      <c r="X965" s="491" t="n"/>
      <c r="Y965" s="491" t="n"/>
    </row>
    <row r="966" ht="12.75" customHeight="1" s="398">
      <c r="A966" s="491" t="n"/>
      <c r="B966" s="491" t="n"/>
      <c r="C966" s="491" t="n"/>
      <c r="D966" s="491" t="n"/>
      <c r="E966" s="491" t="n"/>
      <c r="F966" s="491" t="n"/>
      <c r="G966" s="491" t="n"/>
      <c r="H966" s="491" t="n"/>
      <c r="I966" s="491" t="n"/>
      <c r="J966" s="491" t="n"/>
      <c r="K966" s="491" t="n"/>
      <c r="L966" s="491" t="n"/>
      <c r="M966" s="491" t="n"/>
      <c r="N966" s="491" t="n"/>
      <c r="O966" s="491" t="n"/>
      <c r="P966" s="491" t="n"/>
      <c r="Q966" s="491" t="n"/>
      <c r="R966" s="491" t="n"/>
      <c r="S966" s="491" t="n"/>
      <c r="T966" s="491" t="n"/>
      <c r="U966" s="491" t="n"/>
      <c r="V966" s="491" t="n"/>
      <c r="W966" s="491" t="n"/>
      <c r="X966" s="491" t="n"/>
      <c r="Y966" s="491" t="n"/>
    </row>
    <row r="967" ht="12.75" customHeight="1" s="398">
      <c r="A967" s="491" t="n"/>
      <c r="B967" s="491" t="n"/>
      <c r="C967" s="491" t="n"/>
      <c r="D967" s="491" t="n"/>
      <c r="E967" s="491" t="n"/>
      <c r="F967" s="491" t="n"/>
      <c r="G967" s="491" t="n"/>
      <c r="H967" s="491" t="n"/>
      <c r="I967" s="491" t="n"/>
      <c r="J967" s="491" t="n"/>
      <c r="K967" s="491" t="n"/>
      <c r="L967" s="491" t="n"/>
      <c r="M967" s="491" t="n"/>
      <c r="N967" s="491" t="n"/>
      <c r="O967" s="491" t="n"/>
      <c r="P967" s="491" t="n"/>
      <c r="Q967" s="491" t="n"/>
      <c r="R967" s="491" t="n"/>
      <c r="S967" s="491" t="n"/>
      <c r="T967" s="491" t="n"/>
      <c r="U967" s="491" t="n"/>
      <c r="V967" s="491" t="n"/>
      <c r="W967" s="491" t="n"/>
      <c r="X967" s="491" t="n"/>
      <c r="Y967" s="491" t="n"/>
    </row>
    <row r="968" ht="12.75" customHeight="1" s="398">
      <c r="A968" s="491" t="n"/>
      <c r="B968" s="491" t="n"/>
      <c r="C968" s="491" t="n"/>
      <c r="D968" s="491" t="n"/>
      <c r="E968" s="491" t="n"/>
      <c r="F968" s="491" t="n"/>
      <c r="G968" s="491" t="n"/>
      <c r="H968" s="491" t="n"/>
      <c r="I968" s="491" t="n"/>
      <c r="J968" s="491" t="n"/>
      <c r="K968" s="491" t="n"/>
      <c r="L968" s="491" t="n"/>
      <c r="M968" s="491" t="n"/>
      <c r="N968" s="491" t="n"/>
      <c r="O968" s="491" t="n"/>
      <c r="P968" s="491" t="n"/>
      <c r="Q968" s="491" t="n"/>
      <c r="R968" s="491" t="n"/>
      <c r="S968" s="491" t="n"/>
      <c r="T968" s="491" t="n"/>
      <c r="U968" s="491" t="n"/>
      <c r="V968" s="491" t="n"/>
      <c r="W968" s="491" t="n"/>
      <c r="X968" s="491" t="n"/>
      <c r="Y968" s="491" t="n"/>
    </row>
    <row r="969" ht="12.75" customHeight="1" s="398">
      <c r="A969" s="491" t="n"/>
      <c r="B969" s="491" t="n"/>
      <c r="C969" s="491" t="n"/>
      <c r="D969" s="491" t="n"/>
      <c r="E969" s="491" t="n"/>
      <c r="F969" s="491" t="n"/>
      <c r="G969" s="491" t="n"/>
      <c r="H969" s="491" t="n"/>
      <c r="I969" s="491" t="n"/>
      <c r="J969" s="491" t="n"/>
      <c r="K969" s="491" t="n"/>
      <c r="L969" s="491" t="n"/>
      <c r="M969" s="491" t="n"/>
      <c r="N969" s="491" t="n"/>
      <c r="O969" s="491" t="n"/>
      <c r="P969" s="491" t="n"/>
      <c r="Q969" s="491" t="n"/>
      <c r="R969" s="491" t="n"/>
      <c r="S969" s="491" t="n"/>
      <c r="T969" s="491" t="n"/>
      <c r="U969" s="491" t="n"/>
      <c r="V969" s="491" t="n"/>
      <c r="W969" s="491" t="n"/>
      <c r="X969" s="491" t="n"/>
      <c r="Y969" s="491" t="n"/>
    </row>
    <row r="970" ht="12.75" customHeight="1" s="398">
      <c r="A970" s="491" t="n"/>
      <c r="B970" s="491" t="n"/>
      <c r="C970" s="491" t="n"/>
      <c r="D970" s="491" t="n"/>
      <c r="E970" s="491" t="n"/>
      <c r="F970" s="491" t="n"/>
      <c r="G970" s="491" t="n"/>
      <c r="H970" s="491" t="n"/>
      <c r="I970" s="491" t="n"/>
      <c r="J970" s="491" t="n"/>
      <c r="K970" s="491" t="n"/>
      <c r="L970" s="491" t="n"/>
      <c r="M970" s="491" t="n"/>
      <c r="N970" s="491" t="n"/>
      <c r="O970" s="491" t="n"/>
      <c r="P970" s="491" t="n"/>
      <c r="Q970" s="491" t="n"/>
      <c r="R970" s="491" t="n"/>
      <c r="S970" s="491" t="n"/>
      <c r="T970" s="491" t="n"/>
      <c r="U970" s="491" t="n"/>
      <c r="V970" s="491" t="n"/>
      <c r="W970" s="491" t="n"/>
      <c r="X970" s="491" t="n"/>
      <c r="Y970" s="491" t="n"/>
    </row>
    <row r="971" ht="12.75" customHeight="1" s="398">
      <c r="A971" s="491" t="n"/>
      <c r="B971" s="491" t="n"/>
      <c r="C971" s="491" t="n"/>
      <c r="D971" s="491" t="n"/>
      <c r="E971" s="491" t="n"/>
      <c r="F971" s="491" t="n"/>
      <c r="G971" s="491" t="n"/>
      <c r="H971" s="491" t="n"/>
      <c r="I971" s="491" t="n"/>
      <c r="J971" s="491" t="n"/>
      <c r="K971" s="491" t="n"/>
      <c r="L971" s="491" t="n"/>
      <c r="M971" s="491" t="n"/>
      <c r="N971" s="491" t="n"/>
      <c r="O971" s="491" t="n"/>
      <c r="P971" s="491" t="n"/>
      <c r="Q971" s="491" t="n"/>
      <c r="R971" s="491" t="n"/>
      <c r="S971" s="491" t="n"/>
      <c r="T971" s="491" t="n"/>
      <c r="U971" s="491" t="n"/>
      <c r="V971" s="491" t="n"/>
      <c r="W971" s="491" t="n"/>
      <c r="X971" s="491" t="n"/>
      <c r="Y971" s="491" t="n"/>
    </row>
    <row r="972" ht="12.75" customHeight="1" s="398">
      <c r="A972" s="491" t="n"/>
      <c r="B972" s="491" t="n"/>
      <c r="C972" s="491" t="n"/>
      <c r="D972" s="491" t="n"/>
      <c r="E972" s="491" t="n"/>
      <c r="F972" s="491" t="n"/>
      <c r="G972" s="491" t="n"/>
      <c r="H972" s="491" t="n"/>
      <c r="I972" s="491" t="n"/>
      <c r="J972" s="491" t="n"/>
      <c r="K972" s="491" t="n"/>
      <c r="L972" s="491" t="n"/>
      <c r="M972" s="491" t="n"/>
      <c r="N972" s="491" t="n"/>
      <c r="O972" s="491" t="n"/>
      <c r="P972" s="491" t="n"/>
      <c r="Q972" s="491" t="n"/>
      <c r="R972" s="491" t="n"/>
      <c r="S972" s="491" t="n"/>
      <c r="T972" s="491" t="n"/>
      <c r="U972" s="491" t="n"/>
      <c r="V972" s="491" t="n"/>
      <c r="W972" s="491" t="n"/>
      <c r="X972" s="491" t="n"/>
      <c r="Y972" s="491" t="n"/>
    </row>
    <row r="973" ht="12.75" customHeight="1" s="398">
      <c r="A973" s="491" t="n"/>
      <c r="B973" s="491" t="n"/>
      <c r="C973" s="491" t="n"/>
      <c r="D973" s="491" t="n"/>
      <c r="E973" s="491" t="n"/>
      <c r="F973" s="491" t="n"/>
      <c r="G973" s="491" t="n"/>
      <c r="H973" s="491" t="n"/>
      <c r="I973" s="491" t="n"/>
      <c r="J973" s="491" t="n"/>
      <c r="K973" s="491" t="n"/>
      <c r="L973" s="491" t="n"/>
      <c r="M973" s="491" t="n"/>
      <c r="N973" s="491" t="n"/>
      <c r="O973" s="491" t="n"/>
      <c r="P973" s="491" t="n"/>
      <c r="Q973" s="491" t="n"/>
      <c r="R973" s="491" t="n"/>
      <c r="S973" s="491" t="n"/>
      <c r="T973" s="491" t="n"/>
      <c r="U973" s="491" t="n"/>
      <c r="V973" s="491" t="n"/>
      <c r="W973" s="491" t="n"/>
      <c r="X973" s="491" t="n"/>
      <c r="Y973" s="491" t="n"/>
    </row>
    <row r="974" ht="12.75" customHeight="1" s="398">
      <c r="A974" s="491" t="n"/>
      <c r="B974" s="491" t="n"/>
      <c r="C974" s="491" t="n"/>
      <c r="D974" s="491" t="n"/>
      <c r="E974" s="491" t="n"/>
      <c r="F974" s="491" t="n"/>
      <c r="G974" s="491" t="n"/>
      <c r="H974" s="491" t="n"/>
      <c r="I974" s="491" t="n"/>
      <c r="J974" s="491" t="n"/>
      <c r="K974" s="491" t="n"/>
      <c r="L974" s="491" t="n"/>
      <c r="M974" s="491" t="n"/>
      <c r="N974" s="491" t="n"/>
      <c r="O974" s="491" t="n"/>
      <c r="P974" s="491" t="n"/>
      <c r="Q974" s="491" t="n"/>
      <c r="R974" s="491" t="n"/>
      <c r="S974" s="491" t="n"/>
      <c r="T974" s="491" t="n"/>
      <c r="U974" s="491" t="n"/>
      <c r="V974" s="491" t="n"/>
      <c r="W974" s="491" t="n"/>
      <c r="X974" s="491" t="n"/>
      <c r="Y974" s="491" t="n"/>
    </row>
    <row r="975" ht="12.75" customHeight="1" s="398">
      <c r="A975" s="491" t="n"/>
      <c r="B975" s="491" t="n"/>
      <c r="C975" s="491" t="n"/>
      <c r="D975" s="491" t="n"/>
      <c r="E975" s="491" t="n"/>
      <c r="F975" s="491" t="n"/>
      <c r="G975" s="491" t="n"/>
      <c r="H975" s="491" t="n"/>
      <c r="I975" s="491" t="n"/>
      <c r="J975" s="491" t="n"/>
      <c r="K975" s="491" t="n"/>
      <c r="L975" s="491" t="n"/>
      <c r="M975" s="491" t="n"/>
      <c r="N975" s="491" t="n"/>
      <c r="O975" s="491" t="n"/>
      <c r="P975" s="491" t="n"/>
      <c r="Q975" s="491" t="n"/>
      <c r="R975" s="491" t="n"/>
      <c r="S975" s="491" t="n"/>
      <c r="T975" s="491" t="n"/>
      <c r="U975" s="491" t="n"/>
      <c r="V975" s="491" t="n"/>
      <c r="W975" s="491" t="n"/>
      <c r="X975" s="491" t="n"/>
      <c r="Y975" s="491" t="n"/>
    </row>
    <row r="976" ht="12.75" customHeight="1" s="398">
      <c r="A976" s="491" t="n"/>
      <c r="B976" s="491" t="n"/>
      <c r="C976" s="491" t="n"/>
      <c r="D976" s="491" t="n"/>
      <c r="E976" s="491" t="n"/>
      <c r="F976" s="491" t="n"/>
      <c r="G976" s="491" t="n"/>
      <c r="H976" s="491" t="n"/>
      <c r="I976" s="491" t="n"/>
      <c r="J976" s="491" t="n"/>
      <c r="K976" s="491" t="n"/>
      <c r="L976" s="491" t="n"/>
      <c r="M976" s="491" t="n"/>
      <c r="N976" s="491" t="n"/>
      <c r="O976" s="491" t="n"/>
      <c r="P976" s="491" t="n"/>
      <c r="Q976" s="491" t="n"/>
      <c r="R976" s="491" t="n"/>
      <c r="S976" s="491" t="n"/>
      <c r="T976" s="491" t="n"/>
      <c r="U976" s="491" t="n"/>
      <c r="V976" s="491" t="n"/>
      <c r="W976" s="491" t="n"/>
      <c r="X976" s="491" t="n"/>
      <c r="Y976" s="491" t="n"/>
    </row>
    <row r="977" ht="12.75" customHeight="1" s="398">
      <c r="A977" s="491" t="n"/>
      <c r="B977" s="491" t="n"/>
      <c r="C977" s="491" t="n"/>
      <c r="D977" s="491" t="n"/>
      <c r="E977" s="491" t="n"/>
      <c r="F977" s="491" t="n"/>
      <c r="G977" s="491" t="n"/>
      <c r="H977" s="491" t="n"/>
      <c r="I977" s="491" t="n"/>
      <c r="J977" s="491" t="n"/>
      <c r="K977" s="491" t="n"/>
      <c r="L977" s="491" t="n"/>
      <c r="M977" s="491" t="n"/>
      <c r="N977" s="491" t="n"/>
      <c r="O977" s="491" t="n"/>
      <c r="P977" s="491" t="n"/>
      <c r="Q977" s="491" t="n"/>
      <c r="R977" s="491" t="n"/>
      <c r="S977" s="491" t="n"/>
      <c r="T977" s="491" t="n"/>
      <c r="U977" s="491" t="n"/>
      <c r="V977" s="491" t="n"/>
      <c r="W977" s="491" t="n"/>
      <c r="X977" s="491" t="n"/>
      <c r="Y977" s="491" t="n"/>
    </row>
    <row r="978" ht="12.75" customHeight="1" s="398">
      <c r="A978" s="491" t="n"/>
      <c r="B978" s="491" t="n"/>
      <c r="C978" s="491" t="n"/>
      <c r="D978" s="491" t="n"/>
      <c r="E978" s="491" t="n"/>
      <c r="F978" s="491" t="n"/>
      <c r="G978" s="491" t="n"/>
      <c r="H978" s="491" t="n"/>
      <c r="I978" s="491" t="n"/>
      <c r="J978" s="491" t="n"/>
      <c r="K978" s="491" t="n"/>
      <c r="L978" s="491" t="n"/>
      <c r="M978" s="491" t="n"/>
      <c r="N978" s="491" t="n"/>
      <c r="O978" s="491" t="n"/>
      <c r="P978" s="491" t="n"/>
      <c r="Q978" s="491" t="n"/>
      <c r="R978" s="491" t="n"/>
      <c r="S978" s="491" t="n"/>
      <c r="T978" s="491" t="n"/>
      <c r="U978" s="491" t="n"/>
      <c r="V978" s="491" t="n"/>
      <c r="W978" s="491" t="n"/>
      <c r="X978" s="491" t="n"/>
      <c r="Y978" s="491" t="n"/>
    </row>
    <row r="979" ht="12.75" customHeight="1" s="398">
      <c r="A979" s="491" t="n"/>
      <c r="B979" s="491" t="n"/>
      <c r="C979" s="491" t="n"/>
      <c r="D979" s="491" t="n"/>
      <c r="E979" s="491" t="n"/>
      <c r="F979" s="491" t="n"/>
      <c r="G979" s="491" t="n"/>
      <c r="H979" s="491" t="n"/>
      <c r="I979" s="491" t="n"/>
      <c r="J979" s="491" t="n"/>
      <c r="K979" s="491" t="n"/>
      <c r="L979" s="491" t="n"/>
      <c r="M979" s="491" t="n"/>
      <c r="N979" s="491" t="n"/>
      <c r="O979" s="491" t="n"/>
      <c r="P979" s="491" t="n"/>
      <c r="Q979" s="491" t="n"/>
      <c r="R979" s="491" t="n"/>
      <c r="S979" s="491" t="n"/>
      <c r="T979" s="491" t="n"/>
      <c r="U979" s="491" t="n"/>
      <c r="V979" s="491" t="n"/>
      <c r="W979" s="491" t="n"/>
      <c r="X979" s="491" t="n"/>
      <c r="Y979" s="491" t="n"/>
    </row>
    <row r="980" ht="12.75" customHeight="1" s="398">
      <c r="A980" s="491" t="n"/>
      <c r="B980" s="491" t="n"/>
      <c r="C980" s="491" t="n"/>
      <c r="D980" s="491" t="n"/>
      <c r="E980" s="491" t="n"/>
      <c r="F980" s="491" t="n"/>
      <c r="G980" s="491" t="n"/>
      <c r="H980" s="491" t="n"/>
      <c r="I980" s="491" t="n"/>
      <c r="J980" s="491" t="n"/>
      <c r="K980" s="491" t="n"/>
      <c r="L980" s="491" t="n"/>
      <c r="M980" s="491" t="n"/>
      <c r="N980" s="491" t="n"/>
      <c r="O980" s="491" t="n"/>
      <c r="P980" s="491" t="n"/>
      <c r="Q980" s="491" t="n"/>
      <c r="R980" s="491" t="n"/>
      <c r="S980" s="491" t="n"/>
      <c r="T980" s="491" t="n"/>
      <c r="U980" s="491" t="n"/>
      <c r="V980" s="491" t="n"/>
      <c r="W980" s="491" t="n"/>
      <c r="X980" s="491" t="n"/>
      <c r="Y980" s="491" t="n"/>
    </row>
    <row r="981" ht="12.75" customHeight="1" s="398">
      <c r="A981" s="491" t="n"/>
      <c r="B981" s="491" t="n"/>
      <c r="C981" s="491" t="n"/>
      <c r="D981" s="491" t="n"/>
      <c r="E981" s="491" t="n"/>
      <c r="F981" s="491" t="n"/>
      <c r="G981" s="491" t="n"/>
      <c r="H981" s="491" t="n"/>
      <c r="I981" s="491" t="n"/>
      <c r="J981" s="491" t="n"/>
      <c r="K981" s="491" t="n"/>
      <c r="L981" s="491" t="n"/>
      <c r="M981" s="491" t="n"/>
      <c r="N981" s="491" t="n"/>
      <c r="O981" s="491" t="n"/>
      <c r="P981" s="491" t="n"/>
      <c r="Q981" s="491" t="n"/>
      <c r="R981" s="491" t="n"/>
      <c r="S981" s="491" t="n"/>
      <c r="T981" s="491" t="n"/>
      <c r="U981" s="491" t="n"/>
      <c r="V981" s="491" t="n"/>
      <c r="W981" s="491" t="n"/>
      <c r="X981" s="491" t="n"/>
      <c r="Y981" s="491" t="n"/>
    </row>
    <row r="982" ht="12.75" customHeight="1" s="398">
      <c r="A982" s="491" t="n"/>
      <c r="B982" s="491" t="n"/>
      <c r="C982" s="491" t="n"/>
      <c r="D982" s="491" t="n"/>
      <c r="E982" s="491" t="n"/>
      <c r="F982" s="491" t="n"/>
      <c r="G982" s="491" t="n"/>
      <c r="H982" s="491" t="n"/>
      <c r="I982" s="491" t="n"/>
      <c r="J982" s="491" t="n"/>
      <c r="K982" s="491" t="n"/>
      <c r="L982" s="491" t="n"/>
      <c r="M982" s="491" t="n"/>
      <c r="N982" s="491" t="n"/>
      <c r="O982" s="491" t="n"/>
      <c r="P982" s="491" t="n"/>
      <c r="Q982" s="491" t="n"/>
      <c r="R982" s="491" t="n"/>
      <c r="S982" s="491" t="n"/>
      <c r="T982" s="491" t="n"/>
      <c r="U982" s="491" t="n"/>
      <c r="V982" s="491" t="n"/>
      <c r="W982" s="491" t="n"/>
      <c r="X982" s="491" t="n"/>
      <c r="Y982" s="491" t="n"/>
    </row>
    <row r="983" ht="12.75" customHeight="1" s="398">
      <c r="A983" s="491" t="n"/>
      <c r="B983" s="491" t="n"/>
      <c r="C983" s="491" t="n"/>
      <c r="D983" s="491" t="n"/>
      <c r="E983" s="491" t="n"/>
      <c r="F983" s="491" t="n"/>
      <c r="G983" s="491" t="n"/>
      <c r="H983" s="491" t="n"/>
      <c r="I983" s="491" t="n"/>
      <c r="J983" s="491" t="n"/>
      <c r="K983" s="491" t="n"/>
      <c r="L983" s="491" t="n"/>
      <c r="M983" s="491" t="n"/>
      <c r="N983" s="491" t="n"/>
      <c r="O983" s="491" t="n"/>
      <c r="P983" s="491" t="n"/>
      <c r="Q983" s="491" t="n"/>
      <c r="R983" s="491" t="n"/>
      <c r="S983" s="491" t="n"/>
      <c r="T983" s="491" t="n"/>
      <c r="U983" s="491" t="n"/>
      <c r="V983" s="491" t="n"/>
      <c r="W983" s="491" t="n"/>
      <c r="X983" s="491" t="n"/>
      <c r="Y983" s="491" t="n"/>
    </row>
    <row r="984" ht="12.75" customHeight="1" s="398">
      <c r="A984" s="491" t="n"/>
      <c r="B984" s="491" t="n"/>
      <c r="C984" s="491" t="n"/>
      <c r="D984" s="491" t="n"/>
      <c r="E984" s="491" t="n"/>
      <c r="F984" s="491" t="n"/>
      <c r="G984" s="491" t="n"/>
      <c r="H984" s="491" t="n"/>
      <c r="I984" s="491" t="n"/>
      <c r="J984" s="491" t="n"/>
      <c r="K984" s="491" t="n"/>
      <c r="L984" s="491" t="n"/>
      <c r="M984" s="491" t="n"/>
      <c r="N984" s="491" t="n"/>
      <c r="O984" s="491" t="n"/>
      <c r="P984" s="491" t="n"/>
      <c r="Q984" s="491" t="n"/>
      <c r="R984" s="491" t="n"/>
      <c r="S984" s="491" t="n"/>
      <c r="T984" s="491" t="n"/>
      <c r="U984" s="491" t="n"/>
      <c r="V984" s="491" t="n"/>
      <c r="W984" s="491" t="n"/>
      <c r="X984" s="491" t="n"/>
      <c r="Y984" s="491" t="n"/>
    </row>
    <row r="985" ht="12.75" customHeight="1" s="398">
      <c r="A985" s="491" t="n"/>
      <c r="B985" s="491" t="n"/>
      <c r="C985" s="491" t="n"/>
      <c r="D985" s="491" t="n"/>
      <c r="E985" s="491" t="n"/>
      <c r="F985" s="491" t="n"/>
      <c r="G985" s="491" t="n"/>
      <c r="H985" s="491" t="n"/>
      <c r="I985" s="491" t="n"/>
      <c r="J985" s="491" t="n"/>
      <c r="K985" s="491" t="n"/>
      <c r="L985" s="491" t="n"/>
      <c r="M985" s="491" t="n"/>
      <c r="N985" s="491" t="n"/>
      <c r="O985" s="491" t="n"/>
      <c r="P985" s="491" t="n"/>
      <c r="Q985" s="491" t="n"/>
      <c r="R985" s="491" t="n"/>
      <c r="S985" s="491" t="n"/>
      <c r="T985" s="491" t="n"/>
      <c r="U985" s="491" t="n"/>
      <c r="V985" s="491" t="n"/>
      <c r="W985" s="491" t="n"/>
      <c r="X985" s="491" t="n"/>
      <c r="Y985" s="491" t="n"/>
    </row>
    <row r="986" ht="12.75" customHeight="1" s="398">
      <c r="A986" s="491" t="n"/>
      <c r="B986" s="491" t="n"/>
      <c r="C986" s="491" t="n"/>
      <c r="D986" s="491" t="n"/>
      <c r="E986" s="491" t="n"/>
      <c r="F986" s="491" t="n"/>
      <c r="G986" s="491" t="n"/>
      <c r="H986" s="491" t="n"/>
      <c r="I986" s="491" t="n"/>
      <c r="J986" s="491" t="n"/>
      <c r="K986" s="491" t="n"/>
      <c r="L986" s="491" t="n"/>
      <c r="M986" s="491" t="n"/>
      <c r="N986" s="491" t="n"/>
      <c r="O986" s="491" t="n"/>
      <c r="P986" s="491" t="n"/>
      <c r="Q986" s="491" t="n"/>
      <c r="R986" s="491" t="n"/>
      <c r="S986" s="491" t="n"/>
      <c r="T986" s="491" t="n"/>
      <c r="U986" s="491" t="n"/>
      <c r="V986" s="491" t="n"/>
      <c r="W986" s="491" t="n"/>
      <c r="X986" s="491" t="n"/>
      <c r="Y986" s="491" t="n"/>
    </row>
    <row r="987" ht="12.75" customHeight="1" s="398">
      <c r="A987" s="491" t="n"/>
      <c r="B987" s="491" t="n"/>
      <c r="C987" s="491" t="n"/>
      <c r="D987" s="491" t="n"/>
      <c r="E987" s="491" t="n"/>
      <c r="F987" s="491" t="n"/>
      <c r="G987" s="491" t="n"/>
      <c r="H987" s="491" t="n"/>
      <c r="I987" s="491" t="n"/>
      <c r="J987" s="491" t="n"/>
      <c r="K987" s="491" t="n"/>
      <c r="L987" s="491" t="n"/>
      <c r="M987" s="491" t="n"/>
      <c r="N987" s="491" t="n"/>
      <c r="O987" s="491" t="n"/>
      <c r="P987" s="491" t="n"/>
      <c r="Q987" s="491" t="n"/>
      <c r="R987" s="491" t="n"/>
      <c r="S987" s="491" t="n"/>
      <c r="T987" s="491" t="n"/>
      <c r="U987" s="491" t="n"/>
      <c r="V987" s="491" t="n"/>
      <c r="W987" s="491" t="n"/>
      <c r="X987" s="491" t="n"/>
      <c r="Y987" s="491" t="n"/>
    </row>
    <row r="988" ht="12.75" customHeight="1" s="398">
      <c r="A988" s="491" t="n"/>
      <c r="B988" s="491" t="n"/>
      <c r="C988" s="491" t="n"/>
      <c r="D988" s="491" t="n"/>
      <c r="E988" s="491" t="n"/>
      <c r="F988" s="491" t="n"/>
      <c r="G988" s="491" t="n"/>
      <c r="H988" s="491" t="n"/>
      <c r="I988" s="491" t="n"/>
      <c r="J988" s="491" t="n"/>
      <c r="K988" s="491" t="n"/>
      <c r="L988" s="491" t="n"/>
      <c r="M988" s="491" t="n"/>
      <c r="N988" s="491" t="n"/>
      <c r="O988" s="491" t="n"/>
      <c r="P988" s="491" t="n"/>
      <c r="Q988" s="491" t="n"/>
      <c r="R988" s="491" t="n"/>
      <c r="S988" s="491" t="n"/>
      <c r="T988" s="491" t="n"/>
      <c r="U988" s="491" t="n"/>
      <c r="V988" s="491" t="n"/>
      <c r="W988" s="491" t="n"/>
      <c r="X988" s="491" t="n"/>
      <c r="Y988" s="491" t="n"/>
    </row>
    <row r="989" ht="12.75" customHeight="1" s="398">
      <c r="A989" s="491" t="n"/>
      <c r="B989" s="491" t="n"/>
      <c r="C989" s="491" t="n"/>
      <c r="D989" s="491" t="n"/>
      <c r="E989" s="491" t="n"/>
      <c r="F989" s="491" t="n"/>
      <c r="G989" s="491" t="n"/>
      <c r="H989" s="491" t="n"/>
      <c r="I989" s="491" t="n"/>
      <c r="J989" s="491" t="n"/>
      <c r="K989" s="491" t="n"/>
      <c r="L989" s="491" t="n"/>
      <c r="M989" s="491" t="n"/>
      <c r="N989" s="491" t="n"/>
      <c r="O989" s="491" t="n"/>
      <c r="P989" s="491" t="n"/>
      <c r="Q989" s="491" t="n"/>
      <c r="R989" s="491" t="n"/>
      <c r="S989" s="491" t="n"/>
      <c r="T989" s="491" t="n"/>
      <c r="U989" s="491" t="n"/>
      <c r="V989" s="491" t="n"/>
      <c r="W989" s="491" t="n"/>
      <c r="X989" s="491" t="n"/>
      <c r="Y989" s="491" t="n"/>
    </row>
    <row r="990" ht="12.75" customHeight="1" s="398">
      <c r="A990" s="491" t="n"/>
      <c r="B990" s="491" t="n"/>
      <c r="C990" s="491" t="n"/>
      <c r="D990" s="491" t="n"/>
      <c r="E990" s="491" t="n"/>
      <c r="F990" s="491" t="n"/>
      <c r="G990" s="491" t="n"/>
      <c r="H990" s="491" t="n"/>
      <c r="I990" s="491" t="n"/>
      <c r="J990" s="491" t="n"/>
      <c r="K990" s="491" t="n"/>
      <c r="L990" s="491" t="n"/>
      <c r="M990" s="491" t="n"/>
      <c r="N990" s="491" t="n"/>
      <c r="O990" s="491" t="n"/>
      <c r="P990" s="491" t="n"/>
      <c r="Q990" s="491" t="n"/>
      <c r="R990" s="491" t="n"/>
      <c r="S990" s="491" t="n"/>
      <c r="T990" s="491" t="n"/>
      <c r="U990" s="491" t="n"/>
      <c r="V990" s="491" t="n"/>
      <c r="W990" s="491" t="n"/>
      <c r="X990" s="491" t="n"/>
      <c r="Y990" s="491" t="n"/>
    </row>
    <row r="991" ht="12.75" customHeight="1" s="398">
      <c r="A991" s="491" t="n"/>
      <c r="B991" s="491" t="n"/>
      <c r="C991" s="491" t="n"/>
      <c r="D991" s="491" t="n"/>
      <c r="E991" s="491" t="n"/>
      <c r="F991" s="491" t="n"/>
      <c r="G991" s="491" t="n"/>
      <c r="H991" s="491" t="n"/>
      <c r="I991" s="491" t="n"/>
      <c r="J991" s="491" t="n"/>
      <c r="K991" s="491" t="n"/>
      <c r="L991" s="491" t="n"/>
      <c r="M991" s="491" t="n"/>
      <c r="N991" s="491" t="n"/>
      <c r="O991" s="491" t="n"/>
      <c r="P991" s="491" t="n"/>
      <c r="Q991" s="491" t="n"/>
      <c r="R991" s="491" t="n"/>
      <c r="S991" s="491" t="n"/>
      <c r="T991" s="491" t="n"/>
      <c r="U991" s="491" t="n"/>
      <c r="V991" s="491" t="n"/>
      <c r="W991" s="491" t="n"/>
      <c r="X991" s="491" t="n"/>
      <c r="Y991" s="491" t="n"/>
    </row>
    <row r="992" ht="12.75" customHeight="1" s="398">
      <c r="A992" s="491" t="n"/>
      <c r="B992" s="491" t="n"/>
      <c r="C992" s="491" t="n"/>
      <c r="D992" s="491" t="n"/>
      <c r="E992" s="491" t="n"/>
      <c r="F992" s="491" t="n"/>
      <c r="G992" s="491" t="n"/>
      <c r="H992" s="491" t="n"/>
      <c r="I992" s="491" t="n"/>
      <c r="J992" s="491" t="n"/>
      <c r="K992" s="491" t="n"/>
      <c r="L992" s="491" t="n"/>
      <c r="M992" s="491" t="n"/>
      <c r="N992" s="491" t="n"/>
      <c r="O992" s="491" t="n"/>
      <c r="P992" s="491" t="n"/>
      <c r="Q992" s="491" t="n"/>
      <c r="R992" s="491" t="n"/>
      <c r="S992" s="491" t="n"/>
      <c r="T992" s="491" t="n"/>
      <c r="U992" s="491" t="n"/>
      <c r="V992" s="491" t="n"/>
      <c r="W992" s="491" t="n"/>
      <c r="X992" s="491" t="n"/>
      <c r="Y992" s="491" t="n"/>
    </row>
    <row r="993" ht="12.75" customHeight="1" s="398">
      <c r="A993" s="491" t="n"/>
      <c r="B993" s="491" t="n"/>
      <c r="C993" s="491" t="n"/>
      <c r="D993" s="491" t="n"/>
      <c r="E993" s="491" t="n"/>
      <c r="F993" s="491" t="n"/>
      <c r="G993" s="491" t="n"/>
      <c r="H993" s="491" t="n"/>
      <c r="I993" s="491" t="n"/>
      <c r="J993" s="491" t="n"/>
      <c r="K993" s="491" t="n"/>
      <c r="L993" s="491" t="n"/>
      <c r="M993" s="491" t="n"/>
      <c r="N993" s="491" t="n"/>
      <c r="O993" s="491" t="n"/>
      <c r="P993" s="491" t="n"/>
      <c r="Q993" s="491" t="n"/>
      <c r="R993" s="491" t="n"/>
      <c r="S993" s="491" t="n"/>
      <c r="T993" s="491" t="n"/>
      <c r="U993" s="491" t="n"/>
      <c r="V993" s="491" t="n"/>
      <c r="W993" s="491" t="n"/>
      <c r="X993" s="491" t="n"/>
      <c r="Y993" s="491" t="n"/>
    </row>
    <row r="994" ht="12.75" customHeight="1" s="398">
      <c r="A994" s="491" t="n"/>
      <c r="B994" s="491" t="n"/>
      <c r="C994" s="491" t="n"/>
      <c r="D994" s="491" t="n"/>
      <c r="E994" s="491" t="n"/>
      <c r="F994" s="491" t="n"/>
      <c r="G994" s="491" t="n"/>
      <c r="H994" s="491" t="n"/>
      <c r="I994" s="491" t="n"/>
      <c r="J994" s="491" t="n"/>
      <c r="K994" s="491" t="n"/>
      <c r="L994" s="491" t="n"/>
      <c r="M994" s="491" t="n"/>
      <c r="N994" s="491" t="n"/>
      <c r="O994" s="491" t="n"/>
      <c r="P994" s="491" t="n"/>
      <c r="Q994" s="491" t="n"/>
      <c r="R994" s="491" t="n"/>
      <c r="S994" s="491" t="n"/>
      <c r="T994" s="491" t="n"/>
      <c r="U994" s="491" t="n"/>
      <c r="V994" s="491" t="n"/>
      <c r="W994" s="491" t="n"/>
      <c r="X994" s="491" t="n"/>
      <c r="Y994" s="491" t="n"/>
    </row>
    <row r="995" ht="12.75" customHeight="1" s="398">
      <c r="A995" s="491" t="n"/>
      <c r="B995" s="491" t="n"/>
      <c r="C995" s="491" t="n"/>
      <c r="D995" s="491" t="n"/>
      <c r="E995" s="491" t="n"/>
      <c r="F995" s="491" t="n"/>
      <c r="G995" s="491" t="n"/>
      <c r="H995" s="491" t="n"/>
      <c r="I995" s="491" t="n"/>
      <c r="J995" s="491" t="n"/>
      <c r="K995" s="491" t="n"/>
      <c r="L995" s="491" t="n"/>
      <c r="M995" s="491" t="n"/>
      <c r="N995" s="491" t="n"/>
      <c r="O995" s="491" t="n"/>
      <c r="P995" s="491" t="n"/>
      <c r="Q995" s="491" t="n"/>
      <c r="R995" s="491" t="n"/>
      <c r="S995" s="491" t="n"/>
      <c r="T995" s="491" t="n"/>
      <c r="U995" s="491" t="n"/>
      <c r="V995" s="491" t="n"/>
      <c r="W995" s="491" t="n"/>
      <c r="X995" s="491" t="n"/>
      <c r="Y995" s="491" t="n"/>
    </row>
    <row r="996" ht="12.75" customHeight="1" s="398">
      <c r="A996" s="491" t="n"/>
      <c r="B996" s="491" t="n"/>
      <c r="C996" s="491" t="n"/>
      <c r="D996" s="491" t="n"/>
      <c r="E996" s="491" t="n"/>
      <c r="F996" s="491" t="n"/>
      <c r="G996" s="491" t="n"/>
      <c r="H996" s="491" t="n"/>
      <c r="I996" s="491" t="n"/>
      <c r="J996" s="491" t="n"/>
      <c r="K996" s="491" t="n"/>
      <c r="L996" s="491" t="n"/>
      <c r="M996" s="491" t="n"/>
      <c r="N996" s="491" t="n"/>
      <c r="O996" s="491" t="n"/>
      <c r="P996" s="491" t="n"/>
      <c r="Q996" s="491" t="n"/>
      <c r="R996" s="491" t="n"/>
      <c r="S996" s="491" t="n"/>
      <c r="T996" s="491" t="n"/>
      <c r="U996" s="491" t="n"/>
      <c r="V996" s="491" t="n"/>
      <c r="W996" s="491" t="n"/>
      <c r="X996" s="491" t="n"/>
      <c r="Y996" s="491" t="n"/>
    </row>
    <row r="997" ht="12.75" customHeight="1" s="398">
      <c r="A997" s="491" t="n"/>
      <c r="B997" s="491" t="n"/>
      <c r="C997" s="491" t="n"/>
      <c r="D997" s="491" t="n"/>
      <c r="E997" s="491" t="n"/>
      <c r="F997" s="491" t="n"/>
      <c r="G997" s="491" t="n"/>
      <c r="H997" s="491" t="n"/>
      <c r="I997" s="491" t="n"/>
      <c r="J997" s="491" t="n"/>
      <c r="K997" s="491" t="n"/>
      <c r="L997" s="491" t="n"/>
      <c r="M997" s="491" t="n"/>
      <c r="N997" s="491" t="n"/>
      <c r="O997" s="491" t="n"/>
      <c r="P997" s="491" t="n"/>
      <c r="Q997" s="491" t="n"/>
      <c r="R997" s="491" t="n"/>
      <c r="S997" s="491" t="n"/>
      <c r="T997" s="491" t="n"/>
      <c r="U997" s="491" t="n"/>
      <c r="V997" s="491" t="n"/>
      <c r="W997" s="491" t="n"/>
      <c r="X997" s="491" t="n"/>
      <c r="Y997" s="491" t="n"/>
    </row>
    <row r="998" ht="12.75" customHeight="1" s="398">
      <c r="A998" s="491" t="n"/>
      <c r="B998" s="491" t="n"/>
      <c r="C998" s="491" t="n"/>
      <c r="D998" s="491" t="n"/>
      <c r="E998" s="491" t="n"/>
      <c r="F998" s="491" t="n"/>
      <c r="G998" s="491" t="n"/>
      <c r="H998" s="491" t="n"/>
      <c r="I998" s="491" t="n"/>
      <c r="J998" s="491" t="n"/>
      <c r="K998" s="491" t="n"/>
      <c r="L998" s="491" t="n"/>
      <c r="M998" s="491" t="n"/>
      <c r="N998" s="491" t="n"/>
      <c r="O998" s="491" t="n"/>
      <c r="P998" s="491" t="n"/>
      <c r="Q998" s="491" t="n"/>
      <c r="R998" s="491" t="n"/>
      <c r="S998" s="491" t="n"/>
      <c r="T998" s="491" t="n"/>
      <c r="U998" s="491" t="n"/>
      <c r="V998" s="491" t="n"/>
      <c r="W998" s="491" t="n"/>
      <c r="X998" s="491" t="n"/>
      <c r="Y998" s="491" t="n"/>
    </row>
    <row r="999" ht="12.75" customHeight="1" s="398">
      <c r="A999" s="491" t="n"/>
      <c r="B999" s="491" t="n"/>
      <c r="C999" s="491" t="n"/>
      <c r="D999" s="491" t="n"/>
      <c r="E999" s="491" t="n"/>
      <c r="F999" s="491" t="n"/>
      <c r="G999" s="491" t="n"/>
      <c r="H999" s="491" t="n"/>
      <c r="I999" s="491" t="n"/>
      <c r="J999" s="491" t="n"/>
      <c r="K999" s="491" t="n"/>
      <c r="L999" s="491" t="n"/>
      <c r="M999" s="491" t="n"/>
      <c r="N999" s="491" t="n"/>
      <c r="O999" s="491" t="n"/>
      <c r="P999" s="491" t="n"/>
      <c r="Q999" s="491" t="n"/>
      <c r="R999" s="491" t="n"/>
      <c r="S999" s="491" t="n"/>
      <c r="T999" s="491" t="n"/>
      <c r="U999" s="491" t="n"/>
      <c r="V999" s="491" t="n"/>
      <c r="W999" s="491" t="n"/>
      <c r="X999" s="491" t="n"/>
      <c r="Y999" s="491" t="n"/>
    </row>
    <row r="1000" ht="12.75" customHeight="1" s="398">
      <c r="A1000" s="491" t="n"/>
      <c r="B1000" s="491" t="n"/>
      <c r="C1000" s="491" t="n"/>
      <c r="D1000" s="491" t="n"/>
      <c r="E1000" s="491" t="n"/>
      <c r="F1000" s="491" t="n"/>
      <c r="G1000" s="491" t="n"/>
      <c r="H1000" s="491" t="n"/>
      <c r="I1000" s="491" t="n"/>
      <c r="J1000" s="491" t="n"/>
      <c r="K1000" s="491" t="n"/>
      <c r="L1000" s="491" t="n"/>
      <c r="M1000" s="491" t="n"/>
      <c r="N1000" s="491" t="n"/>
      <c r="O1000" s="491" t="n"/>
      <c r="P1000" s="491" t="n"/>
      <c r="Q1000" s="491" t="n"/>
      <c r="R1000" s="491" t="n"/>
      <c r="S1000" s="491" t="n"/>
      <c r="T1000" s="491" t="n"/>
      <c r="U1000" s="491" t="n"/>
      <c r="V1000" s="491" t="n"/>
      <c r="W1000" s="491" t="n"/>
      <c r="X1000" s="491" t="n"/>
      <c r="Y1000" s="491" t="n"/>
    </row>
    <row r="1001" ht="12.75" customHeight="1" s="398">
      <c r="A1001" s="491" t="n"/>
      <c r="B1001" s="491" t="n"/>
      <c r="C1001" s="491" t="n"/>
      <c r="D1001" s="491" t="n"/>
      <c r="E1001" s="491" t="n"/>
      <c r="F1001" s="491" t="n"/>
      <c r="G1001" s="491" t="n"/>
      <c r="H1001" s="491" t="n"/>
      <c r="I1001" s="491" t="n"/>
      <c r="J1001" s="491" t="n"/>
      <c r="K1001" s="491" t="n"/>
      <c r="L1001" s="491" t="n"/>
      <c r="M1001" s="491" t="n"/>
      <c r="N1001" s="491" t="n"/>
      <c r="O1001" s="491" t="n"/>
      <c r="P1001" s="491" t="n"/>
      <c r="Q1001" s="491" t="n"/>
      <c r="R1001" s="491" t="n"/>
      <c r="S1001" s="491" t="n"/>
      <c r="T1001" s="491" t="n"/>
      <c r="U1001" s="491" t="n"/>
      <c r="V1001" s="491" t="n"/>
      <c r="W1001" s="491" t="n"/>
      <c r="X1001" s="491" t="n"/>
      <c r="Y1001" s="491" t="n"/>
    </row>
    <row r="1002" ht="12.75" customHeight="1" s="398">
      <c r="A1002" s="491" t="n"/>
      <c r="B1002" s="491" t="n"/>
      <c r="C1002" s="491" t="n"/>
      <c r="D1002" s="491" t="n"/>
      <c r="E1002" s="491" t="n"/>
      <c r="F1002" s="491" t="n"/>
      <c r="G1002" s="491" t="n"/>
      <c r="H1002" s="491" t="n"/>
      <c r="I1002" s="491" t="n"/>
      <c r="J1002" s="491" t="n"/>
      <c r="K1002" s="491" t="n"/>
      <c r="L1002" s="491" t="n"/>
      <c r="M1002" s="491" t="n"/>
      <c r="N1002" s="491" t="n"/>
      <c r="O1002" s="491" t="n"/>
      <c r="P1002" s="491" t="n"/>
      <c r="Q1002" s="491" t="n"/>
      <c r="R1002" s="491" t="n"/>
      <c r="S1002" s="491" t="n"/>
      <c r="T1002" s="491" t="n"/>
      <c r="U1002" s="491" t="n"/>
      <c r="V1002" s="491" t="n"/>
      <c r="W1002" s="491" t="n"/>
      <c r="X1002" s="491" t="n"/>
      <c r="Y1002" s="491" t="n"/>
    </row>
  </sheetData>
  <mergeCells count="3">
    <mergeCell ref="C3:N3"/>
    <mergeCell ref="C2:O2"/>
    <mergeCell ref="F41:R67"/>
  </mergeCells>
  <conditionalFormatting sqref="C7:O10 C13:O16 C19:O22 C25:O26 C29:O30 C33:O34">
    <cfRule type="cellIs" priority="1" operator="between" dxfId="1">
      <formula>0</formula>
      <formula>-10000000000000000000</formula>
    </cfRule>
    <cfRule type="cellIs" priority="2" operator="between" dxfId="0">
      <formula>0</formula>
      <formula>1E+23</formula>
    </cfRule>
  </conditionalFormatting>
  <printOptions horizontalCentered="1" gridLines="1"/>
  <pageMargins left="0.25" right="0.25" top="0.75" bottom="0.75" header="0" footer="0"/>
  <pageSetup orientation="landscape" paperSize="9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AA995"/>
  <sheetViews>
    <sheetView zoomScale="82" zoomScaleNormal="82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21" sqref="B21"/>
    </sheetView>
  </sheetViews>
  <sheetFormatPr baseColWidth="8" defaultColWidth="12.7109375" defaultRowHeight="15" customHeight="1"/>
  <cols>
    <col width="18.85546875" customWidth="1" style="386" min="1" max="1"/>
    <col width="64.28515625" customWidth="1" style="386" min="2" max="2"/>
    <col width="17.5703125" customWidth="1" style="386" min="3" max="26"/>
    <col width="12.7109375" customWidth="1" style="386" min="27" max="16384"/>
  </cols>
  <sheetData>
    <row r="1" ht="24" customHeight="1" s="398">
      <c r="A1" s="388" t="n"/>
      <c r="B1" s="388" t="n"/>
      <c r="C1" s="388" t="inlineStr">
        <is>
          <t>APROVADO</t>
        </is>
      </c>
      <c r="D1" s="388" t="inlineStr">
        <is>
          <t>SUGESTÃO</t>
        </is>
      </c>
      <c r="E1" s="388" t="n"/>
      <c r="F1" s="388" t="n"/>
      <c r="G1" s="388" t="n"/>
      <c r="H1" s="388" t="n"/>
      <c r="I1" s="388" t="n"/>
      <c r="J1" s="388" t="n"/>
      <c r="K1" s="388" t="n"/>
      <c r="L1" s="388" t="n"/>
      <c r="M1" s="388" t="n"/>
      <c r="N1" s="388" t="n"/>
      <c r="O1" s="388" t="n"/>
      <c r="P1" s="388" t="n"/>
      <c r="Q1" s="388" t="n"/>
      <c r="R1" s="283" t="n"/>
      <c r="S1" s="284" t="n"/>
      <c r="T1" s="284" t="n"/>
      <c r="U1" s="285" t="n"/>
      <c r="V1" s="285" t="n"/>
      <c r="W1" s="285" t="n"/>
      <c r="X1" s="285" t="n"/>
      <c r="Y1" s="285" t="n"/>
      <c r="Z1" s="285" t="n"/>
      <c r="AA1" s="285" t="n"/>
    </row>
    <row r="2" ht="24" customHeight="1" s="398">
      <c r="A2" s="388" t="inlineStr">
        <is>
          <t>EMPRESA</t>
        </is>
      </c>
      <c r="B2" s="388" t="inlineStr">
        <is>
          <t>PREVISÃO ORÇAMENTÁRIA - DIAMOND TOWER</t>
        </is>
      </c>
      <c r="C2" s="388" t="inlineStr">
        <is>
          <t>2023</t>
        </is>
      </c>
      <c r="D2" s="388" t="inlineStr">
        <is>
          <t>2024</t>
        </is>
      </c>
      <c r="E2" s="388" t="inlineStr">
        <is>
          <t>MARÇO</t>
        </is>
      </c>
      <c r="F2" s="287" t="inlineStr">
        <is>
          <t>ABRIL</t>
        </is>
      </c>
      <c r="G2" s="287" t="inlineStr">
        <is>
          <t>MAIO</t>
        </is>
      </c>
      <c r="H2" s="388" t="inlineStr">
        <is>
          <t>JUNHO</t>
        </is>
      </c>
      <c r="I2" s="388" t="inlineStr">
        <is>
          <t>JULHO</t>
        </is>
      </c>
      <c r="J2" s="388" t="inlineStr">
        <is>
          <t>AGOSTO</t>
        </is>
      </c>
      <c r="K2" s="388" t="inlineStr">
        <is>
          <t>SETEMBRO</t>
        </is>
      </c>
      <c r="L2" s="388" t="inlineStr">
        <is>
          <t>OUTUBRO</t>
        </is>
      </c>
      <c r="M2" s="388" t="inlineStr">
        <is>
          <t>NOVEMBRO</t>
        </is>
      </c>
      <c r="N2" s="388" t="inlineStr">
        <is>
          <t>DEZEMBRO</t>
        </is>
      </c>
      <c r="O2" s="388" t="inlineStr">
        <is>
          <t>JANEIRO</t>
        </is>
      </c>
      <c r="P2" s="388" t="inlineStr">
        <is>
          <t>FEVEREIRO</t>
        </is>
      </c>
      <c r="Q2" s="388" t="inlineStr">
        <is>
          <t>MARÇO</t>
        </is>
      </c>
      <c r="R2" s="288" t="n"/>
      <c r="S2" s="289" t="inlineStr">
        <is>
          <t>PREVISTO</t>
        </is>
      </c>
      <c r="T2" s="289" t="inlineStr">
        <is>
          <t>REALIZADO</t>
        </is>
      </c>
      <c r="U2" s="285" t="n"/>
      <c r="V2" s="285" t="n"/>
      <c r="W2" s="285" t="n"/>
      <c r="X2" s="285" t="n"/>
      <c r="Y2" s="285" t="n"/>
      <c r="Z2" s="285" t="n"/>
      <c r="AA2" s="285" t="n"/>
    </row>
    <row r="3" ht="24" customHeight="1" s="398">
      <c r="A3" s="388" t="inlineStr">
        <is>
          <t>JAN-MAI</t>
        </is>
      </c>
      <c r="B3" s="290" t="inlineStr">
        <is>
          <t>CONTRATOS MÃO DE OBRA</t>
        </is>
      </c>
      <c r="C3" s="291" t="n">
        <v>133630.24</v>
      </c>
      <c r="D3" s="291">
        <f>SUM(D4:D17)</f>
        <v/>
      </c>
      <c r="E3" s="291">
        <f>SUM(E4:E16)</f>
        <v/>
      </c>
      <c r="F3" s="292">
        <f>SUM(F4:F16)</f>
        <v/>
      </c>
      <c r="G3" s="292">
        <f>SUM(G4:G16)</f>
        <v/>
      </c>
      <c r="H3" s="291">
        <f>SUM(H4:H16)</f>
        <v/>
      </c>
      <c r="I3" s="291">
        <f>SUM(I4:I16)</f>
        <v/>
      </c>
      <c r="J3" s="291">
        <f>SUM(J4:J16)</f>
        <v/>
      </c>
      <c r="K3" s="291">
        <f>SUM(K4:K16)</f>
        <v/>
      </c>
      <c r="L3" s="291">
        <f>SUM(L4:L16)</f>
        <v/>
      </c>
      <c r="M3" s="291">
        <f>SUM(M4:M16)</f>
        <v/>
      </c>
      <c r="N3" s="291">
        <f>SUM(N4:N16)</f>
        <v/>
      </c>
      <c r="O3" s="291">
        <f>SUM(O4:O16)</f>
        <v/>
      </c>
      <c r="P3" s="291">
        <f>SUM(P4:P16)</f>
        <v/>
      </c>
      <c r="Q3" s="291">
        <f>SUM(Q4:Q16)</f>
        <v/>
      </c>
      <c r="R3" s="288" t="n"/>
      <c r="S3" s="293">
        <f>SUM(S4:S16)</f>
        <v/>
      </c>
      <c r="T3" s="293">
        <f>SUM(T4:T16)</f>
        <v/>
      </c>
      <c r="U3" s="285" t="n"/>
      <c r="V3" s="285" t="n"/>
      <c r="W3" s="285" t="n"/>
      <c r="X3" s="285" t="n"/>
      <c r="Y3" s="285" t="n"/>
      <c r="Z3" s="285" t="n"/>
      <c r="AA3" s="285" t="n"/>
    </row>
    <row r="4" ht="18.75" customHeight="1" s="398">
      <c r="A4" s="462" t="inlineStr">
        <is>
          <t>ONX SERVIÇOS</t>
        </is>
      </c>
      <c r="B4" s="389" t="inlineStr">
        <is>
          <t>Monitoramento - 01 Posto 24h - Central de Segurança - ONX</t>
        </is>
      </c>
      <c r="C4" s="465" t="n">
        <v>112542</v>
      </c>
      <c r="D4" s="500" t="n">
        <v>110000</v>
      </c>
      <c r="E4" s="393" t="n"/>
      <c r="F4" s="405" t="n"/>
      <c r="G4" s="499" t="n"/>
      <c r="H4" s="465" t="n"/>
      <c r="I4" s="465" t="n"/>
      <c r="J4" s="465" t="n"/>
      <c r="K4" s="465" t="n"/>
      <c r="L4" s="465" t="n"/>
      <c r="M4" s="505" t="n"/>
      <c r="N4" s="465" t="n"/>
      <c r="O4" s="465" t="n"/>
      <c r="P4" s="500" t="n"/>
      <c r="Q4" s="465" t="n"/>
      <c r="R4" s="288" t="n"/>
      <c r="S4" s="468">
        <f>C4*11</f>
        <v/>
      </c>
      <c r="T4" s="468">
        <f>SUM(G4:Q10)</f>
        <v/>
      </c>
      <c r="U4" s="285" t="n"/>
      <c r="V4" s="285" t="n"/>
      <c r="W4" s="285" t="n"/>
      <c r="X4" s="285" t="n"/>
      <c r="Y4" s="285" t="n"/>
      <c r="Z4" s="285" t="n"/>
      <c r="AA4" s="285" t="n"/>
    </row>
    <row r="5" ht="18.75" customHeight="1" s="398">
      <c r="B5" s="389" t="inlineStr">
        <is>
          <t>Ronda Vigilante - 01 Posto 24h - ONX</t>
        </is>
      </c>
      <c r="E5" s="393" t="n"/>
      <c r="F5" s="405" t="n"/>
      <c r="R5" s="288" t="n"/>
      <c r="U5" s="285" t="n"/>
      <c r="V5" s="285" t="n"/>
      <c r="W5" s="285" t="n"/>
      <c r="X5" s="285" t="n"/>
      <c r="Y5" s="285" t="n"/>
      <c r="Z5" s="285" t="n"/>
      <c r="AA5" s="285" t="n"/>
    </row>
    <row r="6" ht="18.75" customHeight="1" s="398">
      <c r="B6" s="389" t="inlineStr">
        <is>
          <t>Porteiro 02 postos 8h - (Seg à Dom - das 7h as 22h)  - ONX</t>
        </is>
      </c>
      <c r="E6" s="393" t="n"/>
      <c r="F6" s="405" t="n"/>
      <c r="R6" s="288" t="n"/>
      <c r="U6" s="285" t="n"/>
      <c r="V6" s="285" t="n"/>
      <c r="W6" s="285" t="n"/>
      <c r="X6" s="285" t="n"/>
      <c r="Y6" s="285" t="n"/>
      <c r="Z6" s="285" t="n"/>
      <c r="AA6" s="285" t="n"/>
    </row>
    <row r="7" ht="18.75" customHeight="1" s="398">
      <c r="B7" s="389" t="inlineStr">
        <is>
          <t>Expedição 01 posto 8h - (Seg à Sáb - das 08h às 16h20)  - ONX</t>
        </is>
      </c>
      <c r="E7" s="393" t="n"/>
      <c r="F7" s="405" t="n"/>
      <c r="R7" s="288" t="n"/>
      <c r="U7" s="285" t="n"/>
      <c r="V7" s="285" t="n"/>
      <c r="W7" s="285" t="n"/>
      <c r="X7" s="285" t="n"/>
      <c r="Y7" s="285" t="n"/>
      <c r="Z7" s="285" t="n"/>
      <c r="AA7" s="285" t="n"/>
    </row>
    <row r="8" ht="18.75" customHeight="1" s="398">
      <c r="B8" s="389" t="inlineStr">
        <is>
          <t>Recepção - 04 postos 8h  (das 7h as 22h)  - ONX</t>
        </is>
      </c>
      <c r="E8" s="393" t="n"/>
      <c r="F8" s="405" t="n"/>
      <c r="R8" s="288" t="n"/>
      <c r="U8" s="285" t="n"/>
      <c r="V8" s="285" t="n"/>
      <c r="W8" s="285" t="n"/>
      <c r="X8" s="285" t="n"/>
      <c r="Y8" s="285" t="n"/>
      <c r="Z8" s="285" t="n"/>
      <c r="AA8" s="285" t="n"/>
    </row>
    <row r="9" ht="18.75" customHeight="1" s="398">
      <c r="B9" s="389" t="inlineStr">
        <is>
          <t>Limpeza - 03 Postos 44h semanais  - ONX</t>
        </is>
      </c>
      <c r="E9" s="393" t="n"/>
      <c r="F9" s="405" t="n"/>
      <c r="R9" s="288" t="n"/>
      <c r="U9" s="285" t="n"/>
      <c r="V9" s="285" t="n"/>
      <c r="W9" s="285" t="n"/>
      <c r="X9" s="285" t="n"/>
      <c r="Y9" s="285" t="n"/>
      <c r="Z9" s="285" t="n"/>
      <c r="AA9" s="285" t="n"/>
    </row>
    <row r="10" ht="18.75" customHeight="1" s="398">
      <c r="B10" s="389" t="inlineStr">
        <is>
          <t>Serviços Gerais – 01 posto 44h semanais  - ONX</t>
        </is>
      </c>
      <c r="E10" s="393" t="n"/>
      <c r="F10" s="405" t="n"/>
      <c r="R10" s="288" t="n"/>
      <c r="U10" s="285" t="n"/>
      <c r="V10" s="285" t="n"/>
      <c r="W10" s="285" t="n"/>
      <c r="X10" s="285" t="n"/>
      <c r="Y10" s="285" t="n"/>
      <c r="Z10" s="285" t="n"/>
      <c r="AA10" s="285" t="n"/>
    </row>
    <row r="11" ht="18.75" customHeight="1" s="398">
      <c r="A11" s="462" t="inlineStr">
        <is>
          <t>CAPPELLETTO</t>
        </is>
      </c>
      <c r="B11" s="389" t="inlineStr">
        <is>
          <t>Assistente Condominial 44h - Karoline Aguirres</t>
        </is>
      </c>
      <c r="C11" s="465" t="n">
        <v>16000</v>
      </c>
      <c r="D11" s="465">
        <f>16000*1.06</f>
        <v/>
      </c>
      <c r="E11" s="465" t="n"/>
      <c r="F11" s="465" t="n"/>
      <c r="G11" s="465" t="n"/>
      <c r="H11" s="465" t="n"/>
      <c r="I11" s="465" t="n"/>
      <c r="J11" s="465" t="n"/>
      <c r="K11" s="465" t="n"/>
      <c r="L11" s="465" t="n"/>
      <c r="M11" s="465" t="n"/>
      <c r="N11" s="465" t="n"/>
      <c r="O11" s="465" t="n"/>
      <c r="P11" s="465" t="n"/>
      <c r="Q11" s="465" t="n"/>
      <c r="R11" s="288" t="n"/>
      <c r="U11" s="285" t="n"/>
      <c r="V11" s="285" t="n"/>
      <c r="W11" s="285" t="n"/>
      <c r="X11" s="285" t="n"/>
      <c r="Y11" s="285" t="n"/>
      <c r="Z11" s="285" t="n"/>
      <c r="AA11" s="285" t="n"/>
    </row>
    <row r="12" ht="18.75" customHeight="1" s="398">
      <c r="B12" s="389" t="inlineStr">
        <is>
          <t>Gestor Condominial - 01 Posto 44h semanais</t>
        </is>
      </c>
      <c r="R12" s="288" t="n"/>
      <c r="S12" s="299">
        <f>C12*12</f>
        <v/>
      </c>
      <c r="T12" s="284">
        <f>SUM(E12:Q12)</f>
        <v/>
      </c>
      <c r="U12" s="285" t="n"/>
      <c r="V12" s="285" t="n"/>
      <c r="W12" s="285" t="n"/>
      <c r="X12" s="285" t="n"/>
      <c r="Y12" s="285" t="n"/>
      <c r="Z12" s="285" t="n"/>
      <c r="AA12" s="285" t="n"/>
    </row>
    <row r="13" ht="18.75" customHeight="1" s="398">
      <c r="A13" s="392" t="inlineStr">
        <is>
          <t>GUARIDA</t>
        </is>
      </c>
      <c r="B13" s="389" t="inlineStr">
        <is>
          <t>Auxiliar Administração</t>
        </is>
      </c>
      <c r="C13" s="393" t="n">
        <v>2700</v>
      </c>
      <c r="D13" s="393">
        <f>C13*1.05</f>
        <v/>
      </c>
      <c r="E13" s="393" t="n"/>
      <c r="F13" s="405" t="n"/>
      <c r="G13" s="405" t="n"/>
      <c r="H13" s="393" t="n"/>
      <c r="I13" s="393" t="n"/>
      <c r="J13" s="393" t="n"/>
      <c r="K13" s="393" t="n"/>
      <c r="L13" s="393" t="n"/>
      <c r="M13" s="393" t="n"/>
      <c r="N13" s="393" t="n"/>
      <c r="O13" s="393" t="n"/>
      <c r="P13" s="393" t="n"/>
      <c r="Q13" s="393" t="n"/>
      <c r="R13" s="288" t="n"/>
      <c r="S13" s="299">
        <f>C13*12</f>
        <v/>
      </c>
      <c r="T13" s="299">
        <f>SUM(E13:Q13)</f>
        <v/>
      </c>
      <c r="U13" s="285" t="n"/>
      <c r="V13" s="285" t="n"/>
      <c r="W13" s="285" t="n"/>
      <c r="X13" s="285" t="n"/>
      <c r="Y13" s="285" t="n"/>
      <c r="Z13" s="285" t="n"/>
      <c r="AA13" s="285" t="n"/>
    </row>
    <row r="14" ht="18.75" customHeight="1" s="398">
      <c r="A14" s="392" t="inlineStr">
        <is>
          <t>ORGÂNICO</t>
        </is>
      </c>
      <c r="B14" s="389" t="inlineStr">
        <is>
          <t xml:space="preserve">Oficial Manutenção - 01 Posto 44h  semanais </t>
        </is>
      </c>
      <c r="C14" s="393" t="n">
        <v>5000</v>
      </c>
      <c r="D14" s="393">
        <f>C14*1.05</f>
        <v/>
      </c>
      <c r="E14" s="393" t="n"/>
      <c r="F14" s="405" t="n"/>
      <c r="G14" s="405" t="n"/>
      <c r="H14" s="393" t="n"/>
      <c r="I14" s="393" t="n"/>
      <c r="J14" s="393" t="n"/>
      <c r="K14" s="393" t="n"/>
      <c r="L14" s="393" t="n"/>
      <c r="M14" s="393" t="n"/>
      <c r="N14" s="393" t="n"/>
      <c r="O14" s="393" t="n"/>
      <c r="P14" s="393" t="n"/>
      <c r="Q14" s="393" t="n"/>
      <c r="R14" s="288" t="n"/>
      <c r="S14" s="299">
        <f>C14*11</f>
        <v/>
      </c>
      <c r="T14" s="299">
        <f>SUM(E14:Q14)</f>
        <v/>
      </c>
      <c r="U14" s="285" t="n"/>
      <c r="V14" s="285" t="n"/>
      <c r="W14" s="285" t="n"/>
      <c r="X14" s="285" t="n"/>
      <c r="Y14" s="285" t="n"/>
      <c r="Z14" s="285" t="n"/>
      <c r="AA14" s="285" t="n"/>
    </row>
    <row r="15" ht="18.75" customHeight="1" s="398">
      <c r="A15" s="300" t="inlineStr">
        <is>
          <t>ORGÂNICO</t>
        </is>
      </c>
      <c r="B15" s="301" t="inlineStr">
        <is>
          <t>Remuneração Subsíndico</t>
        </is>
      </c>
      <c r="C15" s="393" t="n">
        <v>5222.24</v>
      </c>
      <c r="D15" s="393" t="n">
        <v>7500</v>
      </c>
      <c r="E15" s="393" t="n"/>
      <c r="F15" s="405" t="n"/>
      <c r="G15" s="405" t="n"/>
      <c r="H15" s="393" t="n"/>
      <c r="I15" s="393" t="n"/>
      <c r="J15" s="393" t="n"/>
      <c r="K15" s="393" t="n"/>
      <c r="L15" s="393" t="n"/>
      <c r="M15" s="393" t="n"/>
      <c r="N15" s="393" t="n"/>
      <c r="O15" s="393" t="n"/>
      <c r="P15" s="393" t="n"/>
      <c r="Q15" s="393" t="n"/>
      <c r="R15" s="288" t="n"/>
      <c r="S15" s="299">
        <f>C15*12</f>
        <v/>
      </c>
      <c r="T15" s="299">
        <f>SUM(E15:Q15)</f>
        <v/>
      </c>
      <c r="U15" s="285" t="n"/>
      <c r="V15" s="285" t="n"/>
      <c r="W15" s="285" t="n"/>
      <c r="X15" s="285" t="n"/>
      <c r="Y15" s="285" t="n"/>
      <c r="Z15" s="285" t="n"/>
      <c r="AA15" s="285" t="n"/>
    </row>
    <row r="16" ht="18.75" customHeight="1" s="398">
      <c r="A16" s="392" t="inlineStr">
        <is>
          <t>AUDI PASTAS</t>
        </is>
      </c>
      <c r="B16" s="389" t="inlineStr">
        <is>
          <t xml:space="preserve">Auditoria Externa </t>
        </is>
      </c>
      <c r="C16" s="393" t="n">
        <v>1166</v>
      </c>
      <c r="D16" s="393" t="n">
        <v>1330</v>
      </c>
      <c r="E16" s="393" t="n"/>
      <c r="F16" s="405" t="n"/>
      <c r="G16" s="405" t="n"/>
      <c r="H16" s="393" t="n"/>
      <c r="I16" s="393" t="n"/>
      <c r="J16" s="393" t="n"/>
      <c r="K16" s="393" t="n"/>
      <c r="L16" s="393" t="n"/>
      <c r="M16" s="393" t="n"/>
      <c r="N16" s="393" t="n"/>
      <c r="O16" s="393" t="n"/>
      <c r="P16" s="393" t="n"/>
      <c r="Q16" s="393" t="n"/>
      <c r="R16" s="288" t="n"/>
      <c r="S16" s="299">
        <f>C16*12</f>
        <v/>
      </c>
      <c r="T16" s="299">
        <f>SUM(E16:Q16)</f>
        <v/>
      </c>
      <c r="U16" s="285" t="n"/>
      <c r="V16" s="285" t="n"/>
      <c r="W16" s="285" t="n"/>
      <c r="X16" s="285" t="n"/>
      <c r="Y16" s="285" t="n"/>
      <c r="Z16" s="285" t="n"/>
      <c r="AA16" s="285" t="n"/>
    </row>
    <row r="17" ht="14.25" customHeight="1" s="398">
      <c r="A17" s="302" t="n"/>
      <c r="B17" s="302" t="n"/>
      <c r="C17" s="393" t="n"/>
      <c r="D17" s="393" t="n"/>
      <c r="E17" s="393" t="n"/>
      <c r="F17" s="405" t="n"/>
      <c r="G17" s="405" t="n"/>
      <c r="H17" s="393" t="n"/>
      <c r="I17" s="393" t="n"/>
      <c r="J17" s="393" t="n"/>
      <c r="K17" s="393" t="n"/>
      <c r="L17" s="393" t="n"/>
      <c r="M17" s="393" t="n"/>
      <c r="N17" s="393" t="n"/>
      <c r="O17" s="393" t="n"/>
      <c r="P17" s="393" t="n"/>
      <c r="Q17" s="393" t="n"/>
      <c r="R17" s="288" t="n"/>
      <c r="S17" s="299" t="n"/>
      <c r="T17" s="284" t="n"/>
      <c r="U17" s="285" t="n"/>
      <c r="V17" s="285" t="n"/>
      <c r="W17" s="285" t="n"/>
      <c r="X17" s="285" t="n"/>
      <c r="Y17" s="285" t="n"/>
      <c r="Z17" s="285" t="n"/>
      <c r="AA17" s="285" t="n"/>
    </row>
    <row r="18" ht="24" customHeight="1" s="398">
      <c r="A18" s="290" t="n"/>
      <c r="B18" s="290" t="inlineStr">
        <is>
          <t xml:space="preserve">MANUTENÇÕES/LOCAÇÕES - CONTRATOS </t>
        </is>
      </c>
      <c r="C18" s="291" t="n">
        <v>27460.78</v>
      </c>
      <c r="D18" s="291">
        <f>SUM(D19:D26)</f>
        <v/>
      </c>
      <c r="E18" s="291">
        <f>SUM(E19:E25)</f>
        <v/>
      </c>
      <c r="F18" s="292">
        <f>SUM(F19:F25)</f>
        <v/>
      </c>
      <c r="G18" s="292">
        <f>SUM(G19:G25)</f>
        <v/>
      </c>
      <c r="H18" s="291">
        <f>SUM(H19:H25)</f>
        <v/>
      </c>
      <c r="I18" s="291">
        <f>SUM(I19:I25)</f>
        <v/>
      </c>
      <c r="J18" s="291">
        <f>SUM(J19:J25)</f>
        <v/>
      </c>
      <c r="K18" s="291">
        <f>SUM(K19:K25)</f>
        <v/>
      </c>
      <c r="L18" s="291">
        <f>SUM(L19:L25)</f>
        <v/>
      </c>
      <c r="M18" s="291">
        <f>SUM(M19:M25)</f>
        <v/>
      </c>
      <c r="N18" s="291">
        <f>SUM(N19:N25)</f>
        <v/>
      </c>
      <c r="O18" s="291">
        <f>SUM(O19:O25)</f>
        <v/>
      </c>
      <c r="P18" s="291">
        <f>SUM(P19:P25)</f>
        <v/>
      </c>
      <c r="Q18" s="291">
        <f>SUM(Q19:Q25)</f>
        <v/>
      </c>
      <c r="R18" s="288" t="n"/>
      <c r="S18" s="303">
        <f>SUM(S19:S26)</f>
        <v/>
      </c>
      <c r="T18" s="303">
        <f>SUM(T19:T26)</f>
        <v/>
      </c>
      <c r="U18" s="285" t="n"/>
      <c r="V18" s="285" t="n"/>
      <c r="W18" s="285" t="n"/>
      <c r="X18" s="285" t="n"/>
      <c r="Y18" s="285" t="n"/>
      <c r="Z18" s="285" t="n"/>
      <c r="AA18" s="285" t="n"/>
    </row>
    <row r="19" ht="18.75" customHeight="1" s="398">
      <c r="A19" s="392" t="inlineStr">
        <is>
          <t>FG PISCINAS</t>
        </is>
      </c>
      <c r="B19" s="389" t="inlineStr">
        <is>
          <t xml:space="preserve">Limpeza Espelho D'água, Química e AFT com Material </t>
        </is>
      </c>
      <c r="C19" s="393" t="n">
        <v>850</v>
      </c>
      <c r="D19" s="393" t="n">
        <v>850</v>
      </c>
      <c r="E19" s="393" t="n"/>
      <c r="F19" s="405" t="n"/>
      <c r="G19" s="405" t="n"/>
      <c r="H19" s="393" t="n"/>
      <c r="I19" s="393" t="n"/>
      <c r="J19" s="393" t="n"/>
      <c r="K19" s="393" t="n"/>
      <c r="L19" s="393" t="n"/>
      <c r="M19" s="393" t="n"/>
      <c r="N19" s="393" t="n"/>
      <c r="O19" s="393" t="n"/>
      <c r="P19" s="393" t="n"/>
      <c r="Q19" s="393" t="n"/>
      <c r="R19" s="288" t="n"/>
      <c r="S19" s="299">
        <f>C19*12</f>
        <v/>
      </c>
      <c r="T19" s="299">
        <f>SUM(E19:Q19)</f>
        <v/>
      </c>
      <c r="U19" s="285" t="n"/>
      <c r="V19" s="285" t="n"/>
      <c r="W19" s="285" t="n"/>
      <c r="X19" s="285" t="n"/>
      <c r="Y19" s="285" t="n"/>
      <c r="Z19" s="285" t="n"/>
      <c r="AA19" s="285" t="n"/>
    </row>
    <row r="20" ht="18.75" customHeight="1" s="398">
      <c r="A20" s="392" t="inlineStr">
        <is>
          <t>SYSCOM</t>
        </is>
      </c>
      <c r="B20" s="389" t="inlineStr">
        <is>
          <t>Locação Impressora</t>
        </is>
      </c>
      <c r="C20" s="393" t="n">
        <v>223.82</v>
      </c>
      <c r="D20" s="393" t="n">
        <v>0</v>
      </c>
      <c r="E20" s="393" t="n"/>
      <c r="F20" s="405" t="n"/>
      <c r="G20" s="405" t="n"/>
      <c r="H20" s="393" t="n"/>
      <c r="I20" s="393" t="n"/>
      <c r="J20" s="393" t="n"/>
      <c r="K20" s="393" t="n"/>
      <c r="L20" s="393" t="n"/>
      <c r="M20" s="393" t="n"/>
      <c r="N20" s="285" t="n"/>
      <c r="O20" s="393" t="n"/>
      <c r="P20" s="393" t="n"/>
      <c r="Q20" s="393" t="n"/>
      <c r="R20" s="288" t="n"/>
      <c r="S20" s="299">
        <f>C20*12</f>
        <v/>
      </c>
      <c r="T20" s="299">
        <f>SUM(E20:Q20)</f>
        <v/>
      </c>
      <c r="U20" s="285" t="n"/>
      <c r="V20" s="285" t="n"/>
      <c r="W20" s="285" t="n"/>
      <c r="X20" s="285" t="n"/>
      <c r="Y20" s="285" t="n"/>
      <c r="Z20" s="285" t="n"/>
      <c r="AA20" s="285" t="n"/>
    </row>
    <row r="21" ht="18.75" customHeight="1" s="398">
      <c r="A21" s="392" t="inlineStr">
        <is>
          <t>BDS AR</t>
        </is>
      </c>
      <c r="B21" s="389" t="inlineStr">
        <is>
          <t>Manutenção ar condicionado / exaustão áreas comuns</t>
        </is>
      </c>
      <c r="C21" s="393" t="n">
        <v>3339.14</v>
      </c>
      <c r="D21" s="393">
        <f>C21*1.05</f>
        <v/>
      </c>
      <c r="E21" s="393" t="n"/>
      <c r="F21" s="405" t="n"/>
      <c r="G21" s="405" t="n"/>
      <c r="H21" s="393" t="n"/>
      <c r="I21" s="393" t="n"/>
      <c r="J21" s="393" t="n"/>
      <c r="K21" s="393" t="n"/>
      <c r="L21" s="393" t="n"/>
      <c r="M21" s="393" t="n"/>
      <c r="N21" s="393" t="n"/>
      <c r="O21" s="393" t="n"/>
      <c r="P21" s="393" t="n"/>
      <c r="Q21" s="393" t="n"/>
      <c r="R21" s="288" t="n"/>
      <c r="S21" s="299">
        <f>C21*12</f>
        <v/>
      </c>
      <c r="T21" s="299">
        <f>SUM(E21:Q21)</f>
        <v/>
      </c>
      <c r="U21" s="285" t="n"/>
      <c r="V21" s="285" t="n"/>
      <c r="W21" s="285" t="n"/>
      <c r="X21" s="285" t="n"/>
      <c r="Y21" s="285" t="n"/>
      <c r="Z21" s="285" t="n"/>
      <c r="AA21" s="285" t="n"/>
    </row>
    <row r="22" ht="18.75" customHeight="1" s="398">
      <c r="A22" s="392" t="inlineStr">
        <is>
          <t>SYSCOM</t>
        </is>
      </c>
      <c r="B22" s="389" t="inlineStr">
        <is>
          <t xml:space="preserve">Manutenção CFTV/Controle de Acesso/Central Alarme </t>
        </is>
      </c>
      <c r="C22" s="393" t="n">
        <v>3536.46</v>
      </c>
      <c r="D22" s="393" t="n">
        <v>0</v>
      </c>
      <c r="E22" s="393" t="n"/>
      <c r="F22" s="405" t="n"/>
      <c r="G22" s="405" t="n"/>
      <c r="H22" s="393" t="n"/>
      <c r="I22" s="393" t="n"/>
      <c r="J22" s="393" t="n"/>
      <c r="K22" s="393" t="n"/>
      <c r="L22" s="393" t="n"/>
      <c r="M22" s="393" t="n"/>
      <c r="N22" s="393" t="n"/>
      <c r="P22" s="393" t="n"/>
      <c r="Q22" s="393" t="n"/>
      <c r="R22" s="288" t="n"/>
      <c r="S22" s="299">
        <f>C22*12</f>
        <v/>
      </c>
      <c r="T22" s="299">
        <f>SUM(E22:Q22)</f>
        <v/>
      </c>
      <c r="U22" s="285" t="n"/>
      <c r="V22" s="285" t="n"/>
      <c r="W22" s="285" t="n"/>
      <c r="X22" s="285" t="n"/>
      <c r="Y22" s="285" t="n"/>
      <c r="Z22" s="285" t="n"/>
      <c r="AA22" s="285" t="n"/>
    </row>
    <row r="23" ht="18.75" customHeight="1" s="398">
      <c r="A23" s="385" t="inlineStr">
        <is>
          <t>ATLAS</t>
        </is>
      </c>
      <c r="B23" s="305" t="inlineStr">
        <is>
          <t>Manutenção Preventiva Elevadores (7) - Com Peças - Atlas</t>
        </is>
      </c>
      <c r="C23" s="393" t="n">
        <v>8680.969999999999</v>
      </c>
      <c r="D23" s="393" t="n">
        <v>9223.790000000001</v>
      </c>
      <c r="E23" s="306" t="n"/>
      <c r="F23" s="307" t="n"/>
      <c r="G23" s="307" t="n"/>
      <c r="H23" s="306" t="n"/>
      <c r="I23" s="306" t="n"/>
      <c r="J23" s="306" t="n"/>
      <c r="K23" s="306" t="n"/>
      <c r="L23" s="306" t="n"/>
      <c r="M23" s="306" t="n"/>
      <c r="N23" s="306" t="n"/>
      <c r="O23" s="306" t="n"/>
      <c r="P23" s="306" t="n"/>
      <c r="Q23" s="306" t="n"/>
      <c r="R23" s="288" t="n"/>
      <c r="S23" s="299">
        <f>C23*12</f>
        <v/>
      </c>
      <c r="T23" s="299">
        <f>SUM(E23:Q23)</f>
        <v/>
      </c>
      <c r="U23" s="285" t="n"/>
      <c r="V23" s="285" t="n"/>
      <c r="W23" s="285" t="n"/>
      <c r="X23" s="285" t="n"/>
      <c r="Y23" s="285" t="n"/>
      <c r="Z23" s="285" t="n"/>
      <c r="AA23" s="285" t="n"/>
    </row>
    <row r="24" ht="18.75" customHeight="1" s="398">
      <c r="A24" s="385" t="inlineStr">
        <is>
          <t>ALTITUDE</t>
        </is>
      </c>
      <c r="B24" s="305" t="inlineStr">
        <is>
          <t>Limpeza da Fachada</t>
        </is>
      </c>
      <c r="C24" s="393" t="n">
        <v>7500</v>
      </c>
      <c r="D24" s="393" t="n">
        <v>8350</v>
      </c>
      <c r="E24" s="393" t="n"/>
      <c r="F24" s="405" t="n"/>
      <c r="G24" s="405" t="n"/>
      <c r="H24" s="393" t="n"/>
      <c r="I24" s="393" t="n"/>
      <c r="J24" s="393" t="n"/>
      <c r="K24" s="393" t="n"/>
      <c r="L24" s="393" t="n"/>
      <c r="M24" s="393" t="n"/>
      <c r="N24" s="393" t="n"/>
      <c r="O24" s="393" t="n"/>
      <c r="P24" s="393" t="n"/>
      <c r="Q24" s="393" t="n"/>
      <c r="R24" s="288" t="n"/>
      <c r="S24" s="299">
        <f>C24*12</f>
        <v/>
      </c>
      <c r="T24" s="299">
        <f>SUM(E24:Q24)</f>
        <v/>
      </c>
      <c r="U24" s="285" t="n"/>
      <c r="V24" s="285" t="n"/>
      <c r="W24" s="285" t="n"/>
      <c r="X24" s="285" t="n"/>
      <c r="Y24" s="285" t="n"/>
      <c r="Z24" s="285" t="n"/>
      <c r="AA24" s="285" t="n"/>
    </row>
    <row r="25" ht="18.75" customHeight="1" s="398">
      <c r="A25" s="385" t="inlineStr">
        <is>
          <t>STEMAC</t>
        </is>
      </c>
      <c r="B25" s="305" t="inlineStr">
        <is>
          <t>Manutenção preventiva motor gerador</t>
        </is>
      </c>
      <c r="C25" s="393" t="n">
        <v>1380.39</v>
      </c>
      <c r="D25" s="393">
        <f>C25*1.05</f>
        <v/>
      </c>
      <c r="E25" s="393" t="n"/>
      <c r="F25" s="405" t="n"/>
      <c r="G25" s="405" t="n"/>
      <c r="H25" s="393" t="n"/>
      <c r="I25" s="393" t="n"/>
      <c r="J25" s="393" t="n"/>
      <c r="K25" s="393" t="n"/>
      <c r="L25" s="393" t="n"/>
      <c r="M25" s="393" t="n"/>
      <c r="N25" s="393" t="n"/>
      <c r="O25" s="393" t="n"/>
      <c r="P25" s="393" t="n"/>
      <c r="Q25" s="393" t="n"/>
      <c r="R25" s="288" t="n"/>
      <c r="S25" s="299">
        <f>C25*12</f>
        <v/>
      </c>
      <c r="T25" s="299">
        <f>SUM(E25:Q25)</f>
        <v/>
      </c>
      <c r="U25" s="285" t="n"/>
      <c r="V25" s="285" t="n"/>
      <c r="W25" s="285" t="n"/>
      <c r="X25" s="285" t="n"/>
      <c r="Y25" s="285" t="n"/>
      <c r="Z25" s="285" t="n"/>
      <c r="AA25" s="285" t="n"/>
    </row>
    <row r="26" ht="18.75" customHeight="1" s="398">
      <c r="A26" s="385" t="inlineStr">
        <is>
          <t>BELLINI</t>
        </is>
      </c>
      <c r="B26" s="305" t="inlineStr">
        <is>
          <t>Consultoria jurídica</t>
        </is>
      </c>
      <c r="C26" s="393" t="n">
        <v>1950</v>
      </c>
      <c r="D26" s="393">
        <f>1412*2</f>
        <v/>
      </c>
      <c r="E26" s="393" t="n"/>
      <c r="F26" s="405" t="n"/>
      <c r="G26" s="405" t="n"/>
      <c r="H26" s="393" t="n"/>
      <c r="I26" s="393" t="n"/>
      <c r="J26" s="393" t="n"/>
      <c r="K26" s="393" t="n"/>
      <c r="L26" s="393" t="n"/>
      <c r="M26" s="393" t="n"/>
      <c r="N26" s="393" t="n"/>
      <c r="O26" s="393" t="n"/>
      <c r="P26" s="393" t="n"/>
      <c r="Q26" s="393" t="n"/>
      <c r="R26" s="288" t="n"/>
      <c r="S26" s="299">
        <f>C26*12</f>
        <v/>
      </c>
      <c r="T26" s="299">
        <f>SUM(E26:Q26)</f>
        <v/>
      </c>
      <c r="U26" s="285" t="n"/>
      <c r="V26" s="285" t="n"/>
      <c r="W26" s="285" t="n"/>
      <c r="X26" s="285" t="n"/>
      <c r="Y26" s="285" t="n"/>
      <c r="Z26" s="285" t="n"/>
      <c r="AA26" s="285" t="n"/>
    </row>
    <row r="27" ht="15.75" customHeight="1" s="398">
      <c r="A27" s="308" t="n"/>
      <c r="B27" s="308" t="n"/>
      <c r="C27" s="309" t="n"/>
      <c r="D27" s="309" t="n"/>
      <c r="E27" s="309" t="n"/>
      <c r="F27" s="310" t="n"/>
      <c r="G27" s="310" t="n"/>
      <c r="H27" s="309" t="n"/>
      <c r="I27" s="309" t="n"/>
      <c r="J27" s="309" t="n"/>
      <c r="K27" s="309" t="n"/>
      <c r="L27" s="309" t="n"/>
      <c r="M27" s="309" t="n"/>
      <c r="N27" s="309" t="n"/>
      <c r="O27" s="309" t="n"/>
      <c r="P27" s="309" t="n"/>
      <c r="Q27" s="309" t="n"/>
      <c r="R27" s="288" t="n"/>
      <c r="S27" s="299" t="n"/>
      <c r="T27" s="284" t="n"/>
      <c r="U27" s="285" t="n"/>
      <c r="V27" s="285" t="n"/>
      <c r="W27" s="285" t="n"/>
      <c r="X27" s="285" t="n"/>
      <c r="Y27" s="285" t="n"/>
      <c r="Z27" s="285" t="n"/>
      <c r="AA27" s="285" t="n"/>
    </row>
    <row r="28" ht="24" customHeight="1" s="398">
      <c r="A28" s="290" t="n"/>
      <c r="B28" s="290" t="inlineStr">
        <is>
          <t>MANUTENÇÕES - SEM CONTRATO</t>
        </is>
      </c>
      <c r="C28" s="291" t="n">
        <v>10450</v>
      </c>
      <c r="D28" s="291">
        <f>SUM(D29:D36)</f>
        <v/>
      </c>
      <c r="E28" s="291">
        <f>SUM(E29:E36)</f>
        <v/>
      </c>
      <c r="F28" s="292">
        <f>SUM(F29:F36)</f>
        <v/>
      </c>
      <c r="G28" s="292">
        <f>SUM(G29:G36)</f>
        <v/>
      </c>
      <c r="H28" s="291">
        <f>SUM(H29:H36)</f>
        <v/>
      </c>
      <c r="I28" s="291">
        <f>SUM(I29:I36)</f>
        <v/>
      </c>
      <c r="J28" s="291">
        <f>SUM(J29:J36)</f>
        <v/>
      </c>
      <c r="K28" s="291">
        <f>SUM(K29:K36)</f>
        <v/>
      </c>
      <c r="L28" s="291">
        <f>SUM(L29:L36)</f>
        <v/>
      </c>
      <c r="M28" s="291">
        <f>SUM(M29:M36)</f>
        <v/>
      </c>
      <c r="N28" s="291">
        <f>SUM(N29:N36)</f>
        <v/>
      </c>
      <c r="O28" s="291">
        <f>SUM(O29:O36)</f>
        <v/>
      </c>
      <c r="P28" s="291">
        <f>SUM(P29:P36)</f>
        <v/>
      </c>
      <c r="Q28" s="291">
        <f>SUM(Q29:Q36)</f>
        <v/>
      </c>
      <c r="R28" s="288" t="n"/>
      <c r="S28" s="303">
        <f>SUM(S29:S36)</f>
        <v/>
      </c>
      <c r="T28" s="303">
        <f>SUM(T29:T36)</f>
        <v/>
      </c>
      <c r="U28" s="285" t="n"/>
      <c r="V28" s="285" t="n"/>
      <c r="W28" s="285" t="n"/>
      <c r="X28" s="285" t="n"/>
      <c r="Y28" s="285" t="n"/>
      <c r="Z28" s="285" t="n"/>
      <c r="AA28" s="285" t="n"/>
    </row>
    <row r="29" ht="18.75" customHeight="1" s="398">
      <c r="A29" s="385" t="inlineStr">
        <is>
          <t>MULTIPLAN</t>
        </is>
      </c>
      <c r="B29" s="305" t="inlineStr">
        <is>
          <t xml:space="preserve">Lixo/Entulho/Manutenção Externa - Despesa Compartilhada </t>
        </is>
      </c>
      <c r="C29" s="393" t="n">
        <v>3000</v>
      </c>
      <c r="D29" s="393" t="n">
        <v>3000</v>
      </c>
      <c r="E29" s="393" t="n"/>
      <c r="F29" s="405" t="n"/>
      <c r="G29" s="405" t="n"/>
      <c r="H29" s="393" t="n"/>
      <c r="I29" s="393" t="n"/>
      <c r="J29" s="393" t="n"/>
      <c r="K29" s="393" t="n"/>
      <c r="L29" s="393" t="n"/>
      <c r="M29" s="393" t="n"/>
      <c r="N29" s="393" t="n"/>
      <c r="O29" s="393" t="n"/>
      <c r="P29" s="393" t="n"/>
      <c r="Q29" s="393" t="n"/>
      <c r="R29" s="288" t="n"/>
      <c r="S29" s="299">
        <f>C29*12</f>
        <v/>
      </c>
      <c r="T29" s="299">
        <f>SUM(E29:Q29)</f>
        <v/>
      </c>
      <c r="U29" s="285" t="n"/>
      <c r="V29" s="285" t="n"/>
      <c r="W29" s="285" t="n"/>
      <c r="X29" s="285" t="n"/>
      <c r="Y29" s="285" t="n"/>
      <c r="Z29" s="285" t="n"/>
      <c r="AA29" s="285" t="n"/>
    </row>
    <row r="30" ht="18.75" customHeight="1" s="398">
      <c r="A30" s="470" t="inlineStr">
        <is>
          <t>DEMANDA</t>
        </is>
      </c>
      <c r="B30" s="305" t="inlineStr">
        <is>
          <t>Manutenção Bombas de Recalque</t>
        </is>
      </c>
      <c r="C30" s="299" t="n">
        <v>500</v>
      </c>
      <c r="D30" s="299">
        <f>C30*1.05</f>
        <v/>
      </c>
      <c r="E30" s="299" t="n"/>
      <c r="F30" s="391" t="n"/>
      <c r="G30" s="391" t="n"/>
      <c r="H30" s="299" t="n"/>
      <c r="I30" s="299" t="n"/>
      <c r="J30" s="299" t="n"/>
      <c r="K30" s="299" t="n"/>
      <c r="L30" s="299" t="n"/>
      <c r="M30" s="299" t="n"/>
      <c r="N30" s="299" t="n"/>
      <c r="O30" s="299" t="n"/>
      <c r="P30" s="299" t="n"/>
      <c r="Q30" s="299" t="n"/>
      <c r="R30" s="288" t="n"/>
      <c r="S30" s="299">
        <f>C30*12</f>
        <v/>
      </c>
      <c r="T30" s="299">
        <f>SUM(E30:Q30)</f>
        <v/>
      </c>
      <c r="U30" s="285" t="n"/>
      <c r="V30" s="285" t="n"/>
      <c r="W30" s="285" t="n"/>
      <c r="X30" s="285" t="n"/>
      <c r="Y30" s="285" t="n"/>
      <c r="Z30" s="285" t="n"/>
      <c r="AA30" s="285" t="n"/>
    </row>
    <row r="31" ht="18.75" customHeight="1" s="398">
      <c r="B31" s="389" t="inlineStr">
        <is>
          <t>Manutenção Interfones</t>
        </is>
      </c>
      <c r="C31" s="299" t="n">
        <v>50</v>
      </c>
      <c r="D31" s="299" t="n">
        <v>500</v>
      </c>
      <c r="E31" s="299" t="n"/>
      <c r="F31" s="391" t="n"/>
      <c r="G31" s="391" t="n"/>
      <c r="H31" s="299" t="n"/>
      <c r="I31" s="299" t="n"/>
      <c r="J31" s="299" t="n"/>
      <c r="K31" s="299" t="n"/>
      <c r="L31" s="299" t="n"/>
      <c r="M31" s="299" t="n"/>
      <c r="N31" s="299" t="n"/>
      <c r="O31" s="299" t="n"/>
      <c r="P31" s="299" t="n"/>
      <c r="Q31" s="299" t="n"/>
      <c r="R31" s="288" t="n"/>
      <c r="S31" s="299">
        <f>C31*12</f>
        <v/>
      </c>
      <c r="T31" s="299">
        <f>SUM(E31:Q31)</f>
        <v/>
      </c>
      <c r="U31" s="285" t="n"/>
      <c r="V31" s="285" t="n"/>
      <c r="W31" s="285" t="n"/>
      <c r="X31" s="285" t="n"/>
      <c r="Y31" s="285" t="n"/>
      <c r="Z31" s="285" t="n"/>
      <c r="AA31" s="285" t="n"/>
    </row>
    <row r="32" ht="18.75" customHeight="1" s="398">
      <c r="B32" s="305" t="inlineStr">
        <is>
          <t>Manutenção Predial</t>
        </is>
      </c>
      <c r="C32" s="299" t="n">
        <v>3000</v>
      </c>
      <c r="D32" s="299" t="n">
        <v>3000</v>
      </c>
      <c r="E32" s="299" t="n"/>
      <c r="F32" s="391" t="n"/>
      <c r="G32" s="391" t="n"/>
      <c r="H32" s="299" t="n"/>
      <c r="I32" s="299" t="n"/>
      <c r="J32" s="299" t="n"/>
      <c r="K32" s="299" t="n"/>
      <c r="L32" s="299" t="n"/>
      <c r="M32" s="299" t="n"/>
      <c r="N32" s="299" t="n"/>
      <c r="O32" s="299" t="n"/>
      <c r="P32" s="299" t="n"/>
      <c r="Q32" s="299" t="n"/>
      <c r="R32" s="288" t="n"/>
      <c r="S32" s="299">
        <f>C32*12</f>
        <v/>
      </c>
      <c r="T32" s="299">
        <f>SUM(E32:Q32)</f>
        <v/>
      </c>
      <c r="U32" s="285" t="n"/>
      <c r="V32" s="285" t="n"/>
      <c r="W32" s="285" t="n"/>
      <c r="X32" s="285" t="n"/>
      <c r="Y32" s="285" t="n"/>
      <c r="Z32" s="285" t="n"/>
      <c r="AA32" s="285" t="n"/>
    </row>
    <row r="33" ht="18.75" customHeight="1" s="398">
      <c r="B33" s="311" t="inlineStr">
        <is>
          <t>Manutenção Preventiva Sistema de Incêndio</t>
        </is>
      </c>
      <c r="C33" s="393" t="n">
        <v>300</v>
      </c>
      <c r="D33" s="393">
        <f>C33*1.05</f>
        <v/>
      </c>
      <c r="E33" s="393" t="n"/>
      <c r="F33" s="393" t="n"/>
      <c r="G33" s="405" t="n"/>
      <c r="H33" s="393" t="n"/>
      <c r="J33" s="393" t="n"/>
      <c r="K33" s="393" t="n"/>
      <c r="L33" s="393" t="n"/>
      <c r="M33" s="393" t="n"/>
      <c r="N33" s="393" t="n"/>
      <c r="O33" s="393" t="n"/>
      <c r="P33" s="393" t="n"/>
      <c r="Q33" s="393" t="n"/>
      <c r="R33" s="288" t="n"/>
      <c r="S33" s="299">
        <f>C33*12</f>
        <v/>
      </c>
      <c r="T33" s="299">
        <f>SUM(E33:Q33)</f>
        <v/>
      </c>
      <c r="U33" s="285" t="n"/>
      <c r="V33" s="285" t="n"/>
      <c r="W33" s="285" t="n"/>
      <c r="X33" s="285" t="n"/>
      <c r="Y33" s="285" t="n"/>
      <c r="Z33" s="285" t="n"/>
      <c r="AA33" s="285" t="n"/>
    </row>
    <row r="34" ht="54.6" customHeight="1" s="398">
      <c r="B34" s="301" t="inlineStr">
        <is>
          <t xml:space="preserve">Obrigações Legais (AFT, certificado de qualidade do ar de ambiente climatizado, certificado digital, inspeção da esccada pressurizada, laudo de potabilidade, teste mangueiras, recarga extintores, SPDA, subestação de energia) </t>
        </is>
      </c>
      <c r="C34" s="299" t="n">
        <v>3000</v>
      </c>
      <c r="D34" s="299" t="n">
        <v>3000</v>
      </c>
      <c r="E34" s="299" t="n"/>
      <c r="F34" s="391" t="n"/>
      <c r="G34" s="391" t="n"/>
      <c r="H34" s="299" t="n"/>
      <c r="I34" s="299" t="n"/>
      <c r="J34" s="299" t="n"/>
      <c r="K34" s="299" t="n"/>
      <c r="L34" s="299" t="n"/>
      <c r="M34" s="299" t="n"/>
      <c r="N34" s="299" t="n"/>
      <c r="O34" s="299" t="n"/>
      <c r="P34" s="299" t="n"/>
      <c r="Q34" s="299" t="n"/>
      <c r="R34" s="288" t="n"/>
      <c r="S34" s="299">
        <f>C34*12</f>
        <v/>
      </c>
      <c r="T34" s="299">
        <f>SUM(E34:Q34)</f>
        <v/>
      </c>
      <c r="U34" s="285" t="n"/>
      <c r="V34" s="285" t="n"/>
      <c r="W34" s="285" t="n"/>
      <c r="X34" s="285" t="n"/>
      <c r="Y34" s="285" t="n"/>
      <c r="Z34" s="285" t="n"/>
      <c r="AA34" s="285" t="n"/>
    </row>
    <row r="35" ht="18.75" customHeight="1" s="398">
      <c r="B35" s="311" t="inlineStr">
        <is>
          <t xml:space="preserve">Controle Pragas e Limpeza  Caixa D'água (2x ano) </t>
        </is>
      </c>
      <c r="C35" s="299" t="n">
        <v>500</v>
      </c>
      <c r="D35" s="299">
        <f>C35*1.05</f>
        <v/>
      </c>
      <c r="E35" s="299" t="n"/>
      <c r="F35" s="391" t="n"/>
      <c r="G35" s="391" t="n"/>
      <c r="H35" s="299" t="n"/>
      <c r="I35" s="299" t="n"/>
      <c r="J35" s="299" t="n"/>
      <c r="K35" s="299" t="n"/>
      <c r="L35" s="299" t="n"/>
      <c r="M35" s="299" t="n"/>
      <c r="N35" s="299" t="n"/>
      <c r="O35" s="299" t="n"/>
      <c r="P35" s="299" t="n"/>
      <c r="Q35" s="299" t="n"/>
      <c r="R35" s="288" t="n"/>
      <c r="S35" s="299">
        <f>C35*12</f>
        <v/>
      </c>
      <c r="T35" s="299">
        <f>SUM(E35:Q35)</f>
        <v/>
      </c>
      <c r="U35" s="285" t="n"/>
      <c r="V35" s="285" t="n"/>
      <c r="W35" s="285" t="n"/>
      <c r="X35" s="285" t="n"/>
      <c r="Y35" s="285" t="n"/>
      <c r="Z35" s="285" t="n"/>
      <c r="AA35" s="285" t="n"/>
    </row>
    <row r="36" ht="18.75" customHeight="1" s="398">
      <c r="B36" s="305" t="inlineStr">
        <is>
          <t>Paisagismo interno</t>
        </is>
      </c>
      <c r="C36" s="393" t="n">
        <v>100</v>
      </c>
      <c r="D36" s="393">
        <f>C36*1.05</f>
        <v/>
      </c>
      <c r="E36" s="393" t="n"/>
      <c r="F36" s="405" t="n"/>
      <c r="G36" s="405" t="n"/>
      <c r="H36" s="393" t="n"/>
      <c r="I36" s="393" t="n"/>
      <c r="J36" s="393" t="n"/>
      <c r="K36" s="393" t="n"/>
      <c r="L36" s="393" t="n"/>
      <c r="M36" s="393" t="n"/>
      <c r="N36" s="393" t="n"/>
      <c r="O36" s="393" t="n"/>
      <c r="P36" s="393" t="n"/>
      <c r="Q36" s="393" t="n"/>
      <c r="R36" s="288" t="n"/>
      <c r="S36" s="299">
        <f>C36*12</f>
        <v/>
      </c>
      <c r="T36" s="299">
        <f>SUM(E36:Q36)</f>
        <v/>
      </c>
      <c r="U36" s="285" t="n"/>
      <c r="V36" s="285" t="n"/>
      <c r="W36" s="285" t="n"/>
      <c r="X36" s="285" t="n"/>
      <c r="Y36" s="285" t="n"/>
      <c r="Z36" s="285" t="n"/>
      <c r="AA36" s="285" t="n"/>
    </row>
    <row r="37" ht="15.75" customHeight="1" s="398">
      <c r="A37" s="308" t="n"/>
      <c r="B37" s="308" t="n"/>
      <c r="C37" s="309" t="n"/>
      <c r="D37" s="309" t="n"/>
      <c r="E37" s="309" t="n"/>
      <c r="F37" s="310" t="n"/>
      <c r="G37" s="310" t="n"/>
      <c r="H37" s="309" t="n"/>
      <c r="I37" s="309" t="n"/>
      <c r="J37" s="309" t="n"/>
      <c r="K37" s="309" t="n"/>
      <c r="L37" s="309" t="n"/>
      <c r="M37" s="309" t="n"/>
      <c r="N37" s="309" t="n"/>
      <c r="O37" s="309" t="n"/>
      <c r="P37" s="309" t="n"/>
      <c r="Q37" s="309" t="n"/>
      <c r="R37" s="288" t="n"/>
      <c r="S37" s="299" t="n"/>
      <c r="T37" s="284" t="n"/>
      <c r="U37" s="285" t="n"/>
      <c r="V37" s="285" t="n"/>
      <c r="W37" s="285" t="n"/>
      <c r="X37" s="285" t="n"/>
      <c r="Y37" s="285" t="n"/>
      <c r="Z37" s="285" t="n"/>
      <c r="AA37" s="285" t="n"/>
    </row>
    <row r="38" ht="24" customHeight="1" s="398">
      <c r="A38" s="290" t="n"/>
      <c r="B38" s="290" t="inlineStr">
        <is>
          <t>MATERIAIS E EQUIPAMENTOS</t>
        </is>
      </c>
      <c r="C38" s="291" t="n">
        <v>6320</v>
      </c>
      <c r="D38" s="291">
        <f>SUM(D39:D51)</f>
        <v/>
      </c>
      <c r="E38" s="291">
        <f>SUM(E39:E51)</f>
        <v/>
      </c>
      <c r="F38" s="292">
        <f>SUM(F39:F51)</f>
        <v/>
      </c>
      <c r="G38" s="292">
        <f>SUM(G39:G51)</f>
        <v/>
      </c>
      <c r="H38" s="291">
        <f>SUM(H39:H51)</f>
        <v/>
      </c>
      <c r="I38" s="291">
        <f>SUM(I39:I51)</f>
        <v/>
      </c>
      <c r="J38" s="291">
        <f>SUM(J39:J51)</f>
        <v/>
      </c>
      <c r="K38" s="291">
        <f>SUM(K39:K51)</f>
        <v/>
      </c>
      <c r="L38" s="291">
        <f>SUM(L39:L51)</f>
        <v/>
      </c>
      <c r="M38" s="291">
        <f>SUM(M39:M51)</f>
        <v/>
      </c>
      <c r="N38" s="291">
        <f>SUM(N39:N51)</f>
        <v/>
      </c>
      <c r="O38" s="291">
        <f>SUM(O39:O51)</f>
        <v/>
      </c>
      <c r="P38" s="291">
        <f>SUM(P39:P51)</f>
        <v/>
      </c>
      <c r="Q38" s="291">
        <f>SUM(Q39:Q51)</f>
        <v/>
      </c>
      <c r="R38" s="288" t="n"/>
      <c r="S38" s="303">
        <f>SUM(S39:S51)</f>
        <v/>
      </c>
      <c r="T38" s="303">
        <f>SUM(T39:T51)</f>
        <v/>
      </c>
      <c r="U38" s="285" t="n"/>
      <c r="V38" s="285" t="n"/>
      <c r="W38" s="285" t="n"/>
      <c r="X38" s="285" t="n"/>
      <c r="Y38" s="285" t="n"/>
      <c r="Z38" s="285" t="n"/>
      <c r="AA38" s="285" t="n"/>
    </row>
    <row r="39" ht="18.75" customHeight="1" s="398">
      <c r="A39" s="470" t="inlineStr">
        <is>
          <t>DEMANDA</t>
        </is>
      </c>
      <c r="B39" s="305" t="inlineStr">
        <is>
          <t>Cartões para controle de acesso</t>
        </is>
      </c>
      <c r="C39" s="309" t="n">
        <v>200</v>
      </c>
      <c r="D39" s="309" t="n">
        <v>0</v>
      </c>
      <c r="E39" s="309" t="n"/>
      <c r="F39" s="310" t="n"/>
      <c r="G39" s="310" t="n"/>
      <c r="H39" s="309" t="n"/>
      <c r="I39" s="309" t="n"/>
      <c r="J39" s="309" t="n"/>
      <c r="K39" s="309" t="n"/>
      <c r="L39" s="309" t="n"/>
      <c r="M39" s="309" t="n"/>
      <c r="N39" s="309" t="n"/>
      <c r="O39" s="309" t="n"/>
      <c r="P39" s="309" t="n"/>
      <c r="Q39" s="309" t="n"/>
      <c r="R39" s="288" t="n"/>
      <c r="S39" s="299">
        <f>C39*12</f>
        <v/>
      </c>
      <c r="T39" s="299">
        <f>SUM(E39:Q39)</f>
        <v/>
      </c>
      <c r="U39" s="285" t="n"/>
      <c r="V39" s="285" t="n"/>
      <c r="W39" s="285" t="n"/>
      <c r="X39" s="285" t="n"/>
      <c r="Y39" s="285" t="n"/>
      <c r="Z39" s="285" t="n"/>
      <c r="AA39" s="285" t="n"/>
    </row>
    <row r="40" ht="18.75" customHeight="1" s="398">
      <c r="B40" s="305" t="inlineStr">
        <is>
          <t>Chaveiro</t>
        </is>
      </c>
      <c r="C40" s="309" t="n">
        <v>20</v>
      </c>
      <c r="D40" s="309" t="n">
        <v>20</v>
      </c>
      <c r="E40" s="309" t="n"/>
      <c r="F40" s="310" t="n"/>
      <c r="G40" s="310" t="n"/>
      <c r="H40" s="309" t="n"/>
      <c r="I40" s="309" t="n"/>
      <c r="J40" s="309" t="n"/>
      <c r="K40" s="309" t="n"/>
      <c r="L40" s="309" t="n"/>
      <c r="M40" s="309" t="n"/>
      <c r="N40" s="309" t="n"/>
      <c r="O40" s="309" t="n"/>
      <c r="P40" s="309" t="n"/>
      <c r="Q40" s="309" t="n"/>
      <c r="R40" s="288" t="n"/>
      <c r="S40" s="299">
        <f>C40*12</f>
        <v/>
      </c>
      <c r="T40" s="299">
        <f>SUM(E40:Q40)</f>
        <v/>
      </c>
      <c r="U40" s="285" t="n"/>
      <c r="V40" s="285" t="n"/>
      <c r="W40" s="285" t="n"/>
      <c r="X40" s="285" t="n"/>
      <c r="Y40" s="285" t="n"/>
      <c r="Z40" s="285" t="n"/>
      <c r="AA40" s="285" t="n"/>
    </row>
    <row r="41" ht="18.75" customHeight="1" s="398">
      <c r="B41" s="389" t="inlineStr">
        <is>
          <t>Lâmpadas</t>
        </is>
      </c>
      <c r="C41" s="309" t="n">
        <v>500</v>
      </c>
      <c r="D41" s="309">
        <f>C41*1.05</f>
        <v/>
      </c>
      <c r="E41" s="309" t="n"/>
      <c r="F41" s="310" t="n"/>
      <c r="G41" s="310" t="n"/>
      <c r="H41" s="309" t="n"/>
      <c r="I41" s="309" t="n"/>
      <c r="J41" s="309" t="n"/>
      <c r="K41" s="309" t="n"/>
      <c r="L41" s="309" t="n"/>
      <c r="M41" s="309" t="n"/>
      <c r="N41" s="309" t="n"/>
      <c r="O41" s="309" t="n"/>
      <c r="P41" s="309" t="n"/>
      <c r="Q41" s="309" t="n"/>
      <c r="R41" s="288" t="n"/>
      <c r="S41" s="299">
        <f>C41*12</f>
        <v/>
      </c>
      <c r="T41" s="299">
        <f>SUM(E41:Q41)</f>
        <v/>
      </c>
      <c r="U41" s="285" t="n"/>
      <c r="V41" s="285" t="n"/>
      <c r="W41" s="285" t="n"/>
      <c r="X41" s="285" t="n"/>
      <c r="Y41" s="285" t="n"/>
      <c r="Z41" s="285" t="n"/>
      <c r="AA41" s="285" t="n"/>
    </row>
    <row r="42" ht="30.6" customHeight="1" s="398">
      <c r="B42" s="301" t="inlineStr">
        <is>
          <t>Materiais/Serviços Obras Diversas (Alvenaria, Serralheria, Funilaria, Outros)</t>
        </is>
      </c>
      <c r="C42" s="309" t="n">
        <v>600</v>
      </c>
      <c r="D42" s="309" t="n">
        <v>800</v>
      </c>
      <c r="E42" s="309" t="n"/>
      <c r="F42" s="310" t="n"/>
      <c r="G42" s="310" t="n"/>
      <c r="H42" s="309" t="n"/>
      <c r="I42" s="309" t="n"/>
      <c r="J42" s="309" t="n"/>
      <c r="K42" s="309" t="n"/>
      <c r="L42" s="309" t="n"/>
      <c r="M42" s="309" t="n"/>
      <c r="N42" s="309" t="n"/>
      <c r="O42" s="502" t="n"/>
      <c r="P42" s="309" t="n"/>
      <c r="Q42" s="309" t="n"/>
      <c r="R42" s="288" t="n"/>
      <c r="S42" s="299">
        <f>C42*12</f>
        <v/>
      </c>
      <c r="T42" s="299">
        <f>SUM(E42:Q42)</f>
        <v/>
      </c>
      <c r="U42" s="285" t="n"/>
      <c r="V42" s="285" t="n"/>
      <c r="W42" s="285" t="n"/>
      <c r="X42" s="285" t="n"/>
      <c r="Y42" s="285" t="n"/>
      <c r="Z42" s="285" t="n"/>
      <c r="AA42" s="285" t="n"/>
    </row>
    <row r="43" ht="18.75" customHeight="1" s="398">
      <c r="B43" s="305" t="inlineStr">
        <is>
          <t>Material de Ferragem (Elétrica, Hidráulica e Ferramentas)</t>
        </is>
      </c>
      <c r="C43" s="309" t="n">
        <v>600</v>
      </c>
      <c r="D43" s="309" t="n">
        <v>1000</v>
      </c>
      <c r="E43" s="309" t="n"/>
      <c r="F43" s="310" t="n"/>
      <c r="G43" s="310" t="n"/>
      <c r="H43" s="309" t="n"/>
      <c r="I43" s="309" t="n"/>
      <c r="J43" s="309" t="n"/>
      <c r="K43" s="309" t="n"/>
      <c r="L43" s="309" t="n"/>
      <c r="M43" s="309" t="n"/>
      <c r="N43" s="309" t="n"/>
      <c r="O43" s="309" t="n"/>
      <c r="P43" s="309" t="n"/>
      <c r="Q43" s="309" t="n"/>
      <c r="R43" s="288" t="n"/>
      <c r="S43" s="299">
        <f>C43*12</f>
        <v/>
      </c>
      <c r="T43" s="299">
        <f>SUM(E43:Q43)</f>
        <v/>
      </c>
      <c r="U43" s="285" t="n"/>
      <c r="V43" s="285" t="n"/>
      <c r="W43" s="285" t="n"/>
      <c r="X43" s="285" t="n"/>
      <c r="Y43" s="285" t="n"/>
      <c r="Z43" s="285" t="n"/>
      <c r="AA43" s="285" t="n"/>
    </row>
    <row r="44" ht="18.75" customHeight="1" s="398">
      <c r="B44" s="389" t="inlineStr">
        <is>
          <t>Material Expediente Interno</t>
        </is>
      </c>
      <c r="C44" s="309" t="n">
        <v>300</v>
      </c>
      <c r="D44" s="309" t="n">
        <v>500</v>
      </c>
      <c r="E44" s="309" t="n"/>
      <c r="F44" s="310" t="n"/>
      <c r="G44" s="310" t="n"/>
      <c r="H44" s="309" t="n"/>
      <c r="I44" s="309" t="n"/>
      <c r="J44" s="309" t="n"/>
      <c r="K44" s="309" t="n"/>
      <c r="L44" s="393" t="n"/>
      <c r="M44" s="309" t="n"/>
      <c r="N44" s="309" t="n"/>
      <c r="O44" s="393" t="n"/>
      <c r="P44" s="309" t="n"/>
      <c r="Q44" s="309" t="n"/>
      <c r="R44" s="288" t="n"/>
      <c r="S44" s="299">
        <f>C44*12</f>
        <v/>
      </c>
      <c r="T44" s="299">
        <f>SUM(E44:Q44)</f>
        <v/>
      </c>
      <c r="U44" s="285" t="n"/>
      <c r="V44" s="285" t="n"/>
      <c r="W44" s="285" t="n"/>
      <c r="X44" s="285" t="n"/>
      <c r="Y44" s="285" t="n"/>
      <c r="Z44" s="285" t="n"/>
      <c r="AA44" s="285" t="n"/>
    </row>
    <row r="45" ht="18.75" customHeight="1" s="398">
      <c r="B45" s="305" t="inlineStr">
        <is>
          <t>Material Limpeza/Consumíveis</t>
        </is>
      </c>
      <c r="C45" s="393" t="n">
        <v>2000</v>
      </c>
      <c r="D45" s="393" t="n">
        <v>2000</v>
      </c>
      <c r="E45" s="393" t="n"/>
      <c r="F45" s="405" t="n"/>
      <c r="G45" s="405" t="n"/>
      <c r="H45" s="393" t="n"/>
      <c r="I45" s="393" t="n"/>
      <c r="J45" s="313" t="n"/>
      <c r="K45" s="393" t="n"/>
      <c r="L45" s="393" t="n"/>
      <c r="M45" s="393" t="n"/>
      <c r="N45" s="393" t="n"/>
      <c r="O45" s="393" t="n"/>
      <c r="P45" s="393" t="n"/>
      <c r="Q45" s="393" t="n"/>
      <c r="R45" s="288" t="n"/>
      <c r="S45" s="299">
        <f>C45*12</f>
        <v/>
      </c>
      <c r="T45" s="299">
        <f>SUM(E45:Q45)</f>
        <v/>
      </c>
      <c r="U45" s="285" t="n"/>
      <c r="V45" s="285" t="n"/>
      <c r="W45" s="285" t="n"/>
      <c r="X45" s="285" t="n"/>
      <c r="Y45" s="285" t="n"/>
      <c r="Z45" s="285" t="n"/>
      <c r="AA45" s="285" t="n"/>
    </row>
    <row r="46" ht="18.75" customHeight="1" s="398">
      <c r="A46" s="385" t="inlineStr">
        <is>
          <t>ATLAS</t>
        </is>
      </c>
      <c r="B46" s="305" t="inlineStr">
        <is>
          <t>Peças elevador</t>
        </is>
      </c>
      <c r="C46" s="393" t="n">
        <v>500</v>
      </c>
      <c r="D46" s="393" t="n">
        <v>700</v>
      </c>
      <c r="E46" s="393" t="n"/>
      <c r="F46" s="405" t="n"/>
      <c r="G46" s="405" t="n"/>
      <c r="H46" s="393" t="n"/>
      <c r="I46" s="393" t="n"/>
      <c r="J46" s="393" t="n"/>
      <c r="K46" s="393" t="n"/>
      <c r="L46" s="393" t="n"/>
      <c r="M46" s="393" t="n"/>
      <c r="N46" s="393" t="n"/>
      <c r="O46" s="393" t="n"/>
      <c r="P46" s="393" t="n"/>
      <c r="Q46" s="393" t="n"/>
      <c r="R46" s="288" t="n"/>
      <c r="S46" s="299">
        <f>C46*12</f>
        <v/>
      </c>
      <c r="T46" s="299">
        <f>SUM(E46:Q46)</f>
        <v/>
      </c>
      <c r="U46" s="285" t="n"/>
      <c r="V46" s="285" t="n"/>
      <c r="W46" s="285" t="n"/>
      <c r="X46" s="285" t="n"/>
      <c r="Y46" s="285" t="n"/>
      <c r="Z46" s="285" t="n"/>
      <c r="AA46" s="285" t="n"/>
    </row>
    <row r="47" ht="18.75" customHeight="1" s="398">
      <c r="A47" s="470" t="inlineStr">
        <is>
          <t>DEMANDA</t>
        </is>
      </c>
      <c r="B47" s="305" t="inlineStr">
        <is>
          <t>Móveis e Utensílios</t>
        </is>
      </c>
      <c r="C47" s="393" t="n">
        <v>500</v>
      </c>
      <c r="D47" s="393" t="n">
        <v>700</v>
      </c>
      <c r="E47" s="393" t="n"/>
      <c r="F47" s="405" t="n"/>
      <c r="G47" s="405" t="n"/>
      <c r="H47" s="393" t="n"/>
      <c r="I47" s="393" t="n"/>
      <c r="J47" s="393" t="n"/>
      <c r="K47" s="393" t="n"/>
      <c r="L47" s="393" t="n"/>
      <c r="M47" s="393" t="n"/>
      <c r="N47" s="393" t="n"/>
      <c r="O47" s="393" t="n"/>
      <c r="P47" s="393" t="n"/>
      <c r="Q47" s="393" t="n"/>
      <c r="R47" s="288" t="n"/>
      <c r="S47" s="299">
        <f>C47*12</f>
        <v/>
      </c>
      <c r="T47" s="299">
        <f>SUM(E47:Q47)</f>
        <v/>
      </c>
      <c r="U47" s="285" t="n"/>
      <c r="V47" s="285" t="n"/>
      <c r="W47" s="285" t="n"/>
      <c r="X47" s="285" t="n"/>
      <c r="Y47" s="285" t="n"/>
      <c r="Z47" s="285" t="n"/>
      <c r="AA47" s="285" t="n"/>
    </row>
    <row r="48" ht="18.75" customHeight="1" s="398">
      <c r="B48" s="389" t="inlineStr">
        <is>
          <t>Peças Ar Condicionado/Exaustores</t>
        </is>
      </c>
      <c r="C48" s="393" t="n">
        <v>500</v>
      </c>
      <c r="D48" s="393">
        <f>C48*1.05</f>
        <v/>
      </c>
      <c r="E48" s="393" t="n"/>
      <c r="F48" s="405" t="n"/>
      <c r="G48" s="405" t="n"/>
      <c r="H48" s="393" t="n"/>
      <c r="I48" s="393" t="n"/>
      <c r="J48" s="393" t="n"/>
      <c r="K48" s="393" t="n"/>
      <c r="L48" s="393" t="n"/>
      <c r="M48" s="393" t="n"/>
      <c r="N48" s="393" t="n"/>
      <c r="O48" s="393" t="n"/>
      <c r="P48" s="393" t="n"/>
      <c r="Q48" s="393" t="n"/>
      <c r="R48" s="288" t="n"/>
      <c r="S48" s="299">
        <f>C48*12</f>
        <v/>
      </c>
      <c r="T48" s="299">
        <f>SUM(E48:Q48)</f>
        <v/>
      </c>
      <c r="U48" s="285" t="n"/>
      <c r="V48" s="285" t="n"/>
      <c r="W48" s="285" t="n"/>
      <c r="X48" s="285" t="n"/>
      <c r="Y48" s="285" t="n"/>
      <c r="Z48" s="285" t="n"/>
      <c r="AA48" s="285" t="n"/>
    </row>
    <row r="49" ht="18.75" customHeight="1" s="398">
      <c r="B49" s="301" t="inlineStr">
        <is>
          <t>Peças de reposição para extintores e hidrantes e recargas eventuais</t>
        </is>
      </c>
      <c r="C49" s="393" t="n">
        <v>100</v>
      </c>
      <c r="D49" s="393" t="n">
        <v>150</v>
      </c>
      <c r="E49" s="393" t="n"/>
      <c r="F49" s="405" t="n"/>
      <c r="G49" s="405" t="n"/>
      <c r="H49" s="393" t="n"/>
      <c r="I49" s="393" t="n"/>
      <c r="J49" s="393" t="n"/>
      <c r="K49" s="393" t="n"/>
      <c r="L49" s="393" t="n"/>
      <c r="M49" s="393" t="n"/>
      <c r="N49" s="393" t="n"/>
      <c r="O49" s="393" t="n"/>
      <c r="P49" s="393" t="n"/>
      <c r="Q49" s="393" t="n"/>
      <c r="R49" s="288" t="n"/>
      <c r="S49" s="299">
        <f>C49*12</f>
        <v/>
      </c>
      <c r="T49" s="299">
        <f>SUM(E49:Q49)</f>
        <v/>
      </c>
      <c r="U49" s="285" t="n"/>
      <c r="V49" s="285" t="n"/>
      <c r="W49" s="285" t="n"/>
      <c r="X49" s="285" t="n"/>
      <c r="Y49" s="285" t="n"/>
      <c r="Z49" s="285" t="n"/>
      <c r="AA49" s="285" t="n"/>
    </row>
    <row r="50" ht="18.75" customHeight="1" s="398">
      <c r="B50" s="314" t="inlineStr">
        <is>
          <t>Peças para Grupo Gerador, limpeza semestral filtro e óleo e óleo diesel</t>
        </is>
      </c>
      <c r="C50" s="393" t="n">
        <v>300</v>
      </c>
      <c r="D50" s="393" t="n">
        <v>500</v>
      </c>
      <c r="E50" s="393" t="n"/>
      <c r="F50" s="405" t="n"/>
      <c r="G50" s="405" t="n"/>
      <c r="H50" s="393" t="n"/>
      <c r="I50" s="393" t="n"/>
      <c r="J50" s="393" t="n"/>
      <c r="K50" s="393" t="n"/>
      <c r="L50" s="393" t="n"/>
      <c r="M50" s="393" t="n"/>
      <c r="N50" s="393" t="n"/>
      <c r="O50" s="393" t="n"/>
      <c r="P50" s="393" t="n"/>
      <c r="Q50" s="393" t="n"/>
      <c r="R50" s="288" t="n"/>
      <c r="S50" s="299">
        <f>C50*12</f>
        <v/>
      </c>
      <c r="T50" s="299">
        <f>SUM(E50:Q50)</f>
        <v/>
      </c>
      <c r="U50" s="285" t="n"/>
      <c r="V50" s="285" t="n"/>
      <c r="W50" s="285" t="n"/>
      <c r="X50" s="285" t="n"/>
      <c r="Y50" s="285" t="n"/>
      <c r="Z50" s="285" t="n"/>
      <c r="AA50" s="285" t="n"/>
    </row>
    <row r="51" ht="18.75" customHeight="1" s="398">
      <c r="B51" s="305" t="inlineStr">
        <is>
          <t>Peças para manutenção das catracas</t>
        </is>
      </c>
      <c r="C51" s="393" t="n">
        <v>200</v>
      </c>
      <c r="D51" s="393" t="n">
        <v>350</v>
      </c>
      <c r="E51" s="393" t="n"/>
      <c r="F51" s="405" t="n"/>
      <c r="G51" s="405" t="n"/>
      <c r="H51" s="393" t="n"/>
      <c r="I51" s="393" t="n"/>
      <c r="J51" s="393" t="n"/>
      <c r="K51" s="393" t="n"/>
      <c r="L51" s="393" t="n"/>
      <c r="M51" s="393" t="n"/>
      <c r="N51" s="393" t="n"/>
      <c r="O51" s="393" t="n"/>
      <c r="P51" s="285" t="n"/>
      <c r="Q51" s="393" t="n"/>
      <c r="R51" s="288" t="n"/>
      <c r="S51" s="299">
        <f>C51*12</f>
        <v/>
      </c>
      <c r="T51" s="299">
        <f>SUM(E51:Q51)</f>
        <v/>
      </c>
      <c r="U51" s="285" t="n"/>
      <c r="V51" s="285" t="n"/>
      <c r="W51" s="285" t="n"/>
      <c r="X51" s="285" t="n"/>
      <c r="Y51" s="285" t="n"/>
      <c r="Z51" s="285" t="n"/>
      <c r="AA51" s="285" t="n"/>
    </row>
    <row r="52" ht="15.75" customHeight="1" s="398">
      <c r="A52" s="302" t="n"/>
      <c r="B52" s="302" t="n"/>
      <c r="C52" s="315" t="n"/>
      <c r="D52" s="315" t="n"/>
      <c r="E52" s="315" t="n"/>
      <c r="F52" s="316" t="n"/>
      <c r="G52" s="316" t="n"/>
      <c r="H52" s="315" t="n"/>
      <c r="I52" s="315" t="n"/>
      <c r="J52" s="315" t="n"/>
      <c r="K52" s="315" t="n"/>
      <c r="L52" s="315" t="n"/>
      <c r="M52" s="315" t="n"/>
      <c r="N52" s="315" t="n"/>
      <c r="O52" s="315" t="n"/>
      <c r="P52" s="315" t="n"/>
      <c r="Q52" s="315" t="n"/>
      <c r="R52" s="288" t="n"/>
      <c r="S52" s="299" t="n"/>
      <c r="T52" s="284" t="n"/>
      <c r="U52" s="285" t="n"/>
      <c r="V52" s="285" t="n"/>
      <c r="W52" s="285" t="n"/>
      <c r="X52" s="285" t="n"/>
      <c r="Y52" s="285" t="n"/>
      <c r="Z52" s="285" t="n"/>
      <c r="AA52" s="285" t="n"/>
    </row>
    <row r="53" ht="24" customHeight="1" s="398">
      <c r="A53" s="290" t="n"/>
      <c r="B53" s="290" t="inlineStr">
        <is>
          <t>DESPESAS  ADMINISTRATIVAS</t>
        </is>
      </c>
      <c r="C53" s="291" t="n">
        <v>810</v>
      </c>
      <c r="D53" s="291">
        <f>SUM(D54:D59)</f>
        <v/>
      </c>
      <c r="E53" s="291">
        <f>SUM(E54:E58)</f>
        <v/>
      </c>
      <c r="F53" s="292">
        <f>SUM(F54:F58)</f>
        <v/>
      </c>
      <c r="G53" s="292">
        <f>SUM(G54:G58)</f>
        <v/>
      </c>
      <c r="H53" s="291">
        <f>SUM(H54:H58)</f>
        <v/>
      </c>
      <c r="I53" s="291">
        <f>SUM(I54:I58)</f>
        <v/>
      </c>
      <c r="J53" s="291">
        <f>SUM(J54:J58)</f>
        <v/>
      </c>
      <c r="K53" s="291">
        <f>SUM(K54:K58)</f>
        <v/>
      </c>
      <c r="L53" s="291">
        <f>SUM(L54:L58)</f>
        <v/>
      </c>
      <c r="M53" s="291">
        <f>SUM(M54:M58)</f>
        <v/>
      </c>
      <c r="N53" s="291">
        <f>SUM(N54:N58)</f>
        <v/>
      </c>
      <c r="O53" s="291">
        <f>SUM(O54:O58)</f>
        <v/>
      </c>
      <c r="P53" s="291">
        <f>SUM(P54:P58)</f>
        <v/>
      </c>
      <c r="Q53" s="291">
        <f>SUM(Q54:Q58)</f>
        <v/>
      </c>
      <c r="R53" s="288" t="n"/>
      <c r="S53" s="303">
        <f>SUM(S54:S59)</f>
        <v/>
      </c>
      <c r="T53" s="303">
        <f>SUM(T54:T59)</f>
        <v/>
      </c>
      <c r="U53" s="285" t="n"/>
      <c r="V53" s="285" t="n"/>
      <c r="W53" s="285" t="n"/>
      <c r="X53" s="285" t="n"/>
      <c r="Y53" s="285" t="n"/>
      <c r="Z53" s="285" t="n"/>
      <c r="AA53" s="285" t="n"/>
    </row>
    <row r="54" ht="18.75" customHeight="1" s="398">
      <c r="A54" s="317" t="n"/>
      <c r="B54" s="318" t="inlineStr">
        <is>
          <t>Telefonia/Internet- apenas telefone, internet comodato</t>
        </is>
      </c>
      <c r="C54" s="299" t="n">
        <v>60</v>
      </c>
      <c r="D54" s="299" t="n">
        <v>250</v>
      </c>
      <c r="E54" s="299" t="n"/>
      <c r="F54" s="391" t="n"/>
      <c r="G54" s="391" t="n"/>
      <c r="H54" s="299" t="n"/>
      <c r="I54" s="299" t="n"/>
      <c r="J54" s="299" t="n"/>
      <c r="K54" s="299" t="n"/>
      <c r="L54" s="299" t="n"/>
      <c r="M54" s="299" t="n"/>
      <c r="N54" s="299" t="n"/>
      <c r="O54" s="299" t="n"/>
      <c r="P54" s="299" t="n"/>
      <c r="Q54" s="299" t="n"/>
      <c r="R54" s="288" t="n"/>
      <c r="S54" s="299">
        <f>C54*12</f>
        <v/>
      </c>
      <c r="T54" s="299">
        <f>SUM(E54:Q54)</f>
        <v/>
      </c>
      <c r="U54" s="285" t="n"/>
      <c r="V54" s="285" t="n"/>
      <c r="W54" s="285" t="n"/>
      <c r="X54" s="285" t="n"/>
      <c r="Y54" s="285" t="n"/>
      <c r="Z54" s="285" t="n"/>
      <c r="AA54" s="285" t="n"/>
    </row>
    <row r="55" ht="18.75" customHeight="1" s="398">
      <c r="A55" s="284" t="n"/>
      <c r="B55" s="319" t="inlineStr">
        <is>
          <t xml:space="preserve">Correio/Remessa Correspondências/Motoboy/Diversas </t>
        </is>
      </c>
      <c r="C55" s="299" t="n">
        <v>150</v>
      </c>
      <c r="D55" s="299" t="n">
        <v>150</v>
      </c>
      <c r="E55" s="299" t="n"/>
      <c r="F55" s="391" t="n"/>
      <c r="G55" s="391" t="n"/>
      <c r="H55" s="299" t="n"/>
      <c r="I55" s="299" t="n"/>
      <c r="J55" s="299" t="n"/>
      <c r="K55" s="299" t="n"/>
      <c r="L55" s="299" t="n"/>
      <c r="M55" s="299" t="n"/>
      <c r="N55" s="299" t="n"/>
      <c r="O55" s="299" t="n"/>
      <c r="P55" s="299" t="n"/>
      <c r="Q55" s="299" t="n"/>
      <c r="R55" s="288" t="n"/>
      <c r="S55" s="299">
        <f>C55*12</f>
        <v/>
      </c>
      <c r="T55" s="299">
        <f>SUM(E55:Q55)</f>
        <v/>
      </c>
      <c r="U55" s="285" t="n"/>
      <c r="V55" s="285" t="n"/>
      <c r="W55" s="285" t="n"/>
      <c r="X55" s="285" t="n"/>
      <c r="Y55" s="285" t="n"/>
      <c r="Z55" s="285" t="n"/>
      <c r="AA55" s="285" t="n"/>
    </row>
    <row r="56" ht="18.75" customHeight="1" s="398">
      <c r="A56" s="284" t="n"/>
      <c r="B56" s="319" t="inlineStr">
        <is>
          <t>Impostos - DIRF/DARF/ISSQN/PIS/COFINS</t>
        </is>
      </c>
      <c r="C56" s="315" t="n">
        <v>100</v>
      </c>
      <c r="D56" s="315" t="n">
        <v>170</v>
      </c>
      <c r="E56" s="315" t="n"/>
      <c r="F56" s="316" t="n"/>
      <c r="G56" s="316" t="n"/>
      <c r="H56" s="315" t="n"/>
      <c r="I56" s="315" t="n"/>
      <c r="J56" s="315" t="n"/>
      <c r="K56" s="315" t="n"/>
      <c r="L56" s="315" t="n"/>
      <c r="M56" s="315" t="n"/>
      <c r="N56" s="315" t="n"/>
      <c r="O56" s="315" t="n"/>
      <c r="P56" s="315" t="n"/>
      <c r="Q56" s="315" t="n"/>
      <c r="R56" s="288" t="n"/>
      <c r="S56" s="299">
        <f>C56*12</f>
        <v/>
      </c>
      <c r="T56" s="299">
        <f>SUM(E56:Q56)</f>
        <v/>
      </c>
      <c r="U56" s="285" t="n"/>
      <c r="V56" s="285" t="n"/>
      <c r="W56" s="285" t="n"/>
      <c r="X56" s="285" t="n"/>
      <c r="Y56" s="285" t="n"/>
      <c r="Z56" s="285" t="n"/>
      <c r="AA56" s="285" t="n"/>
    </row>
    <row r="57" ht="18.75" customHeight="1" s="398">
      <c r="A57" s="317" t="n"/>
      <c r="B57" s="318" t="inlineStr">
        <is>
          <t xml:space="preserve">Taxa Desepesas com Assembleia </t>
        </is>
      </c>
      <c r="C57" s="315" t="n">
        <v>50</v>
      </c>
      <c r="D57" s="315" t="n">
        <v>150</v>
      </c>
      <c r="E57" s="315" t="n"/>
      <c r="F57" s="316" t="n"/>
      <c r="G57" s="316" t="n"/>
      <c r="H57" s="315" t="n"/>
      <c r="I57" s="315" t="n"/>
      <c r="J57" s="315" t="n"/>
      <c r="K57" s="315" t="n"/>
      <c r="L57" s="315" t="n"/>
      <c r="M57" s="315" t="n"/>
      <c r="N57" s="315" t="n"/>
      <c r="O57" s="315" t="n"/>
      <c r="P57" s="315" t="n"/>
      <c r="Q57" s="315" t="n"/>
      <c r="R57" s="288" t="n"/>
      <c r="S57" s="299">
        <f>C57*12</f>
        <v/>
      </c>
      <c r="T57" s="299">
        <f>SUM(E57:Q57)</f>
        <v/>
      </c>
      <c r="U57" s="285" t="n"/>
      <c r="V57" s="285" t="n"/>
      <c r="W57" s="285" t="n"/>
      <c r="X57" s="285" t="n"/>
      <c r="Y57" s="285" t="n"/>
      <c r="Z57" s="285" t="n"/>
      <c r="AA57" s="285" t="n"/>
    </row>
    <row r="58" ht="18.75" customHeight="1" s="398">
      <c r="A58" s="284" t="n"/>
      <c r="B58" s="319" t="inlineStr">
        <is>
          <t>Custas Judiciais</t>
        </is>
      </c>
      <c r="C58" s="299" t="n">
        <v>100</v>
      </c>
      <c r="D58" s="299" t="n">
        <v>200</v>
      </c>
      <c r="E58" s="299" t="n"/>
      <c r="F58" s="391" t="n"/>
      <c r="G58" s="391" t="n"/>
      <c r="H58" s="299" t="n"/>
      <c r="I58" s="299" t="n"/>
      <c r="J58" s="299" t="n"/>
      <c r="K58" s="299" t="n"/>
      <c r="L58" s="299" t="n"/>
      <c r="M58" s="299" t="n"/>
      <c r="N58" s="299" t="n"/>
      <c r="O58" s="299" t="n"/>
      <c r="P58" s="299" t="n"/>
      <c r="Q58" s="299" t="n"/>
      <c r="R58" s="288" t="n"/>
      <c r="S58" s="299">
        <f>C58*12</f>
        <v/>
      </c>
      <c r="T58" s="299">
        <f>SUM(E58:Q58)</f>
        <v/>
      </c>
      <c r="U58" s="285" t="n"/>
      <c r="V58" s="285" t="n"/>
      <c r="W58" s="285" t="n"/>
      <c r="X58" s="285" t="n"/>
      <c r="Y58" s="285" t="n"/>
      <c r="Z58" s="285" t="n"/>
      <c r="AA58" s="285" t="n"/>
    </row>
    <row r="59" ht="18.75" customHeight="1" s="398">
      <c r="A59" s="320" t="inlineStr">
        <is>
          <t>GOOGLE</t>
        </is>
      </c>
      <c r="B59" s="319" t="inlineStr">
        <is>
          <t>Hospedagem / Domínio Corporativo</t>
        </is>
      </c>
      <c r="C59" s="299" t="n">
        <v>100</v>
      </c>
      <c r="D59" s="299" t="n">
        <v>200</v>
      </c>
      <c r="E59" s="299" t="n"/>
      <c r="F59" s="391" t="n"/>
      <c r="G59" s="391" t="n"/>
      <c r="H59" s="299" t="n"/>
      <c r="I59" s="299" t="n"/>
      <c r="J59" s="299" t="n"/>
      <c r="K59" s="299" t="n"/>
      <c r="L59" s="299" t="n"/>
      <c r="M59" s="299" t="n"/>
      <c r="N59" s="299" t="n"/>
      <c r="O59" s="299" t="n"/>
      <c r="P59" s="299" t="n"/>
      <c r="Q59" s="299" t="n"/>
      <c r="R59" s="288" t="n"/>
      <c r="S59" s="299">
        <f>C59*12</f>
        <v/>
      </c>
      <c r="T59" s="299">
        <f>SUM(E59:Q59)</f>
        <v/>
      </c>
      <c r="U59" s="285" t="n"/>
      <c r="V59" s="285" t="n"/>
      <c r="W59" s="285" t="n"/>
      <c r="X59" s="285" t="n"/>
      <c r="Y59" s="285" t="n"/>
      <c r="Z59" s="285" t="n"/>
      <c r="AA59" s="285" t="n"/>
    </row>
    <row r="60" ht="15.75" customHeight="1" s="398">
      <c r="A60" s="284" t="n"/>
      <c r="B60" s="284" t="n"/>
      <c r="C60" s="299" t="n"/>
      <c r="D60" s="299" t="n"/>
      <c r="E60" s="299" t="n"/>
      <c r="F60" s="391" t="n"/>
      <c r="G60" s="391" t="n"/>
      <c r="H60" s="299" t="n"/>
      <c r="I60" s="299" t="n"/>
      <c r="J60" s="299" t="n"/>
      <c r="K60" s="299" t="n"/>
      <c r="L60" s="299" t="n"/>
      <c r="M60" s="299" t="n"/>
      <c r="N60" s="299" t="n"/>
      <c r="O60" s="299" t="n"/>
      <c r="P60" s="299" t="n"/>
      <c r="Q60" s="299" t="n"/>
      <c r="R60" s="288" t="n"/>
      <c r="S60" s="299" t="n"/>
      <c r="T60" s="284" t="n"/>
      <c r="U60" s="285" t="n"/>
      <c r="V60" s="285" t="n"/>
      <c r="W60" s="285" t="n"/>
      <c r="X60" s="285" t="n"/>
      <c r="Y60" s="285" t="n"/>
      <c r="Z60" s="285" t="n"/>
      <c r="AA60" s="285" t="n"/>
    </row>
    <row r="61" ht="24" customHeight="1" s="398">
      <c r="A61" s="321" t="n"/>
      <c r="B61" s="321" t="inlineStr">
        <is>
          <t xml:space="preserve">COTA </t>
        </is>
      </c>
      <c r="C61" s="291" t="n">
        <v>178671.02</v>
      </c>
      <c r="D61" s="291">
        <f>D3+D18+D28+D38+D53</f>
        <v/>
      </c>
      <c r="E61" s="291">
        <f>SUM(E3,E18,E28,E38,E53)</f>
        <v/>
      </c>
      <c r="F61" s="292">
        <f>SUM(F3,F18,F28,F38,F53)</f>
        <v/>
      </c>
      <c r="G61" s="292">
        <f>SUM(G3,G18,G28,G38,G53)</f>
        <v/>
      </c>
      <c r="H61" s="291">
        <f>SUM(H3,H18,H28,H38,H53)</f>
        <v/>
      </c>
      <c r="I61" s="291">
        <f>SUM(I3,I18,I28,I38,I53)</f>
        <v/>
      </c>
      <c r="J61" s="291">
        <f>SUM(J3,J18,J28,J38,J53)</f>
        <v/>
      </c>
      <c r="K61" s="291">
        <f>SUM(K3,K18,K28,K38,K53)</f>
        <v/>
      </c>
      <c r="L61" s="291">
        <f>SUM(L3,L18,L28,L38,L53)</f>
        <v/>
      </c>
      <c r="M61" s="291">
        <f>SUM(M3,M18,M28,M38,M53)</f>
        <v/>
      </c>
      <c r="N61" s="291">
        <f>SUM(N3,N18,N28,N38,N53)</f>
        <v/>
      </c>
      <c r="O61" s="291">
        <f>SUM(O3,O18,O28,O38,O53)</f>
        <v/>
      </c>
      <c r="P61" s="291">
        <f>SUM(P3,P18,P28,P38,P53)</f>
        <v/>
      </c>
      <c r="Q61" s="291">
        <f>SUM(Q3,Q18,Q28,Q38,Q53)</f>
        <v/>
      </c>
      <c r="R61" s="288" t="n"/>
      <c r="S61" s="303">
        <f>D61*12</f>
        <v/>
      </c>
      <c r="T61" s="293">
        <f>T3+T18+T28+T38+T53</f>
        <v/>
      </c>
      <c r="U61" s="285" t="n"/>
      <c r="V61" s="285" t="n"/>
      <c r="W61" s="285" t="n"/>
      <c r="X61" s="285" t="n"/>
      <c r="Y61" s="285" t="n"/>
      <c r="Z61" s="285" t="n"/>
      <c r="AA61" s="285" t="n"/>
    </row>
    <row r="62" ht="15.75" customHeight="1" s="398">
      <c r="A62" s="322" t="n"/>
      <c r="B62" s="322" t="n"/>
      <c r="C62" s="323" t="n"/>
      <c r="D62" s="323" t="n"/>
      <c r="E62" s="323" t="n"/>
      <c r="F62" s="324" t="n"/>
      <c r="G62" s="324" t="n"/>
      <c r="H62" s="323" t="n"/>
      <c r="I62" s="323" t="n"/>
      <c r="J62" s="323" t="n"/>
      <c r="K62" s="323" t="n"/>
      <c r="L62" s="323" t="n"/>
      <c r="M62" s="323" t="n"/>
      <c r="N62" s="323" t="n"/>
      <c r="O62" s="323" t="n"/>
      <c r="P62" s="323" t="n"/>
      <c r="Q62" s="323" t="n"/>
      <c r="R62" s="288" t="n"/>
      <c r="S62" s="299" t="n"/>
      <c r="T62" s="284" t="n"/>
      <c r="U62" s="285" t="n"/>
      <c r="V62" s="285" t="n"/>
      <c r="W62" s="285" t="n"/>
      <c r="X62" s="285" t="n"/>
      <c r="Y62" s="285" t="n"/>
      <c r="Z62" s="285" t="n"/>
      <c r="AA62" s="285" t="n"/>
    </row>
    <row r="63" ht="24" customHeight="1" s="398">
      <c r="A63" s="290" t="n"/>
      <c r="B63" s="290" t="inlineStr">
        <is>
          <t xml:space="preserve">DESPESAS VARIÁVEIS </t>
        </is>
      </c>
      <c r="C63" s="291" t="inlineStr">
        <is>
          <t>R$  -</t>
        </is>
      </c>
      <c r="D63" s="291" t="n"/>
      <c r="E63" s="291">
        <f>SUM(E64:E66)</f>
        <v/>
      </c>
      <c r="F63" s="292">
        <f>SUM(F64:F66)</f>
        <v/>
      </c>
      <c r="G63" s="292">
        <f>SUM(G64:G66)</f>
        <v/>
      </c>
      <c r="H63" s="291">
        <f>SUM(H64:H66)</f>
        <v/>
      </c>
      <c r="I63" s="291">
        <f>SUM(I64:I66)</f>
        <v/>
      </c>
      <c r="J63" s="291">
        <f>SUM(J64:J66)</f>
        <v/>
      </c>
      <c r="K63" s="291">
        <f>SUM(K64:K66)</f>
        <v/>
      </c>
      <c r="L63" s="291">
        <f>SUM(L64:L66)</f>
        <v/>
      </c>
      <c r="M63" s="291">
        <f>SUM(M64:M66)</f>
        <v/>
      </c>
      <c r="N63" s="291">
        <f>SUM(N64:N66)</f>
        <v/>
      </c>
      <c r="O63" s="291">
        <f>SUM(O64:O66)</f>
        <v/>
      </c>
      <c r="P63" s="291">
        <f>SUM(P64:P66)</f>
        <v/>
      </c>
      <c r="Q63" s="291">
        <f>SUM(Q64:Q66)</f>
        <v/>
      </c>
      <c r="R63" s="288" t="n"/>
      <c r="S63" s="303">
        <f>SUM(S64:S66)</f>
        <v/>
      </c>
      <c r="T63" s="303">
        <f>SUM(T64:T66)</f>
        <v/>
      </c>
      <c r="U63" s="285" t="n"/>
      <c r="V63" s="285" t="n"/>
      <c r="W63" s="285" t="n"/>
      <c r="X63" s="285" t="n"/>
      <c r="Y63" s="285" t="n"/>
      <c r="Z63" s="285" t="n"/>
      <c r="AA63" s="285" t="n"/>
    </row>
    <row r="64" ht="18.75" customHeight="1" s="398">
      <c r="A64" s="325" t="n"/>
      <c r="B64" s="326" t="inlineStr">
        <is>
          <t>Água e Esgoto - Área Comum</t>
        </is>
      </c>
      <c r="C64" s="327" t="inlineStr">
        <is>
          <t>-</t>
        </is>
      </c>
      <c r="D64" s="327" t="n"/>
      <c r="E64" s="327" t="n"/>
      <c r="F64" s="328" t="n"/>
      <c r="G64" s="328" t="n"/>
      <c r="H64" s="327" t="n"/>
      <c r="I64" s="327" t="n"/>
      <c r="J64" s="327" t="n"/>
      <c r="K64" s="327" t="n"/>
      <c r="L64" s="327" t="n"/>
      <c r="M64" s="327" t="n"/>
      <c r="N64" s="327" t="n"/>
      <c r="O64" s="327" t="n"/>
      <c r="P64" s="327" t="n"/>
      <c r="Q64" s="327" t="n"/>
      <c r="R64" s="288" t="n"/>
      <c r="S64" s="299" t="n"/>
      <c r="T64" s="299">
        <f>SUM(E64:Q64)</f>
        <v/>
      </c>
      <c r="U64" s="285" t="n"/>
      <c r="V64" s="285" t="n"/>
      <c r="W64" s="285" t="n"/>
      <c r="X64" s="285" t="n"/>
      <c r="Y64" s="285" t="n"/>
      <c r="Z64" s="285" t="n"/>
      <c r="AA64" s="285" t="n"/>
    </row>
    <row r="65" ht="18.75" customHeight="1" s="398">
      <c r="A65" s="325" t="n"/>
      <c r="B65" s="326" t="inlineStr">
        <is>
          <t>Energia Elétrica - Área Comum</t>
        </is>
      </c>
      <c r="C65" s="327" t="inlineStr">
        <is>
          <t>-</t>
        </is>
      </c>
      <c r="D65" s="327" t="n"/>
      <c r="E65" s="327" t="n"/>
      <c r="F65" s="328" t="n"/>
      <c r="G65" s="328" t="n"/>
      <c r="H65" s="327" t="n"/>
      <c r="I65" s="327" t="n"/>
      <c r="J65" s="327" t="n"/>
      <c r="K65" s="327" t="n"/>
      <c r="L65" s="327" t="n"/>
      <c r="M65" s="327" t="n"/>
      <c r="N65" s="327" t="n"/>
      <c r="O65" s="327" t="n"/>
      <c r="P65" s="327" t="n"/>
      <c r="Q65" s="327" t="n"/>
      <c r="R65" s="288" t="n"/>
      <c r="S65" s="299" t="n"/>
      <c r="T65" s="299">
        <f>SUM(E65:Q65)</f>
        <v/>
      </c>
      <c r="U65" s="285" t="n"/>
      <c r="V65" s="285" t="n"/>
      <c r="W65" s="285" t="n"/>
      <c r="X65" s="285" t="n"/>
      <c r="Y65" s="285" t="n"/>
      <c r="Z65" s="285" t="n"/>
      <c r="AA65" s="285" t="n"/>
    </row>
    <row r="66" ht="18.75" customHeight="1" s="398">
      <c r="A66" s="325" t="n"/>
      <c r="B66" s="326" t="inlineStr">
        <is>
          <t>Seguro fogo</t>
        </is>
      </c>
      <c r="C66" s="327" t="inlineStr">
        <is>
          <t>-</t>
        </is>
      </c>
      <c r="D66" s="327" t="n"/>
      <c r="E66" s="327" t="n"/>
      <c r="F66" s="328" t="n"/>
      <c r="G66" s="328" t="n"/>
      <c r="H66" s="327" t="n"/>
      <c r="I66" s="327" t="n"/>
      <c r="J66" s="327" t="n"/>
      <c r="K66" s="327" t="n"/>
      <c r="L66" s="327" t="n"/>
      <c r="M66" s="327" t="n"/>
      <c r="N66" s="327" t="n"/>
      <c r="O66" s="327" t="n"/>
      <c r="P66" s="327" t="n"/>
      <c r="Q66" s="327" t="n"/>
      <c r="R66" s="288" t="n"/>
      <c r="S66" s="299" t="n"/>
      <c r="T66" s="299">
        <f>SUM(E66:Q66)</f>
        <v/>
      </c>
      <c r="U66" s="285" t="n"/>
      <c r="V66" s="285" t="n"/>
      <c r="W66" s="285" t="n"/>
      <c r="X66" s="285" t="n"/>
      <c r="Y66" s="285" t="n"/>
      <c r="Z66" s="285" t="n"/>
      <c r="AA66" s="285" t="n"/>
    </row>
    <row r="67" ht="15.75" customHeight="1" s="398">
      <c r="A67" s="317" t="n"/>
      <c r="B67" s="317" t="n"/>
      <c r="C67" s="315" t="n"/>
      <c r="D67" s="315" t="n"/>
      <c r="E67" s="315" t="n"/>
      <c r="F67" s="316" t="n"/>
      <c r="G67" s="316" t="n"/>
      <c r="H67" s="315" t="n"/>
      <c r="I67" s="315" t="n"/>
      <c r="J67" s="315" t="n"/>
      <c r="K67" s="315" t="n"/>
      <c r="L67" s="315" t="n"/>
      <c r="M67" s="315" t="n"/>
      <c r="N67" s="315" t="n"/>
      <c r="O67" s="315" t="n"/>
      <c r="P67" s="315" t="n"/>
      <c r="Q67" s="315" t="n"/>
      <c r="R67" s="288" t="n"/>
      <c r="S67" s="299" t="n"/>
      <c r="T67" s="284" t="n"/>
      <c r="U67" s="285" t="n"/>
      <c r="V67" s="285" t="n"/>
      <c r="W67" s="285" t="n"/>
      <c r="X67" s="285" t="n"/>
      <c r="Y67" s="285" t="n"/>
      <c r="Z67" s="285" t="n"/>
      <c r="AA67" s="285" t="n"/>
    </row>
    <row r="68" ht="24" customHeight="1" s="398">
      <c r="A68" s="290" t="n"/>
      <c r="B68" s="290" t="inlineStr">
        <is>
          <t>OUTRAS DESPESAS</t>
        </is>
      </c>
      <c r="C68" s="291" t="inlineStr">
        <is>
          <t>R$  -</t>
        </is>
      </c>
      <c r="D68" s="291" t="n"/>
      <c r="E68" s="291">
        <f>SUM(E69:E73)</f>
        <v/>
      </c>
      <c r="F68" s="292">
        <f>SUM(F69:F73)</f>
        <v/>
      </c>
      <c r="G68" s="292">
        <f>SUM(G69:G73)</f>
        <v/>
      </c>
      <c r="H68" s="291">
        <f>SUM(H69:H73)</f>
        <v/>
      </c>
      <c r="I68" s="291">
        <f>SUM(I69:I73)</f>
        <v/>
      </c>
      <c r="J68" s="291">
        <f>SUM(J69:J73)</f>
        <v/>
      </c>
      <c r="K68" s="291">
        <f>SUM(K69:K73)</f>
        <v/>
      </c>
      <c r="L68" s="291">
        <f>SUM(L69:L73)</f>
        <v/>
      </c>
      <c r="M68" s="291">
        <f>SUM(M69:M73)</f>
        <v/>
      </c>
      <c r="N68" s="291">
        <f>SUM(N69:N73)</f>
        <v/>
      </c>
      <c r="O68" s="291">
        <f>SUM(O69:O73)</f>
        <v/>
      </c>
      <c r="P68" s="291">
        <f>SUM(P69:P73)</f>
        <v/>
      </c>
      <c r="Q68" s="291">
        <f>SUM(Q69:Q73)</f>
        <v/>
      </c>
      <c r="R68" s="288" t="n"/>
      <c r="S68" s="303">
        <f>SUM(S69:S72)</f>
        <v/>
      </c>
      <c r="T68" s="303">
        <f>SUM(T69:T73)</f>
        <v/>
      </c>
      <c r="U68" s="285" t="n"/>
      <c r="V68" s="285" t="n"/>
      <c r="W68" s="285" t="n"/>
      <c r="X68" s="285" t="n"/>
      <c r="Y68" s="285" t="n"/>
      <c r="Z68" s="285" t="n"/>
      <c r="AA68" s="285" t="n"/>
    </row>
    <row r="69" ht="18.75" customHeight="1" s="398">
      <c r="A69" s="325" t="n"/>
      <c r="B69" s="326" t="inlineStr">
        <is>
          <t>Despesas Não Orçadas</t>
        </is>
      </c>
      <c r="C69" s="327" t="inlineStr">
        <is>
          <t>-</t>
        </is>
      </c>
      <c r="D69" s="327" t="n"/>
      <c r="E69" s="327" t="n"/>
      <c r="F69" s="328" t="n"/>
      <c r="G69" s="328" t="n"/>
      <c r="H69" s="327" t="n"/>
      <c r="I69" s="327" t="n"/>
      <c r="J69" s="327" t="n"/>
      <c r="K69" s="327" t="n"/>
      <c r="L69" s="327" t="n"/>
      <c r="M69" s="327" t="n"/>
      <c r="N69" s="327" t="n"/>
      <c r="O69" s="327" t="n"/>
      <c r="P69" s="327" t="n"/>
      <c r="Q69" s="327" t="n"/>
      <c r="R69" s="288" t="n"/>
      <c r="S69" s="299" t="n"/>
      <c r="T69" s="299">
        <f>SUM(E69:Q69)</f>
        <v/>
      </c>
      <c r="U69" s="285" t="n"/>
      <c r="V69" s="285" t="n"/>
      <c r="W69" s="285" t="n"/>
      <c r="X69" s="285" t="n"/>
      <c r="Y69" s="285" t="n"/>
      <c r="Z69" s="285" t="n"/>
      <c r="AA69" s="285" t="n"/>
    </row>
    <row r="70" ht="18.75" customHeight="1" s="398">
      <c r="A70" s="325" t="n"/>
      <c r="B70" s="326" t="inlineStr">
        <is>
          <t>Despesas reembolsáveis</t>
        </is>
      </c>
      <c r="C70" s="327" t="n"/>
      <c r="D70" s="327" t="n"/>
      <c r="E70" s="327" t="n"/>
      <c r="F70" s="328" t="n"/>
      <c r="G70" s="328" t="n"/>
      <c r="H70" s="327" t="n"/>
      <c r="I70" s="327" t="n"/>
      <c r="J70" s="327" t="n"/>
      <c r="K70" s="327" t="n"/>
      <c r="L70" s="327" t="n"/>
      <c r="M70" s="503" t="n"/>
      <c r="N70" s="327" t="n"/>
      <c r="O70" s="327" t="n"/>
      <c r="P70" s="325" t="n"/>
      <c r="Q70" s="327" t="n"/>
      <c r="R70" s="288" t="n"/>
      <c r="S70" s="299">
        <f>C70*12</f>
        <v/>
      </c>
      <c r="T70" s="299">
        <f>SUM(E70:Q70)</f>
        <v/>
      </c>
      <c r="U70" s="285" t="n"/>
      <c r="V70" s="285" t="n"/>
      <c r="W70" s="285" t="n"/>
      <c r="X70" s="285" t="n"/>
      <c r="Y70" s="285" t="n"/>
      <c r="Z70" s="285" t="n"/>
      <c r="AA70" s="285" t="n"/>
    </row>
    <row r="71" ht="18.75" customHeight="1" s="398">
      <c r="A71" s="325" t="n"/>
      <c r="B71" s="326" t="inlineStr">
        <is>
          <t xml:space="preserve">Honorários advocatícios </t>
        </is>
      </c>
      <c r="C71" s="327" t="n"/>
      <c r="D71" s="327" t="n"/>
      <c r="E71" s="327" t="n"/>
      <c r="F71" s="328" t="n"/>
      <c r="G71" s="328" t="n"/>
      <c r="H71" s="327" t="n"/>
      <c r="I71" s="327" t="n"/>
      <c r="J71" s="327" t="n"/>
      <c r="K71" s="327" t="n"/>
      <c r="L71" s="327" t="n"/>
      <c r="M71" s="327" t="n"/>
      <c r="N71" s="327" t="n"/>
      <c r="O71" s="327" t="n"/>
      <c r="P71" s="327" t="n"/>
      <c r="Q71" s="327" t="n"/>
      <c r="R71" s="288" t="n"/>
      <c r="S71" s="299">
        <f>C71*12</f>
        <v/>
      </c>
      <c r="T71" s="299">
        <f>SUM(E71:Q71)</f>
        <v/>
      </c>
      <c r="U71" s="285" t="n"/>
      <c r="V71" s="285" t="n"/>
      <c r="W71" s="285" t="n"/>
      <c r="X71" s="285" t="n"/>
      <c r="Y71" s="285" t="n"/>
      <c r="Z71" s="285" t="n"/>
      <c r="AA71" s="285" t="n"/>
    </row>
    <row r="72" ht="18.75" customHeight="1" s="398">
      <c r="A72" s="325" t="n"/>
      <c r="B72" s="326" t="inlineStr">
        <is>
          <t>Ampliação do CFTV</t>
        </is>
      </c>
      <c r="C72" s="327" t="n"/>
      <c r="D72" s="327" t="n"/>
      <c r="E72" s="327" t="n"/>
      <c r="F72" s="328" t="n"/>
      <c r="G72" s="328" t="n"/>
      <c r="H72" s="327" t="n"/>
      <c r="I72" s="327" t="n"/>
      <c r="J72" s="327" t="n"/>
      <c r="K72" s="327" t="n"/>
      <c r="L72" s="327" t="n"/>
      <c r="M72" s="327" t="n"/>
      <c r="N72" s="327" t="n"/>
      <c r="O72" s="327" t="n"/>
      <c r="Q72" s="327" t="n"/>
      <c r="R72" s="288" t="n"/>
      <c r="S72" s="299">
        <f>C72*12</f>
        <v/>
      </c>
      <c r="T72" s="299">
        <f>SUM(E72:Q72)</f>
        <v/>
      </c>
      <c r="U72" s="285" t="n"/>
      <c r="V72" s="285" t="n"/>
      <c r="W72" s="285" t="n"/>
      <c r="X72" s="285" t="n"/>
      <c r="Y72" s="285" t="n"/>
      <c r="Z72" s="285" t="n"/>
      <c r="AA72" s="285" t="n"/>
    </row>
    <row r="73" ht="18.75" customHeight="1" s="398">
      <c r="A73" s="325" t="n"/>
      <c r="B73" s="326" t="inlineStr">
        <is>
          <t>Transferências Entre Contas</t>
        </is>
      </c>
      <c r="C73" s="327" t="inlineStr">
        <is>
          <t>-</t>
        </is>
      </c>
      <c r="D73" s="327" t="n"/>
      <c r="E73" s="327" t="n"/>
      <c r="F73" s="328" t="n"/>
      <c r="G73" s="328" t="n"/>
      <c r="H73" s="327" t="n"/>
      <c r="I73" s="327" t="n"/>
      <c r="J73" s="327" t="n"/>
      <c r="K73" s="327" t="n"/>
      <c r="L73" s="327" t="n"/>
      <c r="M73" s="327" t="n"/>
      <c r="N73" s="327" t="n"/>
      <c r="O73" s="327" t="n"/>
      <c r="P73" s="327" t="n"/>
      <c r="Q73" s="327" t="n"/>
      <c r="R73" s="288" t="n"/>
      <c r="S73" s="299" t="n"/>
      <c r="T73" s="284" t="n"/>
      <c r="U73" s="285" t="n"/>
      <c r="V73" s="285" t="n"/>
      <c r="W73" s="285" t="n"/>
      <c r="X73" s="285" t="n"/>
      <c r="Y73" s="285" t="n"/>
      <c r="Z73" s="285" t="n"/>
      <c r="AA73" s="285" t="n"/>
    </row>
    <row r="74" ht="15.75" customHeight="1" s="398">
      <c r="A74" s="317" t="n"/>
      <c r="B74" s="317" t="n"/>
      <c r="C74" s="315" t="n"/>
      <c r="D74" s="315" t="n"/>
      <c r="E74" s="288" t="n"/>
      <c r="F74" s="316" t="n"/>
      <c r="G74" s="316" t="n"/>
      <c r="H74" s="315" t="n"/>
      <c r="I74" s="315" t="n"/>
      <c r="J74" s="315" t="n"/>
      <c r="K74" s="315" t="n"/>
      <c r="L74" s="315" t="n"/>
      <c r="M74" s="315" t="n"/>
      <c r="N74" s="315" t="n"/>
      <c r="O74" s="288" t="n"/>
      <c r="P74" s="288" t="n"/>
      <c r="Q74" s="288" t="n"/>
      <c r="R74" s="288" t="n"/>
      <c r="S74" s="299" t="n"/>
      <c r="T74" s="284" t="n"/>
      <c r="U74" s="285" t="n"/>
      <c r="V74" s="285" t="n"/>
      <c r="W74" s="285" t="n"/>
      <c r="X74" s="285" t="n"/>
      <c r="Y74" s="285" t="n"/>
      <c r="Z74" s="285" t="n"/>
      <c r="AA74" s="285" t="n"/>
    </row>
    <row r="75" ht="24" customHeight="1" s="398">
      <c r="A75" s="330" t="n"/>
      <c r="B75" s="330" t="inlineStr">
        <is>
          <t>TOTAL DESPESAS CONTA PRINCIPAL</t>
        </is>
      </c>
      <c r="C75" s="477" t="n">
        <v>178671.02</v>
      </c>
      <c r="D75" s="477" t="n"/>
      <c r="E75" s="477">
        <f>E68+E63+E61</f>
        <v/>
      </c>
      <c r="F75" s="332">
        <f>F68+F63+F61</f>
        <v/>
      </c>
      <c r="G75" s="332">
        <f>G68+G63+G61</f>
        <v/>
      </c>
      <c r="H75" s="477">
        <f>H68+H63+H61</f>
        <v/>
      </c>
      <c r="I75" s="477">
        <f>I68+I63+I61</f>
        <v/>
      </c>
      <c r="J75" s="477">
        <f>J68+J63+J61</f>
        <v/>
      </c>
      <c r="K75" s="477">
        <f>K68+K63+K61</f>
        <v/>
      </c>
      <c r="L75" s="477">
        <f>L68+L63+L61</f>
        <v/>
      </c>
      <c r="M75" s="477">
        <f>M68+M63+M61</f>
        <v/>
      </c>
      <c r="N75" s="477">
        <f>N68+N63+N61</f>
        <v/>
      </c>
      <c r="O75" s="477">
        <f>O61+O63+O68</f>
        <v/>
      </c>
      <c r="P75" s="477">
        <f>P61+P63+P68</f>
        <v/>
      </c>
      <c r="Q75" s="477">
        <f>Q68+Q63+Q61</f>
        <v/>
      </c>
      <c r="R75" s="288" t="n"/>
      <c r="S75" s="303">
        <f>S61+S63+S68</f>
        <v/>
      </c>
      <c r="T75" s="333">
        <f>T61+T63+T68</f>
        <v/>
      </c>
      <c r="U75" s="285" t="n"/>
      <c r="V75" s="285" t="n"/>
      <c r="W75" s="285" t="n"/>
      <c r="X75" s="285" t="n"/>
      <c r="Y75" s="285" t="n"/>
      <c r="Z75" s="285" t="n"/>
      <c r="AA75" s="285" t="n"/>
    </row>
    <row r="76" ht="15.75" customHeight="1" s="398">
      <c r="A76" s="317" t="n"/>
      <c r="B76" s="317" t="n"/>
      <c r="C76" s="315" t="n"/>
      <c r="D76" s="315" t="n"/>
      <c r="E76" s="288" t="n"/>
      <c r="F76" s="334" t="n"/>
      <c r="G76" s="391" t="n"/>
      <c r="H76" s="284" t="n"/>
      <c r="I76" s="288" t="n"/>
      <c r="J76" s="288" t="n"/>
      <c r="K76" s="288" t="n"/>
      <c r="L76" s="288" t="n"/>
      <c r="M76" s="288" t="n"/>
      <c r="N76" s="288" t="n"/>
      <c r="O76" s="288" t="n"/>
      <c r="P76" s="288" t="n"/>
      <c r="Q76" s="288" t="n"/>
      <c r="R76" s="288" t="n"/>
      <c r="S76" s="284" t="n"/>
      <c r="T76" s="284" t="n"/>
      <c r="U76" s="285" t="n"/>
      <c r="V76" s="285" t="n"/>
      <c r="W76" s="285" t="n"/>
      <c r="X76" s="285" t="n"/>
      <c r="Y76" s="285" t="n"/>
      <c r="Z76" s="285" t="n"/>
      <c r="AA76" s="285" t="n"/>
    </row>
    <row r="77" ht="15.75" customHeight="1" s="398">
      <c r="A77" s="317" t="n"/>
      <c r="B77" s="317" t="n"/>
      <c r="C77" s="315" t="n"/>
      <c r="D77" s="315" t="n"/>
      <c r="E77" s="288" t="n"/>
      <c r="F77" s="334" t="n"/>
      <c r="G77" s="391" t="n"/>
      <c r="H77" s="284" t="n"/>
      <c r="I77" s="288" t="n"/>
      <c r="J77" s="335" t="n"/>
      <c r="K77" s="288" t="n"/>
      <c r="L77" s="288" t="n"/>
      <c r="M77" s="288" t="n"/>
      <c r="N77" s="288" t="n"/>
      <c r="O77" s="288" t="n"/>
      <c r="P77" s="288" t="n"/>
      <c r="Q77" s="288" t="n"/>
      <c r="R77" s="288" t="n"/>
      <c r="S77" s="284" t="n"/>
      <c r="T77" s="284" t="n"/>
      <c r="U77" s="285" t="n"/>
      <c r="V77" s="285" t="n"/>
      <c r="W77" s="285" t="n"/>
      <c r="X77" s="285" t="n"/>
      <c r="Y77" s="285" t="n"/>
      <c r="Z77" s="285" t="n"/>
      <c r="AA77" s="285" t="n"/>
    </row>
    <row r="78" ht="15.75" customHeight="1" s="398">
      <c r="A78" s="317" t="n"/>
      <c r="B78" s="317" t="n"/>
      <c r="C78" s="315" t="n"/>
      <c r="D78" s="315" t="n"/>
      <c r="E78" s="288" t="n"/>
      <c r="F78" s="288" t="n"/>
      <c r="G78" s="284" t="n"/>
      <c r="H78" s="284" t="n"/>
      <c r="I78" s="288" t="n"/>
      <c r="J78" s="288" t="n"/>
      <c r="K78" s="288" t="n"/>
      <c r="L78" s="288" t="n"/>
      <c r="M78" s="288" t="n"/>
      <c r="N78" s="288" t="n"/>
      <c r="O78" s="288" t="n"/>
      <c r="P78" s="288" t="n"/>
      <c r="Q78" s="288" t="n"/>
      <c r="R78" s="288" t="n"/>
      <c r="S78" s="284" t="n"/>
      <c r="T78" s="284" t="n"/>
      <c r="U78" s="285" t="n"/>
      <c r="V78" s="285" t="n"/>
      <c r="W78" s="285" t="n"/>
      <c r="X78" s="285" t="n"/>
      <c r="Y78" s="285" t="n"/>
      <c r="Z78" s="285" t="n"/>
      <c r="AA78" s="285" t="n"/>
    </row>
    <row r="79" ht="15.75" customHeight="1" s="398">
      <c r="A79" s="317" t="n"/>
      <c r="B79" s="317" t="n"/>
      <c r="C79" s="315" t="n"/>
      <c r="D79" s="315" t="n"/>
      <c r="E79" s="288" t="n"/>
      <c r="F79" s="288" t="n"/>
      <c r="G79" s="284" t="n"/>
      <c r="H79" s="284" t="n"/>
      <c r="I79" s="288" t="n"/>
      <c r="J79" s="288" t="n"/>
      <c r="K79" s="288" t="n"/>
      <c r="L79" s="288" t="n"/>
      <c r="M79" s="288" t="n"/>
      <c r="N79" s="288" t="n"/>
      <c r="O79" s="288" t="n"/>
      <c r="P79" s="288" t="n"/>
      <c r="Q79" s="288" t="n"/>
      <c r="R79" s="288" t="n"/>
      <c r="S79" s="284" t="n"/>
      <c r="T79" s="284" t="n"/>
      <c r="U79" s="285" t="n"/>
      <c r="V79" s="285" t="n"/>
      <c r="W79" s="285" t="n"/>
      <c r="X79" s="285" t="n"/>
      <c r="Y79" s="285" t="n"/>
      <c r="Z79" s="285" t="n"/>
      <c r="AA79" s="285" t="n"/>
    </row>
    <row r="80" ht="15.75" customHeight="1" s="398">
      <c r="A80" s="317" t="n"/>
      <c r="B80" s="317" t="n"/>
      <c r="C80" s="315" t="n"/>
      <c r="D80" s="315" t="n"/>
      <c r="E80" s="288" t="n"/>
      <c r="F80" s="334" t="n"/>
      <c r="G80" s="391" t="n"/>
      <c r="H80" s="284" t="n"/>
      <c r="I80" s="288" t="n"/>
      <c r="J80" s="288" t="n"/>
      <c r="K80" s="288" t="n"/>
      <c r="L80" s="288" t="n"/>
      <c r="M80" s="288" t="n"/>
      <c r="N80" s="288" t="n"/>
      <c r="O80" s="288" t="n"/>
      <c r="P80" s="288" t="n"/>
      <c r="Q80" s="288" t="n"/>
      <c r="R80" s="288" t="n"/>
      <c r="S80" s="284" t="n"/>
      <c r="T80" s="284" t="n"/>
      <c r="U80" s="285" t="n"/>
      <c r="V80" s="285" t="n"/>
      <c r="W80" s="285" t="n"/>
      <c r="X80" s="285" t="n"/>
      <c r="Y80" s="285" t="n"/>
      <c r="Z80" s="285" t="n"/>
      <c r="AA80" s="285" t="n"/>
    </row>
    <row r="81" ht="15.75" customHeight="1" s="398">
      <c r="A81" s="317" t="n"/>
      <c r="B81" s="317" t="n"/>
      <c r="C81" s="315" t="n"/>
      <c r="D81" s="315" t="n"/>
      <c r="E81" s="288" t="n"/>
      <c r="F81" s="334" t="n"/>
      <c r="G81" s="391" t="n"/>
      <c r="H81" s="284" t="n"/>
      <c r="I81" s="288" t="n"/>
      <c r="J81" s="288" t="n"/>
      <c r="K81" s="288" t="n"/>
      <c r="L81" s="288" t="n"/>
      <c r="M81" s="288" t="n"/>
      <c r="N81" s="288" t="n"/>
      <c r="O81" s="288" t="n"/>
      <c r="P81" s="288" t="n"/>
      <c r="Q81" s="288" t="n"/>
      <c r="R81" s="288" t="n"/>
      <c r="S81" s="284" t="n"/>
      <c r="T81" s="284" t="n"/>
      <c r="U81" s="285" t="n"/>
      <c r="V81" s="285" t="n"/>
      <c r="W81" s="285" t="n"/>
      <c r="X81" s="285" t="n"/>
      <c r="Y81" s="285" t="n"/>
      <c r="Z81" s="285" t="n"/>
      <c r="AA81" s="285" t="n"/>
    </row>
    <row r="82" ht="15.75" customHeight="1" s="398">
      <c r="A82" s="317" t="n"/>
      <c r="B82" s="317" t="n"/>
      <c r="C82" s="315" t="n"/>
      <c r="D82" s="315" t="n"/>
      <c r="E82" s="288" t="n"/>
      <c r="F82" s="334" t="n"/>
      <c r="G82" s="391" t="n"/>
      <c r="H82" s="284" t="n"/>
      <c r="I82" s="288" t="n"/>
      <c r="J82" s="288" t="n"/>
      <c r="K82" s="288" t="n"/>
      <c r="L82" s="288" t="n"/>
      <c r="M82" s="288" t="n"/>
      <c r="N82" s="288" t="n"/>
      <c r="O82" s="288" t="n"/>
      <c r="P82" s="288" t="n"/>
      <c r="Q82" s="288" t="n"/>
      <c r="R82" s="288" t="n"/>
      <c r="S82" s="284" t="n"/>
      <c r="T82" s="284" t="n"/>
      <c r="U82" s="285" t="n"/>
      <c r="V82" s="285" t="n"/>
      <c r="W82" s="285" t="n"/>
      <c r="X82" s="285" t="n"/>
      <c r="Y82" s="285" t="n"/>
      <c r="Z82" s="285" t="n"/>
      <c r="AA82" s="285" t="n"/>
    </row>
    <row r="83" ht="15.75" customHeight="1" s="398">
      <c r="A83" s="317" t="n"/>
      <c r="B83" s="317" t="n"/>
      <c r="C83" s="315" t="n"/>
      <c r="D83" s="315" t="n"/>
      <c r="E83" s="288" t="n"/>
      <c r="F83" s="334" t="n"/>
      <c r="G83" s="391" t="n"/>
      <c r="H83" s="284" t="n"/>
      <c r="I83" s="288" t="n"/>
      <c r="J83" s="288" t="n"/>
      <c r="K83" s="288" t="n"/>
      <c r="L83" s="288" t="n"/>
      <c r="M83" s="288" t="n"/>
      <c r="N83" s="288" t="n"/>
      <c r="O83" s="288" t="n"/>
      <c r="P83" s="288" t="n"/>
      <c r="Q83" s="288" t="n"/>
      <c r="R83" s="288" t="n"/>
      <c r="S83" s="284" t="n"/>
      <c r="T83" s="284" t="n"/>
      <c r="U83" s="285" t="n"/>
      <c r="V83" s="285" t="n"/>
      <c r="W83" s="285" t="n"/>
      <c r="X83" s="285" t="n"/>
      <c r="Y83" s="285" t="n"/>
      <c r="Z83" s="285" t="n"/>
      <c r="AA83" s="285" t="n"/>
    </row>
    <row r="84" ht="15.75" customHeight="1" s="398">
      <c r="A84" s="317" t="n"/>
      <c r="B84" s="317" t="n"/>
      <c r="C84" s="315" t="n"/>
      <c r="D84" s="315" t="n"/>
      <c r="E84" s="288" t="n"/>
      <c r="F84" s="334" t="n"/>
      <c r="G84" s="391" t="n"/>
      <c r="H84" s="284" t="n"/>
      <c r="I84" s="288" t="n"/>
      <c r="J84" s="288" t="n"/>
      <c r="K84" s="288" t="n"/>
      <c r="L84" s="288" t="n"/>
      <c r="M84" s="288" t="n"/>
      <c r="N84" s="288" t="n"/>
      <c r="O84" s="288" t="n"/>
      <c r="P84" s="288" t="n"/>
      <c r="Q84" s="288" t="n"/>
      <c r="R84" s="288" t="n"/>
      <c r="S84" s="284" t="n"/>
      <c r="T84" s="284" t="n"/>
      <c r="U84" s="285" t="n"/>
      <c r="V84" s="285" t="n"/>
      <c r="W84" s="285" t="n"/>
      <c r="X84" s="285" t="n"/>
      <c r="Y84" s="285" t="n"/>
      <c r="Z84" s="285" t="n"/>
      <c r="AA84" s="285" t="n"/>
    </row>
    <row r="85" ht="15.75" customHeight="1" s="398">
      <c r="A85" s="317" t="n"/>
      <c r="B85" s="317" t="n"/>
      <c r="C85" s="315" t="n"/>
      <c r="D85" s="315" t="n"/>
      <c r="E85" s="288" t="n"/>
      <c r="F85" s="334" t="n"/>
      <c r="G85" s="391" t="n"/>
      <c r="H85" s="284" t="n"/>
      <c r="I85" s="288" t="n"/>
      <c r="J85" s="288" t="n"/>
      <c r="K85" s="288" t="n"/>
      <c r="L85" s="288" t="n"/>
      <c r="M85" s="288" t="n"/>
      <c r="N85" s="288" t="n"/>
      <c r="O85" s="288" t="n"/>
      <c r="P85" s="288" t="n"/>
      <c r="Q85" s="288" t="n"/>
      <c r="R85" s="288" t="n"/>
      <c r="S85" s="284" t="n"/>
      <c r="T85" s="284" t="n"/>
      <c r="U85" s="285" t="n"/>
      <c r="V85" s="285" t="n"/>
      <c r="W85" s="285" t="n"/>
      <c r="X85" s="285" t="n"/>
      <c r="Y85" s="285" t="n"/>
      <c r="Z85" s="285" t="n"/>
      <c r="AA85" s="285" t="n"/>
    </row>
    <row r="86" ht="15.75" customHeight="1" s="398">
      <c r="A86" s="317" t="n"/>
      <c r="B86" s="317" t="n"/>
      <c r="C86" s="315" t="n"/>
      <c r="D86" s="315" t="n"/>
      <c r="E86" s="288" t="n"/>
      <c r="F86" s="334" t="n"/>
      <c r="G86" s="391" t="n"/>
      <c r="H86" s="284" t="n"/>
      <c r="I86" s="288" t="n"/>
      <c r="J86" s="288" t="n"/>
      <c r="K86" s="288" t="n"/>
      <c r="L86" s="288" t="n"/>
      <c r="M86" s="288" t="n"/>
      <c r="N86" s="288" t="n"/>
      <c r="O86" s="288" t="n"/>
      <c r="P86" s="288" t="n"/>
      <c r="Q86" s="288" t="n"/>
      <c r="R86" s="288" t="n"/>
      <c r="S86" s="284" t="n"/>
      <c r="T86" s="284" t="n"/>
      <c r="U86" s="285" t="n"/>
      <c r="V86" s="285" t="n"/>
      <c r="W86" s="285" t="n"/>
      <c r="X86" s="285" t="n"/>
      <c r="Y86" s="285" t="n"/>
      <c r="Z86" s="285" t="n"/>
      <c r="AA86" s="285" t="n"/>
    </row>
    <row r="87" ht="15.75" customHeight="1" s="398">
      <c r="A87" s="317" t="n"/>
      <c r="B87" s="317" t="n"/>
      <c r="C87" s="315" t="n"/>
      <c r="D87" s="315" t="n"/>
      <c r="E87" s="288" t="n"/>
      <c r="F87" s="334" t="n"/>
      <c r="G87" s="391" t="n"/>
      <c r="H87" s="284" t="n"/>
      <c r="I87" s="288" t="n"/>
      <c r="J87" s="288" t="n"/>
      <c r="K87" s="288" t="n"/>
      <c r="L87" s="288" t="n"/>
      <c r="M87" s="288" t="n"/>
      <c r="N87" s="288" t="n"/>
      <c r="O87" s="288" t="n"/>
      <c r="P87" s="288" t="n"/>
      <c r="Q87" s="288" t="n"/>
      <c r="R87" s="288" t="n"/>
      <c r="S87" s="284" t="n"/>
      <c r="T87" s="284" t="n"/>
      <c r="U87" s="285" t="n"/>
      <c r="V87" s="285" t="n"/>
      <c r="W87" s="285" t="n"/>
      <c r="X87" s="285" t="n"/>
      <c r="Y87" s="285" t="n"/>
      <c r="Z87" s="285" t="n"/>
      <c r="AA87" s="285" t="n"/>
    </row>
    <row r="88" ht="15.75" customHeight="1" s="398">
      <c r="A88" s="317" t="n"/>
      <c r="B88" s="317" t="n"/>
      <c r="C88" s="315" t="n"/>
      <c r="D88" s="315" t="n"/>
      <c r="E88" s="288" t="n"/>
      <c r="F88" s="334" t="n"/>
      <c r="G88" s="391" t="n"/>
      <c r="H88" s="284" t="n"/>
      <c r="I88" s="288" t="n"/>
      <c r="J88" s="288" t="n"/>
      <c r="K88" s="288" t="n"/>
      <c r="L88" s="288" t="n"/>
      <c r="M88" s="288" t="n"/>
      <c r="N88" s="288" t="n"/>
      <c r="O88" s="288" t="n"/>
      <c r="P88" s="288" t="n"/>
      <c r="Q88" s="288" t="n"/>
      <c r="R88" s="288" t="n"/>
      <c r="S88" s="284" t="n"/>
      <c r="T88" s="284" t="n"/>
      <c r="U88" s="285" t="n"/>
      <c r="V88" s="285" t="n"/>
      <c r="W88" s="285" t="n"/>
      <c r="X88" s="285" t="n"/>
      <c r="Y88" s="285" t="n"/>
      <c r="Z88" s="285" t="n"/>
      <c r="AA88" s="285" t="n"/>
    </row>
    <row r="89" ht="15.75" customHeight="1" s="398">
      <c r="A89" s="317" t="n"/>
      <c r="B89" s="317" t="n"/>
      <c r="C89" s="315" t="n"/>
      <c r="D89" s="315" t="n"/>
      <c r="E89" s="288" t="n"/>
      <c r="F89" s="334" t="n"/>
      <c r="G89" s="391" t="n"/>
      <c r="H89" s="284" t="n"/>
      <c r="I89" s="288" t="n"/>
      <c r="J89" s="288" t="n"/>
      <c r="K89" s="288" t="n"/>
      <c r="L89" s="288" t="n"/>
      <c r="M89" s="288" t="n"/>
      <c r="N89" s="288" t="n"/>
      <c r="O89" s="288" t="n"/>
      <c r="P89" s="288" t="n"/>
      <c r="Q89" s="288" t="n"/>
      <c r="R89" s="288" t="n"/>
      <c r="S89" s="284" t="n"/>
      <c r="T89" s="284" t="n"/>
      <c r="U89" s="285" t="n"/>
      <c r="V89" s="285" t="n"/>
      <c r="W89" s="285" t="n"/>
      <c r="X89" s="285" t="n"/>
      <c r="Y89" s="285" t="n"/>
      <c r="Z89" s="285" t="n"/>
      <c r="AA89" s="285" t="n"/>
    </row>
    <row r="90" ht="15.75" customHeight="1" s="398">
      <c r="A90" s="317" t="n"/>
      <c r="B90" s="317" t="n"/>
      <c r="C90" s="315" t="n"/>
      <c r="D90" s="315" t="n"/>
      <c r="E90" s="288" t="n"/>
      <c r="F90" s="334" t="n"/>
      <c r="G90" s="391" t="n"/>
      <c r="H90" s="284" t="n"/>
      <c r="I90" s="288" t="n"/>
      <c r="J90" s="288" t="n"/>
      <c r="K90" s="288" t="n"/>
      <c r="L90" s="288" t="n"/>
      <c r="M90" s="288" t="n"/>
      <c r="N90" s="288" t="n"/>
      <c r="O90" s="288" t="n"/>
      <c r="P90" s="288" t="n"/>
      <c r="Q90" s="288" t="n"/>
      <c r="R90" s="288" t="n"/>
      <c r="S90" s="284" t="n"/>
      <c r="T90" s="284" t="n"/>
      <c r="U90" s="285" t="n"/>
      <c r="V90" s="285" t="n"/>
      <c r="W90" s="285" t="n"/>
      <c r="X90" s="285" t="n"/>
      <c r="Y90" s="285" t="n"/>
      <c r="Z90" s="285" t="n"/>
      <c r="AA90" s="285" t="n"/>
    </row>
    <row r="91" ht="15.75" customHeight="1" s="398">
      <c r="A91" s="317" t="n"/>
      <c r="B91" s="317" t="n"/>
      <c r="C91" s="315" t="n"/>
      <c r="D91" s="315" t="n"/>
      <c r="E91" s="288" t="n"/>
      <c r="F91" s="334" t="n"/>
      <c r="G91" s="391" t="n"/>
      <c r="H91" s="284" t="n"/>
      <c r="I91" s="288" t="n"/>
      <c r="J91" s="288" t="n"/>
      <c r="K91" s="288" t="n"/>
      <c r="L91" s="288" t="n"/>
      <c r="M91" s="288" t="n"/>
      <c r="N91" s="288" t="n"/>
      <c r="O91" s="288" t="n"/>
      <c r="P91" s="288" t="n"/>
      <c r="Q91" s="288" t="n"/>
      <c r="R91" s="288" t="n"/>
      <c r="S91" s="284" t="n"/>
      <c r="T91" s="284" t="n"/>
      <c r="U91" s="285" t="n"/>
      <c r="V91" s="285" t="n"/>
      <c r="W91" s="285" t="n"/>
      <c r="X91" s="285" t="n"/>
      <c r="Y91" s="285" t="n"/>
      <c r="Z91" s="285" t="n"/>
      <c r="AA91" s="285" t="n"/>
    </row>
    <row r="92" ht="15.75" customHeight="1" s="398">
      <c r="A92" s="317" t="n"/>
      <c r="B92" s="317" t="n"/>
      <c r="C92" s="315" t="n"/>
      <c r="D92" s="315" t="n"/>
      <c r="E92" s="288" t="n"/>
      <c r="F92" s="334" t="n"/>
      <c r="G92" s="391" t="n"/>
      <c r="H92" s="284" t="n"/>
      <c r="I92" s="288" t="n"/>
      <c r="J92" s="288" t="n"/>
      <c r="K92" s="288" t="n"/>
      <c r="L92" s="288" t="n"/>
      <c r="M92" s="288" t="n"/>
      <c r="N92" s="288" t="n"/>
      <c r="O92" s="288" t="n"/>
      <c r="P92" s="288" t="n"/>
      <c r="Q92" s="288" t="n"/>
      <c r="R92" s="288" t="n"/>
      <c r="S92" s="284" t="n"/>
      <c r="T92" s="284" t="n"/>
      <c r="U92" s="285" t="n"/>
      <c r="V92" s="285" t="n"/>
      <c r="W92" s="285" t="n"/>
      <c r="X92" s="285" t="n"/>
      <c r="Y92" s="285" t="n"/>
      <c r="Z92" s="285" t="n"/>
      <c r="AA92" s="285" t="n"/>
    </row>
    <row r="93" ht="15.75" customHeight="1" s="398">
      <c r="A93" s="317" t="n"/>
      <c r="B93" s="317" t="n"/>
      <c r="C93" s="315" t="n"/>
      <c r="D93" s="315" t="n"/>
      <c r="E93" s="288" t="n"/>
      <c r="F93" s="334" t="n"/>
      <c r="G93" s="391" t="n"/>
      <c r="H93" s="284" t="n"/>
      <c r="I93" s="288" t="n"/>
      <c r="J93" s="288" t="n"/>
      <c r="K93" s="288" t="n"/>
      <c r="L93" s="288" t="n"/>
      <c r="M93" s="288" t="n"/>
      <c r="N93" s="288" t="n"/>
      <c r="O93" s="288" t="n"/>
      <c r="P93" s="288" t="n"/>
      <c r="Q93" s="288" t="n"/>
      <c r="R93" s="288" t="n"/>
      <c r="S93" s="284" t="n"/>
      <c r="T93" s="284" t="n"/>
      <c r="U93" s="285" t="n"/>
      <c r="V93" s="285" t="n"/>
      <c r="W93" s="285" t="n"/>
      <c r="X93" s="285" t="n"/>
      <c r="Y93" s="285" t="n"/>
      <c r="Z93" s="285" t="n"/>
      <c r="AA93" s="285" t="n"/>
    </row>
    <row r="94" ht="15.75" customHeight="1" s="398">
      <c r="A94" s="317" t="n"/>
      <c r="B94" s="317" t="n"/>
      <c r="C94" s="315" t="n"/>
      <c r="D94" s="315" t="n"/>
      <c r="E94" s="288" t="n"/>
      <c r="F94" s="334" t="n"/>
      <c r="G94" s="391" t="n"/>
      <c r="H94" s="284" t="n"/>
      <c r="I94" s="288" t="n"/>
      <c r="J94" s="288" t="n"/>
      <c r="K94" s="288" t="n"/>
      <c r="L94" s="288" t="n"/>
      <c r="M94" s="288" t="n"/>
      <c r="N94" s="288" t="n"/>
      <c r="O94" s="288" t="n"/>
      <c r="P94" s="288" t="n"/>
      <c r="Q94" s="288" t="n"/>
      <c r="R94" s="288" t="n"/>
      <c r="S94" s="284" t="n"/>
      <c r="T94" s="284" t="n"/>
      <c r="U94" s="285" t="n"/>
      <c r="V94" s="285" t="n"/>
      <c r="W94" s="285" t="n"/>
      <c r="X94" s="285" t="n"/>
      <c r="Y94" s="285" t="n"/>
      <c r="Z94" s="285" t="n"/>
      <c r="AA94" s="285" t="n"/>
    </row>
    <row r="95" ht="15.75" customHeight="1" s="398">
      <c r="A95" s="317" t="n"/>
      <c r="B95" s="317" t="n"/>
      <c r="C95" s="315" t="n"/>
      <c r="D95" s="315" t="n"/>
      <c r="E95" s="288" t="n"/>
      <c r="F95" s="334" t="n"/>
      <c r="G95" s="391" t="n"/>
      <c r="H95" s="284" t="n"/>
      <c r="I95" s="288" t="n"/>
      <c r="J95" s="288" t="n"/>
      <c r="K95" s="288" t="n"/>
      <c r="L95" s="288" t="n"/>
      <c r="M95" s="288" t="n"/>
      <c r="N95" s="288" t="n"/>
      <c r="O95" s="288" t="n"/>
      <c r="P95" s="288" t="n"/>
      <c r="Q95" s="288" t="n"/>
      <c r="R95" s="288" t="n"/>
      <c r="S95" s="284" t="n"/>
      <c r="T95" s="284" t="n"/>
      <c r="U95" s="285" t="n"/>
      <c r="V95" s="285" t="n"/>
      <c r="W95" s="285" t="n"/>
      <c r="X95" s="285" t="n"/>
      <c r="Y95" s="285" t="n"/>
      <c r="Z95" s="285" t="n"/>
      <c r="AA95" s="285" t="n"/>
    </row>
    <row r="96" ht="15.75" customHeight="1" s="398">
      <c r="A96" s="317" t="n"/>
      <c r="B96" s="317" t="n"/>
      <c r="C96" s="315" t="n"/>
      <c r="D96" s="315" t="n"/>
      <c r="E96" s="288" t="n"/>
      <c r="F96" s="334" t="n"/>
      <c r="G96" s="391" t="n"/>
      <c r="H96" s="284" t="n"/>
      <c r="I96" s="288" t="n"/>
      <c r="J96" s="288" t="n"/>
      <c r="K96" s="288" t="n"/>
      <c r="L96" s="288" t="n"/>
      <c r="M96" s="288" t="n"/>
      <c r="N96" s="288" t="n"/>
      <c r="O96" s="288" t="n"/>
      <c r="P96" s="288" t="n"/>
      <c r="Q96" s="288" t="n"/>
      <c r="R96" s="288" t="n"/>
      <c r="S96" s="284" t="n"/>
      <c r="T96" s="284" t="n"/>
      <c r="U96" s="285" t="n"/>
      <c r="V96" s="285" t="n"/>
      <c r="W96" s="285" t="n"/>
      <c r="X96" s="285" t="n"/>
      <c r="Y96" s="285" t="n"/>
      <c r="Z96" s="285" t="n"/>
      <c r="AA96" s="285" t="n"/>
    </row>
    <row r="97" ht="15.75" customHeight="1" s="398">
      <c r="A97" s="317" t="n"/>
      <c r="B97" s="317" t="n"/>
      <c r="C97" s="315" t="n"/>
      <c r="D97" s="315" t="n"/>
      <c r="E97" s="288" t="n"/>
      <c r="F97" s="334" t="n"/>
      <c r="G97" s="391" t="n"/>
      <c r="H97" s="284" t="n"/>
      <c r="I97" s="288" t="n"/>
      <c r="J97" s="288" t="n"/>
      <c r="K97" s="288" t="n"/>
      <c r="L97" s="288" t="n"/>
      <c r="M97" s="288" t="n"/>
      <c r="N97" s="288" t="n"/>
      <c r="O97" s="288" t="n"/>
      <c r="P97" s="288" t="n"/>
      <c r="Q97" s="288" t="n"/>
      <c r="R97" s="288" t="n"/>
      <c r="S97" s="284" t="n"/>
      <c r="T97" s="284" t="n"/>
      <c r="U97" s="285" t="n"/>
      <c r="V97" s="285" t="n"/>
      <c r="W97" s="285" t="n"/>
      <c r="X97" s="285" t="n"/>
      <c r="Y97" s="285" t="n"/>
      <c r="Z97" s="285" t="n"/>
      <c r="AA97" s="285" t="n"/>
    </row>
    <row r="98" ht="15.75" customHeight="1" s="398">
      <c r="A98" s="317" t="n"/>
      <c r="B98" s="317" t="n"/>
      <c r="C98" s="315" t="n"/>
      <c r="D98" s="315" t="n"/>
      <c r="E98" s="288" t="n"/>
      <c r="F98" s="334" t="n"/>
      <c r="G98" s="391" t="n"/>
      <c r="H98" s="284" t="n"/>
      <c r="I98" s="288" t="n"/>
      <c r="J98" s="288" t="n"/>
      <c r="K98" s="288" t="n"/>
      <c r="L98" s="288" t="n"/>
      <c r="M98" s="288" t="n"/>
      <c r="N98" s="288" t="n"/>
      <c r="O98" s="288" t="n"/>
      <c r="P98" s="288" t="n"/>
      <c r="Q98" s="288" t="n"/>
      <c r="R98" s="288" t="n"/>
      <c r="S98" s="284" t="n"/>
      <c r="T98" s="284" t="n"/>
      <c r="U98" s="285" t="n"/>
      <c r="V98" s="285" t="n"/>
      <c r="W98" s="285" t="n"/>
      <c r="X98" s="285" t="n"/>
      <c r="Y98" s="285" t="n"/>
      <c r="Z98" s="285" t="n"/>
      <c r="AA98" s="285" t="n"/>
    </row>
    <row r="99" ht="15.75" customHeight="1" s="398">
      <c r="A99" s="317" t="n"/>
      <c r="B99" s="317" t="n"/>
      <c r="C99" s="315" t="n"/>
      <c r="D99" s="315" t="n"/>
      <c r="E99" s="288" t="n"/>
      <c r="F99" s="334" t="n"/>
      <c r="G99" s="391" t="n"/>
      <c r="H99" s="284" t="n"/>
      <c r="I99" s="288" t="n"/>
      <c r="J99" s="288" t="n"/>
      <c r="K99" s="288" t="n"/>
      <c r="L99" s="288" t="n"/>
      <c r="M99" s="288" t="n"/>
      <c r="N99" s="288" t="n"/>
      <c r="O99" s="288" t="n"/>
      <c r="P99" s="288" t="n"/>
      <c r="Q99" s="288" t="n"/>
      <c r="R99" s="288" t="n"/>
      <c r="S99" s="284" t="n"/>
      <c r="T99" s="284" t="n"/>
      <c r="U99" s="285" t="n"/>
      <c r="V99" s="285" t="n"/>
      <c r="W99" s="285" t="n"/>
      <c r="X99" s="285" t="n"/>
      <c r="Y99" s="285" t="n"/>
      <c r="Z99" s="285" t="n"/>
      <c r="AA99" s="285" t="n"/>
    </row>
    <row r="100" ht="15.75" customHeight="1" s="398">
      <c r="A100" s="317" t="n"/>
      <c r="B100" s="317" t="n"/>
      <c r="C100" s="315" t="n"/>
      <c r="D100" s="315" t="n"/>
      <c r="E100" s="288" t="n"/>
      <c r="F100" s="334" t="n"/>
      <c r="G100" s="391" t="n"/>
      <c r="H100" s="284" t="n"/>
      <c r="I100" s="288" t="n"/>
      <c r="J100" s="288" t="n"/>
      <c r="K100" s="288" t="n"/>
      <c r="L100" s="288" t="n"/>
      <c r="M100" s="288" t="n"/>
      <c r="N100" s="288" t="n"/>
      <c r="O100" s="288" t="n"/>
      <c r="P100" s="288" t="n"/>
      <c r="Q100" s="288" t="n"/>
      <c r="R100" s="288" t="n"/>
      <c r="S100" s="284" t="n"/>
      <c r="T100" s="284" t="n"/>
      <c r="U100" s="285" t="n"/>
      <c r="V100" s="285" t="n"/>
      <c r="W100" s="285" t="n"/>
      <c r="X100" s="285" t="n"/>
      <c r="Y100" s="285" t="n"/>
      <c r="Z100" s="285" t="n"/>
      <c r="AA100" s="285" t="n"/>
    </row>
    <row r="101" ht="15.75" customHeight="1" s="398">
      <c r="A101" s="317" t="n"/>
      <c r="B101" s="317" t="n"/>
      <c r="C101" s="315" t="n"/>
      <c r="D101" s="315" t="n"/>
      <c r="E101" s="288" t="n"/>
      <c r="F101" s="334" t="n"/>
      <c r="G101" s="391" t="n"/>
      <c r="H101" s="284" t="n"/>
      <c r="I101" s="288" t="n"/>
      <c r="J101" s="288" t="n"/>
      <c r="K101" s="288" t="n"/>
      <c r="L101" s="288" t="n"/>
      <c r="M101" s="288" t="n"/>
      <c r="N101" s="288" t="n"/>
      <c r="O101" s="288" t="n"/>
      <c r="P101" s="288" t="n"/>
      <c r="Q101" s="288" t="n"/>
      <c r="R101" s="288" t="n"/>
      <c r="S101" s="284" t="n"/>
      <c r="T101" s="284" t="n"/>
      <c r="U101" s="285" t="n"/>
      <c r="V101" s="285" t="n"/>
      <c r="W101" s="285" t="n"/>
      <c r="X101" s="285" t="n"/>
      <c r="Y101" s="285" t="n"/>
      <c r="Z101" s="285" t="n"/>
      <c r="AA101" s="285" t="n"/>
    </row>
    <row r="102" ht="15.75" customHeight="1" s="398">
      <c r="A102" s="317" t="n"/>
      <c r="B102" s="317" t="n"/>
      <c r="C102" s="315" t="n"/>
      <c r="D102" s="315" t="n"/>
      <c r="E102" s="288" t="n"/>
      <c r="F102" s="334" t="n"/>
      <c r="G102" s="391" t="n"/>
      <c r="H102" s="284" t="n"/>
      <c r="I102" s="288" t="n"/>
      <c r="J102" s="288" t="n"/>
      <c r="K102" s="288" t="n"/>
      <c r="L102" s="288" t="n"/>
      <c r="M102" s="288" t="n"/>
      <c r="N102" s="288" t="n"/>
      <c r="O102" s="288" t="n"/>
      <c r="P102" s="288" t="n"/>
      <c r="Q102" s="288" t="n"/>
      <c r="R102" s="288" t="n"/>
      <c r="S102" s="284" t="n"/>
      <c r="T102" s="284" t="n"/>
      <c r="U102" s="285" t="n"/>
      <c r="V102" s="285" t="n"/>
      <c r="W102" s="285" t="n"/>
      <c r="X102" s="285" t="n"/>
      <c r="Y102" s="285" t="n"/>
      <c r="Z102" s="285" t="n"/>
      <c r="AA102" s="285" t="n"/>
    </row>
    <row r="103" ht="15.75" customHeight="1" s="398">
      <c r="A103" s="317" t="n"/>
      <c r="B103" s="317" t="n"/>
      <c r="C103" s="315" t="n"/>
      <c r="D103" s="315" t="n"/>
      <c r="E103" s="288" t="n"/>
      <c r="F103" s="334" t="n"/>
      <c r="G103" s="391" t="n"/>
      <c r="H103" s="284" t="n"/>
      <c r="I103" s="288" t="n"/>
      <c r="J103" s="288" t="n"/>
      <c r="K103" s="288" t="n"/>
      <c r="L103" s="288" t="n"/>
      <c r="M103" s="288" t="n"/>
      <c r="N103" s="288" t="n"/>
      <c r="O103" s="288" t="n"/>
      <c r="P103" s="288" t="n"/>
      <c r="Q103" s="288" t="n"/>
      <c r="R103" s="288" t="n"/>
      <c r="S103" s="284" t="n"/>
      <c r="T103" s="284" t="n"/>
      <c r="U103" s="285" t="n"/>
      <c r="V103" s="285" t="n"/>
      <c r="W103" s="285" t="n"/>
      <c r="X103" s="285" t="n"/>
      <c r="Y103" s="285" t="n"/>
      <c r="Z103" s="285" t="n"/>
      <c r="AA103" s="285" t="n"/>
    </row>
    <row r="104" ht="15.75" customHeight="1" s="398">
      <c r="A104" s="317" t="n"/>
      <c r="B104" s="317" t="n"/>
      <c r="C104" s="315" t="n"/>
      <c r="D104" s="315" t="n"/>
      <c r="E104" s="288" t="n"/>
      <c r="F104" s="334" t="n"/>
      <c r="G104" s="391" t="n"/>
      <c r="H104" s="284" t="n"/>
      <c r="I104" s="288" t="n"/>
      <c r="J104" s="288" t="n"/>
      <c r="K104" s="288" t="n"/>
      <c r="L104" s="288" t="n"/>
      <c r="M104" s="288" t="n"/>
      <c r="N104" s="288" t="n"/>
      <c r="O104" s="288" t="n"/>
      <c r="P104" s="288" t="n"/>
      <c r="Q104" s="288" t="n"/>
      <c r="R104" s="288" t="n"/>
      <c r="S104" s="284" t="n"/>
      <c r="T104" s="284" t="n"/>
      <c r="U104" s="285" t="n"/>
      <c r="V104" s="285" t="n"/>
      <c r="W104" s="285" t="n"/>
      <c r="X104" s="285" t="n"/>
      <c r="Y104" s="285" t="n"/>
      <c r="Z104" s="285" t="n"/>
      <c r="AA104" s="285" t="n"/>
    </row>
    <row r="105" ht="15.75" customHeight="1" s="398">
      <c r="A105" s="317" t="n"/>
      <c r="B105" s="317" t="n"/>
      <c r="C105" s="315" t="n"/>
      <c r="D105" s="315" t="n"/>
      <c r="E105" s="288" t="n"/>
      <c r="F105" s="334" t="n"/>
      <c r="G105" s="391" t="n"/>
      <c r="H105" s="284" t="n"/>
      <c r="I105" s="288" t="n"/>
      <c r="J105" s="288" t="n"/>
      <c r="K105" s="288" t="n"/>
      <c r="L105" s="288" t="n"/>
      <c r="M105" s="288" t="n"/>
      <c r="N105" s="288" t="n"/>
      <c r="O105" s="288" t="n"/>
      <c r="P105" s="288" t="n"/>
      <c r="Q105" s="288" t="n"/>
      <c r="R105" s="288" t="n"/>
      <c r="S105" s="284" t="n"/>
      <c r="T105" s="284" t="n"/>
      <c r="U105" s="285" t="n"/>
      <c r="V105" s="285" t="n"/>
      <c r="W105" s="285" t="n"/>
      <c r="X105" s="285" t="n"/>
      <c r="Y105" s="285" t="n"/>
      <c r="Z105" s="285" t="n"/>
      <c r="AA105" s="285" t="n"/>
    </row>
    <row r="106" ht="15.75" customHeight="1" s="398">
      <c r="A106" s="317" t="n"/>
      <c r="B106" s="317" t="n"/>
      <c r="C106" s="315" t="n"/>
      <c r="D106" s="315" t="n"/>
      <c r="E106" s="288" t="n"/>
      <c r="F106" s="334" t="n"/>
      <c r="G106" s="391" t="n"/>
      <c r="H106" s="284" t="n"/>
      <c r="I106" s="288" t="n"/>
      <c r="J106" s="288" t="n"/>
      <c r="K106" s="288" t="n"/>
      <c r="L106" s="288" t="n"/>
      <c r="M106" s="288" t="n"/>
      <c r="N106" s="288" t="n"/>
      <c r="O106" s="288" t="n"/>
      <c r="P106" s="288" t="n"/>
      <c r="Q106" s="288" t="n"/>
      <c r="R106" s="288" t="n"/>
      <c r="S106" s="284" t="n"/>
      <c r="T106" s="284" t="n"/>
      <c r="U106" s="285" t="n"/>
      <c r="V106" s="285" t="n"/>
      <c r="W106" s="285" t="n"/>
      <c r="X106" s="285" t="n"/>
      <c r="Y106" s="285" t="n"/>
      <c r="Z106" s="285" t="n"/>
      <c r="AA106" s="285" t="n"/>
    </row>
    <row r="107" ht="15.75" customHeight="1" s="398">
      <c r="A107" s="317" t="n"/>
      <c r="B107" s="317" t="n"/>
      <c r="C107" s="315" t="n"/>
      <c r="D107" s="315" t="n"/>
      <c r="E107" s="288" t="n"/>
      <c r="F107" s="334" t="n"/>
      <c r="G107" s="391" t="n"/>
      <c r="H107" s="284" t="n"/>
      <c r="I107" s="288" t="n"/>
      <c r="J107" s="288" t="n"/>
      <c r="K107" s="288" t="n"/>
      <c r="L107" s="288" t="n"/>
      <c r="M107" s="288" t="n"/>
      <c r="N107" s="288" t="n"/>
      <c r="O107" s="288" t="n"/>
      <c r="P107" s="288" t="n"/>
      <c r="Q107" s="288" t="n"/>
      <c r="R107" s="288" t="n"/>
      <c r="S107" s="284" t="n"/>
      <c r="T107" s="284" t="n"/>
      <c r="U107" s="285" t="n"/>
      <c r="V107" s="285" t="n"/>
      <c r="W107" s="285" t="n"/>
      <c r="X107" s="285" t="n"/>
      <c r="Y107" s="285" t="n"/>
      <c r="Z107" s="285" t="n"/>
      <c r="AA107" s="285" t="n"/>
    </row>
    <row r="108" ht="15.75" customHeight="1" s="398">
      <c r="A108" s="317" t="n"/>
      <c r="B108" s="317" t="n"/>
      <c r="C108" s="315" t="n"/>
      <c r="D108" s="315" t="n"/>
      <c r="E108" s="288" t="n"/>
      <c r="F108" s="334" t="n"/>
      <c r="G108" s="391" t="n"/>
      <c r="H108" s="284" t="n"/>
      <c r="I108" s="288" t="n"/>
      <c r="J108" s="288" t="n"/>
      <c r="K108" s="288" t="n"/>
      <c r="L108" s="288" t="n"/>
      <c r="M108" s="288" t="n"/>
      <c r="N108" s="288" t="n"/>
      <c r="O108" s="288" t="n"/>
      <c r="P108" s="288" t="n"/>
      <c r="Q108" s="288" t="n"/>
      <c r="R108" s="288" t="n"/>
      <c r="S108" s="284" t="n"/>
      <c r="T108" s="284" t="n"/>
      <c r="U108" s="285" t="n"/>
      <c r="V108" s="285" t="n"/>
      <c r="W108" s="285" t="n"/>
      <c r="X108" s="285" t="n"/>
      <c r="Y108" s="285" t="n"/>
      <c r="Z108" s="285" t="n"/>
      <c r="AA108" s="285" t="n"/>
    </row>
    <row r="109" ht="15.75" customHeight="1" s="398">
      <c r="A109" s="317" t="n"/>
      <c r="B109" s="317" t="n"/>
      <c r="C109" s="315" t="n"/>
      <c r="D109" s="315" t="n"/>
      <c r="E109" s="288" t="n"/>
      <c r="F109" s="334" t="n"/>
      <c r="G109" s="391" t="n"/>
      <c r="H109" s="284" t="n"/>
      <c r="I109" s="288" t="n"/>
      <c r="J109" s="288" t="n"/>
      <c r="K109" s="288" t="n"/>
      <c r="L109" s="288" t="n"/>
      <c r="M109" s="288" t="n"/>
      <c r="N109" s="288" t="n"/>
      <c r="O109" s="288" t="n"/>
      <c r="P109" s="288" t="n"/>
      <c r="Q109" s="288" t="n"/>
      <c r="R109" s="288" t="n"/>
      <c r="S109" s="284" t="n"/>
      <c r="T109" s="284" t="n"/>
      <c r="U109" s="285" t="n"/>
      <c r="V109" s="285" t="n"/>
      <c r="W109" s="285" t="n"/>
      <c r="X109" s="285" t="n"/>
      <c r="Y109" s="285" t="n"/>
      <c r="Z109" s="285" t="n"/>
      <c r="AA109" s="285" t="n"/>
    </row>
    <row r="110" ht="15.75" customHeight="1" s="398">
      <c r="A110" s="317" t="n"/>
      <c r="B110" s="317" t="n"/>
      <c r="C110" s="315" t="n"/>
      <c r="D110" s="315" t="n"/>
      <c r="E110" s="288" t="n"/>
      <c r="F110" s="334" t="n"/>
      <c r="G110" s="391" t="n"/>
      <c r="H110" s="284" t="n"/>
      <c r="I110" s="288" t="n"/>
      <c r="J110" s="288" t="n"/>
      <c r="K110" s="288" t="n"/>
      <c r="L110" s="288" t="n"/>
      <c r="M110" s="288" t="n"/>
      <c r="N110" s="288" t="n"/>
      <c r="O110" s="288" t="n"/>
      <c r="P110" s="288" t="n"/>
      <c r="Q110" s="288" t="n"/>
      <c r="R110" s="288" t="n"/>
      <c r="S110" s="284" t="n"/>
      <c r="T110" s="284" t="n"/>
      <c r="U110" s="285" t="n"/>
      <c r="V110" s="285" t="n"/>
      <c r="W110" s="285" t="n"/>
      <c r="X110" s="285" t="n"/>
      <c r="Y110" s="285" t="n"/>
      <c r="Z110" s="285" t="n"/>
      <c r="AA110" s="285" t="n"/>
    </row>
    <row r="111" ht="15.75" customHeight="1" s="398">
      <c r="A111" s="317" t="n"/>
      <c r="B111" s="317" t="n"/>
      <c r="C111" s="315" t="n"/>
      <c r="D111" s="315" t="n"/>
      <c r="E111" s="288" t="n"/>
      <c r="F111" s="334" t="n"/>
      <c r="G111" s="391" t="n"/>
      <c r="H111" s="284" t="n"/>
      <c r="I111" s="288" t="n"/>
      <c r="J111" s="288" t="n"/>
      <c r="K111" s="288" t="n"/>
      <c r="L111" s="288" t="n"/>
      <c r="M111" s="288" t="n"/>
      <c r="N111" s="288" t="n"/>
      <c r="O111" s="288" t="n"/>
      <c r="P111" s="288" t="n"/>
      <c r="Q111" s="288" t="n"/>
      <c r="R111" s="288" t="n"/>
      <c r="S111" s="284" t="n"/>
      <c r="T111" s="284" t="n"/>
      <c r="U111" s="285" t="n"/>
      <c r="V111" s="285" t="n"/>
      <c r="W111" s="285" t="n"/>
      <c r="X111" s="285" t="n"/>
      <c r="Y111" s="285" t="n"/>
      <c r="Z111" s="285" t="n"/>
      <c r="AA111" s="285" t="n"/>
    </row>
    <row r="112" ht="15.75" customHeight="1" s="398">
      <c r="A112" s="317" t="n"/>
      <c r="B112" s="317" t="n"/>
      <c r="C112" s="315" t="n"/>
      <c r="D112" s="315" t="n"/>
      <c r="E112" s="288" t="n"/>
      <c r="F112" s="334" t="n"/>
      <c r="G112" s="391" t="n"/>
      <c r="H112" s="284" t="n"/>
      <c r="I112" s="288" t="n"/>
      <c r="J112" s="288" t="n"/>
      <c r="K112" s="288" t="n"/>
      <c r="L112" s="288" t="n"/>
      <c r="M112" s="288" t="n"/>
      <c r="N112" s="288" t="n"/>
      <c r="O112" s="288" t="n"/>
      <c r="P112" s="288" t="n"/>
      <c r="Q112" s="288" t="n"/>
      <c r="R112" s="288" t="n"/>
      <c r="S112" s="284" t="n"/>
      <c r="T112" s="284" t="n"/>
      <c r="U112" s="285" t="n"/>
      <c r="V112" s="285" t="n"/>
      <c r="W112" s="285" t="n"/>
      <c r="X112" s="285" t="n"/>
      <c r="Y112" s="285" t="n"/>
      <c r="Z112" s="285" t="n"/>
      <c r="AA112" s="285" t="n"/>
    </row>
    <row r="113" ht="15.75" customHeight="1" s="398">
      <c r="A113" s="317" t="n"/>
      <c r="B113" s="317" t="n"/>
      <c r="C113" s="315" t="n"/>
      <c r="D113" s="315" t="n"/>
      <c r="E113" s="288" t="n"/>
      <c r="F113" s="334" t="n"/>
      <c r="G113" s="391" t="n"/>
      <c r="H113" s="284" t="n"/>
      <c r="I113" s="288" t="n"/>
      <c r="J113" s="288" t="n"/>
      <c r="K113" s="288" t="n"/>
      <c r="L113" s="288" t="n"/>
      <c r="M113" s="288" t="n"/>
      <c r="N113" s="288" t="n"/>
      <c r="O113" s="288" t="n"/>
      <c r="P113" s="288" t="n"/>
      <c r="Q113" s="288" t="n"/>
      <c r="R113" s="288" t="n"/>
      <c r="S113" s="284" t="n"/>
      <c r="T113" s="284" t="n"/>
      <c r="U113" s="285" t="n"/>
      <c r="V113" s="285" t="n"/>
      <c r="W113" s="285" t="n"/>
      <c r="X113" s="285" t="n"/>
      <c r="Y113" s="285" t="n"/>
      <c r="Z113" s="285" t="n"/>
      <c r="AA113" s="285" t="n"/>
    </row>
    <row r="114" ht="15.75" customHeight="1" s="398">
      <c r="A114" s="317" t="n"/>
      <c r="B114" s="317" t="n"/>
      <c r="C114" s="315" t="n"/>
      <c r="D114" s="315" t="n"/>
      <c r="E114" s="288" t="n"/>
      <c r="F114" s="334" t="n"/>
      <c r="G114" s="391" t="n"/>
      <c r="H114" s="284" t="n"/>
      <c r="I114" s="288" t="n"/>
      <c r="J114" s="288" t="n"/>
      <c r="K114" s="288" t="n"/>
      <c r="L114" s="288" t="n"/>
      <c r="M114" s="288" t="n"/>
      <c r="N114" s="288" t="n"/>
      <c r="O114" s="288" t="n"/>
      <c r="P114" s="288" t="n"/>
      <c r="Q114" s="288" t="n"/>
      <c r="R114" s="288" t="n"/>
      <c r="S114" s="284" t="n"/>
      <c r="T114" s="284" t="n"/>
      <c r="U114" s="285" t="n"/>
      <c r="V114" s="285" t="n"/>
      <c r="W114" s="285" t="n"/>
      <c r="X114" s="285" t="n"/>
      <c r="Y114" s="285" t="n"/>
      <c r="Z114" s="285" t="n"/>
      <c r="AA114" s="285" t="n"/>
    </row>
    <row r="115" ht="15.75" customHeight="1" s="398">
      <c r="A115" s="317" t="n"/>
      <c r="B115" s="317" t="n"/>
      <c r="C115" s="315" t="n"/>
      <c r="D115" s="315" t="n"/>
      <c r="E115" s="288" t="n"/>
      <c r="F115" s="334" t="n"/>
      <c r="G115" s="391" t="n"/>
      <c r="H115" s="284" t="n"/>
      <c r="I115" s="288" t="n"/>
      <c r="J115" s="288" t="n"/>
      <c r="K115" s="288" t="n"/>
      <c r="L115" s="288" t="n"/>
      <c r="M115" s="288" t="n"/>
      <c r="N115" s="288" t="n"/>
      <c r="O115" s="288" t="n"/>
      <c r="P115" s="288" t="n"/>
      <c r="Q115" s="288" t="n"/>
      <c r="R115" s="288" t="n"/>
      <c r="S115" s="284" t="n"/>
      <c r="T115" s="284" t="n"/>
      <c r="U115" s="285" t="n"/>
      <c r="V115" s="285" t="n"/>
      <c r="W115" s="285" t="n"/>
      <c r="X115" s="285" t="n"/>
      <c r="Y115" s="285" t="n"/>
      <c r="Z115" s="285" t="n"/>
      <c r="AA115" s="285" t="n"/>
    </row>
    <row r="116" ht="15.75" customHeight="1" s="398">
      <c r="A116" s="317" t="n"/>
      <c r="B116" s="317" t="n"/>
      <c r="C116" s="315" t="n"/>
      <c r="D116" s="315" t="n"/>
      <c r="E116" s="288" t="n"/>
      <c r="F116" s="334" t="n"/>
      <c r="G116" s="391" t="n"/>
      <c r="H116" s="284" t="n"/>
      <c r="I116" s="288" t="n"/>
      <c r="J116" s="288" t="n"/>
      <c r="K116" s="288" t="n"/>
      <c r="L116" s="288" t="n"/>
      <c r="M116" s="288" t="n"/>
      <c r="N116" s="288" t="n"/>
      <c r="O116" s="288" t="n"/>
      <c r="P116" s="288" t="n"/>
      <c r="Q116" s="288" t="n"/>
      <c r="R116" s="288" t="n"/>
      <c r="S116" s="284" t="n"/>
      <c r="T116" s="284" t="n"/>
      <c r="U116" s="285" t="n"/>
      <c r="V116" s="285" t="n"/>
      <c r="W116" s="285" t="n"/>
      <c r="X116" s="285" t="n"/>
      <c r="Y116" s="285" t="n"/>
      <c r="Z116" s="285" t="n"/>
      <c r="AA116" s="285" t="n"/>
    </row>
    <row r="117" ht="15.75" customHeight="1" s="398">
      <c r="A117" s="317" t="n"/>
      <c r="B117" s="317" t="n"/>
      <c r="C117" s="315" t="n"/>
      <c r="D117" s="315" t="n"/>
      <c r="E117" s="288" t="n"/>
      <c r="F117" s="334" t="n"/>
      <c r="G117" s="391" t="n"/>
      <c r="H117" s="284" t="n"/>
      <c r="I117" s="288" t="n"/>
      <c r="J117" s="288" t="n"/>
      <c r="K117" s="288" t="n"/>
      <c r="L117" s="288" t="n"/>
      <c r="M117" s="288" t="n"/>
      <c r="N117" s="288" t="n"/>
      <c r="O117" s="288" t="n"/>
      <c r="P117" s="288" t="n"/>
      <c r="Q117" s="288" t="n"/>
      <c r="R117" s="288" t="n"/>
      <c r="S117" s="284" t="n"/>
      <c r="T117" s="284" t="n"/>
      <c r="U117" s="285" t="n"/>
      <c r="V117" s="285" t="n"/>
      <c r="W117" s="285" t="n"/>
      <c r="X117" s="285" t="n"/>
      <c r="Y117" s="285" t="n"/>
      <c r="Z117" s="285" t="n"/>
      <c r="AA117" s="285" t="n"/>
    </row>
    <row r="118" ht="15.75" customHeight="1" s="398">
      <c r="A118" s="317" t="n"/>
      <c r="B118" s="317" t="n"/>
      <c r="C118" s="315" t="n"/>
      <c r="D118" s="315" t="n"/>
      <c r="E118" s="288" t="n"/>
      <c r="F118" s="334" t="n"/>
      <c r="G118" s="391" t="n"/>
      <c r="H118" s="284" t="n"/>
      <c r="I118" s="288" t="n"/>
      <c r="J118" s="288" t="n"/>
      <c r="K118" s="288" t="n"/>
      <c r="L118" s="288" t="n"/>
      <c r="M118" s="288" t="n"/>
      <c r="N118" s="288" t="n"/>
      <c r="O118" s="288" t="n"/>
      <c r="P118" s="288" t="n"/>
      <c r="Q118" s="288" t="n"/>
      <c r="R118" s="288" t="n"/>
      <c r="S118" s="284" t="n"/>
      <c r="T118" s="284" t="n"/>
      <c r="U118" s="285" t="n"/>
      <c r="V118" s="285" t="n"/>
      <c r="W118" s="285" t="n"/>
      <c r="X118" s="285" t="n"/>
      <c r="Y118" s="285" t="n"/>
      <c r="Z118" s="285" t="n"/>
      <c r="AA118" s="285" t="n"/>
    </row>
    <row r="119" ht="15.75" customHeight="1" s="398">
      <c r="A119" s="317" t="n"/>
      <c r="B119" s="317" t="n"/>
      <c r="C119" s="315" t="n"/>
      <c r="D119" s="315" t="n"/>
      <c r="E119" s="288" t="n"/>
      <c r="F119" s="334" t="n"/>
      <c r="G119" s="391" t="n"/>
      <c r="H119" s="284" t="n"/>
      <c r="I119" s="288" t="n"/>
      <c r="J119" s="288" t="n"/>
      <c r="K119" s="288" t="n"/>
      <c r="L119" s="288" t="n"/>
      <c r="M119" s="288" t="n"/>
      <c r="N119" s="288" t="n"/>
      <c r="O119" s="288" t="n"/>
      <c r="P119" s="288" t="n"/>
      <c r="Q119" s="288" t="n"/>
      <c r="R119" s="288" t="n"/>
      <c r="S119" s="284" t="n"/>
      <c r="T119" s="284" t="n"/>
      <c r="U119" s="285" t="n"/>
      <c r="V119" s="285" t="n"/>
      <c r="W119" s="285" t="n"/>
      <c r="X119" s="285" t="n"/>
      <c r="Y119" s="285" t="n"/>
      <c r="Z119" s="285" t="n"/>
      <c r="AA119" s="285" t="n"/>
    </row>
    <row r="120" ht="15.75" customHeight="1" s="398">
      <c r="A120" s="317" t="n"/>
      <c r="B120" s="317" t="n"/>
      <c r="C120" s="315" t="n"/>
      <c r="D120" s="315" t="n"/>
      <c r="E120" s="288" t="n"/>
      <c r="F120" s="334" t="n"/>
      <c r="G120" s="391" t="n"/>
      <c r="H120" s="284" t="n"/>
      <c r="I120" s="288" t="n"/>
      <c r="J120" s="288" t="n"/>
      <c r="K120" s="288" t="n"/>
      <c r="L120" s="288" t="n"/>
      <c r="M120" s="288" t="n"/>
      <c r="N120" s="288" t="n"/>
      <c r="O120" s="288" t="n"/>
      <c r="P120" s="288" t="n"/>
      <c r="Q120" s="288" t="n"/>
      <c r="R120" s="288" t="n"/>
      <c r="S120" s="284" t="n"/>
      <c r="T120" s="284" t="n"/>
      <c r="U120" s="285" t="n"/>
      <c r="V120" s="285" t="n"/>
      <c r="W120" s="285" t="n"/>
      <c r="X120" s="285" t="n"/>
      <c r="Y120" s="285" t="n"/>
      <c r="Z120" s="285" t="n"/>
      <c r="AA120" s="285" t="n"/>
    </row>
    <row r="121" ht="15.75" customHeight="1" s="398">
      <c r="A121" s="317" t="n"/>
      <c r="B121" s="317" t="n"/>
      <c r="C121" s="315" t="n"/>
      <c r="D121" s="315" t="n"/>
      <c r="E121" s="288" t="n"/>
      <c r="F121" s="334" t="n"/>
      <c r="G121" s="391" t="n"/>
      <c r="H121" s="284" t="n"/>
      <c r="I121" s="288" t="n"/>
      <c r="J121" s="288" t="n"/>
      <c r="K121" s="288" t="n"/>
      <c r="L121" s="288" t="n"/>
      <c r="M121" s="288" t="n"/>
      <c r="N121" s="288" t="n"/>
      <c r="O121" s="288" t="n"/>
      <c r="P121" s="288" t="n"/>
      <c r="Q121" s="288" t="n"/>
      <c r="R121" s="288" t="n"/>
      <c r="S121" s="284" t="n"/>
      <c r="T121" s="284" t="n"/>
      <c r="U121" s="285" t="n"/>
      <c r="V121" s="285" t="n"/>
      <c r="W121" s="285" t="n"/>
      <c r="X121" s="285" t="n"/>
      <c r="Y121" s="285" t="n"/>
      <c r="Z121" s="285" t="n"/>
      <c r="AA121" s="285" t="n"/>
    </row>
    <row r="122" ht="15.75" customHeight="1" s="398">
      <c r="A122" s="317" t="n"/>
      <c r="B122" s="317" t="n"/>
      <c r="C122" s="315" t="n"/>
      <c r="D122" s="315" t="n"/>
      <c r="E122" s="288" t="n"/>
      <c r="F122" s="334" t="n"/>
      <c r="G122" s="391" t="n"/>
      <c r="H122" s="284" t="n"/>
      <c r="I122" s="288" t="n"/>
      <c r="J122" s="288" t="n"/>
      <c r="K122" s="288" t="n"/>
      <c r="L122" s="288" t="n"/>
      <c r="M122" s="288" t="n"/>
      <c r="N122" s="288" t="n"/>
      <c r="O122" s="288" t="n"/>
      <c r="P122" s="288" t="n"/>
      <c r="Q122" s="288" t="n"/>
      <c r="R122" s="288" t="n"/>
      <c r="S122" s="284" t="n"/>
      <c r="T122" s="284" t="n"/>
      <c r="U122" s="285" t="n"/>
      <c r="V122" s="285" t="n"/>
      <c r="W122" s="285" t="n"/>
      <c r="X122" s="285" t="n"/>
      <c r="Y122" s="285" t="n"/>
      <c r="Z122" s="285" t="n"/>
      <c r="AA122" s="285" t="n"/>
    </row>
    <row r="123" ht="15.75" customHeight="1" s="398">
      <c r="A123" s="317" t="n"/>
      <c r="B123" s="317" t="n"/>
      <c r="C123" s="315" t="n"/>
      <c r="D123" s="315" t="n"/>
      <c r="E123" s="288" t="n"/>
      <c r="F123" s="334" t="n"/>
      <c r="G123" s="391" t="n"/>
      <c r="H123" s="284" t="n"/>
      <c r="I123" s="288" t="n"/>
      <c r="J123" s="288" t="n"/>
      <c r="K123" s="288" t="n"/>
      <c r="L123" s="288" t="n"/>
      <c r="M123" s="288" t="n"/>
      <c r="N123" s="288" t="n"/>
      <c r="O123" s="288" t="n"/>
      <c r="P123" s="288" t="n"/>
      <c r="Q123" s="288" t="n"/>
      <c r="R123" s="288" t="n"/>
      <c r="S123" s="284" t="n"/>
      <c r="T123" s="284" t="n"/>
      <c r="U123" s="285" t="n"/>
      <c r="V123" s="285" t="n"/>
      <c r="W123" s="285" t="n"/>
      <c r="X123" s="285" t="n"/>
      <c r="Y123" s="285" t="n"/>
      <c r="Z123" s="285" t="n"/>
      <c r="AA123" s="285" t="n"/>
    </row>
    <row r="124" ht="15.75" customHeight="1" s="398">
      <c r="A124" s="317" t="n"/>
      <c r="B124" s="317" t="n"/>
      <c r="C124" s="315" t="n"/>
      <c r="D124" s="315" t="n"/>
      <c r="E124" s="288" t="n"/>
      <c r="F124" s="334" t="n"/>
      <c r="G124" s="391" t="n"/>
      <c r="H124" s="284" t="n"/>
      <c r="I124" s="288" t="n"/>
      <c r="J124" s="288" t="n"/>
      <c r="K124" s="288" t="n"/>
      <c r="L124" s="288" t="n"/>
      <c r="M124" s="288" t="n"/>
      <c r="N124" s="288" t="n"/>
      <c r="O124" s="288" t="n"/>
      <c r="P124" s="288" t="n"/>
      <c r="Q124" s="288" t="n"/>
      <c r="R124" s="288" t="n"/>
      <c r="S124" s="284" t="n"/>
      <c r="T124" s="284" t="n"/>
      <c r="U124" s="285" t="n"/>
      <c r="V124" s="285" t="n"/>
      <c r="W124" s="285" t="n"/>
      <c r="X124" s="285" t="n"/>
      <c r="Y124" s="285" t="n"/>
      <c r="Z124" s="285" t="n"/>
      <c r="AA124" s="285" t="n"/>
    </row>
    <row r="125" ht="15.75" customHeight="1" s="398">
      <c r="A125" s="317" t="n"/>
      <c r="B125" s="317" t="n"/>
      <c r="C125" s="315" t="n"/>
      <c r="D125" s="315" t="n"/>
      <c r="E125" s="288" t="n"/>
      <c r="F125" s="334" t="n"/>
      <c r="G125" s="391" t="n"/>
      <c r="H125" s="284" t="n"/>
      <c r="I125" s="288" t="n"/>
      <c r="J125" s="288" t="n"/>
      <c r="K125" s="288" t="n"/>
      <c r="L125" s="288" t="n"/>
      <c r="M125" s="288" t="n"/>
      <c r="N125" s="288" t="n"/>
      <c r="O125" s="288" t="n"/>
      <c r="P125" s="288" t="n"/>
      <c r="Q125" s="288" t="n"/>
      <c r="R125" s="288" t="n"/>
      <c r="S125" s="284" t="n"/>
      <c r="T125" s="284" t="n"/>
      <c r="U125" s="285" t="n"/>
      <c r="V125" s="285" t="n"/>
      <c r="W125" s="285" t="n"/>
      <c r="X125" s="285" t="n"/>
      <c r="Y125" s="285" t="n"/>
      <c r="Z125" s="285" t="n"/>
      <c r="AA125" s="285" t="n"/>
    </row>
    <row r="126" ht="15.75" customHeight="1" s="398">
      <c r="A126" s="317" t="n"/>
      <c r="B126" s="317" t="n"/>
      <c r="C126" s="315" t="n"/>
      <c r="D126" s="315" t="n"/>
      <c r="E126" s="288" t="n"/>
      <c r="F126" s="334" t="n"/>
      <c r="G126" s="391" t="n"/>
      <c r="H126" s="284" t="n"/>
      <c r="I126" s="288" t="n"/>
      <c r="J126" s="288" t="n"/>
      <c r="K126" s="288" t="n"/>
      <c r="L126" s="288" t="n"/>
      <c r="M126" s="288" t="n"/>
      <c r="N126" s="288" t="n"/>
      <c r="O126" s="288" t="n"/>
      <c r="P126" s="288" t="n"/>
      <c r="Q126" s="288" t="n"/>
      <c r="R126" s="288" t="n"/>
      <c r="S126" s="284" t="n"/>
      <c r="T126" s="284" t="n"/>
      <c r="U126" s="285" t="n"/>
      <c r="V126" s="285" t="n"/>
      <c r="W126" s="285" t="n"/>
      <c r="X126" s="285" t="n"/>
      <c r="Y126" s="285" t="n"/>
      <c r="Z126" s="285" t="n"/>
      <c r="AA126" s="285" t="n"/>
    </row>
    <row r="127" ht="15.75" customHeight="1" s="398">
      <c r="A127" s="317" t="n"/>
      <c r="B127" s="317" t="n"/>
      <c r="C127" s="315" t="n"/>
      <c r="D127" s="315" t="n"/>
      <c r="E127" s="288" t="n"/>
      <c r="F127" s="334" t="n"/>
      <c r="G127" s="391" t="n"/>
      <c r="H127" s="284" t="n"/>
      <c r="I127" s="288" t="n"/>
      <c r="J127" s="288" t="n"/>
      <c r="K127" s="288" t="n"/>
      <c r="L127" s="288" t="n"/>
      <c r="M127" s="288" t="n"/>
      <c r="N127" s="288" t="n"/>
      <c r="O127" s="288" t="n"/>
      <c r="P127" s="288" t="n"/>
      <c r="Q127" s="288" t="n"/>
      <c r="R127" s="288" t="n"/>
      <c r="S127" s="284" t="n"/>
      <c r="T127" s="284" t="n"/>
      <c r="U127" s="285" t="n"/>
      <c r="V127" s="285" t="n"/>
      <c r="W127" s="285" t="n"/>
      <c r="X127" s="285" t="n"/>
      <c r="Y127" s="285" t="n"/>
      <c r="Z127" s="285" t="n"/>
      <c r="AA127" s="285" t="n"/>
    </row>
    <row r="128" ht="15.75" customHeight="1" s="398">
      <c r="A128" s="317" t="n"/>
      <c r="B128" s="317" t="n"/>
      <c r="C128" s="315" t="n"/>
      <c r="D128" s="315" t="n"/>
      <c r="E128" s="288" t="n"/>
      <c r="F128" s="334" t="n"/>
      <c r="G128" s="391" t="n"/>
      <c r="H128" s="284" t="n"/>
      <c r="I128" s="288" t="n"/>
      <c r="J128" s="288" t="n"/>
      <c r="K128" s="288" t="n"/>
      <c r="L128" s="288" t="n"/>
      <c r="M128" s="288" t="n"/>
      <c r="N128" s="288" t="n"/>
      <c r="O128" s="288" t="n"/>
      <c r="P128" s="288" t="n"/>
      <c r="Q128" s="288" t="n"/>
      <c r="R128" s="288" t="n"/>
      <c r="S128" s="284" t="n"/>
      <c r="T128" s="284" t="n"/>
      <c r="U128" s="285" t="n"/>
      <c r="V128" s="285" t="n"/>
      <c r="W128" s="285" t="n"/>
      <c r="X128" s="285" t="n"/>
      <c r="Y128" s="285" t="n"/>
      <c r="Z128" s="285" t="n"/>
      <c r="AA128" s="285" t="n"/>
    </row>
    <row r="129" ht="15.75" customHeight="1" s="398">
      <c r="A129" s="317" t="n"/>
      <c r="B129" s="317" t="n"/>
      <c r="C129" s="315" t="n"/>
      <c r="D129" s="315" t="n"/>
      <c r="E129" s="288" t="n"/>
      <c r="F129" s="334" t="n"/>
      <c r="G129" s="391" t="n"/>
      <c r="H129" s="284" t="n"/>
      <c r="I129" s="288" t="n"/>
      <c r="J129" s="288" t="n"/>
      <c r="K129" s="288" t="n"/>
      <c r="L129" s="288" t="n"/>
      <c r="M129" s="288" t="n"/>
      <c r="N129" s="288" t="n"/>
      <c r="O129" s="288" t="n"/>
      <c r="P129" s="288" t="n"/>
      <c r="Q129" s="288" t="n"/>
      <c r="R129" s="288" t="n"/>
      <c r="S129" s="284" t="n"/>
      <c r="T129" s="284" t="n"/>
      <c r="U129" s="285" t="n"/>
      <c r="V129" s="285" t="n"/>
      <c r="W129" s="285" t="n"/>
      <c r="X129" s="285" t="n"/>
      <c r="Y129" s="285" t="n"/>
      <c r="Z129" s="285" t="n"/>
      <c r="AA129" s="285" t="n"/>
    </row>
    <row r="130" ht="15.75" customHeight="1" s="398">
      <c r="A130" s="317" t="n"/>
      <c r="B130" s="317" t="n"/>
      <c r="C130" s="315" t="n"/>
      <c r="D130" s="315" t="n"/>
      <c r="E130" s="288" t="n"/>
      <c r="F130" s="334" t="n"/>
      <c r="G130" s="391" t="n"/>
      <c r="H130" s="284" t="n"/>
      <c r="I130" s="288" t="n"/>
      <c r="J130" s="288" t="n"/>
      <c r="K130" s="288" t="n"/>
      <c r="L130" s="288" t="n"/>
      <c r="M130" s="288" t="n"/>
      <c r="N130" s="288" t="n"/>
      <c r="O130" s="288" t="n"/>
      <c r="P130" s="288" t="n"/>
      <c r="Q130" s="288" t="n"/>
      <c r="R130" s="288" t="n"/>
      <c r="S130" s="284" t="n"/>
      <c r="T130" s="284" t="n"/>
      <c r="U130" s="285" t="n"/>
      <c r="V130" s="285" t="n"/>
      <c r="W130" s="285" t="n"/>
      <c r="X130" s="285" t="n"/>
      <c r="Y130" s="285" t="n"/>
      <c r="Z130" s="285" t="n"/>
      <c r="AA130" s="285" t="n"/>
    </row>
    <row r="131" ht="15.75" customHeight="1" s="398">
      <c r="A131" s="317" t="n"/>
      <c r="B131" s="317" t="n"/>
      <c r="C131" s="315" t="n"/>
      <c r="D131" s="315" t="n"/>
      <c r="E131" s="288" t="n"/>
      <c r="F131" s="334" t="n"/>
      <c r="G131" s="391" t="n"/>
      <c r="H131" s="284" t="n"/>
      <c r="I131" s="288" t="n"/>
      <c r="J131" s="288" t="n"/>
      <c r="K131" s="288" t="n"/>
      <c r="L131" s="288" t="n"/>
      <c r="M131" s="288" t="n"/>
      <c r="N131" s="288" t="n"/>
      <c r="O131" s="288" t="n"/>
      <c r="P131" s="288" t="n"/>
      <c r="Q131" s="288" t="n"/>
      <c r="R131" s="288" t="n"/>
      <c r="S131" s="284" t="n"/>
      <c r="T131" s="284" t="n"/>
      <c r="U131" s="285" t="n"/>
      <c r="V131" s="285" t="n"/>
      <c r="W131" s="285" t="n"/>
      <c r="X131" s="285" t="n"/>
      <c r="Y131" s="285" t="n"/>
      <c r="Z131" s="285" t="n"/>
      <c r="AA131" s="285" t="n"/>
    </row>
    <row r="132" ht="15.75" customHeight="1" s="398">
      <c r="A132" s="317" t="n"/>
      <c r="B132" s="317" t="n"/>
      <c r="C132" s="315" t="n"/>
      <c r="D132" s="315" t="n"/>
      <c r="E132" s="288" t="n"/>
      <c r="F132" s="334" t="n"/>
      <c r="G132" s="391" t="n"/>
      <c r="H132" s="284" t="n"/>
      <c r="I132" s="288" t="n"/>
      <c r="J132" s="288" t="n"/>
      <c r="K132" s="288" t="n"/>
      <c r="L132" s="288" t="n"/>
      <c r="M132" s="288" t="n"/>
      <c r="N132" s="288" t="n"/>
      <c r="O132" s="288" t="n"/>
      <c r="P132" s="288" t="n"/>
      <c r="Q132" s="288" t="n"/>
      <c r="R132" s="288" t="n"/>
      <c r="S132" s="284" t="n"/>
      <c r="T132" s="284" t="n"/>
      <c r="U132" s="285" t="n"/>
      <c r="V132" s="285" t="n"/>
      <c r="W132" s="285" t="n"/>
      <c r="X132" s="285" t="n"/>
      <c r="Y132" s="285" t="n"/>
      <c r="Z132" s="285" t="n"/>
      <c r="AA132" s="285" t="n"/>
    </row>
    <row r="133" ht="15.75" customHeight="1" s="398">
      <c r="A133" s="317" t="n"/>
      <c r="B133" s="317" t="n"/>
      <c r="C133" s="315" t="n"/>
      <c r="D133" s="315" t="n"/>
      <c r="E133" s="288" t="n"/>
      <c r="F133" s="334" t="n"/>
      <c r="G133" s="391" t="n"/>
      <c r="H133" s="284" t="n"/>
      <c r="I133" s="288" t="n"/>
      <c r="J133" s="288" t="n"/>
      <c r="K133" s="288" t="n"/>
      <c r="L133" s="288" t="n"/>
      <c r="M133" s="288" t="n"/>
      <c r="N133" s="288" t="n"/>
      <c r="O133" s="288" t="n"/>
      <c r="P133" s="288" t="n"/>
      <c r="Q133" s="288" t="n"/>
      <c r="R133" s="288" t="n"/>
      <c r="S133" s="284" t="n"/>
      <c r="T133" s="284" t="n"/>
      <c r="U133" s="285" t="n"/>
      <c r="V133" s="285" t="n"/>
      <c r="W133" s="285" t="n"/>
      <c r="X133" s="285" t="n"/>
      <c r="Y133" s="285" t="n"/>
      <c r="Z133" s="285" t="n"/>
      <c r="AA133" s="285" t="n"/>
    </row>
    <row r="134" ht="15.75" customHeight="1" s="398">
      <c r="A134" s="317" t="n"/>
      <c r="B134" s="317" t="n"/>
      <c r="C134" s="315" t="n"/>
      <c r="D134" s="315" t="n"/>
      <c r="E134" s="288" t="n"/>
      <c r="F134" s="334" t="n"/>
      <c r="G134" s="391" t="n"/>
      <c r="H134" s="284" t="n"/>
      <c r="I134" s="288" t="n"/>
      <c r="J134" s="288" t="n"/>
      <c r="K134" s="288" t="n"/>
      <c r="L134" s="288" t="n"/>
      <c r="M134" s="288" t="n"/>
      <c r="N134" s="288" t="n"/>
      <c r="O134" s="288" t="n"/>
      <c r="P134" s="288" t="n"/>
      <c r="Q134" s="288" t="n"/>
      <c r="R134" s="288" t="n"/>
      <c r="S134" s="284" t="n"/>
      <c r="T134" s="284" t="n"/>
      <c r="U134" s="285" t="n"/>
      <c r="V134" s="285" t="n"/>
      <c r="W134" s="285" t="n"/>
      <c r="X134" s="285" t="n"/>
      <c r="Y134" s="285" t="n"/>
      <c r="Z134" s="285" t="n"/>
      <c r="AA134" s="285" t="n"/>
    </row>
    <row r="135" ht="15.75" customHeight="1" s="398">
      <c r="A135" s="317" t="n"/>
      <c r="B135" s="317" t="n"/>
      <c r="C135" s="315" t="n"/>
      <c r="D135" s="315" t="n"/>
      <c r="E135" s="288" t="n"/>
      <c r="F135" s="334" t="n"/>
      <c r="G135" s="391" t="n"/>
      <c r="H135" s="284" t="n"/>
      <c r="I135" s="288" t="n"/>
      <c r="J135" s="288" t="n"/>
      <c r="K135" s="288" t="n"/>
      <c r="L135" s="288" t="n"/>
      <c r="M135" s="288" t="n"/>
      <c r="N135" s="288" t="n"/>
      <c r="O135" s="288" t="n"/>
      <c r="P135" s="288" t="n"/>
      <c r="Q135" s="288" t="n"/>
      <c r="R135" s="288" t="n"/>
      <c r="S135" s="284" t="n"/>
      <c r="T135" s="284" t="n"/>
      <c r="U135" s="285" t="n"/>
      <c r="V135" s="285" t="n"/>
      <c r="W135" s="285" t="n"/>
      <c r="X135" s="285" t="n"/>
      <c r="Y135" s="285" t="n"/>
      <c r="Z135" s="285" t="n"/>
      <c r="AA135" s="285" t="n"/>
    </row>
    <row r="136" ht="15.75" customHeight="1" s="398">
      <c r="A136" s="317" t="n"/>
      <c r="B136" s="317" t="n"/>
      <c r="C136" s="315" t="n"/>
      <c r="D136" s="315" t="n"/>
      <c r="E136" s="288" t="n"/>
      <c r="F136" s="334" t="n"/>
      <c r="G136" s="391" t="n"/>
      <c r="H136" s="284" t="n"/>
      <c r="I136" s="288" t="n"/>
      <c r="J136" s="288" t="n"/>
      <c r="K136" s="288" t="n"/>
      <c r="L136" s="288" t="n"/>
      <c r="M136" s="288" t="n"/>
      <c r="N136" s="288" t="n"/>
      <c r="O136" s="288" t="n"/>
      <c r="P136" s="288" t="n"/>
      <c r="Q136" s="288" t="n"/>
      <c r="R136" s="288" t="n"/>
      <c r="S136" s="284" t="n"/>
      <c r="T136" s="284" t="n"/>
      <c r="U136" s="285" t="n"/>
      <c r="V136" s="285" t="n"/>
      <c r="W136" s="285" t="n"/>
      <c r="X136" s="285" t="n"/>
      <c r="Y136" s="285" t="n"/>
      <c r="Z136" s="285" t="n"/>
      <c r="AA136" s="285" t="n"/>
    </row>
    <row r="137" ht="15.75" customHeight="1" s="398">
      <c r="A137" s="317" t="n"/>
      <c r="B137" s="317" t="n"/>
      <c r="C137" s="315" t="n"/>
      <c r="D137" s="315" t="n"/>
      <c r="E137" s="288" t="n"/>
      <c r="F137" s="334" t="n"/>
      <c r="G137" s="391" t="n"/>
      <c r="H137" s="284" t="n"/>
      <c r="I137" s="288" t="n"/>
      <c r="J137" s="288" t="n"/>
      <c r="K137" s="288" t="n"/>
      <c r="L137" s="288" t="n"/>
      <c r="M137" s="288" t="n"/>
      <c r="N137" s="288" t="n"/>
      <c r="O137" s="288" t="n"/>
      <c r="P137" s="288" t="n"/>
      <c r="Q137" s="288" t="n"/>
      <c r="R137" s="288" t="n"/>
      <c r="S137" s="284" t="n"/>
      <c r="T137" s="284" t="n"/>
      <c r="U137" s="285" t="n"/>
      <c r="V137" s="285" t="n"/>
      <c r="W137" s="285" t="n"/>
      <c r="X137" s="285" t="n"/>
      <c r="Y137" s="285" t="n"/>
      <c r="Z137" s="285" t="n"/>
      <c r="AA137" s="285" t="n"/>
    </row>
    <row r="138" ht="15.75" customHeight="1" s="398">
      <c r="A138" s="317" t="n"/>
      <c r="B138" s="317" t="n"/>
      <c r="C138" s="315" t="n"/>
      <c r="D138" s="315" t="n"/>
      <c r="E138" s="288" t="n"/>
      <c r="F138" s="334" t="n"/>
      <c r="G138" s="391" t="n"/>
      <c r="H138" s="284" t="n"/>
      <c r="I138" s="288" t="n"/>
      <c r="J138" s="288" t="n"/>
      <c r="K138" s="288" t="n"/>
      <c r="L138" s="288" t="n"/>
      <c r="M138" s="288" t="n"/>
      <c r="N138" s="288" t="n"/>
      <c r="O138" s="288" t="n"/>
      <c r="P138" s="288" t="n"/>
      <c r="Q138" s="288" t="n"/>
      <c r="R138" s="288" t="n"/>
      <c r="S138" s="284" t="n"/>
      <c r="T138" s="284" t="n"/>
      <c r="U138" s="285" t="n"/>
      <c r="V138" s="285" t="n"/>
      <c r="W138" s="285" t="n"/>
      <c r="X138" s="285" t="n"/>
      <c r="Y138" s="285" t="n"/>
      <c r="Z138" s="285" t="n"/>
      <c r="AA138" s="285" t="n"/>
    </row>
    <row r="139" ht="15.75" customHeight="1" s="398">
      <c r="A139" s="317" t="n"/>
      <c r="B139" s="317" t="n"/>
      <c r="C139" s="315" t="n"/>
      <c r="D139" s="315" t="n"/>
      <c r="E139" s="288" t="n"/>
      <c r="F139" s="334" t="n"/>
      <c r="G139" s="391" t="n"/>
      <c r="H139" s="284" t="n"/>
      <c r="I139" s="288" t="n"/>
      <c r="J139" s="288" t="n"/>
      <c r="K139" s="288" t="n"/>
      <c r="L139" s="288" t="n"/>
      <c r="M139" s="288" t="n"/>
      <c r="N139" s="288" t="n"/>
      <c r="O139" s="288" t="n"/>
      <c r="P139" s="288" t="n"/>
      <c r="Q139" s="288" t="n"/>
      <c r="R139" s="288" t="n"/>
      <c r="S139" s="284" t="n"/>
      <c r="T139" s="284" t="n"/>
      <c r="U139" s="285" t="n"/>
      <c r="V139" s="285" t="n"/>
      <c r="W139" s="285" t="n"/>
      <c r="X139" s="285" t="n"/>
      <c r="Y139" s="285" t="n"/>
      <c r="Z139" s="285" t="n"/>
      <c r="AA139" s="285" t="n"/>
    </row>
    <row r="140" ht="15.75" customHeight="1" s="398">
      <c r="A140" s="317" t="n"/>
      <c r="B140" s="317" t="n"/>
      <c r="C140" s="315" t="n"/>
      <c r="D140" s="315" t="n"/>
      <c r="E140" s="288" t="n"/>
      <c r="F140" s="334" t="n"/>
      <c r="G140" s="391" t="n"/>
      <c r="H140" s="284" t="n"/>
      <c r="I140" s="288" t="n"/>
      <c r="J140" s="288" t="n"/>
      <c r="K140" s="288" t="n"/>
      <c r="L140" s="288" t="n"/>
      <c r="M140" s="288" t="n"/>
      <c r="N140" s="288" t="n"/>
      <c r="O140" s="288" t="n"/>
      <c r="P140" s="288" t="n"/>
      <c r="Q140" s="288" t="n"/>
      <c r="R140" s="288" t="n"/>
      <c r="S140" s="284" t="n"/>
      <c r="T140" s="284" t="n"/>
      <c r="U140" s="285" t="n"/>
      <c r="V140" s="285" t="n"/>
      <c r="W140" s="285" t="n"/>
      <c r="X140" s="285" t="n"/>
      <c r="Y140" s="285" t="n"/>
      <c r="Z140" s="285" t="n"/>
      <c r="AA140" s="285" t="n"/>
    </row>
    <row r="141" ht="15.75" customHeight="1" s="398">
      <c r="A141" s="317" t="n"/>
      <c r="B141" s="317" t="n"/>
      <c r="C141" s="315" t="n"/>
      <c r="D141" s="315" t="n"/>
      <c r="E141" s="288" t="n"/>
      <c r="F141" s="334" t="n"/>
      <c r="G141" s="391" t="n"/>
      <c r="H141" s="284" t="n"/>
      <c r="I141" s="288" t="n"/>
      <c r="J141" s="288" t="n"/>
      <c r="K141" s="288" t="n"/>
      <c r="L141" s="288" t="n"/>
      <c r="M141" s="288" t="n"/>
      <c r="N141" s="288" t="n"/>
      <c r="O141" s="288" t="n"/>
      <c r="P141" s="288" t="n"/>
      <c r="Q141" s="288" t="n"/>
      <c r="R141" s="288" t="n"/>
      <c r="S141" s="284" t="n"/>
      <c r="T141" s="284" t="n"/>
      <c r="U141" s="285" t="n"/>
      <c r="V141" s="285" t="n"/>
      <c r="W141" s="285" t="n"/>
      <c r="X141" s="285" t="n"/>
      <c r="Y141" s="285" t="n"/>
      <c r="Z141" s="285" t="n"/>
      <c r="AA141" s="285" t="n"/>
    </row>
    <row r="142" ht="15.75" customHeight="1" s="398">
      <c r="A142" s="317" t="n"/>
      <c r="B142" s="317" t="n"/>
      <c r="C142" s="315" t="n"/>
      <c r="D142" s="315" t="n"/>
      <c r="E142" s="288" t="n"/>
      <c r="F142" s="334" t="n"/>
      <c r="G142" s="391" t="n"/>
      <c r="H142" s="284" t="n"/>
      <c r="I142" s="288" t="n"/>
      <c r="J142" s="288" t="n"/>
      <c r="K142" s="288" t="n"/>
      <c r="L142" s="288" t="n"/>
      <c r="M142" s="288" t="n"/>
      <c r="N142" s="288" t="n"/>
      <c r="O142" s="288" t="n"/>
      <c r="P142" s="288" t="n"/>
      <c r="Q142" s="288" t="n"/>
      <c r="R142" s="288" t="n"/>
      <c r="S142" s="284" t="n"/>
      <c r="T142" s="284" t="n"/>
      <c r="U142" s="285" t="n"/>
      <c r="V142" s="285" t="n"/>
      <c r="W142" s="285" t="n"/>
      <c r="X142" s="285" t="n"/>
      <c r="Y142" s="285" t="n"/>
      <c r="Z142" s="285" t="n"/>
      <c r="AA142" s="285" t="n"/>
    </row>
    <row r="143" ht="15.75" customHeight="1" s="398">
      <c r="A143" s="317" t="n"/>
      <c r="B143" s="317" t="n"/>
      <c r="C143" s="315" t="n"/>
      <c r="D143" s="315" t="n"/>
      <c r="E143" s="288" t="n"/>
      <c r="F143" s="334" t="n"/>
      <c r="G143" s="391" t="n"/>
      <c r="H143" s="284" t="n"/>
      <c r="I143" s="288" t="n"/>
      <c r="J143" s="288" t="n"/>
      <c r="K143" s="288" t="n"/>
      <c r="L143" s="288" t="n"/>
      <c r="M143" s="288" t="n"/>
      <c r="N143" s="288" t="n"/>
      <c r="O143" s="288" t="n"/>
      <c r="P143" s="288" t="n"/>
      <c r="Q143" s="288" t="n"/>
      <c r="R143" s="288" t="n"/>
      <c r="S143" s="284" t="n"/>
      <c r="T143" s="284" t="n"/>
      <c r="U143" s="285" t="n"/>
      <c r="V143" s="285" t="n"/>
      <c r="W143" s="285" t="n"/>
      <c r="X143" s="285" t="n"/>
      <c r="Y143" s="285" t="n"/>
      <c r="Z143" s="285" t="n"/>
      <c r="AA143" s="285" t="n"/>
    </row>
    <row r="144" ht="15.75" customHeight="1" s="398">
      <c r="A144" s="317" t="n"/>
      <c r="B144" s="317" t="n"/>
      <c r="C144" s="315" t="n"/>
      <c r="D144" s="315" t="n"/>
      <c r="E144" s="288" t="n"/>
      <c r="F144" s="334" t="n"/>
      <c r="G144" s="391" t="n"/>
      <c r="H144" s="284" t="n"/>
      <c r="I144" s="288" t="n"/>
      <c r="J144" s="288" t="n"/>
      <c r="K144" s="288" t="n"/>
      <c r="L144" s="288" t="n"/>
      <c r="M144" s="288" t="n"/>
      <c r="N144" s="288" t="n"/>
      <c r="O144" s="288" t="n"/>
      <c r="P144" s="288" t="n"/>
      <c r="Q144" s="288" t="n"/>
      <c r="R144" s="288" t="n"/>
      <c r="S144" s="284" t="n"/>
      <c r="T144" s="284" t="n"/>
      <c r="U144" s="285" t="n"/>
      <c r="V144" s="285" t="n"/>
      <c r="W144" s="285" t="n"/>
      <c r="X144" s="285" t="n"/>
      <c r="Y144" s="285" t="n"/>
      <c r="Z144" s="285" t="n"/>
      <c r="AA144" s="285" t="n"/>
    </row>
    <row r="145" ht="15.75" customHeight="1" s="398">
      <c r="A145" s="317" t="n"/>
      <c r="B145" s="317" t="n"/>
      <c r="C145" s="315" t="n"/>
      <c r="D145" s="315" t="n"/>
      <c r="E145" s="288" t="n"/>
      <c r="F145" s="334" t="n"/>
      <c r="G145" s="391" t="n"/>
      <c r="H145" s="284" t="n"/>
      <c r="I145" s="288" t="n"/>
      <c r="J145" s="288" t="n"/>
      <c r="K145" s="288" t="n"/>
      <c r="L145" s="288" t="n"/>
      <c r="M145" s="288" t="n"/>
      <c r="N145" s="288" t="n"/>
      <c r="O145" s="288" t="n"/>
      <c r="P145" s="288" t="n"/>
      <c r="Q145" s="288" t="n"/>
      <c r="R145" s="288" t="n"/>
      <c r="S145" s="284" t="n"/>
      <c r="T145" s="284" t="n"/>
      <c r="U145" s="285" t="n"/>
      <c r="V145" s="285" t="n"/>
      <c r="W145" s="285" t="n"/>
      <c r="X145" s="285" t="n"/>
      <c r="Y145" s="285" t="n"/>
      <c r="Z145" s="285" t="n"/>
      <c r="AA145" s="285" t="n"/>
    </row>
    <row r="146" ht="15.75" customHeight="1" s="398">
      <c r="A146" s="317" t="n"/>
      <c r="B146" s="317" t="n"/>
      <c r="C146" s="315" t="n"/>
      <c r="D146" s="315" t="n"/>
      <c r="E146" s="288" t="n"/>
      <c r="F146" s="334" t="n"/>
      <c r="G146" s="391" t="n"/>
      <c r="H146" s="284" t="n"/>
      <c r="I146" s="288" t="n"/>
      <c r="J146" s="288" t="n"/>
      <c r="K146" s="288" t="n"/>
      <c r="L146" s="288" t="n"/>
      <c r="M146" s="288" t="n"/>
      <c r="N146" s="288" t="n"/>
      <c r="O146" s="288" t="n"/>
      <c r="P146" s="288" t="n"/>
      <c r="Q146" s="288" t="n"/>
      <c r="R146" s="288" t="n"/>
      <c r="S146" s="284" t="n"/>
      <c r="T146" s="284" t="n"/>
      <c r="U146" s="285" t="n"/>
      <c r="V146" s="285" t="n"/>
      <c r="W146" s="285" t="n"/>
      <c r="X146" s="285" t="n"/>
      <c r="Y146" s="285" t="n"/>
      <c r="Z146" s="285" t="n"/>
      <c r="AA146" s="285" t="n"/>
    </row>
    <row r="147" ht="15.75" customHeight="1" s="398">
      <c r="A147" s="317" t="n"/>
      <c r="B147" s="317" t="n"/>
      <c r="C147" s="315" t="n"/>
      <c r="D147" s="315" t="n"/>
      <c r="E147" s="288" t="n"/>
      <c r="F147" s="334" t="n"/>
      <c r="G147" s="391" t="n"/>
      <c r="H147" s="284" t="n"/>
      <c r="I147" s="288" t="n"/>
      <c r="J147" s="288" t="n"/>
      <c r="K147" s="288" t="n"/>
      <c r="L147" s="288" t="n"/>
      <c r="M147" s="288" t="n"/>
      <c r="N147" s="288" t="n"/>
      <c r="O147" s="288" t="n"/>
      <c r="P147" s="288" t="n"/>
      <c r="Q147" s="288" t="n"/>
      <c r="R147" s="288" t="n"/>
      <c r="S147" s="284" t="n"/>
      <c r="T147" s="284" t="n"/>
      <c r="U147" s="285" t="n"/>
      <c r="V147" s="285" t="n"/>
      <c r="W147" s="285" t="n"/>
      <c r="X147" s="285" t="n"/>
      <c r="Y147" s="285" t="n"/>
      <c r="Z147" s="285" t="n"/>
      <c r="AA147" s="285" t="n"/>
    </row>
    <row r="148" ht="15.75" customHeight="1" s="398">
      <c r="A148" s="317" t="n"/>
      <c r="B148" s="317" t="n"/>
      <c r="C148" s="315" t="n"/>
      <c r="D148" s="315" t="n"/>
      <c r="E148" s="288" t="n"/>
      <c r="F148" s="334" t="n"/>
      <c r="G148" s="391" t="n"/>
      <c r="H148" s="284" t="n"/>
      <c r="I148" s="288" t="n"/>
      <c r="J148" s="288" t="n"/>
      <c r="K148" s="288" t="n"/>
      <c r="L148" s="288" t="n"/>
      <c r="M148" s="288" t="n"/>
      <c r="N148" s="288" t="n"/>
      <c r="O148" s="288" t="n"/>
      <c r="P148" s="288" t="n"/>
      <c r="Q148" s="288" t="n"/>
      <c r="R148" s="288" t="n"/>
      <c r="S148" s="284" t="n"/>
      <c r="T148" s="284" t="n"/>
      <c r="U148" s="285" t="n"/>
      <c r="V148" s="285" t="n"/>
      <c r="W148" s="285" t="n"/>
      <c r="X148" s="285" t="n"/>
      <c r="Y148" s="285" t="n"/>
      <c r="Z148" s="285" t="n"/>
      <c r="AA148" s="285" t="n"/>
    </row>
    <row r="149" ht="15.75" customHeight="1" s="398">
      <c r="A149" s="317" t="n"/>
      <c r="B149" s="317" t="n"/>
      <c r="C149" s="315" t="n"/>
      <c r="D149" s="315" t="n"/>
      <c r="E149" s="288" t="n"/>
      <c r="F149" s="334" t="n"/>
      <c r="G149" s="391" t="n"/>
      <c r="H149" s="284" t="n"/>
      <c r="I149" s="288" t="n"/>
      <c r="J149" s="288" t="n"/>
      <c r="K149" s="288" t="n"/>
      <c r="L149" s="288" t="n"/>
      <c r="M149" s="288" t="n"/>
      <c r="N149" s="288" t="n"/>
      <c r="O149" s="288" t="n"/>
      <c r="P149" s="288" t="n"/>
      <c r="Q149" s="288" t="n"/>
      <c r="R149" s="288" t="n"/>
      <c r="S149" s="284" t="n"/>
      <c r="T149" s="284" t="n"/>
      <c r="U149" s="285" t="n"/>
      <c r="V149" s="285" t="n"/>
      <c r="W149" s="285" t="n"/>
      <c r="X149" s="285" t="n"/>
      <c r="Y149" s="285" t="n"/>
      <c r="Z149" s="285" t="n"/>
      <c r="AA149" s="285" t="n"/>
    </row>
    <row r="150" ht="15.75" customHeight="1" s="398">
      <c r="A150" s="317" t="n"/>
      <c r="B150" s="317" t="n"/>
      <c r="C150" s="315" t="n"/>
      <c r="D150" s="315" t="n"/>
      <c r="E150" s="288" t="n"/>
      <c r="F150" s="334" t="n"/>
      <c r="G150" s="391" t="n"/>
      <c r="H150" s="284" t="n"/>
      <c r="I150" s="288" t="n"/>
      <c r="J150" s="288" t="n"/>
      <c r="K150" s="288" t="n"/>
      <c r="L150" s="288" t="n"/>
      <c r="M150" s="288" t="n"/>
      <c r="N150" s="288" t="n"/>
      <c r="O150" s="288" t="n"/>
      <c r="P150" s="288" t="n"/>
      <c r="Q150" s="288" t="n"/>
      <c r="R150" s="288" t="n"/>
      <c r="S150" s="284" t="n"/>
      <c r="T150" s="284" t="n"/>
      <c r="U150" s="285" t="n"/>
      <c r="V150" s="285" t="n"/>
      <c r="W150" s="285" t="n"/>
      <c r="X150" s="285" t="n"/>
      <c r="Y150" s="285" t="n"/>
      <c r="Z150" s="285" t="n"/>
      <c r="AA150" s="285" t="n"/>
    </row>
    <row r="151" ht="15.75" customHeight="1" s="398">
      <c r="A151" s="317" t="n"/>
      <c r="B151" s="317" t="n"/>
      <c r="C151" s="315" t="n"/>
      <c r="D151" s="315" t="n"/>
      <c r="E151" s="288" t="n"/>
      <c r="F151" s="334" t="n"/>
      <c r="G151" s="391" t="n"/>
      <c r="H151" s="284" t="n"/>
      <c r="I151" s="288" t="n"/>
      <c r="J151" s="288" t="n"/>
      <c r="K151" s="288" t="n"/>
      <c r="L151" s="288" t="n"/>
      <c r="M151" s="288" t="n"/>
      <c r="N151" s="288" t="n"/>
      <c r="O151" s="288" t="n"/>
      <c r="P151" s="288" t="n"/>
      <c r="Q151" s="288" t="n"/>
      <c r="R151" s="288" t="n"/>
      <c r="S151" s="284" t="n"/>
      <c r="T151" s="284" t="n"/>
      <c r="U151" s="285" t="n"/>
      <c r="V151" s="285" t="n"/>
      <c r="W151" s="285" t="n"/>
      <c r="X151" s="285" t="n"/>
      <c r="Y151" s="285" t="n"/>
      <c r="Z151" s="285" t="n"/>
      <c r="AA151" s="285" t="n"/>
    </row>
    <row r="152" ht="15.75" customHeight="1" s="398">
      <c r="A152" s="317" t="n"/>
      <c r="B152" s="317" t="n"/>
      <c r="C152" s="315" t="n"/>
      <c r="D152" s="315" t="n"/>
      <c r="E152" s="288" t="n"/>
      <c r="F152" s="334" t="n"/>
      <c r="G152" s="391" t="n"/>
      <c r="H152" s="284" t="n"/>
      <c r="I152" s="288" t="n"/>
      <c r="J152" s="288" t="n"/>
      <c r="K152" s="288" t="n"/>
      <c r="L152" s="288" t="n"/>
      <c r="M152" s="288" t="n"/>
      <c r="N152" s="288" t="n"/>
      <c r="O152" s="288" t="n"/>
      <c r="P152" s="288" t="n"/>
      <c r="Q152" s="288" t="n"/>
      <c r="R152" s="288" t="n"/>
      <c r="S152" s="284" t="n"/>
      <c r="T152" s="284" t="n"/>
      <c r="U152" s="285" t="n"/>
      <c r="V152" s="285" t="n"/>
      <c r="W152" s="285" t="n"/>
      <c r="X152" s="285" t="n"/>
      <c r="Y152" s="285" t="n"/>
      <c r="Z152" s="285" t="n"/>
      <c r="AA152" s="285" t="n"/>
    </row>
    <row r="153" ht="15.75" customHeight="1" s="398">
      <c r="A153" s="317" t="n"/>
      <c r="B153" s="317" t="n"/>
      <c r="C153" s="315" t="n"/>
      <c r="D153" s="315" t="n"/>
      <c r="E153" s="288" t="n"/>
      <c r="F153" s="334" t="n"/>
      <c r="G153" s="391" t="n"/>
      <c r="H153" s="284" t="n"/>
      <c r="I153" s="288" t="n"/>
      <c r="J153" s="288" t="n"/>
      <c r="K153" s="288" t="n"/>
      <c r="L153" s="288" t="n"/>
      <c r="M153" s="288" t="n"/>
      <c r="N153" s="288" t="n"/>
      <c r="O153" s="288" t="n"/>
      <c r="P153" s="288" t="n"/>
      <c r="Q153" s="288" t="n"/>
      <c r="R153" s="288" t="n"/>
      <c r="S153" s="284" t="n"/>
      <c r="T153" s="284" t="n"/>
      <c r="U153" s="285" t="n"/>
      <c r="V153" s="285" t="n"/>
      <c r="W153" s="285" t="n"/>
      <c r="X153" s="285" t="n"/>
      <c r="Y153" s="285" t="n"/>
      <c r="Z153" s="285" t="n"/>
      <c r="AA153" s="285" t="n"/>
    </row>
    <row r="154" ht="15.75" customHeight="1" s="398">
      <c r="A154" s="317" t="n"/>
      <c r="B154" s="317" t="n"/>
      <c r="C154" s="315" t="n"/>
      <c r="D154" s="315" t="n"/>
      <c r="E154" s="288" t="n"/>
      <c r="F154" s="334" t="n"/>
      <c r="G154" s="391" t="n"/>
      <c r="H154" s="284" t="n"/>
      <c r="I154" s="288" t="n"/>
      <c r="J154" s="288" t="n"/>
      <c r="K154" s="288" t="n"/>
      <c r="L154" s="288" t="n"/>
      <c r="M154" s="288" t="n"/>
      <c r="N154" s="288" t="n"/>
      <c r="O154" s="288" t="n"/>
      <c r="P154" s="288" t="n"/>
      <c r="Q154" s="288" t="n"/>
      <c r="R154" s="288" t="n"/>
      <c r="S154" s="284" t="n"/>
      <c r="T154" s="284" t="n"/>
      <c r="U154" s="285" t="n"/>
      <c r="V154" s="285" t="n"/>
      <c r="W154" s="285" t="n"/>
      <c r="X154" s="285" t="n"/>
      <c r="Y154" s="285" t="n"/>
      <c r="Z154" s="285" t="n"/>
      <c r="AA154" s="285" t="n"/>
    </row>
    <row r="155" ht="15.75" customHeight="1" s="398">
      <c r="A155" s="317" t="n"/>
      <c r="B155" s="317" t="n"/>
      <c r="C155" s="315" t="n"/>
      <c r="D155" s="315" t="n"/>
      <c r="E155" s="288" t="n"/>
      <c r="F155" s="334" t="n"/>
      <c r="G155" s="391" t="n"/>
      <c r="H155" s="284" t="n"/>
      <c r="I155" s="288" t="n"/>
      <c r="J155" s="288" t="n"/>
      <c r="K155" s="288" t="n"/>
      <c r="L155" s="288" t="n"/>
      <c r="M155" s="288" t="n"/>
      <c r="N155" s="288" t="n"/>
      <c r="O155" s="288" t="n"/>
      <c r="P155" s="288" t="n"/>
      <c r="Q155" s="288" t="n"/>
      <c r="R155" s="288" t="n"/>
      <c r="S155" s="284" t="n"/>
      <c r="T155" s="284" t="n"/>
      <c r="U155" s="285" t="n"/>
      <c r="V155" s="285" t="n"/>
      <c r="W155" s="285" t="n"/>
      <c r="X155" s="285" t="n"/>
      <c r="Y155" s="285" t="n"/>
      <c r="Z155" s="285" t="n"/>
      <c r="AA155" s="285" t="n"/>
    </row>
    <row r="156" ht="15.75" customHeight="1" s="398">
      <c r="A156" s="317" t="n"/>
      <c r="B156" s="317" t="n"/>
      <c r="C156" s="315" t="n"/>
      <c r="D156" s="315" t="n"/>
      <c r="E156" s="288" t="n"/>
      <c r="F156" s="334" t="n"/>
      <c r="G156" s="391" t="n"/>
      <c r="H156" s="284" t="n"/>
      <c r="I156" s="288" t="n"/>
      <c r="J156" s="288" t="n"/>
      <c r="K156" s="288" t="n"/>
      <c r="L156" s="288" t="n"/>
      <c r="M156" s="288" t="n"/>
      <c r="N156" s="288" t="n"/>
      <c r="O156" s="288" t="n"/>
      <c r="P156" s="288" t="n"/>
      <c r="Q156" s="288" t="n"/>
      <c r="R156" s="288" t="n"/>
      <c r="S156" s="284" t="n"/>
      <c r="T156" s="284" t="n"/>
      <c r="U156" s="285" t="n"/>
      <c r="V156" s="285" t="n"/>
      <c r="W156" s="285" t="n"/>
      <c r="X156" s="285" t="n"/>
      <c r="Y156" s="285" t="n"/>
      <c r="Z156" s="285" t="n"/>
      <c r="AA156" s="285" t="n"/>
    </row>
    <row r="157" ht="15.75" customHeight="1" s="398">
      <c r="A157" s="317" t="n"/>
      <c r="B157" s="317" t="n"/>
      <c r="C157" s="315" t="n"/>
      <c r="D157" s="315" t="n"/>
      <c r="E157" s="288" t="n"/>
      <c r="F157" s="334" t="n"/>
      <c r="G157" s="391" t="n"/>
      <c r="H157" s="284" t="n"/>
      <c r="I157" s="288" t="n"/>
      <c r="J157" s="288" t="n"/>
      <c r="K157" s="288" t="n"/>
      <c r="L157" s="288" t="n"/>
      <c r="M157" s="288" t="n"/>
      <c r="N157" s="288" t="n"/>
      <c r="O157" s="288" t="n"/>
      <c r="P157" s="288" t="n"/>
      <c r="Q157" s="288" t="n"/>
      <c r="R157" s="288" t="n"/>
      <c r="S157" s="284" t="n"/>
      <c r="T157" s="284" t="n"/>
      <c r="U157" s="285" t="n"/>
      <c r="V157" s="285" t="n"/>
      <c r="W157" s="285" t="n"/>
      <c r="X157" s="285" t="n"/>
      <c r="Y157" s="285" t="n"/>
      <c r="Z157" s="285" t="n"/>
      <c r="AA157" s="285" t="n"/>
    </row>
    <row r="158" ht="15.75" customHeight="1" s="398">
      <c r="A158" s="317" t="n"/>
      <c r="B158" s="317" t="n"/>
      <c r="C158" s="315" t="n"/>
      <c r="D158" s="315" t="n"/>
      <c r="E158" s="288" t="n"/>
      <c r="F158" s="334" t="n"/>
      <c r="G158" s="391" t="n"/>
      <c r="H158" s="284" t="n"/>
      <c r="I158" s="288" t="n"/>
      <c r="J158" s="288" t="n"/>
      <c r="K158" s="288" t="n"/>
      <c r="L158" s="288" t="n"/>
      <c r="M158" s="288" t="n"/>
      <c r="N158" s="288" t="n"/>
      <c r="O158" s="288" t="n"/>
      <c r="P158" s="288" t="n"/>
      <c r="Q158" s="288" t="n"/>
      <c r="R158" s="288" t="n"/>
      <c r="S158" s="284" t="n"/>
      <c r="T158" s="284" t="n"/>
      <c r="U158" s="285" t="n"/>
      <c r="V158" s="285" t="n"/>
      <c r="W158" s="285" t="n"/>
      <c r="X158" s="285" t="n"/>
      <c r="Y158" s="285" t="n"/>
      <c r="Z158" s="285" t="n"/>
      <c r="AA158" s="285" t="n"/>
    </row>
    <row r="159" ht="15.75" customHeight="1" s="398">
      <c r="A159" s="317" t="n"/>
      <c r="B159" s="317" t="n"/>
      <c r="C159" s="315" t="n"/>
      <c r="D159" s="315" t="n"/>
      <c r="E159" s="288" t="n"/>
      <c r="F159" s="334" t="n"/>
      <c r="G159" s="391" t="n"/>
      <c r="H159" s="284" t="n"/>
      <c r="I159" s="288" t="n"/>
      <c r="J159" s="288" t="n"/>
      <c r="K159" s="288" t="n"/>
      <c r="L159" s="288" t="n"/>
      <c r="M159" s="288" t="n"/>
      <c r="N159" s="288" t="n"/>
      <c r="O159" s="288" t="n"/>
      <c r="P159" s="288" t="n"/>
      <c r="Q159" s="288" t="n"/>
      <c r="R159" s="288" t="n"/>
      <c r="S159" s="284" t="n"/>
      <c r="T159" s="284" t="n"/>
      <c r="U159" s="285" t="n"/>
      <c r="V159" s="285" t="n"/>
      <c r="W159" s="285" t="n"/>
      <c r="X159" s="285" t="n"/>
      <c r="Y159" s="285" t="n"/>
      <c r="Z159" s="285" t="n"/>
      <c r="AA159" s="285" t="n"/>
    </row>
    <row r="160" ht="15.75" customHeight="1" s="398">
      <c r="A160" s="317" t="n"/>
      <c r="B160" s="317" t="n"/>
      <c r="C160" s="315" t="n"/>
      <c r="D160" s="315" t="n"/>
      <c r="E160" s="288" t="n"/>
      <c r="F160" s="334" t="n"/>
      <c r="G160" s="391" t="n"/>
      <c r="H160" s="284" t="n"/>
      <c r="I160" s="288" t="n"/>
      <c r="J160" s="288" t="n"/>
      <c r="K160" s="288" t="n"/>
      <c r="L160" s="288" t="n"/>
      <c r="M160" s="288" t="n"/>
      <c r="N160" s="288" t="n"/>
      <c r="O160" s="288" t="n"/>
      <c r="P160" s="288" t="n"/>
      <c r="Q160" s="288" t="n"/>
      <c r="R160" s="288" t="n"/>
      <c r="S160" s="284" t="n"/>
      <c r="T160" s="284" t="n"/>
      <c r="U160" s="285" t="n"/>
      <c r="V160" s="285" t="n"/>
      <c r="W160" s="285" t="n"/>
      <c r="X160" s="285" t="n"/>
      <c r="Y160" s="285" t="n"/>
      <c r="Z160" s="285" t="n"/>
      <c r="AA160" s="285" t="n"/>
    </row>
    <row r="161" ht="15.75" customHeight="1" s="398">
      <c r="A161" s="317" t="n"/>
      <c r="B161" s="317" t="n"/>
      <c r="C161" s="315" t="n"/>
      <c r="D161" s="315" t="n"/>
      <c r="E161" s="288" t="n"/>
      <c r="F161" s="334" t="n"/>
      <c r="G161" s="391" t="n"/>
      <c r="H161" s="284" t="n"/>
      <c r="I161" s="288" t="n"/>
      <c r="J161" s="288" t="n"/>
      <c r="K161" s="288" t="n"/>
      <c r="L161" s="288" t="n"/>
      <c r="M161" s="288" t="n"/>
      <c r="N161" s="288" t="n"/>
      <c r="O161" s="288" t="n"/>
      <c r="P161" s="288" t="n"/>
      <c r="Q161" s="288" t="n"/>
      <c r="R161" s="288" t="n"/>
      <c r="S161" s="284" t="n"/>
      <c r="T161" s="284" t="n"/>
      <c r="U161" s="285" t="n"/>
      <c r="V161" s="285" t="n"/>
      <c r="W161" s="285" t="n"/>
      <c r="X161" s="285" t="n"/>
      <c r="Y161" s="285" t="n"/>
      <c r="Z161" s="285" t="n"/>
      <c r="AA161" s="285" t="n"/>
    </row>
    <row r="162" ht="15.75" customHeight="1" s="398">
      <c r="A162" s="317" t="n"/>
      <c r="B162" s="317" t="n"/>
      <c r="C162" s="315" t="n"/>
      <c r="D162" s="315" t="n"/>
      <c r="E162" s="288" t="n"/>
      <c r="F162" s="334" t="n"/>
      <c r="G162" s="391" t="n"/>
      <c r="H162" s="284" t="n"/>
      <c r="I162" s="288" t="n"/>
      <c r="J162" s="288" t="n"/>
      <c r="K162" s="288" t="n"/>
      <c r="L162" s="288" t="n"/>
      <c r="M162" s="288" t="n"/>
      <c r="N162" s="288" t="n"/>
      <c r="O162" s="288" t="n"/>
      <c r="P162" s="288" t="n"/>
      <c r="Q162" s="288" t="n"/>
      <c r="R162" s="288" t="n"/>
      <c r="S162" s="284" t="n"/>
      <c r="T162" s="284" t="n"/>
      <c r="U162" s="285" t="n"/>
      <c r="V162" s="285" t="n"/>
      <c r="W162" s="285" t="n"/>
      <c r="X162" s="285" t="n"/>
      <c r="Y162" s="285" t="n"/>
      <c r="Z162" s="285" t="n"/>
      <c r="AA162" s="285" t="n"/>
    </row>
    <row r="163" ht="15.75" customHeight="1" s="398">
      <c r="A163" s="317" t="n"/>
      <c r="B163" s="317" t="n"/>
      <c r="C163" s="315" t="n"/>
      <c r="D163" s="315" t="n"/>
      <c r="E163" s="288" t="n"/>
      <c r="F163" s="334" t="n"/>
      <c r="G163" s="391" t="n"/>
      <c r="H163" s="284" t="n"/>
      <c r="I163" s="288" t="n"/>
      <c r="J163" s="288" t="n"/>
      <c r="K163" s="288" t="n"/>
      <c r="L163" s="288" t="n"/>
      <c r="M163" s="288" t="n"/>
      <c r="N163" s="288" t="n"/>
      <c r="O163" s="288" t="n"/>
      <c r="P163" s="288" t="n"/>
      <c r="Q163" s="288" t="n"/>
      <c r="R163" s="288" t="n"/>
      <c r="S163" s="284" t="n"/>
      <c r="T163" s="284" t="n"/>
      <c r="U163" s="285" t="n"/>
      <c r="V163" s="285" t="n"/>
      <c r="W163" s="285" t="n"/>
      <c r="X163" s="285" t="n"/>
      <c r="Y163" s="285" t="n"/>
      <c r="Z163" s="285" t="n"/>
      <c r="AA163" s="285" t="n"/>
    </row>
    <row r="164" ht="15.75" customHeight="1" s="398">
      <c r="A164" s="317" t="n"/>
      <c r="B164" s="317" t="n"/>
      <c r="C164" s="315" t="n"/>
      <c r="D164" s="315" t="n"/>
      <c r="E164" s="288" t="n"/>
      <c r="F164" s="334" t="n"/>
      <c r="G164" s="391" t="n"/>
      <c r="H164" s="284" t="n"/>
      <c r="I164" s="288" t="n"/>
      <c r="J164" s="288" t="n"/>
      <c r="K164" s="288" t="n"/>
      <c r="L164" s="288" t="n"/>
      <c r="M164" s="288" t="n"/>
      <c r="N164" s="288" t="n"/>
      <c r="O164" s="288" t="n"/>
      <c r="P164" s="288" t="n"/>
      <c r="Q164" s="288" t="n"/>
      <c r="R164" s="288" t="n"/>
      <c r="S164" s="284" t="n"/>
      <c r="T164" s="284" t="n"/>
      <c r="U164" s="285" t="n"/>
      <c r="V164" s="285" t="n"/>
      <c r="W164" s="285" t="n"/>
      <c r="X164" s="285" t="n"/>
      <c r="Y164" s="285" t="n"/>
      <c r="Z164" s="285" t="n"/>
      <c r="AA164" s="285" t="n"/>
    </row>
    <row r="165" ht="15.75" customHeight="1" s="398">
      <c r="A165" s="317" t="n"/>
      <c r="B165" s="317" t="n"/>
      <c r="C165" s="315" t="n"/>
      <c r="D165" s="315" t="n"/>
      <c r="E165" s="288" t="n"/>
      <c r="F165" s="334" t="n"/>
      <c r="G165" s="391" t="n"/>
      <c r="H165" s="284" t="n"/>
      <c r="I165" s="288" t="n"/>
      <c r="J165" s="288" t="n"/>
      <c r="K165" s="288" t="n"/>
      <c r="L165" s="288" t="n"/>
      <c r="M165" s="288" t="n"/>
      <c r="N165" s="288" t="n"/>
      <c r="O165" s="288" t="n"/>
      <c r="P165" s="288" t="n"/>
      <c r="Q165" s="288" t="n"/>
      <c r="R165" s="288" t="n"/>
      <c r="S165" s="284" t="n"/>
      <c r="T165" s="284" t="n"/>
      <c r="U165" s="285" t="n"/>
      <c r="V165" s="285" t="n"/>
      <c r="W165" s="285" t="n"/>
      <c r="X165" s="285" t="n"/>
      <c r="Y165" s="285" t="n"/>
      <c r="Z165" s="285" t="n"/>
      <c r="AA165" s="285" t="n"/>
    </row>
    <row r="166" ht="15.75" customHeight="1" s="398">
      <c r="A166" s="317" t="n"/>
      <c r="B166" s="317" t="n"/>
      <c r="C166" s="315" t="n"/>
      <c r="D166" s="315" t="n"/>
      <c r="E166" s="288" t="n"/>
      <c r="F166" s="334" t="n"/>
      <c r="G166" s="391" t="n"/>
      <c r="H166" s="284" t="n"/>
      <c r="I166" s="288" t="n"/>
      <c r="J166" s="288" t="n"/>
      <c r="K166" s="288" t="n"/>
      <c r="L166" s="288" t="n"/>
      <c r="M166" s="288" t="n"/>
      <c r="N166" s="288" t="n"/>
      <c r="O166" s="288" t="n"/>
      <c r="P166" s="288" t="n"/>
      <c r="Q166" s="288" t="n"/>
      <c r="R166" s="288" t="n"/>
      <c r="S166" s="284" t="n"/>
      <c r="T166" s="284" t="n"/>
      <c r="U166" s="285" t="n"/>
      <c r="V166" s="285" t="n"/>
      <c r="W166" s="285" t="n"/>
      <c r="X166" s="285" t="n"/>
      <c r="Y166" s="285" t="n"/>
      <c r="Z166" s="285" t="n"/>
      <c r="AA166" s="285" t="n"/>
    </row>
    <row r="167" ht="15.75" customHeight="1" s="398">
      <c r="A167" s="317" t="n"/>
      <c r="B167" s="317" t="n"/>
      <c r="C167" s="315" t="n"/>
      <c r="D167" s="315" t="n"/>
      <c r="E167" s="288" t="n"/>
      <c r="F167" s="334" t="n"/>
      <c r="G167" s="391" t="n"/>
      <c r="H167" s="284" t="n"/>
      <c r="I167" s="288" t="n"/>
      <c r="J167" s="288" t="n"/>
      <c r="K167" s="288" t="n"/>
      <c r="L167" s="288" t="n"/>
      <c r="M167" s="288" t="n"/>
      <c r="N167" s="288" t="n"/>
      <c r="O167" s="288" t="n"/>
      <c r="P167" s="288" t="n"/>
      <c r="Q167" s="288" t="n"/>
      <c r="R167" s="288" t="n"/>
      <c r="S167" s="284" t="n"/>
      <c r="T167" s="284" t="n"/>
      <c r="U167" s="285" t="n"/>
      <c r="V167" s="285" t="n"/>
      <c r="W167" s="285" t="n"/>
      <c r="X167" s="285" t="n"/>
      <c r="Y167" s="285" t="n"/>
      <c r="Z167" s="285" t="n"/>
      <c r="AA167" s="285" t="n"/>
    </row>
    <row r="168" ht="15.75" customHeight="1" s="398">
      <c r="A168" s="317" t="n"/>
      <c r="B168" s="317" t="n"/>
      <c r="C168" s="315" t="n"/>
      <c r="D168" s="315" t="n"/>
      <c r="E168" s="288" t="n"/>
      <c r="F168" s="334" t="n"/>
      <c r="G168" s="391" t="n"/>
      <c r="H168" s="284" t="n"/>
      <c r="I168" s="288" t="n"/>
      <c r="J168" s="288" t="n"/>
      <c r="K168" s="288" t="n"/>
      <c r="L168" s="288" t="n"/>
      <c r="M168" s="288" t="n"/>
      <c r="N168" s="288" t="n"/>
      <c r="O168" s="288" t="n"/>
      <c r="P168" s="288" t="n"/>
      <c r="Q168" s="288" t="n"/>
      <c r="R168" s="288" t="n"/>
      <c r="S168" s="284" t="n"/>
      <c r="T168" s="284" t="n"/>
      <c r="U168" s="285" t="n"/>
      <c r="V168" s="285" t="n"/>
      <c r="W168" s="285" t="n"/>
      <c r="X168" s="285" t="n"/>
      <c r="Y168" s="285" t="n"/>
      <c r="Z168" s="285" t="n"/>
      <c r="AA168" s="285" t="n"/>
    </row>
    <row r="169" ht="15.75" customHeight="1" s="398">
      <c r="A169" s="317" t="n"/>
      <c r="B169" s="317" t="n"/>
      <c r="C169" s="315" t="n"/>
      <c r="D169" s="315" t="n"/>
      <c r="E169" s="288" t="n"/>
      <c r="F169" s="334" t="n"/>
      <c r="G169" s="391" t="n"/>
      <c r="H169" s="284" t="n"/>
      <c r="I169" s="288" t="n"/>
      <c r="J169" s="288" t="n"/>
      <c r="K169" s="288" t="n"/>
      <c r="L169" s="288" t="n"/>
      <c r="M169" s="288" t="n"/>
      <c r="N169" s="288" t="n"/>
      <c r="O169" s="288" t="n"/>
      <c r="P169" s="288" t="n"/>
      <c r="Q169" s="288" t="n"/>
      <c r="R169" s="288" t="n"/>
      <c r="S169" s="284" t="n"/>
      <c r="T169" s="284" t="n"/>
      <c r="U169" s="285" t="n"/>
      <c r="V169" s="285" t="n"/>
      <c r="W169" s="285" t="n"/>
      <c r="X169" s="285" t="n"/>
      <c r="Y169" s="285" t="n"/>
      <c r="Z169" s="285" t="n"/>
      <c r="AA169" s="285" t="n"/>
    </row>
    <row r="170" ht="15.75" customHeight="1" s="398">
      <c r="A170" s="317" t="n"/>
      <c r="B170" s="317" t="n"/>
      <c r="C170" s="315" t="n"/>
      <c r="D170" s="315" t="n"/>
      <c r="E170" s="288" t="n"/>
      <c r="F170" s="334" t="n"/>
      <c r="G170" s="391" t="n"/>
      <c r="H170" s="284" t="n"/>
      <c r="I170" s="288" t="n"/>
      <c r="J170" s="288" t="n"/>
      <c r="K170" s="288" t="n"/>
      <c r="L170" s="288" t="n"/>
      <c r="M170" s="288" t="n"/>
      <c r="N170" s="288" t="n"/>
      <c r="O170" s="288" t="n"/>
      <c r="P170" s="288" t="n"/>
      <c r="Q170" s="288" t="n"/>
      <c r="R170" s="288" t="n"/>
      <c r="S170" s="284" t="n"/>
      <c r="T170" s="284" t="n"/>
      <c r="U170" s="285" t="n"/>
      <c r="V170" s="285" t="n"/>
      <c r="W170" s="285" t="n"/>
      <c r="X170" s="285" t="n"/>
      <c r="Y170" s="285" t="n"/>
      <c r="Z170" s="285" t="n"/>
      <c r="AA170" s="285" t="n"/>
    </row>
    <row r="171" ht="15.75" customHeight="1" s="398">
      <c r="A171" s="317" t="n"/>
      <c r="B171" s="317" t="n"/>
      <c r="C171" s="315" t="n"/>
      <c r="D171" s="315" t="n"/>
      <c r="E171" s="288" t="n"/>
      <c r="F171" s="334" t="n"/>
      <c r="G171" s="391" t="n"/>
      <c r="H171" s="284" t="n"/>
      <c r="I171" s="288" t="n"/>
      <c r="J171" s="288" t="n"/>
      <c r="K171" s="288" t="n"/>
      <c r="L171" s="288" t="n"/>
      <c r="M171" s="288" t="n"/>
      <c r="N171" s="288" t="n"/>
      <c r="O171" s="288" t="n"/>
      <c r="P171" s="288" t="n"/>
      <c r="Q171" s="288" t="n"/>
      <c r="R171" s="288" t="n"/>
      <c r="S171" s="284" t="n"/>
      <c r="T171" s="284" t="n"/>
      <c r="U171" s="285" t="n"/>
      <c r="V171" s="285" t="n"/>
      <c r="W171" s="285" t="n"/>
      <c r="X171" s="285" t="n"/>
      <c r="Y171" s="285" t="n"/>
      <c r="Z171" s="285" t="n"/>
      <c r="AA171" s="285" t="n"/>
    </row>
    <row r="172" ht="15.75" customHeight="1" s="398">
      <c r="A172" s="317" t="n"/>
      <c r="B172" s="317" t="n"/>
      <c r="C172" s="315" t="n"/>
      <c r="D172" s="315" t="n"/>
      <c r="E172" s="288" t="n"/>
      <c r="F172" s="334" t="n"/>
      <c r="G172" s="391" t="n"/>
      <c r="H172" s="284" t="n"/>
      <c r="I172" s="288" t="n"/>
      <c r="J172" s="288" t="n"/>
      <c r="K172" s="288" t="n"/>
      <c r="L172" s="288" t="n"/>
      <c r="M172" s="288" t="n"/>
      <c r="N172" s="288" t="n"/>
      <c r="O172" s="288" t="n"/>
      <c r="P172" s="288" t="n"/>
      <c r="Q172" s="288" t="n"/>
      <c r="R172" s="288" t="n"/>
      <c r="S172" s="284" t="n"/>
      <c r="T172" s="284" t="n"/>
      <c r="U172" s="285" t="n"/>
      <c r="V172" s="285" t="n"/>
      <c r="W172" s="285" t="n"/>
      <c r="X172" s="285" t="n"/>
      <c r="Y172" s="285" t="n"/>
      <c r="Z172" s="285" t="n"/>
      <c r="AA172" s="285" t="n"/>
    </row>
    <row r="173" ht="15.75" customHeight="1" s="398">
      <c r="A173" s="317" t="n"/>
      <c r="B173" s="317" t="n"/>
      <c r="C173" s="315" t="n"/>
      <c r="D173" s="315" t="n"/>
      <c r="E173" s="288" t="n"/>
      <c r="F173" s="334" t="n"/>
      <c r="G173" s="391" t="n"/>
      <c r="H173" s="284" t="n"/>
      <c r="I173" s="288" t="n"/>
      <c r="J173" s="288" t="n"/>
      <c r="K173" s="288" t="n"/>
      <c r="L173" s="288" t="n"/>
      <c r="M173" s="288" t="n"/>
      <c r="N173" s="288" t="n"/>
      <c r="O173" s="288" t="n"/>
      <c r="P173" s="288" t="n"/>
      <c r="Q173" s="288" t="n"/>
      <c r="R173" s="288" t="n"/>
      <c r="S173" s="284" t="n"/>
      <c r="T173" s="284" t="n"/>
      <c r="U173" s="285" t="n"/>
      <c r="V173" s="285" t="n"/>
      <c r="W173" s="285" t="n"/>
      <c r="X173" s="285" t="n"/>
      <c r="Y173" s="285" t="n"/>
      <c r="Z173" s="285" t="n"/>
      <c r="AA173" s="285" t="n"/>
    </row>
    <row r="174" ht="15.75" customHeight="1" s="398">
      <c r="A174" s="317" t="n"/>
      <c r="B174" s="317" t="n"/>
      <c r="C174" s="315" t="n"/>
      <c r="D174" s="315" t="n"/>
      <c r="E174" s="288" t="n"/>
      <c r="F174" s="334" t="n"/>
      <c r="G174" s="391" t="n"/>
      <c r="H174" s="284" t="n"/>
      <c r="I174" s="288" t="n"/>
      <c r="J174" s="288" t="n"/>
      <c r="K174" s="288" t="n"/>
      <c r="L174" s="288" t="n"/>
      <c r="M174" s="288" t="n"/>
      <c r="N174" s="288" t="n"/>
      <c r="O174" s="288" t="n"/>
      <c r="P174" s="288" t="n"/>
      <c r="Q174" s="288" t="n"/>
      <c r="R174" s="288" t="n"/>
      <c r="S174" s="284" t="n"/>
      <c r="T174" s="284" t="n"/>
      <c r="U174" s="285" t="n"/>
      <c r="V174" s="285" t="n"/>
      <c r="W174" s="285" t="n"/>
      <c r="X174" s="285" t="n"/>
      <c r="Y174" s="285" t="n"/>
      <c r="Z174" s="285" t="n"/>
      <c r="AA174" s="285" t="n"/>
    </row>
    <row r="175" ht="15.75" customHeight="1" s="398">
      <c r="A175" s="317" t="n"/>
      <c r="B175" s="317" t="n"/>
      <c r="C175" s="315" t="n"/>
      <c r="D175" s="315" t="n"/>
      <c r="E175" s="288" t="n"/>
      <c r="F175" s="334" t="n"/>
      <c r="G175" s="391" t="n"/>
      <c r="H175" s="284" t="n"/>
      <c r="I175" s="288" t="n"/>
      <c r="J175" s="288" t="n"/>
      <c r="K175" s="288" t="n"/>
      <c r="L175" s="288" t="n"/>
      <c r="M175" s="288" t="n"/>
      <c r="N175" s="288" t="n"/>
      <c r="O175" s="288" t="n"/>
      <c r="P175" s="288" t="n"/>
      <c r="Q175" s="288" t="n"/>
      <c r="R175" s="288" t="n"/>
      <c r="S175" s="284" t="n"/>
      <c r="T175" s="284" t="n"/>
      <c r="U175" s="285" t="n"/>
      <c r="V175" s="285" t="n"/>
      <c r="W175" s="285" t="n"/>
      <c r="X175" s="285" t="n"/>
      <c r="Y175" s="285" t="n"/>
      <c r="Z175" s="285" t="n"/>
      <c r="AA175" s="285" t="n"/>
    </row>
    <row r="176" ht="15.75" customHeight="1" s="398">
      <c r="A176" s="317" t="n"/>
      <c r="B176" s="317" t="n"/>
      <c r="C176" s="315" t="n"/>
      <c r="D176" s="315" t="n"/>
      <c r="E176" s="288" t="n"/>
      <c r="F176" s="334" t="n"/>
      <c r="G176" s="391" t="n"/>
      <c r="H176" s="284" t="n"/>
      <c r="I176" s="288" t="n"/>
      <c r="J176" s="288" t="n"/>
      <c r="K176" s="288" t="n"/>
      <c r="L176" s="288" t="n"/>
      <c r="M176" s="288" t="n"/>
      <c r="N176" s="288" t="n"/>
      <c r="O176" s="288" t="n"/>
      <c r="P176" s="288" t="n"/>
      <c r="Q176" s="288" t="n"/>
      <c r="R176" s="288" t="n"/>
      <c r="S176" s="284" t="n"/>
      <c r="T176" s="284" t="n"/>
      <c r="U176" s="285" t="n"/>
      <c r="V176" s="285" t="n"/>
      <c r="W176" s="285" t="n"/>
      <c r="X176" s="285" t="n"/>
      <c r="Y176" s="285" t="n"/>
      <c r="Z176" s="285" t="n"/>
      <c r="AA176" s="285" t="n"/>
    </row>
    <row r="177" ht="15.75" customHeight="1" s="398">
      <c r="A177" s="317" t="n"/>
      <c r="B177" s="317" t="n"/>
      <c r="C177" s="315" t="n"/>
      <c r="D177" s="315" t="n"/>
      <c r="E177" s="288" t="n"/>
      <c r="F177" s="334" t="n"/>
      <c r="G177" s="391" t="n"/>
      <c r="H177" s="284" t="n"/>
      <c r="I177" s="288" t="n"/>
      <c r="J177" s="288" t="n"/>
      <c r="K177" s="288" t="n"/>
      <c r="L177" s="288" t="n"/>
      <c r="M177" s="288" t="n"/>
      <c r="N177" s="288" t="n"/>
      <c r="O177" s="288" t="n"/>
      <c r="P177" s="288" t="n"/>
      <c r="Q177" s="288" t="n"/>
      <c r="R177" s="288" t="n"/>
      <c r="S177" s="284" t="n"/>
      <c r="T177" s="284" t="n"/>
      <c r="U177" s="285" t="n"/>
      <c r="V177" s="285" t="n"/>
      <c r="W177" s="285" t="n"/>
      <c r="X177" s="285" t="n"/>
      <c r="Y177" s="285" t="n"/>
      <c r="Z177" s="285" t="n"/>
      <c r="AA177" s="285" t="n"/>
    </row>
    <row r="178" ht="15.75" customHeight="1" s="398">
      <c r="A178" s="317" t="n"/>
      <c r="B178" s="317" t="n"/>
      <c r="C178" s="315" t="n"/>
      <c r="D178" s="315" t="n"/>
      <c r="E178" s="288" t="n"/>
      <c r="F178" s="334" t="n"/>
      <c r="G178" s="391" t="n"/>
      <c r="H178" s="284" t="n"/>
      <c r="I178" s="288" t="n"/>
      <c r="J178" s="288" t="n"/>
      <c r="K178" s="288" t="n"/>
      <c r="L178" s="288" t="n"/>
      <c r="M178" s="288" t="n"/>
      <c r="N178" s="288" t="n"/>
      <c r="O178" s="288" t="n"/>
      <c r="P178" s="288" t="n"/>
      <c r="Q178" s="288" t="n"/>
      <c r="R178" s="288" t="n"/>
      <c r="S178" s="284" t="n"/>
      <c r="T178" s="284" t="n"/>
      <c r="U178" s="285" t="n"/>
      <c r="V178" s="285" t="n"/>
      <c r="W178" s="285" t="n"/>
      <c r="X178" s="285" t="n"/>
      <c r="Y178" s="285" t="n"/>
      <c r="Z178" s="285" t="n"/>
      <c r="AA178" s="285" t="n"/>
    </row>
    <row r="179" ht="15.75" customHeight="1" s="398">
      <c r="A179" s="317" t="n"/>
      <c r="B179" s="317" t="n"/>
      <c r="C179" s="315" t="n"/>
      <c r="D179" s="315" t="n"/>
      <c r="E179" s="288" t="n"/>
      <c r="F179" s="334" t="n"/>
      <c r="G179" s="391" t="n"/>
      <c r="H179" s="284" t="n"/>
      <c r="I179" s="288" t="n"/>
      <c r="J179" s="288" t="n"/>
      <c r="K179" s="288" t="n"/>
      <c r="L179" s="288" t="n"/>
      <c r="M179" s="288" t="n"/>
      <c r="N179" s="288" t="n"/>
      <c r="O179" s="288" t="n"/>
      <c r="P179" s="288" t="n"/>
      <c r="Q179" s="288" t="n"/>
      <c r="R179" s="288" t="n"/>
      <c r="S179" s="284" t="n"/>
      <c r="T179" s="284" t="n"/>
      <c r="U179" s="285" t="n"/>
      <c r="V179" s="285" t="n"/>
      <c r="W179" s="285" t="n"/>
      <c r="X179" s="285" t="n"/>
      <c r="Y179" s="285" t="n"/>
      <c r="Z179" s="285" t="n"/>
      <c r="AA179" s="285" t="n"/>
    </row>
    <row r="180" ht="15.75" customHeight="1" s="398">
      <c r="A180" s="317" t="n"/>
      <c r="B180" s="317" t="n"/>
      <c r="C180" s="315" t="n"/>
      <c r="D180" s="315" t="n"/>
      <c r="E180" s="288" t="n"/>
      <c r="F180" s="334" t="n"/>
      <c r="G180" s="391" t="n"/>
      <c r="H180" s="284" t="n"/>
      <c r="I180" s="288" t="n"/>
      <c r="J180" s="288" t="n"/>
      <c r="K180" s="288" t="n"/>
      <c r="L180" s="288" t="n"/>
      <c r="M180" s="288" t="n"/>
      <c r="N180" s="288" t="n"/>
      <c r="O180" s="288" t="n"/>
      <c r="P180" s="288" t="n"/>
      <c r="Q180" s="288" t="n"/>
      <c r="R180" s="288" t="n"/>
      <c r="S180" s="284" t="n"/>
      <c r="T180" s="284" t="n"/>
      <c r="U180" s="285" t="n"/>
      <c r="V180" s="285" t="n"/>
      <c r="W180" s="285" t="n"/>
      <c r="X180" s="285" t="n"/>
      <c r="Y180" s="285" t="n"/>
      <c r="Z180" s="285" t="n"/>
      <c r="AA180" s="285" t="n"/>
    </row>
    <row r="181" ht="15.75" customHeight="1" s="398">
      <c r="A181" s="317" t="n"/>
      <c r="B181" s="317" t="n"/>
      <c r="C181" s="315" t="n"/>
      <c r="D181" s="315" t="n"/>
      <c r="E181" s="288" t="n"/>
      <c r="F181" s="334" t="n"/>
      <c r="G181" s="391" t="n"/>
      <c r="H181" s="284" t="n"/>
      <c r="I181" s="288" t="n"/>
      <c r="J181" s="288" t="n"/>
      <c r="K181" s="288" t="n"/>
      <c r="L181" s="288" t="n"/>
      <c r="M181" s="288" t="n"/>
      <c r="N181" s="288" t="n"/>
      <c r="O181" s="288" t="n"/>
      <c r="P181" s="288" t="n"/>
      <c r="Q181" s="288" t="n"/>
      <c r="R181" s="288" t="n"/>
      <c r="S181" s="284" t="n"/>
      <c r="T181" s="284" t="n"/>
      <c r="U181" s="285" t="n"/>
      <c r="V181" s="285" t="n"/>
      <c r="W181" s="285" t="n"/>
      <c r="X181" s="285" t="n"/>
      <c r="Y181" s="285" t="n"/>
      <c r="Z181" s="285" t="n"/>
      <c r="AA181" s="285" t="n"/>
    </row>
    <row r="182" ht="15.75" customHeight="1" s="398">
      <c r="A182" s="317" t="n"/>
      <c r="B182" s="317" t="n"/>
      <c r="C182" s="315" t="n"/>
      <c r="D182" s="315" t="n"/>
      <c r="E182" s="288" t="n"/>
      <c r="F182" s="334" t="n"/>
      <c r="G182" s="391" t="n"/>
      <c r="H182" s="284" t="n"/>
      <c r="I182" s="288" t="n"/>
      <c r="J182" s="288" t="n"/>
      <c r="K182" s="288" t="n"/>
      <c r="L182" s="288" t="n"/>
      <c r="M182" s="288" t="n"/>
      <c r="N182" s="288" t="n"/>
      <c r="O182" s="288" t="n"/>
      <c r="P182" s="288" t="n"/>
      <c r="Q182" s="288" t="n"/>
      <c r="R182" s="288" t="n"/>
      <c r="S182" s="284" t="n"/>
      <c r="T182" s="284" t="n"/>
      <c r="U182" s="285" t="n"/>
      <c r="V182" s="285" t="n"/>
      <c r="W182" s="285" t="n"/>
      <c r="X182" s="285" t="n"/>
      <c r="Y182" s="285" t="n"/>
      <c r="Z182" s="285" t="n"/>
      <c r="AA182" s="285" t="n"/>
    </row>
    <row r="183" ht="15.75" customHeight="1" s="398">
      <c r="A183" s="317" t="n"/>
      <c r="B183" s="317" t="n"/>
      <c r="C183" s="315" t="n"/>
      <c r="D183" s="315" t="n"/>
      <c r="E183" s="288" t="n"/>
      <c r="F183" s="334" t="n"/>
      <c r="G183" s="391" t="n"/>
      <c r="H183" s="284" t="n"/>
      <c r="I183" s="288" t="n"/>
      <c r="J183" s="288" t="n"/>
      <c r="K183" s="288" t="n"/>
      <c r="L183" s="288" t="n"/>
      <c r="M183" s="288" t="n"/>
      <c r="N183" s="288" t="n"/>
      <c r="O183" s="288" t="n"/>
      <c r="P183" s="288" t="n"/>
      <c r="Q183" s="288" t="n"/>
      <c r="R183" s="288" t="n"/>
      <c r="S183" s="284" t="n"/>
      <c r="T183" s="284" t="n"/>
      <c r="U183" s="285" t="n"/>
      <c r="V183" s="285" t="n"/>
      <c r="W183" s="285" t="n"/>
      <c r="X183" s="285" t="n"/>
      <c r="Y183" s="285" t="n"/>
      <c r="Z183" s="285" t="n"/>
      <c r="AA183" s="285" t="n"/>
    </row>
    <row r="184" ht="15.75" customHeight="1" s="398">
      <c r="A184" s="317" t="n"/>
      <c r="B184" s="317" t="n"/>
      <c r="C184" s="315" t="n"/>
      <c r="D184" s="315" t="n"/>
      <c r="E184" s="288" t="n"/>
      <c r="F184" s="334" t="n"/>
      <c r="G184" s="391" t="n"/>
      <c r="H184" s="284" t="n"/>
      <c r="I184" s="288" t="n"/>
      <c r="J184" s="288" t="n"/>
      <c r="K184" s="288" t="n"/>
      <c r="L184" s="288" t="n"/>
      <c r="M184" s="288" t="n"/>
      <c r="N184" s="288" t="n"/>
      <c r="O184" s="288" t="n"/>
      <c r="P184" s="288" t="n"/>
      <c r="Q184" s="288" t="n"/>
      <c r="R184" s="288" t="n"/>
      <c r="S184" s="284" t="n"/>
      <c r="T184" s="284" t="n"/>
      <c r="U184" s="285" t="n"/>
      <c r="V184" s="285" t="n"/>
      <c r="W184" s="285" t="n"/>
      <c r="X184" s="285" t="n"/>
      <c r="Y184" s="285" t="n"/>
      <c r="Z184" s="285" t="n"/>
      <c r="AA184" s="285" t="n"/>
    </row>
    <row r="185" ht="15.75" customHeight="1" s="398">
      <c r="A185" s="317" t="n"/>
      <c r="B185" s="317" t="n"/>
      <c r="C185" s="315" t="n"/>
      <c r="D185" s="315" t="n"/>
      <c r="E185" s="288" t="n"/>
      <c r="F185" s="334" t="n"/>
      <c r="G185" s="391" t="n"/>
      <c r="H185" s="284" t="n"/>
      <c r="I185" s="288" t="n"/>
      <c r="J185" s="288" t="n"/>
      <c r="K185" s="288" t="n"/>
      <c r="L185" s="288" t="n"/>
      <c r="M185" s="288" t="n"/>
      <c r="N185" s="288" t="n"/>
      <c r="O185" s="288" t="n"/>
      <c r="P185" s="288" t="n"/>
      <c r="Q185" s="288" t="n"/>
      <c r="R185" s="288" t="n"/>
      <c r="S185" s="284" t="n"/>
      <c r="T185" s="284" t="n"/>
      <c r="U185" s="285" t="n"/>
      <c r="V185" s="285" t="n"/>
      <c r="W185" s="285" t="n"/>
      <c r="X185" s="285" t="n"/>
      <c r="Y185" s="285" t="n"/>
      <c r="Z185" s="285" t="n"/>
      <c r="AA185" s="285" t="n"/>
    </row>
    <row r="186" ht="15.75" customHeight="1" s="398">
      <c r="A186" s="317" t="n"/>
      <c r="B186" s="317" t="n"/>
      <c r="C186" s="315" t="n"/>
      <c r="D186" s="315" t="n"/>
      <c r="E186" s="288" t="n"/>
      <c r="F186" s="334" t="n"/>
      <c r="G186" s="391" t="n"/>
      <c r="H186" s="284" t="n"/>
      <c r="I186" s="288" t="n"/>
      <c r="J186" s="288" t="n"/>
      <c r="K186" s="288" t="n"/>
      <c r="L186" s="288" t="n"/>
      <c r="M186" s="288" t="n"/>
      <c r="N186" s="288" t="n"/>
      <c r="O186" s="288" t="n"/>
      <c r="P186" s="288" t="n"/>
      <c r="Q186" s="288" t="n"/>
      <c r="R186" s="288" t="n"/>
      <c r="S186" s="284" t="n"/>
      <c r="T186" s="284" t="n"/>
      <c r="U186" s="285" t="n"/>
      <c r="V186" s="285" t="n"/>
      <c r="W186" s="285" t="n"/>
      <c r="X186" s="285" t="n"/>
      <c r="Y186" s="285" t="n"/>
      <c r="Z186" s="285" t="n"/>
      <c r="AA186" s="285" t="n"/>
    </row>
    <row r="187" ht="15.75" customHeight="1" s="398">
      <c r="A187" s="317" t="n"/>
      <c r="B187" s="317" t="n"/>
      <c r="C187" s="315" t="n"/>
      <c r="D187" s="315" t="n"/>
      <c r="E187" s="288" t="n"/>
      <c r="F187" s="334" t="n"/>
      <c r="G187" s="391" t="n"/>
      <c r="H187" s="284" t="n"/>
      <c r="I187" s="288" t="n"/>
      <c r="J187" s="288" t="n"/>
      <c r="K187" s="288" t="n"/>
      <c r="L187" s="288" t="n"/>
      <c r="M187" s="288" t="n"/>
      <c r="N187" s="288" t="n"/>
      <c r="O187" s="288" t="n"/>
      <c r="P187" s="288" t="n"/>
      <c r="Q187" s="288" t="n"/>
      <c r="R187" s="288" t="n"/>
      <c r="S187" s="284" t="n"/>
      <c r="T187" s="284" t="n"/>
      <c r="U187" s="285" t="n"/>
      <c r="V187" s="285" t="n"/>
      <c r="W187" s="285" t="n"/>
      <c r="X187" s="285" t="n"/>
      <c r="Y187" s="285" t="n"/>
      <c r="Z187" s="285" t="n"/>
      <c r="AA187" s="285" t="n"/>
    </row>
    <row r="188" ht="15.75" customHeight="1" s="398">
      <c r="A188" s="317" t="n"/>
      <c r="B188" s="317" t="n"/>
      <c r="C188" s="315" t="n"/>
      <c r="D188" s="315" t="n"/>
      <c r="E188" s="288" t="n"/>
      <c r="F188" s="334" t="n"/>
      <c r="G188" s="391" t="n"/>
      <c r="H188" s="284" t="n"/>
      <c r="I188" s="288" t="n"/>
      <c r="J188" s="288" t="n"/>
      <c r="K188" s="288" t="n"/>
      <c r="L188" s="288" t="n"/>
      <c r="M188" s="288" t="n"/>
      <c r="N188" s="288" t="n"/>
      <c r="O188" s="288" t="n"/>
      <c r="P188" s="288" t="n"/>
      <c r="Q188" s="288" t="n"/>
      <c r="R188" s="288" t="n"/>
      <c r="S188" s="284" t="n"/>
      <c r="T188" s="284" t="n"/>
      <c r="U188" s="285" t="n"/>
      <c r="V188" s="285" t="n"/>
      <c r="W188" s="285" t="n"/>
      <c r="X188" s="285" t="n"/>
      <c r="Y188" s="285" t="n"/>
      <c r="Z188" s="285" t="n"/>
      <c r="AA188" s="285" t="n"/>
    </row>
    <row r="189" ht="15.75" customHeight="1" s="398">
      <c r="A189" s="317" t="n"/>
      <c r="B189" s="317" t="n"/>
      <c r="C189" s="315" t="n"/>
      <c r="D189" s="315" t="n"/>
      <c r="E189" s="288" t="n"/>
      <c r="F189" s="334" t="n"/>
      <c r="G189" s="391" t="n"/>
      <c r="H189" s="284" t="n"/>
      <c r="I189" s="288" t="n"/>
      <c r="J189" s="288" t="n"/>
      <c r="K189" s="288" t="n"/>
      <c r="L189" s="288" t="n"/>
      <c r="M189" s="288" t="n"/>
      <c r="N189" s="288" t="n"/>
      <c r="O189" s="288" t="n"/>
      <c r="P189" s="288" t="n"/>
      <c r="Q189" s="288" t="n"/>
      <c r="R189" s="288" t="n"/>
      <c r="S189" s="284" t="n"/>
      <c r="T189" s="284" t="n"/>
      <c r="U189" s="285" t="n"/>
      <c r="V189" s="285" t="n"/>
      <c r="W189" s="285" t="n"/>
      <c r="X189" s="285" t="n"/>
      <c r="Y189" s="285" t="n"/>
      <c r="Z189" s="285" t="n"/>
      <c r="AA189" s="285" t="n"/>
    </row>
    <row r="190" ht="15.75" customHeight="1" s="398">
      <c r="A190" s="317" t="n"/>
      <c r="B190" s="317" t="n"/>
      <c r="C190" s="315" t="n"/>
      <c r="D190" s="315" t="n"/>
      <c r="E190" s="288" t="n"/>
      <c r="F190" s="334" t="n"/>
      <c r="G190" s="391" t="n"/>
      <c r="H190" s="284" t="n"/>
      <c r="I190" s="288" t="n"/>
      <c r="J190" s="288" t="n"/>
      <c r="K190" s="288" t="n"/>
      <c r="L190" s="288" t="n"/>
      <c r="M190" s="288" t="n"/>
      <c r="N190" s="288" t="n"/>
      <c r="O190" s="288" t="n"/>
      <c r="P190" s="288" t="n"/>
      <c r="Q190" s="288" t="n"/>
      <c r="R190" s="288" t="n"/>
      <c r="S190" s="284" t="n"/>
      <c r="T190" s="284" t="n"/>
      <c r="U190" s="285" t="n"/>
      <c r="V190" s="285" t="n"/>
      <c r="W190" s="285" t="n"/>
      <c r="X190" s="285" t="n"/>
      <c r="Y190" s="285" t="n"/>
      <c r="Z190" s="285" t="n"/>
      <c r="AA190" s="285" t="n"/>
    </row>
    <row r="191" ht="15.75" customHeight="1" s="398">
      <c r="A191" s="317" t="n"/>
      <c r="B191" s="317" t="n"/>
      <c r="C191" s="315" t="n"/>
      <c r="D191" s="315" t="n"/>
      <c r="E191" s="288" t="n"/>
      <c r="F191" s="334" t="n"/>
      <c r="G191" s="391" t="n"/>
      <c r="H191" s="284" t="n"/>
      <c r="I191" s="288" t="n"/>
      <c r="J191" s="288" t="n"/>
      <c r="K191" s="288" t="n"/>
      <c r="L191" s="288" t="n"/>
      <c r="M191" s="288" t="n"/>
      <c r="N191" s="288" t="n"/>
      <c r="O191" s="288" t="n"/>
      <c r="P191" s="288" t="n"/>
      <c r="Q191" s="288" t="n"/>
      <c r="R191" s="288" t="n"/>
      <c r="S191" s="284" t="n"/>
      <c r="T191" s="284" t="n"/>
      <c r="U191" s="285" t="n"/>
      <c r="V191" s="285" t="n"/>
      <c r="W191" s="285" t="n"/>
      <c r="X191" s="285" t="n"/>
      <c r="Y191" s="285" t="n"/>
      <c r="Z191" s="285" t="n"/>
      <c r="AA191" s="285" t="n"/>
    </row>
    <row r="192" ht="15.75" customHeight="1" s="398">
      <c r="A192" s="317" t="n"/>
      <c r="B192" s="317" t="n"/>
      <c r="C192" s="315" t="n"/>
      <c r="D192" s="315" t="n"/>
      <c r="E192" s="288" t="n"/>
      <c r="F192" s="334" t="n"/>
      <c r="G192" s="391" t="n"/>
      <c r="H192" s="284" t="n"/>
      <c r="I192" s="288" t="n"/>
      <c r="J192" s="288" t="n"/>
      <c r="K192" s="288" t="n"/>
      <c r="L192" s="288" t="n"/>
      <c r="M192" s="288" t="n"/>
      <c r="N192" s="288" t="n"/>
      <c r="O192" s="288" t="n"/>
      <c r="P192" s="288" t="n"/>
      <c r="Q192" s="288" t="n"/>
      <c r="R192" s="288" t="n"/>
      <c r="S192" s="284" t="n"/>
      <c r="T192" s="284" t="n"/>
      <c r="U192" s="285" t="n"/>
      <c r="V192" s="285" t="n"/>
      <c r="W192" s="285" t="n"/>
      <c r="X192" s="285" t="n"/>
      <c r="Y192" s="285" t="n"/>
      <c r="Z192" s="285" t="n"/>
      <c r="AA192" s="285" t="n"/>
    </row>
    <row r="193" ht="15.75" customHeight="1" s="398">
      <c r="A193" s="317" t="n"/>
      <c r="B193" s="317" t="n"/>
      <c r="C193" s="315" t="n"/>
      <c r="D193" s="315" t="n"/>
      <c r="E193" s="288" t="n"/>
      <c r="F193" s="334" t="n"/>
      <c r="G193" s="391" t="n"/>
      <c r="H193" s="284" t="n"/>
      <c r="I193" s="288" t="n"/>
      <c r="J193" s="288" t="n"/>
      <c r="K193" s="288" t="n"/>
      <c r="L193" s="288" t="n"/>
      <c r="M193" s="288" t="n"/>
      <c r="N193" s="288" t="n"/>
      <c r="O193" s="288" t="n"/>
      <c r="P193" s="288" t="n"/>
      <c r="Q193" s="288" t="n"/>
      <c r="R193" s="288" t="n"/>
      <c r="S193" s="284" t="n"/>
      <c r="T193" s="284" t="n"/>
      <c r="U193" s="285" t="n"/>
      <c r="V193" s="285" t="n"/>
      <c r="W193" s="285" t="n"/>
      <c r="X193" s="285" t="n"/>
      <c r="Y193" s="285" t="n"/>
      <c r="Z193" s="285" t="n"/>
      <c r="AA193" s="285" t="n"/>
    </row>
    <row r="194" ht="15.75" customHeight="1" s="398">
      <c r="A194" s="317" t="n"/>
      <c r="B194" s="317" t="n"/>
      <c r="C194" s="315" t="n"/>
      <c r="D194" s="315" t="n"/>
      <c r="E194" s="288" t="n"/>
      <c r="F194" s="334" t="n"/>
      <c r="G194" s="391" t="n"/>
      <c r="H194" s="284" t="n"/>
      <c r="I194" s="288" t="n"/>
      <c r="J194" s="288" t="n"/>
      <c r="K194" s="288" t="n"/>
      <c r="L194" s="288" t="n"/>
      <c r="M194" s="288" t="n"/>
      <c r="N194" s="288" t="n"/>
      <c r="O194" s="288" t="n"/>
      <c r="P194" s="288" t="n"/>
      <c r="Q194" s="288" t="n"/>
      <c r="R194" s="288" t="n"/>
      <c r="S194" s="284" t="n"/>
      <c r="T194" s="284" t="n"/>
      <c r="U194" s="285" t="n"/>
      <c r="V194" s="285" t="n"/>
      <c r="W194" s="285" t="n"/>
      <c r="X194" s="285" t="n"/>
      <c r="Y194" s="285" t="n"/>
      <c r="Z194" s="285" t="n"/>
      <c r="AA194" s="285" t="n"/>
    </row>
    <row r="195" ht="15.75" customHeight="1" s="398">
      <c r="A195" s="317" t="n"/>
      <c r="B195" s="317" t="n"/>
      <c r="C195" s="315" t="n"/>
      <c r="D195" s="315" t="n"/>
      <c r="E195" s="288" t="n"/>
      <c r="F195" s="334" t="n"/>
      <c r="G195" s="391" t="n"/>
      <c r="H195" s="284" t="n"/>
      <c r="I195" s="288" t="n"/>
      <c r="J195" s="288" t="n"/>
      <c r="K195" s="288" t="n"/>
      <c r="L195" s="288" t="n"/>
      <c r="M195" s="288" t="n"/>
      <c r="N195" s="288" t="n"/>
      <c r="O195" s="288" t="n"/>
      <c r="P195" s="288" t="n"/>
      <c r="Q195" s="288" t="n"/>
      <c r="R195" s="288" t="n"/>
      <c r="S195" s="284" t="n"/>
      <c r="T195" s="284" t="n"/>
      <c r="U195" s="285" t="n"/>
      <c r="V195" s="285" t="n"/>
      <c r="W195" s="285" t="n"/>
      <c r="X195" s="285" t="n"/>
      <c r="Y195" s="285" t="n"/>
      <c r="Z195" s="285" t="n"/>
      <c r="AA195" s="285" t="n"/>
    </row>
    <row r="196" ht="15.75" customHeight="1" s="398">
      <c r="A196" s="317" t="n"/>
      <c r="B196" s="317" t="n"/>
      <c r="C196" s="315" t="n"/>
      <c r="D196" s="315" t="n"/>
      <c r="E196" s="288" t="n"/>
      <c r="F196" s="334" t="n"/>
      <c r="G196" s="391" t="n"/>
      <c r="H196" s="284" t="n"/>
      <c r="I196" s="288" t="n"/>
      <c r="J196" s="288" t="n"/>
      <c r="K196" s="288" t="n"/>
      <c r="L196" s="288" t="n"/>
      <c r="M196" s="288" t="n"/>
      <c r="N196" s="288" t="n"/>
      <c r="O196" s="288" t="n"/>
      <c r="P196" s="288" t="n"/>
      <c r="Q196" s="288" t="n"/>
      <c r="R196" s="288" t="n"/>
      <c r="S196" s="284" t="n"/>
      <c r="T196" s="284" t="n"/>
      <c r="U196" s="285" t="n"/>
      <c r="V196" s="285" t="n"/>
      <c r="W196" s="285" t="n"/>
      <c r="X196" s="285" t="n"/>
      <c r="Y196" s="285" t="n"/>
      <c r="Z196" s="285" t="n"/>
      <c r="AA196" s="285" t="n"/>
    </row>
    <row r="197" ht="15.75" customHeight="1" s="398">
      <c r="A197" s="317" t="n"/>
      <c r="B197" s="317" t="n"/>
      <c r="C197" s="315" t="n"/>
      <c r="D197" s="315" t="n"/>
      <c r="E197" s="288" t="n"/>
      <c r="F197" s="334" t="n"/>
      <c r="G197" s="391" t="n"/>
      <c r="H197" s="284" t="n"/>
      <c r="I197" s="288" t="n"/>
      <c r="J197" s="288" t="n"/>
      <c r="K197" s="288" t="n"/>
      <c r="L197" s="288" t="n"/>
      <c r="M197" s="288" t="n"/>
      <c r="N197" s="288" t="n"/>
      <c r="O197" s="288" t="n"/>
      <c r="P197" s="288" t="n"/>
      <c r="Q197" s="288" t="n"/>
      <c r="R197" s="288" t="n"/>
      <c r="S197" s="284" t="n"/>
      <c r="T197" s="284" t="n"/>
      <c r="U197" s="285" t="n"/>
      <c r="V197" s="285" t="n"/>
      <c r="W197" s="285" t="n"/>
      <c r="X197" s="285" t="n"/>
      <c r="Y197" s="285" t="n"/>
      <c r="Z197" s="285" t="n"/>
      <c r="AA197" s="285" t="n"/>
    </row>
    <row r="198" ht="15.75" customHeight="1" s="398">
      <c r="A198" s="317" t="n"/>
      <c r="B198" s="317" t="n"/>
      <c r="C198" s="315" t="n"/>
      <c r="D198" s="315" t="n"/>
      <c r="E198" s="288" t="n"/>
      <c r="F198" s="334" t="n"/>
      <c r="G198" s="391" t="n"/>
      <c r="H198" s="284" t="n"/>
      <c r="I198" s="288" t="n"/>
      <c r="J198" s="288" t="n"/>
      <c r="K198" s="288" t="n"/>
      <c r="L198" s="288" t="n"/>
      <c r="M198" s="288" t="n"/>
      <c r="N198" s="288" t="n"/>
      <c r="O198" s="288" t="n"/>
      <c r="P198" s="288" t="n"/>
      <c r="Q198" s="288" t="n"/>
      <c r="R198" s="288" t="n"/>
      <c r="S198" s="284" t="n"/>
      <c r="T198" s="284" t="n"/>
      <c r="U198" s="285" t="n"/>
      <c r="V198" s="285" t="n"/>
      <c r="W198" s="285" t="n"/>
      <c r="X198" s="285" t="n"/>
      <c r="Y198" s="285" t="n"/>
      <c r="Z198" s="285" t="n"/>
      <c r="AA198" s="285" t="n"/>
    </row>
    <row r="199" ht="15.75" customHeight="1" s="398">
      <c r="A199" s="317" t="n"/>
      <c r="B199" s="317" t="n"/>
      <c r="C199" s="315" t="n"/>
      <c r="D199" s="315" t="n"/>
      <c r="E199" s="288" t="n"/>
      <c r="F199" s="334" t="n"/>
      <c r="G199" s="391" t="n"/>
      <c r="H199" s="284" t="n"/>
      <c r="I199" s="288" t="n"/>
      <c r="J199" s="288" t="n"/>
      <c r="K199" s="288" t="n"/>
      <c r="L199" s="288" t="n"/>
      <c r="M199" s="288" t="n"/>
      <c r="N199" s="288" t="n"/>
      <c r="O199" s="288" t="n"/>
      <c r="P199" s="288" t="n"/>
      <c r="Q199" s="288" t="n"/>
      <c r="R199" s="288" t="n"/>
      <c r="S199" s="284" t="n"/>
      <c r="T199" s="284" t="n"/>
      <c r="U199" s="285" t="n"/>
      <c r="V199" s="285" t="n"/>
      <c r="W199" s="285" t="n"/>
      <c r="X199" s="285" t="n"/>
      <c r="Y199" s="285" t="n"/>
      <c r="Z199" s="285" t="n"/>
      <c r="AA199" s="285" t="n"/>
    </row>
    <row r="200" ht="15.75" customHeight="1" s="398">
      <c r="A200" s="317" t="n"/>
      <c r="B200" s="317" t="n"/>
      <c r="C200" s="315" t="n"/>
      <c r="D200" s="315" t="n"/>
      <c r="E200" s="288" t="n"/>
      <c r="F200" s="334" t="n"/>
      <c r="G200" s="391" t="n"/>
      <c r="H200" s="284" t="n"/>
      <c r="I200" s="288" t="n"/>
      <c r="J200" s="288" t="n"/>
      <c r="K200" s="288" t="n"/>
      <c r="L200" s="288" t="n"/>
      <c r="M200" s="288" t="n"/>
      <c r="N200" s="288" t="n"/>
      <c r="O200" s="288" t="n"/>
      <c r="P200" s="288" t="n"/>
      <c r="Q200" s="288" t="n"/>
      <c r="R200" s="288" t="n"/>
      <c r="S200" s="284" t="n"/>
      <c r="T200" s="284" t="n"/>
      <c r="U200" s="285" t="n"/>
      <c r="V200" s="285" t="n"/>
      <c r="W200" s="285" t="n"/>
      <c r="X200" s="285" t="n"/>
      <c r="Y200" s="285" t="n"/>
      <c r="Z200" s="285" t="n"/>
      <c r="AA200" s="285" t="n"/>
    </row>
    <row r="201" ht="15.75" customHeight="1" s="398">
      <c r="A201" s="317" t="n"/>
      <c r="B201" s="317" t="n"/>
      <c r="C201" s="315" t="n"/>
      <c r="D201" s="315" t="n"/>
      <c r="E201" s="288" t="n"/>
      <c r="F201" s="334" t="n"/>
      <c r="G201" s="391" t="n"/>
      <c r="H201" s="284" t="n"/>
      <c r="I201" s="288" t="n"/>
      <c r="J201" s="288" t="n"/>
      <c r="K201" s="288" t="n"/>
      <c r="L201" s="288" t="n"/>
      <c r="M201" s="288" t="n"/>
      <c r="N201" s="288" t="n"/>
      <c r="O201" s="288" t="n"/>
      <c r="P201" s="288" t="n"/>
      <c r="Q201" s="288" t="n"/>
      <c r="R201" s="288" t="n"/>
      <c r="S201" s="284" t="n"/>
      <c r="T201" s="284" t="n"/>
      <c r="U201" s="285" t="n"/>
      <c r="V201" s="285" t="n"/>
      <c r="W201" s="285" t="n"/>
      <c r="X201" s="285" t="n"/>
      <c r="Y201" s="285" t="n"/>
      <c r="Z201" s="285" t="n"/>
      <c r="AA201" s="285" t="n"/>
    </row>
    <row r="202" ht="15.75" customHeight="1" s="398">
      <c r="A202" s="317" t="n"/>
      <c r="B202" s="317" t="n"/>
      <c r="C202" s="315" t="n"/>
      <c r="D202" s="315" t="n"/>
      <c r="E202" s="288" t="n"/>
      <c r="F202" s="334" t="n"/>
      <c r="G202" s="391" t="n"/>
      <c r="H202" s="284" t="n"/>
      <c r="I202" s="288" t="n"/>
      <c r="J202" s="288" t="n"/>
      <c r="K202" s="288" t="n"/>
      <c r="L202" s="288" t="n"/>
      <c r="M202" s="288" t="n"/>
      <c r="N202" s="288" t="n"/>
      <c r="O202" s="288" t="n"/>
      <c r="P202" s="288" t="n"/>
      <c r="Q202" s="288" t="n"/>
      <c r="R202" s="288" t="n"/>
      <c r="S202" s="284" t="n"/>
      <c r="T202" s="284" t="n"/>
      <c r="U202" s="285" t="n"/>
      <c r="V202" s="285" t="n"/>
      <c r="W202" s="285" t="n"/>
      <c r="X202" s="285" t="n"/>
      <c r="Y202" s="285" t="n"/>
      <c r="Z202" s="285" t="n"/>
      <c r="AA202" s="285" t="n"/>
    </row>
    <row r="203" ht="15.75" customHeight="1" s="398">
      <c r="A203" s="317" t="n"/>
      <c r="B203" s="317" t="n"/>
      <c r="C203" s="315" t="n"/>
      <c r="D203" s="315" t="n"/>
      <c r="E203" s="288" t="n"/>
      <c r="F203" s="334" t="n"/>
      <c r="G203" s="391" t="n"/>
      <c r="H203" s="284" t="n"/>
      <c r="I203" s="288" t="n"/>
      <c r="J203" s="288" t="n"/>
      <c r="K203" s="288" t="n"/>
      <c r="L203" s="288" t="n"/>
      <c r="M203" s="288" t="n"/>
      <c r="N203" s="288" t="n"/>
      <c r="O203" s="288" t="n"/>
      <c r="P203" s="288" t="n"/>
      <c r="Q203" s="288" t="n"/>
      <c r="R203" s="288" t="n"/>
      <c r="S203" s="284" t="n"/>
      <c r="T203" s="284" t="n"/>
      <c r="U203" s="285" t="n"/>
      <c r="V203" s="285" t="n"/>
      <c r="W203" s="285" t="n"/>
      <c r="X203" s="285" t="n"/>
      <c r="Y203" s="285" t="n"/>
      <c r="Z203" s="285" t="n"/>
      <c r="AA203" s="285" t="n"/>
    </row>
    <row r="204" ht="15.75" customHeight="1" s="398">
      <c r="A204" s="317" t="n"/>
      <c r="B204" s="317" t="n"/>
      <c r="C204" s="315" t="n"/>
      <c r="D204" s="315" t="n"/>
      <c r="E204" s="288" t="n"/>
      <c r="F204" s="334" t="n"/>
      <c r="G204" s="391" t="n"/>
      <c r="H204" s="284" t="n"/>
      <c r="I204" s="288" t="n"/>
      <c r="J204" s="288" t="n"/>
      <c r="K204" s="288" t="n"/>
      <c r="L204" s="288" t="n"/>
      <c r="M204" s="288" t="n"/>
      <c r="N204" s="288" t="n"/>
      <c r="O204" s="288" t="n"/>
      <c r="P204" s="288" t="n"/>
      <c r="Q204" s="288" t="n"/>
      <c r="R204" s="288" t="n"/>
      <c r="S204" s="284" t="n"/>
      <c r="T204" s="284" t="n"/>
      <c r="U204" s="285" t="n"/>
      <c r="V204" s="285" t="n"/>
      <c r="W204" s="285" t="n"/>
      <c r="X204" s="285" t="n"/>
      <c r="Y204" s="285" t="n"/>
      <c r="Z204" s="285" t="n"/>
      <c r="AA204" s="285" t="n"/>
    </row>
    <row r="205" ht="15.75" customHeight="1" s="398">
      <c r="A205" s="317" t="n"/>
      <c r="B205" s="317" t="n"/>
      <c r="C205" s="315" t="n"/>
      <c r="D205" s="315" t="n"/>
      <c r="E205" s="288" t="n"/>
      <c r="F205" s="334" t="n"/>
      <c r="G205" s="391" t="n"/>
      <c r="H205" s="284" t="n"/>
      <c r="I205" s="288" t="n"/>
      <c r="J205" s="288" t="n"/>
      <c r="K205" s="288" t="n"/>
      <c r="L205" s="288" t="n"/>
      <c r="M205" s="288" t="n"/>
      <c r="N205" s="288" t="n"/>
      <c r="O205" s="288" t="n"/>
      <c r="P205" s="288" t="n"/>
      <c r="Q205" s="288" t="n"/>
      <c r="R205" s="288" t="n"/>
      <c r="S205" s="284" t="n"/>
      <c r="T205" s="284" t="n"/>
      <c r="U205" s="285" t="n"/>
      <c r="V205" s="285" t="n"/>
      <c r="W205" s="285" t="n"/>
      <c r="X205" s="285" t="n"/>
      <c r="Y205" s="285" t="n"/>
      <c r="Z205" s="285" t="n"/>
      <c r="AA205" s="285" t="n"/>
    </row>
    <row r="206" ht="15.75" customHeight="1" s="398">
      <c r="A206" s="317" t="n"/>
      <c r="B206" s="317" t="n"/>
      <c r="C206" s="315" t="n"/>
      <c r="D206" s="315" t="n"/>
      <c r="E206" s="288" t="n"/>
      <c r="F206" s="334" t="n"/>
      <c r="G206" s="391" t="n"/>
      <c r="H206" s="284" t="n"/>
      <c r="I206" s="288" t="n"/>
      <c r="J206" s="288" t="n"/>
      <c r="K206" s="288" t="n"/>
      <c r="L206" s="288" t="n"/>
      <c r="M206" s="288" t="n"/>
      <c r="N206" s="288" t="n"/>
      <c r="O206" s="288" t="n"/>
      <c r="P206" s="288" t="n"/>
      <c r="Q206" s="288" t="n"/>
      <c r="R206" s="288" t="n"/>
      <c r="S206" s="284" t="n"/>
      <c r="T206" s="284" t="n"/>
      <c r="U206" s="285" t="n"/>
      <c r="V206" s="285" t="n"/>
      <c r="W206" s="285" t="n"/>
      <c r="X206" s="285" t="n"/>
      <c r="Y206" s="285" t="n"/>
      <c r="Z206" s="285" t="n"/>
      <c r="AA206" s="285" t="n"/>
    </row>
    <row r="207" ht="15.75" customHeight="1" s="398">
      <c r="A207" s="317" t="n"/>
      <c r="B207" s="317" t="n"/>
      <c r="C207" s="315" t="n"/>
      <c r="D207" s="315" t="n"/>
      <c r="E207" s="288" t="n"/>
      <c r="F207" s="334" t="n"/>
      <c r="G207" s="391" t="n"/>
      <c r="H207" s="284" t="n"/>
      <c r="I207" s="288" t="n"/>
      <c r="J207" s="288" t="n"/>
      <c r="K207" s="288" t="n"/>
      <c r="L207" s="288" t="n"/>
      <c r="M207" s="288" t="n"/>
      <c r="N207" s="288" t="n"/>
      <c r="O207" s="288" t="n"/>
      <c r="P207" s="288" t="n"/>
      <c r="Q207" s="288" t="n"/>
      <c r="R207" s="288" t="n"/>
      <c r="S207" s="284" t="n"/>
      <c r="T207" s="284" t="n"/>
      <c r="U207" s="285" t="n"/>
      <c r="V207" s="285" t="n"/>
      <c r="W207" s="285" t="n"/>
      <c r="X207" s="285" t="n"/>
      <c r="Y207" s="285" t="n"/>
      <c r="Z207" s="285" t="n"/>
      <c r="AA207" s="285" t="n"/>
    </row>
    <row r="208" ht="15.75" customHeight="1" s="398">
      <c r="A208" s="317" t="n"/>
      <c r="B208" s="317" t="n"/>
      <c r="C208" s="315" t="n"/>
      <c r="D208" s="315" t="n"/>
      <c r="E208" s="288" t="n"/>
      <c r="F208" s="334" t="n"/>
      <c r="G208" s="391" t="n"/>
      <c r="H208" s="284" t="n"/>
      <c r="I208" s="288" t="n"/>
      <c r="J208" s="288" t="n"/>
      <c r="K208" s="288" t="n"/>
      <c r="L208" s="288" t="n"/>
      <c r="M208" s="288" t="n"/>
      <c r="N208" s="288" t="n"/>
      <c r="O208" s="288" t="n"/>
      <c r="P208" s="288" t="n"/>
      <c r="Q208" s="288" t="n"/>
      <c r="R208" s="288" t="n"/>
      <c r="S208" s="284" t="n"/>
      <c r="T208" s="284" t="n"/>
      <c r="U208" s="285" t="n"/>
      <c r="V208" s="285" t="n"/>
      <c r="W208" s="285" t="n"/>
      <c r="X208" s="285" t="n"/>
      <c r="Y208" s="285" t="n"/>
      <c r="Z208" s="285" t="n"/>
      <c r="AA208" s="285" t="n"/>
    </row>
    <row r="209" ht="15.75" customHeight="1" s="398">
      <c r="A209" s="317" t="n"/>
      <c r="B209" s="317" t="n"/>
      <c r="C209" s="315" t="n"/>
      <c r="D209" s="315" t="n"/>
      <c r="E209" s="288" t="n"/>
      <c r="F209" s="334" t="n"/>
      <c r="G209" s="391" t="n"/>
      <c r="H209" s="284" t="n"/>
      <c r="I209" s="288" t="n"/>
      <c r="J209" s="288" t="n"/>
      <c r="K209" s="288" t="n"/>
      <c r="L209" s="288" t="n"/>
      <c r="M209" s="288" t="n"/>
      <c r="N209" s="288" t="n"/>
      <c r="O209" s="288" t="n"/>
      <c r="P209" s="288" t="n"/>
      <c r="Q209" s="288" t="n"/>
      <c r="R209" s="288" t="n"/>
      <c r="S209" s="284" t="n"/>
      <c r="T209" s="284" t="n"/>
      <c r="U209" s="285" t="n"/>
      <c r="V209" s="285" t="n"/>
      <c r="W209" s="285" t="n"/>
      <c r="X209" s="285" t="n"/>
      <c r="Y209" s="285" t="n"/>
      <c r="Z209" s="285" t="n"/>
      <c r="AA209" s="285" t="n"/>
    </row>
    <row r="210" ht="15.75" customHeight="1" s="398">
      <c r="A210" s="317" t="n"/>
      <c r="B210" s="317" t="n"/>
      <c r="C210" s="315" t="n"/>
      <c r="D210" s="315" t="n"/>
      <c r="E210" s="288" t="n"/>
      <c r="F210" s="334" t="n"/>
      <c r="G210" s="391" t="n"/>
      <c r="H210" s="284" t="n"/>
      <c r="I210" s="288" t="n"/>
      <c r="J210" s="288" t="n"/>
      <c r="K210" s="288" t="n"/>
      <c r="L210" s="288" t="n"/>
      <c r="M210" s="288" t="n"/>
      <c r="N210" s="288" t="n"/>
      <c r="O210" s="288" t="n"/>
      <c r="P210" s="288" t="n"/>
      <c r="Q210" s="288" t="n"/>
      <c r="R210" s="288" t="n"/>
      <c r="S210" s="284" t="n"/>
      <c r="T210" s="284" t="n"/>
      <c r="U210" s="285" t="n"/>
      <c r="V210" s="285" t="n"/>
      <c r="W210" s="285" t="n"/>
      <c r="X210" s="285" t="n"/>
      <c r="Y210" s="285" t="n"/>
      <c r="Z210" s="285" t="n"/>
      <c r="AA210" s="285" t="n"/>
    </row>
    <row r="211" ht="15.75" customHeight="1" s="398">
      <c r="A211" s="317" t="n"/>
      <c r="B211" s="317" t="n"/>
      <c r="C211" s="315" t="n"/>
      <c r="D211" s="315" t="n"/>
      <c r="E211" s="288" t="n"/>
      <c r="F211" s="334" t="n"/>
      <c r="G211" s="391" t="n"/>
      <c r="H211" s="284" t="n"/>
      <c r="I211" s="288" t="n"/>
      <c r="J211" s="288" t="n"/>
      <c r="K211" s="288" t="n"/>
      <c r="L211" s="288" t="n"/>
      <c r="M211" s="288" t="n"/>
      <c r="N211" s="288" t="n"/>
      <c r="O211" s="288" t="n"/>
      <c r="P211" s="288" t="n"/>
      <c r="Q211" s="288" t="n"/>
      <c r="R211" s="288" t="n"/>
      <c r="S211" s="284" t="n"/>
      <c r="T211" s="284" t="n"/>
      <c r="U211" s="285" t="n"/>
      <c r="V211" s="285" t="n"/>
      <c r="W211" s="285" t="n"/>
      <c r="X211" s="285" t="n"/>
      <c r="Y211" s="285" t="n"/>
      <c r="Z211" s="285" t="n"/>
      <c r="AA211" s="285" t="n"/>
    </row>
    <row r="212" ht="15.75" customHeight="1" s="398">
      <c r="A212" s="317" t="n"/>
      <c r="B212" s="317" t="n"/>
      <c r="C212" s="315" t="n"/>
      <c r="D212" s="315" t="n"/>
      <c r="E212" s="288" t="n"/>
      <c r="F212" s="334" t="n"/>
      <c r="G212" s="391" t="n"/>
      <c r="H212" s="284" t="n"/>
      <c r="I212" s="288" t="n"/>
      <c r="J212" s="288" t="n"/>
      <c r="K212" s="288" t="n"/>
      <c r="L212" s="288" t="n"/>
      <c r="M212" s="288" t="n"/>
      <c r="N212" s="288" t="n"/>
      <c r="O212" s="288" t="n"/>
      <c r="P212" s="288" t="n"/>
      <c r="Q212" s="288" t="n"/>
      <c r="R212" s="288" t="n"/>
      <c r="S212" s="284" t="n"/>
      <c r="T212" s="284" t="n"/>
      <c r="U212" s="285" t="n"/>
      <c r="V212" s="285" t="n"/>
      <c r="W212" s="285" t="n"/>
      <c r="X212" s="285" t="n"/>
      <c r="Y212" s="285" t="n"/>
      <c r="Z212" s="285" t="n"/>
      <c r="AA212" s="285" t="n"/>
    </row>
    <row r="213" ht="15.75" customHeight="1" s="398">
      <c r="A213" s="317" t="n"/>
      <c r="B213" s="317" t="n"/>
      <c r="C213" s="315" t="n"/>
      <c r="D213" s="315" t="n"/>
      <c r="E213" s="288" t="n"/>
      <c r="F213" s="334" t="n"/>
      <c r="G213" s="391" t="n"/>
      <c r="H213" s="284" t="n"/>
      <c r="I213" s="288" t="n"/>
      <c r="J213" s="288" t="n"/>
      <c r="K213" s="288" t="n"/>
      <c r="L213" s="288" t="n"/>
      <c r="M213" s="288" t="n"/>
      <c r="N213" s="288" t="n"/>
      <c r="O213" s="288" t="n"/>
      <c r="P213" s="288" t="n"/>
      <c r="Q213" s="288" t="n"/>
      <c r="R213" s="288" t="n"/>
      <c r="S213" s="284" t="n"/>
      <c r="T213" s="284" t="n"/>
      <c r="U213" s="285" t="n"/>
      <c r="V213" s="285" t="n"/>
      <c r="W213" s="285" t="n"/>
      <c r="X213" s="285" t="n"/>
      <c r="Y213" s="285" t="n"/>
      <c r="Z213" s="285" t="n"/>
      <c r="AA213" s="285" t="n"/>
    </row>
    <row r="214" ht="15.75" customHeight="1" s="398">
      <c r="A214" s="317" t="n"/>
      <c r="B214" s="317" t="n"/>
      <c r="C214" s="315" t="n"/>
      <c r="D214" s="315" t="n"/>
      <c r="E214" s="288" t="n"/>
      <c r="F214" s="334" t="n"/>
      <c r="G214" s="391" t="n"/>
      <c r="H214" s="284" t="n"/>
      <c r="I214" s="288" t="n"/>
      <c r="J214" s="288" t="n"/>
      <c r="K214" s="288" t="n"/>
      <c r="L214" s="288" t="n"/>
      <c r="M214" s="288" t="n"/>
      <c r="N214" s="288" t="n"/>
      <c r="O214" s="288" t="n"/>
      <c r="P214" s="288" t="n"/>
      <c r="Q214" s="288" t="n"/>
      <c r="R214" s="288" t="n"/>
      <c r="S214" s="284" t="n"/>
      <c r="T214" s="284" t="n"/>
      <c r="U214" s="285" t="n"/>
      <c r="V214" s="285" t="n"/>
      <c r="W214" s="285" t="n"/>
      <c r="X214" s="285" t="n"/>
      <c r="Y214" s="285" t="n"/>
      <c r="Z214" s="285" t="n"/>
      <c r="AA214" s="285" t="n"/>
    </row>
    <row r="215" ht="15.75" customHeight="1" s="398">
      <c r="A215" s="317" t="n"/>
      <c r="B215" s="317" t="n"/>
      <c r="C215" s="315" t="n"/>
      <c r="D215" s="315" t="n"/>
      <c r="E215" s="288" t="n"/>
      <c r="F215" s="334" t="n"/>
      <c r="G215" s="391" t="n"/>
      <c r="H215" s="284" t="n"/>
      <c r="I215" s="288" t="n"/>
      <c r="J215" s="288" t="n"/>
      <c r="K215" s="288" t="n"/>
      <c r="L215" s="288" t="n"/>
      <c r="M215" s="288" t="n"/>
      <c r="N215" s="288" t="n"/>
      <c r="O215" s="288" t="n"/>
      <c r="P215" s="288" t="n"/>
      <c r="Q215" s="288" t="n"/>
      <c r="R215" s="288" t="n"/>
      <c r="S215" s="284" t="n"/>
      <c r="T215" s="284" t="n"/>
      <c r="U215" s="285" t="n"/>
      <c r="V215" s="285" t="n"/>
      <c r="W215" s="285" t="n"/>
      <c r="X215" s="285" t="n"/>
      <c r="Y215" s="285" t="n"/>
      <c r="Z215" s="285" t="n"/>
      <c r="AA215" s="285" t="n"/>
    </row>
    <row r="216" ht="15.75" customHeight="1" s="398">
      <c r="A216" s="317" t="n"/>
      <c r="B216" s="317" t="n"/>
      <c r="C216" s="315" t="n"/>
      <c r="D216" s="315" t="n"/>
      <c r="E216" s="288" t="n"/>
      <c r="F216" s="334" t="n"/>
      <c r="G216" s="391" t="n"/>
      <c r="H216" s="284" t="n"/>
      <c r="I216" s="288" t="n"/>
      <c r="J216" s="288" t="n"/>
      <c r="K216" s="288" t="n"/>
      <c r="L216" s="288" t="n"/>
      <c r="M216" s="288" t="n"/>
      <c r="N216" s="288" t="n"/>
      <c r="O216" s="288" t="n"/>
      <c r="P216" s="288" t="n"/>
      <c r="Q216" s="288" t="n"/>
      <c r="R216" s="288" t="n"/>
      <c r="S216" s="284" t="n"/>
      <c r="T216" s="284" t="n"/>
      <c r="U216" s="285" t="n"/>
      <c r="V216" s="285" t="n"/>
      <c r="W216" s="285" t="n"/>
      <c r="X216" s="285" t="n"/>
      <c r="Y216" s="285" t="n"/>
      <c r="Z216" s="285" t="n"/>
      <c r="AA216" s="285" t="n"/>
    </row>
    <row r="217" ht="15.75" customHeight="1" s="398">
      <c r="A217" s="317" t="n"/>
      <c r="B217" s="317" t="n"/>
      <c r="C217" s="315" t="n"/>
      <c r="D217" s="315" t="n"/>
      <c r="E217" s="288" t="n"/>
      <c r="F217" s="334" t="n"/>
      <c r="G217" s="391" t="n"/>
      <c r="H217" s="284" t="n"/>
      <c r="I217" s="288" t="n"/>
      <c r="J217" s="288" t="n"/>
      <c r="K217" s="288" t="n"/>
      <c r="L217" s="288" t="n"/>
      <c r="M217" s="288" t="n"/>
      <c r="N217" s="288" t="n"/>
      <c r="O217" s="288" t="n"/>
      <c r="P217" s="288" t="n"/>
      <c r="Q217" s="288" t="n"/>
      <c r="R217" s="288" t="n"/>
      <c r="S217" s="284" t="n"/>
      <c r="T217" s="284" t="n"/>
      <c r="U217" s="285" t="n"/>
      <c r="V217" s="285" t="n"/>
      <c r="W217" s="285" t="n"/>
      <c r="X217" s="285" t="n"/>
      <c r="Y217" s="285" t="n"/>
      <c r="Z217" s="285" t="n"/>
      <c r="AA217" s="285" t="n"/>
    </row>
    <row r="218" ht="15.75" customHeight="1" s="398">
      <c r="A218" s="317" t="n"/>
      <c r="B218" s="317" t="n"/>
      <c r="C218" s="315" t="n"/>
      <c r="D218" s="315" t="n"/>
      <c r="E218" s="288" t="n"/>
      <c r="F218" s="334" t="n"/>
      <c r="G218" s="391" t="n"/>
      <c r="H218" s="284" t="n"/>
      <c r="I218" s="288" t="n"/>
      <c r="J218" s="288" t="n"/>
      <c r="K218" s="288" t="n"/>
      <c r="L218" s="288" t="n"/>
      <c r="M218" s="288" t="n"/>
      <c r="N218" s="288" t="n"/>
      <c r="O218" s="288" t="n"/>
      <c r="P218" s="288" t="n"/>
      <c r="Q218" s="288" t="n"/>
      <c r="R218" s="288" t="n"/>
      <c r="S218" s="284" t="n"/>
      <c r="T218" s="284" t="n"/>
      <c r="U218" s="285" t="n"/>
      <c r="V218" s="285" t="n"/>
      <c r="W218" s="285" t="n"/>
      <c r="X218" s="285" t="n"/>
      <c r="Y218" s="285" t="n"/>
      <c r="Z218" s="285" t="n"/>
      <c r="AA218" s="285" t="n"/>
    </row>
    <row r="219" ht="15.75" customHeight="1" s="398">
      <c r="A219" s="317" t="n"/>
      <c r="B219" s="317" t="n"/>
      <c r="C219" s="315" t="n"/>
      <c r="D219" s="315" t="n"/>
      <c r="E219" s="288" t="n"/>
      <c r="F219" s="334" t="n"/>
      <c r="G219" s="391" t="n"/>
      <c r="H219" s="284" t="n"/>
      <c r="I219" s="288" t="n"/>
      <c r="J219" s="288" t="n"/>
      <c r="K219" s="288" t="n"/>
      <c r="L219" s="288" t="n"/>
      <c r="M219" s="288" t="n"/>
      <c r="N219" s="288" t="n"/>
      <c r="O219" s="288" t="n"/>
      <c r="P219" s="288" t="n"/>
      <c r="Q219" s="288" t="n"/>
      <c r="R219" s="288" t="n"/>
      <c r="S219" s="284" t="n"/>
      <c r="T219" s="284" t="n"/>
      <c r="U219" s="285" t="n"/>
      <c r="V219" s="285" t="n"/>
      <c r="W219" s="285" t="n"/>
      <c r="X219" s="285" t="n"/>
      <c r="Y219" s="285" t="n"/>
      <c r="Z219" s="285" t="n"/>
      <c r="AA219" s="285" t="n"/>
    </row>
    <row r="220" ht="15.75" customHeight="1" s="398">
      <c r="A220" s="317" t="n"/>
      <c r="B220" s="317" t="n"/>
      <c r="C220" s="315" t="n"/>
      <c r="D220" s="315" t="n"/>
      <c r="E220" s="288" t="n"/>
      <c r="F220" s="334" t="n"/>
      <c r="G220" s="391" t="n"/>
      <c r="H220" s="284" t="n"/>
      <c r="I220" s="288" t="n"/>
      <c r="J220" s="288" t="n"/>
      <c r="K220" s="288" t="n"/>
      <c r="L220" s="288" t="n"/>
      <c r="M220" s="288" t="n"/>
      <c r="N220" s="288" t="n"/>
      <c r="O220" s="288" t="n"/>
      <c r="P220" s="288" t="n"/>
      <c r="Q220" s="288" t="n"/>
      <c r="R220" s="288" t="n"/>
      <c r="S220" s="284" t="n"/>
      <c r="T220" s="284" t="n"/>
      <c r="U220" s="285" t="n"/>
      <c r="V220" s="285" t="n"/>
      <c r="W220" s="285" t="n"/>
      <c r="X220" s="285" t="n"/>
      <c r="Y220" s="285" t="n"/>
      <c r="Z220" s="285" t="n"/>
      <c r="AA220" s="285" t="n"/>
    </row>
    <row r="221" ht="15.75" customHeight="1" s="398">
      <c r="A221" s="317" t="n"/>
      <c r="B221" s="317" t="n"/>
      <c r="C221" s="315" t="n"/>
      <c r="D221" s="315" t="n"/>
      <c r="E221" s="288" t="n"/>
      <c r="F221" s="334" t="n"/>
      <c r="G221" s="391" t="n"/>
      <c r="H221" s="284" t="n"/>
      <c r="I221" s="288" t="n"/>
      <c r="J221" s="288" t="n"/>
      <c r="K221" s="288" t="n"/>
      <c r="L221" s="288" t="n"/>
      <c r="M221" s="288" t="n"/>
      <c r="N221" s="288" t="n"/>
      <c r="O221" s="288" t="n"/>
      <c r="P221" s="288" t="n"/>
      <c r="Q221" s="288" t="n"/>
      <c r="R221" s="288" t="n"/>
      <c r="S221" s="284" t="n"/>
      <c r="T221" s="284" t="n"/>
      <c r="U221" s="285" t="n"/>
      <c r="V221" s="285" t="n"/>
      <c r="W221" s="285" t="n"/>
      <c r="X221" s="285" t="n"/>
      <c r="Y221" s="285" t="n"/>
      <c r="Z221" s="285" t="n"/>
      <c r="AA221" s="285" t="n"/>
    </row>
    <row r="222" ht="15.75" customHeight="1" s="398">
      <c r="A222" s="317" t="n"/>
      <c r="B222" s="317" t="n"/>
      <c r="C222" s="315" t="n"/>
      <c r="D222" s="315" t="n"/>
      <c r="E222" s="288" t="n"/>
      <c r="F222" s="334" t="n"/>
      <c r="G222" s="391" t="n"/>
      <c r="H222" s="284" t="n"/>
      <c r="I222" s="288" t="n"/>
      <c r="J222" s="288" t="n"/>
      <c r="K222" s="288" t="n"/>
      <c r="L222" s="288" t="n"/>
      <c r="M222" s="288" t="n"/>
      <c r="N222" s="288" t="n"/>
      <c r="O222" s="288" t="n"/>
      <c r="P222" s="288" t="n"/>
      <c r="Q222" s="288" t="n"/>
      <c r="R222" s="288" t="n"/>
      <c r="S222" s="284" t="n"/>
      <c r="T222" s="284" t="n"/>
      <c r="U222" s="285" t="n"/>
      <c r="V222" s="285" t="n"/>
      <c r="W222" s="285" t="n"/>
      <c r="X222" s="285" t="n"/>
      <c r="Y222" s="285" t="n"/>
      <c r="Z222" s="285" t="n"/>
      <c r="AA222" s="285" t="n"/>
    </row>
    <row r="223" ht="15.75" customHeight="1" s="398">
      <c r="A223" s="317" t="n"/>
      <c r="B223" s="317" t="n"/>
      <c r="C223" s="315" t="n"/>
      <c r="D223" s="315" t="n"/>
      <c r="E223" s="288" t="n"/>
      <c r="F223" s="334" t="n"/>
      <c r="G223" s="391" t="n"/>
      <c r="H223" s="284" t="n"/>
      <c r="I223" s="288" t="n"/>
      <c r="J223" s="288" t="n"/>
      <c r="K223" s="288" t="n"/>
      <c r="L223" s="288" t="n"/>
      <c r="M223" s="288" t="n"/>
      <c r="N223" s="288" t="n"/>
      <c r="O223" s="288" t="n"/>
      <c r="P223" s="288" t="n"/>
      <c r="Q223" s="288" t="n"/>
      <c r="R223" s="288" t="n"/>
      <c r="S223" s="284" t="n"/>
      <c r="T223" s="284" t="n"/>
      <c r="U223" s="285" t="n"/>
      <c r="V223" s="285" t="n"/>
      <c r="W223" s="285" t="n"/>
      <c r="X223" s="285" t="n"/>
      <c r="Y223" s="285" t="n"/>
      <c r="Z223" s="285" t="n"/>
      <c r="AA223" s="285" t="n"/>
    </row>
    <row r="224" ht="15.75" customHeight="1" s="398">
      <c r="A224" s="317" t="n"/>
      <c r="B224" s="317" t="n"/>
      <c r="C224" s="315" t="n"/>
      <c r="D224" s="315" t="n"/>
      <c r="E224" s="288" t="n"/>
      <c r="F224" s="334" t="n"/>
      <c r="G224" s="391" t="n"/>
      <c r="H224" s="284" t="n"/>
      <c r="I224" s="288" t="n"/>
      <c r="J224" s="288" t="n"/>
      <c r="K224" s="288" t="n"/>
      <c r="L224" s="288" t="n"/>
      <c r="M224" s="288" t="n"/>
      <c r="N224" s="288" t="n"/>
      <c r="O224" s="288" t="n"/>
      <c r="P224" s="288" t="n"/>
      <c r="Q224" s="288" t="n"/>
      <c r="R224" s="288" t="n"/>
      <c r="S224" s="284" t="n"/>
      <c r="T224" s="284" t="n"/>
      <c r="U224" s="285" t="n"/>
      <c r="V224" s="285" t="n"/>
      <c r="W224" s="285" t="n"/>
      <c r="X224" s="285" t="n"/>
      <c r="Y224" s="285" t="n"/>
      <c r="Z224" s="285" t="n"/>
      <c r="AA224" s="285" t="n"/>
    </row>
    <row r="225" ht="15.75" customHeight="1" s="398">
      <c r="A225" s="317" t="n"/>
      <c r="B225" s="317" t="n"/>
      <c r="C225" s="315" t="n"/>
      <c r="D225" s="315" t="n"/>
      <c r="E225" s="288" t="n"/>
      <c r="F225" s="334" t="n"/>
      <c r="G225" s="391" t="n"/>
      <c r="H225" s="284" t="n"/>
      <c r="I225" s="288" t="n"/>
      <c r="J225" s="288" t="n"/>
      <c r="K225" s="288" t="n"/>
      <c r="L225" s="288" t="n"/>
      <c r="M225" s="288" t="n"/>
      <c r="N225" s="288" t="n"/>
      <c r="O225" s="288" t="n"/>
      <c r="P225" s="288" t="n"/>
      <c r="Q225" s="288" t="n"/>
      <c r="R225" s="288" t="n"/>
      <c r="S225" s="284" t="n"/>
      <c r="T225" s="284" t="n"/>
      <c r="U225" s="285" t="n"/>
      <c r="V225" s="285" t="n"/>
      <c r="W225" s="285" t="n"/>
      <c r="X225" s="285" t="n"/>
      <c r="Y225" s="285" t="n"/>
      <c r="Z225" s="285" t="n"/>
      <c r="AA225" s="285" t="n"/>
    </row>
    <row r="226" ht="15.75" customHeight="1" s="398">
      <c r="A226" s="317" t="n"/>
      <c r="B226" s="317" t="n"/>
      <c r="C226" s="315" t="n"/>
      <c r="D226" s="315" t="n"/>
      <c r="E226" s="288" t="n"/>
      <c r="F226" s="334" t="n"/>
      <c r="G226" s="391" t="n"/>
      <c r="H226" s="284" t="n"/>
      <c r="I226" s="288" t="n"/>
      <c r="J226" s="288" t="n"/>
      <c r="K226" s="288" t="n"/>
      <c r="L226" s="288" t="n"/>
      <c r="M226" s="288" t="n"/>
      <c r="N226" s="288" t="n"/>
      <c r="O226" s="288" t="n"/>
      <c r="P226" s="288" t="n"/>
      <c r="Q226" s="288" t="n"/>
      <c r="R226" s="288" t="n"/>
      <c r="S226" s="284" t="n"/>
      <c r="T226" s="284" t="n"/>
      <c r="U226" s="285" t="n"/>
      <c r="V226" s="285" t="n"/>
      <c r="W226" s="285" t="n"/>
      <c r="X226" s="285" t="n"/>
      <c r="Y226" s="285" t="n"/>
      <c r="Z226" s="285" t="n"/>
      <c r="AA226" s="285" t="n"/>
    </row>
    <row r="227" ht="15.75" customHeight="1" s="398">
      <c r="A227" s="317" t="n"/>
      <c r="B227" s="317" t="n"/>
      <c r="C227" s="315" t="n"/>
      <c r="D227" s="315" t="n"/>
      <c r="E227" s="288" t="n"/>
      <c r="F227" s="334" t="n"/>
      <c r="G227" s="391" t="n"/>
      <c r="H227" s="284" t="n"/>
      <c r="I227" s="288" t="n"/>
      <c r="J227" s="288" t="n"/>
      <c r="K227" s="288" t="n"/>
      <c r="L227" s="288" t="n"/>
      <c r="M227" s="288" t="n"/>
      <c r="N227" s="288" t="n"/>
      <c r="O227" s="288" t="n"/>
      <c r="P227" s="288" t="n"/>
      <c r="Q227" s="288" t="n"/>
      <c r="R227" s="288" t="n"/>
      <c r="S227" s="284" t="n"/>
      <c r="T227" s="284" t="n"/>
      <c r="U227" s="285" t="n"/>
      <c r="V227" s="285" t="n"/>
      <c r="W227" s="285" t="n"/>
      <c r="X227" s="285" t="n"/>
      <c r="Y227" s="285" t="n"/>
      <c r="Z227" s="285" t="n"/>
      <c r="AA227" s="285" t="n"/>
    </row>
    <row r="228" ht="15.75" customHeight="1" s="398">
      <c r="A228" s="317" t="n"/>
      <c r="B228" s="317" t="n"/>
      <c r="C228" s="315" t="n"/>
      <c r="D228" s="315" t="n"/>
      <c r="E228" s="288" t="n"/>
      <c r="F228" s="334" t="n"/>
      <c r="G228" s="391" t="n"/>
      <c r="H228" s="284" t="n"/>
      <c r="I228" s="288" t="n"/>
      <c r="J228" s="288" t="n"/>
      <c r="K228" s="288" t="n"/>
      <c r="L228" s="288" t="n"/>
      <c r="M228" s="288" t="n"/>
      <c r="N228" s="288" t="n"/>
      <c r="O228" s="288" t="n"/>
      <c r="P228" s="288" t="n"/>
      <c r="Q228" s="288" t="n"/>
      <c r="R228" s="288" t="n"/>
      <c r="S228" s="284" t="n"/>
      <c r="T228" s="284" t="n"/>
      <c r="U228" s="285" t="n"/>
      <c r="V228" s="285" t="n"/>
      <c r="W228" s="285" t="n"/>
      <c r="X228" s="285" t="n"/>
      <c r="Y228" s="285" t="n"/>
      <c r="Z228" s="285" t="n"/>
      <c r="AA228" s="285" t="n"/>
    </row>
    <row r="229" ht="15.75" customHeight="1" s="398">
      <c r="A229" s="317" t="n"/>
      <c r="B229" s="317" t="n"/>
      <c r="C229" s="315" t="n"/>
      <c r="D229" s="315" t="n"/>
      <c r="E229" s="288" t="n"/>
      <c r="F229" s="334" t="n"/>
      <c r="G229" s="391" t="n"/>
      <c r="H229" s="284" t="n"/>
      <c r="I229" s="288" t="n"/>
      <c r="J229" s="288" t="n"/>
      <c r="K229" s="288" t="n"/>
      <c r="L229" s="288" t="n"/>
      <c r="M229" s="288" t="n"/>
      <c r="N229" s="288" t="n"/>
      <c r="O229" s="288" t="n"/>
      <c r="P229" s="288" t="n"/>
      <c r="Q229" s="288" t="n"/>
      <c r="R229" s="288" t="n"/>
      <c r="S229" s="284" t="n"/>
      <c r="T229" s="284" t="n"/>
      <c r="U229" s="285" t="n"/>
      <c r="V229" s="285" t="n"/>
      <c r="W229" s="285" t="n"/>
      <c r="X229" s="285" t="n"/>
      <c r="Y229" s="285" t="n"/>
      <c r="Z229" s="285" t="n"/>
      <c r="AA229" s="285" t="n"/>
    </row>
    <row r="230" ht="15.75" customHeight="1" s="398">
      <c r="A230" s="317" t="n"/>
      <c r="B230" s="317" t="n"/>
      <c r="C230" s="315" t="n"/>
      <c r="D230" s="315" t="n"/>
      <c r="E230" s="288" t="n"/>
      <c r="F230" s="334" t="n"/>
      <c r="G230" s="391" t="n"/>
      <c r="H230" s="284" t="n"/>
      <c r="I230" s="288" t="n"/>
      <c r="J230" s="288" t="n"/>
      <c r="K230" s="288" t="n"/>
      <c r="L230" s="288" t="n"/>
      <c r="M230" s="288" t="n"/>
      <c r="N230" s="288" t="n"/>
      <c r="O230" s="288" t="n"/>
      <c r="P230" s="288" t="n"/>
      <c r="Q230" s="288" t="n"/>
      <c r="R230" s="288" t="n"/>
      <c r="S230" s="284" t="n"/>
      <c r="T230" s="284" t="n"/>
      <c r="U230" s="285" t="n"/>
      <c r="V230" s="285" t="n"/>
      <c r="W230" s="285" t="n"/>
      <c r="X230" s="285" t="n"/>
      <c r="Y230" s="285" t="n"/>
      <c r="Z230" s="285" t="n"/>
      <c r="AA230" s="285" t="n"/>
    </row>
    <row r="231" ht="15.75" customHeight="1" s="398">
      <c r="A231" s="317" t="n"/>
      <c r="B231" s="317" t="n"/>
      <c r="C231" s="315" t="n"/>
      <c r="D231" s="315" t="n"/>
      <c r="E231" s="288" t="n"/>
      <c r="F231" s="334" t="n"/>
      <c r="G231" s="391" t="n"/>
      <c r="H231" s="284" t="n"/>
      <c r="I231" s="288" t="n"/>
      <c r="J231" s="288" t="n"/>
      <c r="K231" s="288" t="n"/>
      <c r="L231" s="288" t="n"/>
      <c r="M231" s="288" t="n"/>
      <c r="N231" s="288" t="n"/>
      <c r="O231" s="288" t="n"/>
      <c r="P231" s="288" t="n"/>
      <c r="Q231" s="288" t="n"/>
      <c r="R231" s="288" t="n"/>
      <c r="S231" s="284" t="n"/>
      <c r="T231" s="284" t="n"/>
      <c r="U231" s="285" t="n"/>
      <c r="V231" s="285" t="n"/>
      <c r="W231" s="285" t="n"/>
      <c r="X231" s="285" t="n"/>
      <c r="Y231" s="285" t="n"/>
      <c r="Z231" s="285" t="n"/>
      <c r="AA231" s="285" t="n"/>
    </row>
    <row r="232" ht="15.75" customHeight="1" s="398">
      <c r="A232" s="317" t="n"/>
      <c r="B232" s="317" t="n"/>
      <c r="C232" s="315" t="n"/>
      <c r="D232" s="315" t="n"/>
      <c r="E232" s="288" t="n"/>
      <c r="F232" s="334" t="n"/>
      <c r="G232" s="391" t="n"/>
      <c r="H232" s="284" t="n"/>
      <c r="I232" s="288" t="n"/>
      <c r="J232" s="288" t="n"/>
      <c r="K232" s="288" t="n"/>
      <c r="L232" s="288" t="n"/>
      <c r="M232" s="288" t="n"/>
      <c r="N232" s="288" t="n"/>
      <c r="O232" s="288" t="n"/>
      <c r="P232" s="288" t="n"/>
      <c r="Q232" s="288" t="n"/>
      <c r="R232" s="288" t="n"/>
      <c r="S232" s="284" t="n"/>
      <c r="T232" s="284" t="n"/>
      <c r="U232" s="285" t="n"/>
      <c r="V232" s="285" t="n"/>
      <c r="W232" s="285" t="n"/>
      <c r="X232" s="285" t="n"/>
      <c r="Y232" s="285" t="n"/>
      <c r="Z232" s="285" t="n"/>
      <c r="AA232" s="285" t="n"/>
    </row>
    <row r="233" ht="15.75" customHeight="1" s="398">
      <c r="A233" s="317" t="n"/>
      <c r="B233" s="317" t="n"/>
      <c r="C233" s="315" t="n"/>
      <c r="D233" s="315" t="n"/>
      <c r="E233" s="288" t="n"/>
      <c r="F233" s="334" t="n"/>
      <c r="G233" s="391" t="n"/>
      <c r="H233" s="284" t="n"/>
      <c r="I233" s="288" t="n"/>
      <c r="J233" s="288" t="n"/>
      <c r="K233" s="288" t="n"/>
      <c r="L233" s="288" t="n"/>
      <c r="M233" s="288" t="n"/>
      <c r="N233" s="288" t="n"/>
      <c r="O233" s="288" t="n"/>
      <c r="P233" s="288" t="n"/>
      <c r="Q233" s="288" t="n"/>
      <c r="R233" s="288" t="n"/>
      <c r="S233" s="284" t="n"/>
      <c r="T233" s="284" t="n"/>
      <c r="U233" s="285" t="n"/>
      <c r="V233" s="285" t="n"/>
      <c r="W233" s="285" t="n"/>
      <c r="X233" s="285" t="n"/>
      <c r="Y233" s="285" t="n"/>
      <c r="Z233" s="285" t="n"/>
      <c r="AA233" s="285" t="n"/>
    </row>
    <row r="234" ht="15.75" customHeight="1" s="398">
      <c r="A234" s="317" t="n"/>
      <c r="B234" s="317" t="n"/>
      <c r="C234" s="315" t="n"/>
      <c r="D234" s="315" t="n"/>
      <c r="E234" s="288" t="n"/>
      <c r="F234" s="334" t="n"/>
      <c r="G234" s="391" t="n"/>
      <c r="H234" s="284" t="n"/>
      <c r="I234" s="288" t="n"/>
      <c r="J234" s="288" t="n"/>
      <c r="K234" s="288" t="n"/>
      <c r="L234" s="288" t="n"/>
      <c r="M234" s="288" t="n"/>
      <c r="N234" s="288" t="n"/>
      <c r="O234" s="288" t="n"/>
      <c r="P234" s="288" t="n"/>
      <c r="Q234" s="288" t="n"/>
      <c r="R234" s="288" t="n"/>
      <c r="S234" s="284" t="n"/>
      <c r="T234" s="284" t="n"/>
      <c r="U234" s="285" t="n"/>
      <c r="V234" s="285" t="n"/>
      <c r="W234" s="285" t="n"/>
      <c r="X234" s="285" t="n"/>
      <c r="Y234" s="285" t="n"/>
      <c r="Z234" s="285" t="n"/>
      <c r="AA234" s="285" t="n"/>
    </row>
    <row r="235" ht="15.75" customHeight="1" s="398">
      <c r="A235" s="317" t="n"/>
      <c r="B235" s="317" t="n"/>
      <c r="C235" s="315" t="n"/>
      <c r="D235" s="315" t="n"/>
      <c r="E235" s="288" t="n"/>
      <c r="F235" s="334" t="n"/>
      <c r="G235" s="391" t="n"/>
      <c r="H235" s="284" t="n"/>
      <c r="I235" s="288" t="n"/>
      <c r="J235" s="288" t="n"/>
      <c r="K235" s="288" t="n"/>
      <c r="L235" s="288" t="n"/>
      <c r="M235" s="288" t="n"/>
      <c r="N235" s="288" t="n"/>
      <c r="O235" s="288" t="n"/>
      <c r="P235" s="288" t="n"/>
      <c r="Q235" s="288" t="n"/>
      <c r="R235" s="288" t="n"/>
      <c r="S235" s="284" t="n"/>
      <c r="T235" s="284" t="n"/>
      <c r="U235" s="285" t="n"/>
      <c r="V235" s="285" t="n"/>
      <c r="W235" s="285" t="n"/>
      <c r="X235" s="285" t="n"/>
      <c r="Y235" s="285" t="n"/>
      <c r="Z235" s="285" t="n"/>
      <c r="AA235" s="285" t="n"/>
    </row>
    <row r="236" ht="15.75" customHeight="1" s="398">
      <c r="A236" s="317" t="n"/>
      <c r="B236" s="317" t="n"/>
      <c r="C236" s="315" t="n"/>
      <c r="D236" s="315" t="n"/>
      <c r="E236" s="288" t="n"/>
      <c r="F236" s="334" t="n"/>
      <c r="G236" s="391" t="n"/>
      <c r="H236" s="284" t="n"/>
      <c r="I236" s="288" t="n"/>
      <c r="J236" s="288" t="n"/>
      <c r="K236" s="288" t="n"/>
      <c r="L236" s="288" t="n"/>
      <c r="M236" s="288" t="n"/>
      <c r="N236" s="288" t="n"/>
      <c r="O236" s="288" t="n"/>
      <c r="P236" s="288" t="n"/>
      <c r="Q236" s="288" t="n"/>
      <c r="R236" s="288" t="n"/>
      <c r="S236" s="284" t="n"/>
      <c r="T236" s="284" t="n"/>
      <c r="U236" s="285" t="n"/>
      <c r="V236" s="285" t="n"/>
      <c r="W236" s="285" t="n"/>
      <c r="X236" s="285" t="n"/>
      <c r="Y236" s="285" t="n"/>
      <c r="Z236" s="285" t="n"/>
      <c r="AA236" s="285" t="n"/>
    </row>
    <row r="237" ht="15.75" customHeight="1" s="398">
      <c r="A237" s="317" t="n"/>
      <c r="B237" s="317" t="n"/>
      <c r="C237" s="315" t="n"/>
      <c r="D237" s="315" t="n"/>
      <c r="E237" s="288" t="n"/>
      <c r="F237" s="334" t="n"/>
      <c r="G237" s="391" t="n"/>
      <c r="H237" s="284" t="n"/>
      <c r="I237" s="288" t="n"/>
      <c r="J237" s="288" t="n"/>
      <c r="K237" s="288" t="n"/>
      <c r="L237" s="288" t="n"/>
      <c r="M237" s="288" t="n"/>
      <c r="N237" s="288" t="n"/>
      <c r="O237" s="288" t="n"/>
      <c r="P237" s="288" t="n"/>
      <c r="Q237" s="288" t="n"/>
      <c r="R237" s="288" t="n"/>
      <c r="S237" s="284" t="n"/>
      <c r="T237" s="284" t="n"/>
      <c r="U237" s="285" t="n"/>
      <c r="V237" s="285" t="n"/>
      <c r="W237" s="285" t="n"/>
      <c r="X237" s="285" t="n"/>
      <c r="Y237" s="285" t="n"/>
      <c r="Z237" s="285" t="n"/>
      <c r="AA237" s="285" t="n"/>
    </row>
    <row r="238" ht="15.75" customHeight="1" s="398">
      <c r="A238" s="317" t="n"/>
      <c r="B238" s="317" t="n"/>
      <c r="C238" s="315" t="n"/>
      <c r="D238" s="315" t="n"/>
      <c r="E238" s="288" t="n"/>
      <c r="F238" s="334" t="n"/>
      <c r="G238" s="391" t="n"/>
      <c r="H238" s="284" t="n"/>
      <c r="I238" s="288" t="n"/>
      <c r="J238" s="288" t="n"/>
      <c r="K238" s="288" t="n"/>
      <c r="L238" s="288" t="n"/>
      <c r="M238" s="288" t="n"/>
      <c r="N238" s="288" t="n"/>
      <c r="O238" s="288" t="n"/>
      <c r="P238" s="288" t="n"/>
      <c r="Q238" s="288" t="n"/>
      <c r="R238" s="288" t="n"/>
      <c r="S238" s="284" t="n"/>
      <c r="T238" s="284" t="n"/>
      <c r="U238" s="285" t="n"/>
      <c r="V238" s="285" t="n"/>
      <c r="W238" s="285" t="n"/>
      <c r="X238" s="285" t="n"/>
      <c r="Y238" s="285" t="n"/>
      <c r="Z238" s="285" t="n"/>
      <c r="AA238" s="285" t="n"/>
    </row>
    <row r="239" ht="15.75" customHeight="1" s="398">
      <c r="A239" s="317" t="n"/>
      <c r="B239" s="317" t="n"/>
      <c r="C239" s="315" t="n"/>
      <c r="D239" s="315" t="n"/>
      <c r="E239" s="288" t="n"/>
      <c r="F239" s="334" t="n"/>
      <c r="G239" s="391" t="n"/>
      <c r="H239" s="284" t="n"/>
      <c r="I239" s="288" t="n"/>
      <c r="J239" s="288" t="n"/>
      <c r="K239" s="288" t="n"/>
      <c r="L239" s="288" t="n"/>
      <c r="M239" s="288" t="n"/>
      <c r="N239" s="288" t="n"/>
      <c r="O239" s="288" t="n"/>
      <c r="P239" s="288" t="n"/>
      <c r="Q239" s="288" t="n"/>
      <c r="R239" s="288" t="n"/>
      <c r="S239" s="284" t="n"/>
      <c r="T239" s="284" t="n"/>
      <c r="U239" s="285" t="n"/>
      <c r="V239" s="285" t="n"/>
      <c r="W239" s="285" t="n"/>
      <c r="X239" s="285" t="n"/>
      <c r="Y239" s="285" t="n"/>
      <c r="Z239" s="285" t="n"/>
      <c r="AA239" s="285" t="n"/>
    </row>
    <row r="240" ht="15.75" customHeight="1" s="398">
      <c r="A240" s="317" t="n"/>
      <c r="B240" s="317" t="n"/>
      <c r="C240" s="315" t="n"/>
      <c r="D240" s="315" t="n"/>
      <c r="E240" s="288" t="n"/>
      <c r="F240" s="334" t="n"/>
      <c r="G240" s="391" t="n"/>
      <c r="H240" s="284" t="n"/>
      <c r="I240" s="288" t="n"/>
      <c r="J240" s="288" t="n"/>
      <c r="K240" s="288" t="n"/>
      <c r="L240" s="288" t="n"/>
      <c r="M240" s="288" t="n"/>
      <c r="N240" s="288" t="n"/>
      <c r="O240" s="288" t="n"/>
      <c r="P240" s="288" t="n"/>
      <c r="Q240" s="288" t="n"/>
      <c r="R240" s="288" t="n"/>
      <c r="S240" s="284" t="n"/>
      <c r="T240" s="284" t="n"/>
      <c r="U240" s="285" t="n"/>
      <c r="V240" s="285" t="n"/>
      <c r="W240" s="285" t="n"/>
      <c r="X240" s="285" t="n"/>
      <c r="Y240" s="285" t="n"/>
      <c r="Z240" s="285" t="n"/>
      <c r="AA240" s="285" t="n"/>
    </row>
    <row r="241" ht="15.75" customHeight="1" s="398">
      <c r="A241" s="317" t="n"/>
      <c r="B241" s="317" t="n"/>
      <c r="C241" s="315" t="n"/>
      <c r="D241" s="315" t="n"/>
      <c r="E241" s="288" t="n"/>
      <c r="F241" s="334" t="n"/>
      <c r="G241" s="391" t="n"/>
      <c r="H241" s="284" t="n"/>
      <c r="I241" s="288" t="n"/>
      <c r="J241" s="288" t="n"/>
      <c r="K241" s="288" t="n"/>
      <c r="L241" s="288" t="n"/>
      <c r="M241" s="288" t="n"/>
      <c r="N241" s="288" t="n"/>
      <c r="O241" s="288" t="n"/>
      <c r="P241" s="288" t="n"/>
      <c r="Q241" s="288" t="n"/>
      <c r="R241" s="288" t="n"/>
      <c r="S241" s="284" t="n"/>
      <c r="T241" s="284" t="n"/>
      <c r="U241" s="285" t="n"/>
      <c r="V241" s="285" t="n"/>
      <c r="W241" s="285" t="n"/>
      <c r="X241" s="285" t="n"/>
      <c r="Y241" s="285" t="n"/>
      <c r="Z241" s="285" t="n"/>
      <c r="AA241" s="285" t="n"/>
    </row>
    <row r="242" ht="15.75" customHeight="1" s="398">
      <c r="A242" s="317" t="n"/>
      <c r="B242" s="317" t="n"/>
      <c r="C242" s="315" t="n"/>
      <c r="D242" s="315" t="n"/>
      <c r="E242" s="288" t="n"/>
      <c r="F242" s="334" t="n"/>
      <c r="G242" s="391" t="n"/>
      <c r="H242" s="284" t="n"/>
      <c r="I242" s="288" t="n"/>
      <c r="J242" s="288" t="n"/>
      <c r="K242" s="288" t="n"/>
      <c r="L242" s="288" t="n"/>
      <c r="M242" s="288" t="n"/>
      <c r="N242" s="288" t="n"/>
      <c r="O242" s="288" t="n"/>
      <c r="P242" s="288" t="n"/>
      <c r="Q242" s="288" t="n"/>
      <c r="R242" s="288" t="n"/>
      <c r="S242" s="284" t="n"/>
      <c r="T242" s="284" t="n"/>
      <c r="U242" s="285" t="n"/>
      <c r="V242" s="285" t="n"/>
      <c r="W242" s="285" t="n"/>
      <c r="X242" s="285" t="n"/>
      <c r="Y242" s="285" t="n"/>
      <c r="Z242" s="285" t="n"/>
      <c r="AA242" s="285" t="n"/>
    </row>
    <row r="243" ht="15.75" customHeight="1" s="398">
      <c r="A243" s="317" t="n"/>
      <c r="B243" s="317" t="n"/>
      <c r="C243" s="315" t="n"/>
      <c r="D243" s="315" t="n"/>
      <c r="E243" s="288" t="n"/>
      <c r="F243" s="334" t="n"/>
      <c r="G243" s="391" t="n"/>
      <c r="H243" s="284" t="n"/>
      <c r="I243" s="288" t="n"/>
      <c r="J243" s="288" t="n"/>
      <c r="K243" s="288" t="n"/>
      <c r="L243" s="288" t="n"/>
      <c r="M243" s="288" t="n"/>
      <c r="N243" s="288" t="n"/>
      <c r="O243" s="288" t="n"/>
      <c r="P243" s="288" t="n"/>
      <c r="Q243" s="288" t="n"/>
      <c r="R243" s="288" t="n"/>
      <c r="S243" s="284" t="n"/>
      <c r="T243" s="284" t="n"/>
      <c r="U243" s="285" t="n"/>
      <c r="V243" s="285" t="n"/>
      <c r="W243" s="285" t="n"/>
      <c r="X243" s="285" t="n"/>
      <c r="Y243" s="285" t="n"/>
      <c r="Z243" s="285" t="n"/>
      <c r="AA243" s="285" t="n"/>
    </row>
    <row r="244" ht="15.75" customHeight="1" s="398">
      <c r="A244" s="317" t="n"/>
      <c r="B244" s="317" t="n"/>
      <c r="C244" s="315" t="n"/>
      <c r="D244" s="315" t="n"/>
      <c r="E244" s="288" t="n"/>
      <c r="F244" s="334" t="n"/>
      <c r="G244" s="391" t="n"/>
      <c r="H244" s="284" t="n"/>
      <c r="I244" s="288" t="n"/>
      <c r="J244" s="288" t="n"/>
      <c r="K244" s="288" t="n"/>
      <c r="L244" s="288" t="n"/>
      <c r="M244" s="288" t="n"/>
      <c r="N244" s="288" t="n"/>
      <c r="O244" s="288" t="n"/>
      <c r="P244" s="288" t="n"/>
      <c r="Q244" s="288" t="n"/>
      <c r="R244" s="288" t="n"/>
      <c r="S244" s="284" t="n"/>
      <c r="T244" s="284" t="n"/>
      <c r="U244" s="285" t="n"/>
      <c r="V244" s="285" t="n"/>
      <c r="W244" s="285" t="n"/>
      <c r="X244" s="285" t="n"/>
      <c r="Y244" s="285" t="n"/>
      <c r="Z244" s="285" t="n"/>
      <c r="AA244" s="285" t="n"/>
    </row>
    <row r="245" ht="15.75" customHeight="1" s="398">
      <c r="A245" s="317" t="n"/>
      <c r="B245" s="317" t="n"/>
      <c r="C245" s="315" t="n"/>
      <c r="D245" s="315" t="n"/>
      <c r="E245" s="288" t="n"/>
      <c r="F245" s="334" t="n"/>
      <c r="G245" s="391" t="n"/>
      <c r="H245" s="284" t="n"/>
      <c r="I245" s="288" t="n"/>
      <c r="J245" s="288" t="n"/>
      <c r="K245" s="288" t="n"/>
      <c r="L245" s="288" t="n"/>
      <c r="M245" s="288" t="n"/>
      <c r="N245" s="288" t="n"/>
      <c r="O245" s="288" t="n"/>
      <c r="P245" s="288" t="n"/>
      <c r="Q245" s="288" t="n"/>
      <c r="R245" s="288" t="n"/>
      <c r="S245" s="284" t="n"/>
      <c r="T245" s="284" t="n"/>
      <c r="U245" s="285" t="n"/>
      <c r="V245" s="285" t="n"/>
      <c r="W245" s="285" t="n"/>
      <c r="X245" s="285" t="n"/>
      <c r="Y245" s="285" t="n"/>
      <c r="Z245" s="285" t="n"/>
      <c r="AA245" s="285" t="n"/>
    </row>
    <row r="246" ht="15.75" customHeight="1" s="398">
      <c r="A246" s="317" t="n"/>
      <c r="B246" s="317" t="n"/>
      <c r="C246" s="315" t="n"/>
      <c r="D246" s="315" t="n"/>
      <c r="E246" s="288" t="n"/>
      <c r="F246" s="334" t="n"/>
      <c r="G246" s="391" t="n"/>
      <c r="H246" s="284" t="n"/>
      <c r="I246" s="288" t="n"/>
      <c r="J246" s="288" t="n"/>
      <c r="K246" s="288" t="n"/>
      <c r="L246" s="288" t="n"/>
      <c r="M246" s="288" t="n"/>
      <c r="N246" s="288" t="n"/>
      <c r="O246" s="288" t="n"/>
      <c r="P246" s="288" t="n"/>
      <c r="Q246" s="288" t="n"/>
      <c r="R246" s="288" t="n"/>
      <c r="S246" s="284" t="n"/>
      <c r="T246" s="284" t="n"/>
      <c r="U246" s="285" t="n"/>
      <c r="V246" s="285" t="n"/>
      <c r="W246" s="285" t="n"/>
      <c r="X246" s="285" t="n"/>
      <c r="Y246" s="285" t="n"/>
      <c r="Z246" s="285" t="n"/>
      <c r="AA246" s="285" t="n"/>
    </row>
    <row r="247" ht="15.75" customHeight="1" s="398">
      <c r="A247" s="317" t="n"/>
      <c r="B247" s="317" t="n"/>
      <c r="C247" s="315" t="n"/>
      <c r="D247" s="315" t="n"/>
      <c r="E247" s="288" t="n"/>
      <c r="F247" s="334" t="n"/>
      <c r="G247" s="391" t="n"/>
      <c r="H247" s="284" t="n"/>
      <c r="I247" s="288" t="n"/>
      <c r="J247" s="288" t="n"/>
      <c r="K247" s="288" t="n"/>
      <c r="L247" s="288" t="n"/>
      <c r="M247" s="288" t="n"/>
      <c r="N247" s="288" t="n"/>
      <c r="O247" s="288" t="n"/>
      <c r="P247" s="288" t="n"/>
      <c r="Q247" s="288" t="n"/>
      <c r="R247" s="288" t="n"/>
      <c r="S247" s="284" t="n"/>
      <c r="T247" s="284" t="n"/>
      <c r="U247" s="285" t="n"/>
      <c r="V247" s="285" t="n"/>
      <c r="W247" s="285" t="n"/>
      <c r="X247" s="285" t="n"/>
      <c r="Y247" s="285" t="n"/>
      <c r="Z247" s="285" t="n"/>
      <c r="AA247" s="285" t="n"/>
    </row>
    <row r="248" ht="15.75" customHeight="1" s="398">
      <c r="A248" s="317" t="n"/>
      <c r="B248" s="317" t="n"/>
      <c r="C248" s="315" t="n"/>
      <c r="D248" s="315" t="n"/>
      <c r="E248" s="288" t="n"/>
      <c r="F248" s="334" t="n"/>
      <c r="G248" s="391" t="n"/>
      <c r="H248" s="284" t="n"/>
      <c r="I248" s="288" t="n"/>
      <c r="J248" s="288" t="n"/>
      <c r="K248" s="288" t="n"/>
      <c r="L248" s="288" t="n"/>
      <c r="M248" s="288" t="n"/>
      <c r="N248" s="288" t="n"/>
      <c r="O248" s="288" t="n"/>
      <c r="P248" s="288" t="n"/>
      <c r="Q248" s="288" t="n"/>
      <c r="R248" s="288" t="n"/>
      <c r="S248" s="284" t="n"/>
      <c r="T248" s="284" t="n"/>
      <c r="U248" s="285" t="n"/>
      <c r="V248" s="285" t="n"/>
      <c r="W248" s="285" t="n"/>
      <c r="X248" s="285" t="n"/>
      <c r="Y248" s="285" t="n"/>
      <c r="Z248" s="285" t="n"/>
      <c r="AA248" s="285" t="n"/>
    </row>
    <row r="249" ht="15.75" customHeight="1" s="398">
      <c r="A249" s="317" t="n"/>
      <c r="B249" s="317" t="n"/>
      <c r="C249" s="315" t="n"/>
      <c r="D249" s="315" t="n"/>
      <c r="E249" s="288" t="n"/>
      <c r="F249" s="334" t="n"/>
      <c r="G249" s="391" t="n"/>
      <c r="H249" s="284" t="n"/>
      <c r="I249" s="288" t="n"/>
      <c r="J249" s="288" t="n"/>
      <c r="K249" s="288" t="n"/>
      <c r="L249" s="288" t="n"/>
      <c r="M249" s="288" t="n"/>
      <c r="N249" s="288" t="n"/>
      <c r="O249" s="288" t="n"/>
      <c r="P249" s="288" t="n"/>
      <c r="Q249" s="288" t="n"/>
      <c r="R249" s="288" t="n"/>
      <c r="S249" s="284" t="n"/>
      <c r="T249" s="284" t="n"/>
      <c r="U249" s="285" t="n"/>
      <c r="V249" s="285" t="n"/>
      <c r="W249" s="285" t="n"/>
      <c r="X249" s="285" t="n"/>
      <c r="Y249" s="285" t="n"/>
      <c r="Z249" s="285" t="n"/>
      <c r="AA249" s="285" t="n"/>
    </row>
    <row r="250" ht="15.75" customHeight="1" s="398">
      <c r="A250" s="317" t="n"/>
      <c r="B250" s="317" t="n"/>
      <c r="C250" s="315" t="n"/>
      <c r="D250" s="315" t="n"/>
      <c r="E250" s="288" t="n"/>
      <c r="F250" s="334" t="n"/>
      <c r="G250" s="391" t="n"/>
      <c r="H250" s="284" t="n"/>
      <c r="I250" s="288" t="n"/>
      <c r="J250" s="288" t="n"/>
      <c r="K250" s="288" t="n"/>
      <c r="L250" s="288" t="n"/>
      <c r="M250" s="288" t="n"/>
      <c r="N250" s="288" t="n"/>
      <c r="O250" s="288" t="n"/>
      <c r="P250" s="288" t="n"/>
      <c r="Q250" s="288" t="n"/>
      <c r="R250" s="288" t="n"/>
      <c r="S250" s="284" t="n"/>
      <c r="T250" s="284" t="n"/>
      <c r="U250" s="285" t="n"/>
      <c r="V250" s="285" t="n"/>
      <c r="W250" s="285" t="n"/>
      <c r="X250" s="285" t="n"/>
      <c r="Y250" s="285" t="n"/>
      <c r="Z250" s="285" t="n"/>
      <c r="AA250" s="285" t="n"/>
    </row>
    <row r="251" ht="15.75" customHeight="1" s="398">
      <c r="A251" s="317" t="n"/>
      <c r="B251" s="317" t="n"/>
      <c r="C251" s="315" t="n"/>
      <c r="D251" s="315" t="n"/>
      <c r="E251" s="288" t="n"/>
      <c r="F251" s="334" t="n"/>
      <c r="G251" s="391" t="n"/>
      <c r="H251" s="284" t="n"/>
      <c r="I251" s="288" t="n"/>
      <c r="J251" s="288" t="n"/>
      <c r="K251" s="288" t="n"/>
      <c r="L251" s="288" t="n"/>
      <c r="M251" s="288" t="n"/>
      <c r="N251" s="288" t="n"/>
      <c r="O251" s="288" t="n"/>
      <c r="P251" s="288" t="n"/>
      <c r="Q251" s="288" t="n"/>
      <c r="R251" s="288" t="n"/>
      <c r="S251" s="284" t="n"/>
      <c r="T251" s="284" t="n"/>
      <c r="U251" s="285" t="n"/>
      <c r="V251" s="285" t="n"/>
      <c r="W251" s="285" t="n"/>
      <c r="X251" s="285" t="n"/>
      <c r="Y251" s="285" t="n"/>
      <c r="Z251" s="285" t="n"/>
      <c r="AA251" s="285" t="n"/>
    </row>
    <row r="252" ht="15.75" customHeight="1" s="398">
      <c r="A252" s="317" t="n"/>
      <c r="B252" s="317" t="n"/>
      <c r="C252" s="315" t="n"/>
      <c r="D252" s="315" t="n"/>
      <c r="E252" s="288" t="n"/>
      <c r="F252" s="334" t="n"/>
      <c r="G252" s="391" t="n"/>
      <c r="H252" s="284" t="n"/>
      <c r="I252" s="288" t="n"/>
      <c r="J252" s="288" t="n"/>
      <c r="K252" s="288" t="n"/>
      <c r="L252" s="288" t="n"/>
      <c r="M252" s="288" t="n"/>
      <c r="N252" s="288" t="n"/>
      <c r="O252" s="288" t="n"/>
      <c r="P252" s="288" t="n"/>
      <c r="Q252" s="288" t="n"/>
      <c r="R252" s="288" t="n"/>
      <c r="S252" s="284" t="n"/>
      <c r="T252" s="284" t="n"/>
      <c r="U252" s="285" t="n"/>
      <c r="V252" s="285" t="n"/>
      <c r="W252" s="285" t="n"/>
      <c r="X252" s="285" t="n"/>
      <c r="Y252" s="285" t="n"/>
      <c r="Z252" s="285" t="n"/>
      <c r="AA252" s="285" t="n"/>
    </row>
    <row r="253" ht="15.75" customHeight="1" s="398">
      <c r="A253" s="317" t="n"/>
      <c r="B253" s="317" t="n"/>
      <c r="C253" s="315" t="n"/>
      <c r="D253" s="315" t="n"/>
      <c r="E253" s="288" t="n"/>
      <c r="F253" s="334" t="n"/>
      <c r="G253" s="391" t="n"/>
      <c r="H253" s="284" t="n"/>
      <c r="I253" s="288" t="n"/>
      <c r="J253" s="288" t="n"/>
      <c r="K253" s="288" t="n"/>
      <c r="L253" s="288" t="n"/>
      <c r="M253" s="288" t="n"/>
      <c r="N253" s="288" t="n"/>
      <c r="O253" s="288" t="n"/>
      <c r="P253" s="288" t="n"/>
      <c r="Q253" s="288" t="n"/>
      <c r="R253" s="288" t="n"/>
      <c r="S253" s="284" t="n"/>
      <c r="T253" s="284" t="n"/>
      <c r="U253" s="285" t="n"/>
      <c r="V253" s="285" t="n"/>
      <c r="W253" s="285" t="n"/>
      <c r="X253" s="285" t="n"/>
      <c r="Y253" s="285" t="n"/>
      <c r="Z253" s="285" t="n"/>
      <c r="AA253" s="285" t="n"/>
    </row>
    <row r="254" ht="15.75" customHeight="1" s="398">
      <c r="A254" s="317" t="n"/>
      <c r="B254" s="317" t="n"/>
      <c r="C254" s="315" t="n"/>
      <c r="D254" s="315" t="n"/>
      <c r="E254" s="288" t="n"/>
      <c r="F254" s="334" t="n"/>
      <c r="G254" s="391" t="n"/>
      <c r="H254" s="284" t="n"/>
      <c r="I254" s="288" t="n"/>
      <c r="J254" s="288" t="n"/>
      <c r="K254" s="288" t="n"/>
      <c r="L254" s="288" t="n"/>
      <c r="M254" s="288" t="n"/>
      <c r="N254" s="288" t="n"/>
      <c r="O254" s="288" t="n"/>
      <c r="P254" s="288" t="n"/>
      <c r="Q254" s="288" t="n"/>
      <c r="R254" s="288" t="n"/>
      <c r="S254" s="284" t="n"/>
      <c r="T254" s="284" t="n"/>
      <c r="U254" s="285" t="n"/>
      <c r="V254" s="285" t="n"/>
      <c r="W254" s="285" t="n"/>
      <c r="X254" s="285" t="n"/>
      <c r="Y254" s="285" t="n"/>
      <c r="Z254" s="285" t="n"/>
      <c r="AA254" s="285" t="n"/>
    </row>
    <row r="255" ht="15.75" customHeight="1" s="398">
      <c r="A255" s="317" t="n"/>
      <c r="B255" s="317" t="n"/>
      <c r="C255" s="315" t="n"/>
      <c r="D255" s="315" t="n"/>
      <c r="E255" s="288" t="n"/>
      <c r="F255" s="334" t="n"/>
      <c r="G255" s="391" t="n"/>
      <c r="H255" s="284" t="n"/>
      <c r="I255" s="288" t="n"/>
      <c r="J255" s="288" t="n"/>
      <c r="K255" s="288" t="n"/>
      <c r="L255" s="288" t="n"/>
      <c r="M255" s="288" t="n"/>
      <c r="N255" s="288" t="n"/>
      <c r="O255" s="288" t="n"/>
      <c r="P255" s="288" t="n"/>
      <c r="Q255" s="288" t="n"/>
      <c r="R255" s="288" t="n"/>
      <c r="S255" s="284" t="n"/>
      <c r="T255" s="284" t="n"/>
      <c r="U255" s="285" t="n"/>
      <c r="V255" s="285" t="n"/>
      <c r="W255" s="285" t="n"/>
      <c r="X255" s="285" t="n"/>
      <c r="Y255" s="285" t="n"/>
      <c r="Z255" s="285" t="n"/>
      <c r="AA255" s="285" t="n"/>
    </row>
    <row r="256" ht="15.75" customHeight="1" s="398">
      <c r="A256" s="317" t="n"/>
      <c r="B256" s="317" t="n"/>
      <c r="C256" s="315" t="n"/>
      <c r="D256" s="315" t="n"/>
      <c r="E256" s="288" t="n"/>
      <c r="F256" s="334" t="n"/>
      <c r="G256" s="391" t="n"/>
      <c r="H256" s="284" t="n"/>
      <c r="I256" s="288" t="n"/>
      <c r="J256" s="288" t="n"/>
      <c r="K256" s="288" t="n"/>
      <c r="L256" s="288" t="n"/>
      <c r="M256" s="288" t="n"/>
      <c r="N256" s="288" t="n"/>
      <c r="O256" s="288" t="n"/>
      <c r="P256" s="288" t="n"/>
      <c r="Q256" s="288" t="n"/>
      <c r="R256" s="288" t="n"/>
      <c r="S256" s="284" t="n"/>
      <c r="T256" s="284" t="n"/>
      <c r="U256" s="285" t="n"/>
      <c r="V256" s="285" t="n"/>
      <c r="W256" s="285" t="n"/>
      <c r="X256" s="285" t="n"/>
      <c r="Y256" s="285" t="n"/>
      <c r="Z256" s="285" t="n"/>
      <c r="AA256" s="285" t="n"/>
    </row>
    <row r="257" ht="15.75" customHeight="1" s="398">
      <c r="A257" s="317" t="n"/>
      <c r="B257" s="317" t="n"/>
      <c r="C257" s="315" t="n"/>
      <c r="D257" s="315" t="n"/>
      <c r="E257" s="288" t="n"/>
      <c r="F257" s="334" t="n"/>
      <c r="G257" s="391" t="n"/>
      <c r="H257" s="284" t="n"/>
      <c r="I257" s="288" t="n"/>
      <c r="J257" s="288" t="n"/>
      <c r="K257" s="288" t="n"/>
      <c r="L257" s="288" t="n"/>
      <c r="M257" s="288" t="n"/>
      <c r="N257" s="288" t="n"/>
      <c r="O257" s="288" t="n"/>
      <c r="P257" s="288" t="n"/>
      <c r="Q257" s="288" t="n"/>
      <c r="R257" s="288" t="n"/>
      <c r="S257" s="284" t="n"/>
      <c r="T257" s="284" t="n"/>
      <c r="U257" s="285" t="n"/>
      <c r="V257" s="285" t="n"/>
      <c r="W257" s="285" t="n"/>
      <c r="X257" s="285" t="n"/>
      <c r="Y257" s="285" t="n"/>
      <c r="Z257" s="285" t="n"/>
      <c r="AA257" s="285" t="n"/>
    </row>
    <row r="258" ht="15.75" customHeight="1" s="398">
      <c r="A258" s="317" t="n"/>
      <c r="B258" s="317" t="n"/>
      <c r="C258" s="315" t="n"/>
      <c r="D258" s="315" t="n"/>
      <c r="E258" s="288" t="n"/>
      <c r="F258" s="334" t="n"/>
      <c r="G258" s="391" t="n"/>
      <c r="H258" s="284" t="n"/>
      <c r="I258" s="288" t="n"/>
      <c r="J258" s="288" t="n"/>
      <c r="K258" s="288" t="n"/>
      <c r="L258" s="288" t="n"/>
      <c r="M258" s="288" t="n"/>
      <c r="N258" s="288" t="n"/>
      <c r="O258" s="288" t="n"/>
      <c r="P258" s="288" t="n"/>
      <c r="Q258" s="288" t="n"/>
      <c r="R258" s="288" t="n"/>
      <c r="S258" s="284" t="n"/>
      <c r="T258" s="284" t="n"/>
      <c r="U258" s="285" t="n"/>
      <c r="V258" s="285" t="n"/>
      <c r="W258" s="285" t="n"/>
      <c r="X258" s="285" t="n"/>
      <c r="Y258" s="285" t="n"/>
      <c r="Z258" s="285" t="n"/>
      <c r="AA258" s="285" t="n"/>
    </row>
    <row r="259" ht="15.75" customHeight="1" s="398">
      <c r="A259" s="317" t="n"/>
      <c r="B259" s="317" t="n"/>
      <c r="C259" s="315" t="n"/>
      <c r="D259" s="315" t="n"/>
      <c r="E259" s="288" t="n"/>
      <c r="F259" s="334" t="n"/>
      <c r="G259" s="391" t="n"/>
      <c r="H259" s="284" t="n"/>
      <c r="I259" s="288" t="n"/>
      <c r="J259" s="288" t="n"/>
      <c r="K259" s="288" t="n"/>
      <c r="L259" s="288" t="n"/>
      <c r="M259" s="288" t="n"/>
      <c r="N259" s="288" t="n"/>
      <c r="O259" s="288" t="n"/>
      <c r="P259" s="288" t="n"/>
      <c r="Q259" s="288" t="n"/>
      <c r="R259" s="288" t="n"/>
      <c r="S259" s="284" t="n"/>
      <c r="T259" s="284" t="n"/>
      <c r="U259" s="285" t="n"/>
      <c r="V259" s="285" t="n"/>
      <c r="W259" s="285" t="n"/>
      <c r="X259" s="285" t="n"/>
      <c r="Y259" s="285" t="n"/>
      <c r="Z259" s="285" t="n"/>
      <c r="AA259" s="285" t="n"/>
    </row>
    <row r="260" ht="15.75" customHeight="1" s="398">
      <c r="A260" s="317" t="n"/>
      <c r="B260" s="317" t="n"/>
      <c r="C260" s="315" t="n"/>
      <c r="D260" s="315" t="n"/>
      <c r="E260" s="288" t="n"/>
      <c r="F260" s="334" t="n"/>
      <c r="G260" s="391" t="n"/>
      <c r="H260" s="284" t="n"/>
      <c r="I260" s="288" t="n"/>
      <c r="J260" s="288" t="n"/>
      <c r="K260" s="288" t="n"/>
      <c r="L260" s="288" t="n"/>
      <c r="M260" s="288" t="n"/>
      <c r="N260" s="288" t="n"/>
      <c r="O260" s="288" t="n"/>
      <c r="P260" s="288" t="n"/>
      <c r="Q260" s="288" t="n"/>
      <c r="R260" s="288" t="n"/>
      <c r="S260" s="284" t="n"/>
      <c r="T260" s="284" t="n"/>
      <c r="U260" s="285" t="n"/>
      <c r="V260" s="285" t="n"/>
      <c r="W260" s="285" t="n"/>
      <c r="X260" s="285" t="n"/>
      <c r="Y260" s="285" t="n"/>
      <c r="Z260" s="285" t="n"/>
      <c r="AA260" s="285" t="n"/>
    </row>
    <row r="261" ht="15.75" customHeight="1" s="398">
      <c r="A261" s="317" t="n"/>
      <c r="B261" s="317" t="n"/>
      <c r="C261" s="315" t="n"/>
      <c r="D261" s="315" t="n"/>
      <c r="E261" s="288" t="n"/>
      <c r="F261" s="334" t="n"/>
      <c r="G261" s="391" t="n"/>
      <c r="H261" s="284" t="n"/>
      <c r="I261" s="288" t="n"/>
      <c r="J261" s="288" t="n"/>
      <c r="K261" s="288" t="n"/>
      <c r="L261" s="288" t="n"/>
      <c r="M261" s="288" t="n"/>
      <c r="N261" s="288" t="n"/>
      <c r="O261" s="288" t="n"/>
      <c r="P261" s="288" t="n"/>
      <c r="Q261" s="288" t="n"/>
      <c r="R261" s="288" t="n"/>
      <c r="S261" s="284" t="n"/>
      <c r="T261" s="284" t="n"/>
      <c r="U261" s="285" t="n"/>
      <c r="V261" s="285" t="n"/>
      <c r="W261" s="285" t="n"/>
      <c r="X261" s="285" t="n"/>
      <c r="Y261" s="285" t="n"/>
      <c r="Z261" s="285" t="n"/>
      <c r="AA261" s="285" t="n"/>
    </row>
    <row r="262" ht="15.75" customHeight="1" s="398">
      <c r="A262" s="317" t="n"/>
      <c r="B262" s="317" t="n"/>
      <c r="C262" s="315" t="n"/>
      <c r="D262" s="315" t="n"/>
      <c r="E262" s="288" t="n"/>
      <c r="F262" s="334" t="n"/>
      <c r="G262" s="391" t="n"/>
      <c r="H262" s="284" t="n"/>
      <c r="I262" s="288" t="n"/>
      <c r="J262" s="288" t="n"/>
      <c r="K262" s="288" t="n"/>
      <c r="L262" s="288" t="n"/>
      <c r="M262" s="288" t="n"/>
      <c r="N262" s="288" t="n"/>
      <c r="O262" s="288" t="n"/>
      <c r="P262" s="288" t="n"/>
      <c r="Q262" s="288" t="n"/>
      <c r="R262" s="288" t="n"/>
      <c r="S262" s="284" t="n"/>
      <c r="T262" s="284" t="n"/>
      <c r="U262" s="285" t="n"/>
      <c r="V262" s="285" t="n"/>
      <c r="W262" s="285" t="n"/>
      <c r="X262" s="285" t="n"/>
      <c r="Y262" s="285" t="n"/>
      <c r="Z262" s="285" t="n"/>
      <c r="AA262" s="285" t="n"/>
    </row>
    <row r="263" ht="15.75" customHeight="1" s="398">
      <c r="A263" s="317" t="n"/>
      <c r="B263" s="317" t="n"/>
      <c r="C263" s="315" t="n"/>
      <c r="D263" s="315" t="n"/>
      <c r="E263" s="288" t="n"/>
      <c r="F263" s="334" t="n"/>
      <c r="G263" s="391" t="n"/>
      <c r="H263" s="284" t="n"/>
      <c r="I263" s="288" t="n"/>
      <c r="J263" s="288" t="n"/>
      <c r="K263" s="288" t="n"/>
      <c r="L263" s="288" t="n"/>
      <c r="M263" s="288" t="n"/>
      <c r="N263" s="288" t="n"/>
      <c r="O263" s="288" t="n"/>
      <c r="P263" s="288" t="n"/>
      <c r="Q263" s="288" t="n"/>
      <c r="R263" s="288" t="n"/>
      <c r="S263" s="284" t="n"/>
      <c r="T263" s="284" t="n"/>
      <c r="U263" s="285" t="n"/>
      <c r="V263" s="285" t="n"/>
      <c r="W263" s="285" t="n"/>
      <c r="X263" s="285" t="n"/>
      <c r="Y263" s="285" t="n"/>
      <c r="Z263" s="285" t="n"/>
      <c r="AA263" s="285" t="n"/>
    </row>
    <row r="264" ht="15.75" customHeight="1" s="398">
      <c r="A264" s="317" t="n"/>
      <c r="B264" s="317" t="n"/>
      <c r="C264" s="315" t="n"/>
      <c r="D264" s="315" t="n"/>
      <c r="E264" s="288" t="n"/>
      <c r="F264" s="334" t="n"/>
      <c r="G264" s="391" t="n"/>
      <c r="H264" s="284" t="n"/>
      <c r="I264" s="288" t="n"/>
      <c r="J264" s="288" t="n"/>
      <c r="K264" s="288" t="n"/>
      <c r="L264" s="288" t="n"/>
      <c r="M264" s="288" t="n"/>
      <c r="N264" s="288" t="n"/>
      <c r="O264" s="288" t="n"/>
      <c r="P264" s="288" t="n"/>
      <c r="Q264" s="288" t="n"/>
      <c r="R264" s="288" t="n"/>
      <c r="S264" s="284" t="n"/>
      <c r="T264" s="284" t="n"/>
      <c r="U264" s="285" t="n"/>
      <c r="V264" s="285" t="n"/>
      <c r="W264" s="285" t="n"/>
      <c r="X264" s="285" t="n"/>
      <c r="Y264" s="285" t="n"/>
      <c r="Z264" s="285" t="n"/>
      <c r="AA264" s="285" t="n"/>
    </row>
    <row r="265" ht="15.75" customHeight="1" s="398">
      <c r="A265" s="317" t="n"/>
      <c r="B265" s="317" t="n"/>
      <c r="C265" s="315" t="n"/>
      <c r="D265" s="315" t="n"/>
      <c r="E265" s="288" t="n"/>
      <c r="F265" s="334" t="n"/>
      <c r="G265" s="391" t="n"/>
      <c r="H265" s="284" t="n"/>
      <c r="I265" s="288" t="n"/>
      <c r="J265" s="288" t="n"/>
      <c r="K265" s="288" t="n"/>
      <c r="L265" s="288" t="n"/>
      <c r="M265" s="288" t="n"/>
      <c r="N265" s="288" t="n"/>
      <c r="O265" s="288" t="n"/>
      <c r="P265" s="288" t="n"/>
      <c r="Q265" s="288" t="n"/>
      <c r="R265" s="288" t="n"/>
      <c r="S265" s="284" t="n"/>
      <c r="T265" s="284" t="n"/>
      <c r="U265" s="285" t="n"/>
      <c r="V265" s="285" t="n"/>
      <c r="W265" s="285" t="n"/>
      <c r="X265" s="285" t="n"/>
      <c r="Y265" s="285" t="n"/>
      <c r="Z265" s="285" t="n"/>
      <c r="AA265" s="285" t="n"/>
    </row>
    <row r="266" ht="15.75" customHeight="1" s="398">
      <c r="A266" s="317" t="n"/>
      <c r="B266" s="317" t="n"/>
      <c r="C266" s="315" t="n"/>
      <c r="D266" s="315" t="n"/>
      <c r="E266" s="288" t="n"/>
      <c r="F266" s="334" t="n"/>
      <c r="G266" s="391" t="n"/>
      <c r="H266" s="284" t="n"/>
      <c r="I266" s="288" t="n"/>
      <c r="J266" s="288" t="n"/>
      <c r="K266" s="288" t="n"/>
      <c r="L266" s="288" t="n"/>
      <c r="M266" s="288" t="n"/>
      <c r="N266" s="288" t="n"/>
      <c r="O266" s="288" t="n"/>
      <c r="P266" s="288" t="n"/>
      <c r="Q266" s="288" t="n"/>
      <c r="R266" s="288" t="n"/>
      <c r="S266" s="284" t="n"/>
      <c r="T266" s="284" t="n"/>
      <c r="U266" s="285" t="n"/>
      <c r="V266" s="285" t="n"/>
      <c r="W266" s="285" t="n"/>
      <c r="X266" s="285" t="n"/>
      <c r="Y266" s="285" t="n"/>
      <c r="Z266" s="285" t="n"/>
      <c r="AA266" s="285" t="n"/>
    </row>
    <row r="267" ht="15.75" customHeight="1" s="398">
      <c r="A267" s="317" t="n"/>
      <c r="B267" s="317" t="n"/>
      <c r="C267" s="315" t="n"/>
      <c r="D267" s="315" t="n"/>
      <c r="E267" s="288" t="n"/>
      <c r="F267" s="334" t="n"/>
      <c r="G267" s="391" t="n"/>
      <c r="H267" s="284" t="n"/>
      <c r="I267" s="288" t="n"/>
      <c r="J267" s="288" t="n"/>
      <c r="K267" s="288" t="n"/>
      <c r="L267" s="288" t="n"/>
      <c r="M267" s="288" t="n"/>
      <c r="N267" s="288" t="n"/>
      <c r="O267" s="288" t="n"/>
      <c r="P267" s="288" t="n"/>
      <c r="Q267" s="288" t="n"/>
      <c r="R267" s="288" t="n"/>
      <c r="S267" s="284" t="n"/>
      <c r="T267" s="284" t="n"/>
      <c r="U267" s="285" t="n"/>
      <c r="V267" s="285" t="n"/>
      <c r="W267" s="285" t="n"/>
      <c r="X267" s="285" t="n"/>
      <c r="Y267" s="285" t="n"/>
      <c r="Z267" s="285" t="n"/>
      <c r="AA267" s="285" t="n"/>
    </row>
    <row r="268" ht="15.75" customHeight="1" s="398">
      <c r="A268" s="317" t="n"/>
      <c r="B268" s="317" t="n"/>
      <c r="C268" s="315" t="n"/>
      <c r="D268" s="315" t="n"/>
      <c r="E268" s="288" t="n"/>
      <c r="F268" s="334" t="n"/>
      <c r="G268" s="391" t="n"/>
      <c r="H268" s="284" t="n"/>
      <c r="I268" s="288" t="n"/>
      <c r="J268" s="288" t="n"/>
      <c r="K268" s="288" t="n"/>
      <c r="L268" s="288" t="n"/>
      <c r="M268" s="288" t="n"/>
      <c r="N268" s="288" t="n"/>
      <c r="O268" s="288" t="n"/>
      <c r="P268" s="288" t="n"/>
      <c r="Q268" s="288" t="n"/>
      <c r="R268" s="288" t="n"/>
      <c r="S268" s="284" t="n"/>
      <c r="T268" s="284" t="n"/>
      <c r="U268" s="285" t="n"/>
      <c r="V268" s="285" t="n"/>
      <c r="W268" s="285" t="n"/>
      <c r="X268" s="285" t="n"/>
      <c r="Y268" s="285" t="n"/>
      <c r="Z268" s="285" t="n"/>
      <c r="AA268" s="285" t="n"/>
    </row>
    <row r="269" ht="15.75" customHeight="1" s="398">
      <c r="A269" s="317" t="n"/>
      <c r="B269" s="317" t="n"/>
      <c r="C269" s="315" t="n"/>
      <c r="D269" s="315" t="n"/>
      <c r="E269" s="288" t="n"/>
      <c r="F269" s="334" t="n"/>
      <c r="G269" s="391" t="n"/>
      <c r="H269" s="284" t="n"/>
      <c r="I269" s="288" t="n"/>
      <c r="J269" s="288" t="n"/>
      <c r="K269" s="288" t="n"/>
      <c r="L269" s="288" t="n"/>
      <c r="M269" s="288" t="n"/>
      <c r="N269" s="288" t="n"/>
      <c r="O269" s="288" t="n"/>
      <c r="P269" s="288" t="n"/>
      <c r="Q269" s="288" t="n"/>
      <c r="R269" s="288" t="n"/>
      <c r="S269" s="284" t="n"/>
      <c r="T269" s="284" t="n"/>
      <c r="U269" s="285" t="n"/>
      <c r="V269" s="285" t="n"/>
      <c r="W269" s="285" t="n"/>
      <c r="X269" s="285" t="n"/>
      <c r="Y269" s="285" t="n"/>
      <c r="Z269" s="285" t="n"/>
      <c r="AA269" s="285" t="n"/>
    </row>
    <row r="270" ht="15.75" customHeight="1" s="398">
      <c r="A270" s="317" t="n"/>
      <c r="B270" s="317" t="n"/>
      <c r="C270" s="315" t="n"/>
      <c r="D270" s="315" t="n"/>
      <c r="E270" s="288" t="n"/>
      <c r="F270" s="334" t="n"/>
      <c r="G270" s="391" t="n"/>
      <c r="H270" s="284" t="n"/>
      <c r="I270" s="288" t="n"/>
      <c r="J270" s="288" t="n"/>
      <c r="K270" s="288" t="n"/>
      <c r="L270" s="288" t="n"/>
      <c r="M270" s="288" t="n"/>
      <c r="N270" s="288" t="n"/>
      <c r="O270" s="288" t="n"/>
      <c r="P270" s="288" t="n"/>
      <c r="Q270" s="288" t="n"/>
      <c r="R270" s="288" t="n"/>
      <c r="S270" s="284" t="n"/>
      <c r="T270" s="284" t="n"/>
      <c r="U270" s="285" t="n"/>
      <c r="V270" s="285" t="n"/>
      <c r="W270" s="285" t="n"/>
      <c r="X270" s="285" t="n"/>
      <c r="Y270" s="285" t="n"/>
      <c r="Z270" s="285" t="n"/>
      <c r="AA270" s="285" t="n"/>
    </row>
    <row r="271" ht="15.75" customHeight="1" s="398">
      <c r="A271" s="317" t="n"/>
      <c r="B271" s="317" t="n"/>
      <c r="C271" s="315" t="n"/>
      <c r="D271" s="315" t="n"/>
      <c r="E271" s="288" t="n"/>
      <c r="F271" s="334" t="n"/>
      <c r="G271" s="391" t="n"/>
      <c r="H271" s="284" t="n"/>
      <c r="I271" s="288" t="n"/>
      <c r="J271" s="288" t="n"/>
      <c r="K271" s="288" t="n"/>
      <c r="L271" s="288" t="n"/>
      <c r="M271" s="288" t="n"/>
      <c r="N271" s="288" t="n"/>
      <c r="O271" s="288" t="n"/>
      <c r="P271" s="288" t="n"/>
      <c r="Q271" s="288" t="n"/>
      <c r="R271" s="288" t="n"/>
      <c r="S271" s="284" t="n"/>
      <c r="T271" s="284" t="n"/>
      <c r="U271" s="285" t="n"/>
      <c r="V271" s="285" t="n"/>
      <c r="W271" s="285" t="n"/>
      <c r="X271" s="285" t="n"/>
      <c r="Y271" s="285" t="n"/>
      <c r="Z271" s="285" t="n"/>
      <c r="AA271" s="285" t="n"/>
    </row>
    <row r="272" ht="15.75" customHeight="1" s="398">
      <c r="A272" s="317" t="n"/>
      <c r="B272" s="317" t="n"/>
      <c r="C272" s="315" t="n"/>
      <c r="D272" s="315" t="n"/>
      <c r="E272" s="288" t="n"/>
      <c r="F272" s="334" t="n"/>
      <c r="G272" s="391" t="n"/>
      <c r="H272" s="284" t="n"/>
      <c r="I272" s="288" t="n"/>
      <c r="J272" s="288" t="n"/>
      <c r="K272" s="288" t="n"/>
      <c r="L272" s="288" t="n"/>
      <c r="M272" s="288" t="n"/>
      <c r="N272" s="288" t="n"/>
      <c r="O272" s="288" t="n"/>
      <c r="P272" s="288" t="n"/>
      <c r="Q272" s="288" t="n"/>
      <c r="R272" s="288" t="n"/>
      <c r="S272" s="284" t="n"/>
      <c r="T272" s="284" t="n"/>
      <c r="U272" s="285" t="n"/>
      <c r="V272" s="285" t="n"/>
      <c r="W272" s="285" t="n"/>
      <c r="X272" s="285" t="n"/>
      <c r="Y272" s="285" t="n"/>
      <c r="Z272" s="285" t="n"/>
      <c r="AA272" s="285" t="n"/>
    </row>
    <row r="273" ht="15.75" customHeight="1" s="398">
      <c r="A273" s="317" t="n"/>
      <c r="B273" s="317" t="n"/>
      <c r="C273" s="315" t="n"/>
      <c r="D273" s="315" t="n"/>
      <c r="E273" s="288" t="n"/>
      <c r="F273" s="334" t="n"/>
      <c r="G273" s="391" t="n"/>
      <c r="H273" s="284" t="n"/>
      <c r="I273" s="288" t="n"/>
      <c r="J273" s="288" t="n"/>
      <c r="K273" s="288" t="n"/>
      <c r="L273" s="288" t="n"/>
      <c r="M273" s="288" t="n"/>
      <c r="N273" s="288" t="n"/>
      <c r="O273" s="288" t="n"/>
      <c r="P273" s="288" t="n"/>
      <c r="Q273" s="288" t="n"/>
      <c r="R273" s="288" t="n"/>
      <c r="S273" s="284" t="n"/>
      <c r="T273" s="284" t="n"/>
      <c r="U273" s="285" t="n"/>
      <c r="V273" s="285" t="n"/>
      <c r="W273" s="285" t="n"/>
      <c r="X273" s="285" t="n"/>
      <c r="Y273" s="285" t="n"/>
      <c r="Z273" s="285" t="n"/>
      <c r="AA273" s="285" t="n"/>
    </row>
    <row r="274" ht="15.75" customHeight="1" s="398">
      <c r="A274" s="317" t="n"/>
      <c r="B274" s="317" t="n"/>
      <c r="C274" s="315" t="n"/>
      <c r="D274" s="315" t="n"/>
      <c r="E274" s="288" t="n"/>
      <c r="F274" s="334" t="n"/>
      <c r="G274" s="391" t="n"/>
      <c r="H274" s="284" t="n"/>
      <c r="I274" s="288" t="n"/>
      <c r="J274" s="288" t="n"/>
      <c r="K274" s="288" t="n"/>
      <c r="L274" s="288" t="n"/>
      <c r="M274" s="288" t="n"/>
      <c r="N274" s="288" t="n"/>
      <c r="O274" s="288" t="n"/>
      <c r="P274" s="288" t="n"/>
      <c r="Q274" s="288" t="n"/>
      <c r="R274" s="288" t="n"/>
      <c r="S274" s="284" t="n"/>
      <c r="T274" s="284" t="n"/>
      <c r="U274" s="285" t="n"/>
      <c r="V274" s="285" t="n"/>
      <c r="W274" s="285" t="n"/>
      <c r="X274" s="285" t="n"/>
      <c r="Y274" s="285" t="n"/>
      <c r="Z274" s="285" t="n"/>
      <c r="AA274" s="285" t="n"/>
    </row>
    <row r="275" ht="15.75" customHeight="1" s="398">
      <c r="A275" s="317" t="n"/>
      <c r="B275" s="317" t="n"/>
      <c r="C275" s="315" t="n"/>
      <c r="D275" s="315" t="n"/>
      <c r="E275" s="288" t="n"/>
      <c r="F275" s="334" t="n"/>
      <c r="G275" s="391" t="n"/>
      <c r="H275" s="284" t="n"/>
      <c r="I275" s="288" t="n"/>
      <c r="J275" s="288" t="n"/>
      <c r="K275" s="288" t="n"/>
      <c r="L275" s="288" t="n"/>
      <c r="M275" s="288" t="n"/>
      <c r="N275" s="288" t="n"/>
      <c r="O275" s="288" t="n"/>
      <c r="P275" s="288" t="n"/>
      <c r="Q275" s="288" t="n"/>
      <c r="R275" s="288" t="n"/>
      <c r="S275" s="284" t="n"/>
      <c r="T275" s="284" t="n"/>
      <c r="U275" s="285" t="n"/>
      <c r="V275" s="285" t="n"/>
      <c r="W275" s="285" t="n"/>
      <c r="X275" s="285" t="n"/>
      <c r="Y275" s="285" t="n"/>
      <c r="Z275" s="285" t="n"/>
      <c r="AA275" s="285" t="n"/>
    </row>
    <row r="276" ht="15.75" customHeight="1" s="398">
      <c r="A276" s="284" t="n"/>
      <c r="B276" s="285" t="n"/>
      <c r="C276" s="284" t="n"/>
      <c r="D276" s="284" t="n"/>
      <c r="E276" s="285" t="n"/>
      <c r="F276" s="285" t="n"/>
      <c r="G276" s="336" t="n"/>
      <c r="H276" s="336" t="n"/>
      <c r="I276" s="285" t="n"/>
      <c r="J276" s="285" t="n"/>
      <c r="K276" s="285" t="n"/>
      <c r="L276" s="285" t="n"/>
      <c r="M276" s="285" t="n"/>
      <c r="N276" s="285" t="n"/>
      <c r="O276" s="285" t="n"/>
      <c r="P276" s="285" t="n"/>
      <c r="Q276" s="285" t="n"/>
      <c r="R276" s="285" t="n"/>
      <c r="S276" s="284" t="n"/>
      <c r="T276" s="284" t="n"/>
      <c r="U276" s="285" t="n"/>
      <c r="V276" s="285" t="n"/>
      <c r="W276" s="285" t="n"/>
      <c r="X276" s="285" t="n"/>
      <c r="Y276" s="285" t="n"/>
      <c r="Z276" s="285" t="n"/>
      <c r="AA276" s="285" t="n"/>
    </row>
    <row r="277" ht="15.75" customHeight="1" s="398">
      <c r="A277" s="284" t="n"/>
      <c r="B277" s="285" t="n"/>
      <c r="C277" s="284" t="n"/>
      <c r="D277" s="284" t="n"/>
      <c r="E277" s="285" t="n"/>
      <c r="F277" s="285" t="n"/>
      <c r="G277" s="336" t="n"/>
      <c r="H277" s="336" t="n"/>
      <c r="I277" s="285" t="n"/>
      <c r="J277" s="285" t="n"/>
      <c r="K277" s="285" t="n"/>
      <c r="L277" s="285" t="n"/>
      <c r="M277" s="285" t="n"/>
      <c r="N277" s="285" t="n"/>
      <c r="O277" s="285" t="n"/>
      <c r="P277" s="285" t="n"/>
      <c r="Q277" s="285" t="n"/>
      <c r="R277" s="285" t="n"/>
      <c r="S277" s="284" t="n"/>
      <c r="T277" s="284" t="n"/>
      <c r="U277" s="285" t="n"/>
      <c r="V277" s="285" t="n"/>
      <c r="W277" s="285" t="n"/>
      <c r="X277" s="285" t="n"/>
      <c r="Y277" s="285" t="n"/>
      <c r="Z277" s="285" t="n"/>
      <c r="AA277" s="285" t="n"/>
    </row>
    <row r="278" ht="15.75" customHeight="1" s="398">
      <c r="A278" s="284" t="n"/>
      <c r="B278" s="285" t="n"/>
      <c r="C278" s="284" t="n"/>
      <c r="D278" s="284" t="n"/>
      <c r="E278" s="285" t="n"/>
      <c r="F278" s="285" t="n"/>
      <c r="G278" s="336" t="n"/>
      <c r="H278" s="336" t="n"/>
      <c r="I278" s="285" t="n"/>
      <c r="J278" s="285" t="n"/>
      <c r="K278" s="285" t="n"/>
      <c r="L278" s="285" t="n"/>
      <c r="M278" s="285" t="n"/>
      <c r="N278" s="285" t="n"/>
      <c r="O278" s="285" t="n"/>
      <c r="P278" s="285" t="n"/>
      <c r="Q278" s="285" t="n"/>
      <c r="R278" s="285" t="n"/>
      <c r="S278" s="284" t="n"/>
      <c r="T278" s="284" t="n"/>
      <c r="U278" s="285" t="n"/>
      <c r="V278" s="285" t="n"/>
      <c r="W278" s="285" t="n"/>
      <c r="X278" s="285" t="n"/>
      <c r="Y278" s="285" t="n"/>
      <c r="Z278" s="285" t="n"/>
      <c r="AA278" s="285" t="n"/>
    </row>
    <row r="279" ht="15.75" customHeight="1" s="398">
      <c r="A279" s="284" t="n"/>
      <c r="B279" s="285" t="n"/>
      <c r="C279" s="284" t="n"/>
      <c r="D279" s="284" t="n"/>
      <c r="E279" s="285" t="n"/>
      <c r="F279" s="285" t="n"/>
      <c r="G279" s="336" t="n"/>
      <c r="H279" s="336" t="n"/>
      <c r="I279" s="285" t="n"/>
      <c r="J279" s="285" t="n"/>
      <c r="K279" s="285" t="n"/>
      <c r="L279" s="285" t="n"/>
      <c r="M279" s="285" t="n"/>
      <c r="N279" s="285" t="n"/>
      <c r="O279" s="285" t="n"/>
      <c r="P279" s="285" t="n"/>
      <c r="Q279" s="285" t="n"/>
      <c r="R279" s="285" t="n"/>
      <c r="S279" s="284" t="n"/>
      <c r="T279" s="284" t="n"/>
      <c r="U279" s="285" t="n"/>
      <c r="V279" s="285" t="n"/>
      <c r="W279" s="285" t="n"/>
      <c r="X279" s="285" t="n"/>
      <c r="Y279" s="285" t="n"/>
      <c r="Z279" s="285" t="n"/>
      <c r="AA279" s="285" t="n"/>
    </row>
    <row r="280" ht="15.75" customHeight="1" s="398">
      <c r="A280" s="284" t="n"/>
      <c r="B280" s="285" t="n"/>
      <c r="C280" s="284" t="n"/>
      <c r="D280" s="284" t="n"/>
      <c r="E280" s="285" t="n"/>
      <c r="F280" s="285" t="n"/>
      <c r="G280" s="336" t="n"/>
      <c r="H280" s="336" t="n"/>
      <c r="I280" s="285" t="n"/>
      <c r="J280" s="285" t="n"/>
      <c r="K280" s="285" t="n"/>
      <c r="L280" s="285" t="n"/>
      <c r="M280" s="285" t="n"/>
      <c r="N280" s="285" t="n"/>
      <c r="O280" s="285" t="n"/>
      <c r="P280" s="285" t="n"/>
      <c r="Q280" s="285" t="n"/>
      <c r="R280" s="285" t="n"/>
      <c r="S280" s="284" t="n"/>
      <c r="T280" s="284" t="n"/>
      <c r="U280" s="285" t="n"/>
      <c r="V280" s="285" t="n"/>
      <c r="W280" s="285" t="n"/>
      <c r="X280" s="285" t="n"/>
      <c r="Y280" s="285" t="n"/>
      <c r="Z280" s="285" t="n"/>
      <c r="AA280" s="285" t="n"/>
    </row>
    <row r="281" ht="15.75" customHeight="1" s="398">
      <c r="A281" s="284" t="n"/>
      <c r="B281" s="285" t="n"/>
      <c r="C281" s="284" t="n"/>
      <c r="D281" s="284" t="n"/>
      <c r="E281" s="285" t="n"/>
      <c r="F281" s="285" t="n"/>
      <c r="G281" s="336" t="n"/>
      <c r="H281" s="336" t="n"/>
      <c r="I281" s="285" t="n"/>
      <c r="J281" s="285" t="n"/>
      <c r="K281" s="285" t="n"/>
      <c r="L281" s="285" t="n"/>
      <c r="M281" s="285" t="n"/>
      <c r="N281" s="285" t="n"/>
      <c r="O281" s="285" t="n"/>
      <c r="P281" s="285" t="n"/>
      <c r="Q281" s="285" t="n"/>
      <c r="R281" s="285" t="n"/>
      <c r="S281" s="284" t="n"/>
      <c r="T281" s="284" t="n"/>
      <c r="U281" s="285" t="n"/>
      <c r="V281" s="285" t="n"/>
      <c r="W281" s="285" t="n"/>
      <c r="X281" s="285" t="n"/>
      <c r="Y281" s="285" t="n"/>
      <c r="Z281" s="285" t="n"/>
      <c r="AA281" s="285" t="n"/>
    </row>
    <row r="282" ht="15.75" customHeight="1" s="398">
      <c r="A282" s="284" t="n"/>
      <c r="B282" s="285" t="n"/>
      <c r="C282" s="284" t="n"/>
      <c r="D282" s="284" t="n"/>
      <c r="E282" s="285" t="n"/>
      <c r="F282" s="285" t="n"/>
      <c r="G282" s="336" t="n"/>
      <c r="H282" s="336" t="n"/>
      <c r="I282" s="285" t="n"/>
      <c r="J282" s="285" t="n"/>
      <c r="K282" s="285" t="n"/>
      <c r="L282" s="285" t="n"/>
      <c r="M282" s="285" t="n"/>
      <c r="N282" s="285" t="n"/>
      <c r="O282" s="285" t="n"/>
      <c r="P282" s="285" t="n"/>
      <c r="Q282" s="285" t="n"/>
      <c r="R282" s="285" t="n"/>
      <c r="S282" s="284" t="n"/>
      <c r="T282" s="284" t="n"/>
      <c r="U282" s="285" t="n"/>
      <c r="V282" s="285" t="n"/>
      <c r="W282" s="285" t="n"/>
      <c r="X282" s="285" t="n"/>
      <c r="Y282" s="285" t="n"/>
      <c r="Z282" s="285" t="n"/>
      <c r="AA282" s="285" t="n"/>
    </row>
    <row r="283" ht="15.75" customHeight="1" s="398">
      <c r="A283" s="284" t="n"/>
      <c r="B283" s="285" t="n"/>
      <c r="C283" s="284" t="n"/>
      <c r="D283" s="284" t="n"/>
      <c r="E283" s="285" t="n"/>
      <c r="F283" s="285" t="n"/>
      <c r="G283" s="336" t="n"/>
      <c r="H283" s="336" t="n"/>
      <c r="I283" s="285" t="n"/>
      <c r="J283" s="285" t="n"/>
      <c r="K283" s="285" t="n"/>
      <c r="L283" s="285" t="n"/>
      <c r="M283" s="285" t="n"/>
      <c r="N283" s="285" t="n"/>
      <c r="O283" s="285" t="n"/>
      <c r="P283" s="285" t="n"/>
      <c r="Q283" s="285" t="n"/>
      <c r="R283" s="285" t="n"/>
      <c r="S283" s="284" t="n"/>
      <c r="T283" s="284" t="n"/>
      <c r="U283" s="285" t="n"/>
      <c r="V283" s="285" t="n"/>
      <c r="W283" s="285" t="n"/>
      <c r="X283" s="285" t="n"/>
      <c r="Y283" s="285" t="n"/>
      <c r="Z283" s="285" t="n"/>
      <c r="AA283" s="285" t="n"/>
    </row>
    <row r="284" ht="15.75" customHeight="1" s="398">
      <c r="A284" s="284" t="n"/>
      <c r="B284" s="285" t="n"/>
      <c r="C284" s="284" t="n"/>
      <c r="D284" s="284" t="n"/>
      <c r="E284" s="285" t="n"/>
      <c r="F284" s="285" t="n"/>
      <c r="G284" s="336" t="n"/>
      <c r="H284" s="336" t="n"/>
      <c r="I284" s="285" t="n"/>
      <c r="J284" s="285" t="n"/>
      <c r="K284" s="285" t="n"/>
      <c r="L284" s="285" t="n"/>
      <c r="M284" s="285" t="n"/>
      <c r="N284" s="285" t="n"/>
      <c r="O284" s="285" t="n"/>
      <c r="P284" s="285" t="n"/>
      <c r="Q284" s="285" t="n"/>
      <c r="R284" s="285" t="n"/>
      <c r="S284" s="284" t="n"/>
      <c r="T284" s="284" t="n"/>
      <c r="U284" s="285" t="n"/>
      <c r="V284" s="285" t="n"/>
      <c r="W284" s="285" t="n"/>
      <c r="X284" s="285" t="n"/>
      <c r="Y284" s="285" t="n"/>
      <c r="Z284" s="285" t="n"/>
      <c r="AA284" s="285" t="n"/>
    </row>
    <row r="285" ht="15.75" customHeight="1" s="398">
      <c r="A285" s="284" t="n"/>
      <c r="B285" s="285" t="n"/>
      <c r="C285" s="284" t="n"/>
      <c r="D285" s="284" t="n"/>
      <c r="E285" s="285" t="n"/>
      <c r="F285" s="285" t="n"/>
      <c r="G285" s="336" t="n"/>
      <c r="H285" s="336" t="n"/>
      <c r="I285" s="285" t="n"/>
      <c r="J285" s="285" t="n"/>
      <c r="K285" s="285" t="n"/>
      <c r="L285" s="285" t="n"/>
      <c r="M285" s="285" t="n"/>
      <c r="N285" s="285" t="n"/>
      <c r="O285" s="285" t="n"/>
      <c r="P285" s="285" t="n"/>
      <c r="Q285" s="285" t="n"/>
      <c r="R285" s="285" t="n"/>
      <c r="S285" s="284" t="n"/>
      <c r="T285" s="284" t="n"/>
      <c r="U285" s="285" t="n"/>
      <c r="V285" s="285" t="n"/>
      <c r="W285" s="285" t="n"/>
      <c r="X285" s="285" t="n"/>
      <c r="Y285" s="285" t="n"/>
      <c r="Z285" s="285" t="n"/>
      <c r="AA285" s="285" t="n"/>
    </row>
    <row r="286" ht="15.75" customHeight="1" s="398">
      <c r="A286" s="284" t="n"/>
      <c r="B286" s="285" t="n"/>
      <c r="C286" s="284" t="n"/>
      <c r="D286" s="284" t="n"/>
      <c r="E286" s="285" t="n"/>
      <c r="F286" s="285" t="n"/>
      <c r="G286" s="336" t="n"/>
      <c r="H286" s="336" t="n"/>
      <c r="I286" s="285" t="n"/>
      <c r="J286" s="285" t="n"/>
      <c r="K286" s="285" t="n"/>
      <c r="L286" s="285" t="n"/>
      <c r="M286" s="285" t="n"/>
      <c r="N286" s="285" t="n"/>
      <c r="O286" s="285" t="n"/>
      <c r="P286" s="285" t="n"/>
      <c r="Q286" s="285" t="n"/>
      <c r="R286" s="285" t="n"/>
      <c r="S286" s="284" t="n"/>
      <c r="T286" s="284" t="n"/>
      <c r="U286" s="285" t="n"/>
      <c r="V286" s="285" t="n"/>
      <c r="W286" s="285" t="n"/>
      <c r="X286" s="285" t="n"/>
      <c r="Y286" s="285" t="n"/>
      <c r="Z286" s="285" t="n"/>
      <c r="AA286" s="285" t="n"/>
    </row>
    <row r="287" ht="15.75" customHeight="1" s="398">
      <c r="A287" s="284" t="n"/>
      <c r="B287" s="285" t="n"/>
      <c r="C287" s="284" t="n"/>
      <c r="D287" s="284" t="n"/>
      <c r="E287" s="285" t="n"/>
      <c r="F287" s="285" t="n"/>
      <c r="G287" s="336" t="n"/>
      <c r="H287" s="336" t="n"/>
      <c r="I287" s="285" t="n"/>
      <c r="J287" s="285" t="n"/>
      <c r="K287" s="285" t="n"/>
      <c r="L287" s="285" t="n"/>
      <c r="M287" s="285" t="n"/>
      <c r="N287" s="285" t="n"/>
      <c r="O287" s="285" t="n"/>
      <c r="P287" s="285" t="n"/>
      <c r="Q287" s="285" t="n"/>
      <c r="R287" s="285" t="n"/>
      <c r="S287" s="284" t="n"/>
      <c r="T287" s="284" t="n"/>
      <c r="U287" s="285" t="n"/>
      <c r="V287" s="285" t="n"/>
      <c r="W287" s="285" t="n"/>
      <c r="X287" s="285" t="n"/>
      <c r="Y287" s="285" t="n"/>
      <c r="Z287" s="285" t="n"/>
      <c r="AA287" s="285" t="n"/>
    </row>
    <row r="288" ht="15.75" customHeight="1" s="398">
      <c r="A288" s="284" t="n"/>
      <c r="B288" s="285" t="n"/>
      <c r="C288" s="284" t="n"/>
      <c r="D288" s="284" t="n"/>
      <c r="E288" s="285" t="n"/>
      <c r="F288" s="285" t="n"/>
      <c r="G288" s="336" t="n"/>
      <c r="H288" s="336" t="n"/>
      <c r="I288" s="285" t="n"/>
      <c r="J288" s="285" t="n"/>
      <c r="K288" s="285" t="n"/>
      <c r="L288" s="285" t="n"/>
      <c r="M288" s="285" t="n"/>
      <c r="N288" s="285" t="n"/>
      <c r="O288" s="285" t="n"/>
      <c r="P288" s="285" t="n"/>
      <c r="Q288" s="285" t="n"/>
      <c r="R288" s="285" t="n"/>
      <c r="S288" s="284" t="n"/>
      <c r="T288" s="284" t="n"/>
      <c r="U288" s="285" t="n"/>
      <c r="V288" s="285" t="n"/>
      <c r="W288" s="285" t="n"/>
      <c r="X288" s="285" t="n"/>
      <c r="Y288" s="285" t="n"/>
      <c r="Z288" s="285" t="n"/>
      <c r="AA288" s="285" t="n"/>
    </row>
    <row r="289" ht="15.75" customHeight="1" s="398">
      <c r="A289" s="284" t="n"/>
      <c r="B289" s="285" t="n"/>
      <c r="C289" s="284" t="n"/>
      <c r="D289" s="284" t="n"/>
      <c r="E289" s="285" t="n"/>
      <c r="F289" s="285" t="n"/>
      <c r="G289" s="336" t="n"/>
      <c r="H289" s="336" t="n"/>
      <c r="I289" s="285" t="n"/>
      <c r="J289" s="285" t="n"/>
      <c r="K289" s="285" t="n"/>
      <c r="L289" s="285" t="n"/>
      <c r="M289" s="285" t="n"/>
      <c r="N289" s="285" t="n"/>
      <c r="O289" s="285" t="n"/>
      <c r="P289" s="285" t="n"/>
      <c r="Q289" s="285" t="n"/>
      <c r="R289" s="285" t="n"/>
      <c r="S289" s="284" t="n"/>
      <c r="T289" s="284" t="n"/>
      <c r="U289" s="285" t="n"/>
      <c r="V289" s="285" t="n"/>
      <c r="W289" s="285" t="n"/>
      <c r="X289" s="285" t="n"/>
      <c r="Y289" s="285" t="n"/>
      <c r="Z289" s="285" t="n"/>
      <c r="AA289" s="285" t="n"/>
    </row>
    <row r="290" ht="15.75" customHeight="1" s="398">
      <c r="A290" s="284" t="n"/>
      <c r="B290" s="285" t="n"/>
      <c r="C290" s="284" t="n"/>
      <c r="D290" s="284" t="n"/>
      <c r="E290" s="285" t="n"/>
      <c r="F290" s="285" t="n"/>
      <c r="G290" s="336" t="n"/>
      <c r="H290" s="336" t="n"/>
      <c r="I290" s="285" t="n"/>
      <c r="J290" s="285" t="n"/>
      <c r="K290" s="285" t="n"/>
      <c r="L290" s="285" t="n"/>
      <c r="M290" s="285" t="n"/>
      <c r="N290" s="285" t="n"/>
      <c r="O290" s="285" t="n"/>
      <c r="P290" s="285" t="n"/>
      <c r="Q290" s="285" t="n"/>
      <c r="R290" s="285" t="n"/>
      <c r="S290" s="284" t="n"/>
      <c r="T290" s="284" t="n"/>
      <c r="U290" s="285" t="n"/>
      <c r="V290" s="285" t="n"/>
      <c r="W290" s="285" t="n"/>
      <c r="X290" s="285" t="n"/>
      <c r="Y290" s="285" t="n"/>
      <c r="Z290" s="285" t="n"/>
      <c r="AA290" s="285" t="n"/>
    </row>
    <row r="291" ht="15.75" customHeight="1" s="398">
      <c r="A291" s="284" t="n"/>
      <c r="B291" s="285" t="n"/>
      <c r="C291" s="284" t="n"/>
      <c r="D291" s="284" t="n"/>
      <c r="E291" s="285" t="n"/>
      <c r="F291" s="285" t="n"/>
      <c r="G291" s="336" t="n"/>
      <c r="H291" s="336" t="n"/>
      <c r="I291" s="285" t="n"/>
      <c r="J291" s="285" t="n"/>
      <c r="K291" s="285" t="n"/>
      <c r="L291" s="285" t="n"/>
      <c r="M291" s="285" t="n"/>
      <c r="N291" s="285" t="n"/>
      <c r="O291" s="285" t="n"/>
      <c r="P291" s="285" t="n"/>
      <c r="Q291" s="285" t="n"/>
      <c r="R291" s="285" t="n"/>
      <c r="S291" s="284" t="n"/>
      <c r="T291" s="284" t="n"/>
      <c r="U291" s="285" t="n"/>
      <c r="V291" s="285" t="n"/>
      <c r="W291" s="285" t="n"/>
      <c r="X291" s="285" t="n"/>
      <c r="Y291" s="285" t="n"/>
      <c r="Z291" s="285" t="n"/>
      <c r="AA291" s="285" t="n"/>
    </row>
    <row r="292" ht="15.75" customHeight="1" s="398">
      <c r="A292" s="284" t="n"/>
      <c r="B292" s="285" t="n"/>
      <c r="C292" s="284" t="n"/>
      <c r="D292" s="284" t="n"/>
      <c r="E292" s="285" t="n"/>
      <c r="F292" s="285" t="n"/>
      <c r="G292" s="336" t="n"/>
      <c r="H292" s="336" t="n"/>
      <c r="I292" s="285" t="n"/>
      <c r="J292" s="285" t="n"/>
      <c r="K292" s="285" t="n"/>
      <c r="L292" s="285" t="n"/>
      <c r="M292" s="285" t="n"/>
      <c r="N292" s="285" t="n"/>
      <c r="O292" s="285" t="n"/>
      <c r="P292" s="285" t="n"/>
      <c r="Q292" s="285" t="n"/>
      <c r="R292" s="285" t="n"/>
      <c r="S292" s="284" t="n"/>
      <c r="T292" s="284" t="n"/>
      <c r="U292" s="285" t="n"/>
      <c r="V292" s="285" t="n"/>
      <c r="W292" s="285" t="n"/>
      <c r="X292" s="285" t="n"/>
      <c r="Y292" s="285" t="n"/>
      <c r="Z292" s="285" t="n"/>
      <c r="AA292" s="285" t="n"/>
    </row>
    <row r="293" ht="15.75" customHeight="1" s="398">
      <c r="A293" s="284" t="n"/>
      <c r="B293" s="285" t="n"/>
      <c r="C293" s="284" t="n"/>
      <c r="D293" s="284" t="n"/>
      <c r="E293" s="285" t="n"/>
      <c r="F293" s="285" t="n"/>
      <c r="G293" s="336" t="n"/>
      <c r="H293" s="336" t="n"/>
      <c r="I293" s="285" t="n"/>
      <c r="J293" s="285" t="n"/>
      <c r="K293" s="285" t="n"/>
      <c r="L293" s="285" t="n"/>
      <c r="M293" s="285" t="n"/>
      <c r="N293" s="285" t="n"/>
      <c r="O293" s="285" t="n"/>
      <c r="P293" s="285" t="n"/>
      <c r="Q293" s="285" t="n"/>
      <c r="R293" s="285" t="n"/>
      <c r="S293" s="284" t="n"/>
      <c r="T293" s="284" t="n"/>
      <c r="U293" s="285" t="n"/>
      <c r="V293" s="285" t="n"/>
      <c r="W293" s="285" t="n"/>
      <c r="X293" s="285" t="n"/>
      <c r="Y293" s="285" t="n"/>
      <c r="Z293" s="285" t="n"/>
      <c r="AA293" s="285" t="n"/>
    </row>
    <row r="294" ht="15.75" customHeight="1" s="398">
      <c r="A294" s="284" t="n"/>
      <c r="B294" s="285" t="n"/>
      <c r="C294" s="284" t="n"/>
      <c r="D294" s="284" t="n"/>
      <c r="E294" s="285" t="n"/>
      <c r="F294" s="285" t="n"/>
      <c r="G294" s="336" t="n"/>
      <c r="H294" s="336" t="n"/>
      <c r="I294" s="285" t="n"/>
      <c r="J294" s="285" t="n"/>
      <c r="K294" s="285" t="n"/>
      <c r="L294" s="285" t="n"/>
      <c r="M294" s="285" t="n"/>
      <c r="N294" s="285" t="n"/>
      <c r="O294" s="285" t="n"/>
      <c r="P294" s="285" t="n"/>
      <c r="Q294" s="285" t="n"/>
      <c r="R294" s="285" t="n"/>
      <c r="S294" s="284" t="n"/>
      <c r="T294" s="284" t="n"/>
      <c r="U294" s="285" t="n"/>
      <c r="V294" s="285" t="n"/>
      <c r="W294" s="285" t="n"/>
      <c r="X294" s="285" t="n"/>
      <c r="Y294" s="285" t="n"/>
      <c r="Z294" s="285" t="n"/>
      <c r="AA294" s="285" t="n"/>
    </row>
    <row r="295" ht="15.75" customHeight="1" s="398">
      <c r="A295" s="284" t="n"/>
      <c r="B295" s="285" t="n"/>
      <c r="C295" s="284" t="n"/>
      <c r="D295" s="284" t="n"/>
      <c r="E295" s="285" t="n"/>
      <c r="F295" s="285" t="n"/>
      <c r="G295" s="336" t="n"/>
      <c r="H295" s="336" t="n"/>
      <c r="I295" s="285" t="n"/>
      <c r="J295" s="285" t="n"/>
      <c r="K295" s="285" t="n"/>
      <c r="L295" s="285" t="n"/>
      <c r="M295" s="285" t="n"/>
      <c r="N295" s="285" t="n"/>
      <c r="O295" s="285" t="n"/>
      <c r="P295" s="285" t="n"/>
      <c r="Q295" s="285" t="n"/>
      <c r="R295" s="285" t="n"/>
      <c r="S295" s="284" t="n"/>
      <c r="T295" s="284" t="n"/>
      <c r="U295" s="285" t="n"/>
      <c r="V295" s="285" t="n"/>
      <c r="W295" s="285" t="n"/>
      <c r="X295" s="285" t="n"/>
      <c r="Y295" s="285" t="n"/>
      <c r="Z295" s="285" t="n"/>
      <c r="AA295" s="285" t="n"/>
    </row>
    <row r="296" ht="15.75" customHeight="1" s="398">
      <c r="A296" s="284" t="n"/>
      <c r="B296" s="285" t="n"/>
      <c r="C296" s="284" t="n"/>
      <c r="D296" s="284" t="n"/>
      <c r="E296" s="285" t="n"/>
      <c r="F296" s="285" t="n"/>
      <c r="G296" s="336" t="n"/>
      <c r="H296" s="336" t="n"/>
      <c r="I296" s="285" t="n"/>
      <c r="J296" s="285" t="n"/>
      <c r="K296" s="285" t="n"/>
      <c r="L296" s="285" t="n"/>
      <c r="M296" s="285" t="n"/>
      <c r="N296" s="285" t="n"/>
      <c r="O296" s="285" t="n"/>
      <c r="P296" s="285" t="n"/>
      <c r="Q296" s="285" t="n"/>
      <c r="R296" s="285" t="n"/>
      <c r="S296" s="284" t="n"/>
      <c r="T296" s="284" t="n"/>
      <c r="U296" s="285" t="n"/>
      <c r="V296" s="285" t="n"/>
      <c r="W296" s="285" t="n"/>
      <c r="X296" s="285" t="n"/>
      <c r="Y296" s="285" t="n"/>
      <c r="Z296" s="285" t="n"/>
      <c r="AA296" s="285" t="n"/>
    </row>
    <row r="297" ht="15.75" customHeight="1" s="398">
      <c r="A297" s="284" t="n"/>
      <c r="B297" s="285" t="n"/>
      <c r="C297" s="284" t="n"/>
      <c r="D297" s="284" t="n"/>
      <c r="E297" s="285" t="n"/>
      <c r="F297" s="285" t="n"/>
      <c r="G297" s="336" t="n"/>
      <c r="H297" s="336" t="n"/>
      <c r="I297" s="285" t="n"/>
      <c r="J297" s="285" t="n"/>
      <c r="K297" s="285" t="n"/>
      <c r="L297" s="285" t="n"/>
      <c r="M297" s="285" t="n"/>
      <c r="N297" s="285" t="n"/>
      <c r="O297" s="285" t="n"/>
      <c r="P297" s="285" t="n"/>
      <c r="Q297" s="285" t="n"/>
      <c r="R297" s="285" t="n"/>
      <c r="S297" s="284" t="n"/>
      <c r="T297" s="284" t="n"/>
      <c r="U297" s="285" t="n"/>
      <c r="V297" s="285" t="n"/>
      <c r="W297" s="285" t="n"/>
      <c r="X297" s="285" t="n"/>
      <c r="Y297" s="285" t="n"/>
      <c r="Z297" s="285" t="n"/>
      <c r="AA297" s="285" t="n"/>
    </row>
    <row r="298" ht="15.75" customHeight="1" s="398">
      <c r="A298" s="284" t="n"/>
      <c r="B298" s="285" t="n"/>
      <c r="C298" s="284" t="n"/>
      <c r="D298" s="284" t="n"/>
      <c r="E298" s="285" t="n"/>
      <c r="F298" s="285" t="n"/>
      <c r="G298" s="336" t="n"/>
      <c r="H298" s="336" t="n"/>
      <c r="I298" s="285" t="n"/>
      <c r="J298" s="285" t="n"/>
      <c r="K298" s="285" t="n"/>
      <c r="L298" s="285" t="n"/>
      <c r="M298" s="285" t="n"/>
      <c r="N298" s="285" t="n"/>
      <c r="O298" s="285" t="n"/>
      <c r="P298" s="285" t="n"/>
      <c r="Q298" s="285" t="n"/>
      <c r="R298" s="285" t="n"/>
      <c r="S298" s="284" t="n"/>
      <c r="T298" s="284" t="n"/>
      <c r="U298" s="285" t="n"/>
      <c r="V298" s="285" t="n"/>
      <c r="W298" s="285" t="n"/>
      <c r="X298" s="285" t="n"/>
      <c r="Y298" s="285" t="n"/>
      <c r="Z298" s="285" t="n"/>
      <c r="AA298" s="285" t="n"/>
    </row>
    <row r="299" ht="15.75" customHeight="1" s="398">
      <c r="A299" s="284" t="n"/>
      <c r="B299" s="285" t="n"/>
      <c r="C299" s="284" t="n"/>
      <c r="D299" s="284" t="n"/>
      <c r="E299" s="285" t="n"/>
      <c r="F299" s="285" t="n"/>
      <c r="G299" s="336" t="n"/>
      <c r="H299" s="336" t="n"/>
      <c r="I299" s="285" t="n"/>
      <c r="J299" s="285" t="n"/>
      <c r="K299" s="285" t="n"/>
      <c r="L299" s="285" t="n"/>
      <c r="M299" s="285" t="n"/>
      <c r="N299" s="285" t="n"/>
      <c r="O299" s="285" t="n"/>
      <c r="P299" s="285" t="n"/>
      <c r="Q299" s="285" t="n"/>
      <c r="R299" s="285" t="n"/>
      <c r="S299" s="284" t="n"/>
      <c r="T299" s="284" t="n"/>
      <c r="U299" s="285" t="n"/>
      <c r="V299" s="285" t="n"/>
      <c r="W299" s="285" t="n"/>
      <c r="X299" s="285" t="n"/>
      <c r="Y299" s="285" t="n"/>
      <c r="Z299" s="285" t="n"/>
      <c r="AA299" s="285" t="n"/>
    </row>
    <row r="300" ht="15.75" customHeight="1" s="398">
      <c r="A300" s="284" t="n"/>
      <c r="B300" s="285" t="n"/>
      <c r="C300" s="284" t="n"/>
      <c r="D300" s="284" t="n"/>
      <c r="E300" s="285" t="n"/>
      <c r="F300" s="285" t="n"/>
      <c r="G300" s="336" t="n"/>
      <c r="H300" s="336" t="n"/>
      <c r="I300" s="285" t="n"/>
      <c r="J300" s="285" t="n"/>
      <c r="K300" s="285" t="n"/>
      <c r="L300" s="285" t="n"/>
      <c r="M300" s="285" t="n"/>
      <c r="N300" s="285" t="n"/>
      <c r="O300" s="285" t="n"/>
      <c r="P300" s="285" t="n"/>
      <c r="Q300" s="285" t="n"/>
      <c r="R300" s="285" t="n"/>
      <c r="S300" s="284" t="n"/>
      <c r="T300" s="284" t="n"/>
      <c r="U300" s="285" t="n"/>
      <c r="V300" s="285" t="n"/>
      <c r="W300" s="285" t="n"/>
      <c r="X300" s="285" t="n"/>
      <c r="Y300" s="285" t="n"/>
      <c r="Z300" s="285" t="n"/>
      <c r="AA300" s="285" t="n"/>
    </row>
    <row r="301" ht="15.75" customHeight="1" s="398">
      <c r="A301" s="284" t="n"/>
      <c r="B301" s="285" t="n"/>
      <c r="C301" s="284" t="n"/>
      <c r="D301" s="284" t="n"/>
      <c r="E301" s="285" t="n"/>
      <c r="F301" s="285" t="n"/>
      <c r="G301" s="336" t="n"/>
      <c r="H301" s="336" t="n"/>
      <c r="I301" s="285" t="n"/>
      <c r="J301" s="285" t="n"/>
      <c r="K301" s="285" t="n"/>
      <c r="L301" s="285" t="n"/>
      <c r="M301" s="285" t="n"/>
      <c r="N301" s="285" t="n"/>
      <c r="O301" s="285" t="n"/>
      <c r="P301" s="285" t="n"/>
      <c r="Q301" s="285" t="n"/>
      <c r="R301" s="285" t="n"/>
      <c r="S301" s="284" t="n"/>
      <c r="T301" s="284" t="n"/>
      <c r="U301" s="285" t="n"/>
      <c r="V301" s="285" t="n"/>
      <c r="W301" s="285" t="n"/>
      <c r="X301" s="285" t="n"/>
      <c r="Y301" s="285" t="n"/>
      <c r="Z301" s="285" t="n"/>
      <c r="AA301" s="285" t="n"/>
    </row>
    <row r="302" ht="15.75" customHeight="1" s="398">
      <c r="A302" s="284" t="n"/>
      <c r="B302" s="285" t="n"/>
      <c r="C302" s="284" t="n"/>
      <c r="D302" s="284" t="n"/>
      <c r="E302" s="285" t="n"/>
      <c r="F302" s="285" t="n"/>
      <c r="G302" s="336" t="n"/>
      <c r="H302" s="336" t="n"/>
      <c r="I302" s="285" t="n"/>
      <c r="J302" s="285" t="n"/>
      <c r="K302" s="285" t="n"/>
      <c r="L302" s="285" t="n"/>
      <c r="M302" s="285" t="n"/>
      <c r="N302" s="285" t="n"/>
      <c r="O302" s="285" t="n"/>
      <c r="P302" s="285" t="n"/>
      <c r="Q302" s="285" t="n"/>
      <c r="R302" s="285" t="n"/>
      <c r="S302" s="284" t="n"/>
      <c r="T302" s="284" t="n"/>
      <c r="U302" s="285" t="n"/>
      <c r="V302" s="285" t="n"/>
      <c r="W302" s="285" t="n"/>
      <c r="X302" s="285" t="n"/>
      <c r="Y302" s="285" t="n"/>
      <c r="Z302" s="285" t="n"/>
      <c r="AA302" s="285" t="n"/>
    </row>
    <row r="303" ht="15.75" customHeight="1" s="398">
      <c r="A303" s="284" t="n"/>
      <c r="B303" s="285" t="n"/>
      <c r="C303" s="284" t="n"/>
      <c r="D303" s="284" t="n"/>
      <c r="E303" s="285" t="n"/>
      <c r="F303" s="285" t="n"/>
      <c r="G303" s="336" t="n"/>
      <c r="H303" s="336" t="n"/>
      <c r="I303" s="285" t="n"/>
      <c r="J303" s="285" t="n"/>
      <c r="K303" s="285" t="n"/>
      <c r="L303" s="285" t="n"/>
      <c r="M303" s="285" t="n"/>
      <c r="N303" s="285" t="n"/>
      <c r="O303" s="285" t="n"/>
      <c r="P303" s="285" t="n"/>
      <c r="Q303" s="285" t="n"/>
      <c r="R303" s="285" t="n"/>
      <c r="S303" s="284" t="n"/>
      <c r="T303" s="284" t="n"/>
      <c r="U303" s="285" t="n"/>
      <c r="V303" s="285" t="n"/>
      <c r="W303" s="285" t="n"/>
      <c r="X303" s="285" t="n"/>
      <c r="Y303" s="285" t="n"/>
      <c r="Z303" s="285" t="n"/>
      <c r="AA303" s="285" t="n"/>
    </row>
    <row r="304" ht="15.75" customHeight="1" s="398">
      <c r="A304" s="284" t="n"/>
      <c r="B304" s="285" t="n"/>
      <c r="C304" s="284" t="n"/>
      <c r="D304" s="284" t="n"/>
      <c r="E304" s="285" t="n"/>
      <c r="F304" s="285" t="n"/>
      <c r="G304" s="336" t="n"/>
      <c r="H304" s="336" t="n"/>
      <c r="I304" s="285" t="n"/>
      <c r="J304" s="285" t="n"/>
      <c r="K304" s="285" t="n"/>
      <c r="L304" s="285" t="n"/>
      <c r="M304" s="285" t="n"/>
      <c r="N304" s="285" t="n"/>
      <c r="O304" s="285" t="n"/>
      <c r="P304" s="285" t="n"/>
      <c r="Q304" s="285" t="n"/>
      <c r="R304" s="285" t="n"/>
      <c r="S304" s="284" t="n"/>
      <c r="T304" s="284" t="n"/>
      <c r="U304" s="285" t="n"/>
      <c r="V304" s="285" t="n"/>
      <c r="W304" s="285" t="n"/>
      <c r="X304" s="285" t="n"/>
      <c r="Y304" s="285" t="n"/>
      <c r="Z304" s="285" t="n"/>
      <c r="AA304" s="285" t="n"/>
    </row>
    <row r="305" ht="15.75" customHeight="1" s="398">
      <c r="A305" s="284" t="n"/>
      <c r="B305" s="285" t="n"/>
      <c r="C305" s="284" t="n"/>
      <c r="D305" s="284" t="n"/>
      <c r="E305" s="285" t="n"/>
      <c r="F305" s="285" t="n"/>
      <c r="G305" s="336" t="n"/>
      <c r="H305" s="336" t="n"/>
      <c r="I305" s="285" t="n"/>
      <c r="J305" s="285" t="n"/>
      <c r="K305" s="285" t="n"/>
      <c r="L305" s="285" t="n"/>
      <c r="M305" s="285" t="n"/>
      <c r="N305" s="285" t="n"/>
      <c r="O305" s="285" t="n"/>
      <c r="P305" s="285" t="n"/>
      <c r="Q305" s="285" t="n"/>
      <c r="R305" s="285" t="n"/>
      <c r="S305" s="284" t="n"/>
      <c r="T305" s="284" t="n"/>
      <c r="U305" s="285" t="n"/>
      <c r="V305" s="285" t="n"/>
      <c r="W305" s="285" t="n"/>
      <c r="X305" s="285" t="n"/>
      <c r="Y305" s="285" t="n"/>
      <c r="Z305" s="285" t="n"/>
      <c r="AA305" s="285" t="n"/>
    </row>
    <row r="306" ht="15.75" customHeight="1" s="398">
      <c r="A306" s="284" t="n"/>
      <c r="B306" s="285" t="n"/>
      <c r="C306" s="284" t="n"/>
      <c r="D306" s="284" t="n"/>
      <c r="E306" s="285" t="n"/>
      <c r="F306" s="285" t="n"/>
      <c r="G306" s="336" t="n"/>
      <c r="H306" s="336" t="n"/>
      <c r="I306" s="285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85" t="n"/>
      <c r="S306" s="284" t="n"/>
      <c r="T306" s="284" t="n"/>
      <c r="U306" s="285" t="n"/>
      <c r="V306" s="285" t="n"/>
      <c r="W306" s="285" t="n"/>
      <c r="X306" s="285" t="n"/>
      <c r="Y306" s="285" t="n"/>
      <c r="Z306" s="285" t="n"/>
      <c r="AA306" s="285" t="n"/>
    </row>
    <row r="307" ht="15.75" customHeight="1" s="398">
      <c r="A307" s="284" t="n"/>
      <c r="B307" s="285" t="n"/>
      <c r="C307" s="284" t="n"/>
      <c r="D307" s="284" t="n"/>
      <c r="E307" s="285" t="n"/>
      <c r="F307" s="285" t="n"/>
      <c r="G307" s="336" t="n"/>
      <c r="H307" s="336" t="n"/>
      <c r="I307" s="285" t="n"/>
      <c r="J307" s="285" t="n"/>
      <c r="K307" s="285" t="n"/>
      <c r="L307" s="285" t="n"/>
      <c r="M307" s="285" t="n"/>
      <c r="N307" s="285" t="n"/>
      <c r="O307" s="285" t="n"/>
      <c r="P307" s="285" t="n"/>
      <c r="Q307" s="285" t="n"/>
      <c r="R307" s="285" t="n"/>
      <c r="S307" s="284" t="n"/>
      <c r="T307" s="284" t="n"/>
      <c r="U307" s="285" t="n"/>
      <c r="V307" s="285" t="n"/>
      <c r="W307" s="285" t="n"/>
      <c r="X307" s="285" t="n"/>
      <c r="Y307" s="285" t="n"/>
      <c r="Z307" s="285" t="n"/>
      <c r="AA307" s="285" t="n"/>
    </row>
    <row r="308" ht="15.75" customHeight="1" s="398">
      <c r="A308" s="284" t="n"/>
      <c r="B308" s="285" t="n"/>
      <c r="C308" s="284" t="n"/>
      <c r="D308" s="284" t="n"/>
      <c r="E308" s="285" t="n"/>
      <c r="F308" s="285" t="n"/>
      <c r="G308" s="336" t="n"/>
      <c r="H308" s="336" t="n"/>
      <c r="I308" s="285" t="n"/>
      <c r="J308" s="285" t="n"/>
      <c r="K308" s="285" t="n"/>
      <c r="L308" s="285" t="n"/>
      <c r="M308" s="285" t="n"/>
      <c r="N308" s="285" t="n"/>
      <c r="O308" s="285" t="n"/>
      <c r="P308" s="285" t="n"/>
      <c r="Q308" s="285" t="n"/>
      <c r="R308" s="285" t="n"/>
      <c r="S308" s="284" t="n"/>
      <c r="T308" s="284" t="n"/>
      <c r="U308" s="285" t="n"/>
      <c r="V308" s="285" t="n"/>
      <c r="W308" s="285" t="n"/>
      <c r="X308" s="285" t="n"/>
      <c r="Y308" s="285" t="n"/>
      <c r="Z308" s="285" t="n"/>
      <c r="AA308" s="285" t="n"/>
    </row>
    <row r="309" ht="15.75" customHeight="1" s="398">
      <c r="A309" s="284" t="n"/>
      <c r="B309" s="285" t="n"/>
      <c r="C309" s="284" t="n"/>
      <c r="D309" s="284" t="n"/>
      <c r="E309" s="285" t="n"/>
      <c r="F309" s="285" t="n"/>
      <c r="G309" s="336" t="n"/>
      <c r="H309" s="336" t="n"/>
      <c r="I309" s="285" t="n"/>
      <c r="J309" s="285" t="n"/>
      <c r="K309" s="285" t="n"/>
      <c r="L309" s="285" t="n"/>
      <c r="M309" s="285" t="n"/>
      <c r="N309" s="285" t="n"/>
      <c r="O309" s="285" t="n"/>
      <c r="P309" s="285" t="n"/>
      <c r="Q309" s="285" t="n"/>
      <c r="R309" s="285" t="n"/>
      <c r="S309" s="284" t="n"/>
      <c r="T309" s="284" t="n"/>
      <c r="U309" s="285" t="n"/>
      <c r="V309" s="285" t="n"/>
      <c r="W309" s="285" t="n"/>
      <c r="X309" s="285" t="n"/>
      <c r="Y309" s="285" t="n"/>
      <c r="Z309" s="285" t="n"/>
      <c r="AA309" s="285" t="n"/>
    </row>
    <row r="310" ht="15.75" customHeight="1" s="398">
      <c r="A310" s="284" t="n"/>
      <c r="B310" s="285" t="n"/>
      <c r="C310" s="284" t="n"/>
      <c r="D310" s="284" t="n"/>
      <c r="E310" s="285" t="n"/>
      <c r="F310" s="285" t="n"/>
      <c r="G310" s="336" t="n"/>
      <c r="H310" s="336" t="n"/>
      <c r="I310" s="285" t="n"/>
      <c r="J310" s="285" t="n"/>
      <c r="K310" s="285" t="n"/>
      <c r="L310" s="285" t="n"/>
      <c r="M310" s="285" t="n"/>
      <c r="N310" s="285" t="n"/>
      <c r="O310" s="285" t="n"/>
      <c r="P310" s="285" t="n"/>
      <c r="Q310" s="285" t="n"/>
      <c r="R310" s="285" t="n"/>
      <c r="S310" s="284" t="n"/>
      <c r="T310" s="284" t="n"/>
      <c r="U310" s="285" t="n"/>
      <c r="V310" s="285" t="n"/>
      <c r="W310" s="285" t="n"/>
      <c r="X310" s="285" t="n"/>
      <c r="Y310" s="285" t="n"/>
      <c r="Z310" s="285" t="n"/>
      <c r="AA310" s="285" t="n"/>
    </row>
    <row r="311" ht="15.75" customHeight="1" s="398">
      <c r="A311" s="284" t="n"/>
      <c r="B311" s="285" t="n"/>
      <c r="C311" s="284" t="n"/>
      <c r="D311" s="284" t="n"/>
      <c r="E311" s="285" t="n"/>
      <c r="F311" s="285" t="n"/>
      <c r="G311" s="336" t="n"/>
      <c r="H311" s="336" t="n"/>
      <c r="I311" s="285" t="n"/>
      <c r="J311" s="285" t="n"/>
      <c r="K311" s="285" t="n"/>
      <c r="L311" s="285" t="n"/>
      <c r="M311" s="285" t="n"/>
      <c r="N311" s="285" t="n"/>
      <c r="O311" s="285" t="n"/>
      <c r="P311" s="285" t="n"/>
      <c r="Q311" s="285" t="n"/>
      <c r="R311" s="285" t="n"/>
      <c r="S311" s="284" t="n"/>
      <c r="T311" s="284" t="n"/>
      <c r="U311" s="285" t="n"/>
      <c r="V311" s="285" t="n"/>
      <c r="W311" s="285" t="n"/>
      <c r="X311" s="285" t="n"/>
      <c r="Y311" s="285" t="n"/>
      <c r="Z311" s="285" t="n"/>
      <c r="AA311" s="285" t="n"/>
    </row>
    <row r="312" ht="15.75" customHeight="1" s="398">
      <c r="A312" s="284" t="n"/>
      <c r="B312" s="285" t="n"/>
      <c r="C312" s="284" t="n"/>
      <c r="D312" s="284" t="n"/>
      <c r="E312" s="285" t="n"/>
      <c r="F312" s="285" t="n"/>
      <c r="G312" s="336" t="n"/>
      <c r="H312" s="336" t="n"/>
      <c r="I312" s="285" t="n"/>
      <c r="J312" s="285" t="n"/>
      <c r="K312" s="285" t="n"/>
      <c r="L312" s="285" t="n"/>
      <c r="M312" s="285" t="n"/>
      <c r="N312" s="285" t="n"/>
      <c r="O312" s="285" t="n"/>
      <c r="P312" s="285" t="n"/>
      <c r="Q312" s="285" t="n"/>
      <c r="R312" s="285" t="n"/>
      <c r="S312" s="284" t="n"/>
      <c r="T312" s="284" t="n"/>
      <c r="U312" s="285" t="n"/>
      <c r="V312" s="285" t="n"/>
      <c r="W312" s="285" t="n"/>
      <c r="X312" s="285" t="n"/>
      <c r="Y312" s="285" t="n"/>
      <c r="Z312" s="285" t="n"/>
      <c r="AA312" s="285" t="n"/>
    </row>
    <row r="313" ht="15.75" customHeight="1" s="398">
      <c r="A313" s="284" t="n"/>
      <c r="B313" s="285" t="n"/>
      <c r="C313" s="284" t="n"/>
      <c r="D313" s="284" t="n"/>
      <c r="E313" s="285" t="n"/>
      <c r="F313" s="285" t="n"/>
      <c r="G313" s="336" t="n"/>
      <c r="H313" s="336" t="n"/>
      <c r="I313" s="285" t="n"/>
      <c r="J313" s="285" t="n"/>
      <c r="K313" s="285" t="n"/>
      <c r="L313" s="285" t="n"/>
      <c r="M313" s="285" t="n"/>
      <c r="N313" s="285" t="n"/>
      <c r="O313" s="285" t="n"/>
      <c r="P313" s="285" t="n"/>
      <c r="Q313" s="285" t="n"/>
      <c r="R313" s="285" t="n"/>
      <c r="S313" s="284" t="n"/>
      <c r="T313" s="284" t="n"/>
      <c r="U313" s="285" t="n"/>
      <c r="V313" s="285" t="n"/>
      <c r="W313" s="285" t="n"/>
      <c r="X313" s="285" t="n"/>
      <c r="Y313" s="285" t="n"/>
      <c r="Z313" s="285" t="n"/>
      <c r="AA313" s="285" t="n"/>
    </row>
    <row r="314" ht="15.75" customHeight="1" s="398">
      <c r="A314" s="284" t="n"/>
      <c r="B314" s="285" t="n"/>
      <c r="C314" s="284" t="n"/>
      <c r="D314" s="284" t="n"/>
      <c r="E314" s="285" t="n"/>
      <c r="F314" s="285" t="n"/>
      <c r="G314" s="336" t="n"/>
      <c r="H314" s="336" t="n"/>
      <c r="I314" s="285" t="n"/>
      <c r="J314" s="285" t="n"/>
      <c r="K314" s="285" t="n"/>
      <c r="L314" s="285" t="n"/>
      <c r="M314" s="285" t="n"/>
      <c r="N314" s="285" t="n"/>
      <c r="O314" s="285" t="n"/>
      <c r="P314" s="285" t="n"/>
      <c r="Q314" s="285" t="n"/>
      <c r="R314" s="285" t="n"/>
      <c r="S314" s="284" t="n"/>
      <c r="T314" s="284" t="n"/>
      <c r="U314" s="285" t="n"/>
      <c r="V314" s="285" t="n"/>
      <c r="W314" s="285" t="n"/>
      <c r="X314" s="285" t="n"/>
      <c r="Y314" s="285" t="n"/>
      <c r="Z314" s="285" t="n"/>
      <c r="AA314" s="285" t="n"/>
    </row>
    <row r="315" ht="15.75" customHeight="1" s="398">
      <c r="A315" s="284" t="n"/>
      <c r="B315" s="285" t="n"/>
      <c r="C315" s="284" t="n"/>
      <c r="D315" s="284" t="n"/>
      <c r="E315" s="285" t="n"/>
      <c r="F315" s="285" t="n"/>
      <c r="G315" s="336" t="n"/>
      <c r="H315" s="336" t="n"/>
      <c r="I315" s="285" t="n"/>
      <c r="J315" s="285" t="n"/>
      <c r="K315" s="285" t="n"/>
      <c r="L315" s="285" t="n"/>
      <c r="M315" s="285" t="n"/>
      <c r="N315" s="285" t="n"/>
      <c r="O315" s="285" t="n"/>
      <c r="P315" s="285" t="n"/>
      <c r="Q315" s="285" t="n"/>
      <c r="R315" s="285" t="n"/>
      <c r="S315" s="284" t="n"/>
      <c r="T315" s="284" t="n"/>
      <c r="U315" s="285" t="n"/>
      <c r="V315" s="285" t="n"/>
      <c r="W315" s="285" t="n"/>
      <c r="X315" s="285" t="n"/>
      <c r="Y315" s="285" t="n"/>
      <c r="Z315" s="285" t="n"/>
      <c r="AA315" s="285" t="n"/>
    </row>
    <row r="316" ht="15.75" customHeight="1" s="398">
      <c r="A316" s="284" t="n"/>
      <c r="B316" s="285" t="n"/>
      <c r="C316" s="284" t="n"/>
      <c r="D316" s="284" t="n"/>
      <c r="E316" s="285" t="n"/>
      <c r="F316" s="285" t="n"/>
      <c r="G316" s="336" t="n"/>
      <c r="H316" s="336" t="n"/>
      <c r="I316" s="285" t="n"/>
      <c r="J316" s="285" t="n"/>
      <c r="K316" s="285" t="n"/>
      <c r="L316" s="285" t="n"/>
      <c r="M316" s="285" t="n"/>
      <c r="N316" s="285" t="n"/>
      <c r="O316" s="285" t="n"/>
      <c r="P316" s="285" t="n"/>
      <c r="Q316" s="285" t="n"/>
      <c r="R316" s="285" t="n"/>
      <c r="S316" s="284" t="n"/>
      <c r="T316" s="284" t="n"/>
      <c r="U316" s="285" t="n"/>
      <c r="V316" s="285" t="n"/>
      <c r="W316" s="285" t="n"/>
      <c r="X316" s="285" t="n"/>
      <c r="Y316" s="285" t="n"/>
      <c r="Z316" s="285" t="n"/>
      <c r="AA316" s="285" t="n"/>
    </row>
    <row r="317" ht="15.75" customHeight="1" s="398">
      <c r="A317" s="284" t="n"/>
      <c r="B317" s="285" t="n"/>
      <c r="C317" s="284" t="n"/>
      <c r="D317" s="284" t="n"/>
      <c r="E317" s="285" t="n"/>
      <c r="F317" s="285" t="n"/>
      <c r="G317" s="336" t="n"/>
      <c r="H317" s="336" t="n"/>
      <c r="I317" s="285" t="n"/>
      <c r="J317" s="285" t="n"/>
      <c r="K317" s="285" t="n"/>
      <c r="L317" s="285" t="n"/>
      <c r="M317" s="285" t="n"/>
      <c r="N317" s="285" t="n"/>
      <c r="O317" s="285" t="n"/>
      <c r="P317" s="285" t="n"/>
      <c r="Q317" s="285" t="n"/>
      <c r="R317" s="285" t="n"/>
      <c r="S317" s="284" t="n"/>
      <c r="T317" s="284" t="n"/>
      <c r="U317" s="285" t="n"/>
      <c r="V317" s="285" t="n"/>
      <c r="W317" s="285" t="n"/>
      <c r="X317" s="285" t="n"/>
      <c r="Y317" s="285" t="n"/>
      <c r="Z317" s="285" t="n"/>
      <c r="AA317" s="285" t="n"/>
    </row>
    <row r="318" ht="15.75" customHeight="1" s="398">
      <c r="A318" s="284" t="n"/>
      <c r="B318" s="285" t="n"/>
      <c r="C318" s="284" t="n"/>
      <c r="D318" s="284" t="n"/>
      <c r="E318" s="285" t="n"/>
      <c r="F318" s="285" t="n"/>
      <c r="G318" s="336" t="n"/>
      <c r="H318" s="336" t="n"/>
      <c r="I318" s="285" t="n"/>
      <c r="J318" s="285" t="n"/>
      <c r="K318" s="285" t="n"/>
      <c r="L318" s="285" t="n"/>
      <c r="M318" s="285" t="n"/>
      <c r="N318" s="285" t="n"/>
      <c r="O318" s="285" t="n"/>
      <c r="P318" s="285" t="n"/>
      <c r="Q318" s="285" t="n"/>
      <c r="R318" s="285" t="n"/>
      <c r="S318" s="284" t="n"/>
      <c r="T318" s="284" t="n"/>
      <c r="U318" s="285" t="n"/>
      <c r="V318" s="285" t="n"/>
      <c r="W318" s="285" t="n"/>
      <c r="X318" s="285" t="n"/>
      <c r="Y318" s="285" t="n"/>
      <c r="Z318" s="285" t="n"/>
      <c r="AA318" s="285" t="n"/>
    </row>
    <row r="319" ht="15.75" customHeight="1" s="398">
      <c r="A319" s="284" t="n"/>
      <c r="B319" s="285" t="n"/>
      <c r="C319" s="284" t="n"/>
      <c r="D319" s="284" t="n"/>
      <c r="E319" s="285" t="n"/>
      <c r="F319" s="285" t="n"/>
      <c r="G319" s="336" t="n"/>
      <c r="H319" s="336" t="n"/>
      <c r="I319" s="285" t="n"/>
      <c r="J319" s="285" t="n"/>
      <c r="K319" s="285" t="n"/>
      <c r="L319" s="285" t="n"/>
      <c r="M319" s="285" t="n"/>
      <c r="N319" s="285" t="n"/>
      <c r="O319" s="285" t="n"/>
      <c r="P319" s="285" t="n"/>
      <c r="Q319" s="285" t="n"/>
      <c r="R319" s="285" t="n"/>
      <c r="S319" s="284" t="n"/>
      <c r="T319" s="284" t="n"/>
      <c r="U319" s="285" t="n"/>
      <c r="V319" s="285" t="n"/>
      <c r="W319" s="285" t="n"/>
      <c r="X319" s="285" t="n"/>
      <c r="Y319" s="285" t="n"/>
      <c r="Z319" s="285" t="n"/>
      <c r="AA319" s="285" t="n"/>
    </row>
    <row r="320" ht="15.75" customHeight="1" s="398">
      <c r="A320" s="284" t="n"/>
      <c r="B320" s="285" t="n"/>
      <c r="C320" s="284" t="n"/>
      <c r="D320" s="284" t="n"/>
      <c r="E320" s="285" t="n"/>
      <c r="F320" s="285" t="n"/>
      <c r="G320" s="336" t="n"/>
      <c r="H320" s="336" t="n"/>
      <c r="I320" s="285" t="n"/>
      <c r="J320" s="285" t="n"/>
      <c r="K320" s="285" t="n"/>
      <c r="L320" s="285" t="n"/>
      <c r="M320" s="285" t="n"/>
      <c r="N320" s="285" t="n"/>
      <c r="O320" s="285" t="n"/>
      <c r="P320" s="285" t="n"/>
      <c r="Q320" s="285" t="n"/>
      <c r="R320" s="285" t="n"/>
      <c r="S320" s="284" t="n"/>
      <c r="T320" s="284" t="n"/>
      <c r="U320" s="285" t="n"/>
      <c r="V320" s="285" t="n"/>
      <c r="W320" s="285" t="n"/>
      <c r="X320" s="285" t="n"/>
      <c r="Y320" s="285" t="n"/>
      <c r="Z320" s="285" t="n"/>
      <c r="AA320" s="285" t="n"/>
    </row>
    <row r="321" ht="15.75" customHeight="1" s="398">
      <c r="A321" s="284" t="n"/>
      <c r="B321" s="285" t="n"/>
      <c r="C321" s="284" t="n"/>
      <c r="D321" s="284" t="n"/>
      <c r="E321" s="285" t="n"/>
      <c r="F321" s="285" t="n"/>
      <c r="G321" s="336" t="n"/>
      <c r="H321" s="336" t="n"/>
      <c r="I321" s="285" t="n"/>
      <c r="J321" s="285" t="n"/>
      <c r="K321" s="285" t="n"/>
      <c r="L321" s="285" t="n"/>
      <c r="M321" s="285" t="n"/>
      <c r="N321" s="285" t="n"/>
      <c r="O321" s="285" t="n"/>
      <c r="P321" s="285" t="n"/>
      <c r="Q321" s="285" t="n"/>
      <c r="R321" s="285" t="n"/>
      <c r="S321" s="284" t="n"/>
      <c r="T321" s="284" t="n"/>
      <c r="U321" s="285" t="n"/>
      <c r="V321" s="285" t="n"/>
      <c r="W321" s="285" t="n"/>
      <c r="X321" s="285" t="n"/>
      <c r="Y321" s="285" t="n"/>
      <c r="Z321" s="285" t="n"/>
      <c r="AA321" s="285" t="n"/>
    </row>
    <row r="322" ht="15.75" customHeight="1" s="398">
      <c r="A322" s="284" t="n"/>
      <c r="B322" s="285" t="n"/>
      <c r="C322" s="284" t="n"/>
      <c r="D322" s="284" t="n"/>
      <c r="E322" s="285" t="n"/>
      <c r="F322" s="285" t="n"/>
      <c r="G322" s="336" t="n"/>
      <c r="H322" s="336" t="n"/>
      <c r="I322" s="285" t="n"/>
      <c r="J322" s="285" t="n"/>
      <c r="K322" s="285" t="n"/>
      <c r="L322" s="285" t="n"/>
      <c r="M322" s="285" t="n"/>
      <c r="N322" s="285" t="n"/>
      <c r="O322" s="285" t="n"/>
      <c r="P322" s="285" t="n"/>
      <c r="Q322" s="285" t="n"/>
      <c r="R322" s="285" t="n"/>
      <c r="S322" s="284" t="n"/>
      <c r="T322" s="284" t="n"/>
      <c r="U322" s="285" t="n"/>
      <c r="V322" s="285" t="n"/>
      <c r="W322" s="285" t="n"/>
      <c r="X322" s="285" t="n"/>
      <c r="Y322" s="285" t="n"/>
      <c r="Z322" s="285" t="n"/>
      <c r="AA322" s="285" t="n"/>
    </row>
    <row r="323" ht="15.75" customHeight="1" s="398">
      <c r="A323" s="284" t="n"/>
      <c r="B323" s="285" t="n"/>
      <c r="C323" s="284" t="n"/>
      <c r="D323" s="284" t="n"/>
      <c r="E323" s="285" t="n"/>
      <c r="F323" s="285" t="n"/>
      <c r="G323" s="336" t="n"/>
      <c r="H323" s="336" t="n"/>
      <c r="I323" s="285" t="n"/>
      <c r="J323" s="285" t="n"/>
      <c r="K323" s="285" t="n"/>
      <c r="L323" s="285" t="n"/>
      <c r="M323" s="285" t="n"/>
      <c r="N323" s="285" t="n"/>
      <c r="O323" s="285" t="n"/>
      <c r="P323" s="285" t="n"/>
      <c r="Q323" s="285" t="n"/>
      <c r="R323" s="285" t="n"/>
      <c r="S323" s="284" t="n"/>
      <c r="T323" s="284" t="n"/>
      <c r="U323" s="285" t="n"/>
      <c r="V323" s="285" t="n"/>
      <c r="W323" s="285" t="n"/>
      <c r="X323" s="285" t="n"/>
      <c r="Y323" s="285" t="n"/>
      <c r="Z323" s="285" t="n"/>
      <c r="AA323" s="285" t="n"/>
    </row>
    <row r="324" ht="15.75" customHeight="1" s="398">
      <c r="A324" s="284" t="n"/>
      <c r="B324" s="285" t="n"/>
      <c r="C324" s="284" t="n"/>
      <c r="D324" s="284" t="n"/>
      <c r="E324" s="285" t="n"/>
      <c r="F324" s="285" t="n"/>
      <c r="G324" s="336" t="n"/>
      <c r="H324" s="336" t="n"/>
      <c r="I324" s="285" t="n"/>
      <c r="J324" s="285" t="n"/>
      <c r="K324" s="285" t="n"/>
      <c r="L324" s="285" t="n"/>
      <c r="M324" s="285" t="n"/>
      <c r="N324" s="285" t="n"/>
      <c r="O324" s="285" t="n"/>
      <c r="P324" s="285" t="n"/>
      <c r="Q324" s="285" t="n"/>
      <c r="R324" s="285" t="n"/>
      <c r="S324" s="284" t="n"/>
      <c r="T324" s="284" t="n"/>
      <c r="U324" s="285" t="n"/>
      <c r="V324" s="285" t="n"/>
      <c r="W324" s="285" t="n"/>
      <c r="X324" s="285" t="n"/>
      <c r="Y324" s="285" t="n"/>
      <c r="Z324" s="285" t="n"/>
      <c r="AA324" s="285" t="n"/>
    </row>
    <row r="325" ht="15.75" customHeight="1" s="398">
      <c r="A325" s="284" t="n"/>
      <c r="B325" s="285" t="n"/>
      <c r="C325" s="284" t="n"/>
      <c r="D325" s="284" t="n"/>
      <c r="E325" s="285" t="n"/>
      <c r="F325" s="285" t="n"/>
      <c r="G325" s="336" t="n"/>
      <c r="H325" s="336" t="n"/>
      <c r="I325" s="285" t="n"/>
      <c r="J325" s="285" t="n"/>
      <c r="K325" s="285" t="n"/>
      <c r="L325" s="285" t="n"/>
      <c r="M325" s="285" t="n"/>
      <c r="N325" s="285" t="n"/>
      <c r="O325" s="285" t="n"/>
      <c r="P325" s="285" t="n"/>
      <c r="Q325" s="285" t="n"/>
      <c r="R325" s="285" t="n"/>
      <c r="S325" s="284" t="n"/>
      <c r="T325" s="284" t="n"/>
      <c r="U325" s="285" t="n"/>
      <c r="V325" s="285" t="n"/>
      <c r="W325" s="285" t="n"/>
      <c r="X325" s="285" t="n"/>
      <c r="Y325" s="285" t="n"/>
      <c r="Z325" s="285" t="n"/>
      <c r="AA325" s="285" t="n"/>
    </row>
    <row r="326" ht="15.75" customHeight="1" s="398">
      <c r="A326" s="284" t="n"/>
      <c r="B326" s="285" t="n"/>
      <c r="C326" s="284" t="n"/>
      <c r="D326" s="284" t="n"/>
      <c r="E326" s="285" t="n"/>
      <c r="F326" s="285" t="n"/>
      <c r="G326" s="336" t="n"/>
      <c r="H326" s="336" t="n"/>
      <c r="I326" s="285" t="n"/>
      <c r="J326" s="285" t="n"/>
      <c r="K326" s="285" t="n"/>
      <c r="L326" s="285" t="n"/>
      <c r="M326" s="285" t="n"/>
      <c r="N326" s="285" t="n"/>
      <c r="O326" s="285" t="n"/>
      <c r="P326" s="285" t="n"/>
      <c r="Q326" s="285" t="n"/>
      <c r="R326" s="285" t="n"/>
      <c r="S326" s="284" t="n"/>
      <c r="T326" s="284" t="n"/>
      <c r="U326" s="285" t="n"/>
      <c r="V326" s="285" t="n"/>
      <c r="W326" s="285" t="n"/>
      <c r="X326" s="285" t="n"/>
      <c r="Y326" s="285" t="n"/>
      <c r="Z326" s="285" t="n"/>
      <c r="AA326" s="285" t="n"/>
    </row>
    <row r="327" ht="15.75" customHeight="1" s="398">
      <c r="A327" s="284" t="n"/>
      <c r="B327" s="285" t="n"/>
      <c r="C327" s="284" t="n"/>
      <c r="D327" s="284" t="n"/>
      <c r="E327" s="285" t="n"/>
      <c r="F327" s="285" t="n"/>
      <c r="G327" s="336" t="n"/>
      <c r="H327" s="336" t="n"/>
      <c r="I327" s="285" t="n"/>
      <c r="J327" s="285" t="n"/>
      <c r="K327" s="285" t="n"/>
      <c r="L327" s="285" t="n"/>
      <c r="M327" s="285" t="n"/>
      <c r="N327" s="285" t="n"/>
      <c r="O327" s="285" t="n"/>
      <c r="P327" s="285" t="n"/>
      <c r="Q327" s="285" t="n"/>
      <c r="R327" s="285" t="n"/>
      <c r="S327" s="284" t="n"/>
      <c r="T327" s="284" t="n"/>
      <c r="U327" s="285" t="n"/>
      <c r="V327" s="285" t="n"/>
      <c r="W327" s="285" t="n"/>
      <c r="X327" s="285" t="n"/>
      <c r="Y327" s="285" t="n"/>
      <c r="Z327" s="285" t="n"/>
      <c r="AA327" s="285" t="n"/>
    </row>
    <row r="328" ht="15.75" customHeight="1" s="398">
      <c r="A328" s="284" t="n"/>
      <c r="B328" s="285" t="n"/>
      <c r="C328" s="284" t="n"/>
      <c r="D328" s="284" t="n"/>
      <c r="E328" s="285" t="n"/>
      <c r="F328" s="285" t="n"/>
      <c r="G328" s="336" t="n"/>
      <c r="H328" s="336" t="n"/>
      <c r="I328" s="285" t="n"/>
      <c r="J328" s="285" t="n"/>
      <c r="K328" s="285" t="n"/>
      <c r="L328" s="285" t="n"/>
      <c r="M328" s="285" t="n"/>
      <c r="N328" s="285" t="n"/>
      <c r="O328" s="285" t="n"/>
      <c r="P328" s="285" t="n"/>
      <c r="Q328" s="285" t="n"/>
      <c r="R328" s="285" t="n"/>
      <c r="S328" s="284" t="n"/>
      <c r="T328" s="284" t="n"/>
      <c r="U328" s="285" t="n"/>
      <c r="V328" s="285" t="n"/>
      <c r="W328" s="285" t="n"/>
      <c r="X328" s="285" t="n"/>
      <c r="Y328" s="285" t="n"/>
      <c r="Z328" s="285" t="n"/>
      <c r="AA328" s="285" t="n"/>
    </row>
    <row r="329" ht="15.75" customHeight="1" s="398">
      <c r="A329" s="284" t="n"/>
      <c r="B329" s="285" t="n"/>
      <c r="C329" s="284" t="n"/>
      <c r="D329" s="284" t="n"/>
      <c r="E329" s="285" t="n"/>
      <c r="F329" s="285" t="n"/>
      <c r="G329" s="336" t="n"/>
      <c r="H329" s="336" t="n"/>
      <c r="I329" s="285" t="n"/>
      <c r="J329" s="285" t="n"/>
      <c r="K329" s="285" t="n"/>
      <c r="L329" s="285" t="n"/>
      <c r="M329" s="285" t="n"/>
      <c r="N329" s="285" t="n"/>
      <c r="O329" s="285" t="n"/>
      <c r="P329" s="285" t="n"/>
      <c r="Q329" s="285" t="n"/>
      <c r="R329" s="285" t="n"/>
      <c r="S329" s="284" t="n"/>
      <c r="T329" s="284" t="n"/>
      <c r="U329" s="285" t="n"/>
      <c r="V329" s="285" t="n"/>
      <c r="W329" s="285" t="n"/>
      <c r="X329" s="285" t="n"/>
      <c r="Y329" s="285" t="n"/>
      <c r="Z329" s="285" t="n"/>
      <c r="AA329" s="285" t="n"/>
    </row>
    <row r="330" ht="15.75" customHeight="1" s="398">
      <c r="A330" s="284" t="n"/>
      <c r="B330" s="285" t="n"/>
      <c r="C330" s="284" t="n"/>
      <c r="D330" s="284" t="n"/>
      <c r="E330" s="285" t="n"/>
      <c r="F330" s="285" t="n"/>
      <c r="G330" s="336" t="n"/>
      <c r="H330" s="336" t="n"/>
      <c r="I330" s="285" t="n"/>
      <c r="J330" s="285" t="n"/>
      <c r="K330" s="285" t="n"/>
      <c r="L330" s="285" t="n"/>
      <c r="M330" s="285" t="n"/>
      <c r="N330" s="285" t="n"/>
      <c r="O330" s="285" t="n"/>
      <c r="P330" s="285" t="n"/>
      <c r="Q330" s="285" t="n"/>
      <c r="R330" s="285" t="n"/>
      <c r="S330" s="284" t="n"/>
      <c r="T330" s="284" t="n"/>
      <c r="U330" s="285" t="n"/>
      <c r="V330" s="285" t="n"/>
      <c r="W330" s="285" t="n"/>
      <c r="X330" s="285" t="n"/>
      <c r="Y330" s="285" t="n"/>
      <c r="Z330" s="285" t="n"/>
      <c r="AA330" s="285" t="n"/>
    </row>
    <row r="331" ht="15.75" customHeight="1" s="398">
      <c r="A331" s="284" t="n"/>
      <c r="B331" s="285" t="n"/>
      <c r="C331" s="284" t="n"/>
      <c r="D331" s="284" t="n"/>
      <c r="E331" s="285" t="n"/>
      <c r="F331" s="285" t="n"/>
      <c r="G331" s="336" t="n"/>
      <c r="H331" s="336" t="n"/>
      <c r="I331" s="285" t="n"/>
      <c r="J331" s="285" t="n"/>
      <c r="K331" s="285" t="n"/>
      <c r="L331" s="285" t="n"/>
      <c r="M331" s="285" t="n"/>
      <c r="N331" s="285" t="n"/>
      <c r="O331" s="285" t="n"/>
      <c r="P331" s="285" t="n"/>
      <c r="Q331" s="285" t="n"/>
      <c r="R331" s="285" t="n"/>
      <c r="S331" s="284" t="n"/>
      <c r="T331" s="284" t="n"/>
      <c r="U331" s="285" t="n"/>
      <c r="V331" s="285" t="n"/>
      <c r="W331" s="285" t="n"/>
      <c r="X331" s="285" t="n"/>
      <c r="Y331" s="285" t="n"/>
      <c r="Z331" s="285" t="n"/>
      <c r="AA331" s="285" t="n"/>
    </row>
    <row r="332" ht="15.75" customHeight="1" s="398">
      <c r="A332" s="284" t="n"/>
      <c r="B332" s="285" t="n"/>
      <c r="C332" s="284" t="n"/>
      <c r="D332" s="284" t="n"/>
      <c r="E332" s="285" t="n"/>
      <c r="F332" s="285" t="n"/>
      <c r="G332" s="336" t="n"/>
      <c r="H332" s="336" t="n"/>
      <c r="I332" s="285" t="n"/>
      <c r="J332" s="285" t="n"/>
      <c r="K332" s="285" t="n"/>
      <c r="L332" s="285" t="n"/>
      <c r="M332" s="285" t="n"/>
      <c r="N332" s="285" t="n"/>
      <c r="O332" s="285" t="n"/>
      <c r="P332" s="285" t="n"/>
      <c r="Q332" s="285" t="n"/>
      <c r="R332" s="285" t="n"/>
      <c r="S332" s="284" t="n"/>
      <c r="T332" s="284" t="n"/>
      <c r="U332" s="285" t="n"/>
      <c r="V332" s="285" t="n"/>
      <c r="W332" s="285" t="n"/>
      <c r="X332" s="285" t="n"/>
      <c r="Y332" s="285" t="n"/>
      <c r="Z332" s="285" t="n"/>
      <c r="AA332" s="285" t="n"/>
    </row>
    <row r="333" ht="15.75" customHeight="1" s="398">
      <c r="A333" s="284" t="n"/>
      <c r="B333" s="285" t="n"/>
      <c r="C333" s="284" t="n"/>
      <c r="D333" s="284" t="n"/>
      <c r="E333" s="285" t="n"/>
      <c r="F333" s="285" t="n"/>
      <c r="G333" s="336" t="n"/>
      <c r="H333" s="336" t="n"/>
      <c r="I333" s="285" t="n"/>
      <c r="J333" s="285" t="n"/>
      <c r="K333" s="285" t="n"/>
      <c r="L333" s="285" t="n"/>
      <c r="M333" s="285" t="n"/>
      <c r="N333" s="285" t="n"/>
      <c r="O333" s="285" t="n"/>
      <c r="P333" s="285" t="n"/>
      <c r="Q333" s="285" t="n"/>
      <c r="R333" s="285" t="n"/>
      <c r="S333" s="284" t="n"/>
      <c r="T333" s="284" t="n"/>
      <c r="U333" s="285" t="n"/>
      <c r="V333" s="285" t="n"/>
      <c r="W333" s="285" t="n"/>
      <c r="X333" s="285" t="n"/>
      <c r="Y333" s="285" t="n"/>
      <c r="Z333" s="285" t="n"/>
      <c r="AA333" s="285" t="n"/>
    </row>
    <row r="334" ht="15.75" customHeight="1" s="398">
      <c r="A334" s="284" t="n"/>
      <c r="B334" s="285" t="n"/>
      <c r="C334" s="284" t="n"/>
      <c r="D334" s="284" t="n"/>
      <c r="E334" s="285" t="n"/>
      <c r="F334" s="285" t="n"/>
      <c r="G334" s="336" t="n"/>
      <c r="H334" s="336" t="n"/>
      <c r="I334" s="285" t="n"/>
      <c r="J334" s="285" t="n"/>
      <c r="K334" s="285" t="n"/>
      <c r="L334" s="285" t="n"/>
      <c r="M334" s="285" t="n"/>
      <c r="N334" s="285" t="n"/>
      <c r="O334" s="285" t="n"/>
      <c r="P334" s="285" t="n"/>
      <c r="Q334" s="285" t="n"/>
      <c r="R334" s="285" t="n"/>
      <c r="S334" s="284" t="n"/>
      <c r="T334" s="284" t="n"/>
      <c r="U334" s="285" t="n"/>
      <c r="V334" s="285" t="n"/>
      <c r="W334" s="285" t="n"/>
      <c r="X334" s="285" t="n"/>
      <c r="Y334" s="285" t="n"/>
      <c r="Z334" s="285" t="n"/>
      <c r="AA334" s="285" t="n"/>
    </row>
    <row r="335" ht="15.75" customHeight="1" s="398">
      <c r="A335" s="284" t="n"/>
      <c r="B335" s="285" t="n"/>
      <c r="C335" s="284" t="n"/>
      <c r="D335" s="284" t="n"/>
      <c r="E335" s="285" t="n"/>
      <c r="F335" s="285" t="n"/>
      <c r="G335" s="336" t="n"/>
      <c r="H335" s="336" t="n"/>
      <c r="I335" s="285" t="n"/>
      <c r="J335" s="285" t="n"/>
      <c r="K335" s="285" t="n"/>
      <c r="L335" s="285" t="n"/>
      <c r="M335" s="285" t="n"/>
      <c r="N335" s="285" t="n"/>
      <c r="O335" s="285" t="n"/>
      <c r="P335" s="285" t="n"/>
      <c r="Q335" s="285" t="n"/>
      <c r="R335" s="285" t="n"/>
      <c r="S335" s="284" t="n"/>
      <c r="T335" s="284" t="n"/>
      <c r="U335" s="285" t="n"/>
      <c r="V335" s="285" t="n"/>
      <c r="W335" s="285" t="n"/>
      <c r="X335" s="285" t="n"/>
      <c r="Y335" s="285" t="n"/>
      <c r="Z335" s="285" t="n"/>
      <c r="AA335" s="285" t="n"/>
    </row>
    <row r="336" ht="15.75" customHeight="1" s="398">
      <c r="A336" s="284" t="n"/>
      <c r="B336" s="285" t="n"/>
      <c r="C336" s="284" t="n"/>
      <c r="D336" s="284" t="n"/>
      <c r="E336" s="285" t="n"/>
      <c r="F336" s="285" t="n"/>
      <c r="G336" s="336" t="n"/>
      <c r="H336" s="336" t="n"/>
      <c r="I336" s="285" t="n"/>
      <c r="J336" s="285" t="n"/>
      <c r="K336" s="285" t="n"/>
      <c r="L336" s="285" t="n"/>
      <c r="M336" s="285" t="n"/>
      <c r="N336" s="285" t="n"/>
      <c r="O336" s="285" t="n"/>
      <c r="P336" s="285" t="n"/>
      <c r="Q336" s="285" t="n"/>
      <c r="R336" s="285" t="n"/>
      <c r="S336" s="284" t="n"/>
      <c r="T336" s="284" t="n"/>
      <c r="U336" s="285" t="n"/>
      <c r="V336" s="285" t="n"/>
      <c r="W336" s="285" t="n"/>
      <c r="X336" s="285" t="n"/>
      <c r="Y336" s="285" t="n"/>
      <c r="Z336" s="285" t="n"/>
      <c r="AA336" s="285" t="n"/>
    </row>
    <row r="337" ht="15.75" customHeight="1" s="398">
      <c r="A337" s="284" t="n"/>
      <c r="B337" s="285" t="n"/>
      <c r="C337" s="284" t="n"/>
      <c r="D337" s="284" t="n"/>
      <c r="E337" s="285" t="n"/>
      <c r="F337" s="285" t="n"/>
      <c r="G337" s="336" t="n"/>
      <c r="H337" s="336" t="n"/>
      <c r="I337" s="285" t="n"/>
      <c r="J337" s="285" t="n"/>
      <c r="K337" s="285" t="n"/>
      <c r="L337" s="285" t="n"/>
      <c r="M337" s="285" t="n"/>
      <c r="N337" s="285" t="n"/>
      <c r="O337" s="285" t="n"/>
      <c r="P337" s="285" t="n"/>
      <c r="Q337" s="285" t="n"/>
      <c r="R337" s="285" t="n"/>
      <c r="S337" s="284" t="n"/>
      <c r="T337" s="284" t="n"/>
      <c r="U337" s="285" t="n"/>
      <c r="V337" s="285" t="n"/>
      <c r="W337" s="285" t="n"/>
      <c r="X337" s="285" t="n"/>
      <c r="Y337" s="285" t="n"/>
      <c r="Z337" s="285" t="n"/>
      <c r="AA337" s="285" t="n"/>
    </row>
    <row r="338" ht="15.75" customHeight="1" s="398">
      <c r="A338" s="284" t="n"/>
      <c r="B338" s="285" t="n"/>
      <c r="C338" s="284" t="n"/>
      <c r="D338" s="284" t="n"/>
      <c r="E338" s="285" t="n"/>
      <c r="F338" s="285" t="n"/>
      <c r="G338" s="336" t="n"/>
      <c r="H338" s="336" t="n"/>
      <c r="I338" s="285" t="n"/>
      <c r="J338" s="285" t="n"/>
      <c r="K338" s="285" t="n"/>
      <c r="L338" s="285" t="n"/>
      <c r="M338" s="285" t="n"/>
      <c r="N338" s="285" t="n"/>
      <c r="O338" s="285" t="n"/>
      <c r="P338" s="285" t="n"/>
      <c r="Q338" s="285" t="n"/>
      <c r="R338" s="285" t="n"/>
      <c r="S338" s="284" t="n"/>
      <c r="T338" s="284" t="n"/>
      <c r="U338" s="285" t="n"/>
      <c r="V338" s="285" t="n"/>
      <c r="W338" s="285" t="n"/>
      <c r="X338" s="285" t="n"/>
      <c r="Y338" s="285" t="n"/>
      <c r="Z338" s="285" t="n"/>
      <c r="AA338" s="285" t="n"/>
    </row>
    <row r="339" ht="15.75" customHeight="1" s="398">
      <c r="A339" s="284" t="n"/>
      <c r="B339" s="285" t="n"/>
      <c r="C339" s="284" t="n"/>
      <c r="D339" s="284" t="n"/>
      <c r="E339" s="285" t="n"/>
      <c r="F339" s="285" t="n"/>
      <c r="G339" s="336" t="n"/>
      <c r="H339" s="336" t="n"/>
      <c r="I339" s="285" t="n"/>
      <c r="J339" s="285" t="n"/>
      <c r="K339" s="285" t="n"/>
      <c r="L339" s="285" t="n"/>
      <c r="M339" s="285" t="n"/>
      <c r="N339" s="285" t="n"/>
      <c r="O339" s="285" t="n"/>
      <c r="P339" s="285" t="n"/>
      <c r="Q339" s="285" t="n"/>
      <c r="R339" s="285" t="n"/>
      <c r="S339" s="284" t="n"/>
      <c r="T339" s="284" t="n"/>
      <c r="U339" s="285" t="n"/>
      <c r="V339" s="285" t="n"/>
      <c r="W339" s="285" t="n"/>
      <c r="X339" s="285" t="n"/>
      <c r="Y339" s="285" t="n"/>
      <c r="Z339" s="285" t="n"/>
      <c r="AA339" s="285" t="n"/>
    </row>
    <row r="340" ht="15.75" customHeight="1" s="398">
      <c r="A340" s="284" t="n"/>
      <c r="B340" s="285" t="n"/>
      <c r="C340" s="284" t="n"/>
      <c r="D340" s="284" t="n"/>
      <c r="E340" s="285" t="n"/>
      <c r="F340" s="285" t="n"/>
      <c r="G340" s="336" t="n"/>
      <c r="H340" s="336" t="n"/>
      <c r="I340" s="285" t="n"/>
      <c r="J340" s="285" t="n"/>
      <c r="K340" s="285" t="n"/>
      <c r="L340" s="285" t="n"/>
      <c r="M340" s="285" t="n"/>
      <c r="N340" s="285" t="n"/>
      <c r="O340" s="285" t="n"/>
      <c r="P340" s="285" t="n"/>
      <c r="Q340" s="285" t="n"/>
      <c r="R340" s="285" t="n"/>
      <c r="S340" s="284" t="n"/>
      <c r="T340" s="284" t="n"/>
      <c r="U340" s="285" t="n"/>
      <c r="V340" s="285" t="n"/>
      <c r="W340" s="285" t="n"/>
      <c r="X340" s="285" t="n"/>
      <c r="Y340" s="285" t="n"/>
      <c r="Z340" s="285" t="n"/>
      <c r="AA340" s="285" t="n"/>
    </row>
    <row r="341" ht="15.75" customHeight="1" s="398">
      <c r="A341" s="284" t="n"/>
      <c r="B341" s="285" t="n"/>
      <c r="C341" s="284" t="n"/>
      <c r="D341" s="284" t="n"/>
      <c r="E341" s="285" t="n"/>
      <c r="F341" s="285" t="n"/>
      <c r="G341" s="336" t="n"/>
      <c r="H341" s="336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85" t="n"/>
      <c r="S341" s="284" t="n"/>
      <c r="T341" s="284" t="n"/>
      <c r="U341" s="285" t="n"/>
      <c r="V341" s="285" t="n"/>
      <c r="W341" s="285" t="n"/>
      <c r="X341" s="285" t="n"/>
      <c r="Y341" s="285" t="n"/>
      <c r="Z341" s="285" t="n"/>
      <c r="AA341" s="285" t="n"/>
    </row>
    <row r="342" ht="15.75" customHeight="1" s="398">
      <c r="A342" s="284" t="n"/>
      <c r="B342" s="285" t="n"/>
      <c r="C342" s="284" t="n"/>
      <c r="D342" s="284" t="n"/>
      <c r="E342" s="285" t="n"/>
      <c r="F342" s="285" t="n"/>
      <c r="G342" s="336" t="n"/>
      <c r="H342" s="336" t="n"/>
      <c r="I342" s="285" t="n"/>
      <c r="J342" s="285" t="n"/>
      <c r="K342" s="285" t="n"/>
      <c r="L342" s="285" t="n"/>
      <c r="M342" s="285" t="n"/>
      <c r="N342" s="285" t="n"/>
      <c r="O342" s="285" t="n"/>
      <c r="P342" s="285" t="n"/>
      <c r="Q342" s="285" t="n"/>
      <c r="R342" s="285" t="n"/>
      <c r="S342" s="284" t="n"/>
      <c r="T342" s="284" t="n"/>
      <c r="U342" s="285" t="n"/>
      <c r="V342" s="285" t="n"/>
      <c r="W342" s="285" t="n"/>
      <c r="X342" s="285" t="n"/>
      <c r="Y342" s="285" t="n"/>
      <c r="Z342" s="285" t="n"/>
      <c r="AA342" s="285" t="n"/>
    </row>
    <row r="343" ht="15.75" customHeight="1" s="398">
      <c r="A343" s="284" t="n"/>
      <c r="B343" s="285" t="n"/>
      <c r="C343" s="284" t="n"/>
      <c r="D343" s="284" t="n"/>
      <c r="E343" s="285" t="n"/>
      <c r="F343" s="285" t="n"/>
      <c r="G343" s="336" t="n"/>
      <c r="H343" s="336" t="n"/>
      <c r="I343" s="285" t="n"/>
      <c r="J343" s="285" t="n"/>
      <c r="K343" s="285" t="n"/>
      <c r="L343" s="285" t="n"/>
      <c r="M343" s="285" t="n"/>
      <c r="N343" s="285" t="n"/>
      <c r="O343" s="285" t="n"/>
      <c r="P343" s="285" t="n"/>
      <c r="Q343" s="285" t="n"/>
      <c r="R343" s="285" t="n"/>
      <c r="S343" s="284" t="n"/>
      <c r="T343" s="284" t="n"/>
      <c r="U343" s="285" t="n"/>
      <c r="V343" s="285" t="n"/>
      <c r="W343" s="285" t="n"/>
      <c r="X343" s="285" t="n"/>
      <c r="Y343" s="285" t="n"/>
      <c r="Z343" s="285" t="n"/>
      <c r="AA343" s="285" t="n"/>
    </row>
    <row r="344" ht="15.75" customHeight="1" s="398">
      <c r="A344" s="284" t="n"/>
      <c r="B344" s="285" t="n"/>
      <c r="C344" s="284" t="n"/>
      <c r="D344" s="284" t="n"/>
      <c r="E344" s="285" t="n"/>
      <c r="F344" s="285" t="n"/>
      <c r="G344" s="336" t="n"/>
      <c r="H344" s="336" t="n"/>
      <c r="I344" s="285" t="n"/>
      <c r="J344" s="285" t="n"/>
      <c r="K344" s="285" t="n"/>
      <c r="L344" s="285" t="n"/>
      <c r="M344" s="285" t="n"/>
      <c r="N344" s="285" t="n"/>
      <c r="O344" s="285" t="n"/>
      <c r="P344" s="285" t="n"/>
      <c r="Q344" s="285" t="n"/>
      <c r="R344" s="285" t="n"/>
      <c r="S344" s="284" t="n"/>
      <c r="T344" s="284" t="n"/>
      <c r="U344" s="285" t="n"/>
      <c r="V344" s="285" t="n"/>
      <c r="W344" s="285" t="n"/>
      <c r="X344" s="285" t="n"/>
      <c r="Y344" s="285" t="n"/>
      <c r="Z344" s="285" t="n"/>
      <c r="AA344" s="285" t="n"/>
    </row>
    <row r="345" ht="15.75" customHeight="1" s="398">
      <c r="A345" s="284" t="n"/>
      <c r="B345" s="285" t="n"/>
      <c r="C345" s="284" t="n"/>
      <c r="D345" s="284" t="n"/>
      <c r="E345" s="285" t="n"/>
      <c r="F345" s="285" t="n"/>
      <c r="G345" s="336" t="n"/>
      <c r="H345" s="336" t="n"/>
      <c r="I345" s="285" t="n"/>
      <c r="J345" s="285" t="n"/>
      <c r="K345" s="285" t="n"/>
      <c r="L345" s="285" t="n"/>
      <c r="M345" s="285" t="n"/>
      <c r="N345" s="285" t="n"/>
      <c r="O345" s="285" t="n"/>
      <c r="P345" s="285" t="n"/>
      <c r="Q345" s="285" t="n"/>
      <c r="R345" s="285" t="n"/>
      <c r="S345" s="284" t="n"/>
      <c r="T345" s="284" t="n"/>
      <c r="U345" s="285" t="n"/>
      <c r="V345" s="285" t="n"/>
      <c r="W345" s="285" t="n"/>
      <c r="X345" s="285" t="n"/>
      <c r="Y345" s="285" t="n"/>
      <c r="Z345" s="285" t="n"/>
      <c r="AA345" s="285" t="n"/>
    </row>
    <row r="346" ht="15.75" customHeight="1" s="398">
      <c r="A346" s="284" t="n"/>
      <c r="B346" s="285" t="n"/>
      <c r="C346" s="284" t="n"/>
      <c r="D346" s="284" t="n"/>
      <c r="E346" s="285" t="n"/>
      <c r="F346" s="285" t="n"/>
      <c r="G346" s="336" t="n"/>
      <c r="H346" s="336" t="n"/>
      <c r="I346" s="285" t="n"/>
      <c r="J346" s="285" t="n"/>
      <c r="K346" s="285" t="n"/>
      <c r="L346" s="285" t="n"/>
      <c r="M346" s="285" t="n"/>
      <c r="N346" s="285" t="n"/>
      <c r="O346" s="285" t="n"/>
      <c r="P346" s="285" t="n"/>
      <c r="Q346" s="285" t="n"/>
      <c r="R346" s="285" t="n"/>
      <c r="S346" s="284" t="n"/>
      <c r="T346" s="284" t="n"/>
      <c r="U346" s="285" t="n"/>
      <c r="V346" s="285" t="n"/>
      <c r="W346" s="285" t="n"/>
      <c r="X346" s="285" t="n"/>
      <c r="Y346" s="285" t="n"/>
      <c r="Z346" s="285" t="n"/>
      <c r="AA346" s="285" t="n"/>
    </row>
    <row r="347" ht="15.75" customHeight="1" s="398">
      <c r="A347" s="284" t="n"/>
      <c r="B347" s="285" t="n"/>
      <c r="C347" s="284" t="n"/>
      <c r="D347" s="284" t="n"/>
      <c r="E347" s="285" t="n"/>
      <c r="F347" s="285" t="n"/>
      <c r="G347" s="336" t="n"/>
      <c r="H347" s="336" t="n"/>
      <c r="I347" s="285" t="n"/>
      <c r="J347" s="285" t="n"/>
      <c r="K347" s="285" t="n"/>
      <c r="L347" s="285" t="n"/>
      <c r="M347" s="285" t="n"/>
      <c r="N347" s="285" t="n"/>
      <c r="O347" s="285" t="n"/>
      <c r="P347" s="285" t="n"/>
      <c r="Q347" s="285" t="n"/>
      <c r="R347" s="285" t="n"/>
      <c r="S347" s="284" t="n"/>
      <c r="T347" s="284" t="n"/>
      <c r="U347" s="285" t="n"/>
      <c r="V347" s="285" t="n"/>
      <c r="W347" s="285" t="n"/>
      <c r="X347" s="285" t="n"/>
      <c r="Y347" s="285" t="n"/>
      <c r="Z347" s="285" t="n"/>
      <c r="AA347" s="285" t="n"/>
    </row>
    <row r="348" ht="15.75" customHeight="1" s="398">
      <c r="A348" s="284" t="n"/>
      <c r="B348" s="285" t="n"/>
      <c r="C348" s="284" t="n"/>
      <c r="D348" s="284" t="n"/>
      <c r="E348" s="285" t="n"/>
      <c r="F348" s="285" t="n"/>
      <c r="G348" s="336" t="n"/>
      <c r="H348" s="336" t="n"/>
      <c r="I348" s="285" t="n"/>
      <c r="J348" s="285" t="n"/>
      <c r="K348" s="285" t="n"/>
      <c r="L348" s="285" t="n"/>
      <c r="M348" s="285" t="n"/>
      <c r="N348" s="285" t="n"/>
      <c r="O348" s="285" t="n"/>
      <c r="P348" s="285" t="n"/>
      <c r="Q348" s="285" t="n"/>
      <c r="R348" s="285" t="n"/>
      <c r="S348" s="284" t="n"/>
      <c r="T348" s="284" t="n"/>
      <c r="U348" s="285" t="n"/>
      <c r="V348" s="285" t="n"/>
      <c r="W348" s="285" t="n"/>
      <c r="X348" s="285" t="n"/>
      <c r="Y348" s="285" t="n"/>
      <c r="Z348" s="285" t="n"/>
      <c r="AA348" s="285" t="n"/>
    </row>
    <row r="349" ht="15.75" customHeight="1" s="398">
      <c r="A349" s="284" t="n"/>
      <c r="B349" s="285" t="n"/>
      <c r="C349" s="284" t="n"/>
      <c r="D349" s="284" t="n"/>
      <c r="E349" s="285" t="n"/>
      <c r="F349" s="285" t="n"/>
      <c r="G349" s="336" t="n"/>
      <c r="H349" s="336" t="n"/>
      <c r="I349" s="285" t="n"/>
      <c r="J349" s="285" t="n"/>
      <c r="K349" s="285" t="n"/>
      <c r="L349" s="285" t="n"/>
      <c r="M349" s="285" t="n"/>
      <c r="N349" s="285" t="n"/>
      <c r="O349" s="285" t="n"/>
      <c r="P349" s="285" t="n"/>
      <c r="Q349" s="285" t="n"/>
      <c r="R349" s="285" t="n"/>
      <c r="S349" s="284" t="n"/>
      <c r="T349" s="284" t="n"/>
      <c r="U349" s="285" t="n"/>
      <c r="V349" s="285" t="n"/>
      <c r="W349" s="285" t="n"/>
      <c r="X349" s="285" t="n"/>
      <c r="Y349" s="285" t="n"/>
      <c r="Z349" s="285" t="n"/>
      <c r="AA349" s="285" t="n"/>
    </row>
    <row r="350" ht="15.75" customHeight="1" s="398">
      <c r="A350" s="284" t="n"/>
      <c r="B350" s="285" t="n"/>
      <c r="C350" s="284" t="n"/>
      <c r="D350" s="284" t="n"/>
      <c r="E350" s="285" t="n"/>
      <c r="F350" s="285" t="n"/>
      <c r="G350" s="336" t="n"/>
      <c r="H350" s="336" t="n"/>
      <c r="I350" s="285" t="n"/>
      <c r="J350" s="285" t="n"/>
      <c r="K350" s="285" t="n"/>
      <c r="L350" s="285" t="n"/>
      <c r="M350" s="285" t="n"/>
      <c r="N350" s="285" t="n"/>
      <c r="O350" s="285" t="n"/>
      <c r="P350" s="285" t="n"/>
      <c r="Q350" s="285" t="n"/>
      <c r="R350" s="285" t="n"/>
      <c r="S350" s="284" t="n"/>
      <c r="T350" s="284" t="n"/>
      <c r="U350" s="285" t="n"/>
      <c r="V350" s="285" t="n"/>
      <c r="W350" s="285" t="n"/>
      <c r="X350" s="285" t="n"/>
      <c r="Y350" s="285" t="n"/>
      <c r="Z350" s="285" t="n"/>
      <c r="AA350" s="285" t="n"/>
    </row>
    <row r="351" ht="15.75" customHeight="1" s="398">
      <c r="A351" s="284" t="n"/>
      <c r="B351" s="285" t="n"/>
      <c r="C351" s="284" t="n"/>
      <c r="D351" s="284" t="n"/>
      <c r="E351" s="285" t="n"/>
      <c r="F351" s="285" t="n"/>
      <c r="G351" s="336" t="n"/>
      <c r="H351" s="336" t="n"/>
      <c r="I351" s="285" t="n"/>
      <c r="J351" s="285" t="n"/>
      <c r="K351" s="285" t="n"/>
      <c r="L351" s="285" t="n"/>
      <c r="M351" s="285" t="n"/>
      <c r="N351" s="285" t="n"/>
      <c r="O351" s="285" t="n"/>
      <c r="P351" s="285" t="n"/>
      <c r="Q351" s="285" t="n"/>
      <c r="R351" s="285" t="n"/>
      <c r="S351" s="284" t="n"/>
      <c r="T351" s="284" t="n"/>
      <c r="U351" s="285" t="n"/>
      <c r="V351" s="285" t="n"/>
      <c r="W351" s="285" t="n"/>
      <c r="X351" s="285" t="n"/>
      <c r="Y351" s="285" t="n"/>
      <c r="Z351" s="285" t="n"/>
      <c r="AA351" s="285" t="n"/>
    </row>
    <row r="352" ht="15.75" customHeight="1" s="398">
      <c r="A352" s="284" t="n"/>
      <c r="B352" s="285" t="n"/>
      <c r="C352" s="284" t="n"/>
      <c r="D352" s="284" t="n"/>
      <c r="E352" s="285" t="n"/>
      <c r="F352" s="285" t="n"/>
      <c r="G352" s="336" t="n"/>
      <c r="H352" s="336" t="n"/>
      <c r="I352" s="285" t="n"/>
      <c r="J352" s="285" t="n"/>
      <c r="K352" s="285" t="n"/>
      <c r="L352" s="285" t="n"/>
      <c r="M352" s="285" t="n"/>
      <c r="N352" s="285" t="n"/>
      <c r="O352" s="285" t="n"/>
      <c r="P352" s="285" t="n"/>
      <c r="Q352" s="285" t="n"/>
      <c r="R352" s="285" t="n"/>
      <c r="S352" s="284" t="n"/>
      <c r="T352" s="284" t="n"/>
      <c r="U352" s="285" t="n"/>
      <c r="V352" s="285" t="n"/>
      <c r="W352" s="285" t="n"/>
      <c r="X352" s="285" t="n"/>
      <c r="Y352" s="285" t="n"/>
      <c r="Z352" s="285" t="n"/>
      <c r="AA352" s="285" t="n"/>
    </row>
    <row r="353" ht="15.75" customHeight="1" s="398">
      <c r="A353" s="284" t="n"/>
      <c r="B353" s="285" t="n"/>
      <c r="C353" s="284" t="n"/>
      <c r="D353" s="284" t="n"/>
      <c r="E353" s="285" t="n"/>
      <c r="F353" s="285" t="n"/>
      <c r="G353" s="336" t="n"/>
      <c r="H353" s="336" t="n"/>
      <c r="I353" s="285" t="n"/>
      <c r="J353" s="285" t="n"/>
      <c r="K353" s="285" t="n"/>
      <c r="L353" s="285" t="n"/>
      <c r="M353" s="285" t="n"/>
      <c r="N353" s="285" t="n"/>
      <c r="O353" s="285" t="n"/>
      <c r="P353" s="285" t="n"/>
      <c r="Q353" s="285" t="n"/>
      <c r="R353" s="285" t="n"/>
      <c r="S353" s="284" t="n"/>
      <c r="T353" s="284" t="n"/>
      <c r="U353" s="285" t="n"/>
      <c r="V353" s="285" t="n"/>
      <c r="W353" s="285" t="n"/>
      <c r="X353" s="285" t="n"/>
      <c r="Y353" s="285" t="n"/>
      <c r="Z353" s="285" t="n"/>
      <c r="AA353" s="285" t="n"/>
    </row>
    <row r="354" ht="15.75" customHeight="1" s="398">
      <c r="A354" s="284" t="n"/>
      <c r="B354" s="285" t="n"/>
      <c r="C354" s="284" t="n"/>
      <c r="D354" s="284" t="n"/>
      <c r="E354" s="285" t="n"/>
      <c r="F354" s="285" t="n"/>
      <c r="G354" s="336" t="n"/>
      <c r="H354" s="336" t="n"/>
      <c r="I354" s="285" t="n"/>
      <c r="J354" s="285" t="n"/>
      <c r="K354" s="285" t="n"/>
      <c r="L354" s="285" t="n"/>
      <c r="M354" s="285" t="n"/>
      <c r="N354" s="285" t="n"/>
      <c r="O354" s="285" t="n"/>
      <c r="P354" s="285" t="n"/>
      <c r="Q354" s="285" t="n"/>
      <c r="R354" s="285" t="n"/>
      <c r="S354" s="284" t="n"/>
      <c r="T354" s="284" t="n"/>
      <c r="U354" s="285" t="n"/>
      <c r="V354" s="285" t="n"/>
      <c r="W354" s="285" t="n"/>
      <c r="X354" s="285" t="n"/>
      <c r="Y354" s="285" t="n"/>
      <c r="Z354" s="285" t="n"/>
      <c r="AA354" s="285" t="n"/>
    </row>
    <row r="355" ht="15.75" customHeight="1" s="398">
      <c r="A355" s="284" t="n"/>
      <c r="B355" s="285" t="n"/>
      <c r="C355" s="284" t="n"/>
      <c r="D355" s="284" t="n"/>
      <c r="E355" s="285" t="n"/>
      <c r="F355" s="285" t="n"/>
      <c r="G355" s="336" t="n"/>
      <c r="H355" s="336" t="n"/>
      <c r="I355" s="285" t="n"/>
      <c r="J355" s="285" t="n"/>
      <c r="K355" s="285" t="n"/>
      <c r="L355" s="285" t="n"/>
      <c r="M355" s="285" t="n"/>
      <c r="N355" s="285" t="n"/>
      <c r="O355" s="285" t="n"/>
      <c r="P355" s="285" t="n"/>
      <c r="Q355" s="285" t="n"/>
      <c r="R355" s="285" t="n"/>
      <c r="S355" s="284" t="n"/>
      <c r="T355" s="284" t="n"/>
      <c r="U355" s="285" t="n"/>
      <c r="V355" s="285" t="n"/>
      <c r="W355" s="285" t="n"/>
      <c r="X355" s="285" t="n"/>
      <c r="Y355" s="285" t="n"/>
      <c r="Z355" s="285" t="n"/>
      <c r="AA355" s="285" t="n"/>
    </row>
    <row r="356" ht="15.75" customHeight="1" s="398">
      <c r="A356" s="284" t="n"/>
      <c r="B356" s="285" t="n"/>
      <c r="C356" s="284" t="n"/>
      <c r="D356" s="284" t="n"/>
      <c r="E356" s="285" t="n"/>
      <c r="F356" s="285" t="n"/>
      <c r="G356" s="336" t="n"/>
      <c r="H356" s="336" t="n"/>
      <c r="I356" s="285" t="n"/>
      <c r="J356" s="285" t="n"/>
      <c r="K356" s="285" t="n"/>
      <c r="L356" s="285" t="n"/>
      <c r="M356" s="285" t="n"/>
      <c r="N356" s="285" t="n"/>
      <c r="O356" s="285" t="n"/>
      <c r="P356" s="285" t="n"/>
      <c r="Q356" s="285" t="n"/>
      <c r="R356" s="285" t="n"/>
      <c r="S356" s="284" t="n"/>
      <c r="T356" s="284" t="n"/>
      <c r="U356" s="285" t="n"/>
      <c r="V356" s="285" t="n"/>
      <c r="W356" s="285" t="n"/>
      <c r="X356" s="285" t="n"/>
      <c r="Y356" s="285" t="n"/>
      <c r="Z356" s="285" t="n"/>
      <c r="AA356" s="285" t="n"/>
    </row>
    <row r="357" ht="15.75" customHeight="1" s="398">
      <c r="A357" s="284" t="n"/>
      <c r="B357" s="285" t="n"/>
      <c r="C357" s="284" t="n"/>
      <c r="D357" s="284" t="n"/>
      <c r="E357" s="285" t="n"/>
      <c r="F357" s="285" t="n"/>
      <c r="G357" s="336" t="n"/>
      <c r="H357" s="336" t="n"/>
      <c r="I357" s="285" t="n"/>
      <c r="J357" s="285" t="n"/>
      <c r="K357" s="285" t="n"/>
      <c r="L357" s="285" t="n"/>
      <c r="M357" s="285" t="n"/>
      <c r="N357" s="285" t="n"/>
      <c r="O357" s="285" t="n"/>
      <c r="P357" s="285" t="n"/>
      <c r="Q357" s="285" t="n"/>
      <c r="R357" s="285" t="n"/>
      <c r="S357" s="284" t="n"/>
      <c r="T357" s="284" t="n"/>
      <c r="U357" s="285" t="n"/>
      <c r="V357" s="285" t="n"/>
      <c r="W357" s="285" t="n"/>
      <c r="X357" s="285" t="n"/>
      <c r="Y357" s="285" t="n"/>
      <c r="Z357" s="285" t="n"/>
      <c r="AA357" s="285" t="n"/>
    </row>
    <row r="358" ht="15.75" customHeight="1" s="398">
      <c r="A358" s="284" t="n"/>
      <c r="B358" s="285" t="n"/>
      <c r="C358" s="284" t="n"/>
      <c r="D358" s="284" t="n"/>
      <c r="E358" s="285" t="n"/>
      <c r="F358" s="285" t="n"/>
      <c r="G358" s="336" t="n"/>
      <c r="H358" s="336" t="n"/>
      <c r="I358" s="285" t="n"/>
      <c r="J358" s="285" t="n"/>
      <c r="K358" s="285" t="n"/>
      <c r="L358" s="285" t="n"/>
      <c r="M358" s="285" t="n"/>
      <c r="N358" s="285" t="n"/>
      <c r="O358" s="285" t="n"/>
      <c r="P358" s="285" t="n"/>
      <c r="Q358" s="285" t="n"/>
      <c r="R358" s="285" t="n"/>
      <c r="S358" s="284" t="n"/>
      <c r="T358" s="284" t="n"/>
      <c r="U358" s="285" t="n"/>
      <c r="V358" s="285" t="n"/>
      <c r="W358" s="285" t="n"/>
      <c r="X358" s="285" t="n"/>
      <c r="Y358" s="285" t="n"/>
      <c r="Z358" s="285" t="n"/>
      <c r="AA358" s="285" t="n"/>
    </row>
    <row r="359" ht="15.75" customHeight="1" s="398">
      <c r="A359" s="284" t="n"/>
      <c r="B359" s="285" t="n"/>
      <c r="C359" s="284" t="n"/>
      <c r="D359" s="284" t="n"/>
      <c r="E359" s="285" t="n"/>
      <c r="F359" s="285" t="n"/>
      <c r="G359" s="336" t="n"/>
      <c r="H359" s="336" t="n"/>
      <c r="I359" s="285" t="n"/>
      <c r="J359" s="285" t="n"/>
      <c r="K359" s="285" t="n"/>
      <c r="L359" s="285" t="n"/>
      <c r="M359" s="285" t="n"/>
      <c r="N359" s="285" t="n"/>
      <c r="O359" s="285" t="n"/>
      <c r="P359" s="285" t="n"/>
      <c r="Q359" s="285" t="n"/>
      <c r="R359" s="285" t="n"/>
      <c r="S359" s="284" t="n"/>
      <c r="T359" s="284" t="n"/>
      <c r="U359" s="285" t="n"/>
      <c r="V359" s="285" t="n"/>
      <c r="W359" s="285" t="n"/>
      <c r="X359" s="285" t="n"/>
      <c r="Y359" s="285" t="n"/>
      <c r="Z359" s="285" t="n"/>
      <c r="AA359" s="285" t="n"/>
    </row>
    <row r="360" ht="15.75" customHeight="1" s="398">
      <c r="A360" s="284" t="n"/>
      <c r="B360" s="285" t="n"/>
      <c r="C360" s="284" t="n"/>
      <c r="D360" s="284" t="n"/>
      <c r="E360" s="285" t="n"/>
      <c r="F360" s="285" t="n"/>
      <c r="G360" s="336" t="n"/>
      <c r="H360" s="336" t="n"/>
      <c r="I360" s="285" t="n"/>
      <c r="J360" s="285" t="n"/>
      <c r="K360" s="285" t="n"/>
      <c r="L360" s="285" t="n"/>
      <c r="M360" s="285" t="n"/>
      <c r="N360" s="285" t="n"/>
      <c r="O360" s="285" t="n"/>
      <c r="P360" s="285" t="n"/>
      <c r="Q360" s="285" t="n"/>
      <c r="R360" s="285" t="n"/>
      <c r="S360" s="284" t="n"/>
      <c r="T360" s="284" t="n"/>
      <c r="U360" s="285" t="n"/>
      <c r="V360" s="285" t="n"/>
      <c r="W360" s="285" t="n"/>
      <c r="X360" s="285" t="n"/>
      <c r="Y360" s="285" t="n"/>
      <c r="Z360" s="285" t="n"/>
      <c r="AA360" s="285" t="n"/>
    </row>
    <row r="361" ht="15.75" customHeight="1" s="398">
      <c r="A361" s="284" t="n"/>
      <c r="B361" s="285" t="n"/>
      <c r="C361" s="284" t="n"/>
      <c r="D361" s="284" t="n"/>
      <c r="E361" s="285" t="n"/>
      <c r="F361" s="285" t="n"/>
      <c r="G361" s="336" t="n"/>
      <c r="H361" s="336" t="n"/>
      <c r="I361" s="285" t="n"/>
      <c r="J361" s="285" t="n"/>
      <c r="K361" s="285" t="n"/>
      <c r="L361" s="285" t="n"/>
      <c r="M361" s="285" t="n"/>
      <c r="N361" s="285" t="n"/>
      <c r="O361" s="285" t="n"/>
      <c r="P361" s="285" t="n"/>
      <c r="Q361" s="285" t="n"/>
      <c r="R361" s="285" t="n"/>
      <c r="S361" s="284" t="n"/>
      <c r="T361" s="284" t="n"/>
      <c r="U361" s="285" t="n"/>
      <c r="V361" s="285" t="n"/>
      <c r="W361" s="285" t="n"/>
      <c r="X361" s="285" t="n"/>
      <c r="Y361" s="285" t="n"/>
      <c r="Z361" s="285" t="n"/>
      <c r="AA361" s="285" t="n"/>
    </row>
    <row r="362" ht="15.75" customHeight="1" s="398">
      <c r="A362" s="284" t="n"/>
      <c r="B362" s="285" t="n"/>
      <c r="C362" s="284" t="n"/>
      <c r="D362" s="284" t="n"/>
      <c r="E362" s="285" t="n"/>
      <c r="F362" s="285" t="n"/>
      <c r="G362" s="336" t="n"/>
      <c r="H362" s="336" t="n"/>
      <c r="I362" s="285" t="n"/>
      <c r="J362" s="285" t="n"/>
      <c r="K362" s="285" t="n"/>
      <c r="L362" s="285" t="n"/>
      <c r="M362" s="285" t="n"/>
      <c r="N362" s="285" t="n"/>
      <c r="O362" s="285" t="n"/>
      <c r="P362" s="285" t="n"/>
      <c r="Q362" s="285" t="n"/>
      <c r="R362" s="285" t="n"/>
      <c r="S362" s="284" t="n"/>
      <c r="T362" s="284" t="n"/>
      <c r="U362" s="285" t="n"/>
      <c r="V362" s="285" t="n"/>
      <c r="W362" s="285" t="n"/>
      <c r="X362" s="285" t="n"/>
      <c r="Y362" s="285" t="n"/>
      <c r="Z362" s="285" t="n"/>
      <c r="AA362" s="285" t="n"/>
    </row>
    <row r="363" ht="15.75" customHeight="1" s="398">
      <c r="A363" s="284" t="n"/>
      <c r="B363" s="285" t="n"/>
      <c r="C363" s="284" t="n"/>
      <c r="D363" s="284" t="n"/>
      <c r="E363" s="285" t="n"/>
      <c r="F363" s="285" t="n"/>
      <c r="G363" s="336" t="n"/>
      <c r="H363" s="336" t="n"/>
      <c r="I363" s="285" t="n"/>
      <c r="J363" s="285" t="n"/>
      <c r="K363" s="285" t="n"/>
      <c r="L363" s="285" t="n"/>
      <c r="M363" s="285" t="n"/>
      <c r="N363" s="285" t="n"/>
      <c r="O363" s="285" t="n"/>
      <c r="P363" s="285" t="n"/>
      <c r="Q363" s="285" t="n"/>
      <c r="R363" s="285" t="n"/>
      <c r="S363" s="284" t="n"/>
      <c r="T363" s="284" t="n"/>
      <c r="U363" s="285" t="n"/>
      <c r="V363" s="285" t="n"/>
      <c r="W363" s="285" t="n"/>
      <c r="X363" s="285" t="n"/>
      <c r="Y363" s="285" t="n"/>
      <c r="Z363" s="285" t="n"/>
      <c r="AA363" s="285" t="n"/>
    </row>
    <row r="364" ht="15.75" customHeight="1" s="398">
      <c r="A364" s="284" t="n"/>
      <c r="B364" s="285" t="n"/>
      <c r="C364" s="284" t="n"/>
      <c r="D364" s="284" t="n"/>
      <c r="E364" s="285" t="n"/>
      <c r="F364" s="285" t="n"/>
      <c r="G364" s="336" t="n"/>
      <c r="H364" s="336" t="n"/>
      <c r="I364" s="285" t="n"/>
      <c r="J364" s="285" t="n"/>
      <c r="K364" s="285" t="n"/>
      <c r="L364" s="285" t="n"/>
      <c r="M364" s="285" t="n"/>
      <c r="N364" s="285" t="n"/>
      <c r="O364" s="285" t="n"/>
      <c r="P364" s="285" t="n"/>
      <c r="Q364" s="285" t="n"/>
      <c r="R364" s="285" t="n"/>
      <c r="S364" s="284" t="n"/>
      <c r="T364" s="284" t="n"/>
      <c r="U364" s="285" t="n"/>
      <c r="V364" s="285" t="n"/>
      <c r="W364" s="285" t="n"/>
      <c r="X364" s="285" t="n"/>
      <c r="Y364" s="285" t="n"/>
      <c r="Z364" s="285" t="n"/>
      <c r="AA364" s="285" t="n"/>
    </row>
    <row r="365" ht="15.75" customHeight="1" s="398">
      <c r="A365" s="284" t="n"/>
      <c r="B365" s="285" t="n"/>
      <c r="C365" s="284" t="n"/>
      <c r="D365" s="284" t="n"/>
      <c r="E365" s="285" t="n"/>
      <c r="F365" s="285" t="n"/>
      <c r="G365" s="336" t="n"/>
      <c r="H365" s="336" t="n"/>
      <c r="I365" s="285" t="n"/>
      <c r="J365" s="285" t="n"/>
      <c r="K365" s="285" t="n"/>
      <c r="L365" s="285" t="n"/>
      <c r="M365" s="285" t="n"/>
      <c r="N365" s="285" t="n"/>
      <c r="O365" s="285" t="n"/>
      <c r="P365" s="285" t="n"/>
      <c r="Q365" s="285" t="n"/>
      <c r="R365" s="285" t="n"/>
      <c r="S365" s="284" t="n"/>
      <c r="T365" s="284" t="n"/>
      <c r="U365" s="285" t="n"/>
      <c r="V365" s="285" t="n"/>
      <c r="W365" s="285" t="n"/>
      <c r="X365" s="285" t="n"/>
      <c r="Y365" s="285" t="n"/>
      <c r="Z365" s="285" t="n"/>
      <c r="AA365" s="285" t="n"/>
    </row>
    <row r="366" ht="15.75" customHeight="1" s="398">
      <c r="A366" s="284" t="n"/>
      <c r="B366" s="285" t="n"/>
      <c r="C366" s="284" t="n"/>
      <c r="D366" s="284" t="n"/>
      <c r="E366" s="285" t="n"/>
      <c r="F366" s="285" t="n"/>
      <c r="G366" s="336" t="n"/>
      <c r="H366" s="336" t="n"/>
      <c r="I366" s="285" t="n"/>
      <c r="J366" s="285" t="n"/>
      <c r="K366" s="285" t="n"/>
      <c r="L366" s="285" t="n"/>
      <c r="M366" s="285" t="n"/>
      <c r="N366" s="285" t="n"/>
      <c r="O366" s="285" t="n"/>
      <c r="P366" s="285" t="n"/>
      <c r="Q366" s="285" t="n"/>
      <c r="R366" s="285" t="n"/>
      <c r="S366" s="284" t="n"/>
      <c r="T366" s="284" t="n"/>
      <c r="U366" s="285" t="n"/>
      <c r="V366" s="285" t="n"/>
      <c r="W366" s="285" t="n"/>
      <c r="X366" s="285" t="n"/>
      <c r="Y366" s="285" t="n"/>
      <c r="Z366" s="285" t="n"/>
      <c r="AA366" s="285" t="n"/>
    </row>
    <row r="367" ht="15.75" customHeight="1" s="398">
      <c r="A367" s="284" t="n"/>
      <c r="B367" s="285" t="n"/>
      <c r="C367" s="284" t="n"/>
      <c r="D367" s="284" t="n"/>
      <c r="E367" s="285" t="n"/>
      <c r="F367" s="285" t="n"/>
      <c r="G367" s="336" t="n"/>
      <c r="H367" s="336" t="n"/>
      <c r="I367" s="285" t="n"/>
      <c r="J367" s="285" t="n"/>
      <c r="K367" s="285" t="n"/>
      <c r="L367" s="285" t="n"/>
      <c r="M367" s="285" t="n"/>
      <c r="N367" s="285" t="n"/>
      <c r="O367" s="285" t="n"/>
      <c r="P367" s="285" t="n"/>
      <c r="Q367" s="285" t="n"/>
      <c r="R367" s="285" t="n"/>
      <c r="S367" s="284" t="n"/>
      <c r="T367" s="284" t="n"/>
      <c r="U367" s="285" t="n"/>
      <c r="V367" s="285" t="n"/>
      <c r="W367" s="285" t="n"/>
      <c r="X367" s="285" t="n"/>
      <c r="Y367" s="285" t="n"/>
      <c r="Z367" s="285" t="n"/>
      <c r="AA367" s="285" t="n"/>
    </row>
    <row r="368" ht="15.75" customHeight="1" s="398">
      <c r="A368" s="284" t="n"/>
      <c r="B368" s="285" t="n"/>
      <c r="C368" s="284" t="n"/>
      <c r="D368" s="284" t="n"/>
      <c r="E368" s="285" t="n"/>
      <c r="F368" s="285" t="n"/>
      <c r="G368" s="336" t="n"/>
      <c r="H368" s="336" t="n"/>
      <c r="I368" s="285" t="n"/>
      <c r="J368" s="285" t="n"/>
      <c r="K368" s="285" t="n"/>
      <c r="L368" s="285" t="n"/>
      <c r="M368" s="285" t="n"/>
      <c r="N368" s="285" t="n"/>
      <c r="O368" s="285" t="n"/>
      <c r="P368" s="285" t="n"/>
      <c r="Q368" s="285" t="n"/>
      <c r="R368" s="285" t="n"/>
      <c r="S368" s="284" t="n"/>
      <c r="T368" s="284" t="n"/>
      <c r="U368" s="285" t="n"/>
      <c r="V368" s="285" t="n"/>
      <c r="W368" s="285" t="n"/>
      <c r="X368" s="285" t="n"/>
      <c r="Y368" s="285" t="n"/>
      <c r="Z368" s="285" t="n"/>
      <c r="AA368" s="285" t="n"/>
    </row>
    <row r="369" ht="15.75" customHeight="1" s="398">
      <c r="A369" s="284" t="n"/>
      <c r="B369" s="285" t="n"/>
      <c r="C369" s="284" t="n"/>
      <c r="D369" s="284" t="n"/>
      <c r="E369" s="285" t="n"/>
      <c r="F369" s="285" t="n"/>
      <c r="G369" s="336" t="n"/>
      <c r="H369" s="336" t="n"/>
      <c r="I369" s="285" t="n"/>
      <c r="J369" s="285" t="n"/>
      <c r="K369" s="285" t="n"/>
      <c r="L369" s="285" t="n"/>
      <c r="M369" s="285" t="n"/>
      <c r="N369" s="285" t="n"/>
      <c r="O369" s="285" t="n"/>
      <c r="P369" s="285" t="n"/>
      <c r="Q369" s="285" t="n"/>
      <c r="R369" s="285" t="n"/>
      <c r="S369" s="284" t="n"/>
      <c r="T369" s="284" t="n"/>
      <c r="U369" s="285" t="n"/>
      <c r="V369" s="285" t="n"/>
      <c r="W369" s="285" t="n"/>
      <c r="X369" s="285" t="n"/>
      <c r="Y369" s="285" t="n"/>
      <c r="Z369" s="285" t="n"/>
      <c r="AA369" s="285" t="n"/>
    </row>
    <row r="370" ht="15.75" customHeight="1" s="398">
      <c r="A370" s="284" t="n"/>
      <c r="B370" s="285" t="n"/>
      <c r="C370" s="284" t="n"/>
      <c r="D370" s="284" t="n"/>
      <c r="E370" s="285" t="n"/>
      <c r="F370" s="285" t="n"/>
      <c r="G370" s="336" t="n"/>
      <c r="H370" s="336" t="n"/>
      <c r="I370" s="285" t="n"/>
      <c r="J370" s="285" t="n"/>
      <c r="K370" s="285" t="n"/>
      <c r="L370" s="285" t="n"/>
      <c r="M370" s="285" t="n"/>
      <c r="N370" s="285" t="n"/>
      <c r="O370" s="285" t="n"/>
      <c r="P370" s="285" t="n"/>
      <c r="Q370" s="285" t="n"/>
      <c r="R370" s="285" t="n"/>
      <c r="S370" s="284" t="n"/>
      <c r="T370" s="284" t="n"/>
      <c r="U370" s="285" t="n"/>
      <c r="V370" s="285" t="n"/>
      <c r="W370" s="285" t="n"/>
      <c r="X370" s="285" t="n"/>
      <c r="Y370" s="285" t="n"/>
      <c r="Z370" s="285" t="n"/>
      <c r="AA370" s="285" t="n"/>
    </row>
    <row r="371" ht="15.75" customHeight="1" s="398">
      <c r="A371" s="284" t="n"/>
      <c r="B371" s="285" t="n"/>
      <c r="C371" s="284" t="n"/>
      <c r="D371" s="284" t="n"/>
      <c r="E371" s="285" t="n"/>
      <c r="F371" s="285" t="n"/>
      <c r="G371" s="336" t="n"/>
      <c r="H371" s="336" t="n"/>
      <c r="I371" s="285" t="n"/>
      <c r="J371" s="285" t="n"/>
      <c r="K371" s="285" t="n"/>
      <c r="L371" s="285" t="n"/>
      <c r="M371" s="285" t="n"/>
      <c r="N371" s="285" t="n"/>
      <c r="O371" s="285" t="n"/>
      <c r="P371" s="285" t="n"/>
      <c r="Q371" s="285" t="n"/>
      <c r="R371" s="285" t="n"/>
      <c r="S371" s="284" t="n"/>
      <c r="T371" s="284" t="n"/>
      <c r="U371" s="285" t="n"/>
      <c r="V371" s="285" t="n"/>
      <c r="W371" s="285" t="n"/>
      <c r="X371" s="285" t="n"/>
      <c r="Y371" s="285" t="n"/>
      <c r="Z371" s="285" t="n"/>
      <c r="AA371" s="285" t="n"/>
    </row>
    <row r="372" ht="15.75" customHeight="1" s="398">
      <c r="A372" s="284" t="n"/>
      <c r="B372" s="285" t="n"/>
      <c r="C372" s="284" t="n"/>
      <c r="D372" s="284" t="n"/>
      <c r="E372" s="285" t="n"/>
      <c r="F372" s="285" t="n"/>
      <c r="G372" s="336" t="n"/>
      <c r="H372" s="336" t="n"/>
      <c r="I372" s="285" t="n"/>
      <c r="J372" s="285" t="n"/>
      <c r="K372" s="285" t="n"/>
      <c r="L372" s="285" t="n"/>
      <c r="M372" s="285" t="n"/>
      <c r="N372" s="285" t="n"/>
      <c r="O372" s="285" t="n"/>
      <c r="P372" s="285" t="n"/>
      <c r="Q372" s="285" t="n"/>
      <c r="R372" s="285" t="n"/>
      <c r="S372" s="284" t="n"/>
      <c r="T372" s="284" t="n"/>
      <c r="U372" s="285" t="n"/>
      <c r="V372" s="285" t="n"/>
      <c r="W372" s="285" t="n"/>
      <c r="X372" s="285" t="n"/>
      <c r="Y372" s="285" t="n"/>
      <c r="Z372" s="285" t="n"/>
      <c r="AA372" s="285" t="n"/>
    </row>
    <row r="373" ht="15.75" customHeight="1" s="398">
      <c r="A373" s="284" t="n"/>
      <c r="B373" s="285" t="n"/>
      <c r="C373" s="284" t="n"/>
      <c r="D373" s="284" t="n"/>
      <c r="E373" s="285" t="n"/>
      <c r="F373" s="285" t="n"/>
      <c r="G373" s="336" t="n"/>
      <c r="H373" s="336" t="n"/>
      <c r="I373" s="285" t="n"/>
      <c r="J373" s="285" t="n"/>
      <c r="K373" s="285" t="n"/>
      <c r="L373" s="285" t="n"/>
      <c r="M373" s="285" t="n"/>
      <c r="N373" s="285" t="n"/>
      <c r="O373" s="285" t="n"/>
      <c r="P373" s="285" t="n"/>
      <c r="Q373" s="285" t="n"/>
      <c r="R373" s="285" t="n"/>
      <c r="S373" s="284" t="n"/>
      <c r="T373" s="284" t="n"/>
      <c r="U373" s="285" t="n"/>
      <c r="V373" s="285" t="n"/>
      <c r="W373" s="285" t="n"/>
      <c r="X373" s="285" t="n"/>
      <c r="Y373" s="285" t="n"/>
      <c r="Z373" s="285" t="n"/>
      <c r="AA373" s="285" t="n"/>
    </row>
    <row r="374" ht="15.75" customHeight="1" s="398">
      <c r="A374" s="284" t="n"/>
      <c r="B374" s="285" t="n"/>
      <c r="C374" s="284" t="n"/>
      <c r="D374" s="284" t="n"/>
      <c r="E374" s="285" t="n"/>
      <c r="F374" s="285" t="n"/>
      <c r="G374" s="336" t="n"/>
      <c r="H374" s="336" t="n"/>
      <c r="I374" s="285" t="n"/>
      <c r="J374" s="285" t="n"/>
      <c r="K374" s="285" t="n"/>
      <c r="L374" s="285" t="n"/>
      <c r="M374" s="285" t="n"/>
      <c r="N374" s="285" t="n"/>
      <c r="O374" s="285" t="n"/>
      <c r="P374" s="285" t="n"/>
      <c r="Q374" s="285" t="n"/>
      <c r="R374" s="285" t="n"/>
      <c r="S374" s="284" t="n"/>
      <c r="T374" s="284" t="n"/>
      <c r="U374" s="285" t="n"/>
      <c r="V374" s="285" t="n"/>
      <c r="W374" s="285" t="n"/>
      <c r="X374" s="285" t="n"/>
      <c r="Y374" s="285" t="n"/>
      <c r="Z374" s="285" t="n"/>
      <c r="AA374" s="285" t="n"/>
    </row>
    <row r="375" ht="15.75" customHeight="1" s="398">
      <c r="A375" s="284" t="n"/>
      <c r="B375" s="285" t="n"/>
      <c r="C375" s="284" t="n"/>
      <c r="D375" s="284" t="n"/>
      <c r="E375" s="285" t="n"/>
      <c r="F375" s="285" t="n"/>
      <c r="G375" s="336" t="n"/>
      <c r="H375" s="336" t="n"/>
      <c r="I375" s="285" t="n"/>
      <c r="J375" s="285" t="n"/>
      <c r="K375" s="285" t="n"/>
      <c r="L375" s="285" t="n"/>
      <c r="M375" s="285" t="n"/>
      <c r="N375" s="285" t="n"/>
      <c r="O375" s="285" t="n"/>
      <c r="P375" s="285" t="n"/>
      <c r="Q375" s="285" t="n"/>
      <c r="R375" s="285" t="n"/>
      <c r="S375" s="284" t="n"/>
      <c r="T375" s="284" t="n"/>
      <c r="U375" s="285" t="n"/>
      <c r="V375" s="285" t="n"/>
      <c r="W375" s="285" t="n"/>
      <c r="X375" s="285" t="n"/>
      <c r="Y375" s="285" t="n"/>
      <c r="Z375" s="285" t="n"/>
      <c r="AA375" s="285" t="n"/>
    </row>
    <row r="376" ht="15.75" customHeight="1" s="398">
      <c r="A376" s="284" t="n"/>
      <c r="B376" s="285" t="n"/>
      <c r="C376" s="284" t="n"/>
      <c r="D376" s="284" t="n"/>
      <c r="E376" s="285" t="n"/>
      <c r="F376" s="285" t="n"/>
      <c r="G376" s="336" t="n"/>
      <c r="H376" s="336" t="n"/>
      <c r="I376" s="285" t="n"/>
      <c r="J376" s="285" t="n"/>
      <c r="K376" s="285" t="n"/>
      <c r="L376" s="285" t="n"/>
      <c r="M376" s="285" t="n"/>
      <c r="N376" s="285" t="n"/>
      <c r="O376" s="285" t="n"/>
      <c r="P376" s="285" t="n"/>
      <c r="Q376" s="285" t="n"/>
      <c r="R376" s="285" t="n"/>
      <c r="S376" s="284" t="n"/>
      <c r="T376" s="284" t="n"/>
      <c r="U376" s="285" t="n"/>
      <c r="V376" s="285" t="n"/>
      <c r="W376" s="285" t="n"/>
      <c r="X376" s="285" t="n"/>
      <c r="Y376" s="285" t="n"/>
      <c r="Z376" s="285" t="n"/>
      <c r="AA376" s="285" t="n"/>
    </row>
    <row r="377" ht="15.75" customHeight="1" s="398">
      <c r="A377" s="284" t="n"/>
      <c r="B377" s="285" t="n"/>
      <c r="C377" s="284" t="n"/>
      <c r="D377" s="284" t="n"/>
      <c r="E377" s="285" t="n"/>
      <c r="F377" s="285" t="n"/>
      <c r="G377" s="336" t="n"/>
      <c r="H377" s="336" t="n"/>
      <c r="I377" s="285" t="n"/>
      <c r="J377" s="285" t="n"/>
      <c r="K377" s="285" t="n"/>
      <c r="L377" s="285" t="n"/>
      <c r="M377" s="285" t="n"/>
      <c r="N377" s="285" t="n"/>
      <c r="O377" s="285" t="n"/>
      <c r="P377" s="285" t="n"/>
      <c r="Q377" s="285" t="n"/>
      <c r="R377" s="285" t="n"/>
      <c r="S377" s="284" t="n"/>
      <c r="T377" s="284" t="n"/>
      <c r="U377" s="285" t="n"/>
      <c r="V377" s="285" t="n"/>
      <c r="W377" s="285" t="n"/>
      <c r="X377" s="285" t="n"/>
      <c r="Y377" s="285" t="n"/>
      <c r="Z377" s="285" t="n"/>
      <c r="AA377" s="285" t="n"/>
    </row>
    <row r="378" ht="15.75" customHeight="1" s="398">
      <c r="A378" s="284" t="n"/>
      <c r="B378" s="285" t="n"/>
      <c r="C378" s="284" t="n"/>
      <c r="D378" s="284" t="n"/>
      <c r="E378" s="285" t="n"/>
      <c r="F378" s="285" t="n"/>
      <c r="G378" s="336" t="n"/>
      <c r="H378" s="336" t="n"/>
      <c r="I378" s="285" t="n"/>
      <c r="J378" s="285" t="n"/>
      <c r="K378" s="285" t="n"/>
      <c r="L378" s="285" t="n"/>
      <c r="M378" s="285" t="n"/>
      <c r="N378" s="285" t="n"/>
      <c r="O378" s="285" t="n"/>
      <c r="P378" s="285" t="n"/>
      <c r="Q378" s="285" t="n"/>
      <c r="R378" s="285" t="n"/>
      <c r="S378" s="284" t="n"/>
      <c r="T378" s="284" t="n"/>
      <c r="U378" s="285" t="n"/>
      <c r="V378" s="285" t="n"/>
      <c r="W378" s="285" t="n"/>
      <c r="X378" s="285" t="n"/>
      <c r="Y378" s="285" t="n"/>
      <c r="Z378" s="285" t="n"/>
      <c r="AA378" s="285" t="n"/>
    </row>
    <row r="379" ht="15.75" customHeight="1" s="398">
      <c r="A379" s="284" t="n"/>
      <c r="B379" s="285" t="n"/>
      <c r="C379" s="284" t="n"/>
      <c r="D379" s="284" t="n"/>
      <c r="E379" s="285" t="n"/>
      <c r="F379" s="285" t="n"/>
      <c r="G379" s="336" t="n"/>
      <c r="H379" s="336" t="n"/>
      <c r="I379" s="285" t="n"/>
      <c r="J379" s="285" t="n"/>
      <c r="K379" s="285" t="n"/>
      <c r="L379" s="285" t="n"/>
      <c r="M379" s="285" t="n"/>
      <c r="N379" s="285" t="n"/>
      <c r="O379" s="285" t="n"/>
      <c r="P379" s="285" t="n"/>
      <c r="Q379" s="285" t="n"/>
      <c r="R379" s="285" t="n"/>
      <c r="S379" s="284" t="n"/>
      <c r="T379" s="284" t="n"/>
      <c r="U379" s="285" t="n"/>
      <c r="V379" s="285" t="n"/>
      <c r="W379" s="285" t="n"/>
      <c r="X379" s="285" t="n"/>
      <c r="Y379" s="285" t="n"/>
      <c r="Z379" s="285" t="n"/>
      <c r="AA379" s="285" t="n"/>
    </row>
    <row r="380" ht="15.75" customHeight="1" s="398">
      <c r="A380" s="284" t="n"/>
      <c r="B380" s="285" t="n"/>
      <c r="C380" s="284" t="n"/>
      <c r="D380" s="284" t="n"/>
      <c r="E380" s="285" t="n"/>
      <c r="F380" s="285" t="n"/>
      <c r="G380" s="336" t="n"/>
      <c r="H380" s="336" t="n"/>
      <c r="I380" s="285" t="n"/>
      <c r="J380" s="285" t="n"/>
      <c r="K380" s="285" t="n"/>
      <c r="L380" s="285" t="n"/>
      <c r="M380" s="285" t="n"/>
      <c r="N380" s="285" t="n"/>
      <c r="O380" s="285" t="n"/>
      <c r="P380" s="285" t="n"/>
      <c r="Q380" s="285" t="n"/>
      <c r="R380" s="285" t="n"/>
      <c r="S380" s="284" t="n"/>
      <c r="T380" s="284" t="n"/>
      <c r="U380" s="285" t="n"/>
      <c r="V380" s="285" t="n"/>
      <c r="W380" s="285" t="n"/>
      <c r="X380" s="285" t="n"/>
      <c r="Y380" s="285" t="n"/>
      <c r="Z380" s="285" t="n"/>
      <c r="AA380" s="285" t="n"/>
    </row>
    <row r="381" ht="15.75" customHeight="1" s="398">
      <c r="A381" s="284" t="n"/>
      <c r="B381" s="285" t="n"/>
      <c r="C381" s="284" t="n"/>
      <c r="D381" s="284" t="n"/>
      <c r="E381" s="285" t="n"/>
      <c r="F381" s="285" t="n"/>
      <c r="G381" s="336" t="n"/>
      <c r="H381" s="336" t="n"/>
      <c r="I381" s="285" t="n"/>
      <c r="J381" s="285" t="n"/>
      <c r="K381" s="285" t="n"/>
      <c r="L381" s="285" t="n"/>
      <c r="M381" s="285" t="n"/>
      <c r="N381" s="285" t="n"/>
      <c r="O381" s="285" t="n"/>
      <c r="P381" s="285" t="n"/>
      <c r="Q381" s="285" t="n"/>
      <c r="R381" s="285" t="n"/>
      <c r="S381" s="284" t="n"/>
      <c r="T381" s="284" t="n"/>
      <c r="U381" s="285" t="n"/>
      <c r="V381" s="285" t="n"/>
      <c r="W381" s="285" t="n"/>
      <c r="X381" s="285" t="n"/>
      <c r="Y381" s="285" t="n"/>
      <c r="Z381" s="285" t="n"/>
      <c r="AA381" s="285" t="n"/>
    </row>
    <row r="382" ht="15.75" customHeight="1" s="398">
      <c r="A382" s="284" t="n"/>
      <c r="B382" s="285" t="n"/>
      <c r="C382" s="284" t="n"/>
      <c r="D382" s="284" t="n"/>
      <c r="E382" s="285" t="n"/>
      <c r="F382" s="285" t="n"/>
      <c r="G382" s="336" t="n"/>
      <c r="H382" s="336" t="n"/>
      <c r="I382" s="285" t="n"/>
      <c r="J382" s="285" t="n"/>
      <c r="K382" s="285" t="n"/>
      <c r="L382" s="285" t="n"/>
      <c r="M382" s="285" t="n"/>
      <c r="N382" s="285" t="n"/>
      <c r="O382" s="285" t="n"/>
      <c r="P382" s="285" t="n"/>
      <c r="Q382" s="285" t="n"/>
      <c r="R382" s="285" t="n"/>
      <c r="S382" s="284" t="n"/>
      <c r="T382" s="284" t="n"/>
      <c r="U382" s="285" t="n"/>
      <c r="V382" s="285" t="n"/>
      <c r="W382" s="285" t="n"/>
      <c r="X382" s="285" t="n"/>
      <c r="Y382" s="285" t="n"/>
      <c r="Z382" s="285" t="n"/>
      <c r="AA382" s="285" t="n"/>
    </row>
    <row r="383" ht="15.75" customHeight="1" s="398">
      <c r="A383" s="284" t="n"/>
      <c r="B383" s="285" t="n"/>
      <c r="C383" s="284" t="n"/>
      <c r="D383" s="284" t="n"/>
      <c r="E383" s="285" t="n"/>
      <c r="F383" s="285" t="n"/>
      <c r="G383" s="336" t="n"/>
      <c r="H383" s="336" t="n"/>
      <c r="I383" s="285" t="n"/>
      <c r="J383" s="285" t="n"/>
      <c r="K383" s="285" t="n"/>
      <c r="L383" s="285" t="n"/>
      <c r="M383" s="285" t="n"/>
      <c r="N383" s="285" t="n"/>
      <c r="O383" s="285" t="n"/>
      <c r="P383" s="285" t="n"/>
      <c r="Q383" s="285" t="n"/>
      <c r="R383" s="285" t="n"/>
      <c r="S383" s="284" t="n"/>
      <c r="T383" s="284" t="n"/>
      <c r="U383" s="285" t="n"/>
      <c r="V383" s="285" t="n"/>
      <c r="W383" s="285" t="n"/>
      <c r="X383" s="285" t="n"/>
      <c r="Y383" s="285" t="n"/>
      <c r="Z383" s="285" t="n"/>
      <c r="AA383" s="285" t="n"/>
    </row>
    <row r="384" ht="15.75" customHeight="1" s="398">
      <c r="A384" s="284" t="n"/>
      <c r="B384" s="285" t="n"/>
      <c r="C384" s="284" t="n"/>
      <c r="D384" s="284" t="n"/>
      <c r="E384" s="285" t="n"/>
      <c r="F384" s="285" t="n"/>
      <c r="G384" s="336" t="n"/>
      <c r="H384" s="336" t="n"/>
      <c r="I384" s="285" t="n"/>
      <c r="J384" s="285" t="n"/>
      <c r="K384" s="285" t="n"/>
      <c r="L384" s="285" t="n"/>
      <c r="M384" s="285" t="n"/>
      <c r="N384" s="285" t="n"/>
      <c r="O384" s="285" t="n"/>
      <c r="P384" s="285" t="n"/>
      <c r="Q384" s="285" t="n"/>
      <c r="R384" s="285" t="n"/>
      <c r="S384" s="284" t="n"/>
      <c r="T384" s="284" t="n"/>
      <c r="U384" s="285" t="n"/>
      <c r="V384" s="285" t="n"/>
      <c r="W384" s="285" t="n"/>
      <c r="X384" s="285" t="n"/>
      <c r="Y384" s="285" t="n"/>
      <c r="Z384" s="285" t="n"/>
      <c r="AA384" s="285" t="n"/>
    </row>
    <row r="385" ht="15.75" customHeight="1" s="398">
      <c r="A385" s="284" t="n"/>
      <c r="B385" s="285" t="n"/>
      <c r="C385" s="284" t="n"/>
      <c r="D385" s="284" t="n"/>
      <c r="E385" s="285" t="n"/>
      <c r="F385" s="285" t="n"/>
      <c r="G385" s="336" t="n"/>
      <c r="H385" s="336" t="n"/>
      <c r="I385" s="285" t="n"/>
      <c r="J385" s="285" t="n"/>
      <c r="K385" s="285" t="n"/>
      <c r="L385" s="285" t="n"/>
      <c r="M385" s="285" t="n"/>
      <c r="N385" s="285" t="n"/>
      <c r="O385" s="285" t="n"/>
      <c r="P385" s="285" t="n"/>
      <c r="Q385" s="285" t="n"/>
      <c r="R385" s="285" t="n"/>
      <c r="S385" s="284" t="n"/>
      <c r="T385" s="284" t="n"/>
      <c r="U385" s="285" t="n"/>
      <c r="V385" s="285" t="n"/>
      <c r="W385" s="285" t="n"/>
      <c r="X385" s="285" t="n"/>
      <c r="Y385" s="285" t="n"/>
      <c r="Z385" s="285" t="n"/>
      <c r="AA385" s="285" t="n"/>
    </row>
    <row r="386" ht="15.75" customHeight="1" s="398">
      <c r="A386" s="284" t="n"/>
      <c r="B386" s="285" t="n"/>
      <c r="C386" s="284" t="n"/>
      <c r="D386" s="284" t="n"/>
      <c r="E386" s="285" t="n"/>
      <c r="F386" s="285" t="n"/>
      <c r="G386" s="336" t="n"/>
      <c r="H386" s="336" t="n"/>
      <c r="I386" s="285" t="n"/>
      <c r="J386" s="285" t="n"/>
      <c r="K386" s="285" t="n"/>
      <c r="L386" s="285" t="n"/>
      <c r="M386" s="285" t="n"/>
      <c r="N386" s="285" t="n"/>
      <c r="O386" s="285" t="n"/>
      <c r="P386" s="285" t="n"/>
      <c r="Q386" s="285" t="n"/>
      <c r="R386" s="285" t="n"/>
      <c r="S386" s="284" t="n"/>
      <c r="T386" s="284" t="n"/>
      <c r="U386" s="285" t="n"/>
      <c r="V386" s="285" t="n"/>
      <c r="W386" s="285" t="n"/>
      <c r="X386" s="285" t="n"/>
      <c r="Y386" s="285" t="n"/>
      <c r="Z386" s="285" t="n"/>
      <c r="AA386" s="285" t="n"/>
    </row>
    <row r="387" ht="15.75" customHeight="1" s="398">
      <c r="A387" s="284" t="n"/>
      <c r="B387" s="285" t="n"/>
      <c r="C387" s="284" t="n"/>
      <c r="D387" s="284" t="n"/>
      <c r="E387" s="285" t="n"/>
      <c r="F387" s="285" t="n"/>
      <c r="G387" s="336" t="n"/>
      <c r="H387" s="336" t="n"/>
      <c r="I387" s="285" t="n"/>
      <c r="J387" s="285" t="n"/>
      <c r="K387" s="285" t="n"/>
      <c r="L387" s="285" t="n"/>
      <c r="M387" s="285" t="n"/>
      <c r="N387" s="285" t="n"/>
      <c r="O387" s="285" t="n"/>
      <c r="P387" s="285" t="n"/>
      <c r="Q387" s="285" t="n"/>
      <c r="R387" s="285" t="n"/>
      <c r="S387" s="284" t="n"/>
      <c r="T387" s="284" t="n"/>
      <c r="U387" s="285" t="n"/>
      <c r="V387" s="285" t="n"/>
      <c r="W387" s="285" t="n"/>
      <c r="X387" s="285" t="n"/>
      <c r="Y387" s="285" t="n"/>
      <c r="Z387" s="285" t="n"/>
      <c r="AA387" s="285" t="n"/>
    </row>
    <row r="388" ht="15.75" customHeight="1" s="398">
      <c r="A388" s="284" t="n"/>
      <c r="B388" s="285" t="n"/>
      <c r="C388" s="284" t="n"/>
      <c r="D388" s="284" t="n"/>
      <c r="E388" s="285" t="n"/>
      <c r="F388" s="285" t="n"/>
      <c r="G388" s="336" t="n"/>
      <c r="H388" s="336" t="n"/>
      <c r="I388" s="285" t="n"/>
      <c r="J388" s="285" t="n"/>
      <c r="K388" s="285" t="n"/>
      <c r="L388" s="285" t="n"/>
      <c r="M388" s="285" t="n"/>
      <c r="N388" s="285" t="n"/>
      <c r="O388" s="285" t="n"/>
      <c r="P388" s="285" t="n"/>
      <c r="Q388" s="285" t="n"/>
      <c r="R388" s="285" t="n"/>
      <c r="S388" s="284" t="n"/>
      <c r="T388" s="284" t="n"/>
      <c r="U388" s="285" t="n"/>
      <c r="V388" s="285" t="n"/>
      <c r="W388" s="285" t="n"/>
      <c r="X388" s="285" t="n"/>
      <c r="Y388" s="285" t="n"/>
      <c r="Z388" s="285" t="n"/>
      <c r="AA388" s="285" t="n"/>
    </row>
    <row r="389" ht="15.75" customHeight="1" s="398">
      <c r="A389" s="284" t="n"/>
      <c r="B389" s="285" t="n"/>
      <c r="C389" s="284" t="n"/>
      <c r="D389" s="284" t="n"/>
      <c r="E389" s="285" t="n"/>
      <c r="F389" s="285" t="n"/>
      <c r="G389" s="336" t="n"/>
      <c r="H389" s="336" t="n"/>
      <c r="I389" s="285" t="n"/>
      <c r="J389" s="285" t="n"/>
      <c r="K389" s="285" t="n"/>
      <c r="L389" s="285" t="n"/>
      <c r="M389" s="285" t="n"/>
      <c r="N389" s="285" t="n"/>
      <c r="O389" s="285" t="n"/>
      <c r="P389" s="285" t="n"/>
      <c r="Q389" s="285" t="n"/>
      <c r="R389" s="285" t="n"/>
      <c r="S389" s="284" t="n"/>
      <c r="T389" s="284" t="n"/>
      <c r="U389" s="285" t="n"/>
      <c r="V389" s="285" t="n"/>
      <c r="W389" s="285" t="n"/>
      <c r="X389" s="285" t="n"/>
      <c r="Y389" s="285" t="n"/>
      <c r="Z389" s="285" t="n"/>
      <c r="AA389" s="285" t="n"/>
    </row>
    <row r="390" ht="15.75" customHeight="1" s="398">
      <c r="A390" s="284" t="n"/>
      <c r="B390" s="285" t="n"/>
      <c r="C390" s="284" t="n"/>
      <c r="D390" s="284" t="n"/>
      <c r="E390" s="285" t="n"/>
      <c r="F390" s="285" t="n"/>
      <c r="G390" s="336" t="n"/>
      <c r="H390" s="336" t="n"/>
      <c r="I390" s="285" t="n"/>
      <c r="J390" s="285" t="n"/>
      <c r="K390" s="285" t="n"/>
      <c r="L390" s="285" t="n"/>
      <c r="M390" s="285" t="n"/>
      <c r="N390" s="285" t="n"/>
      <c r="O390" s="285" t="n"/>
      <c r="P390" s="285" t="n"/>
      <c r="Q390" s="285" t="n"/>
      <c r="R390" s="285" t="n"/>
      <c r="S390" s="284" t="n"/>
      <c r="T390" s="284" t="n"/>
      <c r="U390" s="285" t="n"/>
      <c r="V390" s="285" t="n"/>
      <c r="W390" s="285" t="n"/>
      <c r="X390" s="285" t="n"/>
      <c r="Y390" s="285" t="n"/>
      <c r="Z390" s="285" t="n"/>
      <c r="AA390" s="285" t="n"/>
    </row>
    <row r="391" ht="15.75" customHeight="1" s="398">
      <c r="A391" s="284" t="n"/>
      <c r="B391" s="285" t="n"/>
      <c r="C391" s="284" t="n"/>
      <c r="D391" s="284" t="n"/>
      <c r="E391" s="285" t="n"/>
      <c r="F391" s="285" t="n"/>
      <c r="G391" s="336" t="n"/>
      <c r="H391" s="336" t="n"/>
      <c r="I391" s="285" t="n"/>
      <c r="J391" s="285" t="n"/>
      <c r="K391" s="285" t="n"/>
      <c r="L391" s="285" t="n"/>
      <c r="M391" s="285" t="n"/>
      <c r="N391" s="285" t="n"/>
      <c r="O391" s="285" t="n"/>
      <c r="P391" s="285" t="n"/>
      <c r="Q391" s="285" t="n"/>
      <c r="R391" s="285" t="n"/>
      <c r="S391" s="284" t="n"/>
      <c r="T391" s="284" t="n"/>
      <c r="U391" s="285" t="n"/>
      <c r="V391" s="285" t="n"/>
      <c r="W391" s="285" t="n"/>
      <c r="X391" s="285" t="n"/>
      <c r="Y391" s="285" t="n"/>
      <c r="Z391" s="285" t="n"/>
      <c r="AA391" s="285" t="n"/>
    </row>
    <row r="392" ht="15.75" customHeight="1" s="398">
      <c r="A392" s="284" t="n"/>
      <c r="B392" s="285" t="n"/>
      <c r="C392" s="284" t="n"/>
      <c r="D392" s="284" t="n"/>
      <c r="E392" s="285" t="n"/>
      <c r="F392" s="285" t="n"/>
      <c r="G392" s="336" t="n"/>
      <c r="H392" s="336" t="n"/>
      <c r="I392" s="285" t="n"/>
      <c r="J392" s="285" t="n"/>
      <c r="K392" s="285" t="n"/>
      <c r="L392" s="285" t="n"/>
      <c r="M392" s="285" t="n"/>
      <c r="N392" s="285" t="n"/>
      <c r="O392" s="285" t="n"/>
      <c r="P392" s="285" t="n"/>
      <c r="Q392" s="285" t="n"/>
      <c r="R392" s="285" t="n"/>
      <c r="S392" s="284" t="n"/>
      <c r="T392" s="284" t="n"/>
      <c r="U392" s="285" t="n"/>
      <c r="V392" s="285" t="n"/>
      <c r="W392" s="285" t="n"/>
      <c r="X392" s="285" t="n"/>
      <c r="Y392" s="285" t="n"/>
      <c r="Z392" s="285" t="n"/>
      <c r="AA392" s="285" t="n"/>
    </row>
    <row r="393" ht="15.75" customHeight="1" s="398">
      <c r="A393" s="284" t="n"/>
      <c r="B393" s="285" t="n"/>
      <c r="C393" s="284" t="n"/>
      <c r="D393" s="284" t="n"/>
      <c r="E393" s="285" t="n"/>
      <c r="F393" s="285" t="n"/>
      <c r="G393" s="336" t="n"/>
      <c r="H393" s="336" t="n"/>
      <c r="I393" s="285" t="n"/>
      <c r="J393" s="285" t="n"/>
      <c r="K393" s="285" t="n"/>
      <c r="L393" s="285" t="n"/>
      <c r="M393" s="285" t="n"/>
      <c r="N393" s="285" t="n"/>
      <c r="O393" s="285" t="n"/>
      <c r="P393" s="285" t="n"/>
      <c r="Q393" s="285" t="n"/>
      <c r="R393" s="285" t="n"/>
      <c r="S393" s="284" t="n"/>
      <c r="T393" s="284" t="n"/>
      <c r="U393" s="285" t="n"/>
      <c r="V393" s="285" t="n"/>
      <c r="W393" s="285" t="n"/>
      <c r="X393" s="285" t="n"/>
      <c r="Y393" s="285" t="n"/>
      <c r="Z393" s="285" t="n"/>
      <c r="AA393" s="285" t="n"/>
    </row>
    <row r="394" ht="15.75" customHeight="1" s="398">
      <c r="A394" s="284" t="n"/>
      <c r="B394" s="285" t="n"/>
      <c r="C394" s="284" t="n"/>
      <c r="D394" s="284" t="n"/>
      <c r="E394" s="285" t="n"/>
      <c r="F394" s="285" t="n"/>
      <c r="G394" s="336" t="n"/>
      <c r="H394" s="336" t="n"/>
      <c r="I394" s="285" t="n"/>
      <c r="J394" s="285" t="n"/>
      <c r="K394" s="285" t="n"/>
      <c r="L394" s="285" t="n"/>
      <c r="M394" s="285" t="n"/>
      <c r="N394" s="285" t="n"/>
      <c r="O394" s="285" t="n"/>
      <c r="P394" s="285" t="n"/>
      <c r="Q394" s="285" t="n"/>
      <c r="R394" s="285" t="n"/>
      <c r="S394" s="284" t="n"/>
      <c r="T394" s="284" t="n"/>
      <c r="U394" s="285" t="n"/>
      <c r="V394" s="285" t="n"/>
      <c r="W394" s="285" t="n"/>
      <c r="X394" s="285" t="n"/>
      <c r="Y394" s="285" t="n"/>
      <c r="Z394" s="285" t="n"/>
      <c r="AA394" s="285" t="n"/>
    </row>
    <row r="395" ht="15.75" customHeight="1" s="398">
      <c r="A395" s="284" t="n"/>
      <c r="B395" s="285" t="n"/>
      <c r="C395" s="284" t="n"/>
      <c r="D395" s="284" t="n"/>
      <c r="E395" s="285" t="n"/>
      <c r="F395" s="285" t="n"/>
      <c r="G395" s="336" t="n"/>
      <c r="H395" s="336" t="n"/>
      <c r="I395" s="285" t="n"/>
      <c r="J395" s="285" t="n"/>
      <c r="K395" s="285" t="n"/>
      <c r="L395" s="285" t="n"/>
      <c r="M395" s="285" t="n"/>
      <c r="N395" s="285" t="n"/>
      <c r="O395" s="285" t="n"/>
      <c r="P395" s="285" t="n"/>
      <c r="Q395" s="285" t="n"/>
      <c r="R395" s="285" t="n"/>
      <c r="S395" s="284" t="n"/>
      <c r="T395" s="284" t="n"/>
      <c r="U395" s="285" t="n"/>
      <c r="V395" s="285" t="n"/>
      <c r="W395" s="285" t="n"/>
      <c r="X395" s="285" t="n"/>
      <c r="Y395" s="285" t="n"/>
      <c r="Z395" s="285" t="n"/>
      <c r="AA395" s="285" t="n"/>
    </row>
    <row r="396" ht="15.75" customHeight="1" s="398">
      <c r="A396" s="284" t="n"/>
      <c r="B396" s="285" t="n"/>
      <c r="C396" s="284" t="n"/>
      <c r="D396" s="284" t="n"/>
      <c r="E396" s="285" t="n"/>
      <c r="F396" s="285" t="n"/>
      <c r="G396" s="336" t="n"/>
      <c r="H396" s="336" t="n"/>
      <c r="I396" s="285" t="n"/>
      <c r="J396" s="285" t="n"/>
      <c r="K396" s="285" t="n"/>
      <c r="L396" s="285" t="n"/>
      <c r="M396" s="285" t="n"/>
      <c r="N396" s="285" t="n"/>
      <c r="O396" s="285" t="n"/>
      <c r="P396" s="285" t="n"/>
      <c r="Q396" s="285" t="n"/>
      <c r="R396" s="285" t="n"/>
      <c r="S396" s="284" t="n"/>
      <c r="T396" s="284" t="n"/>
      <c r="U396" s="285" t="n"/>
      <c r="V396" s="285" t="n"/>
      <c r="W396" s="285" t="n"/>
      <c r="X396" s="285" t="n"/>
      <c r="Y396" s="285" t="n"/>
      <c r="Z396" s="285" t="n"/>
      <c r="AA396" s="285" t="n"/>
    </row>
    <row r="397" ht="15.75" customHeight="1" s="398">
      <c r="A397" s="284" t="n"/>
      <c r="B397" s="285" t="n"/>
      <c r="C397" s="284" t="n"/>
      <c r="D397" s="284" t="n"/>
      <c r="E397" s="285" t="n"/>
      <c r="F397" s="285" t="n"/>
      <c r="G397" s="336" t="n"/>
      <c r="H397" s="336" t="n"/>
      <c r="I397" s="285" t="n"/>
      <c r="J397" s="285" t="n"/>
      <c r="K397" s="285" t="n"/>
      <c r="L397" s="285" t="n"/>
      <c r="M397" s="285" t="n"/>
      <c r="N397" s="285" t="n"/>
      <c r="O397" s="285" t="n"/>
      <c r="P397" s="285" t="n"/>
      <c r="Q397" s="285" t="n"/>
      <c r="R397" s="285" t="n"/>
      <c r="S397" s="284" t="n"/>
      <c r="T397" s="284" t="n"/>
      <c r="U397" s="285" t="n"/>
      <c r="V397" s="285" t="n"/>
      <c r="W397" s="285" t="n"/>
      <c r="X397" s="285" t="n"/>
      <c r="Y397" s="285" t="n"/>
      <c r="Z397" s="285" t="n"/>
      <c r="AA397" s="285" t="n"/>
    </row>
    <row r="398" ht="15.75" customHeight="1" s="398">
      <c r="A398" s="284" t="n"/>
      <c r="B398" s="285" t="n"/>
      <c r="C398" s="284" t="n"/>
      <c r="D398" s="284" t="n"/>
      <c r="E398" s="285" t="n"/>
      <c r="F398" s="285" t="n"/>
      <c r="G398" s="336" t="n"/>
      <c r="H398" s="336" t="n"/>
      <c r="I398" s="285" t="n"/>
      <c r="J398" s="285" t="n"/>
      <c r="K398" s="285" t="n"/>
      <c r="L398" s="285" t="n"/>
      <c r="M398" s="285" t="n"/>
      <c r="N398" s="285" t="n"/>
      <c r="O398" s="285" t="n"/>
      <c r="P398" s="285" t="n"/>
      <c r="Q398" s="285" t="n"/>
      <c r="R398" s="285" t="n"/>
      <c r="S398" s="284" t="n"/>
      <c r="T398" s="284" t="n"/>
      <c r="U398" s="285" t="n"/>
      <c r="V398" s="285" t="n"/>
      <c r="W398" s="285" t="n"/>
      <c r="X398" s="285" t="n"/>
      <c r="Y398" s="285" t="n"/>
      <c r="Z398" s="285" t="n"/>
      <c r="AA398" s="285" t="n"/>
    </row>
    <row r="399" ht="15.75" customHeight="1" s="398">
      <c r="A399" s="284" t="n"/>
      <c r="B399" s="285" t="n"/>
      <c r="C399" s="284" t="n"/>
      <c r="D399" s="284" t="n"/>
      <c r="E399" s="285" t="n"/>
      <c r="F399" s="285" t="n"/>
      <c r="G399" s="336" t="n"/>
      <c r="H399" s="336" t="n"/>
      <c r="I399" s="285" t="n"/>
      <c r="J399" s="285" t="n"/>
      <c r="K399" s="285" t="n"/>
      <c r="L399" s="285" t="n"/>
      <c r="M399" s="285" t="n"/>
      <c r="N399" s="285" t="n"/>
      <c r="O399" s="285" t="n"/>
      <c r="P399" s="285" t="n"/>
      <c r="Q399" s="285" t="n"/>
      <c r="R399" s="285" t="n"/>
      <c r="S399" s="284" t="n"/>
      <c r="T399" s="284" t="n"/>
      <c r="U399" s="285" t="n"/>
      <c r="V399" s="285" t="n"/>
      <c r="W399" s="285" t="n"/>
      <c r="X399" s="285" t="n"/>
      <c r="Y399" s="285" t="n"/>
      <c r="Z399" s="285" t="n"/>
      <c r="AA399" s="285" t="n"/>
    </row>
    <row r="400" ht="15.75" customHeight="1" s="398">
      <c r="A400" s="284" t="n"/>
      <c r="B400" s="285" t="n"/>
      <c r="C400" s="284" t="n"/>
      <c r="D400" s="284" t="n"/>
      <c r="E400" s="285" t="n"/>
      <c r="F400" s="285" t="n"/>
      <c r="G400" s="336" t="n"/>
      <c r="H400" s="336" t="n"/>
      <c r="I400" s="285" t="n"/>
      <c r="J400" s="285" t="n"/>
      <c r="K400" s="285" t="n"/>
      <c r="L400" s="285" t="n"/>
      <c r="M400" s="285" t="n"/>
      <c r="N400" s="285" t="n"/>
      <c r="O400" s="285" t="n"/>
      <c r="P400" s="285" t="n"/>
      <c r="Q400" s="285" t="n"/>
      <c r="R400" s="285" t="n"/>
      <c r="S400" s="284" t="n"/>
      <c r="T400" s="284" t="n"/>
      <c r="U400" s="285" t="n"/>
      <c r="V400" s="285" t="n"/>
      <c r="W400" s="285" t="n"/>
      <c r="X400" s="285" t="n"/>
      <c r="Y400" s="285" t="n"/>
      <c r="Z400" s="285" t="n"/>
      <c r="AA400" s="285" t="n"/>
    </row>
    <row r="401" ht="15.75" customHeight="1" s="398">
      <c r="A401" s="284" t="n"/>
      <c r="B401" s="285" t="n"/>
      <c r="C401" s="284" t="n"/>
      <c r="D401" s="284" t="n"/>
      <c r="E401" s="285" t="n"/>
      <c r="F401" s="285" t="n"/>
      <c r="G401" s="336" t="n"/>
      <c r="H401" s="336" t="n"/>
      <c r="I401" s="285" t="n"/>
      <c r="J401" s="285" t="n"/>
      <c r="K401" s="285" t="n"/>
      <c r="L401" s="285" t="n"/>
      <c r="M401" s="285" t="n"/>
      <c r="N401" s="285" t="n"/>
      <c r="O401" s="285" t="n"/>
      <c r="P401" s="285" t="n"/>
      <c r="Q401" s="285" t="n"/>
      <c r="R401" s="285" t="n"/>
      <c r="S401" s="284" t="n"/>
      <c r="T401" s="284" t="n"/>
      <c r="U401" s="285" t="n"/>
      <c r="V401" s="285" t="n"/>
      <c r="W401" s="285" t="n"/>
      <c r="X401" s="285" t="n"/>
      <c r="Y401" s="285" t="n"/>
      <c r="Z401" s="285" t="n"/>
      <c r="AA401" s="285" t="n"/>
    </row>
    <row r="402" ht="15.75" customHeight="1" s="398">
      <c r="A402" s="284" t="n"/>
      <c r="B402" s="285" t="n"/>
      <c r="C402" s="284" t="n"/>
      <c r="D402" s="284" t="n"/>
      <c r="E402" s="285" t="n"/>
      <c r="F402" s="285" t="n"/>
      <c r="G402" s="336" t="n"/>
      <c r="H402" s="336" t="n"/>
      <c r="I402" s="285" t="n"/>
      <c r="J402" s="285" t="n"/>
      <c r="K402" s="285" t="n"/>
      <c r="L402" s="285" t="n"/>
      <c r="M402" s="285" t="n"/>
      <c r="N402" s="285" t="n"/>
      <c r="O402" s="285" t="n"/>
      <c r="P402" s="285" t="n"/>
      <c r="Q402" s="285" t="n"/>
      <c r="R402" s="285" t="n"/>
      <c r="S402" s="284" t="n"/>
      <c r="T402" s="284" t="n"/>
      <c r="U402" s="285" t="n"/>
      <c r="V402" s="285" t="n"/>
      <c r="W402" s="285" t="n"/>
      <c r="X402" s="285" t="n"/>
      <c r="Y402" s="285" t="n"/>
      <c r="Z402" s="285" t="n"/>
      <c r="AA402" s="285" t="n"/>
    </row>
    <row r="403" ht="15.75" customHeight="1" s="398">
      <c r="A403" s="284" t="n"/>
      <c r="B403" s="285" t="n"/>
      <c r="C403" s="284" t="n"/>
      <c r="D403" s="284" t="n"/>
      <c r="E403" s="285" t="n"/>
      <c r="F403" s="285" t="n"/>
      <c r="G403" s="336" t="n"/>
      <c r="H403" s="336" t="n"/>
      <c r="I403" s="285" t="n"/>
      <c r="J403" s="285" t="n"/>
      <c r="K403" s="285" t="n"/>
      <c r="L403" s="285" t="n"/>
      <c r="M403" s="285" t="n"/>
      <c r="N403" s="285" t="n"/>
      <c r="O403" s="285" t="n"/>
      <c r="P403" s="285" t="n"/>
      <c r="Q403" s="285" t="n"/>
      <c r="R403" s="285" t="n"/>
      <c r="S403" s="284" t="n"/>
      <c r="T403" s="284" t="n"/>
      <c r="U403" s="285" t="n"/>
      <c r="V403" s="285" t="n"/>
      <c r="W403" s="285" t="n"/>
      <c r="X403" s="285" t="n"/>
      <c r="Y403" s="285" t="n"/>
      <c r="Z403" s="285" t="n"/>
      <c r="AA403" s="285" t="n"/>
    </row>
    <row r="404" ht="15.75" customHeight="1" s="398">
      <c r="A404" s="284" t="n"/>
      <c r="B404" s="285" t="n"/>
      <c r="C404" s="284" t="n"/>
      <c r="D404" s="284" t="n"/>
      <c r="E404" s="285" t="n"/>
      <c r="F404" s="285" t="n"/>
      <c r="G404" s="336" t="n"/>
      <c r="H404" s="336" t="n"/>
      <c r="I404" s="285" t="n"/>
      <c r="J404" s="285" t="n"/>
      <c r="K404" s="285" t="n"/>
      <c r="L404" s="285" t="n"/>
      <c r="M404" s="285" t="n"/>
      <c r="N404" s="285" t="n"/>
      <c r="O404" s="285" t="n"/>
      <c r="P404" s="285" t="n"/>
      <c r="Q404" s="285" t="n"/>
      <c r="R404" s="285" t="n"/>
      <c r="S404" s="284" t="n"/>
      <c r="T404" s="284" t="n"/>
      <c r="U404" s="285" t="n"/>
      <c r="V404" s="285" t="n"/>
      <c r="W404" s="285" t="n"/>
      <c r="X404" s="285" t="n"/>
      <c r="Y404" s="285" t="n"/>
      <c r="Z404" s="285" t="n"/>
      <c r="AA404" s="285" t="n"/>
    </row>
    <row r="405" ht="15.75" customHeight="1" s="398">
      <c r="A405" s="284" t="n"/>
      <c r="B405" s="285" t="n"/>
      <c r="C405" s="284" t="n"/>
      <c r="D405" s="284" t="n"/>
      <c r="E405" s="285" t="n"/>
      <c r="F405" s="285" t="n"/>
      <c r="G405" s="336" t="n"/>
      <c r="H405" s="336" t="n"/>
      <c r="I405" s="285" t="n"/>
      <c r="J405" s="285" t="n"/>
      <c r="K405" s="285" t="n"/>
      <c r="L405" s="285" t="n"/>
      <c r="M405" s="285" t="n"/>
      <c r="N405" s="285" t="n"/>
      <c r="O405" s="285" t="n"/>
      <c r="P405" s="285" t="n"/>
      <c r="Q405" s="285" t="n"/>
      <c r="R405" s="285" t="n"/>
      <c r="S405" s="284" t="n"/>
      <c r="T405" s="284" t="n"/>
      <c r="U405" s="285" t="n"/>
      <c r="V405" s="285" t="n"/>
      <c r="W405" s="285" t="n"/>
      <c r="X405" s="285" t="n"/>
      <c r="Y405" s="285" t="n"/>
      <c r="Z405" s="285" t="n"/>
      <c r="AA405" s="285" t="n"/>
    </row>
    <row r="406" ht="15.75" customHeight="1" s="398">
      <c r="A406" s="284" t="n"/>
      <c r="B406" s="285" t="n"/>
      <c r="C406" s="284" t="n"/>
      <c r="D406" s="284" t="n"/>
      <c r="E406" s="285" t="n"/>
      <c r="F406" s="285" t="n"/>
      <c r="G406" s="336" t="n"/>
      <c r="H406" s="336" t="n"/>
      <c r="I406" s="285" t="n"/>
      <c r="J406" s="285" t="n"/>
      <c r="K406" s="285" t="n"/>
      <c r="L406" s="285" t="n"/>
      <c r="M406" s="285" t="n"/>
      <c r="N406" s="285" t="n"/>
      <c r="O406" s="285" t="n"/>
      <c r="P406" s="285" t="n"/>
      <c r="Q406" s="285" t="n"/>
      <c r="R406" s="285" t="n"/>
      <c r="S406" s="284" t="n"/>
      <c r="T406" s="284" t="n"/>
      <c r="U406" s="285" t="n"/>
      <c r="V406" s="285" t="n"/>
      <c r="W406" s="285" t="n"/>
      <c r="X406" s="285" t="n"/>
      <c r="Y406" s="285" t="n"/>
      <c r="Z406" s="285" t="n"/>
      <c r="AA406" s="285" t="n"/>
    </row>
    <row r="407" ht="15.75" customHeight="1" s="398">
      <c r="A407" s="284" t="n"/>
      <c r="B407" s="285" t="n"/>
      <c r="C407" s="284" t="n"/>
      <c r="D407" s="284" t="n"/>
      <c r="E407" s="285" t="n"/>
      <c r="F407" s="285" t="n"/>
      <c r="G407" s="336" t="n"/>
      <c r="H407" s="336" t="n"/>
      <c r="I407" s="285" t="n"/>
      <c r="J407" s="285" t="n"/>
      <c r="K407" s="285" t="n"/>
      <c r="L407" s="285" t="n"/>
      <c r="M407" s="285" t="n"/>
      <c r="N407" s="285" t="n"/>
      <c r="O407" s="285" t="n"/>
      <c r="P407" s="285" t="n"/>
      <c r="Q407" s="285" t="n"/>
      <c r="R407" s="285" t="n"/>
      <c r="S407" s="284" t="n"/>
      <c r="T407" s="284" t="n"/>
      <c r="U407" s="285" t="n"/>
      <c r="V407" s="285" t="n"/>
      <c r="W407" s="285" t="n"/>
      <c r="X407" s="285" t="n"/>
      <c r="Y407" s="285" t="n"/>
      <c r="Z407" s="285" t="n"/>
      <c r="AA407" s="285" t="n"/>
    </row>
    <row r="408" ht="15.75" customHeight="1" s="398">
      <c r="A408" s="284" t="n"/>
      <c r="B408" s="285" t="n"/>
      <c r="C408" s="284" t="n"/>
      <c r="D408" s="284" t="n"/>
      <c r="E408" s="285" t="n"/>
      <c r="F408" s="285" t="n"/>
      <c r="G408" s="336" t="n"/>
      <c r="H408" s="336" t="n"/>
      <c r="I408" s="285" t="n"/>
      <c r="J408" s="285" t="n"/>
      <c r="K408" s="285" t="n"/>
      <c r="L408" s="285" t="n"/>
      <c r="M408" s="285" t="n"/>
      <c r="N408" s="285" t="n"/>
      <c r="O408" s="285" t="n"/>
      <c r="P408" s="285" t="n"/>
      <c r="Q408" s="285" t="n"/>
      <c r="R408" s="285" t="n"/>
      <c r="S408" s="284" t="n"/>
      <c r="T408" s="284" t="n"/>
      <c r="U408" s="285" t="n"/>
      <c r="V408" s="285" t="n"/>
      <c r="W408" s="285" t="n"/>
      <c r="X408" s="285" t="n"/>
      <c r="Y408" s="285" t="n"/>
      <c r="Z408" s="285" t="n"/>
      <c r="AA408" s="285" t="n"/>
    </row>
    <row r="409" ht="15.75" customHeight="1" s="398">
      <c r="A409" s="284" t="n"/>
      <c r="B409" s="285" t="n"/>
      <c r="C409" s="284" t="n"/>
      <c r="D409" s="284" t="n"/>
      <c r="E409" s="285" t="n"/>
      <c r="F409" s="285" t="n"/>
      <c r="G409" s="336" t="n"/>
      <c r="H409" s="336" t="n"/>
      <c r="I409" s="285" t="n"/>
      <c r="J409" s="285" t="n"/>
      <c r="K409" s="285" t="n"/>
      <c r="L409" s="285" t="n"/>
      <c r="M409" s="285" t="n"/>
      <c r="N409" s="285" t="n"/>
      <c r="O409" s="285" t="n"/>
      <c r="P409" s="285" t="n"/>
      <c r="Q409" s="285" t="n"/>
      <c r="R409" s="285" t="n"/>
      <c r="S409" s="284" t="n"/>
      <c r="T409" s="284" t="n"/>
      <c r="U409" s="285" t="n"/>
      <c r="V409" s="285" t="n"/>
      <c r="W409" s="285" t="n"/>
      <c r="X409" s="285" t="n"/>
      <c r="Y409" s="285" t="n"/>
      <c r="Z409" s="285" t="n"/>
      <c r="AA409" s="285" t="n"/>
    </row>
    <row r="410" ht="15.75" customHeight="1" s="398">
      <c r="A410" s="284" t="n"/>
      <c r="B410" s="285" t="n"/>
      <c r="C410" s="284" t="n"/>
      <c r="D410" s="284" t="n"/>
      <c r="E410" s="285" t="n"/>
      <c r="F410" s="285" t="n"/>
      <c r="G410" s="336" t="n"/>
      <c r="H410" s="336" t="n"/>
      <c r="I410" s="285" t="n"/>
      <c r="J410" s="285" t="n"/>
      <c r="K410" s="285" t="n"/>
      <c r="L410" s="285" t="n"/>
      <c r="M410" s="285" t="n"/>
      <c r="N410" s="285" t="n"/>
      <c r="O410" s="285" t="n"/>
      <c r="P410" s="285" t="n"/>
      <c r="Q410" s="285" t="n"/>
      <c r="R410" s="285" t="n"/>
      <c r="S410" s="284" t="n"/>
      <c r="T410" s="284" t="n"/>
      <c r="U410" s="285" t="n"/>
      <c r="V410" s="285" t="n"/>
      <c r="W410" s="285" t="n"/>
      <c r="X410" s="285" t="n"/>
      <c r="Y410" s="285" t="n"/>
      <c r="Z410" s="285" t="n"/>
      <c r="AA410" s="285" t="n"/>
    </row>
    <row r="411" ht="15.75" customHeight="1" s="398">
      <c r="A411" s="284" t="n"/>
      <c r="B411" s="285" t="n"/>
      <c r="C411" s="284" t="n"/>
      <c r="D411" s="284" t="n"/>
      <c r="E411" s="285" t="n"/>
      <c r="F411" s="285" t="n"/>
      <c r="G411" s="336" t="n"/>
      <c r="H411" s="336" t="n"/>
      <c r="I411" s="285" t="n"/>
      <c r="J411" s="285" t="n"/>
      <c r="K411" s="285" t="n"/>
      <c r="L411" s="285" t="n"/>
      <c r="M411" s="285" t="n"/>
      <c r="N411" s="285" t="n"/>
      <c r="O411" s="285" t="n"/>
      <c r="P411" s="285" t="n"/>
      <c r="Q411" s="285" t="n"/>
      <c r="R411" s="285" t="n"/>
      <c r="S411" s="284" t="n"/>
      <c r="T411" s="284" t="n"/>
      <c r="U411" s="285" t="n"/>
      <c r="V411" s="285" t="n"/>
      <c r="W411" s="285" t="n"/>
      <c r="X411" s="285" t="n"/>
      <c r="Y411" s="285" t="n"/>
      <c r="Z411" s="285" t="n"/>
      <c r="AA411" s="285" t="n"/>
    </row>
    <row r="412" ht="15.75" customHeight="1" s="398">
      <c r="A412" s="284" t="n"/>
      <c r="B412" s="285" t="n"/>
      <c r="C412" s="284" t="n"/>
      <c r="D412" s="284" t="n"/>
      <c r="E412" s="285" t="n"/>
      <c r="F412" s="285" t="n"/>
      <c r="G412" s="336" t="n"/>
      <c r="H412" s="336" t="n"/>
      <c r="I412" s="285" t="n"/>
      <c r="J412" s="285" t="n"/>
      <c r="K412" s="285" t="n"/>
      <c r="L412" s="285" t="n"/>
      <c r="M412" s="285" t="n"/>
      <c r="N412" s="285" t="n"/>
      <c r="O412" s="285" t="n"/>
      <c r="P412" s="285" t="n"/>
      <c r="Q412" s="285" t="n"/>
      <c r="R412" s="285" t="n"/>
      <c r="S412" s="284" t="n"/>
      <c r="T412" s="284" t="n"/>
      <c r="U412" s="285" t="n"/>
      <c r="V412" s="285" t="n"/>
      <c r="W412" s="285" t="n"/>
      <c r="X412" s="285" t="n"/>
      <c r="Y412" s="285" t="n"/>
      <c r="Z412" s="285" t="n"/>
      <c r="AA412" s="285" t="n"/>
    </row>
    <row r="413" ht="15.75" customHeight="1" s="398">
      <c r="A413" s="284" t="n"/>
      <c r="B413" s="285" t="n"/>
      <c r="C413" s="284" t="n"/>
      <c r="D413" s="284" t="n"/>
      <c r="E413" s="285" t="n"/>
      <c r="F413" s="285" t="n"/>
      <c r="G413" s="336" t="n"/>
      <c r="H413" s="336" t="n"/>
      <c r="I413" s="285" t="n"/>
      <c r="J413" s="285" t="n"/>
      <c r="K413" s="285" t="n"/>
      <c r="L413" s="285" t="n"/>
      <c r="M413" s="285" t="n"/>
      <c r="N413" s="285" t="n"/>
      <c r="O413" s="285" t="n"/>
      <c r="P413" s="285" t="n"/>
      <c r="Q413" s="285" t="n"/>
      <c r="R413" s="285" t="n"/>
      <c r="S413" s="284" t="n"/>
      <c r="T413" s="284" t="n"/>
      <c r="U413" s="285" t="n"/>
      <c r="V413" s="285" t="n"/>
      <c r="W413" s="285" t="n"/>
      <c r="X413" s="285" t="n"/>
      <c r="Y413" s="285" t="n"/>
      <c r="Z413" s="285" t="n"/>
      <c r="AA413" s="285" t="n"/>
    </row>
    <row r="414" ht="15.75" customHeight="1" s="398">
      <c r="A414" s="284" t="n"/>
      <c r="B414" s="285" t="n"/>
      <c r="C414" s="284" t="n"/>
      <c r="D414" s="284" t="n"/>
      <c r="E414" s="285" t="n"/>
      <c r="F414" s="285" t="n"/>
      <c r="G414" s="336" t="n"/>
      <c r="H414" s="336" t="n"/>
      <c r="I414" s="285" t="n"/>
      <c r="J414" s="285" t="n"/>
      <c r="K414" s="285" t="n"/>
      <c r="L414" s="285" t="n"/>
      <c r="M414" s="285" t="n"/>
      <c r="N414" s="285" t="n"/>
      <c r="O414" s="285" t="n"/>
      <c r="P414" s="285" t="n"/>
      <c r="Q414" s="285" t="n"/>
      <c r="R414" s="285" t="n"/>
      <c r="S414" s="284" t="n"/>
      <c r="T414" s="284" t="n"/>
      <c r="U414" s="285" t="n"/>
      <c r="V414" s="285" t="n"/>
      <c r="W414" s="285" t="n"/>
      <c r="X414" s="285" t="n"/>
      <c r="Y414" s="285" t="n"/>
      <c r="Z414" s="285" t="n"/>
      <c r="AA414" s="285" t="n"/>
    </row>
    <row r="415" ht="15.75" customHeight="1" s="398">
      <c r="A415" s="284" t="n"/>
      <c r="B415" s="285" t="n"/>
      <c r="C415" s="284" t="n"/>
      <c r="D415" s="284" t="n"/>
      <c r="E415" s="285" t="n"/>
      <c r="F415" s="285" t="n"/>
      <c r="G415" s="336" t="n"/>
      <c r="H415" s="336" t="n"/>
      <c r="I415" s="285" t="n"/>
      <c r="J415" s="285" t="n"/>
      <c r="K415" s="285" t="n"/>
      <c r="L415" s="285" t="n"/>
      <c r="M415" s="285" t="n"/>
      <c r="N415" s="285" t="n"/>
      <c r="O415" s="285" t="n"/>
      <c r="P415" s="285" t="n"/>
      <c r="Q415" s="285" t="n"/>
      <c r="R415" s="285" t="n"/>
      <c r="S415" s="284" t="n"/>
      <c r="T415" s="284" t="n"/>
      <c r="U415" s="285" t="n"/>
      <c r="V415" s="285" t="n"/>
      <c r="W415" s="285" t="n"/>
      <c r="X415" s="285" t="n"/>
      <c r="Y415" s="285" t="n"/>
      <c r="Z415" s="285" t="n"/>
      <c r="AA415" s="285" t="n"/>
    </row>
    <row r="416" ht="15.75" customHeight="1" s="398">
      <c r="A416" s="284" t="n"/>
      <c r="B416" s="285" t="n"/>
      <c r="C416" s="284" t="n"/>
      <c r="D416" s="284" t="n"/>
      <c r="E416" s="285" t="n"/>
      <c r="F416" s="285" t="n"/>
      <c r="G416" s="336" t="n"/>
      <c r="H416" s="336" t="n"/>
      <c r="I416" s="285" t="n"/>
      <c r="J416" s="285" t="n"/>
      <c r="K416" s="285" t="n"/>
      <c r="L416" s="285" t="n"/>
      <c r="M416" s="285" t="n"/>
      <c r="N416" s="285" t="n"/>
      <c r="O416" s="285" t="n"/>
      <c r="P416" s="285" t="n"/>
      <c r="Q416" s="285" t="n"/>
      <c r="R416" s="285" t="n"/>
      <c r="S416" s="284" t="n"/>
      <c r="T416" s="284" t="n"/>
      <c r="U416" s="285" t="n"/>
      <c r="V416" s="285" t="n"/>
      <c r="W416" s="285" t="n"/>
      <c r="X416" s="285" t="n"/>
      <c r="Y416" s="285" t="n"/>
      <c r="Z416" s="285" t="n"/>
      <c r="AA416" s="285" t="n"/>
    </row>
    <row r="417" ht="15.75" customHeight="1" s="398">
      <c r="A417" s="284" t="n"/>
      <c r="B417" s="285" t="n"/>
      <c r="C417" s="284" t="n"/>
      <c r="D417" s="284" t="n"/>
      <c r="E417" s="285" t="n"/>
      <c r="F417" s="285" t="n"/>
      <c r="G417" s="336" t="n"/>
      <c r="H417" s="336" t="n"/>
      <c r="I417" s="285" t="n"/>
      <c r="J417" s="285" t="n"/>
      <c r="K417" s="285" t="n"/>
      <c r="L417" s="285" t="n"/>
      <c r="M417" s="285" t="n"/>
      <c r="N417" s="285" t="n"/>
      <c r="O417" s="285" t="n"/>
      <c r="P417" s="285" t="n"/>
      <c r="Q417" s="285" t="n"/>
      <c r="R417" s="285" t="n"/>
      <c r="S417" s="284" t="n"/>
      <c r="T417" s="284" t="n"/>
      <c r="U417" s="285" t="n"/>
      <c r="V417" s="285" t="n"/>
      <c r="W417" s="285" t="n"/>
      <c r="X417" s="285" t="n"/>
      <c r="Y417" s="285" t="n"/>
      <c r="Z417" s="285" t="n"/>
      <c r="AA417" s="285" t="n"/>
    </row>
    <row r="418" ht="15.75" customHeight="1" s="398">
      <c r="A418" s="284" t="n"/>
      <c r="B418" s="285" t="n"/>
      <c r="C418" s="284" t="n"/>
      <c r="D418" s="284" t="n"/>
      <c r="E418" s="285" t="n"/>
      <c r="F418" s="285" t="n"/>
      <c r="G418" s="336" t="n"/>
      <c r="H418" s="336" t="n"/>
      <c r="I418" s="285" t="n"/>
      <c r="J418" s="285" t="n"/>
      <c r="K418" s="285" t="n"/>
      <c r="L418" s="285" t="n"/>
      <c r="M418" s="285" t="n"/>
      <c r="N418" s="285" t="n"/>
      <c r="O418" s="285" t="n"/>
      <c r="P418" s="285" t="n"/>
      <c r="Q418" s="285" t="n"/>
      <c r="R418" s="285" t="n"/>
      <c r="S418" s="284" t="n"/>
      <c r="T418" s="284" t="n"/>
      <c r="U418" s="285" t="n"/>
      <c r="V418" s="285" t="n"/>
      <c r="W418" s="285" t="n"/>
      <c r="X418" s="285" t="n"/>
      <c r="Y418" s="285" t="n"/>
      <c r="Z418" s="285" t="n"/>
      <c r="AA418" s="285" t="n"/>
    </row>
    <row r="419" ht="15.75" customHeight="1" s="398">
      <c r="A419" s="284" t="n"/>
      <c r="B419" s="285" t="n"/>
      <c r="C419" s="284" t="n"/>
      <c r="D419" s="284" t="n"/>
      <c r="E419" s="285" t="n"/>
      <c r="F419" s="285" t="n"/>
      <c r="G419" s="336" t="n"/>
      <c r="H419" s="336" t="n"/>
      <c r="I419" s="285" t="n"/>
      <c r="J419" s="285" t="n"/>
      <c r="K419" s="285" t="n"/>
      <c r="L419" s="285" t="n"/>
      <c r="M419" s="285" t="n"/>
      <c r="N419" s="285" t="n"/>
      <c r="O419" s="285" t="n"/>
      <c r="P419" s="285" t="n"/>
      <c r="Q419" s="285" t="n"/>
      <c r="R419" s="285" t="n"/>
      <c r="S419" s="284" t="n"/>
      <c r="T419" s="284" t="n"/>
      <c r="U419" s="285" t="n"/>
      <c r="V419" s="285" t="n"/>
      <c r="W419" s="285" t="n"/>
      <c r="X419" s="285" t="n"/>
      <c r="Y419" s="285" t="n"/>
      <c r="Z419" s="285" t="n"/>
      <c r="AA419" s="285" t="n"/>
    </row>
    <row r="420" ht="15.75" customHeight="1" s="398">
      <c r="A420" s="284" t="n"/>
      <c r="B420" s="285" t="n"/>
      <c r="C420" s="284" t="n"/>
      <c r="D420" s="284" t="n"/>
      <c r="E420" s="285" t="n"/>
      <c r="F420" s="285" t="n"/>
      <c r="G420" s="336" t="n"/>
      <c r="H420" s="336" t="n"/>
      <c r="I420" s="285" t="n"/>
      <c r="J420" s="285" t="n"/>
      <c r="K420" s="285" t="n"/>
      <c r="L420" s="285" t="n"/>
      <c r="M420" s="285" t="n"/>
      <c r="N420" s="285" t="n"/>
      <c r="O420" s="285" t="n"/>
      <c r="P420" s="285" t="n"/>
      <c r="Q420" s="285" t="n"/>
      <c r="R420" s="285" t="n"/>
      <c r="S420" s="284" t="n"/>
      <c r="T420" s="284" t="n"/>
      <c r="U420" s="285" t="n"/>
      <c r="V420" s="285" t="n"/>
      <c r="W420" s="285" t="n"/>
      <c r="X420" s="285" t="n"/>
      <c r="Y420" s="285" t="n"/>
      <c r="Z420" s="285" t="n"/>
      <c r="AA420" s="285" t="n"/>
    </row>
    <row r="421" ht="15.75" customHeight="1" s="398">
      <c r="A421" s="284" t="n"/>
      <c r="B421" s="285" t="n"/>
      <c r="C421" s="284" t="n"/>
      <c r="D421" s="284" t="n"/>
      <c r="E421" s="285" t="n"/>
      <c r="F421" s="285" t="n"/>
      <c r="G421" s="336" t="n"/>
      <c r="H421" s="336" t="n"/>
      <c r="I421" s="285" t="n"/>
      <c r="J421" s="285" t="n"/>
      <c r="K421" s="285" t="n"/>
      <c r="L421" s="285" t="n"/>
      <c r="M421" s="285" t="n"/>
      <c r="N421" s="285" t="n"/>
      <c r="O421" s="285" t="n"/>
      <c r="P421" s="285" t="n"/>
      <c r="Q421" s="285" t="n"/>
      <c r="R421" s="285" t="n"/>
      <c r="S421" s="284" t="n"/>
      <c r="T421" s="284" t="n"/>
      <c r="U421" s="285" t="n"/>
      <c r="V421" s="285" t="n"/>
      <c r="W421" s="285" t="n"/>
      <c r="X421" s="285" t="n"/>
      <c r="Y421" s="285" t="n"/>
      <c r="Z421" s="285" t="n"/>
      <c r="AA421" s="285" t="n"/>
    </row>
    <row r="422" ht="15.75" customHeight="1" s="398">
      <c r="A422" s="284" t="n"/>
      <c r="B422" s="285" t="n"/>
      <c r="C422" s="284" t="n"/>
      <c r="D422" s="284" t="n"/>
      <c r="E422" s="285" t="n"/>
      <c r="F422" s="285" t="n"/>
      <c r="G422" s="336" t="n"/>
      <c r="H422" s="336" t="n"/>
      <c r="I422" s="285" t="n"/>
      <c r="J422" s="285" t="n"/>
      <c r="K422" s="285" t="n"/>
      <c r="L422" s="285" t="n"/>
      <c r="M422" s="285" t="n"/>
      <c r="N422" s="285" t="n"/>
      <c r="O422" s="285" t="n"/>
      <c r="P422" s="285" t="n"/>
      <c r="Q422" s="285" t="n"/>
      <c r="R422" s="285" t="n"/>
      <c r="S422" s="284" t="n"/>
      <c r="T422" s="284" t="n"/>
      <c r="U422" s="285" t="n"/>
      <c r="V422" s="285" t="n"/>
      <c r="W422" s="285" t="n"/>
      <c r="X422" s="285" t="n"/>
      <c r="Y422" s="285" t="n"/>
      <c r="Z422" s="285" t="n"/>
      <c r="AA422" s="285" t="n"/>
    </row>
    <row r="423" ht="15.75" customHeight="1" s="398">
      <c r="A423" s="284" t="n"/>
      <c r="B423" s="285" t="n"/>
      <c r="C423" s="284" t="n"/>
      <c r="D423" s="284" t="n"/>
      <c r="E423" s="285" t="n"/>
      <c r="F423" s="285" t="n"/>
      <c r="G423" s="336" t="n"/>
      <c r="H423" s="336" t="n"/>
      <c r="I423" s="285" t="n"/>
      <c r="J423" s="285" t="n"/>
      <c r="K423" s="285" t="n"/>
      <c r="L423" s="285" t="n"/>
      <c r="M423" s="285" t="n"/>
      <c r="N423" s="285" t="n"/>
      <c r="O423" s="285" t="n"/>
      <c r="P423" s="285" t="n"/>
      <c r="Q423" s="285" t="n"/>
      <c r="R423" s="285" t="n"/>
      <c r="S423" s="284" t="n"/>
      <c r="T423" s="284" t="n"/>
      <c r="U423" s="285" t="n"/>
      <c r="V423" s="285" t="n"/>
      <c r="W423" s="285" t="n"/>
      <c r="X423" s="285" t="n"/>
      <c r="Y423" s="285" t="n"/>
      <c r="Z423" s="285" t="n"/>
      <c r="AA423" s="285" t="n"/>
    </row>
    <row r="424" ht="15.75" customHeight="1" s="398">
      <c r="A424" s="284" t="n"/>
      <c r="B424" s="285" t="n"/>
      <c r="C424" s="284" t="n"/>
      <c r="D424" s="284" t="n"/>
      <c r="E424" s="285" t="n"/>
      <c r="F424" s="285" t="n"/>
      <c r="G424" s="336" t="n"/>
      <c r="H424" s="336" t="n"/>
      <c r="I424" s="285" t="n"/>
      <c r="J424" s="285" t="n"/>
      <c r="K424" s="285" t="n"/>
      <c r="L424" s="285" t="n"/>
      <c r="M424" s="285" t="n"/>
      <c r="N424" s="285" t="n"/>
      <c r="O424" s="285" t="n"/>
      <c r="P424" s="285" t="n"/>
      <c r="Q424" s="285" t="n"/>
      <c r="R424" s="285" t="n"/>
      <c r="S424" s="284" t="n"/>
      <c r="T424" s="284" t="n"/>
      <c r="U424" s="285" t="n"/>
      <c r="V424" s="285" t="n"/>
      <c r="W424" s="285" t="n"/>
      <c r="X424" s="285" t="n"/>
      <c r="Y424" s="285" t="n"/>
      <c r="Z424" s="285" t="n"/>
      <c r="AA424" s="285" t="n"/>
    </row>
    <row r="425" ht="15.75" customHeight="1" s="398">
      <c r="A425" s="284" t="n"/>
      <c r="B425" s="285" t="n"/>
      <c r="C425" s="284" t="n"/>
      <c r="D425" s="284" t="n"/>
      <c r="E425" s="285" t="n"/>
      <c r="F425" s="285" t="n"/>
      <c r="G425" s="336" t="n"/>
      <c r="H425" s="336" t="n"/>
      <c r="I425" s="285" t="n"/>
      <c r="J425" s="285" t="n"/>
      <c r="K425" s="285" t="n"/>
      <c r="L425" s="285" t="n"/>
      <c r="M425" s="285" t="n"/>
      <c r="N425" s="285" t="n"/>
      <c r="O425" s="285" t="n"/>
      <c r="P425" s="285" t="n"/>
      <c r="Q425" s="285" t="n"/>
      <c r="R425" s="285" t="n"/>
      <c r="S425" s="284" t="n"/>
      <c r="T425" s="284" t="n"/>
      <c r="U425" s="285" t="n"/>
      <c r="V425" s="285" t="n"/>
      <c r="W425" s="285" t="n"/>
      <c r="X425" s="285" t="n"/>
      <c r="Y425" s="285" t="n"/>
      <c r="Z425" s="285" t="n"/>
      <c r="AA425" s="285" t="n"/>
    </row>
    <row r="426" ht="15.75" customHeight="1" s="398">
      <c r="A426" s="284" t="n"/>
      <c r="B426" s="285" t="n"/>
      <c r="C426" s="284" t="n"/>
      <c r="D426" s="284" t="n"/>
      <c r="E426" s="285" t="n"/>
      <c r="F426" s="285" t="n"/>
      <c r="G426" s="336" t="n"/>
      <c r="H426" s="336" t="n"/>
      <c r="I426" s="285" t="n"/>
      <c r="J426" s="285" t="n"/>
      <c r="K426" s="285" t="n"/>
      <c r="L426" s="285" t="n"/>
      <c r="M426" s="285" t="n"/>
      <c r="N426" s="285" t="n"/>
      <c r="O426" s="285" t="n"/>
      <c r="P426" s="285" t="n"/>
      <c r="Q426" s="285" t="n"/>
      <c r="R426" s="285" t="n"/>
      <c r="S426" s="284" t="n"/>
      <c r="T426" s="284" t="n"/>
      <c r="U426" s="285" t="n"/>
      <c r="V426" s="285" t="n"/>
      <c r="W426" s="285" t="n"/>
      <c r="X426" s="285" t="n"/>
      <c r="Y426" s="285" t="n"/>
      <c r="Z426" s="285" t="n"/>
      <c r="AA426" s="285" t="n"/>
    </row>
    <row r="427" ht="15.75" customHeight="1" s="398">
      <c r="A427" s="284" t="n"/>
      <c r="B427" s="285" t="n"/>
      <c r="C427" s="284" t="n"/>
      <c r="D427" s="284" t="n"/>
      <c r="E427" s="285" t="n"/>
      <c r="F427" s="285" t="n"/>
      <c r="G427" s="336" t="n"/>
      <c r="H427" s="336" t="n"/>
      <c r="I427" s="285" t="n"/>
      <c r="J427" s="285" t="n"/>
      <c r="K427" s="285" t="n"/>
      <c r="L427" s="285" t="n"/>
      <c r="M427" s="285" t="n"/>
      <c r="N427" s="285" t="n"/>
      <c r="O427" s="285" t="n"/>
      <c r="P427" s="285" t="n"/>
      <c r="Q427" s="285" t="n"/>
      <c r="R427" s="285" t="n"/>
      <c r="S427" s="284" t="n"/>
      <c r="T427" s="284" t="n"/>
      <c r="U427" s="285" t="n"/>
      <c r="V427" s="285" t="n"/>
      <c r="W427" s="285" t="n"/>
      <c r="X427" s="285" t="n"/>
      <c r="Y427" s="285" t="n"/>
      <c r="Z427" s="285" t="n"/>
      <c r="AA427" s="285" t="n"/>
    </row>
    <row r="428" ht="15.75" customHeight="1" s="398">
      <c r="A428" s="284" t="n"/>
      <c r="B428" s="285" t="n"/>
      <c r="C428" s="284" t="n"/>
      <c r="D428" s="284" t="n"/>
      <c r="E428" s="285" t="n"/>
      <c r="F428" s="285" t="n"/>
      <c r="G428" s="336" t="n"/>
      <c r="H428" s="336" t="n"/>
      <c r="I428" s="285" t="n"/>
      <c r="J428" s="285" t="n"/>
      <c r="K428" s="285" t="n"/>
      <c r="L428" s="285" t="n"/>
      <c r="M428" s="285" t="n"/>
      <c r="N428" s="285" t="n"/>
      <c r="O428" s="285" t="n"/>
      <c r="P428" s="285" t="n"/>
      <c r="Q428" s="285" t="n"/>
      <c r="R428" s="285" t="n"/>
      <c r="S428" s="284" t="n"/>
      <c r="T428" s="284" t="n"/>
      <c r="U428" s="285" t="n"/>
      <c r="V428" s="285" t="n"/>
      <c r="W428" s="285" t="n"/>
      <c r="X428" s="285" t="n"/>
      <c r="Y428" s="285" t="n"/>
      <c r="Z428" s="285" t="n"/>
      <c r="AA428" s="285" t="n"/>
    </row>
    <row r="429" ht="15.75" customHeight="1" s="398">
      <c r="A429" s="284" t="n"/>
      <c r="B429" s="285" t="n"/>
      <c r="C429" s="284" t="n"/>
      <c r="D429" s="284" t="n"/>
      <c r="E429" s="285" t="n"/>
      <c r="F429" s="285" t="n"/>
      <c r="G429" s="336" t="n"/>
      <c r="H429" s="336" t="n"/>
      <c r="I429" s="285" t="n"/>
      <c r="J429" s="285" t="n"/>
      <c r="K429" s="285" t="n"/>
      <c r="L429" s="285" t="n"/>
      <c r="M429" s="285" t="n"/>
      <c r="N429" s="285" t="n"/>
      <c r="O429" s="285" t="n"/>
      <c r="P429" s="285" t="n"/>
      <c r="Q429" s="285" t="n"/>
      <c r="R429" s="285" t="n"/>
      <c r="S429" s="284" t="n"/>
      <c r="T429" s="284" t="n"/>
      <c r="U429" s="285" t="n"/>
      <c r="V429" s="285" t="n"/>
      <c r="W429" s="285" t="n"/>
      <c r="X429" s="285" t="n"/>
      <c r="Y429" s="285" t="n"/>
      <c r="Z429" s="285" t="n"/>
      <c r="AA429" s="285" t="n"/>
    </row>
    <row r="430" ht="15.75" customHeight="1" s="398">
      <c r="A430" s="284" t="n"/>
      <c r="B430" s="285" t="n"/>
      <c r="C430" s="284" t="n"/>
      <c r="D430" s="284" t="n"/>
      <c r="E430" s="285" t="n"/>
      <c r="F430" s="285" t="n"/>
      <c r="G430" s="336" t="n"/>
      <c r="H430" s="336" t="n"/>
      <c r="I430" s="285" t="n"/>
      <c r="J430" s="285" t="n"/>
      <c r="K430" s="285" t="n"/>
      <c r="L430" s="285" t="n"/>
      <c r="M430" s="285" t="n"/>
      <c r="N430" s="285" t="n"/>
      <c r="O430" s="285" t="n"/>
      <c r="P430" s="285" t="n"/>
      <c r="Q430" s="285" t="n"/>
      <c r="R430" s="285" t="n"/>
      <c r="S430" s="284" t="n"/>
      <c r="T430" s="284" t="n"/>
      <c r="U430" s="285" t="n"/>
      <c r="V430" s="285" t="n"/>
      <c r="W430" s="285" t="n"/>
      <c r="X430" s="285" t="n"/>
      <c r="Y430" s="285" t="n"/>
      <c r="Z430" s="285" t="n"/>
      <c r="AA430" s="285" t="n"/>
    </row>
    <row r="431" ht="15.75" customHeight="1" s="398">
      <c r="A431" s="284" t="n"/>
      <c r="B431" s="285" t="n"/>
      <c r="C431" s="284" t="n"/>
      <c r="D431" s="284" t="n"/>
      <c r="E431" s="285" t="n"/>
      <c r="F431" s="285" t="n"/>
      <c r="G431" s="336" t="n"/>
      <c r="H431" s="336" t="n"/>
      <c r="I431" s="285" t="n"/>
      <c r="J431" s="285" t="n"/>
      <c r="K431" s="285" t="n"/>
      <c r="L431" s="285" t="n"/>
      <c r="M431" s="285" t="n"/>
      <c r="N431" s="285" t="n"/>
      <c r="O431" s="285" t="n"/>
      <c r="P431" s="285" t="n"/>
      <c r="Q431" s="285" t="n"/>
      <c r="R431" s="285" t="n"/>
      <c r="S431" s="284" t="n"/>
      <c r="T431" s="284" t="n"/>
      <c r="U431" s="285" t="n"/>
      <c r="V431" s="285" t="n"/>
      <c r="W431" s="285" t="n"/>
      <c r="X431" s="285" t="n"/>
      <c r="Y431" s="285" t="n"/>
      <c r="Z431" s="285" t="n"/>
      <c r="AA431" s="285" t="n"/>
    </row>
    <row r="432" ht="15.75" customHeight="1" s="398">
      <c r="A432" s="284" t="n"/>
      <c r="B432" s="285" t="n"/>
      <c r="C432" s="284" t="n"/>
      <c r="D432" s="284" t="n"/>
      <c r="E432" s="285" t="n"/>
      <c r="F432" s="285" t="n"/>
      <c r="G432" s="336" t="n"/>
      <c r="H432" s="336" t="n"/>
      <c r="I432" s="285" t="n"/>
      <c r="J432" s="285" t="n"/>
      <c r="K432" s="285" t="n"/>
      <c r="L432" s="285" t="n"/>
      <c r="M432" s="285" t="n"/>
      <c r="N432" s="285" t="n"/>
      <c r="O432" s="285" t="n"/>
      <c r="P432" s="285" t="n"/>
      <c r="Q432" s="285" t="n"/>
      <c r="R432" s="285" t="n"/>
      <c r="S432" s="284" t="n"/>
      <c r="T432" s="284" t="n"/>
      <c r="U432" s="285" t="n"/>
      <c r="V432" s="285" t="n"/>
      <c r="W432" s="285" t="n"/>
      <c r="X432" s="285" t="n"/>
      <c r="Y432" s="285" t="n"/>
      <c r="Z432" s="285" t="n"/>
      <c r="AA432" s="285" t="n"/>
    </row>
    <row r="433" ht="15.75" customHeight="1" s="398">
      <c r="A433" s="284" t="n"/>
      <c r="B433" s="285" t="n"/>
      <c r="C433" s="284" t="n"/>
      <c r="D433" s="284" t="n"/>
      <c r="E433" s="285" t="n"/>
      <c r="F433" s="285" t="n"/>
      <c r="G433" s="336" t="n"/>
      <c r="H433" s="336" t="n"/>
      <c r="I433" s="285" t="n"/>
      <c r="J433" s="285" t="n"/>
      <c r="K433" s="285" t="n"/>
      <c r="L433" s="285" t="n"/>
      <c r="M433" s="285" t="n"/>
      <c r="N433" s="285" t="n"/>
      <c r="O433" s="285" t="n"/>
      <c r="P433" s="285" t="n"/>
      <c r="Q433" s="285" t="n"/>
      <c r="R433" s="285" t="n"/>
      <c r="S433" s="284" t="n"/>
      <c r="T433" s="284" t="n"/>
      <c r="U433" s="285" t="n"/>
      <c r="V433" s="285" t="n"/>
      <c r="W433" s="285" t="n"/>
      <c r="X433" s="285" t="n"/>
      <c r="Y433" s="285" t="n"/>
      <c r="Z433" s="285" t="n"/>
      <c r="AA433" s="285" t="n"/>
    </row>
    <row r="434" ht="15.75" customHeight="1" s="398">
      <c r="A434" s="284" t="n"/>
      <c r="B434" s="285" t="n"/>
      <c r="C434" s="284" t="n"/>
      <c r="D434" s="284" t="n"/>
      <c r="E434" s="285" t="n"/>
      <c r="F434" s="285" t="n"/>
      <c r="G434" s="336" t="n"/>
      <c r="H434" s="336" t="n"/>
      <c r="I434" s="285" t="n"/>
      <c r="J434" s="285" t="n"/>
      <c r="K434" s="285" t="n"/>
      <c r="L434" s="285" t="n"/>
      <c r="M434" s="285" t="n"/>
      <c r="N434" s="285" t="n"/>
      <c r="O434" s="285" t="n"/>
      <c r="P434" s="285" t="n"/>
      <c r="Q434" s="285" t="n"/>
      <c r="R434" s="285" t="n"/>
      <c r="S434" s="284" t="n"/>
      <c r="T434" s="284" t="n"/>
      <c r="U434" s="285" t="n"/>
      <c r="V434" s="285" t="n"/>
      <c r="W434" s="285" t="n"/>
      <c r="X434" s="285" t="n"/>
      <c r="Y434" s="285" t="n"/>
      <c r="Z434" s="285" t="n"/>
      <c r="AA434" s="285" t="n"/>
    </row>
    <row r="435" ht="15.75" customHeight="1" s="398">
      <c r="A435" s="284" t="n"/>
      <c r="B435" s="285" t="n"/>
      <c r="C435" s="284" t="n"/>
      <c r="D435" s="284" t="n"/>
      <c r="E435" s="285" t="n"/>
      <c r="F435" s="285" t="n"/>
      <c r="G435" s="336" t="n"/>
      <c r="H435" s="336" t="n"/>
      <c r="I435" s="285" t="n"/>
      <c r="J435" s="285" t="n"/>
      <c r="K435" s="285" t="n"/>
      <c r="L435" s="285" t="n"/>
      <c r="M435" s="285" t="n"/>
      <c r="N435" s="285" t="n"/>
      <c r="O435" s="285" t="n"/>
      <c r="P435" s="285" t="n"/>
      <c r="Q435" s="285" t="n"/>
      <c r="R435" s="285" t="n"/>
      <c r="S435" s="284" t="n"/>
      <c r="T435" s="284" t="n"/>
      <c r="U435" s="285" t="n"/>
      <c r="V435" s="285" t="n"/>
      <c r="W435" s="285" t="n"/>
      <c r="X435" s="285" t="n"/>
      <c r="Y435" s="285" t="n"/>
      <c r="Z435" s="285" t="n"/>
      <c r="AA435" s="285" t="n"/>
    </row>
    <row r="436" ht="15.75" customHeight="1" s="398">
      <c r="A436" s="284" t="n"/>
      <c r="B436" s="285" t="n"/>
      <c r="C436" s="284" t="n"/>
      <c r="D436" s="284" t="n"/>
      <c r="E436" s="285" t="n"/>
      <c r="F436" s="285" t="n"/>
      <c r="G436" s="336" t="n"/>
      <c r="H436" s="336" t="n"/>
      <c r="I436" s="285" t="n"/>
      <c r="J436" s="285" t="n"/>
      <c r="K436" s="285" t="n"/>
      <c r="L436" s="285" t="n"/>
      <c r="M436" s="285" t="n"/>
      <c r="N436" s="285" t="n"/>
      <c r="O436" s="285" t="n"/>
      <c r="P436" s="285" t="n"/>
      <c r="Q436" s="285" t="n"/>
      <c r="R436" s="285" t="n"/>
      <c r="S436" s="284" t="n"/>
      <c r="T436" s="284" t="n"/>
      <c r="U436" s="285" t="n"/>
      <c r="V436" s="285" t="n"/>
      <c r="W436" s="285" t="n"/>
      <c r="X436" s="285" t="n"/>
      <c r="Y436" s="285" t="n"/>
      <c r="Z436" s="285" t="n"/>
      <c r="AA436" s="285" t="n"/>
    </row>
    <row r="437" ht="15.75" customHeight="1" s="398">
      <c r="A437" s="284" t="n"/>
      <c r="B437" s="285" t="n"/>
      <c r="C437" s="284" t="n"/>
      <c r="D437" s="284" t="n"/>
      <c r="E437" s="285" t="n"/>
      <c r="F437" s="285" t="n"/>
      <c r="G437" s="336" t="n"/>
      <c r="H437" s="336" t="n"/>
      <c r="I437" s="285" t="n"/>
      <c r="J437" s="285" t="n"/>
      <c r="K437" s="285" t="n"/>
      <c r="L437" s="285" t="n"/>
      <c r="M437" s="285" t="n"/>
      <c r="N437" s="285" t="n"/>
      <c r="O437" s="285" t="n"/>
      <c r="P437" s="285" t="n"/>
      <c r="Q437" s="285" t="n"/>
      <c r="R437" s="285" t="n"/>
      <c r="S437" s="284" t="n"/>
      <c r="T437" s="284" t="n"/>
      <c r="U437" s="285" t="n"/>
      <c r="V437" s="285" t="n"/>
      <c r="W437" s="285" t="n"/>
      <c r="X437" s="285" t="n"/>
      <c r="Y437" s="285" t="n"/>
      <c r="Z437" s="285" t="n"/>
      <c r="AA437" s="285" t="n"/>
    </row>
    <row r="438" ht="15.75" customHeight="1" s="398">
      <c r="A438" s="284" t="n"/>
      <c r="B438" s="285" t="n"/>
      <c r="C438" s="284" t="n"/>
      <c r="D438" s="284" t="n"/>
      <c r="E438" s="285" t="n"/>
      <c r="F438" s="285" t="n"/>
      <c r="G438" s="336" t="n"/>
      <c r="H438" s="336" t="n"/>
      <c r="I438" s="285" t="n"/>
      <c r="J438" s="285" t="n"/>
      <c r="K438" s="285" t="n"/>
      <c r="L438" s="285" t="n"/>
      <c r="M438" s="285" t="n"/>
      <c r="N438" s="285" t="n"/>
      <c r="O438" s="285" t="n"/>
      <c r="P438" s="285" t="n"/>
      <c r="Q438" s="285" t="n"/>
      <c r="R438" s="285" t="n"/>
      <c r="S438" s="284" t="n"/>
      <c r="T438" s="284" t="n"/>
      <c r="U438" s="285" t="n"/>
      <c r="V438" s="285" t="n"/>
      <c r="W438" s="285" t="n"/>
      <c r="X438" s="285" t="n"/>
      <c r="Y438" s="285" t="n"/>
      <c r="Z438" s="285" t="n"/>
      <c r="AA438" s="285" t="n"/>
    </row>
    <row r="439" ht="15.75" customHeight="1" s="398">
      <c r="A439" s="284" t="n"/>
      <c r="B439" s="285" t="n"/>
      <c r="C439" s="284" t="n"/>
      <c r="D439" s="284" t="n"/>
      <c r="E439" s="285" t="n"/>
      <c r="F439" s="285" t="n"/>
      <c r="G439" s="336" t="n"/>
      <c r="H439" s="336" t="n"/>
      <c r="I439" s="285" t="n"/>
      <c r="J439" s="285" t="n"/>
      <c r="K439" s="285" t="n"/>
      <c r="L439" s="285" t="n"/>
      <c r="M439" s="285" t="n"/>
      <c r="N439" s="285" t="n"/>
      <c r="O439" s="285" t="n"/>
      <c r="P439" s="285" t="n"/>
      <c r="Q439" s="285" t="n"/>
      <c r="R439" s="285" t="n"/>
      <c r="S439" s="284" t="n"/>
      <c r="T439" s="284" t="n"/>
      <c r="U439" s="285" t="n"/>
      <c r="V439" s="285" t="n"/>
      <c r="W439" s="285" t="n"/>
      <c r="X439" s="285" t="n"/>
      <c r="Y439" s="285" t="n"/>
      <c r="Z439" s="285" t="n"/>
      <c r="AA439" s="285" t="n"/>
    </row>
    <row r="440" ht="15.75" customHeight="1" s="398">
      <c r="A440" s="284" t="n"/>
      <c r="B440" s="285" t="n"/>
      <c r="C440" s="284" t="n"/>
      <c r="D440" s="284" t="n"/>
      <c r="E440" s="285" t="n"/>
      <c r="F440" s="285" t="n"/>
      <c r="G440" s="336" t="n"/>
      <c r="H440" s="336" t="n"/>
      <c r="I440" s="285" t="n"/>
      <c r="J440" s="285" t="n"/>
      <c r="K440" s="285" t="n"/>
      <c r="L440" s="285" t="n"/>
      <c r="M440" s="285" t="n"/>
      <c r="N440" s="285" t="n"/>
      <c r="O440" s="285" t="n"/>
      <c r="P440" s="285" t="n"/>
      <c r="Q440" s="285" t="n"/>
      <c r="R440" s="285" t="n"/>
      <c r="S440" s="284" t="n"/>
      <c r="T440" s="284" t="n"/>
      <c r="U440" s="285" t="n"/>
      <c r="V440" s="285" t="n"/>
      <c r="W440" s="285" t="n"/>
      <c r="X440" s="285" t="n"/>
      <c r="Y440" s="285" t="n"/>
      <c r="Z440" s="285" t="n"/>
      <c r="AA440" s="285" t="n"/>
    </row>
    <row r="441" ht="15.75" customHeight="1" s="398">
      <c r="A441" s="284" t="n"/>
      <c r="B441" s="285" t="n"/>
      <c r="C441" s="284" t="n"/>
      <c r="D441" s="284" t="n"/>
      <c r="E441" s="285" t="n"/>
      <c r="F441" s="285" t="n"/>
      <c r="G441" s="336" t="n"/>
      <c r="H441" s="336" t="n"/>
      <c r="I441" s="285" t="n"/>
      <c r="J441" s="285" t="n"/>
      <c r="K441" s="285" t="n"/>
      <c r="L441" s="285" t="n"/>
      <c r="M441" s="285" t="n"/>
      <c r="N441" s="285" t="n"/>
      <c r="O441" s="285" t="n"/>
      <c r="P441" s="285" t="n"/>
      <c r="Q441" s="285" t="n"/>
      <c r="R441" s="285" t="n"/>
      <c r="S441" s="284" t="n"/>
      <c r="T441" s="284" t="n"/>
      <c r="U441" s="285" t="n"/>
      <c r="V441" s="285" t="n"/>
      <c r="W441" s="285" t="n"/>
      <c r="X441" s="285" t="n"/>
      <c r="Y441" s="285" t="n"/>
      <c r="Z441" s="285" t="n"/>
      <c r="AA441" s="285" t="n"/>
    </row>
    <row r="442" ht="15.75" customHeight="1" s="398">
      <c r="A442" s="284" t="n"/>
      <c r="B442" s="285" t="n"/>
      <c r="C442" s="284" t="n"/>
      <c r="D442" s="284" t="n"/>
      <c r="E442" s="285" t="n"/>
      <c r="F442" s="285" t="n"/>
      <c r="G442" s="336" t="n"/>
      <c r="H442" s="336" t="n"/>
      <c r="I442" s="285" t="n"/>
      <c r="J442" s="285" t="n"/>
      <c r="K442" s="285" t="n"/>
      <c r="L442" s="285" t="n"/>
      <c r="M442" s="285" t="n"/>
      <c r="N442" s="285" t="n"/>
      <c r="O442" s="285" t="n"/>
      <c r="P442" s="285" t="n"/>
      <c r="Q442" s="285" t="n"/>
      <c r="R442" s="285" t="n"/>
      <c r="S442" s="284" t="n"/>
      <c r="T442" s="284" t="n"/>
      <c r="U442" s="285" t="n"/>
      <c r="V442" s="285" t="n"/>
      <c r="W442" s="285" t="n"/>
      <c r="X442" s="285" t="n"/>
      <c r="Y442" s="285" t="n"/>
      <c r="Z442" s="285" t="n"/>
      <c r="AA442" s="285" t="n"/>
    </row>
    <row r="443" ht="15.75" customHeight="1" s="398">
      <c r="A443" s="284" t="n"/>
      <c r="B443" s="285" t="n"/>
      <c r="C443" s="284" t="n"/>
      <c r="D443" s="284" t="n"/>
      <c r="E443" s="285" t="n"/>
      <c r="F443" s="285" t="n"/>
      <c r="G443" s="336" t="n"/>
      <c r="H443" s="336" t="n"/>
      <c r="I443" s="285" t="n"/>
      <c r="J443" s="285" t="n"/>
      <c r="K443" s="285" t="n"/>
      <c r="L443" s="285" t="n"/>
      <c r="M443" s="285" t="n"/>
      <c r="N443" s="285" t="n"/>
      <c r="O443" s="285" t="n"/>
      <c r="P443" s="285" t="n"/>
      <c r="Q443" s="285" t="n"/>
      <c r="R443" s="285" t="n"/>
      <c r="S443" s="284" t="n"/>
      <c r="T443" s="284" t="n"/>
      <c r="U443" s="285" t="n"/>
      <c r="V443" s="285" t="n"/>
      <c r="W443" s="285" t="n"/>
      <c r="X443" s="285" t="n"/>
      <c r="Y443" s="285" t="n"/>
      <c r="Z443" s="285" t="n"/>
      <c r="AA443" s="285" t="n"/>
    </row>
    <row r="444" ht="15.75" customHeight="1" s="398">
      <c r="A444" s="284" t="n"/>
      <c r="B444" s="285" t="n"/>
      <c r="C444" s="284" t="n"/>
      <c r="D444" s="284" t="n"/>
      <c r="E444" s="285" t="n"/>
      <c r="F444" s="285" t="n"/>
      <c r="G444" s="336" t="n"/>
      <c r="H444" s="336" t="n"/>
      <c r="I444" s="285" t="n"/>
      <c r="J444" s="285" t="n"/>
      <c r="K444" s="285" t="n"/>
      <c r="L444" s="285" t="n"/>
      <c r="M444" s="285" t="n"/>
      <c r="N444" s="285" t="n"/>
      <c r="O444" s="285" t="n"/>
      <c r="P444" s="285" t="n"/>
      <c r="Q444" s="285" t="n"/>
      <c r="R444" s="285" t="n"/>
      <c r="S444" s="284" t="n"/>
      <c r="T444" s="284" t="n"/>
      <c r="U444" s="285" t="n"/>
      <c r="V444" s="285" t="n"/>
      <c r="W444" s="285" t="n"/>
      <c r="X444" s="285" t="n"/>
      <c r="Y444" s="285" t="n"/>
      <c r="Z444" s="285" t="n"/>
      <c r="AA444" s="285" t="n"/>
    </row>
    <row r="445" ht="15.75" customHeight="1" s="398">
      <c r="A445" s="284" t="n"/>
      <c r="B445" s="285" t="n"/>
      <c r="C445" s="284" t="n"/>
      <c r="D445" s="284" t="n"/>
      <c r="E445" s="285" t="n"/>
      <c r="F445" s="285" t="n"/>
      <c r="G445" s="336" t="n"/>
      <c r="H445" s="336" t="n"/>
      <c r="I445" s="285" t="n"/>
      <c r="J445" s="285" t="n"/>
      <c r="K445" s="285" t="n"/>
      <c r="L445" s="285" t="n"/>
      <c r="M445" s="285" t="n"/>
      <c r="N445" s="285" t="n"/>
      <c r="O445" s="285" t="n"/>
      <c r="P445" s="285" t="n"/>
      <c r="Q445" s="285" t="n"/>
      <c r="R445" s="285" t="n"/>
      <c r="S445" s="284" t="n"/>
      <c r="T445" s="284" t="n"/>
      <c r="U445" s="285" t="n"/>
      <c r="V445" s="285" t="n"/>
      <c r="W445" s="285" t="n"/>
      <c r="X445" s="285" t="n"/>
      <c r="Y445" s="285" t="n"/>
      <c r="Z445" s="285" t="n"/>
      <c r="AA445" s="285" t="n"/>
    </row>
    <row r="446" ht="15.75" customHeight="1" s="398">
      <c r="A446" s="284" t="n"/>
      <c r="B446" s="285" t="n"/>
      <c r="C446" s="284" t="n"/>
      <c r="D446" s="284" t="n"/>
      <c r="E446" s="285" t="n"/>
      <c r="F446" s="285" t="n"/>
      <c r="G446" s="336" t="n"/>
      <c r="H446" s="336" t="n"/>
      <c r="I446" s="285" t="n"/>
      <c r="J446" s="285" t="n"/>
      <c r="K446" s="285" t="n"/>
      <c r="L446" s="285" t="n"/>
      <c r="M446" s="285" t="n"/>
      <c r="N446" s="285" t="n"/>
      <c r="O446" s="285" t="n"/>
      <c r="P446" s="285" t="n"/>
      <c r="Q446" s="285" t="n"/>
      <c r="R446" s="285" t="n"/>
      <c r="S446" s="284" t="n"/>
      <c r="T446" s="284" t="n"/>
      <c r="U446" s="285" t="n"/>
      <c r="V446" s="285" t="n"/>
      <c r="W446" s="285" t="n"/>
      <c r="X446" s="285" t="n"/>
      <c r="Y446" s="285" t="n"/>
      <c r="Z446" s="285" t="n"/>
      <c r="AA446" s="285" t="n"/>
    </row>
    <row r="447" ht="15.75" customHeight="1" s="398">
      <c r="A447" s="284" t="n"/>
      <c r="B447" s="285" t="n"/>
      <c r="C447" s="284" t="n"/>
      <c r="D447" s="284" t="n"/>
      <c r="E447" s="285" t="n"/>
      <c r="F447" s="285" t="n"/>
      <c r="G447" s="336" t="n"/>
      <c r="H447" s="336" t="n"/>
      <c r="I447" s="285" t="n"/>
      <c r="J447" s="285" t="n"/>
      <c r="K447" s="285" t="n"/>
      <c r="L447" s="285" t="n"/>
      <c r="M447" s="285" t="n"/>
      <c r="N447" s="285" t="n"/>
      <c r="O447" s="285" t="n"/>
      <c r="P447" s="285" t="n"/>
      <c r="Q447" s="285" t="n"/>
      <c r="R447" s="285" t="n"/>
      <c r="S447" s="284" t="n"/>
      <c r="T447" s="284" t="n"/>
      <c r="U447" s="285" t="n"/>
      <c r="V447" s="285" t="n"/>
      <c r="W447" s="285" t="n"/>
      <c r="X447" s="285" t="n"/>
      <c r="Y447" s="285" t="n"/>
      <c r="Z447" s="285" t="n"/>
      <c r="AA447" s="285" t="n"/>
    </row>
    <row r="448" ht="15.75" customHeight="1" s="398">
      <c r="A448" s="284" t="n"/>
      <c r="B448" s="285" t="n"/>
      <c r="C448" s="284" t="n"/>
      <c r="D448" s="284" t="n"/>
      <c r="E448" s="285" t="n"/>
      <c r="F448" s="285" t="n"/>
      <c r="G448" s="336" t="n"/>
      <c r="H448" s="336" t="n"/>
      <c r="I448" s="285" t="n"/>
      <c r="J448" s="285" t="n"/>
      <c r="K448" s="285" t="n"/>
      <c r="L448" s="285" t="n"/>
      <c r="M448" s="285" t="n"/>
      <c r="N448" s="285" t="n"/>
      <c r="O448" s="285" t="n"/>
      <c r="P448" s="285" t="n"/>
      <c r="Q448" s="285" t="n"/>
      <c r="R448" s="285" t="n"/>
      <c r="S448" s="284" t="n"/>
      <c r="T448" s="284" t="n"/>
      <c r="U448" s="285" t="n"/>
      <c r="V448" s="285" t="n"/>
      <c r="W448" s="285" t="n"/>
      <c r="X448" s="285" t="n"/>
      <c r="Y448" s="285" t="n"/>
      <c r="Z448" s="285" t="n"/>
      <c r="AA448" s="285" t="n"/>
    </row>
    <row r="449" ht="15.75" customHeight="1" s="398">
      <c r="A449" s="284" t="n"/>
      <c r="B449" s="285" t="n"/>
      <c r="C449" s="284" t="n"/>
      <c r="D449" s="284" t="n"/>
      <c r="E449" s="285" t="n"/>
      <c r="F449" s="285" t="n"/>
      <c r="G449" s="336" t="n"/>
      <c r="H449" s="336" t="n"/>
      <c r="I449" s="285" t="n"/>
      <c r="J449" s="285" t="n"/>
      <c r="K449" s="285" t="n"/>
      <c r="L449" s="285" t="n"/>
      <c r="M449" s="285" t="n"/>
      <c r="N449" s="285" t="n"/>
      <c r="O449" s="285" t="n"/>
      <c r="P449" s="285" t="n"/>
      <c r="Q449" s="285" t="n"/>
      <c r="R449" s="285" t="n"/>
      <c r="S449" s="284" t="n"/>
      <c r="T449" s="284" t="n"/>
      <c r="U449" s="285" t="n"/>
      <c r="V449" s="285" t="n"/>
      <c r="W449" s="285" t="n"/>
      <c r="X449" s="285" t="n"/>
      <c r="Y449" s="285" t="n"/>
      <c r="Z449" s="285" t="n"/>
      <c r="AA449" s="285" t="n"/>
    </row>
    <row r="450" ht="15.75" customHeight="1" s="398">
      <c r="A450" s="284" t="n"/>
      <c r="B450" s="285" t="n"/>
      <c r="C450" s="284" t="n"/>
      <c r="D450" s="284" t="n"/>
      <c r="E450" s="285" t="n"/>
      <c r="F450" s="285" t="n"/>
      <c r="G450" s="336" t="n"/>
      <c r="H450" s="336" t="n"/>
      <c r="I450" s="285" t="n"/>
      <c r="J450" s="285" t="n"/>
      <c r="K450" s="285" t="n"/>
      <c r="L450" s="285" t="n"/>
      <c r="M450" s="285" t="n"/>
      <c r="N450" s="285" t="n"/>
      <c r="O450" s="285" t="n"/>
      <c r="P450" s="285" t="n"/>
      <c r="Q450" s="285" t="n"/>
      <c r="R450" s="285" t="n"/>
      <c r="S450" s="284" t="n"/>
      <c r="T450" s="284" t="n"/>
      <c r="U450" s="285" t="n"/>
      <c r="V450" s="285" t="n"/>
      <c r="W450" s="285" t="n"/>
      <c r="X450" s="285" t="n"/>
      <c r="Y450" s="285" t="n"/>
      <c r="Z450" s="285" t="n"/>
      <c r="AA450" s="285" t="n"/>
    </row>
    <row r="451" ht="15.75" customHeight="1" s="398">
      <c r="A451" s="284" t="n"/>
      <c r="B451" s="285" t="n"/>
      <c r="C451" s="284" t="n"/>
      <c r="D451" s="284" t="n"/>
      <c r="E451" s="285" t="n"/>
      <c r="F451" s="285" t="n"/>
      <c r="G451" s="336" t="n"/>
      <c r="H451" s="336" t="n"/>
      <c r="I451" s="285" t="n"/>
      <c r="J451" s="285" t="n"/>
      <c r="K451" s="285" t="n"/>
      <c r="L451" s="285" t="n"/>
      <c r="M451" s="285" t="n"/>
      <c r="N451" s="285" t="n"/>
      <c r="O451" s="285" t="n"/>
      <c r="P451" s="285" t="n"/>
      <c r="Q451" s="285" t="n"/>
      <c r="R451" s="285" t="n"/>
      <c r="S451" s="284" t="n"/>
      <c r="T451" s="284" t="n"/>
      <c r="U451" s="285" t="n"/>
      <c r="V451" s="285" t="n"/>
      <c r="W451" s="285" t="n"/>
      <c r="X451" s="285" t="n"/>
      <c r="Y451" s="285" t="n"/>
      <c r="Z451" s="285" t="n"/>
      <c r="AA451" s="285" t="n"/>
    </row>
    <row r="452" ht="15.75" customHeight="1" s="398">
      <c r="A452" s="284" t="n"/>
      <c r="B452" s="285" t="n"/>
      <c r="C452" s="284" t="n"/>
      <c r="D452" s="284" t="n"/>
      <c r="E452" s="285" t="n"/>
      <c r="F452" s="285" t="n"/>
      <c r="G452" s="336" t="n"/>
      <c r="H452" s="336" t="n"/>
      <c r="I452" s="285" t="n"/>
      <c r="J452" s="285" t="n"/>
      <c r="K452" s="285" t="n"/>
      <c r="L452" s="285" t="n"/>
      <c r="M452" s="285" t="n"/>
      <c r="N452" s="285" t="n"/>
      <c r="O452" s="285" t="n"/>
      <c r="P452" s="285" t="n"/>
      <c r="Q452" s="285" t="n"/>
      <c r="R452" s="285" t="n"/>
      <c r="S452" s="284" t="n"/>
      <c r="T452" s="284" t="n"/>
      <c r="U452" s="285" t="n"/>
      <c r="V452" s="285" t="n"/>
      <c r="W452" s="285" t="n"/>
      <c r="X452" s="285" t="n"/>
      <c r="Y452" s="285" t="n"/>
      <c r="Z452" s="285" t="n"/>
      <c r="AA452" s="285" t="n"/>
    </row>
    <row r="453" ht="15.75" customHeight="1" s="398">
      <c r="A453" s="284" t="n"/>
      <c r="B453" s="285" t="n"/>
      <c r="C453" s="284" t="n"/>
      <c r="D453" s="284" t="n"/>
      <c r="E453" s="285" t="n"/>
      <c r="F453" s="285" t="n"/>
      <c r="G453" s="336" t="n"/>
      <c r="H453" s="336" t="n"/>
      <c r="I453" s="285" t="n"/>
      <c r="J453" s="285" t="n"/>
      <c r="K453" s="285" t="n"/>
      <c r="L453" s="285" t="n"/>
      <c r="M453" s="285" t="n"/>
      <c r="N453" s="285" t="n"/>
      <c r="O453" s="285" t="n"/>
      <c r="P453" s="285" t="n"/>
      <c r="Q453" s="285" t="n"/>
      <c r="R453" s="285" t="n"/>
      <c r="S453" s="284" t="n"/>
      <c r="T453" s="284" t="n"/>
      <c r="U453" s="285" t="n"/>
      <c r="V453" s="285" t="n"/>
      <c r="W453" s="285" t="n"/>
      <c r="X453" s="285" t="n"/>
      <c r="Y453" s="285" t="n"/>
      <c r="Z453" s="285" t="n"/>
      <c r="AA453" s="285" t="n"/>
    </row>
    <row r="454" ht="15.75" customHeight="1" s="398">
      <c r="A454" s="284" t="n"/>
      <c r="B454" s="285" t="n"/>
      <c r="C454" s="284" t="n"/>
      <c r="D454" s="284" t="n"/>
      <c r="E454" s="285" t="n"/>
      <c r="F454" s="285" t="n"/>
      <c r="G454" s="336" t="n"/>
      <c r="H454" s="336" t="n"/>
      <c r="I454" s="285" t="n"/>
      <c r="J454" s="285" t="n"/>
      <c r="K454" s="285" t="n"/>
      <c r="L454" s="285" t="n"/>
      <c r="M454" s="285" t="n"/>
      <c r="N454" s="285" t="n"/>
      <c r="O454" s="285" t="n"/>
      <c r="P454" s="285" t="n"/>
      <c r="Q454" s="285" t="n"/>
      <c r="R454" s="285" t="n"/>
      <c r="S454" s="284" t="n"/>
      <c r="T454" s="284" t="n"/>
      <c r="U454" s="285" t="n"/>
      <c r="V454" s="285" t="n"/>
      <c r="W454" s="285" t="n"/>
      <c r="X454" s="285" t="n"/>
      <c r="Y454" s="285" t="n"/>
      <c r="Z454" s="285" t="n"/>
      <c r="AA454" s="285" t="n"/>
    </row>
    <row r="455" ht="15.75" customHeight="1" s="398">
      <c r="A455" s="284" t="n"/>
      <c r="B455" s="285" t="n"/>
      <c r="C455" s="284" t="n"/>
      <c r="D455" s="284" t="n"/>
      <c r="E455" s="285" t="n"/>
      <c r="F455" s="285" t="n"/>
      <c r="G455" s="336" t="n"/>
      <c r="H455" s="336" t="n"/>
      <c r="I455" s="285" t="n"/>
      <c r="J455" s="285" t="n"/>
      <c r="K455" s="285" t="n"/>
      <c r="L455" s="285" t="n"/>
      <c r="M455" s="285" t="n"/>
      <c r="N455" s="285" t="n"/>
      <c r="O455" s="285" t="n"/>
      <c r="P455" s="285" t="n"/>
      <c r="Q455" s="285" t="n"/>
      <c r="R455" s="285" t="n"/>
      <c r="S455" s="284" t="n"/>
      <c r="T455" s="284" t="n"/>
      <c r="U455" s="285" t="n"/>
      <c r="V455" s="285" t="n"/>
      <c r="W455" s="285" t="n"/>
      <c r="X455" s="285" t="n"/>
      <c r="Y455" s="285" t="n"/>
      <c r="Z455" s="285" t="n"/>
      <c r="AA455" s="285" t="n"/>
    </row>
    <row r="456" ht="15.75" customHeight="1" s="398">
      <c r="A456" s="284" t="n"/>
      <c r="B456" s="285" t="n"/>
      <c r="C456" s="284" t="n"/>
      <c r="D456" s="284" t="n"/>
      <c r="E456" s="285" t="n"/>
      <c r="F456" s="285" t="n"/>
      <c r="G456" s="336" t="n"/>
      <c r="H456" s="336" t="n"/>
      <c r="I456" s="285" t="n"/>
      <c r="J456" s="285" t="n"/>
      <c r="K456" s="285" t="n"/>
      <c r="L456" s="285" t="n"/>
      <c r="M456" s="285" t="n"/>
      <c r="N456" s="285" t="n"/>
      <c r="O456" s="285" t="n"/>
      <c r="P456" s="285" t="n"/>
      <c r="Q456" s="285" t="n"/>
      <c r="R456" s="285" t="n"/>
      <c r="S456" s="284" t="n"/>
      <c r="T456" s="284" t="n"/>
      <c r="U456" s="285" t="n"/>
      <c r="V456" s="285" t="n"/>
      <c r="W456" s="285" t="n"/>
      <c r="X456" s="285" t="n"/>
      <c r="Y456" s="285" t="n"/>
      <c r="Z456" s="285" t="n"/>
      <c r="AA456" s="285" t="n"/>
    </row>
    <row r="457" ht="15.75" customHeight="1" s="398">
      <c r="A457" s="284" t="n"/>
      <c r="B457" s="285" t="n"/>
      <c r="C457" s="284" t="n"/>
      <c r="D457" s="284" t="n"/>
      <c r="E457" s="285" t="n"/>
      <c r="F457" s="285" t="n"/>
      <c r="G457" s="336" t="n"/>
      <c r="H457" s="336" t="n"/>
      <c r="I457" s="285" t="n"/>
      <c r="J457" s="285" t="n"/>
      <c r="K457" s="285" t="n"/>
      <c r="L457" s="285" t="n"/>
      <c r="M457" s="285" t="n"/>
      <c r="N457" s="285" t="n"/>
      <c r="O457" s="285" t="n"/>
      <c r="P457" s="285" t="n"/>
      <c r="Q457" s="285" t="n"/>
      <c r="R457" s="285" t="n"/>
      <c r="S457" s="284" t="n"/>
      <c r="T457" s="284" t="n"/>
      <c r="U457" s="285" t="n"/>
      <c r="V457" s="285" t="n"/>
      <c r="W457" s="285" t="n"/>
      <c r="X457" s="285" t="n"/>
      <c r="Y457" s="285" t="n"/>
      <c r="Z457" s="285" t="n"/>
      <c r="AA457" s="285" t="n"/>
    </row>
    <row r="458" ht="15.75" customHeight="1" s="398">
      <c r="A458" s="284" t="n"/>
      <c r="B458" s="285" t="n"/>
      <c r="C458" s="284" t="n"/>
      <c r="D458" s="284" t="n"/>
      <c r="E458" s="285" t="n"/>
      <c r="F458" s="285" t="n"/>
      <c r="G458" s="336" t="n"/>
      <c r="H458" s="336" t="n"/>
      <c r="I458" s="285" t="n"/>
      <c r="J458" s="285" t="n"/>
      <c r="K458" s="285" t="n"/>
      <c r="L458" s="285" t="n"/>
      <c r="M458" s="285" t="n"/>
      <c r="N458" s="285" t="n"/>
      <c r="O458" s="285" t="n"/>
      <c r="P458" s="285" t="n"/>
      <c r="Q458" s="285" t="n"/>
      <c r="R458" s="285" t="n"/>
      <c r="S458" s="284" t="n"/>
      <c r="T458" s="284" t="n"/>
      <c r="U458" s="285" t="n"/>
      <c r="V458" s="285" t="n"/>
      <c r="W458" s="285" t="n"/>
      <c r="X458" s="285" t="n"/>
      <c r="Y458" s="285" t="n"/>
      <c r="Z458" s="285" t="n"/>
      <c r="AA458" s="285" t="n"/>
    </row>
    <row r="459" ht="15.75" customHeight="1" s="398">
      <c r="A459" s="284" t="n"/>
      <c r="B459" s="285" t="n"/>
      <c r="C459" s="284" t="n"/>
      <c r="D459" s="284" t="n"/>
      <c r="E459" s="285" t="n"/>
      <c r="F459" s="285" t="n"/>
      <c r="G459" s="336" t="n"/>
      <c r="H459" s="336" t="n"/>
      <c r="I459" s="285" t="n"/>
      <c r="J459" s="285" t="n"/>
      <c r="K459" s="285" t="n"/>
      <c r="L459" s="285" t="n"/>
      <c r="M459" s="285" t="n"/>
      <c r="N459" s="285" t="n"/>
      <c r="O459" s="285" t="n"/>
      <c r="P459" s="285" t="n"/>
      <c r="Q459" s="285" t="n"/>
      <c r="R459" s="285" t="n"/>
      <c r="S459" s="284" t="n"/>
      <c r="T459" s="284" t="n"/>
      <c r="U459" s="285" t="n"/>
      <c r="V459" s="285" t="n"/>
      <c r="W459" s="285" t="n"/>
      <c r="X459" s="285" t="n"/>
      <c r="Y459" s="285" t="n"/>
      <c r="Z459" s="285" t="n"/>
      <c r="AA459" s="285" t="n"/>
    </row>
    <row r="460" ht="15.75" customHeight="1" s="398">
      <c r="A460" s="284" t="n"/>
      <c r="B460" s="285" t="n"/>
      <c r="C460" s="284" t="n"/>
      <c r="D460" s="284" t="n"/>
      <c r="E460" s="285" t="n"/>
      <c r="F460" s="285" t="n"/>
      <c r="G460" s="336" t="n"/>
      <c r="H460" s="336" t="n"/>
      <c r="I460" s="285" t="n"/>
      <c r="J460" s="285" t="n"/>
      <c r="K460" s="285" t="n"/>
      <c r="L460" s="285" t="n"/>
      <c r="M460" s="285" t="n"/>
      <c r="N460" s="285" t="n"/>
      <c r="O460" s="285" t="n"/>
      <c r="P460" s="285" t="n"/>
      <c r="Q460" s="285" t="n"/>
      <c r="R460" s="285" t="n"/>
      <c r="S460" s="284" t="n"/>
      <c r="T460" s="284" t="n"/>
      <c r="U460" s="285" t="n"/>
      <c r="V460" s="285" t="n"/>
      <c r="W460" s="285" t="n"/>
      <c r="X460" s="285" t="n"/>
      <c r="Y460" s="285" t="n"/>
      <c r="Z460" s="285" t="n"/>
      <c r="AA460" s="285" t="n"/>
    </row>
    <row r="461" ht="15.75" customHeight="1" s="398">
      <c r="A461" s="284" t="n"/>
      <c r="B461" s="285" t="n"/>
      <c r="C461" s="284" t="n"/>
      <c r="D461" s="284" t="n"/>
      <c r="E461" s="285" t="n"/>
      <c r="F461" s="285" t="n"/>
      <c r="G461" s="336" t="n"/>
      <c r="H461" s="336" t="n"/>
      <c r="I461" s="285" t="n"/>
      <c r="J461" s="285" t="n"/>
      <c r="K461" s="285" t="n"/>
      <c r="L461" s="285" t="n"/>
      <c r="M461" s="285" t="n"/>
      <c r="N461" s="285" t="n"/>
      <c r="O461" s="285" t="n"/>
      <c r="P461" s="285" t="n"/>
      <c r="Q461" s="285" t="n"/>
      <c r="R461" s="285" t="n"/>
      <c r="S461" s="284" t="n"/>
      <c r="T461" s="284" t="n"/>
      <c r="U461" s="285" t="n"/>
      <c r="V461" s="285" t="n"/>
      <c r="W461" s="285" t="n"/>
      <c r="X461" s="285" t="n"/>
      <c r="Y461" s="285" t="n"/>
      <c r="Z461" s="285" t="n"/>
      <c r="AA461" s="285" t="n"/>
    </row>
    <row r="462" ht="15.75" customHeight="1" s="398">
      <c r="A462" s="284" t="n"/>
      <c r="B462" s="285" t="n"/>
      <c r="C462" s="284" t="n"/>
      <c r="D462" s="284" t="n"/>
      <c r="E462" s="285" t="n"/>
      <c r="F462" s="285" t="n"/>
      <c r="G462" s="336" t="n"/>
      <c r="H462" s="336" t="n"/>
      <c r="I462" s="285" t="n"/>
      <c r="J462" s="285" t="n"/>
      <c r="K462" s="285" t="n"/>
      <c r="L462" s="285" t="n"/>
      <c r="M462" s="285" t="n"/>
      <c r="N462" s="285" t="n"/>
      <c r="O462" s="285" t="n"/>
      <c r="P462" s="285" t="n"/>
      <c r="Q462" s="285" t="n"/>
      <c r="R462" s="285" t="n"/>
      <c r="S462" s="284" t="n"/>
      <c r="T462" s="284" t="n"/>
      <c r="U462" s="285" t="n"/>
      <c r="V462" s="285" t="n"/>
      <c r="W462" s="285" t="n"/>
      <c r="X462" s="285" t="n"/>
      <c r="Y462" s="285" t="n"/>
      <c r="Z462" s="285" t="n"/>
      <c r="AA462" s="285" t="n"/>
    </row>
    <row r="463" ht="15.75" customHeight="1" s="398">
      <c r="A463" s="284" t="n"/>
      <c r="B463" s="285" t="n"/>
      <c r="C463" s="284" t="n"/>
      <c r="D463" s="284" t="n"/>
      <c r="E463" s="285" t="n"/>
      <c r="F463" s="285" t="n"/>
      <c r="G463" s="336" t="n"/>
      <c r="H463" s="336" t="n"/>
      <c r="I463" s="285" t="n"/>
      <c r="J463" s="285" t="n"/>
      <c r="K463" s="285" t="n"/>
      <c r="L463" s="285" t="n"/>
      <c r="M463" s="285" t="n"/>
      <c r="N463" s="285" t="n"/>
      <c r="O463" s="285" t="n"/>
      <c r="P463" s="285" t="n"/>
      <c r="Q463" s="285" t="n"/>
      <c r="R463" s="285" t="n"/>
      <c r="S463" s="284" t="n"/>
      <c r="T463" s="284" t="n"/>
      <c r="U463" s="285" t="n"/>
      <c r="V463" s="285" t="n"/>
      <c r="W463" s="285" t="n"/>
      <c r="X463" s="285" t="n"/>
      <c r="Y463" s="285" t="n"/>
      <c r="Z463" s="285" t="n"/>
      <c r="AA463" s="285" t="n"/>
    </row>
    <row r="464" ht="15.75" customHeight="1" s="398">
      <c r="A464" s="284" t="n"/>
      <c r="B464" s="285" t="n"/>
      <c r="C464" s="284" t="n"/>
      <c r="D464" s="284" t="n"/>
      <c r="E464" s="285" t="n"/>
      <c r="F464" s="285" t="n"/>
      <c r="G464" s="336" t="n"/>
      <c r="H464" s="336" t="n"/>
      <c r="I464" s="285" t="n"/>
      <c r="J464" s="285" t="n"/>
      <c r="K464" s="285" t="n"/>
      <c r="L464" s="285" t="n"/>
      <c r="M464" s="285" t="n"/>
      <c r="N464" s="285" t="n"/>
      <c r="O464" s="285" t="n"/>
      <c r="P464" s="285" t="n"/>
      <c r="Q464" s="285" t="n"/>
      <c r="R464" s="285" t="n"/>
      <c r="S464" s="284" t="n"/>
      <c r="T464" s="284" t="n"/>
      <c r="U464" s="285" t="n"/>
      <c r="V464" s="285" t="n"/>
      <c r="W464" s="285" t="n"/>
      <c r="X464" s="285" t="n"/>
      <c r="Y464" s="285" t="n"/>
      <c r="Z464" s="285" t="n"/>
      <c r="AA464" s="285" t="n"/>
    </row>
    <row r="465" ht="15.75" customHeight="1" s="398">
      <c r="A465" s="284" t="n"/>
      <c r="B465" s="285" t="n"/>
      <c r="C465" s="284" t="n"/>
      <c r="D465" s="284" t="n"/>
      <c r="E465" s="285" t="n"/>
      <c r="F465" s="285" t="n"/>
      <c r="G465" s="336" t="n"/>
      <c r="H465" s="336" t="n"/>
      <c r="I465" s="285" t="n"/>
      <c r="J465" s="285" t="n"/>
      <c r="K465" s="285" t="n"/>
      <c r="L465" s="285" t="n"/>
      <c r="M465" s="285" t="n"/>
      <c r="N465" s="285" t="n"/>
      <c r="O465" s="285" t="n"/>
      <c r="P465" s="285" t="n"/>
      <c r="Q465" s="285" t="n"/>
      <c r="R465" s="285" t="n"/>
      <c r="S465" s="284" t="n"/>
      <c r="T465" s="284" t="n"/>
      <c r="U465" s="285" t="n"/>
      <c r="V465" s="285" t="n"/>
      <c r="W465" s="285" t="n"/>
      <c r="X465" s="285" t="n"/>
      <c r="Y465" s="285" t="n"/>
      <c r="Z465" s="285" t="n"/>
      <c r="AA465" s="285" t="n"/>
    </row>
    <row r="466" ht="15.75" customHeight="1" s="398">
      <c r="A466" s="284" t="n"/>
      <c r="B466" s="285" t="n"/>
      <c r="C466" s="284" t="n"/>
      <c r="D466" s="284" t="n"/>
      <c r="E466" s="285" t="n"/>
      <c r="F466" s="285" t="n"/>
      <c r="G466" s="336" t="n"/>
      <c r="H466" s="336" t="n"/>
      <c r="I466" s="285" t="n"/>
      <c r="J466" s="285" t="n"/>
      <c r="K466" s="285" t="n"/>
      <c r="L466" s="285" t="n"/>
      <c r="M466" s="285" t="n"/>
      <c r="N466" s="285" t="n"/>
      <c r="O466" s="285" t="n"/>
      <c r="P466" s="285" t="n"/>
      <c r="Q466" s="285" t="n"/>
      <c r="R466" s="285" t="n"/>
      <c r="S466" s="284" t="n"/>
      <c r="T466" s="284" t="n"/>
      <c r="U466" s="285" t="n"/>
      <c r="V466" s="285" t="n"/>
      <c r="W466" s="285" t="n"/>
      <c r="X466" s="285" t="n"/>
      <c r="Y466" s="285" t="n"/>
      <c r="Z466" s="285" t="n"/>
      <c r="AA466" s="285" t="n"/>
    </row>
    <row r="467" ht="15.75" customHeight="1" s="398">
      <c r="A467" s="284" t="n"/>
      <c r="B467" s="285" t="n"/>
      <c r="C467" s="284" t="n"/>
      <c r="D467" s="284" t="n"/>
      <c r="E467" s="285" t="n"/>
      <c r="F467" s="285" t="n"/>
      <c r="G467" s="336" t="n"/>
      <c r="H467" s="336" t="n"/>
      <c r="I467" s="285" t="n"/>
      <c r="J467" s="285" t="n"/>
      <c r="K467" s="285" t="n"/>
      <c r="L467" s="285" t="n"/>
      <c r="M467" s="285" t="n"/>
      <c r="N467" s="285" t="n"/>
      <c r="O467" s="285" t="n"/>
      <c r="P467" s="285" t="n"/>
      <c r="Q467" s="285" t="n"/>
      <c r="R467" s="285" t="n"/>
      <c r="S467" s="284" t="n"/>
      <c r="T467" s="284" t="n"/>
      <c r="U467" s="285" t="n"/>
      <c r="V467" s="285" t="n"/>
      <c r="W467" s="285" t="n"/>
      <c r="X467" s="285" t="n"/>
      <c r="Y467" s="285" t="n"/>
      <c r="Z467" s="285" t="n"/>
      <c r="AA467" s="285" t="n"/>
    </row>
    <row r="468" ht="15.75" customHeight="1" s="398">
      <c r="A468" s="284" t="n"/>
      <c r="B468" s="285" t="n"/>
      <c r="C468" s="284" t="n"/>
      <c r="D468" s="284" t="n"/>
      <c r="E468" s="285" t="n"/>
      <c r="F468" s="285" t="n"/>
      <c r="G468" s="336" t="n"/>
      <c r="H468" s="336" t="n"/>
      <c r="I468" s="285" t="n"/>
      <c r="J468" s="285" t="n"/>
      <c r="K468" s="285" t="n"/>
      <c r="L468" s="285" t="n"/>
      <c r="M468" s="285" t="n"/>
      <c r="N468" s="285" t="n"/>
      <c r="O468" s="285" t="n"/>
      <c r="P468" s="285" t="n"/>
      <c r="Q468" s="285" t="n"/>
      <c r="R468" s="285" t="n"/>
      <c r="S468" s="284" t="n"/>
      <c r="T468" s="284" t="n"/>
      <c r="U468" s="285" t="n"/>
      <c r="V468" s="285" t="n"/>
      <c r="W468" s="285" t="n"/>
      <c r="X468" s="285" t="n"/>
      <c r="Y468" s="285" t="n"/>
      <c r="Z468" s="285" t="n"/>
      <c r="AA468" s="285" t="n"/>
    </row>
    <row r="469" ht="15.75" customHeight="1" s="398">
      <c r="A469" s="284" t="n"/>
      <c r="B469" s="285" t="n"/>
      <c r="C469" s="284" t="n"/>
      <c r="D469" s="284" t="n"/>
      <c r="E469" s="285" t="n"/>
      <c r="F469" s="285" t="n"/>
      <c r="G469" s="336" t="n"/>
      <c r="H469" s="336" t="n"/>
      <c r="I469" s="285" t="n"/>
      <c r="J469" s="285" t="n"/>
      <c r="K469" s="285" t="n"/>
      <c r="L469" s="285" t="n"/>
      <c r="M469" s="285" t="n"/>
      <c r="N469" s="285" t="n"/>
      <c r="O469" s="285" t="n"/>
      <c r="P469" s="285" t="n"/>
      <c r="Q469" s="285" t="n"/>
      <c r="R469" s="285" t="n"/>
      <c r="S469" s="284" t="n"/>
      <c r="T469" s="284" t="n"/>
      <c r="U469" s="285" t="n"/>
      <c r="V469" s="285" t="n"/>
      <c r="W469" s="285" t="n"/>
      <c r="X469" s="285" t="n"/>
      <c r="Y469" s="285" t="n"/>
      <c r="Z469" s="285" t="n"/>
      <c r="AA469" s="285" t="n"/>
    </row>
    <row r="470" ht="15.75" customHeight="1" s="398">
      <c r="A470" s="284" t="n"/>
      <c r="B470" s="285" t="n"/>
      <c r="C470" s="284" t="n"/>
      <c r="D470" s="284" t="n"/>
      <c r="E470" s="285" t="n"/>
      <c r="F470" s="285" t="n"/>
      <c r="G470" s="336" t="n"/>
      <c r="H470" s="336" t="n"/>
      <c r="I470" s="285" t="n"/>
      <c r="J470" s="285" t="n"/>
      <c r="K470" s="285" t="n"/>
      <c r="L470" s="285" t="n"/>
      <c r="M470" s="285" t="n"/>
      <c r="N470" s="285" t="n"/>
      <c r="O470" s="285" t="n"/>
      <c r="P470" s="285" t="n"/>
      <c r="Q470" s="285" t="n"/>
      <c r="R470" s="285" t="n"/>
      <c r="S470" s="284" t="n"/>
      <c r="T470" s="284" t="n"/>
      <c r="U470" s="285" t="n"/>
      <c r="V470" s="285" t="n"/>
      <c r="W470" s="285" t="n"/>
      <c r="X470" s="285" t="n"/>
      <c r="Y470" s="285" t="n"/>
      <c r="Z470" s="285" t="n"/>
      <c r="AA470" s="285" t="n"/>
    </row>
    <row r="471" ht="15.75" customHeight="1" s="398">
      <c r="A471" s="284" t="n"/>
      <c r="B471" s="285" t="n"/>
      <c r="C471" s="284" t="n"/>
      <c r="D471" s="284" t="n"/>
      <c r="E471" s="285" t="n"/>
      <c r="F471" s="285" t="n"/>
      <c r="G471" s="336" t="n"/>
      <c r="H471" s="336" t="n"/>
      <c r="I471" s="285" t="n"/>
      <c r="J471" s="285" t="n"/>
      <c r="K471" s="285" t="n"/>
      <c r="L471" s="285" t="n"/>
      <c r="M471" s="285" t="n"/>
      <c r="N471" s="285" t="n"/>
      <c r="O471" s="285" t="n"/>
      <c r="P471" s="285" t="n"/>
      <c r="Q471" s="285" t="n"/>
      <c r="R471" s="285" t="n"/>
      <c r="S471" s="284" t="n"/>
      <c r="T471" s="284" t="n"/>
      <c r="U471" s="285" t="n"/>
      <c r="V471" s="285" t="n"/>
      <c r="W471" s="285" t="n"/>
      <c r="X471" s="285" t="n"/>
      <c r="Y471" s="285" t="n"/>
      <c r="Z471" s="285" t="n"/>
      <c r="AA471" s="285" t="n"/>
    </row>
    <row r="472" ht="15.75" customHeight="1" s="398">
      <c r="A472" s="284" t="n"/>
      <c r="B472" s="285" t="n"/>
      <c r="C472" s="284" t="n"/>
      <c r="D472" s="284" t="n"/>
      <c r="E472" s="285" t="n"/>
      <c r="F472" s="285" t="n"/>
      <c r="G472" s="336" t="n"/>
      <c r="H472" s="336" t="n"/>
      <c r="I472" s="285" t="n"/>
      <c r="J472" s="285" t="n"/>
      <c r="K472" s="285" t="n"/>
      <c r="L472" s="285" t="n"/>
      <c r="M472" s="285" t="n"/>
      <c r="N472" s="285" t="n"/>
      <c r="O472" s="285" t="n"/>
      <c r="P472" s="285" t="n"/>
      <c r="Q472" s="285" t="n"/>
      <c r="R472" s="285" t="n"/>
      <c r="S472" s="284" t="n"/>
      <c r="T472" s="284" t="n"/>
      <c r="U472" s="285" t="n"/>
      <c r="V472" s="285" t="n"/>
      <c r="W472" s="285" t="n"/>
      <c r="X472" s="285" t="n"/>
      <c r="Y472" s="285" t="n"/>
      <c r="Z472" s="285" t="n"/>
      <c r="AA472" s="285" t="n"/>
    </row>
    <row r="473" ht="15.75" customHeight="1" s="398">
      <c r="A473" s="284" t="n"/>
      <c r="B473" s="285" t="n"/>
      <c r="C473" s="284" t="n"/>
      <c r="D473" s="284" t="n"/>
      <c r="E473" s="285" t="n"/>
      <c r="F473" s="285" t="n"/>
      <c r="G473" s="336" t="n"/>
      <c r="H473" s="336" t="n"/>
      <c r="I473" s="285" t="n"/>
      <c r="J473" s="285" t="n"/>
      <c r="K473" s="285" t="n"/>
      <c r="L473" s="285" t="n"/>
      <c r="M473" s="285" t="n"/>
      <c r="N473" s="285" t="n"/>
      <c r="O473" s="285" t="n"/>
      <c r="P473" s="285" t="n"/>
      <c r="Q473" s="285" t="n"/>
      <c r="R473" s="285" t="n"/>
      <c r="S473" s="284" t="n"/>
      <c r="T473" s="284" t="n"/>
      <c r="U473" s="285" t="n"/>
      <c r="V473" s="285" t="n"/>
      <c r="W473" s="285" t="n"/>
      <c r="X473" s="285" t="n"/>
      <c r="Y473" s="285" t="n"/>
      <c r="Z473" s="285" t="n"/>
      <c r="AA473" s="285" t="n"/>
    </row>
    <row r="474" ht="15.75" customHeight="1" s="398">
      <c r="A474" s="284" t="n"/>
      <c r="B474" s="285" t="n"/>
      <c r="C474" s="284" t="n"/>
      <c r="D474" s="284" t="n"/>
      <c r="E474" s="285" t="n"/>
      <c r="F474" s="285" t="n"/>
      <c r="G474" s="336" t="n"/>
      <c r="H474" s="336" t="n"/>
      <c r="I474" s="285" t="n"/>
      <c r="J474" s="285" t="n"/>
      <c r="K474" s="285" t="n"/>
      <c r="L474" s="285" t="n"/>
      <c r="M474" s="285" t="n"/>
      <c r="N474" s="285" t="n"/>
      <c r="O474" s="285" t="n"/>
      <c r="P474" s="285" t="n"/>
      <c r="Q474" s="285" t="n"/>
      <c r="R474" s="285" t="n"/>
      <c r="S474" s="284" t="n"/>
      <c r="T474" s="284" t="n"/>
      <c r="U474" s="285" t="n"/>
      <c r="V474" s="285" t="n"/>
      <c r="W474" s="285" t="n"/>
      <c r="X474" s="285" t="n"/>
      <c r="Y474" s="285" t="n"/>
      <c r="Z474" s="285" t="n"/>
      <c r="AA474" s="285" t="n"/>
    </row>
    <row r="475" ht="15.75" customHeight="1" s="398">
      <c r="A475" s="284" t="n"/>
      <c r="B475" s="285" t="n"/>
      <c r="C475" s="284" t="n"/>
      <c r="D475" s="284" t="n"/>
      <c r="E475" s="285" t="n"/>
      <c r="F475" s="285" t="n"/>
      <c r="G475" s="336" t="n"/>
      <c r="H475" s="336" t="n"/>
      <c r="I475" s="285" t="n"/>
      <c r="J475" s="285" t="n"/>
      <c r="K475" s="285" t="n"/>
      <c r="L475" s="285" t="n"/>
      <c r="M475" s="285" t="n"/>
      <c r="N475" s="285" t="n"/>
      <c r="O475" s="285" t="n"/>
      <c r="P475" s="285" t="n"/>
      <c r="Q475" s="285" t="n"/>
      <c r="R475" s="285" t="n"/>
      <c r="S475" s="284" t="n"/>
      <c r="T475" s="284" t="n"/>
      <c r="U475" s="285" t="n"/>
      <c r="V475" s="285" t="n"/>
      <c r="W475" s="285" t="n"/>
      <c r="X475" s="285" t="n"/>
      <c r="Y475" s="285" t="n"/>
      <c r="Z475" s="285" t="n"/>
      <c r="AA475" s="285" t="n"/>
    </row>
    <row r="476" ht="15.75" customHeight="1" s="398">
      <c r="A476" s="284" t="n"/>
      <c r="B476" s="285" t="n"/>
      <c r="C476" s="284" t="n"/>
      <c r="D476" s="284" t="n"/>
      <c r="E476" s="285" t="n"/>
      <c r="F476" s="285" t="n"/>
      <c r="G476" s="336" t="n"/>
      <c r="H476" s="336" t="n"/>
      <c r="I476" s="285" t="n"/>
      <c r="J476" s="285" t="n"/>
      <c r="K476" s="285" t="n"/>
      <c r="L476" s="285" t="n"/>
      <c r="M476" s="285" t="n"/>
      <c r="N476" s="285" t="n"/>
      <c r="O476" s="285" t="n"/>
      <c r="P476" s="285" t="n"/>
      <c r="Q476" s="285" t="n"/>
      <c r="R476" s="285" t="n"/>
      <c r="S476" s="284" t="n"/>
      <c r="T476" s="284" t="n"/>
      <c r="U476" s="285" t="n"/>
      <c r="V476" s="285" t="n"/>
      <c r="W476" s="285" t="n"/>
      <c r="X476" s="285" t="n"/>
      <c r="Y476" s="285" t="n"/>
      <c r="Z476" s="285" t="n"/>
      <c r="AA476" s="285" t="n"/>
    </row>
    <row r="477" ht="15.75" customHeight="1" s="398">
      <c r="A477" s="284" t="n"/>
      <c r="B477" s="285" t="n"/>
      <c r="C477" s="284" t="n"/>
      <c r="D477" s="284" t="n"/>
      <c r="E477" s="285" t="n"/>
      <c r="F477" s="285" t="n"/>
      <c r="G477" s="336" t="n"/>
      <c r="H477" s="336" t="n"/>
      <c r="I477" s="285" t="n"/>
      <c r="J477" s="285" t="n"/>
      <c r="K477" s="285" t="n"/>
      <c r="L477" s="285" t="n"/>
      <c r="M477" s="285" t="n"/>
      <c r="N477" s="285" t="n"/>
      <c r="O477" s="285" t="n"/>
      <c r="P477" s="285" t="n"/>
      <c r="Q477" s="285" t="n"/>
      <c r="R477" s="285" t="n"/>
      <c r="S477" s="284" t="n"/>
      <c r="T477" s="284" t="n"/>
      <c r="U477" s="285" t="n"/>
      <c r="V477" s="285" t="n"/>
      <c r="W477" s="285" t="n"/>
      <c r="X477" s="285" t="n"/>
      <c r="Y477" s="285" t="n"/>
      <c r="Z477" s="285" t="n"/>
      <c r="AA477" s="285" t="n"/>
    </row>
    <row r="478" ht="15.75" customHeight="1" s="398">
      <c r="A478" s="284" t="n"/>
      <c r="B478" s="285" t="n"/>
      <c r="C478" s="284" t="n"/>
      <c r="D478" s="284" t="n"/>
      <c r="E478" s="285" t="n"/>
      <c r="F478" s="285" t="n"/>
      <c r="G478" s="336" t="n"/>
      <c r="H478" s="336" t="n"/>
      <c r="I478" s="285" t="n"/>
      <c r="J478" s="285" t="n"/>
      <c r="K478" s="285" t="n"/>
      <c r="L478" s="285" t="n"/>
      <c r="M478" s="285" t="n"/>
      <c r="N478" s="285" t="n"/>
      <c r="O478" s="285" t="n"/>
      <c r="P478" s="285" t="n"/>
      <c r="Q478" s="285" t="n"/>
      <c r="R478" s="285" t="n"/>
      <c r="S478" s="284" t="n"/>
      <c r="T478" s="284" t="n"/>
      <c r="U478" s="285" t="n"/>
      <c r="V478" s="285" t="n"/>
      <c r="W478" s="285" t="n"/>
      <c r="X478" s="285" t="n"/>
      <c r="Y478" s="285" t="n"/>
      <c r="Z478" s="285" t="n"/>
      <c r="AA478" s="285" t="n"/>
    </row>
    <row r="479" ht="15.75" customHeight="1" s="398">
      <c r="A479" s="284" t="n"/>
      <c r="B479" s="285" t="n"/>
      <c r="C479" s="284" t="n"/>
      <c r="D479" s="284" t="n"/>
      <c r="E479" s="285" t="n"/>
      <c r="F479" s="285" t="n"/>
      <c r="G479" s="336" t="n"/>
      <c r="H479" s="336" t="n"/>
      <c r="I479" s="285" t="n"/>
      <c r="J479" s="285" t="n"/>
      <c r="K479" s="285" t="n"/>
      <c r="L479" s="285" t="n"/>
      <c r="M479" s="285" t="n"/>
      <c r="N479" s="285" t="n"/>
      <c r="O479" s="285" t="n"/>
      <c r="P479" s="285" t="n"/>
      <c r="Q479" s="285" t="n"/>
      <c r="R479" s="285" t="n"/>
      <c r="S479" s="284" t="n"/>
      <c r="T479" s="284" t="n"/>
      <c r="U479" s="285" t="n"/>
      <c r="V479" s="285" t="n"/>
      <c r="W479" s="285" t="n"/>
      <c r="X479" s="285" t="n"/>
      <c r="Y479" s="285" t="n"/>
      <c r="Z479" s="285" t="n"/>
      <c r="AA479" s="285" t="n"/>
    </row>
    <row r="480" ht="15.75" customHeight="1" s="398">
      <c r="A480" s="284" t="n"/>
      <c r="B480" s="285" t="n"/>
      <c r="C480" s="284" t="n"/>
      <c r="D480" s="284" t="n"/>
      <c r="E480" s="285" t="n"/>
      <c r="F480" s="285" t="n"/>
      <c r="G480" s="336" t="n"/>
      <c r="H480" s="336" t="n"/>
      <c r="I480" s="285" t="n"/>
      <c r="J480" s="285" t="n"/>
      <c r="K480" s="285" t="n"/>
      <c r="L480" s="285" t="n"/>
      <c r="M480" s="285" t="n"/>
      <c r="N480" s="285" t="n"/>
      <c r="O480" s="285" t="n"/>
      <c r="P480" s="285" t="n"/>
      <c r="Q480" s="285" t="n"/>
      <c r="R480" s="285" t="n"/>
      <c r="S480" s="284" t="n"/>
      <c r="T480" s="284" t="n"/>
      <c r="U480" s="285" t="n"/>
      <c r="V480" s="285" t="n"/>
      <c r="W480" s="285" t="n"/>
      <c r="X480" s="285" t="n"/>
      <c r="Y480" s="285" t="n"/>
      <c r="Z480" s="285" t="n"/>
      <c r="AA480" s="285" t="n"/>
    </row>
    <row r="481" ht="15.75" customHeight="1" s="398">
      <c r="A481" s="284" t="n"/>
      <c r="B481" s="285" t="n"/>
      <c r="C481" s="284" t="n"/>
      <c r="D481" s="284" t="n"/>
      <c r="E481" s="285" t="n"/>
      <c r="F481" s="285" t="n"/>
      <c r="G481" s="336" t="n"/>
      <c r="H481" s="336" t="n"/>
      <c r="I481" s="285" t="n"/>
      <c r="J481" s="285" t="n"/>
      <c r="K481" s="285" t="n"/>
      <c r="L481" s="285" t="n"/>
      <c r="M481" s="285" t="n"/>
      <c r="N481" s="285" t="n"/>
      <c r="O481" s="285" t="n"/>
      <c r="P481" s="285" t="n"/>
      <c r="Q481" s="285" t="n"/>
      <c r="R481" s="285" t="n"/>
      <c r="S481" s="284" t="n"/>
      <c r="T481" s="284" t="n"/>
      <c r="U481" s="285" t="n"/>
      <c r="V481" s="285" t="n"/>
      <c r="W481" s="285" t="n"/>
      <c r="X481" s="285" t="n"/>
      <c r="Y481" s="285" t="n"/>
      <c r="Z481" s="285" t="n"/>
      <c r="AA481" s="285" t="n"/>
    </row>
    <row r="482" ht="15.75" customHeight="1" s="398">
      <c r="A482" s="284" t="n"/>
      <c r="B482" s="285" t="n"/>
      <c r="C482" s="284" t="n"/>
      <c r="D482" s="284" t="n"/>
      <c r="E482" s="285" t="n"/>
      <c r="F482" s="285" t="n"/>
      <c r="G482" s="336" t="n"/>
      <c r="H482" s="336" t="n"/>
      <c r="I482" s="285" t="n"/>
      <c r="J482" s="285" t="n"/>
      <c r="K482" s="285" t="n"/>
      <c r="L482" s="285" t="n"/>
      <c r="M482" s="285" t="n"/>
      <c r="N482" s="285" t="n"/>
      <c r="O482" s="285" t="n"/>
      <c r="P482" s="285" t="n"/>
      <c r="Q482" s="285" t="n"/>
      <c r="R482" s="285" t="n"/>
      <c r="S482" s="284" t="n"/>
      <c r="T482" s="284" t="n"/>
      <c r="U482" s="285" t="n"/>
      <c r="V482" s="285" t="n"/>
      <c r="W482" s="285" t="n"/>
      <c r="X482" s="285" t="n"/>
      <c r="Y482" s="285" t="n"/>
      <c r="Z482" s="285" t="n"/>
      <c r="AA482" s="285" t="n"/>
    </row>
    <row r="483" ht="15.75" customHeight="1" s="398">
      <c r="A483" s="284" t="n"/>
      <c r="B483" s="285" t="n"/>
      <c r="C483" s="284" t="n"/>
      <c r="D483" s="284" t="n"/>
      <c r="E483" s="285" t="n"/>
      <c r="F483" s="285" t="n"/>
      <c r="G483" s="336" t="n"/>
      <c r="H483" s="336" t="n"/>
      <c r="I483" s="285" t="n"/>
      <c r="J483" s="285" t="n"/>
      <c r="K483" s="285" t="n"/>
      <c r="L483" s="285" t="n"/>
      <c r="M483" s="285" t="n"/>
      <c r="N483" s="285" t="n"/>
      <c r="O483" s="285" t="n"/>
      <c r="P483" s="285" t="n"/>
      <c r="Q483" s="285" t="n"/>
      <c r="R483" s="285" t="n"/>
      <c r="S483" s="284" t="n"/>
      <c r="T483" s="284" t="n"/>
      <c r="U483" s="285" t="n"/>
      <c r="V483" s="285" t="n"/>
      <c r="W483" s="285" t="n"/>
      <c r="X483" s="285" t="n"/>
      <c r="Y483" s="285" t="n"/>
      <c r="Z483" s="285" t="n"/>
      <c r="AA483" s="285" t="n"/>
    </row>
    <row r="484" ht="15.75" customHeight="1" s="398">
      <c r="A484" s="284" t="n"/>
      <c r="B484" s="285" t="n"/>
      <c r="C484" s="284" t="n"/>
      <c r="D484" s="284" t="n"/>
      <c r="E484" s="285" t="n"/>
      <c r="F484" s="285" t="n"/>
      <c r="G484" s="336" t="n"/>
      <c r="H484" s="336" t="n"/>
      <c r="I484" s="285" t="n"/>
      <c r="J484" s="285" t="n"/>
      <c r="K484" s="285" t="n"/>
      <c r="L484" s="285" t="n"/>
      <c r="M484" s="285" t="n"/>
      <c r="N484" s="285" t="n"/>
      <c r="O484" s="285" t="n"/>
      <c r="P484" s="285" t="n"/>
      <c r="Q484" s="285" t="n"/>
      <c r="R484" s="285" t="n"/>
      <c r="S484" s="284" t="n"/>
      <c r="T484" s="284" t="n"/>
      <c r="U484" s="285" t="n"/>
      <c r="V484" s="285" t="n"/>
      <c r="W484" s="285" t="n"/>
      <c r="X484" s="285" t="n"/>
      <c r="Y484" s="285" t="n"/>
      <c r="Z484" s="285" t="n"/>
      <c r="AA484" s="285" t="n"/>
    </row>
    <row r="485" ht="15.75" customHeight="1" s="398">
      <c r="A485" s="284" t="n"/>
      <c r="B485" s="285" t="n"/>
      <c r="C485" s="284" t="n"/>
      <c r="D485" s="284" t="n"/>
      <c r="E485" s="285" t="n"/>
      <c r="F485" s="285" t="n"/>
      <c r="G485" s="336" t="n"/>
      <c r="H485" s="336" t="n"/>
      <c r="I485" s="285" t="n"/>
      <c r="J485" s="285" t="n"/>
      <c r="K485" s="285" t="n"/>
      <c r="L485" s="285" t="n"/>
      <c r="M485" s="285" t="n"/>
      <c r="N485" s="285" t="n"/>
      <c r="O485" s="285" t="n"/>
      <c r="P485" s="285" t="n"/>
      <c r="Q485" s="285" t="n"/>
      <c r="R485" s="285" t="n"/>
      <c r="S485" s="284" t="n"/>
      <c r="T485" s="284" t="n"/>
      <c r="U485" s="285" t="n"/>
      <c r="V485" s="285" t="n"/>
      <c r="W485" s="285" t="n"/>
      <c r="X485" s="285" t="n"/>
      <c r="Y485" s="285" t="n"/>
      <c r="Z485" s="285" t="n"/>
      <c r="AA485" s="285" t="n"/>
    </row>
    <row r="486" ht="15.75" customHeight="1" s="398">
      <c r="A486" s="284" t="n"/>
      <c r="B486" s="285" t="n"/>
      <c r="C486" s="284" t="n"/>
      <c r="D486" s="284" t="n"/>
      <c r="E486" s="285" t="n"/>
      <c r="F486" s="285" t="n"/>
      <c r="G486" s="336" t="n"/>
      <c r="H486" s="336" t="n"/>
      <c r="I486" s="285" t="n"/>
      <c r="J486" s="285" t="n"/>
      <c r="K486" s="285" t="n"/>
      <c r="L486" s="285" t="n"/>
      <c r="M486" s="285" t="n"/>
      <c r="N486" s="285" t="n"/>
      <c r="O486" s="285" t="n"/>
      <c r="P486" s="285" t="n"/>
      <c r="Q486" s="285" t="n"/>
      <c r="R486" s="285" t="n"/>
      <c r="S486" s="284" t="n"/>
      <c r="T486" s="284" t="n"/>
      <c r="U486" s="285" t="n"/>
      <c r="V486" s="285" t="n"/>
      <c r="W486" s="285" t="n"/>
      <c r="X486" s="285" t="n"/>
      <c r="Y486" s="285" t="n"/>
      <c r="Z486" s="285" t="n"/>
      <c r="AA486" s="285" t="n"/>
    </row>
    <row r="487" ht="15.75" customHeight="1" s="398">
      <c r="A487" s="284" t="n"/>
      <c r="B487" s="285" t="n"/>
      <c r="C487" s="284" t="n"/>
      <c r="D487" s="284" t="n"/>
      <c r="E487" s="285" t="n"/>
      <c r="F487" s="285" t="n"/>
      <c r="G487" s="336" t="n"/>
      <c r="H487" s="336" t="n"/>
      <c r="I487" s="285" t="n"/>
      <c r="J487" s="285" t="n"/>
      <c r="K487" s="285" t="n"/>
      <c r="L487" s="285" t="n"/>
      <c r="M487" s="285" t="n"/>
      <c r="N487" s="285" t="n"/>
      <c r="O487" s="285" t="n"/>
      <c r="P487" s="285" t="n"/>
      <c r="Q487" s="285" t="n"/>
      <c r="R487" s="285" t="n"/>
      <c r="S487" s="284" t="n"/>
      <c r="T487" s="284" t="n"/>
      <c r="U487" s="285" t="n"/>
      <c r="V487" s="285" t="n"/>
      <c r="W487" s="285" t="n"/>
      <c r="X487" s="285" t="n"/>
      <c r="Y487" s="285" t="n"/>
      <c r="Z487" s="285" t="n"/>
      <c r="AA487" s="285" t="n"/>
    </row>
    <row r="488" ht="15.75" customHeight="1" s="398">
      <c r="A488" s="284" t="n"/>
      <c r="B488" s="285" t="n"/>
      <c r="C488" s="284" t="n"/>
      <c r="D488" s="284" t="n"/>
      <c r="E488" s="285" t="n"/>
      <c r="F488" s="285" t="n"/>
      <c r="G488" s="336" t="n"/>
      <c r="H488" s="336" t="n"/>
      <c r="I488" s="285" t="n"/>
      <c r="J488" s="285" t="n"/>
      <c r="K488" s="285" t="n"/>
      <c r="L488" s="285" t="n"/>
      <c r="M488" s="285" t="n"/>
      <c r="N488" s="285" t="n"/>
      <c r="O488" s="285" t="n"/>
      <c r="P488" s="285" t="n"/>
      <c r="Q488" s="285" t="n"/>
      <c r="R488" s="285" t="n"/>
      <c r="S488" s="284" t="n"/>
      <c r="T488" s="284" t="n"/>
      <c r="U488" s="285" t="n"/>
      <c r="V488" s="285" t="n"/>
      <c r="W488" s="285" t="n"/>
      <c r="X488" s="285" t="n"/>
      <c r="Y488" s="285" t="n"/>
      <c r="Z488" s="285" t="n"/>
      <c r="AA488" s="285" t="n"/>
    </row>
    <row r="489" ht="15.75" customHeight="1" s="398">
      <c r="A489" s="284" t="n"/>
      <c r="B489" s="285" t="n"/>
      <c r="C489" s="284" t="n"/>
      <c r="D489" s="284" t="n"/>
      <c r="E489" s="285" t="n"/>
      <c r="F489" s="285" t="n"/>
      <c r="G489" s="336" t="n"/>
      <c r="H489" s="336" t="n"/>
      <c r="I489" s="285" t="n"/>
      <c r="J489" s="285" t="n"/>
      <c r="K489" s="285" t="n"/>
      <c r="L489" s="285" t="n"/>
      <c r="M489" s="285" t="n"/>
      <c r="N489" s="285" t="n"/>
      <c r="O489" s="285" t="n"/>
      <c r="P489" s="285" t="n"/>
      <c r="Q489" s="285" t="n"/>
      <c r="R489" s="285" t="n"/>
      <c r="S489" s="284" t="n"/>
      <c r="T489" s="284" t="n"/>
      <c r="U489" s="285" t="n"/>
      <c r="V489" s="285" t="n"/>
      <c r="W489" s="285" t="n"/>
      <c r="X489" s="285" t="n"/>
      <c r="Y489" s="285" t="n"/>
      <c r="Z489" s="285" t="n"/>
      <c r="AA489" s="285" t="n"/>
    </row>
    <row r="490" ht="15.75" customHeight="1" s="398">
      <c r="A490" s="284" t="n"/>
      <c r="B490" s="285" t="n"/>
      <c r="C490" s="284" t="n"/>
      <c r="D490" s="284" t="n"/>
      <c r="E490" s="285" t="n"/>
      <c r="F490" s="285" t="n"/>
      <c r="G490" s="336" t="n"/>
      <c r="H490" s="336" t="n"/>
      <c r="I490" s="285" t="n"/>
      <c r="J490" s="285" t="n"/>
      <c r="K490" s="285" t="n"/>
      <c r="L490" s="285" t="n"/>
      <c r="M490" s="285" t="n"/>
      <c r="N490" s="285" t="n"/>
      <c r="O490" s="285" t="n"/>
      <c r="P490" s="285" t="n"/>
      <c r="Q490" s="285" t="n"/>
      <c r="R490" s="285" t="n"/>
      <c r="S490" s="284" t="n"/>
      <c r="T490" s="284" t="n"/>
      <c r="U490" s="285" t="n"/>
      <c r="V490" s="285" t="n"/>
      <c r="W490" s="285" t="n"/>
      <c r="X490" s="285" t="n"/>
      <c r="Y490" s="285" t="n"/>
      <c r="Z490" s="285" t="n"/>
      <c r="AA490" s="285" t="n"/>
    </row>
    <row r="491" ht="15.75" customHeight="1" s="398">
      <c r="A491" s="284" t="n"/>
      <c r="B491" s="285" t="n"/>
      <c r="C491" s="284" t="n"/>
      <c r="D491" s="284" t="n"/>
      <c r="E491" s="285" t="n"/>
      <c r="F491" s="285" t="n"/>
      <c r="G491" s="336" t="n"/>
      <c r="H491" s="336" t="n"/>
      <c r="I491" s="285" t="n"/>
      <c r="J491" s="285" t="n"/>
      <c r="K491" s="285" t="n"/>
      <c r="L491" s="285" t="n"/>
      <c r="M491" s="285" t="n"/>
      <c r="N491" s="285" t="n"/>
      <c r="O491" s="285" t="n"/>
      <c r="P491" s="285" t="n"/>
      <c r="Q491" s="285" t="n"/>
      <c r="R491" s="285" t="n"/>
      <c r="S491" s="284" t="n"/>
      <c r="T491" s="284" t="n"/>
      <c r="U491" s="285" t="n"/>
      <c r="V491" s="285" t="n"/>
      <c r="W491" s="285" t="n"/>
      <c r="X491" s="285" t="n"/>
      <c r="Y491" s="285" t="n"/>
      <c r="Z491" s="285" t="n"/>
      <c r="AA491" s="285" t="n"/>
    </row>
    <row r="492" ht="15.75" customHeight="1" s="398">
      <c r="A492" s="284" t="n"/>
      <c r="B492" s="285" t="n"/>
      <c r="C492" s="284" t="n"/>
      <c r="D492" s="284" t="n"/>
      <c r="E492" s="285" t="n"/>
      <c r="F492" s="285" t="n"/>
      <c r="G492" s="336" t="n"/>
      <c r="H492" s="336" t="n"/>
      <c r="I492" s="285" t="n"/>
      <c r="J492" s="285" t="n"/>
      <c r="K492" s="285" t="n"/>
      <c r="L492" s="285" t="n"/>
      <c r="M492" s="285" t="n"/>
      <c r="N492" s="285" t="n"/>
      <c r="O492" s="285" t="n"/>
      <c r="P492" s="285" t="n"/>
      <c r="Q492" s="285" t="n"/>
      <c r="R492" s="285" t="n"/>
      <c r="S492" s="284" t="n"/>
      <c r="T492" s="284" t="n"/>
      <c r="U492" s="285" t="n"/>
      <c r="V492" s="285" t="n"/>
      <c r="W492" s="285" t="n"/>
      <c r="X492" s="285" t="n"/>
      <c r="Y492" s="285" t="n"/>
      <c r="Z492" s="285" t="n"/>
      <c r="AA492" s="285" t="n"/>
    </row>
    <row r="493" ht="15.75" customHeight="1" s="398">
      <c r="A493" s="284" t="n"/>
      <c r="B493" s="285" t="n"/>
      <c r="C493" s="284" t="n"/>
      <c r="D493" s="284" t="n"/>
      <c r="E493" s="285" t="n"/>
      <c r="F493" s="285" t="n"/>
      <c r="G493" s="336" t="n"/>
      <c r="H493" s="336" t="n"/>
      <c r="I493" s="285" t="n"/>
      <c r="J493" s="285" t="n"/>
      <c r="K493" s="285" t="n"/>
      <c r="L493" s="285" t="n"/>
      <c r="M493" s="285" t="n"/>
      <c r="N493" s="285" t="n"/>
      <c r="O493" s="285" t="n"/>
      <c r="P493" s="285" t="n"/>
      <c r="Q493" s="285" t="n"/>
      <c r="R493" s="285" t="n"/>
      <c r="S493" s="284" t="n"/>
      <c r="T493" s="284" t="n"/>
      <c r="U493" s="285" t="n"/>
      <c r="V493" s="285" t="n"/>
      <c r="W493" s="285" t="n"/>
      <c r="X493" s="285" t="n"/>
      <c r="Y493" s="285" t="n"/>
      <c r="Z493" s="285" t="n"/>
      <c r="AA493" s="285" t="n"/>
    </row>
    <row r="494" ht="15.75" customHeight="1" s="398">
      <c r="A494" s="284" t="n"/>
      <c r="B494" s="285" t="n"/>
      <c r="C494" s="284" t="n"/>
      <c r="D494" s="284" t="n"/>
      <c r="E494" s="285" t="n"/>
      <c r="F494" s="285" t="n"/>
      <c r="G494" s="336" t="n"/>
      <c r="H494" s="336" t="n"/>
      <c r="I494" s="285" t="n"/>
      <c r="J494" s="285" t="n"/>
      <c r="K494" s="285" t="n"/>
      <c r="L494" s="285" t="n"/>
      <c r="M494" s="285" t="n"/>
      <c r="N494" s="285" t="n"/>
      <c r="O494" s="285" t="n"/>
      <c r="P494" s="285" t="n"/>
      <c r="Q494" s="285" t="n"/>
      <c r="R494" s="285" t="n"/>
      <c r="S494" s="284" t="n"/>
      <c r="T494" s="284" t="n"/>
      <c r="U494" s="285" t="n"/>
      <c r="V494" s="285" t="n"/>
      <c r="W494" s="285" t="n"/>
      <c r="X494" s="285" t="n"/>
      <c r="Y494" s="285" t="n"/>
      <c r="Z494" s="285" t="n"/>
      <c r="AA494" s="285" t="n"/>
    </row>
    <row r="495" ht="15.75" customHeight="1" s="398">
      <c r="A495" s="284" t="n"/>
      <c r="B495" s="285" t="n"/>
      <c r="C495" s="284" t="n"/>
      <c r="D495" s="284" t="n"/>
      <c r="E495" s="285" t="n"/>
      <c r="F495" s="285" t="n"/>
      <c r="G495" s="336" t="n"/>
      <c r="H495" s="336" t="n"/>
      <c r="I495" s="285" t="n"/>
      <c r="J495" s="285" t="n"/>
      <c r="K495" s="285" t="n"/>
      <c r="L495" s="285" t="n"/>
      <c r="M495" s="285" t="n"/>
      <c r="N495" s="285" t="n"/>
      <c r="O495" s="285" t="n"/>
      <c r="P495" s="285" t="n"/>
      <c r="Q495" s="285" t="n"/>
      <c r="R495" s="285" t="n"/>
      <c r="S495" s="284" t="n"/>
      <c r="T495" s="284" t="n"/>
      <c r="U495" s="285" t="n"/>
      <c r="V495" s="285" t="n"/>
      <c r="W495" s="285" t="n"/>
      <c r="X495" s="285" t="n"/>
      <c r="Y495" s="285" t="n"/>
      <c r="Z495" s="285" t="n"/>
      <c r="AA495" s="285" t="n"/>
    </row>
    <row r="496" ht="15.75" customHeight="1" s="398">
      <c r="A496" s="284" t="n"/>
      <c r="B496" s="285" t="n"/>
      <c r="C496" s="284" t="n"/>
      <c r="D496" s="284" t="n"/>
      <c r="E496" s="285" t="n"/>
      <c r="F496" s="285" t="n"/>
      <c r="G496" s="336" t="n"/>
      <c r="H496" s="336" t="n"/>
      <c r="I496" s="285" t="n"/>
      <c r="J496" s="285" t="n"/>
      <c r="K496" s="285" t="n"/>
      <c r="L496" s="285" t="n"/>
      <c r="M496" s="285" t="n"/>
      <c r="N496" s="285" t="n"/>
      <c r="O496" s="285" t="n"/>
      <c r="P496" s="285" t="n"/>
      <c r="Q496" s="285" t="n"/>
      <c r="R496" s="285" t="n"/>
      <c r="S496" s="284" t="n"/>
      <c r="T496" s="284" t="n"/>
      <c r="U496" s="285" t="n"/>
      <c r="V496" s="285" t="n"/>
      <c r="W496" s="285" t="n"/>
      <c r="X496" s="285" t="n"/>
      <c r="Y496" s="285" t="n"/>
      <c r="Z496" s="285" t="n"/>
      <c r="AA496" s="285" t="n"/>
    </row>
    <row r="497" ht="15.75" customHeight="1" s="398">
      <c r="A497" s="284" t="n"/>
      <c r="B497" s="285" t="n"/>
      <c r="C497" s="284" t="n"/>
      <c r="D497" s="284" t="n"/>
      <c r="E497" s="285" t="n"/>
      <c r="F497" s="285" t="n"/>
      <c r="G497" s="336" t="n"/>
      <c r="H497" s="336" t="n"/>
      <c r="I497" s="285" t="n"/>
      <c r="J497" s="285" t="n"/>
      <c r="K497" s="285" t="n"/>
      <c r="L497" s="285" t="n"/>
      <c r="M497" s="285" t="n"/>
      <c r="N497" s="285" t="n"/>
      <c r="O497" s="285" t="n"/>
      <c r="P497" s="285" t="n"/>
      <c r="Q497" s="285" t="n"/>
      <c r="R497" s="285" t="n"/>
      <c r="S497" s="284" t="n"/>
      <c r="T497" s="284" t="n"/>
      <c r="U497" s="285" t="n"/>
      <c r="V497" s="285" t="n"/>
      <c r="W497" s="285" t="n"/>
      <c r="X497" s="285" t="n"/>
      <c r="Y497" s="285" t="n"/>
      <c r="Z497" s="285" t="n"/>
      <c r="AA497" s="285" t="n"/>
    </row>
    <row r="498" ht="15.75" customHeight="1" s="398">
      <c r="A498" s="284" t="n"/>
      <c r="B498" s="285" t="n"/>
      <c r="C498" s="284" t="n"/>
      <c r="D498" s="284" t="n"/>
      <c r="E498" s="285" t="n"/>
      <c r="F498" s="285" t="n"/>
      <c r="G498" s="336" t="n"/>
      <c r="H498" s="336" t="n"/>
      <c r="I498" s="285" t="n"/>
      <c r="J498" s="285" t="n"/>
      <c r="K498" s="285" t="n"/>
      <c r="L498" s="285" t="n"/>
      <c r="M498" s="285" t="n"/>
      <c r="N498" s="285" t="n"/>
      <c r="O498" s="285" t="n"/>
      <c r="P498" s="285" t="n"/>
      <c r="Q498" s="285" t="n"/>
      <c r="R498" s="285" t="n"/>
      <c r="S498" s="284" t="n"/>
      <c r="T498" s="284" t="n"/>
      <c r="U498" s="285" t="n"/>
      <c r="V498" s="285" t="n"/>
      <c r="W498" s="285" t="n"/>
      <c r="X498" s="285" t="n"/>
      <c r="Y498" s="285" t="n"/>
      <c r="Z498" s="285" t="n"/>
      <c r="AA498" s="285" t="n"/>
    </row>
    <row r="499" ht="15.75" customHeight="1" s="398">
      <c r="A499" s="284" t="n"/>
      <c r="B499" s="285" t="n"/>
      <c r="C499" s="284" t="n"/>
      <c r="D499" s="284" t="n"/>
      <c r="E499" s="285" t="n"/>
      <c r="F499" s="285" t="n"/>
      <c r="G499" s="336" t="n"/>
      <c r="H499" s="336" t="n"/>
      <c r="I499" s="285" t="n"/>
      <c r="J499" s="285" t="n"/>
      <c r="K499" s="285" t="n"/>
      <c r="L499" s="285" t="n"/>
      <c r="M499" s="285" t="n"/>
      <c r="N499" s="285" t="n"/>
      <c r="O499" s="285" t="n"/>
      <c r="P499" s="285" t="n"/>
      <c r="Q499" s="285" t="n"/>
      <c r="R499" s="285" t="n"/>
      <c r="S499" s="284" t="n"/>
      <c r="T499" s="284" t="n"/>
      <c r="U499" s="285" t="n"/>
      <c r="V499" s="285" t="n"/>
      <c r="W499" s="285" t="n"/>
      <c r="X499" s="285" t="n"/>
      <c r="Y499" s="285" t="n"/>
      <c r="Z499" s="285" t="n"/>
      <c r="AA499" s="285" t="n"/>
    </row>
    <row r="500" ht="15.75" customHeight="1" s="398">
      <c r="A500" s="284" t="n"/>
      <c r="B500" s="285" t="n"/>
      <c r="C500" s="284" t="n"/>
      <c r="D500" s="284" t="n"/>
      <c r="E500" s="285" t="n"/>
      <c r="F500" s="285" t="n"/>
      <c r="G500" s="336" t="n"/>
      <c r="H500" s="336" t="n"/>
      <c r="I500" s="285" t="n"/>
      <c r="J500" s="285" t="n"/>
      <c r="K500" s="285" t="n"/>
      <c r="L500" s="285" t="n"/>
      <c r="M500" s="285" t="n"/>
      <c r="N500" s="285" t="n"/>
      <c r="O500" s="285" t="n"/>
      <c r="P500" s="285" t="n"/>
      <c r="Q500" s="285" t="n"/>
      <c r="R500" s="285" t="n"/>
      <c r="S500" s="284" t="n"/>
      <c r="T500" s="284" t="n"/>
      <c r="U500" s="285" t="n"/>
      <c r="V500" s="285" t="n"/>
      <c r="W500" s="285" t="n"/>
      <c r="X500" s="285" t="n"/>
      <c r="Y500" s="285" t="n"/>
      <c r="Z500" s="285" t="n"/>
      <c r="AA500" s="285" t="n"/>
    </row>
    <row r="501" ht="15.75" customHeight="1" s="398">
      <c r="A501" s="284" t="n"/>
      <c r="B501" s="285" t="n"/>
      <c r="C501" s="284" t="n"/>
      <c r="D501" s="284" t="n"/>
      <c r="E501" s="285" t="n"/>
      <c r="F501" s="285" t="n"/>
      <c r="G501" s="336" t="n"/>
      <c r="H501" s="336" t="n"/>
      <c r="I501" s="285" t="n"/>
      <c r="J501" s="285" t="n"/>
      <c r="K501" s="285" t="n"/>
      <c r="L501" s="285" t="n"/>
      <c r="M501" s="285" t="n"/>
      <c r="N501" s="285" t="n"/>
      <c r="O501" s="285" t="n"/>
      <c r="P501" s="285" t="n"/>
      <c r="Q501" s="285" t="n"/>
      <c r="R501" s="285" t="n"/>
      <c r="S501" s="284" t="n"/>
      <c r="T501" s="284" t="n"/>
      <c r="U501" s="285" t="n"/>
      <c r="V501" s="285" t="n"/>
      <c r="W501" s="285" t="n"/>
      <c r="X501" s="285" t="n"/>
      <c r="Y501" s="285" t="n"/>
      <c r="Z501" s="285" t="n"/>
      <c r="AA501" s="285" t="n"/>
    </row>
    <row r="502" ht="15.75" customHeight="1" s="398">
      <c r="A502" s="284" t="n"/>
      <c r="B502" s="285" t="n"/>
      <c r="C502" s="284" t="n"/>
      <c r="D502" s="284" t="n"/>
      <c r="E502" s="285" t="n"/>
      <c r="F502" s="285" t="n"/>
      <c r="G502" s="336" t="n"/>
      <c r="H502" s="336" t="n"/>
      <c r="I502" s="285" t="n"/>
      <c r="J502" s="285" t="n"/>
      <c r="K502" s="285" t="n"/>
      <c r="L502" s="285" t="n"/>
      <c r="M502" s="285" t="n"/>
      <c r="N502" s="285" t="n"/>
      <c r="O502" s="285" t="n"/>
      <c r="P502" s="285" t="n"/>
      <c r="Q502" s="285" t="n"/>
      <c r="R502" s="285" t="n"/>
      <c r="S502" s="284" t="n"/>
      <c r="T502" s="284" t="n"/>
      <c r="U502" s="285" t="n"/>
      <c r="V502" s="285" t="n"/>
      <c r="W502" s="285" t="n"/>
      <c r="X502" s="285" t="n"/>
      <c r="Y502" s="285" t="n"/>
      <c r="Z502" s="285" t="n"/>
      <c r="AA502" s="285" t="n"/>
    </row>
    <row r="503" ht="15.75" customHeight="1" s="398">
      <c r="A503" s="284" t="n"/>
      <c r="B503" s="285" t="n"/>
      <c r="C503" s="284" t="n"/>
      <c r="D503" s="284" t="n"/>
      <c r="E503" s="285" t="n"/>
      <c r="F503" s="285" t="n"/>
      <c r="G503" s="336" t="n"/>
      <c r="H503" s="336" t="n"/>
      <c r="I503" s="285" t="n"/>
      <c r="J503" s="285" t="n"/>
      <c r="K503" s="285" t="n"/>
      <c r="L503" s="285" t="n"/>
      <c r="M503" s="285" t="n"/>
      <c r="N503" s="285" t="n"/>
      <c r="O503" s="285" t="n"/>
      <c r="P503" s="285" t="n"/>
      <c r="Q503" s="285" t="n"/>
      <c r="R503" s="285" t="n"/>
      <c r="S503" s="284" t="n"/>
      <c r="T503" s="284" t="n"/>
      <c r="U503" s="285" t="n"/>
      <c r="V503" s="285" t="n"/>
      <c r="W503" s="285" t="n"/>
      <c r="X503" s="285" t="n"/>
      <c r="Y503" s="285" t="n"/>
      <c r="Z503" s="285" t="n"/>
      <c r="AA503" s="285" t="n"/>
    </row>
    <row r="504" ht="15.75" customHeight="1" s="398">
      <c r="A504" s="284" t="n"/>
      <c r="B504" s="285" t="n"/>
      <c r="C504" s="284" t="n"/>
      <c r="D504" s="284" t="n"/>
      <c r="E504" s="285" t="n"/>
      <c r="F504" s="285" t="n"/>
      <c r="G504" s="336" t="n"/>
      <c r="H504" s="336" t="n"/>
      <c r="I504" s="285" t="n"/>
      <c r="J504" s="285" t="n"/>
      <c r="K504" s="285" t="n"/>
      <c r="L504" s="285" t="n"/>
      <c r="M504" s="285" t="n"/>
      <c r="N504" s="285" t="n"/>
      <c r="O504" s="285" t="n"/>
      <c r="P504" s="285" t="n"/>
      <c r="Q504" s="285" t="n"/>
      <c r="R504" s="285" t="n"/>
      <c r="S504" s="284" t="n"/>
      <c r="T504" s="284" t="n"/>
      <c r="U504" s="285" t="n"/>
      <c r="V504" s="285" t="n"/>
      <c r="W504" s="285" t="n"/>
      <c r="X504" s="285" t="n"/>
      <c r="Y504" s="285" t="n"/>
      <c r="Z504" s="285" t="n"/>
      <c r="AA504" s="285" t="n"/>
    </row>
    <row r="505" ht="15.75" customHeight="1" s="398">
      <c r="A505" s="284" t="n"/>
      <c r="B505" s="285" t="n"/>
      <c r="C505" s="284" t="n"/>
      <c r="D505" s="284" t="n"/>
      <c r="E505" s="285" t="n"/>
      <c r="F505" s="285" t="n"/>
      <c r="G505" s="336" t="n"/>
      <c r="H505" s="336" t="n"/>
      <c r="I505" s="285" t="n"/>
      <c r="J505" s="285" t="n"/>
      <c r="K505" s="285" t="n"/>
      <c r="L505" s="285" t="n"/>
      <c r="M505" s="285" t="n"/>
      <c r="N505" s="285" t="n"/>
      <c r="O505" s="285" t="n"/>
      <c r="P505" s="285" t="n"/>
      <c r="Q505" s="285" t="n"/>
      <c r="R505" s="285" t="n"/>
      <c r="S505" s="284" t="n"/>
      <c r="T505" s="284" t="n"/>
      <c r="U505" s="285" t="n"/>
      <c r="V505" s="285" t="n"/>
      <c r="W505" s="285" t="n"/>
      <c r="X505" s="285" t="n"/>
      <c r="Y505" s="285" t="n"/>
      <c r="Z505" s="285" t="n"/>
      <c r="AA505" s="285" t="n"/>
    </row>
    <row r="506" ht="15.75" customHeight="1" s="398">
      <c r="A506" s="284" t="n"/>
      <c r="B506" s="285" t="n"/>
      <c r="C506" s="284" t="n"/>
      <c r="D506" s="284" t="n"/>
      <c r="E506" s="285" t="n"/>
      <c r="F506" s="285" t="n"/>
      <c r="G506" s="336" t="n"/>
      <c r="H506" s="336" t="n"/>
      <c r="I506" s="285" t="n"/>
      <c r="J506" s="285" t="n"/>
      <c r="K506" s="285" t="n"/>
      <c r="L506" s="285" t="n"/>
      <c r="M506" s="285" t="n"/>
      <c r="N506" s="285" t="n"/>
      <c r="O506" s="285" t="n"/>
      <c r="P506" s="285" t="n"/>
      <c r="Q506" s="285" t="n"/>
      <c r="R506" s="285" t="n"/>
      <c r="S506" s="284" t="n"/>
      <c r="T506" s="284" t="n"/>
      <c r="U506" s="285" t="n"/>
      <c r="V506" s="285" t="n"/>
      <c r="W506" s="285" t="n"/>
      <c r="X506" s="285" t="n"/>
      <c r="Y506" s="285" t="n"/>
      <c r="Z506" s="285" t="n"/>
      <c r="AA506" s="285" t="n"/>
    </row>
    <row r="507" ht="15.75" customHeight="1" s="398">
      <c r="A507" s="284" t="n"/>
      <c r="B507" s="285" t="n"/>
      <c r="C507" s="284" t="n"/>
      <c r="D507" s="284" t="n"/>
      <c r="E507" s="285" t="n"/>
      <c r="F507" s="285" t="n"/>
      <c r="G507" s="336" t="n"/>
      <c r="H507" s="336" t="n"/>
      <c r="I507" s="285" t="n"/>
      <c r="J507" s="285" t="n"/>
      <c r="K507" s="285" t="n"/>
      <c r="L507" s="285" t="n"/>
      <c r="M507" s="285" t="n"/>
      <c r="N507" s="285" t="n"/>
      <c r="O507" s="285" t="n"/>
      <c r="P507" s="285" t="n"/>
      <c r="Q507" s="285" t="n"/>
      <c r="R507" s="285" t="n"/>
      <c r="S507" s="284" t="n"/>
      <c r="T507" s="284" t="n"/>
      <c r="U507" s="285" t="n"/>
      <c r="V507" s="285" t="n"/>
      <c r="W507" s="285" t="n"/>
      <c r="X507" s="285" t="n"/>
      <c r="Y507" s="285" t="n"/>
      <c r="Z507" s="285" t="n"/>
      <c r="AA507" s="285" t="n"/>
    </row>
    <row r="508" ht="15.75" customHeight="1" s="398">
      <c r="A508" s="284" t="n"/>
      <c r="B508" s="285" t="n"/>
      <c r="C508" s="284" t="n"/>
      <c r="D508" s="284" t="n"/>
      <c r="E508" s="285" t="n"/>
      <c r="F508" s="285" t="n"/>
      <c r="G508" s="336" t="n"/>
      <c r="H508" s="336" t="n"/>
      <c r="I508" s="285" t="n"/>
      <c r="J508" s="285" t="n"/>
      <c r="K508" s="285" t="n"/>
      <c r="L508" s="285" t="n"/>
      <c r="M508" s="285" t="n"/>
      <c r="N508" s="285" t="n"/>
      <c r="O508" s="285" t="n"/>
      <c r="P508" s="285" t="n"/>
      <c r="Q508" s="285" t="n"/>
      <c r="R508" s="285" t="n"/>
      <c r="S508" s="284" t="n"/>
      <c r="T508" s="284" t="n"/>
      <c r="U508" s="285" t="n"/>
      <c r="V508" s="285" t="n"/>
      <c r="W508" s="285" t="n"/>
      <c r="X508" s="285" t="n"/>
      <c r="Y508" s="285" t="n"/>
      <c r="Z508" s="285" t="n"/>
      <c r="AA508" s="285" t="n"/>
    </row>
    <row r="509" ht="15.75" customHeight="1" s="398">
      <c r="A509" s="284" t="n"/>
      <c r="B509" s="285" t="n"/>
      <c r="C509" s="284" t="n"/>
      <c r="D509" s="284" t="n"/>
      <c r="E509" s="285" t="n"/>
      <c r="F509" s="285" t="n"/>
      <c r="G509" s="336" t="n"/>
      <c r="H509" s="336" t="n"/>
      <c r="I509" s="285" t="n"/>
      <c r="J509" s="285" t="n"/>
      <c r="K509" s="285" t="n"/>
      <c r="L509" s="285" t="n"/>
      <c r="M509" s="285" t="n"/>
      <c r="N509" s="285" t="n"/>
      <c r="O509" s="285" t="n"/>
      <c r="P509" s="285" t="n"/>
      <c r="Q509" s="285" t="n"/>
      <c r="R509" s="285" t="n"/>
      <c r="S509" s="284" t="n"/>
      <c r="T509" s="284" t="n"/>
      <c r="U509" s="285" t="n"/>
      <c r="V509" s="285" t="n"/>
      <c r="W509" s="285" t="n"/>
      <c r="X509" s="285" t="n"/>
      <c r="Y509" s="285" t="n"/>
      <c r="Z509" s="285" t="n"/>
      <c r="AA509" s="285" t="n"/>
    </row>
    <row r="510" ht="15.75" customHeight="1" s="398">
      <c r="A510" s="284" t="n"/>
      <c r="B510" s="285" t="n"/>
      <c r="C510" s="284" t="n"/>
      <c r="D510" s="284" t="n"/>
      <c r="E510" s="285" t="n"/>
      <c r="F510" s="285" t="n"/>
      <c r="G510" s="336" t="n"/>
      <c r="H510" s="336" t="n"/>
      <c r="I510" s="285" t="n"/>
      <c r="J510" s="285" t="n"/>
      <c r="K510" s="285" t="n"/>
      <c r="L510" s="285" t="n"/>
      <c r="M510" s="285" t="n"/>
      <c r="N510" s="285" t="n"/>
      <c r="O510" s="285" t="n"/>
      <c r="P510" s="285" t="n"/>
      <c r="Q510" s="285" t="n"/>
      <c r="R510" s="285" t="n"/>
      <c r="S510" s="284" t="n"/>
      <c r="T510" s="284" t="n"/>
      <c r="U510" s="285" t="n"/>
      <c r="V510" s="285" t="n"/>
      <c r="W510" s="285" t="n"/>
      <c r="X510" s="285" t="n"/>
      <c r="Y510" s="285" t="n"/>
      <c r="Z510" s="285" t="n"/>
      <c r="AA510" s="285" t="n"/>
    </row>
    <row r="511" ht="15.75" customHeight="1" s="398">
      <c r="A511" s="284" t="n"/>
      <c r="B511" s="285" t="n"/>
      <c r="C511" s="284" t="n"/>
      <c r="D511" s="284" t="n"/>
      <c r="E511" s="285" t="n"/>
      <c r="F511" s="285" t="n"/>
      <c r="G511" s="336" t="n"/>
      <c r="H511" s="336" t="n"/>
      <c r="I511" s="285" t="n"/>
      <c r="J511" s="285" t="n"/>
      <c r="K511" s="285" t="n"/>
      <c r="L511" s="285" t="n"/>
      <c r="M511" s="285" t="n"/>
      <c r="N511" s="285" t="n"/>
      <c r="O511" s="285" t="n"/>
      <c r="P511" s="285" t="n"/>
      <c r="Q511" s="285" t="n"/>
      <c r="R511" s="285" t="n"/>
      <c r="S511" s="284" t="n"/>
      <c r="T511" s="284" t="n"/>
      <c r="U511" s="285" t="n"/>
      <c r="V511" s="285" t="n"/>
      <c r="W511" s="285" t="n"/>
      <c r="X511" s="285" t="n"/>
      <c r="Y511" s="285" t="n"/>
      <c r="Z511" s="285" t="n"/>
      <c r="AA511" s="285" t="n"/>
    </row>
    <row r="512" ht="15.75" customHeight="1" s="398">
      <c r="A512" s="284" t="n"/>
      <c r="B512" s="285" t="n"/>
      <c r="C512" s="284" t="n"/>
      <c r="D512" s="284" t="n"/>
      <c r="E512" s="285" t="n"/>
      <c r="F512" s="285" t="n"/>
      <c r="G512" s="336" t="n"/>
      <c r="H512" s="336" t="n"/>
      <c r="I512" s="285" t="n"/>
      <c r="J512" s="285" t="n"/>
      <c r="K512" s="285" t="n"/>
      <c r="L512" s="285" t="n"/>
      <c r="M512" s="285" t="n"/>
      <c r="N512" s="285" t="n"/>
      <c r="O512" s="285" t="n"/>
      <c r="P512" s="285" t="n"/>
      <c r="Q512" s="285" t="n"/>
      <c r="R512" s="285" t="n"/>
      <c r="S512" s="284" t="n"/>
      <c r="T512" s="284" t="n"/>
      <c r="U512" s="285" t="n"/>
      <c r="V512" s="285" t="n"/>
      <c r="W512" s="285" t="n"/>
      <c r="X512" s="285" t="n"/>
      <c r="Y512" s="285" t="n"/>
      <c r="Z512" s="285" t="n"/>
      <c r="AA512" s="285" t="n"/>
    </row>
    <row r="513" ht="15.75" customHeight="1" s="398">
      <c r="A513" s="284" t="n"/>
      <c r="B513" s="285" t="n"/>
      <c r="C513" s="284" t="n"/>
      <c r="D513" s="284" t="n"/>
      <c r="E513" s="285" t="n"/>
      <c r="F513" s="285" t="n"/>
      <c r="G513" s="336" t="n"/>
      <c r="H513" s="336" t="n"/>
      <c r="I513" s="285" t="n"/>
      <c r="J513" s="285" t="n"/>
      <c r="K513" s="285" t="n"/>
      <c r="L513" s="285" t="n"/>
      <c r="M513" s="285" t="n"/>
      <c r="N513" s="285" t="n"/>
      <c r="O513" s="285" t="n"/>
      <c r="P513" s="285" t="n"/>
      <c r="Q513" s="285" t="n"/>
      <c r="R513" s="285" t="n"/>
      <c r="S513" s="284" t="n"/>
      <c r="T513" s="284" t="n"/>
      <c r="U513" s="285" t="n"/>
      <c r="V513" s="285" t="n"/>
      <c r="W513" s="285" t="n"/>
      <c r="X513" s="285" t="n"/>
      <c r="Y513" s="285" t="n"/>
      <c r="Z513" s="285" t="n"/>
      <c r="AA513" s="285" t="n"/>
    </row>
    <row r="514" ht="15.75" customHeight="1" s="398">
      <c r="A514" s="284" t="n"/>
      <c r="B514" s="285" t="n"/>
      <c r="C514" s="284" t="n"/>
      <c r="D514" s="284" t="n"/>
      <c r="E514" s="285" t="n"/>
      <c r="F514" s="285" t="n"/>
      <c r="G514" s="336" t="n"/>
      <c r="H514" s="336" t="n"/>
      <c r="I514" s="285" t="n"/>
      <c r="J514" s="285" t="n"/>
      <c r="K514" s="285" t="n"/>
      <c r="L514" s="285" t="n"/>
      <c r="M514" s="285" t="n"/>
      <c r="N514" s="285" t="n"/>
      <c r="O514" s="285" t="n"/>
      <c r="P514" s="285" t="n"/>
      <c r="Q514" s="285" t="n"/>
      <c r="R514" s="285" t="n"/>
      <c r="S514" s="284" t="n"/>
      <c r="T514" s="284" t="n"/>
      <c r="U514" s="285" t="n"/>
      <c r="V514" s="285" t="n"/>
      <c r="W514" s="285" t="n"/>
      <c r="X514" s="285" t="n"/>
      <c r="Y514" s="285" t="n"/>
      <c r="Z514" s="285" t="n"/>
      <c r="AA514" s="285" t="n"/>
    </row>
    <row r="515" ht="15.75" customHeight="1" s="398">
      <c r="A515" s="284" t="n"/>
      <c r="B515" s="285" t="n"/>
      <c r="C515" s="284" t="n"/>
      <c r="D515" s="284" t="n"/>
      <c r="E515" s="285" t="n"/>
      <c r="F515" s="285" t="n"/>
      <c r="G515" s="336" t="n"/>
      <c r="H515" s="336" t="n"/>
      <c r="I515" s="285" t="n"/>
      <c r="J515" s="285" t="n"/>
      <c r="K515" s="285" t="n"/>
      <c r="L515" s="285" t="n"/>
      <c r="M515" s="285" t="n"/>
      <c r="N515" s="285" t="n"/>
      <c r="O515" s="285" t="n"/>
      <c r="P515" s="285" t="n"/>
      <c r="Q515" s="285" t="n"/>
      <c r="R515" s="285" t="n"/>
      <c r="S515" s="284" t="n"/>
      <c r="T515" s="284" t="n"/>
      <c r="U515" s="285" t="n"/>
      <c r="V515" s="285" t="n"/>
      <c r="W515" s="285" t="n"/>
      <c r="X515" s="285" t="n"/>
      <c r="Y515" s="285" t="n"/>
      <c r="Z515" s="285" t="n"/>
      <c r="AA515" s="285" t="n"/>
    </row>
    <row r="516" ht="15.75" customHeight="1" s="398">
      <c r="A516" s="284" t="n"/>
      <c r="B516" s="285" t="n"/>
      <c r="C516" s="284" t="n"/>
      <c r="D516" s="284" t="n"/>
      <c r="E516" s="285" t="n"/>
      <c r="F516" s="285" t="n"/>
      <c r="G516" s="336" t="n"/>
      <c r="H516" s="336" t="n"/>
      <c r="I516" s="285" t="n"/>
      <c r="J516" s="285" t="n"/>
      <c r="K516" s="285" t="n"/>
      <c r="L516" s="285" t="n"/>
      <c r="M516" s="285" t="n"/>
      <c r="N516" s="285" t="n"/>
      <c r="O516" s="285" t="n"/>
      <c r="P516" s="285" t="n"/>
      <c r="Q516" s="285" t="n"/>
      <c r="R516" s="285" t="n"/>
      <c r="S516" s="284" t="n"/>
      <c r="T516" s="284" t="n"/>
      <c r="U516" s="285" t="n"/>
      <c r="V516" s="285" t="n"/>
      <c r="W516" s="285" t="n"/>
      <c r="X516" s="285" t="n"/>
      <c r="Y516" s="285" t="n"/>
      <c r="Z516" s="285" t="n"/>
      <c r="AA516" s="285" t="n"/>
    </row>
    <row r="517" ht="15.75" customHeight="1" s="398">
      <c r="A517" s="284" t="n"/>
      <c r="B517" s="285" t="n"/>
      <c r="C517" s="284" t="n"/>
      <c r="D517" s="284" t="n"/>
      <c r="E517" s="285" t="n"/>
      <c r="F517" s="285" t="n"/>
      <c r="G517" s="336" t="n"/>
      <c r="H517" s="336" t="n"/>
      <c r="I517" s="285" t="n"/>
      <c r="J517" s="285" t="n"/>
      <c r="K517" s="285" t="n"/>
      <c r="L517" s="285" t="n"/>
      <c r="M517" s="285" t="n"/>
      <c r="N517" s="285" t="n"/>
      <c r="O517" s="285" t="n"/>
      <c r="P517" s="285" t="n"/>
      <c r="Q517" s="285" t="n"/>
      <c r="R517" s="285" t="n"/>
      <c r="S517" s="284" t="n"/>
      <c r="T517" s="284" t="n"/>
      <c r="U517" s="285" t="n"/>
      <c r="V517" s="285" t="n"/>
      <c r="W517" s="285" t="n"/>
      <c r="X517" s="285" t="n"/>
      <c r="Y517" s="285" t="n"/>
      <c r="Z517" s="285" t="n"/>
      <c r="AA517" s="285" t="n"/>
    </row>
    <row r="518" ht="15.75" customHeight="1" s="398">
      <c r="A518" s="284" t="n"/>
      <c r="B518" s="285" t="n"/>
      <c r="C518" s="284" t="n"/>
      <c r="D518" s="284" t="n"/>
      <c r="E518" s="285" t="n"/>
      <c r="F518" s="285" t="n"/>
      <c r="G518" s="336" t="n"/>
      <c r="H518" s="336" t="n"/>
      <c r="I518" s="285" t="n"/>
      <c r="J518" s="285" t="n"/>
      <c r="K518" s="285" t="n"/>
      <c r="L518" s="285" t="n"/>
      <c r="M518" s="285" t="n"/>
      <c r="N518" s="285" t="n"/>
      <c r="O518" s="285" t="n"/>
      <c r="P518" s="285" t="n"/>
      <c r="Q518" s="285" t="n"/>
      <c r="R518" s="285" t="n"/>
      <c r="S518" s="284" t="n"/>
      <c r="T518" s="284" t="n"/>
      <c r="U518" s="285" t="n"/>
      <c r="V518" s="285" t="n"/>
      <c r="W518" s="285" t="n"/>
      <c r="X518" s="285" t="n"/>
      <c r="Y518" s="285" t="n"/>
      <c r="Z518" s="285" t="n"/>
      <c r="AA518" s="285" t="n"/>
    </row>
    <row r="519" ht="15.75" customHeight="1" s="398">
      <c r="A519" s="284" t="n"/>
      <c r="B519" s="285" t="n"/>
      <c r="C519" s="284" t="n"/>
      <c r="D519" s="284" t="n"/>
      <c r="E519" s="285" t="n"/>
      <c r="F519" s="285" t="n"/>
      <c r="G519" s="336" t="n"/>
      <c r="H519" s="336" t="n"/>
      <c r="I519" s="285" t="n"/>
      <c r="J519" s="285" t="n"/>
      <c r="K519" s="285" t="n"/>
      <c r="L519" s="285" t="n"/>
      <c r="M519" s="285" t="n"/>
      <c r="N519" s="285" t="n"/>
      <c r="O519" s="285" t="n"/>
      <c r="P519" s="285" t="n"/>
      <c r="Q519" s="285" t="n"/>
      <c r="R519" s="285" t="n"/>
      <c r="S519" s="284" t="n"/>
      <c r="T519" s="284" t="n"/>
      <c r="U519" s="285" t="n"/>
      <c r="V519" s="285" t="n"/>
      <c r="W519" s="285" t="n"/>
      <c r="X519" s="285" t="n"/>
      <c r="Y519" s="285" t="n"/>
      <c r="Z519" s="285" t="n"/>
      <c r="AA519" s="285" t="n"/>
    </row>
    <row r="520" ht="15.75" customHeight="1" s="398">
      <c r="A520" s="284" t="n"/>
      <c r="B520" s="285" t="n"/>
      <c r="C520" s="284" t="n"/>
      <c r="D520" s="284" t="n"/>
      <c r="E520" s="285" t="n"/>
      <c r="F520" s="285" t="n"/>
      <c r="G520" s="336" t="n"/>
      <c r="H520" s="336" t="n"/>
      <c r="I520" s="285" t="n"/>
      <c r="J520" s="285" t="n"/>
      <c r="K520" s="285" t="n"/>
      <c r="L520" s="285" t="n"/>
      <c r="M520" s="285" t="n"/>
      <c r="N520" s="285" t="n"/>
      <c r="O520" s="285" t="n"/>
      <c r="P520" s="285" t="n"/>
      <c r="Q520" s="285" t="n"/>
      <c r="R520" s="285" t="n"/>
      <c r="S520" s="284" t="n"/>
      <c r="T520" s="284" t="n"/>
      <c r="U520" s="285" t="n"/>
      <c r="V520" s="285" t="n"/>
      <c r="W520" s="285" t="n"/>
      <c r="X520" s="285" t="n"/>
      <c r="Y520" s="285" t="n"/>
      <c r="Z520" s="285" t="n"/>
      <c r="AA520" s="285" t="n"/>
    </row>
    <row r="521" ht="15.75" customHeight="1" s="398">
      <c r="A521" s="284" t="n"/>
      <c r="B521" s="285" t="n"/>
      <c r="C521" s="284" t="n"/>
      <c r="D521" s="284" t="n"/>
      <c r="E521" s="285" t="n"/>
      <c r="F521" s="285" t="n"/>
      <c r="G521" s="336" t="n"/>
      <c r="H521" s="336" t="n"/>
      <c r="I521" s="285" t="n"/>
      <c r="J521" s="285" t="n"/>
      <c r="K521" s="285" t="n"/>
      <c r="L521" s="285" t="n"/>
      <c r="M521" s="285" t="n"/>
      <c r="N521" s="285" t="n"/>
      <c r="O521" s="285" t="n"/>
      <c r="P521" s="285" t="n"/>
      <c r="Q521" s="285" t="n"/>
      <c r="R521" s="285" t="n"/>
      <c r="S521" s="284" t="n"/>
      <c r="T521" s="284" t="n"/>
      <c r="U521" s="285" t="n"/>
      <c r="V521" s="285" t="n"/>
      <c r="W521" s="285" t="n"/>
      <c r="X521" s="285" t="n"/>
      <c r="Y521" s="285" t="n"/>
      <c r="Z521" s="285" t="n"/>
      <c r="AA521" s="285" t="n"/>
    </row>
    <row r="522" ht="15.75" customHeight="1" s="398">
      <c r="A522" s="284" t="n"/>
      <c r="B522" s="285" t="n"/>
      <c r="C522" s="284" t="n"/>
      <c r="D522" s="284" t="n"/>
      <c r="E522" s="285" t="n"/>
      <c r="F522" s="285" t="n"/>
      <c r="G522" s="336" t="n"/>
      <c r="H522" s="336" t="n"/>
      <c r="I522" s="285" t="n"/>
      <c r="J522" s="285" t="n"/>
      <c r="K522" s="285" t="n"/>
      <c r="L522" s="285" t="n"/>
      <c r="M522" s="285" t="n"/>
      <c r="N522" s="285" t="n"/>
      <c r="O522" s="285" t="n"/>
      <c r="P522" s="285" t="n"/>
      <c r="Q522" s="285" t="n"/>
      <c r="R522" s="285" t="n"/>
      <c r="S522" s="284" t="n"/>
      <c r="T522" s="284" t="n"/>
      <c r="U522" s="285" t="n"/>
      <c r="V522" s="285" t="n"/>
      <c r="W522" s="285" t="n"/>
      <c r="X522" s="285" t="n"/>
      <c r="Y522" s="285" t="n"/>
      <c r="Z522" s="285" t="n"/>
      <c r="AA522" s="285" t="n"/>
    </row>
    <row r="523" ht="15.75" customHeight="1" s="398">
      <c r="A523" s="284" t="n"/>
      <c r="B523" s="285" t="n"/>
      <c r="C523" s="284" t="n"/>
      <c r="D523" s="284" t="n"/>
      <c r="E523" s="285" t="n"/>
      <c r="F523" s="285" t="n"/>
      <c r="G523" s="336" t="n"/>
      <c r="H523" s="336" t="n"/>
      <c r="I523" s="285" t="n"/>
      <c r="J523" s="285" t="n"/>
      <c r="K523" s="285" t="n"/>
      <c r="L523" s="285" t="n"/>
      <c r="M523" s="285" t="n"/>
      <c r="N523" s="285" t="n"/>
      <c r="O523" s="285" t="n"/>
      <c r="P523" s="285" t="n"/>
      <c r="Q523" s="285" t="n"/>
      <c r="R523" s="285" t="n"/>
      <c r="S523" s="284" t="n"/>
      <c r="T523" s="284" t="n"/>
      <c r="U523" s="285" t="n"/>
      <c r="V523" s="285" t="n"/>
      <c r="W523" s="285" t="n"/>
      <c r="X523" s="285" t="n"/>
      <c r="Y523" s="285" t="n"/>
      <c r="Z523" s="285" t="n"/>
      <c r="AA523" s="285" t="n"/>
    </row>
    <row r="524" ht="15.75" customHeight="1" s="398">
      <c r="A524" s="284" t="n"/>
      <c r="B524" s="285" t="n"/>
      <c r="C524" s="284" t="n"/>
      <c r="D524" s="284" t="n"/>
      <c r="E524" s="285" t="n"/>
      <c r="F524" s="285" t="n"/>
      <c r="G524" s="336" t="n"/>
      <c r="H524" s="336" t="n"/>
      <c r="I524" s="285" t="n"/>
      <c r="J524" s="285" t="n"/>
      <c r="K524" s="285" t="n"/>
      <c r="L524" s="285" t="n"/>
      <c r="M524" s="285" t="n"/>
      <c r="N524" s="285" t="n"/>
      <c r="O524" s="285" t="n"/>
      <c r="P524" s="285" t="n"/>
      <c r="Q524" s="285" t="n"/>
      <c r="R524" s="285" t="n"/>
      <c r="S524" s="284" t="n"/>
      <c r="T524" s="284" t="n"/>
      <c r="U524" s="285" t="n"/>
      <c r="V524" s="285" t="n"/>
      <c r="W524" s="285" t="n"/>
      <c r="X524" s="285" t="n"/>
      <c r="Y524" s="285" t="n"/>
      <c r="Z524" s="285" t="n"/>
      <c r="AA524" s="285" t="n"/>
    </row>
    <row r="525" ht="15.75" customHeight="1" s="398">
      <c r="A525" s="284" t="n"/>
      <c r="B525" s="285" t="n"/>
      <c r="C525" s="284" t="n"/>
      <c r="D525" s="284" t="n"/>
      <c r="E525" s="285" t="n"/>
      <c r="F525" s="285" t="n"/>
      <c r="G525" s="336" t="n"/>
      <c r="H525" s="336" t="n"/>
      <c r="I525" s="285" t="n"/>
      <c r="J525" s="285" t="n"/>
      <c r="K525" s="285" t="n"/>
      <c r="L525" s="285" t="n"/>
      <c r="M525" s="285" t="n"/>
      <c r="N525" s="285" t="n"/>
      <c r="O525" s="285" t="n"/>
      <c r="P525" s="285" t="n"/>
      <c r="Q525" s="285" t="n"/>
      <c r="R525" s="285" t="n"/>
      <c r="S525" s="284" t="n"/>
      <c r="T525" s="284" t="n"/>
      <c r="U525" s="285" t="n"/>
      <c r="V525" s="285" t="n"/>
      <c r="W525" s="285" t="n"/>
      <c r="X525" s="285" t="n"/>
      <c r="Y525" s="285" t="n"/>
      <c r="Z525" s="285" t="n"/>
      <c r="AA525" s="285" t="n"/>
    </row>
    <row r="526" ht="15.75" customHeight="1" s="398">
      <c r="A526" s="284" t="n"/>
      <c r="B526" s="285" t="n"/>
      <c r="C526" s="284" t="n"/>
      <c r="D526" s="284" t="n"/>
      <c r="E526" s="285" t="n"/>
      <c r="F526" s="285" t="n"/>
      <c r="G526" s="336" t="n"/>
      <c r="H526" s="336" t="n"/>
      <c r="I526" s="285" t="n"/>
      <c r="J526" s="285" t="n"/>
      <c r="K526" s="285" t="n"/>
      <c r="L526" s="285" t="n"/>
      <c r="M526" s="285" t="n"/>
      <c r="N526" s="285" t="n"/>
      <c r="O526" s="285" t="n"/>
      <c r="P526" s="285" t="n"/>
      <c r="Q526" s="285" t="n"/>
      <c r="R526" s="285" t="n"/>
      <c r="S526" s="284" t="n"/>
      <c r="T526" s="284" t="n"/>
      <c r="U526" s="285" t="n"/>
      <c r="V526" s="285" t="n"/>
      <c r="W526" s="285" t="n"/>
      <c r="X526" s="285" t="n"/>
      <c r="Y526" s="285" t="n"/>
      <c r="Z526" s="285" t="n"/>
      <c r="AA526" s="285" t="n"/>
    </row>
    <row r="527" ht="15.75" customHeight="1" s="398">
      <c r="A527" s="284" t="n"/>
      <c r="B527" s="285" t="n"/>
      <c r="C527" s="284" t="n"/>
      <c r="D527" s="284" t="n"/>
      <c r="E527" s="285" t="n"/>
      <c r="F527" s="285" t="n"/>
      <c r="G527" s="336" t="n"/>
      <c r="H527" s="336" t="n"/>
      <c r="I527" s="285" t="n"/>
      <c r="J527" s="285" t="n"/>
      <c r="K527" s="285" t="n"/>
      <c r="L527" s="285" t="n"/>
      <c r="M527" s="285" t="n"/>
      <c r="N527" s="285" t="n"/>
      <c r="O527" s="285" t="n"/>
      <c r="P527" s="285" t="n"/>
      <c r="Q527" s="285" t="n"/>
      <c r="R527" s="285" t="n"/>
      <c r="S527" s="284" t="n"/>
      <c r="T527" s="284" t="n"/>
      <c r="U527" s="285" t="n"/>
      <c r="V527" s="285" t="n"/>
      <c r="W527" s="285" t="n"/>
      <c r="X527" s="285" t="n"/>
      <c r="Y527" s="285" t="n"/>
      <c r="Z527" s="285" t="n"/>
      <c r="AA527" s="285" t="n"/>
    </row>
    <row r="528" ht="15.75" customHeight="1" s="398">
      <c r="A528" s="284" t="n"/>
      <c r="B528" s="285" t="n"/>
      <c r="C528" s="284" t="n"/>
      <c r="D528" s="284" t="n"/>
      <c r="E528" s="285" t="n"/>
      <c r="F528" s="285" t="n"/>
      <c r="G528" s="336" t="n"/>
      <c r="H528" s="336" t="n"/>
      <c r="I528" s="285" t="n"/>
      <c r="J528" s="285" t="n"/>
      <c r="K528" s="285" t="n"/>
      <c r="L528" s="285" t="n"/>
      <c r="M528" s="285" t="n"/>
      <c r="N528" s="285" t="n"/>
      <c r="O528" s="285" t="n"/>
      <c r="P528" s="285" t="n"/>
      <c r="Q528" s="285" t="n"/>
      <c r="R528" s="285" t="n"/>
      <c r="S528" s="284" t="n"/>
      <c r="T528" s="284" t="n"/>
      <c r="U528" s="285" t="n"/>
      <c r="V528" s="285" t="n"/>
      <c r="W528" s="285" t="n"/>
      <c r="X528" s="285" t="n"/>
      <c r="Y528" s="285" t="n"/>
      <c r="Z528" s="285" t="n"/>
      <c r="AA528" s="285" t="n"/>
    </row>
    <row r="529" ht="15.75" customHeight="1" s="398">
      <c r="A529" s="284" t="n"/>
      <c r="B529" s="285" t="n"/>
      <c r="C529" s="284" t="n"/>
      <c r="D529" s="284" t="n"/>
      <c r="E529" s="285" t="n"/>
      <c r="F529" s="285" t="n"/>
      <c r="G529" s="336" t="n"/>
      <c r="H529" s="336" t="n"/>
      <c r="I529" s="285" t="n"/>
      <c r="J529" s="285" t="n"/>
      <c r="K529" s="285" t="n"/>
      <c r="L529" s="285" t="n"/>
      <c r="M529" s="285" t="n"/>
      <c r="N529" s="285" t="n"/>
      <c r="O529" s="285" t="n"/>
      <c r="P529" s="285" t="n"/>
      <c r="Q529" s="285" t="n"/>
      <c r="R529" s="285" t="n"/>
      <c r="S529" s="284" t="n"/>
      <c r="T529" s="284" t="n"/>
      <c r="U529" s="285" t="n"/>
      <c r="V529" s="285" t="n"/>
      <c r="W529" s="285" t="n"/>
      <c r="X529" s="285" t="n"/>
      <c r="Y529" s="285" t="n"/>
      <c r="Z529" s="285" t="n"/>
      <c r="AA529" s="285" t="n"/>
    </row>
    <row r="530" ht="15.75" customHeight="1" s="398">
      <c r="A530" s="284" t="n"/>
      <c r="B530" s="285" t="n"/>
      <c r="C530" s="284" t="n"/>
      <c r="D530" s="284" t="n"/>
      <c r="E530" s="285" t="n"/>
      <c r="F530" s="285" t="n"/>
      <c r="G530" s="336" t="n"/>
      <c r="H530" s="336" t="n"/>
      <c r="I530" s="285" t="n"/>
      <c r="J530" s="285" t="n"/>
      <c r="K530" s="285" t="n"/>
      <c r="L530" s="285" t="n"/>
      <c r="M530" s="285" t="n"/>
      <c r="N530" s="285" t="n"/>
      <c r="O530" s="285" t="n"/>
      <c r="P530" s="285" t="n"/>
      <c r="Q530" s="285" t="n"/>
      <c r="R530" s="285" t="n"/>
      <c r="S530" s="284" t="n"/>
      <c r="T530" s="284" t="n"/>
      <c r="U530" s="285" t="n"/>
      <c r="V530" s="285" t="n"/>
      <c r="W530" s="285" t="n"/>
      <c r="X530" s="285" t="n"/>
      <c r="Y530" s="285" t="n"/>
      <c r="Z530" s="285" t="n"/>
      <c r="AA530" s="285" t="n"/>
    </row>
    <row r="531" ht="15.75" customHeight="1" s="398">
      <c r="A531" s="284" t="n"/>
      <c r="B531" s="285" t="n"/>
      <c r="C531" s="284" t="n"/>
      <c r="D531" s="284" t="n"/>
      <c r="E531" s="285" t="n"/>
      <c r="F531" s="285" t="n"/>
      <c r="G531" s="336" t="n"/>
      <c r="H531" s="336" t="n"/>
      <c r="I531" s="285" t="n"/>
      <c r="J531" s="285" t="n"/>
      <c r="K531" s="285" t="n"/>
      <c r="L531" s="285" t="n"/>
      <c r="M531" s="285" t="n"/>
      <c r="N531" s="285" t="n"/>
      <c r="O531" s="285" t="n"/>
      <c r="P531" s="285" t="n"/>
      <c r="Q531" s="285" t="n"/>
      <c r="R531" s="285" t="n"/>
      <c r="S531" s="284" t="n"/>
      <c r="T531" s="284" t="n"/>
      <c r="U531" s="285" t="n"/>
      <c r="V531" s="285" t="n"/>
      <c r="W531" s="285" t="n"/>
      <c r="X531" s="285" t="n"/>
      <c r="Y531" s="285" t="n"/>
      <c r="Z531" s="285" t="n"/>
      <c r="AA531" s="285" t="n"/>
    </row>
    <row r="532" ht="15.75" customHeight="1" s="398">
      <c r="A532" s="284" t="n"/>
      <c r="B532" s="285" t="n"/>
      <c r="C532" s="284" t="n"/>
      <c r="D532" s="284" t="n"/>
      <c r="E532" s="285" t="n"/>
      <c r="F532" s="285" t="n"/>
      <c r="G532" s="336" t="n"/>
      <c r="H532" s="336" t="n"/>
      <c r="I532" s="285" t="n"/>
      <c r="J532" s="285" t="n"/>
      <c r="K532" s="285" t="n"/>
      <c r="L532" s="285" t="n"/>
      <c r="M532" s="285" t="n"/>
      <c r="N532" s="285" t="n"/>
      <c r="O532" s="285" t="n"/>
      <c r="P532" s="285" t="n"/>
      <c r="Q532" s="285" t="n"/>
      <c r="R532" s="285" t="n"/>
      <c r="S532" s="284" t="n"/>
      <c r="T532" s="284" t="n"/>
      <c r="U532" s="285" t="n"/>
      <c r="V532" s="285" t="n"/>
      <c r="W532" s="285" t="n"/>
      <c r="X532" s="285" t="n"/>
      <c r="Y532" s="285" t="n"/>
      <c r="Z532" s="285" t="n"/>
      <c r="AA532" s="285" t="n"/>
    </row>
    <row r="533" ht="15.75" customHeight="1" s="398">
      <c r="A533" s="284" t="n"/>
      <c r="B533" s="285" t="n"/>
      <c r="C533" s="284" t="n"/>
      <c r="D533" s="284" t="n"/>
      <c r="E533" s="285" t="n"/>
      <c r="F533" s="285" t="n"/>
      <c r="G533" s="336" t="n"/>
      <c r="H533" s="336" t="n"/>
      <c r="I533" s="285" t="n"/>
      <c r="J533" s="285" t="n"/>
      <c r="K533" s="285" t="n"/>
      <c r="L533" s="285" t="n"/>
      <c r="M533" s="285" t="n"/>
      <c r="N533" s="285" t="n"/>
      <c r="O533" s="285" t="n"/>
      <c r="P533" s="285" t="n"/>
      <c r="Q533" s="285" t="n"/>
      <c r="R533" s="285" t="n"/>
      <c r="S533" s="284" t="n"/>
      <c r="T533" s="284" t="n"/>
      <c r="U533" s="285" t="n"/>
      <c r="V533" s="285" t="n"/>
      <c r="W533" s="285" t="n"/>
      <c r="X533" s="285" t="n"/>
      <c r="Y533" s="285" t="n"/>
      <c r="Z533" s="285" t="n"/>
      <c r="AA533" s="285" t="n"/>
    </row>
    <row r="534" ht="15.75" customHeight="1" s="398">
      <c r="A534" s="284" t="n"/>
      <c r="B534" s="285" t="n"/>
      <c r="C534" s="284" t="n"/>
      <c r="D534" s="284" t="n"/>
      <c r="E534" s="285" t="n"/>
      <c r="F534" s="285" t="n"/>
      <c r="G534" s="336" t="n"/>
      <c r="H534" s="336" t="n"/>
      <c r="I534" s="285" t="n"/>
      <c r="J534" s="285" t="n"/>
      <c r="K534" s="285" t="n"/>
      <c r="L534" s="285" t="n"/>
      <c r="M534" s="285" t="n"/>
      <c r="N534" s="285" t="n"/>
      <c r="O534" s="285" t="n"/>
      <c r="P534" s="285" t="n"/>
      <c r="Q534" s="285" t="n"/>
      <c r="R534" s="285" t="n"/>
      <c r="S534" s="284" t="n"/>
      <c r="T534" s="284" t="n"/>
      <c r="U534" s="285" t="n"/>
      <c r="V534" s="285" t="n"/>
      <c r="W534" s="285" t="n"/>
      <c r="X534" s="285" t="n"/>
      <c r="Y534" s="285" t="n"/>
      <c r="Z534" s="285" t="n"/>
      <c r="AA534" s="285" t="n"/>
    </row>
    <row r="535" ht="15.75" customHeight="1" s="398">
      <c r="A535" s="284" t="n"/>
      <c r="B535" s="285" t="n"/>
      <c r="C535" s="284" t="n"/>
      <c r="D535" s="284" t="n"/>
      <c r="E535" s="285" t="n"/>
      <c r="F535" s="285" t="n"/>
      <c r="G535" s="336" t="n"/>
      <c r="H535" s="336" t="n"/>
      <c r="I535" s="285" t="n"/>
      <c r="J535" s="285" t="n"/>
      <c r="K535" s="285" t="n"/>
      <c r="L535" s="285" t="n"/>
      <c r="M535" s="285" t="n"/>
      <c r="N535" s="285" t="n"/>
      <c r="O535" s="285" t="n"/>
      <c r="P535" s="285" t="n"/>
      <c r="Q535" s="285" t="n"/>
      <c r="R535" s="285" t="n"/>
      <c r="S535" s="284" t="n"/>
      <c r="T535" s="284" t="n"/>
      <c r="U535" s="285" t="n"/>
      <c r="V535" s="285" t="n"/>
      <c r="W535" s="285" t="n"/>
      <c r="X535" s="285" t="n"/>
      <c r="Y535" s="285" t="n"/>
      <c r="Z535" s="285" t="n"/>
      <c r="AA535" s="285" t="n"/>
    </row>
    <row r="536" ht="15.75" customHeight="1" s="398">
      <c r="A536" s="284" t="n"/>
      <c r="B536" s="285" t="n"/>
      <c r="C536" s="284" t="n"/>
      <c r="D536" s="284" t="n"/>
      <c r="E536" s="285" t="n"/>
      <c r="F536" s="285" t="n"/>
      <c r="G536" s="336" t="n"/>
      <c r="H536" s="336" t="n"/>
      <c r="I536" s="285" t="n"/>
      <c r="J536" s="285" t="n"/>
      <c r="K536" s="285" t="n"/>
      <c r="L536" s="285" t="n"/>
      <c r="M536" s="285" t="n"/>
      <c r="N536" s="285" t="n"/>
      <c r="O536" s="285" t="n"/>
      <c r="P536" s="285" t="n"/>
      <c r="Q536" s="285" t="n"/>
      <c r="R536" s="285" t="n"/>
      <c r="S536" s="284" t="n"/>
      <c r="T536" s="284" t="n"/>
      <c r="U536" s="285" t="n"/>
      <c r="V536" s="285" t="n"/>
      <c r="W536" s="285" t="n"/>
      <c r="X536" s="285" t="n"/>
      <c r="Y536" s="285" t="n"/>
      <c r="Z536" s="285" t="n"/>
      <c r="AA536" s="285" t="n"/>
    </row>
    <row r="537" ht="15.75" customHeight="1" s="398">
      <c r="A537" s="284" t="n"/>
      <c r="B537" s="285" t="n"/>
      <c r="C537" s="284" t="n"/>
      <c r="D537" s="284" t="n"/>
      <c r="E537" s="285" t="n"/>
      <c r="F537" s="285" t="n"/>
      <c r="G537" s="336" t="n"/>
      <c r="H537" s="336" t="n"/>
      <c r="I537" s="285" t="n"/>
      <c r="J537" s="285" t="n"/>
      <c r="K537" s="285" t="n"/>
      <c r="L537" s="285" t="n"/>
      <c r="M537" s="285" t="n"/>
      <c r="N537" s="285" t="n"/>
      <c r="O537" s="285" t="n"/>
      <c r="P537" s="285" t="n"/>
      <c r="Q537" s="285" t="n"/>
      <c r="R537" s="285" t="n"/>
      <c r="S537" s="284" t="n"/>
      <c r="T537" s="284" t="n"/>
      <c r="U537" s="285" t="n"/>
      <c r="V537" s="285" t="n"/>
      <c r="W537" s="285" t="n"/>
      <c r="X537" s="285" t="n"/>
      <c r="Y537" s="285" t="n"/>
      <c r="Z537" s="285" t="n"/>
      <c r="AA537" s="285" t="n"/>
    </row>
    <row r="538" ht="15.75" customHeight="1" s="398">
      <c r="A538" s="284" t="n"/>
      <c r="B538" s="285" t="n"/>
      <c r="C538" s="284" t="n"/>
      <c r="D538" s="284" t="n"/>
      <c r="E538" s="285" t="n"/>
      <c r="F538" s="285" t="n"/>
      <c r="G538" s="336" t="n"/>
      <c r="H538" s="336" t="n"/>
      <c r="I538" s="285" t="n"/>
      <c r="J538" s="285" t="n"/>
      <c r="K538" s="285" t="n"/>
      <c r="L538" s="285" t="n"/>
      <c r="M538" s="285" t="n"/>
      <c r="N538" s="285" t="n"/>
      <c r="O538" s="285" t="n"/>
      <c r="P538" s="285" t="n"/>
      <c r="Q538" s="285" t="n"/>
      <c r="R538" s="285" t="n"/>
      <c r="S538" s="284" t="n"/>
      <c r="T538" s="284" t="n"/>
      <c r="U538" s="285" t="n"/>
      <c r="V538" s="285" t="n"/>
      <c r="W538" s="285" t="n"/>
      <c r="X538" s="285" t="n"/>
      <c r="Y538" s="285" t="n"/>
      <c r="Z538" s="285" t="n"/>
      <c r="AA538" s="285" t="n"/>
    </row>
    <row r="539" ht="15.75" customHeight="1" s="398">
      <c r="A539" s="284" t="n"/>
      <c r="B539" s="285" t="n"/>
      <c r="C539" s="284" t="n"/>
      <c r="D539" s="284" t="n"/>
      <c r="E539" s="285" t="n"/>
      <c r="F539" s="285" t="n"/>
      <c r="G539" s="336" t="n"/>
      <c r="H539" s="336" t="n"/>
      <c r="I539" s="285" t="n"/>
      <c r="J539" s="285" t="n"/>
      <c r="K539" s="285" t="n"/>
      <c r="L539" s="285" t="n"/>
      <c r="M539" s="285" t="n"/>
      <c r="N539" s="285" t="n"/>
      <c r="O539" s="285" t="n"/>
      <c r="P539" s="285" t="n"/>
      <c r="Q539" s="285" t="n"/>
      <c r="R539" s="285" t="n"/>
      <c r="S539" s="284" t="n"/>
      <c r="T539" s="284" t="n"/>
      <c r="U539" s="285" t="n"/>
      <c r="V539" s="285" t="n"/>
      <c r="W539" s="285" t="n"/>
      <c r="X539" s="285" t="n"/>
      <c r="Y539" s="285" t="n"/>
      <c r="Z539" s="285" t="n"/>
      <c r="AA539" s="285" t="n"/>
    </row>
    <row r="540" ht="15.75" customHeight="1" s="398">
      <c r="A540" s="284" t="n"/>
      <c r="B540" s="285" t="n"/>
      <c r="C540" s="284" t="n"/>
      <c r="D540" s="284" t="n"/>
      <c r="E540" s="285" t="n"/>
      <c r="F540" s="285" t="n"/>
      <c r="G540" s="336" t="n"/>
      <c r="H540" s="336" t="n"/>
      <c r="I540" s="285" t="n"/>
      <c r="J540" s="285" t="n"/>
      <c r="K540" s="285" t="n"/>
      <c r="L540" s="285" t="n"/>
      <c r="M540" s="285" t="n"/>
      <c r="N540" s="285" t="n"/>
      <c r="O540" s="285" t="n"/>
      <c r="P540" s="285" t="n"/>
      <c r="Q540" s="285" t="n"/>
      <c r="R540" s="285" t="n"/>
      <c r="S540" s="284" t="n"/>
      <c r="T540" s="284" t="n"/>
      <c r="U540" s="285" t="n"/>
      <c r="V540" s="285" t="n"/>
      <c r="W540" s="285" t="n"/>
      <c r="X540" s="285" t="n"/>
      <c r="Y540" s="285" t="n"/>
      <c r="Z540" s="285" t="n"/>
      <c r="AA540" s="285" t="n"/>
    </row>
    <row r="541" ht="15.75" customHeight="1" s="398">
      <c r="A541" s="284" t="n"/>
      <c r="B541" s="285" t="n"/>
      <c r="C541" s="284" t="n"/>
      <c r="D541" s="284" t="n"/>
      <c r="E541" s="285" t="n"/>
      <c r="F541" s="285" t="n"/>
      <c r="G541" s="336" t="n"/>
      <c r="H541" s="336" t="n"/>
      <c r="I541" s="285" t="n"/>
      <c r="J541" s="285" t="n"/>
      <c r="K541" s="285" t="n"/>
      <c r="L541" s="285" t="n"/>
      <c r="M541" s="285" t="n"/>
      <c r="N541" s="285" t="n"/>
      <c r="O541" s="285" t="n"/>
      <c r="P541" s="285" t="n"/>
      <c r="Q541" s="285" t="n"/>
      <c r="R541" s="285" t="n"/>
      <c r="S541" s="284" t="n"/>
      <c r="T541" s="284" t="n"/>
      <c r="U541" s="285" t="n"/>
      <c r="V541" s="285" t="n"/>
      <c r="W541" s="285" t="n"/>
      <c r="X541" s="285" t="n"/>
      <c r="Y541" s="285" t="n"/>
      <c r="Z541" s="285" t="n"/>
      <c r="AA541" s="285" t="n"/>
    </row>
    <row r="542" ht="15.75" customHeight="1" s="398">
      <c r="A542" s="284" t="n"/>
      <c r="B542" s="285" t="n"/>
      <c r="C542" s="284" t="n"/>
      <c r="D542" s="284" t="n"/>
      <c r="E542" s="285" t="n"/>
      <c r="F542" s="285" t="n"/>
      <c r="G542" s="336" t="n"/>
      <c r="H542" s="336" t="n"/>
      <c r="I542" s="285" t="n"/>
      <c r="J542" s="285" t="n"/>
      <c r="K542" s="285" t="n"/>
      <c r="L542" s="285" t="n"/>
      <c r="M542" s="285" t="n"/>
      <c r="N542" s="285" t="n"/>
      <c r="O542" s="285" t="n"/>
      <c r="P542" s="285" t="n"/>
      <c r="Q542" s="285" t="n"/>
      <c r="R542" s="285" t="n"/>
      <c r="S542" s="284" t="n"/>
      <c r="T542" s="284" t="n"/>
      <c r="U542" s="285" t="n"/>
      <c r="V542" s="285" t="n"/>
      <c r="W542" s="285" t="n"/>
      <c r="X542" s="285" t="n"/>
      <c r="Y542" s="285" t="n"/>
      <c r="Z542" s="285" t="n"/>
      <c r="AA542" s="285" t="n"/>
    </row>
    <row r="543" ht="15.75" customHeight="1" s="398">
      <c r="A543" s="284" t="n"/>
      <c r="B543" s="285" t="n"/>
      <c r="C543" s="284" t="n"/>
      <c r="D543" s="284" t="n"/>
      <c r="E543" s="285" t="n"/>
      <c r="F543" s="285" t="n"/>
      <c r="G543" s="336" t="n"/>
      <c r="H543" s="336" t="n"/>
      <c r="I543" s="285" t="n"/>
      <c r="J543" s="285" t="n"/>
      <c r="K543" s="285" t="n"/>
      <c r="L543" s="285" t="n"/>
      <c r="M543" s="285" t="n"/>
      <c r="N543" s="285" t="n"/>
      <c r="O543" s="285" t="n"/>
      <c r="P543" s="285" t="n"/>
      <c r="Q543" s="285" t="n"/>
      <c r="R543" s="285" t="n"/>
      <c r="S543" s="284" t="n"/>
      <c r="T543" s="284" t="n"/>
      <c r="U543" s="285" t="n"/>
      <c r="V543" s="285" t="n"/>
      <c r="W543" s="285" t="n"/>
      <c r="X543" s="285" t="n"/>
      <c r="Y543" s="285" t="n"/>
      <c r="Z543" s="285" t="n"/>
      <c r="AA543" s="285" t="n"/>
    </row>
    <row r="544" ht="15.75" customHeight="1" s="398">
      <c r="A544" s="284" t="n"/>
      <c r="B544" s="285" t="n"/>
      <c r="C544" s="284" t="n"/>
      <c r="D544" s="284" t="n"/>
      <c r="E544" s="285" t="n"/>
      <c r="F544" s="285" t="n"/>
      <c r="G544" s="336" t="n"/>
      <c r="H544" s="336" t="n"/>
      <c r="I544" s="285" t="n"/>
      <c r="J544" s="285" t="n"/>
      <c r="K544" s="285" t="n"/>
      <c r="L544" s="285" t="n"/>
      <c r="M544" s="285" t="n"/>
      <c r="N544" s="285" t="n"/>
      <c r="O544" s="285" t="n"/>
      <c r="P544" s="285" t="n"/>
      <c r="Q544" s="285" t="n"/>
      <c r="R544" s="285" t="n"/>
      <c r="S544" s="284" t="n"/>
      <c r="T544" s="284" t="n"/>
      <c r="U544" s="285" t="n"/>
      <c r="V544" s="285" t="n"/>
      <c r="W544" s="285" t="n"/>
      <c r="X544" s="285" t="n"/>
      <c r="Y544" s="285" t="n"/>
      <c r="Z544" s="285" t="n"/>
      <c r="AA544" s="285" t="n"/>
    </row>
    <row r="545" ht="15.75" customHeight="1" s="398">
      <c r="A545" s="284" t="n"/>
      <c r="B545" s="285" t="n"/>
      <c r="C545" s="284" t="n"/>
      <c r="D545" s="284" t="n"/>
      <c r="E545" s="285" t="n"/>
      <c r="F545" s="285" t="n"/>
      <c r="G545" s="336" t="n"/>
      <c r="H545" s="336" t="n"/>
      <c r="I545" s="285" t="n"/>
      <c r="J545" s="285" t="n"/>
      <c r="K545" s="285" t="n"/>
      <c r="L545" s="285" t="n"/>
      <c r="M545" s="285" t="n"/>
      <c r="N545" s="285" t="n"/>
      <c r="O545" s="285" t="n"/>
      <c r="P545" s="285" t="n"/>
      <c r="Q545" s="285" t="n"/>
      <c r="R545" s="285" t="n"/>
      <c r="S545" s="284" t="n"/>
      <c r="T545" s="284" t="n"/>
      <c r="U545" s="285" t="n"/>
      <c r="V545" s="285" t="n"/>
      <c r="W545" s="285" t="n"/>
      <c r="X545" s="285" t="n"/>
      <c r="Y545" s="285" t="n"/>
      <c r="Z545" s="285" t="n"/>
      <c r="AA545" s="285" t="n"/>
    </row>
    <row r="546" ht="15.75" customHeight="1" s="398">
      <c r="A546" s="284" t="n"/>
      <c r="B546" s="285" t="n"/>
      <c r="C546" s="284" t="n"/>
      <c r="D546" s="284" t="n"/>
      <c r="E546" s="285" t="n"/>
      <c r="F546" s="285" t="n"/>
      <c r="G546" s="336" t="n"/>
      <c r="H546" s="336" t="n"/>
      <c r="I546" s="285" t="n"/>
      <c r="J546" s="285" t="n"/>
      <c r="K546" s="285" t="n"/>
      <c r="L546" s="285" t="n"/>
      <c r="M546" s="285" t="n"/>
      <c r="N546" s="285" t="n"/>
      <c r="O546" s="285" t="n"/>
      <c r="P546" s="285" t="n"/>
      <c r="Q546" s="285" t="n"/>
      <c r="R546" s="285" t="n"/>
      <c r="S546" s="284" t="n"/>
      <c r="T546" s="284" t="n"/>
      <c r="U546" s="285" t="n"/>
      <c r="V546" s="285" t="n"/>
      <c r="W546" s="285" t="n"/>
      <c r="X546" s="285" t="n"/>
      <c r="Y546" s="285" t="n"/>
      <c r="Z546" s="285" t="n"/>
      <c r="AA546" s="285" t="n"/>
    </row>
    <row r="547" ht="15.75" customHeight="1" s="398">
      <c r="A547" s="284" t="n"/>
      <c r="B547" s="285" t="n"/>
      <c r="C547" s="284" t="n"/>
      <c r="D547" s="284" t="n"/>
      <c r="E547" s="285" t="n"/>
      <c r="F547" s="285" t="n"/>
      <c r="G547" s="336" t="n"/>
      <c r="H547" s="336" t="n"/>
      <c r="I547" s="285" t="n"/>
      <c r="J547" s="285" t="n"/>
      <c r="K547" s="285" t="n"/>
      <c r="L547" s="285" t="n"/>
      <c r="M547" s="285" t="n"/>
      <c r="N547" s="285" t="n"/>
      <c r="O547" s="285" t="n"/>
      <c r="P547" s="285" t="n"/>
      <c r="Q547" s="285" t="n"/>
      <c r="R547" s="285" t="n"/>
      <c r="S547" s="284" t="n"/>
      <c r="T547" s="284" t="n"/>
      <c r="U547" s="285" t="n"/>
      <c r="V547" s="285" t="n"/>
      <c r="W547" s="285" t="n"/>
      <c r="X547" s="285" t="n"/>
      <c r="Y547" s="285" t="n"/>
      <c r="Z547" s="285" t="n"/>
      <c r="AA547" s="285" t="n"/>
    </row>
    <row r="548" ht="15.75" customHeight="1" s="398">
      <c r="A548" s="284" t="n"/>
      <c r="B548" s="285" t="n"/>
      <c r="C548" s="284" t="n"/>
      <c r="D548" s="284" t="n"/>
      <c r="E548" s="285" t="n"/>
      <c r="F548" s="285" t="n"/>
      <c r="G548" s="336" t="n"/>
      <c r="H548" s="336" t="n"/>
      <c r="I548" s="285" t="n"/>
      <c r="J548" s="285" t="n"/>
      <c r="K548" s="285" t="n"/>
      <c r="L548" s="285" t="n"/>
      <c r="M548" s="285" t="n"/>
      <c r="N548" s="285" t="n"/>
      <c r="O548" s="285" t="n"/>
      <c r="P548" s="285" t="n"/>
      <c r="Q548" s="285" t="n"/>
      <c r="R548" s="285" t="n"/>
      <c r="S548" s="284" t="n"/>
      <c r="T548" s="284" t="n"/>
      <c r="U548" s="285" t="n"/>
      <c r="V548" s="285" t="n"/>
      <c r="W548" s="285" t="n"/>
      <c r="X548" s="285" t="n"/>
      <c r="Y548" s="285" t="n"/>
      <c r="Z548" s="285" t="n"/>
      <c r="AA548" s="285" t="n"/>
    </row>
    <row r="549" ht="15.75" customHeight="1" s="398">
      <c r="A549" s="284" t="n"/>
      <c r="B549" s="285" t="n"/>
      <c r="C549" s="284" t="n"/>
      <c r="D549" s="284" t="n"/>
      <c r="E549" s="285" t="n"/>
      <c r="F549" s="285" t="n"/>
      <c r="G549" s="336" t="n"/>
      <c r="H549" s="336" t="n"/>
      <c r="I549" s="285" t="n"/>
      <c r="J549" s="285" t="n"/>
      <c r="K549" s="285" t="n"/>
      <c r="L549" s="285" t="n"/>
      <c r="M549" s="285" t="n"/>
      <c r="N549" s="285" t="n"/>
      <c r="O549" s="285" t="n"/>
      <c r="P549" s="285" t="n"/>
      <c r="Q549" s="285" t="n"/>
      <c r="R549" s="285" t="n"/>
      <c r="S549" s="284" t="n"/>
      <c r="T549" s="284" t="n"/>
      <c r="U549" s="285" t="n"/>
      <c r="V549" s="285" t="n"/>
      <c r="W549" s="285" t="n"/>
      <c r="X549" s="285" t="n"/>
      <c r="Y549" s="285" t="n"/>
      <c r="Z549" s="285" t="n"/>
      <c r="AA549" s="285" t="n"/>
    </row>
    <row r="550" ht="15.75" customHeight="1" s="398">
      <c r="A550" s="284" t="n"/>
      <c r="B550" s="285" t="n"/>
      <c r="C550" s="284" t="n"/>
      <c r="D550" s="284" t="n"/>
      <c r="E550" s="285" t="n"/>
      <c r="F550" s="285" t="n"/>
      <c r="G550" s="336" t="n"/>
      <c r="H550" s="336" t="n"/>
      <c r="I550" s="285" t="n"/>
      <c r="J550" s="285" t="n"/>
      <c r="K550" s="285" t="n"/>
      <c r="L550" s="285" t="n"/>
      <c r="M550" s="285" t="n"/>
      <c r="N550" s="285" t="n"/>
      <c r="O550" s="285" t="n"/>
      <c r="P550" s="285" t="n"/>
      <c r="Q550" s="285" t="n"/>
      <c r="R550" s="285" t="n"/>
      <c r="S550" s="284" t="n"/>
      <c r="T550" s="284" t="n"/>
      <c r="U550" s="285" t="n"/>
      <c r="V550" s="285" t="n"/>
      <c r="W550" s="285" t="n"/>
      <c r="X550" s="285" t="n"/>
      <c r="Y550" s="285" t="n"/>
      <c r="Z550" s="285" t="n"/>
      <c r="AA550" s="285" t="n"/>
    </row>
    <row r="551" ht="15.75" customHeight="1" s="398">
      <c r="A551" s="284" t="n"/>
      <c r="B551" s="285" t="n"/>
      <c r="C551" s="284" t="n"/>
      <c r="D551" s="284" t="n"/>
      <c r="E551" s="285" t="n"/>
      <c r="F551" s="285" t="n"/>
      <c r="G551" s="336" t="n"/>
      <c r="H551" s="336" t="n"/>
      <c r="I551" s="285" t="n"/>
      <c r="J551" s="285" t="n"/>
      <c r="K551" s="285" t="n"/>
      <c r="L551" s="285" t="n"/>
      <c r="M551" s="285" t="n"/>
      <c r="N551" s="285" t="n"/>
      <c r="O551" s="285" t="n"/>
      <c r="P551" s="285" t="n"/>
      <c r="Q551" s="285" t="n"/>
      <c r="R551" s="285" t="n"/>
      <c r="S551" s="284" t="n"/>
      <c r="T551" s="284" t="n"/>
      <c r="U551" s="285" t="n"/>
      <c r="V551" s="285" t="n"/>
      <c r="W551" s="285" t="n"/>
      <c r="X551" s="285" t="n"/>
      <c r="Y551" s="285" t="n"/>
      <c r="Z551" s="285" t="n"/>
      <c r="AA551" s="285" t="n"/>
    </row>
    <row r="552" ht="15.75" customHeight="1" s="398">
      <c r="A552" s="284" t="n"/>
      <c r="B552" s="285" t="n"/>
      <c r="C552" s="284" t="n"/>
      <c r="D552" s="284" t="n"/>
      <c r="E552" s="285" t="n"/>
      <c r="F552" s="285" t="n"/>
      <c r="G552" s="336" t="n"/>
      <c r="H552" s="336" t="n"/>
      <c r="I552" s="285" t="n"/>
      <c r="J552" s="285" t="n"/>
      <c r="K552" s="285" t="n"/>
      <c r="L552" s="285" t="n"/>
      <c r="M552" s="285" t="n"/>
      <c r="N552" s="285" t="n"/>
      <c r="O552" s="285" t="n"/>
      <c r="P552" s="285" t="n"/>
      <c r="Q552" s="285" t="n"/>
      <c r="R552" s="285" t="n"/>
      <c r="S552" s="284" t="n"/>
      <c r="T552" s="284" t="n"/>
      <c r="U552" s="285" t="n"/>
      <c r="V552" s="285" t="n"/>
      <c r="W552" s="285" t="n"/>
      <c r="X552" s="285" t="n"/>
      <c r="Y552" s="285" t="n"/>
      <c r="Z552" s="285" t="n"/>
      <c r="AA552" s="285" t="n"/>
    </row>
    <row r="553" ht="15.75" customHeight="1" s="398">
      <c r="A553" s="284" t="n"/>
      <c r="B553" s="285" t="n"/>
      <c r="C553" s="284" t="n"/>
      <c r="D553" s="284" t="n"/>
      <c r="E553" s="285" t="n"/>
      <c r="F553" s="285" t="n"/>
      <c r="G553" s="336" t="n"/>
      <c r="H553" s="336" t="n"/>
      <c r="I553" s="285" t="n"/>
      <c r="J553" s="285" t="n"/>
      <c r="K553" s="285" t="n"/>
      <c r="L553" s="285" t="n"/>
      <c r="M553" s="285" t="n"/>
      <c r="N553" s="285" t="n"/>
      <c r="O553" s="285" t="n"/>
      <c r="P553" s="285" t="n"/>
      <c r="Q553" s="285" t="n"/>
      <c r="R553" s="285" t="n"/>
      <c r="S553" s="284" t="n"/>
      <c r="T553" s="284" t="n"/>
      <c r="U553" s="285" t="n"/>
      <c r="V553" s="285" t="n"/>
      <c r="W553" s="285" t="n"/>
      <c r="X553" s="285" t="n"/>
      <c r="Y553" s="285" t="n"/>
      <c r="Z553" s="285" t="n"/>
      <c r="AA553" s="285" t="n"/>
    </row>
    <row r="554" ht="15.75" customHeight="1" s="398">
      <c r="A554" s="284" t="n"/>
      <c r="B554" s="285" t="n"/>
      <c r="C554" s="284" t="n"/>
      <c r="D554" s="284" t="n"/>
      <c r="E554" s="285" t="n"/>
      <c r="F554" s="285" t="n"/>
      <c r="G554" s="336" t="n"/>
      <c r="H554" s="336" t="n"/>
      <c r="I554" s="285" t="n"/>
      <c r="J554" s="285" t="n"/>
      <c r="K554" s="285" t="n"/>
      <c r="L554" s="285" t="n"/>
      <c r="M554" s="285" t="n"/>
      <c r="N554" s="285" t="n"/>
      <c r="O554" s="285" t="n"/>
      <c r="P554" s="285" t="n"/>
      <c r="Q554" s="285" t="n"/>
      <c r="R554" s="285" t="n"/>
      <c r="S554" s="284" t="n"/>
      <c r="T554" s="284" t="n"/>
      <c r="U554" s="285" t="n"/>
      <c r="V554" s="285" t="n"/>
      <c r="W554" s="285" t="n"/>
      <c r="X554" s="285" t="n"/>
      <c r="Y554" s="285" t="n"/>
      <c r="Z554" s="285" t="n"/>
      <c r="AA554" s="285" t="n"/>
    </row>
    <row r="555" ht="15.75" customHeight="1" s="398">
      <c r="A555" s="284" t="n"/>
      <c r="B555" s="285" t="n"/>
      <c r="C555" s="284" t="n"/>
      <c r="D555" s="284" t="n"/>
      <c r="E555" s="285" t="n"/>
      <c r="F555" s="285" t="n"/>
      <c r="G555" s="336" t="n"/>
      <c r="H555" s="336" t="n"/>
      <c r="I555" s="285" t="n"/>
      <c r="J555" s="285" t="n"/>
      <c r="K555" s="285" t="n"/>
      <c r="L555" s="285" t="n"/>
      <c r="M555" s="285" t="n"/>
      <c r="N555" s="285" t="n"/>
      <c r="O555" s="285" t="n"/>
      <c r="P555" s="285" t="n"/>
      <c r="Q555" s="285" t="n"/>
      <c r="R555" s="285" t="n"/>
      <c r="S555" s="284" t="n"/>
      <c r="T555" s="284" t="n"/>
      <c r="U555" s="285" t="n"/>
      <c r="V555" s="285" t="n"/>
      <c r="W555" s="285" t="n"/>
      <c r="X555" s="285" t="n"/>
      <c r="Y555" s="285" t="n"/>
      <c r="Z555" s="285" t="n"/>
      <c r="AA555" s="285" t="n"/>
    </row>
    <row r="556" ht="15.75" customHeight="1" s="398">
      <c r="A556" s="284" t="n"/>
      <c r="B556" s="285" t="n"/>
      <c r="C556" s="284" t="n"/>
      <c r="D556" s="284" t="n"/>
      <c r="E556" s="285" t="n"/>
      <c r="F556" s="285" t="n"/>
      <c r="G556" s="336" t="n"/>
      <c r="H556" s="336" t="n"/>
      <c r="I556" s="285" t="n"/>
      <c r="J556" s="285" t="n"/>
      <c r="K556" s="285" t="n"/>
      <c r="L556" s="285" t="n"/>
      <c r="M556" s="285" t="n"/>
      <c r="N556" s="285" t="n"/>
      <c r="O556" s="285" t="n"/>
      <c r="P556" s="285" t="n"/>
      <c r="Q556" s="285" t="n"/>
      <c r="R556" s="285" t="n"/>
      <c r="S556" s="284" t="n"/>
      <c r="T556" s="284" t="n"/>
      <c r="U556" s="285" t="n"/>
      <c r="V556" s="285" t="n"/>
      <c r="W556" s="285" t="n"/>
      <c r="X556" s="285" t="n"/>
      <c r="Y556" s="285" t="n"/>
      <c r="Z556" s="285" t="n"/>
      <c r="AA556" s="285" t="n"/>
    </row>
    <row r="557" ht="15.75" customHeight="1" s="398">
      <c r="A557" s="284" t="n"/>
      <c r="B557" s="285" t="n"/>
      <c r="C557" s="284" t="n"/>
      <c r="D557" s="284" t="n"/>
      <c r="E557" s="285" t="n"/>
      <c r="F557" s="285" t="n"/>
      <c r="G557" s="336" t="n"/>
      <c r="H557" s="336" t="n"/>
      <c r="I557" s="285" t="n"/>
      <c r="J557" s="285" t="n"/>
      <c r="K557" s="285" t="n"/>
      <c r="L557" s="285" t="n"/>
      <c r="M557" s="285" t="n"/>
      <c r="N557" s="285" t="n"/>
      <c r="O557" s="285" t="n"/>
      <c r="P557" s="285" t="n"/>
      <c r="Q557" s="285" t="n"/>
      <c r="R557" s="285" t="n"/>
      <c r="S557" s="284" t="n"/>
      <c r="T557" s="284" t="n"/>
      <c r="U557" s="285" t="n"/>
      <c r="V557" s="285" t="n"/>
      <c r="W557" s="285" t="n"/>
      <c r="X557" s="285" t="n"/>
      <c r="Y557" s="285" t="n"/>
      <c r="Z557" s="285" t="n"/>
      <c r="AA557" s="285" t="n"/>
    </row>
    <row r="558" ht="15.75" customHeight="1" s="398">
      <c r="A558" s="284" t="n"/>
      <c r="B558" s="285" t="n"/>
      <c r="C558" s="284" t="n"/>
      <c r="D558" s="284" t="n"/>
      <c r="E558" s="285" t="n"/>
      <c r="F558" s="285" t="n"/>
      <c r="G558" s="336" t="n"/>
      <c r="H558" s="336" t="n"/>
      <c r="I558" s="285" t="n"/>
      <c r="J558" s="285" t="n"/>
      <c r="K558" s="285" t="n"/>
      <c r="L558" s="285" t="n"/>
      <c r="M558" s="285" t="n"/>
      <c r="N558" s="285" t="n"/>
      <c r="O558" s="285" t="n"/>
      <c r="P558" s="285" t="n"/>
      <c r="Q558" s="285" t="n"/>
      <c r="R558" s="285" t="n"/>
      <c r="S558" s="284" t="n"/>
      <c r="T558" s="284" t="n"/>
      <c r="U558" s="285" t="n"/>
      <c r="V558" s="285" t="n"/>
      <c r="W558" s="285" t="n"/>
      <c r="X558" s="285" t="n"/>
      <c r="Y558" s="285" t="n"/>
      <c r="Z558" s="285" t="n"/>
      <c r="AA558" s="285" t="n"/>
    </row>
    <row r="559" ht="15.75" customHeight="1" s="398">
      <c r="A559" s="284" t="n"/>
      <c r="B559" s="285" t="n"/>
      <c r="C559" s="284" t="n"/>
      <c r="D559" s="284" t="n"/>
      <c r="E559" s="285" t="n"/>
      <c r="F559" s="285" t="n"/>
      <c r="G559" s="336" t="n"/>
      <c r="H559" s="336" t="n"/>
      <c r="I559" s="285" t="n"/>
      <c r="J559" s="285" t="n"/>
      <c r="K559" s="285" t="n"/>
      <c r="L559" s="285" t="n"/>
      <c r="M559" s="285" t="n"/>
      <c r="N559" s="285" t="n"/>
      <c r="O559" s="285" t="n"/>
      <c r="P559" s="285" t="n"/>
      <c r="Q559" s="285" t="n"/>
      <c r="R559" s="285" t="n"/>
      <c r="S559" s="284" t="n"/>
      <c r="T559" s="284" t="n"/>
      <c r="U559" s="285" t="n"/>
      <c r="V559" s="285" t="n"/>
      <c r="W559" s="285" t="n"/>
      <c r="X559" s="285" t="n"/>
      <c r="Y559" s="285" t="n"/>
      <c r="Z559" s="285" t="n"/>
      <c r="AA559" s="285" t="n"/>
    </row>
    <row r="560" ht="15.75" customHeight="1" s="398">
      <c r="A560" s="284" t="n"/>
      <c r="B560" s="285" t="n"/>
      <c r="C560" s="284" t="n"/>
      <c r="D560" s="284" t="n"/>
      <c r="E560" s="285" t="n"/>
      <c r="F560" s="285" t="n"/>
      <c r="G560" s="336" t="n"/>
      <c r="H560" s="336" t="n"/>
      <c r="I560" s="285" t="n"/>
      <c r="J560" s="285" t="n"/>
      <c r="K560" s="285" t="n"/>
      <c r="L560" s="285" t="n"/>
      <c r="M560" s="285" t="n"/>
      <c r="N560" s="285" t="n"/>
      <c r="O560" s="285" t="n"/>
      <c r="P560" s="285" t="n"/>
      <c r="Q560" s="285" t="n"/>
      <c r="R560" s="285" t="n"/>
      <c r="S560" s="284" t="n"/>
      <c r="T560" s="284" t="n"/>
      <c r="U560" s="285" t="n"/>
      <c r="V560" s="285" t="n"/>
      <c r="W560" s="285" t="n"/>
      <c r="X560" s="285" t="n"/>
      <c r="Y560" s="285" t="n"/>
      <c r="Z560" s="285" t="n"/>
      <c r="AA560" s="285" t="n"/>
    </row>
    <row r="561" ht="15.75" customHeight="1" s="398">
      <c r="A561" s="284" t="n"/>
      <c r="B561" s="285" t="n"/>
      <c r="C561" s="284" t="n"/>
      <c r="D561" s="284" t="n"/>
      <c r="E561" s="285" t="n"/>
      <c r="F561" s="285" t="n"/>
      <c r="G561" s="336" t="n"/>
      <c r="H561" s="336" t="n"/>
      <c r="I561" s="285" t="n"/>
      <c r="J561" s="285" t="n"/>
      <c r="K561" s="285" t="n"/>
      <c r="L561" s="285" t="n"/>
      <c r="M561" s="285" t="n"/>
      <c r="N561" s="285" t="n"/>
      <c r="O561" s="285" t="n"/>
      <c r="P561" s="285" t="n"/>
      <c r="Q561" s="285" t="n"/>
      <c r="R561" s="285" t="n"/>
      <c r="S561" s="284" t="n"/>
      <c r="T561" s="284" t="n"/>
      <c r="U561" s="285" t="n"/>
      <c r="V561" s="285" t="n"/>
      <c r="W561" s="285" t="n"/>
      <c r="X561" s="285" t="n"/>
      <c r="Y561" s="285" t="n"/>
      <c r="Z561" s="285" t="n"/>
      <c r="AA561" s="285" t="n"/>
    </row>
    <row r="562" ht="15.75" customHeight="1" s="398">
      <c r="A562" s="284" t="n"/>
      <c r="B562" s="285" t="n"/>
      <c r="C562" s="284" t="n"/>
      <c r="D562" s="284" t="n"/>
      <c r="E562" s="285" t="n"/>
      <c r="F562" s="285" t="n"/>
      <c r="G562" s="336" t="n"/>
      <c r="H562" s="336" t="n"/>
      <c r="I562" s="285" t="n"/>
      <c r="J562" s="285" t="n"/>
      <c r="K562" s="285" t="n"/>
      <c r="L562" s="285" t="n"/>
      <c r="M562" s="285" t="n"/>
      <c r="N562" s="285" t="n"/>
      <c r="O562" s="285" t="n"/>
      <c r="P562" s="285" t="n"/>
      <c r="Q562" s="285" t="n"/>
      <c r="R562" s="285" t="n"/>
      <c r="S562" s="284" t="n"/>
      <c r="T562" s="284" t="n"/>
      <c r="U562" s="285" t="n"/>
      <c r="V562" s="285" t="n"/>
      <c r="W562" s="285" t="n"/>
      <c r="X562" s="285" t="n"/>
      <c r="Y562" s="285" t="n"/>
      <c r="Z562" s="285" t="n"/>
      <c r="AA562" s="285" t="n"/>
    </row>
    <row r="563" ht="15.75" customHeight="1" s="398">
      <c r="A563" s="284" t="n"/>
      <c r="B563" s="285" t="n"/>
      <c r="C563" s="284" t="n"/>
      <c r="D563" s="284" t="n"/>
      <c r="E563" s="285" t="n"/>
      <c r="F563" s="285" t="n"/>
      <c r="G563" s="336" t="n"/>
      <c r="H563" s="336" t="n"/>
      <c r="I563" s="285" t="n"/>
      <c r="J563" s="285" t="n"/>
      <c r="K563" s="285" t="n"/>
      <c r="L563" s="285" t="n"/>
      <c r="M563" s="285" t="n"/>
      <c r="N563" s="285" t="n"/>
      <c r="O563" s="285" t="n"/>
      <c r="P563" s="285" t="n"/>
      <c r="Q563" s="285" t="n"/>
      <c r="R563" s="285" t="n"/>
      <c r="S563" s="284" t="n"/>
      <c r="T563" s="284" t="n"/>
      <c r="U563" s="285" t="n"/>
      <c r="V563" s="285" t="n"/>
      <c r="W563" s="285" t="n"/>
      <c r="X563" s="285" t="n"/>
      <c r="Y563" s="285" t="n"/>
      <c r="Z563" s="285" t="n"/>
      <c r="AA563" s="285" t="n"/>
    </row>
    <row r="564" ht="15.75" customHeight="1" s="398">
      <c r="A564" s="284" t="n"/>
      <c r="B564" s="285" t="n"/>
      <c r="C564" s="284" t="n"/>
      <c r="D564" s="284" t="n"/>
      <c r="E564" s="285" t="n"/>
      <c r="F564" s="285" t="n"/>
      <c r="G564" s="336" t="n"/>
      <c r="H564" s="336" t="n"/>
      <c r="I564" s="285" t="n"/>
      <c r="J564" s="285" t="n"/>
      <c r="K564" s="285" t="n"/>
      <c r="L564" s="285" t="n"/>
      <c r="M564" s="285" t="n"/>
      <c r="N564" s="285" t="n"/>
      <c r="O564" s="285" t="n"/>
      <c r="P564" s="285" t="n"/>
      <c r="Q564" s="285" t="n"/>
      <c r="R564" s="285" t="n"/>
      <c r="S564" s="284" t="n"/>
      <c r="T564" s="284" t="n"/>
      <c r="U564" s="285" t="n"/>
      <c r="V564" s="285" t="n"/>
      <c r="W564" s="285" t="n"/>
      <c r="X564" s="285" t="n"/>
      <c r="Y564" s="285" t="n"/>
      <c r="Z564" s="285" t="n"/>
      <c r="AA564" s="285" t="n"/>
    </row>
    <row r="565" ht="15.75" customHeight="1" s="398">
      <c r="A565" s="284" t="n"/>
      <c r="B565" s="285" t="n"/>
      <c r="C565" s="284" t="n"/>
      <c r="D565" s="284" t="n"/>
      <c r="E565" s="285" t="n"/>
      <c r="F565" s="285" t="n"/>
      <c r="G565" s="336" t="n"/>
      <c r="H565" s="336" t="n"/>
      <c r="I565" s="285" t="n"/>
      <c r="J565" s="285" t="n"/>
      <c r="K565" s="285" t="n"/>
      <c r="L565" s="285" t="n"/>
      <c r="M565" s="285" t="n"/>
      <c r="N565" s="285" t="n"/>
      <c r="O565" s="285" t="n"/>
      <c r="P565" s="285" t="n"/>
      <c r="Q565" s="285" t="n"/>
      <c r="R565" s="285" t="n"/>
      <c r="S565" s="284" t="n"/>
      <c r="T565" s="284" t="n"/>
      <c r="U565" s="285" t="n"/>
      <c r="V565" s="285" t="n"/>
      <c r="W565" s="285" t="n"/>
      <c r="X565" s="285" t="n"/>
      <c r="Y565" s="285" t="n"/>
      <c r="Z565" s="285" t="n"/>
      <c r="AA565" s="285" t="n"/>
    </row>
    <row r="566" ht="15.75" customHeight="1" s="398">
      <c r="A566" s="284" t="n"/>
      <c r="B566" s="285" t="n"/>
      <c r="C566" s="284" t="n"/>
      <c r="D566" s="284" t="n"/>
      <c r="E566" s="285" t="n"/>
      <c r="F566" s="285" t="n"/>
      <c r="G566" s="336" t="n"/>
      <c r="H566" s="336" t="n"/>
      <c r="I566" s="285" t="n"/>
      <c r="J566" s="285" t="n"/>
      <c r="K566" s="285" t="n"/>
      <c r="L566" s="285" t="n"/>
      <c r="M566" s="285" t="n"/>
      <c r="N566" s="285" t="n"/>
      <c r="O566" s="285" t="n"/>
      <c r="P566" s="285" t="n"/>
      <c r="Q566" s="285" t="n"/>
      <c r="R566" s="285" t="n"/>
      <c r="S566" s="284" t="n"/>
      <c r="T566" s="284" t="n"/>
      <c r="U566" s="285" t="n"/>
      <c r="V566" s="285" t="n"/>
      <c r="W566" s="285" t="n"/>
      <c r="X566" s="285" t="n"/>
      <c r="Y566" s="285" t="n"/>
      <c r="Z566" s="285" t="n"/>
      <c r="AA566" s="285" t="n"/>
    </row>
    <row r="567" ht="15.75" customHeight="1" s="398">
      <c r="A567" s="284" t="n"/>
      <c r="B567" s="285" t="n"/>
      <c r="C567" s="284" t="n"/>
      <c r="D567" s="284" t="n"/>
      <c r="E567" s="285" t="n"/>
      <c r="F567" s="285" t="n"/>
      <c r="G567" s="336" t="n"/>
      <c r="H567" s="336" t="n"/>
      <c r="I567" s="285" t="n"/>
      <c r="J567" s="285" t="n"/>
      <c r="K567" s="285" t="n"/>
      <c r="L567" s="285" t="n"/>
      <c r="M567" s="285" t="n"/>
      <c r="N567" s="285" t="n"/>
      <c r="O567" s="285" t="n"/>
      <c r="P567" s="285" t="n"/>
      <c r="Q567" s="285" t="n"/>
      <c r="R567" s="285" t="n"/>
      <c r="S567" s="284" t="n"/>
      <c r="T567" s="284" t="n"/>
      <c r="U567" s="285" t="n"/>
      <c r="V567" s="285" t="n"/>
      <c r="W567" s="285" t="n"/>
      <c r="X567" s="285" t="n"/>
      <c r="Y567" s="285" t="n"/>
      <c r="Z567" s="285" t="n"/>
      <c r="AA567" s="285" t="n"/>
    </row>
    <row r="568" ht="15.75" customHeight="1" s="398">
      <c r="A568" s="284" t="n"/>
      <c r="B568" s="285" t="n"/>
      <c r="C568" s="284" t="n"/>
      <c r="D568" s="284" t="n"/>
      <c r="E568" s="285" t="n"/>
      <c r="F568" s="285" t="n"/>
      <c r="G568" s="336" t="n"/>
      <c r="H568" s="336" t="n"/>
      <c r="I568" s="285" t="n"/>
      <c r="J568" s="285" t="n"/>
      <c r="K568" s="285" t="n"/>
      <c r="L568" s="285" t="n"/>
      <c r="M568" s="285" t="n"/>
      <c r="N568" s="285" t="n"/>
      <c r="O568" s="285" t="n"/>
      <c r="P568" s="285" t="n"/>
      <c r="Q568" s="285" t="n"/>
      <c r="R568" s="285" t="n"/>
      <c r="S568" s="284" t="n"/>
      <c r="T568" s="284" t="n"/>
      <c r="U568" s="285" t="n"/>
      <c r="V568" s="285" t="n"/>
      <c r="W568" s="285" t="n"/>
      <c r="X568" s="285" t="n"/>
      <c r="Y568" s="285" t="n"/>
      <c r="Z568" s="285" t="n"/>
      <c r="AA568" s="285" t="n"/>
    </row>
    <row r="569" ht="15.75" customHeight="1" s="398">
      <c r="A569" s="284" t="n"/>
      <c r="B569" s="285" t="n"/>
      <c r="C569" s="284" t="n"/>
      <c r="D569" s="284" t="n"/>
      <c r="E569" s="285" t="n"/>
      <c r="F569" s="285" t="n"/>
      <c r="G569" s="336" t="n"/>
      <c r="H569" s="336" t="n"/>
      <c r="I569" s="285" t="n"/>
      <c r="J569" s="285" t="n"/>
      <c r="K569" s="285" t="n"/>
      <c r="L569" s="285" t="n"/>
      <c r="M569" s="285" t="n"/>
      <c r="N569" s="285" t="n"/>
      <c r="O569" s="285" t="n"/>
      <c r="P569" s="285" t="n"/>
      <c r="Q569" s="285" t="n"/>
      <c r="R569" s="285" t="n"/>
      <c r="S569" s="284" t="n"/>
      <c r="T569" s="284" t="n"/>
      <c r="U569" s="285" t="n"/>
      <c r="V569" s="285" t="n"/>
      <c r="W569" s="285" t="n"/>
      <c r="X569" s="285" t="n"/>
      <c r="Y569" s="285" t="n"/>
      <c r="Z569" s="285" t="n"/>
      <c r="AA569" s="285" t="n"/>
    </row>
    <row r="570" ht="15.75" customHeight="1" s="398">
      <c r="A570" s="284" t="n"/>
      <c r="B570" s="285" t="n"/>
      <c r="C570" s="284" t="n"/>
      <c r="D570" s="284" t="n"/>
      <c r="E570" s="285" t="n"/>
      <c r="F570" s="285" t="n"/>
      <c r="G570" s="336" t="n"/>
      <c r="H570" s="336" t="n"/>
      <c r="I570" s="285" t="n"/>
      <c r="J570" s="285" t="n"/>
      <c r="K570" s="285" t="n"/>
      <c r="L570" s="285" t="n"/>
      <c r="M570" s="285" t="n"/>
      <c r="N570" s="285" t="n"/>
      <c r="O570" s="285" t="n"/>
      <c r="P570" s="285" t="n"/>
      <c r="Q570" s="285" t="n"/>
      <c r="R570" s="285" t="n"/>
      <c r="S570" s="284" t="n"/>
      <c r="T570" s="284" t="n"/>
      <c r="U570" s="285" t="n"/>
      <c r="V570" s="285" t="n"/>
      <c r="W570" s="285" t="n"/>
      <c r="X570" s="285" t="n"/>
      <c r="Y570" s="285" t="n"/>
      <c r="Z570" s="285" t="n"/>
      <c r="AA570" s="285" t="n"/>
    </row>
    <row r="571" ht="15.75" customHeight="1" s="398">
      <c r="A571" s="284" t="n"/>
      <c r="B571" s="285" t="n"/>
      <c r="C571" s="284" t="n"/>
      <c r="D571" s="284" t="n"/>
      <c r="E571" s="285" t="n"/>
      <c r="F571" s="285" t="n"/>
      <c r="G571" s="336" t="n"/>
      <c r="H571" s="336" t="n"/>
      <c r="I571" s="285" t="n"/>
      <c r="J571" s="285" t="n"/>
      <c r="K571" s="285" t="n"/>
      <c r="L571" s="285" t="n"/>
      <c r="M571" s="285" t="n"/>
      <c r="N571" s="285" t="n"/>
      <c r="O571" s="285" t="n"/>
      <c r="P571" s="285" t="n"/>
      <c r="Q571" s="285" t="n"/>
      <c r="R571" s="285" t="n"/>
      <c r="S571" s="284" t="n"/>
      <c r="T571" s="284" t="n"/>
      <c r="U571" s="285" t="n"/>
      <c r="V571" s="285" t="n"/>
      <c r="W571" s="285" t="n"/>
      <c r="X571" s="285" t="n"/>
      <c r="Y571" s="285" t="n"/>
      <c r="Z571" s="285" t="n"/>
      <c r="AA571" s="285" t="n"/>
    </row>
    <row r="572" ht="15.75" customHeight="1" s="398">
      <c r="A572" s="284" t="n"/>
      <c r="B572" s="285" t="n"/>
      <c r="C572" s="284" t="n"/>
      <c r="D572" s="284" t="n"/>
      <c r="E572" s="285" t="n"/>
      <c r="F572" s="285" t="n"/>
      <c r="G572" s="336" t="n"/>
      <c r="H572" s="336" t="n"/>
      <c r="I572" s="285" t="n"/>
      <c r="J572" s="285" t="n"/>
      <c r="K572" s="285" t="n"/>
      <c r="L572" s="285" t="n"/>
      <c r="M572" s="285" t="n"/>
      <c r="N572" s="285" t="n"/>
      <c r="O572" s="285" t="n"/>
      <c r="P572" s="285" t="n"/>
      <c r="Q572" s="285" t="n"/>
      <c r="R572" s="285" t="n"/>
      <c r="S572" s="284" t="n"/>
      <c r="T572" s="284" t="n"/>
      <c r="U572" s="285" t="n"/>
      <c r="V572" s="285" t="n"/>
      <c r="W572" s="285" t="n"/>
      <c r="X572" s="285" t="n"/>
      <c r="Y572" s="285" t="n"/>
      <c r="Z572" s="285" t="n"/>
      <c r="AA572" s="285" t="n"/>
    </row>
    <row r="573" ht="15.75" customHeight="1" s="398">
      <c r="A573" s="284" t="n"/>
      <c r="B573" s="285" t="n"/>
      <c r="C573" s="284" t="n"/>
      <c r="D573" s="284" t="n"/>
      <c r="E573" s="285" t="n"/>
      <c r="F573" s="285" t="n"/>
      <c r="G573" s="336" t="n"/>
      <c r="H573" s="336" t="n"/>
      <c r="I573" s="285" t="n"/>
      <c r="J573" s="285" t="n"/>
      <c r="K573" s="285" t="n"/>
      <c r="L573" s="285" t="n"/>
      <c r="M573" s="285" t="n"/>
      <c r="N573" s="285" t="n"/>
      <c r="O573" s="285" t="n"/>
      <c r="P573" s="285" t="n"/>
      <c r="Q573" s="285" t="n"/>
      <c r="R573" s="285" t="n"/>
      <c r="S573" s="284" t="n"/>
      <c r="T573" s="284" t="n"/>
      <c r="U573" s="285" t="n"/>
      <c r="V573" s="285" t="n"/>
      <c r="W573" s="285" t="n"/>
      <c r="X573" s="285" t="n"/>
      <c r="Y573" s="285" t="n"/>
      <c r="Z573" s="285" t="n"/>
      <c r="AA573" s="285" t="n"/>
    </row>
    <row r="574" ht="15.75" customHeight="1" s="398">
      <c r="A574" s="284" t="n"/>
      <c r="B574" s="285" t="n"/>
      <c r="C574" s="284" t="n"/>
      <c r="D574" s="284" t="n"/>
      <c r="E574" s="285" t="n"/>
      <c r="F574" s="285" t="n"/>
      <c r="G574" s="336" t="n"/>
      <c r="H574" s="336" t="n"/>
      <c r="I574" s="285" t="n"/>
      <c r="J574" s="285" t="n"/>
      <c r="K574" s="285" t="n"/>
      <c r="L574" s="285" t="n"/>
      <c r="M574" s="285" t="n"/>
      <c r="N574" s="285" t="n"/>
      <c r="O574" s="285" t="n"/>
      <c r="P574" s="285" t="n"/>
      <c r="Q574" s="285" t="n"/>
      <c r="R574" s="285" t="n"/>
      <c r="S574" s="284" t="n"/>
      <c r="T574" s="284" t="n"/>
      <c r="U574" s="285" t="n"/>
      <c r="V574" s="285" t="n"/>
      <c r="W574" s="285" t="n"/>
      <c r="X574" s="285" t="n"/>
      <c r="Y574" s="285" t="n"/>
      <c r="Z574" s="285" t="n"/>
      <c r="AA574" s="285" t="n"/>
    </row>
    <row r="575" ht="15.75" customHeight="1" s="398">
      <c r="A575" s="284" t="n"/>
      <c r="B575" s="285" t="n"/>
      <c r="C575" s="284" t="n"/>
      <c r="D575" s="284" t="n"/>
      <c r="E575" s="285" t="n"/>
      <c r="F575" s="285" t="n"/>
      <c r="G575" s="336" t="n"/>
      <c r="H575" s="336" t="n"/>
      <c r="I575" s="285" t="n"/>
      <c r="J575" s="285" t="n"/>
      <c r="K575" s="285" t="n"/>
      <c r="L575" s="285" t="n"/>
      <c r="M575" s="285" t="n"/>
      <c r="N575" s="285" t="n"/>
      <c r="O575" s="285" t="n"/>
      <c r="P575" s="285" t="n"/>
      <c r="Q575" s="285" t="n"/>
      <c r="R575" s="285" t="n"/>
      <c r="S575" s="284" t="n"/>
      <c r="T575" s="284" t="n"/>
      <c r="U575" s="285" t="n"/>
      <c r="V575" s="285" t="n"/>
      <c r="W575" s="285" t="n"/>
      <c r="X575" s="285" t="n"/>
      <c r="Y575" s="285" t="n"/>
      <c r="Z575" s="285" t="n"/>
      <c r="AA575" s="285" t="n"/>
    </row>
    <row r="576" ht="15.75" customHeight="1" s="398">
      <c r="A576" s="284" t="n"/>
      <c r="B576" s="285" t="n"/>
      <c r="C576" s="284" t="n"/>
      <c r="D576" s="284" t="n"/>
      <c r="E576" s="285" t="n"/>
      <c r="F576" s="285" t="n"/>
      <c r="G576" s="336" t="n"/>
      <c r="H576" s="336" t="n"/>
      <c r="I576" s="285" t="n"/>
      <c r="J576" s="285" t="n"/>
      <c r="K576" s="285" t="n"/>
      <c r="L576" s="285" t="n"/>
      <c r="M576" s="285" t="n"/>
      <c r="N576" s="285" t="n"/>
      <c r="O576" s="285" t="n"/>
      <c r="P576" s="285" t="n"/>
      <c r="Q576" s="285" t="n"/>
      <c r="R576" s="285" t="n"/>
      <c r="S576" s="284" t="n"/>
      <c r="T576" s="284" t="n"/>
      <c r="U576" s="285" t="n"/>
      <c r="V576" s="285" t="n"/>
      <c r="W576" s="285" t="n"/>
      <c r="X576" s="285" t="n"/>
      <c r="Y576" s="285" t="n"/>
      <c r="Z576" s="285" t="n"/>
      <c r="AA576" s="285" t="n"/>
    </row>
    <row r="577" ht="15.75" customHeight="1" s="398">
      <c r="A577" s="284" t="n"/>
      <c r="B577" s="285" t="n"/>
      <c r="C577" s="284" t="n"/>
      <c r="D577" s="284" t="n"/>
      <c r="E577" s="285" t="n"/>
      <c r="F577" s="285" t="n"/>
      <c r="G577" s="336" t="n"/>
      <c r="H577" s="336" t="n"/>
      <c r="I577" s="285" t="n"/>
      <c r="J577" s="285" t="n"/>
      <c r="K577" s="285" t="n"/>
      <c r="L577" s="285" t="n"/>
      <c r="M577" s="285" t="n"/>
      <c r="N577" s="285" t="n"/>
      <c r="O577" s="285" t="n"/>
      <c r="P577" s="285" t="n"/>
      <c r="Q577" s="285" t="n"/>
      <c r="R577" s="285" t="n"/>
      <c r="S577" s="284" t="n"/>
      <c r="T577" s="284" t="n"/>
      <c r="U577" s="285" t="n"/>
      <c r="V577" s="285" t="n"/>
      <c r="W577" s="285" t="n"/>
      <c r="X577" s="285" t="n"/>
      <c r="Y577" s="285" t="n"/>
      <c r="Z577" s="285" t="n"/>
      <c r="AA577" s="285" t="n"/>
    </row>
    <row r="578" ht="15.75" customHeight="1" s="398">
      <c r="A578" s="284" t="n"/>
      <c r="B578" s="285" t="n"/>
      <c r="C578" s="284" t="n"/>
      <c r="D578" s="284" t="n"/>
      <c r="E578" s="285" t="n"/>
      <c r="F578" s="285" t="n"/>
      <c r="G578" s="336" t="n"/>
      <c r="H578" s="336" t="n"/>
      <c r="I578" s="285" t="n"/>
      <c r="J578" s="285" t="n"/>
      <c r="K578" s="285" t="n"/>
      <c r="L578" s="285" t="n"/>
      <c r="M578" s="285" t="n"/>
      <c r="N578" s="285" t="n"/>
      <c r="O578" s="285" t="n"/>
      <c r="P578" s="285" t="n"/>
      <c r="Q578" s="285" t="n"/>
      <c r="R578" s="285" t="n"/>
      <c r="S578" s="284" t="n"/>
      <c r="T578" s="284" t="n"/>
      <c r="U578" s="285" t="n"/>
      <c r="V578" s="285" t="n"/>
      <c r="W578" s="285" t="n"/>
      <c r="X578" s="285" t="n"/>
      <c r="Y578" s="285" t="n"/>
      <c r="Z578" s="285" t="n"/>
      <c r="AA578" s="285" t="n"/>
    </row>
    <row r="579" ht="15.75" customHeight="1" s="398">
      <c r="A579" s="284" t="n"/>
      <c r="B579" s="285" t="n"/>
      <c r="C579" s="284" t="n"/>
      <c r="D579" s="284" t="n"/>
      <c r="E579" s="285" t="n"/>
      <c r="F579" s="285" t="n"/>
      <c r="G579" s="336" t="n"/>
      <c r="H579" s="336" t="n"/>
      <c r="I579" s="285" t="n"/>
      <c r="J579" s="285" t="n"/>
      <c r="K579" s="285" t="n"/>
      <c r="L579" s="285" t="n"/>
      <c r="M579" s="285" t="n"/>
      <c r="N579" s="285" t="n"/>
      <c r="O579" s="285" t="n"/>
      <c r="P579" s="285" t="n"/>
      <c r="Q579" s="285" t="n"/>
      <c r="R579" s="285" t="n"/>
      <c r="S579" s="284" t="n"/>
      <c r="T579" s="284" t="n"/>
      <c r="U579" s="285" t="n"/>
      <c r="V579" s="285" t="n"/>
      <c r="W579" s="285" t="n"/>
      <c r="X579" s="285" t="n"/>
      <c r="Y579" s="285" t="n"/>
      <c r="Z579" s="285" t="n"/>
      <c r="AA579" s="285" t="n"/>
    </row>
    <row r="580" ht="15.75" customHeight="1" s="398">
      <c r="A580" s="284" t="n"/>
      <c r="B580" s="285" t="n"/>
      <c r="C580" s="284" t="n"/>
      <c r="D580" s="284" t="n"/>
      <c r="E580" s="285" t="n"/>
      <c r="F580" s="285" t="n"/>
      <c r="G580" s="336" t="n"/>
      <c r="H580" s="336" t="n"/>
      <c r="I580" s="285" t="n"/>
      <c r="J580" s="285" t="n"/>
      <c r="K580" s="285" t="n"/>
      <c r="L580" s="285" t="n"/>
      <c r="M580" s="285" t="n"/>
      <c r="N580" s="285" t="n"/>
      <c r="O580" s="285" t="n"/>
      <c r="P580" s="285" t="n"/>
      <c r="Q580" s="285" t="n"/>
      <c r="R580" s="285" t="n"/>
      <c r="S580" s="284" t="n"/>
      <c r="T580" s="284" t="n"/>
      <c r="U580" s="285" t="n"/>
      <c r="V580" s="285" t="n"/>
      <c r="W580" s="285" t="n"/>
      <c r="X580" s="285" t="n"/>
      <c r="Y580" s="285" t="n"/>
      <c r="Z580" s="285" t="n"/>
      <c r="AA580" s="285" t="n"/>
    </row>
    <row r="581" ht="15.75" customHeight="1" s="398">
      <c r="A581" s="284" t="n"/>
      <c r="B581" s="285" t="n"/>
      <c r="C581" s="284" t="n"/>
      <c r="D581" s="284" t="n"/>
      <c r="E581" s="285" t="n"/>
      <c r="F581" s="285" t="n"/>
      <c r="G581" s="336" t="n"/>
      <c r="H581" s="336" t="n"/>
      <c r="I581" s="285" t="n"/>
      <c r="J581" s="285" t="n"/>
      <c r="K581" s="285" t="n"/>
      <c r="L581" s="285" t="n"/>
      <c r="M581" s="285" t="n"/>
      <c r="N581" s="285" t="n"/>
      <c r="O581" s="285" t="n"/>
      <c r="P581" s="285" t="n"/>
      <c r="Q581" s="285" t="n"/>
      <c r="R581" s="285" t="n"/>
      <c r="S581" s="284" t="n"/>
      <c r="T581" s="284" t="n"/>
      <c r="U581" s="285" t="n"/>
      <c r="V581" s="285" t="n"/>
      <c r="W581" s="285" t="n"/>
      <c r="X581" s="285" t="n"/>
      <c r="Y581" s="285" t="n"/>
      <c r="Z581" s="285" t="n"/>
      <c r="AA581" s="285" t="n"/>
    </row>
    <row r="582" ht="15.75" customHeight="1" s="398">
      <c r="A582" s="284" t="n"/>
      <c r="B582" s="285" t="n"/>
      <c r="C582" s="284" t="n"/>
      <c r="D582" s="284" t="n"/>
      <c r="E582" s="285" t="n"/>
      <c r="F582" s="285" t="n"/>
      <c r="G582" s="336" t="n"/>
      <c r="H582" s="336" t="n"/>
      <c r="I582" s="285" t="n"/>
      <c r="J582" s="285" t="n"/>
      <c r="K582" s="285" t="n"/>
      <c r="L582" s="285" t="n"/>
      <c r="M582" s="285" t="n"/>
      <c r="N582" s="285" t="n"/>
      <c r="O582" s="285" t="n"/>
      <c r="P582" s="285" t="n"/>
      <c r="Q582" s="285" t="n"/>
      <c r="R582" s="285" t="n"/>
      <c r="S582" s="284" t="n"/>
      <c r="T582" s="284" t="n"/>
      <c r="U582" s="285" t="n"/>
      <c r="V582" s="285" t="n"/>
      <c r="W582" s="285" t="n"/>
      <c r="X582" s="285" t="n"/>
      <c r="Y582" s="285" t="n"/>
      <c r="Z582" s="285" t="n"/>
      <c r="AA582" s="285" t="n"/>
    </row>
    <row r="583" ht="15.75" customHeight="1" s="398">
      <c r="A583" s="284" t="n"/>
      <c r="B583" s="285" t="n"/>
      <c r="C583" s="284" t="n"/>
      <c r="D583" s="284" t="n"/>
      <c r="E583" s="285" t="n"/>
      <c r="F583" s="285" t="n"/>
      <c r="G583" s="336" t="n"/>
      <c r="H583" s="336" t="n"/>
      <c r="I583" s="285" t="n"/>
      <c r="J583" s="285" t="n"/>
      <c r="K583" s="285" t="n"/>
      <c r="L583" s="285" t="n"/>
      <c r="M583" s="285" t="n"/>
      <c r="N583" s="285" t="n"/>
      <c r="O583" s="285" t="n"/>
      <c r="P583" s="285" t="n"/>
      <c r="Q583" s="285" t="n"/>
      <c r="R583" s="285" t="n"/>
      <c r="S583" s="284" t="n"/>
      <c r="T583" s="284" t="n"/>
      <c r="U583" s="285" t="n"/>
      <c r="V583" s="285" t="n"/>
      <c r="W583" s="285" t="n"/>
      <c r="X583" s="285" t="n"/>
      <c r="Y583" s="285" t="n"/>
      <c r="Z583" s="285" t="n"/>
      <c r="AA583" s="285" t="n"/>
    </row>
    <row r="584" ht="15.75" customHeight="1" s="398">
      <c r="A584" s="284" t="n"/>
      <c r="B584" s="285" t="n"/>
      <c r="C584" s="284" t="n"/>
      <c r="D584" s="284" t="n"/>
      <c r="E584" s="285" t="n"/>
      <c r="F584" s="285" t="n"/>
      <c r="G584" s="336" t="n"/>
      <c r="H584" s="336" t="n"/>
      <c r="I584" s="285" t="n"/>
      <c r="J584" s="285" t="n"/>
      <c r="K584" s="285" t="n"/>
      <c r="L584" s="285" t="n"/>
      <c r="M584" s="285" t="n"/>
      <c r="N584" s="285" t="n"/>
      <c r="O584" s="285" t="n"/>
      <c r="P584" s="285" t="n"/>
      <c r="Q584" s="285" t="n"/>
      <c r="R584" s="285" t="n"/>
      <c r="S584" s="284" t="n"/>
      <c r="T584" s="284" t="n"/>
      <c r="U584" s="285" t="n"/>
      <c r="V584" s="285" t="n"/>
      <c r="W584" s="285" t="n"/>
      <c r="X584" s="285" t="n"/>
      <c r="Y584" s="285" t="n"/>
      <c r="Z584" s="285" t="n"/>
      <c r="AA584" s="285" t="n"/>
    </row>
    <row r="585" ht="15.75" customHeight="1" s="398">
      <c r="A585" s="284" t="n"/>
      <c r="B585" s="285" t="n"/>
      <c r="C585" s="284" t="n"/>
      <c r="D585" s="284" t="n"/>
      <c r="E585" s="285" t="n"/>
      <c r="F585" s="285" t="n"/>
      <c r="G585" s="336" t="n"/>
      <c r="H585" s="336" t="n"/>
      <c r="I585" s="285" t="n"/>
      <c r="J585" s="285" t="n"/>
      <c r="K585" s="285" t="n"/>
      <c r="L585" s="285" t="n"/>
      <c r="M585" s="285" t="n"/>
      <c r="N585" s="285" t="n"/>
      <c r="O585" s="285" t="n"/>
      <c r="P585" s="285" t="n"/>
      <c r="Q585" s="285" t="n"/>
      <c r="R585" s="285" t="n"/>
      <c r="S585" s="284" t="n"/>
      <c r="T585" s="284" t="n"/>
      <c r="U585" s="285" t="n"/>
      <c r="V585" s="285" t="n"/>
      <c r="W585" s="285" t="n"/>
      <c r="X585" s="285" t="n"/>
      <c r="Y585" s="285" t="n"/>
      <c r="Z585" s="285" t="n"/>
      <c r="AA585" s="285" t="n"/>
    </row>
    <row r="586" ht="15.75" customHeight="1" s="398">
      <c r="A586" s="284" t="n"/>
      <c r="B586" s="285" t="n"/>
      <c r="C586" s="284" t="n"/>
      <c r="D586" s="284" t="n"/>
      <c r="E586" s="285" t="n"/>
      <c r="F586" s="285" t="n"/>
      <c r="G586" s="336" t="n"/>
      <c r="H586" s="336" t="n"/>
      <c r="I586" s="285" t="n"/>
      <c r="J586" s="285" t="n"/>
      <c r="K586" s="285" t="n"/>
      <c r="L586" s="285" t="n"/>
      <c r="M586" s="285" t="n"/>
      <c r="N586" s="285" t="n"/>
      <c r="O586" s="285" t="n"/>
      <c r="P586" s="285" t="n"/>
      <c r="Q586" s="285" t="n"/>
      <c r="R586" s="285" t="n"/>
      <c r="S586" s="284" t="n"/>
      <c r="T586" s="284" t="n"/>
      <c r="U586" s="285" t="n"/>
      <c r="V586" s="285" t="n"/>
      <c r="W586" s="285" t="n"/>
      <c r="X586" s="285" t="n"/>
      <c r="Y586" s="285" t="n"/>
      <c r="Z586" s="285" t="n"/>
      <c r="AA586" s="285" t="n"/>
    </row>
    <row r="587" ht="15.75" customHeight="1" s="398">
      <c r="A587" s="284" t="n"/>
      <c r="B587" s="285" t="n"/>
      <c r="C587" s="284" t="n"/>
      <c r="D587" s="284" t="n"/>
      <c r="E587" s="285" t="n"/>
      <c r="F587" s="285" t="n"/>
      <c r="G587" s="336" t="n"/>
      <c r="H587" s="336" t="n"/>
      <c r="I587" s="285" t="n"/>
      <c r="J587" s="285" t="n"/>
      <c r="K587" s="285" t="n"/>
      <c r="L587" s="285" t="n"/>
      <c r="M587" s="285" t="n"/>
      <c r="N587" s="285" t="n"/>
      <c r="O587" s="285" t="n"/>
      <c r="P587" s="285" t="n"/>
      <c r="Q587" s="285" t="n"/>
      <c r="R587" s="285" t="n"/>
      <c r="S587" s="284" t="n"/>
      <c r="T587" s="284" t="n"/>
      <c r="U587" s="285" t="n"/>
      <c r="V587" s="285" t="n"/>
      <c r="W587" s="285" t="n"/>
      <c r="X587" s="285" t="n"/>
      <c r="Y587" s="285" t="n"/>
      <c r="Z587" s="285" t="n"/>
      <c r="AA587" s="285" t="n"/>
    </row>
    <row r="588" ht="15.75" customHeight="1" s="398">
      <c r="A588" s="284" t="n"/>
      <c r="B588" s="285" t="n"/>
      <c r="C588" s="284" t="n"/>
      <c r="D588" s="284" t="n"/>
      <c r="E588" s="285" t="n"/>
      <c r="F588" s="285" t="n"/>
      <c r="G588" s="336" t="n"/>
      <c r="H588" s="336" t="n"/>
      <c r="I588" s="285" t="n"/>
      <c r="J588" s="285" t="n"/>
      <c r="K588" s="285" t="n"/>
      <c r="L588" s="285" t="n"/>
      <c r="M588" s="285" t="n"/>
      <c r="N588" s="285" t="n"/>
      <c r="O588" s="285" t="n"/>
      <c r="P588" s="285" t="n"/>
      <c r="Q588" s="285" t="n"/>
      <c r="R588" s="285" t="n"/>
      <c r="S588" s="284" t="n"/>
      <c r="T588" s="284" t="n"/>
      <c r="U588" s="285" t="n"/>
      <c r="V588" s="285" t="n"/>
      <c r="W588" s="285" t="n"/>
      <c r="X588" s="285" t="n"/>
      <c r="Y588" s="285" t="n"/>
      <c r="Z588" s="285" t="n"/>
      <c r="AA588" s="285" t="n"/>
    </row>
    <row r="589" ht="15.75" customHeight="1" s="398">
      <c r="A589" s="284" t="n"/>
      <c r="B589" s="285" t="n"/>
      <c r="C589" s="284" t="n"/>
      <c r="D589" s="284" t="n"/>
      <c r="E589" s="285" t="n"/>
      <c r="F589" s="285" t="n"/>
      <c r="G589" s="336" t="n"/>
      <c r="H589" s="336" t="n"/>
      <c r="I589" s="285" t="n"/>
      <c r="J589" s="285" t="n"/>
      <c r="K589" s="285" t="n"/>
      <c r="L589" s="285" t="n"/>
      <c r="M589" s="285" t="n"/>
      <c r="N589" s="285" t="n"/>
      <c r="O589" s="285" t="n"/>
      <c r="P589" s="285" t="n"/>
      <c r="Q589" s="285" t="n"/>
      <c r="R589" s="285" t="n"/>
      <c r="S589" s="284" t="n"/>
      <c r="T589" s="284" t="n"/>
      <c r="U589" s="285" t="n"/>
      <c r="V589" s="285" t="n"/>
      <c r="W589" s="285" t="n"/>
      <c r="X589" s="285" t="n"/>
      <c r="Y589" s="285" t="n"/>
      <c r="Z589" s="285" t="n"/>
      <c r="AA589" s="285" t="n"/>
    </row>
    <row r="590" ht="15.75" customHeight="1" s="398">
      <c r="A590" s="284" t="n"/>
      <c r="B590" s="285" t="n"/>
      <c r="C590" s="284" t="n"/>
      <c r="D590" s="284" t="n"/>
      <c r="E590" s="285" t="n"/>
      <c r="F590" s="285" t="n"/>
      <c r="G590" s="336" t="n"/>
      <c r="H590" s="336" t="n"/>
      <c r="I590" s="285" t="n"/>
      <c r="J590" s="285" t="n"/>
      <c r="K590" s="285" t="n"/>
      <c r="L590" s="285" t="n"/>
      <c r="M590" s="285" t="n"/>
      <c r="N590" s="285" t="n"/>
      <c r="O590" s="285" t="n"/>
      <c r="P590" s="285" t="n"/>
      <c r="Q590" s="285" t="n"/>
      <c r="R590" s="285" t="n"/>
      <c r="S590" s="284" t="n"/>
      <c r="T590" s="284" t="n"/>
      <c r="U590" s="285" t="n"/>
      <c r="V590" s="285" t="n"/>
      <c r="W590" s="285" t="n"/>
      <c r="X590" s="285" t="n"/>
      <c r="Y590" s="285" t="n"/>
      <c r="Z590" s="285" t="n"/>
      <c r="AA590" s="285" t="n"/>
    </row>
    <row r="591" ht="15.75" customHeight="1" s="398">
      <c r="A591" s="284" t="n"/>
      <c r="B591" s="285" t="n"/>
      <c r="C591" s="284" t="n"/>
      <c r="D591" s="284" t="n"/>
      <c r="E591" s="285" t="n"/>
      <c r="F591" s="285" t="n"/>
      <c r="G591" s="336" t="n"/>
      <c r="H591" s="336" t="n"/>
      <c r="I591" s="285" t="n"/>
      <c r="J591" s="285" t="n"/>
      <c r="K591" s="285" t="n"/>
      <c r="L591" s="285" t="n"/>
      <c r="M591" s="285" t="n"/>
      <c r="N591" s="285" t="n"/>
      <c r="O591" s="285" t="n"/>
      <c r="P591" s="285" t="n"/>
      <c r="Q591" s="285" t="n"/>
      <c r="R591" s="285" t="n"/>
      <c r="S591" s="284" t="n"/>
      <c r="T591" s="284" t="n"/>
      <c r="U591" s="285" t="n"/>
      <c r="V591" s="285" t="n"/>
      <c r="W591" s="285" t="n"/>
      <c r="X591" s="285" t="n"/>
      <c r="Y591" s="285" t="n"/>
      <c r="Z591" s="285" t="n"/>
      <c r="AA591" s="285" t="n"/>
    </row>
    <row r="592" ht="15.75" customHeight="1" s="398">
      <c r="A592" s="284" t="n"/>
      <c r="B592" s="285" t="n"/>
      <c r="C592" s="284" t="n"/>
      <c r="D592" s="284" t="n"/>
      <c r="E592" s="285" t="n"/>
      <c r="F592" s="285" t="n"/>
      <c r="G592" s="336" t="n"/>
      <c r="H592" s="336" t="n"/>
      <c r="I592" s="285" t="n"/>
      <c r="J592" s="285" t="n"/>
      <c r="K592" s="285" t="n"/>
      <c r="L592" s="285" t="n"/>
      <c r="M592" s="285" t="n"/>
      <c r="N592" s="285" t="n"/>
      <c r="O592" s="285" t="n"/>
      <c r="P592" s="285" t="n"/>
      <c r="Q592" s="285" t="n"/>
      <c r="R592" s="285" t="n"/>
      <c r="S592" s="284" t="n"/>
      <c r="T592" s="284" t="n"/>
      <c r="U592" s="285" t="n"/>
      <c r="V592" s="285" t="n"/>
      <c r="W592" s="285" t="n"/>
      <c r="X592" s="285" t="n"/>
      <c r="Y592" s="285" t="n"/>
      <c r="Z592" s="285" t="n"/>
      <c r="AA592" s="285" t="n"/>
    </row>
    <row r="593" ht="15.75" customHeight="1" s="398">
      <c r="A593" s="284" t="n"/>
      <c r="B593" s="285" t="n"/>
      <c r="C593" s="284" t="n"/>
      <c r="D593" s="284" t="n"/>
      <c r="E593" s="285" t="n"/>
      <c r="F593" s="285" t="n"/>
      <c r="G593" s="336" t="n"/>
      <c r="H593" s="336" t="n"/>
      <c r="I593" s="285" t="n"/>
      <c r="J593" s="285" t="n"/>
      <c r="K593" s="285" t="n"/>
      <c r="L593" s="285" t="n"/>
      <c r="M593" s="285" t="n"/>
      <c r="N593" s="285" t="n"/>
      <c r="O593" s="285" t="n"/>
      <c r="P593" s="285" t="n"/>
      <c r="Q593" s="285" t="n"/>
      <c r="R593" s="285" t="n"/>
      <c r="S593" s="284" t="n"/>
      <c r="T593" s="284" t="n"/>
      <c r="U593" s="285" t="n"/>
      <c r="V593" s="285" t="n"/>
      <c r="W593" s="285" t="n"/>
      <c r="X593" s="285" t="n"/>
      <c r="Y593" s="285" t="n"/>
      <c r="Z593" s="285" t="n"/>
      <c r="AA593" s="285" t="n"/>
    </row>
    <row r="594" ht="15.75" customHeight="1" s="398">
      <c r="A594" s="284" t="n"/>
      <c r="B594" s="285" t="n"/>
      <c r="C594" s="284" t="n"/>
      <c r="D594" s="284" t="n"/>
      <c r="E594" s="285" t="n"/>
      <c r="F594" s="285" t="n"/>
      <c r="G594" s="336" t="n"/>
      <c r="H594" s="336" t="n"/>
      <c r="I594" s="285" t="n"/>
      <c r="J594" s="285" t="n"/>
      <c r="K594" s="285" t="n"/>
      <c r="L594" s="285" t="n"/>
      <c r="M594" s="285" t="n"/>
      <c r="N594" s="285" t="n"/>
      <c r="O594" s="285" t="n"/>
      <c r="P594" s="285" t="n"/>
      <c r="Q594" s="285" t="n"/>
      <c r="R594" s="285" t="n"/>
      <c r="S594" s="284" t="n"/>
      <c r="T594" s="284" t="n"/>
      <c r="U594" s="285" t="n"/>
      <c r="V594" s="285" t="n"/>
      <c r="W594" s="285" t="n"/>
      <c r="X594" s="285" t="n"/>
      <c r="Y594" s="285" t="n"/>
      <c r="Z594" s="285" t="n"/>
      <c r="AA594" s="285" t="n"/>
    </row>
    <row r="595" ht="15.75" customHeight="1" s="398">
      <c r="A595" s="284" t="n"/>
      <c r="B595" s="285" t="n"/>
      <c r="C595" s="284" t="n"/>
      <c r="D595" s="284" t="n"/>
      <c r="E595" s="285" t="n"/>
      <c r="F595" s="285" t="n"/>
      <c r="G595" s="336" t="n"/>
      <c r="H595" s="336" t="n"/>
      <c r="I595" s="285" t="n"/>
      <c r="J595" s="285" t="n"/>
      <c r="K595" s="285" t="n"/>
      <c r="L595" s="285" t="n"/>
      <c r="M595" s="285" t="n"/>
      <c r="N595" s="285" t="n"/>
      <c r="O595" s="285" t="n"/>
      <c r="P595" s="285" t="n"/>
      <c r="Q595" s="285" t="n"/>
      <c r="R595" s="285" t="n"/>
      <c r="S595" s="284" t="n"/>
      <c r="T595" s="284" t="n"/>
      <c r="U595" s="285" t="n"/>
      <c r="V595" s="285" t="n"/>
      <c r="W595" s="285" t="n"/>
      <c r="X595" s="285" t="n"/>
      <c r="Y595" s="285" t="n"/>
      <c r="Z595" s="285" t="n"/>
      <c r="AA595" s="285" t="n"/>
    </row>
    <row r="596" ht="15.75" customHeight="1" s="398">
      <c r="A596" s="284" t="n"/>
      <c r="B596" s="285" t="n"/>
      <c r="C596" s="284" t="n"/>
      <c r="D596" s="284" t="n"/>
      <c r="E596" s="285" t="n"/>
      <c r="F596" s="285" t="n"/>
      <c r="G596" s="336" t="n"/>
      <c r="H596" s="336" t="n"/>
      <c r="I596" s="285" t="n"/>
      <c r="J596" s="285" t="n"/>
      <c r="K596" s="285" t="n"/>
      <c r="L596" s="285" t="n"/>
      <c r="M596" s="285" t="n"/>
      <c r="N596" s="285" t="n"/>
      <c r="O596" s="285" t="n"/>
      <c r="P596" s="285" t="n"/>
      <c r="Q596" s="285" t="n"/>
      <c r="R596" s="285" t="n"/>
      <c r="S596" s="284" t="n"/>
      <c r="T596" s="284" t="n"/>
      <c r="U596" s="285" t="n"/>
      <c r="V596" s="285" t="n"/>
      <c r="W596" s="285" t="n"/>
      <c r="X596" s="285" t="n"/>
      <c r="Y596" s="285" t="n"/>
      <c r="Z596" s="285" t="n"/>
      <c r="AA596" s="285" t="n"/>
    </row>
    <row r="597" ht="15.75" customHeight="1" s="398">
      <c r="A597" s="284" t="n"/>
      <c r="B597" s="285" t="n"/>
      <c r="C597" s="284" t="n"/>
      <c r="D597" s="284" t="n"/>
      <c r="E597" s="285" t="n"/>
      <c r="F597" s="285" t="n"/>
      <c r="G597" s="336" t="n"/>
      <c r="H597" s="336" t="n"/>
      <c r="I597" s="285" t="n"/>
      <c r="J597" s="285" t="n"/>
      <c r="K597" s="285" t="n"/>
      <c r="L597" s="285" t="n"/>
      <c r="M597" s="285" t="n"/>
      <c r="N597" s="285" t="n"/>
      <c r="O597" s="285" t="n"/>
      <c r="P597" s="285" t="n"/>
      <c r="Q597" s="285" t="n"/>
      <c r="R597" s="285" t="n"/>
      <c r="S597" s="284" t="n"/>
      <c r="T597" s="284" t="n"/>
      <c r="U597" s="285" t="n"/>
      <c r="V597" s="285" t="n"/>
      <c r="W597" s="285" t="n"/>
      <c r="X597" s="285" t="n"/>
      <c r="Y597" s="285" t="n"/>
      <c r="Z597" s="285" t="n"/>
      <c r="AA597" s="285" t="n"/>
    </row>
    <row r="598" ht="15.75" customHeight="1" s="398">
      <c r="A598" s="284" t="n"/>
      <c r="B598" s="285" t="n"/>
      <c r="C598" s="284" t="n"/>
      <c r="D598" s="284" t="n"/>
      <c r="E598" s="285" t="n"/>
      <c r="F598" s="285" t="n"/>
      <c r="G598" s="336" t="n"/>
      <c r="H598" s="336" t="n"/>
      <c r="I598" s="285" t="n"/>
      <c r="J598" s="285" t="n"/>
      <c r="K598" s="285" t="n"/>
      <c r="L598" s="285" t="n"/>
      <c r="M598" s="285" t="n"/>
      <c r="N598" s="285" t="n"/>
      <c r="O598" s="285" t="n"/>
      <c r="P598" s="285" t="n"/>
      <c r="Q598" s="285" t="n"/>
      <c r="R598" s="285" t="n"/>
      <c r="S598" s="284" t="n"/>
      <c r="T598" s="284" t="n"/>
      <c r="U598" s="285" t="n"/>
      <c r="V598" s="285" t="n"/>
      <c r="W598" s="285" t="n"/>
      <c r="X598" s="285" t="n"/>
      <c r="Y598" s="285" t="n"/>
      <c r="Z598" s="285" t="n"/>
      <c r="AA598" s="285" t="n"/>
    </row>
    <row r="599" ht="15.75" customHeight="1" s="398">
      <c r="A599" s="284" t="n"/>
      <c r="B599" s="285" t="n"/>
      <c r="C599" s="284" t="n"/>
      <c r="D599" s="284" t="n"/>
      <c r="E599" s="285" t="n"/>
      <c r="F599" s="285" t="n"/>
      <c r="G599" s="336" t="n"/>
      <c r="H599" s="336" t="n"/>
      <c r="I599" s="285" t="n"/>
      <c r="J599" s="285" t="n"/>
      <c r="K599" s="285" t="n"/>
      <c r="L599" s="285" t="n"/>
      <c r="M599" s="285" t="n"/>
      <c r="N599" s="285" t="n"/>
      <c r="O599" s="285" t="n"/>
      <c r="P599" s="285" t="n"/>
      <c r="Q599" s="285" t="n"/>
      <c r="R599" s="285" t="n"/>
      <c r="S599" s="284" t="n"/>
      <c r="T599" s="284" t="n"/>
      <c r="U599" s="285" t="n"/>
      <c r="V599" s="285" t="n"/>
      <c r="W599" s="285" t="n"/>
      <c r="X599" s="285" t="n"/>
      <c r="Y599" s="285" t="n"/>
      <c r="Z599" s="285" t="n"/>
      <c r="AA599" s="285" t="n"/>
    </row>
    <row r="600" ht="15.75" customHeight="1" s="398">
      <c r="A600" s="284" t="n"/>
      <c r="B600" s="285" t="n"/>
      <c r="C600" s="284" t="n"/>
      <c r="D600" s="284" t="n"/>
      <c r="E600" s="285" t="n"/>
      <c r="F600" s="285" t="n"/>
      <c r="G600" s="336" t="n"/>
      <c r="H600" s="336" t="n"/>
      <c r="I600" s="285" t="n"/>
      <c r="J600" s="285" t="n"/>
      <c r="K600" s="285" t="n"/>
      <c r="L600" s="285" t="n"/>
      <c r="M600" s="285" t="n"/>
      <c r="N600" s="285" t="n"/>
      <c r="O600" s="285" t="n"/>
      <c r="P600" s="285" t="n"/>
      <c r="Q600" s="285" t="n"/>
      <c r="R600" s="285" t="n"/>
      <c r="S600" s="284" t="n"/>
      <c r="T600" s="284" t="n"/>
      <c r="U600" s="285" t="n"/>
      <c r="V600" s="285" t="n"/>
      <c r="W600" s="285" t="n"/>
      <c r="X600" s="285" t="n"/>
      <c r="Y600" s="285" t="n"/>
      <c r="Z600" s="285" t="n"/>
      <c r="AA600" s="285" t="n"/>
    </row>
    <row r="601" ht="15.75" customHeight="1" s="398">
      <c r="A601" s="284" t="n"/>
      <c r="B601" s="285" t="n"/>
      <c r="C601" s="284" t="n"/>
      <c r="D601" s="284" t="n"/>
      <c r="E601" s="285" t="n"/>
      <c r="F601" s="285" t="n"/>
      <c r="G601" s="336" t="n"/>
      <c r="H601" s="336" t="n"/>
      <c r="I601" s="285" t="n"/>
      <c r="J601" s="285" t="n"/>
      <c r="K601" s="285" t="n"/>
      <c r="L601" s="285" t="n"/>
      <c r="M601" s="285" t="n"/>
      <c r="N601" s="285" t="n"/>
      <c r="O601" s="285" t="n"/>
      <c r="P601" s="285" t="n"/>
      <c r="Q601" s="285" t="n"/>
      <c r="R601" s="285" t="n"/>
      <c r="S601" s="284" t="n"/>
      <c r="T601" s="284" t="n"/>
      <c r="U601" s="285" t="n"/>
      <c r="V601" s="285" t="n"/>
      <c r="W601" s="285" t="n"/>
      <c r="X601" s="285" t="n"/>
      <c r="Y601" s="285" t="n"/>
      <c r="Z601" s="285" t="n"/>
      <c r="AA601" s="285" t="n"/>
    </row>
    <row r="602" ht="15.75" customHeight="1" s="398">
      <c r="A602" s="284" t="n"/>
      <c r="B602" s="285" t="n"/>
      <c r="C602" s="284" t="n"/>
      <c r="D602" s="284" t="n"/>
      <c r="E602" s="285" t="n"/>
      <c r="F602" s="285" t="n"/>
      <c r="G602" s="336" t="n"/>
      <c r="H602" s="336" t="n"/>
      <c r="I602" s="285" t="n"/>
      <c r="J602" s="285" t="n"/>
      <c r="K602" s="285" t="n"/>
      <c r="L602" s="285" t="n"/>
      <c r="M602" s="285" t="n"/>
      <c r="N602" s="285" t="n"/>
      <c r="O602" s="285" t="n"/>
      <c r="P602" s="285" t="n"/>
      <c r="Q602" s="285" t="n"/>
      <c r="R602" s="285" t="n"/>
      <c r="S602" s="284" t="n"/>
      <c r="T602" s="284" t="n"/>
      <c r="U602" s="285" t="n"/>
      <c r="V602" s="285" t="n"/>
      <c r="W602" s="285" t="n"/>
      <c r="X602" s="285" t="n"/>
      <c r="Y602" s="285" t="n"/>
      <c r="Z602" s="285" t="n"/>
      <c r="AA602" s="285" t="n"/>
    </row>
    <row r="603" ht="15.75" customHeight="1" s="398">
      <c r="A603" s="284" t="n"/>
      <c r="B603" s="285" t="n"/>
      <c r="C603" s="284" t="n"/>
      <c r="D603" s="284" t="n"/>
      <c r="E603" s="285" t="n"/>
      <c r="F603" s="285" t="n"/>
      <c r="G603" s="336" t="n"/>
      <c r="H603" s="336" t="n"/>
      <c r="I603" s="285" t="n"/>
      <c r="J603" s="285" t="n"/>
      <c r="K603" s="285" t="n"/>
      <c r="L603" s="285" t="n"/>
      <c r="M603" s="285" t="n"/>
      <c r="N603" s="285" t="n"/>
      <c r="O603" s="285" t="n"/>
      <c r="P603" s="285" t="n"/>
      <c r="Q603" s="285" t="n"/>
      <c r="R603" s="285" t="n"/>
      <c r="S603" s="284" t="n"/>
      <c r="T603" s="284" t="n"/>
      <c r="U603" s="285" t="n"/>
      <c r="V603" s="285" t="n"/>
      <c r="W603" s="285" t="n"/>
      <c r="X603" s="285" t="n"/>
      <c r="Y603" s="285" t="n"/>
      <c r="Z603" s="285" t="n"/>
      <c r="AA603" s="285" t="n"/>
    </row>
    <row r="604" ht="15.75" customHeight="1" s="398">
      <c r="A604" s="284" t="n"/>
      <c r="B604" s="285" t="n"/>
      <c r="C604" s="284" t="n"/>
      <c r="D604" s="284" t="n"/>
      <c r="E604" s="285" t="n"/>
      <c r="F604" s="285" t="n"/>
      <c r="G604" s="336" t="n"/>
      <c r="H604" s="336" t="n"/>
      <c r="I604" s="285" t="n"/>
      <c r="J604" s="285" t="n"/>
      <c r="K604" s="285" t="n"/>
      <c r="L604" s="285" t="n"/>
      <c r="M604" s="285" t="n"/>
      <c r="N604" s="285" t="n"/>
      <c r="O604" s="285" t="n"/>
      <c r="P604" s="285" t="n"/>
      <c r="Q604" s="285" t="n"/>
      <c r="R604" s="285" t="n"/>
      <c r="S604" s="284" t="n"/>
      <c r="T604" s="284" t="n"/>
      <c r="U604" s="285" t="n"/>
      <c r="V604" s="285" t="n"/>
      <c r="W604" s="285" t="n"/>
      <c r="X604" s="285" t="n"/>
      <c r="Y604" s="285" t="n"/>
      <c r="Z604" s="285" t="n"/>
      <c r="AA604" s="285" t="n"/>
    </row>
    <row r="605" ht="15.75" customHeight="1" s="398">
      <c r="A605" s="284" t="n"/>
      <c r="B605" s="285" t="n"/>
      <c r="C605" s="284" t="n"/>
      <c r="D605" s="284" t="n"/>
      <c r="E605" s="285" t="n"/>
      <c r="F605" s="285" t="n"/>
      <c r="G605" s="336" t="n"/>
      <c r="H605" s="336" t="n"/>
      <c r="I605" s="285" t="n"/>
      <c r="J605" s="285" t="n"/>
      <c r="K605" s="285" t="n"/>
      <c r="L605" s="285" t="n"/>
      <c r="M605" s="285" t="n"/>
      <c r="N605" s="285" t="n"/>
      <c r="O605" s="285" t="n"/>
      <c r="P605" s="285" t="n"/>
      <c r="Q605" s="285" t="n"/>
      <c r="R605" s="285" t="n"/>
      <c r="S605" s="284" t="n"/>
      <c r="T605" s="284" t="n"/>
      <c r="U605" s="285" t="n"/>
      <c r="V605" s="285" t="n"/>
      <c r="W605" s="285" t="n"/>
      <c r="X605" s="285" t="n"/>
      <c r="Y605" s="285" t="n"/>
      <c r="Z605" s="285" t="n"/>
      <c r="AA605" s="285" t="n"/>
    </row>
    <row r="606" ht="15.75" customHeight="1" s="398">
      <c r="A606" s="284" t="n"/>
      <c r="B606" s="285" t="n"/>
      <c r="C606" s="284" t="n"/>
      <c r="D606" s="284" t="n"/>
      <c r="E606" s="285" t="n"/>
      <c r="F606" s="285" t="n"/>
      <c r="G606" s="336" t="n"/>
      <c r="H606" s="336" t="n"/>
      <c r="I606" s="285" t="n"/>
      <c r="J606" s="285" t="n"/>
      <c r="K606" s="285" t="n"/>
      <c r="L606" s="285" t="n"/>
      <c r="M606" s="285" t="n"/>
      <c r="N606" s="285" t="n"/>
      <c r="O606" s="285" t="n"/>
      <c r="P606" s="285" t="n"/>
      <c r="Q606" s="285" t="n"/>
      <c r="R606" s="285" t="n"/>
      <c r="S606" s="284" t="n"/>
      <c r="T606" s="284" t="n"/>
      <c r="U606" s="285" t="n"/>
      <c r="V606" s="285" t="n"/>
      <c r="W606" s="285" t="n"/>
      <c r="X606" s="285" t="n"/>
      <c r="Y606" s="285" t="n"/>
      <c r="Z606" s="285" t="n"/>
      <c r="AA606" s="285" t="n"/>
    </row>
    <row r="607" ht="15.75" customHeight="1" s="398">
      <c r="A607" s="284" t="n"/>
      <c r="B607" s="285" t="n"/>
      <c r="C607" s="284" t="n"/>
      <c r="D607" s="284" t="n"/>
      <c r="E607" s="285" t="n"/>
      <c r="F607" s="285" t="n"/>
      <c r="G607" s="336" t="n"/>
      <c r="H607" s="336" t="n"/>
      <c r="I607" s="285" t="n"/>
      <c r="J607" s="285" t="n"/>
      <c r="K607" s="285" t="n"/>
      <c r="L607" s="285" t="n"/>
      <c r="M607" s="285" t="n"/>
      <c r="N607" s="285" t="n"/>
      <c r="O607" s="285" t="n"/>
      <c r="P607" s="285" t="n"/>
      <c r="Q607" s="285" t="n"/>
      <c r="R607" s="285" t="n"/>
      <c r="S607" s="284" t="n"/>
      <c r="T607" s="284" t="n"/>
      <c r="U607" s="285" t="n"/>
      <c r="V607" s="285" t="n"/>
      <c r="W607" s="285" t="n"/>
      <c r="X607" s="285" t="n"/>
      <c r="Y607" s="285" t="n"/>
      <c r="Z607" s="285" t="n"/>
      <c r="AA607" s="285" t="n"/>
    </row>
    <row r="608" ht="15.75" customHeight="1" s="398">
      <c r="A608" s="284" t="n"/>
      <c r="B608" s="285" t="n"/>
      <c r="C608" s="284" t="n"/>
      <c r="D608" s="284" t="n"/>
      <c r="E608" s="285" t="n"/>
      <c r="F608" s="285" t="n"/>
      <c r="G608" s="336" t="n"/>
      <c r="H608" s="336" t="n"/>
      <c r="I608" s="285" t="n"/>
      <c r="J608" s="285" t="n"/>
      <c r="K608" s="285" t="n"/>
      <c r="L608" s="285" t="n"/>
      <c r="M608" s="285" t="n"/>
      <c r="N608" s="285" t="n"/>
      <c r="O608" s="285" t="n"/>
      <c r="P608" s="285" t="n"/>
      <c r="Q608" s="285" t="n"/>
      <c r="R608" s="285" t="n"/>
      <c r="S608" s="284" t="n"/>
      <c r="T608" s="284" t="n"/>
      <c r="U608" s="285" t="n"/>
      <c r="V608" s="285" t="n"/>
      <c r="W608" s="285" t="n"/>
      <c r="X608" s="285" t="n"/>
      <c r="Y608" s="285" t="n"/>
      <c r="Z608" s="285" t="n"/>
      <c r="AA608" s="285" t="n"/>
    </row>
    <row r="609" ht="15.75" customHeight="1" s="398">
      <c r="A609" s="284" t="n"/>
      <c r="B609" s="285" t="n"/>
      <c r="C609" s="284" t="n"/>
      <c r="D609" s="284" t="n"/>
      <c r="E609" s="285" t="n"/>
      <c r="F609" s="285" t="n"/>
      <c r="G609" s="336" t="n"/>
      <c r="H609" s="336" t="n"/>
      <c r="I609" s="285" t="n"/>
      <c r="J609" s="285" t="n"/>
      <c r="K609" s="285" t="n"/>
      <c r="L609" s="285" t="n"/>
      <c r="M609" s="285" t="n"/>
      <c r="N609" s="285" t="n"/>
      <c r="O609" s="285" t="n"/>
      <c r="P609" s="285" t="n"/>
      <c r="Q609" s="285" t="n"/>
      <c r="R609" s="285" t="n"/>
      <c r="S609" s="284" t="n"/>
      <c r="T609" s="284" t="n"/>
      <c r="U609" s="285" t="n"/>
      <c r="V609" s="285" t="n"/>
      <c r="W609" s="285" t="n"/>
      <c r="X609" s="285" t="n"/>
      <c r="Y609" s="285" t="n"/>
      <c r="Z609" s="285" t="n"/>
      <c r="AA609" s="285" t="n"/>
    </row>
    <row r="610" ht="15.75" customHeight="1" s="398">
      <c r="A610" s="284" t="n"/>
      <c r="B610" s="285" t="n"/>
      <c r="C610" s="284" t="n"/>
      <c r="D610" s="284" t="n"/>
      <c r="E610" s="285" t="n"/>
      <c r="F610" s="285" t="n"/>
      <c r="G610" s="336" t="n"/>
      <c r="H610" s="336" t="n"/>
      <c r="I610" s="285" t="n"/>
      <c r="J610" s="285" t="n"/>
      <c r="K610" s="285" t="n"/>
      <c r="L610" s="285" t="n"/>
      <c r="M610" s="285" t="n"/>
      <c r="N610" s="285" t="n"/>
      <c r="O610" s="285" t="n"/>
      <c r="P610" s="285" t="n"/>
      <c r="Q610" s="285" t="n"/>
      <c r="R610" s="285" t="n"/>
      <c r="S610" s="284" t="n"/>
      <c r="T610" s="284" t="n"/>
      <c r="U610" s="285" t="n"/>
      <c r="V610" s="285" t="n"/>
      <c r="W610" s="285" t="n"/>
      <c r="X610" s="285" t="n"/>
      <c r="Y610" s="285" t="n"/>
      <c r="Z610" s="285" t="n"/>
      <c r="AA610" s="285" t="n"/>
    </row>
    <row r="611" ht="15.75" customHeight="1" s="398">
      <c r="A611" s="284" t="n"/>
      <c r="B611" s="285" t="n"/>
      <c r="C611" s="284" t="n"/>
      <c r="D611" s="284" t="n"/>
      <c r="E611" s="285" t="n"/>
      <c r="F611" s="285" t="n"/>
      <c r="G611" s="336" t="n"/>
      <c r="H611" s="336" t="n"/>
      <c r="I611" s="285" t="n"/>
      <c r="J611" s="285" t="n"/>
      <c r="K611" s="285" t="n"/>
      <c r="L611" s="285" t="n"/>
      <c r="M611" s="285" t="n"/>
      <c r="N611" s="285" t="n"/>
      <c r="O611" s="285" t="n"/>
      <c r="P611" s="285" t="n"/>
      <c r="Q611" s="285" t="n"/>
      <c r="R611" s="285" t="n"/>
      <c r="S611" s="284" t="n"/>
      <c r="T611" s="284" t="n"/>
      <c r="U611" s="285" t="n"/>
      <c r="V611" s="285" t="n"/>
      <c r="W611" s="285" t="n"/>
      <c r="X611" s="285" t="n"/>
      <c r="Y611" s="285" t="n"/>
      <c r="Z611" s="285" t="n"/>
      <c r="AA611" s="285" t="n"/>
    </row>
    <row r="612" ht="15.75" customHeight="1" s="398">
      <c r="A612" s="284" t="n"/>
      <c r="B612" s="285" t="n"/>
      <c r="C612" s="284" t="n"/>
      <c r="D612" s="284" t="n"/>
      <c r="E612" s="285" t="n"/>
      <c r="F612" s="285" t="n"/>
      <c r="G612" s="336" t="n"/>
      <c r="H612" s="336" t="n"/>
      <c r="I612" s="285" t="n"/>
      <c r="J612" s="285" t="n"/>
      <c r="K612" s="285" t="n"/>
      <c r="L612" s="285" t="n"/>
      <c r="M612" s="285" t="n"/>
      <c r="N612" s="285" t="n"/>
      <c r="O612" s="285" t="n"/>
      <c r="P612" s="285" t="n"/>
      <c r="Q612" s="285" t="n"/>
      <c r="R612" s="285" t="n"/>
      <c r="S612" s="284" t="n"/>
      <c r="T612" s="284" t="n"/>
      <c r="U612" s="285" t="n"/>
      <c r="V612" s="285" t="n"/>
      <c r="W612" s="285" t="n"/>
      <c r="X612" s="285" t="n"/>
      <c r="Y612" s="285" t="n"/>
      <c r="Z612" s="285" t="n"/>
      <c r="AA612" s="285" t="n"/>
    </row>
    <row r="613" ht="15.75" customHeight="1" s="398">
      <c r="A613" s="284" t="n"/>
      <c r="B613" s="285" t="n"/>
      <c r="C613" s="284" t="n"/>
      <c r="D613" s="284" t="n"/>
      <c r="E613" s="285" t="n"/>
      <c r="F613" s="285" t="n"/>
      <c r="G613" s="336" t="n"/>
      <c r="H613" s="336" t="n"/>
      <c r="I613" s="285" t="n"/>
      <c r="J613" s="285" t="n"/>
      <c r="K613" s="285" t="n"/>
      <c r="L613" s="285" t="n"/>
      <c r="M613" s="285" t="n"/>
      <c r="N613" s="285" t="n"/>
      <c r="O613" s="285" t="n"/>
      <c r="P613" s="285" t="n"/>
      <c r="Q613" s="285" t="n"/>
      <c r="R613" s="285" t="n"/>
      <c r="S613" s="284" t="n"/>
      <c r="T613" s="284" t="n"/>
      <c r="U613" s="285" t="n"/>
      <c r="V613" s="285" t="n"/>
      <c r="W613" s="285" t="n"/>
      <c r="X613" s="285" t="n"/>
      <c r="Y613" s="285" t="n"/>
      <c r="Z613" s="285" t="n"/>
      <c r="AA613" s="285" t="n"/>
    </row>
    <row r="614" ht="15.75" customHeight="1" s="398">
      <c r="A614" s="284" t="n"/>
      <c r="B614" s="285" t="n"/>
      <c r="C614" s="284" t="n"/>
      <c r="D614" s="284" t="n"/>
      <c r="E614" s="285" t="n"/>
      <c r="F614" s="285" t="n"/>
      <c r="G614" s="336" t="n"/>
      <c r="H614" s="336" t="n"/>
      <c r="I614" s="285" t="n"/>
      <c r="J614" s="285" t="n"/>
      <c r="K614" s="285" t="n"/>
      <c r="L614" s="285" t="n"/>
      <c r="M614" s="285" t="n"/>
      <c r="N614" s="285" t="n"/>
      <c r="O614" s="285" t="n"/>
      <c r="P614" s="285" t="n"/>
      <c r="Q614" s="285" t="n"/>
      <c r="R614" s="285" t="n"/>
      <c r="S614" s="284" t="n"/>
      <c r="T614" s="284" t="n"/>
      <c r="U614" s="285" t="n"/>
      <c r="V614" s="285" t="n"/>
      <c r="W614" s="285" t="n"/>
      <c r="X614" s="285" t="n"/>
      <c r="Y614" s="285" t="n"/>
      <c r="Z614" s="285" t="n"/>
      <c r="AA614" s="285" t="n"/>
    </row>
    <row r="615" ht="15.75" customHeight="1" s="398">
      <c r="A615" s="284" t="n"/>
      <c r="B615" s="285" t="n"/>
      <c r="C615" s="284" t="n"/>
      <c r="D615" s="284" t="n"/>
      <c r="E615" s="285" t="n"/>
      <c r="F615" s="285" t="n"/>
      <c r="G615" s="336" t="n"/>
      <c r="H615" s="336" t="n"/>
      <c r="I615" s="285" t="n"/>
      <c r="J615" s="285" t="n"/>
      <c r="K615" s="285" t="n"/>
      <c r="L615" s="285" t="n"/>
      <c r="M615" s="285" t="n"/>
      <c r="N615" s="285" t="n"/>
      <c r="O615" s="285" t="n"/>
      <c r="P615" s="285" t="n"/>
      <c r="Q615" s="285" t="n"/>
      <c r="R615" s="285" t="n"/>
      <c r="S615" s="284" t="n"/>
      <c r="T615" s="284" t="n"/>
      <c r="U615" s="285" t="n"/>
      <c r="V615" s="285" t="n"/>
      <c r="W615" s="285" t="n"/>
      <c r="X615" s="285" t="n"/>
      <c r="Y615" s="285" t="n"/>
      <c r="Z615" s="285" t="n"/>
      <c r="AA615" s="285" t="n"/>
    </row>
    <row r="616" ht="15.75" customHeight="1" s="398">
      <c r="A616" s="284" t="n"/>
      <c r="B616" s="285" t="n"/>
      <c r="C616" s="284" t="n"/>
      <c r="D616" s="284" t="n"/>
      <c r="E616" s="285" t="n"/>
      <c r="F616" s="285" t="n"/>
      <c r="G616" s="336" t="n"/>
      <c r="H616" s="336" t="n"/>
      <c r="I616" s="285" t="n"/>
      <c r="J616" s="285" t="n"/>
      <c r="K616" s="285" t="n"/>
      <c r="L616" s="285" t="n"/>
      <c r="M616" s="285" t="n"/>
      <c r="N616" s="285" t="n"/>
      <c r="O616" s="285" t="n"/>
      <c r="P616" s="285" t="n"/>
      <c r="Q616" s="285" t="n"/>
      <c r="R616" s="285" t="n"/>
      <c r="S616" s="284" t="n"/>
      <c r="T616" s="284" t="n"/>
      <c r="U616" s="285" t="n"/>
      <c r="V616" s="285" t="n"/>
      <c r="W616" s="285" t="n"/>
      <c r="X616" s="285" t="n"/>
      <c r="Y616" s="285" t="n"/>
      <c r="Z616" s="285" t="n"/>
      <c r="AA616" s="285" t="n"/>
    </row>
    <row r="617" ht="15.75" customHeight="1" s="398">
      <c r="A617" s="284" t="n"/>
      <c r="B617" s="285" t="n"/>
      <c r="C617" s="284" t="n"/>
      <c r="D617" s="284" t="n"/>
      <c r="E617" s="285" t="n"/>
      <c r="F617" s="285" t="n"/>
      <c r="G617" s="336" t="n"/>
      <c r="H617" s="336" t="n"/>
      <c r="I617" s="285" t="n"/>
      <c r="J617" s="285" t="n"/>
      <c r="K617" s="285" t="n"/>
      <c r="L617" s="285" t="n"/>
      <c r="M617" s="285" t="n"/>
      <c r="N617" s="285" t="n"/>
      <c r="O617" s="285" t="n"/>
      <c r="P617" s="285" t="n"/>
      <c r="Q617" s="285" t="n"/>
      <c r="R617" s="285" t="n"/>
      <c r="S617" s="284" t="n"/>
      <c r="T617" s="284" t="n"/>
      <c r="U617" s="285" t="n"/>
      <c r="V617" s="285" t="n"/>
      <c r="W617" s="285" t="n"/>
      <c r="X617" s="285" t="n"/>
      <c r="Y617" s="285" t="n"/>
      <c r="Z617" s="285" t="n"/>
      <c r="AA617" s="285" t="n"/>
    </row>
    <row r="618" ht="15.75" customHeight="1" s="398">
      <c r="A618" s="284" t="n"/>
      <c r="B618" s="285" t="n"/>
      <c r="C618" s="284" t="n"/>
      <c r="D618" s="284" t="n"/>
      <c r="E618" s="285" t="n"/>
      <c r="F618" s="285" t="n"/>
      <c r="G618" s="336" t="n"/>
      <c r="H618" s="336" t="n"/>
      <c r="I618" s="285" t="n"/>
      <c r="J618" s="285" t="n"/>
      <c r="K618" s="285" t="n"/>
      <c r="L618" s="285" t="n"/>
      <c r="M618" s="285" t="n"/>
      <c r="N618" s="285" t="n"/>
      <c r="O618" s="285" t="n"/>
      <c r="P618" s="285" t="n"/>
      <c r="Q618" s="285" t="n"/>
      <c r="R618" s="285" t="n"/>
      <c r="S618" s="284" t="n"/>
      <c r="T618" s="284" t="n"/>
      <c r="U618" s="285" t="n"/>
      <c r="V618" s="285" t="n"/>
      <c r="W618" s="285" t="n"/>
      <c r="X618" s="285" t="n"/>
      <c r="Y618" s="285" t="n"/>
      <c r="Z618" s="285" t="n"/>
      <c r="AA618" s="285" t="n"/>
    </row>
    <row r="619" ht="15.75" customHeight="1" s="398">
      <c r="A619" s="284" t="n"/>
      <c r="B619" s="285" t="n"/>
      <c r="C619" s="284" t="n"/>
      <c r="D619" s="284" t="n"/>
      <c r="E619" s="285" t="n"/>
      <c r="F619" s="285" t="n"/>
      <c r="G619" s="336" t="n"/>
      <c r="H619" s="336" t="n"/>
      <c r="I619" s="285" t="n"/>
      <c r="J619" s="285" t="n"/>
      <c r="K619" s="285" t="n"/>
      <c r="L619" s="285" t="n"/>
      <c r="M619" s="285" t="n"/>
      <c r="N619" s="285" t="n"/>
      <c r="O619" s="285" t="n"/>
      <c r="P619" s="285" t="n"/>
      <c r="Q619" s="285" t="n"/>
      <c r="R619" s="285" t="n"/>
      <c r="S619" s="284" t="n"/>
      <c r="T619" s="284" t="n"/>
      <c r="U619" s="285" t="n"/>
      <c r="V619" s="285" t="n"/>
      <c r="W619" s="285" t="n"/>
      <c r="X619" s="285" t="n"/>
      <c r="Y619" s="285" t="n"/>
      <c r="Z619" s="285" t="n"/>
      <c r="AA619" s="285" t="n"/>
    </row>
    <row r="620" ht="15.75" customHeight="1" s="398">
      <c r="A620" s="284" t="n"/>
      <c r="B620" s="285" t="n"/>
      <c r="C620" s="284" t="n"/>
      <c r="D620" s="284" t="n"/>
      <c r="E620" s="285" t="n"/>
      <c r="F620" s="285" t="n"/>
      <c r="G620" s="336" t="n"/>
      <c r="H620" s="336" t="n"/>
      <c r="I620" s="285" t="n"/>
      <c r="J620" s="285" t="n"/>
      <c r="K620" s="285" t="n"/>
      <c r="L620" s="285" t="n"/>
      <c r="M620" s="285" t="n"/>
      <c r="N620" s="285" t="n"/>
      <c r="O620" s="285" t="n"/>
      <c r="P620" s="285" t="n"/>
      <c r="Q620" s="285" t="n"/>
      <c r="R620" s="285" t="n"/>
      <c r="S620" s="284" t="n"/>
      <c r="T620" s="284" t="n"/>
      <c r="U620" s="285" t="n"/>
      <c r="V620" s="285" t="n"/>
      <c r="W620" s="285" t="n"/>
      <c r="X620" s="285" t="n"/>
      <c r="Y620" s="285" t="n"/>
      <c r="Z620" s="285" t="n"/>
      <c r="AA620" s="285" t="n"/>
    </row>
    <row r="621" ht="15.75" customHeight="1" s="398">
      <c r="A621" s="284" t="n"/>
      <c r="B621" s="285" t="n"/>
      <c r="C621" s="284" t="n"/>
      <c r="D621" s="284" t="n"/>
      <c r="E621" s="285" t="n"/>
      <c r="F621" s="285" t="n"/>
      <c r="G621" s="336" t="n"/>
      <c r="H621" s="336" t="n"/>
      <c r="I621" s="285" t="n"/>
      <c r="J621" s="285" t="n"/>
      <c r="K621" s="285" t="n"/>
      <c r="L621" s="285" t="n"/>
      <c r="M621" s="285" t="n"/>
      <c r="N621" s="285" t="n"/>
      <c r="O621" s="285" t="n"/>
      <c r="P621" s="285" t="n"/>
      <c r="Q621" s="285" t="n"/>
      <c r="R621" s="285" t="n"/>
      <c r="S621" s="284" t="n"/>
      <c r="T621" s="284" t="n"/>
      <c r="U621" s="285" t="n"/>
      <c r="V621" s="285" t="n"/>
      <c r="W621" s="285" t="n"/>
      <c r="X621" s="285" t="n"/>
      <c r="Y621" s="285" t="n"/>
      <c r="Z621" s="285" t="n"/>
      <c r="AA621" s="285" t="n"/>
    </row>
    <row r="622" ht="15.75" customHeight="1" s="398">
      <c r="A622" s="284" t="n"/>
      <c r="B622" s="285" t="n"/>
      <c r="C622" s="284" t="n"/>
      <c r="D622" s="284" t="n"/>
      <c r="E622" s="285" t="n"/>
      <c r="F622" s="285" t="n"/>
      <c r="G622" s="336" t="n"/>
      <c r="H622" s="336" t="n"/>
      <c r="I622" s="285" t="n"/>
      <c r="J622" s="285" t="n"/>
      <c r="K622" s="285" t="n"/>
      <c r="L622" s="285" t="n"/>
      <c r="M622" s="285" t="n"/>
      <c r="N622" s="285" t="n"/>
      <c r="O622" s="285" t="n"/>
      <c r="P622" s="285" t="n"/>
      <c r="Q622" s="285" t="n"/>
      <c r="R622" s="285" t="n"/>
      <c r="S622" s="284" t="n"/>
      <c r="T622" s="284" t="n"/>
      <c r="U622" s="285" t="n"/>
      <c r="V622" s="285" t="n"/>
      <c r="W622" s="285" t="n"/>
      <c r="X622" s="285" t="n"/>
      <c r="Y622" s="285" t="n"/>
      <c r="Z622" s="285" t="n"/>
      <c r="AA622" s="285" t="n"/>
    </row>
    <row r="623" ht="15.75" customHeight="1" s="398">
      <c r="A623" s="284" t="n"/>
      <c r="B623" s="285" t="n"/>
      <c r="C623" s="284" t="n"/>
      <c r="D623" s="284" t="n"/>
      <c r="E623" s="285" t="n"/>
      <c r="F623" s="285" t="n"/>
      <c r="G623" s="336" t="n"/>
      <c r="H623" s="336" t="n"/>
      <c r="I623" s="285" t="n"/>
      <c r="J623" s="285" t="n"/>
      <c r="K623" s="285" t="n"/>
      <c r="L623" s="285" t="n"/>
      <c r="M623" s="285" t="n"/>
      <c r="N623" s="285" t="n"/>
      <c r="O623" s="285" t="n"/>
      <c r="P623" s="285" t="n"/>
      <c r="Q623" s="285" t="n"/>
      <c r="R623" s="285" t="n"/>
      <c r="S623" s="284" t="n"/>
      <c r="T623" s="284" t="n"/>
      <c r="U623" s="285" t="n"/>
      <c r="V623" s="285" t="n"/>
      <c r="W623" s="285" t="n"/>
      <c r="X623" s="285" t="n"/>
      <c r="Y623" s="285" t="n"/>
      <c r="Z623" s="285" t="n"/>
      <c r="AA623" s="285" t="n"/>
    </row>
    <row r="624" ht="15.75" customHeight="1" s="398">
      <c r="A624" s="284" t="n"/>
      <c r="B624" s="285" t="n"/>
      <c r="C624" s="284" t="n"/>
      <c r="D624" s="284" t="n"/>
      <c r="E624" s="285" t="n"/>
      <c r="F624" s="285" t="n"/>
      <c r="G624" s="336" t="n"/>
      <c r="H624" s="336" t="n"/>
      <c r="I624" s="285" t="n"/>
      <c r="J624" s="285" t="n"/>
      <c r="K624" s="285" t="n"/>
      <c r="L624" s="285" t="n"/>
      <c r="M624" s="285" t="n"/>
      <c r="N624" s="285" t="n"/>
      <c r="O624" s="285" t="n"/>
      <c r="P624" s="285" t="n"/>
      <c r="Q624" s="285" t="n"/>
      <c r="R624" s="285" t="n"/>
      <c r="S624" s="284" t="n"/>
      <c r="T624" s="284" t="n"/>
      <c r="U624" s="285" t="n"/>
      <c r="V624" s="285" t="n"/>
      <c r="W624" s="285" t="n"/>
      <c r="X624" s="285" t="n"/>
      <c r="Y624" s="285" t="n"/>
      <c r="Z624" s="285" t="n"/>
      <c r="AA624" s="285" t="n"/>
    </row>
    <row r="625" ht="15.75" customHeight="1" s="398">
      <c r="A625" s="284" t="n"/>
      <c r="B625" s="285" t="n"/>
      <c r="C625" s="284" t="n"/>
      <c r="D625" s="284" t="n"/>
      <c r="E625" s="285" t="n"/>
      <c r="F625" s="285" t="n"/>
      <c r="G625" s="336" t="n"/>
      <c r="H625" s="336" t="n"/>
      <c r="I625" s="285" t="n"/>
      <c r="J625" s="285" t="n"/>
      <c r="K625" s="285" t="n"/>
      <c r="L625" s="285" t="n"/>
      <c r="M625" s="285" t="n"/>
      <c r="N625" s="285" t="n"/>
      <c r="O625" s="285" t="n"/>
      <c r="P625" s="285" t="n"/>
      <c r="Q625" s="285" t="n"/>
      <c r="R625" s="285" t="n"/>
      <c r="S625" s="284" t="n"/>
      <c r="T625" s="284" t="n"/>
      <c r="U625" s="285" t="n"/>
      <c r="V625" s="285" t="n"/>
      <c r="W625" s="285" t="n"/>
      <c r="X625" s="285" t="n"/>
      <c r="Y625" s="285" t="n"/>
      <c r="Z625" s="285" t="n"/>
      <c r="AA625" s="285" t="n"/>
    </row>
    <row r="626" ht="15.75" customHeight="1" s="398">
      <c r="A626" s="284" t="n"/>
      <c r="B626" s="285" t="n"/>
      <c r="C626" s="284" t="n"/>
      <c r="D626" s="284" t="n"/>
      <c r="E626" s="285" t="n"/>
      <c r="F626" s="285" t="n"/>
      <c r="G626" s="336" t="n"/>
      <c r="H626" s="336" t="n"/>
      <c r="I626" s="285" t="n"/>
      <c r="J626" s="285" t="n"/>
      <c r="K626" s="285" t="n"/>
      <c r="L626" s="285" t="n"/>
      <c r="M626" s="285" t="n"/>
      <c r="N626" s="285" t="n"/>
      <c r="O626" s="285" t="n"/>
      <c r="P626" s="285" t="n"/>
      <c r="Q626" s="285" t="n"/>
      <c r="R626" s="285" t="n"/>
      <c r="S626" s="284" t="n"/>
      <c r="T626" s="284" t="n"/>
      <c r="U626" s="285" t="n"/>
      <c r="V626" s="285" t="n"/>
      <c r="W626" s="285" t="n"/>
      <c r="X626" s="285" t="n"/>
      <c r="Y626" s="285" t="n"/>
      <c r="Z626" s="285" t="n"/>
      <c r="AA626" s="285" t="n"/>
    </row>
    <row r="627" ht="15.75" customHeight="1" s="398">
      <c r="A627" s="284" t="n"/>
      <c r="B627" s="285" t="n"/>
      <c r="C627" s="284" t="n"/>
      <c r="D627" s="284" t="n"/>
      <c r="E627" s="285" t="n"/>
      <c r="F627" s="285" t="n"/>
      <c r="G627" s="336" t="n"/>
      <c r="H627" s="336" t="n"/>
      <c r="I627" s="285" t="n"/>
      <c r="J627" s="285" t="n"/>
      <c r="K627" s="285" t="n"/>
      <c r="L627" s="285" t="n"/>
      <c r="M627" s="285" t="n"/>
      <c r="N627" s="285" t="n"/>
      <c r="O627" s="285" t="n"/>
      <c r="P627" s="285" t="n"/>
      <c r="Q627" s="285" t="n"/>
      <c r="R627" s="285" t="n"/>
      <c r="S627" s="284" t="n"/>
      <c r="T627" s="284" t="n"/>
      <c r="U627" s="285" t="n"/>
      <c r="V627" s="285" t="n"/>
      <c r="W627" s="285" t="n"/>
      <c r="X627" s="285" t="n"/>
      <c r="Y627" s="285" t="n"/>
      <c r="Z627" s="285" t="n"/>
      <c r="AA627" s="285" t="n"/>
    </row>
    <row r="628" ht="15.75" customHeight="1" s="398">
      <c r="A628" s="284" t="n"/>
      <c r="B628" s="285" t="n"/>
      <c r="C628" s="284" t="n"/>
      <c r="D628" s="284" t="n"/>
      <c r="E628" s="285" t="n"/>
      <c r="F628" s="285" t="n"/>
      <c r="G628" s="336" t="n"/>
      <c r="H628" s="336" t="n"/>
      <c r="I628" s="285" t="n"/>
      <c r="J628" s="285" t="n"/>
      <c r="K628" s="285" t="n"/>
      <c r="L628" s="285" t="n"/>
      <c r="M628" s="285" t="n"/>
      <c r="N628" s="285" t="n"/>
      <c r="O628" s="285" t="n"/>
      <c r="P628" s="285" t="n"/>
      <c r="Q628" s="285" t="n"/>
      <c r="R628" s="285" t="n"/>
      <c r="S628" s="284" t="n"/>
      <c r="T628" s="284" t="n"/>
      <c r="U628" s="285" t="n"/>
      <c r="V628" s="285" t="n"/>
      <c r="W628" s="285" t="n"/>
      <c r="X628" s="285" t="n"/>
      <c r="Y628" s="285" t="n"/>
      <c r="Z628" s="285" t="n"/>
      <c r="AA628" s="285" t="n"/>
    </row>
    <row r="629" ht="15.75" customHeight="1" s="398">
      <c r="A629" s="284" t="n"/>
      <c r="B629" s="285" t="n"/>
      <c r="C629" s="284" t="n"/>
      <c r="D629" s="284" t="n"/>
      <c r="E629" s="285" t="n"/>
      <c r="F629" s="285" t="n"/>
      <c r="G629" s="336" t="n"/>
      <c r="H629" s="336" t="n"/>
      <c r="I629" s="285" t="n"/>
      <c r="J629" s="285" t="n"/>
      <c r="K629" s="285" t="n"/>
      <c r="L629" s="285" t="n"/>
      <c r="M629" s="285" t="n"/>
      <c r="N629" s="285" t="n"/>
      <c r="O629" s="285" t="n"/>
      <c r="P629" s="285" t="n"/>
      <c r="Q629" s="285" t="n"/>
      <c r="R629" s="285" t="n"/>
      <c r="S629" s="284" t="n"/>
      <c r="T629" s="284" t="n"/>
      <c r="U629" s="285" t="n"/>
      <c r="V629" s="285" t="n"/>
      <c r="W629" s="285" t="n"/>
      <c r="X629" s="285" t="n"/>
      <c r="Y629" s="285" t="n"/>
      <c r="Z629" s="285" t="n"/>
      <c r="AA629" s="285" t="n"/>
    </row>
    <row r="630" ht="15.75" customHeight="1" s="398">
      <c r="A630" s="284" t="n"/>
      <c r="B630" s="285" t="n"/>
      <c r="C630" s="284" t="n"/>
      <c r="D630" s="284" t="n"/>
      <c r="E630" s="285" t="n"/>
      <c r="F630" s="285" t="n"/>
      <c r="G630" s="336" t="n"/>
      <c r="H630" s="336" t="n"/>
      <c r="I630" s="285" t="n"/>
      <c r="J630" s="285" t="n"/>
      <c r="K630" s="285" t="n"/>
      <c r="L630" s="285" t="n"/>
      <c r="M630" s="285" t="n"/>
      <c r="N630" s="285" t="n"/>
      <c r="O630" s="285" t="n"/>
      <c r="P630" s="285" t="n"/>
      <c r="Q630" s="285" t="n"/>
      <c r="R630" s="285" t="n"/>
      <c r="S630" s="284" t="n"/>
      <c r="T630" s="284" t="n"/>
      <c r="U630" s="285" t="n"/>
      <c r="V630" s="285" t="n"/>
      <c r="W630" s="285" t="n"/>
      <c r="X630" s="285" t="n"/>
      <c r="Y630" s="285" t="n"/>
      <c r="Z630" s="285" t="n"/>
      <c r="AA630" s="285" t="n"/>
    </row>
    <row r="631" ht="15.75" customHeight="1" s="398">
      <c r="A631" s="284" t="n"/>
      <c r="B631" s="285" t="n"/>
      <c r="C631" s="284" t="n"/>
      <c r="D631" s="284" t="n"/>
      <c r="E631" s="285" t="n"/>
      <c r="F631" s="285" t="n"/>
      <c r="G631" s="336" t="n"/>
      <c r="H631" s="336" t="n"/>
      <c r="I631" s="285" t="n"/>
      <c r="J631" s="285" t="n"/>
      <c r="K631" s="285" t="n"/>
      <c r="L631" s="285" t="n"/>
      <c r="M631" s="285" t="n"/>
      <c r="N631" s="285" t="n"/>
      <c r="O631" s="285" t="n"/>
      <c r="P631" s="285" t="n"/>
      <c r="Q631" s="285" t="n"/>
      <c r="R631" s="285" t="n"/>
      <c r="S631" s="284" t="n"/>
      <c r="T631" s="284" t="n"/>
      <c r="U631" s="285" t="n"/>
      <c r="V631" s="285" t="n"/>
      <c r="W631" s="285" t="n"/>
      <c r="X631" s="285" t="n"/>
      <c r="Y631" s="285" t="n"/>
      <c r="Z631" s="285" t="n"/>
      <c r="AA631" s="285" t="n"/>
    </row>
    <row r="632" ht="15.75" customHeight="1" s="398">
      <c r="A632" s="284" t="n"/>
      <c r="B632" s="285" t="n"/>
      <c r="C632" s="284" t="n"/>
      <c r="D632" s="284" t="n"/>
      <c r="E632" s="285" t="n"/>
      <c r="F632" s="285" t="n"/>
      <c r="G632" s="336" t="n"/>
      <c r="H632" s="336" t="n"/>
      <c r="I632" s="285" t="n"/>
      <c r="J632" s="285" t="n"/>
      <c r="K632" s="285" t="n"/>
      <c r="L632" s="285" t="n"/>
      <c r="M632" s="285" t="n"/>
      <c r="N632" s="285" t="n"/>
      <c r="O632" s="285" t="n"/>
      <c r="P632" s="285" t="n"/>
      <c r="Q632" s="285" t="n"/>
      <c r="R632" s="285" t="n"/>
      <c r="S632" s="284" t="n"/>
      <c r="T632" s="284" t="n"/>
      <c r="U632" s="285" t="n"/>
      <c r="V632" s="285" t="n"/>
      <c r="W632" s="285" t="n"/>
      <c r="X632" s="285" t="n"/>
      <c r="Y632" s="285" t="n"/>
      <c r="Z632" s="285" t="n"/>
      <c r="AA632" s="285" t="n"/>
    </row>
    <row r="633" ht="15.75" customHeight="1" s="398">
      <c r="A633" s="284" t="n"/>
      <c r="B633" s="285" t="n"/>
      <c r="C633" s="284" t="n"/>
      <c r="D633" s="284" t="n"/>
      <c r="E633" s="285" t="n"/>
      <c r="F633" s="285" t="n"/>
      <c r="G633" s="336" t="n"/>
      <c r="H633" s="336" t="n"/>
      <c r="I633" s="285" t="n"/>
      <c r="J633" s="285" t="n"/>
      <c r="K633" s="285" t="n"/>
      <c r="L633" s="285" t="n"/>
      <c r="M633" s="285" t="n"/>
      <c r="N633" s="285" t="n"/>
      <c r="O633" s="285" t="n"/>
      <c r="P633" s="285" t="n"/>
      <c r="Q633" s="285" t="n"/>
      <c r="R633" s="285" t="n"/>
      <c r="S633" s="284" t="n"/>
      <c r="T633" s="284" t="n"/>
      <c r="U633" s="285" t="n"/>
      <c r="V633" s="285" t="n"/>
      <c r="W633" s="285" t="n"/>
      <c r="X633" s="285" t="n"/>
      <c r="Y633" s="285" t="n"/>
      <c r="Z633" s="285" t="n"/>
      <c r="AA633" s="285" t="n"/>
    </row>
    <row r="634" ht="15.75" customHeight="1" s="398">
      <c r="A634" s="284" t="n"/>
      <c r="B634" s="285" t="n"/>
      <c r="C634" s="284" t="n"/>
      <c r="D634" s="284" t="n"/>
      <c r="E634" s="285" t="n"/>
      <c r="F634" s="285" t="n"/>
      <c r="G634" s="336" t="n"/>
      <c r="H634" s="336" t="n"/>
      <c r="I634" s="285" t="n"/>
      <c r="J634" s="285" t="n"/>
      <c r="K634" s="285" t="n"/>
      <c r="L634" s="285" t="n"/>
      <c r="M634" s="285" t="n"/>
      <c r="N634" s="285" t="n"/>
      <c r="O634" s="285" t="n"/>
      <c r="P634" s="285" t="n"/>
      <c r="Q634" s="285" t="n"/>
      <c r="R634" s="285" t="n"/>
      <c r="S634" s="284" t="n"/>
      <c r="T634" s="284" t="n"/>
      <c r="U634" s="285" t="n"/>
      <c r="V634" s="285" t="n"/>
      <c r="W634" s="285" t="n"/>
      <c r="X634" s="285" t="n"/>
      <c r="Y634" s="285" t="n"/>
      <c r="Z634" s="285" t="n"/>
      <c r="AA634" s="285" t="n"/>
    </row>
    <row r="635" ht="15.75" customHeight="1" s="398">
      <c r="A635" s="284" t="n"/>
      <c r="B635" s="285" t="n"/>
      <c r="C635" s="284" t="n"/>
      <c r="D635" s="284" t="n"/>
      <c r="E635" s="285" t="n"/>
      <c r="F635" s="285" t="n"/>
      <c r="G635" s="336" t="n"/>
      <c r="H635" s="336" t="n"/>
      <c r="I635" s="285" t="n"/>
      <c r="J635" s="285" t="n"/>
      <c r="K635" s="285" t="n"/>
      <c r="L635" s="285" t="n"/>
      <c r="M635" s="285" t="n"/>
      <c r="N635" s="285" t="n"/>
      <c r="O635" s="285" t="n"/>
      <c r="P635" s="285" t="n"/>
      <c r="Q635" s="285" t="n"/>
      <c r="R635" s="285" t="n"/>
      <c r="S635" s="284" t="n"/>
      <c r="T635" s="284" t="n"/>
      <c r="U635" s="285" t="n"/>
      <c r="V635" s="285" t="n"/>
      <c r="W635" s="285" t="n"/>
      <c r="X635" s="285" t="n"/>
      <c r="Y635" s="285" t="n"/>
      <c r="Z635" s="285" t="n"/>
      <c r="AA635" s="285" t="n"/>
    </row>
    <row r="636" ht="15.75" customHeight="1" s="398">
      <c r="A636" s="284" t="n"/>
      <c r="B636" s="285" t="n"/>
      <c r="C636" s="284" t="n"/>
      <c r="D636" s="284" t="n"/>
      <c r="E636" s="285" t="n"/>
      <c r="F636" s="285" t="n"/>
      <c r="G636" s="336" t="n"/>
      <c r="H636" s="336" t="n"/>
      <c r="I636" s="285" t="n"/>
      <c r="J636" s="285" t="n"/>
      <c r="K636" s="285" t="n"/>
      <c r="L636" s="285" t="n"/>
      <c r="M636" s="285" t="n"/>
      <c r="N636" s="285" t="n"/>
      <c r="O636" s="285" t="n"/>
      <c r="P636" s="285" t="n"/>
      <c r="Q636" s="285" t="n"/>
      <c r="R636" s="285" t="n"/>
      <c r="S636" s="284" t="n"/>
      <c r="T636" s="284" t="n"/>
      <c r="U636" s="285" t="n"/>
      <c r="V636" s="285" t="n"/>
      <c r="W636" s="285" t="n"/>
      <c r="X636" s="285" t="n"/>
      <c r="Y636" s="285" t="n"/>
      <c r="Z636" s="285" t="n"/>
      <c r="AA636" s="285" t="n"/>
    </row>
    <row r="637" ht="15.75" customHeight="1" s="398">
      <c r="A637" s="284" t="n"/>
      <c r="B637" s="285" t="n"/>
      <c r="C637" s="284" t="n"/>
      <c r="D637" s="284" t="n"/>
      <c r="E637" s="285" t="n"/>
      <c r="F637" s="285" t="n"/>
      <c r="G637" s="336" t="n"/>
      <c r="H637" s="336" t="n"/>
      <c r="I637" s="285" t="n"/>
      <c r="J637" s="285" t="n"/>
      <c r="K637" s="285" t="n"/>
      <c r="L637" s="285" t="n"/>
      <c r="M637" s="285" t="n"/>
      <c r="N637" s="285" t="n"/>
      <c r="O637" s="285" t="n"/>
      <c r="P637" s="285" t="n"/>
      <c r="Q637" s="285" t="n"/>
      <c r="R637" s="285" t="n"/>
      <c r="S637" s="284" t="n"/>
      <c r="T637" s="284" t="n"/>
      <c r="U637" s="285" t="n"/>
      <c r="V637" s="285" t="n"/>
      <c r="W637" s="285" t="n"/>
      <c r="X637" s="285" t="n"/>
      <c r="Y637" s="285" t="n"/>
      <c r="Z637" s="285" t="n"/>
      <c r="AA637" s="285" t="n"/>
    </row>
    <row r="638" ht="15.75" customHeight="1" s="398">
      <c r="A638" s="284" t="n"/>
      <c r="B638" s="285" t="n"/>
      <c r="C638" s="284" t="n"/>
      <c r="D638" s="284" t="n"/>
      <c r="E638" s="285" t="n"/>
      <c r="F638" s="285" t="n"/>
      <c r="G638" s="336" t="n"/>
      <c r="H638" s="336" t="n"/>
      <c r="I638" s="285" t="n"/>
      <c r="J638" s="285" t="n"/>
      <c r="K638" s="285" t="n"/>
      <c r="L638" s="285" t="n"/>
      <c r="M638" s="285" t="n"/>
      <c r="N638" s="285" t="n"/>
      <c r="O638" s="285" t="n"/>
      <c r="P638" s="285" t="n"/>
      <c r="Q638" s="285" t="n"/>
      <c r="R638" s="285" t="n"/>
      <c r="S638" s="284" t="n"/>
      <c r="T638" s="284" t="n"/>
      <c r="U638" s="285" t="n"/>
      <c r="V638" s="285" t="n"/>
      <c r="W638" s="285" t="n"/>
      <c r="X638" s="285" t="n"/>
      <c r="Y638" s="285" t="n"/>
      <c r="Z638" s="285" t="n"/>
      <c r="AA638" s="285" t="n"/>
    </row>
    <row r="639" ht="15.75" customHeight="1" s="398">
      <c r="A639" s="284" t="n"/>
      <c r="B639" s="285" t="n"/>
      <c r="C639" s="284" t="n"/>
      <c r="D639" s="284" t="n"/>
      <c r="E639" s="285" t="n"/>
      <c r="F639" s="285" t="n"/>
      <c r="G639" s="336" t="n"/>
      <c r="H639" s="336" t="n"/>
      <c r="I639" s="285" t="n"/>
      <c r="J639" s="285" t="n"/>
      <c r="K639" s="285" t="n"/>
      <c r="L639" s="285" t="n"/>
      <c r="M639" s="285" t="n"/>
      <c r="N639" s="285" t="n"/>
      <c r="O639" s="285" t="n"/>
      <c r="P639" s="285" t="n"/>
      <c r="Q639" s="285" t="n"/>
      <c r="R639" s="285" t="n"/>
      <c r="S639" s="284" t="n"/>
      <c r="T639" s="284" t="n"/>
      <c r="U639" s="285" t="n"/>
      <c r="V639" s="285" t="n"/>
      <c r="W639" s="285" t="n"/>
      <c r="X639" s="285" t="n"/>
      <c r="Y639" s="285" t="n"/>
      <c r="Z639" s="285" t="n"/>
      <c r="AA639" s="285" t="n"/>
    </row>
    <row r="640" ht="15.75" customHeight="1" s="398">
      <c r="A640" s="284" t="n"/>
      <c r="B640" s="285" t="n"/>
      <c r="C640" s="284" t="n"/>
      <c r="D640" s="284" t="n"/>
      <c r="E640" s="285" t="n"/>
      <c r="F640" s="285" t="n"/>
      <c r="G640" s="336" t="n"/>
      <c r="H640" s="336" t="n"/>
      <c r="I640" s="285" t="n"/>
      <c r="J640" s="285" t="n"/>
      <c r="K640" s="285" t="n"/>
      <c r="L640" s="285" t="n"/>
      <c r="M640" s="285" t="n"/>
      <c r="N640" s="285" t="n"/>
      <c r="O640" s="285" t="n"/>
      <c r="P640" s="285" t="n"/>
      <c r="Q640" s="285" t="n"/>
      <c r="R640" s="285" t="n"/>
      <c r="S640" s="284" t="n"/>
      <c r="T640" s="284" t="n"/>
      <c r="U640" s="285" t="n"/>
      <c r="V640" s="285" t="n"/>
      <c r="W640" s="285" t="n"/>
      <c r="X640" s="285" t="n"/>
      <c r="Y640" s="285" t="n"/>
      <c r="Z640" s="285" t="n"/>
      <c r="AA640" s="285" t="n"/>
    </row>
    <row r="641" ht="15.75" customHeight="1" s="398">
      <c r="A641" s="284" t="n"/>
      <c r="B641" s="285" t="n"/>
      <c r="C641" s="284" t="n"/>
      <c r="D641" s="284" t="n"/>
      <c r="E641" s="285" t="n"/>
      <c r="F641" s="285" t="n"/>
      <c r="G641" s="336" t="n"/>
      <c r="H641" s="336" t="n"/>
      <c r="I641" s="285" t="n"/>
      <c r="J641" s="285" t="n"/>
      <c r="K641" s="285" t="n"/>
      <c r="L641" s="285" t="n"/>
      <c r="M641" s="285" t="n"/>
      <c r="N641" s="285" t="n"/>
      <c r="O641" s="285" t="n"/>
      <c r="P641" s="285" t="n"/>
      <c r="Q641" s="285" t="n"/>
      <c r="R641" s="285" t="n"/>
      <c r="S641" s="284" t="n"/>
      <c r="T641" s="284" t="n"/>
      <c r="U641" s="285" t="n"/>
      <c r="V641" s="285" t="n"/>
      <c r="W641" s="285" t="n"/>
      <c r="X641" s="285" t="n"/>
      <c r="Y641" s="285" t="n"/>
      <c r="Z641" s="285" t="n"/>
      <c r="AA641" s="285" t="n"/>
    </row>
    <row r="642" ht="15.75" customHeight="1" s="398">
      <c r="A642" s="284" t="n"/>
      <c r="B642" s="285" t="n"/>
      <c r="C642" s="284" t="n"/>
      <c r="D642" s="284" t="n"/>
      <c r="E642" s="285" t="n"/>
      <c r="F642" s="285" t="n"/>
      <c r="G642" s="336" t="n"/>
      <c r="H642" s="336" t="n"/>
      <c r="I642" s="285" t="n"/>
      <c r="J642" s="285" t="n"/>
      <c r="K642" s="285" t="n"/>
      <c r="L642" s="285" t="n"/>
      <c r="M642" s="285" t="n"/>
      <c r="N642" s="285" t="n"/>
      <c r="O642" s="285" t="n"/>
      <c r="P642" s="285" t="n"/>
      <c r="Q642" s="285" t="n"/>
      <c r="R642" s="285" t="n"/>
      <c r="S642" s="284" t="n"/>
      <c r="T642" s="284" t="n"/>
      <c r="U642" s="285" t="n"/>
      <c r="V642" s="285" t="n"/>
      <c r="W642" s="285" t="n"/>
      <c r="X642" s="285" t="n"/>
      <c r="Y642" s="285" t="n"/>
      <c r="Z642" s="285" t="n"/>
      <c r="AA642" s="285" t="n"/>
    </row>
    <row r="643" ht="15.75" customHeight="1" s="398">
      <c r="A643" s="284" t="n"/>
      <c r="B643" s="285" t="n"/>
      <c r="C643" s="284" t="n"/>
      <c r="D643" s="284" t="n"/>
      <c r="E643" s="285" t="n"/>
      <c r="F643" s="285" t="n"/>
      <c r="G643" s="336" t="n"/>
      <c r="H643" s="336" t="n"/>
      <c r="I643" s="285" t="n"/>
      <c r="J643" s="285" t="n"/>
      <c r="K643" s="285" t="n"/>
      <c r="L643" s="285" t="n"/>
      <c r="M643" s="285" t="n"/>
      <c r="N643" s="285" t="n"/>
      <c r="O643" s="285" t="n"/>
      <c r="P643" s="285" t="n"/>
      <c r="Q643" s="285" t="n"/>
      <c r="R643" s="285" t="n"/>
      <c r="S643" s="284" t="n"/>
      <c r="T643" s="284" t="n"/>
      <c r="U643" s="285" t="n"/>
      <c r="V643" s="285" t="n"/>
      <c r="W643" s="285" t="n"/>
      <c r="X643" s="285" t="n"/>
      <c r="Y643" s="285" t="n"/>
      <c r="Z643" s="285" t="n"/>
      <c r="AA643" s="285" t="n"/>
    </row>
    <row r="644" ht="15.75" customHeight="1" s="398">
      <c r="A644" s="284" t="n"/>
      <c r="B644" s="285" t="n"/>
      <c r="C644" s="284" t="n"/>
      <c r="D644" s="284" t="n"/>
      <c r="E644" s="285" t="n"/>
      <c r="F644" s="285" t="n"/>
      <c r="G644" s="336" t="n"/>
      <c r="H644" s="336" t="n"/>
      <c r="I644" s="285" t="n"/>
      <c r="J644" s="285" t="n"/>
      <c r="K644" s="285" t="n"/>
      <c r="L644" s="285" t="n"/>
      <c r="M644" s="285" t="n"/>
      <c r="N644" s="285" t="n"/>
      <c r="O644" s="285" t="n"/>
      <c r="P644" s="285" t="n"/>
      <c r="Q644" s="285" t="n"/>
      <c r="R644" s="285" t="n"/>
      <c r="S644" s="284" t="n"/>
      <c r="T644" s="284" t="n"/>
      <c r="U644" s="285" t="n"/>
      <c r="V644" s="285" t="n"/>
      <c r="W644" s="285" t="n"/>
      <c r="X644" s="285" t="n"/>
      <c r="Y644" s="285" t="n"/>
      <c r="Z644" s="285" t="n"/>
      <c r="AA644" s="285" t="n"/>
    </row>
    <row r="645" ht="15.75" customHeight="1" s="398">
      <c r="A645" s="284" t="n"/>
      <c r="B645" s="285" t="n"/>
      <c r="C645" s="284" t="n"/>
      <c r="D645" s="284" t="n"/>
      <c r="E645" s="285" t="n"/>
      <c r="F645" s="285" t="n"/>
      <c r="G645" s="336" t="n"/>
      <c r="H645" s="336" t="n"/>
      <c r="I645" s="285" t="n"/>
      <c r="J645" s="285" t="n"/>
      <c r="K645" s="285" t="n"/>
      <c r="L645" s="285" t="n"/>
      <c r="M645" s="285" t="n"/>
      <c r="N645" s="285" t="n"/>
      <c r="O645" s="285" t="n"/>
      <c r="P645" s="285" t="n"/>
      <c r="Q645" s="285" t="n"/>
      <c r="R645" s="285" t="n"/>
      <c r="S645" s="284" t="n"/>
      <c r="T645" s="284" t="n"/>
      <c r="U645" s="285" t="n"/>
      <c r="V645" s="285" t="n"/>
      <c r="W645" s="285" t="n"/>
      <c r="X645" s="285" t="n"/>
      <c r="Y645" s="285" t="n"/>
      <c r="Z645" s="285" t="n"/>
      <c r="AA645" s="285" t="n"/>
    </row>
    <row r="646" ht="15.75" customHeight="1" s="398">
      <c r="A646" s="284" t="n"/>
      <c r="B646" s="285" t="n"/>
      <c r="C646" s="284" t="n"/>
      <c r="D646" s="284" t="n"/>
      <c r="E646" s="285" t="n"/>
      <c r="F646" s="285" t="n"/>
      <c r="G646" s="336" t="n"/>
      <c r="H646" s="336" t="n"/>
      <c r="I646" s="285" t="n"/>
      <c r="J646" s="285" t="n"/>
      <c r="K646" s="285" t="n"/>
      <c r="L646" s="285" t="n"/>
      <c r="M646" s="285" t="n"/>
      <c r="N646" s="285" t="n"/>
      <c r="O646" s="285" t="n"/>
      <c r="P646" s="285" t="n"/>
      <c r="Q646" s="285" t="n"/>
      <c r="R646" s="285" t="n"/>
      <c r="S646" s="284" t="n"/>
      <c r="T646" s="284" t="n"/>
      <c r="U646" s="285" t="n"/>
      <c r="V646" s="285" t="n"/>
      <c r="W646" s="285" t="n"/>
      <c r="X646" s="285" t="n"/>
      <c r="Y646" s="285" t="n"/>
      <c r="Z646" s="285" t="n"/>
      <c r="AA646" s="285" t="n"/>
    </row>
    <row r="647" ht="15.75" customHeight="1" s="398">
      <c r="A647" s="284" t="n"/>
      <c r="B647" s="285" t="n"/>
      <c r="C647" s="284" t="n"/>
      <c r="D647" s="284" t="n"/>
      <c r="E647" s="285" t="n"/>
      <c r="F647" s="285" t="n"/>
      <c r="G647" s="336" t="n"/>
      <c r="H647" s="336" t="n"/>
      <c r="I647" s="285" t="n"/>
      <c r="J647" s="285" t="n"/>
      <c r="K647" s="285" t="n"/>
      <c r="L647" s="285" t="n"/>
      <c r="M647" s="285" t="n"/>
      <c r="N647" s="285" t="n"/>
      <c r="O647" s="285" t="n"/>
      <c r="P647" s="285" t="n"/>
      <c r="Q647" s="285" t="n"/>
      <c r="R647" s="285" t="n"/>
      <c r="S647" s="284" t="n"/>
      <c r="T647" s="284" t="n"/>
      <c r="U647" s="285" t="n"/>
      <c r="V647" s="285" t="n"/>
      <c r="W647" s="285" t="n"/>
      <c r="X647" s="285" t="n"/>
      <c r="Y647" s="285" t="n"/>
      <c r="Z647" s="285" t="n"/>
      <c r="AA647" s="285" t="n"/>
    </row>
    <row r="648" ht="15.75" customHeight="1" s="398">
      <c r="A648" s="284" t="n"/>
      <c r="B648" s="285" t="n"/>
      <c r="C648" s="284" t="n"/>
      <c r="D648" s="284" t="n"/>
      <c r="E648" s="285" t="n"/>
      <c r="F648" s="285" t="n"/>
      <c r="G648" s="336" t="n"/>
      <c r="H648" s="336" t="n"/>
      <c r="I648" s="285" t="n"/>
      <c r="J648" s="285" t="n"/>
      <c r="K648" s="285" t="n"/>
      <c r="L648" s="285" t="n"/>
      <c r="M648" s="285" t="n"/>
      <c r="N648" s="285" t="n"/>
      <c r="O648" s="285" t="n"/>
      <c r="P648" s="285" t="n"/>
      <c r="Q648" s="285" t="n"/>
      <c r="R648" s="285" t="n"/>
      <c r="S648" s="284" t="n"/>
      <c r="T648" s="284" t="n"/>
      <c r="U648" s="285" t="n"/>
      <c r="V648" s="285" t="n"/>
      <c r="W648" s="285" t="n"/>
      <c r="X648" s="285" t="n"/>
      <c r="Y648" s="285" t="n"/>
      <c r="Z648" s="285" t="n"/>
      <c r="AA648" s="285" t="n"/>
    </row>
    <row r="649" ht="15.75" customHeight="1" s="398">
      <c r="A649" s="284" t="n"/>
      <c r="B649" s="285" t="n"/>
      <c r="C649" s="284" t="n"/>
      <c r="D649" s="284" t="n"/>
      <c r="E649" s="285" t="n"/>
      <c r="F649" s="285" t="n"/>
      <c r="G649" s="336" t="n"/>
      <c r="H649" s="336" t="n"/>
      <c r="I649" s="285" t="n"/>
      <c r="J649" s="285" t="n"/>
      <c r="K649" s="285" t="n"/>
      <c r="L649" s="285" t="n"/>
      <c r="M649" s="285" t="n"/>
      <c r="N649" s="285" t="n"/>
      <c r="O649" s="285" t="n"/>
      <c r="P649" s="285" t="n"/>
      <c r="Q649" s="285" t="n"/>
      <c r="R649" s="285" t="n"/>
      <c r="S649" s="284" t="n"/>
      <c r="T649" s="284" t="n"/>
      <c r="U649" s="285" t="n"/>
      <c r="V649" s="285" t="n"/>
      <c r="W649" s="285" t="n"/>
      <c r="X649" s="285" t="n"/>
      <c r="Y649" s="285" t="n"/>
      <c r="Z649" s="285" t="n"/>
      <c r="AA649" s="285" t="n"/>
    </row>
    <row r="650" ht="15.75" customHeight="1" s="398">
      <c r="A650" s="284" t="n"/>
      <c r="B650" s="285" t="n"/>
      <c r="C650" s="284" t="n"/>
      <c r="D650" s="284" t="n"/>
      <c r="E650" s="285" t="n"/>
      <c r="F650" s="285" t="n"/>
      <c r="G650" s="336" t="n"/>
      <c r="H650" s="336" t="n"/>
      <c r="I650" s="285" t="n"/>
      <c r="J650" s="285" t="n"/>
      <c r="K650" s="285" t="n"/>
      <c r="L650" s="285" t="n"/>
      <c r="M650" s="285" t="n"/>
      <c r="N650" s="285" t="n"/>
      <c r="O650" s="285" t="n"/>
      <c r="P650" s="285" t="n"/>
      <c r="Q650" s="285" t="n"/>
      <c r="R650" s="285" t="n"/>
      <c r="S650" s="284" t="n"/>
      <c r="T650" s="284" t="n"/>
      <c r="U650" s="285" t="n"/>
      <c r="V650" s="285" t="n"/>
      <c r="W650" s="285" t="n"/>
      <c r="X650" s="285" t="n"/>
      <c r="Y650" s="285" t="n"/>
      <c r="Z650" s="285" t="n"/>
      <c r="AA650" s="285" t="n"/>
    </row>
    <row r="651" ht="15.75" customHeight="1" s="398">
      <c r="A651" s="284" t="n"/>
      <c r="B651" s="285" t="n"/>
      <c r="C651" s="284" t="n"/>
      <c r="D651" s="284" t="n"/>
      <c r="E651" s="285" t="n"/>
      <c r="F651" s="285" t="n"/>
      <c r="G651" s="336" t="n"/>
      <c r="H651" s="336" t="n"/>
      <c r="I651" s="285" t="n"/>
      <c r="J651" s="285" t="n"/>
      <c r="K651" s="285" t="n"/>
      <c r="L651" s="285" t="n"/>
      <c r="M651" s="285" t="n"/>
      <c r="N651" s="285" t="n"/>
      <c r="O651" s="285" t="n"/>
      <c r="P651" s="285" t="n"/>
      <c r="Q651" s="285" t="n"/>
      <c r="R651" s="285" t="n"/>
      <c r="S651" s="284" t="n"/>
      <c r="T651" s="284" t="n"/>
      <c r="U651" s="285" t="n"/>
      <c r="V651" s="285" t="n"/>
      <c r="W651" s="285" t="n"/>
      <c r="X651" s="285" t="n"/>
      <c r="Y651" s="285" t="n"/>
      <c r="Z651" s="285" t="n"/>
      <c r="AA651" s="285" t="n"/>
    </row>
    <row r="652" ht="15.75" customHeight="1" s="398">
      <c r="A652" s="284" t="n"/>
      <c r="B652" s="285" t="n"/>
      <c r="C652" s="284" t="n"/>
      <c r="D652" s="284" t="n"/>
      <c r="E652" s="285" t="n"/>
      <c r="F652" s="285" t="n"/>
      <c r="G652" s="336" t="n"/>
      <c r="H652" s="336" t="n"/>
      <c r="I652" s="285" t="n"/>
      <c r="J652" s="285" t="n"/>
      <c r="K652" s="285" t="n"/>
      <c r="L652" s="285" t="n"/>
      <c r="M652" s="285" t="n"/>
      <c r="N652" s="285" t="n"/>
      <c r="O652" s="285" t="n"/>
      <c r="P652" s="285" t="n"/>
      <c r="Q652" s="285" t="n"/>
      <c r="R652" s="285" t="n"/>
      <c r="S652" s="284" t="n"/>
      <c r="T652" s="284" t="n"/>
      <c r="U652" s="285" t="n"/>
      <c r="V652" s="285" t="n"/>
      <c r="W652" s="285" t="n"/>
      <c r="X652" s="285" t="n"/>
      <c r="Y652" s="285" t="n"/>
      <c r="Z652" s="285" t="n"/>
      <c r="AA652" s="285" t="n"/>
    </row>
    <row r="653" ht="15.75" customHeight="1" s="398">
      <c r="A653" s="284" t="n"/>
      <c r="B653" s="285" t="n"/>
      <c r="C653" s="284" t="n"/>
      <c r="D653" s="284" t="n"/>
      <c r="E653" s="285" t="n"/>
      <c r="F653" s="285" t="n"/>
      <c r="G653" s="336" t="n"/>
      <c r="H653" s="336" t="n"/>
      <c r="I653" s="285" t="n"/>
      <c r="J653" s="285" t="n"/>
      <c r="K653" s="285" t="n"/>
      <c r="L653" s="285" t="n"/>
      <c r="M653" s="285" t="n"/>
      <c r="N653" s="285" t="n"/>
      <c r="O653" s="285" t="n"/>
      <c r="P653" s="285" t="n"/>
      <c r="Q653" s="285" t="n"/>
      <c r="R653" s="285" t="n"/>
      <c r="S653" s="284" t="n"/>
      <c r="T653" s="284" t="n"/>
      <c r="U653" s="285" t="n"/>
      <c r="V653" s="285" t="n"/>
      <c r="W653" s="285" t="n"/>
      <c r="X653" s="285" t="n"/>
      <c r="Y653" s="285" t="n"/>
      <c r="Z653" s="285" t="n"/>
      <c r="AA653" s="285" t="n"/>
    </row>
    <row r="654" ht="15.75" customHeight="1" s="398">
      <c r="A654" s="284" t="n"/>
      <c r="B654" s="285" t="n"/>
      <c r="C654" s="284" t="n"/>
      <c r="D654" s="284" t="n"/>
      <c r="E654" s="285" t="n"/>
      <c r="F654" s="285" t="n"/>
      <c r="G654" s="336" t="n"/>
      <c r="H654" s="336" t="n"/>
      <c r="I654" s="285" t="n"/>
      <c r="J654" s="285" t="n"/>
      <c r="K654" s="285" t="n"/>
      <c r="L654" s="285" t="n"/>
      <c r="M654" s="285" t="n"/>
      <c r="N654" s="285" t="n"/>
      <c r="O654" s="285" t="n"/>
      <c r="P654" s="285" t="n"/>
      <c r="Q654" s="285" t="n"/>
      <c r="R654" s="285" t="n"/>
      <c r="S654" s="284" t="n"/>
      <c r="T654" s="284" t="n"/>
      <c r="U654" s="285" t="n"/>
      <c r="V654" s="285" t="n"/>
      <c r="W654" s="285" t="n"/>
      <c r="X654" s="285" t="n"/>
      <c r="Y654" s="285" t="n"/>
      <c r="Z654" s="285" t="n"/>
      <c r="AA654" s="285" t="n"/>
    </row>
    <row r="655" ht="15.75" customHeight="1" s="398">
      <c r="A655" s="284" t="n"/>
      <c r="B655" s="285" t="n"/>
      <c r="C655" s="284" t="n"/>
      <c r="D655" s="284" t="n"/>
      <c r="E655" s="285" t="n"/>
      <c r="F655" s="285" t="n"/>
      <c r="G655" s="336" t="n"/>
      <c r="H655" s="336" t="n"/>
      <c r="I655" s="285" t="n"/>
      <c r="J655" s="285" t="n"/>
      <c r="K655" s="285" t="n"/>
      <c r="L655" s="285" t="n"/>
      <c r="M655" s="285" t="n"/>
      <c r="N655" s="285" t="n"/>
      <c r="O655" s="285" t="n"/>
      <c r="P655" s="285" t="n"/>
      <c r="Q655" s="285" t="n"/>
      <c r="R655" s="285" t="n"/>
      <c r="S655" s="284" t="n"/>
      <c r="T655" s="284" t="n"/>
      <c r="U655" s="285" t="n"/>
      <c r="V655" s="285" t="n"/>
      <c r="W655" s="285" t="n"/>
      <c r="X655" s="285" t="n"/>
      <c r="Y655" s="285" t="n"/>
      <c r="Z655" s="285" t="n"/>
      <c r="AA655" s="285" t="n"/>
    </row>
    <row r="656" ht="15.75" customHeight="1" s="398">
      <c r="A656" s="284" t="n"/>
      <c r="B656" s="285" t="n"/>
      <c r="C656" s="284" t="n"/>
      <c r="D656" s="284" t="n"/>
      <c r="E656" s="285" t="n"/>
      <c r="F656" s="285" t="n"/>
      <c r="G656" s="336" t="n"/>
      <c r="H656" s="336" t="n"/>
      <c r="I656" s="285" t="n"/>
      <c r="J656" s="285" t="n"/>
      <c r="K656" s="285" t="n"/>
      <c r="L656" s="285" t="n"/>
      <c r="M656" s="285" t="n"/>
      <c r="N656" s="285" t="n"/>
      <c r="O656" s="285" t="n"/>
      <c r="P656" s="285" t="n"/>
      <c r="Q656" s="285" t="n"/>
      <c r="R656" s="285" t="n"/>
      <c r="S656" s="284" t="n"/>
      <c r="T656" s="284" t="n"/>
      <c r="U656" s="285" t="n"/>
      <c r="V656" s="285" t="n"/>
      <c r="W656" s="285" t="n"/>
      <c r="X656" s="285" t="n"/>
      <c r="Y656" s="285" t="n"/>
      <c r="Z656" s="285" t="n"/>
      <c r="AA656" s="285" t="n"/>
    </row>
    <row r="657" ht="15.75" customHeight="1" s="398">
      <c r="A657" s="284" t="n"/>
      <c r="B657" s="285" t="n"/>
      <c r="C657" s="284" t="n"/>
      <c r="D657" s="284" t="n"/>
      <c r="E657" s="285" t="n"/>
      <c r="F657" s="285" t="n"/>
      <c r="G657" s="336" t="n"/>
      <c r="H657" s="336" t="n"/>
      <c r="I657" s="285" t="n"/>
      <c r="J657" s="285" t="n"/>
      <c r="K657" s="285" t="n"/>
      <c r="L657" s="285" t="n"/>
      <c r="M657" s="285" t="n"/>
      <c r="N657" s="285" t="n"/>
      <c r="O657" s="285" t="n"/>
      <c r="P657" s="285" t="n"/>
      <c r="Q657" s="285" t="n"/>
      <c r="R657" s="285" t="n"/>
      <c r="S657" s="284" t="n"/>
      <c r="T657" s="284" t="n"/>
      <c r="U657" s="285" t="n"/>
      <c r="V657" s="285" t="n"/>
      <c r="W657" s="285" t="n"/>
      <c r="X657" s="285" t="n"/>
      <c r="Y657" s="285" t="n"/>
      <c r="Z657" s="285" t="n"/>
      <c r="AA657" s="285" t="n"/>
    </row>
    <row r="658" ht="15.75" customHeight="1" s="398">
      <c r="A658" s="284" t="n"/>
      <c r="B658" s="285" t="n"/>
      <c r="C658" s="284" t="n"/>
      <c r="D658" s="284" t="n"/>
      <c r="E658" s="285" t="n"/>
      <c r="F658" s="285" t="n"/>
      <c r="G658" s="336" t="n"/>
      <c r="H658" s="336" t="n"/>
      <c r="I658" s="285" t="n"/>
      <c r="J658" s="285" t="n"/>
      <c r="K658" s="285" t="n"/>
      <c r="L658" s="285" t="n"/>
      <c r="M658" s="285" t="n"/>
      <c r="N658" s="285" t="n"/>
      <c r="O658" s="285" t="n"/>
      <c r="P658" s="285" t="n"/>
      <c r="Q658" s="285" t="n"/>
      <c r="R658" s="285" t="n"/>
      <c r="S658" s="284" t="n"/>
      <c r="T658" s="284" t="n"/>
      <c r="U658" s="285" t="n"/>
      <c r="V658" s="285" t="n"/>
      <c r="W658" s="285" t="n"/>
      <c r="X658" s="285" t="n"/>
      <c r="Y658" s="285" t="n"/>
      <c r="Z658" s="285" t="n"/>
      <c r="AA658" s="285" t="n"/>
    </row>
    <row r="659" ht="15.75" customHeight="1" s="398">
      <c r="A659" s="284" t="n"/>
      <c r="B659" s="285" t="n"/>
      <c r="C659" s="284" t="n"/>
      <c r="D659" s="284" t="n"/>
      <c r="E659" s="285" t="n"/>
      <c r="F659" s="285" t="n"/>
      <c r="G659" s="336" t="n"/>
      <c r="H659" s="336" t="n"/>
      <c r="I659" s="285" t="n"/>
      <c r="J659" s="285" t="n"/>
      <c r="K659" s="285" t="n"/>
      <c r="L659" s="285" t="n"/>
      <c r="M659" s="285" t="n"/>
      <c r="N659" s="285" t="n"/>
      <c r="O659" s="285" t="n"/>
      <c r="P659" s="285" t="n"/>
      <c r="Q659" s="285" t="n"/>
      <c r="R659" s="285" t="n"/>
      <c r="S659" s="284" t="n"/>
      <c r="T659" s="284" t="n"/>
      <c r="U659" s="285" t="n"/>
      <c r="V659" s="285" t="n"/>
      <c r="W659" s="285" t="n"/>
      <c r="X659" s="285" t="n"/>
      <c r="Y659" s="285" t="n"/>
      <c r="Z659" s="285" t="n"/>
      <c r="AA659" s="285" t="n"/>
    </row>
    <row r="660" ht="15.75" customHeight="1" s="398">
      <c r="A660" s="284" t="n"/>
      <c r="B660" s="285" t="n"/>
      <c r="C660" s="284" t="n"/>
      <c r="D660" s="284" t="n"/>
      <c r="E660" s="285" t="n"/>
      <c r="F660" s="285" t="n"/>
      <c r="G660" s="336" t="n"/>
      <c r="H660" s="336" t="n"/>
      <c r="I660" s="285" t="n"/>
      <c r="J660" s="285" t="n"/>
      <c r="K660" s="285" t="n"/>
      <c r="L660" s="285" t="n"/>
      <c r="M660" s="285" t="n"/>
      <c r="N660" s="285" t="n"/>
      <c r="O660" s="285" t="n"/>
      <c r="P660" s="285" t="n"/>
      <c r="Q660" s="285" t="n"/>
      <c r="R660" s="285" t="n"/>
      <c r="S660" s="284" t="n"/>
      <c r="T660" s="284" t="n"/>
      <c r="U660" s="285" t="n"/>
      <c r="V660" s="285" t="n"/>
      <c r="W660" s="285" t="n"/>
      <c r="X660" s="285" t="n"/>
      <c r="Y660" s="285" t="n"/>
      <c r="Z660" s="285" t="n"/>
      <c r="AA660" s="285" t="n"/>
    </row>
    <row r="661" ht="15.75" customHeight="1" s="398">
      <c r="A661" s="284" t="n"/>
      <c r="B661" s="285" t="n"/>
      <c r="C661" s="284" t="n"/>
      <c r="D661" s="284" t="n"/>
      <c r="E661" s="285" t="n"/>
      <c r="F661" s="285" t="n"/>
      <c r="G661" s="336" t="n"/>
      <c r="H661" s="336" t="n"/>
      <c r="I661" s="285" t="n"/>
      <c r="J661" s="285" t="n"/>
      <c r="K661" s="285" t="n"/>
      <c r="L661" s="285" t="n"/>
      <c r="M661" s="285" t="n"/>
      <c r="N661" s="285" t="n"/>
      <c r="O661" s="285" t="n"/>
      <c r="P661" s="285" t="n"/>
      <c r="Q661" s="285" t="n"/>
      <c r="R661" s="285" t="n"/>
      <c r="S661" s="284" t="n"/>
      <c r="T661" s="284" t="n"/>
      <c r="U661" s="285" t="n"/>
      <c r="V661" s="285" t="n"/>
      <c r="W661" s="285" t="n"/>
      <c r="X661" s="285" t="n"/>
      <c r="Y661" s="285" t="n"/>
      <c r="Z661" s="285" t="n"/>
      <c r="AA661" s="285" t="n"/>
    </row>
    <row r="662" ht="15.75" customHeight="1" s="398">
      <c r="A662" s="284" t="n"/>
      <c r="B662" s="285" t="n"/>
      <c r="C662" s="284" t="n"/>
      <c r="D662" s="284" t="n"/>
      <c r="E662" s="285" t="n"/>
      <c r="F662" s="285" t="n"/>
      <c r="G662" s="336" t="n"/>
      <c r="H662" s="336" t="n"/>
      <c r="I662" s="285" t="n"/>
      <c r="J662" s="285" t="n"/>
      <c r="K662" s="285" t="n"/>
      <c r="L662" s="285" t="n"/>
      <c r="M662" s="285" t="n"/>
      <c r="N662" s="285" t="n"/>
      <c r="O662" s="285" t="n"/>
      <c r="P662" s="285" t="n"/>
      <c r="Q662" s="285" t="n"/>
      <c r="R662" s="285" t="n"/>
      <c r="S662" s="284" t="n"/>
      <c r="T662" s="284" t="n"/>
      <c r="U662" s="285" t="n"/>
      <c r="V662" s="285" t="n"/>
      <c r="W662" s="285" t="n"/>
      <c r="X662" s="285" t="n"/>
      <c r="Y662" s="285" t="n"/>
      <c r="Z662" s="285" t="n"/>
      <c r="AA662" s="285" t="n"/>
    </row>
    <row r="663" ht="15.75" customHeight="1" s="398">
      <c r="A663" s="284" t="n"/>
      <c r="B663" s="285" t="n"/>
      <c r="C663" s="284" t="n"/>
      <c r="D663" s="284" t="n"/>
      <c r="E663" s="285" t="n"/>
      <c r="F663" s="285" t="n"/>
      <c r="G663" s="336" t="n"/>
      <c r="H663" s="336" t="n"/>
      <c r="I663" s="285" t="n"/>
      <c r="J663" s="285" t="n"/>
      <c r="K663" s="285" t="n"/>
      <c r="L663" s="285" t="n"/>
      <c r="M663" s="285" t="n"/>
      <c r="N663" s="285" t="n"/>
      <c r="O663" s="285" t="n"/>
      <c r="P663" s="285" t="n"/>
      <c r="Q663" s="285" t="n"/>
      <c r="R663" s="285" t="n"/>
      <c r="S663" s="284" t="n"/>
      <c r="T663" s="284" t="n"/>
      <c r="U663" s="285" t="n"/>
      <c r="V663" s="285" t="n"/>
      <c r="W663" s="285" t="n"/>
      <c r="X663" s="285" t="n"/>
      <c r="Y663" s="285" t="n"/>
      <c r="Z663" s="285" t="n"/>
      <c r="AA663" s="285" t="n"/>
    </row>
    <row r="664" ht="15.75" customHeight="1" s="398">
      <c r="A664" s="284" t="n"/>
      <c r="B664" s="285" t="n"/>
      <c r="C664" s="284" t="n"/>
      <c r="D664" s="284" t="n"/>
      <c r="E664" s="285" t="n"/>
      <c r="F664" s="285" t="n"/>
      <c r="G664" s="336" t="n"/>
      <c r="H664" s="336" t="n"/>
      <c r="I664" s="285" t="n"/>
      <c r="J664" s="285" t="n"/>
      <c r="K664" s="285" t="n"/>
      <c r="L664" s="285" t="n"/>
      <c r="M664" s="285" t="n"/>
      <c r="N664" s="285" t="n"/>
      <c r="O664" s="285" t="n"/>
      <c r="P664" s="285" t="n"/>
      <c r="Q664" s="285" t="n"/>
      <c r="R664" s="285" t="n"/>
      <c r="S664" s="284" t="n"/>
      <c r="T664" s="284" t="n"/>
      <c r="U664" s="285" t="n"/>
      <c r="V664" s="285" t="n"/>
      <c r="W664" s="285" t="n"/>
      <c r="X664" s="285" t="n"/>
      <c r="Y664" s="285" t="n"/>
      <c r="Z664" s="285" t="n"/>
      <c r="AA664" s="285" t="n"/>
    </row>
    <row r="665" ht="15.75" customHeight="1" s="398">
      <c r="A665" s="284" t="n"/>
      <c r="B665" s="285" t="n"/>
      <c r="C665" s="284" t="n"/>
      <c r="D665" s="284" t="n"/>
      <c r="E665" s="285" t="n"/>
      <c r="F665" s="285" t="n"/>
      <c r="G665" s="336" t="n"/>
      <c r="H665" s="336" t="n"/>
      <c r="I665" s="285" t="n"/>
      <c r="J665" s="285" t="n"/>
      <c r="K665" s="285" t="n"/>
      <c r="L665" s="285" t="n"/>
      <c r="M665" s="285" t="n"/>
      <c r="N665" s="285" t="n"/>
      <c r="O665" s="285" t="n"/>
      <c r="P665" s="285" t="n"/>
      <c r="Q665" s="285" t="n"/>
      <c r="R665" s="285" t="n"/>
      <c r="S665" s="284" t="n"/>
      <c r="T665" s="284" t="n"/>
      <c r="U665" s="285" t="n"/>
      <c r="V665" s="285" t="n"/>
      <c r="W665" s="285" t="n"/>
      <c r="X665" s="285" t="n"/>
      <c r="Y665" s="285" t="n"/>
      <c r="Z665" s="285" t="n"/>
      <c r="AA665" s="285" t="n"/>
    </row>
    <row r="666" ht="15.75" customHeight="1" s="398">
      <c r="A666" s="284" t="n"/>
      <c r="B666" s="285" t="n"/>
      <c r="C666" s="284" t="n"/>
      <c r="D666" s="284" t="n"/>
      <c r="E666" s="285" t="n"/>
      <c r="F666" s="285" t="n"/>
      <c r="G666" s="336" t="n"/>
      <c r="H666" s="336" t="n"/>
      <c r="I666" s="285" t="n"/>
      <c r="J666" s="285" t="n"/>
      <c r="K666" s="285" t="n"/>
      <c r="L666" s="285" t="n"/>
      <c r="M666" s="285" t="n"/>
      <c r="N666" s="285" t="n"/>
      <c r="O666" s="285" t="n"/>
      <c r="P666" s="285" t="n"/>
      <c r="Q666" s="285" t="n"/>
      <c r="R666" s="285" t="n"/>
      <c r="S666" s="284" t="n"/>
      <c r="T666" s="284" t="n"/>
      <c r="U666" s="285" t="n"/>
      <c r="V666" s="285" t="n"/>
      <c r="W666" s="285" t="n"/>
      <c r="X666" s="285" t="n"/>
      <c r="Y666" s="285" t="n"/>
      <c r="Z666" s="285" t="n"/>
      <c r="AA666" s="285" t="n"/>
    </row>
    <row r="667" ht="15.75" customHeight="1" s="398">
      <c r="A667" s="284" t="n"/>
      <c r="B667" s="285" t="n"/>
      <c r="C667" s="284" t="n"/>
      <c r="D667" s="284" t="n"/>
      <c r="E667" s="285" t="n"/>
      <c r="F667" s="285" t="n"/>
      <c r="G667" s="336" t="n"/>
      <c r="H667" s="336" t="n"/>
      <c r="I667" s="285" t="n"/>
      <c r="J667" s="285" t="n"/>
      <c r="K667" s="285" t="n"/>
      <c r="L667" s="285" t="n"/>
      <c r="M667" s="285" t="n"/>
      <c r="N667" s="285" t="n"/>
      <c r="O667" s="285" t="n"/>
      <c r="P667" s="285" t="n"/>
      <c r="Q667" s="285" t="n"/>
      <c r="R667" s="285" t="n"/>
      <c r="S667" s="284" t="n"/>
      <c r="T667" s="284" t="n"/>
      <c r="U667" s="285" t="n"/>
      <c r="V667" s="285" t="n"/>
      <c r="W667" s="285" t="n"/>
      <c r="X667" s="285" t="n"/>
      <c r="Y667" s="285" t="n"/>
      <c r="Z667" s="285" t="n"/>
      <c r="AA667" s="285" t="n"/>
    </row>
    <row r="668" ht="15.75" customHeight="1" s="398">
      <c r="A668" s="284" t="n"/>
      <c r="B668" s="285" t="n"/>
      <c r="C668" s="284" t="n"/>
      <c r="D668" s="284" t="n"/>
      <c r="E668" s="285" t="n"/>
      <c r="F668" s="285" t="n"/>
      <c r="G668" s="336" t="n"/>
      <c r="H668" s="336" t="n"/>
      <c r="I668" s="285" t="n"/>
      <c r="J668" s="285" t="n"/>
      <c r="K668" s="285" t="n"/>
      <c r="L668" s="285" t="n"/>
      <c r="M668" s="285" t="n"/>
      <c r="N668" s="285" t="n"/>
      <c r="O668" s="285" t="n"/>
      <c r="P668" s="285" t="n"/>
      <c r="Q668" s="285" t="n"/>
      <c r="R668" s="285" t="n"/>
      <c r="S668" s="284" t="n"/>
      <c r="T668" s="284" t="n"/>
      <c r="U668" s="285" t="n"/>
      <c r="V668" s="285" t="n"/>
      <c r="W668" s="285" t="n"/>
      <c r="X668" s="285" t="n"/>
      <c r="Y668" s="285" t="n"/>
      <c r="Z668" s="285" t="n"/>
      <c r="AA668" s="285" t="n"/>
    </row>
    <row r="669" ht="15.75" customHeight="1" s="398">
      <c r="A669" s="284" t="n"/>
      <c r="B669" s="285" t="n"/>
      <c r="C669" s="284" t="n"/>
      <c r="D669" s="284" t="n"/>
      <c r="E669" s="285" t="n"/>
      <c r="F669" s="285" t="n"/>
      <c r="G669" s="336" t="n"/>
      <c r="H669" s="336" t="n"/>
      <c r="I669" s="285" t="n"/>
      <c r="J669" s="285" t="n"/>
      <c r="K669" s="285" t="n"/>
      <c r="L669" s="285" t="n"/>
      <c r="M669" s="285" t="n"/>
      <c r="N669" s="285" t="n"/>
      <c r="O669" s="285" t="n"/>
      <c r="P669" s="285" t="n"/>
      <c r="Q669" s="285" t="n"/>
      <c r="R669" s="285" t="n"/>
      <c r="S669" s="284" t="n"/>
      <c r="T669" s="284" t="n"/>
      <c r="U669" s="285" t="n"/>
      <c r="V669" s="285" t="n"/>
      <c r="W669" s="285" t="n"/>
      <c r="X669" s="285" t="n"/>
      <c r="Y669" s="285" t="n"/>
      <c r="Z669" s="285" t="n"/>
      <c r="AA669" s="285" t="n"/>
    </row>
    <row r="670" ht="15.75" customHeight="1" s="398">
      <c r="A670" s="284" t="n"/>
      <c r="B670" s="285" t="n"/>
      <c r="C670" s="284" t="n"/>
      <c r="D670" s="284" t="n"/>
      <c r="E670" s="285" t="n"/>
      <c r="F670" s="285" t="n"/>
      <c r="G670" s="336" t="n"/>
      <c r="H670" s="336" t="n"/>
      <c r="I670" s="285" t="n"/>
      <c r="J670" s="285" t="n"/>
      <c r="K670" s="285" t="n"/>
      <c r="L670" s="285" t="n"/>
      <c r="M670" s="285" t="n"/>
      <c r="N670" s="285" t="n"/>
      <c r="O670" s="285" t="n"/>
      <c r="P670" s="285" t="n"/>
      <c r="Q670" s="285" t="n"/>
      <c r="R670" s="285" t="n"/>
      <c r="S670" s="284" t="n"/>
      <c r="T670" s="284" t="n"/>
      <c r="U670" s="285" t="n"/>
      <c r="V670" s="285" t="n"/>
      <c r="W670" s="285" t="n"/>
      <c r="X670" s="285" t="n"/>
      <c r="Y670" s="285" t="n"/>
      <c r="Z670" s="285" t="n"/>
      <c r="AA670" s="285" t="n"/>
    </row>
    <row r="671" ht="15.75" customHeight="1" s="398">
      <c r="A671" s="284" t="n"/>
      <c r="B671" s="285" t="n"/>
      <c r="C671" s="284" t="n"/>
      <c r="D671" s="284" t="n"/>
      <c r="E671" s="285" t="n"/>
      <c r="F671" s="285" t="n"/>
      <c r="G671" s="336" t="n"/>
      <c r="H671" s="336" t="n"/>
      <c r="I671" s="285" t="n"/>
      <c r="J671" s="285" t="n"/>
      <c r="K671" s="285" t="n"/>
      <c r="L671" s="285" t="n"/>
      <c r="M671" s="285" t="n"/>
      <c r="N671" s="285" t="n"/>
      <c r="O671" s="285" t="n"/>
      <c r="P671" s="285" t="n"/>
      <c r="Q671" s="285" t="n"/>
      <c r="R671" s="285" t="n"/>
      <c r="S671" s="284" t="n"/>
      <c r="T671" s="284" t="n"/>
      <c r="U671" s="285" t="n"/>
      <c r="V671" s="285" t="n"/>
      <c r="W671" s="285" t="n"/>
      <c r="X671" s="285" t="n"/>
      <c r="Y671" s="285" t="n"/>
      <c r="Z671" s="285" t="n"/>
      <c r="AA671" s="285" t="n"/>
    </row>
    <row r="672" ht="15.75" customHeight="1" s="398">
      <c r="A672" s="284" t="n"/>
      <c r="B672" s="285" t="n"/>
      <c r="C672" s="284" t="n"/>
      <c r="D672" s="284" t="n"/>
      <c r="E672" s="285" t="n"/>
      <c r="F672" s="285" t="n"/>
      <c r="G672" s="336" t="n"/>
      <c r="H672" s="336" t="n"/>
      <c r="I672" s="285" t="n"/>
      <c r="J672" s="285" t="n"/>
      <c r="K672" s="285" t="n"/>
      <c r="L672" s="285" t="n"/>
      <c r="M672" s="285" t="n"/>
      <c r="N672" s="285" t="n"/>
      <c r="O672" s="285" t="n"/>
      <c r="P672" s="285" t="n"/>
      <c r="Q672" s="285" t="n"/>
      <c r="R672" s="285" t="n"/>
      <c r="S672" s="284" t="n"/>
      <c r="T672" s="284" t="n"/>
      <c r="U672" s="285" t="n"/>
      <c r="V672" s="285" t="n"/>
      <c r="W672" s="285" t="n"/>
      <c r="X672" s="285" t="n"/>
      <c r="Y672" s="285" t="n"/>
      <c r="Z672" s="285" t="n"/>
      <c r="AA672" s="285" t="n"/>
    </row>
    <row r="673" ht="15.75" customHeight="1" s="398">
      <c r="A673" s="284" t="n"/>
      <c r="B673" s="285" t="n"/>
      <c r="C673" s="284" t="n"/>
      <c r="D673" s="284" t="n"/>
      <c r="E673" s="285" t="n"/>
      <c r="F673" s="285" t="n"/>
      <c r="G673" s="336" t="n"/>
      <c r="H673" s="336" t="n"/>
      <c r="I673" s="285" t="n"/>
      <c r="J673" s="285" t="n"/>
      <c r="K673" s="285" t="n"/>
      <c r="L673" s="285" t="n"/>
      <c r="M673" s="285" t="n"/>
      <c r="N673" s="285" t="n"/>
      <c r="O673" s="285" t="n"/>
      <c r="P673" s="285" t="n"/>
      <c r="Q673" s="285" t="n"/>
      <c r="R673" s="285" t="n"/>
      <c r="S673" s="284" t="n"/>
      <c r="T673" s="284" t="n"/>
      <c r="U673" s="285" t="n"/>
      <c r="V673" s="285" t="n"/>
      <c r="W673" s="285" t="n"/>
      <c r="X673" s="285" t="n"/>
      <c r="Y673" s="285" t="n"/>
      <c r="Z673" s="285" t="n"/>
      <c r="AA673" s="285" t="n"/>
    </row>
    <row r="674" ht="15.75" customHeight="1" s="398">
      <c r="A674" s="284" t="n"/>
      <c r="B674" s="285" t="n"/>
      <c r="C674" s="284" t="n"/>
      <c r="D674" s="284" t="n"/>
      <c r="E674" s="285" t="n"/>
      <c r="F674" s="285" t="n"/>
      <c r="G674" s="336" t="n"/>
      <c r="H674" s="336" t="n"/>
      <c r="I674" s="285" t="n"/>
      <c r="J674" s="285" t="n"/>
      <c r="K674" s="285" t="n"/>
      <c r="L674" s="285" t="n"/>
      <c r="M674" s="285" t="n"/>
      <c r="N674" s="285" t="n"/>
      <c r="O674" s="285" t="n"/>
      <c r="P674" s="285" t="n"/>
      <c r="Q674" s="285" t="n"/>
      <c r="R674" s="285" t="n"/>
      <c r="S674" s="284" t="n"/>
      <c r="T674" s="284" t="n"/>
      <c r="U674" s="285" t="n"/>
      <c r="V674" s="285" t="n"/>
      <c r="W674" s="285" t="n"/>
      <c r="X674" s="285" t="n"/>
      <c r="Y674" s="285" t="n"/>
      <c r="Z674" s="285" t="n"/>
      <c r="AA674" s="285" t="n"/>
    </row>
    <row r="675" ht="15.75" customHeight="1" s="398">
      <c r="A675" s="284" t="n"/>
      <c r="B675" s="285" t="n"/>
      <c r="C675" s="284" t="n"/>
      <c r="D675" s="284" t="n"/>
      <c r="E675" s="285" t="n"/>
      <c r="F675" s="285" t="n"/>
      <c r="G675" s="336" t="n"/>
      <c r="H675" s="336" t="n"/>
      <c r="I675" s="285" t="n"/>
      <c r="J675" s="285" t="n"/>
      <c r="K675" s="285" t="n"/>
      <c r="L675" s="285" t="n"/>
      <c r="M675" s="285" t="n"/>
      <c r="N675" s="285" t="n"/>
      <c r="O675" s="285" t="n"/>
      <c r="P675" s="285" t="n"/>
      <c r="Q675" s="285" t="n"/>
      <c r="R675" s="285" t="n"/>
      <c r="S675" s="284" t="n"/>
      <c r="T675" s="284" t="n"/>
      <c r="U675" s="285" t="n"/>
      <c r="V675" s="285" t="n"/>
      <c r="W675" s="285" t="n"/>
      <c r="X675" s="285" t="n"/>
      <c r="Y675" s="285" t="n"/>
      <c r="Z675" s="285" t="n"/>
      <c r="AA675" s="285" t="n"/>
    </row>
    <row r="676" ht="15.75" customHeight="1" s="398">
      <c r="A676" s="284" t="n"/>
      <c r="B676" s="285" t="n"/>
      <c r="C676" s="284" t="n"/>
      <c r="D676" s="284" t="n"/>
      <c r="E676" s="285" t="n"/>
      <c r="F676" s="285" t="n"/>
      <c r="G676" s="336" t="n"/>
      <c r="H676" s="336" t="n"/>
      <c r="I676" s="285" t="n"/>
      <c r="J676" s="285" t="n"/>
      <c r="K676" s="285" t="n"/>
      <c r="L676" s="285" t="n"/>
      <c r="M676" s="285" t="n"/>
      <c r="N676" s="285" t="n"/>
      <c r="O676" s="285" t="n"/>
      <c r="P676" s="285" t="n"/>
      <c r="Q676" s="285" t="n"/>
      <c r="R676" s="285" t="n"/>
      <c r="S676" s="284" t="n"/>
      <c r="T676" s="284" t="n"/>
      <c r="U676" s="285" t="n"/>
      <c r="V676" s="285" t="n"/>
      <c r="W676" s="285" t="n"/>
      <c r="X676" s="285" t="n"/>
      <c r="Y676" s="285" t="n"/>
      <c r="Z676" s="285" t="n"/>
      <c r="AA676" s="285" t="n"/>
    </row>
    <row r="677" ht="15.75" customHeight="1" s="398">
      <c r="A677" s="284" t="n"/>
      <c r="B677" s="285" t="n"/>
      <c r="C677" s="284" t="n"/>
      <c r="D677" s="284" t="n"/>
      <c r="E677" s="285" t="n"/>
      <c r="F677" s="285" t="n"/>
      <c r="G677" s="336" t="n"/>
      <c r="H677" s="336" t="n"/>
      <c r="I677" s="285" t="n"/>
      <c r="J677" s="285" t="n"/>
      <c r="K677" s="285" t="n"/>
      <c r="L677" s="285" t="n"/>
      <c r="M677" s="285" t="n"/>
      <c r="N677" s="285" t="n"/>
      <c r="O677" s="285" t="n"/>
      <c r="P677" s="285" t="n"/>
      <c r="Q677" s="285" t="n"/>
      <c r="R677" s="285" t="n"/>
      <c r="S677" s="284" t="n"/>
      <c r="T677" s="284" t="n"/>
      <c r="U677" s="285" t="n"/>
      <c r="V677" s="285" t="n"/>
      <c r="W677" s="285" t="n"/>
      <c r="X677" s="285" t="n"/>
      <c r="Y677" s="285" t="n"/>
      <c r="Z677" s="285" t="n"/>
      <c r="AA677" s="285" t="n"/>
    </row>
    <row r="678" ht="15.75" customHeight="1" s="398">
      <c r="A678" s="284" t="n"/>
      <c r="B678" s="285" t="n"/>
      <c r="C678" s="284" t="n"/>
      <c r="D678" s="284" t="n"/>
      <c r="E678" s="285" t="n"/>
      <c r="F678" s="285" t="n"/>
      <c r="G678" s="336" t="n"/>
      <c r="H678" s="336" t="n"/>
      <c r="I678" s="285" t="n"/>
      <c r="J678" s="285" t="n"/>
      <c r="K678" s="285" t="n"/>
      <c r="L678" s="285" t="n"/>
      <c r="M678" s="285" t="n"/>
      <c r="N678" s="285" t="n"/>
      <c r="O678" s="285" t="n"/>
      <c r="P678" s="285" t="n"/>
      <c r="Q678" s="285" t="n"/>
      <c r="R678" s="285" t="n"/>
      <c r="S678" s="284" t="n"/>
      <c r="T678" s="284" t="n"/>
      <c r="U678" s="285" t="n"/>
      <c r="V678" s="285" t="n"/>
      <c r="W678" s="285" t="n"/>
      <c r="X678" s="285" t="n"/>
      <c r="Y678" s="285" t="n"/>
      <c r="Z678" s="285" t="n"/>
      <c r="AA678" s="285" t="n"/>
    </row>
    <row r="679" ht="15.75" customHeight="1" s="398">
      <c r="A679" s="284" t="n"/>
      <c r="B679" s="285" t="n"/>
      <c r="C679" s="284" t="n"/>
      <c r="D679" s="284" t="n"/>
      <c r="E679" s="285" t="n"/>
      <c r="F679" s="285" t="n"/>
      <c r="G679" s="336" t="n"/>
      <c r="H679" s="336" t="n"/>
      <c r="I679" s="285" t="n"/>
      <c r="J679" s="285" t="n"/>
      <c r="K679" s="285" t="n"/>
      <c r="L679" s="285" t="n"/>
      <c r="M679" s="285" t="n"/>
      <c r="N679" s="285" t="n"/>
      <c r="O679" s="285" t="n"/>
      <c r="P679" s="285" t="n"/>
      <c r="Q679" s="285" t="n"/>
      <c r="R679" s="285" t="n"/>
      <c r="S679" s="284" t="n"/>
      <c r="T679" s="284" t="n"/>
      <c r="U679" s="285" t="n"/>
      <c r="V679" s="285" t="n"/>
      <c r="W679" s="285" t="n"/>
      <c r="X679" s="285" t="n"/>
      <c r="Y679" s="285" t="n"/>
      <c r="Z679" s="285" t="n"/>
      <c r="AA679" s="285" t="n"/>
    </row>
    <row r="680" ht="15.75" customHeight="1" s="398">
      <c r="A680" s="284" t="n"/>
      <c r="B680" s="285" t="n"/>
      <c r="C680" s="284" t="n"/>
      <c r="D680" s="284" t="n"/>
      <c r="E680" s="285" t="n"/>
      <c r="F680" s="285" t="n"/>
      <c r="G680" s="336" t="n"/>
      <c r="H680" s="336" t="n"/>
      <c r="I680" s="285" t="n"/>
      <c r="J680" s="285" t="n"/>
      <c r="K680" s="285" t="n"/>
      <c r="L680" s="285" t="n"/>
      <c r="M680" s="285" t="n"/>
      <c r="N680" s="285" t="n"/>
      <c r="O680" s="285" t="n"/>
      <c r="P680" s="285" t="n"/>
      <c r="Q680" s="285" t="n"/>
      <c r="R680" s="285" t="n"/>
      <c r="S680" s="284" t="n"/>
      <c r="T680" s="284" t="n"/>
      <c r="U680" s="285" t="n"/>
      <c r="V680" s="285" t="n"/>
      <c r="W680" s="285" t="n"/>
      <c r="X680" s="285" t="n"/>
      <c r="Y680" s="285" t="n"/>
      <c r="Z680" s="285" t="n"/>
      <c r="AA680" s="285" t="n"/>
    </row>
    <row r="681" ht="15.75" customHeight="1" s="398">
      <c r="A681" s="284" t="n"/>
      <c r="B681" s="285" t="n"/>
      <c r="C681" s="284" t="n"/>
      <c r="D681" s="284" t="n"/>
      <c r="E681" s="285" t="n"/>
      <c r="F681" s="285" t="n"/>
      <c r="G681" s="336" t="n"/>
      <c r="H681" s="336" t="n"/>
      <c r="I681" s="285" t="n"/>
      <c r="J681" s="285" t="n"/>
      <c r="K681" s="285" t="n"/>
      <c r="L681" s="285" t="n"/>
      <c r="M681" s="285" t="n"/>
      <c r="N681" s="285" t="n"/>
      <c r="O681" s="285" t="n"/>
      <c r="P681" s="285" t="n"/>
      <c r="Q681" s="285" t="n"/>
      <c r="R681" s="285" t="n"/>
      <c r="S681" s="284" t="n"/>
      <c r="T681" s="284" t="n"/>
      <c r="U681" s="285" t="n"/>
      <c r="V681" s="285" t="n"/>
      <c r="W681" s="285" t="n"/>
      <c r="X681" s="285" t="n"/>
      <c r="Y681" s="285" t="n"/>
      <c r="Z681" s="285" t="n"/>
      <c r="AA681" s="285" t="n"/>
    </row>
    <row r="682" ht="15.75" customHeight="1" s="398">
      <c r="A682" s="284" t="n"/>
      <c r="B682" s="285" t="n"/>
      <c r="C682" s="284" t="n"/>
      <c r="D682" s="284" t="n"/>
      <c r="E682" s="285" t="n"/>
      <c r="F682" s="285" t="n"/>
      <c r="G682" s="336" t="n"/>
      <c r="H682" s="336" t="n"/>
      <c r="I682" s="285" t="n"/>
      <c r="J682" s="285" t="n"/>
      <c r="K682" s="285" t="n"/>
      <c r="L682" s="285" t="n"/>
      <c r="M682" s="285" t="n"/>
      <c r="N682" s="285" t="n"/>
      <c r="O682" s="285" t="n"/>
      <c r="P682" s="285" t="n"/>
      <c r="Q682" s="285" t="n"/>
      <c r="R682" s="285" t="n"/>
      <c r="S682" s="284" t="n"/>
      <c r="T682" s="284" t="n"/>
      <c r="U682" s="285" t="n"/>
      <c r="V682" s="285" t="n"/>
      <c r="W682" s="285" t="n"/>
      <c r="X682" s="285" t="n"/>
      <c r="Y682" s="285" t="n"/>
      <c r="Z682" s="285" t="n"/>
      <c r="AA682" s="285" t="n"/>
    </row>
    <row r="683" ht="15.75" customHeight="1" s="398">
      <c r="A683" s="284" t="n"/>
      <c r="B683" s="285" t="n"/>
      <c r="C683" s="284" t="n"/>
      <c r="D683" s="284" t="n"/>
      <c r="E683" s="285" t="n"/>
      <c r="F683" s="285" t="n"/>
      <c r="G683" s="336" t="n"/>
      <c r="H683" s="336" t="n"/>
      <c r="I683" s="285" t="n"/>
      <c r="J683" s="285" t="n"/>
      <c r="K683" s="285" t="n"/>
      <c r="L683" s="285" t="n"/>
      <c r="M683" s="285" t="n"/>
      <c r="N683" s="285" t="n"/>
      <c r="O683" s="285" t="n"/>
      <c r="P683" s="285" t="n"/>
      <c r="Q683" s="285" t="n"/>
      <c r="R683" s="285" t="n"/>
      <c r="S683" s="284" t="n"/>
      <c r="T683" s="284" t="n"/>
      <c r="U683" s="285" t="n"/>
      <c r="V683" s="285" t="n"/>
      <c r="W683" s="285" t="n"/>
      <c r="X683" s="285" t="n"/>
      <c r="Y683" s="285" t="n"/>
      <c r="Z683" s="285" t="n"/>
      <c r="AA683" s="285" t="n"/>
    </row>
    <row r="684" ht="15.75" customHeight="1" s="398">
      <c r="A684" s="284" t="n"/>
      <c r="B684" s="285" t="n"/>
      <c r="C684" s="284" t="n"/>
      <c r="D684" s="284" t="n"/>
      <c r="E684" s="285" t="n"/>
      <c r="F684" s="285" t="n"/>
      <c r="G684" s="336" t="n"/>
      <c r="H684" s="336" t="n"/>
      <c r="I684" s="285" t="n"/>
      <c r="J684" s="285" t="n"/>
      <c r="K684" s="285" t="n"/>
      <c r="L684" s="285" t="n"/>
      <c r="M684" s="285" t="n"/>
      <c r="N684" s="285" t="n"/>
      <c r="O684" s="285" t="n"/>
      <c r="P684" s="285" t="n"/>
      <c r="Q684" s="285" t="n"/>
      <c r="R684" s="285" t="n"/>
      <c r="S684" s="284" t="n"/>
      <c r="T684" s="284" t="n"/>
      <c r="U684" s="285" t="n"/>
      <c r="V684" s="285" t="n"/>
      <c r="W684" s="285" t="n"/>
      <c r="X684" s="285" t="n"/>
      <c r="Y684" s="285" t="n"/>
      <c r="Z684" s="285" t="n"/>
      <c r="AA684" s="285" t="n"/>
    </row>
    <row r="685" ht="15.75" customHeight="1" s="398">
      <c r="A685" s="284" t="n"/>
      <c r="B685" s="285" t="n"/>
      <c r="C685" s="284" t="n"/>
      <c r="D685" s="284" t="n"/>
      <c r="E685" s="285" t="n"/>
      <c r="F685" s="285" t="n"/>
      <c r="G685" s="336" t="n"/>
      <c r="H685" s="336" t="n"/>
      <c r="I685" s="285" t="n"/>
      <c r="J685" s="285" t="n"/>
      <c r="K685" s="285" t="n"/>
      <c r="L685" s="285" t="n"/>
      <c r="M685" s="285" t="n"/>
      <c r="N685" s="285" t="n"/>
      <c r="O685" s="285" t="n"/>
      <c r="P685" s="285" t="n"/>
      <c r="Q685" s="285" t="n"/>
      <c r="R685" s="285" t="n"/>
      <c r="S685" s="284" t="n"/>
      <c r="T685" s="284" t="n"/>
      <c r="U685" s="285" t="n"/>
      <c r="V685" s="285" t="n"/>
      <c r="W685" s="285" t="n"/>
      <c r="X685" s="285" t="n"/>
      <c r="Y685" s="285" t="n"/>
      <c r="Z685" s="285" t="n"/>
      <c r="AA685" s="285" t="n"/>
    </row>
    <row r="686" ht="15.75" customHeight="1" s="398">
      <c r="A686" s="284" t="n"/>
      <c r="B686" s="285" t="n"/>
      <c r="C686" s="284" t="n"/>
      <c r="D686" s="284" t="n"/>
      <c r="E686" s="285" t="n"/>
      <c r="F686" s="285" t="n"/>
      <c r="G686" s="336" t="n"/>
      <c r="H686" s="336" t="n"/>
      <c r="I686" s="285" t="n"/>
      <c r="J686" s="285" t="n"/>
      <c r="K686" s="285" t="n"/>
      <c r="L686" s="285" t="n"/>
      <c r="M686" s="285" t="n"/>
      <c r="N686" s="285" t="n"/>
      <c r="O686" s="285" t="n"/>
      <c r="P686" s="285" t="n"/>
      <c r="Q686" s="285" t="n"/>
      <c r="R686" s="285" t="n"/>
      <c r="S686" s="284" t="n"/>
      <c r="T686" s="284" t="n"/>
      <c r="U686" s="285" t="n"/>
      <c r="V686" s="285" t="n"/>
      <c r="W686" s="285" t="n"/>
      <c r="X686" s="285" t="n"/>
      <c r="Y686" s="285" t="n"/>
      <c r="Z686" s="285" t="n"/>
      <c r="AA686" s="285" t="n"/>
    </row>
    <row r="687" ht="15.75" customHeight="1" s="398">
      <c r="A687" s="284" t="n"/>
      <c r="B687" s="285" t="n"/>
      <c r="C687" s="284" t="n"/>
      <c r="D687" s="284" t="n"/>
      <c r="E687" s="285" t="n"/>
      <c r="F687" s="285" t="n"/>
      <c r="G687" s="336" t="n"/>
      <c r="H687" s="336" t="n"/>
      <c r="I687" s="285" t="n"/>
      <c r="J687" s="285" t="n"/>
      <c r="K687" s="285" t="n"/>
      <c r="L687" s="285" t="n"/>
      <c r="M687" s="285" t="n"/>
      <c r="N687" s="285" t="n"/>
      <c r="O687" s="285" t="n"/>
      <c r="P687" s="285" t="n"/>
      <c r="Q687" s="285" t="n"/>
      <c r="R687" s="285" t="n"/>
      <c r="S687" s="284" t="n"/>
      <c r="T687" s="284" t="n"/>
      <c r="U687" s="285" t="n"/>
      <c r="V687" s="285" t="n"/>
      <c r="W687" s="285" t="n"/>
      <c r="X687" s="285" t="n"/>
      <c r="Y687" s="285" t="n"/>
      <c r="Z687" s="285" t="n"/>
      <c r="AA687" s="285" t="n"/>
    </row>
    <row r="688" ht="15.75" customHeight="1" s="398">
      <c r="A688" s="284" t="n"/>
      <c r="B688" s="285" t="n"/>
      <c r="C688" s="284" t="n"/>
      <c r="D688" s="284" t="n"/>
      <c r="E688" s="285" t="n"/>
      <c r="F688" s="285" t="n"/>
      <c r="G688" s="336" t="n"/>
      <c r="H688" s="336" t="n"/>
      <c r="I688" s="285" t="n"/>
      <c r="J688" s="285" t="n"/>
      <c r="K688" s="285" t="n"/>
      <c r="L688" s="285" t="n"/>
      <c r="M688" s="285" t="n"/>
      <c r="N688" s="285" t="n"/>
      <c r="O688" s="285" t="n"/>
      <c r="P688" s="285" t="n"/>
      <c r="Q688" s="285" t="n"/>
      <c r="R688" s="285" t="n"/>
      <c r="S688" s="284" t="n"/>
      <c r="T688" s="284" t="n"/>
      <c r="U688" s="285" t="n"/>
      <c r="V688" s="285" t="n"/>
      <c r="W688" s="285" t="n"/>
      <c r="X688" s="285" t="n"/>
      <c r="Y688" s="285" t="n"/>
      <c r="Z688" s="285" t="n"/>
      <c r="AA688" s="285" t="n"/>
    </row>
    <row r="689" ht="15.75" customHeight="1" s="398">
      <c r="A689" s="284" t="n"/>
      <c r="B689" s="285" t="n"/>
      <c r="C689" s="284" t="n"/>
      <c r="D689" s="284" t="n"/>
      <c r="E689" s="285" t="n"/>
      <c r="F689" s="285" t="n"/>
      <c r="G689" s="336" t="n"/>
      <c r="H689" s="336" t="n"/>
      <c r="I689" s="285" t="n"/>
      <c r="J689" s="285" t="n"/>
      <c r="K689" s="285" t="n"/>
      <c r="L689" s="285" t="n"/>
      <c r="M689" s="285" t="n"/>
      <c r="N689" s="285" t="n"/>
      <c r="O689" s="285" t="n"/>
      <c r="P689" s="285" t="n"/>
      <c r="Q689" s="285" t="n"/>
      <c r="R689" s="285" t="n"/>
      <c r="S689" s="284" t="n"/>
      <c r="T689" s="284" t="n"/>
      <c r="U689" s="285" t="n"/>
      <c r="V689" s="285" t="n"/>
      <c r="W689" s="285" t="n"/>
      <c r="X689" s="285" t="n"/>
      <c r="Y689" s="285" t="n"/>
      <c r="Z689" s="285" t="n"/>
      <c r="AA689" s="285" t="n"/>
    </row>
    <row r="690" ht="15.75" customHeight="1" s="398">
      <c r="A690" s="284" t="n"/>
      <c r="B690" s="285" t="n"/>
      <c r="C690" s="284" t="n"/>
      <c r="D690" s="284" t="n"/>
      <c r="E690" s="285" t="n"/>
      <c r="F690" s="285" t="n"/>
      <c r="G690" s="336" t="n"/>
      <c r="H690" s="336" t="n"/>
      <c r="I690" s="285" t="n"/>
      <c r="J690" s="285" t="n"/>
      <c r="K690" s="285" t="n"/>
      <c r="L690" s="285" t="n"/>
      <c r="M690" s="285" t="n"/>
      <c r="N690" s="285" t="n"/>
      <c r="O690" s="285" t="n"/>
      <c r="P690" s="285" t="n"/>
      <c r="Q690" s="285" t="n"/>
      <c r="R690" s="285" t="n"/>
      <c r="S690" s="284" t="n"/>
      <c r="T690" s="284" t="n"/>
      <c r="U690" s="285" t="n"/>
      <c r="V690" s="285" t="n"/>
      <c r="W690" s="285" t="n"/>
      <c r="X690" s="285" t="n"/>
      <c r="Y690" s="285" t="n"/>
      <c r="Z690" s="285" t="n"/>
      <c r="AA690" s="285" t="n"/>
    </row>
    <row r="691" ht="15.75" customHeight="1" s="398">
      <c r="A691" s="284" t="n"/>
      <c r="B691" s="285" t="n"/>
      <c r="C691" s="284" t="n"/>
      <c r="D691" s="284" t="n"/>
      <c r="E691" s="285" t="n"/>
      <c r="F691" s="285" t="n"/>
      <c r="G691" s="336" t="n"/>
      <c r="H691" s="336" t="n"/>
      <c r="I691" s="285" t="n"/>
      <c r="J691" s="285" t="n"/>
      <c r="K691" s="285" t="n"/>
      <c r="L691" s="285" t="n"/>
      <c r="M691" s="285" t="n"/>
      <c r="N691" s="285" t="n"/>
      <c r="O691" s="285" t="n"/>
      <c r="P691" s="285" t="n"/>
      <c r="Q691" s="285" t="n"/>
      <c r="R691" s="285" t="n"/>
      <c r="S691" s="284" t="n"/>
      <c r="T691" s="284" t="n"/>
      <c r="U691" s="285" t="n"/>
      <c r="V691" s="285" t="n"/>
      <c r="W691" s="285" t="n"/>
      <c r="X691" s="285" t="n"/>
      <c r="Y691" s="285" t="n"/>
      <c r="Z691" s="285" t="n"/>
      <c r="AA691" s="285" t="n"/>
    </row>
    <row r="692" ht="15.75" customHeight="1" s="398">
      <c r="A692" s="284" t="n"/>
      <c r="B692" s="285" t="n"/>
      <c r="C692" s="284" t="n"/>
      <c r="D692" s="284" t="n"/>
      <c r="E692" s="285" t="n"/>
      <c r="F692" s="285" t="n"/>
      <c r="G692" s="336" t="n"/>
      <c r="H692" s="336" t="n"/>
      <c r="I692" s="285" t="n"/>
      <c r="J692" s="285" t="n"/>
      <c r="K692" s="285" t="n"/>
      <c r="L692" s="285" t="n"/>
      <c r="M692" s="285" t="n"/>
      <c r="N692" s="285" t="n"/>
      <c r="O692" s="285" t="n"/>
      <c r="P692" s="285" t="n"/>
      <c r="Q692" s="285" t="n"/>
      <c r="R692" s="285" t="n"/>
      <c r="S692" s="284" t="n"/>
      <c r="T692" s="284" t="n"/>
      <c r="U692" s="285" t="n"/>
      <c r="V692" s="285" t="n"/>
      <c r="W692" s="285" t="n"/>
      <c r="X692" s="285" t="n"/>
      <c r="Y692" s="285" t="n"/>
      <c r="Z692" s="285" t="n"/>
      <c r="AA692" s="285" t="n"/>
    </row>
    <row r="693" ht="15.75" customHeight="1" s="398">
      <c r="A693" s="284" t="n"/>
      <c r="B693" s="285" t="n"/>
      <c r="C693" s="284" t="n"/>
      <c r="D693" s="284" t="n"/>
      <c r="E693" s="285" t="n"/>
      <c r="F693" s="285" t="n"/>
      <c r="G693" s="336" t="n"/>
      <c r="H693" s="336" t="n"/>
      <c r="I693" s="285" t="n"/>
      <c r="J693" s="285" t="n"/>
      <c r="K693" s="285" t="n"/>
      <c r="L693" s="285" t="n"/>
      <c r="M693" s="285" t="n"/>
      <c r="N693" s="285" t="n"/>
      <c r="O693" s="285" t="n"/>
      <c r="P693" s="285" t="n"/>
      <c r="Q693" s="285" t="n"/>
      <c r="R693" s="285" t="n"/>
      <c r="S693" s="284" t="n"/>
      <c r="T693" s="284" t="n"/>
      <c r="U693" s="285" t="n"/>
      <c r="V693" s="285" t="n"/>
      <c r="W693" s="285" t="n"/>
      <c r="X693" s="285" t="n"/>
      <c r="Y693" s="285" t="n"/>
      <c r="Z693" s="285" t="n"/>
      <c r="AA693" s="285" t="n"/>
    </row>
    <row r="694" ht="15.75" customHeight="1" s="398">
      <c r="A694" s="284" t="n"/>
      <c r="B694" s="285" t="n"/>
      <c r="C694" s="284" t="n"/>
      <c r="D694" s="284" t="n"/>
      <c r="E694" s="285" t="n"/>
      <c r="F694" s="285" t="n"/>
      <c r="G694" s="336" t="n"/>
      <c r="H694" s="336" t="n"/>
      <c r="I694" s="285" t="n"/>
      <c r="J694" s="285" t="n"/>
      <c r="K694" s="285" t="n"/>
      <c r="L694" s="285" t="n"/>
      <c r="M694" s="285" t="n"/>
      <c r="N694" s="285" t="n"/>
      <c r="O694" s="285" t="n"/>
      <c r="P694" s="285" t="n"/>
      <c r="Q694" s="285" t="n"/>
      <c r="R694" s="285" t="n"/>
      <c r="S694" s="284" t="n"/>
      <c r="T694" s="284" t="n"/>
      <c r="U694" s="285" t="n"/>
      <c r="V694" s="285" t="n"/>
      <c r="W694" s="285" t="n"/>
      <c r="X694" s="285" t="n"/>
      <c r="Y694" s="285" t="n"/>
      <c r="Z694" s="285" t="n"/>
      <c r="AA694" s="285" t="n"/>
    </row>
    <row r="695" ht="15.75" customHeight="1" s="398">
      <c r="A695" s="284" t="n"/>
      <c r="B695" s="285" t="n"/>
      <c r="C695" s="284" t="n"/>
      <c r="D695" s="284" t="n"/>
      <c r="E695" s="285" t="n"/>
      <c r="F695" s="285" t="n"/>
      <c r="G695" s="336" t="n"/>
      <c r="H695" s="336" t="n"/>
      <c r="I695" s="285" t="n"/>
      <c r="J695" s="285" t="n"/>
      <c r="K695" s="285" t="n"/>
      <c r="L695" s="285" t="n"/>
      <c r="M695" s="285" t="n"/>
      <c r="N695" s="285" t="n"/>
      <c r="O695" s="285" t="n"/>
      <c r="P695" s="285" t="n"/>
      <c r="Q695" s="285" t="n"/>
      <c r="R695" s="285" t="n"/>
      <c r="S695" s="284" t="n"/>
      <c r="T695" s="284" t="n"/>
      <c r="U695" s="285" t="n"/>
      <c r="V695" s="285" t="n"/>
      <c r="W695" s="285" t="n"/>
      <c r="X695" s="285" t="n"/>
      <c r="Y695" s="285" t="n"/>
      <c r="Z695" s="285" t="n"/>
      <c r="AA695" s="285" t="n"/>
    </row>
    <row r="696" ht="15.75" customHeight="1" s="398">
      <c r="A696" s="284" t="n"/>
      <c r="B696" s="285" t="n"/>
      <c r="C696" s="284" t="n"/>
      <c r="D696" s="284" t="n"/>
      <c r="E696" s="285" t="n"/>
      <c r="F696" s="285" t="n"/>
      <c r="G696" s="336" t="n"/>
      <c r="H696" s="336" t="n"/>
      <c r="I696" s="285" t="n"/>
      <c r="J696" s="285" t="n"/>
      <c r="K696" s="285" t="n"/>
      <c r="L696" s="285" t="n"/>
      <c r="M696" s="285" t="n"/>
      <c r="N696" s="285" t="n"/>
      <c r="O696" s="285" t="n"/>
      <c r="P696" s="285" t="n"/>
      <c r="Q696" s="285" t="n"/>
      <c r="R696" s="285" t="n"/>
      <c r="S696" s="284" t="n"/>
      <c r="T696" s="284" t="n"/>
      <c r="U696" s="285" t="n"/>
      <c r="V696" s="285" t="n"/>
      <c r="W696" s="285" t="n"/>
      <c r="X696" s="285" t="n"/>
      <c r="Y696" s="285" t="n"/>
      <c r="Z696" s="285" t="n"/>
      <c r="AA696" s="285" t="n"/>
    </row>
    <row r="697" ht="15.75" customHeight="1" s="398">
      <c r="A697" s="284" t="n"/>
      <c r="B697" s="285" t="n"/>
      <c r="C697" s="284" t="n"/>
      <c r="D697" s="284" t="n"/>
      <c r="E697" s="285" t="n"/>
      <c r="F697" s="285" t="n"/>
      <c r="G697" s="336" t="n"/>
      <c r="H697" s="336" t="n"/>
      <c r="I697" s="285" t="n"/>
      <c r="J697" s="285" t="n"/>
      <c r="K697" s="285" t="n"/>
      <c r="L697" s="285" t="n"/>
      <c r="M697" s="285" t="n"/>
      <c r="N697" s="285" t="n"/>
      <c r="O697" s="285" t="n"/>
      <c r="P697" s="285" t="n"/>
      <c r="Q697" s="285" t="n"/>
      <c r="R697" s="285" t="n"/>
      <c r="S697" s="284" t="n"/>
      <c r="T697" s="284" t="n"/>
      <c r="U697" s="285" t="n"/>
      <c r="V697" s="285" t="n"/>
      <c r="W697" s="285" t="n"/>
      <c r="X697" s="285" t="n"/>
      <c r="Y697" s="285" t="n"/>
      <c r="Z697" s="285" t="n"/>
      <c r="AA697" s="285" t="n"/>
    </row>
    <row r="698" ht="15.75" customHeight="1" s="398">
      <c r="A698" s="284" t="n"/>
      <c r="B698" s="285" t="n"/>
      <c r="C698" s="284" t="n"/>
      <c r="D698" s="284" t="n"/>
      <c r="E698" s="285" t="n"/>
      <c r="F698" s="285" t="n"/>
      <c r="G698" s="336" t="n"/>
      <c r="H698" s="336" t="n"/>
      <c r="I698" s="285" t="n"/>
      <c r="J698" s="285" t="n"/>
      <c r="K698" s="285" t="n"/>
      <c r="L698" s="285" t="n"/>
      <c r="M698" s="285" t="n"/>
      <c r="N698" s="285" t="n"/>
      <c r="O698" s="285" t="n"/>
      <c r="P698" s="285" t="n"/>
      <c r="Q698" s="285" t="n"/>
      <c r="R698" s="285" t="n"/>
      <c r="S698" s="284" t="n"/>
      <c r="T698" s="284" t="n"/>
      <c r="U698" s="285" t="n"/>
      <c r="V698" s="285" t="n"/>
      <c r="W698" s="285" t="n"/>
      <c r="X698" s="285" t="n"/>
      <c r="Y698" s="285" t="n"/>
      <c r="Z698" s="285" t="n"/>
      <c r="AA698" s="285" t="n"/>
    </row>
    <row r="699" ht="15.75" customHeight="1" s="398">
      <c r="A699" s="284" t="n"/>
      <c r="B699" s="285" t="n"/>
      <c r="C699" s="284" t="n"/>
      <c r="D699" s="284" t="n"/>
      <c r="E699" s="285" t="n"/>
      <c r="F699" s="285" t="n"/>
      <c r="G699" s="336" t="n"/>
      <c r="H699" s="336" t="n"/>
      <c r="I699" s="285" t="n"/>
      <c r="J699" s="285" t="n"/>
      <c r="K699" s="285" t="n"/>
      <c r="L699" s="285" t="n"/>
      <c r="M699" s="285" t="n"/>
      <c r="N699" s="285" t="n"/>
      <c r="O699" s="285" t="n"/>
      <c r="P699" s="285" t="n"/>
      <c r="Q699" s="285" t="n"/>
      <c r="R699" s="285" t="n"/>
      <c r="S699" s="284" t="n"/>
      <c r="T699" s="284" t="n"/>
      <c r="U699" s="285" t="n"/>
      <c r="V699" s="285" t="n"/>
      <c r="W699" s="285" t="n"/>
      <c r="X699" s="285" t="n"/>
      <c r="Y699" s="285" t="n"/>
      <c r="Z699" s="285" t="n"/>
      <c r="AA699" s="285" t="n"/>
    </row>
    <row r="700" ht="15.75" customHeight="1" s="398">
      <c r="A700" s="284" t="n"/>
      <c r="B700" s="285" t="n"/>
      <c r="C700" s="284" t="n"/>
      <c r="D700" s="284" t="n"/>
      <c r="E700" s="285" t="n"/>
      <c r="F700" s="285" t="n"/>
      <c r="G700" s="336" t="n"/>
      <c r="H700" s="336" t="n"/>
      <c r="I700" s="285" t="n"/>
      <c r="J700" s="285" t="n"/>
      <c r="K700" s="285" t="n"/>
      <c r="L700" s="285" t="n"/>
      <c r="M700" s="285" t="n"/>
      <c r="N700" s="285" t="n"/>
      <c r="O700" s="285" t="n"/>
      <c r="P700" s="285" t="n"/>
      <c r="Q700" s="285" t="n"/>
      <c r="R700" s="285" t="n"/>
      <c r="S700" s="284" t="n"/>
      <c r="T700" s="284" t="n"/>
      <c r="U700" s="285" t="n"/>
      <c r="V700" s="285" t="n"/>
      <c r="W700" s="285" t="n"/>
      <c r="X700" s="285" t="n"/>
      <c r="Y700" s="285" t="n"/>
      <c r="Z700" s="285" t="n"/>
      <c r="AA700" s="285" t="n"/>
    </row>
    <row r="701" ht="15.75" customHeight="1" s="398">
      <c r="A701" s="284" t="n"/>
      <c r="B701" s="285" t="n"/>
      <c r="C701" s="284" t="n"/>
      <c r="D701" s="284" t="n"/>
      <c r="E701" s="285" t="n"/>
      <c r="F701" s="285" t="n"/>
      <c r="G701" s="336" t="n"/>
      <c r="H701" s="336" t="n"/>
      <c r="I701" s="285" t="n"/>
      <c r="J701" s="285" t="n"/>
      <c r="K701" s="285" t="n"/>
      <c r="L701" s="285" t="n"/>
      <c r="M701" s="285" t="n"/>
      <c r="N701" s="285" t="n"/>
      <c r="O701" s="285" t="n"/>
      <c r="P701" s="285" t="n"/>
      <c r="Q701" s="285" t="n"/>
      <c r="R701" s="285" t="n"/>
      <c r="S701" s="284" t="n"/>
      <c r="T701" s="284" t="n"/>
      <c r="U701" s="285" t="n"/>
      <c r="V701" s="285" t="n"/>
      <c r="W701" s="285" t="n"/>
      <c r="X701" s="285" t="n"/>
      <c r="Y701" s="285" t="n"/>
      <c r="Z701" s="285" t="n"/>
      <c r="AA701" s="285" t="n"/>
    </row>
    <row r="702" ht="15.75" customHeight="1" s="398">
      <c r="A702" s="284" t="n"/>
      <c r="B702" s="285" t="n"/>
      <c r="C702" s="284" t="n"/>
      <c r="D702" s="284" t="n"/>
      <c r="E702" s="285" t="n"/>
      <c r="F702" s="285" t="n"/>
      <c r="G702" s="336" t="n"/>
      <c r="H702" s="336" t="n"/>
      <c r="I702" s="285" t="n"/>
      <c r="J702" s="285" t="n"/>
      <c r="K702" s="285" t="n"/>
      <c r="L702" s="285" t="n"/>
      <c r="M702" s="285" t="n"/>
      <c r="N702" s="285" t="n"/>
      <c r="O702" s="285" t="n"/>
      <c r="P702" s="285" t="n"/>
      <c r="Q702" s="285" t="n"/>
      <c r="R702" s="285" t="n"/>
      <c r="S702" s="284" t="n"/>
      <c r="T702" s="284" t="n"/>
      <c r="U702" s="285" t="n"/>
      <c r="V702" s="285" t="n"/>
      <c r="W702" s="285" t="n"/>
      <c r="X702" s="285" t="n"/>
      <c r="Y702" s="285" t="n"/>
      <c r="Z702" s="285" t="n"/>
      <c r="AA702" s="285" t="n"/>
    </row>
    <row r="703" ht="15.75" customHeight="1" s="398">
      <c r="A703" s="284" t="n"/>
      <c r="B703" s="285" t="n"/>
      <c r="C703" s="284" t="n"/>
      <c r="D703" s="284" t="n"/>
      <c r="E703" s="285" t="n"/>
      <c r="F703" s="285" t="n"/>
      <c r="G703" s="336" t="n"/>
      <c r="H703" s="336" t="n"/>
      <c r="I703" s="285" t="n"/>
      <c r="J703" s="285" t="n"/>
      <c r="K703" s="285" t="n"/>
      <c r="L703" s="285" t="n"/>
      <c r="M703" s="285" t="n"/>
      <c r="N703" s="285" t="n"/>
      <c r="O703" s="285" t="n"/>
      <c r="P703" s="285" t="n"/>
      <c r="Q703" s="285" t="n"/>
      <c r="R703" s="285" t="n"/>
      <c r="S703" s="284" t="n"/>
      <c r="T703" s="284" t="n"/>
      <c r="U703" s="285" t="n"/>
      <c r="V703" s="285" t="n"/>
      <c r="W703" s="285" t="n"/>
      <c r="X703" s="285" t="n"/>
      <c r="Y703" s="285" t="n"/>
      <c r="Z703" s="285" t="n"/>
      <c r="AA703" s="285" t="n"/>
    </row>
    <row r="704" ht="15.75" customHeight="1" s="398">
      <c r="A704" s="284" t="n"/>
      <c r="B704" s="285" t="n"/>
      <c r="C704" s="284" t="n"/>
      <c r="D704" s="284" t="n"/>
      <c r="E704" s="285" t="n"/>
      <c r="F704" s="285" t="n"/>
      <c r="G704" s="336" t="n"/>
      <c r="H704" s="336" t="n"/>
      <c r="I704" s="285" t="n"/>
      <c r="J704" s="285" t="n"/>
      <c r="K704" s="285" t="n"/>
      <c r="L704" s="285" t="n"/>
      <c r="M704" s="285" t="n"/>
      <c r="N704" s="285" t="n"/>
      <c r="O704" s="285" t="n"/>
      <c r="P704" s="285" t="n"/>
      <c r="Q704" s="285" t="n"/>
      <c r="R704" s="285" t="n"/>
      <c r="S704" s="284" t="n"/>
      <c r="T704" s="284" t="n"/>
      <c r="U704" s="285" t="n"/>
      <c r="V704" s="285" t="n"/>
      <c r="W704" s="285" t="n"/>
      <c r="X704" s="285" t="n"/>
      <c r="Y704" s="285" t="n"/>
      <c r="Z704" s="285" t="n"/>
      <c r="AA704" s="285" t="n"/>
    </row>
    <row r="705" ht="15.75" customHeight="1" s="398">
      <c r="A705" s="284" t="n"/>
      <c r="B705" s="285" t="n"/>
      <c r="C705" s="284" t="n"/>
      <c r="D705" s="284" t="n"/>
      <c r="E705" s="285" t="n"/>
      <c r="F705" s="285" t="n"/>
      <c r="G705" s="336" t="n"/>
      <c r="H705" s="336" t="n"/>
      <c r="I705" s="285" t="n"/>
      <c r="J705" s="285" t="n"/>
      <c r="K705" s="285" t="n"/>
      <c r="L705" s="285" t="n"/>
      <c r="M705" s="285" t="n"/>
      <c r="N705" s="285" t="n"/>
      <c r="O705" s="285" t="n"/>
      <c r="P705" s="285" t="n"/>
      <c r="Q705" s="285" t="n"/>
      <c r="R705" s="285" t="n"/>
      <c r="S705" s="284" t="n"/>
      <c r="T705" s="284" t="n"/>
      <c r="U705" s="285" t="n"/>
      <c r="V705" s="285" t="n"/>
      <c r="W705" s="285" t="n"/>
      <c r="X705" s="285" t="n"/>
      <c r="Y705" s="285" t="n"/>
      <c r="Z705" s="285" t="n"/>
      <c r="AA705" s="285" t="n"/>
    </row>
    <row r="706" ht="15.75" customHeight="1" s="398">
      <c r="A706" s="284" t="n"/>
      <c r="B706" s="285" t="n"/>
      <c r="C706" s="284" t="n"/>
      <c r="D706" s="284" t="n"/>
      <c r="E706" s="285" t="n"/>
      <c r="F706" s="285" t="n"/>
      <c r="G706" s="336" t="n"/>
      <c r="H706" s="336" t="n"/>
      <c r="I706" s="285" t="n"/>
      <c r="J706" s="285" t="n"/>
      <c r="K706" s="285" t="n"/>
      <c r="L706" s="285" t="n"/>
      <c r="M706" s="285" t="n"/>
      <c r="N706" s="285" t="n"/>
      <c r="O706" s="285" t="n"/>
      <c r="P706" s="285" t="n"/>
      <c r="Q706" s="285" t="n"/>
      <c r="R706" s="285" t="n"/>
      <c r="S706" s="284" t="n"/>
      <c r="T706" s="284" t="n"/>
      <c r="U706" s="285" t="n"/>
      <c r="V706" s="285" t="n"/>
      <c r="W706" s="285" t="n"/>
      <c r="X706" s="285" t="n"/>
      <c r="Y706" s="285" t="n"/>
      <c r="Z706" s="285" t="n"/>
      <c r="AA706" s="285" t="n"/>
    </row>
    <row r="707" ht="15.75" customHeight="1" s="398">
      <c r="A707" s="284" t="n"/>
      <c r="B707" s="285" t="n"/>
      <c r="C707" s="284" t="n"/>
      <c r="D707" s="284" t="n"/>
      <c r="E707" s="285" t="n"/>
      <c r="F707" s="285" t="n"/>
      <c r="G707" s="336" t="n"/>
      <c r="H707" s="336" t="n"/>
      <c r="I707" s="285" t="n"/>
      <c r="J707" s="285" t="n"/>
      <c r="K707" s="285" t="n"/>
      <c r="L707" s="285" t="n"/>
      <c r="M707" s="285" t="n"/>
      <c r="N707" s="285" t="n"/>
      <c r="O707" s="285" t="n"/>
      <c r="P707" s="285" t="n"/>
      <c r="Q707" s="285" t="n"/>
      <c r="R707" s="285" t="n"/>
      <c r="S707" s="284" t="n"/>
      <c r="T707" s="284" t="n"/>
      <c r="U707" s="285" t="n"/>
      <c r="V707" s="285" t="n"/>
      <c r="W707" s="285" t="n"/>
      <c r="X707" s="285" t="n"/>
      <c r="Y707" s="285" t="n"/>
      <c r="Z707" s="285" t="n"/>
      <c r="AA707" s="285" t="n"/>
    </row>
    <row r="708" ht="15.75" customHeight="1" s="398">
      <c r="A708" s="284" t="n"/>
      <c r="B708" s="285" t="n"/>
      <c r="C708" s="284" t="n"/>
      <c r="D708" s="284" t="n"/>
      <c r="E708" s="285" t="n"/>
      <c r="F708" s="285" t="n"/>
      <c r="G708" s="336" t="n"/>
      <c r="H708" s="336" t="n"/>
      <c r="I708" s="285" t="n"/>
      <c r="J708" s="285" t="n"/>
      <c r="K708" s="285" t="n"/>
      <c r="L708" s="285" t="n"/>
      <c r="M708" s="285" t="n"/>
      <c r="N708" s="285" t="n"/>
      <c r="O708" s="285" t="n"/>
      <c r="P708" s="285" t="n"/>
      <c r="Q708" s="285" t="n"/>
      <c r="R708" s="285" t="n"/>
      <c r="S708" s="284" t="n"/>
      <c r="T708" s="284" t="n"/>
      <c r="U708" s="285" t="n"/>
      <c r="V708" s="285" t="n"/>
      <c r="W708" s="285" t="n"/>
      <c r="X708" s="285" t="n"/>
      <c r="Y708" s="285" t="n"/>
      <c r="Z708" s="285" t="n"/>
      <c r="AA708" s="285" t="n"/>
    </row>
    <row r="709" ht="15.75" customHeight="1" s="398">
      <c r="A709" s="284" t="n"/>
      <c r="B709" s="285" t="n"/>
      <c r="C709" s="284" t="n"/>
      <c r="D709" s="284" t="n"/>
      <c r="E709" s="285" t="n"/>
      <c r="F709" s="285" t="n"/>
      <c r="G709" s="336" t="n"/>
      <c r="H709" s="336" t="n"/>
      <c r="I709" s="285" t="n"/>
      <c r="J709" s="285" t="n"/>
      <c r="K709" s="285" t="n"/>
      <c r="L709" s="285" t="n"/>
      <c r="M709" s="285" t="n"/>
      <c r="N709" s="285" t="n"/>
      <c r="O709" s="285" t="n"/>
      <c r="P709" s="285" t="n"/>
      <c r="Q709" s="285" t="n"/>
      <c r="R709" s="285" t="n"/>
      <c r="S709" s="284" t="n"/>
      <c r="T709" s="284" t="n"/>
      <c r="U709" s="285" t="n"/>
      <c r="V709" s="285" t="n"/>
      <c r="W709" s="285" t="n"/>
      <c r="X709" s="285" t="n"/>
      <c r="Y709" s="285" t="n"/>
      <c r="Z709" s="285" t="n"/>
      <c r="AA709" s="285" t="n"/>
    </row>
    <row r="710" ht="15.75" customHeight="1" s="398">
      <c r="A710" s="284" t="n"/>
      <c r="B710" s="285" t="n"/>
      <c r="C710" s="284" t="n"/>
      <c r="D710" s="284" t="n"/>
      <c r="E710" s="285" t="n"/>
      <c r="F710" s="285" t="n"/>
      <c r="G710" s="336" t="n"/>
      <c r="H710" s="336" t="n"/>
      <c r="I710" s="285" t="n"/>
      <c r="J710" s="285" t="n"/>
      <c r="K710" s="285" t="n"/>
      <c r="L710" s="285" t="n"/>
      <c r="M710" s="285" t="n"/>
      <c r="N710" s="285" t="n"/>
      <c r="O710" s="285" t="n"/>
      <c r="P710" s="285" t="n"/>
      <c r="Q710" s="285" t="n"/>
      <c r="R710" s="285" t="n"/>
      <c r="S710" s="284" t="n"/>
      <c r="T710" s="284" t="n"/>
      <c r="U710" s="285" t="n"/>
      <c r="V710" s="285" t="n"/>
      <c r="W710" s="285" t="n"/>
      <c r="X710" s="285" t="n"/>
      <c r="Y710" s="285" t="n"/>
      <c r="Z710" s="285" t="n"/>
      <c r="AA710" s="285" t="n"/>
    </row>
    <row r="711" ht="15.75" customHeight="1" s="398">
      <c r="A711" s="284" t="n"/>
      <c r="B711" s="285" t="n"/>
      <c r="C711" s="284" t="n"/>
      <c r="D711" s="284" t="n"/>
      <c r="E711" s="285" t="n"/>
      <c r="F711" s="285" t="n"/>
      <c r="G711" s="336" t="n"/>
      <c r="H711" s="336" t="n"/>
      <c r="I711" s="285" t="n"/>
      <c r="J711" s="285" t="n"/>
      <c r="K711" s="285" t="n"/>
      <c r="L711" s="285" t="n"/>
      <c r="M711" s="285" t="n"/>
      <c r="N711" s="285" t="n"/>
      <c r="O711" s="285" t="n"/>
      <c r="P711" s="285" t="n"/>
      <c r="Q711" s="285" t="n"/>
      <c r="R711" s="285" t="n"/>
      <c r="S711" s="284" t="n"/>
      <c r="T711" s="284" t="n"/>
      <c r="U711" s="285" t="n"/>
      <c r="V711" s="285" t="n"/>
      <c r="W711" s="285" t="n"/>
      <c r="X711" s="285" t="n"/>
      <c r="Y711" s="285" t="n"/>
      <c r="Z711" s="285" t="n"/>
      <c r="AA711" s="285" t="n"/>
    </row>
    <row r="712" ht="15.75" customHeight="1" s="398">
      <c r="A712" s="284" t="n"/>
      <c r="B712" s="285" t="n"/>
      <c r="C712" s="284" t="n"/>
      <c r="D712" s="284" t="n"/>
      <c r="E712" s="285" t="n"/>
      <c r="F712" s="285" t="n"/>
      <c r="G712" s="336" t="n"/>
      <c r="H712" s="336" t="n"/>
      <c r="I712" s="285" t="n"/>
      <c r="J712" s="285" t="n"/>
      <c r="K712" s="285" t="n"/>
      <c r="L712" s="285" t="n"/>
      <c r="M712" s="285" t="n"/>
      <c r="N712" s="285" t="n"/>
      <c r="O712" s="285" t="n"/>
      <c r="P712" s="285" t="n"/>
      <c r="Q712" s="285" t="n"/>
      <c r="R712" s="285" t="n"/>
      <c r="S712" s="284" t="n"/>
      <c r="T712" s="284" t="n"/>
      <c r="U712" s="285" t="n"/>
      <c r="V712" s="285" t="n"/>
      <c r="W712" s="285" t="n"/>
      <c r="X712" s="285" t="n"/>
      <c r="Y712" s="285" t="n"/>
      <c r="Z712" s="285" t="n"/>
      <c r="AA712" s="285" t="n"/>
    </row>
    <row r="713" ht="15.75" customHeight="1" s="398">
      <c r="A713" s="284" t="n"/>
      <c r="B713" s="285" t="n"/>
      <c r="C713" s="284" t="n"/>
      <c r="D713" s="284" t="n"/>
      <c r="E713" s="285" t="n"/>
      <c r="F713" s="285" t="n"/>
      <c r="G713" s="336" t="n"/>
      <c r="H713" s="336" t="n"/>
      <c r="I713" s="285" t="n"/>
      <c r="J713" s="285" t="n"/>
      <c r="K713" s="285" t="n"/>
      <c r="L713" s="285" t="n"/>
      <c r="M713" s="285" t="n"/>
      <c r="N713" s="285" t="n"/>
      <c r="O713" s="285" t="n"/>
      <c r="P713" s="285" t="n"/>
      <c r="Q713" s="285" t="n"/>
      <c r="R713" s="285" t="n"/>
      <c r="S713" s="284" t="n"/>
      <c r="T713" s="284" t="n"/>
      <c r="U713" s="285" t="n"/>
      <c r="V713" s="285" t="n"/>
      <c r="W713" s="285" t="n"/>
      <c r="X713" s="285" t="n"/>
      <c r="Y713" s="285" t="n"/>
      <c r="Z713" s="285" t="n"/>
      <c r="AA713" s="285" t="n"/>
    </row>
    <row r="714" ht="15.75" customHeight="1" s="398">
      <c r="A714" s="284" t="n"/>
      <c r="B714" s="285" t="n"/>
      <c r="C714" s="284" t="n"/>
      <c r="D714" s="284" t="n"/>
      <c r="E714" s="285" t="n"/>
      <c r="F714" s="285" t="n"/>
      <c r="G714" s="336" t="n"/>
      <c r="H714" s="336" t="n"/>
      <c r="I714" s="285" t="n"/>
      <c r="J714" s="285" t="n"/>
      <c r="K714" s="285" t="n"/>
      <c r="L714" s="285" t="n"/>
      <c r="M714" s="285" t="n"/>
      <c r="N714" s="285" t="n"/>
      <c r="O714" s="285" t="n"/>
      <c r="P714" s="285" t="n"/>
      <c r="Q714" s="285" t="n"/>
      <c r="R714" s="285" t="n"/>
      <c r="S714" s="284" t="n"/>
      <c r="T714" s="284" t="n"/>
      <c r="U714" s="285" t="n"/>
      <c r="V714" s="285" t="n"/>
      <c r="W714" s="285" t="n"/>
      <c r="X714" s="285" t="n"/>
      <c r="Y714" s="285" t="n"/>
      <c r="Z714" s="285" t="n"/>
      <c r="AA714" s="285" t="n"/>
    </row>
    <row r="715" ht="15.75" customHeight="1" s="398">
      <c r="A715" s="284" t="n"/>
      <c r="B715" s="285" t="n"/>
      <c r="C715" s="284" t="n"/>
      <c r="D715" s="284" t="n"/>
      <c r="E715" s="285" t="n"/>
      <c r="F715" s="285" t="n"/>
      <c r="G715" s="336" t="n"/>
      <c r="H715" s="336" t="n"/>
      <c r="I715" s="285" t="n"/>
      <c r="J715" s="285" t="n"/>
      <c r="K715" s="285" t="n"/>
      <c r="L715" s="285" t="n"/>
      <c r="M715" s="285" t="n"/>
      <c r="N715" s="285" t="n"/>
      <c r="O715" s="285" t="n"/>
      <c r="P715" s="285" t="n"/>
      <c r="Q715" s="285" t="n"/>
      <c r="R715" s="285" t="n"/>
      <c r="S715" s="284" t="n"/>
      <c r="T715" s="284" t="n"/>
      <c r="U715" s="285" t="n"/>
      <c r="V715" s="285" t="n"/>
      <c r="W715" s="285" t="n"/>
      <c r="X715" s="285" t="n"/>
      <c r="Y715" s="285" t="n"/>
      <c r="Z715" s="285" t="n"/>
      <c r="AA715" s="285" t="n"/>
    </row>
    <row r="716" ht="15.75" customHeight="1" s="398">
      <c r="A716" s="284" t="n"/>
      <c r="B716" s="285" t="n"/>
      <c r="C716" s="284" t="n"/>
      <c r="D716" s="284" t="n"/>
      <c r="E716" s="285" t="n"/>
      <c r="F716" s="285" t="n"/>
      <c r="G716" s="336" t="n"/>
      <c r="H716" s="336" t="n"/>
      <c r="I716" s="285" t="n"/>
      <c r="J716" s="285" t="n"/>
      <c r="K716" s="285" t="n"/>
      <c r="L716" s="285" t="n"/>
      <c r="M716" s="285" t="n"/>
      <c r="N716" s="285" t="n"/>
      <c r="O716" s="285" t="n"/>
      <c r="P716" s="285" t="n"/>
      <c r="Q716" s="285" t="n"/>
      <c r="R716" s="285" t="n"/>
      <c r="S716" s="284" t="n"/>
      <c r="T716" s="284" t="n"/>
      <c r="U716" s="285" t="n"/>
      <c r="V716" s="285" t="n"/>
      <c r="W716" s="285" t="n"/>
      <c r="X716" s="285" t="n"/>
      <c r="Y716" s="285" t="n"/>
      <c r="Z716" s="285" t="n"/>
      <c r="AA716" s="285" t="n"/>
    </row>
    <row r="717" ht="15.75" customHeight="1" s="398">
      <c r="A717" s="284" t="n"/>
      <c r="B717" s="285" t="n"/>
      <c r="C717" s="284" t="n"/>
      <c r="D717" s="284" t="n"/>
      <c r="E717" s="285" t="n"/>
      <c r="F717" s="285" t="n"/>
      <c r="G717" s="336" t="n"/>
      <c r="H717" s="336" t="n"/>
      <c r="I717" s="285" t="n"/>
      <c r="J717" s="285" t="n"/>
      <c r="K717" s="285" t="n"/>
      <c r="L717" s="285" t="n"/>
      <c r="M717" s="285" t="n"/>
      <c r="N717" s="285" t="n"/>
      <c r="O717" s="285" t="n"/>
      <c r="P717" s="285" t="n"/>
      <c r="Q717" s="285" t="n"/>
      <c r="R717" s="285" t="n"/>
      <c r="S717" s="284" t="n"/>
      <c r="T717" s="284" t="n"/>
      <c r="U717" s="285" t="n"/>
      <c r="V717" s="285" t="n"/>
      <c r="W717" s="285" t="n"/>
      <c r="X717" s="285" t="n"/>
      <c r="Y717" s="285" t="n"/>
      <c r="Z717" s="285" t="n"/>
      <c r="AA717" s="285" t="n"/>
    </row>
    <row r="718" ht="15.75" customHeight="1" s="398">
      <c r="A718" s="284" t="n"/>
      <c r="B718" s="285" t="n"/>
      <c r="C718" s="284" t="n"/>
      <c r="D718" s="284" t="n"/>
      <c r="E718" s="285" t="n"/>
      <c r="F718" s="285" t="n"/>
      <c r="G718" s="336" t="n"/>
      <c r="H718" s="336" t="n"/>
      <c r="I718" s="285" t="n"/>
      <c r="J718" s="285" t="n"/>
      <c r="K718" s="285" t="n"/>
      <c r="L718" s="285" t="n"/>
      <c r="M718" s="285" t="n"/>
      <c r="N718" s="285" t="n"/>
      <c r="O718" s="285" t="n"/>
      <c r="P718" s="285" t="n"/>
      <c r="Q718" s="285" t="n"/>
      <c r="R718" s="285" t="n"/>
      <c r="S718" s="284" t="n"/>
      <c r="T718" s="284" t="n"/>
      <c r="U718" s="285" t="n"/>
      <c r="V718" s="285" t="n"/>
      <c r="W718" s="285" t="n"/>
      <c r="X718" s="285" t="n"/>
      <c r="Y718" s="285" t="n"/>
      <c r="Z718" s="285" t="n"/>
      <c r="AA718" s="285" t="n"/>
    </row>
    <row r="719" ht="15.75" customHeight="1" s="398">
      <c r="A719" s="284" t="n"/>
      <c r="B719" s="285" t="n"/>
      <c r="C719" s="284" t="n"/>
      <c r="D719" s="284" t="n"/>
      <c r="E719" s="285" t="n"/>
      <c r="F719" s="285" t="n"/>
      <c r="G719" s="336" t="n"/>
      <c r="H719" s="336" t="n"/>
      <c r="I719" s="285" t="n"/>
      <c r="J719" s="285" t="n"/>
      <c r="K719" s="285" t="n"/>
      <c r="L719" s="285" t="n"/>
      <c r="M719" s="285" t="n"/>
      <c r="N719" s="285" t="n"/>
      <c r="O719" s="285" t="n"/>
      <c r="P719" s="285" t="n"/>
      <c r="Q719" s="285" t="n"/>
      <c r="R719" s="285" t="n"/>
      <c r="S719" s="284" t="n"/>
      <c r="T719" s="284" t="n"/>
      <c r="U719" s="285" t="n"/>
      <c r="V719" s="285" t="n"/>
      <c r="W719" s="285" t="n"/>
      <c r="X719" s="285" t="n"/>
      <c r="Y719" s="285" t="n"/>
      <c r="Z719" s="285" t="n"/>
      <c r="AA719" s="285" t="n"/>
    </row>
    <row r="720" ht="15.75" customHeight="1" s="398">
      <c r="A720" s="284" t="n"/>
      <c r="B720" s="285" t="n"/>
      <c r="C720" s="284" t="n"/>
      <c r="D720" s="284" t="n"/>
      <c r="E720" s="285" t="n"/>
      <c r="F720" s="285" t="n"/>
      <c r="G720" s="336" t="n"/>
      <c r="H720" s="336" t="n"/>
      <c r="I720" s="285" t="n"/>
      <c r="J720" s="285" t="n"/>
      <c r="K720" s="285" t="n"/>
      <c r="L720" s="285" t="n"/>
      <c r="M720" s="285" t="n"/>
      <c r="N720" s="285" t="n"/>
      <c r="O720" s="285" t="n"/>
      <c r="P720" s="285" t="n"/>
      <c r="Q720" s="285" t="n"/>
      <c r="R720" s="285" t="n"/>
      <c r="S720" s="284" t="n"/>
      <c r="T720" s="284" t="n"/>
      <c r="U720" s="285" t="n"/>
      <c r="V720" s="285" t="n"/>
      <c r="W720" s="285" t="n"/>
      <c r="X720" s="285" t="n"/>
      <c r="Y720" s="285" t="n"/>
      <c r="Z720" s="285" t="n"/>
      <c r="AA720" s="285" t="n"/>
    </row>
    <row r="721" ht="15.75" customHeight="1" s="398">
      <c r="A721" s="284" t="n"/>
      <c r="B721" s="285" t="n"/>
      <c r="C721" s="284" t="n"/>
      <c r="D721" s="284" t="n"/>
      <c r="E721" s="285" t="n"/>
      <c r="F721" s="285" t="n"/>
      <c r="G721" s="336" t="n"/>
      <c r="H721" s="336" t="n"/>
      <c r="I721" s="285" t="n"/>
      <c r="J721" s="285" t="n"/>
      <c r="K721" s="285" t="n"/>
      <c r="L721" s="285" t="n"/>
      <c r="M721" s="285" t="n"/>
      <c r="N721" s="285" t="n"/>
      <c r="O721" s="285" t="n"/>
      <c r="P721" s="285" t="n"/>
      <c r="Q721" s="285" t="n"/>
      <c r="R721" s="285" t="n"/>
      <c r="S721" s="284" t="n"/>
      <c r="T721" s="284" t="n"/>
      <c r="U721" s="285" t="n"/>
      <c r="V721" s="285" t="n"/>
      <c r="W721" s="285" t="n"/>
      <c r="X721" s="285" t="n"/>
      <c r="Y721" s="285" t="n"/>
      <c r="Z721" s="285" t="n"/>
      <c r="AA721" s="285" t="n"/>
    </row>
    <row r="722" ht="15.75" customHeight="1" s="398">
      <c r="A722" s="284" t="n"/>
      <c r="B722" s="285" t="n"/>
      <c r="C722" s="284" t="n"/>
      <c r="D722" s="284" t="n"/>
      <c r="E722" s="285" t="n"/>
      <c r="F722" s="285" t="n"/>
      <c r="G722" s="336" t="n"/>
      <c r="H722" s="336" t="n"/>
      <c r="I722" s="285" t="n"/>
      <c r="J722" s="285" t="n"/>
      <c r="K722" s="285" t="n"/>
      <c r="L722" s="285" t="n"/>
      <c r="M722" s="285" t="n"/>
      <c r="N722" s="285" t="n"/>
      <c r="O722" s="285" t="n"/>
      <c r="P722" s="285" t="n"/>
      <c r="Q722" s="285" t="n"/>
      <c r="R722" s="285" t="n"/>
      <c r="S722" s="284" t="n"/>
      <c r="T722" s="284" t="n"/>
      <c r="U722" s="285" t="n"/>
      <c r="V722" s="285" t="n"/>
      <c r="W722" s="285" t="n"/>
      <c r="X722" s="285" t="n"/>
      <c r="Y722" s="285" t="n"/>
      <c r="Z722" s="285" t="n"/>
      <c r="AA722" s="285" t="n"/>
    </row>
    <row r="723" ht="15.75" customHeight="1" s="398">
      <c r="A723" s="284" t="n"/>
      <c r="B723" s="285" t="n"/>
      <c r="C723" s="284" t="n"/>
      <c r="D723" s="284" t="n"/>
      <c r="E723" s="285" t="n"/>
      <c r="F723" s="285" t="n"/>
      <c r="G723" s="336" t="n"/>
      <c r="H723" s="336" t="n"/>
      <c r="I723" s="285" t="n"/>
      <c r="J723" s="285" t="n"/>
      <c r="K723" s="285" t="n"/>
      <c r="L723" s="285" t="n"/>
      <c r="M723" s="285" t="n"/>
      <c r="N723" s="285" t="n"/>
      <c r="O723" s="285" t="n"/>
      <c r="P723" s="285" t="n"/>
      <c r="Q723" s="285" t="n"/>
      <c r="R723" s="285" t="n"/>
      <c r="S723" s="284" t="n"/>
      <c r="T723" s="284" t="n"/>
      <c r="U723" s="285" t="n"/>
      <c r="V723" s="285" t="n"/>
      <c r="W723" s="285" t="n"/>
      <c r="X723" s="285" t="n"/>
      <c r="Y723" s="285" t="n"/>
      <c r="Z723" s="285" t="n"/>
      <c r="AA723" s="285" t="n"/>
    </row>
    <row r="724" ht="15.75" customHeight="1" s="398">
      <c r="A724" s="284" t="n"/>
      <c r="B724" s="285" t="n"/>
      <c r="C724" s="284" t="n"/>
      <c r="D724" s="284" t="n"/>
      <c r="E724" s="285" t="n"/>
      <c r="F724" s="285" t="n"/>
      <c r="G724" s="336" t="n"/>
      <c r="H724" s="336" t="n"/>
      <c r="I724" s="285" t="n"/>
      <c r="J724" s="285" t="n"/>
      <c r="K724" s="285" t="n"/>
      <c r="L724" s="285" t="n"/>
      <c r="M724" s="285" t="n"/>
      <c r="N724" s="285" t="n"/>
      <c r="O724" s="285" t="n"/>
      <c r="P724" s="285" t="n"/>
      <c r="Q724" s="285" t="n"/>
      <c r="R724" s="285" t="n"/>
      <c r="S724" s="284" t="n"/>
      <c r="T724" s="284" t="n"/>
      <c r="U724" s="285" t="n"/>
      <c r="V724" s="285" t="n"/>
      <c r="W724" s="285" t="n"/>
      <c r="X724" s="285" t="n"/>
      <c r="Y724" s="285" t="n"/>
      <c r="Z724" s="285" t="n"/>
      <c r="AA724" s="285" t="n"/>
    </row>
    <row r="725" ht="15.75" customHeight="1" s="398">
      <c r="A725" s="284" t="n"/>
      <c r="B725" s="285" t="n"/>
      <c r="C725" s="284" t="n"/>
      <c r="D725" s="284" t="n"/>
      <c r="E725" s="285" t="n"/>
      <c r="F725" s="285" t="n"/>
      <c r="G725" s="336" t="n"/>
      <c r="H725" s="336" t="n"/>
      <c r="I725" s="285" t="n"/>
      <c r="J725" s="285" t="n"/>
      <c r="K725" s="285" t="n"/>
      <c r="L725" s="285" t="n"/>
      <c r="M725" s="285" t="n"/>
      <c r="N725" s="285" t="n"/>
      <c r="O725" s="285" t="n"/>
      <c r="P725" s="285" t="n"/>
      <c r="Q725" s="285" t="n"/>
      <c r="R725" s="285" t="n"/>
      <c r="S725" s="284" t="n"/>
      <c r="T725" s="284" t="n"/>
      <c r="U725" s="285" t="n"/>
      <c r="V725" s="285" t="n"/>
      <c r="W725" s="285" t="n"/>
      <c r="X725" s="285" t="n"/>
      <c r="Y725" s="285" t="n"/>
      <c r="Z725" s="285" t="n"/>
      <c r="AA725" s="285" t="n"/>
    </row>
    <row r="726" ht="15.75" customHeight="1" s="398">
      <c r="A726" s="284" t="n"/>
      <c r="B726" s="285" t="n"/>
      <c r="C726" s="284" t="n"/>
      <c r="D726" s="284" t="n"/>
      <c r="E726" s="285" t="n"/>
      <c r="F726" s="285" t="n"/>
      <c r="G726" s="336" t="n"/>
      <c r="H726" s="336" t="n"/>
      <c r="I726" s="285" t="n"/>
      <c r="J726" s="285" t="n"/>
      <c r="K726" s="285" t="n"/>
      <c r="L726" s="285" t="n"/>
      <c r="M726" s="285" t="n"/>
      <c r="N726" s="285" t="n"/>
      <c r="O726" s="285" t="n"/>
      <c r="P726" s="285" t="n"/>
      <c r="Q726" s="285" t="n"/>
      <c r="R726" s="285" t="n"/>
      <c r="S726" s="284" t="n"/>
      <c r="T726" s="284" t="n"/>
      <c r="U726" s="285" t="n"/>
      <c r="V726" s="285" t="n"/>
      <c r="W726" s="285" t="n"/>
      <c r="X726" s="285" t="n"/>
      <c r="Y726" s="285" t="n"/>
      <c r="Z726" s="285" t="n"/>
      <c r="AA726" s="285" t="n"/>
    </row>
    <row r="727" ht="15.75" customHeight="1" s="398">
      <c r="A727" s="284" t="n"/>
      <c r="B727" s="285" t="n"/>
      <c r="C727" s="284" t="n"/>
      <c r="D727" s="284" t="n"/>
      <c r="E727" s="285" t="n"/>
      <c r="F727" s="285" t="n"/>
      <c r="G727" s="336" t="n"/>
      <c r="H727" s="336" t="n"/>
      <c r="I727" s="285" t="n"/>
      <c r="J727" s="285" t="n"/>
      <c r="K727" s="285" t="n"/>
      <c r="L727" s="285" t="n"/>
      <c r="M727" s="285" t="n"/>
      <c r="N727" s="285" t="n"/>
      <c r="O727" s="285" t="n"/>
      <c r="P727" s="285" t="n"/>
      <c r="Q727" s="285" t="n"/>
      <c r="R727" s="285" t="n"/>
      <c r="S727" s="284" t="n"/>
      <c r="T727" s="284" t="n"/>
      <c r="U727" s="285" t="n"/>
      <c r="V727" s="285" t="n"/>
      <c r="W727" s="285" t="n"/>
      <c r="X727" s="285" t="n"/>
      <c r="Y727" s="285" t="n"/>
      <c r="Z727" s="285" t="n"/>
      <c r="AA727" s="285" t="n"/>
    </row>
    <row r="728" ht="15.75" customHeight="1" s="398">
      <c r="A728" s="284" t="n"/>
      <c r="B728" s="285" t="n"/>
      <c r="C728" s="284" t="n"/>
      <c r="D728" s="284" t="n"/>
      <c r="E728" s="285" t="n"/>
      <c r="F728" s="285" t="n"/>
      <c r="G728" s="336" t="n"/>
      <c r="H728" s="336" t="n"/>
      <c r="I728" s="285" t="n"/>
      <c r="J728" s="285" t="n"/>
      <c r="K728" s="285" t="n"/>
      <c r="L728" s="285" t="n"/>
      <c r="M728" s="285" t="n"/>
      <c r="N728" s="285" t="n"/>
      <c r="O728" s="285" t="n"/>
      <c r="P728" s="285" t="n"/>
      <c r="Q728" s="285" t="n"/>
      <c r="R728" s="285" t="n"/>
      <c r="S728" s="284" t="n"/>
      <c r="T728" s="284" t="n"/>
      <c r="U728" s="285" t="n"/>
      <c r="V728" s="285" t="n"/>
      <c r="W728" s="285" t="n"/>
      <c r="X728" s="285" t="n"/>
      <c r="Y728" s="285" t="n"/>
      <c r="Z728" s="285" t="n"/>
      <c r="AA728" s="285" t="n"/>
    </row>
    <row r="729" ht="15.75" customHeight="1" s="398">
      <c r="A729" s="284" t="n"/>
      <c r="B729" s="285" t="n"/>
      <c r="C729" s="284" t="n"/>
      <c r="D729" s="284" t="n"/>
      <c r="E729" s="285" t="n"/>
      <c r="F729" s="285" t="n"/>
      <c r="G729" s="336" t="n"/>
      <c r="H729" s="336" t="n"/>
      <c r="I729" s="285" t="n"/>
      <c r="J729" s="285" t="n"/>
      <c r="K729" s="285" t="n"/>
      <c r="L729" s="285" t="n"/>
      <c r="M729" s="285" t="n"/>
      <c r="N729" s="285" t="n"/>
      <c r="O729" s="285" t="n"/>
      <c r="P729" s="285" t="n"/>
      <c r="Q729" s="285" t="n"/>
      <c r="R729" s="285" t="n"/>
      <c r="S729" s="284" t="n"/>
      <c r="T729" s="284" t="n"/>
      <c r="U729" s="285" t="n"/>
      <c r="V729" s="285" t="n"/>
      <c r="W729" s="285" t="n"/>
      <c r="X729" s="285" t="n"/>
      <c r="Y729" s="285" t="n"/>
      <c r="Z729" s="285" t="n"/>
      <c r="AA729" s="285" t="n"/>
    </row>
    <row r="730" ht="15.75" customHeight="1" s="398">
      <c r="A730" s="284" t="n"/>
      <c r="B730" s="285" t="n"/>
      <c r="C730" s="284" t="n"/>
      <c r="D730" s="284" t="n"/>
      <c r="E730" s="285" t="n"/>
      <c r="F730" s="285" t="n"/>
      <c r="G730" s="336" t="n"/>
      <c r="H730" s="336" t="n"/>
      <c r="I730" s="285" t="n"/>
      <c r="J730" s="285" t="n"/>
      <c r="K730" s="285" t="n"/>
      <c r="L730" s="285" t="n"/>
      <c r="M730" s="285" t="n"/>
      <c r="N730" s="285" t="n"/>
      <c r="O730" s="285" t="n"/>
      <c r="P730" s="285" t="n"/>
      <c r="Q730" s="285" t="n"/>
      <c r="R730" s="285" t="n"/>
      <c r="S730" s="284" t="n"/>
      <c r="T730" s="284" t="n"/>
      <c r="U730" s="285" t="n"/>
      <c r="V730" s="285" t="n"/>
      <c r="W730" s="285" t="n"/>
      <c r="X730" s="285" t="n"/>
      <c r="Y730" s="285" t="n"/>
      <c r="Z730" s="285" t="n"/>
      <c r="AA730" s="285" t="n"/>
    </row>
    <row r="731" ht="15.75" customHeight="1" s="398">
      <c r="A731" s="284" t="n"/>
      <c r="B731" s="285" t="n"/>
      <c r="C731" s="284" t="n"/>
      <c r="D731" s="284" t="n"/>
      <c r="E731" s="285" t="n"/>
      <c r="F731" s="285" t="n"/>
      <c r="G731" s="336" t="n"/>
      <c r="H731" s="336" t="n"/>
      <c r="I731" s="285" t="n"/>
      <c r="J731" s="285" t="n"/>
      <c r="K731" s="285" t="n"/>
      <c r="L731" s="285" t="n"/>
      <c r="M731" s="285" t="n"/>
      <c r="N731" s="285" t="n"/>
      <c r="O731" s="285" t="n"/>
      <c r="P731" s="285" t="n"/>
      <c r="Q731" s="285" t="n"/>
      <c r="R731" s="285" t="n"/>
      <c r="S731" s="284" t="n"/>
      <c r="T731" s="284" t="n"/>
      <c r="U731" s="285" t="n"/>
      <c r="V731" s="285" t="n"/>
      <c r="W731" s="285" t="n"/>
      <c r="X731" s="285" t="n"/>
      <c r="Y731" s="285" t="n"/>
      <c r="Z731" s="285" t="n"/>
      <c r="AA731" s="285" t="n"/>
    </row>
    <row r="732" ht="15.75" customHeight="1" s="398">
      <c r="A732" s="284" t="n"/>
      <c r="B732" s="285" t="n"/>
      <c r="C732" s="284" t="n"/>
      <c r="D732" s="284" t="n"/>
      <c r="E732" s="285" t="n"/>
      <c r="F732" s="285" t="n"/>
      <c r="G732" s="336" t="n"/>
      <c r="H732" s="336" t="n"/>
      <c r="I732" s="285" t="n"/>
      <c r="J732" s="285" t="n"/>
      <c r="K732" s="285" t="n"/>
      <c r="L732" s="285" t="n"/>
      <c r="M732" s="285" t="n"/>
      <c r="N732" s="285" t="n"/>
      <c r="O732" s="285" t="n"/>
      <c r="P732" s="285" t="n"/>
      <c r="Q732" s="285" t="n"/>
      <c r="R732" s="285" t="n"/>
      <c r="S732" s="284" t="n"/>
      <c r="T732" s="284" t="n"/>
      <c r="U732" s="285" t="n"/>
      <c r="V732" s="285" t="n"/>
      <c r="W732" s="285" t="n"/>
      <c r="X732" s="285" t="n"/>
      <c r="Y732" s="285" t="n"/>
      <c r="Z732" s="285" t="n"/>
      <c r="AA732" s="285" t="n"/>
    </row>
    <row r="733" ht="15.75" customHeight="1" s="398">
      <c r="A733" s="284" t="n"/>
      <c r="B733" s="285" t="n"/>
      <c r="C733" s="284" t="n"/>
      <c r="D733" s="284" t="n"/>
      <c r="E733" s="285" t="n"/>
      <c r="F733" s="285" t="n"/>
      <c r="G733" s="336" t="n"/>
      <c r="H733" s="336" t="n"/>
      <c r="I733" s="285" t="n"/>
      <c r="J733" s="285" t="n"/>
      <c r="K733" s="285" t="n"/>
      <c r="L733" s="285" t="n"/>
      <c r="M733" s="285" t="n"/>
      <c r="N733" s="285" t="n"/>
      <c r="O733" s="285" t="n"/>
      <c r="P733" s="285" t="n"/>
      <c r="Q733" s="285" t="n"/>
      <c r="R733" s="285" t="n"/>
      <c r="S733" s="284" t="n"/>
      <c r="T733" s="284" t="n"/>
      <c r="U733" s="285" t="n"/>
      <c r="V733" s="285" t="n"/>
      <c r="W733" s="285" t="n"/>
      <c r="X733" s="285" t="n"/>
      <c r="Y733" s="285" t="n"/>
      <c r="Z733" s="285" t="n"/>
      <c r="AA733" s="285" t="n"/>
    </row>
    <row r="734" ht="15.75" customHeight="1" s="398">
      <c r="A734" s="284" t="n"/>
      <c r="B734" s="285" t="n"/>
      <c r="C734" s="284" t="n"/>
      <c r="D734" s="284" t="n"/>
      <c r="E734" s="285" t="n"/>
      <c r="F734" s="285" t="n"/>
      <c r="G734" s="336" t="n"/>
      <c r="H734" s="336" t="n"/>
      <c r="I734" s="285" t="n"/>
      <c r="J734" s="285" t="n"/>
      <c r="K734" s="285" t="n"/>
      <c r="L734" s="285" t="n"/>
      <c r="M734" s="285" t="n"/>
      <c r="N734" s="285" t="n"/>
      <c r="O734" s="285" t="n"/>
      <c r="P734" s="285" t="n"/>
      <c r="Q734" s="285" t="n"/>
      <c r="R734" s="285" t="n"/>
      <c r="S734" s="284" t="n"/>
      <c r="T734" s="284" t="n"/>
      <c r="U734" s="285" t="n"/>
      <c r="V734" s="285" t="n"/>
      <c r="W734" s="285" t="n"/>
      <c r="X734" s="285" t="n"/>
      <c r="Y734" s="285" t="n"/>
      <c r="Z734" s="285" t="n"/>
      <c r="AA734" s="285" t="n"/>
    </row>
    <row r="735" ht="15.75" customHeight="1" s="398">
      <c r="A735" s="284" t="n"/>
      <c r="B735" s="285" t="n"/>
      <c r="C735" s="284" t="n"/>
      <c r="D735" s="284" t="n"/>
      <c r="E735" s="285" t="n"/>
      <c r="F735" s="285" t="n"/>
      <c r="G735" s="336" t="n"/>
      <c r="H735" s="336" t="n"/>
      <c r="I735" s="285" t="n"/>
      <c r="J735" s="285" t="n"/>
      <c r="K735" s="285" t="n"/>
      <c r="L735" s="285" t="n"/>
      <c r="M735" s="285" t="n"/>
      <c r="N735" s="285" t="n"/>
      <c r="O735" s="285" t="n"/>
      <c r="P735" s="285" t="n"/>
      <c r="Q735" s="285" t="n"/>
      <c r="R735" s="285" t="n"/>
      <c r="S735" s="284" t="n"/>
      <c r="T735" s="284" t="n"/>
      <c r="U735" s="285" t="n"/>
      <c r="V735" s="285" t="n"/>
      <c r="W735" s="285" t="n"/>
      <c r="X735" s="285" t="n"/>
      <c r="Y735" s="285" t="n"/>
      <c r="Z735" s="285" t="n"/>
      <c r="AA735" s="285" t="n"/>
    </row>
    <row r="736" ht="15.75" customHeight="1" s="398">
      <c r="A736" s="284" t="n"/>
      <c r="B736" s="285" t="n"/>
      <c r="C736" s="284" t="n"/>
      <c r="D736" s="284" t="n"/>
      <c r="E736" s="285" t="n"/>
      <c r="F736" s="285" t="n"/>
      <c r="G736" s="336" t="n"/>
      <c r="H736" s="336" t="n"/>
      <c r="I736" s="285" t="n"/>
      <c r="J736" s="285" t="n"/>
      <c r="K736" s="285" t="n"/>
      <c r="L736" s="285" t="n"/>
      <c r="M736" s="285" t="n"/>
      <c r="N736" s="285" t="n"/>
      <c r="O736" s="285" t="n"/>
      <c r="P736" s="285" t="n"/>
      <c r="Q736" s="285" t="n"/>
      <c r="R736" s="285" t="n"/>
      <c r="S736" s="284" t="n"/>
      <c r="T736" s="284" t="n"/>
      <c r="U736" s="285" t="n"/>
      <c r="V736" s="285" t="n"/>
      <c r="W736" s="285" t="n"/>
      <c r="X736" s="285" t="n"/>
      <c r="Y736" s="285" t="n"/>
      <c r="Z736" s="285" t="n"/>
      <c r="AA736" s="285" t="n"/>
    </row>
    <row r="737" ht="15.75" customHeight="1" s="398">
      <c r="A737" s="284" t="n"/>
      <c r="B737" s="285" t="n"/>
      <c r="C737" s="284" t="n"/>
      <c r="D737" s="284" t="n"/>
      <c r="E737" s="285" t="n"/>
      <c r="F737" s="285" t="n"/>
      <c r="G737" s="336" t="n"/>
      <c r="H737" s="336" t="n"/>
      <c r="I737" s="285" t="n"/>
      <c r="J737" s="285" t="n"/>
      <c r="K737" s="285" t="n"/>
      <c r="L737" s="285" t="n"/>
      <c r="M737" s="285" t="n"/>
      <c r="N737" s="285" t="n"/>
      <c r="O737" s="285" t="n"/>
      <c r="P737" s="285" t="n"/>
      <c r="Q737" s="285" t="n"/>
      <c r="R737" s="285" t="n"/>
      <c r="S737" s="284" t="n"/>
      <c r="T737" s="284" t="n"/>
      <c r="U737" s="285" t="n"/>
      <c r="V737" s="285" t="n"/>
      <c r="W737" s="285" t="n"/>
      <c r="X737" s="285" t="n"/>
      <c r="Y737" s="285" t="n"/>
      <c r="Z737" s="285" t="n"/>
      <c r="AA737" s="285" t="n"/>
    </row>
    <row r="738" ht="15.75" customHeight="1" s="398">
      <c r="A738" s="284" t="n"/>
      <c r="B738" s="285" t="n"/>
      <c r="C738" s="284" t="n"/>
      <c r="D738" s="284" t="n"/>
      <c r="E738" s="285" t="n"/>
      <c r="F738" s="285" t="n"/>
      <c r="G738" s="336" t="n"/>
      <c r="H738" s="336" t="n"/>
      <c r="I738" s="285" t="n"/>
      <c r="J738" s="285" t="n"/>
      <c r="K738" s="285" t="n"/>
      <c r="L738" s="285" t="n"/>
      <c r="M738" s="285" t="n"/>
      <c r="N738" s="285" t="n"/>
      <c r="O738" s="285" t="n"/>
      <c r="P738" s="285" t="n"/>
      <c r="Q738" s="285" t="n"/>
      <c r="R738" s="285" t="n"/>
      <c r="S738" s="284" t="n"/>
      <c r="T738" s="284" t="n"/>
      <c r="U738" s="285" t="n"/>
      <c r="V738" s="285" t="n"/>
      <c r="W738" s="285" t="n"/>
      <c r="X738" s="285" t="n"/>
      <c r="Y738" s="285" t="n"/>
      <c r="Z738" s="285" t="n"/>
      <c r="AA738" s="285" t="n"/>
    </row>
    <row r="739" ht="15.75" customHeight="1" s="398">
      <c r="A739" s="284" t="n"/>
      <c r="B739" s="285" t="n"/>
      <c r="C739" s="284" t="n"/>
      <c r="D739" s="284" t="n"/>
      <c r="E739" s="285" t="n"/>
      <c r="F739" s="285" t="n"/>
      <c r="G739" s="336" t="n"/>
      <c r="H739" s="336" t="n"/>
      <c r="I739" s="285" t="n"/>
      <c r="J739" s="285" t="n"/>
      <c r="K739" s="285" t="n"/>
      <c r="L739" s="285" t="n"/>
      <c r="M739" s="285" t="n"/>
      <c r="N739" s="285" t="n"/>
      <c r="O739" s="285" t="n"/>
      <c r="P739" s="285" t="n"/>
      <c r="Q739" s="285" t="n"/>
      <c r="R739" s="285" t="n"/>
      <c r="S739" s="284" t="n"/>
      <c r="T739" s="284" t="n"/>
      <c r="U739" s="285" t="n"/>
      <c r="V739" s="285" t="n"/>
      <c r="W739" s="285" t="n"/>
      <c r="X739" s="285" t="n"/>
      <c r="Y739" s="285" t="n"/>
      <c r="Z739" s="285" t="n"/>
      <c r="AA739" s="285" t="n"/>
    </row>
    <row r="740" ht="15.75" customHeight="1" s="398">
      <c r="A740" s="284" t="n"/>
      <c r="B740" s="285" t="n"/>
      <c r="C740" s="284" t="n"/>
      <c r="D740" s="284" t="n"/>
      <c r="E740" s="285" t="n"/>
      <c r="F740" s="285" t="n"/>
      <c r="G740" s="336" t="n"/>
      <c r="H740" s="336" t="n"/>
      <c r="I740" s="285" t="n"/>
      <c r="J740" s="285" t="n"/>
      <c r="K740" s="285" t="n"/>
      <c r="L740" s="285" t="n"/>
      <c r="M740" s="285" t="n"/>
      <c r="N740" s="285" t="n"/>
      <c r="O740" s="285" t="n"/>
      <c r="P740" s="285" t="n"/>
      <c r="Q740" s="285" t="n"/>
      <c r="R740" s="285" t="n"/>
      <c r="S740" s="284" t="n"/>
      <c r="T740" s="284" t="n"/>
      <c r="U740" s="285" t="n"/>
      <c r="V740" s="285" t="n"/>
      <c r="W740" s="285" t="n"/>
      <c r="X740" s="285" t="n"/>
      <c r="Y740" s="285" t="n"/>
      <c r="Z740" s="285" t="n"/>
      <c r="AA740" s="285" t="n"/>
    </row>
    <row r="741" ht="15.75" customHeight="1" s="398">
      <c r="A741" s="284" t="n"/>
      <c r="B741" s="285" t="n"/>
      <c r="C741" s="284" t="n"/>
      <c r="D741" s="284" t="n"/>
      <c r="E741" s="285" t="n"/>
      <c r="F741" s="285" t="n"/>
      <c r="G741" s="336" t="n"/>
      <c r="H741" s="336" t="n"/>
      <c r="I741" s="285" t="n"/>
      <c r="J741" s="285" t="n"/>
      <c r="K741" s="285" t="n"/>
      <c r="L741" s="285" t="n"/>
      <c r="M741" s="285" t="n"/>
      <c r="N741" s="285" t="n"/>
      <c r="O741" s="285" t="n"/>
      <c r="P741" s="285" t="n"/>
      <c r="Q741" s="285" t="n"/>
      <c r="R741" s="285" t="n"/>
      <c r="S741" s="284" t="n"/>
      <c r="T741" s="284" t="n"/>
      <c r="U741" s="285" t="n"/>
      <c r="V741" s="285" t="n"/>
      <c r="W741" s="285" t="n"/>
      <c r="X741" s="285" t="n"/>
      <c r="Y741" s="285" t="n"/>
      <c r="Z741" s="285" t="n"/>
      <c r="AA741" s="285" t="n"/>
    </row>
    <row r="742" ht="15.75" customHeight="1" s="398">
      <c r="A742" s="284" t="n"/>
      <c r="B742" s="285" t="n"/>
      <c r="C742" s="284" t="n"/>
      <c r="D742" s="284" t="n"/>
      <c r="E742" s="285" t="n"/>
      <c r="F742" s="285" t="n"/>
      <c r="G742" s="336" t="n"/>
      <c r="H742" s="336" t="n"/>
      <c r="I742" s="285" t="n"/>
      <c r="J742" s="285" t="n"/>
      <c r="K742" s="285" t="n"/>
      <c r="L742" s="285" t="n"/>
      <c r="M742" s="285" t="n"/>
      <c r="N742" s="285" t="n"/>
      <c r="O742" s="285" t="n"/>
      <c r="P742" s="285" t="n"/>
      <c r="Q742" s="285" t="n"/>
      <c r="R742" s="285" t="n"/>
      <c r="S742" s="284" t="n"/>
      <c r="T742" s="284" t="n"/>
      <c r="U742" s="285" t="n"/>
      <c r="V742" s="285" t="n"/>
      <c r="W742" s="285" t="n"/>
      <c r="X742" s="285" t="n"/>
      <c r="Y742" s="285" t="n"/>
      <c r="Z742" s="285" t="n"/>
      <c r="AA742" s="285" t="n"/>
    </row>
    <row r="743" ht="15.75" customHeight="1" s="398">
      <c r="A743" s="284" t="n"/>
      <c r="B743" s="285" t="n"/>
      <c r="C743" s="284" t="n"/>
      <c r="D743" s="284" t="n"/>
      <c r="E743" s="285" t="n"/>
      <c r="F743" s="285" t="n"/>
      <c r="G743" s="336" t="n"/>
      <c r="H743" s="336" t="n"/>
      <c r="I743" s="285" t="n"/>
      <c r="J743" s="285" t="n"/>
      <c r="K743" s="285" t="n"/>
      <c r="L743" s="285" t="n"/>
      <c r="M743" s="285" t="n"/>
      <c r="N743" s="285" t="n"/>
      <c r="O743" s="285" t="n"/>
      <c r="P743" s="285" t="n"/>
      <c r="Q743" s="285" t="n"/>
      <c r="R743" s="285" t="n"/>
      <c r="S743" s="284" t="n"/>
      <c r="T743" s="284" t="n"/>
      <c r="U743" s="285" t="n"/>
      <c r="V743" s="285" t="n"/>
      <c r="W743" s="285" t="n"/>
      <c r="X743" s="285" t="n"/>
      <c r="Y743" s="285" t="n"/>
      <c r="Z743" s="285" t="n"/>
      <c r="AA743" s="285" t="n"/>
    </row>
    <row r="744" ht="15.75" customHeight="1" s="398">
      <c r="A744" s="284" t="n"/>
      <c r="B744" s="285" t="n"/>
      <c r="C744" s="284" t="n"/>
      <c r="D744" s="284" t="n"/>
      <c r="E744" s="285" t="n"/>
      <c r="F744" s="285" t="n"/>
      <c r="G744" s="336" t="n"/>
      <c r="H744" s="336" t="n"/>
      <c r="I744" s="285" t="n"/>
      <c r="J744" s="285" t="n"/>
      <c r="K744" s="285" t="n"/>
      <c r="L744" s="285" t="n"/>
      <c r="M744" s="285" t="n"/>
      <c r="N744" s="285" t="n"/>
      <c r="O744" s="285" t="n"/>
      <c r="P744" s="285" t="n"/>
      <c r="Q744" s="285" t="n"/>
      <c r="R744" s="285" t="n"/>
      <c r="S744" s="284" t="n"/>
      <c r="T744" s="284" t="n"/>
      <c r="U744" s="285" t="n"/>
      <c r="V744" s="285" t="n"/>
      <c r="W744" s="285" t="n"/>
      <c r="X744" s="285" t="n"/>
      <c r="Y744" s="285" t="n"/>
      <c r="Z744" s="285" t="n"/>
      <c r="AA744" s="285" t="n"/>
    </row>
    <row r="745" ht="15.75" customHeight="1" s="398">
      <c r="A745" s="284" t="n"/>
      <c r="B745" s="285" t="n"/>
      <c r="C745" s="284" t="n"/>
      <c r="D745" s="284" t="n"/>
      <c r="E745" s="285" t="n"/>
      <c r="F745" s="285" t="n"/>
      <c r="G745" s="336" t="n"/>
      <c r="H745" s="336" t="n"/>
      <c r="I745" s="285" t="n"/>
      <c r="J745" s="285" t="n"/>
      <c r="K745" s="285" t="n"/>
      <c r="L745" s="285" t="n"/>
      <c r="M745" s="285" t="n"/>
      <c r="N745" s="285" t="n"/>
      <c r="O745" s="285" t="n"/>
      <c r="P745" s="285" t="n"/>
      <c r="Q745" s="285" t="n"/>
      <c r="R745" s="285" t="n"/>
      <c r="S745" s="284" t="n"/>
      <c r="T745" s="284" t="n"/>
      <c r="U745" s="285" t="n"/>
      <c r="V745" s="285" t="n"/>
      <c r="W745" s="285" t="n"/>
      <c r="X745" s="285" t="n"/>
      <c r="Y745" s="285" t="n"/>
      <c r="Z745" s="285" t="n"/>
      <c r="AA745" s="285" t="n"/>
    </row>
    <row r="746" ht="15.75" customHeight="1" s="398">
      <c r="A746" s="284" t="n"/>
      <c r="B746" s="285" t="n"/>
      <c r="C746" s="284" t="n"/>
      <c r="D746" s="284" t="n"/>
      <c r="E746" s="285" t="n"/>
      <c r="F746" s="285" t="n"/>
      <c r="G746" s="336" t="n"/>
      <c r="H746" s="336" t="n"/>
      <c r="I746" s="285" t="n"/>
      <c r="J746" s="285" t="n"/>
      <c r="K746" s="285" t="n"/>
      <c r="L746" s="285" t="n"/>
      <c r="M746" s="285" t="n"/>
      <c r="N746" s="285" t="n"/>
      <c r="O746" s="285" t="n"/>
      <c r="P746" s="285" t="n"/>
      <c r="Q746" s="285" t="n"/>
      <c r="R746" s="285" t="n"/>
      <c r="S746" s="284" t="n"/>
      <c r="T746" s="284" t="n"/>
      <c r="U746" s="285" t="n"/>
      <c r="V746" s="285" t="n"/>
      <c r="W746" s="285" t="n"/>
      <c r="X746" s="285" t="n"/>
      <c r="Y746" s="285" t="n"/>
      <c r="Z746" s="285" t="n"/>
      <c r="AA746" s="285" t="n"/>
    </row>
    <row r="747" ht="15.75" customHeight="1" s="398">
      <c r="A747" s="284" t="n"/>
      <c r="B747" s="285" t="n"/>
      <c r="C747" s="284" t="n"/>
      <c r="D747" s="284" t="n"/>
      <c r="E747" s="285" t="n"/>
      <c r="F747" s="285" t="n"/>
      <c r="G747" s="336" t="n"/>
      <c r="H747" s="336" t="n"/>
      <c r="I747" s="285" t="n"/>
      <c r="J747" s="285" t="n"/>
      <c r="K747" s="285" t="n"/>
      <c r="L747" s="285" t="n"/>
      <c r="M747" s="285" t="n"/>
      <c r="N747" s="285" t="n"/>
      <c r="O747" s="285" t="n"/>
      <c r="P747" s="285" t="n"/>
      <c r="Q747" s="285" t="n"/>
      <c r="R747" s="285" t="n"/>
      <c r="S747" s="284" t="n"/>
      <c r="T747" s="284" t="n"/>
      <c r="U747" s="285" t="n"/>
      <c r="V747" s="285" t="n"/>
      <c r="W747" s="285" t="n"/>
      <c r="X747" s="285" t="n"/>
      <c r="Y747" s="285" t="n"/>
      <c r="Z747" s="285" t="n"/>
      <c r="AA747" s="285" t="n"/>
    </row>
    <row r="748" ht="15.75" customHeight="1" s="398">
      <c r="A748" s="284" t="n"/>
      <c r="B748" s="285" t="n"/>
      <c r="C748" s="284" t="n"/>
      <c r="D748" s="284" t="n"/>
      <c r="E748" s="285" t="n"/>
      <c r="F748" s="285" t="n"/>
      <c r="G748" s="336" t="n"/>
      <c r="H748" s="336" t="n"/>
      <c r="I748" s="285" t="n"/>
      <c r="J748" s="285" t="n"/>
      <c r="K748" s="285" t="n"/>
      <c r="L748" s="285" t="n"/>
      <c r="M748" s="285" t="n"/>
      <c r="N748" s="285" t="n"/>
      <c r="O748" s="285" t="n"/>
      <c r="P748" s="285" t="n"/>
      <c r="Q748" s="285" t="n"/>
      <c r="R748" s="285" t="n"/>
      <c r="S748" s="284" t="n"/>
      <c r="T748" s="284" t="n"/>
      <c r="U748" s="285" t="n"/>
      <c r="V748" s="285" t="n"/>
      <c r="W748" s="285" t="n"/>
      <c r="X748" s="285" t="n"/>
      <c r="Y748" s="285" t="n"/>
      <c r="Z748" s="285" t="n"/>
      <c r="AA748" s="285" t="n"/>
    </row>
    <row r="749" ht="15.75" customHeight="1" s="398">
      <c r="A749" s="284" t="n"/>
      <c r="B749" s="285" t="n"/>
      <c r="C749" s="284" t="n"/>
      <c r="D749" s="284" t="n"/>
      <c r="E749" s="285" t="n"/>
      <c r="F749" s="285" t="n"/>
      <c r="G749" s="336" t="n"/>
      <c r="H749" s="336" t="n"/>
      <c r="I749" s="285" t="n"/>
      <c r="J749" s="285" t="n"/>
      <c r="K749" s="285" t="n"/>
      <c r="L749" s="285" t="n"/>
      <c r="M749" s="285" t="n"/>
      <c r="N749" s="285" t="n"/>
      <c r="O749" s="285" t="n"/>
      <c r="P749" s="285" t="n"/>
      <c r="Q749" s="285" t="n"/>
      <c r="R749" s="285" t="n"/>
      <c r="S749" s="284" t="n"/>
      <c r="T749" s="284" t="n"/>
      <c r="U749" s="285" t="n"/>
      <c r="V749" s="285" t="n"/>
      <c r="W749" s="285" t="n"/>
      <c r="X749" s="285" t="n"/>
      <c r="Y749" s="285" t="n"/>
      <c r="Z749" s="285" t="n"/>
      <c r="AA749" s="285" t="n"/>
    </row>
    <row r="750" ht="15.75" customHeight="1" s="398">
      <c r="A750" s="284" t="n"/>
      <c r="B750" s="285" t="n"/>
      <c r="C750" s="284" t="n"/>
      <c r="D750" s="284" t="n"/>
      <c r="E750" s="285" t="n"/>
      <c r="F750" s="285" t="n"/>
      <c r="G750" s="336" t="n"/>
      <c r="H750" s="336" t="n"/>
      <c r="I750" s="285" t="n"/>
      <c r="J750" s="285" t="n"/>
      <c r="K750" s="285" t="n"/>
      <c r="L750" s="285" t="n"/>
      <c r="M750" s="285" t="n"/>
      <c r="N750" s="285" t="n"/>
      <c r="O750" s="285" t="n"/>
      <c r="P750" s="285" t="n"/>
      <c r="Q750" s="285" t="n"/>
      <c r="R750" s="285" t="n"/>
      <c r="S750" s="284" t="n"/>
      <c r="T750" s="284" t="n"/>
      <c r="U750" s="285" t="n"/>
      <c r="V750" s="285" t="n"/>
      <c r="W750" s="285" t="n"/>
      <c r="X750" s="285" t="n"/>
      <c r="Y750" s="285" t="n"/>
      <c r="Z750" s="285" t="n"/>
      <c r="AA750" s="285" t="n"/>
    </row>
    <row r="751" ht="15.75" customHeight="1" s="398">
      <c r="A751" s="284" t="n"/>
      <c r="B751" s="285" t="n"/>
      <c r="C751" s="284" t="n"/>
      <c r="D751" s="284" t="n"/>
      <c r="E751" s="285" t="n"/>
      <c r="F751" s="285" t="n"/>
      <c r="G751" s="336" t="n"/>
      <c r="H751" s="336" t="n"/>
      <c r="I751" s="285" t="n"/>
      <c r="J751" s="285" t="n"/>
      <c r="K751" s="285" t="n"/>
      <c r="L751" s="285" t="n"/>
      <c r="M751" s="285" t="n"/>
      <c r="N751" s="285" t="n"/>
      <c r="O751" s="285" t="n"/>
      <c r="P751" s="285" t="n"/>
      <c r="Q751" s="285" t="n"/>
      <c r="R751" s="285" t="n"/>
      <c r="S751" s="284" t="n"/>
      <c r="T751" s="284" t="n"/>
      <c r="U751" s="285" t="n"/>
      <c r="V751" s="285" t="n"/>
      <c r="W751" s="285" t="n"/>
      <c r="X751" s="285" t="n"/>
      <c r="Y751" s="285" t="n"/>
      <c r="Z751" s="285" t="n"/>
      <c r="AA751" s="285" t="n"/>
    </row>
    <row r="752" ht="15.75" customHeight="1" s="398">
      <c r="A752" s="284" t="n"/>
      <c r="B752" s="285" t="n"/>
      <c r="C752" s="284" t="n"/>
      <c r="D752" s="284" t="n"/>
      <c r="E752" s="285" t="n"/>
      <c r="F752" s="285" t="n"/>
      <c r="G752" s="336" t="n"/>
      <c r="H752" s="336" t="n"/>
      <c r="I752" s="285" t="n"/>
      <c r="J752" s="285" t="n"/>
      <c r="K752" s="285" t="n"/>
      <c r="L752" s="285" t="n"/>
      <c r="M752" s="285" t="n"/>
      <c r="N752" s="285" t="n"/>
      <c r="O752" s="285" t="n"/>
      <c r="P752" s="285" t="n"/>
      <c r="Q752" s="285" t="n"/>
      <c r="R752" s="285" t="n"/>
      <c r="S752" s="284" t="n"/>
      <c r="T752" s="284" t="n"/>
      <c r="U752" s="285" t="n"/>
      <c r="V752" s="285" t="n"/>
      <c r="W752" s="285" t="n"/>
      <c r="X752" s="285" t="n"/>
      <c r="Y752" s="285" t="n"/>
      <c r="Z752" s="285" t="n"/>
      <c r="AA752" s="285" t="n"/>
    </row>
    <row r="753" ht="15.75" customHeight="1" s="398">
      <c r="A753" s="284" t="n"/>
      <c r="B753" s="285" t="n"/>
      <c r="C753" s="284" t="n"/>
      <c r="D753" s="284" t="n"/>
      <c r="E753" s="285" t="n"/>
      <c r="F753" s="285" t="n"/>
      <c r="G753" s="336" t="n"/>
      <c r="H753" s="336" t="n"/>
      <c r="I753" s="285" t="n"/>
      <c r="J753" s="285" t="n"/>
      <c r="K753" s="285" t="n"/>
      <c r="L753" s="285" t="n"/>
      <c r="M753" s="285" t="n"/>
      <c r="N753" s="285" t="n"/>
      <c r="O753" s="285" t="n"/>
      <c r="P753" s="285" t="n"/>
      <c r="Q753" s="285" t="n"/>
      <c r="R753" s="285" t="n"/>
      <c r="S753" s="284" t="n"/>
      <c r="T753" s="284" t="n"/>
      <c r="U753" s="285" t="n"/>
      <c r="V753" s="285" t="n"/>
      <c r="W753" s="285" t="n"/>
      <c r="X753" s="285" t="n"/>
      <c r="Y753" s="285" t="n"/>
      <c r="Z753" s="285" t="n"/>
      <c r="AA753" s="285" t="n"/>
    </row>
    <row r="754" ht="15.75" customHeight="1" s="398">
      <c r="A754" s="284" t="n"/>
      <c r="B754" s="285" t="n"/>
      <c r="C754" s="284" t="n"/>
      <c r="D754" s="284" t="n"/>
      <c r="E754" s="285" t="n"/>
      <c r="F754" s="285" t="n"/>
      <c r="G754" s="336" t="n"/>
      <c r="H754" s="336" t="n"/>
      <c r="I754" s="285" t="n"/>
      <c r="J754" s="285" t="n"/>
      <c r="K754" s="285" t="n"/>
      <c r="L754" s="285" t="n"/>
      <c r="M754" s="285" t="n"/>
      <c r="N754" s="285" t="n"/>
      <c r="O754" s="285" t="n"/>
      <c r="P754" s="285" t="n"/>
      <c r="Q754" s="285" t="n"/>
      <c r="R754" s="285" t="n"/>
      <c r="S754" s="284" t="n"/>
      <c r="T754" s="284" t="n"/>
      <c r="U754" s="285" t="n"/>
      <c r="V754" s="285" t="n"/>
      <c r="W754" s="285" t="n"/>
      <c r="X754" s="285" t="n"/>
      <c r="Y754" s="285" t="n"/>
      <c r="Z754" s="285" t="n"/>
      <c r="AA754" s="285" t="n"/>
    </row>
    <row r="755" ht="15.75" customHeight="1" s="398">
      <c r="A755" s="284" t="n"/>
      <c r="B755" s="285" t="n"/>
      <c r="C755" s="284" t="n"/>
      <c r="D755" s="284" t="n"/>
      <c r="E755" s="285" t="n"/>
      <c r="F755" s="285" t="n"/>
      <c r="G755" s="336" t="n"/>
      <c r="H755" s="336" t="n"/>
      <c r="I755" s="285" t="n"/>
      <c r="J755" s="285" t="n"/>
      <c r="K755" s="285" t="n"/>
      <c r="L755" s="285" t="n"/>
      <c r="M755" s="285" t="n"/>
      <c r="N755" s="285" t="n"/>
      <c r="O755" s="285" t="n"/>
      <c r="P755" s="285" t="n"/>
      <c r="Q755" s="285" t="n"/>
      <c r="R755" s="285" t="n"/>
      <c r="S755" s="284" t="n"/>
      <c r="T755" s="284" t="n"/>
      <c r="U755" s="285" t="n"/>
      <c r="V755" s="285" t="n"/>
      <c r="W755" s="285" t="n"/>
      <c r="X755" s="285" t="n"/>
      <c r="Y755" s="285" t="n"/>
      <c r="Z755" s="285" t="n"/>
      <c r="AA755" s="285" t="n"/>
    </row>
    <row r="756" ht="15.75" customHeight="1" s="398">
      <c r="A756" s="284" t="n"/>
      <c r="B756" s="285" t="n"/>
      <c r="C756" s="284" t="n"/>
      <c r="D756" s="284" t="n"/>
      <c r="E756" s="285" t="n"/>
      <c r="F756" s="285" t="n"/>
      <c r="G756" s="336" t="n"/>
      <c r="H756" s="336" t="n"/>
      <c r="I756" s="285" t="n"/>
      <c r="J756" s="285" t="n"/>
      <c r="K756" s="285" t="n"/>
      <c r="L756" s="285" t="n"/>
      <c r="M756" s="285" t="n"/>
      <c r="N756" s="285" t="n"/>
      <c r="O756" s="285" t="n"/>
      <c r="P756" s="285" t="n"/>
      <c r="Q756" s="285" t="n"/>
      <c r="R756" s="285" t="n"/>
      <c r="S756" s="284" t="n"/>
      <c r="T756" s="284" t="n"/>
      <c r="U756" s="285" t="n"/>
      <c r="V756" s="285" t="n"/>
      <c r="W756" s="285" t="n"/>
      <c r="X756" s="285" t="n"/>
      <c r="Y756" s="285" t="n"/>
      <c r="Z756" s="285" t="n"/>
      <c r="AA756" s="285" t="n"/>
    </row>
    <row r="757" ht="15.75" customHeight="1" s="398">
      <c r="A757" s="284" t="n"/>
      <c r="B757" s="285" t="n"/>
      <c r="C757" s="284" t="n"/>
      <c r="D757" s="284" t="n"/>
      <c r="E757" s="285" t="n"/>
      <c r="F757" s="285" t="n"/>
      <c r="G757" s="336" t="n"/>
      <c r="H757" s="336" t="n"/>
      <c r="I757" s="285" t="n"/>
      <c r="J757" s="285" t="n"/>
      <c r="K757" s="285" t="n"/>
      <c r="L757" s="285" t="n"/>
      <c r="M757" s="285" t="n"/>
      <c r="N757" s="285" t="n"/>
      <c r="O757" s="285" t="n"/>
      <c r="P757" s="285" t="n"/>
      <c r="Q757" s="285" t="n"/>
      <c r="R757" s="285" t="n"/>
      <c r="S757" s="284" t="n"/>
      <c r="T757" s="284" t="n"/>
      <c r="U757" s="285" t="n"/>
      <c r="V757" s="285" t="n"/>
      <c r="W757" s="285" t="n"/>
      <c r="X757" s="285" t="n"/>
      <c r="Y757" s="285" t="n"/>
      <c r="Z757" s="285" t="n"/>
      <c r="AA757" s="285" t="n"/>
    </row>
    <row r="758" ht="15.75" customHeight="1" s="398">
      <c r="A758" s="284" t="n"/>
      <c r="B758" s="285" t="n"/>
      <c r="C758" s="284" t="n"/>
      <c r="D758" s="284" t="n"/>
      <c r="E758" s="285" t="n"/>
      <c r="F758" s="285" t="n"/>
      <c r="G758" s="336" t="n"/>
      <c r="H758" s="336" t="n"/>
      <c r="I758" s="285" t="n"/>
      <c r="J758" s="285" t="n"/>
      <c r="K758" s="285" t="n"/>
      <c r="L758" s="285" t="n"/>
      <c r="M758" s="285" t="n"/>
      <c r="N758" s="285" t="n"/>
      <c r="O758" s="285" t="n"/>
      <c r="P758" s="285" t="n"/>
      <c r="Q758" s="285" t="n"/>
      <c r="R758" s="285" t="n"/>
      <c r="S758" s="284" t="n"/>
      <c r="T758" s="284" t="n"/>
      <c r="U758" s="285" t="n"/>
      <c r="V758" s="285" t="n"/>
      <c r="W758" s="285" t="n"/>
      <c r="X758" s="285" t="n"/>
      <c r="Y758" s="285" t="n"/>
      <c r="Z758" s="285" t="n"/>
      <c r="AA758" s="285" t="n"/>
    </row>
    <row r="759" ht="15.75" customHeight="1" s="398">
      <c r="A759" s="284" t="n"/>
      <c r="B759" s="285" t="n"/>
      <c r="C759" s="284" t="n"/>
      <c r="D759" s="284" t="n"/>
      <c r="E759" s="285" t="n"/>
      <c r="F759" s="285" t="n"/>
      <c r="G759" s="336" t="n"/>
      <c r="H759" s="336" t="n"/>
      <c r="I759" s="285" t="n"/>
      <c r="J759" s="285" t="n"/>
      <c r="K759" s="285" t="n"/>
      <c r="L759" s="285" t="n"/>
      <c r="M759" s="285" t="n"/>
      <c r="N759" s="285" t="n"/>
      <c r="O759" s="285" t="n"/>
      <c r="P759" s="285" t="n"/>
      <c r="Q759" s="285" t="n"/>
      <c r="R759" s="285" t="n"/>
      <c r="S759" s="284" t="n"/>
      <c r="T759" s="284" t="n"/>
      <c r="U759" s="285" t="n"/>
      <c r="V759" s="285" t="n"/>
      <c r="W759" s="285" t="n"/>
      <c r="X759" s="285" t="n"/>
      <c r="Y759" s="285" t="n"/>
      <c r="Z759" s="285" t="n"/>
      <c r="AA759" s="285" t="n"/>
    </row>
    <row r="760" ht="15.75" customHeight="1" s="398">
      <c r="A760" s="284" t="n"/>
      <c r="B760" s="285" t="n"/>
      <c r="C760" s="284" t="n"/>
      <c r="D760" s="284" t="n"/>
      <c r="E760" s="285" t="n"/>
      <c r="F760" s="285" t="n"/>
      <c r="G760" s="336" t="n"/>
      <c r="H760" s="336" t="n"/>
      <c r="I760" s="285" t="n"/>
      <c r="J760" s="285" t="n"/>
      <c r="K760" s="285" t="n"/>
      <c r="L760" s="285" t="n"/>
      <c r="M760" s="285" t="n"/>
      <c r="N760" s="285" t="n"/>
      <c r="O760" s="285" t="n"/>
      <c r="P760" s="285" t="n"/>
      <c r="Q760" s="285" t="n"/>
      <c r="R760" s="285" t="n"/>
      <c r="S760" s="284" t="n"/>
      <c r="T760" s="284" t="n"/>
      <c r="U760" s="285" t="n"/>
      <c r="V760" s="285" t="n"/>
      <c r="W760" s="285" t="n"/>
      <c r="X760" s="285" t="n"/>
      <c r="Y760" s="285" t="n"/>
      <c r="Z760" s="285" t="n"/>
      <c r="AA760" s="285" t="n"/>
    </row>
    <row r="761" ht="15.75" customHeight="1" s="398">
      <c r="A761" s="284" t="n"/>
      <c r="B761" s="285" t="n"/>
      <c r="C761" s="284" t="n"/>
      <c r="D761" s="284" t="n"/>
      <c r="E761" s="285" t="n"/>
      <c r="F761" s="285" t="n"/>
      <c r="G761" s="336" t="n"/>
      <c r="H761" s="336" t="n"/>
      <c r="I761" s="285" t="n"/>
      <c r="J761" s="285" t="n"/>
      <c r="K761" s="285" t="n"/>
      <c r="L761" s="285" t="n"/>
      <c r="M761" s="285" t="n"/>
      <c r="N761" s="285" t="n"/>
      <c r="O761" s="285" t="n"/>
      <c r="P761" s="285" t="n"/>
      <c r="Q761" s="285" t="n"/>
      <c r="R761" s="285" t="n"/>
      <c r="S761" s="284" t="n"/>
      <c r="T761" s="284" t="n"/>
      <c r="U761" s="285" t="n"/>
      <c r="V761" s="285" t="n"/>
      <c r="W761" s="285" t="n"/>
      <c r="X761" s="285" t="n"/>
      <c r="Y761" s="285" t="n"/>
      <c r="Z761" s="285" t="n"/>
      <c r="AA761" s="285" t="n"/>
    </row>
    <row r="762" ht="15.75" customHeight="1" s="398">
      <c r="A762" s="284" t="n"/>
      <c r="B762" s="285" t="n"/>
      <c r="C762" s="284" t="n"/>
      <c r="D762" s="284" t="n"/>
      <c r="E762" s="285" t="n"/>
      <c r="F762" s="285" t="n"/>
      <c r="G762" s="336" t="n"/>
      <c r="H762" s="336" t="n"/>
      <c r="I762" s="285" t="n"/>
      <c r="J762" s="285" t="n"/>
      <c r="K762" s="285" t="n"/>
      <c r="L762" s="285" t="n"/>
      <c r="M762" s="285" t="n"/>
      <c r="N762" s="285" t="n"/>
      <c r="O762" s="285" t="n"/>
      <c r="P762" s="285" t="n"/>
      <c r="Q762" s="285" t="n"/>
      <c r="R762" s="285" t="n"/>
      <c r="S762" s="284" t="n"/>
      <c r="T762" s="284" t="n"/>
      <c r="U762" s="285" t="n"/>
      <c r="V762" s="285" t="n"/>
      <c r="W762" s="285" t="n"/>
      <c r="X762" s="285" t="n"/>
      <c r="Y762" s="285" t="n"/>
      <c r="Z762" s="285" t="n"/>
      <c r="AA762" s="285" t="n"/>
    </row>
    <row r="763" ht="15.75" customHeight="1" s="398">
      <c r="A763" s="284" t="n"/>
      <c r="B763" s="285" t="n"/>
      <c r="C763" s="284" t="n"/>
      <c r="D763" s="284" t="n"/>
      <c r="E763" s="285" t="n"/>
      <c r="F763" s="285" t="n"/>
      <c r="G763" s="336" t="n"/>
      <c r="H763" s="336" t="n"/>
      <c r="I763" s="285" t="n"/>
      <c r="J763" s="285" t="n"/>
      <c r="K763" s="285" t="n"/>
      <c r="L763" s="285" t="n"/>
      <c r="M763" s="285" t="n"/>
      <c r="N763" s="285" t="n"/>
      <c r="O763" s="285" t="n"/>
      <c r="P763" s="285" t="n"/>
      <c r="Q763" s="285" t="n"/>
      <c r="R763" s="285" t="n"/>
      <c r="S763" s="284" t="n"/>
      <c r="T763" s="284" t="n"/>
      <c r="U763" s="285" t="n"/>
      <c r="V763" s="285" t="n"/>
      <c r="W763" s="285" t="n"/>
      <c r="X763" s="285" t="n"/>
      <c r="Y763" s="285" t="n"/>
      <c r="Z763" s="285" t="n"/>
      <c r="AA763" s="285" t="n"/>
    </row>
    <row r="764" ht="15.75" customHeight="1" s="398">
      <c r="A764" s="284" t="n"/>
      <c r="B764" s="285" t="n"/>
      <c r="C764" s="284" t="n"/>
      <c r="D764" s="284" t="n"/>
      <c r="E764" s="285" t="n"/>
      <c r="F764" s="285" t="n"/>
      <c r="G764" s="336" t="n"/>
      <c r="H764" s="336" t="n"/>
      <c r="I764" s="285" t="n"/>
      <c r="J764" s="285" t="n"/>
      <c r="K764" s="285" t="n"/>
      <c r="L764" s="285" t="n"/>
      <c r="M764" s="285" t="n"/>
      <c r="N764" s="285" t="n"/>
      <c r="O764" s="285" t="n"/>
      <c r="P764" s="285" t="n"/>
      <c r="Q764" s="285" t="n"/>
      <c r="R764" s="285" t="n"/>
      <c r="S764" s="284" t="n"/>
      <c r="T764" s="284" t="n"/>
      <c r="U764" s="285" t="n"/>
      <c r="V764" s="285" t="n"/>
      <c r="W764" s="285" t="n"/>
      <c r="X764" s="285" t="n"/>
      <c r="Y764" s="285" t="n"/>
      <c r="Z764" s="285" t="n"/>
      <c r="AA764" s="285" t="n"/>
    </row>
    <row r="765" ht="15.75" customHeight="1" s="398">
      <c r="A765" s="284" t="n"/>
      <c r="B765" s="285" t="n"/>
      <c r="C765" s="284" t="n"/>
      <c r="D765" s="284" t="n"/>
      <c r="E765" s="285" t="n"/>
      <c r="F765" s="285" t="n"/>
      <c r="G765" s="336" t="n"/>
      <c r="H765" s="336" t="n"/>
      <c r="I765" s="285" t="n"/>
      <c r="J765" s="285" t="n"/>
      <c r="K765" s="285" t="n"/>
      <c r="L765" s="285" t="n"/>
      <c r="M765" s="285" t="n"/>
      <c r="N765" s="285" t="n"/>
      <c r="O765" s="285" t="n"/>
      <c r="P765" s="285" t="n"/>
      <c r="Q765" s="285" t="n"/>
      <c r="R765" s="285" t="n"/>
      <c r="S765" s="284" t="n"/>
      <c r="T765" s="284" t="n"/>
      <c r="U765" s="285" t="n"/>
      <c r="V765" s="285" t="n"/>
      <c r="W765" s="285" t="n"/>
      <c r="X765" s="285" t="n"/>
      <c r="Y765" s="285" t="n"/>
      <c r="Z765" s="285" t="n"/>
      <c r="AA765" s="285" t="n"/>
    </row>
    <row r="766" ht="15.75" customHeight="1" s="398">
      <c r="A766" s="284" t="n"/>
      <c r="B766" s="285" t="n"/>
      <c r="C766" s="284" t="n"/>
      <c r="D766" s="284" t="n"/>
      <c r="E766" s="285" t="n"/>
      <c r="F766" s="285" t="n"/>
      <c r="G766" s="336" t="n"/>
      <c r="H766" s="336" t="n"/>
      <c r="I766" s="285" t="n"/>
      <c r="J766" s="285" t="n"/>
      <c r="K766" s="285" t="n"/>
      <c r="L766" s="285" t="n"/>
      <c r="M766" s="285" t="n"/>
      <c r="N766" s="285" t="n"/>
      <c r="O766" s="285" t="n"/>
      <c r="P766" s="285" t="n"/>
      <c r="Q766" s="285" t="n"/>
      <c r="R766" s="285" t="n"/>
      <c r="S766" s="284" t="n"/>
      <c r="T766" s="284" t="n"/>
      <c r="U766" s="285" t="n"/>
      <c r="V766" s="285" t="n"/>
      <c r="W766" s="285" t="n"/>
      <c r="X766" s="285" t="n"/>
      <c r="Y766" s="285" t="n"/>
      <c r="Z766" s="285" t="n"/>
      <c r="AA766" s="285" t="n"/>
    </row>
    <row r="767" ht="15.75" customHeight="1" s="398">
      <c r="A767" s="284" t="n"/>
      <c r="B767" s="285" t="n"/>
      <c r="C767" s="284" t="n"/>
      <c r="D767" s="284" t="n"/>
      <c r="E767" s="285" t="n"/>
      <c r="F767" s="285" t="n"/>
      <c r="G767" s="336" t="n"/>
      <c r="H767" s="336" t="n"/>
      <c r="I767" s="285" t="n"/>
      <c r="J767" s="285" t="n"/>
      <c r="K767" s="285" t="n"/>
      <c r="L767" s="285" t="n"/>
      <c r="M767" s="285" t="n"/>
      <c r="N767" s="285" t="n"/>
      <c r="O767" s="285" t="n"/>
      <c r="P767" s="285" t="n"/>
      <c r="Q767" s="285" t="n"/>
      <c r="R767" s="285" t="n"/>
      <c r="S767" s="284" t="n"/>
      <c r="T767" s="284" t="n"/>
      <c r="U767" s="285" t="n"/>
      <c r="V767" s="285" t="n"/>
      <c r="W767" s="285" t="n"/>
      <c r="X767" s="285" t="n"/>
      <c r="Y767" s="285" t="n"/>
      <c r="Z767" s="285" t="n"/>
      <c r="AA767" s="285" t="n"/>
    </row>
    <row r="768" ht="15.75" customHeight="1" s="398">
      <c r="A768" s="284" t="n"/>
      <c r="B768" s="285" t="n"/>
      <c r="C768" s="284" t="n"/>
      <c r="D768" s="284" t="n"/>
      <c r="E768" s="285" t="n"/>
      <c r="F768" s="285" t="n"/>
      <c r="G768" s="336" t="n"/>
      <c r="H768" s="336" t="n"/>
      <c r="I768" s="285" t="n"/>
      <c r="J768" s="285" t="n"/>
      <c r="K768" s="285" t="n"/>
      <c r="L768" s="285" t="n"/>
      <c r="M768" s="285" t="n"/>
      <c r="N768" s="285" t="n"/>
      <c r="O768" s="285" t="n"/>
      <c r="P768" s="285" t="n"/>
      <c r="Q768" s="285" t="n"/>
      <c r="R768" s="285" t="n"/>
      <c r="S768" s="284" t="n"/>
      <c r="T768" s="284" t="n"/>
      <c r="U768" s="285" t="n"/>
      <c r="V768" s="285" t="n"/>
      <c r="W768" s="285" t="n"/>
      <c r="X768" s="285" t="n"/>
      <c r="Y768" s="285" t="n"/>
      <c r="Z768" s="285" t="n"/>
      <c r="AA768" s="285" t="n"/>
    </row>
    <row r="769" ht="15.75" customHeight="1" s="398">
      <c r="A769" s="284" t="n"/>
      <c r="B769" s="285" t="n"/>
      <c r="C769" s="284" t="n"/>
      <c r="D769" s="284" t="n"/>
      <c r="E769" s="285" t="n"/>
      <c r="F769" s="285" t="n"/>
      <c r="G769" s="336" t="n"/>
      <c r="H769" s="336" t="n"/>
      <c r="I769" s="285" t="n"/>
      <c r="J769" s="285" t="n"/>
      <c r="K769" s="285" t="n"/>
      <c r="L769" s="285" t="n"/>
      <c r="M769" s="285" t="n"/>
      <c r="N769" s="285" t="n"/>
      <c r="O769" s="285" t="n"/>
      <c r="P769" s="285" t="n"/>
      <c r="Q769" s="285" t="n"/>
      <c r="R769" s="285" t="n"/>
      <c r="S769" s="284" t="n"/>
      <c r="T769" s="284" t="n"/>
      <c r="U769" s="285" t="n"/>
      <c r="V769" s="285" t="n"/>
      <c r="W769" s="285" t="n"/>
      <c r="X769" s="285" t="n"/>
      <c r="Y769" s="285" t="n"/>
      <c r="Z769" s="285" t="n"/>
      <c r="AA769" s="285" t="n"/>
    </row>
    <row r="770" ht="15.75" customHeight="1" s="398">
      <c r="A770" s="284" t="n"/>
      <c r="B770" s="285" t="n"/>
      <c r="C770" s="284" t="n"/>
      <c r="D770" s="284" t="n"/>
      <c r="E770" s="285" t="n"/>
      <c r="F770" s="285" t="n"/>
      <c r="G770" s="336" t="n"/>
      <c r="H770" s="336" t="n"/>
      <c r="I770" s="285" t="n"/>
      <c r="J770" s="285" t="n"/>
      <c r="K770" s="285" t="n"/>
      <c r="L770" s="285" t="n"/>
      <c r="M770" s="285" t="n"/>
      <c r="N770" s="285" t="n"/>
      <c r="O770" s="285" t="n"/>
      <c r="P770" s="285" t="n"/>
      <c r="Q770" s="285" t="n"/>
      <c r="R770" s="285" t="n"/>
      <c r="S770" s="284" t="n"/>
      <c r="T770" s="284" t="n"/>
      <c r="U770" s="285" t="n"/>
      <c r="V770" s="285" t="n"/>
      <c r="W770" s="285" t="n"/>
      <c r="X770" s="285" t="n"/>
      <c r="Y770" s="285" t="n"/>
      <c r="Z770" s="285" t="n"/>
      <c r="AA770" s="285" t="n"/>
    </row>
    <row r="771" ht="15.75" customHeight="1" s="398">
      <c r="A771" s="284" t="n"/>
      <c r="B771" s="285" t="n"/>
      <c r="C771" s="284" t="n"/>
      <c r="D771" s="284" t="n"/>
      <c r="E771" s="285" t="n"/>
      <c r="F771" s="285" t="n"/>
      <c r="G771" s="336" t="n"/>
      <c r="H771" s="336" t="n"/>
      <c r="I771" s="285" t="n"/>
      <c r="J771" s="285" t="n"/>
      <c r="K771" s="285" t="n"/>
      <c r="L771" s="285" t="n"/>
      <c r="M771" s="285" t="n"/>
      <c r="N771" s="285" t="n"/>
      <c r="O771" s="285" t="n"/>
      <c r="P771" s="285" t="n"/>
      <c r="Q771" s="285" t="n"/>
      <c r="R771" s="285" t="n"/>
      <c r="S771" s="284" t="n"/>
      <c r="T771" s="284" t="n"/>
      <c r="U771" s="285" t="n"/>
      <c r="V771" s="285" t="n"/>
      <c r="W771" s="285" t="n"/>
      <c r="X771" s="285" t="n"/>
      <c r="Y771" s="285" t="n"/>
      <c r="Z771" s="285" t="n"/>
      <c r="AA771" s="285" t="n"/>
    </row>
    <row r="772" ht="15.75" customHeight="1" s="398">
      <c r="A772" s="284" t="n"/>
      <c r="B772" s="285" t="n"/>
      <c r="C772" s="284" t="n"/>
      <c r="D772" s="284" t="n"/>
      <c r="E772" s="285" t="n"/>
      <c r="F772" s="285" t="n"/>
      <c r="G772" s="336" t="n"/>
      <c r="H772" s="336" t="n"/>
      <c r="I772" s="285" t="n"/>
      <c r="J772" s="285" t="n"/>
      <c r="K772" s="285" t="n"/>
      <c r="L772" s="285" t="n"/>
      <c r="M772" s="285" t="n"/>
      <c r="N772" s="285" t="n"/>
      <c r="O772" s="285" t="n"/>
      <c r="P772" s="285" t="n"/>
      <c r="Q772" s="285" t="n"/>
      <c r="R772" s="285" t="n"/>
      <c r="S772" s="284" t="n"/>
      <c r="T772" s="284" t="n"/>
      <c r="U772" s="285" t="n"/>
      <c r="V772" s="285" t="n"/>
      <c r="W772" s="285" t="n"/>
      <c r="X772" s="285" t="n"/>
      <c r="Y772" s="285" t="n"/>
      <c r="Z772" s="285" t="n"/>
      <c r="AA772" s="285" t="n"/>
    </row>
    <row r="773" ht="15.75" customHeight="1" s="398">
      <c r="A773" s="284" t="n"/>
      <c r="B773" s="285" t="n"/>
      <c r="C773" s="284" t="n"/>
      <c r="D773" s="284" t="n"/>
      <c r="E773" s="285" t="n"/>
      <c r="F773" s="285" t="n"/>
      <c r="G773" s="336" t="n"/>
      <c r="H773" s="336" t="n"/>
      <c r="I773" s="285" t="n"/>
      <c r="J773" s="285" t="n"/>
      <c r="K773" s="285" t="n"/>
      <c r="L773" s="285" t="n"/>
      <c r="M773" s="285" t="n"/>
      <c r="N773" s="285" t="n"/>
      <c r="O773" s="285" t="n"/>
      <c r="P773" s="285" t="n"/>
      <c r="Q773" s="285" t="n"/>
      <c r="R773" s="285" t="n"/>
      <c r="S773" s="284" t="n"/>
      <c r="T773" s="284" t="n"/>
      <c r="U773" s="285" t="n"/>
      <c r="V773" s="285" t="n"/>
      <c r="W773" s="285" t="n"/>
      <c r="X773" s="285" t="n"/>
      <c r="Y773" s="285" t="n"/>
      <c r="Z773" s="285" t="n"/>
      <c r="AA773" s="285" t="n"/>
    </row>
    <row r="774" ht="15.75" customHeight="1" s="398">
      <c r="A774" s="284" t="n"/>
      <c r="B774" s="285" t="n"/>
      <c r="C774" s="284" t="n"/>
      <c r="D774" s="284" t="n"/>
      <c r="E774" s="285" t="n"/>
      <c r="F774" s="285" t="n"/>
      <c r="G774" s="336" t="n"/>
      <c r="H774" s="336" t="n"/>
      <c r="I774" s="285" t="n"/>
      <c r="J774" s="285" t="n"/>
      <c r="K774" s="285" t="n"/>
      <c r="L774" s="285" t="n"/>
      <c r="M774" s="285" t="n"/>
      <c r="N774" s="285" t="n"/>
      <c r="O774" s="285" t="n"/>
      <c r="P774" s="285" t="n"/>
      <c r="Q774" s="285" t="n"/>
      <c r="R774" s="285" t="n"/>
      <c r="S774" s="284" t="n"/>
      <c r="T774" s="284" t="n"/>
      <c r="U774" s="285" t="n"/>
      <c r="V774" s="285" t="n"/>
      <c r="W774" s="285" t="n"/>
      <c r="X774" s="285" t="n"/>
      <c r="Y774" s="285" t="n"/>
      <c r="Z774" s="285" t="n"/>
      <c r="AA774" s="285" t="n"/>
    </row>
    <row r="775" ht="15.75" customHeight="1" s="398">
      <c r="A775" s="284" t="n"/>
      <c r="B775" s="285" t="n"/>
      <c r="C775" s="284" t="n"/>
      <c r="D775" s="284" t="n"/>
      <c r="E775" s="285" t="n"/>
      <c r="F775" s="285" t="n"/>
      <c r="G775" s="336" t="n"/>
      <c r="H775" s="336" t="n"/>
      <c r="I775" s="285" t="n"/>
      <c r="J775" s="285" t="n"/>
      <c r="K775" s="285" t="n"/>
      <c r="L775" s="285" t="n"/>
      <c r="M775" s="285" t="n"/>
      <c r="N775" s="285" t="n"/>
      <c r="O775" s="285" t="n"/>
      <c r="P775" s="285" t="n"/>
      <c r="Q775" s="285" t="n"/>
      <c r="R775" s="285" t="n"/>
      <c r="S775" s="284" t="n"/>
      <c r="T775" s="284" t="n"/>
      <c r="U775" s="285" t="n"/>
      <c r="V775" s="285" t="n"/>
      <c r="W775" s="285" t="n"/>
      <c r="X775" s="285" t="n"/>
      <c r="Y775" s="285" t="n"/>
      <c r="Z775" s="285" t="n"/>
      <c r="AA775" s="285" t="n"/>
    </row>
    <row r="776" ht="15.75" customHeight="1" s="398">
      <c r="A776" s="284" t="n"/>
      <c r="B776" s="285" t="n"/>
      <c r="C776" s="284" t="n"/>
      <c r="D776" s="284" t="n"/>
      <c r="E776" s="285" t="n"/>
      <c r="F776" s="285" t="n"/>
      <c r="G776" s="336" t="n"/>
      <c r="H776" s="336" t="n"/>
      <c r="I776" s="285" t="n"/>
      <c r="J776" s="285" t="n"/>
      <c r="K776" s="285" t="n"/>
      <c r="L776" s="285" t="n"/>
      <c r="M776" s="285" t="n"/>
      <c r="N776" s="285" t="n"/>
      <c r="O776" s="285" t="n"/>
      <c r="P776" s="285" t="n"/>
      <c r="Q776" s="285" t="n"/>
      <c r="R776" s="285" t="n"/>
      <c r="S776" s="284" t="n"/>
      <c r="T776" s="284" t="n"/>
      <c r="U776" s="285" t="n"/>
      <c r="V776" s="285" t="n"/>
      <c r="W776" s="285" t="n"/>
      <c r="X776" s="285" t="n"/>
      <c r="Y776" s="285" t="n"/>
      <c r="Z776" s="285" t="n"/>
      <c r="AA776" s="285" t="n"/>
    </row>
    <row r="777" ht="15.75" customHeight="1" s="398">
      <c r="A777" s="284" t="n"/>
      <c r="B777" s="285" t="n"/>
      <c r="C777" s="284" t="n"/>
      <c r="D777" s="284" t="n"/>
      <c r="E777" s="285" t="n"/>
      <c r="F777" s="285" t="n"/>
      <c r="G777" s="336" t="n"/>
      <c r="H777" s="336" t="n"/>
      <c r="I777" s="285" t="n"/>
      <c r="J777" s="285" t="n"/>
      <c r="K777" s="285" t="n"/>
      <c r="L777" s="285" t="n"/>
      <c r="M777" s="285" t="n"/>
      <c r="N777" s="285" t="n"/>
      <c r="O777" s="285" t="n"/>
      <c r="P777" s="285" t="n"/>
      <c r="Q777" s="285" t="n"/>
      <c r="R777" s="285" t="n"/>
      <c r="S777" s="284" t="n"/>
      <c r="T777" s="284" t="n"/>
      <c r="U777" s="285" t="n"/>
      <c r="V777" s="285" t="n"/>
      <c r="W777" s="285" t="n"/>
      <c r="X777" s="285" t="n"/>
      <c r="Y777" s="285" t="n"/>
      <c r="Z777" s="285" t="n"/>
      <c r="AA777" s="285" t="n"/>
    </row>
    <row r="778" ht="15.75" customHeight="1" s="398">
      <c r="A778" s="284" t="n"/>
      <c r="B778" s="285" t="n"/>
      <c r="C778" s="284" t="n"/>
      <c r="D778" s="284" t="n"/>
      <c r="E778" s="285" t="n"/>
      <c r="F778" s="285" t="n"/>
      <c r="G778" s="336" t="n"/>
      <c r="H778" s="336" t="n"/>
      <c r="I778" s="285" t="n"/>
      <c r="J778" s="285" t="n"/>
      <c r="K778" s="285" t="n"/>
      <c r="L778" s="285" t="n"/>
      <c r="M778" s="285" t="n"/>
      <c r="N778" s="285" t="n"/>
      <c r="O778" s="285" t="n"/>
      <c r="P778" s="285" t="n"/>
      <c r="Q778" s="285" t="n"/>
      <c r="R778" s="285" t="n"/>
      <c r="S778" s="284" t="n"/>
      <c r="T778" s="284" t="n"/>
      <c r="U778" s="285" t="n"/>
      <c r="V778" s="285" t="n"/>
      <c r="W778" s="285" t="n"/>
      <c r="X778" s="285" t="n"/>
      <c r="Y778" s="285" t="n"/>
      <c r="Z778" s="285" t="n"/>
      <c r="AA778" s="285" t="n"/>
    </row>
    <row r="779" ht="15.75" customHeight="1" s="398">
      <c r="A779" s="284" t="n"/>
      <c r="B779" s="285" t="n"/>
      <c r="C779" s="284" t="n"/>
      <c r="D779" s="284" t="n"/>
      <c r="E779" s="285" t="n"/>
      <c r="F779" s="285" t="n"/>
      <c r="G779" s="336" t="n"/>
      <c r="H779" s="336" t="n"/>
      <c r="I779" s="285" t="n"/>
      <c r="J779" s="285" t="n"/>
      <c r="K779" s="285" t="n"/>
      <c r="L779" s="285" t="n"/>
      <c r="M779" s="285" t="n"/>
      <c r="N779" s="285" t="n"/>
      <c r="O779" s="285" t="n"/>
      <c r="P779" s="285" t="n"/>
      <c r="Q779" s="285" t="n"/>
      <c r="R779" s="285" t="n"/>
      <c r="S779" s="284" t="n"/>
      <c r="T779" s="284" t="n"/>
      <c r="U779" s="285" t="n"/>
      <c r="V779" s="285" t="n"/>
      <c r="W779" s="285" t="n"/>
      <c r="X779" s="285" t="n"/>
      <c r="Y779" s="285" t="n"/>
      <c r="Z779" s="285" t="n"/>
      <c r="AA779" s="285" t="n"/>
    </row>
    <row r="780" ht="15.75" customHeight="1" s="398">
      <c r="A780" s="284" t="n"/>
      <c r="B780" s="285" t="n"/>
      <c r="C780" s="284" t="n"/>
      <c r="D780" s="284" t="n"/>
      <c r="E780" s="285" t="n"/>
      <c r="F780" s="285" t="n"/>
      <c r="G780" s="336" t="n"/>
      <c r="H780" s="336" t="n"/>
      <c r="I780" s="285" t="n"/>
      <c r="J780" s="285" t="n"/>
      <c r="K780" s="285" t="n"/>
      <c r="L780" s="285" t="n"/>
      <c r="M780" s="285" t="n"/>
      <c r="N780" s="285" t="n"/>
      <c r="O780" s="285" t="n"/>
      <c r="P780" s="285" t="n"/>
      <c r="Q780" s="285" t="n"/>
      <c r="R780" s="285" t="n"/>
      <c r="S780" s="284" t="n"/>
      <c r="T780" s="284" t="n"/>
      <c r="U780" s="285" t="n"/>
      <c r="V780" s="285" t="n"/>
      <c r="W780" s="285" t="n"/>
      <c r="X780" s="285" t="n"/>
      <c r="Y780" s="285" t="n"/>
      <c r="Z780" s="285" t="n"/>
      <c r="AA780" s="285" t="n"/>
    </row>
    <row r="781" ht="15.75" customHeight="1" s="398">
      <c r="A781" s="284" t="n"/>
      <c r="B781" s="285" t="n"/>
      <c r="C781" s="284" t="n"/>
      <c r="D781" s="284" t="n"/>
      <c r="E781" s="285" t="n"/>
      <c r="F781" s="285" t="n"/>
      <c r="G781" s="336" t="n"/>
      <c r="H781" s="336" t="n"/>
      <c r="I781" s="285" t="n"/>
      <c r="J781" s="285" t="n"/>
      <c r="K781" s="285" t="n"/>
      <c r="L781" s="285" t="n"/>
      <c r="M781" s="285" t="n"/>
      <c r="N781" s="285" t="n"/>
      <c r="O781" s="285" t="n"/>
      <c r="P781" s="285" t="n"/>
      <c r="Q781" s="285" t="n"/>
      <c r="R781" s="285" t="n"/>
      <c r="S781" s="284" t="n"/>
      <c r="T781" s="284" t="n"/>
      <c r="U781" s="285" t="n"/>
      <c r="V781" s="285" t="n"/>
      <c r="W781" s="285" t="n"/>
      <c r="X781" s="285" t="n"/>
      <c r="Y781" s="285" t="n"/>
      <c r="Z781" s="285" t="n"/>
      <c r="AA781" s="285" t="n"/>
    </row>
    <row r="782" ht="15.75" customHeight="1" s="398">
      <c r="A782" s="284" t="n"/>
      <c r="B782" s="285" t="n"/>
      <c r="C782" s="284" t="n"/>
      <c r="D782" s="284" t="n"/>
      <c r="E782" s="285" t="n"/>
      <c r="F782" s="285" t="n"/>
      <c r="G782" s="336" t="n"/>
      <c r="H782" s="336" t="n"/>
      <c r="I782" s="285" t="n"/>
      <c r="J782" s="285" t="n"/>
      <c r="K782" s="285" t="n"/>
      <c r="L782" s="285" t="n"/>
      <c r="M782" s="285" t="n"/>
      <c r="N782" s="285" t="n"/>
      <c r="O782" s="285" t="n"/>
      <c r="P782" s="285" t="n"/>
      <c r="Q782" s="285" t="n"/>
      <c r="R782" s="285" t="n"/>
      <c r="S782" s="284" t="n"/>
      <c r="T782" s="284" t="n"/>
      <c r="U782" s="285" t="n"/>
      <c r="V782" s="285" t="n"/>
      <c r="W782" s="285" t="n"/>
      <c r="X782" s="285" t="n"/>
      <c r="Y782" s="285" t="n"/>
      <c r="Z782" s="285" t="n"/>
      <c r="AA782" s="285" t="n"/>
    </row>
    <row r="783" ht="15.75" customHeight="1" s="398">
      <c r="A783" s="284" t="n"/>
      <c r="B783" s="285" t="n"/>
      <c r="C783" s="284" t="n"/>
      <c r="D783" s="284" t="n"/>
      <c r="E783" s="285" t="n"/>
      <c r="F783" s="285" t="n"/>
      <c r="G783" s="336" t="n"/>
      <c r="H783" s="336" t="n"/>
      <c r="I783" s="285" t="n"/>
      <c r="J783" s="285" t="n"/>
      <c r="K783" s="285" t="n"/>
      <c r="L783" s="285" t="n"/>
      <c r="M783" s="285" t="n"/>
      <c r="N783" s="285" t="n"/>
      <c r="O783" s="285" t="n"/>
      <c r="P783" s="285" t="n"/>
      <c r="Q783" s="285" t="n"/>
      <c r="R783" s="285" t="n"/>
      <c r="S783" s="284" t="n"/>
      <c r="T783" s="284" t="n"/>
      <c r="U783" s="285" t="n"/>
      <c r="V783" s="285" t="n"/>
      <c r="W783" s="285" t="n"/>
      <c r="X783" s="285" t="n"/>
      <c r="Y783" s="285" t="n"/>
      <c r="Z783" s="285" t="n"/>
      <c r="AA783" s="285" t="n"/>
    </row>
    <row r="784" ht="15.75" customHeight="1" s="398">
      <c r="A784" s="284" t="n"/>
      <c r="B784" s="285" t="n"/>
      <c r="C784" s="284" t="n"/>
      <c r="D784" s="284" t="n"/>
      <c r="E784" s="285" t="n"/>
      <c r="F784" s="285" t="n"/>
      <c r="G784" s="336" t="n"/>
      <c r="H784" s="336" t="n"/>
      <c r="I784" s="285" t="n"/>
      <c r="J784" s="285" t="n"/>
      <c r="K784" s="285" t="n"/>
      <c r="L784" s="285" t="n"/>
      <c r="M784" s="285" t="n"/>
      <c r="N784" s="285" t="n"/>
      <c r="O784" s="285" t="n"/>
      <c r="P784" s="285" t="n"/>
      <c r="Q784" s="285" t="n"/>
      <c r="R784" s="285" t="n"/>
      <c r="S784" s="284" t="n"/>
      <c r="T784" s="284" t="n"/>
      <c r="U784" s="285" t="n"/>
      <c r="V784" s="285" t="n"/>
      <c r="W784" s="285" t="n"/>
      <c r="X784" s="285" t="n"/>
      <c r="Y784" s="285" t="n"/>
      <c r="Z784" s="285" t="n"/>
      <c r="AA784" s="285" t="n"/>
    </row>
    <row r="785" ht="15.75" customHeight="1" s="398">
      <c r="A785" s="284" t="n"/>
      <c r="B785" s="285" t="n"/>
      <c r="C785" s="284" t="n"/>
      <c r="D785" s="284" t="n"/>
      <c r="E785" s="285" t="n"/>
      <c r="F785" s="285" t="n"/>
      <c r="G785" s="336" t="n"/>
      <c r="H785" s="336" t="n"/>
      <c r="I785" s="285" t="n"/>
      <c r="J785" s="285" t="n"/>
      <c r="K785" s="285" t="n"/>
      <c r="L785" s="285" t="n"/>
      <c r="M785" s="285" t="n"/>
      <c r="N785" s="285" t="n"/>
      <c r="O785" s="285" t="n"/>
      <c r="P785" s="285" t="n"/>
      <c r="Q785" s="285" t="n"/>
      <c r="R785" s="285" t="n"/>
      <c r="S785" s="284" t="n"/>
      <c r="T785" s="284" t="n"/>
      <c r="U785" s="285" t="n"/>
      <c r="V785" s="285" t="n"/>
      <c r="W785" s="285" t="n"/>
      <c r="X785" s="285" t="n"/>
      <c r="Y785" s="285" t="n"/>
      <c r="Z785" s="285" t="n"/>
      <c r="AA785" s="285" t="n"/>
    </row>
    <row r="786" ht="15.75" customHeight="1" s="398">
      <c r="A786" s="284" t="n"/>
      <c r="B786" s="285" t="n"/>
      <c r="C786" s="284" t="n"/>
      <c r="D786" s="284" t="n"/>
      <c r="E786" s="285" t="n"/>
      <c r="F786" s="285" t="n"/>
      <c r="G786" s="336" t="n"/>
      <c r="H786" s="336" t="n"/>
      <c r="I786" s="285" t="n"/>
      <c r="J786" s="285" t="n"/>
      <c r="K786" s="285" t="n"/>
      <c r="L786" s="285" t="n"/>
      <c r="M786" s="285" t="n"/>
      <c r="N786" s="285" t="n"/>
      <c r="O786" s="285" t="n"/>
      <c r="P786" s="285" t="n"/>
      <c r="Q786" s="285" t="n"/>
      <c r="R786" s="285" t="n"/>
      <c r="S786" s="284" t="n"/>
      <c r="T786" s="284" t="n"/>
      <c r="U786" s="285" t="n"/>
      <c r="V786" s="285" t="n"/>
      <c r="W786" s="285" t="n"/>
      <c r="X786" s="285" t="n"/>
      <c r="Y786" s="285" t="n"/>
      <c r="Z786" s="285" t="n"/>
      <c r="AA786" s="285" t="n"/>
    </row>
    <row r="787" ht="15.75" customHeight="1" s="398">
      <c r="A787" s="284" t="n"/>
      <c r="B787" s="285" t="n"/>
      <c r="C787" s="284" t="n"/>
      <c r="D787" s="284" t="n"/>
      <c r="E787" s="285" t="n"/>
      <c r="F787" s="285" t="n"/>
      <c r="G787" s="336" t="n"/>
      <c r="H787" s="336" t="n"/>
      <c r="I787" s="285" t="n"/>
      <c r="J787" s="285" t="n"/>
      <c r="K787" s="285" t="n"/>
      <c r="L787" s="285" t="n"/>
      <c r="M787" s="285" t="n"/>
      <c r="N787" s="285" t="n"/>
      <c r="O787" s="285" t="n"/>
      <c r="P787" s="285" t="n"/>
      <c r="Q787" s="285" t="n"/>
      <c r="R787" s="285" t="n"/>
      <c r="S787" s="284" t="n"/>
      <c r="T787" s="284" t="n"/>
      <c r="U787" s="285" t="n"/>
      <c r="V787" s="285" t="n"/>
      <c r="W787" s="285" t="n"/>
      <c r="X787" s="285" t="n"/>
      <c r="Y787" s="285" t="n"/>
      <c r="Z787" s="285" t="n"/>
      <c r="AA787" s="285" t="n"/>
    </row>
    <row r="788" ht="15.75" customHeight="1" s="398">
      <c r="A788" s="284" t="n"/>
      <c r="B788" s="285" t="n"/>
      <c r="C788" s="284" t="n"/>
      <c r="D788" s="284" t="n"/>
      <c r="E788" s="285" t="n"/>
      <c r="F788" s="285" t="n"/>
      <c r="G788" s="336" t="n"/>
      <c r="H788" s="336" t="n"/>
      <c r="I788" s="285" t="n"/>
      <c r="J788" s="285" t="n"/>
      <c r="K788" s="285" t="n"/>
      <c r="L788" s="285" t="n"/>
      <c r="M788" s="285" t="n"/>
      <c r="N788" s="285" t="n"/>
      <c r="O788" s="285" t="n"/>
      <c r="P788" s="285" t="n"/>
      <c r="Q788" s="285" t="n"/>
      <c r="R788" s="285" t="n"/>
      <c r="S788" s="284" t="n"/>
      <c r="T788" s="284" t="n"/>
      <c r="U788" s="285" t="n"/>
      <c r="V788" s="285" t="n"/>
      <c r="W788" s="285" t="n"/>
      <c r="X788" s="285" t="n"/>
      <c r="Y788" s="285" t="n"/>
      <c r="Z788" s="285" t="n"/>
      <c r="AA788" s="285" t="n"/>
    </row>
    <row r="789" ht="15.75" customHeight="1" s="398">
      <c r="A789" s="284" t="n"/>
      <c r="B789" s="285" t="n"/>
      <c r="C789" s="284" t="n"/>
      <c r="D789" s="284" t="n"/>
      <c r="E789" s="285" t="n"/>
      <c r="F789" s="285" t="n"/>
      <c r="G789" s="336" t="n"/>
      <c r="H789" s="336" t="n"/>
      <c r="I789" s="285" t="n"/>
      <c r="J789" s="285" t="n"/>
      <c r="K789" s="285" t="n"/>
      <c r="L789" s="285" t="n"/>
      <c r="M789" s="285" t="n"/>
      <c r="N789" s="285" t="n"/>
      <c r="O789" s="285" t="n"/>
      <c r="P789" s="285" t="n"/>
      <c r="Q789" s="285" t="n"/>
      <c r="R789" s="285" t="n"/>
      <c r="S789" s="284" t="n"/>
      <c r="T789" s="284" t="n"/>
      <c r="U789" s="285" t="n"/>
      <c r="V789" s="285" t="n"/>
      <c r="W789" s="285" t="n"/>
      <c r="X789" s="285" t="n"/>
      <c r="Y789" s="285" t="n"/>
      <c r="Z789" s="285" t="n"/>
      <c r="AA789" s="285" t="n"/>
    </row>
    <row r="790" ht="15.75" customHeight="1" s="398">
      <c r="A790" s="284" t="n"/>
      <c r="B790" s="285" t="n"/>
      <c r="C790" s="284" t="n"/>
      <c r="D790" s="284" t="n"/>
      <c r="E790" s="285" t="n"/>
      <c r="F790" s="285" t="n"/>
      <c r="G790" s="336" t="n"/>
      <c r="H790" s="336" t="n"/>
      <c r="I790" s="285" t="n"/>
      <c r="J790" s="285" t="n"/>
      <c r="K790" s="285" t="n"/>
      <c r="L790" s="285" t="n"/>
      <c r="M790" s="285" t="n"/>
      <c r="N790" s="285" t="n"/>
      <c r="O790" s="285" t="n"/>
      <c r="P790" s="285" t="n"/>
      <c r="Q790" s="285" t="n"/>
      <c r="R790" s="285" t="n"/>
      <c r="S790" s="284" t="n"/>
      <c r="T790" s="284" t="n"/>
      <c r="U790" s="285" t="n"/>
      <c r="V790" s="285" t="n"/>
      <c r="W790" s="285" t="n"/>
      <c r="X790" s="285" t="n"/>
      <c r="Y790" s="285" t="n"/>
      <c r="Z790" s="285" t="n"/>
      <c r="AA790" s="285" t="n"/>
    </row>
    <row r="791" ht="15.75" customHeight="1" s="398">
      <c r="A791" s="284" t="n"/>
      <c r="B791" s="285" t="n"/>
      <c r="C791" s="284" t="n"/>
      <c r="D791" s="284" t="n"/>
      <c r="E791" s="285" t="n"/>
      <c r="F791" s="285" t="n"/>
      <c r="G791" s="336" t="n"/>
      <c r="H791" s="336" t="n"/>
      <c r="I791" s="285" t="n"/>
      <c r="J791" s="285" t="n"/>
      <c r="K791" s="285" t="n"/>
      <c r="L791" s="285" t="n"/>
      <c r="M791" s="285" t="n"/>
      <c r="N791" s="285" t="n"/>
      <c r="O791" s="285" t="n"/>
      <c r="P791" s="285" t="n"/>
      <c r="Q791" s="285" t="n"/>
      <c r="R791" s="285" t="n"/>
      <c r="S791" s="284" t="n"/>
      <c r="T791" s="284" t="n"/>
      <c r="U791" s="285" t="n"/>
      <c r="V791" s="285" t="n"/>
      <c r="W791" s="285" t="n"/>
      <c r="X791" s="285" t="n"/>
      <c r="Y791" s="285" t="n"/>
      <c r="Z791" s="285" t="n"/>
      <c r="AA791" s="285" t="n"/>
    </row>
    <row r="792" ht="15.75" customHeight="1" s="398">
      <c r="A792" s="284" t="n"/>
      <c r="B792" s="285" t="n"/>
      <c r="C792" s="284" t="n"/>
      <c r="D792" s="284" t="n"/>
      <c r="E792" s="285" t="n"/>
      <c r="F792" s="285" t="n"/>
      <c r="G792" s="336" t="n"/>
      <c r="H792" s="336" t="n"/>
      <c r="I792" s="285" t="n"/>
      <c r="J792" s="285" t="n"/>
      <c r="K792" s="285" t="n"/>
      <c r="L792" s="285" t="n"/>
      <c r="M792" s="285" t="n"/>
      <c r="N792" s="285" t="n"/>
      <c r="O792" s="285" t="n"/>
      <c r="P792" s="285" t="n"/>
      <c r="Q792" s="285" t="n"/>
      <c r="R792" s="285" t="n"/>
      <c r="S792" s="284" t="n"/>
      <c r="T792" s="284" t="n"/>
      <c r="U792" s="285" t="n"/>
      <c r="V792" s="285" t="n"/>
      <c r="W792" s="285" t="n"/>
      <c r="X792" s="285" t="n"/>
      <c r="Y792" s="285" t="n"/>
      <c r="Z792" s="285" t="n"/>
      <c r="AA792" s="285" t="n"/>
    </row>
    <row r="793" ht="15.75" customHeight="1" s="398">
      <c r="A793" s="284" t="n"/>
      <c r="B793" s="285" t="n"/>
      <c r="C793" s="284" t="n"/>
      <c r="D793" s="284" t="n"/>
      <c r="E793" s="285" t="n"/>
      <c r="F793" s="285" t="n"/>
      <c r="G793" s="336" t="n"/>
      <c r="H793" s="336" t="n"/>
      <c r="I793" s="285" t="n"/>
      <c r="J793" s="285" t="n"/>
      <c r="K793" s="285" t="n"/>
      <c r="L793" s="285" t="n"/>
      <c r="M793" s="285" t="n"/>
      <c r="N793" s="285" t="n"/>
      <c r="O793" s="285" t="n"/>
      <c r="P793" s="285" t="n"/>
      <c r="Q793" s="285" t="n"/>
      <c r="R793" s="285" t="n"/>
      <c r="S793" s="284" t="n"/>
      <c r="T793" s="284" t="n"/>
      <c r="U793" s="285" t="n"/>
      <c r="V793" s="285" t="n"/>
      <c r="W793" s="285" t="n"/>
      <c r="X793" s="285" t="n"/>
      <c r="Y793" s="285" t="n"/>
      <c r="Z793" s="285" t="n"/>
      <c r="AA793" s="285" t="n"/>
    </row>
    <row r="794" ht="15.75" customHeight="1" s="398">
      <c r="A794" s="284" t="n"/>
      <c r="B794" s="285" t="n"/>
      <c r="C794" s="284" t="n"/>
      <c r="D794" s="284" t="n"/>
      <c r="E794" s="285" t="n"/>
      <c r="F794" s="285" t="n"/>
      <c r="G794" s="336" t="n"/>
      <c r="H794" s="336" t="n"/>
      <c r="I794" s="285" t="n"/>
      <c r="J794" s="285" t="n"/>
      <c r="K794" s="285" t="n"/>
      <c r="L794" s="285" t="n"/>
      <c r="M794" s="285" t="n"/>
      <c r="N794" s="285" t="n"/>
      <c r="O794" s="285" t="n"/>
      <c r="P794" s="285" t="n"/>
      <c r="Q794" s="285" t="n"/>
      <c r="R794" s="285" t="n"/>
      <c r="S794" s="284" t="n"/>
      <c r="T794" s="284" t="n"/>
      <c r="U794" s="285" t="n"/>
      <c r="V794" s="285" t="n"/>
      <c r="W794" s="285" t="n"/>
      <c r="X794" s="285" t="n"/>
      <c r="Y794" s="285" t="n"/>
      <c r="Z794" s="285" t="n"/>
      <c r="AA794" s="285" t="n"/>
    </row>
    <row r="795" ht="15.75" customHeight="1" s="398">
      <c r="A795" s="284" t="n"/>
      <c r="B795" s="285" t="n"/>
      <c r="C795" s="284" t="n"/>
      <c r="D795" s="284" t="n"/>
      <c r="E795" s="285" t="n"/>
      <c r="F795" s="285" t="n"/>
      <c r="G795" s="336" t="n"/>
      <c r="H795" s="336" t="n"/>
      <c r="I795" s="285" t="n"/>
      <c r="J795" s="285" t="n"/>
      <c r="K795" s="285" t="n"/>
      <c r="L795" s="285" t="n"/>
      <c r="M795" s="285" t="n"/>
      <c r="N795" s="285" t="n"/>
      <c r="O795" s="285" t="n"/>
      <c r="P795" s="285" t="n"/>
      <c r="Q795" s="285" t="n"/>
      <c r="R795" s="285" t="n"/>
      <c r="S795" s="284" t="n"/>
      <c r="T795" s="284" t="n"/>
      <c r="U795" s="285" t="n"/>
      <c r="V795" s="285" t="n"/>
      <c r="W795" s="285" t="n"/>
      <c r="X795" s="285" t="n"/>
      <c r="Y795" s="285" t="n"/>
      <c r="Z795" s="285" t="n"/>
      <c r="AA795" s="285" t="n"/>
    </row>
    <row r="796" ht="15.75" customHeight="1" s="398">
      <c r="A796" s="284" t="n"/>
      <c r="B796" s="285" t="n"/>
      <c r="C796" s="284" t="n"/>
      <c r="D796" s="284" t="n"/>
      <c r="E796" s="285" t="n"/>
      <c r="F796" s="285" t="n"/>
      <c r="G796" s="336" t="n"/>
      <c r="H796" s="336" t="n"/>
      <c r="I796" s="285" t="n"/>
      <c r="J796" s="285" t="n"/>
      <c r="K796" s="285" t="n"/>
      <c r="L796" s="285" t="n"/>
      <c r="M796" s="285" t="n"/>
      <c r="N796" s="285" t="n"/>
      <c r="O796" s="285" t="n"/>
      <c r="P796" s="285" t="n"/>
      <c r="Q796" s="285" t="n"/>
      <c r="R796" s="285" t="n"/>
      <c r="S796" s="284" t="n"/>
      <c r="T796" s="284" t="n"/>
      <c r="U796" s="285" t="n"/>
      <c r="V796" s="285" t="n"/>
      <c r="W796" s="285" t="n"/>
      <c r="X796" s="285" t="n"/>
      <c r="Y796" s="285" t="n"/>
      <c r="Z796" s="285" t="n"/>
      <c r="AA796" s="285" t="n"/>
    </row>
    <row r="797" ht="15.75" customHeight="1" s="398">
      <c r="A797" s="284" t="n"/>
      <c r="B797" s="285" t="n"/>
      <c r="C797" s="284" t="n"/>
      <c r="D797" s="284" t="n"/>
      <c r="E797" s="285" t="n"/>
      <c r="F797" s="285" t="n"/>
      <c r="G797" s="336" t="n"/>
      <c r="H797" s="336" t="n"/>
      <c r="I797" s="285" t="n"/>
      <c r="J797" s="285" t="n"/>
      <c r="K797" s="285" t="n"/>
      <c r="L797" s="285" t="n"/>
      <c r="M797" s="285" t="n"/>
      <c r="N797" s="285" t="n"/>
      <c r="O797" s="285" t="n"/>
      <c r="P797" s="285" t="n"/>
      <c r="Q797" s="285" t="n"/>
      <c r="R797" s="285" t="n"/>
      <c r="S797" s="284" t="n"/>
      <c r="T797" s="284" t="n"/>
      <c r="U797" s="285" t="n"/>
      <c r="V797" s="285" t="n"/>
      <c r="W797" s="285" t="n"/>
      <c r="X797" s="285" t="n"/>
      <c r="Y797" s="285" t="n"/>
      <c r="Z797" s="285" t="n"/>
      <c r="AA797" s="285" t="n"/>
    </row>
    <row r="798" ht="15.75" customHeight="1" s="398">
      <c r="A798" s="284" t="n"/>
      <c r="B798" s="285" t="n"/>
      <c r="C798" s="284" t="n"/>
      <c r="D798" s="284" t="n"/>
      <c r="E798" s="285" t="n"/>
      <c r="F798" s="285" t="n"/>
      <c r="G798" s="336" t="n"/>
      <c r="H798" s="336" t="n"/>
      <c r="I798" s="285" t="n"/>
      <c r="J798" s="285" t="n"/>
      <c r="K798" s="285" t="n"/>
      <c r="L798" s="285" t="n"/>
      <c r="M798" s="285" t="n"/>
      <c r="N798" s="285" t="n"/>
      <c r="O798" s="285" t="n"/>
      <c r="P798" s="285" t="n"/>
      <c r="Q798" s="285" t="n"/>
      <c r="R798" s="285" t="n"/>
      <c r="S798" s="284" t="n"/>
      <c r="T798" s="284" t="n"/>
      <c r="U798" s="285" t="n"/>
      <c r="V798" s="285" t="n"/>
      <c r="W798" s="285" t="n"/>
      <c r="X798" s="285" t="n"/>
      <c r="Y798" s="285" t="n"/>
      <c r="Z798" s="285" t="n"/>
      <c r="AA798" s="285" t="n"/>
    </row>
    <row r="799" ht="15.75" customHeight="1" s="398">
      <c r="A799" s="284" t="n"/>
      <c r="B799" s="285" t="n"/>
      <c r="C799" s="284" t="n"/>
      <c r="D799" s="284" t="n"/>
      <c r="E799" s="285" t="n"/>
      <c r="F799" s="285" t="n"/>
      <c r="G799" s="336" t="n"/>
      <c r="H799" s="336" t="n"/>
      <c r="I799" s="285" t="n"/>
      <c r="J799" s="285" t="n"/>
      <c r="K799" s="285" t="n"/>
      <c r="L799" s="285" t="n"/>
      <c r="M799" s="285" t="n"/>
      <c r="N799" s="285" t="n"/>
      <c r="O799" s="285" t="n"/>
      <c r="P799" s="285" t="n"/>
      <c r="Q799" s="285" t="n"/>
      <c r="R799" s="285" t="n"/>
      <c r="S799" s="284" t="n"/>
      <c r="T799" s="284" t="n"/>
      <c r="U799" s="285" t="n"/>
      <c r="V799" s="285" t="n"/>
      <c r="W799" s="285" t="n"/>
      <c r="X799" s="285" t="n"/>
      <c r="Y799" s="285" t="n"/>
      <c r="Z799" s="285" t="n"/>
      <c r="AA799" s="285" t="n"/>
    </row>
    <row r="800" ht="15.75" customHeight="1" s="398">
      <c r="A800" s="284" t="n"/>
      <c r="B800" s="285" t="n"/>
      <c r="C800" s="284" t="n"/>
      <c r="D800" s="284" t="n"/>
      <c r="E800" s="285" t="n"/>
      <c r="F800" s="285" t="n"/>
      <c r="G800" s="336" t="n"/>
      <c r="H800" s="336" t="n"/>
      <c r="I800" s="285" t="n"/>
      <c r="J800" s="285" t="n"/>
      <c r="K800" s="285" t="n"/>
      <c r="L800" s="285" t="n"/>
      <c r="M800" s="285" t="n"/>
      <c r="N800" s="285" t="n"/>
      <c r="O800" s="285" t="n"/>
      <c r="P800" s="285" t="n"/>
      <c r="Q800" s="285" t="n"/>
      <c r="R800" s="285" t="n"/>
      <c r="S800" s="284" t="n"/>
      <c r="T800" s="284" t="n"/>
      <c r="U800" s="285" t="n"/>
      <c r="V800" s="285" t="n"/>
      <c r="W800" s="285" t="n"/>
      <c r="X800" s="285" t="n"/>
      <c r="Y800" s="285" t="n"/>
      <c r="Z800" s="285" t="n"/>
      <c r="AA800" s="285" t="n"/>
    </row>
    <row r="801" ht="15.75" customHeight="1" s="398">
      <c r="A801" s="284" t="n"/>
      <c r="B801" s="285" t="n"/>
      <c r="C801" s="284" t="n"/>
      <c r="D801" s="284" t="n"/>
      <c r="E801" s="285" t="n"/>
      <c r="F801" s="285" t="n"/>
      <c r="G801" s="336" t="n"/>
      <c r="H801" s="336" t="n"/>
      <c r="I801" s="285" t="n"/>
      <c r="J801" s="285" t="n"/>
      <c r="K801" s="285" t="n"/>
      <c r="L801" s="285" t="n"/>
      <c r="M801" s="285" t="n"/>
      <c r="N801" s="285" t="n"/>
      <c r="O801" s="285" t="n"/>
      <c r="P801" s="285" t="n"/>
      <c r="Q801" s="285" t="n"/>
      <c r="R801" s="285" t="n"/>
      <c r="S801" s="284" t="n"/>
      <c r="T801" s="284" t="n"/>
      <c r="U801" s="285" t="n"/>
      <c r="V801" s="285" t="n"/>
      <c r="W801" s="285" t="n"/>
      <c r="X801" s="285" t="n"/>
      <c r="Y801" s="285" t="n"/>
      <c r="Z801" s="285" t="n"/>
      <c r="AA801" s="285" t="n"/>
    </row>
    <row r="802" ht="15.75" customHeight="1" s="398">
      <c r="A802" s="284" t="n"/>
      <c r="B802" s="285" t="n"/>
      <c r="C802" s="284" t="n"/>
      <c r="D802" s="284" t="n"/>
      <c r="E802" s="285" t="n"/>
      <c r="F802" s="285" t="n"/>
      <c r="G802" s="336" t="n"/>
      <c r="H802" s="336" t="n"/>
      <c r="I802" s="285" t="n"/>
      <c r="J802" s="285" t="n"/>
      <c r="K802" s="285" t="n"/>
      <c r="L802" s="285" t="n"/>
      <c r="M802" s="285" t="n"/>
      <c r="N802" s="285" t="n"/>
      <c r="O802" s="285" t="n"/>
      <c r="P802" s="285" t="n"/>
      <c r="Q802" s="285" t="n"/>
      <c r="R802" s="285" t="n"/>
      <c r="S802" s="284" t="n"/>
      <c r="T802" s="284" t="n"/>
      <c r="U802" s="285" t="n"/>
      <c r="V802" s="285" t="n"/>
      <c r="W802" s="285" t="n"/>
      <c r="X802" s="285" t="n"/>
      <c r="Y802" s="285" t="n"/>
      <c r="Z802" s="285" t="n"/>
      <c r="AA802" s="285" t="n"/>
    </row>
    <row r="803" ht="15.75" customHeight="1" s="398">
      <c r="A803" s="284" t="n"/>
      <c r="B803" s="285" t="n"/>
      <c r="C803" s="284" t="n"/>
      <c r="D803" s="284" t="n"/>
      <c r="E803" s="285" t="n"/>
      <c r="F803" s="285" t="n"/>
      <c r="G803" s="336" t="n"/>
      <c r="H803" s="336" t="n"/>
      <c r="I803" s="285" t="n"/>
      <c r="J803" s="285" t="n"/>
      <c r="K803" s="285" t="n"/>
      <c r="L803" s="285" t="n"/>
      <c r="M803" s="285" t="n"/>
      <c r="N803" s="285" t="n"/>
      <c r="O803" s="285" t="n"/>
      <c r="P803" s="285" t="n"/>
      <c r="Q803" s="285" t="n"/>
      <c r="R803" s="285" t="n"/>
      <c r="S803" s="284" t="n"/>
      <c r="T803" s="284" t="n"/>
      <c r="U803" s="285" t="n"/>
      <c r="V803" s="285" t="n"/>
      <c r="W803" s="285" t="n"/>
      <c r="X803" s="285" t="n"/>
      <c r="Y803" s="285" t="n"/>
      <c r="Z803" s="285" t="n"/>
      <c r="AA803" s="285" t="n"/>
    </row>
    <row r="804" ht="15.75" customHeight="1" s="398">
      <c r="A804" s="284" t="n"/>
      <c r="B804" s="285" t="n"/>
      <c r="C804" s="284" t="n"/>
      <c r="D804" s="284" t="n"/>
      <c r="E804" s="285" t="n"/>
      <c r="F804" s="285" t="n"/>
      <c r="G804" s="336" t="n"/>
      <c r="H804" s="336" t="n"/>
      <c r="I804" s="285" t="n"/>
      <c r="J804" s="285" t="n"/>
      <c r="K804" s="285" t="n"/>
      <c r="L804" s="285" t="n"/>
      <c r="M804" s="285" t="n"/>
      <c r="N804" s="285" t="n"/>
      <c r="O804" s="285" t="n"/>
      <c r="P804" s="285" t="n"/>
      <c r="Q804" s="285" t="n"/>
      <c r="R804" s="285" t="n"/>
      <c r="S804" s="284" t="n"/>
      <c r="T804" s="284" t="n"/>
      <c r="U804" s="285" t="n"/>
      <c r="V804" s="285" t="n"/>
      <c r="W804" s="285" t="n"/>
      <c r="X804" s="285" t="n"/>
      <c r="Y804" s="285" t="n"/>
      <c r="Z804" s="285" t="n"/>
      <c r="AA804" s="285" t="n"/>
    </row>
    <row r="805" ht="15.75" customHeight="1" s="398">
      <c r="A805" s="284" t="n"/>
      <c r="B805" s="285" t="n"/>
      <c r="C805" s="284" t="n"/>
      <c r="D805" s="284" t="n"/>
      <c r="E805" s="285" t="n"/>
      <c r="F805" s="285" t="n"/>
      <c r="G805" s="336" t="n"/>
      <c r="H805" s="336" t="n"/>
      <c r="I805" s="285" t="n"/>
      <c r="J805" s="285" t="n"/>
      <c r="K805" s="285" t="n"/>
      <c r="L805" s="285" t="n"/>
      <c r="M805" s="285" t="n"/>
      <c r="N805" s="285" t="n"/>
      <c r="O805" s="285" t="n"/>
      <c r="P805" s="285" t="n"/>
      <c r="Q805" s="285" t="n"/>
      <c r="R805" s="285" t="n"/>
      <c r="S805" s="284" t="n"/>
      <c r="T805" s="284" t="n"/>
      <c r="U805" s="285" t="n"/>
      <c r="V805" s="285" t="n"/>
      <c r="W805" s="285" t="n"/>
      <c r="X805" s="285" t="n"/>
      <c r="Y805" s="285" t="n"/>
      <c r="Z805" s="285" t="n"/>
      <c r="AA805" s="285" t="n"/>
    </row>
    <row r="806" ht="15.75" customHeight="1" s="398">
      <c r="A806" s="284" t="n"/>
      <c r="B806" s="285" t="n"/>
      <c r="C806" s="284" t="n"/>
      <c r="D806" s="284" t="n"/>
      <c r="E806" s="285" t="n"/>
      <c r="F806" s="285" t="n"/>
      <c r="G806" s="336" t="n"/>
      <c r="H806" s="336" t="n"/>
      <c r="I806" s="285" t="n"/>
      <c r="J806" s="285" t="n"/>
      <c r="K806" s="285" t="n"/>
      <c r="L806" s="285" t="n"/>
      <c r="M806" s="285" t="n"/>
      <c r="N806" s="285" t="n"/>
      <c r="O806" s="285" t="n"/>
      <c r="P806" s="285" t="n"/>
      <c r="Q806" s="285" t="n"/>
      <c r="R806" s="285" t="n"/>
      <c r="S806" s="284" t="n"/>
      <c r="T806" s="284" t="n"/>
      <c r="U806" s="285" t="n"/>
      <c r="V806" s="285" t="n"/>
      <c r="W806" s="285" t="n"/>
      <c r="X806" s="285" t="n"/>
      <c r="Y806" s="285" t="n"/>
      <c r="Z806" s="285" t="n"/>
      <c r="AA806" s="285" t="n"/>
    </row>
    <row r="807" ht="15.75" customHeight="1" s="398">
      <c r="A807" s="284" t="n"/>
      <c r="B807" s="285" t="n"/>
      <c r="C807" s="284" t="n"/>
      <c r="D807" s="284" t="n"/>
      <c r="E807" s="285" t="n"/>
      <c r="F807" s="285" t="n"/>
      <c r="G807" s="336" t="n"/>
      <c r="H807" s="336" t="n"/>
      <c r="I807" s="285" t="n"/>
      <c r="J807" s="285" t="n"/>
      <c r="K807" s="285" t="n"/>
      <c r="L807" s="285" t="n"/>
      <c r="M807" s="285" t="n"/>
      <c r="N807" s="285" t="n"/>
      <c r="O807" s="285" t="n"/>
      <c r="P807" s="285" t="n"/>
      <c r="Q807" s="285" t="n"/>
      <c r="R807" s="285" t="n"/>
      <c r="S807" s="284" t="n"/>
      <c r="T807" s="284" t="n"/>
      <c r="U807" s="285" t="n"/>
      <c r="V807" s="285" t="n"/>
      <c r="W807" s="285" t="n"/>
      <c r="X807" s="285" t="n"/>
      <c r="Y807" s="285" t="n"/>
      <c r="Z807" s="285" t="n"/>
      <c r="AA807" s="285" t="n"/>
    </row>
    <row r="808" ht="15.75" customHeight="1" s="398">
      <c r="A808" s="284" t="n"/>
      <c r="B808" s="285" t="n"/>
      <c r="C808" s="284" t="n"/>
      <c r="D808" s="284" t="n"/>
      <c r="E808" s="285" t="n"/>
      <c r="F808" s="285" t="n"/>
      <c r="G808" s="336" t="n"/>
      <c r="H808" s="336" t="n"/>
      <c r="I808" s="285" t="n"/>
      <c r="J808" s="285" t="n"/>
      <c r="K808" s="285" t="n"/>
      <c r="L808" s="285" t="n"/>
      <c r="M808" s="285" t="n"/>
      <c r="N808" s="285" t="n"/>
      <c r="O808" s="285" t="n"/>
      <c r="P808" s="285" t="n"/>
      <c r="Q808" s="285" t="n"/>
      <c r="R808" s="285" t="n"/>
      <c r="S808" s="284" t="n"/>
      <c r="T808" s="284" t="n"/>
      <c r="U808" s="285" t="n"/>
      <c r="V808" s="285" t="n"/>
      <c r="W808" s="285" t="n"/>
      <c r="X808" s="285" t="n"/>
      <c r="Y808" s="285" t="n"/>
      <c r="Z808" s="285" t="n"/>
      <c r="AA808" s="285" t="n"/>
    </row>
    <row r="809" ht="15.75" customHeight="1" s="398">
      <c r="A809" s="284" t="n"/>
      <c r="B809" s="285" t="n"/>
      <c r="C809" s="284" t="n"/>
      <c r="D809" s="284" t="n"/>
      <c r="E809" s="285" t="n"/>
      <c r="F809" s="285" t="n"/>
      <c r="G809" s="336" t="n"/>
      <c r="H809" s="336" t="n"/>
      <c r="I809" s="285" t="n"/>
      <c r="J809" s="285" t="n"/>
      <c r="K809" s="285" t="n"/>
      <c r="L809" s="285" t="n"/>
      <c r="M809" s="285" t="n"/>
      <c r="N809" s="285" t="n"/>
      <c r="O809" s="285" t="n"/>
      <c r="P809" s="285" t="n"/>
      <c r="Q809" s="285" t="n"/>
      <c r="R809" s="285" t="n"/>
      <c r="S809" s="284" t="n"/>
      <c r="T809" s="284" t="n"/>
      <c r="U809" s="285" t="n"/>
      <c r="V809" s="285" t="n"/>
      <c r="W809" s="285" t="n"/>
      <c r="X809" s="285" t="n"/>
      <c r="Y809" s="285" t="n"/>
      <c r="Z809" s="285" t="n"/>
      <c r="AA809" s="285" t="n"/>
    </row>
    <row r="810" ht="15.75" customHeight="1" s="398">
      <c r="A810" s="284" t="n"/>
      <c r="B810" s="285" t="n"/>
      <c r="C810" s="284" t="n"/>
      <c r="D810" s="284" t="n"/>
      <c r="E810" s="285" t="n"/>
      <c r="F810" s="285" t="n"/>
      <c r="G810" s="336" t="n"/>
      <c r="H810" s="336" t="n"/>
      <c r="I810" s="285" t="n"/>
      <c r="J810" s="285" t="n"/>
      <c r="K810" s="285" t="n"/>
      <c r="L810" s="285" t="n"/>
      <c r="M810" s="285" t="n"/>
      <c r="N810" s="285" t="n"/>
      <c r="O810" s="285" t="n"/>
      <c r="P810" s="285" t="n"/>
      <c r="Q810" s="285" t="n"/>
      <c r="R810" s="285" t="n"/>
      <c r="S810" s="284" t="n"/>
      <c r="T810" s="284" t="n"/>
      <c r="U810" s="285" t="n"/>
      <c r="V810" s="285" t="n"/>
      <c r="W810" s="285" t="n"/>
      <c r="X810" s="285" t="n"/>
      <c r="Y810" s="285" t="n"/>
      <c r="Z810" s="285" t="n"/>
      <c r="AA810" s="285" t="n"/>
    </row>
    <row r="811" ht="15.75" customHeight="1" s="398">
      <c r="A811" s="284" t="n"/>
      <c r="B811" s="285" t="n"/>
      <c r="C811" s="284" t="n"/>
      <c r="D811" s="284" t="n"/>
      <c r="E811" s="285" t="n"/>
      <c r="F811" s="285" t="n"/>
      <c r="G811" s="336" t="n"/>
      <c r="H811" s="336" t="n"/>
      <c r="I811" s="285" t="n"/>
      <c r="J811" s="285" t="n"/>
      <c r="K811" s="285" t="n"/>
      <c r="L811" s="285" t="n"/>
      <c r="M811" s="285" t="n"/>
      <c r="N811" s="285" t="n"/>
      <c r="O811" s="285" t="n"/>
      <c r="P811" s="285" t="n"/>
      <c r="Q811" s="285" t="n"/>
      <c r="R811" s="285" t="n"/>
      <c r="S811" s="284" t="n"/>
      <c r="T811" s="284" t="n"/>
      <c r="U811" s="285" t="n"/>
      <c r="V811" s="285" t="n"/>
      <c r="W811" s="285" t="n"/>
      <c r="X811" s="285" t="n"/>
      <c r="Y811" s="285" t="n"/>
      <c r="Z811" s="285" t="n"/>
      <c r="AA811" s="285" t="n"/>
    </row>
    <row r="812" ht="15.75" customHeight="1" s="398">
      <c r="A812" s="284" t="n"/>
      <c r="B812" s="285" t="n"/>
      <c r="C812" s="284" t="n"/>
      <c r="D812" s="284" t="n"/>
      <c r="E812" s="285" t="n"/>
      <c r="F812" s="285" t="n"/>
      <c r="G812" s="336" t="n"/>
      <c r="H812" s="336" t="n"/>
      <c r="I812" s="285" t="n"/>
      <c r="J812" s="285" t="n"/>
      <c r="K812" s="285" t="n"/>
      <c r="L812" s="285" t="n"/>
      <c r="M812" s="285" t="n"/>
      <c r="N812" s="285" t="n"/>
      <c r="O812" s="285" t="n"/>
      <c r="P812" s="285" t="n"/>
      <c r="Q812" s="285" t="n"/>
      <c r="R812" s="285" t="n"/>
      <c r="S812" s="284" t="n"/>
      <c r="T812" s="284" t="n"/>
      <c r="U812" s="285" t="n"/>
      <c r="V812" s="285" t="n"/>
      <c r="W812" s="285" t="n"/>
      <c r="X812" s="285" t="n"/>
      <c r="Y812" s="285" t="n"/>
      <c r="Z812" s="285" t="n"/>
      <c r="AA812" s="285" t="n"/>
    </row>
    <row r="813" ht="15.75" customHeight="1" s="398">
      <c r="A813" s="284" t="n"/>
      <c r="B813" s="285" t="n"/>
      <c r="C813" s="284" t="n"/>
      <c r="D813" s="284" t="n"/>
      <c r="E813" s="285" t="n"/>
      <c r="F813" s="285" t="n"/>
      <c r="G813" s="336" t="n"/>
      <c r="H813" s="336" t="n"/>
      <c r="I813" s="285" t="n"/>
      <c r="J813" s="285" t="n"/>
      <c r="K813" s="285" t="n"/>
      <c r="L813" s="285" t="n"/>
      <c r="M813" s="285" t="n"/>
      <c r="N813" s="285" t="n"/>
      <c r="O813" s="285" t="n"/>
      <c r="P813" s="285" t="n"/>
      <c r="Q813" s="285" t="n"/>
      <c r="R813" s="285" t="n"/>
      <c r="S813" s="284" t="n"/>
      <c r="T813" s="284" t="n"/>
      <c r="U813" s="285" t="n"/>
      <c r="V813" s="285" t="n"/>
      <c r="W813" s="285" t="n"/>
      <c r="X813" s="285" t="n"/>
      <c r="Y813" s="285" t="n"/>
      <c r="Z813" s="285" t="n"/>
      <c r="AA813" s="285" t="n"/>
    </row>
    <row r="814" ht="15.75" customHeight="1" s="398">
      <c r="A814" s="284" t="n"/>
      <c r="B814" s="285" t="n"/>
      <c r="C814" s="284" t="n"/>
      <c r="D814" s="284" t="n"/>
      <c r="E814" s="285" t="n"/>
      <c r="F814" s="285" t="n"/>
      <c r="G814" s="336" t="n"/>
      <c r="H814" s="336" t="n"/>
      <c r="I814" s="285" t="n"/>
      <c r="J814" s="285" t="n"/>
      <c r="K814" s="285" t="n"/>
      <c r="L814" s="285" t="n"/>
      <c r="M814" s="285" t="n"/>
      <c r="N814" s="285" t="n"/>
      <c r="O814" s="285" t="n"/>
      <c r="P814" s="285" t="n"/>
      <c r="Q814" s="285" t="n"/>
      <c r="R814" s="285" t="n"/>
      <c r="S814" s="284" t="n"/>
      <c r="T814" s="284" t="n"/>
      <c r="U814" s="285" t="n"/>
      <c r="V814" s="285" t="n"/>
      <c r="W814" s="285" t="n"/>
      <c r="X814" s="285" t="n"/>
      <c r="Y814" s="285" t="n"/>
      <c r="Z814" s="285" t="n"/>
      <c r="AA814" s="285" t="n"/>
    </row>
    <row r="815" ht="15.75" customHeight="1" s="398">
      <c r="A815" s="284" t="n"/>
      <c r="B815" s="285" t="n"/>
      <c r="C815" s="284" t="n"/>
      <c r="D815" s="284" t="n"/>
      <c r="E815" s="285" t="n"/>
      <c r="F815" s="285" t="n"/>
      <c r="G815" s="336" t="n"/>
      <c r="H815" s="336" t="n"/>
      <c r="I815" s="285" t="n"/>
      <c r="J815" s="285" t="n"/>
      <c r="K815" s="285" t="n"/>
      <c r="L815" s="285" t="n"/>
      <c r="M815" s="285" t="n"/>
      <c r="N815" s="285" t="n"/>
      <c r="O815" s="285" t="n"/>
      <c r="P815" s="285" t="n"/>
      <c r="Q815" s="285" t="n"/>
      <c r="R815" s="285" t="n"/>
      <c r="S815" s="284" t="n"/>
      <c r="T815" s="284" t="n"/>
      <c r="U815" s="285" t="n"/>
      <c r="V815" s="285" t="n"/>
      <c r="W815" s="285" t="n"/>
      <c r="X815" s="285" t="n"/>
      <c r="Y815" s="285" t="n"/>
      <c r="Z815" s="285" t="n"/>
      <c r="AA815" s="285" t="n"/>
    </row>
    <row r="816" ht="15.75" customHeight="1" s="398">
      <c r="A816" s="284" t="n"/>
      <c r="B816" s="285" t="n"/>
      <c r="C816" s="284" t="n"/>
      <c r="D816" s="284" t="n"/>
      <c r="E816" s="285" t="n"/>
      <c r="F816" s="285" t="n"/>
      <c r="G816" s="336" t="n"/>
      <c r="H816" s="336" t="n"/>
      <c r="I816" s="285" t="n"/>
      <c r="J816" s="285" t="n"/>
      <c r="K816" s="285" t="n"/>
      <c r="L816" s="285" t="n"/>
      <c r="M816" s="285" t="n"/>
      <c r="N816" s="285" t="n"/>
      <c r="O816" s="285" t="n"/>
      <c r="P816" s="285" t="n"/>
      <c r="Q816" s="285" t="n"/>
      <c r="R816" s="285" t="n"/>
      <c r="S816" s="284" t="n"/>
      <c r="T816" s="284" t="n"/>
      <c r="U816" s="285" t="n"/>
      <c r="V816" s="285" t="n"/>
      <c r="W816" s="285" t="n"/>
      <c r="X816" s="285" t="n"/>
      <c r="Y816" s="285" t="n"/>
      <c r="Z816" s="285" t="n"/>
      <c r="AA816" s="285" t="n"/>
    </row>
    <row r="817" ht="15.75" customHeight="1" s="398">
      <c r="A817" s="284" t="n"/>
      <c r="B817" s="285" t="n"/>
      <c r="C817" s="284" t="n"/>
      <c r="D817" s="284" t="n"/>
      <c r="E817" s="285" t="n"/>
      <c r="F817" s="285" t="n"/>
      <c r="G817" s="336" t="n"/>
      <c r="H817" s="336" t="n"/>
      <c r="I817" s="285" t="n"/>
      <c r="J817" s="285" t="n"/>
      <c r="K817" s="285" t="n"/>
      <c r="L817" s="285" t="n"/>
      <c r="M817" s="285" t="n"/>
      <c r="N817" s="285" t="n"/>
      <c r="O817" s="285" t="n"/>
      <c r="P817" s="285" t="n"/>
      <c r="Q817" s="285" t="n"/>
      <c r="R817" s="285" t="n"/>
      <c r="S817" s="284" t="n"/>
      <c r="T817" s="284" t="n"/>
      <c r="U817" s="285" t="n"/>
      <c r="V817" s="285" t="n"/>
      <c r="W817" s="285" t="n"/>
      <c r="X817" s="285" t="n"/>
      <c r="Y817" s="285" t="n"/>
      <c r="Z817" s="285" t="n"/>
      <c r="AA817" s="285" t="n"/>
    </row>
    <row r="818" ht="15.75" customHeight="1" s="398">
      <c r="A818" s="284" t="n"/>
      <c r="B818" s="285" t="n"/>
      <c r="C818" s="284" t="n"/>
      <c r="D818" s="284" t="n"/>
      <c r="E818" s="285" t="n"/>
      <c r="F818" s="285" t="n"/>
      <c r="G818" s="336" t="n"/>
      <c r="H818" s="336" t="n"/>
      <c r="I818" s="285" t="n"/>
      <c r="J818" s="285" t="n"/>
      <c r="K818" s="285" t="n"/>
      <c r="L818" s="285" t="n"/>
      <c r="M818" s="285" t="n"/>
      <c r="N818" s="285" t="n"/>
      <c r="O818" s="285" t="n"/>
      <c r="P818" s="285" t="n"/>
      <c r="Q818" s="285" t="n"/>
      <c r="R818" s="285" t="n"/>
      <c r="S818" s="284" t="n"/>
      <c r="T818" s="284" t="n"/>
      <c r="U818" s="285" t="n"/>
      <c r="V818" s="285" t="n"/>
      <c r="W818" s="285" t="n"/>
      <c r="X818" s="285" t="n"/>
      <c r="Y818" s="285" t="n"/>
      <c r="Z818" s="285" t="n"/>
      <c r="AA818" s="285" t="n"/>
    </row>
    <row r="819" ht="15.75" customHeight="1" s="398">
      <c r="A819" s="284" t="n"/>
      <c r="B819" s="285" t="n"/>
      <c r="C819" s="284" t="n"/>
      <c r="D819" s="284" t="n"/>
      <c r="E819" s="285" t="n"/>
      <c r="F819" s="285" t="n"/>
      <c r="G819" s="336" t="n"/>
      <c r="H819" s="336" t="n"/>
      <c r="I819" s="285" t="n"/>
      <c r="J819" s="285" t="n"/>
      <c r="K819" s="285" t="n"/>
      <c r="L819" s="285" t="n"/>
      <c r="M819" s="285" t="n"/>
      <c r="N819" s="285" t="n"/>
      <c r="O819" s="285" t="n"/>
      <c r="P819" s="285" t="n"/>
      <c r="Q819" s="285" t="n"/>
      <c r="R819" s="285" t="n"/>
      <c r="S819" s="284" t="n"/>
      <c r="T819" s="284" t="n"/>
      <c r="U819" s="285" t="n"/>
      <c r="V819" s="285" t="n"/>
      <c r="W819" s="285" t="n"/>
      <c r="X819" s="285" t="n"/>
      <c r="Y819" s="285" t="n"/>
      <c r="Z819" s="285" t="n"/>
      <c r="AA819" s="285" t="n"/>
    </row>
    <row r="820" ht="15.75" customHeight="1" s="398">
      <c r="A820" s="284" t="n"/>
      <c r="B820" s="285" t="n"/>
      <c r="C820" s="284" t="n"/>
      <c r="D820" s="284" t="n"/>
      <c r="E820" s="285" t="n"/>
      <c r="F820" s="285" t="n"/>
      <c r="G820" s="336" t="n"/>
      <c r="H820" s="336" t="n"/>
      <c r="I820" s="285" t="n"/>
      <c r="J820" s="285" t="n"/>
      <c r="K820" s="285" t="n"/>
      <c r="L820" s="285" t="n"/>
      <c r="M820" s="285" t="n"/>
      <c r="N820" s="285" t="n"/>
      <c r="O820" s="285" t="n"/>
      <c r="P820" s="285" t="n"/>
      <c r="Q820" s="285" t="n"/>
      <c r="R820" s="285" t="n"/>
      <c r="S820" s="284" t="n"/>
      <c r="T820" s="284" t="n"/>
      <c r="U820" s="285" t="n"/>
      <c r="V820" s="285" t="n"/>
      <c r="W820" s="285" t="n"/>
      <c r="X820" s="285" t="n"/>
      <c r="Y820" s="285" t="n"/>
      <c r="Z820" s="285" t="n"/>
      <c r="AA820" s="285" t="n"/>
    </row>
    <row r="821" ht="15.75" customHeight="1" s="398">
      <c r="A821" s="284" t="n"/>
      <c r="B821" s="285" t="n"/>
      <c r="C821" s="284" t="n"/>
      <c r="D821" s="284" t="n"/>
      <c r="E821" s="285" t="n"/>
      <c r="F821" s="285" t="n"/>
      <c r="G821" s="336" t="n"/>
      <c r="H821" s="336" t="n"/>
      <c r="I821" s="285" t="n"/>
      <c r="J821" s="285" t="n"/>
      <c r="K821" s="285" t="n"/>
      <c r="L821" s="285" t="n"/>
      <c r="M821" s="285" t="n"/>
      <c r="N821" s="285" t="n"/>
      <c r="O821" s="285" t="n"/>
      <c r="P821" s="285" t="n"/>
      <c r="Q821" s="285" t="n"/>
      <c r="R821" s="285" t="n"/>
      <c r="S821" s="284" t="n"/>
      <c r="T821" s="284" t="n"/>
      <c r="U821" s="285" t="n"/>
      <c r="V821" s="285" t="n"/>
      <c r="W821" s="285" t="n"/>
      <c r="X821" s="285" t="n"/>
      <c r="Y821" s="285" t="n"/>
      <c r="Z821" s="285" t="n"/>
      <c r="AA821" s="285" t="n"/>
    </row>
    <row r="822" ht="15.75" customHeight="1" s="398">
      <c r="A822" s="284" t="n"/>
      <c r="B822" s="285" t="n"/>
      <c r="C822" s="284" t="n"/>
      <c r="D822" s="284" t="n"/>
      <c r="E822" s="285" t="n"/>
      <c r="F822" s="285" t="n"/>
      <c r="G822" s="336" t="n"/>
      <c r="H822" s="336" t="n"/>
      <c r="I822" s="285" t="n"/>
      <c r="J822" s="285" t="n"/>
      <c r="K822" s="285" t="n"/>
      <c r="L822" s="285" t="n"/>
      <c r="M822" s="285" t="n"/>
      <c r="N822" s="285" t="n"/>
      <c r="O822" s="285" t="n"/>
      <c r="P822" s="285" t="n"/>
      <c r="Q822" s="285" t="n"/>
      <c r="R822" s="285" t="n"/>
      <c r="S822" s="284" t="n"/>
      <c r="T822" s="284" t="n"/>
      <c r="U822" s="285" t="n"/>
      <c r="V822" s="285" t="n"/>
      <c r="W822" s="285" t="n"/>
      <c r="X822" s="285" t="n"/>
      <c r="Y822" s="285" t="n"/>
      <c r="Z822" s="285" t="n"/>
      <c r="AA822" s="285" t="n"/>
    </row>
    <row r="823" ht="15.75" customHeight="1" s="398">
      <c r="A823" s="284" t="n"/>
      <c r="B823" s="285" t="n"/>
      <c r="C823" s="284" t="n"/>
      <c r="D823" s="284" t="n"/>
      <c r="E823" s="285" t="n"/>
      <c r="F823" s="285" t="n"/>
      <c r="G823" s="336" t="n"/>
      <c r="H823" s="336" t="n"/>
      <c r="I823" s="285" t="n"/>
      <c r="J823" s="285" t="n"/>
      <c r="K823" s="285" t="n"/>
      <c r="L823" s="285" t="n"/>
      <c r="M823" s="285" t="n"/>
      <c r="N823" s="285" t="n"/>
      <c r="O823" s="285" t="n"/>
      <c r="P823" s="285" t="n"/>
      <c r="Q823" s="285" t="n"/>
      <c r="R823" s="285" t="n"/>
      <c r="S823" s="284" t="n"/>
      <c r="T823" s="284" t="n"/>
      <c r="U823" s="285" t="n"/>
      <c r="V823" s="285" t="n"/>
      <c r="W823" s="285" t="n"/>
      <c r="X823" s="285" t="n"/>
      <c r="Y823" s="285" t="n"/>
      <c r="Z823" s="285" t="n"/>
      <c r="AA823" s="285" t="n"/>
    </row>
    <row r="824" ht="15.75" customHeight="1" s="398">
      <c r="A824" s="284" t="n"/>
      <c r="B824" s="285" t="n"/>
      <c r="C824" s="284" t="n"/>
      <c r="D824" s="284" t="n"/>
      <c r="E824" s="285" t="n"/>
      <c r="F824" s="285" t="n"/>
      <c r="G824" s="336" t="n"/>
      <c r="H824" s="336" t="n"/>
      <c r="I824" s="285" t="n"/>
      <c r="J824" s="285" t="n"/>
      <c r="K824" s="285" t="n"/>
      <c r="L824" s="285" t="n"/>
      <c r="M824" s="285" t="n"/>
      <c r="N824" s="285" t="n"/>
      <c r="O824" s="285" t="n"/>
      <c r="P824" s="285" t="n"/>
      <c r="Q824" s="285" t="n"/>
      <c r="R824" s="285" t="n"/>
      <c r="S824" s="284" t="n"/>
      <c r="T824" s="284" t="n"/>
      <c r="U824" s="285" t="n"/>
      <c r="V824" s="285" t="n"/>
      <c r="W824" s="285" t="n"/>
      <c r="X824" s="285" t="n"/>
      <c r="Y824" s="285" t="n"/>
      <c r="Z824" s="285" t="n"/>
      <c r="AA824" s="285" t="n"/>
    </row>
    <row r="825" ht="15.75" customHeight="1" s="398">
      <c r="A825" s="284" t="n"/>
      <c r="B825" s="285" t="n"/>
      <c r="C825" s="284" t="n"/>
      <c r="D825" s="284" t="n"/>
      <c r="E825" s="285" t="n"/>
      <c r="F825" s="285" t="n"/>
      <c r="G825" s="336" t="n"/>
      <c r="H825" s="336" t="n"/>
      <c r="I825" s="285" t="n"/>
      <c r="J825" s="285" t="n"/>
      <c r="K825" s="285" t="n"/>
      <c r="L825" s="285" t="n"/>
      <c r="M825" s="285" t="n"/>
      <c r="N825" s="285" t="n"/>
      <c r="O825" s="285" t="n"/>
      <c r="P825" s="285" t="n"/>
      <c r="Q825" s="285" t="n"/>
      <c r="R825" s="285" t="n"/>
      <c r="S825" s="284" t="n"/>
      <c r="T825" s="284" t="n"/>
      <c r="U825" s="285" t="n"/>
      <c r="V825" s="285" t="n"/>
      <c r="W825" s="285" t="n"/>
      <c r="X825" s="285" t="n"/>
      <c r="Y825" s="285" t="n"/>
      <c r="Z825" s="285" t="n"/>
      <c r="AA825" s="285" t="n"/>
    </row>
    <row r="826" ht="15.75" customHeight="1" s="398">
      <c r="A826" s="284" t="n"/>
      <c r="B826" s="285" t="n"/>
      <c r="C826" s="284" t="n"/>
      <c r="D826" s="284" t="n"/>
      <c r="E826" s="285" t="n"/>
      <c r="F826" s="285" t="n"/>
      <c r="G826" s="336" t="n"/>
      <c r="H826" s="336" t="n"/>
      <c r="I826" s="285" t="n"/>
      <c r="J826" s="285" t="n"/>
      <c r="K826" s="285" t="n"/>
      <c r="L826" s="285" t="n"/>
      <c r="M826" s="285" t="n"/>
      <c r="N826" s="285" t="n"/>
      <c r="O826" s="285" t="n"/>
      <c r="P826" s="285" t="n"/>
      <c r="Q826" s="285" t="n"/>
      <c r="R826" s="285" t="n"/>
      <c r="S826" s="284" t="n"/>
      <c r="T826" s="284" t="n"/>
      <c r="U826" s="285" t="n"/>
      <c r="V826" s="285" t="n"/>
      <c r="W826" s="285" t="n"/>
      <c r="X826" s="285" t="n"/>
      <c r="Y826" s="285" t="n"/>
      <c r="Z826" s="285" t="n"/>
      <c r="AA826" s="285" t="n"/>
    </row>
    <row r="827" ht="15.75" customHeight="1" s="398">
      <c r="A827" s="284" t="n"/>
      <c r="B827" s="285" t="n"/>
      <c r="C827" s="284" t="n"/>
      <c r="D827" s="284" t="n"/>
      <c r="E827" s="285" t="n"/>
      <c r="F827" s="285" t="n"/>
      <c r="G827" s="336" t="n"/>
      <c r="H827" s="336" t="n"/>
      <c r="I827" s="285" t="n"/>
      <c r="J827" s="285" t="n"/>
      <c r="K827" s="285" t="n"/>
      <c r="L827" s="285" t="n"/>
      <c r="M827" s="285" t="n"/>
      <c r="N827" s="285" t="n"/>
      <c r="O827" s="285" t="n"/>
      <c r="P827" s="285" t="n"/>
      <c r="Q827" s="285" t="n"/>
      <c r="R827" s="285" t="n"/>
      <c r="S827" s="284" t="n"/>
      <c r="T827" s="284" t="n"/>
      <c r="U827" s="285" t="n"/>
      <c r="V827" s="285" t="n"/>
      <c r="W827" s="285" t="n"/>
      <c r="X827" s="285" t="n"/>
      <c r="Y827" s="285" t="n"/>
      <c r="Z827" s="285" t="n"/>
      <c r="AA827" s="285" t="n"/>
    </row>
    <row r="828" ht="15.75" customHeight="1" s="398">
      <c r="A828" s="284" t="n"/>
      <c r="B828" s="285" t="n"/>
      <c r="C828" s="284" t="n"/>
      <c r="D828" s="284" t="n"/>
      <c r="E828" s="285" t="n"/>
      <c r="F828" s="285" t="n"/>
      <c r="G828" s="336" t="n"/>
      <c r="H828" s="336" t="n"/>
      <c r="I828" s="285" t="n"/>
      <c r="J828" s="285" t="n"/>
      <c r="K828" s="285" t="n"/>
      <c r="L828" s="285" t="n"/>
      <c r="M828" s="285" t="n"/>
      <c r="N828" s="285" t="n"/>
      <c r="O828" s="285" t="n"/>
      <c r="P828" s="285" t="n"/>
      <c r="Q828" s="285" t="n"/>
      <c r="R828" s="285" t="n"/>
      <c r="S828" s="284" t="n"/>
      <c r="T828" s="284" t="n"/>
      <c r="U828" s="285" t="n"/>
      <c r="V828" s="285" t="n"/>
      <c r="W828" s="285" t="n"/>
      <c r="X828" s="285" t="n"/>
      <c r="Y828" s="285" t="n"/>
      <c r="Z828" s="285" t="n"/>
      <c r="AA828" s="285" t="n"/>
    </row>
    <row r="829" ht="15.75" customHeight="1" s="398">
      <c r="A829" s="284" t="n"/>
      <c r="B829" s="285" t="n"/>
      <c r="C829" s="284" t="n"/>
      <c r="D829" s="284" t="n"/>
      <c r="E829" s="285" t="n"/>
      <c r="F829" s="285" t="n"/>
      <c r="G829" s="336" t="n"/>
      <c r="H829" s="336" t="n"/>
      <c r="I829" s="285" t="n"/>
      <c r="J829" s="285" t="n"/>
      <c r="K829" s="285" t="n"/>
      <c r="L829" s="285" t="n"/>
      <c r="M829" s="285" t="n"/>
      <c r="N829" s="285" t="n"/>
      <c r="O829" s="285" t="n"/>
      <c r="P829" s="285" t="n"/>
      <c r="Q829" s="285" t="n"/>
      <c r="R829" s="285" t="n"/>
      <c r="S829" s="284" t="n"/>
      <c r="T829" s="284" t="n"/>
      <c r="U829" s="285" t="n"/>
      <c r="V829" s="285" t="n"/>
      <c r="W829" s="285" t="n"/>
      <c r="X829" s="285" t="n"/>
      <c r="Y829" s="285" t="n"/>
      <c r="Z829" s="285" t="n"/>
      <c r="AA829" s="285" t="n"/>
    </row>
    <row r="830" ht="15.75" customHeight="1" s="398">
      <c r="A830" s="284" t="n"/>
      <c r="B830" s="285" t="n"/>
      <c r="C830" s="284" t="n"/>
      <c r="D830" s="284" t="n"/>
      <c r="E830" s="285" t="n"/>
      <c r="F830" s="285" t="n"/>
      <c r="G830" s="336" t="n"/>
      <c r="H830" s="336" t="n"/>
      <c r="I830" s="285" t="n"/>
      <c r="J830" s="285" t="n"/>
      <c r="K830" s="285" t="n"/>
      <c r="L830" s="285" t="n"/>
      <c r="M830" s="285" t="n"/>
      <c r="N830" s="285" t="n"/>
      <c r="O830" s="285" t="n"/>
      <c r="P830" s="285" t="n"/>
      <c r="Q830" s="285" t="n"/>
      <c r="R830" s="285" t="n"/>
      <c r="S830" s="284" t="n"/>
      <c r="T830" s="284" t="n"/>
      <c r="U830" s="285" t="n"/>
      <c r="V830" s="285" t="n"/>
      <c r="W830" s="285" t="n"/>
      <c r="X830" s="285" t="n"/>
      <c r="Y830" s="285" t="n"/>
      <c r="Z830" s="285" t="n"/>
      <c r="AA830" s="285" t="n"/>
    </row>
    <row r="831" ht="15.75" customHeight="1" s="398">
      <c r="A831" s="284" t="n"/>
      <c r="B831" s="285" t="n"/>
      <c r="C831" s="284" t="n"/>
      <c r="D831" s="284" t="n"/>
      <c r="E831" s="285" t="n"/>
      <c r="F831" s="285" t="n"/>
      <c r="G831" s="336" t="n"/>
      <c r="H831" s="336" t="n"/>
      <c r="I831" s="285" t="n"/>
      <c r="J831" s="285" t="n"/>
      <c r="K831" s="285" t="n"/>
      <c r="L831" s="285" t="n"/>
      <c r="M831" s="285" t="n"/>
      <c r="N831" s="285" t="n"/>
      <c r="O831" s="285" t="n"/>
      <c r="P831" s="285" t="n"/>
      <c r="Q831" s="285" t="n"/>
      <c r="R831" s="285" t="n"/>
      <c r="S831" s="284" t="n"/>
      <c r="T831" s="284" t="n"/>
      <c r="U831" s="285" t="n"/>
      <c r="V831" s="285" t="n"/>
      <c r="W831" s="285" t="n"/>
      <c r="X831" s="285" t="n"/>
      <c r="Y831" s="285" t="n"/>
      <c r="Z831" s="285" t="n"/>
      <c r="AA831" s="285" t="n"/>
    </row>
    <row r="832" ht="15.75" customHeight="1" s="398">
      <c r="A832" s="284" t="n"/>
      <c r="B832" s="285" t="n"/>
      <c r="C832" s="284" t="n"/>
      <c r="D832" s="284" t="n"/>
      <c r="E832" s="285" t="n"/>
      <c r="F832" s="285" t="n"/>
      <c r="G832" s="336" t="n"/>
      <c r="H832" s="336" t="n"/>
      <c r="I832" s="285" t="n"/>
      <c r="J832" s="285" t="n"/>
      <c r="K832" s="285" t="n"/>
      <c r="L832" s="285" t="n"/>
      <c r="M832" s="285" t="n"/>
      <c r="N832" s="285" t="n"/>
      <c r="O832" s="285" t="n"/>
      <c r="P832" s="285" t="n"/>
      <c r="Q832" s="285" t="n"/>
      <c r="R832" s="285" t="n"/>
      <c r="S832" s="284" t="n"/>
      <c r="T832" s="284" t="n"/>
      <c r="U832" s="285" t="n"/>
      <c r="V832" s="285" t="n"/>
      <c r="W832" s="285" t="n"/>
      <c r="X832" s="285" t="n"/>
      <c r="Y832" s="285" t="n"/>
      <c r="Z832" s="285" t="n"/>
      <c r="AA832" s="285" t="n"/>
    </row>
    <row r="833" ht="15.75" customHeight="1" s="398">
      <c r="A833" s="284" t="n"/>
      <c r="B833" s="285" t="n"/>
      <c r="C833" s="284" t="n"/>
      <c r="D833" s="284" t="n"/>
      <c r="E833" s="285" t="n"/>
      <c r="F833" s="285" t="n"/>
      <c r="G833" s="336" t="n"/>
      <c r="H833" s="336" t="n"/>
      <c r="I833" s="285" t="n"/>
      <c r="J833" s="285" t="n"/>
      <c r="K833" s="285" t="n"/>
      <c r="L833" s="285" t="n"/>
      <c r="M833" s="285" t="n"/>
      <c r="N833" s="285" t="n"/>
      <c r="O833" s="285" t="n"/>
      <c r="P833" s="285" t="n"/>
      <c r="Q833" s="285" t="n"/>
      <c r="R833" s="285" t="n"/>
      <c r="S833" s="284" t="n"/>
      <c r="T833" s="284" t="n"/>
      <c r="U833" s="285" t="n"/>
      <c r="V833" s="285" t="n"/>
      <c r="W833" s="285" t="n"/>
      <c r="X833" s="285" t="n"/>
      <c r="Y833" s="285" t="n"/>
      <c r="Z833" s="285" t="n"/>
      <c r="AA833" s="285" t="n"/>
    </row>
    <row r="834" ht="15.75" customHeight="1" s="398">
      <c r="A834" s="284" t="n"/>
      <c r="B834" s="285" t="n"/>
      <c r="C834" s="284" t="n"/>
      <c r="D834" s="284" t="n"/>
      <c r="E834" s="285" t="n"/>
      <c r="F834" s="285" t="n"/>
      <c r="G834" s="336" t="n"/>
      <c r="H834" s="336" t="n"/>
      <c r="I834" s="285" t="n"/>
      <c r="J834" s="285" t="n"/>
      <c r="K834" s="285" t="n"/>
      <c r="L834" s="285" t="n"/>
      <c r="M834" s="285" t="n"/>
      <c r="N834" s="285" t="n"/>
      <c r="O834" s="285" t="n"/>
      <c r="P834" s="285" t="n"/>
      <c r="Q834" s="285" t="n"/>
      <c r="R834" s="285" t="n"/>
      <c r="S834" s="284" t="n"/>
      <c r="T834" s="284" t="n"/>
      <c r="U834" s="285" t="n"/>
      <c r="V834" s="285" t="n"/>
      <c r="W834" s="285" t="n"/>
      <c r="X834" s="285" t="n"/>
      <c r="Y834" s="285" t="n"/>
      <c r="Z834" s="285" t="n"/>
      <c r="AA834" s="285" t="n"/>
    </row>
    <row r="835" ht="15.75" customHeight="1" s="398">
      <c r="A835" s="284" t="n"/>
      <c r="B835" s="285" t="n"/>
      <c r="C835" s="284" t="n"/>
      <c r="D835" s="284" t="n"/>
      <c r="E835" s="285" t="n"/>
      <c r="F835" s="285" t="n"/>
      <c r="G835" s="336" t="n"/>
      <c r="H835" s="336" t="n"/>
      <c r="I835" s="285" t="n"/>
      <c r="J835" s="285" t="n"/>
      <c r="K835" s="285" t="n"/>
      <c r="L835" s="285" t="n"/>
      <c r="M835" s="285" t="n"/>
      <c r="N835" s="285" t="n"/>
      <c r="O835" s="285" t="n"/>
      <c r="P835" s="285" t="n"/>
      <c r="Q835" s="285" t="n"/>
      <c r="R835" s="285" t="n"/>
      <c r="S835" s="284" t="n"/>
      <c r="T835" s="284" t="n"/>
      <c r="U835" s="285" t="n"/>
      <c r="V835" s="285" t="n"/>
      <c r="W835" s="285" t="n"/>
      <c r="X835" s="285" t="n"/>
      <c r="Y835" s="285" t="n"/>
      <c r="Z835" s="285" t="n"/>
      <c r="AA835" s="285" t="n"/>
    </row>
    <row r="836" ht="15.75" customHeight="1" s="398">
      <c r="A836" s="284" t="n"/>
      <c r="B836" s="285" t="n"/>
      <c r="C836" s="284" t="n"/>
      <c r="D836" s="284" t="n"/>
      <c r="E836" s="285" t="n"/>
      <c r="F836" s="285" t="n"/>
      <c r="G836" s="336" t="n"/>
      <c r="H836" s="336" t="n"/>
      <c r="I836" s="285" t="n"/>
      <c r="J836" s="285" t="n"/>
      <c r="K836" s="285" t="n"/>
      <c r="L836" s="285" t="n"/>
      <c r="M836" s="285" t="n"/>
      <c r="N836" s="285" t="n"/>
      <c r="O836" s="285" t="n"/>
      <c r="P836" s="285" t="n"/>
      <c r="Q836" s="285" t="n"/>
      <c r="R836" s="285" t="n"/>
      <c r="S836" s="284" t="n"/>
      <c r="T836" s="284" t="n"/>
      <c r="U836" s="285" t="n"/>
      <c r="V836" s="285" t="n"/>
      <c r="W836" s="285" t="n"/>
      <c r="X836" s="285" t="n"/>
      <c r="Y836" s="285" t="n"/>
      <c r="Z836" s="285" t="n"/>
      <c r="AA836" s="285" t="n"/>
    </row>
    <row r="837" ht="15.75" customHeight="1" s="398">
      <c r="A837" s="284" t="n"/>
      <c r="B837" s="285" t="n"/>
      <c r="C837" s="284" t="n"/>
      <c r="D837" s="284" t="n"/>
      <c r="E837" s="285" t="n"/>
      <c r="F837" s="285" t="n"/>
      <c r="G837" s="336" t="n"/>
      <c r="H837" s="336" t="n"/>
      <c r="I837" s="285" t="n"/>
      <c r="J837" s="285" t="n"/>
      <c r="K837" s="285" t="n"/>
      <c r="L837" s="285" t="n"/>
      <c r="M837" s="285" t="n"/>
      <c r="N837" s="285" t="n"/>
      <c r="O837" s="285" t="n"/>
      <c r="P837" s="285" t="n"/>
      <c r="Q837" s="285" t="n"/>
      <c r="R837" s="285" t="n"/>
      <c r="S837" s="284" t="n"/>
      <c r="T837" s="284" t="n"/>
      <c r="U837" s="285" t="n"/>
      <c r="V837" s="285" t="n"/>
      <c r="W837" s="285" t="n"/>
      <c r="X837" s="285" t="n"/>
      <c r="Y837" s="285" t="n"/>
      <c r="Z837" s="285" t="n"/>
      <c r="AA837" s="285" t="n"/>
    </row>
    <row r="838" ht="15.75" customHeight="1" s="398">
      <c r="A838" s="284" t="n"/>
      <c r="B838" s="285" t="n"/>
      <c r="C838" s="284" t="n"/>
      <c r="D838" s="284" t="n"/>
      <c r="E838" s="285" t="n"/>
      <c r="F838" s="285" t="n"/>
      <c r="G838" s="336" t="n"/>
      <c r="H838" s="336" t="n"/>
      <c r="I838" s="285" t="n"/>
      <c r="J838" s="285" t="n"/>
      <c r="K838" s="285" t="n"/>
      <c r="L838" s="285" t="n"/>
      <c r="M838" s="285" t="n"/>
      <c r="N838" s="285" t="n"/>
      <c r="O838" s="285" t="n"/>
      <c r="P838" s="285" t="n"/>
      <c r="Q838" s="285" t="n"/>
      <c r="R838" s="285" t="n"/>
      <c r="S838" s="284" t="n"/>
      <c r="T838" s="284" t="n"/>
      <c r="U838" s="285" t="n"/>
      <c r="V838" s="285" t="n"/>
      <c r="W838" s="285" t="n"/>
      <c r="X838" s="285" t="n"/>
      <c r="Y838" s="285" t="n"/>
      <c r="Z838" s="285" t="n"/>
      <c r="AA838" s="285" t="n"/>
    </row>
    <row r="839" ht="15.75" customHeight="1" s="398">
      <c r="A839" s="284" t="n"/>
      <c r="B839" s="285" t="n"/>
      <c r="C839" s="284" t="n"/>
      <c r="D839" s="284" t="n"/>
      <c r="E839" s="285" t="n"/>
      <c r="F839" s="285" t="n"/>
      <c r="G839" s="336" t="n"/>
      <c r="H839" s="336" t="n"/>
      <c r="I839" s="285" t="n"/>
      <c r="J839" s="285" t="n"/>
      <c r="K839" s="285" t="n"/>
      <c r="L839" s="285" t="n"/>
      <c r="M839" s="285" t="n"/>
      <c r="N839" s="285" t="n"/>
      <c r="O839" s="285" t="n"/>
      <c r="P839" s="285" t="n"/>
      <c r="Q839" s="285" t="n"/>
      <c r="R839" s="285" t="n"/>
      <c r="S839" s="284" t="n"/>
      <c r="T839" s="284" t="n"/>
      <c r="U839" s="285" t="n"/>
      <c r="V839" s="285" t="n"/>
      <c r="W839" s="285" t="n"/>
      <c r="X839" s="285" t="n"/>
      <c r="Y839" s="285" t="n"/>
      <c r="Z839" s="285" t="n"/>
      <c r="AA839" s="285" t="n"/>
    </row>
    <row r="840" ht="15.75" customHeight="1" s="398">
      <c r="A840" s="284" t="n"/>
      <c r="B840" s="285" t="n"/>
      <c r="C840" s="284" t="n"/>
      <c r="D840" s="284" t="n"/>
      <c r="E840" s="285" t="n"/>
      <c r="F840" s="285" t="n"/>
      <c r="G840" s="336" t="n"/>
      <c r="H840" s="336" t="n"/>
      <c r="I840" s="285" t="n"/>
      <c r="J840" s="285" t="n"/>
      <c r="K840" s="285" t="n"/>
      <c r="L840" s="285" t="n"/>
      <c r="M840" s="285" t="n"/>
      <c r="N840" s="285" t="n"/>
      <c r="O840" s="285" t="n"/>
      <c r="P840" s="285" t="n"/>
      <c r="Q840" s="285" t="n"/>
      <c r="R840" s="285" t="n"/>
      <c r="S840" s="284" t="n"/>
      <c r="T840" s="284" t="n"/>
      <c r="U840" s="285" t="n"/>
      <c r="V840" s="285" t="n"/>
      <c r="W840" s="285" t="n"/>
      <c r="X840" s="285" t="n"/>
      <c r="Y840" s="285" t="n"/>
      <c r="Z840" s="285" t="n"/>
      <c r="AA840" s="285" t="n"/>
    </row>
    <row r="841" ht="15.75" customHeight="1" s="398">
      <c r="A841" s="284" t="n"/>
      <c r="B841" s="285" t="n"/>
      <c r="C841" s="284" t="n"/>
      <c r="D841" s="284" t="n"/>
      <c r="E841" s="285" t="n"/>
      <c r="F841" s="285" t="n"/>
      <c r="G841" s="336" t="n"/>
      <c r="H841" s="336" t="n"/>
      <c r="I841" s="285" t="n"/>
      <c r="J841" s="285" t="n"/>
      <c r="K841" s="285" t="n"/>
      <c r="L841" s="285" t="n"/>
      <c r="M841" s="285" t="n"/>
      <c r="N841" s="285" t="n"/>
      <c r="O841" s="285" t="n"/>
      <c r="P841" s="285" t="n"/>
      <c r="Q841" s="285" t="n"/>
      <c r="R841" s="285" t="n"/>
      <c r="S841" s="284" t="n"/>
      <c r="T841" s="284" t="n"/>
      <c r="U841" s="285" t="n"/>
      <c r="V841" s="285" t="n"/>
      <c r="W841" s="285" t="n"/>
      <c r="X841" s="285" t="n"/>
      <c r="Y841" s="285" t="n"/>
      <c r="Z841" s="285" t="n"/>
      <c r="AA841" s="285" t="n"/>
    </row>
    <row r="842" ht="15.75" customHeight="1" s="398">
      <c r="A842" s="284" t="n"/>
      <c r="B842" s="285" t="n"/>
      <c r="C842" s="284" t="n"/>
      <c r="D842" s="284" t="n"/>
      <c r="E842" s="285" t="n"/>
      <c r="F842" s="285" t="n"/>
      <c r="G842" s="336" t="n"/>
      <c r="H842" s="336" t="n"/>
      <c r="I842" s="285" t="n"/>
      <c r="J842" s="285" t="n"/>
      <c r="K842" s="285" t="n"/>
      <c r="L842" s="285" t="n"/>
      <c r="M842" s="285" t="n"/>
      <c r="N842" s="285" t="n"/>
      <c r="O842" s="285" t="n"/>
      <c r="P842" s="285" t="n"/>
      <c r="Q842" s="285" t="n"/>
      <c r="R842" s="285" t="n"/>
      <c r="S842" s="284" t="n"/>
      <c r="T842" s="284" t="n"/>
      <c r="U842" s="285" t="n"/>
      <c r="V842" s="285" t="n"/>
      <c r="W842" s="285" t="n"/>
      <c r="X842" s="285" t="n"/>
      <c r="Y842" s="285" t="n"/>
      <c r="Z842" s="285" t="n"/>
      <c r="AA842" s="285" t="n"/>
    </row>
    <row r="843" ht="15.75" customHeight="1" s="398">
      <c r="A843" s="284" t="n"/>
      <c r="B843" s="285" t="n"/>
      <c r="C843" s="284" t="n"/>
      <c r="D843" s="284" t="n"/>
      <c r="E843" s="285" t="n"/>
      <c r="F843" s="285" t="n"/>
      <c r="G843" s="336" t="n"/>
      <c r="H843" s="336" t="n"/>
      <c r="I843" s="285" t="n"/>
      <c r="J843" s="285" t="n"/>
      <c r="K843" s="285" t="n"/>
      <c r="L843" s="285" t="n"/>
      <c r="M843" s="285" t="n"/>
      <c r="N843" s="285" t="n"/>
      <c r="O843" s="285" t="n"/>
      <c r="P843" s="285" t="n"/>
      <c r="Q843" s="285" t="n"/>
      <c r="R843" s="285" t="n"/>
      <c r="S843" s="284" t="n"/>
      <c r="T843" s="284" t="n"/>
      <c r="U843" s="285" t="n"/>
      <c r="V843" s="285" t="n"/>
      <c r="W843" s="285" t="n"/>
      <c r="X843" s="285" t="n"/>
      <c r="Y843" s="285" t="n"/>
      <c r="Z843" s="285" t="n"/>
      <c r="AA843" s="285" t="n"/>
    </row>
    <row r="844" ht="15.75" customHeight="1" s="398">
      <c r="A844" s="284" t="n"/>
      <c r="B844" s="285" t="n"/>
      <c r="C844" s="284" t="n"/>
      <c r="D844" s="284" t="n"/>
      <c r="E844" s="285" t="n"/>
      <c r="F844" s="285" t="n"/>
      <c r="G844" s="336" t="n"/>
      <c r="H844" s="336" t="n"/>
      <c r="I844" s="285" t="n"/>
      <c r="J844" s="285" t="n"/>
      <c r="K844" s="285" t="n"/>
      <c r="L844" s="285" t="n"/>
      <c r="M844" s="285" t="n"/>
      <c r="N844" s="285" t="n"/>
      <c r="O844" s="285" t="n"/>
      <c r="P844" s="285" t="n"/>
      <c r="Q844" s="285" t="n"/>
      <c r="R844" s="285" t="n"/>
      <c r="S844" s="284" t="n"/>
      <c r="T844" s="284" t="n"/>
      <c r="U844" s="285" t="n"/>
      <c r="V844" s="285" t="n"/>
      <c r="W844" s="285" t="n"/>
      <c r="X844" s="285" t="n"/>
      <c r="Y844" s="285" t="n"/>
      <c r="Z844" s="285" t="n"/>
      <c r="AA844" s="285" t="n"/>
    </row>
    <row r="845" ht="15.75" customHeight="1" s="398">
      <c r="A845" s="284" t="n"/>
      <c r="B845" s="285" t="n"/>
      <c r="C845" s="284" t="n"/>
      <c r="D845" s="284" t="n"/>
      <c r="E845" s="285" t="n"/>
      <c r="F845" s="285" t="n"/>
      <c r="G845" s="336" t="n"/>
      <c r="H845" s="336" t="n"/>
      <c r="I845" s="285" t="n"/>
      <c r="J845" s="285" t="n"/>
      <c r="K845" s="285" t="n"/>
      <c r="L845" s="285" t="n"/>
      <c r="M845" s="285" t="n"/>
      <c r="N845" s="285" t="n"/>
      <c r="O845" s="285" t="n"/>
      <c r="P845" s="285" t="n"/>
      <c r="Q845" s="285" t="n"/>
      <c r="R845" s="285" t="n"/>
      <c r="S845" s="284" t="n"/>
      <c r="T845" s="284" t="n"/>
      <c r="U845" s="285" t="n"/>
      <c r="V845" s="285" t="n"/>
      <c r="W845" s="285" t="n"/>
      <c r="X845" s="285" t="n"/>
      <c r="Y845" s="285" t="n"/>
      <c r="Z845" s="285" t="n"/>
      <c r="AA845" s="285" t="n"/>
    </row>
    <row r="846" ht="15.75" customHeight="1" s="398">
      <c r="A846" s="284" t="n"/>
      <c r="B846" s="285" t="n"/>
      <c r="C846" s="284" t="n"/>
      <c r="D846" s="284" t="n"/>
      <c r="E846" s="285" t="n"/>
      <c r="F846" s="285" t="n"/>
      <c r="G846" s="336" t="n"/>
      <c r="H846" s="336" t="n"/>
      <c r="I846" s="285" t="n"/>
      <c r="J846" s="285" t="n"/>
      <c r="K846" s="285" t="n"/>
      <c r="L846" s="285" t="n"/>
      <c r="M846" s="285" t="n"/>
      <c r="N846" s="285" t="n"/>
      <c r="O846" s="285" t="n"/>
      <c r="P846" s="285" t="n"/>
      <c r="Q846" s="285" t="n"/>
      <c r="R846" s="285" t="n"/>
      <c r="S846" s="284" t="n"/>
      <c r="T846" s="284" t="n"/>
      <c r="U846" s="285" t="n"/>
      <c r="V846" s="285" t="n"/>
      <c r="W846" s="285" t="n"/>
      <c r="X846" s="285" t="n"/>
      <c r="Y846" s="285" t="n"/>
      <c r="Z846" s="285" t="n"/>
      <c r="AA846" s="285" t="n"/>
    </row>
    <row r="847" ht="15.75" customHeight="1" s="398">
      <c r="A847" s="284" t="n"/>
      <c r="B847" s="285" t="n"/>
      <c r="C847" s="284" t="n"/>
      <c r="D847" s="284" t="n"/>
      <c r="E847" s="285" t="n"/>
      <c r="F847" s="285" t="n"/>
      <c r="G847" s="336" t="n"/>
      <c r="H847" s="336" t="n"/>
      <c r="I847" s="285" t="n"/>
      <c r="J847" s="285" t="n"/>
      <c r="K847" s="285" t="n"/>
      <c r="L847" s="285" t="n"/>
      <c r="M847" s="285" t="n"/>
      <c r="N847" s="285" t="n"/>
      <c r="O847" s="285" t="n"/>
      <c r="P847" s="285" t="n"/>
      <c r="Q847" s="285" t="n"/>
      <c r="R847" s="285" t="n"/>
      <c r="S847" s="284" t="n"/>
      <c r="T847" s="284" t="n"/>
      <c r="U847" s="285" t="n"/>
      <c r="V847" s="285" t="n"/>
      <c r="W847" s="285" t="n"/>
      <c r="X847" s="285" t="n"/>
      <c r="Y847" s="285" t="n"/>
      <c r="Z847" s="285" t="n"/>
      <c r="AA847" s="285" t="n"/>
    </row>
    <row r="848" ht="15.75" customHeight="1" s="398">
      <c r="A848" s="284" t="n"/>
      <c r="B848" s="285" t="n"/>
      <c r="C848" s="284" t="n"/>
      <c r="D848" s="284" t="n"/>
      <c r="E848" s="285" t="n"/>
      <c r="F848" s="285" t="n"/>
      <c r="G848" s="336" t="n"/>
      <c r="H848" s="336" t="n"/>
      <c r="I848" s="285" t="n"/>
      <c r="J848" s="285" t="n"/>
      <c r="K848" s="285" t="n"/>
      <c r="L848" s="285" t="n"/>
      <c r="M848" s="285" t="n"/>
      <c r="N848" s="285" t="n"/>
      <c r="O848" s="285" t="n"/>
      <c r="P848" s="285" t="n"/>
      <c r="Q848" s="285" t="n"/>
      <c r="R848" s="285" t="n"/>
      <c r="S848" s="284" t="n"/>
      <c r="T848" s="284" t="n"/>
      <c r="U848" s="285" t="n"/>
      <c r="V848" s="285" t="n"/>
      <c r="W848" s="285" t="n"/>
      <c r="X848" s="285" t="n"/>
      <c r="Y848" s="285" t="n"/>
      <c r="Z848" s="285" t="n"/>
      <c r="AA848" s="285" t="n"/>
    </row>
    <row r="849" ht="15.75" customHeight="1" s="398">
      <c r="A849" s="284" t="n"/>
      <c r="B849" s="285" t="n"/>
      <c r="C849" s="284" t="n"/>
      <c r="D849" s="284" t="n"/>
      <c r="E849" s="285" t="n"/>
      <c r="F849" s="285" t="n"/>
      <c r="G849" s="336" t="n"/>
      <c r="H849" s="336" t="n"/>
      <c r="I849" s="285" t="n"/>
      <c r="J849" s="285" t="n"/>
      <c r="K849" s="285" t="n"/>
      <c r="L849" s="285" t="n"/>
      <c r="M849" s="285" t="n"/>
      <c r="N849" s="285" t="n"/>
      <c r="O849" s="285" t="n"/>
      <c r="P849" s="285" t="n"/>
      <c r="Q849" s="285" t="n"/>
      <c r="R849" s="285" t="n"/>
      <c r="S849" s="284" t="n"/>
      <c r="T849" s="284" t="n"/>
      <c r="U849" s="285" t="n"/>
      <c r="V849" s="285" t="n"/>
      <c r="W849" s="285" t="n"/>
      <c r="X849" s="285" t="n"/>
      <c r="Y849" s="285" t="n"/>
      <c r="Z849" s="285" t="n"/>
      <c r="AA849" s="285" t="n"/>
    </row>
    <row r="850" ht="15.75" customHeight="1" s="398">
      <c r="A850" s="284" t="n"/>
      <c r="B850" s="285" t="n"/>
      <c r="C850" s="284" t="n"/>
      <c r="D850" s="284" t="n"/>
      <c r="E850" s="285" t="n"/>
      <c r="F850" s="285" t="n"/>
      <c r="G850" s="336" t="n"/>
      <c r="H850" s="336" t="n"/>
      <c r="I850" s="285" t="n"/>
      <c r="J850" s="285" t="n"/>
      <c r="K850" s="285" t="n"/>
      <c r="L850" s="285" t="n"/>
      <c r="M850" s="285" t="n"/>
      <c r="N850" s="285" t="n"/>
      <c r="O850" s="285" t="n"/>
      <c r="P850" s="285" t="n"/>
      <c r="Q850" s="285" t="n"/>
      <c r="R850" s="285" t="n"/>
      <c r="S850" s="284" t="n"/>
      <c r="T850" s="284" t="n"/>
      <c r="U850" s="285" t="n"/>
      <c r="V850" s="285" t="n"/>
      <c r="W850" s="285" t="n"/>
      <c r="X850" s="285" t="n"/>
      <c r="Y850" s="285" t="n"/>
      <c r="Z850" s="285" t="n"/>
      <c r="AA850" s="285" t="n"/>
    </row>
    <row r="851" ht="15.75" customHeight="1" s="398">
      <c r="A851" s="284" t="n"/>
      <c r="B851" s="285" t="n"/>
      <c r="C851" s="284" t="n"/>
      <c r="D851" s="284" t="n"/>
      <c r="E851" s="285" t="n"/>
      <c r="F851" s="285" t="n"/>
      <c r="G851" s="336" t="n"/>
      <c r="H851" s="336" t="n"/>
      <c r="I851" s="285" t="n"/>
      <c r="J851" s="285" t="n"/>
      <c r="K851" s="285" t="n"/>
      <c r="L851" s="285" t="n"/>
      <c r="M851" s="285" t="n"/>
      <c r="N851" s="285" t="n"/>
      <c r="O851" s="285" t="n"/>
      <c r="P851" s="285" t="n"/>
      <c r="Q851" s="285" t="n"/>
      <c r="R851" s="285" t="n"/>
      <c r="S851" s="284" t="n"/>
      <c r="T851" s="284" t="n"/>
      <c r="U851" s="285" t="n"/>
      <c r="V851" s="285" t="n"/>
      <c r="W851" s="285" t="n"/>
      <c r="X851" s="285" t="n"/>
      <c r="Y851" s="285" t="n"/>
      <c r="Z851" s="285" t="n"/>
      <c r="AA851" s="285" t="n"/>
    </row>
    <row r="852" ht="15.75" customHeight="1" s="398">
      <c r="A852" s="284" t="n"/>
      <c r="B852" s="285" t="n"/>
      <c r="C852" s="284" t="n"/>
      <c r="D852" s="284" t="n"/>
      <c r="E852" s="285" t="n"/>
      <c r="F852" s="285" t="n"/>
      <c r="G852" s="336" t="n"/>
      <c r="H852" s="336" t="n"/>
      <c r="I852" s="285" t="n"/>
      <c r="J852" s="285" t="n"/>
      <c r="K852" s="285" t="n"/>
      <c r="L852" s="285" t="n"/>
      <c r="M852" s="285" t="n"/>
      <c r="N852" s="285" t="n"/>
      <c r="O852" s="285" t="n"/>
      <c r="P852" s="285" t="n"/>
      <c r="Q852" s="285" t="n"/>
      <c r="R852" s="285" t="n"/>
      <c r="S852" s="284" t="n"/>
      <c r="T852" s="284" t="n"/>
      <c r="U852" s="285" t="n"/>
      <c r="V852" s="285" t="n"/>
      <c r="W852" s="285" t="n"/>
      <c r="X852" s="285" t="n"/>
      <c r="Y852" s="285" t="n"/>
      <c r="Z852" s="285" t="n"/>
      <c r="AA852" s="285" t="n"/>
    </row>
    <row r="853" ht="15.75" customHeight="1" s="398">
      <c r="A853" s="284" t="n"/>
      <c r="B853" s="285" t="n"/>
      <c r="C853" s="284" t="n"/>
      <c r="D853" s="284" t="n"/>
      <c r="E853" s="285" t="n"/>
      <c r="F853" s="285" t="n"/>
      <c r="G853" s="336" t="n"/>
      <c r="H853" s="336" t="n"/>
      <c r="I853" s="285" t="n"/>
      <c r="J853" s="285" t="n"/>
      <c r="K853" s="285" t="n"/>
      <c r="L853" s="285" t="n"/>
      <c r="M853" s="285" t="n"/>
      <c r="N853" s="285" t="n"/>
      <c r="O853" s="285" t="n"/>
      <c r="P853" s="285" t="n"/>
      <c r="Q853" s="285" t="n"/>
      <c r="R853" s="285" t="n"/>
      <c r="S853" s="284" t="n"/>
      <c r="T853" s="284" t="n"/>
      <c r="U853" s="285" t="n"/>
      <c r="V853" s="285" t="n"/>
      <c r="W853" s="285" t="n"/>
      <c r="X853" s="285" t="n"/>
      <c r="Y853" s="285" t="n"/>
      <c r="Z853" s="285" t="n"/>
      <c r="AA853" s="285" t="n"/>
    </row>
    <row r="854" ht="15.75" customHeight="1" s="398">
      <c r="A854" s="284" t="n"/>
      <c r="B854" s="285" t="n"/>
      <c r="C854" s="284" t="n"/>
      <c r="D854" s="284" t="n"/>
      <c r="E854" s="285" t="n"/>
      <c r="F854" s="285" t="n"/>
      <c r="G854" s="336" t="n"/>
      <c r="H854" s="336" t="n"/>
      <c r="I854" s="285" t="n"/>
      <c r="J854" s="285" t="n"/>
      <c r="K854" s="285" t="n"/>
      <c r="L854" s="285" t="n"/>
      <c r="M854" s="285" t="n"/>
      <c r="N854" s="285" t="n"/>
      <c r="O854" s="285" t="n"/>
      <c r="P854" s="285" t="n"/>
      <c r="Q854" s="285" t="n"/>
      <c r="R854" s="285" t="n"/>
      <c r="S854" s="284" t="n"/>
      <c r="T854" s="284" t="n"/>
      <c r="U854" s="285" t="n"/>
      <c r="V854" s="285" t="n"/>
      <c r="W854" s="285" t="n"/>
      <c r="X854" s="285" t="n"/>
      <c r="Y854" s="285" t="n"/>
      <c r="Z854" s="285" t="n"/>
      <c r="AA854" s="285" t="n"/>
    </row>
    <row r="855" ht="15.75" customHeight="1" s="398">
      <c r="A855" s="284" t="n"/>
      <c r="B855" s="285" t="n"/>
      <c r="C855" s="284" t="n"/>
      <c r="D855" s="284" t="n"/>
      <c r="E855" s="285" t="n"/>
      <c r="F855" s="285" t="n"/>
      <c r="G855" s="336" t="n"/>
      <c r="H855" s="336" t="n"/>
      <c r="I855" s="285" t="n"/>
      <c r="J855" s="285" t="n"/>
      <c r="K855" s="285" t="n"/>
      <c r="L855" s="285" t="n"/>
      <c r="M855" s="285" t="n"/>
      <c r="N855" s="285" t="n"/>
      <c r="O855" s="285" t="n"/>
      <c r="P855" s="285" t="n"/>
      <c r="Q855" s="285" t="n"/>
      <c r="R855" s="285" t="n"/>
      <c r="S855" s="284" t="n"/>
      <c r="T855" s="284" t="n"/>
      <c r="U855" s="285" t="n"/>
      <c r="V855" s="285" t="n"/>
      <c r="W855" s="285" t="n"/>
      <c r="X855" s="285" t="n"/>
      <c r="Y855" s="285" t="n"/>
      <c r="Z855" s="285" t="n"/>
      <c r="AA855" s="285" t="n"/>
    </row>
    <row r="856" ht="15.75" customHeight="1" s="398">
      <c r="A856" s="284" t="n"/>
      <c r="B856" s="285" t="n"/>
      <c r="C856" s="284" t="n"/>
      <c r="D856" s="284" t="n"/>
      <c r="E856" s="285" t="n"/>
      <c r="F856" s="285" t="n"/>
      <c r="G856" s="336" t="n"/>
      <c r="H856" s="336" t="n"/>
      <c r="I856" s="285" t="n"/>
      <c r="J856" s="285" t="n"/>
      <c r="K856" s="285" t="n"/>
      <c r="L856" s="285" t="n"/>
      <c r="M856" s="285" t="n"/>
      <c r="N856" s="285" t="n"/>
      <c r="O856" s="285" t="n"/>
      <c r="P856" s="285" t="n"/>
      <c r="Q856" s="285" t="n"/>
      <c r="R856" s="285" t="n"/>
      <c r="S856" s="284" t="n"/>
      <c r="T856" s="284" t="n"/>
      <c r="U856" s="285" t="n"/>
      <c r="V856" s="285" t="n"/>
      <c r="W856" s="285" t="n"/>
      <c r="X856" s="285" t="n"/>
      <c r="Y856" s="285" t="n"/>
      <c r="Z856" s="285" t="n"/>
      <c r="AA856" s="285" t="n"/>
    </row>
    <row r="857" ht="15.75" customHeight="1" s="398">
      <c r="A857" s="284" t="n"/>
      <c r="B857" s="285" t="n"/>
      <c r="C857" s="284" t="n"/>
      <c r="D857" s="284" t="n"/>
      <c r="E857" s="285" t="n"/>
      <c r="F857" s="285" t="n"/>
      <c r="G857" s="336" t="n"/>
      <c r="H857" s="336" t="n"/>
      <c r="I857" s="285" t="n"/>
      <c r="J857" s="285" t="n"/>
      <c r="K857" s="285" t="n"/>
      <c r="L857" s="285" t="n"/>
      <c r="M857" s="285" t="n"/>
      <c r="N857" s="285" t="n"/>
      <c r="O857" s="285" t="n"/>
      <c r="P857" s="285" t="n"/>
      <c r="Q857" s="285" t="n"/>
      <c r="R857" s="285" t="n"/>
      <c r="S857" s="284" t="n"/>
      <c r="T857" s="284" t="n"/>
      <c r="U857" s="285" t="n"/>
      <c r="V857" s="285" t="n"/>
      <c r="W857" s="285" t="n"/>
      <c r="X857" s="285" t="n"/>
      <c r="Y857" s="285" t="n"/>
      <c r="Z857" s="285" t="n"/>
      <c r="AA857" s="285" t="n"/>
    </row>
    <row r="858" ht="15.75" customHeight="1" s="398">
      <c r="A858" s="284" t="n"/>
      <c r="B858" s="285" t="n"/>
      <c r="C858" s="284" t="n"/>
      <c r="D858" s="284" t="n"/>
      <c r="E858" s="285" t="n"/>
      <c r="F858" s="285" t="n"/>
      <c r="G858" s="336" t="n"/>
      <c r="H858" s="336" t="n"/>
      <c r="I858" s="285" t="n"/>
      <c r="J858" s="285" t="n"/>
      <c r="K858" s="285" t="n"/>
      <c r="L858" s="285" t="n"/>
      <c r="M858" s="285" t="n"/>
      <c r="N858" s="285" t="n"/>
      <c r="O858" s="285" t="n"/>
      <c r="P858" s="285" t="n"/>
      <c r="Q858" s="285" t="n"/>
      <c r="R858" s="285" t="n"/>
      <c r="S858" s="284" t="n"/>
      <c r="T858" s="284" t="n"/>
      <c r="U858" s="285" t="n"/>
      <c r="V858" s="285" t="n"/>
      <c r="W858" s="285" t="n"/>
      <c r="X858" s="285" t="n"/>
      <c r="Y858" s="285" t="n"/>
      <c r="Z858" s="285" t="n"/>
      <c r="AA858" s="285" t="n"/>
    </row>
    <row r="859" ht="15.75" customHeight="1" s="398">
      <c r="A859" s="284" t="n"/>
      <c r="B859" s="285" t="n"/>
      <c r="C859" s="284" t="n"/>
      <c r="D859" s="284" t="n"/>
      <c r="E859" s="285" t="n"/>
      <c r="F859" s="285" t="n"/>
      <c r="G859" s="336" t="n"/>
      <c r="H859" s="336" t="n"/>
      <c r="I859" s="285" t="n"/>
      <c r="J859" s="285" t="n"/>
      <c r="K859" s="285" t="n"/>
      <c r="L859" s="285" t="n"/>
      <c r="M859" s="285" t="n"/>
      <c r="N859" s="285" t="n"/>
      <c r="O859" s="285" t="n"/>
      <c r="P859" s="285" t="n"/>
      <c r="Q859" s="285" t="n"/>
      <c r="R859" s="285" t="n"/>
      <c r="S859" s="284" t="n"/>
      <c r="T859" s="284" t="n"/>
      <c r="U859" s="285" t="n"/>
      <c r="V859" s="285" t="n"/>
      <c r="W859" s="285" t="n"/>
      <c r="X859" s="285" t="n"/>
      <c r="Y859" s="285" t="n"/>
      <c r="Z859" s="285" t="n"/>
      <c r="AA859" s="285" t="n"/>
    </row>
    <row r="860" ht="15.75" customHeight="1" s="398">
      <c r="A860" s="284" t="n"/>
      <c r="B860" s="285" t="n"/>
      <c r="C860" s="284" t="n"/>
      <c r="D860" s="284" t="n"/>
      <c r="E860" s="285" t="n"/>
      <c r="F860" s="285" t="n"/>
      <c r="G860" s="336" t="n"/>
      <c r="H860" s="336" t="n"/>
      <c r="I860" s="285" t="n"/>
      <c r="J860" s="285" t="n"/>
      <c r="K860" s="285" t="n"/>
      <c r="L860" s="285" t="n"/>
      <c r="M860" s="285" t="n"/>
      <c r="N860" s="285" t="n"/>
      <c r="O860" s="285" t="n"/>
      <c r="P860" s="285" t="n"/>
      <c r="Q860" s="285" t="n"/>
      <c r="R860" s="285" t="n"/>
      <c r="S860" s="284" t="n"/>
      <c r="T860" s="284" t="n"/>
      <c r="U860" s="285" t="n"/>
      <c r="V860" s="285" t="n"/>
      <c r="W860" s="285" t="n"/>
      <c r="X860" s="285" t="n"/>
      <c r="Y860" s="285" t="n"/>
      <c r="Z860" s="285" t="n"/>
      <c r="AA860" s="285" t="n"/>
    </row>
    <row r="861" ht="15.75" customHeight="1" s="398">
      <c r="A861" s="284" t="n"/>
      <c r="B861" s="285" t="n"/>
      <c r="C861" s="284" t="n"/>
      <c r="D861" s="284" t="n"/>
      <c r="E861" s="285" t="n"/>
      <c r="F861" s="285" t="n"/>
      <c r="G861" s="336" t="n"/>
      <c r="H861" s="336" t="n"/>
      <c r="I861" s="285" t="n"/>
      <c r="J861" s="285" t="n"/>
      <c r="K861" s="285" t="n"/>
      <c r="L861" s="285" t="n"/>
      <c r="M861" s="285" t="n"/>
      <c r="N861" s="285" t="n"/>
      <c r="O861" s="285" t="n"/>
      <c r="P861" s="285" t="n"/>
      <c r="Q861" s="285" t="n"/>
      <c r="R861" s="285" t="n"/>
      <c r="S861" s="284" t="n"/>
      <c r="T861" s="284" t="n"/>
      <c r="U861" s="285" t="n"/>
      <c r="V861" s="285" t="n"/>
      <c r="W861" s="285" t="n"/>
      <c r="X861" s="285" t="n"/>
      <c r="Y861" s="285" t="n"/>
      <c r="Z861" s="285" t="n"/>
      <c r="AA861" s="285" t="n"/>
    </row>
    <row r="862" ht="15.75" customHeight="1" s="398">
      <c r="A862" s="284" t="n"/>
      <c r="B862" s="285" t="n"/>
      <c r="C862" s="284" t="n"/>
      <c r="D862" s="284" t="n"/>
      <c r="E862" s="285" t="n"/>
      <c r="F862" s="285" t="n"/>
      <c r="G862" s="336" t="n"/>
      <c r="H862" s="336" t="n"/>
      <c r="I862" s="285" t="n"/>
      <c r="J862" s="285" t="n"/>
      <c r="K862" s="285" t="n"/>
      <c r="L862" s="285" t="n"/>
      <c r="M862" s="285" t="n"/>
      <c r="N862" s="285" t="n"/>
      <c r="O862" s="285" t="n"/>
      <c r="P862" s="285" t="n"/>
      <c r="Q862" s="285" t="n"/>
      <c r="R862" s="285" t="n"/>
      <c r="S862" s="284" t="n"/>
      <c r="T862" s="284" t="n"/>
      <c r="U862" s="285" t="n"/>
      <c r="V862" s="285" t="n"/>
      <c r="W862" s="285" t="n"/>
      <c r="X862" s="285" t="n"/>
      <c r="Y862" s="285" t="n"/>
      <c r="Z862" s="285" t="n"/>
      <c r="AA862" s="285" t="n"/>
    </row>
    <row r="863" ht="15.75" customHeight="1" s="398">
      <c r="A863" s="284" t="n"/>
      <c r="B863" s="285" t="n"/>
      <c r="C863" s="284" t="n"/>
      <c r="D863" s="284" t="n"/>
      <c r="E863" s="285" t="n"/>
      <c r="F863" s="285" t="n"/>
      <c r="G863" s="336" t="n"/>
      <c r="H863" s="336" t="n"/>
      <c r="I863" s="285" t="n"/>
      <c r="J863" s="285" t="n"/>
      <c r="K863" s="285" t="n"/>
      <c r="L863" s="285" t="n"/>
      <c r="M863" s="285" t="n"/>
      <c r="N863" s="285" t="n"/>
      <c r="O863" s="285" t="n"/>
      <c r="P863" s="285" t="n"/>
      <c r="Q863" s="285" t="n"/>
      <c r="R863" s="285" t="n"/>
      <c r="S863" s="284" t="n"/>
      <c r="T863" s="284" t="n"/>
      <c r="U863" s="285" t="n"/>
      <c r="V863" s="285" t="n"/>
      <c r="W863" s="285" t="n"/>
      <c r="X863" s="285" t="n"/>
      <c r="Y863" s="285" t="n"/>
      <c r="Z863" s="285" t="n"/>
      <c r="AA863" s="285" t="n"/>
    </row>
    <row r="864" ht="15.75" customHeight="1" s="398">
      <c r="A864" s="284" t="n"/>
      <c r="B864" s="285" t="n"/>
      <c r="C864" s="284" t="n"/>
      <c r="D864" s="284" t="n"/>
      <c r="E864" s="285" t="n"/>
      <c r="F864" s="285" t="n"/>
      <c r="G864" s="336" t="n"/>
      <c r="H864" s="336" t="n"/>
      <c r="I864" s="285" t="n"/>
      <c r="J864" s="285" t="n"/>
      <c r="K864" s="285" t="n"/>
      <c r="L864" s="285" t="n"/>
      <c r="M864" s="285" t="n"/>
      <c r="N864" s="285" t="n"/>
      <c r="O864" s="285" t="n"/>
      <c r="P864" s="285" t="n"/>
      <c r="Q864" s="285" t="n"/>
      <c r="R864" s="285" t="n"/>
      <c r="S864" s="284" t="n"/>
      <c r="T864" s="284" t="n"/>
      <c r="U864" s="285" t="n"/>
      <c r="V864" s="285" t="n"/>
      <c r="W864" s="285" t="n"/>
      <c r="X864" s="285" t="n"/>
      <c r="Y864" s="285" t="n"/>
      <c r="Z864" s="285" t="n"/>
      <c r="AA864" s="285" t="n"/>
    </row>
    <row r="865" ht="15.75" customHeight="1" s="398">
      <c r="A865" s="284" t="n"/>
      <c r="B865" s="285" t="n"/>
      <c r="C865" s="284" t="n"/>
      <c r="D865" s="284" t="n"/>
      <c r="E865" s="285" t="n"/>
      <c r="F865" s="285" t="n"/>
      <c r="G865" s="336" t="n"/>
      <c r="H865" s="336" t="n"/>
      <c r="I865" s="285" t="n"/>
      <c r="J865" s="285" t="n"/>
      <c r="K865" s="285" t="n"/>
      <c r="L865" s="285" t="n"/>
      <c r="M865" s="285" t="n"/>
      <c r="N865" s="285" t="n"/>
      <c r="O865" s="285" t="n"/>
      <c r="P865" s="285" t="n"/>
      <c r="Q865" s="285" t="n"/>
      <c r="R865" s="285" t="n"/>
      <c r="S865" s="284" t="n"/>
      <c r="T865" s="284" t="n"/>
      <c r="U865" s="285" t="n"/>
      <c r="V865" s="285" t="n"/>
      <c r="W865" s="285" t="n"/>
      <c r="X865" s="285" t="n"/>
      <c r="Y865" s="285" t="n"/>
      <c r="Z865" s="285" t="n"/>
      <c r="AA865" s="285" t="n"/>
    </row>
    <row r="866" ht="15.75" customHeight="1" s="398">
      <c r="A866" s="284" t="n"/>
      <c r="B866" s="285" t="n"/>
      <c r="C866" s="284" t="n"/>
      <c r="D866" s="284" t="n"/>
      <c r="E866" s="285" t="n"/>
      <c r="F866" s="285" t="n"/>
      <c r="G866" s="336" t="n"/>
      <c r="H866" s="336" t="n"/>
      <c r="I866" s="285" t="n"/>
      <c r="J866" s="285" t="n"/>
      <c r="K866" s="285" t="n"/>
      <c r="L866" s="285" t="n"/>
      <c r="M866" s="285" t="n"/>
      <c r="N866" s="285" t="n"/>
      <c r="O866" s="285" t="n"/>
      <c r="P866" s="285" t="n"/>
      <c r="Q866" s="285" t="n"/>
      <c r="R866" s="285" t="n"/>
      <c r="S866" s="284" t="n"/>
      <c r="T866" s="284" t="n"/>
      <c r="U866" s="285" t="n"/>
      <c r="V866" s="285" t="n"/>
      <c r="W866" s="285" t="n"/>
      <c r="X866" s="285" t="n"/>
      <c r="Y866" s="285" t="n"/>
      <c r="Z866" s="285" t="n"/>
      <c r="AA866" s="285" t="n"/>
    </row>
    <row r="867" ht="15.75" customHeight="1" s="398">
      <c r="A867" s="284" t="n"/>
      <c r="B867" s="285" t="n"/>
      <c r="C867" s="284" t="n"/>
      <c r="D867" s="284" t="n"/>
      <c r="E867" s="285" t="n"/>
      <c r="F867" s="285" t="n"/>
      <c r="G867" s="336" t="n"/>
      <c r="H867" s="336" t="n"/>
      <c r="I867" s="285" t="n"/>
      <c r="J867" s="285" t="n"/>
      <c r="K867" s="285" t="n"/>
      <c r="L867" s="285" t="n"/>
      <c r="M867" s="285" t="n"/>
      <c r="N867" s="285" t="n"/>
      <c r="O867" s="285" t="n"/>
      <c r="P867" s="285" t="n"/>
      <c r="Q867" s="285" t="n"/>
      <c r="R867" s="285" t="n"/>
      <c r="S867" s="284" t="n"/>
      <c r="T867" s="284" t="n"/>
      <c r="U867" s="285" t="n"/>
      <c r="V867" s="285" t="n"/>
      <c r="W867" s="285" t="n"/>
      <c r="X867" s="285" t="n"/>
      <c r="Y867" s="285" t="n"/>
      <c r="Z867" s="285" t="n"/>
      <c r="AA867" s="285" t="n"/>
    </row>
    <row r="868" ht="15.75" customHeight="1" s="398">
      <c r="A868" s="284" t="n"/>
      <c r="B868" s="285" t="n"/>
      <c r="C868" s="284" t="n"/>
      <c r="D868" s="284" t="n"/>
      <c r="E868" s="285" t="n"/>
      <c r="F868" s="285" t="n"/>
      <c r="G868" s="336" t="n"/>
      <c r="H868" s="336" t="n"/>
      <c r="I868" s="285" t="n"/>
      <c r="J868" s="285" t="n"/>
      <c r="K868" s="285" t="n"/>
      <c r="L868" s="285" t="n"/>
      <c r="M868" s="285" t="n"/>
      <c r="N868" s="285" t="n"/>
      <c r="O868" s="285" t="n"/>
      <c r="P868" s="285" t="n"/>
      <c r="Q868" s="285" t="n"/>
      <c r="R868" s="285" t="n"/>
      <c r="S868" s="284" t="n"/>
      <c r="T868" s="284" t="n"/>
      <c r="U868" s="285" t="n"/>
      <c r="V868" s="285" t="n"/>
      <c r="W868" s="285" t="n"/>
      <c r="X868" s="285" t="n"/>
      <c r="Y868" s="285" t="n"/>
      <c r="Z868" s="285" t="n"/>
      <c r="AA868" s="285" t="n"/>
    </row>
    <row r="869" ht="15.75" customHeight="1" s="398">
      <c r="A869" s="284" t="n"/>
      <c r="B869" s="285" t="n"/>
      <c r="C869" s="284" t="n"/>
      <c r="D869" s="284" t="n"/>
      <c r="E869" s="285" t="n"/>
      <c r="F869" s="285" t="n"/>
      <c r="G869" s="336" t="n"/>
      <c r="H869" s="336" t="n"/>
      <c r="I869" s="285" t="n"/>
      <c r="J869" s="285" t="n"/>
      <c r="K869" s="285" t="n"/>
      <c r="L869" s="285" t="n"/>
      <c r="M869" s="285" t="n"/>
      <c r="N869" s="285" t="n"/>
      <c r="O869" s="285" t="n"/>
      <c r="P869" s="285" t="n"/>
      <c r="Q869" s="285" t="n"/>
      <c r="R869" s="285" t="n"/>
      <c r="S869" s="284" t="n"/>
      <c r="T869" s="284" t="n"/>
      <c r="U869" s="285" t="n"/>
      <c r="V869" s="285" t="n"/>
      <c r="W869" s="285" t="n"/>
      <c r="X869" s="285" t="n"/>
      <c r="Y869" s="285" t="n"/>
      <c r="Z869" s="285" t="n"/>
      <c r="AA869" s="285" t="n"/>
    </row>
    <row r="870" ht="15.75" customHeight="1" s="398">
      <c r="A870" s="284" t="n"/>
      <c r="B870" s="285" t="n"/>
      <c r="C870" s="284" t="n"/>
      <c r="D870" s="284" t="n"/>
      <c r="E870" s="285" t="n"/>
      <c r="F870" s="285" t="n"/>
      <c r="G870" s="336" t="n"/>
      <c r="H870" s="336" t="n"/>
      <c r="I870" s="285" t="n"/>
      <c r="J870" s="285" t="n"/>
      <c r="K870" s="285" t="n"/>
      <c r="L870" s="285" t="n"/>
      <c r="M870" s="285" t="n"/>
      <c r="N870" s="285" t="n"/>
      <c r="O870" s="285" t="n"/>
      <c r="P870" s="285" t="n"/>
      <c r="Q870" s="285" t="n"/>
      <c r="R870" s="285" t="n"/>
      <c r="S870" s="284" t="n"/>
      <c r="T870" s="284" t="n"/>
      <c r="U870" s="285" t="n"/>
      <c r="V870" s="285" t="n"/>
      <c r="W870" s="285" t="n"/>
      <c r="X870" s="285" t="n"/>
      <c r="Y870" s="285" t="n"/>
      <c r="Z870" s="285" t="n"/>
      <c r="AA870" s="285" t="n"/>
    </row>
    <row r="871" ht="15.75" customHeight="1" s="398">
      <c r="A871" s="284" t="n"/>
      <c r="B871" s="285" t="n"/>
      <c r="C871" s="284" t="n"/>
      <c r="D871" s="284" t="n"/>
      <c r="E871" s="285" t="n"/>
      <c r="F871" s="285" t="n"/>
      <c r="G871" s="336" t="n"/>
      <c r="H871" s="336" t="n"/>
      <c r="I871" s="285" t="n"/>
      <c r="J871" s="285" t="n"/>
      <c r="K871" s="285" t="n"/>
      <c r="L871" s="285" t="n"/>
      <c r="M871" s="285" t="n"/>
      <c r="N871" s="285" t="n"/>
      <c r="O871" s="285" t="n"/>
      <c r="P871" s="285" t="n"/>
      <c r="Q871" s="285" t="n"/>
      <c r="R871" s="285" t="n"/>
      <c r="S871" s="284" t="n"/>
      <c r="T871" s="284" t="n"/>
      <c r="U871" s="285" t="n"/>
      <c r="V871" s="285" t="n"/>
      <c r="W871" s="285" t="n"/>
      <c r="X871" s="285" t="n"/>
      <c r="Y871" s="285" t="n"/>
      <c r="Z871" s="285" t="n"/>
      <c r="AA871" s="285" t="n"/>
    </row>
    <row r="872" ht="15.75" customHeight="1" s="398">
      <c r="A872" s="284" t="n"/>
      <c r="B872" s="285" t="n"/>
      <c r="C872" s="284" t="n"/>
      <c r="D872" s="284" t="n"/>
      <c r="E872" s="285" t="n"/>
      <c r="F872" s="285" t="n"/>
      <c r="G872" s="336" t="n"/>
      <c r="H872" s="336" t="n"/>
      <c r="I872" s="285" t="n"/>
      <c r="J872" s="285" t="n"/>
      <c r="K872" s="285" t="n"/>
      <c r="L872" s="285" t="n"/>
      <c r="M872" s="285" t="n"/>
      <c r="N872" s="285" t="n"/>
      <c r="O872" s="285" t="n"/>
      <c r="P872" s="285" t="n"/>
      <c r="Q872" s="285" t="n"/>
      <c r="R872" s="285" t="n"/>
      <c r="S872" s="284" t="n"/>
      <c r="T872" s="284" t="n"/>
      <c r="U872" s="285" t="n"/>
      <c r="V872" s="285" t="n"/>
      <c r="W872" s="285" t="n"/>
      <c r="X872" s="285" t="n"/>
      <c r="Y872" s="285" t="n"/>
      <c r="Z872" s="285" t="n"/>
      <c r="AA872" s="285" t="n"/>
    </row>
    <row r="873" ht="15.75" customHeight="1" s="398">
      <c r="A873" s="284" t="n"/>
      <c r="B873" s="285" t="n"/>
      <c r="C873" s="284" t="n"/>
      <c r="D873" s="284" t="n"/>
      <c r="E873" s="285" t="n"/>
      <c r="F873" s="285" t="n"/>
      <c r="G873" s="336" t="n"/>
      <c r="H873" s="336" t="n"/>
      <c r="I873" s="285" t="n"/>
      <c r="J873" s="285" t="n"/>
      <c r="K873" s="285" t="n"/>
      <c r="L873" s="285" t="n"/>
      <c r="M873" s="285" t="n"/>
      <c r="N873" s="285" t="n"/>
      <c r="O873" s="285" t="n"/>
      <c r="P873" s="285" t="n"/>
      <c r="Q873" s="285" t="n"/>
      <c r="R873" s="285" t="n"/>
      <c r="S873" s="284" t="n"/>
      <c r="T873" s="284" t="n"/>
      <c r="U873" s="285" t="n"/>
      <c r="V873" s="285" t="n"/>
      <c r="W873" s="285" t="n"/>
      <c r="X873" s="285" t="n"/>
      <c r="Y873" s="285" t="n"/>
      <c r="Z873" s="285" t="n"/>
      <c r="AA873" s="285" t="n"/>
    </row>
    <row r="874" ht="15.75" customHeight="1" s="398">
      <c r="A874" s="284" t="n"/>
      <c r="B874" s="285" t="n"/>
      <c r="C874" s="284" t="n"/>
      <c r="D874" s="284" t="n"/>
      <c r="E874" s="285" t="n"/>
      <c r="F874" s="285" t="n"/>
      <c r="G874" s="336" t="n"/>
      <c r="H874" s="336" t="n"/>
      <c r="I874" s="285" t="n"/>
      <c r="J874" s="285" t="n"/>
      <c r="K874" s="285" t="n"/>
      <c r="L874" s="285" t="n"/>
      <c r="M874" s="285" t="n"/>
      <c r="N874" s="285" t="n"/>
      <c r="O874" s="285" t="n"/>
      <c r="P874" s="285" t="n"/>
      <c r="Q874" s="285" t="n"/>
      <c r="R874" s="285" t="n"/>
      <c r="S874" s="284" t="n"/>
      <c r="T874" s="284" t="n"/>
      <c r="U874" s="285" t="n"/>
      <c r="V874" s="285" t="n"/>
      <c r="W874" s="285" t="n"/>
      <c r="X874" s="285" t="n"/>
      <c r="Y874" s="285" t="n"/>
      <c r="Z874" s="285" t="n"/>
      <c r="AA874" s="285" t="n"/>
    </row>
    <row r="875" ht="15.75" customHeight="1" s="398">
      <c r="A875" s="284" t="n"/>
      <c r="B875" s="285" t="n"/>
      <c r="C875" s="284" t="n"/>
      <c r="D875" s="284" t="n"/>
      <c r="E875" s="285" t="n"/>
      <c r="F875" s="285" t="n"/>
      <c r="G875" s="336" t="n"/>
      <c r="H875" s="336" t="n"/>
      <c r="I875" s="285" t="n"/>
      <c r="J875" s="285" t="n"/>
      <c r="K875" s="285" t="n"/>
      <c r="L875" s="285" t="n"/>
      <c r="M875" s="285" t="n"/>
      <c r="N875" s="285" t="n"/>
      <c r="O875" s="285" t="n"/>
      <c r="P875" s="285" t="n"/>
      <c r="Q875" s="285" t="n"/>
      <c r="R875" s="285" t="n"/>
      <c r="S875" s="284" t="n"/>
      <c r="T875" s="284" t="n"/>
      <c r="U875" s="285" t="n"/>
      <c r="V875" s="285" t="n"/>
      <c r="W875" s="285" t="n"/>
      <c r="X875" s="285" t="n"/>
      <c r="Y875" s="285" t="n"/>
      <c r="Z875" s="285" t="n"/>
      <c r="AA875" s="285" t="n"/>
    </row>
    <row r="876" ht="15.75" customHeight="1" s="398">
      <c r="A876" s="284" t="n"/>
      <c r="B876" s="285" t="n"/>
      <c r="C876" s="284" t="n"/>
      <c r="D876" s="284" t="n"/>
      <c r="E876" s="285" t="n"/>
      <c r="F876" s="285" t="n"/>
      <c r="G876" s="336" t="n"/>
      <c r="H876" s="336" t="n"/>
      <c r="I876" s="285" t="n"/>
      <c r="J876" s="285" t="n"/>
      <c r="K876" s="285" t="n"/>
      <c r="L876" s="285" t="n"/>
      <c r="M876" s="285" t="n"/>
      <c r="N876" s="285" t="n"/>
      <c r="O876" s="285" t="n"/>
      <c r="P876" s="285" t="n"/>
      <c r="Q876" s="285" t="n"/>
      <c r="R876" s="285" t="n"/>
      <c r="S876" s="284" t="n"/>
      <c r="T876" s="284" t="n"/>
      <c r="U876" s="285" t="n"/>
      <c r="V876" s="285" t="n"/>
      <c r="W876" s="285" t="n"/>
      <c r="X876" s="285" t="n"/>
      <c r="Y876" s="285" t="n"/>
      <c r="Z876" s="285" t="n"/>
      <c r="AA876" s="285" t="n"/>
    </row>
    <row r="877" ht="15.75" customHeight="1" s="398">
      <c r="A877" s="284" t="n"/>
      <c r="B877" s="285" t="n"/>
      <c r="C877" s="284" t="n"/>
      <c r="D877" s="284" t="n"/>
      <c r="E877" s="285" t="n"/>
      <c r="F877" s="285" t="n"/>
      <c r="G877" s="336" t="n"/>
      <c r="H877" s="336" t="n"/>
      <c r="I877" s="285" t="n"/>
      <c r="J877" s="285" t="n"/>
      <c r="K877" s="285" t="n"/>
      <c r="L877" s="285" t="n"/>
      <c r="M877" s="285" t="n"/>
      <c r="N877" s="285" t="n"/>
      <c r="O877" s="285" t="n"/>
      <c r="P877" s="285" t="n"/>
      <c r="Q877" s="285" t="n"/>
      <c r="R877" s="285" t="n"/>
      <c r="S877" s="284" t="n"/>
      <c r="T877" s="284" t="n"/>
      <c r="U877" s="285" t="n"/>
      <c r="V877" s="285" t="n"/>
      <c r="W877" s="285" t="n"/>
      <c r="X877" s="285" t="n"/>
      <c r="Y877" s="285" t="n"/>
      <c r="Z877" s="285" t="n"/>
      <c r="AA877" s="285" t="n"/>
    </row>
    <row r="878" ht="15.75" customHeight="1" s="398">
      <c r="A878" s="284" t="n"/>
      <c r="B878" s="285" t="n"/>
      <c r="C878" s="284" t="n"/>
      <c r="D878" s="284" t="n"/>
      <c r="E878" s="285" t="n"/>
      <c r="F878" s="285" t="n"/>
      <c r="G878" s="336" t="n"/>
      <c r="H878" s="336" t="n"/>
      <c r="I878" s="285" t="n"/>
      <c r="J878" s="285" t="n"/>
      <c r="K878" s="285" t="n"/>
      <c r="L878" s="285" t="n"/>
      <c r="M878" s="285" t="n"/>
      <c r="N878" s="285" t="n"/>
      <c r="O878" s="285" t="n"/>
      <c r="P878" s="285" t="n"/>
      <c r="Q878" s="285" t="n"/>
      <c r="R878" s="285" t="n"/>
      <c r="S878" s="284" t="n"/>
      <c r="T878" s="284" t="n"/>
      <c r="U878" s="285" t="n"/>
      <c r="V878" s="285" t="n"/>
      <c r="W878" s="285" t="n"/>
      <c r="X878" s="285" t="n"/>
      <c r="Y878" s="285" t="n"/>
      <c r="Z878" s="285" t="n"/>
      <c r="AA878" s="285" t="n"/>
    </row>
    <row r="879" ht="15.75" customHeight="1" s="398">
      <c r="A879" s="284" t="n"/>
      <c r="B879" s="285" t="n"/>
      <c r="C879" s="284" t="n"/>
      <c r="D879" s="284" t="n"/>
      <c r="E879" s="285" t="n"/>
      <c r="F879" s="285" t="n"/>
      <c r="G879" s="336" t="n"/>
      <c r="H879" s="336" t="n"/>
      <c r="I879" s="285" t="n"/>
      <c r="J879" s="285" t="n"/>
      <c r="K879" s="285" t="n"/>
      <c r="L879" s="285" t="n"/>
      <c r="M879" s="285" t="n"/>
      <c r="N879" s="285" t="n"/>
      <c r="O879" s="285" t="n"/>
      <c r="P879" s="285" t="n"/>
      <c r="Q879" s="285" t="n"/>
      <c r="R879" s="285" t="n"/>
      <c r="S879" s="284" t="n"/>
      <c r="T879" s="284" t="n"/>
      <c r="U879" s="285" t="n"/>
      <c r="V879" s="285" t="n"/>
      <c r="W879" s="285" t="n"/>
      <c r="X879" s="285" t="n"/>
      <c r="Y879" s="285" t="n"/>
      <c r="Z879" s="285" t="n"/>
      <c r="AA879" s="285" t="n"/>
    </row>
    <row r="880" ht="15.75" customHeight="1" s="398">
      <c r="A880" s="284" t="n"/>
      <c r="B880" s="285" t="n"/>
      <c r="C880" s="284" t="n"/>
      <c r="D880" s="284" t="n"/>
      <c r="E880" s="285" t="n"/>
      <c r="F880" s="285" t="n"/>
      <c r="G880" s="336" t="n"/>
      <c r="H880" s="336" t="n"/>
      <c r="I880" s="285" t="n"/>
      <c r="J880" s="285" t="n"/>
      <c r="K880" s="285" t="n"/>
      <c r="L880" s="285" t="n"/>
      <c r="M880" s="285" t="n"/>
      <c r="N880" s="285" t="n"/>
      <c r="O880" s="285" t="n"/>
      <c r="P880" s="285" t="n"/>
      <c r="Q880" s="285" t="n"/>
      <c r="R880" s="285" t="n"/>
      <c r="S880" s="284" t="n"/>
      <c r="T880" s="284" t="n"/>
      <c r="U880" s="285" t="n"/>
      <c r="V880" s="285" t="n"/>
      <c r="W880" s="285" t="n"/>
      <c r="X880" s="285" t="n"/>
      <c r="Y880" s="285" t="n"/>
      <c r="Z880" s="285" t="n"/>
      <c r="AA880" s="285" t="n"/>
    </row>
    <row r="881" ht="15.75" customHeight="1" s="398">
      <c r="A881" s="284" t="n"/>
      <c r="B881" s="285" t="n"/>
      <c r="C881" s="284" t="n"/>
      <c r="D881" s="284" t="n"/>
      <c r="E881" s="285" t="n"/>
      <c r="F881" s="285" t="n"/>
      <c r="G881" s="336" t="n"/>
      <c r="H881" s="336" t="n"/>
      <c r="I881" s="285" t="n"/>
      <c r="J881" s="285" t="n"/>
      <c r="K881" s="285" t="n"/>
      <c r="L881" s="285" t="n"/>
      <c r="M881" s="285" t="n"/>
      <c r="N881" s="285" t="n"/>
      <c r="O881" s="285" t="n"/>
      <c r="P881" s="285" t="n"/>
      <c r="Q881" s="285" t="n"/>
      <c r="R881" s="285" t="n"/>
      <c r="S881" s="284" t="n"/>
      <c r="T881" s="284" t="n"/>
      <c r="U881" s="285" t="n"/>
      <c r="V881" s="285" t="n"/>
      <c r="W881" s="285" t="n"/>
      <c r="X881" s="285" t="n"/>
      <c r="Y881" s="285" t="n"/>
      <c r="Z881" s="285" t="n"/>
      <c r="AA881" s="285" t="n"/>
    </row>
    <row r="882" ht="15.75" customHeight="1" s="398">
      <c r="A882" s="284" t="n"/>
      <c r="B882" s="285" t="n"/>
      <c r="C882" s="284" t="n"/>
      <c r="D882" s="284" t="n"/>
      <c r="E882" s="285" t="n"/>
      <c r="F882" s="285" t="n"/>
      <c r="G882" s="336" t="n"/>
      <c r="H882" s="336" t="n"/>
      <c r="I882" s="285" t="n"/>
      <c r="J882" s="285" t="n"/>
      <c r="K882" s="285" t="n"/>
      <c r="L882" s="285" t="n"/>
      <c r="M882" s="285" t="n"/>
      <c r="N882" s="285" t="n"/>
      <c r="O882" s="285" t="n"/>
      <c r="P882" s="285" t="n"/>
      <c r="Q882" s="285" t="n"/>
      <c r="R882" s="285" t="n"/>
      <c r="S882" s="284" t="n"/>
      <c r="T882" s="284" t="n"/>
      <c r="U882" s="285" t="n"/>
      <c r="V882" s="285" t="n"/>
      <c r="W882" s="285" t="n"/>
      <c r="X882" s="285" t="n"/>
      <c r="Y882" s="285" t="n"/>
      <c r="Z882" s="285" t="n"/>
      <c r="AA882" s="285" t="n"/>
    </row>
    <row r="883" ht="15.75" customHeight="1" s="398">
      <c r="A883" s="284" t="n"/>
      <c r="B883" s="285" t="n"/>
      <c r="C883" s="284" t="n"/>
      <c r="D883" s="284" t="n"/>
      <c r="E883" s="285" t="n"/>
      <c r="F883" s="285" t="n"/>
      <c r="G883" s="336" t="n"/>
      <c r="H883" s="336" t="n"/>
      <c r="I883" s="285" t="n"/>
      <c r="J883" s="285" t="n"/>
      <c r="K883" s="285" t="n"/>
      <c r="L883" s="285" t="n"/>
      <c r="M883" s="285" t="n"/>
      <c r="N883" s="285" t="n"/>
      <c r="O883" s="285" t="n"/>
      <c r="P883" s="285" t="n"/>
      <c r="Q883" s="285" t="n"/>
      <c r="R883" s="285" t="n"/>
      <c r="S883" s="284" t="n"/>
      <c r="T883" s="284" t="n"/>
      <c r="U883" s="285" t="n"/>
      <c r="V883" s="285" t="n"/>
      <c r="W883" s="285" t="n"/>
      <c r="X883" s="285" t="n"/>
      <c r="Y883" s="285" t="n"/>
      <c r="Z883" s="285" t="n"/>
      <c r="AA883" s="285" t="n"/>
    </row>
    <row r="884" ht="15.75" customHeight="1" s="398">
      <c r="A884" s="284" t="n"/>
      <c r="B884" s="285" t="n"/>
      <c r="C884" s="284" t="n"/>
      <c r="D884" s="284" t="n"/>
      <c r="E884" s="285" t="n"/>
      <c r="F884" s="285" t="n"/>
      <c r="G884" s="336" t="n"/>
      <c r="H884" s="336" t="n"/>
      <c r="I884" s="285" t="n"/>
      <c r="J884" s="285" t="n"/>
      <c r="K884" s="285" t="n"/>
      <c r="L884" s="285" t="n"/>
      <c r="M884" s="285" t="n"/>
      <c r="N884" s="285" t="n"/>
      <c r="O884" s="285" t="n"/>
      <c r="P884" s="285" t="n"/>
      <c r="Q884" s="285" t="n"/>
      <c r="R884" s="285" t="n"/>
      <c r="S884" s="284" t="n"/>
      <c r="T884" s="284" t="n"/>
      <c r="U884" s="285" t="n"/>
      <c r="V884" s="285" t="n"/>
      <c r="W884" s="285" t="n"/>
      <c r="X884" s="285" t="n"/>
      <c r="Y884" s="285" t="n"/>
      <c r="Z884" s="285" t="n"/>
      <c r="AA884" s="285" t="n"/>
    </row>
    <row r="885" ht="15.75" customHeight="1" s="398">
      <c r="A885" s="284" t="n"/>
      <c r="B885" s="285" t="n"/>
      <c r="C885" s="284" t="n"/>
      <c r="D885" s="284" t="n"/>
      <c r="E885" s="285" t="n"/>
      <c r="F885" s="285" t="n"/>
      <c r="G885" s="336" t="n"/>
      <c r="H885" s="336" t="n"/>
      <c r="I885" s="285" t="n"/>
      <c r="J885" s="285" t="n"/>
      <c r="K885" s="285" t="n"/>
      <c r="L885" s="285" t="n"/>
      <c r="M885" s="285" t="n"/>
      <c r="N885" s="285" t="n"/>
      <c r="O885" s="285" t="n"/>
      <c r="P885" s="285" t="n"/>
      <c r="Q885" s="285" t="n"/>
      <c r="R885" s="285" t="n"/>
      <c r="S885" s="284" t="n"/>
      <c r="T885" s="284" t="n"/>
      <c r="U885" s="285" t="n"/>
      <c r="V885" s="285" t="n"/>
      <c r="W885" s="285" t="n"/>
      <c r="X885" s="285" t="n"/>
      <c r="Y885" s="285" t="n"/>
      <c r="Z885" s="285" t="n"/>
      <c r="AA885" s="285" t="n"/>
    </row>
    <row r="886" ht="15.75" customHeight="1" s="398">
      <c r="A886" s="284" t="n"/>
      <c r="B886" s="285" t="n"/>
      <c r="C886" s="284" t="n"/>
      <c r="D886" s="284" t="n"/>
      <c r="E886" s="285" t="n"/>
      <c r="F886" s="285" t="n"/>
      <c r="G886" s="336" t="n"/>
      <c r="H886" s="336" t="n"/>
      <c r="I886" s="285" t="n"/>
      <c r="J886" s="285" t="n"/>
      <c r="K886" s="285" t="n"/>
      <c r="L886" s="285" t="n"/>
      <c r="M886" s="285" t="n"/>
      <c r="N886" s="285" t="n"/>
      <c r="O886" s="285" t="n"/>
      <c r="P886" s="285" t="n"/>
      <c r="Q886" s="285" t="n"/>
      <c r="R886" s="285" t="n"/>
      <c r="S886" s="284" t="n"/>
      <c r="T886" s="284" t="n"/>
      <c r="U886" s="285" t="n"/>
      <c r="V886" s="285" t="n"/>
      <c r="W886" s="285" t="n"/>
      <c r="X886" s="285" t="n"/>
      <c r="Y886" s="285" t="n"/>
      <c r="Z886" s="285" t="n"/>
      <c r="AA886" s="285" t="n"/>
    </row>
    <row r="887" ht="15.75" customHeight="1" s="398">
      <c r="A887" s="284" t="n"/>
      <c r="B887" s="285" t="n"/>
      <c r="C887" s="284" t="n"/>
      <c r="D887" s="284" t="n"/>
      <c r="E887" s="285" t="n"/>
      <c r="F887" s="285" t="n"/>
      <c r="G887" s="336" t="n"/>
      <c r="H887" s="336" t="n"/>
      <c r="I887" s="285" t="n"/>
      <c r="J887" s="285" t="n"/>
      <c r="K887" s="285" t="n"/>
      <c r="L887" s="285" t="n"/>
      <c r="M887" s="285" t="n"/>
      <c r="N887" s="285" t="n"/>
      <c r="O887" s="285" t="n"/>
      <c r="P887" s="285" t="n"/>
      <c r="Q887" s="285" t="n"/>
      <c r="R887" s="285" t="n"/>
      <c r="S887" s="284" t="n"/>
      <c r="T887" s="284" t="n"/>
      <c r="U887" s="285" t="n"/>
      <c r="V887" s="285" t="n"/>
      <c r="W887" s="285" t="n"/>
      <c r="X887" s="285" t="n"/>
      <c r="Y887" s="285" t="n"/>
      <c r="Z887" s="285" t="n"/>
      <c r="AA887" s="285" t="n"/>
    </row>
    <row r="888" ht="15.75" customHeight="1" s="398">
      <c r="A888" s="284" t="n"/>
      <c r="B888" s="285" t="n"/>
      <c r="C888" s="284" t="n"/>
      <c r="D888" s="284" t="n"/>
      <c r="E888" s="285" t="n"/>
      <c r="F888" s="285" t="n"/>
      <c r="G888" s="336" t="n"/>
      <c r="H888" s="336" t="n"/>
      <c r="I888" s="285" t="n"/>
      <c r="J888" s="285" t="n"/>
      <c r="K888" s="285" t="n"/>
      <c r="L888" s="285" t="n"/>
      <c r="M888" s="285" t="n"/>
      <c r="N888" s="285" t="n"/>
      <c r="O888" s="285" t="n"/>
      <c r="P888" s="285" t="n"/>
      <c r="Q888" s="285" t="n"/>
      <c r="R888" s="285" t="n"/>
      <c r="S888" s="284" t="n"/>
      <c r="T888" s="284" t="n"/>
      <c r="U888" s="285" t="n"/>
      <c r="V888" s="285" t="n"/>
      <c r="W888" s="285" t="n"/>
      <c r="X888" s="285" t="n"/>
      <c r="Y888" s="285" t="n"/>
      <c r="Z888" s="285" t="n"/>
      <c r="AA888" s="285" t="n"/>
    </row>
    <row r="889" ht="15.75" customHeight="1" s="398">
      <c r="A889" s="284" t="n"/>
      <c r="B889" s="285" t="n"/>
      <c r="C889" s="284" t="n"/>
      <c r="D889" s="284" t="n"/>
      <c r="E889" s="285" t="n"/>
      <c r="F889" s="285" t="n"/>
      <c r="G889" s="336" t="n"/>
      <c r="H889" s="336" t="n"/>
      <c r="I889" s="285" t="n"/>
      <c r="J889" s="285" t="n"/>
      <c r="K889" s="285" t="n"/>
      <c r="L889" s="285" t="n"/>
      <c r="M889" s="285" t="n"/>
      <c r="N889" s="285" t="n"/>
      <c r="O889" s="285" t="n"/>
      <c r="P889" s="285" t="n"/>
      <c r="Q889" s="285" t="n"/>
      <c r="R889" s="285" t="n"/>
      <c r="S889" s="284" t="n"/>
      <c r="T889" s="284" t="n"/>
      <c r="U889" s="285" t="n"/>
      <c r="V889" s="285" t="n"/>
      <c r="W889" s="285" t="n"/>
      <c r="X889" s="285" t="n"/>
      <c r="Y889" s="285" t="n"/>
      <c r="Z889" s="285" t="n"/>
      <c r="AA889" s="285" t="n"/>
    </row>
    <row r="890" ht="15.75" customHeight="1" s="398">
      <c r="A890" s="284" t="n"/>
      <c r="B890" s="285" t="n"/>
      <c r="C890" s="284" t="n"/>
      <c r="D890" s="284" t="n"/>
      <c r="E890" s="285" t="n"/>
      <c r="F890" s="285" t="n"/>
      <c r="G890" s="336" t="n"/>
      <c r="H890" s="336" t="n"/>
      <c r="I890" s="285" t="n"/>
      <c r="J890" s="285" t="n"/>
      <c r="K890" s="285" t="n"/>
      <c r="L890" s="285" t="n"/>
      <c r="M890" s="285" t="n"/>
      <c r="N890" s="285" t="n"/>
      <c r="O890" s="285" t="n"/>
      <c r="P890" s="285" t="n"/>
      <c r="Q890" s="285" t="n"/>
      <c r="R890" s="285" t="n"/>
      <c r="S890" s="284" t="n"/>
      <c r="T890" s="284" t="n"/>
      <c r="U890" s="285" t="n"/>
      <c r="V890" s="285" t="n"/>
      <c r="W890" s="285" t="n"/>
      <c r="X890" s="285" t="n"/>
      <c r="Y890" s="285" t="n"/>
      <c r="Z890" s="285" t="n"/>
      <c r="AA890" s="285" t="n"/>
    </row>
    <row r="891" ht="15.75" customHeight="1" s="398">
      <c r="A891" s="284" t="n"/>
      <c r="B891" s="285" t="n"/>
      <c r="C891" s="284" t="n"/>
      <c r="D891" s="284" t="n"/>
      <c r="E891" s="285" t="n"/>
      <c r="F891" s="285" t="n"/>
      <c r="G891" s="336" t="n"/>
      <c r="H891" s="336" t="n"/>
      <c r="I891" s="285" t="n"/>
      <c r="J891" s="285" t="n"/>
      <c r="K891" s="285" t="n"/>
      <c r="L891" s="285" t="n"/>
      <c r="M891" s="285" t="n"/>
      <c r="N891" s="285" t="n"/>
      <c r="O891" s="285" t="n"/>
      <c r="P891" s="285" t="n"/>
      <c r="Q891" s="285" t="n"/>
      <c r="R891" s="285" t="n"/>
      <c r="S891" s="284" t="n"/>
      <c r="T891" s="284" t="n"/>
      <c r="U891" s="285" t="n"/>
      <c r="V891" s="285" t="n"/>
      <c r="W891" s="285" t="n"/>
      <c r="X891" s="285" t="n"/>
      <c r="Y891" s="285" t="n"/>
      <c r="Z891" s="285" t="n"/>
      <c r="AA891" s="285" t="n"/>
    </row>
    <row r="892" ht="15.75" customHeight="1" s="398">
      <c r="A892" s="284" t="n"/>
      <c r="B892" s="285" t="n"/>
      <c r="C892" s="284" t="n"/>
      <c r="D892" s="284" t="n"/>
      <c r="E892" s="285" t="n"/>
      <c r="F892" s="285" t="n"/>
      <c r="G892" s="336" t="n"/>
      <c r="H892" s="336" t="n"/>
      <c r="I892" s="285" t="n"/>
      <c r="J892" s="285" t="n"/>
      <c r="K892" s="285" t="n"/>
      <c r="L892" s="285" t="n"/>
      <c r="M892" s="285" t="n"/>
      <c r="N892" s="285" t="n"/>
      <c r="O892" s="285" t="n"/>
      <c r="P892" s="285" t="n"/>
      <c r="Q892" s="285" t="n"/>
      <c r="R892" s="285" t="n"/>
      <c r="S892" s="284" t="n"/>
      <c r="T892" s="284" t="n"/>
      <c r="U892" s="285" t="n"/>
      <c r="V892" s="285" t="n"/>
      <c r="W892" s="285" t="n"/>
      <c r="X892" s="285" t="n"/>
      <c r="Y892" s="285" t="n"/>
      <c r="Z892" s="285" t="n"/>
      <c r="AA892" s="285" t="n"/>
    </row>
    <row r="893" ht="15.75" customHeight="1" s="398">
      <c r="A893" s="284" t="n"/>
      <c r="B893" s="285" t="n"/>
      <c r="C893" s="284" t="n"/>
      <c r="D893" s="284" t="n"/>
      <c r="E893" s="285" t="n"/>
      <c r="F893" s="285" t="n"/>
      <c r="G893" s="336" t="n"/>
      <c r="H893" s="336" t="n"/>
      <c r="I893" s="285" t="n"/>
      <c r="J893" s="285" t="n"/>
      <c r="K893" s="285" t="n"/>
      <c r="L893" s="285" t="n"/>
      <c r="M893" s="285" t="n"/>
      <c r="N893" s="285" t="n"/>
      <c r="O893" s="285" t="n"/>
      <c r="P893" s="285" t="n"/>
      <c r="Q893" s="285" t="n"/>
      <c r="R893" s="285" t="n"/>
      <c r="S893" s="284" t="n"/>
      <c r="T893" s="284" t="n"/>
      <c r="U893" s="285" t="n"/>
      <c r="V893" s="285" t="n"/>
      <c r="W893" s="285" t="n"/>
      <c r="X893" s="285" t="n"/>
      <c r="Y893" s="285" t="n"/>
      <c r="Z893" s="285" t="n"/>
      <c r="AA893" s="285" t="n"/>
    </row>
    <row r="894" ht="15.75" customHeight="1" s="398">
      <c r="A894" s="284" t="n"/>
      <c r="B894" s="285" t="n"/>
      <c r="C894" s="284" t="n"/>
      <c r="D894" s="284" t="n"/>
      <c r="E894" s="285" t="n"/>
      <c r="F894" s="285" t="n"/>
      <c r="G894" s="336" t="n"/>
      <c r="H894" s="336" t="n"/>
      <c r="I894" s="285" t="n"/>
      <c r="J894" s="285" t="n"/>
      <c r="K894" s="285" t="n"/>
      <c r="L894" s="285" t="n"/>
      <c r="M894" s="285" t="n"/>
      <c r="N894" s="285" t="n"/>
      <c r="O894" s="285" t="n"/>
      <c r="P894" s="285" t="n"/>
      <c r="Q894" s="285" t="n"/>
      <c r="R894" s="285" t="n"/>
      <c r="S894" s="284" t="n"/>
      <c r="T894" s="284" t="n"/>
      <c r="U894" s="285" t="n"/>
      <c r="V894" s="285" t="n"/>
      <c r="W894" s="285" t="n"/>
      <c r="X894" s="285" t="n"/>
      <c r="Y894" s="285" t="n"/>
      <c r="Z894" s="285" t="n"/>
      <c r="AA894" s="285" t="n"/>
    </row>
    <row r="895" ht="15.75" customHeight="1" s="398">
      <c r="A895" s="284" t="n"/>
      <c r="B895" s="285" t="n"/>
      <c r="C895" s="284" t="n"/>
      <c r="D895" s="284" t="n"/>
      <c r="E895" s="285" t="n"/>
      <c r="F895" s="285" t="n"/>
      <c r="G895" s="336" t="n"/>
      <c r="H895" s="336" t="n"/>
      <c r="I895" s="285" t="n"/>
      <c r="J895" s="285" t="n"/>
      <c r="K895" s="285" t="n"/>
      <c r="L895" s="285" t="n"/>
      <c r="M895" s="285" t="n"/>
      <c r="N895" s="285" t="n"/>
      <c r="O895" s="285" t="n"/>
      <c r="P895" s="285" t="n"/>
      <c r="Q895" s="285" t="n"/>
      <c r="R895" s="285" t="n"/>
      <c r="S895" s="284" t="n"/>
      <c r="T895" s="284" t="n"/>
      <c r="U895" s="285" t="n"/>
      <c r="V895" s="285" t="n"/>
      <c r="W895" s="285" t="n"/>
      <c r="X895" s="285" t="n"/>
      <c r="Y895" s="285" t="n"/>
      <c r="Z895" s="285" t="n"/>
      <c r="AA895" s="285" t="n"/>
    </row>
    <row r="896" ht="15.75" customHeight="1" s="398">
      <c r="A896" s="284" t="n"/>
      <c r="B896" s="285" t="n"/>
      <c r="C896" s="284" t="n"/>
      <c r="D896" s="284" t="n"/>
      <c r="E896" s="285" t="n"/>
      <c r="F896" s="285" t="n"/>
      <c r="G896" s="336" t="n"/>
      <c r="H896" s="336" t="n"/>
      <c r="I896" s="285" t="n"/>
      <c r="J896" s="285" t="n"/>
      <c r="K896" s="285" t="n"/>
      <c r="L896" s="285" t="n"/>
      <c r="M896" s="285" t="n"/>
      <c r="N896" s="285" t="n"/>
      <c r="O896" s="285" t="n"/>
      <c r="P896" s="285" t="n"/>
      <c r="Q896" s="285" t="n"/>
      <c r="R896" s="285" t="n"/>
      <c r="S896" s="284" t="n"/>
      <c r="T896" s="284" t="n"/>
      <c r="U896" s="285" t="n"/>
      <c r="V896" s="285" t="n"/>
      <c r="W896" s="285" t="n"/>
      <c r="X896" s="285" t="n"/>
      <c r="Y896" s="285" t="n"/>
      <c r="Z896" s="285" t="n"/>
      <c r="AA896" s="285" t="n"/>
    </row>
    <row r="897" ht="15.75" customHeight="1" s="398">
      <c r="A897" s="284" t="n"/>
      <c r="B897" s="285" t="n"/>
      <c r="C897" s="284" t="n"/>
      <c r="D897" s="284" t="n"/>
      <c r="E897" s="285" t="n"/>
      <c r="F897" s="285" t="n"/>
      <c r="G897" s="336" t="n"/>
      <c r="H897" s="336" t="n"/>
      <c r="I897" s="285" t="n"/>
      <c r="J897" s="285" t="n"/>
      <c r="K897" s="285" t="n"/>
      <c r="L897" s="285" t="n"/>
      <c r="M897" s="285" t="n"/>
      <c r="N897" s="285" t="n"/>
      <c r="O897" s="285" t="n"/>
      <c r="P897" s="285" t="n"/>
      <c r="Q897" s="285" t="n"/>
      <c r="R897" s="285" t="n"/>
      <c r="S897" s="284" t="n"/>
      <c r="T897" s="284" t="n"/>
      <c r="U897" s="285" t="n"/>
      <c r="V897" s="285" t="n"/>
      <c r="W897" s="285" t="n"/>
      <c r="X897" s="285" t="n"/>
      <c r="Y897" s="285" t="n"/>
      <c r="Z897" s="285" t="n"/>
      <c r="AA897" s="285" t="n"/>
    </row>
    <row r="898" ht="15.75" customHeight="1" s="398">
      <c r="A898" s="284" t="n"/>
      <c r="B898" s="285" t="n"/>
      <c r="C898" s="284" t="n"/>
      <c r="D898" s="284" t="n"/>
      <c r="E898" s="285" t="n"/>
      <c r="F898" s="285" t="n"/>
      <c r="G898" s="336" t="n"/>
      <c r="H898" s="336" t="n"/>
      <c r="I898" s="285" t="n"/>
      <c r="J898" s="285" t="n"/>
      <c r="K898" s="285" t="n"/>
      <c r="L898" s="285" t="n"/>
      <c r="M898" s="285" t="n"/>
      <c r="N898" s="285" t="n"/>
      <c r="O898" s="285" t="n"/>
      <c r="P898" s="285" t="n"/>
      <c r="Q898" s="285" t="n"/>
      <c r="R898" s="285" t="n"/>
      <c r="S898" s="284" t="n"/>
      <c r="T898" s="284" t="n"/>
      <c r="U898" s="285" t="n"/>
      <c r="V898" s="285" t="n"/>
      <c r="W898" s="285" t="n"/>
      <c r="X898" s="285" t="n"/>
      <c r="Y898" s="285" t="n"/>
      <c r="Z898" s="285" t="n"/>
      <c r="AA898" s="285" t="n"/>
    </row>
    <row r="899" ht="15.75" customHeight="1" s="398">
      <c r="A899" s="284" t="n"/>
      <c r="B899" s="285" t="n"/>
      <c r="C899" s="284" t="n"/>
      <c r="D899" s="284" t="n"/>
      <c r="E899" s="285" t="n"/>
      <c r="F899" s="285" t="n"/>
      <c r="G899" s="336" t="n"/>
      <c r="H899" s="336" t="n"/>
      <c r="I899" s="285" t="n"/>
      <c r="J899" s="285" t="n"/>
      <c r="K899" s="285" t="n"/>
      <c r="L899" s="285" t="n"/>
      <c r="M899" s="285" t="n"/>
      <c r="N899" s="285" t="n"/>
      <c r="O899" s="285" t="n"/>
      <c r="P899" s="285" t="n"/>
      <c r="Q899" s="285" t="n"/>
      <c r="R899" s="285" t="n"/>
      <c r="S899" s="284" t="n"/>
      <c r="T899" s="284" t="n"/>
      <c r="U899" s="285" t="n"/>
      <c r="V899" s="285" t="n"/>
      <c r="W899" s="285" t="n"/>
      <c r="X899" s="285" t="n"/>
      <c r="Y899" s="285" t="n"/>
      <c r="Z899" s="285" t="n"/>
      <c r="AA899" s="285" t="n"/>
    </row>
    <row r="900" ht="15.75" customHeight="1" s="398">
      <c r="A900" s="284" t="n"/>
      <c r="B900" s="285" t="n"/>
      <c r="C900" s="284" t="n"/>
      <c r="D900" s="284" t="n"/>
      <c r="E900" s="285" t="n"/>
      <c r="F900" s="285" t="n"/>
      <c r="G900" s="336" t="n"/>
      <c r="H900" s="336" t="n"/>
      <c r="I900" s="285" t="n"/>
      <c r="J900" s="285" t="n"/>
      <c r="K900" s="285" t="n"/>
      <c r="L900" s="285" t="n"/>
      <c r="M900" s="285" t="n"/>
      <c r="N900" s="285" t="n"/>
      <c r="O900" s="285" t="n"/>
      <c r="P900" s="285" t="n"/>
      <c r="Q900" s="285" t="n"/>
      <c r="R900" s="285" t="n"/>
      <c r="S900" s="284" t="n"/>
      <c r="T900" s="284" t="n"/>
      <c r="U900" s="285" t="n"/>
      <c r="V900" s="285" t="n"/>
      <c r="W900" s="285" t="n"/>
      <c r="X900" s="285" t="n"/>
      <c r="Y900" s="285" t="n"/>
      <c r="Z900" s="285" t="n"/>
      <c r="AA900" s="285" t="n"/>
    </row>
    <row r="901" ht="15.75" customHeight="1" s="398">
      <c r="A901" s="284" t="n"/>
      <c r="B901" s="285" t="n"/>
      <c r="C901" s="284" t="n"/>
      <c r="D901" s="284" t="n"/>
      <c r="E901" s="285" t="n"/>
      <c r="F901" s="285" t="n"/>
      <c r="G901" s="336" t="n"/>
      <c r="H901" s="336" t="n"/>
      <c r="I901" s="285" t="n"/>
      <c r="J901" s="285" t="n"/>
      <c r="K901" s="285" t="n"/>
      <c r="L901" s="285" t="n"/>
      <c r="M901" s="285" t="n"/>
      <c r="N901" s="285" t="n"/>
      <c r="O901" s="285" t="n"/>
      <c r="P901" s="285" t="n"/>
      <c r="Q901" s="285" t="n"/>
      <c r="R901" s="285" t="n"/>
      <c r="S901" s="284" t="n"/>
      <c r="T901" s="284" t="n"/>
      <c r="U901" s="285" t="n"/>
      <c r="V901" s="285" t="n"/>
      <c r="W901" s="285" t="n"/>
      <c r="X901" s="285" t="n"/>
      <c r="Y901" s="285" t="n"/>
      <c r="Z901" s="285" t="n"/>
      <c r="AA901" s="285" t="n"/>
    </row>
    <row r="902" ht="15.75" customHeight="1" s="398">
      <c r="A902" s="284" t="n"/>
      <c r="B902" s="285" t="n"/>
      <c r="C902" s="284" t="n"/>
      <c r="D902" s="284" t="n"/>
      <c r="E902" s="285" t="n"/>
      <c r="F902" s="285" t="n"/>
      <c r="G902" s="336" t="n"/>
      <c r="H902" s="336" t="n"/>
      <c r="I902" s="285" t="n"/>
      <c r="J902" s="285" t="n"/>
      <c r="K902" s="285" t="n"/>
      <c r="L902" s="285" t="n"/>
      <c r="M902" s="285" t="n"/>
      <c r="N902" s="285" t="n"/>
      <c r="O902" s="285" t="n"/>
      <c r="P902" s="285" t="n"/>
      <c r="Q902" s="285" t="n"/>
      <c r="R902" s="285" t="n"/>
      <c r="S902" s="284" t="n"/>
      <c r="T902" s="284" t="n"/>
      <c r="U902" s="285" t="n"/>
      <c r="V902" s="285" t="n"/>
      <c r="W902" s="285" t="n"/>
      <c r="X902" s="285" t="n"/>
      <c r="Y902" s="285" t="n"/>
      <c r="Z902" s="285" t="n"/>
      <c r="AA902" s="285" t="n"/>
    </row>
    <row r="903" ht="15.75" customHeight="1" s="398">
      <c r="A903" s="284" t="n"/>
      <c r="B903" s="285" t="n"/>
      <c r="C903" s="284" t="n"/>
      <c r="D903" s="284" t="n"/>
      <c r="E903" s="285" t="n"/>
      <c r="F903" s="285" t="n"/>
      <c r="G903" s="336" t="n"/>
      <c r="H903" s="336" t="n"/>
      <c r="I903" s="285" t="n"/>
      <c r="J903" s="285" t="n"/>
      <c r="K903" s="285" t="n"/>
      <c r="L903" s="285" t="n"/>
      <c r="M903" s="285" t="n"/>
      <c r="N903" s="285" t="n"/>
      <c r="O903" s="285" t="n"/>
      <c r="P903" s="285" t="n"/>
      <c r="Q903" s="285" t="n"/>
      <c r="R903" s="285" t="n"/>
      <c r="S903" s="284" t="n"/>
      <c r="T903" s="284" t="n"/>
      <c r="U903" s="285" t="n"/>
      <c r="V903" s="285" t="n"/>
      <c r="W903" s="285" t="n"/>
      <c r="X903" s="285" t="n"/>
      <c r="Y903" s="285" t="n"/>
      <c r="Z903" s="285" t="n"/>
      <c r="AA903" s="285" t="n"/>
    </row>
    <row r="904" ht="15.75" customHeight="1" s="398">
      <c r="A904" s="284" t="n"/>
      <c r="B904" s="285" t="n"/>
      <c r="C904" s="284" t="n"/>
      <c r="D904" s="284" t="n"/>
      <c r="E904" s="285" t="n"/>
      <c r="F904" s="285" t="n"/>
      <c r="G904" s="336" t="n"/>
      <c r="H904" s="336" t="n"/>
      <c r="I904" s="285" t="n"/>
      <c r="J904" s="285" t="n"/>
      <c r="K904" s="285" t="n"/>
      <c r="L904" s="285" t="n"/>
      <c r="M904" s="285" t="n"/>
      <c r="N904" s="285" t="n"/>
      <c r="O904" s="285" t="n"/>
      <c r="P904" s="285" t="n"/>
      <c r="Q904" s="285" t="n"/>
      <c r="R904" s="285" t="n"/>
      <c r="S904" s="284" t="n"/>
      <c r="T904" s="284" t="n"/>
      <c r="U904" s="285" t="n"/>
      <c r="V904" s="285" t="n"/>
      <c r="W904" s="285" t="n"/>
      <c r="X904" s="285" t="n"/>
      <c r="Y904" s="285" t="n"/>
      <c r="Z904" s="285" t="n"/>
      <c r="AA904" s="285" t="n"/>
    </row>
    <row r="905" ht="15.75" customHeight="1" s="398">
      <c r="A905" s="284" t="n"/>
      <c r="B905" s="285" t="n"/>
      <c r="C905" s="284" t="n"/>
      <c r="D905" s="284" t="n"/>
      <c r="E905" s="285" t="n"/>
      <c r="F905" s="285" t="n"/>
      <c r="G905" s="336" t="n"/>
      <c r="H905" s="336" t="n"/>
      <c r="I905" s="285" t="n"/>
      <c r="J905" s="285" t="n"/>
      <c r="K905" s="285" t="n"/>
      <c r="L905" s="285" t="n"/>
      <c r="M905" s="285" t="n"/>
      <c r="N905" s="285" t="n"/>
      <c r="O905" s="285" t="n"/>
      <c r="P905" s="285" t="n"/>
      <c r="Q905" s="285" t="n"/>
      <c r="R905" s="285" t="n"/>
      <c r="S905" s="284" t="n"/>
      <c r="T905" s="284" t="n"/>
      <c r="U905" s="285" t="n"/>
      <c r="V905" s="285" t="n"/>
      <c r="W905" s="285" t="n"/>
      <c r="X905" s="285" t="n"/>
      <c r="Y905" s="285" t="n"/>
      <c r="Z905" s="285" t="n"/>
      <c r="AA905" s="285" t="n"/>
    </row>
    <row r="906" ht="15.75" customHeight="1" s="398">
      <c r="A906" s="284" t="n"/>
      <c r="B906" s="285" t="n"/>
      <c r="C906" s="284" t="n"/>
      <c r="D906" s="284" t="n"/>
      <c r="E906" s="285" t="n"/>
      <c r="F906" s="285" t="n"/>
      <c r="G906" s="336" t="n"/>
      <c r="H906" s="336" t="n"/>
      <c r="I906" s="285" t="n"/>
      <c r="J906" s="285" t="n"/>
      <c r="K906" s="285" t="n"/>
      <c r="L906" s="285" t="n"/>
      <c r="M906" s="285" t="n"/>
      <c r="N906" s="285" t="n"/>
      <c r="O906" s="285" t="n"/>
      <c r="P906" s="285" t="n"/>
      <c r="Q906" s="285" t="n"/>
      <c r="R906" s="285" t="n"/>
      <c r="S906" s="284" t="n"/>
      <c r="T906" s="284" t="n"/>
      <c r="U906" s="285" t="n"/>
      <c r="V906" s="285" t="n"/>
      <c r="W906" s="285" t="n"/>
      <c r="X906" s="285" t="n"/>
      <c r="Y906" s="285" t="n"/>
      <c r="Z906" s="285" t="n"/>
      <c r="AA906" s="285" t="n"/>
    </row>
    <row r="907" ht="15.75" customHeight="1" s="398">
      <c r="A907" s="284" t="n"/>
      <c r="B907" s="285" t="n"/>
      <c r="C907" s="284" t="n"/>
      <c r="D907" s="284" t="n"/>
      <c r="E907" s="285" t="n"/>
      <c r="F907" s="285" t="n"/>
      <c r="G907" s="336" t="n"/>
      <c r="H907" s="336" t="n"/>
      <c r="I907" s="285" t="n"/>
      <c r="J907" s="285" t="n"/>
      <c r="K907" s="285" t="n"/>
      <c r="L907" s="285" t="n"/>
      <c r="M907" s="285" t="n"/>
      <c r="N907" s="285" t="n"/>
      <c r="O907" s="285" t="n"/>
      <c r="P907" s="285" t="n"/>
      <c r="Q907" s="285" t="n"/>
      <c r="R907" s="285" t="n"/>
      <c r="S907" s="284" t="n"/>
      <c r="T907" s="284" t="n"/>
      <c r="U907" s="285" t="n"/>
      <c r="V907" s="285" t="n"/>
      <c r="W907" s="285" t="n"/>
      <c r="X907" s="285" t="n"/>
      <c r="Y907" s="285" t="n"/>
      <c r="Z907" s="285" t="n"/>
      <c r="AA907" s="285" t="n"/>
    </row>
    <row r="908" ht="15.75" customHeight="1" s="398">
      <c r="A908" s="284" t="n"/>
      <c r="B908" s="285" t="n"/>
      <c r="C908" s="284" t="n"/>
      <c r="D908" s="284" t="n"/>
      <c r="E908" s="285" t="n"/>
      <c r="F908" s="285" t="n"/>
      <c r="G908" s="336" t="n"/>
      <c r="H908" s="336" t="n"/>
      <c r="I908" s="285" t="n"/>
      <c r="J908" s="285" t="n"/>
      <c r="K908" s="285" t="n"/>
      <c r="L908" s="285" t="n"/>
      <c r="M908" s="285" t="n"/>
      <c r="N908" s="285" t="n"/>
      <c r="O908" s="285" t="n"/>
      <c r="P908" s="285" t="n"/>
      <c r="Q908" s="285" t="n"/>
      <c r="R908" s="285" t="n"/>
      <c r="S908" s="284" t="n"/>
      <c r="T908" s="284" t="n"/>
      <c r="U908" s="285" t="n"/>
      <c r="V908" s="285" t="n"/>
      <c r="W908" s="285" t="n"/>
      <c r="X908" s="285" t="n"/>
      <c r="Y908" s="285" t="n"/>
      <c r="Z908" s="285" t="n"/>
      <c r="AA908" s="285" t="n"/>
    </row>
    <row r="909" ht="15.75" customHeight="1" s="398">
      <c r="A909" s="284" t="n"/>
      <c r="B909" s="285" t="n"/>
      <c r="C909" s="284" t="n"/>
      <c r="D909" s="284" t="n"/>
      <c r="E909" s="285" t="n"/>
      <c r="F909" s="285" t="n"/>
      <c r="G909" s="336" t="n"/>
      <c r="H909" s="336" t="n"/>
      <c r="I909" s="285" t="n"/>
      <c r="J909" s="285" t="n"/>
      <c r="K909" s="285" t="n"/>
      <c r="L909" s="285" t="n"/>
      <c r="M909" s="285" t="n"/>
      <c r="N909" s="285" t="n"/>
      <c r="O909" s="285" t="n"/>
      <c r="P909" s="285" t="n"/>
      <c r="Q909" s="285" t="n"/>
      <c r="R909" s="285" t="n"/>
      <c r="S909" s="284" t="n"/>
      <c r="T909" s="284" t="n"/>
      <c r="U909" s="285" t="n"/>
      <c r="V909" s="285" t="n"/>
      <c r="W909" s="285" t="n"/>
      <c r="X909" s="285" t="n"/>
      <c r="Y909" s="285" t="n"/>
      <c r="Z909" s="285" t="n"/>
      <c r="AA909" s="285" t="n"/>
    </row>
    <row r="910" ht="15.75" customHeight="1" s="398">
      <c r="A910" s="284" t="n"/>
      <c r="B910" s="285" t="n"/>
      <c r="C910" s="284" t="n"/>
      <c r="D910" s="284" t="n"/>
      <c r="E910" s="285" t="n"/>
      <c r="F910" s="285" t="n"/>
      <c r="G910" s="336" t="n"/>
      <c r="H910" s="336" t="n"/>
      <c r="I910" s="285" t="n"/>
      <c r="J910" s="285" t="n"/>
      <c r="K910" s="285" t="n"/>
      <c r="L910" s="285" t="n"/>
      <c r="M910" s="285" t="n"/>
      <c r="N910" s="285" t="n"/>
      <c r="O910" s="285" t="n"/>
      <c r="P910" s="285" t="n"/>
      <c r="Q910" s="285" t="n"/>
      <c r="R910" s="285" t="n"/>
      <c r="S910" s="284" t="n"/>
      <c r="T910" s="284" t="n"/>
      <c r="U910" s="285" t="n"/>
      <c r="V910" s="285" t="n"/>
      <c r="W910" s="285" t="n"/>
      <c r="X910" s="285" t="n"/>
      <c r="Y910" s="285" t="n"/>
      <c r="Z910" s="285" t="n"/>
      <c r="AA910" s="285" t="n"/>
    </row>
    <row r="911" ht="15.75" customHeight="1" s="398">
      <c r="A911" s="284" t="n"/>
      <c r="B911" s="285" t="n"/>
      <c r="C911" s="284" t="n"/>
      <c r="D911" s="284" t="n"/>
      <c r="E911" s="285" t="n"/>
      <c r="F911" s="285" t="n"/>
      <c r="G911" s="336" t="n"/>
      <c r="H911" s="336" t="n"/>
      <c r="I911" s="285" t="n"/>
      <c r="J911" s="285" t="n"/>
      <c r="K911" s="285" t="n"/>
      <c r="L911" s="285" t="n"/>
      <c r="M911" s="285" t="n"/>
      <c r="N911" s="285" t="n"/>
      <c r="O911" s="285" t="n"/>
      <c r="P911" s="285" t="n"/>
      <c r="Q911" s="285" t="n"/>
      <c r="R911" s="285" t="n"/>
      <c r="S911" s="284" t="n"/>
      <c r="T911" s="284" t="n"/>
      <c r="U911" s="285" t="n"/>
      <c r="V911" s="285" t="n"/>
      <c r="W911" s="285" t="n"/>
      <c r="X911" s="285" t="n"/>
      <c r="Y911" s="285" t="n"/>
      <c r="Z911" s="285" t="n"/>
      <c r="AA911" s="285" t="n"/>
    </row>
    <row r="912" ht="15.75" customHeight="1" s="398">
      <c r="A912" s="284" t="n"/>
      <c r="B912" s="285" t="n"/>
      <c r="C912" s="284" t="n"/>
      <c r="D912" s="284" t="n"/>
      <c r="E912" s="285" t="n"/>
      <c r="F912" s="285" t="n"/>
      <c r="G912" s="336" t="n"/>
      <c r="H912" s="336" t="n"/>
      <c r="I912" s="285" t="n"/>
      <c r="J912" s="285" t="n"/>
      <c r="K912" s="285" t="n"/>
      <c r="L912" s="285" t="n"/>
      <c r="M912" s="285" t="n"/>
      <c r="N912" s="285" t="n"/>
      <c r="O912" s="285" t="n"/>
      <c r="P912" s="285" t="n"/>
      <c r="Q912" s="285" t="n"/>
      <c r="R912" s="285" t="n"/>
      <c r="S912" s="284" t="n"/>
      <c r="T912" s="284" t="n"/>
      <c r="U912" s="285" t="n"/>
      <c r="V912" s="285" t="n"/>
      <c r="W912" s="285" t="n"/>
      <c r="X912" s="285" t="n"/>
      <c r="Y912" s="285" t="n"/>
      <c r="Z912" s="285" t="n"/>
      <c r="AA912" s="285" t="n"/>
    </row>
    <row r="913" ht="15.75" customHeight="1" s="398">
      <c r="A913" s="284" t="n"/>
      <c r="B913" s="285" t="n"/>
      <c r="C913" s="284" t="n"/>
      <c r="D913" s="284" t="n"/>
      <c r="E913" s="285" t="n"/>
      <c r="F913" s="285" t="n"/>
      <c r="G913" s="336" t="n"/>
      <c r="H913" s="336" t="n"/>
      <c r="I913" s="285" t="n"/>
      <c r="J913" s="285" t="n"/>
      <c r="K913" s="285" t="n"/>
      <c r="L913" s="285" t="n"/>
      <c r="M913" s="285" t="n"/>
      <c r="N913" s="285" t="n"/>
      <c r="O913" s="285" t="n"/>
      <c r="P913" s="285" t="n"/>
      <c r="Q913" s="285" t="n"/>
      <c r="R913" s="285" t="n"/>
      <c r="S913" s="284" t="n"/>
      <c r="T913" s="284" t="n"/>
      <c r="U913" s="285" t="n"/>
      <c r="V913" s="285" t="n"/>
      <c r="W913" s="285" t="n"/>
      <c r="X913" s="285" t="n"/>
      <c r="Y913" s="285" t="n"/>
      <c r="Z913" s="285" t="n"/>
      <c r="AA913" s="285" t="n"/>
    </row>
    <row r="914" ht="15.75" customHeight="1" s="398">
      <c r="A914" s="284" t="n"/>
      <c r="B914" s="285" t="n"/>
      <c r="C914" s="284" t="n"/>
      <c r="D914" s="284" t="n"/>
      <c r="E914" s="285" t="n"/>
      <c r="F914" s="285" t="n"/>
      <c r="G914" s="336" t="n"/>
      <c r="H914" s="336" t="n"/>
      <c r="I914" s="285" t="n"/>
      <c r="J914" s="285" t="n"/>
      <c r="K914" s="285" t="n"/>
      <c r="L914" s="285" t="n"/>
      <c r="M914" s="285" t="n"/>
      <c r="N914" s="285" t="n"/>
      <c r="O914" s="285" t="n"/>
      <c r="P914" s="285" t="n"/>
      <c r="Q914" s="285" t="n"/>
      <c r="R914" s="285" t="n"/>
      <c r="S914" s="284" t="n"/>
      <c r="T914" s="284" t="n"/>
      <c r="U914" s="285" t="n"/>
      <c r="V914" s="285" t="n"/>
      <c r="W914" s="285" t="n"/>
      <c r="X914" s="285" t="n"/>
      <c r="Y914" s="285" t="n"/>
      <c r="Z914" s="285" t="n"/>
      <c r="AA914" s="285" t="n"/>
    </row>
    <row r="915" ht="15.75" customHeight="1" s="398">
      <c r="A915" s="284" t="n"/>
      <c r="B915" s="285" t="n"/>
      <c r="C915" s="284" t="n"/>
      <c r="D915" s="284" t="n"/>
      <c r="E915" s="285" t="n"/>
      <c r="F915" s="285" t="n"/>
      <c r="G915" s="336" t="n"/>
      <c r="H915" s="336" t="n"/>
      <c r="I915" s="285" t="n"/>
      <c r="J915" s="285" t="n"/>
      <c r="K915" s="285" t="n"/>
      <c r="L915" s="285" t="n"/>
      <c r="M915" s="285" t="n"/>
      <c r="N915" s="285" t="n"/>
      <c r="O915" s="285" t="n"/>
      <c r="P915" s="285" t="n"/>
      <c r="Q915" s="285" t="n"/>
      <c r="R915" s="285" t="n"/>
      <c r="S915" s="284" t="n"/>
      <c r="T915" s="284" t="n"/>
      <c r="U915" s="285" t="n"/>
      <c r="V915" s="285" t="n"/>
      <c r="W915" s="285" t="n"/>
      <c r="X915" s="285" t="n"/>
      <c r="Y915" s="285" t="n"/>
      <c r="Z915" s="285" t="n"/>
      <c r="AA915" s="285" t="n"/>
    </row>
    <row r="916" ht="15.75" customHeight="1" s="398">
      <c r="A916" s="284" t="n"/>
      <c r="B916" s="285" t="n"/>
      <c r="C916" s="284" t="n"/>
      <c r="D916" s="284" t="n"/>
      <c r="E916" s="285" t="n"/>
      <c r="F916" s="285" t="n"/>
      <c r="G916" s="336" t="n"/>
      <c r="H916" s="336" t="n"/>
      <c r="I916" s="285" t="n"/>
      <c r="J916" s="285" t="n"/>
      <c r="K916" s="285" t="n"/>
      <c r="L916" s="285" t="n"/>
      <c r="M916" s="285" t="n"/>
      <c r="N916" s="285" t="n"/>
      <c r="O916" s="285" t="n"/>
      <c r="P916" s="285" t="n"/>
      <c r="Q916" s="285" t="n"/>
      <c r="R916" s="285" t="n"/>
      <c r="S916" s="284" t="n"/>
      <c r="T916" s="284" t="n"/>
      <c r="U916" s="285" t="n"/>
      <c r="V916" s="285" t="n"/>
      <c r="W916" s="285" t="n"/>
      <c r="X916" s="285" t="n"/>
      <c r="Y916" s="285" t="n"/>
      <c r="Z916" s="285" t="n"/>
      <c r="AA916" s="285" t="n"/>
    </row>
    <row r="917" ht="15.75" customHeight="1" s="398">
      <c r="A917" s="284" t="n"/>
      <c r="B917" s="285" t="n"/>
      <c r="C917" s="284" t="n"/>
      <c r="D917" s="284" t="n"/>
      <c r="E917" s="285" t="n"/>
      <c r="F917" s="285" t="n"/>
      <c r="G917" s="336" t="n"/>
      <c r="H917" s="336" t="n"/>
      <c r="I917" s="285" t="n"/>
      <c r="J917" s="285" t="n"/>
      <c r="K917" s="285" t="n"/>
      <c r="L917" s="285" t="n"/>
      <c r="M917" s="285" t="n"/>
      <c r="N917" s="285" t="n"/>
      <c r="O917" s="285" t="n"/>
      <c r="P917" s="285" t="n"/>
      <c r="Q917" s="285" t="n"/>
      <c r="R917" s="285" t="n"/>
      <c r="S917" s="284" t="n"/>
      <c r="T917" s="284" t="n"/>
      <c r="U917" s="285" t="n"/>
      <c r="V917" s="285" t="n"/>
      <c r="W917" s="285" t="n"/>
      <c r="X917" s="285" t="n"/>
      <c r="Y917" s="285" t="n"/>
      <c r="Z917" s="285" t="n"/>
      <c r="AA917" s="285" t="n"/>
    </row>
    <row r="918" ht="15.75" customHeight="1" s="398">
      <c r="A918" s="284" t="n"/>
      <c r="B918" s="285" t="n"/>
      <c r="C918" s="284" t="n"/>
      <c r="D918" s="284" t="n"/>
      <c r="E918" s="285" t="n"/>
      <c r="F918" s="285" t="n"/>
      <c r="G918" s="336" t="n"/>
      <c r="H918" s="336" t="n"/>
      <c r="I918" s="285" t="n"/>
      <c r="J918" s="285" t="n"/>
      <c r="K918" s="285" t="n"/>
      <c r="L918" s="285" t="n"/>
      <c r="M918" s="285" t="n"/>
      <c r="N918" s="285" t="n"/>
      <c r="O918" s="285" t="n"/>
      <c r="P918" s="285" t="n"/>
      <c r="Q918" s="285" t="n"/>
      <c r="R918" s="285" t="n"/>
      <c r="S918" s="284" t="n"/>
      <c r="T918" s="284" t="n"/>
      <c r="U918" s="285" t="n"/>
      <c r="V918" s="285" t="n"/>
      <c r="W918" s="285" t="n"/>
      <c r="X918" s="285" t="n"/>
      <c r="Y918" s="285" t="n"/>
      <c r="Z918" s="285" t="n"/>
      <c r="AA918" s="285" t="n"/>
    </row>
    <row r="919" ht="15.75" customHeight="1" s="398">
      <c r="A919" s="284" t="n"/>
      <c r="B919" s="285" t="n"/>
      <c r="C919" s="284" t="n"/>
      <c r="D919" s="284" t="n"/>
      <c r="E919" s="285" t="n"/>
      <c r="F919" s="285" t="n"/>
      <c r="G919" s="336" t="n"/>
      <c r="H919" s="336" t="n"/>
      <c r="I919" s="285" t="n"/>
      <c r="J919" s="285" t="n"/>
      <c r="K919" s="285" t="n"/>
      <c r="L919" s="285" t="n"/>
      <c r="M919" s="285" t="n"/>
      <c r="N919" s="285" t="n"/>
      <c r="O919" s="285" t="n"/>
      <c r="P919" s="285" t="n"/>
      <c r="Q919" s="285" t="n"/>
      <c r="R919" s="285" t="n"/>
      <c r="S919" s="284" t="n"/>
      <c r="T919" s="284" t="n"/>
      <c r="U919" s="285" t="n"/>
      <c r="V919" s="285" t="n"/>
      <c r="W919" s="285" t="n"/>
      <c r="X919" s="285" t="n"/>
      <c r="Y919" s="285" t="n"/>
      <c r="Z919" s="285" t="n"/>
      <c r="AA919" s="285" t="n"/>
    </row>
    <row r="920" ht="15.75" customHeight="1" s="398">
      <c r="A920" s="284" t="n"/>
      <c r="B920" s="285" t="n"/>
      <c r="C920" s="284" t="n"/>
      <c r="D920" s="284" t="n"/>
      <c r="E920" s="285" t="n"/>
      <c r="F920" s="285" t="n"/>
      <c r="G920" s="336" t="n"/>
      <c r="H920" s="336" t="n"/>
      <c r="I920" s="285" t="n"/>
      <c r="J920" s="285" t="n"/>
      <c r="K920" s="285" t="n"/>
      <c r="L920" s="285" t="n"/>
      <c r="M920" s="285" t="n"/>
      <c r="N920" s="285" t="n"/>
      <c r="O920" s="285" t="n"/>
      <c r="P920" s="285" t="n"/>
      <c r="Q920" s="285" t="n"/>
      <c r="R920" s="285" t="n"/>
      <c r="S920" s="284" t="n"/>
      <c r="T920" s="284" t="n"/>
      <c r="U920" s="285" t="n"/>
      <c r="V920" s="285" t="n"/>
      <c r="W920" s="285" t="n"/>
      <c r="X920" s="285" t="n"/>
      <c r="Y920" s="285" t="n"/>
      <c r="Z920" s="285" t="n"/>
      <c r="AA920" s="285" t="n"/>
    </row>
    <row r="921" ht="15.75" customHeight="1" s="398">
      <c r="A921" s="284" t="n"/>
      <c r="B921" s="285" t="n"/>
      <c r="C921" s="284" t="n"/>
      <c r="D921" s="284" t="n"/>
      <c r="E921" s="285" t="n"/>
      <c r="F921" s="285" t="n"/>
      <c r="G921" s="336" t="n"/>
      <c r="H921" s="336" t="n"/>
      <c r="I921" s="285" t="n"/>
      <c r="J921" s="285" t="n"/>
      <c r="K921" s="285" t="n"/>
      <c r="L921" s="285" t="n"/>
      <c r="M921" s="285" t="n"/>
      <c r="N921" s="285" t="n"/>
      <c r="O921" s="285" t="n"/>
      <c r="P921" s="285" t="n"/>
      <c r="Q921" s="285" t="n"/>
      <c r="R921" s="285" t="n"/>
      <c r="S921" s="284" t="n"/>
      <c r="T921" s="284" t="n"/>
      <c r="U921" s="285" t="n"/>
      <c r="V921" s="285" t="n"/>
      <c r="W921" s="285" t="n"/>
      <c r="X921" s="285" t="n"/>
      <c r="Y921" s="285" t="n"/>
      <c r="Z921" s="285" t="n"/>
      <c r="AA921" s="285" t="n"/>
    </row>
    <row r="922" ht="15.75" customHeight="1" s="398">
      <c r="A922" s="284" t="n"/>
      <c r="B922" s="285" t="n"/>
      <c r="C922" s="284" t="n"/>
      <c r="D922" s="284" t="n"/>
      <c r="E922" s="285" t="n"/>
      <c r="F922" s="285" t="n"/>
      <c r="G922" s="336" t="n"/>
      <c r="H922" s="336" t="n"/>
      <c r="I922" s="285" t="n"/>
      <c r="J922" s="285" t="n"/>
      <c r="K922" s="285" t="n"/>
      <c r="L922" s="285" t="n"/>
      <c r="M922" s="285" t="n"/>
      <c r="N922" s="285" t="n"/>
      <c r="O922" s="285" t="n"/>
      <c r="P922" s="285" t="n"/>
      <c r="Q922" s="285" t="n"/>
      <c r="R922" s="285" t="n"/>
      <c r="S922" s="284" t="n"/>
      <c r="T922" s="284" t="n"/>
      <c r="U922" s="285" t="n"/>
      <c r="V922" s="285" t="n"/>
      <c r="W922" s="285" t="n"/>
      <c r="X922" s="285" t="n"/>
      <c r="Y922" s="285" t="n"/>
      <c r="Z922" s="285" t="n"/>
      <c r="AA922" s="285" t="n"/>
    </row>
    <row r="923" ht="15.75" customHeight="1" s="398">
      <c r="A923" s="284" t="n"/>
      <c r="B923" s="285" t="n"/>
      <c r="C923" s="284" t="n"/>
      <c r="D923" s="284" t="n"/>
      <c r="E923" s="285" t="n"/>
      <c r="F923" s="285" t="n"/>
      <c r="G923" s="336" t="n"/>
      <c r="H923" s="336" t="n"/>
      <c r="I923" s="285" t="n"/>
      <c r="J923" s="285" t="n"/>
      <c r="K923" s="285" t="n"/>
      <c r="L923" s="285" t="n"/>
      <c r="M923" s="285" t="n"/>
      <c r="N923" s="285" t="n"/>
      <c r="O923" s="285" t="n"/>
      <c r="P923" s="285" t="n"/>
      <c r="Q923" s="285" t="n"/>
      <c r="R923" s="285" t="n"/>
      <c r="S923" s="284" t="n"/>
      <c r="T923" s="284" t="n"/>
      <c r="U923" s="285" t="n"/>
      <c r="V923" s="285" t="n"/>
      <c r="W923" s="285" t="n"/>
      <c r="X923" s="285" t="n"/>
      <c r="Y923" s="285" t="n"/>
      <c r="Z923" s="285" t="n"/>
      <c r="AA923" s="285" t="n"/>
    </row>
    <row r="924" ht="15.75" customHeight="1" s="398">
      <c r="A924" s="284" t="n"/>
      <c r="B924" s="285" t="n"/>
      <c r="C924" s="284" t="n"/>
      <c r="D924" s="284" t="n"/>
      <c r="E924" s="285" t="n"/>
      <c r="F924" s="285" t="n"/>
      <c r="G924" s="336" t="n"/>
      <c r="H924" s="336" t="n"/>
      <c r="I924" s="285" t="n"/>
      <c r="J924" s="285" t="n"/>
      <c r="K924" s="285" t="n"/>
      <c r="L924" s="285" t="n"/>
      <c r="M924" s="285" t="n"/>
      <c r="N924" s="285" t="n"/>
      <c r="O924" s="285" t="n"/>
      <c r="P924" s="285" t="n"/>
      <c r="Q924" s="285" t="n"/>
      <c r="R924" s="285" t="n"/>
      <c r="S924" s="284" t="n"/>
      <c r="T924" s="284" t="n"/>
      <c r="U924" s="285" t="n"/>
      <c r="V924" s="285" t="n"/>
      <c r="W924" s="285" t="n"/>
      <c r="X924" s="285" t="n"/>
      <c r="Y924" s="285" t="n"/>
      <c r="Z924" s="285" t="n"/>
      <c r="AA924" s="285" t="n"/>
    </row>
    <row r="925" ht="15.75" customHeight="1" s="398">
      <c r="A925" s="284" t="n"/>
      <c r="B925" s="285" t="n"/>
      <c r="C925" s="284" t="n"/>
      <c r="D925" s="284" t="n"/>
      <c r="E925" s="285" t="n"/>
      <c r="F925" s="285" t="n"/>
      <c r="G925" s="336" t="n"/>
      <c r="H925" s="336" t="n"/>
      <c r="I925" s="285" t="n"/>
      <c r="J925" s="285" t="n"/>
      <c r="K925" s="285" t="n"/>
      <c r="L925" s="285" t="n"/>
      <c r="M925" s="285" t="n"/>
      <c r="N925" s="285" t="n"/>
      <c r="O925" s="285" t="n"/>
      <c r="P925" s="285" t="n"/>
      <c r="Q925" s="285" t="n"/>
      <c r="R925" s="285" t="n"/>
      <c r="S925" s="284" t="n"/>
      <c r="T925" s="284" t="n"/>
      <c r="U925" s="285" t="n"/>
      <c r="V925" s="285" t="n"/>
      <c r="W925" s="285" t="n"/>
      <c r="X925" s="285" t="n"/>
      <c r="Y925" s="285" t="n"/>
      <c r="Z925" s="285" t="n"/>
      <c r="AA925" s="285" t="n"/>
    </row>
    <row r="926" ht="15.75" customHeight="1" s="398">
      <c r="A926" s="284" t="n"/>
      <c r="B926" s="285" t="n"/>
      <c r="C926" s="284" t="n"/>
      <c r="D926" s="284" t="n"/>
      <c r="E926" s="285" t="n"/>
      <c r="F926" s="285" t="n"/>
      <c r="G926" s="336" t="n"/>
      <c r="H926" s="336" t="n"/>
      <c r="I926" s="285" t="n"/>
      <c r="J926" s="285" t="n"/>
      <c r="K926" s="285" t="n"/>
      <c r="L926" s="285" t="n"/>
      <c r="M926" s="285" t="n"/>
      <c r="N926" s="285" t="n"/>
      <c r="O926" s="285" t="n"/>
      <c r="P926" s="285" t="n"/>
      <c r="Q926" s="285" t="n"/>
      <c r="R926" s="285" t="n"/>
      <c r="S926" s="284" t="n"/>
      <c r="T926" s="284" t="n"/>
      <c r="U926" s="285" t="n"/>
      <c r="V926" s="285" t="n"/>
      <c r="W926" s="285" t="n"/>
      <c r="X926" s="285" t="n"/>
      <c r="Y926" s="285" t="n"/>
      <c r="Z926" s="285" t="n"/>
      <c r="AA926" s="285" t="n"/>
    </row>
    <row r="927" ht="15.75" customHeight="1" s="398">
      <c r="A927" s="284" t="n"/>
      <c r="B927" s="285" t="n"/>
      <c r="C927" s="284" t="n"/>
      <c r="D927" s="284" t="n"/>
      <c r="E927" s="285" t="n"/>
      <c r="F927" s="285" t="n"/>
      <c r="G927" s="336" t="n"/>
      <c r="H927" s="336" t="n"/>
      <c r="I927" s="285" t="n"/>
      <c r="J927" s="285" t="n"/>
      <c r="K927" s="285" t="n"/>
      <c r="L927" s="285" t="n"/>
      <c r="M927" s="285" t="n"/>
      <c r="N927" s="285" t="n"/>
      <c r="O927" s="285" t="n"/>
      <c r="P927" s="285" t="n"/>
      <c r="Q927" s="285" t="n"/>
      <c r="R927" s="285" t="n"/>
      <c r="S927" s="284" t="n"/>
      <c r="T927" s="284" t="n"/>
      <c r="U927" s="285" t="n"/>
      <c r="V927" s="285" t="n"/>
      <c r="W927" s="285" t="n"/>
      <c r="X927" s="285" t="n"/>
      <c r="Y927" s="285" t="n"/>
      <c r="Z927" s="285" t="n"/>
      <c r="AA927" s="285" t="n"/>
    </row>
    <row r="928" ht="15.75" customHeight="1" s="398">
      <c r="A928" s="284" t="n"/>
      <c r="B928" s="285" t="n"/>
      <c r="C928" s="284" t="n"/>
      <c r="D928" s="284" t="n"/>
      <c r="E928" s="285" t="n"/>
      <c r="F928" s="285" t="n"/>
      <c r="G928" s="336" t="n"/>
      <c r="H928" s="336" t="n"/>
      <c r="I928" s="285" t="n"/>
      <c r="J928" s="285" t="n"/>
      <c r="K928" s="285" t="n"/>
      <c r="L928" s="285" t="n"/>
      <c r="M928" s="285" t="n"/>
      <c r="N928" s="285" t="n"/>
      <c r="O928" s="285" t="n"/>
      <c r="P928" s="285" t="n"/>
      <c r="Q928" s="285" t="n"/>
      <c r="R928" s="285" t="n"/>
      <c r="S928" s="284" t="n"/>
      <c r="T928" s="284" t="n"/>
      <c r="U928" s="285" t="n"/>
      <c r="V928" s="285" t="n"/>
      <c r="W928" s="285" t="n"/>
      <c r="X928" s="285" t="n"/>
      <c r="Y928" s="285" t="n"/>
      <c r="Z928" s="285" t="n"/>
      <c r="AA928" s="285" t="n"/>
    </row>
    <row r="929" ht="15.75" customHeight="1" s="398">
      <c r="A929" s="284" t="n"/>
      <c r="B929" s="285" t="n"/>
      <c r="C929" s="284" t="n"/>
      <c r="D929" s="284" t="n"/>
      <c r="E929" s="285" t="n"/>
      <c r="F929" s="285" t="n"/>
      <c r="G929" s="336" t="n"/>
      <c r="H929" s="336" t="n"/>
      <c r="I929" s="285" t="n"/>
      <c r="J929" s="285" t="n"/>
      <c r="K929" s="285" t="n"/>
      <c r="L929" s="285" t="n"/>
      <c r="M929" s="285" t="n"/>
      <c r="N929" s="285" t="n"/>
      <c r="O929" s="285" t="n"/>
      <c r="P929" s="285" t="n"/>
      <c r="Q929" s="285" t="n"/>
      <c r="R929" s="285" t="n"/>
      <c r="S929" s="284" t="n"/>
      <c r="T929" s="284" t="n"/>
      <c r="U929" s="285" t="n"/>
      <c r="V929" s="285" t="n"/>
      <c r="W929" s="285" t="n"/>
      <c r="X929" s="285" t="n"/>
      <c r="Y929" s="285" t="n"/>
      <c r="Z929" s="285" t="n"/>
      <c r="AA929" s="285" t="n"/>
    </row>
    <row r="930" ht="15.75" customHeight="1" s="398">
      <c r="A930" s="284" t="n"/>
      <c r="B930" s="285" t="n"/>
      <c r="C930" s="284" t="n"/>
      <c r="D930" s="284" t="n"/>
      <c r="E930" s="285" t="n"/>
      <c r="F930" s="285" t="n"/>
      <c r="G930" s="336" t="n"/>
      <c r="H930" s="336" t="n"/>
      <c r="I930" s="285" t="n"/>
      <c r="J930" s="285" t="n"/>
      <c r="K930" s="285" t="n"/>
      <c r="L930" s="285" t="n"/>
      <c r="M930" s="285" t="n"/>
      <c r="N930" s="285" t="n"/>
      <c r="O930" s="285" t="n"/>
      <c r="P930" s="285" t="n"/>
      <c r="Q930" s="285" t="n"/>
      <c r="R930" s="285" t="n"/>
      <c r="S930" s="284" t="n"/>
      <c r="T930" s="284" t="n"/>
      <c r="U930" s="285" t="n"/>
      <c r="V930" s="285" t="n"/>
      <c r="W930" s="285" t="n"/>
      <c r="X930" s="285" t="n"/>
      <c r="Y930" s="285" t="n"/>
      <c r="Z930" s="285" t="n"/>
      <c r="AA930" s="285" t="n"/>
    </row>
    <row r="931" ht="15.75" customHeight="1" s="398">
      <c r="A931" s="284" t="n"/>
      <c r="B931" s="285" t="n"/>
      <c r="C931" s="284" t="n"/>
      <c r="D931" s="284" t="n"/>
      <c r="E931" s="285" t="n"/>
      <c r="F931" s="285" t="n"/>
      <c r="G931" s="336" t="n"/>
      <c r="H931" s="336" t="n"/>
      <c r="I931" s="285" t="n"/>
      <c r="J931" s="285" t="n"/>
      <c r="K931" s="285" t="n"/>
      <c r="L931" s="285" t="n"/>
      <c r="M931" s="285" t="n"/>
      <c r="N931" s="285" t="n"/>
      <c r="O931" s="285" t="n"/>
      <c r="P931" s="285" t="n"/>
      <c r="Q931" s="285" t="n"/>
      <c r="R931" s="285" t="n"/>
      <c r="S931" s="284" t="n"/>
      <c r="T931" s="284" t="n"/>
      <c r="U931" s="285" t="n"/>
      <c r="V931" s="285" t="n"/>
      <c r="W931" s="285" t="n"/>
      <c r="X931" s="285" t="n"/>
      <c r="Y931" s="285" t="n"/>
      <c r="Z931" s="285" t="n"/>
      <c r="AA931" s="285" t="n"/>
    </row>
    <row r="932" ht="15.75" customHeight="1" s="398">
      <c r="A932" s="284" t="n"/>
      <c r="B932" s="285" t="n"/>
      <c r="C932" s="284" t="n"/>
      <c r="D932" s="284" t="n"/>
      <c r="E932" s="285" t="n"/>
      <c r="F932" s="285" t="n"/>
      <c r="G932" s="336" t="n"/>
      <c r="H932" s="336" t="n"/>
      <c r="I932" s="285" t="n"/>
      <c r="J932" s="285" t="n"/>
      <c r="K932" s="285" t="n"/>
      <c r="L932" s="285" t="n"/>
      <c r="M932" s="285" t="n"/>
      <c r="N932" s="285" t="n"/>
      <c r="O932" s="285" t="n"/>
      <c r="P932" s="285" t="n"/>
      <c r="Q932" s="285" t="n"/>
      <c r="R932" s="285" t="n"/>
      <c r="S932" s="284" t="n"/>
      <c r="T932" s="284" t="n"/>
      <c r="U932" s="285" t="n"/>
      <c r="V932" s="285" t="n"/>
      <c r="W932" s="285" t="n"/>
      <c r="X932" s="285" t="n"/>
      <c r="Y932" s="285" t="n"/>
      <c r="Z932" s="285" t="n"/>
      <c r="AA932" s="285" t="n"/>
    </row>
    <row r="933" ht="15.75" customHeight="1" s="398">
      <c r="A933" s="284" t="n"/>
      <c r="B933" s="285" t="n"/>
      <c r="C933" s="284" t="n"/>
      <c r="D933" s="284" t="n"/>
      <c r="E933" s="285" t="n"/>
      <c r="F933" s="285" t="n"/>
      <c r="G933" s="336" t="n"/>
      <c r="H933" s="336" t="n"/>
      <c r="I933" s="285" t="n"/>
      <c r="J933" s="285" t="n"/>
      <c r="K933" s="285" t="n"/>
      <c r="L933" s="285" t="n"/>
      <c r="M933" s="285" t="n"/>
      <c r="N933" s="285" t="n"/>
      <c r="O933" s="285" t="n"/>
      <c r="P933" s="285" t="n"/>
      <c r="Q933" s="285" t="n"/>
      <c r="R933" s="285" t="n"/>
      <c r="S933" s="284" t="n"/>
      <c r="T933" s="284" t="n"/>
      <c r="U933" s="285" t="n"/>
      <c r="V933" s="285" t="n"/>
      <c r="W933" s="285" t="n"/>
      <c r="X933" s="285" t="n"/>
      <c r="Y933" s="285" t="n"/>
      <c r="Z933" s="285" t="n"/>
      <c r="AA933" s="285" t="n"/>
    </row>
    <row r="934" ht="15.75" customHeight="1" s="398">
      <c r="A934" s="284" t="n"/>
      <c r="B934" s="285" t="n"/>
      <c r="C934" s="284" t="n"/>
      <c r="D934" s="284" t="n"/>
      <c r="E934" s="285" t="n"/>
      <c r="F934" s="285" t="n"/>
      <c r="G934" s="336" t="n"/>
      <c r="H934" s="336" t="n"/>
      <c r="I934" s="285" t="n"/>
      <c r="J934" s="285" t="n"/>
      <c r="K934" s="285" t="n"/>
      <c r="L934" s="285" t="n"/>
      <c r="M934" s="285" t="n"/>
      <c r="N934" s="285" t="n"/>
      <c r="O934" s="285" t="n"/>
      <c r="P934" s="285" t="n"/>
      <c r="Q934" s="285" t="n"/>
      <c r="R934" s="285" t="n"/>
      <c r="S934" s="284" t="n"/>
      <c r="T934" s="284" t="n"/>
      <c r="U934" s="285" t="n"/>
      <c r="V934" s="285" t="n"/>
      <c r="W934" s="285" t="n"/>
      <c r="X934" s="285" t="n"/>
      <c r="Y934" s="285" t="n"/>
      <c r="Z934" s="285" t="n"/>
      <c r="AA934" s="285" t="n"/>
    </row>
    <row r="935" ht="15.75" customHeight="1" s="398">
      <c r="A935" s="284" t="n"/>
      <c r="B935" s="285" t="n"/>
      <c r="C935" s="284" t="n"/>
      <c r="D935" s="284" t="n"/>
      <c r="E935" s="285" t="n"/>
      <c r="F935" s="285" t="n"/>
      <c r="G935" s="336" t="n"/>
      <c r="H935" s="336" t="n"/>
      <c r="I935" s="285" t="n"/>
      <c r="J935" s="285" t="n"/>
      <c r="K935" s="285" t="n"/>
      <c r="L935" s="285" t="n"/>
      <c r="M935" s="285" t="n"/>
      <c r="N935" s="285" t="n"/>
      <c r="O935" s="285" t="n"/>
      <c r="P935" s="285" t="n"/>
      <c r="Q935" s="285" t="n"/>
      <c r="R935" s="285" t="n"/>
      <c r="S935" s="284" t="n"/>
      <c r="T935" s="284" t="n"/>
      <c r="U935" s="285" t="n"/>
      <c r="V935" s="285" t="n"/>
      <c r="W935" s="285" t="n"/>
      <c r="X935" s="285" t="n"/>
      <c r="Y935" s="285" t="n"/>
      <c r="Z935" s="285" t="n"/>
      <c r="AA935" s="285" t="n"/>
    </row>
    <row r="936" ht="15.75" customHeight="1" s="398">
      <c r="A936" s="284" t="n"/>
      <c r="B936" s="285" t="n"/>
      <c r="C936" s="284" t="n"/>
      <c r="D936" s="284" t="n"/>
      <c r="E936" s="285" t="n"/>
      <c r="F936" s="285" t="n"/>
      <c r="G936" s="336" t="n"/>
      <c r="H936" s="336" t="n"/>
      <c r="I936" s="285" t="n"/>
      <c r="J936" s="285" t="n"/>
      <c r="K936" s="285" t="n"/>
      <c r="L936" s="285" t="n"/>
      <c r="M936" s="285" t="n"/>
      <c r="N936" s="285" t="n"/>
      <c r="O936" s="285" t="n"/>
      <c r="P936" s="285" t="n"/>
      <c r="Q936" s="285" t="n"/>
      <c r="R936" s="285" t="n"/>
      <c r="S936" s="284" t="n"/>
      <c r="T936" s="284" t="n"/>
      <c r="U936" s="285" t="n"/>
      <c r="V936" s="285" t="n"/>
      <c r="W936" s="285" t="n"/>
      <c r="X936" s="285" t="n"/>
      <c r="Y936" s="285" t="n"/>
      <c r="Z936" s="285" t="n"/>
      <c r="AA936" s="285" t="n"/>
    </row>
    <row r="937" ht="15.75" customHeight="1" s="398">
      <c r="A937" s="284" t="n"/>
      <c r="B937" s="285" t="n"/>
      <c r="C937" s="284" t="n"/>
      <c r="D937" s="284" t="n"/>
      <c r="E937" s="285" t="n"/>
      <c r="F937" s="285" t="n"/>
      <c r="G937" s="336" t="n"/>
      <c r="H937" s="336" t="n"/>
      <c r="I937" s="285" t="n"/>
      <c r="J937" s="285" t="n"/>
      <c r="K937" s="285" t="n"/>
      <c r="L937" s="285" t="n"/>
      <c r="M937" s="285" t="n"/>
      <c r="N937" s="285" t="n"/>
      <c r="O937" s="285" t="n"/>
      <c r="P937" s="285" t="n"/>
      <c r="Q937" s="285" t="n"/>
      <c r="R937" s="285" t="n"/>
      <c r="S937" s="284" t="n"/>
      <c r="T937" s="284" t="n"/>
      <c r="U937" s="285" t="n"/>
      <c r="V937" s="285" t="n"/>
      <c r="W937" s="285" t="n"/>
      <c r="X937" s="285" t="n"/>
      <c r="Y937" s="285" t="n"/>
      <c r="Z937" s="285" t="n"/>
      <c r="AA937" s="285" t="n"/>
    </row>
    <row r="938" ht="15.75" customHeight="1" s="398">
      <c r="A938" s="284" t="n"/>
      <c r="B938" s="285" t="n"/>
      <c r="C938" s="284" t="n"/>
      <c r="D938" s="284" t="n"/>
      <c r="E938" s="285" t="n"/>
      <c r="F938" s="285" t="n"/>
      <c r="G938" s="336" t="n"/>
      <c r="H938" s="336" t="n"/>
      <c r="I938" s="285" t="n"/>
      <c r="J938" s="285" t="n"/>
      <c r="K938" s="285" t="n"/>
      <c r="L938" s="285" t="n"/>
      <c r="M938" s="285" t="n"/>
      <c r="N938" s="285" t="n"/>
      <c r="O938" s="285" t="n"/>
      <c r="P938" s="285" t="n"/>
      <c r="Q938" s="285" t="n"/>
      <c r="R938" s="285" t="n"/>
      <c r="S938" s="284" t="n"/>
      <c r="T938" s="284" t="n"/>
      <c r="U938" s="285" t="n"/>
      <c r="V938" s="285" t="n"/>
      <c r="W938" s="285" t="n"/>
      <c r="X938" s="285" t="n"/>
      <c r="Y938" s="285" t="n"/>
      <c r="Z938" s="285" t="n"/>
      <c r="AA938" s="285" t="n"/>
    </row>
    <row r="939" ht="15.75" customHeight="1" s="398">
      <c r="A939" s="284" t="n"/>
      <c r="B939" s="285" t="n"/>
      <c r="C939" s="284" t="n"/>
      <c r="D939" s="284" t="n"/>
      <c r="E939" s="285" t="n"/>
      <c r="F939" s="285" t="n"/>
      <c r="G939" s="336" t="n"/>
      <c r="H939" s="336" t="n"/>
      <c r="I939" s="285" t="n"/>
      <c r="J939" s="285" t="n"/>
      <c r="K939" s="285" t="n"/>
      <c r="L939" s="285" t="n"/>
      <c r="M939" s="285" t="n"/>
      <c r="N939" s="285" t="n"/>
      <c r="O939" s="285" t="n"/>
      <c r="P939" s="285" t="n"/>
      <c r="Q939" s="285" t="n"/>
      <c r="R939" s="285" t="n"/>
      <c r="S939" s="284" t="n"/>
      <c r="T939" s="284" t="n"/>
      <c r="U939" s="285" t="n"/>
      <c r="V939" s="285" t="n"/>
      <c r="W939" s="285" t="n"/>
      <c r="X939" s="285" t="n"/>
      <c r="Y939" s="285" t="n"/>
      <c r="Z939" s="285" t="n"/>
      <c r="AA939" s="285" t="n"/>
    </row>
    <row r="940" ht="15.75" customHeight="1" s="398">
      <c r="A940" s="284" t="n"/>
      <c r="B940" s="285" t="n"/>
      <c r="C940" s="284" t="n"/>
      <c r="D940" s="284" t="n"/>
      <c r="E940" s="285" t="n"/>
      <c r="F940" s="285" t="n"/>
      <c r="G940" s="336" t="n"/>
      <c r="H940" s="336" t="n"/>
      <c r="I940" s="285" t="n"/>
      <c r="J940" s="285" t="n"/>
      <c r="K940" s="285" t="n"/>
      <c r="L940" s="285" t="n"/>
      <c r="M940" s="285" t="n"/>
      <c r="N940" s="285" t="n"/>
      <c r="O940" s="285" t="n"/>
      <c r="P940" s="285" t="n"/>
      <c r="Q940" s="285" t="n"/>
      <c r="R940" s="285" t="n"/>
      <c r="S940" s="284" t="n"/>
      <c r="T940" s="284" t="n"/>
      <c r="U940" s="285" t="n"/>
      <c r="V940" s="285" t="n"/>
      <c r="W940" s="285" t="n"/>
      <c r="X940" s="285" t="n"/>
      <c r="Y940" s="285" t="n"/>
      <c r="Z940" s="285" t="n"/>
      <c r="AA940" s="285" t="n"/>
    </row>
    <row r="941" ht="15.75" customHeight="1" s="398">
      <c r="A941" s="284" t="n"/>
      <c r="B941" s="285" t="n"/>
      <c r="C941" s="284" t="n"/>
      <c r="D941" s="284" t="n"/>
      <c r="E941" s="285" t="n"/>
      <c r="F941" s="285" t="n"/>
      <c r="G941" s="336" t="n"/>
      <c r="H941" s="336" t="n"/>
      <c r="I941" s="285" t="n"/>
      <c r="J941" s="285" t="n"/>
      <c r="K941" s="285" t="n"/>
      <c r="L941" s="285" t="n"/>
      <c r="M941" s="285" t="n"/>
      <c r="N941" s="285" t="n"/>
      <c r="O941" s="285" t="n"/>
      <c r="P941" s="285" t="n"/>
      <c r="Q941" s="285" t="n"/>
      <c r="R941" s="285" t="n"/>
      <c r="S941" s="284" t="n"/>
      <c r="T941" s="284" t="n"/>
      <c r="U941" s="285" t="n"/>
      <c r="V941" s="285" t="n"/>
      <c r="W941" s="285" t="n"/>
      <c r="X941" s="285" t="n"/>
      <c r="Y941" s="285" t="n"/>
      <c r="Z941" s="285" t="n"/>
      <c r="AA941" s="285" t="n"/>
    </row>
    <row r="942" ht="15.75" customHeight="1" s="398">
      <c r="A942" s="284" t="n"/>
      <c r="B942" s="285" t="n"/>
      <c r="C942" s="284" t="n"/>
      <c r="D942" s="284" t="n"/>
      <c r="E942" s="285" t="n"/>
      <c r="F942" s="285" t="n"/>
      <c r="G942" s="336" t="n"/>
      <c r="H942" s="336" t="n"/>
      <c r="I942" s="285" t="n"/>
      <c r="J942" s="285" t="n"/>
      <c r="K942" s="285" t="n"/>
      <c r="L942" s="285" t="n"/>
      <c r="M942" s="285" t="n"/>
      <c r="N942" s="285" t="n"/>
      <c r="O942" s="285" t="n"/>
      <c r="P942" s="285" t="n"/>
      <c r="Q942" s="285" t="n"/>
      <c r="R942" s="285" t="n"/>
      <c r="S942" s="284" t="n"/>
      <c r="T942" s="284" t="n"/>
      <c r="U942" s="285" t="n"/>
      <c r="V942" s="285" t="n"/>
      <c r="W942" s="285" t="n"/>
      <c r="X942" s="285" t="n"/>
      <c r="Y942" s="285" t="n"/>
      <c r="Z942" s="285" t="n"/>
      <c r="AA942" s="285" t="n"/>
    </row>
    <row r="943" ht="15.75" customHeight="1" s="398">
      <c r="A943" s="284" t="n"/>
      <c r="B943" s="285" t="n"/>
      <c r="C943" s="284" t="n"/>
      <c r="D943" s="284" t="n"/>
      <c r="E943" s="285" t="n"/>
      <c r="F943" s="285" t="n"/>
      <c r="G943" s="336" t="n"/>
      <c r="H943" s="336" t="n"/>
      <c r="I943" s="285" t="n"/>
      <c r="J943" s="285" t="n"/>
      <c r="K943" s="285" t="n"/>
      <c r="L943" s="285" t="n"/>
      <c r="M943" s="285" t="n"/>
      <c r="N943" s="285" t="n"/>
      <c r="O943" s="285" t="n"/>
      <c r="P943" s="285" t="n"/>
      <c r="Q943" s="285" t="n"/>
      <c r="R943" s="285" t="n"/>
      <c r="S943" s="284" t="n"/>
      <c r="T943" s="284" t="n"/>
      <c r="U943" s="285" t="n"/>
      <c r="V943" s="285" t="n"/>
      <c r="W943" s="285" t="n"/>
      <c r="X943" s="285" t="n"/>
      <c r="Y943" s="285" t="n"/>
      <c r="Z943" s="285" t="n"/>
      <c r="AA943" s="285" t="n"/>
    </row>
    <row r="944" ht="15.75" customHeight="1" s="398">
      <c r="A944" s="284" t="n"/>
      <c r="B944" s="285" t="n"/>
      <c r="C944" s="284" t="n"/>
      <c r="D944" s="284" t="n"/>
      <c r="E944" s="285" t="n"/>
      <c r="F944" s="285" t="n"/>
      <c r="G944" s="336" t="n"/>
      <c r="H944" s="336" t="n"/>
      <c r="I944" s="285" t="n"/>
      <c r="J944" s="285" t="n"/>
      <c r="K944" s="285" t="n"/>
      <c r="L944" s="285" t="n"/>
      <c r="M944" s="285" t="n"/>
      <c r="N944" s="285" t="n"/>
      <c r="O944" s="285" t="n"/>
      <c r="P944" s="285" t="n"/>
      <c r="Q944" s="285" t="n"/>
      <c r="R944" s="285" t="n"/>
      <c r="S944" s="284" t="n"/>
      <c r="T944" s="284" t="n"/>
      <c r="U944" s="285" t="n"/>
      <c r="V944" s="285" t="n"/>
      <c r="W944" s="285" t="n"/>
      <c r="X944" s="285" t="n"/>
      <c r="Y944" s="285" t="n"/>
      <c r="Z944" s="285" t="n"/>
      <c r="AA944" s="285" t="n"/>
    </row>
    <row r="945" ht="15.75" customHeight="1" s="398">
      <c r="A945" s="284" t="n"/>
      <c r="B945" s="285" t="n"/>
      <c r="C945" s="284" t="n"/>
      <c r="D945" s="284" t="n"/>
      <c r="E945" s="285" t="n"/>
      <c r="F945" s="285" t="n"/>
      <c r="G945" s="336" t="n"/>
      <c r="H945" s="336" t="n"/>
      <c r="I945" s="285" t="n"/>
      <c r="J945" s="285" t="n"/>
      <c r="K945" s="285" t="n"/>
      <c r="L945" s="285" t="n"/>
      <c r="M945" s="285" t="n"/>
      <c r="N945" s="285" t="n"/>
      <c r="O945" s="285" t="n"/>
      <c r="P945" s="285" t="n"/>
      <c r="Q945" s="285" t="n"/>
      <c r="R945" s="285" t="n"/>
      <c r="S945" s="284" t="n"/>
      <c r="T945" s="284" t="n"/>
      <c r="U945" s="285" t="n"/>
      <c r="V945" s="285" t="n"/>
      <c r="W945" s="285" t="n"/>
      <c r="X945" s="285" t="n"/>
      <c r="Y945" s="285" t="n"/>
      <c r="Z945" s="285" t="n"/>
      <c r="AA945" s="285" t="n"/>
    </row>
    <row r="946" ht="15.75" customHeight="1" s="398">
      <c r="A946" s="284" t="n"/>
      <c r="B946" s="285" t="n"/>
      <c r="C946" s="284" t="n"/>
      <c r="D946" s="284" t="n"/>
      <c r="E946" s="285" t="n"/>
      <c r="F946" s="285" t="n"/>
      <c r="G946" s="336" t="n"/>
      <c r="H946" s="336" t="n"/>
      <c r="I946" s="285" t="n"/>
      <c r="J946" s="285" t="n"/>
      <c r="K946" s="285" t="n"/>
      <c r="L946" s="285" t="n"/>
      <c r="M946" s="285" t="n"/>
      <c r="N946" s="285" t="n"/>
      <c r="O946" s="285" t="n"/>
      <c r="P946" s="285" t="n"/>
      <c r="Q946" s="285" t="n"/>
      <c r="R946" s="285" t="n"/>
      <c r="S946" s="284" t="n"/>
      <c r="T946" s="284" t="n"/>
      <c r="U946" s="285" t="n"/>
      <c r="V946" s="285" t="n"/>
      <c r="W946" s="285" t="n"/>
      <c r="X946" s="285" t="n"/>
      <c r="Y946" s="285" t="n"/>
      <c r="Z946" s="285" t="n"/>
      <c r="AA946" s="285" t="n"/>
    </row>
    <row r="947" ht="15.75" customHeight="1" s="398">
      <c r="A947" s="284" t="n"/>
      <c r="B947" s="285" t="n"/>
      <c r="C947" s="284" t="n"/>
      <c r="D947" s="284" t="n"/>
      <c r="E947" s="285" t="n"/>
      <c r="F947" s="285" t="n"/>
      <c r="G947" s="336" t="n"/>
      <c r="H947" s="336" t="n"/>
      <c r="I947" s="285" t="n"/>
      <c r="J947" s="285" t="n"/>
      <c r="K947" s="285" t="n"/>
      <c r="L947" s="285" t="n"/>
      <c r="M947" s="285" t="n"/>
      <c r="N947" s="285" t="n"/>
      <c r="O947" s="285" t="n"/>
      <c r="P947" s="285" t="n"/>
      <c r="Q947" s="285" t="n"/>
      <c r="R947" s="285" t="n"/>
      <c r="S947" s="284" t="n"/>
      <c r="T947" s="284" t="n"/>
      <c r="U947" s="285" t="n"/>
      <c r="V947" s="285" t="n"/>
      <c r="W947" s="285" t="n"/>
      <c r="X947" s="285" t="n"/>
      <c r="Y947" s="285" t="n"/>
      <c r="Z947" s="285" t="n"/>
      <c r="AA947" s="285" t="n"/>
    </row>
    <row r="948" ht="15.75" customHeight="1" s="398">
      <c r="A948" s="284" t="n"/>
      <c r="B948" s="285" t="n"/>
      <c r="C948" s="284" t="n"/>
      <c r="D948" s="284" t="n"/>
      <c r="E948" s="285" t="n"/>
      <c r="F948" s="285" t="n"/>
      <c r="G948" s="336" t="n"/>
      <c r="H948" s="336" t="n"/>
      <c r="I948" s="285" t="n"/>
      <c r="J948" s="285" t="n"/>
      <c r="K948" s="285" t="n"/>
      <c r="L948" s="285" t="n"/>
      <c r="M948" s="285" t="n"/>
      <c r="N948" s="285" t="n"/>
      <c r="O948" s="285" t="n"/>
      <c r="P948" s="285" t="n"/>
      <c r="Q948" s="285" t="n"/>
      <c r="R948" s="285" t="n"/>
      <c r="S948" s="284" t="n"/>
      <c r="T948" s="284" t="n"/>
      <c r="U948" s="285" t="n"/>
      <c r="V948" s="285" t="n"/>
      <c r="W948" s="285" t="n"/>
      <c r="X948" s="285" t="n"/>
      <c r="Y948" s="285" t="n"/>
      <c r="Z948" s="285" t="n"/>
      <c r="AA948" s="285" t="n"/>
    </row>
    <row r="949" ht="15.75" customHeight="1" s="398">
      <c r="A949" s="284" t="n"/>
      <c r="B949" s="285" t="n"/>
      <c r="C949" s="284" t="n"/>
      <c r="D949" s="284" t="n"/>
      <c r="E949" s="285" t="n"/>
      <c r="F949" s="285" t="n"/>
      <c r="G949" s="336" t="n"/>
      <c r="H949" s="336" t="n"/>
      <c r="I949" s="285" t="n"/>
      <c r="J949" s="285" t="n"/>
      <c r="K949" s="285" t="n"/>
      <c r="L949" s="285" t="n"/>
      <c r="M949" s="285" t="n"/>
      <c r="N949" s="285" t="n"/>
      <c r="O949" s="285" t="n"/>
      <c r="P949" s="285" t="n"/>
      <c r="Q949" s="285" t="n"/>
      <c r="R949" s="285" t="n"/>
      <c r="S949" s="284" t="n"/>
      <c r="T949" s="284" t="n"/>
      <c r="U949" s="285" t="n"/>
      <c r="V949" s="285" t="n"/>
      <c r="W949" s="285" t="n"/>
      <c r="X949" s="285" t="n"/>
      <c r="Y949" s="285" t="n"/>
      <c r="Z949" s="285" t="n"/>
      <c r="AA949" s="285" t="n"/>
    </row>
    <row r="950" ht="15.75" customHeight="1" s="398">
      <c r="A950" s="284" t="n"/>
      <c r="B950" s="285" t="n"/>
      <c r="C950" s="284" t="n"/>
      <c r="D950" s="284" t="n"/>
      <c r="E950" s="285" t="n"/>
      <c r="F950" s="285" t="n"/>
      <c r="G950" s="336" t="n"/>
      <c r="H950" s="336" t="n"/>
      <c r="I950" s="285" t="n"/>
      <c r="J950" s="285" t="n"/>
      <c r="K950" s="285" t="n"/>
      <c r="L950" s="285" t="n"/>
      <c r="M950" s="285" t="n"/>
      <c r="N950" s="285" t="n"/>
      <c r="O950" s="285" t="n"/>
      <c r="P950" s="285" t="n"/>
      <c r="Q950" s="285" t="n"/>
      <c r="R950" s="285" t="n"/>
      <c r="S950" s="284" t="n"/>
      <c r="T950" s="284" t="n"/>
      <c r="U950" s="285" t="n"/>
      <c r="V950" s="285" t="n"/>
      <c r="W950" s="285" t="n"/>
      <c r="X950" s="285" t="n"/>
      <c r="Y950" s="285" t="n"/>
      <c r="Z950" s="285" t="n"/>
      <c r="AA950" s="285" t="n"/>
    </row>
    <row r="951" ht="15.75" customHeight="1" s="398">
      <c r="A951" s="284" t="n"/>
      <c r="B951" s="285" t="n"/>
      <c r="C951" s="284" t="n"/>
      <c r="D951" s="284" t="n"/>
      <c r="E951" s="285" t="n"/>
      <c r="F951" s="285" t="n"/>
      <c r="G951" s="336" t="n"/>
      <c r="H951" s="336" t="n"/>
      <c r="I951" s="285" t="n"/>
      <c r="J951" s="285" t="n"/>
      <c r="K951" s="285" t="n"/>
      <c r="L951" s="285" t="n"/>
      <c r="M951" s="285" t="n"/>
      <c r="N951" s="285" t="n"/>
      <c r="O951" s="285" t="n"/>
      <c r="P951" s="285" t="n"/>
      <c r="Q951" s="285" t="n"/>
      <c r="R951" s="285" t="n"/>
      <c r="S951" s="284" t="n"/>
      <c r="T951" s="284" t="n"/>
      <c r="U951" s="285" t="n"/>
      <c r="V951" s="285" t="n"/>
      <c r="W951" s="285" t="n"/>
      <c r="X951" s="285" t="n"/>
      <c r="Y951" s="285" t="n"/>
      <c r="Z951" s="285" t="n"/>
      <c r="AA951" s="285" t="n"/>
    </row>
    <row r="952" ht="15.75" customHeight="1" s="398">
      <c r="A952" s="284" t="n"/>
      <c r="B952" s="285" t="n"/>
      <c r="C952" s="284" t="n"/>
      <c r="D952" s="284" t="n"/>
      <c r="E952" s="285" t="n"/>
      <c r="F952" s="285" t="n"/>
      <c r="G952" s="336" t="n"/>
      <c r="H952" s="336" t="n"/>
      <c r="I952" s="285" t="n"/>
      <c r="J952" s="285" t="n"/>
      <c r="K952" s="285" t="n"/>
      <c r="L952" s="285" t="n"/>
      <c r="M952" s="285" t="n"/>
      <c r="N952" s="285" t="n"/>
      <c r="O952" s="285" t="n"/>
      <c r="P952" s="285" t="n"/>
      <c r="Q952" s="285" t="n"/>
      <c r="R952" s="285" t="n"/>
      <c r="S952" s="284" t="n"/>
      <c r="T952" s="284" t="n"/>
      <c r="U952" s="285" t="n"/>
      <c r="V952" s="285" t="n"/>
      <c r="W952" s="285" t="n"/>
      <c r="X952" s="285" t="n"/>
      <c r="Y952" s="285" t="n"/>
      <c r="Z952" s="285" t="n"/>
      <c r="AA952" s="285" t="n"/>
    </row>
    <row r="953" ht="15.75" customHeight="1" s="398">
      <c r="A953" s="284" t="n"/>
      <c r="B953" s="285" t="n"/>
      <c r="C953" s="284" t="n"/>
      <c r="D953" s="284" t="n"/>
      <c r="E953" s="285" t="n"/>
      <c r="F953" s="285" t="n"/>
      <c r="G953" s="336" t="n"/>
      <c r="H953" s="336" t="n"/>
      <c r="I953" s="285" t="n"/>
      <c r="J953" s="285" t="n"/>
      <c r="K953" s="285" t="n"/>
      <c r="L953" s="285" t="n"/>
      <c r="M953" s="285" t="n"/>
      <c r="N953" s="285" t="n"/>
      <c r="O953" s="285" t="n"/>
      <c r="P953" s="285" t="n"/>
      <c r="Q953" s="285" t="n"/>
      <c r="R953" s="285" t="n"/>
      <c r="S953" s="284" t="n"/>
      <c r="T953" s="284" t="n"/>
      <c r="U953" s="285" t="n"/>
      <c r="V953" s="285" t="n"/>
      <c r="W953" s="285" t="n"/>
      <c r="X953" s="285" t="n"/>
      <c r="Y953" s="285" t="n"/>
      <c r="Z953" s="285" t="n"/>
      <c r="AA953" s="285" t="n"/>
    </row>
    <row r="954" ht="15.75" customHeight="1" s="398">
      <c r="A954" s="284" t="n"/>
      <c r="B954" s="285" t="n"/>
      <c r="C954" s="284" t="n"/>
      <c r="D954" s="284" t="n"/>
      <c r="E954" s="285" t="n"/>
      <c r="F954" s="285" t="n"/>
      <c r="G954" s="336" t="n"/>
      <c r="H954" s="336" t="n"/>
      <c r="I954" s="285" t="n"/>
      <c r="J954" s="285" t="n"/>
      <c r="K954" s="285" t="n"/>
      <c r="L954" s="285" t="n"/>
      <c r="M954" s="285" t="n"/>
      <c r="N954" s="285" t="n"/>
      <c r="O954" s="285" t="n"/>
      <c r="P954" s="285" t="n"/>
      <c r="Q954" s="285" t="n"/>
      <c r="R954" s="285" t="n"/>
      <c r="S954" s="284" t="n"/>
      <c r="T954" s="284" t="n"/>
      <c r="U954" s="285" t="n"/>
      <c r="V954" s="285" t="n"/>
      <c r="W954" s="285" t="n"/>
      <c r="X954" s="285" t="n"/>
      <c r="Y954" s="285" t="n"/>
      <c r="Z954" s="285" t="n"/>
      <c r="AA954" s="285" t="n"/>
    </row>
    <row r="955" ht="15.75" customHeight="1" s="398">
      <c r="A955" s="284" t="n"/>
      <c r="B955" s="285" t="n"/>
      <c r="C955" s="284" t="n"/>
      <c r="D955" s="284" t="n"/>
      <c r="E955" s="285" t="n"/>
      <c r="F955" s="285" t="n"/>
      <c r="G955" s="336" t="n"/>
      <c r="H955" s="336" t="n"/>
      <c r="I955" s="285" t="n"/>
      <c r="J955" s="285" t="n"/>
      <c r="K955" s="285" t="n"/>
      <c r="L955" s="285" t="n"/>
      <c r="M955" s="285" t="n"/>
      <c r="N955" s="285" t="n"/>
      <c r="O955" s="285" t="n"/>
      <c r="P955" s="285" t="n"/>
      <c r="Q955" s="285" t="n"/>
      <c r="R955" s="285" t="n"/>
      <c r="S955" s="284" t="n"/>
      <c r="T955" s="284" t="n"/>
      <c r="U955" s="285" t="n"/>
      <c r="V955" s="285" t="n"/>
      <c r="W955" s="285" t="n"/>
      <c r="X955" s="285" t="n"/>
      <c r="Y955" s="285" t="n"/>
      <c r="Z955" s="285" t="n"/>
      <c r="AA955" s="285" t="n"/>
    </row>
    <row r="956" ht="15.75" customHeight="1" s="398">
      <c r="A956" s="284" t="n"/>
      <c r="B956" s="285" t="n"/>
      <c r="C956" s="284" t="n"/>
      <c r="D956" s="284" t="n"/>
      <c r="E956" s="285" t="n"/>
      <c r="F956" s="285" t="n"/>
      <c r="G956" s="336" t="n"/>
      <c r="H956" s="336" t="n"/>
      <c r="I956" s="285" t="n"/>
      <c r="J956" s="285" t="n"/>
      <c r="K956" s="285" t="n"/>
      <c r="L956" s="285" t="n"/>
      <c r="M956" s="285" t="n"/>
      <c r="N956" s="285" t="n"/>
      <c r="O956" s="285" t="n"/>
      <c r="P956" s="285" t="n"/>
      <c r="Q956" s="285" t="n"/>
      <c r="R956" s="285" t="n"/>
      <c r="S956" s="284" t="n"/>
      <c r="T956" s="284" t="n"/>
      <c r="U956" s="285" t="n"/>
      <c r="V956" s="285" t="n"/>
      <c r="W956" s="285" t="n"/>
      <c r="X956" s="285" t="n"/>
      <c r="Y956" s="285" t="n"/>
      <c r="Z956" s="285" t="n"/>
      <c r="AA956" s="285" t="n"/>
    </row>
    <row r="957" ht="15.75" customHeight="1" s="398">
      <c r="A957" s="284" t="n"/>
      <c r="B957" s="285" t="n"/>
      <c r="C957" s="284" t="n"/>
      <c r="D957" s="284" t="n"/>
      <c r="E957" s="285" t="n"/>
      <c r="F957" s="285" t="n"/>
      <c r="G957" s="336" t="n"/>
      <c r="H957" s="336" t="n"/>
      <c r="I957" s="285" t="n"/>
      <c r="J957" s="285" t="n"/>
      <c r="K957" s="285" t="n"/>
      <c r="L957" s="285" t="n"/>
      <c r="M957" s="285" t="n"/>
      <c r="N957" s="285" t="n"/>
      <c r="O957" s="285" t="n"/>
      <c r="P957" s="285" t="n"/>
      <c r="Q957" s="285" t="n"/>
      <c r="R957" s="285" t="n"/>
      <c r="S957" s="284" t="n"/>
      <c r="T957" s="284" t="n"/>
      <c r="U957" s="285" t="n"/>
      <c r="V957" s="285" t="n"/>
      <c r="W957" s="285" t="n"/>
      <c r="X957" s="285" t="n"/>
      <c r="Y957" s="285" t="n"/>
      <c r="Z957" s="285" t="n"/>
      <c r="AA957" s="285" t="n"/>
    </row>
    <row r="958" ht="15.75" customHeight="1" s="398">
      <c r="A958" s="284" t="n"/>
      <c r="B958" s="285" t="n"/>
      <c r="C958" s="284" t="n"/>
      <c r="D958" s="284" t="n"/>
      <c r="E958" s="285" t="n"/>
      <c r="F958" s="285" t="n"/>
      <c r="G958" s="336" t="n"/>
      <c r="H958" s="336" t="n"/>
      <c r="I958" s="285" t="n"/>
      <c r="J958" s="285" t="n"/>
      <c r="K958" s="285" t="n"/>
      <c r="L958" s="285" t="n"/>
      <c r="M958" s="285" t="n"/>
      <c r="N958" s="285" t="n"/>
      <c r="O958" s="285" t="n"/>
      <c r="P958" s="285" t="n"/>
      <c r="Q958" s="285" t="n"/>
      <c r="R958" s="285" t="n"/>
      <c r="S958" s="284" t="n"/>
      <c r="T958" s="284" t="n"/>
      <c r="U958" s="285" t="n"/>
      <c r="V958" s="285" t="n"/>
      <c r="W958" s="285" t="n"/>
      <c r="X958" s="285" t="n"/>
      <c r="Y958" s="285" t="n"/>
      <c r="Z958" s="285" t="n"/>
      <c r="AA958" s="285" t="n"/>
    </row>
    <row r="959" ht="15.75" customHeight="1" s="398">
      <c r="A959" s="284" t="n"/>
      <c r="B959" s="285" t="n"/>
      <c r="C959" s="284" t="n"/>
      <c r="D959" s="284" t="n"/>
      <c r="E959" s="285" t="n"/>
      <c r="F959" s="285" t="n"/>
      <c r="G959" s="336" t="n"/>
      <c r="H959" s="336" t="n"/>
      <c r="I959" s="285" t="n"/>
      <c r="J959" s="285" t="n"/>
      <c r="K959" s="285" t="n"/>
      <c r="L959" s="285" t="n"/>
      <c r="M959" s="285" t="n"/>
      <c r="N959" s="285" t="n"/>
      <c r="O959" s="285" t="n"/>
      <c r="P959" s="285" t="n"/>
      <c r="Q959" s="285" t="n"/>
      <c r="R959" s="285" t="n"/>
      <c r="S959" s="284" t="n"/>
      <c r="T959" s="284" t="n"/>
      <c r="U959" s="285" t="n"/>
      <c r="V959" s="285" t="n"/>
      <c r="W959" s="285" t="n"/>
      <c r="X959" s="285" t="n"/>
      <c r="Y959" s="285" t="n"/>
      <c r="Z959" s="285" t="n"/>
      <c r="AA959" s="285" t="n"/>
    </row>
    <row r="960" ht="15.75" customHeight="1" s="398">
      <c r="A960" s="284" t="n"/>
      <c r="B960" s="285" t="n"/>
      <c r="C960" s="284" t="n"/>
      <c r="D960" s="284" t="n"/>
      <c r="E960" s="285" t="n"/>
      <c r="F960" s="285" t="n"/>
      <c r="G960" s="336" t="n"/>
      <c r="H960" s="336" t="n"/>
      <c r="I960" s="285" t="n"/>
      <c r="J960" s="285" t="n"/>
      <c r="K960" s="285" t="n"/>
      <c r="L960" s="285" t="n"/>
      <c r="M960" s="285" t="n"/>
      <c r="N960" s="285" t="n"/>
      <c r="O960" s="285" t="n"/>
      <c r="P960" s="285" t="n"/>
      <c r="Q960" s="285" t="n"/>
      <c r="R960" s="285" t="n"/>
      <c r="S960" s="284" t="n"/>
      <c r="T960" s="284" t="n"/>
      <c r="U960" s="285" t="n"/>
      <c r="V960" s="285" t="n"/>
      <c r="W960" s="285" t="n"/>
      <c r="X960" s="285" t="n"/>
      <c r="Y960" s="285" t="n"/>
      <c r="Z960" s="285" t="n"/>
      <c r="AA960" s="285" t="n"/>
    </row>
    <row r="961" ht="15.75" customHeight="1" s="398">
      <c r="A961" s="284" t="n"/>
      <c r="B961" s="285" t="n"/>
      <c r="C961" s="284" t="n"/>
      <c r="D961" s="284" t="n"/>
      <c r="E961" s="285" t="n"/>
      <c r="F961" s="285" t="n"/>
      <c r="G961" s="336" t="n"/>
      <c r="H961" s="336" t="n"/>
      <c r="I961" s="285" t="n"/>
      <c r="J961" s="285" t="n"/>
      <c r="K961" s="285" t="n"/>
      <c r="L961" s="285" t="n"/>
      <c r="M961" s="285" t="n"/>
      <c r="N961" s="285" t="n"/>
      <c r="O961" s="285" t="n"/>
      <c r="P961" s="285" t="n"/>
      <c r="Q961" s="285" t="n"/>
      <c r="R961" s="285" t="n"/>
      <c r="S961" s="284" t="n"/>
      <c r="T961" s="284" t="n"/>
      <c r="U961" s="285" t="n"/>
      <c r="V961" s="285" t="n"/>
      <c r="W961" s="285" t="n"/>
      <c r="X961" s="285" t="n"/>
      <c r="Y961" s="285" t="n"/>
      <c r="Z961" s="285" t="n"/>
      <c r="AA961" s="285" t="n"/>
    </row>
    <row r="962" ht="15.75" customHeight="1" s="398">
      <c r="A962" s="284" t="n"/>
      <c r="B962" s="285" t="n"/>
      <c r="C962" s="284" t="n"/>
      <c r="D962" s="284" t="n"/>
      <c r="E962" s="285" t="n"/>
      <c r="F962" s="285" t="n"/>
      <c r="G962" s="336" t="n"/>
      <c r="H962" s="336" t="n"/>
      <c r="I962" s="285" t="n"/>
      <c r="J962" s="285" t="n"/>
      <c r="K962" s="285" t="n"/>
      <c r="L962" s="285" t="n"/>
      <c r="M962" s="285" t="n"/>
      <c r="N962" s="285" t="n"/>
      <c r="O962" s="285" t="n"/>
      <c r="P962" s="285" t="n"/>
      <c r="Q962" s="285" t="n"/>
      <c r="R962" s="285" t="n"/>
      <c r="S962" s="284" t="n"/>
      <c r="T962" s="284" t="n"/>
      <c r="U962" s="285" t="n"/>
      <c r="V962" s="285" t="n"/>
      <c r="W962" s="285" t="n"/>
      <c r="X962" s="285" t="n"/>
      <c r="Y962" s="285" t="n"/>
      <c r="Z962" s="285" t="n"/>
      <c r="AA962" s="285" t="n"/>
    </row>
    <row r="963" ht="15.75" customHeight="1" s="398">
      <c r="A963" s="284" t="n"/>
      <c r="B963" s="285" t="n"/>
      <c r="C963" s="284" t="n"/>
      <c r="D963" s="284" t="n"/>
      <c r="E963" s="285" t="n"/>
      <c r="F963" s="285" t="n"/>
      <c r="G963" s="336" t="n"/>
      <c r="H963" s="336" t="n"/>
      <c r="I963" s="285" t="n"/>
      <c r="J963" s="285" t="n"/>
      <c r="K963" s="285" t="n"/>
      <c r="L963" s="285" t="n"/>
      <c r="M963" s="285" t="n"/>
      <c r="N963" s="285" t="n"/>
      <c r="O963" s="285" t="n"/>
      <c r="P963" s="285" t="n"/>
      <c r="Q963" s="285" t="n"/>
      <c r="R963" s="285" t="n"/>
      <c r="S963" s="284" t="n"/>
      <c r="T963" s="284" t="n"/>
      <c r="U963" s="285" t="n"/>
      <c r="V963" s="285" t="n"/>
      <c r="W963" s="285" t="n"/>
      <c r="X963" s="285" t="n"/>
      <c r="Y963" s="285" t="n"/>
      <c r="Z963" s="285" t="n"/>
      <c r="AA963" s="285" t="n"/>
    </row>
    <row r="964" ht="15.75" customHeight="1" s="398">
      <c r="A964" s="284" t="n"/>
      <c r="B964" s="285" t="n"/>
      <c r="C964" s="284" t="n"/>
      <c r="D964" s="284" t="n"/>
      <c r="E964" s="285" t="n"/>
      <c r="F964" s="285" t="n"/>
      <c r="G964" s="336" t="n"/>
      <c r="H964" s="336" t="n"/>
      <c r="I964" s="285" t="n"/>
      <c r="J964" s="285" t="n"/>
      <c r="K964" s="285" t="n"/>
      <c r="L964" s="285" t="n"/>
      <c r="M964" s="285" t="n"/>
      <c r="N964" s="285" t="n"/>
      <c r="O964" s="285" t="n"/>
      <c r="P964" s="285" t="n"/>
      <c r="Q964" s="285" t="n"/>
      <c r="R964" s="285" t="n"/>
      <c r="S964" s="284" t="n"/>
      <c r="T964" s="284" t="n"/>
      <c r="U964" s="285" t="n"/>
      <c r="V964" s="285" t="n"/>
      <c r="W964" s="285" t="n"/>
      <c r="X964" s="285" t="n"/>
      <c r="Y964" s="285" t="n"/>
      <c r="Z964" s="285" t="n"/>
      <c r="AA964" s="285" t="n"/>
    </row>
    <row r="965" ht="15.75" customHeight="1" s="398">
      <c r="A965" s="284" t="n"/>
      <c r="B965" s="285" t="n"/>
      <c r="C965" s="284" t="n"/>
      <c r="D965" s="284" t="n"/>
      <c r="E965" s="285" t="n"/>
      <c r="F965" s="285" t="n"/>
      <c r="G965" s="336" t="n"/>
      <c r="H965" s="336" t="n"/>
      <c r="I965" s="285" t="n"/>
      <c r="J965" s="285" t="n"/>
      <c r="K965" s="285" t="n"/>
      <c r="L965" s="285" t="n"/>
      <c r="M965" s="285" t="n"/>
      <c r="N965" s="285" t="n"/>
      <c r="O965" s="285" t="n"/>
      <c r="P965" s="285" t="n"/>
      <c r="Q965" s="285" t="n"/>
      <c r="R965" s="285" t="n"/>
      <c r="S965" s="284" t="n"/>
      <c r="T965" s="284" t="n"/>
      <c r="U965" s="285" t="n"/>
      <c r="V965" s="285" t="n"/>
      <c r="W965" s="285" t="n"/>
      <c r="X965" s="285" t="n"/>
      <c r="Y965" s="285" t="n"/>
      <c r="Z965" s="285" t="n"/>
      <c r="AA965" s="285" t="n"/>
    </row>
    <row r="966" ht="15.75" customHeight="1" s="398">
      <c r="A966" s="284" t="n"/>
      <c r="B966" s="285" t="n"/>
      <c r="C966" s="284" t="n"/>
      <c r="D966" s="284" t="n"/>
      <c r="E966" s="285" t="n"/>
      <c r="F966" s="285" t="n"/>
      <c r="G966" s="336" t="n"/>
      <c r="H966" s="336" t="n"/>
      <c r="I966" s="285" t="n"/>
      <c r="J966" s="285" t="n"/>
      <c r="K966" s="285" t="n"/>
      <c r="L966" s="285" t="n"/>
      <c r="M966" s="285" t="n"/>
      <c r="N966" s="285" t="n"/>
      <c r="O966" s="285" t="n"/>
      <c r="P966" s="285" t="n"/>
      <c r="Q966" s="285" t="n"/>
      <c r="R966" s="285" t="n"/>
      <c r="S966" s="284" t="n"/>
      <c r="T966" s="284" t="n"/>
      <c r="U966" s="285" t="n"/>
      <c r="V966" s="285" t="n"/>
      <c r="W966" s="285" t="n"/>
      <c r="X966" s="285" t="n"/>
      <c r="Y966" s="285" t="n"/>
      <c r="Z966" s="285" t="n"/>
      <c r="AA966" s="285" t="n"/>
    </row>
    <row r="967" ht="15.75" customHeight="1" s="398">
      <c r="A967" s="284" t="n"/>
      <c r="B967" s="285" t="n"/>
      <c r="C967" s="284" t="n"/>
      <c r="D967" s="284" t="n"/>
      <c r="E967" s="285" t="n"/>
      <c r="F967" s="285" t="n"/>
      <c r="G967" s="336" t="n"/>
      <c r="H967" s="336" t="n"/>
      <c r="I967" s="285" t="n"/>
      <c r="J967" s="285" t="n"/>
      <c r="K967" s="285" t="n"/>
      <c r="L967" s="285" t="n"/>
      <c r="M967" s="285" t="n"/>
      <c r="N967" s="285" t="n"/>
      <c r="O967" s="285" t="n"/>
      <c r="P967" s="285" t="n"/>
      <c r="Q967" s="285" t="n"/>
      <c r="R967" s="285" t="n"/>
      <c r="S967" s="284" t="n"/>
      <c r="T967" s="284" t="n"/>
      <c r="U967" s="285" t="n"/>
      <c r="V967" s="285" t="n"/>
      <c r="W967" s="285" t="n"/>
      <c r="X967" s="285" t="n"/>
      <c r="Y967" s="285" t="n"/>
      <c r="Z967" s="285" t="n"/>
      <c r="AA967" s="285" t="n"/>
    </row>
    <row r="968" ht="15.75" customHeight="1" s="398">
      <c r="A968" s="284" t="n"/>
      <c r="B968" s="285" t="n"/>
      <c r="C968" s="284" t="n"/>
      <c r="D968" s="284" t="n"/>
      <c r="E968" s="285" t="n"/>
      <c r="F968" s="285" t="n"/>
      <c r="G968" s="336" t="n"/>
      <c r="H968" s="336" t="n"/>
      <c r="I968" s="285" t="n"/>
      <c r="J968" s="285" t="n"/>
      <c r="K968" s="285" t="n"/>
      <c r="L968" s="285" t="n"/>
      <c r="M968" s="285" t="n"/>
      <c r="N968" s="285" t="n"/>
      <c r="O968" s="285" t="n"/>
      <c r="P968" s="285" t="n"/>
      <c r="Q968" s="285" t="n"/>
      <c r="R968" s="285" t="n"/>
      <c r="S968" s="284" t="n"/>
      <c r="T968" s="284" t="n"/>
      <c r="U968" s="285" t="n"/>
      <c r="V968" s="285" t="n"/>
      <c r="W968" s="285" t="n"/>
      <c r="X968" s="285" t="n"/>
      <c r="Y968" s="285" t="n"/>
      <c r="Z968" s="285" t="n"/>
      <c r="AA968" s="285" t="n"/>
    </row>
    <row r="969" ht="15.75" customHeight="1" s="398">
      <c r="A969" s="284" t="n"/>
      <c r="B969" s="285" t="n"/>
      <c r="C969" s="284" t="n"/>
      <c r="D969" s="284" t="n"/>
      <c r="E969" s="285" t="n"/>
      <c r="F969" s="285" t="n"/>
      <c r="G969" s="336" t="n"/>
      <c r="H969" s="336" t="n"/>
      <c r="I969" s="285" t="n"/>
      <c r="J969" s="285" t="n"/>
      <c r="K969" s="285" t="n"/>
      <c r="L969" s="285" t="n"/>
      <c r="M969" s="285" t="n"/>
      <c r="N969" s="285" t="n"/>
      <c r="O969" s="285" t="n"/>
      <c r="P969" s="285" t="n"/>
      <c r="Q969" s="285" t="n"/>
      <c r="R969" s="285" t="n"/>
      <c r="S969" s="284" t="n"/>
      <c r="T969" s="284" t="n"/>
      <c r="U969" s="285" t="n"/>
      <c r="V969" s="285" t="n"/>
      <c r="W969" s="285" t="n"/>
      <c r="X969" s="285" t="n"/>
      <c r="Y969" s="285" t="n"/>
      <c r="Z969" s="285" t="n"/>
      <c r="AA969" s="285" t="n"/>
    </row>
    <row r="970" ht="15.75" customHeight="1" s="398">
      <c r="A970" s="284" t="n"/>
      <c r="B970" s="285" t="n"/>
      <c r="C970" s="284" t="n"/>
      <c r="D970" s="284" t="n"/>
      <c r="E970" s="285" t="n"/>
      <c r="F970" s="285" t="n"/>
      <c r="G970" s="336" t="n"/>
      <c r="H970" s="336" t="n"/>
      <c r="I970" s="285" t="n"/>
      <c r="J970" s="285" t="n"/>
      <c r="K970" s="285" t="n"/>
      <c r="L970" s="285" t="n"/>
      <c r="M970" s="285" t="n"/>
      <c r="N970" s="285" t="n"/>
      <c r="O970" s="285" t="n"/>
      <c r="P970" s="285" t="n"/>
      <c r="Q970" s="285" t="n"/>
      <c r="R970" s="285" t="n"/>
      <c r="S970" s="284" t="n"/>
      <c r="T970" s="284" t="n"/>
      <c r="U970" s="285" t="n"/>
      <c r="V970" s="285" t="n"/>
      <c r="W970" s="285" t="n"/>
      <c r="X970" s="285" t="n"/>
      <c r="Y970" s="285" t="n"/>
      <c r="Z970" s="285" t="n"/>
      <c r="AA970" s="285" t="n"/>
    </row>
    <row r="971" ht="15.75" customHeight="1" s="398">
      <c r="A971" s="284" t="n"/>
      <c r="B971" s="285" t="n"/>
      <c r="C971" s="284" t="n"/>
      <c r="D971" s="284" t="n"/>
      <c r="E971" s="285" t="n"/>
      <c r="F971" s="285" t="n"/>
      <c r="G971" s="336" t="n"/>
      <c r="H971" s="336" t="n"/>
      <c r="I971" s="285" t="n"/>
      <c r="J971" s="285" t="n"/>
      <c r="K971" s="285" t="n"/>
      <c r="L971" s="285" t="n"/>
      <c r="M971" s="285" t="n"/>
      <c r="N971" s="285" t="n"/>
      <c r="O971" s="285" t="n"/>
      <c r="P971" s="285" t="n"/>
      <c r="Q971" s="285" t="n"/>
      <c r="R971" s="285" t="n"/>
      <c r="S971" s="284" t="n"/>
      <c r="T971" s="284" t="n"/>
      <c r="U971" s="285" t="n"/>
      <c r="V971" s="285" t="n"/>
      <c r="W971" s="285" t="n"/>
      <c r="X971" s="285" t="n"/>
      <c r="Y971" s="285" t="n"/>
      <c r="Z971" s="285" t="n"/>
      <c r="AA971" s="285" t="n"/>
    </row>
    <row r="972" ht="15.75" customHeight="1" s="398">
      <c r="A972" s="284" t="n"/>
      <c r="B972" s="285" t="n"/>
      <c r="C972" s="284" t="n"/>
      <c r="D972" s="284" t="n"/>
      <c r="E972" s="285" t="n"/>
      <c r="F972" s="285" t="n"/>
      <c r="G972" s="336" t="n"/>
      <c r="H972" s="336" t="n"/>
      <c r="I972" s="285" t="n"/>
      <c r="J972" s="285" t="n"/>
      <c r="K972" s="285" t="n"/>
      <c r="L972" s="285" t="n"/>
      <c r="M972" s="285" t="n"/>
      <c r="N972" s="285" t="n"/>
      <c r="O972" s="285" t="n"/>
      <c r="P972" s="285" t="n"/>
      <c r="Q972" s="285" t="n"/>
      <c r="R972" s="285" t="n"/>
      <c r="S972" s="284" t="n"/>
      <c r="T972" s="284" t="n"/>
      <c r="U972" s="285" t="n"/>
      <c r="V972" s="285" t="n"/>
      <c r="W972" s="285" t="n"/>
      <c r="X972" s="285" t="n"/>
      <c r="Y972" s="285" t="n"/>
      <c r="Z972" s="285" t="n"/>
      <c r="AA972" s="285" t="n"/>
    </row>
    <row r="973" ht="15.75" customHeight="1" s="398">
      <c r="A973" s="284" t="n"/>
      <c r="B973" s="285" t="n"/>
      <c r="C973" s="284" t="n"/>
      <c r="D973" s="284" t="n"/>
      <c r="E973" s="285" t="n"/>
      <c r="F973" s="285" t="n"/>
      <c r="G973" s="336" t="n"/>
      <c r="H973" s="336" t="n"/>
      <c r="I973" s="285" t="n"/>
      <c r="J973" s="285" t="n"/>
      <c r="K973" s="285" t="n"/>
      <c r="L973" s="285" t="n"/>
      <c r="M973" s="285" t="n"/>
      <c r="N973" s="285" t="n"/>
      <c r="O973" s="285" t="n"/>
      <c r="P973" s="285" t="n"/>
      <c r="Q973" s="285" t="n"/>
      <c r="R973" s="285" t="n"/>
      <c r="S973" s="284" t="n"/>
      <c r="T973" s="284" t="n"/>
      <c r="U973" s="285" t="n"/>
      <c r="V973" s="285" t="n"/>
      <c r="W973" s="285" t="n"/>
      <c r="X973" s="285" t="n"/>
      <c r="Y973" s="285" t="n"/>
      <c r="Z973" s="285" t="n"/>
      <c r="AA973" s="285" t="n"/>
    </row>
    <row r="974" ht="15.75" customHeight="1" s="398">
      <c r="A974" s="284" t="n"/>
      <c r="B974" s="285" t="n"/>
      <c r="C974" s="284" t="n"/>
      <c r="D974" s="284" t="n"/>
      <c r="E974" s="285" t="n"/>
      <c r="F974" s="285" t="n"/>
      <c r="G974" s="336" t="n"/>
      <c r="H974" s="336" t="n"/>
      <c r="I974" s="285" t="n"/>
      <c r="J974" s="285" t="n"/>
      <c r="K974" s="285" t="n"/>
      <c r="L974" s="285" t="n"/>
      <c r="M974" s="285" t="n"/>
      <c r="N974" s="285" t="n"/>
      <c r="O974" s="285" t="n"/>
      <c r="P974" s="285" t="n"/>
      <c r="Q974" s="285" t="n"/>
      <c r="R974" s="285" t="n"/>
      <c r="S974" s="284" t="n"/>
      <c r="T974" s="284" t="n"/>
      <c r="U974" s="285" t="n"/>
      <c r="V974" s="285" t="n"/>
      <c r="W974" s="285" t="n"/>
      <c r="X974" s="285" t="n"/>
      <c r="Y974" s="285" t="n"/>
      <c r="Z974" s="285" t="n"/>
      <c r="AA974" s="285" t="n"/>
    </row>
    <row r="975" ht="15.75" customHeight="1" s="398">
      <c r="A975" s="284" t="n"/>
      <c r="B975" s="285" t="n"/>
      <c r="C975" s="284" t="n"/>
      <c r="D975" s="284" t="n"/>
      <c r="E975" s="285" t="n"/>
      <c r="F975" s="285" t="n"/>
      <c r="G975" s="336" t="n"/>
      <c r="H975" s="336" t="n"/>
      <c r="I975" s="285" t="n"/>
      <c r="J975" s="285" t="n"/>
      <c r="K975" s="285" t="n"/>
      <c r="L975" s="285" t="n"/>
      <c r="M975" s="285" t="n"/>
      <c r="N975" s="285" t="n"/>
      <c r="O975" s="285" t="n"/>
      <c r="P975" s="285" t="n"/>
      <c r="Q975" s="285" t="n"/>
      <c r="R975" s="285" t="n"/>
      <c r="S975" s="284" t="n"/>
      <c r="T975" s="284" t="n"/>
      <c r="U975" s="285" t="n"/>
      <c r="V975" s="285" t="n"/>
      <c r="W975" s="285" t="n"/>
      <c r="X975" s="285" t="n"/>
      <c r="Y975" s="285" t="n"/>
      <c r="Z975" s="285" t="n"/>
      <c r="AA975" s="285" t="n"/>
    </row>
    <row r="976" ht="15.75" customHeight="1" s="398">
      <c r="A976" s="284" t="n"/>
      <c r="B976" s="285" t="n"/>
      <c r="C976" s="284" t="n"/>
      <c r="D976" s="284" t="n"/>
      <c r="E976" s="285" t="n"/>
      <c r="F976" s="285" t="n"/>
      <c r="G976" s="336" t="n"/>
      <c r="H976" s="336" t="n"/>
      <c r="I976" s="285" t="n"/>
      <c r="J976" s="285" t="n"/>
      <c r="K976" s="285" t="n"/>
      <c r="L976" s="285" t="n"/>
      <c r="M976" s="285" t="n"/>
      <c r="N976" s="285" t="n"/>
      <c r="O976" s="285" t="n"/>
      <c r="P976" s="285" t="n"/>
      <c r="Q976" s="285" t="n"/>
      <c r="R976" s="285" t="n"/>
      <c r="S976" s="284" t="n"/>
      <c r="T976" s="284" t="n"/>
      <c r="U976" s="285" t="n"/>
      <c r="V976" s="285" t="n"/>
      <c r="W976" s="285" t="n"/>
      <c r="X976" s="285" t="n"/>
      <c r="Y976" s="285" t="n"/>
      <c r="Z976" s="285" t="n"/>
      <c r="AA976" s="285" t="n"/>
    </row>
    <row r="977" ht="15.75" customHeight="1" s="398">
      <c r="A977" s="284" t="n"/>
      <c r="B977" s="285" t="n"/>
      <c r="C977" s="284" t="n"/>
      <c r="D977" s="284" t="n"/>
      <c r="E977" s="285" t="n"/>
      <c r="F977" s="285" t="n"/>
      <c r="G977" s="336" t="n"/>
      <c r="H977" s="336" t="n"/>
      <c r="I977" s="285" t="n"/>
      <c r="J977" s="285" t="n"/>
      <c r="K977" s="285" t="n"/>
      <c r="L977" s="285" t="n"/>
      <c r="M977" s="285" t="n"/>
      <c r="N977" s="285" t="n"/>
      <c r="O977" s="285" t="n"/>
      <c r="P977" s="285" t="n"/>
      <c r="Q977" s="285" t="n"/>
      <c r="R977" s="285" t="n"/>
      <c r="S977" s="284" t="n"/>
      <c r="T977" s="284" t="n"/>
      <c r="U977" s="285" t="n"/>
      <c r="V977" s="285" t="n"/>
      <c r="W977" s="285" t="n"/>
      <c r="X977" s="285" t="n"/>
      <c r="Y977" s="285" t="n"/>
      <c r="Z977" s="285" t="n"/>
      <c r="AA977" s="285" t="n"/>
    </row>
    <row r="978" ht="15.75" customHeight="1" s="398">
      <c r="A978" s="284" t="n"/>
      <c r="B978" s="285" t="n"/>
      <c r="C978" s="284" t="n"/>
      <c r="D978" s="284" t="n"/>
      <c r="E978" s="285" t="n"/>
      <c r="F978" s="285" t="n"/>
      <c r="G978" s="336" t="n"/>
      <c r="H978" s="336" t="n"/>
      <c r="I978" s="285" t="n"/>
      <c r="J978" s="285" t="n"/>
      <c r="K978" s="285" t="n"/>
      <c r="L978" s="285" t="n"/>
      <c r="M978" s="285" t="n"/>
      <c r="N978" s="285" t="n"/>
      <c r="O978" s="285" t="n"/>
      <c r="P978" s="285" t="n"/>
      <c r="Q978" s="285" t="n"/>
      <c r="R978" s="285" t="n"/>
      <c r="S978" s="284" t="n"/>
      <c r="T978" s="284" t="n"/>
      <c r="U978" s="285" t="n"/>
      <c r="V978" s="285" t="n"/>
      <c r="W978" s="285" t="n"/>
      <c r="X978" s="285" t="n"/>
      <c r="Y978" s="285" t="n"/>
      <c r="Z978" s="285" t="n"/>
      <c r="AA978" s="285" t="n"/>
    </row>
    <row r="979" ht="15.75" customHeight="1" s="398">
      <c r="A979" s="284" t="n"/>
      <c r="B979" s="285" t="n"/>
      <c r="C979" s="284" t="n"/>
      <c r="D979" s="284" t="n"/>
      <c r="E979" s="285" t="n"/>
      <c r="F979" s="285" t="n"/>
      <c r="G979" s="336" t="n"/>
      <c r="H979" s="336" t="n"/>
      <c r="I979" s="285" t="n"/>
      <c r="J979" s="285" t="n"/>
      <c r="K979" s="285" t="n"/>
      <c r="L979" s="285" t="n"/>
      <c r="M979" s="285" t="n"/>
      <c r="N979" s="285" t="n"/>
      <c r="O979" s="285" t="n"/>
      <c r="P979" s="285" t="n"/>
      <c r="Q979" s="285" t="n"/>
      <c r="R979" s="285" t="n"/>
      <c r="S979" s="284" t="n"/>
      <c r="T979" s="284" t="n"/>
      <c r="U979" s="285" t="n"/>
      <c r="V979" s="285" t="n"/>
      <c r="W979" s="285" t="n"/>
      <c r="X979" s="285" t="n"/>
      <c r="Y979" s="285" t="n"/>
      <c r="Z979" s="285" t="n"/>
      <c r="AA979" s="285" t="n"/>
    </row>
    <row r="980" ht="15.75" customHeight="1" s="398">
      <c r="A980" s="284" t="n"/>
      <c r="B980" s="285" t="n"/>
      <c r="C980" s="284" t="n"/>
      <c r="D980" s="284" t="n"/>
      <c r="E980" s="285" t="n"/>
      <c r="F980" s="285" t="n"/>
      <c r="G980" s="336" t="n"/>
      <c r="H980" s="336" t="n"/>
      <c r="I980" s="285" t="n"/>
      <c r="J980" s="285" t="n"/>
      <c r="K980" s="285" t="n"/>
      <c r="L980" s="285" t="n"/>
      <c r="M980" s="285" t="n"/>
      <c r="N980" s="285" t="n"/>
      <c r="O980" s="285" t="n"/>
      <c r="P980" s="285" t="n"/>
      <c r="Q980" s="285" t="n"/>
      <c r="R980" s="285" t="n"/>
      <c r="S980" s="284" t="n"/>
      <c r="T980" s="284" t="n"/>
      <c r="U980" s="285" t="n"/>
      <c r="V980" s="285" t="n"/>
      <c r="W980" s="285" t="n"/>
      <c r="X980" s="285" t="n"/>
      <c r="Y980" s="285" t="n"/>
      <c r="Z980" s="285" t="n"/>
      <c r="AA980" s="285" t="n"/>
    </row>
    <row r="981" ht="15.75" customHeight="1" s="398">
      <c r="A981" s="284" t="n"/>
      <c r="B981" s="285" t="n"/>
      <c r="C981" s="284" t="n"/>
      <c r="D981" s="284" t="n"/>
      <c r="E981" s="285" t="n"/>
      <c r="F981" s="285" t="n"/>
      <c r="G981" s="336" t="n"/>
      <c r="H981" s="336" t="n"/>
      <c r="I981" s="285" t="n"/>
      <c r="J981" s="285" t="n"/>
      <c r="K981" s="285" t="n"/>
      <c r="L981" s="285" t="n"/>
      <c r="M981" s="285" t="n"/>
      <c r="N981" s="285" t="n"/>
      <c r="O981" s="285" t="n"/>
      <c r="P981" s="285" t="n"/>
      <c r="Q981" s="285" t="n"/>
      <c r="R981" s="285" t="n"/>
      <c r="S981" s="284" t="n"/>
      <c r="T981" s="284" t="n"/>
      <c r="U981" s="285" t="n"/>
      <c r="V981" s="285" t="n"/>
      <c r="W981" s="285" t="n"/>
      <c r="X981" s="285" t="n"/>
      <c r="Y981" s="285" t="n"/>
      <c r="Z981" s="285" t="n"/>
      <c r="AA981" s="285" t="n"/>
    </row>
    <row r="982" ht="15.75" customHeight="1" s="398">
      <c r="A982" s="284" t="n"/>
      <c r="B982" s="285" t="n"/>
      <c r="C982" s="284" t="n"/>
      <c r="D982" s="284" t="n"/>
      <c r="E982" s="285" t="n"/>
      <c r="F982" s="285" t="n"/>
      <c r="G982" s="336" t="n"/>
      <c r="H982" s="336" t="n"/>
      <c r="I982" s="285" t="n"/>
      <c r="J982" s="285" t="n"/>
      <c r="K982" s="285" t="n"/>
      <c r="L982" s="285" t="n"/>
      <c r="M982" s="285" t="n"/>
      <c r="N982" s="285" t="n"/>
      <c r="O982" s="285" t="n"/>
      <c r="P982" s="285" t="n"/>
      <c r="Q982" s="285" t="n"/>
      <c r="R982" s="285" t="n"/>
      <c r="S982" s="284" t="n"/>
      <c r="T982" s="284" t="n"/>
      <c r="U982" s="285" t="n"/>
      <c r="V982" s="285" t="n"/>
      <c r="W982" s="285" t="n"/>
      <c r="X982" s="285" t="n"/>
      <c r="Y982" s="285" t="n"/>
      <c r="Z982" s="285" t="n"/>
      <c r="AA982" s="285" t="n"/>
    </row>
    <row r="983" ht="15.75" customHeight="1" s="398">
      <c r="A983" s="284" t="n"/>
      <c r="B983" s="285" t="n"/>
      <c r="C983" s="284" t="n"/>
      <c r="D983" s="284" t="n"/>
      <c r="E983" s="285" t="n"/>
      <c r="F983" s="285" t="n"/>
      <c r="G983" s="336" t="n"/>
      <c r="H983" s="336" t="n"/>
      <c r="I983" s="285" t="n"/>
      <c r="J983" s="285" t="n"/>
      <c r="K983" s="285" t="n"/>
      <c r="L983" s="285" t="n"/>
      <c r="M983" s="285" t="n"/>
      <c r="N983" s="285" t="n"/>
      <c r="O983" s="285" t="n"/>
      <c r="P983" s="285" t="n"/>
      <c r="Q983" s="285" t="n"/>
      <c r="R983" s="285" t="n"/>
      <c r="S983" s="284" t="n"/>
      <c r="T983" s="284" t="n"/>
      <c r="U983" s="285" t="n"/>
      <c r="V983" s="285" t="n"/>
      <c r="W983" s="285" t="n"/>
      <c r="X983" s="285" t="n"/>
      <c r="Y983" s="285" t="n"/>
      <c r="Z983" s="285" t="n"/>
      <c r="AA983" s="285" t="n"/>
    </row>
    <row r="984" ht="15.75" customHeight="1" s="398">
      <c r="A984" s="284" t="n"/>
      <c r="B984" s="285" t="n"/>
      <c r="C984" s="284" t="n"/>
      <c r="D984" s="284" t="n"/>
      <c r="E984" s="285" t="n"/>
      <c r="F984" s="285" t="n"/>
      <c r="G984" s="336" t="n"/>
      <c r="H984" s="336" t="n"/>
      <c r="I984" s="285" t="n"/>
      <c r="J984" s="285" t="n"/>
      <c r="K984" s="285" t="n"/>
      <c r="L984" s="285" t="n"/>
      <c r="M984" s="285" t="n"/>
      <c r="N984" s="285" t="n"/>
      <c r="O984" s="285" t="n"/>
      <c r="P984" s="285" t="n"/>
      <c r="Q984" s="285" t="n"/>
      <c r="R984" s="285" t="n"/>
      <c r="S984" s="284" t="n"/>
      <c r="T984" s="284" t="n"/>
      <c r="U984" s="285" t="n"/>
      <c r="V984" s="285" t="n"/>
      <c r="W984" s="285" t="n"/>
      <c r="X984" s="285" t="n"/>
      <c r="Y984" s="285" t="n"/>
      <c r="Z984" s="285" t="n"/>
      <c r="AA984" s="285" t="n"/>
    </row>
    <row r="985" ht="15.75" customHeight="1" s="398">
      <c r="A985" s="284" t="n"/>
      <c r="B985" s="285" t="n"/>
      <c r="C985" s="284" t="n"/>
      <c r="D985" s="284" t="n"/>
      <c r="E985" s="285" t="n"/>
      <c r="F985" s="285" t="n"/>
      <c r="G985" s="336" t="n"/>
      <c r="H985" s="336" t="n"/>
      <c r="I985" s="285" t="n"/>
      <c r="J985" s="285" t="n"/>
      <c r="K985" s="285" t="n"/>
      <c r="L985" s="285" t="n"/>
      <c r="M985" s="285" t="n"/>
      <c r="N985" s="285" t="n"/>
      <c r="O985" s="285" t="n"/>
      <c r="P985" s="285" t="n"/>
      <c r="Q985" s="285" t="n"/>
      <c r="R985" s="285" t="n"/>
      <c r="S985" s="284" t="n"/>
      <c r="T985" s="284" t="n"/>
      <c r="U985" s="285" t="n"/>
      <c r="V985" s="285" t="n"/>
      <c r="W985" s="285" t="n"/>
      <c r="X985" s="285" t="n"/>
      <c r="Y985" s="285" t="n"/>
      <c r="Z985" s="285" t="n"/>
      <c r="AA985" s="285" t="n"/>
    </row>
    <row r="986" ht="15.75" customHeight="1" s="398">
      <c r="A986" s="284" t="n"/>
      <c r="B986" s="285" t="n"/>
      <c r="C986" s="284" t="n"/>
      <c r="D986" s="284" t="n"/>
      <c r="E986" s="285" t="n"/>
      <c r="F986" s="285" t="n"/>
      <c r="G986" s="336" t="n"/>
      <c r="H986" s="336" t="n"/>
      <c r="I986" s="285" t="n"/>
      <c r="J986" s="285" t="n"/>
      <c r="K986" s="285" t="n"/>
      <c r="L986" s="285" t="n"/>
      <c r="M986" s="285" t="n"/>
      <c r="N986" s="285" t="n"/>
      <c r="O986" s="285" t="n"/>
      <c r="P986" s="285" t="n"/>
      <c r="Q986" s="285" t="n"/>
      <c r="R986" s="285" t="n"/>
      <c r="S986" s="284" t="n"/>
      <c r="T986" s="284" t="n"/>
      <c r="U986" s="285" t="n"/>
      <c r="V986" s="285" t="n"/>
      <c r="W986" s="285" t="n"/>
      <c r="X986" s="285" t="n"/>
      <c r="Y986" s="285" t="n"/>
      <c r="Z986" s="285" t="n"/>
      <c r="AA986" s="285" t="n"/>
    </row>
    <row r="987" ht="15.75" customHeight="1" s="398">
      <c r="A987" s="284" t="n"/>
      <c r="B987" s="285" t="n"/>
      <c r="C987" s="284" t="n"/>
      <c r="D987" s="284" t="n"/>
      <c r="E987" s="285" t="n"/>
      <c r="F987" s="285" t="n"/>
      <c r="G987" s="336" t="n"/>
      <c r="H987" s="336" t="n"/>
      <c r="I987" s="285" t="n"/>
      <c r="J987" s="285" t="n"/>
      <c r="K987" s="285" t="n"/>
      <c r="L987" s="285" t="n"/>
      <c r="M987" s="285" t="n"/>
      <c r="N987" s="285" t="n"/>
      <c r="O987" s="285" t="n"/>
      <c r="P987" s="285" t="n"/>
      <c r="Q987" s="285" t="n"/>
      <c r="R987" s="285" t="n"/>
      <c r="S987" s="284" t="n"/>
      <c r="T987" s="284" t="n"/>
      <c r="U987" s="285" t="n"/>
      <c r="V987" s="285" t="n"/>
      <c r="W987" s="285" t="n"/>
      <c r="X987" s="285" t="n"/>
      <c r="Y987" s="285" t="n"/>
      <c r="Z987" s="285" t="n"/>
      <c r="AA987" s="285" t="n"/>
    </row>
    <row r="988" ht="15.75" customHeight="1" s="398">
      <c r="A988" s="284" t="n"/>
      <c r="B988" s="285" t="n"/>
      <c r="C988" s="284" t="n"/>
      <c r="D988" s="284" t="n"/>
      <c r="E988" s="285" t="n"/>
      <c r="F988" s="285" t="n"/>
      <c r="G988" s="336" t="n"/>
      <c r="H988" s="336" t="n"/>
      <c r="I988" s="285" t="n"/>
      <c r="J988" s="285" t="n"/>
      <c r="K988" s="285" t="n"/>
      <c r="L988" s="285" t="n"/>
      <c r="M988" s="285" t="n"/>
      <c r="N988" s="285" t="n"/>
      <c r="O988" s="285" t="n"/>
      <c r="P988" s="285" t="n"/>
      <c r="Q988" s="285" t="n"/>
      <c r="R988" s="285" t="n"/>
      <c r="S988" s="284" t="n"/>
      <c r="T988" s="284" t="n"/>
      <c r="U988" s="285" t="n"/>
      <c r="V988" s="285" t="n"/>
      <c r="W988" s="285" t="n"/>
      <c r="X988" s="285" t="n"/>
      <c r="Y988" s="285" t="n"/>
      <c r="Z988" s="285" t="n"/>
      <c r="AA988" s="285" t="n"/>
    </row>
    <row r="989" ht="15.75" customHeight="1" s="398">
      <c r="A989" s="284" t="n"/>
      <c r="B989" s="285" t="n"/>
      <c r="C989" s="284" t="n"/>
      <c r="D989" s="284" t="n"/>
      <c r="E989" s="285" t="n"/>
      <c r="F989" s="285" t="n"/>
      <c r="G989" s="336" t="n"/>
      <c r="H989" s="336" t="n"/>
      <c r="I989" s="285" t="n"/>
      <c r="J989" s="285" t="n"/>
      <c r="K989" s="285" t="n"/>
      <c r="L989" s="285" t="n"/>
      <c r="M989" s="285" t="n"/>
      <c r="N989" s="285" t="n"/>
      <c r="O989" s="285" t="n"/>
      <c r="P989" s="285" t="n"/>
      <c r="Q989" s="285" t="n"/>
      <c r="R989" s="285" t="n"/>
      <c r="S989" s="284" t="n"/>
      <c r="T989" s="284" t="n"/>
      <c r="U989" s="285" t="n"/>
      <c r="V989" s="285" t="n"/>
      <c r="W989" s="285" t="n"/>
      <c r="X989" s="285" t="n"/>
      <c r="Y989" s="285" t="n"/>
      <c r="Z989" s="285" t="n"/>
      <c r="AA989" s="285" t="n"/>
    </row>
    <row r="990" ht="15.75" customHeight="1" s="398">
      <c r="A990" s="284" t="n"/>
      <c r="B990" s="285" t="n"/>
      <c r="C990" s="284" t="n"/>
      <c r="D990" s="284" t="n"/>
      <c r="E990" s="285" t="n"/>
      <c r="F990" s="285" t="n"/>
      <c r="G990" s="336" t="n"/>
      <c r="H990" s="336" t="n"/>
      <c r="I990" s="285" t="n"/>
      <c r="J990" s="285" t="n"/>
      <c r="K990" s="285" t="n"/>
      <c r="L990" s="285" t="n"/>
      <c r="M990" s="285" t="n"/>
      <c r="N990" s="285" t="n"/>
      <c r="O990" s="285" t="n"/>
      <c r="P990" s="285" t="n"/>
      <c r="Q990" s="285" t="n"/>
      <c r="R990" s="285" t="n"/>
      <c r="S990" s="284" t="n"/>
      <c r="T990" s="284" t="n"/>
      <c r="U990" s="285" t="n"/>
      <c r="V990" s="285" t="n"/>
      <c r="W990" s="285" t="n"/>
      <c r="X990" s="285" t="n"/>
      <c r="Y990" s="285" t="n"/>
      <c r="Z990" s="285" t="n"/>
      <c r="AA990" s="285" t="n"/>
    </row>
    <row r="991" ht="15.75" customHeight="1" s="398">
      <c r="A991" s="284" t="n"/>
      <c r="B991" s="285" t="n"/>
      <c r="C991" s="284" t="n"/>
      <c r="D991" s="284" t="n"/>
      <c r="E991" s="285" t="n"/>
      <c r="F991" s="285" t="n"/>
      <c r="G991" s="336" t="n"/>
      <c r="H991" s="336" t="n"/>
      <c r="I991" s="285" t="n"/>
      <c r="J991" s="285" t="n"/>
      <c r="K991" s="285" t="n"/>
      <c r="L991" s="285" t="n"/>
      <c r="M991" s="285" t="n"/>
      <c r="N991" s="285" t="n"/>
      <c r="O991" s="285" t="n"/>
      <c r="P991" s="285" t="n"/>
      <c r="Q991" s="285" t="n"/>
      <c r="R991" s="285" t="n"/>
      <c r="S991" s="284" t="n"/>
      <c r="T991" s="284" t="n"/>
      <c r="U991" s="285" t="n"/>
      <c r="V991" s="285" t="n"/>
      <c r="W991" s="285" t="n"/>
      <c r="X991" s="285" t="n"/>
      <c r="Y991" s="285" t="n"/>
      <c r="Z991" s="285" t="n"/>
      <c r="AA991" s="285" t="n"/>
    </row>
    <row r="992" ht="15.75" customHeight="1" s="398">
      <c r="A992" s="284" t="n"/>
      <c r="B992" s="285" t="n"/>
      <c r="C992" s="284" t="n"/>
      <c r="D992" s="284" t="n"/>
      <c r="E992" s="285" t="n"/>
      <c r="F992" s="285" t="n"/>
      <c r="G992" s="336" t="n"/>
      <c r="H992" s="336" t="n"/>
      <c r="I992" s="285" t="n"/>
      <c r="J992" s="285" t="n"/>
      <c r="K992" s="285" t="n"/>
      <c r="L992" s="285" t="n"/>
      <c r="M992" s="285" t="n"/>
      <c r="N992" s="285" t="n"/>
      <c r="O992" s="285" t="n"/>
      <c r="P992" s="285" t="n"/>
      <c r="Q992" s="285" t="n"/>
      <c r="R992" s="285" t="n"/>
      <c r="S992" s="284" t="n"/>
      <c r="T992" s="284" t="n"/>
      <c r="U992" s="285" t="n"/>
      <c r="V992" s="285" t="n"/>
      <c r="W992" s="285" t="n"/>
      <c r="X992" s="285" t="n"/>
      <c r="Y992" s="285" t="n"/>
      <c r="Z992" s="285" t="n"/>
      <c r="AA992" s="285" t="n"/>
    </row>
    <row r="993" ht="15.75" customHeight="1" s="398">
      <c r="A993" s="284" t="n"/>
      <c r="B993" s="285" t="n"/>
      <c r="C993" s="284" t="n"/>
      <c r="D993" s="284" t="n"/>
      <c r="E993" s="285" t="n"/>
      <c r="F993" s="285" t="n"/>
      <c r="G993" s="336" t="n"/>
      <c r="H993" s="336" t="n"/>
      <c r="I993" s="285" t="n"/>
      <c r="J993" s="285" t="n"/>
      <c r="K993" s="285" t="n"/>
      <c r="L993" s="285" t="n"/>
      <c r="M993" s="285" t="n"/>
      <c r="N993" s="285" t="n"/>
      <c r="O993" s="285" t="n"/>
      <c r="P993" s="285" t="n"/>
      <c r="Q993" s="285" t="n"/>
      <c r="R993" s="285" t="n"/>
      <c r="S993" s="284" t="n"/>
      <c r="T993" s="284" t="n"/>
      <c r="U993" s="285" t="n"/>
      <c r="V993" s="285" t="n"/>
      <c r="W993" s="285" t="n"/>
      <c r="X993" s="285" t="n"/>
      <c r="Y993" s="285" t="n"/>
      <c r="Z993" s="285" t="n"/>
      <c r="AA993" s="285" t="n"/>
    </row>
    <row r="994" ht="15.75" customHeight="1" s="398">
      <c r="A994" s="284" t="n"/>
      <c r="B994" s="285" t="n"/>
      <c r="C994" s="284" t="n"/>
      <c r="D994" s="284" t="n"/>
      <c r="E994" s="285" t="n"/>
      <c r="F994" s="285" t="n"/>
      <c r="G994" s="336" t="n"/>
      <c r="H994" s="336" t="n"/>
      <c r="I994" s="285" t="n"/>
      <c r="J994" s="285" t="n"/>
      <c r="K994" s="285" t="n"/>
      <c r="L994" s="285" t="n"/>
      <c r="M994" s="285" t="n"/>
      <c r="N994" s="285" t="n"/>
      <c r="O994" s="285" t="n"/>
      <c r="P994" s="285" t="n"/>
      <c r="Q994" s="285" t="n"/>
      <c r="R994" s="285" t="n"/>
      <c r="S994" s="284" t="n"/>
      <c r="T994" s="284" t="n"/>
      <c r="U994" s="285" t="n"/>
      <c r="V994" s="285" t="n"/>
      <c r="W994" s="285" t="n"/>
      <c r="X994" s="285" t="n"/>
      <c r="Y994" s="285" t="n"/>
      <c r="Z994" s="285" t="n"/>
      <c r="AA994" s="285" t="n"/>
    </row>
    <row r="995" ht="15.75" customHeight="1" s="398">
      <c r="A995" s="284" t="n"/>
      <c r="B995" s="285" t="n"/>
      <c r="C995" s="284" t="n"/>
      <c r="D995" s="284" t="n"/>
      <c r="E995" s="285" t="n"/>
      <c r="F995" s="285" t="n"/>
      <c r="G995" s="336" t="n"/>
      <c r="H995" s="336" t="n"/>
      <c r="I995" s="285" t="n"/>
      <c r="J995" s="285" t="n"/>
      <c r="K995" s="285" t="n"/>
      <c r="L995" s="285" t="n"/>
      <c r="M995" s="285" t="n"/>
      <c r="N995" s="285" t="n"/>
      <c r="O995" s="285" t="n"/>
      <c r="P995" s="285" t="n"/>
      <c r="Q995" s="285" t="n"/>
      <c r="R995" s="285" t="n"/>
      <c r="S995" s="284" t="n"/>
      <c r="T995" s="284" t="n"/>
      <c r="U995" s="285" t="n"/>
      <c r="V995" s="285" t="n"/>
      <c r="W995" s="285" t="n"/>
      <c r="X995" s="285" t="n"/>
      <c r="Y995" s="285" t="n"/>
      <c r="Z995" s="285" t="n"/>
      <c r="AA995" s="285" t="n"/>
    </row>
  </sheetData>
  <autoFilter ref="B18:Q26"/>
  <mergeCells count="35">
    <mergeCell ref="S4:S11"/>
    <mergeCell ref="D4:D10"/>
    <mergeCell ref="J4:J10"/>
    <mergeCell ref="L4:L10"/>
    <mergeCell ref="M11:M12"/>
    <mergeCell ref="D11:D12"/>
    <mergeCell ref="A47:A51"/>
    <mergeCell ref="H11:H12"/>
    <mergeCell ref="J11:J12"/>
    <mergeCell ref="P11:P12"/>
    <mergeCell ref="K11:K12"/>
    <mergeCell ref="A4:A10"/>
    <mergeCell ref="T4:T11"/>
    <mergeCell ref="G4:G10"/>
    <mergeCell ref="I4:I10"/>
    <mergeCell ref="K4:K10"/>
    <mergeCell ref="M4:M10"/>
    <mergeCell ref="C11:C12"/>
    <mergeCell ref="E11:E12"/>
    <mergeCell ref="H4:H10"/>
    <mergeCell ref="N4:N10"/>
    <mergeCell ref="O11:O12"/>
    <mergeCell ref="P4:P10"/>
    <mergeCell ref="Q11:Q12"/>
    <mergeCell ref="F11:F12"/>
    <mergeCell ref="L11:L12"/>
    <mergeCell ref="A30:A36"/>
    <mergeCell ref="A39:A45"/>
    <mergeCell ref="N11:N12"/>
    <mergeCell ref="C4:C10"/>
    <mergeCell ref="O4:O10"/>
    <mergeCell ref="Q4:Q10"/>
    <mergeCell ref="G11:G12"/>
    <mergeCell ref="I11:I12"/>
    <mergeCell ref="A11:A12"/>
  </mergeCells>
  <printOptions horizontalCentered="1" verticalCentered="1" gridLines="1"/>
  <pageMargins left="0.7" right="0.7" top="0.75" bottom="0.75" header="0" footer="0"/>
  <pageSetup orientation="portrait" paperSize="9" pageOrder="overThenDown" cellComments="atEnd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AA997"/>
  <sheetViews>
    <sheetView view="pageBreakPreview" zoomScale="80" zoomScaleNormal="80" zoomScaleSheetLayoutView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14" sqref="E14"/>
    </sheetView>
  </sheetViews>
  <sheetFormatPr baseColWidth="8" defaultColWidth="12.7109375" defaultRowHeight="15" customHeight="1"/>
  <cols>
    <col width="15.85546875" customWidth="1" style="386" min="1" max="2"/>
    <col width="73.28515625" customWidth="1" style="386" min="3" max="3"/>
    <col width="19.140625" customWidth="1" style="386" min="4" max="17"/>
    <col width="12.7109375" customWidth="1" style="386" min="18" max="18"/>
    <col width="24.7109375" customWidth="1" style="386" min="19" max="20"/>
    <col width="12.7109375" customWidth="1" style="386" min="21" max="16384"/>
  </cols>
  <sheetData>
    <row r="1" ht="24" customHeight="1" s="398">
      <c r="A1" s="388" t="n"/>
      <c r="B1" s="388" t="n"/>
      <c r="C1" s="388" t="n"/>
      <c r="D1" s="388" t="inlineStr">
        <is>
          <t>APROVADO</t>
        </is>
      </c>
      <c r="E1" s="388" t="n"/>
      <c r="F1" s="388" t="n"/>
      <c r="G1" s="388" t="n"/>
      <c r="H1" s="388" t="n"/>
      <c r="I1" s="388" t="n"/>
      <c r="J1" s="388" t="n"/>
      <c r="K1" s="388" t="n"/>
      <c r="L1" s="388" t="n"/>
      <c r="M1" s="388" t="n"/>
      <c r="N1" s="388" t="n"/>
      <c r="O1" s="388" t="n"/>
      <c r="P1" s="388" t="n"/>
      <c r="Q1" s="388" t="n"/>
      <c r="R1" s="283" t="n"/>
      <c r="S1" s="284" t="n"/>
      <c r="T1" s="284" t="n"/>
      <c r="U1" s="285" t="n"/>
      <c r="V1" s="285" t="n"/>
      <c r="W1" s="285" t="n"/>
      <c r="X1" s="285" t="n"/>
      <c r="Y1" s="285" t="n"/>
      <c r="Z1" s="285" t="n"/>
      <c r="AA1" s="285" t="n"/>
    </row>
    <row r="2" ht="24" customHeight="1" s="398">
      <c r="A2" s="460" t="inlineStr">
        <is>
          <t>EMPRESA</t>
        </is>
      </c>
      <c r="C2" s="388" t="inlineStr">
        <is>
          <t>PREVISÃO ORÇAMENTÁRIA - DIAMOND TOWER</t>
        </is>
      </c>
      <c r="D2" s="388" t="inlineStr">
        <is>
          <t>2023</t>
        </is>
      </c>
      <c r="E2" s="388" t="inlineStr">
        <is>
          <t>MARÇO</t>
        </is>
      </c>
      <c r="F2" s="287" t="inlineStr">
        <is>
          <t>ABRIL</t>
        </is>
      </c>
      <c r="G2" s="287" t="inlineStr">
        <is>
          <t>MAIO</t>
        </is>
      </c>
      <c r="H2" s="388" t="inlineStr">
        <is>
          <t>JUNHO</t>
        </is>
      </c>
      <c r="I2" s="388" t="inlineStr">
        <is>
          <t>JULHO</t>
        </is>
      </c>
      <c r="J2" s="388" t="inlineStr">
        <is>
          <t>AGOSTO</t>
        </is>
      </c>
      <c r="K2" s="388" t="inlineStr">
        <is>
          <t>SETEMBRO</t>
        </is>
      </c>
      <c r="L2" s="388" t="inlineStr">
        <is>
          <t>OUTUBRO</t>
        </is>
      </c>
      <c r="M2" s="388" t="inlineStr">
        <is>
          <t>NOVEMBRO</t>
        </is>
      </c>
      <c r="N2" s="388" t="inlineStr">
        <is>
          <t>DEZEMBRO</t>
        </is>
      </c>
      <c r="O2" s="388" t="inlineStr">
        <is>
          <t>JANEIRO</t>
        </is>
      </c>
      <c r="P2" s="388" t="inlineStr">
        <is>
          <t>FEVEREIRO</t>
        </is>
      </c>
      <c r="Q2" s="388" t="inlineStr">
        <is>
          <t>MARÇO</t>
        </is>
      </c>
      <c r="R2" s="288" t="n"/>
      <c r="S2" s="289" t="inlineStr">
        <is>
          <t>PREVISTO</t>
        </is>
      </c>
      <c r="T2" s="289" t="inlineStr">
        <is>
          <t>REALIZADO</t>
        </is>
      </c>
      <c r="U2" s="285" t="n"/>
      <c r="V2" s="285" t="n"/>
      <c r="W2" s="285" t="n"/>
      <c r="X2" s="285" t="n"/>
      <c r="Y2" s="285" t="n"/>
      <c r="Z2" s="285" t="n"/>
      <c r="AA2" s="285" t="n"/>
    </row>
    <row r="3" ht="24" customHeight="1" s="398">
      <c r="A3" s="388" t="inlineStr">
        <is>
          <t>JAN-MAI</t>
        </is>
      </c>
      <c r="B3" s="388" t="inlineStr">
        <is>
          <t>JUN-MAR</t>
        </is>
      </c>
      <c r="C3" s="290" t="inlineStr">
        <is>
          <t>CONTRATOS MÃO DE OBRA</t>
        </is>
      </c>
      <c r="D3" s="291" t="n">
        <v>133630.24</v>
      </c>
      <c r="E3" s="291">
        <f>SUM(E4:E16)</f>
        <v/>
      </c>
      <c r="F3" s="292">
        <f>SUM(F4:F16)</f>
        <v/>
      </c>
      <c r="G3" s="292">
        <f>SUM(G4:G16)</f>
        <v/>
      </c>
      <c r="H3" s="291">
        <f>SUM(H4:H16)</f>
        <v/>
      </c>
      <c r="I3" s="291">
        <f>SUM(I4:I16)</f>
        <v/>
      </c>
      <c r="J3" s="291">
        <f>SUM(J4:J16)</f>
        <v/>
      </c>
      <c r="K3" s="291">
        <f>SUM(K4:K16)</f>
        <v/>
      </c>
      <c r="L3" s="291">
        <f>SUM(L4:L16)</f>
        <v/>
      </c>
      <c r="M3" s="291">
        <f>SUM(M4:M16)</f>
        <v/>
      </c>
      <c r="N3" s="291">
        <f>SUM(N4:N16)</f>
        <v/>
      </c>
      <c r="O3" s="291">
        <f>SUM(O4:O16)</f>
        <v/>
      </c>
      <c r="P3" s="291">
        <f>SUM(P4:P16)</f>
        <v/>
      </c>
      <c r="Q3" s="291">
        <f>SUM(Q4:Q16)</f>
        <v/>
      </c>
      <c r="R3" s="288" t="n"/>
      <c r="S3" s="293">
        <f>SUM(S4:S16)</f>
        <v/>
      </c>
      <c r="T3" s="293">
        <f>SUM(T4:T16)</f>
        <v/>
      </c>
      <c r="U3" s="285" t="n"/>
      <c r="V3" s="285" t="n"/>
      <c r="W3" s="285" t="n"/>
      <c r="X3" s="285" t="n"/>
      <c r="Y3" s="285" t="n"/>
      <c r="Z3" s="285" t="n"/>
      <c r="AA3" s="285" t="n"/>
    </row>
    <row r="4" ht="18.75" customHeight="1" s="398">
      <c r="A4" s="462" t="inlineStr">
        <is>
          <t>ONX SERVIÇOS</t>
        </is>
      </c>
      <c r="B4" s="462" t="inlineStr">
        <is>
          <t>ONX SERVIÇOS</t>
        </is>
      </c>
      <c r="C4" s="389" t="inlineStr">
        <is>
          <t>Monitoramento - 01 Posto 24h - Central de Segurança - ONX</t>
        </is>
      </c>
      <c r="D4" s="465" t="n">
        <v>112542</v>
      </c>
      <c r="E4" s="465">
        <f>84035.28+5002.1+11004.62</f>
        <v/>
      </c>
      <c r="F4" s="499">
        <f>78129.24+17099.88+4650.55+1017.85+12470.48</f>
        <v/>
      </c>
      <c r="G4" s="499">
        <f>96199.49+5726.16+12597.55</f>
        <v/>
      </c>
      <c r="H4" s="465">
        <f>95879.45+5707.11</f>
        <v/>
      </c>
      <c r="I4" s="465">
        <f>96170.08+5724.41+12593.7</f>
        <v/>
      </c>
      <c r="J4" s="465">
        <f>90802.13+5342.57+10706.66</f>
        <v/>
      </c>
      <c r="K4" s="465">
        <f>91180.66+5364.53+10745.32</f>
        <v/>
      </c>
      <c r="L4" s="465">
        <f>91326.14+5364.53+10599.84</f>
        <v/>
      </c>
      <c r="M4" s="505">
        <f>91183.25+5364.53+10742.73</f>
        <v/>
      </c>
      <c r="N4" s="465">
        <f>91070.48+5364.53+10855.49</f>
        <v/>
      </c>
      <c r="O4" s="465">
        <f>91213.96+5364.53+10712.02</f>
        <v/>
      </c>
      <c r="P4" s="500">
        <f>98141.45+5774.91+11581.87+559.75</f>
        <v/>
      </c>
      <c r="Q4" s="465">
        <f>97531.32+5736.92</f>
        <v/>
      </c>
      <c r="R4" s="288" t="n"/>
      <c r="S4" s="468">
        <f>D4*11</f>
        <v/>
      </c>
      <c r="T4" s="468">
        <f>SUM(G4:Q10)</f>
        <v/>
      </c>
      <c r="U4" s="285" t="n"/>
      <c r="V4" s="285" t="n"/>
      <c r="W4" s="285" t="n"/>
      <c r="X4" s="285" t="n"/>
      <c r="Y4" s="285" t="n"/>
      <c r="Z4" s="285" t="n"/>
      <c r="AA4" s="285" t="n"/>
    </row>
    <row r="5" ht="18.75" customHeight="1" s="398">
      <c r="C5" s="389" t="inlineStr">
        <is>
          <t>Ronda Vigilante - 01 Posto 24h - ONX</t>
        </is>
      </c>
      <c r="R5" s="288" t="n"/>
      <c r="U5" s="285" t="n"/>
      <c r="V5" s="285" t="n"/>
      <c r="W5" s="285" t="n"/>
      <c r="X5" s="285" t="n"/>
      <c r="Y5" s="285" t="n"/>
      <c r="Z5" s="285" t="n"/>
      <c r="AA5" s="285" t="n"/>
    </row>
    <row r="6" ht="18.75" customHeight="1" s="398">
      <c r="C6" s="389" t="inlineStr">
        <is>
          <t>Porteiro 02 postos 8h - (Seg à Dom - das 7h as 22h)  - ONX</t>
        </is>
      </c>
      <c r="R6" s="288" t="n"/>
      <c r="U6" s="285" t="n"/>
      <c r="V6" s="285" t="n"/>
      <c r="W6" s="285" t="n"/>
      <c r="X6" s="285" t="n"/>
      <c r="Y6" s="285" t="n"/>
      <c r="Z6" s="285" t="n"/>
      <c r="AA6" s="285" t="n"/>
    </row>
    <row r="7" ht="18.75" customHeight="1" s="398">
      <c r="C7" s="389" t="inlineStr">
        <is>
          <t>Expedição 01 posto 8h - (Seg à Sáb - das 08h às 16h20)  - ONX</t>
        </is>
      </c>
      <c r="R7" s="288" t="n"/>
      <c r="U7" s="285" t="n"/>
      <c r="V7" s="285" t="n"/>
      <c r="W7" s="285" t="n"/>
      <c r="X7" s="285" t="n"/>
      <c r="Y7" s="285" t="n"/>
      <c r="Z7" s="285" t="n"/>
      <c r="AA7" s="285" t="n"/>
    </row>
    <row r="8" ht="18.75" customHeight="1" s="398">
      <c r="C8" s="389" t="inlineStr">
        <is>
          <t>Recepção - 04 postos 8h  (das 7h as 22h)  - ONX</t>
        </is>
      </c>
      <c r="R8" s="288" t="n"/>
      <c r="U8" s="285" t="n"/>
      <c r="V8" s="285" t="n"/>
      <c r="W8" s="285" t="n"/>
      <c r="X8" s="285" t="n"/>
      <c r="Y8" s="285" t="n"/>
      <c r="Z8" s="285" t="n"/>
      <c r="AA8" s="285" t="n"/>
    </row>
    <row r="9" ht="18.75" customHeight="1" s="398">
      <c r="C9" s="389" t="inlineStr">
        <is>
          <t>Limpeza - 03 Postos 44h semanais  - ONX</t>
        </is>
      </c>
      <c r="R9" s="288" t="n"/>
      <c r="U9" s="285" t="n"/>
      <c r="V9" s="285" t="n"/>
      <c r="W9" s="285" t="n"/>
      <c r="X9" s="285" t="n"/>
      <c r="Y9" s="285" t="n"/>
      <c r="Z9" s="285" t="n"/>
      <c r="AA9" s="285" t="n"/>
    </row>
    <row r="10" ht="18.75" customHeight="1" s="398">
      <c r="C10" s="389" t="inlineStr">
        <is>
          <t>Serviços Gerais – 01 posto 44h semanais  - ONX</t>
        </is>
      </c>
      <c r="R10" s="288" t="n"/>
      <c r="U10" s="285" t="n"/>
      <c r="V10" s="285" t="n"/>
      <c r="W10" s="285" t="n"/>
      <c r="X10" s="285" t="n"/>
      <c r="Y10" s="285" t="n"/>
      <c r="Z10" s="285" t="n"/>
      <c r="AA10" s="285" t="n"/>
    </row>
    <row r="11" ht="18.75" customHeight="1" s="398">
      <c r="B11" s="392" t="inlineStr">
        <is>
          <t>CAPPELLETTO</t>
        </is>
      </c>
      <c r="C11" s="389" t="inlineStr">
        <is>
          <t>Assistente Condominial 44h - Karoline Aguirres</t>
        </is>
      </c>
      <c r="G11" s="405" t="n"/>
      <c r="H11" s="393" t="n"/>
      <c r="I11" s="393" t="n">
        <v>0</v>
      </c>
      <c r="J11" s="393" t="n"/>
      <c r="K11" s="393" t="n"/>
      <c r="L11" s="393" t="n"/>
      <c r="M11" s="393" t="n"/>
      <c r="N11" s="393" t="n"/>
      <c r="O11" s="393" t="n"/>
      <c r="P11" s="393" t="n"/>
      <c r="Q11" s="393" t="n"/>
      <c r="R11" s="288" t="n"/>
      <c r="U11" s="285" t="n"/>
      <c r="V11" s="285" t="n"/>
      <c r="W11" s="285" t="n"/>
      <c r="X11" s="285" t="n"/>
      <c r="Y11" s="285" t="n"/>
      <c r="Z11" s="285" t="n"/>
      <c r="AA11" s="285" t="n"/>
    </row>
    <row r="12" ht="18.75" customHeight="1" s="398">
      <c r="A12" s="392" t="inlineStr">
        <is>
          <t>ORGÂNICO</t>
        </is>
      </c>
      <c r="B12" s="392" t="inlineStr">
        <is>
          <t>ORGÂNICO</t>
        </is>
      </c>
      <c r="C12" s="389" t="inlineStr">
        <is>
          <t xml:space="preserve">Oficial Manutenção - 01 Posto 44h  semanais </t>
        </is>
      </c>
      <c r="D12" s="393" t="n">
        <v>5000</v>
      </c>
      <c r="E12" s="393">
        <f>2384+(718.82*0.3539)+441+39.49+(235.03*0.1086)+(5124.48*0.3346)+122+355.17+152.17+179.2+1119.21</f>
        <v/>
      </c>
      <c r="F12" s="405">
        <f>(671.82*0.3539)+441+39.49+(711.3*0.1086)+((842.87+659.65+1679.57+1199.37+209.94+16.79+125.96+25.19+167.95)/2)+83.97+(209.95/2)+433.43+441+2768+1086.51+206</f>
        <v/>
      </c>
      <c r="G12" s="405">
        <f>2678+(0.3539*757.64)+(458.94*FOLHA!C4)+39.49+94.7+236.77+413.86+441+990.64</f>
        <v/>
      </c>
      <c r="H12" s="393">
        <f>2531+(573.37*FOLHA!C3)+39.49+71.67+173.58+413.86+601+3046</f>
        <v/>
      </c>
      <c r="I12" s="393">
        <f>687.08+39.49+85.88+160.05+452.99+601+1717.7+1173.53+214.71+17.17+128.82+25.76+171.77</f>
        <v/>
      </c>
      <c r="J12" s="393">
        <f>6122+336.1+29.97+41.65+42.01+186.3+374.73+601+837.76+1173.53+104.72+8.37+62.83+12.56+83.77</f>
        <v/>
      </c>
      <c r="K12" s="393">
        <f>3574+41.65+41.54+168.8+413.86+601+817.7+1283.53+102.21+8.17+61.32+12.26+81.77</f>
        <v/>
      </c>
      <c r="L12" s="393">
        <f>3194+132+290.11+36.26+168.8+41.65+394.3+601+725.28+1173.53+90.66+7.25+54.39+10.87+72.52</f>
        <v/>
      </c>
      <c r="M12" s="393">
        <f>3196+290.36+41.65+1901.14+36.29+168.8+394.3+601</f>
        <v/>
      </c>
      <c r="N12" s="393">
        <f>3192+442.06+1414.11+41.65+36.24+159.52+168.8+219.18+4695.52+724.92+1173.53+90.61+7.24+54.36+10.87+72.49</f>
        <v/>
      </c>
      <c r="O12" s="393">
        <f>3211+443.18+41.65+74.4+168.8+394.3+601+729.65+1233.53+91.2+7.29+54.72+10.94+72.96</f>
        <v/>
      </c>
      <c r="P12" s="393">
        <f>1967+451.22+46.65+1094.07+1173.53+136.75+10.94+82.05+16.41+54.7+309.23+54.7+168.8+413.86+601</f>
        <v/>
      </c>
      <c r="Q12" s="393">
        <f>3324+291.09</f>
        <v/>
      </c>
      <c r="R12" s="288" t="n"/>
      <c r="S12" s="299">
        <f>D12*11</f>
        <v/>
      </c>
      <c r="T12" s="299">
        <f>SUM(E12:Q12)</f>
        <v/>
      </c>
      <c r="U12" s="285" t="n"/>
      <c r="V12" s="285" t="n"/>
      <c r="W12" s="285" t="n"/>
      <c r="X12" s="285" t="n"/>
      <c r="Y12" s="285" t="n"/>
      <c r="Z12" s="285" t="n"/>
      <c r="AA12" s="285" t="n"/>
    </row>
    <row r="13" ht="18.75" customHeight="1" s="398">
      <c r="A13" s="392" t="inlineStr">
        <is>
          <t>GUARIDA</t>
        </is>
      </c>
      <c r="B13" s="392" t="inlineStr">
        <is>
          <t>GUARIDA</t>
        </is>
      </c>
      <c r="C13" s="389" t="inlineStr">
        <is>
          <t>Auxiliar Administração</t>
        </is>
      </c>
      <c r="D13" s="393" t="n">
        <v>2700</v>
      </c>
      <c r="E13" s="393">
        <f>66.57+115+2.49+1090+245.01+1365</f>
        <v/>
      </c>
      <c r="F13" s="405">
        <f>2.49+360+2.49+2.49+2.49+(3*2.49)+2.49+2.49+2.49+2.49+2.49+66.57+1090+245.01+1365+245.01+44.49</f>
        <v/>
      </c>
      <c r="G13" s="405">
        <f>2.49+2.49+2.49+2.49+2.49+2.49+2.49+2.49+66.57+2.49+1090+245.01+1365</f>
        <v/>
      </c>
      <c r="H13" s="393">
        <f>2.49+2.49+2.49+2.49+2.49+2.49+2.49+2.49+66.57+2.49+2.49+2.49+1090+150+245.01+2.49+1365+240</f>
        <v/>
      </c>
      <c r="I13" s="393">
        <f>2.49+2.49+2.49+2.49+2.49+2.49+2.49+2.49+2.49+2.49+2.49+66.57+2.49+1090+245.01+1365</f>
        <v/>
      </c>
      <c r="J13" s="393">
        <f>2.49+2.49+2.49+2.49+2.49+2.49+2.49+2.49+2.49+66.57+2.49+2.49+2.49+2.49+2.49+2.49+2.49+1090+245.01+1365</f>
        <v/>
      </c>
      <c r="K13" s="393">
        <f>2.49+2.49+2.49+2.49+2.49+2.49+2.49+2.49+66.57+2.49+2.49+2.49+2.49+2.49+2.49+2.49+2.49+2.49+1090+1365</f>
        <v/>
      </c>
      <c r="L13" s="393">
        <f>2.49+2.49+2.49+2.49+2.49+2.49+2.49+2.49+2.49+2.49+1090+245.01+1365+66.57</f>
        <v/>
      </c>
      <c r="M13" s="393">
        <f>66.57+1090+256.82+27.39+1430.79</f>
        <v/>
      </c>
      <c r="N13" s="393">
        <f>69.78+174+1090+180+256.82+32.37+1430.79</f>
        <v/>
      </c>
      <c r="O13" s="393">
        <f>69.78+1090+256.82+34.86+1430.79</f>
        <v/>
      </c>
      <c r="P13" s="393">
        <f>1090+256.82+22.41+1430.79</f>
        <v/>
      </c>
      <c r="Q13" s="393" t="n"/>
      <c r="R13" s="288" t="n"/>
      <c r="S13" s="299">
        <f>D13*12</f>
        <v/>
      </c>
      <c r="T13" s="299">
        <f>SUM(E13:Q13)</f>
        <v/>
      </c>
      <c r="U13" s="285" t="n"/>
      <c r="V13" s="285" t="n"/>
      <c r="W13" s="285" t="n"/>
      <c r="X13" s="285" t="n"/>
      <c r="Y13" s="285" t="n"/>
      <c r="Z13" s="285" t="n"/>
      <c r="AA13" s="285" t="n"/>
    </row>
    <row r="14" ht="18.75" customHeight="1" s="398">
      <c r="A14" s="392" t="inlineStr">
        <is>
          <t>ORGÂNICO</t>
        </is>
      </c>
      <c r="B14" s="392" t="inlineStr">
        <is>
          <t>CAPPELLETTO</t>
        </is>
      </c>
      <c r="C14" s="389" t="inlineStr">
        <is>
          <t>Gestor Condominial - 01 Posto 44h semanais</t>
        </is>
      </c>
      <c r="D14" s="393" t="n">
        <v>7000</v>
      </c>
      <c r="E14" s="506">
        <f>3933+(716.82*0.6461)+441+39.49+(235.03*0.8914)+89.6+(5124.48*0.6654)+122+251.03+1846.37</f>
        <v/>
      </c>
      <c r="F14" s="405">
        <f>(671.82*0.6461)+441+39.49+(711.3*0.8914)+((842.87+659.65+1679.57+1199.37+209.94+16.79+125.96+25.19+167.95)/2)+(209.95/2)+441+4288+1792.43+339.83</f>
        <v/>
      </c>
      <c r="G14" s="405">
        <f>5028+(0.6461*757.64)+(0.8914*498.54)+39.49+441+1616.32</f>
        <v/>
      </c>
      <c r="H14" s="507">
        <f>3780+(573.37*FOLHA!B3)+39.49+11468.41</f>
        <v/>
      </c>
      <c r="I14" s="506">
        <f>6366.67+39.49</f>
        <v/>
      </c>
      <c r="J14" s="506">
        <f>16000</f>
        <v/>
      </c>
      <c r="K14" s="506">
        <f>16000</f>
        <v/>
      </c>
      <c r="L14" s="506">
        <f>16000</f>
        <v/>
      </c>
      <c r="M14" s="506">
        <f>16000</f>
        <v/>
      </c>
      <c r="N14" s="506">
        <f>16000+16000</f>
        <v/>
      </c>
      <c r="O14" s="506" t="n"/>
      <c r="P14" s="506">
        <f>16000</f>
        <v/>
      </c>
      <c r="Q14" s="506">
        <f>16000</f>
        <v/>
      </c>
      <c r="R14" s="288" t="n"/>
      <c r="S14" s="299">
        <f>D14*12</f>
        <v/>
      </c>
      <c r="T14" s="508">
        <f>SUM(E14:Q14)</f>
        <v/>
      </c>
      <c r="U14" s="285" t="n"/>
      <c r="V14" s="285" t="n"/>
      <c r="W14" s="285" t="n"/>
      <c r="X14" s="285" t="n"/>
      <c r="Y14" s="285" t="n"/>
      <c r="Z14" s="285" t="n"/>
      <c r="AA14" s="285" t="n"/>
    </row>
    <row r="15" ht="18.75" customHeight="1" s="398">
      <c r="A15" s="300" t="inlineStr">
        <is>
          <t>ORGÂNICO</t>
        </is>
      </c>
      <c r="B15" s="300" t="inlineStr">
        <is>
          <t>ORGÂNICO</t>
        </is>
      </c>
      <c r="C15" s="301" t="inlineStr">
        <is>
          <t>Remuneração Subsíndico</t>
        </is>
      </c>
      <c r="D15" s="393" t="n">
        <v>5222.24</v>
      </c>
      <c r="E15" s="393">
        <f>5222.24+2.49+645.44+931.06</f>
        <v/>
      </c>
      <c r="F15" s="405">
        <f>5222.24+842.87+659.65</f>
        <v/>
      </c>
      <c r="G15" s="405">
        <f>5222.24+ 719.51+677.82+645.44</f>
        <v/>
      </c>
      <c r="H15" s="393">
        <f>5222.24</f>
        <v/>
      </c>
      <c r="I15" s="393">
        <f>5222.24+240.67+745.97+645.44</f>
        <v/>
      </c>
      <c r="J15" s="393">
        <f>5222.24+63.83+412.34+645.44</f>
        <v/>
      </c>
      <c r="K15" s="393">
        <f>5222.24+180.59+398.3+705.94+645.44</f>
        <v/>
      </c>
      <c r="L15" s="393">
        <f>5222.24+173.64+338.22+645.44</f>
        <v/>
      </c>
      <c r="M15" s="393">
        <f>5222.24+645.44</f>
        <v/>
      </c>
      <c r="N15" s="393">
        <f>5222.24+94.83+338+645.44</f>
        <v/>
      </c>
      <c r="O15" s="393">
        <f>5222.24+979.08+269.76+340.84+645.44</f>
        <v/>
      </c>
      <c r="P15" s="393">
        <f>6093.62+96.4+584.66+645.44</f>
        <v/>
      </c>
      <c r="Q15" s="393">
        <f>6093.62</f>
        <v/>
      </c>
      <c r="R15" s="288" t="n"/>
      <c r="S15" s="299">
        <f>D15*12</f>
        <v/>
      </c>
      <c r="T15" s="299">
        <f>SUM(E15:Q15)</f>
        <v/>
      </c>
      <c r="U15" s="285" t="n"/>
      <c r="V15" s="285" t="n"/>
      <c r="W15" s="285" t="n"/>
      <c r="X15" s="285" t="n"/>
      <c r="Y15" s="285" t="n"/>
      <c r="Z15" s="285" t="n"/>
      <c r="AA15" s="285" t="n"/>
    </row>
    <row r="16" ht="18.75" customHeight="1" s="398">
      <c r="A16" s="392" t="inlineStr">
        <is>
          <t>AUDI PASTAS</t>
        </is>
      </c>
      <c r="B16" s="392" t="inlineStr">
        <is>
          <t>AUDI PASTAS</t>
        </is>
      </c>
      <c r="C16" s="389" t="inlineStr">
        <is>
          <t xml:space="preserve">Auditoria Externa </t>
        </is>
      </c>
      <c r="D16" s="393" t="n">
        <v>1166</v>
      </c>
      <c r="E16" s="393">
        <f>22+1176+2.49</f>
        <v/>
      </c>
      <c r="F16" s="405">
        <f>24+1176</f>
        <v/>
      </c>
      <c r="G16" s="405">
        <f>24+1176+39</f>
        <v/>
      </c>
      <c r="H16" s="393">
        <f>24+1176</f>
        <v/>
      </c>
      <c r="I16" s="393">
        <f>24+1176</f>
        <v/>
      </c>
      <c r="J16" s="393">
        <f>24+1176</f>
        <v/>
      </c>
      <c r="K16" s="393">
        <f>24+1176</f>
        <v/>
      </c>
      <c r="L16" s="393">
        <f>24+66.57+1176</f>
        <v/>
      </c>
      <c r="M16" s="393">
        <f>26+1274</f>
        <v/>
      </c>
      <c r="N16" s="393">
        <f>26+1274</f>
        <v/>
      </c>
      <c r="O16" s="393">
        <f>26+1303.4</f>
        <v/>
      </c>
      <c r="P16" s="393">
        <f>26.6+1303.4</f>
        <v/>
      </c>
      <c r="Q16" s="393">
        <f>26.6</f>
        <v/>
      </c>
      <c r="R16" s="288" t="n"/>
      <c r="S16" s="299">
        <f>D16*12</f>
        <v/>
      </c>
      <c r="T16" s="299">
        <f>SUM(E16:Q16)</f>
        <v/>
      </c>
      <c r="U16" s="285" t="n"/>
      <c r="V16" s="285" t="n"/>
      <c r="W16" s="285" t="n"/>
      <c r="X16" s="285" t="n"/>
      <c r="Y16" s="285" t="n"/>
      <c r="Z16" s="285" t="n"/>
      <c r="AA16" s="285" t="n"/>
    </row>
    <row r="17" ht="14.25" customHeight="1" s="398">
      <c r="A17" s="302" t="n"/>
      <c r="B17" s="302" t="n"/>
      <c r="C17" s="302" t="n"/>
      <c r="D17" s="393" t="n"/>
      <c r="E17" s="393" t="n"/>
      <c r="F17" s="405" t="n"/>
      <c r="G17" s="405" t="n"/>
      <c r="H17" s="393" t="n"/>
      <c r="I17" s="393" t="n"/>
      <c r="J17" s="393" t="n"/>
      <c r="K17" s="393" t="n"/>
      <c r="L17" s="393" t="n"/>
      <c r="M17" s="393" t="n"/>
      <c r="N17" s="393" t="n"/>
      <c r="O17" s="393" t="n"/>
      <c r="P17" s="393" t="n"/>
      <c r="Q17" s="393" t="n"/>
      <c r="R17" s="288" t="n"/>
      <c r="S17" s="299" t="n"/>
      <c r="T17" s="284" t="n"/>
      <c r="U17" s="285" t="n"/>
      <c r="V17" s="285" t="n"/>
      <c r="W17" s="285" t="n"/>
      <c r="X17" s="285" t="n"/>
      <c r="Y17" s="285" t="n"/>
      <c r="Z17" s="285" t="n"/>
      <c r="AA17" s="285" t="n"/>
    </row>
    <row r="18" ht="24" customHeight="1" s="398">
      <c r="A18" s="290" t="n"/>
      <c r="B18" s="290" t="n"/>
      <c r="C18" s="290" t="inlineStr">
        <is>
          <t xml:space="preserve">MANUTENÇÕES/LOCAÇÕES - CONTRATOS </t>
        </is>
      </c>
      <c r="D18" s="291" t="n">
        <v>27460.78</v>
      </c>
      <c r="E18" s="291">
        <f>SUM(E19:E25)</f>
        <v/>
      </c>
      <c r="F18" s="292">
        <f>SUM(F19:F25)</f>
        <v/>
      </c>
      <c r="G18" s="292">
        <f>SUM(G19:G25)</f>
        <v/>
      </c>
      <c r="H18" s="291">
        <f>SUM(H19:H25)</f>
        <v/>
      </c>
      <c r="I18" s="291">
        <f>SUM(I19:I25)</f>
        <v/>
      </c>
      <c r="J18" s="291">
        <f>SUM(J19:J25)</f>
        <v/>
      </c>
      <c r="K18" s="291">
        <f>SUM(K19:K25)</f>
        <v/>
      </c>
      <c r="L18" s="291">
        <f>SUM(L19:L25)</f>
        <v/>
      </c>
      <c r="M18" s="291">
        <f>SUM(M19:M25)</f>
        <v/>
      </c>
      <c r="N18" s="291">
        <f>SUM(N19:N25)</f>
        <v/>
      </c>
      <c r="O18" s="291">
        <f>SUM(O19:O25)</f>
        <v/>
      </c>
      <c r="P18" s="291">
        <f>SUM(P19:P25)</f>
        <v/>
      </c>
      <c r="Q18" s="291">
        <f>SUM(Q19:Q25)</f>
        <v/>
      </c>
      <c r="R18" s="288" t="n"/>
      <c r="S18" s="303">
        <f>SUM(S19:S26)</f>
        <v/>
      </c>
      <c r="T18" s="303">
        <f>SUM(T19:T26)</f>
        <v/>
      </c>
      <c r="U18" s="285" t="n"/>
      <c r="V18" s="285" t="n"/>
      <c r="W18" s="285" t="n"/>
      <c r="X18" s="285" t="n"/>
      <c r="Y18" s="285" t="n"/>
      <c r="Z18" s="285" t="n"/>
      <c r="AA18" s="285" t="n"/>
    </row>
    <row r="19" ht="18.75" customHeight="1" s="398">
      <c r="A19" s="392" t="inlineStr">
        <is>
          <t>FG PISCINAS</t>
        </is>
      </c>
      <c r="B19" s="392" t="n"/>
      <c r="C19" s="389" t="inlineStr">
        <is>
          <t xml:space="preserve">Limpeza Espelho D'água, Química e AFT com Material </t>
        </is>
      </c>
      <c r="D19" s="393" t="n">
        <v>850</v>
      </c>
      <c r="E19" s="393">
        <f>5+794</f>
        <v/>
      </c>
      <c r="F19" s="405">
        <f>6+794.75+67</f>
        <v/>
      </c>
      <c r="G19" s="405">
        <f>5.25+769.6+9.5+20.9</f>
        <v/>
      </c>
      <c r="H19" s="393">
        <f>9.5+782.4+12.1+5.5</f>
        <v/>
      </c>
      <c r="I19" s="393">
        <f>5.5+794.5+12.1</f>
        <v/>
      </c>
      <c r="J19" s="393">
        <f>5.5+771.2+19.8+9</f>
        <v/>
      </c>
      <c r="K19" s="393">
        <f>9+769.6+19.8+20.9+9.5</f>
        <v/>
      </c>
      <c r="L19" s="393">
        <f>9.5+777.6+20.9+15.4+7</f>
        <v/>
      </c>
      <c r="M19" s="393">
        <f>772.8+7.12+15.4+18.7+8.5</f>
        <v/>
      </c>
      <c r="N19" s="393">
        <f>8.5+782.4+12.1+5.5</f>
        <v/>
      </c>
      <c r="O19" s="393">
        <f>5.5+12.1+776</f>
        <v/>
      </c>
      <c r="P19" s="393">
        <f>7.59+16.5+771.2</f>
        <v/>
      </c>
      <c r="Q19" s="393">
        <f>9</f>
        <v/>
      </c>
      <c r="R19" s="288" t="n"/>
      <c r="S19" s="299">
        <f>D19*12</f>
        <v/>
      </c>
      <c r="T19" s="299">
        <f>SUM(E19:Q19)</f>
        <v/>
      </c>
      <c r="U19" s="285" t="n"/>
      <c r="V19" s="285" t="n"/>
      <c r="W19" s="285" t="n"/>
      <c r="X19" s="285" t="n"/>
      <c r="Y19" s="285" t="n"/>
      <c r="Z19" s="285" t="n"/>
      <c r="AA19" s="285" t="n"/>
    </row>
    <row r="20" ht="18.75" customHeight="1" s="398">
      <c r="A20" s="392" t="inlineStr">
        <is>
          <t>SYSCOM</t>
        </is>
      </c>
      <c r="B20" s="392" t="n"/>
      <c r="C20" s="389" t="inlineStr">
        <is>
          <t>Locação Impressora</t>
        </is>
      </c>
      <c r="D20" s="393" t="n">
        <v>223.82</v>
      </c>
      <c r="E20" s="393">
        <f>223.82</f>
        <v/>
      </c>
      <c r="F20" s="405">
        <f>223.82</f>
        <v/>
      </c>
      <c r="G20" s="405">
        <f>223.82</f>
        <v/>
      </c>
      <c r="H20" s="393">
        <f>223.82</f>
        <v/>
      </c>
      <c r="I20" s="393">
        <f>223.82</f>
        <v/>
      </c>
      <c r="J20" s="393">
        <f>223.82</f>
        <v/>
      </c>
      <c r="K20" s="393">
        <f>223.82</f>
        <v/>
      </c>
      <c r="L20" s="393">
        <f>223.82</f>
        <v/>
      </c>
      <c r="M20" s="393">
        <f>223.82</f>
        <v/>
      </c>
      <c r="N20" s="285">
        <f>141.75</f>
        <v/>
      </c>
      <c r="O20" s="393" t="n"/>
      <c r="P20" s="393" t="n"/>
      <c r="Q20" s="393" t="n"/>
      <c r="R20" s="288" t="n"/>
      <c r="S20" s="299">
        <f>D20*12</f>
        <v/>
      </c>
      <c r="T20" s="299">
        <f>SUM(E20:Q20)</f>
        <v/>
      </c>
      <c r="U20" s="285" t="n"/>
      <c r="V20" s="285" t="n"/>
      <c r="W20" s="285" t="n"/>
      <c r="X20" s="285" t="n"/>
      <c r="Y20" s="285" t="n"/>
      <c r="Z20" s="285" t="n"/>
      <c r="AA20" s="285" t="n"/>
    </row>
    <row r="21" ht="18.75" customHeight="1" s="398">
      <c r="A21" s="392" t="inlineStr">
        <is>
          <t>BDS AR</t>
        </is>
      </c>
      <c r="B21" s="392" t="n"/>
      <c r="C21" s="389" t="inlineStr">
        <is>
          <t>Manutenção ar condicionado / exaustão áreas comuns</t>
        </is>
      </c>
      <c r="D21" s="393" t="n">
        <v>3339.14</v>
      </c>
      <c r="E21" s="393">
        <f>3016.9+166.96+27.9+53.48+25.95+155.27</f>
        <v/>
      </c>
      <c r="F21" s="405">
        <f>3016.9+166.96+155.27</f>
        <v/>
      </c>
      <c r="G21" s="405">
        <f>3016.9+166.96+155.27+27.9</f>
        <v/>
      </c>
      <c r="H21" s="393">
        <f>3016.9+166.96+155.27</f>
        <v/>
      </c>
      <c r="I21" s="393">
        <f>3016.9+166.96+155.27</f>
        <v/>
      </c>
      <c r="J21" s="393">
        <f>3262.34+76.8+155.27</f>
        <v/>
      </c>
      <c r="K21" s="393">
        <f>3262.34+76.8</f>
        <v/>
      </c>
      <c r="L21" s="393">
        <f>3251.65+87.49</f>
        <v/>
      </c>
      <c r="M21" s="393" t="inlineStr">
        <is>
          <t>,</t>
        </is>
      </c>
      <c r="N21" s="393">
        <f>3220.93+118.21</f>
        <v/>
      </c>
      <c r="O21" s="393">
        <f>3205.24+133.9</f>
        <v/>
      </c>
      <c r="P21" s="393">
        <f>3315.52+147.16</f>
        <v/>
      </c>
      <c r="Q21" s="393">
        <f>3309.98+152.7</f>
        <v/>
      </c>
      <c r="R21" s="288" t="n"/>
      <c r="S21" s="299">
        <f>D21*12</f>
        <v/>
      </c>
      <c r="T21" s="299">
        <f>SUM(E21:Q21)</f>
        <v/>
      </c>
      <c r="U21" s="285" t="n"/>
      <c r="V21" s="285" t="n"/>
      <c r="W21" s="285" t="n"/>
      <c r="X21" s="285" t="n"/>
      <c r="Y21" s="285" t="n"/>
      <c r="Z21" s="285" t="n"/>
      <c r="AA21" s="285" t="n"/>
    </row>
    <row r="22" ht="18.75" customHeight="1" s="398">
      <c r="A22" s="392" t="inlineStr">
        <is>
          <t>SYSCOM</t>
        </is>
      </c>
      <c r="B22" s="392" t="n"/>
      <c r="C22" s="389" t="inlineStr">
        <is>
          <t xml:space="preserve">Manutenção CFTV/Controle de Acesso/Central Alarme </t>
        </is>
      </c>
      <c r="D22" s="393" t="n">
        <v>3536.46</v>
      </c>
      <c r="E22" s="393">
        <f>3437.79+98.67+11.16</f>
        <v/>
      </c>
      <c r="F22" s="405">
        <f>3437.79+98.67+11.16+972.1+27.9</f>
        <v/>
      </c>
      <c r="G22" s="405">
        <f>3437.79+98.67+27.9+972.1</f>
        <v/>
      </c>
      <c r="H22" s="393">
        <f>3437.79+98.67+27.9+972.1+105</f>
        <v/>
      </c>
      <c r="I22" s="393">
        <f>3437.79+369.5+98.67+27.9+972.1+369.5+24</f>
        <v/>
      </c>
      <c r="J22" s="393">
        <f>3437.79+27.9+98.67+972.1</f>
        <v/>
      </c>
      <c r="K22" s="393">
        <f>3437.79+98.67+27.9+972.1</f>
        <v/>
      </c>
      <c r="L22" s="393">
        <f>3437.79+98.67+27.9+972.1</f>
        <v/>
      </c>
      <c r="M22" s="393">
        <f>3437.79+98.67+27.9+260+615.66+17.67</f>
        <v/>
      </c>
      <c r="N22" s="393">
        <f>2177.26+17.67+62.49</f>
        <v/>
      </c>
      <c r="P22" s="393" t="n"/>
      <c r="Q22" s="393" t="n"/>
      <c r="R22" s="288" t="n"/>
      <c r="S22" s="299">
        <f>D22*12</f>
        <v/>
      </c>
      <c r="T22" s="299">
        <f>SUM(E22:Q22)</f>
        <v/>
      </c>
      <c r="U22" s="285" t="n"/>
      <c r="V22" s="285" t="n"/>
      <c r="W22" s="285" t="n"/>
      <c r="X22" s="285" t="n"/>
      <c r="Y22" s="285" t="n"/>
      <c r="Z22" s="285" t="n"/>
      <c r="AA22" s="285" t="n"/>
    </row>
    <row r="23" ht="18.75" customHeight="1" s="398">
      <c r="A23" s="385" t="inlineStr">
        <is>
          <t>ATLAS</t>
        </is>
      </c>
      <c r="B23" s="385" t="n"/>
      <c r="C23" s="305" t="inlineStr">
        <is>
          <t>Manutenção Preventiva Elevadores (7) - Com Peças - Atlas</t>
        </is>
      </c>
      <c r="D23" s="393" t="n">
        <v>8680.969999999999</v>
      </c>
      <c r="E23" s="306">
        <f>439.38+409.18+7950.43</f>
        <v/>
      </c>
      <c r="F23" s="307">
        <f>439.98+409.18+7950.43</f>
        <v/>
      </c>
      <c r="G23" s="307">
        <f>439.98+409.18+7950.43</f>
        <v/>
      </c>
      <c r="H23" s="306">
        <f>43.43+439.98+409.18+784.86+7950.43+40.39</f>
        <v/>
      </c>
      <c r="I23" s="306">
        <f>439.98+40.39+409.18+7950.43</f>
        <v/>
      </c>
      <c r="J23" s="306">
        <f>439.98+409.18+7950.43</f>
        <v/>
      </c>
      <c r="K23" s="306">
        <f>16.89+15.11+75.54+439.98+409.18+7950.43</f>
        <v/>
      </c>
      <c r="L23" s="306">
        <f>439.98+15.71+70.25+409.18+7950.43</f>
        <v/>
      </c>
      <c r="M23" s="306">
        <f>2.02+24.75+409.18+38.46+7950.43+439.98</f>
        <v/>
      </c>
      <c r="N23" s="306">
        <f>439.98+409.18+8333.7+428.91+461.19</f>
        <v/>
      </c>
      <c r="O23" s="306">
        <f>461.19+16.84+428.91</f>
        <v/>
      </c>
      <c r="P23" s="306">
        <f>461.19</f>
        <v/>
      </c>
      <c r="Q23" s="306">
        <f>461.19</f>
        <v/>
      </c>
      <c r="R23" s="288" t="n"/>
      <c r="S23" s="299">
        <f>D23*12</f>
        <v/>
      </c>
      <c r="T23" s="299">
        <f>SUM(E23:Q23)</f>
        <v/>
      </c>
      <c r="U23" s="285" t="n"/>
      <c r="V23" s="285" t="n"/>
      <c r="W23" s="285" t="n"/>
      <c r="X23" s="285" t="n"/>
      <c r="Y23" s="285" t="n"/>
      <c r="Z23" s="285" t="n"/>
      <c r="AA23" s="285" t="n"/>
    </row>
    <row r="24" ht="18.75" customHeight="1" s="398">
      <c r="A24" s="385" t="inlineStr">
        <is>
          <t>ALTITUDE</t>
        </is>
      </c>
      <c r="B24" s="385" t="n"/>
      <c r="C24" s="305" t="inlineStr">
        <is>
          <t>Limpeza da Fachada</t>
        </is>
      </c>
      <c r="D24" s="393" t="n">
        <v>7500</v>
      </c>
      <c r="E24" s="393">
        <f>5130+210+2.49+660</f>
        <v/>
      </c>
      <c r="F24" s="405">
        <f>5130+210+660</f>
        <v/>
      </c>
      <c r="G24" s="405">
        <f>5130+210+660</f>
        <v/>
      </c>
      <c r="H24" s="393" t="n"/>
      <c r="I24" s="393" t="n"/>
      <c r="J24" s="393" t="n"/>
      <c r="K24" s="393" t="n"/>
      <c r="L24" s="393" t="n"/>
      <c r="M24" s="393">
        <f>439.98</f>
        <v/>
      </c>
      <c r="N24" s="393">
        <f>10440+1320+240</f>
        <v/>
      </c>
      <c r="O24" s="393">
        <f>10440+440+10440+1320+240</f>
        <v/>
      </c>
      <c r="P24" s="393">
        <f>240+240+2640+10440</f>
        <v/>
      </c>
      <c r="Q24" s="393">
        <f>240</f>
        <v/>
      </c>
      <c r="R24" s="288" t="n"/>
      <c r="S24" s="299">
        <f>D24*12</f>
        <v/>
      </c>
      <c r="T24" s="299">
        <f>SUM(E24:Q24)</f>
        <v/>
      </c>
      <c r="U24" s="285" t="n"/>
      <c r="V24" s="285" t="n"/>
      <c r="W24" s="285" t="n"/>
      <c r="X24" s="285" t="n"/>
      <c r="Y24" s="285" t="n"/>
      <c r="Z24" s="285" t="n"/>
      <c r="AA24" s="285" t="n"/>
    </row>
    <row r="25" ht="18.75" customHeight="1" s="398">
      <c r="A25" s="385" t="inlineStr">
        <is>
          <t>STEMAC</t>
        </is>
      </c>
      <c r="B25" s="385" t="n"/>
      <c r="C25" s="305" t="inlineStr">
        <is>
          <t>Manutenção preventiva motor gerador</t>
        </is>
      </c>
      <c r="D25" s="393" t="n">
        <v>1380.39</v>
      </c>
      <c r="E25" s="393">
        <f>1047.97+61.41+145.27+61.41+66.03</f>
        <v/>
      </c>
      <c r="F25" s="405">
        <f>1047.97+66.03+61.41+290.54+145.27</f>
        <v/>
      </c>
      <c r="G25" s="405">
        <f>1047.97+66.03+61.41+145.27</f>
        <v/>
      </c>
      <c r="H25" s="393">
        <f>66.039+1047.97+61.41+145.27</f>
        <v/>
      </c>
      <c r="I25" s="393">
        <f>1047.97+66.03+61.41+145.27</f>
        <v/>
      </c>
      <c r="J25" s="393">
        <f>1047.97+66.03+61.41+145.27</f>
        <v/>
      </c>
      <c r="K25" s="393">
        <f>1047.97+66.03+61.41+145.27</f>
        <v/>
      </c>
      <c r="L25" s="393">
        <f>1047.97+66.03+61.41+145.27</f>
        <v/>
      </c>
      <c r="M25" s="393">
        <f>1047.97+66.03+61.41+145.27</f>
        <v/>
      </c>
      <c r="N25" s="393">
        <f>1047.97+66.03+61.41+1047.97+145.27</f>
        <v/>
      </c>
      <c r="O25" s="393">
        <f>66.03+61.41+61.41+145.27</f>
        <v/>
      </c>
      <c r="P25" s="393">
        <f>1096.19+69.07+151.95</f>
        <v/>
      </c>
      <c r="Q25" s="393">
        <f>1096.19+69.07</f>
        <v/>
      </c>
      <c r="R25" s="288" t="n"/>
      <c r="S25" s="299">
        <f>D25*12</f>
        <v/>
      </c>
      <c r="T25" s="299">
        <f>SUM(E25:Q25)</f>
        <v/>
      </c>
      <c r="U25" s="285" t="n"/>
      <c r="V25" s="285" t="n"/>
      <c r="W25" s="285" t="n"/>
      <c r="X25" s="285" t="n"/>
      <c r="Y25" s="285" t="n"/>
      <c r="Z25" s="285" t="n"/>
      <c r="AA25" s="285" t="n"/>
    </row>
    <row r="26" ht="18.75" customHeight="1" s="398">
      <c r="A26" s="385" t="inlineStr">
        <is>
          <t>BELLINI</t>
        </is>
      </c>
      <c r="B26" s="385" t="n"/>
      <c r="C26" s="305" t="inlineStr">
        <is>
          <t>Consultoria jurídica</t>
        </is>
      </c>
      <c r="D26" s="393" t="n">
        <v>1950</v>
      </c>
      <c r="E26" s="393">
        <f>1911+39+2.49</f>
        <v/>
      </c>
      <c r="F26" s="405">
        <f>1911+39</f>
        <v/>
      </c>
      <c r="G26" s="405">
        <f>1911+39</f>
        <v/>
      </c>
      <c r="H26" s="393">
        <f>1911+39</f>
        <v/>
      </c>
      <c r="I26" s="393">
        <f>1908.27+41.73</f>
        <v/>
      </c>
      <c r="J26" s="393">
        <f>1908.27+41.73</f>
        <v/>
      </c>
      <c r="K26" s="393">
        <f>1908.07+41.93</f>
        <v/>
      </c>
      <c r="L26" s="393">
        <f>1908.07+41.93</f>
        <v/>
      </c>
      <c r="M26" s="393">
        <f>1907.68+42.32</f>
        <v/>
      </c>
      <c r="N26" s="393">
        <f>2581.39+58.61</f>
        <v/>
      </c>
      <c r="O26" s="393">
        <f>2580.34+59.66</f>
        <v/>
      </c>
      <c r="P26" s="393">
        <f>2763.57+60.43</f>
        <v/>
      </c>
      <c r="Q26" s="393">
        <f>2763.28+43</f>
        <v/>
      </c>
      <c r="R26" s="288" t="n"/>
      <c r="S26" s="299">
        <f>D26*12</f>
        <v/>
      </c>
      <c r="T26" s="299">
        <f>SUM(E26:Q26)</f>
        <v/>
      </c>
      <c r="U26" s="285" t="n"/>
      <c r="V26" s="285" t="n"/>
      <c r="W26" s="285" t="n"/>
      <c r="X26" s="285" t="n"/>
      <c r="Y26" s="285" t="n"/>
      <c r="Z26" s="285" t="n"/>
      <c r="AA26" s="285" t="n"/>
    </row>
    <row r="27" ht="15.75" customHeight="1" s="398">
      <c r="A27" s="308" t="n"/>
      <c r="B27" s="308" t="n"/>
      <c r="C27" s="308" t="n"/>
      <c r="D27" s="309" t="n"/>
      <c r="E27" s="309" t="n"/>
      <c r="F27" s="310" t="n"/>
      <c r="G27" s="310" t="n"/>
      <c r="H27" s="309" t="n"/>
      <c r="I27" s="309" t="n"/>
      <c r="J27" s="309" t="n"/>
      <c r="K27" s="309" t="n"/>
      <c r="L27" s="309" t="n"/>
      <c r="M27" s="309" t="n"/>
      <c r="N27" s="309" t="n"/>
      <c r="O27" s="309" t="n"/>
      <c r="P27" s="309" t="n"/>
      <c r="Q27" s="309" t="n"/>
      <c r="R27" s="288" t="n"/>
      <c r="S27" s="299" t="n"/>
      <c r="T27" s="284" t="n"/>
      <c r="U27" s="285" t="n"/>
      <c r="V27" s="285" t="n"/>
      <c r="W27" s="285" t="n"/>
      <c r="X27" s="285" t="n"/>
      <c r="Y27" s="285" t="n"/>
      <c r="Z27" s="285" t="n"/>
      <c r="AA27" s="285" t="n"/>
    </row>
    <row r="28" ht="24" customHeight="1" s="398">
      <c r="A28" s="290" t="n"/>
      <c r="B28" s="290" t="n"/>
      <c r="C28" s="290" t="inlineStr">
        <is>
          <t>MANUTENÇÕES - SEM CONTRATO</t>
        </is>
      </c>
      <c r="D28" s="291" t="n">
        <v>10450</v>
      </c>
      <c r="E28" s="291">
        <f>SUM(E29:E36)</f>
        <v/>
      </c>
      <c r="F28" s="292">
        <f>SUM(F29:F36)</f>
        <v/>
      </c>
      <c r="G28" s="292">
        <f>SUM(G29:G36)</f>
        <v/>
      </c>
      <c r="H28" s="291">
        <f>SUM(H29:H36)</f>
        <v/>
      </c>
      <c r="I28" s="291">
        <f>SUM(I29:I36)</f>
        <v/>
      </c>
      <c r="J28" s="291">
        <f>SUM(J29:J36)</f>
        <v/>
      </c>
      <c r="K28" s="291">
        <f>SUM(K29:K36)</f>
        <v/>
      </c>
      <c r="L28" s="291">
        <f>SUM(L29:L36)</f>
        <v/>
      </c>
      <c r="M28" s="291">
        <f>SUM(M29:M36)</f>
        <v/>
      </c>
      <c r="N28" s="291">
        <f>SUM(N29:N36)</f>
        <v/>
      </c>
      <c r="O28" s="291">
        <f>SUM(O29:O36)</f>
        <v/>
      </c>
      <c r="P28" s="291">
        <f>SUM(P29:P36)</f>
        <v/>
      </c>
      <c r="Q28" s="291">
        <f>SUM(Q29:Q36)</f>
        <v/>
      </c>
      <c r="R28" s="288" t="n"/>
      <c r="S28" s="303">
        <f>SUM(S29:S36)</f>
        <v/>
      </c>
      <c r="T28" s="303">
        <f>SUM(T29:T36)</f>
        <v/>
      </c>
      <c r="U28" s="285" t="n"/>
      <c r="V28" s="285" t="n"/>
      <c r="W28" s="285" t="n"/>
      <c r="X28" s="285" t="n"/>
      <c r="Y28" s="285" t="n"/>
      <c r="Z28" s="285" t="n"/>
      <c r="AA28" s="285" t="n"/>
    </row>
    <row r="29" ht="18.75" customHeight="1" s="398">
      <c r="A29" s="385" t="inlineStr">
        <is>
          <t>MULTIPLAN</t>
        </is>
      </c>
      <c r="B29" s="385" t="n"/>
      <c r="C29" s="305" t="inlineStr">
        <is>
          <t xml:space="preserve">Lixo/Entulho/Manutenção Externa - Despesa Compartilhada </t>
        </is>
      </c>
      <c r="D29" s="393" t="n">
        <v>3000</v>
      </c>
      <c r="E29" s="393">
        <f>1211.64+609.89</f>
        <v/>
      </c>
      <c r="F29" s="405" t="n"/>
      <c r="G29" s="405">
        <f>1641.17</f>
        <v/>
      </c>
      <c r="H29" s="393">
        <f>1476.48</f>
        <v/>
      </c>
      <c r="I29" s="393">
        <f>2191.21</f>
        <v/>
      </c>
      <c r="J29" s="393">
        <f>2415.11</f>
        <v/>
      </c>
      <c r="K29" s="393">
        <f>1981.04</f>
        <v/>
      </c>
      <c r="L29" s="393">
        <f>1680.44</f>
        <v/>
      </c>
      <c r="M29" s="393">
        <f>2073.15+2125.41</f>
        <v/>
      </c>
      <c r="N29" s="393" t="n"/>
      <c r="O29" s="393">
        <f>1139.49+1509.89</f>
        <v/>
      </c>
      <c r="P29" s="393" t="n"/>
      <c r="Q29" s="393" t="n"/>
      <c r="R29" s="288" t="n"/>
      <c r="S29" s="299">
        <f>D29*12</f>
        <v/>
      </c>
      <c r="T29" s="299">
        <f>SUM(E29:Q29)</f>
        <v/>
      </c>
      <c r="U29" s="285" t="n"/>
      <c r="V29" s="285" t="n"/>
      <c r="W29" s="285" t="n"/>
      <c r="X29" s="285" t="n"/>
      <c r="Y29" s="285" t="n"/>
      <c r="Z29" s="285" t="n"/>
      <c r="AA29" s="285" t="n"/>
    </row>
    <row r="30" ht="18.75" customHeight="1" s="398">
      <c r="A30" s="470" t="inlineStr">
        <is>
          <t>DEMANDA</t>
        </is>
      </c>
      <c r="B30" s="385" t="n"/>
      <c r="C30" s="305" t="inlineStr">
        <is>
          <t>Manutenção Bombas de Recalque</t>
        </is>
      </c>
      <c r="D30" s="299" t="n">
        <v>500</v>
      </c>
      <c r="E30" s="299" t="n"/>
      <c r="F30" s="391">
        <f>1273+67</f>
        <v/>
      </c>
      <c r="G30" s="391" t="n"/>
      <c r="H30" s="299" t="n"/>
      <c r="I30" s="299" t="n"/>
      <c r="J30" s="299" t="n"/>
      <c r="K30" s="299" t="n"/>
      <c r="L30" s="299">
        <f>495</f>
        <v/>
      </c>
      <c r="M30" s="299">
        <f>495+630</f>
        <v/>
      </c>
      <c r="N30" s="299">
        <f>630</f>
        <v/>
      </c>
      <c r="O30" s="299">
        <f>660</f>
        <v/>
      </c>
      <c r="P30" s="299" t="n"/>
      <c r="Q30" s="299" t="n"/>
      <c r="R30" s="288" t="n"/>
      <c r="S30" s="299">
        <f>D30*12</f>
        <v/>
      </c>
      <c r="T30" s="299">
        <f>SUM(E30:Q30)</f>
        <v/>
      </c>
      <c r="U30" s="285" t="n"/>
      <c r="V30" s="285" t="n"/>
      <c r="W30" s="285" t="n"/>
      <c r="X30" s="285" t="n"/>
      <c r="Y30" s="285" t="n"/>
      <c r="Z30" s="285" t="n"/>
      <c r="AA30" s="285" t="n"/>
    </row>
    <row r="31" ht="18.75" customHeight="1" s="398">
      <c r="B31" s="385" t="n"/>
      <c r="C31" s="389" t="inlineStr">
        <is>
          <t>Manutenção Interfones</t>
        </is>
      </c>
      <c r="D31" s="299" t="n">
        <v>50</v>
      </c>
      <c r="E31" s="299">
        <f>388.84+366.33</f>
        <v/>
      </c>
      <c r="F31" s="391">
        <f>275</f>
        <v/>
      </c>
      <c r="G31" s="391" t="n"/>
      <c r="H31" s="299" t="n"/>
      <c r="I31" s="299" t="n"/>
      <c r="J31" s="299">
        <f>390</f>
        <v/>
      </c>
      <c r="K31" s="299" t="n"/>
      <c r="L31" s="299" t="n"/>
      <c r="M31" s="299" t="n"/>
      <c r="N31" s="299">
        <f>294+6</f>
        <v/>
      </c>
      <c r="O31" s="299">
        <f>6+270.2+270.2+270.2+9.8</f>
        <v/>
      </c>
      <c r="P31" s="299">
        <f>9.8+9.8+9.8</f>
        <v/>
      </c>
      <c r="Q31" s="299" t="n"/>
      <c r="R31" s="288" t="n"/>
      <c r="S31" s="299">
        <f>D31*12</f>
        <v/>
      </c>
      <c r="T31" s="299">
        <f>SUM(E31:Q31)</f>
        <v/>
      </c>
      <c r="U31" s="285" t="n"/>
      <c r="V31" s="285" t="n"/>
      <c r="W31" s="285" t="n"/>
      <c r="X31" s="285" t="n"/>
      <c r="Y31" s="285" t="n"/>
      <c r="Z31" s="285" t="n"/>
      <c r="AA31" s="285" t="n"/>
    </row>
    <row r="32" ht="18.75" customHeight="1" s="398">
      <c r="B32" s="385" t="n"/>
      <c r="C32" s="305" t="inlineStr">
        <is>
          <t>Manutenção Predial</t>
        </is>
      </c>
      <c r="D32" s="299" t="n">
        <v>3000</v>
      </c>
      <c r="E32" s="299">
        <f>4338+2.49</f>
        <v/>
      </c>
      <c r="F32" s="391">
        <f>191.9+329+3374+80+2.49</f>
        <v/>
      </c>
      <c r="G32" s="391">
        <f>165.4+3374</f>
        <v/>
      </c>
      <c r="H32" s="299">
        <f>947.5+174.73+5.27</f>
        <v/>
      </c>
      <c r="I32" s="299">
        <f>5.27+880</f>
        <v/>
      </c>
      <c r="J32" s="299">
        <f>422.1</f>
        <v/>
      </c>
      <c r="K32" s="299">
        <f>3781.8+178.2</f>
        <v/>
      </c>
      <c r="L32" s="299">
        <f>2710+368.76+11.24</f>
        <v/>
      </c>
      <c r="M32" s="299">
        <f>11.24+69.99</f>
        <v/>
      </c>
      <c r="N32" s="299" t="n"/>
      <c r="O32" s="299">
        <f>570</f>
        <v/>
      </c>
      <c r="P32" s="299">
        <f>4302.63+30+341.25+75+1500</f>
        <v/>
      </c>
      <c r="Q32" s="299">
        <f>286</f>
        <v/>
      </c>
      <c r="R32" s="288" t="n"/>
      <c r="S32" s="299">
        <f>D32*12</f>
        <v/>
      </c>
      <c r="T32" s="299">
        <f>SUM(E32:Q32)</f>
        <v/>
      </c>
      <c r="U32" s="285" t="n"/>
      <c r="V32" s="285" t="n"/>
      <c r="W32" s="285" t="n"/>
      <c r="X32" s="285" t="n"/>
      <c r="Y32" s="285" t="n"/>
      <c r="Z32" s="285" t="n"/>
      <c r="AA32" s="285" t="n"/>
    </row>
    <row r="33" ht="18.75" customHeight="1" s="398">
      <c r="B33" s="385" t="n"/>
      <c r="C33" s="311" t="inlineStr">
        <is>
          <t>Manutenção Preventiva Sistema de Incêndio</t>
        </is>
      </c>
      <c r="D33" s="393" t="n">
        <v>300</v>
      </c>
      <c r="E33" s="393" t="n"/>
      <c r="F33" s="393" t="n"/>
      <c r="G33" s="405" t="n"/>
      <c r="H33" s="393" t="n"/>
      <c r="J33" s="393" t="n"/>
      <c r="K33" s="393" t="n"/>
      <c r="L33" s="393" t="n"/>
      <c r="M33" s="393" t="n"/>
      <c r="N33" s="393" t="n"/>
      <c r="O33" s="393" t="n"/>
      <c r="P33" s="393" t="n"/>
      <c r="Q33" s="393" t="n"/>
      <c r="R33" s="288" t="n"/>
      <c r="S33" s="299">
        <f>D33*12</f>
        <v/>
      </c>
      <c r="T33" s="299">
        <f>SUM(E33:Q33)</f>
        <v/>
      </c>
      <c r="U33" s="285" t="n"/>
      <c r="V33" s="285" t="n"/>
      <c r="W33" s="285" t="n"/>
      <c r="X33" s="285" t="n"/>
      <c r="Y33" s="285" t="n"/>
      <c r="Z33" s="285" t="n"/>
      <c r="AA33" s="285" t="n"/>
    </row>
    <row r="34" ht="48" customHeight="1" s="398">
      <c r="B34" s="385" t="n"/>
      <c r="C34" s="301" t="inlineStr">
        <is>
          <t xml:space="preserve">Obrigações Legais (AFT, certificado de qualidade do ar de ambiente climatizado, certificado digital, inspeção da esccada pressurizada, laudo de potabilidade, teste mangueiras, recarga extintores, SPDA, subestação de energia) </t>
        </is>
      </c>
      <c r="D34" s="299" t="n">
        <v>3000</v>
      </c>
      <c r="E34" s="299">
        <f>1200+16.5+15.35+2.49</f>
        <v/>
      </c>
      <c r="F34" s="391">
        <f>132.3+2.7</f>
        <v/>
      </c>
      <c r="G34" s="391">
        <f>2.7+132.3+612.3+291.5+123.23+26.5</f>
        <v/>
      </c>
      <c r="H34" s="299">
        <f>176.4+8338+2.7+3374+3.6</f>
        <v/>
      </c>
      <c r="I34" s="299">
        <f>3.6+132.3+298.16+2.7+16.5+15.35</f>
        <v/>
      </c>
      <c r="J34" s="299">
        <f>16.5+15.35</f>
        <v/>
      </c>
      <c r="K34" s="299">
        <f>3216.45+1200</f>
        <v/>
      </c>
      <c r="L34" s="299">
        <f>272.57+290+2400+96.62</f>
        <v/>
      </c>
      <c r="M34" s="299">
        <f>2400+121.69+2.48</f>
        <v/>
      </c>
      <c r="N34" s="299">
        <f>2.48+230+121.69+264.6+5.4</f>
        <v/>
      </c>
      <c r="O34" s="299">
        <f>118.75+5.4+2.48+6.25+121.69+2460</f>
        <v/>
      </c>
      <c r="P34" s="299">
        <f>121.69+2.48+325.26</f>
        <v/>
      </c>
      <c r="Q34" s="299">
        <f>18+2.48+121.69</f>
        <v/>
      </c>
      <c r="R34" s="288" t="n"/>
      <c r="S34" s="299">
        <f>D34*12</f>
        <v/>
      </c>
      <c r="T34" s="299">
        <f>SUM(E34:Q34)</f>
        <v/>
      </c>
      <c r="U34" s="285" t="n"/>
      <c r="V34" s="285" t="n"/>
      <c r="W34" s="285" t="n"/>
      <c r="X34" s="285" t="n"/>
      <c r="Y34" s="285" t="n"/>
      <c r="Z34" s="285" t="n"/>
      <c r="AA34" s="285" t="n"/>
    </row>
    <row r="35" ht="18.75" customHeight="1" s="398">
      <c r="B35" s="385" t="n"/>
      <c r="C35" s="311" t="inlineStr">
        <is>
          <t xml:space="preserve">Controle Pragas e Limpeza  Caixa D'água (2x ano) </t>
        </is>
      </c>
      <c r="D35" s="299" t="n">
        <v>500</v>
      </c>
      <c r="E35" s="299" t="n"/>
      <c r="F35" s="391" t="n"/>
      <c r="G35" s="391">
        <f>291.5</f>
        <v/>
      </c>
      <c r="H35" s="299">
        <f>2208.78</f>
        <v/>
      </c>
      <c r="I35" s="299">
        <f>123.23+26.5</f>
        <v/>
      </c>
      <c r="J35" s="299" t="n"/>
      <c r="K35" s="299" t="n"/>
      <c r="L35" s="299" t="n"/>
      <c r="M35" s="299" t="n"/>
      <c r="N35" s="299">
        <f>825.1+245.3+44.6</f>
        <v/>
      </c>
      <c r="O35" s="299">
        <f>44.6+1115+245.3</f>
        <v/>
      </c>
      <c r="P35" s="299" t="n"/>
      <c r="Q35" s="299" t="n"/>
      <c r="R35" s="288" t="n"/>
      <c r="S35" s="299">
        <f>D35*12</f>
        <v/>
      </c>
      <c r="T35" s="299">
        <f>SUM(E35:Q35)</f>
        <v/>
      </c>
      <c r="U35" s="285" t="n"/>
      <c r="V35" s="285" t="n"/>
      <c r="W35" s="285" t="n"/>
      <c r="X35" s="285" t="n"/>
      <c r="Y35" s="285" t="n"/>
      <c r="Z35" s="285" t="n"/>
      <c r="AA35" s="285" t="n"/>
    </row>
    <row r="36" ht="18.75" customHeight="1" s="398">
      <c r="B36" s="385" t="n"/>
      <c r="C36" s="305" t="inlineStr">
        <is>
          <t>Paisagismo interno</t>
        </is>
      </c>
      <c r="D36" s="393" t="n">
        <v>100</v>
      </c>
      <c r="E36" s="393" t="n"/>
      <c r="F36" s="405" t="n"/>
      <c r="G36" s="405" t="n"/>
      <c r="H36" s="393" t="n"/>
      <c r="I36" s="393">
        <f>1111.31</f>
        <v/>
      </c>
      <c r="J36" s="393" t="n"/>
      <c r="K36" s="393" t="n"/>
      <c r="L36" s="393" t="n"/>
      <c r="M36" s="393" t="n"/>
      <c r="N36" s="393" t="n"/>
      <c r="O36" s="393" t="n"/>
      <c r="P36" s="393" t="n"/>
      <c r="Q36" s="393" t="n"/>
      <c r="R36" s="288" t="n"/>
      <c r="S36" s="299">
        <f>D36*12</f>
        <v/>
      </c>
      <c r="T36" s="299">
        <f>SUM(E36:Q36)</f>
        <v/>
      </c>
      <c r="U36" s="285" t="n"/>
      <c r="V36" s="285" t="n"/>
      <c r="W36" s="285" t="n"/>
      <c r="X36" s="285" t="n"/>
      <c r="Y36" s="285" t="n"/>
      <c r="Z36" s="285" t="n"/>
      <c r="AA36" s="285" t="n"/>
    </row>
    <row r="37" ht="15.75" customHeight="1" s="398">
      <c r="A37" s="308" t="n"/>
      <c r="B37" s="308" t="n"/>
      <c r="C37" s="308" t="n"/>
      <c r="D37" s="309" t="n"/>
      <c r="E37" s="309" t="n"/>
      <c r="F37" s="310" t="n"/>
      <c r="G37" s="310" t="n"/>
      <c r="H37" s="309" t="n"/>
      <c r="I37" s="309" t="n"/>
      <c r="J37" s="309" t="n"/>
      <c r="K37" s="309" t="n"/>
      <c r="L37" s="309" t="n"/>
      <c r="M37" s="309" t="n"/>
      <c r="N37" s="309" t="n"/>
      <c r="O37" s="309" t="n"/>
      <c r="P37" s="309" t="n"/>
      <c r="Q37" s="309" t="n"/>
      <c r="R37" s="288" t="n"/>
      <c r="S37" s="299" t="n"/>
      <c r="T37" s="284" t="n"/>
      <c r="U37" s="285" t="n"/>
      <c r="V37" s="285" t="n"/>
      <c r="W37" s="285" t="n"/>
      <c r="X37" s="285" t="n"/>
      <c r="Y37" s="285" t="n"/>
      <c r="Z37" s="285" t="n"/>
      <c r="AA37" s="285" t="n"/>
    </row>
    <row r="38" ht="24" customHeight="1" s="398">
      <c r="A38" s="290" t="n"/>
      <c r="B38" s="290" t="n"/>
      <c r="C38" s="290" t="inlineStr">
        <is>
          <t>MATERIAIS E EQUIPAMENTOS</t>
        </is>
      </c>
      <c r="D38" s="291" t="n">
        <v>6320</v>
      </c>
      <c r="E38" s="291">
        <f>SUM(E39:E51)</f>
        <v/>
      </c>
      <c r="F38" s="292">
        <f>SUM(F39:F51)</f>
        <v/>
      </c>
      <c r="G38" s="292">
        <f>SUM(G39:G51)</f>
        <v/>
      </c>
      <c r="H38" s="291">
        <f>SUM(H39:H51)</f>
        <v/>
      </c>
      <c r="I38" s="291">
        <f>SUM(I39:I51)</f>
        <v/>
      </c>
      <c r="J38" s="291">
        <f>SUM(J39:J51)</f>
        <v/>
      </c>
      <c r="K38" s="291">
        <f>SUM(K39:K51)</f>
        <v/>
      </c>
      <c r="L38" s="291">
        <f>SUM(L39:L51)</f>
        <v/>
      </c>
      <c r="M38" s="291">
        <f>SUM(M39:M51)</f>
        <v/>
      </c>
      <c r="N38" s="291">
        <f>SUM(N39:N51)</f>
        <v/>
      </c>
      <c r="O38" s="291">
        <f>SUM(O39:O51)</f>
        <v/>
      </c>
      <c r="P38" s="291">
        <f>SUM(P39:P51)</f>
        <v/>
      </c>
      <c r="Q38" s="291">
        <f>SUM(Q39:Q51)</f>
        <v/>
      </c>
      <c r="R38" s="288" t="n"/>
      <c r="S38" s="303">
        <f>SUM(S39:S51)</f>
        <v/>
      </c>
      <c r="T38" s="303">
        <f>SUM(T39:T51)</f>
        <v/>
      </c>
      <c r="U38" s="285" t="n"/>
      <c r="V38" s="285" t="n"/>
      <c r="W38" s="285" t="n"/>
      <c r="X38" s="285" t="n"/>
      <c r="Y38" s="285" t="n"/>
      <c r="Z38" s="285" t="n"/>
      <c r="AA38" s="285" t="n"/>
    </row>
    <row r="39" ht="18.75" customHeight="1" s="398">
      <c r="A39" s="470" t="inlineStr">
        <is>
          <t>DEMANDA</t>
        </is>
      </c>
      <c r="B39" s="385" t="n"/>
      <c r="C39" s="305" t="inlineStr">
        <is>
          <t>Cartões para controle de acesso</t>
        </is>
      </c>
      <c r="D39" s="309" t="n">
        <v>200</v>
      </c>
      <c r="E39" s="309">
        <f>1088</f>
        <v/>
      </c>
      <c r="F39" s="310">
        <f>371</f>
        <v/>
      </c>
      <c r="G39" s="310" t="n"/>
      <c r="H39" s="309">
        <f>799</f>
        <v/>
      </c>
      <c r="I39" s="309" t="n"/>
      <c r="J39" s="309">
        <f>167.1</f>
        <v/>
      </c>
      <c r="K39" s="309">
        <f>237.5</f>
        <v/>
      </c>
      <c r="L39" s="309" t="n"/>
      <c r="M39" s="309" t="n"/>
      <c r="N39" s="309">
        <f>781</f>
        <v/>
      </c>
      <c r="O39" s="309" t="n"/>
      <c r="P39" s="309" t="n"/>
      <c r="Q39" s="309" t="n"/>
      <c r="R39" s="288" t="n"/>
      <c r="S39" s="299">
        <f>D39*12</f>
        <v/>
      </c>
      <c r="T39" s="299">
        <f>SUM(E39:Q39)</f>
        <v/>
      </c>
      <c r="U39" s="285" t="n"/>
      <c r="V39" s="285" t="n"/>
      <c r="W39" s="285" t="n"/>
      <c r="X39" s="285" t="n"/>
      <c r="Y39" s="285" t="n"/>
      <c r="Z39" s="285" t="n"/>
      <c r="AA39" s="285" t="n"/>
    </row>
    <row r="40" ht="18.75" customHeight="1" s="398">
      <c r="B40" s="385" t="n"/>
      <c r="C40" s="305" t="inlineStr">
        <is>
          <t>Chaveiro</t>
        </is>
      </c>
      <c r="D40" s="309" t="n">
        <v>20</v>
      </c>
      <c r="E40" s="309" t="n"/>
      <c r="F40" s="310" t="n"/>
      <c r="G40" s="310" t="n"/>
      <c r="H40" s="309">
        <f>100</f>
        <v/>
      </c>
      <c r="I40" s="309" t="n">
        <v>10</v>
      </c>
      <c r="J40" s="309" t="n"/>
      <c r="K40" s="309" t="n"/>
      <c r="L40" s="309" t="n"/>
      <c r="M40" s="309" t="n"/>
      <c r="N40" s="309">
        <f>220+40+20</f>
        <v/>
      </c>
      <c r="O40" s="309" t="n"/>
      <c r="P40" s="309" t="n"/>
      <c r="Q40" s="309" t="n"/>
      <c r="R40" s="288" t="n"/>
      <c r="S40" s="299">
        <f>D40*12</f>
        <v/>
      </c>
      <c r="T40" s="299">
        <f>SUM(E40:Q40)</f>
        <v/>
      </c>
      <c r="U40" s="285" t="n"/>
      <c r="V40" s="285" t="n"/>
      <c r="W40" s="285" t="n"/>
      <c r="X40" s="285" t="n"/>
      <c r="Y40" s="285" t="n"/>
      <c r="Z40" s="285" t="n"/>
      <c r="AA40" s="285" t="n"/>
    </row>
    <row r="41" ht="18.75" customHeight="1" s="398">
      <c r="B41" s="385" t="n"/>
      <c r="C41" s="389" t="inlineStr">
        <is>
          <t>Lâmpadas</t>
        </is>
      </c>
      <c r="D41" s="309" t="n">
        <v>500</v>
      </c>
      <c r="E41" s="309" t="n"/>
      <c r="F41" s="310" t="n"/>
      <c r="G41" s="310" t="n"/>
      <c r="H41" s="309" t="n"/>
      <c r="I41" s="309" t="n"/>
      <c r="J41" s="309" t="n"/>
      <c r="K41" s="309">
        <f>439.5+71.61</f>
        <v/>
      </c>
      <c r="L41" s="309" t="n"/>
      <c r="M41" s="309" t="n"/>
      <c r="N41" s="309" t="n"/>
      <c r="O41" s="309" t="n"/>
      <c r="P41" s="309" t="n"/>
      <c r="Q41" s="309" t="n"/>
      <c r="R41" s="288" t="n"/>
      <c r="S41" s="299">
        <f>D41*12</f>
        <v/>
      </c>
      <c r="T41" s="299">
        <f>SUM(E41:Q41)</f>
        <v/>
      </c>
      <c r="U41" s="285" t="n"/>
      <c r="V41" s="285" t="n"/>
      <c r="W41" s="285" t="n"/>
      <c r="X41" s="285" t="n"/>
      <c r="Y41" s="285" t="n"/>
      <c r="Z41" s="285" t="n"/>
      <c r="AA41" s="285" t="n"/>
    </row>
    <row r="42" ht="18.75" customHeight="1" s="398">
      <c r="B42" s="385" t="n"/>
      <c r="C42" s="301" t="inlineStr">
        <is>
          <t>Materiais/Serviços Obras Diversas (Alvenaria, Serralheria, Funilaria, Outros)</t>
        </is>
      </c>
      <c r="D42" s="309" t="n">
        <v>600</v>
      </c>
      <c r="E42" s="309" t="n"/>
      <c r="F42" s="310" t="n"/>
      <c r="G42" s="310" t="n"/>
      <c r="H42" s="309">
        <f>613.9+128.05</f>
        <v/>
      </c>
      <c r="I42" s="309">
        <f>330+350.1+432+46.9+18</f>
        <v/>
      </c>
      <c r="J42" s="309">
        <f>547.6+437.9+18+722.6+506.4+136.4+489.5+175+60.5</f>
        <v/>
      </c>
      <c r="K42" s="309">
        <f>313.55+337.8+28.45+56.9+145+70.1</f>
        <v/>
      </c>
      <c r="L42" s="309">
        <f>496.05+120</f>
        <v/>
      </c>
      <c r="M42" s="309">
        <f>391.95</f>
        <v/>
      </c>
      <c r="N42" s="309">
        <f>124.8+320.8+621.35</f>
        <v/>
      </c>
      <c r="O42" s="502" t="n"/>
      <c r="P42" s="309" t="n"/>
      <c r="Q42" s="309" t="n"/>
      <c r="R42" s="288" t="n"/>
      <c r="S42" s="299">
        <f>D42*12</f>
        <v/>
      </c>
      <c r="T42" s="299">
        <f>SUM(E42:Q42)</f>
        <v/>
      </c>
      <c r="U42" s="285" t="n"/>
      <c r="V42" s="285" t="n"/>
      <c r="W42" s="285" t="n"/>
      <c r="X42" s="285" t="n"/>
      <c r="Y42" s="285" t="n"/>
      <c r="Z42" s="285" t="n"/>
      <c r="AA42" s="285" t="n"/>
    </row>
    <row r="43" ht="18.75" customHeight="1" s="398">
      <c r="B43" s="385" t="n"/>
      <c r="C43" s="305" t="inlineStr">
        <is>
          <t>Material de Ferragem (Elétrica, Hidráulica e Ferramentas)</t>
        </is>
      </c>
      <c r="D43" s="309" t="n">
        <v>600</v>
      </c>
      <c r="E43" s="309">
        <f>298.45+93.45+159.9+183.75+29.5+76.4+189.9+0.99+200+344</f>
        <v/>
      </c>
      <c r="F43" s="310">
        <f>216.85+786.16+143.97+344+409.45+184+379.9+94.05+184+786.17+181.9+35.3+117.4+142.1</f>
        <v/>
      </c>
      <c r="G43" s="310">
        <f>344+786.17+51.4+216</f>
        <v/>
      </c>
      <c r="H43" s="309">
        <f>42.8+498.2+330+134.05+67.1+100+64.8+71.4</f>
        <v/>
      </c>
      <c r="I43" s="309">
        <f>443.2+546.85+110.7+66.53</f>
        <v/>
      </c>
      <c r="J43" s="309">
        <f>1250+330+24.4+383.7+106.68+100.8+29.9+5.64+95.88</f>
        <v/>
      </c>
      <c r="K43" s="309">
        <f>27.05+151.91+1140</f>
        <v/>
      </c>
      <c r="L43" s="309">
        <f>283.17+54.61</f>
        <v/>
      </c>
      <c r="M43" s="309">
        <f>355.9+60.1+487.3</f>
        <v/>
      </c>
      <c r="N43" s="309">
        <f>355.9+195.75</f>
        <v/>
      </c>
      <c r="O43" s="309">
        <f>156.6+19.35</f>
        <v/>
      </c>
      <c r="P43" s="309">
        <f>437.15+31.5+527.29</f>
        <v/>
      </c>
      <c r="Q43" s="309">
        <f>56.91+88.15+28.98+43</f>
        <v/>
      </c>
      <c r="R43" s="288" t="n"/>
      <c r="S43" s="299">
        <f>D43*12</f>
        <v/>
      </c>
      <c r="T43" s="299">
        <f>SUM(E43:Q43)</f>
        <v/>
      </c>
      <c r="U43" s="285" t="n"/>
      <c r="V43" s="285" t="n"/>
      <c r="W43" s="285" t="n"/>
      <c r="X43" s="285" t="n"/>
      <c r="Y43" s="285" t="n"/>
      <c r="Z43" s="285" t="n"/>
      <c r="AA43" s="285" t="n"/>
    </row>
    <row r="44" ht="18.75" customHeight="1" s="398">
      <c r="B44" s="385" t="n"/>
      <c r="C44" s="389" t="inlineStr">
        <is>
          <t>Material Expediente Interno</t>
        </is>
      </c>
      <c r="D44" s="309" t="n">
        <v>300</v>
      </c>
      <c r="E44" s="309" t="n"/>
      <c r="F44" s="310">
        <f>71.34+229.81+343.2</f>
        <v/>
      </c>
      <c r="G44" s="310" t="n"/>
      <c r="H44" s="309">
        <f>299.31+321.6+339.9</f>
        <v/>
      </c>
      <c r="I44" s="309">
        <f>434.72</f>
        <v/>
      </c>
      <c r="J44" s="309">
        <f>310.31+51.15</f>
        <v/>
      </c>
      <c r="K44" s="309">
        <f>138.8+139.2</f>
        <v/>
      </c>
      <c r="L44" s="393">
        <f>414.81+24.9</f>
        <v/>
      </c>
      <c r="M44" s="309">
        <f>367.5+73.35+55.4</f>
        <v/>
      </c>
      <c r="N44" s="309">
        <f>272.91+52.9</f>
        <v/>
      </c>
      <c r="O44" s="393">
        <f>327.64+145.9</f>
        <v/>
      </c>
      <c r="P44" s="309">
        <f>108.72</f>
        <v/>
      </c>
      <c r="Q44" s="309" t="n"/>
      <c r="R44" s="288" t="n"/>
      <c r="S44" s="299">
        <f>D44*12</f>
        <v/>
      </c>
      <c r="T44" s="299">
        <f>SUM(E44:Q44)</f>
        <v/>
      </c>
      <c r="U44" s="285" t="n"/>
      <c r="V44" s="285" t="n"/>
      <c r="W44" s="285" t="n"/>
      <c r="X44" s="285" t="n"/>
      <c r="Y44" s="285" t="n"/>
      <c r="Z44" s="285" t="n"/>
      <c r="AA44" s="285" t="n"/>
    </row>
    <row r="45" ht="18.75" customHeight="1" s="398">
      <c r="B45" s="385" t="n"/>
      <c r="C45" s="305" t="inlineStr">
        <is>
          <t>Material Limpeza/Consumíveis</t>
        </is>
      </c>
      <c r="D45" s="393" t="n">
        <v>2000</v>
      </c>
      <c r="E45" s="393">
        <f>366.6+246.56+371.57+1356.12</f>
        <v/>
      </c>
      <c r="F45" s="405">
        <f>924.02</f>
        <v/>
      </c>
      <c r="G45" s="405">
        <f>32.58+1548.91</f>
        <v/>
      </c>
      <c r="H45" s="393">
        <f>1067.31+61.45</f>
        <v/>
      </c>
      <c r="I45" s="393">
        <f>770.65+151.32+477.33+436.59+841.9</f>
        <v/>
      </c>
      <c r="J45" s="313">
        <f>500.32+591.04</f>
        <v/>
      </c>
      <c r="K45" s="393">
        <f>175.38+498.34+730.55</f>
        <v/>
      </c>
      <c r="L45" s="393">
        <f>453.28+970.87+715.9+226.6</f>
        <v/>
      </c>
      <c r="M45" s="393">
        <f>383.94+632.21</f>
        <v/>
      </c>
      <c r="N45" s="393">
        <f>341.98+876.48</f>
        <v/>
      </c>
      <c r="O45" s="393">
        <f>765.15+616.73</f>
        <v/>
      </c>
      <c r="P45" s="393">
        <f>659.3+606.98</f>
        <v/>
      </c>
      <c r="Q45" s="393">
        <f>115.3</f>
        <v/>
      </c>
      <c r="R45" s="288" t="n"/>
      <c r="S45" s="299">
        <f>D45*12</f>
        <v/>
      </c>
      <c r="T45" s="299">
        <f>SUM(E45:Q45)</f>
        <v/>
      </c>
      <c r="U45" s="285" t="n"/>
      <c r="V45" s="285" t="n"/>
      <c r="W45" s="285" t="n"/>
      <c r="X45" s="285" t="n"/>
      <c r="Y45" s="285" t="n"/>
      <c r="Z45" s="285" t="n"/>
      <c r="AA45" s="285" t="n"/>
    </row>
    <row r="46" ht="18.75" customHeight="1" s="398">
      <c r="A46" s="385" t="inlineStr">
        <is>
          <t>ATLAS</t>
        </is>
      </c>
      <c r="B46" s="385" t="n"/>
      <c r="C46" s="305" t="inlineStr">
        <is>
          <t>Peças elevador</t>
        </is>
      </c>
      <c r="D46" s="393" t="n">
        <v>500</v>
      </c>
      <c r="E46" s="393" t="n"/>
      <c r="F46" s="405" t="n"/>
      <c r="G46" s="405" t="n"/>
      <c r="H46" s="393" t="n"/>
      <c r="I46" s="393" t="n"/>
      <c r="J46" s="393" t="n"/>
      <c r="K46" s="393">
        <f>305.18+1364.99+16.89+15.71+70.25</f>
        <v/>
      </c>
      <c r="L46" s="393" t="n"/>
      <c r="M46" s="393" t="n"/>
      <c r="N46" s="393">
        <f>445.5+447.15+273.03+22.93+24.65+23.01+24.75+14.05+15.11</f>
        <v/>
      </c>
      <c r="O46" s="393">
        <f>304.27+14.05+22.93+23.01+15.66+16.84</f>
        <v/>
      </c>
      <c r="P46" s="393">
        <f>694.2</f>
        <v/>
      </c>
      <c r="Q46" s="393" t="n"/>
      <c r="R46" s="288" t="n"/>
      <c r="S46" s="299">
        <f>D46*12</f>
        <v/>
      </c>
      <c r="T46" s="299">
        <f>SUM(E46:Q46)</f>
        <v/>
      </c>
      <c r="U46" s="285" t="n"/>
      <c r="V46" s="285" t="n"/>
      <c r="W46" s="285" t="n"/>
      <c r="X46" s="285" t="n"/>
      <c r="Y46" s="285" t="n"/>
      <c r="Z46" s="285" t="n"/>
      <c r="AA46" s="285" t="n"/>
    </row>
    <row r="47" ht="18.75" customHeight="1" s="398">
      <c r="A47" s="470" t="inlineStr">
        <is>
          <t>DEMANDA</t>
        </is>
      </c>
      <c r="B47" s="385" t="n"/>
      <c r="C47" s="305" t="inlineStr">
        <is>
          <t>Móveis e Utensílios</t>
        </is>
      </c>
      <c r="D47" s="393" t="n">
        <v>500</v>
      </c>
      <c r="E47" s="393" t="n">
        <v>665.89</v>
      </c>
      <c r="F47" s="405">
        <f>1598</f>
        <v/>
      </c>
      <c r="G47" s="405">
        <f>449.9+2066.97</f>
        <v/>
      </c>
      <c r="H47" s="393" t="n"/>
      <c r="I47" s="393">
        <f>399</f>
        <v/>
      </c>
      <c r="J47" s="393">
        <f>150</f>
        <v/>
      </c>
      <c r="K47" s="393" t="n"/>
      <c r="L47" s="393">
        <f>1934.1</f>
        <v/>
      </c>
      <c r="M47" s="393">
        <f>459.8+2549.91</f>
        <v/>
      </c>
      <c r="N47" s="393" t="n"/>
      <c r="O47" s="393">
        <f>25.46</f>
        <v/>
      </c>
      <c r="P47" s="393">
        <f>591.88</f>
        <v/>
      </c>
      <c r="Q47" s="393" t="n"/>
      <c r="R47" s="288" t="n"/>
      <c r="S47" s="299">
        <f>D47*12</f>
        <v/>
      </c>
      <c r="T47" s="299">
        <f>SUM(E47:Q47)</f>
        <v/>
      </c>
      <c r="U47" s="285" t="n"/>
      <c r="V47" s="285" t="n"/>
      <c r="W47" s="285" t="n"/>
      <c r="X47" s="285" t="n"/>
      <c r="Y47" s="285" t="n"/>
      <c r="Z47" s="285" t="n"/>
      <c r="AA47" s="285" t="n"/>
    </row>
    <row r="48" ht="18.75" customHeight="1" s="398">
      <c r="B48" s="385" t="n"/>
      <c r="C48" s="389" t="inlineStr">
        <is>
          <t>Peças Ar Condicionado/Exaustores</t>
        </is>
      </c>
      <c r="D48" s="393" t="n">
        <v>500</v>
      </c>
      <c r="E48" s="393" t="n"/>
      <c r="F48" s="405" t="n"/>
      <c r="G48" s="405" t="n"/>
      <c r="H48" s="393" t="n"/>
      <c r="I48" s="393" t="n"/>
      <c r="J48" s="393">
        <f>100</f>
        <v/>
      </c>
      <c r="K48" s="393" t="n">
        <v>1400</v>
      </c>
      <c r="L48" s="393">
        <f>1400</f>
        <v/>
      </c>
      <c r="M48" s="393" t="n"/>
      <c r="N48" s="393" t="n"/>
      <c r="O48" s="393" t="n"/>
      <c r="P48" s="393" t="n"/>
      <c r="Q48" s="393">
        <f>1200</f>
        <v/>
      </c>
      <c r="R48" s="288" t="n"/>
      <c r="S48" s="299">
        <f>D48*12</f>
        <v/>
      </c>
      <c r="T48" s="299">
        <f>SUM(E48:Q48)</f>
        <v/>
      </c>
      <c r="U48" s="285" t="n"/>
      <c r="V48" s="285" t="n"/>
      <c r="W48" s="285" t="n"/>
      <c r="X48" s="285" t="n"/>
      <c r="Y48" s="285" t="n"/>
      <c r="Z48" s="285" t="n"/>
      <c r="AA48" s="285" t="n"/>
    </row>
    <row r="49" ht="18.75" customHeight="1" s="398">
      <c r="B49" s="385" t="n"/>
      <c r="C49" s="301" t="inlineStr">
        <is>
          <t>Peças de reposição para extintores e hidrantes e recargas eventuais</t>
        </is>
      </c>
      <c r="D49" s="393" t="n">
        <v>100</v>
      </c>
      <c r="E49" s="393" t="n"/>
      <c r="F49" s="405" t="n"/>
      <c r="G49" s="405" t="n"/>
      <c r="H49" s="393" t="n"/>
      <c r="I49" s="393" t="n"/>
      <c r="J49" s="393" t="n"/>
      <c r="K49" s="393" t="n"/>
      <c r="L49" s="393" t="n"/>
      <c r="M49" s="393" t="n"/>
      <c r="N49" s="393" t="n"/>
      <c r="O49" s="393" t="n"/>
      <c r="P49" s="393" t="n"/>
      <c r="Q49" s="393" t="n"/>
      <c r="R49" s="288" t="n"/>
      <c r="S49" s="299">
        <f>D49*12</f>
        <v/>
      </c>
      <c r="T49" s="299">
        <f>SUM(E49:Q49)</f>
        <v/>
      </c>
      <c r="U49" s="285" t="n"/>
      <c r="V49" s="285" t="n"/>
      <c r="W49" s="285" t="n"/>
      <c r="X49" s="285" t="n"/>
      <c r="Y49" s="285" t="n"/>
      <c r="Z49" s="285" t="n"/>
      <c r="AA49" s="285" t="n"/>
    </row>
    <row r="50" ht="18.75" customHeight="1" s="398">
      <c r="B50" s="385" t="n"/>
      <c r="C50" s="314" t="inlineStr">
        <is>
          <t>Peças para Grupo Gerador, limpeza semestral filtro e óleo e óleo diesel</t>
        </is>
      </c>
      <c r="D50" s="393" t="n">
        <v>300</v>
      </c>
      <c r="E50" s="393" t="n"/>
      <c r="F50" s="405">
        <f>1642.5</f>
        <v/>
      </c>
      <c r="G50" s="405" t="n"/>
      <c r="H50" s="393" t="n"/>
      <c r="I50" s="393" t="n"/>
      <c r="J50" s="393" t="n"/>
      <c r="K50" s="393" t="n"/>
      <c r="L50" s="393" t="n"/>
      <c r="M50" s="393" t="n"/>
      <c r="N50" s="393" t="n"/>
      <c r="O50" s="393">
        <f>295.01</f>
        <v/>
      </c>
      <c r="P50" s="393">
        <f>2101</f>
        <v/>
      </c>
      <c r="Q50" s="393" t="n"/>
      <c r="R50" s="288" t="n"/>
      <c r="S50" s="299">
        <f>D50*12</f>
        <v/>
      </c>
      <c r="T50" s="299">
        <f>SUM(E50:Q50)</f>
        <v/>
      </c>
      <c r="U50" s="285" t="n"/>
      <c r="V50" s="285" t="n"/>
      <c r="W50" s="285" t="n"/>
      <c r="X50" s="285" t="n"/>
      <c r="Y50" s="285" t="n"/>
      <c r="Z50" s="285" t="n"/>
      <c r="AA50" s="285" t="n"/>
    </row>
    <row r="51" ht="18.75" customHeight="1" s="398">
      <c r="B51" s="385" t="n"/>
      <c r="C51" s="305" t="inlineStr">
        <is>
          <t>Peças para manutenção das catracas</t>
        </is>
      </c>
      <c r="D51" s="393" t="n">
        <v>200</v>
      </c>
      <c r="E51" s="393" t="n"/>
      <c r="F51" s="405">
        <f>750</f>
        <v/>
      </c>
      <c r="G51" s="405" t="n"/>
      <c r="H51" s="393" t="n"/>
      <c r="I51" s="393" t="n"/>
      <c r="J51" s="393" t="n"/>
      <c r="K51" s="393" t="n"/>
      <c r="L51" s="393" t="n"/>
      <c r="M51" s="393" t="n"/>
      <c r="N51" s="393" t="n"/>
      <c r="O51" s="393">
        <f>506.06</f>
        <v/>
      </c>
      <c r="P51" s="285" t="n"/>
      <c r="Q51" s="393" t="n"/>
      <c r="R51" s="288" t="n"/>
      <c r="S51" s="299">
        <f>D51*12</f>
        <v/>
      </c>
      <c r="T51" s="299">
        <f>SUM(E51:Q51)</f>
        <v/>
      </c>
      <c r="U51" s="285" t="n"/>
      <c r="V51" s="285" t="n"/>
      <c r="W51" s="285" t="n"/>
      <c r="X51" s="285" t="n"/>
      <c r="Y51" s="285" t="n"/>
      <c r="Z51" s="285" t="n"/>
      <c r="AA51" s="285" t="n"/>
    </row>
    <row r="52" ht="15.75" customHeight="1" s="398">
      <c r="A52" s="302" t="n"/>
      <c r="B52" s="302" t="n"/>
      <c r="C52" s="302" t="n"/>
      <c r="D52" s="315" t="n"/>
      <c r="E52" s="315" t="n"/>
      <c r="F52" s="316" t="n"/>
      <c r="G52" s="316" t="n"/>
      <c r="H52" s="315" t="n"/>
      <c r="I52" s="315" t="n"/>
      <c r="J52" s="315" t="n"/>
      <c r="K52" s="315" t="n"/>
      <c r="L52" s="315" t="n"/>
      <c r="M52" s="315" t="n"/>
      <c r="N52" s="315" t="n"/>
      <c r="O52" s="315" t="n"/>
      <c r="P52" s="315" t="n"/>
      <c r="Q52" s="315" t="n"/>
      <c r="R52" s="288" t="n"/>
      <c r="S52" s="299" t="n"/>
      <c r="T52" s="284" t="n"/>
      <c r="U52" s="285" t="n"/>
      <c r="V52" s="285" t="n"/>
      <c r="W52" s="285" t="n"/>
      <c r="X52" s="285" t="n"/>
      <c r="Y52" s="285" t="n"/>
      <c r="Z52" s="285" t="n"/>
      <c r="AA52" s="285" t="n"/>
    </row>
    <row r="53" ht="24" customHeight="1" s="398">
      <c r="A53" s="290" t="n"/>
      <c r="B53" s="290" t="n"/>
      <c r="C53" s="290" t="inlineStr">
        <is>
          <t>DESPESAS  ADMINISTRATIVAS</t>
        </is>
      </c>
      <c r="D53" s="291" t="n">
        <v>810</v>
      </c>
      <c r="E53" s="291">
        <f>SUM(E54:E60)</f>
        <v/>
      </c>
      <c r="F53" s="292">
        <f>SUM(F54:F60)</f>
        <v/>
      </c>
      <c r="G53" s="292">
        <f>SUM(G54:G60)</f>
        <v/>
      </c>
      <c r="H53" s="291">
        <f>SUM(H54:H60)</f>
        <v/>
      </c>
      <c r="I53" s="291">
        <f>SUM(I54:I60)</f>
        <v/>
      </c>
      <c r="J53" s="291">
        <f>SUM(J54:J60)</f>
        <v/>
      </c>
      <c r="K53" s="291">
        <f>SUM(K54:K60)</f>
        <v/>
      </c>
      <c r="L53" s="291">
        <f>SUM(L54:L60)</f>
        <v/>
      </c>
      <c r="M53" s="291">
        <f>SUM(M54:M60)</f>
        <v/>
      </c>
      <c r="N53" s="291">
        <f>SUM(N54:N60)</f>
        <v/>
      </c>
      <c r="O53" s="291">
        <f>SUM(O54:O60)</f>
        <v/>
      </c>
      <c r="P53" s="291">
        <f>SUM(P54:P60)</f>
        <v/>
      </c>
      <c r="Q53" s="291">
        <f>SUM(Q54:Q60)</f>
        <v/>
      </c>
      <c r="R53" s="288" t="n"/>
      <c r="S53" s="303">
        <f>SUM(S54:S61)</f>
        <v/>
      </c>
      <c r="T53" s="303">
        <f>SUM(T54:T61)</f>
        <v/>
      </c>
      <c r="U53" s="285" t="n"/>
      <c r="V53" s="285" t="n"/>
      <c r="W53" s="285" t="n"/>
      <c r="X53" s="285" t="n"/>
      <c r="Y53" s="285" t="n"/>
      <c r="Z53" s="285" t="n"/>
      <c r="AA53" s="285" t="n"/>
    </row>
    <row r="54" ht="18.75" customHeight="1" s="398">
      <c r="A54" s="317" t="n"/>
      <c r="B54" s="317" t="n"/>
      <c r="C54" s="318" t="inlineStr">
        <is>
          <t>Telefonia/Internet- apenas telefone, internet comodato</t>
        </is>
      </c>
      <c r="D54" s="299" t="n">
        <v>60</v>
      </c>
      <c r="E54" s="299">
        <f>55.03</f>
        <v/>
      </c>
      <c r="F54" s="391">
        <f>52.41</f>
        <v/>
      </c>
      <c r="G54" s="391">
        <f>54.55+30</f>
        <v/>
      </c>
      <c r="H54" s="299">
        <f>57.78+43.4</f>
        <v/>
      </c>
      <c r="I54" s="299">
        <f>61.86+99.98</f>
        <v/>
      </c>
      <c r="J54" s="299">
        <f>62.72+75</f>
        <v/>
      </c>
      <c r="K54" s="299">
        <f>49.26+49.99</f>
        <v/>
      </c>
      <c r="L54" s="299">
        <f>50.87+49.99</f>
        <v/>
      </c>
      <c r="M54" s="299">
        <f>54.25+49.99</f>
        <v/>
      </c>
      <c r="N54" s="299">
        <f>69.45+49.99</f>
        <v/>
      </c>
      <c r="O54" s="299">
        <f>45.56</f>
        <v/>
      </c>
      <c r="P54" s="299">
        <f>48.57+49.99+49.99</f>
        <v/>
      </c>
      <c r="Q54" s="299">
        <f>50.63</f>
        <v/>
      </c>
      <c r="R54" s="288" t="n"/>
      <c r="S54" s="299">
        <f>D54*12</f>
        <v/>
      </c>
      <c r="T54" s="299">
        <f>SUM(E54:Q54)</f>
        <v/>
      </c>
      <c r="U54" s="285" t="n"/>
      <c r="V54" s="285" t="n"/>
      <c r="W54" s="285" t="n"/>
      <c r="X54" s="285" t="n"/>
      <c r="Y54" s="285" t="n"/>
      <c r="Z54" s="285" t="n"/>
      <c r="AA54" s="285" t="n"/>
    </row>
    <row r="55" ht="18.75" customHeight="1" s="398">
      <c r="A55" s="284" t="n"/>
      <c r="B55" s="284" t="n"/>
      <c r="C55" s="319" t="inlineStr">
        <is>
          <t>Impressões/Cópias</t>
        </is>
      </c>
      <c r="D55" s="299" t="n">
        <v>50</v>
      </c>
      <c r="E55" s="299" t="n"/>
      <c r="F55" s="391" t="n"/>
      <c r="G55" s="391" t="n"/>
      <c r="H55" s="299" t="n"/>
      <c r="I55" s="299" t="n"/>
      <c r="J55" s="299" t="n"/>
      <c r="K55" s="299" t="n"/>
      <c r="L55" s="299" t="n"/>
      <c r="M55" s="299" t="n"/>
      <c r="N55" s="299" t="n"/>
      <c r="O55" s="299" t="n"/>
      <c r="P55" s="299" t="n"/>
      <c r="Q55" s="299" t="n"/>
      <c r="R55" s="288" t="n"/>
      <c r="S55" s="299">
        <f>D55*12</f>
        <v/>
      </c>
      <c r="T55" s="299">
        <f>SUM(E55:Q55)</f>
        <v/>
      </c>
      <c r="U55" s="285" t="n"/>
      <c r="V55" s="285" t="n"/>
      <c r="W55" s="285" t="n"/>
      <c r="X55" s="285" t="n"/>
      <c r="Y55" s="285" t="n"/>
      <c r="Z55" s="285" t="n"/>
      <c r="AA55" s="285" t="n"/>
    </row>
    <row r="56" ht="18.75" customHeight="1" s="398">
      <c r="A56" s="284" t="n"/>
      <c r="B56" s="284" t="n"/>
      <c r="C56" s="319" t="inlineStr">
        <is>
          <t xml:space="preserve">Correio/Remessa Correspondências/Motoboy/Diversas </t>
        </is>
      </c>
      <c r="D56" s="299" t="n">
        <v>150</v>
      </c>
      <c r="E56" s="299">
        <f>226.21+29.93+2.49</f>
        <v/>
      </c>
      <c r="F56" s="391">
        <f>29.99</f>
        <v/>
      </c>
      <c r="G56" s="391" t="n"/>
      <c r="H56" s="299" t="n"/>
      <c r="I56" s="299" t="n"/>
      <c r="J56" s="299">
        <f>27.7</f>
        <v/>
      </c>
      <c r="K56" s="299" t="n"/>
      <c r="L56" s="299" t="n"/>
      <c r="M56" s="299" t="n"/>
      <c r="N56" s="299">
        <f>50+12+308.34</f>
        <v/>
      </c>
      <c r="O56" s="299">
        <f>95.36</f>
        <v/>
      </c>
      <c r="P56" s="299" t="n"/>
      <c r="Q56" s="299" t="n"/>
      <c r="R56" s="288" t="n"/>
      <c r="S56" s="299">
        <f>D56*12</f>
        <v/>
      </c>
      <c r="T56" s="299">
        <f>SUM(E56:Q56)</f>
        <v/>
      </c>
      <c r="U56" s="285" t="n"/>
      <c r="V56" s="285" t="n"/>
      <c r="W56" s="285" t="n"/>
      <c r="X56" s="285" t="n"/>
      <c r="Y56" s="285" t="n"/>
      <c r="Z56" s="285" t="n"/>
      <c r="AA56" s="285" t="n"/>
    </row>
    <row r="57" ht="18.75" customHeight="1" s="398">
      <c r="A57" s="284" t="n"/>
      <c r="B57" s="284" t="n"/>
      <c r="C57" s="319" t="inlineStr">
        <is>
          <t>Impostos - DIRF/DARF/ISSQN/PIS/COFINS</t>
        </is>
      </c>
      <c r="D57" s="315" t="n">
        <v>100</v>
      </c>
      <c r="E57" s="315">
        <f>46+66.03+2.7+55.8+520</f>
        <v/>
      </c>
      <c r="F57" s="316">
        <f>2.7+55.8+345</f>
        <v/>
      </c>
      <c r="G57" s="316">
        <f>55.8</f>
        <v/>
      </c>
      <c r="H57" s="315">
        <f>55.8</f>
        <v/>
      </c>
      <c r="I57" s="315">
        <f>55.8</f>
        <v/>
      </c>
      <c r="J57" s="315">
        <f>55.8</f>
        <v/>
      </c>
      <c r="K57" s="315">
        <f>55.8</f>
        <v/>
      </c>
      <c r="L57" s="315">
        <f>55.8</f>
        <v/>
      </c>
      <c r="M57" s="315">
        <f>24.65+55.8</f>
        <v/>
      </c>
      <c r="N57" s="315">
        <f>62.49+55.8</f>
        <v/>
      </c>
      <c r="O57" s="315">
        <f>55.8</f>
        <v/>
      </c>
      <c r="P57" s="315">
        <f>55.8</f>
        <v/>
      </c>
      <c r="Q57" s="315">
        <f>2.02+25.44+24.75</f>
        <v/>
      </c>
      <c r="R57" s="288" t="n"/>
      <c r="S57" s="299">
        <f>D57*12</f>
        <v/>
      </c>
      <c r="T57" s="299">
        <f>SUM(E57:Q57)</f>
        <v/>
      </c>
      <c r="U57" s="285" t="n"/>
      <c r="V57" s="285" t="n"/>
      <c r="W57" s="285" t="n"/>
      <c r="X57" s="285" t="n"/>
      <c r="Y57" s="285" t="n"/>
      <c r="Z57" s="285" t="n"/>
      <c r="AA57" s="285" t="n"/>
    </row>
    <row r="58" ht="18.75" customHeight="1" s="398">
      <c r="A58" s="317" t="n"/>
      <c r="B58" s="317" t="n"/>
      <c r="C58" s="318" t="inlineStr">
        <is>
          <t xml:space="preserve">Material Expediente </t>
        </is>
      </c>
      <c r="D58" s="299" t="n">
        <v>200</v>
      </c>
      <c r="E58" s="299" t="n"/>
      <c r="F58" s="391" t="n"/>
      <c r="G58" s="391">
        <f>412.09</f>
        <v/>
      </c>
      <c r="H58" s="299" t="n"/>
      <c r="I58" s="299" t="n"/>
      <c r="J58" s="299" t="n"/>
      <c r="K58" s="299" t="n"/>
      <c r="L58" s="299" t="n"/>
      <c r="M58" s="299" t="n"/>
      <c r="N58" s="299" t="n"/>
      <c r="O58" s="299" t="n"/>
      <c r="P58" s="299" t="n"/>
      <c r="Q58" s="299" t="n"/>
      <c r="R58" s="288" t="n"/>
      <c r="S58" s="299">
        <f>D58*12</f>
        <v/>
      </c>
      <c r="T58" s="299">
        <f>SUM(E58:Q58)</f>
        <v/>
      </c>
      <c r="U58" s="285" t="n"/>
      <c r="V58" s="285" t="n"/>
      <c r="W58" s="285" t="n"/>
      <c r="X58" s="285" t="n"/>
      <c r="Y58" s="285" t="n"/>
      <c r="Z58" s="285" t="n"/>
      <c r="AA58" s="285" t="n"/>
    </row>
    <row r="59" ht="18.75" customHeight="1" s="398">
      <c r="A59" s="317" t="n"/>
      <c r="B59" s="317" t="n"/>
      <c r="C59" s="318" t="inlineStr">
        <is>
          <t xml:space="preserve">Taxa Desepesas com Assembleia </t>
        </is>
      </c>
      <c r="D59" s="315" t="n">
        <v>50</v>
      </c>
      <c r="E59" s="315" t="n"/>
      <c r="F59" s="316" t="n"/>
      <c r="G59" s="316" t="n"/>
      <c r="H59" s="315" t="n"/>
      <c r="I59" s="315">
        <f>229.67</f>
        <v/>
      </c>
      <c r="J59" s="315">
        <f>580</f>
        <v/>
      </c>
      <c r="K59" s="315" t="n"/>
      <c r="L59" s="315" t="n"/>
      <c r="M59" s="315" t="n"/>
      <c r="N59" s="315" t="n"/>
      <c r="O59" s="315" t="n"/>
      <c r="P59" s="315" t="n"/>
      <c r="Q59" s="315" t="n"/>
      <c r="R59" s="288" t="n"/>
      <c r="S59" s="299">
        <f>D59*12</f>
        <v/>
      </c>
      <c r="T59" s="299">
        <f>SUM(E59:Q59)</f>
        <v/>
      </c>
      <c r="U59" s="285" t="n"/>
      <c r="V59" s="285" t="n"/>
      <c r="W59" s="285" t="n"/>
      <c r="X59" s="285" t="n"/>
      <c r="Y59" s="285" t="n"/>
      <c r="Z59" s="285" t="n"/>
      <c r="AA59" s="285" t="n"/>
    </row>
    <row r="60" ht="18.75" customHeight="1" s="398">
      <c r="A60" s="284" t="n"/>
      <c r="B60" s="284" t="n"/>
      <c r="C60" s="319" t="inlineStr">
        <is>
          <t>Custas Judiciais</t>
        </is>
      </c>
      <c r="D60" s="299" t="n">
        <v>100</v>
      </c>
      <c r="E60" s="299" t="n"/>
      <c r="F60" s="391" t="n"/>
      <c r="G60" s="391" t="n"/>
      <c r="H60" s="299" t="n"/>
      <c r="I60" s="299">
        <f>1615.5</f>
        <v/>
      </c>
      <c r="J60" s="299" t="n"/>
      <c r="K60" s="299">
        <f>183.39+769.83</f>
        <v/>
      </c>
      <c r="L60" s="299" t="n"/>
      <c r="M60" s="299">
        <f>253.9+253.9</f>
        <v/>
      </c>
      <c r="N60" s="299" t="n"/>
      <c r="O60" s="299">
        <f>400</f>
        <v/>
      </c>
      <c r="P60" s="299">
        <f>318.5</f>
        <v/>
      </c>
      <c r="Q60" s="299" t="n"/>
      <c r="R60" s="288" t="n"/>
      <c r="S60" s="299">
        <f>D60*12</f>
        <v/>
      </c>
      <c r="T60" s="299">
        <f>SUM(E60:Q60)</f>
        <v/>
      </c>
      <c r="U60" s="285" t="n"/>
      <c r="V60" s="285" t="n"/>
      <c r="W60" s="285" t="n"/>
      <c r="X60" s="285" t="n"/>
      <c r="Y60" s="285" t="n"/>
      <c r="Z60" s="285" t="n"/>
      <c r="AA60" s="285" t="n"/>
    </row>
    <row r="61" ht="18.75" customHeight="1" s="398">
      <c r="A61" s="320" t="inlineStr">
        <is>
          <t>GOOGLE</t>
        </is>
      </c>
      <c r="B61" s="320" t="n"/>
      <c r="C61" s="319" t="inlineStr">
        <is>
          <t>Hospedagem / Domínio Corporativo</t>
        </is>
      </c>
      <c r="D61" s="299" t="n">
        <v>100</v>
      </c>
      <c r="E61" s="299">
        <f>72.9+2.49</f>
        <v/>
      </c>
      <c r="F61" s="391">
        <f>145.8</f>
        <v/>
      </c>
      <c r="G61" s="391">
        <f>301.76</f>
        <v/>
      </c>
      <c r="H61" s="299" t="n"/>
      <c r="I61" s="299" t="n"/>
      <c r="J61" s="299">
        <f>104.52</f>
        <v/>
      </c>
      <c r="K61" s="299">
        <f>108</f>
        <v/>
      </c>
      <c r="L61" s="299">
        <f>131.4</f>
        <v/>
      </c>
      <c r="M61" s="299">
        <f>135</f>
        <v/>
      </c>
      <c r="N61" s="299" t="n"/>
      <c r="O61" s="299">
        <f>522</f>
        <v/>
      </c>
      <c r="P61" s="299" t="n"/>
      <c r="Q61" s="299" t="n"/>
      <c r="R61" s="288" t="n"/>
      <c r="S61" s="299">
        <f>D61*12</f>
        <v/>
      </c>
      <c r="T61" s="299">
        <f>SUM(E61:Q61)</f>
        <v/>
      </c>
      <c r="U61" s="285" t="n"/>
      <c r="V61" s="285" t="n"/>
      <c r="W61" s="285" t="n"/>
      <c r="X61" s="285" t="n"/>
      <c r="Y61" s="285" t="n"/>
      <c r="Z61" s="285" t="n"/>
      <c r="AA61" s="285" t="n"/>
    </row>
    <row r="62" ht="15.75" customHeight="1" s="398">
      <c r="A62" s="284" t="n"/>
      <c r="B62" s="284" t="n"/>
      <c r="C62" s="284" t="n"/>
      <c r="D62" s="299" t="n"/>
      <c r="E62" s="299" t="n"/>
      <c r="F62" s="391" t="n"/>
      <c r="G62" s="391" t="n"/>
      <c r="H62" s="299" t="n"/>
      <c r="I62" s="299" t="n"/>
      <c r="J62" s="299" t="n"/>
      <c r="K62" s="299" t="n"/>
      <c r="L62" s="299" t="n"/>
      <c r="M62" s="299" t="n"/>
      <c r="N62" s="299" t="n"/>
      <c r="O62" s="299" t="n"/>
      <c r="P62" s="299" t="n"/>
      <c r="Q62" s="299" t="n"/>
      <c r="R62" s="288" t="n"/>
      <c r="S62" s="299" t="n"/>
      <c r="T62" s="284" t="n"/>
      <c r="U62" s="285" t="n"/>
      <c r="V62" s="285" t="n"/>
      <c r="W62" s="285" t="n"/>
      <c r="X62" s="285" t="n"/>
      <c r="Y62" s="285" t="n"/>
      <c r="Z62" s="285" t="n"/>
      <c r="AA62" s="285" t="n"/>
    </row>
    <row r="63" ht="24" customHeight="1" s="398">
      <c r="A63" s="321" t="n"/>
      <c r="B63" s="321" t="n"/>
      <c r="C63" s="321" t="inlineStr">
        <is>
          <t xml:space="preserve">COTA </t>
        </is>
      </c>
      <c r="D63" s="291" t="n">
        <v>178671.02</v>
      </c>
      <c r="E63" s="291">
        <f>SUM(E3,E18,E28,E38,E53)</f>
        <v/>
      </c>
      <c r="F63" s="292">
        <f>SUM(F3,F18,F28,F38,F53)</f>
        <v/>
      </c>
      <c r="G63" s="292">
        <f>SUM(G3,G18,G28,G38,G53)</f>
        <v/>
      </c>
      <c r="H63" s="291">
        <f>SUM(H3,H18,H28,H38,H53)</f>
        <v/>
      </c>
      <c r="I63" s="291">
        <f>SUM(I3,I18,I28,I38,I53)</f>
        <v/>
      </c>
      <c r="J63" s="291">
        <f>SUM(J3,J18,J28,J38,J53)</f>
        <v/>
      </c>
      <c r="K63" s="291">
        <f>SUM(K3,K18,K28,K38,K53)</f>
        <v/>
      </c>
      <c r="L63" s="291">
        <f>SUM(L3,L18,L28,L38,L53)</f>
        <v/>
      </c>
      <c r="M63" s="291">
        <f>SUM(M3,M18,M28,M38,M53)</f>
        <v/>
      </c>
      <c r="N63" s="291">
        <f>SUM(N3,N18,N28,N38,N53)</f>
        <v/>
      </c>
      <c r="O63" s="291">
        <f>SUM(O3,O18,O28,O38,O53)</f>
        <v/>
      </c>
      <c r="P63" s="291">
        <f>SUM(P3,P18,P28,P38,P53)</f>
        <v/>
      </c>
      <c r="Q63" s="291">
        <f>SUM(Q3,Q18,Q28,Q38,Q53)</f>
        <v/>
      </c>
      <c r="R63" s="288" t="n"/>
      <c r="S63" s="303">
        <f>D63*12</f>
        <v/>
      </c>
      <c r="T63" s="293">
        <f>T3+T18+T28+T38+T53</f>
        <v/>
      </c>
      <c r="U63" s="285" t="n"/>
      <c r="V63" s="285" t="n"/>
      <c r="W63" s="285" t="n"/>
      <c r="X63" s="285" t="n"/>
      <c r="Y63" s="285" t="n"/>
      <c r="Z63" s="285" t="n"/>
      <c r="AA63" s="285" t="n"/>
    </row>
    <row r="64" ht="15.75" customHeight="1" s="398">
      <c r="A64" s="322" t="n"/>
      <c r="B64" s="322" t="n"/>
      <c r="C64" s="322" t="n"/>
      <c r="D64" s="323" t="n"/>
      <c r="E64" s="323" t="n"/>
      <c r="F64" s="324" t="n"/>
      <c r="G64" s="324" t="n"/>
      <c r="H64" s="323" t="n"/>
      <c r="I64" s="323" t="n"/>
      <c r="J64" s="323" t="n"/>
      <c r="K64" s="323" t="n"/>
      <c r="L64" s="323" t="n"/>
      <c r="M64" s="323" t="n"/>
      <c r="N64" s="323" t="n"/>
      <c r="O64" s="323" t="n"/>
      <c r="P64" s="323" t="n"/>
      <c r="Q64" s="323" t="n"/>
      <c r="R64" s="288" t="n"/>
      <c r="S64" s="299" t="n"/>
      <c r="T64" s="284" t="n"/>
      <c r="U64" s="285" t="n"/>
      <c r="V64" s="285" t="n"/>
      <c r="W64" s="285" t="n"/>
      <c r="X64" s="285" t="n"/>
      <c r="Y64" s="285" t="n"/>
      <c r="Z64" s="285" t="n"/>
      <c r="AA64" s="285" t="n"/>
    </row>
    <row r="65" ht="24" customHeight="1" s="398">
      <c r="A65" s="290" t="n"/>
      <c r="B65" s="290" t="n"/>
      <c r="C65" s="290" t="inlineStr">
        <is>
          <t xml:space="preserve">DESPESAS VARIÁVEIS </t>
        </is>
      </c>
      <c r="D65" s="291" t="inlineStr">
        <is>
          <t>R$  -</t>
        </is>
      </c>
      <c r="E65" s="291">
        <f>SUM(E66:E68)</f>
        <v/>
      </c>
      <c r="F65" s="292">
        <f>SUM(F66:F68)</f>
        <v/>
      </c>
      <c r="G65" s="292">
        <f>SUM(G66:G68)</f>
        <v/>
      </c>
      <c r="H65" s="291">
        <f>SUM(H66:H68)</f>
        <v/>
      </c>
      <c r="I65" s="291">
        <f>SUM(I66:I68)</f>
        <v/>
      </c>
      <c r="J65" s="291">
        <f>SUM(J66:J68)</f>
        <v/>
      </c>
      <c r="K65" s="291">
        <f>SUM(K66:K68)</f>
        <v/>
      </c>
      <c r="L65" s="291">
        <f>SUM(L66:L68)</f>
        <v/>
      </c>
      <c r="M65" s="291">
        <f>SUM(M66:M68)</f>
        <v/>
      </c>
      <c r="N65" s="291">
        <f>SUM(N66:N68)</f>
        <v/>
      </c>
      <c r="O65" s="291">
        <f>SUM(O66:O68)</f>
        <v/>
      </c>
      <c r="P65" s="291">
        <f>SUM(P66:P68)</f>
        <v/>
      </c>
      <c r="Q65" s="291">
        <f>SUM(Q66:Q68)</f>
        <v/>
      </c>
      <c r="R65" s="288" t="n"/>
      <c r="S65" s="303">
        <f>SUM(S66:S68)</f>
        <v/>
      </c>
      <c r="T65" s="303">
        <f>SUM(T66:T68)</f>
        <v/>
      </c>
      <c r="U65" s="285" t="n"/>
      <c r="V65" s="285" t="n"/>
      <c r="W65" s="285" t="n"/>
      <c r="X65" s="285" t="n"/>
      <c r="Y65" s="285" t="n"/>
      <c r="Z65" s="285" t="n"/>
      <c r="AA65" s="285" t="n"/>
    </row>
    <row r="66" ht="18.75" customHeight="1" s="398">
      <c r="A66" s="325" t="n"/>
      <c r="B66" s="325" t="n"/>
      <c r="C66" s="326" t="inlineStr">
        <is>
          <t>Água e Esgoto - Área Comum</t>
        </is>
      </c>
      <c r="D66" s="327" t="inlineStr">
        <is>
          <t>-</t>
        </is>
      </c>
      <c r="E66" s="327">
        <f>12123.05</f>
        <v/>
      </c>
      <c r="F66" s="328">
        <f>13289.7</f>
        <v/>
      </c>
      <c r="G66" s="328" t="n">
        <v>11734.08</v>
      </c>
      <c r="H66" s="327">
        <f>9100.72</f>
        <v/>
      </c>
      <c r="I66" s="327">
        <f>9100.73</f>
        <v/>
      </c>
      <c r="J66" s="327" t="n">
        <v>9100.719999999999</v>
      </c>
      <c r="K66" s="327">
        <f>9100.72</f>
        <v/>
      </c>
      <c r="L66" s="327">
        <f>9100.72</f>
        <v/>
      </c>
      <c r="M66" s="327">
        <f>9100.72</f>
        <v/>
      </c>
      <c r="N66" s="327">
        <f>9100.72</f>
        <v/>
      </c>
      <c r="O66" s="327">
        <f>9552.81</f>
        <v/>
      </c>
      <c r="P66" s="327">
        <f>9552.81</f>
        <v/>
      </c>
      <c r="Q66" s="327" t="n"/>
      <c r="R66" s="288" t="n"/>
      <c r="S66" s="299" t="n"/>
      <c r="T66" s="299">
        <f>SUM(E66:Q66)</f>
        <v/>
      </c>
      <c r="U66" s="285" t="n"/>
      <c r="V66" s="285" t="n"/>
      <c r="W66" s="285" t="n"/>
      <c r="X66" s="285" t="n"/>
      <c r="Y66" s="285" t="n"/>
      <c r="Z66" s="285" t="n"/>
      <c r="AA66" s="285" t="n"/>
    </row>
    <row r="67" ht="18.75" customHeight="1" s="398">
      <c r="A67" s="325" t="n"/>
      <c r="B67" s="325" t="n"/>
      <c r="C67" s="326" t="inlineStr">
        <is>
          <t>Energia Elétrica - Área Comum</t>
        </is>
      </c>
      <c r="D67" s="327" t="inlineStr">
        <is>
          <t>-</t>
        </is>
      </c>
      <c r="E67" s="327">
        <f>22347.4+21815.92</f>
        <v/>
      </c>
      <c r="F67" s="328">
        <f>25787.87</f>
        <v/>
      </c>
      <c r="G67" s="328" t="n">
        <v>20668.88</v>
      </c>
      <c r="H67" s="327">
        <f>19808.74</f>
        <v/>
      </c>
      <c r="I67" s="327" t="n">
        <v>19746.62</v>
      </c>
      <c r="J67" s="327">
        <f>20184.1</f>
        <v/>
      </c>
      <c r="K67" s="327">
        <f>20351.49</f>
        <v/>
      </c>
      <c r="L67" s="327">
        <f>18611.35</f>
        <v/>
      </c>
      <c r="M67" s="327">
        <f>20702.17</f>
        <v/>
      </c>
      <c r="N67" s="327" t="n"/>
      <c r="O67" s="327">
        <f>19806.91+22880.06</f>
        <v/>
      </c>
      <c r="P67" s="327">
        <f>25959.17</f>
        <v/>
      </c>
      <c r="Q67" s="327" t="n"/>
      <c r="R67" s="288" t="n"/>
      <c r="S67" s="299" t="n"/>
      <c r="T67" s="299">
        <f>SUM(E67:Q67)</f>
        <v/>
      </c>
      <c r="U67" s="285" t="n"/>
      <c r="V67" s="285" t="n"/>
      <c r="W67" s="285" t="n"/>
      <c r="X67" s="285" t="n"/>
      <c r="Y67" s="285" t="n"/>
      <c r="Z67" s="285" t="n"/>
      <c r="AA67" s="285" t="n"/>
    </row>
    <row r="68" ht="18.75" customHeight="1" s="398">
      <c r="A68" s="325" t="n"/>
      <c r="B68" s="325" t="n"/>
      <c r="C68" s="326" t="inlineStr">
        <is>
          <t>Seguro fogo</t>
        </is>
      </c>
      <c r="D68" s="327" t="inlineStr">
        <is>
          <t>-</t>
        </is>
      </c>
      <c r="E68" s="327" t="n"/>
      <c r="F68" s="328" t="n"/>
      <c r="G68" s="328" t="n"/>
      <c r="H68" s="327" t="n"/>
      <c r="I68" s="327" t="n"/>
      <c r="J68" s="327">
        <f>6637.96</f>
        <v/>
      </c>
      <c r="K68" s="327">
        <f>6637.96</f>
        <v/>
      </c>
      <c r="L68" s="327">
        <f>6637.96</f>
        <v/>
      </c>
      <c r="M68" s="327">
        <f>6637.96</f>
        <v/>
      </c>
      <c r="N68" s="327">
        <f>6637.96</f>
        <v/>
      </c>
      <c r="O68" s="327">
        <f>6638.04</f>
        <v/>
      </c>
      <c r="P68" s="327" t="n"/>
      <c r="Q68" s="327" t="n"/>
      <c r="R68" s="288" t="n"/>
      <c r="S68" s="299" t="n"/>
      <c r="T68" s="299">
        <f>SUM(E68:Q68)</f>
        <v/>
      </c>
      <c r="U68" s="285" t="n"/>
      <c r="V68" s="285" t="n"/>
      <c r="W68" s="285" t="n"/>
      <c r="X68" s="285" t="n"/>
      <c r="Y68" s="285" t="n"/>
      <c r="Z68" s="285" t="n"/>
      <c r="AA68" s="285" t="n"/>
    </row>
    <row r="69" ht="15.75" customHeight="1" s="398">
      <c r="A69" s="317" t="n"/>
      <c r="B69" s="317" t="n"/>
      <c r="C69" s="317" t="n"/>
      <c r="D69" s="315" t="n"/>
      <c r="E69" s="315" t="n"/>
      <c r="F69" s="316" t="n"/>
      <c r="G69" s="316" t="n"/>
      <c r="H69" s="315" t="n"/>
      <c r="I69" s="315" t="n"/>
      <c r="J69" s="315" t="n"/>
      <c r="K69" s="315" t="n"/>
      <c r="L69" s="315" t="n"/>
      <c r="M69" s="315" t="n"/>
      <c r="N69" s="315" t="n"/>
      <c r="O69" s="315" t="n"/>
      <c r="P69" s="315" t="n"/>
      <c r="Q69" s="315" t="n"/>
      <c r="R69" s="288" t="n"/>
      <c r="S69" s="299" t="n"/>
      <c r="T69" s="284" t="n"/>
      <c r="U69" s="285" t="n"/>
      <c r="V69" s="285" t="n"/>
      <c r="W69" s="285" t="n"/>
      <c r="X69" s="285" t="n"/>
      <c r="Y69" s="285" t="n"/>
      <c r="Z69" s="285" t="n"/>
      <c r="AA69" s="285" t="n"/>
    </row>
    <row r="70" ht="24" customHeight="1" s="398">
      <c r="A70" s="290" t="n"/>
      <c r="B70" s="290" t="n"/>
      <c r="C70" s="290" t="inlineStr">
        <is>
          <t>OUTRAS DESPESAS</t>
        </is>
      </c>
      <c r="D70" s="291" t="inlineStr">
        <is>
          <t>R$  -</t>
        </is>
      </c>
      <c r="E70" s="291">
        <f>SUM(E71:E75)</f>
        <v/>
      </c>
      <c r="F70" s="292">
        <f>SUM(F71:F75)</f>
        <v/>
      </c>
      <c r="G70" s="292">
        <f>SUM(G71:G75)</f>
        <v/>
      </c>
      <c r="H70" s="291">
        <f>SUM(H71:H75)</f>
        <v/>
      </c>
      <c r="I70" s="291">
        <f>SUM(I71:I75)</f>
        <v/>
      </c>
      <c r="J70" s="291">
        <f>SUM(J71:J75)</f>
        <v/>
      </c>
      <c r="K70" s="291">
        <f>SUM(K71:K75)</f>
        <v/>
      </c>
      <c r="L70" s="291">
        <f>SUM(L71:L75)</f>
        <v/>
      </c>
      <c r="M70" s="291">
        <f>SUM(M71:M75)</f>
        <v/>
      </c>
      <c r="N70" s="291">
        <f>SUM(N71:N75)</f>
        <v/>
      </c>
      <c r="O70" s="291">
        <f>SUM(O71:O75)</f>
        <v/>
      </c>
      <c r="P70" s="291">
        <f>SUM(P71:P75)</f>
        <v/>
      </c>
      <c r="Q70" s="291">
        <f>SUM(Q71:Q75)</f>
        <v/>
      </c>
      <c r="R70" s="288" t="n"/>
      <c r="S70" s="303">
        <f>SUM(S71:S74)</f>
        <v/>
      </c>
      <c r="T70" s="303">
        <f>SUM(T71:T75)</f>
        <v/>
      </c>
      <c r="U70" s="285" t="n"/>
      <c r="V70" s="285" t="n"/>
      <c r="W70" s="285" t="n"/>
      <c r="X70" s="285" t="n"/>
      <c r="Y70" s="285" t="n"/>
      <c r="Z70" s="285" t="n"/>
      <c r="AA70" s="285" t="n"/>
    </row>
    <row r="71" ht="18.75" customHeight="1" s="398">
      <c r="A71" s="325" t="n"/>
      <c r="B71" s="325" t="n"/>
      <c r="C71" s="326" t="inlineStr">
        <is>
          <t>Despesas Não Orçadas</t>
        </is>
      </c>
      <c r="D71" s="327" t="inlineStr">
        <is>
          <t>-</t>
        </is>
      </c>
      <c r="E71" s="327">
        <f>44859.2+2.49</f>
        <v/>
      </c>
      <c r="F71" s="328" t="n"/>
      <c r="G71" s="328">
        <f>1100+6198</f>
        <v/>
      </c>
      <c r="H71" s="327">
        <f>768.12+13191.7</f>
        <v/>
      </c>
      <c r="I71" s="327">
        <f>1710+592.1</f>
        <v/>
      </c>
      <c r="J71" s="327">
        <f>13002.8+252.59</f>
        <v/>
      </c>
      <c r="K71" s="327">
        <f>12957+180</f>
        <v/>
      </c>
      <c r="L71" s="327">
        <f>48.18+28.52+17.94+211.82</f>
        <v/>
      </c>
      <c r="M71" s="327">
        <f>87.25+5.31</f>
        <v/>
      </c>
      <c r="N71" s="327">
        <f>688.98</f>
        <v/>
      </c>
      <c r="O71" s="327">
        <f>45.5+73.5+12665.14</f>
        <v/>
      </c>
      <c r="P71" s="327">
        <f>9104.2+3820+50.85</f>
        <v/>
      </c>
      <c r="Q71" s="327">
        <f>180</f>
        <v/>
      </c>
      <c r="R71" s="288" t="n"/>
      <c r="S71" s="299" t="n"/>
      <c r="T71" s="299">
        <f>SUM(E71:Q71)</f>
        <v/>
      </c>
      <c r="U71" s="285" t="n"/>
      <c r="V71" s="285" t="n"/>
      <c r="W71" s="285" t="n"/>
      <c r="X71" s="285" t="n"/>
      <c r="Y71" s="285" t="n"/>
      <c r="Z71" s="285" t="n"/>
      <c r="AA71" s="285" t="n"/>
    </row>
    <row r="72" ht="18.75" customHeight="1" s="398">
      <c r="A72" s="325" t="n"/>
      <c r="B72" s="325" t="n"/>
      <c r="C72" s="326" t="inlineStr">
        <is>
          <t>Despesas reembolsáveis</t>
        </is>
      </c>
      <c r="D72" s="327" t="n"/>
      <c r="E72" s="327">
        <f>969.26+98.91+26.99+3.94+39.31+39.31+19.78+2387.37+969.26+1926.1+1917.4+0.6+64.9+2.49+2.49+2.49+2.49+2.49+2.49+48.73</f>
        <v/>
      </c>
      <c r="F72" s="328" t="n"/>
      <c r="G72" s="328" t="n"/>
      <c r="H72" s="327">
        <f>48.73+39.31+39.13+1193.98+24.37</f>
        <v/>
      </c>
      <c r="I72" s="327">
        <f>24.37+1193.98+287.32+716.49+157.7+292.38+5.86+14.62+5.97+3.22</f>
        <v/>
      </c>
      <c r="J72" s="327">
        <f>24.37+5.86+14.62+3.22+5.97+157.7+292.38+1200</f>
        <v/>
      </c>
      <c r="K72" s="327">
        <f>3.22+5.97+41.93+53.75+157.7+292.38+440.93+9</f>
        <v/>
      </c>
      <c r="L72" s="327">
        <f>3.22+5.97+9+292.38</f>
        <v/>
      </c>
      <c r="M72" s="503">
        <f>5.97+52.08+257.89+5.26</f>
        <v/>
      </c>
      <c r="N72" s="327">
        <f>5.26</f>
        <v/>
      </c>
      <c r="O72" s="327">
        <f>1199.7+45.15+192.08+694.2+45.15</f>
        <v/>
      </c>
      <c r="P72" s="340" t="inlineStr"/>
      <c r="Q72" s="327" t="n"/>
      <c r="R72" s="288" t="n"/>
      <c r="S72" s="299">
        <f>D72*12</f>
        <v/>
      </c>
      <c r="T72" s="299">
        <f>SUM(E72:Q72)</f>
        <v/>
      </c>
      <c r="U72" s="285" t="n"/>
      <c r="V72" s="285" t="n"/>
      <c r="W72" s="285" t="n"/>
      <c r="X72" s="285" t="n"/>
      <c r="Y72" s="285" t="n"/>
      <c r="Z72" s="285" t="n"/>
      <c r="AA72" s="285" t="n"/>
    </row>
    <row r="73" ht="18.75" customHeight="1" s="398">
      <c r="A73" s="325" t="n"/>
      <c r="B73" s="325" t="n"/>
      <c r="C73" s="326" t="inlineStr">
        <is>
          <t xml:space="preserve">Honorários advocatícios </t>
        </is>
      </c>
      <c r="D73" s="327" t="n"/>
      <c r="E73" s="327" t="n"/>
      <c r="F73" s="328">
        <f>1926.1+1917.4+1193.98+969.26+48.73+19.78+39.31+39.13+24.37</f>
        <v/>
      </c>
      <c r="G73" s="328">
        <f>2387.97+1926.1+1917.4+19.78+39.31+39.13+24.37+48.73</f>
        <v/>
      </c>
      <c r="H73" s="327" t="n"/>
      <c r="I73" s="327" t="n"/>
      <c r="J73" s="327">
        <f>2446.25+53.75</f>
        <v/>
      </c>
      <c r="K73" s="327">
        <f>2446.25+53.75</f>
        <v/>
      </c>
      <c r="L73" s="327" t="n"/>
      <c r="M73" s="327">
        <f>2347.92+52.08</f>
        <v/>
      </c>
      <c r="N73" s="327">
        <f>1955.6+44.4</f>
        <v/>
      </c>
      <c r="O73" s="327">
        <f>1954.8+45.2</f>
        <v/>
      </c>
      <c r="P73" s="327">
        <f>1957.2+978.6+978.6+1500+42.8+21.4+21.4</f>
        <v/>
      </c>
      <c r="Q73" s="327">
        <f>978.5+978.5+1957+21.5+21.5+60.72</f>
        <v/>
      </c>
      <c r="R73" s="288" t="n"/>
      <c r="S73" s="299">
        <f>D73*12</f>
        <v/>
      </c>
      <c r="T73" s="299">
        <f>SUM(E73:Q73)</f>
        <v/>
      </c>
      <c r="U73" s="285" t="n"/>
      <c r="V73" s="285" t="n"/>
      <c r="W73" s="285" t="n"/>
      <c r="X73" s="285" t="n"/>
      <c r="Y73" s="285" t="n"/>
      <c r="Z73" s="285" t="n"/>
      <c r="AA73" s="285" t="n"/>
    </row>
    <row r="74" ht="18.75" customHeight="1" s="398">
      <c r="A74" s="325" t="n"/>
      <c r="B74" s="325" t="n"/>
      <c r="C74" s="326" t="inlineStr">
        <is>
          <t>Ampliação do CFTV</t>
        </is>
      </c>
      <c r="D74" s="327" t="n"/>
      <c r="E74" s="327" t="n"/>
      <c r="F74" s="328" t="n"/>
      <c r="G74" s="328" t="n"/>
      <c r="H74" s="327">
        <f>53640.8+36290+1710</f>
        <v/>
      </c>
      <c r="I74" s="327" t="n"/>
      <c r="J74" s="327">
        <f>3820+180</f>
        <v/>
      </c>
      <c r="K74" s="327" t="n"/>
      <c r="L74" s="327" t="n"/>
      <c r="M74" s="327">
        <f>13028.1</f>
        <v/>
      </c>
      <c r="N74" s="327" t="n"/>
      <c r="O74" s="327">
        <f>11875.7+1079.15</f>
        <v/>
      </c>
      <c r="Q74" s="327" t="n"/>
      <c r="R74" s="288" t="n"/>
      <c r="S74" s="299">
        <f>D74*12</f>
        <v/>
      </c>
      <c r="T74" s="299">
        <f>SUM(E74:Q74)</f>
        <v/>
      </c>
      <c r="U74" s="285" t="n"/>
      <c r="V74" s="285" t="n"/>
      <c r="W74" s="285" t="n"/>
      <c r="X74" s="285" t="n"/>
      <c r="Y74" s="285" t="n"/>
      <c r="Z74" s="285" t="n"/>
      <c r="AA74" s="285" t="n"/>
    </row>
    <row r="75" ht="18.75" customHeight="1" s="398">
      <c r="A75" s="325" t="n"/>
      <c r="B75" s="325" t="n"/>
      <c r="C75" s="326" t="inlineStr">
        <is>
          <t>Transferências Entre Contas</t>
        </is>
      </c>
      <c r="D75" s="327" t="inlineStr">
        <is>
          <t>-</t>
        </is>
      </c>
      <c r="E75" s="327" t="n"/>
      <c r="F75" s="328" t="n"/>
      <c r="G75" s="328" t="n"/>
      <c r="H75" s="327" t="n"/>
      <c r="I75" s="327" t="n"/>
      <c r="J75" s="327" t="n"/>
      <c r="K75" s="327" t="n"/>
      <c r="L75" s="327" t="n"/>
      <c r="M75" s="327" t="n"/>
      <c r="N75" s="327" t="n"/>
      <c r="O75" s="327" t="n"/>
      <c r="P75" s="327" t="n"/>
      <c r="Q75" s="327" t="n"/>
      <c r="R75" s="288" t="n"/>
      <c r="S75" s="299" t="n"/>
      <c r="T75" s="284" t="n"/>
      <c r="U75" s="285" t="n"/>
      <c r="V75" s="285" t="n"/>
      <c r="W75" s="285" t="n"/>
      <c r="X75" s="285" t="n"/>
      <c r="Y75" s="285" t="n"/>
      <c r="Z75" s="285" t="n"/>
      <c r="AA75" s="285" t="n"/>
    </row>
    <row r="76" ht="15.75" customHeight="1" s="398">
      <c r="A76" s="317" t="n"/>
      <c r="B76" s="317" t="n"/>
      <c r="C76" s="317" t="n"/>
      <c r="D76" s="315" t="n"/>
      <c r="E76" s="288" t="n"/>
      <c r="F76" s="316" t="n"/>
      <c r="G76" s="316" t="n"/>
      <c r="H76" s="315" t="n"/>
      <c r="I76" s="315" t="n"/>
      <c r="J76" s="315" t="n"/>
      <c r="K76" s="315" t="n"/>
      <c r="L76" s="315" t="n"/>
      <c r="M76" s="315" t="n"/>
      <c r="N76" s="315" t="n"/>
      <c r="O76" s="288" t="n"/>
      <c r="P76" s="288" t="n"/>
      <c r="Q76" s="288" t="n"/>
      <c r="R76" s="288" t="n"/>
      <c r="S76" s="299" t="n"/>
      <c r="T76" s="284" t="n"/>
      <c r="U76" s="285" t="n"/>
      <c r="V76" s="285" t="n"/>
      <c r="W76" s="285" t="n"/>
      <c r="X76" s="285" t="n"/>
      <c r="Y76" s="285" t="n"/>
      <c r="Z76" s="285" t="n"/>
      <c r="AA76" s="285" t="n"/>
    </row>
    <row r="77" ht="24" customHeight="1" s="398">
      <c r="A77" s="330" t="n"/>
      <c r="B77" s="330" t="n"/>
      <c r="C77" s="330" t="inlineStr">
        <is>
          <t>TOTAL DESPESAS CONTA PRINCIPAL</t>
        </is>
      </c>
      <c r="D77" s="477" t="n">
        <v>178671.02</v>
      </c>
      <c r="E77" s="477">
        <f>E70+E65+E63</f>
        <v/>
      </c>
      <c r="F77" s="332">
        <f>F70+F65+F63</f>
        <v/>
      </c>
      <c r="G77" s="332">
        <f>G70+G65+G63</f>
        <v/>
      </c>
      <c r="H77" s="477">
        <f>H70+H65+H63</f>
        <v/>
      </c>
      <c r="I77" s="477">
        <f>I70+I65+I63</f>
        <v/>
      </c>
      <c r="J77" s="477">
        <f>J70+J65+J63</f>
        <v/>
      </c>
      <c r="K77" s="477">
        <f>K70+K65+K63</f>
        <v/>
      </c>
      <c r="L77" s="477">
        <f>L70+L65+L63</f>
        <v/>
      </c>
      <c r="M77" s="477">
        <f>M70+M65+M63</f>
        <v/>
      </c>
      <c r="N77" s="477">
        <f>N70+N65+N63</f>
        <v/>
      </c>
      <c r="O77" s="477">
        <f>O63+O65+O70</f>
        <v/>
      </c>
      <c r="P77" s="477">
        <f>P63+P65+P70</f>
        <v/>
      </c>
      <c r="Q77" s="477">
        <f>Q70+Q65+Q63</f>
        <v/>
      </c>
      <c r="R77" s="288" t="n"/>
      <c r="S77" s="303">
        <f>S63+S65+S70</f>
        <v/>
      </c>
      <c r="T77" s="293">
        <f>T63+T65+T70</f>
        <v/>
      </c>
      <c r="U77" s="285" t="n"/>
      <c r="V77" s="285" t="n"/>
      <c r="W77" s="285" t="n"/>
      <c r="X77" s="285" t="n"/>
      <c r="Y77" s="285" t="n"/>
      <c r="Z77" s="285" t="n"/>
      <c r="AA77" s="285" t="n"/>
    </row>
    <row r="78" ht="15.75" customHeight="1" s="398">
      <c r="A78" s="317" t="n"/>
      <c r="B78" s="317" t="n"/>
      <c r="C78" s="317" t="n"/>
      <c r="D78" s="315" t="n"/>
      <c r="E78" s="288" t="n"/>
      <c r="F78" s="334" t="n"/>
      <c r="G78" s="391" t="n"/>
      <c r="H78" s="284" t="n"/>
      <c r="I78" s="288" t="n"/>
      <c r="J78" s="288" t="n"/>
      <c r="K78" s="288" t="n"/>
      <c r="L78" s="288" t="n"/>
      <c r="M78" s="288" t="n"/>
      <c r="N78" s="288" t="n"/>
      <c r="O78" s="288" t="n"/>
      <c r="P78" s="288" t="n"/>
      <c r="Q78" s="288" t="n"/>
      <c r="R78" s="288" t="n"/>
      <c r="S78" s="284" t="n"/>
      <c r="T78" s="284" t="n"/>
      <c r="U78" s="285" t="n"/>
      <c r="V78" s="285" t="n"/>
      <c r="W78" s="285" t="n"/>
      <c r="X78" s="285" t="n"/>
      <c r="Y78" s="285" t="n"/>
      <c r="Z78" s="285" t="n"/>
      <c r="AA78" s="285" t="n"/>
    </row>
    <row r="79" ht="15.75" customHeight="1" s="398">
      <c r="A79" s="317" t="n"/>
      <c r="B79" s="317" t="n"/>
      <c r="C79" s="317" t="n"/>
      <c r="D79" s="315" t="n"/>
      <c r="E79" s="288" t="n"/>
      <c r="F79" s="334" t="n"/>
      <c r="G79" s="391" t="n"/>
      <c r="H79" s="284" t="n"/>
      <c r="I79" s="288" t="n"/>
      <c r="J79" s="335" t="n"/>
      <c r="K79" s="288" t="n"/>
      <c r="L79" s="288" t="n"/>
      <c r="M79" s="288" t="n"/>
      <c r="N79" s="288" t="n"/>
      <c r="O79" s="288" t="n"/>
      <c r="P79" s="288" t="n"/>
      <c r="Q79" s="288" t="n"/>
      <c r="R79" s="288" t="n"/>
      <c r="S79" s="284" t="n"/>
      <c r="T79" s="284" t="n"/>
      <c r="U79" s="285" t="n"/>
      <c r="V79" s="285" t="n"/>
      <c r="W79" s="285" t="n"/>
      <c r="X79" s="285" t="n"/>
      <c r="Y79" s="285" t="n"/>
      <c r="Z79" s="285" t="n"/>
      <c r="AA79" s="285" t="n"/>
    </row>
    <row r="80" ht="15.75" customHeight="1" s="398">
      <c r="A80" s="317" t="n"/>
      <c r="B80" s="317" t="n"/>
      <c r="C80" s="317" t="n"/>
      <c r="D80" s="315" t="n"/>
      <c r="E80" s="288" t="n"/>
      <c r="F80" s="288" t="n"/>
      <c r="G80" s="284" t="n"/>
      <c r="H80" s="284" t="n"/>
      <c r="I80" s="288" t="n"/>
      <c r="J80" s="288" t="n"/>
      <c r="K80" s="288" t="n"/>
      <c r="L80" s="288" t="n"/>
      <c r="M80" s="288" t="n"/>
      <c r="N80" s="288" t="n"/>
      <c r="O80" s="288" t="n"/>
      <c r="P80" s="288" t="n"/>
      <c r="Q80" s="288" t="n"/>
      <c r="R80" s="288" t="n"/>
      <c r="S80" s="284" t="n"/>
      <c r="T80" s="284" t="n"/>
      <c r="U80" s="285" t="n"/>
      <c r="V80" s="285" t="n"/>
      <c r="W80" s="285" t="n"/>
      <c r="X80" s="285" t="n"/>
      <c r="Y80" s="285" t="n"/>
      <c r="Z80" s="285" t="n"/>
      <c r="AA80" s="285" t="n"/>
    </row>
    <row r="81" ht="15.75" customHeight="1" s="398">
      <c r="A81" s="317" t="n"/>
      <c r="B81" s="317" t="n"/>
      <c r="C81" s="317" t="n"/>
      <c r="D81" s="315" t="n"/>
      <c r="E81" s="288" t="n"/>
      <c r="F81" s="288" t="n"/>
      <c r="G81" s="284" t="n"/>
      <c r="H81" s="284" t="n"/>
      <c r="I81" s="288" t="n"/>
      <c r="J81" s="288" t="n"/>
      <c r="K81" s="288" t="n"/>
      <c r="L81" s="288" t="n"/>
      <c r="M81" s="288" t="n"/>
      <c r="N81" s="288" t="n"/>
      <c r="O81" s="288" t="n"/>
      <c r="P81" s="288" t="n"/>
      <c r="Q81" s="288" t="n"/>
      <c r="R81" s="288" t="n"/>
      <c r="S81" s="284" t="n"/>
      <c r="T81" s="284" t="n"/>
      <c r="U81" s="285" t="n"/>
      <c r="V81" s="285" t="n"/>
      <c r="W81" s="285" t="n"/>
      <c r="X81" s="285" t="n"/>
      <c r="Y81" s="285" t="n"/>
      <c r="Z81" s="285" t="n"/>
      <c r="AA81" s="285" t="n"/>
    </row>
    <row r="82" ht="15.75" customHeight="1" s="398">
      <c r="A82" s="317" t="n"/>
      <c r="B82" s="317" t="n"/>
      <c r="C82" s="317" t="n"/>
      <c r="D82" s="315" t="n"/>
      <c r="E82" s="288" t="n"/>
      <c r="F82" s="334" t="n"/>
      <c r="G82" s="391" t="n"/>
      <c r="H82" s="284" t="n"/>
      <c r="I82" s="288" t="n"/>
      <c r="J82" s="288" t="n"/>
      <c r="K82" s="288" t="n"/>
      <c r="L82" s="288" t="n"/>
      <c r="M82" s="288" t="n"/>
      <c r="N82" s="288" t="n"/>
      <c r="O82" s="288" t="n"/>
      <c r="P82" s="288" t="n"/>
      <c r="Q82" s="288" t="n"/>
      <c r="R82" s="288" t="n"/>
      <c r="S82" s="284" t="n"/>
      <c r="T82" s="284" t="n"/>
      <c r="U82" s="285" t="n"/>
      <c r="V82" s="285" t="n"/>
      <c r="W82" s="285" t="n"/>
      <c r="X82" s="285" t="n"/>
      <c r="Y82" s="285" t="n"/>
      <c r="Z82" s="285" t="n"/>
      <c r="AA82" s="285" t="n"/>
    </row>
    <row r="83" ht="15.75" customHeight="1" s="398">
      <c r="A83" s="317" t="n"/>
      <c r="B83" s="317" t="n"/>
      <c r="C83" s="317" t="n"/>
      <c r="D83" s="315" t="n"/>
      <c r="E83" s="288" t="n"/>
      <c r="F83" s="334" t="n"/>
      <c r="G83" s="391" t="n"/>
      <c r="H83" s="284" t="n"/>
      <c r="I83" s="288" t="n"/>
      <c r="J83" s="288" t="n"/>
      <c r="K83" s="288" t="n"/>
      <c r="L83" s="288" t="n"/>
      <c r="M83" s="288" t="n"/>
      <c r="N83" s="288" t="n"/>
      <c r="O83" s="288" t="n"/>
      <c r="P83" s="288" t="n"/>
      <c r="Q83" s="288" t="n"/>
      <c r="R83" s="288" t="n"/>
      <c r="S83" s="284" t="n"/>
      <c r="T83" s="284" t="n"/>
      <c r="U83" s="285" t="n"/>
      <c r="V83" s="285" t="n"/>
      <c r="W83" s="285" t="n"/>
      <c r="X83" s="285" t="n"/>
      <c r="Y83" s="285" t="n"/>
      <c r="Z83" s="285" t="n"/>
      <c r="AA83" s="285" t="n"/>
    </row>
    <row r="84" ht="15.75" customHeight="1" s="398">
      <c r="A84" s="317" t="n"/>
      <c r="B84" s="317" t="n"/>
      <c r="C84" s="317" t="n"/>
      <c r="D84" s="315" t="n"/>
      <c r="E84" s="288" t="n"/>
      <c r="F84" s="334" t="n"/>
      <c r="G84" s="391" t="n"/>
      <c r="H84" s="284" t="n"/>
      <c r="I84" s="288" t="n"/>
      <c r="J84" s="288" t="n"/>
      <c r="K84" s="288" t="n"/>
      <c r="L84" s="288" t="n"/>
      <c r="M84" s="288" t="n"/>
      <c r="N84" s="288" t="n"/>
      <c r="O84" s="288" t="n"/>
      <c r="P84" s="288" t="n"/>
      <c r="Q84" s="288" t="n"/>
      <c r="R84" s="288" t="n"/>
      <c r="S84" s="284" t="n"/>
      <c r="T84" s="284" t="n"/>
      <c r="U84" s="285" t="n"/>
      <c r="V84" s="285" t="n"/>
      <c r="W84" s="285" t="n"/>
      <c r="X84" s="285" t="n"/>
      <c r="Y84" s="285" t="n"/>
      <c r="Z84" s="285" t="n"/>
      <c r="AA84" s="285" t="n"/>
    </row>
    <row r="85" ht="15.75" customHeight="1" s="398">
      <c r="A85" s="317" t="n"/>
      <c r="B85" s="317" t="n"/>
      <c r="C85" s="317" t="n"/>
      <c r="D85" s="315" t="n"/>
      <c r="E85" s="288" t="n"/>
      <c r="F85" s="334" t="n"/>
      <c r="G85" s="391" t="n"/>
      <c r="H85" s="284" t="n"/>
      <c r="I85" s="288" t="n"/>
      <c r="J85" s="288" t="n"/>
      <c r="K85" s="288" t="n"/>
      <c r="L85" s="288" t="n"/>
      <c r="M85" s="288" t="n"/>
      <c r="N85" s="288" t="n"/>
      <c r="O85" s="288" t="n"/>
      <c r="P85" s="288" t="n"/>
      <c r="Q85" s="288" t="n"/>
      <c r="R85" s="288" t="n"/>
      <c r="S85" s="284" t="n"/>
      <c r="T85" s="284" t="n"/>
      <c r="U85" s="285" t="n"/>
      <c r="V85" s="285" t="n"/>
      <c r="W85" s="285" t="n"/>
      <c r="X85" s="285" t="n"/>
      <c r="Y85" s="285" t="n"/>
      <c r="Z85" s="285" t="n"/>
      <c r="AA85" s="285" t="n"/>
    </row>
    <row r="86" ht="15.75" customHeight="1" s="398">
      <c r="A86" s="317" t="n"/>
      <c r="B86" s="317" t="n"/>
      <c r="C86" s="317" t="n"/>
      <c r="D86" s="315" t="n"/>
      <c r="E86" s="288" t="n"/>
      <c r="F86" s="334" t="n"/>
      <c r="G86" s="391" t="n"/>
      <c r="H86" s="284" t="n"/>
      <c r="I86" s="288" t="n"/>
      <c r="J86" s="288" t="n"/>
      <c r="K86" s="288" t="n"/>
      <c r="L86" s="288" t="n"/>
      <c r="M86" s="288" t="n"/>
      <c r="N86" s="288" t="n"/>
      <c r="O86" s="288" t="n"/>
      <c r="P86" s="288" t="n"/>
      <c r="Q86" s="288" t="n"/>
      <c r="R86" s="288" t="n"/>
      <c r="S86" s="284" t="n"/>
      <c r="T86" s="284" t="n"/>
      <c r="U86" s="285" t="n"/>
      <c r="V86" s="285" t="n"/>
      <c r="W86" s="285" t="n"/>
      <c r="X86" s="285" t="n"/>
      <c r="Y86" s="285" t="n"/>
      <c r="Z86" s="285" t="n"/>
      <c r="AA86" s="285" t="n"/>
    </row>
    <row r="87" ht="15.75" customHeight="1" s="398">
      <c r="A87" s="317" t="n"/>
      <c r="B87" s="317" t="n"/>
      <c r="C87" s="317" t="n"/>
      <c r="D87" s="315" t="n"/>
      <c r="E87" s="288" t="n"/>
      <c r="F87" s="334" t="n"/>
      <c r="G87" s="391" t="n"/>
      <c r="H87" s="284" t="n"/>
      <c r="I87" s="288" t="n"/>
      <c r="J87" s="288" t="n"/>
      <c r="K87" s="288" t="n"/>
      <c r="L87" s="288" t="n"/>
      <c r="M87" s="288" t="n"/>
      <c r="N87" s="288" t="n"/>
      <c r="O87" s="288" t="n"/>
      <c r="P87" s="288" t="n"/>
      <c r="Q87" s="288" t="n"/>
      <c r="R87" s="288" t="n"/>
      <c r="S87" s="284" t="n"/>
      <c r="T87" s="284" t="n"/>
      <c r="U87" s="285" t="n"/>
      <c r="V87" s="285" t="n"/>
      <c r="W87" s="285" t="n"/>
      <c r="X87" s="285" t="n"/>
      <c r="Y87" s="285" t="n"/>
      <c r="Z87" s="285" t="n"/>
      <c r="AA87" s="285" t="n"/>
    </row>
    <row r="88" ht="15.75" customHeight="1" s="398">
      <c r="A88" s="317" t="n"/>
      <c r="B88" s="317" t="n"/>
      <c r="C88" s="317" t="n"/>
      <c r="D88" s="315" t="n"/>
      <c r="E88" s="288" t="n"/>
      <c r="F88" s="334" t="n"/>
      <c r="G88" s="391" t="n"/>
      <c r="H88" s="284" t="n"/>
      <c r="I88" s="288" t="n"/>
      <c r="J88" s="288" t="n"/>
      <c r="K88" s="288" t="n"/>
      <c r="L88" s="288" t="n"/>
      <c r="M88" s="288" t="n"/>
      <c r="N88" s="288" t="n"/>
      <c r="O88" s="288" t="n"/>
      <c r="P88" s="288" t="n"/>
      <c r="Q88" s="288" t="n"/>
      <c r="R88" s="288" t="n"/>
      <c r="S88" s="284" t="n"/>
      <c r="T88" s="284" t="n"/>
      <c r="U88" s="285" t="n"/>
      <c r="V88" s="285" t="n"/>
      <c r="W88" s="285" t="n"/>
      <c r="X88" s="285" t="n"/>
      <c r="Y88" s="285" t="n"/>
      <c r="Z88" s="285" t="n"/>
      <c r="AA88" s="285" t="n"/>
    </row>
    <row r="89" ht="15.75" customHeight="1" s="398">
      <c r="A89" s="317" t="n"/>
      <c r="B89" s="317" t="n"/>
      <c r="C89" s="317" t="n"/>
      <c r="D89" s="315" t="n"/>
      <c r="E89" s="288" t="n"/>
      <c r="F89" s="334" t="n"/>
      <c r="G89" s="391" t="n"/>
      <c r="H89" s="284" t="n"/>
      <c r="I89" s="288" t="n"/>
      <c r="J89" s="288" t="n"/>
      <c r="K89" s="288" t="n"/>
      <c r="L89" s="288" t="n"/>
      <c r="M89" s="288" t="n"/>
      <c r="N89" s="288" t="n"/>
      <c r="O89" s="288" t="n"/>
      <c r="P89" s="288" t="n"/>
      <c r="Q89" s="288" t="n"/>
      <c r="R89" s="288" t="n"/>
      <c r="S89" s="284" t="n"/>
      <c r="T89" s="284" t="n"/>
      <c r="U89" s="285" t="n"/>
      <c r="V89" s="285" t="n"/>
      <c r="W89" s="285" t="n"/>
      <c r="X89" s="285" t="n"/>
      <c r="Y89" s="285" t="n"/>
      <c r="Z89" s="285" t="n"/>
      <c r="AA89" s="285" t="n"/>
    </row>
    <row r="90" ht="15.75" customHeight="1" s="398">
      <c r="A90" s="317" t="n"/>
      <c r="B90" s="317" t="n"/>
      <c r="C90" s="317" t="n"/>
      <c r="D90" s="315" t="n"/>
      <c r="E90" s="288" t="n"/>
      <c r="F90" s="334" t="n"/>
      <c r="G90" s="391" t="n"/>
      <c r="H90" s="284" t="n"/>
      <c r="I90" s="288" t="n"/>
      <c r="J90" s="288" t="n"/>
      <c r="K90" s="288" t="n"/>
      <c r="L90" s="288" t="n"/>
      <c r="M90" s="288" t="n"/>
      <c r="N90" s="288" t="n"/>
      <c r="O90" s="288" t="n"/>
      <c r="P90" s="288" t="n"/>
      <c r="Q90" s="288" t="n"/>
      <c r="R90" s="288" t="n"/>
      <c r="S90" s="284" t="n"/>
      <c r="T90" s="284" t="n"/>
      <c r="U90" s="285" t="n"/>
      <c r="V90" s="285" t="n"/>
      <c r="W90" s="285" t="n"/>
      <c r="X90" s="285" t="n"/>
      <c r="Y90" s="285" t="n"/>
      <c r="Z90" s="285" t="n"/>
      <c r="AA90" s="285" t="n"/>
    </row>
    <row r="91" ht="15.75" customHeight="1" s="398">
      <c r="A91" s="317" t="n"/>
      <c r="B91" s="317" t="n"/>
      <c r="C91" s="317" t="n"/>
      <c r="D91" s="315" t="n"/>
      <c r="E91" s="288" t="n"/>
      <c r="F91" s="334" t="n"/>
      <c r="G91" s="391" t="n"/>
      <c r="H91" s="284" t="n"/>
      <c r="I91" s="288" t="n"/>
      <c r="J91" s="288" t="n"/>
      <c r="K91" s="288" t="n"/>
      <c r="L91" s="288" t="n"/>
      <c r="M91" s="288" t="n"/>
      <c r="N91" s="288" t="n"/>
      <c r="O91" s="288" t="n"/>
      <c r="P91" s="288" t="n"/>
      <c r="Q91" s="288" t="n"/>
      <c r="R91" s="288" t="n"/>
      <c r="S91" s="284" t="n"/>
      <c r="T91" s="284" t="n"/>
      <c r="U91" s="285" t="n"/>
      <c r="V91" s="285" t="n"/>
      <c r="W91" s="285" t="n"/>
      <c r="X91" s="285" t="n"/>
      <c r="Y91" s="285" t="n"/>
      <c r="Z91" s="285" t="n"/>
      <c r="AA91" s="285" t="n"/>
    </row>
    <row r="92" ht="15.75" customHeight="1" s="398">
      <c r="A92" s="317" t="n"/>
      <c r="B92" s="317" t="n"/>
      <c r="C92" s="317" t="n"/>
      <c r="D92" s="315" t="n"/>
      <c r="E92" s="288" t="n"/>
      <c r="F92" s="334" t="n"/>
      <c r="G92" s="391" t="n"/>
      <c r="H92" s="284" t="n"/>
      <c r="I92" s="288" t="n"/>
      <c r="J92" s="288" t="n"/>
      <c r="K92" s="288" t="n"/>
      <c r="L92" s="288" t="n"/>
      <c r="M92" s="288" t="n"/>
      <c r="N92" s="288" t="n"/>
      <c r="O92" s="288" t="n"/>
      <c r="P92" s="288" t="n"/>
      <c r="Q92" s="288" t="n"/>
      <c r="R92" s="288" t="n"/>
      <c r="S92" s="284" t="n"/>
      <c r="T92" s="284" t="n"/>
      <c r="U92" s="285" t="n"/>
      <c r="V92" s="285" t="n"/>
      <c r="W92" s="285" t="n"/>
      <c r="X92" s="285" t="n"/>
      <c r="Y92" s="285" t="n"/>
      <c r="Z92" s="285" t="n"/>
      <c r="AA92" s="285" t="n"/>
    </row>
    <row r="93" ht="15.75" customHeight="1" s="398">
      <c r="A93" s="317" t="n"/>
      <c r="B93" s="317" t="n"/>
      <c r="C93" s="317" t="n"/>
      <c r="D93" s="315" t="n"/>
      <c r="E93" s="288" t="n"/>
      <c r="F93" s="334" t="n"/>
      <c r="G93" s="391" t="n"/>
      <c r="H93" s="284" t="n"/>
      <c r="I93" s="288" t="n"/>
      <c r="J93" s="288" t="n"/>
      <c r="K93" s="288" t="n"/>
      <c r="L93" s="288" t="n"/>
      <c r="M93" s="288" t="n"/>
      <c r="N93" s="288" t="n"/>
      <c r="O93" s="288" t="n"/>
      <c r="P93" s="288" t="n"/>
      <c r="Q93" s="288" t="n"/>
      <c r="R93" s="288" t="n"/>
      <c r="S93" s="284" t="n"/>
      <c r="T93" s="284" t="n"/>
      <c r="U93" s="285" t="n"/>
      <c r="V93" s="285" t="n"/>
      <c r="W93" s="285" t="n"/>
      <c r="X93" s="285" t="n"/>
      <c r="Y93" s="285" t="n"/>
      <c r="Z93" s="285" t="n"/>
      <c r="AA93" s="285" t="n"/>
    </row>
    <row r="94" ht="15.75" customHeight="1" s="398">
      <c r="A94" s="317" t="n"/>
      <c r="B94" s="317" t="n"/>
      <c r="C94" s="317" t="n"/>
      <c r="D94" s="315" t="n"/>
      <c r="E94" s="288" t="n"/>
      <c r="F94" s="334" t="n"/>
      <c r="G94" s="391" t="n"/>
      <c r="H94" s="284" t="n"/>
      <c r="I94" s="288" t="n"/>
      <c r="J94" s="288" t="n"/>
      <c r="K94" s="288" t="n"/>
      <c r="L94" s="288" t="n"/>
      <c r="M94" s="288" t="n"/>
      <c r="N94" s="288" t="n"/>
      <c r="O94" s="288" t="n"/>
      <c r="P94" s="288" t="n"/>
      <c r="Q94" s="288" t="n"/>
      <c r="R94" s="288" t="n"/>
      <c r="S94" s="284" t="n"/>
      <c r="T94" s="284" t="n"/>
      <c r="U94" s="285" t="n"/>
      <c r="V94" s="285" t="n"/>
      <c r="W94" s="285" t="n"/>
      <c r="X94" s="285" t="n"/>
      <c r="Y94" s="285" t="n"/>
      <c r="Z94" s="285" t="n"/>
      <c r="AA94" s="285" t="n"/>
    </row>
    <row r="95" ht="15.75" customHeight="1" s="398">
      <c r="A95" s="317" t="n"/>
      <c r="B95" s="317" t="n"/>
      <c r="C95" s="317" t="n"/>
      <c r="D95" s="315" t="n"/>
      <c r="E95" s="288" t="n"/>
      <c r="F95" s="334" t="n"/>
      <c r="G95" s="391" t="n"/>
      <c r="H95" s="284" t="n"/>
      <c r="I95" s="288" t="n"/>
      <c r="J95" s="288" t="n"/>
      <c r="K95" s="288" t="n"/>
      <c r="L95" s="288" t="n"/>
      <c r="M95" s="288" t="n"/>
      <c r="N95" s="288" t="n"/>
      <c r="O95" s="288" t="n"/>
      <c r="P95" s="288" t="n"/>
      <c r="Q95" s="288" t="n"/>
      <c r="R95" s="288" t="n"/>
      <c r="S95" s="284" t="n"/>
      <c r="T95" s="284" t="n"/>
      <c r="U95" s="285" t="n"/>
      <c r="V95" s="285" t="n"/>
      <c r="W95" s="285" t="n"/>
      <c r="X95" s="285" t="n"/>
      <c r="Y95" s="285" t="n"/>
      <c r="Z95" s="285" t="n"/>
      <c r="AA95" s="285" t="n"/>
    </row>
    <row r="96" ht="15.75" customHeight="1" s="398">
      <c r="A96" s="317" t="n"/>
      <c r="B96" s="317" t="n"/>
      <c r="C96" s="317" t="n"/>
      <c r="D96" s="315" t="n"/>
      <c r="E96" s="288" t="n"/>
      <c r="F96" s="334" t="n"/>
      <c r="G96" s="391" t="n"/>
      <c r="H96" s="284" t="n"/>
      <c r="I96" s="288" t="n"/>
      <c r="J96" s="288" t="n"/>
      <c r="K96" s="288" t="n"/>
      <c r="L96" s="288" t="n"/>
      <c r="M96" s="288" t="n"/>
      <c r="N96" s="288" t="n"/>
      <c r="O96" s="288" t="n"/>
      <c r="P96" s="288" t="n"/>
      <c r="Q96" s="288" t="n"/>
      <c r="R96" s="288" t="n"/>
      <c r="S96" s="284" t="n"/>
      <c r="T96" s="284" t="n"/>
      <c r="U96" s="285" t="n"/>
      <c r="V96" s="285" t="n"/>
      <c r="W96" s="285" t="n"/>
      <c r="X96" s="285" t="n"/>
      <c r="Y96" s="285" t="n"/>
      <c r="Z96" s="285" t="n"/>
      <c r="AA96" s="285" t="n"/>
    </row>
    <row r="97" ht="15.75" customHeight="1" s="398">
      <c r="A97" s="317" t="n"/>
      <c r="B97" s="317" t="n"/>
      <c r="C97" s="317" t="n"/>
      <c r="D97" s="315" t="n"/>
      <c r="E97" s="288" t="n"/>
      <c r="F97" s="334" t="n"/>
      <c r="G97" s="391" t="n"/>
      <c r="H97" s="284" t="n"/>
      <c r="I97" s="288" t="n"/>
      <c r="J97" s="288" t="n"/>
      <c r="K97" s="288" t="n"/>
      <c r="L97" s="288" t="n"/>
      <c r="M97" s="288" t="n"/>
      <c r="N97" s="288" t="n"/>
      <c r="O97" s="288" t="n"/>
      <c r="P97" s="288" t="n"/>
      <c r="Q97" s="288" t="n"/>
      <c r="R97" s="288" t="n"/>
      <c r="S97" s="284" t="n"/>
      <c r="T97" s="284" t="n"/>
      <c r="U97" s="285" t="n"/>
      <c r="V97" s="285" t="n"/>
      <c r="W97" s="285" t="n"/>
      <c r="X97" s="285" t="n"/>
      <c r="Y97" s="285" t="n"/>
      <c r="Z97" s="285" t="n"/>
      <c r="AA97" s="285" t="n"/>
    </row>
    <row r="98" ht="15.75" customHeight="1" s="398">
      <c r="A98" s="317" t="n"/>
      <c r="B98" s="317" t="n"/>
      <c r="C98" s="317" t="n"/>
      <c r="D98" s="315" t="n"/>
      <c r="E98" s="288" t="n"/>
      <c r="F98" s="334" t="n"/>
      <c r="G98" s="391" t="n"/>
      <c r="H98" s="284" t="n"/>
      <c r="I98" s="288" t="n"/>
      <c r="J98" s="288" t="n"/>
      <c r="K98" s="288" t="n"/>
      <c r="L98" s="288" t="n"/>
      <c r="M98" s="288" t="n"/>
      <c r="N98" s="288" t="n"/>
      <c r="O98" s="288" t="n"/>
      <c r="P98" s="288" t="n"/>
      <c r="Q98" s="288" t="n"/>
      <c r="R98" s="288" t="n"/>
      <c r="S98" s="284" t="n"/>
      <c r="T98" s="284" t="n"/>
      <c r="U98" s="285" t="n"/>
      <c r="V98" s="285" t="n"/>
      <c r="W98" s="285" t="n"/>
      <c r="X98" s="285" t="n"/>
      <c r="Y98" s="285" t="n"/>
      <c r="Z98" s="285" t="n"/>
      <c r="AA98" s="285" t="n"/>
    </row>
    <row r="99" ht="15.75" customHeight="1" s="398">
      <c r="A99" s="317" t="n"/>
      <c r="B99" s="317" t="n"/>
      <c r="C99" s="317" t="n"/>
      <c r="D99" s="315" t="n"/>
      <c r="E99" s="288" t="n"/>
      <c r="F99" s="334" t="n"/>
      <c r="G99" s="391" t="n"/>
      <c r="H99" s="284" t="n"/>
      <c r="I99" s="288" t="n"/>
      <c r="J99" s="288" t="n"/>
      <c r="K99" s="288" t="n"/>
      <c r="L99" s="288" t="n"/>
      <c r="M99" s="288" t="n"/>
      <c r="N99" s="288" t="n"/>
      <c r="O99" s="288" t="n"/>
      <c r="P99" s="288" t="n"/>
      <c r="Q99" s="288" t="n"/>
      <c r="R99" s="288" t="n"/>
      <c r="S99" s="284" t="n"/>
      <c r="T99" s="284" t="n"/>
      <c r="U99" s="285" t="n"/>
      <c r="V99" s="285" t="n"/>
      <c r="W99" s="285" t="n"/>
      <c r="X99" s="285" t="n"/>
      <c r="Y99" s="285" t="n"/>
      <c r="Z99" s="285" t="n"/>
      <c r="AA99" s="285" t="n"/>
    </row>
    <row r="100" ht="15.75" customHeight="1" s="398">
      <c r="A100" s="317" t="n"/>
      <c r="B100" s="317" t="n"/>
      <c r="C100" s="317" t="n"/>
      <c r="D100" s="315" t="n"/>
      <c r="E100" s="288" t="n"/>
      <c r="F100" s="334" t="n"/>
      <c r="G100" s="391" t="n"/>
      <c r="H100" s="284" t="n"/>
      <c r="I100" s="288" t="n"/>
      <c r="J100" s="288" t="n"/>
      <c r="K100" s="288" t="n"/>
      <c r="L100" s="288" t="n"/>
      <c r="M100" s="288" t="n"/>
      <c r="N100" s="288" t="n"/>
      <c r="O100" s="288" t="n"/>
      <c r="P100" s="288" t="n"/>
      <c r="Q100" s="288" t="n"/>
      <c r="R100" s="288" t="n"/>
      <c r="S100" s="284" t="n"/>
      <c r="T100" s="284" t="n"/>
      <c r="U100" s="285" t="n"/>
      <c r="V100" s="285" t="n"/>
      <c r="W100" s="285" t="n"/>
      <c r="X100" s="285" t="n"/>
      <c r="Y100" s="285" t="n"/>
      <c r="Z100" s="285" t="n"/>
      <c r="AA100" s="285" t="n"/>
    </row>
    <row r="101" ht="15.75" customHeight="1" s="398">
      <c r="A101" s="317" t="n"/>
      <c r="B101" s="317" t="n"/>
      <c r="C101" s="317" t="n"/>
      <c r="D101" s="315" t="n"/>
      <c r="E101" s="288" t="n"/>
      <c r="F101" s="334" t="n"/>
      <c r="G101" s="391" t="n"/>
      <c r="H101" s="284" t="n"/>
      <c r="I101" s="288" t="n"/>
      <c r="J101" s="288" t="n"/>
      <c r="K101" s="288" t="n"/>
      <c r="L101" s="288" t="n"/>
      <c r="M101" s="288" t="n"/>
      <c r="N101" s="288" t="n"/>
      <c r="O101" s="288" t="n"/>
      <c r="P101" s="288" t="n"/>
      <c r="Q101" s="288" t="n"/>
      <c r="R101" s="288" t="n"/>
      <c r="S101" s="284" t="n"/>
      <c r="T101" s="284" t="n"/>
      <c r="U101" s="285" t="n"/>
      <c r="V101" s="285" t="n"/>
      <c r="W101" s="285" t="n"/>
      <c r="X101" s="285" t="n"/>
      <c r="Y101" s="285" t="n"/>
      <c r="Z101" s="285" t="n"/>
      <c r="AA101" s="285" t="n"/>
    </row>
    <row r="102" ht="15.75" customHeight="1" s="398">
      <c r="A102" s="317" t="n"/>
      <c r="B102" s="317" t="n"/>
      <c r="C102" s="317" t="n"/>
      <c r="D102" s="315" t="n"/>
      <c r="E102" s="288" t="n"/>
      <c r="F102" s="334" t="n"/>
      <c r="G102" s="391" t="n"/>
      <c r="H102" s="284" t="n"/>
      <c r="I102" s="288" t="n"/>
      <c r="J102" s="288" t="n"/>
      <c r="K102" s="288" t="n"/>
      <c r="L102" s="288" t="n"/>
      <c r="M102" s="288" t="n"/>
      <c r="N102" s="288" t="n"/>
      <c r="O102" s="288" t="n"/>
      <c r="P102" s="288" t="n"/>
      <c r="Q102" s="288" t="n"/>
      <c r="R102" s="288" t="n"/>
      <c r="S102" s="284" t="n"/>
      <c r="T102" s="284" t="n"/>
      <c r="U102" s="285" t="n"/>
      <c r="V102" s="285" t="n"/>
      <c r="W102" s="285" t="n"/>
      <c r="X102" s="285" t="n"/>
      <c r="Y102" s="285" t="n"/>
      <c r="Z102" s="285" t="n"/>
      <c r="AA102" s="285" t="n"/>
    </row>
    <row r="103" ht="15.75" customHeight="1" s="398">
      <c r="A103" s="317" t="n"/>
      <c r="B103" s="317" t="n"/>
      <c r="C103" s="317" t="n"/>
      <c r="D103" s="315" t="n"/>
      <c r="E103" s="288" t="n"/>
      <c r="F103" s="334" t="n"/>
      <c r="G103" s="391" t="n"/>
      <c r="H103" s="284" t="n"/>
      <c r="I103" s="288" t="n"/>
      <c r="J103" s="288" t="n"/>
      <c r="K103" s="288" t="n"/>
      <c r="L103" s="288" t="n"/>
      <c r="M103" s="288" t="n"/>
      <c r="N103" s="288" t="n"/>
      <c r="O103" s="288" t="n"/>
      <c r="P103" s="288" t="n"/>
      <c r="Q103" s="288" t="n"/>
      <c r="R103" s="288" t="n"/>
      <c r="S103" s="284" t="n"/>
      <c r="T103" s="284" t="n"/>
      <c r="U103" s="285" t="n"/>
      <c r="V103" s="285" t="n"/>
      <c r="W103" s="285" t="n"/>
      <c r="X103" s="285" t="n"/>
      <c r="Y103" s="285" t="n"/>
      <c r="Z103" s="285" t="n"/>
      <c r="AA103" s="285" t="n"/>
    </row>
    <row r="104" ht="15.75" customHeight="1" s="398">
      <c r="A104" s="317" t="n"/>
      <c r="B104" s="317" t="n"/>
      <c r="C104" s="317" t="n"/>
      <c r="D104" s="315" t="n"/>
      <c r="E104" s="288" t="n"/>
      <c r="F104" s="334" t="n"/>
      <c r="G104" s="391" t="n"/>
      <c r="H104" s="284" t="n"/>
      <c r="I104" s="288" t="n"/>
      <c r="J104" s="288" t="n"/>
      <c r="K104" s="288" t="n"/>
      <c r="L104" s="288" t="n"/>
      <c r="M104" s="288" t="n"/>
      <c r="N104" s="288" t="n"/>
      <c r="O104" s="288" t="n"/>
      <c r="P104" s="288" t="n"/>
      <c r="Q104" s="288" t="n"/>
      <c r="R104" s="288" t="n"/>
      <c r="S104" s="284" t="n"/>
      <c r="T104" s="284" t="n"/>
      <c r="U104" s="285" t="n"/>
      <c r="V104" s="285" t="n"/>
      <c r="W104" s="285" t="n"/>
      <c r="X104" s="285" t="n"/>
      <c r="Y104" s="285" t="n"/>
      <c r="Z104" s="285" t="n"/>
      <c r="AA104" s="285" t="n"/>
    </row>
    <row r="105" ht="15.75" customHeight="1" s="398">
      <c r="A105" s="317" t="n"/>
      <c r="B105" s="317" t="n"/>
      <c r="C105" s="317" t="n"/>
      <c r="D105" s="315" t="n"/>
      <c r="E105" s="288" t="n"/>
      <c r="F105" s="334" t="n"/>
      <c r="G105" s="391" t="n"/>
      <c r="H105" s="284" t="n"/>
      <c r="I105" s="288" t="n"/>
      <c r="J105" s="288" t="n"/>
      <c r="K105" s="288" t="n"/>
      <c r="L105" s="288" t="n"/>
      <c r="M105" s="288" t="n"/>
      <c r="N105" s="288" t="n"/>
      <c r="O105" s="288" t="n"/>
      <c r="P105" s="288" t="n"/>
      <c r="Q105" s="288" t="n"/>
      <c r="R105" s="288" t="n"/>
      <c r="S105" s="284" t="n"/>
      <c r="T105" s="284" t="n"/>
      <c r="U105" s="285" t="n"/>
      <c r="V105" s="285" t="n"/>
      <c r="W105" s="285" t="n"/>
      <c r="X105" s="285" t="n"/>
      <c r="Y105" s="285" t="n"/>
      <c r="Z105" s="285" t="n"/>
      <c r="AA105" s="285" t="n"/>
    </row>
    <row r="106" ht="15.75" customHeight="1" s="398">
      <c r="A106" s="317" t="n"/>
      <c r="B106" s="317" t="n"/>
      <c r="C106" s="317" t="n"/>
      <c r="D106" s="315" t="n"/>
      <c r="E106" s="288" t="n"/>
      <c r="F106" s="334" t="n"/>
      <c r="G106" s="391" t="n"/>
      <c r="H106" s="284" t="n"/>
      <c r="I106" s="288" t="n"/>
      <c r="J106" s="288" t="n"/>
      <c r="K106" s="288" t="n"/>
      <c r="L106" s="288" t="n"/>
      <c r="M106" s="288" t="n"/>
      <c r="N106" s="288" t="n"/>
      <c r="O106" s="288" t="n"/>
      <c r="P106" s="288" t="n"/>
      <c r="Q106" s="288" t="n"/>
      <c r="R106" s="288" t="n"/>
      <c r="S106" s="284" t="n"/>
      <c r="T106" s="284" t="n"/>
      <c r="U106" s="285" t="n"/>
      <c r="V106" s="285" t="n"/>
      <c r="W106" s="285" t="n"/>
      <c r="X106" s="285" t="n"/>
      <c r="Y106" s="285" t="n"/>
      <c r="Z106" s="285" t="n"/>
      <c r="AA106" s="285" t="n"/>
    </row>
    <row r="107" ht="15.75" customHeight="1" s="398">
      <c r="A107" s="317" t="n"/>
      <c r="B107" s="317" t="n"/>
      <c r="C107" s="317" t="n"/>
      <c r="D107" s="315" t="n"/>
      <c r="E107" s="288" t="n"/>
      <c r="F107" s="334" t="n"/>
      <c r="G107" s="391" t="n"/>
      <c r="H107" s="284" t="n"/>
      <c r="I107" s="288" t="n"/>
      <c r="J107" s="288" t="n"/>
      <c r="K107" s="288" t="n"/>
      <c r="L107" s="288" t="n"/>
      <c r="M107" s="288" t="n"/>
      <c r="N107" s="288" t="n"/>
      <c r="O107" s="288" t="n"/>
      <c r="P107" s="288" t="n"/>
      <c r="Q107" s="288" t="n"/>
      <c r="R107" s="288" t="n"/>
      <c r="S107" s="284" t="n"/>
      <c r="T107" s="284" t="n"/>
      <c r="U107" s="285" t="n"/>
      <c r="V107" s="285" t="n"/>
      <c r="W107" s="285" t="n"/>
      <c r="X107" s="285" t="n"/>
      <c r="Y107" s="285" t="n"/>
      <c r="Z107" s="285" t="n"/>
      <c r="AA107" s="285" t="n"/>
    </row>
    <row r="108" ht="15.75" customHeight="1" s="398">
      <c r="A108" s="317" t="n"/>
      <c r="B108" s="317" t="n"/>
      <c r="C108" s="317" t="n"/>
      <c r="D108" s="315" t="n"/>
      <c r="E108" s="288" t="n"/>
      <c r="F108" s="334" t="n"/>
      <c r="G108" s="391" t="n"/>
      <c r="H108" s="284" t="n"/>
      <c r="I108" s="288" t="n"/>
      <c r="J108" s="288" t="n"/>
      <c r="K108" s="288" t="n"/>
      <c r="L108" s="288" t="n"/>
      <c r="M108" s="288" t="n"/>
      <c r="N108" s="288" t="n"/>
      <c r="O108" s="288" t="n"/>
      <c r="P108" s="288" t="n"/>
      <c r="Q108" s="288" t="n"/>
      <c r="R108" s="288" t="n"/>
      <c r="S108" s="284" t="n"/>
      <c r="T108" s="284" t="n"/>
      <c r="U108" s="285" t="n"/>
      <c r="V108" s="285" t="n"/>
      <c r="W108" s="285" t="n"/>
      <c r="X108" s="285" t="n"/>
      <c r="Y108" s="285" t="n"/>
      <c r="Z108" s="285" t="n"/>
      <c r="AA108" s="285" t="n"/>
    </row>
    <row r="109" ht="15.75" customHeight="1" s="398">
      <c r="A109" s="317" t="n"/>
      <c r="B109" s="317" t="n"/>
      <c r="C109" s="317" t="n"/>
      <c r="D109" s="315" t="n"/>
      <c r="E109" s="288" t="n"/>
      <c r="F109" s="334" t="n"/>
      <c r="G109" s="391" t="n"/>
      <c r="H109" s="284" t="n"/>
      <c r="I109" s="288" t="n"/>
      <c r="J109" s="288" t="n"/>
      <c r="K109" s="288" t="n"/>
      <c r="L109" s="288" t="n"/>
      <c r="M109" s="288" t="n"/>
      <c r="N109" s="288" t="n"/>
      <c r="O109" s="288" t="n"/>
      <c r="P109" s="288" t="n"/>
      <c r="Q109" s="288" t="n"/>
      <c r="R109" s="288" t="n"/>
      <c r="S109" s="284" t="n"/>
      <c r="T109" s="284" t="n"/>
      <c r="U109" s="285" t="n"/>
      <c r="V109" s="285" t="n"/>
      <c r="W109" s="285" t="n"/>
      <c r="X109" s="285" t="n"/>
      <c r="Y109" s="285" t="n"/>
      <c r="Z109" s="285" t="n"/>
      <c r="AA109" s="285" t="n"/>
    </row>
    <row r="110" ht="15.75" customHeight="1" s="398">
      <c r="A110" s="317" t="n"/>
      <c r="B110" s="317" t="n"/>
      <c r="C110" s="317" t="n"/>
      <c r="D110" s="315" t="n"/>
      <c r="E110" s="288" t="n"/>
      <c r="F110" s="334" t="n"/>
      <c r="G110" s="391" t="n"/>
      <c r="H110" s="284" t="n"/>
      <c r="I110" s="288" t="n"/>
      <c r="J110" s="288" t="n"/>
      <c r="K110" s="288" t="n"/>
      <c r="L110" s="288" t="n"/>
      <c r="M110" s="288" t="n"/>
      <c r="N110" s="288" t="n"/>
      <c r="O110" s="288" t="n"/>
      <c r="P110" s="288" t="n"/>
      <c r="Q110" s="288" t="n"/>
      <c r="R110" s="288" t="n"/>
      <c r="S110" s="284" t="n"/>
      <c r="T110" s="284" t="n"/>
      <c r="U110" s="285" t="n"/>
      <c r="V110" s="285" t="n"/>
      <c r="W110" s="285" t="n"/>
      <c r="X110" s="285" t="n"/>
      <c r="Y110" s="285" t="n"/>
      <c r="Z110" s="285" t="n"/>
      <c r="AA110" s="285" t="n"/>
    </row>
    <row r="111" ht="15.75" customHeight="1" s="398">
      <c r="A111" s="317" t="n"/>
      <c r="B111" s="317" t="n"/>
      <c r="C111" s="317" t="n"/>
      <c r="D111" s="315" t="n"/>
      <c r="E111" s="288" t="n"/>
      <c r="F111" s="334" t="n"/>
      <c r="G111" s="391" t="n"/>
      <c r="H111" s="284" t="n"/>
      <c r="I111" s="288" t="n"/>
      <c r="J111" s="288" t="n"/>
      <c r="K111" s="288" t="n"/>
      <c r="L111" s="288" t="n"/>
      <c r="M111" s="288" t="n"/>
      <c r="N111" s="288" t="n"/>
      <c r="O111" s="288" t="n"/>
      <c r="P111" s="288" t="n"/>
      <c r="Q111" s="288" t="n"/>
      <c r="R111" s="288" t="n"/>
      <c r="S111" s="284" t="n"/>
      <c r="T111" s="284" t="n"/>
      <c r="U111" s="285" t="n"/>
      <c r="V111" s="285" t="n"/>
      <c r="W111" s="285" t="n"/>
      <c r="X111" s="285" t="n"/>
      <c r="Y111" s="285" t="n"/>
      <c r="Z111" s="285" t="n"/>
      <c r="AA111" s="285" t="n"/>
    </row>
    <row r="112" ht="15.75" customHeight="1" s="398">
      <c r="A112" s="317" t="n"/>
      <c r="B112" s="317" t="n"/>
      <c r="C112" s="317" t="n"/>
      <c r="D112" s="315" t="n"/>
      <c r="E112" s="288" t="n"/>
      <c r="F112" s="334" t="n"/>
      <c r="G112" s="391" t="n"/>
      <c r="H112" s="284" t="n"/>
      <c r="I112" s="288" t="n"/>
      <c r="J112" s="288" t="n"/>
      <c r="K112" s="288" t="n"/>
      <c r="L112" s="288" t="n"/>
      <c r="M112" s="288" t="n"/>
      <c r="N112" s="288" t="n"/>
      <c r="O112" s="288" t="n"/>
      <c r="P112" s="288" t="n"/>
      <c r="Q112" s="288" t="n"/>
      <c r="R112" s="288" t="n"/>
      <c r="S112" s="284" t="n"/>
      <c r="T112" s="284" t="n"/>
      <c r="U112" s="285" t="n"/>
      <c r="V112" s="285" t="n"/>
      <c r="W112" s="285" t="n"/>
      <c r="X112" s="285" t="n"/>
      <c r="Y112" s="285" t="n"/>
      <c r="Z112" s="285" t="n"/>
      <c r="AA112" s="285" t="n"/>
    </row>
    <row r="113" ht="15.75" customHeight="1" s="398">
      <c r="A113" s="317" t="n"/>
      <c r="B113" s="317" t="n"/>
      <c r="C113" s="317" t="n"/>
      <c r="D113" s="315" t="n"/>
      <c r="E113" s="288" t="n"/>
      <c r="F113" s="334" t="n"/>
      <c r="G113" s="391" t="n"/>
      <c r="H113" s="284" t="n"/>
      <c r="I113" s="288" t="n"/>
      <c r="J113" s="288" t="n"/>
      <c r="K113" s="288" t="n"/>
      <c r="L113" s="288" t="n"/>
      <c r="M113" s="288" t="n"/>
      <c r="N113" s="288" t="n"/>
      <c r="O113" s="288" t="n"/>
      <c r="P113" s="288" t="n"/>
      <c r="Q113" s="288" t="n"/>
      <c r="R113" s="288" t="n"/>
      <c r="S113" s="284" t="n"/>
      <c r="T113" s="284" t="n"/>
      <c r="U113" s="285" t="n"/>
      <c r="V113" s="285" t="n"/>
      <c r="W113" s="285" t="n"/>
      <c r="X113" s="285" t="n"/>
      <c r="Y113" s="285" t="n"/>
      <c r="Z113" s="285" t="n"/>
      <c r="AA113" s="285" t="n"/>
    </row>
    <row r="114" ht="15.75" customHeight="1" s="398">
      <c r="A114" s="317" t="n"/>
      <c r="B114" s="317" t="n"/>
      <c r="C114" s="317" t="n"/>
      <c r="D114" s="315" t="n"/>
      <c r="E114" s="288" t="n"/>
      <c r="F114" s="334" t="n"/>
      <c r="G114" s="391" t="n"/>
      <c r="H114" s="284" t="n"/>
      <c r="I114" s="288" t="n"/>
      <c r="J114" s="288" t="n"/>
      <c r="K114" s="288" t="n"/>
      <c r="L114" s="288" t="n"/>
      <c r="M114" s="288" t="n"/>
      <c r="N114" s="288" t="n"/>
      <c r="O114" s="288" t="n"/>
      <c r="P114" s="288" t="n"/>
      <c r="Q114" s="288" t="n"/>
      <c r="R114" s="288" t="n"/>
      <c r="S114" s="284" t="n"/>
      <c r="T114" s="284" t="n"/>
      <c r="U114" s="285" t="n"/>
      <c r="V114" s="285" t="n"/>
      <c r="W114" s="285" t="n"/>
      <c r="X114" s="285" t="n"/>
      <c r="Y114" s="285" t="n"/>
      <c r="Z114" s="285" t="n"/>
      <c r="AA114" s="285" t="n"/>
    </row>
    <row r="115" ht="15.75" customHeight="1" s="398">
      <c r="A115" s="317" t="n"/>
      <c r="B115" s="317" t="n"/>
      <c r="C115" s="317" t="n"/>
      <c r="D115" s="315" t="n"/>
      <c r="E115" s="288" t="n"/>
      <c r="F115" s="334" t="n"/>
      <c r="G115" s="391" t="n"/>
      <c r="H115" s="284" t="n"/>
      <c r="I115" s="288" t="n"/>
      <c r="J115" s="288" t="n"/>
      <c r="K115" s="288" t="n"/>
      <c r="L115" s="288" t="n"/>
      <c r="M115" s="288" t="n"/>
      <c r="N115" s="288" t="n"/>
      <c r="O115" s="288" t="n"/>
      <c r="P115" s="288" t="n"/>
      <c r="Q115" s="288" t="n"/>
      <c r="R115" s="288" t="n"/>
      <c r="S115" s="284" t="n"/>
      <c r="T115" s="284" t="n"/>
      <c r="U115" s="285" t="n"/>
      <c r="V115" s="285" t="n"/>
      <c r="W115" s="285" t="n"/>
      <c r="X115" s="285" t="n"/>
      <c r="Y115" s="285" t="n"/>
      <c r="Z115" s="285" t="n"/>
      <c r="AA115" s="285" t="n"/>
    </row>
    <row r="116" ht="15.75" customHeight="1" s="398">
      <c r="A116" s="317" t="n"/>
      <c r="B116" s="317" t="n"/>
      <c r="C116" s="317" t="n"/>
      <c r="D116" s="315" t="n"/>
      <c r="E116" s="288" t="n"/>
      <c r="F116" s="334" t="n"/>
      <c r="G116" s="391" t="n"/>
      <c r="H116" s="284" t="n"/>
      <c r="I116" s="288" t="n"/>
      <c r="J116" s="288" t="n"/>
      <c r="K116" s="288" t="n"/>
      <c r="L116" s="288" t="n"/>
      <c r="M116" s="288" t="n"/>
      <c r="N116" s="288" t="n"/>
      <c r="O116" s="288" t="n"/>
      <c r="P116" s="288" t="n"/>
      <c r="Q116" s="288" t="n"/>
      <c r="R116" s="288" t="n"/>
      <c r="S116" s="284" t="n"/>
      <c r="T116" s="284" t="n"/>
      <c r="U116" s="285" t="n"/>
      <c r="V116" s="285" t="n"/>
      <c r="W116" s="285" t="n"/>
      <c r="X116" s="285" t="n"/>
      <c r="Y116" s="285" t="n"/>
      <c r="Z116" s="285" t="n"/>
      <c r="AA116" s="285" t="n"/>
    </row>
    <row r="117" ht="15.75" customHeight="1" s="398">
      <c r="A117" s="317" t="n"/>
      <c r="B117" s="317" t="n"/>
      <c r="C117" s="317" t="n"/>
      <c r="D117" s="315" t="n"/>
      <c r="E117" s="288" t="n"/>
      <c r="F117" s="334" t="n"/>
      <c r="G117" s="391" t="n"/>
      <c r="H117" s="284" t="n"/>
      <c r="I117" s="288" t="n"/>
      <c r="J117" s="288" t="n"/>
      <c r="K117" s="288" t="n"/>
      <c r="L117" s="288" t="n"/>
      <c r="M117" s="288" t="n"/>
      <c r="N117" s="288" t="n"/>
      <c r="O117" s="288" t="n"/>
      <c r="P117" s="288" t="n"/>
      <c r="Q117" s="288" t="n"/>
      <c r="R117" s="288" t="n"/>
      <c r="S117" s="284" t="n"/>
      <c r="T117" s="284" t="n"/>
      <c r="U117" s="285" t="n"/>
      <c r="V117" s="285" t="n"/>
      <c r="W117" s="285" t="n"/>
      <c r="X117" s="285" t="n"/>
      <c r="Y117" s="285" t="n"/>
      <c r="Z117" s="285" t="n"/>
      <c r="AA117" s="285" t="n"/>
    </row>
    <row r="118" ht="15.75" customHeight="1" s="398">
      <c r="A118" s="317" t="n"/>
      <c r="B118" s="317" t="n"/>
      <c r="C118" s="317" t="n"/>
      <c r="D118" s="315" t="n"/>
      <c r="E118" s="288" t="n"/>
      <c r="F118" s="334" t="n"/>
      <c r="G118" s="391" t="n"/>
      <c r="H118" s="284" t="n"/>
      <c r="I118" s="288" t="n"/>
      <c r="J118" s="288" t="n"/>
      <c r="K118" s="288" t="n"/>
      <c r="L118" s="288" t="n"/>
      <c r="M118" s="288" t="n"/>
      <c r="N118" s="288" t="n"/>
      <c r="O118" s="288" t="n"/>
      <c r="P118" s="288" t="n"/>
      <c r="Q118" s="288" t="n"/>
      <c r="R118" s="288" t="n"/>
      <c r="S118" s="284" t="n"/>
      <c r="T118" s="284" t="n"/>
      <c r="U118" s="285" t="n"/>
      <c r="V118" s="285" t="n"/>
      <c r="W118" s="285" t="n"/>
      <c r="X118" s="285" t="n"/>
      <c r="Y118" s="285" t="n"/>
      <c r="Z118" s="285" t="n"/>
      <c r="AA118" s="285" t="n"/>
    </row>
    <row r="119" ht="15.75" customHeight="1" s="398">
      <c r="A119" s="317" t="n"/>
      <c r="B119" s="317" t="n"/>
      <c r="C119" s="317" t="n"/>
      <c r="D119" s="315" t="n"/>
      <c r="E119" s="288" t="n"/>
      <c r="F119" s="334" t="n"/>
      <c r="G119" s="391" t="n"/>
      <c r="H119" s="284" t="n"/>
      <c r="I119" s="288" t="n"/>
      <c r="J119" s="288" t="n"/>
      <c r="K119" s="288" t="n"/>
      <c r="L119" s="288" t="n"/>
      <c r="M119" s="288" t="n"/>
      <c r="N119" s="288" t="n"/>
      <c r="O119" s="288" t="n"/>
      <c r="P119" s="288" t="n"/>
      <c r="Q119" s="288" t="n"/>
      <c r="R119" s="288" t="n"/>
      <c r="S119" s="284" t="n"/>
      <c r="T119" s="284" t="n"/>
      <c r="U119" s="285" t="n"/>
      <c r="V119" s="285" t="n"/>
      <c r="W119" s="285" t="n"/>
      <c r="X119" s="285" t="n"/>
      <c r="Y119" s="285" t="n"/>
      <c r="Z119" s="285" t="n"/>
      <c r="AA119" s="285" t="n"/>
    </row>
    <row r="120" ht="15.75" customHeight="1" s="398">
      <c r="A120" s="317" t="n"/>
      <c r="B120" s="317" t="n"/>
      <c r="C120" s="317" t="n"/>
      <c r="D120" s="315" t="n"/>
      <c r="E120" s="288" t="n"/>
      <c r="F120" s="334" t="n"/>
      <c r="G120" s="391" t="n"/>
      <c r="H120" s="284" t="n"/>
      <c r="I120" s="288" t="n"/>
      <c r="J120" s="288" t="n"/>
      <c r="K120" s="288" t="n"/>
      <c r="L120" s="288" t="n"/>
      <c r="M120" s="288" t="n"/>
      <c r="N120" s="288" t="n"/>
      <c r="O120" s="288" t="n"/>
      <c r="P120" s="288" t="n"/>
      <c r="Q120" s="288" t="n"/>
      <c r="R120" s="288" t="n"/>
      <c r="S120" s="284" t="n"/>
      <c r="T120" s="284" t="n"/>
      <c r="U120" s="285" t="n"/>
      <c r="V120" s="285" t="n"/>
      <c r="W120" s="285" t="n"/>
      <c r="X120" s="285" t="n"/>
      <c r="Y120" s="285" t="n"/>
      <c r="Z120" s="285" t="n"/>
      <c r="AA120" s="285" t="n"/>
    </row>
    <row r="121" ht="15.75" customHeight="1" s="398">
      <c r="A121" s="317" t="n"/>
      <c r="B121" s="317" t="n"/>
      <c r="C121" s="317" t="n"/>
      <c r="D121" s="315" t="n"/>
      <c r="E121" s="288" t="n"/>
      <c r="F121" s="334" t="n"/>
      <c r="G121" s="391" t="n"/>
      <c r="H121" s="284" t="n"/>
      <c r="I121" s="288" t="n"/>
      <c r="J121" s="288" t="n"/>
      <c r="K121" s="288" t="n"/>
      <c r="L121" s="288" t="n"/>
      <c r="M121" s="288" t="n"/>
      <c r="N121" s="288" t="n"/>
      <c r="O121" s="288" t="n"/>
      <c r="P121" s="288" t="n"/>
      <c r="Q121" s="288" t="n"/>
      <c r="R121" s="288" t="n"/>
      <c r="S121" s="284" t="n"/>
      <c r="T121" s="284" t="n"/>
      <c r="U121" s="285" t="n"/>
      <c r="V121" s="285" t="n"/>
      <c r="W121" s="285" t="n"/>
      <c r="X121" s="285" t="n"/>
      <c r="Y121" s="285" t="n"/>
      <c r="Z121" s="285" t="n"/>
      <c r="AA121" s="285" t="n"/>
    </row>
    <row r="122" ht="15.75" customHeight="1" s="398">
      <c r="A122" s="317" t="n"/>
      <c r="B122" s="317" t="n"/>
      <c r="C122" s="317" t="n"/>
      <c r="D122" s="315" t="n"/>
      <c r="E122" s="288" t="n"/>
      <c r="F122" s="334" t="n"/>
      <c r="G122" s="391" t="n"/>
      <c r="H122" s="284" t="n"/>
      <c r="I122" s="288" t="n"/>
      <c r="J122" s="288" t="n"/>
      <c r="K122" s="288" t="n"/>
      <c r="L122" s="288" t="n"/>
      <c r="M122" s="288" t="n"/>
      <c r="N122" s="288" t="n"/>
      <c r="O122" s="288" t="n"/>
      <c r="P122" s="288" t="n"/>
      <c r="Q122" s="288" t="n"/>
      <c r="R122" s="288" t="n"/>
      <c r="S122" s="284" t="n"/>
      <c r="T122" s="284" t="n"/>
      <c r="U122" s="285" t="n"/>
      <c r="V122" s="285" t="n"/>
      <c r="W122" s="285" t="n"/>
      <c r="X122" s="285" t="n"/>
      <c r="Y122" s="285" t="n"/>
      <c r="Z122" s="285" t="n"/>
      <c r="AA122" s="285" t="n"/>
    </row>
    <row r="123" ht="15.75" customHeight="1" s="398">
      <c r="A123" s="317" t="n"/>
      <c r="B123" s="317" t="n"/>
      <c r="C123" s="317" t="n"/>
      <c r="D123" s="315" t="n"/>
      <c r="E123" s="288" t="n"/>
      <c r="F123" s="334" t="n"/>
      <c r="G123" s="391" t="n"/>
      <c r="H123" s="284" t="n"/>
      <c r="I123" s="288" t="n"/>
      <c r="J123" s="288" t="n"/>
      <c r="K123" s="288" t="n"/>
      <c r="L123" s="288" t="n"/>
      <c r="M123" s="288" t="n"/>
      <c r="N123" s="288" t="n"/>
      <c r="O123" s="288" t="n"/>
      <c r="P123" s="288" t="n"/>
      <c r="Q123" s="288" t="n"/>
      <c r="R123" s="288" t="n"/>
      <c r="S123" s="284" t="n"/>
      <c r="T123" s="284" t="n"/>
      <c r="U123" s="285" t="n"/>
      <c r="V123" s="285" t="n"/>
      <c r="W123" s="285" t="n"/>
      <c r="X123" s="285" t="n"/>
      <c r="Y123" s="285" t="n"/>
      <c r="Z123" s="285" t="n"/>
      <c r="AA123" s="285" t="n"/>
    </row>
    <row r="124" ht="15.75" customHeight="1" s="398">
      <c r="A124" s="317" t="n"/>
      <c r="B124" s="317" t="n"/>
      <c r="C124" s="317" t="n"/>
      <c r="D124" s="315" t="n"/>
      <c r="E124" s="288" t="n"/>
      <c r="F124" s="334" t="n"/>
      <c r="G124" s="391" t="n"/>
      <c r="H124" s="284" t="n"/>
      <c r="I124" s="288" t="n"/>
      <c r="J124" s="288" t="n"/>
      <c r="K124" s="288" t="n"/>
      <c r="L124" s="288" t="n"/>
      <c r="M124" s="288" t="n"/>
      <c r="N124" s="288" t="n"/>
      <c r="O124" s="288" t="n"/>
      <c r="P124" s="288" t="n"/>
      <c r="Q124" s="288" t="n"/>
      <c r="R124" s="288" t="n"/>
      <c r="S124" s="284" t="n"/>
      <c r="T124" s="284" t="n"/>
      <c r="U124" s="285" t="n"/>
      <c r="V124" s="285" t="n"/>
      <c r="W124" s="285" t="n"/>
      <c r="X124" s="285" t="n"/>
      <c r="Y124" s="285" t="n"/>
      <c r="Z124" s="285" t="n"/>
      <c r="AA124" s="285" t="n"/>
    </row>
    <row r="125" ht="15.75" customHeight="1" s="398">
      <c r="A125" s="317" t="n"/>
      <c r="B125" s="317" t="n"/>
      <c r="C125" s="317" t="n"/>
      <c r="D125" s="315" t="n"/>
      <c r="E125" s="288" t="n"/>
      <c r="F125" s="334" t="n"/>
      <c r="G125" s="391" t="n"/>
      <c r="H125" s="284" t="n"/>
      <c r="I125" s="288" t="n"/>
      <c r="J125" s="288" t="n"/>
      <c r="K125" s="288" t="n"/>
      <c r="L125" s="288" t="n"/>
      <c r="M125" s="288" t="n"/>
      <c r="N125" s="288" t="n"/>
      <c r="O125" s="288" t="n"/>
      <c r="P125" s="288" t="n"/>
      <c r="Q125" s="288" t="n"/>
      <c r="R125" s="288" t="n"/>
      <c r="S125" s="284" t="n"/>
      <c r="T125" s="284" t="n"/>
      <c r="U125" s="285" t="n"/>
      <c r="V125" s="285" t="n"/>
      <c r="W125" s="285" t="n"/>
      <c r="X125" s="285" t="n"/>
      <c r="Y125" s="285" t="n"/>
      <c r="Z125" s="285" t="n"/>
      <c r="AA125" s="285" t="n"/>
    </row>
    <row r="126" ht="15.75" customHeight="1" s="398">
      <c r="A126" s="317" t="n"/>
      <c r="B126" s="317" t="n"/>
      <c r="C126" s="317" t="n"/>
      <c r="D126" s="315" t="n"/>
      <c r="E126" s="288" t="n"/>
      <c r="F126" s="334" t="n"/>
      <c r="G126" s="391" t="n"/>
      <c r="H126" s="284" t="n"/>
      <c r="I126" s="288" t="n"/>
      <c r="J126" s="288" t="n"/>
      <c r="K126" s="288" t="n"/>
      <c r="L126" s="288" t="n"/>
      <c r="M126" s="288" t="n"/>
      <c r="N126" s="288" t="n"/>
      <c r="O126" s="288" t="n"/>
      <c r="P126" s="288" t="n"/>
      <c r="Q126" s="288" t="n"/>
      <c r="R126" s="288" t="n"/>
      <c r="S126" s="284" t="n"/>
      <c r="T126" s="284" t="n"/>
      <c r="U126" s="285" t="n"/>
      <c r="V126" s="285" t="n"/>
      <c r="W126" s="285" t="n"/>
      <c r="X126" s="285" t="n"/>
      <c r="Y126" s="285" t="n"/>
      <c r="Z126" s="285" t="n"/>
      <c r="AA126" s="285" t="n"/>
    </row>
    <row r="127" ht="15.75" customHeight="1" s="398">
      <c r="A127" s="317" t="n"/>
      <c r="B127" s="317" t="n"/>
      <c r="C127" s="317" t="n"/>
      <c r="D127" s="315" t="n"/>
      <c r="E127" s="288" t="n"/>
      <c r="F127" s="334" t="n"/>
      <c r="G127" s="391" t="n"/>
      <c r="H127" s="284" t="n"/>
      <c r="I127" s="288" t="n"/>
      <c r="J127" s="288" t="n"/>
      <c r="K127" s="288" t="n"/>
      <c r="L127" s="288" t="n"/>
      <c r="M127" s="288" t="n"/>
      <c r="N127" s="288" t="n"/>
      <c r="O127" s="288" t="n"/>
      <c r="P127" s="288" t="n"/>
      <c r="Q127" s="288" t="n"/>
      <c r="R127" s="288" t="n"/>
      <c r="S127" s="284" t="n"/>
      <c r="T127" s="284" t="n"/>
      <c r="U127" s="285" t="n"/>
      <c r="V127" s="285" t="n"/>
      <c r="W127" s="285" t="n"/>
      <c r="X127" s="285" t="n"/>
      <c r="Y127" s="285" t="n"/>
      <c r="Z127" s="285" t="n"/>
      <c r="AA127" s="285" t="n"/>
    </row>
    <row r="128" ht="15.75" customHeight="1" s="398">
      <c r="A128" s="317" t="n"/>
      <c r="B128" s="317" t="n"/>
      <c r="C128" s="317" t="n"/>
      <c r="D128" s="315" t="n"/>
      <c r="E128" s="288" t="n"/>
      <c r="F128" s="334" t="n"/>
      <c r="G128" s="391" t="n"/>
      <c r="H128" s="284" t="n"/>
      <c r="I128" s="288" t="n"/>
      <c r="J128" s="288" t="n"/>
      <c r="K128" s="288" t="n"/>
      <c r="L128" s="288" t="n"/>
      <c r="M128" s="288" t="n"/>
      <c r="N128" s="288" t="n"/>
      <c r="O128" s="288" t="n"/>
      <c r="P128" s="288" t="n"/>
      <c r="Q128" s="288" t="n"/>
      <c r="R128" s="288" t="n"/>
      <c r="S128" s="284" t="n"/>
      <c r="T128" s="284" t="n"/>
      <c r="U128" s="285" t="n"/>
      <c r="V128" s="285" t="n"/>
      <c r="W128" s="285" t="n"/>
      <c r="X128" s="285" t="n"/>
      <c r="Y128" s="285" t="n"/>
      <c r="Z128" s="285" t="n"/>
      <c r="AA128" s="285" t="n"/>
    </row>
    <row r="129" ht="15.75" customHeight="1" s="398">
      <c r="A129" s="317" t="n"/>
      <c r="B129" s="317" t="n"/>
      <c r="C129" s="317" t="n"/>
      <c r="D129" s="315" t="n"/>
      <c r="E129" s="288" t="n"/>
      <c r="F129" s="334" t="n"/>
      <c r="G129" s="391" t="n"/>
      <c r="H129" s="284" t="n"/>
      <c r="I129" s="288" t="n"/>
      <c r="J129" s="288" t="n"/>
      <c r="K129" s="288" t="n"/>
      <c r="L129" s="288" t="n"/>
      <c r="M129" s="288" t="n"/>
      <c r="N129" s="288" t="n"/>
      <c r="O129" s="288" t="n"/>
      <c r="P129" s="288" t="n"/>
      <c r="Q129" s="288" t="n"/>
      <c r="R129" s="288" t="n"/>
      <c r="S129" s="284" t="n"/>
      <c r="T129" s="284" t="n"/>
      <c r="U129" s="285" t="n"/>
      <c r="V129" s="285" t="n"/>
      <c r="W129" s="285" t="n"/>
      <c r="X129" s="285" t="n"/>
      <c r="Y129" s="285" t="n"/>
      <c r="Z129" s="285" t="n"/>
      <c r="AA129" s="285" t="n"/>
    </row>
    <row r="130" ht="15.75" customHeight="1" s="398">
      <c r="A130" s="317" t="n"/>
      <c r="B130" s="317" t="n"/>
      <c r="C130" s="317" t="n"/>
      <c r="D130" s="315" t="n"/>
      <c r="E130" s="288" t="n"/>
      <c r="F130" s="334" t="n"/>
      <c r="G130" s="391" t="n"/>
      <c r="H130" s="284" t="n"/>
      <c r="I130" s="288" t="n"/>
      <c r="J130" s="288" t="n"/>
      <c r="K130" s="288" t="n"/>
      <c r="L130" s="288" t="n"/>
      <c r="M130" s="288" t="n"/>
      <c r="N130" s="288" t="n"/>
      <c r="O130" s="288" t="n"/>
      <c r="P130" s="288" t="n"/>
      <c r="Q130" s="288" t="n"/>
      <c r="R130" s="288" t="n"/>
      <c r="S130" s="284" t="n"/>
      <c r="T130" s="284" t="n"/>
      <c r="U130" s="285" t="n"/>
      <c r="V130" s="285" t="n"/>
      <c r="W130" s="285" t="n"/>
      <c r="X130" s="285" t="n"/>
      <c r="Y130" s="285" t="n"/>
      <c r="Z130" s="285" t="n"/>
      <c r="AA130" s="285" t="n"/>
    </row>
    <row r="131" ht="15.75" customHeight="1" s="398">
      <c r="A131" s="317" t="n"/>
      <c r="B131" s="317" t="n"/>
      <c r="C131" s="317" t="n"/>
      <c r="D131" s="315" t="n"/>
      <c r="E131" s="288" t="n"/>
      <c r="F131" s="334" t="n"/>
      <c r="G131" s="391" t="n"/>
      <c r="H131" s="284" t="n"/>
      <c r="I131" s="288" t="n"/>
      <c r="J131" s="288" t="n"/>
      <c r="K131" s="288" t="n"/>
      <c r="L131" s="288" t="n"/>
      <c r="M131" s="288" t="n"/>
      <c r="N131" s="288" t="n"/>
      <c r="O131" s="288" t="n"/>
      <c r="P131" s="288" t="n"/>
      <c r="Q131" s="288" t="n"/>
      <c r="R131" s="288" t="n"/>
      <c r="S131" s="284" t="n"/>
      <c r="T131" s="284" t="n"/>
      <c r="U131" s="285" t="n"/>
      <c r="V131" s="285" t="n"/>
      <c r="W131" s="285" t="n"/>
      <c r="X131" s="285" t="n"/>
      <c r="Y131" s="285" t="n"/>
      <c r="Z131" s="285" t="n"/>
      <c r="AA131" s="285" t="n"/>
    </row>
    <row r="132" ht="15.75" customHeight="1" s="398">
      <c r="A132" s="317" t="n"/>
      <c r="B132" s="317" t="n"/>
      <c r="C132" s="317" t="n"/>
      <c r="D132" s="315" t="n"/>
      <c r="E132" s="288" t="n"/>
      <c r="F132" s="334" t="n"/>
      <c r="G132" s="391" t="n"/>
      <c r="H132" s="284" t="n"/>
      <c r="I132" s="288" t="n"/>
      <c r="J132" s="288" t="n"/>
      <c r="K132" s="288" t="n"/>
      <c r="L132" s="288" t="n"/>
      <c r="M132" s="288" t="n"/>
      <c r="N132" s="288" t="n"/>
      <c r="O132" s="288" t="n"/>
      <c r="P132" s="288" t="n"/>
      <c r="Q132" s="288" t="n"/>
      <c r="R132" s="288" t="n"/>
      <c r="S132" s="284" t="n"/>
      <c r="T132" s="284" t="n"/>
      <c r="U132" s="285" t="n"/>
      <c r="V132" s="285" t="n"/>
      <c r="W132" s="285" t="n"/>
      <c r="X132" s="285" t="n"/>
      <c r="Y132" s="285" t="n"/>
      <c r="Z132" s="285" t="n"/>
      <c r="AA132" s="285" t="n"/>
    </row>
    <row r="133" ht="15.75" customHeight="1" s="398">
      <c r="A133" s="317" t="n"/>
      <c r="B133" s="317" t="n"/>
      <c r="C133" s="317" t="n"/>
      <c r="D133" s="315" t="n"/>
      <c r="E133" s="288" t="n"/>
      <c r="F133" s="334" t="n"/>
      <c r="G133" s="391" t="n"/>
      <c r="H133" s="284" t="n"/>
      <c r="I133" s="288" t="n"/>
      <c r="J133" s="288" t="n"/>
      <c r="K133" s="288" t="n"/>
      <c r="L133" s="288" t="n"/>
      <c r="M133" s="288" t="n"/>
      <c r="N133" s="288" t="n"/>
      <c r="O133" s="288" t="n"/>
      <c r="P133" s="288" t="n"/>
      <c r="Q133" s="288" t="n"/>
      <c r="R133" s="288" t="n"/>
      <c r="S133" s="284" t="n"/>
      <c r="T133" s="284" t="n"/>
      <c r="U133" s="285" t="n"/>
      <c r="V133" s="285" t="n"/>
      <c r="W133" s="285" t="n"/>
      <c r="X133" s="285" t="n"/>
      <c r="Y133" s="285" t="n"/>
      <c r="Z133" s="285" t="n"/>
      <c r="AA133" s="285" t="n"/>
    </row>
    <row r="134" ht="15.75" customHeight="1" s="398">
      <c r="A134" s="317" t="n"/>
      <c r="B134" s="317" t="n"/>
      <c r="C134" s="317" t="n"/>
      <c r="D134" s="315" t="n"/>
      <c r="E134" s="288" t="n"/>
      <c r="F134" s="334" t="n"/>
      <c r="G134" s="391" t="n"/>
      <c r="H134" s="284" t="n"/>
      <c r="I134" s="288" t="n"/>
      <c r="J134" s="288" t="n"/>
      <c r="K134" s="288" t="n"/>
      <c r="L134" s="288" t="n"/>
      <c r="M134" s="288" t="n"/>
      <c r="N134" s="288" t="n"/>
      <c r="O134" s="288" t="n"/>
      <c r="P134" s="288" t="n"/>
      <c r="Q134" s="288" t="n"/>
      <c r="R134" s="288" t="n"/>
      <c r="S134" s="284" t="n"/>
      <c r="T134" s="284" t="n"/>
      <c r="U134" s="285" t="n"/>
      <c r="V134" s="285" t="n"/>
      <c r="W134" s="285" t="n"/>
      <c r="X134" s="285" t="n"/>
      <c r="Y134" s="285" t="n"/>
      <c r="Z134" s="285" t="n"/>
      <c r="AA134" s="285" t="n"/>
    </row>
    <row r="135" ht="15.75" customHeight="1" s="398">
      <c r="A135" s="317" t="n"/>
      <c r="B135" s="317" t="n"/>
      <c r="C135" s="317" t="n"/>
      <c r="D135" s="315" t="n"/>
      <c r="E135" s="288" t="n"/>
      <c r="F135" s="334" t="n"/>
      <c r="G135" s="391" t="n"/>
      <c r="H135" s="284" t="n"/>
      <c r="I135" s="288" t="n"/>
      <c r="J135" s="288" t="n"/>
      <c r="K135" s="288" t="n"/>
      <c r="L135" s="288" t="n"/>
      <c r="M135" s="288" t="n"/>
      <c r="N135" s="288" t="n"/>
      <c r="O135" s="288" t="n"/>
      <c r="P135" s="288" t="n"/>
      <c r="Q135" s="288" t="n"/>
      <c r="R135" s="288" t="n"/>
      <c r="S135" s="284" t="n"/>
      <c r="T135" s="284" t="n"/>
      <c r="U135" s="285" t="n"/>
      <c r="V135" s="285" t="n"/>
      <c r="W135" s="285" t="n"/>
      <c r="X135" s="285" t="n"/>
      <c r="Y135" s="285" t="n"/>
      <c r="Z135" s="285" t="n"/>
      <c r="AA135" s="285" t="n"/>
    </row>
    <row r="136" ht="15.75" customHeight="1" s="398">
      <c r="A136" s="317" t="n"/>
      <c r="B136" s="317" t="n"/>
      <c r="C136" s="317" t="n"/>
      <c r="D136" s="315" t="n"/>
      <c r="E136" s="288" t="n"/>
      <c r="F136" s="334" t="n"/>
      <c r="G136" s="391" t="n"/>
      <c r="H136" s="284" t="n"/>
      <c r="I136" s="288" t="n"/>
      <c r="J136" s="288" t="n"/>
      <c r="K136" s="288" t="n"/>
      <c r="L136" s="288" t="n"/>
      <c r="M136" s="288" t="n"/>
      <c r="N136" s="288" t="n"/>
      <c r="O136" s="288" t="n"/>
      <c r="P136" s="288" t="n"/>
      <c r="Q136" s="288" t="n"/>
      <c r="R136" s="288" t="n"/>
      <c r="S136" s="284" t="n"/>
      <c r="T136" s="284" t="n"/>
      <c r="U136" s="285" t="n"/>
      <c r="V136" s="285" t="n"/>
      <c r="W136" s="285" t="n"/>
      <c r="X136" s="285" t="n"/>
      <c r="Y136" s="285" t="n"/>
      <c r="Z136" s="285" t="n"/>
      <c r="AA136" s="285" t="n"/>
    </row>
    <row r="137" ht="15.75" customHeight="1" s="398">
      <c r="A137" s="317" t="n"/>
      <c r="B137" s="317" t="n"/>
      <c r="C137" s="317" t="n"/>
      <c r="D137" s="315" t="n"/>
      <c r="E137" s="288" t="n"/>
      <c r="F137" s="334" t="n"/>
      <c r="G137" s="391" t="n"/>
      <c r="H137" s="284" t="n"/>
      <c r="I137" s="288" t="n"/>
      <c r="J137" s="288" t="n"/>
      <c r="K137" s="288" t="n"/>
      <c r="L137" s="288" t="n"/>
      <c r="M137" s="288" t="n"/>
      <c r="N137" s="288" t="n"/>
      <c r="O137" s="288" t="n"/>
      <c r="P137" s="288" t="n"/>
      <c r="Q137" s="288" t="n"/>
      <c r="R137" s="288" t="n"/>
      <c r="S137" s="284" t="n"/>
      <c r="T137" s="284" t="n"/>
      <c r="U137" s="285" t="n"/>
      <c r="V137" s="285" t="n"/>
      <c r="W137" s="285" t="n"/>
      <c r="X137" s="285" t="n"/>
      <c r="Y137" s="285" t="n"/>
      <c r="Z137" s="285" t="n"/>
      <c r="AA137" s="285" t="n"/>
    </row>
    <row r="138" ht="15.75" customHeight="1" s="398">
      <c r="A138" s="317" t="n"/>
      <c r="B138" s="317" t="n"/>
      <c r="C138" s="317" t="n"/>
      <c r="D138" s="315" t="n"/>
      <c r="E138" s="288" t="n"/>
      <c r="F138" s="334" t="n"/>
      <c r="G138" s="391" t="n"/>
      <c r="H138" s="284" t="n"/>
      <c r="I138" s="288" t="n"/>
      <c r="J138" s="288" t="n"/>
      <c r="K138" s="288" t="n"/>
      <c r="L138" s="288" t="n"/>
      <c r="M138" s="288" t="n"/>
      <c r="N138" s="288" t="n"/>
      <c r="O138" s="288" t="n"/>
      <c r="P138" s="288" t="n"/>
      <c r="Q138" s="288" t="n"/>
      <c r="R138" s="288" t="n"/>
      <c r="S138" s="284" t="n"/>
      <c r="T138" s="284" t="n"/>
      <c r="U138" s="285" t="n"/>
      <c r="V138" s="285" t="n"/>
      <c r="W138" s="285" t="n"/>
      <c r="X138" s="285" t="n"/>
      <c r="Y138" s="285" t="n"/>
      <c r="Z138" s="285" t="n"/>
      <c r="AA138" s="285" t="n"/>
    </row>
    <row r="139" ht="15.75" customHeight="1" s="398">
      <c r="A139" s="317" t="n"/>
      <c r="B139" s="317" t="n"/>
      <c r="C139" s="317" t="n"/>
      <c r="D139" s="315" t="n"/>
      <c r="E139" s="288" t="n"/>
      <c r="F139" s="334" t="n"/>
      <c r="G139" s="391" t="n"/>
      <c r="H139" s="284" t="n"/>
      <c r="I139" s="288" t="n"/>
      <c r="J139" s="288" t="n"/>
      <c r="K139" s="288" t="n"/>
      <c r="L139" s="288" t="n"/>
      <c r="M139" s="288" t="n"/>
      <c r="N139" s="288" t="n"/>
      <c r="O139" s="288" t="n"/>
      <c r="P139" s="288" t="n"/>
      <c r="Q139" s="288" t="n"/>
      <c r="R139" s="288" t="n"/>
      <c r="S139" s="284" t="n"/>
      <c r="T139" s="284" t="n"/>
      <c r="U139" s="285" t="n"/>
      <c r="V139" s="285" t="n"/>
      <c r="W139" s="285" t="n"/>
      <c r="X139" s="285" t="n"/>
      <c r="Y139" s="285" t="n"/>
      <c r="Z139" s="285" t="n"/>
      <c r="AA139" s="285" t="n"/>
    </row>
    <row r="140" ht="15.75" customHeight="1" s="398">
      <c r="A140" s="317" t="n"/>
      <c r="B140" s="317" t="n"/>
      <c r="C140" s="317" t="n"/>
      <c r="D140" s="315" t="n"/>
      <c r="E140" s="288" t="n"/>
      <c r="F140" s="334" t="n"/>
      <c r="G140" s="391" t="n"/>
      <c r="H140" s="284" t="n"/>
      <c r="I140" s="288" t="n"/>
      <c r="J140" s="288" t="n"/>
      <c r="K140" s="288" t="n"/>
      <c r="L140" s="288" t="n"/>
      <c r="M140" s="288" t="n"/>
      <c r="N140" s="288" t="n"/>
      <c r="O140" s="288" t="n"/>
      <c r="P140" s="288" t="n"/>
      <c r="Q140" s="288" t="n"/>
      <c r="R140" s="288" t="n"/>
      <c r="S140" s="284" t="n"/>
      <c r="T140" s="284" t="n"/>
      <c r="U140" s="285" t="n"/>
      <c r="V140" s="285" t="n"/>
      <c r="W140" s="285" t="n"/>
      <c r="X140" s="285" t="n"/>
      <c r="Y140" s="285" t="n"/>
      <c r="Z140" s="285" t="n"/>
      <c r="AA140" s="285" t="n"/>
    </row>
    <row r="141" ht="15.75" customHeight="1" s="398">
      <c r="A141" s="317" t="n"/>
      <c r="B141" s="317" t="n"/>
      <c r="C141" s="317" t="n"/>
      <c r="D141" s="315" t="n"/>
      <c r="E141" s="288" t="n"/>
      <c r="F141" s="334" t="n"/>
      <c r="G141" s="391" t="n"/>
      <c r="H141" s="284" t="n"/>
      <c r="I141" s="288" t="n"/>
      <c r="J141" s="288" t="n"/>
      <c r="K141" s="288" t="n"/>
      <c r="L141" s="288" t="n"/>
      <c r="M141" s="288" t="n"/>
      <c r="N141" s="288" t="n"/>
      <c r="O141" s="288" t="n"/>
      <c r="P141" s="288" t="n"/>
      <c r="Q141" s="288" t="n"/>
      <c r="R141" s="288" t="n"/>
      <c r="S141" s="284" t="n"/>
      <c r="T141" s="284" t="n"/>
      <c r="U141" s="285" t="n"/>
      <c r="V141" s="285" t="n"/>
      <c r="W141" s="285" t="n"/>
      <c r="X141" s="285" t="n"/>
      <c r="Y141" s="285" t="n"/>
      <c r="Z141" s="285" t="n"/>
      <c r="AA141" s="285" t="n"/>
    </row>
    <row r="142" ht="15.75" customHeight="1" s="398">
      <c r="A142" s="317" t="n"/>
      <c r="B142" s="317" t="n"/>
      <c r="C142" s="317" t="n"/>
      <c r="D142" s="315" t="n"/>
      <c r="E142" s="288" t="n"/>
      <c r="F142" s="334" t="n"/>
      <c r="G142" s="391" t="n"/>
      <c r="H142" s="284" t="n"/>
      <c r="I142" s="288" t="n"/>
      <c r="J142" s="288" t="n"/>
      <c r="K142" s="288" t="n"/>
      <c r="L142" s="288" t="n"/>
      <c r="M142" s="288" t="n"/>
      <c r="N142" s="288" t="n"/>
      <c r="O142" s="288" t="n"/>
      <c r="P142" s="288" t="n"/>
      <c r="Q142" s="288" t="n"/>
      <c r="R142" s="288" t="n"/>
      <c r="S142" s="284" t="n"/>
      <c r="T142" s="284" t="n"/>
      <c r="U142" s="285" t="n"/>
      <c r="V142" s="285" t="n"/>
      <c r="W142" s="285" t="n"/>
      <c r="X142" s="285" t="n"/>
      <c r="Y142" s="285" t="n"/>
      <c r="Z142" s="285" t="n"/>
      <c r="AA142" s="285" t="n"/>
    </row>
    <row r="143" ht="15.75" customHeight="1" s="398">
      <c r="A143" s="317" t="n"/>
      <c r="B143" s="317" t="n"/>
      <c r="C143" s="317" t="n"/>
      <c r="D143" s="315" t="n"/>
      <c r="E143" s="288" t="n"/>
      <c r="F143" s="334" t="n"/>
      <c r="G143" s="391" t="n"/>
      <c r="H143" s="284" t="n"/>
      <c r="I143" s="288" t="n"/>
      <c r="J143" s="288" t="n"/>
      <c r="K143" s="288" t="n"/>
      <c r="L143" s="288" t="n"/>
      <c r="M143" s="288" t="n"/>
      <c r="N143" s="288" t="n"/>
      <c r="O143" s="288" t="n"/>
      <c r="P143" s="288" t="n"/>
      <c r="Q143" s="288" t="n"/>
      <c r="R143" s="288" t="n"/>
      <c r="S143" s="284" t="n"/>
      <c r="T143" s="284" t="n"/>
      <c r="U143" s="285" t="n"/>
      <c r="V143" s="285" t="n"/>
      <c r="W143" s="285" t="n"/>
      <c r="X143" s="285" t="n"/>
      <c r="Y143" s="285" t="n"/>
      <c r="Z143" s="285" t="n"/>
      <c r="AA143" s="285" t="n"/>
    </row>
    <row r="144" ht="15.75" customHeight="1" s="398">
      <c r="A144" s="317" t="n"/>
      <c r="B144" s="317" t="n"/>
      <c r="C144" s="317" t="n"/>
      <c r="D144" s="315" t="n"/>
      <c r="E144" s="288" t="n"/>
      <c r="F144" s="334" t="n"/>
      <c r="G144" s="391" t="n"/>
      <c r="H144" s="284" t="n"/>
      <c r="I144" s="288" t="n"/>
      <c r="J144" s="288" t="n"/>
      <c r="K144" s="288" t="n"/>
      <c r="L144" s="288" t="n"/>
      <c r="M144" s="288" t="n"/>
      <c r="N144" s="288" t="n"/>
      <c r="O144" s="288" t="n"/>
      <c r="P144" s="288" t="n"/>
      <c r="Q144" s="288" t="n"/>
      <c r="R144" s="288" t="n"/>
      <c r="S144" s="284" t="n"/>
      <c r="T144" s="284" t="n"/>
      <c r="U144" s="285" t="n"/>
      <c r="V144" s="285" t="n"/>
      <c r="W144" s="285" t="n"/>
      <c r="X144" s="285" t="n"/>
      <c r="Y144" s="285" t="n"/>
      <c r="Z144" s="285" t="n"/>
      <c r="AA144" s="285" t="n"/>
    </row>
    <row r="145" ht="15.75" customHeight="1" s="398">
      <c r="A145" s="317" t="n"/>
      <c r="B145" s="317" t="n"/>
      <c r="C145" s="317" t="n"/>
      <c r="D145" s="315" t="n"/>
      <c r="E145" s="288" t="n"/>
      <c r="F145" s="334" t="n"/>
      <c r="G145" s="391" t="n"/>
      <c r="H145" s="284" t="n"/>
      <c r="I145" s="288" t="n"/>
      <c r="J145" s="288" t="n"/>
      <c r="K145" s="288" t="n"/>
      <c r="L145" s="288" t="n"/>
      <c r="M145" s="288" t="n"/>
      <c r="N145" s="288" t="n"/>
      <c r="O145" s="288" t="n"/>
      <c r="P145" s="288" t="n"/>
      <c r="Q145" s="288" t="n"/>
      <c r="R145" s="288" t="n"/>
      <c r="S145" s="284" t="n"/>
      <c r="T145" s="284" t="n"/>
      <c r="U145" s="285" t="n"/>
      <c r="V145" s="285" t="n"/>
      <c r="W145" s="285" t="n"/>
      <c r="X145" s="285" t="n"/>
      <c r="Y145" s="285" t="n"/>
      <c r="Z145" s="285" t="n"/>
      <c r="AA145" s="285" t="n"/>
    </row>
    <row r="146" ht="15.75" customHeight="1" s="398">
      <c r="A146" s="317" t="n"/>
      <c r="B146" s="317" t="n"/>
      <c r="C146" s="317" t="n"/>
      <c r="D146" s="315" t="n"/>
      <c r="E146" s="288" t="n"/>
      <c r="F146" s="334" t="n"/>
      <c r="G146" s="391" t="n"/>
      <c r="H146" s="284" t="n"/>
      <c r="I146" s="288" t="n"/>
      <c r="J146" s="288" t="n"/>
      <c r="K146" s="288" t="n"/>
      <c r="L146" s="288" t="n"/>
      <c r="M146" s="288" t="n"/>
      <c r="N146" s="288" t="n"/>
      <c r="O146" s="288" t="n"/>
      <c r="P146" s="288" t="n"/>
      <c r="Q146" s="288" t="n"/>
      <c r="R146" s="288" t="n"/>
      <c r="S146" s="284" t="n"/>
      <c r="T146" s="284" t="n"/>
      <c r="U146" s="285" t="n"/>
      <c r="V146" s="285" t="n"/>
      <c r="W146" s="285" t="n"/>
      <c r="X146" s="285" t="n"/>
      <c r="Y146" s="285" t="n"/>
      <c r="Z146" s="285" t="n"/>
      <c r="AA146" s="285" t="n"/>
    </row>
    <row r="147" ht="15.75" customHeight="1" s="398">
      <c r="A147" s="317" t="n"/>
      <c r="B147" s="317" t="n"/>
      <c r="C147" s="317" t="n"/>
      <c r="D147" s="315" t="n"/>
      <c r="E147" s="288" t="n"/>
      <c r="F147" s="334" t="n"/>
      <c r="G147" s="391" t="n"/>
      <c r="H147" s="284" t="n"/>
      <c r="I147" s="288" t="n"/>
      <c r="J147" s="288" t="n"/>
      <c r="K147" s="288" t="n"/>
      <c r="L147" s="288" t="n"/>
      <c r="M147" s="288" t="n"/>
      <c r="N147" s="288" t="n"/>
      <c r="O147" s="288" t="n"/>
      <c r="P147" s="288" t="n"/>
      <c r="Q147" s="288" t="n"/>
      <c r="R147" s="288" t="n"/>
      <c r="S147" s="284" t="n"/>
      <c r="T147" s="284" t="n"/>
      <c r="U147" s="285" t="n"/>
      <c r="V147" s="285" t="n"/>
      <c r="W147" s="285" t="n"/>
      <c r="X147" s="285" t="n"/>
      <c r="Y147" s="285" t="n"/>
      <c r="Z147" s="285" t="n"/>
      <c r="AA147" s="285" t="n"/>
    </row>
    <row r="148" ht="15.75" customHeight="1" s="398">
      <c r="A148" s="317" t="n"/>
      <c r="B148" s="317" t="n"/>
      <c r="C148" s="317" t="n"/>
      <c r="D148" s="315" t="n"/>
      <c r="E148" s="288" t="n"/>
      <c r="F148" s="334" t="n"/>
      <c r="G148" s="391" t="n"/>
      <c r="H148" s="284" t="n"/>
      <c r="I148" s="288" t="n"/>
      <c r="J148" s="288" t="n"/>
      <c r="K148" s="288" t="n"/>
      <c r="L148" s="288" t="n"/>
      <c r="M148" s="288" t="n"/>
      <c r="N148" s="288" t="n"/>
      <c r="O148" s="288" t="n"/>
      <c r="P148" s="288" t="n"/>
      <c r="Q148" s="288" t="n"/>
      <c r="R148" s="288" t="n"/>
      <c r="S148" s="284" t="n"/>
      <c r="T148" s="284" t="n"/>
      <c r="U148" s="285" t="n"/>
      <c r="V148" s="285" t="n"/>
      <c r="W148" s="285" t="n"/>
      <c r="X148" s="285" t="n"/>
      <c r="Y148" s="285" t="n"/>
      <c r="Z148" s="285" t="n"/>
      <c r="AA148" s="285" t="n"/>
    </row>
    <row r="149" ht="15.75" customHeight="1" s="398">
      <c r="A149" s="317" t="n"/>
      <c r="B149" s="317" t="n"/>
      <c r="C149" s="317" t="n"/>
      <c r="D149" s="315" t="n"/>
      <c r="E149" s="288" t="n"/>
      <c r="F149" s="334" t="n"/>
      <c r="G149" s="391" t="n"/>
      <c r="H149" s="284" t="n"/>
      <c r="I149" s="288" t="n"/>
      <c r="J149" s="288" t="n"/>
      <c r="K149" s="288" t="n"/>
      <c r="L149" s="288" t="n"/>
      <c r="M149" s="288" t="n"/>
      <c r="N149" s="288" t="n"/>
      <c r="O149" s="288" t="n"/>
      <c r="P149" s="288" t="n"/>
      <c r="Q149" s="288" t="n"/>
      <c r="R149" s="288" t="n"/>
      <c r="S149" s="284" t="n"/>
      <c r="T149" s="284" t="n"/>
      <c r="U149" s="285" t="n"/>
      <c r="V149" s="285" t="n"/>
      <c r="W149" s="285" t="n"/>
      <c r="X149" s="285" t="n"/>
      <c r="Y149" s="285" t="n"/>
      <c r="Z149" s="285" t="n"/>
      <c r="AA149" s="285" t="n"/>
    </row>
    <row r="150" ht="15.75" customHeight="1" s="398">
      <c r="A150" s="317" t="n"/>
      <c r="B150" s="317" t="n"/>
      <c r="C150" s="317" t="n"/>
      <c r="D150" s="315" t="n"/>
      <c r="E150" s="288" t="n"/>
      <c r="F150" s="334" t="n"/>
      <c r="G150" s="391" t="n"/>
      <c r="H150" s="284" t="n"/>
      <c r="I150" s="288" t="n"/>
      <c r="J150" s="288" t="n"/>
      <c r="K150" s="288" t="n"/>
      <c r="L150" s="288" t="n"/>
      <c r="M150" s="288" t="n"/>
      <c r="N150" s="288" t="n"/>
      <c r="O150" s="288" t="n"/>
      <c r="P150" s="288" t="n"/>
      <c r="Q150" s="288" t="n"/>
      <c r="R150" s="288" t="n"/>
      <c r="S150" s="284" t="n"/>
      <c r="T150" s="284" t="n"/>
      <c r="U150" s="285" t="n"/>
      <c r="V150" s="285" t="n"/>
      <c r="W150" s="285" t="n"/>
      <c r="X150" s="285" t="n"/>
      <c r="Y150" s="285" t="n"/>
      <c r="Z150" s="285" t="n"/>
      <c r="AA150" s="285" t="n"/>
    </row>
    <row r="151" ht="15.75" customHeight="1" s="398">
      <c r="A151" s="317" t="n"/>
      <c r="B151" s="317" t="n"/>
      <c r="C151" s="317" t="n"/>
      <c r="D151" s="315" t="n"/>
      <c r="E151" s="288" t="n"/>
      <c r="F151" s="334" t="n"/>
      <c r="G151" s="391" t="n"/>
      <c r="H151" s="284" t="n"/>
      <c r="I151" s="288" t="n"/>
      <c r="J151" s="288" t="n"/>
      <c r="K151" s="288" t="n"/>
      <c r="L151" s="288" t="n"/>
      <c r="M151" s="288" t="n"/>
      <c r="N151" s="288" t="n"/>
      <c r="O151" s="288" t="n"/>
      <c r="P151" s="288" t="n"/>
      <c r="Q151" s="288" t="n"/>
      <c r="R151" s="288" t="n"/>
      <c r="S151" s="284" t="n"/>
      <c r="T151" s="284" t="n"/>
      <c r="U151" s="285" t="n"/>
      <c r="V151" s="285" t="n"/>
      <c r="W151" s="285" t="n"/>
      <c r="X151" s="285" t="n"/>
      <c r="Y151" s="285" t="n"/>
      <c r="Z151" s="285" t="n"/>
      <c r="AA151" s="285" t="n"/>
    </row>
    <row r="152" ht="15.75" customHeight="1" s="398">
      <c r="A152" s="317" t="n"/>
      <c r="B152" s="317" t="n"/>
      <c r="C152" s="317" t="n"/>
      <c r="D152" s="315" t="n"/>
      <c r="E152" s="288" t="n"/>
      <c r="F152" s="334" t="n"/>
      <c r="G152" s="391" t="n"/>
      <c r="H152" s="284" t="n"/>
      <c r="I152" s="288" t="n"/>
      <c r="J152" s="288" t="n"/>
      <c r="K152" s="288" t="n"/>
      <c r="L152" s="288" t="n"/>
      <c r="M152" s="288" t="n"/>
      <c r="N152" s="288" t="n"/>
      <c r="O152" s="288" t="n"/>
      <c r="P152" s="288" t="n"/>
      <c r="Q152" s="288" t="n"/>
      <c r="R152" s="288" t="n"/>
      <c r="S152" s="284" t="n"/>
      <c r="T152" s="284" t="n"/>
      <c r="U152" s="285" t="n"/>
      <c r="V152" s="285" t="n"/>
      <c r="W152" s="285" t="n"/>
      <c r="X152" s="285" t="n"/>
      <c r="Y152" s="285" t="n"/>
      <c r="Z152" s="285" t="n"/>
      <c r="AA152" s="285" t="n"/>
    </row>
    <row r="153" ht="15.75" customHeight="1" s="398">
      <c r="A153" s="317" t="n"/>
      <c r="B153" s="317" t="n"/>
      <c r="C153" s="317" t="n"/>
      <c r="D153" s="315" t="n"/>
      <c r="E153" s="288" t="n"/>
      <c r="F153" s="334" t="n"/>
      <c r="G153" s="391" t="n"/>
      <c r="H153" s="284" t="n"/>
      <c r="I153" s="288" t="n"/>
      <c r="J153" s="288" t="n"/>
      <c r="K153" s="288" t="n"/>
      <c r="L153" s="288" t="n"/>
      <c r="M153" s="288" t="n"/>
      <c r="N153" s="288" t="n"/>
      <c r="O153" s="288" t="n"/>
      <c r="P153" s="288" t="n"/>
      <c r="Q153" s="288" t="n"/>
      <c r="R153" s="288" t="n"/>
      <c r="S153" s="284" t="n"/>
      <c r="T153" s="284" t="n"/>
      <c r="U153" s="285" t="n"/>
      <c r="V153" s="285" t="n"/>
      <c r="W153" s="285" t="n"/>
      <c r="X153" s="285" t="n"/>
      <c r="Y153" s="285" t="n"/>
      <c r="Z153" s="285" t="n"/>
      <c r="AA153" s="285" t="n"/>
    </row>
    <row r="154" ht="15.75" customHeight="1" s="398">
      <c r="A154" s="317" t="n"/>
      <c r="B154" s="317" t="n"/>
      <c r="C154" s="317" t="n"/>
      <c r="D154" s="315" t="n"/>
      <c r="E154" s="288" t="n"/>
      <c r="F154" s="334" t="n"/>
      <c r="G154" s="391" t="n"/>
      <c r="H154" s="284" t="n"/>
      <c r="I154" s="288" t="n"/>
      <c r="J154" s="288" t="n"/>
      <c r="K154" s="288" t="n"/>
      <c r="L154" s="288" t="n"/>
      <c r="M154" s="288" t="n"/>
      <c r="N154" s="288" t="n"/>
      <c r="O154" s="288" t="n"/>
      <c r="P154" s="288" t="n"/>
      <c r="Q154" s="288" t="n"/>
      <c r="R154" s="288" t="n"/>
      <c r="S154" s="284" t="n"/>
      <c r="T154" s="284" t="n"/>
      <c r="U154" s="285" t="n"/>
      <c r="V154" s="285" t="n"/>
      <c r="W154" s="285" t="n"/>
      <c r="X154" s="285" t="n"/>
      <c r="Y154" s="285" t="n"/>
      <c r="Z154" s="285" t="n"/>
      <c r="AA154" s="285" t="n"/>
    </row>
    <row r="155" ht="15.75" customHeight="1" s="398">
      <c r="A155" s="317" t="n"/>
      <c r="B155" s="317" t="n"/>
      <c r="C155" s="317" t="n"/>
      <c r="D155" s="315" t="n"/>
      <c r="E155" s="288" t="n"/>
      <c r="F155" s="334" t="n"/>
      <c r="G155" s="391" t="n"/>
      <c r="H155" s="284" t="n"/>
      <c r="I155" s="288" t="n"/>
      <c r="J155" s="288" t="n"/>
      <c r="K155" s="288" t="n"/>
      <c r="L155" s="288" t="n"/>
      <c r="M155" s="288" t="n"/>
      <c r="N155" s="288" t="n"/>
      <c r="O155" s="288" t="n"/>
      <c r="P155" s="288" t="n"/>
      <c r="Q155" s="288" t="n"/>
      <c r="R155" s="288" t="n"/>
      <c r="S155" s="284" t="n"/>
      <c r="T155" s="284" t="n"/>
      <c r="U155" s="285" t="n"/>
      <c r="V155" s="285" t="n"/>
      <c r="W155" s="285" t="n"/>
      <c r="X155" s="285" t="n"/>
      <c r="Y155" s="285" t="n"/>
      <c r="Z155" s="285" t="n"/>
      <c r="AA155" s="285" t="n"/>
    </row>
    <row r="156" ht="15.75" customHeight="1" s="398">
      <c r="A156" s="317" t="n"/>
      <c r="B156" s="317" t="n"/>
      <c r="C156" s="317" t="n"/>
      <c r="D156" s="315" t="n"/>
      <c r="E156" s="288" t="n"/>
      <c r="F156" s="334" t="n"/>
      <c r="G156" s="391" t="n"/>
      <c r="H156" s="284" t="n"/>
      <c r="I156" s="288" t="n"/>
      <c r="J156" s="288" t="n"/>
      <c r="K156" s="288" t="n"/>
      <c r="L156" s="288" t="n"/>
      <c r="M156" s="288" t="n"/>
      <c r="N156" s="288" t="n"/>
      <c r="O156" s="288" t="n"/>
      <c r="P156" s="288" t="n"/>
      <c r="Q156" s="288" t="n"/>
      <c r="R156" s="288" t="n"/>
      <c r="S156" s="284" t="n"/>
      <c r="T156" s="284" t="n"/>
      <c r="U156" s="285" t="n"/>
      <c r="V156" s="285" t="n"/>
      <c r="W156" s="285" t="n"/>
      <c r="X156" s="285" t="n"/>
      <c r="Y156" s="285" t="n"/>
      <c r="Z156" s="285" t="n"/>
      <c r="AA156" s="285" t="n"/>
    </row>
    <row r="157" ht="15.75" customHeight="1" s="398">
      <c r="A157" s="317" t="n"/>
      <c r="B157" s="317" t="n"/>
      <c r="C157" s="317" t="n"/>
      <c r="D157" s="315" t="n"/>
      <c r="E157" s="288" t="n"/>
      <c r="F157" s="334" t="n"/>
      <c r="G157" s="391" t="n"/>
      <c r="H157" s="284" t="n"/>
      <c r="I157" s="288" t="n"/>
      <c r="J157" s="288" t="n"/>
      <c r="K157" s="288" t="n"/>
      <c r="L157" s="288" t="n"/>
      <c r="M157" s="288" t="n"/>
      <c r="N157" s="288" t="n"/>
      <c r="O157" s="288" t="n"/>
      <c r="P157" s="288" t="n"/>
      <c r="Q157" s="288" t="n"/>
      <c r="R157" s="288" t="n"/>
      <c r="S157" s="284" t="n"/>
      <c r="T157" s="284" t="n"/>
      <c r="U157" s="285" t="n"/>
      <c r="V157" s="285" t="n"/>
      <c r="W157" s="285" t="n"/>
      <c r="X157" s="285" t="n"/>
      <c r="Y157" s="285" t="n"/>
      <c r="Z157" s="285" t="n"/>
      <c r="AA157" s="285" t="n"/>
    </row>
    <row r="158" ht="15.75" customHeight="1" s="398">
      <c r="A158" s="317" t="n"/>
      <c r="B158" s="317" t="n"/>
      <c r="C158" s="317" t="n"/>
      <c r="D158" s="315" t="n"/>
      <c r="E158" s="288" t="n"/>
      <c r="F158" s="334" t="n"/>
      <c r="G158" s="391" t="n"/>
      <c r="H158" s="284" t="n"/>
      <c r="I158" s="288" t="n"/>
      <c r="J158" s="288" t="n"/>
      <c r="K158" s="288" t="n"/>
      <c r="L158" s="288" t="n"/>
      <c r="M158" s="288" t="n"/>
      <c r="N158" s="288" t="n"/>
      <c r="O158" s="288" t="n"/>
      <c r="P158" s="288" t="n"/>
      <c r="Q158" s="288" t="n"/>
      <c r="R158" s="288" t="n"/>
      <c r="S158" s="284" t="n"/>
      <c r="T158" s="284" t="n"/>
      <c r="U158" s="285" t="n"/>
      <c r="V158" s="285" t="n"/>
      <c r="W158" s="285" t="n"/>
      <c r="X158" s="285" t="n"/>
      <c r="Y158" s="285" t="n"/>
      <c r="Z158" s="285" t="n"/>
      <c r="AA158" s="285" t="n"/>
    </row>
    <row r="159" ht="15.75" customHeight="1" s="398">
      <c r="A159" s="317" t="n"/>
      <c r="B159" s="317" t="n"/>
      <c r="C159" s="317" t="n"/>
      <c r="D159" s="315" t="n"/>
      <c r="E159" s="288" t="n"/>
      <c r="F159" s="334" t="n"/>
      <c r="G159" s="391" t="n"/>
      <c r="H159" s="284" t="n"/>
      <c r="I159" s="288" t="n"/>
      <c r="J159" s="288" t="n"/>
      <c r="K159" s="288" t="n"/>
      <c r="L159" s="288" t="n"/>
      <c r="M159" s="288" t="n"/>
      <c r="N159" s="288" t="n"/>
      <c r="O159" s="288" t="n"/>
      <c r="P159" s="288" t="n"/>
      <c r="Q159" s="288" t="n"/>
      <c r="R159" s="288" t="n"/>
      <c r="S159" s="284" t="n"/>
      <c r="T159" s="284" t="n"/>
      <c r="U159" s="285" t="n"/>
      <c r="V159" s="285" t="n"/>
      <c r="W159" s="285" t="n"/>
      <c r="X159" s="285" t="n"/>
      <c r="Y159" s="285" t="n"/>
      <c r="Z159" s="285" t="n"/>
      <c r="AA159" s="285" t="n"/>
    </row>
    <row r="160" ht="15.75" customHeight="1" s="398">
      <c r="A160" s="317" t="n"/>
      <c r="B160" s="317" t="n"/>
      <c r="C160" s="317" t="n"/>
      <c r="D160" s="315" t="n"/>
      <c r="E160" s="288" t="n"/>
      <c r="F160" s="334" t="n"/>
      <c r="G160" s="391" t="n"/>
      <c r="H160" s="284" t="n"/>
      <c r="I160" s="288" t="n"/>
      <c r="J160" s="288" t="n"/>
      <c r="K160" s="288" t="n"/>
      <c r="L160" s="288" t="n"/>
      <c r="M160" s="288" t="n"/>
      <c r="N160" s="288" t="n"/>
      <c r="O160" s="288" t="n"/>
      <c r="P160" s="288" t="n"/>
      <c r="Q160" s="288" t="n"/>
      <c r="R160" s="288" t="n"/>
      <c r="S160" s="284" t="n"/>
      <c r="T160" s="284" t="n"/>
      <c r="U160" s="285" t="n"/>
      <c r="V160" s="285" t="n"/>
      <c r="W160" s="285" t="n"/>
      <c r="X160" s="285" t="n"/>
      <c r="Y160" s="285" t="n"/>
      <c r="Z160" s="285" t="n"/>
      <c r="AA160" s="285" t="n"/>
    </row>
    <row r="161" ht="15.75" customHeight="1" s="398">
      <c r="A161" s="317" t="n"/>
      <c r="B161" s="317" t="n"/>
      <c r="C161" s="317" t="n"/>
      <c r="D161" s="315" t="n"/>
      <c r="E161" s="288" t="n"/>
      <c r="F161" s="334" t="n"/>
      <c r="G161" s="391" t="n"/>
      <c r="H161" s="284" t="n"/>
      <c r="I161" s="288" t="n"/>
      <c r="J161" s="288" t="n"/>
      <c r="K161" s="288" t="n"/>
      <c r="L161" s="288" t="n"/>
      <c r="M161" s="288" t="n"/>
      <c r="N161" s="288" t="n"/>
      <c r="O161" s="288" t="n"/>
      <c r="P161" s="288" t="n"/>
      <c r="Q161" s="288" t="n"/>
      <c r="R161" s="288" t="n"/>
      <c r="S161" s="284" t="n"/>
      <c r="T161" s="284" t="n"/>
      <c r="U161" s="285" t="n"/>
      <c r="V161" s="285" t="n"/>
      <c r="W161" s="285" t="n"/>
      <c r="X161" s="285" t="n"/>
      <c r="Y161" s="285" t="n"/>
      <c r="Z161" s="285" t="n"/>
      <c r="AA161" s="285" t="n"/>
    </row>
    <row r="162" ht="15.75" customHeight="1" s="398">
      <c r="A162" s="317" t="n"/>
      <c r="B162" s="317" t="n"/>
      <c r="C162" s="317" t="n"/>
      <c r="D162" s="315" t="n"/>
      <c r="E162" s="288" t="n"/>
      <c r="F162" s="334" t="n"/>
      <c r="G162" s="391" t="n"/>
      <c r="H162" s="284" t="n"/>
      <c r="I162" s="288" t="n"/>
      <c r="J162" s="288" t="n"/>
      <c r="K162" s="288" t="n"/>
      <c r="L162" s="288" t="n"/>
      <c r="M162" s="288" t="n"/>
      <c r="N162" s="288" t="n"/>
      <c r="O162" s="288" t="n"/>
      <c r="P162" s="288" t="n"/>
      <c r="Q162" s="288" t="n"/>
      <c r="R162" s="288" t="n"/>
      <c r="S162" s="284" t="n"/>
      <c r="T162" s="284" t="n"/>
      <c r="U162" s="285" t="n"/>
      <c r="V162" s="285" t="n"/>
      <c r="W162" s="285" t="n"/>
      <c r="X162" s="285" t="n"/>
      <c r="Y162" s="285" t="n"/>
      <c r="Z162" s="285" t="n"/>
      <c r="AA162" s="285" t="n"/>
    </row>
    <row r="163" ht="15.75" customHeight="1" s="398">
      <c r="A163" s="317" t="n"/>
      <c r="B163" s="317" t="n"/>
      <c r="C163" s="317" t="n"/>
      <c r="D163" s="315" t="n"/>
      <c r="E163" s="288" t="n"/>
      <c r="F163" s="334" t="n"/>
      <c r="G163" s="391" t="n"/>
      <c r="H163" s="284" t="n"/>
      <c r="I163" s="288" t="n"/>
      <c r="J163" s="288" t="n"/>
      <c r="K163" s="288" t="n"/>
      <c r="L163" s="288" t="n"/>
      <c r="M163" s="288" t="n"/>
      <c r="N163" s="288" t="n"/>
      <c r="O163" s="288" t="n"/>
      <c r="P163" s="288" t="n"/>
      <c r="Q163" s="288" t="n"/>
      <c r="R163" s="288" t="n"/>
      <c r="S163" s="284" t="n"/>
      <c r="T163" s="284" t="n"/>
      <c r="U163" s="285" t="n"/>
      <c r="V163" s="285" t="n"/>
      <c r="W163" s="285" t="n"/>
      <c r="X163" s="285" t="n"/>
      <c r="Y163" s="285" t="n"/>
      <c r="Z163" s="285" t="n"/>
      <c r="AA163" s="285" t="n"/>
    </row>
    <row r="164" ht="15.75" customHeight="1" s="398">
      <c r="A164" s="317" t="n"/>
      <c r="B164" s="317" t="n"/>
      <c r="C164" s="317" t="n"/>
      <c r="D164" s="315" t="n"/>
      <c r="E164" s="288" t="n"/>
      <c r="F164" s="334" t="n"/>
      <c r="G164" s="391" t="n"/>
      <c r="H164" s="284" t="n"/>
      <c r="I164" s="288" t="n"/>
      <c r="J164" s="288" t="n"/>
      <c r="K164" s="288" t="n"/>
      <c r="L164" s="288" t="n"/>
      <c r="M164" s="288" t="n"/>
      <c r="N164" s="288" t="n"/>
      <c r="O164" s="288" t="n"/>
      <c r="P164" s="288" t="n"/>
      <c r="Q164" s="288" t="n"/>
      <c r="R164" s="288" t="n"/>
      <c r="S164" s="284" t="n"/>
      <c r="T164" s="284" t="n"/>
      <c r="U164" s="285" t="n"/>
      <c r="V164" s="285" t="n"/>
      <c r="W164" s="285" t="n"/>
      <c r="X164" s="285" t="n"/>
      <c r="Y164" s="285" t="n"/>
      <c r="Z164" s="285" t="n"/>
      <c r="AA164" s="285" t="n"/>
    </row>
    <row r="165" ht="15.75" customHeight="1" s="398">
      <c r="A165" s="317" t="n"/>
      <c r="B165" s="317" t="n"/>
      <c r="C165" s="317" t="n"/>
      <c r="D165" s="315" t="n"/>
      <c r="E165" s="288" t="n"/>
      <c r="F165" s="334" t="n"/>
      <c r="G165" s="391" t="n"/>
      <c r="H165" s="284" t="n"/>
      <c r="I165" s="288" t="n"/>
      <c r="J165" s="288" t="n"/>
      <c r="K165" s="288" t="n"/>
      <c r="L165" s="288" t="n"/>
      <c r="M165" s="288" t="n"/>
      <c r="N165" s="288" t="n"/>
      <c r="O165" s="288" t="n"/>
      <c r="P165" s="288" t="n"/>
      <c r="Q165" s="288" t="n"/>
      <c r="R165" s="288" t="n"/>
      <c r="S165" s="284" t="n"/>
      <c r="T165" s="284" t="n"/>
      <c r="U165" s="285" t="n"/>
      <c r="V165" s="285" t="n"/>
      <c r="W165" s="285" t="n"/>
      <c r="X165" s="285" t="n"/>
      <c r="Y165" s="285" t="n"/>
      <c r="Z165" s="285" t="n"/>
      <c r="AA165" s="285" t="n"/>
    </row>
    <row r="166" ht="15.75" customHeight="1" s="398">
      <c r="A166" s="317" t="n"/>
      <c r="B166" s="317" t="n"/>
      <c r="C166" s="317" t="n"/>
      <c r="D166" s="315" t="n"/>
      <c r="E166" s="288" t="n"/>
      <c r="F166" s="334" t="n"/>
      <c r="G166" s="391" t="n"/>
      <c r="H166" s="284" t="n"/>
      <c r="I166" s="288" t="n"/>
      <c r="J166" s="288" t="n"/>
      <c r="K166" s="288" t="n"/>
      <c r="L166" s="288" t="n"/>
      <c r="M166" s="288" t="n"/>
      <c r="N166" s="288" t="n"/>
      <c r="O166" s="288" t="n"/>
      <c r="P166" s="288" t="n"/>
      <c r="Q166" s="288" t="n"/>
      <c r="R166" s="288" t="n"/>
      <c r="S166" s="284" t="n"/>
      <c r="T166" s="284" t="n"/>
      <c r="U166" s="285" t="n"/>
      <c r="V166" s="285" t="n"/>
      <c r="W166" s="285" t="n"/>
      <c r="X166" s="285" t="n"/>
      <c r="Y166" s="285" t="n"/>
      <c r="Z166" s="285" t="n"/>
      <c r="AA166" s="285" t="n"/>
    </row>
    <row r="167" ht="15.75" customHeight="1" s="398">
      <c r="A167" s="317" t="n"/>
      <c r="B167" s="317" t="n"/>
      <c r="C167" s="317" t="n"/>
      <c r="D167" s="315" t="n"/>
      <c r="E167" s="288" t="n"/>
      <c r="F167" s="334" t="n"/>
      <c r="G167" s="391" t="n"/>
      <c r="H167" s="284" t="n"/>
      <c r="I167" s="288" t="n"/>
      <c r="J167" s="288" t="n"/>
      <c r="K167" s="288" t="n"/>
      <c r="L167" s="288" t="n"/>
      <c r="M167" s="288" t="n"/>
      <c r="N167" s="288" t="n"/>
      <c r="O167" s="288" t="n"/>
      <c r="P167" s="288" t="n"/>
      <c r="Q167" s="288" t="n"/>
      <c r="R167" s="288" t="n"/>
      <c r="S167" s="284" t="n"/>
      <c r="T167" s="284" t="n"/>
      <c r="U167" s="285" t="n"/>
      <c r="V167" s="285" t="n"/>
      <c r="W167" s="285" t="n"/>
      <c r="X167" s="285" t="n"/>
      <c r="Y167" s="285" t="n"/>
      <c r="Z167" s="285" t="n"/>
      <c r="AA167" s="285" t="n"/>
    </row>
    <row r="168" ht="15.75" customHeight="1" s="398">
      <c r="A168" s="317" t="n"/>
      <c r="B168" s="317" t="n"/>
      <c r="C168" s="317" t="n"/>
      <c r="D168" s="315" t="n"/>
      <c r="E168" s="288" t="n"/>
      <c r="F168" s="334" t="n"/>
      <c r="G168" s="391" t="n"/>
      <c r="H168" s="284" t="n"/>
      <c r="I168" s="288" t="n"/>
      <c r="J168" s="288" t="n"/>
      <c r="K168" s="288" t="n"/>
      <c r="L168" s="288" t="n"/>
      <c r="M168" s="288" t="n"/>
      <c r="N168" s="288" t="n"/>
      <c r="O168" s="288" t="n"/>
      <c r="P168" s="288" t="n"/>
      <c r="Q168" s="288" t="n"/>
      <c r="R168" s="288" t="n"/>
      <c r="S168" s="284" t="n"/>
      <c r="T168" s="284" t="n"/>
      <c r="U168" s="285" t="n"/>
      <c r="V168" s="285" t="n"/>
      <c r="W168" s="285" t="n"/>
      <c r="X168" s="285" t="n"/>
      <c r="Y168" s="285" t="n"/>
      <c r="Z168" s="285" t="n"/>
      <c r="AA168" s="285" t="n"/>
    </row>
    <row r="169" ht="15.75" customHeight="1" s="398">
      <c r="A169" s="317" t="n"/>
      <c r="B169" s="317" t="n"/>
      <c r="C169" s="317" t="n"/>
      <c r="D169" s="315" t="n"/>
      <c r="E169" s="288" t="n"/>
      <c r="F169" s="334" t="n"/>
      <c r="G169" s="391" t="n"/>
      <c r="H169" s="284" t="n"/>
      <c r="I169" s="288" t="n"/>
      <c r="J169" s="288" t="n"/>
      <c r="K169" s="288" t="n"/>
      <c r="L169" s="288" t="n"/>
      <c r="M169" s="288" t="n"/>
      <c r="N169" s="288" t="n"/>
      <c r="O169" s="288" t="n"/>
      <c r="P169" s="288" t="n"/>
      <c r="Q169" s="288" t="n"/>
      <c r="R169" s="288" t="n"/>
      <c r="S169" s="284" t="n"/>
      <c r="T169" s="284" t="n"/>
      <c r="U169" s="285" t="n"/>
      <c r="V169" s="285" t="n"/>
      <c r="W169" s="285" t="n"/>
      <c r="X169" s="285" t="n"/>
      <c r="Y169" s="285" t="n"/>
      <c r="Z169" s="285" t="n"/>
      <c r="AA169" s="285" t="n"/>
    </row>
    <row r="170" ht="15.75" customHeight="1" s="398">
      <c r="A170" s="317" t="n"/>
      <c r="B170" s="317" t="n"/>
      <c r="C170" s="317" t="n"/>
      <c r="D170" s="315" t="n"/>
      <c r="E170" s="288" t="n"/>
      <c r="F170" s="334" t="n"/>
      <c r="G170" s="391" t="n"/>
      <c r="H170" s="284" t="n"/>
      <c r="I170" s="288" t="n"/>
      <c r="J170" s="288" t="n"/>
      <c r="K170" s="288" t="n"/>
      <c r="L170" s="288" t="n"/>
      <c r="M170" s="288" t="n"/>
      <c r="N170" s="288" t="n"/>
      <c r="O170" s="288" t="n"/>
      <c r="P170" s="288" t="n"/>
      <c r="Q170" s="288" t="n"/>
      <c r="R170" s="288" t="n"/>
      <c r="S170" s="284" t="n"/>
      <c r="T170" s="284" t="n"/>
      <c r="U170" s="285" t="n"/>
      <c r="V170" s="285" t="n"/>
      <c r="W170" s="285" t="n"/>
      <c r="X170" s="285" t="n"/>
      <c r="Y170" s="285" t="n"/>
      <c r="Z170" s="285" t="n"/>
      <c r="AA170" s="285" t="n"/>
    </row>
    <row r="171" ht="15.75" customHeight="1" s="398">
      <c r="A171" s="317" t="n"/>
      <c r="B171" s="317" t="n"/>
      <c r="C171" s="317" t="n"/>
      <c r="D171" s="315" t="n"/>
      <c r="E171" s="288" t="n"/>
      <c r="F171" s="334" t="n"/>
      <c r="G171" s="391" t="n"/>
      <c r="H171" s="284" t="n"/>
      <c r="I171" s="288" t="n"/>
      <c r="J171" s="288" t="n"/>
      <c r="K171" s="288" t="n"/>
      <c r="L171" s="288" t="n"/>
      <c r="M171" s="288" t="n"/>
      <c r="N171" s="288" t="n"/>
      <c r="O171" s="288" t="n"/>
      <c r="P171" s="288" t="n"/>
      <c r="Q171" s="288" t="n"/>
      <c r="R171" s="288" t="n"/>
      <c r="S171" s="284" t="n"/>
      <c r="T171" s="284" t="n"/>
      <c r="U171" s="285" t="n"/>
      <c r="V171" s="285" t="n"/>
      <c r="W171" s="285" t="n"/>
      <c r="X171" s="285" t="n"/>
      <c r="Y171" s="285" t="n"/>
      <c r="Z171" s="285" t="n"/>
      <c r="AA171" s="285" t="n"/>
    </row>
    <row r="172" ht="15.75" customHeight="1" s="398">
      <c r="A172" s="317" t="n"/>
      <c r="B172" s="317" t="n"/>
      <c r="C172" s="317" t="n"/>
      <c r="D172" s="315" t="n"/>
      <c r="E172" s="288" t="n"/>
      <c r="F172" s="334" t="n"/>
      <c r="G172" s="391" t="n"/>
      <c r="H172" s="284" t="n"/>
      <c r="I172" s="288" t="n"/>
      <c r="J172" s="288" t="n"/>
      <c r="K172" s="288" t="n"/>
      <c r="L172" s="288" t="n"/>
      <c r="M172" s="288" t="n"/>
      <c r="N172" s="288" t="n"/>
      <c r="O172" s="288" t="n"/>
      <c r="P172" s="288" t="n"/>
      <c r="Q172" s="288" t="n"/>
      <c r="R172" s="288" t="n"/>
      <c r="S172" s="284" t="n"/>
      <c r="T172" s="284" t="n"/>
      <c r="U172" s="285" t="n"/>
      <c r="V172" s="285" t="n"/>
      <c r="W172" s="285" t="n"/>
      <c r="X172" s="285" t="n"/>
      <c r="Y172" s="285" t="n"/>
      <c r="Z172" s="285" t="n"/>
      <c r="AA172" s="285" t="n"/>
    </row>
    <row r="173" ht="15.75" customHeight="1" s="398">
      <c r="A173" s="317" t="n"/>
      <c r="B173" s="317" t="n"/>
      <c r="C173" s="317" t="n"/>
      <c r="D173" s="315" t="n"/>
      <c r="E173" s="288" t="n"/>
      <c r="F173" s="334" t="n"/>
      <c r="G173" s="391" t="n"/>
      <c r="H173" s="284" t="n"/>
      <c r="I173" s="288" t="n"/>
      <c r="J173" s="288" t="n"/>
      <c r="K173" s="288" t="n"/>
      <c r="L173" s="288" t="n"/>
      <c r="M173" s="288" t="n"/>
      <c r="N173" s="288" t="n"/>
      <c r="O173" s="288" t="n"/>
      <c r="P173" s="288" t="n"/>
      <c r="Q173" s="288" t="n"/>
      <c r="R173" s="288" t="n"/>
      <c r="S173" s="284" t="n"/>
      <c r="T173" s="284" t="n"/>
      <c r="U173" s="285" t="n"/>
      <c r="V173" s="285" t="n"/>
      <c r="W173" s="285" t="n"/>
      <c r="X173" s="285" t="n"/>
      <c r="Y173" s="285" t="n"/>
      <c r="Z173" s="285" t="n"/>
      <c r="AA173" s="285" t="n"/>
    </row>
    <row r="174" ht="15.75" customHeight="1" s="398">
      <c r="A174" s="317" t="n"/>
      <c r="B174" s="317" t="n"/>
      <c r="C174" s="317" t="n"/>
      <c r="D174" s="315" t="n"/>
      <c r="E174" s="288" t="n"/>
      <c r="F174" s="334" t="n"/>
      <c r="G174" s="391" t="n"/>
      <c r="H174" s="284" t="n"/>
      <c r="I174" s="288" t="n"/>
      <c r="J174" s="288" t="n"/>
      <c r="K174" s="288" t="n"/>
      <c r="L174" s="288" t="n"/>
      <c r="M174" s="288" t="n"/>
      <c r="N174" s="288" t="n"/>
      <c r="O174" s="288" t="n"/>
      <c r="P174" s="288" t="n"/>
      <c r="Q174" s="288" t="n"/>
      <c r="R174" s="288" t="n"/>
      <c r="S174" s="284" t="n"/>
      <c r="T174" s="284" t="n"/>
      <c r="U174" s="285" t="n"/>
      <c r="V174" s="285" t="n"/>
      <c r="W174" s="285" t="n"/>
      <c r="X174" s="285" t="n"/>
      <c r="Y174" s="285" t="n"/>
      <c r="Z174" s="285" t="n"/>
      <c r="AA174" s="285" t="n"/>
    </row>
    <row r="175" ht="15.75" customHeight="1" s="398">
      <c r="A175" s="317" t="n"/>
      <c r="B175" s="317" t="n"/>
      <c r="C175" s="317" t="n"/>
      <c r="D175" s="315" t="n"/>
      <c r="E175" s="288" t="n"/>
      <c r="F175" s="334" t="n"/>
      <c r="G175" s="391" t="n"/>
      <c r="H175" s="284" t="n"/>
      <c r="I175" s="288" t="n"/>
      <c r="J175" s="288" t="n"/>
      <c r="K175" s="288" t="n"/>
      <c r="L175" s="288" t="n"/>
      <c r="M175" s="288" t="n"/>
      <c r="N175" s="288" t="n"/>
      <c r="O175" s="288" t="n"/>
      <c r="P175" s="288" t="n"/>
      <c r="Q175" s="288" t="n"/>
      <c r="R175" s="288" t="n"/>
      <c r="S175" s="284" t="n"/>
      <c r="T175" s="284" t="n"/>
      <c r="U175" s="285" t="n"/>
      <c r="V175" s="285" t="n"/>
      <c r="W175" s="285" t="n"/>
      <c r="X175" s="285" t="n"/>
      <c r="Y175" s="285" t="n"/>
      <c r="Z175" s="285" t="n"/>
      <c r="AA175" s="285" t="n"/>
    </row>
    <row r="176" ht="15.75" customHeight="1" s="398">
      <c r="A176" s="317" t="n"/>
      <c r="B176" s="317" t="n"/>
      <c r="C176" s="317" t="n"/>
      <c r="D176" s="315" t="n"/>
      <c r="E176" s="288" t="n"/>
      <c r="F176" s="334" t="n"/>
      <c r="G176" s="391" t="n"/>
      <c r="H176" s="284" t="n"/>
      <c r="I176" s="288" t="n"/>
      <c r="J176" s="288" t="n"/>
      <c r="K176" s="288" t="n"/>
      <c r="L176" s="288" t="n"/>
      <c r="M176" s="288" t="n"/>
      <c r="N176" s="288" t="n"/>
      <c r="O176" s="288" t="n"/>
      <c r="P176" s="288" t="n"/>
      <c r="Q176" s="288" t="n"/>
      <c r="R176" s="288" t="n"/>
      <c r="S176" s="284" t="n"/>
      <c r="T176" s="284" t="n"/>
      <c r="U176" s="285" t="n"/>
      <c r="V176" s="285" t="n"/>
      <c r="W176" s="285" t="n"/>
      <c r="X176" s="285" t="n"/>
      <c r="Y176" s="285" t="n"/>
      <c r="Z176" s="285" t="n"/>
      <c r="AA176" s="285" t="n"/>
    </row>
    <row r="177" ht="15.75" customHeight="1" s="398">
      <c r="A177" s="317" t="n"/>
      <c r="B177" s="317" t="n"/>
      <c r="C177" s="317" t="n"/>
      <c r="D177" s="315" t="n"/>
      <c r="E177" s="288" t="n"/>
      <c r="F177" s="334" t="n"/>
      <c r="G177" s="391" t="n"/>
      <c r="H177" s="284" t="n"/>
      <c r="I177" s="288" t="n"/>
      <c r="J177" s="288" t="n"/>
      <c r="K177" s="288" t="n"/>
      <c r="L177" s="288" t="n"/>
      <c r="M177" s="288" t="n"/>
      <c r="N177" s="288" t="n"/>
      <c r="O177" s="288" t="n"/>
      <c r="P177" s="288" t="n"/>
      <c r="Q177" s="288" t="n"/>
      <c r="R177" s="288" t="n"/>
      <c r="S177" s="284" t="n"/>
      <c r="T177" s="284" t="n"/>
      <c r="U177" s="285" t="n"/>
      <c r="V177" s="285" t="n"/>
      <c r="W177" s="285" t="n"/>
      <c r="X177" s="285" t="n"/>
      <c r="Y177" s="285" t="n"/>
      <c r="Z177" s="285" t="n"/>
      <c r="AA177" s="285" t="n"/>
    </row>
    <row r="178" ht="15.75" customHeight="1" s="398">
      <c r="A178" s="317" t="n"/>
      <c r="B178" s="317" t="n"/>
      <c r="C178" s="317" t="n"/>
      <c r="D178" s="315" t="n"/>
      <c r="E178" s="288" t="n"/>
      <c r="F178" s="334" t="n"/>
      <c r="G178" s="391" t="n"/>
      <c r="H178" s="284" t="n"/>
      <c r="I178" s="288" t="n"/>
      <c r="J178" s="288" t="n"/>
      <c r="K178" s="288" t="n"/>
      <c r="L178" s="288" t="n"/>
      <c r="M178" s="288" t="n"/>
      <c r="N178" s="288" t="n"/>
      <c r="O178" s="288" t="n"/>
      <c r="P178" s="288" t="n"/>
      <c r="Q178" s="288" t="n"/>
      <c r="R178" s="288" t="n"/>
      <c r="S178" s="284" t="n"/>
      <c r="T178" s="284" t="n"/>
      <c r="U178" s="285" t="n"/>
      <c r="V178" s="285" t="n"/>
      <c r="W178" s="285" t="n"/>
      <c r="X178" s="285" t="n"/>
      <c r="Y178" s="285" t="n"/>
      <c r="Z178" s="285" t="n"/>
      <c r="AA178" s="285" t="n"/>
    </row>
    <row r="179" ht="15.75" customHeight="1" s="398">
      <c r="A179" s="317" t="n"/>
      <c r="B179" s="317" t="n"/>
      <c r="C179" s="317" t="n"/>
      <c r="D179" s="315" t="n"/>
      <c r="E179" s="288" t="n"/>
      <c r="F179" s="334" t="n"/>
      <c r="G179" s="391" t="n"/>
      <c r="H179" s="284" t="n"/>
      <c r="I179" s="288" t="n"/>
      <c r="J179" s="288" t="n"/>
      <c r="K179" s="288" t="n"/>
      <c r="L179" s="288" t="n"/>
      <c r="M179" s="288" t="n"/>
      <c r="N179" s="288" t="n"/>
      <c r="O179" s="288" t="n"/>
      <c r="P179" s="288" t="n"/>
      <c r="Q179" s="288" t="n"/>
      <c r="R179" s="288" t="n"/>
      <c r="S179" s="284" t="n"/>
      <c r="T179" s="284" t="n"/>
      <c r="U179" s="285" t="n"/>
      <c r="V179" s="285" t="n"/>
      <c r="W179" s="285" t="n"/>
      <c r="X179" s="285" t="n"/>
      <c r="Y179" s="285" t="n"/>
      <c r="Z179" s="285" t="n"/>
      <c r="AA179" s="285" t="n"/>
    </row>
    <row r="180" ht="15.75" customHeight="1" s="398">
      <c r="A180" s="317" t="n"/>
      <c r="B180" s="317" t="n"/>
      <c r="C180" s="317" t="n"/>
      <c r="D180" s="315" t="n"/>
      <c r="E180" s="288" t="n"/>
      <c r="F180" s="334" t="n"/>
      <c r="G180" s="391" t="n"/>
      <c r="H180" s="284" t="n"/>
      <c r="I180" s="288" t="n"/>
      <c r="J180" s="288" t="n"/>
      <c r="K180" s="288" t="n"/>
      <c r="L180" s="288" t="n"/>
      <c r="M180" s="288" t="n"/>
      <c r="N180" s="288" t="n"/>
      <c r="O180" s="288" t="n"/>
      <c r="P180" s="288" t="n"/>
      <c r="Q180" s="288" t="n"/>
      <c r="R180" s="288" t="n"/>
      <c r="S180" s="284" t="n"/>
      <c r="T180" s="284" t="n"/>
      <c r="U180" s="285" t="n"/>
      <c r="V180" s="285" t="n"/>
      <c r="W180" s="285" t="n"/>
      <c r="X180" s="285" t="n"/>
      <c r="Y180" s="285" t="n"/>
      <c r="Z180" s="285" t="n"/>
      <c r="AA180" s="285" t="n"/>
    </row>
    <row r="181" ht="15.75" customHeight="1" s="398">
      <c r="A181" s="317" t="n"/>
      <c r="B181" s="317" t="n"/>
      <c r="C181" s="317" t="n"/>
      <c r="D181" s="315" t="n"/>
      <c r="E181" s="288" t="n"/>
      <c r="F181" s="334" t="n"/>
      <c r="G181" s="391" t="n"/>
      <c r="H181" s="284" t="n"/>
      <c r="I181" s="288" t="n"/>
      <c r="J181" s="288" t="n"/>
      <c r="K181" s="288" t="n"/>
      <c r="L181" s="288" t="n"/>
      <c r="M181" s="288" t="n"/>
      <c r="N181" s="288" t="n"/>
      <c r="O181" s="288" t="n"/>
      <c r="P181" s="288" t="n"/>
      <c r="Q181" s="288" t="n"/>
      <c r="R181" s="288" t="n"/>
      <c r="S181" s="284" t="n"/>
      <c r="T181" s="284" t="n"/>
      <c r="U181" s="285" t="n"/>
      <c r="V181" s="285" t="n"/>
      <c r="W181" s="285" t="n"/>
      <c r="X181" s="285" t="n"/>
      <c r="Y181" s="285" t="n"/>
      <c r="Z181" s="285" t="n"/>
      <c r="AA181" s="285" t="n"/>
    </row>
    <row r="182" ht="15.75" customHeight="1" s="398">
      <c r="A182" s="317" t="n"/>
      <c r="B182" s="317" t="n"/>
      <c r="C182" s="317" t="n"/>
      <c r="D182" s="315" t="n"/>
      <c r="E182" s="288" t="n"/>
      <c r="F182" s="334" t="n"/>
      <c r="G182" s="391" t="n"/>
      <c r="H182" s="284" t="n"/>
      <c r="I182" s="288" t="n"/>
      <c r="J182" s="288" t="n"/>
      <c r="K182" s="288" t="n"/>
      <c r="L182" s="288" t="n"/>
      <c r="M182" s="288" t="n"/>
      <c r="N182" s="288" t="n"/>
      <c r="O182" s="288" t="n"/>
      <c r="P182" s="288" t="n"/>
      <c r="Q182" s="288" t="n"/>
      <c r="R182" s="288" t="n"/>
      <c r="S182" s="284" t="n"/>
      <c r="T182" s="284" t="n"/>
      <c r="U182" s="285" t="n"/>
      <c r="V182" s="285" t="n"/>
      <c r="W182" s="285" t="n"/>
      <c r="X182" s="285" t="n"/>
      <c r="Y182" s="285" t="n"/>
      <c r="Z182" s="285" t="n"/>
      <c r="AA182" s="285" t="n"/>
    </row>
    <row r="183" ht="15.75" customHeight="1" s="398">
      <c r="A183" s="317" t="n"/>
      <c r="B183" s="317" t="n"/>
      <c r="C183" s="317" t="n"/>
      <c r="D183" s="315" t="n"/>
      <c r="E183" s="288" t="n"/>
      <c r="F183" s="334" t="n"/>
      <c r="G183" s="391" t="n"/>
      <c r="H183" s="284" t="n"/>
      <c r="I183" s="288" t="n"/>
      <c r="J183" s="288" t="n"/>
      <c r="K183" s="288" t="n"/>
      <c r="L183" s="288" t="n"/>
      <c r="M183" s="288" t="n"/>
      <c r="N183" s="288" t="n"/>
      <c r="O183" s="288" t="n"/>
      <c r="P183" s="288" t="n"/>
      <c r="Q183" s="288" t="n"/>
      <c r="R183" s="288" t="n"/>
      <c r="S183" s="284" t="n"/>
      <c r="T183" s="284" t="n"/>
      <c r="U183" s="285" t="n"/>
      <c r="V183" s="285" t="n"/>
      <c r="W183" s="285" t="n"/>
      <c r="X183" s="285" t="n"/>
      <c r="Y183" s="285" t="n"/>
      <c r="Z183" s="285" t="n"/>
      <c r="AA183" s="285" t="n"/>
    </row>
    <row r="184" ht="15.75" customHeight="1" s="398">
      <c r="A184" s="317" t="n"/>
      <c r="B184" s="317" t="n"/>
      <c r="C184" s="317" t="n"/>
      <c r="D184" s="315" t="n"/>
      <c r="E184" s="288" t="n"/>
      <c r="F184" s="334" t="n"/>
      <c r="G184" s="391" t="n"/>
      <c r="H184" s="284" t="n"/>
      <c r="I184" s="288" t="n"/>
      <c r="J184" s="288" t="n"/>
      <c r="K184" s="288" t="n"/>
      <c r="L184" s="288" t="n"/>
      <c r="M184" s="288" t="n"/>
      <c r="N184" s="288" t="n"/>
      <c r="O184" s="288" t="n"/>
      <c r="P184" s="288" t="n"/>
      <c r="Q184" s="288" t="n"/>
      <c r="R184" s="288" t="n"/>
      <c r="S184" s="284" t="n"/>
      <c r="T184" s="284" t="n"/>
      <c r="U184" s="285" t="n"/>
      <c r="V184" s="285" t="n"/>
      <c r="W184" s="285" t="n"/>
      <c r="X184" s="285" t="n"/>
      <c r="Y184" s="285" t="n"/>
      <c r="Z184" s="285" t="n"/>
      <c r="AA184" s="285" t="n"/>
    </row>
    <row r="185" ht="15.75" customHeight="1" s="398">
      <c r="A185" s="317" t="n"/>
      <c r="B185" s="317" t="n"/>
      <c r="C185" s="317" t="n"/>
      <c r="D185" s="315" t="n"/>
      <c r="E185" s="288" t="n"/>
      <c r="F185" s="334" t="n"/>
      <c r="G185" s="391" t="n"/>
      <c r="H185" s="284" t="n"/>
      <c r="I185" s="288" t="n"/>
      <c r="J185" s="288" t="n"/>
      <c r="K185" s="288" t="n"/>
      <c r="L185" s="288" t="n"/>
      <c r="M185" s="288" t="n"/>
      <c r="N185" s="288" t="n"/>
      <c r="O185" s="288" t="n"/>
      <c r="P185" s="288" t="n"/>
      <c r="Q185" s="288" t="n"/>
      <c r="R185" s="288" t="n"/>
      <c r="S185" s="284" t="n"/>
      <c r="T185" s="284" t="n"/>
      <c r="U185" s="285" t="n"/>
      <c r="V185" s="285" t="n"/>
      <c r="W185" s="285" t="n"/>
      <c r="X185" s="285" t="n"/>
      <c r="Y185" s="285" t="n"/>
      <c r="Z185" s="285" t="n"/>
      <c r="AA185" s="285" t="n"/>
    </row>
    <row r="186" ht="15.75" customHeight="1" s="398">
      <c r="A186" s="317" t="n"/>
      <c r="B186" s="317" t="n"/>
      <c r="C186" s="317" t="n"/>
      <c r="D186" s="315" t="n"/>
      <c r="E186" s="288" t="n"/>
      <c r="F186" s="334" t="n"/>
      <c r="G186" s="391" t="n"/>
      <c r="H186" s="284" t="n"/>
      <c r="I186" s="288" t="n"/>
      <c r="J186" s="288" t="n"/>
      <c r="K186" s="288" t="n"/>
      <c r="L186" s="288" t="n"/>
      <c r="M186" s="288" t="n"/>
      <c r="N186" s="288" t="n"/>
      <c r="O186" s="288" t="n"/>
      <c r="P186" s="288" t="n"/>
      <c r="Q186" s="288" t="n"/>
      <c r="R186" s="288" t="n"/>
      <c r="S186" s="284" t="n"/>
      <c r="T186" s="284" t="n"/>
      <c r="U186" s="285" t="n"/>
      <c r="V186" s="285" t="n"/>
      <c r="W186" s="285" t="n"/>
      <c r="X186" s="285" t="n"/>
      <c r="Y186" s="285" t="n"/>
      <c r="Z186" s="285" t="n"/>
      <c r="AA186" s="285" t="n"/>
    </row>
    <row r="187" ht="15.75" customHeight="1" s="398">
      <c r="A187" s="317" t="n"/>
      <c r="B187" s="317" t="n"/>
      <c r="C187" s="317" t="n"/>
      <c r="D187" s="315" t="n"/>
      <c r="E187" s="288" t="n"/>
      <c r="F187" s="334" t="n"/>
      <c r="G187" s="391" t="n"/>
      <c r="H187" s="284" t="n"/>
      <c r="I187" s="288" t="n"/>
      <c r="J187" s="288" t="n"/>
      <c r="K187" s="288" t="n"/>
      <c r="L187" s="288" t="n"/>
      <c r="M187" s="288" t="n"/>
      <c r="N187" s="288" t="n"/>
      <c r="O187" s="288" t="n"/>
      <c r="P187" s="288" t="n"/>
      <c r="Q187" s="288" t="n"/>
      <c r="R187" s="288" t="n"/>
      <c r="S187" s="284" t="n"/>
      <c r="T187" s="284" t="n"/>
      <c r="U187" s="285" t="n"/>
      <c r="V187" s="285" t="n"/>
      <c r="W187" s="285" t="n"/>
      <c r="X187" s="285" t="n"/>
      <c r="Y187" s="285" t="n"/>
      <c r="Z187" s="285" t="n"/>
      <c r="AA187" s="285" t="n"/>
    </row>
    <row r="188" ht="15.75" customHeight="1" s="398">
      <c r="A188" s="317" t="n"/>
      <c r="B188" s="317" t="n"/>
      <c r="C188" s="317" t="n"/>
      <c r="D188" s="315" t="n"/>
      <c r="E188" s="288" t="n"/>
      <c r="F188" s="334" t="n"/>
      <c r="G188" s="391" t="n"/>
      <c r="H188" s="284" t="n"/>
      <c r="I188" s="288" t="n"/>
      <c r="J188" s="288" t="n"/>
      <c r="K188" s="288" t="n"/>
      <c r="L188" s="288" t="n"/>
      <c r="M188" s="288" t="n"/>
      <c r="N188" s="288" t="n"/>
      <c r="O188" s="288" t="n"/>
      <c r="P188" s="288" t="n"/>
      <c r="Q188" s="288" t="n"/>
      <c r="R188" s="288" t="n"/>
      <c r="S188" s="284" t="n"/>
      <c r="T188" s="284" t="n"/>
      <c r="U188" s="285" t="n"/>
      <c r="V188" s="285" t="n"/>
      <c r="W188" s="285" t="n"/>
      <c r="X188" s="285" t="n"/>
      <c r="Y188" s="285" t="n"/>
      <c r="Z188" s="285" t="n"/>
      <c r="AA188" s="285" t="n"/>
    </row>
    <row r="189" ht="15.75" customHeight="1" s="398">
      <c r="A189" s="317" t="n"/>
      <c r="B189" s="317" t="n"/>
      <c r="C189" s="317" t="n"/>
      <c r="D189" s="315" t="n"/>
      <c r="E189" s="288" t="n"/>
      <c r="F189" s="334" t="n"/>
      <c r="G189" s="391" t="n"/>
      <c r="H189" s="284" t="n"/>
      <c r="I189" s="288" t="n"/>
      <c r="J189" s="288" t="n"/>
      <c r="K189" s="288" t="n"/>
      <c r="L189" s="288" t="n"/>
      <c r="M189" s="288" t="n"/>
      <c r="N189" s="288" t="n"/>
      <c r="O189" s="288" t="n"/>
      <c r="P189" s="288" t="n"/>
      <c r="Q189" s="288" t="n"/>
      <c r="R189" s="288" t="n"/>
      <c r="S189" s="284" t="n"/>
      <c r="T189" s="284" t="n"/>
      <c r="U189" s="285" t="n"/>
      <c r="V189" s="285" t="n"/>
      <c r="W189" s="285" t="n"/>
      <c r="X189" s="285" t="n"/>
      <c r="Y189" s="285" t="n"/>
      <c r="Z189" s="285" t="n"/>
      <c r="AA189" s="285" t="n"/>
    </row>
    <row r="190" ht="15.75" customHeight="1" s="398">
      <c r="A190" s="317" t="n"/>
      <c r="B190" s="317" t="n"/>
      <c r="C190" s="317" t="n"/>
      <c r="D190" s="315" t="n"/>
      <c r="E190" s="288" t="n"/>
      <c r="F190" s="334" t="n"/>
      <c r="G190" s="391" t="n"/>
      <c r="H190" s="284" t="n"/>
      <c r="I190" s="288" t="n"/>
      <c r="J190" s="288" t="n"/>
      <c r="K190" s="288" t="n"/>
      <c r="L190" s="288" t="n"/>
      <c r="M190" s="288" t="n"/>
      <c r="N190" s="288" t="n"/>
      <c r="O190" s="288" t="n"/>
      <c r="P190" s="288" t="n"/>
      <c r="Q190" s="288" t="n"/>
      <c r="R190" s="288" t="n"/>
      <c r="S190" s="284" t="n"/>
      <c r="T190" s="284" t="n"/>
      <c r="U190" s="285" t="n"/>
      <c r="V190" s="285" t="n"/>
      <c r="W190" s="285" t="n"/>
      <c r="X190" s="285" t="n"/>
      <c r="Y190" s="285" t="n"/>
      <c r="Z190" s="285" t="n"/>
      <c r="AA190" s="285" t="n"/>
    </row>
    <row r="191" ht="15.75" customHeight="1" s="398">
      <c r="A191" s="317" t="n"/>
      <c r="B191" s="317" t="n"/>
      <c r="C191" s="317" t="n"/>
      <c r="D191" s="315" t="n"/>
      <c r="E191" s="288" t="n"/>
      <c r="F191" s="334" t="n"/>
      <c r="G191" s="391" t="n"/>
      <c r="H191" s="284" t="n"/>
      <c r="I191" s="288" t="n"/>
      <c r="J191" s="288" t="n"/>
      <c r="K191" s="288" t="n"/>
      <c r="L191" s="288" t="n"/>
      <c r="M191" s="288" t="n"/>
      <c r="N191" s="288" t="n"/>
      <c r="O191" s="288" t="n"/>
      <c r="P191" s="288" t="n"/>
      <c r="Q191" s="288" t="n"/>
      <c r="R191" s="288" t="n"/>
      <c r="S191" s="284" t="n"/>
      <c r="T191" s="284" t="n"/>
      <c r="U191" s="285" t="n"/>
      <c r="V191" s="285" t="n"/>
      <c r="W191" s="285" t="n"/>
      <c r="X191" s="285" t="n"/>
      <c r="Y191" s="285" t="n"/>
      <c r="Z191" s="285" t="n"/>
      <c r="AA191" s="285" t="n"/>
    </row>
    <row r="192" ht="15.75" customHeight="1" s="398">
      <c r="A192" s="317" t="n"/>
      <c r="B192" s="317" t="n"/>
      <c r="C192" s="317" t="n"/>
      <c r="D192" s="315" t="n"/>
      <c r="E192" s="288" t="n"/>
      <c r="F192" s="334" t="n"/>
      <c r="G192" s="391" t="n"/>
      <c r="H192" s="284" t="n"/>
      <c r="I192" s="288" t="n"/>
      <c r="J192" s="288" t="n"/>
      <c r="K192" s="288" t="n"/>
      <c r="L192" s="288" t="n"/>
      <c r="M192" s="288" t="n"/>
      <c r="N192" s="288" t="n"/>
      <c r="O192" s="288" t="n"/>
      <c r="P192" s="288" t="n"/>
      <c r="Q192" s="288" t="n"/>
      <c r="R192" s="288" t="n"/>
      <c r="S192" s="284" t="n"/>
      <c r="T192" s="284" t="n"/>
      <c r="U192" s="285" t="n"/>
      <c r="V192" s="285" t="n"/>
      <c r="W192" s="285" t="n"/>
      <c r="X192" s="285" t="n"/>
      <c r="Y192" s="285" t="n"/>
      <c r="Z192" s="285" t="n"/>
      <c r="AA192" s="285" t="n"/>
    </row>
    <row r="193" ht="15.75" customHeight="1" s="398">
      <c r="A193" s="317" t="n"/>
      <c r="B193" s="317" t="n"/>
      <c r="C193" s="317" t="n"/>
      <c r="D193" s="315" t="n"/>
      <c r="E193" s="288" t="n"/>
      <c r="F193" s="334" t="n"/>
      <c r="G193" s="391" t="n"/>
      <c r="H193" s="284" t="n"/>
      <c r="I193" s="288" t="n"/>
      <c r="J193" s="288" t="n"/>
      <c r="K193" s="288" t="n"/>
      <c r="L193" s="288" t="n"/>
      <c r="M193" s="288" t="n"/>
      <c r="N193" s="288" t="n"/>
      <c r="O193" s="288" t="n"/>
      <c r="P193" s="288" t="n"/>
      <c r="Q193" s="288" t="n"/>
      <c r="R193" s="288" t="n"/>
      <c r="S193" s="284" t="n"/>
      <c r="T193" s="284" t="n"/>
      <c r="U193" s="285" t="n"/>
      <c r="V193" s="285" t="n"/>
      <c r="W193" s="285" t="n"/>
      <c r="X193" s="285" t="n"/>
      <c r="Y193" s="285" t="n"/>
      <c r="Z193" s="285" t="n"/>
      <c r="AA193" s="285" t="n"/>
    </row>
    <row r="194" ht="15.75" customHeight="1" s="398">
      <c r="A194" s="317" t="n"/>
      <c r="B194" s="317" t="n"/>
      <c r="C194" s="317" t="n"/>
      <c r="D194" s="315" t="n"/>
      <c r="E194" s="288" t="n"/>
      <c r="F194" s="334" t="n"/>
      <c r="G194" s="391" t="n"/>
      <c r="H194" s="284" t="n"/>
      <c r="I194" s="288" t="n"/>
      <c r="J194" s="288" t="n"/>
      <c r="K194" s="288" t="n"/>
      <c r="L194" s="288" t="n"/>
      <c r="M194" s="288" t="n"/>
      <c r="N194" s="288" t="n"/>
      <c r="O194" s="288" t="n"/>
      <c r="P194" s="288" t="n"/>
      <c r="Q194" s="288" t="n"/>
      <c r="R194" s="288" t="n"/>
      <c r="S194" s="284" t="n"/>
      <c r="T194" s="284" t="n"/>
      <c r="U194" s="285" t="n"/>
      <c r="V194" s="285" t="n"/>
      <c r="W194" s="285" t="n"/>
      <c r="X194" s="285" t="n"/>
      <c r="Y194" s="285" t="n"/>
      <c r="Z194" s="285" t="n"/>
      <c r="AA194" s="285" t="n"/>
    </row>
    <row r="195" ht="15.75" customHeight="1" s="398">
      <c r="A195" s="317" t="n"/>
      <c r="B195" s="317" t="n"/>
      <c r="C195" s="317" t="n"/>
      <c r="D195" s="315" t="n"/>
      <c r="E195" s="288" t="n"/>
      <c r="F195" s="334" t="n"/>
      <c r="G195" s="391" t="n"/>
      <c r="H195" s="284" t="n"/>
      <c r="I195" s="288" t="n"/>
      <c r="J195" s="288" t="n"/>
      <c r="K195" s="288" t="n"/>
      <c r="L195" s="288" t="n"/>
      <c r="M195" s="288" t="n"/>
      <c r="N195" s="288" t="n"/>
      <c r="O195" s="288" t="n"/>
      <c r="P195" s="288" t="n"/>
      <c r="Q195" s="288" t="n"/>
      <c r="R195" s="288" t="n"/>
      <c r="S195" s="284" t="n"/>
      <c r="T195" s="284" t="n"/>
      <c r="U195" s="285" t="n"/>
      <c r="V195" s="285" t="n"/>
      <c r="W195" s="285" t="n"/>
      <c r="X195" s="285" t="n"/>
      <c r="Y195" s="285" t="n"/>
      <c r="Z195" s="285" t="n"/>
      <c r="AA195" s="285" t="n"/>
    </row>
    <row r="196" ht="15.75" customHeight="1" s="398">
      <c r="A196" s="317" t="n"/>
      <c r="B196" s="317" t="n"/>
      <c r="C196" s="317" t="n"/>
      <c r="D196" s="315" t="n"/>
      <c r="E196" s="288" t="n"/>
      <c r="F196" s="334" t="n"/>
      <c r="G196" s="391" t="n"/>
      <c r="H196" s="284" t="n"/>
      <c r="I196" s="288" t="n"/>
      <c r="J196" s="288" t="n"/>
      <c r="K196" s="288" t="n"/>
      <c r="L196" s="288" t="n"/>
      <c r="M196" s="288" t="n"/>
      <c r="N196" s="288" t="n"/>
      <c r="O196" s="288" t="n"/>
      <c r="P196" s="288" t="n"/>
      <c r="Q196" s="288" t="n"/>
      <c r="R196" s="288" t="n"/>
      <c r="S196" s="284" t="n"/>
      <c r="T196" s="284" t="n"/>
      <c r="U196" s="285" t="n"/>
      <c r="V196" s="285" t="n"/>
      <c r="W196" s="285" t="n"/>
      <c r="X196" s="285" t="n"/>
      <c r="Y196" s="285" t="n"/>
      <c r="Z196" s="285" t="n"/>
      <c r="AA196" s="285" t="n"/>
    </row>
    <row r="197" ht="15.75" customHeight="1" s="398">
      <c r="A197" s="317" t="n"/>
      <c r="B197" s="317" t="n"/>
      <c r="C197" s="317" t="n"/>
      <c r="D197" s="315" t="n"/>
      <c r="E197" s="288" t="n"/>
      <c r="F197" s="334" t="n"/>
      <c r="G197" s="391" t="n"/>
      <c r="H197" s="284" t="n"/>
      <c r="I197" s="288" t="n"/>
      <c r="J197" s="288" t="n"/>
      <c r="K197" s="288" t="n"/>
      <c r="L197" s="288" t="n"/>
      <c r="M197" s="288" t="n"/>
      <c r="N197" s="288" t="n"/>
      <c r="O197" s="288" t="n"/>
      <c r="P197" s="288" t="n"/>
      <c r="Q197" s="288" t="n"/>
      <c r="R197" s="288" t="n"/>
      <c r="S197" s="284" t="n"/>
      <c r="T197" s="284" t="n"/>
      <c r="U197" s="285" t="n"/>
      <c r="V197" s="285" t="n"/>
      <c r="W197" s="285" t="n"/>
      <c r="X197" s="285" t="n"/>
      <c r="Y197" s="285" t="n"/>
      <c r="Z197" s="285" t="n"/>
      <c r="AA197" s="285" t="n"/>
    </row>
    <row r="198" ht="15.75" customHeight="1" s="398">
      <c r="A198" s="317" t="n"/>
      <c r="B198" s="317" t="n"/>
      <c r="C198" s="317" t="n"/>
      <c r="D198" s="315" t="n"/>
      <c r="E198" s="288" t="n"/>
      <c r="F198" s="334" t="n"/>
      <c r="G198" s="391" t="n"/>
      <c r="H198" s="284" t="n"/>
      <c r="I198" s="288" t="n"/>
      <c r="J198" s="288" t="n"/>
      <c r="K198" s="288" t="n"/>
      <c r="L198" s="288" t="n"/>
      <c r="M198" s="288" t="n"/>
      <c r="N198" s="288" t="n"/>
      <c r="O198" s="288" t="n"/>
      <c r="P198" s="288" t="n"/>
      <c r="Q198" s="288" t="n"/>
      <c r="R198" s="288" t="n"/>
      <c r="S198" s="284" t="n"/>
      <c r="T198" s="284" t="n"/>
      <c r="U198" s="285" t="n"/>
      <c r="V198" s="285" t="n"/>
      <c r="W198" s="285" t="n"/>
      <c r="X198" s="285" t="n"/>
      <c r="Y198" s="285" t="n"/>
      <c r="Z198" s="285" t="n"/>
      <c r="AA198" s="285" t="n"/>
    </row>
    <row r="199" ht="15.75" customHeight="1" s="398">
      <c r="A199" s="317" t="n"/>
      <c r="B199" s="317" t="n"/>
      <c r="C199" s="317" t="n"/>
      <c r="D199" s="315" t="n"/>
      <c r="E199" s="288" t="n"/>
      <c r="F199" s="334" t="n"/>
      <c r="G199" s="391" t="n"/>
      <c r="H199" s="284" t="n"/>
      <c r="I199" s="288" t="n"/>
      <c r="J199" s="288" t="n"/>
      <c r="K199" s="288" t="n"/>
      <c r="L199" s="288" t="n"/>
      <c r="M199" s="288" t="n"/>
      <c r="N199" s="288" t="n"/>
      <c r="O199" s="288" t="n"/>
      <c r="P199" s="288" t="n"/>
      <c r="Q199" s="288" t="n"/>
      <c r="R199" s="288" t="n"/>
      <c r="S199" s="284" t="n"/>
      <c r="T199" s="284" t="n"/>
      <c r="U199" s="285" t="n"/>
      <c r="V199" s="285" t="n"/>
      <c r="W199" s="285" t="n"/>
      <c r="X199" s="285" t="n"/>
      <c r="Y199" s="285" t="n"/>
      <c r="Z199" s="285" t="n"/>
      <c r="AA199" s="285" t="n"/>
    </row>
    <row r="200" ht="15.75" customHeight="1" s="398">
      <c r="A200" s="317" t="n"/>
      <c r="B200" s="317" t="n"/>
      <c r="C200" s="317" t="n"/>
      <c r="D200" s="315" t="n"/>
      <c r="E200" s="288" t="n"/>
      <c r="F200" s="334" t="n"/>
      <c r="G200" s="391" t="n"/>
      <c r="H200" s="284" t="n"/>
      <c r="I200" s="288" t="n"/>
      <c r="J200" s="288" t="n"/>
      <c r="K200" s="288" t="n"/>
      <c r="L200" s="288" t="n"/>
      <c r="M200" s="288" t="n"/>
      <c r="N200" s="288" t="n"/>
      <c r="O200" s="288" t="n"/>
      <c r="P200" s="288" t="n"/>
      <c r="Q200" s="288" t="n"/>
      <c r="R200" s="288" t="n"/>
      <c r="S200" s="284" t="n"/>
      <c r="T200" s="284" t="n"/>
      <c r="U200" s="285" t="n"/>
      <c r="V200" s="285" t="n"/>
      <c r="W200" s="285" t="n"/>
      <c r="X200" s="285" t="n"/>
      <c r="Y200" s="285" t="n"/>
      <c r="Z200" s="285" t="n"/>
      <c r="AA200" s="285" t="n"/>
    </row>
    <row r="201" ht="15.75" customHeight="1" s="398">
      <c r="A201" s="317" t="n"/>
      <c r="B201" s="317" t="n"/>
      <c r="C201" s="317" t="n"/>
      <c r="D201" s="315" t="n"/>
      <c r="E201" s="288" t="n"/>
      <c r="F201" s="334" t="n"/>
      <c r="G201" s="391" t="n"/>
      <c r="H201" s="284" t="n"/>
      <c r="I201" s="288" t="n"/>
      <c r="J201" s="288" t="n"/>
      <c r="K201" s="288" t="n"/>
      <c r="L201" s="288" t="n"/>
      <c r="M201" s="288" t="n"/>
      <c r="N201" s="288" t="n"/>
      <c r="O201" s="288" t="n"/>
      <c r="P201" s="288" t="n"/>
      <c r="Q201" s="288" t="n"/>
      <c r="R201" s="288" t="n"/>
      <c r="S201" s="284" t="n"/>
      <c r="T201" s="284" t="n"/>
      <c r="U201" s="285" t="n"/>
      <c r="V201" s="285" t="n"/>
      <c r="W201" s="285" t="n"/>
      <c r="X201" s="285" t="n"/>
      <c r="Y201" s="285" t="n"/>
      <c r="Z201" s="285" t="n"/>
      <c r="AA201" s="285" t="n"/>
    </row>
    <row r="202" ht="15.75" customHeight="1" s="398">
      <c r="A202" s="317" t="n"/>
      <c r="B202" s="317" t="n"/>
      <c r="C202" s="317" t="n"/>
      <c r="D202" s="315" t="n"/>
      <c r="E202" s="288" t="n"/>
      <c r="F202" s="334" t="n"/>
      <c r="G202" s="391" t="n"/>
      <c r="H202" s="284" t="n"/>
      <c r="I202" s="288" t="n"/>
      <c r="J202" s="288" t="n"/>
      <c r="K202" s="288" t="n"/>
      <c r="L202" s="288" t="n"/>
      <c r="M202" s="288" t="n"/>
      <c r="N202" s="288" t="n"/>
      <c r="O202" s="288" t="n"/>
      <c r="P202" s="288" t="n"/>
      <c r="Q202" s="288" t="n"/>
      <c r="R202" s="288" t="n"/>
      <c r="S202" s="284" t="n"/>
      <c r="T202" s="284" t="n"/>
      <c r="U202" s="285" t="n"/>
      <c r="V202" s="285" t="n"/>
      <c r="W202" s="285" t="n"/>
      <c r="X202" s="285" t="n"/>
      <c r="Y202" s="285" t="n"/>
      <c r="Z202" s="285" t="n"/>
      <c r="AA202" s="285" t="n"/>
    </row>
    <row r="203" ht="15.75" customHeight="1" s="398">
      <c r="A203" s="317" t="n"/>
      <c r="B203" s="317" t="n"/>
      <c r="C203" s="317" t="n"/>
      <c r="D203" s="315" t="n"/>
      <c r="E203" s="288" t="n"/>
      <c r="F203" s="334" t="n"/>
      <c r="G203" s="391" t="n"/>
      <c r="H203" s="284" t="n"/>
      <c r="I203" s="288" t="n"/>
      <c r="J203" s="288" t="n"/>
      <c r="K203" s="288" t="n"/>
      <c r="L203" s="288" t="n"/>
      <c r="M203" s="288" t="n"/>
      <c r="N203" s="288" t="n"/>
      <c r="O203" s="288" t="n"/>
      <c r="P203" s="288" t="n"/>
      <c r="Q203" s="288" t="n"/>
      <c r="R203" s="288" t="n"/>
      <c r="S203" s="284" t="n"/>
      <c r="T203" s="284" t="n"/>
      <c r="U203" s="285" t="n"/>
      <c r="V203" s="285" t="n"/>
      <c r="W203" s="285" t="n"/>
      <c r="X203" s="285" t="n"/>
      <c r="Y203" s="285" t="n"/>
      <c r="Z203" s="285" t="n"/>
      <c r="AA203" s="285" t="n"/>
    </row>
    <row r="204" ht="15.75" customHeight="1" s="398">
      <c r="A204" s="317" t="n"/>
      <c r="B204" s="317" t="n"/>
      <c r="C204" s="317" t="n"/>
      <c r="D204" s="315" t="n"/>
      <c r="E204" s="288" t="n"/>
      <c r="F204" s="334" t="n"/>
      <c r="G204" s="391" t="n"/>
      <c r="H204" s="284" t="n"/>
      <c r="I204" s="288" t="n"/>
      <c r="J204" s="288" t="n"/>
      <c r="K204" s="288" t="n"/>
      <c r="L204" s="288" t="n"/>
      <c r="M204" s="288" t="n"/>
      <c r="N204" s="288" t="n"/>
      <c r="O204" s="288" t="n"/>
      <c r="P204" s="288" t="n"/>
      <c r="Q204" s="288" t="n"/>
      <c r="R204" s="288" t="n"/>
      <c r="S204" s="284" t="n"/>
      <c r="T204" s="284" t="n"/>
      <c r="U204" s="285" t="n"/>
      <c r="V204" s="285" t="n"/>
      <c r="W204" s="285" t="n"/>
      <c r="X204" s="285" t="n"/>
      <c r="Y204" s="285" t="n"/>
      <c r="Z204" s="285" t="n"/>
      <c r="AA204" s="285" t="n"/>
    </row>
    <row r="205" ht="15.75" customHeight="1" s="398">
      <c r="A205" s="317" t="n"/>
      <c r="B205" s="317" t="n"/>
      <c r="C205" s="317" t="n"/>
      <c r="D205" s="315" t="n"/>
      <c r="E205" s="288" t="n"/>
      <c r="F205" s="334" t="n"/>
      <c r="G205" s="391" t="n"/>
      <c r="H205" s="284" t="n"/>
      <c r="I205" s="288" t="n"/>
      <c r="J205" s="288" t="n"/>
      <c r="K205" s="288" t="n"/>
      <c r="L205" s="288" t="n"/>
      <c r="M205" s="288" t="n"/>
      <c r="N205" s="288" t="n"/>
      <c r="O205" s="288" t="n"/>
      <c r="P205" s="288" t="n"/>
      <c r="Q205" s="288" t="n"/>
      <c r="R205" s="288" t="n"/>
      <c r="S205" s="284" t="n"/>
      <c r="T205" s="284" t="n"/>
      <c r="U205" s="285" t="n"/>
      <c r="V205" s="285" t="n"/>
      <c r="W205" s="285" t="n"/>
      <c r="X205" s="285" t="n"/>
      <c r="Y205" s="285" t="n"/>
      <c r="Z205" s="285" t="n"/>
      <c r="AA205" s="285" t="n"/>
    </row>
    <row r="206" ht="15.75" customHeight="1" s="398">
      <c r="A206" s="317" t="n"/>
      <c r="B206" s="317" t="n"/>
      <c r="C206" s="317" t="n"/>
      <c r="D206" s="315" t="n"/>
      <c r="E206" s="288" t="n"/>
      <c r="F206" s="334" t="n"/>
      <c r="G206" s="391" t="n"/>
      <c r="H206" s="284" t="n"/>
      <c r="I206" s="288" t="n"/>
      <c r="J206" s="288" t="n"/>
      <c r="K206" s="288" t="n"/>
      <c r="L206" s="288" t="n"/>
      <c r="M206" s="288" t="n"/>
      <c r="N206" s="288" t="n"/>
      <c r="O206" s="288" t="n"/>
      <c r="P206" s="288" t="n"/>
      <c r="Q206" s="288" t="n"/>
      <c r="R206" s="288" t="n"/>
      <c r="S206" s="284" t="n"/>
      <c r="T206" s="284" t="n"/>
      <c r="U206" s="285" t="n"/>
      <c r="V206" s="285" t="n"/>
      <c r="W206" s="285" t="n"/>
      <c r="X206" s="285" t="n"/>
      <c r="Y206" s="285" t="n"/>
      <c r="Z206" s="285" t="n"/>
      <c r="AA206" s="285" t="n"/>
    </row>
    <row r="207" ht="15.75" customHeight="1" s="398">
      <c r="A207" s="317" t="n"/>
      <c r="B207" s="317" t="n"/>
      <c r="C207" s="317" t="n"/>
      <c r="D207" s="315" t="n"/>
      <c r="E207" s="288" t="n"/>
      <c r="F207" s="334" t="n"/>
      <c r="G207" s="391" t="n"/>
      <c r="H207" s="284" t="n"/>
      <c r="I207" s="288" t="n"/>
      <c r="J207" s="288" t="n"/>
      <c r="K207" s="288" t="n"/>
      <c r="L207" s="288" t="n"/>
      <c r="M207" s="288" t="n"/>
      <c r="N207" s="288" t="n"/>
      <c r="O207" s="288" t="n"/>
      <c r="P207" s="288" t="n"/>
      <c r="Q207" s="288" t="n"/>
      <c r="R207" s="288" t="n"/>
      <c r="S207" s="284" t="n"/>
      <c r="T207" s="284" t="n"/>
      <c r="U207" s="285" t="n"/>
      <c r="V207" s="285" t="n"/>
      <c r="W207" s="285" t="n"/>
      <c r="X207" s="285" t="n"/>
      <c r="Y207" s="285" t="n"/>
      <c r="Z207" s="285" t="n"/>
      <c r="AA207" s="285" t="n"/>
    </row>
    <row r="208" ht="15.75" customHeight="1" s="398">
      <c r="A208" s="317" t="n"/>
      <c r="B208" s="317" t="n"/>
      <c r="C208" s="317" t="n"/>
      <c r="D208" s="315" t="n"/>
      <c r="E208" s="288" t="n"/>
      <c r="F208" s="334" t="n"/>
      <c r="G208" s="391" t="n"/>
      <c r="H208" s="284" t="n"/>
      <c r="I208" s="288" t="n"/>
      <c r="J208" s="288" t="n"/>
      <c r="K208" s="288" t="n"/>
      <c r="L208" s="288" t="n"/>
      <c r="M208" s="288" t="n"/>
      <c r="N208" s="288" t="n"/>
      <c r="O208" s="288" t="n"/>
      <c r="P208" s="288" t="n"/>
      <c r="Q208" s="288" t="n"/>
      <c r="R208" s="288" t="n"/>
      <c r="S208" s="284" t="n"/>
      <c r="T208" s="284" t="n"/>
      <c r="U208" s="285" t="n"/>
      <c r="V208" s="285" t="n"/>
      <c r="W208" s="285" t="n"/>
      <c r="X208" s="285" t="n"/>
      <c r="Y208" s="285" t="n"/>
      <c r="Z208" s="285" t="n"/>
      <c r="AA208" s="285" t="n"/>
    </row>
    <row r="209" ht="15.75" customHeight="1" s="398">
      <c r="A209" s="317" t="n"/>
      <c r="B209" s="317" t="n"/>
      <c r="C209" s="317" t="n"/>
      <c r="D209" s="315" t="n"/>
      <c r="E209" s="288" t="n"/>
      <c r="F209" s="334" t="n"/>
      <c r="G209" s="391" t="n"/>
      <c r="H209" s="284" t="n"/>
      <c r="I209" s="288" t="n"/>
      <c r="J209" s="288" t="n"/>
      <c r="K209" s="288" t="n"/>
      <c r="L209" s="288" t="n"/>
      <c r="M209" s="288" t="n"/>
      <c r="N209" s="288" t="n"/>
      <c r="O209" s="288" t="n"/>
      <c r="P209" s="288" t="n"/>
      <c r="Q209" s="288" t="n"/>
      <c r="R209" s="288" t="n"/>
      <c r="S209" s="284" t="n"/>
      <c r="T209" s="284" t="n"/>
      <c r="U209" s="285" t="n"/>
      <c r="V209" s="285" t="n"/>
      <c r="W209" s="285" t="n"/>
      <c r="X209" s="285" t="n"/>
      <c r="Y209" s="285" t="n"/>
      <c r="Z209" s="285" t="n"/>
      <c r="AA209" s="285" t="n"/>
    </row>
    <row r="210" ht="15.75" customHeight="1" s="398">
      <c r="A210" s="317" t="n"/>
      <c r="B210" s="317" t="n"/>
      <c r="C210" s="317" t="n"/>
      <c r="D210" s="315" t="n"/>
      <c r="E210" s="288" t="n"/>
      <c r="F210" s="334" t="n"/>
      <c r="G210" s="391" t="n"/>
      <c r="H210" s="284" t="n"/>
      <c r="I210" s="288" t="n"/>
      <c r="J210" s="288" t="n"/>
      <c r="K210" s="288" t="n"/>
      <c r="L210" s="288" t="n"/>
      <c r="M210" s="288" t="n"/>
      <c r="N210" s="288" t="n"/>
      <c r="O210" s="288" t="n"/>
      <c r="P210" s="288" t="n"/>
      <c r="Q210" s="288" t="n"/>
      <c r="R210" s="288" t="n"/>
      <c r="S210" s="284" t="n"/>
      <c r="T210" s="284" t="n"/>
      <c r="U210" s="285" t="n"/>
      <c r="V210" s="285" t="n"/>
      <c r="W210" s="285" t="n"/>
      <c r="X210" s="285" t="n"/>
      <c r="Y210" s="285" t="n"/>
      <c r="Z210" s="285" t="n"/>
      <c r="AA210" s="285" t="n"/>
    </row>
    <row r="211" ht="15.75" customHeight="1" s="398">
      <c r="A211" s="317" t="n"/>
      <c r="B211" s="317" t="n"/>
      <c r="C211" s="317" t="n"/>
      <c r="D211" s="315" t="n"/>
      <c r="E211" s="288" t="n"/>
      <c r="F211" s="334" t="n"/>
      <c r="G211" s="391" t="n"/>
      <c r="H211" s="284" t="n"/>
      <c r="I211" s="288" t="n"/>
      <c r="J211" s="288" t="n"/>
      <c r="K211" s="288" t="n"/>
      <c r="L211" s="288" t="n"/>
      <c r="M211" s="288" t="n"/>
      <c r="N211" s="288" t="n"/>
      <c r="O211" s="288" t="n"/>
      <c r="P211" s="288" t="n"/>
      <c r="Q211" s="288" t="n"/>
      <c r="R211" s="288" t="n"/>
      <c r="S211" s="284" t="n"/>
      <c r="T211" s="284" t="n"/>
      <c r="U211" s="285" t="n"/>
      <c r="V211" s="285" t="n"/>
      <c r="W211" s="285" t="n"/>
      <c r="X211" s="285" t="n"/>
      <c r="Y211" s="285" t="n"/>
      <c r="Z211" s="285" t="n"/>
      <c r="AA211" s="285" t="n"/>
    </row>
    <row r="212" ht="15.75" customHeight="1" s="398">
      <c r="A212" s="317" t="n"/>
      <c r="B212" s="317" t="n"/>
      <c r="C212" s="317" t="n"/>
      <c r="D212" s="315" t="n"/>
      <c r="E212" s="288" t="n"/>
      <c r="F212" s="334" t="n"/>
      <c r="G212" s="391" t="n"/>
      <c r="H212" s="284" t="n"/>
      <c r="I212" s="288" t="n"/>
      <c r="J212" s="288" t="n"/>
      <c r="K212" s="288" t="n"/>
      <c r="L212" s="288" t="n"/>
      <c r="M212" s="288" t="n"/>
      <c r="N212" s="288" t="n"/>
      <c r="O212" s="288" t="n"/>
      <c r="P212" s="288" t="n"/>
      <c r="Q212" s="288" t="n"/>
      <c r="R212" s="288" t="n"/>
      <c r="S212" s="284" t="n"/>
      <c r="T212" s="284" t="n"/>
      <c r="U212" s="285" t="n"/>
      <c r="V212" s="285" t="n"/>
      <c r="W212" s="285" t="n"/>
      <c r="X212" s="285" t="n"/>
      <c r="Y212" s="285" t="n"/>
      <c r="Z212" s="285" t="n"/>
      <c r="AA212" s="285" t="n"/>
    </row>
    <row r="213" ht="15.75" customHeight="1" s="398">
      <c r="A213" s="317" t="n"/>
      <c r="B213" s="317" t="n"/>
      <c r="C213" s="317" t="n"/>
      <c r="D213" s="315" t="n"/>
      <c r="E213" s="288" t="n"/>
      <c r="F213" s="334" t="n"/>
      <c r="G213" s="391" t="n"/>
      <c r="H213" s="284" t="n"/>
      <c r="I213" s="288" t="n"/>
      <c r="J213" s="288" t="n"/>
      <c r="K213" s="288" t="n"/>
      <c r="L213" s="288" t="n"/>
      <c r="M213" s="288" t="n"/>
      <c r="N213" s="288" t="n"/>
      <c r="O213" s="288" t="n"/>
      <c r="P213" s="288" t="n"/>
      <c r="Q213" s="288" t="n"/>
      <c r="R213" s="288" t="n"/>
      <c r="S213" s="284" t="n"/>
      <c r="T213" s="284" t="n"/>
      <c r="U213" s="285" t="n"/>
      <c r="V213" s="285" t="n"/>
      <c r="W213" s="285" t="n"/>
      <c r="X213" s="285" t="n"/>
      <c r="Y213" s="285" t="n"/>
      <c r="Z213" s="285" t="n"/>
      <c r="AA213" s="285" t="n"/>
    </row>
    <row r="214" ht="15.75" customHeight="1" s="398">
      <c r="A214" s="317" t="n"/>
      <c r="B214" s="317" t="n"/>
      <c r="C214" s="317" t="n"/>
      <c r="D214" s="315" t="n"/>
      <c r="E214" s="288" t="n"/>
      <c r="F214" s="334" t="n"/>
      <c r="G214" s="391" t="n"/>
      <c r="H214" s="284" t="n"/>
      <c r="I214" s="288" t="n"/>
      <c r="J214" s="288" t="n"/>
      <c r="K214" s="288" t="n"/>
      <c r="L214" s="288" t="n"/>
      <c r="M214" s="288" t="n"/>
      <c r="N214" s="288" t="n"/>
      <c r="O214" s="288" t="n"/>
      <c r="P214" s="288" t="n"/>
      <c r="Q214" s="288" t="n"/>
      <c r="R214" s="288" t="n"/>
      <c r="S214" s="284" t="n"/>
      <c r="T214" s="284" t="n"/>
      <c r="U214" s="285" t="n"/>
      <c r="V214" s="285" t="n"/>
      <c r="W214" s="285" t="n"/>
      <c r="X214" s="285" t="n"/>
      <c r="Y214" s="285" t="n"/>
      <c r="Z214" s="285" t="n"/>
      <c r="AA214" s="285" t="n"/>
    </row>
    <row r="215" ht="15.75" customHeight="1" s="398">
      <c r="A215" s="317" t="n"/>
      <c r="B215" s="317" t="n"/>
      <c r="C215" s="317" t="n"/>
      <c r="D215" s="315" t="n"/>
      <c r="E215" s="288" t="n"/>
      <c r="F215" s="334" t="n"/>
      <c r="G215" s="391" t="n"/>
      <c r="H215" s="284" t="n"/>
      <c r="I215" s="288" t="n"/>
      <c r="J215" s="288" t="n"/>
      <c r="K215" s="288" t="n"/>
      <c r="L215" s="288" t="n"/>
      <c r="M215" s="288" t="n"/>
      <c r="N215" s="288" t="n"/>
      <c r="O215" s="288" t="n"/>
      <c r="P215" s="288" t="n"/>
      <c r="Q215" s="288" t="n"/>
      <c r="R215" s="288" t="n"/>
      <c r="S215" s="284" t="n"/>
      <c r="T215" s="284" t="n"/>
      <c r="U215" s="285" t="n"/>
      <c r="V215" s="285" t="n"/>
      <c r="W215" s="285" t="n"/>
      <c r="X215" s="285" t="n"/>
      <c r="Y215" s="285" t="n"/>
      <c r="Z215" s="285" t="n"/>
      <c r="AA215" s="285" t="n"/>
    </row>
    <row r="216" ht="15.75" customHeight="1" s="398">
      <c r="A216" s="317" t="n"/>
      <c r="B216" s="317" t="n"/>
      <c r="C216" s="317" t="n"/>
      <c r="D216" s="315" t="n"/>
      <c r="E216" s="288" t="n"/>
      <c r="F216" s="334" t="n"/>
      <c r="G216" s="391" t="n"/>
      <c r="H216" s="284" t="n"/>
      <c r="I216" s="288" t="n"/>
      <c r="J216" s="288" t="n"/>
      <c r="K216" s="288" t="n"/>
      <c r="L216" s="288" t="n"/>
      <c r="M216" s="288" t="n"/>
      <c r="N216" s="288" t="n"/>
      <c r="O216" s="288" t="n"/>
      <c r="P216" s="288" t="n"/>
      <c r="Q216" s="288" t="n"/>
      <c r="R216" s="288" t="n"/>
      <c r="S216" s="284" t="n"/>
      <c r="T216" s="284" t="n"/>
      <c r="U216" s="285" t="n"/>
      <c r="V216" s="285" t="n"/>
      <c r="W216" s="285" t="n"/>
      <c r="X216" s="285" t="n"/>
      <c r="Y216" s="285" t="n"/>
      <c r="Z216" s="285" t="n"/>
      <c r="AA216" s="285" t="n"/>
    </row>
    <row r="217" ht="15.75" customHeight="1" s="398">
      <c r="A217" s="317" t="n"/>
      <c r="B217" s="317" t="n"/>
      <c r="C217" s="317" t="n"/>
      <c r="D217" s="315" t="n"/>
      <c r="E217" s="288" t="n"/>
      <c r="F217" s="334" t="n"/>
      <c r="G217" s="391" t="n"/>
      <c r="H217" s="284" t="n"/>
      <c r="I217" s="288" t="n"/>
      <c r="J217" s="288" t="n"/>
      <c r="K217" s="288" t="n"/>
      <c r="L217" s="288" t="n"/>
      <c r="M217" s="288" t="n"/>
      <c r="N217" s="288" t="n"/>
      <c r="O217" s="288" t="n"/>
      <c r="P217" s="288" t="n"/>
      <c r="Q217" s="288" t="n"/>
      <c r="R217" s="288" t="n"/>
      <c r="S217" s="284" t="n"/>
      <c r="T217" s="284" t="n"/>
      <c r="U217" s="285" t="n"/>
      <c r="V217" s="285" t="n"/>
      <c r="W217" s="285" t="n"/>
      <c r="X217" s="285" t="n"/>
      <c r="Y217" s="285" t="n"/>
      <c r="Z217" s="285" t="n"/>
      <c r="AA217" s="285" t="n"/>
    </row>
    <row r="218" ht="15.75" customHeight="1" s="398">
      <c r="A218" s="317" t="n"/>
      <c r="B218" s="317" t="n"/>
      <c r="C218" s="317" t="n"/>
      <c r="D218" s="315" t="n"/>
      <c r="E218" s="288" t="n"/>
      <c r="F218" s="334" t="n"/>
      <c r="G218" s="391" t="n"/>
      <c r="H218" s="284" t="n"/>
      <c r="I218" s="288" t="n"/>
      <c r="J218" s="288" t="n"/>
      <c r="K218" s="288" t="n"/>
      <c r="L218" s="288" t="n"/>
      <c r="M218" s="288" t="n"/>
      <c r="N218" s="288" t="n"/>
      <c r="O218" s="288" t="n"/>
      <c r="P218" s="288" t="n"/>
      <c r="Q218" s="288" t="n"/>
      <c r="R218" s="288" t="n"/>
      <c r="S218" s="284" t="n"/>
      <c r="T218" s="284" t="n"/>
      <c r="U218" s="285" t="n"/>
      <c r="V218" s="285" t="n"/>
      <c r="W218" s="285" t="n"/>
      <c r="X218" s="285" t="n"/>
      <c r="Y218" s="285" t="n"/>
      <c r="Z218" s="285" t="n"/>
      <c r="AA218" s="285" t="n"/>
    </row>
    <row r="219" ht="15.75" customHeight="1" s="398">
      <c r="A219" s="317" t="n"/>
      <c r="B219" s="317" t="n"/>
      <c r="C219" s="317" t="n"/>
      <c r="D219" s="315" t="n"/>
      <c r="E219" s="288" t="n"/>
      <c r="F219" s="334" t="n"/>
      <c r="G219" s="391" t="n"/>
      <c r="H219" s="284" t="n"/>
      <c r="I219" s="288" t="n"/>
      <c r="J219" s="288" t="n"/>
      <c r="K219" s="288" t="n"/>
      <c r="L219" s="288" t="n"/>
      <c r="M219" s="288" t="n"/>
      <c r="N219" s="288" t="n"/>
      <c r="O219" s="288" t="n"/>
      <c r="P219" s="288" t="n"/>
      <c r="Q219" s="288" t="n"/>
      <c r="R219" s="288" t="n"/>
      <c r="S219" s="284" t="n"/>
      <c r="T219" s="284" t="n"/>
      <c r="U219" s="285" t="n"/>
      <c r="V219" s="285" t="n"/>
      <c r="W219" s="285" t="n"/>
      <c r="X219" s="285" t="n"/>
      <c r="Y219" s="285" t="n"/>
      <c r="Z219" s="285" t="n"/>
      <c r="AA219" s="285" t="n"/>
    </row>
    <row r="220" ht="15.75" customHeight="1" s="398">
      <c r="A220" s="317" t="n"/>
      <c r="B220" s="317" t="n"/>
      <c r="C220" s="317" t="n"/>
      <c r="D220" s="315" t="n"/>
      <c r="E220" s="288" t="n"/>
      <c r="F220" s="334" t="n"/>
      <c r="G220" s="391" t="n"/>
      <c r="H220" s="284" t="n"/>
      <c r="I220" s="288" t="n"/>
      <c r="J220" s="288" t="n"/>
      <c r="K220" s="288" t="n"/>
      <c r="L220" s="288" t="n"/>
      <c r="M220" s="288" t="n"/>
      <c r="N220" s="288" t="n"/>
      <c r="O220" s="288" t="n"/>
      <c r="P220" s="288" t="n"/>
      <c r="Q220" s="288" t="n"/>
      <c r="R220" s="288" t="n"/>
      <c r="S220" s="284" t="n"/>
      <c r="T220" s="284" t="n"/>
      <c r="U220" s="285" t="n"/>
      <c r="V220" s="285" t="n"/>
      <c r="W220" s="285" t="n"/>
      <c r="X220" s="285" t="n"/>
      <c r="Y220" s="285" t="n"/>
      <c r="Z220" s="285" t="n"/>
      <c r="AA220" s="285" t="n"/>
    </row>
    <row r="221" ht="15.75" customHeight="1" s="398">
      <c r="A221" s="317" t="n"/>
      <c r="B221" s="317" t="n"/>
      <c r="C221" s="317" t="n"/>
      <c r="D221" s="315" t="n"/>
      <c r="E221" s="288" t="n"/>
      <c r="F221" s="334" t="n"/>
      <c r="G221" s="391" t="n"/>
      <c r="H221" s="284" t="n"/>
      <c r="I221" s="288" t="n"/>
      <c r="J221" s="288" t="n"/>
      <c r="K221" s="288" t="n"/>
      <c r="L221" s="288" t="n"/>
      <c r="M221" s="288" t="n"/>
      <c r="N221" s="288" t="n"/>
      <c r="O221" s="288" t="n"/>
      <c r="P221" s="288" t="n"/>
      <c r="Q221" s="288" t="n"/>
      <c r="R221" s="288" t="n"/>
      <c r="S221" s="284" t="n"/>
      <c r="T221" s="284" t="n"/>
      <c r="U221" s="285" t="n"/>
      <c r="V221" s="285" t="n"/>
      <c r="W221" s="285" t="n"/>
      <c r="X221" s="285" t="n"/>
      <c r="Y221" s="285" t="n"/>
      <c r="Z221" s="285" t="n"/>
      <c r="AA221" s="285" t="n"/>
    </row>
    <row r="222" ht="15.75" customHeight="1" s="398">
      <c r="A222" s="317" t="n"/>
      <c r="B222" s="317" t="n"/>
      <c r="C222" s="317" t="n"/>
      <c r="D222" s="315" t="n"/>
      <c r="E222" s="288" t="n"/>
      <c r="F222" s="334" t="n"/>
      <c r="G222" s="391" t="n"/>
      <c r="H222" s="284" t="n"/>
      <c r="I222" s="288" t="n"/>
      <c r="J222" s="288" t="n"/>
      <c r="K222" s="288" t="n"/>
      <c r="L222" s="288" t="n"/>
      <c r="M222" s="288" t="n"/>
      <c r="N222" s="288" t="n"/>
      <c r="O222" s="288" t="n"/>
      <c r="P222" s="288" t="n"/>
      <c r="Q222" s="288" t="n"/>
      <c r="R222" s="288" t="n"/>
      <c r="S222" s="284" t="n"/>
      <c r="T222" s="284" t="n"/>
      <c r="U222" s="285" t="n"/>
      <c r="V222" s="285" t="n"/>
      <c r="W222" s="285" t="n"/>
      <c r="X222" s="285" t="n"/>
      <c r="Y222" s="285" t="n"/>
      <c r="Z222" s="285" t="n"/>
      <c r="AA222" s="285" t="n"/>
    </row>
    <row r="223" ht="15.75" customHeight="1" s="398">
      <c r="A223" s="317" t="n"/>
      <c r="B223" s="317" t="n"/>
      <c r="C223" s="317" t="n"/>
      <c r="D223" s="315" t="n"/>
      <c r="E223" s="288" t="n"/>
      <c r="F223" s="334" t="n"/>
      <c r="G223" s="391" t="n"/>
      <c r="H223" s="284" t="n"/>
      <c r="I223" s="288" t="n"/>
      <c r="J223" s="288" t="n"/>
      <c r="K223" s="288" t="n"/>
      <c r="L223" s="288" t="n"/>
      <c r="M223" s="288" t="n"/>
      <c r="N223" s="288" t="n"/>
      <c r="O223" s="288" t="n"/>
      <c r="P223" s="288" t="n"/>
      <c r="Q223" s="288" t="n"/>
      <c r="R223" s="288" t="n"/>
      <c r="S223" s="284" t="n"/>
      <c r="T223" s="284" t="n"/>
      <c r="U223" s="285" t="n"/>
      <c r="V223" s="285" t="n"/>
      <c r="W223" s="285" t="n"/>
      <c r="X223" s="285" t="n"/>
      <c r="Y223" s="285" t="n"/>
      <c r="Z223" s="285" t="n"/>
      <c r="AA223" s="285" t="n"/>
    </row>
    <row r="224" ht="15.75" customHeight="1" s="398">
      <c r="A224" s="317" t="n"/>
      <c r="B224" s="317" t="n"/>
      <c r="C224" s="317" t="n"/>
      <c r="D224" s="315" t="n"/>
      <c r="E224" s="288" t="n"/>
      <c r="F224" s="334" t="n"/>
      <c r="G224" s="391" t="n"/>
      <c r="H224" s="284" t="n"/>
      <c r="I224" s="288" t="n"/>
      <c r="J224" s="288" t="n"/>
      <c r="K224" s="288" t="n"/>
      <c r="L224" s="288" t="n"/>
      <c r="M224" s="288" t="n"/>
      <c r="N224" s="288" t="n"/>
      <c r="O224" s="288" t="n"/>
      <c r="P224" s="288" t="n"/>
      <c r="Q224" s="288" t="n"/>
      <c r="R224" s="288" t="n"/>
      <c r="S224" s="284" t="n"/>
      <c r="T224" s="284" t="n"/>
      <c r="U224" s="285" t="n"/>
      <c r="V224" s="285" t="n"/>
      <c r="W224" s="285" t="n"/>
      <c r="X224" s="285" t="n"/>
      <c r="Y224" s="285" t="n"/>
      <c r="Z224" s="285" t="n"/>
      <c r="AA224" s="285" t="n"/>
    </row>
    <row r="225" ht="15.75" customHeight="1" s="398">
      <c r="A225" s="317" t="n"/>
      <c r="B225" s="317" t="n"/>
      <c r="C225" s="317" t="n"/>
      <c r="D225" s="315" t="n"/>
      <c r="E225" s="288" t="n"/>
      <c r="F225" s="334" t="n"/>
      <c r="G225" s="391" t="n"/>
      <c r="H225" s="284" t="n"/>
      <c r="I225" s="288" t="n"/>
      <c r="J225" s="288" t="n"/>
      <c r="K225" s="288" t="n"/>
      <c r="L225" s="288" t="n"/>
      <c r="M225" s="288" t="n"/>
      <c r="N225" s="288" t="n"/>
      <c r="O225" s="288" t="n"/>
      <c r="P225" s="288" t="n"/>
      <c r="Q225" s="288" t="n"/>
      <c r="R225" s="288" t="n"/>
      <c r="S225" s="284" t="n"/>
      <c r="T225" s="284" t="n"/>
      <c r="U225" s="285" t="n"/>
      <c r="V225" s="285" t="n"/>
      <c r="W225" s="285" t="n"/>
      <c r="X225" s="285" t="n"/>
      <c r="Y225" s="285" t="n"/>
      <c r="Z225" s="285" t="n"/>
      <c r="AA225" s="285" t="n"/>
    </row>
    <row r="226" ht="15.75" customHeight="1" s="398">
      <c r="A226" s="317" t="n"/>
      <c r="B226" s="317" t="n"/>
      <c r="C226" s="317" t="n"/>
      <c r="D226" s="315" t="n"/>
      <c r="E226" s="288" t="n"/>
      <c r="F226" s="334" t="n"/>
      <c r="G226" s="391" t="n"/>
      <c r="H226" s="284" t="n"/>
      <c r="I226" s="288" t="n"/>
      <c r="J226" s="288" t="n"/>
      <c r="K226" s="288" t="n"/>
      <c r="L226" s="288" t="n"/>
      <c r="M226" s="288" t="n"/>
      <c r="N226" s="288" t="n"/>
      <c r="O226" s="288" t="n"/>
      <c r="P226" s="288" t="n"/>
      <c r="Q226" s="288" t="n"/>
      <c r="R226" s="288" t="n"/>
      <c r="S226" s="284" t="n"/>
      <c r="T226" s="284" t="n"/>
      <c r="U226" s="285" t="n"/>
      <c r="V226" s="285" t="n"/>
      <c r="W226" s="285" t="n"/>
      <c r="X226" s="285" t="n"/>
      <c r="Y226" s="285" t="n"/>
      <c r="Z226" s="285" t="n"/>
      <c r="AA226" s="285" t="n"/>
    </row>
    <row r="227" ht="15.75" customHeight="1" s="398">
      <c r="A227" s="317" t="n"/>
      <c r="B227" s="317" t="n"/>
      <c r="C227" s="317" t="n"/>
      <c r="D227" s="315" t="n"/>
      <c r="E227" s="288" t="n"/>
      <c r="F227" s="334" t="n"/>
      <c r="G227" s="391" t="n"/>
      <c r="H227" s="284" t="n"/>
      <c r="I227" s="288" t="n"/>
      <c r="J227" s="288" t="n"/>
      <c r="K227" s="288" t="n"/>
      <c r="L227" s="288" t="n"/>
      <c r="M227" s="288" t="n"/>
      <c r="N227" s="288" t="n"/>
      <c r="O227" s="288" t="n"/>
      <c r="P227" s="288" t="n"/>
      <c r="Q227" s="288" t="n"/>
      <c r="R227" s="288" t="n"/>
      <c r="S227" s="284" t="n"/>
      <c r="T227" s="284" t="n"/>
      <c r="U227" s="285" t="n"/>
      <c r="V227" s="285" t="n"/>
      <c r="W227" s="285" t="n"/>
      <c r="X227" s="285" t="n"/>
      <c r="Y227" s="285" t="n"/>
      <c r="Z227" s="285" t="n"/>
      <c r="AA227" s="285" t="n"/>
    </row>
    <row r="228" ht="15.75" customHeight="1" s="398">
      <c r="A228" s="317" t="n"/>
      <c r="B228" s="317" t="n"/>
      <c r="C228" s="317" t="n"/>
      <c r="D228" s="315" t="n"/>
      <c r="E228" s="288" t="n"/>
      <c r="F228" s="334" t="n"/>
      <c r="G228" s="391" t="n"/>
      <c r="H228" s="284" t="n"/>
      <c r="I228" s="288" t="n"/>
      <c r="J228" s="288" t="n"/>
      <c r="K228" s="288" t="n"/>
      <c r="L228" s="288" t="n"/>
      <c r="M228" s="288" t="n"/>
      <c r="N228" s="288" t="n"/>
      <c r="O228" s="288" t="n"/>
      <c r="P228" s="288" t="n"/>
      <c r="Q228" s="288" t="n"/>
      <c r="R228" s="288" t="n"/>
      <c r="S228" s="284" t="n"/>
      <c r="T228" s="284" t="n"/>
      <c r="U228" s="285" t="n"/>
      <c r="V228" s="285" t="n"/>
      <c r="W228" s="285" t="n"/>
      <c r="X228" s="285" t="n"/>
      <c r="Y228" s="285" t="n"/>
      <c r="Z228" s="285" t="n"/>
      <c r="AA228" s="285" t="n"/>
    </row>
    <row r="229" ht="15.75" customHeight="1" s="398">
      <c r="A229" s="317" t="n"/>
      <c r="B229" s="317" t="n"/>
      <c r="C229" s="317" t="n"/>
      <c r="D229" s="315" t="n"/>
      <c r="E229" s="288" t="n"/>
      <c r="F229" s="334" t="n"/>
      <c r="G229" s="391" t="n"/>
      <c r="H229" s="284" t="n"/>
      <c r="I229" s="288" t="n"/>
      <c r="J229" s="288" t="n"/>
      <c r="K229" s="288" t="n"/>
      <c r="L229" s="288" t="n"/>
      <c r="M229" s="288" t="n"/>
      <c r="N229" s="288" t="n"/>
      <c r="O229" s="288" t="n"/>
      <c r="P229" s="288" t="n"/>
      <c r="Q229" s="288" t="n"/>
      <c r="R229" s="288" t="n"/>
      <c r="S229" s="284" t="n"/>
      <c r="T229" s="284" t="n"/>
      <c r="U229" s="285" t="n"/>
      <c r="V229" s="285" t="n"/>
      <c r="W229" s="285" t="n"/>
      <c r="X229" s="285" t="n"/>
      <c r="Y229" s="285" t="n"/>
      <c r="Z229" s="285" t="n"/>
      <c r="AA229" s="285" t="n"/>
    </row>
    <row r="230" ht="15.75" customHeight="1" s="398">
      <c r="A230" s="317" t="n"/>
      <c r="B230" s="317" t="n"/>
      <c r="C230" s="317" t="n"/>
      <c r="D230" s="315" t="n"/>
      <c r="E230" s="288" t="n"/>
      <c r="F230" s="334" t="n"/>
      <c r="G230" s="391" t="n"/>
      <c r="H230" s="284" t="n"/>
      <c r="I230" s="288" t="n"/>
      <c r="J230" s="288" t="n"/>
      <c r="K230" s="288" t="n"/>
      <c r="L230" s="288" t="n"/>
      <c r="M230" s="288" t="n"/>
      <c r="N230" s="288" t="n"/>
      <c r="O230" s="288" t="n"/>
      <c r="P230" s="288" t="n"/>
      <c r="Q230" s="288" t="n"/>
      <c r="R230" s="288" t="n"/>
      <c r="S230" s="284" t="n"/>
      <c r="T230" s="284" t="n"/>
      <c r="U230" s="285" t="n"/>
      <c r="V230" s="285" t="n"/>
      <c r="W230" s="285" t="n"/>
      <c r="X230" s="285" t="n"/>
      <c r="Y230" s="285" t="n"/>
      <c r="Z230" s="285" t="n"/>
      <c r="AA230" s="285" t="n"/>
    </row>
    <row r="231" ht="15.75" customHeight="1" s="398">
      <c r="A231" s="317" t="n"/>
      <c r="B231" s="317" t="n"/>
      <c r="C231" s="317" t="n"/>
      <c r="D231" s="315" t="n"/>
      <c r="E231" s="288" t="n"/>
      <c r="F231" s="334" t="n"/>
      <c r="G231" s="391" t="n"/>
      <c r="H231" s="284" t="n"/>
      <c r="I231" s="288" t="n"/>
      <c r="J231" s="288" t="n"/>
      <c r="K231" s="288" t="n"/>
      <c r="L231" s="288" t="n"/>
      <c r="M231" s="288" t="n"/>
      <c r="N231" s="288" t="n"/>
      <c r="O231" s="288" t="n"/>
      <c r="P231" s="288" t="n"/>
      <c r="Q231" s="288" t="n"/>
      <c r="R231" s="288" t="n"/>
      <c r="S231" s="284" t="n"/>
      <c r="T231" s="284" t="n"/>
      <c r="U231" s="285" t="n"/>
      <c r="V231" s="285" t="n"/>
      <c r="W231" s="285" t="n"/>
      <c r="X231" s="285" t="n"/>
      <c r="Y231" s="285" t="n"/>
      <c r="Z231" s="285" t="n"/>
      <c r="AA231" s="285" t="n"/>
    </row>
    <row r="232" ht="15.75" customHeight="1" s="398">
      <c r="A232" s="317" t="n"/>
      <c r="B232" s="317" t="n"/>
      <c r="C232" s="317" t="n"/>
      <c r="D232" s="315" t="n"/>
      <c r="E232" s="288" t="n"/>
      <c r="F232" s="334" t="n"/>
      <c r="G232" s="391" t="n"/>
      <c r="H232" s="284" t="n"/>
      <c r="I232" s="288" t="n"/>
      <c r="J232" s="288" t="n"/>
      <c r="K232" s="288" t="n"/>
      <c r="L232" s="288" t="n"/>
      <c r="M232" s="288" t="n"/>
      <c r="N232" s="288" t="n"/>
      <c r="O232" s="288" t="n"/>
      <c r="P232" s="288" t="n"/>
      <c r="Q232" s="288" t="n"/>
      <c r="R232" s="288" t="n"/>
      <c r="S232" s="284" t="n"/>
      <c r="T232" s="284" t="n"/>
      <c r="U232" s="285" t="n"/>
      <c r="V232" s="285" t="n"/>
      <c r="W232" s="285" t="n"/>
      <c r="X232" s="285" t="n"/>
      <c r="Y232" s="285" t="n"/>
      <c r="Z232" s="285" t="n"/>
      <c r="AA232" s="285" t="n"/>
    </row>
    <row r="233" ht="15.75" customHeight="1" s="398">
      <c r="A233" s="317" t="n"/>
      <c r="B233" s="317" t="n"/>
      <c r="C233" s="317" t="n"/>
      <c r="D233" s="315" t="n"/>
      <c r="E233" s="288" t="n"/>
      <c r="F233" s="334" t="n"/>
      <c r="G233" s="391" t="n"/>
      <c r="H233" s="284" t="n"/>
      <c r="I233" s="288" t="n"/>
      <c r="J233" s="288" t="n"/>
      <c r="K233" s="288" t="n"/>
      <c r="L233" s="288" t="n"/>
      <c r="M233" s="288" t="n"/>
      <c r="N233" s="288" t="n"/>
      <c r="O233" s="288" t="n"/>
      <c r="P233" s="288" t="n"/>
      <c r="Q233" s="288" t="n"/>
      <c r="R233" s="288" t="n"/>
      <c r="S233" s="284" t="n"/>
      <c r="T233" s="284" t="n"/>
      <c r="U233" s="285" t="n"/>
      <c r="V233" s="285" t="n"/>
      <c r="W233" s="285" t="n"/>
      <c r="X233" s="285" t="n"/>
      <c r="Y233" s="285" t="n"/>
      <c r="Z233" s="285" t="n"/>
      <c r="AA233" s="285" t="n"/>
    </row>
    <row r="234" ht="15.75" customHeight="1" s="398">
      <c r="A234" s="317" t="n"/>
      <c r="B234" s="317" t="n"/>
      <c r="C234" s="317" t="n"/>
      <c r="D234" s="315" t="n"/>
      <c r="E234" s="288" t="n"/>
      <c r="F234" s="334" t="n"/>
      <c r="G234" s="391" t="n"/>
      <c r="H234" s="284" t="n"/>
      <c r="I234" s="288" t="n"/>
      <c r="J234" s="288" t="n"/>
      <c r="K234" s="288" t="n"/>
      <c r="L234" s="288" t="n"/>
      <c r="M234" s="288" t="n"/>
      <c r="N234" s="288" t="n"/>
      <c r="O234" s="288" t="n"/>
      <c r="P234" s="288" t="n"/>
      <c r="Q234" s="288" t="n"/>
      <c r="R234" s="288" t="n"/>
      <c r="S234" s="284" t="n"/>
      <c r="T234" s="284" t="n"/>
      <c r="U234" s="285" t="n"/>
      <c r="V234" s="285" t="n"/>
      <c r="W234" s="285" t="n"/>
      <c r="X234" s="285" t="n"/>
      <c r="Y234" s="285" t="n"/>
      <c r="Z234" s="285" t="n"/>
      <c r="AA234" s="285" t="n"/>
    </row>
    <row r="235" ht="15.75" customHeight="1" s="398">
      <c r="A235" s="317" t="n"/>
      <c r="B235" s="317" t="n"/>
      <c r="C235" s="317" t="n"/>
      <c r="D235" s="315" t="n"/>
      <c r="E235" s="288" t="n"/>
      <c r="F235" s="334" t="n"/>
      <c r="G235" s="391" t="n"/>
      <c r="H235" s="284" t="n"/>
      <c r="I235" s="288" t="n"/>
      <c r="J235" s="288" t="n"/>
      <c r="K235" s="288" t="n"/>
      <c r="L235" s="288" t="n"/>
      <c r="M235" s="288" t="n"/>
      <c r="N235" s="288" t="n"/>
      <c r="O235" s="288" t="n"/>
      <c r="P235" s="288" t="n"/>
      <c r="Q235" s="288" t="n"/>
      <c r="R235" s="288" t="n"/>
      <c r="S235" s="284" t="n"/>
      <c r="T235" s="284" t="n"/>
      <c r="U235" s="285" t="n"/>
      <c r="V235" s="285" t="n"/>
      <c r="W235" s="285" t="n"/>
      <c r="X235" s="285" t="n"/>
      <c r="Y235" s="285" t="n"/>
      <c r="Z235" s="285" t="n"/>
      <c r="AA235" s="285" t="n"/>
    </row>
    <row r="236" ht="15.75" customHeight="1" s="398">
      <c r="A236" s="317" t="n"/>
      <c r="B236" s="317" t="n"/>
      <c r="C236" s="317" t="n"/>
      <c r="D236" s="315" t="n"/>
      <c r="E236" s="288" t="n"/>
      <c r="F236" s="334" t="n"/>
      <c r="G236" s="391" t="n"/>
      <c r="H236" s="284" t="n"/>
      <c r="I236" s="288" t="n"/>
      <c r="J236" s="288" t="n"/>
      <c r="K236" s="288" t="n"/>
      <c r="L236" s="288" t="n"/>
      <c r="M236" s="288" t="n"/>
      <c r="N236" s="288" t="n"/>
      <c r="O236" s="288" t="n"/>
      <c r="P236" s="288" t="n"/>
      <c r="Q236" s="288" t="n"/>
      <c r="R236" s="288" t="n"/>
      <c r="S236" s="284" t="n"/>
      <c r="T236" s="284" t="n"/>
      <c r="U236" s="285" t="n"/>
      <c r="V236" s="285" t="n"/>
      <c r="W236" s="285" t="n"/>
      <c r="X236" s="285" t="n"/>
      <c r="Y236" s="285" t="n"/>
      <c r="Z236" s="285" t="n"/>
      <c r="AA236" s="285" t="n"/>
    </row>
    <row r="237" ht="15.75" customHeight="1" s="398">
      <c r="A237" s="317" t="n"/>
      <c r="B237" s="317" t="n"/>
      <c r="C237" s="317" t="n"/>
      <c r="D237" s="315" t="n"/>
      <c r="E237" s="288" t="n"/>
      <c r="F237" s="334" t="n"/>
      <c r="G237" s="391" t="n"/>
      <c r="H237" s="284" t="n"/>
      <c r="I237" s="288" t="n"/>
      <c r="J237" s="288" t="n"/>
      <c r="K237" s="288" t="n"/>
      <c r="L237" s="288" t="n"/>
      <c r="M237" s="288" t="n"/>
      <c r="N237" s="288" t="n"/>
      <c r="O237" s="288" t="n"/>
      <c r="P237" s="288" t="n"/>
      <c r="Q237" s="288" t="n"/>
      <c r="R237" s="288" t="n"/>
      <c r="S237" s="284" t="n"/>
      <c r="T237" s="284" t="n"/>
      <c r="U237" s="285" t="n"/>
      <c r="V237" s="285" t="n"/>
      <c r="W237" s="285" t="n"/>
      <c r="X237" s="285" t="n"/>
      <c r="Y237" s="285" t="n"/>
      <c r="Z237" s="285" t="n"/>
      <c r="AA237" s="285" t="n"/>
    </row>
    <row r="238" ht="15.75" customHeight="1" s="398">
      <c r="A238" s="317" t="n"/>
      <c r="B238" s="317" t="n"/>
      <c r="C238" s="317" t="n"/>
      <c r="D238" s="315" t="n"/>
      <c r="E238" s="288" t="n"/>
      <c r="F238" s="334" t="n"/>
      <c r="G238" s="391" t="n"/>
      <c r="H238" s="284" t="n"/>
      <c r="I238" s="288" t="n"/>
      <c r="J238" s="288" t="n"/>
      <c r="K238" s="288" t="n"/>
      <c r="L238" s="288" t="n"/>
      <c r="M238" s="288" t="n"/>
      <c r="N238" s="288" t="n"/>
      <c r="O238" s="288" t="n"/>
      <c r="P238" s="288" t="n"/>
      <c r="Q238" s="288" t="n"/>
      <c r="R238" s="288" t="n"/>
      <c r="S238" s="284" t="n"/>
      <c r="T238" s="284" t="n"/>
      <c r="U238" s="285" t="n"/>
      <c r="V238" s="285" t="n"/>
      <c r="W238" s="285" t="n"/>
      <c r="X238" s="285" t="n"/>
      <c r="Y238" s="285" t="n"/>
      <c r="Z238" s="285" t="n"/>
      <c r="AA238" s="285" t="n"/>
    </row>
    <row r="239" ht="15.75" customHeight="1" s="398">
      <c r="A239" s="317" t="n"/>
      <c r="B239" s="317" t="n"/>
      <c r="C239" s="317" t="n"/>
      <c r="D239" s="315" t="n"/>
      <c r="E239" s="288" t="n"/>
      <c r="F239" s="334" t="n"/>
      <c r="G239" s="391" t="n"/>
      <c r="H239" s="284" t="n"/>
      <c r="I239" s="288" t="n"/>
      <c r="J239" s="288" t="n"/>
      <c r="K239" s="288" t="n"/>
      <c r="L239" s="288" t="n"/>
      <c r="M239" s="288" t="n"/>
      <c r="N239" s="288" t="n"/>
      <c r="O239" s="288" t="n"/>
      <c r="P239" s="288" t="n"/>
      <c r="Q239" s="288" t="n"/>
      <c r="R239" s="288" t="n"/>
      <c r="S239" s="284" t="n"/>
      <c r="T239" s="284" t="n"/>
      <c r="U239" s="285" t="n"/>
      <c r="V239" s="285" t="n"/>
      <c r="W239" s="285" t="n"/>
      <c r="X239" s="285" t="n"/>
      <c r="Y239" s="285" t="n"/>
      <c r="Z239" s="285" t="n"/>
      <c r="AA239" s="285" t="n"/>
    </row>
    <row r="240" ht="15.75" customHeight="1" s="398">
      <c r="A240" s="317" t="n"/>
      <c r="B240" s="317" t="n"/>
      <c r="C240" s="317" t="n"/>
      <c r="D240" s="315" t="n"/>
      <c r="E240" s="288" t="n"/>
      <c r="F240" s="334" t="n"/>
      <c r="G240" s="391" t="n"/>
      <c r="H240" s="284" t="n"/>
      <c r="I240" s="288" t="n"/>
      <c r="J240" s="288" t="n"/>
      <c r="K240" s="288" t="n"/>
      <c r="L240" s="288" t="n"/>
      <c r="M240" s="288" t="n"/>
      <c r="N240" s="288" t="n"/>
      <c r="O240" s="288" t="n"/>
      <c r="P240" s="288" t="n"/>
      <c r="Q240" s="288" t="n"/>
      <c r="R240" s="288" t="n"/>
      <c r="S240" s="284" t="n"/>
      <c r="T240" s="284" t="n"/>
      <c r="U240" s="285" t="n"/>
      <c r="V240" s="285" t="n"/>
      <c r="W240" s="285" t="n"/>
      <c r="X240" s="285" t="n"/>
      <c r="Y240" s="285" t="n"/>
      <c r="Z240" s="285" t="n"/>
      <c r="AA240" s="285" t="n"/>
    </row>
    <row r="241" ht="15.75" customHeight="1" s="398">
      <c r="A241" s="317" t="n"/>
      <c r="B241" s="317" t="n"/>
      <c r="C241" s="317" t="n"/>
      <c r="D241" s="315" t="n"/>
      <c r="E241" s="288" t="n"/>
      <c r="F241" s="334" t="n"/>
      <c r="G241" s="391" t="n"/>
      <c r="H241" s="284" t="n"/>
      <c r="I241" s="288" t="n"/>
      <c r="J241" s="288" t="n"/>
      <c r="K241" s="288" t="n"/>
      <c r="L241" s="288" t="n"/>
      <c r="M241" s="288" t="n"/>
      <c r="N241" s="288" t="n"/>
      <c r="O241" s="288" t="n"/>
      <c r="P241" s="288" t="n"/>
      <c r="Q241" s="288" t="n"/>
      <c r="R241" s="288" t="n"/>
      <c r="S241" s="284" t="n"/>
      <c r="T241" s="284" t="n"/>
      <c r="U241" s="285" t="n"/>
      <c r="V241" s="285" t="n"/>
      <c r="W241" s="285" t="n"/>
      <c r="X241" s="285" t="n"/>
      <c r="Y241" s="285" t="n"/>
      <c r="Z241" s="285" t="n"/>
      <c r="AA241" s="285" t="n"/>
    </row>
    <row r="242" ht="15.75" customHeight="1" s="398">
      <c r="A242" s="317" t="n"/>
      <c r="B242" s="317" t="n"/>
      <c r="C242" s="317" t="n"/>
      <c r="D242" s="315" t="n"/>
      <c r="E242" s="288" t="n"/>
      <c r="F242" s="334" t="n"/>
      <c r="G242" s="391" t="n"/>
      <c r="H242" s="284" t="n"/>
      <c r="I242" s="288" t="n"/>
      <c r="J242" s="288" t="n"/>
      <c r="K242" s="288" t="n"/>
      <c r="L242" s="288" t="n"/>
      <c r="M242" s="288" t="n"/>
      <c r="N242" s="288" t="n"/>
      <c r="O242" s="288" t="n"/>
      <c r="P242" s="288" t="n"/>
      <c r="Q242" s="288" t="n"/>
      <c r="R242" s="288" t="n"/>
      <c r="S242" s="284" t="n"/>
      <c r="T242" s="284" t="n"/>
      <c r="U242" s="285" t="n"/>
      <c r="V242" s="285" t="n"/>
      <c r="W242" s="285" t="n"/>
      <c r="X242" s="285" t="n"/>
      <c r="Y242" s="285" t="n"/>
      <c r="Z242" s="285" t="n"/>
      <c r="AA242" s="285" t="n"/>
    </row>
    <row r="243" ht="15.75" customHeight="1" s="398">
      <c r="A243" s="317" t="n"/>
      <c r="B243" s="317" t="n"/>
      <c r="C243" s="317" t="n"/>
      <c r="D243" s="315" t="n"/>
      <c r="E243" s="288" t="n"/>
      <c r="F243" s="334" t="n"/>
      <c r="G243" s="391" t="n"/>
      <c r="H243" s="284" t="n"/>
      <c r="I243" s="288" t="n"/>
      <c r="J243" s="288" t="n"/>
      <c r="K243" s="288" t="n"/>
      <c r="L243" s="288" t="n"/>
      <c r="M243" s="288" t="n"/>
      <c r="N243" s="288" t="n"/>
      <c r="O243" s="288" t="n"/>
      <c r="P243" s="288" t="n"/>
      <c r="Q243" s="288" t="n"/>
      <c r="R243" s="288" t="n"/>
      <c r="S243" s="284" t="n"/>
      <c r="T243" s="284" t="n"/>
      <c r="U243" s="285" t="n"/>
      <c r="V243" s="285" t="n"/>
      <c r="W243" s="285" t="n"/>
      <c r="X243" s="285" t="n"/>
      <c r="Y243" s="285" t="n"/>
      <c r="Z243" s="285" t="n"/>
      <c r="AA243" s="285" t="n"/>
    </row>
    <row r="244" ht="15.75" customHeight="1" s="398">
      <c r="A244" s="317" t="n"/>
      <c r="B244" s="317" t="n"/>
      <c r="C244" s="317" t="n"/>
      <c r="D244" s="315" t="n"/>
      <c r="E244" s="288" t="n"/>
      <c r="F244" s="334" t="n"/>
      <c r="G244" s="391" t="n"/>
      <c r="H244" s="284" t="n"/>
      <c r="I244" s="288" t="n"/>
      <c r="J244" s="288" t="n"/>
      <c r="K244" s="288" t="n"/>
      <c r="L244" s="288" t="n"/>
      <c r="M244" s="288" t="n"/>
      <c r="N244" s="288" t="n"/>
      <c r="O244" s="288" t="n"/>
      <c r="P244" s="288" t="n"/>
      <c r="Q244" s="288" t="n"/>
      <c r="R244" s="288" t="n"/>
      <c r="S244" s="284" t="n"/>
      <c r="T244" s="284" t="n"/>
      <c r="U244" s="285" t="n"/>
      <c r="V244" s="285" t="n"/>
      <c r="W244" s="285" t="n"/>
      <c r="X244" s="285" t="n"/>
      <c r="Y244" s="285" t="n"/>
      <c r="Z244" s="285" t="n"/>
      <c r="AA244" s="285" t="n"/>
    </row>
    <row r="245" ht="15.75" customHeight="1" s="398">
      <c r="A245" s="317" t="n"/>
      <c r="B245" s="317" t="n"/>
      <c r="C245" s="317" t="n"/>
      <c r="D245" s="315" t="n"/>
      <c r="E245" s="288" t="n"/>
      <c r="F245" s="334" t="n"/>
      <c r="G245" s="391" t="n"/>
      <c r="H245" s="284" t="n"/>
      <c r="I245" s="288" t="n"/>
      <c r="J245" s="288" t="n"/>
      <c r="K245" s="288" t="n"/>
      <c r="L245" s="288" t="n"/>
      <c r="M245" s="288" t="n"/>
      <c r="N245" s="288" t="n"/>
      <c r="O245" s="288" t="n"/>
      <c r="P245" s="288" t="n"/>
      <c r="Q245" s="288" t="n"/>
      <c r="R245" s="288" t="n"/>
      <c r="S245" s="284" t="n"/>
      <c r="T245" s="284" t="n"/>
      <c r="U245" s="285" t="n"/>
      <c r="V245" s="285" t="n"/>
      <c r="W245" s="285" t="n"/>
      <c r="X245" s="285" t="n"/>
      <c r="Y245" s="285" t="n"/>
      <c r="Z245" s="285" t="n"/>
      <c r="AA245" s="285" t="n"/>
    </row>
    <row r="246" ht="15.75" customHeight="1" s="398">
      <c r="A246" s="317" t="n"/>
      <c r="B246" s="317" t="n"/>
      <c r="C246" s="317" t="n"/>
      <c r="D246" s="315" t="n"/>
      <c r="E246" s="288" t="n"/>
      <c r="F246" s="334" t="n"/>
      <c r="G246" s="391" t="n"/>
      <c r="H246" s="284" t="n"/>
      <c r="I246" s="288" t="n"/>
      <c r="J246" s="288" t="n"/>
      <c r="K246" s="288" t="n"/>
      <c r="L246" s="288" t="n"/>
      <c r="M246" s="288" t="n"/>
      <c r="N246" s="288" t="n"/>
      <c r="O246" s="288" t="n"/>
      <c r="P246" s="288" t="n"/>
      <c r="Q246" s="288" t="n"/>
      <c r="R246" s="288" t="n"/>
      <c r="S246" s="284" t="n"/>
      <c r="T246" s="284" t="n"/>
      <c r="U246" s="285" t="n"/>
      <c r="V246" s="285" t="n"/>
      <c r="W246" s="285" t="n"/>
      <c r="X246" s="285" t="n"/>
      <c r="Y246" s="285" t="n"/>
      <c r="Z246" s="285" t="n"/>
      <c r="AA246" s="285" t="n"/>
    </row>
    <row r="247" ht="15.75" customHeight="1" s="398">
      <c r="A247" s="317" t="n"/>
      <c r="B247" s="317" t="n"/>
      <c r="C247" s="317" t="n"/>
      <c r="D247" s="315" t="n"/>
      <c r="E247" s="288" t="n"/>
      <c r="F247" s="334" t="n"/>
      <c r="G247" s="391" t="n"/>
      <c r="H247" s="284" t="n"/>
      <c r="I247" s="288" t="n"/>
      <c r="J247" s="288" t="n"/>
      <c r="K247" s="288" t="n"/>
      <c r="L247" s="288" t="n"/>
      <c r="M247" s="288" t="n"/>
      <c r="N247" s="288" t="n"/>
      <c r="O247" s="288" t="n"/>
      <c r="P247" s="288" t="n"/>
      <c r="Q247" s="288" t="n"/>
      <c r="R247" s="288" t="n"/>
      <c r="S247" s="284" t="n"/>
      <c r="T247" s="284" t="n"/>
      <c r="U247" s="285" t="n"/>
      <c r="V247" s="285" t="n"/>
      <c r="W247" s="285" t="n"/>
      <c r="X247" s="285" t="n"/>
      <c r="Y247" s="285" t="n"/>
      <c r="Z247" s="285" t="n"/>
      <c r="AA247" s="285" t="n"/>
    </row>
    <row r="248" ht="15.75" customHeight="1" s="398">
      <c r="A248" s="317" t="n"/>
      <c r="B248" s="317" t="n"/>
      <c r="C248" s="317" t="n"/>
      <c r="D248" s="315" t="n"/>
      <c r="E248" s="288" t="n"/>
      <c r="F248" s="334" t="n"/>
      <c r="G248" s="391" t="n"/>
      <c r="H248" s="284" t="n"/>
      <c r="I248" s="288" t="n"/>
      <c r="J248" s="288" t="n"/>
      <c r="K248" s="288" t="n"/>
      <c r="L248" s="288" t="n"/>
      <c r="M248" s="288" t="n"/>
      <c r="N248" s="288" t="n"/>
      <c r="O248" s="288" t="n"/>
      <c r="P248" s="288" t="n"/>
      <c r="Q248" s="288" t="n"/>
      <c r="R248" s="288" t="n"/>
      <c r="S248" s="284" t="n"/>
      <c r="T248" s="284" t="n"/>
      <c r="U248" s="285" t="n"/>
      <c r="V248" s="285" t="n"/>
      <c r="W248" s="285" t="n"/>
      <c r="X248" s="285" t="n"/>
      <c r="Y248" s="285" t="n"/>
      <c r="Z248" s="285" t="n"/>
      <c r="AA248" s="285" t="n"/>
    </row>
    <row r="249" ht="15.75" customHeight="1" s="398">
      <c r="A249" s="317" t="n"/>
      <c r="B249" s="317" t="n"/>
      <c r="C249" s="317" t="n"/>
      <c r="D249" s="315" t="n"/>
      <c r="E249" s="288" t="n"/>
      <c r="F249" s="334" t="n"/>
      <c r="G249" s="391" t="n"/>
      <c r="H249" s="284" t="n"/>
      <c r="I249" s="288" t="n"/>
      <c r="J249" s="288" t="n"/>
      <c r="K249" s="288" t="n"/>
      <c r="L249" s="288" t="n"/>
      <c r="M249" s="288" t="n"/>
      <c r="N249" s="288" t="n"/>
      <c r="O249" s="288" t="n"/>
      <c r="P249" s="288" t="n"/>
      <c r="Q249" s="288" t="n"/>
      <c r="R249" s="288" t="n"/>
      <c r="S249" s="284" t="n"/>
      <c r="T249" s="284" t="n"/>
      <c r="U249" s="285" t="n"/>
      <c r="V249" s="285" t="n"/>
      <c r="W249" s="285" t="n"/>
      <c r="X249" s="285" t="n"/>
      <c r="Y249" s="285" t="n"/>
      <c r="Z249" s="285" t="n"/>
      <c r="AA249" s="285" t="n"/>
    </row>
    <row r="250" ht="15.75" customHeight="1" s="398">
      <c r="A250" s="317" t="n"/>
      <c r="B250" s="317" t="n"/>
      <c r="C250" s="317" t="n"/>
      <c r="D250" s="315" t="n"/>
      <c r="E250" s="288" t="n"/>
      <c r="F250" s="334" t="n"/>
      <c r="G250" s="391" t="n"/>
      <c r="H250" s="284" t="n"/>
      <c r="I250" s="288" t="n"/>
      <c r="J250" s="288" t="n"/>
      <c r="K250" s="288" t="n"/>
      <c r="L250" s="288" t="n"/>
      <c r="M250" s="288" t="n"/>
      <c r="N250" s="288" t="n"/>
      <c r="O250" s="288" t="n"/>
      <c r="P250" s="288" t="n"/>
      <c r="Q250" s="288" t="n"/>
      <c r="R250" s="288" t="n"/>
      <c r="S250" s="284" t="n"/>
      <c r="T250" s="284" t="n"/>
      <c r="U250" s="285" t="n"/>
      <c r="V250" s="285" t="n"/>
      <c r="W250" s="285" t="n"/>
      <c r="X250" s="285" t="n"/>
      <c r="Y250" s="285" t="n"/>
      <c r="Z250" s="285" t="n"/>
      <c r="AA250" s="285" t="n"/>
    </row>
    <row r="251" ht="15.75" customHeight="1" s="398">
      <c r="A251" s="317" t="n"/>
      <c r="B251" s="317" t="n"/>
      <c r="C251" s="317" t="n"/>
      <c r="D251" s="315" t="n"/>
      <c r="E251" s="288" t="n"/>
      <c r="F251" s="334" t="n"/>
      <c r="G251" s="391" t="n"/>
      <c r="H251" s="284" t="n"/>
      <c r="I251" s="288" t="n"/>
      <c r="J251" s="288" t="n"/>
      <c r="K251" s="288" t="n"/>
      <c r="L251" s="288" t="n"/>
      <c r="M251" s="288" t="n"/>
      <c r="N251" s="288" t="n"/>
      <c r="O251" s="288" t="n"/>
      <c r="P251" s="288" t="n"/>
      <c r="Q251" s="288" t="n"/>
      <c r="R251" s="288" t="n"/>
      <c r="S251" s="284" t="n"/>
      <c r="T251" s="284" t="n"/>
      <c r="U251" s="285" t="n"/>
      <c r="V251" s="285" t="n"/>
      <c r="W251" s="285" t="n"/>
      <c r="X251" s="285" t="n"/>
      <c r="Y251" s="285" t="n"/>
      <c r="Z251" s="285" t="n"/>
      <c r="AA251" s="285" t="n"/>
    </row>
    <row r="252" ht="15.75" customHeight="1" s="398">
      <c r="A252" s="317" t="n"/>
      <c r="B252" s="317" t="n"/>
      <c r="C252" s="317" t="n"/>
      <c r="D252" s="315" t="n"/>
      <c r="E252" s="288" t="n"/>
      <c r="F252" s="334" t="n"/>
      <c r="G252" s="391" t="n"/>
      <c r="H252" s="284" t="n"/>
      <c r="I252" s="288" t="n"/>
      <c r="J252" s="288" t="n"/>
      <c r="K252" s="288" t="n"/>
      <c r="L252" s="288" t="n"/>
      <c r="M252" s="288" t="n"/>
      <c r="N252" s="288" t="n"/>
      <c r="O252" s="288" t="n"/>
      <c r="P252" s="288" t="n"/>
      <c r="Q252" s="288" t="n"/>
      <c r="R252" s="288" t="n"/>
      <c r="S252" s="284" t="n"/>
      <c r="T252" s="284" t="n"/>
      <c r="U252" s="285" t="n"/>
      <c r="V252" s="285" t="n"/>
      <c r="W252" s="285" t="n"/>
      <c r="X252" s="285" t="n"/>
      <c r="Y252" s="285" t="n"/>
      <c r="Z252" s="285" t="n"/>
      <c r="AA252" s="285" t="n"/>
    </row>
    <row r="253" ht="15.75" customHeight="1" s="398">
      <c r="A253" s="317" t="n"/>
      <c r="B253" s="317" t="n"/>
      <c r="C253" s="317" t="n"/>
      <c r="D253" s="315" t="n"/>
      <c r="E253" s="288" t="n"/>
      <c r="F253" s="334" t="n"/>
      <c r="G253" s="391" t="n"/>
      <c r="H253" s="284" t="n"/>
      <c r="I253" s="288" t="n"/>
      <c r="J253" s="288" t="n"/>
      <c r="K253" s="288" t="n"/>
      <c r="L253" s="288" t="n"/>
      <c r="M253" s="288" t="n"/>
      <c r="N253" s="288" t="n"/>
      <c r="O253" s="288" t="n"/>
      <c r="P253" s="288" t="n"/>
      <c r="Q253" s="288" t="n"/>
      <c r="R253" s="288" t="n"/>
      <c r="S253" s="284" t="n"/>
      <c r="T253" s="284" t="n"/>
      <c r="U253" s="285" t="n"/>
      <c r="V253" s="285" t="n"/>
      <c r="W253" s="285" t="n"/>
      <c r="X253" s="285" t="n"/>
      <c r="Y253" s="285" t="n"/>
      <c r="Z253" s="285" t="n"/>
      <c r="AA253" s="285" t="n"/>
    </row>
    <row r="254" ht="15.75" customHeight="1" s="398">
      <c r="A254" s="317" t="n"/>
      <c r="B254" s="317" t="n"/>
      <c r="C254" s="317" t="n"/>
      <c r="D254" s="315" t="n"/>
      <c r="E254" s="288" t="n"/>
      <c r="F254" s="334" t="n"/>
      <c r="G254" s="391" t="n"/>
      <c r="H254" s="284" t="n"/>
      <c r="I254" s="288" t="n"/>
      <c r="J254" s="288" t="n"/>
      <c r="K254" s="288" t="n"/>
      <c r="L254" s="288" t="n"/>
      <c r="M254" s="288" t="n"/>
      <c r="N254" s="288" t="n"/>
      <c r="O254" s="288" t="n"/>
      <c r="P254" s="288" t="n"/>
      <c r="Q254" s="288" t="n"/>
      <c r="R254" s="288" t="n"/>
      <c r="S254" s="284" t="n"/>
      <c r="T254" s="284" t="n"/>
      <c r="U254" s="285" t="n"/>
      <c r="V254" s="285" t="n"/>
      <c r="W254" s="285" t="n"/>
      <c r="X254" s="285" t="n"/>
      <c r="Y254" s="285" t="n"/>
      <c r="Z254" s="285" t="n"/>
      <c r="AA254" s="285" t="n"/>
    </row>
    <row r="255" ht="15.75" customHeight="1" s="398">
      <c r="A255" s="317" t="n"/>
      <c r="B255" s="317" t="n"/>
      <c r="C255" s="317" t="n"/>
      <c r="D255" s="315" t="n"/>
      <c r="E255" s="288" t="n"/>
      <c r="F255" s="334" t="n"/>
      <c r="G255" s="391" t="n"/>
      <c r="H255" s="284" t="n"/>
      <c r="I255" s="288" t="n"/>
      <c r="J255" s="288" t="n"/>
      <c r="K255" s="288" t="n"/>
      <c r="L255" s="288" t="n"/>
      <c r="M255" s="288" t="n"/>
      <c r="N255" s="288" t="n"/>
      <c r="O255" s="288" t="n"/>
      <c r="P255" s="288" t="n"/>
      <c r="Q255" s="288" t="n"/>
      <c r="R255" s="288" t="n"/>
      <c r="S255" s="284" t="n"/>
      <c r="T255" s="284" t="n"/>
      <c r="U255" s="285" t="n"/>
      <c r="V255" s="285" t="n"/>
      <c r="W255" s="285" t="n"/>
      <c r="X255" s="285" t="n"/>
      <c r="Y255" s="285" t="n"/>
      <c r="Z255" s="285" t="n"/>
      <c r="AA255" s="285" t="n"/>
    </row>
    <row r="256" ht="15.75" customHeight="1" s="398">
      <c r="A256" s="317" t="n"/>
      <c r="B256" s="317" t="n"/>
      <c r="C256" s="317" t="n"/>
      <c r="D256" s="315" t="n"/>
      <c r="E256" s="288" t="n"/>
      <c r="F256" s="334" t="n"/>
      <c r="G256" s="391" t="n"/>
      <c r="H256" s="284" t="n"/>
      <c r="I256" s="288" t="n"/>
      <c r="J256" s="288" t="n"/>
      <c r="K256" s="288" t="n"/>
      <c r="L256" s="288" t="n"/>
      <c r="M256" s="288" t="n"/>
      <c r="N256" s="288" t="n"/>
      <c r="O256" s="288" t="n"/>
      <c r="P256" s="288" t="n"/>
      <c r="Q256" s="288" t="n"/>
      <c r="R256" s="288" t="n"/>
      <c r="S256" s="284" t="n"/>
      <c r="T256" s="284" t="n"/>
      <c r="U256" s="285" t="n"/>
      <c r="V256" s="285" t="n"/>
      <c r="W256" s="285" t="n"/>
      <c r="X256" s="285" t="n"/>
      <c r="Y256" s="285" t="n"/>
      <c r="Z256" s="285" t="n"/>
      <c r="AA256" s="285" t="n"/>
    </row>
    <row r="257" ht="15.75" customHeight="1" s="398">
      <c r="A257" s="317" t="n"/>
      <c r="B257" s="317" t="n"/>
      <c r="C257" s="317" t="n"/>
      <c r="D257" s="315" t="n"/>
      <c r="E257" s="288" t="n"/>
      <c r="F257" s="334" t="n"/>
      <c r="G257" s="391" t="n"/>
      <c r="H257" s="284" t="n"/>
      <c r="I257" s="288" t="n"/>
      <c r="J257" s="288" t="n"/>
      <c r="K257" s="288" t="n"/>
      <c r="L257" s="288" t="n"/>
      <c r="M257" s="288" t="n"/>
      <c r="N257" s="288" t="n"/>
      <c r="O257" s="288" t="n"/>
      <c r="P257" s="288" t="n"/>
      <c r="Q257" s="288" t="n"/>
      <c r="R257" s="288" t="n"/>
      <c r="S257" s="284" t="n"/>
      <c r="T257" s="284" t="n"/>
      <c r="U257" s="285" t="n"/>
      <c r="V257" s="285" t="n"/>
      <c r="W257" s="285" t="n"/>
      <c r="X257" s="285" t="n"/>
      <c r="Y257" s="285" t="n"/>
      <c r="Z257" s="285" t="n"/>
      <c r="AA257" s="285" t="n"/>
    </row>
    <row r="258" ht="15.75" customHeight="1" s="398">
      <c r="A258" s="317" t="n"/>
      <c r="B258" s="317" t="n"/>
      <c r="C258" s="317" t="n"/>
      <c r="D258" s="315" t="n"/>
      <c r="E258" s="288" t="n"/>
      <c r="F258" s="334" t="n"/>
      <c r="G258" s="391" t="n"/>
      <c r="H258" s="284" t="n"/>
      <c r="I258" s="288" t="n"/>
      <c r="J258" s="288" t="n"/>
      <c r="K258" s="288" t="n"/>
      <c r="L258" s="288" t="n"/>
      <c r="M258" s="288" t="n"/>
      <c r="N258" s="288" t="n"/>
      <c r="O258" s="288" t="n"/>
      <c r="P258" s="288" t="n"/>
      <c r="Q258" s="288" t="n"/>
      <c r="R258" s="288" t="n"/>
      <c r="S258" s="284" t="n"/>
      <c r="T258" s="284" t="n"/>
      <c r="U258" s="285" t="n"/>
      <c r="V258" s="285" t="n"/>
      <c r="W258" s="285" t="n"/>
      <c r="X258" s="285" t="n"/>
      <c r="Y258" s="285" t="n"/>
      <c r="Z258" s="285" t="n"/>
      <c r="AA258" s="285" t="n"/>
    </row>
    <row r="259" ht="15.75" customHeight="1" s="398">
      <c r="A259" s="317" t="n"/>
      <c r="B259" s="317" t="n"/>
      <c r="C259" s="317" t="n"/>
      <c r="D259" s="315" t="n"/>
      <c r="E259" s="288" t="n"/>
      <c r="F259" s="334" t="n"/>
      <c r="G259" s="391" t="n"/>
      <c r="H259" s="284" t="n"/>
      <c r="I259" s="288" t="n"/>
      <c r="J259" s="288" t="n"/>
      <c r="K259" s="288" t="n"/>
      <c r="L259" s="288" t="n"/>
      <c r="M259" s="288" t="n"/>
      <c r="N259" s="288" t="n"/>
      <c r="O259" s="288" t="n"/>
      <c r="P259" s="288" t="n"/>
      <c r="Q259" s="288" t="n"/>
      <c r="R259" s="288" t="n"/>
      <c r="S259" s="284" t="n"/>
      <c r="T259" s="284" t="n"/>
      <c r="U259" s="285" t="n"/>
      <c r="V259" s="285" t="n"/>
      <c r="W259" s="285" t="n"/>
      <c r="X259" s="285" t="n"/>
      <c r="Y259" s="285" t="n"/>
      <c r="Z259" s="285" t="n"/>
      <c r="AA259" s="285" t="n"/>
    </row>
    <row r="260" ht="15.75" customHeight="1" s="398">
      <c r="A260" s="317" t="n"/>
      <c r="B260" s="317" t="n"/>
      <c r="C260" s="317" t="n"/>
      <c r="D260" s="315" t="n"/>
      <c r="E260" s="288" t="n"/>
      <c r="F260" s="334" t="n"/>
      <c r="G260" s="391" t="n"/>
      <c r="H260" s="284" t="n"/>
      <c r="I260" s="288" t="n"/>
      <c r="J260" s="288" t="n"/>
      <c r="K260" s="288" t="n"/>
      <c r="L260" s="288" t="n"/>
      <c r="M260" s="288" t="n"/>
      <c r="N260" s="288" t="n"/>
      <c r="O260" s="288" t="n"/>
      <c r="P260" s="288" t="n"/>
      <c r="Q260" s="288" t="n"/>
      <c r="R260" s="288" t="n"/>
      <c r="S260" s="284" t="n"/>
      <c r="T260" s="284" t="n"/>
      <c r="U260" s="285" t="n"/>
      <c r="V260" s="285" t="n"/>
      <c r="W260" s="285" t="n"/>
      <c r="X260" s="285" t="n"/>
      <c r="Y260" s="285" t="n"/>
      <c r="Z260" s="285" t="n"/>
      <c r="AA260" s="285" t="n"/>
    </row>
    <row r="261" ht="15.75" customHeight="1" s="398">
      <c r="A261" s="317" t="n"/>
      <c r="B261" s="317" t="n"/>
      <c r="C261" s="317" t="n"/>
      <c r="D261" s="315" t="n"/>
      <c r="E261" s="288" t="n"/>
      <c r="F261" s="334" t="n"/>
      <c r="G261" s="391" t="n"/>
      <c r="H261" s="284" t="n"/>
      <c r="I261" s="288" t="n"/>
      <c r="J261" s="288" t="n"/>
      <c r="K261" s="288" t="n"/>
      <c r="L261" s="288" t="n"/>
      <c r="M261" s="288" t="n"/>
      <c r="N261" s="288" t="n"/>
      <c r="O261" s="288" t="n"/>
      <c r="P261" s="288" t="n"/>
      <c r="Q261" s="288" t="n"/>
      <c r="R261" s="288" t="n"/>
      <c r="S261" s="284" t="n"/>
      <c r="T261" s="284" t="n"/>
      <c r="U261" s="285" t="n"/>
      <c r="V261" s="285" t="n"/>
      <c r="W261" s="285" t="n"/>
      <c r="X261" s="285" t="n"/>
      <c r="Y261" s="285" t="n"/>
      <c r="Z261" s="285" t="n"/>
      <c r="AA261" s="285" t="n"/>
    </row>
    <row r="262" ht="15.75" customHeight="1" s="398">
      <c r="A262" s="317" t="n"/>
      <c r="B262" s="317" t="n"/>
      <c r="C262" s="317" t="n"/>
      <c r="D262" s="315" t="n"/>
      <c r="E262" s="288" t="n"/>
      <c r="F262" s="334" t="n"/>
      <c r="G262" s="391" t="n"/>
      <c r="H262" s="284" t="n"/>
      <c r="I262" s="288" t="n"/>
      <c r="J262" s="288" t="n"/>
      <c r="K262" s="288" t="n"/>
      <c r="L262" s="288" t="n"/>
      <c r="M262" s="288" t="n"/>
      <c r="N262" s="288" t="n"/>
      <c r="O262" s="288" t="n"/>
      <c r="P262" s="288" t="n"/>
      <c r="Q262" s="288" t="n"/>
      <c r="R262" s="288" t="n"/>
      <c r="S262" s="284" t="n"/>
      <c r="T262" s="284" t="n"/>
      <c r="U262" s="285" t="n"/>
      <c r="V262" s="285" t="n"/>
      <c r="W262" s="285" t="n"/>
      <c r="X262" s="285" t="n"/>
      <c r="Y262" s="285" t="n"/>
      <c r="Z262" s="285" t="n"/>
      <c r="AA262" s="285" t="n"/>
    </row>
    <row r="263" ht="15.75" customHeight="1" s="398">
      <c r="A263" s="317" t="n"/>
      <c r="B263" s="317" t="n"/>
      <c r="C263" s="317" t="n"/>
      <c r="D263" s="315" t="n"/>
      <c r="E263" s="288" t="n"/>
      <c r="F263" s="334" t="n"/>
      <c r="G263" s="391" t="n"/>
      <c r="H263" s="284" t="n"/>
      <c r="I263" s="288" t="n"/>
      <c r="J263" s="288" t="n"/>
      <c r="K263" s="288" t="n"/>
      <c r="L263" s="288" t="n"/>
      <c r="M263" s="288" t="n"/>
      <c r="N263" s="288" t="n"/>
      <c r="O263" s="288" t="n"/>
      <c r="P263" s="288" t="n"/>
      <c r="Q263" s="288" t="n"/>
      <c r="R263" s="288" t="n"/>
      <c r="S263" s="284" t="n"/>
      <c r="T263" s="284" t="n"/>
      <c r="U263" s="285" t="n"/>
      <c r="V263" s="285" t="n"/>
      <c r="W263" s="285" t="n"/>
      <c r="X263" s="285" t="n"/>
      <c r="Y263" s="285" t="n"/>
      <c r="Z263" s="285" t="n"/>
      <c r="AA263" s="285" t="n"/>
    </row>
    <row r="264" ht="15.75" customHeight="1" s="398">
      <c r="A264" s="317" t="n"/>
      <c r="B264" s="317" t="n"/>
      <c r="C264" s="317" t="n"/>
      <c r="D264" s="315" t="n"/>
      <c r="E264" s="288" t="n"/>
      <c r="F264" s="334" t="n"/>
      <c r="G264" s="391" t="n"/>
      <c r="H264" s="284" t="n"/>
      <c r="I264" s="288" t="n"/>
      <c r="J264" s="288" t="n"/>
      <c r="K264" s="288" t="n"/>
      <c r="L264" s="288" t="n"/>
      <c r="M264" s="288" t="n"/>
      <c r="N264" s="288" t="n"/>
      <c r="O264" s="288" t="n"/>
      <c r="P264" s="288" t="n"/>
      <c r="Q264" s="288" t="n"/>
      <c r="R264" s="288" t="n"/>
      <c r="S264" s="284" t="n"/>
      <c r="T264" s="284" t="n"/>
      <c r="U264" s="285" t="n"/>
      <c r="V264" s="285" t="n"/>
      <c r="W264" s="285" t="n"/>
      <c r="X264" s="285" t="n"/>
      <c r="Y264" s="285" t="n"/>
      <c r="Z264" s="285" t="n"/>
      <c r="AA264" s="285" t="n"/>
    </row>
    <row r="265" ht="15.75" customHeight="1" s="398">
      <c r="A265" s="317" t="n"/>
      <c r="B265" s="317" t="n"/>
      <c r="C265" s="317" t="n"/>
      <c r="D265" s="315" t="n"/>
      <c r="E265" s="288" t="n"/>
      <c r="F265" s="334" t="n"/>
      <c r="G265" s="391" t="n"/>
      <c r="H265" s="284" t="n"/>
      <c r="I265" s="288" t="n"/>
      <c r="J265" s="288" t="n"/>
      <c r="K265" s="288" t="n"/>
      <c r="L265" s="288" t="n"/>
      <c r="M265" s="288" t="n"/>
      <c r="N265" s="288" t="n"/>
      <c r="O265" s="288" t="n"/>
      <c r="P265" s="288" t="n"/>
      <c r="Q265" s="288" t="n"/>
      <c r="R265" s="288" t="n"/>
      <c r="S265" s="284" t="n"/>
      <c r="T265" s="284" t="n"/>
      <c r="U265" s="285" t="n"/>
      <c r="V265" s="285" t="n"/>
      <c r="W265" s="285" t="n"/>
      <c r="X265" s="285" t="n"/>
      <c r="Y265" s="285" t="n"/>
      <c r="Z265" s="285" t="n"/>
      <c r="AA265" s="285" t="n"/>
    </row>
    <row r="266" ht="15.75" customHeight="1" s="398">
      <c r="A266" s="317" t="n"/>
      <c r="B266" s="317" t="n"/>
      <c r="C266" s="317" t="n"/>
      <c r="D266" s="315" t="n"/>
      <c r="E266" s="288" t="n"/>
      <c r="F266" s="334" t="n"/>
      <c r="G266" s="391" t="n"/>
      <c r="H266" s="284" t="n"/>
      <c r="I266" s="288" t="n"/>
      <c r="J266" s="288" t="n"/>
      <c r="K266" s="288" t="n"/>
      <c r="L266" s="288" t="n"/>
      <c r="M266" s="288" t="n"/>
      <c r="N266" s="288" t="n"/>
      <c r="O266" s="288" t="n"/>
      <c r="P266" s="288" t="n"/>
      <c r="Q266" s="288" t="n"/>
      <c r="R266" s="288" t="n"/>
      <c r="S266" s="284" t="n"/>
      <c r="T266" s="284" t="n"/>
      <c r="U266" s="285" t="n"/>
      <c r="V266" s="285" t="n"/>
      <c r="W266" s="285" t="n"/>
      <c r="X266" s="285" t="n"/>
      <c r="Y266" s="285" t="n"/>
      <c r="Z266" s="285" t="n"/>
      <c r="AA266" s="285" t="n"/>
    </row>
    <row r="267" ht="15.75" customHeight="1" s="398">
      <c r="A267" s="317" t="n"/>
      <c r="B267" s="317" t="n"/>
      <c r="C267" s="317" t="n"/>
      <c r="D267" s="315" t="n"/>
      <c r="E267" s="288" t="n"/>
      <c r="F267" s="334" t="n"/>
      <c r="G267" s="391" t="n"/>
      <c r="H267" s="284" t="n"/>
      <c r="I267" s="288" t="n"/>
      <c r="J267" s="288" t="n"/>
      <c r="K267" s="288" t="n"/>
      <c r="L267" s="288" t="n"/>
      <c r="M267" s="288" t="n"/>
      <c r="N267" s="288" t="n"/>
      <c r="O267" s="288" t="n"/>
      <c r="P267" s="288" t="n"/>
      <c r="Q267" s="288" t="n"/>
      <c r="R267" s="288" t="n"/>
      <c r="S267" s="284" t="n"/>
      <c r="T267" s="284" t="n"/>
      <c r="U267" s="285" t="n"/>
      <c r="V267" s="285" t="n"/>
      <c r="W267" s="285" t="n"/>
      <c r="X267" s="285" t="n"/>
      <c r="Y267" s="285" t="n"/>
      <c r="Z267" s="285" t="n"/>
      <c r="AA267" s="285" t="n"/>
    </row>
    <row r="268" ht="15.75" customHeight="1" s="398">
      <c r="A268" s="317" t="n"/>
      <c r="B268" s="317" t="n"/>
      <c r="C268" s="317" t="n"/>
      <c r="D268" s="315" t="n"/>
      <c r="E268" s="288" t="n"/>
      <c r="F268" s="334" t="n"/>
      <c r="G268" s="391" t="n"/>
      <c r="H268" s="284" t="n"/>
      <c r="I268" s="288" t="n"/>
      <c r="J268" s="288" t="n"/>
      <c r="K268" s="288" t="n"/>
      <c r="L268" s="288" t="n"/>
      <c r="M268" s="288" t="n"/>
      <c r="N268" s="288" t="n"/>
      <c r="O268" s="288" t="n"/>
      <c r="P268" s="288" t="n"/>
      <c r="Q268" s="288" t="n"/>
      <c r="R268" s="288" t="n"/>
      <c r="S268" s="284" t="n"/>
      <c r="T268" s="284" t="n"/>
      <c r="U268" s="285" t="n"/>
      <c r="V268" s="285" t="n"/>
      <c r="W268" s="285" t="n"/>
      <c r="X268" s="285" t="n"/>
      <c r="Y268" s="285" t="n"/>
      <c r="Z268" s="285" t="n"/>
      <c r="AA268" s="285" t="n"/>
    </row>
    <row r="269" ht="15.75" customHeight="1" s="398">
      <c r="A269" s="317" t="n"/>
      <c r="B269" s="317" t="n"/>
      <c r="C269" s="317" t="n"/>
      <c r="D269" s="315" t="n"/>
      <c r="E269" s="288" t="n"/>
      <c r="F269" s="334" t="n"/>
      <c r="G269" s="391" t="n"/>
      <c r="H269" s="284" t="n"/>
      <c r="I269" s="288" t="n"/>
      <c r="J269" s="288" t="n"/>
      <c r="K269" s="288" t="n"/>
      <c r="L269" s="288" t="n"/>
      <c r="M269" s="288" t="n"/>
      <c r="N269" s="288" t="n"/>
      <c r="O269" s="288" t="n"/>
      <c r="P269" s="288" t="n"/>
      <c r="Q269" s="288" t="n"/>
      <c r="R269" s="288" t="n"/>
      <c r="S269" s="284" t="n"/>
      <c r="T269" s="284" t="n"/>
      <c r="U269" s="285" t="n"/>
      <c r="V269" s="285" t="n"/>
      <c r="W269" s="285" t="n"/>
      <c r="X269" s="285" t="n"/>
      <c r="Y269" s="285" t="n"/>
      <c r="Z269" s="285" t="n"/>
      <c r="AA269" s="285" t="n"/>
    </row>
    <row r="270" ht="15.75" customHeight="1" s="398">
      <c r="A270" s="317" t="n"/>
      <c r="B270" s="317" t="n"/>
      <c r="C270" s="317" t="n"/>
      <c r="D270" s="315" t="n"/>
      <c r="E270" s="288" t="n"/>
      <c r="F270" s="334" t="n"/>
      <c r="G270" s="391" t="n"/>
      <c r="H270" s="284" t="n"/>
      <c r="I270" s="288" t="n"/>
      <c r="J270" s="288" t="n"/>
      <c r="K270" s="288" t="n"/>
      <c r="L270" s="288" t="n"/>
      <c r="M270" s="288" t="n"/>
      <c r="N270" s="288" t="n"/>
      <c r="O270" s="288" t="n"/>
      <c r="P270" s="288" t="n"/>
      <c r="Q270" s="288" t="n"/>
      <c r="R270" s="288" t="n"/>
      <c r="S270" s="284" t="n"/>
      <c r="T270" s="284" t="n"/>
      <c r="U270" s="285" t="n"/>
      <c r="V270" s="285" t="n"/>
      <c r="W270" s="285" t="n"/>
      <c r="X270" s="285" t="n"/>
      <c r="Y270" s="285" t="n"/>
      <c r="Z270" s="285" t="n"/>
      <c r="AA270" s="285" t="n"/>
    </row>
    <row r="271" ht="15.75" customHeight="1" s="398">
      <c r="A271" s="317" t="n"/>
      <c r="B271" s="317" t="n"/>
      <c r="C271" s="317" t="n"/>
      <c r="D271" s="315" t="n"/>
      <c r="E271" s="288" t="n"/>
      <c r="F271" s="334" t="n"/>
      <c r="G271" s="391" t="n"/>
      <c r="H271" s="284" t="n"/>
      <c r="I271" s="288" t="n"/>
      <c r="J271" s="288" t="n"/>
      <c r="K271" s="288" t="n"/>
      <c r="L271" s="288" t="n"/>
      <c r="M271" s="288" t="n"/>
      <c r="N271" s="288" t="n"/>
      <c r="O271" s="288" t="n"/>
      <c r="P271" s="288" t="n"/>
      <c r="Q271" s="288" t="n"/>
      <c r="R271" s="288" t="n"/>
      <c r="S271" s="284" t="n"/>
      <c r="T271" s="284" t="n"/>
      <c r="U271" s="285" t="n"/>
      <c r="V271" s="285" t="n"/>
      <c r="W271" s="285" t="n"/>
      <c r="X271" s="285" t="n"/>
      <c r="Y271" s="285" t="n"/>
      <c r="Z271" s="285" t="n"/>
      <c r="AA271" s="285" t="n"/>
    </row>
    <row r="272" ht="15.75" customHeight="1" s="398">
      <c r="A272" s="317" t="n"/>
      <c r="B272" s="317" t="n"/>
      <c r="C272" s="317" t="n"/>
      <c r="D272" s="315" t="n"/>
      <c r="E272" s="288" t="n"/>
      <c r="F272" s="334" t="n"/>
      <c r="G272" s="391" t="n"/>
      <c r="H272" s="284" t="n"/>
      <c r="I272" s="288" t="n"/>
      <c r="J272" s="288" t="n"/>
      <c r="K272" s="288" t="n"/>
      <c r="L272" s="288" t="n"/>
      <c r="M272" s="288" t="n"/>
      <c r="N272" s="288" t="n"/>
      <c r="O272" s="288" t="n"/>
      <c r="P272" s="288" t="n"/>
      <c r="Q272" s="288" t="n"/>
      <c r="R272" s="288" t="n"/>
      <c r="S272" s="284" t="n"/>
      <c r="T272" s="284" t="n"/>
      <c r="U272" s="285" t="n"/>
      <c r="V272" s="285" t="n"/>
      <c r="W272" s="285" t="n"/>
      <c r="X272" s="285" t="n"/>
      <c r="Y272" s="285" t="n"/>
      <c r="Z272" s="285" t="n"/>
      <c r="AA272" s="285" t="n"/>
    </row>
    <row r="273" ht="15.75" customHeight="1" s="398">
      <c r="A273" s="317" t="n"/>
      <c r="B273" s="317" t="n"/>
      <c r="C273" s="317" t="n"/>
      <c r="D273" s="315" t="n"/>
      <c r="E273" s="288" t="n"/>
      <c r="F273" s="334" t="n"/>
      <c r="G273" s="391" t="n"/>
      <c r="H273" s="284" t="n"/>
      <c r="I273" s="288" t="n"/>
      <c r="J273" s="288" t="n"/>
      <c r="K273" s="288" t="n"/>
      <c r="L273" s="288" t="n"/>
      <c r="M273" s="288" t="n"/>
      <c r="N273" s="288" t="n"/>
      <c r="O273" s="288" t="n"/>
      <c r="P273" s="288" t="n"/>
      <c r="Q273" s="288" t="n"/>
      <c r="R273" s="288" t="n"/>
      <c r="S273" s="284" t="n"/>
      <c r="T273" s="284" t="n"/>
      <c r="U273" s="285" t="n"/>
      <c r="V273" s="285" t="n"/>
      <c r="W273" s="285" t="n"/>
      <c r="X273" s="285" t="n"/>
      <c r="Y273" s="285" t="n"/>
      <c r="Z273" s="285" t="n"/>
      <c r="AA273" s="285" t="n"/>
    </row>
    <row r="274" ht="15.75" customHeight="1" s="398">
      <c r="A274" s="317" t="n"/>
      <c r="B274" s="317" t="n"/>
      <c r="C274" s="317" t="n"/>
      <c r="D274" s="315" t="n"/>
      <c r="E274" s="288" t="n"/>
      <c r="F274" s="334" t="n"/>
      <c r="G274" s="391" t="n"/>
      <c r="H274" s="284" t="n"/>
      <c r="I274" s="288" t="n"/>
      <c r="J274" s="288" t="n"/>
      <c r="K274" s="288" t="n"/>
      <c r="L274" s="288" t="n"/>
      <c r="M274" s="288" t="n"/>
      <c r="N274" s="288" t="n"/>
      <c r="O274" s="288" t="n"/>
      <c r="P274" s="288" t="n"/>
      <c r="Q274" s="288" t="n"/>
      <c r="R274" s="288" t="n"/>
      <c r="S274" s="284" t="n"/>
      <c r="T274" s="284" t="n"/>
      <c r="U274" s="285" t="n"/>
      <c r="V274" s="285" t="n"/>
      <c r="W274" s="285" t="n"/>
      <c r="X274" s="285" t="n"/>
      <c r="Y274" s="285" t="n"/>
      <c r="Z274" s="285" t="n"/>
      <c r="AA274" s="285" t="n"/>
    </row>
    <row r="275" ht="15.75" customHeight="1" s="398">
      <c r="A275" s="317" t="n"/>
      <c r="B275" s="317" t="n"/>
      <c r="C275" s="317" t="n"/>
      <c r="D275" s="315" t="n"/>
      <c r="E275" s="288" t="n"/>
      <c r="F275" s="334" t="n"/>
      <c r="G275" s="391" t="n"/>
      <c r="H275" s="284" t="n"/>
      <c r="I275" s="288" t="n"/>
      <c r="J275" s="288" t="n"/>
      <c r="K275" s="288" t="n"/>
      <c r="L275" s="288" t="n"/>
      <c r="M275" s="288" t="n"/>
      <c r="N275" s="288" t="n"/>
      <c r="O275" s="288" t="n"/>
      <c r="P275" s="288" t="n"/>
      <c r="Q275" s="288" t="n"/>
      <c r="R275" s="288" t="n"/>
      <c r="S275" s="284" t="n"/>
      <c r="T275" s="284" t="n"/>
      <c r="U275" s="285" t="n"/>
      <c r="V275" s="285" t="n"/>
      <c r="W275" s="285" t="n"/>
      <c r="X275" s="285" t="n"/>
      <c r="Y275" s="285" t="n"/>
      <c r="Z275" s="285" t="n"/>
      <c r="AA275" s="285" t="n"/>
    </row>
    <row r="276" ht="15.75" customHeight="1" s="398">
      <c r="A276" s="317" t="n"/>
      <c r="B276" s="317" t="n"/>
      <c r="C276" s="317" t="n"/>
      <c r="D276" s="315" t="n"/>
      <c r="E276" s="288" t="n"/>
      <c r="F276" s="334" t="n"/>
      <c r="G276" s="391" t="n"/>
      <c r="H276" s="284" t="n"/>
      <c r="I276" s="288" t="n"/>
      <c r="J276" s="288" t="n"/>
      <c r="K276" s="288" t="n"/>
      <c r="L276" s="288" t="n"/>
      <c r="M276" s="288" t="n"/>
      <c r="N276" s="288" t="n"/>
      <c r="O276" s="288" t="n"/>
      <c r="P276" s="288" t="n"/>
      <c r="Q276" s="288" t="n"/>
      <c r="R276" s="288" t="n"/>
      <c r="S276" s="284" t="n"/>
      <c r="T276" s="284" t="n"/>
      <c r="U276" s="285" t="n"/>
      <c r="V276" s="285" t="n"/>
      <c r="W276" s="285" t="n"/>
      <c r="X276" s="285" t="n"/>
      <c r="Y276" s="285" t="n"/>
      <c r="Z276" s="285" t="n"/>
      <c r="AA276" s="285" t="n"/>
    </row>
    <row r="277" ht="15.75" customHeight="1" s="398">
      <c r="A277" s="317" t="n"/>
      <c r="B277" s="317" t="n"/>
      <c r="C277" s="317" t="n"/>
      <c r="D277" s="315" t="n"/>
      <c r="E277" s="288" t="n"/>
      <c r="F277" s="334" t="n"/>
      <c r="G277" s="391" t="n"/>
      <c r="H277" s="284" t="n"/>
      <c r="I277" s="288" t="n"/>
      <c r="J277" s="288" t="n"/>
      <c r="K277" s="288" t="n"/>
      <c r="L277" s="288" t="n"/>
      <c r="M277" s="288" t="n"/>
      <c r="N277" s="288" t="n"/>
      <c r="O277" s="288" t="n"/>
      <c r="P277" s="288" t="n"/>
      <c r="Q277" s="288" t="n"/>
      <c r="R277" s="288" t="n"/>
      <c r="S277" s="284" t="n"/>
      <c r="T277" s="284" t="n"/>
      <c r="U277" s="285" t="n"/>
      <c r="V277" s="285" t="n"/>
      <c r="W277" s="285" t="n"/>
      <c r="X277" s="285" t="n"/>
      <c r="Y277" s="285" t="n"/>
      <c r="Z277" s="285" t="n"/>
      <c r="AA277" s="285" t="n"/>
    </row>
    <row r="278" ht="15.75" customHeight="1" s="398">
      <c r="A278" s="284" t="n"/>
      <c r="B278" s="284" t="n"/>
      <c r="C278" s="285" t="n"/>
      <c r="D278" s="284" t="n"/>
      <c r="E278" s="285" t="n"/>
      <c r="F278" s="285" t="n"/>
      <c r="G278" s="336" t="n"/>
      <c r="H278" s="336" t="n"/>
      <c r="I278" s="285" t="n"/>
      <c r="J278" s="285" t="n"/>
      <c r="K278" s="285" t="n"/>
      <c r="L278" s="285" t="n"/>
      <c r="M278" s="285" t="n"/>
      <c r="N278" s="285" t="n"/>
      <c r="O278" s="285" t="n"/>
      <c r="P278" s="285" t="n"/>
      <c r="Q278" s="285" t="n"/>
      <c r="R278" s="285" t="n"/>
      <c r="S278" s="284" t="n"/>
      <c r="T278" s="284" t="n"/>
      <c r="U278" s="285" t="n"/>
      <c r="V278" s="285" t="n"/>
      <c r="W278" s="285" t="n"/>
      <c r="X278" s="285" t="n"/>
      <c r="Y278" s="285" t="n"/>
      <c r="Z278" s="285" t="n"/>
      <c r="AA278" s="285" t="n"/>
    </row>
    <row r="279" ht="15.75" customHeight="1" s="398">
      <c r="A279" s="284" t="n"/>
      <c r="B279" s="284" t="n"/>
      <c r="C279" s="285" t="n"/>
      <c r="D279" s="284" t="n"/>
      <c r="E279" s="285" t="n"/>
      <c r="F279" s="285" t="n"/>
      <c r="G279" s="336" t="n"/>
      <c r="H279" s="336" t="n"/>
      <c r="I279" s="285" t="n"/>
      <c r="J279" s="285" t="n"/>
      <c r="K279" s="285" t="n"/>
      <c r="L279" s="285" t="n"/>
      <c r="M279" s="285" t="n"/>
      <c r="N279" s="285" t="n"/>
      <c r="O279" s="285" t="n"/>
      <c r="P279" s="285" t="n"/>
      <c r="Q279" s="285" t="n"/>
      <c r="R279" s="285" t="n"/>
      <c r="S279" s="284" t="n"/>
      <c r="T279" s="284" t="n"/>
      <c r="U279" s="285" t="n"/>
      <c r="V279" s="285" t="n"/>
      <c r="W279" s="285" t="n"/>
      <c r="X279" s="285" t="n"/>
      <c r="Y279" s="285" t="n"/>
      <c r="Z279" s="285" t="n"/>
      <c r="AA279" s="285" t="n"/>
    </row>
    <row r="280" ht="15.75" customHeight="1" s="398">
      <c r="A280" s="284" t="n"/>
      <c r="B280" s="284" t="n"/>
      <c r="C280" s="285" t="n"/>
      <c r="D280" s="284" t="n"/>
      <c r="E280" s="285" t="n"/>
      <c r="F280" s="285" t="n"/>
      <c r="G280" s="336" t="n"/>
      <c r="H280" s="336" t="n"/>
      <c r="I280" s="285" t="n"/>
      <c r="J280" s="285" t="n"/>
      <c r="K280" s="285" t="n"/>
      <c r="L280" s="285" t="n"/>
      <c r="M280" s="285" t="n"/>
      <c r="N280" s="285" t="n"/>
      <c r="O280" s="285" t="n"/>
      <c r="P280" s="285" t="n"/>
      <c r="Q280" s="285" t="n"/>
      <c r="R280" s="285" t="n"/>
      <c r="S280" s="284" t="n"/>
      <c r="T280" s="284" t="n"/>
      <c r="U280" s="285" t="n"/>
      <c r="V280" s="285" t="n"/>
      <c r="W280" s="285" t="n"/>
      <c r="X280" s="285" t="n"/>
      <c r="Y280" s="285" t="n"/>
      <c r="Z280" s="285" t="n"/>
      <c r="AA280" s="285" t="n"/>
    </row>
    <row r="281" ht="15.75" customHeight="1" s="398">
      <c r="A281" s="284" t="n"/>
      <c r="B281" s="284" t="n"/>
      <c r="C281" s="285" t="n"/>
      <c r="D281" s="284" t="n"/>
      <c r="E281" s="285" t="n"/>
      <c r="F281" s="285" t="n"/>
      <c r="G281" s="336" t="n"/>
      <c r="H281" s="336" t="n"/>
      <c r="I281" s="285" t="n"/>
      <c r="J281" s="285" t="n"/>
      <c r="K281" s="285" t="n"/>
      <c r="L281" s="285" t="n"/>
      <c r="M281" s="285" t="n"/>
      <c r="N281" s="285" t="n"/>
      <c r="O281" s="285" t="n"/>
      <c r="P281" s="285" t="n"/>
      <c r="Q281" s="285" t="n"/>
      <c r="R281" s="285" t="n"/>
      <c r="S281" s="284" t="n"/>
      <c r="T281" s="284" t="n"/>
      <c r="U281" s="285" t="n"/>
      <c r="V281" s="285" t="n"/>
      <c r="W281" s="285" t="n"/>
      <c r="X281" s="285" t="n"/>
      <c r="Y281" s="285" t="n"/>
      <c r="Z281" s="285" t="n"/>
      <c r="AA281" s="285" t="n"/>
    </row>
    <row r="282" ht="15.75" customHeight="1" s="398">
      <c r="A282" s="284" t="n"/>
      <c r="B282" s="284" t="n"/>
      <c r="C282" s="285" t="n"/>
      <c r="D282" s="284" t="n"/>
      <c r="E282" s="285" t="n"/>
      <c r="F282" s="285" t="n"/>
      <c r="G282" s="336" t="n"/>
      <c r="H282" s="336" t="n"/>
      <c r="I282" s="285" t="n"/>
      <c r="J282" s="285" t="n"/>
      <c r="K282" s="285" t="n"/>
      <c r="L282" s="285" t="n"/>
      <c r="M282" s="285" t="n"/>
      <c r="N282" s="285" t="n"/>
      <c r="O282" s="285" t="n"/>
      <c r="P282" s="285" t="n"/>
      <c r="Q282" s="285" t="n"/>
      <c r="R282" s="285" t="n"/>
      <c r="S282" s="284" t="n"/>
      <c r="T282" s="284" t="n"/>
      <c r="U282" s="285" t="n"/>
      <c r="V282" s="285" t="n"/>
      <c r="W282" s="285" t="n"/>
      <c r="X282" s="285" t="n"/>
      <c r="Y282" s="285" t="n"/>
      <c r="Z282" s="285" t="n"/>
      <c r="AA282" s="285" t="n"/>
    </row>
    <row r="283" ht="15.75" customHeight="1" s="398">
      <c r="A283" s="284" t="n"/>
      <c r="B283" s="284" t="n"/>
      <c r="C283" s="285" t="n"/>
      <c r="D283" s="284" t="n"/>
      <c r="E283" s="285" t="n"/>
      <c r="F283" s="285" t="n"/>
      <c r="G283" s="336" t="n"/>
      <c r="H283" s="336" t="n"/>
      <c r="I283" s="285" t="n"/>
      <c r="J283" s="285" t="n"/>
      <c r="K283" s="285" t="n"/>
      <c r="L283" s="285" t="n"/>
      <c r="M283" s="285" t="n"/>
      <c r="N283" s="285" t="n"/>
      <c r="O283" s="285" t="n"/>
      <c r="P283" s="285" t="n"/>
      <c r="Q283" s="285" t="n"/>
      <c r="R283" s="285" t="n"/>
      <c r="S283" s="284" t="n"/>
      <c r="T283" s="284" t="n"/>
      <c r="U283" s="285" t="n"/>
      <c r="V283" s="285" t="n"/>
      <c r="W283" s="285" t="n"/>
      <c r="X283" s="285" t="n"/>
      <c r="Y283" s="285" t="n"/>
      <c r="Z283" s="285" t="n"/>
      <c r="AA283" s="285" t="n"/>
    </row>
    <row r="284" ht="15.75" customHeight="1" s="398">
      <c r="A284" s="284" t="n"/>
      <c r="B284" s="284" t="n"/>
      <c r="C284" s="285" t="n"/>
      <c r="D284" s="284" t="n"/>
      <c r="E284" s="285" t="n"/>
      <c r="F284" s="285" t="n"/>
      <c r="G284" s="336" t="n"/>
      <c r="H284" s="336" t="n"/>
      <c r="I284" s="285" t="n"/>
      <c r="J284" s="285" t="n"/>
      <c r="K284" s="285" t="n"/>
      <c r="L284" s="285" t="n"/>
      <c r="M284" s="285" t="n"/>
      <c r="N284" s="285" t="n"/>
      <c r="O284" s="285" t="n"/>
      <c r="P284" s="285" t="n"/>
      <c r="Q284" s="285" t="n"/>
      <c r="R284" s="285" t="n"/>
      <c r="S284" s="284" t="n"/>
      <c r="T284" s="284" t="n"/>
      <c r="U284" s="285" t="n"/>
      <c r="V284" s="285" t="n"/>
      <c r="W284" s="285" t="n"/>
      <c r="X284" s="285" t="n"/>
      <c r="Y284" s="285" t="n"/>
      <c r="Z284" s="285" t="n"/>
      <c r="AA284" s="285" t="n"/>
    </row>
    <row r="285" ht="15.75" customHeight="1" s="398">
      <c r="A285" s="284" t="n"/>
      <c r="B285" s="284" t="n"/>
      <c r="C285" s="285" t="n"/>
      <c r="D285" s="284" t="n"/>
      <c r="E285" s="285" t="n"/>
      <c r="F285" s="285" t="n"/>
      <c r="G285" s="336" t="n"/>
      <c r="H285" s="336" t="n"/>
      <c r="I285" s="285" t="n"/>
      <c r="J285" s="285" t="n"/>
      <c r="K285" s="285" t="n"/>
      <c r="L285" s="285" t="n"/>
      <c r="M285" s="285" t="n"/>
      <c r="N285" s="285" t="n"/>
      <c r="O285" s="285" t="n"/>
      <c r="P285" s="285" t="n"/>
      <c r="Q285" s="285" t="n"/>
      <c r="R285" s="285" t="n"/>
      <c r="S285" s="284" t="n"/>
      <c r="T285" s="284" t="n"/>
      <c r="U285" s="285" t="n"/>
      <c r="V285" s="285" t="n"/>
      <c r="W285" s="285" t="n"/>
      <c r="X285" s="285" t="n"/>
      <c r="Y285" s="285" t="n"/>
      <c r="Z285" s="285" t="n"/>
      <c r="AA285" s="285" t="n"/>
    </row>
    <row r="286" ht="15.75" customHeight="1" s="398">
      <c r="A286" s="284" t="n"/>
      <c r="B286" s="284" t="n"/>
      <c r="C286" s="285" t="n"/>
      <c r="D286" s="284" t="n"/>
      <c r="E286" s="285" t="n"/>
      <c r="F286" s="285" t="n"/>
      <c r="G286" s="336" t="n"/>
      <c r="H286" s="336" t="n"/>
      <c r="I286" s="285" t="n"/>
      <c r="J286" s="285" t="n"/>
      <c r="K286" s="285" t="n"/>
      <c r="L286" s="285" t="n"/>
      <c r="M286" s="285" t="n"/>
      <c r="N286" s="285" t="n"/>
      <c r="O286" s="285" t="n"/>
      <c r="P286" s="285" t="n"/>
      <c r="Q286" s="285" t="n"/>
      <c r="R286" s="285" t="n"/>
      <c r="S286" s="284" t="n"/>
      <c r="T286" s="284" t="n"/>
      <c r="U286" s="285" t="n"/>
      <c r="V286" s="285" t="n"/>
      <c r="W286" s="285" t="n"/>
      <c r="X286" s="285" t="n"/>
      <c r="Y286" s="285" t="n"/>
      <c r="Z286" s="285" t="n"/>
      <c r="AA286" s="285" t="n"/>
    </row>
    <row r="287" ht="15.75" customHeight="1" s="398">
      <c r="A287" s="284" t="n"/>
      <c r="B287" s="284" t="n"/>
      <c r="C287" s="285" t="n"/>
      <c r="D287" s="284" t="n"/>
      <c r="E287" s="285" t="n"/>
      <c r="F287" s="285" t="n"/>
      <c r="G287" s="336" t="n"/>
      <c r="H287" s="336" t="n"/>
      <c r="I287" s="285" t="n"/>
      <c r="J287" s="285" t="n"/>
      <c r="K287" s="285" t="n"/>
      <c r="L287" s="285" t="n"/>
      <c r="M287" s="285" t="n"/>
      <c r="N287" s="285" t="n"/>
      <c r="O287" s="285" t="n"/>
      <c r="P287" s="285" t="n"/>
      <c r="Q287" s="285" t="n"/>
      <c r="R287" s="285" t="n"/>
      <c r="S287" s="284" t="n"/>
      <c r="T287" s="284" t="n"/>
      <c r="U287" s="285" t="n"/>
      <c r="V287" s="285" t="n"/>
      <c r="W287" s="285" t="n"/>
      <c r="X287" s="285" t="n"/>
      <c r="Y287" s="285" t="n"/>
      <c r="Z287" s="285" t="n"/>
      <c r="AA287" s="285" t="n"/>
    </row>
    <row r="288" ht="15.75" customHeight="1" s="398">
      <c r="A288" s="284" t="n"/>
      <c r="B288" s="284" t="n"/>
      <c r="C288" s="285" t="n"/>
      <c r="D288" s="284" t="n"/>
      <c r="E288" s="285" t="n"/>
      <c r="F288" s="285" t="n"/>
      <c r="G288" s="336" t="n"/>
      <c r="H288" s="336" t="n"/>
      <c r="I288" s="285" t="n"/>
      <c r="J288" s="285" t="n"/>
      <c r="K288" s="285" t="n"/>
      <c r="L288" s="285" t="n"/>
      <c r="M288" s="285" t="n"/>
      <c r="N288" s="285" t="n"/>
      <c r="O288" s="285" t="n"/>
      <c r="P288" s="285" t="n"/>
      <c r="Q288" s="285" t="n"/>
      <c r="R288" s="285" t="n"/>
      <c r="S288" s="284" t="n"/>
      <c r="T288" s="284" t="n"/>
      <c r="U288" s="285" t="n"/>
      <c r="V288" s="285" t="n"/>
      <c r="W288" s="285" t="n"/>
      <c r="X288" s="285" t="n"/>
      <c r="Y288" s="285" t="n"/>
      <c r="Z288" s="285" t="n"/>
      <c r="AA288" s="285" t="n"/>
    </row>
    <row r="289" ht="15.75" customHeight="1" s="398">
      <c r="A289" s="284" t="n"/>
      <c r="B289" s="284" t="n"/>
      <c r="C289" s="285" t="n"/>
      <c r="D289" s="284" t="n"/>
      <c r="E289" s="285" t="n"/>
      <c r="F289" s="285" t="n"/>
      <c r="G289" s="336" t="n"/>
      <c r="H289" s="336" t="n"/>
      <c r="I289" s="285" t="n"/>
      <c r="J289" s="285" t="n"/>
      <c r="K289" s="285" t="n"/>
      <c r="L289" s="285" t="n"/>
      <c r="M289" s="285" t="n"/>
      <c r="N289" s="285" t="n"/>
      <c r="O289" s="285" t="n"/>
      <c r="P289" s="285" t="n"/>
      <c r="Q289" s="285" t="n"/>
      <c r="R289" s="285" t="n"/>
      <c r="S289" s="284" t="n"/>
      <c r="T289" s="284" t="n"/>
      <c r="U289" s="285" t="n"/>
      <c r="V289" s="285" t="n"/>
      <c r="W289" s="285" t="n"/>
      <c r="X289" s="285" t="n"/>
      <c r="Y289" s="285" t="n"/>
      <c r="Z289" s="285" t="n"/>
      <c r="AA289" s="285" t="n"/>
    </row>
    <row r="290" ht="15.75" customHeight="1" s="398">
      <c r="A290" s="284" t="n"/>
      <c r="B290" s="284" t="n"/>
      <c r="C290" s="285" t="n"/>
      <c r="D290" s="284" t="n"/>
      <c r="E290" s="285" t="n"/>
      <c r="F290" s="285" t="n"/>
      <c r="G290" s="336" t="n"/>
      <c r="H290" s="336" t="n"/>
      <c r="I290" s="285" t="n"/>
      <c r="J290" s="285" t="n"/>
      <c r="K290" s="285" t="n"/>
      <c r="L290" s="285" t="n"/>
      <c r="M290" s="285" t="n"/>
      <c r="N290" s="285" t="n"/>
      <c r="O290" s="285" t="n"/>
      <c r="P290" s="285" t="n"/>
      <c r="Q290" s="285" t="n"/>
      <c r="R290" s="285" t="n"/>
      <c r="S290" s="284" t="n"/>
      <c r="T290" s="284" t="n"/>
      <c r="U290" s="285" t="n"/>
      <c r="V290" s="285" t="n"/>
      <c r="W290" s="285" t="n"/>
      <c r="X290" s="285" t="n"/>
      <c r="Y290" s="285" t="n"/>
      <c r="Z290" s="285" t="n"/>
      <c r="AA290" s="285" t="n"/>
    </row>
    <row r="291" ht="15.75" customHeight="1" s="398">
      <c r="A291" s="284" t="n"/>
      <c r="B291" s="284" t="n"/>
      <c r="C291" s="285" t="n"/>
      <c r="D291" s="284" t="n"/>
      <c r="E291" s="285" t="n"/>
      <c r="F291" s="285" t="n"/>
      <c r="G291" s="336" t="n"/>
      <c r="H291" s="336" t="n"/>
      <c r="I291" s="285" t="n"/>
      <c r="J291" s="285" t="n"/>
      <c r="K291" s="285" t="n"/>
      <c r="L291" s="285" t="n"/>
      <c r="M291" s="285" t="n"/>
      <c r="N291" s="285" t="n"/>
      <c r="O291" s="285" t="n"/>
      <c r="P291" s="285" t="n"/>
      <c r="Q291" s="285" t="n"/>
      <c r="R291" s="285" t="n"/>
      <c r="S291" s="284" t="n"/>
      <c r="T291" s="284" t="n"/>
      <c r="U291" s="285" t="n"/>
      <c r="V291" s="285" t="n"/>
      <c r="W291" s="285" t="n"/>
      <c r="X291" s="285" t="n"/>
      <c r="Y291" s="285" t="n"/>
      <c r="Z291" s="285" t="n"/>
      <c r="AA291" s="285" t="n"/>
    </row>
    <row r="292" ht="15.75" customHeight="1" s="398">
      <c r="A292" s="284" t="n"/>
      <c r="B292" s="284" t="n"/>
      <c r="C292" s="285" t="n"/>
      <c r="D292" s="284" t="n"/>
      <c r="E292" s="285" t="n"/>
      <c r="F292" s="285" t="n"/>
      <c r="G292" s="336" t="n"/>
      <c r="H292" s="336" t="n"/>
      <c r="I292" s="285" t="n"/>
      <c r="J292" s="285" t="n"/>
      <c r="K292" s="285" t="n"/>
      <c r="L292" s="285" t="n"/>
      <c r="M292" s="285" t="n"/>
      <c r="N292" s="285" t="n"/>
      <c r="O292" s="285" t="n"/>
      <c r="P292" s="285" t="n"/>
      <c r="Q292" s="285" t="n"/>
      <c r="R292" s="285" t="n"/>
      <c r="S292" s="284" t="n"/>
      <c r="T292" s="284" t="n"/>
      <c r="U292" s="285" t="n"/>
      <c r="V292" s="285" t="n"/>
      <c r="W292" s="285" t="n"/>
      <c r="X292" s="285" t="n"/>
      <c r="Y292" s="285" t="n"/>
      <c r="Z292" s="285" t="n"/>
      <c r="AA292" s="285" t="n"/>
    </row>
    <row r="293" ht="15.75" customHeight="1" s="398">
      <c r="A293" s="284" t="n"/>
      <c r="B293" s="284" t="n"/>
      <c r="C293" s="285" t="n"/>
      <c r="D293" s="284" t="n"/>
      <c r="E293" s="285" t="n"/>
      <c r="F293" s="285" t="n"/>
      <c r="G293" s="336" t="n"/>
      <c r="H293" s="336" t="n"/>
      <c r="I293" s="285" t="n"/>
      <c r="J293" s="285" t="n"/>
      <c r="K293" s="285" t="n"/>
      <c r="L293" s="285" t="n"/>
      <c r="M293" s="285" t="n"/>
      <c r="N293" s="285" t="n"/>
      <c r="O293" s="285" t="n"/>
      <c r="P293" s="285" t="n"/>
      <c r="Q293" s="285" t="n"/>
      <c r="R293" s="285" t="n"/>
      <c r="S293" s="284" t="n"/>
      <c r="T293" s="284" t="n"/>
      <c r="U293" s="285" t="n"/>
      <c r="V293" s="285" t="n"/>
      <c r="W293" s="285" t="n"/>
      <c r="X293" s="285" t="n"/>
      <c r="Y293" s="285" t="n"/>
      <c r="Z293" s="285" t="n"/>
      <c r="AA293" s="285" t="n"/>
    </row>
    <row r="294" ht="15.75" customHeight="1" s="398">
      <c r="A294" s="284" t="n"/>
      <c r="B294" s="284" t="n"/>
      <c r="C294" s="285" t="n"/>
      <c r="D294" s="284" t="n"/>
      <c r="E294" s="285" t="n"/>
      <c r="F294" s="285" t="n"/>
      <c r="G294" s="336" t="n"/>
      <c r="H294" s="336" t="n"/>
      <c r="I294" s="285" t="n"/>
      <c r="J294" s="285" t="n"/>
      <c r="K294" s="285" t="n"/>
      <c r="L294" s="285" t="n"/>
      <c r="M294" s="285" t="n"/>
      <c r="N294" s="285" t="n"/>
      <c r="O294" s="285" t="n"/>
      <c r="P294" s="285" t="n"/>
      <c r="Q294" s="285" t="n"/>
      <c r="R294" s="285" t="n"/>
      <c r="S294" s="284" t="n"/>
      <c r="T294" s="284" t="n"/>
      <c r="U294" s="285" t="n"/>
      <c r="V294" s="285" t="n"/>
      <c r="W294" s="285" t="n"/>
      <c r="X294" s="285" t="n"/>
      <c r="Y294" s="285" t="n"/>
      <c r="Z294" s="285" t="n"/>
      <c r="AA294" s="285" t="n"/>
    </row>
    <row r="295" ht="15.75" customHeight="1" s="398">
      <c r="A295" s="284" t="n"/>
      <c r="B295" s="284" t="n"/>
      <c r="C295" s="285" t="n"/>
      <c r="D295" s="284" t="n"/>
      <c r="E295" s="285" t="n"/>
      <c r="F295" s="285" t="n"/>
      <c r="G295" s="336" t="n"/>
      <c r="H295" s="336" t="n"/>
      <c r="I295" s="285" t="n"/>
      <c r="J295" s="285" t="n"/>
      <c r="K295" s="285" t="n"/>
      <c r="L295" s="285" t="n"/>
      <c r="M295" s="285" t="n"/>
      <c r="N295" s="285" t="n"/>
      <c r="O295" s="285" t="n"/>
      <c r="P295" s="285" t="n"/>
      <c r="Q295" s="285" t="n"/>
      <c r="R295" s="285" t="n"/>
      <c r="S295" s="284" t="n"/>
      <c r="T295" s="284" t="n"/>
      <c r="U295" s="285" t="n"/>
      <c r="V295" s="285" t="n"/>
      <c r="W295" s="285" t="n"/>
      <c r="X295" s="285" t="n"/>
      <c r="Y295" s="285" t="n"/>
      <c r="Z295" s="285" t="n"/>
      <c r="AA295" s="285" t="n"/>
    </row>
    <row r="296" ht="15.75" customHeight="1" s="398">
      <c r="A296" s="284" t="n"/>
      <c r="B296" s="284" t="n"/>
      <c r="C296" s="285" t="n"/>
      <c r="D296" s="284" t="n"/>
      <c r="E296" s="285" t="n"/>
      <c r="F296" s="285" t="n"/>
      <c r="G296" s="336" t="n"/>
      <c r="H296" s="336" t="n"/>
      <c r="I296" s="285" t="n"/>
      <c r="J296" s="285" t="n"/>
      <c r="K296" s="285" t="n"/>
      <c r="L296" s="285" t="n"/>
      <c r="M296" s="285" t="n"/>
      <c r="N296" s="285" t="n"/>
      <c r="O296" s="285" t="n"/>
      <c r="P296" s="285" t="n"/>
      <c r="Q296" s="285" t="n"/>
      <c r="R296" s="285" t="n"/>
      <c r="S296" s="284" t="n"/>
      <c r="T296" s="284" t="n"/>
      <c r="U296" s="285" t="n"/>
      <c r="V296" s="285" t="n"/>
      <c r="W296" s="285" t="n"/>
      <c r="X296" s="285" t="n"/>
      <c r="Y296" s="285" t="n"/>
      <c r="Z296" s="285" t="n"/>
      <c r="AA296" s="285" t="n"/>
    </row>
    <row r="297" ht="15.75" customHeight="1" s="398">
      <c r="A297" s="284" t="n"/>
      <c r="B297" s="284" t="n"/>
      <c r="C297" s="285" t="n"/>
      <c r="D297" s="284" t="n"/>
      <c r="E297" s="285" t="n"/>
      <c r="F297" s="285" t="n"/>
      <c r="G297" s="336" t="n"/>
      <c r="H297" s="336" t="n"/>
      <c r="I297" s="285" t="n"/>
      <c r="J297" s="285" t="n"/>
      <c r="K297" s="285" t="n"/>
      <c r="L297" s="285" t="n"/>
      <c r="M297" s="285" t="n"/>
      <c r="N297" s="285" t="n"/>
      <c r="O297" s="285" t="n"/>
      <c r="P297" s="285" t="n"/>
      <c r="Q297" s="285" t="n"/>
      <c r="R297" s="285" t="n"/>
      <c r="S297" s="284" t="n"/>
      <c r="T297" s="284" t="n"/>
      <c r="U297" s="285" t="n"/>
      <c r="V297" s="285" t="n"/>
      <c r="W297" s="285" t="n"/>
      <c r="X297" s="285" t="n"/>
      <c r="Y297" s="285" t="n"/>
      <c r="Z297" s="285" t="n"/>
      <c r="AA297" s="285" t="n"/>
    </row>
    <row r="298" ht="15.75" customHeight="1" s="398">
      <c r="A298" s="284" t="n"/>
      <c r="B298" s="284" t="n"/>
      <c r="C298" s="285" t="n"/>
      <c r="D298" s="284" t="n"/>
      <c r="E298" s="285" t="n"/>
      <c r="F298" s="285" t="n"/>
      <c r="G298" s="336" t="n"/>
      <c r="H298" s="336" t="n"/>
      <c r="I298" s="285" t="n"/>
      <c r="J298" s="285" t="n"/>
      <c r="K298" s="285" t="n"/>
      <c r="L298" s="285" t="n"/>
      <c r="M298" s="285" t="n"/>
      <c r="N298" s="285" t="n"/>
      <c r="O298" s="285" t="n"/>
      <c r="P298" s="285" t="n"/>
      <c r="Q298" s="285" t="n"/>
      <c r="R298" s="285" t="n"/>
      <c r="S298" s="284" t="n"/>
      <c r="T298" s="284" t="n"/>
      <c r="U298" s="285" t="n"/>
      <c r="V298" s="285" t="n"/>
      <c r="W298" s="285" t="n"/>
      <c r="X298" s="285" t="n"/>
      <c r="Y298" s="285" t="n"/>
      <c r="Z298" s="285" t="n"/>
      <c r="AA298" s="285" t="n"/>
    </row>
    <row r="299" ht="15.75" customHeight="1" s="398">
      <c r="A299" s="284" t="n"/>
      <c r="B299" s="284" t="n"/>
      <c r="C299" s="285" t="n"/>
      <c r="D299" s="284" t="n"/>
      <c r="E299" s="285" t="n"/>
      <c r="F299" s="285" t="n"/>
      <c r="G299" s="336" t="n"/>
      <c r="H299" s="336" t="n"/>
      <c r="I299" s="285" t="n"/>
      <c r="J299" s="285" t="n"/>
      <c r="K299" s="285" t="n"/>
      <c r="L299" s="285" t="n"/>
      <c r="M299" s="285" t="n"/>
      <c r="N299" s="285" t="n"/>
      <c r="O299" s="285" t="n"/>
      <c r="P299" s="285" t="n"/>
      <c r="Q299" s="285" t="n"/>
      <c r="R299" s="285" t="n"/>
      <c r="S299" s="284" t="n"/>
      <c r="T299" s="284" t="n"/>
      <c r="U299" s="285" t="n"/>
      <c r="V299" s="285" t="n"/>
      <c r="W299" s="285" t="n"/>
      <c r="X299" s="285" t="n"/>
      <c r="Y299" s="285" t="n"/>
      <c r="Z299" s="285" t="n"/>
      <c r="AA299" s="285" t="n"/>
    </row>
    <row r="300" ht="15.75" customHeight="1" s="398">
      <c r="A300" s="284" t="n"/>
      <c r="B300" s="284" t="n"/>
      <c r="C300" s="285" t="n"/>
      <c r="D300" s="284" t="n"/>
      <c r="E300" s="285" t="n"/>
      <c r="F300" s="285" t="n"/>
      <c r="G300" s="336" t="n"/>
      <c r="H300" s="336" t="n"/>
      <c r="I300" s="285" t="n"/>
      <c r="J300" s="285" t="n"/>
      <c r="K300" s="285" t="n"/>
      <c r="L300" s="285" t="n"/>
      <c r="M300" s="285" t="n"/>
      <c r="N300" s="285" t="n"/>
      <c r="O300" s="285" t="n"/>
      <c r="P300" s="285" t="n"/>
      <c r="Q300" s="285" t="n"/>
      <c r="R300" s="285" t="n"/>
      <c r="S300" s="284" t="n"/>
      <c r="T300" s="284" t="n"/>
      <c r="U300" s="285" t="n"/>
      <c r="V300" s="285" t="n"/>
      <c r="W300" s="285" t="n"/>
      <c r="X300" s="285" t="n"/>
      <c r="Y300" s="285" t="n"/>
      <c r="Z300" s="285" t="n"/>
      <c r="AA300" s="285" t="n"/>
    </row>
    <row r="301" ht="15.75" customHeight="1" s="398">
      <c r="A301" s="284" t="n"/>
      <c r="B301" s="284" t="n"/>
      <c r="C301" s="285" t="n"/>
      <c r="D301" s="284" t="n"/>
      <c r="E301" s="285" t="n"/>
      <c r="F301" s="285" t="n"/>
      <c r="G301" s="336" t="n"/>
      <c r="H301" s="336" t="n"/>
      <c r="I301" s="285" t="n"/>
      <c r="J301" s="285" t="n"/>
      <c r="K301" s="285" t="n"/>
      <c r="L301" s="285" t="n"/>
      <c r="M301" s="285" t="n"/>
      <c r="N301" s="285" t="n"/>
      <c r="O301" s="285" t="n"/>
      <c r="P301" s="285" t="n"/>
      <c r="Q301" s="285" t="n"/>
      <c r="R301" s="285" t="n"/>
      <c r="S301" s="284" t="n"/>
      <c r="T301" s="284" t="n"/>
      <c r="U301" s="285" t="n"/>
      <c r="V301" s="285" t="n"/>
      <c r="W301" s="285" t="n"/>
      <c r="X301" s="285" t="n"/>
      <c r="Y301" s="285" t="n"/>
      <c r="Z301" s="285" t="n"/>
      <c r="AA301" s="285" t="n"/>
    </row>
    <row r="302" ht="15.75" customHeight="1" s="398">
      <c r="A302" s="284" t="n"/>
      <c r="B302" s="284" t="n"/>
      <c r="C302" s="285" t="n"/>
      <c r="D302" s="284" t="n"/>
      <c r="E302" s="285" t="n"/>
      <c r="F302" s="285" t="n"/>
      <c r="G302" s="336" t="n"/>
      <c r="H302" s="336" t="n"/>
      <c r="I302" s="285" t="n"/>
      <c r="J302" s="285" t="n"/>
      <c r="K302" s="285" t="n"/>
      <c r="L302" s="285" t="n"/>
      <c r="M302" s="285" t="n"/>
      <c r="N302" s="285" t="n"/>
      <c r="O302" s="285" t="n"/>
      <c r="P302" s="285" t="n"/>
      <c r="Q302" s="285" t="n"/>
      <c r="R302" s="285" t="n"/>
      <c r="S302" s="284" t="n"/>
      <c r="T302" s="284" t="n"/>
      <c r="U302" s="285" t="n"/>
      <c r="V302" s="285" t="n"/>
      <c r="W302" s="285" t="n"/>
      <c r="X302" s="285" t="n"/>
      <c r="Y302" s="285" t="n"/>
      <c r="Z302" s="285" t="n"/>
      <c r="AA302" s="285" t="n"/>
    </row>
    <row r="303" ht="15.75" customHeight="1" s="398">
      <c r="A303" s="284" t="n"/>
      <c r="B303" s="284" t="n"/>
      <c r="C303" s="285" t="n"/>
      <c r="D303" s="284" t="n"/>
      <c r="E303" s="285" t="n"/>
      <c r="F303" s="285" t="n"/>
      <c r="G303" s="336" t="n"/>
      <c r="H303" s="336" t="n"/>
      <c r="I303" s="285" t="n"/>
      <c r="J303" s="285" t="n"/>
      <c r="K303" s="285" t="n"/>
      <c r="L303" s="285" t="n"/>
      <c r="M303" s="285" t="n"/>
      <c r="N303" s="285" t="n"/>
      <c r="O303" s="285" t="n"/>
      <c r="P303" s="285" t="n"/>
      <c r="Q303" s="285" t="n"/>
      <c r="R303" s="285" t="n"/>
      <c r="S303" s="284" t="n"/>
      <c r="T303" s="284" t="n"/>
      <c r="U303" s="285" t="n"/>
      <c r="V303" s="285" t="n"/>
      <c r="W303" s="285" t="n"/>
      <c r="X303" s="285" t="n"/>
      <c r="Y303" s="285" t="n"/>
      <c r="Z303" s="285" t="n"/>
      <c r="AA303" s="285" t="n"/>
    </row>
    <row r="304" ht="15.75" customHeight="1" s="398">
      <c r="A304" s="284" t="n"/>
      <c r="B304" s="284" t="n"/>
      <c r="C304" s="285" t="n"/>
      <c r="D304" s="284" t="n"/>
      <c r="E304" s="285" t="n"/>
      <c r="F304" s="285" t="n"/>
      <c r="G304" s="336" t="n"/>
      <c r="H304" s="336" t="n"/>
      <c r="I304" s="285" t="n"/>
      <c r="J304" s="285" t="n"/>
      <c r="K304" s="285" t="n"/>
      <c r="L304" s="285" t="n"/>
      <c r="M304" s="285" t="n"/>
      <c r="N304" s="285" t="n"/>
      <c r="O304" s="285" t="n"/>
      <c r="P304" s="285" t="n"/>
      <c r="Q304" s="285" t="n"/>
      <c r="R304" s="285" t="n"/>
      <c r="S304" s="284" t="n"/>
      <c r="T304" s="284" t="n"/>
      <c r="U304" s="285" t="n"/>
      <c r="V304" s="285" t="n"/>
      <c r="W304" s="285" t="n"/>
      <c r="X304" s="285" t="n"/>
      <c r="Y304" s="285" t="n"/>
      <c r="Z304" s="285" t="n"/>
      <c r="AA304" s="285" t="n"/>
    </row>
    <row r="305" ht="15.75" customHeight="1" s="398">
      <c r="A305" s="284" t="n"/>
      <c r="B305" s="284" t="n"/>
      <c r="C305" s="285" t="n"/>
      <c r="D305" s="284" t="n"/>
      <c r="E305" s="285" t="n"/>
      <c r="F305" s="285" t="n"/>
      <c r="G305" s="336" t="n"/>
      <c r="H305" s="336" t="n"/>
      <c r="I305" s="285" t="n"/>
      <c r="J305" s="285" t="n"/>
      <c r="K305" s="285" t="n"/>
      <c r="L305" s="285" t="n"/>
      <c r="M305" s="285" t="n"/>
      <c r="N305" s="285" t="n"/>
      <c r="O305" s="285" t="n"/>
      <c r="P305" s="285" t="n"/>
      <c r="Q305" s="285" t="n"/>
      <c r="R305" s="285" t="n"/>
      <c r="S305" s="284" t="n"/>
      <c r="T305" s="284" t="n"/>
      <c r="U305" s="285" t="n"/>
      <c r="V305" s="285" t="n"/>
      <c r="W305" s="285" t="n"/>
      <c r="X305" s="285" t="n"/>
      <c r="Y305" s="285" t="n"/>
      <c r="Z305" s="285" t="n"/>
      <c r="AA305" s="285" t="n"/>
    </row>
    <row r="306" ht="15.75" customHeight="1" s="398">
      <c r="A306" s="284" t="n"/>
      <c r="B306" s="284" t="n"/>
      <c r="C306" s="285" t="n"/>
      <c r="D306" s="284" t="n"/>
      <c r="E306" s="285" t="n"/>
      <c r="F306" s="285" t="n"/>
      <c r="G306" s="336" t="n"/>
      <c r="H306" s="336" t="n"/>
      <c r="I306" s="285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85" t="n"/>
      <c r="S306" s="284" t="n"/>
      <c r="T306" s="284" t="n"/>
      <c r="U306" s="285" t="n"/>
      <c r="V306" s="285" t="n"/>
      <c r="W306" s="285" t="n"/>
      <c r="X306" s="285" t="n"/>
      <c r="Y306" s="285" t="n"/>
      <c r="Z306" s="285" t="n"/>
      <c r="AA306" s="285" t="n"/>
    </row>
    <row r="307" ht="15.75" customHeight="1" s="398">
      <c r="A307" s="284" t="n"/>
      <c r="B307" s="284" t="n"/>
      <c r="C307" s="285" t="n"/>
      <c r="D307" s="284" t="n"/>
      <c r="E307" s="285" t="n"/>
      <c r="F307" s="285" t="n"/>
      <c r="G307" s="336" t="n"/>
      <c r="H307" s="336" t="n"/>
      <c r="I307" s="285" t="n"/>
      <c r="J307" s="285" t="n"/>
      <c r="K307" s="285" t="n"/>
      <c r="L307" s="285" t="n"/>
      <c r="M307" s="285" t="n"/>
      <c r="N307" s="285" t="n"/>
      <c r="O307" s="285" t="n"/>
      <c r="P307" s="285" t="n"/>
      <c r="Q307" s="285" t="n"/>
      <c r="R307" s="285" t="n"/>
      <c r="S307" s="284" t="n"/>
      <c r="T307" s="284" t="n"/>
      <c r="U307" s="285" t="n"/>
      <c r="V307" s="285" t="n"/>
      <c r="W307" s="285" t="n"/>
      <c r="X307" s="285" t="n"/>
      <c r="Y307" s="285" t="n"/>
      <c r="Z307" s="285" t="n"/>
      <c r="AA307" s="285" t="n"/>
    </row>
    <row r="308" ht="15.75" customHeight="1" s="398">
      <c r="A308" s="284" t="n"/>
      <c r="B308" s="284" t="n"/>
      <c r="C308" s="285" t="n"/>
      <c r="D308" s="284" t="n"/>
      <c r="E308" s="285" t="n"/>
      <c r="F308" s="285" t="n"/>
      <c r="G308" s="336" t="n"/>
      <c r="H308" s="336" t="n"/>
      <c r="I308" s="285" t="n"/>
      <c r="J308" s="285" t="n"/>
      <c r="K308" s="285" t="n"/>
      <c r="L308" s="285" t="n"/>
      <c r="M308" s="285" t="n"/>
      <c r="N308" s="285" t="n"/>
      <c r="O308" s="285" t="n"/>
      <c r="P308" s="285" t="n"/>
      <c r="Q308" s="285" t="n"/>
      <c r="R308" s="285" t="n"/>
      <c r="S308" s="284" t="n"/>
      <c r="T308" s="284" t="n"/>
      <c r="U308" s="285" t="n"/>
      <c r="V308" s="285" t="n"/>
      <c r="W308" s="285" t="n"/>
      <c r="X308" s="285" t="n"/>
      <c r="Y308" s="285" t="n"/>
      <c r="Z308" s="285" t="n"/>
      <c r="AA308" s="285" t="n"/>
    </row>
    <row r="309" ht="15.75" customHeight="1" s="398">
      <c r="A309" s="284" t="n"/>
      <c r="B309" s="284" t="n"/>
      <c r="C309" s="285" t="n"/>
      <c r="D309" s="284" t="n"/>
      <c r="E309" s="285" t="n"/>
      <c r="F309" s="285" t="n"/>
      <c r="G309" s="336" t="n"/>
      <c r="H309" s="336" t="n"/>
      <c r="I309" s="285" t="n"/>
      <c r="J309" s="285" t="n"/>
      <c r="K309" s="285" t="n"/>
      <c r="L309" s="285" t="n"/>
      <c r="M309" s="285" t="n"/>
      <c r="N309" s="285" t="n"/>
      <c r="O309" s="285" t="n"/>
      <c r="P309" s="285" t="n"/>
      <c r="Q309" s="285" t="n"/>
      <c r="R309" s="285" t="n"/>
      <c r="S309" s="284" t="n"/>
      <c r="T309" s="284" t="n"/>
      <c r="U309" s="285" t="n"/>
      <c r="V309" s="285" t="n"/>
      <c r="W309" s="285" t="n"/>
      <c r="X309" s="285" t="n"/>
      <c r="Y309" s="285" t="n"/>
      <c r="Z309" s="285" t="n"/>
      <c r="AA309" s="285" t="n"/>
    </row>
    <row r="310" ht="15.75" customHeight="1" s="398">
      <c r="A310" s="284" t="n"/>
      <c r="B310" s="284" t="n"/>
      <c r="C310" s="285" t="n"/>
      <c r="D310" s="284" t="n"/>
      <c r="E310" s="285" t="n"/>
      <c r="F310" s="285" t="n"/>
      <c r="G310" s="336" t="n"/>
      <c r="H310" s="336" t="n"/>
      <c r="I310" s="285" t="n"/>
      <c r="J310" s="285" t="n"/>
      <c r="K310" s="285" t="n"/>
      <c r="L310" s="285" t="n"/>
      <c r="M310" s="285" t="n"/>
      <c r="N310" s="285" t="n"/>
      <c r="O310" s="285" t="n"/>
      <c r="P310" s="285" t="n"/>
      <c r="Q310" s="285" t="n"/>
      <c r="R310" s="285" t="n"/>
      <c r="S310" s="284" t="n"/>
      <c r="T310" s="284" t="n"/>
      <c r="U310" s="285" t="n"/>
      <c r="V310" s="285" t="n"/>
      <c r="W310" s="285" t="n"/>
      <c r="X310" s="285" t="n"/>
      <c r="Y310" s="285" t="n"/>
      <c r="Z310" s="285" t="n"/>
      <c r="AA310" s="285" t="n"/>
    </row>
    <row r="311" ht="15.75" customHeight="1" s="398">
      <c r="A311" s="284" t="n"/>
      <c r="B311" s="284" t="n"/>
      <c r="C311" s="285" t="n"/>
      <c r="D311" s="284" t="n"/>
      <c r="E311" s="285" t="n"/>
      <c r="F311" s="285" t="n"/>
      <c r="G311" s="336" t="n"/>
      <c r="H311" s="336" t="n"/>
      <c r="I311" s="285" t="n"/>
      <c r="J311" s="285" t="n"/>
      <c r="K311" s="285" t="n"/>
      <c r="L311" s="285" t="n"/>
      <c r="M311" s="285" t="n"/>
      <c r="N311" s="285" t="n"/>
      <c r="O311" s="285" t="n"/>
      <c r="P311" s="285" t="n"/>
      <c r="Q311" s="285" t="n"/>
      <c r="R311" s="285" t="n"/>
      <c r="S311" s="284" t="n"/>
      <c r="T311" s="284" t="n"/>
      <c r="U311" s="285" t="n"/>
      <c r="V311" s="285" t="n"/>
      <c r="W311" s="285" t="n"/>
      <c r="X311" s="285" t="n"/>
      <c r="Y311" s="285" t="n"/>
      <c r="Z311" s="285" t="n"/>
      <c r="AA311" s="285" t="n"/>
    </row>
    <row r="312" ht="15.75" customHeight="1" s="398">
      <c r="A312" s="284" t="n"/>
      <c r="B312" s="284" t="n"/>
      <c r="C312" s="285" t="n"/>
      <c r="D312" s="284" t="n"/>
      <c r="E312" s="285" t="n"/>
      <c r="F312" s="285" t="n"/>
      <c r="G312" s="336" t="n"/>
      <c r="H312" s="336" t="n"/>
      <c r="I312" s="285" t="n"/>
      <c r="J312" s="285" t="n"/>
      <c r="K312" s="285" t="n"/>
      <c r="L312" s="285" t="n"/>
      <c r="M312" s="285" t="n"/>
      <c r="N312" s="285" t="n"/>
      <c r="O312" s="285" t="n"/>
      <c r="P312" s="285" t="n"/>
      <c r="Q312" s="285" t="n"/>
      <c r="R312" s="285" t="n"/>
      <c r="S312" s="284" t="n"/>
      <c r="T312" s="284" t="n"/>
      <c r="U312" s="285" t="n"/>
      <c r="V312" s="285" t="n"/>
      <c r="W312" s="285" t="n"/>
      <c r="X312" s="285" t="n"/>
      <c r="Y312" s="285" t="n"/>
      <c r="Z312" s="285" t="n"/>
      <c r="AA312" s="285" t="n"/>
    </row>
    <row r="313" ht="15.75" customHeight="1" s="398">
      <c r="A313" s="284" t="n"/>
      <c r="B313" s="284" t="n"/>
      <c r="C313" s="285" t="n"/>
      <c r="D313" s="284" t="n"/>
      <c r="E313" s="285" t="n"/>
      <c r="F313" s="285" t="n"/>
      <c r="G313" s="336" t="n"/>
      <c r="H313" s="336" t="n"/>
      <c r="I313" s="285" t="n"/>
      <c r="J313" s="285" t="n"/>
      <c r="K313" s="285" t="n"/>
      <c r="L313" s="285" t="n"/>
      <c r="M313" s="285" t="n"/>
      <c r="N313" s="285" t="n"/>
      <c r="O313" s="285" t="n"/>
      <c r="P313" s="285" t="n"/>
      <c r="Q313" s="285" t="n"/>
      <c r="R313" s="285" t="n"/>
      <c r="S313" s="284" t="n"/>
      <c r="T313" s="284" t="n"/>
      <c r="U313" s="285" t="n"/>
      <c r="V313" s="285" t="n"/>
      <c r="W313" s="285" t="n"/>
      <c r="X313" s="285" t="n"/>
      <c r="Y313" s="285" t="n"/>
      <c r="Z313" s="285" t="n"/>
      <c r="AA313" s="285" t="n"/>
    </row>
    <row r="314" ht="15.75" customHeight="1" s="398">
      <c r="A314" s="284" t="n"/>
      <c r="B314" s="284" t="n"/>
      <c r="C314" s="285" t="n"/>
      <c r="D314" s="284" t="n"/>
      <c r="E314" s="285" t="n"/>
      <c r="F314" s="285" t="n"/>
      <c r="G314" s="336" t="n"/>
      <c r="H314" s="336" t="n"/>
      <c r="I314" s="285" t="n"/>
      <c r="J314" s="285" t="n"/>
      <c r="K314" s="285" t="n"/>
      <c r="L314" s="285" t="n"/>
      <c r="M314" s="285" t="n"/>
      <c r="N314" s="285" t="n"/>
      <c r="O314" s="285" t="n"/>
      <c r="P314" s="285" t="n"/>
      <c r="Q314" s="285" t="n"/>
      <c r="R314" s="285" t="n"/>
      <c r="S314" s="284" t="n"/>
      <c r="T314" s="284" t="n"/>
      <c r="U314" s="285" t="n"/>
      <c r="V314" s="285" t="n"/>
      <c r="W314" s="285" t="n"/>
      <c r="X314" s="285" t="n"/>
      <c r="Y314" s="285" t="n"/>
      <c r="Z314" s="285" t="n"/>
      <c r="AA314" s="285" t="n"/>
    </row>
    <row r="315" ht="15.75" customHeight="1" s="398">
      <c r="A315" s="284" t="n"/>
      <c r="B315" s="284" t="n"/>
      <c r="C315" s="285" t="n"/>
      <c r="D315" s="284" t="n"/>
      <c r="E315" s="285" t="n"/>
      <c r="F315" s="285" t="n"/>
      <c r="G315" s="336" t="n"/>
      <c r="H315" s="336" t="n"/>
      <c r="I315" s="285" t="n"/>
      <c r="J315" s="285" t="n"/>
      <c r="K315" s="285" t="n"/>
      <c r="L315" s="285" t="n"/>
      <c r="M315" s="285" t="n"/>
      <c r="N315" s="285" t="n"/>
      <c r="O315" s="285" t="n"/>
      <c r="P315" s="285" t="n"/>
      <c r="Q315" s="285" t="n"/>
      <c r="R315" s="285" t="n"/>
      <c r="S315" s="284" t="n"/>
      <c r="T315" s="284" t="n"/>
      <c r="U315" s="285" t="n"/>
      <c r="V315" s="285" t="n"/>
      <c r="W315" s="285" t="n"/>
      <c r="X315" s="285" t="n"/>
      <c r="Y315" s="285" t="n"/>
      <c r="Z315" s="285" t="n"/>
      <c r="AA315" s="285" t="n"/>
    </row>
    <row r="316" ht="15.75" customHeight="1" s="398">
      <c r="A316" s="284" t="n"/>
      <c r="B316" s="284" t="n"/>
      <c r="C316" s="285" t="n"/>
      <c r="D316" s="284" t="n"/>
      <c r="E316" s="285" t="n"/>
      <c r="F316" s="285" t="n"/>
      <c r="G316" s="336" t="n"/>
      <c r="H316" s="336" t="n"/>
      <c r="I316" s="285" t="n"/>
      <c r="J316" s="285" t="n"/>
      <c r="K316" s="285" t="n"/>
      <c r="L316" s="285" t="n"/>
      <c r="M316" s="285" t="n"/>
      <c r="N316" s="285" t="n"/>
      <c r="O316" s="285" t="n"/>
      <c r="P316" s="285" t="n"/>
      <c r="Q316" s="285" t="n"/>
      <c r="R316" s="285" t="n"/>
      <c r="S316" s="284" t="n"/>
      <c r="T316" s="284" t="n"/>
      <c r="U316" s="285" t="n"/>
      <c r="V316" s="285" t="n"/>
      <c r="W316" s="285" t="n"/>
      <c r="X316" s="285" t="n"/>
      <c r="Y316" s="285" t="n"/>
      <c r="Z316" s="285" t="n"/>
      <c r="AA316" s="285" t="n"/>
    </row>
    <row r="317" ht="15.75" customHeight="1" s="398">
      <c r="A317" s="284" t="n"/>
      <c r="B317" s="284" t="n"/>
      <c r="C317" s="285" t="n"/>
      <c r="D317" s="284" t="n"/>
      <c r="E317" s="285" t="n"/>
      <c r="F317" s="285" t="n"/>
      <c r="G317" s="336" t="n"/>
      <c r="H317" s="336" t="n"/>
      <c r="I317" s="285" t="n"/>
      <c r="J317" s="285" t="n"/>
      <c r="K317" s="285" t="n"/>
      <c r="L317" s="285" t="n"/>
      <c r="M317" s="285" t="n"/>
      <c r="N317" s="285" t="n"/>
      <c r="O317" s="285" t="n"/>
      <c r="P317" s="285" t="n"/>
      <c r="Q317" s="285" t="n"/>
      <c r="R317" s="285" t="n"/>
      <c r="S317" s="284" t="n"/>
      <c r="T317" s="284" t="n"/>
      <c r="U317" s="285" t="n"/>
      <c r="V317" s="285" t="n"/>
      <c r="W317" s="285" t="n"/>
      <c r="X317" s="285" t="n"/>
      <c r="Y317" s="285" t="n"/>
      <c r="Z317" s="285" t="n"/>
      <c r="AA317" s="285" t="n"/>
    </row>
    <row r="318" ht="15.75" customHeight="1" s="398">
      <c r="A318" s="284" t="n"/>
      <c r="B318" s="284" t="n"/>
      <c r="C318" s="285" t="n"/>
      <c r="D318" s="284" t="n"/>
      <c r="E318" s="285" t="n"/>
      <c r="F318" s="285" t="n"/>
      <c r="G318" s="336" t="n"/>
      <c r="H318" s="336" t="n"/>
      <c r="I318" s="285" t="n"/>
      <c r="J318" s="285" t="n"/>
      <c r="K318" s="285" t="n"/>
      <c r="L318" s="285" t="n"/>
      <c r="M318" s="285" t="n"/>
      <c r="N318" s="285" t="n"/>
      <c r="O318" s="285" t="n"/>
      <c r="P318" s="285" t="n"/>
      <c r="Q318" s="285" t="n"/>
      <c r="R318" s="285" t="n"/>
      <c r="S318" s="284" t="n"/>
      <c r="T318" s="284" t="n"/>
      <c r="U318" s="285" t="n"/>
      <c r="V318" s="285" t="n"/>
      <c r="W318" s="285" t="n"/>
      <c r="X318" s="285" t="n"/>
      <c r="Y318" s="285" t="n"/>
      <c r="Z318" s="285" t="n"/>
      <c r="AA318" s="285" t="n"/>
    </row>
    <row r="319" ht="15.75" customHeight="1" s="398">
      <c r="A319" s="284" t="n"/>
      <c r="B319" s="284" t="n"/>
      <c r="C319" s="285" t="n"/>
      <c r="D319" s="284" t="n"/>
      <c r="E319" s="285" t="n"/>
      <c r="F319" s="285" t="n"/>
      <c r="G319" s="336" t="n"/>
      <c r="H319" s="336" t="n"/>
      <c r="I319" s="285" t="n"/>
      <c r="J319" s="285" t="n"/>
      <c r="K319" s="285" t="n"/>
      <c r="L319" s="285" t="n"/>
      <c r="M319" s="285" t="n"/>
      <c r="N319" s="285" t="n"/>
      <c r="O319" s="285" t="n"/>
      <c r="P319" s="285" t="n"/>
      <c r="Q319" s="285" t="n"/>
      <c r="R319" s="285" t="n"/>
      <c r="S319" s="284" t="n"/>
      <c r="T319" s="284" t="n"/>
      <c r="U319" s="285" t="n"/>
      <c r="V319" s="285" t="n"/>
      <c r="W319" s="285" t="n"/>
      <c r="X319" s="285" t="n"/>
      <c r="Y319" s="285" t="n"/>
      <c r="Z319" s="285" t="n"/>
      <c r="AA319" s="285" t="n"/>
    </row>
    <row r="320" ht="15.75" customHeight="1" s="398">
      <c r="A320" s="284" t="n"/>
      <c r="B320" s="284" t="n"/>
      <c r="C320" s="285" t="n"/>
      <c r="D320" s="284" t="n"/>
      <c r="E320" s="285" t="n"/>
      <c r="F320" s="285" t="n"/>
      <c r="G320" s="336" t="n"/>
      <c r="H320" s="336" t="n"/>
      <c r="I320" s="285" t="n"/>
      <c r="J320" s="285" t="n"/>
      <c r="K320" s="285" t="n"/>
      <c r="L320" s="285" t="n"/>
      <c r="M320" s="285" t="n"/>
      <c r="N320" s="285" t="n"/>
      <c r="O320" s="285" t="n"/>
      <c r="P320" s="285" t="n"/>
      <c r="Q320" s="285" t="n"/>
      <c r="R320" s="285" t="n"/>
      <c r="S320" s="284" t="n"/>
      <c r="T320" s="284" t="n"/>
      <c r="U320" s="285" t="n"/>
      <c r="V320" s="285" t="n"/>
      <c r="W320" s="285" t="n"/>
      <c r="X320" s="285" t="n"/>
      <c r="Y320" s="285" t="n"/>
      <c r="Z320" s="285" t="n"/>
      <c r="AA320" s="285" t="n"/>
    </row>
    <row r="321" ht="15.75" customHeight="1" s="398">
      <c r="A321" s="284" t="n"/>
      <c r="B321" s="284" t="n"/>
      <c r="C321" s="285" t="n"/>
      <c r="D321" s="284" t="n"/>
      <c r="E321" s="285" t="n"/>
      <c r="F321" s="285" t="n"/>
      <c r="G321" s="336" t="n"/>
      <c r="H321" s="336" t="n"/>
      <c r="I321" s="285" t="n"/>
      <c r="J321" s="285" t="n"/>
      <c r="K321" s="285" t="n"/>
      <c r="L321" s="285" t="n"/>
      <c r="M321" s="285" t="n"/>
      <c r="N321" s="285" t="n"/>
      <c r="O321" s="285" t="n"/>
      <c r="P321" s="285" t="n"/>
      <c r="Q321" s="285" t="n"/>
      <c r="R321" s="285" t="n"/>
      <c r="S321" s="284" t="n"/>
      <c r="T321" s="284" t="n"/>
      <c r="U321" s="285" t="n"/>
      <c r="V321" s="285" t="n"/>
      <c r="W321" s="285" t="n"/>
      <c r="X321" s="285" t="n"/>
      <c r="Y321" s="285" t="n"/>
      <c r="Z321" s="285" t="n"/>
      <c r="AA321" s="285" t="n"/>
    </row>
    <row r="322" ht="15.75" customHeight="1" s="398">
      <c r="A322" s="284" t="n"/>
      <c r="B322" s="284" t="n"/>
      <c r="C322" s="285" t="n"/>
      <c r="D322" s="284" t="n"/>
      <c r="E322" s="285" t="n"/>
      <c r="F322" s="285" t="n"/>
      <c r="G322" s="336" t="n"/>
      <c r="H322" s="336" t="n"/>
      <c r="I322" s="285" t="n"/>
      <c r="J322" s="285" t="n"/>
      <c r="K322" s="285" t="n"/>
      <c r="L322" s="285" t="n"/>
      <c r="M322" s="285" t="n"/>
      <c r="N322" s="285" t="n"/>
      <c r="O322" s="285" t="n"/>
      <c r="P322" s="285" t="n"/>
      <c r="Q322" s="285" t="n"/>
      <c r="R322" s="285" t="n"/>
      <c r="S322" s="284" t="n"/>
      <c r="T322" s="284" t="n"/>
      <c r="U322" s="285" t="n"/>
      <c r="V322" s="285" t="n"/>
      <c r="W322" s="285" t="n"/>
      <c r="X322" s="285" t="n"/>
      <c r="Y322" s="285" t="n"/>
      <c r="Z322" s="285" t="n"/>
      <c r="AA322" s="285" t="n"/>
    </row>
    <row r="323" ht="15.75" customHeight="1" s="398">
      <c r="A323" s="284" t="n"/>
      <c r="B323" s="284" t="n"/>
      <c r="C323" s="285" t="n"/>
      <c r="D323" s="284" t="n"/>
      <c r="E323" s="285" t="n"/>
      <c r="F323" s="285" t="n"/>
      <c r="G323" s="336" t="n"/>
      <c r="H323" s="336" t="n"/>
      <c r="I323" s="285" t="n"/>
      <c r="J323" s="285" t="n"/>
      <c r="K323" s="285" t="n"/>
      <c r="L323" s="285" t="n"/>
      <c r="M323" s="285" t="n"/>
      <c r="N323" s="285" t="n"/>
      <c r="O323" s="285" t="n"/>
      <c r="P323" s="285" t="n"/>
      <c r="Q323" s="285" t="n"/>
      <c r="R323" s="285" t="n"/>
      <c r="S323" s="284" t="n"/>
      <c r="T323" s="284" t="n"/>
      <c r="U323" s="285" t="n"/>
      <c r="V323" s="285" t="n"/>
      <c r="W323" s="285" t="n"/>
      <c r="X323" s="285" t="n"/>
      <c r="Y323" s="285" t="n"/>
      <c r="Z323" s="285" t="n"/>
      <c r="AA323" s="285" t="n"/>
    </row>
    <row r="324" ht="15.75" customHeight="1" s="398">
      <c r="A324" s="284" t="n"/>
      <c r="B324" s="284" t="n"/>
      <c r="C324" s="285" t="n"/>
      <c r="D324" s="284" t="n"/>
      <c r="E324" s="285" t="n"/>
      <c r="F324" s="285" t="n"/>
      <c r="G324" s="336" t="n"/>
      <c r="H324" s="336" t="n"/>
      <c r="I324" s="285" t="n"/>
      <c r="J324" s="285" t="n"/>
      <c r="K324" s="285" t="n"/>
      <c r="L324" s="285" t="n"/>
      <c r="M324" s="285" t="n"/>
      <c r="N324" s="285" t="n"/>
      <c r="O324" s="285" t="n"/>
      <c r="P324" s="285" t="n"/>
      <c r="Q324" s="285" t="n"/>
      <c r="R324" s="285" t="n"/>
      <c r="S324" s="284" t="n"/>
      <c r="T324" s="284" t="n"/>
      <c r="U324" s="285" t="n"/>
      <c r="V324" s="285" t="n"/>
      <c r="W324" s="285" t="n"/>
      <c r="X324" s="285" t="n"/>
      <c r="Y324" s="285" t="n"/>
      <c r="Z324" s="285" t="n"/>
      <c r="AA324" s="285" t="n"/>
    </row>
    <row r="325" ht="15.75" customHeight="1" s="398">
      <c r="A325" s="284" t="n"/>
      <c r="B325" s="284" t="n"/>
      <c r="C325" s="285" t="n"/>
      <c r="D325" s="284" t="n"/>
      <c r="E325" s="285" t="n"/>
      <c r="F325" s="285" t="n"/>
      <c r="G325" s="336" t="n"/>
      <c r="H325" s="336" t="n"/>
      <c r="I325" s="285" t="n"/>
      <c r="J325" s="285" t="n"/>
      <c r="K325" s="285" t="n"/>
      <c r="L325" s="285" t="n"/>
      <c r="M325" s="285" t="n"/>
      <c r="N325" s="285" t="n"/>
      <c r="O325" s="285" t="n"/>
      <c r="P325" s="285" t="n"/>
      <c r="Q325" s="285" t="n"/>
      <c r="R325" s="285" t="n"/>
      <c r="S325" s="284" t="n"/>
      <c r="T325" s="284" t="n"/>
      <c r="U325" s="285" t="n"/>
      <c r="V325" s="285" t="n"/>
      <c r="W325" s="285" t="n"/>
      <c r="X325" s="285" t="n"/>
      <c r="Y325" s="285" t="n"/>
      <c r="Z325" s="285" t="n"/>
      <c r="AA325" s="285" t="n"/>
    </row>
    <row r="326" ht="15.75" customHeight="1" s="398">
      <c r="A326" s="284" t="n"/>
      <c r="B326" s="284" t="n"/>
      <c r="C326" s="285" t="n"/>
      <c r="D326" s="284" t="n"/>
      <c r="E326" s="285" t="n"/>
      <c r="F326" s="285" t="n"/>
      <c r="G326" s="336" t="n"/>
      <c r="H326" s="336" t="n"/>
      <c r="I326" s="285" t="n"/>
      <c r="J326" s="285" t="n"/>
      <c r="K326" s="285" t="n"/>
      <c r="L326" s="285" t="n"/>
      <c r="M326" s="285" t="n"/>
      <c r="N326" s="285" t="n"/>
      <c r="O326" s="285" t="n"/>
      <c r="P326" s="285" t="n"/>
      <c r="Q326" s="285" t="n"/>
      <c r="R326" s="285" t="n"/>
      <c r="S326" s="284" t="n"/>
      <c r="T326" s="284" t="n"/>
      <c r="U326" s="285" t="n"/>
      <c r="V326" s="285" t="n"/>
      <c r="W326" s="285" t="n"/>
      <c r="X326" s="285" t="n"/>
      <c r="Y326" s="285" t="n"/>
      <c r="Z326" s="285" t="n"/>
      <c r="AA326" s="285" t="n"/>
    </row>
    <row r="327" ht="15.75" customHeight="1" s="398">
      <c r="A327" s="284" t="n"/>
      <c r="B327" s="284" t="n"/>
      <c r="C327" s="285" t="n"/>
      <c r="D327" s="284" t="n"/>
      <c r="E327" s="285" t="n"/>
      <c r="F327" s="285" t="n"/>
      <c r="G327" s="336" t="n"/>
      <c r="H327" s="336" t="n"/>
      <c r="I327" s="285" t="n"/>
      <c r="J327" s="285" t="n"/>
      <c r="K327" s="285" t="n"/>
      <c r="L327" s="285" t="n"/>
      <c r="M327" s="285" t="n"/>
      <c r="N327" s="285" t="n"/>
      <c r="O327" s="285" t="n"/>
      <c r="P327" s="285" t="n"/>
      <c r="Q327" s="285" t="n"/>
      <c r="R327" s="285" t="n"/>
      <c r="S327" s="284" t="n"/>
      <c r="T327" s="284" t="n"/>
      <c r="U327" s="285" t="n"/>
      <c r="V327" s="285" t="n"/>
      <c r="W327" s="285" t="n"/>
      <c r="X327" s="285" t="n"/>
      <c r="Y327" s="285" t="n"/>
      <c r="Z327" s="285" t="n"/>
      <c r="AA327" s="285" t="n"/>
    </row>
    <row r="328" ht="15.75" customHeight="1" s="398">
      <c r="A328" s="284" t="n"/>
      <c r="B328" s="284" t="n"/>
      <c r="C328" s="285" t="n"/>
      <c r="D328" s="284" t="n"/>
      <c r="E328" s="285" t="n"/>
      <c r="F328" s="285" t="n"/>
      <c r="G328" s="336" t="n"/>
      <c r="H328" s="336" t="n"/>
      <c r="I328" s="285" t="n"/>
      <c r="J328" s="285" t="n"/>
      <c r="K328" s="285" t="n"/>
      <c r="L328" s="285" t="n"/>
      <c r="M328" s="285" t="n"/>
      <c r="N328" s="285" t="n"/>
      <c r="O328" s="285" t="n"/>
      <c r="P328" s="285" t="n"/>
      <c r="Q328" s="285" t="n"/>
      <c r="R328" s="285" t="n"/>
      <c r="S328" s="284" t="n"/>
      <c r="T328" s="284" t="n"/>
      <c r="U328" s="285" t="n"/>
      <c r="V328" s="285" t="n"/>
      <c r="W328" s="285" t="n"/>
      <c r="X328" s="285" t="n"/>
      <c r="Y328" s="285" t="n"/>
      <c r="Z328" s="285" t="n"/>
      <c r="AA328" s="285" t="n"/>
    </row>
    <row r="329" ht="15.75" customHeight="1" s="398">
      <c r="A329" s="284" t="n"/>
      <c r="B329" s="284" t="n"/>
      <c r="C329" s="285" t="n"/>
      <c r="D329" s="284" t="n"/>
      <c r="E329" s="285" t="n"/>
      <c r="F329" s="285" t="n"/>
      <c r="G329" s="336" t="n"/>
      <c r="H329" s="336" t="n"/>
      <c r="I329" s="285" t="n"/>
      <c r="J329" s="285" t="n"/>
      <c r="K329" s="285" t="n"/>
      <c r="L329" s="285" t="n"/>
      <c r="M329" s="285" t="n"/>
      <c r="N329" s="285" t="n"/>
      <c r="O329" s="285" t="n"/>
      <c r="P329" s="285" t="n"/>
      <c r="Q329" s="285" t="n"/>
      <c r="R329" s="285" t="n"/>
      <c r="S329" s="284" t="n"/>
      <c r="T329" s="284" t="n"/>
      <c r="U329" s="285" t="n"/>
      <c r="V329" s="285" t="n"/>
      <c r="W329" s="285" t="n"/>
      <c r="X329" s="285" t="n"/>
      <c r="Y329" s="285" t="n"/>
      <c r="Z329" s="285" t="n"/>
      <c r="AA329" s="285" t="n"/>
    </row>
    <row r="330" ht="15.75" customHeight="1" s="398">
      <c r="A330" s="284" t="n"/>
      <c r="B330" s="284" t="n"/>
      <c r="C330" s="285" t="n"/>
      <c r="D330" s="284" t="n"/>
      <c r="E330" s="285" t="n"/>
      <c r="F330" s="285" t="n"/>
      <c r="G330" s="336" t="n"/>
      <c r="H330" s="336" t="n"/>
      <c r="I330" s="285" t="n"/>
      <c r="J330" s="285" t="n"/>
      <c r="K330" s="285" t="n"/>
      <c r="L330" s="285" t="n"/>
      <c r="M330" s="285" t="n"/>
      <c r="N330" s="285" t="n"/>
      <c r="O330" s="285" t="n"/>
      <c r="P330" s="285" t="n"/>
      <c r="Q330" s="285" t="n"/>
      <c r="R330" s="285" t="n"/>
      <c r="S330" s="284" t="n"/>
      <c r="T330" s="284" t="n"/>
      <c r="U330" s="285" t="n"/>
      <c r="V330" s="285" t="n"/>
      <c r="W330" s="285" t="n"/>
      <c r="X330" s="285" t="n"/>
      <c r="Y330" s="285" t="n"/>
      <c r="Z330" s="285" t="n"/>
      <c r="AA330" s="285" t="n"/>
    </row>
    <row r="331" ht="15.75" customHeight="1" s="398">
      <c r="A331" s="284" t="n"/>
      <c r="B331" s="284" t="n"/>
      <c r="C331" s="285" t="n"/>
      <c r="D331" s="284" t="n"/>
      <c r="E331" s="285" t="n"/>
      <c r="F331" s="285" t="n"/>
      <c r="G331" s="336" t="n"/>
      <c r="H331" s="336" t="n"/>
      <c r="I331" s="285" t="n"/>
      <c r="J331" s="285" t="n"/>
      <c r="K331" s="285" t="n"/>
      <c r="L331" s="285" t="n"/>
      <c r="M331" s="285" t="n"/>
      <c r="N331" s="285" t="n"/>
      <c r="O331" s="285" t="n"/>
      <c r="P331" s="285" t="n"/>
      <c r="Q331" s="285" t="n"/>
      <c r="R331" s="285" t="n"/>
      <c r="S331" s="284" t="n"/>
      <c r="T331" s="284" t="n"/>
      <c r="U331" s="285" t="n"/>
      <c r="V331" s="285" t="n"/>
      <c r="W331" s="285" t="n"/>
      <c r="X331" s="285" t="n"/>
      <c r="Y331" s="285" t="n"/>
      <c r="Z331" s="285" t="n"/>
      <c r="AA331" s="285" t="n"/>
    </row>
    <row r="332" ht="15.75" customHeight="1" s="398">
      <c r="A332" s="284" t="n"/>
      <c r="B332" s="284" t="n"/>
      <c r="C332" s="285" t="n"/>
      <c r="D332" s="284" t="n"/>
      <c r="E332" s="285" t="n"/>
      <c r="F332" s="285" t="n"/>
      <c r="G332" s="336" t="n"/>
      <c r="H332" s="336" t="n"/>
      <c r="I332" s="285" t="n"/>
      <c r="J332" s="285" t="n"/>
      <c r="K332" s="285" t="n"/>
      <c r="L332" s="285" t="n"/>
      <c r="M332" s="285" t="n"/>
      <c r="N332" s="285" t="n"/>
      <c r="O332" s="285" t="n"/>
      <c r="P332" s="285" t="n"/>
      <c r="Q332" s="285" t="n"/>
      <c r="R332" s="285" t="n"/>
      <c r="S332" s="284" t="n"/>
      <c r="T332" s="284" t="n"/>
      <c r="U332" s="285" t="n"/>
      <c r="V332" s="285" t="n"/>
      <c r="W332" s="285" t="n"/>
      <c r="X332" s="285" t="n"/>
      <c r="Y332" s="285" t="n"/>
      <c r="Z332" s="285" t="n"/>
      <c r="AA332" s="285" t="n"/>
    </row>
    <row r="333" ht="15.75" customHeight="1" s="398">
      <c r="A333" s="284" t="n"/>
      <c r="B333" s="284" t="n"/>
      <c r="C333" s="285" t="n"/>
      <c r="D333" s="284" t="n"/>
      <c r="E333" s="285" t="n"/>
      <c r="F333" s="285" t="n"/>
      <c r="G333" s="336" t="n"/>
      <c r="H333" s="336" t="n"/>
      <c r="I333" s="285" t="n"/>
      <c r="J333" s="285" t="n"/>
      <c r="K333" s="285" t="n"/>
      <c r="L333" s="285" t="n"/>
      <c r="M333" s="285" t="n"/>
      <c r="N333" s="285" t="n"/>
      <c r="O333" s="285" t="n"/>
      <c r="P333" s="285" t="n"/>
      <c r="Q333" s="285" t="n"/>
      <c r="R333" s="285" t="n"/>
      <c r="S333" s="284" t="n"/>
      <c r="T333" s="284" t="n"/>
      <c r="U333" s="285" t="n"/>
      <c r="V333" s="285" t="n"/>
      <c r="W333" s="285" t="n"/>
      <c r="X333" s="285" t="n"/>
      <c r="Y333" s="285" t="n"/>
      <c r="Z333" s="285" t="n"/>
      <c r="AA333" s="285" t="n"/>
    </row>
    <row r="334" ht="15.75" customHeight="1" s="398">
      <c r="A334" s="284" t="n"/>
      <c r="B334" s="284" t="n"/>
      <c r="C334" s="285" t="n"/>
      <c r="D334" s="284" t="n"/>
      <c r="E334" s="285" t="n"/>
      <c r="F334" s="285" t="n"/>
      <c r="G334" s="336" t="n"/>
      <c r="H334" s="336" t="n"/>
      <c r="I334" s="285" t="n"/>
      <c r="J334" s="285" t="n"/>
      <c r="K334" s="285" t="n"/>
      <c r="L334" s="285" t="n"/>
      <c r="M334" s="285" t="n"/>
      <c r="N334" s="285" t="n"/>
      <c r="O334" s="285" t="n"/>
      <c r="P334" s="285" t="n"/>
      <c r="Q334" s="285" t="n"/>
      <c r="R334" s="285" t="n"/>
      <c r="S334" s="284" t="n"/>
      <c r="T334" s="284" t="n"/>
      <c r="U334" s="285" t="n"/>
      <c r="V334" s="285" t="n"/>
      <c r="W334" s="285" t="n"/>
      <c r="X334" s="285" t="n"/>
      <c r="Y334" s="285" t="n"/>
      <c r="Z334" s="285" t="n"/>
      <c r="AA334" s="285" t="n"/>
    </row>
    <row r="335" ht="15.75" customHeight="1" s="398">
      <c r="A335" s="284" t="n"/>
      <c r="B335" s="284" t="n"/>
      <c r="C335" s="285" t="n"/>
      <c r="D335" s="284" t="n"/>
      <c r="E335" s="285" t="n"/>
      <c r="F335" s="285" t="n"/>
      <c r="G335" s="336" t="n"/>
      <c r="H335" s="336" t="n"/>
      <c r="I335" s="285" t="n"/>
      <c r="J335" s="285" t="n"/>
      <c r="K335" s="285" t="n"/>
      <c r="L335" s="285" t="n"/>
      <c r="M335" s="285" t="n"/>
      <c r="N335" s="285" t="n"/>
      <c r="O335" s="285" t="n"/>
      <c r="P335" s="285" t="n"/>
      <c r="Q335" s="285" t="n"/>
      <c r="R335" s="285" t="n"/>
      <c r="S335" s="284" t="n"/>
      <c r="T335" s="284" t="n"/>
      <c r="U335" s="285" t="n"/>
      <c r="V335" s="285" t="n"/>
      <c r="W335" s="285" t="n"/>
      <c r="X335" s="285" t="n"/>
      <c r="Y335" s="285" t="n"/>
      <c r="Z335" s="285" t="n"/>
      <c r="AA335" s="285" t="n"/>
    </row>
    <row r="336" ht="15.75" customHeight="1" s="398">
      <c r="A336" s="284" t="n"/>
      <c r="B336" s="284" t="n"/>
      <c r="C336" s="285" t="n"/>
      <c r="D336" s="284" t="n"/>
      <c r="E336" s="285" t="n"/>
      <c r="F336" s="285" t="n"/>
      <c r="G336" s="336" t="n"/>
      <c r="H336" s="336" t="n"/>
      <c r="I336" s="285" t="n"/>
      <c r="J336" s="285" t="n"/>
      <c r="K336" s="285" t="n"/>
      <c r="L336" s="285" t="n"/>
      <c r="M336" s="285" t="n"/>
      <c r="N336" s="285" t="n"/>
      <c r="O336" s="285" t="n"/>
      <c r="P336" s="285" t="n"/>
      <c r="Q336" s="285" t="n"/>
      <c r="R336" s="285" t="n"/>
      <c r="S336" s="284" t="n"/>
      <c r="T336" s="284" t="n"/>
      <c r="U336" s="285" t="n"/>
      <c r="V336" s="285" t="n"/>
      <c r="W336" s="285" t="n"/>
      <c r="X336" s="285" t="n"/>
      <c r="Y336" s="285" t="n"/>
      <c r="Z336" s="285" t="n"/>
      <c r="AA336" s="285" t="n"/>
    </row>
    <row r="337" ht="15.75" customHeight="1" s="398">
      <c r="A337" s="284" t="n"/>
      <c r="B337" s="284" t="n"/>
      <c r="C337" s="285" t="n"/>
      <c r="D337" s="284" t="n"/>
      <c r="E337" s="285" t="n"/>
      <c r="F337" s="285" t="n"/>
      <c r="G337" s="336" t="n"/>
      <c r="H337" s="336" t="n"/>
      <c r="I337" s="285" t="n"/>
      <c r="J337" s="285" t="n"/>
      <c r="K337" s="285" t="n"/>
      <c r="L337" s="285" t="n"/>
      <c r="M337" s="285" t="n"/>
      <c r="N337" s="285" t="n"/>
      <c r="O337" s="285" t="n"/>
      <c r="P337" s="285" t="n"/>
      <c r="Q337" s="285" t="n"/>
      <c r="R337" s="285" t="n"/>
      <c r="S337" s="284" t="n"/>
      <c r="T337" s="284" t="n"/>
      <c r="U337" s="285" t="n"/>
      <c r="V337" s="285" t="n"/>
      <c r="W337" s="285" t="n"/>
      <c r="X337" s="285" t="n"/>
      <c r="Y337" s="285" t="n"/>
      <c r="Z337" s="285" t="n"/>
      <c r="AA337" s="285" t="n"/>
    </row>
    <row r="338" ht="15.75" customHeight="1" s="398">
      <c r="A338" s="284" t="n"/>
      <c r="B338" s="284" t="n"/>
      <c r="C338" s="285" t="n"/>
      <c r="D338" s="284" t="n"/>
      <c r="E338" s="285" t="n"/>
      <c r="F338" s="285" t="n"/>
      <c r="G338" s="336" t="n"/>
      <c r="H338" s="336" t="n"/>
      <c r="I338" s="285" t="n"/>
      <c r="J338" s="285" t="n"/>
      <c r="K338" s="285" t="n"/>
      <c r="L338" s="285" t="n"/>
      <c r="M338" s="285" t="n"/>
      <c r="N338" s="285" t="n"/>
      <c r="O338" s="285" t="n"/>
      <c r="P338" s="285" t="n"/>
      <c r="Q338" s="285" t="n"/>
      <c r="R338" s="285" t="n"/>
      <c r="S338" s="284" t="n"/>
      <c r="T338" s="284" t="n"/>
      <c r="U338" s="285" t="n"/>
      <c r="V338" s="285" t="n"/>
      <c r="W338" s="285" t="n"/>
      <c r="X338" s="285" t="n"/>
      <c r="Y338" s="285" t="n"/>
      <c r="Z338" s="285" t="n"/>
      <c r="AA338" s="285" t="n"/>
    </row>
    <row r="339" ht="15.75" customHeight="1" s="398">
      <c r="A339" s="284" t="n"/>
      <c r="B339" s="284" t="n"/>
      <c r="C339" s="285" t="n"/>
      <c r="D339" s="284" t="n"/>
      <c r="E339" s="285" t="n"/>
      <c r="F339" s="285" t="n"/>
      <c r="G339" s="336" t="n"/>
      <c r="H339" s="336" t="n"/>
      <c r="I339" s="285" t="n"/>
      <c r="J339" s="285" t="n"/>
      <c r="K339" s="285" t="n"/>
      <c r="L339" s="285" t="n"/>
      <c r="M339" s="285" t="n"/>
      <c r="N339" s="285" t="n"/>
      <c r="O339" s="285" t="n"/>
      <c r="P339" s="285" t="n"/>
      <c r="Q339" s="285" t="n"/>
      <c r="R339" s="285" t="n"/>
      <c r="S339" s="284" t="n"/>
      <c r="T339" s="284" t="n"/>
      <c r="U339" s="285" t="n"/>
      <c r="V339" s="285" t="n"/>
      <c r="W339" s="285" t="n"/>
      <c r="X339" s="285" t="n"/>
      <c r="Y339" s="285" t="n"/>
      <c r="Z339" s="285" t="n"/>
      <c r="AA339" s="285" t="n"/>
    </row>
    <row r="340" ht="15.75" customHeight="1" s="398">
      <c r="A340" s="284" t="n"/>
      <c r="B340" s="284" t="n"/>
      <c r="C340" s="285" t="n"/>
      <c r="D340" s="284" t="n"/>
      <c r="E340" s="285" t="n"/>
      <c r="F340" s="285" t="n"/>
      <c r="G340" s="336" t="n"/>
      <c r="H340" s="336" t="n"/>
      <c r="I340" s="285" t="n"/>
      <c r="J340" s="285" t="n"/>
      <c r="K340" s="285" t="n"/>
      <c r="L340" s="285" t="n"/>
      <c r="M340" s="285" t="n"/>
      <c r="N340" s="285" t="n"/>
      <c r="O340" s="285" t="n"/>
      <c r="P340" s="285" t="n"/>
      <c r="Q340" s="285" t="n"/>
      <c r="R340" s="285" t="n"/>
      <c r="S340" s="284" t="n"/>
      <c r="T340" s="284" t="n"/>
      <c r="U340" s="285" t="n"/>
      <c r="V340" s="285" t="n"/>
      <c r="W340" s="285" t="n"/>
      <c r="X340" s="285" t="n"/>
      <c r="Y340" s="285" t="n"/>
      <c r="Z340" s="285" t="n"/>
      <c r="AA340" s="285" t="n"/>
    </row>
    <row r="341" ht="15.75" customHeight="1" s="398">
      <c r="A341" s="284" t="n"/>
      <c r="B341" s="284" t="n"/>
      <c r="C341" s="285" t="n"/>
      <c r="D341" s="284" t="n"/>
      <c r="E341" s="285" t="n"/>
      <c r="F341" s="285" t="n"/>
      <c r="G341" s="336" t="n"/>
      <c r="H341" s="336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85" t="n"/>
      <c r="S341" s="284" t="n"/>
      <c r="T341" s="284" t="n"/>
      <c r="U341" s="285" t="n"/>
      <c r="V341" s="285" t="n"/>
      <c r="W341" s="285" t="n"/>
      <c r="X341" s="285" t="n"/>
      <c r="Y341" s="285" t="n"/>
      <c r="Z341" s="285" t="n"/>
      <c r="AA341" s="285" t="n"/>
    </row>
    <row r="342" ht="15.75" customHeight="1" s="398">
      <c r="A342" s="284" t="n"/>
      <c r="B342" s="284" t="n"/>
      <c r="C342" s="285" t="n"/>
      <c r="D342" s="284" t="n"/>
      <c r="E342" s="285" t="n"/>
      <c r="F342" s="285" t="n"/>
      <c r="G342" s="336" t="n"/>
      <c r="H342" s="336" t="n"/>
      <c r="I342" s="285" t="n"/>
      <c r="J342" s="285" t="n"/>
      <c r="K342" s="285" t="n"/>
      <c r="L342" s="285" t="n"/>
      <c r="M342" s="285" t="n"/>
      <c r="N342" s="285" t="n"/>
      <c r="O342" s="285" t="n"/>
      <c r="P342" s="285" t="n"/>
      <c r="Q342" s="285" t="n"/>
      <c r="R342" s="285" t="n"/>
      <c r="S342" s="284" t="n"/>
      <c r="T342" s="284" t="n"/>
      <c r="U342" s="285" t="n"/>
      <c r="V342" s="285" t="n"/>
      <c r="W342" s="285" t="n"/>
      <c r="X342" s="285" t="n"/>
      <c r="Y342" s="285" t="n"/>
      <c r="Z342" s="285" t="n"/>
      <c r="AA342" s="285" t="n"/>
    </row>
    <row r="343" ht="15.75" customHeight="1" s="398">
      <c r="A343" s="284" t="n"/>
      <c r="B343" s="284" t="n"/>
      <c r="C343" s="285" t="n"/>
      <c r="D343" s="284" t="n"/>
      <c r="E343" s="285" t="n"/>
      <c r="F343" s="285" t="n"/>
      <c r="G343" s="336" t="n"/>
      <c r="H343" s="336" t="n"/>
      <c r="I343" s="285" t="n"/>
      <c r="J343" s="285" t="n"/>
      <c r="K343" s="285" t="n"/>
      <c r="L343" s="285" t="n"/>
      <c r="M343" s="285" t="n"/>
      <c r="N343" s="285" t="n"/>
      <c r="O343" s="285" t="n"/>
      <c r="P343" s="285" t="n"/>
      <c r="Q343" s="285" t="n"/>
      <c r="R343" s="285" t="n"/>
      <c r="S343" s="284" t="n"/>
      <c r="T343" s="284" t="n"/>
      <c r="U343" s="285" t="n"/>
      <c r="V343" s="285" t="n"/>
      <c r="W343" s="285" t="n"/>
      <c r="X343" s="285" t="n"/>
      <c r="Y343" s="285" t="n"/>
      <c r="Z343" s="285" t="n"/>
      <c r="AA343" s="285" t="n"/>
    </row>
    <row r="344" ht="15.75" customHeight="1" s="398">
      <c r="A344" s="284" t="n"/>
      <c r="B344" s="284" t="n"/>
      <c r="C344" s="285" t="n"/>
      <c r="D344" s="284" t="n"/>
      <c r="E344" s="285" t="n"/>
      <c r="F344" s="285" t="n"/>
      <c r="G344" s="336" t="n"/>
      <c r="H344" s="336" t="n"/>
      <c r="I344" s="285" t="n"/>
      <c r="J344" s="285" t="n"/>
      <c r="K344" s="285" t="n"/>
      <c r="L344" s="285" t="n"/>
      <c r="M344" s="285" t="n"/>
      <c r="N344" s="285" t="n"/>
      <c r="O344" s="285" t="n"/>
      <c r="P344" s="285" t="n"/>
      <c r="Q344" s="285" t="n"/>
      <c r="R344" s="285" t="n"/>
      <c r="S344" s="284" t="n"/>
      <c r="T344" s="284" t="n"/>
      <c r="U344" s="285" t="n"/>
      <c r="V344" s="285" t="n"/>
      <c r="W344" s="285" t="n"/>
      <c r="X344" s="285" t="n"/>
      <c r="Y344" s="285" t="n"/>
      <c r="Z344" s="285" t="n"/>
      <c r="AA344" s="285" t="n"/>
    </row>
    <row r="345" ht="15.75" customHeight="1" s="398">
      <c r="A345" s="284" t="n"/>
      <c r="B345" s="284" t="n"/>
      <c r="C345" s="285" t="n"/>
      <c r="D345" s="284" t="n"/>
      <c r="E345" s="285" t="n"/>
      <c r="F345" s="285" t="n"/>
      <c r="G345" s="336" t="n"/>
      <c r="H345" s="336" t="n"/>
      <c r="I345" s="285" t="n"/>
      <c r="J345" s="285" t="n"/>
      <c r="K345" s="285" t="n"/>
      <c r="L345" s="285" t="n"/>
      <c r="M345" s="285" t="n"/>
      <c r="N345" s="285" t="n"/>
      <c r="O345" s="285" t="n"/>
      <c r="P345" s="285" t="n"/>
      <c r="Q345" s="285" t="n"/>
      <c r="R345" s="285" t="n"/>
      <c r="S345" s="284" t="n"/>
      <c r="T345" s="284" t="n"/>
      <c r="U345" s="285" t="n"/>
      <c r="V345" s="285" t="n"/>
      <c r="W345" s="285" t="n"/>
      <c r="X345" s="285" t="n"/>
      <c r="Y345" s="285" t="n"/>
      <c r="Z345" s="285" t="n"/>
      <c r="AA345" s="285" t="n"/>
    </row>
    <row r="346" ht="15.75" customHeight="1" s="398">
      <c r="A346" s="284" t="n"/>
      <c r="B346" s="284" t="n"/>
      <c r="C346" s="285" t="n"/>
      <c r="D346" s="284" t="n"/>
      <c r="E346" s="285" t="n"/>
      <c r="F346" s="285" t="n"/>
      <c r="G346" s="336" t="n"/>
      <c r="H346" s="336" t="n"/>
      <c r="I346" s="285" t="n"/>
      <c r="J346" s="285" t="n"/>
      <c r="K346" s="285" t="n"/>
      <c r="L346" s="285" t="n"/>
      <c r="M346" s="285" t="n"/>
      <c r="N346" s="285" t="n"/>
      <c r="O346" s="285" t="n"/>
      <c r="P346" s="285" t="n"/>
      <c r="Q346" s="285" t="n"/>
      <c r="R346" s="285" t="n"/>
      <c r="S346" s="284" t="n"/>
      <c r="T346" s="284" t="n"/>
      <c r="U346" s="285" t="n"/>
      <c r="V346" s="285" t="n"/>
      <c r="W346" s="285" t="n"/>
      <c r="X346" s="285" t="n"/>
      <c r="Y346" s="285" t="n"/>
      <c r="Z346" s="285" t="n"/>
      <c r="AA346" s="285" t="n"/>
    </row>
    <row r="347" ht="15.75" customHeight="1" s="398">
      <c r="A347" s="284" t="n"/>
      <c r="B347" s="284" t="n"/>
      <c r="C347" s="285" t="n"/>
      <c r="D347" s="284" t="n"/>
      <c r="E347" s="285" t="n"/>
      <c r="F347" s="285" t="n"/>
      <c r="G347" s="336" t="n"/>
      <c r="H347" s="336" t="n"/>
      <c r="I347" s="285" t="n"/>
      <c r="J347" s="285" t="n"/>
      <c r="K347" s="285" t="n"/>
      <c r="L347" s="285" t="n"/>
      <c r="M347" s="285" t="n"/>
      <c r="N347" s="285" t="n"/>
      <c r="O347" s="285" t="n"/>
      <c r="P347" s="285" t="n"/>
      <c r="Q347" s="285" t="n"/>
      <c r="R347" s="285" t="n"/>
      <c r="S347" s="284" t="n"/>
      <c r="T347" s="284" t="n"/>
      <c r="U347" s="285" t="n"/>
      <c r="V347" s="285" t="n"/>
      <c r="W347" s="285" t="n"/>
      <c r="X347" s="285" t="n"/>
      <c r="Y347" s="285" t="n"/>
      <c r="Z347" s="285" t="n"/>
      <c r="AA347" s="285" t="n"/>
    </row>
    <row r="348" ht="15.75" customHeight="1" s="398">
      <c r="A348" s="284" t="n"/>
      <c r="B348" s="284" t="n"/>
      <c r="C348" s="285" t="n"/>
      <c r="D348" s="284" t="n"/>
      <c r="E348" s="285" t="n"/>
      <c r="F348" s="285" t="n"/>
      <c r="G348" s="336" t="n"/>
      <c r="H348" s="336" t="n"/>
      <c r="I348" s="285" t="n"/>
      <c r="J348" s="285" t="n"/>
      <c r="K348" s="285" t="n"/>
      <c r="L348" s="285" t="n"/>
      <c r="M348" s="285" t="n"/>
      <c r="N348" s="285" t="n"/>
      <c r="O348" s="285" t="n"/>
      <c r="P348" s="285" t="n"/>
      <c r="Q348" s="285" t="n"/>
      <c r="R348" s="285" t="n"/>
      <c r="S348" s="284" t="n"/>
      <c r="T348" s="284" t="n"/>
      <c r="U348" s="285" t="n"/>
      <c r="V348" s="285" t="n"/>
      <c r="W348" s="285" t="n"/>
      <c r="X348" s="285" t="n"/>
      <c r="Y348" s="285" t="n"/>
      <c r="Z348" s="285" t="n"/>
      <c r="AA348" s="285" t="n"/>
    </row>
    <row r="349" ht="15.75" customHeight="1" s="398">
      <c r="A349" s="284" t="n"/>
      <c r="B349" s="284" t="n"/>
      <c r="C349" s="285" t="n"/>
      <c r="D349" s="284" t="n"/>
      <c r="E349" s="285" t="n"/>
      <c r="F349" s="285" t="n"/>
      <c r="G349" s="336" t="n"/>
      <c r="H349" s="336" t="n"/>
      <c r="I349" s="285" t="n"/>
      <c r="J349" s="285" t="n"/>
      <c r="K349" s="285" t="n"/>
      <c r="L349" s="285" t="n"/>
      <c r="M349" s="285" t="n"/>
      <c r="N349" s="285" t="n"/>
      <c r="O349" s="285" t="n"/>
      <c r="P349" s="285" t="n"/>
      <c r="Q349" s="285" t="n"/>
      <c r="R349" s="285" t="n"/>
      <c r="S349" s="284" t="n"/>
      <c r="T349" s="284" t="n"/>
      <c r="U349" s="285" t="n"/>
      <c r="V349" s="285" t="n"/>
      <c r="W349" s="285" t="n"/>
      <c r="X349" s="285" t="n"/>
      <c r="Y349" s="285" t="n"/>
      <c r="Z349" s="285" t="n"/>
      <c r="AA349" s="285" t="n"/>
    </row>
    <row r="350" ht="15.75" customHeight="1" s="398">
      <c r="A350" s="284" t="n"/>
      <c r="B350" s="284" t="n"/>
      <c r="C350" s="285" t="n"/>
      <c r="D350" s="284" t="n"/>
      <c r="E350" s="285" t="n"/>
      <c r="F350" s="285" t="n"/>
      <c r="G350" s="336" t="n"/>
      <c r="H350" s="336" t="n"/>
      <c r="I350" s="285" t="n"/>
      <c r="J350" s="285" t="n"/>
      <c r="K350" s="285" t="n"/>
      <c r="L350" s="285" t="n"/>
      <c r="M350" s="285" t="n"/>
      <c r="N350" s="285" t="n"/>
      <c r="O350" s="285" t="n"/>
      <c r="P350" s="285" t="n"/>
      <c r="Q350" s="285" t="n"/>
      <c r="R350" s="285" t="n"/>
      <c r="S350" s="284" t="n"/>
      <c r="T350" s="284" t="n"/>
      <c r="U350" s="285" t="n"/>
      <c r="V350" s="285" t="n"/>
      <c r="W350" s="285" t="n"/>
      <c r="X350" s="285" t="n"/>
      <c r="Y350" s="285" t="n"/>
      <c r="Z350" s="285" t="n"/>
      <c r="AA350" s="285" t="n"/>
    </row>
    <row r="351" ht="15.75" customHeight="1" s="398">
      <c r="A351" s="284" t="n"/>
      <c r="B351" s="284" t="n"/>
      <c r="C351" s="285" t="n"/>
      <c r="D351" s="284" t="n"/>
      <c r="E351" s="285" t="n"/>
      <c r="F351" s="285" t="n"/>
      <c r="G351" s="336" t="n"/>
      <c r="H351" s="336" t="n"/>
      <c r="I351" s="285" t="n"/>
      <c r="J351" s="285" t="n"/>
      <c r="K351" s="285" t="n"/>
      <c r="L351" s="285" t="n"/>
      <c r="M351" s="285" t="n"/>
      <c r="N351" s="285" t="n"/>
      <c r="O351" s="285" t="n"/>
      <c r="P351" s="285" t="n"/>
      <c r="Q351" s="285" t="n"/>
      <c r="R351" s="285" t="n"/>
      <c r="S351" s="284" t="n"/>
      <c r="T351" s="284" t="n"/>
      <c r="U351" s="285" t="n"/>
      <c r="V351" s="285" t="n"/>
      <c r="W351" s="285" t="n"/>
      <c r="X351" s="285" t="n"/>
      <c r="Y351" s="285" t="n"/>
      <c r="Z351" s="285" t="n"/>
      <c r="AA351" s="285" t="n"/>
    </row>
    <row r="352" ht="15.75" customHeight="1" s="398">
      <c r="A352" s="284" t="n"/>
      <c r="B352" s="284" t="n"/>
      <c r="C352" s="285" t="n"/>
      <c r="D352" s="284" t="n"/>
      <c r="E352" s="285" t="n"/>
      <c r="F352" s="285" t="n"/>
      <c r="G352" s="336" t="n"/>
      <c r="H352" s="336" t="n"/>
      <c r="I352" s="285" t="n"/>
      <c r="J352" s="285" t="n"/>
      <c r="K352" s="285" t="n"/>
      <c r="L352" s="285" t="n"/>
      <c r="M352" s="285" t="n"/>
      <c r="N352" s="285" t="n"/>
      <c r="O352" s="285" t="n"/>
      <c r="P352" s="285" t="n"/>
      <c r="Q352" s="285" t="n"/>
      <c r="R352" s="285" t="n"/>
      <c r="S352" s="284" t="n"/>
      <c r="T352" s="284" t="n"/>
      <c r="U352" s="285" t="n"/>
      <c r="V352" s="285" t="n"/>
      <c r="W352" s="285" t="n"/>
      <c r="X352" s="285" t="n"/>
      <c r="Y352" s="285" t="n"/>
      <c r="Z352" s="285" t="n"/>
      <c r="AA352" s="285" t="n"/>
    </row>
    <row r="353" ht="15.75" customHeight="1" s="398">
      <c r="A353" s="284" t="n"/>
      <c r="B353" s="284" t="n"/>
      <c r="C353" s="285" t="n"/>
      <c r="D353" s="284" t="n"/>
      <c r="E353" s="285" t="n"/>
      <c r="F353" s="285" t="n"/>
      <c r="G353" s="336" t="n"/>
      <c r="H353" s="336" t="n"/>
      <c r="I353" s="285" t="n"/>
      <c r="J353" s="285" t="n"/>
      <c r="K353" s="285" t="n"/>
      <c r="L353" s="285" t="n"/>
      <c r="M353" s="285" t="n"/>
      <c r="N353" s="285" t="n"/>
      <c r="O353" s="285" t="n"/>
      <c r="P353" s="285" t="n"/>
      <c r="Q353" s="285" t="n"/>
      <c r="R353" s="285" t="n"/>
      <c r="S353" s="284" t="n"/>
      <c r="T353" s="284" t="n"/>
      <c r="U353" s="285" t="n"/>
      <c r="V353" s="285" t="n"/>
      <c r="W353" s="285" t="n"/>
      <c r="X353" s="285" t="n"/>
      <c r="Y353" s="285" t="n"/>
      <c r="Z353" s="285" t="n"/>
      <c r="AA353" s="285" t="n"/>
    </row>
    <row r="354" ht="15.75" customHeight="1" s="398">
      <c r="A354" s="284" t="n"/>
      <c r="B354" s="284" t="n"/>
      <c r="C354" s="285" t="n"/>
      <c r="D354" s="284" t="n"/>
      <c r="E354" s="285" t="n"/>
      <c r="F354" s="285" t="n"/>
      <c r="G354" s="336" t="n"/>
      <c r="H354" s="336" t="n"/>
      <c r="I354" s="285" t="n"/>
      <c r="J354" s="285" t="n"/>
      <c r="K354" s="285" t="n"/>
      <c r="L354" s="285" t="n"/>
      <c r="M354" s="285" t="n"/>
      <c r="N354" s="285" t="n"/>
      <c r="O354" s="285" t="n"/>
      <c r="P354" s="285" t="n"/>
      <c r="Q354" s="285" t="n"/>
      <c r="R354" s="285" t="n"/>
      <c r="S354" s="284" t="n"/>
      <c r="T354" s="284" t="n"/>
      <c r="U354" s="285" t="n"/>
      <c r="V354" s="285" t="n"/>
      <c r="W354" s="285" t="n"/>
      <c r="X354" s="285" t="n"/>
      <c r="Y354" s="285" t="n"/>
      <c r="Z354" s="285" t="n"/>
      <c r="AA354" s="285" t="n"/>
    </row>
    <row r="355" ht="15.75" customHeight="1" s="398">
      <c r="A355" s="284" t="n"/>
      <c r="B355" s="284" t="n"/>
      <c r="C355" s="285" t="n"/>
      <c r="D355" s="284" t="n"/>
      <c r="E355" s="285" t="n"/>
      <c r="F355" s="285" t="n"/>
      <c r="G355" s="336" t="n"/>
      <c r="H355" s="336" t="n"/>
      <c r="I355" s="285" t="n"/>
      <c r="J355" s="285" t="n"/>
      <c r="K355" s="285" t="n"/>
      <c r="L355" s="285" t="n"/>
      <c r="M355" s="285" t="n"/>
      <c r="N355" s="285" t="n"/>
      <c r="O355" s="285" t="n"/>
      <c r="P355" s="285" t="n"/>
      <c r="Q355" s="285" t="n"/>
      <c r="R355" s="285" t="n"/>
      <c r="S355" s="284" t="n"/>
      <c r="T355" s="284" t="n"/>
      <c r="U355" s="285" t="n"/>
      <c r="V355" s="285" t="n"/>
      <c r="W355" s="285" t="n"/>
      <c r="X355" s="285" t="n"/>
      <c r="Y355" s="285" t="n"/>
      <c r="Z355" s="285" t="n"/>
      <c r="AA355" s="285" t="n"/>
    </row>
    <row r="356" ht="15.75" customHeight="1" s="398">
      <c r="A356" s="284" t="n"/>
      <c r="B356" s="284" t="n"/>
      <c r="C356" s="285" t="n"/>
      <c r="D356" s="284" t="n"/>
      <c r="E356" s="285" t="n"/>
      <c r="F356" s="285" t="n"/>
      <c r="G356" s="336" t="n"/>
      <c r="H356" s="336" t="n"/>
      <c r="I356" s="285" t="n"/>
      <c r="J356" s="285" t="n"/>
      <c r="K356" s="285" t="n"/>
      <c r="L356" s="285" t="n"/>
      <c r="M356" s="285" t="n"/>
      <c r="N356" s="285" t="n"/>
      <c r="O356" s="285" t="n"/>
      <c r="P356" s="285" t="n"/>
      <c r="Q356" s="285" t="n"/>
      <c r="R356" s="285" t="n"/>
      <c r="S356" s="284" t="n"/>
      <c r="T356" s="284" t="n"/>
      <c r="U356" s="285" t="n"/>
      <c r="V356" s="285" t="n"/>
      <c r="W356" s="285" t="n"/>
      <c r="X356" s="285" t="n"/>
      <c r="Y356" s="285" t="n"/>
      <c r="Z356" s="285" t="n"/>
      <c r="AA356" s="285" t="n"/>
    </row>
    <row r="357" ht="15.75" customHeight="1" s="398">
      <c r="A357" s="284" t="n"/>
      <c r="B357" s="284" t="n"/>
      <c r="C357" s="285" t="n"/>
      <c r="D357" s="284" t="n"/>
      <c r="E357" s="285" t="n"/>
      <c r="F357" s="285" t="n"/>
      <c r="G357" s="336" t="n"/>
      <c r="H357" s="336" t="n"/>
      <c r="I357" s="285" t="n"/>
      <c r="J357" s="285" t="n"/>
      <c r="K357" s="285" t="n"/>
      <c r="L357" s="285" t="n"/>
      <c r="M357" s="285" t="n"/>
      <c r="N357" s="285" t="n"/>
      <c r="O357" s="285" t="n"/>
      <c r="P357" s="285" t="n"/>
      <c r="Q357" s="285" t="n"/>
      <c r="R357" s="285" t="n"/>
      <c r="S357" s="284" t="n"/>
      <c r="T357" s="284" t="n"/>
      <c r="U357" s="285" t="n"/>
      <c r="V357" s="285" t="n"/>
      <c r="W357" s="285" t="n"/>
      <c r="X357" s="285" t="n"/>
      <c r="Y357" s="285" t="n"/>
      <c r="Z357" s="285" t="n"/>
      <c r="AA357" s="285" t="n"/>
    </row>
    <row r="358" ht="15.75" customHeight="1" s="398">
      <c r="A358" s="284" t="n"/>
      <c r="B358" s="284" t="n"/>
      <c r="C358" s="285" t="n"/>
      <c r="D358" s="284" t="n"/>
      <c r="E358" s="285" t="n"/>
      <c r="F358" s="285" t="n"/>
      <c r="G358" s="336" t="n"/>
      <c r="H358" s="336" t="n"/>
      <c r="I358" s="285" t="n"/>
      <c r="J358" s="285" t="n"/>
      <c r="K358" s="285" t="n"/>
      <c r="L358" s="285" t="n"/>
      <c r="M358" s="285" t="n"/>
      <c r="N358" s="285" t="n"/>
      <c r="O358" s="285" t="n"/>
      <c r="P358" s="285" t="n"/>
      <c r="Q358" s="285" t="n"/>
      <c r="R358" s="285" t="n"/>
      <c r="S358" s="284" t="n"/>
      <c r="T358" s="284" t="n"/>
      <c r="U358" s="285" t="n"/>
      <c r="V358" s="285" t="n"/>
      <c r="W358" s="285" t="n"/>
      <c r="X358" s="285" t="n"/>
      <c r="Y358" s="285" t="n"/>
      <c r="Z358" s="285" t="n"/>
      <c r="AA358" s="285" t="n"/>
    </row>
    <row r="359" ht="15.75" customHeight="1" s="398">
      <c r="A359" s="284" t="n"/>
      <c r="B359" s="284" t="n"/>
      <c r="C359" s="285" t="n"/>
      <c r="D359" s="284" t="n"/>
      <c r="E359" s="285" t="n"/>
      <c r="F359" s="285" t="n"/>
      <c r="G359" s="336" t="n"/>
      <c r="H359" s="336" t="n"/>
      <c r="I359" s="285" t="n"/>
      <c r="J359" s="285" t="n"/>
      <c r="K359" s="285" t="n"/>
      <c r="L359" s="285" t="n"/>
      <c r="M359" s="285" t="n"/>
      <c r="N359" s="285" t="n"/>
      <c r="O359" s="285" t="n"/>
      <c r="P359" s="285" t="n"/>
      <c r="Q359" s="285" t="n"/>
      <c r="R359" s="285" t="n"/>
      <c r="S359" s="284" t="n"/>
      <c r="T359" s="284" t="n"/>
      <c r="U359" s="285" t="n"/>
      <c r="V359" s="285" t="n"/>
      <c r="W359" s="285" t="n"/>
      <c r="X359" s="285" t="n"/>
      <c r="Y359" s="285" t="n"/>
      <c r="Z359" s="285" t="n"/>
      <c r="AA359" s="285" t="n"/>
    </row>
    <row r="360" ht="15.75" customHeight="1" s="398">
      <c r="A360" s="284" t="n"/>
      <c r="B360" s="284" t="n"/>
      <c r="C360" s="285" t="n"/>
      <c r="D360" s="284" t="n"/>
      <c r="E360" s="285" t="n"/>
      <c r="F360" s="285" t="n"/>
      <c r="G360" s="336" t="n"/>
      <c r="H360" s="336" t="n"/>
      <c r="I360" s="285" t="n"/>
      <c r="J360" s="285" t="n"/>
      <c r="K360" s="285" t="n"/>
      <c r="L360" s="285" t="n"/>
      <c r="M360" s="285" t="n"/>
      <c r="N360" s="285" t="n"/>
      <c r="O360" s="285" t="n"/>
      <c r="P360" s="285" t="n"/>
      <c r="Q360" s="285" t="n"/>
      <c r="R360" s="285" t="n"/>
      <c r="S360" s="284" t="n"/>
      <c r="T360" s="284" t="n"/>
      <c r="U360" s="285" t="n"/>
      <c r="V360" s="285" t="n"/>
      <c r="W360" s="285" t="n"/>
      <c r="X360" s="285" t="n"/>
      <c r="Y360" s="285" t="n"/>
      <c r="Z360" s="285" t="n"/>
      <c r="AA360" s="285" t="n"/>
    </row>
    <row r="361" ht="15.75" customHeight="1" s="398">
      <c r="A361" s="284" t="n"/>
      <c r="B361" s="284" t="n"/>
      <c r="C361" s="285" t="n"/>
      <c r="D361" s="284" t="n"/>
      <c r="E361" s="285" t="n"/>
      <c r="F361" s="285" t="n"/>
      <c r="G361" s="336" t="n"/>
      <c r="H361" s="336" t="n"/>
      <c r="I361" s="285" t="n"/>
      <c r="J361" s="285" t="n"/>
      <c r="K361" s="285" t="n"/>
      <c r="L361" s="285" t="n"/>
      <c r="M361" s="285" t="n"/>
      <c r="N361" s="285" t="n"/>
      <c r="O361" s="285" t="n"/>
      <c r="P361" s="285" t="n"/>
      <c r="Q361" s="285" t="n"/>
      <c r="R361" s="285" t="n"/>
      <c r="S361" s="284" t="n"/>
      <c r="T361" s="284" t="n"/>
      <c r="U361" s="285" t="n"/>
      <c r="V361" s="285" t="n"/>
      <c r="W361" s="285" t="n"/>
      <c r="X361" s="285" t="n"/>
      <c r="Y361" s="285" t="n"/>
      <c r="Z361" s="285" t="n"/>
      <c r="AA361" s="285" t="n"/>
    </row>
    <row r="362" ht="15.75" customHeight="1" s="398">
      <c r="A362" s="284" t="n"/>
      <c r="B362" s="284" t="n"/>
      <c r="C362" s="285" t="n"/>
      <c r="D362" s="284" t="n"/>
      <c r="E362" s="285" t="n"/>
      <c r="F362" s="285" t="n"/>
      <c r="G362" s="336" t="n"/>
      <c r="H362" s="336" t="n"/>
      <c r="I362" s="285" t="n"/>
      <c r="J362" s="285" t="n"/>
      <c r="K362" s="285" t="n"/>
      <c r="L362" s="285" t="n"/>
      <c r="M362" s="285" t="n"/>
      <c r="N362" s="285" t="n"/>
      <c r="O362" s="285" t="n"/>
      <c r="P362" s="285" t="n"/>
      <c r="Q362" s="285" t="n"/>
      <c r="R362" s="285" t="n"/>
      <c r="S362" s="284" t="n"/>
      <c r="T362" s="284" t="n"/>
      <c r="U362" s="285" t="n"/>
      <c r="V362" s="285" t="n"/>
      <c r="W362" s="285" t="n"/>
      <c r="X362" s="285" t="n"/>
      <c r="Y362" s="285" t="n"/>
      <c r="Z362" s="285" t="n"/>
      <c r="AA362" s="285" t="n"/>
    </row>
    <row r="363" ht="15.75" customHeight="1" s="398">
      <c r="A363" s="284" t="n"/>
      <c r="B363" s="284" t="n"/>
      <c r="C363" s="285" t="n"/>
      <c r="D363" s="284" t="n"/>
      <c r="E363" s="285" t="n"/>
      <c r="F363" s="285" t="n"/>
      <c r="G363" s="336" t="n"/>
      <c r="H363" s="336" t="n"/>
      <c r="I363" s="285" t="n"/>
      <c r="J363" s="285" t="n"/>
      <c r="K363" s="285" t="n"/>
      <c r="L363" s="285" t="n"/>
      <c r="M363" s="285" t="n"/>
      <c r="N363" s="285" t="n"/>
      <c r="O363" s="285" t="n"/>
      <c r="P363" s="285" t="n"/>
      <c r="Q363" s="285" t="n"/>
      <c r="R363" s="285" t="n"/>
      <c r="S363" s="284" t="n"/>
      <c r="T363" s="284" t="n"/>
      <c r="U363" s="285" t="n"/>
      <c r="V363" s="285" t="n"/>
      <c r="W363" s="285" t="n"/>
      <c r="X363" s="285" t="n"/>
      <c r="Y363" s="285" t="n"/>
      <c r="Z363" s="285" t="n"/>
      <c r="AA363" s="285" t="n"/>
    </row>
    <row r="364" ht="15.75" customHeight="1" s="398">
      <c r="A364" s="284" t="n"/>
      <c r="B364" s="284" t="n"/>
      <c r="C364" s="285" t="n"/>
      <c r="D364" s="284" t="n"/>
      <c r="E364" s="285" t="n"/>
      <c r="F364" s="285" t="n"/>
      <c r="G364" s="336" t="n"/>
      <c r="H364" s="336" t="n"/>
      <c r="I364" s="285" t="n"/>
      <c r="J364" s="285" t="n"/>
      <c r="K364" s="285" t="n"/>
      <c r="L364" s="285" t="n"/>
      <c r="M364" s="285" t="n"/>
      <c r="N364" s="285" t="n"/>
      <c r="O364" s="285" t="n"/>
      <c r="P364" s="285" t="n"/>
      <c r="Q364" s="285" t="n"/>
      <c r="R364" s="285" t="n"/>
      <c r="S364" s="284" t="n"/>
      <c r="T364" s="284" t="n"/>
      <c r="U364" s="285" t="n"/>
      <c r="V364" s="285" t="n"/>
      <c r="W364" s="285" t="n"/>
      <c r="X364" s="285" t="n"/>
      <c r="Y364" s="285" t="n"/>
      <c r="Z364" s="285" t="n"/>
      <c r="AA364" s="285" t="n"/>
    </row>
    <row r="365" ht="15.75" customHeight="1" s="398">
      <c r="A365" s="284" t="n"/>
      <c r="B365" s="284" t="n"/>
      <c r="C365" s="285" t="n"/>
      <c r="D365" s="284" t="n"/>
      <c r="E365" s="285" t="n"/>
      <c r="F365" s="285" t="n"/>
      <c r="G365" s="336" t="n"/>
      <c r="H365" s="336" t="n"/>
      <c r="I365" s="285" t="n"/>
      <c r="J365" s="285" t="n"/>
      <c r="K365" s="285" t="n"/>
      <c r="L365" s="285" t="n"/>
      <c r="M365" s="285" t="n"/>
      <c r="N365" s="285" t="n"/>
      <c r="O365" s="285" t="n"/>
      <c r="P365" s="285" t="n"/>
      <c r="Q365" s="285" t="n"/>
      <c r="R365" s="285" t="n"/>
      <c r="S365" s="284" t="n"/>
      <c r="T365" s="284" t="n"/>
      <c r="U365" s="285" t="n"/>
      <c r="V365" s="285" t="n"/>
      <c r="W365" s="285" t="n"/>
      <c r="X365" s="285" t="n"/>
      <c r="Y365" s="285" t="n"/>
      <c r="Z365" s="285" t="n"/>
      <c r="AA365" s="285" t="n"/>
    </row>
    <row r="366" ht="15.75" customHeight="1" s="398">
      <c r="A366" s="284" t="n"/>
      <c r="B366" s="284" t="n"/>
      <c r="C366" s="285" t="n"/>
      <c r="D366" s="284" t="n"/>
      <c r="E366" s="285" t="n"/>
      <c r="F366" s="285" t="n"/>
      <c r="G366" s="336" t="n"/>
      <c r="H366" s="336" t="n"/>
      <c r="I366" s="285" t="n"/>
      <c r="J366" s="285" t="n"/>
      <c r="K366" s="285" t="n"/>
      <c r="L366" s="285" t="n"/>
      <c r="M366" s="285" t="n"/>
      <c r="N366" s="285" t="n"/>
      <c r="O366" s="285" t="n"/>
      <c r="P366" s="285" t="n"/>
      <c r="Q366" s="285" t="n"/>
      <c r="R366" s="285" t="n"/>
      <c r="S366" s="284" t="n"/>
      <c r="T366" s="284" t="n"/>
      <c r="U366" s="285" t="n"/>
      <c r="V366" s="285" t="n"/>
      <c r="W366" s="285" t="n"/>
      <c r="X366" s="285" t="n"/>
      <c r="Y366" s="285" t="n"/>
      <c r="Z366" s="285" t="n"/>
      <c r="AA366" s="285" t="n"/>
    </row>
    <row r="367" ht="15.75" customHeight="1" s="398">
      <c r="A367" s="284" t="n"/>
      <c r="B367" s="284" t="n"/>
      <c r="C367" s="285" t="n"/>
      <c r="D367" s="284" t="n"/>
      <c r="E367" s="285" t="n"/>
      <c r="F367" s="285" t="n"/>
      <c r="G367" s="336" t="n"/>
      <c r="H367" s="336" t="n"/>
      <c r="I367" s="285" t="n"/>
      <c r="J367" s="285" t="n"/>
      <c r="K367" s="285" t="n"/>
      <c r="L367" s="285" t="n"/>
      <c r="M367" s="285" t="n"/>
      <c r="N367" s="285" t="n"/>
      <c r="O367" s="285" t="n"/>
      <c r="P367" s="285" t="n"/>
      <c r="Q367" s="285" t="n"/>
      <c r="R367" s="285" t="n"/>
      <c r="S367" s="284" t="n"/>
      <c r="T367" s="284" t="n"/>
      <c r="U367" s="285" t="n"/>
      <c r="V367" s="285" t="n"/>
      <c r="W367" s="285" t="n"/>
      <c r="X367" s="285" t="n"/>
      <c r="Y367" s="285" t="n"/>
      <c r="Z367" s="285" t="n"/>
      <c r="AA367" s="285" t="n"/>
    </row>
    <row r="368" ht="15.75" customHeight="1" s="398">
      <c r="A368" s="284" t="n"/>
      <c r="B368" s="284" t="n"/>
      <c r="C368" s="285" t="n"/>
      <c r="D368" s="284" t="n"/>
      <c r="E368" s="285" t="n"/>
      <c r="F368" s="285" t="n"/>
      <c r="G368" s="336" t="n"/>
      <c r="H368" s="336" t="n"/>
      <c r="I368" s="285" t="n"/>
      <c r="J368" s="285" t="n"/>
      <c r="K368" s="285" t="n"/>
      <c r="L368" s="285" t="n"/>
      <c r="M368" s="285" t="n"/>
      <c r="N368" s="285" t="n"/>
      <c r="O368" s="285" t="n"/>
      <c r="P368" s="285" t="n"/>
      <c r="Q368" s="285" t="n"/>
      <c r="R368" s="285" t="n"/>
      <c r="S368" s="284" t="n"/>
      <c r="T368" s="284" t="n"/>
      <c r="U368" s="285" t="n"/>
      <c r="V368" s="285" t="n"/>
      <c r="W368" s="285" t="n"/>
      <c r="X368" s="285" t="n"/>
      <c r="Y368" s="285" t="n"/>
      <c r="Z368" s="285" t="n"/>
      <c r="AA368" s="285" t="n"/>
    </row>
    <row r="369" ht="15.75" customHeight="1" s="398">
      <c r="A369" s="284" t="n"/>
      <c r="B369" s="284" t="n"/>
      <c r="C369" s="285" t="n"/>
      <c r="D369" s="284" t="n"/>
      <c r="E369" s="285" t="n"/>
      <c r="F369" s="285" t="n"/>
      <c r="G369" s="336" t="n"/>
      <c r="H369" s="336" t="n"/>
      <c r="I369" s="285" t="n"/>
      <c r="J369" s="285" t="n"/>
      <c r="K369" s="285" t="n"/>
      <c r="L369" s="285" t="n"/>
      <c r="M369" s="285" t="n"/>
      <c r="N369" s="285" t="n"/>
      <c r="O369" s="285" t="n"/>
      <c r="P369" s="285" t="n"/>
      <c r="Q369" s="285" t="n"/>
      <c r="R369" s="285" t="n"/>
      <c r="S369" s="284" t="n"/>
      <c r="T369" s="284" t="n"/>
      <c r="U369" s="285" t="n"/>
      <c r="V369" s="285" t="n"/>
      <c r="W369" s="285" t="n"/>
      <c r="X369" s="285" t="n"/>
      <c r="Y369" s="285" t="n"/>
      <c r="Z369" s="285" t="n"/>
      <c r="AA369" s="285" t="n"/>
    </row>
    <row r="370" ht="15.75" customHeight="1" s="398">
      <c r="A370" s="284" t="n"/>
      <c r="B370" s="284" t="n"/>
      <c r="C370" s="285" t="n"/>
      <c r="D370" s="284" t="n"/>
      <c r="E370" s="285" t="n"/>
      <c r="F370" s="285" t="n"/>
      <c r="G370" s="336" t="n"/>
      <c r="H370" s="336" t="n"/>
      <c r="I370" s="285" t="n"/>
      <c r="J370" s="285" t="n"/>
      <c r="K370" s="285" t="n"/>
      <c r="L370" s="285" t="n"/>
      <c r="M370" s="285" t="n"/>
      <c r="N370" s="285" t="n"/>
      <c r="O370" s="285" t="n"/>
      <c r="P370" s="285" t="n"/>
      <c r="Q370" s="285" t="n"/>
      <c r="R370" s="285" t="n"/>
      <c r="S370" s="284" t="n"/>
      <c r="T370" s="284" t="n"/>
      <c r="U370" s="285" t="n"/>
      <c r="V370" s="285" t="n"/>
      <c r="W370" s="285" t="n"/>
      <c r="X370" s="285" t="n"/>
      <c r="Y370" s="285" t="n"/>
      <c r="Z370" s="285" t="n"/>
      <c r="AA370" s="285" t="n"/>
    </row>
    <row r="371" ht="15.75" customHeight="1" s="398">
      <c r="A371" s="284" t="n"/>
      <c r="B371" s="284" t="n"/>
      <c r="C371" s="285" t="n"/>
      <c r="D371" s="284" t="n"/>
      <c r="E371" s="285" t="n"/>
      <c r="F371" s="285" t="n"/>
      <c r="G371" s="336" t="n"/>
      <c r="H371" s="336" t="n"/>
      <c r="I371" s="285" t="n"/>
      <c r="J371" s="285" t="n"/>
      <c r="K371" s="285" t="n"/>
      <c r="L371" s="285" t="n"/>
      <c r="M371" s="285" t="n"/>
      <c r="N371" s="285" t="n"/>
      <c r="O371" s="285" t="n"/>
      <c r="P371" s="285" t="n"/>
      <c r="Q371" s="285" t="n"/>
      <c r="R371" s="285" t="n"/>
      <c r="S371" s="284" t="n"/>
      <c r="T371" s="284" t="n"/>
      <c r="U371" s="285" t="n"/>
      <c r="V371" s="285" t="n"/>
      <c r="W371" s="285" t="n"/>
      <c r="X371" s="285" t="n"/>
      <c r="Y371" s="285" t="n"/>
      <c r="Z371" s="285" t="n"/>
      <c r="AA371" s="285" t="n"/>
    </row>
    <row r="372" ht="15.75" customHeight="1" s="398">
      <c r="A372" s="284" t="n"/>
      <c r="B372" s="284" t="n"/>
      <c r="C372" s="285" t="n"/>
      <c r="D372" s="284" t="n"/>
      <c r="E372" s="285" t="n"/>
      <c r="F372" s="285" t="n"/>
      <c r="G372" s="336" t="n"/>
      <c r="H372" s="336" t="n"/>
      <c r="I372" s="285" t="n"/>
      <c r="J372" s="285" t="n"/>
      <c r="K372" s="285" t="n"/>
      <c r="L372" s="285" t="n"/>
      <c r="M372" s="285" t="n"/>
      <c r="N372" s="285" t="n"/>
      <c r="O372" s="285" t="n"/>
      <c r="P372" s="285" t="n"/>
      <c r="Q372" s="285" t="n"/>
      <c r="R372" s="285" t="n"/>
      <c r="S372" s="284" t="n"/>
      <c r="T372" s="284" t="n"/>
      <c r="U372" s="285" t="n"/>
      <c r="V372" s="285" t="n"/>
      <c r="W372" s="285" t="n"/>
      <c r="X372" s="285" t="n"/>
      <c r="Y372" s="285" t="n"/>
      <c r="Z372" s="285" t="n"/>
      <c r="AA372" s="285" t="n"/>
    </row>
    <row r="373" ht="15.75" customHeight="1" s="398">
      <c r="A373" s="284" t="n"/>
      <c r="B373" s="284" t="n"/>
      <c r="C373" s="285" t="n"/>
      <c r="D373" s="284" t="n"/>
      <c r="E373" s="285" t="n"/>
      <c r="F373" s="285" t="n"/>
      <c r="G373" s="336" t="n"/>
      <c r="H373" s="336" t="n"/>
      <c r="I373" s="285" t="n"/>
      <c r="J373" s="285" t="n"/>
      <c r="K373" s="285" t="n"/>
      <c r="L373" s="285" t="n"/>
      <c r="M373" s="285" t="n"/>
      <c r="N373" s="285" t="n"/>
      <c r="O373" s="285" t="n"/>
      <c r="P373" s="285" t="n"/>
      <c r="Q373" s="285" t="n"/>
      <c r="R373" s="285" t="n"/>
      <c r="S373" s="284" t="n"/>
      <c r="T373" s="284" t="n"/>
      <c r="U373" s="285" t="n"/>
      <c r="V373" s="285" t="n"/>
      <c r="W373" s="285" t="n"/>
      <c r="X373" s="285" t="n"/>
      <c r="Y373" s="285" t="n"/>
      <c r="Z373" s="285" t="n"/>
      <c r="AA373" s="285" t="n"/>
    </row>
    <row r="374" ht="15.75" customHeight="1" s="398">
      <c r="A374" s="284" t="n"/>
      <c r="B374" s="284" t="n"/>
      <c r="C374" s="285" t="n"/>
      <c r="D374" s="284" t="n"/>
      <c r="E374" s="285" t="n"/>
      <c r="F374" s="285" t="n"/>
      <c r="G374" s="336" t="n"/>
      <c r="H374" s="336" t="n"/>
      <c r="I374" s="285" t="n"/>
      <c r="J374" s="285" t="n"/>
      <c r="K374" s="285" t="n"/>
      <c r="L374" s="285" t="n"/>
      <c r="M374" s="285" t="n"/>
      <c r="N374" s="285" t="n"/>
      <c r="O374" s="285" t="n"/>
      <c r="P374" s="285" t="n"/>
      <c r="Q374" s="285" t="n"/>
      <c r="R374" s="285" t="n"/>
      <c r="S374" s="284" t="n"/>
      <c r="T374" s="284" t="n"/>
      <c r="U374" s="285" t="n"/>
      <c r="V374" s="285" t="n"/>
      <c r="W374" s="285" t="n"/>
      <c r="X374" s="285" t="n"/>
      <c r="Y374" s="285" t="n"/>
      <c r="Z374" s="285" t="n"/>
      <c r="AA374" s="285" t="n"/>
    </row>
    <row r="375" ht="15.75" customHeight="1" s="398">
      <c r="A375" s="284" t="n"/>
      <c r="B375" s="284" t="n"/>
      <c r="C375" s="285" t="n"/>
      <c r="D375" s="284" t="n"/>
      <c r="E375" s="285" t="n"/>
      <c r="F375" s="285" t="n"/>
      <c r="G375" s="336" t="n"/>
      <c r="H375" s="336" t="n"/>
      <c r="I375" s="285" t="n"/>
      <c r="J375" s="285" t="n"/>
      <c r="K375" s="285" t="n"/>
      <c r="L375" s="285" t="n"/>
      <c r="M375" s="285" t="n"/>
      <c r="N375" s="285" t="n"/>
      <c r="O375" s="285" t="n"/>
      <c r="P375" s="285" t="n"/>
      <c r="Q375" s="285" t="n"/>
      <c r="R375" s="285" t="n"/>
      <c r="S375" s="284" t="n"/>
      <c r="T375" s="284" t="n"/>
      <c r="U375" s="285" t="n"/>
      <c r="V375" s="285" t="n"/>
      <c r="W375" s="285" t="n"/>
      <c r="X375" s="285" t="n"/>
      <c r="Y375" s="285" t="n"/>
      <c r="Z375" s="285" t="n"/>
      <c r="AA375" s="285" t="n"/>
    </row>
    <row r="376" ht="15.75" customHeight="1" s="398">
      <c r="A376" s="284" t="n"/>
      <c r="B376" s="284" t="n"/>
      <c r="C376" s="285" t="n"/>
      <c r="D376" s="284" t="n"/>
      <c r="E376" s="285" t="n"/>
      <c r="F376" s="285" t="n"/>
      <c r="G376" s="336" t="n"/>
      <c r="H376" s="336" t="n"/>
      <c r="I376" s="285" t="n"/>
      <c r="J376" s="285" t="n"/>
      <c r="K376" s="285" t="n"/>
      <c r="L376" s="285" t="n"/>
      <c r="M376" s="285" t="n"/>
      <c r="N376" s="285" t="n"/>
      <c r="O376" s="285" t="n"/>
      <c r="P376" s="285" t="n"/>
      <c r="Q376" s="285" t="n"/>
      <c r="R376" s="285" t="n"/>
      <c r="S376" s="284" t="n"/>
      <c r="T376" s="284" t="n"/>
      <c r="U376" s="285" t="n"/>
      <c r="V376" s="285" t="n"/>
      <c r="W376" s="285" t="n"/>
      <c r="X376" s="285" t="n"/>
      <c r="Y376" s="285" t="n"/>
      <c r="Z376" s="285" t="n"/>
      <c r="AA376" s="285" t="n"/>
    </row>
    <row r="377" ht="15.75" customHeight="1" s="398">
      <c r="A377" s="284" t="n"/>
      <c r="B377" s="284" t="n"/>
      <c r="C377" s="285" t="n"/>
      <c r="D377" s="284" t="n"/>
      <c r="E377" s="285" t="n"/>
      <c r="F377" s="285" t="n"/>
      <c r="G377" s="336" t="n"/>
      <c r="H377" s="336" t="n"/>
      <c r="I377" s="285" t="n"/>
      <c r="J377" s="285" t="n"/>
      <c r="K377" s="285" t="n"/>
      <c r="L377" s="285" t="n"/>
      <c r="M377" s="285" t="n"/>
      <c r="N377" s="285" t="n"/>
      <c r="O377" s="285" t="n"/>
      <c r="P377" s="285" t="n"/>
      <c r="Q377" s="285" t="n"/>
      <c r="R377" s="285" t="n"/>
      <c r="S377" s="284" t="n"/>
      <c r="T377" s="284" t="n"/>
      <c r="U377" s="285" t="n"/>
      <c r="V377" s="285" t="n"/>
      <c r="W377" s="285" t="n"/>
      <c r="X377" s="285" t="n"/>
      <c r="Y377" s="285" t="n"/>
      <c r="Z377" s="285" t="n"/>
      <c r="AA377" s="285" t="n"/>
    </row>
    <row r="378" ht="15.75" customHeight="1" s="398">
      <c r="A378" s="284" t="n"/>
      <c r="B378" s="284" t="n"/>
      <c r="C378" s="285" t="n"/>
      <c r="D378" s="284" t="n"/>
      <c r="E378" s="285" t="n"/>
      <c r="F378" s="285" t="n"/>
      <c r="G378" s="336" t="n"/>
      <c r="H378" s="336" t="n"/>
      <c r="I378" s="285" t="n"/>
      <c r="J378" s="285" t="n"/>
      <c r="K378" s="285" t="n"/>
      <c r="L378" s="285" t="n"/>
      <c r="M378" s="285" t="n"/>
      <c r="N378" s="285" t="n"/>
      <c r="O378" s="285" t="n"/>
      <c r="P378" s="285" t="n"/>
      <c r="Q378" s="285" t="n"/>
      <c r="R378" s="285" t="n"/>
      <c r="S378" s="284" t="n"/>
      <c r="T378" s="284" t="n"/>
      <c r="U378" s="285" t="n"/>
      <c r="V378" s="285" t="n"/>
      <c r="W378" s="285" t="n"/>
      <c r="X378" s="285" t="n"/>
      <c r="Y378" s="285" t="n"/>
      <c r="Z378" s="285" t="n"/>
      <c r="AA378" s="285" t="n"/>
    </row>
    <row r="379" ht="15.75" customHeight="1" s="398">
      <c r="A379" s="284" t="n"/>
      <c r="B379" s="284" t="n"/>
      <c r="C379" s="285" t="n"/>
      <c r="D379" s="284" t="n"/>
      <c r="E379" s="285" t="n"/>
      <c r="F379" s="285" t="n"/>
      <c r="G379" s="336" t="n"/>
      <c r="H379" s="336" t="n"/>
      <c r="I379" s="285" t="n"/>
      <c r="J379" s="285" t="n"/>
      <c r="K379" s="285" t="n"/>
      <c r="L379" s="285" t="n"/>
      <c r="M379" s="285" t="n"/>
      <c r="N379" s="285" t="n"/>
      <c r="O379" s="285" t="n"/>
      <c r="P379" s="285" t="n"/>
      <c r="Q379" s="285" t="n"/>
      <c r="R379" s="285" t="n"/>
      <c r="S379" s="284" t="n"/>
      <c r="T379" s="284" t="n"/>
      <c r="U379" s="285" t="n"/>
      <c r="V379" s="285" t="n"/>
      <c r="W379" s="285" t="n"/>
      <c r="X379" s="285" t="n"/>
      <c r="Y379" s="285" t="n"/>
      <c r="Z379" s="285" t="n"/>
      <c r="AA379" s="285" t="n"/>
    </row>
    <row r="380" ht="15.75" customHeight="1" s="398">
      <c r="A380" s="284" t="n"/>
      <c r="B380" s="284" t="n"/>
      <c r="C380" s="285" t="n"/>
      <c r="D380" s="284" t="n"/>
      <c r="E380" s="285" t="n"/>
      <c r="F380" s="285" t="n"/>
      <c r="G380" s="336" t="n"/>
      <c r="H380" s="336" t="n"/>
      <c r="I380" s="285" t="n"/>
      <c r="J380" s="285" t="n"/>
      <c r="K380" s="285" t="n"/>
      <c r="L380" s="285" t="n"/>
      <c r="M380" s="285" t="n"/>
      <c r="N380" s="285" t="n"/>
      <c r="O380" s="285" t="n"/>
      <c r="P380" s="285" t="n"/>
      <c r="Q380" s="285" t="n"/>
      <c r="R380" s="285" t="n"/>
      <c r="S380" s="284" t="n"/>
      <c r="T380" s="284" t="n"/>
      <c r="U380" s="285" t="n"/>
      <c r="V380" s="285" t="n"/>
      <c r="W380" s="285" t="n"/>
      <c r="X380" s="285" t="n"/>
      <c r="Y380" s="285" t="n"/>
      <c r="Z380" s="285" t="n"/>
      <c r="AA380" s="285" t="n"/>
    </row>
    <row r="381" ht="15.75" customHeight="1" s="398">
      <c r="A381" s="284" t="n"/>
      <c r="B381" s="284" t="n"/>
      <c r="C381" s="285" t="n"/>
      <c r="D381" s="284" t="n"/>
      <c r="E381" s="285" t="n"/>
      <c r="F381" s="285" t="n"/>
      <c r="G381" s="336" t="n"/>
      <c r="H381" s="336" t="n"/>
      <c r="I381" s="285" t="n"/>
      <c r="J381" s="285" t="n"/>
      <c r="K381" s="285" t="n"/>
      <c r="L381" s="285" t="n"/>
      <c r="M381" s="285" t="n"/>
      <c r="N381" s="285" t="n"/>
      <c r="O381" s="285" t="n"/>
      <c r="P381" s="285" t="n"/>
      <c r="Q381" s="285" t="n"/>
      <c r="R381" s="285" t="n"/>
      <c r="S381" s="284" t="n"/>
      <c r="T381" s="284" t="n"/>
      <c r="U381" s="285" t="n"/>
      <c r="V381" s="285" t="n"/>
      <c r="W381" s="285" t="n"/>
      <c r="X381" s="285" t="n"/>
      <c r="Y381" s="285" t="n"/>
      <c r="Z381" s="285" t="n"/>
      <c r="AA381" s="285" t="n"/>
    </row>
    <row r="382" ht="15.75" customHeight="1" s="398">
      <c r="A382" s="284" t="n"/>
      <c r="B382" s="284" t="n"/>
      <c r="C382" s="285" t="n"/>
      <c r="D382" s="284" t="n"/>
      <c r="E382" s="285" t="n"/>
      <c r="F382" s="285" t="n"/>
      <c r="G382" s="336" t="n"/>
      <c r="H382" s="336" t="n"/>
      <c r="I382" s="285" t="n"/>
      <c r="J382" s="285" t="n"/>
      <c r="K382" s="285" t="n"/>
      <c r="L382" s="285" t="n"/>
      <c r="M382" s="285" t="n"/>
      <c r="N382" s="285" t="n"/>
      <c r="O382" s="285" t="n"/>
      <c r="P382" s="285" t="n"/>
      <c r="Q382" s="285" t="n"/>
      <c r="R382" s="285" t="n"/>
      <c r="S382" s="284" t="n"/>
      <c r="T382" s="284" t="n"/>
      <c r="U382" s="285" t="n"/>
      <c r="V382" s="285" t="n"/>
      <c r="W382" s="285" t="n"/>
      <c r="X382" s="285" t="n"/>
      <c r="Y382" s="285" t="n"/>
      <c r="Z382" s="285" t="n"/>
      <c r="AA382" s="285" t="n"/>
    </row>
    <row r="383" ht="15.75" customHeight="1" s="398">
      <c r="A383" s="284" t="n"/>
      <c r="B383" s="284" t="n"/>
      <c r="C383" s="285" t="n"/>
      <c r="D383" s="284" t="n"/>
      <c r="E383" s="285" t="n"/>
      <c r="F383" s="285" t="n"/>
      <c r="G383" s="336" t="n"/>
      <c r="H383" s="336" t="n"/>
      <c r="I383" s="285" t="n"/>
      <c r="J383" s="285" t="n"/>
      <c r="K383" s="285" t="n"/>
      <c r="L383" s="285" t="n"/>
      <c r="M383" s="285" t="n"/>
      <c r="N383" s="285" t="n"/>
      <c r="O383" s="285" t="n"/>
      <c r="P383" s="285" t="n"/>
      <c r="Q383" s="285" t="n"/>
      <c r="R383" s="285" t="n"/>
      <c r="S383" s="284" t="n"/>
      <c r="T383" s="284" t="n"/>
      <c r="U383" s="285" t="n"/>
      <c r="V383" s="285" t="n"/>
      <c r="W383" s="285" t="n"/>
      <c r="X383" s="285" t="n"/>
      <c r="Y383" s="285" t="n"/>
      <c r="Z383" s="285" t="n"/>
      <c r="AA383" s="285" t="n"/>
    </row>
    <row r="384" ht="15.75" customHeight="1" s="398">
      <c r="A384" s="284" t="n"/>
      <c r="B384" s="284" t="n"/>
      <c r="C384" s="285" t="n"/>
      <c r="D384" s="284" t="n"/>
      <c r="E384" s="285" t="n"/>
      <c r="F384" s="285" t="n"/>
      <c r="G384" s="336" t="n"/>
      <c r="H384" s="336" t="n"/>
      <c r="I384" s="285" t="n"/>
      <c r="J384" s="285" t="n"/>
      <c r="K384" s="285" t="n"/>
      <c r="L384" s="285" t="n"/>
      <c r="M384" s="285" t="n"/>
      <c r="N384" s="285" t="n"/>
      <c r="O384" s="285" t="n"/>
      <c r="P384" s="285" t="n"/>
      <c r="Q384" s="285" t="n"/>
      <c r="R384" s="285" t="n"/>
      <c r="S384" s="284" t="n"/>
      <c r="T384" s="284" t="n"/>
      <c r="U384" s="285" t="n"/>
      <c r="V384" s="285" t="n"/>
      <c r="W384" s="285" t="n"/>
      <c r="X384" s="285" t="n"/>
      <c r="Y384" s="285" t="n"/>
      <c r="Z384" s="285" t="n"/>
      <c r="AA384" s="285" t="n"/>
    </row>
    <row r="385" ht="15.75" customHeight="1" s="398">
      <c r="A385" s="284" t="n"/>
      <c r="B385" s="284" t="n"/>
      <c r="C385" s="285" t="n"/>
      <c r="D385" s="284" t="n"/>
      <c r="E385" s="285" t="n"/>
      <c r="F385" s="285" t="n"/>
      <c r="G385" s="336" t="n"/>
      <c r="H385" s="336" t="n"/>
      <c r="I385" s="285" t="n"/>
      <c r="J385" s="285" t="n"/>
      <c r="K385" s="285" t="n"/>
      <c r="L385" s="285" t="n"/>
      <c r="M385" s="285" t="n"/>
      <c r="N385" s="285" t="n"/>
      <c r="O385" s="285" t="n"/>
      <c r="P385" s="285" t="n"/>
      <c r="Q385" s="285" t="n"/>
      <c r="R385" s="285" t="n"/>
      <c r="S385" s="284" t="n"/>
      <c r="T385" s="284" t="n"/>
      <c r="U385" s="285" t="n"/>
      <c r="V385" s="285" t="n"/>
      <c r="W385" s="285" t="n"/>
      <c r="X385" s="285" t="n"/>
      <c r="Y385" s="285" t="n"/>
      <c r="Z385" s="285" t="n"/>
      <c r="AA385" s="285" t="n"/>
    </row>
    <row r="386" ht="15.75" customHeight="1" s="398">
      <c r="A386" s="284" t="n"/>
      <c r="B386" s="284" t="n"/>
      <c r="C386" s="285" t="n"/>
      <c r="D386" s="284" t="n"/>
      <c r="E386" s="285" t="n"/>
      <c r="F386" s="285" t="n"/>
      <c r="G386" s="336" t="n"/>
      <c r="H386" s="336" t="n"/>
      <c r="I386" s="285" t="n"/>
      <c r="J386" s="285" t="n"/>
      <c r="K386" s="285" t="n"/>
      <c r="L386" s="285" t="n"/>
      <c r="M386" s="285" t="n"/>
      <c r="N386" s="285" t="n"/>
      <c r="O386" s="285" t="n"/>
      <c r="P386" s="285" t="n"/>
      <c r="Q386" s="285" t="n"/>
      <c r="R386" s="285" t="n"/>
      <c r="S386" s="284" t="n"/>
      <c r="T386" s="284" t="n"/>
      <c r="U386" s="285" t="n"/>
      <c r="V386" s="285" t="n"/>
      <c r="W386" s="285" t="n"/>
      <c r="X386" s="285" t="n"/>
      <c r="Y386" s="285" t="n"/>
      <c r="Z386" s="285" t="n"/>
      <c r="AA386" s="285" t="n"/>
    </row>
    <row r="387" ht="15.75" customHeight="1" s="398">
      <c r="A387" s="284" t="n"/>
      <c r="B387" s="284" t="n"/>
      <c r="C387" s="285" t="n"/>
      <c r="D387" s="284" t="n"/>
      <c r="E387" s="285" t="n"/>
      <c r="F387" s="285" t="n"/>
      <c r="G387" s="336" t="n"/>
      <c r="H387" s="336" t="n"/>
      <c r="I387" s="285" t="n"/>
      <c r="J387" s="285" t="n"/>
      <c r="K387" s="285" t="n"/>
      <c r="L387" s="285" t="n"/>
      <c r="M387" s="285" t="n"/>
      <c r="N387" s="285" t="n"/>
      <c r="O387" s="285" t="n"/>
      <c r="P387" s="285" t="n"/>
      <c r="Q387" s="285" t="n"/>
      <c r="R387" s="285" t="n"/>
      <c r="S387" s="284" t="n"/>
      <c r="T387" s="284" t="n"/>
      <c r="U387" s="285" t="n"/>
      <c r="V387" s="285" t="n"/>
      <c r="W387" s="285" t="n"/>
      <c r="X387" s="285" t="n"/>
      <c r="Y387" s="285" t="n"/>
      <c r="Z387" s="285" t="n"/>
      <c r="AA387" s="285" t="n"/>
    </row>
    <row r="388" ht="15.75" customHeight="1" s="398">
      <c r="A388" s="284" t="n"/>
      <c r="B388" s="284" t="n"/>
      <c r="C388" s="285" t="n"/>
      <c r="D388" s="284" t="n"/>
      <c r="E388" s="285" t="n"/>
      <c r="F388" s="285" t="n"/>
      <c r="G388" s="336" t="n"/>
      <c r="H388" s="336" t="n"/>
      <c r="I388" s="285" t="n"/>
      <c r="J388" s="285" t="n"/>
      <c r="K388" s="285" t="n"/>
      <c r="L388" s="285" t="n"/>
      <c r="M388" s="285" t="n"/>
      <c r="N388" s="285" t="n"/>
      <c r="O388" s="285" t="n"/>
      <c r="P388" s="285" t="n"/>
      <c r="Q388" s="285" t="n"/>
      <c r="R388" s="285" t="n"/>
      <c r="S388" s="284" t="n"/>
      <c r="T388" s="284" t="n"/>
      <c r="U388" s="285" t="n"/>
      <c r="V388" s="285" t="n"/>
      <c r="W388" s="285" t="n"/>
      <c r="X388" s="285" t="n"/>
      <c r="Y388" s="285" t="n"/>
      <c r="Z388" s="285" t="n"/>
      <c r="AA388" s="285" t="n"/>
    </row>
    <row r="389" ht="15.75" customHeight="1" s="398">
      <c r="A389" s="284" t="n"/>
      <c r="B389" s="284" t="n"/>
      <c r="C389" s="285" t="n"/>
      <c r="D389" s="284" t="n"/>
      <c r="E389" s="285" t="n"/>
      <c r="F389" s="285" t="n"/>
      <c r="G389" s="336" t="n"/>
      <c r="H389" s="336" t="n"/>
      <c r="I389" s="285" t="n"/>
      <c r="J389" s="285" t="n"/>
      <c r="K389" s="285" t="n"/>
      <c r="L389" s="285" t="n"/>
      <c r="M389" s="285" t="n"/>
      <c r="N389" s="285" t="n"/>
      <c r="O389" s="285" t="n"/>
      <c r="P389" s="285" t="n"/>
      <c r="Q389" s="285" t="n"/>
      <c r="R389" s="285" t="n"/>
      <c r="S389" s="284" t="n"/>
      <c r="T389" s="284" t="n"/>
      <c r="U389" s="285" t="n"/>
      <c r="V389" s="285" t="n"/>
      <c r="W389" s="285" t="n"/>
      <c r="X389" s="285" t="n"/>
      <c r="Y389" s="285" t="n"/>
      <c r="Z389" s="285" t="n"/>
      <c r="AA389" s="285" t="n"/>
    </row>
    <row r="390" ht="15.75" customHeight="1" s="398">
      <c r="A390" s="284" t="n"/>
      <c r="B390" s="284" t="n"/>
      <c r="C390" s="285" t="n"/>
      <c r="D390" s="284" t="n"/>
      <c r="E390" s="285" t="n"/>
      <c r="F390" s="285" t="n"/>
      <c r="G390" s="336" t="n"/>
      <c r="H390" s="336" t="n"/>
      <c r="I390" s="285" t="n"/>
      <c r="J390" s="285" t="n"/>
      <c r="K390" s="285" t="n"/>
      <c r="L390" s="285" t="n"/>
      <c r="M390" s="285" t="n"/>
      <c r="N390" s="285" t="n"/>
      <c r="O390" s="285" t="n"/>
      <c r="P390" s="285" t="n"/>
      <c r="Q390" s="285" t="n"/>
      <c r="R390" s="285" t="n"/>
      <c r="S390" s="284" t="n"/>
      <c r="T390" s="284" t="n"/>
      <c r="U390" s="285" t="n"/>
      <c r="V390" s="285" t="n"/>
      <c r="W390" s="285" t="n"/>
      <c r="X390" s="285" t="n"/>
      <c r="Y390" s="285" t="n"/>
      <c r="Z390" s="285" t="n"/>
      <c r="AA390" s="285" t="n"/>
    </row>
    <row r="391" ht="15.75" customHeight="1" s="398">
      <c r="A391" s="284" t="n"/>
      <c r="B391" s="284" t="n"/>
      <c r="C391" s="285" t="n"/>
      <c r="D391" s="284" t="n"/>
      <c r="E391" s="285" t="n"/>
      <c r="F391" s="285" t="n"/>
      <c r="G391" s="336" t="n"/>
      <c r="H391" s="336" t="n"/>
      <c r="I391" s="285" t="n"/>
      <c r="J391" s="285" t="n"/>
      <c r="K391" s="285" t="n"/>
      <c r="L391" s="285" t="n"/>
      <c r="M391" s="285" t="n"/>
      <c r="N391" s="285" t="n"/>
      <c r="O391" s="285" t="n"/>
      <c r="P391" s="285" t="n"/>
      <c r="Q391" s="285" t="n"/>
      <c r="R391" s="285" t="n"/>
      <c r="S391" s="284" t="n"/>
      <c r="T391" s="284" t="n"/>
      <c r="U391" s="285" t="n"/>
      <c r="V391" s="285" t="n"/>
      <c r="W391" s="285" t="n"/>
      <c r="X391" s="285" t="n"/>
      <c r="Y391" s="285" t="n"/>
      <c r="Z391" s="285" t="n"/>
      <c r="AA391" s="285" t="n"/>
    </row>
    <row r="392" ht="15.75" customHeight="1" s="398">
      <c r="A392" s="284" t="n"/>
      <c r="B392" s="284" t="n"/>
      <c r="C392" s="285" t="n"/>
      <c r="D392" s="284" t="n"/>
      <c r="E392" s="285" t="n"/>
      <c r="F392" s="285" t="n"/>
      <c r="G392" s="336" t="n"/>
      <c r="H392" s="336" t="n"/>
      <c r="I392" s="285" t="n"/>
      <c r="J392" s="285" t="n"/>
      <c r="K392" s="285" t="n"/>
      <c r="L392" s="285" t="n"/>
      <c r="M392" s="285" t="n"/>
      <c r="N392" s="285" t="n"/>
      <c r="O392" s="285" t="n"/>
      <c r="P392" s="285" t="n"/>
      <c r="Q392" s="285" t="n"/>
      <c r="R392" s="285" t="n"/>
      <c r="S392" s="284" t="n"/>
      <c r="T392" s="284" t="n"/>
      <c r="U392" s="285" t="n"/>
      <c r="V392" s="285" t="n"/>
      <c r="W392" s="285" t="n"/>
      <c r="X392" s="285" t="n"/>
      <c r="Y392" s="285" t="n"/>
      <c r="Z392" s="285" t="n"/>
      <c r="AA392" s="285" t="n"/>
    </row>
    <row r="393" ht="15.75" customHeight="1" s="398">
      <c r="A393" s="284" t="n"/>
      <c r="B393" s="284" t="n"/>
      <c r="C393" s="285" t="n"/>
      <c r="D393" s="284" t="n"/>
      <c r="E393" s="285" t="n"/>
      <c r="F393" s="285" t="n"/>
      <c r="G393" s="336" t="n"/>
      <c r="H393" s="336" t="n"/>
      <c r="I393" s="285" t="n"/>
      <c r="J393" s="285" t="n"/>
      <c r="K393" s="285" t="n"/>
      <c r="L393" s="285" t="n"/>
      <c r="M393" s="285" t="n"/>
      <c r="N393" s="285" t="n"/>
      <c r="O393" s="285" t="n"/>
      <c r="P393" s="285" t="n"/>
      <c r="Q393" s="285" t="n"/>
      <c r="R393" s="285" t="n"/>
      <c r="S393" s="284" t="n"/>
      <c r="T393" s="284" t="n"/>
      <c r="U393" s="285" t="n"/>
      <c r="V393" s="285" t="n"/>
      <c r="W393" s="285" t="n"/>
      <c r="X393" s="285" t="n"/>
      <c r="Y393" s="285" t="n"/>
      <c r="Z393" s="285" t="n"/>
      <c r="AA393" s="285" t="n"/>
    </row>
    <row r="394" ht="15.75" customHeight="1" s="398">
      <c r="A394" s="284" t="n"/>
      <c r="B394" s="284" t="n"/>
      <c r="C394" s="285" t="n"/>
      <c r="D394" s="284" t="n"/>
      <c r="E394" s="285" t="n"/>
      <c r="F394" s="285" t="n"/>
      <c r="G394" s="336" t="n"/>
      <c r="H394" s="336" t="n"/>
      <c r="I394" s="285" t="n"/>
      <c r="J394" s="285" t="n"/>
      <c r="K394" s="285" t="n"/>
      <c r="L394" s="285" t="n"/>
      <c r="M394" s="285" t="n"/>
      <c r="N394" s="285" t="n"/>
      <c r="O394" s="285" t="n"/>
      <c r="P394" s="285" t="n"/>
      <c r="Q394" s="285" t="n"/>
      <c r="R394" s="285" t="n"/>
      <c r="S394" s="284" t="n"/>
      <c r="T394" s="284" t="n"/>
      <c r="U394" s="285" t="n"/>
      <c r="V394" s="285" t="n"/>
      <c r="W394" s="285" t="n"/>
      <c r="X394" s="285" t="n"/>
      <c r="Y394" s="285" t="n"/>
      <c r="Z394" s="285" t="n"/>
      <c r="AA394" s="285" t="n"/>
    </row>
    <row r="395" ht="15.75" customHeight="1" s="398">
      <c r="A395" s="284" t="n"/>
      <c r="B395" s="284" t="n"/>
      <c r="C395" s="285" t="n"/>
      <c r="D395" s="284" t="n"/>
      <c r="E395" s="285" t="n"/>
      <c r="F395" s="285" t="n"/>
      <c r="G395" s="336" t="n"/>
      <c r="H395" s="336" t="n"/>
      <c r="I395" s="285" t="n"/>
      <c r="J395" s="285" t="n"/>
      <c r="K395" s="285" t="n"/>
      <c r="L395" s="285" t="n"/>
      <c r="M395" s="285" t="n"/>
      <c r="N395" s="285" t="n"/>
      <c r="O395" s="285" t="n"/>
      <c r="P395" s="285" t="n"/>
      <c r="Q395" s="285" t="n"/>
      <c r="R395" s="285" t="n"/>
      <c r="S395" s="284" t="n"/>
      <c r="T395" s="284" t="n"/>
      <c r="U395" s="285" t="n"/>
      <c r="V395" s="285" t="n"/>
      <c r="W395" s="285" t="n"/>
      <c r="X395" s="285" t="n"/>
      <c r="Y395" s="285" t="n"/>
      <c r="Z395" s="285" t="n"/>
      <c r="AA395" s="285" t="n"/>
    </row>
    <row r="396" ht="15.75" customHeight="1" s="398">
      <c r="A396" s="284" t="n"/>
      <c r="B396" s="284" t="n"/>
      <c r="C396" s="285" t="n"/>
      <c r="D396" s="284" t="n"/>
      <c r="E396" s="285" t="n"/>
      <c r="F396" s="285" t="n"/>
      <c r="G396" s="336" t="n"/>
      <c r="H396" s="336" t="n"/>
      <c r="I396" s="285" t="n"/>
      <c r="J396" s="285" t="n"/>
      <c r="K396" s="285" t="n"/>
      <c r="L396" s="285" t="n"/>
      <c r="M396" s="285" t="n"/>
      <c r="N396" s="285" t="n"/>
      <c r="O396" s="285" t="n"/>
      <c r="P396" s="285" t="n"/>
      <c r="Q396" s="285" t="n"/>
      <c r="R396" s="285" t="n"/>
      <c r="S396" s="284" t="n"/>
      <c r="T396" s="284" t="n"/>
      <c r="U396" s="285" t="n"/>
      <c r="V396" s="285" t="n"/>
      <c r="W396" s="285" t="n"/>
      <c r="X396" s="285" t="n"/>
      <c r="Y396" s="285" t="n"/>
      <c r="Z396" s="285" t="n"/>
      <c r="AA396" s="285" t="n"/>
    </row>
    <row r="397" ht="15.75" customHeight="1" s="398">
      <c r="A397" s="284" t="n"/>
      <c r="B397" s="284" t="n"/>
      <c r="C397" s="285" t="n"/>
      <c r="D397" s="284" t="n"/>
      <c r="E397" s="285" t="n"/>
      <c r="F397" s="285" t="n"/>
      <c r="G397" s="336" t="n"/>
      <c r="H397" s="336" t="n"/>
      <c r="I397" s="285" t="n"/>
      <c r="J397" s="285" t="n"/>
      <c r="K397" s="285" t="n"/>
      <c r="L397" s="285" t="n"/>
      <c r="M397" s="285" t="n"/>
      <c r="N397" s="285" t="n"/>
      <c r="O397" s="285" t="n"/>
      <c r="P397" s="285" t="n"/>
      <c r="Q397" s="285" t="n"/>
      <c r="R397" s="285" t="n"/>
      <c r="S397" s="284" t="n"/>
      <c r="T397" s="284" t="n"/>
      <c r="U397" s="285" t="n"/>
      <c r="V397" s="285" t="n"/>
      <c r="W397" s="285" t="n"/>
      <c r="X397" s="285" t="n"/>
      <c r="Y397" s="285" t="n"/>
      <c r="Z397" s="285" t="n"/>
      <c r="AA397" s="285" t="n"/>
    </row>
    <row r="398" ht="15.75" customHeight="1" s="398">
      <c r="A398" s="284" t="n"/>
      <c r="B398" s="284" t="n"/>
      <c r="C398" s="285" t="n"/>
      <c r="D398" s="284" t="n"/>
      <c r="E398" s="285" t="n"/>
      <c r="F398" s="285" t="n"/>
      <c r="G398" s="336" t="n"/>
      <c r="H398" s="336" t="n"/>
      <c r="I398" s="285" t="n"/>
      <c r="J398" s="285" t="n"/>
      <c r="K398" s="285" t="n"/>
      <c r="L398" s="285" t="n"/>
      <c r="M398" s="285" t="n"/>
      <c r="N398" s="285" t="n"/>
      <c r="O398" s="285" t="n"/>
      <c r="P398" s="285" t="n"/>
      <c r="Q398" s="285" t="n"/>
      <c r="R398" s="285" t="n"/>
      <c r="S398" s="284" t="n"/>
      <c r="T398" s="284" t="n"/>
      <c r="U398" s="285" t="n"/>
      <c r="V398" s="285" t="n"/>
      <c r="W398" s="285" t="n"/>
      <c r="X398" s="285" t="n"/>
      <c r="Y398" s="285" t="n"/>
      <c r="Z398" s="285" t="n"/>
      <c r="AA398" s="285" t="n"/>
    </row>
    <row r="399" ht="15.75" customHeight="1" s="398">
      <c r="A399" s="284" t="n"/>
      <c r="B399" s="284" t="n"/>
      <c r="C399" s="285" t="n"/>
      <c r="D399" s="284" t="n"/>
      <c r="E399" s="285" t="n"/>
      <c r="F399" s="285" t="n"/>
      <c r="G399" s="336" t="n"/>
      <c r="H399" s="336" t="n"/>
      <c r="I399" s="285" t="n"/>
      <c r="J399" s="285" t="n"/>
      <c r="K399" s="285" t="n"/>
      <c r="L399" s="285" t="n"/>
      <c r="M399" s="285" t="n"/>
      <c r="N399" s="285" t="n"/>
      <c r="O399" s="285" t="n"/>
      <c r="P399" s="285" t="n"/>
      <c r="Q399" s="285" t="n"/>
      <c r="R399" s="285" t="n"/>
      <c r="S399" s="284" t="n"/>
      <c r="T399" s="284" t="n"/>
      <c r="U399" s="285" t="n"/>
      <c r="V399" s="285" t="n"/>
      <c r="W399" s="285" t="n"/>
      <c r="X399" s="285" t="n"/>
      <c r="Y399" s="285" t="n"/>
      <c r="Z399" s="285" t="n"/>
      <c r="AA399" s="285" t="n"/>
    </row>
    <row r="400" ht="15.75" customHeight="1" s="398">
      <c r="A400" s="284" t="n"/>
      <c r="B400" s="284" t="n"/>
      <c r="C400" s="285" t="n"/>
      <c r="D400" s="284" t="n"/>
      <c r="E400" s="285" t="n"/>
      <c r="F400" s="285" t="n"/>
      <c r="G400" s="336" t="n"/>
      <c r="H400" s="336" t="n"/>
      <c r="I400" s="285" t="n"/>
      <c r="J400" s="285" t="n"/>
      <c r="K400" s="285" t="n"/>
      <c r="L400" s="285" t="n"/>
      <c r="M400" s="285" t="n"/>
      <c r="N400" s="285" t="n"/>
      <c r="O400" s="285" t="n"/>
      <c r="P400" s="285" t="n"/>
      <c r="Q400" s="285" t="n"/>
      <c r="R400" s="285" t="n"/>
      <c r="S400" s="284" t="n"/>
      <c r="T400" s="284" t="n"/>
      <c r="U400" s="285" t="n"/>
      <c r="V400" s="285" t="n"/>
      <c r="W400" s="285" t="n"/>
      <c r="X400" s="285" t="n"/>
      <c r="Y400" s="285" t="n"/>
      <c r="Z400" s="285" t="n"/>
      <c r="AA400" s="285" t="n"/>
    </row>
    <row r="401" ht="15.75" customHeight="1" s="398">
      <c r="A401" s="284" t="n"/>
      <c r="B401" s="284" t="n"/>
      <c r="C401" s="285" t="n"/>
      <c r="D401" s="284" t="n"/>
      <c r="E401" s="285" t="n"/>
      <c r="F401" s="285" t="n"/>
      <c r="G401" s="336" t="n"/>
      <c r="H401" s="336" t="n"/>
      <c r="I401" s="285" t="n"/>
      <c r="J401" s="285" t="n"/>
      <c r="K401" s="285" t="n"/>
      <c r="L401" s="285" t="n"/>
      <c r="M401" s="285" t="n"/>
      <c r="N401" s="285" t="n"/>
      <c r="O401" s="285" t="n"/>
      <c r="P401" s="285" t="n"/>
      <c r="Q401" s="285" t="n"/>
      <c r="R401" s="285" t="n"/>
      <c r="S401" s="284" t="n"/>
      <c r="T401" s="284" t="n"/>
      <c r="U401" s="285" t="n"/>
      <c r="V401" s="285" t="n"/>
      <c r="W401" s="285" t="n"/>
      <c r="X401" s="285" t="n"/>
      <c r="Y401" s="285" t="n"/>
      <c r="Z401" s="285" t="n"/>
      <c r="AA401" s="285" t="n"/>
    </row>
    <row r="402" ht="15.75" customHeight="1" s="398">
      <c r="A402" s="284" t="n"/>
      <c r="B402" s="284" t="n"/>
      <c r="C402" s="285" t="n"/>
      <c r="D402" s="284" t="n"/>
      <c r="E402" s="285" t="n"/>
      <c r="F402" s="285" t="n"/>
      <c r="G402" s="336" t="n"/>
      <c r="H402" s="336" t="n"/>
      <c r="I402" s="285" t="n"/>
      <c r="J402" s="285" t="n"/>
      <c r="K402" s="285" t="n"/>
      <c r="L402" s="285" t="n"/>
      <c r="M402" s="285" t="n"/>
      <c r="N402" s="285" t="n"/>
      <c r="O402" s="285" t="n"/>
      <c r="P402" s="285" t="n"/>
      <c r="Q402" s="285" t="n"/>
      <c r="R402" s="285" t="n"/>
      <c r="S402" s="284" t="n"/>
      <c r="T402" s="284" t="n"/>
      <c r="U402" s="285" t="n"/>
      <c r="V402" s="285" t="n"/>
      <c r="W402" s="285" t="n"/>
      <c r="X402" s="285" t="n"/>
      <c r="Y402" s="285" t="n"/>
      <c r="Z402" s="285" t="n"/>
      <c r="AA402" s="285" t="n"/>
    </row>
    <row r="403" ht="15.75" customHeight="1" s="398">
      <c r="A403" s="284" t="n"/>
      <c r="B403" s="284" t="n"/>
      <c r="C403" s="285" t="n"/>
      <c r="D403" s="284" t="n"/>
      <c r="E403" s="285" t="n"/>
      <c r="F403" s="285" t="n"/>
      <c r="G403" s="336" t="n"/>
      <c r="H403" s="336" t="n"/>
      <c r="I403" s="285" t="n"/>
      <c r="J403" s="285" t="n"/>
      <c r="K403" s="285" t="n"/>
      <c r="L403" s="285" t="n"/>
      <c r="M403" s="285" t="n"/>
      <c r="N403" s="285" t="n"/>
      <c r="O403" s="285" t="n"/>
      <c r="P403" s="285" t="n"/>
      <c r="Q403" s="285" t="n"/>
      <c r="R403" s="285" t="n"/>
      <c r="S403" s="284" t="n"/>
      <c r="T403" s="284" t="n"/>
      <c r="U403" s="285" t="n"/>
      <c r="V403" s="285" t="n"/>
      <c r="W403" s="285" t="n"/>
      <c r="X403" s="285" t="n"/>
      <c r="Y403" s="285" t="n"/>
      <c r="Z403" s="285" t="n"/>
      <c r="AA403" s="285" t="n"/>
    </row>
    <row r="404" ht="15.75" customHeight="1" s="398">
      <c r="A404" s="284" t="n"/>
      <c r="B404" s="284" t="n"/>
      <c r="C404" s="285" t="n"/>
      <c r="D404" s="284" t="n"/>
      <c r="E404" s="285" t="n"/>
      <c r="F404" s="285" t="n"/>
      <c r="G404" s="336" t="n"/>
      <c r="H404" s="336" t="n"/>
      <c r="I404" s="285" t="n"/>
      <c r="J404" s="285" t="n"/>
      <c r="K404" s="285" t="n"/>
      <c r="L404" s="285" t="n"/>
      <c r="M404" s="285" t="n"/>
      <c r="N404" s="285" t="n"/>
      <c r="O404" s="285" t="n"/>
      <c r="P404" s="285" t="n"/>
      <c r="Q404" s="285" t="n"/>
      <c r="R404" s="285" t="n"/>
      <c r="S404" s="284" t="n"/>
      <c r="T404" s="284" t="n"/>
      <c r="U404" s="285" t="n"/>
      <c r="V404" s="285" t="n"/>
      <c r="W404" s="285" t="n"/>
      <c r="X404" s="285" t="n"/>
      <c r="Y404" s="285" t="n"/>
      <c r="Z404" s="285" t="n"/>
      <c r="AA404" s="285" t="n"/>
    </row>
    <row r="405" ht="15.75" customHeight="1" s="398">
      <c r="A405" s="284" t="n"/>
      <c r="B405" s="284" t="n"/>
      <c r="C405" s="285" t="n"/>
      <c r="D405" s="284" t="n"/>
      <c r="E405" s="285" t="n"/>
      <c r="F405" s="285" t="n"/>
      <c r="G405" s="336" t="n"/>
      <c r="H405" s="336" t="n"/>
      <c r="I405" s="285" t="n"/>
      <c r="J405" s="285" t="n"/>
      <c r="K405" s="285" t="n"/>
      <c r="L405" s="285" t="n"/>
      <c r="M405" s="285" t="n"/>
      <c r="N405" s="285" t="n"/>
      <c r="O405" s="285" t="n"/>
      <c r="P405" s="285" t="n"/>
      <c r="Q405" s="285" t="n"/>
      <c r="R405" s="285" t="n"/>
      <c r="S405" s="284" t="n"/>
      <c r="T405" s="284" t="n"/>
      <c r="U405" s="285" t="n"/>
      <c r="V405" s="285" t="n"/>
      <c r="W405" s="285" t="n"/>
      <c r="X405" s="285" t="n"/>
      <c r="Y405" s="285" t="n"/>
      <c r="Z405" s="285" t="n"/>
      <c r="AA405" s="285" t="n"/>
    </row>
    <row r="406" ht="15.75" customHeight="1" s="398">
      <c r="A406" s="284" t="n"/>
      <c r="B406" s="284" t="n"/>
      <c r="C406" s="285" t="n"/>
      <c r="D406" s="284" t="n"/>
      <c r="E406" s="285" t="n"/>
      <c r="F406" s="285" t="n"/>
      <c r="G406" s="336" t="n"/>
      <c r="H406" s="336" t="n"/>
      <c r="I406" s="285" t="n"/>
      <c r="J406" s="285" t="n"/>
      <c r="K406" s="285" t="n"/>
      <c r="L406" s="285" t="n"/>
      <c r="M406" s="285" t="n"/>
      <c r="N406" s="285" t="n"/>
      <c r="O406" s="285" t="n"/>
      <c r="P406" s="285" t="n"/>
      <c r="Q406" s="285" t="n"/>
      <c r="R406" s="285" t="n"/>
      <c r="S406" s="284" t="n"/>
      <c r="T406" s="284" t="n"/>
      <c r="U406" s="285" t="n"/>
      <c r="V406" s="285" t="n"/>
      <c r="W406" s="285" t="n"/>
      <c r="X406" s="285" t="n"/>
      <c r="Y406" s="285" t="n"/>
      <c r="Z406" s="285" t="n"/>
      <c r="AA406" s="285" t="n"/>
    </row>
    <row r="407" ht="15.75" customHeight="1" s="398">
      <c r="A407" s="284" t="n"/>
      <c r="B407" s="284" t="n"/>
      <c r="C407" s="285" t="n"/>
      <c r="D407" s="284" t="n"/>
      <c r="E407" s="285" t="n"/>
      <c r="F407" s="285" t="n"/>
      <c r="G407" s="336" t="n"/>
      <c r="H407" s="336" t="n"/>
      <c r="I407" s="285" t="n"/>
      <c r="J407" s="285" t="n"/>
      <c r="K407" s="285" t="n"/>
      <c r="L407" s="285" t="n"/>
      <c r="M407" s="285" t="n"/>
      <c r="N407" s="285" t="n"/>
      <c r="O407" s="285" t="n"/>
      <c r="P407" s="285" t="n"/>
      <c r="Q407" s="285" t="n"/>
      <c r="R407" s="285" t="n"/>
      <c r="S407" s="284" t="n"/>
      <c r="T407" s="284" t="n"/>
      <c r="U407" s="285" t="n"/>
      <c r="V407" s="285" t="n"/>
      <c r="W407" s="285" t="n"/>
      <c r="X407" s="285" t="n"/>
      <c r="Y407" s="285" t="n"/>
      <c r="Z407" s="285" t="n"/>
      <c r="AA407" s="285" t="n"/>
    </row>
    <row r="408" ht="15.75" customHeight="1" s="398">
      <c r="A408" s="284" t="n"/>
      <c r="B408" s="284" t="n"/>
      <c r="C408" s="285" t="n"/>
      <c r="D408" s="284" t="n"/>
      <c r="E408" s="285" t="n"/>
      <c r="F408" s="285" t="n"/>
      <c r="G408" s="336" t="n"/>
      <c r="H408" s="336" t="n"/>
      <c r="I408" s="285" t="n"/>
      <c r="J408" s="285" t="n"/>
      <c r="K408" s="285" t="n"/>
      <c r="L408" s="285" t="n"/>
      <c r="M408" s="285" t="n"/>
      <c r="N408" s="285" t="n"/>
      <c r="O408" s="285" t="n"/>
      <c r="P408" s="285" t="n"/>
      <c r="Q408" s="285" t="n"/>
      <c r="R408" s="285" t="n"/>
      <c r="S408" s="284" t="n"/>
      <c r="T408" s="284" t="n"/>
      <c r="U408" s="285" t="n"/>
      <c r="V408" s="285" t="n"/>
      <c r="W408" s="285" t="n"/>
      <c r="X408" s="285" t="n"/>
      <c r="Y408" s="285" t="n"/>
      <c r="Z408" s="285" t="n"/>
      <c r="AA408" s="285" t="n"/>
    </row>
    <row r="409" ht="15.75" customHeight="1" s="398">
      <c r="A409" s="284" t="n"/>
      <c r="B409" s="284" t="n"/>
      <c r="C409" s="285" t="n"/>
      <c r="D409" s="284" t="n"/>
      <c r="E409" s="285" t="n"/>
      <c r="F409" s="285" t="n"/>
      <c r="G409" s="336" t="n"/>
      <c r="H409" s="336" t="n"/>
      <c r="I409" s="285" t="n"/>
      <c r="J409" s="285" t="n"/>
      <c r="K409" s="285" t="n"/>
      <c r="L409" s="285" t="n"/>
      <c r="M409" s="285" t="n"/>
      <c r="N409" s="285" t="n"/>
      <c r="O409" s="285" t="n"/>
      <c r="P409" s="285" t="n"/>
      <c r="Q409" s="285" t="n"/>
      <c r="R409" s="285" t="n"/>
      <c r="S409" s="284" t="n"/>
      <c r="T409" s="284" t="n"/>
      <c r="U409" s="285" t="n"/>
      <c r="V409" s="285" t="n"/>
      <c r="W409" s="285" t="n"/>
      <c r="X409" s="285" t="n"/>
      <c r="Y409" s="285" t="n"/>
      <c r="Z409" s="285" t="n"/>
      <c r="AA409" s="285" t="n"/>
    </row>
    <row r="410" ht="15.75" customHeight="1" s="398">
      <c r="A410" s="284" t="n"/>
      <c r="B410" s="284" t="n"/>
      <c r="C410" s="285" t="n"/>
      <c r="D410" s="284" t="n"/>
      <c r="E410" s="285" t="n"/>
      <c r="F410" s="285" t="n"/>
      <c r="G410" s="336" t="n"/>
      <c r="H410" s="336" t="n"/>
      <c r="I410" s="285" t="n"/>
      <c r="J410" s="285" t="n"/>
      <c r="K410" s="285" t="n"/>
      <c r="L410" s="285" t="n"/>
      <c r="M410" s="285" t="n"/>
      <c r="N410" s="285" t="n"/>
      <c r="O410" s="285" t="n"/>
      <c r="P410" s="285" t="n"/>
      <c r="Q410" s="285" t="n"/>
      <c r="R410" s="285" t="n"/>
      <c r="S410" s="284" t="n"/>
      <c r="T410" s="284" t="n"/>
      <c r="U410" s="285" t="n"/>
      <c r="V410" s="285" t="n"/>
      <c r="W410" s="285" t="n"/>
      <c r="X410" s="285" t="n"/>
      <c r="Y410" s="285" t="n"/>
      <c r="Z410" s="285" t="n"/>
      <c r="AA410" s="285" t="n"/>
    </row>
    <row r="411" ht="15.75" customHeight="1" s="398">
      <c r="A411" s="284" t="n"/>
      <c r="B411" s="284" t="n"/>
      <c r="C411" s="285" t="n"/>
      <c r="D411" s="284" t="n"/>
      <c r="E411" s="285" t="n"/>
      <c r="F411" s="285" t="n"/>
      <c r="G411" s="336" t="n"/>
      <c r="H411" s="336" t="n"/>
      <c r="I411" s="285" t="n"/>
      <c r="J411" s="285" t="n"/>
      <c r="K411" s="285" t="n"/>
      <c r="L411" s="285" t="n"/>
      <c r="M411" s="285" t="n"/>
      <c r="N411" s="285" t="n"/>
      <c r="O411" s="285" t="n"/>
      <c r="P411" s="285" t="n"/>
      <c r="Q411" s="285" t="n"/>
      <c r="R411" s="285" t="n"/>
      <c r="S411" s="284" t="n"/>
      <c r="T411" s="284" t="n"/>
      <c r="U411" s="285" t="n"/>
      <c r="V411" s="285" t="n"/>
      <c r="W411" s="285" t="n"/>
      <c r="X411" s="285" t="n"/>
      <c r="Y411" s="285" t="n"/>
      <c r="Z411" s="285" t="n"/>
      <c r="AA411" s="285" t="n"/>
    </row>
    <row r="412" ht="15.75" customHeight="1" s="398">
      <c r="A412" s="284" t="n"/>
      <c r="B412" s="284" t="n"/>
      <c r="C412" s="285" t="n"/>
      <c r="D412" s="284" t="n"/>
      <c r="E412" s="285" t="n"/>
      <c r="F412" s="285" t="n"/>
      <c r="G412" s="336" t="n"/>
      <c r="H412" s="336" t="n"/>
      <c r="I412" s="285" t="n"/>
      <c r="J412" s="285" t="n"/>
      <c r="K412" s="285" t="n"/>
      <c r="L412" s="285" t="n"/>
      <c r="M412" s="285" t="n"/>
      <c r="N412" s="285" t="n"/>
      <c r="O412" s="285" t="n"/>
      <c r="P412" s="285" t="n"/>
      <c r="Q412" s="285" t="n"/>
      <c r="R412" s="285" t="n"/>
      <c r="S412" s="284" t="n"/>
      <c r="T412" s="284" t="n"/>
      <c r="U412" s="285" t="n"/>
      <c r="V412" s="285" t="n"/>
      <c r="W412" s="285" t="n"/>
      <c r="X412" s="285" t="n"/>
      <c r="Y412" s="285" t="n"/>
      <c r="Z412" s="285" t="n"/>
      <c r="AA412" s="285" t="n"/>
    </row>
    <row r="413" ht="15.75" customHeight="1" s="398">
      <c r="A413" s="284" t="n"/>
      <c r="B413" s="284" t="n"/>
      <c r="C413" s="285" t="n"/>
      <c r="D413" s="284" t="n"/>
      <c r="E413" s="285" t="n"/>
      <c r="F413" s="285" t="n"/>
      <c r="G413" s="336" t="n"/>
      <c r="H413" s="336" t="n"/>
      <c r="I413" s="285" t="n"/>
      <c r="J413" s="285" t="n"/>
      <c r="K413" s="285" t="n"/>
      <c r="L413" s="285" t="n"/>
      <c r="M413" s="285" t="n"/>
      <c r="N413" s="285" t="n"/>
      <c r="O413" s="285" t="n"/>
      <c r="P413" s="285" t="n"/>
      <c r="Q413" s="285" t="n"/>
      <c r="R413" s="285" t="n"/>
      <c r="S413" s="284" t="n"/>
      <c r="T413" s="284" t="n"/>
      <c r="U413" s="285" t="n"/>
      <c r="V413" s="285" t="n"/>
      <c r="W413" s="285" t="n"/>
      <c r="X413" s="285" t="n"/>
      <c r="Y413" s="285" t="n"/>
      <c r="Z413" s="285" t="n"/>
      <c r="AA413" s="285" t="n"/>
    </row>
    <row r="414" ht="15.75" customHeight="1" s="398">
      <c r="A414" s="284" t="n"/>
      <c r="B414" s="284" t="n"/>
      <c r="C414" s="285" t="n"/>
      <c r="D414" s="284" t="n"/>
      <c r="E414" s="285" t="n"/>
      <c r="F414" s="285" t="n"/>
      <c r="G414" s="336" t="n"/>
      <c r="H414" s="336" t="n"/>
      <c r="I414" s="285" t="n"/>
      <c r="J414" s="285" t="n"/>
      <c r="K414" s="285" t="n"/>
      <c r="L414" s="285" t="n"/>
      <c r="M414" s="285" t="n"/>
      <c r="N414" s="285" t="n"/>
      <c r="O414" s="285" t="n"/>
      <c r="P414" s="285" t="n"/>
      <c r="Q414" s="285" t="n"/>
      <c r="R414" s="285" t="n"/>
      <c r="S414" s="284" t="n"/>
      <c r="T414" s="284" t="n"/>
      <c r="U414" s="285" t="n"/>
      <c r="V414" s="285" t="n"/>
      <c r="W414" s="285" t="n"/>
      <c r="X414" s="285" t="n"/>
      <c r="Y414" s="285" t="n"/>
      <c r="Z414" s="285" t="n"/>
      <c r="AA414" s="285" t="n"/>
    </row>
    <row r="415" ht="15.75" customHeight="1" s="398">
      <c r="A415" s="284" t="n"/>
      <c r="B415" s="284" t="n"/>
      <c r="C415" s="285" t="n"/>
      <c r="D415" s="284" t="n"/>
      <c r="E415" s="285" t="n"/>
      <c r="F415" s="285" t="n"/>
      <c r="G415" s="336" t="n"/>
      <c r="H415" s="336" t="n"/>
      <c r="I415" s="285" t="n"/>
      <c r="J415" s="285" t="n"/>
      <c r="K415" s="285" t="n"/>
      <c r="L415" s="285" t="n"/>
      <c r="M415" s="285" t="n"/>
      <c r="N415" s="285" t="n"/>
      <c r="O415" s="285" t="n"/>
      <c r="P415" s="285" t="n"/>
      <c r="Q415" s="285" t="n"/>
      <c r="R415" s="285" t="n"/>
      <c r="S415" s="284" t="n"/>
      <c r="T415" s="284" t="n"/>
      <c r="U415" s="285" t="n"/>
      <c r="V415" s="285" t="n"/>
      <c r="W415" s="285" t="n"/>
      <c r="X415" s="285" t="n"/>
      <c r="Y415" s="285" t="n"/>
      <c r="Z415" s="285" t="n"/>
      <c r="AA415" s="285" t="n"/>
    </row>
    <row r="416" ht="15.75" customHeight="1" s="398">
      <c r="A416" s="284" t="n"/>
      <c r="B416" s="284" t="n"/>
      <c r="C416" s="285" t="n"/>
      <c r="D416" s="284" t="n"/>
      <c r="E416" s="285" t="n"/>
      <c r="F416" s="285" t="n"/>
      <c r="G416" s="336" t="n"/>
      <c r="H416" s="336" t="n"/>
      <c r="I416" s="285" t="n"/>
      <c r="J416" s="285" t="n"/>
      <c r="K416" s="285" t="n"/>
      <c r="L416" s="285" t="n"/>
      <c r="M416" s="285" t="n"/>
      <c r="N416" s="285" t="n"/>
      <c r="O416" s="285" t="n"/>
      <c r="P416" s="285" t="n"/>
      <c r="Q416" s="285" t="n"/>
      <c r="R416" s="285" t="n"/>
      <c r="S416" s="284" t="n"/>
      <c r="T416" s="284" t="n"/>
      <c r="U416" s="285" t="n"/>
      <c r="V416" s="285" t="n"/>
      <c r="W416" s="285" t="n"/>
      <c r="X416" s="285" t="n"/>
      <c r="Y416" s="285" t="n"/>
      <c r="Z416" s="285" t="n"/>
      <c r="AA416" s="285" t="n"/>
    </row>
    <row r="417" ht="15.75" customHeight="1" s="398">
      <c r="A417" s="284" t="n"/>
      <c r="B417" s="284" t="n"/>
      <c r="C417" s="285" t="n"/>
      <c r="D417" s="284" t="n"/>
      <c r="E417" s="285" t="n"/>
      <c r="F417" s="285" t="n"/>
      <c r="G417" s="336" t="n"/>
      <c r="H417" s="336" t="n"/>
      <c r="I417" s="285" t="n"/>
      <c r="J417" s="285" t="n"/>
      <c r="K417" s="285" t="n"/>
      <c r="L417" s="285" t="n"/>
      <c r="M417" s="285" t="n"/>
      <c r="N417" s="285" t="n"/>
      <c r="O417" s="285" t="n"/>
      <c r="P417" s="285" t="n"/>
      <c r="Q417" s="285" t="n"/>
      <c r="R417" s="285" t="n"/>
      <c r="S417" s="284" t="n"/>
      <c r="T417" s="284" t="n"/>
      <c r="U417" s="285" t="n"/>
      <c r="V417" s="285" t="n"/>
      <c r="W417" s="285" t="n"/>
      <c r="X417" s="285" t="n"/>
      <c r="Y417" s="285" t="n"/>
      <c r="Z417" s="285" t="n"/>
      <c r="AA417" s="285" t="n"/>
    </row>
    <row r="418" ht="15.75" customHeight="1" s="398">
      <c r="A418" s="284" t="n"/>
      <c r="B418" s="284" t="n"/>
      <c r="C418" s="285" t="n"/>
      <c r="D418" s="284" t="n"/>
      <c r="E418" s="285" t="n"/>
      <c r="F418" s="285" t="n"/>
      <c r="G418" s="336" t="n"/>
      <c r="H418" s="336" t="n"/>
      <c r="I418" s="285" t="n"/>
      <c r="J418" s="285" t="n"/>
      <c r="K418" s="285" t="n"/>
      <c r="L418" s="285" t="n"/>
      <c r="M418" s="285" t="n"/>
      <c r="N418" s="285" t="n"/>
      <c r="O418" s="285" t="n"/>
      <c r="P418" s="285" t="n"/>
      <c r="Q418" s="285" t="n"/>
      <c r="R418" s="285" t="n"/>
      <c r="S418" s="284" t="n"/>
      <c r="T418" s="284" t="n"/>
      <c r="U418" s="285" t="n"/>
      <c r="V418" s="285" t="n"/>
      <c r="W418" s="285" t="n"/>
      <c r="X418" s="285" t="n"/>
      <c r="Y418" s="285" t="n"/>
      <c r="Z418" s="285" t="n"/>
      <c r="AA418" s="285" t="n"/>
    </row>
    <row r="419" ht="15.75" customHeight="1" s="398">
      <c r="A419" s="284" t="n"/>
      <c r="B419" s="284" t="n"/>
      <c r="C419" s="285" t="n"/>
      <c r="D419" s="284" t="n"/>
      <c r="E419" s="285" t="n"/>
      <c r="F419" s="285" t="n"/>
      <c r="G419" s="336" t="n"/>
      <c r="H419" s="336" t="n"/>
      <c r="I419" s="285" t="n"/>
      <c r="J419" s="285" t="n"/>
      <c r="K419" s="285" t="n"/>
      <c r="L419" s="285" t="n"/>
      <c r="M419" s="285" t="n"/>
      <c r="N419" s="285" t="n"/>
      <c r="O419" s="285" t="n"/>
      <c r="P419" s="285" t="n"/>
      <c r="Q419" s="285" t="n"/>
      <c r="R419" s="285" t="n"/>
      <c r="S419" s="284" t="n"/>
      <c r="T419" s="284" t="n"/>
      <c r="U419" s="285" t="n"/>
      <c r="V419" s="285" t="n"/>
      <c r="W419" s="285" t="n"/>
      <c r="X419" s="285" t="n"/>
      <c r="Y419" s="285" t="n"/>
      <c r="Z419" s="285" t="n"/>
      <c r="AA419" s="285" t="n"/>
    </row>
    <row r="420" ht="15.75" customHeight="1" s="398">
      <c r="A420" s="284" t="n"/>
      <c r="B420" s="284" t="n"/>
      <c r="C420" s="285" t="n"/>
      <c r="D420" s="284" t="n"/>
      <c r="E420" s="285" t="n"/>
      <c r="F420" s="285" t="n"/>
      <c r="G420" s="336" t="n"/>
      <c r="H420" s="336" t="n"/>
      <c r="I420" s="285" t="n"/>
      <c r="J420" s="285" t="n"/>
      <c r="K420" s="285" t="n"/>
      <c r="L420" s="285" t="n"/>
      <c r="M420" s="285" t="n"/>
      <c r="N420" s="285" t="n"/>
      <c r="O420" s="285" t="n"/>
      <c r="P420" s="285" t="n"/>
      <c r="Q420" s="285" t="n"/>
      <c r="R420" s="285" t="n"/>
      <c r="S420" s="284" t="n"/>
      <c r="T420" s="284" t="n"/>
      <c r="U420" s="285" t="n"/>
      <c r="V420" s="285" t="n"/>
      <c r="W420" s="285" t="n"/>
      <c r="X420" s="285" t="n"/>
      <c r="Y420" s="285" t="n"/>
      <c r="Z420" s="285" t="n"/>
      <c r="AA420" s="285" t="n"/>
    </row>
    <row r="421" ht="15.75" customHeight="1" s="398">
      <c r="A421" s="284" t="n"/>
      <c r="B421" s="284" t="n"/>
      <c r="C421" s="285" t="n"/>
      <c r="D421" s="284" t="n"/>
      <c r="E421" s="285" t="n"/>
      <c r="F421" s="285" t="n"/>
      <c r="G421" s="336" t="n"/>
      <c r="H421" s="336" t="n"/>
      <c r="I421" s="285" t="n"/>
      <c r="J421" s="285" t="n"/>
      <c r="K421" s="285" t="n"/>
      <c r="L421" s="285" t="n"/>
      <c r="M421" s="285" t="n"/>
      <c r="N421" s="285" t="n"/>
      <c r="O421" s="285" t="n"/>
      <c r="P421" s="285" t="n"/>
      <c r="Q421" s="285" t="n"/>
      <c r="R421" s="285" t="n"/>
      <c r="S421" s="284" t="n"/>
      <c r="T421" s="284" t="n"/>
      <c r="U421" s="285" t="n"/>
      <c r="V421" s="285" t="n"/>
      <c r="W421" s="285" t="n"/>
      <c r="X421" s="285" t="n"/>
      <c r="Y421" s="285" t="n"/>
      <c r="Z421" s="285" t="n"/>
      <c r="AA421" s="285" t="n"/>
    </row>
    <row r="422" ht="15.75" customHeight="1" s="398">
      <c r="A422" s="284" t="n"/>
      <c r="B422" s="284" t="n"/>
      <c r="C422" s="285" t="n"/>
      <c r="D422" s="284" t="n"/>
      <c r="E422" s="285" t="n"/>
      <c r="F422" s="285" t="n"/>
      <c r="G422" s="336" t="n"/>
      <c r="H422" s="336" t="n"/>
      <c r="I422" s="285" t="n"/>
      <c r="J422" s="285" t="n"/>
      <c r="K422" s="285" t="n"/>
      <c r="L422" s="285" t="n"/>
      <c r="M422" s="285" t="n"/>
      <c r="N422" s="285" t="n"/>
      <c r="O422" s="285" t="n"/>
      <c r="P422" s="285" t="n"/>
      <c r="Q422" s="285" t="n"/>
      <c r="R422" s="285" t="n"/>
      <c r="S422" s="284" t="n"/>
      <c r="T422" s="284" t="n"/>
      <c r="U422" s="285" t="n"/>
      <c r="V422" s="285" t="n"/>
      <c r="W422" s="285" t="n"/>
      <c r="X422" s="285" t="n"/>
      <c r="Y422" s="285" t="n"/>
      <c r="Z422" s="285" t="n"/>
      <c r="AA422" s="285" t="n"/>
    </row>
    <row r="423" ht="15.75" customHeight="1" s="398">
      <c r="A423" s="284" t="n"/>
      <c r="B423" s="284" t="n"/>
      <c r="C423" s="285" t="n"/>
      <c r="D423" s="284" t="n"/>
      <c r="E423" s="285" t="n"/>
      <c r="F423" s="285" t="n"/>
      <c r="G423" s="336" t="n"/>
      <c r="H423" s="336" t="n"/>
      <c r="I423" s="285" t="n"/>
      <c r="J423" s="285" t="n"/>
      <c r="K423" s="285" t="n"/>
      <c r="L423" s="285" t="n"/>
      <c r="M423" s="285" t="n"/>
      <c r="N423" s="285" t="n"/>
      <c r="O423" s="285" t="n"/>
      <c r="P423" s="285" t="n"/>
      <c r="Q423" s="285" t="n"/>
      <c r="R423" s="285" t="n"/>
      <c r="S423" s="284" t="n"/>
      <c r="T423" s="284" t="n"/>
      <c r="U423" s="285" t="n"/>
      <c r="V423" s="285" t="n"/>
      <c r="W423" s="285" t="n"/>
      <c r="X423" s="285" t="n"/>
      <c r="Y423" s="285" t="n"/>
      <c r="Z423" s="285" t="n"/>
      <c r="AA423" s="285" t="n"/>
    </row>
    <row r="424" ht="15.75" customHeight="1" s="398">
      <c r="A424" s="284" t="n"/>
      <c r="B424" s="284" t="n"/>
      <c r="C424" s="285" t="n"/>
      <c r="D424" s="284" t="n"/>
      <c r="E424" s="285" t="n"/>
      <c r="F424" s="285" t="n"/>
      <c r="G424" s="336" t="n"/>
      <c r="H424" s="336" t="n"/>
      <c r="I424" s="285" t="n"/>
      <c r="J424" s="285" t="n"/>
      <c r="K424" s="285" t="n"/>
      <c r="L424" s="285" t="n"/>
      <c r="M424" s="285" t="n"/>
      <c r="N424" s="285" t="n"/>
      <c r="O424" s="285" t="n"/>
      <c r="P424" s="285" t="n"/>
      <c r="Q424" s="285" t="n"/>
      <c r="R424" s="285" t="n"/>
      <c r="S424" s="284" t="n"/>
      <c r="T424" s="284" t="n"/>
      <c r="U424" s="285" t="n"/>
      <c r="V424" s="285" t="n"/>
      <c r="W424" s="285" t="n"/>
      <c r="X424" s="285" t="n"/>
      <c r="Y424" s="285" t="n"/>
      <c r="Z424" s="285" t="n"/>
      <c r="AA424" s="285" t="n"/>
    </row>
    <row r="425" ht="15.75" customHeight="1" s="398">
      <c r="A425" s="284" t="n"/>
      <c r="B425" s="284" t="n"/>
      <c r="C425" s="285" t="n"/>
      <c r="D425" s="284" t="n"/>
      <c r="E425" s="285" t="n"/>
      <c r="F425" s="285" t="n"/>
      <c r="G425" s="336" t="n"/>
      <c r="H425" s="336" t="n"/>
      <c r="I425" s="285" t="n"/>
      <c r="J425" s="285" t="n"/>
      <c r="K425" s="285" t="n"/>
      <c r="L425" s="285" t="n"/>
      <c r="M425" s="285" t="n"/>
      <c r="N425" s="285" t="n"/>
      <c r="O425" s="285" t="n"/>
      <c r="P425" s="285" t="n"/>
      <c r="Q425" s="285" t="n"/>
      <c r="R425" s="285" t="n"/>
      <c r="S425" s="284" t="n"/>
      <c r="T425" s="284" t="n"/>
      <c r="U425" s="285" t="n"/>
      <c r="V425" s="285" t="n"/>
      <c r="W425" s="285" t="n"/>
      <c r="X425" s="285" t="n"/>
      <c r="Y425" s="285" t="n"/>
      <c r="Z425" s="285" t="n"/>
      <c r="AA425" s="285" t="n"/>
    </row>
    <row r="426" ht="15.75" customHeight="1" s="398">
      <c r="A426" s="284" t="n"/>
      <c r="B426" s="284" t="n"/>
      <c r="C426" s="285" t="n"/>
      <c r="D426" s="284" t="n"/>
      <c r="E426" s="285" t="n"/>
      <c r="F426" s="285" t="n"/>
      <c r="G426" s="336" t="n"/>
      <c r="H426" s="336" t="n"/>
      <c r="I426" s="285" t="n"/>
      <c r="J426" s="285" t="n"/>
      <c r="K426" s="285" t="n"/>
      <c r="L426" s="285" t="n"/>
      <c r="M426" s="285" t="n"/>
      <c r="N426" s="285" t="n"/>
      <c r="O426" s="285" t="n"/>
      <c r="P426" s="285" t="n"/>
      <c r="Q426" s="285" t="n"/>
      <c r="R426" s="285" t="n"/>
      <c r="S426" s="284" t="n"/>
      <c r="T426" s="284" t="n"/>
      <c r="U426" s="285" t="n"/>
      <c r="V426" s="285" t="n"/>
      <c r="W426" s="285" t="n"/>
      <c r="X426" s="285" t="n"/>
      <c r="Y426" s="285" t="n"/>
      <c r="Z426" s="285" t="n"/>
      <c r="AA426" s="285" t="n"/>
    </row>
    <row r="427" ht="15.75" customHeight="1" s="398">
      <c r="A427" s="284" t="n"/>
      <c r="B427" s="284" t="n"/>
      <c r="C427" s="285" t="n"/>
      <c r="D427" s="284" t="n"/>
      <c r="E427" s="285" t="n"/>
      <c r="F427" s="285" t="n"/>
      <c r="G427" s="336" t="n"/>
      <c r="H427" s="336" t="n"/>
      <c r="I427" s="285" t="n"/>
      <c r="J427" s="285" t="n"/>
      <c r="K427" s="285" t="n"/>
      <c r="L427" s="285" t="n"/>
      <c r="M427" s="285" t="n"/>
      <c r="N427" s="285" t="n"/>
      <c r="O427" s="285" t="n"/>
      <c r="P427" s="285" t="n"/>
      <c r="Q427" s="285" t="n"/>
      <c r="R427" s="285" t="n"/>
      <c r="S427" s="284" t="n"/>
      <c r="T427" s="284" t="n"/>
      <c r="U427" s="285" t="n"/>
      <c r="V427" s="285" t="n"/>
      <c r="W427" s="285" t="n"/>
      <c r="X427" s="285" t="n"/>
      <c r="Y427" s="285" t="n"/>
      <c r="Z427" s="285" t="n"/>
      <c r="AA427" s="285" t="n"/>
    </row>
    <row r="428" ht="15.75" customHeight="1" s="398">
      <c r="A428" s="284" t="n"/>
      <c r="B428" s="284" t="n"/>
      <c r="C428" s="285" t="n"/>
      <c r="D428" s="284" t="n"/>
      <c r="E428" s="285" t="n"/>
      <c r="F428" s="285" t="n"/>
      <c r="G428" s="336" t="n"/>
      <c r="H428" s="336" t="n"/>
      <c r="I428" s="285" t="n"/>
      <c r="J428" s="285" t="n"/>
      <c r="K428" s="285" t="n"/>
      <c r="L428" s="285" t="n"/>
      <c r="M428" s="285" t="n"/>
      <c r="N428" s="285" t="n"/>
      <c r="O428" s="285" t="n"/>
      <c r="P428" s="285" t="n"/>
      <c r="Q428" s="285" t="n"/>
      <c r="R428" s="285" t="n"/>
      <c r="S428" s="284" t="n"/>
      <c r="T428" s="284" t="n"/>
      <c r="U428" s="285" t="n"/>
      <c r="V428" s="285" t="n"/>
      <c r="W428" s="285" t="n"/>
      <c r="X428" s="285" t="n"/>
      <c r="Y428" s="285" t="n"/>
      <c r="Z428" s="285" t="n"/>
      <c r="AA428" s="285" t="n"/>
    </row>
    <row r="429" ht="15.75" customHeight="1" s="398">
      <c r="A429" s="284" t="n"/>
      <c r="B429" s="284" t="n"/>
      <c r="C429" s="285" t="n"/>
      <c r="D429" s="284" t="n"/>
      <c r="E429" s="285" t="n"/>
      <c r="F429" s="285" t="n"/>
      <c r="G429" s="336" t="n"/>
      <c r="H429" s="336" t="n"/>
      <c r="I429" s="285" t="n"/>
      <c r="J429" s="285" t="n"/>
      <c r="K429" s="285" t="n"/>
      <c r="L429" s="285" t="n"/>
      <c r="M429" s="285" t="n"/>
      <c r="N429" s="285" t="n"/>
      <c r="O429" s="285" t="n"/>
      <c r="P429" s="285" t="n"/>
      <c r="Q429" s="285" t="n"/>
      <c r="R429" s="285" t="n"/>
      <c r="S429" s="284" t="n"/>
      <c r="T429" s="284" t="n"/>
      <c r="U429" s="285" t="n"/>
      <c r="V429" s="285" t="n"/>
      <c r="W429" s="285" t="n"/>
      <c r="X429" s="285" t="n"/>
      <c r="Y429" s="285" t="n"/>
      <c r="Z429" s="285" t="n"/>
      <c r="AA429" s="285" t="n"/>
    </row>
    <row r="430" ht="15.75" customHeight="1" s="398">
      <c r="A430" s="284" t="n"/>
      <c r="B430" s="284" t="n"/>
      <c r="C430" s="285" t="n"/>
      <c r="D430" s="284" t="n"/>
      <c r="E430" s="285" t="n"/>
      <c r="F430" s="285" t="n"/>
      <c r="G430" s="336" t="n"/>
      <c r="H430" s="336" t="n"/>
      <c r="I430" s="285" t="n"/>
      <c r="J430" s="285" t="n"/>
      <c r="K430" s="285" t="n"/>
      <c r="L430" s="285" t="n"/>
      <c r="M430" s="285" t="n"/>
      <c r="N430" s="285" t="n"/>
      <c r="O430" s="285" t="n"/>
      <c r="P430" s="285" t="n"/>
      <c r="Q430" s="285" t="n"/>
      <c r="R430" s="285" t="n"/>
      <c r="S430" s="284" t="n"/>
      <c r="T430" s="284" t="n"/>
      <c r="U430" s="285" t="n"/>
      <c r="V430" s="285" t="n"/>
      <c r="W430" s="285" t="n"/>
      <c r="X430" s="285" t="n"/>
      <c r="Y430" s="285" t="n"/>
      <c r="Z430" s="285" t="n"/>
      <c r="AA430" s="285" t="n"/>
    </row>
    <row r="431" ht="15.75" customHeight="1" s="398">
      <c r="A431" s="284" t="n"/>
      <c r="B431" s="284" t="n"/>
      <c r="C431" s="285" t="n"/>
      <c r="D431" s="284" t="n"/>
      <c r="E431" s="285" t="n"/>
      <c r="F431" s="285" t="n"/>
      <c r="G431" s="336" t="n"/>
      <c r="H431" s="336" t="n"/>
      <c r="I431" s="285" t="n"/>
      <c r="J431" s="285" t="n"/>
      <c r="K431" s="285" t="n"/>
      <c r="L431" s="285" t="n"/>
      <c r="M431" s="285" t="n"/>
      <c r="N431" s="285" t="n"/>
      <c r="O431" s="285" t="n"/>
      <c r="P431" s="285" t="n"/>
      <c r="Q431" s="285" t="n"/>
      <c r="R431" s="285" t="n"/>
      <c r="S431" s="284" t="n"/>
      <c r="T431" s="284" t="n"/>
      <c r="U431" s="285" t="n"/>
      <c r="V431" s="285" t="n"/>
      <c r="W431" s="285" t="n"/>
      <c r="X431" s="285" t="n"/>
      <c r="Y431" s="285" t="n"/>
      <c r="Z431" s="285" t="n"/>
      <c r="AA431" s="285" t="n"/>
    </row>
    <row r="432" ht="15.75" customHeight="1" s="398">
      <c r="A432" s="284" t="n"/>
      <c r="B432" s="284" t="n"/>
      <c r="C432" s="285" t="n"/>
      <c r="D432" s="284" t="n"/>
      <c r="E432" s="285" t="n"/>
      <c r="F432" s="285" t="n"/>
      <c r="G432" s="336" t="n"/>
      <c r="H432" s="336" t="n"/>
      <c r="I432" s="285" t="n"/>
      <c r="J432" s="285" t="n"/>
      <c r="K432" s="285" t="n"/>
      <c r="L432" s="285" t="n"/>
      <c r="M432" s="285" t="n"/>
      <c r="N432" s="285" t="n"/>
      <c r="O432" s="285" t="n"/>
      <c r="P432" s="285" t="n"/>
      <c r="Q432" s="285" t="n"/>
      <c r="R432" s="285" t="n"/>
      <c r="S432" s="284" t="n"/>
      <c r="T432" s="284" t="n"/>
      <c r="U432" s="285" t="n"/>
      <c r="V432" s="285" t="n"/>
      <c r="W432" s="285" t="n"/>
      <c r="X432" s="285" t="n"/>
      <c r="Y432" s="285" t="n"/>
      <c r="Z432" s="285" t="n"/>
      <c r="AA432" s="285" t="n"/>
    </row>
    <row r="433" ht="15.75" customHeight="1" s="398">
      <c r="A433" s="284" t="n"/>
      <c r="B433" s="284" t="n"/>
      <c r="C433" s="285" t="n"/>
      <c r="D433" s="284" t="n"/>
      <c r="E433" s="285" t="n"/>
      <c r="F433" s="285" t="n"/>
      <c r="G433" s="336" t="n"/>
      <c r="H433" s="336" t="n"/>
      <c r="I433" s="285" t="n"/>
      <c r="J433" s="285" t="n"/>
      <c r="K433" s="285" t="n"/>
      <c r="L433" s="285" t="n"/>
      <c r="M433" s="285" t="n"/>
      <c r="N433" s="285" t="n"/>
      <c r="O433" s="285" t="n"/>
      <c r="P433" s="285" t="n"/>
      <c r="Q433" s="285" t="n"/>
      <c r="R433" s="285" t="n"/>
      <c r="S433" s="284" t="n"/>
      <c r="T433" s="284" t="n"/>
      <c r="U433" s="285" t="n"/>
      <c r="V433" s="285" t="n"/>
      <c r="W433" s="285" t="n"/>
      <c r="X433" s="285" t="n"/>
      <c r="Y433" s="285" t="n"/>
      <c r="Z433" s="285" t="n"/>
      <c r="AA433" s="285" t="n"/>
    </row>
    <row r="434" ht="15.75" customHeight="1" s="398">
      <c r="A434" s="284" t="n"/>
      <c r="B434" s="284" t="n"/>
      <c r="C434" s="285" t="n"/>
      <c r="D434" s="284" t="n"/>
      <c r="E434" s="285" t="n"/>
      <c r="F434" s="285" t="n"/>
      <c r="G434" s="336" t="n"/>
      <c r="H434" s="336" t="n"/>
      <c r="I434" s="285" t="n"/>
      <c r="J434" s="285" t="n"/>
      <c r="K434" s="285" t="n"/>
      <c r="L434" s="285" t="n"/>
      <c r="M434" s="285" t="n"/>
      <c r="N434" s="285" t="n"/>
      <c r="O434" s="285" t="n"/>
      <c r="P434" s="285" t="n"/>
      <c r="Q434" s="285" t="n"/>
      <c r="R434" s="285" t="n"/>
      <c r="S434" s="284" t="n"/>
      <c r="T434" s="284" t="n"/>
      <c r="U434" s="285" t="n"/>
      <c r="V434" s="285" t="n"/>
      <c r="W434" s="285" t="n"/>
      <c r="X434" s="285" t="n"/>
      <c r="Y434" s="285" t="n"/>
      <c r="Z434" s="285" t="n"/>
      <c r="AA434" s="285" t="n"/>
    </row>
    <row r="435" ht="15.75" customHeight="1" s="398">
      <c r="A435" s="284" t="n"/>
      <c r="B435" s="284" t="n"/>
      <c r="C435" s="285" t="n"/>
      <c r="D435" s="284" t="n"/>
      <c r="E435" s="285" t="n"/>
      <c r="F435" s="285" t="n"/>
      <c r="G435" s="336" t="n"/>
      <c r="H435" s="336" t="n"/>
      <c r="I435" s="285" t="n"/>
      <c r="J435" s="285" t="n"/>
      <c r="K435" s="285" t="n"/>
      <c r="L435" s="285" t="n"/>
      <c r="M435" s="285" t="n"/>
      <c r="N435" s="285" t="n"/>
      <c r="O435" s="285" t="n"/>
      <c r="P435" s="285" t="n"/>
      <c r="Q435" s="285" t="n"/>
      <c r="R435" s="285" t="n"/>
      <c r="S435" s="284" t="n"/>
      <c r="T435" s="284" t="n"/>
      <c r="U435" s="285" t="n"/>
      <c r="V435" s="285" t="n"/>
      <c r="W435" s="285" t="n"/>
      <c r="X435" s="285" t="n"/>
      <c r="Y435" s="285" t="n"/>
      <c r="Z435" s="285" t="n"/>
      <c r="AA435" s="285" t="n"/>
    </row>
    <row r="436" ht="15.75" customHeight="1" s="398">
      <c r="A436" s="284" t="n"/>
      <c r="B436" s="284" t="n"/>
      <c r="C436" s="285" t="n"/>
      <c r="D436" s="284" t="n"/>
      <c r="E436" s="285" t="n"/>
      <c r="F436" s="285" t="n"/>
      <c r="G436" s="336" t="n"/>
      <c r="H436" s="336" t="n"/>
      <c r="I436" s="285" t="n"/>
      <c r="J436" s="285" t="n"/>
      <c r="K436" s="285" t="n"/>
      <c r="L436" s="285" t="n"/>
      <c r="M436" s="285" t="n"/>
      <c r="N436" s="285" t="n"/>
      <c r="O436" s="285" t="n"/>
      <c r="P436" s="285" t="n"/>
      <c r="Q436" s="285" t="n"/>
      <c r="R436" s="285" t="n"/>
      <c r="S436" s="284" t="n"/>
      <c r="T436" s="284" t="n"/>
      <c r="U436" s="285" t="n"/>
      <c r="V436" s="285" t="n"/>
      <c r="W436" s="285" t="n"/>
      <c r="X436" s="285" t="n"/>
      <c r="Y436" s="285" t="n"/>
      <c r="Z436" s="285" t="n"/>
      <c r="AA436" s="285" t="n"/>
    </row>
    <row r="437" ht="15.75" customHeight="1" s="398">
      <c r="A437" s="284" t="n"/>
      <c r="B437" s="284" t="n"/>
      <c r="C437" s="285" t="n"/>
      <c r="D437" s="284" t="n"/>
      <c r="E437" s="285" t="n"/>
      <c r="F437" s="285" t="n"/>
      <c r="G437" s="336" t="n"/>
      <c r="H437" s="336" t="n"/>
      <c r="I437" s="285" t="n"/>
      <c r="J437" s="285" t="n"/>
      <c r="K437" s="285" t="n"/>
      <c r="L437" s="285" t="n"/>
      <c r="M437" s="285" t="n"/>
      <c r="N437" s="285" t="n"/>
      <c r="O437" s="285" t="n"/>
      <c r="P437" s="285" t="n"/>
      <c r="Q437" s="285" t="n"/>
      <c r="R437" s="285" t="n"/>
      <c r="S437" s="284" t="n"/>
      <c r="T437" s="284" t="n"/>
      <c r="U437" s="285" t="n"/>
      <c r="V437" s="285" t="n"/>
      <c r="W437" s="285" t="n"/>
      <c r="X437" s="285" t="n"/>
      <c r="Y437" s="285" t="n"/>
      <c r="Z437" s="285" t="n"/>
      <c r="AA437" s="285" t="n"/>
    </row>
    <row r="438" ht="15.75" customHeight="1" s="398">
      <c r="A438" s="284" t="n"/>
      <c r="B438" s="284" t="n"/>
      <c r="C438" s="285" t="n"/>
      <c r="D438" s="284" t="n"/>
      <c r="E438" s="285" t="n"/>
      <c r="F438" s="285" t="n"/>
      <c r="G438" s="336" t="n"/>
      <c r="H438" s="336" t="n"/>
      <c r="I438" s="285" t="n"/>
      <c r="J438" s="285" t="n"/>
      <c r="K438" s="285" t="n"/>
      <c r="L438" s="285" t="n"/>
      <c r="M438" s="285" t="n"/>
      <c r="N438" s="285" t="n"/>
      <c r="O438" s="285" t="n"/>
      <c r="P438" s="285" t="n"/>
      <c r="Q438" s="285" t="n"/>
      <c r="R438" s="285" t="n"/>
      <c r="S438" s="284" t="n"/>
      <c r="T438" s="284" t="n"/>
      <c r="U438" s="285" t="n"/>
      <c r="V438" s="285" t="n"/>
      <c r="W438" s="285" t="n"/>
      <c r="X438" s="285" t="n"/>
      <c r="Y438" s="285" t="n"/>
      <c r="Z438" s="285" t="n"/>
      <c r="AA438" s="285" t="n"/>
    </row>
    <row r="439" ht="15.75" customHeight="1" s="398">
      <c r="A439" s="284" t="n"/>
      <c r="B439" s="284" t="n"/>
      <c r="C439" s="285" t="n"/>
      <c r="D439" s="284" t="n"/>
      <c r="E439" s="285" t="n"/>
      <c r="F439" s="285" t="n"/>
      <c r="G439" s="336" t="n"/>
      <c r="H439" s="336" t="n"/>
      <c r="I439" s="285" t="n"/>
      <c r="J439" s="285" t="n"/>
      <c r="K439" s="285" t="n"/>
      <c r="L439" s="285" t="n"/>
      <c r="M439" s="285" t="n"/>
      <c r="N439" s="285" t="n"/>
      <c r="O439" s="285" t="n"/>
      <c r="P439" s="285" t="n"/>
      <c r="Q439" s="285" t="n"/>
      <c r="R439" s="285" t="n"/>
      <c r="S439" s="284" t="n"/>
      <c r="T439" s="284" t="n"/>
      <c r="U439" s="285" t="n"/>
      <c r="V439" s="285" t="n"/>
      <c r="W439" s="285" t="n"/>
      <c r="X439" s="285" t="n"/>
      <c r="Y439" s="285" t="n"/>
      <c r="Z439" s="285" t="n"/>
      <c r="AA439" s="285" t="n"/>
    </row>
    <row r="440" ht="15.75" customHeight="1" s="398">
      <c r="A440" s="284" t="n"/>
      <c r="B440" s="284" t="n"/>
      <c r="C440" s="285" t="n"/>
      <c r="D440" s="284" t="n"/>
      <c r="E440" s="285" t="n"/>
      <c r="F440" s="285" t="n"/>
      <c r="G440" s="336" t="n"/>
      <c r="H440" s="336" t="n"/>
      <c r="I440" s="285" t="n"/>
      <c r="J440" s="285" t="n"/>
      <c r="K440" s="285" t="n"/>
      <c r="L440" s="285" t="n"/>
      <c r="M440" s="285" t="n"/>
      <c r="N440" s="285" t="n"/>
      <c r="O440" s="285" t="n"/>
      <c r="P440" s="285" t="n"/>
      <c r="Q440" s="285" t="n"/>
      <c r="R440" s="285" t="n"/>
      <c r="S440" s="284" t="n"/>
      <c r="T440" s="284" t="n"/>
      <c r="U440" s="285" t="n"/>
      <c r="V440" s="285" t="n"/>
      <c r="W440" s="285" t="n"/>
      <c r="X440" s="285" t="n"/>
      <c r="Y440" s="285" t="n"/>
      <c r="Z440" s="285" t="n"/>
      <c r="AA440" s="285" t="n"/>
    </row>
    <row r="441" ht="15.75" customHeight="1" s="398">
      <c r="A441" s="284" t="n"/>
      <c r="B441" s="284" t="n"/>
      <c r="C441" s="285" t="n"/>
      <c r="D441" s="284" t="n"/>
      <c r="E441" s="285" t="n"/>
      <c r="F441" s="285" t="n"/>
      <c r="G441" s="336" t="n"/>
      <c r="H441" s="336" t="n"/>
      <c r="I441" s="285" t="n"/>
      <c r="J441" s="285" t="n"/>
      <c r="K441" s="285" t="n"/>
      <c r="L441" s="285" t="n"/>
      <c r="M441" s="285" t="n"/>
      <c r="N441" s="285" t="n"/>
      <c r="O441" s="285" t="n"/>
      <c r="P441" s="285" t="n"/>
      <c r="Q441" s="285" t="n"/>
      <c r="R441" s="285" t="n"/>
      <c r="S441" s="284" t="n"/>
      <c r="T441" s="284" t="n"/>
      <c r="U441" s="285" t="n"/>
      <c r="V441" s="285" t="n"/>
      <c r="W441" s="285" t="n"/>
      <c r="X441" s="285" t="n"/>
      <c r="Y441" s="285" t="n"/>
      <c r="Z441" s="285" t="n"/>
      <c r="AA441" s="285" t="n"/>
    </row>
    <row r="442" ht="15.75" customHeight="1" s="398">
      <c r="A442" s="284" t="n"/>
      <c r="B442" s="284" t="n"/>
      <c r="C442" s="285" t="n"/>
      <c r="D442" s="284" t="n"/>
      <c r="E442" s="285" t="n"/>
      <c r="F442" s="285" t="n"/>
      <c r="G442" s="336" t="n"/>
      <c r="H442" s="336" t="n"/>
      <c r="I442" s="285" t="n"/>
      <c r="J442" s="285" t="n"/>
      <c r="K442" s="285" t="n"/>
      <c r="L442" s="285" t="n"/>
      <c r="M442" s="285" t="n"/>
      <c r="N442" s="285" t="n"/>
      <c r="O442" s="285" t="n"/>
      <c r="P442" s="285" t="n"/>
      <c r="Q442" s="285" t="n"/>
      <c r="R442" s="285" t="n"/>
      <c r="S442" s="284" t="n"/>
      <c r="T442" s="284" t="n"/>
      <c r="U442" s="285" t="n"/>
      <c r="V442" s="285" t="n"/>
      <c r="W442" s="285" t="n"/>
      <c r="X442" s="285" t="n"/>
      <c r="Y442" s="285" t="n"/>
      <c r="Z442" s="285" t="n"/>
      <c r="AA442" s="285" t="n"/>
    </row>
    <row r="443" ht="15.75" customHeight="1" s="398">
      <c r="A443" s="284" t="n"/>
      <c r="B443" s="284" t="n"/>
      <c r="C443" s="285" t="n"/>
      <c r="D443" s="284" t="n"/>
      <c r="E443" s="285" t="n"/>
      <c r="F443" s="285" t="n"/>
      <c r="G443" s="336" t="n"/>
      <c r="H443" s="336" t="n"/>
      <c r="I443" s="285" t="n"/>
      <c r="J443" s="285" t="n"/>
      <c r="K443" s="285" t="n"/>
      <c r="L443" s="285" t="n"/>
      <c r="M443" s="285" t="n"/>
      <c r="N443" s="285" t="n"/>
      <c r="O443" s="285" t="n"/>
      <c r="P443" s="285" t="n"/>
      <c r="Q443" s="285" t="n"/>
      <c r="R443" s="285" t="n"/>
      <c r="S443" s="284" t="n"/>
      <c r="T443" s="284" t="n"/>
      <c r="U443" s="285" t="n"/>
      <c r="V443" s="285" t="n"/>
      <c r="W443" s="285" t="n"/>
      <c r="X443" s="285" t="n"/>
      <c r="Y443" s="285" t="n"/>
      <c r="Z443" s="285" t="n"/>
      <c r="AA443" s="285" t="n"/>
    </row>
    <row r="444" ht="15.75" customHeight="1" s="398">
      <c r="A444" s="284" t="n"/>
      <c r="B444" s="284" t="n"/>
      <c r="C444" s="285" t="n"/>
      <c r="D444" s="284" t="n"/>
      <c r="E444" s="285" t="n"/>
      <c r="F444" s="285" t="n"/>
      <c r="G444" s="336" t="n"/>
      <c r="H444" s="336" t="n"/>
      <c r="I444" s="285" t="n"/>
      <c r="J444" s="285" t="n"/>
      <c r="K444" s="285" t="n"/>
      <c r="L444" s="285" t="n"/>
      <c r="M444" s="285" t="n"/>
      <c r="N444" s="285" t="n"/>
      <c r="O444" s="285" t="n"/>
      <c r="P444" s="285" t="n"/>
      <c r="Q444" s="285" t="n"/>
      <c r="R444" s="285" t="n"/>
      <c r="S444" s="284" t="n"/>
      <c r="T444" s="284" t="n"/>
      <c r="U444" s="285" t="n"/>
      <c r="V444" s="285" t="n"/>
      <c r="W444" s="285" t="n"/>
      <c r="X444" s="285" t="n"/>
      <c r="Y444" s="285" t="n"/>
      <c r="Z444" s="285" t="n"/>
      <c r="AA444" s="285" t="n"/>
    </row>
    <row r="445" ht="15.75" customHeight="1" s="398">
      <c r="A445" s="284" t="n"/>
      <c r="B445" s="284" t="n"/>
      <c r="C445" s="285" t="n"/>
      <c r="D445" s="284" t="n"/>
      <c r="E445" s="285" t="n"/>
      <c r="F445" s="285" t="n"/>
      <c r="G445" s="336" t="n"/>
      <c r="H445" s="336" t="n"/>
      <c r="I445" s="285" t="n"/>
      <c r="J445" s="285" t="n"/>
      <c r="K445" s="285" t="n"/>
      <c r="L445" s="285" t="n"/>
      <c r="M445" s="285" t="n"/>
      <c r="N445" s="285" t="n"/>
      <c r="O445" s="285" t="n"/>
      <c r="P445" s="285" t="n"/>
      <c r="Q445" s="285" t="n"/>
      <c r="R445" s="285" t="n"/>
      <c r="S445" s="284" t="n"/>
      <c r="T445" s="284" t="n"/>
      <c r="U445" s="285" t="n"/>
      <c r="V445" s="285" t="n"/>
      <c r="W445" s="285" t="n"/>
      <c r="X445" s="285" t="n"/>
      <c r="Y445" s="285" t="n"/>
      <c r="Z445" s="285" t="n"/>
      <c r="AA445" s="285" t="n"/>
    </row>
    <row r="446" ht="15.75" customHeight="1" s="398">
      <c r="A446" s="284" t="n"/>
      <c r="B446" s="284" t="n"/>
      <c r="C446" s="285" t="n"/>
      <c r="D446" s="284" t="n"/>
      <c r="E446" s="285" t="n"/>
      <c r="F446" s="285" t="n"/>
      <c r="G446" s="336" t="n"/>
      <c r="H446" s="336" t="n"/>
      <c r="I446" s="285" t="n"/>
      <c r="J446" s="285" t="n"/>
      <c r="K446" s="285" t="n"/>
      <c r="L446" s="285" t="n"/>
      <c r="M446" s="285" t="n"/>
      <c r="N446" s="285" t="n"/>
      <c r="O446" s="285" t="n"/>
      <c r="P446" s="285" t="n"/>
      <c r="Q446" s="285" t="n"/>
      <c r="R446" s="285" t="n"/>
      <c r="S446" s="284" t="n"/>
      <c r="T446" s="284" t="n"/>
      <c r="U446" s="285" t="n"/>
      <c r="V446" s="285" t="n"/>
      <c r="W446" s="285" t="n"/>
      <c r="X446" s="285" t="n"/>
      <c r="Y446" s="285" t="n"/>
      <c r="Z446" s="285" t="n"/>
      <c r="AA446" s="285" t="n"/>
    </row>
    <row r="447" ht="15.75" customHeight="1" s="398">
      <c r="A447" s="284" t="n"/>
      <c r="B447" s="284" t="n"/>
      <c r="C447" s="285" t="n"/>
      <c r="D447" s="284" t="n"/>
      <c r="E447" s="285" t="n"/>
      <c r="F447" s="285" t="n"/>
      <c r="G447" s="336" t="n"/>
      <c r="H447" s="336" t="n"/>
      <c r="I447" s="285" t="n"/>
      <c r="J447" s="285" t="n"/>
      <c r="K447" s="285" t="n"/>
      <c r="L447" s="285" t="n"/>
      <c r="M447" s="285" t="n"/>
      <c r="N447" s="285" t="n"/>
      <c r="O447" s="285" t="n"/>
      <c r="P447" s="285" t="n"/>
      <c r="Q447" s="285" t="n"/>
      <c r="R447" s="285" t="n"/>
      <c r="S447" s="284" t="n"/>
      <c r="T447" s="284" t="n"/>
      <c r="U447" s="285" t="n"/>
      <c r="V447" s="285" t="n"/>
      <c r="W447" s="285" t="n"/>
      <c r="X447" s="285" t="n"/>
      <c r="Y447" s="285" t="n"/>
      <c r="Z447" s="285" t="n"/>
      <c r="AA447" s="285" t="n"/>
    </row>
    <row r="448" ht="15.75" customHeight="1" s="398">
      <c r="A448" s="284" t="n"/>
      <c r="B448" s="284" t="n"/>
      <c r="C448" s="285" t="n"/>
      <c r="D448" s="284" t="n"/>
      <c r="E448" s="285" t="n"/>
      <c r="F448" s="285" t="n"/>
      <c r="G448" s="336" t="n"/>
      <c r="H448" s="336" t="n"/>
      <c r="I448" s="285" t="n"/>
      <c r="J448" s="285" t="n"/>
      <c r="K448" s="285" t="n"/>
      <c r="L448" s="285" t="n"/>
      <c r="M448" s="285" t="n"/>
      <c r="N448" s="285" t="n"/>
      <c r="O448" s="285" t="n"/>
      <c r="P448" s="285" t="n"/>
      <c r="Q448" s="285" t="n"/>
      <c r="R448" s="285" t="n"/>
      <c r="S448" s="284" t="n"/>
      <c r="T448" s="284" t="n"/>
      <c r="U448" s="285" t="n"/>
      <c r="V448" s="285" t="n"/>
      <c r="W448" s="285" t="n"/>
      <c r="X448" s="285" t="n"/>
      <c r="Y448" s="285" t="n"/>
      <c r="Z448" s="285" t="n"/>
      <c r="AA448" s="285" t="n"/>
    </row>
    <row r="449" ht="15.75" customHeight="1" s="398">
      <c r="A449" s="284" t="n"/>
      <c r="B449" s="284" t="n"/>
      <c r="C449" s="285" t="n"/>
      <c r="D449" s="284" t="n"/>
      <c r="E449" s="285" t="n"/>
      <c r="F449" s="285" t="n"/>
      <c r="G449" s="336" t="n"/>
      <c r="H449" s="336" t="n"/>
      <c r="I449" s="285" t="n"/>
      <c r="J449" s="285" t="n"/>
      <c r="K449" s="285" t="n"/>
      <c r="L449" s="285" t="n"/>
      <c r="M449" s="285" t="n"/>
      <c r="N449" s="285" t="n"/>
      <c r="O449" s="285" t="n"/>
      <c r="P449" s="285" t="n"/>
      <c r="Q449" s="285" t="n"/>
      <c r="R449" s="285" t="n"/>
      <c r="S449" s="284" t="n"/>
      <c r="T449" s="284" t="n"/>
      <c r="U449" s="285" t="n"/>
      <c r="V449" s="285" t="n"/>
      <c r="W449" s="285" t="n"/>
      <c r="X449" s="285" t="n"/>
      <c r="Y449" s="285" t="n"/>
      <c r="Z449" s="285" t="n"/>
      <c r="AA449" s="285" t="n"/>
    </row>
    <row r="450" ht="15.75" customHeight="1" s="398">
      <c r="A450" s="284" t="n"/>
      <c r="B450" s="284" t="n"/>
      <c r="C450" s="285" t="n"/>
      <c r="D450" s="284" t="n"/>
      <c r="E450" s="285" t="n"/>
      <c r="F450" s="285" t="n"/>
      <c r="G450" s="336" t="n"/>
      <c r="H450" s="336" t="n"/>
      <c r="I450" s="285" t="n"/>
      <c r="J450" s="285" t="n"/>
      <c r="K450" s="285" t="n"/>
      <c r="L450" s="285" t="n"/>
      <c r="M450" s="285" t="n"/>
      <c r="N450" s="285" t="n"/>
      <c r="O450" s="285" t="n"/>
      <c r="P450" s="285" t="n"/>
      <c r="Q450" s="285" t="n"/>
      <c r="R450" s="285" t="n"/>
      <c r="S450" s="284" t="n"/>
      <c r="T450" s="284" t="n"/>
      <c r="U450" s="285" t="n"/>
      <c r="V450" s="285" t="n"/>
      <c r="W450" s="285" t="n"/>
      <c r="X450" s="285" t="n"/>
      <c r="Y450" s="285" t="n"/>
      <c r="Z450" s="285" t="n"/>
      <c r="AA450" s="285" t="n"/>
    </row>
    <row r="451" ht="15.75" customHeight="1" s="398">
      <c r="A451" s="284" t="n"/>
      <c r="B451" s="284" t="n"/>
      <c r="C451" s="285" t="n"/>
      <c r="D451" s="284" t="n"/>
      <c r="E451" s="285" t="n"/>
      <c r="F451" s="285" t="n"/>
      <c r="G451" s="336" t="n"/>
      <c r="H451" s="336" t="n"/>
      <c r="I451" s="285" t="n"/>
      <c r="J451" s="285" t="n"/>
      <c r="K451" s="285" t="n"/>
      <c r="L451" s="285" t="n"/>
      <c r="M451" s="285" t="n"/>
      <c r="N451" s="285" t="n"/>
      <c r="O451" s="285" t="n"/>
      <c r="P451" s="285" t="n"/>
      <c r="Q451" s="285" t="n"/>
      <c r="R451" s="285" t="n"/>
      <c r="S451" s="284" t="n"/>
      <c r="T451" s="284" t="n"/>
      <c r="U451" s="285" t="n"/>
      <c r="V451" s="285" t="n"/>
      <c r="W451" s="285" t="n"/>
      <c r="X451" s="285" t="n"/>
      <c r="Y451" s="285" t="n"/>
      <c r="Z451" s="285" t="n"/>
      <c r="AA451" s="285" t="n"/>
    </row>
    <row r="452" ht="15.75" customHeight="1" s="398">
      <c r="A452" s="284" t="n"/>
      <c r="B452" s="284" t="n"/>
      <c r="C452" s="285" t="n"/>
      <c r="D452" s="284" t="n"/>
      <c r="E452" s="285" t="n"/>
      <c r="F452" s="285" t="n"/>
      <c r="G452" s="336" t="n"/>
      <c r="H452" s="336" t="n"/>
      <c r="I452" s="285" t="n"/>
      <c r="J452" s="285" t="n"/>
      <c r="K452" s="285" t="n"/>
      <c r="L452" s="285" t="n"/>
      <c r="M452" s="285" t="n"/>
      <c r="N452" s="285" t="n"/>
      <c r="O452" s="285" t="n"/>
      <c r="P452" s="285" t="n"/>
      <c r="Q452" s="285" t="n"/>
      <c r="R452" s="285" t="n"/>
      <c r="S452" s="284" t="n"/>
      <c r="T452" s="284" t="n"/>
      <c r="U452" s="285" t="n"/>
      <c r="V452" s="285" t="n"/>
      <c r="W452" s="285" t="n"/>
      <c r="X452" s="285" t="n"/>
      <c r="Y452" s="285" t="n"/>
      <c r="Z452" s="285" t="n"/>
      <c r="AA452" s="285" t="n"/>
    </row>
    <row r="453" ht="15.75" customHeight="1" s="398">
      <c r="A453" s="284" t="n"/>
      <c r="B453" s="284" t="n"/>
      <c r="C453" s="285" t="n"/>
      <c r="D453" s="284" t="n"/>
      <c r="E453" s="285" t="n"/>
      <c r="F453" s="285" t="n"/>
      <c r="G453" s="336" t="n"/>
      <c r="H453" s="336" t="n"/>
      <c r="I453" s="285" t="n"/>
      <c r="J453" s="285" t="n"/>
      <c r="K453" s="285" t="n"/>
      <c r="L453" s="285" t="n"/>
      <c r="M453" s="285" t="n"/>
      <c r="N453" s="285" t="n"/>
      <c r="O453" s="285" t="n"/>
      <c r="P453" s="285" t="n"/>
      <c r="Q453" s="285" t="n"/>
      <c r="R453" s="285" t="n"/>
      <c r="S453" s="284" t="n"/>
      <c r="T453" s="284" t="n"/>
      <c r="U453" s="285" t="n"/>
      <c r="V453" s="285" t="n"/>
      <c r="W453" s="285" t="n"/>
      <c r="X453" s="285" t="n"/>
      <c r="Y453" s="285" t="n"/>
      <c r="Z453" s="285" t="n"/>
      <c r="AA453" s="285" t="n"/>
    </row>
    <row r="454" ht="15.75" customHeight="1" s="398">
      <c r="A454" s="284" t="n"/>
      <c r="B454" s="284" t="n"/>
      <c r="C454" s="285" t="n"/>
      <c r="D454" s="284" t="n"/>
      <c r="E454" s="285" t="n"/>
      <c r="F454" s="285" t="n"/>
      <c r="G454" s="336" t="n"/>
      <c r="H454" s="336" t="n"/>
      <c r="I454" s="285" t="n"/>
      <c r="J454" s="285" t="n"/>
      <c r="K454" s="285" t="n"/>
      <c r="L454" s="285" t="n"/>
      <c r="M454" s="285" t="n"/>
      <c r="N454" s="285" t="n"/>
      <c r="O454" s="285" t="n"/>
      <c r="P454" s="285" t="n"/>
      <c r="Q454" s="285" t="n"/>
      <c r="R454" s="285" t="n"/>
      <c r="S454" s="284" t="n"/>
      <c r="T454" s="284" t="n"/>
      <c r="U454" s="285" t="n"/>
      <c r="V454" s="285" t="n"/>
      <c r="W454" s="285" t="n"/>
      <c r="X454" s="285" t="n"/>
      <c r="Y454" s="285" t="n"/>
      <c r="Z454" s="285" t="n"/>
      <c r="AA454" s="285" t="n"/>
    </row>
    <row r="455" ht="15.75" customHeight="1" s="398">
      <c r="A455" s="284" t="n"/>
      <c r="B455" s="284" t="n"/>
      <c r="C455" s="285" t="n"/>
      <c r="D455" s="284" t="n"/>
      <c r="E455" s="285" t="n"/>
      <c r="F455" s="285" t="n"/>
      <c r="G455" s="336" t="n"/>
      <c r="H455" s="336" t="n"/>
      <c r="I455" s="285" t="n"/>
      <c r="J455" s="285" t="n"/>
      <c r="K455" s="285" t="n"/>
      <c r="L455" s="285" t="n"/>
      <c r="M455" s="285" t="n"/>
      <c r="N455" s="285" t="n"/>
      <c r="O455" s="285" t="n"/>
      <c r="P455" s="285" t="n"/>
      <c r="Q455" s="285" t="n"/>
      <c r="R455" s="285" t="n"/>
      <c r="S455" s="284" t="n"/>
      <c r="T455" s="284" t="n"/>
      <c r="U455" s="285" t="n"/>
      <c r="V455" s="285" t="n"/>
      <c r="W455" s="285" t="n"/>
      <c r="X455" s="285" t="n"/>
      <c r="Y455" s="285" t="n"/>
      <c r="Z455" s="285" t="n"/>
      <c r="AA455" s="285" t="n"/>
    </row>
    <row r="456" ht="15.75" customHeight="1" s="398">
      <c r="A456" s="284" t="n"/>
      <c r="B456" s="284" t="n"/>
      <c r="C456" s="285" t="n"/>
      <c r="D456" s="284" t="n"/>
      <c r="E456" s="285" t="n"/>
      <c r="F456" s="285" t="n"/>
      <c r="G456" s="336" t="n"/>
      <c r="H456" s="336" t="n"/>
      <c r="I456" s="285" t="n"/>
      <c r="J456" s="285" t="n"/>
      <c r="K456" s="285" t="n"/>
      <c r="L456" s="285" t="n"/>
      <c r="M456" s="285" t="n"/>
      <c r="N456" s="285" t="n"/>
      <c r="O456" s="285" t="n"/>
      <c r="P456" s="285" t="n"/>
      <c r="Q456" s="285" t="n"/>
      <c r="R456" s="285" t="n"/>
      <c r="S456" s="284" t="n"/>
      <c r="T456" s="284" t="n"/>
      <c r="U456" s="285" t="n"/>
      <c r="V456" s="285" t="n"/>
      <c r="W456" s="285" t="n"/>
      <c r="X456" s="285" t="n"/>
      <c r="Y456" s="285" t="n"/>
      <c r="Z456" s="285" t="n"/>
      <c r="AA456" s="285" t="n"/>
    </row>
    <row r="457" ht="15.75" customHeight="1" s="398">
      <c r="A457" s="284" t="n"/>
      <c r="B457" s="284" t="n"/>
      <c r="C457" s="285" t="n"/>
      <c r="D457" s="284" t="n"/>
      <c r="E457" s="285" t="n"/>
      <c r="F457" s="285" t="n"/>
      <c r="G457" s="336" t="n"/>
      <c r="H457" s="336" t="n"/>
      <c r="I457" s="285" t="n"/>
      <c r="J457" s="285" t="n"/>
      <c r="K457" s="285" t="n"/>
      <c r="L457" s="285" t="n"/>
      <c r="M457" s="285" t="n"/>
      <c r="N457" s="285" t="n"/>
      <c r="O457" s="285" t="n"/>
      <c r="P457" s="285" t="n"/>
      <c r="Q457" s="285" t="n"/>
      <c r="R457" s="285" t="n"/>
      <c r="S457" s="284" t="n"/>
      <c r="T457" s="284" t="n"/>
      <c r="U457" s="285" t="n"/>
      <c r="V457" s="285" t="n"/>
      <c r="W457" s="285" t="n"/>
      <c r="X457" s="285" t="n"/>
      <c r="Y457" s="285" t="n"/>
      <c r="Z457" s="285" t="n"/>
      <c r="AA457" s="285" t="n"/>
    </row>
    <row r="458" ht="15.75" customHeight="1" s="398">
      <c r="A458" s="284" t="n"/>
      <c r="B458" s="284" t="n"/>
      <c r="C458" s="285" t="n"/>
      <c r="D458" s="284" t="n"/>
      <c r="E458" s="285" t="n"/>
      <c r="F458" s="285" t="n"/>
      <c r="G458" s="336" t="n"/>
      <c r="H458" s="336" t="n"/>
      <c r="I458" s="285" t="n"/>
      <c r="J458" s="285" t="n"/>
      <c r="K458" s="285" t="n"/>
      <c r="L458" s="285" t="n"/>
      <c r="M458" s="285" t="n"/>
      <c r="N458" s="285" t="n"/>
      <c r="O458" s="285" t="n"/>
      <c r="P458" s="285" t="n"/>
      <c r="Q458" s="285" t="n"/>
      <c r="R458" s="285" t="n"/>
      <c r="S458" s="284" t="n"/>
      <c r="T458" s="284" t="n"/>
      <c r="U458" s="285" t="n"/>
      <c r="V458" s="285" t="n"/>
      <c r="W458" s="285" t="n"/>
      <c r="X458" s="285" t="n"/>
      <c r="Y458" s="285" t="n"/>
      <c r="Z458" s="285" t="n"/>
      <c r="AA458" s="285" t="n"/>
    </row>
    <row r="459" ht="15.75" customHeight="1" s="398">
      <c r="A459" s="284" t="n"/>
      <c r="B459" s="284" t="n"/>
      <c r="C459" s="285" t="n"/>
      <c r="D459" s="284" t="n"/>
      <c r="E459" s="285" t="n"/>
      <c r="F459" s="285" t="n"/>
      <c r="G459" s="336" t="n"/>
      <c r="H459" s="336" t="n"/>
      <c r="I459" s="285" t="n"/>
      <c r="J459" s="285" t="n"/>
      <c r="K459" s="285" t="n"/>
      <c r="L459" s="285" t="n"/>
      <c r="M459" s="285" t="n"/>
      <c r="N459" s="285" t="n"/>
      <c r="O459" s="285" t="n"/>
      <c r="P459" s="285" t="n"/>
      <c r="Q459" s="285" t="n"/>
      <c r="R459" s="285" t="n"/>
      <c r="S459" s="284" t="n"/>
      <c r="T459" s="284" t="n"/>
      <c r="U459" s="285" t="n"/>
      <c r="V459" s="285" t="n"/>
      <c r="W459" s="285" t="n"/>
      <c r="X459" s="285" t="n"/>
      <c r="Y459" s="285" t="n"/>
      <c r="Z459" s="285" t="n"/>
      <c r="AA459" s="285" t="n"/>
    </row>
    <row r="460" ht="15.75" customHeight="1" s="398">
      <c r="A460" s="284" t="n"/>
      <c r="B460" s="284" t="n"/>
      <c r="C460" s="285" t="n"/>
      <c r="D460" s="284" t="n"/>
      <c r="E460" s="285" t="n"/>
      <c r="F460" s="285" t="n"/>
      <c r="G460" s="336" t="n"/>
      <c r="H460" s="336" t="n"/>
      <c r="I460" s="285" t="n"/>
      <c r="J460" s="285" t="n"/>
      <c r="K460" s="285" t="n"/>
      <c r="L460" s="285" t="n"/>
      <c r="M460" s="285" t="n"/>
      <c r="N460" s="285" t="n"/>
      <c r="O460" s="285" t="n"/>
      <c r="P460" s="285" t="n"/>
      <c r="Q460" s="285" t="n"/>
      <c r="R460" s="285" t="n"/>
      <c r="S460" s="284" t="n"/>
      <c r="T460" s="284" t="n"/>
      <c r="U460" s="285" t="n"/>
      <c r="V460" s="285" t="n"/>
      <c r="W460" s="285" t="n"/>
      <c r="X460" s="285" t="n"/>
      <c r="Y460" s="285" t="n"/>
      <c r="Z460" s="285" t="n"/>
      <c r="AA460" s="285" t="n"/>
    </row>
    <row r="461" ht="15.75" customHeight="1" s="398">
      <c r="A461" s="284" t="n"/>
      <c r="B461" s="284" t="n"/>
      <c r="C461" s="285" t="n"/>
      <c r="D461" s="284" t="n"/>
      <c r="E461" s="285" t="n"/>
      <c r="F461" s="285" t="n"/>
      <c r="G461" s="336" t="n"/>
      <c r="H461" s="336" t="n"/>
      <c r="I461" s="285" t="n"/>
      <c r="J461" s="285" t="n"/>
      <c r="K461" s="285" t="n"/>
      <c r="L461" s="285" t="n"/>
      <c r="M461" s="285" t="n"/>
      <c r="N461" s="285" t="n"/>
      <c r="O461" s="285" t="n"/>
      <c r="P461" s="285" t="n"/>
      <c r="Q461" s="285" t="n"/>
      <c r="R461" s="285" t="n"/>
      <c r="S461" s="284" t="n"/>
      <c r="T461" s="284" t="n"/>
      <c r="U461" s="285" t="n"/>
      <c r="V461" s="285" t="n"/>
      <c r="W461" s="285" t="n"/>
      <c r="X461" s="285" t="n"/>
      <c r="Y461" s="285" t="n"/>
      <c r="Z461" s="285" t="n"/>
      <c r="AA461" s="285" t="n"/>
    </row>
    <row r="462" ht="15.75" customHeight="1" s="398">
      <c r="A462" s="284" t="n"/>
      <c r="B462" s="284" t="n"/>
      <c r="C462" s="285" t="n"/>
      <c r="D462" s="284" t="n"/>
      <c r="E462" s="285" t="n"/>
      <c r="F462" s="285" t="n"/>
      <c r="G462" s="336" t="n"/>
      <c r="H462" s="336" t="n"/>
      <c r="I462" s="285" t="n"/>
      <c r="J462" s="285" t="n"/>
      <c r="K462" s="285" t="n"/>
      <c r="L462" s="285" t="n"/>
      <c r="M462" s="285" t="n"/>
      <c r="N462" s="285" t="n"/>
      <c r="O462" s="285" t="n"/>
      <c r="P462" s="285" t="n"/>
      <c r="Q462" s="285" t="n"/>
      <c r="R462" s="285" t="n"/>
      <c r="S462" s="284" t="n"/>
      <c r="T462" s="284" t="n"/>
      <c r="U462" s="285" t="n"/>
      <c r="V462" s="285" t="n"/>
      <c r="W462" s="285" t="n"/>
      <c r="X462" s="285" t="n"/>
      <c r="Y462" s="285" t="n"/>
      <c r="Z462" s="285" t="n"/>
      <c r="AA462" s="285" t="n"/>
    </row>
    <row r="463" ht="15.75" customHeight="1" s="398">
      <c r="A463" s="284" t="n"/>
      <c r="B463" s="284" t="n"/>
      <c r="C463" s="285" t="n"/>
      <c r="D463" s="284" t="n"/>
      <c r="E463" s="285" t="n"/>
      <c r="F463" s="285" t="n"/>
      <c r="G463" s="336" t="n"/>
      <c r="H463" s="336" t="n"/>
      <c r="I463" s="285" t="n"/>
      <c r="J463" s="285" t="n"/>
      <c r="K463" s="285" t="n"/>
      <c r="L463" s="285" t="n"/>
      <c r="M463" s="285" t="n"/>
      <c r="N463" s="285" t="n"/>
      <c r="O463" s="285" t="n"/>
      <c r="P463" s="285" t="n"/>
      <c r="Q463" s="285" t="n"/>
      <c r="R463" s="285" t="n"/>
      <c r="S463" s="284" t="n"/>
      <c r="T463" s="284" t="n"/>
      <c r="U463" s="285" t="n"/>
      <c r="V463" s="285" t="n"/>
      <c r="W463" s="285" t="n"/>
      <c r="X463" s="285" t="n"/>
      <c r="Y463" s="285" t="n"/>
      <c r="Z463" s="285" t="n"/>
      <c r="AA463" s="285" t="n"/>
    </row>
    <row r="464" ht="15.75" customHeight="1" s="398">
      <c r="A464" s="284" t="n"/>
      <c r="B464" s="284" t="n"/>
      <c r="C464" s="285" t="n"/>
      <c r="D464" s="284" t="n"/>
      <c r="E464" s="285" t="n"/>
      <c r="F464" s="285" t="n"/>
      <c r="G464" s="336" t="n"/>
      <c r="H464" s="336" t="n"/>
      <c r="I464" s="285" t="n"/>
      <c r="J464" s="285" t="n"/>
      <c r="K464" s="285" t="n"/>
      <c r="L464" s="285" t="n"/>
      <c r="M464" s="285" t="n"/>
      <c r="N464" s="285" t="n"/>
      <c r="O464" s="285" t="n"/>
      <c r="P464" s="285" t="n"/>
      <c r="Q464" s="285" t="n"/>
      <c r="R464" s="285" t="n"/>
      <c r="S464" s="284" t="n"/>
      <c r="T464" s="284" t="n"/>
      <c r="U464" s="285" t="n"/>
      <c r="V464" s="285" t="n"/>
      <c r="W464" s="285" t="n"/>
      <c r="X464" s="285" t="n"/>
      <c r="Y464" s="285" t="n"/>
      <c r="Z464" s="285" t="n"/>
      <c r="AA464" s="285" t="n"/>
    </row>
    <row r="465" ht="15.75" customHeight="1" s="398">
      <c r="A465" s="284" t="n"/>
      <c r="B465" s="284" t="n"/>
      <c r="C465" s="285" t="n"/>
      <c r="D465" s="284" t="n"/>
      <c r="E465" s="285" t="n"/>
      <c r="F465" s="285" t="n"/>
      <c r="G465" s="336" t="n"/>
      <c r="H465" s="336" t="n"/>
      <c r="I465" s="285" t="n"/>
      <c r="J465" s="285" t="n"/>
      <c r="K465" s="285" t="n"/>
      <c r="L465" s="285" t="n"/>
      <c r="M465" s="285" t="n"/>
      <c r="N465" s="285" t="n"/>
      <c r="O465" s="285" t="n"/>
      <c r="P465" s="285" t="n"/>
      <c r="Q465" s="285" t="n"/>
      <c r="R465" s="285" t="n"/>
      <c r="S465" s="284" t="n"/>
      <c r="T465" s="284" t="n"/>
      <c r="U465" s="285" t="n"/>
      <c r="V465" s="285" t="n"/>
      <c r="W465" s="285" t="n"/>
      <c r="X465" s="285" t="n"/>
      <c r="Y465" s="285" t="n"/>
      <c r="Z465" s="285" t="n"/>
      <c r="AA465" s="285" t="n"/>
    </row>
    <row r="466" ht="15.75" customHeight="1" s="398">
      <c r="A466" s="284" t="n"/>
      <c r="B466" s="284" t="n"/>
      <c r="C466" s="285" t="n"/>
      <c r="D466" s="284" t="n"/>
      <c r="E466" s="285" t="n"/>
      <c r="F466" s="285" t="n"/>
      <c r="G466" s="336" t="n"/>
      <c r="H466" s="336" t="n"/>
      <c r="I466" s="285" t="n"/>
      <c r="J466" s="285" t="n"/>
      <c r="K466" s="285" t="n"/>
      <c r="L466" s="285" t="n"/>
      <c r="M466" s="285" t="n"/>
      <c r="N466" s="285" t="n"/>
      <c r="O466" s="285" t="n"/>
      <c r="P466" s="285" t="n"/>
      <c r="Q466" s="285" t="n"/>
      <c r="R466" s="285" t="n"/>
      <c r="S466" s="284" t="n"/>
      <c r="T466" s="284" t="n"/>
      <c r="U466" s="285" t="n"/>
      <c r="V466" s="285" t="n"/>
      <c r="W466" s="285" t="n"/>
      <c r="X466" s="285" t="n"/>
      <c r="Y466" s="285" t="n"/>
      <c r="Z466" s="285" t="n"/>
      <c r="AA466" s="285" t="n"/>
    </row>
    <row r="467" ht="15.75" customHeight="1" s="398">
      <c r="A467" s="284" t="n"/>
      <c r="B467" s="284" t="n"/>
      <c r="C467" s="285" t="n"/>
      <c r="D467" s="284" t="n"/>
      <c r="E467" s="285" t="n"/>
      <c r="F467" s="285" t="n"/>
      <c r="G467" s="336" t="n"/>
      <c r="H467" s="336" t="n"/>
      <c r="I467" s="285" t="n"/>
      <c r="J467" s="285" t="n"/>
      <c r="K467" s="285" t="n"/>
      <c r="L467" s="285" t="n"/>
      <c r="M467" s="285" t="n"/>
      <c r="N467" s="285" t="n"/>
      <c r="O467" s="285" t="n"/>
      <c r="P467" s="285" t="n"/>
      <c r="Q467" s="285" t="n"/>
      <c r="R467" s="285" t="n"/>
      <c r="S467" s="284" t="n"/>
      <c r="T467" s="284" t="n"/>
      <c r="U467" s="285" t="n"/>
      <c r="V467" s="285" t="n"/>
      <c r="W467" s="285" t="n"/>
      <c r="X467" s="285" t="n"/>
      <c r="Y467" s="285" t="n"/>
      <c r="Z467" s="285" t="n"/>
      <c r="AA467" s="285" t="n"/>
    </row>
    <row r="468" ht="15.75" customHeight="1" s="398">
      <c r="A468" s="284" t="n"/>
      <c r="B468" s="284" t="n"/>
      <c r="C468" s="285" t="n"/>
      <c r="D468" s="284" t="n"/>
      <c r="E468" s="285" t="n"/>
      <c r="F468" s="285" t="n"/>
      <c r="G468" s="336" t="n"/>
      <c r="H468" s="336" t="n"/>
      <c r="I468" s="285" t="n"/>
      <c r="J468" s="285" t="n"/>
      <c r="K468" s="285" t="n"/>
      <c r="L468" s="285" t="n"/>
      <c r="M468" s="285" t="n"/>
      <c r="N468" s="285" t="n"/>
      <c r="O468" s="285" t="n"/>
      <c r="P468" s="285" t="n"/>
      <c r="Q468" s="285" t="n"/>
      <c r="R468" s="285" t="n"/>
      <c r="S468" s="284" t="n"/>
      <c r="T468" s="284" t="n"/>
      <c r="U468" s="285" t="n"/>
      <c r="V468" s="285" t="n"/>
      <c r="W468" s="285" t="n"/>
      <c r="X468" s="285" t="n"/>
      <c r="Y468" s="285" t="n"/>
      <c r="Z468" s="285" t="n"/>
      <c r="AA468" s="285" t="n"/>
    </row>
    <row r="469" ht="15.75" customHeight="1" s="398">
      <c r="A469" s="284" t="n"/>
      <c r="B469" s="284" t="n"/>
      <c r="C469" s="285" t="n"/>
      <c r="D469" s="284" t="n"/>
      <c r="E469" s="285" t="n"/>
      <c r="F469" s="285" t="n"/>
      <c r="G469" s="336" t="n"/>
      <c r="H469" s="336" t="n"/>
      <c r="I469" s="285" t="n"/>
      <c r="J469" s="285" t="n"/>
      <c r="K469" s="285" t="n"/>
      <c r="L469" s="285" t="n"/>
      <c r="M469" s="285" t="n"/>
      <c r="N469" s="285" t="n"/>
      <c r="O469" s="285" t="n"/>
      <c r="P469" s="285" t="n"/>
      <c r="Q469" s="285" t="n"/>
      <c r="R469" s="285" t="n"/>
      <c r="S469" s="284" t="n"/>
      <c r="T469" s="284" t="n"/>
      <c r="U469" s="285" t="n"/>
      <c r="V469" s="285" t="n"/>
      <c r="W469" s="285" t="n"/>
      <c r="X469" s="285" t="n"/>
      <c r="Y469" s="285" t="n"/>
      <c r="Z469" s="285" t="n"/>
      <c r="AA469" s="285" t="n"/>
    </row>
    <row r="470" ht="15.75" customHeight="1" s="398">
      <c r="A470" s="284" t="n"/>
      <c r="B470" s="284" t="n"/>
      <c r="C470" s="285" t="n"/>
      <c r="D470" s="284" t="n"/>
      <c r="E470" s="285" t="n"/>
      <c r="F470" s="285" t="n"/>
      <c r="G470" s="336" t="n"/>
      <c r="H470" s="336" t="n"/>
      <c r="I470" s="285" t="n"/>
      <c r="J470" s="285" t="n"/>
      <c r="K470" s="285" t="n"/>
      <c r="L470" s="285" t="n"/>
      <c r="M470" s="285" t="n"/>
      <c r="N470" s="285" t="n"/>
      <c r="O470" s="285" t="n"/>
      <c r="P470" s="285" t="n"/>
      <c r="Q470" s="285" t="n"/>
      <c r="R470" s="285" t="n"/>
      <c r="S470" s="284" t="n"/>
      <c r="T470" s="284" t="n"/>
      <c r="U470" s="285" t="n"/>
      <c r="V470" s="285" t="n"/>
      <c r="W470" s="285" t="n"/>
      <c r="X470" s="285" t="n"/>
      <c r="Y470" s="285" t="n"/>
      <c r="Z470" s="285" t="n"/>
      <c r="AA470" s="285" t="n"/>
    </row>
    <row r="471" ht="15.75" customHeight="1" s="398">
      <c r="A471" s="284" t="n"/>
      <c r="B471" s="284" t="n"/>
      <c r="C471" s="285" t="n"/>
      <c r="D471" s="284" t="n"/>
      <c r="E471" s="285" t="n"/>
      <c r="F471" s="285" t="n"/>
      <c r="G471" s="336" t="n"/>
      <c r="H471" s="336" t="n"/>
      <c r="I471" s="285" t="n"/>
      <c r="J471" s="285" t="n"/>
      <c r="K471" s="285" t="n"/>
      <c r="L471" s="285" t="n"/>
      <c r="M471" s="285" t="n"/>
      <c r="N471" s="285" t="n"/>
      <c r="O471" s="285" t="n"/>
      <c r="P471" s="285" t="n"/>
      <c r="Q471" s="285" t="n"/>
      <c r="R471" s="285" t="n"/>
      <c r="S471" s="284" t="n"/>
      <c r="T471" s="284" t="n"/>
      <c r="U471" s="285" t="n"/>
      <c r="V471" s="285" t="n"/>
      <c r="W471" s="285" t="n"/>
      <c r="X471" s="285" t="n"/>
      <c r="Y471" s="285" t="n"/>
      <c r="Z471" s="285" t="n"/>
      <c r="AA471" s="285" t="n"/>
    </row>
    <row r="472" ht="15.75" customHeight="1" s="398">
      <c r="A472" s="284" t="n"/>
      <c r="B472" s="284" t="n"/>
      <c r="C472" s="285" t="n"/>
      <c r="D472" s="284" t="n"/>
      <c r="E472" s="285" t="n"/>
      <c r="F472" s="285" t="n"/>
      <c r="G472" s="336" t="n"/>
      <c r="H472" s="336" t="n"/>
      <c r="I472" s="285" t="n"/>
      <c r="J472" s="285" t="n"/>
      <c r="K472" s="285" t="n"/>
      <c r="L472" s="285" t="n"/>
      <c r="M472" s="285" t="n"/>
      <c r="N472" s="285" t="n"/>
      <c r="O472" s="285" t="n"/>
      <c r="P472" s="285" t="n"/>
      <c r="Q472" s="285" t="n"/>
      <c r="R472" s="285" t="n"/>
      <c r="S472" s="284" t="n"/>
      <c r="T472" s="284" t="n"/>
      <c r="U472" s="285" t="n"/>
      <c r="V472" s="285" t="n"/>
      <c r="W472" s="285" t="n"/>
      <c r="X472" s="285" t="n"/>
      <c r="Y472" s="285" t="n"/>
      <c r="Z472" s="285" t="n"/>
      <c r="AA472" s="285" t="n"/>
    </row>
    <row r="473" ht="15.75" customHeight="1" s="398">
      <c r="A473" s="284" t="n"/>
      <c r="B473" s="284" t="n"/>
      <c r="C473" s="285" t="n"/>
      <c r="D473" s="284" t="n"/>
      <c r="E473" s="285" t="n"/>
      <c r="F473" s="285" t="n"/>
      <c r="G473" s="336" t="n"/>
      <c r="H473" s="336" t="n"/>
      <c r="I473" s="285" t="n"/>
      <c r="J473" s="285" t="n"/>
      <c r="K473" s="285" t="n"/>
      <c r="L473" s="285" t="n"/>
      <c r="M473" s="285" t="n"/>
      <c r="N473" s="285" t="n"/>
      <c r="O473" s="285" t="n"/>
      <c r="P473" s="285" t="n"/>
      <c r="Q473" s="285" t="n"/>
      <c r="R473" s="285" t="n"/>
      <c r="S473" s="284" t="n"/>
      <c r="T473" s="284" t="n"/>
      <c r="U473" s="285" t="n"/>
      <c r="V473" s="285" t="n"/>
      <c r="W473" s="285" t="n"/>
      <c r="X473" s="285" t="n"/>
      <c r="Y473" s="285" t="n"/>
      <c r="Z473" s="285" t="n"/>
      <c r="AA473" s="285" t="n"/>
    </row>
    <row r="474" ht="15.75" customHeight="1" s="398">
      <c r="A474" s="284" t="n"/>
      <c r="B474" s="284" t="n"/>
      <c r="C474" s="285" t="n"/>
      <c r="D474" s="284" t="n"/>
      <c r="E474" s="285" t="n"/>
      <c r="F474" s="285" t="n"/>
      <c r="G474" s="336" t="n"/>
      <c r="H474" s="336" t="n"/>
      <c r="I474" s="285" t="n"/>
      <c r="J474" s="285" t="n"/>
      <c r="K474" s="285" t="n"/>
      <c r="L474" s="285" t="n"/>
      <c r="M474" s="285" t="n"/>
      <c r="N474" s="285" t="n"/>
      <c r="O474" s="285" t="n"/>
      <c r="P474" s="285" t="n"/>
      <c r="Q474" s="285" t="n"/>
      <c r="R474" s="285" t="n"/>
      <c r="S474" s="284" t="n"/>
      <c r="T474" s="284" t="n"/>
      <c r="U474" s="285" t="n"/>
      <c r="V474" s="285" t="n"/>
      <c r="W474" s="285" t="n"/>
      <c r="X474" s="285" t="n"/>
      <c r="Y474" s="285" t="n"/>
      <c r="Z474" s="285" t="n"/>
      <c r="AA474" s="285" t="n"/>
    </row>
    <row r="475" ht="15.75" customHeight="1" s="398">
      <c r="A475" s="284" t="n"/>
      <c r="B475" s="284" t="n"/>
      <c r="C475" s="285" t="n"/>
      <c r="D475" s="284" t="n"/>
      <c r="E475" s="285" t="n"/>
      <c r="F475" s="285" t="n"/>
      <c r="G475" s="336" t="n"/>
      <c r="H475" s="336" t="n"/>
      <c r="I475" s="285" t="n"/>
      <c r="J475" s="285" t="n"/>
      <c r="K475" s="285" t="n"/>
      <c r="L475" s="285" t="n"/>
      <c r="M475" s="285" t="n"/>
      <c r="N475" s="285" t="n"/>
      <c r="O475" s="285" t="n"/>
      <c r="P475" s="285" t="n"/>
      <c r="Q475" s="285" t="n"/>
      <c r="R475" s="285" t="n"/>
      <c r="S475" s="284" t="n"/>
      <c r="T475" s="284" t="n"/>
      <c r="U475" s="285" t="n"/>
      <c r="V475" s="285" t="n"/>
      <c r="W475" s="285" t="n"/>
      <c r="X475" s="285" t="n"/>
      <c r="Y475" s="285" t="n"/>
      <c r="Z475" s="285" t="n"/>
      <c r="AA475" s="285" t="n"/>
    </row>
    <row r="476" ht="15.75" customHeight="1" s="398">
      <c r="A476" s="284" t="n"/>
      <c r="B476" s="284" t="n"/>
      <c r="C476" s="285" t="n"/>
      <c r="D476" s="284" t="n"/>
      <c r="E476" s="285" t="n"/>
      <c r="F476" s="285" t="n"/>
      <c r="G476" s="336" t="n"/>
      <c r="H476" s="336" t="n"/>
      <c r="I476" s="285" t="n"/>
      <c r="J476" s="285" t="n"/>
      <c r="K476" s="285" t="n"/>
      <c r="L476" s="285" t="n"/>
      <c r="M476" s="285" t="n"/>
      <c r="N476" s="285" t="n"/>
      <c r="O476" s="285" t="n"/>
      <c r="P476" s="285" t="n"/>
      <c r="Q476" s="285" t="n"/>
      <c r="R476" s="285" t="n"/>
      <c r="S476" s="284" t="n"/>
      <c r="T476" s="284" t="n"/>
      <c r="U476" s="285" t="n"/>
      <c r="V476" s="285" t="n"/>
      <c r="W476" s="285" t="n"/>
      <c r="X476" s="285" t="n"/>
      <c r="Y476" s="285" t="n"/>
      <c r="Z476" s="285" t="n"/>
      <c r="AA476" s="285" t="n"/>
    </row>
    <row r="477" ht="15.75" customHeight="1" s="398">
      <c r="A477" s="284" t="n"/>
      <c r="B477" s="284" t="n"/>
      <c r="C477" s="285" t="n"/>
      <c r="D477" s="284" t="n"/>
      <c r="E477" s="285" t="n"/>
      <c r="F477" s="285" t="n"/>
      <c r="G477" s="336" t="n"/>
      <c r="H477" s="336" t="n"/>
      <c r="I477" s="285" t="n"/>
      <c r="J477" s="285" t="n"/>
      <c r="K477" s="285" t="n"/>
      <c r="L477" s="285" t="n"/>
      <c r="M477" s="285" t="n"/>
      <c r="N477" s="285" t="n"/>
      <c r="O477" s="285" t="n"/>
      <c r="P477" s="285" t="n"/>
      <c r="Q477" s="285" t="n"/>
      <c r="R477" s="285" t="n"/>
      <c r="S477" s="284" t="n"/>
      <c r="T477" s="284" t="n"/>
      <c r="U477" s="285" t="n"/>
      <c r="V477" s="285" t="n"/>
      <c r="W477" s="285" t="n"/>
      <c r="X477" s="285" t="n"/>
      <c r="Y477" s="285" t="n"/>
      <c r="Z477" s="285" t="n"/>
      <c r="AA477" s="285" t="n"/>
    </row>
    <row r="478" ht="15.75" customHeight="1" s="398">
      <c r="A478" s="284" t="n"/>
      <c r="B478" s="284" t="n"/>
      <c r="C478" s="285" t="n"/>
      <c r="D478" s="284" t="n"/>
      <c r="E478" s="285" t="n"/>
      <c r="F478" s="285" t="n"/>
      <c r="G478" s="336" t="n"/>
      <c r="H478" s="336" t="n"/>
      <c r="I478" s="285" t="n"/>
      <c r="J478" s="285" t="n"/>
      <c r="K478" s="285" t="n"/>
      <c r="L478" s="285" t="n"/>
      <c r="M478" s="285" t="n"/>
      <c r="N478" s="285" t="n"/>
      <c r="O478" s="285" t="n"/>
      <c r="P478" s="285" t="n"/>
      <c r="Q478" s="285" t="n"/>
      <c r="R478" s="285" t="n"/>
      <c r="S478" s="284" t="n"/>
      <c r="T478" s="284" t="n"/>
      <c r="U478" s="285" t="n"/>
      <c r="V478" s="285" t="n"/>
      <c r="W478" s="285" t="n"/>
      <c r="X478" s="285" t="n"/>
      <c r="Y478" s="285" t="n"/>
      <c r="Z478" s="285" t="n"/>
      <c r="AA478" s="285" t="n"/>
    </row>
    <row r="479" ht="15.75" customHeight="1" s="398">
      <c r="A479" s="284" t="n"/>
      <c r="B479" s="284" t="n"/>
      <c r="C479" s="285" t="n"/>
      <c r="D479" s="284" t="n"/>
      <c r="E479" s="285" t="n"/>
      <c r="F479" s="285" t="n"/>
      <c r="G479" s="336" t="n"/>
      <c r="H479" s="336" t="n"/>
      <c r="I479" s="285" t="n"/>
      <c r="J479" s="285" t="n"/>
      <c r="K479" s="285" t="n"/>
      <c r="L479" s="285" t="n"/>
      <c r="M479" s="285" t="n"/>
      <c r="N479" s="285" t="n"/>
      <c r="O479" s="285" t="n"/>
      <c r="P479" s="285" t="n"/>
      <c r="Q479" s="285" t="n"/>
      <c r="R479" s="285" t="n"/>
      <c r="S479" s="284" t="n"/>
      <c r="T479" s="284" t="n"/>
      <c r="U479" s="285" t="n"/>
      <c r="V479" s="285" t="n"/>
      <c r="W479" s="285" t="n"/>
      <c r="X479" s="285" t="n"/>
      <c r="Y479" s="285" t="n"/>
      <c r="Z479" s="285" t="n"/>
      <c r="AA479" s="285" t="n"/>
    </row>
    <row r="480" ht="15.75" customHeight="1" s="398">
      <c r="A480" s="284" t="n"/>
      <c r="B480" s="284" t="n"/>
      <c r="C480" s="285" t="n"/>
      <c r="D480" s="284" t="n"/>
      <c r="E480" s="285" t="n"/>
      <c r="F480" s="285" t="n"/>
      <c r="G480" s="336" t="n"/>
      <c r="H480" s="336" t="n"/>
      <c r="I480" s="285" t="n"/>
      <c r="J480" s="285" t="n"/>
      <c r="K480" s="285" t="n"/>
      <c r="L480" s="285" t="n"/>
      <c r="M480" s="285" t="n"/>
      <c r="N480" s="285" t="n"/>
      <c r="O480" s="285" t="n"/>
      <c r="P480" s="285" t="n"/>
      <c r="Q480" s="285" t="n"/>
      <c r="R480" s="285" t="n"/>
      <c r="S480" s="284" t="n"/>
      <c r="T480" s="284" t="n"/>
      <c r="U480" s="285" t="n"/>
      <c r="V480" s="285" t="n"/>
      <c r="W480" s="285" t="n"/>
      <c r="X480" s="285" t="n"/>
      <c r="Y480" s="285" t="n"/>
      <c r="Z480" s="285" t="n"/>
      <c r="AA480" s="285" t="n"/>
    </row>
    <row r="481" ht="15.75" customHeight="1" s="398">
      <c r="A481" s="284" t="n"/>
      <c r="B481" s="284" t="n"/>
      <c r="C481" s="285" t="n"/>
      <c r="D481" s="284" t="n"/>
      <c r="E481" s="285" t="n"/>
      <c r="F481" s="285" t="n"/>
      <c r="G481" s="336" t="n"/>
      <c r="H481" s="336" t="n"/>
      <c r="I481" s="285" t="n"/>
      <c r="J481" s="285" t="n"/>
      <c r="K481" s="285" t="n"/>
      <c r="L481" s="285" t="n"/>
      <c r="M481" s="285" t="n"/>
      <c r="N481" s="285" t="n"/>
      <c r="O481" s="285" t="n"/>
      <c r="P481" s="285" t="n"/>
      <c r="Q481" s="285" t="n"/>
      <c r="R481" s="285" t="n"/>
      <c r="S481" s="284" t="n"/>
      <c r="T481" s="284" t="n"/>
      <c r="U481" s="285" t="n"/>
      <c r="V481" s="285" t="n"/>
      <c r="W481" s="285" t="n"/>
      <c r="X481" s="285" t="n"/>
      <c r="Y481" s="285" t="n"/>
      <c r="Z481" s="285" t="n"/>
      <c r="AA481" s="285" t="n"/>
    </row>
    <row r="482" ht="15.75" customHeight="1" s="398">
      <c r="A482" s="284" t="n"/>
      <c r="B482" s="284" t="n"/>
      <c r="C482" s="285" t="n"/>
      <c r="D482" s="284" t="n"/>
      <c r="E482" s="285" t="n"/>
      <c r="F482" s="285" t="n"/>
      <c r="G482" s="336" t="n"/>
      <c r="H482" s="336" t="n"/>
      <c r="I482" s="285" t="n"/>
      <c r="J482" s="285" t="n"/>
      <c r="K482" s="285" t="n"/>
      <c r="L482" s="285" t="n"/>
      <c r="M482" s="285" t="n"/>
      <c r="N482" s="285" t="n"/>
      <c r="O482" s="285" t="n"/>
      <c r="P482" s="285" t="n"/>
      <c r="Q482" s="285" t="n"/>
      <c r="R482" s="285" t="n"/>
      <c r="S482" s="284" t="n"/>
      <c r="T482" s="284" t="n"/>
      <c r="U482" s="285" t="n"/>
      <c r="V482" s="285" t="n"/>
      <c r="W482" s="285" t="n"/>
      <c r="X482" s="285" t="n"/>
      <c r="Y482" s="285" t="n"/>
      <c r="Z482" s="285" t="n"/>
      <c r="AA482" s="285" t="n"/>
    </row>
    <row r="483" ht="15.75" customHeight="1" s="398">
      <c r="A483" s="284" t="n"/>
      <c r="B483" s="284" t="n"/>
      <c r="C483" s="285" t="n"/>
      <c r="D483" s="284" t="n"/>
      <c r="E483" s="285" t="n"/>
      <c r="F483" s="285" t="n"/>
      <c r="G483" s="336" t="n"/>
      <c r="H483" s="336" t="n"/>
      <c r="I483" s="285" t="n"/>
      <c r="J483" s="285" t="n"/>
      <c r="K483" s="285" t="n"/>
      <c r="L483" s="285" t="n"/>
      <c r="M483" s="285" t="n"/>
      <c r="N483" s="285" t="n"/>
      <c r="O483" s="285" t="n"/>
      <c r="P483" s="285" t="n"/>
      <c r="Q483" s="285" t="n"/>
      <c r="R483" s="285" t="n"/>
      <c r="S483" s="284" t="n"/>
      <c r="T483" s="284" t="n"/>
      <c r="U483" s="285" t="n"/>
      <c r="V483" s="285" t="n"/>
      <c r="W483" s="285" t="n"/>
      <c r="X483" s="285" t="n"/>
      <c r="Y483" s="285" t="n"/>
      <c r="Z483" s="285" t="n"/>
      <c r="AA483" s="285" t="n"/>
    </row>
    <row r="484" ht="15.75" customHeight="1" s="398">
      <c r="A484" s="284" t="n"/>
      <c r="B484" s="284" t="n"/>
      <c r="C484" s="285" t="n"/>
      <c r="D484" s="284" t="n"/>
      <c r="E484" s="285" t="n"/>
      <c r="F484" s="285" t="n"/>
      <c r="G484" s="336" t="n"/>
      <c r="H484" s="336" t="n"/>
      <c r="I484" s="285" t="n"/>
      <c r="J484" s="285" t="n"/>
      <c r="K484" s="285" t="n"/>
      <c r="L484" s="285" t="n"/>
      <c r="M484" s="285" t="n"/>
      <c r="N484" s="285" t="n"/>
      <c r="O484" s="285" t="n"/>
      <c r="P484" s="285" t="n"/>
      <c r="Q484" s="285" t="n"/>
      <c r="R484" s="285" t="n"/>
      <c r="S484" s="284" t="n"/>
      <c r="T484" s="284" t="n"/>
      <c r="U484" s="285" t="n"/>
      <c r="V484" s="285" t="n"/>
      <c r="W484" s="285" t="n"/>
      <c r="X484" s="285" t="n"/>
      <c r="Y484" s="285" t="n"/>
      <c r="Z484" s="285" t="n"/>
      <c r="AA484" s="285" t="n"/>
    </row>
    <row r="485" ht="15.75" customHeight="1" s="398">
      <c r="A485" s="284" t="n"/>
      <c r="B485" s="284" t="n"/>
      <c r="C485" s="285" t="n"/>
      <c r="D485" s="284" t="n"/>
      <c r="E485" s="285" t="n"/>
      <c r="F485" s="285" t="n"/>
      <c r="G485" s="336" t="n"/>
      <c r="H485" s="336" t="n"/>
      <c r="I485" s="285" t="n"/>
      <c r="J485" s="285" t="n"/>
      <c r="K485" s="285" t="n"/>
      <c r="L485" s="285" t="n"/>
      <c r="M485" s="285" t="n"/>
      <c r="N485" s="285" t="n"/>
      <c r="O485" s="285" t="n"/>
      <c r="P485" s="285" t="n"/>
      <c r="Q485" s="285" t="n"/>
      <c r="R485" s="285" t="n"/>
      <c r="S485" s="284" t="n"/>
      <c r="T485" s="284" t="n"/>
      <c r="U485" s="285" t="n"/>
      <c r="V485" s="285" t="n"/>
      <c r="W485" s="285" t="n"/>
      <c r="X485" s="285" t="n"/>
      <c r="Y485" s="285" t="n"/>
      <c r="Z485" s="285" t="n"/>
      <c r="AA485" s="285" t="n"/>
    </row>
    <row r="486" ht="15.75" customHeight="1" s="398">
      <c r="A486" s="284" t="n"/>
      <c r="B486" s="284" t="n"/>
      <c r="C486" s="285" t="n"/>
      <c r="D486" s="284" t="n"/>
      <c r="E486" s="285" t="n"/>
      <c r="F486" s="285" t="n"/>
      <c r="G486" s="336" t="n"/>
      <c r="H486" s="336" t="n"/>
      <c r="I486" s="285" t="n"/>
      <c r="J486" s="285" t="n"/>
      <c r="K486" s="285" t="n"/>
      <c r="L486" s="285" t="n"/>
      <c r="M486" s="285" t="n"/>
      <c r="N486" s="285" t="n"/>
      <c r="O486" s="285" t="n"/>
      <c r="P486" s="285" t="n"/>
      <c r="Q486" s="285" t="n"/>
      <c r="R486" s="285" t="n"/>
      <c r="S486" s="284" t="n"/>
      <c r="T486" s="284" t="n"/>
      <c r="U486" s="285" t="n"/>
      <c r="V486" s="285" t="n"/>
      <c r="W486" s="285" t="n"/>
      <c r="X486" s="285" t="n"/>
      <c r="Y486" s="285" t="n"/>
      <c r="Z486" s="285" t="n"/>
      <c r="AA486" s="285" t="n"/>
    </row>
    <row r="487" ht="15.75" customHeight="1" s="398">
      <c r="A487" s="284" t="n"/>
      <c r="B487" s="284" t="n"/>
      <c r="C487" s="285" t="n"/>
      <c r="D487" s="284" t="n"/>
      <c r="E487" s="285" t="n"/>
      <c r="F487" s="285" t="n"/>
      <c r="G487" s="336" t="n"/>
      <c r="H487" s="336" t="n"/>
      <c r="I487" s="285" t="n"/>
      <c r="J487" s="285" t="n"/>
      <c r="K487" s="285" t="n"/>
      <c r="L487" s="285" t="n"/>
      <c r="M487" s="285" t="n"/>
      <c r="N487" s="285" t="n"/>
      <c r="O487" s="285" t="n"/>
      <c r="P487" s="285" t="n"/>
      <c r="Q487" s="285" t="n"/>
      <c r="R487" s="285" t="n"/>
      <c r="S487" s="284" t="n"/>
      <c r="T487" s="284" t="n"/>
      <c r="U487" s="285" t="n"/>
      <c r="V487" s="285" t="n"/>
      <c r="W487" s="285" t="n"/>
      <c r="X487" s="285" t="n"/>
      <c r="Y487" s="285" t="n"/>
      <c r="Z487" s="285" t="n"/>
      <c r="AA487" s="285" t="n"/>
    </row>
    <row r="488" ht="15.75" customHeight="1" s="398">
      <c r="A488" s="284" t="n"/>
      <c r="B488" s="284" t="n"/>
      <c r="C488" s="285" t="n"/>
      <c r="D488" s="284" t="n"/>
      <c r="E488" s="285" t="n"/>
      <c r="F488" s="285" t="n"/>
      <c r="G488" s="336" t="n"/>
      <c r="H488" s="336" t="n"/>
      <c r="I488" s="285" t="n"/>
      <c r="J488" s="285" t="n"/>
      <c r="K488" s="285" t="n"/>
      <c r="L488" s="285" t="n"/>
      <c r="M488" s="285" t="n"/>
      <c r="N488" s="285" t="n"/>
      <c r="O488" s="285" t="n"/>
      <c r="P488" s="285" t="n"/>
      <c r="Q488" s="285" t="n"/>
      <c r="R488" s="285" t="n"/>
      <c r="S488" s="284" t="n"/>
      <c r="T488" s="284" t="n"/>
      <c r="U488" s="285" t="n"/>
      <c r="V488" s="285" t="n"/>
      <c r="W488" s="285" t="n"/>
      <c r="X488" s="285" t="n"/>
      <c r="Y488" s="285" t="n"/>
      <c r="Z488" s="285" t="n"/>
      <c r="AA488" s="285" t="n"/>
    </row>
    <row r="489" ht="15.75" customHeight="1" s="398">
      <c r="A489" s="284" t="n"/>
      <c r="B489" s="284" t="n"/>
      <c r="C489" s="285" t="n"/>
      <c r="D489" s="284" t="n"/>
      <c r="E489" s="285" t="n"/>
      <c r="F489" s="285" t="n"/>
      <c r="G489" s="336" t="n"/>
      <c r="H489" s="336" t="n"/>
      <c r="I489" s="285" t="n"/>
      <c r="J489" s="285" t="n"/>
      <c r="K489" s="285" t="n"/>
      <c r="L489" s="285" t="n"/>
      <c r="M489" s="285" t="n"/>
      <c r="N489" s="285" t="n"/>
      <c r="O489" s="285" t="n"/>
      <c r="P489" s="285" t="n"/>
      <c r="Q489" s="285" t="n"/>
      <c r="R489" s="285" t="n"/>
      <c r="S489" s="284" t="n"/>
      <c r="T489" s="284" t="n"/>
      <c r="U489" s="285" t="n"/>
      <c r="V489" s="285" t="n"/>
      <c r="W489" s="285" t="n"/>
      <c r="X489" s="285" t="n"/>
      <c r="Y489" s="285" t="n"/>
      <c r="Z489" s="285" t="n"/>
      <c r="AA489" s="285" t="n"/>
    </row>
    <row r="490" ht="15.75" customHeight="1" s="398">
      <c r="A490" s="284" t="n"/>
      <c r="B490" s="284" t="n"/>
      <c r="C490" s="285" t="n"/>
      <c r="D490" s="284" t="n"/>
      <c r="E490" s="285" t="n"/>
      <c r="F490" s="285" t="n"/>
      <c r="G490" s="336" t="n"/>
      <c r="H490" s="336" t="n"/>
      <c r="I490" s="285" t="n"/>
      <c r="J490" s="285" t="n"/>
      <c r="K490" s="285" t="n"/>
      <c r="L490" s="285" t="n"/>
      <c r="M490" s="285" t="n"/>
      <c r="N490" s="285" t="n"/>
      <c r="O490" s="285" t="n"/>
      <c r="P490" s="285" t="n"/>
      <c r="Q490" s="285" t="n"/>
      <c r="R490" s="285" t="n"/>
      <c r="S490" s="284" t="n"/>
      <c r="T490" s="284" t="n"/>
      <c r="U490" s="285" t="n"/>
      <c r="V490" s="285" t="n"/>
      <c r="W490" s="285" t="n"/>
      <c r="X490" s="285" t="n"/>
      <c r="Y490" s="285" t="n"/>
      <c r="Z490" s="285" t="n"/>
      <c r="AA490" s="285" t="n"/>
    </row>
    <row r="491" ht="15.75" customHeight="1" s="398">
      <c r="A491" s="284" t="n"/>
      <c r="B491" s="284" t="n"/>
      <c r="C491" s="285" t="n"/>
      <c r="D491" s="284" t="n"/>
      <c r="E491" s="285" t="n"/>
      <c r="F491" s="285" t="n"/>
      <c r="G491" s="336" t="n"/>
      <c r="H491" s="336" t="n"/>
      <c r="I491" s="285" t="n"/>
      <c r="J491" s="285" t="n"/>
      <c r="K491" s="285" t="n"/>
      <c r="L491" s="285" t="n"/>
      <c r="M491" s="285" t="n"/>
      <c r="N491" s="285" t="n"/>
      <c r="O491" s="285" t="n"/>
      <c r="P491" s="285" t="n"/>
      <c r="Q491" s="285" t="n"/>
      <c r="R491" s="285" t="n"/>
      <c r="S491" s="284" t="n"/>
      <c r="T491" s="284" t="n"/>
      <c r="U491" s="285" t="n"/>
      <c r="V491" s="285" t="n"/>
      <c r="W491" s="285" t="n"/>
      <c r="X491" s="285" t="n"/>
      <c r="Y491" s="285" t="n"/>
      <c r="Z491" s="285" t="n"/>
      <c r="AA491" s="285" t="n"/>
    </row>
    <row r="492" ht="15.75" customHeight="1" s="398">
      <c r="A492" s="284" t="n"/>
      <c r="B492" s="284" t="n"/>
      <c r="C492" s="285" t="n"/>
      <c r="D492" s="284" t="n"/>
      <c r="E492" s="285" t="n"/>
      <c r="F492" s="285" t="n"/>
      <c r="G492" s="336" t="n"/>
      <c r="H492" s="336" t="n"/>
      <c r="I492" s="285" t="n"/>
      <c r="J492" s="285" t="n"/>
      <c r="K492" s="285" t="n"/>
      <c r="L492" s="285" t="n"/>
      <c r="M492" s="285" t="n"/>
      <c r="N492" s="285" t="n"/>
      <c r="O492" s="285" t="n"/>
      <c r="P492" s="285" t="n"/>
      <c r="Q492" s="285" t="n"/>
      <c r="R492" s="285" t="n"/>
      <c r="S492" s="284" t="n"/>
      <c r="T492" s="284" t="n"/>
      <c r="U492" s="285" t="n"/>
      <c r="V492" s="285" t="n"/>
      <c r="W492" s="285" t="n"/>
      <c r="X492" s="285" t="n"/>
      <c r="Y492" s="285" t="n"/>
      <c r="Z492" s="285" t="n"/>
      <c r="AA492" s="285" t="n"/>
    </row>
    <row r="493" ht="15.75" customHeight="1" s="398">
      <c r="A493" s="284" t="n"/>
      <c r="B493" s="284" t="n"/>
      <c r="C493" s="285" t="n"/>
      <c r="D493" s="284" t="n"/>
      <c r="E493" s="285" t="n"/>
      <c r="F493" s="285" t="n"/>
      <c r="G493" s="336" t="n"/>
      <c r="H493" s="336" t="n"/>
      <c r="I493" s="285" t="n"/>
      <c r="J493" s="285" t="n"/>
      <c r="K493" s="285" t="n"/>
      <c r="L493" s="285" t="n"/>
      <c r="M493" s="285" t="n"/>
      <c r="N493" s="285" t="n"/>
      <c r="O493" s="285" t="n"/>
      <c r="P493" s="285" t="n"/>
      <c r="Q493" s="285" t="n"/>
      <c r="R493" s="285" t="n"/>
      <c r="S493" s="284" t="n"/>
      <c r="T493" s="284" t="n"/>
      <c r="U493" s="285" t="n"/>
      <c r="V493" s="285" t="n"/>
      <c r="W493" s="285" t="n"/>
      <c r="X493" s="285" t="n"/>
      <c r="Y493" s="285" t="n"/>
      <c r="Z493" s="285" t="n"/>
      <c r="AA493" s="285" t="n"/>
    </row>
    <row r="494" ht="15.75" customHeight="1" s="398">
      <c r="A494" s="284" t="n"/>
      <c r="B494" s="284" t="n"/>
      <c r="C494" s="285" t="n"/>
      <c r="D494" s="284" t="n"/>
      <c r="E494" s="285" t="n"/>
      <c r="F494" s="285" t="n"/>
      <c r="G494" s="336" t="n"/>
      <c r="H494" s="336" t="n"/>
      <c r="I494" s="285" t="n"/>
      <c r="J494" s="285" t="n"/>
      <c r="K494" s="285" t="n"/>
      <c r="L494" s="285" t="n"/>
      <c r="M494" s="285" t="n"/>
      <c r="N494" s="285" t="n"/>
      <c r="O494" s="285" t="n"/>
      <c r="P494" s="285" t="n"/>
      <c r="Q494" s="285" t="n"/>
      <c r="R494" s="285" t="n"/>
      <c r="S494" s="284" t="n"/>
      <c r="T494" s="284" t="n"/>
      <c r="U494" s="285" t="n"/>
      <c r="V494" s="285" t="n"/>
      <c r="W494" s="285" t="n"/>
      <c r="X494" s="285" t="n"/>
      <c r="Y494" s="285" t="n"/>
      <c r="Z494" s="285" t="n"/>
      <c r="AA494" s="285" t="n"/>
    </row>
    <row r="495" ht="15.75" customHeight="1" s="398">
      <c r="A495" s="284" t="n"/>
      <c r="B495" s="284" t="n"/>
      <c r="C495" s="285" t="n"/>
      <c r="D495" s="284" t="n"/>
      <c r="E495" s="285" t="n"/>
      <c r="F495" s="285" t="n"/>
      <c r="G495" s="336" t="n"/>
      <c r="H495" s="336" t="n"/>
      <c r="I495" s="285" t="n"/>
      <c r="J495" s="285" t="n"/>
      <c r="K495" s="285" t="n"/>
      <c r="L495" s="285" t="n"/>
      <c r="M495" s="285" t="n"/>
      <c r="N495" s="285" t="n"/>
      <c r="O495" s="285" t="n"/>
      <c r="P495" s="285" t="n"/>
      <c r="Q495" s="285" t="n"/>
      <c r="R495" s="285" t="n"/>
      <c r="S495" s="284" t="n"/>
      <c r="T495" s="284" t="n"/>
      <c r="U495" s="285" t="n"/>
      <c r="V495" s="285" t="n"/>
      <c r="W495" s="285" t="n"/>
      <c r="X495" s="285" t="n"/>
      <c r="Y495" s="285" t="n"/>
      <c r="Z495" s="285" t="n"/>
      <c r="AA495" s="285" t="n"/>
    </row>
    <row r="496" ht="15.75" customHeight="1" s="398">
      <c r="A496" s="284" t="n"/>
      <c r="B496" s="284" t="n"/>
      <c r="C496" s="285" t="n"/>
      <c r="D496" s="284" t="n"/>
      <c r="E496" s="285" t="n"/>
      <c r="F496" s="285" t="n"/>
      <c r="G496" s="336" t="n"/>
      <c r="H496" s="336" t="n"/>
      <c r="I496" s="285" t="n"/>
      <c r="J496" s="285" t="n"/>
      <c r="K496" s="285" t="n"/>
      <c r="L496" s="285" t="n"/>
      <c r="M496" s="285" t="n"/>
      <c r="N496" s="285" t="n"/>
      <c r="O496" s="285" t="n"/>
      <c r="P496" s="285" t="n"/>
      <c r="Q496" s="285" t="n"/>
      <c r="R496" s="285" t="n"/>
      <c r="S496" s="284" t="n"/>
      <c r="T496" s="284" t="n"/>
      <c r="U496" s="285" t="n"/>
      <c r="V496" s="285" t="n"/>
      <c r="W496" s="285" t="n"/>
      <c r="X496" s="285" t="n"/>
      <c r="Y496" s="285" t="n"/>
      <c r="Z496" s="285" t="n"/>
      <c r="AA496" s="285" t="n"/>
    </row>
    <row r="497" ht="15.75" customHeight="1" s="398">
      <c r="A497" s="284" t="n"/>
      <c r="B497" s="284" t="n"/>
      <c r="C497" s="285" t="n"/>
      <c r="D497" s="284" t="n"/>
      <c r="E497" s="285" t="n"/>
      <c r="F497" s="285" t="n"/>
      <c r="G497" s="336" t="n"/>
      <c r="H497" s="336" t="n"/>
      <c r="I497" s="285" t="n"/>
      <c r="J497" s="285" t="n"/>
      <c r="K497" s="285" t="n"/>
      <c r="L497" s="285" t="n"/>
      <c r="M497" s="285" t="n"/>
      <c r="N497" s="285" t="n"/>
      <c r="O497" s="285" t="n"/>
      <c r="P497" s="285" t="n"/>
      <c r="Q497" s="285" t="n"/>
      <c r="R497" s="285" t="n"/>
      <c r="S497" s="284" t="n"/>
      <c r="T497" s="284" t="n"/>
      <c r="U497" s="285" t="n"/>
      <c r="V497" s="285" t="n"/>
      <c r="W497" s="285" t="n"/>
      <c r="X497" s="285" t="n"/>
      <c r="Y497" s="285" t="n"/>
      <c r="Z497" s="285" t="n"/>
      <c r="AA497" s="285" t="n"/>
    </row>
    <row r="498" ht="15.75" customHeight="1" s="398">
      <c r="A498" s="284" t="n"/>
      <c r="B498" s="284" t="n"/>
      <c r="C498" s="285" t="n"/>
      <c r="D498" s="284" t="n"/>
      <c r="E498" s="285" t="n"/>
      <c r="F498" s="285" t="n"/>
      <c r="G498" s="336" t="n"/>
      <c r="H498" s="336" t="n"/>
      <c r="I498" s="285" t="n"/>
      <c r="J498" s="285" t="n"/>
      <c r="K498" s="285" t="n"/>
      <c r="L498" s="285" t="n"/>
      <c r="M498" s="285" t="n"/>
      <c r="N498" s="285" t="n"/>
      <c r="O498" s="285" t="n"/>
      <c r="P498" s="285" t="n"/>
      <c r="Q498" s="285" t="n"/>
      <c r="R498" s="285" t="n"/>
      <c r="S498" s="284" t="n"/>
      <c r="T498" s="284" t="n"/>
      <c r="U498" s="285" t="n"/>
      <c r="V498" s="285" t="n"/>
      <c r="W498" s="285" t="n"/>
      <c r="X498" s="285" t="n"/>
      <c r="Y498" s="285" t="n"/>
      <c r="Z498" s="285" t="n"/>
      <c r="AA498" s="285" t="n"/>
    </row>
    <row r="499" ht="15.75" customHeight="1" s="398">
      <c r="A499" s="284" t="n"/>
      <c r="B499" s="284" t="n"/>
      <c r="C499" s="285" t="n"/>
      <c r="D499" s="284" t="n"/>
      <c r="E499" s="285" t="n"/>
      <c r="F499" s="285" t="n"/>
      <c r="G499" s="336" t="n"/>
      <c r="H499" s="336" t="n"/>
      <c r="I499" s="285" t="n"/>
      <c r="J499" s="285" t="n"/>
      <c r="K499" s="285" t="n"/>
      <c r="L499" s="285" t="n"/>
      <c r="M499" s="285" t="n"/>
      <c r="N499" s="285" t="n"/>
      <c r="O499" s="285" t="n"/>
      <c r="P499" s="285" t="n"/>
      <c r="Q499" s="285" t="n"/>
      <c r="R499" s="285" t="n"/>
      <c r="S499" s="284" t="n"/>
      <c r="T499" s="284" t="n"/>
      <c r="U499" s="285" t="n"/>
      <c r="V499" s="285" t="n"/>
      <c r="W499" s="285" t="n"/>
      <c r="X499" s="285" t="n"/>
      <c r="Y499" s="285" t="n"/>
      <c r="Z499" s="285" t="n"/>
      <c r="AA499" s="285" t="n"/>
    </row>
    <row r="500" ht="15.75" customHeight="1" s="398">
      <c r="A500" s="284" t="n"/>
      <c r="B500" s="284" t="n"/>
      <c r="C500" s="285" t="n"/>
      <c r="D500" s="284" t="n"/>
      <c r="E500" s="285" t="n"/>
      <c r="F500" s="285" t="n"/>
      <c r="G500" s="336" t="n"/>
      <c r="H500" s="336" t="n"/>
      <c r="I500" s="285" t="n"/>
      <c r="J500" s="285" t="n"/>
      <c r="K500" s="285" t="n"/>
      <c r="L500" s="285" t="n"/>
      <c r="M500" s="285" t="n"/>
      <c r="N500" s="285" t="n"/>
      <c r="O500" s="285" t="n"/>
      <c r="P500" s="285" t="n"/>
      <c r="Q500" s="285" t="n"/>
      <c r="R500" s="285" t="n"/>
      <c r="S500" s="284" t="n"/>
      <c r="T500" s="284" t="n"/>
      <c r="U500" s="285" t="n"/>
      <c r="V500" s="285" t="n"/>
      <c r="W500" s="285" t="n"/>
      <c r="X500" s="285" t="n"/>
      <c r="Y500" s="285" t="n"/>
      <c r="Z500" s="285" t="n"/>
      <c r="AA500" s="285" t="n"/>
    </row>
    <row r="501" ht="15.75" customHeight="1" s="398">
      <c r="A501" s="284" t="n"/>
      <c r="B501" s="284" t="n"/>
      <c r="C501" s="285" t="n"/>
      <c r="D501" s="284" t="n"/>
      <c r="E501" s="285" t="n"/>
      <c r="F501" s="285" t="n"/>
      <c r="G501" s="336" t="n"/>
      <c r="H501" s="336" t="n"/>
      <c r="I501" s="285" t="n"/>
      <c r="J501" s="285" t="n"/>
      <c r="K501" s="285" t="n"/>
      <c r="L501" s="285" t="n"/>
      <c r="M501" s="285" t="n"/>
      <c r="N501" s="285" t="n"/>
      <c r="O501" s="285" t="n"/>
      <c r="P501" s="285" t="n"/>
      <c r="Q501" s="285" t="n"/>
      <c r="R501" s="285" t="n"/>
      <c r="S501" s="284" t="n"/>
      <c r="T501" s="284" t="n"/>
      <c r="U501" s="285" t="n"/>
      <c r="V501" s="285" t="n"/>
      <c r="W501" s="285" t="n"/>
      <c r="X501" s="285" t="n"/>
      <c r="Y501" s="285" t="n"/>
      <c r="Z501" s="285" t="n"/>
      <c r="AA501" s="285" t="n"/>
    </row>
    <row r="502" ht="15.75" customHeight="1" s="398">
      <c r="A502" s="284" t="n"/>
      <c r="B502" s="284" t="n"/>
      <c r="C502" s="285" t="n"/>
      <c r="D502" s="284" t="n"/>
      <c r="E502" s="285" t="n"/>
      <c r="F502" s="285" t="n"/>
      <c r="G502" s="336" t="n"/>
      <c r="H502" s="336" t="n"/>
      <c r="I502" s="285" t="n"/>
      <c r="J502" s="285" t="n"/>
      <c r="K502" s="285" t="n"/>
      <c r="L502" s="285" t="n"/>
      <c r="M502" s="285" t="n"/>
      <c r="N502" s="285" t="n"/>
      <c r="O502" s="285" t="n"/>
      <c r="P502" s="285" t="n"/>
      <c r="Q502" s="285" t="n"/>
      <c r="R502" s="285" t="n"/>
      <c r="S502" s="284" t="n"/>
      <c r="T502" s="284" t="n"/>
      <c r="U502" s="285" t="n"/>
      <c r="V502" s="285" t="n"/>
      <c r="W502" s="285" t="n"/>
      <c r="X502" s="285" t="n"/>
      <c r="Y502" s="285" t="n"/>
      <c r="Z502" s="285" t="n"/>
      <c r="AA502" s="285" t="n"/>
    </row>
    <row r="503" ht="15.75" customHeight="1" s="398">
      <c r="A503" s="284" t="n"/>
      <c r="B503" s="284" t="n"/>
      <c r="C503" s="285" t="n"/>
      <c r="D503" s="284" t="n"/>
      <c r="E503" s="285" t="n"/>
      <c r="F503" s="285" t="n"/>
      <c r="G503" s="336" t="n"/>
      <c r="H503" s="336" t="n"/>
      <c r="I503" s="285" t="n"/>
      <c r="J503" s="285" t="n"/>
      <c r="K503" s="285" t="n"/>
      <c r="L503" s="285" t="n"/>
      <c r="M503" s="285" t="n"/>
      <c r="N503" s="285" t="n"/>
      <c r="O503" s="285" t="n"/>
      <c r="P503" s="285" t="n"/>
      <c r="Q503" s="285" t="n"/>
      <c r="R503" s="285" t="n"/>
      <c r="S503" s="284" t="n"/>
      <c r="T503" s="284" t="n"/>
      <c r="U503" s="285" t="n"/>
      <c r="V503" s="285" t="n"/>
      <c r="W503" s="285" t="n"/>
      <c r="X503" s="285" t="n"/>
      <c r="Y503" s="285" t="n"/>
      <c r="Z503" s="285" t="n"/>
      <c r="AA503" s="285" t="n"/>
    </row>
    <row r="504" ht="15.75" customHeight="1" s="398">
      <c r="A504" s="284" t="n"/>
      <c r="B504" s="284" t="n"/>
      <c r="C504" s="285" t="n"/>
      <c r="D504" s="284" t="n"/>
      <c r="E504" s="285" t="n"/>
      <c r="F504" s="285" t="n"/>
      <c r="G504" s="336" t="n"/>
      <c r="H504" s="336" t="n"/>
      <c r="I504" s="285" t="n"/>
      <c r="J504" s="285" t="n"/>
      <c r="K504" s="285" t="n"/>
      <c r="L504" s="285" t="n"/>
      <c r="M504" s="285" t="n"/>
      <c r="N504" s="285" t="n"/>
      <c r="O504" s="285" t="n"/>
      <c r="P504" s="285" t="n"/>
      <c r="Q504" s="285" t="n"/>
      <c r="R504" s="285" t="n"/>
      <c r="S504" s="284" t="n"/>
      <c r="T504" s="284" t="n"/>
      <c r="U504" s="285" t="n"/>
      <c r="V504" s="285" t="n"/>
      <c r="W504" s="285" t="n"/>
      <c r="X504" s="285" t="n"/>
      <c r="Y504" s="285" t="n"/>
      <c r="Z504" s="285" t="n"/>
      <c r="AA504" s="285" t="n"/>
    </row>
    <row r="505" ht="15.75" customHeight="1" s="398">
      <c r="A505" s="284" t="n"/>
      <c r="B505" s="284" t="n"/>
      <c r="C505" s="285" t="n"/>
      <c r="D505" s="284" t="n"/>
      <c r="E505" s="285" t="n"/>
      <c r="F505" s="285" t="n"/>
      <c r="G505" s="336" t="n"/>
      <c r="H505" s="336" t="n"/>
      <c r="I505" s="285" t="n"/>
      <c r="J505" s="285" t="n"/>
      <c r="K505" s="285" t="n"/>
      <c r="L505" s="285" t="n"/>
      <c r="M505" s="285" t="n"/>
      <c r="N505" s="285" t="n"/>
      <c r="O505" s="285" t="n"/>
      <c r="P505" s="285" t="n"/>
      <c r="Q505" s="285" t="n"/>
      <c r="R505" s="285" t="n"/>
      <c r="S505" s="284" t="n"/>
      <c r="T505" s="284" t="n"/>
      <c r="U505" s="285" t="n"/>
      <c r="V505" s="285" t="n"/>
      <c r="W505" s="285" t="n"/>
      <c r="X505" s="285" t="n"/>
      <c r="Y505" s="285" t="n"/>
      <c r="Z505" s="285" t="n"/>
      <c r="AA505" s="285" t="n"/>
    </row>
    <row r="506" ht="15.75" customHeight="1" s="398">
      <c r="A506" s="284" t="n"/>
      <c r="B506" s="284" t="n"/>
      <c r="C506" s="285" t="n"/>
      <c r="D506" s="284" t="n"/>
      <c r="E506" s="285" t="n"/>
      <c r="F506" s="285" t="n"/>
      <c r="G506" s="336" t="n"/>
      <c r="H506" s="336" t="n"/>
      <c r="I506" s="285" t="n"/>
      <c r="J506" s="285" t="n"/>
      <c r="K506" s="285" t="n"/>
      <c r="L506" s="285" t="n"/>
      <c r="M506" s="285" t="n"/>
      <c r="N506" s="285" t="n"/>
      <c r="O506" s="285" t="n"/>
      <c r="P506" s="285" t="n"/>
      <c r="Q506" s="285" t="n"/>
      <c r="R506" s="285" t="n"/>
      <c r="S506" s="284" t="n"/>
      <c r="T506" s="284" t="n"/>
      <c r="U506" s="285" t="n"/>
      <c r="V506" s="285" t="n"/>
      <c r="W506" s="285" t="n"/>
      <c r="X506" s="285" t="n"/>
      <c r="Y506" s="285" t="n"/>
      <c r="Z506" s="285" t="n"/>
      <c r="AA506" s="285" t="n"/>
    </row>
    <row r="507" ht="15.75" customHeight="1" s="398">
      <c r="A507" s="284" t="n"/>
      <c r="B507" s="284" t="n"/>
      <c r="C507" s="285" t="n"/>
      <c r="D507" s="284" t="n"/>
      <c r="E507" s="285" t="n"/>
      <c r="F507" s="285" t="n"/>
      <c r="G507" s="336" t="n"/>
      <c r="H507" s="336" t="n"/>
      <c r="I507" s="285" t="n"/>
      <c r="J507" s="285" t="n"/>
      <c r="K507" s="285" t="n"/>
      <c r="L507" s="285" t="n"/>
      <c r="M507" s="285" t="n"/>
      <c r="N507" s="285" t="n"/>
      <c r="O507" s="285" t="n"/>
      <c r="P507" s="285" t="n"/>
      <c r="Q507" s="285" t="n"/>
      <c r="R507" s="285" t="n"/>
      <c r="S507" s="284" t="n"/>
      <c r="T507" s="284" t="n"/>
      <c r="U507" s="285" t="n"/>
      <c r="V507" s="285" t="n"/>
      <c r="W507" s="285" t="n"/>
      <c r="X507" s="285" t="n"/>
      <c r="Y507" s="285" t="n"/>
      <c r="Z507" s="285" t="n"/>
      <c r="AA507" s="285" t="n"/>
    </row>
    <row r="508" ht="15.75" customHeight="1" s="398">
      <c r="A508" s="284" t="n"/>
      <c r="B508" s="284" t="n"/>
      <c r="C508" s="285" t="n"/>
      <c r="D508" s="284" t="n"/>
      <c r="E508" s="285" t="n"/>
      <c r="F508" s="285" t="n"/>
      <c r="G508" s="336" t="n"/>
      <c r="H508" s="336" t="n"/>
      <c r="I508" s="285" t="n"/>
      <c r="J508" s="285" t="n"/>
      <c r="K508" s="285" t="n"/>
      <c r="L508" s="285" t="n"/>
      <c r="M508" s="285" t="n"/>
      <c r="N508" s="285" t="n"/>
      <c r="O508" s="285" t="n"/>
      <c r="P508" s="285" t="n"/>
      <c r="Q508" s="285" t="n"/>
      <c r="R508" s="285" t="n"/>
      <c r="S508" s="284" t="n"/>
      <c r="T508" s="284" t="n"/>
      <c r="U508" s="285" t="n"/>
      <c r="V508" s="285" t="n"/>
      <c r="W508" s="285" t="n"/>
      <c r="X508" s="285" t="n"/>
      <c r="Y508" s="285" t="n"/>
      <c r="Z508" s="285" t="n"/>
      <c r="AA508" s="285" t="n"/>
    </row>
    <row r="509" ht="15.75" customHeight="1" s="398">
      <c r="A509" s="284" t="n"/>
      <c r="B509" s="284" t="n"/>
      <c r="C509" s="285" t="n"/>
      <c r="D509" s="284" t="n"/>
      <c r="E509" s="285" t="n"/>
      <c r="F509" s="285" t="n"/>
      <c r="G509" s="336" t="n"/>
      <c r="H509" s="336" t="n"/>
      <c r="I509" s="285" t="n"/>
      <c r="J509" s="285" t="n"/>
      <c r="K509" s="285" t="n"/>
      <c r="L509" s="285" t="n"/>
      <c r="M509" s="285" t="n"/>
      <c r="N509" s="285" t="n"/>
      <c r="O509" s="285" t="n"/>
      <c r="P509" s="285" t="n"/>
      <c r="Q509" s="285" t="n"/>
      <c r="R509" s="285" t="n"/>
      <c r="S509" s="284" t="n"/>
      <c r="T509" s="284" t="n"/>
      <c r="U509" s="285" t="n"/>
      <c r="V509" s="285" t="n"/>
      <c r="W509" s="285" t="n"/>
      <c r="X509" s="285" t="n"/>
      <c r="Y509" s="285" t="n"/>
      <c r="Z509" s="285" t="n"/>
      <c r="AA509" s="285" t="n"/>
    </row>
    <row r="510" ht="15.75" customHeight="1" s="398">
      <c r="A510" s="284" t="n"/>
      <c r="B510" s="284" t="n"/>
      <c r="C510" s="285" t="n"/>
      <c r="D510" s="284" t="n"/>
      <c r="E510" s="285" t="n"/>
      <c r="F510" s="285" t="n"/>
      <c r="G510" s="336" t="n"/>
      <c r="H510" s="336" t="n"/>
      <c r="I510" s="285" t="n"/>
      <c r="J510" s="285" t="n"/>
      <c r="K510" s="285" t="n"/>
      <c r="L510" s="285" t="n"/>
      <c r="M510" s="285" t="n"/>
      <c r="N510" s="285" t="n"/>
      <c r="O510" s="285" t="n"/>
      <c r="P510" s="285" t="n"/>
      <c r="Q510" s="285" t="n"/>
      <c r="R510" s="285" t="n"/>
      <c r="S510" s="284" t="n"/>
      <c r="T510" s="284" t="n"/>
      <c r="U510" s="285" t="n"/>
      <c r="V510" s="285" t="n"/>
      <c r="W510" s="285" t="n"/>
      <c r="X510" s="285" t="n"/>
      <c r="Y510" s="285" t="n"/>
      <c r="Z510" s="285" t="n"/>
      <c r="AA510" s="285" t="n"/>
    </row>
    <row r="511" ht="15.75" customHeight="1" s="398">
      <c r="A511" s="284" t="n"/>
      <c r="B511" s="284" t="n"/>
      <c r="C511" s="285" t="n"/>
      <c r="D511" s="284" t="n"/>
      <c r="E511" s="285" t="n"/>
      <c r="F511" s="285" t="n"/>
      <c r="G511" s="336" t="n"/>
      <c r="H511" s="336" t="n"/>
      <c r="I511" s="285" t="n"/>
      <c r="J511" s="285" t="n"/>
      <c r="K511" s="285" t="n"/>
      <c r="L511" s="285" t="n"/>
      <c r="M511" s="285" t="n"/>
      <c r="N511" s="285" t="n"/>
      <c r="O511" s="285" t="n"/>
      <c r="P511" s="285" t="n"/>
      <c r="Q511" s="285" t="n"/>
      <c r="R511" s="285" t="n"/>
      <c r="S511" s="284" t="n"/>
      <c r="T511" s="284" t="n"/>
      <c r="U511" s="285" t="n"/>
      <c r="V511" s="285" t="n"/>
      <c r="W511" s="285" t="n"/>
      <c r="X511" s="285" t="n"/>
      <c r="Y511" s="285" t="n"/>
      <c r="Z511" s="285" t="n"/>
      <c r="AA511" s="285" t="n"/>
    </row>
    <row r="512" ht="15.75" customHeight="1" s="398">
      <c r="A512" s="284" t="n"/>
      <c r="B512" s="284" t="n"/>
      <c r="C512" s="285" t="n"/>
      <c r="D512" s="284" t="n"/>
      <c r="E512" s="285" t="n"/>
      <c r="F512" s="285" t="n"/>
      <c r="G512" s="336" t="n"/>
      <c r="H512" s="336" t="n"/>
      <c r="I512" s="285" t="n"/>
      <c r="J512" s="285" t="n"/>
      <c r="K512" s="285" t="n"/>
      <c r="L512" s="285" t="n"/>
      <c r="M512" s="285" t="n"/>
      <c r="N512" s="285" t="n"/>
      <c r="O512" s="285" t="n"/>
      <c r="P512" s="285" t="n"/>
      <c r="Q512" s="285" t="n"/>
      <c r="R512" s="285" t="n"/>
      <c r="S512" s="284" t="n"/>
      <c r="T512" s="284" t="n"/>
      <c r="U512" s="285" t="n"/>
      <c r="V512" s="285" t="n"/>
      <c r="W512" s="285" t="n"/>
      <c r="X512" s="285" t="n"/>
      <c r="Y512" s="285" t="n"/>
      <c r="Z512" s="285" t="n"/>
      <c r="AA512" s="285" t="n"/>
    </row>
    <row r="513" ht="15.75" customHeight="1" s="398">
      <c r="A513" s="284" t="n"/>
      <c r="B513" s="284" t="n"/>
      <c r="C513" s="285" t="n"/>
      <c r="D513" s="284" t="n"/>
      <c r="E513" s="285" t="n"/>
      <c r="F513" s="285" t="n"/>
      <c r="G513" s="336" t="n"/>
      <c r="H513" s="336" t="n"/>
      <c r="I513" s="285" t="n"/>
      <c r="J513" s="285" t="n"/>
      <c r="K513" s="285" t="n"/>
      <c r="L513" s="285" t="n"/>
      <c r="M513" s="285" t="n"/>
      <c r="N513" s="285" t="n"/>
      <c r="O513" s="285" t="n"/>
      <c r="P513" s="285" t="n"/>
      <c r="Q513" s="285" t="n"/>
      <c r="R513" s="285" t="n"/>
      <c r="S513" s="284" t="n"/>
      <c r="T513" s="284" t="n"/>
      <c r="U513" s="285" t="n"/>
      <c r="V513" s="285" t="n"/>
      <c r="W513" s="285" t="n"/>
      <c r="X513" s="285" t="n"/>
      <c r="Y513" s="285" t="n"/>
      <c r="Z513" s="285" t="n"/>
      <c r="AA513" s="285" t="n"/>
    </row>
    <row r="514" ht="15.75" customHeight="1" s="398">
      <c r="A514" s="284" t="n"/>
      <c r="B514" s="284" t="n"/>
      <c r="C514" s="285" t="n"/>
      <c r="D514" s="284" t="n"/>
      <c r="E514" s="285" t="n"/>
      <c r="F514" s="285" t="n"/>
      <c r="G514" s="336" t="n"/>
      <c r="H514" s="336" t="n"/>
      <c r="I514" s="285" t="n"/>
      <c r="J514" s="285" t="n"/>
      <c r="K514" s="285" t="n"/>
      <c r="L514" s="285" t="n"/>
      <c r="M514" s="285" t="n"/>
      <c r="N514" s="285" t="n"/>
      <c r="O514" s="285" t="n"/>
      <c r="P514" s="285" t="n"/>
      <c r="Q514" s="285" t="n"/>
      <c r="R514" s="285" t="n"/>
      <c r="S514" s="284" t="n"/>
      <c r="T514" s="284" t="n"/>
      <c r="U514" s="285" t="n"/>
      <c r="V514" s="285" t="n"/>
      <c r="W514" s="285" t="n"/>
      <c r="X514" s="285" t="n"/>
      <c r="Y514" s="285" t="n"/>
      <c r="Z514" s="285" t="n"/>
      <c r="AA514" s="285" t="n"/>
    </row>
    <row r="515" ht="15.75" customHeight="1" s="398">
      <c r="A515" s="284" t="n"/>
      <c r="B515" s="284" t="n"/>
      <c r="C515" s="285" t="n"/>
      <c r="D515" s="284" t="n"/>
      <c r="E515" s="285" t="n"/>
      <c r="F515" s="285" t="n"/>
      <c r="G515" s="336" t="n"/>
      <c r="H515" s="336" t="n"/>
      <c r="I515" s="285" t="n"/>
      <c r="J515" s="285" t="n"/>
      <c r="K515" s="285" t="n"/>
      <c r="L515" s="285" t="n"/>
      <c r="M515" s="285" t="n"/>
      <c r="N515" s="285" t="n"/>
      <c r="O515" s="285" t="n"/>
      <c r="P515" s="285" t="n"/>
      <c r="Q515" s="285" t="n"/>
      <c r="R515" s="285" t="n"/>
      <c r="S515" s="284" t="n"/>
      <c r="T515" s="284" t="n"/>
      <c r="U515" s="285" t="n"/>
      <c r="V515" s="285" t="n"/>
      <c r="W515" s="285" t="n"/>
      <c r="X515" s="285" t="n"/>
      <c r="Y515" s="285" t="n"/>
      <c r="Z515" s="285" t="n"/>
      <c r="AA515" s="285" t="n"/>
    </row>
    <row r="516" ht="15.75" customHeight="1" s="398">
      <c r="A516" s="284" t="n"/>
      <c r="B516" s="284" t="n"/>
      <c r="C516" s="285" t="n"/>
      <c r="D516" s="284" t="n"/>
      <c r="E516" s="285" t="n"/>
      <c r="F516" s="285" t="n"/>
      <c r="G516" s="336" t="n"/>
      <c r="H516" s="336" t="n"/>
      <c r="I516" s="285" t="n"/>
      <c r="J516" s="285" t="n"/>
      <c r="K516" s="285" t="n"/>
      <c r="L516" s="285" t="n"/>
      <c r="M516" s="285" t="n"/>
      <c r="N516" s="285" t="n"/>
      <c r="O516" s="285" t="n"/>
      <c r="P516" s="285" t="n"/>
      <c r="Q516" s="285" t="n"/>
      <c r="R516" s="285" t="n"/>
      <c r="S516" s="284" t="n"/>
      <c r="T516" s="284" t="n"/>
      <c r="U516" s="285" t="n"/>
      <c r="V516" s="285" t="n"/>
      <c r="W516" s="285" t="n"/>
      <c r="X516" s="285" t="n"/>
      <c r="Y516" s="285" t="n"/>
      <c r="Z516" s="285" t="n"/>
      <c r="AA516" s="285" t="n"/>
    </row>
    <row r="517" ht="15.75" customHeight="1" s="398">
      <c r="A517" s="284" t="n"/>
      <c r="B517" s="284" t="n"/>
      <c r="C517" s="285" t="n"/>
      <c r="D517" s="284" t="n"/>
      <c r="E517" s="285" t="n"/>
      <c r="F517" s="285" t="n"/>
      <c r="G517" s="336" t="n"/>
      <c r="H517" s="336" t="n"/>
      <c r="I517" s="285" t="n"/>
      <c r="J517" s="285" t="n"/>
      <c r="K517" s="285" t="n"/>
      <c r="L517" s="285" t="n"/>
      <c r="M517" s="285" t="n"/>
      <c r="N517" s="285" t="n"/>
      <c r="O517" s="285" t="n"/>
      <c r="P517" s="285" t="n"/>
      <c r="Q517" s="285" t="n"/>
      <c r="R517" s="285" t="n"/>
      <c r="S517" s="284" t="n"/>
      <c r="T517" s="284" t="n"/>
      <c r="U517" s="285" t="n"/>
      <c r="V517" s="285" t="n"/>
      <c r="W517" s="285" t="n"/>
      <c r="X517" s="285" t="n"/>
      <c r="Y517" s="285" t="n"/>
      <c r="Z517" s="285" t="n"/>
      <c r="AA517" s="285" t="n"/>
    </row>
    <row r="518" ht="15.75" customHeight="1" s="398">
      <c r="A518" s="284" t="n"/>
      <c r="B518" s="284" t="n"/>
      <c r="C518" s="285" t="n"/>
      <c r="D518" s="284" t="n"/>
      <c r="E518" s="285" t="n"/>
      <c r="F518" s="285" t="n"/>
      <c r="G518" s="336" t="n"/>
      <c r="H518" s="336" t="n"/>
      <c r="I518" s="285" t="n"/>
      <c r="J518" s="285" t="n"/>
      <c r="K518" s="285" t="n"/>
      <c r="L518" s="285" t="n"/>
      <c r="M518" s="285" t="n"/>
      <c r="N518" s="285" t="n"/>
      <c r="O518" s="285" t="n"/>
      <c r="P518" s="285" t="n"/>
      <c r="Q518" s="285" t="n"/>
      <c r="R518" s="285" t="n"/>
      <c r="S518" s="284" t="n"/>
      <c r="T518" s="284" t="n"/>
      <c r="U518" s="285" t="n"/>
      <c r="V518" s="285" t="n"/>
      <c r="W518" s="285" t="n"/>
      <c r="X518" s="285" t="n"/>
      <c r="Y518" s="285" t="n"/>
      <c r="Z518" s="285" t="n"/>
      <c r="AA518" s="285" t="n"/>
    </row>
    <row r="519" ht="15.75" customHeight="1" s="398">
      <c r="A519" s="284" t="n"/>
      <c r="B519" s="284" t="n"/>
      <c r="C519" s="285" t="n"/>
      <c r="D519" s="284" t="n"/>
      <c r="E519" s="285" t="n"/>
      <c r="F519" s="285" t="n"/>
      <c r="G519" s="336" t="n"/>
      <c r="H519" s="336" t="n"/>
      <c r="I519" s="285" t="n"/>
      <c r="J519" s="285" t="n"/>
      <c r="K519" s="285" t="n"/>
      <c r="L519" s="285" t="n"/>
      <c r="M519" s="285" t="n"/>
      <c r="N519" s="285" t="n"/>
      <c r="O519" s="285" t="n"/>
      <c r="P519" s="285" t="n"/>
      <c r="Q519" s="285" t="n"/>
      <c r="R519" s="285" t="n"/>
      <c r="S519" s="284" t="n"/>
      <c r="T519" s="284" t="n"/>
      <c r="U519" s="285" t="n"/>
      <c r="V519" s="285" t="n"/>
      <c r="W519" s="285" t="n"/>
      <c r="X519" s="285" t="n"/>
      <c r="Y519" s="285" t="n"/>
      <c r="Z519" s="285" t="n"/>
      <c r="AA519" s="285" t="n"/>
    </row>
    <row r="520" ht="15.75" customHeight="1" s="398">
      <c r="A520" s="284" t="n"/>
      <c r="B520" s="284" t="n"/>
      <c r="C520" s="285" t="n"/>
      <c r="D520" s="284" t="n"/>
      <c r="E520" s="285" t="n"/>
      <c r="F520" s="285" t="n"/>
      <c r="G520" s="336" t="n"/>
      <c r="H520" s="336" t="n"/>
      <c r="I520" s="285" t="n"/>
      <c r="J520" s="285" t="n"/>
      <c r="K520" s="285" t="n"/>
      <c r="L520" s="285" t="n"/>
      <c r="M520" s="285" t="n"/>
      <c r="N520" s="285" t="n"/>
      <c r="O520" s="285" t="n"/>
      <c r="P520" s="285" t="n"/>
      <c r="Q520" s="285" t="n"/>
      <c r="R520" s="285" t="n"/>
      <c r="S520" s="284" t="n"/>
      <c r="T520" s="284" t="n"/>
      <c r="U520" s="285" t="n"/>
      <c r="V520" s="285" t="n"/>
      <c r="W520" s="285" t="n"/>
      <c r="X520" s="285" t="n"/>
      <c r="Y520" s="285" t="n"/>
      <c r="Z520" s="285" t="n"/>
      <c r="AA520" s="285" t="n"/>
    </row>
    <row r="521" ht="15.75" customHeight="1" s="398">
      <c r="A521" s="284" t="n"/>
      <c r="B521" s="284" t="n"/>
      <c r="C521" s="285" t="n"/>
      <c r="D521" s="284" t="n"/>
      <c r="E521" s="285" t="n"/>
      <c r="F521" s="285" t="n"/>
      <c r="G521" s="336" t="n"/>
      <c r="H521" s="336" t="n"/>
      <c r="I521" s="285" t="n"/>
      <c r="J521" s="285" t="n"/>
      <c r="K521" s="285" t="n"/>
      <c r="L521" s="285" t="n"/>
      <c r="M521" s="285" t="n"/>
      <c r="N521" s="285" t="n"/>
      <c r="O521" s="285" t="n"/>
      <c r="P521" s="285" t="n"/>
      <c r="Q521" s="285" t="n"/>
      <c r="R521" s="285" t="n"/>
      <c r="S521" s="284" t="n"/>
      <c r="T521" s="284" t="n"/>
      <c r="U521" s="285" t="n"/>
      <c r="V521" s="285" t="n"/>
      <c r="W521" s="285" t="n"/>
      <c r="X521" s="285" t="n"/>
      <c r="Y521" s="285" t="n"/>
      <c r="Z521" s="285" t="n"/>
      <c r="AA521" s="285" t="n"/>
    </row>
    <row r="522" ht="15.75" customHeight="1" s="398">
      <c r="A522" s="284" t="n"/>
      <c r="B522" s="284" t="n"/>
      <c r="C522" s="285" t="n"/>
      <c r="D522" s="284" t="n"/>
      <c r="E522" s="285" t="n"/>
      <c r="F522" s="285" t="n"/>
      <c r="G522" s="336" t="n"/>
      <c r="H522" s="336" t="n"/>
      <c r="I522" s="285" t="n"/>
      <c r="J522" s="285" t="n"/>
      <c r="K522" s="285" t="n"/>
      <c r="L522" s="285" t="n"/>
      <c r="M522" s="285" t="n"/>
      <c r="N522" s="285" t="n"/>
      <c r="O522" s="285" t="n"/>
      <c r="P522" s="285" t="n"/>
      <c r="Q522" s="285" t="n"/>
      <c r="R522" s="285" t="n"/>
      <c r="S522" s="284" t="n"/>
      <c r="T522" s="284" t="n"/>
      <c r="U522" s="285" t="n"/>
      <c r="V522" s="285" t="n"/>
      <c r="W522" s="285" t="n"/>
      <c r="X522" s="285" t="n"/>
      <c r="Y522" s="285" t="n"/>
      <c r="Z522" s="285" t="n"/>
      <c r="AA522" s="285" t="n"/>
    </row>
    <row r="523" ht="15.75" customHeight="1" s="398">
      <c r="A523" s="284" t="n"/>
      <c r="B523" s="284" t="n"/>
      <c r="C523" s="285" t="n"/>
      <c r="D523" s="284" t="n"/>
      <c r="E523" s="285" t="n"/>
      <c r="F523" s="285" t="n"/>
      <c r="G523" s="336" t="n"/>
      <c r="H523" s="336" t="n"/>
      <c r="I523" s="285" t="n"/>
      <c r="J523" s="285" t="n"/>
      <c r="K523" s="285" t="n"/>
      <c r="L523" s="285" t="n"/>
      <c r="M523" s="285" t="n"/>
      <c r="N523" s="285" t="n"/>
      <c r="O523" s="285" t="n"/>
      <c r="P523" s="285" t="n"/>
      <c r="Q523" s="285" t="n"/>
      <c r="R523" s="285" t="n"/>
      <c r="S523" s="284" t="n"/>
      <c r="T523" s="284" t="n"/>
      <c r="U523" s="285" t="n"/>
      <c r="V523" s="285" t="n"/>
      <c r="W523" s="285" t="n"/>
      <c r="X523" s="285" t="n"/>
      <c r="Y523" s="285" t="n"/>
      <c r="Z523" s="285" t="n"/>
      <c r="AA523" s="285" t="n"/>
    </row>
    <row r="524" ht="15.75" customHeight="1" s="398">
      <c r="A524" s="284" t="n"/>
      <c r="B524" s="284" t="n"/>
      <c r="C524" s="285" t="n"/>
      <c r="D524" s="284" t="n"/>
      <c r="E524" s="285" t="n"/>
      <c r="F524" s="285" t="n"/>
      <c r="G524" s="336" t="n"/>
      <c r="H524" s="336" t="n"/>
      <c r="I524" s="285" t="n"/>
      <c r="J524" s="285" t="n"/>
      <c r="K524" s="285" t="n"/>
      <c r="L524" s="285" t="n"/>
      <c r="M524" s="285" t="n"/>
      <c r="N524" s="285" t="n"/>
      <c r="O524" s="285" t="n"/>
      <c r="P524" s="285" t="n"/>
      <c r="Q524" s="285" t="n"/>
      <c r="R524" s="285" t="n"/>
      <c r="S524" s="284" t="n"/>
      <c r="T524" s="284" t="n"/>
      <c r="U524" s="285" t="n"/>
      <c r="V524" s="285" t="n"/>
      <c r="W524" s="285" t="n"/>
      <c r="X524" s="285" t="n"/>
      <c r="Y524" s="285" t="n"/>
      <c r="Z524" s="285" t="n"/>
      <c r="AA524" s="285" t="n"/>
    </row>
    <row r="525" ht="15.75" customHeight="1" s="398">
      <c r="A525" s="284" t="n"/>
      <c r="B525" s="284" t="n"/>
      <c r="C525" s="285" t="n"/>
      <c r="D525" s="284" t="n"/>
      <c r="E525" s="285" t="n"/>
      <c r="F525" s="285" t="n"/>
      <c r="G525" s="336" t="n"/>
      <c r="H525" s="336" t="n"/>
      <c r="I525" s="285" t="n"/>
      <c r="J525" s="285" t="n"/>
      <c r="K525" s="285" t="n"/>
      <c r="L525" s="285" t="n"/>
      <c r="M525" s="285" t="n"/>
      <c r="N525" s="285" t="n"/>
      <c r="O525" s="285" t="n"/>
      <c r="P525" s="285" t="n"/>
      <c r="Q525" s="285" t="n"/>
      <c r="R525" s="285" t="n"/>
      <c r="S525" s="284" t="n"/>
      <c r="T525" s="284" t="n"/>
      <c r="U525" s="285" t="n"/>
      <c r="V525" s="285" t="n"/>
      <c r="W525" s="285" t="n"/>
      <c r="X525" s="285" t="n"/>
      <c r="Y525" s="285" t="n"/>
      <c r="Z525" s="285" t="n"/>
      <c r="AA525" s="285" t="n"/>
    </row>
    <row r="526" ht="15.75" customHeight="1" s="398">
      <c r="A526" s="284" t="n"/>
      <c r="B526" s="284" t="n"/>
      <c r="C526" s="285" t="n"/>
      <c r="D526" s="284" t="n"/>
      <c r="E526" s="285" t="n"/>
      <c r="F526" s="285" t="n"/>
      <c r="G526" s="336" t="n"/>
      <c r="H526" s="336" t="n"/>
      <c r="I526" s="285" t="n"/>
      <c r="J526" s="285" t="n"/>
      <c r="K526" s="285" t="n"/>
      <c r="L526" s="285" t="n"/>
      <c r="M526" s="285" t="n"/>
      <c r="N526" s="285" t="n"/>
      <c r="O526" s="285" t="n"/>
      <c r="P526" s="285" t="n"/>
      <c r="Q526" s="285" t="n"/>
      <c r="R526" s="285" t="n"/>
      <c r="S526" s="284" t="n"/>
      <c r="T526" s="284" t="n"/>
      <c r="U526" s="285" t="n"/>
      <c r="V526" s="285" t="n"/>
      <c r="W526" s="285" t="n"/>
      <c r="X526" s="285" t="n"/>
      <c r="Y526" s="285" t="n"/>
      <c r="Z526" s="285" t="n"/>
      <c r="AA526" s="285" t="n"/>
    </row>
    <row r="527" ht="15.75" customHeight="1" s="398">
      <c r="A527" s="284" t="n"/>
      <c r="B527" s="284" t="n"/>
      <c r="C527" s="285" t="n"/>
      <c r="D527" s="284" t="n"/>
      <c r="E527" s="285" t="n"/>
      <c r="F527" s="285" t="n"/>
      <c r="G527" s="336" t="n"/>
      <c r="H527" s="336" t="n"/>
      <c r="I527" s="285" t="n"/>
      <c r="J527" s="285" t="n"/>
      <c r="K527" s="285" t="n"/>
      <c r="L527" s="285" t="n"/>
      <c r="M527" s="285" t="n"/>
      <c r="N527" s="285" t="n"/>
      <c r="O527" s="285" t="n"/>
      <c r="P527" s="285" t="n"/>
      <c r="Q527" s="285" t="n"/>
      <c r="R527" s="285" t="n"/>
      <c r="S527" s="284" t="n"/>
      <c r="T527" s="284" t="n"/>
      <c r="U527" s="285" t="n"/>
      <c r="V527" s="285" t="n"/>
      <c r="W527" s="285" t="n"/>
      <c r="X527" s="285" t="n"/>
      <c r="Y527" s="285" t="n"/>
      <c r="Z527" s="285" t="n"/>
      <c r="AA527" s="285" t="n"/>
    </row>
    <row r="528" ht="15.75" customHeight="1" s="398">
      <c r="A528" s="284" t="n"/>
      <c r="B528" s="284" t="n"/>
      <c r="C528" s="285" t="n"/>
      <c r="D528" s="284" t="n"/>
      <c r="E528" s="285" t="n"/>
      <c r="F528" s="285" t="n"/>
      <c r="G528" s="336" t="n"/>
      <c r="H528" s="336" t="n"/>
      <c r="I528" s="285" t="n"/>
      <c r="J528" s="285" t="n"/>
      <c r="K528" s="285" t="n"/>
      <c r="L528" s="285" t="n"/>
      <c r="M528" s="285" t="n"/>
      <c r="N528" s="285" t="n"/>
      <c r="O528" s="285" t="n"/>
      <c r="P528" s="285" t="n"/>
      <c r="Q528" s="285" t="n"/>
      <c r="R528" s="285" t="n"/>
      <c r="S528" s="284" t="n"/>
      <c r="T528" s="284" t="n"/>
      <c r="U528" s="285" t="n"/>
      <c r="V528" s="285" t="n"/>
      <c r="W528" s="285" t="n"/>
      <c r="X528" s="285" t="n"/>
      <c r="Y528" s="285" t="n"/>
      <c r="Z528" s="285" t="n"/>
      <c r="AA528" s="285" t="n"/>
    </row>
    <row r="529" ht="15.75" customHeight="1" s="398">
      <c r="A529" s="284" t="n"/>
      <c r="B529" s="284" t="n"/>
      <c r="C529" s="285" t="n"/>
      <c r="D529" s="284" t="n"/>
      <c r="E529" s="285" t="n"/>
      <c r="F529" s="285" t="n"/>
      <c r="G529" s="336" t="n"/>
      <c r="H529" s="336" t="n"/>
      <c r="I529" s="285" t="n"/>
      <c r="J529" s="285" t="n"/>
      <c r="K529" s="285" t="n"/>
      <c r="L529" s="285" t="n"/>
      <c r="M529" s="285" t="n"/>
      <c r="N529" s="285" t="n"/>
      <c r="O529" s="285" t="n"/>
      <c r="P529" s="285" t="n"/>
      <c r="Q529" s="285" t="n"/>
      <c r="R529" s="285" t="n"/>
      <c r="S529" s="284" t="n"/>
      <c r="T529" s="284" t="n"/>
      <c r="U529" s="285" t="n"/>
      <c r="V529" s="285" t="n"/>
      <c r="W529" s="285" t="n"/>
      <c r="X529" s="285" t="n"/>
      <c r="Y529" s="285" t="n"/>
      <c r="Z529" s="285" t="n"/>
      <c r="AA529" s="285" t="n"/>
    </row>
    <row r="530" ht="15.75" customHeight="1" s="398">
      <c r="A530" s="284" t="n"/>
      <c r="B530" s="284" t="n"/>
      <c r="C530" s="285" t="n"/>
      <c r="D530" s="284" t="n"/>
      <c r="E530" s="285" t="n"/>
      <c r="F530" s="285" t="n"/>
      <c r="G530" s="336" t="n"/>
      <c r="H530" s="336" t="n"/>
      <c r="I530" s="285" t="n"/>
      <c r="J530" s="285" t="n"/>
      <c r="K530" s="285" t="n"/>
      <c r="L530" s="285" t="n"/>
      <c r="M530" s="285" t="n"/>
      <c r="N530" s="285" t="n"/>
      <c r="O530" s="285" t="n"/>
      <c r="P530" s="285" t="n"/>
      <c r="Q530" s="285" t="n"/>
      <c r="R530" s="285" t="n"/>
      <c r="S530" s="284" t="n"/>
      <c r="T530" s="284" t="n"/>
      <c r="U530" s="285" t="n"/>
      <c r="V530" s="285" t="n"/>
      <c r="W530" s="285" t="n"/>
      <c r="X530" s="285" t="n"/>
      <c r="Y530" s="285" t="n"/>
      <c r="Z530" s="285" t="n"/>
      <c r="AA530" s="285" t="n"/>
    </row>
    <row r="531" ht="15.75" customHeight="1" s="398">
      <c r="A531" s="284" t="n"/>
      <c r="B531" s="284" t="n"/>
      <c r="C531" s="285" t="n"/>
      <c r="D531" s="284" t="n"/>
      <c r="E531" s="285" t="n"/>
      <c r="F531" s="285" t="n"/>
      <c r="G531" s="336" t="n"/>
      <c r="H531" s="336" t="n"/>
      <c r="I531" s="285" t="n"/>
      <c r="J531" s="285" t="n"/>
      <c r="K531" s="285" t="n"/>
      <c r="L531" s="285" t="n"/>
      <c r="M531" s="285" t="n"/>
      <c r="N531" s="285" t="n"/>
      <c r="O531" s="285" t="n"/>
      <c r="P531" s="285" t="n"/>
      <c r="Q531" s="285" t="n"/>
      <c r="R531" s="285" t="n"/>
      <c r="S531" s="284" t="n"/>
      <c r="T531" s="284" t="n"/>
      <c r="U531" s="285" t="n"/>
      <c r="V531" s="285" t="n"/>
      <c r="W531" s="285" t="n"/>
      <c r="X531" s="285" t="n"/>
      <c r="Y531" s="285" t="n"/>
      <c r="Z531" s="285" t="n"/>
      <c r="AA531" s="285" t="n"/>
    </row>
    <row r="532" ht="15.75" customHeight="1" s="398">
      <c r="A532" s="284" t="n"/>
      <c r="B532" s="284" t="n"/>
      <c r="C532" s="285" t="n"/>
      <c r="D532" s="284" t="n"/>
      <c r="E532" s="285" t="n"/>
      <c r="F532" s="285" t="n"/>
      <c r="G532" s="336" t="n"/>
      <c r="H532" s="336" t="n"/>
      <c r="I532" s="285" t="n"/>
      <c r="J532" s="285" t="n"/>
      <c r="K532" s="285" t="n"/>
      <c r="L532" s="285" t="n"/>
      <c r="M532" s="285" t="n"/>
      <c r="N532" s="285" t="n"/>
      <c r="O532" s="285" t="n"/>
      <c r="P532" s="285" t="n"/>
      <c r="Q532" s="285" t="n"/>
      <c r="R532" s="285" t="n"/>
      <c r="S532" s="284" t="n"/>
      <c r="T532" s="284" t="n"/>
      <c r="U532" s="285" t="n"/>
      <c r="V532" s="285" t="n"/>
      <c r="W532" s="285" t="n"/>
      <c r="X532" s="285" t="n"/>
      <c r="Y532" s="285" t="n"/>
      <c r="Z532" s="285" t="n"/>
      <c r="AA532" s="285" t="n"/>
    </row>
    <row r="533" ht="15.75" customHeight="1" s="398">
      <c r="A533" s="284" t="n"/>
      <c r="B533" s="284" t="n"/>
      <c r="C533" s="285" t="n"/>
      <c r="D533" s="284" t="n"/>
      <c r="E533" s="285" t="n"/>
      <c r="F533" s="285" t="n"/>
      <c r="G533" s="336" t="n"/>
      <c r="H533" s="336" t="n"/>
      <c r="I533" s="285" t="n"/>
      <c r="J533" s="285" t="n"/>
      <c r="K533" s="285" t="n"/>
      <c r="L533" s="285" t="n"/>
      <c r="M533" s="285" t="n"/>
      <c r="N533" s="285" t="n"/>
      <c r="O533" s="285" t="n"/>
      <c r="P533" s="285" t="n"/>
      <c r="Q533" s="285" t="n"/>
      <c r="R533" s="285" t="n"/>
      <c r="S533" s="284" t="n"/>
      <c r="T533" s="284" t="n"/>
      <c r="U533" s="285" t="n"/>
      <c r="V533" s="285" t="n"/>
      <c r="W533" s="285" t="n"/>
      <c r="X533" s="285" t="n"/>
      <c r="Y533" s="285" t="n"/>
      <c r="Z533" s="285" t="n"/>
      <c r="AA533" s="285" t="n"/>
    </row>
    <row r="534" ht="15.75" customHeight="1" s="398">
      <c r="A534" s="284" t="n"/>
      <c r="B534" s="284" t="n"/>
      <c r="C534" s="285" t="n"/>
      <c r="D534" s="284" t="n"/>
      <c r="E534" s="285" t="n"/>
      <c r="F534" s="285" t="n"/>
      <c r="G534" s="336" t="n"/>
      <c r="H534" s="336" t="n"/>
      <c r="I534" s="285" t="n"/>
      <c r="J534" s="285" t="n"/>
      <c r="K534" s="285" t="n"/>
      <c r="L534" s="285" t="n"/>
      <c r="M534" s="285" t="n"/>
      <c r="N534" s="285" t="n"/>
      <c r="O534" s="285" t="n"/>
      <c r="P534" s="285" t="n"/>
      <c r="Q534" s="285" t="n"/>
      <c r="R534" s="285" t="n"/>
      <c r="S534" s="284" t="n"/>
      <c r="T534" s="284" t="n"/>
      <c r="U534" s="285" t="n"/>
      <c r="V534" s="285" t="n"/>
      <c r="W534" s="285" t="n"/>
      <c r="X534" s="285" t="n"/>
      <c r="Y534" s="285" t="n"/>
      <c r="Z534" s="285" t="n"/>
      <c r="AA534" s="285" t="n"/>
    </row>
    <row r="535" ht="15.75" customHeight="1" s="398">
      <c r="A535" s="284" t="n"/>
      <c r="B535" s="284" t="n"/>
      <c r="C535" s="285" t="n"/>
      <c r="D535" s="284" t="n"/>
      <c r="E535" s="285" t="n"/>
      <c r="F535" s="285" t="n"/>
      <c r="G535" s="336" t="n"/>
      <c r="H535" s="336" t="n"/>
      <c r="I535" s="285" t="n"/>
      <c r="J535" s="285" t="n"/>
      <c r="K535" s="285" t="n"/>
      <c r="L535" s="285" t="n"/>
      <c r="M535" s="285" t="n"/>
      <c r="N535" s="285" t="n"/>
      <c r="O535" s="285" t="n"/>
      <c r="P535" s="285" t="n"/>
      <c r="Q535" s="285" t="n"/>
      <c r="R535" s="285" t="n"/>
      <c r="S535" s="284" t="n"/>
      <c r="T535" s="284" t="n"/>
      <c r="U535" s="285" t="n"/>
      <c r="V535" s="285" t="n"/>
      <c r="W535" s="285" t="n"/>
      <c r="X535" s="285" t="n"/>
      <c r="Y535" s="285" t="n"/>
      <c r="Z535" s="285" t="n"/>
      <c r="AA535" s="285" t="n"/>
    </row>
    <row r="536" ht="15.75" customHeight="1" s="398">
      <c r="A536" s="284" t="n"/>
      <c r="B536" s="284" t="n"/>
      <c r="C536" s="285" t="n"/>
      <c r="D536" s="284" t="n"/>
      <c r="E536" s="285" t="n"/>
      <c r="F536" s="285" t="n"/>
      <c r="G536" s="336" t="n"/>
      <c r="H536" s="336" t="n"/>
      <c r="I536" s="285" t="n"/>
      <c r="J536" s="285" t="n"/>
      <c r="K536" s="285" t="n"/>
      <c r="L536" s="285" t="n"/>
      <c r="M536" s="285" t="n"/>
      <c r="N536" s="285" t="n"/>
      <c r="O536" s="285" t="n"/>
      <c r="P536" s="285" t="n"/>
      <c r="Q536" s="285" t="n"/>
      <c r="R536" s="285" t="n"/>
      <c r="S536" s="284" t="n"/>
      <c r="T536" s="284" t="n"/>
      <c r="U536" s="285" t="n"/>
      <c r="V536" s="285" t="n"/>
      <c r="W536" s="285" t="n"/>
      <c r="X536" s="285" t="n"/>
      <c r="Y536" s="285" t="n"/>
      <c r="Z536" s="285" t="n"/>
      <c r="AA536" s="285" t="n"/>
    </row>
    <row r="537" ht="15.75" customHeight="1" s="398">
      <c r="A537" s="284" t="n"/>
      <c r="B537" s="284" t="n"/>
      <c r="C537" s="285" t="n"/>
      <c r="D537" s="284" t="n"/>
      <c r="E537" s="285" t="n"/>
      <c r="F537" s="285" t="n"/>
      <c r="G537" s="336" t="n"/>
      <c r="H537" s="336" t="n"/>
      <c r="I537" s="285" t="n"/>
      <c r="J537" s="285" t="n"/>
      <c r="K537" s="285" t="n"/>
      <c r="L537" s="285" t="n"/>
      <c r="M537" s="285" t="n"/>
      <c r="N537" s="285" t="n"/>
      <c r="O537" s="285" t="n"/>
      <c r="P537" s="285" t="n"/>
      <c r="Q537" s="285" t="n"/>
      <c r="R537" s="285" t="n"/>
      <c r="S537" s="284" t="n"/>
      <c r="T537" s="284" t="n"/>
      <c r="U537" s="285" t="n"/>
      <c r="V537" s="285" t="n"/>
      <c r="W537" s="285" t="n"/>
      <c r="X537" s="285" t="n"/>
      <c r="Y537" s="285" t="n"/>
      <c r="Z537" s="285" t="n"/>
      <c r="AA537" s="285" t="n"/>
    </row>
    <row r="538" ht="15.75" customHeight="1" s="398">
      <c r="A538" s="284" t="n"/>
      <c r="B538" s="284" t="n"/>
      <c r="C538" s="285" t="n"/>
      <c r="D538" s="284" t="n"/>
      <c r="E538" s="285" t="n"/>
      <c r="F538" s="285" t="n"/>
      <c r="G538" s="336" t="n"/>
      <c r="H538" s="336" t="n"/>
      <c r="I538" s="285" t="n"/>
      <c r="J538" s="285" t="n"/>
      <c r="K538" s="285" t="n"/>
      <c r="L538" s="285" t="n"/>
      <c r="M538" s="285" t="n"/>
      <c r="N538" s="285" t="n"/>
      <c r="O538" s="285" t="n"/>
      <c r="P538" s="285" t="n"/>
      <c r="Q538" s="285" t="n"/>
      <c r="R538" s="285" t="n"/>
      <c r="S538" s="284" t="n"/>
      <c r="T538" s="284" t="n"/>
      <c r="U538" s="285" t="n"/>
      <c r="V538" s="285" t="n"/>
      <c r="W538" s="285" t="n"/>
      <c r="X538" s="285" t="n"/>
      <c r="Y538" s="285" t="n"/>
      <c r="Z538" s="285" t="n"/>
      <c r="AA538" s="285" t="n"/>
    </row>
    <row r="539" ht="15.75" customHeight="1" s="398">
      <c r="A539" s="284" t="n"/>
      <c r="B539" s="284" t="n"/>
      <c r="C539" s="285" t="n"/>
      <c r="D539" s="284" t="n"/>
      <c r="E539" s="285" t="n"/>
      <c r="F539" s="285" t="n"/>
      <c r="G539" s="336" t="n"/>
      <c r="H539" s="336" t="n"/>
      <c r="I539" s="285" t="n"/>
      <c r="J539" s="285" t="n"/>
      <c r="K539" s="285" t="n"/>
      <c r="L539" s="285" t="n"/>
      <c r="M539" s="285" t="n"/>
      <c r="N539" s="285" t="n"/>
      <c r="O539" s="285" t="n"/>
      <c r="P539" s="285" t="n"/>
      <c r="Q539" s="285" t="n"/>
      <c r="R539" s="285" t="n"/>
      <c r="S539" s="284" t="n"/>
      <c r="T539" s="284" t="n"/>
      <c r="U539" s="285" t="n"/>
      <c r="V539" s="285" t="n"/>
      <c r="W539" s="285" t="n"/>
      <c r="X539" s="285" t="n"/>
      <c r="Y539" s="285" t="n"/>
      <c r="Z539" s="285" t="n"/>
      <c r="AA539" s="285" t="n"/>
    </row>
    <row r="540" ht="15.75" customHeight="1" s="398">
      <c r="A540" s="284" t="n"/>
      <c r="B540" s="284" t="n"/>
      <c r="C540" s="285" t="n"/>
      <c r="D540" s="284" t="n"/>
      <c r="E540" s="285" t="n"/>
      <c r="F540" s="285" t="n"/>
      <c r="G540" s="336" t="n"/>
      <c r="H540" s="336" t="n"/>
      <c r="I540" s="285" t="n"/>
      <c r="J540" s="285" t="n"/>
      <c r="K540" s="285" t="n"/>
      <c r="L540" s="285" t="n"/>
      <c r="M540" s="285" t="n"/>
      <c r="N540" s="285" t="n"/>
      <c r="O540" s="285" t="n"/>
      <c r="P540" s="285" t="n"/>
      <c r="Q540" s="285" t="n"/>
      <c r="R540" s="285" t="n"/>
      <c r="S540" s="284" t="n"/>
      <c r="T540" s="284" t="n"/>
      <c r="U540" s="285" t="n"/>
      <c r="V540" s="285" t="n"/>
      <c r="W540" s="285" t="n"/>
      <c r="X540" s="285" t="n"/>
      <c r="Y540" s="285" t="n"/>
      <c r="Z540" s="285" t="n"/>
      <c r="AA540" s="285" t="n"/>
    </row>
    <row r="541" ht="15.75" customHeight="1" s="398">
      <c r="A541" s="284" t="n"/>
      <c r="B541" s="284" t="n"/>
      <c r="C541" s="285" t="n"/>
      <c r="D541" s="284" t="n"/>
      <c r="E541" s="285" t="n"/>
      <c r="F541" s="285" t="n"/>
      <c r="G541" s="336" t="n"/>
      <c r="H541" s="336" t="n"/>
      <c r="I541" s="285" t="n"/>
      <c r="J541" s="285" t="n"/>
      <c r="K541" s="285" t="n"/>
      <c r="L541" s="285" t="n"/>
      <c r="M541" s="285" t="n"/>
      <c r="N541" s="285" t="n"/>
      <c r="O541" s="285" t="n"/>
      <c r="P541" s="285" t="n"/>
      <c r="Q541" s="285" t="n"/>
      <c r="R541" s="285" t="n"/>
      <c r="S541" s="284" t="n"/>
      <c r="T541" s="284" t="n"/>
      <c r="U541" s="285" t="n"/>
      <c r="V541" s="285" t="n"/>
      <c r="W541" s="285" t="n"/>
      <c r="X541" s="285" t="n"/>
      <c r="Y541" s="285" t="n"/>
      <c r="Z541" s="285" t="n"/>
      <c r="AA541" s="285" t="n"/>
    </row>
    <row r="542" ht="15.75" customHeight="1" s="398">
      <c r="A542" s="284" t="n"/>
      <c r="B542" s="284" t="n"/>
      <c r="C542" s="285" t="n"/>
      <c r="D542" s="284" t="n"/>
      <c r="E542" s="285" t="n"/>
      <c r="F542" s="285" t="n"/>
      <c r="G542" s="336" t="n"/>
      <c r="H542" s="336" t="n"/>
      <c r="I542" s="285" t="n"/>
      <c r="J542" s="285" t="n"/>
      <c r="K542" s="285" t="n"/>
      <c r="L542" s="285" t="n"/>
      <c r="M542" s="285" t="n"/>
      <c r="N542" s="285" t="n"/>
      <c r="O542" s="285" t="n"/>
      <c r="P542" s="285" t="n"/>
      <c r="Q542" s="285" t="n"/>
      <c r="R542" s="285" t="n"/>
      <c r="S542" s="284" t="n"/>
      <c r="T542" s="284" t="n"/>
      <c r="U542" s="285" t="n"/>
      <c r="V542" s="285" t="n"/>
      <c r="W542" s="285" t="n"/>
      <c r="X542" s="285" t="n"/>
      <c r="Y542" s="285" t="n"/>
      <c r="Z542" s="285" t="n"/>
      <c r="AA542" s="285" t="n"/>
    </row>
    <row r="543" ht="15.75" customHeight="1" s="398">
      <c r="A543" s="284" t="n"/>
      <c r="B543" s="284" t="n"/>
      <c r="C543" s="285" t="n"/>
      <c r="D543" s="284" t="n"/>
      <c r="E543" s="285" t="n"/>
      <c r="F543" s="285" t="n"/>
      <c r="G543" s="336" t="n"/>
      <c r="H543" s="336" t="n"/>
      <c r="I543" s="285" t="n"/>
      <c r="J543" s="285" t="n"/>
      <c r="K543" s="285" t="n"/>
      <c r="L543" s="285" t="n"/>
      <c r="M543" s="285" t="n"/>
      <c r="N543" s="285" t="n"/>
      <c r="O543" s="285" t="n"/>
      <c r="P543" s="285" t="n"/>
      <c r="Q543" s="285" t="n"/>
      <c r="R543" s="285" t="n"/>
      <c r="S543" s="284" t="n"/>
      <c r="T543" s="284" t="n"/>
      <c r="U543" s="285" t="n"/>
      <c r="V543" s="285" t="n"/>
      <c r="W543" s="285" t="n"/>
      <c r="X543" s="285" t="n"/>
      <c r="Y543" s="285" t="n"/>
      <c r="Z543" s="285" t="n"/>
      <c r="AA543" s="285" t="n"/>
    </row>
    <row r="544" ht="15.75" customHeight="1" s="398">
      <c r="A544" s="284" t="n"/>
      <c r="B544" s="284" t="n"/>
      <c r="C544" s="285" t="n"/>
      <c r="D544" s="284" t="n"/>
      <c r="E544" s="285" t="n"/>
      <c r="F544" s="285" t="n"/>
      <c r="G544" s="336" t="n"/>
      <c r="H544" s="336" t="n"/>
      <c r="I544" s="285" t="n"/>
      <c r="J544" s="285" t="n"/>
      <c r="K544" s="285" t="n"/>
      <c r="L544" s="285" t="n"/>
      <c r="M544" s="285" t="n"/>
      <c r="N544" s="285" t="n"/>
      <c r="O544" s="285" t="n"/>
      <c r="P544" s="285" t="n"/>
      <c r="Q544" s="285" t="n"/>
      <c r="R544" s="285" t="n"/>
      <c r="S544" s="284" t="n"/>
      <c r="T544" s="284" t="n"/>
      <c r="U544" s="285" t="n"/>
      <c r="V544" s="285" t="n"/>
      <c r="W544" s="285" t="n"/>
      <c r="X544" s="285" t="n"/>
      <c r="Y544" s="285" t="n"/>
      <c r="Z544" s="285" t="n"/>
      <c r="AA544" s="285" t="n"/>
    </row>
    <row r="545" ht="15.75" customHeight="1" s="398">
      <c r="A545" s="284" t="n"/>
      <c r="B545" s="284" t="n"/>
      <c r="C545" s="285" t="n"/>
      <c r="D545" s="284" t="n"/>
      <c r="E545" s="285" t="n"/>
      <c r="F545" s="285" t="n"/>
      <c r="G545" s="336" t="n"/>
      <c r="H545" s="336" t="n"/>
      <c r="I545" s="285" t="n"/>
      <c r="J545" s="285" t="n"/>
      <c r="K545" s="285" t="n"/>
      <c r="L545" s="285" t="n"/>
      <c r="M545" s="285" t="n"/>
      <c r="N545" s="285" t="n"/>
      <c r="O545" s="285" t="n"/>
      <c r="P545" s="285" t="n"/>
      <c r="Q545" s="285" t="n"/>
      <c r="R545" s="285" t="n"/>
      <c r="S545" s="284" t="n"/>
      <c r="T545" s="284" t="n"/>
      <c r="U545" s="285" t="n"/>
      <c r="V545" s="285" t="n"/>
      <c r="W545" s="285" t="n"/>
      <c r="X545" s="285" t="n"/>
      <c r="Y545" s="285" t="n"/>
      <c r="Z545" s="285" t="n"/>
      <c r="AA545" s="285" t="n"/>
    </row>
    <row r="546" ht="15.75" customHeight="1" s="398">
      <c r="A546" s="284" t="n"/>
      <c r="B546" s="284" t="n"/>
      <c r="C546" s="285" t="n"/>
      <c r="D546" s="284" t="n"/>
      <c r="E546" s="285" t="n"/>
      <c r="F546" s="285" t="n"/>
      <c r="G546" s="336" t="n"/>
      <c r="H546" s="336" t="n"/>
      <c r="I546" s="285" t="n"/>
      <c r="J546" s="285" t="n"/>
      <c r="K546" s="285" t="n"/>
      <c r="L546" s="285" t="n"/>
      <c r="M546" s="285" t="n"/>
      <c r="N546" s="285" t="n"/>
      <c r="O546" s="285" t="n"/>
      <c r="P546" s="285" t="n"/>
      <c r="Q546" s="285" t="n"/>
      <c r="R546" s="285" t="n"/>
      <c r="S546" s="284" t="n"/>
      <c r="T546" s="284" t="n"/>
      <c r="U546" s="285" t="n"/>
      <c r="V546" s="285" t="n"/>
      <c r="W546" s="285" t="n"/>
      <c r="X546" s="285" t="n"/>
      <c r="Y546" s="285" t="n"/>
      <c r="Z546" s="285" t="n"/>
      <c r="AA546" s="285" t="n"/>
    </row>
    <row r="547" ht="15.75" customHeight="1" s="398">
      <c r="A547" s="284" t="n"/>
      <c r="B547" s="284" t="n"/>
      <c r="C547" s="285" t="n"/>
      <c r="D547" s="284" t="n"/>
      <c r="E547" s="285" t="n"/>
      <c r="F547" s="285" t="n"/>
      <c r="G547" s="336" t="n"/>
      <c r="H547" s="336" t="n"/>
      <c r="I547" s="285" t="n"/>
      <c r="J547" s="285" t="n"/>
      <c r="K547" s="285" t="n"/>
      <c r="L547" s="285" t="n"/>
      <c r="M547" s="285" t="n"/>
      <c r="N547" s="285" t="n"/>
      <c r="O547" s="285" t="n"/>
      <c r="P547" s="285" t="n"/>
      <c r="Q547" s="285" t="n"/>
      <c r="R547" s="285" t="n"/>
      <c r="S547" s="284" t="n"/>
      <c r="T547" s="284" t="n"/>
      <c r="U547" s="285" t="n"/>
      <c r="V547" s="285" t="n"/>
      <c r="W547" s="285" t="n"/>
      <c r="X547" s="285" t="n"/>
      <c r="Y547" s="285" t="n"/>
      <c r="Z547" s="285" t="n"/>
      <c r="AA547" s="285" t="n"/>
    </row>
    <row r="548" ht="15.75" customHeight="1" s="398">
      <c r="A548" s="284" t="n"/>
      <c r="B548" s="284" t="n"/>
      <c r="C548" s="285" t="n"/>
      <c r="D548" s="284" t="n"/>
      <c r="E548" s="285" t="n"/>
      <c r="F548" s="285" t="n"/>
      <c r="G548" s="336" t="n"/>
      <c r="H548" s="336" t="n"/>
      <c r="I548" s="285" t="n"/>
      <c r="J548" s="285" t="n"/>
      <c r="K548" s="285" t="n"/>
      <c r="L548" s="285" t="n"/>
      <c r="M548" s="285" t="n"/>
      <c r="N548" s="285" t="n"/>
      <c r="O548" s="285" t="n"/>
      <c r="P548" s="285" t="n"/>
      <c r="Q548" s="285" t="n"/>
      <c r="R548" s="285" t="n"/>
      <c r="S548" s="284" t="n"/>
      <c r="T548" s="284" t="n"/>
      <c r="U548" s="285" t="n"/>
      <c r="V548" s="285" t="n"/>
      <c r="W548" s="285" t="n"/>
      <c r="X548" s="285" t="n"/>
      <c r="Y548" s="285" t="n"/>
      <c r="Z548" s="285" t="n"/>
      <c r="AA548" s="285" t="n"/>
    </row>
    <row r="549" ht="15.75" customHeight="1" s="398">
      <c r="A549" s="284" t="n"/>
      <c r="B549" s="284" t="n"/>
      <c r="C549" s="285" t="n"/>
      <c r="D549" s="284" t="n"/>
      <c r="E549" s="285" t="n"/>
      <c r="F549" s="285" t="n"/>
      <c r="G549" s="336" t="n"/>
      <c r="H549" s="336" t="n"/>
      <c r="I549" s="285" t="n"/>
      <c r="J549" s="285" t="n"/>
      <c r="K549" s="285" t="n"/>
      <c r="L549" s="285" t="n"/>
      <c r="M549" s="285" t="n"/>
      <c r="N549" s="285" t="n"/>
      <c r="O549" s="285" t="n"/>
      <c r="P549" s="285" t="n"/>
      <c r="Q549" s="285" t="n"/>
      <c r="R549" s="285" t="n"/>
      <c r="S549" s="284" t="n"/>
      <c r="T549" s="284" t="n"/>
      <c r="U549" s="285" t="n"/>
      <c r="V549" s="285" t="n"/>
      <c r="W549" s="285" t="n"/>
      <c r="X549" s="285" t="n"/>
      <c r="Y549" s="285" t="n"/>
      <c r="Z549" s="285" t="n"/>
      <c r="AA549" s="285" t="n"/>
    </row>
    <row r="550" ht="15.75" customHeight="1" s="398">
      <c r="A550" s="284" t="n"/>
      <c r="B550" s="284" t="n"/>
      <c r="C550" s="285" t="n"/>
      <c r="D550" s="284" t="n"/>
      <c r="E550" s="285" t="n"/>
      <c r="F550" s="285" t="n"/>
      <c r="G550" s="336" t="n"/>
      <c r="H550" s="336" t="n"/>
      <c r="I550" s="285" t="n"/>
      <c r="J550" s="285" t="n"/>
      <c r="K550" s="285" t="n"/>
      <c r="L550" s="285" t="n"/>
      <c r="M550" s="285" t="n"/>
      <c r="N550" s="285" t="n"/>
      <c r="O550" s="285" t="n"/>
      <c r="P550" s="285" t="n"/>
      <c r="Q550" s="285" t="n"/>
      <c r="R550" s="285" t="n"/>
      <c r="S550" s="284" t="n"/>
      <c r="T550" s="284" t="n"/>
      <c r="U550" s="285" t="n"/>
      <c r="V550" s="285" t="n"/>
      <c r="W550" s="285" t="n"/>
      <c r="X550" s="285" t="n"/>
      <c r="Y550" s="285" t="n"/>
      <c r="Z550" s="285" t="n"/>
      <c r="AA550" s="285" t="n"/>
    </row>
    <row r="551" ht="15.75" customHeight="1" s="398">
      <c r="A551" s="284" t="n"/>
      <c r="B551" s="284" t="n"/>
      <c r="C551" s="285" t="n"/>
      <c r="D551" s="284" t="n"/>
      <c r="E551" s="285" t="n"/>
      <c r="F551" s="285" t="n"/>
      <c r="G551" s="336" t="n"/>
      <c r="H551" s="336" t="n"/>
      <c r="I551" s="285" t="n"/>
      <c r="J551" s="285" t="n"/>
      <c r="K551" s="285" t="n"/>
      <c r="L551" s="285" t="n"/>
      <c r="M551" s="285" t="n"/>
      <c r="N551" s="285" t="n"/>
      <c r="O551" s="285" t="n"/>
      <c r="P551" s="285" t="n"/>
      <c r="Q551" s="285" t="n"/>
      <c r="R551" s="285" t="n"/>
      <c r="S551" s="284" t="n"/>
      <c r="T551" s="284" t="n"/>
      <c r="U551" s="285" t="n"/>
      <c r="V551" s="285" t="n"/>
      <c r="W551" s="285" t="n"/>
      <c r="X551" s="285" t="n"/>
      <c r="Y551" s="285" t="n"/>
      <c r="Z551" s="285" t="n"/>
      <c r="AA551" s="285" t="n"/>
    </row>
    <row r="552" ht="15.75" customHeight="1" s="398">
      <c r="A552" s="284" t="n"/>
      <c r="B552" s="284" t="n"/>
      <c r="C552" s="285" t="n"/>
      <c r="D552" s="284" t="n"/>
      <c r="E552" s="285" t="n"/>
      <c r="F552" s="285" t="n"/>
      <c r="G552" s="336" t="n"/>
      <c r="H552" s="336" t="n"/>
      <c r="I552" s="285" t="n"/>
      <c r="J552" s="285" t="n"/>
      <c r="K552" s="285" t="n"/>
      <c r="L552" s="285" t="n"/>
      <c r="M552" s="285" t="n"/>
      <c r="N552" s="285" t="n"/>
      <c r="O552" s="285" t="n"/>
      <c r="P552" s="285" t="n"/>
      <c r="Q552" s="285" t="n"/>
      <c r="R552" s="285" t="n"/>
      <c r="S552" s="284" t="n"/>
      <c r="T552" s="284" t="n"/>
      <c r="U552" s="285" t="n"/>
      <c r="V552" s="285" t="n"/>
      <c r="W552" s="285" t="n"/>
      <c r="X552" s="285" t="n"/>
      <c r="Y552" s="285" t="n"/>
      <c r="Z552" s="285" t="n"/>
      <c r="AA552" s="285" t="n"/>
    </row>
    <row r="553" ht="15.75" customHeight="1" s="398">
      <c r="A553" s="284" t="n"/>
      <c r="B553" s="284" t="n"/>
      <c r="C553" s="285" t="n"/>
      <c r="D553" s="284" t="n"/>
      <c r="E553" s="285" t="n"/>
      <c r="F553" s="285" t="n"/>
      <c r="G553" s="336" t="n"/>
      <c r="H553" s="336" t="n"/>
      <c r="I553" s="285" t="n"/>
      <c r="J553" s="285" t="n"/>
      <c r="K553" s="285" t="n"/>
      <c r="L553" s="285" t="n"/>
      <c r="M553" s="285" t="n"/>
      <c r="N553" s="285" t="n"/>
      <c r="O553" s="285" t="n"/>
      <c r="P553" s="285" t="n"/>
      <c r="Q553" s="285" t="n"/>
      <c r="R553" s="285" t="n"/>
      <c r="S553" s="284" t="n"/>
      <c r="T553" s="284" t="n"/>
      <c r="U553" s="285" t="n"/>
      <c r="V553" s="285" t="n"/>
      <c r="W553" s="285" t="n"/>
      <c r="X553" s="285" t="n"/>
      <c r="Y553" s="285" t="n"/>
      <c r="Z553" s="285" t="n"/>
      <c r="AA553" s="285" t="n"/>
    </row>
    <row r="554" ht="15.75" customHeight="1" s="398">
      <c r="A554" s="284" t="n"/>
      <c r="B554" s="284" t="n"/>
      <c r="C554" s="285" t="n"/>
      <c r="D554" s="284" t="n"/>
      <c r="E554" s="285" t="n"/>
      <c r="F554" s="285" t="n"/>
      <c r="G554" s="336" t="n"/>
      <c r="H554" s="336" t="n"/>
      <c r="I554" s="285" t="n"/>
      <c r="J554" s="285" t="n"/>
      <c r="K554" s="285" t="n"/>
      <c r="L554" s="285" t="n"/>
      <c r="M554" s="285" t="n"/>
      <c r="N554" s="285" t="n"/>
      <c r="O554" s="285" t="n"/>
      <c r="P554" s="285" t="n"/>
      <c r="Q554" s="285" t="n"/>
      <c r="R554" s="285" t="n"/>
      <c r="S554" s="284" t="n"/>
      <c r="T554" s="284" t="n"/>
      <c r="U554" s="285" t="n"/>
      <c r="V554" s="285" t="n"/>
      <c r="W554" s="285" t="n"/>
      <c r="X554" s="285" t="n"/>
      <c r="Y554" s="285" t="n"/>
      <c r="Z554" s="285" t="n"/>
      <c r="AA554" s="285" t="n"/>
    </row>
    <row r="555" ht="15.75" customHeight="1" s="398">
      <c r="A555" s="284" t="n"/>
      <c r="B555" s="284" t="n"/>
      <c r="C555" s="285" t="n"/>
      <c r="D555" s="284" t="n"/>
      <c r="E555" s="285" t="n"/>
      <c r="F555" s="285" t="n"/>
      <c r="G555" s="336" t="n"/>
      <c r="H555" s="336" t="n"/>
      <c r="I555" s="285" t="n"/>
      <c r="J555" s="285" t="n"/>
      <c r="K555" s="285" t="n"/>
      <c r="L555" s="285" t="n"/>
      <c r="M555" s="285" t="n"/>
      <c r="N555" s="285" t="n"/>
      <c r="O555" s="285" t="n"/>
      <c r="P555" s="285" t="n"/>
      <c r="Q555" s="285" t="n"/>
      <c r="R555" s="285" t="n"/>
      <c r="S555" s="284" t="n"/>
      <c r="T555" s="284" t="n"/>
      <c r="U555" s="285" t="n"/>
      <c r="V555" s="285" t="n"/>
      <c r="W555" s="285" t="n"/>
      <c r="X555" s="285" t="n"/>
      <c r="Y555" s="285" t="n"/>
      <c r="Z555" s="285" t="n"/>
      <c r="AA555" s="285" t="n"/>
    </row>
    <row r="556" ht="15.75" customHeight="1" s="398">
      <c r="A556" s="284" t="n"/>
      <c r="B556" s="284" t="n"/>
      <c r="C556" s="285" t="n"/>
      <c r="D556" s="284" t="n"/>
      <c r="E556" s="285" t="n"/>
      <c r="F556" s="285" t="n"/>
      <c r="G556" s="336" t="n"/>
      <c r="H556" s="336" t="n"/>
      <c r="I556" s="285" t="n"/>
      <c r="J556" s="285" t="n"/>
      <c r="K556" s="285" t="n"/>
      <c r="L556" s="285" t="n"/>
      <c r="M556" s="285" t="n"/>
      <c r="N556" s="285" t="n"/>
      <c r="O556" s="285" t="n"/>
      <c r="P556" s="285" t="n"/>
      <c r="Q556" s="285" t="n"/>
      <c r="R556" s="285" t="n"/>
      <c r="S556" s="284" t="n"/>
      <c r="T556" s="284" t="n"/>
      <c r="U556" s="285" t="n"/>
      <c r="V556" s="285" t="n"/>
      <c r="W556" s="285" t="n"/>
      <c r="X556" s="285" t="n"/>
      <c r="Y556" s="285" t="n"/>
      <c r="Z556" s="285" t="n"/>
      <c r="AA556" s="285" t="n"/>
    </row>
    <row r="557" ht="15.75" customHeight="1" s="398">
      <c r="A557" s="284" t="n"/>
      <c r="B557" s="284" t="n"/>
      <c r="C557" s="285" t="n"/>
      <c r="D557" s="284" t="n"/>
      <c r="E557" s="285" t="n"/>
      <c r="F557" s="285" t="n"/>
      <c r="G557" s="336" t="n"/>
      <c r="H557" s="336" t="n"/>
      <c r="I557" s="285" t="n"/>
      <c r="J557" s="285" t="n"/>
      <c r="K557" s="285" t="n"/>
      <c r="L557" s="285" t="n"/>
      <c r="M557" s="285" t="n"/>
      <c r="N557" s="285" t="n"/>
      <c r="O557" s="285" t="n"/>
      <c r="P557" s="285" t="n"/>
      <c r="Q557" s="285" t="n"/>
      <c r="R557" s="285" t="n"/>
      <c r="S557" s="284" t="n"/>
      <c r="T557" s="284" t="n"/>
      <c r="U557" s="285" t="n"/>
      <c r="V557" s="285" t="n"/>
      <c r="W557" s="285" t="n"/>
      <c r="X557" s="285" t="n"/>
      <c r="Y557" s="285" t="n"/>
      <c r="Z557" s="285" t="n"/>
      <c r="AA557" s="285" t="n"/>
    </row>
    <row r="558" ht="15.75" customHeight="1" s="398">
      <c r="A558" s="284" t="n"/>
      <c r="B558" s="284" t="n"/>
      <c r="C558" s="285" t="n"/>
      <c r="D558" s="284" t="n"/>
      <c r="E558" s="285" t="n"/>
      <c r="F558" s="285" t="n"/>
      <c r="G558" s="336" t="n"/>
      <c r="H558" s="336" t="n"/>
      <c r="I558" s="285" t="n"/>
      <c r="J558" s="285" t="n"/>
      <c r="K558" s="285" t="n"/>
      <c r="L558" s="285" t="n"/>
      <c r="M558" s="285" t="n"/>
      <c r="N558" s="285" t="n"/>
      <c r="O558" s="285" t="n"/>
      <c r="P558" s="285" t="n"/>
      <c r="Q558" s="285" t="n"/>
      <c r="R558" s="285" t="n"/>
      <c r="S558" s="284" t="n"/>
      <c r="T558" s="284" t="n"/>
      <c r="U558" s="285" t="n"/>
      <c r="V558" s="285" t="n"/>
      <c r="W558" s="285" t="n"/>
      <c r="X558" s="285" t="n"/>
      <c r="Y558" s="285" t="n"/>
      <c r="Z558" s="285" t="n"/>
      <c r="AA558" s="285" t="n"/>
    </row>
    <row r="559" ht="15.75" customHeight="1" s="398">
      <c r="A559" s="284" t="n"/>
      <c r="B559" s="284" t="n"/>
      <c r="C559" s="285" t="n"/>
      <c r="D559" s="284" t="n"/>
      <c r="E559" s="285" t="n"/>
      <c r="F559" s="285" t="n"/>
      <c r="G559" s="336" t="n"/>
      <c r="H559" s="336" t="n"/>
      <c r="I559" s="285" t="n"/>
      <c r="J559" s="285" t="n"/>
      <c r="K559" s="285" t="n"/>
      <c r="L559" s="285" t="n"/>
      <c r="M559" s="285" t="n"/>
      <c r="N559" s="285" t="n"/>
      <c r="O559" s="285" t="n"/>
      <c r="P559" s="285" t="n"/>
      <c r="Q559" s="285" t="n"/>
      <c r="R559" s="285" t="n"/>
      <c r="S559" s="284" t="n"/>
      <c r="T559" s="284" t="n"/>
      <c r="U559" s="285" t="n"/>
      <c r="V559" s="285" t="n"/>
      <c r="W559" s="285" t="n"/>
      <c r="X559" s="285" t="n"/>
      <c r="Y559" s="285" t="n"/>
      <c r="Z559" s="285" t="n"/>
      <c r="AA559" s="285" t="n"/>
    </row>
    <row r="560" ht="15.75" customHeight="1" s="398">
      <c r="A560" s="284" t="n"/>
      <c r="B560" s="284" t="n"/>
      <c r="C560" s="285" t="n"/>
      <c r="D560" s="284" t="n"/>
      <c r="E560" s="285" t="n"/>
      <c r="F560" s="285" t="n"/>
      <c r="G560" s="336" t="n"/>
      <c r="H560" s="336" t="n"/>
      <c r="I560" s="285" t="n"/>
      <c r="J560" s="285" t="n"/>
      <c r="K560" s="285" t="n"/>
      <c r="L560" s="285" t="n"/>
      <c r="M560" s="285" t="n"/>
      <c r="N560" s="285" t="n"/>
      <c r="O560" s="285" t="n"/>
      <c r="P560" s="285" t="n"/>
      <c r="Q560" s="285" t="n"/>
      <c r="R560" s="285" t="n"/>
      <c r="S560" s="284" t="n"/>
      <c r="T560" s="284" t="n"/>
      <c r="U560" s="285" t="n"/>
      <c r="V560" s="285" t="n"/>
      <c r="W560" s="285" t="n"/>
      <c r="X560" s="285" t="n"/>
      <c r="Y560" s="285" t="n"/>
      <c r="Z560" s="285" t="n"/>
      <c r="AA560" s="285" t="n"/>
    </row>
    <row r="561" ht="15.75" customHeight="1" s="398">
      <c r="A561" s="284" t="n"/>
      <c r="B561" s="284" t="n"/>
      <c r="C561" s="285" t="n"/>
      <c r="D561" s="284" t="n"/>
      <c r="E561" s="285" t="n"/>
      <c r="F561" s="285" t="n"/>
      <c r="G561" s="336" t="n"/>
      <c r="H561" s="336" t="n"/>
      <c r="I561" s="285" t="n"/>
      <c r="J561" s="285" t="n"/>
      <c r="K561" s="285" t="n"/>
      <c r="L561" s="285" t="n"/>
      <c r="M561" s="285" t="n"/>
      <c r="N561" s="285" t="n"/>
      <c r="O561" s="285" t="n"/>
      <c r="P561" s="285" t="n"/>
      <c r="Q561" s="285" t="n"/>
      <c r="R561" s="285" t="n"/>
      <c r="S561" s="284" t="n"/>
      <c r="T561" s="284" t="n"/>
      <c r="U561" s="285" t="n"/>
      <c r="V561" s="285" t="n"/>
      <c r="W561" s="285" t="n"/>
      <c r="X561" s="285" t="n"/>
      <c r="Y561" s="285" t="n"/>
      <c r="Z561" s="285" t="n"/>
      <c r="AA561" s="285" t="n"/>
    </row>
    <row r="562" ht="15.75" customHeight="1" s="398">
      <c r="A562" s="284" t="n"/>
      <c r="B562" s="284" t="n"/>
      <c r="C562" s="285" t="n"/>
      <c r="D562" s="284" t="n"/>
      <c r="E562" s="285" t="n"/>
      <c r="F562" s="285" t="n"/>
      <c r="G562" s="336" t="n"/>
      <c r="H562" s="336" t="n"/>
      <c r="I562" s="285" t="n"/>
      <c r="J562" s="285" t="n"/>
      <c r="K562" s="285" t="n"/>
      <c r="L562" s="285" t="n"/>
      <c r="M562" s="285" t="n"/>
      <c r="N562" s="285" t="n"/>
      <c r="O562" s="285" t="n"/>
      <c r="P562" s="285" t="n"/>
      <c r="Q562" s="285" t="n"/>
      <c r="R562" s="285" t="n"/>
      <c r="S562" s="284" t="n"/>
      <c r="T562" s="284" t="n"/>
      <c r="U562" s="285" t="n"/>
      <c r="V562" s="285" t="n"/>
      <c r="W562" s="285" t="n"/>
      <c r="X562" s="285" t="n"/>
      <c r="Y562" s="285" t="n"/>
      <c r="Z562" s="285" t="n"/>
      <c r="AA562" s="285" t="n"/>
    </row>
    <row r="563" ht="15.75" customHeight="1" s="398">
      <c r="A563" s="284" t="n"/>
      <c r="B563" s="284" t="n"/>
      <c r="C563" s="285" t="n"/>
      <c r="D563" s="284" t="n"/>
      <c r="E563" s="285" t="n"/>
      <c r="F563" s="285" t="n"/>
      <c r="G563" s="336" t="n"/>
      <c r="H563" s="336" t="n"/>
      <c r="I563" s="285" t="n"/>
      <c r="J563" s="285" t="n"/>
      <c r="K563" s="285" t="n"/>
      <c r="L563" s="285" t="n"/>
      <c r="M563" s="285" t="n"/>
      <c r="N563" s="285" t="n"/>
      <c r="O563" s="285" t="n"/>
      <c r="P563" s="285" t="n"/>
      <c r="Q563" s="285" t="n"/>
      <c r="R563" s="285" t="n"/>
      <c r="S563" s="284" t="n"/>
      <c r="T563" s="284" t="n"/>
      <c r="U563" s="285" t="n"/>
      <c r="V563" s="285" t="n"/>
      <c r="W563" s="285" t="n"/>
      <c r="X563" s="285" t="n"/>
      <c r="Y563" s="285" t="n"/>
      <c r="Z563" s="285" t="n"/>
      <c r="AA563" s="285" t="n"/>
    </row>
    <row r="564" ht="15.75" customHeight="1" s="398">
      <c r="A564" s="284" t="n"/>
      <c r="B564" s="284" t="n"/>
      <c r="C564" s="285" t="n"/>
      <c r="D564" s="284" t="n"/>
      <c r="E564" s="285" t="n"/>
      <c r="F564" s="285" t="n"/>
      <c r="G564" s="336" t="n"/>
      <c r="H564" s="336" t="n"/>
      <c r="I564" s="285" t="n"/>
      <c r="J564" s="285" t="n"/>
      <c r="K564" s="285" t="n"/>
      <c r="L564" s="285" t="n"/>
      <c r="M564" s="285" t="n"/>
      <c r="N564" s="285" t="n"/>
      <c r="O564" s="285" t="n"/>
      <c r="P564" s="285" t="n"/>
      <c r="Q564" s="285" t="n"/>
      <c r="R564" s="285" t="n"/>
      <c r="S564" s="284" t="n"/>
      <c r="T564" s="284" t="n"/>
      <c r="U564" s="285" t="n"/>
      <c r="V564" s="285" t="n"/>
      <c r="W564" s="285" t="n"/>
      <c r="X564" s="285" t="n"/>
      <c r="Y564" s="285" t="n"/>
      <c r="Z564" s="285" t="n"/>
      <c r="AA564" s="285" t="n"/>
    </row>
    <row r="565" ht="15.75" customHeight="1" s="398">
      <c r="A565" s="284" t="n"/>
      <c r="B565" s="284" t="n"/>
      <c r="C565" s="285" t="n"/>
      <c r="D565" s="284" t="n"/>
      <c r="E565" s="285" t="n"/>
      <c r="F565" s="285" t="n"/>
      <c r="G565" s="336" t="n"/>
      <c r="H565" s="336" t="n"/>
      <c r="I565" s="285" t="n"/>
      <c r="J565" s="285" t="n"/>
      <c r="K565" s="285" t="n"/>
      <c r="L565" s="285" t="n"/>
      <c r="M565" s="285" t="n"/>
      <c r="N565" s="285" t="n"/>
      <c r="O565" s="285" t="n"/>
      <c r="P565" s="285" t="n"/>
      <c r="Q565" s="285" t="n"/>
      <c r="R565" s="285" t="n"/>
      <c r="S565" s="284" t="n"/>
      <c r="T565" s="284" t="n"/>
      <c r="U565" s="285" t="n"/>
      <c r="V565" s="285" t="n"/>
      <c r="W565" s="285" t="n"/>
      <c r="X565" s="285" t="n"/>
      <c r="Y565" s="285" t="n"/>
      <c r="Z565" s="285" t="n"/>
      <c r="AA565" s="285" t="n"/>
    </row>
    <row r="566" ht="15.75" customHeight="1" s="398">
      <c r="A566" s="284" t="n"/>
      <c r="B566" s="284" t="n"/>
      <c r="C566" s="285" t="n"/>
      <c r="D566" s="284" t="n"/>
      <c r="E566" s="285" t="n"/>
      <c r="F566" s="285" t="n"/>
      <c r="G566" s="336" t="n"/>
      <c r="H566" s="336" t="n"/>
      <c r="I566" s="285" t="n"/>
      <c r="J566" s="285" t="n"/>
      <c r="K566" s="285" t="n"/>
      <c r="L566" s="285" t="n"/>
      <c r="M566" s="285" t="n"/>
      <c r="N566" s="285" t="n"/>
      <c r="O566" s="285" t="n"/>
      <c r="P566" s="285" t="n"/>
      <c r="Q566" s="285" t="n"/>
      <c r="R566" s="285" t="n"/>
      <c r="S566" s="284" t="n"/>
      <c r="T566" s="284" t="n"/>
      <c r="U566" s="285" t="n"/>
      <c r="V566" s="285" t="n"/>
      <c r="W566" s="285" t="n"/>
      <c r="X566" s="285" t="n"/>
      <c r="Y566" s="285" t="n"/>
      <c r="Z566" s="285" t="n"/>
      <c r="AA566" s="285" t="n"/>
    </row>
    <row r="567" ht="15.75" customHeight="1" s="398">
      <c r="A567" s="284" t="n"/>
      <c r="B567" s="284" t="n"/>
      <c r="C567" s="285" t="n"/>
      <c r="D567" s="284" t="n"/>
      <c r="E567" s="285" t="n"/>
      <c r="F567" s="285" t="n"/>
      <c r="G567" s="336" t="n"/>
      <c r="H567" s="336" t="n"/>
      <c r="I567" s="285" t="n"/>
      <c r="J567" s="285" t="n"/>
      <c r="K567" s="285" t="n"/>
      <c r="L567" s="285" t="n"/>
      <c r="M567" s="285" t="n"/>
      <c r="N567" s="285" t="n"/>
      <c r="O567" s="285" t="n"/>
      <c r="P567" s="285" t="n"/>
      <c r="Q567" s="285" t="n"/>
      <c r="R567" s="285" t="n"/>
      <c r="S567" s="284" t="n"/>
      <c r="T567" s="284" t="n"/>
      <c r="U567" s="285" t="n"/>
      <c r="V567" s="285" t="n"/>
      <c r="W567" s="285" t="n"/>
      <c r="X567" s="285" t="n"/>
      <c r="Y567" s="285" t="n"/>
      <c r="Z567" s="285" t="n"/>
      <c r="AA567" s="285" t="n"/>
    </row>
    <row r="568" ht="15.75" customHeight="1" s="398">
      <c r="A568" s="284" t="n"/>
      <c r="B568" s="284" t="n"/>
      <c r="C568" s="285" t="n"/>
      <c r="D568" s="284" t="n"/>
      <c r="E568" s="285" t="n"/>
      <c r="F568" s="285" t="n"/>
      <c r="G568" s="336" t="n"/>
      <c r="H568" s="336" t="n"/>
      <c r="I568" s="285" t="n"/>
      <c r="J568" s="285" t="n"/>
      <c r="K568" s="285" t="n"/>
      <c r="L568" s="285" t="n"/>
      <c r="M568" s="285" t="n"/>
      <c r="N568" s="285" t="n"/>
      <c r="O568" s="285" t="n"/>
      <c r="P568" s="285" t="n"/>
      <c r="Q568" s="285" t="n"/>
      <c r="R568" s="285" t="n"/>
      <c r="S568" s="284" t="n"/>
      <c r="T568" s="284" t="n"/>
      <c r="U568" s="285" t="n"/>
      <c r="V568" s="285" t="n"/>
      <c r="W568" s="285" t="n"/>
      <c r="X568" s="285" t="n"/>
      <c r="Y568" s="285" t="n"/>
      <c r="Z568" s="285" t="n"/>
      <c r="AA568" s="285" t="n"/>
    </row>
    <row r="569" ht="15.75" customHeight="1" s="398">
      <c r="A569" s="284" t="n"/>
      <c r="B569" s="284" t="n"/>
      <c r="C569" s="285" t="n"/>
      <c r="D569" s="284" t="n"/>
      <c r="E569" s="285" t="n"/>
      <c r="F569" s="285" t="n"/>
      <c r="G569" s="336" t="n"/>
      <c r="H569" s="336" t="n"/>
      <c r="I569" s="285" t="n"/>
      <c r="J569" s="285" t="n"/>
      <c r="K569" s="285" t="n"/>
      <c r="L569" s="285" t="n"/>
      <c r="M569" s="285" t="n"/>
      <c r="N569" s="285" t="n"/>
      <c r="O569" s="285" t="n"/>
      <c r="P569" s="285" t="n"/>
      <c r="Q569" s="285" t="n"/>
      <c r="R569" s="285" t="n"/>
      <c r="S569" s="284" t="n"/>
      <c r="T569" s="284" t="n"/>
      <c r="U569" s="285" t="n"/>
      <c r="V569" s="285" t="n"/>
      <c r="W569" s="285" t="n"/>
      <c r="X569" s="285" t="n"/>
      <c r="Y569" s="285" t="n"/>
      <c r="Z569" s="285" t="n"/>
      <c r="AA569" s="285" t="n"/>
    </row>
    <row r="570" ht="15.75" customHeight="1" s="398">
      <c r="A570" s="284" t="n"/>
      <c r="B570" s="284" t="n"/>
      <c r="C570" s="285" t="n"/>
      <c r="D570" s="284" t="n"/>
      <c r="E570" s="285" t="n"/>
      <c r="F570" s="285" t="n"/>
      <c r="G570" s="336" t="n"/>
      <c r="H570" s="336" t="n"/>
      <c r="I570" s="285" t="n"/>
      <c r="J570" s="285" t="n"/>
      <c r="K570" s="285" t="n"/>
      <c r="L570" s="285" t="n"/>
      <c r="M570" s="285" t="n"/>
      <c r="N570" s="285" t="n"/>
      <c r="O570" s="285" t="n"/>
      <c r="P570" s="285" t="n"/>
      <c r="Q570" s="285" t="n"/>
      <c r="R570" s="285" t="n"/>
      <c r="S570" s="284" t="n"/>
      <c r="T570" s="284" t="n"/>
      <c r="U570" s="285" t="n"/>
      <c r="V570" s="285" t="n"/>
      <c r="W570" s="285" t="n"/>
      <c r="X570" s="285" t="n"/>
      <c r="Y570" s="285" t="n"/>
      <c r="Z570" s="285" t="n"/>
      <c r="AA570" s="285" t="n"/>
    </row>
    <row r="571" ht="15.75" customHeight="1" s="398">
      <c r="A571" s="284" t="n"/>
      <c r="B571" s="284" t="n"/>
      <c r="C571" s="285" t="n"/>
      <c r="D571" s="284" t="n"/>
      <c r="E571" s="285" t="n"/>
      <c r="F571" s="285" t="n"/>
      <c r="G571" s="336" t="n"/>
      <c r="H571" s="336" t="n"/>
      <c r="I571" s="285" t="n"/>
      <c r="J571" s="285" t="n"/>
      <c r="K571" s="285" t="n"/>
      <c r="L571" s="285" t="n"/>
      <c r="M571" s="285" t="n"/>
      <c r="N571" s="285" t="n"/>
      <c r="O571" s="285" t="n"/>
      <c r="P571" s="285" t="n"/>
      <c r="Q571" s="285" t="n"/>
      <c r="R571" s="285" t="n"/>
      <c r="S571" s="284" t="n"/>
      <c r="T571" s="284" t="n"/>
      <c r="U571" s="285" t="n"/>
      <c r="V571" s="285" t="n"/>
      <c r="W571" s="285" t="n"/>
      <c r="X571" s="285" t="n"/>
      <c r="Y571" s="285" t="n"/>
      <c r="Z571" s="285" t="n"/>
      <c r="AA571" s="285" t="n"/>
    </row>
    <row r="572" ht="15.75" customHeight="1" s="398">
      <c r="A572" s="284" t="n"/>
      <c r="B572" s="284" t="n"/>
      <c r="C572" s="285" t="n"/>
      <c r="D572" s="284" t="n"/>
      <c r="E572" s="285" t="n"/>
      <c r="F572" s="285" t="n"/>
      <c r="G572" s="336" t="n"/>
      <c r="H572" s="336" t="n"/>
      <c r="I572" s="285" t="n"/>
      <c r="J572" s="285" t="n"/>
      <c r="K572" s="285" t="n"/>
      <c r="L572" s="285" t="n"/>
      <c r="M572" s="285" t="n"/>
      <c r="N572" s="285" t="n"/>
      <c r="O572" s="285" t="n"/>
      <c r="P572" s="285" t="n"/>
      <c r="Q572" s="285" t="n"/>
      <c r="R572" s="285" t="n"/>
      <c r="S572" s="284" t="n"/>
      <c r="T572" s="284" t="n"/>
      <c r="U572" s="285" t="n"/>
      <c r="V572" s="285" t="n"/>
      <c r="W572" s="285" t="n"/>
      <c r="X572" s="285" t="n"/>
      <c r="Y572" s="285" t="n"/>
      <c r="Z572" s="285" t="n"/>
      <c r="AA572" s="285" t="n"/>
    </row>
    <row r="573" ht="15.75" customHeight="1" s="398">
      <c r="A573" s="284" t="n"/>
      <c r="B573" s="284" t="n"/>
      <c r="C573" s="285" t="n"/>
      <c r="D573" s="284" t="n"/>
      <c r="E573" s="285" t="n"/>
      <c r="F573" s="285" t="n"/>
      <c r="G573" s="336" t="n"/>
      <c r="H573" s="336" t="n"/>
      <c r="I573" s="285" t="n"/>
      <c r="J573" s="285" t="n"/>
      <c r="K573" s="285" t="n"/>
      <c r="L573" s="285" t="n"/>
      <c r="M573" s="285" t="n"/>
      <c r="N573" s="285" t="n"/>
      <c r="O573" s="285" t="n"/>
      <c r="P573" s="285" t="n"/>
      <c r="Q573" s="285" t="n"/>
      <c r="R573" s="285" t="n"/>
      <c r="S573" s="284" t="n"/>
      <c r="T573" s="284" t="n"/>
      <c r="U573" s="285" t="n"/>
      <c r="V573" s="285" t="n"/>
      <c r="W573" s="285" t="n"/>
      <c r="X573" s="285" t="n"/>
      <c r="Y573" s="285" t="n"/>
      <c r="Z573" s="285" t="n"/>
      <c r="AA573" s="285" t="n"/>
    </row>
    <row r="574" ht="15.75" customHeight="1" s="398">
      <c r="A574" s="284" t="n"/>
      <c r="B574" s="284" t="n"/>
      <c r="C574" s="285" t="n"/>
      <c r="D574" s="284" t="n"/>
      <c r="E574" s="285" t="n"/>
      <c r="F574" s="285" t="n"/>
      <c r="G574" s="336" t="n"/>
      <c r="H574" s="336" t="n"/>
      <c r="I574" s="285" t="n"/>
      <c r="J574" s="285" t="n"/>
      <c r="K574" s="285" t="n"/>
      <c r="L574" s="285" t="n"/>
      <c r="M574" s="285" t="n"/>
      <c r="N574" s="285" t="n"/>
      <c r="O574" s="285" t="n"/>
      <c r="P574" s="285" t="n"/>
      <c r="Q574" s="285" t="n"/>
      <c r="R574" s="285" t="n"/>
      <c r="S574" s="284" t="n"/>
      <c r="T574" s="284" t="n"/>
      <c r="U574" s="285" t="n"/>
      <c r="V574" s="285" t="n"/>
      <c r="W574" s="285" t="n"/>
      <c r="X574" s="285" t="n"/>
      <c r="Y574" s="285" t="n"/>
      <c r="Z574" s="285" t="n"/>
      <c r="AA574" s="285" t="n"/>
    </row>
    <row r="575" ht="15.75" customHeight="1" s="398">
      <c r="A575" s="284" t="n"/>
      <c r="B575" s="284" t="n"/>
      <c r="C575" s="285" t="n"/>
      <c r="D575" s="284" t="n"/>
      <c r="E575" s="285" t="n"/>
      <c r="F575" s="285" t="n"/>
      <c r="G575" s="336" t="n"/>
      <c r="H575" s="336" t="n"/>
      <c r="I575" s="285" t="n"/>
      <c r="J575" s="285" t="n"/>
      <c r="K575" s="285" t="n"/>
      <c r="L575" s="285" t="n"/>
      <c r="M575" s="285" t="n"/>
      <c r="N575" s="285" t="n"/>
      <c r="O575" s="285" t="n"/>
      <c r="P575" s="285" t="n"/>
      <c r="Q575" s="285" t="n"/>
      <c r="R575" s="285" t="n"/>
      <c r="S575" s="284" t="n"/>
      <c r="T575" s="284" t="n"/>
      <c r="U575" s="285" t="n"/>
      <c r="V575" s="285" t="n"/>
      <c r="W575" s="285" t="n"/>
      <c r="X575" s="285" t="n"/>
      <c r="Y575" s="285" t="n"/>
      <c r="Z575" s="285" t="n"/>
      <c r="AA575" s="285" t="n"/>
    </row>
    <row r="576" ht="15.75" customHeight="1" s="398">
      <c r="A576" s="284" t="n"/>
      <c r="B576" s="284" t="n"/>
      <c r="C576" s="285" t="n"/>
      <c r="D576" s="284" t="n"/>
      <c r="E576" s="285" t="n"/>
      <c r="F576" s="285" t="n"/>
      <c r="G576" s="336" t="n"/>
      <c r="H576" s="336" t="n"/>
      <c r="I576" s="285" t="n"/>
      <c r="J576" s="285" t="n"/>
      <c r="K576" s="285" t="n"/>
      <c r="L576" s="285" t="n"/>
      <c r="M576" s="285" t="n"/>
      <c r="N576" s="285" t="n"/>
      <c r="O576" s="285" t="n"/>
      <c r="P576" s="285" t="n"/>
      <c r="Q576" s="285" t="n"/>
      <c r="R576" s="285" t="n"/>
      <c r="S576" s="284" t="n"/>
      <c r="T576" s="284" t="n"/>
      <c r="U576" s="285" t="n"/>
      <c r="V576" s="285" t="n"/>
      <c r="W576" s="285" t="n"/>
      <c r="X576" s="285" t="n"/>
      <c r="Y576" s="285" t="n"/>
      <c r="Z576" s="285" t="n"/>
      <c r="AA576" s="285" t="n"/>
    </row>
    <row r="577" ht="15.75" customHeight="1" s="398">
      <c r="A577" s="284" t="n"/>
      <c r="B577" s="284" t="n"/>
      <c r="C577" s="285" t="n"/>
      <c r="D577" s="284" t="n"/>
      <c r="E577" s="285" t="n"/>
      <c r="F577" s="285" t="n"/>
      <c r="G577" s="336" t="n"/>
      <c r="H577" s="336" t="n"/>
      <c r="I577" s="285" t="n"/>
      <c r="J577" s="285" t="n"/>
      <c r="K577" s="285" t="n"/>
      <c r="L577" s="285" t="n"/>
      <c r="M577" s="285" t="n"/>
      <c r="N577" s="285" t="n"/>
      <c r="O577" s="285" t="n"/>
      <c r="P577" s="285" t="n"/>
      <c r="Q577" s="285" t="n"/>
      <c r="R577" s="285" t="n"/>
      <c r="S577" s="284" t="n"/>
      <c r="T577" s="284" t="n"/>
      <c r="U577" s="285" t="n"/>
      <c r="V577" s="285" t="n"/>
      <c r="W577" s="285" t="n"/>
      <c r="X577" s="285" t="n"/>
      <c r="Y577" s="285" t="n"/>
      <c r="Z577" s="285" t="n"/>
      <c r="AA577" s="285" t="n"/>
    </row>
    <row r="578" ht="15.75" customHeight="1" s="398">
      <c r="A578" s="284" t="n"/>
      <c r="B578" s="284" t="n"/>
      <c r="C578" s="285" t="n"/>
      <c r="D578" s="284" t="n"/>
      <c r="E578" s="285" t="n"/>
      <c r="F578" s="285" t="n"/>
      <c r="G578" s="336" t="n"/>
      <c r="H578" s="336" t="n"/>
      <c r="I578" s="285" t="n"/>
      <c r="J578" s="285" t="n"/>
      <c r="K578" s="285" t="n"/>
      <c r="L578" s="285" t="n"/>
      <c r="M578" s="285" t="n"/>
      <c r="N578" s="285" t="n"/>
      <c r="O578" s="285" t="n"/>
      <c r="P578" s="285" t="n"/>
      <c r="Q578" s="285" t="n"/>
      <c r="R578" s="285" t="n"/>
      <c r="S578" s="284" t="n"/>
      <c r="T578" s="284" t="n"/>
      <c r="U578" s="285" t="n"/>
      <c r="V578" s="285" t="n"/>
      <c r="W578" s="285" t="n"/>
      <c r="X578" s="285" t="n"/>
      <c r="Y578" s="285" t="n"/>
      <c r="Z578" s="285" t="n"/>
      <c r="AA578" s="285" t="n"/>
    </row>
    <row r="579" ht="15.75" customHeight="1" s="398">
      <c r="A579" s="284" t="n"/>
      <c r="B579" s="284" t="n"/>
      <c r="C579" s="285" t="n"/>
      <c r="D579" s="284" t="n"/>
      <c r="E579" s="285" t="n"/>
      <c r="F579" s="285" t="n"/>
      <c r="G579" s="336" t="n"/>
      <c r="H579" s="336" t="n"/>
      <c r="I579" s="285" t="n"/>
      <c r="J579" s="285" t="n"/>
      <c r="K579" s="285" t="n"/>
      <c r="L579" s="285" t="n"/>
      <c r="M579" s="285" t="n"/>
      <c r="N579" s="285" t="n"/>
      <c r="O579" s="285" t="n"/>
      <c r="P579" s="285" t="n"/>
      <c r="Q579" s="285" t="n"/>
      <c r="R579" s="285" t="n"/>
      <c r="S579" s="284" t="n"/>
      <c r="T579" s="284" t="n"/>
      <c r="U579" s="285" t="n"/>
      <c r="V579" s="285" t="n"/>
      <c r="W579" s="285" t="n"/>
      <c r="X579" s="285" t="n"/>
      <c r="Y579" s="285" t="n"/>
      <c r="Z579" s="285" t="n"/>
      <c r="AA579" s="285" t="n"/>
    </row>
    <row r="580" ht="15.75" customHeight="1" s="398">
      <c r="A580" s="284" t="n"/>
      <c r="B580" s="284" t="n"/>
      <c r="C580" s="285" t="n"/>
      <c r="D580" s="284" t="n"/>
      <c r="E580" s="285" t="n"/>
      <c r="F580" s="285" t="n"/>
      <c r="G580" s="336" t="n"/>
      <c r="H580" s="336" t="n"/>
      <c r="I580" s="285" t="n"/>
      <c r="J580" s="285" t="n"/>
      <c r="K580" s="285" t="n"/>
      <c r="L580" s="285" t="n"/>
      <c r="M580" s="285" t="n"/>
      <c r="N580" s="285" t="n"/>
      <c r="O580" s="285" t="n"/>
      <c r="P580" s="285" t="n"/>
      <c r="Q580" s="285" t="n"/>
      <c r="R580" s="285" t="n"/>
      <c r="S580" s="284" t="n"/>
      <c r="T580" s="284" t="n"/>
      <c r="U580" s="285" t="n"/>
      <c r="V580" s="285" t="n"/>
      <c r="W580" s="285" t="n"/>
      <c r="X580" s="285" t="n"/>
      <c r="Y580" s="285" t="n"/>
      <c r="Z580" s="285" t="n"/>
      <c r="AA580" s="285" t="n"/>
    </row>
    <row r="581" ht="15.75" customHeight="1" s="398">
      <c r="A581" s="284" t="n"/>
      <c r="B581" s="284" t="n"/>
      <c r="C581" s="285" t="n"/>
      <c r="D581" s="284" t="n"/>
      <c r="E581" s="285" t="n"/>
      <c r="F581" s="285" t="n"/>
      <c r="G581" s="336" t="n"/>
      <c r="H581" s="336" t="n"/>
      <c r="I581" s="285" t="n"/>
      <c r="J581" s="285" t="n"/>
      <c r="K581" s="285" t="n"/>
      <c r="L581" s="285" t="n"/>
      <c r="M581" s="285" t="n"/>
      <c r="N581" s="285" t="n"/>
      <c r="O581" s="285" t="n"/>
      <c r="P581" s="285" t="n"/>
      <c r="Q581" s="285" t="n"/>
      <c r="R581" s="285" t="n"/>
      <c r="S581" s="284" t="n"/>
      <c r="T581" s="284" t="n"/>
      <c r="U581" s="285" t="n"/>
      <c r="V581" s="285" t="n"/>
      <c r="W581" s="285" t="n"/>
      <c r="X581" s="285" t="n"/>
      <c r="Y581" s="285" t="n"/>
      <c r="Z581" s="285" t="n"/>
      <c r="AA581" s="285" t="n"/>
    </row>
    <row r="582" ht="15.75" customHeight="1" s="398">
      <c r="A582" s="284" t="n"/>
      <c r="B582" s="284" t="n"/>
      <c r="C582" s="285" t="n"/>
      <c r="D582" s="284" t="n"/>
      <c r="E582" s="285" t="n"/>
      <c r="F582" s="285" t="n"/>
      <c r="G582" s="336" t="n"/>
      <c r="H582" s="336" t="n"/>
      <c r="I582" s="285" t="n"/>
      <c r="J582" s="285" t="n"/>
      <c r="K582" s="285" t="n"/>
      <c r="L582" s="285" t="n"/>
      <c r="M582" s="285" t="n"/>
      <c r="N582" s="285" t="n"/>
      <c r="O582" s="285" t="n"/>
      <c r="P582" s="285" t="n"/>
      <c r="Q582" s="285" t="n"/>
      <c r="R582" s="285" t="n"/>
      <c r="S582" s="284" t="n"/>
      <c r="T582" s="284" t="n"/>
      <c r="U582" s="285" t="n"/>
      <c r="V582" s="285" t="n"/>
      <c r="W582" s="285" t="n"/>
      <c r="X582" s="285" t="n"/>
      <c r="Y582" s="285" t="n"/>
      <c r="Z582" s="285" t="n"/>
      <c r="AA582" s="285" t="n"/>
    </row>
    <row r="583" ht="15.75" customHeight="1" s="398">
      <c r="A583" s="284" t="n"/>
      <c r="B583" s="284" t="n"/>
      <c r="C583" s="285" t="n"/>
      <c r="D583" s="284" t="n"/>
      <c r="E583" s="285" t="n"/>
      <c r="F583" s="285" t="n"/>
      <c r="G583" s="336" t="n"/>
      <c r="H583" s="336" t="n"/>
      <c r="I583" s="285" t="n"/>
      <c r="J583" s="285" t="n"/>
      <c r="K583" s="285" t="n"/>
      <c r="L583" s="285" t="n"/>
      <c r="M583" s="285" t="n"/>
      <c r="N583" s="285" t="n"/>
      <c r="O583" s="285" t="n"/>
      <c r="P583" s="285" t="n"/>
      <c r="Q583" s="285" t="n"/>
      <c r="R583" s="285" t="n"/>
      <c r="S583" s="284" t="n"/>
      <c r="T583" s="284" t="n"/>
      <c r="U583" s="285" t="n"/>
      <c r="V583" s="285" t="n"/>
      <c r="W583" s="285" t="n"/>
      <c r="X583" s="285" t="n"/>
      <c r="Y583" s="285" t="n"/>
      <c r="Z583" s="285" t="n"/>
      <c r="AA583" s="285" t="n"/>
    </row>
    <row r="584" ht="15.75" customHeight="1" s="398">
      <c r="A584" s="284" t="n"/>
      <c r="B584" s="284" t="n"/>
      <c r="C584" s="285" t="n"/>
      <c r="D584" s="284" t="n"/>
      <c r="E584" s="285" t="n"/>
      <c r="F584" s="285" t="n"/>
      <c r="G584" s="336" t="n"/>
      <c r="H584" s="336" t="n"/>
      <c r="I584" s="285" t="n"/>
      <c r="J584" s="285" t="n"/>
      <c r="K584" s="285" t="n"/>
      <c r="L584" s="285" t="n"/>
      <c r="M584" s="285" t="n"/>
      <c r="N584" s="285" t="n"/>
      <c r="O584" s="285" t="n"/>
      <c r="P584" s="285" t="n"/>
      <c r="Q584" s="285" t="n"/>
      <c r="R584" s="285" t="n"/>
      <c r="S584" s="284" t="n"/>
      <c r="T584" s="284" t="n"/>
      <c r="U584" s="285" t="n"/>
      <c r="V584" s="285" t="n"/>
      <c r="W584" s="285" t="n"/>
      <c r="X584" s="285" t="n"/>
      <c r="Y584" s="285" t="n"/>
      <c r="Z584" s="285" t="n"/>
      <c r="AA584" s="285" t="n"/>
    </row>
    <row r="585" ht="15.75" customHeight="1" s="398">
      <c r="A585" s="284" t="n"/>
      <c r="B585" s="284" t="n"/>
      <c r="C585" s="285" t="n"/>
      <c r="D585" s="284" t="n"/>
      <c r="E585" s="285" t="n"/>
      <c r="F585" s="285" t="n"/>
      <c r="G585" s="336" t="n"/>
      <c r="H585" s="336" t="n"/>
      <c r="I585" s="285" t="n"/>
      <c r="J585" s="285" t="n"/>
      <c r="K585" s="285" t="n"/>
      <c r="L585" s="285" t="n"/>
      <c r="M585" s="285" t="n"/>
      <c r="N585" s="285" t="n"/>
      <c r="O585" s="285" t="n"/>
      <c r="P585" s="285" t="n"/>
      <c r="Q585" s="285" t="n"/>
      <c r="R585" s="285" t="n"/>
      <c r="S585" s="284" t="n"/>
      <c r="T585" s="284" t="n"/>
      <c r="U585" s="285" t="n"/>
      <c r="V585" s="285" t="n"/>
      <c r="W585" s="285" t="n"/>
      <c r="X585" s="285" t="n"/>
      <c r="Y585" s="285" t="n"/>
      <c r="Z585" s="285" t="n"/>
      <c r="AA585" s="285" t="n"/>
    </row>
    <row r="586" ht="15.75" customHeight="1" s="398">
      <c r="A586" s="284" t="n"/>
      <c r="B586" s="284" t="n"/>
      <c r="C586" s="285" t="n"/>
      <c r="D586" s="284" t="n"/>
      <c r="E586" s="285" t="n"/>
      <c r="F586" s="285" t="n"/>
      <c r="G586" s="336" t="n"/>
      <c r="H586" s="336" t="n"/>
      <c r="I586" s="285" t="n"/>
      <c r="J586" s="285" t="n"/>
      <c r="K586" s="285" t="n"/>
      <c r="L586" s="285" t="n"/>
      <c r="M586" s="285" t="n"/>
      <c r="N586" s="285" t="n"/>
      <c r="O586" s="285" t="n"/>
      <c r="P586" s="285" t="n"/>
      <c r="Q586" s="285" t="n"/>
      <c r="R586" s="285" t="n"/>
      <c r="S586" s="284" t="n"/>
      <c r="T586" s="284" t="n"/>
      <c r="U586" s="285" t="n"/>
      <c r="V586" s="285" t="n"/>
      <c r="W586" s="285" t="n"/>
      <c r="X586" s="285" t="n"/>
      <c r="Y586" s="285" t="n"/>
      <c r="Z586" s="285" t="n"/>
      <c r="AA586" s="285" t="n"/>
    </row>
    <row r="587" ht="15.75" customHeight="1" s="398">
      <c r="A587" s="284" t="n"/>
      <c r="B587" s="284" t="n"/>
      <c r="C587" s="285" t="n"/>
      <c r="D587" s="284" t="n"/>
      <c r="E587" s="285" t="n"/>
      <c r="F587" s="285" t="n"/>
      <c r="G587" s="336" t="n"/>
      <c r="H587" s="336" t="n"/>
      <c r="I587" s="285" t="n"/>
      <c r="J587" s="285" t="n"/>
      <c r="K587" s="285" t="n"/>
      <c r="L587" s="285" t="n"/>
      <c r="M587" s="285" t="n"/>
      <c r="N587" s="285" t="n"/>
      <c r="O587" s="285" t="n"/>
      <c r="P587" s="285" t="n"/>
      <c r="Q587" s="285" t="n"/>
      <c r="R587" s="285" t="n"/>
      <c r="S587" s="284" t="n"/>
      <c r="T587" s="284" t="n"/>
      <c r="U587" s="285" t="n"/>
      <c r="V587" s="285" t="n"/>
      <c r="W587" s="285" t="n"/>
      <c r="X587" s="285" t="n"/>
      <c r="Y587" s="285" t="n"/>
      <c r="Z587" s="285" t="n"/>
      <c r="AA587" s="285" t="n"/>
    </row>
    <row r="588" ht="15.75" customHeight="1" s="398">
      <c r="A588" s="284" t="n"/>
      <c r="B588" s="284" t="n"/>
      <c r="C588" s="285" t="n"/>
      <c r="D588" s="284" t="n"/>
      <c r="E588" s="285" t="n"/>
      <c r="F588" s="285" t="n"/>
      <c r="G588" s="336" t="n"/>
      <c r="H588" s="336" t="n"/>
      <c r="I588" s="285" t="n"/>
      <c r="J588" s="285" t="n"/>
      <c r="K588" s="285" t="n"/>
      <c r="L588" s="285" t="n"/>
      <c r="M588" s="285" t="n"/>
      <c r="N588" s="285" t="n"/>
      <c r="O588" s="285" t="n"/>
      <c r="P588" s="285" t="n"/>
      <c r="Q588" s="285" t="n"/>
      <c r="R588" s="285" t="n"/>
      <c r="S588" s="284" t="n"/>
      <c r="T588" s="284" t="n"/>
      <c r="U588" s="285" t="n"/>
      <c r="V588" s="285" t="n"/>
      <c r="W588" s="285" t="n"/>
      <c r="X588" s="285" t="n"/>
      <c r="Y588" s="285" t="n"/>
      <c r="Z588" s="285" t="n"/>
      <c r="AA588" s="285" t="n"/>
    </row>
    <row r="589" ht="15.75" customHeight="1" s="398">
      <c r="A589" s="284" t="n"/>
      <c r="B589" s="284" t="n"/>
      <c r="C589" s="285" t="n"/>
      <c r="D589" s="284" t="n"/>
      <c r="E589" s="285" t="n"/>
      <c r="F589" s="285" t="n"/>
      <c r="G589" s="336" t="n"/>
      <c r="H589" s="336" t="n"/>
      <c r="I589" s="285" t="n"/>
      <c r="J589" s="285" t="n"/>
      <c r="K589" s="285" t="n"/>
      <c r="L589" s="285" t="n"/>
      <c r="M589" s="285" t="n"/>
      <c r="N589" s="285" t="n"/>
      <c r="O589" s="285" t="n"/>
      <c r="P589" s="285" t="n"/>
      <c r="Q589" s="285" t="n"/>
      <c r="R589" s="285" t="n"/>
      <c r="S589" s="284" t="n"/>
      <c r="T589" s="284" t="n"/>
      <c r="U589" s="285" t="n"/>
      <c r="V589" s="285" t="n"/>
      <c r="W589" s="285" t="n"/>
      <c r="X589" s="285" t="n"/>
      <c r="Y589" s="285" t="n"/>
      <c r="Z589" s="285" t="n"/>
      <c r="AA589" s="285" t="n"/>
    </row>
    <row r="590" ht="15.75" customHeight="1" s="398">
      <c r="A590" s="284" t="n"/>
      <c r="B590" s="284" t="n"/>
      <c r="C590" s="285" t="n"/>
      <c r="D590" s="284" t="n"/>
      <c r="E590" s="285" t="n"/>
      <c r="F590" s="285" t="n"/>
      <c r="G590" s="336" t="n"/>
      <c r="H590" s="336" t="n"/>
      <c r="I590" s="285" t="n"/>
      <c r="J590" s="285" t="n"/>
      <c r="K590" s="285" t="n"/>
      <c r="L590" s="285" t="n"/>
      <c r="M590" s="285" t="n"/>
      <c r="N590" s="285" t="n"/>
      <c r="O590" s="285" t="n"/>
      <c r="P590" s="285" t="n"/>
      <c r="Q590" s="285" t="n"/>
      <c r="R590" s="285" t="n"/>
      <c r="S590" s="284" t="n"/>
      <c r="T590" s="284" t="n"/>
      <c r="U590" s="285" t="n"/>
      <c r="V590" s="285" t="n"/>
      <c r="W590" s="285" t="n"/>
      <c r="X590" s="285" t="n"/>
      <c r="Y590" s="285" t="n"/>
      <c r="Z590" s="285" t="n"/>
      <c r="AA590" s="285" t="n"/>
    </row>
    <row r="591" ht="15.75" customHeight="1" s="398">
      <c r="A591" s="284" t="n"/>
      <c r="B591" s="284" t="n"/>
      <c r="C591" s="285" t="n"/>
      <c r="D591" s="284" t="n"/>
      <c r="E591" s="285" t="n"/>
      <c r="F591" s="285" t="n"/>
      <c r="G591" s="336" t="n"/>
      <c r="H591" s="336" t="n"/>
      <c r="I591" s="285" t="n"/>
      <c r="J591" s="285" t="n"/>
      <c r="K591" s="285" t="n"/>
      <c r="L591" s="285" t="n"/>
      <c r="M591" s="285" t="n"/>
      <c r="N591" s="285" t="n"/>
      <c r="O591" s="285" t="n"/>
      <c r="P591" s="285" t="n"/>
      <c r="Q591" s="285" t="n"/>
      <c r="R591" s="285" t="n"/>
      <c r="S591" s="284" t="n"/>
      <c r="T591" s="284" t="n"/>
      <c r="U591" s="285" t="n"/>
      <c r="V591" s="285" t="n"/>
      <c r="W591" s="285" t="n"/>
      <c r="X591" s="285" t="n"/>
      <c r="Y591" s="285" t="n"/>
      <c r="Z591" s="285" t="n"/>
      <c r="AA591" s="285" t="n"/>
    </row>
    <row r="592" ht="15.75" customHeight="1" s="398">
      <c r="A592" s="284" t="n"/>
      <c r="B592" s="284" t="n"/>
      <c r="C592" s="285" t="n"/>
      <c r="D592" s="284" t="n"/>
      <c r="E592" s="285" t="n"/>
      <c r="F592" s="285" t="n"/>
      <c r="G592" s="336" t="n"/>
      <c r="H592" s="336" t="n"/>
      <c r="I592" s="285" t="n"/>
      <c r="J592" s="285" t="n"/>
      <c r="K592" s="285" t="n"/>
      <c r="L592" s="285" t="n"/>
      <c r="M592" s="285" t="n"/>
      <c r="N592" s="285" t="n"/>
      <c r="O592" s="285" t="n"/>
      <c r="P592" s="285" t="n"/>
      <c r="Q592" s="285" t="n"/>
      <c r="R592" s="285" t="n"/>
      <c r="S592" s="284" t="n"/>
      <c r="T592" s="284" t="n"/>
      <c r="U592" s="285" t="n"/>
      <c r="V592" s="285" t="n"/>
      <c r="W592" s="285" t="n"/>
      <c r="X592" s="285" t="n"/>
      <c r="Y592" s="285" t="n"/>
      <c r="Z592" s="285" t="n"/>
      <c r="AA592" s="285" t="n"/>
    </row>
    <row r="593" ht="15.75" customHeight="1" s="398">
      <c r="A593" s="284" t="n"/>
      <c r="B593" s="284" t="n"/>
      <c r="C593" s="285" t="n"/>
      <c r="D593" s="284" t="n"/>
      <c r="E593" s="285" t="n"/>
      <c r="F593" s="285" t="n"/>
      <c r="G593" s="336" t="n"/>
      <c r="H593" s="336" t="n"/>
      <c r="I593" s="285" t="n"/>
      <c r="J593" s="285" t="n"/>
      <c r="K593" s="285" t="n"/>
      <c r="L593" s="285" t="n"/>
      <c r="M593" s="285" t="n"/>
      <c r="N593" s="285" t="n"/>
      <c r="O593" s="285" t="n"/>
      <c r="P593" s="285" t="n"/>
      <c r="Q593" s="285" t="n"/>
      <c r="R593" s="285" t="n"/>
      <c r="S593" s="284" t="n"/>
      <c r="T593" s="284" t="n"/>
      <c r="U593" s="285" t="n"/>
      <c r="V593" s="285" t="n"/>
      <c r="W593" s="285" t="n"/>
      <c r="X593" s="285" t="n"/>
      <c r="Y593" s="285" t="n"/>
      <c r="Z593" s="285" t="n"/>
      <c r="AA593" s="285" t="n"/>
    </row>
    <row r="594" ht="15.75" customHeight="1" s="398">
      <c r="A594" s="284" t="n"/>
      <c r="B594" s="284" t="n"/>
      <c r="C594" s="285" t="n"/>
      <c r="D594" s="284" t="n"/>
      <c r="E594" s="285" t="n"/>
      <c r="F594" s="285" t="n"/>
      <c r="G594" s="336" t="n"/>
      <c r="H594" s="336" t="n"/>
      <c r="I594" s="285" t="n"/>
      <c r="J594" s="285" t="n"/>
      <c r="K594" s="285" t="n"/>
      <c r="L594" s="285" t="n"/>
      <c r="M594" s="285" t="n"/>
      <c r="N594" s="285" t="n"/>
      <c r="O594" s="285" t="n"/>
      <c r="P594" s="285" t="n"/>
      <c r="Q594" s="285" t="n"/>
      <c r="R594" s="285" t="n"/>
      <c r="S594" s="284" t="n"/>
      <c r="T594" s="284" t="n"/>
      <c r="U594" s="285" t="n"/>
      <c r="V594" s="285" t="n"/>
      <c r="W594" s="285" t="n"/>
      <c r="X594" s="285" t="n"/>
      <c r="Y594" s="285" t="n"/>
      <c r="Z594" s="285" t="n"/>
      <c r="AA594" s="285" t="n"/>
    </row>
    <row r="595" ht="15.75" customHeight="1" s="398">
      <c r="A595" s="284" t="n"/>
      <c r="B595" s="284" t="n"/>
      <c r="C595" s="285" t="n"/>
      <c r="D595" s="284" t="n"/>
      <c r="E595" s="285" t="n"/>
      <c r="F595" s="285" t="n"/>
      <c r="G595" s="336" t="n"/>
      <c r="H595" s="336" t="n"/>
      <c r="I595" s="285" t="n"/>
      <c r="J595" s="285" t="n"/>
      <c r="K595" s="285" t="n"/>
      <c r="L595" s="285" t="n"/>
      <c r="M595" s="285" t="n"/>
      <c r="N595" s="285" t="n"/>
      <c r="O595" s="285" t="n"/>
      <c r="P595" s="285" t="n"/>
      <c r="Q595" s="285" t="n"/>
      <c r="R595" s="285" t="n"/>
      <c r="S595" s="284" t="n"/>
      <c r="T595" s="284" t="n"/>
      <c r="U595" s="285" t="n"/>
      <c r="V595" s="285" t="n"/>
      <c r="W595" s="285" t="n"/>
      <c r="X595" s="285" t="n"/>
      <c r="Y595" s="285" t="n"/>
      <c r="Z595" s="285" t="n"/>
      <c r="AA595" s="285" t="n"/>
    </row>
    <row r="596" ht="15.75" customHeight="1" s="398">
      <c r="A596" s="284" t="n"/>
      <c r="B596" s="284" t="n"/>
      <c r="C596" s="285" t="n"/>
      <c r="D596" s="284" t="n"/>
      <c r="E596" s="285" t="n"/>
      <c r="F596" s="285" t="n"/>
      <c r="G596" s="336" t="n"/>
      <c r="H596" s="336" t="n"/>
      <c r="I596" s="285" t="n"/>
      <c r="J596" s="285" t="n"/>
      <c r="K596" s="285" t="n"/>
      <c r="L596" s="285" t="n"/>
      <c r="M596" s="285" t="n"/>
      <c r="N596" s="285" t="n"/>
      <c r="O596" s="285" t="n"/>
      <c r="P596" s="285" t="n"/>
      <c r="Q596" s="285" t="n"/>
      <c r="R596" s="285" t="n"/>
      <c r="S596" s="284" t="n"/>
      <c r="T596" s="284" t="n"/>
      <c r="U596" s="285" t="n"/>
      <c r="V596" s="285" t="n"/>
      <c r="W596" s="285" t="n"/>
      <c r="X596" s="285" t="n"/>
      <c r="Y596" s="285" t="n"/>
      <c r="Z596" s="285" t="n"/>
      <c r="AA596" s="285" t="n"/>
    </row>
    <row r="597" ht="15.75" customHeight="1" s="398">
      <c r="A597" s="284" t="n"/>
      <c r="B597" s="284" t="n"/>
      <c r="C597" s="285" t="n"/>
      <c r="D597" s="284" t="n"/>
      <c r="E597" s="285" t="n"/>
      <c r="F597" s="285" t="n"/>
      <c r="G597" s="336" t="n"/>
      <c r="H597" s="336" t="n"/>
      <c r="I597" s="285" t="n"/>
      <c r="J597" s="285" t="n"/>
      <c r="K597" s="285" t="n"/>
      <c r="L597" s="285" t="n"/>
      <c r="M597" s="285" t="n"/>
      <c r="N597" s="285" t="n"/>
      <c r="O597" s="285" t="n"/>
      <c r="P597" s="285" t="n"/>
      <c r="Q597" s="285" t="n"/>
      <c r="R597" s="285" t="n"/>
      <c r="S597" s="284" t="n"/>
      <c r="T597" s="284" t="n"/>
      <c r="U597" s="285" t="n"/>
      <c r="V597" s="285" t="n"/>
      <c r="W597" s="285" t="n"/>
      <c r="X597" s="285" t="n"/>
      <c r="Y597" s="285" t="n"/>
      <c r="Z597" s="285" t="n"/>
      <c r="AA597" s="285" t="n"/>
    </row>
    <row r="598" ht="15.75" customHeight="1" s="398">
      <c r="A598" s="284" t="n"/>
      <c r="B598" s="284" t="n"/>
      <c r="C598" s="285" t="n"/>
      <c r="D598" s="284" t="n"/>
      <c r="E598" s="285" t="n"/>
      <c r="F598" s="285" t="n"/>
      <c r="G598" s="336" t="n"/>
      <c r="H598" s="336" t="n"/>
      <c r="I598" s="285" t="n"/>
      <c r="J598" s="285" t="n"/>
      <c r="K598" s="285" t="n"/>
      <c r="L598" s="285" t="n"/>
      <c r="M598" s="285" t="n"/>
      <c r="N598" s="285" t="n"/>
      <c r="O598" s="285" t="n"/>
      <c r="P598" s="285" t="n"/>
      <c r="Q598" s="285" t="n"/>
      <c r="R598" s="285" t="n"/>
      <c r="S598" s="284" t="n"/>
      <c r="T598" s="284" t="n"/>
      <c r="U598" s="285" t="n"/>
      <c r="V598" s="285" t="n"/>
      <c r="W598" s="285" t="n"/>
      <c r="X598" s="285" t="n"/>
      <c r="Y598" s="285" t="n"/>
      <c r="Z598" s="285" t="n"/>
      <c r="AA598" s="285" t="n"/>
    </row>
    <row r="599" ht="15.75" customHeight="1" s="398">
      <c r="A599" s="284" t="n"/>
      <c r="B599" s="284" t="n"/>
      <c r="C599" s="285" t="n"/>
      <c r="D599" s="284" t="n"/>
      <c r="E599" s="285" t="n"/>
      <c r="F599" s="285" t="n"/>
      <c r="G599" s="336" t="n"/>
      <c r="H599" s="336" t="n"/>
      <c r="I599" s="285" t="n"/>
      <c r="J599" s="285" t="n"/>
      <c r="K599" s="285" t="n"/>
      <c r="L599" s="285" t="n"/>
      <c r="M599" s="285" t="n"/>
      <c r="N599" s="285" t="n"/>
      <c r="O599" s="285" t="n"/>
      <c r="P599" s="285" t="n"/>
      <c r="Q599" s="285" t="n"/>
      <c r="R599" s="285" t="n"/>
      <c r="S599" s="284" t="n"/>
      <c r="T599" s="284" t="n"/>
      <c r="U599" s="285" t="n"/>
      <c r="V599" s="285" t="n"/>
      <c r="W599" s="285" t="n"/>
      <c r="X599" s="285" t="n"/>
      <c r="Y599" s="285" t="n"/>
      <c r="Z599" s="285" t="n"/>
      <c r="AA599" s="285" t="n"/>
    </row>
    <row r="600" ht="15.75" customHeight="1" s="398">
      <c r="A600" s="284" t="n"/>
      <c r="B600" s="284" t="n"/>
      <c r="C600" s="285" t="n"/>
      <c r="D600" s="284" t="n"/>
      <c r="E600" s="285" t="n"/>
      <c r="F600" s="285" t="n"/>
      <c r="G600" s="336" t="n"/>
      <c r="H600" s="336" t="n"/>
      <c r="I600" s="285" t="n"/>
      <c r="J600" s="285" t="n"/>
      <c r="K600" s="285" t="n"/>
      <c r="L600" s="285" t="n"/>
      <c r="M600" s="285" t="n"/>
      <c r="N600" s="285" t="n"/>
      <c r="O600" s="285" t="n"/>
      <c r="P600" s="285" t="n"/>
      <c r="Q600" s="285" t="n"/>
      <c r="R600" s="285" t="n"/>
      <c r="S600" s="284" t="n"/>
      <c r="T600" s="284" t="n"/>
      <c r="U600" s="285" t="n"/>
      <c r="V600" s="285" t="n"/>
      <c r="W600" s="285" t="n"/>
      <c r="X600" s="285" t="n"/>
      <c r="Y600" s="285" t="n"/>
      <c r="Z600" s="285" t="n"/>
      <c r="AA600" s="285" t="n"/>
    </row>
    <row r="601" ht="15.75" customHeight="1" s="398">
      <c r="A601" s="284" t="n"/>
      <c r="B601" s="284" t="n"/>
      <c r="C601" s="285" t="n"/>
      <c r="D601" s="284" t="n"/>
      <c r="E601" s="285" t="n"/>
      <c r="F601" s="285" t="n"/>
      <c r="G601" s="336" t="n"/>
      <c r="H601" s="336" t="n"/>
      <c r="I601" s="285" t="n"/>
      <c r="J601" s="285" t="n"/>
      <c r="K601" s="285" t="n"/>
      <c r="L601" s="285" t="n"/>
      <c r="M601" s="285" t="n"/>
      <c r="N601" s="285" t="n"/>
      <c r="O601" s="285" t="n"/>
      <c r="P601" s="285" t="n"/>
      <c r="Q601" s="285" t="n"/>
      <c r="R601" s="285" t="n"/>
      <c r="S601" s="284" t="n"/>
      <c r="T601" s="284" t="n"/>
      <c r="U601" s="285" t="n"/>
      <c r="V601" s="285" t="n"/>
      <c r="W601" s="285" t="n"/>
      <c r="X601" s="285" t="n"/>
      <c r="Y601" s="285" t="n"/>
      <c r="Z601" s="285" t="n"/>
      <c r="AA601" s="285" t="n"/>
    </row>
    <row r="602" ht="15.75" customHeight="1" s="398">
      <c r="A602" s="284" t="n"/>
      <c r="B602" s="284" t="n"/>
      <c r="C602" s="285" t="n"/>
      <c r="D602" s="284" t="n"/>
      <c r="E602" s="285" t="n"/>
      <c r="F602" s="285" t="n"/>
      <c r="G602" s="336" t="n"/>
      <c r="H602" s="336" t="n"/>
      <c r="I602" s="285" t="n"/>
      <c r="J602" s="285" t="n"/>
      <c r="K602" s="285" t="n"/>
      <c r="L602" s="285" t="n"/>
      <c r="M602" s="285" t="n"/>
      <c r="N602" s="285" t="n"/>
      <c r="O602" s="285" t="n"/>
      <c r="P602" s="285" t="n"/>
      <c r="Q602" s="285" t="n"/>
      <c r="R602" s="285" t="n"/>
      <c r="S602" s="284" t="n"/>
      <c r="T602" s="284" t="n"/>
      <c r="U602" s="285" t="n"/>
      <c r="V602" s="285" t="n"/>
      <c r="W602" s="285" t="n"/>
      <c r="X602" s="285" t="n"/>
      <c r="Y602" s="285" t="n"/>
      <c r="Z602" s="285" t="n"/>
      <c r="AA602" s="285" t="n"/>
    </row>
    <row r="603" ht="15.75" customHeight="1" s="398">
      <c r="A603" s="284" t="n"/>
      <c r="B603" s="284" t="n"/>
      <c r="C603" s="285" t="n"/>
      <c r="D603" s="284" t="n"/>
      <c r="E603" s="285" t="n"/>
      <c r="F603" s="285" t="n"/>
      <c r="G603" s="336" t="n"/>
      <c r="H603" s="336" t="n"/>
      <c r="I603" s="285" t="n"/>
      <c r="J603" s="285" t="n"/>
      <c r="K603" s="285" t="n"/>
      <c r="L603" s="285" t="n"/>
      <c r="M603" s="285" t="n"/>
      <c r="N603" s="285" t="n"/>
      <c r="O603" s="285" t="n"/>
      <c r="P603" s="285" t="n"/>
      <c r="Q603" s="285" t="n"/>
      <c r="R603" s="285" t="n"/>
      <c r="S603" s="284" t="n"/>
      <c r="T603" s="284" t="n"/>
      <c r="U603" s="285" t="n"/>
      <c r="V603" s="285" t="n"/>
      <c r="W603" s="285" t="n"/>
      <c r="X603" s="285" t="n"/>
      <c r="Y603" s="285" t="n"/>
      <c r="Z603" s="285" t="n"/>
      <c r="AA603" s="285" t="n"/>
    </row>
    <row r="604" ht="15.75" customHeight="1" s="398">
      <c r="A604" s="284" t="n"/>
      <c r="B604" s="284" t="n"/>
      <c r="C604" s="285" t="n"/>
      <c r="D604" s="284" t="n"/>
      <c r="E604" s="285" t="n"/>
      <c r="F604" s="285" t="n"/>
      <c r="G604" s="336" t="n"/>
      <c r="H604" s="336" t="n"/>
      <c r="I604" s="285" t="n"/>
      <c r="J604" s="285" t="n"/>
      <c r="K604" s="285" t="n"/>
      <c r="L604" s="285" t="n"/>
      <c r="M604" s="285" t="n"/>
      <c r="N604" s="285" t="n"/>
      <c r="O604" s="285" t="n"/>
      <c r="P604" s="285" t="n"/>
      <c r="Q604" s="285" t="n"/>
      <c r="R604" s="285" t="n"/>
      <c r="S604" s="284" t="n"/>
      <c r="T604" s="284" t="n"/>
      <c r="U604" s="285" t="n"/>
      <c r="V604" s="285" t="n"/>
      <c r="W604" s="285" t="n"/>
      <c r="X604" s="285" t="n"/>
      <c r="Y604" s="285" t="n"/>
      <c r="Z604" s="285" t="n"/>
      <c r="AA604" s="285" t="n"/>
    </row>
    <row r="605" ht="15.75" customHeight="1" s="398">
      <c r="A605" s="284" t="n"/>
      <c r="B605" s="284" t="n"/>
      <c r="C605" s="285" t="n"/>
      <c r="D605" s="284" t="n"/>
      <c r="E605" s="285" t="n"/>
      <c r="F605" s="285" t="n"/>
      <c r="G605" s="336" t="n"/>
      <c r="H605" s="336" t="n"/>
      <c r="I605" s="285" t="n"/>
      <c r="J605" s="285" t="n"/>
      <c r="K605" s="285" t="n"/>
      <c r="L605" s="285" t="n"/>
      <c r="M605" s="285" t="n"/>
      <c r="N605" s="285" t="n"/>
      <c r="O605" s="285" t="n"/>
      <c r="P605" s="285" t="n"/>
      <c r="Q605" s="285" t="n"/>
      <c r="R605" s="285" t="n"/>
      <c r="S605" s="284" t="n"/>
      <c r="T605" s="284" t="n"/>
      <c r="U605" s="285" t="n"/>
      <c r="V605" s="285" t="n"/>
      <c r="W605" s="285" t="n"/>
      <c r="X605" s="285" t="n"/>
      <c r="Y605" s="285" t="n"/>
      <c r="Z605" s="285" t="n"/>
      <c r="AA605" s="285" t="n"/>
    </row>
    <row r="606" ht="15.75" customHeight="1" s="398">
      <c r="A606" s="284" t="n"/>
      <c r="B606" s="284" t="n"/>
      <c r="C606" s="285" t="n"/>
      <c r="D606" s="284" t="n"/>
      <c r="E606" s="285" t="n"/>
      <c r="F606" s="285" t="n"/>
      <c r="G606" s="336" t="n"/>
      <c r="H606" s="336" t="n"/>
      <c r="I606" s="285" t="n"/>
      <c r="J606" s="285" t="n"/>
      <c r="K606" s="285" t="n"/>
      <c r="L606" s="285" t="n"/>
      <c r="M606" s="285" t="n"/>
      <c r="N606" s="285" t="n"/>
      <c r="O606" s="285" t="n"/>
      <c r="P606" s="285" t="n"/>
      <c r="Q606" s="285" t="n"/>
      <c r="R606" s="285" t="n"/>
      <c r="S606" s="284" t="n"/>
      <c r="T606" s="284" t="n"/>
      <c r="U606" s="285" t="n"/>
      <c r="V606" s="285" t="n"/>
      <c r="W606" s="285" t="n"/>
      <c r="X606" s="285" t="n"/>
      <c r="Y606" s="285" t="n"/>
      <c r="Z606" s="285" t="n"/>
      <c r="AA606" s="285" t="n"/>
    </row>
    <row r="607" ht="15.75" customHeight="1" s="398">
      <c r="A607" s="284" t="n"/>
      <c r="B607" s="284" t="n"/>
      <c r="C607" s="285" t="n"/>
      <c r="D607" s="284" t="n"/>
      <c r="E607" s="285" t="n"/>
      <c r="F607" s="285" t="n"/>
      <c r="G607" s="336" t="n"/>
      <c r="H607" s="336" t="n"/>
      <c r="I607" s="285" t="n"/>
      <c r="J607" s="285" t="n"/>
      <c r="K607" s="285" t="n"/>
      <c r="L607" s="285" t="n"/>
      <c r="M607" s="285" t="n"/>
      <c r="N607" s="285" t="n"/>
      <c r="O607" s="285" t="n"/>
      <c r="P607" s="285" t="n"/>
      <c r="Q607" s="285" t="n"/>
      <c r="R607" s="285" t="n"/>
      <c r="S607" s="284" t="n"/>
      <c r="T607" s="284" t="n"/>
      <c r="U607" s="285" t="n"/>
      <c r="V607" s="285" t="n"/>
      <c r="W607" s="285" t="n"/>
      <c r="X607" s="285" t="n"/>
      <c r="Y607" s="285" t="n"/>
      <c r="Z607" s="285" t="n"/>
      <c r="AA607" s="285" t="n"/>
    </row>
    <row r="608" ht="15.75" customHeight="1" s="398">
      <c r="A608" s="284" t="n"/>
      <c r="B608" s="284" t="n"/>
      <c r="C608" s="285" t="n"/>
      <c r="D608" s="284" t="n"/>
      <c r="E608" s="285" t="n"/>
      <c r="F608" s="285" t="n"/>
      <c r="G608" s="336" t="n"/>
      <c r="H608" s="336" t="n"/>
      <c r="I608" s="285" t="n"/>
      <c r="J608" s="285" t="n"/>
      <c r="K608" s="285" t="n"/>
      <c r="L608" s="285" t="n"/>
      <c r="M608" s="285" t="n"/>
      <c r="N608" s="285" t="n"/>
      <c r="O608" s="285" t="n"/>
      <c r="P608" s="285" t="n"/>
      <c r="Q608" s="285" t="n"/>
      <c r="R608" s="285" t="n"/>
      <c r="S608" s="284" t="n"/>
      <c r="T608" s="284" t="n"/>
      <c r="U608" s="285" t="n"/>
      <c r="V608" s="285" t="n"/>
      <c r="W608" s="285" t="n"/>
      <c r="X608" s="285" t="n"/>
      <c r="Y608" s="285" t="n"/>
      <c r="Z608" s="285" t="n"/>
      <c r="AA608" s="285" t="n"/>
    </row>
    <row r="609" ht="15.75" customHeight="1" s="398">
      <c r="A609" s="284" t="n"/>
      <c r="B609" s="284" t="n"/>
      <c r="C609" s="285" t="n"/>
      <c r="D609" s="284" t="n"/>
      <c r="E609" s="285" t="n"/>
      <c r="F609" s="285" t="n"/>
      <c r="G609" s="336" t="n"/>
      <c r="H609" s="336" t="n"/>
      <c r="I609" s="285" t="n"/>
      <c r="J609" s="285" t="n"/>
      <c r="K609" s="285" t="n"/>
      <c r="L609" s="285" t="n"/>
      <c r="M609" s="285" t="n"/>
      <c r="N609" s="285" t="n"/>
      <c r="O609" s="285" t="n"/>
      <c r="P609" s="285" t="n"/>
      <c r="Q609" s="285" t="n"/>
      <c r="R609" s="285" t="n"/>
      <c r="S609" s="284" t="n"/>
      <c r="T609" s="284" t="n"/>
      <c r="U609" s="285" t="n"/>
      <c r="V609" s="285" t="n"/>
      <c r="W609" s="285" t="n"/>
      <c r="X609" s="285" t="n"/>
      <c r="Y609" s="285" t="n"/>
      <c r="Z609" s="285" t="n"/>
      <c r="AA609" s="285" t="n"/>
    </row>
    <row r="610" ht="15.75" customHeight="1" s="398">
      <c r="A610" s="284" t="n"/>
      <c r="B610" s="284" t="n"/>
      <c r="C610" s="285" t="n"/>
      <c r="D610" s="284" t="n"/>
      <c r="E610" s="285" t="n"/>
      <c r="F610" s="285" t="n"/>
      <c r="G610" s="336" t="n"/>
      <c r="H610" s="336" t="n"/>
      <c r="I610" s="285" t="n"/>
      <c r="J610" s="285" t="n"/>
      <c r="K610" s="285" t="n"/>
      <c r="L610" s="285" t="n"/>
      <c r="M610" s="285" t="n"/>
      <c r="N610" s="285" t="n"/>
      <c r="O610" s="285" t="n"/>
      <c r="P610" s="285" t="n"/>
      <c r="Q610" s="285" t="n"/>
      <c r="R610" s="285" t="n"/>
      <c r="S610" s="284" t="n"/>
      <c r="T610" s="284" t="n"/>
      <c r="U610" s="285" t="n"/>
      <c r="V610" s="285" t="n"/>
      <c r="W610" s="285" t="n"/>
      <c r="X610" s="285" t="n"/>
      <c r="Y610" s="285" t="n"/>
      <c r="Z610" s="285" t="n"/>
      <c r="AA610" s="285" t="n"/>
    </row>
    <row r="611" ht="15.75" customHeight="1" s="398">
      <c r="A611" s="284" t="n"/>
      <c r="B611" s="284" t="n"/>
      <c r="C611" s="285" t="n"/>
      <c r="D611" s="284" t="n"/>
      <c r="E611" s="285" t="n"/>
      <c r="F611" s="285" t="n"/>
      <c r="G611" s="336" t="n"/>
      <c r="H611" s="336" t="n"/>
      <c r="I611" s="285" t="n"/>
      <c r="J611" s="285" t="n"/>
      <c r="K611" s="285" t="n"/>
      <c r="L611" s="285" t="n"/>
      <c r="M611" s="285" t="n"/>
      <c r="N611" s="285" t="n"/>
      <c r="O611" s="285" t="n"/>
      <c r="P611" s="285" t="n"/>
      <c r="Q611" s="285" t="n"/>
      <c r="R611" s="285" t="n"/>
      <c r="S611" s="284" t="n"/>
      <c r="T611" s="284" t="n"/>
      <c r="U611" s="285" t="n"/>
      <c r="V611" s="285" t="n"/>
      <c r="W611" s="285" t="n"/>
      <c r="X611" s="285" t="n"/>
      <c r="Y611" s="285" t="n"/>
      <c r="Z611" s="285" t="n"/>
      <c r="AA611" s="285" t="n"/>
    </row>
    <row r="612" ht="15.75" customHeight="1" s="398">
      <c r="A612" s="284" t="n"/>
      <c r="B612" s="284" t="n"/>
      <c r="C612" s="285" t="n"/>
      <c r="D612" s="284" t="n"/>
      <c r="E612" s="285" t="n"/>
      <c r="F612" s="285" t="n"/>
      <c r="G612" s="336" t="n"/>
      <c r="H612" s="336" t="n"/>
      <c r="I612" s="285" t="n"/>
      <c r="J612" s="285" t="n"/>
      <c r="K612" s="285" t="n"/>
      <c r="L612" s="285" t="n"/>
      <c r="M612" s="285" t="n"/>
      <c r="N612" s="285" t="n"/>
      <c r="O612" s="285" t="n"/>
      <c r="P612" s="285" t="n"/>
      <c r="Q612" s="285" t="n"/>
      <c r="R612" s="285" t="n"/>
      <c r="S612" s="284" t="n"/>
      <c r="T612" s="284" t="n"/>
      <c r="U612" s="285" t="n"/>
      <c r="V612" s="285" t="n"/>
      <c r="W612" s="285" t="n"/>
      <c r="X612" s="285" t="n"/>
      <c r="Y612" s="285" t="n"/>
      <c r="Z612" s="285" t="n"/>
      <c r="AA612" s="285" t="n"/>
    </row>
    <row r="613" ht="15.75" customHeight="1" s="398">
      <c r="A613" s="284" t="n"/>
      <c r="B613" s="284" t="n"/>
      <c r="C613" s="285" t="n"/>
      <c r="D613" s="284" t="n"/>
      <c r="E613" s="285" t="n"/>
      <c r="F613" s="285" t="n"/>
      <c r="G613" s="336" t="n"/>
      <c r="H613" s="336" t="n"/>
      <c r="I613" s="285" t="n"/>
      <c r="J613" s="285" t="n"/>
      <c r="K613" s="285" t="n"/>
      <c r="L613" s="285" t="n"/>
      <c r="M613" s="285" t="n"/>
      <c r="N613" s="285" t="n"/>
      <c r="O613" s="285" t="n"/>
      <c r="P613" s="285" t="n"/>
      <c r="Q613" s="285" t="n"/>
      <c r="R613" s="285" t="n"/>
      <c r="S613" s="284" t="n"/>
      <c r="T613" s="284" t="n"/>
      <c r="U613" s="285" t="n"/>
      <c r="V613" s="285" t="n"/>
      <c r="W613" s="285" t="n"/>
      <c r="X613" s="285" t="n"/>
      <c r="Y613" s="285" t="n"/>
      <c r="Z613" s="285" t="n"/>
      <c r="AA613" s="285" t="n"/>
    </row>
    <row r="614" ht="15.75" customHeight="1" s="398">
      <c r="A614" s="284" t="n"/>
      <c r="B614" s="284" t="n"/>
      <c r="C614" s="285" t="n"/>
      <c r="D614" s="284" t="n"/>
      <c r="E614" s="285" t="n"/>
      <c r="F614" s="285" t="n"/>
      <c r="G614" s="336" t="n"/>
      <c r="H614" s="336" t="n"/>
      <c r="I614" s="285" t="n"/>
      <c r="J614" s="285" t="n"/>
      <c r="K614" s="285" t="n"/>
      <c r="L614" s="285" t="n"/>
      <c r="M614" s="285" t="n"/>
      <c r="N614" s="285" t="n"/>
      <c r="O614" s="285" t="n"/>
      <c r="P614" s="285" t="n"/>
      <c r="Q614" s="285" t="n"/>
      <c r="R614" s="285" t="n"/>
      <c r="S614" s="284" t="n"/>
      <c r="T614" s="284" t="n"/>
      <c r="U614" s="285" t="n"/>
      <c r="V614" s="285" t="n"/>
      <c r="W614" s="285" t="n"/>
      <c r="X614" s="285" t="n"/>
      <c r="Y614" s="285" t="n"/>
      <c r="Z614" s="285" t="n"/>
      <c r="AA614" s="285" t="n"/>
    </row>
    <row r="615" ht="15.75" customHeight="1" s="398">
      <c r="A615" s="284" t="n"/>
      <c r="B615" s="284" t="n"/>
      <c r="C615" s="285" t="n"/>
      <c r="D615" s="284" t="n"/>
      <c r="E615" s="285" t="n"/>
      <c r="F615" s="285" t="n"/>
      <c r="G615" s="336" t="n"/>
      <c r="H615" s="336" t="n"/>
      <c r="I615" s="285" t="n"/>
      <c r="J615" s="285" t="n"/>
      <c r="K615" s="285" t="n"/>
      <c r="L615" s="285" t="n"/>
      <c r="M615" s="285" t="n"/>
      <c r="N615" s="285" t="n"/>
      <c r="O615" s="285" t="n"/>
      <c r="P615" s="285" t="n"/>
      <c r="Q615" s="285" t="n"/>
      <c r="R615" s="285" t="n"/>
      <c r="S615" s="284" t="n"/>
      <c r="T615" s="284" t="n"/>
      <c r="U615" s="285" t="n"/>
      <c r="V615" s="285" t="n"/>
      <c r="W615" s="285" t="n"/>
      <c r="X615" s="285" t="n"/>
      <c r="Y615" s="285" t="n"/>
      <c r="Z615" s="285" t="n"/>
      <c r="AA615" s="285" t="n"/>
    </row>
    <row r="616" ht="15.75" customHeight="1" s="398">
      <c r="A616" s="284" t="n"/>
      <c r="B616" s="284" t="n"/>
      <c r="C616" s="285" t="n"/>
      <c r="D616" s="284" t="n"/>
      <c r="E616" s="285" t="n"/>
      <c r="F616" s="285" t="n"/>
      <c r="G616" s="336" t="n"/>
      <c r="H616" s="336" t="n"/>
      <c r="I616" s="285" t="n"/>
      <c r="J616" s="285" t="n"/>
      <c r="K616" s="285" t="n"/>
      <c r="L616" s="285" t="n"/>
      <c r="M616" s="285" t="n"/>
      <c r="N616" s="285" t="n"/>
      <c r="O616" s="285" t="n"/>
      <c r="P616" s="285" t="n"/>
      <c r="Q616" s="285" t="n"/>
      <c r="R616" s="285" t="n"/>
      <c r="S616" s="284" t="n"/>
      <c r="T616" s="284" t="n"/>
      <c r="U616" s="285" t="n"/>
      <c r="V616" s="285" t="n"/>
      <c r="W616" s="285" t="n"/>
      <c r="X616" s="285" t="n"/>
      <c r="Y616" s="285" t="n"/>
      <c r="Z616" s="285" t="n"/>
      <c r="AA616" s="285" t="n"/>
    </row>
    <row r="617" ht="15.75" customHeight="1" s="398">
      <c r="A617" s="284" t="n"/>
      <c r="B617" s="284" t="n"/>
      <c r="C617" s="285" t="n"/>
      <c r="D617" s="284" t="n"/>
      <c r="E617" s="285" t="n"/>
      <c r="F617" s="285" t="n"/>
      <c r="G617" s="336" t="n"/>
      <c r="H617" s="336" t="n"/>
      <c r="I617" s="285" t="n"/>
      <c r="J617" s="285" t="n"/>
      <c r="K617" s="285" t="n"/>
      <c r="L617" s="285" t="n"/>
      <c r="M617" s="285" t="n"/>
      <c r="N617" s="285" t="n"/>
      <c r="O617" s="285" t="n"/>
      <c r="P617" s="285" t="n"/>
      <c r="Q617" s="285" t="n"/>
      <c r="R617" s="285" t="n"/>
      <c r="S617" s="284" t="n"/>
      <c r="T617" s="284" t="n"/>
      <c r="U617" s="285" t="n"/>
      <c r="V617" s="285" t="n"/>
      <c r="W617" s="285" t="n"/>
      <c r="X617" s="285" t="n"/>
      <c r="Y617" s="285" t="n"/>
      <c r="Z617" s="285" t="n"/>
      <c r="AA617" s="285" t="n"/>
    </row>
    <row r="618" ht="15.75" customHeight="1" s="398">
      <c r="A618" s="284" t="n"/>
      <c r="B618" s="284" t="n"/>
      <c r="C618" s="285" t="n"/>
      <c r="D618" s="284" t="n"/>
      <c r="E618" s="285" t="n"/>
      <c r="F618" s="285" t="n"/>
      <c r="G618" s="336" t="n"/>
      <c r="H618" s="336" t="n"/>
      <c r="I618" s="285" t="n"/>
      <c r="J618" s="285" t="n"/>
      <c r="K618" s="285" t="n"/>
      <c r="L618" s="285" t="n"/>
      <c r="M618" s="285" t="n"/>
      <c r="N618" s="285" t="n"/>
      <c r="O618" s="285" t="n"/>
      <c r="P618" s="285" t="n"/>
      <c r="Q618" s="285" t="n"/>
      <c r="R618" s="285" t="n"/>
      <c r="S618" s="284" t="n"/>
      <c r="T618" s="284" t="n"/>
      <c r="U618" s="285" t="n"/>
      <c r="V618" s="285" t="n"/>
      <c r="W618" s="285" t="n"/>
      <c r="X618" s="285" t="n"/>
      <c r="Y618" s="285" t="n"/>
      <c r="Z618" s="285" t="n"/>
      <c r="AA618" s="285" t="n"/>
    </row>
    <row r="619" ht="15.75" customHeight="1" s="398">
      <c r="A619" s="284" t="n"/>
      <c r="B619" s="284" t="n"/>
      <c r="C619" s="285" t="n"/>
      <c r="D619" s="284" t="n"/>
      <c r="E619" s="285" t="n"/>
      <c r="F619" s="285" t="n"/>
      <c r="G619" s="336" t="n"/>
      <c r="H619" s="336" t="n"/>
      <c r="I619" s="285" t="n"/>
      <c r="J619" s="285" t="n"/>
      <c r="K619" s="285" t="n"/>
      <c r="L619" s="285" t="n"/>
      <c r="M619" s="285" t="n"/>
      <c r="N619" s="285" t="n"/>
      <c r="O619" s="285" t="n"/>
      <c r="P619" s="285" t="n"/>
      <c r="Q619" s="285" t="n"/>
      <c r="R619" s="285" t="n"/>
      <c r="S619" s="284" t="n"/>
      <c r="T619" s="284" t="n"/>
      <c r="U619" s="285" t="n"/>
      <c r="V619" s="285" t="n"/>
      <c r="W619" s="285" t="n"/>
      <c r="X619" s="285" t="n"/>
      <c r="Y619" s="285" t="n"/>
      <c r="Z619" s="285" t="n"/>
      <c r="AA619" s="285" t="n"/>
    </row>
    <row r="620" ht="15.75" customHeight="1" s="398">
      <c r="A620" s="284" t="n"/>
      <c r="B620" s="284" t="n"/>
      <c r="C620" s="285" t="n"/>
      <c r="D620" s="284" t="n"/>
      <c r="E620" s="285" t="n"/>
      <c r="F620" s="285" t="n"/>
      <c r="G620" s="336" t="n"/>
      <c r="H620" s="336" t="n"/>
      <c r="I620" s="285" t="n"/>
      <c r="J620" s="285" t="n"/>
      <c r="K620" s="285" t="n"/>
      <c r="L620" s="285" t="n"/>
      <c r="M620" s="285" t="n"/>
      <c r="N620" s="285" t="n"/>
      <c r="O620" s="285" t="n"/>
      <c r="P620" s="285" t="n"/>
      <c r="Q620" s="285" t="n"/>
      <c r="R620" s="285" t="n"/>
      <c r="S620" s="284" t="n"/>
      <c r="T620" s="284" t="n"/>
      <c r="U620" s="285" t="n"/>
      <c r="V620" s="285" t="n"/>
      <c r="W620" s="285" t="n"/>
      <c r="X620" s="285" t="n"/>
      <c r="Y620" s="285" t="n"/>
      <c r="Z620" s="285" t="n"/>
      <c r="AA620" s="285" t="n"/>
    </row>
    <row r="621" ht="15.75" customHeight="1" s="398">
      <c r="A621" s="284" t="n"/>
      <c r="B621" s="284" t="n"/>
      <c r="C621" s="285" t="n"/>
      <c r="D621" s="284" t="n"/>
      <c r="E621" s="285" t="n"/>
      <c r="F621" s="285" t="n"/>
      <c r="G621" s="336" t="n"/>
      <c r="H621" s="336" t="n"/>
      <c r="I621" s="285" t="n"/>
      <c r="J621" s="285" t="n"/>
      <c r="K621" s="285" t="n"/>
      <c r="L621" s="285" t="n"/>
      <c r="M621" s="285" t="n"/>
      <c r="N621" s="285" t="n"/>
      <c r="O621" s="285" t="n"/>
      <c r="P621" s="285" t="n"/>
      <c r="Q621" s="285" t="n"/>
      <c r="R621" s="285" t="n"/>
      <c r="S621" s="284" t="n"/>
      <c r="T621" s="284" t="n"/>
      <c r="U621" s="285" t="n"/>
      <c r="V621" s="285" t="n"/>
      <c r="W621" s="285" t="n"/>
      <c r="X621" s="285" t="n"/>
      <c r="Y621" s="285" t="n"/>
      <c r="Z621" s="285" t="n"/>
      <c r="AA621" s="285" t="n"/>
    </row>
    <row r="622" ht="15.75" customHeight="1" s="398">
      <c r="A622" s="284" t="n"/>
      <c r="B622" s="284" t="n"/>
      <c r="C622" s="285" t="n"/>
      <c r="D622" s="284" t="n"/>
      <c r="E622" s="285" t="n"/>
      <c r="F622" s="285" t="n"/>
      <c r="G622" s="336" t="n"/>
      <c r="H622" s="336" t="n"/>
      <c r="I622" s="285" t="n"/>
      <c r="J622" s="285" t="n"/>
      <c r="K622" s="285" t="n"/>
      <c r="L622" s="285" t="n"/>
      <c r="M622" s="285" t="n"/>
      <c r="N622" s="285" t="n"/>
      <c r="O622" s="285" t="n"/>
      <c r="P622" s="285" t="n"/>
      <c r="Q622" s="285" t="n"/>
      <c r="R622" s="285" t="n"/>
      <c r="S622" s="284" t="n"/>
      <c r="T622" s="284" t="n"/>
      <c r="U622" s="285" t="n"/>
      <c r="V622" s="285" t="n"/>
      <c r="W622" s="285" t="n"/>
      <c r="X622" s="285" t="n"/>
      <c r="Y622" s="285" t="n"/>
      <c r="Z622" s="285" t="n"/>
      <c r="AA622" s="285" t="n"/>
    </row>
    <row r="623" ht="15.75" customHeight="1" s="398">
      <c r="A623" s="284" t="n"/>
      <c r="B623" s="284" t="n"/>
      <c r="C623" s="285" t="n"/>
      <c r="D623" s="284" t="n"/>
      <c r="E623" s="285" t="n"/>
      <c r="F623" s="285" t="n"/>
      <c r="G623" s="336" t="n"/>
      <c r="H623" s="336" t="n"/>
      <c r="I623" s="285" t="n"/>
      <c r="J623" s="285" t="n"/>
      <c r="K623" s="285" t="n"/>
      <c r="L623" s="285" t="n"/>
      <c r="M623" s="285" t="n"/>
      <c r="N623" s="285" t="n"/>
      <c r="O623" s="285" t="n"/>
      <c r="P623" s="285" t="n"/>
      <c r="Q623" s="285" t="n"/>
      <c r="R623" s="285" t="n"/>
      <c r="S623" s="284" t="n"/>
      <c r="T623" s="284" t="n"/>
      <c r="U623" s="285" t="n"/>
      <c r="V623" s="285" t="n"/>
      <c r="W623" s="285" t="n"/>
      <c r="X623" s="285" t="n"/>
      <c r="Y623" s="285" t="n"/>
      <c r="Z623" s="285" t="n"/>
      <c r="AA623" s="285" t="n"/>
    </row>
    <row r="624" ht="15.75" customHeight="1" s="398">
      <c r="A624" s="284" t="n"/>
      <c r="B624" s="284" t="n"/>
      <c r="C624" s="285" t="n"/>
      <c r="D624" s="284" t="n"/>
      <c r="E624" s="285" t="n"/>
      <c r="F624" s="285" t="n"/>
      <c r="G624" s="336" t="n"/>
      <c r="H624" s="336" t="n"/>
      <c r="I624" s="285" t="n"/>
      <c r="J624" s="285" t="n"/>
      <c r="K624" s="285" t="n"/>
      <c r="L624" s="285" t="n"/>
      <c r="M624" s="285" t="n"/>
      <c r="N624" s="285" t="n"/>
      <c r="O624" s="285" t="n"/>
      <c r="P624" s="285" t="n"/>
      <c r="Q624" s="285" t="n"/>
      <c r="R624" s="285" t="n"/>
      <c r="S624" s="284" t="n"/>
      <c r="T624" s="284" t="n"/>
      <c r="U624" s="285" t="n"/>
      <c r="V624" s="285" t="n"/>
      <c r="W624" s="285" t="n"/>
      <c r="X624" s="285" t="n"/>
      <c r="Y624" s="285" t="n"/>
      <c r="Z624" s="285" t="n"/>
      <c r="AA624" s="285" t="n"/>
    </row>
    <row r="625" ht="15.75" customHeight="1" s="398">
      <c r="A625" s="284" t="n"/>
      <c r="B625" s="284" t="n"/>
      <c r="C625" s="285" t="n"/>
      <c r="D625" s="284" t="n"/>
      <c r="E625" s="285" t="n"/>
      <c r="F625" s="285" t="n"/>
      <c r="G625" s="336" t="n"/>
      <c r="H625" s="336" t="n"/>
      <c r="I625" s="285" t="n"/>
      <c r="J625" s="285" t="n"/>
      <c r="K625" s="285" t="n"/>
      <c r="L625" s="285" t="n"/>
      <c r="M625" s="285" t="n"/>
      <c r="N625" s="285" t="n"/>
      <c r="O625" s="285" t="n"/>
      <c r="P625" s="285" t="n"/>
      <c r="Q625" s="285" t="n"/>
      <c r="R625" s="285" t="n"/>
      <c r="S625" s="284" t="n"/>
      <c r="T625" s="284" t="n"/>
      <c r="U625" s="285" t="n"/>
      <c r="V625" s="285" t="n"/>
      <c r="W625" s="285" t="n"/>
      <c r="X625" s="285" t="n"/>
      <c r="Y625" s="285" t="n"/>
      <c r="Z625" s="285" t="n"/>
      <c r="AA625" s="285" t="n"/>
    </row>
    <row r="626" ht="15.75" customHeight="1" s="398">
      <c r="A626" s="284" t="n"/>
      <c r="B626" s="284" t="n"/>
      <c r="C626" s="285" t="n"/>
      <c r="D626" s="284" t="n"/>
      <c r="E626" s="285" t="n"/>
      <c r="F626" s="285" t="n"/>
      <c r="G626" s="336" t="n"/>
      <c r="H626" s="336" t="n"/>
      <c r="I626" s="285" t="n"/>
      <c r="J626" s="285" t="n"/>
      <c r="K626" s="285" t="n"/>
      <c r="L626" s="285" t="n"/>
      <c r="M626" s="285" t="n"/>
      <c r="N626" s="285" t="n"/>
      <c r="O626" s="285" t="n"/>
      <c r="P626" s="285" t="n"/>
      <c r="Q626" s="285" t="n"/>
      <c r="R626" s="285" t="n"/>
      <c r="S626" s="284" t="n"/>
      <c r="T626" s="284" t="n"/>
      <c r="U626" s="285" t="n"/>
      <c r="V626" s="285" t="n"/>
      <c r="W626" s="285" t="n"/>
      <c r="X626" s="285" t="n"/>
      <c r="Y626" s="285" t="n"/>
      <c r="Z626" s="285" t="n"/>
      <c r="AA626" s="285" t="n"/>
    </row>
    <row r="627" ht="15.75" customHeight="1" s="398">
      <c r="A627" s="284" t="n"/>
      <c r="B627" s="284" t="n"/>
      <c r="C627" s="285" t="n"/>
      <c r="D627" s="284" t="n"/>
      <c r="E627" s="285" t="n"/>
      <c r="F627" s="285" t="n"/>
      <c r="G627" s="336" t="n"/>
      <c r="H627" s="336" t="n"/>
      <c r="I627" s="285" t="n"/>
      <c r="J627" s="285" t="n"/>
      <c r="K627" s="285" t="n"/>
      <c r="L627" s="285" t="n"/>
      <c r="M627" s="285" t="n"/>
      <c r="N627" s="285" t="n"/>
      <c r="O627" s="285" t="n"/>
      <c r="P627" s="285" t="n"/>
      <c r="Q627" s="285" t="n"/>
      <c r="R627" s="285" t="n"/>
      <c r="S627" s="284" t="n"/>
      <c r="T627" s="284" t="n"/>
      <c r="U627" s="285" t="n"/>
      <c r="V627" s="285" t="n"/>
      <c r="W627" s="285" t="n"/>
      <c r="X627" s="285" t="n"/>
      <c r="Y627" s="285" t="n"/>
      <c r="Z627" s="285" t="n"/>
      <c r="AA627" s="285" t="n"/>
    </row>
    <row r="628" ht="15.75" customHeight="1" s="398">
      <c r="A628" s="284" t="n"/>
      <c r="B628" s="284" t="n"/>
      <c r="C628" s="285" t="n"/>
      <c r="D628" s="284" t="n"/>
      <c r="E628" s="285" t="n"/>
      <c r="F628" s="285" t="n"/>
      <c r="G628" s="336" t="n"/>
      <c r="H628" s="336" t="n"/>
      <c r="I628" s="285" t="n"/>
      <c r="J628" s="285" t="n"/>
      <c r="K628" s="285" t="n"/>
      <c r="L628" s="285" t="n"/>
      <c r="M628" s="285" t="n"/>
      <c r="N628" s="285" t="n"/>
      <c r="O628" s="285" t="n"/>
      <c r="P628" s="285" t="n"/>
      <c r="Q628" s="285" t="n"/>
      <c r="R628" s="285" t="n"/>
      <c r="S628" s="284" t="n"/>
      <c r="T628" s="284" t="n"/>
      <c r="U628" s="285" t="n"/>
      <c r="V628" s="285" t="n"/>
      <c r="W628" s="285" t="n"/>
      <c r="X628" s="285" t="n"/>
      <c r="Y628" s="285" t="n"/>
      <c r="Z628" s="285" t="n"/>
      <c r="AA628" s="285" t="n"/>
    </row>
    <row r="629" ht="15.75" customHeight="1" s="398">
      <c r="A629" s="284" t="n"/>
      <c r="B629" s="284" t="n"/>
      <c r="C629" s="285" t="n"/>
      <c r="D629" s="284" t="n"/>
      <c r="E629" s="285" t="n"/>
      <c r="F629" s="285" t="n"/>
      <c r="G629" s="336" t="n"/>
      <c r="H629" s="336" t="n"/>
      <c r="I629" s="285" t="n"/>
      <c r="J629" s="285" t="n"/>
      <c r="K629" s="285" t="n"/>
      <c r="L629" s="285" t="n"/>
      <c r="M629" s="285" t="n"/>
      <c r="N629" s="285" t="n"/>
      <c r="O629" s="285" t="n"/>
      <c r="P629" s="285" t="n"/>
      <c r="Q629" s="285" t="n"/>
      <c r="R629" s="285" t="n"/>
      <c r="S629" s="284" t="n"/>
      <c r="T629" s="284" t="n"/>
      <c r="U629" s="285" t="n"/>
      <c r="V629" s="285" t="n"/>
      <c r="W629" s="285" t="n"/>
      <c r="X629" s="285" t="n"/>
      <c r="Y629" s="285" t="n"/>
      <c r="Z629" s="285" t="n"/>
      <c r="AA629" s="285" t="n"/>
    </row>
    <row r="630" ht="15.75" customHeight="1" s="398">
      <c r="A630" s="284" t="n"/>
      <c r="B630" s="284" t="n"/>
      <c r="C630" s="285" t="n"/>
      <c r="D630" s="284" t="n"/>
      <c r="E630" s="285" t="n"/>
      <c r="F630" s="285" t="n"/>
      <c r="G630" s="336" t="n"/>
      <c r="H630" s="336" t="n"/>
      <c r="I630" s="285" t="n"/>
      <c r="J630" s="285" t="n"/>
      <c r="K630" s="285" t="n"/>
      <c r="L630" s="285" t="n"/>
      <c r="M630" s="285" t="n"/>
      <c r="N630" s="285" t="n"/>
      <c r="O630" s="285" t="n"/>
      <c r="P630" s="285" t="n"/>
      <c r="Q630" s="285" t="n"/>
      <c r="R630" s="285" t="n"/>
      <c r="S630" s="284" t="n"/>
      <c r="T630" s="284" t="n"/>
      <c r="U630" s="285" t="n"/>
      <c r="V630" s="285" t="n"/>
      <c r="W630" s="285" t="n"/>
      <c r="X630" s="285" t="n"/>
      <c r="Y630" s="285" t="n"/>
      <c r="Z630" s="285" t="n"/>
      <c r="AA630" s="285" t="n"/>
    </row>
    <row r="631" ht="15.75" customHeight="1" s="398">
      <c r="A631" s="284" t="n"/>
      <c r="B631" s="284" t="n"/>
      <c r="C631" s="285" t="n"/>
      <c r="D631" s="284" t="n"/>
      <c r="E631" s="285" t="n"/>
      <c r="F631" s="285" t="n"/>
      <c r="G631" s="336" t="n"/>
      <c r="H631" s="336" t="n"/>
      <c r="I631" s="285" t="n"/>
      <c r="J631" s="285" t="n"/>
      <c r="K631" s="285" t="n"/>
      <c r="L631" s="285" t="n"/>
      <c r="M631" s="285" t="n"/>
      <c r="N631" s="285" t="n"/>
      <c r="O631" s="285" t="n"/>
      <c r="P631" s="285" t="n"/>
      <c r="Q631" s="285" t="n"/>
      <c r="R631" s="285" t="n"/>
      <c r="S631" s="284" t="n"/>
      <c r="T631" s="284" t="n"/>
      <c r="U631" s="285" t="n"/>
      <c r="V631" s="285" t="n"/>
      <c r="W631" s="285" t="n"/>
      <c r="X631" s="285" t="n"/>
      <c r="Y631" s="285" t="n"/>
      <c r="Z631" s="285" t="n"/>
      <c r="AA631" s="285" t="n"/>
    </row>
    <row r="632" ht="15.75" customHeight="1" s="398">
      <c r="A632" s="284" t="n"/>
      <c r="B632" s="284" t="n"/>
      <c r="C632" s="285" t="n"/>
      <c r="D632" s="284" t="n"/>
      <c r="E632" s="285" t="n"/>
      <c r="F632" s="285" t="n"/>
      <c r="G632" s="336" t="n"/>
      <c r="H632" s="336" t="n"/>
      <c r="I632" s="285" t="n"/>
      <c r="J632" s="285" t="n"/>
      <c r="K632" s="285" t="n"/>
      <c r="L632" s="285" t="n"/>
      <c r="M632" s="285" t="n"/>
      <c r="N632" s="285" t="n"/>
      <c r="O632" s="285" t="n"/>
      <c r="P632" s="285" t="n"/>
      <c r="Q632" s="285" t="n"/>
      <c r="R632" s="285" t="n"/>
      <c r="S632" s="284" t="n"/>
      <c r="T632" s="284" t="n"/>
      <c r="U632" s="285" t="n"/>
      <c r="V632" s="285" t="n"/>
      <c r="W632" s="285" t="n"/>
      <c r="X632" s="285" t="n"/>
      <c r="Y632" s="285" t="n"/>
      <c r="Z632" s="285" t="n"/>
      <c r="AA632" s="285" t="n"/>
    </row>
    <row r="633" ht="15.75" customHeight="1" s="398">
      <c r="A633" s="284" t="n"/>
      <c r="B633" s="284" t="n"/>
      <c r="C633" s="285" t="n"/>
      <c r="D633" s="284" t="n"/>
      <c r="E633" s="285" t="n"/>
      <c r="F633" s="285" t="n"/>
      <c r="G633" s="336" t="n"/>
      <c r="H633" s="336" t="n"/>
      <c r="I633" s="285" t="n"/>
      <c r="J633" s="285" t="n"/>
      <c r="K633" s="285" t="n"/>
      <c r="L633" s="285" t="n"/>
      <c r="M633" s="285" t="n"/>
      <c r="N633" s="285" t="n"/>
      <c r="O633" s="285" t="n"/>
      <c r="P633" s="285" t="n"/>
      <c r="Q633" s="285" t="n"/>
      <c r="R633" s="285" t="n"/>
      <c r="S633" s="284" t="n"/>
      <c r="T633" s="284" t="n"/>
      <c r="U633" s="285" t="n"/>
      <c r="V633" s="285" t="n"/>
      <c r="W633" s="285" t="n"/>
      <c r="X633" s="285" t="n"/>
      <c r="Y633" s="285" t="n"/>
      <c r="Z633" s="285" t="n"/>
      <c r="AA633" s="285" t="n"/>
    </row>
    <row r="634" ht="15.75" customHeight="1" s="398">
      <c r="A634" s="284" t="n"/>
      <c r="B634" s="284" t="n"/>
      <c r="C634" s="285" t="n"/>
      <c r="D634" s="284" t="n"/>
      <c r="E634" s="285" t="n"/>
      <c r="F634" s="285" t="n"/>
      <c r="G634" s="336" t="n"/>
      <c r="H634" s="336" t="n"/>
      <c r="I634" s="285" t="n"/>
      <c r="J634" s="285" t="n"/>
      <c r="K634" s="285" t="n"/>
      <c r="L634" s="285" t="n"/>
      <c r="M634" s="285" t="n"/>
      <c r="N634" s="285" t="n"/>
      <c r="O634" s="285" t="n"/>
      <c r="P634" s="285" t="n"/>
      <c r="Q634" s="285" t="n"/>
      <c r="R634" s="285" t="n"/>
      <c r="S634" s="284" t="n"/>
      <c r="T634" s="284" t="n"/>
      <c r="U634" s="285" t="n"/>
      <c r="V634" s="285" t="n"/>
      <c r="W634" s="285" t="n"/>
      <c r="X634" s="285" t="n"/>
      <c r="Y634" s="285" t="n"/>
      <c r="Z634" s="285" t="n"/>
      <c r="AA634" s="285" t="n"/>
    </row>
    <row r="635" ht="15.75" customHeight="1" s="398">
      <c r="A635" s="284" t="n"/>
      <c r="B635" s="284" t="n"/>
      <c r="C635" s="285" t="n"/>
      <c r="D635" s="284" t="n"/>
      <c r="E635" s="285" t="n"/>
      <c r="F635" s="285" t="n"/>
      <c r="G635" s="336" t="n"/>
      <c r="H635" s="336" t="n"/>
      <c r="I635" s="285" t="n"/>
      <c r="J635" s="285" t="n"/>
      <c r="K635" s="285" t="n"/>
      <c r="L635" s="285" t="n"/>
      <c r="M635" s="285" t="n"/>
      <c r="N635" s="285" t="n"/>
      <c r="O635" s="285" t="n"/>
      <c r="P635" s="285" t="n"/>
      <c r="Q635" s="285" t="n"/>
      <c r="R635" s="285" t="n"/>
      <c r="S635" s="284" t="n"/>
      <c r="T635" s="284" t="n"/>
      <c r="U635" s="285" t="n"/>
      <c r="V635" s="285" t="n"/>
      <c r="W635" s="285" t="n"/>
      <c r="X635" s="285" t="n"/>
      <c r="Y635" s="285" t="n"/>
      <c r="Z635" s="285" t="n"/>
      <c r="AA635" s="285" t="n"/>
    </row>
    <row r="636" ht="15.75" customHeight="1" s="398">
      <c r="A636" s="284" t="n"/>
      <c r="B636" s="284" t="n"/>
      <c r="C636" s="285" t="n"/>
      <c r="D636" s="284" t="n"/>
      <c r="E636" s="285" t="n"/>
      <c r="F636" s="285" t="n"/>
      <c r="G636" s="336" t="n"/>
      <c r="H636" s="336" t="n"/>
      <c r="I636" s="285" t="n"/>
      <c r="J636" s="285" t="n"/>
      <c r="K636" s="285" t="n"/>
      <c r="L636" s="285" t="n"/>
      <c r="M636" s="285" t="n"/>
      <c r="N636" s="285" t="n"/>
      <c r="O636" s="285" t="n"/>
      <c r="P636" s="285" t="n"/>
      <c r="Q636" s="285" t="n"/>
      <c r="R636" s="285" t="n"/>
      <c r="S636" s="284" t="n"/>
      <c r="T636" s="284" t="n"/>
      <c r="U636" s="285" t="n"/>
      <c r="V636" s="285" t="n"/>
      <c r="W636" s="285" t="n"/>
      <c r="X636" s="285" t="n"/>
      <c r="Y636" s="285" t="n"/>
      <c r="Z636" s="285" t="n"/>
      <c r="AA636" s="285" t="n"/>
    </row>
    <row r="637" ht="15.75" customHeight="1" s="398">
      <c r="A637" s="284" t="n"/>
      <c r="B637" s="284" t="n"/>
      <c r="C637" s="285" t="n"/>
      <c r="D637" s="284" t="n"/>
      <c r="E637" s="285" t="n"/>
      <c r="F637" s="285" t="n"/>
      <c r="G637" s="336" t="n"/>
      <c r="H637" s="336" t="n"/>
      <c r="I637" s="285" t="n"/>
      <c r="J637" s="285" t="n"/>
      <c r="K637" s="285" t="n"/>
      <c r="L637" s="285" t="n"/>
      <c r="M637" s="285" t="n"/>
      <c r="N637" s="285" t="n"/>
      <c r="O637" s="285" t="n"/>
      <c r="P637" s="285" t="n"/>
      <c r="Q637" s="285" t="n"/>
      <c r="R637" s="285" t="n"/>
      <c r="S637" s="284" t="n"/>
      <c r="T637" s="284" t="n"/>
      <c r="U637" s="285" t="n"/>
      <c r="V637" s="285" t="n"/>
      <c r="W637" s="285" t="n"/>
      <c r="X637" s="285" t="n"/>
      <c r="Y637" s="285" t="n"/>
      <c r="Z637" s="285" t="n"/>
      <c r="AA637" s="285" t="n"/>
    </row>
    <row r="638" ht="15.75" customHeight="1" s="398">
      <c r="A638" s="284" t="n"/>
      <c r="B638" s="284" t="n"/>
      <c r="C638" s="285" t="n"/>
      <c r="D638" s="284" t="n"/>
      <c r="E638" s="285" t="n"/>
      <c r="F638" s="285" t="n"/>
      <c r="G638" s="336" t="n"/>
      <c r="H638" s="336" t="n"/>
      <c r="I638" s="285" t="n"/>
      <c r="J638" s="285" t="n"/>
      <c r="K638" s="285" t="n"/>
      <c r="L638" s="285" t="n"/>
      <c r="M638" s="285" t="n"/>
      <c r="N638" s="285" t="n"/>
      <c r="O638" s="285" t="n"/>
      <c r="P638" s="285" t="n"/>
      <c r="Q638" s="285" t="n"/>
      <c r="R638" s="285" t="n"/>
      <c r="S638" s="284" t="n"/>
      <c r="T638" s="284" t="n"/>
      <c r="U638" s="285" t="n"/>
      <c r="V638" s="285" t="n"/>
      <c r="W638" s="285" t="n"/>
      <c r="X638" s="285" t="n"/>
      <c r="Y638" s="285" t="n"/>
      <c r="Z638" s="285" t="n"/>
      <c r="AA638" s="285" t="n"/>
    </row>
    <row r="639" ht="15.75" customHeight="1" s="398">
      <c r="A639" s="284" t="n"/>
      <c r="B639" s="284" t="n"/>
      <c r="C639" s="285" t="n"/>
      <c r="D639" s="284" t="n"/>
      <c r="E639" s="285" t="n"/>
      <c r="F639" s="285" t="n"/>
      <c r="G639" s="336" t="n"/>
      <c r="H639" s="336" t="n"/>
      <c r="I639" s="285" t="n"/>
      <c r="J639" s="285" t="n"/>
      <c r="K639" s="285" t="n"/>
      <c r="L639" s="285" t="n"/>
      <c r="M639" s="285" t="n"/>
      <c r="N639" s="285" t="n"/>
      <c r="O639" s="285" t="n"/>
      <c r="P639" s="285" t="n"/>
      <c r="Q639" s="285" t="n"/>
      <c r="R639" s="285" t="n"/>
      <c r="S639" s="284" t="n"/>
      <c r="T639" s="284" t="n"/>
      <c r="U639" s="285" t="n"/>
      <c r="V639" s="285" t="n"/>
      <c r="W639" s="285" t="n"/>
      <c r="X639" s="285" t="n"/>
      <c r="Y639" s="285" t="n"/>
      <c r="Z639" s="285" t="n"/>
      <c r="AA639" s="285" t="n"/>
    </row>
    <row r="640" ht="15.75" customHeight="1" s="398">
      <c r="A640" s="284" t="n"/>
      <c r="B640" s="284" t="n"/>
      <c r="C640" s="285" t="n"/>
      <c r="D640" s="284" t="n"/>
      <c r="E640" s="285" t="n"/>
      <c r="F640" s="285" t="n"/>
      <c r="G640" s="336" t="n"/>
      <c r="H640" s="336" t="n"/>
      <c r="I640" s="285" t="n"/>
      <c r="J640" s="285" t="n"/>
      <c r="K640" s="285" t="n"/>
      <c r="L640" s="285" t="n"/>
      <c r="M640" s="285" t="n"/>
      <c r="N640" s="285" t="n"/>
      <c r="O640" s="285" t="n"/>
      <c r="P640" s="285" t="n"/>
      <c r="Q640" s="285" t="n"/>
      <c r="R640" s="285" t="n"/>
      <c r="S640" s="284" t="n"/>
      <c r="T640" s="284" t="n"/>
      <c r="U640" s="285" t="n"/>
      <c r="V640" s="285" t="n"/>
      <c r="W640" s="285" t="n"/>
      <c r="X640" s="285" t="n"/>
      <c r="Y640" s="285" t="n"/>
      <c r="Z640" s="285" t="n"/>
      <c r="AA640" s="285" t="n"/>
    </row>
    <row r="641" ht="15.75" customHeight="1" s="398">
      <c r="A641" s="284" t="n"/>
      <c r="B641" s="284" t="n"/>
      <c r="C641" s="285" t="n"/>
      <c r="D641" s="284" t="n"/>
      <c r="E641" s="285" t="n"/>
      <c r="F641" s="285" t="n"/>
      <c r="G641" s="336" t="n"/>
      <c r="H641" s="336" t="n"/>
      <c r="I641" s="285" t="n"/>
      <c r="J641" s="285" t="n"/>
      <c r="K641" s="285" t="n"/>
      <c r="L641" s="285" t="n"/>
      <c r="M641" s="285" t="n"/>
      <c r="N641" s="285" t="n"/>
      <c r="O641" s="285" t="n"/>
      <c r="P641" s="285" t="n"/>
      <c r="Q641" s="285" t="n"/>
      <c r="R641" s="285" t="n"/>
      <c r="S641" s="284" t="n"/>
      <c r="T641" s="284" t="n"/>
      <c r="U641" s="285" t="n"/>
      <c r="V641" s="285" t="n"/>
      <c r="W641" s="285" t="n"/>
      <c r="X641" s="285" t="n"/>
      <c r="Y641" s="285" t="n"/>
      <c r="Z641" s="285" t="n"/>
      <c r="AA641" s="285" t="n"/>
    </row>
    <row r="642" ht="15.75" customHeight="1" s="398">
      <c r="A642" s="284" t="n"/>
      <c r="B642" s="284" t="n"/>
      <c r="C642" s="285" t="n"/>
      <c r="D642" s="284" t="n"/>
      <c r="E642" s="285" t="n"/>
      <c r="F642" s="285" t="n"/>
      <c r="G642" s="336" t="n"/>
      <c r="H642" s="336" t="n"/>
      <c r="I642" s="285" t="n"/>
      <c r="J642" s="285" t="n"/>
      <c r="K642" s="285" t="n"/>
      <c r="L642" s="285" t="n"/>
      <c r="M642" s="285" t="n"/>
      <c r="N642" s="285" t="n"/>
      <c r="O642" s="285" t="n"/>
      <c r="P642" s="285" t="n"/>
      <c r="Q642" s="285" t="n"/>
      <c r="R642" s="285" t="n"/>
      <c r="S642" s="284" t="n"/>
      <c r="T642" s="284" t="n"/>
      <c r="U642" s="285" t="n"/>
      <c r="V642" s="285" t="n"/>
      <c r="W642" s="285" t="n"/>
      <c r="X642" s="285" t="n"/>
      <c r="Y642" s="285" t="n"/>
      <c r="Z642" s="285" t="n"/>
      <c r="AA642" s="285" t="n"/>
    </row>
    <row r="643" ht="15.75" customHeight="1" s="398">
      <c r="A643" s="284" t="n"/>
      <c r="B643" s="284" t="n"/>
      <c r="C643" s="285" t="n"/>
      <c r="D643" s="284" t="n"/>
      <c r="E643" s="285" t="n"/>
      <c r="F643" s="285" t="n"/>
      <c r="G643" s="336" t="n"/>
      <c r="H643" s="336" t="n"/>
      <c r="I643" s="285" t="n"/>
      <c r="J643" s="285" t="n"/>
      <c r="K643" s="285" t="n"/>
      <c r="L643" s="285" t="n"/>
      <c r="M643" s="285" t="n"/>
      <c r="N643" s="285" t="n"/>
      <c r="O643" s="285" t="n"/>
      <c r="P643" s="285" t="n"/>
      <c r="Q643" s="285" t="n"/>
      <c r="R643" s="285" t="n"/>
      <c r="S643" s="284" t="n"/>
      <c r="T643" s="284" t="n"/>
      <c r="U643" s="285" t="n"/>
      <c r="V643" s="285" t="n"/>
      <c r="W643" s="285" t="n"/>
      <c r="X643" s="285" t="n"/>
      <c r="Y643" s="285" t="n"/>
      <c r="Z643" s="285" t="n"/>
      <c r="AA643" s="285" t="n"/>
    </row>
    <row r="644" ht="15.75" customHeight="1" s="398">
      <c r="A644" s="284" t="n"/>
      <c r="B644" s="284" t="n"/>
      <c r="C644" s="285" t="n"/>
      <c r="D644" s="284" t="n"/>
      <c r="E644" s="285" t="n"/>
      <c r="F644" s="285" t="n"/>
      <c r="G644" s="336" t="n"/>
      <c r="H644" s="336" t="n"/>
      <c r="I644" s="285" t="n"/>
      <c r="J644" s="285" t="n"/>
      <c r="K644" s="285" t="n"/>
      <c r="L644" s="285" t="n"/>
      <c r="M644" s="285" t="n"/>
      <c r="N644" s="285" t="n"/>
      <c r="O644" s="285" t="n"/>
      <c r="P644" s="285" t="n"/>
      <c r="Q644" s="285" t="n"/>
      <c r="R644" s="285" t="n"/>
      <c r="S644" s="284" t="n"/>
      <c r="T644" s="284" t="n"/>
      <c r="U644" s="285" t="n"/>
      <c r="V644" s="285" t="n"/>
      <c r="W644" s="285" t="n"/>
      <c r="X644" s="285" t="n"/>
      <c r="Y644" s="285" t="n"/>
      <c r="Z644" s="285" t="n"/>
      <c r="AA644" s="285" t="n"/>
    </row>
    <row r="645" ht="15.75" customHeight="1" s="398">
      <c r="A645" s="284" t="n"/>
      <c r="B645" s="284" t="n"/>
      <c r="C645" s="285" t="n"/>
      <c r="D645" s="284" t="n"/>
      <c r="E645" s="285" t="n"/>
      <c r="F645" s="285" t="n"/>
      <c r="G645" s="336" t="n"/>
      <c r="H645" s="336" t="n"/>
      <c r="I645" s="285" t="n"/>
      <c r="J645" s="285" t="n"/>
      <c r="K645" s="285" t="n"/>
      <c r="L645" s="285" t="n"/>
      <c r="M645" s="285" t="n"/>
      <c r="N645" s="285" t="n"/>
      <c r="O645" s="285" t="n"/>
      <c r="P645" s="285" t="n"/>
      <c r="Q645" s="285" t="n"/>
      <c r="R645" s="285" t="n"/>
      <c r="S645" s="284" t="n"/>
      <c r="T645" s="284" t="n"/>
      <c r="U645" s="285" t="n"/>
      <c r="V645" s="285" t="n"/>
      <c r="W645" s="285" t="n"/>
      <c r="X645" s="285" t="n"/>
      <c r="Y645" s="285" t="n"/>
      <c r="Z645" s="285" t="n"/>
      <c r="AA645" s="285" t="n"/>
    </row>
    <row r="646" ht="15.75" customHeight="1" s="398">
      <c r="A646" s="284" t="n"/>
      <c r="B646" s="284" t="n"/>
      <c r="C646" s="285" t="n"/>
      <c r="D646" s="284" t="n"/>
      <c r="E646" s="285" t="n"/>
      <c r="F646" s="285" t="n"/>
      <c r="G646" s="336" t="n"/>
      <c r="H646" s="336" t="n"/>
      <c r="I646" s="285" t="n"/>
      <c r="J646" s="285" t="n"/>
      <c r="K646" s="285" t="n"/>
      <c r="L646" s="285" t="n"/>
      <c r="M646" s="285" t="n"/>
      <c r="N646" s="285" t="n"/>
      <c r="O646" s="285" t="n"/>
      <c r="P646" s="285" t="n"/>
      <c r="Q646" s="285" t="n"/>
      <c r="R646" s="285" t="n"/>
      <c r="S646" s="284" t="n"/>
      <c r="T646" s="284" t="n"/>
      <c r="U646" s="285" t="n"/>
      <c r="V646" s="285" t="n"/>
      <c r="W646" s="285" t="n"/>
      <c r="X646" s="285" t="n"/>
      <c r="Y646" s="285" t="n"/>
      <c r="Z646" s="285" t="n"/>
      <c r="AA646" s="285" t="n"/>
    </row>
    <row r="647" ht="15.75" customHeight="1" s="398">
      <c r="A647" s="284" t="n"/>
      <c r="B647" s="284" t="n"/>
      <c r="C647" s="285" t="n"/>
      <c r="D647" s="284" t="n"/>
      <c r="E647" s="285" t="n"/>
      <c r="F647" s="285" t="n"/>
      <c r="G647" s="336" t="n"/>
      <c r="H647" s="336" t="n"/>
      <c r="I647" s="285" t="n"/>
      <c r="J647" s="285" t="n"/>
      <c r="K647" s="285" t="n"/>
      <c r="L647" s="285" t="n"/>
      <c r="M647" s="285" t="n"/>
      <c r="N647" s="285" t="n"/>
      <c r="O647" s="285" t="n"/>
      <c r="P647" s="285" t="n"/>
      <c r="Q647" s="285" t="n"/>
      <c r="R647" s="285" t="n"/>
      <c r="S647" s="284" t="n"/>
      <c r="T647" s="284" t="n"/>
      <c r="U647" s="285" t="n"/>
      <c r="V647" s="285" t="n"/>
      <c r="W647" s="285" t="n"/>
      <c r="X647" s="285" t="n"/>
      <c r="Y647" s="285" t="n"/>
      <c r="Z647" s="285" t="n"/>
      <c r="AA647" s="285" t="n"/>
    </row>
    <row r="648" ht="15.75" customHeight="1" s="398">
      <c r="A648" s="284" t="n"/>
      <c r="B648" s="284" t="n"/>
      <c r="C648" s="285" t="n"/>
      <c r="D648" s="284" t="n"/>
      <c r="E648" s="285" t="n"/>
      <c r="F648" s="285" t="n"/>
      <c r="G648" s="336" t="n"/>
      <c r="H648" s="336" t="n"/>
      <c r="I648" s="285" t="n"/>
      <c r="J648" s="285" t="n"/>
      <c r="K648" s="285" t="n"/>
      <c r="L648" s="285" t="n"/>
      <c r="M648" s="285" t="n"/>
      <c r="N648" s="285" t="n"/>
      <c r="O648" s="285" t="n"/>
      <c r="P648" s="285" t="n"/>
      <c r="Q648" s="285" t="n"/>
      <c r="R648" s="285" t="n"/>
      <c r="S648" s="284" t="n"/>
      <c r="T648" s="284" t="n"/>
      <c r="U648" s="285" t="n"/>
      <c r="V648" s="285" t="n"/>
      <c r="W648" s="285" t="n"/>
      <c r="X648" s="285" t="n"/>
      <c r="Y648" s="285" t="n"/>
      <c r="Z648" s="285" t="n"/>
      <c r="AA648" s="285" t="n"/>
    </row>
    <row r="649" ht="15.75" customHeight="1" s="398">
      <c r="A649" s="284" t="n"/>
      <c r="B649" s="284" t="n"/>
      <c r="C649" s="285" t="n"/>
      <c r="D649" s="284" t="n"/>
      <c r="E649" s="285" t="n"/>
      <c r="F649" s="285" t="n"/>
      <c r="G649" s="336" t="n"/>
      <c r="H649" s="336" t="n"/>
      <c r="I649" s="285" t="n"/>
      <c r="J649" s="285" t="n"/>
      <c r="K649" s="285" t="n"/>
      <c r="L649" s="285" t="n"/>
      <c r="M649" s="285" t="n"/>
      <c r="N649" s="285" t="n"/>
      <c r="O649" s="285" t="n"/>
      <c r="P649" s="285" t="n"/>
      <c r="Q649" s="285" t="n"/>
      <c r="R649" s="285" t="n"/>
      <c r="S649" s="284" t="n"/>
      <c r="T649" s="284" t="n"/>
      <c r="U649" s="285" t="n"/>
      <c r="V649" s="285" t="n"/>
      <c r="W649" s="285" t="n"/>
      <c r="X649" s="285" t="n"/>
      <c r="Y649" s="285" t="n"/>
      <c r="Z649" s="285" t="n"/>
      <c r="AA649" s="285" t="n"/>
    </row>
    <row r="650" ht="15.75" customHeight="1" s="398">
      <c r="A650" s="284" t="n"/>
      <c r="B650" s="284" t="n"/>
      <c r="C650" s="285" t="n"/>
      <c r="D650" s="284" t="n"/>
      <c r="E650" s="285" t="n"/>
      <c r="F650" s="285" t="n"/>
      <c r="G650" s="336" t="n"/>
      <c r="H650" s="336" t="n"/>
      <c r="I650" s="285" t="n"/>
      <c r="J650" s="285" t="n"/>
      <c r="K650" s="285" t="n"/>
      <c r="L650" s="285" t="n"/>
      <c r="M650" s="285" t="n"/>
      <c r="N650" s="285" t="n"/>
      <c r="O650" s="285" t="n"/>
      <c r="P650" s="285" t="n"/>
      <c r="Q650" s="285" t="n"/>
      <c r="R650" s="285" t="n"/>
      <c r="S650" s="284" t="n"/>
      <c r="T650" s="284" t="n"/>
      <c r="U650" s="285" t="n"/>
      <c r="V650" s="285" t="n"/>
      <c r="W650" s="285" t="n"/>
      <c r="X650" s="285" t="n"/>
      <c r="Y650" s="285" t="n"/>
      <c r="Z650" s="285" t="n"/>
      <c r="AA650" s="285" t="n"/>
    </row>
    <row r="651" ht="15.75" customHeight="1" s="398">
      <c r="A651" s="284" t="n"/>
      <c r="B651" s="284" t="n"/>
      <c r="C651" s="285" t="n"/>
      <c r="D651" s="284" t="n"/>
      <c r="E651" s="285" t="n"/>
      <c r="F651" s="285" t="n"/>
      <c r="G651" s="336" t="n"/>
      <c r="H651" s="336" t="n"/>
      <c r="I651" s="285" t="n"/>
      <c r="J651" s="285" t="n"/>
      <c r="K651" s="285" t="n"/>
      <c r="L651" s="285" t="n"/>
      <c r="M651" s="285" t="n"/>
      <c r="N651" s="285" t="n"/>
      <c r="O651" s="285" t="n"/>
      <c r="P651" s="285" t="n"/>
      <c r="Q651" s="285" t="n"/>
      <c r="R651" s="285" t="n"/>
      <c r="S651" s="284" t="n"/>
      <c r="T651" s="284" t="n"/>
      <c r="U651" s="285" t="n"/>
      <c r="V651" s="285" t="n"/>
      <c r="W651" s="285" t="n"/>
      <c r="X651" s="285" t="n"/>
      <c r="Y651" s="285" t="n"/>
      <c r="Z651" s="285" t="n"/>
      <c r="AA651" s="285" t="n"/>
    </row>
    <row r="652" ht="15.75" customHeight="1" s="398">
      <c r="A652" s="284" t="n"/>
      <c r="B652" s="284" t="n"/>
      <c r="C652" s="285" t="n"/>
      <c r="D652" s="284" t="n"/>
      <c r="E652" s="285" t="n"/>
      <c r="F652" s="285" t="n"/>
      <c r="G652" s="336" t="n"/>
      <c r="H652" s="336" t="n"/>
      <c r="I652" s="285" t="n"/>
      <c r="J652" s="285" t="n"/>
      <c r="K652" s="285" t="n"/>
      <c r="L652" s="285" t="n"/>
      <c r="M652" s="285" t="n"/>
      <c r="N652" s="285" t="n"/>
      <c r="O652" s="285" t="n"/>
      <c r="P652" s="285" t="n"/>
      <c r="Q652" s="285" t="n"/>
      <c r="R652" s="285" t="n"/>
      <c r="S652" s="284" t="n"/>
      <c r="T652" s="284" t="n"/>
      <c r="U652" s="285" t="n"/>
      <c r="V652" s="285" t="n"/>
      <c r="W652" s="285" t="n"/>
      <c r="X652" s="285" t="n"/>
      <c r="Y652" s="285" t="n"/>
      <c r="Z652" s="285" t="n"/>
      <c r="AA652" s="285" t="n"/>
    </row>
    <row r="653" ht="15.75" customHeight="1" s="398">
      <c r="A653" s="284" t="n"/>
      <c r="B653" s="284" t="n"/>
      <c r="C653" s="285" t="n"/>
      <c r="D653" s="284" t="n"/>
      <c r="E653" s="285" t="n"/>
      <c r="F653" s="285" t="n"/>
      <c r="G653" s="336" t="n"/>
      <c r="H653" s="336" t="n"/>
      <c r="I653" s="285" t="n"/>
      <c r="J653" s="285" t="n"/>
      <c r="K653" s="285" t="n"/>
      <c r="L653" s="285" t="n"/>
      <c r="M653" s="285" t="n"/>
      <c r="N653" s="285" t="n"/>
      <c r="O653" s="285" t="n"/>
      <c r="P653" s="285" t="n"/>
      <c r="Q653" s="285" t="n"/>
      <c r="R653" s="285" t="n"/>
      <c r="S653" s="284" t="n"/>
      <c r="T653" s="284" t="n"/>
      <c r="U653" s="285" t="n"/>
      <c r="V653" s="285" t="n"/>
      <c r="W653" s="285" t="n"/>
      <c r="X653" s="285" t="n"/>
      <c r="Y653" s="285" t="n"/>
      <c r="Z653" s="285" t="n"/>
      <c r="AA653" s="285" t="n"/>
    </row>
    <row r="654" ht="15.75" customHeight="1" s="398">
      <c r="A654" s="284" t="n"/>
      <c r="B654" s="284" t="n"/>
      <c r="C654" s="285" t="n"/>
      <c r="D654" s="284" t="n"/>
      <c r="E654" s="285" t="n"/>
      <c r="F654" s="285" t="n"/>
      <c r="G654" s="336" t="n"/>
      <c r="H654" s="336" t="n"/>
      <c r="I654" s="285" t="n"/>
      <c r="J654" s="285" t="n"/>
      <c r="K654" s="285" t="n"/>
      <c r="L654" s="285" t="n"/>
      <c r="M654" s="285" t="n"/>
      <c r="N654" s="285" t="n"/>
      <c r="O654" s="285" t="n"/>
      <c r="P654" s="285" t="n"/>
      <c r="Q654" s="285" t="n"/>
      <c r="R654" s="285" t="n"/>
      <c r="S654" s="284" t="n"/>
      <c r="T654" s="284" t="n"/>
      <c r="U654" s="285" t="n"/>
      <c r="V654" s="285" t="n"/>
      <c r="W654" s="285" t="n"/>
      <c r="X654" s="285" t="n"/>
      <c r="Y654" s="285" t="n"/>
      <c r="Z654" s="285" t="n"/>
      <c r="AA654" s="285" t="n"/>
    </row>
    <row r="655" ht="15.75" customHeight="1" s="398">
      <c r="A655" s="284" t="n"/>
      <c r="B655" s="284" t="n"/>
      <c r="C655" s="285" t="n"/>
      <c r="D655" s="284" t="n"/>
      <c r="E655" s="285" t="n"/>
      <c r="F655" s="285" t="n"/>
      <c r="G655" s="336" t="n"/>
      <c r="H655" s="336" t="n"/>
      <c r="I655" s="285" t="n"/>
      <c r="J655" s="285" t="n"/>
      <c r="K655" s="285" t="n"/>
      <c r="L655" s="285" t="n"/>
      <c r="M655" s="285" t="n"/>
      <c r="N655" s="285" t="n"/>
      <c r="O655" s="285" t="n"/>
      <c r="P655" s="285" t="n"/>
      <c r="Q655" s="285" t="n"/>
      <c r="R655" s="285" t="n"/>
      <c r="S655" s="284" t="n"/>
      <c r="T655" s="284" t="n"/>
      <c r="U655" s="285" t="n"/>
      <c r="V655" s="285" t="n"/>
      <c r="W655" s="285" t="n"/>
      <c r="X655" s="285" t="n"/>
      <c r="Y655" s="285" t="n"/>
      <c r="Z655" s="285" t="n"/>
      <c r="AA655" s="285" t="n"/>
    </row>
    <row r="656" ht="15.75" customHeight="1" s="398">
      <c r="A656" s="284" t="n"/>
      <c r="B656" s="284" t="n"/>
      <c r="C656" s="285" t="n"/>
      <c r="D656" s="284" t="n"/>
      <c r="E656" s="285" t="n"/>
      <c r="F656" s="285" t="n"/>
      <c r="G656" s="336" t="n"/>
      <c r="H656" s="336" t="n"/>
      <c r="I656" s="285" t="n"/>
      <c r="J656" s="285" t="n"/>
      <c r="K656" s="285" t="n"/>
      <c r="L656" s="285" t="n"/>
      <c r="M656" s="285" t="n"/>
      <c r="N656" s="285" t="n"/>
      <c r="O656" s="285" t="n"/>
      <c r="P656" s="285" t="n"/>
      <c r="Q656" s="285" t="n"/>
      <c r="R656" s="285" t="n"/>
      <c r="S656" s="284" t="n"/>
      <c r="T656" s="284" t="n"/>
      <c r="U656" s="285" t="n"/>
      <c r="V656" s="285" t="n"/>
      <c r="W656" s="285" t="n"/>
      <c r="X656" s="285" t="n"/>
      <c r="Y656" s="285" t="n"/>
      <c r="Z656" s="285" t="n"/>
      <c r="AA656" s="285" t="n"/>
    </row>
    <row r="657" ht="15.75" customHeight="1" s="398">
      <c r="A657" s="284" t="n"/>
      <c r="B657" s="284" t="n"/>
      <c r="C657" s="285" t="n"/>
      <c r="D657" s="284" t="n"/>
      <c r="E657" s="285" t="n"/>
      <c r="F657" s="285" t="n"/>
      <c r="G657" s="336" t="n"/>
      <c r="H657" s="336" t="n"/>
      <c r="I657" s="285" t="n"/>
      <c r="J657" s="285" t="n"/>
      <c r="K657" s="285" t="n"/>
      <c r="L657" s="285" t="n"/>
      <c r="M657" s="285" t="n"/>
      <c r="N657" s="285" t="n"/>
      <c r="O657" s="285" t="n"/>
      <c r="P657" s="285" t="n"/>
      <c r="Q657" s="285" t="n"/>
      <c r="R657" s="285" t="n"/>
      <c r="S657" s="284" t="n"/>
      <c r="T657" s="284" t="n"/>
      <c r="U657" s="285" t="n"/>
      <c r="V657" s="285" t="n"/>
      <c r="W657" s="285" t="n"/>
      <c r="X657" s="285" t="n"/>
      <c r="Y657" s="285" t="n"/>
      <c r="Z657" s="285" t="n"/>
      <c r="AA657" s="285" t="n"/>
    </row>
    <row r="658" ht="15.75" customHeight="1" s="398">
      <c r="A658" s="284" t="n"/>
      <c r="B658" s="284" t="n"/>
      <c r="C658" s="285" t="n"/>
      <c r="D658" s="284" t="n"/>
      <c r="E658" s="285" t="n"/>
      <c r="F658" s="285" t="n"/>
      <c r="G658" s="336" t="n"/>
      <c r="H658" s="336" t="n"/>
      <c r="I658" s="285" t="n"/>
      <c r="J658" s="285" t="n"/>
      <c r="K658" s="285" t="n"/>
      <c r="L658" s="285" t="n"/>
      <c r="M658" s="285" t="n"/>
      <c r="N658" s="285" t="n"/>
      <c r="O658" s="285" t="n"/>
      <c r="P658" s="285" t="n"/>
      <c r="Q658" s="285" t="n"/>
      <c r="R658" s="285" t="n"/>
      <c r="S658" s="284" t="n"/>
      <c r="T658" s="284" t="n"/>
      <c r="U658" s="285" t="n"/>
      <c r="V658" s="285" t="n"/>
      <c r="W658" s="285" t="n"/>
      <c r="X658" s="285" t="n"/>
      <c r="Y658" s="285" t="n"/>
      <c r="Z658" s="285" t="n"/>
      <c r="AA658" s="285" t="n"/>
    </row>
    <row r="659" ht="15.75" customHeight="1" s="398">
      <c r="A659" s="284" t="n"/>
      <c r="B659" s="284" t="n"/>
      <c r="C659" s="285" t="n"/>
      <c r="D659" s="284" t="n"/>
      <c r="E659" s="285" t="n"/>
      <c r="F659" s="285" t="n"/>
      <c r="G659" s="336" t="n"/>
      <c r="H659" s="336" t="n"/>
      <c r="I659" s="285" t="n"/>
      <c r="J659" s="285" t="n"/>
      <c r="K659" s="285" t="n"/>
      <c r="L659" s="285" t="n"/>
      <c r="M659" s="285" t="n"/>
      <c r="N659" s="285" t="n"/>
      <c r="O659" s="285" t="n"/>
      <c r="P659" s="285" t="n"/>
      <c r="Q659" s="285" t="n"/>
      <c r="R659" s="285" t="n"/>
      <c r="S659" s="284" t="n"/>
      <c r="T659" s="284" t="n"/>
      <c r="U659" s="285" t="n"/>
      <c r="V659" s="285" t="n"/>
      <c r="W659" s="285" t="n"/>
      <c r="X659" s="285" t="n"/>
      <c r="Y659" s="285" t="n"/>
      <c r="Z659" s="285" t="n"/>
      <c r="AA659" s="285" t="n"/>
    </row>
    <row r="660" ht="15.75" customHeight="1" s="398">
      <c r="A660" s="284" t="n"/>
      <c r="B660" s="284" t="n"/>
      <c r="C660" s="285" t="n"/>
      <c r="D660" s="284" t="n"/>
      <c r="E660" s="285" t="n"/>
      <c r="F660" s="285" t="n"/>
      <c r="G660" s="336" t="n"/>
      <c r="H660" s="336" t="n"/>
      <c r="I660" s="285" t="n"/>
      <c r="J660" s="285" t="n"/>
      <c r="K660" s="285" t="n"/>
      <c r="L660" s="285" t="n"/>
      <c r="M660" s="285" t="n"/>
      <c r="N660" s="285" t="n"/>
      <c r="O660" s="285" t="n"/>
      <c r="P660" s="285" t="n"/>
      <c r="Q660" s="285" t="n"/>
      <c r="R660" s="285" t="n"/>
      <c r="S660" s="284" t="n"/>
      <c r="T660" s="284" t="n"/>
      <c r="U660" s="285" t="n"/>
      <c r="V660" s="285" t="n"/>
      <c r="W660" s="285" t="n"/>
      <c r="X660" s="285" t="n"/>
      <c r="Y660" s="285" t="n"/>
      <c r="Z660" s="285" t="n"/>
      <c r="AA660" s="285" t="n"/>
    </row>
    <row r="661" ht="15.75" customHeight="1" s="398">
      <c r="A661" s="284" t="n"/>
      <c r="B661" s="284" t="n"/>
      <c r="C661" s="285" t="n"/>
      <c r="D661" s="284" t="n"/>
      <c r="E661" s="285" t="n"/>
      <c r="F661" s="285" t="n"/>
      <c r="G661" s="336" t="n"/>
      <c r="H661" s="336" t="n"/>
      <c r="I661" s="285" t="n"/>
      <c r="J661" s="285" t="n"/>
      <c r="K661" s="285" t="n"/>
      <c r="L661" s="285" t="n"/>
      <c r="M661" s="285" t="n"/>
      <c r="N661" s="285" t="n"/>
      <c r="O661" s="285" t="n"/>
      <c r="P661" s="285" t="n"/>
      <c r="Q661" s="285" t="n"/>
      <c r="R661" s="285" t="n"/>
      <c r="S661" s="284" t="n"/>
      <c r="T661" s="284" t="n"/>
      <c r="U661" s="285" t="n"/>
      <c r="V661" s="285" t="n"/>
      <c r="W661" s="285" t="n"/>
      <c r="X661" s="285" t="n"/>
      <c r="Y661" s="285" t="n"/>
      <c r="Z661" s="285" t="n"/>
      <c r="AA661" s="285" t="n"/>
    </row>
    <row r="662" ht="15.75" customHeight="1" s="398">
      <c r="A662" s="284" t="n"/>
      <c r="B662" s="284" t="n"/>
      <c r="C662" s="285" t="n"/>
      <c r="D662" s="284" t="n"/>
      <c r="E662" s="285" t="n"/>
      <c r="F662" s="285" t="n"/>
      <c r="G662" s="336" t="n"/>
      <c r="H662" s="336" t="n"/>
      <c r="I662" s="285" t="n"/>
      <c r="J662" s="285" t="n"/>
      <c r="K662" s="285" t="n"/>
      <c r="L662" s="285" t="n"/>
      <c r="M662" s="285" t="n"/>
      <c r="N662" s="285" t="n"/>
      <c r="O662" s="285" t="n"/>
      <c r="P662" s="285" t="n"/>
      <c r="Q662" s="285" t="n"/>
      <c r="R662" s="285" t="n"/>
      <c r="S662" s="284" t="n"/>
      <c r="T662" s="284" t="n"/>
      <c r="U662" s="285" t="n"/>
      <c r="V662" s="285" t="n"/>
      <c r="W662" s="285" t="n"/>
      <c r="X662" s="285" t="n"/>
      <c r="Y662" s="285" t="n"/>
      <c r="Z662" s="285" t="n"/>
      <c r="AA662" s="285" t="n"/>
    </row>
    <row r="663" ht="15.75" customHeight="1" s="398">
      <c r="A663" s="284" t="n"/>
      <c r="B663" s="284" t="n"/>
      <c r="C663" s="285" t="n"/>
      <c r="D663" s="284" t="n"/>
      <c r="E663" s="285" t="n"/>
      <c r="F663" s="285" t="n"/>
      <c r="G663" s="336" t="n"/>
      <c r="H663" s="336" t="n"/>
      <c r="I663" s="285" t="n"/>
      <c r="J663" s="285" t="n"/>
      <c r="K663" s="285" t="n"/>
      <c r="L663" s="285" t="n"/>
      <c r="M663" s="285" t="n"/>
      <c r="N663" s="285" t="n"/>
      <c r="O663" s="285" t="n"/>
      <c r="P663" s="285" t="n"/>
      <c r="Q663" s="285" t="n"/>
      <c r="R663" s="285" t="n"/>
      <c r="S663" s="284" t="n"/>
      <c r="T663" s="284" t="n"/>
      <c r="U663" s="285" t="n"/>
      <c r="V663" s="285" t="n"/>
      <c r="W663" s="285" t="n"/>
      <c r="X663" s="285" t="n"/>
      <c r="Y663" s="285" t="n"/>
      <c r="Z663" s="285" t="n"/>
      <c r="AA663" s="285" t="n"/>
    </row>
    <row r="664" ht="15.75" customHeight="1" s="398">
      <c r="A664" s="284" t="n"/>
      <c r="B664" s="284" t="n"/>
      <c r="C664" s="285" t="n"/>
      <c r="D664" s="284" t="n"/>
      <c r="E664" s="285" t="n"/>
      <c r="F664" s="285" t="n"/>
      <c r="G664" s="336" t="n"/>
      <c r="H664" s="336" t="n"/>
      <c r="I664" s="285" t="n"/>
      <c r="J664" s="285" t="n"/>
      <c r="K664" s="285" t="n"/>
      <c r="L664" s="285" t="n"/>
      <c r="M664" s="285" t="n"/>
      <c r="N664" s="285" t="n"/>
      <c r="O664" s="285" t="n"/>
      <c r="P664" s="285" t="n"/>
      <c r="Q664" s="285" t="n"/>
      <c r="R664" s="285" t="n"/>
      <c r="S664" s="284" t="n"/>
      <c r="T664" s="284" t="n"/>
      <c r="U664" s="285" t="n"/>
      <c r="V664" s="285" t="n"/>
      <c r="W664" s="285" t="n"/>
      <c r="X664" s="285" t="n"/>
      <c r="Y664" s="285" t="n"/>
      <c r="Z664" s="285" t="n"/>
      <c r="AA664" s="285" t="n"/>
    </row>
    <row r="665" ht="15.75" customHeight="1" s="398">
      <c r="A665" s="284" t="n"/>
      <c r="B665" s="284" t="n"/>
      <c r="C665" s="285" t="n"/>
      <c r="D665" s="284" t="n"/>
      <c r="E665" s="285" t="n"/>
      <c r="F665" s="285" t="n"/>
      <c r="G665" s="336" t="n"/>
      <c r="H665" s="336" t="n"/>
      <c r="I665" s="285" t="n"/>
      <c r="J665" s="285" t="n"/>
      <c r="K665" s="285" t="n"/>
      <c r="L665" s="285" t="n"/>
      <c r="M665" s="285" t="n"/>
      <c r="N665" s="285" t="n"/>
      <c r="O665" s="285" t="n"/>
      <c r="P665" s="285" t="n"/>
      <c r="Q665" s="285" t="n"/>
      <c r="R665" s="285" t="n"/>
      <c r="S665" s="284" t="n"/>
      <c r="T665" s="284" t="n"/>
      <c r="U665" s="285" t="n"/>
      <c r="V665" s="285" t="n"/>
      <c r="W665" s="285" t="n"/>
      <c r="X665" s="285" t="n"/>
      <c r="Y665" s="285" t="n"/>
      <c r="Z665" s="285" t="n"/>
      <c r="AA665" s="285" t="n"/>
    </row>
    <row r="666" ht="15.75" customHeight="1" s="398">
      <c r="A666" s="284" t="n"/>
      <c r="B666" s="284" t="n"/>
      <c r="C666" s="285" t="n"/>
      <c r="D666" s="284" t="n"/>
      <c r="E666" s="285" t="n"/>
      <c r="F666" s="285" t="n"/>
      <c r="G666" s="336" t="n"/>
      <c r="H666" s="336" t="n"/>
      <c r="I666" s="285" t="n"/>
      <c r="J666" s="285" t="n"/>
      <c r="K666" s="285" t="n"/>
      <c r="L666" s="285" t="n"/>
      <c r="M666" s="285" t="n"/>
      <c r="N666" s="285" t="n"/>
      <c r="O666" s="285" t="n"/>
      <c r="P666" s="285" t="n"/>
      <c r="Q666" s="285" t="n"/>
      <c r="R666" s="285" t="n"/>
      <c r="S666" s="284" t="n"/>
      <c r="T666" s="284" t="n"/>
      <c r="U666" s="285" t="n"/>
      <c r="V666" s="285" t="n"/>
      <c r="W666" s="285" t="n"/>
      <c r="X666" s="285" t="n"/>
      <c r="Y666" s="285" t="n"/>
      <c r="Z666" s="285" t="n"/>
      <c r="AA666" s="285" t="n"/>
    </row>
    <row r="667" ht="15.75" customHeight="1" s="398">
      <c r="A667" s="284" t="n"/>
      <c r="B667" s="284" t="n"/>
      <c r="C667" s="285" t="n"/>
      <c r="D667" s="284" t="n"/>
      <c r="E667" s="285" t="n"/>
      <c r="F667" s="285" t="n"/>
      <c r="G667" s="336" t="n"/>
      <c r="H667" s="336" t="n"/>
      <c r="I667" s="285" t="n"/>
      <c r="J667" s="285" t="n"/>
      <c r="K667" s="285" t="n"/>
      <c r="L667" s="285" t="n"/>
      <c r="M667" s="285" t="n"/>
      <c r="N667" s="285" t="n"/>
      <c r="O667" s="285" t="n"/>
      <c r="P667" s="285" t="n"/>
      <c r="Q667" s="285" t="n"/>
      <c r="R667" s="285" t="n"/>
      <c r="S667" s="284" t="n"/>
      <c r="T667" s="284" t="n"/>
      <c r="U667" s="285" t="n"/>
      <c r="V667" s="285" t="n"/>
      <c r="W667" s="285" t="n"/>
      <c r="X667" s="285" t="n"/>
      <c r="Y667" s="285" t="n"/>
      <c r="Z667" s="285" t="n"/>
      <c r="AA667" s="285" t="n"/>
    </row>
    <row r="668" ht="15.75" customHeight="1" s="398">
      <c r="A668" s="284" t="n"/>
      <c r="B668" s="284" t="n"/>
      <c r="C668" s="285" t="n"/>
      <c r="D668" s="284" t="n"/>
      <c r="E668" s="285" t="n"/>
      <c r="F668" s="285" t="n"/>
      <c r="G668" s="336" t="n"/>
      <c r="H668" s="336" t="n"/>
      <c r="I668" s="285" t="n"/>
      <c r="J668" s="285" t="n"/>
      <c r="K668" s="285" t="n"/>
      <c r="L668" s="285" t="n"/>
      <c r="M668" s="285" t="n"/>
      <c r="N668" s="285" t="n"/>
      <c r="O668" s="285" t="n"/>
      <c r="P668" s="285" t="n"/>
      <c r="Q668" s="285" t="n"/>
      <c r="R668" s="285" t="n"/>
      <c r="S668" s="284" t="n"/>
      <c r="T668" s="284" t="n"/>
      <c r="U668" s="285" t="n"/>
      <c r="V668" s="285" t="n"/>
      <c r="W668" s="285" t="n"/>
      <c r="X668" s="285" t="n"/>
      <c r="Y668" s="285" t="n"/>
      <c r="Z668" s="285" t="n"/>
      <c r="AA668" s="285" t="n"/>
    </row>
    <row r="669" ht="15.75" customHeight="1" s="398">
      <c r="A669" s="284" t="n"/>
      <c r="B669" s="284" t="n"/>
      <c r="C669" s="285" t="n"/>
      <c r="D669" s="284" t="n"/>
      <c r="E669" s="285" t="n"/>
      <c r="F669" s="285" t="n"/>
      <c r="G669" s="336" t="n"/>
      <c r="H669" s="336" t="n"/>
      <c r="I669" s="285" t="n"/>
      <c r="J669" s="285" t="n"/>
      <c r="K669" s="285" t="n"/>
      <c r="L669" s="285" t="n"/>
      <c r="M669" s="285" t="n"/>
      <c r="N669" s="285" t="n"/>
      <c r="O669" s="285" t="n"/>
      <c r="P669" s="285" t="n"/>
      <c r="Q669" s="285" t="n"/>
      <c r="R669" s="285" t="n"/>
      <c r="S669" s="284" t="n"/>
      <c r="T669" s="284" t="n"/>
      <c r="U669" s="285" t="n"/>
      <c r="V669" s="285" t="n"/>
      <c r="W669" s="285" t="n"/>
      <c r="X669" s="285" t="n"/>
      <c r="Y669" s="285" t="n"/>
      <c r="Z669" s="285" t="n"/>
      <c r="AA669" s="285" t="n"/>
    </row>
    <row r="670" ht="15.75" customHeight="1" s="398">
      <c r="A670" s="284" t="n"/>
      <c r="B670" s="284" t="n"/>
      <c r="C670" s="285" t="n"/>
      <c r="D670" s="284" t="n"/>
      <c r="E670" s="285" t="n"/>
      <c r="F670" s="285" t="n"/>
      <c r="G670" s="336" t="n"/>
      <c r="H670" s="336" t="n"/>
      <c r="I670" s="285" t="n"/>
      <c r="J670" s="285" t="n"/>
      <c r="K670" s="285" t="n"/>
      <c r="L670" s="285" t="n"/>
      <c r="M670" s="285" t="n"/>
      <c r="N670" s="285" t="n"/>
      <c r="O670" s="285" t="n"/>
      <c r="P670" s="285" t="n"/>
      <c r="Q670" s="285" t="n"/>
      <c r="R670" s="285" t="n"/>
      <c r="S670" s="284" t="n"/>
      <c r="T670" s="284" t="n"/>
      <c r="U670" s="285" t="n"/>
      <c r="V670" s="285" t="n"/>
      <c r="W670" s="285" t="n"/>
      <c r="X670" s="285" t="n"/>
      <c r="Y670" s="285" t="n"/>
      <c r="Z670" s="285" t="n"/>
      <c r="AA670" s="285" t="n"/>
    </row>
    <row r="671" ht="15.75" customHeight="1" s="398">
      <c r="A671" s="284" t="n"/>
      <c r="B671" s="284" t="n"/>
      <c r="C671" s="285" t="n"/>
      <c r="D671" s="284" t="n"/>
      <c r="E671" s="285" t="n"/>
      <c r="F671" s="285" t="n"/>
      <c r="G671" s="336" t="n"/>
      <c r="H671" s="336" t="n"/>
      <c r="I671" s="285" t="n"/>
      <c r="J671" s="285" t="n"/>
      <c r="K671" s="285" t="n"/>
      <c r="L671" s="285" t="n"/>
      <c r="M671" s="285" t="n"/>
      <c r="N671" s="285" t="n"/>
      <c r="O671" s="285" t="n"/>
      <c r="P671" s="285" t="n"/>
      <c r="Q671" s="285" t="n"/>
      <c r="R671" s="285" t="n"/>
      <c r="S671" s="284" t="n"/>
      <c r="T671" s="284" t="n"/>
      <c r="U671" s="285" t="n"/>
      <c r="V671" s="285" t="n"/>
      <c r="W671" s="285" t="n"/>
      <c r="X671" s="285" t="n"/>
      <c r="Y671" s="285" t="n"/>
      <c r="Z671" s="285" t="n"/>
      <c r="AA671" s="285" t="n"/>
    </row>
    <row r="672" ht="15.75" customHeight="1" s="398">
      <c r="A672" s="284" t="n"/>
      <c r="B672" s="284" t="n"/>
      <c r="C672" s="285" t="n"/>
      <c r="D672" s="284" t="n"/>
      <c r="E672" s="285" t="n"/>
      <c r="F672" s="285" t="n"/>
      <c r="G672" s="336" t="n"/>
      <c r="H672" s="336" t="n"/>
      <c r="I672" s="285" t="n"/>
      <c r="J672" s="285" t="n"/>
      <c r="K672" s="285" t="n"/>
      <c r="L672" s="285" t="n"/>
      <c r="M672" s="285" t="n"/>
      <c r="N672" s="285" t="n"/>
      <c r="O672" s="285" t="n"/>
      <c r="P672" s="285" t="n"/>
      <c r="Q672" s="285" t="n"/>
      <c r="R672" s="285" t="n"/>
      <c r="S672" s="284" t="n"/>
      <c r="T672" s="284" t="n"/>
      <c r="U672" s="285" t="n"/>
      <c r="V672" s="285" t="n"/>
      <c r="W672" s="285" t="n"/>
      <c r="X672" s="285" t="n"/>
      <c r="Y672" s="285" t="n"/>
      <c r="Z672" s="285" t="n"/>
      <c r="AA672" s="285" t="n"/>
    </row>
    <row r="673" ht="15.75" customHeight="1" s="398">
      <c r="A673" s="284" t="n"/>
      <c r="B673" s="284" t="n"/>
      <c r="C673" s="285" t="n"/>
      <c r="D673" s="284" t="n"/>
      <c r="E673" s="285" t="n"/>
      <c r="F673" s="285" t="n"/>
      <c r="G673" s="336" t="n"/>
      <c r="H673" s="336" t="n"/>
      <c r="I673" s="285" t="n"/>
      <c r="J673" s="285" t="n"/>
      <c r="K673" s="285" t="n"/>
      <c r="L673" s="285" t="n"/>
      <c r="M673" s="285" t="n"/>
      <c r="N673" s="285" t="n"/>
      <c r="O673" s="285" t="n"/>
      <c r="P673" s="285" t="n"/>
      <c r="Q673" s="285" t="n"/>
      <c r="R673" s="285" t="n"/>
      <c r="S673" s="284" t="n"/>
      <c r="T673" s="284" t="n"/>
      <c r="U673" s="285" t="n"/>
      <c r="V673" s="285" t="n"/>
      <c r="W673" s="285" t="n"/>
      <c r="X673" s="285" t="n"/>
      <c r="Y673" s="285" t="n"/>
      <c r="Z673" s="285" t="n"/>
      <c r="AA673" s="285" t="n"/>
    </row>
    <row r="674" ht="15.75" customHeight="1" s="398">
      <c r="A674" s="284" t="n"/>
      <c r="B674" s="284" t="n"/>
      <c r="C674" s="285" t="n"/>
      <c r="D674" s="284" t="n"/>
      <c r="E674" s="285" t="n"/>
      <c r="F674" s="285" t="n"/>
      <c r="G674" s="336" t="n"/>
      <c r="H674" s="336" t="n"/>
      <c r="I674" s="285" t="n"/>
      <c r="J674" s="285" t="n"/>
      <c r="K674" s="285" t="n"/>
      <c r="L674" s="285" t="n"/>
      <c r="M674" s="285" t="n"/>
      <c r="N674" s="285" t="n"/>
      <c r="O674" s="285" t="n"/>
      <c r="P674" s="285" t="n"/>
      <c r="Q674" s="285" t="n"/>
      <c r="R674" s="285" t="n"/>
      <c r="S674" s="284" t="n"/>
      <c r="T674" s="284" t="n"/>
      <c r="U674" s="285" t="n"/>
      <c r="V674" s="285" t="n"/>
      <c r="W674" s="285" t="n"/>
      <c r="X674" s="285" t="n"/>
      <c r="Y674" s="285" t="n"/>
      <c r="Z674" s="285" t="n"/>
      <c r="AA674" s="285" t="n"/>
    </row>
    <row r="675" ht="15.75" customHeight="1" s="398">
      <c r="A675" s="284" t="n"/>
      <c r="B675" s="284" t="n"/>
      <c r="C675" s="285" t="n"/>
      <c r="D675" s="284" t="n"/>
      <c r="E675" s="285" t="n"/>
      <c r="F675" s="285" t="n"/>
      <c r="G675" s="336" t="n"/>
      <c r="H675" s="336" t="n"/>
      <c r="I675" s="285" t="n"/>
      <c r="J675" s="285" t="n"/>
      <c r="K675" s="285" t="n"/>
      <c r="L675" s="285" t="n"/>
      <c r="M675" s="285" t="n"/>
      <c r="N675" s="285" t="n"/>
      <c r="O675" s="285" t="n"/>
      <c r="P675" s="285" t="n"/>
      <c r="Q675" s="285" t="n"/>
      <c r="R675" s="285" t="n"/>
      <c r="S675" s="284" t="n"/>
      <c r="T675" s="284" t="n"/>
      <c r="U675" s="285" t="n"/>
      <c r="V675" s="285" t="n"/>
      <c r="W675" s="285" t="n"/>
      <c r="X675" s="285" t="n"/>
      <c r="Y675" s="285" t="n"/>
      <c r="Z675" s="285" t="n"/>
      <c r="AA675" s="285" t="n"/>
    </row>
    <row r="676" ht="15.75" customHeight="1" s="398">
      <c r="A676" s="284" t="n"/>
      <c r="B676" s="284" t="n"/>
      <c r="C676" s="285" t="n"/>
      <c r="D676" s="284" t="n"/>
      <c r="E676" s="285" t="n"/>
      <c r="F676" s="285" t="n"/>
      <c r="G676" s="336" t="n"/>
      <c r="H676" s="336" t="n"/>
      <c r="I676" s="285" t="n"/>
      <c r="J676" s="285" t="n"/>
      <c r="K676" s="285" t="n"/>
      <c r="L676" s="285" t="n"/>
      <c r="M676" s="285" t="n"/>
      <c r="N676" s="285" t="n"/>
      <c r="O676" s="285" t="n"/>
      <c r="P676" s="285" t="n"/>
      <c r="Q676" s="285" t="n"/>
      <c r="R676" s="285" t="n"/>
      <c r="S676" s="284" t="n"/>
      <c r="T676" s="284" t="n"/>
      <c r="U676" s="285" t="n"/>
      <c r="V676" s="285" t="n"/>
      <c r="W676" s="285" t="n"/>
      <c r="X676" s="285" t="n"/>
      <c r="Y676" s="285" t="n"/>
      <c r="Z676" s="285" t="n"/>
      <c r="AA676" s="285" t="n"/>
    </row>
    <row r="677" ht="15.75" customHeight="1" s="398">
      <c r="A677" s="284" t="n"/>
      <c r="B677" s="284" t="n"/>
      <c r="C677" s="285" t="n"/>
      <c r="D677" s="284" t="n"/>
      <c r="E677" s="285" t="n"/>
      <c r="F677" s="285" t="n"/>
      <c r="G677" s="336" t="n"/>
      <c r="H677" s="336" t="n"/>
      <c r="I677" s="285" t="n"/>
      <c r="J677" s="285" t="n"/>
      <c r="K677" s="285" t="n"/>
      <c r="L677" s="285" t="n"/>
      <c r="M677" s="285" t="n"/>
      <c r="N677" s="285" t="n"/>
      <c r="O677" s="285" t="n"/>
      <c r="P677" s="285" t="n"/>
      <c r="Q677" s="285" t="n"/>
      <c r="R677" s="285" t="n"/>
      <c r="S677" s="284" t="n"/>
      <c r="T677" s="284" t="n"/>
      <c r="U677" s="285" t="n"/>
      <c r="V677" s="285" t="n"/>
      <c r="W677" s="285" t="n"/>
      <c r="X677" s="285" t="n"/>
      <c r="Y677" s="285" t="n"/>
      <c r="Z677" s="285" t="n"/>
      <c r="AA677" s="285" t="n"/>
    </row>
    <row r="678" ht="15.75" customHeight="1" s="398">
      <c r="A678" s="284" t="n"/>
      <c r="B678" s="284" t="n"/>
      <c r="C678" s="285" t="n"/>
      <c r="D678" s="284" t="n"/>
      <c r="E678" s="285" t="n"/>
      <c r="F678" s="285" t="n"/>
      <c r="G678" s="336" t="n"/>
      <c r="H678" s="336" t="n"/>
      <c r="I678" s="285" t="n"/>
      <c r="J678" s="285" t="n"/>
      <c r="K678" s="285" t="n"/>
      <c r="L678" s="285" t="n"/>
      <c r="M678" s="285" t="n"/>
      <c r="N678" s="285" t="n"/>
      <c r="O678" s="285" t="n"/>
      <c r="P678" s="285" t="n"/>
      <c r="Q678" s="285" t="n"/>
      <c r="R678" s="285" t="n"/>
      <c r="S678" s="284" t="n"/>
      <c r="T678" s="284" t="n"/>
      <c r="U678" s="285" t="n"/>
      <c r="V678" s="285" t="n"/>
      <c r="W678" s="285" t="n"/>
      <c r="X678" s="285" t="n"/>
      <c r="Y678" s="285" t="n"/>
      <c r="Z678" s="285" t="n"/>
      <c r="AA678" s="285" t="n"/>
    </row>
    <row r="679" ht="15.75" customHeight="1" s="398">
      <c r="A679" s="284" t="n"/>
      <c r="B679" s="284" t="n"/>
      <c r="C679" s="285" t="n"/>
      <c r="D679" s="284" t="n"/>
      <c r="E679" s="285" t="n"/>
      <c r="F679" s="285" t="n"/>
      <c r="G679" s="336" t="n"/>
      <c r="H679" s="336" t="n"/>
      <c r="I679" s="285" t="n"/>
      <c r="J679" s="285" t="n"/>
      <c r="K679" s="285" t="n"/>
      <c r="L679" s="285" t="n"/>
      <c r="M679" s="285" t="n"/>
      <c r="N679" s="285" t="n"/>
      <c r="O679" s="285" t="n"/>
      <c r="P679" s="285" t="n"/>
      <c r="Q679" s="285" t="n"/>
      <c r="R679" s="285" t="n"/>
      <c r="S679" s="284" t="n"/>
      <c r="T679" s="284" t="n"/>
      <c r="U679" s="285" t="n"/>
      <c r="V679" s="285" t="n"/>
      <c r="W679" s="285" t="n"/>
      <c r="X679" s="285" t="n"/>
      <c r="Y679" s="285" t="n"/>
      <c r="Z679" s="285" t="n"/>
      <c r="AA679" s="285" t="n"/>
    </row>
    <row r="680" ht="15.75" customHeight="1" s="398">
      <c r="A680" s="284" t="n"/>
      <c r="B680" s="284" t="n"/>
      <c r="C680" s="285" t="n"/>
      <c r="D680" s="284" t="n"/>
      <c r="E680" s="285" t="n"/>
      <c r="F680" s="285" t="n"/>
      <c r="G680" s="336" t="n"/>
      <c r="H680" s="336" t="n"/>
      <c r="I680" s="285" t="n"/>
      <c r="J680" s="285" t="n"/>
      <c r="K680" s="285" t="n"/>
      <c r="L680" s="285" t="n"/>
      <c r="M680" s="285" t="n"/>
      <c r="N680" s="285" t="n"/>
      <c r="O680" s="285" t="n"/>
      <c r="P680" s="285" t="n"/>
      <c r="Q680" s="285" t="n"/>
      <c r="R680" s="285" t="n"/>
      <c r="S680" s="284" t="n"/>
      <c r="T680" s="284" t="n"/>
      <c r="U680" s="285" t="n"/>
      <c r="V680" s="285" t="n"/>
      <c r="W680" s="285" t="n"/>
      <c r="X680" s="285" t="n"/>
      <c r="Y680" s="285" t="n"/>
      <c r="Z680" s="285" t="n"/>
      <c r="AA680" s="285" t="n"/>
    </row>
    <row r="681" ht="15.75" customHeight="1" s="398">
      <c r="A681" s="284" t="n"/>
      <c r="B681" s="284" t="n"/>
      <c r="C681" s="285" t="n"/>
      <c r="D681" s="284" t="n"/>
      <c r="E681" s="285" t="n"/>
      <c r="F681" s="285" t="n"/>
      <c r="G681" s="336" t="n"/>
      <c r="H681" s="336" t="n"/>
      <c r="I681" s="285" t="n"/>
      <c r="J681" s="285" t="n"/>
      <c r="K681" s="285" t="n"/>
      <c r="L681" s="285" t="n"/>
      <c r="M681" s="285" t="n"/>
      <c r="N681" s="285" t="n"/>
      <c r="O681" s="285" t="n"/>
      <c r="P681" s="285" t="n"/>
      <c r="Q681" s="285" t="n"/>
      <c r="R681" s="285" t="n"/>
      <c r="S681" s="284" t="n"/>
      <c r="T681" s="284" t="n"/>
      <c r="U681" s="285" t="n"/>
      <c r="V681" s="285" t="n"/>
      <c r="W681" s="285" t="n"/>
      <c r="X681" s="285" t="n"/>
      <c r="Y681" s="285" t="n"/>
      <c r="Z681" s="285" t="n"/>
      <c r="AA681" s="285" t="n"/>
    </row>
    <row r="682" ht="15.75" customHeight="1" s="398">
      <c r="A682" s="284" t="n"/>
      <c r="B682" s="284" t="n"/>
      <c r="C682" s="285" t="n"/>
      <c r="D682" s="284" t="n"/>
      <c r="E682" s="285" t="n"/>
      <c r="F682" s="285" t="n"/>
      <c r="G682" s="336" t="n"/>
      <c r="H682" s="336" t="n"/>
      <c r="I682" s="285" t="n"/>
      <c r="J682" s="285" t="n"/>
      <c r="K682" s="285" t="n"/>
      <c r="L682" s="285" t="n"/>
      <c r="M682" s="285" t="n"/>
      <c r="N682" s="285" t="n"/>
      <c r="O682" s="285" t="n"/>
      <c r="P682" s="285" t="n"/>
      <c r="Q682" s="285" t="n"/>
      <c r="R682" s="285" t="n"/>
      <c r="S682" s="284" t="n"/>
      <c r="T682" s="284" t="n"/>
      <c r="U682" s="285" t="n"/>
      <c r="V682" s="285" t="n"/>
      <c r="W682" s="285" t="n"/>
      <c r="X682" s="285" t="n"/>
      <c r="Y682" s="285" t="n"/>
      <c r="Z682" s="285" t="n"/>
      <c r="AA682" s="285" t="n"/>
    </row>
    <row r="683" ht="15.75" customHeight="1" s="398">
      <c r="A683" s="284" t="n"/>
      <c r="B683" s="284" t="n"/>
      <c r="C683" s="285" t="n"/>
      <c r="D683" s="284" t="n"/>
      <c r="E683" s="285" t="n"/>
      <c r="F683" s="285" t="n"/>
      <c r="G683" s="336" t="n"/>
      <c r="H683" s="336" t="n"/>
      <c r="I683" s="285" t="n"/>
      <c r="J683" s="285" t="n"/>
      <c r="K683" s="285" t="n"/>
      <c r="L683" s="285" t="n"/>
      <c r="M683" s="285" t="n"/>
      <c r="N683" s="285" t="n"/>
      <c r="O683" s="285" t="n"/>
      <c r="P683" s="285" t="n"/>
      <c r="Q683" s="285" t="n"/>
      <c r="R683" s="285" t="n"/>
      <c r="S683" s="284" t="n"/>
      <c r="T683" s="284" t="n"/>
      <c r="U683" s="285" t="n"/>
      <c r="V683" s="285" t="n"/>
      <c r="W683" s="285" t="n"/>
      <c r="X683" s="285" t="n"/>
      <c r="Y683" s="285" t="n"/>
      <c r="Z683" s="285" t="n"/>
      <c r="AA683" s="285" t="n"/>
    </row>
    <row r="684" ht="15.75" customHeight="1" s="398">
      <c r="A684" s="284" t="n"/>
      <c r="B684" s="284" t="n"/>
      <c r="C684" s="285" t="n"/>
      <c r="D684" s="284" t="n"/>
      <c r="E684" s="285" t="n"/>
      <c r="F684" s="285" t="n"/>
      <c r="G684" s="336" t="n"/>
      <c r="H684" s="336" t="n"/>
      <c r="I684" s="285" t="n"/>
      <c r="J684" s="285" t="n"/>
      <c r="K684" s="285" t="n"/>
      <c r="L684" s="285" t="n"/>
      <c r="M684" s="285" t="n"/>
      <c r="N684" s="285" t="n"/>
      <c r="O684" s="285" t="n"/>
      <c r="P684" s="285" t="n"/>
      <c r="Q684" s="285" t="n"/>
      <c r="R684" s="285" t="n"/>
      <c r="S684" s="284" t="n"/>
      <c r="T684" s="284" t="n"/>
      <c r="U684" s="285" t="n"/>
      <c r="V684" s="285" t="n"/>
      <c r="W684" s="285" t="n"/>
      <c r="X684" s="285" t="n"/>
      <c r="Y684" s="285" t="n"/>
      <c r="Z684" s="285" t="n"/>
      <c r="AA684" s="285" t="n"/>
    </row>
    <row r="685" ht="15.75" customHeight="1" s="398">
      <c r="A685" s="284" t="n"/>
      <c r="B685" s="284" t="n"/>
      <c r="C685" s="285" t="n"/>
      <c r="D685" s="284" t="n"/>
      <c r="E685" s="285" t="n"/>
      <c r="F685" s="285" t="n"/>
      <c r="G685" s="336" t="n"/>
      <c r="H685" s="336" t="n"/>
      <c r="I685" s="285" t="n"/>
      <c r="J685" s="285" t="n"/>
      <c r="K685" s="285" t="n"/>
      <c r="L685" s="285" t="n"/>
      <c r="M685" s="285" t="n"/>
      <c r="N685" s="285" t="n"/>
      <c r="O685" s="285" t="n"/>
      <c r="P685" s="285" t="n"/>
      <c r="Q685" s="285" t="n"/>
      <c r="R685" s="285" t="n"/>
      <c r="S685" s="284" t="n"/>
      <c r="T685" s="284" t="n"/>
      <c r="U685" s="285" t="n"/>
      <c r="V685" s="285" t="n"/>
      <c r="W685" s="285" t="n"/>
      <c r="X685" s="285" t="n"/>
      <c r="Y685" s="285" t="n"/>
      <c r="Z685" s="285" t="n"/>
      <c r="AA685" s="285" t="n"/>
    </row>
    <row r="686" ht="15.75" customHeight="1" s="398">
      <c r="A686" s="284" t="n"/>
      <c r="B686" s="284" t="n"/>
      <c r="C686" s="285" t="n"/>
      <c r="D686" s="284" t="n"/>
      <c r="E686" s="285" t="n"/>
      <c r="F686" s="285" t="n"/>
      <c r="G686" s="336" t="n"/>
      <c r="H686" s="336" t="n"/>
      <c r="I686" s="285" t="n"/>
      <c r="J686" s="285" t="n"/>
      <c r="K686" s="285" t="n"/>
      <c r="L686" s="285" t="n"/>
      <c r="M686" s="285" t="n"/>
      <c r="N686" s="285" t="n"/>
      <c r="O686" s="285" t="n"/>
      <c r="P686" s="285" t="n"/>
      <c r="Q686" s="285" t="n"/>
      <c r="R686" s="285" t="n"/>
      <c r="S686" s="284" t="n"/>
      <c r="T686" s="284" t="n"/>
      <c r="U686" s="285" t="n"/>
      <c r="V686" s="285" t="n"/>
      <c r="W686" s="285" t="n"/>
      <c r="X686" s="285" t="n"/>
      <c r="Y686" s="285" t="n"/>
      <c r="Z686" s="285" t="n"/>
      <c r="AA686" s="285" t="n"/>
    </row>
    <row r="687" ht="15.75" customHeight="1" s="398">
      <c r="A687" s="284" t="n"/>
      <c r="B687" s="284" t="n"/>
      <c r="C687" s="285" t="n"/>
      <c r="D687" s="284" t="n"/>
      <c r="E687" s="285" t="n"/>
      <c r="F687" s="285" t="n"/>
      <c r="G687" s="336" t="n"/>
      <c r="H687" s="336" t="n"/>
      <c r="I687" s="285" t="n"/>
      <c r="J687" s="285" t="n"/>
      <c r="K687" s="285" t="n"/>
      <c r="L687" s="285" t="n"/>
      <c r="M687" s="285" t="n"/>
      <c r="N687" s="285" t="n"/>
      <c r="O687" s="285" t="n"/>
      <c r="P687" s="285" t="n"/>
      <c r="Q687" s="285" t="n"/>
      <c r="R687" s="285" t="n"/>
      <c r="S687" s="284" t="n"/>
      <c r="T687" s="284" t="n"/>
      <c r="U687" s="285" t="n"/>
      <c r="V687" s="285" t="n"/>
      <c r="W687" s="285" t="n"/>
      <c r="X687" s="285" t="n"/>
      <c r="Y687" s="285" t="n"/>
      <c r="Z687" s="285" t="n"/>
      <c r="AA687" s="285" t="n"/>
    </row>
    <row r="688" ht="15.75" customHeight="1" s="398">
      <c r="A688" s="284" t="n"/>
      <c r="B688" s="284" t="n"/>
      <c r="C688" s="285" t="n"/>
      <c r="D688" s="284" t="n"/>
      <c r="E688" s="285" t="n"/>
      <c r="F688" s="285" t="n"/>
      <c r="G688" s="336" t="n"/>
      <c r="H688" s="336" t="n"/>
      <c r="I688" s="285" t="n"/>
      <c r="J688" s="285" t="n"/>
      <c r="K688" s="285" t="n"/>
      <c r="L688" s="285" t="n"/>
      <c r="M688" s="285" t="n"/>
      <c r="N688" s="285" t="n"/>
      <c r="O688" s="285" t="n"/>
      <c r="P688" s="285" t="n"/>
      <c r="Q688" s="285" t="n"/>
      <c r="R688" s="285" t="n"/>
      <c r="S688" s="284" t="n"/>
      <c r="T688" s="284" t="n"/>
      <c r="U688" s="285" t="n"/>
      <c r="V688" s="285" t="n"/>
      <c r="W688" s="285" t="n"/>
      <c r="X688" s="285" t="n"/>
      <c r="Y688" s="285" t="n"/>
      <c r="Z688" s="285" t="n"/>
      <c r="AA688" s="285" t="n"/>
    </row>
    <row r="689" ht="15.75" customHeight="1" s="398">
      <c r="A689" s="284" t="n"/>
      <c r="B689" s="284" t="n"/>
      <c r="C689" s="285" t="n"/>
      <c r="D689" s="284" t="n"/>
      <c r="E689" s="285" t="n"/>
      <c r="F689" s="285" t="n"/>
      <c r="G689" s="336" t="n"/>
      <c r="H689" s="336" t="n"/>
      <c r="I689" s="285" t="n"/>
      <c r="J689" s="285" t="n"/>
      <c r="K689" s="285" t="n"/>
      <c r="L689" s="285" t="n"/>
      <c r="M689" s="285" t="n"/>
      <c r="N689" s="285" t="n"/>
      <c r="O689" s="285" t="n"/>
      <c r="P689" s="285" t="n"/>
      <c r="Q689" s="285" t="n"/>
      <c r="R689" s="285" t="n"/>
      <c r="S689" s="284" t="n"/>
      <c r="T689" s="284" t="n"/>
      <c r="U689" s="285" t="n"/>
      <c r="V689" s="285" t="n"/>
      <c r="W689" s="285" t="n"/>
      <c r="X689" s="285" t="n"/>
      <c r="Y689" s="285" t="n"/>
      <c r="Z689" s="285" t="n"/>
      <c r="AA689" s="285" t="n"/>
    </row>
    <row r="690" ht="15.75" customHeight="1" s="398">
      <c r="A690" s="284" t="n"/>
      <c r="B690" s="284" t="n"/>
      <c r="C690" s="285" t="n"/>
      <c r="D690" s="284" t="n"/>
      <c r="E690" s="285" t="n"/>
      <c r="F690" s="285" t="n"/>
      <c r="G690" s="336" t="n"/>
      <c r="H690" s="336" t="n"/>
      <c r="I690" s="285" t="n"/>
      <c r="J690" s="285" t="n"/>
      <c r="K690" s="285" t="n"/>
      <c r="L690" s="285" t="n"/>
      <c r="M690" s="285" t="n"/>
      <c r="N690" s="285" t="n"/>
      <c r="O690" s="285" t="n"/>
      <c r="P690" s="285" t="n"/>
      <c r="Q690" s="285" t="n"/>
      <c r="R690" s="285" t="n"/>
      <c r="S690" s="284" t="n"/>
      <c r="T690" s="284" t="n"/>
      <c r="U690" s="285" t="n"/>
      <c r="V690" s="285" t="n"/>
      <c r="W690" s="285" t="n"/>
      <c r="X690" s="285" t="n"/>
      <c r="Y690" s="285" t="n"/>
      <c r="Z690" s="285" t="n"/>
      <c r="AA690" s="285" t="n"/>
    </row>
    <row r="691" ht="15.75" customHeight="1" s="398">
      <c r="A691" s="284" t="n"/>
      <c r="B691" s="284" t="n"/>
      <c r="C691" s="285" t="n"/>
      <c r="D691" s="284" t="n"/>
      <c r="E691" s="285" t="n"/>
      <c r="F691" s="285" t="n"/>
      <c r="G691" s="336" t="n"/>
      <c r="H691" s="336" t="n"/>
      <c r="I691" s="285" t="n"/>
      <c r="J691" s="285" t="n"/>
      <c r="K691" s="285" t="n"/>
      <c r="L691" s="285" t="n"/>
      <c r="M691" s="285" t="n"/>
      <c r="N691" s="285" t="n"/>
      <c r="O691" s="285" t="n"/>
      <c r="P691" s="285" t="n"/>
      <c r="Q691" s="285" t="n"/>
      <c r="R691" s="285" t="n"/>
      <c r="S691" s="284" t="n"/>
      <c r="T691" s="284" t="n"/>
      <c r="U691" s="285" t="n"/>
      <c r="V691" s="285" t="n"/>
      <c r="W691" s="285" t="n"/>
      <c r="X691" s="285" t="n"/>
      <c r="Y691" s="285" t="n"/>
      <c r="Z691" s="285" t="n"/>
      <c r="AA691" s="285" t="n"/>
    </row>
    <row r="692" ht="15.75" customHeight="1" s="398">
      <c r="A692" s="284" t="n"/>
      <c r="B692" s="284" t="n"/>
      <c r="C692" s="285" t="n"/>
      <c r="D692" s="284" t="n"/>
      <c r="E692" s="285" t="n"/>
      <c r="F692" s="285" t="n"/>
      <c r="G692" s="336" t="n"/>
      <c r="H692" s="336" t="n"/>
      <c r="I692" s="285" t="n"/>
      <c r="J692" s="285" t="n"/>
      <c r="K692" s="285" t="n"/>
      <c r="L692" s="285" t="n"/>
      <c r="M692" s="285" t="n"/>
      <c r="N692" s="285" t="n"/>
      <c r="O692" s="285" t="n"/>
      <c r="P692" s="285" t="n"/>
      <c r="Q692" s="285" t="n"/>
      <c r="R692" s="285" t="n"/>
      <c r="S692" s="284" t="n"/>
      <c r="T692" s="284" t="n"/>
      <c r="U692" s="285" t="n"/>
      <c r="V692" s="285" t="n"/>
      <c r="W692" s="285" t="n"/>
      <c r="X692" s="285" t="n"/>
      <c r="Y692" s="285" t="n"/>
      <c r="Z692" s="285" t="n"/>
      <c r="AA692" s="285" t="n"/>
    </row>
    <row r="693" ht="15.75" customHeight="1" s="398">
      <c r="A693" s="284" t="n"/>
      <c r="B693" s="284" t="n"/>
      <c r="C693" s="285" t="n"/>
      <c r="D693" s="284" t="n"/>
      <c r="E693" s="285" t="n"/>
      <c r="F693" s="285" t="n"/>
      <c r="G693" s="336" t="n"/>
      <c r="H693" s="336" t="n"/>
      <c r="I693" s="285" t="n"/>
      <c r="J693" s="285" t="n"/>
      <c r="K693" s="285" t="n"/>
      <c r="L693" s="285" t="n"/>
      <c r="M693" s="285" t="n"/>
      <c r="N693" s="285" t="n"/>
      <c r="O693" s="285" t="n"/>
      <c r="P693" s="285" t="n"/>
      <c r="Q693" s="285" t="n"/>
      <c r="R693" s="285" t="n"/>
      <c r="S693" s="284" t="n"/>
      <c r="T693" s="284" t="n"/>
      <c r="U693" s="285" t="n"/>
      <c r="V693" s="285" t="n"/>
      <c r="W693" s="285" t="n"/>
      <c r="X693" s="285" t="n"/>
      <c r="Y693" s="285" t="n"/>
      <c r="Z693" s="285" t="n"/>
      <c r="AA693" s="285" t="n"/>
    </row>
    <row r="694" ht="15.75" customHeight="1" s="398">
      <c r="A694" s="284" t="n"/>
      <c r="B694" s="284" t="n"/>
      <c r="C694" s="285" t="n"/>
      <c r="D694" s="284" t="n"/>
      <c r="E694" s="285" t="n"/>
      <c r="F694" s="285" t="n"/>
      <c r="G694" s="336" t="n"/>
      <c r="H694" s="336" t="n"/>
      <c r="I694" s="285" t="n"/>
      <c r="J694" s="285" t="n"/>
      <c r="K694" s="285" t="n"/>
      <c r="L694" s="285" t="n"/>
      <c r="M694" s="285" t="n"/>
      <c r="N694" s="285" t="n"/>
      <c r="O694" s="285" t="n"/>
      <c r="P694" s="285" t="n"/>
      <c r="Q694" s="285" t="n"/>
      <c r="R694" s="285" t="n"/>
      <c r="S694" s="284" t="n"/>
      <c r="T694" s="284" t="n"/>
      <c r="U694" s="285" t="n"/>
      <c r="V694" s="285" t="n"/>
      <c r="W694" s="285" t="n"/>
      <c r="X694" s="285" t="n"/>
      <c r="Y694" s="285" t="n"/>
      <c r="Z694" s="285" t="n"/>
      <c r="AA694" s="285" t="n"/>
    </row>
    <row r="695" ht="15.75" customHeight="1" s="398">
      <c r="A695" s="284" t="n"/>
      <c r="B695" s="284" t="n"/>
      <c r="C695" s="285" t="n"/>
      <c r="D695" s="284" t="n"/>
      <c r="E695" s="285" t="n"/>
      <c r="F695" s="285" t="n"/>
      <c r="G695" s="336" t="n"/>
      <c r="H695" s="336" t="n"/>
      <c r="I695" s="285" t="n"/>
      <c r="J695" s="285" t="n"/>
      <c r="K695" s="285" t="n"/>
      <c r="L695" s="285" t="n"/>
      <c r="M695" s="285" t="n"/>
      <c r="N695" s="285" t="n"/>
      <c r="O695" s="285" t="n"/>
      <c r="P695" s="285" t="n"/>
      <c r="Q695" s="285" t="n"/>
      <c r="R695" s="285" t="n"/>
      <c r="S695" s="284" t="n"/>
      <c r="T695" s="284" t="n"/>
      <c r="U695" s="285" t="n"/>
      <c r="V695" s="285" t="n"/>
      <c r="W695" s="285" t="n"/>
      <c r="X695" s="285" t="n"/>
      <c r="Y695" s="285" t="n"/>
      <c r="Z695" s="285" t="n"/>
      <c r="AA695" s="285" t="n"/>
    </row>
    <row r="696" ht="15.75" customHeight="1" s="398">
      <c r="A696" s="284" t="n"/>
      <c r="B696" s="284" t="n"/>
      <c r="C696" s="285" t="n"/>
      <c r="D696" s="284" t="n"/>
      <c r="E696" s="285" t="n"/>
      <c r="F696" s="285" t="n"/>
      <c r="G696" s="336" t="n"/>
      <c r="H696" s="336" t="n"/>
      <c r="I696" s="285" t="n"/>
      <c r="J696" s="285" t="n"/>
      <c r="K696" s="285" t="n"/>
      <c r="L696" s="285" t="n"/>
      <c r="M696" s="285" t="n"/>
      <c r="N696" s="285" t="n"/>
      <c r="O696" s="285" t="n"/>
      <c r="P696" s="285" t="n"/>
      <c r="Q696" s="285" t="n"/>
      <c r="R696" s="285" t="n"/>
      <c r="S696" s="284" t="n"/>
      <c r="T696" s="284" t="n"/>
      <c r="U696" s="285" t="n"/>
      <c r="V696" s="285" t="n"/>
      <c r="W696" s="285" t="n"/>
      <c r="X696" s="285" t="n"/>
      <c r="Y696" s="285" t="n"/>
      <c r="Z696" s="285" t="n"/>
      <c r="AA696" s="285" t="n"/>
    </row>
    <row r="697" ht="15.75" customHeight="1" s="398">
      <c r="A697" s="284" t="n"/>
      <c r="B697" s="284" t="n"/>
      <c r="C697" s="285" t="n"/>
      <c r="D697" s="284" t="n"/>
      <c r="E697" s="285" t="n"/>
      <c r="F697" s="285" t="n"/>
      <c r="G697" s="336" t="n"/>
      <c r="H697" s="336" t="n"/>
      <c r="I697" s="285" t="n"/>
      <c r="J697" s="285" t="n"/>
      <c r="K697" s="285" t="n"/>
      <c r="L697" s="285" t="n"/>
      <c r="M697" s="285" t="n"/>
      <c r="N697" s="285" t="n"/>
      <c r="O697" s="285" t="n"/>
      <c r="P697" s="285" t="n"/>
      <c r="Q697" s="285" t="n"/>
      <c r="R697" s="285" t="n"/>
      <c r="S697" s="284" t="n"/>
      <c r="T697" s="284" t="n"/>
      <c r="U697" s="285" t="n"/>
      <c r="V697" s="285" t="n"/>
      <c r="W697" s="285" t="n"/>
      <c r="X697" s="285" t="n"/>
      <c r="Y697" s="285" t="n"/>
      <c r="Z697" s="285" t="n"/>
      <c r="AA697" s="285" t="n"/>
    </row>
    <row r="698" ht="15.75" customHeight="1" s="398">
      <c r="A698" s="284" t="n"/>
      <c r="B698" s="284" t="n"/>
      <c r="C698" s="285" t="n"/>
      <c r="D698" s="284" t="n"/>
      <c r="E698" s="285" t="n"/>
      <c r="F698" s="285" t="n"/>
      <c r="G698" s="336" t="n"/>
      <c r="H698" s="336" t="n"/>
      <c r="I698" s="285" t="n"/>
      <c r="J698" s="285" t="n"/>
      <c r="K698" s="285" t="n"/>
      <c r="L698" s="285" t="n"/>
      <c r="M698" s="285" t="n"/>
      <c r="N698" s="285" t="n"/>
      <c r="O698" s="285" t="n"/>
      <c r="P698" s="285" t="n"/>
      <c r="Q698" s="285" t="n"/>
      <c r="R698" s="285" t="n"/>
      <c r="S698" s="284" t="n"/>
      <c r="T698" s="284" t="n"/>
      <c r="U698" s="285" t="n"/>
      <c r="V698" s="285" t="n"/>
      <c r="W698" s="285" t="n"/>
      <c r="X698" s="285" t="n"/>
      <c r="Y698" s="285" t="n"/>
      <c r="Z698" s="285" t="n"/>
      <c r="AA698" s="285" t="n"/>
    </row>
    <row r="699" ht="15.75" customHeight="1" s="398">
      <c r="A699" s="284" t="n"/>
      <c r="B699" s="284" t="n"/>
      <c r="C699" s="285" t="n"/>
      <c r="D699" s="284" t="n"/>
      <c r="E699" s="285" t="n"/>
      <c r="F699" s="285" t="n"/>
      <c r="G699" s="336" t="n"/>
      <c r="H699" s="336" t="n"/>
      <c r="I699" s="285" t="n"/>
      <c r="J699" s="285" t="n"/>
      <c r="K699" s="285" t="n"/>
      <c r="L699" s="285" t="n"/>
      <c r="M699" s="285" t="n"/>
      <c r="N699" s="285" t="n"/>
      <c r="O699" s="285" t="n"/>
      <c r="P699" s="285" t="n"/>
      <c r="Q699" s="285" t="n"/>
      <c r="R699" s="285" t="n"/>
      <c r="S699" s="284" t="n"/>
      <c r="T699" s="284" t="n"/>
      <c r="U699" s="285" t="n"/>
      <c r="V699" s="285" t="n"/>
      <c r="W699" s="285" t="n"/>
      <c r="X699" s="285" t="n"/>
      <c r="Y699" s="285" t="n"/>
      <c r="Z699" s="285" t="n"/>
      <c r="AA699" s="285" t="n"/>
    </row>
    <row r="700" ht="15.75" customHeight="1" s="398">
      <c r="A700" s="284" t="n"/>
      <c r="B700" s="284" t="n"/>
      <c r="C700" s="285" t="n"/>
      <c r="D700" s="284" t="n"/>
      <c r="E700" s="285" t="n"/>
      <c r="F700" s="285" t="n"/>
      <c r="G700" s="336" t="n"/>
      <c r="H700" s="336" t="n"/>
      <c r="I700" s="285" t="n"/>
      <c r="J700" s="285" t="n"/>
      <c r="K700" s="285" t="n"/>
      <c r="L700" s="285" t="n"/>
      <c r="M700" s="285" t="n"/>
      <c r="N700" s="285" t="n"/>
      <c r="O700" s="285" t="n"/>
      <c r="P700" s="285" t="n"/>
      <c r="Q700" s="285" t="n"/>
      <c r="R700" s="285" t="n"/>
      <c r="S700" s="284" t="n"/>
      <c r="T700" s="284" t="n"/>
      <c r="U700" s="285" t="n"/>
      <c r="V700" s="285" t="n"/>
      <c r="W700" s="285" t="n"/>
      <c r="X700" s="285" t="n"/>
      <c r="Y700" s="285" t="n"/>
      <c r="Z700" s="285" t="n"/>
      <c r="AA700" s="285" t="n"/>
    </row>
    <row r="701" ht="15.75" customHeight="1" s="398">
      <c r="A701" s="284" t="n"/>
      <c r="B701" s="284" t="n"/>
      <c r="C701" s="285" t="n"/>
      <c r="D701" s="284" t="n"/>
      <c r="E701" s="285" t="n"/>
      <c r="F701" s="285" t="n"/>
      <c r="G701" s="336" t="n"/>
      <c r="H701" s="336" t="n"/>
      <c r="I701" s="285" t="n"/>
      <c r="J701" s="285" t="n"/>
      <c r="K701" s="285" t="n"/>
      <c r="L701" s="285" t="n"/>
      <c r="M701" s="285" t="n"/>
      <c r="N701" s="285" t="n"/>
      <c r="O701" s="285" t="n"/>
      <c r="P701" s="285" t="n"/>
      <c r="Q701" s="285" t="n"/>
      <c r="R701" s="285" t="n"/>
      <c r="S701" s="284" t="n"/>
      <c r="T701" s="284" t="n"/>
      <c r="U701" s="285" t="n"/>
      <c r="V701" s="285" t="n"/>
      <c r="W701" s="285" t="n"/>
      <c r="X701" s="285" t="n"/>
      <c r="Y701" s="285" t="n"/>
      <c r="Z701" s="285" t="n"/>
      <c r="AA701" s="285" t="n"/>
    </row>
    <row r="702" ht="15.75" customHeight="1" s="398">
      <c r="A702" s="284" t="n"/>
      <c r="B702" s="284" t="n"/>
      <c r="C702" s="285" t="n"/>
      <c r="D702" s="284" t="n"/>
      <c r="E702" s="285" t="n"/>
      <c r="F702" s="285" t="n"/>
      <c r="G702" s="336" t="n"/>
      <c r="H702" s="336" t="n"/>
      <c r="I702" s="285" t="n"/>
      <c r="J702" s="285" t="n"/>
      <c r="K702" s="285" t="n"/>
      <c r="L702" s="285" t="n"/>
      <c r="M702" s="285" t="n"/>
      <c r="N702" s="285" t="n"/>
      <c r="O702" s="285" t="n"/>
      <c r="P702" s="285" t="n"/>
      <c r="Q702" s="285" t="n"/>
      <c r="R702" s="285" t="n"/>
      <c r="S702" s="284" t="n"/>
      <c r="T702" s="284" t="n"/>
      <c r="U702" s="285" t="n"/>
      <c r="V702" s="285" t="n"/>
      <c r="W702" s="285" t="n"/>
      <c r="X702" s="285" t="n"/>
      <c r="Y702" s="285" t="n"/>
      <c r="Z702" s="285" t="n"/>
      <c r="AA702" s="285" t="n"/>
    </row>
    <row r="703" ht="15.75" customHeight="1" s="398">
      <c r="A703" s="284" t="n"/>
      <c r="B703" s="284" t="n"/>
      <c r="C703" s="285" t="n"/>
      <c r="D703" s="284" t="n"/>
      <c r="E703" s="285" t="n"/>
      <c r="F703" s="285" t="n"/>
      <c r="G703" s="336" t="n"/>
      <c r="H703" s="336" t="n"/>
      <c r="I703" s="285" t="n"/>
      <c r="J703" s="285" t="n"/>
      <c r="K703" s="285" t="n"/>
      <c r="L703" s="285" t="n"/>
      <c r="M703" s="285" t="n"/>
      <c r="N703" s="285" t="n"/>
      <c r="O703" s="285" t="n"/>
      <c r="P703" s="285" t="n"/>
      <c r="Q703" s="285" t="n"/>
      <c r="R703" s="285" t="n"/>
      <c r="S703" s="284" t="n"/>
      <c r="T703" s="284" t="n"/>
      <c r="U703" s="285" t="n"/>
      <c r="V703" s="285" t="n"/>
      <c r="W703" s="285" t="n"/>
      <c r="X703" s="285" t="n"/>
      <c r="Y703" s="285" t="n"/>
      <c r="Z703" s="285" t="n"/>
      <c r="AA703" s="285" t="n"/>
    </row>
    <row r="704" ht="15.75" customHeight="1" s="398">
      <c r="A704" s="284" t="n"/>
      <c r="B704" s="284" t="n"/>
      <c r="C704" s="285" t="n"/>
      <c r="D704" s="284" t="n"/>
      <c r="E704" s="285" t="n"/>
      <c r="F704" s="285" t="n"/>
      <c r="G704" s="336" t="n"/>
      <c r="H704" s="336" t="n"/>
      <c r="I704" s="285" t="n"/>
      <c r="J704" s="285" t="n"/>
      <c r="K704" s="285" t="n"/>
      <c r="L704" s="285" t="n"/>
      <c r="M704" s="285" t="n"/>
      <c r="N704" s="285" t="n"/>
      <c r="O704" s="285" t="n"/>
      <c r="P704" s="285" t="n"/>
      <c r="Q704" s="285" t="n"/>
      <c r="R704" s="285" t="n"/>
      <c r="S704" s="284" t="n"/>
      <c r="T704" s="284" t="n"/>
      <c r="U704" s="285" t="n"/>
      <c r="V704" s="285" t="n"/>
      <c r="W704" s="285" t="n"/>
      <c r="X704" s="285" t="n"/>
      <c r="Y704" s="285" t="n"/>
      <c r="Z704" s="285" t="n"/>
      <c r="AA704" s="285" t="n"/>
    </row>
    <row r="705" ht="15.75" customHeight="1" s="398">
      <c r="A705" s="284" t="n"/>
      <c r="B705" s="284" t="n"/>
      <c r="C705" s="285" t="n"/>
      <c r="D705" s="284" t="n"/>
      <c r="E705" s="285" t="n"/>
      <c r="F705" s="285" t="n"/>
      <c r="G705" s="336" t="n"/>
      <c r="H705" s="336" t="n"/>
      <c r="I705" s="285" t="n"/>
      <c r="J705" s="285" t="n"/>
      <c r="K705" s="285" t="n"/>
      <c r="L705" s="285" t="n"/>
      <c r="M705" s="285" t="n"/>
      <c r="N705" s="285" t="n"/>
      <c r="O705" s="285" t="n"/>
      <c r="P705" s="285" t="n"/>
      <c r="Q705" s="285" t="n"/>
      <c r="R705" s="285" t="n"/>
      <c r="S705" s="284" t="n"/>
      <c r="T705" s="284" t="n"/>
      <c r="U705" s="285" t="n"/>
      <c r="V705" s="285" t="n"/>
      <c r="W705" s="285" t="n"/>
      <c r="X705" s="285" t="n"/>
      <c r="Y705" s="285" t="n"/>
      <c r="Z705" s="285" t="n"/>
      <c r="AA705" s="285" t="n"/>
    </row>
    <row r="706" ht="15.75" customHeight="1" s="398">
      <c r="A706" s="284" t="n"/>
      <c r="B706" s="284" t="n"/>
      <c r="C706" s="285" t="n"/>
      <c r="D706" s="284" t="n"/>
      <c r="E706" s="285" t="n"/>
      <c r="F706" s="285" t="n"/>
      <c r="G706" s="336" t="n"/>
      <c r="H706" s="336" t="n"/>
      <c r="I706" s="285" t="n"/>
      <c r="J706" s="285" t="n"/>
      <c r="K706" s="285" t="n"/>
      <c r="L706" s="285" t="n"/>
      <c r="M706" s="285" t="n"/>
      <c r="N706" s="285" t="n"/>
      <c r="O706" s="285" t="n"/>
      <c r="P706" s="285" t="n"/>
      <c r="Q706" s="285" t="n"/>
      <c r="R706" s="285" t="n"/>
      <c r="S706" s="284" t="n"/>
      <c r="T706" s="284" t="n"/>
      <c r="U706" s="285" t="n"/>
      <c r="V706" s="285" t="n"/>
      <c r="W706" s="285" t="n"/>
      <c r="X706" s="285" t="n"/>
      <c r="Y706" s="285" t="n"/>
      <c r="Z706" s="285" t="n"/>
      <c r="AA706" s="285" t="n"/>
    </row>
    <row r="707" ht="15.75" customHeight="1" s="398">
      <c r="A707" s="284" t="n"/>
      <c r="B707" s="284" t="n"/>
      <c r="C707" s="285" t="n"/>
      <c r="D707" s="284" t="n"/>
      <c r="E707" s="285" t="n"/>
      <c r="F707" s="285" t="n"/>
      <c r="G707" s="336" t="n"/>
      <c r="H707" s="336" t="n"/>
      <c r="I707" s="285" t="n"/>
      <c r="J707" s="285" t="n"/>
      <c r="K707" s="285" t="n"/>
      <c r="L707" s="285" t="n"/>
      <c r="M707" s="285" t="n"/>
      <c r="N707" s="285" t="n"/>
      <c r="O707" s="285" t="n"/>
      <c r="P707" s="285" t="n"/>
      <c r="Q707" s="285" t="n"/>
      <c r="R707" s="285" t="n"/>
      <c r="S707" s="284" t="n"/>
      <c r="T707" s="284" t="n"/>
      <c r="U707" s="285" t="n"/>
      <c r="V707" s="285" t="n"/>
      <c r="W707" s="285" t="n"/>
      <c r="X707" s="285" t="n"/>
      <c r="Y707" s="285" t="n"/>
      <c r="Z707" s="285" t="n"/>
      <c r="AA707" s="285" t="n"/>
    </row>
    <row r="708" ht="15.75" customHeight="1" s="398">
      <c r="A708" s="284" t="n"/>
      <c r="B708" s="284" t="n"/>
      <c r="C708" s="285" t="n"/>
      <c r="D708" s="284" t="n"/>
      <c r="E708" s="285" t="n"/>
      <c r="F708" s="285" t="n"/>
      <c r="G708" s="336" t="n"/>
      <c r="H708" s="336" t="n"/>
      <c r="I708" s="285" t="n"/>
      <c r="J708" s="285" t="n"/>
      <c r="K708" s="285" t="n"/>
      <c r="L708" s="285" t="n"/>
      <c r="M708" s="285" t="n"/>
      <c r="N708" s="285" t="n"/>
      <c r="O708" s="285" t="n"/>
      <c r="P708" s="285" t="n"/>
      <c r="Q708" s="285" t="n"/>
      <c r="R708" s="285" t="n"/>
      <c r="S708" s="284" t="n"/>
      <c r="T708" s="284" t="n"/>
      <c r="U708" s="285" t="n"/>
      <c r="V708" s="285" t="n"/>
      <c r="W708" s="285" t="n"/>
      <c r="X708" s="285" t="n"/>
      <c r="Y708" s="285" t="n"/>
      <c r="Z708" s="285" t="n"/>
      <c r="AA708" s="285" t="n"/>
    </row>
    <row r="709" ht="15.75" customHeight="1" s="398">
      <c r="A709" s="284" t="n"/>
      <c r="B709" s="284" t="n"/>
      <c r="C709" s="285" t="n"/>
      <c r="D709" s="284" t="n"/>
      <c r="E709" s="285" t="n"/>
      <c r="F709" s="285" t="n"/>
      <c r="G709" s="336" t="n"/>
      <c r="H709" s="336" t="n"/>
      <c r="I709" s="285" t="n"/>
      <c r="J709" s="285" t="n"/>
      <c r="K709" s="285" t="n"/>
      <c r="L709" s="285" t="n"/>
      <c r="M709" s="285" t="n"/>
      <c r="N709" s="285" t="n"/>
      <c r="O709" s="285" t="n"/>
      <c r="P709" s="285" t="n"/>
      <c r="Q709" s="285" t="n"/>
      <c r="R709" s="285" t="n"/>
      <c r="S709" s="284" t="n"/>
      <c r="T709" s="284" t="n"/>
      <c r="U709" s="285" t="n"/>
      <c r="V709" s="285" t="n"/>
      <c r="W709" s="285" t="n"/>
      <c r="X709" s="285" t="n"/>
      <c r="Y709" s="285" t="n"/>
      <c r="Z709" s="285" t="n"/>
      <c r="AA709" s="285" t="n"/>
    </row>
    <row r="710" ht="15.75" customHeight="1" s="398">
      <c r="A710" s="284" t="n"/>
      <c r="B710" s="284" t="n"/>
      <c r="C710" s="285" t="n"/>
      <c r="D710" s="284" t="n"/>
      <c r="E710" s="285" t="n"/>
      <c r="F710" s="285" t="n"/>
      <c r="G710" s="336" t="n"/>
      <c r="H710" s="336" t="n"/>
      <c r="I710" s="285" t="n"/>
      <c r="J710" s="285" t="n"/>
      <c r="K710" s="285" t="n"/>
      <c r="L710" s="285" t="n"/>
      <c r="M710" s="285" t="n"/>
      <c r="N710" s="285" t="n"/>
      <c r="O710" s="285" t="n"/>
      <c r="P710" s="285" t="n"/>
      <c r="Q710" s="285" t="n"/>
      <c r="R710" s="285" t="n"/>
      <c r="S710" s="284" t="n"/>
      <c r="T710" s="284" t="n"/>
      <c r="U710" s="285" t="n"/>
      <c r="V710" s="285" t="n"/>
      <c r="W710" s="285" t="n"/>
      <c r="X710" s="285" t="n"/>
      <c r="Y710" s="285" t="n"/>
      <c r="Z710" s="285" t="n"/>
      <c r="AA710" s="285" t="n"/>
    </row>
    <row r="711" ht="15.75" customHeight="1" s="398">
      <c r="A711" s="284" t="n"/>
      <c r="B711" s="284" t="n"/>
      <c r="C711" s="285" t="n"/>
      <c r="D711" s="284" t="n"/>
      <c r="E711" s="285" t="n"/>
      <c r="F711" s="285" t="n"/>
      <c r="G711" s="336" t="n"/>
      <c r="H711" s="336" t="n"/>
      <c r="I711" s="285" t="n"/>
      <c r="J711" s="285" t="n"/>
      <c r="K711" s="285" t="n"/>
      <c r="L711" s="285" t="n"/>
      <c r="M711" s="285" t="n"/>
      <c r="N711" s="285" t="n"/>
      <c r="O711" s="285" t="n"/>
      <c r="P711" s="285" t="n"/>
      <c r="Q711" s="285" t="n"/>
      <c r="R711" s="285" t="n"/>
      <c r="S711" s="284" t="n"/>
      <c r="T711" s="284" t="n"/>
      <c r="U711" s="285" t="n"/>
      <c r="V711" s="285" t="n"/>
      <c r="W711" s="285" t="n"/>
      <c r="X711" s="285" t="n"/>
      <c r="Y711" s="285" t="n"/>
      <c r="Z711" s="285" t="n"/>
      <c r="AA711" s="285" t="n"/>
    </row>
    <row r="712" ht="15.75" customHeight="1" s="398">
      <c r="A712" s="284" t="n"/>
      <c r="B712" s="284" t="n"/>
      <c r="C712" s="285" t="n"/>
      <c r="D712" s="284" t="n"/>
      <c r="E712" s="285" t="n"/>
      <c r="F712" s="285" t="n"/>
      <c r="G712" s="336" t="n"/>
      <c r="H712" s="336" t="n"/>
      <c r="I712" s="285" t="n"/>
      <c r="J712" s="285" t="n"/>
      <c r="K712" s="285" t="n"/>
      <c r="L712" s="285" t="n"/>
      <c r="M712" s="285" t="n"/>
      <c r="N712" s="285" t="n"/>
      <c r="O712" s="285" t="n"/>
      <c r="P712" s="285" t="n"/>
      <c r="Q712" s="285" t="n"/>
      <c r="R712" s="285" t="n"/>
      <c r="S712" s="284" t="n"/>
      <c r="T712" s="284" t="n"/>
      <c r="U712" s="285" t="n"/>
      <c r="V712" s="285" t="n"/>
      <c r="W712" s="285" t="n"/>
      <c r="X712" s="285" t="n"/>
      <c r="Y712" s="285" t="n"/>
      <c r="Z712" s="285" t="n"/>
      <c r="AA712" s="285" t="n"/>
    </row>
    <row r="713" ht="15.75" customHeight="1" s="398">
      <c r="A713" s="284" t="n"/>
      <c r="B713" s="284" t="n"/>
      <c r="C713" s="285" t="n"/>
      <c r="D713" s="284" t="n"/>
      <c r="E713" s="285" t="n"/>
      <c r="F713" s="285" t="n"/>
      <c r="G713" s="336" t="n"/>
      <c r="H713" s="336" t="n"/>
      <c r="I713" s="285" t="n"/>
      <c r="J713" s="285" t="n"/>
      <c r="K713" s="285" t="n"/>
      <c r="L713" s="285" t="n"/>
      <c r="M713" s="285" t="n"/>
      <c r="N713" s="285" t="n"/>
      <c r="O713" s="285" t="n"/>
      <c r="P713" s="285" t="n"/>
      <c r="Q713" s="285" t="n"/>
      <c r="R713" s="285" t="n"/>
      <c r="S713" s="284" t="n"/>
      <c r="T713" s="284" t="n"/>
      <c r="U713" s="285" t="n"/>
      <c r="V713" s="285" t="n"/>
      <c r="W713" s="285" t="n"/>
      <c r="X713" s="285" t="n"/>
      <c r="Y713" s="285" t="n"/>
      <c r="Z713" s="285" t="n"/>
      <c r="AA713" s="285" t="n"/>
    </row>
    <row r="714" ht="15.75" customHeight="1" s="398">
      <c r="A714" s="284" t="n"/>
      <c r="B714" s="284" t="n"/>
      <c r="C714" s="285" t="n"/>
      <c r="D714" s="284" t="n"/>
      <c r="E714" s="285" t="n"/>
      <c r="F714" s="285" t="n"/>
      <c r="G714" s="336" t="n"/>
      <c r="H714" s="336" t="n"/>
      <c r="I714" s="285" t="n"/>
      <c r="J714" s="285" t="n"/>
      <c r="K714" s="285" t="n"/>
      <c r="L714" s="285" t="n"/>
      <c r="M714" s="285" t="n"/>
      <c r="N714" s="285" t="n"/>
      <c r="O714" s="285" t="n"/>
      <c r="P714" s="285" t="n"/>
      <c r="Q714" s="285" t="n"/>
      <c r="R714" s="285" t="n"/>
      <c r="S714" s="284" t="n"/>
      <c r="T714" s="284" t="n"/>
      <c r="U714" s="285" t="n"/>
      <c r="V714" s="285" t="n"/>
      <c r="W714" s="285" t="n"/>
      <c r="X714" s="285" t="n"/>
      <c r="Y714" s="285" t="n"/>
      <c r="Z714" s="285" t="n"/>
      <c r="AA714" s="285" t="n"/>
    </row>
    <row r="715" ht="15.75" customHeight="1" s="398">
      <c r="A715" s="284" t="n"/>
      <c r="B715" s="284" t="n"/>
      <c r="C715" s="285" t="n"/>
      <c r="D715" s="284" t="n"/>
      <c r="E715" s="285" t="n"/>
      <c r="F715" s="285" t="n"/>
      <c r="G715" s="336" t="n"/>
      <c r="H715" s="336" t="n"/>
      <c r="I715" s="285" t="n"/>
      <c r="J715" s="285" t="n"/>
      <c r="K715" s="285" t="n"/>
      <c r="L715" s="285" t="n"/>
      <c r="M715" s="285" t="n"/>
      <c r="N715" s="285" t="n"/>
      <c r="O715" s="285" t="n"/>
      <c r="P715" s="285" t="n"/>
      <c r="Q715" s="285" t="n"/>
      <c r="R715" s="285" t="n"/>
      <c r="S715" s="284" t="n"/>
      <c r="T715" s="284" t="n"/>
      <c r="U715" s="285" t="n"/>
      <c r="V715" s="285" t="n"/>
      <c r="W715" s="285" t="n"/>
      <c r="X715" s="285" t="n"/>
      <c r="Y715" s="285" t="n"/>
      <c r="Z715" s="285" t="n"/>
      <c r="AA715" s="285" t="n"/>
    </row>
    <row r="716" ht="15.75" customHeight="1" s="398">
      <c r="A716" s="284" t="n"/>
      <c r="B716" s="284" t="n"/>
      <c r="C716" s="285" t="n"/>
      <c r="D716" s="284" t="n"/>
      <c r="E716" s="285" t="n"/>
      <c r="F716" s="285" t="n"/>
      <c r="G716" s="336" t="n"/>
      <c r="H716" s="336" t="n"/>
      <c r="I716" s="285" t="n"/>
      <c r="J716" s="285" t="n"/>
      <c r="K716" s="285" t="n"/>
      <c r="L716" s="285" t="n"/>
      <c r="M716" s="285" t="n"/>
      <c r="N716" s="285" t="n"/>
      <c r="O716" s="285" t="n"/>
      <c r="P716" s="285" t="n"/>
      <c r="Q716" s="285" t="n"/>
      <c r="R716" s="285" t="n"/>
      <c r="S716" s="284" t="n"/>
      <c r="T716" s="284" t="n"/>
      <c r="U716" s="285" t="n"/>
      <c r="V716" s="285" t="n"/>
      <c r="W716" s="285" t="n"/>
      <c r="X716" s="285" t="n"/>
      <c r="Y716" s="285" t="n"/>
      <c r="Z716" s="285" t="n"/>
      <c r="AA716" s="285" t="n"/>
    </row>
    <row r="717" ht="15.75" customHeight="1" s="398">
      <c r="A717" s="284" t="n"/>
      <c r="B717" s="284" t="n"/>
      <c r="C717" s="285" t="n"/>
      <c r="D717" s="284" t="n"/>
      <c r="E717" s="285" t="n"/>
      <c r="F717" s="285" t="n"/>
      <c r="G717" s="336" t="n"/>
      <c r="H717" s="336" t="n"/>
      <c r="I717" s="285" t="n"/>
      <c r="J717" s="285" t="n"/>
      <c r="K717" s="285" t="n"/>
      <c r="L717" s="285" t="n"/>
      <c r="M717" s="285" t="n"/>
      <c r="N717" s="285" t="n"/>
      <c r="O717" s="285" t="n"/>
      <c r="P717" s="285" t="n"/>
      <c r="Q717" s="285" t="n"/>
      <c r="R717" s="285" t="n"/>
      <c r="S717" s="284" t="n"/>
      <c r="T717" s="284" t="n"/>
      <c r="U717" s="285" t="n"/>
      <c r="V717" s="285" t="n"/>
      <c r="W717" s="285" t="n"/>
      <c r="X717" s="285" t="n"/>
      <c r="Y717" s="285" t="n"/>
      <c r="Z717" s="285" t="n"/>
      <c r="AA717" s="285" t="n"/>
    </row>
    <row r="718" ht="15.75" customHeight="1" s="398">
      <c r="A718" s="284" t="n"/>
      <c r="B718" s="284" t="n"/>
      <c r="C718" s="285" t="n"/>
      <c r="D718" s="284" t="n"/>
      <c r="E718" s="285" t="n"/>
      <c r="F718" s="285" t="n"/>
      <c r="G718" s="336" t="n"/>
      <c r="H718" s="336" t="n"/>
      <c r="I718" s="285" t="n"/>
      <c r="J718" s="285" t="n"/>
      <c r="K718" s="285" t="n"/>
      <c r="L718" s="285" t="n"/>
      <c r="M718" s="285" t="n"/>
      <c r="N718" s="285" t="n"/>
      <c r="O718" s="285" t="n"/>
      <c r="P718" s="285" t="n"/>
      <c r="Q718" s="285" t="n"/>
      <c r="R718" s="285" t="n"/>
      <c r="S718" s="284" t="n"/>
      <c r="T718" s="284" t="n"/>
      <c r="U718" s="285" t="n"/>
      <c r="V718" s="285" t="n"/>
      <c r="W718" s="285" t="n"/>
      <c r="X718" s="285" t="n"/>
      <c r="Y718" s="285" t="n"/>
      <c r="Z718" s="285" t="n"/>
      <c r="AA718" s="285" t="n"/>
    </row>
    <row r="719" ht="15.75" customHeight="1" s="398">
      <c r="A719" s="284" t="n"/>
      <c r="B719" s="284" t="n"/>
      <c r="C719" s="285" t="n"/>
      <c r="D719" s="284" t="n"/>
      <c r="E719" s="285" t="n"/>
      <c r="F719" s="285" t="n"/>
      <c r="G719" s="336" t="n"/>
      <c r="H719" s="336" t="n"/>
      <c r="I719" s="285" t="n"/>
      <c r="J719" s="285" t="n"/>
      <c r="K719" s="285" t="n"/>
      <c r="L719" s="285" t="n"/>
      <c r="M719" s="285" t="n"/>
      <c r="N719" s="285" t="n"/>
      <c r="O719" s="285" t="n"/>
      <c r="P719" s="285" t="n"/>
      <c r="Q719" s="285" t="n"/>
      <c r="R719" s="285" t="n"/>
      <c r="S719" s="284" t="n"/>
      <c r="T719" s="284" t="n"/>
      <c r="U719" s="285" t="n"/>
      <c r="V719" s="285" t="n"/>
      <c r="W719" s="285" t="n"/>
      <c r="X719" s="285" t="n"/>
      <c r="Y719" s="285" t="n"/>
      <c r="Z719" s="285" t="n"/>
      <c r="AA719" s="285" t="n"/>
    </row>
    <row r="720" ht="15.75" customHeight="1" s="398">
      <c r="A720" s="284" t="n"/>
      <c r="B720" s="284" t="n"/>
      <c r="C720" s="285" t="n"/>
      <c r="D720" s="284" t="n"/>
      <c r="E720" s="285" t="n"/>
      <c r="F720" s="285" t="n"/>
      <c r="G720" s="336" t="n"/>
      <c r="H720" s="336" t="n"/>
      <c r="I720" s="285" t="n"/>
      <c r="J720" s="285" t="n"/>
      <c r="K720" s="285" t="n"/>
      <c r="L720" s="285" t="n"/>
      <c r="M720" s="285" t="n"/>
      <c r="N720" s="285" t="n"/>
      <c r="O720" s="285" t="n"/>
      <c r="P720" s="285" t="n"/>
      <c r="Q720" s="285" t="n"/>
      <c r="R720" s="285" t="n"/>
      <c r="S720" s="284" t="n"/>
      <c r="T720" s="284" t="n"/>
      <c r="U720" s="285" t="n"/>
      <c r="V720" s="285" t="n"/>
      <c r="W720" s="285" t="n"/>
      <c r="X720" s="285" t="n"/>
      <c r="Y720" s="285" t="n"/>
      <c r="Z720" s="285" t="n"/>
      <c r="AA720" s="285" t="n"/>
    </row>
    <row r="721" ht="15.75" customHeight="1" s="398">
      <c r="A721" s="284" t="n"/>
      <c r="B721" s="284" t="n"/>
      <c r="C721" s="285" t="n"/>
      <c r="D721" s="284" t="n"/>
      <c r="E721" s="285" t="n"/>
      <c r="F721" s="285" t="n"/>
      <c r="G721" s="336" t="n"/>
      <c r="H721" s="336" t="n"/>
      <c r="I721" s="285" t="n"/>
      <c r="J721" s="285" t="n"/>
      <c r="K721" s="285" t="n"/>
      <c r="L721" s="285" t="n"/>
      <c r="M721" s="285" t="n"/>
      <c r="N721" s="285" t="n"/>
      <c r="O721" s="285" t="n"/>
      <c r="P721" s="285" t="n"/>
      <c r="Q721" s="285" t="n"/>
      <c r="R721" s="285" t="n"/>
      <c r="S721" s="284" t="n"/>
      <c r="T721" s="284" t="n"/>
      <c r="U721" s="285" t="n"/>
      <c r="V721" s="285" t="n"/>
      <c r="W721" s="285" t="n"/>
      <c r="X721" s="285" t="n"/>
      <c r="Y721" s="285" t="n"/>
      <c r="Z721" s="285" t="n"/>
      <c r="AA721" s="285" t="n"/>
    </row>
    <row r="722" ht="15.75" customHeight="1" s="398">
      <c r="A722" s="284" t="n"/>
      <c r="B722" s="284" t="n"/>
      <c r="C722" s="285" t="n"/>
      <c r="D722" s="284" t="n"/>
      <c r="E722" s="285" t="n"/>
      <c r="F722" s="285" t="n"/>
      <c r="G722" s="336" t="n"/>
      <c r="H722" s="336" t="n"/>
      <c r="I722" s="285" t="n"/>
      <c r="J722" s="285" t="n"/>
      <c r="K722" s="285" t="n"/>
      <c r="L722" s="285" t="n"/>
      <c r="M722" s="285" t="n"/>
      <c r="N722" s="285" t="n"/>
      <c r="O722" s="285" t="n"/>
      <c r="P722" s="285" t="n"/>
      <c r="Q722" s="285" t="n"/>
      <c r="R722" s="285" t="n"/>
      <c r="S722" s="284" t="n"/>
      <c r="T722" s="284" t="n"/>
      <c r="U722" s="285" t="n"/>
      <c r="V722" s="285" t="n"/>
      <c r="W722" s="285" t="n"/>
      <c r="X722" s="285" t="n"/>
      <c r="Y722" s="285" t="n"/>
      <c r="Z722" s="285" t="n"/>
      <c r="AA722" s="285" t="n"/>
    </row>
    <row r="723" ht="15.75" customHeight="1" s="398">
      <c r="A723" s="284" t="n"/>
      <c r="B723" s="284" t="n"/>
      <c r="C723" s="285" t="n"/>
      <c r="D723" s="284" t="n"/>
      <c r="E723" s="285" t="n"/>
      <c r="F723" s="285" t="n"/>
      <c r="G723" s="336" t="n"/>
      <c r="H723" s="336" t="n"/>
      <c r="I723" s="285" t="n"/>
      <c r="J723" s="285" t="n"/>
      <c r="K723" s="285" t="n"/>
      <c r="L723" s="285" t="n"/>
      <c r="M723" s="285" t="n"/>
      <c r="N723" s="285" t="n"/>
      <c r="O723" s="285" t="n"/>
      <c r="P723" s="285" t="n"/>
      <c r="Q723" s="285" t="n"/>
      <c r="R723" s="285" t="n"/>
      <c r="S723" s="284" t="n"/>
      <c r="T723" s="284" t="n"/>
      <c r="U723" s="285" t="n"/>
      <c r="V723" s="285" t="n"/>
      <c r="W723" s="285" t="n"/>
      <c r="X723" s="285" t="n"/>
      <c r="Y723" s="285" t="n"/>
      <c r="Z723" s="285" t="n"/>
      <c r="AA723" s="285" t="n"/>
    </row>
    <row r="724" ht="15.75" customHeight="1" s="398">
      <c r="A724" s="284" t="n"/>
      <c r="B724" s="284" t="n"/>
      <c r="C724" s="285" t="n"/>
      <c r="D724" s="284" t="n"/>
      <c r="E724" s="285" t="n"/>
      <c r="F724" s="285" t="n"/>
      <c r="G724" s="336" t="n"/>
      <c r="H724" s="336" t="n"/>
      <c r="I724" s="285" t="n"/>
      <c r="J724" s="285" t="n"/>
      <c r="K724" s="285" t="n"/>
      <c r="L724" s="285" t="n"/>
      <c r="M724" s="285" t="n"/>
      <c r="N724" s="285" t="n"/>
      <c r="O724" s="285" t="n"/>
      <c r="P724" s="285" t="n"/>
      <c r="Q724" s="285" t="n"/>
      <c r="R724" s="285" t="n"/>
      <c r="S724" s="284" t="n"/>
      <c r="T724" s="284" t="n"/>
      <c r="U724" s="285" t="n"/>
      <c r="V724" s="285" t="n"/>
      <c r="W724" s="285" t="n"/>
      <c r="X724" s="285" t="n"/>
      <c r="Y724" s="285" t="n"/>
      <c r="Z724" s="285" t="n"/>
      <c r="AA724" s="285" t="n"/>
    </row>
    <row r="725" ht="15.75" customHeight="1" s="398">
      <c r="A725" s="284" t="n"/>
      <c r="B725" s="284" t="n"/>
      <c r="C725" s="285" t="n"/>
      <c r="D725" s="284" t="n"/>
      <c r="E725" s="285" t="n"/>
      <c r="F725" s="285" t="n"/>
      <c r="G725" s="336" t="n"/>
      <c r="H725" s="336" t="n"/>
      <c r="I725" s="285" t="n"/>
      <c r="J725" s="285" t="n"/>
      <c r="K725" s="285" t="n"/>
      <c r="L725" s="285" t="n"/>
      <c r="M725" s="285" t="n"/>
      <c r="N725" s="285" t="n"/>
      <c r="O725" s="285" t="n"/>
      <c r="P725" s="285" t="n"/>
      <c r="Q725" s="285" t="n"/>
      <c r="R725" s="285" t="n"/>
      <c r="S725" s="284" t="n"/>
      <c r="T725" s="284" t="n"/>
      <c r="U725" s="285" t="n"/>
      <c r="V725" s="285" t="n"/>
      <c r="W725" s="285" t="n"/>
      <c r="X725" s="285" t="n"/>
      <c r="Y725" s="285" t="n"/>
      <c r="Z725" s="285" t="n"/>
      <c r="AA725" s="285" t="n"/>
    </row>
    <row r="726" ht="15.75" customHeight="1" s="398">
      <c r="A726" s="284" t="n"/>
      <c r="B726" s="284" t="n"/>
      <c r="C726" s="285" t="n"/>
      <c r="D726" s="284" t="n"/>
      <c r="E726" s="285" t="n"/>
      <c r="F726" s="285" t="n"/>
      <c r="G726" s="336" t="n"/>
      <c r="H726" s="336" t="n"/>
      <c r="I726" s="285" t="n"/>
      <c r="J726" s="285" t="n"/>
      <c r="K726" s="285" t="n"/>
      <c r="L726" s="285" t="n"/>
      <c r="M726" s="285" t="n"/>
      <c r="N726" s="285" t="n"/>
      <c r="O726" s="285" t="n"/>
      <c r="P726" s="285" t="n"/>
      <c r="Q726" s="285" t="n"/>
      <c r="R726" s="285" t="n"/>
      <c r="S726" s="284" t="n"/>
      <c r="T726" s="284" t="n"/>
      <c r="U726" s="285" t="n"/>
      <c r="V726" s="285" t="n"/>
      <c r="W726" s="285" t="n"/>
      <c r="X726" s="285" t="n"/>
      <c r="Y726" s="285" t="n"/>
      <c r="Z726" s="285" t="n"/>
      <c r="AA726" s="285" t="n"/>
    </row>
    <row r="727" ht="15.75" customHeight="1" s="398">
      <c r="A727" s="284" t="n"/>
      <c r="B727" s="284" t="n"/>
      <c r="C727" s="285" t="n"/>
      <c r="D727" s="284" t="n"/>
      <c r="E727" s="285" t="n"/>
      <c r="F727" s="285" t="n"/>
      <c r="G727" s="336" t="n"/>
      <c r="H727" s="336" t="n"/>
      <c r="I727" s="285" t="n"/>
      <c r="J727" s="285" t="n"/>
      <c r="K727" s="285" t="n"/>
      <c r="L727" s="285" t="n"/>
      <c r="M727" s="285" t="n"/>
      <c r="N727" s="285" t="n"/>
      <c r="O727" s="285" t="n"/>
      <c r="P727" s="285" t="n"/>
      <c r="Q727" s="285" t="n"/>
      <c r="R727" s="285" t="n"/>
      <c r="S727" s="284" t="n"/>
      <c r="T727" s="284" t="n"/>
      <c r="U727" s="285" t="n"/>
      <c r="V727" s="285" t="n"/>
      <c r="W727" s="285" t="n"/>
      <c r="X727" s="285" t="n"/>
      <c r="Y727" s="285" t="n"/>
      <c r="Z727" s="285" t="n"/>
      <c r="AA727" s="285" t="n"/>
    </row>
    <row r="728" ht="15.75" customHeight="1" s="398">
      <c r="A728" s="284" t="n"/>
      <c r="B728" s="284" t="n"/>
      <c r="C728" s="285" t="n"/>
      <c r="D728" s="284" t="n"/>
      <c r="E728" s="285" t="n"/>
      <c r="F728" s="285" t="n"/>
      <c r="G728" s="336" t="n"/>
      <c r="H728" s="336" t="n"/>
      <c r="I728" s="285" t="n"/>
      <c r="J728" s="285" t="n"/>
      <c r="K728" s="285" t="n"/>
      <c r="L728" s="285" t="n"/>
      <c r="M728" s="285" t="n"/>
      <c r="N728" s="285" t="n"/>
      <c r="O728" s="285" t="n"/>
      <c r="P728" s="285" t="n"/>
      <c r="Q728" s="285" t="n"/>
      <c r="R728" s="285" t="n"/>
      <c r="S728" s="284" t="n"/>
      <c r="T728" s="284" t="n"/>
      <c r="U728" s="285" t="n"/>
      <c r="V728" s="285" t="n"/>
      <c r="W728" s="285" t="n"/>
      <c r="X728" s="285" t="n"/>
      <c r="Y728" s="285" t="n"/>
      <c r="Z728" s="285" t="n"/>
      <c r="AA728" s="285" t="n"/>
    </row>
    <row r="729" ht="15.75" customHeight="1" s="398">
      <c r="A729" s="284" t="n"/>
      <c r="B729" s="284" t="n"/>
      <c r="C729" s="285" t="n"/>
      <c r="D729" s="284" t="n"/>
      <c r="E729" s="285" t="n"/>
      <c r="F729" s="285" t="n"/>
      <c r="G729" s="336" t="n"/>
      <c r="H729" s="336" t="n"/>
      <c r="I729" s="285" t="n"/>
      <c r="J729" s="285" t="n"/>
      <c r="K729" s="285" t="n"/>
      <c r="L729" s="285" t="n"/>
      <c r="M729" s="285" t="n"/>
      <c r="N729" s="285" t="n"/>
      <c r="O729" s="285" t="n"/>
      <c r="P729" s="285" t="n"/>
      <c r="Q729" s="285" t="n"/>
      <c r="R729" s="285" t="n"/>
      <c r="S729" s="284" t="n"/>
      <c r="T729" s="284" t="n"/>
      <c r="U729" s="285" t="n"/>
      <c r="V729" s="285" t="n"/>
      <c r="W729" s="285" t="n"/>
      <c r="X729" s="285" t="n"/>
      <c r="Y729" s="285" t="n"/>
      <c r="Z729" s="285" t="n"/>
      <c r="AA729" s="285" t="n"/>
    </row>
    <row r="730" ht="15.75" customHeight="1" s="398">
      <c r="A730" s="284" t="n"/>
      <c r="B730" s="284" t="n"/>
      <c r="C730" s="285" t="n"/>
      <c r="D730" s="284" t="n"/>
      <c r="E730" s="285" t="n"/>
      <c r="F730" s="285" t="n"/>
      <c r="G730" s="336" t="n"/>
      <c r="H730" s="336" t="n"/>
      <c r="I730" s="285" t="n"/>
      <c r="J730" s="285" t="n"/>
      <c r="K730" s="285" t="n"/>
      <c r="L730" s="285" t="n"/>
      <c r="M730" s="285" t="n"/>
      <c r="N730" s="285" t="n"/>
      <c r="O730" s="285" t="n"/>
      <c r="P730" s="285" t="n"/>
      <c r="Q730" s="285" t="n"/>
      <c r="R730" s="285" t="n"/>
      <c r="S730" s="284" t="n"/>
      <c r="T730" s="284" t="n"/>
      <c r="U730" s="285" t="n"/>
      <c r="V730" s="285" t="n"/>
      <c r="W730" s="285" t="n"/>
      <c r="X730" s="285" t="n"/>
      <c r="Y730" s="285" t="n"/>
      <c r="Z730" s="285" t="n"/>
      <c r="AA730" s="285" t="n"/>
    </row>
    <row r="731" ht="15.75" customHeight="1" s="398">
      <c r="A731" s="284" t="n"/>
      <c r="B731" s="284" t="n"/>
      <c r="C731" s="285" t="n"/>
      <c r="D731" s="284" t="n"/>
      <c r="E731" s="285" t="n"/>
      <c r="F731" s="285" t="n"/>
      <c r="G731" s="336" t="n"/>
      <c r="H731" s="336" t="n"/>
      <c r="I731" s="285" t="n"/>
      <c r="J731" s="285" t="n"/>
      <c r="K731" s="285" t="n"/>
      <c r="L731" s="285" t="n"/>
      <c r="M731" s="285" t="n"/>
      <c r="N731" s="285" t="n"/>
      <c r="O731" s="285" t="n"/>
      <c r="P731" s="285" t="n"/>
      <c r="Q731" s="285" t="n"/>
      <c r="R731" s="285" t="n"/>
      <c r="S731" s="284" t="n"/>
      <c r="T731" s="284" t="n"/>
      <c r="U731" s="285" t="n"/>
      <c r="V731" s="285" t="n"/>
      <c r="W731" s="285" t="n"/>
      <c r="X731" s="285" t="n"/>
      <c r="Y731" s="285" t="n"/>
      <c r="Z731" s="285" t="n"/>
      <c r="AA731" s="285" t="n"/>
    </row>
    <row r="732" ht="15.75" customHeight="1" s="398">
      <c r="A732" s="284" t="n"/>
      <c r="B732" s="284" t="n"/>
      <c r="C732" s="285" t="n"/>
      <c r="D732" s="284" t="n"/>
      <c r="E732" s="285" t="n"/>
      <c r="F732" s="285" t="n"/>
      <c r="G732" s="336" t="n"/>
      <c r="H732" s="336" t="n"/>
      <c r="I732" s="285" t="n"/>
      <c r="J732" s="285" t="n"/>
      <c r="K732" s="285" t="n"/>
      <c r="L732" s="285" t="n"/>
      <c r="M732" s="285" t="n"/>
      <c r="N732" s="285" t="n"/>
      <c r="O732" s="285" t="n"/>
      <c r="P732" s="285" t="n"/>
      <c r="Q732" s="285" t="n"/>
      <c r="R732" s="285" t="n"/>
      <c r="S732" s="284" t="n"/>
      <c r="T732" s="284" t="n"/>
      <c r="U732" s="285" t="n"/>
      <c r="V732" s="285" t="n"/>
      <c r="W732" s="285" t="n"/>
      <c r="X732" s="285" t="n"/>
      <c r="Y732" s="285" t="n"/>
      <c r="Z732" s="285" t="n"/>
      <c r="AA732" s="285" t="n"/>
    </row>
    <row r="733" ht="15.75" customHeight="1" s="398">
      <c r="A733" s="284" t="n"/>
      <c r="B733" s="284" t="n"/>
      <c r="C733" s="285" t="n"/>
      <c r="D733" s="284" t="n"/>
      <c r="E733" s="285" t="n"/>
      <c r="F733" s="285" t="n"/>
      <c r="G733" s="336" t="n"/>
      <c r="H733" s="336" t="n"/>
      <c r="I733" s="285" t="n"/>
      <c r="J733" s="285" t="n"/>
      <c r="K733" s="285" t="n"/>
      <c r="L733" s="285" t="n"/>
      <c r="M733" s="285" t="n"/>
      <c r="N733" s="285" t="n"/>
      <c r="O733" s="285" t="n"/>
      <c r="P733" s="285" t="n"/>
      <c r="Q733" s="285" t="n"/>
      <c r="R733" s="285" t="n"/>
      <c r="S733" s="284" t="n"/>
      <c r="T733" s="284" t="n"/>
      <c r="U733" s="285" t="n"/>
      <c r="V733" s="285" t="n"/>
      <c r="W733" s="285" t="n"/>
      <c r="X733" s="285" t="n"/>
      <c r="Y733" s="285" t="n"/>
      <c r="Z733" s="285" t="n"/>
      <c r="AA733" s="285" t="n"/>
    </row>
    <row r="734" ht="15.75" customHeight="1" s="398">
      <c r="A734" s="284" t="n"/>
      <c r="B734" s="284" t="n"/>
      <c r="C734" s="285" t="n"/>
      <c r="D734" s="284" t="n"/>
      <c r="E734" s="285" t="n"/>
      <c r="F734" s="285" t="n"/>
      <c r="G734" s="336" t="n"/>
      <c r="H734" s="336" t="n"/>
      <c r="I734" s="285" t="n"/>
      <c r="J734" s="285" t="n"/>
      <c r="K734" s="285" t="n"/>
      <c r="L734" s="285" t="n"/>
      <c r="M734" s="285" t="n"/>
      <c r="N734" s="285" t="n"/>
      <c r="O734" s="285" t="n"/>
      <c r="P734" s="285" t="n"/>
      <c r="Q734" s="285" t="n"/>
      <c r="R734" s="285" t="n"/>
      <c r="S734" s="284" t="n"/>
      <c r="T734" s="284" t="n"/>
      <c r="U734" s="285" t="n"/>
      <c r="V734" s="285" t="n"/>
      <c r="W734" s="285" t="n"/>
      <c r="X734" s="285" t="n"/>
      <c r="Y734" s="285" t="n"/>
      <c r="Z734" s="285" t="n"/>
      <c r="AA734" s="285" t="n"/>
    </row>
    <row r="735" ht="15.75" customHeight="1" s="398">
      <c r="A735" s="284" t="n"/>
      <c r="B735" s="284" t="n"/>
      <c r="C735" s="285" t="n"/>
      <c r="D735" s="284" t="n"/>
      <c r="E735" s="285" t="n"/>
      <c r="F735" s="285" t="n"/>
      <c r="G735" s="336" t="n"/>
      <c r="H735" s="336" t="n"/>
      <c r="I735" s="285" t="n"/>
      <c r="J735" s="285" t="n"/>
      <c r="K735" s="285" t="n"/>
      <c r="L735" s="285" t="n"/>
      <c r="M735" s="285" t="n"/>
      <c r="N735" s="285" t="n"/>
      <c r="O735" s="285" t="n"/>
      <c r="P735" s="285" t="n"/>
      <c r="Q735" s="285" t="n"/>
      <c r="R735" s="285" t="n"/>
      <c r="S735" s="284" t="n"/>
      <c r="T735" s="284" t="n"/>
      <c r="U735" s="285" t="n"/>
      <c r="V735" s="285" t="n"/>
      <c r="W735" s="285" t="n"/>
      <c r="X735" s="285" t="n"/>
      <c r="Y735" s="285" t="n"/>
      <c r="Z735" s="285" t="n"/>
      <c r="AA735" s="285" t="n"/>
    </row>
    <row r="736" ht="15.75" customHeight="1" s="398">
      <c r="A736" s="284" t="n"/>
      <c r="B736" s="284" t="n"/>
      <c r="C736" s="285" t="n"/>
      <c r="D736" s="284" t="n"/>
      <c r="E736" s="285" t="n"/>
      <c r="F736" s="285" t="n"/>
      <c r="G736" s="336" t="n"/>
      <c r="H736" s="336" t="n"/>
      <c r="I736" s="285" t="n"/>
      <c r="J736" s="285" t="n"/>
      <c r="K736" s="285" t="n"/>
      <c r="L736" s="285" t="n"/>
      <c r="M736" s="285" t="n"/>
      <c r="N736" s="285" t="n"/>
      <c r="O736" s="285" t="n"/>
      <c r="P736" s="285" t="n"/>
      <c r="Q736" s="285" t="n"/>
      <c r="R736" s="285" t="n"/>
      <c r="S736" s="284" t="n"/>
      <c r="T736" s="284" t="n"/>
      <c r="U736" s="285" t="n"/>
      <c r="V736" s="285" t="n"/>
      <c r="W736" s="285" t="n"/>
      <c r="X736" s="285" t="n"/>
      <c r="Y736" s="285" t="n"/>
      <c r="Z736" s="285" t="n"/>
      <c r="AA736" s="285" t="n"/>
    </row>
    <row r="737" ht="15.75" customHeight="1" s="398">
      <c r="A737" s="284" t="n"/>
      <c r="B737" s="284" t="n"/>
      <c r="C737" s="285" t="n"/>
      <c r="D737" s="284" t="n"/>
      <c r="E737" s="285" t="n"/>
      <c r="F737" s="285" t="n"/>
      <c r="G737" s="336" t="n"/>
      <c r="H737" s="336" t="n"/>
      <c r="I737" s="285" t="n"/>
      <c r="J737" s="285" t="n"/>
      <c r="K737" s="285" t="n"/>
      <c r="L737" s="285" t="n"/>
      <c r="M737" s="285" t="n"/>
      <c r="N737" s="285" t="n"/>
      <c r="O737" s="285" t="n"/>
      <c r="P737" s="285" t="n"/>
      <c r="Q737" s="285" t="n"/>
      <c r="R737" s="285" t="n"/>
      <c r="S737" s="284" t="n"/>
      <c r="T737" s="284" t="n"/>
      <c r="U737" s="285" t="n"/>
      <c r="V737" s="285" t="n"/>
      <c r="W737" s="285" t="n"/>
      <c r="X737" s="285" t="n"/>
      <c r="Y737" s="285" t="n"/>
      <c r="Z737" s="285" t="n"/>
      <c r="AA737" s="285" t="n"/>
    </row>
    <row r="738" ht="15.75" customHeight="1" s="398">
      <c r="A738" s="284" t="n"/>
      <c r="B738" s="284" t="n"/>
      <c r="C738" s="285" t="n"/>
      <c r="D738" s="284" t="n"/>
      <c r="E738" s="285" t="n"/>
      <c r="F738" s="285" t="n"/>
      <c r="G738" s="336" t="n"/>
      <c r="H738" s="336" t="n"/>
      <c r="I738" s="285" t="n"/>
      <c r="J738" s="285" t="n"/>
      <c r="K738" s="285" t="n"/>
      <c r="L738" s="285" t="n"/>
      <c r="M738" s="285" t="n"/>
      <c r="N738" s="285" t="n"/>
      <c r="O738" s="285" t="n"/>
      <c r="P738" s="285" t="n"/>
      <c r="Q738" s="285" t="n"/>
      <c r="R738" s="285" t="n"/>
      <c r="S738" s="284" t="n"/>
      <c r="T738" s="284" t="n"/>
      <c r="U738" s="285" t="n"/>
      <c r="V738" s="285" t="n"/>
      <c r="W738" s="285" t="n"/>
      <c r="X738" s="285" t="n"/>
      <c r="Y738" s="285" t="n"/>
      <c r="Z738" s="285" t="n"/>
      <c r="AA738" s="285" t="n"/>
    </row>
    <row r="739" ht="15.75" customHeight="1" s="398">
      <c r="A739" s="284" t="n"/>
      <c r="B739" s="284" t="n"/>
      <c r="C739" s="285" t="n"/>
      <c r="D739" s="284" t="n"/>
      <c r="E739" s="285" t="n"/>
      <c r="F739" s="285" t="n"/>
      <c r="G739" s="336" t="n"/>
      <c r="H739" s="336" t="n"/>
      <c r="I739" s="285" t="n"/>
      <c r="J739" s="285" t="n"/>
      <c r="K739" s="285" t="n"/>
      <c r="L739" s="285" t="n"/>
      <c r="M739" s="285" t="n"/>
      <c r="N739" s="285" t="n"/>
      <c r="O739" s="285" t="n"/>
      <c r="P739" s="285" t="n"/>
      <c r="Q739" s="285" t="n"/>
      <c r="R739" s="285" t="n"/>
      <c r="S739" s="284" t="n"/>
      <c r="T739" s="284" t="n"/>
      <c r="U739" s="285" t="n"/>
      <c r="V739" s="285" t="n"/>
      <c r="W739" s="285" t="n"/>
      <c r="X739" s="285" t="n"/>
      <c r="Y739" s="285" t="n"/>
      <c r="Z739" s="285" t="n"/>
      <c r="AA739" s="285" t="n"/>
    </row>
    <row r="740" ht="15.75" customHeight="1" s="398">
      <c r="A740" s="284" t="n"/>
      <c r="B740" s="284" t="n"/>
      <c r="C740" s="285" t="n"/>
      <c r="D740" s="284" t="n"/>
      <c r="E740" s="285" t="n"/>
      <c r="F740" s="285" t="n"/>
      <c r="G740" s="336" t="n"/>
      <c r="H740" s="336" t="n"/>
      <c r="I740" s="285" t="n"/>
      <c r="J740" s="285" t="n"/>
      <c r="K740" s="285" t="n"/>
      <c r="L740" s="285" t="n"/>
      <c r="M740" s="285" t="n"/>
      <c r="N740" s="285" t="n"/>
      <c r="O740" s="285" t="n"/>
      <c r="P740" s="285" t="n"/>
      <c r="Q740" s="285" t="n"/>
      <c r="R740" s="285" t="n"/>
      <c r="S740" s="284" t="n"/>
      <c r="T740" s="284" t="n"/>
      <c r="U740" s="285" t="n"/>
      <c r="V740" s="285" t="n"/>
      <c r="W740" s="285" t="n"/>
      <c r="X740" s="285" t="n"/>
      <c r="Y740" s="285" t="n"/>
      <c r="Z740" s="285" t="n"/>
      <c r="AA740" s="285" t="n"/>
    </row>
    <row r="741" ht="15.75" customHeight="1" s="398">
      <c r="A741" s="284" t="n"/>
      <c r="B741" s="284" t="n"/>
      <c r="C741" s="285" t="n"/>
      <c r="D741" s="284" t="n"/>
      <c r="E741" s="285" t="n"/>
      <c r="F741" s="285" t="n"/>
      <c r="G741" s="336" t="n"/>
      <c r="H741" s="336" t="n"/>
      <c r="I741" s="285" t="n"/>
      <c r="J741" s="285" t="n"/>
      <c r="K741" s="285" t="n"/>
      <c r="L741" s="285" t="n"/>
      <c r="M741" s="285" t="n"/>
      <c r="N741" s="285" t="n"/>
      <c r="O741" s="285" t="n"/>
      <c r="P741" s="285" t="n"/>
      <c r="Q741" s="285" t="n"/>
      <c r="R741" s="285" t="n"/>
      <c r="S741" s="284" t="n"/>
      <c r="T741" s="284" t="n"/>
      <c r="U741" s="285" t="n"/>
      <c r="V741" s="285" t="n"/>
      <c r="W741" s="285" t="n"/>
      <c r="X741" s="285" t="n"/>
      <c r="Y741" s="285" t="n"/>
      <c r="Z741" s="285" t="n"/>
      <c r="AA741" s="285" t="n"/>
    </row>
    <row r="742" ht="15.75" customHeight="1" s="398">
      <c r="A742" s="284" t="n"/>
      <c r="B742" s="284" t="n"/>
      <c r="C742" s="285" t="n"/>
      <c r="D742" s="284" t="n"/>
      <c r="E742" s="285" t="n"/>
      <c r="F742" s="285" t="n"/>
      <c r="G742" s="336" t="n"/>
      <c r="H742" s="336" t="n"/>
      <c r="I742" s="285" t="n"/>
      <c r="J742" s="285" t="n"/>
      <c r="K742" s="285" t="n"/>
      <c r="L742" s="285" t="n"/>
      <c r="M742" s="285" t="n"/>
      <c r="N742" s="285" t="n"/>
      <c r="O742" s="285" t="n"/>
      <c r="P742" s="285" t="n"/>
      <c r="Q742" s="285" t="n"/>
      <c r="R742" s="285" t="n"/>
      <c r="S742" s="284" t="n"/>
      <c r="T742" s="284" t="n"/>
      <c r="U742" s="285" t="n"/>
      <c r="V742" s="285" t="n"/>
      <c r="W742" s="285" t="n"/>
      <c r="X742" s="285" t="n"/>
      <c r="Y742" s="285" t="n"/>
      <c r="Z742" s="285" t="n"/>
      <c r="AA742" s="285" t="n"/>
    </row>
    <row r="743" ht="15.75" customHeight="1" s="398">
      <c r="A743" s="284" t="n"/>
      <c r="B743" s="284" t="n"/>
      <c r="C743" s="285" t="n"/>
      <c r="D743" s="284" t="n"/>
      <c r="E743" s="285" t="n"/>
      <c r="F743" s="285" t="n"/>
      <c r="G743" s="336" t="n"/>
      <c r="H743" s="336" t="n"/>
      <c r="I743" s="285" t="n"/>
      <c r="J743" s="285" t="n"/>
      <c r="K743" s="285" t="n"/>
      <c r="L743" s="285" t="n"/>
      <c r="M743" s="285" t="n"/>
      <c r="N743" s="285" t="n"/>
      <c r="O743" s="285" t="n"/>
      <c r="P743" s="285" t="n"/>
      <c r="Q743" s="285" t="n"/>
      <c r="R743" s="285" t="n"/>
      <c r="S743" s="284" t="n"/>
      <c r="T743" s="284" t="n"/>
      <c r="U743" s="285" t="n"/>
      <c r="V743" s="285" t="n"/>
      <c r="W743" s="285" t="n"/>
      <c r="X743" s="285" t="n"/>
      <c r="Y743" s="285" t="n"/>
      <c r="Z743" s="285" t="n"/>
      <c r="AA743" s="285" t="n"/>
    </row>
    <row r="744" ht="15.75" customHeight="1" s="398">
      <c r="A744" s="284" t="n"/>
      <c r="B744" s="284" t="n"/>
      <c r="C744" s="285" t="n"/>
      <c r="D744" s="284" t="n"/>
      <c r="E744" s="285" t="n"/>
      <c r="F744" s="285" t="n"/>
      <c r="G744" s="336" t="n"/>
      <c r="H744" s="336" t="n"/>
      <c r="I744" s="285" t="n"/>
      <c r="J744" s="285" t="n"/>
      <c r="K744" s="285" t="n"/>
      <c r="L744" s="285" t="n"/>
      <c r="M744" s="285" t="n"/>
      <c r="N744" s="285" t="n"/>
      <c r="O744" s="285" t="n"/>
      <c r="P744" s="285" t="n"/>
      <c r="Q744" s="285" t="n"/>
      <c r="R744" s="285" t="n"/>
      <c r="S744" s="284" t="n"/>
      <c r="T744" s="284" t="n"/>
      <c r="U744" s="285" t="n"/>
      <c r="V744" s="285" t="n"/>
      <c r="W744" s="285" t="n"/>
      <c r="X744" s="285" t="n"/>
      <c r="Y744" s="285" t="n"/>
      <c r="Z744" s="285" t="n"/>
      <c r="AA744" s="285" t="n"/>
    </row>
    <row r="745" ht="15.75" customHeight="1" s="398">
      <c r="A745" s="284" t="n"/>
      <c r="B745" s="284" t="n"/>
      <c r="C745" s="285" t="n"/>
      <c r="D745" s="284" t="n"/>
      <c r="E745" s="285" t="n"/>
      <c r="F745" s="285" t="n"/>
      <c r="G745" s="336" t="n"/>
      <c r="H745" s="336" t="n"/>
      <c r="I745" s="285" t="n"/>
      <c r="J745" s="285" t="n"/>
      <c r="K745" s="285" t="n"/>
      <c r="L745" s="285" t="n"/>
      <c r="M745" s="285" t="n"/>
      <c r="N745" s="285" t="n"/>
      <c r="O745" s="285" t="n"/>
      <c r="P745" s="285" t="n"/>
      <c r="Q745" s="285" t="n"/>
      <c r="R745" s="285" t="n"/>
      <c r="S745" s="284" t="n"/>
      <c r="T745" s="284" t="n"/>
      <c r="U745" s="285" t="n"/>
      <c r="V745" s="285" t="n"/>
      <c r="W745" s="285" t="n"/>
      <c r="X745" s="285" t="n"/>
      <c r="Y745" s="285" t="n"/>
      <c r="Z745" s="285" t="n"/>
      <c r="AA745" s="285" t="n"/>
    </row>
    <row r="746" ht="15.75" customHeight="1" s="398">
      <c r="A746" s="284" t="n"/>
      <c r="B746" s="284" t="n"/>
      <c r="C746" s="285" t="n"/>
      <c r="D746" s="284" t="n"/>
      <c r="E746" s="285" t="n"/>
      <c r="F746" s="285" t="n"/>
      <c r="G746" s="336" t="n"/>
      <c r="H746" s="336" t="n"/>
      <c r="I746" s="285" t="n"/>
      <c r="J746" s="285" t="n"/>
      <c r="K746" s="285" t="n"/>
      <c r="L746" s="285" t="n"/>
      <c r="M746" s="285" t="n"/>
      <c r="N746" s="285" t="n"/>
      <c r="O746" s="285" t="n"/>
      <c r="P746" s="285" t="n"/>
      <c r="Q746" s="285" t="n"/>
      <c r="R746" s="285" t="n"/>
      <c r="S746" s="284" t="n"/>
      <c r="T746" s="284" t="n"/>
      <c r="U746" s="285" t="n"/>
      <c r="V746" s="285" t="n"/>
      <c r="W746" s="285" t="n"/>
      <c r="X746" s="285" t="n"/>
      <c r="Y746" s="285" t="n"/>
      <c r="Z746" s="285" t="n"/>
      <c r="AA746" s="285" t="n"/>
    </row>
    <row r="747" ht="15.75" customHeight="1" s="398">
      <c r="A747" s="284" t="n"/>
      <c r="B747" s="284" t="n"/>
      <c r="C747" s="285" t="n"/>
      <c r="D747" s="284" t="n"/>
      <c r="E747" s="285" t="n"/>
      <c r="F747" s="285" t="n"/>
      <c r="G747" s="336" t="n"/>
      <c r="H747" s="336" t="n"/>
      <c r="I747" s="285" t="n"/>
      <c r="J747" s="285" t="n"/>
      <c r="K747" s="285" t="n"/>
      <c r="L747" s="285" t="n"/>
      <c r="M747" s="285" t="n"/>
      <c r="N747" s="285" t="n"/>
      <c r="O747" s="285" t="n"/>
      <c r="P747" s="285" t="n"/>
      <c r="Q747" s="285" t="n"/>
      <c r="R747" s="285" t="n"/>
      <c r="S747" s="284" t="n"/>
      <c r="T747" s="284" t="n"/>
      <c r="U747" s="285" t="n"/>
      <c r="V747" s="285" t="n"/>
      <c r="W747" s="285" t="n"/>
      <c r="X747" s="285" t="n"/>
      <c r="Y747" s="285" t="n"/>
      <c r="Z747" s="285" t="n"/>
      <c r="AA747" s="285" t="n"/>
    </row>
    <row r="748" ht="15.75" customHeight="1" s="398">
      <c r="A748" s="284" t="n"/>
      <c r="B748" s="284" t="n"/>
      <c r="C748" s="285" t="n"/>
      <c r="D748" s="284" t="n"/>
      <c r="E748" s="285" t="n"/>
      <c r="F748" s="285" t="n"/>
      <c r="G748" s="336" t="n"/>
      <c r="H748" s="336" t="n"/>
      <c r="I748" s="285" t="n"/>
      <c r="J748" s="285" t="n"/>
      <c r="K748" s="285" t="n"/>
      <c r="L748" s="285" t="n"/>
      <c r="M748" s="285" t="n"/>
      <c r="N748" s="285" t="n"/>
      <c r="O748" s="285" t="n"/>
      <c r="P748" s="285" t="n"/>
      <c r="Q748" s="285" t="n"/>
      <c r="R748" s="285" t="n"/>
      <c r="S748" s="284" t="n"/>
      <c r="T748" s="284" t="n"/>
      <c r="U748" s="285" t="n"/>
      <c r="V748" s="285" t="n"/>
      <c r="W748" s="285" t="n"/>
      <c r="X748" s="285" t="n"/>
      <c r="Y748" s="285" t="n"/>
      <c r="Z748" s="285" t="n"/>
      <c r="AA748" s="285" t="n"/>
    </row>
    <row r="749" ht="15.75" customHeight="1" s="398">
      <c r="A749" s="284" t="n"/>
      <c r="B749" s="284" t="n"/>
      <c r="C749" s="285" t="n"/>
      <c r="D749" s="284" t="n"/>
      <c r="E749" s="285" t="n"/>
      <c r="F749" s="285" t="n"/>
      <c r="G749" s="336" t="n"/>
      <c r="H749" s="336" t="n"/>
      <c r="I749" s="285" t="n"/>
      <c r="J749" s="285" t="n"/>
      <c r="K749" s="285" t="n"/>
      <c r="L749" s="285" t="n"/>
      <c r="M749" s="285" t="n"/>
      <c r="N749" s="285" t="n"/>
      <c r="O749" s="285" t="n"/>
      <c r="P749" s="285" t="n"/>
      <c r="Q749" s="285" t="n"/>
      <c r="R749" s="285" t="n"/>
      <c r="S749" s="284" t="n"/>
      <c r="T749" s="284" t="n"/>
      <c r="U749" s="285" t="n"/>
      <c r="V749" s="285" t="n"/>
      <c r="W749" s="285" t="n"/>
      <c r="X749" s="285" t="n"/>
      <c r="Y749" s="285" t="n"/>
      <c r="Z749" s="285" t="n"/>
      <c r="AA749" s="285" t="n"/>
    </row>
    <row r="750" ht="15.75" customHeight="1" s="398">
      <c r="A750" s="284" t="n"/>
      <c r="B750" s="284" t="n"/>
      <c r="C750" s="285" t="n"/>
      <c r="D750" s="284" t="n"/>
      <c r="E750" s="285" t="n"/>
      <c r="F750" s="285" t="n"/>
      <c r="G750" s="336" t="n"/>
      <c r="H750" s="336" t="n"/>
      <c r="I750" s="285" t="n"/>
      <c r="J750" s="285" t="n"/>
      <c r="K750" s="285" t="n"/>
      <c r="L750" s="285" t="n"/>
      <c r="M750" s="285" t="n"/>
      <c r="N750" s="285" t="n"/>
      <c r="O750" s="285" t="n"/>
      <c r="P750" s="285" t="n"/>
      <c r="Q750" s="285" t="n"/>
      <c r="R750" s="285" t="n"/>
      <c r="S750" s="284" t="n"/>
      <c r="T750" s="284" t="n"/>
      <c r="U750" s="285" t="n"/>
      <c r="V750" s="285" t="n"/>
      <c r="W750" s="285" t="n"/>
      <c r="X750" s="285" t="n"/>
      <c r="Y750" s="285" t="n"/>
      <c r="Z750" s="285" t="n"/>
      <c r="AA750" s="285" t="n"/>
    </row>
    <row r="751" ht="15.75" customHeight="1" s="398">
      <c r="A751" s="284" t="n"/>
      <c r="B751" s="284" t="n"/>
      <c r="C751" s="285" t="n"/>
      <c r="D751" s="284" t="n"/>
      <c r="E751" s="285" t="n"/>
      <c r="F751" s="285" t="n"/>
      <c r="G751" s="336" t="n"/>
      <c r="H751" s="336" t="n"/>
      <c r="I751" s="285" t="n"/>
      <c r="J751" s="285" t="n"/>
      <c r="K751" s="285" t="n"/>
      <c r="L751" s="285" t="n"/>
      <c r="M751" s="285" t="n"/>
      <c r="N751" s="285" t="n"/>
      <c r="O751" s="285" t="n"/>
      <c r="P751" s="285" t="n"/>
      <c r="Q751" s="285" t="n"/>
      <c r="R751" s="285" t="n"/>
      <c r="S751" s="284" t="n"/>
      <c r="T751" s="284" t="n"/>
      <c r="U751" s="285" t="n"/>
      <c r="V751" s="285" t="n"/>
      <c r="W751" s="285" t="n"/>
      <c r="X751" s="285" t="n"/>
      <c r="Y751" s="285" t="n"/>
      <c r="Z751" s="285" t="n"/>
      <c r="AA751" s="285" t="n"/>
    </row>
    <row r="752" ht="15.75" customHeight="1" s="398">
      <c r="A752" s="284" t="n"/>
      <c r="B752" s="284" t="n"/>
      <c r="C752" s="285" t="n"/>
      <c r="D752" s="284" t="n"/>
      <c r="E752" s="285" t="n"/>
      <c r="F752" s="285" t="n"/>
      <c r="G752" s="336" t="n"/>
      <c r="H752" s="336" t="n"/>
      <c r="I752" s="285" t="n"/>
      <c r="J752" s="285" t="n"/>
      <c r="K752" s="285" t="n"/>
      <c r="L752" s="285" t="n"/>
      <c r="M752" s="285" t="n"/>
      <c r="N752" s="285" t="n"/>
      <c r="O752" s="285" t="n"/>
      <c r="P752" s="285" t="n"/>
      <c r="Q752" s="285" t="n"/>
      <c r="R752" s="285" t="n"/>
      <c r="S752" s="284" t="n"/>
      <c r="T752" s="284" t="n"/>
      <c r="U752" s="285" t="n"/>
      <c r="V752" s="285" t="n"/>
      <c r="W752" s="285" t="n"/>
      <c r="X752" s="285" t="n"/>
      <c r="Y752" s="285" t="n"/>
      <c r="Z752" s="285" t="n"/>
      <c r="AA752" s="285" t="n"/>
    </row>
    <row r="753" ht="15.75" customHeight="1" s="398">
      <c r="A753" s="284" t="n"/>
      <c r="B753" s="284" t="n"/>
      <c r="C753" s="285" t="n"/>
      <c r="D753" s="284" t="n"/>
      <c r="E753" s="285" t="n"/>
      <c r="F753" s="285" t="n"/>
      <c r="G753" s="336" t="n"/>
      <c r="H753" s="336" t="n"/>
      <c r="I753" s="285" t="n"/>
      <c r="J753" s="285" t="n"/>
      <c r="K753" s="285" t="n"/>
      <c r="L753" s="285" t="n"/>
      <c r="M753" s="285" t="n"/>
      <c r="N753" s="285" t="n"/>
      <c r="O753" s="285" t="n"/>
      <c r="P753" s="285" t="n"/>
      <c r="Q753" s="285" t="n"/>
      <c r="R753" s="285" t="n"/>
      <c r="S753" s="284" t="n"/>
      <c r="T753" s="284" t="n"/>
      <c r="U753" s="285" t="n"/>
      <c r="V753" s="285" t="n"/>
      <c r="W753" s="285" t="n"/>
      <c r="X753" s="285" t="n"/>
      <c r="Y753" s="285" t="n"/>
      <c r="Z753" s="285" t="n"/>
      <c r="AA753" s="285" t="n"/>
    </row>
    <row r="754" ht="15.75" customHeight="1" s="398">
      <c r="A754" s="284" t="n"/>
      <c r="B754" s="284" t="n"/>
      <c r="C754" s="285" t="n"/>
      <c r="D754" s="284" t="n"/>
      <c r="E754" s="285" t="n"/>
      <c r="F754" s="285" t="n"/>
      <c r="G754" s="336" t="n"/>
      <c r="H754" s="336" t="n"/>
      <c r="I754" s="285" t="n"/>
      <c r="J754" s="285" t="n"/>
      <c r="K754" s="285" t="n"/>
      <c r="L754" s="285" t="n"/>
      <c r="M754" s="285" t="n"/>
      <c r="N754" s="285" t="n"/>
      <c r="O754" s="285" t="n"/>
      <c r="P754" s="285" t="n"/>
      <c r="Q754" s="285" t="n"/>
      <c r="R754" s="285" t="n"/>
      <c r="S754" s="284" t="n"/>
      <c r="T754" s="284" t="n"/>
      <c r="U754" s="285" t="n"/>
      <c r="V754" s="285" t="n"/>
      <c r="W754" s="285" t="n"/>
      <c r="X754" s="285" t="n"/>
      <c r="Y754" s="285" t="n"/>
      <c r="Z754" s="285" t="n"/>
      <c r="AA754" s="285" t="n"/>
    </row>
    <row r="755" ht="15.75" customHeight="1" s="398">
      <c r="A755" s="284" t="n"/>
      <c r="B755" s="284" t="n"/>
      <c r="C755" s="285" t="n"/>
      <c r="D755" s="284" t="n"/>
      <c r="E755" s="285" t="n"/>
      <c r="F755" s="285" t="n"/>
      <c r="G755" s="336" t="n"/>
      <c r="H755" s="336" t="n"/>
      <c r="I755" s="285" t="n"/>
      <c r="J755" s="285" t="n"/>
      <c r="K755" s="285" t="n"/>
      <c r="L755" s="285" t="n"/>
      <c r="M755" s="285" t="n"/>
      <c r="N755" s="285" t="n"/>
      <c r="O755" s="285" t="n"/>
      <c r="P755" s="285" t="n"/>
      <c r="Q755" s="285" t="n"/>
      <c r="R755" s="285" t="n"/>
      <c r="S755" s="284" t="n"/>
      <c r="T755" s="284" t="n"/>
      <c r="U755" s="285" t="n"/>
      <c r="V755" s="285" t="n"/>
      <c r="W755" s="285" t="n"/>
      <c r="X755" s="285" t="n"/>
      <c r="Y755" s="285" t="n"/>
      <c r="Z755" s="285" t="n"/>
      <c r="AA755" s="285" t="n"/>
    </row>
    <row r="756" ht="15.75" customHeight="1" s="398">
      <c r="A756" s="284" t="n"/>
      <c r="B756" s="284" t="n"/>
      <c r="C756" s="285" t="n"/>
      <c r="D756" s="284" t="n"/>
      <c r="E756" s="285" t="n"/>
      <c r="F756" s="285" t="n"/>
      <c r="G756" s="336" t="n"/>
      <c r="H756" s="336" t="n"/>
      <c r="I756" s="285" t="n"/>
      <c r="J756" s="285" t="n"/>
      <c r="K756" s="285" t="n"/>
      <c r="L756" s="285" t="n"/>
      <c r="M756" s="285" t="n"/>
      <c r="N756" s="285" t="n"/>
      <c r="O756" s="285" t="n"/>
      <c r="P756" s="285" t="n"/>
      <c r="Q756" s="285" t="n"/>
      <c r="R756" s="285" t="n"/>
      <c r="S756" s="284" t="n"/>
      <c r="T756" s="284" t="n"/>
      <c r="U756" s="285" t="n"/>
      <c r="V756" s="285" t="n"/>
      <c r="W756" s="285" t="n"/>
      <c r="X756" s="285" t="n"/>
      <c r="Y756" s="285" t="n"/>
      <c r="Z756" s="285" t="n"/>
      <c r="AA756" s="285" t="n"/>
    </row>
    <row r="757" ht="15.75" customHeight="1" s="398">
      <c r="A757" s="284" t="n"/>
      <c r="B757" s="284" t="n"/>
      <c r="C757" s="285" t="n"/>
      <c r="D757" s="284" t="n"/>
      <c r="E757" s="285" t="n"/>
      <c r="F757" s="285" t="n"/>
      <c r="G757" s="336" t="n"/>
      <c r="H757" s="336" t="n"/>
      <c r="I757" s="285" t="n"/>
      <c r="J757" s="285" t="n"/>
      <c r="K757" s="285" t="n"/>
      <c r="L757" s="285" t="n"/>
      <c r="M757" s="285" t="n"/>
      <c r="N757" s="285" t="n"/>
      <c r="O757" s="285" t="n"/>
      <c r="P757" s="285" t="n"/>
      <c r="Q757" s="285" t="n"/>
      <c r="R757" s="285" t="n"/>
      <c r="S757" s="284" t="n"/>
      <c r="T757" s="284" t="n"/>
      <c r="U757" s="285" t="n"/>
      <c r="V757" s="285" t="n"/>
      <c r="W757" s="285" t="n"/>
      <c r="X757" s="285" t="n"/>
      <c r="Y757" s="285" t="n"/>
      <c r="Z757" s="285" t="n"/>
      <c r="AA757" s="285" t="n"/>
    </row>
    <row r="758" ht="15.75" customHeight="1" s="398">
      <c r="A758" s="284" t="n"/>
      <c r="B758" s="284" t="n"/>
      <c r="C758" s="285" t="n"/>
      <c r="D758" s="284" t="n"/>
      <c r="E758" s="285" t="n"/>
      <c r="F758" s="285" t="n"/>
      <c r="G758" s="336" t="n"/>
      <c r="H758" s="336" t="n"/>
      <c r="I758" s="285" t="n"/>
      <c r="J758" s="285" t="n"/>
      <c r="K758" s="285" t="n"/>
      <c r="L758" s="285" t="n"/>
      <c r="M758" s="285" t="n"/>
      <c r="N758" s="285" t="n"/>
      <c r="O758" s="285" t="n"/>
      <c r="P758" s="285" t="n"/>
      <c r="Q758" s="285" t="n"/>
      <c r="R758" s="285" t="n"/>
      <c r="S758" s="284" t="n"/>
      <c r="T758" s="284" t="n"/>
      <c r="U758" s="285" t="n"/>
      <c r="V758" s="285" t="n"/>
      <c r="W758" s="285" t="n"/>
      <c r="X758" s="285" t="n"/>
      <c r="Y758" s="285" t="n"/>
      <c r="Z758" s="285" t="n"/>
      <c r="AA758" s="285" t="n"/>
    </row>
    <row r="759" ht="15.75" customHeight="1" s="398">
      <c r="A759" s="284" t="n"/>
      <c r="B759" s="284" t="n"/>
      <c r="C759" s="285" t="n"/>
      <c r="D759" s="284" t="n"/>
      <c r="E759" s="285" t="n"/>
      <c r="F759" s="285" t="n"/>
      <c r="G759" s="336" t="n"/>
      <c r="H759" s="336" t="n"/>
      <c r="I759" s="285" t="n"/>
      <c r="J759" s="285" t="n"/>
      <c r="K759" s="285" t="n"/>
      <c r="L759" s="285" t="n"/>
      <c r="M759" s="285" t="n"/>
      <c r="N759" s="285" t="n"/>
      <c r="O759" s="285" t="n"/>
      <c r="P759" s="285" t="n"/>
      <c r="Q759" s="285" t="n"/>
      <c r="R759" s="285" t="n"/>
      <c r="S759" s="284" t="n"/>
      <c r="T759" s="284" t="n"/>
      <c r="U759" s="285" t="n"/>
      <c r="V759" s="285" t="n"/>
      <c r="W759" s="285" t="n"/>
      <c r="X759" s="285" t="n"/>
      <c r="Y759" s="285" t="n"/>
      <c r="Z759" s="285" t="n"/>
      <c r="AA759" s="285" t="n"/>
    </row>
    <row r="760" ht="15.75" customHeight="1" s="398">
      <c r="A760" s="284" t="n"/>
      <c r="B760" s="284" t="n"/>
      <c r="C760" s="285" t="n"/>
      <c r="D760" s="284" t="n"/>
      <c r="E760" s="285" t="n"/>
      <c r="F760" s="285" t="n"/>
      <c r="G760" s="336" t="n"/>
      <c r="H760" s="336" t="n"/>
      <c r="I760" s="285" t="n"/>
      <c r="J760" s="285" t="n"/>
      <c r="K760" s="285" t="n"/>
      <c r="L760" s="285" t="n"/>
      <c r="M760" s="285" t="n"/>
      <c r="N760" s="285" t="n"/>
      <c r="O760" s="285" t="n"/>
      <c r="P760" s="285" t="n"/>
      <c r="Q760" s="285" t="n"/>
      <c r="R760" s="285" t="n"/>
      <c r="S760" s="284" t="n"/>
      <c r="T760" s="284" t="n"/>
      <c r="U760" s="285" t="n"/>
      <c r="V760" s="285" t="n"/>
      <c r="W760" s="285" t="n"/>
      <c r="X760" s="285" t="n"/>
      <c r="Y760" s="285" t="n"/>
      <c r="Z760" s="285" t="n"/>
      <c r="AA760" s="285" t="n"/>
    </row>
    <row r="761" ht="15.75" customHeight="1" s="398">
      <c r="A761" s="284" t="n"/>
      <c r="B761" s="284" t="n"/>
      <c r="C761" s="285" t="n"/>
      <c r="D761" s="284" t="n"/>
      <c r="E761" s="285" t="n"/>
      <c r="F761" s="285" t="n"/>
      <c r="G761" s="336" t="n"/>
      <c r="H761" s="336" t="n"/>
      <c r="I761" s="285" t="n"/>
      <c r="J761" s="285" t="n"/>
      <c r="K761" s="285" t="n"/>
      <c r="L761" s="285" t="n"/>
      <c r="M761" s="285" t="n"/>
      <c r="N761" s="285" t="n"/>
      <c r="O761" s="285" t="n"/>
      <c r="P761" s="285" t="n"/>
      <c r="Q761" s="285" t="n"/>
      <c r="R761" s="285" t="n"/>
      <c r="S761" s="284" t="n"/>
      <c r="T761" s="284" t="n"/>
      <c r="U761" s="285" t="n"/>
      <c r="V761" s="285" t="n"/>
      <c r="W761" s="285" t="n"/>
      <c r="X761" s="285" t="n"/>
      <c r="Y761" s="285" t="n"/>
      <c r="Z761" s="285" t="n"/>
      <c r="AA761" s="285" t="n"/>
    </row>
    <row r="762" ht="15.75" customHeight="1" s="398">
      <c r="A762" s="284" t="n"/>
      <c r="B762" s="284" t="n"/>
      <c r="C762" s="285" t="n"/>
      <c r="D762" s="284" t="n"/>
      <c r="E762" s="285" t="n"/>
      <c r="F762" s="285" t="n"/>
      <c r="G762" s="336" t="n"/>
      <c r="H762" s="336" t="n"/>
      <c r="I762" s="285" t="n"/>
      <c r="J762" s="285" t="n"/>
      <c r="K762" s="285" t="n"/>
      <c r="L762" s="285" t="n"/>
      <c r="M762" s="285" t="n"/>
      <c r="N762" s="285" t="n"/>
      <c r="O762" s="285" t="n"/>
      <c r="P762" s="285" t="n"/>
      <c r="Q762" s="285" t="n"/>
      <c r="R762" s="285" t="n"/>
      <c r="S762" s="284" t="n"/>
      <c r="T762" s="284" t="n"/>
      <c r="U762" s="285" t="n"/>
      <c r="V762" s="285" t="n"/>
      <c r="W762" s="285" t="n"/>
      <c r="X762" s="285" t="n"/>
      <c r="Y762" s="285" t="n"/>
      <c r="Z762" s="285" t="n"/>
      <c r="AA762" s="285" t="n"/>
    </row>
    <row r="763" ht="15.75" customHeight="1" s="398">
      <c r="A763" s="284" t="n"/>
      <c r="B763" s="284" t="n"/>
      <c r="C763" s="285" t="n"/>
      <c r="D763" s="284" t="n"/>
      <c r="E763" s="285" t="n"/>
      <c r="F763" s="285" t="n"/>
      <c r="G763" s="336" t="n"/>
      <c r="H763" s="336" t="n"/>
      <c r="I763" s="285" t="n"/>
      <c r="J763" s="285" t="n"/>
      <c r="K763" s="285" t="n"/>
      <c r="L763" s="285" t="n"/>
      <c r="M763" s="285" t="n"/>
      <c r="N763" s="285" t="n"/>
      <c r="O763" s="285" t="n"/>
      <c r="P763" s="285" t="n"/>
      <c r="Q763" s="285" t="n"/>
      <c r="R763" s="285" t="n"/>
      <c r="S763" s="284" t="n"/>
      <c r="T763" s="284" t="n"/>
      <c r="U763" s="285" t="n"/>
      <c r="V763" s="285" t="n"/>
      <c r="W763" s="285" t="n"/>
      <c r="X763" s="285" t="n"/>
      <c r="Y763" s="285" t="n"/>
      <c r="Z763" s="285" t="n"/>
      <c r="AA763" s="285" t="n"/>
    </row>
    <row r="764" ht="15.75" customHeight="1" s="398">
      <c r="A764" s="284" t="n"/>
      <c r="B764" s="284" t="n"/>
      <c r="C764" s="285" t="n"/>
      <c r="D764" s="284" t="n"/>
      <c r="E764" s="285" t="n"/>
      <c r="F764" s="285" t="n"/>
      <c r="G764" s="336" t="n"/>
      <c r="H764" s="336" t="n"/>
      <c r="I764" s="285" t="n"/>
      <c r="J764" s="285" t="n"/>
      <c r="K764" s="285" t="n"/>
      <c r="L764" s="285" t="n"/>
      <c r="M764" s="285" t="n"/>
      <c r="N764" s="285" t="n"/>
      <c r="O764" s="285" t="n"/>
      <c r="P764" s="285" t="n"/>
      <c r="Q764" s="285" t="n"/>
      <c r="R764" s="285" t="n"/>
      <c r="S764" s="284" t="n"/>
      <c r="T764" s="284" t="n"/>
      <c r="U764" s="285" t="n"/>
      <c r="V764" s="285" t="n"/>
      <c r="W764" s="285" t="n"/>
      <c r="X764" s="285" t="n"/>
      <c r="Y764" s="285" t="n"/>
      <c r="Z764" s="285" t="n"/>
      <c r="AA764" s="285" t="n"/>
    </row>
    <row r="765" ht="15.75" customHeight="1" s="398">
      <c r="A765" s="284" t="n"/>
      <c r="B765" s="284" t="n"/>
      <c r="C765" s="285" t="n"/>
      <c r="D765" s="284" t="n"/>
      <c r="E765" s="285" t="n"/>
      <c r="F765" s="285" t="n"/>
      <c r="G765" s="336" t="n"/>
      <c r="H765" s="336" t="n"/>
      <c r="I765" s="285" t="n"/>
      <c r="J765" s="285" t="n"/>
      <c r="K765" s="285" t="n"/>
      <c r="L765" s="285" t="n"/>
      <c r="M765" s="285" t="n"/>
      <c r="N765" s="285" t="n"/>
      <c r="O765" s="285" t="n"/>
      <c r="P765" s="285" t="n"/>
      <c r="Q765" s="285" t="n"/>
      <c r="R765" s="285" t="n"/>
      <c r="S765" s="284" t="n"/>
      <c r="T765" s="284" t="n"/>
      <c r="U765" s="285" t="n"/>
      <c r="V765" s="285" t="n"/>
      <c r="W765" s="285" t="n"/>
      <c r="X765" s="285" t="n"/>
      <c r="Y765" s="285" t="n"/>
      <c r="Z765" s="285" t="n"/>
      <c r="AA765" s="285" t="n"/>
    </row>
    <row r="766" ht="15.75" customHeight="1" s="398">
      <c r="A766" s="284" t="n"/>
      <c r="B766" s="284" t="n"/>
      <c r="C766" s="285" t="n"/>
      <c r="D766" s="284" t="n"/>
      <c r="E766" s="285" t="n"/>
      <c r="F766" s="285" t="n"/>
      <c r="G766" s="336" t="n"/>
      <c r="H766" s="336" t="n"/>
      <c r="I766" s="285" t="n"/>
      <c r="J766" s="285" t="n"/>
      <c r="K766" s="285" t="n"/>
      <c r="L766" s="285" t="n"/>
      <c r="M766" s="285" t="n"/>
      <c r="N766" s="285" t="n"/>
      <c r="O766" s="285" t="n"/>
      <c r="P766" s="285" t="n"/>
      <c r="Q766" s="285" t="n"/>
      <c r="R766" s="285" t="n"/>
      <c r="S766" s="284" t="n"/>
      <c r="T766" s="284" t="n"/>
      <c r="U766" s="285" t="n"/>
      <c r="V766" s="285" t="n"/>
      <c r="W766" s="285" t="n"/>
      <c r="X766" s="285" t="n"/>
      <c r="Y766" s="285" t="n"/>
      <c r="Z766" s="285" t="n"/>
      <c r="AA766" s="285" t="n"/>
    </row>
    <row r="767" ht="15.75" customHeight="1" s="398">
      <c r="A767" s="284" t="n"/>
      <c r="B767" s="284" t="n"/>
      <c r="C767" s="285" t="n"/>
      <c r="D767" s="284" t="n"/>
      <c r="E767" s="285" t="n"/>
      <c r="F767" s="285" t="n"/>
      <c r="G767" s="336" t="n"/>
      <c r="H767" s="336" t="n"/>
      <c r="I767" s="285" t="n"/>
      <c r="J767" s="285" t="n"/>
      <c r="K767" s="285" t="n"/>
      <c r="L767" s="285" t="n"/>
      <c r="M767" s="285" t="n"/>
      <c r="N767" s="285" t="n"/>
      <c r="O767" s="285" t="n"/>
      <c r="P767" s="285" t="n"/>
      <c r="Q767" s="285" t="n"/>
      <c r="R767" s="285" t="n"/>
      <c r="S767" s="284" t="n"/>
      <c r="T767" s="284" t="n"/>
      <c r="U767" s="285" t="n"/>
      <c r="V767" s="285" t="n"/>
      <c r="W767" s="285" t="n"/>
      <c r="X767" s="285" t="n"/>
      <c r="Y767" s="285" t="n"/>
      <c r="Z767" s="285" t="n"/>
      <c r="AA767" s="285" t="n"/>
    </row>
    <row r="768" ht="15.75" customHeight="1" s="398">
      <c r="A768" s="284" t="n"/>
      <c r="B768" s="284" t="n"/>
      <c r="C768" s="285" t="n"/>
      <c r="D768" s="284" t="n"/>
      <c r="E768" s="285" t="n"/>
      <c r="F768" s="285" t="n"/>
      <c r="G768" s="336" t="n"/>
      <c r="H768" s="336" t="n"/>
      <c r="I768" s="285" t="n"/>
      <c r="J768" s="285" t="n"/>
      <c r="K768" s="285" t="n"/>
      <c r="L768" s="285" t="n"/>
      <c r="M768" s="285" t="n"/>
      <c r="N768" s="285" t="n"/>
      <c r="O768" s="285" t="n"/>
      <c r="P768" s="285" t="n"/>
      <c r="Q768" s="285" t="n"/>
      <c r="R768" s="285" t="n"/>
      <c r="S768" s="284" t="n"/>
      <c r="T768" s="284" t="n"/>
      <c r="U768" s="285" t="n"/>
      <c r="V768" s="285" t="n"/>
      <c r="W768" s="285" t="n"/>
      <c r="X768" s="285" t="n"/>
      <c r="Y768" s="285" t="n"/>
      <c r="Z768" s="285" t="n"/>
      <c r="AA768" s="285" t="n"/>
    </row>
    <row r="769" ht="15.75" customHeight="1" s="398">
      <c r="A769" s="284" t="n"/>
      <c r="B769" s="284" t="n"/>
      <c r="C769" s="285" t="n"/>
      <c r="D769" s="284" t="n"/>
      <c r="E769" s="285" t="n"/>
      <c r="F769" s="285" t="n"/>
      <c r="G769" s="336" t="n"/>
      <c r="H769" s="336" t="n"/>
      <c r="I769" s="285" t="n"/>
      <c r="J769" s="285" t="n"/>
      <c r="K769" s="285" t="n"/>
      <c r="L769" s="285" t="n"/>
      <c r="M769" s="285" t="n"/>
      <c r="N769" s="285" t="n"/>
      <c r="O769" s="285" t="n"/>
      <c r="P769" s="285" t="n"/>
      <c r="Q769" s="285" t="n"/>
      <c r="R769" s="285" t="n"/>
      <c r="S769" s="284" t="n"/>
      <c r="T769" s="284" t="n"/>
      <c r="U769" s="285" t="n"/>
      <c r="V769" s="285" t="n"/>
      <c r="W769" s="285" t="n"/>
      <c r="X769" s="285" t="n"/>
      <c r="Y769" s="285" t="n"/>
      <c r="Z769" s="285" t="n"/>
      <c r="AA769" s="285" t="n"/>
    </row>
    <row r="770" ht="15.75" customHeight="1" s="398">
      <c r="A770" s="284" t="n"/>
      <c r="B770" s="284" t="n"/>
      <c r="C770" s="285" t="n"/>
      <c r="D770" s="284" t="n"/>
      <c r="E770" s="285" t="n"/>
      <c r="F770" s="285" t="n"/>
      <c r="G770" s="336" t="n"/>
      <c r="H770" s="336" t="n"/>
      <c r="I770" s="285" t="n"/>
      <c r="J770" s="285" t="n"/>
      <c r="K770" s="285" t="n"/>
      <c r="L770" s="285" t="n"/>
      <c r="M770" s="285" t="n"/>
      <c r="N770" s="285" t="n"/>
      <c r="O770" s="285" t="n"/>
      <c r="P770" s="285" t="n"/>
      <c r="Q770" s="285" t="n"/>
      <c r="R770" s="285" t="n"/>
      <c r="S770" s="284" t="n"/>
      <c r="T770" s="284" t="n"/>
      <c r="U770" s="285" t="n"/>
      <c r="V770" s="285" t="n"/>
      <c r="W770" s="285" t="n"/>
      <c r="X770" s="285" t="n"/>
      <c r="Y770" s="285" t="n"/>
      <c r="Z770" s="285" t="n"/>
      <c r="AA770" s="285" t="n"/>
    </row>
    <row r="771" ht="15.75" customHeight="1" s="398">
      <c r="A771" s="284" t="n"/>
      <c r="B771" s="284" t="n"/>
      <c r="C771" s="285" t="n"/>
      <c r="D771" s="284" t="n"/>
      <c r="E771" s="285" t="n"/>
      <c r="F771" s="285" t="n"/>
      <c r="G771" s="336" t="n"/>
      <c r="H771" s="336" t="n"/>
      <c r="I771" s="285" t="n"/>
      <c r="J771" s="285" t="n"/>
      <c r="K771" s="285" t="n"/>
      <c r="L771" s="285" t="n"/>
      <c r="M771" s="285" t="n"/>
      <c r="N771" s="285" t="n"/>
      <c r="O771" s="285" t="n"/>
      <c r="P771" s="285" t="n"/>
      <c r="Q771" s="285" t="n"/>
      <c r="R771" s="285" t="n"/>
      <c r="S771" s="284" t="n"/>
      <c r="T771" s="284" t="n"/>
      <c r="U771" s="285" t="n"/>
      <c r="V771" s="285" t="n"/>
      <c r="W771" s="285" t="n"/>
      <c r="X771" s="285" t="n"/>
      <c r="Y771" s="285" t="n"/>
      <c r="Z771" s="285" t="n"/>
      <c r="AA771" s="285" t="n"/>
    </row>
    <row r="772" ht="15.75" customHeight="1" s="398">
      <c r="A772" s="284" t="n"/>
      <c r="B772" s="284" t="n"/>
      <c r="C772" s="285" t="n"/>
      <c r="D772" s="284" t="n"/>
      <c r="E772" s="285" t="n"/>
      <c r="F772" s="285" t="n"/>
      <c r="G772" s="336" t="n"/>
      <c r="H772" s="336" t="n"/>
      <c r="I772" s="285" t="n"/>
      <c r="J772" s="285" t="n"/>
      <c r="K772" s="285" t="n"/>
      <c r="L772" s="285" t="n"/>
      <c r="M772" s="285" t="n"/>
      <c r="N772" s="285" t="n"/>
      <c r="O772" s="285" t="n"/>
      <c r="P772" s="285" t="n"/>
      <c r="Q772" s="285" t="n"/>
      <c r="R772" s="285" t="n"/>
      <c r="S772" s="284" t="n"/>
      <c r="T772" s="284" t="n"/>
      <c r="U772" s="285" t="n"/>
      <c r="V772" s="285" t="n"/>
      <c r="W772" s="285" t="n"/>
      <c r="X772" s="285" t="n"/>
      <c r="Y772" s="285" t="n"/>
      <c r="Z772" s="285" t="n"/>
      <c r="AA772" s="285" t="n"/>
    </row>
    <row r="773" ht="15.75" customHeight="1" s="398">
      <c r="A773" s="284" t="n"/>
      <c r="B773" s="284" t="n"/>
      <c r="C773" s="285" t="n"/>
      <c r="D773" s="284" t="n"/>
      <c r="E773" s="285" t="n"/>
      <c r="F773" s="285" t="n"/>
      <c r="G773" s="336" t="n"/>
      <c r="H773" s="336" t="n"/>
      <c r="I773" s="285" t="n"/>
      <c r="J773" s="285" t="n"/>
      <c r="K773" s="285" t="n"/>
      <c r="L773" s="285" t="n"/>
      <c r="M773" s="285" t="n"/>
      <c r="N773" s="285" t="n"/>
      <c r="O773" s="285" t="n"/>
      <c r="P773" s="285" t="n"/>
      <c r="Q773" s="285" t="n"/>
      <c r="R773" s="285" t="n"/>
      <c r="S773" s="284" t="n"/>
      <c r="T773" s="284" t="n"/>
      <c r="U773" s="285" t="n"/>
      <c r="V773" s="285" t="n"/>
      <c r="W773" s="285" t="n"/>
      <c r="X773" s="285" t="n"/>
      <c r="Y773" s="285" t="n"/>
      <c r="Z773" s="285" t="n"/>
      <c r="AA773" s="285" t="n"/>
    </row>
    <row r="774" ht="15.75" customHeight="1" s="398">
      <c r="A774" s="284" t="n"/>
      <c r="B774" s="284" t="n"/>
      <c r="C774" s="285" t="n"/>
      <c r="D774" s="284" t="n"/>
      <c r="E774" s="285" t="n"/>
      <c r="F774" s="285" t="n"/>
      <c r="G774" s="336" t="n"/>
      <c r="H774" s="336" t="n"/>
      <c r="I774" s="285" t="n"/>
      <c r="J774" s="285" t="n"/>
      <c r="K774" s="285" t="n"/>
      <c r="L774" s="285" t="n"/>
      <c r="M774" s="285" t="n"/>
      <c r="N774" s="285" t="n"/>
      <c r="O774" s="285" t="n"/>
      <c r="P774" s="285" t="n"/>
      <c r="Q774" s="285" t="n"/>
      <c r="R774" s="285" t="n"/>
      <c r="S774" s="284" t="n"/>
      <c r="T774" s="284" t="n"/>
      <c r="U774" s="285" t="n"/>
      <c r="V774" s="285" t="n"/>
      <c r="W774" s="285" t="n"/>
      <c r="X774" s="285" t="n"/>
      <c r="Y774" s="285" t="n"/>
      <c r="Z774" s="285" t="n"/>
      <c r="AA774" s="285" t="n"/>
    </row>
    <row r="775" ht="15.75" customHeight="1" s="398">
      <c r="A775" s="284" t="n"/>
      <c r="B775" s="284" t="n"/>
      <c r="C775" s="285" t="n"/>
      <c r="D775" s="284" t="n"/>
      <c r="E775" s="285" t="n"/>
      <c r="F775" s="285" t="n"/>
      <c r="G775" s="336" t="n"/>
      <c r="H775" s="336" t="n"/>
      <c r="I775" s="285" t="n"/>
      <c r="J775" s="285" t="n"/>
      <c r="K775" s="285" t="n"/>
      <c r="L775" s="285" t="n"/>
      <c r="M775" s="285" t="n"/>
      <c r="N775" s="285" t="n"/>
      <c r="O775" s="285" t="n"/>
      <c r="P775" s="285" t="n"/>
      <c r="Q775" s="285" t="n"/>
      <c r="R775" s="285" t="n"/>
      <c r="S775" s="284" t="n"/>
      <c r="T775" s="284" t="n"/>
      <c r="U775" s="285" t="n"/>
      <c r="V775" s="285" t="n"/>
      <c r="W775" s="285" t="n"/>
      <c r="X775" s="285" t="n"/>
      <c r="Y775" s="285" t="n"/>
      <c r="Z775" s="285" t="n"/>
      <c r="AA775" s="285" t="n"/>
    </row>
    <row r="776" ht="15.75" customHeight="1" s="398">
      <c r="A776" s="284" t="n"/>
      <c r="B776" s="284" t="n"/>
      <c r="C776" s="285" t="n"/>
      <c r="D776" s="284" t="n"/>
      <c r="E776" s="285" t="n"/>
      <c r="F776" s="285" t="n"/>
      <c r="G776" s="336" t="n"/>
      <c r="H776" s="336" t="n"/>
      <c r="I776" s="285" t="n"/>
      <c r="J776" s="285" t="n"/>
      <c r="K776" s="285" t="n"/>
      <c r="L776" s="285" t="n"/>
      <c r="M776" s="285" t="n"/>
      <c r="N776" s="285" t="n"/>
      <c r="O776" s="285" t="n"/>
      <c r="P776" s="285" t="n"/>
      <c r="Q776" s="285" t="n"/>
      <c r="R776" s="285" t="n"/>
      <c r="S776" s="284" t="n"/>
      <c r="T776" s="284" t="n"/>
      <c r="U776" s="285" t="n"/>
      <c r="V776" s="285" t="n"/>
      <c r="W776" s="285" t="n"/>
      <c r="X776" s="285" t="n"/>
      <c r="Y776" s="285" t="n"/>
      <c r="Z776" s="285" t="n"/>
      <c r="AA776" s="285" t="n"/>
    </row>
    <row r="777" ht="15.75" customHeight="1" s="398">
      <c r="A777" s="284" t="n"/>
      <c r="B777" s="284" t="n"/>
      <c r="C777" s="285" t="n"/>
      <c r="D777" s="284" t="n"/>
      <c r="E777" s="285" t="n"/>
      <c r="F777" s="285" t="n"/>
      <c r="G777" s="336" t="n"/>
      <c r="H777" s="336" t="n"/>
      <c r="I777" s="285" t="n"/>
      <c r="J777" s="285" t="n"/>
      <c r="K777" s="285" t="n"/>
      <c r="L777" s="285" t="n"/>
      <c r="M777" s="285" t="n"/>
      <c r="N777" s="285" t="n"/>
      <c r="O777" s="285" t="n"/>
      <c r="P777" s="285" t="n"/>
      <c r="Q777" s="285" t="n"/>
      <c r="R777" s="285" t="n"/>
      <c r="S777" s="284" t="n"/>
      <c r="T777" s="284" t="n"/>
      <c r="U777" s="285" t="n"/>
      <c r="V777" s="285" t="n"/>
      <c r="W777" s="285" t="n"/>
      <c r="X777" s="285" t="n"/>
      <c r="Y777" s="285" t="n"/>
      <c r="Z777" s="285" t="n"/>
      <c r="AA777" s="285" t="n"/>
    </row>
    <row r="778" ht="15.75" customHeight="1" s="398">
      <c r="A778" s="284" t="n"/>
      <c r="B778" s="284" t="n"/>
      <c r="C778" s="285" t="n"/>
      <c r="D778" s="284" t="n"/>
      <c r="E778" s="285" t="n"/>
      <c r="F778" s="285" t="n"/>
      <c r="G778" s="336" t="n"/>
      <c r="H778" s="336" t="n"/>
      <c r="I778" s="285" t="n"/>
      <c r="J778" s="285" t="n"/>
      <c r="K778" s="285" t="n"/>
      <c r="L778" s="285" t="n"/>
      <c r="M778" s="285" t="n"/>
      <c r="N778" s="285" t="n"/>
      <c r="O778" s="285" t="n"/>
      <c r="P778" s="285" t="n"/>
      <c r="Q778" s="285" t="n"/>
      <c r="R778" s="285" t="n"/>
      <c r="S778" s="284" t="n"/>
      <c r="T778" s="284" t="n"/>
      <c r="U778" s="285" t="n"/>
      <c r="V778" s="285" t="n"/>
      <c r="W778" s="285" t="n"/>
      <c r="X778" s="285" t="n"/>
      <c r="Y778" s="285" t="n"/>
      <c r="Z778" s="285" t="n"/>
      <c r="AA778" s="285" t="n"/>
    </row>
    <row r="779" ht="15.75" customHeight="1" s="398">
      <c r="A779" s="284" t="n"/>
      <c r="B779" s="284" t="n"/>
      <c r="C779" s="285" t="n"/>
      <c r="D779" s="284" t="n"/>
      <c r="E779" s="285" t="n"/>
      <c r="F779" s="285" t="n"/>
      <c r="G779" s="336" t="n"/>
      <c r="H779" s="336" t="n"/>
      <c r="I779" s="285" t="n"/>
      <c r="J779" s="285" t="n"/>
      <c r="K779" s="285" t="n"/>
      <c r="L779" s="285" t="n"/>
      <c r="M779" s="285" t="n"/>
      <c r="N779" s="285" t="n"/>
      <c r="O779" s="285" t="n"/>
      <c r="P779" s="285" t="n"/>
      <c r="Q779" s="285" t="n"/>
      <c r="R779" s="285" t="n"/>
      <c r="S779" s="284" t="n"/>
      <c r="T779" s="284" t="n"/>
      <c r="U779" s="285" t="n"/>
      <c r="V779" s="285" t="n"/>
      <c r="W779" s="285" t="n"/>
      <c r="X779" s="285" t="n"/>
      <c r="Y779" s="285" t="n"/>
      <c r="Z779" s="285" t="n"/>
      <c r="AA779" s="285" t="n"/>
    </row>
    <row r="780" ht="15.75" customHeight="1" s="398">
      <c r="A780" s="284" t="n"/>
      <c r="B780" s="284" t="n"/>
      <c r="C780" s="285" t="n"/>
      <c r="D780" s="284" t="n"/>
      <c r="E780" s="285" t="n"/>
      <c r="F780" s="285" t="n"/>
      <c r="G780" s="336" t="n"/>
      <c r="H780" s="336" t="n"/>
      <c r="I780" s="285" t="n"/>
      <c r="J780" s="285" t="n"/>
      <c r="K780" s="285" t="n"/>
      <c r="L780" s="285" t="n"/>
      <c r="M780" s="285" t="n"/>
      <c r="N780" s="285" t="n"/>
      <c r="O780" s="285" t="n"/>
      <c r="P780" s="285" t="n"/>
      <c r="Q780" s="285" t="n"/>
      <c r="R780" s="285" t="n"/>
      <c r="S780" s="284" t="n"/>
      <c r="T780" s="284" t="n"/>
      <c r="U780" s="285" t="n"/>
      <c r="V780" s="285" t="n"/>
      <c r="W780" s="285" t="n"/>
      <c r="X780" s="285" t="n"/>
      <c r="Y780" s="285" t="n"/>
      <c r="Z780" s="285" t="n"/>
      <c r="AA780" s="285" t="n"/>
    </row>
    <row r="781" ht="15.75" customHeight="1" s="398">
      <c r="A781" s="284" t="n"/>
      <c r="B781" s="284" t="n"/>
      <c r="C781" s="285" t="n"/>
      <c r="D781" s="284" t="n"/>
      <c r="E781" s="285" t="n"/>
      <c r="F781" s="285" t="n"/>
      <c r="G781" s="336" t="n"/>
      <c r="H781" s="336" t="n"/>
      <c r="I781" s="285" t="n"/>
      <c r="J781" s="285" t="n"/>
      <c r="K781" s="285" t="n"/>
      <c r="L781" s="285" t="n"/>
      <c r="M781" s="285" t="n"/>
      <c r="N781" s="285" t="n"/>
      <c r="O781" s="285" t="n"/>
      <c r="P781" s="285" t="n"/>
      <c r="Q781" s="285" t="n"/>
      <c r="R781" s="285" t="n"/>
      <c r="S781" s="284" t="n"/>
      <c r="T781" s="284" t="n"/>
      <c r="U781" s="285" t="n"/>
      <c r="V781" s="285" t="n"/>
      <c r="W781" s="285" t="n"/>
      <c r="X781" s="285" t="n"/>
      <c r="Y781" s="285" t="n"/>
      <c r="Z781" s="285" t="n"/>
      <c r="AA781" s="285" t="n"/>
    </row>
    <row r="782" ht="15.75" customHeight="1" s="398">
      <c r="A782" s="284" t="n"/>
      <c r="B782" s="284" t="n"/>
      <c r="C782" s="285" t="n"/>
      <c r="D782" s="284" t="n"/>
      <c r="E782" s="285" t="n"/>
      <c r="F782" s="285" t="n"/>
      <c r="G782" s="336" t="n"/>
      <c r="H782" s="336" t="n"/>
      <c r="I782" s="285" t="n"/>
      <c r="J782" s="285" t="n"/>
      <c r="K782" s="285" t="n"/>
      <c r="L782" s="285" t="n"/>
      <c r="M782" s="285" t="n"/>
      <c r="N782" s="285" t="n"/>
      <c r="O782" s="285" t="n"/>
      <c r="P782" s="285" t="n"/>
      <c r="Q782" s="285" t="n"/>
      <c r="R782" s="285" t="n"/>
      <c r="S782" s="284" t="n"/>
      <c r="T782" s="284" t="n"/>
      <c r="U782" s="285" t="n"/>
      <c r="V782" s="285" t="n"/>
      <c r="W782" s="285" t="n"/>
      <c r="X782" s="285" t="n"/>
      <c r="Y782" s="285" t="n"/>
      <c r="Z782" s="285" t="n"/>
      <c r="AA782" s="285" t="n"/>
    </row>
    <row r="783" ht="15.75" customHeight="1" s="398">
      <c r="A783" s="284" t="n"/>
      <c r="B783" s="284" t="n"/>
      <c r="C783" s="285" t="n"/>
      <c r="D783" s="284" t="n"/>
      <c r="E783" s="285" t="n"/>
      <c r="F783" s="285" t="n"/>
      <c r="G783" s="336" t="n"/>
      <c r="H783" s="336" t="n"/>
      <c r="I783" s="285" t="n"/>
      <c r="J783" s="285" t="n"/>
      <c r="K783" s="285" t="n"/>
      <c r="L783" s="285" t="n"/>
      <c r="M783" s="285" t="n"/>
      <c r="N783" s="285" t="n"/>
      <c r="O783" s="285" t="n"/>
      <c r="P783" s="285" t="n"/>
      <c r="Q783" s="285" t="n"/>
      <c r="R783" s="285" t="n"/>
      <c r="S783" s="284" t="n"/>
      <c r="T783" s="284" t="n"/>
      <c r="U783" s="285" t="n"/>
      <c r="V783" s="285" t="n"/>
      <c r="W783" s="285" t="n"/>
      <c r="X783" s="285" t="n"/>
      <c r="Y783" s="285" t="n"/>
      <c r="Z783" s="285" t="n"/>
      <c r="AA783" s="285" t="n"/>
    </row>
    <row r="784" ht="15.75" customHeight="1" s="398">
      <c r="A784" s="284" t="n"/>
      <c r="B784" s="284" t="n"/>
      <c r="C784" s="285" t="n"/>
      <c r="D784" s="284" t="n"/>
      <c r="E784" s="285" t="n"/>
      <c r="F784" s="285" t="n"/>
      <c r="G784" s="336" t="n"/>
      <c r="H784" s="336" t="n"/>
      <c r="I784" s="285" t="n"/>
      <c r="J784" s="285" t="n"/>
      <c r="K784" s="285" t="n"/>
      <c r="L784" s="285" t="n"/>
      <c r="M784" s="285" t="n"/>
      <c r="N784" s="285" t="n"/>
      <c r="O784" s="285" t="n"/>
      <c r="P784" s="285" t="n"/>
      <c r="Q784" s="285" t="n"/>
      <c r="R784" s="285" t="n"/>
      <c r="S784" s="284" t="n"/>
      <c r="T784" s="284" t="n"/>
      <c r="U784" s="285" t="n"/>
      <c r="V784" s="285" t="n"/>
      <c r="W784" s="285" t="n"/>
      <c r="X784" s="285" t="n"/>
      <c r="Y784" s="285" t="n"/>
      <c r="Z784" s="285" t="n"/>
      <c r="AA784" s="285" t="n"/>
    </row>
    <row r="785" ht="15.75" customHeight="1" s="398">
      <c r="A785" s="284" t="n"/>
      <c r="B785" s="284" t="n"/>
      <c r="C785" s="285" t="n"/>
      <c r="D785" s="284" t="n"/>
      <c r="E785" s="285" t="n"/>
      <c r="F785" s="285" t="n"/>
      <c r="G785" s="336" t="n"/>
      <c r="H785" s="336" t="n"/>
      <c r="I785" s="285" t="n"/>
      <c r="J785" s="285" t="n"/>
      <c r="K785" s="285" t="n"/>
      <c r="L785" s="285" t="n"/>
      <c r="M785" s="285" t="n"/>
      <c r="N785" s="285" t="n"/>
      <c r="O785" s="285" t="n"/>
      <c r="P785" s="285" t="n"/>
      <c r="Q785" s="285" t="n"/>
      <c r="R785" s="285" t="n"/>
      <c r="S785" s="284" t="n"/>
      <c r="T785" s="284" t="n"/>
      <c r="U785" s="285" t="n"/>
      <c r="V785" s="285" t="n"/>
      <c r="W785" s="285" t="n"/>
      <c r="X785" s="285" t="n"/>
      <c r="Y785" s="285" t="n"/>
      <c r="Z785" s="285" t="n"/>
      <c r="AA785" s="285" t="n"/>
    </row>
    <row r="786" ht="15.75" customHeight="1" s="398">
      <c r="A786" s="284" t="n"/>
      <c r="B786" s="284" t="n"/>
      <c r="C786" s="285" t="n"/>
      <c r="D786" s="284" t="n"/>
      <c r="E786" s="285" t="n"/>
      <c r="F786" s="285" t="n"/>
      <c r="G786" s="336" t="n"/>
      <c r="H786" s="336" t="n"/>
      <c r="I786" s="285" t="n"/>
      <c r="J786" s="285" t="n"/>
      <c r="K786" s="285" t="n"/>
      <c r="L786" s="285" t="n"/>
      <c r="M786" s="285" t="n"/>
      <c r="N786" s="285" t="n"/>
      <c r="O786" s="285" t="n"/>
      <c r="P786" s="285" t="n"/>
      <c r="Q786" s="285" t="n"/>
      <c r="R786" s="285" t="n"/>
      <c r="S786" s="284" t="n"/>
      <c r="T786" s="284" t="n"/>
      <c r="U786" s="285" t="n"/>
      <c r="V786" s="285" t="n"/>
      <c r="W786" s="285" t="n"/>
      <c r="X786" s="285" t="n"/>
      <c r="Y786" s="285" t="n"/>
      <c r="Z786" s="285" t="n"/>
      <c r="AA786" s="285" t="n"/>
    </row>
    <row r="787" ht="15.75" customHeight="1" s="398">
      <c r="A787" s="284" t="n"/>
      <c r="B787" s="284" t="n"/>
      <c r="C787" s="285" t="n"/>
      <c r="D787" s="284" t="n"/>
      <c r="E787" s="285" t="n"/>
      <c r="F787" s="285" t="n"/>
      <c r="G787" s="336" t="n"/>
      <c r="H787" s="336" t="n"/>
      <c r="I787" s="285" t="n"/>
      <c r="J787" s="285" t="n"/>
      <c r="K787" s="285" t="n"/>
      <c r="L787" s="285" t="n"/>
      <c r="M787" s="285" t="n"/>
      <c r="N787" s="285" t="n"/>
      <c r="O787" s="285" t="n"/>
      <c r="P787" s="285" t="n"/>
      <c r="Q787" s="285" t="n"/>
      <c r="R787" s="285" t="n"/>
      <c r="S787" s="284" t="n"/>
      <c r="T787" s="284" t="n"/>
      <c r="U787" s="285" t="n"/>
      <c r="V787" s="285" t="n"/>
      <c r="W787" s="285" t="n"/>
      <c r="X787" s="285" t="n"/>
      <c r="Y787" s="285" t="n"/>
      <c r="Z787" s="285" t="n"/>
      <c r="AA787" s="285" t="n"/>
    </row>
    <row r="788" ht="15.75" customHeight="1" s="398">
      <c r="A788" s="284" t="n"/>
      <c r="B788" s="284" t="n"/>
      <c r="C788" s="285" t="n"/>
      <c r="D788" s="284" t="n"/>
      <c r="E788" s="285" t="n"/>
      <c r="F788" s="285" t="n"/>
      <c r="G788" s="336" t="n"/>
      <c r="H788" s="336" t="n"/>
      <c r="I788" s="285" t="n"/>
      <c r="J788" s="285" t="n"/>
      <c r="K788" s="285" t="n"/>
      <c r="L788" s="285" t="n"/>
      <c r="M788" s="285" t="n"/>
      <c r="N788" s="285" t="n"/>
      <c r="O788" s="285" t="n"/>
      <c r="P788" s="285" t="n"/>
      <c r="Q788" s="285" t="n"/>
      <c r="R788" s="285" t="n"/>
      <c r="S788" s="284" t="n"/>
      <c r="T788" s="284" t="n"/>
      <c r="U788" s="285" t="n"/>
      <c r="V788" s="285" t="n"/>
      <c r="W788" s="285" t="n"/>
      <c r="X788" s="285" t="n"/>
      <c r="Y788" s="285" t="n"/>
      <c r="Z788" s="285" t="n"/>
      <c r="AA788" s="285" t="n"/>
    </row>
    <row r="789" ht="15.75" customHeight="1" s="398">
      <c r="A789" s="284" t="n"/>
      <c r="B789" s="284" t="n"/>
      <c r="C789" s="285" t="n"/>
      <c r="D789" s="284" t="n"/>
      <c r="E789" s="285" t="n"/>
      <c r="F789" s="285" t="n"/>
      <c r="G789" s="336" t="n"/>
      <c r="H789" s="336" t="n"/>
      <c r="I789" s="285" t="n"/>
      <c r="J789" s="285" t="n"/>
      <c r="K789" s="285" t="n"/>
      <c r="L789" s="285" t="n"/>
      <c r="M789" s="285" t="n"/>
      <c r="N789" s="285" t="n"/>
      <c r="O789" s="285" t="n"/>
      <c r="P789" s="285" t="n"/>
      <c r="Q789" s="285" t="n"/>
      <c r="R789" s="285" t="n"/>
      <c r="S789" s="284" t="n"/>
      <c r="T789" s="284" t="n"/>
      <c r="U789" s="285" t="n"/>
      <c r="V789" s="285" t="n"/>
      <c r="W789" s="285" t="n"/>
      <c r="X789" s="285" t="n"/>
      <c r="Y789" s="285" t="n"/>
      <c r="Z789" s="285" t="n"/>
      <c r="AA789" s="285" t="n"/>
    </row>
    <row r="790" ht="15.75" customHeight="1" s="398">
      <c r="A790" s="284" t="n"/>
      <c r="B790" s="284" t="n"/>
      <c r="C790" s="285" t="n"/>
      <c r="D790" s="284" t="n"/>
      <c r="E790" s="285" t="n"/>
      <c r="F790" s="285" t="n"/>
      <c r="G790" s="336" t="n"/>
      <c r="H790" s="336" t="n"/>
      <c r="I790" s="285" t="n"/>
      <c r="J790" s="285" t="n"/>
      <c r="K790" s="285" t="n"/>
      <c r="L790" s="285" t="n"/>
      <c r="M790" s="285" t="n"/>
      <c r="N790" s="285" t="n"/>
      <c r="O790" s="285" t="n"/>
      <c r="P790" s="285" t="n"/>
      <c r="Q790" s="285" t="n"/>
      <c r="R790" s="285" t="n"/>
      <c r="S790" s="284" t="n"/>
      <c r="T790" s="284" t="n"/>
      <c r="U790" s="285" t="n"/>
      <c r="V790" s="285" t="n"/>
      <c r="W790" s="285" t="n"/>
      <c r="X790" s="285" t="n"/>
      <c r="Y790" s="285" t="n"/>
      <c r="Z790" s="285" t="n"/>
      <c r="AA790" s="285" t="n"/>
    </row>
    <row r="791" ht="15.75" customHeight="1" s="398">
      <c r="A791" s="284" t="n"/>
      <c r="B791" s="284" t="n"/>
      <c r="C791" s="285" t="n"/>
      <c r="D791" s="284" t="n"/>
      <c r="E791" s="285" t="n"/>
      <c r="F791" s="285" t="n"/>
      <c r="G791" s="336" t="n"/>
      <c r="H791" s="336" t="n"/>
      <c r="I791" s="285" t="n"/>
      <c r="J791" s="285" t="n"/>
      <c r="K791" s="285" t="n"/>
      <c r="L791" s="285" t="n"/>
      <c r="M791" s="285" t="n"/>
      <c r="N791" s="285" t="n"/>
      <c r="O791" s="285" t="n"/>
      <c r="P791" s="285" t="n"/>
      <c r="Q791" s="285" t="n"/>
      <c r="R791" s="285" t="n"/>
      <c r="S791" s="284" t="n"/>
      <c r="T791" s="284" t="n"/>
      <c r="U791" s="285" t="n"/>
      <c r="V791" s="285" t="n"/>
      <c r="W791" s="285" t="n"/>
      <c r="X791" s="285" t="n"/>
      <c r="Y791" s="285" t="n"/>
      <c r="Z791" s="285" t="n"/>
      <c r="AA791" s="285" t="n"/>
    </row>
    <row r="792" ht="15.75" customHeight="1" s="398">
      <c r="A792" s="284" t="n"/>
      <c r="B792" s="284" t="n"/>
      <c r="C792" s="285" t="n"/>
      <c r="D792" s="284" t="n"/>
      <c r="E792" s="285" t="n"/>
      <c r="F792" s="285" t="n"/>
      <c r="G792" s="336" t="n"/>
      <c r="H792" s="336" t="n"/>
      <c r="I792" s="285" t="n"/>
      <c r="J792" s="285" t="n"/>
      <c r="K792" s="285" t="n"/>
      <c r="L792" s="285" t="n"/>
      <c r="M792" s="285" t="n"/>
      <c r="N792" s="285" t="n"/>
      <c r="O792" s="285" t="n"/>
      <c r="P792" s="285" t="n"/>
      <c r="Q792" s="285" t="n"/>
      <c r="R792" s="285" t="n"/>
      <c r="S792" s="284" t="n"/>
      <c r="T792" s="284" t="n"/>
      <c r="U792" s="285" t="n"/>
      <c r="V792" s="285" t="n"/>
      <c r="W792" s="285" t="n"/>
      <c r="X792" s="285" t="n"/>
      <c r="Y792" s="285" t="n"/>
      <c r="Z792" s="285" t="n"/>
      <c r="AA792" s="285" t="n"/>
    </row>
    <row r="793" ht="15.75" customHeight="1" s="398">
      <c r="A793" s="284" t="n"/>
      <c r="B793" s="284" t="n"/>
      <c r="C793" s="285" t="n"/>
      <c r="D793" s="284" t="n"/>
      <c r="E793" s="285" t="n"/>
      <c r="F793" s="285" t="n"/>
      <c r="G793" s="336" t="n"/>
      <c r="H793" s="336" t="n"/>
      <c r="I793" s="285" t="n"/>
      <c r="J793" s="285" t="n"/>
      <c r="K793" s="285" t="n"/>
      <c r="L793" s="285" t="n"/>
      <c r="M793" s="285" t="n"/>
      <c r="N793" s="285" t="n"/>
      <c r="O793" s="285" t="n"/>
      <c r="P793" s="285" t="n"/>
      <c r="Q793" s="285" t="n"/>
      <c r="R793" s="285" t="n"/>
      <c r="S793" s="284" t="n"/>
      <c r="T793" s="284" t="n"/>
      <c r="U793" s="285" t="n"/>
      <c r="V793" s="285" t="n"/>
      <c r="W793" s="285" t="n"/>
      <c r="X793" s="285" t="n"/>
      <c r="Y793" s="285" t="n"/>
      <c r="Z793" s="285" t="n"/>
      <c r="AA793" s="285" t="n"/>
    </row>
    <row r="794" ht="15.75" customHeight="1" s="398">
      <c r="A794" s="284" t="n"/>
      <c r="B794" s="284" t="n"/>
      <c r="C794" s="285" t="n"/>
      <c r="D794" s="284" t="n"/>
      <c r="E794" s="285" t="n"/>
      <c r="F794" s="285" t="n"/>
      <c r="G794" s="336" t="n"/>
      <c r="H794" s="336" t="n"/>
      <c r="I794" s="285" t="n"/>
      <c r="J794" s="285" t="n"/>
      <c r="K794" s="285" t="n"/>
      <c r="L794" s="285" t="n"/>
      <c r="M794" s="285" t="n"/>
      <c r="N794" s="285" t="n"/>
      <c r="O794" s="285" t="n"/>
      <c r="P794" s="285" t="n"/>
      <c r="Q794" s="285" t="n"/>
      <c r="R794" s="285" t="n"/>
      <c r="S794" s="284" t="n"/>
      <c r="T794" s="284" t="n"/>
      <c r="U794" s="285" t="n"/>
      <c r="V794" s="285" t="n"/>
      <c r="W794" s="285" t="n"/>
      <c r="X794" s="285" t="n"/>
      <c r="Y794" s="285" t="n"/>
      <c r="Z794" s="285" t="n"/>
      <c r="AA794" s="285" t="n"/>
    </row>
    <row r="795" ht="15.75" customHeight="1" s="398">
      <c r="A795" s="284" t="n"/>
      <c r="B795" s="284" t="n"/>
      <c r="C795" s="285" t="n"/>
      <c r="D795" s="284" t="n"/>
      <c r="E795" s="285" t="n"/>
      <c r="F795" s="285" t="n"/>
      <c r="G795" s="336" t="n"/>
      <c r="H795" s="336" t="n"/>
      <c r="I795" s="285" t="n"/>
      <c r="J795" s="285" t="n"/>
      <c r="K795" s="285" t="n"/>
      <c r="L795" s="285" t="n"/>
      <c r="M795" s="285" t="n"/>
      <c r="N795" s="285" t="n"/>
      <c r="O795" s="285" t="n"/>
      <c r="P795" s="285" t="n"/>
      <c r="Q795" s="285" t="n"/>
      <c r="R795" s="285" t="n"/>
      <c r="S795" s="284" t="n"/>
      <c r="T795" s="284" t="n"/>
      <c r="U795" s="285" t="n"/>
      <c r="V795" s="285" t="n"/>
      <c r="W795" s="285" t="n"/>
      <c r="X795" s="285" t="n"/>
      <c r="Y795" s="285" t="n"/>
      <c r="Z795" s="285" t="n"/>
      <c r="AA795" s="285" t="n"/>
    </row>
    <row r="796" ht="15.75" customHeight="1" s="398">
      <c r="A796" s="284" t="n"/>
      <c r="B796" s="284" t="n"/>
      <c r="C796" s="285" t="n"/>
      <c r="D796" s="284" t="n"/>
      <c r="E796" s="285" t="n"/>
      <c r="F796" s="285" t="n"/>
      <c r="G796" s="336" t="n"/>
      <c r="H796" s="336" t="n"/>
      <c r="I796" s="285" t="n"/>
      <c r="J796" s="285" t="n"/>
      <c r="K796" s="285" t="n"/>
      <c r="L796" s="285" t="n"/>
      <c r="M796" s="285" t="n"/>
      <c r="N796" s="285" t="n"/>
      <c r="O796" s="285" t="n"/>
      <c r="P796" s="285" t="n"/>
      <c r="Q796" s="285" t="n"/>
      <c r="R796" s="285" t="n"/>
      <c r="S796" s="284" t="n"/>
      <c r="T796" s="284" t="n"/>
      <c r="U796" s="285" t="n"/>
      <c r="V796" s="285" t="n"/>
      <c r="W796" s="285" t="n"/>
      <c r="X796" s="285" t="n"/>
      <c r="Y796" s="285" t="n"/>
      <c r="Z796" s="285" t="n"/>
      <c r="AA796" s="285" t="n"/>
    </row>
    <row r="797" ht="15.75" customHeight="1" s="398">
      <c r="A797" s="284" t="n"/>
      <c r="B797" s="284" t="n"/>
      <c r="C797" s="285" t="n"/>
      <c r="D797" s="284" t="n"/>
      <c r="E797" s="285" t="n"/>
      <c r="F797" s="285" t="n"/>
      <c r="G797" s="336" t="n"/>
      <c r="H797" s="336" t="n"/>
      <c r="I797" s="285" t="n"/>
      <c r="J797" s="285" t="n"/>
      <c r="K797" s="285" t="n"/>
      <c r="L797" s="285" t="n"/>
      <c r="M797" s="285" t="n"/>
      <c r="N797" s="285" t="n"/>
      <c r="O797" s="285" t="n"/>
      <c r="P797" s="285" t="n"/>
      <c r="Q797" s="285" t="n"/>
      <c r="R797" s="285" t="n"/>
      <c r="S797" s="284" t="n"/>
      <c r="T797" s="284" t="n"/>
      <c r="U797" s="285" t="n"/>
      <c r="V797" s="285" t="n"/>
      <c r="W797" s="285" t="n"/>
      <c r="X797" s="285" t="n"/>
      <c r="Y797" s="285" t="n"/>
      <c r="Z797" s="285" t="n"/>
      <c r="AA797" s="285" t="n"/>
    </row>
    <row r="798" ht="15.75" customHeight="1" s="398">
      <c r="A798" s="284" t="n"/>
      <c r="B798" s="284" t="n"/>
      <c r="C798" s="285" t="n"/>
      <c r="D798" s="284" t="n"/>
      <c r="E798" s="285" t="n"/>
      <c r="F798" s="285" t="n"/>
      <c r="G798" s="336" t="n"/>
      <c r="H798" s="336" t="n"/>
      <c r="I798" s="285" t="n"/>
      <c r="J798" s="285" t="n"/>
      <c r="K798" s="285" t="n"/>
      <c r="L798" s="285" t="n"/>
      <c r="M798" s="285" t="n"/>
      <c r="N798" s="285" t="n"/>
      <c r="O798" s="285" t="n"/>
      <c r="P798" s="285" t="n"/>
      <c r="Q798" s="285" t="n"/>
      <c r="R798" s="285" t="n"/>
      <c r="S798" s="284" t="n"/>
      <c r="T798" s="284" t="n"/>
      <c r="U798" s="285" t="n"/>
      <c r="V798" s="285" t="n"/>
      <c r="W798" s="285" t="n"/>
      <c r="X798" s="285" t="n"/>
      <c r="Y798" s="285" t="n"/>
      <c r="Z798" s="285" t="n"/>
      <c r="AA798" s="285" t="n"/>
    </row>
    <row r="799" ht="15.75" customHeight="1" s="398">
      <c r="A799" s="284" t="n"/>
      <c r="B799" s="284" t="n"/>
      <c r="C799" s="285" t="n"/>
      <c r="D799" s="284" t="n"/>
      <c r="E799" s="285" t="n"/>
      <c r="F799" s="285" t="n"/>
      <c r="G799" s="336" t="n"/>
      <c r="H799" s="336" t="n"/>
      <c r="I799" s="285" t="n"/>
      <c r="J799" s="285" t="n"/>
      <c r="K799" s="285" t="n"/>
      <c r="L799" s="285" t="n"/>
      <c r="M799" s="285" t="n"/>
      <c r="N799" s="285" t="n"/>
      <c r="O799" s="285" t="n"/>
      <c r="P799" s="285" t="n"/>
      <c r="Q799" s="285" t="n"/>
      <c r="R799" s="285" t="n"/>
      <c r="S799" s="284" t="n"/>
      <c r="T799" s="284" t="n"/>
      <c r="U799" s="285" t="n"/>
      <c r="V799" s="285" t="n"/>
      <c r="W799" s="285" t="n"/>
      <c r="X799" s="285" t="n"/>
      <c r="Y799" s="285" t="n"/>
      <c r="Z799" s="285" t="n"/>
      <c r="AA799" s="285" t="n"/>
    </row>
    <row r="800" ht="15.75" customHeight="1" s="398">
      <c r="A800" s="284" t="n"/>
      <c r="B800" s="284" t="n"/>
      <c r="C800" s="285" t="n"/>
      <c r="D800" s="284" t="n"/>
      <c r="E800" s="285" t="n"/>
      <c r="F800" s="285" t="n"/>
      <c r="G800" s="336" t="n"/>
      <c r="H800" s="336" t="n"/>
      <c r="I800" s="285" t="n"/>
      <c r="J800" s="285" t="n"/>
      <c r="K800" s="285" t="n"/>
      <c r="L800" s="285" t="n"/>
      <c r="M800" s="285" t="n"/>
      <c r="N800" s="285" t="n"/>
      <c r="O800" s="285" t="n"/>
      <c r="P800" s="285" t="n"/>
      <c r="Q800" s="285" t="n"/>
      <c r="R800" s="285" t="n"/>
      <c r="S800" s="284" t="n"/>
      <c r="T800" s="284" t="n"/>
      <c r="U800" s="285" t="n"/>
      <c r="V800" s="285" t="n"/>
      <c r="W800" s="285" t="n"/>
      <c r="X800" s="285" t="n"/>
      <c r="Y800" s="285" t="n"/>
      <c r="Z800" s="285" t="n"/>
      <c r="AA800" s="285" t="n"/>
    </row>
    <row r="801" ht="15.75" customHeight="1" s="398">
      <c r="A801" s="284" t="n"/>
      <c r="B801" s="284" t="n"/>
      <c r="C801" s="285" t="n"/>
      <c r="D801" s="284" t="n"/>
      <c r="E801" s="285" t="n"/>
      <c r="F801" s="285" t="n"/>
      <c r="G801" s="336" t="n"/>
      <c r="H801" s="336" t="n"/>
      <c r="I801" s="285" t="n"/>
      <c r="J801" s="285" t="n"/>
      <c r="K801" s="285" t="n"/>
      <c r="L801" s="285" t="n"/>
      <c r="M801" s="285" t="n"/>
      <c r="N801" s="285" t="n"/>
      <c r="O801" s="285" t="n"/>
      <c r="P801" s="285" t="n"/>
      <c r="Q801" s="285" t="n"/>
      <c r="R801" s="285" t="n"/>
      <c r="S801" s="284" t="n"/>
      <c r="T801" s="284" t="n"/>
      <c r="U801" s="285" t="n"/>
      <c r="V801" s="285" t="n"/>
      <c r="W801" s="285" t="n"/>
      <c r="X801" s="285" t="n"/>
      <c r="Y801" s="285" t="n"/>
      <c r="Z801" s="285" t="n"/>
      <c r="AA801" s="285" t="n"/>
    </row>
    <row r="802" ht="15.75" customHeight="1" s="398">
      <c r="A802" s="284" t="n"/>
      <c r="B802" s="284" t="n"/>
      <c r="C802" s="285" t="n"/>
      <c r="D802" s="284" t="n"/>
      <c r="E802" s="285" t="n"/>
      <c r="F802" s="285" t="n"/>
      <c r="G802" s="336" t="n"/>
      <c r="H802" s="336" t="n"/>
      <c r="I802" s="285" t="n"/>
      <c r="J802" s="285" t="n"/>
      <c r="K802" s="285" t="n"/>
      <c r="L802" s="285" t="n"/>
      <c r="M802" s="285" t="n"/>
      <c r="N802" s="285" t="n"/>
      <c r="O802" s="285" t="n"/>
      <c r="P802" s="285" t="n"/>
      <c r="Q802" s="285" t="n"/>
      <c r="R802" s="285" t="n"/>
      <c r="S802" s="284" t="n"/>
      <c r="T802" s="284" t="n"/>
      <c r="U802" s="285" t="n"/>
      <c r="V802" s="285" t="n"/>
      <c r="W802" s="285" t="n"/>
      <c r="X802" s="285" t="n"/>
      <c r="Y802" s="285" t="n"/>
      <c r="Z802" s="285" t="n"/>
      <c r="AA802" s="285" t="n"/>
    </row>
    <row r="803" ht="15.75" customHeight="1" s="398">
      <c r="A803" s="284" t="n"/>
      <c r="B803" s="284" t="n"/>
      <c r="C803" s="285" t="n"/>
      <c r="D803" s="284" t="n"/>
      <c r="E803" s="285" t="n"/>
      <c r="F803" s="285" t="n"/>
      <c r="G803" s="336" t="n"/>
      <c r="H803" s="336" t="n"/>
      <c r="I803" s="285" t="n"/>
      <c r="J803" s="285" t="n"/>
      <c r="K803" s="285" t="n"/>
      <c r="L803" s="285" t="n"/>
      <c r="M803" s="285" t="n"/>
      <c r="N803" s="285" t="n"/>
      <c r="O803" s="285" t="n"/>
      <c r="P803" s="285" t="n"/>
      <c r="Q803" s="285" t="n"/>
      <c r="R803" s="285" t="n"/>
      <c r="S803" s="284" t="n"/>
      <c r="T803" s="284" t="n"/>
      <c r="U803" s="285" t="n"/>
      <c r="V803" s="285" t="n"/>
      <c r="W803" s="285" t="n"/>
      <c r="X803" s="285" t="n"/>
      <c r="Y803" s="285" t="n"/>
      <c r="Z803" s="285" t="n"/>
      <c r="AA803" s="285" t="n"/>
    </row>
    <row r="804" ht="15.75" customHeight="1" s="398">
      <c r="A804" s="284" t="n"/>
      <c r="B804" s="284" t="n"/>
      <c r="C804" s="285" t="n"/>
      <c r="D804" s="284" t="n"/>
      <c r="E804" s="285" t="n"/>
      <c r="F804" s="285" t="n"/>
      <c r="G804" s="336" t="n"/>
      <c r="H804" s="336" t="n"/>
      <c r="I804" s="285" t="n"/>
      <c r="J804" s="285" t="n"/>
      <c r="K804" s="285" t="n"/>
      <c r="L804" s="285" t="n"/>
      <c r="M804" s="285" t="n"/>
      <c r="N804" s="285" t="n"/>
      <c r="O804" s="285" t="n"/>
      <c r="P804" s="285" t="n"/>
      <c r="Q804" s="285" t="n"/>
      <c r="R804" s="285" t="n"/>
      <c r="S804" s="284" t="n"/>
      <c r="T804" s="284" t="n"/>
      <c r="U804" s="285" t="n"/>
      <c r="V804" s="285" t="n"/>
      <c r="W804" s="285" t="n"/>
      <c r="X804" s="285" t="n"/>
      <c r="Y804" s="285" t="n"/>
      <c r="Z804" s="285" t="n"/>
      <c r="AA804" s="285" t="n"/>
    </row>
    <row r="805" ht="15.75" customHeight="1" s="398">
      <c r="A805" s="284" t="n"/>
      <c r="B805" s="284" t="n"/>
      <c r="C805" s="285" t="n"/>
      <c r="D805" s="284" t="n"/>
      <c r="E805" s="285" t="n"/>
      <c r="F805" s="285" t="n"/>
      <c r="G805" s="336" t="n"/>
      <c r="H805" s="336" t="n"/>
      <c r="I805" s="285" t="n"/>
      <c r="J805" s="285" t="n"/>
      <c r="K805" s="285" t="n"/>
      <c r="L805" s="285" t="n"/>
      <c r="M805" s="285" t="n"/>
      <c r="N805" s="285" t="n"/>
      <c r="O805" s="285" t="n"/>
      <c r="P805" s="285" t="n"/>
      <c r="Q805" s="285" t="n"/>
      <c r="R805" s="285" t="n"/>
      <c r="S805" s="284" t="n"/>
      <c r="T805" s="284" t="n"/>
      <c r="U805" s="285" t="n"/>
      <c r="V805" s="285" t="n"/>
      <c r="W805" s="285" t="n"/>
      <c r="X805" s="285" t="n"/>
      <c r="Y805" s="285" t="n"/>
      <c r="Z805" s="285" t="n"/>
      <c r="AA805" s="285" t="n"/>
    </row>
    <row r="806" ht="15.75" customHeight="1" s="398">
      <c r="A806" s="284" t="n"/>
      <c r="B806" s="284" t="n"/>
      <c r="C806" s="285" t="n"/>
      <c r="D806" s="284" t="n"/>
      <c r="E806" s="285" t="n"/>
      <c r="F806" s="285" t="n"/>
      <c r="G806" s="336" t="n"/>
      <c r="H806" s="336" t="n"/>
      <c r="I806" s="285" t="n"/>
      <c r="J806" s="285" t="n"/>
      <c r="K806" s="285" t="n"/>
      <c r="L806" s="285" t="n"/>
      <c r="M806" s="285" t="n"/>
      <c r="N806" s="285" t="n"/>
      <c r="O806" s="285" t="n"/>
      <c r="P806" s="285" t="n"/>
      <c r="Q806" s="285" t="n"/>
      <c r="R806" s="285" t="n"/>
      <c r="S806" s="284" t="n"/>
      <c r="T806" s="284" t="n"/>
      <c r="U806" s="285" t="n"/>
      <c r="V806" s="285" t="n"/>
      <c r="W806" s="285" t="n"/>
      <c r="X806" s="285" t="n"/>
      <c r="Y806" s="285" t="n"/>
      <c r="Z806" s="285" t="n"/>
      <c r="AA806" s="285" t="n"/>
    </row>
    <row r="807" ht="15.75" customHeight="1" s="398">
      <c r="A807" s="284" t="n"/>
      <c r="B807" s="284" t="n"/>
      <c r="C807" s="285" t="n"/>
      <c r="D807" s="284" t="n"/>
      <c r="E807" s="285" t="n"/>
      <c r="F807" s="285" t="n"/>
      <c r="G807" s="336" t="n"/>
      <c r="H807" s="336" t="n"/>
      <c r="I807" s="285" t="n"/>
      <c r="J807" s="285" t="n"/>
      <c r="K807" s="285" t="n"/>
      <c r="L807" s="285" t="n"/>
      <c r="M807" s="285" t="n"/>
      <c r="N807" s="285" t="n"/>
      <c r="O807" s="285" t="n"/>
      <c r="P807" s="285" t="n"/>
      <c r="Q807" s="285" t="n"/>
      <c r="R807" s="285" t="n"/>
      <c r="S807" s="284" t="n"/>
      <c r="T807" s="284" t="n"/>
      <c r="U807" s="285" t="n"/>
      <c r="V807" s="285" t="n"/>
      <c r="W807" s="285" t="n"/>
      <c r="X807" s="285" t="n"/>
      <c r="Y807" s="285" t="n"/>
      <c r="Z807" s="285" t="n"/>
      <c r="AA807" s="285" t="n"/>
    </row>
    <row r="808" ht="15.75" customHeight="1" s="398">
      <c r="A808" s="284" t="n"/>
      <c r="B808" s="284" t="n"/>
      <c r="C808" s="285" t="n"/>
      <c r="D808" s="284" t="n"/>
      <c r="E808" s="285" t="n"/>
      <c r="F808" s="285" t="n"/>
      <c r="G808" s="336" t="n"/>
      <c r="H808" s="336" t="n"/>
      <c r="I808" s="285" t="n"/>
      <c r="J808" s="285" t="n"/>
      <c r="K808" s="285" t="n"/>
      <c r="L808" s="285" t="n"/>
      <c r="M808" s="285" t="n"/>
      <c r="N808" s="285" t="n"/>
      <c r="O808" s="285" t="n"/>
      <c r="P808" s="285" t="n"/>
      <c r="Q808" s="285" t="n"/>
      <c r="R808" s="285" t="n"/>
      <c r="S808" s="284" t="n"/>
      <c r="T808" s="284" t="n"/>
      <c r="U808" s="285" t="n"/>
      <c r="V808" s="285" t="n"/>
      <c r="W808" s="285" t="n"/>
      <c r="X808" s="285" t="n"/>
      <c r="Y808" s="285" t="n"/>
      <c r="Z808" s="285" t="n"/>
      <c r="AA808" s="285" t="n"/>
    </row>
    <row r="809" ht="15.75" customHeight="1" s="398">
      <c r="A809" s="284" t="n"/>
      <c r="B809" s="284" t="n"/>
      <c r="C809" s="285" t="n"/>
      <c r="D809" s="284" t="n"/>
      <c r="E809" s="285" t="n"/>
      <c r="F809" s="285" t="n"/>
      <c r="G809" s="336" t="n"/>
      <c r="H809" s="336" t="n"/>
      <c r="I809" s="285" t="n"/>
      <c r="J809" s="285" t="n"/>
      <c r="K809" s="285" t="n"/>
      <c r="L809" s="285" t="n"/>
      <c r="M809" s="285" t="n"/>
      <c r="N809" s="285" t="n"/>
      <c r="O809" s="285" t="n"/>
      <c r="P809" s="285" t="n"/>
      <c r="Q809" s="285" t="n"/>
      <c r="R809" s="285" t="n"/>
      <c r="S809" s="284" t="n"/>
      <c r="T809" s="284" t="n"/>
      <c r="U809" s="285" t="n"/>
      <c r="V809" s="285" t="n"/>
      <c r="W809" s="285" t="n"/>
      <c r="X809" s="285" t="n"/>
      <c r="Y809" s="285" t="n"/>
      <c r="Z809" s="285" t="n"/>
      <c r="AA809" s="285" t="n"/>
    </row>
    <row r="810" ht="15.75" customHeight="1" s="398">
      <c r="A810" s="284" t="n"/>
      <c r="B810" s="284" t="n"/>
      <c r="C810" s="285" t="n"/>
      <c r="D810" s="284" t="n"/>
      <c r="E810" s="285" t="n"/>
      <c r="F810" s="285" t="n"/>
      <c r="G810" s="336" t="n"/>
      <c r="H810" s="336" t="n"/>
      <c r="I810" s="285" t="n"/>
      <c r="J810" s="285" t="n"/>
      <c r="K810" s="285" t="n"/>
      <c r="L810" s="285" t="n"/>
      <c r="M810" s="285" t="n"/>
      <c r="N810" s="285" t="n"/>
      <c r="O810" s="285" t="n"/>
      <c r="P810" s="285" t="n"/>
      <c r="Q810" s="285" t="n"/>
      <c r="R810" s="285" t="n"/>
      <c r="S810" s="284" t="n"/>
      <c r="T810" s="284" t="n"/>
      <c r="U810" s="285" t="n"/>
      <c r="V810" s="285" t="n"/>
      <c r="W810" s="285" t="n"/>
      <c r="X810" s="285" t="n"/>
      <c r="Y810" s="285" t="n"/>
      <c r="Z810" s="285" t="n"/>
      <c r="AA810" s="285" t="n"/>
    </row>
    <row r="811" ht="15.75" customHeight="1" s="398">
      <c r="A811" s="284" t="n"/>
      <c r="B811" s="284" t="n"/>
      <c r="C811" s="285" t="n"/>
      <c r="D811" s="284" t="n"/>
      <c r="E811" s="285" t="n"/>
      <c r="F811" s="285" t="n"/>
      <c r="G811" s="336" t="n"/>
      <c r="H811" s="336" t="n"/>
      <c r="I811" s="285" t="n"/>
      <c r="J811" s="285" t="n"/>
      <c r="K811" s="285" t="n"/>
      <c r="L811" s="285" t="n"/>
      <c r="M811" s="285" t="n"/>
      <c r="N811" s="285" t="n"/>
      <c r="O811" s="285" t="n"/>
      <c r="P811" s="285" t="n"/>
      <c r="Q811" s="285" t="n"/>
      <c r="R811" s="285" t="n"/>
      <c r="S811" s="284" t="n"/>
      <c r="T811" s="284" t="n"/>
      <c r="U811" s="285" t="n"/>
      <c r="V811" s="285" t="n"/>
      <c r="W811" s="285" t="n"/>
      <c r="X811" s="285" t="n"/>
      <c r="Y811" s="285" t="n"/>
      <c r="Z811" s="285" t="n"/>
      <c r="AA811" s="285" t="n"/>
    </row>
    <row r="812" ht="15.75" customHeight="1" s="398">
      <c r="A812" s="284" t="n"/>
      <c r="B812" s="284" t="n"/>
      <c r="C812" s="285" t="n"/>
      <c r="D812" s="284" t="n"/>
      <c r="E812" s="285" t="n"/>
      <c r="F812" s="285" t="n"/>
      <c r="G812" s="336" t="n"/>
      <c r="H812" s="336" t="n"/>
      <c r="I812" s="285" t="n"/>
      <c r="J812" s="285" t="n"/>
      <c r="K812" s="285" t="n"/>
      <c r="L812" s="285" t="n"/>
      <c r="M812" s="285" t="n"/>
      <c r="N812" s="285" t="n"/>
      <c r="O812" s="285" t="n"/>
      <c r="P812" s="285" t="n"/>
      <c r="Q812" s="285" t="n"/>
      <c r="R812" s="285" t="n"/>
      <c r="S812" s="284" t="n"/>
      <c r="T812" s="284" t="n"/>
      <c r="U812" s="285" t="n"/>
      <c r="V812" s="285" t="n"/>
      <c r="W812" s="285" t="n"/>
      <c r="X812" s="285" t="n"/>
      <c r="Y812" s="285" t="n"/>
      <c r="Z812" s="285" t="n"/>
      <c r="AA812" s="285" t="n"/>
    </row>
    <row r="813" ht="15.75" customHeight="1" s="398">
      <c r="A813" s="284" t="n"/>
      <c r="B813" s="284" t="n"/>
      <c r="C813" s="285" t="n"/>
      <c r="D813" s="284" t="n"/>
      <c r="E813" s="285" t="n"/>
      <c r="F813" s="285" t="n"/>
      <c r="G813" s="336" t="n"/>
      <c r="H813" s="336" t="n"/>
      <c r="I813" s="285" t="n"/>
      <c r="J813" s="285" t="n"/>
      <c r="K813" s="285" t="n"/>
      <c r="L813" s="285" t="n"/>
      <c r="M813" s="285" t="n"/>
      <c r="N813" s="285" t="n"/>
      <c r="O813" s="285" t="n"/>
      <c r="P813" s="285" t="n"/>
      <c r="Q813" s="285" t="n"/>
      <c r="R813" s="285" t="n"/>
      <c r="S813" s="284" t="n"/>
      <c r="T813" s="284" t="n"/>
      <c r="U813" s="285" t="n"/>
      <c r="V813" s="285" t="n"/>
      <c r="W813" s="285" t="n"/>
      <c r="X813" s="285" t="n"/>
      <c r="Y813" s="285" t="n"/>
      <c r="Z813" s="285" t="n"/>
      <c r="AA813" s="285" t="n"/>
    </row>
    <row r="814" ht="15.75" customHeight="1" s="398">
      <c r="A814" s="284" t="n"/>
      <c r="B814" s="284" t="n"/>
      <c r="C814" s="285" t="n"/>
      <c r="D814" s="284" t="n"/>
      <c r="E814" s="285" t="n"/>
      <c r="F814" s="285" t="n"/>
      <c r="G814" s="336" t="n"/>
      <c r="H814" s="336" t="n"/>
      <c r="I814" s="285" t="n"/>
      <c r="J814" s="285" t="n"/>
      <c r="K814" s="285" t="n"/>
      <c r="L814" s="285" t="n"/>
      <c r="M814" s="285" t="n"/>
      <c r="N814" s="285" t="n"/>
      <c r="O814" s="285" t="n"/>
      <c r="P814" s="285" t="n"/>
      <c r="Q814" s="285" t="n"/>
      <c r="R814" s="285" t="n"/>
      <c r="S814" s="284" t="n"/>
      <c r="T814" s="284" t="n"/>
      <c r="U814" s="285" t="n"/>
      <c r="V814" s="285" t="n"/>
      <c r="W814" s="285" t="n"/>
      <c r="X814" s="285" t="n"/>
      <c r="Y814" s="285" t="n"/>
      <c r="Z814" s="285" t="n"/>
      <c r="AA814" s="285" t="n"/>
    </row>
    <row r="815" ht="15.75" customHeight="1" s="398">
      <c r="A815" s="284" t="n"/>
      <c r="B815" s="284" t="n"/>
      <c r="C815" s="285" t="n"/>
      <c r="D815" s="284" t="n"/>
      <c r="E815" s="285" t="n"/>
      <c r="F815" s="285" t="n"/>
      <c r="G815" s="336" t="n"/>
      <c r="H815" s="336" t="n"/>
      <c r="I815" s="285" t="n"/>
      <c r="J815" s="285" t="n"/>
      <c r="K815" s="285" t="n"/>
      <c r="L815" s="285" t="n"/>
      <c r="M815" s="285" t="n"/>
      <c r="N815" s="285" t="n"/>
      <c r="O815" s="285" t="n"/>
      <c r="P815" s="285" t="n"/>
      <c r="Q815" s="285" t="n"/>
      <c r="R815" s="285" t="n"/>
      <c r="S815" s="284" t="n"/>
      <c r="T815" s="284" t="n"/>
      <c r="U815" s="285" t="n"/>
      <c r="V815" s="285" t="n"/>
      <c r="W815" s="285" t="n"/>
      <c r="X815" s="285" t="n"/>
      <c r="Y815" s="285" t="n"/>
      <c r="Z815" s="285" t="n"/>
      <c r="AA815" s="285" t="n"/>
    </row>
    <row r="816" ht="15.75" customHeight="1" s="398">
      <c r="A816" s="284" t="n"/>
      <c r="B816" s="284" t="n"/>
      <c r="C816" s="285" t="n"/>
      <c r="D816" s="284" t="n"/>
      <c r="E816" s="285" t="n"/>
      <c r="F816" s="285" t="n"/>
      <c r="G816" s="336" t="n"/>
      <c r="H816" s="336" t="n"/>
      <c r="I816" s="285" t="n"/>
      <c r="J816" s="285" t="n"/>
      <c r="K816" s="285" t="n"/>
      <c r="L816" s="285" t="n"/>
      <c r="M816" s="285" t="n"/>
      <c r="N816" s="285" t="n"/>
      <c r="O816" s="285" t="n"/>
      <c r="P816" s="285" t="n"/>
      <c r="Q816" s="285" t="n"/>
      <c r="R816" s="285" t="n"/>
      <c r="S816" s="284" t="n"/>
      <c r="T816" s="284" t="n"/>
      <c r="U816" s="285" t="n"/>
      <c r="V816" s="285" t="n"/>
      <c r="W816" s="285" t="n"/>
      <c r="X816" s="285" t="n"/>
      <c r="Y816" s="285" t="n"/>
      <c r="Z816" s="285" t="n"/>
      <c r="AA816" s="285" t="n"/>
    </row>
    <row r="817" ht="15.75" customHeight="1" s="398">
      <c r="A817" s="284" t="n"/>
      <c r="B817" s="284" t="n"/>
      <c r="C817" s="285" t="n"/>
      <c r="D817" s="284" t="n"/>
      <c r="E817" s="285" t="n"/>
      <c r="F817" s="285" t="n"/>
      <c r="G817" s="336" t="n"/>
      <c r="H817" s="336" t="n"/>
      <c r="I817" s="285" t="n"/>
      <c r="J817" s="285" t="n"/>
      <c r="K817" s="285" t="n"/>
      <c r="L817" s="285" t="n"/>
      <c r="M817" s="285" t="n"/>
      <c r="N817" s="285" t="n"/>
      <c r="O817" s="285" t="n"/>
      <c r="P817" s="285" t="n"/>
      <c r="Q817" s="285" t="n"/>
      <c r="R817" s="285" t="n"/>
      <c r="S817" s="284" t="n"/>
      <c r="T817" s="284" t="n"/>
      <c r="U817" s="285" t="n"/>
      <c r="V817" s="285" t="n"/>
      <c r="W817" s="285" t="n"/>
      <c r="X817" s="285" t="n"/>
      <c r="Y817" s="285" t="n"/>
      <c r="Z817" s="285" t="n"/>
      <c r="AA817" s="285" t="n"/>
    </row>
    <row r="818" ht="15.75" customHeight="1" s="398">
      <c r="A818" s="284" t="n"/>
      <c r="B818" s="284" t="n"/>
      <c r="C818" s="285" t="n"/>
      <c r="D818" s="284" t="n"/>
      <c r="E818" s="285" t="n"/>
      <c r="F818" s="285" t="n"/>
      <c r="G818" s="336" t="n"/>
      <c r="H818" s="336" t="n"/>
      <c r="I818" s="285" t="n"/>
      <c r="J818" s="285" t="n"/>
      <c r="K818" s="285" t="n"/>
      <c r="L818" s="285" t="n"/>
      <c r="M818" s="285" t="n"/>
      <c r="N818" s="285" t="n"/>
      <c r="O818" s="285" t="n"/>
      <c r="P818" s="285" t="n"/>
      <c r="Q818" s="285" t="n"/>
      <c r="R818" s="285" t="n"/>
      <c r="S818" s="284" t="n"/>
      <c r="T818" s="284" t="n"/>
      <c r="U818" s="285" t="n"/>
      <c r="V818" s="285" t="n"/>
      <c r="W818" s="285" t="n"/>
      <c r="X818" s="285" t="n"/>
      <c r="Y818" s="285" t="n"/>
      <c r="Z818" s="285" t="n"/>
      <c r="AA818" s="285" t="n"/>
    </row>
    <row r="819" ht="15.75" customHeight="1" s="398">
      <c r="A819" s="284" t="n"/>
      <c r="B819" s="284" t="n"/>
      <c r="C819" s="285" t="n"/>
      <c r="D819" s="284" t="n"/>
      <c r="E819" s="285" t="n"/>
      <c r="F819" s="285" t="n"/>
      <c r="G819" s="336" t="n"/>
      <c r="H819" s="336" t="n"/>
      <c r="I819" s="285" t="n"/>
      <c r="J819" s="285" t="n"/>
      <c r="K819" s="285" t="n"/>
      <c r="L819" s="285" t="n"/>
      <c r="M819" s="285" t="n"/>
      <c r="N819" s="285" t="n"/>
      <c r="O819" s="285" t="n"/>
      <c r="P819" s="285" t="n"/>
      <c r="Q819" s="285" t="n"/>
      <c r="R819" s="285" t="n"/>
      <c r="S819" s="284" t="n"/>
      <c r="T819" s="284" t="n"/>
      <c r="U819" s="285" t="n"/>
      <c r="V819" s="285" t="n"/>
      <c r="W819" s="285" t="n"/>
      <c r="X819" s="285" t="n"/>
      <c r="Y819" s="285" t="n"/>
      <c r="Z819" s="285" t="n"/>
      <c r="AA819" s="285" t="n"/>
    </row>
    <row r="820" ht="15.75" customHeight="1" s="398">
      <c r="A820" s="284" t="n"/>
      <c r="B820" s="284" t="n"/>
      <c r="C820" s="285" t="n"/>
      <c r="D820" s="284" t="n"/>
      <c r="E820" s="285" t="n"/>
      <c r="F820" s="285" t="n"/>
      <c r="G820" s="336" t="n"/>
      <c r="H820" s="336" t="n"/>
      <c r="I820" s="285" t="n"/>
      <c r="J820" s="285" t="n"/>
      <c r="K820" s="285" t="n"/>
      <c r="L820" s="285" t="n"/>
      <c r="M820" s="285" t="n"/>
      <c r="N820" s="285" t="n"/>
      <c r="O820" s="285" t="n"/>
      <c r="P820" s="285" t="n"/>
      <c r="Q820" s="285" t="n"/>
      <c r="R820" s="285" t="n"/>
      <c r="S820" s="284" t="n"/>
      <c r="T820" s="284" t="n"/>
      <c r="U820" s="285" t="n"/>
      <c r="V820" s="285" t="n"/>
      <c r="W820" s="285" t="n"/>
      <c r="X820" s="285" t="n"/>
      <c r="Y820" s="285" t="n"/>
      <c r="Z820" s="285" t="n"/>
      <c r="AA820" s="285" t="n"/>
    </row>
    <row r="821" ht="15.75" customHeight="1" s="398">
      <c r="A821" s="284" t="n"/>
      <c r="B821" s="284" t="n"/>
      <c r="C821" s="285" t="n"/>
      <c r="D821" s="284" t="n"/>
      <c r="E821" s="285" t="n"/>
      <c r="F821" s="285" t="n"/>
      <c r="G821" s="336" t="n"/>
      <c r="H821" s="336" t="n"/>
      <c r="I821" s="285" t="n"/>
      <c r="J821" s="285" t="n"/>
      <c r="K821" s="285" t="n"/>
      <c r="L821" s="285" t="n"/>
      <c r="M821" s="285" t="n"/>
      <c r="N821" s="285" t="n"/>
      <c r="O821" s="285" t="n"/>
      <c r="P821" s="285" t="n"/>
      <c r="Q821" s="285" t="n"/>
      <c r="R821" s="285" t="n"/>
      <c r="S821" s="284" t="n"/>
      <c r="T821" s="284" t="n"/>
      <c r="U821" s="285" t="n"/>
      <c r="V821" s="285" t="n"/>
      <c r="W821" s="285" t="n"/>
      <c r="X821" s="285" t="n"/>
      <c r="Y821" s="285" t="n"/>
      <c r="Z821" s="285" t="n"/>
      <c r="AA821" s="285" t="n"/>
    </row>
    <row r="822" ht="15.75" customHeight="1" s="398">
      <c r="A822" s="284" t="n"/>
      <c r="B822" s="284" t="n"/>
      <c r="C822" s="285" t="n"/>
      <c r="D822" s="284" t="n"/>
      <c r="E822" s="285" t="n"/>
      <c r="F822" s="285" t="n"/>
      <c r="G822" s="336" t="n"/>
      <c r="H822" s="336" t="n"/>
      <c r="I822" s="285" t="n"/>
      <c r="J822" s="285" t="n"/>
      <c r="K822" s="285" t="n"/>
      <c r="L822" s="285" t="n"/>
      <c r="M822" s="285" t="n"/>
      <c r="N822" s="285" t="n"/>
      <c r="O822" s="285" t="n"/>
      <c r="P822" s="285" t="n"/>
      <c r="Q822" s="285" t="n"/>
      <c r="R822" s="285" t="n"/>
      <c r="S822" s="284" t="n"/>
      <c r="T822" s="284" t="n"/>
      <c r="U822" s="285" t="n"/>
      <c r="V822" s="285" t="n"/>
      <c r="W822" s="285" t="n"/>
      <c r="X822" s="285" t="n"/>
      <c r="Y822" s="285" t="n"/>
      <c r="Z822" s="285" t="n"/>
      <c r="AA822" s="285" t="n"/>
    </row>
    <row r="823" ht="15.75" customHeight="1" s="398">
      <c r="A823" s="284" t="n"/>
      <c r="B823" s="284" t="n"/>
      <c r="C823" s="285" t="n"/>
      <c r="D823" s="284" t="n"/>
      <c r="E823" s="285" t="n"/>
      <c r="F823" s="285" t="n"/>
      <c r="G823" s="336" t="n"/>
      <c r="H823" s="336" t="n"/>
      <c r="I823" s="285" t="n"/>
      <c r="J823" s="285" t="n"/>
      <c r="K823" s="285" t="n"/>
      <c r="L823" s="285" t="n"/>
      <c r="M823" s="285" t="n"/>
      <c r="N823" s="285" t="n"/>
      <c r="O823" s="285" t="n"/>
      <c r="P823" s="285" t="n"/>
      <c r="Q823" s="285" t="n"/>
      <c r="R823" s="285" t="n"/>
      <c r="S823" s="284" t="n"/>
      <c r="T823" s="284" t="n"/>
      <c r="U823" s="285" t="n"/>
      <c r="V823" s="285" t="n"/>
      <c r="W823" s="285" t="n"/>
      <c r="X823" s="285" t="n"/>
      <c r="Y823" s="285" t="n"/>
      <c r="Z823" s="285" t="n"/>
      <c r="AA823" s="285" t="n"/>
    </row>
    <row r="824" ht="15.75" customHeight="1" s="398">
      <c r="A824" s="284" t="n"/>
      <c r="B824" s="284" t="n"/>
      <c r="C824" s="285" t="n"/>
      <c r="D824" s="284" t="n"/>
      <c r="E824" s="285" t="n"/>
      <c r="F824" s="285" t="n"/>
      <c r="G824" s="336" t="n"/>
      <c r="H824" s="336" t="n"/>
      <c r="I824" s="285" t="n"/>
      <c r="J824" s="285" t="n"/>
      <c r="K824" s="285" t="n"/>
      <c r="L824" s="285" t="n"/>
      <c r="M824" s="285" t="n"/>
      <c r="N824" s="285" t="n"/>
      <c r="O824" s="285" t="n"/>
      <c r="P824" s="285" t="n"/>
      <c r="Q824" s="285" t="n"/>
      <c r="R824" s="285" t="n"/>
      <c r="S824" s="284" t="n"/>
      <c r="T824" s="284" t="n"/>
      <c r="U824" s="285" t="n"/>
      <c r="V824" s="285" t="n"/>
      <c r="W824" s="285" t="n"/>
      <c r="X824" s="285" t="n"/>
      <c r="Y824" s="285" t="n"/>
      <c r="Z824" s="285" t="n"/>
      <c r="AA824" s="285" t="n"/>
    </row>
    <row r="825" ht="15.75" customHeight="1" s="398">
      <c r="A825" s="284" t="n"/>
      <c r="B825" s="284" t="n"/>
      <c r="C825" s="285" t="n"/>
      <c r="D825" s="284" t="n"/>
      <c r="E825" s="285" t="n"/>
      <c r="F825" s="285" t="n"/>
      <c r="G825" s="336" t="n"/>
      <c r="H825" s="336" t="n"/>
      <c r="I825" s="285" t="n"/>
      <c r="J825" s="285" t="n"/>
      <c r="K825" s="285" t="n"/>
      <c r="L825" s="285" t="n"/>
      <c r="M825" s="285" t="n"/>
      <c r="N825" s="285" t="n"/>
      <c r="O825" s="285" t="n"/>
      <c r="P825" s="285" t="n"/>
      <c r="Q825" s="285" t="n"/>
      <c r="R825" s="285" t="n"/>
      <c r="S825" s="284" t="n"/>
      <c r="T825" s="284" t="n"/>
      <c r="U825" s="285" t="n"/>
      <c r="V825" s="285" t="n"/>
      <c r="W825" s="285" t="n"/>
      <c r="X825" s="285" t="n"/>
      <c r="Y825" s="285" t="n"/>
      <c r="Z825" s="285" t="n"/>
      <c r="AA825" s="285" t="n"/>
    </row>
    <row r="826" ht="15.75" customHeight="1" s="398">
      <c r="A826" s="284" t="n"/>
      <c r="B826" s="284" t="n"/>
      <c r="C826" s="285" t="n"/>
      <c r="D826" s="284" t="n"/>
      <c r="E826" s="285" t="n"/>
      <c r="F826" s="285" t="n"/>
      <c r="G826" s="336" t="n"/>
      <c r="H826" s="336" t="n"/>
      <c r="I826" s="285" t="n"/>
      <c r="J826" s="285" t="n"/>
      <c r="K826" s="285" t="n"/>
      <c r="L826" s="285" t="n"/>
      <c r="M826" s="285" t="n"/>
      <c r="N826" s="285" t="n"/>
      <c r="O826" s="285" t="n"/>
      <c r="P826" s="285" t="n"/>
      <c r="Q826" s="285" t="n"/>
      <c r="R826" s="285" t="n"/>
      <c r="S826" s="284" t="n"/>
      <c r="T826" s="284" t="n"/>
      <c r="U826" s="285" t="n"/>
      <c r="V826" s="285" t="n"/>
      <c r="W826" s="285" t="n"/>
      <c r="X826" s="285" t="n"/>
      <c r="Y826" s="285" t="n"/>
      <c r="Z826" s="285" t="n"/>
      <c r="AA826" s="285" t="n"/>
    </row>
    <row r="827" ht="15.75" customHeight="1" s="398">
      <c r="A827" s="284" t="n"/>
      <c r="B827" s="284" t="n"/>
      <c r="C827" s="285" t="n"/>
      <c r="D827" s="284" t="n"/>
      <c r="E827" s="285" t="n"/>
      <c r="F827" s="285" t="n"/>
      <c r="G827" s="336" t="n"/>
      <c r="H827" s="336" t="n"/>
      <c r="I827" s="285" t="n"/>
      <c r="J827" s="285" t="n"/>
      <c r="K827" s="285" t="n"/>
      <c r="L827" s="285" t="n"/>
      <c r="M827" s="285" t="n"/>
      <c r="N827" s="285" t="n"/>
      <c r="O827" s="285" t="n"/>
      <c r="P827" s="285" t="n"/>
      <c r="Q827" s="285" t="n"/>
      <c r="R827" s="285" t="n"/>
      <c r="S827" s="284" t="n"/>
      <c r="T827" s="284" t="n"/>
      <c r="U827" s="285" t="n"/>
      <c r="V827" s="285" t="n"/>
      <c r="W827" s="285" t="n"/>
      <c r="X827" s="285" t="n"/>
      <c r="Y827" s="285" t="n"/>
      <c r="Z827" s="285" t="n"/>
      <c r="AA827" s="285" t="n"/>
    </row>
    <row r="828" ht="15.75" customHeight="1" s="398">
      <c r="A828" s="284" t="n"/>
      <c r="B828" s="284" t="n"/>
      <c r="C828" s="285" t="n"/>
      <c r="D828" s="284" t="n"/>
      <c r="E828" s="285" t="n"/>
      <c r="F828" s="285" t="n"/>
      <c r="G828" s="336" t="n"/>
      <c r="H828" s="336" t="n"/>
      <c r="I828" s="285" t="n"/>
      <c r="J828" s="285" t="n"/>
      <c r="K828" s="285" t="n"/>
      <c r="L828" s="285" t="n"/>
      <c r="M828" s="285" t="n"/>
      <c r="N828" s="285" t="n"/>
      <c r="O828" s="285" t="n"/>
      <c r="P828" s="285" t="n"/>
      <c r="Q828" s="285" t="n"/>
      <c r="R828" s="285" t="n"/>
      <c r="S828" s="284" t="n"/>
      <c r="T828" s="284" t="n"/>
      <c r="U828" s="285" t="n"/>
      <c r="V828" s="285" t="n"/>
      <c r="W828" s="285" t="n"/>
      <c r="X828" s="285" t="n"/>
      <c r="Y828" s="285" t="n"/>
      <c r="Z828" s="285" t="n"/>
      <c r="AA828" s="285" t="n"/>
    </row>
    <row r="829" ht="15.75" customHeight="1" s="398">
      <c r="A829" s="284" t="n"/>
      <c r="B829" s="284" t="n"/>
      <c r="C829" s="285" t="n"/>
      <c r="D829" s="284" t="n"/>
      <c r="E829" s="285" t="n"/>
      <c r="F829" s="285" t="n"/>
      <c r="G829" s="336" t="n"/>
      <c r="H829" s="336" t="n"/>
      <c r="I829" s="285" t="n"/>
      <c r="J829" s="285" t="n"/>
      <c r="K829" s="285" t="n"/>
      <c r="L829" s="285" t="n"/>
      <c r="M829" s="285" t="n"/>
      <c r="N829" s="285" t="n"/>
      <c r="O829" s="285" t="n"/>
      <c r="P829" s="285" t="n"/>
      <c r="Q829" s="285" t="n"/>
      <c r="R829" s="285" t="n"/>
      <c r="S829" s="284" t="n"/>
      <c r="T829" s="284" t="n"/>
      <c r="U829" s="285" t="n"/>
      <c r="V829" s="285" t="n"/>
      <c r="W829" s="285" t="n"/>
      <c r="X829" s="285" t="n"/>
      <c r="Y829" s="285" t="n"/>
      <c r="Z829" s="285" t="n"/>
      <c r="AA829" s="285" t="n"/>
    </row>
    <row r="830" ht="15.75" customHeight="1" s="398">
      <c r="A830" s="284" t="n"/>
      <c r="B830" s="284" t="n"/>
      <c r="C830" s="285" t="n"/>
      <c r="D830" s="284" t="n"/>
      <c r="E830" s="285" t="n"/>
      <c r="F830" s="285" t="n"/>
      <c r="G830" s="336" t="n"/>
      <c r="H830" s="336" t="n"/>
      <c r="I830" s="285" t="n"/>
      <c r="J830" s="285" t="n"/>
      <c r="K830" s="285" t="n"/>
      <c r="L830" s="285" t="n"/>
      <c r="M830" s="285" t="n"/>
      <c r="N830" s="285" t="n"/>
      <c r="O830" s="285" t="n"/>
      <c r="P830" s="285" t="n"/>
      <c r="Q830" s="285" t="n"/>
      <c r="R830" s="285" t="n"/>
      <c r="S830" s="284" t="n"/>
      <c r="T830" s="284" t="n"/>
      <c r="U830" s="285" t="n"/>
      <c r="V830" s="285" t="n"/>
      <c r="W830" s="285" t="n"/>
      <c r="X830" s="285" t="n"/>
      <c r="Y830" s="285" t="n"/>
      <c r="Z830" s="285" t="n"/>
      <c r="AA830" s="285" t="n"/>
    </row>
    <row r="831" ht="15.75" customHeight="1" s="398">
      <c r="A831" s="284" t="n"/>
      <c r="B831" s="284" t="n"/>
      <c r="C831" s="285" t="n"/>
      <c r="D831" s="284" t="n"/>
      <c r="E831" s="285" t="n"/>
      <c r="F831" s="285" t="n"/>
      <c r="G831" s="336" t="n"/>
      <c r="H831" s="336" t="n"/>
      <c r="I831" s="285" t="n"/>
      <c r="J831" s="285" t="n"/>
      <c r="K831" s="285" t="n"/>
      <c r="L831" s="285" t="n"/>
      <c r="M831" s="285" t="n"/>
      <c r="N831" s="285" t="n"/>
      <c r="O831" s="285" t="n"/>
      <c r="P831" s="285" t="n"/>
      <c r="Q831" s="285" t="n"/>
      <c r="R831" s="285" t="n"/>
      <c r="S831" s="284" t="n"/>
      <c r="T831" s="284" t="n"/>
      <c r="U831" s="285" t="n"/>
      <c r="V831" s="285" t="n"/>
      <c r="W831" s="285" t="n"/>
      <c r="X831" s="285" t="n"/>
      <c r="Y831" s="285" t="n"/>
      <c r="Z831" s="285" t="n"/>
      <c r="AA831" s="285" t="n"/>
    </row>
    <row r="832" ht="15.75" customHeight="1" s="398">
      <c r="A832" s="284" t="n"/>
      <c r="B832" s="284" t="n"/>
      <c r="C832" s="285" t="n"/>
      <c r="D832" s="284" t="n"/>
      <c r="E832" s="285" t="n"/>
      <c r="F832" s="285" t="n"/>
      <c r="G832" s="336" t="n"/>
      <c r="H832" s="336" t="n"/>
      <c r="I832" s="285" t="n"/>
      <c r="J832" s="285" t="n"/>
      <c r="K832" s="285" t="n"/>
      <c r="L832" s="285" t="n"/>
      <c r="M832" s="285" t="n"/>
      <c r="N832" s="285" t="n"/>
      <c r="O832" s="285" t="n"/>
      <c r="P832" s="285" t="n"/>
      <c r="Q832" s="285" t="n"/>
      <c r="R832" s="285" t="n"/>
      <c r="S832" s="284" t="n"/>
      <c r="T832" s="284" t="n"/>
      <c r="U832" s="285" t="n"/>
      <c r="V832" s="285" t="n"/>
      <c r="W832" s="285" t="n"/>
      <c r="X832" s="285" t="n"/>
      <c r="Y832" s="285" t="n"/>
      <c r="Z832" s="285" t="n"/>
      <c r="AA832" s="285" t="n"/>
    </row>
    <row r="833" ht="15.75" customHeight="1" s="398">
      <c r="A833" s="284" t="n"/>
      <c r="B833" s="284" t="n"/>
      <c r="C833" s="285" t="n"/>
      <c r="D833" s="284" t="n"/>
      <c r="E833" s="285" t="n"/>
      <c r="F833" s="285" t="n"/>
      <c r="G833" s="336" t="n"/>
      <c r="H833" s="336" t="n"/>
      <c r="I833" s="285" t="n"/>
      <c r="J833" s="285" t="n"/>
      <c r="K833" s="285" t="n"/>
      <c r="L833" s="285" t="n"/>
      <c r="M833" s="285" t="n"/>
      <c r="N833" s="285" t="n"/>
      <c r="O833" s="285" t="n"/>
      <c r="P833" s="285" t="n"/>
      <c r="Q833" s="285" t="n"/>
      <c r="R833" s="285" t="n"/>
      <c r="S833" s="284" t="n"/>
      <c r="T833" s="284" t="n"/>
      <c r="U833" s="285" t="n"/>
      <c r="V833" s="285" t="n"/>
      <c r="W833" s="285" t="n"/>
      <c r="X833" s="285" t="n"/>
      <c r="Y833" s="285" t="n"/>
      <c r="Z833" s="285" t="n"/>
      <c r="AA833" s="285" t="n"/>
    </row>
    <row r="834" ht="15.75" customHeight="1" s="398">
      <c r="A834" s="284" t="n"/>
      <c r="B834" s="284" t="n"/>
      <c r="C834" s="285" t="n"/>
      <c r="D834" s="284" t="n"/>
      <c r="E834" s="285" t="n"/>
      <c r="F834" s="285" t="n"/>
      <c r="G834" s="336" t="n"/>
      <c r="H834" s="336" t="n"/>
      <c r="I834" s="285" t="n"/>
      <c r="J834" s="285" t="n"/>
      <c r="K834" s="285" t="n"/>
      <c r="L834" s="285" t="n"/>
      <c r="M834" s="285" t="n"/>
      <c r="N834" s="285" t="n"/>
      <c r="O834" s="285" t="n"/>
      <c r="P834" s="285" t="n"/>
      <c r="Q834" s="285" t="n"/>
      <c r="R834" s="285" t="n"/>
      <c r="S834" s="284" t="n"/>
      <c r="T834" s="284" t="n"/>
      <c r="U834" s="285" t="n"/>
      <c r="V834" s="285" t="n"/>
      <c r="W834" s="285" t="n"/>
      <c r="X834" s="285" t="n"/>
      <c r="Y834" s="285" t="n"/>
      <c r="Z834" s="285" t="n"/>
      <c r="AA834" s="285" t="n"/>
    </row>
    <row r="835" ht="15.75" customHeight="1" s="398">
      <c r="A835" s="284" t="n"/>
      <c r="B835" s="284" t="n"/>
      <c r="C835" s="285" t="n"/>
      <c r="D835" s="284" t="n"/>
      <c r="E835" s="285" t="n"/>
      <c r="F835" s="285" t="n"/>
      <c r="G835" s="336" t="n"/>
      <c r="H835" s="336" t="n"/>
      <c r="I835" s="285" t="n"/>
      <c r="J835" s="285" t="n"/>
      <c r="K835" s="285" t="n"/>
      <c r="L835" s="285" t="n"/>
      <c r="M835" s="285" t="n"/>
      <c r="N835" s="285" t="n"/>
      <c r="O835" s="285" t="n"/>
      <c r="P835" s="285" t="n"/>
      <c r="Q835" s="285" t="n"/>
      <c r="R835" s="285" t="n"/>
      <c r="S835" s="284" t="n"/>
      <c r="T835" s="284" t="n"/>
      <c r="U835" s="285" t="n"/>
      <c r="V835" s="285" t="n"/>
      <c r="W835" s="285" t="n"/>
      <c r="X835" s="285" t="n"/>
      <c r="Y835" s="285" t="n"/>
      <c r="Z835" s="285" t="n"/>
      <c r="AA835" s="285" t="n"/>
    </row>
    <row r="836" ht="15.75" customHeight="1" s="398">
      <c r="A836" s="284" t="n"/>
      <c r="B836" s="284" t="n"/>
      <c r="C836" s="285" t="n"/>
      <c r="D836" s="284" t="n"/>
      <c r="E836" s="285" t="n"/>
      <c r="F836" s="285" t="n"/>
      <c r="G836" s="336" t="n"/>
      <c r="H836" s="336" t="n"/>
      <c r="I836" s="285" t="n"/>
      <c r="J836" s="285" t="n"/>
      <c r="K836" s="285" t="n"/>
      <c r="L836" s="285" t="n"/>
      <c r="M836" s="285" t="n"/>
      <c r="N836" s="285" t="n"/>
      <c r="O836" s="285" t="n"/>
      <c r="P836" s="285" t="n"/>
      <c r="Q836" s="285" t="n"/>
      <c r="R836" s="285" t="n"/>
      <c r="S836" s="284" t="n"/>
      <c r="T836" s="284" t="n"/>
      <c r="U836" s="285" t="n"/>
      <c r="V836" s="285" t="n"/>
      <c r="W836" s="285" t="n"/>
      <c r="X836" s="285" t="n"/>
      <c r="Y836" s="285" t="n"/>
      <c r="Z836" s="285" t="n"/>
      <c r="AA836" s="285" t="n"/>
    </row>
    <row r="837" ht="15.75" customHeight="1" s="398">
      <c r="A837" s="284" t="n"/>
      <c r="B837" s="284" t="n"/>
      <c r="C837" s="285" t="n"/>
      <c r="D837" s="284" t="n"/>
      <c r="E837" s="285" t="n"/>
      <c r="F837" s="285" t="n"/>
      <c r="G837" s="336" t="n"/>
      <c r="H837" s="336" t="n"/>
      <c r="I837" s="285" t="n"/>
      <c r="J837" s="285" t="n"/>
      <c r="K837" s="285" t="n"/>
      <c r="L837" s="285" t="n"/>
      <c r="M837" s="285" t="n"/>
      <c r="N837" s="285" t="n"/>
      <c r="O837" s="285" t="n"/>
      <c r="P837" s="285" t="n"/>
      <c r="Q837" s="285" t="n"/>
      <c r="R837" s="285" t="n"/>
      <c r="S837" s="284" t="n"/>
      <c r="T837" s="284" t="n"/>
      <c r="U837" s="285" t="n"/>
      <c r="V837" s="285" t="n"/>
      <c r="W837" s="285" t="n"/>
      <c r="X837" s="285" t="n"/>
      <c r="Y837" s="285" t="n"/>
      <c r="Z837" s="285" t="n"/>
      <c r="AA837" s="285" t="n"/>
    </row>
    <row r="838" ht="15.75" customHeight="1" s="398">
      <c r="A838" s="284" t="n"/>
      <c r="B838" s="284" t="n"/>
      <c r="C838" s="285" t="n"/>
      <c r="D838" s="284" t="n"/>
      <c r="E838" s="285" t="n"/>
      <c r="F838" s="285" t="n"/>
      <c r="G838" s="336" t="n"/>
      <c r="H838" s="336" t="n"/>
      <c r="I838" s="285" t="n"/>
      <c r="J838" s="285" t="n"/>
      <c r="K838" s="285" t="n"/>
      <c r="L838" s="285" t="n"/>
      <c r="M838" s="285" t="n"/>
      <c r="N838" s="285" t="n"/>
      <c r="O838" s="285" t="n"/>
      <c r="P838" s="285" t="n"/>
      <c r="Q838" s="285" t="n"/>
      <c r="R838" s="285" t="n"/>
      <c r="S838" s="284" t="n"/>
      <c r="T838" s="284" t="n"/>
      <c r="U838" s="285" t="n"/>
      <c r="V838" s="285" t="n"/>
      <c r="W838" s="285" t="n"/>
      <c r="X838" s="285" t="n"/>
      <c r="Y838" s="285" t="n"/>
      <c r="Z838" s="285" t="n"/>
      <c r="AA838" s="285" t="n"/>
    </row>
    <row r="839" ht="15.75" customHeight="1" s="398">
      <c r="A839" s="284" t="n"/>
      <c r="B839" s="284" t="n"/>
      <c r="C839" s="285" t="n"/>
      <c r="D839" s="284" t="n"/>
      <c r="E839" s="285" t="n"/>
      <c r="F839" s="285" t="n"/>
      <c r="G839" s="336" t="n"/>
      <c r="H839" s="336" t="n"/>
      <c r="I839" s="285" t="n"/>
      <c r="J839" s="285" t="n"/>
      <c r="K839" s="285" t="n"/>
      <c r="L839" s="285" t="n"/>
      <c r="M839" s="285" t="n"/>
      <c r="N839" s="285" t="n"/>
      <c r="O839" s="285" t="n"/>
      <c r="P839" s="285" t="n"/>
      <c r="Q839" s="285" t="n"/>
      <c r="R839" s="285" t="n"/>
      <c r="S839" s="284" t="n"/>
      <c r="T839" s="284" t="n"/>
      <c r="U839" s="285" t="n"/>
      <c r="V839" s="285" t="n"/>
      <c r="W839" s="285" t="n"/>
      <c r="X839" s="285" t="n"/>
      <c r="Y839" s="285" t="n"/>
      <c r="Z839" s="285" t="n"/>
      <c r="AA839" s="285" t="n"/>
    </row>
    <row r="840" ht="15.75" customHeight="1" s="398">
      <c r="A840" s="284" t="n"/>
      <c r="B840" s="284" t="n"/>
      <c r="C840" s="285" t="n"/>
      <c r="D840" s="284" t="n"/>
      <c r="E840" s="285" t="n"/>
      <c r="F840" s="285" t="n"/>
      <c r="G840" s="336" t="n"/>
      <c r="H840" s="336" t="n"/>
      <c r="I840" s="285" t="n"/>
      <c r="J840" s="285" t="n"/>
      <c r="K840" s="285" t="n"/>
      <c r="L840" s="285" t="n"/>
      <c r="M840" s="285" t="n"/>
      <c r="N840" s="285" t="n"/>
      <c r="O840" s="285" t="n"/>
      <c r="P840" s="285" t="n"/>
      <c r="Q840" s="285" t="n"/>
      <c r="R840" s="285" t="n"/>
      <c r="S840" s="284" t="n"/>
      <c r="T840" s="284" t="n"/>
      <c r="U840" s="285" t="n"/>
      <c r="V840" s="285" t="n"/>
      <c r="W840" s="285" t="n"/>
      <c r="X840" s="285" t="n"/>
      <c r="Y840" s="285" t="n"/>
      <c r="Z840" s="285" t="n"/>
      <c r="AA840" s="285" t="n"/>
    </row>
    <row r="841" ht="15.75" customHeight="1" s="398">
      <c r="A841" s="284" t="n"/>
      <c r="B841" s="284" t="n"/>
      <c r="C841" s="285" t="n"/>
      <c r="D841" s="284" t="n"/>
      <c r="E841" s="285" t="n"/>
      <c r="F841" s="285" t="n"/>
      <c r="G841" s="336" t="n"/>
      <c r="H841" s="336" t="n"/>
      <c r="I841" s="285" t="n"/>
      <c r="J841" s="285" t="n"/>
      <c r="K841" s="285" t="n"/>
      <c r="L841" s="285" t="n"/>
      <c r="M841" s="285" t="n"/>
      <c r="N841" s="285" t="n"/>
      <c r="O841" s="285" t="n"/>
      <c r="P841" s="285" t="n"/>
      <c r="Q841" s="285" t="n"/>
      <c r="R841" s="285" t="n"/>
      <c r="S841" s="284" t="n"/>
      <c r="T841" s="284" t="n"/>
      <c r="U841" s="285" t="n"/>
      <c r="V841" s="285" t="n"/>
      <c r="W841" s="285" t="n"/>
      <c r="X841" s="285" t="n"/>
      <c r="Y841" s="285" t="n"/>
      <c r="Z841" s="285" t="n"/>
      <c r="AA841" s="285" t="n"/>
    </row>
    <row r="842" ht="15.75" customHeight="1" s="398">
      <c r="A842" s="284" t="n"/>
      <c r="B842" s="284" t="n"/>
      <c r="C842" s="285" t="n"/>
      <c r="D842" s="284" t="n"/>
      <c r="E842" s="285" t="n"/>
      <c r="F842" s="285" t="n"/>
      <c r="G842" s="336" t="n"/>
      <c r="H842" s="336" t="n"/>
      <c r="I842" s="285" t="n"/>
      <c r="J842" s="285" t="n"/>
      <c r="K842" s="285" t="n"/>
      <c r="L842" s="285" t="n"/>
      <c r="M842" s="285" t="n"/>
      <c r="N842" s="285" t="n"/>
      <c r="O842" s="285" t="n"/>
      <c r="P842" s="285" t="n"/>
      <c r="Q842" s="285" t="n"/>
      <c r="R842" s="285" t="n"/>
      <c r="S842" s="284" t="n"/>
      <c r="T842" s="284" t="n"/>
      <c r="U842" s="285" t="n"/>
      <c r="V842" s="285" t="n"/>
      <c r="W842" s="285" t="n"/>
      <c r="X842" s="285" t="n"/>
      <c r="Y842" s="285" t="n"/>
      <c r="Z842" s="285" t="n"/>
      <c r="AA842" s="285" t="n"/>
    </row>
    <row r="843" ht="15.75" customHeight="1" s="398">
      <c r="A843" s="284" t="n"/>
      <c r="B843" s="284" t="n"/>
      <c r="C843" s="285" t="n"/>
      <c r="D843" s="284" t="n"/>
      <c r="E843" s="285" t="n"/>
      <c r="F843" s="285" t="n"/>
      <c r="G843" s="336" t="n"/>
      <c r="H843" s="336" t="n"/>
      <c r="I843" s="285" t="n"/>
      <c r="J843" s="285" t="n"/>
      <c r="K843" s="285" t="n"/>
      <c r="L843" s="285" t="n"/>
      <c r="M843" s="285" t="n"/>
      <c r="N843" s="285" t="n"/>
      <c r="O843" s="285" t="n"/>
      <c r="P843" s="285" t="n"/>
      <c r="Q843" s="285" t="n"/>
      <c r="R843" s="285" t="n"/>
      <c r="S843" s="284" t="n"/>
      <c r="T843" s="284" t="n"/>
      <c r="U843" s="285" t="n"/>
      <c r="V843" s="285" t="n"/>
      <c r="W843" s="285" t="n"/>
      <c r="X843" s="285" t="n"/>
      <c r="Y843" s="285" t="n"/>
      <c r="Z843" s="285" t="n"/>
      <c r="AA843" s="285" t="n"/>
    </row>
    <row r="844" ht="15.75" customHeight="1" s="398">
      <c r="A844" s="284" t="n"/>
      <c r="B844" s="284" t="n"/>
      <c r="C844" s="285" t="n"/>
      <c r="D844" s="284" t="n"/>
      <c r="E844" s="285" t="n"/>
      <c r="F844" s="285" t="n"/>
      <c r="G844" s="336" t="n"/>
      <c r="H844" s="336" t="n"/>
      <c r="I844" s="285" t="n"/>
      <c r="J844" s="285" t="n"/>
      <c r="K844" s="285" t="n"/>
      <c r="L844" s="285" t="n"/>
      <c r="M844" s="285" t="n"/>
      <c r="N844" s="285" t="n"/>
      <c r="O844" s="285" t="n"/>
      <c r="P844" s="285" t="n"/>
      <c r="Q844" s="285" t="n"/>
      <c r="R844" s="285" t="n"/>
      <c r="S844" s="284" t="n"/>
      <c r="T844" s="284" t="n"/>
      <c r="U844" s="285" t="n"/>
      <c r="V844" s="285" t="n"/>
      <c r="W844" s="285" t="n"/>
      <c r="X844" s="285" t="n"/>
      <c r="Y844" s="285" t="n"/>
      <c r="Z844" s="285" t="n"/>
      <c r="AA844" s="285" t="n"/>
    </row>
    <row r="845" ht="15.75" customHeight="1" s="398">
      <c r="A845" s="284" t="n"/>
      <c r="B845" s="284" t="n"/>
      <c r="C845" s="285" t="n"/>
      <c r="D845" s="284" t="n"/>
      <c r="E845" s="285" t="n"/>
      <c r="F845" s="285" t="n"/>
      <c r="G845" s="336" t="n"/>
      <c r="H845" s="336" t="n"/>
      <c r="I845" s="285" t="n"/>
      <c r="J845" s="285" t="n"/>
      <c r="K845" s="285" t="n"/>
      <c r="L845" s="285" t="n"/>
      <c r="M845" s="285" t="n"/>
      <c r="N845" s="285" t="n"/>
      <c r="O845" s="285" t="n"/>
      <c r="P845" s="285" t="n"/>
      <c r="Q845" s="285" t="n"/>
      <c r="R845" s="285" t="n"/>
      <c r="S845" s="284" t="n"/>
      <c r="T845" s="284" t="n"/>
      <c r="U845" s="285" t="n"/>
      <c r="V845" s="285" t="n"/>
      <c r="W845" s="285" t="n"/>
      <c r="X845" s="285" t="n"/>
      <c r="Y845" s="285" t="n"/>
      <c r="Z845" s="285" t="n"/>
      <c r="AA845" s="285" t="n"/>
    </row>
    <row r="846" ht="15.75" customHeight="1" s="398">
      <c r="A846" s="284" t="n"/>
      <c r="B846" s="284" t="n"/>
      <c r="C846" s="285" t="n"/>
      <c r="D846" s="284" t="n"/>
      <c r="E846" s="285" t="n"/>
      <c r="F846" s="285" t="n"/>
      <c r="G846" s="336" t="n"/>
      <c r="H846" s="336" t="n"/>
      <c r="I846" s="285" t="n"/>
      <c r="J846" s="285" t="n"/>
      <c r="K846" s="285" t="n"/>
      <c r="L846" s="285" t="n"/>
      <c r="M846" s="285" t="n"/>
      <c r="N846" s="285" t="n"/>
      <c r="O846" s="285" t="n"/>
      <c r="P846" s="285" t="n"/>
      <c r="Q846" s="285" t="n"/>
      <c r="R846" s="285" t="n"/>
      <c r="S846" s="284" t="n"/>
      <c r="T846" s="284" t="n"/>
      <c r="U846" s="285" t="n"/>
      <c r="V846" s="285" t="n"/>
      <c r="W846" s="285" t="n"/>
      <c r="X846" s="285" t="n"/>
      <c r="Y846" s="285" t="n"/>
      <c r="Z846" s="285" t="n"/>
      <c r="AA846" s="285" t="n"/>
    </row>
    <row r="847" ht="15.75" customHeight="1" s="398">
      <c r="A847" s="284" t="n"/>
      <c r="B847" s="284" t="n"/>
      <c r="C847" s="285" t="n"/>
      <c r="D847" s="284" t="n"/>
      <c r="E847" s="285" t="n"/>
      <c r="F847" s="285" t="n"/>
      <c r="G847" s="336" t="n"/>
      <c r="H847" s="336" t="n"/>
      <c r="I847" s="285" t="n"/>
      <c r="J847" s="285" t="n"/>
      <c r="K847" s="285" t="n"/>
      <c r="L847" s="285" t="n"/>
      <c r="M847" s="285" t="n"/>
      <c r="N847" s="285" t="n"/>
      <c r="O847" s="285" t="n"/>
      <c r="P847" s="285" t="n"/>
      <c r="Q847" s="285" t="n"/>
      <c r="R847" s="285" t="n"/>
      <c r="S847" s="284" t="n"/>
      <c r="T847" s="284" t="n"/>
      <c r="U847" s="285" t="n"/>
      <c r="V847" s="285" t="n"/>
      <c r="W847" s="285" t="n"/>
      <c r="X847" s="285" t="n"/>
      <c r="Y847" s="285" t="n"/>
      <c r="Z847" s="285" t="n"/>
      <c r="AA847" s="285" t="n"/>
    </row>
    <row r="848" ht="15.75" customHeight="1" s="398">
      <c r="A848" s="284" t="n"/>
      <c r="B848" s="284" t="n"/>
      <c r="C848" s="285" t="n"/>
      <c r="D848" s="284" t="n"/>
      <c r="E848" s="285" t="n"/>
      <c r="F848" s="285" t="n"/>
      <c r="G848" s="336" t="n"/>
      <c r="H848" s="336" t="n"/>
      <c r="I848" s="285" t="n"/>
      <c r="J848" s="285" t="n"/>
      <c r="K848" s="285" t="n"/>
      <c r="L848" s="285" t="n"/>
      <c r="M848" s="285" t="n"/>
      <c r="N848" s="285" t="n"/>
      <c r="O848" s="285" t="n"/>
      <c r="P848" s="285" t="n"/>
      <c r="Q848" s="285" t="n"/>
      <c r="R848" s="285" t="n"/>
      <c r="S848" s="284" t="n"/>
      <c r="T848" s="284" t="n"/>
      <c r="U848" s="285" t="n"/>
      <c r="V848" s="285" t="n"/>
      <c r="W848" s="285" t="n"/>
      <c r="X848" s="285" t="n"/>
      <c r="Y848" s="285" t="n"/>
      <c r="Z848" s="285" t="n"/>
      <c r="AA848" s="285" t="n"/>
    </row>
    <row r="849" ht="15.75" customHeight="1" s="398">
      <c r="A849" s="284" t="n"/>
      <c r="B849" s="284" t="n"/>
      <c r="C849" s="285" t="n"/>
      <c r="D849" s="284" t="n"/>
      <c r="E849" s="285" t="n"/>
      <c r="F849" s="285" t="n"/>
      <c r="G849" s="336" t="n"/>
      <c r="H849" s="336" t="n"/>
      <c r="I849" s="285" t="n"/>
      <c r="J849" s="285" t="n"/>
      <c r="K849" s="285" t="n"/>
      <c r="L849" s="285" t="n"/>
      <c r="M849" s="285" t="n"/>
      <c r="N849" s="285" t="n"/>
      <c r="O849" s="285" t="n"/>
      <c r="P849" s="285" t="n"/>
      <c r="Q849" s="285" t="n"/>
      <c r="R849" s="285" t="n"/>
      <c r="S849" s="284" t="n"/>
      <c r="T849" s="284" t="n"/>
      <c r="U849" s="285" t="n"/>
      <c r="V849" s="285" t="n"/>
      <c r="W849" s="285" t="n"/>
      <c r="X849" s="285" t="n"/>
      <c r="Y849" s="285" t="n"/>
      <c r="Z849" s="285" t="n"/>
      <c r="AA849" s="285" t="n"/>
    </row>
    <row r="850" ht="15.75" customHeight="1" s="398">
      <c r="A850" s="284" t="n"/>
      <c r="B850" s="284" t="n"/>
      <c r="C850" s="285" t="n"/>
      <c r="D850" s="284" t="n"/>
      <c r="E850" s="285" t="n"/>
      <c r="F850" s="285" t="n"/>
      <c r="G850" s="336" t="n"/>
      <c r="H850" s="336" t="n"/>
      <c r="I850" s="285" t="n"/>
      <c r="J850" s="285" t="n"/>
      <c r="K850" s="285" t="n"/>
      <c r="L850" s="285" t="n"/>
      <c r="M850" s="285" t="n"/>
      <c r="N850" s="285" t="n"/>
      <c r="O850" s="285" t="n"/>
      <c r="P850" s="285" t="n"/>
      <c r="Q850" s="285" t="n"/>
      <c r="R850" s="285" t="n"/>
      <c r="S850" s="284" t="n"/>
      <c r="T850" s="284" t="n"/>
      <c r="U850" s="285" t="n"/>
      <c r="V850" s="285" t="n"/>
      <c r="W850" s="285" t="n"/>
      <c r="X850" s="285" t="n"/>
      <c r="Y850" s="285" t="n"/>
      <c r="Z850" s="285" t="n"/>
      <c r="AA850" s="285" t="n"/>
    </row>
    <row r="851" ht="15.75" customHeight="1" s="398">
      <c r="A851" s="284" t="n"/>
      <c r="B851" s="284" t="n"/>
      <c r="C851" s="285" t="n"/>
      <c r="D851" s="284" t="n"/>
      <c r="E851" s="285" t="n"/>
      <c r="F851" s="285" t="n"/>
      <c r="G851" s="336" t="n"/>
      <c r="H851" s="336" t="n"/>
      <c r="I851" s="285" t="n"/>
      <c r="J851" s="285" t="n"/>
      <c r="K851" s="285" t="n"/>
      <c r="L851" s="285" t="n"/>
      <c r="M851" s="285" t="n"/>
      <c r="N851" s="285" t="n"/>
      <c r="O851" s="285" t="n"/>
      <c r="P851" s="285" t="n"/>
      <c r="Q851" s="285" t="n"/>
      <c r="R851" s="285" t="n"/>
      <c r="S851" s="284" t="n"/>
      <c r="T851" s="284" t="n"/>
      <c r="U851" s="285" t="n"/>
      <c r="V851" s="285" t="n"/>
      <c r="W851" s="285" t="n"/>
      <c r="X851" s="285" t="n"/>
      <c r="Y851" s="285" t="n"/>
      <c r="Z851" s="285" t="n"/>
      <c r="AA851" s="285" t="n"/>
    </row>
    <row r="852" ht="15.75" customHeight="1" s="398">
      <c r="A852" s="284" t="n"/>
      <c r="B852" s="284" t="n"/>
      <c r="C852" s="285" t="n"/>
      <c r="D852" s="284" t="n"/>
      <c r="E852" s="285" t="n"/>
      <c r="F852" s="285" t="n"/>
      <c r="G852" s="336" t="n"/>
      <c r="H852" s="336" t="n"/>
      <c r="I852" s="285" t="n"/>
      <c r="J852" s="285" t="n"/>
      <c r="K852" s="285" t="n"/>
      <c r="L852" s="285" t="n"/>
      <c r="M852" s="285" t="n"/>
      <c r="N852" s="285" t="n"/>
      <c r="O852" s="285" t="n"/>
      <c r="P852" s="285" t="n"/>
      <c r="Q852" s="285" t="n"/>
      <c r="R852" s="285" t="n"/>
      <c r="S852" s="284" t="n"/>
      <c r="T852" s="284" t="n"/>
      <c r="U852" s="285" t="n"/>
      <c r="V852" s="285" t="n"/>
      <c r="W852" s="285" t="n"/>
      <c r="X852" s="285" t="n"/>
      <c r="Y852" s="285" t="n"/>
      <c r="Z852" s="285" t="n"/>
      <c r="AA852" s="285" t="n"/>
    </row>
    <row r="853" ht="15.75" customHeight="1" s="398">
      <c r="A853" s="284" t="n"/>
      <c r="B853" s="284" t="n"/>
      <c r="C853" s="285" t="n"/>
      <c r="D853" s="284" t="n"/>
      <c r="E853" s="285" t="n"/>
      <c r="F853" s="285" t="n"/>
      <c r="G853" s="336" t="n"/>
      <c r="H853" s="336" t="n"/>
      <c r="I853" s="285" t="n"/>
      <c r="J853" s="285" t="n"/>
      <c r="K853" s="285" t="n"/>
      <c r="L853" s="285" t="n"/>
      <c r="M853" s="285" t="n"/>
      <c r="N853" s="285" t="n"/>
      <c r="O853" s="285" t="n"/>
      <c r="P853" s="285" t="n"/>
      <c r="Q853" s="285" t="n"/>
      <c r="R853" s="285" t="n"/>
      <c r="S853" s="284" t="n"/>
      <c r="T853" s="284" t="n"/>
      <c r="U853" s="285" t="n"/>
      <c r="V853" s="285" t="n"/>
      <c r="W853" s="285" t="n"/>
      <c r="X853" s="285" t="n"/>
      <c r="Y853" s="285" t="n"/>
      <c r="Z853" s="285" t="n"/>
      <c r="AA853" s="285" t="n"/>
    </row>
    <row r="854" ht="15.75" customHeight="1" s="398">
      <c r="A854" s="284" t="n"/>
      <c r="B854" s="284" t="n"/>
      <c r="C854" s="285" t="n"/>
      <c r="D854" s="284" t="n"/>
      <c r="E854" s="285" t="n"/>
      <c r="F854" s="285" t="n"/>
      <c r="G854" s="336" t="n"/>
      <c r="H854" s="336" t="n"/>
      <c r="I854" s="285" t="n"/>
      <c r="J854" s="285" t="n"/>
      <c r="K854" s="285" t="n"/>
      <c r="L854" s="285" t="n"/>
      <c r="M854" s="285" t="n"/>
      <c r="N854" s="285" t="n"/>
      <c r="O854" s="285" t="n"/>
      <c r="P854" s="285" t="n"/>
      <c r="Q854" s="285" t="n"/>
      <c r="R854" s="285" t="n"/>
      <c r="S854" s="284" t="n"/>
      <c r="T854" s="284" t="n"/>
      <c r="U854" s="285" t="n"/>
      <c r="V854" s="285" t="n"/>
      <c r="W854" s="285" t="n"/>
      <c r="X854" s="285" t="n"/>
      <c r="Y854" s="285" t="n"/>
      <c r="Z854" s="285" t="n"/>
      <c r="AA854" s="285" t="n"/>
    </row>
    <row r="855" ht="15.75" customHeight="1" s="398">
      <c r="A855" s="284" t="n"/>
      <c r="B855" s="284" t="n"/>
      <c r="C855" s="285" t="n"/>
      <c r="D855" s="284" t="n"/>
      <c r="E855" s="285" t="n"/>
      <c r="F855" s="285" t="n"/>
      <c r="G855" s="336" t="n"/>
      <c r="H855" s="336" t="n"/>
      <c r="I855" s="285" t="n"/>
      <c r="J855" s="285" t="n"/>
      <c r="K855" s="285" t="n"/>
      <c r="L855" s="285" t="n"/>
      <c r="M855" s="285" t="n"/>
      <c r="N855" s="285" t="n"/>
      <c r="O855" s="285" t="n"/>
      <c r="P855" s="285" t="n"/>
      <c r="Q855" s="285" t="n"/>
      <c r="R855" s="285" t="n"/>
      <c r="S855" s="284" t="n"/>
      <c r="T855" s="284" t="n"/>
      <c r="U855" s="285" t="n"/>
      <c r="V855" s="285" t="n"/>
      <c r="W855" s="285" t="n"/>
      <c r="X855" s="285" t="n"/>
      <c r="Y855" s="285" t="n"/>
      <c r="Z855" s="285" t="n"/>
      <c r="AA855" s="285" t="n"/>
    </row>
    <row r="856" ht="15.75" customHeight="1" s="398">
      <c r="A856" s="284" t="n"/>
      <c r="B856" s="284" t="n"/>
      <c r="C856" s="285" t="n"/>
      <c r="D856" s="284" t="n"/>
      <c r="E856" s="285" t="n"/>
      <c r="F856" s="285" t="n"/>
      <c r="G856" s="336" t="n"/>
      <c r="H856" s="336" t="n"/>
      <c r="I856" s="285" t="n"/>
      <c r="J856" s="285" t="n"/>
      <c r="K856" s="285" t="n"/>
      <c r="L856" s="285" t="n"/>
      <c r="M856" s="285" t="n"/>
      <c r="N856" s="285" t="n"/>
      <c r="O856" s="285" t="n"/>
      <c r="P856" s="285" t="n"/>
      <c r="Q856" s="285" t="n"/>
      <c r="R856" s="285" t="n"/>
      <c r="S856" s="284" t="n"/>
      <c r="T856" s="284" t="n"/>
      <c r="U856" s="285" t="n"/>
      <c r="V856" s="285" t="n"/>
      <c r="W856" s="285" t="n"/>
      <c r="X856" s="285" t="n"/>
      <c r="Y856" s="285" t="n"/>
      <c r="Z856" s="285" t="n"/>
      <c r="AA856" s="285" t="n"/>
    </row>
    <row r="857" ht="15.75" customHeight="1" s="398">
      <c r="A857" s="284" t="n"/>
      <c r="B857" s="284" t="n"/>
      <c r="C857" s="285" t="n"/>
      <c r="D857" s="284" t="n"/>
      <c r="E857" s="285" t="n"/>
      <c r="F857" s="285" t="n"/>
      <c r="G857" s="336" t="n"/>
      <c r="H857" s="336" t="n"/>
      <c r="I857" s="285" t="n"/>
      <c r="J857" s="285" t="n"/>
      <c r="K857" s="285" t="n"/>
      <c r="L857" s="285" t="n"/>
      <c r="M857" s="285" t="n"/>
      <c r="N857" s="285" t="n"/>
      <c r="O857" s="285" t="n"/>
      <c r="P857" s="285" t="n"/>
      <c r="Q857" s="285" t="n"/>
      <c r="R857" s="285" t="n"/>
      <c r="S857" s="284" t="n"/>
      <c r="T857" s="284" t="n"/>
      <c r="U857" s="285" t="n"/>
      <c r="V857" s="285" t="n"/>
      <c r="W857" s="285" t="n"/>
      <c r="X857" s="285" t="n"/>
      <c r="Y857" s="285" t="n"/>
      <c r="Z857" s="285" t="n"/>
      <c r="AA857" s="285" t="n"/>
    </row>
    <row r="858" ht="15.75" customHeight="1" s="398">
      <c r="A858" s="284" t="n"/>
      <c r="B858" s="284" t="n"/>
      <c r="C858" s="285" t="n"/>
      <c r="D858" s="284" t="n"/>
      <c r="E858" s="285" t="n"/>
      <c r="F858" s="285" t="n"/>
      <c r="G858" s="336" t="n"/>
      <c r="H858" s="336" t="n"/>
      <c r="I858" s="285" t="n"/>
      <c r="J858" s="285" t="n"/>
      <c r="K858" s="285" t="n"/>
      <c r="L858" s="285" t="n"/>
      <c r="M858" s="285" t="n"/>
      <c r="N858" s="285" t="n"/>
      <c r="O858" s="285" t="n"/>
      <c r="P858" s="285" t="n"/>
      <c r="Q858" s="285" t="n"/>
      <c r="R858" s="285" t="n"/>
      <c r="S858" s="284" t="n"/>
      <c r="T858" s="284" t="n"/>
      <c r="U858" s="285" t="n"/>
      <c r="V858" s="285" t="n"/>
      <c r="W858" s="285" t="n"/>
      <c r="X858" s="285" t="n"/>
      <c r="Y858" s="285" t="n"/>
      <c r="Z858" s="285" t="n"/>
      <c r="AA858" s="285" t="n"/>
    </row>
    <row r="859" ht="15.75" customHeight="1" s="398">
      <c r="A859" s="284" t="n"/>
      <c r="B859" s="284" t="n"/>
      <c r="C859" s="285" t="n"/>
      <c r="D859" s="284" t="n"/>
      <c r="E859" s="285" t="n"/>
      <c r="F859" s="285" t="n"/>
      <c r="G859" s="336" t="n"/>
      <c r="H859" s="336" t="n"/>
      <c r="I859" s="285" t="n"/>
      <c r="J859" s="285" t="n"/>
      <c r="K859" s="285" t="n"/>
      <c r="L859" s="285" t="n"/>
      <c r="M859" s="285" t="n"/>
      <c r="N859" s="285" t="n"/>
      <c r="O859" s="285" t="n"/>
      <c r="P859" s="285" t="n"/>
      <c r="Q859" s="285" t="n"/>
      <c r="R859" s="285" t="n"/>
      <c r="S859" s="284" t="n"/>
      <c r="T859" s="284" t="n"/>
      <c r="U859" s="285" t="n"/>
      <c r="V859" s="285" t="n"/>
      <c r="W859" s="285" t="n"/>
      <c r="X859" s="285" t="n"/>
      <c r="Y859" s="285" t="n"/>
      <c r="Z859" s="285" t="n"/>
      <c r="AA859" s="285" t="n"/>
    </row>
    <row r="860" ht="15.75" customHeight="1" s="398">
      <c r="A860" s="284" t="n"/>
      <c r="B860" s="284" t="n"/>
      <c r="C860" s="285" t="n"/>
      <c r="D860" s="284" t="n"/>
      <c r="E860" s="285" t="n"/>
      <c r="F860" s="285" t="n"/>
      <c r="G860" s="336" t="n"/>
      <c r="H860" s="336" t="n"/>
      <c r="I860" s="285" t="n"/>
      <c r="J860" s="285" t="n"/>
      <c r="K860" s="285" t="n"/>
      <c r="L860" s="285" t="n"/>
      <c r="M860" s="285" t="n"/>
      <c r="N860" s="285" t="n"/>
      <c r="O860" s="285" t="n"/>
      <c r="P860" s="285" t="n"/>
      <c r="Q860" s="285" t="n"/>
      <c r="R860" s="285" t="n"/>
      <c r="S860" s="284" t="n"/>
      <c r="T860" s="284" t="n"/>
      <c r="U860" s="285" t="n"/>
      <c r="V860" s="285" t="n"/>
      <c r="W860" s="285" t="n"/>
      <c r="X860" s="285" t="n"/>
      <c r="Y860" s="285" t="n"/>
      <c r="Z860" s="285" t="n"/>
      <c r="AA860" s="285" t="n"/>
    </row>
    <row r="861" ht="15.75" customHeight="1" s="398">
      <c r="A861" s="284" t="n"/>
      <c r="B861" s="284" t="n"/>
      <c r="C861" s="285" t="n"/>
      <c r="D861" s="284" t="n"/>
      <c r="E861" s="285" t="n"/>
      <c r="F861" s="285" t="n"/>
      <c r="G861" s="336" t="n"/>
      <c r="H861" s="336" t="n"/>
      <c r="I861" s="285" t="n"/>
      <c r="J861" s="285" t="n"/>
      <c r="K861" s="285" t="n"/>
      <c r="L861" s="285" t="n"/>
      <c r="M861" s="285" t="n"/>
      <c r="N861" s="285" t="n"/>
      <c r="O861" s="285" t="n"/>
      <c r="P861" s="285" t="n"/>
      <c r="Q861" s="285" t="n"/>
      <c r="R861" s="285" t="n"/>
      <c r="S861" s="284" t="n"/>
      <c r="T861" s="284" t="n"/>
      <c r="U861" s="285" t="n"/>
      <c r="V861" s="285" t="n"/>
      <c r="W861" s="285" t="n"/>
      <c r="X861" s="285" t="n"/>
      <c r="Y861" s="285" t="n"/>
      <c r="Z861" s="285" t="n"/>
      <c r="AA861" s="285" t="n"/>
    </row>
    <row r="862" ht="15.75" customHeight="1" s="398">
      <c r="A862" s="284" t="n"/>
      <c r="B862" s="284" t="n"/>
      <c r="C862" s="285" t="n"/>
      <c r="D862" s="284" t="n"/>
      <c r="E862" s="285" t="n"/>
      <c r="F862" s="285" t="n"/>
      <c r="G862" s="336" t="n"/>
      <c r="H862" s="336" t="n"/>
      <c r="I862" s="285" t="n"/>
      <c r="J862" s="285" t="n"/>
      <c r="K862" s="285" t="n"/>
      <c r="L862" s="285" t="n"/>
      <c r="M862" s="285" t="n"/>
      <c r="N862" s="285" t="n"/>
      <c r="O862" s="285" t="n"/>
      <c r="P862" s="285" t="n"/>
      <c r="Q862" s="285" t="n"/>
      <c r="R862" s="285" t="n"/>
      <c r="S862" s="284" t="n"/>
      <c r="T862" s="284" t="n"/>
      <c r="U862" s="285" t="n"/>
      <c r="V862" s="285" t="n"/>
      <c r="W862" s="285" t="n"/>
      <c r="X862" s="285" t="n"/>
      <c r="Y862" s="285" t="n"/>
      <c r="Z862" s="285" t="n"/>
      <c r="AA862" s="285" t="n"/>
    </row>
    <row r="863" ht="15.75" customHeight="1" s="398">
      <c r="A863" s="284" t="n"/>
      <c r="B863" s="284" t="n"/>
      <c r="C863" s="285" t="n"/>
      <c r="D863" s="284" t="n"/>
      <c r="E863" s="285" t="n"/>
      <c r="F863" s="285" t="n"/>
      <c r="G863" s="336" t="n"/>
      <c r="H863" s="336" t="n"/>
      <c r="I863" s="285" t="n"/>
      <c r="J863" s="285" t="n"/>
      <c r="K863" s="285" t="n"/>
      <c r="L863" s="285" t="n"/>
      <c r="M863" s="285" t="n"/>
      <c r="N863" s="285" t="n"/>
      <c r="O863" s="285" t="n"/>
      <c r="P863" s="285" t="n"/>
      <c r="Q863" s="285" t="n"/>
      <c r="R863" s="285" t="n"/>
      <c r="S863" s="284" t="n"/>
      <c r="T863" s="284" t="n"/>
      <c r="U863" s="285" t="n"/>
      <c r="V863" s="285" t="n"/>
      <c r="W863" s="285" t="n"/>
      <c r="X863" s="285" t="n"/>
      <c r="Y863" s="285" t="n"/>
      <c r="Z863" s="285" t="n"/>
      <c r="AA863" s="285" t="n"/>
    </row>
    <row r="864" ht="15.75" customHeight="1" s="398">
      <c r="A864" s="284" t="n"/>
      <c r="B864" s="284" t="n"/>
      <c r="C864" s="285" t="n"/>
      <c r="D864" s="284" t="n"/>
      <c r="E864" s="285" t="n"/>
      <c r="F864" s="285" t="n"/>
      <c r="G864" s="336" t="n"/>
      <c r="H864" s="336" t="n"/>
      <c r="I864" s="285" t="n"/>
      <c r="J864" s="285" t="n"/>
      <c r="K864" s="285" t="n"/>
      <c r="L864" s="285" t="n"/>
      <c r="M864" s="285" t="n"/>
      <c r="N864" s="285" t="n"/>
      <c r="O864" s="285" t="n"/>
      <c r="P864" s="285" t="n"/>
      <c r="Q864" s="285" t="n"/>
      <c r="R864" s="285" t="n"/>
      <c r="S864" s="284" t="n"/>
      <c r="T864" s="284" t="n"/>
      <c r="U864" s="285" t="n"/>
      <c r="V864" s="285" t="n"/>
      <c r="W864" s="285" t="n"/>
      <c r="X864" s="285" t="n"/>
      <c r="Y864" s="285" t="n"/>
      <c r="Z864" s="285" t="n"/>
      <c r="AA864" s="285" t="n"/>
    </row>
    <row r="865" ht="15.75" customHeight="1" s="398">
      <c r="A865" s="284" t="n"/>
      <c r="B865" s="284" t="n"/>
      <c r="C865" s="285" t="n"/>
      <c r="D865" s="284" t="n"/>
      <c r="E865" s="285" t="n"/>
      <c r="F865" s="285" t="n"/>
      <c r="G865" s="336" t="n"/>
      <c r="H865" s="336" t="n"/>
      <c r="I865" s="285" t="n"/>
      <c r="J865" s="285" t="n"/>
      <c r="K865" s="285" t="n"/>
      <c r="L865" s="285" t="n"/>
      <c r="M865" s="285" t="n"/>
      <c r="N865" s="285" t="n"/>
      <c r="O865" s="285" t="n"/>
      <c r="P865" s="285" t="n"/>
      <c r="Q865" s="285" t="n"/>
      <c r="R865" s="285" t="n"/>
      <c r="S865" s="284" t="n"/>
      <c r="T865" s="284" t="n"/>
      <c r="U865" s="285" t="n"/>
      <c r="V865" s="285" t="n"/>
      <c r="W865" s="285" t="n"/>
      <c r="X865" s="285" t="n"/>
      <c r="Y865" s="285" t="n"/>
      <c r="Z865" s="285" t="n"/>
      <c r="AA865" s="285" t="n"/>
    </row>
    <row r="866" ht="15.75" customHeight="1" s="398">
      <c r="A866" s="284" t="n"/>
      <c r="B866" s="284" t="n"/>
      <c r="C866" s="285" t="n"/>
      <c r="D866" s="284" t="n"/>
      <c r="E866" s="285" t="n"/>
      <c r="F866" s="285" t="n"/>
      <c r="G866" s="336" t="n"/>
      <c r="H866" s="336" t="n"/>
      <c r="I866" s="285" t="n"/>
      <c r="J866" s="285" t="n"/>
      <c r="K866" s="285" t="n"/>
      <c r="L866" s="285" t="n"/>
      <c r="M866" s="285" t="n"/>
      <c r="N866" s="285" t="n"/>
      <c r="O866" s="285" t="n"/>
      <c r="P866" s="285" t="n"/>
      <c r="Q866" s="285" t="n"/>
      <c r="R866" s="285" t="n"/>
      <c r="S866" s="284" t="n"/>
      <c r="T866" s="284" t="n"/>
      <c r="U866" s="285" t="n"/>
      <c r="V866" s="285" t="n"/>
      <c r="W866" s="285" t="n"/>
      <c r="X866" s="285" t="n"/>
      <c r="Y866" s="285" t="n"/>
      <c r="Z866" s="285" t="n"/>
      <c r="AA866" s="285" t="n"/>
    </row>
    <row r="867" ht="15.75" customHeight="1" s="398">
      <c r="A867" s="284" t="n"/>
      <c r="B867" s="284" t="n"/>
      <c r="C867" s="285" t="n"/>
      <c r="D867" s="284" t="n"/>
      <c r="E867" s="285" t="n"/>
      <c r="F867" s="285" t="n"/>
      <c r="G867" s="336" t="n"/>
      <c r="H867" s="336" t="n"/>
      <c r="I867" s="285" t="n"/>
      <c r="J867" s="285" t="n"/>
      <c r="K867" s="285" t="n"/>
      <c r="L867" s="285" t="n"/>
      <c r="M867" s="285" t="n"/>
      <c r="N867" s="285" t="n"/>
      <c r="O867" s="285" t="n"/>
      <c r="P867" s="285" t="n"/>
      <c r="Q867" s="285" t="n"/>
      <c r="R867" s="285" t="n"/>
      <c r="S867" s="284" t="n"/>
      <c r="T867" s="284" t="n"/>
      <c r="U867" s="285" t="n"/>
      <c r="V867" s="285" t="n"/>
      <c r="W867" s="285" t="n"/>
      <c r="X867" s="285" t="n"/>
      <c r="Y867" s="285" t="n"/>
      <c r="Z867" s="285" t="n"/>
      <c r="AA867" s="285" t="n"/>
    </row>
    <row r="868" ht="15.75" customHeight="1" s="398">
      <c r="A868" s="284" t="n"/>
      <c r="B868" s="284" t="n"/>
      <c r="C868" s="285" t="n"/>
      <c r="D868" s="284" t="n"/>
      <c r="E868" s="285" t="n"/>
      <c r="F868" s="285" t="n"/>
      <c r="G868" s="336" t="n"/>
      <c r="H868" s="336" t="n"/>
      <c r="I868" s="285" t="n"/>
      <c r="J868" s="285" t="n"/>
      <c r="K868" s="285" t="n"/>
      <c r="L868" s="285" t="n"/>
      <c r="M868" s="285" t="n"/>
      <c r="N868" s="285" t="n"/>
      <c r="O868" s="285" t="n"/>
      <c r="P868" s="285" t="n"/>
      <c r="Q868" s="285" t="n"/>
      <c r="R868" s="285" t="n"/>
      <c r="S868" s="284" t="n"/>
      <c r="T868" s="284" t="n"/>
      <c r="U868" s="285" t="n"/>
      <c r="V868" s="285" t="n"/>
      <c r="W868" s="285" t="n"/>
      <c r="X868" s="285" t="n"/>
      <c r="Y868" s="285" t="n"/>
      <c r="Z868" s="285" t="n"/>
      <c r="AA868" s="285" t="n"/>
    </row>
    <row r="869" ht="15.75" customHeight="1" s="398">
      <c r="A869" s="284" t="n"/>
      <c r="B869" s="284" t="n"/>
      <c r="C869" s="285" t="n"/>
      <c r="D869" s="284" t="n"/>
      <c r="E869" s="285" t="n"/>
      <c r="F869" s="285" t="n"/>
      <c r="G869" s="336" t="n"/>
      <c r="H869" s="336" t="n"/>
      <c r="I869" s="285" t="n"/>
      <c r="J869" s="285" t="n"/>
      <c r="K869" s="285" t="n"/>
      <c r="L869" s="285" t="n"/>
      <c r="M869" s="285" t="n"/>
      <c r="N869" s="285" t="n"/>
      <c r="O869" s="285" t="n"/>
      <c r="P869" s="285" t="n"/>
      <c r="Q869" s="285" t="n"/>
      <c r="R869" s="285" t="n"/>
      <c r="S869" s="284" t="n"/>
      <c r="T869" s="284" t="n"/>
      <c r="U869" s="285" t="n"/>
      <c r="V869" s="285" t="n"/>
      <c r="W869" s="285" t="n"/>
      <c r="X869" s="285" t="n"/>
      <c r="Y869" s="285" t="n"/>
      <c r="Z869" s="285" t="n"/>
      <c r="AA869" s="285" t="n"/>
    </row>
    <row r="870" ht="15.75" customHeight="1" s="398">
      <c r="A870" s="284" t="n"/>
      <c r="B870" s="284" t="n"/>
      <c r="C870" s="285" t="n"/>
      <c r="D870" s="284" t="n"/>
      <c r="E870" s="285" t="n"/>
      <c r="F870" s="285" t="n"/>
      <c r="G870" s="336" t="n"/>
      <c r="H870" s="336" t="n"/>
      <c r="I870" s="285" t="n"/>
      <c r="J870" s="285" t="n"/>
      <c r="K870" s="285" t="n"/>
      <c r="L870" s="285" t="n"/>
      <c r="M870" s="285" t="n"/>
      <c r="N870" s="285" t="n"/>
      <c r="O870" s="285" t="n"/>
      <c r="P870" s="285" t="n"/>
      <c r="Q870" s="285" t="n"/>
      <c r="R870" s="285" t="n"/>
      <c r="S870" s="284" t="n"/>
      <c r="T870" s="284" t="n"/>
      <c r="U870" s="285" t="n"/>
      <c r="V870" s="285" t="n"/>
      <c r="W870" s="285" t="n"/>
      <c r="X870" s="285" t="n"/>
      <c r="Y870" s="285" t="n"/>
      <c r="Z870" s="285" t="n"/>
      <c r="AA870" s="285" t="n"/>
    </row>
    <row r="871" ht="15.75" customHeight="1" s="398">
      <c r="A871" s="284" t="n"/>
      <c r="B871" s="284" t="n"/>
      <c r="C871" s="285" t="n"/>
      <c r="D871" s="284" t="n"/>
      <c r="E871" s="285" t="n"/>
      <c r="F871" s="285" t="n"/>
      <c r="G871" s="336" t="n"/>
      <c r="H871" s="336" t="n"/>
      <c r="I871" s="285" t="n"/>
      <c r="J871" s="285" t="n"/>
      <c r="K871" s="285" t="n"/>
      <c r="L871" s="285" t="n"/>
      <c r="M871" s="285" t="n"/>
      <c r="N871" s="285" t="n"/>
      <c r="O871" s="285" t="n"/>
      <c r="P871" s="285" t="n"/>
      <c r="Q871" s="285" t="n"/>
      <c r="R871" s="285" t="n"/>
      <c r="S871" s="284" t="n"/>
      <c r="T871" s="284" t="n"/>
      <c r="U871" s="285" t="n"/>
      <c r="V871" s="285" t="n"/>
      <c r="W871" s="285" t="n"/>
      <c r="X871" s="285" t="n"/>
      <c r="Y871" s="285" t="n"/>
      <c r="Z871" s="285" t="n"/>
      <c r="AA871" s="285" t="n"/>
    </row>
    <row r="872" ht="15.75" customHeight="1" s="398">
      <c r="A872" s="284" t="n"/>
      <c r="B872" s="284" t="n"/>
      <c r="C872" s="285" t="n"/>
      <c r="D872" s="284" t="n"/>
      <c r="E872" s="285" t="n"/>
      <c r="F872" s="285" t="n"/>
      <c r="G872" s="336" t="n"/>
      <c r="H872" s="336" t="n"/>
      <c r="I872" s="285" t="n"/>
      <c r="J872" s="285" t="n"/>
      <c r="K872" s="285" t="n"/>
      <c r="L872" s="285" t="n"/>
      <c r="M872" s="285" t="n"/>
      <c r="N872" s="285" t="n"/>
      <c r="O872" s="285" t="n"/>
      <c r="P872" s="285" t="n"/>
      <c r="Q872" s="285" t="n"/>
      <c r="R872" s="285" t="n"/>
      <c r="S872" s="284" t="n"/>
      <c r="T872" s="284" t="n"/>
      <c r="U872" s="285" t="n"/>
      <c r="V872" s="285" t="n"/>
      <c r="W872" s="285" t="n"/>
      <c r="X872" s="285" t="n"/>
      <c r="Y872" s="285" t="n"/>
      <c r="Z872" s="285" t="n"/>
      <c r="AA872" s="285" t="n"/>
    </row>
    <row r="873" ht="15.75" customHeight="1" s="398">
      <c r="A873" s="284" t="n"/>
      <c r="B873" s="284" t="n"/>
      <c r="C873" s="285" t="n"/>
      <c r="D873" s="284" t="n"/>
      <c r="E873" s="285" t="n"/>
      <c r="F873" s="285" t="n"/>
      <c r="G873" s="336" t="n"/>
      <c r="H873" s="336" t="n"/>
      <c r="I873" s="285" t="n"/>
      <c r="J873" s="285" t="n"/>
      <c r="K873" s="285" t="n"/>
      <c r="L873" s="285" t="n"/>
      <c r="M873" s="285" t="n"/>
      <c r="N873" s="285" t="n"/>
      <c r="O873" s="285" t="n"/>
      <c r="P873" s="285" t="n"/>
      <c r="Q873" s="285" t="n"/>
      <c r="R873" s="285" t="n"/>
      <c r="S873" s="284" t="n"/>
      <c r="T873" s="284" t="n"/>
      <c r="U873" s="285" t="n"/>
      <c r="V873" s="285" t="n"/>
      <c r="W873" s="285" t="n"/>
      <c r="X873" s="285" t="n"/>
      <c r="Y873" s="285" t="n"/>
      <c r="Z873" s="285" t="n"/>
      <c r="AA873" s="285" t="n"/>
    </row>
    <row r="874" ht="15.75" customHeight="1" s="398">
      <c r="A874" s="284" t="n"/>
      <c r="B874" s="284" t="n"/>
      <c r="C874" s="285" t="n"/>
      <c r="D874" s="284" t="n"/>
      <c r="E874" s="285" t="n"/>
      <c r="F874" s="285" t="n"/>
      <c r="G874" s="336" t="n"/>
      <c r="H874" s="336" t="n"/>
      <c r="I874" s="285" t="n"/>
      <c r="J874" s="285" t="n"/>
      <c r="K874" s="285" t="n"/>
      <c r="L874" s="285" t="n"/>
      <c r="M874" s="285" t="n"/>
      <c r="N874" s="285" t="n"/>
      <c r="O874" s="285" t="n"/>
      <c r="P874" s="285" t="n"/>
      <c r="Q874" s="285" t="n"/>
      <c r="R874" s="285" t="n"/>
      <c r="S874" s="284" t="n"/>
      <c r="T874" s="284" t="n"/>
      <c r="U874" s="285" t="n"/>
      <c r="V874" s="285" t="n"/>
      <c r="W874" s="285" t="n"/>
      <c r="X874" s="285" t="n"/>
      <c r="Y874" s="285" t="n"/>
      <c r="Z874" s="285" t="n"/>
      <c r="AA874" s="285" t="n"/>
    </row>
    <row r="875" ht="15.75" customHeight="1" s="398">
      <c r="A875" s="284" t="n"/>
      <c r="B875" s="284" t="n"/>
      <c r="C875" s="285" t="n"/>
      <c r="D875" s="284" t="n"/>
      <c r="E875" s="285" t="n"/>
      <c r="F875" s="285" t="n"/>
      <c r="G875" s="336" t="n"/>
      <c r="H875" s="336" t="n"/>
      <c r="I875" s="285" t="n"/>
      <c r="J875" s="285" t="n"/>
      <c r="K875" s="285" t="n"/>
      <c r="L875" s="285" t="n"/>
      <c r="M875" s="285" t="n"/>
      <c r="N875" s="285" t="n"/>
      <c r="O875" s="285" t="n"/>
      <c r="P875" s="285" t="n"/>
      <c r="Q875" s="285" t="n"/>
      <c r="R875" s="285" t="n"/>
      <c r="S875" s="284" t="n"/>
      <c r="T875" s="284" t="n"/>
      <c r="U875" s="285" t="n"/>
      <c r="V875" s="285" t="n"/>
      <c r="W875" s="285" t="n"/>
      <c r="X875" s="285" t="n"/>
      <c r="Y875" s="285" t="n"/>
      <c r="Z875" s="285" t="n"/>
      <c r="AA875" s="285" t="n"/>
    </row>
    <row r="876" ht="15.75" customHeight="1" s="398">
      <c r="A876" s="284" t="n"/>
      <c r="B876" s="284" t="n"/>
      <c r="C876" s="285" t="n"/>
      <c r="D876" s="284" t="n"/>
      <c r="E876" s="285" t="n"/>
      <c r="F876" s="285" t="n"/>
      <c r="G876" s="336" t="n"/>
      <c r="H876" s="336" t="n"/>
      <c r="I876" s="285" t="n"/>
      <c r="J876" s="285" t="n"/>
      <c r="K876" s="285" t="n"/>
      <c r="L876" s="285" t="n"/>
      <c r="M876" s="285" t="n"/>
      <c r="N876" s="285" t="n"/>
      <c r="O876" s="285" t="n"/>
      <c r="P876" s="285" t="n"/>
      <c r="Q876" s="285" t="n"/>
      <c r="R876" s="285" t="n"/>
      <c r="S876" s="284" t="n"/>
      <c r="T876" s="284" t="n"/>
      <c r="U876" s="285" t="n"/>
      <c r="V876" s="285" t="n"/>
      <c r="W876" s="285" t="n"/>
      <c r="X876" s="285" t="n"/>
      <c r="Y876" s="285" t="n"/>
      <c r="Z876" s="285" t="n"/>
      <c r="AA876" s="285" t="n"/>
    </row>
    <row r="877" ht="15.75" customHeight="1" s="398">
      <c r="A877" s="284" t="n"/>
      <c r="B877" s="284" t="n"/>
      <c r="C877" s="285" t="n"/>
      <c r="D877" s="284" t="n"/>
      <c r="E877" s="285" t="n"/>
      <c r="F877" s="285" t="n"/>
      <c r="G877" s="336" t="n"/>
      <c r="H877" s="336" t="n"/>
      <c r="I877" s="285" t="n"/>
      <c r="J877" s="285" t="n"/>
      <c r="K877" s="285" t="n"/>
      <c r="L877" s="285" t="n"/>
      <c r="M877" s="285" t="n"/>
      <c r="N877" s="285" t="n"/>
      <c r="O877" s="285" t="n"/>
      <c r="P877" s="285" t="n"/>
      <c r="Q877" s="285" t="n"/>
      <c r="R877" s="285" t="n"/>
      <c r="S877" s="284" t="n"/>
      <c r="T877" s="284" t="n"/>
      <c r="U877" s="285" t="n"/>
      <c r="V877" s="285" t="n"/>
      <c r="W877" s="285" t="n"/>
      <c r="X877" s="285" t="n"/>
      <c r="Y877" s="285" t="n"/>
      <c r="Z877" s="285" t="n"/>
      <c r="AA877" s="285" t="n"/>
    </row>
    <row r="878" ht="15.75" customHeight="1" s="398">
      <c r="A878" s="284" t="n"/>
      <c r="B878" s="284" t="n"/>
      <c r="C878" s="285" t="n"/>
      <c r="D878" s="284" t="n"/>
      <c r="E878" s="285" t="n"/>
      <c r="F878" s="285" t="n"/>
      <c r="G878" s="336" t="n"/>
      <c r="H878" s="336" t="n"/>
      <c r="I878" s="285" t="n"/>
      <c r="J878" s="285" t="n"/>
      <c r="K878" s="285" t="n"/>
      <c r="L878" s="285" t="n"/>
      <c r="M878" s="285" t="n"/>
      <c r="N878" s="285" t="n"/>
      <c r="O878" s="285" t="n"/>
      <c r="P878" s="285" t="n"/>
      <c r="Q878" s="285" t="n"/>
      <c r="R878" s="285" t="n"/>
      <c r="S878" s="284" t="n"/>
      <c r="T878" s="284" t="n"/>
      <c r="U878" s="285" t="n"/>
      <c r="V878" s="285" t="n"/>
      <c r="W878" s="285" t="n"/>
      <c r="X878" s="285" t="n"/>
      <c r="Y878" s="285" t="n"/>
      <c r="Z878" s="285" t="n"/>
      <c r="AA878" s="285" t="n"/>
    </row>
    <row r="879" ht="15.75" customHeight="1" s="398">
      <c r="A879" s="284" t="n"/>
      <c r="B879" s="284" t="n"/>
      <c r="C879" s="285" t="n"/>
      <c r="D879" s="284" t="n"/>
      <c r="E879" s="285" t="n"/>
      <c r="F879" s="285" t="n"/>
      <c r="G879" s="336" t="n"/>
      <c r="H879" s="336" t="n"/>
      <c r="I879" s="285" t="n"/>
      <c r="J879" s="285" t="n"/>
      <c r="K879" s="285" t="n"/>
      <c r="L879" s="285" t="n"/>
      <c r="M879" s="285" t="n"/>
      <c r="N879" s="285" t="n"/>
      <c r="O879" s="285" t="n"/>
      <c r="P879" s="285" t="n"/>
      <c r="Q879" s="285" t="n"/>
      <c r="R879" s="285" t="n"/>
      <c r="S879" s="284" t="n"/>
      <c r="T879" s="284" t="n"/>
      <c r="U879" s="285" t="n"/>
      <c r="V879" s="285" t="n"/>
      <c r="W879" s="285" t="n"/>
      <c r="X879" s="285" t="n"/>
      <c r="Y879" s="285" t="n"/>
      <c r="Z879" s="285" t="n"/>
      <c r="AA879" s="285" t="n"/>
    </row>
    <row r="880" ht="15.75" customHeight="1" s="398">
      <c r="A880" s="284" t="n"/>
      <c r="B880" s="284" t="n"/>
      <c r="C880" s="285" t="n"/>
      <c r="D880" s="284" t="n"/>
      <c r="E880" s="285" t="n"/>
      <c r="F880" s="285" t="n"/>
      <c r="G880" s="336" t="n"/>
      <c r="H880" s="336" t="n"/>
      <c r="I880" s="285" t="n"/>
      <c r="J880" s="285" t="n"/>
      <c r="K880" s="285" t="n"/>
      <c r="L880" s="285" t="n"/>
      <c r="M880" s="285" t="n"/>
      <c r="N880" s="285" t="n"/>
      <c r="O880" s="285" t="n"/>
      <c r="P880" s="285" t="n"/>
      <c r="Q880" s="285" t="n"/>
      <c r="R880" s="285" t="n"/>
      <c r="S880" s="284" t="n"/>
      <c r="T880" s="284" t="n"/>
      <c r="U880" s="285" t="n"/>
      <c r="V880" s="285" t="n"/>
      <c r="W880" s="285" t="n"/>
      <c r="X880" s="285" t="n"/>
      <c r="Y880" s="285" t="n"/>
      <c r="Z880" s="285" t="n"/>
      <c r="AA880" s="285" t="n"/>
    </row>
    <row r="881" ht="15.75" customHeight="1" s="398">
      <c r="A881" s="284" t="n"/>
      <c r="B881" s="284" t="n"/>
      <c r="C881" s="285" t="n"/>
      <c r="D881" s="284" t="n"/>
      <c r="E881" s="285" t="n"/>
      <c r="F881" s="285" t="n"/>
      <c r="G881" s="336" t="n"/>
      <c r="H881" s="336" t="n"/>
      <c r="I881" s="285" t="n"/>
      <c r="J881" s="285" t="n"/>
      <c r="K881" s="285" t="n"/>
      <c r="L881" s="285" t="n"/>
      <c r="M881" s="285" t="n"/>
      <c r="N881" s="285" t="n"/>
      <c r="O881" s="285" t="n"/>
      <c r="P881" s="285" t="n"/>
      <c r="Q881" s="285" t="n"/>
      <c r="R881" s="285" t="n"/>
      <c r="S881" s="284" t="n"/>
      <c r="T881" s="284" t="n"/>
      <c r="U881" s="285" t="n"/>
      <c r="V881" s="285" t="n"/>
      <c r="W881" s="285" t="n"/>
      <c r="X881" s="285" t="n"/>
      <c r="Y881" s="285" t="n"/>
      <c r="Z881" s="285" t="n"/>
      <c r="AA881" s="285" t="n"/>
    </row>
    <row r="882" ht="15.75" customHeight="1" s="398">
      <c r="A882" s="284" t="n"/>
      <c r="B882" s="284" t="n"/>
      <c r="C882" s="285" t="n"/>
      <c r="D882" s="284" t="n"/>
      <c r="E882" s="285" t="n"/>
      <c r="F882" s="285" t="n"/>
      <c r="G882" s="336" t="n"/>
      <c r="H882" s="336" t="n"/>
      <c r="I882" s="285" t="n"/>
      <c r="J882" s="285" t="n"/>
      <c r="K882" s="285" t="n"/>
      <c r="L882" s="285" t="n"/>
      <c r="M882" s="285" t="n"/>
      <c r="N882" s="285" t="n"/>
      <c r="O882" s="285" t="n"/>
      <c r="P882" s="285" t="n"/>
      <c r="Q882" s="285" t="n"/>
      <c r="R882" s="285" t="n"/>
      <c r="S882" s="284" t="n"/>
      <c r="T882" s="284" t="n"/>
      <c r="U882" s="285" t="n"/>
      <c r="V882" s="285" t="n"/>
      <c r="W882" s="285" t="n"/>
      <c r="X882" s="285" t="n"/>
      <c r="Y882" s="285" t="n"/>
      <c r="Z882" s="285" t="n"/>
      <c r="AA882" s="285" t="n"/>
    </row>
    <row r="883" ht="15.75" customHeight="1" s="398">
      <c r="A883" s="284" t="n"/>
      <c r="B883" s="284" t="n"/>
      <c r="C883" s="285" t="n"/>
      <c r="D883" s="284" t="n"/>
      <c r="E883" s="285" t="n"/>
      <c r="F883" s="285" t="n"/>
      <c r="G883" s="336" t="n"/>
      <c r="H883" s="336" t="n"/>
      <c r="I883" s="285" t="n"/>
      <c r="J883" s="285" t="n"/>
      <c r="K883" s="285" t="n"/>
      <c r="L883" s="285" t="n"/>
      <c r="M883" s="285" t="n"/>
      <c r="N883" s="285" t="n"/>
      <c r="O883" s="285" t="n"/>
      <c r="P883" s="285" t="n"/>
      <c r="Q883" s="285" t="n"/>
      <c r="R883" s="285" t="n"/>
      <c r="S883" s="284" t="n"/>
      <c r="T883" s="284" t="n"/>
      <c r="U883" s="285" t="n"/>
      <c r="V883" s="285" t="n"/>
      <c r="W883" s="285" t="n"/>
      <c r="X883" s="285" t="n"/>
      <c r="Y883" s="285" t="n"/>
      <c r="Z883" s="285" t="n"/>
      <c r="AA883" s="285" t="n"/>
    </row>
    <row r="884" ht="15.75" customHeight="1" s="398">
      <c r="A884" s="284" t="n"/>
      <c r="B884" s="284" t="n"/>
      <c r="C884" s="285" t="n"/>
      <c r="D884" s="284" t="n"/>
      <c r="E884" s="285" t="n"/>
      <c r="F884" s="285" t="n"/>
      <c r="G884" s="336" t="n"/>
      <c r="H884" s="336" t="n"/>
      <c r="I884" s="285" t="n"/>
      <c r="J884" s="285" t="n"/>
      <c r="K884" s="285" t="n"/>
      <c r="L884" s="285" t="n"/>
      <c r="M884" s="285" t="n"/>
      <c r="N884" s="285" t="n"/>
      <c r="O884" s="285" t="n"/>
      <c r="P884" s="285" t="n"/>
      <c r="Q884" s="285" t="n"/>
      <c r="R884" s="285" t="n"/>
      <c r="S884" s="284" t="n"/>
      <c r="T884" s="284" t="n"/>
      <c r="U884" s="285" t="n"/>
      <c r="V884" s="285" t="n"/>
      <c r="W884" s="285" t="n"/>
      <c r="X884" s="285" t="n"/>
      <c r="Y884" s="285" t="n"/>
      <c r="Z884" s="285" t="n"/>
      <c r="AA884" s="285" t="n"/>
    </row>
    <row r="885" ht="15.75" customHeight="1" s="398">
      <c r="A885" s="284" t="n"/>
      <c r="B885" s="284" t="n"/>
      <c r="C885" s="285" t="n"/>
      <c r="D885" s="284" t="n"/>
      <c r="E885" s="285" t="n"/>
      <c r="F885" s="285" t="n"/>
      <c r="G885" s="336" t="n"/>
      <c r="H885" s="336" t="n"/>
      <c r="I885" s="285" t="n"/>
      <c r="J885" s="285" t="n"/>
      <c r="K885" s="285" t="n"/>
      <c r="L885" s="285" t="n"/>
      <c r="M885" s="285" t="n"/>
      <c r="N885" s="285" t="n"/>
      <c r="O885" s="285" t="n"/>
      <c r="P885" s="285" t="n"/>
      <c r="Q885" s="285" t="n"/>
      <c r="R885" s="285" t="n"/>
      <c r="S885" s="284" t="n"/>
      <c r="T885" s="284" t="n"/>
      <c r="U885" s="285" t="n"/>
      <c r="V885" s="285" t="n"/>
      <c r="W885" s="285" t="n"/>
      <c r="X885" s="285" t="n"/>
      <c r="Y885" s="285" t="n"/>
      <c r="Z885" s="285" t="n"/>
      <c r="AA885" s="285" t="n"/>
    </row>
    <row r="886" ht="15.75" customHeight="1" s="398">
      <c r="A886" s="284" t="n"/>
      <c r="B886" s="284" t="n"/>
      <c r="C886" s="285" t="n"/>
      <c r="D886" s="284" t="n"/>
      <c r="E886" s="285" t="n"/>
      <c r="F886" s="285" t="n"/>
      <c r="G886" s="336" t="n"/>
      <c r="H886" s="336" t="n"/>
      <c r="I886" s="285" t="n"/>
      <c r="J886" s="285" t="n"/>
      <c r="K886" s="285" t="n"/>
      <c r="L886" s="285" t="n"/>
      <c r="M886" s="285" t="n"/>
      <c r="N886" s="285" t="n"/>
      <c r="O886" s="285" t="n"/>
      <c r="P886" s="285" t="n"/>
      <c r="Q886" s="285" t="n"/>
      <c r="R886" s="285" t="n"/>
      <c r="S886" s="284" t="n"/>
      <c r="T886" s="284" t="n"/>
      <c r="U886" s="285" t="n"/>
      <c r="V886" s="285" t="n"/>
      <c r="W886" s="285" t="n"/>
      <c r="X886" s="285" t="n"/>
      <c r="Y886" s="285" t="n"/>
      <c r="Z886" s="285" t="n"/>
      <c r="AA886" s="285" t="n"/>
    </row>
    <row r="887" ht="15.75" customHeight="1" s="398">
      <c r="A887" s="284" t="n"/>
      <c r="B887" s="284" t="n"/>
      <c r="C887" s="285" t="n"/>
      <c r="D887" s="284" t="n"/>
      <c r="E887" s="285" t="n"/>
      <c r="F887" s="285" t="n"/>
      <c r="G887" s="336" t="n"/>
      <c r="H887" s="336" t="n"/>
      <c r="I887" s="285" t="n"/>
      <c r="J887" s="285" t="n"/>
      <c r="K887" s="285" t="n"/>
      <c r="L887" s="285" t="n"/>
      <c r="M887" s="285" t="n"/>
      <c r="N887" s="285" t="n"/>
      <c r="O887" s="285" t="n"/>
      <c r="P887" s="285" t="n"/>
      <c r="Q887" s="285" t="n"/>
      <c r="R887" s="285" t="n"/>
      <c r="S887" s="284" t="n"/>
      <c r="T887" s="284" t="n"/>
      <c r="U887" s="285" t="n"/>
      <c r="V887" s="285" t="n"/>
      <c r="W887" s="285" t="n"/>
      <c r="X887" s="285" t="n"/>
      <c r="Y887" s="285" t="n"/>
      <c r="Z887" s="285" t="n"/>
      <c r="AA887" s="285" t="n"/>
    </row>
    <row r="888" ht="15.75" customHeight="1" s="398">
      <c r="A888" s="284" t="n"/>
      <c r="B888" s="284" t="n"/>
      <c r="C888" s="285" t="n"/>
      <c r="D888" s="284" t="n"/>
      <c r="E888" s="285" t="n"/>
      <c r="F888" s="285" t="n"/>
      <c r="G888" s="336" t="n"/>
      <c r="H888" s="336" t="n"/>
      <c r="I888" s="285" t="n"/>
      <c r="J888" s="285" t="n"/>
      <c r="K888" s="285" t="n"/>
      <c r="L888" s="285" t="n"/>
      <c r="M888" s="285" t="n"/>
      <c r="N888" s="285" t="n"/>
      <c r="O888" s="285" t="n"/>
      <c r="P888" s="285" t="n"/>
      <c r="Q888" s="285" t="n"/>
      <c r="R888" s="285" t="n"/>
      <c r="S888" s="284" t="n"/>
      <c r="T888" s="284" t="n"/>
      <c r="U888" s="285" t="n"/>
      <c r="V888" s="285" t="n"/>
      <c r="W888" s="285" t="n"/>
      <c r="X888" s="285" t="n"/>
      <c r="Y888" s="285" t="n"/>
      <c r="Z888" s="285" t="n"/>
      <c r="AA888" s="285" t="n"/>
    </row>
    <row r="889" ht="15.75" customHeight="1" s="398">
      <c r="A889" s="284" t="n"/>
      <c r="B889" s="284" t="n"/>
      <c r="C889" s="285" t="n"/>
      <c r="D889" s="284" t="n"/>
      <c r="E889" s="285" t="n"/>
      <c r="F889" s="285" t="n"/>
      <c r="G889" s="336" t="n"/>
      <c r="H889" s="336" t="n"/>
      <c r="I889" s="285" t="n"/>
      <c r="J889" s="285" t="n"/>
      <c r="K889" s="285" t="n"/>
      <c r="L889" s="285" t="n"/>
      <c r="M889" s="285" t="n"/>
      <c r="N889" s="285" t="n"/>
      <c r="O889" s="285" t="n"/>
      <c r="P889" s="285" t="n"/>
      <c r="Q889" s="285" t="n"/>
      <c r="R889" s="285" t="n"/>
      <c r="S889" s="284" t="n"/>
      <c r="T889" s="284" t="n"/>
      <c r="U889" s="285" t="n"/>
      <c r="V889" s="285" t="n"/>
      <c r="W889" s="285" t="n"/>
      <c r="X889" s="285" t="n"/>
      <c r="Y889" s="285" t="n"/>
      <c r="Z889" s="285" t="n"/>
      <c r="AA889" s="285" t="n"/>
    </row>
    <row r="890" ht="15.75" customHeight="1" s="398">
      <c r="A890" s="284" t="n"/>
      <c r="B890" s="284" t="n"/>
      <c r="C890" s="285" t="n"/>
      <c r="D890" s="284" t="n"/>
      <c r="E890" s="285" t="n"/>
      <c r="F890" s="285" t="n"/>
      <c r="G890" s="336" t="n"/>
      <c r="H890" s="336" t="n"/>
      <c r="I890" s="285" t="n"/>
      <c r="J890" s="285" t="n"/>
      <c r="K890" s="285" t="n"/>
      <c r="L890" s="285" t="n"/>
      <c r="M890" s="285" t="n"/>
      <c r="N890" s="285" t="n"/>
      <c r="O890" s="285" t="n"/>
      <c r="P890" s="285" t="n"/>
      <c r="Q890" s="285" t="n"/>
      <c r="R890" s="285" t="n"/>
      <c r="S890" s="284" t="n"/>
      <c r="T890" s="284" t="n"/>
      <c r="U890" s="285" t="n"/>
      <c r="V890" s="285" t="n"/>
      <c r="W890" s="285" t="n"/>
      <c r="X890" s="285" t="n"/>
      <c r="Y890" s="285" t="n"/>
      <c r="Z890" s="285" t="n"/>
      <c r="AA890" s="285" t="n"/>
    </row>
    <row r="891" ht="15.75" customHeight="1" s="398">
      <c r="A891" s="284" t="n"/>
      <c r="B891" s="284" t="n"/>
      <c r="C891" s="285" t="n"/>
      <c r="D891" s="284" t="n"/>
      <c r="E891" s="285" t="n"/>
      <c r="F891" s="285" t="n"/>
      <c r="G891" s="336" t="n"/>
      <c r="H891" s="336" t="n"/>
      <c r="I891" s="285" t="n"/>
      <c r="J891" s="285" t="n"/>
      <c r="K891" s="285" t="n"/>
      <c r="L891" s="285" t="n"/>
      <c r="M891" s="285" t="n"/>
      <c r="N891" s="285" t="n"/>
      <c r="O891" s="285" t="n"/>
      <c r="P891" s="285" t="n"/>
      <c r="Q891" s="285" t="n"/>
      <c r="R891" s="285" t="n"/>
      <c r="S891" s="284" t="n"/>
      <c r="T891" s="284" t="n"/>
      <c r="U891" s="285" t="n"/>
      <c r="V891" s="285" t="n"/>
      <c r="W891" s="285" t="n"/>
      <c r="X891" s="285" t="n"/>
      <c r="Y891" s="285" t="n"/>
      <c r="Z891" s="285" t="n"/>
      <c r="AA891" s="285" t="n"/>
    </row>
    <row r="892" ht="15.75" customHeight="1" s="398">
      <c r="A892" s="284" t="n"/>
      <c r="B892" s="284" t="n"/>
      <c r="C892" s="285" t="n"/>
      <c r="D892" s="284" t="n"/>
      <c r="E892" s="285" t="n"/>
      <c r="F892" s="285" t="n"/>
      <c r="G892" s="336" t="n"/>
      <c r="H892" s="336" t="n"/>
      <c r="I892" s="285" t="n"/>
      <c r="J892" s="285" t="n"/>
      <c r="K892" s="285" t="n"/>
      <c r="L892" s="285" t="n"/>
      <c r="M892" s="285" t="n"/>
      <c r="N892" s="285" t="n"/>
      <c r="O892" s="285" t="n"/>
      <c r="P892" s="285" t="n"/>
      <c r="Q892" s="285" t="n"/>
      <c r="R892" s="285" t="n"/>
      <c r="S892" s="284" t="n"/>
      <c r="T892" s="284" t="n"/>
      <c r="U892" s="285" t="n"/>
      <c r="V892" s="285" t="n"/>
      <c r="W892" s="285" t="n"/>
      <c r="X892" s="285" t="n"/>
      <c r="Y892" s="285" t="n"/>
      <c r="Z892" s="285" t="n"/>
      <c r="AA892" s="285" t="n"/>
    </row>
    <row r="893" ht="15.75" customHeight="1" s="398">
      <c r="A893" s="284" t="n"/>
      <c r="B893" s="284" t="n"/>
      <c r="C893" s="285" t="n"/>
      <c r="D893" s="284" t="n"/>
      <c r="E893" s="285" t="n"/>
      <c r="F893" s="285" t="n"/>
      <c r="G893" s="336" t="n"/>
      <c r="H893" s="336" t="n"/>
      <c r="I893" s="285" t="n"/>
      <c r="J893" s="285" t="n"/>
      <c r="K893" s="285" t="n"/>
      <c r="L893" s="285" t="n"/>
      <c r="M893" s="285" t="n"/>
      <c r="N893" s="285" t="n"/>
      <c r="O893" s="285" t="n"/>
      <c r="P893" s="285" t="n"/>
      <c r="Q893" s="285" t="n"/>
      <c r="R893" s="285" t="n"/>
      <c r="S893" s="284" t="n"/>
      <c r="T893" s="284" t="n"/>
      <c r="U893" s="285" t="n"/>
      <c r="V893" s="285" t="n"/>
      <c r="W893" s="285" t="n"/>
      <c r="X893" s="285" t="n"/>
      <c r="Y893" s="285" t="n"/>
      <c r="Z893" s="285" t="n"/>
      <c r="AA893" s="285" t="n"/>
    </row>
    <row r="894" ht="15.75" customHeight="1" s="398">
      <c r="A894" s="284" t="n"/>
      <c r="B894" s="284" t="n"/>
      <c r="C894" s="285" t="n"/>
      <c r="D894" s="284" t="n"/>
      <c r="E894" s="285" t="n"/>
      <c r="F894" s="285" t="n"/>
      <c r="G894" s="336" t="n"/>
      <c r="H894" s="336" t="n"/>
      <c r="I894" s="285" t="n"/>
      <c r="J894" s="285" t="n"/>
      <c r="K894" s="285" t="n"/>
      <c r="L894" s="285" t="n"/>
      <c r="M894" s="285" t="n"/>
      <c r="N894" s="285" t="n"/>
      <c r="O894" s="285" t="n"/>
      <c r="P894" s="285" t="n"/>
      <c r="Q894" s="285" t="n"/>
      <c r="R894" s="285" t="n"/>
      <c r="S894" s="284" t="n"/>
      <c r="T894" s="284" t="n"/>
      <c r="U894" s="285" t="n"/>
      <c r="V894" s="285" t="n"/>
      <c r="W894" s="285" t="n"/>
      <c r="X894" s="285" t="n"/>
      <c r="Y894" s="285" t="n"/>
      <c r="Z894" s="285" t="n"/>
      <c r="AA894" s="285" t="n"/>
    </row>
    <row r="895" ht="15.75" customHeight="1" s="398">
      <c r="A895" s="284" t="n"/>
      <c r="B895" s="284" t="n"/>
      <c r="C895" s="285" t="n"/>
      <c r="D895" s="284" t="n"/>
      <c r="E895" s="285" t="n"/>
      <c r="F895" s="285" t="n"/>
      <c r="G895" s="336" t="n"/>
      <c r="H895" s="336" t="n"/>
      <c r="I895" s="285" t="n"/>
      <c r="J895" s="285" t="n"/>
      <c r="K895" s="285" t="n"/>
      <c r="L895" s="285" t="n"/>
      <c r="M895" s="285" t="n"/>
      <c r="N895" s="285" t="n"/>
      <c r="O895" s="285" t="n"/>
      <c r="P895" s="285" t="n"/>
      <c r="Q895" s="285" t="n"/>
      <c r="R895" s="285" t="n"/>
      <c r="S895" s="284" t="n"/>
      <c r="T895" s="284" t="n"/>
      <c r="U895" s="285" t="n"/>
      <c r="V895" s="285" t="n"/>
      <c r="W895" s="285" t="n"/>
      <c r="X895" s="285" t="n"/>
      <c r="Y895" s="285" t="n"/>
      <c r="Z895" s="285" t="n"/>
      <c r="AA895" s="285" t="n"/>
    </row>
    <row r="896" ht="15.75" customHeight="1" s="398">
      <c r="A896" s="284" t="n"/>
      <c r="B896" s="284" t="n"/>
      <c r="C896" s="285" t="n"/>
      <c r="D896" s="284" t="n"/>
      <c r="E896" s="285" t="n"/>
      <c r="F896" s="285" t="n"/>
      <c r="G896" s="336" t="n"/>
      <c r="H896" s="336" t="n"/>
      <c r="I896" s="285" t="n"/>
      <c r="J896" s="285" t="n"/>
      <c r="K896" s="285" t="n"/>
      <c r="L896" s="285" t="n"/>
      <c r="M896" s="285" t="n"/>
      <c r="N896" s="285" t="n"/>
      <c r="O896" s="285" t="n"/>
      <c r="P896" s="285" t="n"/>
      <c r="Q896" s="285" t="n"/>
      <c r="R896" s="285" t="n"/>
      <c r="S896" s="284" t="n"/>
      <c r="T896" s="284" t="n"/>
      <c r="U896" s="285" t="n"/>
      <c r="V896" s="285" t="n"/>
      <c r="W896" s="285" t="n"/>
      <c r="X896" s="285" t="n"/>
      <c r="Y896" s="285" t="n"/>
      <c r="Z896" s="285" t="n"/>
      <c r="AA896" s="285" t="n"/>
    </row>
    <row r="897" ht="15.75" customHeight="1" s="398">
      <c r="A897" s="284" t="n"/>
      <c r="B897" s="284" t="n"/>
      <c r="C897" s="285" t="n"/>
      <c r="D897" s="284" t="n"/>
      <c r="E897" s="285" t="n"/>
      <c r="F897" s="285" t="n"/>
      <c r="G897" s="336" t="n"/>
      <c r="H897" s="336" t="n"/>
      <c r="I897" s="285" t="n"/>
      <c r="J897" s="285" t="n"/>
      <c r="K897" s="285" t="n"/>
      <c r="L897" s="285" t="n"/>
      <c r="M897" s="285" t="n"/>
      <c r="N897" s="285" t="n"/>
      <c r="O897" s="285" t="n"/>
      <c r="P897" s="285" t="n"/>
      <c r="Q897" s="285" t="n"/>
      <c r="R897" s="285" t="n"/>
      <c r="S897" s="284" t="n"/>
      <c r="T897" s="284" t="n"/>
      <c r="U897" s="285" t="n"/>
      <c r="V897" s="285" t="n"/>
      <c r="W897" s="285" t="n"/>
      <c r="X897" s="285" t="n"/>
      <c r="Y897" s="285" t="n"/>
      <c r="Z897" s="285" t="n"/>
      <c r="AA897" s="285" t="n"/>
    </row>
    <row r="898" ht="15.75" customHeight="1" s="398">
      <c r="A898" s="284" t="n"/>
      <c r="B898" s="284" t="n"/>
      <c r="C898" s="285" t="n"/>
      <c r="D898" s="284" t="n"/>
      <c r="E898" s="285" t="n"/>
      <c r="F898" s="285" t="n"/>
      <c r="G898" s="336" t="n"/>
      <c r="H898" s="336" t="n"/>
      <c r="I898" s="285" t="n"/>
      <c r="J898" s="285" t="n"/>
      <c r="K898" s="285" t="n"/>
      <c r="L898" s="285" t="n"/>
      <c r="M898" s="285" t="n"/>
      <c r="N898" s="285" t="n"/>
      <c r="O898" s="285" t="n"/>
      <c r="P898" s="285" t="n"/>
      <c r="Q898" s="285" t="n"/>
      <c r="R898" s="285" t="n"/>
      <c r="S898" s="284" t="n"/>
      <c r="T898" s="284" t="n"/>
      <c r="U898" s="285" t="n"/>
      <c r="V898" s="285" t="n"/>
      <c r="W898" s="285" t="n"/>
      <c r="X898" s="285" t="n"/>
      <c r="Y898" s="285" t="n"/>
      <c r="Z898" s="285" t="n"/>
      <c r="AA898" s="285" t="n"/>
    </row>
    <row r="899" ht="15.75" customHeight="1" s="398">
      <c r="A899" s="284" t="n"/>
      <c r="B899" s="284" t="n"/>
      <c r="C899" s="285" t="n"/>
      <c r="D899" s="284" t="n"/>
      <c r="E899" s="285" t="n"/>
      <c r="F899" s="285" t="n"/>
      <c r="G899" s="336" t="n"/>
      <c r="H899" s="336" t="n"/>
      <c r="I899" s="285" t="n"/>
      <c r="J899" s="285" t="n"/>
      <c r="K899" s="285" t="n"/>
      <c r="L899" s="285" t="n"/>
      <c r="M899" s="285" t="n"/>
      <c r="N899" s="285" t="n"/>
      <c r="O899" s="285" t="n"/>
      <c r="P899" s="285" t="n"/>
      <c r="Q899" s="285" t="n"/>
      <c r="R899" s="285" t="n"/>
      <c r="S899" s="284" t="n"/>
      <c r="T899" s="284" t="n"/>
      <c r="U899" s="285" t="n"/>
      <c r="V899" s="285" t="n"/>
      <c r="W899" s="285" t="n"/>
      <c r="X899" s="285" t="n"/>
      <c r="Y899" s="285" t="n"/>
      <c r="Z899" s="285" t="n"/>
      <c r="AA899" s="285" t="n"/>
    </row>
    <row r="900" ht="15.75" customHeight="1" s="398">
      <c r="A900" s="284" t="n"/>
      <c r="B900" s="284" t="n"/>
      <c r="C900" s="285" t="n"/>
      <c r="D900" s="284" t="n"/>
      <c r="E900" s="285" t="n"/>
      <c r="F900" s="285" t="n"/>
      <c r="G900" s="336" t="n"/>
      <c r="H900" s="336" t="n"/>
      <c r="I900" s="285" t="n"/>
      <c r="J900" s="285" t="n"/>
      <c r="K900" s="285" t="n"/>
      <c r="L900" s="285" t="n"/>
      <c r="M900" s="285" t="n"/>
      <c r="N900" s="285" t="n"/>
      <c r="O900" s="285" t="n"/>
      <c r="P900" s="285" t="n"/>
      <c r="Q900" s="285" t="n"/>
      <c r="R900" s="285" t="n"/>
      <c r="S900" s="284" t="n"/>
      <c r="T900" s="284" t="n"/>
      <c r="U900" s="285" t="n"/>
      <c r="V900" s="285" t="n"/>
      <c r="W900" s="285" t="n"/>
      <c r="X900" s="285" t="n"/>
      <c r="Y900" s="285" t="n"/>
      <c r="Z900" s="285" t="n"/>
      <c r="AA900" s="285" t="n"/>
    </row>
    <row r="901" ht="15.75" customHeight="1" s="398">
      <c r="A901" s="284" t="n"/>
      <c r="B901" s="284" t="n"/>
      <c r="C901" s="285" t="n"/>
      <c r="D901" s="284" t="n"/>
      <c r="E901" s="285" t="n"/>
      <c r="F901" s="285" t="n"/>
      <c r="G901" s="336" t="n"/>
      <c r="H901" s="336" t="n"/>
      <c r="I901" s="285" t="n"/>
      <c r="J901" s="285" t="n"/>
      <c r="K901" s="285" t="n"/>
      <c r="L901" s="285" t="n"/>
      <c r="M901" s="285" t="n"/>
      <c r="N901" s="285" t="n"/>
      <c r="O901" s="285" t="n"/>
      <c r="P901" s="285" t="n"/>
      <c r="Q901" s="285" t="n"/>
      <c r="R901" s="285" t="n"/>
      <c r="S901" s="284" t="n"/>
      <c r="T901" s="284" t="n"/>
      <c r="U901" s="285" t="n"/>
      <c r="V901" s="285" t="n"/>
      <c r="W901" s="285" t="n"/>
      <c r="X901" s="285" t="n"/>
      <c r="Y901" s="285" t="n"/>
      <c r="Z901" s="285" t="n"/>
      <c r="AA901" s="285" t="n"/>
    </row>
    <row r="902" ht="15.75" customHeight="1" s="398">
      <c r="A902" s="284" t="n"/>
      <c r="B902" s="284" t="n"/>
      <c r="C902" s="285" t="n"/>
      <c r="D902" s="284" t="n"/>
      <c r="E902" s="285" t="n"/>
      <c r="F902" s="285" t="n"/>
      <c r="G902" s="336" t="n"/>
      <c r="H902" s="336" t="n"/>
      <c r="I902" s="285" t="n"/>
      <c r="J902" s="285" t="n"/>
      <c r="K902" s="285" t="n"/>
      <c r="L902" s="285" t="n"/>
      <c r="M902" s="285" t="n"/>
      <c r="N902" s="285" t="n"/>
      <c r="O902" s="285" t="n"/>
      <c r="P902" s="285" t="n"/>
      <c r="Q902" s="285" t="n"/>
      <c r="R902" s="285" t="n"/>
      <c r="S902" s="284" t="n"/>
      <c r="T902" s="284" t="n"/>
      <c r="U902" s="285" t="n"/>
      <c r="V902" s="285" t="n"/>
      <c r="W902" s="285" t="n"/>
      <c r="X902" s="285" t="n"/>
      <c r="Y902" s="285" t="n"/>
      <c r="Z902" s="285" t="n"/>
      <c r="AA902" s="285" t="n"/>
    </row>
    <row r="903" ht="15.75" customHeight="1" s="398">
      <c r="A903" s="284" t="n"/>
      <c r="B903" s="284" t="n"/>
      <c r="C903" s="285" t="n"/>
      <c r="D903" s="284" t="n"/>
      <c r="E903" s="285" t="n"/>
      <c r="F903" s="285" t="n"/>
      <c r="G903" s="336" t="n"/>
      <c r="H903" s="336" t="n"/>
      <c r="I903" s="285" t="n"/>
      <c r="J903" s="285" t="n"/>
      <c r="K903" s="285" t="n"/>
      <c r="L903" s="285" t="n"/>
      <c r="M903" s="285" t="n"/>
      <c r="N903" s="285" t="n"/>
      <c r="O903" s="285" t="n"/>
      <c r="P903" s="285" t="n"/>
      <c r="Q903" s="285" t="n"/>
      <c r="R903" s="285" t="n"/>
      <c r="S903" s="284" t="n"/>
      <c r="T903" s="284" t="n"/>
      <c r="U903" s="285" t="n"/>
      <c r="V903" s="285" t="n"/>
      <c r="W903" s="285" t="n"/>
      <c r="X903" s="285" t="n"/>
      <c r="Y903" s="285" t="n"/>
      <c r="Z903" s="285" t="n"/>
      <c r="AA903" s="285" t="n"/>
    </row>
    <row r="904" ht="15.75" customHeight="1" s="398">
      <c r="A904" s="284" t="n"/>
      <c r="B904" s="284" t="n"/>
      <c r="C904" s="285" t="n"/>
      <c r="D904" s="284" t="n"/>
      <c r="E904" s="285" t="n"/>
      <c r="F904" s="285" t="n"/>
      <c r="G904" s="336" t="n"/>
      <c r="H904" s="336" t="n"/>
      <c r="I904" s="285" t="n"/>
      <c r="J904" s="285" t="n"/>
      <c r="K904" s="285" t="n"/>
      <c r="L904" s="285" t="n"/>
      <c r="M904" s="285" t="n"/>
      <c r="N904" s="285" t="n"/>
      <c r="O904" s="285" t="n"/>
      <c r="P904" s="285" t="n"/>
      <c r="Q904" s="285" t="n"/>
      <c r="R904" s="285" t="n"/>
      <c r="S904" s="284" t="n"/>
      <c r="T904" s="284" t="n"/>
      <c r="U904" s="285" t="n"/>
      <c r="V904" s="285" t="n"/>
      <c r="W904" s="285" t="n"/>
      <c r="X904" s="285" t="n"/>
      <c r="Y904" s="285" t="n"/>
      <c r="Z904" s="285" t="n"/>
      <c r="AA904" s="285" t="n"/>
    </row>
    <row r="905" ht="15.75" customHeight="1" s="398">
      <c r="A905" s="284" t="n"/>
      <c r="B905" s="284" t="n"/>
      <c r="C905" s="285" t="n"/>
      <c r="D905" s="284" t="n"/>
      <c r="E905" s="285" t="n"/>
      <c r="F905" s="285" t="n"/>
      <c r="G905" s="336" t="n"/>
      <c r="H905" s="336" t="n"/>
      <c r="I905" s="285" t="n"/>
      <c r="J905" s="285" t="n"/>
      <c r="K905" s="285" t="n"/>
      <c r="L905" s="285" t="n"/>
      <c r="M905" s="285" t="n"/>
      <c r="N905" s="285" t="n"/>
      <c r="O905" s="285" t="n"/>
      <c r="P905" s="285" t="n"/>
      <c r="Q905" s="285" t="n"/>
      <c r="R905" s="285" t="n"/>
      <c r="S905" s="284" t="n"/>
      <c r="T905" s="284" t="n"/>
      <c r="U905" s="285" t="n"/>
      <c r="V905" s="285" t="n"/>
      <c r="W905" s="285" t="n"/>
      <c r="X905" s="285" t="n"/>
      <c r="Y905" s="285" t="n"/>
      <c r="Z905" s="285" t="n"/>
      <c r="AA905" s="285" t="n"/>
    </row>
    <row r="906" ht="15.75" customHeight="1" s="398">
      <c r="A906" s="284" t="n"/>
      <c r="B906" s="284" t="n"/>
      <c r="C906" s="285" t="n"/>
      <c r="D906" s="284" t="n"/>
      <c r="E906" s="285" t="n"/>
      <c r="F906" s="285" t="n"/>
      <c r="G906" s="336" t="n"/>
      <c r="H906" s="336" t="n"/>
      <c r="I906" s="285" t="n"/>
      <c r="J906" s="285" t="n"/>
      <c r="K906" s="285" t="n"/>
      <c r="L906" s="285" t="n"/>
      <c r="M906" s="285" t="n"/>
      <c r="N906" s="285" t="n"/>
      <c r="O906" s="285" t="n"/>
      <c r="P906" s="285" t="n"/>
      <c r="Q906" s="285" t="n"/>
      <c r="R906" s="285" t="n"/>
      <c r="S906" s="284" t="n"/>
      <c r="T906" s="284" t="n"/>
      <c r="U906" s="285" t="n"/>
      <c r="V906" s="285" t="n"/>
      <c r="W906" s="285" t="n"/>
      <c r="X906" s="285" t="n"/>
      <c r="Y906" s="285" t="n"/>
      <c r="Z906" s="285" t="n"/>
      <c r="AA906" s="285" t="n"/>
    </row>
    <row r="907" ht="15.75" customHeight="1" s="398">
      <c r="A907" s="284" t="n"/>
      <c r="B907" s="284" t="n"/>
      <c r="C907" s="285" t="n"/>
      <c r="D907" s="284" t="n"/>
      <c r="E907" s="285" t="n"/>
      <c r="F907" s="285" t="n"/>
      <c r="G907" s="336" t="n"/>
      <c r="H907" s="336" t="n"/>
      <c r="I907" s="285" t="n"/>
      <c r="J907" s="285" t="n"/>
      <c r="K907" s="285" t="n"/>
      <c r="L907" s="285" t="n"/>
      <c r="M907" s="285" t="n"/>
      <c r="N907" s="285" t="n"/>
      <c r="O907" s="285" t="n"/>
      <c r="P907" s="285" t="n"/>
      <c r="Q907" s="285" t="n"/>
      <c r="R907" s="285" t="n"/>
      <c r="S907" s="284" t="n"/>
      <c r="T907" s="284" t="n"/>
      <c r="U907" s="285" t="n"/>
      <c r="V907" s="285" t="n"/>
      <c r="W907" s="285" t="n"/>
      <c r="X907" s="285" t="n"/>
      <c r="Y907" s="285" t="n"/>
      <c r="Z907" s="285" t="n"/>
      <c r="AA907" s="285" t="n"/>
    </row>
    <row r="908" ht="15.75" customHeight="1" s="398">
      <c r="A908" s="284" t="n"/>
      <c r="B908" s="284" t="n"/>
      <c r="C908" s="285" t="n"/>
      <c r="D908" s="284" t="n"/>
      <c r="E908" s="285" t="n"/>
      <c r="F908" s="285" t="n"/>
      <c r="G908" s="336" t="n"/>
      <c r="H908" s="336" t="n"/>
      <c r="I908" s="285" t="n"/>
      <c r="J908" s="285" t="n"/>
      <c r="K908" s="285" t="n"/>
      <c r="L908" s="285" t="n"/>
      <c r="M908" s="285" t="n"/>
      <c r="N908" s="285" t="n"/>
      <c r="O908" s="285" t="n"/>
      <c r="P908" s="285" t="n"/>
      <c r="Q908" s="285" t="n"/>
      <c r="R908" s="285" t="n"/>
      <c r="S908" s="284" t="n"/>
      <c r="T908" s="284" t="n"/>
      <c r="U908" s="285" t="n"/>
      <c r="V908" s="285" t="n"/>
      <c r="W908" s="285" t="n"/>
      <c r="X908" s="285" t="n"/>
      <c r="Y908" s="285" t="n"/>
      <c r="Z908" s="285" t="n"/>
      <c r="AA908" s="285" t="n"/>
    </row>
    <row r="909" ht="15.75" customHeight="1" s="398">
      <c r="A909" s="284" t="n"/>
      <c r="B909" s="284" t="n"/>
      <c r="C909" s="285" t="n"/>
      <c r="D909" s="284" t="n"/>
      <c r="E909" s="285" t="n"/>
      <c r="F909" s="285" t="n"/>
      <c r="G909" s="336" t="n"/>
      <c r="H909" s="336" t="n"/>
      <c r="I909" s="285" t="n"/>
      <c r="J909" s="285" t="n"/>
      <c r="K909" s="285" t="n"/>
      <c r="L909" s="285" t="n"/>
      <c r="M909" s="285" t="n"/>
      <c r="N909" s="285" t="n"/>
      <c r="O909" s="285" t="n"/>
      <c r="P909" s="285" t="n"/>
      <c r="Q909" s="285" t="n"/>
      <c r="R909" s="285" t="n"/>
      <c r="S909" s="284" t="n"/>
      <c r="T909" s="284" t="n"/>
      <c r="U909" s="285" t="n"/>
      <c r="V909" s="285" t="n"/>
      <c r="W909" s="285" t="n"/>
      <c r="X909" s="285" t="n"/>
      <c r="Y909" s="285" t="n"/>
      <c r="Z909" s="285" t="n"/>
      <c r="AA909" s="285" t="n"/>
    </row>
    <row r="910" ht="15.75" customHeight="1" s="398">
      <c r="A910" s="284" t="n"/>
      <c r="B910" s="284" t="n"/>
      <c r="C910" s="285" t="n"/>
      <c r="D910" s="284" t="n"/>
      <c r="E910" s="285" t="n"/>
      <c r="F910" s="285" t="n"/>
      <c r="G910" s="336" t="n"/>
      <c r="H910" s="336" t="n"/>
      <c r="I910" s="285" t="n"/>
      <c r="J910" s="285" t="n"/>
      <c r="K910" s="285" t="n"/>
      <c r="L910" s="285" t="n"/>
      <c r="M910" s="285" t="n"/>
      <c r="N910" s="285" t="n"/>
      <c r="O910" s="285" t="n"/>
      <c r="P910" s="285" t="n"/>
      <c r="Q910" s="285" t="n"/>
      <c r="R910" s="285" t="n"/>
      <c r="S910" s="284" t="n"/>
      <c r="T910" s="284" t="n"/>
      <c r="U910" s="285" t="n"/>
      <c r="V910" s="285" t="n"/>
      <c r="W910" s="285" t="n"/>
      <c r="X910" s="285" t="n"/>
      <c r="Y910" s="285" t="n"/>
      <c r="Z910" s="285" t="n"/>
      <c r="AA910" s="285" t="n"/>
    </row>
    <row r="911" ht="15.75" customHeight="1" s="398">
      <c r="A911" s="284" t="n"/>
      <c r="B911" s="284" t="n"/>
      <c r="C911" s="285" t="n"/>
      <c r="D911" s="284" t="n"/>
      <c r="E911" s="285" t="n"/>
      <c r="F911" s="285" t="n"/>
      <c r="G911" s="336" t="n"/>
      <c r="H911" s="336" t="n"/>
      <c r="I911" s="285" t="n"/>
      <c r="J911" s="285" t="n"/>
      <c r="K911" s="285" t="n"/>
      <c r="L911" s="285" t="n"/>
      <c r="M911" s="285" t="n"/>
      <c r="N911" s="285" t="n"/>
      <c r="O911" s="285" t="n"/>
      <c r="P911" s="285" t="n"/>
      <c r="Q911" s="285" t="n"/>
      <c r="R911" s="285" t="n"/>
      <c r="S911" s="284" t="n"/>
      <c r="T911" s="284" t="n"/>
      <c r="U911" s="285" t="n"/>
      <c r="V911" s="285" t="n"/>
      <c r="W911" s="285" t="n"/>
      <c r="X911" s="285" t="n"/>
      <c r="Y911" s="285" t="n"/>
      <c r="Z911" s="285" t="n"/>
      <c r="AA911" s="285" t="n"/>
    </row>
    <row r="912" ht="15.75" customHeight="1" s="398">
      <c r="A912" s="284" t="n"/>
      <c r="B912" s="284" t="n"/>
      <c r="C912" s="285" t="n"/>
      <c r="D912" s="284" t="n"/>
      <c r="E912" s="285" t="n"/>
      <c r="F912" s="285" t="n"/>
      <c r="G912" s="336" t="n"/>
      <c r="H912" s="336" t="n"/>
      <c r="I912" s="285" t="n"/>
      <c r="J912" s="285" t="n"/>
      <c r="K912" s="285" t="n"/>
      <c r="L912" s="285" t="n"/>
      <c r="M912" s="285" t="n"/>
      <c r="N912" s="285" t="n"/>
      <c r="O912" s="285" t="n"/>
      <c r="P912" s="285" t="n"/>
      <c r="Q912" s="285" t="n"/>
      <c r="R912" s="285" t="n"/>
      <c r="S912" s="284" t="n"/>
      <c r="T912" s="284" t="n"/>
      <c r="U912" s="285" t="n"/>
      <c r="V912" s="285" t="n"/>
      <c r="W912" s="285" t="n"/>
      <c r="X912" s="285" t="n"/>
      <c r="Y912" s="285" t="n"/>
      <c r="Z912" s="285" t="n"/>
      <c r="AA912" s="285" t="n"/>
    </row>
    <row r="913" ht="15.75" customHeight="1" s="398">
      <c r="A913" s="284" t="n"/>
      <c r="B913" s="284" t="n"/>
      <c r="C913" s="285" t="n"/>
      <c r="D913" s="284" t="n"/>
      <c r="E913" s="285" t="n"/>
      <c r="F913" s="285" t="n"/>
      <c r="G913" s="336" t="n"/>
      <c r="H913" s="336" t="n"/>
      <c r="I913" s="285" t="n"/>
      <c r="J913" s="285" t="n"/>
      <c r="K913" s="285" t="n"/>
      <c r="L913" s="285" t="n"/>
      <c r="M913" s="285" t="n"/>
      <c r="N913" s="285" t="n"/>
      <c r="O913" s="285" t="n"/>
      <c r="P913" s="285" t="n"/>
      <c r="Q913" s="285" t="n"/>
      <c r="R913" s="285" t="n"/>
      <c r="S913" s="284" t="n"/>
      <c r="T913" s="284" t="n"/>
      <c r="U913" s="285" t="n"/>
      <c r="V913" s="285" t="n"/>
      <c r="W913" s="285" t="n"/>
      <c r="X913" s="285" t="n"/>
      <c r="Y913" s="285" t="n"/>
      <c r="Z913" s="285" t="n"/>
      <c r="AA913" s="285" t="n"/>
    </row>
    <row r="914" ht="15.75" customHeight="1" s="398">
      <c r="A914" s="284" t="n"/>
      <c r="B914" s="284" t="n"/>
      <c r="C914" s="285" t="n"/>
      <c r="D914" s="284" t="n"/>
      <c r="E914" s="285" t="n"/>
      <c r="F914" s="285" t="n"/>
      <c r="G914" s="336" t="n"/>
      <c r="H914" s="336" t="n"/>
      <c r="I914" s="285" t="n"/>
      <c r="J914" s="285" t="n"/>
      <c r="K914" s="285" t="n"/>
      <c r="L914" s="285" t="n"/>
      <c r="M914" s="285" t="n"/>
      <c r="N914" s="285" t="n"/>
      <c r="O914" s="285" t="n"/>
      <c r="P914" s="285" t="n"/>
      <c r="Q914" s="285" t="n"/>
      <c r="R914" s="285" t="n"/>
      <c r="S914" s="284" t="n"/>
      <c r="T914" s="284" t="n"/>
      <c r="U914" s="285" t="n"/>
      <c r="V914" s="285" t="n"/>
      <c r="W914" s="285" t="n"/>
      <c r="X914" s="285" t="n"/>
      <c r="Y914" s="285" t="n"/>
      <c r="Z914" s="285" t="n"/>
      <c r="AA914" s="285" t="n"/>
    </row>
    <row r="915" ht="15.75" customHeight="1" s="398">
      <c r="A915" s="284" t="n"/>
      <c r="B915" s="284" t="n"/>
      <c r="C915" s="285" t="n"/>
      <c r="D915" s="284" t="n"/>
      <c r="E915" s="285" t="n"/>
      <c r="F915" s="285" t="n"/>
      <c r="G915" s="336" t="n"/>
      <c r="H915" s="336" t="n"/>
      <c r="I915" s="285" t="n"/>
      <c r="J915" s="285" t="n"/>
      <c r="K915" s="285" t="n"/>
      <c r="L915" s="285" t="n"/>
      <c r="M915" s="285" t="n"/>
      <c r="N915" s="285" t="n"/>
      <c r="O915" s="285" t="n"/>
      <c r="P915" s="285" t="n"/>
      <c r="Q915" s="285" t="n"/>
      <c r="R915" s="285" t="n"/>
      <c r="S915" s="284" t="n"/>
      <c r="T915" s="284" t="n"/>
      <c r="U915" s="285" t="n"/>
      <c r="V915" s="285" t="n"/>
      <c r="W915" s="285" t="n"/>
      <c r="X915" s="285" t="n"/>
      <c r="Y915" s="285" t="n"/>
      <c r="Z915" s="285" t="n"/>
      <c r="AA915" s="285" t="n"/>
    </row>
    <row r="916" ht="15.75" customHeight="1" s="398">
      <c r="A916" s="284" t="n"/>
      <c r="B916" s="284" t="n"/>
      <c r="C916" s="285" t="n"/>
      <c r="D916" s="284" t="n"/>
      <c r="E916" s="285" t="n"/>
      <c r="F916" s="285" t="n"/>
      <c r="G916" s="336" t="n"/>
      <c r="H916" s="336" t="n"/>
      <c r="I916" s="285" t="n"/>
      <c r="J916" s="285" t="n"/>
      <c r="K916" s="285" t="n"/>
      <c r="L916" s="285" t="n"/>
      <c r="M916" s="285" t="n"/>
      <c r="N916" s="285" t="n"/>
      <c r="O916" s="285" t="n"/>
      <c r="P916" s="285" t="n"/>
      <c r="Q916" s="285" t="n"/>
      <c r="R916" s="285" t="n"/>
      <c r="S916" s="284" t="n"/>
      <c r="T916" s="284" t="n"/>
      <c r="U916" s="285" t="n"/>
      <c r="V916" s="285" t="n"/>
      <c r="W916" s="285" t="n"/>
      <c r="X916" s="285" t="n"/>
      <c r="Y916" s="285" t="n"/>
      <c r="Z916" s="285" t="n"/>
      <c r="AA916" s="285" t="n"/>
    </row>
    <row r="917" ht="15.75" customHeight="1" s="398">
      <c r="A917" s="284" t="n"/>
      <c r="B917" s="284" t="n"/>
      <c r="C917" s="285" t="n"/>
      <c r="D917" s="284" t="n"/>
      <c r="E917" s="285" t="n"/>
      <c r="F917" s="285" t="n"/>
      <c r="G917" s="336" t="n"/>
      <c r="H917" s="336" t="n"/>
      <c r="I917" s="285" t="n"/>
      <c r="J917" s="285" t="n"/>
      <c r="K917" s="285" t="n"/>
      <c r="L917" s="285" t="n"/>
      <c r="M917" s="285" t="n"/>
      <c r="N917" s="285" t="n"/>
      <c r="O917" s="285" t="n"/>
      <c r="P917" s="285" t="n"/>
      <c r="Q917" s="285" t="n"/>
      <c r="R917" s="285" t="n"/>
      <c r="S917" s="284" t="n"/>
      <c r="T917" s="284" t="n"/>
      <c r="U917" s="285" t="n"/>
      <c r="V917" s="285" t="n"/>
      <c r="W917" s="285" t="n"/>
      <c r="X917" s="285" t="n"/>
      <c r="Y917" s="285" t="n"/>
      <c r="Z917" s="285" t="n"/>
      <c r="AA917" s="285" t="n"/>
    </row>
    <row r="918" ht="15.75" customHeight="1" s="398">
      <c r="A918" s="284" t="n"/>
      <c r="B918" s="284" t="n"/>
      <c r="C918" s="285" t="n"/>
      <c r="D918" s="284" t="n"/>
      <c r="E918" s="285" t="n"/>
      <c r="F918" s="285" t="n"/>
      <c r="G918" s="336" t="n"/>
      <c r="H918" s="336" t="n"/>
      <c r="I918" s="285" t="n"/>
      <c r="J918" s="285" t="n"/>
      <c r="K918" s="285" t="n"/>
      <c r="L918" s="285" t="n"/>
      <c r="M918" s="285" t="n"/>
      <c r="N918" s="285" t="n"/>
      <c r="O918" s="285" t="n"/>
      <c r="P918" s="285" t="n"/>
      <c r="Q918" s="285" t="n"/>
      <c r="R918" s="285" t="n"/>
      <c r="S918" s="284" t="n"/>
      <c r="T918" s="284" t="n"/>
      <c r="U918" s="285" t="n"/>
      <c r="V918" s="285" t="n"/>
      <c r="W918" s="285" t="n"/>
      <c r="X918" s="285" t="n"/>
      <c r="Y918" s="285" t="n"/>
      <c r="Z918" s="285" t="n"/>
      <c r="AA918" s="285" t="n"/>
    </row>
    <row r="919" ht="15.75" customHeight="1" s="398">
      <c r="A919" s="284" t="n"/>
      <c r="B919" s="284" t="n"/>
      <c r="C919" s="285" t="n"/>
      <c r="D919" s="284" t="n"/>
      <c r="E919" s="285" t="n"/>
      <c r="F919" s="285" t="n"/>
      <c r="G919" s="336" t="n"/>
      <c r="H919" s="336" t="n"/>
      <c r="I919" s="285" t="n"/>
      <c r="J919" s="285" t="n"/>
      <c r="K919" s="285" t="n"/>
      <c r="L919" s="285" t="n"/>
      <c r="M919" s="285" t="n"/>
      <c r="N919" s="285" t="n"/>
      <c r="O919" s="285" t="n"/>
      <c r="P919" s="285" t="n"/>
      <c r="Q919" s="285" t="n"/>
      <c r="R919" s="285" t="n"/>
      <c r="S919" s="284" t="n"/>
      <c r="T919" s="284" t="n"/>
      <c r="U919" s="285" t="n"/>
      <c r="V919" s="285" t="n"/>
      <c r="W919" s="285" t="n"/>
      <c r="X919" s="285" t="n"/>
      <c r="Y919" s="285" t="n"/>
      <c r="Z919" s="285" t="n"/>
      <c r="AA919" s="285" t="n"/>
    </row>
    <row r="920" ht="15.75" customHeight="1" s="398">
      <c r="A920" s="284" t="n"/>
      <c r="B920" s="284" t="n"/>
      <c r="C920" s="285" t="n"/>
      <c r="D920" s="284" t="n"/>
      <c r="E920" s="285" t="n"/>
      <c r="F920" s="285" t="n"/>
      <c r="G920" s="336" t="n"/>
      <c r="H920" s="336" t="n"/>
      <c r="I920" s="285" t="n"/>
      <c r="J920" s="285" t="n"/>
      <c r="K920" s="285" t="n"/>
      <c r="L920" s="285" t="n"/>
      <c r="M920" s="285" t="n"/>
      <c r="N920" s="285" t="n"/>
      <c r="O920" s="285" t="n"/>
      <c r="P920" s="285" t="n"/>
      <c r="Q920" s="285" t="n"/>
      <c r="R920" s="285" t="n"/>
      <c r="S920" s="284" t="n"/>
      <c r="T920" s="284" t="n"/>
      <c r="U920" s="285" t="n"/>
      <c r="V920" s="285" t="n"/>
      <c r="W920" s="285" t="n"/>
      <c r="X920" s="285" t="n"/>
      <c r="Y920" s="285" t="n"/>
      <c r="Z920" s="285" t="n"/>
      <c r="AA920" s="285" t="n"/>
    </row>
    <row r="921" ht="15.75" customHeight="1" s="398">
      <c r="A921" s="284" t="n"/>
      <c r="B921" s="284" t="n"/>
      <c r="C921" s="285" t="n"/>
      <c r="D921" s="284" t="n"/>
      <c r="E921" s="285" t="n"/>
      <c r="F921" s="285" t="n"/>
      <c r="G921" s="336" t="n"/>
      <c r="H921" s="336" t="n"/>
      <c r="I921" s="285" t="n"/>
      <c r="J921" s="285" t="n"/>
      <c r="K921" s="285" t="n"/>
      <c r="L921" s="285" t="n"/>
      <c r="M921" s="285" t="n"/>
      <c r="N921" s="285" t="n"/>
      <c r="O921" s="285" t="n"/>
      <c r="P921" s="285" t="n"/>
      <c r="Q921" s="285" t="n"/>
      <c r="R921" s="285" t="n"/>
      <c r="S921" s="284" t="n"/>
      <c r="T921" s="284" t="n"/>
      <c r="U921" s="285" t="n"/>
      <c r="V921" s="285" t="n"/>
      <c r="W921" s="285" t="n"/>
      <c r="X921" s="285" t="n"/>
      <c r="Y921" s="285" t="n"/>
      <c r="Z921" s="285" t="n"/>
      <c r="AA921" s="285" t="n"/>
    </row>
    <row r="922" ht="15.75" customHeight="1" s="398">
      <c r="A922" s="284" t="n"/>
      <c r="B922" s="284" t="n"/>
      <c r="C922" s="285" t="n"/>
      <c r="D922" s="284" t="n"/>
      <c r="E922" s="285" t="n"/>
      <c r="F922" s="285" t="n"/>
      <c r="G922" s="336" t="n"/>
      <c r="H922" s="336" t="n"/>
      <c r="I922" s="285" t="n"/>
      <c r="J922" s="285" t="n"/>
      <c r="K922" s="285" t="n"/>
      <c r="L922" s="285" t="n"/>
      <c r="M922" s="285" t="n"/>
      <c r="N922" s="285" t="n"/>
      <c r="O922" s="285" t="n"/>
      <c r="P922" s="285" t="n"/>
      <c r="Q922" s="285" t="n"/>
      <c r="R922" s="285" t="n"/>
      <c r="S922" s="284" t="n"/>
      <c r="T922" s="284" t="n"/>
      <c r="U922" s="285" t="n"/>
      <c r="V922" s="285" t="n"/>
      <c r="W922" s="285" t="n"/>
      <c r="X922" s="285" t="n"/>
      <c r="Y922" s="285" t="n"/>
      <c r="Z922" s="285" t="n"/>
      <c r="AA922" s="285" t="n"/>
    </row>
    <row r="923" ht="15.75" customHeight="1" s="398">
      <c r="A923" s="284" t="n"/>
      <c r="B923" s="284" t="n"/>
      <c r="C923" s="285" t="n"/>
      <c r="D923" s="284" t="n"/>
      <c r="E923" s="285" t="n"/>
      <c r="F923" s="285" t="n"/>
      <c r="G923" s="336" t="n"/>
      <c r="H923" s="336" t="n"/>
      <c r="I923" s="285" t="n"/>
      <c r="J923" s="285" t="n"/>
      <c r="K923" s="285" t="n"/>
      <c r="L923" s="285" t="n"/>
      <c r="M923" s="285" t="n"/>
      <c r="N923" s="285" t="n"/>
      <c r="O923" s="285" t="n"/>
      <c r="P923" s="285" t="n"/>
      <c r="Q923" s="285" t="n"/>
      <c r="R923" s="285" t="n"/>
      <c r="S923" s="284" t="n"/>
      <c r="T923" s="284" t="n"/>
      <c r="U923" s="285" t="n"/>
      <c r="V923" s="285" t="n"/>
      <c r="W923" s="285" t="n"/>
      <c r="X923" s="285" t="n"/>
      <c r="Y923" s="285" t="n"/>
      <c r="Z923" s="285" t="n"/>
      <c r="AA923" s="285" t="n"/>
    </row>
    <row r="924" ht="15.75" customHeight="1" s="398">
      <c r="A924" s="284" t="n"/>
      <c r="B924" s="284" t="n"/>
      <c r="C924" s="285" t="n"/>
      <c r="D924" s="284" t="n"/>
      <c r="E924" s="285" t="n"/>
      <c r="F924" s="285" t="n"/>
      <c r="G924" s="336" t="n"/>
      <c r="H924" s="336" t="n"/>
      <c r="I924" s="285" t="n"/>
      <c r="J924" s="285" t="n"/>
      <c r="K924" s="285" t="n"/>
      <c r="L924" s="285" t="n"/>
      <c r="M924" s="285" t="n"/>
      <c r="N924" s="285" t="n"/>
      <c r="O924" s="285" t="n"/>
      <c r="P924" s="285" t="n"/>
      <c r="Q924" s="285" t="n"/>
      <c r="R924" s="285" t="n"/>
      <c r="S924" s="284" t="n"/>
      <c r="T924" s="284" t="n"/>
      <c r="U924" s="285" t="n"/>
      <c r="V924" s="285" t="n"/>
      <c r="W924" s="285" t="n"/>
      <c r="X924" s="285" t="n"/>
      <c r="Y924" s="285" t="n"/>
      <c r="Z924" s="285" t="n"/>
      <c r="AA924" s="285" t="n"/>
    </row>
    <row r="925" ht="15.75" customHeight="1" s="398">
      <c r="A925" s="284" t="n"/>
      <c r="B925" s="284" t="n"/>
      <c r="C925" s="285" t="n"/>
      <c r="D925" s="284" t="n"/>
      <c r="E925" s="285" t="n"/>
      <c r="F925" s="285" t="n"/>
      <c r="G925" s="336" t="n"/>
      <c r="H925" s="336" t="n"/>
      <c r="I925" s="285" t="n"/>
      <c r="J925" s="285" t="n"/>
      <c r="K925" s="285" t="n"/>
      <c r="L925" s="285" t="n"/>
      <c r="M925" s="285" t="n"/>
      <c r="N925" s="285" t="n"/>
      <c r="O925" s="285" t="n"/>
      <c r="P925" s="285" t="n"/>
      <c r="Q925" s="285" t="n"/>
      <c r="R925" s="285" t="n"/>
      <c r="S925" s="284" t="n"/>
      <c r="T925" s="284" t="n"/>
      <c r="U925" s="285" t="n"/>
      <c r="V925" s="285" t="n"/>
      <c r="W925" s="285" t="n"/>
      <c r="X925" s="285" t="n"/>
      <c r="Y925" s="285" t="n"/>
      <c r="Z925" s="285" t="n"/>
      <c r="AA925" s="285" t="n"/>
    </row>
    <row r="926" ht="15.75" customHeight="1" s="398">
      <c r="A926" s="284" t="n"/>
      <c r="B926" s="284" t="n"/>
      <c r="C926" s="285" t="n"/>
      <c r="D926" s="284" t="n"/>
      <c r="E926" s="285" t="n"/>
      <c r="F926" s="285" t="n"/>
      <c r="G926" s="336" t="n"/>
      <c r="H926" s="336" t="n"/>
      <c r="I926" s="285" t="n"/>
      <c r="J926" s="285" t="n"/>
      <c r="K926" s="285" t="n"/>
      <c r="L926" s="285" t="n"/>
      <c r="M926" s="285" t="n"/>
      <c r="N926" s="285" t="n"/>
      <c r="O926" s="285" t="n"/>
      <c r="P926" s="285" t="n"/>
      <c r="Q926" s="285" t="n"/>
      <c r="R926" s="285" t="n"/>
      <c r="S926" s="284" t="n"/>
      <c r="T926" s="284" t="n"/>
      <c r="U926" s="285" t="n"/>
      <c r="V926" s="285" t="n"/>
      <c r="W926" s="285" t="n"/>
      <c r="X926" s="285" t="n"/>
      <c r="Y926" s="285" t="n"/>
      <c r="Z926" s="285" t="n"/>
      <c r="AA926" s="285" t="n"/>
    </row>
    <row r="927" ht="15.75" customHeight="1" s="398">
      <c r="A927" s="284" t="n"/>
      <c r="B927" s="284" t="n"/>
      <c r="C927" s="285" t="n"/>
      <c r="D927" s="284" t="n"/>
      <c r="E927" s="285" t="n"/>
      <c r="F927" s="285" t="n"/>
      <c r="G927" s="336" t="n"/>
      <c r="H927" s="336" t="n"/>
      <c r="I927" s="285" t="n"/>
      <c r="J927" s="285" t="n"/>
      <c r="K927" s="285" t="n"/>
      <c r="L927" s="285" t="n"/>
      <c r="M927" s="285" t="n"/>
      <c r="N927" s="285" t="n"/>
      <c r="O927" s="285" t="n"/>
      <c r="P927" s="285" t="n"/>
      <c r="Q927" s="285" t="n"/>
      <c r="R927" s="285" t="n"/>
      <c r="S927" s="284" t="n"/>
      <c r="T927" s="284" t="n"/>
      <c r="U927" s="285" t="n"/>
      <c r="V927" s="285" t="n"/>
      <c r="W927" s="285" t="n"/>
      <c r="X927" s="285" t="n"/>
      <c r="Y927" s="285" t="n"/>
      <c r="Z927" s="285" t="n"/>
      <c r="AA927" s="285" t="n"/>
    </row>
    <row r="928" ht="15.75" customHeight="1" s="398">
      <c r="A928" s="284" t="n"/>
      <c r="B928" s="284" t="n"/>
      <c r="C928" s="285" t="n"/>
      <c r="D928" s="284" t="n"/>
      <c r="E928" s="285" t="n"/>
      <c r="F928" s="285" t="n"/>
      <c r="G928" s="336" t="n"/>
      <c r="H928" s="336" t="n"/>
      <c r="I928" s="285" t="n"/>
      <c r="J928" s="285" t="n"/>
      <c r="K928" s="285" t="n"/>
      <c r="L928" s="285" t="n"/>
      <c r="M928" s="285" t="n"/>
      <c r="N928" s="285" t="n"/>
      <c r="O928" s="285" t="n"/>
      <c r="P928" s="285" t="n"/>
      <c r="Q928" s="285" t="n"/>
      <c r="R928" s="285" t="n"/>
      <c r="S928" s="284" t="n"/>
      <c r="T928" s="284" t="n"/>
      <c r="U928" s="285" t="n"/>
      <c r="V928" s="285" t="n"/>
      <c r="W928" s="285" t="n"/>
      <c r="X928" s="285" t="n"/>
      <c r="Y928" s="285" t="n"/>
      <c r="Z928" s="285" t="n"/>
      <c r="AA928" s="285" t="n"/>
    </row>
    <row r="929" ht="15.75" customHeight="1" s="398">
      <c r="A929" s="284" t="n"/>
      <c r="B929" s="284" t="n"/>
      <c r="C929" s="285" t="n"/>
      <c r="D929" s="284" t="n"/>
      <c r="E929" s="285" t="n"/>
      <c r="F929" s="285" t="n"/>
      <c r="G929" s="336" t="n"/>
      <c r="H929" s="336" t="n"/>
      <c r="I929" s="285" t="n"/>
      <c r="J929" s="285" t="n"/>
      <c r="K929" s="285" t="n"/>
      <c r="L929" s="285" t="n"/>
      <c r="M929" s="285" t="n"/>
      <c r="N929" s="285" t="n"/>
      <c r="O929" s="285" t="n"/>
      <c r="P929" s="285" t="n"/>
      <c r="Q929" s="285" t="n"/>
      <c r="R929" s="285" t="n"/>
      <c r="S929" s="284" t="n"/>
      <c r="T929" s="284" t="n"/>
      <c r="U929" s="285" t="n"/>
      <c r="V929" s="285" t="n"/>
      <c r="W929" s="285" t="n"/>
      <c r="X929" s="285" t="n"/>
      <c r="Y929" s="285" t="n"/>
      <c r="Z929" s="285" t="n"/>
      <c r="AA929" s="285" t="n"/>
    </row>
    <row r="930" ht="15.75" customHeight="1" s="398">
      <c r="A930" s="284" t="n"/>
      <c r="B930" s="284" t="n"/>
      <c r="C930" s="285" t="n"/>
      <c r="D930" s="284" t="n"/>
      <c r="E930" s="285" t="n"/>
      <c r="F930" s="285" t="n"/>
      <c r="G930" s="336" t="n"/>
      <c r="H930" s="336" t="n"/>
      <c r="I930" s="285" t="n"/>
      <c r="J930" s="285" t="n"/>
      <c r="K930" s="285" t="n"/>
      <c r="L930" s="285" t="n"/>
      <c r="M930" s="285" t="n"/>
      <c r="N930" s="285" t="n"/>
      <c r="O930" s="285" t="n"/>
      <c r="P930" s="285" t="n"/>
      <c r="Q930" s="285" t="n"/>
      <c r="R930" s="285" t="n"/>
      <c r="S930" s="284" t="n"/>
      <c r="T930" s="284" t="n"/>
      <c r="U930" s="285" t="n"/>
      <c r="V930" s="285" t="n"/>
      <c r="W930" s="285" t="n"/>
      <c r="X930" s="285" t="n"/>
      <c r="Y930" s="285" t="n"/>
      <c r="Z930" s="285" t="n"/>
      <c r="AA930" s="285" t="n"/>
    </row>
    <row r="931" ht="15.75" customHeight="1" s="398">
      <c r="A931" s="284" t="n"/>
      <c r="B931" s="284" t="n"/>
      <c r="C931" s="285" t="n"/>
      <c r="D931" s="284" t="n"/>
      <c r="E931" s="285" t="n"/>
      <c r="F931" s="285" t="n"/>
      <c r="G931" s="336" t="n"/>
      <c r="H931" s="336" t="n"/>
      <c r="I931" s="285" t="n"/>
      <c r="J931" s="285" t="n"/>
      <c r="K931" s="285" t="n"/>
      <c r="L931" s="285" t="n"/>
      <c r="M931" s="285" t="n"/>
      <c r="N931" s="285" t="n"/>
      <c r="O931" s="285" t="n"/>
      <c r="P931" s="285" t="n"/>
      <c r="Q931" s="285" t="n"/>
      <c r="R931" s="285" t="n"/>
      <c r="S931" s="284" t="n"/>
      <c r="T931" s="284" t="n"/>
      <c r="U931" s="285" t="n"/>
      <c r="V931" s="285" t="n"/>
      <c r="W931" s="285" t="n"/>
      <c r="X931" s="285" t="n"/>
      <c r="Y931" s="285" t="n"/>
      <c r="Z931" s="285" t="n"/>
      <c r="AA931" s="285" t="n"/>
    </row>
    <row r="932" ht="15.75" customHeight="1" s="398">
      <c r="A932" s="284" t="n"/>
      <c r="B932" s="284" t="n"/>
      <c r="C932" s="285" t="n"/>
      <c r="D932" s="284" t="n"/>
      <c r="E932" s="285" t="n"/>
      <c r="F932" s="285" t="n"/>
      <c r="G932" s="336" t="n"/>
      <c r="H932" s="336" t="n"/>
      <c r="I932" s="285" t="n"/>
      <c r="J932" s="285" t="n"/>
      <c r="K932" s="285" t="n"/>
      <c r="L932" s="285" t="n"/>
      <c r="M932" s="285" t="n"/>
      <c r="N932" s="285" t="n"/>
      <c r="O932" s="285" t="n"/>
      <c r="P932" s="285" t="n"/>
      <c r="Q932" s="285" t="n"/>
      <c r="R932" s="285" t="n"/>
      <c r="S932" s="284" t="n"/>
      <c r="T932" s="284" t="n"/>
      <c r="U932" s="285" t="n"/>
      <c r="V932" s="285" t="n"/>
      <c r="W932" s="285" t="n"/>
      <c r="X932" s="285" t="n"/>
      <c r="Y932" s="285" t="n"/>
      <c r="Z932" s="285" t="n"/>
      <c r="AA932" s="285" t="n"/>
    </row>
    <row r="933" ht="15.75" customHeight="1" s="398">
      <c r="A933" s="284" t="n"/>
      <c r="B933" s="284" t="n"/>
      <c r="C933" s="285" t="n"/>
      <c r="D933" s="284" t="n"/>
      <c r="E933" s="285" t="n"/>
      <c r="F933" s="285" t="n"/>
      <c r="G933" s="336" t="n"/>
      <c r="H933" s="336" t="n"/>
      <c r="I933" s="285" t="n"/>
      <c r="J933" s="285" t="n"/>
      <c r="K933" s="285" t="n"/>
      <c r="L933" s="285" t="n"/>
      <c r="M933" s="285" t="n"/>
      <c r="N933" s="285" t="n"/>
      <c r="O933" s="285" t="n"/>
      <c r="P933" s="285" t="n"/>
      <c r="Q933" s="285" t="n"/>
      <c r="R933" s="285" t="n"/>
      <c r="S933" s="284" t="n"/>
      <c r="T933" s="284" t="n"/>
      <c r="U933" s="285" t="n"/>
      <c r="V933" s="285" t="n"/>
      <c r="W933" s="285" t="n"/>
      <c r="X933" s="285" t="n"/>
      <c r="Y933" s="285" t="n"/>
      <c r="Z933" s="285" t="n"/>
      <c r="AA933" s="285" t="n"/>
    </row>
    <row r="934" ht="15.75" customHeight="1" s="398">
      <c r="A934" s="284" t="n"/>
      <c r="B934" s="284" t="n"/>
      <c r="C934" s="285" t="n"/>
      <c r="D934" s="284" t="n"/>
      <c r="E934" s="285" t="n"/>
      <c r="F934" s="285" t="n"/>
      <c r="G934" s="336" t="n"/>
      <c r="H934" s="336" t="n"/>
      <c r="I934" s="285" t="n"/>
      <c r="J934" s="285" t="n"/>
      <c r="K934" s="285" t="n"/>
      <c r="L934" s="285" t="n"/>
      <c r="M934" s="285" t="n"/>
      <c r="N934" s="285" t="n"/>
      <c r="O934" s="285" t="n"/>
      <c r="P934" s="285" t="n"/>
      <c r="Q934" s="285" t="n"/>
      <c r="R934" s="285" t="n"/>
      <c r="S934" s="284" t="n"/>
      <c r="T934" s="284" t="n"/>
      <c r="U934" s="285" t="n"/>
      <c r="V934" s="285" t="n"/>
      <c r="W934" s="285" t="n"/>
      <c r="X934" s="285" t="n"/>
      <c r="Y934" s="285" t="n"/>
      <c r="Z934" s="285" t="n"/>
      <c r="AA934" s="285" t="n"/>
    </row>
    <row r="935" ht="15.75" customHeight="1" s="398">
      <c r="A935" s="284" t="n"/>
      <c r="B935" s="284" t="n"/>
      <c r="C935" s="285" t="n"/>
      <c r="D935" s="284" t="n"/>
      <c r="E935" s="285" t="n"/>
      <c r="F935" s="285" t="n"/>
      <c r="G935" s="336" t="n"/>
      <c r="H935" s="336" t="n"/>
      <c r="I935" s="285" t="n"/>
      <c r="J935" s="285" t="n"/>
      <c r="K935" s="285" t="n"/>
      <c r="L935" s="285" t="n"/>
      <c r="M935" s="285" t="n"/>
      <c r="N935" s="285" t="n"/>
      <c r="O935" s="285" t="n"/>
      <c r="P935" s="285" t="n"/>
      <c r="Q935" s="285" t="n"/>
      <c r="R935" s="285" t="n"/>
      <c r="S935" s="284" t="n"/>
      <c r="T935" s="284" t="n"/>
      <c r="U935" s="285" t="n"/>
      <c r="V935" s="285" t="n"/>
      <c r="W935" s="285" t="n"/>
      <c r="X935" s="285" t="n"/>
      <c r="Y935" s="285" t="n"/>
      <c r="Z935" s="285" t="n"/>
      <c r="AA935" s="285" t="n"/>
    </row>
    <row r="936" ht="15.75" customHeight="1" s="398">
      <c r="A936" s="284" t="n"/>
      <c r="B936" s="284" t="n"/>
      <c r="C936" s="285" t="n"/>
      <c r="D936" s="284" t="n"/>
      <c r="E936" s="285" t="n"/>
      <c r="F936" s="285" t="n"/>
      <c r="G936" s="336" t="n"/>
      <c r="H936" s="336" t="n"/>
      <c r="I936" s="285" t="n"/>
      <c r="J936" s="285" t="n"/>
      <c r="K936" s="285" t="n"/>
      <c r="L936" s="285" t="n"/>
      <c r="M936" s="285" t="n"/>
      <c r="N936" s="285" t="n"/>
      <c r="O936" s="285" t="n"/>
      <c r="P936" s="285" t="n"/>
      <c r="Q936" s="285" t="n"/>
      <c r="R936" s="285" t="n"/>
      <c r="S936" s="284" t="n"/>
      <c r="T936" s="284" t="n"/>
      <c r="U936" s="285" t="n"/>
      <c r="V936" s="285" t="n"/>
      <c r="W936" s="285" t="n"/>
      <c r="X936" s="285" t="n"/>
      <c r="Y936" s="285" t="n"/>
      <c r="Z936" s="285" t="n"/>
      <c r="AA936" s="285" t="n"/>
    </row>
    <row r="937" ht="15.75" customHeight="1" s="398">
      <c r="A937" s="284" t="n"/>
      <c r="B937" s="284" t="n"/>
      <c r="C937" s="285" t="n"/>
      <c r="D937" s="284" t="n"/>
      <c r="E937" s="285" t="n"/>
      <c r="F937" s="285" t="n"/>
      <c r="G937" s="336" t="n"/>
      <c r="H937" s="336" t="n"/>
      <c r="I937" s="285" t="n"/>
      <c r="J937" s="285" t="n"/>
      <c r="K937" s="285" t="n"/>
      <c r="L937" s="285" t="n"/>
      <c r="M937" s="285" t="n"/>
      <c r="N937" s="285" t="n"/>
      <c r="O937" s="285" t="n"/>
      <c r="P937" s="285" t="n"/>
      <c r="Q937" s="285" t="n"/>
      <c r="R937" s="285" t="n"/>
      <c r="S937" s="284" t="n"/>
      <c r="T937" s="284" t="n"/>
      <c r="U937" s="285" t="n"/>
      <c r="V937" s="285" t="n"/>
      <c r="W937" s="285" t="n"/>
      <c r="X937" s="285" t="n"/>
      <c r="Y937" s="285" t="n"/>
      <c r="Z937" s="285" t="n"/>
      <c r="AA937" s="285" t="n"/>
    </row>
    <row r="938" ht="15.75" customHeight="1" s="398">
      <c r="A938" s="284" t="n"/>
      <c r="B938" s="284" t="n"/>
      <c r="C938" s="285" t="n"/>
      <c r="D938" s="284" t="n"/>
      <c r="E938" s="285" t="n"/>
      <c r="F938" s="285" t="n"/>
      <c r="G938" s="336" t="n"/>
      <c r="H938" s="336" t="n"/>
      <c r="I938" s="285" t="n"/>
      <c r="J938" s="285" t="n"/>
      <c r="K938" s="285" t="n"/>
      <c r="L938" s="285" t="n"/>
      <c r="M938" s="285" t="n"/>
      <c r="N938" s="285" t="n"/>
      <c r="O938" s="285" t="n"/>
      <c r="P938" s="285" t="n"/>
      <c r="Q938" s="285" t="n"/>
      <c r="R938" s="285" t="n"/>
      <c r="S938" s="284" t="n"/>
      <c r="T938" s="284" t="n"/>
      <c r="U938" s="285" t="n"/>
      <c r="V938" s="285" t="n"/>
      <c r="W938" s="285" t="n"/>
      <c r="X938" s="285" t="n"/>
      <c r="Y938" s="285" t="n"/>
      <c r="Z938" s="285" t="n"/>
      <c r="AA938" s="285" t="n"/>
    </row>
    <row r="939" ht="15.75" customHeight="1" s="398">
      <c r="A939" s="284" t="n"/>
      <c r="B939" s="284" t="n"/>
      <c r="C939" s="285" t="n"/>
      <c r="D939" s="284" t="n"/>
      <c r="E939" s="285" t="n"/>
      <c r="F939" s="285" t="n"/>
      <c r="G939" s="336" t="n"/>
      <c r="H939" s="336" t="n"/>
      <c r="I939" s="285" t="n"/>
      <c r="J939" s="285" t="n"/>
      <c r="K939" s="285" t="n"/>
      <c r="L939" s="285" t="n"/>
      <c r="M939" s="285" t="n"/>
      <c r="N939" s="285" t="n"/>
      <c r="O939" s="285" t="n"/>
      <c r="P939" s="285" t="n"/>
      <c r="Q939" s="285" t="n"/>
      <c r="R939" s="285" t="n"/>
      <c r="S939" s="284" t="n"/>
      <c r="T939" s="284" t="n"/>
      <c r="U939" s="285" t="n"/>
      <c r="V939" s="285" t="n"/>
      <c r="W939" s="285" t="n"/>
      <c r="X939" s="285" t="n"/>
      <c r="Y939" s="285" t="n"/>
      <c r="Z939" s="285" t="n"/>
      <c r="AA939" s="285" t="n"/>
    </row>
    <row r="940" ht="15.75" customHeight="1" s="398">
      <c r="A940" s="284" t="n"/>
      <c r="B940" s="284" t="n"/>
      <c r="C940" s="285" t="n"/>
      <c r="D940" s="284" t="n"/>
      <c r="E940" s="285" t="n"/>
      <c r="F940" s="285" t="n"/>
      <c r="G940" s="336" t="n"/>
      <c r="H940" s="336" t="n"/>
      <c r="I940" s="285" t="n"/>
      <c r="J940" s="285" t="n"/>
      <c r="K940" s="285" t="n"/>
      <c r="L940" s="285" t="n"/>
      <c r="M940" s="285" t="n"/>
      <c r="N940" s="285" t="n"/>
      <c r="O940" s="285" t="n"/>
      <c r="P940" s="285" t="n"/>
      <c r="Q940" s="285" t="n"/>
      <c r="R940" s="285" t="n"/>
      <c r="S940" s="284" t="n"/>
      <c r="T940" s="284" t="n"/>
      <c r="U940" s="285" t="n"/>
      <c r="V940" s="285" t="n"/>
      <c r="W940" s="285" t="n"/>
      <c r="X940" s="285" t="n"/>
      <c r="Y940" s="285" t="n"/>
      <c r="Z940" s="285" t="n"/>
      <c r="AA940" s="285" t="n"/>
    </row>
    <row r="941" ht="15.75" customHeight="1" s="398">
      <c r="A941" s="284" t="n"/>
      <c r="B941" s="284" t="n"/>
      <c r="C941" s="285" t="n"/>
      <c r="D941" s="284" t="n"/>
      <c r="E941" s="285" t="n"/>
      <c r="F941" s="285" t="n"/>
      <c r="G941" s="336" t="n"/>
      <c r="H941" s="336" t="n"/>
      <c r="I941" s="285" t="n"/>
      <c r="J941" s="285" t="n"/>
      <c r="K941" s="285" t="n"/>
      <c r="L941" s="285" t="n"/>
      <c r="M941" s="285" t="n"/>
      <c r="N941" s="285" t="n"/>
      <c r="O941" s="285" t="n"/>
      <c r="P941" s="285" t="n"/>
      <c r="Q941" s="285" t="n"/>
      <c r="R941" s="285" t="n"/>
      <c r="S941" s="284" t="n"/>
      <c r="T941" s="284" t="n"/>
      <c r="U941" s="285" t="n"/>
      <c r="V941" s="285" t="n"/>
      <c r="W941" s="285" t="n"/>
      <c r="X941" s="285" t="n"/>
      <c r="Y941" s="285" t="n"/>
      <c r="Z941" s="285" t="n"/>
      <c r="AA941" s="285" t="n"/>
    </row>
    <row r="942" ht="15.75" customHeight="1" s="398">
      <c r="A942" s="284" t="n"/>
      <c r="B942" s="284" t="n"/>
      <c r="C942" s="285" t="n"/>
      <c r="D942" s="284" t="n"/>
      <c r="E942" s="285" t="n"/>
      <c r="F942" s="285" t="n"/>
      <c r="G942" s="336" t="n"/>
      <c r="H942" s="336" t="n"/>
      <c r="I942" s="285" t="n"/>
      <c r="J942" s="285" t="n"/>
      <c r="K942" s="285" t="n"/>
      <c r="L942" s="285" t="n"/>
      <c r="M942" s="285" t="n"/>
      <c r="N942" s="285" t="n"/>
      <c r="O942" s="285" t="n"/>
      <c r="P942" s="285" t="n"/>
      <c r="Q942" s="285" t="n"/>
      <c r="R942" s="285" t="n"/>
      <c r="S942" s="284" t="n"/>
      <c r="T942" s="284" t="n"/>
      <c r="U942" s="285" t="n"/>
      <c r="V942" s="285" t="n"/>
      <c r="W942" s="285" t="n"/>
      <c r="X942" s="285" t="n"/>
      <c r="Y942" s="285" t="n"/>
      <c r="Z942" s="285" t="n"/>
      <c r="AA942" s="285" t="n"/>
    </row>
    <row r="943" ht="15.75" customHeight="1" s="398">
      <c r="A943" s="284" t="n"/>
      <c r="B943" s="284" t="n"/>
      <c r="C943" s="285" t="n"/>
      <c r="D943" s="284" t="n"/>
      <c r="E943" s="285" t="n"/>
      <c r="F943" s="285" t="n"/>
      <c r="G943" s="336" t="n"/>
      <c r="H943" s="336" t="n"/>
      <c r="I943" s="285" t="n"/>
      <c r="J943" s="285" t="n"/>
      <c r="K943" s="285" t="n"/>
      <c r="L943" s="285" t="n"/>
      <c r="M943" s="285" t="n"/>
      <c r="N943" s="285" t="n"/>
      <c r="O943" s="285" t="n"/>
      <c r="P943" s="285" t="n"/>
      <c r="Q943" s="285" t="n"/>
      <c r="R943" s="285" t="n"/>
      <c r="S943" s="284" t="n"/>
      <c r="T943" s="284" t="n"/>
      <c r="U943" s="285" t="n"/>
      <c r="V943" s="285" t="n"/>
      <c r="W943" s="285" t="n"/>
      <c r="X943" s="285" t="n"/>
      <c r="Y943" s="285" t="n"/>
      <c r="Z943" s="285" t="n"/>
      <c r="AA943" s="285" t="n"/>
    </row>
    <row r="944" ht="15.75" customHeight="1" s="398">
      <c r="A944" s="284" t="n"/>
      <c r="B944" s="284" t="n"/>
      <c r="C944" s="285" t="n"/>
      <c r="D944" s="284" t="n"/>
      <c r="E944" s="285" t="n"/>
      <c r="F944" s="285" t="n"/>
      <c r="G944" s="336" t="n"/>
      <c r="H944" s="336" t="n"/>
      <c r="I944" s="285" t="n"/>
      <c r="J944" s="285" t="n"/>
      <c r="K944" s="285" t="n"/>
      <c r="L944" s="285" t="n"/>
      <c r="M944" s="285" t="n"/>
      <c r="N944" s="285" t="n"/>
      <c r="O944" s="285" t="n"/>
      <c r="P944" s="285" t="n"/>
      <c r="Q944" s="285" t="n"/>
      <c r="R944" s="285" t="n"/>
      <c r="S944" s="284" t="n"/>
      <c r="T944" s="284" t="n"/>
      <c r="U944" s="285" t="n"/>
      <c r="V944" s="285" t="n"/>
      <c r="W944" s="285" t="n"/>
      <c r="X944" s="285" t="n"/>
      <c r="Y944" s="285" t="n"/>
      <c r="Z944" s="285" t="n"/>
      <c r="AA944" s="285" t="n"/>
    </row>
    <row r="945" ht="15.75" customHeight="1" s="398">
      <c r="A945" s="284" t="n"/>
      <c r="B945" s="284" t="n"/>
      <c r="C945" s="285" t="n"/>
      <c r="D945" s="284" t="n"/>
      <c r="E945" s="285" t="n"/>
      <c r="F945" s="285" t="n"/>
      <c r="G945" s="336" t="n"/>
      <c r="H945" s="336" t="n"/>
      <c r="I945" s="285" t="n"/>
      <c r="J945" s="285" t="n"/>
      <c r="K945" s="285" t="n"/>
      <c r="L945" s="285" t="n"/>
      <c r="M945" s="285" t="n"/>
      <c r="N945" s="285" t="n"/>
      <c r="O945" s="285" t="n"/>
      <c r="P945" s="285" t="n"/>
      <c r="Q945" s="285" t="n"/>
      <c r="R945" s="285" t="n"/>
      <c r="S945" s="284" t="n"/>
      <c r="T945" s="284" t="n"/>
      <c r="U945" s="285" t="n"/>
      <c r="V945" s="285" t="n"/>
      <c r="W945" s="285" t="n"/>
      <c r="X945" s="285" t="n"/>
      <c r="Y945" s="285" t="n"/>
      <c r="Z945" s="285" t="n"/>
      <c r="AA945" s="285" t="n"/>
    </row>
    <row r="946" ht="15.75" customHeight="1" s="398">
      <c r="A946" s="284" t="n"/>
      <c r="B946" s="284" t="n"/>
      <c r="C946" s="285" t="n"/>
      <c r="D946" s="284" t="n"/>
      <c r="E946" s="285" t="n"/>
      <c r="F946" s="285" t="n"/>
      <c r="G946" s="336" t="n"/>
      <c r="H946" s="336" t="n"/>
      <c r="I946" s="285" t="n"/>
      <c r="J946" s="285" t="n"/>
      <c r="K946" s="285" t="n"/>
      <c r="L946" s="285" t="n"/>
      <c r="M946" s="285" t="n"/>
      <c r="N946" s="285" t="n"/>
      <c r="O946" s="285" t="n"/>
      <c r="P946" s="285" t="n"/>
      <c r="Q946" s="285" t="n"/>
      <c r="R946" s="285" t="n"/>
      <c r="S946" s="284" t="n"/>
      <c r="T946" s="284" t="n"/>
      <c r="U946" s="285" t="n"/>
      <c r="V946" s="285" t="n"/>
      <c r="W946" s="285" t="n"/>
      <c r="X946" s="285" t="n"/>
      <c r="Y946" s="285" t="n"/>
      <c r="Z946" s="285" t="n"/>
      <c r="AA946" s="285" t="n"/>
    </row>
    <row r="947" ht="15.75" customHeight="1" s="398">
      <c r="A947" s="284" t="n"/>
      <c r="B947" s="284" t="n"/>
      <c r="C947" s="285" t="n"/>
      <c r="D947" s="284" t="n"/>
      <c r="E947" s="285" t="n"/>
      <c r="F947" s="285" t="n"/>
      <c r="G947" s="336" t="n"/>
      <c r="H947" s="336" t="n"/>
      <c r="I947" s="285" t="n"/>
      <c r="J947" s="285" t="n"/>
      <c r="K947" s="285" t="n"/>
      <c r="L947" s="285" t="n"/>
      <c r="M947" s="285" t="n"/>
      <c r="N947" s="285" t="n"/>
      <c r="O947" s="285" t="n"/>
      <c r="P947" s="285" t="n"/>
      <c r="Q947" s="285" t="n"/>
      <c r="R947" s="285" t="n"/>
      <c r="S947" s="284" t="n"/>
      <c r="T947" s="284" t="n"/>
      <c r="U947" s="285" t="n"/>
      <c r="V947" s="285" t="n"/>
      <c r="W947" s="285" t="n"/>
      <c r="X947" s="285" t="n"/>
      <c r="Y947" s="285" t="n"/>
      <c r="Z947" s="285" t="n"/>
      <c r="AA947" s="285" t="n"/>
    </row>
    <row r="948" ht="15.75" customHeight="1" s="398">
      <c r="A948" s="284" t="n"/>
      <c r="B948" s="284" t="n"/>
      <c r="C948" s="285" t="n"/>
      <c r="D948" s="284" t="n"/>
      <c r="E948" s="285" t="n"/>
      <c r="F948" s="285" t="n"/>
      <c r="G948" s="336" t="n"/>
      <c r="H948" s="336" t="n"/>
      <c r="I948" s="285" t="n"/>
      <c r="J948" s="285" t="n"/>
      <c r="K948" s="285" t="n"/>
      <c r="L948" s="285" t="n"/>
      <c r="M948" s="285" t="n"/>
      <c r="N948" s="285" t="n"/>
      <c r="O948" s="285" t="n"/>
      <c r="P948" s="285" t="n"/>
      <c r="Q948" s="285" t="n"/>
      <c r="R948" s="285" t="n"/>
      <c r="S948" s="284" t="n"/>
      <c r="T948" s="284" t="n"/>
      <c r="U948" s="285" t="n"/>
      <c r="V948" s="285" t="n"/>
      <c r="W948" s="285" t="n"/>
      <c r="X948" s="285" t="n"/>
      <c r="Y948" s="285" t="n"/>
      <c r="Z948" s="285" t="n"/>
      <c r="AA948" s="285" t="n"/>
    </row>
    <row r="949" ht="15.75" customHeight="1" s="398">
      <c r="A949" s="284" t="n"/>
      <c r="B949" s="284" t="n"/>
      <c r="C949" s="285" t="n"/>
      <c r="D949" s="284" t="n"/>
      <c r="E949" s="285" t="n"/>
      <c r="F949" s="285" t="n"/>
      <c r="G949" s="336" t="n"/>
      <c r="H949" s="336" t="n"/>
      <c r="I949" s="285" t="n"/>
      <c r="J949" s="285" t="n"/>
      <c r="K949" s="285" t="n"/>
      <c r="L949" s="285" t="n"/>
      <c r="M949" s="285" t="n"/>
      <c r="N949" s="285" t="n"/>
      <c r="O949" s="285" t="n"/>
      <c r="P949" s="285" t="n"/>
      <c r="Q949" s="285" t="n"/>
      <c r="R949" s="285" t="n"/>
      <c r="S949" s="284" t="n"/>
      <c r="T949" s="284" t="n"/>
      <c r="U949" s="285" t="n"/>
      <c r="V949" s="285" t="n"/>
      <c r="W949" s="285" t="n"/>
      <c r="X949" s="285" t="n"/>
      <c r="Y949" s="285" t="n"/>
      <c r="Z949" s="285" t="n"/>
      <c r="AA949" s="285" t="n"/>
    </row>
    <row r="950" ht="15.75" customHeight="1" s="398">
      <c r="A950" s="284" t="n"/>
      <c r="B950" s="284" t="n"/>
      <c r="C950" s="285" t="n"/>
      <c r="D950" s="284" t="n"/>
      <c r="E950" s="285" t="n"/>
      <c r="F950" s="285" t="n"/>
      <c r="G950" s="336" t="n"/>
      <c r="H950" s="336" t="n"/>
      <c r="I950" s="285" t="n"/>
      <c r="J950" s="285" t="n"/>
      <c r="K950" s="285" t="n"/>
      <c r="L950" s="285" t="n"/>
      <c r="M950" s="285" t="n"/>
      <c r="N950" s="285" t="n"/>
      <c r="O950" s="285" t="n"/>
      <c r="P950" s="285" t="n"/>
      <c r="Q950" s="285" t="n"/>
      <c r="R950" s="285" t="n"/>
      <c r="S950" s="284" t="n"/>
      <c r="T950" s="284" t="n"/>
      <c r="U950" s="285" t="n"/>
      <c r="V950" s="285" t="n"/>
      <c r="W950" s="285" t="n"/>
      <c r="X950" s="285" t="n"/>
      <c r="Y950" s="285" t="n"/>
      <c r="Z950" s="285" t="n"/>
      <c r="AA950" s="285" t="n"/>
    </row>
    <row r="951" ht="15.75" customHeight="1" s="398">
      <c r="A951" s="284" t="n"/>
      <c r="B951" s="284" t="n"/>
      <c r="C951" s="285" t="n"/>
      <c r="D951" s="284" t="n"/>
      <c r="E951" s="285" t="n"/>
      <c r="F951" s="285" t="n"/>
      <c r="G951" s="336" t="n"/>
      <c r="H951" s="336" t="n"/>
      <c r="I951" s="285" t="n"/>
      <c r="J951" s="285" t="n"/>
      <c r="K951" s="285" t="n"/>
      <c r="L951" s="285" t="n"/>
      <c r="M951" s="285" t="n"/>
      <c r="N951" s="285" t="n"/>
      <c r="O951" s="285" t="n"/>
      <c r="P951" s="285" t="n"/>
      <c r="Q951" s="285" t="n"/>
      <c r="R951" s="285" t="n"/>
      <c r="S951" s="284" t="n"/>
      <c r="T951" s="284" t="n"/>
      <c r="U951" s="285" t="n"/>
      <c r="V951" s="285" t="n"/>
      <c r="W951" s="285" t="n"/>
      <c r="X951" s="285" t="n"/>
      <c r="Y951" s="285" t="n"/>
      <c r="Z951" s="285" t="n"/>
      <c r="AA951" s="285" t="n"/>
    </row>
    <row r="952" ht="15.75" customHeight="1" s="398">
      <c r="A952" s="284" t="n"/>
      <c r="B952" s="284" t="n"/>
      <c r="C952" s="285" t="n"/>
      <c r="D952" s="284" t="n"/>
      <c r="E952" s="285" t="n"/>
      <c r="F952" s="285" t="n"/>
      <c r="G952" s="336" t="n"/>
      <c r="H952" s="336" t="n"/>
      <c r="I952" s="285" t="n"/>
      <c r="J952" s="285" t="n"/>
      <c r="K952" s="285" t="n"/>
      <c r="L952" s="285" t="n"/>
      <c r="M952" s="285" t="n"/>
      <c r="N952" s="285" t="n"/>
      <c r="O952" s="285" t="n"/>
      <c r="P952" s="285" t="n"/>
      <c r="Q952" s="285" t="n"/>
      <c r="R952" s="285" t="n"/>
      <c r="S952" s="284" t="n"/>
      <c r="T952" s="284" t="n"/>
      <c r="U952" s="285" t="n"/>
      <c r="V952" s="285" t="n"/>
      <c r="W952" s="285" t="n"/>
      <c r="X952" s="285" t="n"/>
      <c r="Y952" s="285" t="n"/>
      <c r="Z952" s="285" t="n"/>
      <c r="AA952" s="285" t="n"/>
    </row>
    <row r="953" ht="15.75" customHeight="1" s="398">
      <c r="A953" s="284" t="n"/>
      <c r="B953" s="284" t="n"/>
      <c r="C953" s="285" t="n"/>
      <c r="D953" s="284" t="n"/>
      <c r="E953" s="285" t="n"/>
      <c r="F953" s="285" t="n"/>
      <c r="G953" s="336" t="n"/>
      <c r="H953" s="336" t="n"/>
      <c r="I953" s="285" t="n"/>
      <c r="J953" s="285" t="n"/>
      <c r="K953" s="285" t="n"/>
      <c r="L953" s="285" t="n"/>
      <c r="M953" s="285" t="n"/>
      <c r="N953" s="285" t="n"/>
      <c r="O953" s="285" t="n"/>
      <c r="P953" s="285" t="n"/>
      <c r="Q953" s="285" t="n"/>
      <c r="R953" s="285" t="n"/>
      <c r="S953" s="284" t="n"/>
      <c r="T953" s="284" t="n"/>
      <c r="U953" s="285" t="n"/>
      <c r="V953" s="285" t="n"/>
      <c r="W953" s="285" t="n"/>
      <c r="X953" s="285" t="n"/>
      <c r="Y953" s="285" t="n"/>
      <c r="Z953" s="285" t="n"/>
      <c r="AA953" s="285" t="n"/>
    </row>
    <row r="954" ht="15.75" customHeight="1" s="398">
      <c r="A954" s="284" t="n"/>
      <c r="B954" s="284" t="n"/>
      <c r="C954" s="285" t="n"/>
      <c r="D954" s="284" t="n"/>
      <c r="E954" s="285" t="n"/>
      <c r="F954" s="285" t="n"/>
      <c r="G954" s="336" t="n"/>
      <c r="H954" s="336" t="n"/>
      <c r="I954" s="285" t="n"/>
      <c r="J954" s="285" t="n"/>
      <c r="K954" s="285" t="n"/>
      <c r="L954" s="285" t="n"/>
      <c r="M954" s="285" t="n"/>
      <c r="N954" s="285" t="n"/>
      <c r="O954" s="285" t="n"/>
      <c r="P954" s="285" t="n"/>
      <c r="Q954" s="285" t="n"/>
      <c r="R954" s="285" t="n"/>
      <c r="S954" s="284" t="n"/>
      <c r="T954" s="284" t="n"/>
      <c r="U954" s="285" t="n"/>
      <c r="V954" s="285" t="n"/>
      <c r="W954" s="285" t="n"/>
      <c r="X954" s="285" t="n"/>
      <c r="Y954" s="285" t="n"/>
      <c r="Z954" s="285" t="n"/>
      <c r="AA954" s="285" t="n"/>
    </row>
    <row r="955" ht="15.75" customHeight="1" s="398">
      <c r="A955" s="284" t="n"/>
      <c r="B955" s="284" t="n"/>
      <c r="C955" s="285" t="n"/>
      <c r="D955" s="284" t="n"/>
      <c r="E955" s="285" t="n"/>
      <c r="F955" s="285" t="n"/>
      <c r="G955" s="336" t="n"/>
      <c r="H955" s="336" t="n"/>
      <c r="I955" s="285" t="n"/>
      <c r="J955" s="285" t="n"/>
      <c r="K955" s="285" t="n"/>
      <c r="L955" s="285" t="n"/>
      <c r="M955" s="285" t="n"/>
      <c r="N955" s="285" t="n"/>
      <c r="O955" s="285" t="n"/>
      <c r="P955" s="285" t="n"/>
      <c r="Q955" s="285" t="n"/>
      <c r="R955" s="285" t="n"/>
      <c r="S955" s="284" t="n"/>
      <c r="T955" s="284" t="n"/>
      <c r="U955" s="285" t="n"/>
      <c r="V955" s="285" t="n"/>
      <c r="W955" s="285" t="n"/>
      <c r="X955" s="285" t="n"/>
      <c r="Y955" s="285" t="n"/>
      <c r="Z955" s="285" t="n"/>
      <c r="AA955" s="285" t="n"/>
    </row>
    <row r="956" ht="15.75" customHeight="1" s="398">
      <c r="A956" s="284" t="n"/>
      <c r="B956" s="284" t="n"/>
      <c r="C956" s="285" t="n"/>
      <c r="D956" s="284" t="n"/>
      <c r="E956" s="285" t="n"/>
      <c r="F956" s="285" t="n"/>
      <c r="G956" s="336" t="n"/>
      <c r="H956" s="336" t="n"/>
      <c r="I956" s="285" t="n"/>
      <c r="J956" s="285" t="n"/>
      <c r="K956" s="285" t="n"/>
      <c r="L956" s="285" t="n"/>
      <c r="M956" s="285" t="n"/>
      <c r="N956" s="285" t="n"/>
      <c r="O956" s="285" t="n"/>
      <c r="P956" s="285" t="n"/>
      <c r="Q956" s="285" t="n"/>
      <c r="R956" s="285" t="n"/>
      <c r="S956" s="284" t="n"/>
      <c r="T956" s="284" t="n"/>
      <c r="U956" s="285" t="n"/>
      <c r="V956" s="285" t="n"/>
      <c r="W956" s="285" t="n"/>
      <c r="X956" s="285" t="n"/>
      <c r="Y956" s="285" t="n"/>
      <c r="Z956" s="285" t="n"/>
      <c r="AA956" s="285" t="n"/>
    </row>
    <row r="957" ht="15.75" customHeight="1" s="398">
      <c r="A957" s="284" t="n"/>
      <c r="B957" s="284" t="n"/>
      <c r="C957" s="285" t="n"/>
      <c r="D957" s="284" t="n"/>
      <c r="E957" s="285" t="n"/>
      <c r="F957" s="285" t="n"/>
      <c r="G957" s="336" t="n"/>
      <c r="H957" s="336" t="n"/>
      <c r="I957" s="285" t="n"/>
      <c r="J957" s="285" t="n"/>
      <c r="K957" s="285" t="n"/>
      <c r="L957" s="285" t="n"/>
      <c r="M957" s="285" t="n"/>
      <c r="N957" s="285" t="n"/>
      <c r="O957" s="285" t="n"/>
      <c r="P957" s="285" t="n"/>
      <c r="Q957" s="285" t="n"/>
      <c r="R957" s="285" t="n"/>
      <c r="S957" s="284" t="n"/>
      <c r="T957" s="284" t="n"/>
      <c r="U957" s="285" t="n"/>
      <c r="V957" s="285" t="n"/>
      <c r="W957" s="285" t="n"/>
      <c r="X957" s="285" t="n"/>
      <c r="Y957" s="285" t="n"/>
      <c r="Z957" s="285" t="n"/>
      <c r="AA957" s="285" t="n"/>
    </row>
    <row r="958" ht="15.75" customHeight="1" s="398">
      <c r="A958" s="284" t="n"/>
      <c r="B958" s="284" t="n"/>
      <c r="C958" s="285" t="n"/>
      <c r="D958" s="284" t="n"/>
      <c r="E958" s="285" t="n"/>
      <c r="F958" s="285" t="n"/>
      <c r="G958" s="336" t="n"/>
      <c r="H958" s="336" t="n"/>
      <c r="I958" s="285" t="n"/>
      <c r="J958" s="285" t="n"/>
      <c r="K958" s="285" t="n"/>
      <c r="L958" s="285" t="n"/>
      <c r="M958" s="285" t="n"/>
      <c r="N958" s="285" t="n"/>
      <c r="O958" s="285" t="n"/>
      <c r="P958" s="285" t="n"/>
      <c r="Q958" s="285" t="n"/>
      <c r="R958" s="285" t="n"/>
      <c r="S958" s="284" t="n"/>
      <c r="T958" s="284" t="n"/>
      <c r="U958" s="285" t="n"/>
      <c r="V958" s="285" t="n"/>
      <c r="W958" s="285" t="n"/>
      <c r="X958" s="285" t="n"/>
      <c r="Y958" s="285" t="n"/>
      <c r="Z958" s="285" t="n"/>
      <c r="AA958" s="285" t="n"/>
    </row>
    <row r="959" ht="15.75" customHeight="1" s="398">
      <c r="A959" s="284" t="n"/>
      <c r="B959" s="284" t="n"/>
      <c r="C959" s="285" t="n"/>
      <c r="D959" s="284" t="n"/>
      <c r="E959" s="285" t="n"/>
      <c r="F959" s="285" t="n"/>
      <c r="G959" s="336" t="n"/>
      <c r="H959" s="336" t="n"/>
      <c r="I959" s="285" t="n"/>
      <c r="J959" s="285" t="n"/>
      <c r="K959" s="285" t="n"/>
      <c r="L959" s="285" t="n"/>
      <c r="M959" s="285" t="n"/>
      <c r="N959" s="285" t="n"/>
      <c r="O959" s="285" t="n"/>
      <c r="P959" s="285" t="n"/>
      <c r="Q959" s="285" t="n"/>
      <c r="R959" s="285" t="n"/>
      <c r="S959" s="284" t="n"/>
      <c r="T959" s="284" t="n"/>
      <c r="U959" s="285" t="n"/>
      <c r="V959" s="285" t="n"/>
      <c r="W959" s="285" t="n"/>
      <c r="X959" s="285" t="n"/>
      <c r="Y959" s="285" t="n"/>
      <c r="Z959" s="285" t="n"/>
      <c r="AA959" s="285" t="n"/>
    </row>
    <row r="960" ht="15.75" customHeight="1" s="398">
      <c r="A960" s="284" t="n"/>
      <c r="B960" s="284" t="n"/>
      <c r="C960" s="285" t="n"/>
      <c r="D960" s="284" t="n"/>
      <c r="E960" s="285" t="n"/>
      <c r="F960" s="285" t="n"/>
      <c r="G960" s="336" t="n"/>
      <c r="H960" s="336" t="n"/>
      <c r="I960" s="285" t="n"/>
      <c r="J960" s="285" t="n"/>
      <c r="K960" s="285" t="n"/>
      <c r="L960" s="285" t="n"/>
      <c r="M960" s="285" t="n"/>
      <c r="N960" s="285" t="n"/>
      <c r="O960" s="285" t="n"/>
      <c r="P960" s="285" t="n"/>
      <c r="Q960" s="285" t="n"/>
      <c r="R960" s="285" t="n"/>
      <c r="S960" s="284" t="n"/>
      <c r="T960" s="284" t="n"/>
      <c r="U960" s="285" t="n"/>
      <c r="V960" s="285" t="n"/>
      <c r="W960" s="285" t="n"/>
      <c r="X960" s="285" t="n"/>
      <c r="Y960" s="285" t="n"/>
      <c r="Z960" s="285" t="n"/>
      <c r="AA960" s="285" t="n"/>
    </row>
    <row r="961" ht="15.75" customHeight="1" s="398">
      <c r="A961" s="284" t="n"/>
      <c r="B961" s="284" t="n"/>
      <c r="C961" s="285" t="n"/>
      <c r="D961" s="284" t="n"/>
      <c r="E961" s="285" t="n"/>
      <c r="F961" s="285" t="n"/>
      <c r="G961" s="336" t="n"/>
      <c r="H961" s="336" t="n"/>
      <c r="I961" s="285" t="n"/>
      <c r="J961" s="285" t="n"/>
      <c r="K961" s="285" t="n"/>
      <c r="L961" s="285" t="n"/>
      <c r="M961" s="285" t="n"/>
      <c r="N961" s="285" t="n"/>
      <c r="O961" s="285" t="n"/>
      <c r="P961" s="285" t="n"/>
      <c r="Q961" s="285" t="n"/>
      <c r="R961" s="285" t="n"/>
      <c r="S961" s="284" t="n"/>
      <c r="T961" s="284" t="n"/>
      <c r="U961" s="285" t="n"/>
      <c r="V961" s="285" t="n"/>
      <c r="W961" s="285" t="n"/>
      <c r="X961" s="285" t="n"/>
      <c r="Y961" s="285" t="n"/>
      <c r="Z961" s="285" t="n"/>
      <c r="AA961" s="285" t="n"/>
    </row>
    <row r="962" ht="15.75" customHeight="1" s="398">
      <c r="A962" s="284" t="n"/>
      <c r="B962" s="284" t="n"/>
      <c r="C962" s="285" t="n"/>
      <c r="D962" s="284" t="n"/>
      <c r="E962" s="285" t="n"/>
      <c r="F962" s="285" t="n"/>
      <c r="G962" s="336" t="n"/>
      <c r="H962" s="336" t="n"/>
      <c r="I962" s="285" t="n"/>
      <c r="J962" s="285" t="n"/>
      <c r="K962" s="285" t="n"/>
      <c r="L962" s="285" t="n"/>
      <c r="M962" s="285" t="n"/>
      <c r="N962" s="285" t="n"/>
      <c r="O962" s="285" t="n"/>
      <c r="P962" s="285" t="n"/>
      <c r="Q962" s="285" t="n"/>
      <c r="R962" s="285" t="n"/>
      <c r="S962" s="284" t="n"/>
      <c r="T962" s="284" t="n"/>
      <c r="U962" s="285" t="n"/>
      <c r="V962" s="285" t="n"/>
      <c r="W962" s="285" t="n"/>
      <c r="X962" s="285" t="n"/>
      <c r="Y962" s="285" t="n"/>
      <c r="Z962" s="285" t="n"/>
      <c r="AA962" s="285" t="n"/>
    </row>
    <row r="963" ht="15.75" customHeight="1" s="398">
      <c r="A963" s="284" t="n"/>
      <c r="B963" s="284" t="n"/>
      <c r="C963" s="285" t="n"/>
      <c r="D963" s="284" t="n"/>
      <c r="E963" s="285" t="n"/>
      <c r="F963" s="285" t="n"/>
      <c r="G963" s="336" t="n"/>
      <c r="H963" s="336" t="n"/>
      <c r="I963" s="285" t="n"/>
      <c r="J963" s="285" t="n"/>
      <c r="K963" s="285" t="n"/>
      <c r="L963" s="285" t="n"/>
      <c r="M963" s="285" t="n"/>
      <c r="N963" s="285" t="n"/>
      <c r="O963" s="285" t="n"/>
      <c r="P963" s="285" t="n"/>
      <c r="Q963" s="285" t="n"/>
      <c r="R963" s="285" t="n"/>
      <c r="S963" s="284" t="n"/>
      <c r="T963" s="284" t="n"/>
      <c r="U963" s="285" t="n"/>
      <c r="V963" s="285" t="n"/>
      <c r="W963" s="285" t="n"/>
      <c r="X963" s="285" t="n"/>
      <c r="Y963" s="285" t="n"/>
      <c r="Z963" s="285" t="n"/>
      <c r="AA963" s="285" t="n"/>
    </row>
    <row r="964" ht="15.75" customHeight="1" s="398">
      <c r="A964" s="284" t="n"/>
      <c r="B964" s="284" t="n"/>
      <c r="C964" s="285" t="n"/>
      <c r="D964" s="284" t="n"/>
      <c r="E964" s="285" t="n"/>
      <c r="F964" s="285" t="n"/>
      <c r="G964" s="336" t="n"/>
      <c r="H964" s="336" t="n"/>
      <c r="I964" s="285" t="n"/>
      <c r="J964" s="285" t="n"/>
      <c r="K964" s="285" t="n"/>
      <c r="L964" s="285" t="n"/>
      <c r="M964" s="285" t="n"/>
      <c r="N964" s="285" t="n"/>
      <c r="O964" s="285" t="n"/>
      <c r="P964" s="285" t="n"/>
      <c r="Q964" s="285" t="n"/>
      <c r="R964" s="285" t="n"/>
      <c r="S964" s="284" t="n"/>
      <c r="T964" s="284" t="n"/>
      <c r="U964" s="285" t="n"/>
      <c r="V964" s="285" t="n"/>
      <c r="W964" s="285" t="n"/>
      <c r="X964" s="285" t="n"/>
      <c r="Y964" s="285" t="n"/>
      <c r="Z964" s="285" t="n"/>
      <c r="AA964" s="285" t="n"/>
    </row>
    <row r="965" ht="15.75" customHeight="1" s="398">
      <c r="A965" s="284" t="n"/>
      <c r="B965" s="284" t="n"/>
      <c r="C965" s="285" t="n"/>
      <c r="D965" s="284" t="n"/>
      <c r="E965" s="285" t="n"/>
      <c r="F965" s="285" t="n"/>
      <c r="G965" s="336" t="n"/>
      <c r="H965" s="336" t="n"/>
      <c r="I965" s="285" t="n"/>
      <c r="J965" s="285" t="n"/>
      <c r="K965" s="285" t="n"/>
      <c r="L965" s="285" t="n"/>
      <c r="M965" s="285" t="n"/>
      <c r="N965" s="285" t="n"/>
      <c r="O965" s="285" t="n"/>
      <c r="P965" s="285" t="n"/>
      <c r="Q965" s="285" t="n"/>
      <c r="R965" s="285" t="n"/>
      <c r="S965" s="284" t="n"/>
      <c r="T965" s="284" t="n"/>
      <c r="U965" s="285" t="n"/>
      <c r="V965" s="285" t="n"/>
      <c r="W965" s="285" t="n"/>
      <c r="X965" s="285" t="n"/>
      <c r="Y965" s="285" t="n"/>
      <c r="Z965" s="285" t="n"/>
      <c r="AA965" s="285" t="n"/>
    </row>
    <row r="966" ht="15.75" customHeight="1" s="398">
      <c r="A966" s="284" t="n"/>
      <c r="B966" s="284" t="n"/>
      <c r="C966" s="285" t="n"/>
      <c r="D966" s="284" t="n"/>
      <c r="E966" s="285" t="n"/>
      <c r="F966" s="285" t="n"/>
      <c r="G966" s="336" t="n"/>
      <c r="H966" s="336" t="n"/>
      <c r="I966" s="285" t="n"/>
      <c r="J966" s="285" t="n"/>
      <c r="K966" s="285" t="n"/>
      <c r="L966" s="285" t="n"/>
      <c r="M966" s="285" t="n"/>
      <c r="N966" s="285" t="n"/>
      <c r="O966" s="285" t="n"/>
      <c r="P966" s="285" t="n"/>
      <c r="Q966" s="285" t="n"/>
      <c r="R966" s="285" t="n"/>
      <c r="S966" s="284" t="n"/>
      <c r="T966" s="284" t="n"/>
      <c r="U966" s="285" t="n"/>
      <c r="V966" s="285" t="n"/>
      <c r="W966" s="285" t="n"/>
      <c r="X966" s="285" t="n"/>
      <c r="Y966" s="285" t="n"/>
      <c r="Z966" s="285" t="n"/>
      <c r="AA966" s="285" t="n"/>
    </row>
    <row r="967" ht="15.75" customHeight="1" s="398">
      <c r="A967" s="284" t="n"/>
      <c r="B967" s="284" t="n"/>
      <c r="C967" s="285" t="n"/>
      <c r="D967" s="284" t="n"/>
      <c r="E967" s="285" t="n"/>
      <c r="F967" s="285" t="n"/>
      <c r="G967" s="336" t="n"/>
      <c r="H967" s="336" t="n"/>
      <c r="I967" s="285" t="n"/>
      <c r="J967" s="285" t="n"/>
      <c r="K967" s="285" t="n"/>
      <c r="L967" s="285" t="n"/>
      <c r="M967" s="285" t="n"/>
      <c r="N967" s="285" t="n"/>
      <c r="O967" s="285" t="n"/>
      <c r="P967" s="285" t="n"/>
      <c r="Q967" s="285" t="n"/>
      <c r="R967" s="285" t="n"/>
      <c r="S967" s="284" t="n"/>
      <c r="T967" s="284" t="n"/>
      <c r="U967" s="285" t="n"/>
      <c r="V967" s="285" t="n"/>
      <c r="W967" s="285" t="n"/>
      <c r="X967" s="285" t="n"/>
      <c r="Y967" s="285" t="n"/>
      <c r="Z967" s="285" t="n"/>
      <c r="AA967" s="285" t="n"/>
    </row>
    <row r="968" ht="15.75" customHeight="1" s="398">
      <c r="A968" s="284" t="n"/>
      <c r="B968" s="284" t="n"/>
      <c r="C968" s="285" t="n"/>
      <c r="D968" s="284" t="n"/>
      <c r="E968" s="285" t="n"/>
      <c r="F968" s="285" t="n"/>
      <c r="G968" s="336" t="n"/>
      <c r="H968" s="336" t="n"/>
      <c r="I968" s="285" t="n"/>
      <c r="J968" s="285" t="n"/>
      <c r="K968" s="285" t="n"/>
      <c r="L968" s="285" t="n"/>
      <c r="M968" s="285" t="n"/>
      <c r="N968" s="285" t="n"/>
      <c r="O968" s="285" t="n"/>
      <c r="P968" s="285" t="n"/>
      <c r="Q968" s="285" t="n"/>
      <c r="R968" s="285" t="n"/>
      <c r="S968" s="284" t="n"/>
      <c r="T968" s="284" t="n"/>
      <c r="U968" s="285" t="n"/>
      <c r="V968" s="285" t="n"/>
      <c r="W968" s="285" t="n"/>
      <c r="X968" s="285" t="n"/>
      <c r="Y968" s="285" t="n"/>
      <c r="Z968" s="285" t="n"/>
      <c r="AA968" s="285" t="n"/>
    </row>
    <row r="969" ht="15.75" customHeight="1" s="398">
      <c r="A969" s="284" t="n"/>
      <c r="B969" s="284" t="n"/>
      <c r="C969" s="285" t="n"/>
      <c r="D969" s="284" t="n"/>
      <c r="E969" s="285" t="n"/>
      <c r="F969" s="285" t="n"/>
      <c r="G969" s="336" t="n"/>
      <c r="H969" s="336" t="n"/>
      <c r="I969" s="285" t="n"/>
      <c r="J969" s="285" t="n"/>
      <c r="K969" s="285" t="n"/>
      <c r="L969" s="285" t="n"/>
      <c r="M969" s="285" t="n"/>
      <c r="N969" s="285" t="n"/>
      <c r="O969" s="285" t="n"/>
      <c r="P969" s="285" t="n"/>
      <c r="Q969" s="285" t="n"/>
      <c r="R969" s="285" t="n"/>
      <c r="S969" s="284" t="n"/>
      <c r="T969" s="284" t="n"/>
      <c r="U969" s="285" t="n"/>
      <c r="V969" s="285" t="n"/>
      <c r="W969" s="285" t="n"/>
      <c r="X969" s="285" t="n"/>
      <c r="Y969" s="285" t="n"/>
      <c r="Z969" s="285" t="n"/>
      <c r="AA969" s="285" t="n"/>
    </row>
    <row r="970" ht="15.75" customHeight="1" s="398">
      <c r="A970" s="284" t="n"/>
      <c r="B970" s="284" t="n"/>
      <c r="C970" s="285" t="n"/>
      <c r="D970" s="284" t="n"/>
      <c r="E970" s="285" t="n"/>
      <c r="F970" s="285" t="n"/>
      <c r="G970" s="336" t="n"/>
      <c r="H970" s="336" t="n"/>
      <c r="I970" s="285" t="n"/>
      <c r="J970" s="285" t="n"/>
      <c r="K970" s="285" t="n"/>
      <c r="L970" s="285" t="n"/>
      <c r="M970" s="285" t="n"/>
      <c r="N970" s="285" t="n"/>
      <c r="O970" s="285" t="n"/>
      <c r="P970" s="285" t="n"/>
      <c r="Q970" s="285" t="n"/>
      <c r="R970" s="285" t="n"/>
      <c r="S970" s="284" t="n"/>
      <c r="T970" s="284" t="n"/>
      <c r="U970" s="285" t="n"/>
      <c r="V970" s="285" t="n"/>
      <c r="W970" s="285" t="n"/>
      <c r="X970" s="285" t="n"/>
      <c r="Y970" s="285" t="n"/>
      <c r="Z970" s="285" t="n"/>
      <c r="AA970" s="285" t="n"/>
    </row>
    <row r="971" ht="15.75" customHeight="1" s="398">
      <c r="A971" s="284" t="n"/>
      <c r="B971" s="284" t="n"/>
      <c r="C971" s="285" t="n"/>
      <c r="D971" s="284" t="n"/>
      <c r="E971" s="285" t="n"/>
      <c r="F971" s="285" t="n"/>
      <c r="G971" s="336" t="n"/>
      <c r="H971" s="336" t="n"/>
      <c r="I971" s="285" t="n"/>
      <c r="J971" s="285" t="n"/>
      <c r="K971" s="285" t="n"/>
      <c r="L971" s="285" t="n"/>
      <c r="M971" s="285" t="n"/>
      <c r="N971" s="285" t="n"/>
      <c r="O971" s="285" t="n"/>
      <c r="P971" s="285" t="n"/>
      <c r="Q971" s="285" t="n"/>
      <c r="R971" s="285" t="n"/>
      <c r="S971" s="284" t="n"/>
      <c r="T971" s="284" t="n"/>
      <c r="U971" s="285" t="n"/>
      <c r="V971" s="285" t="n"/>
      <c r="W971" s="285" t="n"/>
      <c r="X971" s="285" t="n"/>
      <c r="Y971" s="285" t="n"/>
      <c r="Z971" s="285" t="n"/>
      <c r="AA971" s="285" t="n"/>
    </row>
    <row r="972" ht="15.75" customHeight="1" s="398">
      <c r="A972" s="284" t="n"/>
      <c r="B972" s="284" t="n"/>
      <c r="C972" s="285" t="n"/>
      <c r="D972" s="284" t="n"/>
      <c r="E972" s="285" t="n"/>
      <c r="F972" s="285" t="n"/>
      <c r="G972" s="336" t="n"/>
      <c r="H972" s="336" t="n"/>
      <c r="I972" s="285" t="n"/>
      <c r="J972" s="285" t="n"/>
      <c r="K972" s="285" t="n"/>
      <c r="L972" s="285" t="n"/>
      <c r="M972" s="285" t="n"/>
      <c r="N972" s="285" t="n"/>
      <c r="O972" s="285" t="n"/>
      <c r="P972" s="285" t="n"/>
      <c r="Q972" s="285" t="n"/>
      <c r="R972" s="285" t="n"/>
      <c r="S972" s="284" t="n"/>
      <c r="T972" s="284" t="n"/>
      <c r="U972" s="285" t="n"/>
      <c r="V972" s="285" t="n"/>
      <c r="W972" s="285" t="n"/>
      <c r="X972" s="285" t="n"/>
      <c r="Y972" s="285" t="n"/>
      <c r="Z972" s="285" t="n"/>
      <c r="AA972" s="285" t="n"/>
    </row>
    <row r="973" ht="15.75" customHeight="1" s="398">
      <c r="A973" s="284" t="n"/>
      <c r="B973" s="284" t="n"/>
      <c r="C973" s="285" t="n"/>
      <c r="D973" s="284" t="n"/>
      <c r="E973" s="285" t="n"/>
      <c r="F973" s="285" t="n"/>
      <c r="G973" s="336" t="n"/>
      <c r="H973" s="336" t="n"/>
      <c r="I973" s="285" t="n"/>
      <c r="J973" s="285" t="n"/>
      <c r="K973" s="285" t="n"/>
      <c r="L973" s="285" t="n"/>
      <c r="M973" s="285" t="n"/>
      <c r="N973" s="285" t="n"/>
      <c r="O973" s="285" t="n"/>
      <c r="P973" s="285" t="n"/>
      <c r="Q973" s="285" t="n"/>
      <c r="R973" s="285" t="n"/>
      <c r="S973" s="284" t="n"/>
      <c r="T973" s="284" t="n"/>
      <c r="U973" s="285" t="n"/>
      <c r="V973" s="285" t="n"/>
      <c r="W973" s="285" t="n"/>
      <c r="X973" s="285" t="n"/>
      <c r="Y973" s="285" t="n"/>
      <c r="Z973" s="285" t="n"/>
      <c r="AA973" s="285" t="n"/>
    </row>
    <row r="974" ht="15.75" customHeight="1" s="398">
      <c r="A974" s="284" t="n"/>
      <c r="B974" s="284" t="n"/>
      <c r="C974" s="285" t="n"/>
      <c r="D974" s="284" t="n"/>
      <c r="E974" s="285" t="n"/>
      <c r="F974" s="285" t="n"/>
      <c r="G974" s="336" t="n"/>
      <c r="H974" s="336" t="n"/>
      <c r="I974" s="285" t="n"/>
      <c r="J974" s="285" t="n"/>
      <c r="K974" s="285" t="n"/>
      <c r="L974" s="285" t="n"/>
      <c r="M974" s="285" t="n"/>
      <c r="N974" s="285" t="n"/>
      <c r="O974" s="285" t="n"/>
      <c r="P974" s="285" t="n"/>
      <c r="Q974" s="285" t="n"/>
      <c r="R974" s="285" t="n"/>
      <c r="S974" s="284" t="n"/>
      <c r="T974" s="284" t="n"/>
      <c r="U974" s="285" t="n"/>
      <c r="V974" s="285" t="n"/>
      <c r="W974" s="285" t="n"/>
      <c r="X974" s="285" t="n"/>
      <c r="Y974" s="285" t="n"/>
      <c r="Z974" s="285" t="n"/>
      <c r="AA974" s="285" t="n"/>
    </row>
    <row r="975" ht="15.75" customHeight="1" s="398">
      <c r="A975" s="284" t="n"/>
      <c r="B975" s="284" t="n"/>
      <c r="C975" s="285" t="n"/>
      <c r="D975" s="284" t="n"/>
      <c r="E975" s="285" t="n"/>
      <c r="F975" s="285" t="n"/>
      <c r="G975" s="336" t="n"/>
      <c r="H975" s="336" t="n"/>
      <c r="I975" s="285" t="n"/>
      <c r="J975" s="285" t="n"/>
      <c r="K975" s="285" t="n"/>
      <c r="L975" s="285" t="n"/>
      <c r="M975" s="285" t="n"/>
      <c r="N975" s="285" t="n"/>
      <c r="O975" s="285" t="n"/>
      <c r="P975" s="285" t="n"/>
      <c r="Q975" s="285" t="n"/>
      <c r="R975" s="285" t="n"/>
      <c r="S975" s="284" t="n"/>
      <c r="T975" s="284" t="n"/>
      <c r="U975" s="285" t="n"/>
      <c r="V975" s="285" t="n"/>
      <c r="W975" s="285" t="n"/>
      <c r="X975" s="285" t="n"/>
      <c r="Y975" s="285" t="n"/>
      <c r="Z975" s="285" t="n"/>
      <c r="AA975" s="285" t="n"/>
    </row>
    <row r="976" ht="15.75" customHeight="1" s="398">
      <c r="A976" s="284" t="n"/>
      <c r="B976" s="284" t="n"/>
      <c r="C976" s="285" t="n"/>
      <c r="D976" s="284" t="n"/>
      <c r="E976" s="285" t="n"/>
      <c r="F976" s="285" t="n"/>
      <c r="G976" s="336" t="n"/>
      <c r="H976" s="336" t="n"/>
      <c r="I976" s="285" t="n"/>
      <c r="J976" s="285" t="n"/>
      <c r="K976" s="285" t="n"/>
      <c r="L976" s="285" t="n"/>
      <c r="M976" s="285" t="n"/>
      <c r="N976" s="285" t="n"/>
      <c r="O976" s="285" t="n"/>
      <c r="P976" s="285" t="n"/>
      <c r="Q976" s="285" t="n"/>
      <c r="R976" s="285" t="n"/>
      <c r="S976" s="284" t="n"/>
      <c r="T976" s="284" t="n"/>
      <c r="U976" s="285" t="n"/>
      <c r="V976" s="285" t="n"/>
      <c r="W976" s="285" t="n"/>
      <c r="X976" s="285" t="n"/>
      <c r="Y976" s="285" t="n"/>
      <c r="Z976" s="285" t="n"/>
      <c r="AA976" s="285" t="n"/>
    </row>
    <row r="977" ht="15.75" customHeight="1" s="398">
      <c r="A977" s="284" t="n"/>
      <c r="B977" s="284" t="n"/>
      <c r="C977" s="285" t="n"/>
      <c r="D977" s="284" t="n"/>
      <c r="E977" s="285" t="n"/>
      <c r="F977" s="285" t="n"/>
      <c r="G977" s="336" t="n"/>
      <c r="H977" s="336" t="n"/>
      <c r="I977" s="285" t="n"/>
      <c r="J977" s="285" t="n"/>
      <c r="K977" s="285" t="n"/>
      <c r="L977" s="285" t="n"/>
      <c r="M977" s="285" t="n"/>
      <c r="N977" s="285" t="n"/>
      <c r="O977" s="285" t="n"/>
      <c r="P977" s="285" t="n"/>
      <c r="Q977" s="285" t="n"/>
      <c r="R977" s="285" t="n"/>
      <c r="S977" s="284" t="n"/>
      <c r="T977" s="284" t="n"/>
      <c r="U977" s="285" t="n"/>
      <c r="V977" s="285" t="n"/>
      <c r="W977" s="285" t="n"/>
      <c r="X977" s="285" t="n"/>
      <c r="Y977" s="285" t="n"/>
      <c r="Z977" s="285" t="n"/>
      <c r="AA977" s="285" t="n"/>
    </row>
    <row r="978" ht="15.75" customHeight="1" s="398">
      <c r="A978" s="284" t="n"/>
      <c r="B978" s="284" t="n"/>
      <c r="C978" s="285" t="n"/>
      <c r="D978" s="284" t="n"/>
      <c r="E978" s="285" t="n"/>
      <c r="F978" s="285" t="n"/>
      <c r="G978" s="336" t="n"/>
      <c r="H978" s="336" t="n"/>
      <c r="I978" s="285" t="n"/>
      <c r="J978" s="285" t="n"/>
      <c r="K978" s="285" t="n"/>
      <c r="L978" s="285" t="n"/>
      <c r="M978" s="285" t="n"/>
      <c r="N978" s="285" t="n"/>
      <c r="O978" s="285" t="n"/>
      <c r="P978" s="285" t="n"/>
      <c r="Q978" s="285" t="n"/>
      <c r="R978" s="285" t="n"/>
      <c r="S978" s="284" t="n"/>
      <c r="T978" s="284" t="n"/>
      <c r="U978" s="285" t="n"/>
      <c r="V978" s="285" t="n"/>
      <c r="W978" s="285" t="n"/>
      <c r="X978" s="285" t="n"/>
      <c r="Y978" s="285" t="n"/>
      <c r="Z978" s="285" t="n"/>
      <c r="AA978" s="285" t="n"/>
    </row>
    <row r="979" ht="15.75" customHeight="1" s="398">
      <c r="A979" s="284" t="n"/>
      <c r="B979" s="284" t="n"/>
      <c r="C979" s="285" t="n"/>
      <c r="D979" s="284" t="n"/>
      <c r="E979" s="285" t="n"/>
      <c r="F979" s="285" t="n"/>
      <c r="G979" s="336" t="n"/>
      <c r="H979" s="336" t="n"/>
      <c r="I979" s="285" t="n"/>
      <c r="J979" s="285" t="n"/>
      <c r="K979" s="285" t="n"/>
      <c r="L979" s="285" t="n"/>
      <c r="M979" s="285" t="n"/>
      <c r="N979" s="285" t="n"/>
      <c r="O979" s="285" t="n"/>
      <c r="P979" s="285" t="n"/>
      <c r="Q979" s="285" t="n"/>
      <c r="R979" s="285" t="n"/>
      <c r="S979" s="284" t="n"/>
      <c r="T979" s="284" t="n"/>
      <c r="U979" s="285" t="n"/>
      <c r="V979" s="285" t="n"/>
      <c r="W979" s="285" t="n"/>
      <c r="X979" s="285" t="n"/>
      <c r="Y979" s="285" t="n"/>
      <c r="Z979" s="285" t="n"/>
      <c r="AA979" s="285" t="n"/>
    </row>
    <row r="980" ht="15.75" customHeight="1" s="398">
      <c r="A980" s="284" t="n"/>
      <c r="B980" s="284" t="n"/>
      <c r="C980" s="285" t="n"/>
      <c r="D980" s="284" t="n"/>
      <c r="E980" s="285" t="n"/>
      <c r="F980" s="285" t="n"/>
      <c r="G980" s="336" t="n"/>
      <c r="H980" s="336" t="n"/>
      <c r="I980" s="285" t="n"/>
      <c r="J980" s="285" t="n"/>
      <c r="K980" s="285" t="n"/>
      <c r="L980" s="285" t="n"/>
      <c r="M980" s="285" t="n"/>
      <c r="N980" s="285" t="n"/>
      <c r="O980" s="285" t="n"/>
      <c r="P980" s="285" t="n"/>
      <c r="Q980" s="285" t="n"/>
      <c r="R980" s="285" t="n"/>
      <c r="S980" s="284" t="n"/>
      <c r="T980" s="284" t="n"/>
      <c r="U980" s="285" t="n"/>
      <c r="V980" s="285" t="n"/>
      <c r="W980" s="285" t="n"/>
      <c r="X980" s="285" t="n"/>
      <c r="Y980" s="285" t="n"/>
      <c r="Z980" s="285" t="n"/>
      <c r="AA980" s="285" t="n"/>
    </row>
    <row r="981" ht="15.75" customHeight="1" s="398">
      <c r="A981" s="284" t="n"/>
      <c r="B981" s="284" t="n"/>
      <c r="C981" s="285" t="n"/>
      <c r="D981" s="284" t="n"/>
      <c r="E981" s="285" t="n"/>
      <c r="F981" s="285" t="n"/>
      <c r="G981" s="336" t="n"/>
      <c r="H981" s="336" t="n"/>
      <c r="I981" s="285" t="n"/>
      <c r="J981" s="285" t="n"/>
      <c r="K981" s="285" t="n"/>
      <c r="L981" s="285" t="n"/>
      <c r="M981" s="285" t="n"/>
      <c r="N981" s="285" t="n"/>
      <c r="O981" s="285" t="n"/>
      <c r="P981" s="285" t="n"/>
      <c r="Q981" s="285" t="n"/>
      <c r="R981" s="285" t="n"/>
      <c r="S981" s="284" t="n"/>
      <c r="T981" s="284" t="n"/>
      <c r="U981" s="285" t="n"/>
      <c r="V981" s="285" t="n"/>
      <c r="W981" s="285" t="n"/>
      <c r="X981" s="285" t="n"/>
      <c r="Y981" s="285" t="n"/>
      <c r="Z981" s="285" t="n"/>
      <c r="AA981" s="285" t="n"/>
    </row>
    <row r="982" ht="15.75" customHeight="1" s="398">
      <c r="A982" s="284" t="n"/>
      <c r="B982" s="284" t="n"/>
      <c r="C982" s="285" t="n"/>
      <c r="D982" s="284" t="n"/>
      <c r="E982" s="285" t="n"/>
      <c r="F982" s="285" t="n"/>
      <c r="G982" s="336" t="n"/>
      <c r="H982" s="336" t="n"/>
      <c r="I982" s="285" t="n"/>
      <c r="J982" s="285" t="n"/>
      <c r="K982" s="285" t="n"/>
      <c r="L982" s="285" t="n"/>
      <c r="M982" s="285" t="n"/>
      <c r="N982" s="285" t="n"/>
      <c r="O982" s="285" t="n"/>
      <c r="P982" s="285" t="n"/>
      <c r="Q982" s="285" t="n"/>
      <c r="R982" s="285" t="n"/>
      <c r="S982" s="284" t="n"/>
      <c r="T982" s="284" t="n"/>
      <c r="U982" s="285" t="n"/>
      <c r="V982" s="285" t="n"/>
      <c r="W982" s="285" t="n"/>
      <c r="X982" s="285" t="n"/>
      <c r="Y982" s="285" t="n"/>
      <c r="Z982" s="285" t="n"/>
      <c r="AA982" s="285" t="n"/>
    </row>
    <row r="983" ht="15.75" customHeight="1" s="398">
      <c r="A983" s="284" t="n"/>
      <c r="B983" s="284" t="n"/>
      <c r="C983" s="285" t="n"/>
      <c r="D983" s="284" t="n"/>
      <c r="E983" s="285" t="n"/>
      <c r="F983" s="285" t="n"/>
      <c r="G983" s="336" t="n"/>
      <c r="H983" s="336" t="n"/>
      <c r="I983" s="285" t="n"/>
      <c r="J983" s="285" t="n"/>
      <c r="K983" s="285" t="n"/>
      <c r="L983" s="285" t="n"/>
      <c r="M983" s="285" t="n"/>
      <c r="N983" s="285" t="n"/>
      <c r="O983" s="285" t="n"/>
      <c r="P983" s="285" t="n"/>
      <c r="Q983" s="285" t="n"/>
      <c r="R983" s="285" t="n"/>
      <c r="S983" s="284" t="n"/>
      <c r="T983" s="284" t="n"/>
      <c r="U983" s="285" t="n"/>
      <c r="V983" s="285" t="n"/>
      <c r="W983" s="285" t="n"/>
      <c r="X983" s="285" t="n"/>
      <c r="Y983" s="285" t="n"/>
      <c r="Z983" s="285" t="n"/>
      <c r="AA983" s="285" t="n"/>
    </row>
    <row r="984" ht="15.75" customHeight="1" s="398">
      <c r="A984" s="284" t="n"/>
      <c r="B984" s="284" t="n"/>
      <c r="C984" s="285" t="n"/>
      <c r="D984" s="284" t="n"/>
      <c r="E984" s="285" t="n"/>
      <c r="F984" s="285" t="n"/>
      <c r="G984" s="336" t="n"/>
      <c r="H984" s="336" t="n"/>
      <c r="I984" s="285" t="n"/>
      <c r="J984" s="285" t="n"/>
      <c r="K984" s="285" t="n"/>
      <c r="L984" s="285" t="n"/>
      <c r="M984" s="285" t="n"/>
      <c r="N984" s="285" t="n"/>
      <c r="O984" s="285" t="n"/>
      <c r="P984" s="285" t="n"/>
      <c r="Q984" s="285" t="n"/>
      <c r="R984" s="285" t="n"/>
      <c r="S984" s="284" t="n"/>
      <c r="T984" s="284" t="n"/>
      <c r="U984" s="285" t="n"/>
      <c r="V984" s="285" t="n"/>
      <c r="W984" s="285" t="n"/>
      <c r="X984" s="285" t="n"/>
      <c r="Y984" s="285" t="n"/>
      <c r="Z984" s="285" t="n"/>
      <c r="AA984" s="285" t="n"/>
    </row>
    <row r="985" ht="15.75" customHeight="1" s="398">
      <c r="A985" s="284" t="n"/>
      <c r="B985" s="284" t="n"/>
      <c r="C985" s="285" t="n"/>
      <c r="D985" s="284" t="n"/>
      <c r="E985" s="285" t="n"/>
      <c r="F985" s="285" t="n"/>
      <c r="G985" s="336" t="n"/>
      <c r="H985" s="336" t="n"/>
      <c r="I985" s="285" t="n"/>
      <c r="J985" s="285" t="n"/>
      <c r="K985" s="285" t="n"/>
      <c r="L985" s="285" t="n"/>
      <c r="M985" s="285" t="n"/>
      <c r="N985" s="285" t="n"/>
      <c r="O985" s="285" t="n"/>
      <c r="P985" s="285" t="n"/>
      <c r="Q985" s="285" t="n"/>
      <c r="R985" s="285" t="n"/>
      <c r="S985" s="284" t="n"/>
      <c r="T985" s="284" t="n"/>
      <c r="U985" s="285" t="n"/>
      <c r="V985" s="285" t="n"/>
      <c r="W985" s="285" t="n"/>
      <c r="X985" s="285" t="n"/>
      <c r="Y985" s="285" t="n"/>
      <c r="Z985" s="285" t="n"/>
      <c r="AA985" s="285" t="n"/>
    </row>
    <row r="986" ht="15.75" customHeight="1" s="398">
      <c r="A986" s="284" t="n"/>
      <c r="B986" s="284" t="n"/>
      <c r="C986" s="285" t="n"/>
      <c r="D986" s="284" t="n"/>
      <c r="E986" s="285" t="n"/>
      <c r="F986" s="285" t="n"/>
      <c r="G986" s="336" t="n"/>
      <c r="H986" s="336" t="n"/>
      <c r="I986" s="285" t="n"/>
      <c r="J986" s="285" t="n"/>
      <c r="K986" s="285" t="n"/>
      <c r="L986" s="285" t="n"/>
      <c r="M986" s="285" t="n"/>
      <c r="N986" s="285" t="n"/>
      <c r="O986" s="285" t="n"/>
      <c r="P986" s="285" t="n"/>
      <c r="Q986" s="285" t="n"/>
      <c r="R986" s="285" t="n"/>
      <c r="S986" s="284" t="n"/>
      <c r="T986" s="284" t="n"/>
      <c r="U986" s="285" t="n"/>
      <c r="V986" s="285" t="n"/>
      <c r="W986" s="285" t="n"/>
      <c r="X986" s="285" t="n"/>
      <c r="Y986" s="285" t="n"/>
      <c r="Z986" s="285" t="n"/>
      <c r="AA986" s="285" t="n"/>
    </row>
    <row r="987" ht="15.75" customHeight="1" s="398">
      <c r="A987" s="284" t="n"/>
      <c r="B987" s="284" t="n"/>
      <c r="C987" s="285" t="n"/>
      <c r="D987" s="284" t="n"/>
      <c r="E987" s="285" t="n"/>
      <c r="F987" s="285" t="n"/>
      <c r="G987" s="336" t="n"/>
      <c r="H987" s="336" t="n"/>
      <c r="I987" s="285" t="n"/>
      <c r="J987" s="285" t="n"/>
      <c r="K987" s="285" t="n"/>
      <c r="L987" s="285" t="n"/>
      <c r="M987" s="285" t="n"/>
      <c r="N987" s="285" t="n"/>
      <c r="O987" s="285" t="n"/>
      <c r="P987" s="285" t="n"/>
      <c r="Q987" s="285" t="n"/>
      <c r="R987" s="285" t="n"/>
      <c r="S987" s="284" t="n"/>
      <c r="T987" s="284" t="n"/>
      <c r="U987" s="285" t="n"/>
      <c r="V987" s="285" t="n"/>
      <c r="W987" s="285" t="n"/>
      <c r="X987" s="285" t="n"/>
      <c r="Y987" s="285" t="n"/>
      <c r="Z987" s="285" t="n"/>
      <c r="AA987" s="285" t="n"/>
    </row>
    <row r="988" ht="15.75" customHeight="1" s="398">
      <c r="A988" s="284" t="n"/>
      <c r="B988" s="284" t="n"/>
      <c r="C988" s="285" t="n"/>
      <c r="D988" s="284" t="n"/>
      <c r="E988" s="285" t="n"/>
      <c r="F988" s="285" t="n"/>
      <c r="G988" s="336" t="n"/>
      <c r="H988" s="336" t="n"/>
      <c r="I988" s="285" t="n"/>
      <c r="J988" s="285" t="n"/>
      <c r="K988" s="285" t="n"/>
      <c r="L988" s="285" t="n"/>
      <c r="M988" s="285" t="n"/>
      <c r="N988" s="285" t="n"/>
      <c r="O988" s="285" t="n"/>
      <c r="P988" s="285" t="n"/>
      <c r="Q988" s="285" t="n"/>
      <c r="R988" s="285" t="n"/>
      <c r="S988" s="284" t="n"/>
      <c r="T988" s="284" t="n"/>
      <c r="U988" s="285" t="n"/>
      <c r="V988" s="285" t="n"/>
      <c r="W988" s="285" t="n"/>
      <c r="X988" s="285" t="n"/>
      <c r="Y988" s="285" t="n"/>
      <c r="Z988" s="285" t="n"/>
      <c r="AA988" s="285" t="n"/>
    </row>
    <row r="989" ht="15.75" customHeight="1" s="398">
      <c r="A989" s="284" t="n"/>
      <c r="B989" s="284" t="n"/>
      <c r="C989" s="285" t="n"/>
      <c r="D989" s="284" t="n"/>
      <c r="E989" s="285" t="n"/>
      <c r="F989" s="285" t="n"/>
      <c r="G989" s="336" t="n"/>
      <c r="H989" s="336" t="n"/>
      <c r="I989" s="285" t="n"/>
      <c r="J989" s="285" t="n"/>
      <c r="K989" s="285" t="n"/>
      <c r="L989" s="285" t="n"/>
      <c r="M989" s="285" t="n"/>
      <c r="N989" s="285" t="n"/>
      <c r="O989" s="285" t="n"/>
      <c r="P989" s="285" t="n"/>
      <c r="Q989" s="285" t="n"/>
      <c r="R989" s="285" t="n"/>
      <c r="S989" s="284" t="n"/>
      <c r="T989" s="284" t="n"/>
      <c r="U989" s="285" t="n"/>
      <c r="V989" s="285" t="n"/>
      <c r="W989" s="285" t="n"/>
      <c r="X989" s="285" t="n"/>
      <c r="Y989" s="285" t="n"/>
      <c r="Z989" s="285" t="n"/>
      <c r="AA989" s="285" t="n"/>
    </row>
    <row r="990" ht="15.75" customHeight="1" s="398">
      <c r="A990" s="284" t="n"/>
      <c r="B990" s="284" t="n"/>
      <c r="C990" s="285" t="n"/>
      <c r="D990" s="284" t="n"/>
      <c r="E990" s="285" t="n"/>
      <c r="F990" s="285" t="n"/>
      <c r="G990" s="336" t="n"/>
      <c r="H990" s="336" t="n"/>
      <c r="I990" s="285" t="n"/>
      <c r="J990" s="285" t="n"/>
      <c r="K990" s="285" t="n"/>
      <c r="L990" s="285" t="n"/>
      <c r="M990" s="285" t="n"/>
      <c r="N990" s="285" t="n"/>
      <c r="O990" s="285" t="n"/>
      <c r="P990" s="285" t="n"/>
      <c r="Q990" s="285" t="n"/>
      <c r="R990" s="285" t="n"/>
      <c r="S990" s="284" t="n"/>
      <c r="T990" s="284" t="n"/>
      <c r="U990" s="285" t="n"/>
      <c r="V990" s="285" t="n"/>
      <c r="W990" s="285" t="n"/>
      <c r="X990" s="285" t="n"/>
      <c r="Y990" s="285" t="n"/>
      <c r="Z990" s="285" t="n"/>
      <c r="AA990" s="285" t="n"/>
    </row>
    <row r="991" ht="15.75" customHeight="1" s="398">
      <c r="A991" s="284" t="n"/>
      <c r="B991" s="284" t="n"/>
      <c r="C991" s="285" t="n"/>
      <c r="D991" s="284" t="n"/>
      <c r="E991" s="285" t="n"/>
      <c r="F991" s="285" t="n"/>
      <c r="G991" s="336" t="n"/>
      <c r="H991" s="336" t="n"/>
      <c r="I991" s="285" t="n"/>
      <c r="J991" s="285" t="n"/>
      <c r="K991" s="285" t="n"/>
      <c r="L991" s="285" t="n"/>
      <c r="M991" s="285" t="n"/>
      <c r="N991" s="285" t="n"/>
      <c r="O991" s="285" t="n"/>
      <c r="P991" s="285" t="n"/>
      <c r="Q991" s="285" t="n"/>
      <c r="R991" s="285" t="n"/>
      <c r="S991" s="284" t="n"/>
      <c r="T991" s="284" t="n"/>
      <c r="U991" s="285" t="n"/>
      <c r="V991" s="285" t="n"/>
      <c r="W991" s="285" t="n"/>
      <c r="X991" s="285" t="n"/>
      <c r="Y991" s="285" t="n"/>
      <c r="Z991" s="285" t="n"/>
      <c r="AA991" s="285" t="n"/>
    </row>
    <row r="992" ht="15.75" customHeight="1" s="398">
      <c r="A992" s="284" t="n"/>
      <c r="B992" s="284" t="n"/>
      <c r="C992" s="285" t="n"/>
      <c r="D992" s="284" t="n"/>
      <c r="E992" s="285" t="n"/>
      <c r="F992" s="285" t="n"/>
      <c r="G992" s="336" t="n"/>
      <c r="H992" s="336" t="n"/>
      <c r="I992" s="285" t="n"/>
      <c r="J992" s="285" t="n"/>
      <c r="K992" s="285" t="n"/>
      <c r="L992" s="285" t="n"/>
      <c r="M992" s="285" t="n"/>
      <c r="N992" s="285" t="n"/>
      <c r="O992" s="285" t="n"/>
      <c r="P992" s="285" t="n"/>
      <c r="Q992" s="285" t="n"/>
      <c r="R992" s="285" t="n"/>
      <c r="S992" s="284" t="n"/>
      <c r="T992" s="284" t="n"/>
      <c r="U992" s="285" t="n"/>
      <c r="V992" s="285" t="n"/>
      <c r="W992" s="285" t="n"/>
      <c r="X992" s="285" t="n"/>
      <c r="Y992" s="285" t="n"/>
      <c r="Z992" s="285" t="n"/>
      <c r="AA992" s="285" t="n"/>
    </row>
    <row r="993" ht="15.75" customHeight="1" s="398">
      <c r="A993" s="284" t="n"/>
      <c r="B993" s="284" t="n"/>
      <c r="C993" s="285" t="n"/>
      <c r="D993" s="284" t="n"/>
      <c r="E993" s="285" t="n"/>
      <c r="F993" s="285" t="n"/>
      <c r="G993" s="336" t="n"/>
      <c r="H993" s="336" t="n"/>
      <c r="I993" s="285" t="n"/>
      <c r="J993" s="285" t="n"/>
      <c r="K993" s="285" t="n"/>
      <c r="L993" s="285" t="n"/>
      <c r="M993" s="285" t="n"/>
      <c r="N993" s="285" t="n"/>
      <c r="O993" s="285" t="n"/>
      <c r="P993" s="285" t="n"/>
      <c r="Q993" s="285" t="n"/>
      <c r="R993" s="285" t="n"/>
      <c r="S993" s="284" t="n"/>
      <c r="T993" s="284" t="n"/>
      <c r="U993" s="285" t="n"/>
      <c r="V993" s="285" t="n"/>
      <c r="W993" s="285" t="n"/>
      <c r="X993" s="285" t="n"/>
      <c r="Y993" s="285" t="n"/>
      <c r="Z993" s="285" t="n"/>
      <c r="AA993" s="285" t="n"/>
    </row>
    <row r="994" ht="15.75" customHeight="1" s="398">
      <c r="A994" s="284" t="n"/>
      <c r="B994" s="284" t="n"/>
      <c r="C994" s="285" t="n"/>
      <c r="D994" s="284" t="n"/>
      <c r="E994" s="285" t="n"/>
      <c r="F994" s="285" t="n"/>
      <c r="G994" s="336" t="n"/>
      <c r="H994" s="336" t="n"/>
      <c r="I994" s="285" t="n"/>
      <c r="J994" s="285" t="n"/>
      <c r="K994" s="285" t="n"/>
      <c r="L994" s="285" t="n"/>
      <c r="M994" s="285" t="n"/>
      <c r="N994" s="285" t="n"/>
      <c r="O994" s="285" t="n"/>
      <c r="P994" s="285" t="n"/>
      <c r="Q994" s="285" t="n"/>
      <c r="R994" s="285" t="n"/>
      <c r="S994" s="284" t="n"/>
      <c r="T994" s="284" t="n"/>
      <c r="U994" s="285" t="n"/>
      <c r="V994" s="285" t="n"/>
      <c r="W994" s="285" t="n"/>
      <c r="X994" s="285" t="n"/>
      <c r="Y994" s="285" t="n"/>
      <c r="Z994" s="285" t="n"/>
      <c r="AA994" s="285" t="n"/>
    </row>
    <row r="995" ht="15.75" customHeight="1" s="398">
      <c r="A995" s="284" t="n"/>
      <c r="B995" s="284" t="n"/>
      <c r="C995" s="285" t="n"/>
      <c r="D995" s="284" t="n"/>
      <c r="E995" s="285" t="n"/>
      <c r="F995" s="285" t="n"/>
      <c r="G995" s="336" t="n"/>
      <c r="H995" s="336" t="n"/>
      <c r="I995" s="285" t="n"/>
      <c r="J995" s="285" t="n"/>
      <c r="K995" s="285" t="n"/>
      <c r="L995" s="285" t="n"/>
      <c r="M995" s="285" t="n"/>
      <c r="N995" s="285" t="n"/>
      <c r="O995" s="285" t="n"/>
      <c r="P995" s="285" t="n"/>
      <c r="Q995" s="285" t="n"/>
      <c r="R995" s="285" t="n"/>
      <c r="S995" s="284" t="n"/>
      <c r="T995" s="284" t="n"/>
      <c r="U995" s="285" t="n"/>
      <c r="V995" s="285" t="n"/>
      <c r="W995" s="285" t="n"/>
      <c r="X995" s="285" t="n"/>
      <c r="Y995" s="285" t="n"/>
      <c r="Z995" s="285" t="n"/>
      <c r="AA995" s="285" t="n"/>
    </row>
    <row r="996" ht="15.75" customHeight="1" s="398">
      <c r="A996" s="284" t="n"/>
      <c r="B996" s="284" t="n"/>
      <c r="C996" s="285" t="n"/>
      <c r="D996" s="284" t="n"/>
      <c r="E996" s="285" t="n"/>
      <c r="F996" s="285" t="n"/>
      <c r="G996" s="336" t="n"/>
      <c r="H996" s="336" t="n"/>
      <c r="I996" s="285" t="n"/>
      <c r="J996" s="285" t="n"/>
      <c r="K996" s="285" t="n"/>
      <c r="L996" s="285" t="n"/>
      <c r="M996" s="285" t="n"/>
      <c r="N996" s="285" t="n"/>
      <c r="O996" s="285" t="n"/>
      <c r="P996" s="285" t="n"/>
      <c r="Q996" s="285" t="n"/>
      <c r="R996" s="285" t="n"/>
      <c r="S996" s="284" t="n"/>
      <c r="T996" s="284" t="n"/>
      <c r="U996" s="285" t="n"/>
      <c r="V996" s="285" t="n"/>
      <c r="W996" s="285" t="n"/>
      <c r="X996" s="285" t="n"/>
      <c r="Y996" s="285" t="n"/>
      <c r="Z996" s="285" t="n"/>
      <c r="AA996" s="285" t="n"/>
    </row>
    <row r="997" ht="15.75" customHeight="1" s="398">
      <c r="A997" s="284" t="n"/>
      <c r="B997" s="284" t="n"/>
      <c r="C997" s="285" t="n"/>
      <c r="D997" s="284" t="n"/>
      <c r="E997" s="285" t="n"/>
      <c r="F997" s="285" t="n"/>
      <c r="G997" s="336" t="n"/>
      <c r="H997" s="336" t="n"/>
      <c r="I997" s="285" t="n"/>
      <c r="J997" s="285" t="n"/>
      <c r="K997" s="285" t="n"/>
      <c r="L997" s="285" t="n"/>
      <c r="M997" s="285" t="n"/>
      <c r="N997" s="285" t="n"/>
      <c r="O997" s="285" t="n"/>
      <c r="P997" s="285" t="n"/>
      <c r="Q997" s="285" t="n"/>
      <c r="R997" s="285" t="n"/>
      <c r="S997" s="284" t="n"/>
      <c r="T997" s="284" t="n"/>
      <c r="U997" s="285" t="n"/>
      <c r="V997" s="285" t="n"/>
      <c r="W997" s="285" t="n"/>
      <c r="X997" s="285" t="n"/>
      <c r="Y997" s="285" t="n"/>
      <c r="Z997" s="285" t="n"/>
      <c r="AA997" s="285" t="n"/>
    </row>
  </sheetData>
  <mergeCells count="22">
    <mergeCell ref="A4:A11"/>
    <mergeCell ref="S4:S11"/>
    <mergeCell ref="J4:J10"/>
    <mergeCell ref="L4:L10"/>
    <mergeCell ref="A47:A51"/>
    <mergeCell ref="F4:F11"/>
    <mergeCell ref="T4:T11"/>
    <mergeCell ref="G4:G10"/>
    <mergeCell ref="I4:I10"/>
    <mergeCell ref="K4:K10"/>
    <mergeCell ref="M4:M10"/>
    <mergeCell ref="B4:B10"/>
    <mergeCell ref="E4:E11"/>
    <mergeCell ref="A2:B2"/>
    <mergeCell ref="H4:H10"/>
    <mergeCell ref="N4:N10"/>
    <mergeCell ref="P4:P10"/>
    <mergeCell ref="A30:A36"/>
    <mergeCell ref="A39:A45"/>
    <mergeCell ref="D4:D11"/>
    <mergeCell ref="O4:O10"/>
    <mergeCell ref="Q4:Q10"/>
  </mergeCells>
  <printOptions horizontalCentered="1" verticalCentered="1" gridLines="1"/>
  <pageMargins left="0.25" right="0.25" top="0.75" bottom="0.75" header="0" footer="0"/>
  <pageSetup orientation="landscape" paperSize="9" scale="33" pageOrder="overThenDown" cellComments="atEnd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Y100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41" sqref="F41:R67"/>
    </sheetView>
  </sheetViews>
  <sheetFormatPr baseColWidth="8" defaultColWidth="12.7109375" defaultRowHeight="15" customHeight="1"/>
  <cols>
    <col width="1.28515625" customWidth="1" style="398" min="1" max="1"/>
    <col width="21.28515625" customWidth="1" style="398" min="2" max="2"/>
  </cols>
  <sheetData>
    <row r="1" ht="4.5" customHeight="1" s="398">
      <c r="A1" s="480" t="n"/>
      <c r="B1" s="480" t="n"/>
      <c r="C1" s="480" t="n"/>
      <c r="D1" s="480" t="n"/>
      <c r="E1" s="480" t="n"/>
      <c r="F1" s="480" t="n"/>
      <c r="G1" s="480" t="n"/>
      <c r="H1" s="480" t="n"/>
      <c r="I1" s="480" t="n"/>
      <c r="J1" s="480" t="n"/>
      <c r="K1" s="480" t="n"/>
      <c r="L1" s="480" t="n"/>
      <c r="M1" s="480" t="n"/>
      <c r="N1" s="480" t="n"/>
      <c r="O1" s="480" t="n"/>
      <c r="P1" s="480" t="n"/>
      <c r="Q1" s="480" t="n"/>
      <c r="R1" s="480" t="n"/>
      <c r="S1" s="480" t="n"/>
      <c r="T1" s="480" t="n"/>
      <c r="U1" s="480" t="n"/>
      <c r="V1" s="480" t="n"/>
      <c r="W1" s="480" t="n"/>
      <c r="X1" s="480" t="n"/>
      <c r="Y1" s="480" t="n"/>
    </row>
    <row r="2" ht="12.75" customHeight="1" s="398">
      <c r="A2" s="480" t="n"/>
      <c r="B2" s="481" t="n"/>
      <c r="C2" s="509" t="inlineStr">
        <is>
          <t>RESUMO DE SALDOS</t>
        </is>
      </c>
      <c r="D2" s="483" t="n"/>
      <c r="E2" s="483" t="n"/>
      <c r="F2" s="483" t="n"/>
      <c r="G2" s="483" t="n"/>
      <c r="H2" s="483" t="n"/>
      <c r="I2" s="483" t="n"/>
      <c r="J2" s="483" t="n"/>
      <c r="K2" s="483" t="n"/>
      <c r="L2" s="483" t="n"/>
      <c r="M2" s="483" t="n"/>
      <c r="N2" s="483" t="n"/>
      <c r="O2" s="484" t="n"/>
      <c r="P2" s="480" t="n"/>
      <c r="Q2" s="480" t="n"/>
      <c r="R2" s="480" t="n"/>
      <c r="S2" s="480" t="n"/>
      <c r="T2" s="480" t="n"/>
      <c r="U2" s="480" t="n"/>
      <c r="V2" s="480" t="n"/>
      <c r="W2" s="480" t="n"/>
      <c r="X2" s="480" t="n"/>
      <c r="Y2" s="480" t="n"/>
    </row>
    <row r="3" ht="12.75" customHeight="1" s="398">
      <c r="A3" s="480" t="n"/>
      <c r="B3" s="485" t="n"/>
      <c r="C3" s="510" t="inlineStr">
        <is>
          <t>2023</t>
        </is>
      </c>
      <c r="O3" s="41" t="inlineStr">
        <is>
          <t>2024</t>
        </is>
      </c>
      <c r="P3" s="480" t="n"/>
      <c r="Q3" s="480" t="n"/>
      <c r="R3" s="480" t="n"/>
      <c r="S3" s="480" t="n"/>
      <c r="T3" s="480" t="n"/>
      <c r="U3" s="480" t="n"/>
      <c r="V3" s="480" t="n"/>
      <c r="W3" s="480" t="n"/>
      <c r="X3" s="480" t="n"/>
      <c r="Y3" s="480" t="n"/>
    </row>
    <row r="4" ht="12.75" customHeight="1" s="398">
      <c r="A4" s="480" t="n"/>
      <c r="B4" s="487" t="inlineStr">
        <is>
          <t>CONTA</t>
        </is>
      </c>
      <c r="C4" s="488" t="inlineStr">
        <is>
          <t>MARÇO</t>
        </is>
      </c>
      <c r="D4" s="488" t="inlineStr">
        <is>
          <t>ABRIL</t>
        </is>
      </c>
      <c r="E4" s="488" t="inlineStr">
        <is>
          <t>MAIO</t>
        </is>
      </c>
      <c r="F4" s="488" t="inlineStr">
        <is>
          <t>JUNHO</t>
        </is>
      </c>
      <c r="G4" s="488" t="inlineStr">
        <is>
          <t>JULHO</t>
        </is>
      </c>
      <c r="H4" s="488" t="inlineStr">
        <is>
          <t>AGOSTO</t>
        </is>
      </c>
      <c r="I4" s="488" t="inlineStr">
        <is>
          <t>SETEMBRO</t>
        </is>
      </c>
      <c r="J4" s="488" t="inlineStr">
        <is>
          <t>OUTUBRO</t>
        </is>
      </c>
      <c r="K4" s="488" t="inlineStr">
        <is>
          <t>NOVEMBRO</t>
        </is>
      </c>
      <c r="L4" s="488" t="inlineStr">
        <is>
          <t>DEZEMBRO</t>
        </is>
      </c>
      <c r="M4" s="488" t="inlineStr">
        <is>
          <t>JANEIRO</t>
        </is>
      </c>
      <c r="N4" s="488" t="inlineStr">
        <is>
          <t>FEVEREIRO</t>
        </is>
      </c>
      <c r="O4" s="489" t="inlineStr">
        <is>
          <t>MARÇO</t>
        </is>
      </c>
      <c r="P4" s="480" t="n"/>
      <c r="Q4" s="480" t="n"/>
      <c r="R4" s="480" t="n"/>
      <c r="S4" s="480" t="n"/>
      <c r="T4" s="480" t="n"/>
      <c r="U4" s="480" t="n"/>
      <c r="V4" s="480" t="n"/>
      <c r="W4" s="480" t="n"/>
      <c r="X4" s="480" t="n"/>
      <c r="Y4" s="480" t="n"/>
    </row>
    <row r="5" ht="7.5" customHeight="1" s="398">
      <c r="A5" s="490" t="n"/>
      <c r="B5" s="490" t="n"/>
      <c r="C5" s="491" t="n"/>
      <c r="D5" s="491" t="n"/>
      <c r="E5" s="491" t="n"/>
      <c r="F5" s="491" t="n"/>
      <c r="G5" s="491" t="n"/>
      <c r="H5" s="491" t="n"/>
      <c r="I5" s="491" t="n"/>
      <c r="J5" s="491" t="n"/>
      <c r="K5" s="491" t="n"/>
      <c r="L5" s="491" t="n"/>
      <c r="M5" s="491" t="n"/>
      <c r="N5" s="491" t="n"/>
      <c r="O5" s="491" t="n"/>
      <c r="P5" s="491" t="n"/>
      <c r="Q5" s="491" t="n"/>
      <c r="R5" s="491" t="n"/>
      <c r="S5" s="491" t="n"/>
      <c r="T5" s="491" t="n"/>
      <c r="U5" s="491" t="n"/>
      <c r="V5" s="491" t="n"/>
      <c r="W5" s="491" t="n"/>
      <c r="X5" s="491" t="n"/>
      <c r="Y5" s="491" t="n"/>
    </row>
    <row r="6" ht="12.75" customHeight="1" s="398">
      <c r="A6" s="492" t="n"/>
      <c r="B6" s="493" t="inlineStr">
        <is>
          <t>PRINCIPAL</t>
        </is>
      </c>
      <c r="C6" s="494">
        <f>C10</f>
        <v/>
      </c>
      <c r="D6" s="494">
        <f>D10</f>
        <v/>
      </c>
      <c r="E6" s="494">
        <f>E10</f>
        <v/>
      </c>
      <c r="F6" s="494">
        <f>F10</f>
        <v/>
      </c>
      <c r="G6" s="494">
        <f>G10</f>
        <v/>
      </c>
      <c r="H6" s="494">
        <f>H10</f>
        <v/>
      </c>
      <c r="I6" s="494">
        <f>I10</f>
        <v/>
      </c>
      <c r="J6" s="494">
        <f>J10</f>
        <v/>
      </c>
      <c r="K6" s="494">
        <f>K10</f>
        <v/>
      </c>
      <c r="L6" s="494">
        <f>L10</f>
        <v/>
      </c>
      <c r="M6" s="494">
        <f>M10</f>
        <v/>
      </c>
      <c r="N6" s="494">
        <f>N10</f>
        <v/>
      </c>
      <c r="O6" s="495">
        <f>O10</f>
        <v/>
      </c>
      <c r="P6" s="480" t="n"/>
      <c r="Q6" s="480" t="n"/>
      <c r="R6" s="480" t="n"/>
      <c r="S6" s="480" t="n"/>
      <c r="T6" s="480" t="n"/>
      <c r="U6" s="480" t="n"/>
      <c r="V6" s="480" t="n"/>
      <c r="W6" s="480" t="n"/>
      <c r="X6" s="480" t="n"/>
      <c r="Y6" s="480" t="n"/>
    </row>
    <row r="7" ht="12.75" customHeight="1" s="398">
      <c r="A7" s="496" t="n"/>
      <c r="B7" s="496" t="inlineStr">
        <is>
          <t>SALDO ANTERIOR</t>
        </is>
      </c>
      <c r="C7" s="491" t="n">
        <v>552132.3100000001</v>
      </c>
      <c r="D7" s="491" t="n">
        <v>518555.69</v>
      </c>
      <c r="E7" s="491" t="n">
        <v>484561.61</v>
      </c>
      <c r="F7" s="491" t="n">
        <v>472986.01</v>
      </c>
      <c r="G7" s="491" t="n">
        <v>339156.69</v>
      </c>
      <c r="H7" s="491" t="n">
        <v>340258.29</v>
      </c>
      <c r="I7" s="491" t="n">
        <v>292874.23</v>
      </c>
      <c r="J7" s="491" t="n">
        <v>252914.22</v>
      </c>
      <c r="K7" s="491" t="n">
        <v>215637.61</v>
      </c>
      <c r="L7" s="491" t="n">
        <v>173288.69</v>
      </c>
      <c r="M7" s="491" t="n">
        <v>137999.8</v>
      </c>
      <c r="N7" s="491" t="n">
        <v>66531.92</v>
      </c>
      <c r="O7" s="491" t="n">
        <v>16871.3</v>
      </c>
      <c r="P7" s="491" t="n"/>
      <c r="Q7" s="491" t="n"/>
      <c r="R7" s="491" t="n"/>
      <c r="S7" s="491" t="n"/>
      <c r="T7" s="491" t="n"/>
      <c r="U7" s="491" t="n"/>
      <c r="V7" s="491" t="n"/>
      <c r="W7" s="491" t="n"/>
      <c r="X7" s="491" t="n"/>
      <c r="Y7" s="491" t="n"/>
    </row>
    <row r="8" ht="12.75" customHeight="1" s="398">
      <c r="A8" s="496" t="n"/>
      <c r="B8" s="496" t="inlineStr">
        <is>
          <t>RECEITA</t>
        </is>
      </c>
      <c r="C8" s="491" t="n">
        <v>247222.65</v>
      </c>
      <c r="D8" s="491" t="n">
        <v>186460.07</v>
      </c>
      <c r="E8" s="491" t="n">
        <v>213554.72</v>
      </c>
      <c r="F8" s="491" t="n">
        <v>195997.96</v>
      </c>
      <c r="G8" s="491" t="n">
        <v>206150.02</v>
      </c>
      <c r="H8" s="491" t="n">
        <v>185455.19</v>
      </c>
      <c r="I8" s="491" t="n">
        <v>195221.23</v>
      </c>
      <c r="J8" s="491" t="n">
        <v>188175.79</v>
      </c>
      <c r="K8" s="491" t="n">
        <v>187343.88</v>
      </c>
      <c r="L8" s="491" t="n">
        <v>187237.82</v>
      </c>
      <c r="M8" s="491" t="n">
        <v>186984.33</v>
      </c>
      <c r="N8" s="491" t="n">
        <v>189944.3</v>
      </c>
      <c r="O8" s="491" t="n">
        <v>170494.4</v>
      </c>
      <c r="P8" s="491" t="n"/>
      <c r="Q8" s="491" t="n"/>
      <c r="R8" s="491" t="n"/>
      <c r="S8" s="491" t="n"/>
      <c r="T8" s="491" t="n"/>
      <c r="U8" s="491" t="n"/>
      <c r="V8" s="491" t="n"/>
      <c r="W8" s="491" t="n"/>
      <c r="X8" s="491" t="n"/>
      <c r="Y8" s="491" t="n"/>
    </row>
    <row r="9" ht="12.75" customHeight="1" s="398">
      <c r="A9" s="496" t="n"/>
      <c r="B9" s="496" t="inlineStr">
        <is>
          <t>DESPESA</t>
        </is>
      </c>
      <c r="C9" s="491" t="n">
        <v>-280799.27</v>
      </c>
      <c r="D9" s="491" t="n">
        <v>-220454.15</v>
      </c>
      <c r="E9" s="491" t="n">
        <v>-225130.32</v>
      </c>
      <c r="F9" s="491" t="n">
        <v>-329827.28</v>
      </c>
      <c r="G9" s="491" t="n">
        <v>-205048.42</v>
      </c>
      <c r="H9" s="491" t="n">
        <v>-232839.25</v>
      </c>
      <c r="I9" s="491" t="n">
        <v>-235181.24</v>
      </c>
      <c r="J9" s="491" t="n">
        <v>-225452.4</v>
      </c>
      <c r="K9" s="491" t="n">
        <v>-229692.8</v>
      </c>
      <c r="L9" s="491" t="n">
        <v>-222526.71</v>
      </c>
      <c r="M9" s="491" t="n">
        <v>-258452.21</v>
      </c>
      <c r="N9" s="491" t="n">
        <v>-239604.92</v>
      </c>
      <c r="O9" s="491" t="n">
        <v>-143309.03</v>
      </c>
      <c r="P9" s="491" t="n"/>
      <c r="Q9" s="491" t="n"/>
      <c r="R9" s="491" t="n"/>
      <c r="S9" s="491" t="n"/>
      <c r="T9" s="491" t="n"/>
      <c r="U9" s="491" t="n"/>
      <c r="V9" s="491" t="n"/>
      <c r="W9" s="491" t="n"/>
      <c r="X9" s="491" t="n"/>
      <c r="Y9" s="491" t="n"/>
    </row>
    <row r="10" ht="12.75" customHeight="1" s="398">
      <c r="A10" s="496" t="n"/>
      <c r="B10" s="496" t="inlineStr">
        <is>
          <t>SALDO ATUAL</t>
        </is>
      </c>
      <c r="C10" s="491">
        <f>SUM(C7:C9)</f>
        <v/>
      </c>
      <c r="D10" s="491">
        <f>SUM(D7:D9)</f>
        <v/>
      </c>
      <c r="E10" s="491">
        <f>SUM(E7:E9)</f>
        <v/>
      </c>
      <c r="F10" s="491">
        <f>SUM(F7:F9)</f>
        <v/>
      </c>
      <c r="G10" s="491">
        <f>SUM(G7:G9)</f>
        <v/>
      </c>
      <c r="H10" s="491">
        <f>SUM(H7:H9)</f>
        <v/>
      </c>
      <c r="I10" s="491">
        <f>SUM(I7:I9)</f>
        <v/>
      </c>
      <c r="J10" s="491">
        <f>SUM(J7:J9)</f>
        <v/>
      </c>
      <c r="K10" s="491">
        <f>SUM(K7:K9)</f>
        <v/>
      </c>
      <c r="L10" s="491">
        <f>SUM(L7:L9)</f>
        <v/>
      </c>
      <c r="M10" s="491">
        <f>SUM(M7:M9)</f>
        <v/>
      </c>
      <c r="N10" s="491">
        <f>SUM(N7:N9)</f>
        <v/>
      </c>
      <c r="O10" s="491">
        <f>SUM(O7:O9)</f>
        <v/>
      </c>
      <c r="P10" s="491" t="n"/>
      <c r="Q10" s="491" t="n"/>
      <c r="R10" s="491" t="n"/>
      <c r="S10" s="491" t="n"/>
      <c r="T10" s="491" t="n"/>
      <c r="U10" s="491" t="n"/>
      <c r="V10" s="491" t="n"/>
      <c r="W10" s="491" t="n"/>
      <c r="X10" s="491" t="n"/>
      <c r="Y10" s="491" t="n"/>
    </row>
    <row r="11" ht="7.5" customHeight="1" s="398">
      <c r="A11" s="490" t="n"/>
      <c r="B11" s="490" t="n"/>
      <c r="C11" s="491" t="n"/>
      <c r="D11" s="491" t="n"/>
      <c r="E11" s="491" t="n"/>
      <c r="F11" s="491" t="n"/>
      <c r="G11" s="491" t="n"/>
      <c r="H11" s="491" t="n"/>
      <c r="I11" s="491" t="n"/>
      <c r="J11" s="491" t="n"/>
      <c r="K11" s="491" t="n"/>
      <c r="L11" s="491" t="n"/>
      <c r="M11" s="491" t="n"/>
      <c r="N11" s="491" t="n"/>
      <c r="O11" s="491" t="n"/>
      <c r="P11" s="491" t="n"/>
      <c r="Q11" s="491" t="n"/>
      <c r="R11" s="491" t="n"/>
      <c r="S11" s="491" t="n"/>
      <c r="T11" s="491" t="n"/>
      <c r="U11" s="491" t="n"/>
      <c r="V11" s="491" t="n"/>
      <c r="W11" s="491" t="n"/>
      <c r="X11" s="491" t="n"/>
      <c r="Y11" s="491" t="n"/>
    </row>
    <row r="12" ht="12.75" customHeight="1" s="398">
      <c r="A12" s="492" t="n"/>
      <c r="B12" s="493" t="inlineStr">
        <is>
          <t>SALA DE EVENTOS</t>
        </is>
      </c>
      <c r="C12" s="494">
        <f>C16</f>
        <v/>
      </c>
      <c r="D12" s="494">
        <f>D16</f>
        <v/>
      </c>
      <c r="E12" s="494">
        <f>E16</f>
        <v/>
      </c>
      <c r="F12" s="494">
        <f>F16</f>
        <v/>
      </c>
      <c r="G12" s="494">
        <f>G16</f>
        <v/>
      </c>
      <c r="H12" s="494">
        <f>H16</f>
        <v/>
      </c>
      <c r="I12" s="494">
        <f>I16</f>
        <v/>
      </c>
      <c r="J12" s="494">
        <f>J16</f>
        <v/>
      </c>
      <c r="K12" s="494">
        <f>K16</f>
        <v/>
      </c>
      <c r="L12" s="494">
        <f>L16</f>
        <v/>
      </c>
      <c r="M12" s="494">
        <f>M16</f>
        <v/>
      </c>
      <c r="N12" s="494">
        <f>N16</f>
        <v/>
      </c>
      <c r="O12" s="495">
        <f>O16</f>
        <v/>
      </c>
      <c r="P12" s="480" t="n"/>
      <c r="Q12" s="480" t="n"/>
      <c r="R12" s="480" t="n"/>
      <c r="S12" s="480" t="n"/>
      <c r="T12" s="480" t="n"/>
      <c r="U12" s="480" t="n"/>
      <c r="V12" s="480" t="n"/>
      <c r="W12" s="480" t="n"/>
      <c r="X12" s="480" t="n"/>
      <c r="Y12" s="480" t="n"/>
    </row>
    <row r="13" ht="12.75" customHeight="1" s="398">
      <c r="A13" s="496" t="n"/>
      <c r="B13" s="496" t="inlineStr">
        <is>
          <t>SALDO ANTERIOR</t>
        </is>
      </c>
      <c r="C13" s="491" t="n">
        <v>89545.39999999999</v>
      </c>
      <c r="D13" s="491" t="n">
        <v>94155.73</v>
      </c>
      <c r="E13" s="491" t="n">
        <v>96169.50999999999</v>
      </c>
      <c r="F13" s="491" t="n">
        <v>107107.5</v>
      </c>
      <c r="G13" s="491" t="n">
        <v>113362.57</v>
      </c>
      <c r="H13" s="491" t="n">
        <v>120417.49</v>
      </c>
      <c r="I13" s="491" t="n">
        <v>129809.63</v>
      </c>
      <c r="J13" s="491" t="n">
        <v>136072.31</v>
      </c>
      <c r="K13" s="491" t="n">
        <v>144597.31</v>
      </c>
      <c r="L13" s="491" t="n">
        <v>148872.31</v>
      </c>
      <c r="M13" s="491" t="n">
        <v>156740.39</v>
      </c>
      <c r="N13" s="491" t="n">
        <v>167182.08</v>
      </c>
      <c r="O13" s="491" t="n">
        <v>174810.85</v>
      </c>
      <c r="P13" s="491" t="n"/>
      <c r="Q13" s="491" t="n"/>
      <c r="R13" s="491" t="n"/>
      <c r="S13" s="491" t="n"/>
      <c r="T13" s="491" t="n"/>
      <c r="U13" s="491" t="n"/>
      <c r="V13" s="491" t="n"/>
      <c r="W13" s="491" t="n"/>
      <c r="X13" s="491" t="n"/>
      <c r="Y13" s="491" t="n"/>
    </row>
    <row r="14" ht="12.75" customHeight="1" s="398">
      <c r="A14" s="496" t="n"/>
      <c r="B14" s="496" t="inlineStr">
        <is>
          <t>RECEITA</t>
        </is>
      </c>
      <c r="C14" s="491" t="n">
        <v>4610.33</v>
      </c>
      <c r="D14" s="491" t="n">
        <v>2013.78</v>
      </c>
      <c r="E14" s="491" t="n">
        <v>10937.99</v>
      </c>
      <c r="F14" s="491" t="n">
        <v>6455.07</v>
      </c>
      <c r="G14" s="491" t="n">
        <v>7054.92</v>
      </c>
      <c r="H14" s="491" t="n">
        <v>9392.139999999999</v>
      </c>
      <c r="I14" s="491" t="n">
        <v>6262.68</v>
      </c>
      <c r="J14" s="491" t="n">
        <v>8525</v>
      </c>
      <c r="K14" s="491" t="n">
        <v>4275</v>
      </c>
      <c r="L14" s="491" t="n">
        <v>7868.08</v>
      </c>
      <c r="M14" s="491" t="n">
        <v>10441.69</v>
      </c>
      <c r="N14" s="491" t="n">
        <v>7628.77</v>
      </c>
      <c r="O14" s="491" t="n">
        <v>6900</v>
      </c>
      <c r="P14" s="491" t="n"/>
      <c r="Q14" s="491" t="n"/>
      <c r="R14" s="491" t="n"/>
      <c r="S14" s="491" t="n"/>
      <c r="T14" s="491" t="n"/>
      <c r="U14" s="491" t="n"/>
      <c r="V14" s="491" t="n"/>
      <c r="W14" s="491" t="n"/>
      <c r="X14" s="491" t="n"/>
      <c r="Y14" s="491" t="n"/>
    </row>
    <row r="15" ht="12.75" customHeight="1" s="398">
      <c r="A15" s="496" t="n"/>
      <c r="B15" s="496" t="inlineStr">
        <is>
          <t>DESPESA</t>
        </is>
      </c>
      <c r="C15" s="491" t="n">
        <v>0</v>
      </c>
      <c r="D15" s="491" t="n">
        <v>0</v>
      </c>
      <c r="E15" s="491" t="n">
        <v>0</v>
      </c>
      <c r="F15" s="491" t="n">
        <v>-200</v>
      </c>
      <c r="G15" s="491" t="n">
        <v>0</v>
      </c>
      <c r="H15" s="491" t="n">
        <v>0</v>
      </c>
      <c r="I15" s="491" t="n">
        <v>0</v>
      </c>
      <c r="J15" s="491" t="n">
        <v>0</v>
      </c>
      <c r="K15" s="491" t="n">
        <v>0</v>
      </c>
      <c r="L15" s="491" t="n">
        <v>0</v>
      </c>
      <c r="M15" s="491" t="n">
        <v>0</v>
      </c>
      <c r="N15" s="491" t="n">
        <v>0</v>
      </c>
      <c r="O15" s="491" t="n">
        <v>0</v>
      </c>
      <c r="P15" s="491" t="n"/>
      <c r="Q15" s="491" t="n"/>
      <c r="R15" s="491" t="n"/>
      <c r="S15" s="491" t="n"/>
      <c r="T15" s="491" t="n"/>
      <c r="U15" s="491" t="n"/>
      <c r="V15" s="491" t="n"/>
      <c r="W15" s="491" t="n"/>
      <c r="X15" s="491" t="n"/>
      <c r="Y15" s="491" t="n"/>
    </row>
    <row r="16" ht="12.75" customHeight="1" s="398">
      <c r="A16" s="496" t="n"/>
      <c r="B16" s="496" t="inlineStr">
        <is>
          <t>SALDO ATUAL</t>
        </is>
      </c>
      <c r="C16" s="491">
        <f>SUM(C13:C15)</f>
        <v/>
      </c>
      <c r="D16" s="491">
        <f>SUM(D13:D15)</f>
        <v/>
      </c>
      <c r="E16" s="491">
        <f>SUM(E13:E15)</f>
        <v/>
      </c>
      <c r="F16" s="491">
        <f>SUM(F13:F15)</f>
        <v/>
      </c>
      <c r="G16" s="491">
        <f>SUM(G13:G15)</f>
        <v/>
      </c>
      <c r="H16" s="491">
        <f>SUM(H13:H15)</f>
        <v/>
      </c>
      <c r="I16" s="491">
        <f>SUM(I13:I15)</f>
        <v/>
      </c>
      <c r="J16" s="491">
        <f>SUM(J13:J15)</f>
        <v/>
      </c>
      <c r="K16" s="491">
        <f>SUM(K13:K15)</f>
        <v/>
      </c>
      <c r="L16" s="491">
        <f>SUM(L13:L15)</f>
        <v/>
      </c>
      <c r="M16" s="491">
        <f>SUM(M13:M15)</f>
        <v/>
      </c>
      <c r="N16" s="491">
        <f>SUM(N13:N15)</f>
        <v/>
      </c>
      <c r="O16" s="491">
        <f>SUM(O13:O15)</f>
        <v/>
      </c>
      <c r="P16" s="491" t="n"/>
      <c r="Q16" s="491" t="n"/>
      <c r="R16" s="491" t="n"/>
      <c r="S16" s="491" t="n"/>
      <c r="T16" s="491" t="n"/>
      <c r="U16" s="491" t="n"/>
      <c r="V16" s="491" t="n"/>
      <c r="W16" s="491" t="n"/>
      <c r="X16" s="491" t="n"/>
      <c r="Y16" s="491" t="n"/>
    </row>
    <row r="17" ht="7.5" customHeight="1" s="398">
      <c r="A17" s="490" t="n"/>
      <c r="B17" s="490" t="n"/>
      <c r="C17" s="491" t="n"/>
      <c r="D17" s="491" t="n"/>
      <c r="E17" s="491" t="n"/>
      <c r="F17" s="491" t="n"/>
      <c r="G17" s="491" t="n"/>
      <c r="H17" s="491" t="n"/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1" t="n"/>
      <c r="T17" s="491" t="n"/>
      <c r="U17" s="491" t="n"/>
      <c r="V17" s="491" t="n"/>
      <c r="W17" s="491" t="n"/>
      <c r="X17" s="491" t="n"/>
      <c r="Y17" s="491" t="n"/>
    </row>
    <row r="18" ht="12.75" customHeight="1" s="398">
      <c r="A18" s="492" t="n"/>
      <c r="B18" s="493" t="inlineStr">
        <is>
          <t>ESTACIONAMENTO</t>
        </is>
      </c>
      <c r="C18" s="494">
        <f>C22</f>
        <v/>
      </c>
      <c r="D18" s="494">
        <f>D22</f>
        <v/>
      </c>
      <c r="E18" s="494">
        <f>E22</f>
        <v/>
      </c>
      <c r="F18" s="494">
        <f>F22</f>
        <v/>
      </c>
      <c r="G18" s="494">
        <f>G22</f>
        <v/>
      </c>
      <c r="H18" s="494">
        <f>H22</f>
        <v/>
      </c>
      <c r="I18" s="494">
        <f>I22</f>
        <v/>
      </c>
      <c r="J18" s="494">
        <f>J22</f>
        <v/>
      </c>
      <c r="K18" s="494">
        <f>K22</f>
        <v/>
      </c>
      <c r="L18" s="494">
        <f>L22</f>
        <v/>
      </c>
      <c r="M18" s="494">
        <f>M22</f>
        <v/>
      </c>
      <c r="N18" s="494">
        <f>N22</f>
        <v/>
      </c>
      <c r="O18" s="495">
        <f>O22</f>
        <v/>
      </c>
      <c r="P18" s="480" t="n"/>
      <c r="Q18" s="480" t="n"/>
      <c r="R18" s="480" t="n"/>
      <c r="S18" s="480" t="n"/>
      <c r="T18" s="480" t="n"/>
      <c r="U18" s="480" t="n"/>
      <c r="V18" s="480" t="n"/>
      <c r="W18" s="480" t="n"/>
      <c r="X18" s="480" t="n"/>
      <c r="Y18" s="480" t="n"/>
    </row>
    <row r="19" ht="12.75" customHeight="1" s="398">
      <c r="A19" s="496" t="n"/>
      <c r="B19" s="496" t="inlineStr">
        <is>
          <t>SALDO ANTERIOR</t>
        </is>
      </c>
      <c r="C19" s="491" t="n">
        <v>61475.76</v>
      </c>
      <c r="D19" s="491" t="n">
        <v>70685.27</v>
      </c>
      <c r="E19" s="491" t="n">
        <v>79909.25</v>
      </c>
      <c r="F19" s="491" t="n">
        <v>89732.25</v>
      </c>
      <c r="G19" s="491" t="n">
        <v>100391.25</v>
      </c>
      <c r="H19" s="491" t="n">
        <v>110214.25</v>
      </c>
      <c r="I19" s="491" t="n">
        <v>120277.88</v>
      </c>
      <c r="J19" s="491" t="n">
        <v>131363.86</v>
      </c>
      <c r="K19" s="491" t="n">
        <v>144340.71</v>
      </c>
      <c r="L19" s="491" t="n">
        <v>154804.8</v>
      </c>
      <c r="M19" s="491" t="n">
        <v>167995.81</v>
      </c>
      <c r="N19" s="491" t="n">
        <v>180970.34</v>
      </c>
      <c r="O19" s="491" t="n">
        <v>193938.04</v>
      </c>
      <c r="P19" s="491" t="n"/>
      <c r="Q19" s="491" t="n"/>
      <c r="R19" s="491" t="n"/>
      <c r="S19" s="491" t="n"/>
      <c r="T19" s="491" t="n"/>
      <c r="U19" s="491" t="n"/>
      <c r="V19" s="491" t="n"/>
      <c r="W19" s="491" t="n"/>
      <c r="X19" s="491" t="n"/>
      <c r="Y19" s="491" t="n"/>
    </row>
    <row r="20" ht="12.75" customHeight="1" s="398">
      <c r="A20" s="496" t="n"/>
      <c r="B20" s="496" t="inlineStr">
        <is>
          <t>RECEITA</t>
        </is>
      </c>
      <c r="C20" s="491" t="n">
        <v>9209.51</v>
      </c>
      <c r="D20" s="491" t="n">
        <v>9223.98</v>
      </c>
      <c r="E20" s="491" t="n">
        <v>10032</v>
      </c>
      <c r="F20" s="491" t="n">
        <v>10659</v>
      </c>
      <c r="G20" s="491" t="n">
        <v>9823</v>
      </c>
      <c r="H20" s="491" t="n">
        <v>10063.63</v>
      </c>
      <c r="I20" s="491" t="n">
        <v>11085.98</v>
      </c>
      <c r="J20" s="491" t="n">
        <v>12976.85</v>
      </c>
      <c r="K20" s="491" t="n">
        <v>10464.09</v>
      </c>
      <c r="L20" s="491" t="n">
        <v>13191.01</v>
      </c>
      <c r="M20" s="491" t="n">
        <v>12974.53</v>
      </c>
      <c r="N20" s="491" t="n">
        <v>12967.7</v>
      </c>
      <c r="O20" s="491" t="n">
        <v>12958</v>
      </c>
      <c r="P20" s="491" t="n"/>
      <c r="Q20" s="491" t="n"/>
      <c r="R20" s="491" t="n"/>
      <c r="S20" s="491" t="n"/>
      <c r="T20" s="491" t="n"/>
      <c r="U20" s="491" t="n"/>
      <c r="V20" s="491" t="n"/>
      <c r="W20" s="491" t="n"/>
      <c r="X20" s="491" t="n"/>
      <c r="Y20" s="491" t="n"/>
    </row>
    <row r="21" ht="12.75" customHeight="1" s="398">
      <c r="A21" s="496" t="n"/>
      <c r="B21" s="496" t="inlineStr">
        <is>
          <t>DESPESA</t>
        </is>
      </c>
      <c r="C21" s="491" t="n">
        <v>0</v>
      </c>
      <c r="D21" s="491" t="n">
        <v>0</v>
      </c>
      <c r="E21" s="491" t="n">
        <v>-209</v>
      </c>
      <c r="F21" s="491" t="n">
        <v>0</v>
      </c>
      <c r="G21" s="491" t="n">
        <v>0</v>
      </c>
      <c r="H21" s="491" t="n">
        <v>0</v>
      </c>
      <c r="I21" s="491" t="n">
        <v>0</v>
      </c>
      <c r="J21" s="491" t="n">
        <v>0</v>
      </c>
      <c r="K21" s="491" t="n">
        <v>0</v>
      </c>
      <c r="L21" s="491" t="n">
        <v>0</v>
      </c>
      <c r="M21" s="491" t="n">
        <v>0</v>
      </c>
      <c r="N21" s="491" t="n">
        <v>0</v>
      </c>
      <c r="O21" s="491" t="n">
        <v>0</v>
      </c>
      <c r="P21" s="491" t="n"/>
      <c r="Q21" s="491" t="n"/>
      <c r="R21" s="491" t="n"/>
      <c r="S21" s="491" t="n"/>
      <c r="T21" s="491" t="n"/>
      <c r="U21" s="491" t="n"/>
      <c r="V21" s="491" t="n"/>
      <c r="W21" s="491" t="n"/>
      <c r="X21" s="491" t="n"/>
      <c r="Y21" s="491" t="n"/>
    </row>
    <row r="22" ht="12.75" customHeight="1" s="398">
      <c r="A22" s="496" t="n"/>
      <c r="B22" s="496" t="inlineStr">
        <is>
          <t>SALDO ATUAL</t>
        </is>
      </c>
      <c r="C22" s="491">
        <f>SUM(C19:C21)</f>
        <v/>
      </c>
      <c r="D22" s="491">
        <f>SUM(D19:D21)</f>
        <v/>
      </c>
      <c r="E22" s="491">
        <f>SUM(E19:E21)</f>
        <v/>
      </c>
      <c r="F22" s="491">
        <f>SUM(F19:F21)</f>
        <v/>
      </c>
      <c r="G22" s="491">
        <f>SUM(G19:G21)</f>
        <v/>
      </c>
      <c r="H22" s="491">
        <f>SUM(H19:H21)</f>
        <v/>
      </c>
      <c r="I22" s="491">
        <f>SUM(I19:I21)</f>
        <v/>
      </c>
      <c r="J22" s="491">
        <f>SUM(J19:J21)</f>
        <v/>
      </c>
      <c r="K22" s="491">
        <f>SUM(K19:K21)</f>
        <v/>
      </c>
      <c r="L22" s="491">
        <f>SUM(L19:L21)</f>
        <v/>
      </c>
      <c r="M22" s="491">
        <f>SUM(M19:M21)</f>
        <v/>
      </c>
      <c r="N22" s="491">
        <f>SUM(N19:N21)</f>
        <v/>
      </c>
      <c r="O22" s="491">
        <f>SUM(O19:O21)</f>
        <v/>
      </c>
      <c r="P22" s="491" t="n"/>
      <c r="Q22" s="491" t="n"/>
      <c r="R22" s="491" t="n"/>
      <c r="S22" s="491" t="n"/>
      <c r="T22" s="491" t="n"/>
      <c r="U22" s="491" t="n"/>
      <c r="V22" s="491" t="n"/>
      <c r="W22" s="491" t="n"/>
      <c r="X22" s="491" t="n"/>
      <c r="Y22" s="491" t="n"/>
    </row>
    <row r="23" ht="7.5" customHeight="1" s="398">
      <c r="A23" s="490" t="n"/>
      <c r="B23" s="490" t="n"/>
      <c r="C23" s="491" t="n"/>
      <c r="D23" s="491" t="n"/>
      <c r="E23" s="491" t="n"/>
      <c r="F23" s="491" t="n"/>
      <c r="G23" s="491" t="n"/>
      <c r="H23" s="491" t="n"/>
      <c r="I23" s="491" t="n"/>
      <c r="J23" s="491" t="n"/>
      <c r="K23" s="491" t="n"/>
      <c r="L23" s="491" t="n"/>
      <c r="M23" s="491" t="n"/>
      <c r="N23" s="491" t="n"/>
      <c r="O23" s="491" t="n"/>
      <c r="P23" s="491" t="n"/>
      <c r="Q23" s="491" t="n"/>
      <c r="R23" s="491" t="n"/>
      <c r="S23" s="491" t="n"/>
      <c r="T23" s="491" t="n"/>
      <c r="U23" s="491" t="n"/>
      <c r="V23" s="491" t="n"/>
      <c r="W23" s="491" t="n"/>
      <c r="X23" s="491" t="n"/>
      <c r="Y23" s="491" t="n"/>
    </row>
    <row r="24" ht="12.75" customHeight="1" s="398">
      <c r="A24" s="492" t="n"/>
      <c r="B24" s="493" t="inlineStr">
        <is>
          <t>INADIMPLÊNCIA</t>
        </is>
      </c>
      <c r="C24" s="494">
        <f>C26</f>
        <v/>
      </c>
      <c r="D24" s="494">
        <f>D26</f>
        <v/>
      </c>
      <c r="E24" s="494">
        <f>E26</f>
        <v/>
      </c>
      <c r="F24" s="494">
        <f>F26</f>
        <v/>
      </c>
      <c r="G24" s="494">
        <f>G26</f>
        <v/>
      </c>
      <c r="H24" s="494">
        <f>H26</f>
        <v/>
      </c>
      <c r="I24" s="494">
        <f>I26</f>
        <v/>
      </c>
      <c r="J24" s="494">
        <f>J26</f>
        <v/>
      </c>
      <c r="K24" s="494">
        <f>K26</f>
        <v/>
      </c>
      <c r="L24" s="494">
        <f>L26</f>
        <v/>
      </c>
      <c r="M24" s="494">
        <f>M26</f>
        <v/>
      </c>
      <c r="N24" s="494">
        <f>N26</f>
        <v/>
      </c>
      <c r="O24" s="495">
        <f>O26</f>
        <v/>
      </c>
      <c r="P24" s="480" t="n"/>
      <c r="Q24" s="480" t="n"/>
      <c r="R24" s="480" t="n"/>
      <c r="S24" s="480" t="n"/>
      <c r="T24" s="480" t="n"/>
      <c r="U24" s="480" t="n"/>
      <c r="V24" s="480" t="n"/>
      <c r="W24" s="480" t="n"/>
      <c r="X24" s="480" t="n"/>
      <c r="Y24" s="480" t="n"/>
    </row>
    <row r="25" ht="12.75" customHeight="1" s="398">
      <c r="A25" s="496" t="n"/>
      <c r="B25" s="496" t="inlineStr">
        <is>
          <t>SALDO ANTERIOR</t>
        </is>
      </c>
      <c r="C25" s="491" t="n">
        <v>6358.97</v>
      </c>
      <c r="D25" s="491" t="n">
        <v>6358.97</v>
      </c>
      <c r="E25" s="491" t="n">
        <v>6358.97</v>
      </c>
      <c r="F25" s="491" t="n">
        <v>6358.97</v>
      </c>
      <c r="G25" s="491" t="n">
        <v>6358.97</v>
      </c>
      <c r="H25" s="491" t="n">
        <v>6358.97</v>
      </c>
      <c r="I25" s="491" t="n">
        <v>6358.97</v>
      </c>
      <c r="J25" s="491" t="n">
        <v>6358.97</v>
      </c>
      <c r="K25" s="491" t="n">
        <v>6358.97</v>
      </c>
      <c r="L25" s="491" t="n">
        <v>6358.97</v>
      </c>
      <c r="M25" s="491" t="n">
        <v>6358.97</v>
      </c>
      <c r="N25" s="491" t="n">
        <v>6358.97</v>
      </c>
      <c r="O25" s="491" t="n">
        <v>6358.97</v>
      </c>
      <c r="P25" s="491" t="n"/>
      <c r="Q25" s="491" t="n"/>
      <c r="R25" s="491" t="n"/>
      <c r="S25" s="491" t="n"/>
      <c r="T25" s="491" t="n"/>
      <c r="U25" s="491" t="n"/>
      <c r="V25" s="491" t="n"/>
      <c r="W25" s="491" t="n"/>
      <c r="X25" s="491" t="n"/>
      <c r="Y25" s="491" t="n"/>
    </row>
    <row r="26" ht="12.75" customHeight="1" s="398">
      <c r="A26" s="496" t="n"/>
      <c r="B26" s="496" t="inlineStr">
        <is>
          <t>SALDO ATUAL</t>
        </is>
      </c>
      <c r="C26" s="491" t="n">
        <v>6358.97</v>
      </c>
      <c r="D26" s="491" t="n">
        <v>6358.97</v>
      </c>
      <c r="E26" s="491" t="n">
        <v>6358.97</v>
      </c>
      <c r="F26" s="491" t="n">
        <v>6358.97</v>
      </c>
      <c r="G26" s="491" t="n">
        <v>6358.97</v>
      </c>
      <c r="H26" s="491" t="n">
        <v>6358.97</v>
      </c>
      <c r="I26" s="491" t="n">
        <v>6358.97</v>
      </c>
      <c r="J26" s="491" t="n">
        <v>6358.97</v>
      </c>
      <c r="K26" s="491" t="n">
        <v>6358.97</v>
      </c>
      <c r="L26" s="491" t="n">
        <v>6358.97</v>
      </c>
      <c r="M26" s="491" t="n">
        <v>6358.97</v>
      </c>
      <c r="N26" s="491" t="n">
        <v>6358.97</v>
      </c>
      <c r="O26" s="491" t="n">
        <v>6358.97</v>
      </c>
      <c r="P26" s="491" t="n"/>
      <c r="Q26" s="491" t="n"/>
      <c r="R26" s="491" t="n"/>
      <c r="S26" s="491" t="n"/>
      <c r="T26" s="491" t="n"/>
      <c r="U26" s="491" t="n"/>
      <c r="V26" s="491" t="n"/>
      <c r="W26" s="491" t="n"/>
      <c r="X26" s="491" t="n"/>
      <c r="Y26" s="491" t="n"/>
    </row>
    <row r="27" ht="7.5" customHeight="1" s="398">
      <c r="A27" s="490" t="n"/>
      <c r="B27" s="490" t="n"/>
      <c r="C27" s="491" t="n"/>
      <c r="D27" s="491" t="n"/>
      <c r="E27" s="491" t="n"/>
      <c r="F27" s="491" t="n"/>
      <c r="G27" s="491" t="n"/>
      <c r="H27" s="491" t="n"/>
      <c r="I27" s="491" t="n"/>
      <c r="J27" s="491" t="n"/>
      <c r="K27" s="491" t="n"/>
      <c r="L27" s="491" t="n"/>
      <c r="M27" s="491" t="n"/>
      <c r="N27" s="491" t="n"/>
      <c r="O27" s="491" t="n"/>
      <c r="P27" s="491" t="n"/>
      <c r="Q27" s="491" t="n"/>
      <c r="R27" s="491" t="n"/>
      <c r="S27" s="491" t="n"/>
      <c r="T27" s="491" t="n"/>
      <c r="U27" s="491" t="n"/>
      <c r="V27" s="491" t="n"/>
      <c r="W27" s="491" t="n"/>
      <c r="X27" s="491" t="n"/>
      <c r="Y27" s="491" t="n"/>
    </row>
    <row r="28" ht="12.75" customHeight="1" s="398">
      <c r="A28" s="492" t="n"/>
      <c r="B28" s="493" t="inlineStr">
        <is>
          <t>FUNDO DE RESERVA</t>
        </is>
      </c>
      <c r="C28" s="494">
        <f>C30</f>
        <v/>
      </c>
      <c r="D28" s="494">
        <f>D30</f>
        <v/>
      </c>
      <c r="E28" s="494">
        <f>E30</f>
        <v/>
      </c>
      <c r="F28" s="494">
        <f>F30</f>
        <v/>
      </c>
      <c r="G28" s="494">
        <f>G30</f>
        <v/>
      </c>
      <c r="H28" s="494">
        <f>H30</f>
        <v/>
      </c>
      <c r="I28" s="494">
        <f>I30</f>
        <v/>
      </c>
      <c r="J28" s="494">
        <f>J30</f>
        <v/>
      </c>
      <c r="K28" s="494">
        <f>K30</f>
        <v/>
      </c>
      <c r="L28" s="494">
        <f>L30</f>
        <v/>
      </c>
      <c r="M28" s="494">
        <f>M30</f>
        <v/>
      </c>
      <c r="N28" s="494">
        <f>N30</f>
        <v/>
      </c>
      <c r="O28" s="495">
        <f>O30</f>
        <v/>
      </c>
      <c r="P28" s="480" t="n"/>
      <c r="Q28" s="480" t="n"/>
      <c r="R28" s="480" t="n"/>
      <c r="S28" s="480" t="n"/>
      <c r="T28" s="480" t="n"/>
      <c r="U28" s="480" t="n"/>
      <c r="V28" s="480" t="n"/>
      <c r="W28" s="480" t="n"/>
      <c r="X28" s="480" t="n"/>
      <c r="Y28" s="480" t="n"/>
    </row>
    <row r="29" ht="12.75" customHeight="1" s="398">
      <c r="A29" s="496" t="n"/>
      <c r="B29" s="496" t="inlineStr">
        <is>
          <t>SALDO ANTERIOR</t>
        </is>
      </c>
      <c r="C29" s="491" t="n">
        <v>4522.65</v>
      </c>
      <c r="D29" s="491" t="n">
        <v>4522.65</v>
      </c>
      <c r="E29" s="491" t="n">
        <v>4522.65</v>
      </c>
      <c r="F29" s="491" t="n">
        <v>4522.65</v>
      </c>
      <c r="G29" s="491" t="n">
        <v>4522.65</v>
      </c>
      <c r="H29" s="491" t="n">
        <v>4522.65</v>
      </c>
      <c r="I29" s="491" t="n">
        <v>4522.65</v>
      </c>
      <c r="J29" s="491" t="n">
        <v>4522.65</v>
      </c>
      <c r="K29" s="491" t="n">
        <v>4522.65</v>
      </c>
      <c r="L29" s="491" t="n">
        <v>4522.65</v>
      </c>
      <c r="M29" s="491" t="n">
        <v>4522.65</v>
      </c>
      <c r="N29" s="491" t="n">
        <v>4522.65</v>
      </c>
      <c r="O29" s="491" t="n">
        <v>4522.65</v>
      </c>
      <c r="P29" s="491" t="n"/>
      <c r="Q29" s="491" t="n"/>
      <c r="R29" s="491" t="n"/>
      <c r="S29" s="491" t="n"/>
      <c r="T29" s="491" t="n"/>
      <c r="U29" s="491" t="n"/>
      <c r="V29" s="491" t="n"/>
      <c r="W29" s="491" t="n"/>
      <c r="X29" s="491" t="n"/>
      <c r="Y29" s="491" t="n"/>
    </row>
    <row r="30" ht="12.75" customHeight="1" s="398">
      <c r="A30" s="496" t="n"/>
      <c r="B30" s="496" t="inlineStr">
        <is>
          <t>SALDO ATUAL</t>
        </is>
      </c>
      <c r="C30" s="491" t="n">
        <v>4522.65</v>
      </c>
      <c r="D30" s="491" t="n">
        <v>4522.65</v>
      </c>
      <c r="E30" s="491" t="n">
        <v>4522.65</v>
      </c>
      <c r="F30" s="491" t="n">
        <v>4522.65</v>
      </c>
      <c r="G30" s="491" t="n">
        <v>4522.65</v>
      </c>
      <c r="H30" s="491" t="n">
        <v>4522.65</v>
      </c>
      <c r="I30" s="491" t="n">
        <v>4522.65</v>
      </c>
      <c r="J30" s="491" t="n">
        <v>4522.65</v>
      </c>
      <c r="K30" s="491" t="n">
        <v>4522.65</v>
      </c>
      <c r="L30" s="491" t="n">
        <v>4522.65</v>
      </c>
      <c r="M30" s="491" t="n">
        <v>4522.65</v>
      </c>
      <c r="N30" s="491" t="n">
        <v>4522.65</v>
      </c>
      <c r="O30" s="491" t="n">
        <v>4522.65</v>
      </c>
      <c r="P30" s="491" t="n"/>
      <c r="Q30" s="491" t="n"/>
      <c r="R30" s="491" t="n"/>
      <c r="S30" s="491" t="n"/>
      <c r="T30" s="491" t="n"/>
      <c r="U30" s="491" t="n"/>
      <c r="V30" s="491" t="n"/>
      <c r="W30" s="491" t="n"/>
      <c r="X30" s="491" t="n"/>
      <c r="Y30" s="491" t="n"/>
    </row>
    <row r="31" ht="7.5" customHeight="1" s="398">
      <c r="A31" s="490" t="n"/>
      <c r="B31" s="490" t="n"/>
      <c r="C31" s="491" t="n"/>
      <c r="D31" s="491" t="n"/>
      <c r="E31" s="491" t="n"/>
      <c r="F31" s="491" t="n"/>
      <c r="G31" s="491" t="n"/>
      <c r="H31" s="491" t="n"/>
      <c r="I31" s="491" t="n"/>
      <c r="J31" s="491" t="n"/>
      <c r="K31" s="491" t="n"/>
      <c r="L31" s="491" t="n"/>
      <c r="M31" s="491" t="n"/>
      <c r="N31" s="491" t="n"/>
      <c r="O31" s="491" t="n"/>
      <c r="P31" s="491" t="n"/>
      <c r="Q31" s="491" t="n"/>
      <c r="R31" s="491" t="n"/>
      <c r="S31" s="491" t="n"/>
      <c r="T31" s="491" t="n"/>
      <c r="U31" s="491" t="n"/>
      <c r="V31" s="491" t="n"/>
      <c r="W31" s="491" t="n"/>
      <c r="X31" s="491" t="n"/>
      <c r="Y31" s="491" t="n"/>
    </row>
    <row r="32" ht="12.75" customHeight="1" s="398">
      <c r="A32" s="492" t="n"/>
      <c r="B32" s="493" t="inlineStr">
        <is>
          <t>BRADESCO</t>
        </is>
      </c>
      <c r="C32" s="494">
        <f>C34</f>
        <v/>
      </c>
      <c r="D32" s="494">
        <f>D34</f>
        <v/>
      </c>
      <c r="E32" s="494">
        <f>E34</f>
        <v/>
      </c>
      <c r="F32" s="494">
        <f>F34</f>
        <v/>
      </c>
      <c r="G32" s="494">
        <f>G34</f>
        <v/>
      </c>
      <c r="H32" s="494">
        <f>H34</f>
        <v/>
      </c>
      <c r="I32" s="494">
        <f>I34</f>
        <v/>
      </c>
      <c r="J32" s="494">
        <f>J34</f>
        <v/>
      </c>
      <c r="K32" s="494">
        <f>K34</f>
        <v/>
      </c>
      <c r="L32" s="494">
        <f>L34</f>
        <v/>
      </c>
      <c r="M32" s="494">
        <f>M34</f>
        <v/>
      </c>
      <c r="N32" s="494">
        <f>N34</f>
        <v/>
      </c>
      <c r="O32" s="495">
        <f>O34</f>
        <v/>
      </c>
      <c r="P32" s="480" t="n"/>
      <c r="Q32" s="480" t="n"/>
      <c r="R32" s="480" t="n"/>
      <c r="S32" s="480" t="n"/>
      <c r="T32" s="480" t="n"/>
      <c r="U32" s="480" t="n"/>
      <c r="V32" s="480" t="n"/>
      <c r="W32" s="480" t="n"/>
      <c r="X32" s="480" t="n"/>
      <c r="Y32" s="480" t="n"/>
    </row>
    <row r="33" ht="12.75" customHeight="1" s="398">
      <c r="A33" s="496" t="n"/>
      <c r="B33" s="496" t="inlineStr">
        <is>
          <t>SALDO ANTERIOR</t>
        </is>
      </c>
      <c r="C33" s="491">
        <f>114858.61+941415.06</f>
        <v/>
      </c>
      <c r="D33" s="491">
        <f>C34</f>
        <v/>
      </c>
      <c r="E33" s="491">
        <f>D34</f>
        <v/>
      </c>
      <c r="F33" s="491">
        <f>E34</f>
        <v/>
      </c>
      <c r="G33" s="491">
        <f>F34</f>
        <v/>
      </c>
      <c r="H33" s="491">
        <f>G34</f>
        <v/>
      </c>
      <c r="I33" s="491">
        <f>H34</f>
        <v/>
      </c>
      <c r="J33" s="491">
        <f>I34</f>
        <v/>
      </c>
      <c r="K33" s="491">
        <f>J34</f>
        <v/>
      </c>
      <c r="L33" s="491">
        <f>K34</f>
        <v/>
      </c>
      <c r="M33" s="491">
        <f>L34</f>
        <v/>
      </c>
      <c r="N33" s="491">
        <f>M34</f>
        <v/>
      </c>
      <c r="O33" s="491">
        <f>N34</f>
        <v/>
      </c>
      <c r="P33" s="491" t="n"/>
      <c r="Q33" s="491" t="n"/>
      <c r="R33" s="491" t="n"/>
      <c r="S33" s="491" t="n"/>
      <c r="T33" s="491" t="n"/>
      <c r="U33" s="491" t="n"/>
      <c r="V33" s="491" t="n"/>
      <c r="W33" s="491" t="n"/>
      <c r="X33" s="491" t="n"/>
      <c r="Y33" s="491" t="n"/>
    </row>
    <row r="34" ht="12.75" customHeight="1" s="398">
      <c r="A34" s="496" t="n"/>
      <c r="B34" s="496" t="inlineStr">
        <is>
          <t>SALDO ATUAL</t>
        </is>
      </c>
      <c r="C34" s="491" t="n">
        <v>1116354.07</v>
      </c>
      <c r="D34" s="491" t="n">
        <v>1158621.6</v>
      </c>
      <c r="E34" s="491" t="n">
        <v>1163592.49</v>
      </c>
      <c r="F34" s="491" t="n">
        <v>1168388.3</v>
      </c>
      <c r="G34" s="491" t="n">
        <v>1173234.35</v>
      </c>
      <c r="H34" s="491" t="n">
        <v>1178438.35</v>
      </c>
      <c r="I34" s="491">
        <f>373804.8+125711.09+352415.05+331009.4</f>
        <v/>
      </c>
      <c r="J34" s="491">
        <f>126847.01+731502.06+331009.4</f>
        <v/>
      </c>
      <c r="K34" s="491">
        <f>127901.57+738206.99+331009.4</f>
        <v/>
      </c>
      <c r="L34" s="491">
        <f>128939.98+744814.94+331009.4</f>
        <v/>
      </c>
      <c r="M34" s="491">
        <f>130068.97+752005.51+331009.4</f>
        <v/>
      </c>
      <c r="N34" s="491">
        <f>130417.64+758028.89+331009.4</f>
        <v/>
      </c>
      <c r="O34" s="491" t="n">
        <v>1228991.3</v>
      </c>
      <c r="P34" s="491" t="n"/>
      <c r="Q34" s="491" t="n"/>
      <c r="R34" s="491" t="n"/>
      <c r="S34" s="491" t="n"/>
      <c r="T34" s="491" t="n"/>
      <c r="U34" s="491" t="n"/>
      <c r="V34" s="491" t="n"/>
      <c r="W34" s="491" t="n"/>
      <c r="X34" s="491" t="n"/>
      <c r="Y34" s="491" t="n"/>
    </row>
    <row r="35" ht="7.5" customHeight="1" s="398">
      <c r="A35" s="490" t="n"/>
      <c r="B35" s="490" t="n"/>
      <c r="C35" s="491" t="n"/>
      <c r="D35" s="491" t="n"/>
      <c r="E35" s="491" t="n"/>
      <c r="F35" s="491" t="n"/>
      <c r="G35" s="491" t="n"/>
      <c r="H35" s="491" t="n"/>
      <c r="I35" s="491" t="n"/>
      <c r="J35" s="491" t="n"/>
      <c r="K35" s="491" t="n"/>
      <c r="L35" s="491" t="n"/>
      <c r="M35" s="491" t="n"/>
      <c r="N35" s="491" t="n"/>
      <c r="O35" s="491" t="n"/>
      <c r="P35" s="491" t="n"/>
      <c r="Q35" s="491" t="n"/>
      <c r="R35" s="491" t="n"/>
      <c r="S35" s="491" t="n"/>
      <c r="T35" s="491" t="n"/>
      <c r="U35" s="491" t="n"/>
      <c r="V35" s="491" t="n"/>
      <c r="W35" s="491" t="n"/>
      <c r="X35" s="491" t="n"/>
      <c r="Y35" s="491" t="n"/>
    </row>
    <row r="36" ht="12.75" customHeight="1" s="398">
      <c r="A36" s="492" t="n"/>
      <c r="B36" s="493" t="inlineStr">
        <is>
          <t>TOTAL</t>
        </is>
      </c>
      <c r="C36" s="494">
        <f>C6+C12+C18+C24+C28+C32</f>
        <v/>
      </c>
      <c r="D36" s="494">
        <f>D6+D12+D18+D24+D28+D32</f>
        <v/>
      </c>
      <c r="E36" s="494">
        <f>E6+E12+E18+E24+E28+E32</f>
        <v/>
      </c>
      <c r="F36" s="494">
        <f>F6+F12+F18+F24+F28+F32</f>
        <v/>
      </c>
      <c r="G36" s="494">
        <f>G6+G12+G18+G24+G28+G32</f>
        <v/>
      </c>
      <c r="H36" s="494">
        <f>H6+H12+H18+H24+H28+H32</f>
        <v/>
      </c>
      <c r="I36" s="494">
        <f>I6+I12+I18+I24+I28+I32</f>
        <v/>
      </c>
      <c r="J36" s="494">
        <f>J6+J12+J18+J24+J28+J32</f>
        <v/>
      </c>
      <c r="K36" s="494">
        <f>K6+K12+K18+K24+K28+K32</f>
        <v/>
      </c>
      <c r="L36" s="494">
        <f>L6+L12+L18+L24+L28+L32</f>
        <v/>
      </c>
      <c r="M36" s="494">
        <f>M6+M12+M18+M24+M28+M32</f>
        <v/>
      </c>
      <c r="N36" s="494">
        <f>N6+N12+N18+N24+N28+N32</f>
        <v/>
      </c>
      <c r="O36" s="495">
        <f>O6+O12+O18+O24+O28+O32</f>
        <v/>
      </c>
      <c r="P36" s="480" t="n"/>
      <c r="Q36" s="480" t="n"/>
      <c r="R36" s="480" t="n"/>
      <c r="S36" s="480" t="n"/>
      <c r="T36" s="480" t="n"/>
      <c r="U36" s="480" t="n"/>
      <c r="V36" s="480" t="n"/>
      <c r="W36" s="480" t="n"/>
      <c r="X36" s="480" t="n"/>
      <c r="Y36" s="480" t="n"/>
    </row>
    <row r="37" ht="12.75" customHeight="1" s="398">
      <c r="A37" s="491" t="n"/>
      <c r="B37" s="491" t="n"/>
      <c r="C37" s="491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491" t="n"/>
      <c r="Q37" s="491" t="n"/>
      <c r="R37" s="491" t="n"/>
      <c r="S37" s="491" t="n"/>
      <c r="T37" s="491" t="n"/>
      <c r="U37" s="491" t="n"/>
      <c r="V37" s="491" t="n"/>
      <c r="W37" s="491" t="n"/>
      <c r="X37" s="491" t="n"/>
      <c r="Y37" s="491" t="n"/>
    </row>
    <row r="38" ht="12.75" customHeight="1" s="398">
      <c r="A38" s="491" t="n"/>
      <c r="B38" s="491" t="n"/>
      <c r="C38" s="491" t="n"/>
      <c r="D38" s="52" t="n"/>
      <c r="E38" s="52" t="n"/>
      <c r="F38" s="52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3" t="n"/>
      <c r="P38" s="491" t="n"/>
      <c r="Q38" s="491" t="n"/>
      <c r="R38" s="491" t="n"/>
      <c r="S38" s="491" t="n"/>
      <c r="T38" s="491" t="n"/>
      <c r="U38" s="491" t="n"/>
      <c r="V38" s="491" t="n"/>
      <c r="W38" s="491" t="n"/>
      <c r="X38" s="491" t="n"/>
      <c r="Y38" s="491" t="n"/>
    </row>
    <row r="39" ht="12.75" customHeight="1" s="398">
      <c r="A39" s="491" t="n"/>
      <c r="B39" s="491" t="n"/>
      <c r="C39" s="491" t="n"/>
      <c r="D39" s="491" t="n"/>
      <c r="E39" s="491" t="n"/>
      <c r="F39" s="491" t="n"/>
      <c r="G39" s="491" t="n"/>
      <c r="H39" s="491" t="n"/>
      <c r="I39" s="491" t="n"/>
      <c r="J39" s="491" t="n"/>
      <c r="K39" s="491" t="n"/>
      <c r="L39" s="491" t="n"/>
      <c r="M39" s="491" t="n"/>
      <c r="N39" s="491" t="n"/>
      <c r="O39" s="491" t="n"/>
      <c r="P39" s="491" t="n"/>
      <c r="Q39" s="491" t="n"/>
      <c r="R39" s="491" t="n"/>
      <c r="S39" s="491" t="n"/>
      <c r="T39" s="491" t="n"/>
      <c r="U39" s="491" t="n"/>
      <c r="V39" s="491" t="n"/>
      <c r="W39" s="491" t="n"/>
      <c r="X39" s="491" t="n"/>
      <c r="Y39" s="491" t="n"/>
    </row>
    <row r="40" ht="12.75" customHeight="1" s="398">
      <c r="A40" s="491" t="n"/>
      <c r="B40" s="491" t="n"/>
      <c r="C40" s="491" t="n"/>
      <c r="D40" s="491" t="n"/>
      <c r="E40" s="491" t="n"/>
      <c r="F40" s="491" t="n"/>
      <c r="G40" s="491" t="n"/>
      <c r="H40" s="491" t="n"/>
      <c r="I40" s="491" t="n"/>
      <c r="J40" s="491" t="n"/>
      <c r="K40" s="491" t="n"/>
      <c r="L40" s="491" t="n"/>
      <c r="M40" s="491" t="n"/>
      <c r="N40" s="491" t="n"/>
      <c r="O40" s="491" t="n"/>
      <c r="P40" s="491" t="n"/>
      <c r="Q40" s="491" t="n"/>
      <c r="R40" s="491" t="n"/>
      <c r="S40" s="491" t="n"/>
      <c r="T40" s="491" t="n"/>
      <c r="U40" s="491" t="n"/>
      <c r="V40" s="491" t="n"/>
      <c r="W40" s="491" t="n"/>
      <c r="X40" s="491" t="n"/>
      <c r="Y40" s="491" t="n"/>
    </row>
    <row r="41" ht="12.75" customHeight="1" s="398">
      <c r="A41" s="491" t="n"/>
      <c r="B41" s="491" t="n"/>
      <c r="C41" s="491" t="n"/>
      <c r="D41" s="491" t="n"/>
      <c r="E41" s="491" t="n"/>
      <c r="F41" s="498" t="n"/>
      <c r="S41" s="491" t="n"/>
      <c r="T41" s="491" t="n"/>
      <c r="U41" s="491" t="n"/>
      <c r="V41" s="491" t="n"/>
      <c r="W41" s="491" t="n"/>
      <c r="X41" s="491" t="n"/>
      <c r="Y41" s="491" t="n"/>
    </row>
    <row r="42" ht="12.75" customHeight="1" s="398">
      <c r="A42" s="491" t="n"/>
      <c r="B42" s="491" t="n"/>
      <c r="C42" s="491" t="n"/>
      <c r="D42" s="491" t="n"/>
      <c r="E42" s="491" t="n"/>
      <c r="S42" s="491" t="n"/>
      <c r="T42" s="491" t="n"/>
      <c r="U42" s="491" t="n"/>
      <c r="V42" s="491" t="n"/>
      <c r="W42" s="491" t="n"/>
      <c r="X42" s="491" t="n"/>
      <c r="Y42" s="491" t="n"/>
    </row>
    <row r="43" ht="12.75" customHeight="1" s="398">
      <c r="A43" s="491" t="n"/>
      <c r="B43" s="491" t="n"/>
      <c r="C43" s="491" t="n"/>
      <c r="D43" s="491" t="n"/>
      <c r="E43" s="491" t="n"/>
      <c r="S43" s="491" t="n"/>
      <c r="T43" s="491" t="n"/>
      <c r="U43" s="491" t="n"/>
      <c r="V43" s="491" t="n"/>
      <c r="W43" s="491" t="n"/>
      <c r="X43" s="491" t="n"/>
      <c r="Y43" s="491" t="n"/>
    </row>
    <row r="44" ht="12.75" customHeight="1" s="398">
      <c r="A44" s="491" t="n"/>
      <c r="B44" s="491" t="n"/>
      <c r="C44" s="491" t="n"/>
      <c r="D44" s="491" t="n"/>
      <c r="E44" s="491" t="n"/>
      <c r="S44" s="491" t="n"/>
      <c r="T44" s="491" t="n"/>
      <c r="U44" s="491" t="n"/>
      <c r="V44" s="491" t="n"/>
      <c r="W44" s="491" t="n"/>
      <c r="X44" s="491" t="n"/>
      <c r="Y44" s="491" t="n"/>
    </row>
    <row r="45" ht="12.75" customHeight="1" s="398">
      <c r="A45" s="491" t="n"/>
      <c r="B45" s="491" t="n"/>
      <c r="C45" s="491" t="n"/>
      <c r="D45" s="491" t="n"/>
      <c r="E45" s="491" t="n"/>
      <c r="S45" s="491" t="n"/>
      <c r="T45" s="491" t="n"/>
      <c r="U45" s="491" t="n"/>
      <c r="V45" s="491" t="n"/>
      <c r="W45" s="491" t="n"/>
      <c r="X45" s="491" t="n"/>
      <c r="Y45" s="491" t="n"/>
    </row>
    <row r="46" ht="12.75" customHeight="1" s="398">
      <c r="A46" s="491" t="n"/>
      <c r="B46" s="491" t="n"/>
      <c r="C46" s="491" t="n"/>
      <c r="D46" s="491" t="n"/>
      <c r="E46" s="491" t="n"/>
      <c r="S46" s="491" t="n"/>
      <c r="T46" s="491" t="n"/>
      <c r="U46" s="491" t="n"/>
      <c r="V46" s="491" t="n"/>
      <c r="W46" s="491" t="n"/>
      <c r="X46" s="491" t="n"/>
      <c r="Y46" s="491" t="n"/>
    </row>
    <row r="47" ht="12.75" customHeight="1" s="398">
      <c r="A47" s="491" t="n"/>
      <c r="B47" s="491" t="n"/>
      <c r="C47" s="491" t="n"/>
      <c r="D47" s="491" t="n"/>
      <c r="E47" s="491" t="n"/>
      <c r="S47" s="491" t="n"/>
      <c r="T47" s="491" t="n"/>
      <c r="U47" s="491" t="n"/>
      <c r="V47" s="491" t="n"/>
      <c r="W47" s="491" t="n"/>
      <c r="X47" s="491" t="n"/>
      <c r="Y47" s="491" t="n"/>
    </row>
    <row r="48" ht="12.75" customHeight="1" s="398">
      <c r="A48" s="491" t="n"/>
      <c r="B48" s="491" t="n"/>
      <c r="C48" s="491" t="n"/>
      <c r="D48" s="491" t="n"/>
      <c r="E48" s="491" t="n"/>
      <c r="S48" s="491" t="n"/>
      <c r="T48" s="491" t="n"/>
      <c r="U48" s="491" t="n"/>
      <c r="V48" s="491" t="n"/>
      <c r="W48" s="491" t="n"/>
      <c r="X48" s="491" t="n"/>
      <c r="Y48" s="491" t="n"/>
    </row>
    <row r="49" ht="12.75" customHeight="1" s="398">
      <c r="A49" s="491" t="n"/>
      <c r="B49" s="491" t="n"/>
      <c r="C49" s="491" t="n"/>
      <c r="D49" s="491" t="n"/>
      <c r="E49" s="491" t="n"/>
      <c r="S49" s="491" t="n"/>
      <c r="T49" s="491" t="n"/>
      <c r="U49" s="491" t="n"/>
      <c r="V49" s="491" t="n"/>
      <c r="W49" s="491" t="n"/>
      <c r="X49" s="491" t="n"/>
      <c r="Y49" s="491" t="n"/>
    </row>
    <row r="50" ht="12.75" customHeight="1" s="398">
      <c r="A50" s="491" t="n"/>
      <c r="B50" s="491" t="n"/>
      <c r="C50" s="491" t="n"/>
      <c r="D50" s="491" t="n"/>
      <c r="E50" s="491" t="n"/>
      <c r="S50" s="491" t="n"/>
      <c r="T50" s="491" t="n"/>
      <c r="U50" s="491" t="n"/>
      <c r="V50" s="491" t="n"/>
      <c r="W50" s="491" t="n"/>
      <c r="X50" s="491" t="n"/>
      <c r="Y50" s="491" t="n"/>
    </row>
    <row r="51" ht="12.75" customHeight="1" s="398">
      <c r="A51" s="491" t="n"/>
      <c r="B51" s="491" t="n"/>
      <c r="C51" s="491" t="n"/>
      <c r="D51" s="491" t="n"/>
      <c r="E51" s="491" t="n"/>
      <c r="S51" s="491" t="n"/>
      <c r="T51" s="491" t="n"/>
      <c r="U51" s="491" t="n"/>
      <c r="V51" s="491" t="n"/>
      <c r="W51" s="491" t="n"/>
      <c r="X51" s="491" t="n"/>
      <c r="Y51" s="491" t="n"/>
    </row>
    <row r="52" ht="12.75" customHeight="1" s="398">
      <c r="A52" s="491" t="n"/>
      <c r="B52" s="491" t="n"/>
      <c r="C52" s="491" t="n"/>
      <c r="D52" s="491" t="n"/>
      <c r="E52" s="491" t="n"/>
      <c r="S52" s="491" t="n"/>
      <c r="T52" s="491" t="n"/>
      <c r="U52" s="491" t="n"/>
      <c r="V52" s="491" t="n"/>
      <c r="W52" s="491" t="n"/>
      <c r="X52" s="491" t="n"/>
      <c r="Y52" s="491" t="n"/>
    </row>
    <row r="53" ht="12.75" customHeight="1" s="398">
      <c r="A53" s="491" t="n"/>
      <c r="B53" s="491" t="n"/>
      <c r="C53" s="491" t="n"/>
      <c r="D53" s="491" t="n"/>
      <c r="E53" s="491" t="n"/>
      <c r="S53" s="491" t="n"/>
      <c r="T53" s="491" t="n"/>
      <c r="U53" s="491" t="n"/>
      <c r="V53" s="491" t="n"/>
      <c r="W53" s="491" t="n"/>
      <c r="X53" s="491" t="n"/>
      <c r="Y53" s="491" t="n"/>
    </row>
    <row r="54" ht="12.75" customHeight="1" s="398">
      <c r="A54" s="491" t="n"/>
      <c r="B54" s="491" t="n"/>
      <c r="C54" s="491" t="n"/>
      <c r="D54" s="491" t="n"/>
      <c r="E54" s="491" t="n"/>
      <c r="S54" s="491" t="n"/>
      <c r="T54" s="491" t="n"/>
      <c r="U54" s="491" t="n"/>
      <c r="V54" s="491" t="n"/>
      <c r="W54" s="491" t="n"/>
      <c r="X54" s="491" t="n"/>
      <c r="Y54" s="491" t="n"/>
    </row>
    <row r="55" ht="12.75" customHeight="1" s="398">
      <c r="A55" s="491" t="n"/>
      <c r="B55" s="491" t="n"/>
      <c r="C55" s="491" t="n"/>
      <c r="D55" s="491" t="n"/>
      <c r="E55" s="491" t="n"/>
      <c r="S55" s="491" t="n"/>
      <c r="T55" s="491" t="n"/>
      <c r="U55" s="491" t="n"/>
      <c r="V55" s="491" t="n"/>
      <c r="W55" s="491" t="n"/>
      <c r="X55" s="491" t="n"/>
      <c r="Y55" s="491" t="n"/>
    </row>
    <row r="56" ht="12.75" customHeight="1" s="398">
      <c r="A56" s="491" t="n"/>
      <c r="B56" s="491" t="n"/>
      <c r="C56" s="491" t="n"/>
      <c r="D56" s="491" t="n"/>
      <c r="E56" s="491" t="n"/>
      <c r="S56" s="491" t="n"/>
      <c r="T56" s="491" t="n"/>
      <c r="U56" s="491" t="n"/>
      <c r="V56" s="491" t="n"/>
      <c r="W56" s="491" t="n"/>
      <c r="X56" s="491" t="n"/>
      <c r="Y56" s="491" t="n"/>
    </row>
    <row r="57" ht="12.75" customHeight="1" s="398">
      <c r="A57" s="491" t="n"/>
      <c r="B57" s="491" t="n"/>
      <c r="C57" s="491" t="n"/>
      <c r="D57" s="491" t="n"/>
      <c r="E57" s="491" t="n"/>
      <c r="S57" s="491" t="n"/>
      <c r="T57" s="491" t="n"/>
      <c r="U57" s="491" t="n"/>
      <c r="V57" s="491" t="n"/>
      <c r="W57" s="491" t="n"/>
      <c r="X57" s="491" t="n"/>
      <c r="Y57" s="491" t="n"/>
    </row>
    <row r="58" ht="12.75" customHeight="1" s="398">
      <c r="A58" s="491" t="n"/>
      <c r="B58" s="491" t="n"/>
      <c r="C58" s="491" t="n"/>
      <c r="D58" s="491" t="n"/>
      <c r="E58" s="491" t="n"/>
      <c r="S58" s="491" t="n"/>
      <c r="T58" s="491" t="n"/>
      <c r="U58" s="491" t="n"/>
      <c r="V58" s="491" t="n"/>
      <c r="W58" s="491" t="n"/>
      <c r="X58" s="491" t="n"/>
      <c r="Y58" s="491" t="n"/>
    </row>
    <row r="59" ht="12.75" customHeight="1" s="398">
      <c r="A59" s="491" t="n"/>
      <c r="B59" s="491" t="n"/>
      <c r="C59" s="491" t="n"/>
      <c r="D59" s="491" t="n"/>
      <c r="E59" s="491" t="n"/>
      <c r="S59" s="491" t="n"/>
      <c r="T59" s="491" t="n"/>
      <c r="U59" s="491" t="n"/>
      <c r="V59" s="491" t="n"/>
      <c r="W59" s="491" t="n"/>
      <c r="X59" s="491" t="n"/>
      <c r="Y59" s="491" t="n"/>
    </row>
    <row r="60" ht="12.75" customHeight="1" s="398">
      <c r="A60" s="491" t="n"/>
      <c r="B60" s="491" t="n"/>
      <c r="C60" s="491" t="n"/>
      <c r="D60" s="491" t="n"/>
      <c r="E60" s="491" t="n"/>
      <c r="S60" s="491" t="n"/>
      <c r="T60" s="491" t="n"/>
      <c r="U60" s="491" t="n"/>
      <c r="V60" s="491" t="n"/>
      <c r="W60" s="491" t="n"/>
      <c r="X60" s="491" t="n"/>
      <c r="Y60" s="491" t="n"/>
    </row>
    <row r="61" ht="12.75" customHeight="1" s="398">
      <c r="A61" s="491" t="n"/>
      <c r="B61" s="491" t="n"/>
      <c r="C61" s="491" t="n"/>
      <c r="D61" s="491" t="n"/>
      <c r="E61" s="491" t="n"/>
      <c r="S61" s="491" t="n"/>
      <c r="T61" s="491" t="n"/>
      <c r="U61" s="491" t="n"/>
      <c r="V61" s="491" t="n"/>
      <c r="W61" s="491" t="n"/>
      <c r="X61" s="491" t="n"/>
      <c r="Y61" s="491" t="n"/>
    </row>
    <row r="62" ht="12.75" customHeight="1" s="398">
      <c r="A62" s="491" t="n"/>
      <c r="B62" s="491" t="n"/>
      <c r="C62" s="491" t="n"/>
      <c r="D62" s="491" t="n"/>
      <c r="E62" s="491" t="n"/>
      <c r="S62" s="491" t="n"/>
      <c r="T62" s="491" t="n"/>
      <c r="U62" s="491" t="n"/>
      <c r="V62" s="491" t="n"/>
      <c r="W62" s="491" t="n"/>
      <c r="X62" s="491" t="n"/>
      <c r="Y62" s="491" t="n"/>
    </row>
    <row r="63" ht="12.75" customHeight="1" s="398">
      <c r="A63" s="491" t="n"/>
      <c r="B63" s="491" t="n"/>
      <c r="C63" s="491" t="n"/>
      <c r="D63" s="491" t="n"/>
      <c r="E63" s="491" t="n"/>
      <c r="S63" s="491" t="n"/>
      <c r="T63" s="491" t="n"/>
      <c r="U63" s="491" t="n"/>
      <c r="V63" s="491" t="n"/>
      <c r="W63" s="491" t="n"/>
      <c r="X63" s="491" t="n"/>
      <c r="Y63" s="491" t="n"/>
    </row>
    <row r="64" ht="12.75" customHeight="1" s="398">
      <c r="A64" s="491" t="n"/>
      <c r="B64" s="491" t="n"/>
      <c r="C64" s="491" t="n"/>
      <c r="D64" s="491" t="n"/>
      <c r="E64" s="491" t="n"/>
      <c r="S64" s="491" t="n"/>
      <c r="T64" s="491" t="n"/>
      <c r="U64" s="491" t="n"/>
      <c r="V64" s="491" t="n"/>
      <c r="W64" s="491" t="n"/>
      <c r="X64" s="491" t="n"/>
      <c r="Y64" s="491" t="n"/>
    </row>
    <row r="65" ht="12.75" customHeight="1" s="398">
      <c r="A65" s="491" t="n"/>
      <c r="B65" s="491" t="n"/>
      <c r="C65" s="491" t="n"/>
      <c r="D65" s="491" t="n"/>
      <c r="E65" s="491" t="n"/>
      <c r="S65" s="491" t="n"/>
      <c r="T65" s="491" t="n"/>
      <c r="U65" s="491" t="n"/>
      <c r="V65" s="491" t="n"/>
      <c r="W65" s="491" t="n"/>
      <c r="X65" s="491" t="n"/>
      <c r="Y65" s="491" t="n"/>
    </row>
    <row r="66" ht="12.75" customHeight="1" s="398">
      <c r="A66" s="491" t="n"/>
      <c r="B66" s="491" t="n"/>
      <c r="C66" s="491" t="n"/>
      <c r="D66" s="491" t="n"/>
      <c r="E66" s="491" t="n"/>
      <c r="S66" s="491" t="n"/>
      <c r="T66" s="491" t="n"/>
      <c r="U66" s="491" t="n"/>
      <c r="V66" s="491" t="n"/>
      <c r="W66" s="491" t="n"/>
      <c r="X66" s="491" t="n"/>
      <c r="Y66" s="491" t="n"/>
    </row>
    <row r="67" ht="12.75" customHeight="1" s="398">
      <c r="A67" s="491" t="n"/>
      <c r="B67" s="491" t="n"/>
      <c r="C67" s="491" t="n"/>
      <c r="D67" s="491" t="n"/>
      <c r="E67" s="491" t="n"/>
      <c r="S67" s="491" t="n"/>
      <c r="T67" s="491" t="n"/>
      <c r="U67" s="491" t="n"/>
      <c r="V67" s="491" t="n"/>
      <c r="W67" s="491" t="n"/>
      <c r="X67" s="491" t="n"/>
      <c r="Y67" s="491" t="n"/>
    </row>
    <row r="68" ht="12.75" customHeight="1" s="398">
      <c r="A68" s="491" t="n"/>
      <c r="B68" s="491" t="n"/>
      <c r="C68" s="491" t="n"/>
      <c r="D68" s="491" t="n"/>
      <c r="E68" s="491" t="n"/>
      <c r="S68" s="491" t="n"/>
      <c r="T68" s="491" t="n"/>
      <c r="U68" s="491" t="n"/>
      <c r="V68" s="491" t="n"/>
      <c r="W68" s="491" t="n"/>
      <c r="X68" s="491" t="n"/>
      <c r="Y68" s="491" t="n"/>
    </row>
    <row r="69" ht="12.75" customHeight="1" s="398">
      <c r="A69" s="491" t="n"/>
      <c r="B69" s="491" t="n"/>
      <c r="C69" s="491" t="n"/>
      <c r="D69" s="491" t="n"/>
      <c r="E69" s="491" t="n"/>
      <c r="F69" s="491" t="n"/>
      <c r="G69" s="491" t="n"/>
      <c r="H69" s="491" t="n"/>
      <c r="I69" s="491" t="n"/>
      <c r="J69" s="491" t="n"/>
      <c r="K69" s="491" t="n"/>
      <c r="L69" s="491" t="n"/>
      <c r="M69" s="491" t="n"/>
      <c r="N69" s="491" t="n"/>
      <c r="O69" s="491" t="n"/>
      <c r="P69" s="491" t="n"/>
      <c r="Q69" s="491" t="n"/>
      <c r="R69" s="491" t="n"/>
      <c r="S69" s="491" t="n"/>
      <c r="T69" s="491" t="n"/>
      <c r="U69" s="491" t="n"/>
      <c r="V69" s="491" t="n"/>
      <c r="W69" s="491" t="n"/>
      <c r="X69" s="491" t="n"/>
      <c r="Y69" s="491" t="n"/>
    </row>
    <row r="70" ht="12.75" customHeight="1" s="398">
      <c r="A70" s="491" t="n"/>
      <c r="B70" s="491" t="n"/>
      <c r="C70" s="491" t="n"/>
      <c r="D70" s="491" t="n"/>
      <c r="E70" s="491" t="n"/>
      <c r="F70" s="491" t="n"/>
      <c r="G70" s="491" t="n"/>
      <c r="H70" s="491" t="n"/>
      <c r="I70" s="491" t="n"/>
      <c r="J70" s="491" t="n"/>
      <c r="K70" s="491" t="n"/>
      <c r="L70" s="491" t="n"/>
      <c r="M70" s="491" t="n"/>
      <c r="N70" s="491" t="n"/>
      <c r="O70" s="491" t="n"/>
      <c r="P70" s="491" t="n"/>
      <c r="Q70" s="491" t="n"/>
      <c r="R70" s="491" t="n"/>
      <c r="S70" s="491" t="n"/>
      <c r="T70" s="491" t="n"/>
      <c r="U70" s="491" t="n"/>
      <c r="V70" s="491" t="n"/>
      <c r="W70" s="491" t="n"/>
      <c r="X70" s="491" t="n"/>
      <c r="Y70" s="491" t="n"/>
    </row>
    <row r="71" ht="12.75" customHeight="1" s="398">
      <c r="A71" s="491" t="n"/>
      <c r="B71" s="491" t="n"/>
      <c r="C71" s="491" t="n"/>
      <c r="D71" s="491" t="n"/>
      <c r="E71" s="491" t="n"/>
      <c r="F71" s="491" t="n"/>
      <c r="G71" s="491" t="n"/>
      <c r="H71" s="491" t="n"/>
      <c r="I71" s="491" t="n"/>
      <c r="J71" s="491" t="n"/>
      <c r="K71" s="491" t="n"/>
      <c r="L71" s="491" t="n"/>
      <c r="M71" s="491" t="n"/>
      <c r="N71" s="491" t="n"/>
      <c r="O71" s="491" t="n"/>
      <c r="P71" s="491" t="n"/>
      <c r="Q71" s="491" t="n"/>
      <c r="R71" s="491" t="n"/>
      <c r="S71" s="491" t="n"/>
      <c r="T71" s="491" t="n"/>
      <c r="U71" s="491" t="n"/>
      <c r="V71" s="491" t="n"/>
      <c r="W71" s="491" t="n"/>
      <c r="X71" s="491" t="n"/>
      <c r="Y71" s="491" t="n"/>
    </row>
    <row r="72" ht="12.75" customHeight="1" s="398">
      <c r="A72" s="491" t="n"/>
      <c r="B72" s="491" t="n"/>
      <c r="C72" s="491" t="n"/>
      <c r="D72" s="491" t="n"/>
      <c r="E72" s="491" t="n"/>
      <c r="F72" s="491" t="n"/>
      <c r="G72" s="491" t="n"/>
      <c r="H72" s="491" t="n"/>
      <c r="I72" s="491" t="n"/>
      <c r="J72" s="491" t="n"/>
      <c r="K72" s="491" t="n"/>
      <c r="L72" s="491" t="n"/>
      <c r="M72" s="491" t="n"/>
      <c r="N72" s="491" t="n"/>
      <c r="O72" s="491" t="n"/>
      <c r="P72" s="491" t="n"/>
      <c r="Q72" s="491" t="n"/>
      <c r="R72" s="491" t="n"/>
      <c r="S72" s="491" t="n"/>
      <c r="T72" s="491" t="n"/>
      <c r="U72" s="491" t="n"/>
      <c r="V72" s="491" t="n"/>
      <c r="W72" s="491" t="n"/>
      <c r="X72" s="491" t="n"/>
      <c r="Y72" s="491" t="n"/>
    </row>
    <row r="73" ht="12.75" customHeight="1" s="398">
      <c r="A73" s="491" t="n"/>
      <c r="B73" s="491" t="n"/>
      <c r="C73" s="491" t="n"/>
      <c r="D73" s="491" t="n"/>
      <c r="E73" s="491" t="n"/>
      <c r="F73" s="491" t="n"/>
      <c r="G73" s="491" t="n"/>
      <c r="H73" s="491" t="n"/>
      <c r="I73" s="491" t="n"/>
      <c r="J73" s="491" t="n"/>
      <c r="K73" s="491" t="n"/>
      <c r="L73" s="491" t="n"/>
      <c r="M73" s="491" t="n"/>
      <c r="N73" s="491" t="n"/>
      <c r="O73" s="491" t="n"/>
      <c r="P73" s="491" t="n"/>
      <c r="Q73" s="491" t="n"/>
      <c r="R73" s="491" t="n"/>
      <c r="S73" s="491" t="n"/>
      <c r="T73" s="491" t="n"/>
      <c r="U73" s="491" t="n"/>
      <c r="V73" s="491" t="n"/>
      <c r="W73" s="491" t="n"/>
      <c r="X73" s="491" t="n"/>
      <c r="Y73" s="491" t="n"/>
    </row>
    <row r="74" ht="12.75" customHeight="1" s="398">
      <c r="A74" s="491" t="n"/>
      <c r="B74" s="491" t="n"/>
      <c r="C74" s="491" t="n"/>
      <c r="D74" s="491" t="n"/>
      <c r="E74" s="491" t="n"/>
      <c r="F74" s="491" t="n"/>
      <c r="G74" s="491" t="n"/>
      <c r="H74" s="491" t="n"/>
      <c r="I74" s="491" t="n"/>
      <c r="J74" s="491" t="n"/>
      <c r="K74" s="491" t="n"/>
      <c r="L74" s="491" t="n"/>
      <c r="M74" s="491" t="n"/>
      <c r="N74" s="491" t="n"/>
      <c r="O74" s="491" t="n"/>
      <c r="P74" s="491" t="n"/>
      <c r="Q74" s="491" t="n"/>
      <c r="R74" s="491" t="n"/>
      <c r="S74" s="491" t="n"/>
      <c r="T74" s="491" t="n"/>
      <c r="U74" s="491" t="n"/>
      <c r="V74" s="491" t="n"/>
      <c r="W74" s="491" t="n"/>
      <c r="X74" s="491" t="n"/>
      <c r="Y74" s="491" t="n"/>
    </row>
    <row r="75" ht="12.75" customHeight="1" s="398">
      <c r="A75" s="491" t="n"/>
      <c r="B75" s="491" t="n"/>
      <c r="C75" s="491" t="n"/>
      <c r="D75" s="491" t="n"/>
      <c r="E75" s="491" t="n"/>
      <c r="F75" s="491" t="n"/>
      <c r="G75" s="491" t="n"/>
      <c r="H75" s="491" t="n"/>
      <c r="I75" s="491" t="n"/>
      <c r="J75" s="491" t="n"/>
      <c r="K75" s="491" t="n"/>
      <c r="L75" s="491" t="n"/>
      <c r="M75" s="491" t="n"/>
      <c r="N75" s="491" t="n"/>
      <c r="O75" s="491" t="n"/>
      <c r="P75" s="491" t="n"/>
      <c r="Q75" s="491" t="n"/>
      <c r="R75" s="491" t="n"/>
      <c r="S75" s="491" t="n"/>
      <c r="T75" s="491" t="n"/>
      <c r="U75" s="491" t="n"/>
      <c r="V75" s="491" t="n"/>
      <c r="W75" s="491" t="n"/>
      <c r="X75" s="491" t="n"/>
      <c r="Y75" s="491" t="n"/>
    </row>
    <row r="76" ht="12.75" customHeight="1" s="398">
      <c r="A76" s="491" t="n"/>
      <c r="B76" s="491" t="n"/>
      <c r="C76" s="491" t="n"/>
      <c r="D76" s="491" t="n"/>
      <c r="E76" s="491" t="n"/>
      <c r="F76" s="491" t="n"/>
      <c r="G76" s="491" t="n"/>
      <c r="H76" s="491" t="n"/>
      <c r="I76" s="491" t="n"/>
      <c r="J76" s="491" t="n"/>
      <c r="K76" s="491" t="n"/>
      <c r="L76" s="480" t="n"/>
      <c r="M76" s="491" t="n"/>
      <c r="N76" s="491" t="n"/>
      <c r="O76" s="491" t="n"/>
      <c r="P76" s="491" t="n"/>
      <c r="Q76" s="491" t="n"/>
      <c r="R76" s="491" t="n"/>
      <c r="S76" s="491" t="n"/>
      <c r="T76" s="491" t="n"/>
      <c r="U76" s="491" t="n"/>
      <c r="V76" s="491" t="n"/>
      <c r="W76" s="491" t="n"/>
      <c r="X76" s="491" t="n"/>
      <c r="Y76" s="491" t="n"/>
    </row>
    <row r="77" ht="12.75" customHeight="1" s="398">
      <c r="A77" s="491" t="n"/>
      <c r="B77" s="491" t="n"/>
      <c r="C77" s="491" t="n"/>
      <c r="D77" s="491" t="n"/>
      <c r="E77" s="491" t="n"/>
      <c r="F77" s="491" t="n"/>
      <c r="G77" s="491" t="n"/>
      <c r="H77" s="491" t="n"/>
      <c r="I77" s="491" t="n"/>
      <c r="J77" s="491" t="n"/>
      <c r="K77" s="491" t="n"/>
      <c r="L77" s="491" t="n"/>
      <c r="M77" s="491" t="n"/>
      <c r="N77" s="491" t="n"/>
      <c r="O77" s="491" t="n"/>
      <c r="P77" s="491" t="n"/>
      <c r="Q77" s="491" t="n"/>
      <c r="R77" s="491" t="n"/>
      <c r="S77" s="491" t="n"/>
      <c r="T77" s="491" t="n"/>
      <c r="U77" s="491" t="n"/>
      <c r="V77" s="491" t="n"/>
      <c r="W77" s="491" t="n"/>
      <c r="X77" s="491" t="n"/>
      <c r="Y77" s="491" t="n"/>
    </row>
    <row r="78" ht="12.75" customHeight="1" s="398">
      <c r="A78" s="491" t="n"/>
      <c r="B78" s="491" t="n"/>
      <c r="C78" s="491" t="n"/>
      <c r="D78" s="491" t="n"/>
      <c r="E78" s="491" t="n"/>
      <c r="F78" s="491" t="n"/>
      <c r="G78" s="491" t="n"/>
      <c r="H78" s="491" t="n"/>
      <c r="I78" s="491" t="n"/>
      <c r="J78" s="491" t="n"/>
      <c r="K78" s="491" t="n"/>
      <c r="L78" s="491" t="n"/>
      <c r="M78" s="491" t="n"/>
      <c r="N78" s="491" t="n"/>
      <c r="O78" s="491" t="n"/>
      <c r="P78" s="491" t="n"/>
      <c r="Q78" s="491" t="n"/>
      <c r="R78" s="491" t="n"/>
      <c r="S78" s="491" t="n"/>
      <c r="T78" s="491" t="n"/>
      <c r="U78" s="491" t="n"/>
      <c r="V78" s="491" t="n"/>
      <c r="W78" s="491" t="n"/>
      <c r="X78" s="491" t="n"/>
      <c r="Y78" s="491" t="n"/>
    </row>
    <row r="79" ht="12.75" customHeight="1" s="398">
      <c r="A79" s="491" t="n"/>
      <c r="B79" s="491" t="n"/>
      <c r="C79" s="491" t="n"/>
      <c r="D79" s="491" t="n"/>
      <c r="E79" s="491" t="n"/>
      <c r="F79" s="491" t="n"/>
      <c r="G79" s="491" t="n"/>
      <c r="H79" s="491" t="n"/>
      <c r="I79" s="491" t="n"/>
      <c r="J79" s="491" t="n"/>
      <c r="K79" s="491" t="n"/>
      <c r="L79" s="491" t="n"/>
      <c r="M79" s="491" t="n"/>
      <c r="N79" s="491" t="n"/>
      <c r="O79" s="491" t="n"/>
      <c r="P79" s="491" t="n"/>
      <c r="Q79" s="491" t="n"/>
      <c r="R79" s="491" t="n"/>
      <c r="S79" s="491" t="n"/>
      <c r="T79" s="491" t="n"/>
      <c r="U79" s="491" t="n"/>
      <c r="V79" s="491" t="n"/>
      <c r="W79" s="491" t="n"/>
      <c r="X79" s="491" t="n"/>
      <c r="Y79" s="491" t="n"/>
    </row>
    <row r="80" ht="12.75" customHeight="1" s="398">
      <c r="A80" s="491" t="n"/>
      <c r="B80" s="491" t="n"/>
      <c r="C80" s="491" t="n"/>
      <c r="D80" s="491" t="n"/>
      <c r="E80" s="491" t="n"/>
      <c r="F80" s="491" t="n"/>
      <c r="G80" s="491" t="n"/>
      <c r="H80" s="491" t="n"/>
      <c r="I80" s="491" t="n"/>
      <c r="J80" s="491" t="n"/>
      <c r="K80" s="491" t="n"/>
      <c r="L80" s="491" t="n"/>
      <c r="M80" s="491" t="n"/>
      <c r="N80" s="491" t="n"/>
      <c r="O80" s="491" t="n"/>
      <c r="P80" s="491" t="n"/>
      <c r="Q80" s="491" t="n"/>
      <c r="R80" s="491" t="n"/>
      <c r="S80" s="491" t="n"/>
      <c r="T80" s="491" t="n"/>
      <c r="U80" s="491" t="n"/>
      <c r="V80" s="491" t="n"/>
      <c r="W80" s="491" t="n"/>
      <c r="X80" s="491" t="n"/>
      <c r="Y80" s="491" t="n"/>
    </row>
    <row r="81" ht="12.75" customHeight="1" s="398">
      <c r="A81" s="491" t="n"/>
      <c r="B81" s="491" t="n"/>
      <c r="C81" s="491" t="n"/>
      <c r="D81" s="491" t="n"/>
      <c r="E81" s="491" t="n"/>
      <c r="F81" s="491" t="n"/>
      <c r="G81" s="491" t="n"/>
      <c r="H81" s="491" t="n"/>
      <c r="I81" s="491" t="n"/>
      <c r="J81" s="491" t="n"/>
      <c r="K81" s="491" t="n"/>
      <c r="L81" s="491" t="n"/>
      <c r="M81" s="491" t="n"/>
      <c r="N81" s="491" t="n"/>
      <c r="O81" s="491" t="n"/>
      <c r="P81" s="491" t="n"/>
      <c r="Q81" s="491" t="n"/>
      <c r="R81" s="491" t="n"/>
      <c r="S81" s="491" t="n"/>
      <c r="T81" s="491" t="n"/>
      <c r="U81" s="491" t="n"/>
      <c r="V81" s="491" t="n"/>
      <c r="W81" s="491" t="n"/>
      <c r="X81" s="491" t="n"/>
      <c r="Y81" s="491" t="n"/>
    </row>
    <row r="82" ht="12.75" customHeight="1" s="398">
      <c r="A82" s="491" t="n"/>
      <c r="B82" s="491" t="n"/>
      <c r="C82" s="491" t="n"/>
      <c r="D82" s="491" t="n"/>
      <c r="E82" s="491" t="n"/>
      <c r="F82" s="491" t="n"/>
      <c r="G82" s="491" t="n"/>
      <c r="H82" s="491" t="n"/>
      <c r="I82" s="491" t="n"/>
      <c r="J82" s="491" t="n"/>
      <c r="K82" s="491" t="n"/>
      <c r="L82" s="491" t="n"/>
      <c r="M82" s="491" t="n"/>
      <c r="N82" s="491" t="n"/>
      <c r="O82" s="491" t="n"/>
      <c r="P82" s="491" t="n"/>
      <c r="Q82" s="491" t="n"/>
      <c r="R82" s="491" t="n"/>
      <c r="S82" s="491" t="n"/>
      <c r="T82" s="491" t="n"/>
      <c r="U82" s="491" t="n"/>
      <c r="V82" s="491" t="n"/>
      <c r="W82" s="491" t="n"/>
      <c r="X82" s="491" t="n"/>
      <c r="Y82" s="491" t="n"/>
    </row>
    <row r="83" ht="12.75" customHeight="1" s="398">
      <c r="A83" s="491" t="n"/>
      <c r="B83" s="491" t="n"/>
      <c r="C83" s="491" t="n"/>
      <c r="D83" s="491" t="n"/>
      <c r="E83" s="491" t="n"/>
      <c r="F83" s="491" t="n"/>
      <c r="G83" s="491" t="n"/>
      <c r="H83" s="491" t="n"/>
      <c r="I83" s="491" t="n"/>
      <c r="J83" s="491" t="n"/>
      <c r="K83" s="491" t="n"/>
      <c r="L83" s="491" t="n"/>
      <c r="M83" s="491" t="n"/>
      <c r="N83" s="491" t="n"/>
      <c r="O83" s="491" t="n"/>
      <c r="P83" s="491" t="n"/>
      <c r="Q83" s="491" t="n"/>
      <c r="R83" s="491" t="n"/>
      <c r="S83" s="491" t="n"/>
      <c r="T83" s="491" t="n"/>
      <c r="U83" s="491" t="n"/>
      <c r="V83" s="491" t="n"/>
      <c r="W83" s="491" t="n"/>
      <c r="X83" s="491" t="n"/>
      <c r="Y83" s="491" t="n"/>
    </row>
    <row r="84" ht="12.75" customHeight="1" s="398">
      <c r="A84" s="491" t="n"/>
      <c r="B84" s="491" t="n"/>
      <c r="C84" s="491" t="n"/>
      <c r="D84" s="491" t="n"/>
      <c r="E84" s="491" t="n"/>
      <c r="F84" s="491" t="n"/>
      <c r="G84" s="491" t="n"/>
      <c r="H84" s="491" t="n"/>
      <c r="I84" s="491" t="n"/>
      <c r="J84" s="491" t="n"/>
      <c r="K84" s="491" t="n"/>
      <c r="L84" s="491" t="n"/>
      <c r="M84" s="491" t="n"/>
      <c r="N84" s="491" t="n"/>
      <c r="O84" s="491" t="n"/>
      <c r="P84" s="491" t="n"/>
      <c r="Q84" s="491" t="n"/>
      <c r="R84" s="491" t="n"/>
      <c r="S84" s="491" t="n"/>
      <c r="T84" s="491" t="n"/>
      <c r="U84" s="491" t="n"/>
      <c r="V84" s="491" t="n"/>
      <c r="W84" s="491" t="n"/>
      <c r="X84" s="491" t="n"/>
      <c r="Y84" s="491" t="n"/>
    </row>
    <row r="85" ht="12.75" customHeight="1" s="398">
      <c r="A85" s="491" t="n"/>
      <c r="B85" s="491" t="n"/>
      <c r="C85" s="491" t="n"/>
      <c r="D85" s="491" t="n"/>
      <c r="E85" s="491" t="n"/>
      <c r="F85" s="491" t="n"/>
      <c r="G85" s="491" t="n"/>
      <c r="H85" s="491" t="n"/>
      <c r="I85" s="491" t="n"/>
      <c r="J85" s="491" t="n"/>
      <c r="K85" s="491" t="n"/>
      <c r="L85" s="491" t="n"/>
      <c r="M85" s="491" t="n"/>
      <c r="N85" s="491" t="n"/>
      <c r="O85" s="491" t="n"/>
      <c r="P85" s="491" t="n"/>
      <c r="Q85" s="491" t="n"/>
      <c r="R85" s="491" t="n"/>
      <c r="S85" s="491" t="n"/>
      <c r="T85" s="491" t="n"/>
      <c r="U85" s="491" t="n"/>
      <c r="V85" s="491" t="n"/>
      <c r="W85" s="491" t="n"/>
      <c r="X85" s="491" t="n"/>
      <c r="Y85" s="491" t="n"/>
    </row>
    <row r="86" ht="12.75" customHeight="1" s="398">
      <c r="A86" s="491" t="n"/>
      <c r="B86" s="491" t="n"/>
      <c r="C86" s="491" t="n"/>
      <c r="D86" s="491" t="n"/>
      <c r="E86" s="491" t="n"/>
      <c r="F86" s="491" t="n"/>
      <c r="G86" s="491" t="n"/>
      <c r="H86" s="491" t="n"/>
      <c r="I86" s="491" t="n"/>
      <c r="J86" s="491" t="n"/>
      <c r="K86" s="491" t="n"/>
      <c r="L86" s="491" t="n"/>
      <c r="M86" s="491" t="n"/>
      <c r="N86" s="491" t="n"/>
      <c r="O86" s="491" t="n"/>
      <c r="P86" s="491" t="n"/>
      <c r="Q86" s="491" t="n"/>
      <c r="R86" s="491" t="n"/>
      <c r="S86" s="491" t="n"/>
      <c r="T86" s="491" t="n"/>
      <c r="U86" s="491" t="n"/>
      <c r="V86" s="491" t="n"/>
      <c r="W86" s="491" t="n"/>
      <c r="X86" s="491" t="n"/>
      <c r="Y86" s="491" t="n"/>
    </row>
    <row r="87" ht="12.75" customHeight="1" s="398">
      <c r="A87" s="491" t="n"/>
      <c r="B87" s="491" t="n"/>
      <c r="C87" s="491" t="n"/>
      <c r="D87" s="491" t="n"/>
      <c r="E87" s="491" t="n"/>
      <c r="F87" s="491" t="n"/>
      <c r="G87" s="491" t="n"/>
      <c r="H87" s="491" t="n"/>
      <c r="I87" s="491" t="n"/>
      <c r="J87" s="491" t="n"/>
      <c r="K87" s="491" t="n"/>
      <c r="L87" s="491" t="n"/>
      <c r="M87" s="491" t="n"/>
      <c r="N87" s="491" t="n"/>
      <c r="O87" s="491" t="n"/>
      <c r="P87" s="491" t="n"/>
      <c r="Q87" s="491" t="n"/>
      <c r="R87" s="491" t="n"/>
      <c r="S87" s="491" t="n"/>
      <c r="T87" s="491" t="n"/>
      <c r="U87" s="491" t="n"/>
      <c r="V87" s="491" t="n"/>
      <c r="W87" s="491" t="n"/>
      <c r="X87" s="491" t="n"/>
      <c r="Y87" s="491" t="n"/>
    </row>
    <row r="88" ht="12.75" customHeight="1" s="398">
      <c r="A88" s="491" t="n"/>
      <c r="B88" s="491" t="n"/>
      <c r="C88" s="491" t="n"/>
      <c r="D88" s="491" t="n"/>
      <c r="E88" s="491" t="n"/>
      <c r="F88" s="491" t="n"/>
      <c r="G88" s="491" t="n"/>
      <c r="H88" s="491" t="n"/>
      <c r="I88" s="491" t="n"/>
      <c r="J88" s="491" t="n"/>
      <c r="K88" s="491" t="n"/>
      <c r="L88" s="491" t="n"/>
      <c r="M88" s="491" t="n"/>
      <c r="N88" s="491" t="n"/>
      <c r="O88" s="491" t="n"/>
      <c r="P88" s="491" t="n"/>
      <c r="Q88" s="491" t="n"/>
      <c r="R88" s="491" t="n"/>
      <c r="S88" s="491" t="n"/>
      <c r="T88" s="491" t="n"/>
      <c r="U88" s="491" t="n"/>
      <c r="V88" s="491" t="n"/>
      <c r="W88" s="491" t="n"/>
      <c r="X88" s="491" t="n"/>
      <c r="Y88" s="491" t="n"/>
    </row>
    <row r="89" ht="12.75" customHeight="1" s="398">
      <c r="A89" s="491" t="n"/>
      <c r="B89" s="491" t="n"/>
      <c r="C89" s="491" t="n"/>
      <c r="D89" s="491" t="n"/>
      <c r="E89" s="491" t="n"/>
      <c r="F89" s="491" t="n"/>
      <c r="G89" s="491" t="n"/>
      <c r="H89" s="491" t="n"/>
      <c r="I89" s="491" t="n"/>
      <c r="J89" s="491" t="n"/>
      <c r="K89" s="491" t="n"/>
      <c r="L89" s="491" t="n"/>
      <c r="M89" s="491" t="n"/>
      <c r="N89" s="491" t="n"/>
      <c r="O89" s="491" t="n"/>
      <c r="P89" s="491" t="n"/>
      <c r="Q89" s="491" t="n"/>
      <c r="R89" s="491" t="n"/>
      <c r="S89" s="491" t="n"/>
      <c r="T89" s="491" t="n"/>
      <c r="U89" s="491" t="n"/>
      <c r="V89" s="491" t="n"/>
      <c r="W89" s="491" t="n"/>
      <c r="X89" s="491" t="n"/>
      <c r="Y89" s="491" t="n"/>
    </row>
    <row r="90" ht="12.75" customHeight="1" s="398">
      <c r="A90" s="491" t="n"/>
      <c r="B90" s="491" t="n"/>
      <c r="C90" s="491" t="n"/>
      <c r="D90" s="491" t="n"/>
      <c r="E90" s="491" t="n"/>
      <c r="F90" s="491" t="n"/>
      <c r="G90" s="491" t="n"/>
      <c r="H90" s="491" t="n"/>
      <c r="I90" s="491" t="n"/>
      <c r="J90" s="491" t="n"/>
      <c r="K90" s="491" t="n"/>
      <c r="L90" s="491" t="n"/>
      <c r="M90" s="491" t="n"/>
      <c r="N90" s="491" t="n"/>
      <c r="O90" s="491" t="n"/>
      <c r="P90" s="491" t="n"/>
      <c r="Q90" s="491" t="n"/>
      <c r="R90" s="491" t="n"/>
      <c r="S90" s="491" t="n"/>
      <c r="T90" s="491" t="n"/>
      <c r="U90" s="491" t="n"/>
      <c r="V90" s="491" t="n"/>
      <c r="W90" s="491" t="n"/>
      <c r="X90" s="491" t="n"/>
      <c r="Y90" s="491" t="n"/>
    </row>
    <row r="91" ht="12.75" customHeight="1" s="398">
      <c r="A91" s="491" t="n"/>
      <c r="B91" s="491" t="n"/>
      <c r="C91" s="491" t="n"/>
      <c r="D91" s="491" t="n"/>
      <c r="E91" s="491" t="n"/>
      <c r="F91" s="491" t="n"/>
      <c r="G91" s="491" t="n"/>
      <c r="H91" s="491" t="n"/>
      <c r="I91" s="491" t="n"/>
      <c r="J91" s="491" t="n"/>
      <c r="K91" s="491" t="n"/>
      <c r="L91" s="491" t="n"/>
      <c r="M91" s="491" t="n"/>
      <c r="N91" s="491" t="n"/>
      <c r="O91" s="491" t="n"/>
      <c r="P91" s="491" t="n"/>
      <c r="Q91" s="491" t="n"/>
      <c r="R91" s="491" t="n"/>
      <c r="S91" s="491" t="n"/>
      <c r="T91" s="491" t="n"/>
      <c r="U91" s="491" t="n"/>
      <c r="V91" s="491" t="n"/>
      <c r="W91" s="491" t="n"/>
      <c r="X91" s="491" t="n"/>
      <c r="Y91" s="491" t="n"/>
    </row>
    <row r="92" ht="12.75" customHeight="1" s="398">
      <c r="A92" s="491" t="n"/>
      <c r="B92" s="491" t="n"/>
      <c r="C92" s="491" t="n"/>
      <c r="D92" s="491" t="n"/>
      <c r="E92" s="491" t="n"/>
      <c r="F92" s="491" t="n"/>
      <c r="G92" s="491" t="n"/>
      <c r="H92" s="491" t="n"/>
      <c r="I92" s="491" t="n"/>
      <c r="J92" s="491" t="n"/>
      <c r="K92" s="491" t="n"/>
      <c r="L92" s="491" t="n"/>
      <c r="M92" s="491" t="n"/>
      <c r="N92" s="491" t="n"/>
      <c r="O92" s="491" t="n"/>
      <c r="P92" s="491" t="n"/>
      <c r="Q92" s="491" t="n"/>
      <c r="R92" s="491" t="n"/>
      <c r="S92" s="491" t="n"/>
      <c r="T92" s="491" t="n"/>
      <c r="U92" s="491" t="n"/>
      <c r="V92" s="491" t="n"/>
      <c r="W92" s="491" t="n"/>
      <c r="X92" s="491" t="n"/>
      <c r="Y92" s="491" t="n"/>
    </row>
    <row r="93" ht="12.75" customHeight="1" s="398">
      <c r="A93" s="491" t="n"/>
      <c r="B93" s="491" t="n"/>
      <c r="C93" s="491" t="n"/>
      <c r="D93" s="491" t="n"/>
      <c r="E93" s="491" t="n"/>
      <c r="F93" s="491" t="n"/>
      <c r="G93" s="491" t="n"/>
      <c r="H93" s="491" t="n"/>
      <c r="I93" s="491" t="n"/>
      <c r="J93" s="491" t="n"/>
      <c r="K93" s="491" t="n"/>
      <c r="L93" s="491" t="n"/>
      <c r="M93" s="491" t="n"/>
      <c r="N93" s="491" t="n"/>
      <c r="O93" s="491" t="n"/>
      <c r="P93" s="491" t="n"/>
      <c r="Q93" s="491" t="n"/>
      <c r="R93" s="491" t="n"/>
      <c r="S93" s="491" t="n"/>
      <c r="T93" s="491" t="n"/>
      <c r="U93" s="491" t="n"/>
      <c r="V93" s="491" t="n"/>
      <c r="W93" s="491" t="n"/>
      <c r="X93" s="491" t="n"/>
      <c r="Y93" s="491" t="n"/>
    </row>
    <row r="94" ht="12.75" customHeight="1" s="398">
      <c r="A94" s="491" t="n"/>
      <c r="B94" s="491" t="n"/>
      <c r="C94" s="491" t="n"/>
      <c r="D94" s="491" t="n"/>
      <c r="E94" s="491" t="n"/>
      <c r="F94" s="491" t="n"/>
      <c r="G94" s="491" t="n"/>
      <c r="H94" s="491" t="n"/>
      <c r="I94" s="491" t="n"/>
      <c r="J94" s="491" t="n"/>
      <c r="K94" s="491" t="n"/>
      <c r="L94" s="491" t="n"/>
      <c r="M94" s="491" t="n"/>
      <c r="N94" s="491" t="n"/>
      <c r="O94" s="491" t="n"/>
      <c r="P94" s="491" t="n"/>
      <c r="Q94" s="491" t="n"/>
      <c r="R94" s="491" t="n"/>
      <c r="S94" s="491" t="n"/>
      <c r="T94" s="491" t="n"/>
      <c r="U94" s="491" t="n"/>
      <c r="V94" s="491" t="n"/>
      <c r="W94" s="491" t="n"/>
      <c r="X94" s="491" t="n"/>
      <c r="Y94" s="491" t="n"/>
    </row>
    <row r="95" ht="12.75" customHeight="1" s="398">
      <c r="A95" s="491" t="n"/>
      <c r="B95" s="491" t="n"/>
      <c r="C95" s="491" t="n"/>
      <c r="D95" s="491" t="n"/>
      <c r="E95" s="491" t="n"/>
      <c r="F95" s="491" t="n"/>
      <c r="G95" s="491" t="n"/>
      <c r="H95" s="491" t="n"/>
      <c r="I95" s="491" t="n"/>
      <c r="J95" s="491" t="n"/>
      <c r="K95" s="491" t="n"/>
      <c r="L95" s="491" t="n"/>
      <c r="M95" s="491" t="n"/>
      <c r="N95" s="491" t="n"/>
      <c r="O95" s="491" t="n"/>
      <c r="P95" s="491" t="n"/>
      <c r="Q95" s="491" t="n"/>
      <c r="R95" s="491" t="n"/>
      <c r="S95" s="491" t="n"/>
      <c r="T95" s="491" t="n"/>
      <c r="U95" s="491" t="n"/>
      <c r="V95" s="491" t="n"/>
      <c r="W95" s="491" t="n"/>
      <c r="X95" s="491" t="n"/>
      <c r="Y95" s="491" t="n"/>
    </row>
    <row r="96" ht="12.75" customHeight="1" s="398">
      <c r="A96" s="491" t="n"/>
      <c r="B96" s="491" t="n"/>
      <c r="C96" s="491" t="n"/>
      <c r="D96" s="491" t="n"/>
      <c r="E96" s="491" t="n"/>
      <c r="F96" s="491" t="n"/>
      <c r="G96" s="491" t="n"/>
      <c r="H96" s="491" t="n"/>
      <c r="I96" s="491" t="n"/>
      <c r="J96" s="491" t="n"/>
      <c r="K96" s="491" t="n"/>
      <c r="L96" s="491" t="n"/>
      <c r="M96" s="491" t="n"/>
      <c r="N96" s="491" t="n"/>
      <c r="O96" s="491" t="n"/>
      <c r="P96" s="491" t="n"/>
      <c r="Q96" s="491" t="n"/>
      <c r="R96" s="491" t="n"/>
      <c r="S96" s="491" t="n"/>
      <c r="T96" s="491" t="n"/>
      <c r="U96" s="491" t="n"/>
      <c r="V96" s="491" t="n"/>
      <c r="W96" s="491" t="n"/>
      <c r="X96" s="491" t="n"/>
      <c r="Y96" s="491" t="n"/>
    </row>
    <row r="97" ht="12.75" customHeight="1" s="398">
      <c r="A97" s="491" t="n"/>
      <c r="B97" s="491" t="n"/>
      <c r="C97" s="491" t="n"/>
      <c r="D97" s="491" t="n"/>
      <c r="E97" s="491" t="n"/>
      <c r="F97" s="491" t="n"/>
      <c r="G97" s="491" t="n"/>
      <c r="H97" s="491" t="n"/>
      <c r="I97" s="491" t="n"/>
      <c r="J97" s="491" t="n"/>
      <c r="K97" s="491" t="n"/>
      <c r="L97" s="491" t="n"/>
      <c r="M97" s="491" t="n"/>
      <c r="N97" s="491" t="n"/>
      <c r="O97" s="491" t="n"/>
      <c r="P97" s="491" t="n"/>
      <c r="Q97" s="491" t="n"/>
      <c r="R97" s="491" t="n"/>
      <c r="S97" s="491" t="n"/>
      <c r="T97" s="491" t="n"/>
      <c r="U97" s="491" t="n"/>
      <c r="V97" s="491" t="n"/>
      <c r="W97" s="491" t="n"/>
      <c r="X97" s="491" t="n"/>
      <c r="Y97" s="491" t="n"/>
    </row>
    <row r="98" ht="12.75" customHeight="1" s="398">
      <c r="A98" s="491" t="n"/>
      <c r="B98" s="491" t="n"/>
      <c r="C98" s="491" t="n"/>
      <c r="D98" s="491" t="n"/>
      <c r="E98" s="491" t="n"/>
      <c r="F98" s="491" t="n"/>
      <c r="G98" s="491" t="n"/>
      <c r="H98" s="491" t="n"/>
      <c r="I98" s="491" t="n"/>
      <c r="J98" s="491" t="n"/>
      <c r="K98" s="491" t="n"/>
      <c r="L98" s="491" t="n"/>
      <c r="M98" s="491" t="n"/>
      <c r="N98" s="491" t="n"/>
      <c r="O98" s="491" t="n"/>
      <c r="P98" s="491" t="n"/>
      <c r="Q98" s="491" t="n"/>
      <c r="R98" s="491" t="n"/>
      <c r="S98" s="491" t="n"/>
      <c r="T98" s="491" t="n"/>
      <c r="U98" s="491" t="n"/>
      <c r="V98" s="491" t="n"/>
      <c r="W98" s="491" t="n"/>
      <c r="X98" s="491" t="n"/>
      <c r="Y98" s="491" t="n"/>
    </row>
    <row r="99" ht="12.75" customHeight="1" s="398">
      <c r="A99" s="491" t="n"/>
      <c r="B99" s="491" t="n"/>
      <c r="C99" s="491" t="n"/>
      <c r="D99" s="491" t="n"/>
      <c r="E99" s="491" t="n"/>
      <c r="F99" s="491" t="n"/>
      <c r="G99" s="491" t="n"/>
      <c r="H99" s="491" t="n"/>
      <c r="I99" s="491" t="n"/>
      <c r="J99" s="491" t="n"/>
      <c r="K99" s="491" t="n"/>
      <c r="L99" s="491" t="n"/>
      <c r="M99" s="491" t="n"/>
      <c r="N99" s="491" t="n"/>
      <c r="O99" s="491" t="n"/>
      <c r="P99" s="491" t="n"/>
      <c r="Q99" s="491" t="n"/>
      <c r="R99" s="491" t="n"/>
      <c r="S99" s="491" t="n"/>
      <c r="T99" s="491" t="n"/>
      <c r="U99" s="491" t="n"/>
      <c r="V99" s="491" t="n"/>
      <c r="W99" s="491" t="n"/>
      <c r="X99" s="491" t="n"/>
      <c r="Y99" s="491" t="n"/>
    </row>
    <row r="100" ht="12.75" customHeight="1" s="398">
      <c r="A100" s="491" t="n"/>
      <c r="B100" s="491" t="n"/>
      <c r="C100" s="491" t="n"/>
      <c r="D100" s="491" t="n"/>
      <c r="E100" s="491" t="n"/>
      <c r="F100" s="491" t="n"/>
      <c r="G100" s="491" t="n"/>
      <c r="H100" s="491" t="n"/>
      <c r="I100" s="491" t="n"/>
      <c r="J100" s="491" t="n"/>
      <c r="K100" s="491" t="n"/>
      <c r="L100" s="491" t="n"/>
      <c r="M100" s="491" t="n"/>
      <c r="N100" s="491" t="n"/>
      <c r="O100" s="491" t="n"/>
      <c r="P100" s="491" t="n"/>
      <c r="Q100" s="491" t="n"/>
      <c r="R100" s="491" t="n"/>
      <c r="S100" s="491" t="n"/>
      <c r="T100" s="491" t="n"/>
      <c r="U100" s="491" t="n"/>
      <c r="V100" s="491" t="n"/>
      <c r="W100" s="491" t="n"/>
      <c r="X100" s="491" t="n"/>
      <c r="Y100" s="491" t="n"/>
    </row>
    <row r="101" ht="12.75" customHeight="1" s="398">
      <c r="A101" s="491" t="n"/>
      <c r="B101" s="491" t="n"/>
      <c r="C101" s="491" t="n"/>
      <c r="D101" s="491" t="n"/>
      <c r="E101" s="491" t="n"/>
      <c r="F101" s="491" t="n"/>
      <c r="G101" s="491" t="n"/>
      <c r="H101" s="491" t="n"/>
      <c r="I101" s="491" t="n"/>
      <c r="J101" s="491" t="n"/>
      <c r="K101" s="491" t="n"/>
      <c r="L101" s="491" t="n"/>
      <c r="M101" s="491" t="n"/>
      <c r="N101" s="491" t="n"/>
      <c r="O101" s="491" t="n"/>
      <c r="P101" s="491" t="n"/>
      <c r="Q101" s="491" t="n"/>
      <c r="R101" s="491" t="n"/>
      <c r="S101" s="491" t="n"/>
      <c r="T101" s="491" t="n"/>
      <c r="U101" s="491" t="n"/>
      <c r="V101" s="491" t="n"/>
      <c r="W101" s="491" t="n"/>
      <c r="X101" s="491" t="n"/>
      <c r="Y101" s="491" t="n"/>
    </row>
    <row r="102" ht="12.75" customHeight="1" s="398">
      <c r="A102" s="491" t="n"/>
      <c r="B102" s="491" t="n"/>
      <c r="C102" s="491" t="n"/>
      <c r="D102" s="491" t="n"/>
      <c r="E102" s="491" t="n"/>
      <c r="F102" s="491" t="n"/>
      <c r="G102" s="491" t="n"/>
      <c r="H102" s="491" t="n"/>
      <c r="I102" s="491" t="n"/>
      <c r="J102" s="491" t="n"/>
      <c r="K102" s="491" t="n"/>
      <c r="L102" s="491" t="n"/>
      <c r="M102" s="491" t="n"/>
      <c r="N102" s="491" t="n"/>
      <c r="O102" s="491" t="n"/>
      <c r="P102" s="491" t="n"/>
      <c r="Q102" s="491" t="n"/>
      <c r="R102" s="491" t="n"/>
      <c r="S102" s="491" t="n"/>
      <c r="T102" s="491" t="n"/>
      <c r="U102" s="491" t="n"/>
      <c r="V102" s="491" t="n"/>
      <c r="W102" s="491" t="n"/>
      <c r="X102" s="491" t="n"/>
      <c r="Y102" s="491" t="n"/>
    </row>
    <row r="103" ht="12.75" customHeight="1" s="398">
      <c r="A103" s="491" t="n"/>
      <c r="B103" s="491" t="n"/>
      <c r="C103" s="491" t="n"/>
      <c r="D103" s="491" t="n"/>
      <c r="E103" s="491" t="n"/>
      <c r="F103" s="491" t="n"/>
      <c r="G103" s="491" t="n"/>
      <c r="H103" s="491" t="n"/>
      <c r="I103" s="491" t="n"/>
      <c r="J103" s="491" t="n"/>
      <c r="K103" s="491" t="n"/>
      <c r="L103" s="491" t="n"/>
      <c r="M103" s="491" t="n"/>
      <c r="N103" s="491" t="n"/>
      <c r="O103" s="491" t="n"/>
      <c r="P103" s="491" t="n"/>
      <c r="Q103" s="491" t="n"/>
      <c r="R103" s="491" t="n"/>
      <c r="S103" s="491" t="n"/>
      <c r="T103" s="491" t="n"/>
      <c r="U103" s="491" t="n"/>
      <c r="V103" s="491" t="n"/>
      <c r="W103" s="491" t="n"/>
      <c r="X103" s="491" t="n"/>
      <c r="Y103" s="491" t="n"/>
    </row>
    <row r="104" ht="12.75" customHeight="1" s="398">
      <c r="A104" s="491" t="n"/>
      <c r="B104" s="491" t="n"/>
      <c r="C104" s="491" t="n"/>
      <c r="D104" s="491" t="n"/>
      <c r="E104" s="491" t="n"/>
      <c r="F104" s="491" t="n"/>
      <c r="G104" s="491" t="n"/>
      <c r="H104" s="491" t="n"/>
      <c r="I104" s="491" t="n"/>
      <c r="J104" s="491" t="n"/>
      <c r="K104" s="491" t="n"/>
      <c r="L104" s="491" t="n"/>
      <c r="M104" s="491" t="n"/>
      <c r="N104" s="491" t="n"/>
      <c r="O104" s="491" t="n"/>
      <c r="P104" s="491" t="n"/>
      <c r="Q104" s="491" t="n"/>
      <c r="R104" s="491" t="n"/>
      <c r="S104" s="491" t="n"/>
      <c r="T104" s="491" t="n"/>
      <c r="U104" s="491" t="n"/>
      <c r="V104" s="491" t="n"/>
      <c r="W104" s="491" t="n"/>
      <c r="X104" s="491" t="n"/>
      <c r="Y104" s="491" t="n"/>
    </row>
    <row r="105" ht="12.75" customHeight="1" s="398">
      <c r="A105" s="491" t="n"/>
      <c r="B105" s="491" t="n"/>
      <c r="C105" s="491" t="n"/>
      <c r="D105" s="491" t="n"/>
      <c r="E105" s="491" t="n"/>
      <c r="F105" s="491" t="n"/>
      <c r="G105" s="491" t="n"/>
      <c r="H105" s="491" t="n"/>
      <c r="I105" s="491" t="n"/>
      <c r="J105" s="491" t="n"/>
      <c r="K105" s="491" t="n"/>
      <c r="L105" s="491" t="n"/>
      <c r="M105" s="491" t="n"/>
      <c r="N105" s="491" t="n"/>
      <c r="O105" s="491" t="n"/>
      <c r="P105" s="491" t="n"/>
      <c r="Q105" s="491" t="n"/>
      <c r="R105" s="491" t="n"/>
      <c r="S105" s="491" t="n"/>
      <c r="T105" s="491" t="n"/>
      <c r="U105" s="491" t="n"/>
      <c r="V105" s="491" t="n"/>
      <c r="W105" s="491" t="n"/>
      <c r="X105" s="491" t="n"/>
      <c r="Y105" s="491" t="n"/>
    </row>
    <row r="106" ht="12.75" customHeight="1" s="398">
      <c r="A106" s="491" t="n"/>
      <c r="B106" s="491" t="n"/>
      <c r="C106" s="491" t="n"/>
      <c r="D106" s="491" t="n"/>
      <c r="E106" s="491" t="n"/>
      <c r="F106" s="491" t="n"/>
      <c r="G106" s="491" t="n"/>
      <c r="H106" s="491" t="n"/>
      <c r="I106" s="491" t="n"/>
      <c r="J106" s="491" t="n"/>
      <c r="K106" s="491" t="n"/>
      <c r="L106" s="491" t="n"/>
      <c r="M106" s="491" t="n"/>
      <c r="N106" s="491" t="n"/>
      <c r="O106" s="491" t="n"/>
      <c r="P106" s="491" t="n"/>
      <c r="Q106" s="491" t="n"/>
      <c r="R106" s="491" t="n"/>
      <c r="S106" s="491" t="n"/>
      <c r="T106" s="491" t="n"/>
      <c r="U106" s="491" t="n"/>
      <c r="V106" s="491" t="n"/>
      <c r="W106" s="491" t="n"/>
      <c r="X106" s="491" t="n"/>
      <c r="Y106" s="491" t="n"/>
    </row>
    <row r="107" ht="12.75" customHeight="1" s="398">
      <c r="A107" s="491" t="n"/>
      <c r="B107" s="491" t="n"/>
      <c r="C107" s="491" t="n"/>
      <c r="D107" s="491" t="n"/>
      <c r="E107" s="491" t="n"/>
      <c r="F107" s="491" t="n"/>
      <c r="G107" s="491" t="n"/>
      <c r="H107" s="491" t="n"/>
      <c r="I107" s="491" t="n"/>
      <c r="J107" s="491" t="n"/>
      <c r="K107" s="491" t="n"/>
      <c r="L107" s="491" t="n"/>
      <c r="M107" s="491" t="n"/>
      <c r="N107" s="491" t="n"/>
      <c r="O107" s="491" t="n"/>
      <c r="P107" s="491" t="n"/>
      <c r="Q107" s="491" t="n"/>
      <c r="R107" s="491" t="n"/>
      <c r="S107" s="491" t="n"/>
      <c r="T107" s="491" t="n"/>
      <c r="U107" s="491" t="n"/>
      <c r="V107" s="491" t="n"/>
      <c r="W107" s="491" t="n"/>
      <c r="X107" s="491" t="n"/>
      <c r="Y107" s="491" t="n"/>
    </row>
    <row r="108" ht="12.75" customHeight="1" s="398">
      <c r="A108" s="491" t="n"/>
      <c r="B108" s="491" t="n"/>
      <c r="C108" s="491" t="n"/>
      <c r="D108" s="491" t="n"/>
      <c r="E108" s="491" t="n"/>
      <c r="F108" s="491" t="n"/>
      <c r="G108" s="491" t="n"/>
      <c r="H108" s="491" t="n"/>
      <c r="I108" s="491" t="n"/>
      <c r="J108" s="491" t="n"/>
      <c r="K108" s="491" t="n"/>
      <c r="L108" s="491" t="n"/>
      <c r="M108" s="491" t="n"/>
      <c r="N108" s="491" t="n"/>
      <c r="O108" s="491" t="n"/>
      <c r="P108" s="491" t="n"/>
      <c r="Q108" s="491" t="n"/>
      <c r="R108" s="491" t="n"/>
      <c r="S108" s="491" t="n"/>
      <c r="T108" s="491" t="n"/>
      <c r="U108" s="491" t="n"/>
      <c r="V108" s="491" t="n"/>
      <c r="W108" s="491" t="n"/>
      <c r="X108" s="491" t="n"/>
      <c r="Y108" s="491" t="n"/>
    </row>
    <row r="109" ht="12.75" customHeight="1" s="398">
      <c r="A109" s="491" t="n"/>
      <c r="B109" s="491" t="n"/>
      <c r="C109" s="491" t="n"/>
      <c r="D109" s="491" t="n"/>
      <c r="E109" s="491" t="n"/>
      <c r="F109" s="491" t="n"/>
      <c r="G109" s="491" t="n"/>
      <c r="H109" s="491" t="n"/>
      <c r="I109" s="491" t="n"/>
      <c r="J109" s="491" t="n"/>
      <c r="K109" s="491" t="n"/>
      <c r="L109" s="491" t="n"/>
      <c r="M109" s="491" t="n"/>
      <c r="N109" s="491" t="n"/>
      <c r="O109" s="491" t="n"/>
      <c r="P109" s="491" t="n"/>
      <c r="Q109" s="491" t="n"/>
      <c r="R109" s="491" t="n"/>
      <c r="S109" s="491" t="n"/>
      <c r="T109" s="491" t="n"/>
      <c r="U109" s="491" t="n"/>
      <c r="V109" s="491" t="n"/>
      <c r="W109" s="491" t="n"/>
      <c r="X109" s="491" t="n"/>
      <c r="Y109" s="491" t="n"/>
    </row>
    <row r="110" ht="12.75" customHeight="1" s="398">
      <c r="A110" s="491" t="n"/>
      <c r="B110" s="491" t="n"/>
      <c r="C110" s="491" t="n"/>
      <c r="D110" s="491" t="n"/>
      <c r="E110" s="491" t="n"/>
      <c r="F110" s="491" t="n"/>
      <c r="G110" s="491" t="n"/>
      <c r="H110" s="491" t="n"/>
      <c r="I110" s="491" t="n"/>
      <c r="J110" s="491" t="n"/>
      <c r="K110" s="491" t="n"/>
      <c r="L110" s="491" t="n"/>
      <c r="M110" s="491" t="n"/>
      <c r="N110" s="491" t="n"/>
      <c r="O110" s="491" t="n"/>
      <c r="P110" s="491" t="n"/>
      <c r="Q110" s="491" t="n"/>
      <c r="R110" s="491" t="n"/>
      <c r="S110" s="491" t="n"/>
      <c r="T110" s="491" t="n"/>
      <c r="U110" s="491" t="n"/>
      <c r="V110" s="491" t="n"/>
      <c r="W110" s="491" t="n"/>
      <c r="X110" s="491" t="n"/>
      <c r="Y110" s="491" t="n"/>
    </row>
    <row r="111" ht="12.75" customHeight="1" s="398">
      <c r="A111" s="491" t="n"/>
      <c r="B111" s="491" t="n"/>
      <c r="C111" s="491" t="n"/>
      <c r="D111" s="491" t="n"/>
      <c r="E111" s="491" t="n"/>
      <c r="F111" s="491" t="n"/>
      <c r="G111" s="491" t="n"/>
      <c r="H111" s="491" t="n"/>
      <c r="I111" s="491" t="n"/>
      <c r="J111" s="491" t="n"/>
      <c r="K111" s="491" t="n"/>
      <c r="L111" s="491" t="n"/>
      <c r="M111" s="491" t="n"/>
      <c r="N111" s="491" t="n"/>
      <c r="O111" s="491" t="n"/>
      <c r="P111" s="491" t="n"/>
      <c r="Q111" s="491" t="n"/>
      <c r="R111" s="491" t="n"/>
      <c r="S111" s="491" t="n"/>
      <c r="T111" s="491" t="n"/>
      <c r="U111" s="491" t="n"/>
      <c r="V111" s="491" t="n"/>
      <c r="W111" s="491" t="n"/>
      <c r="X111" s="491" t="n"/>
      <c r="Y111" s="491" t="n"/>
    </row>
    <row r="112" ht="12.75" customHeight="1" s="398">
      <c r="A112" s="491" t="n"/>
      <c r="B112" s="491" t="n"/>
      <c r="C112" s="491" t="n"/>
      <c r="D112" s="491" t="n"/>
      <c r="E112" s="491" t="n"/>
      <c r="F112" s="491" t="n"/>
      <c r="G112" s="491" t="n"/>
      <c r="H112" s="491" t="n"/>
      <c r="I112" s="491" t="n"/>
      <c r="J112" s="491" t="n"/>
      <c r="K112" s="491" t="n"/>
      <c r="L112" s="491" t="n"/>
      <c r="M112" s="491" t="n"/>
      <c r="N112" s="491" t="n"/>
      <c r="O112" s="491" t="n"/>
      <c r="P112" s="491" t="n"/>
      <c r="Q112" s="491" t="n"/>
      <c r="R112" s="491" t="n"/>
      <c r="S112" s="491" t="n"/>
      <c r="T112" s="491" t="n"/>
      <c r="U112" s="491" t="n"/>
      <c r="V112" s="491" t="n"/>
      <c r="W112" s="491" t="n"/>
      <c r="X112" s="491" t="n"/>
      <c r="Y112" s="491" t="n"/>
    </row>
    <row r="113" ht="12.75" customHeight="1" s="398">
      <c r="A113" s="491" t="n"/>
      <c r="B113" s="491" t="n"/>
      <c r="C113" s="491" t="n"/>
      <c r="D113" s="491" t="n"/>
      <c r="E113" s="491" t="n"/>
      <c r="F113" s="491" t="n"/>
      <c r="G113" s="491" t="n"/>
      <c r="H113" s="491" t="n"/>
      <c r="I113" s="491" t="n"/>
      <c r="J113" s="491" t="n"/>
      <c r="K113" s="491" t="n"/>
      <c r="L113" s="491" t="n"/>
      <c r="M113" s="491" t="n"/>
      <c r="N113" s="491" t="n"/>
      <c r="O113" s="491" t="n"/>
      <c r="P113" s="491" t="n"/>
      <c r="Q113" s="491" t="n"/>
      <c r="R113" s="491" t="n"/>
      <c r="S113" s="491" t="n"/>
      <c r="T113" s="491" t="n"/>
      <c r="U113" s="491" t="n"/>
      <c r="V113" s="491" t="n"/>
      <c r="W113" s="491" t="n"/>
      <c r="X113" s="491" t="n"/>
      <c r="Y113" s="491" t="n"/>
    </row>
    <row r="114" ht="12.75" customHeight="1" s="398">
      <c r="A114" s="491" t="n"/>
      <c r="B114" s="491" t="n"/>
      <c r="C114" s="491" t="n"/>
      <c r="D114" s="491" t="n"/>
      <c r="E114" s="491" t="n"/>
      <c r="F114" s="491" t="n"/>
      <c r="G114" s="491" t="n"/>
      <c r="H114" s="491" t="n"/>
      <c r="I114" s="491" t="n"/>
      <c r="J114" s="491" t="n"/>
      <c r="K114" s="491" t="n"/>
      <c r="L114" s="491" t="n"/>
      <c r="M114" s="491" t="n"/>
      <c r="N114" s="491" t="n"/>
      <c r="O114" s="491" t="n"/>
      <c r="P114" s="491" t="n"/>
      <c r="Q114" s="491" t="n"/>
      <c r="R114" s="491" t="n"/>
      <c r="S114" s="491" t="n"/>
      <c r="T114" s="491" t="n"/>
      <c r="U114" s="491" t="n"/>
      <c r="V114" s="491" t="n"/>
      <c r="W114" s="491" t="n"/>
      <c r="X114" s="491" t="n"/>
      <c r="Y114" s="491" t="n"/>
    </row>
    <row r="115" ht="12.75" customHeight="1" s="398">
      <c r="A115" s="491" t="n"/>
      <c r="B115" s="491" t="n"/>
      <c r="C115" s="491" t="n"/>
      <c r="D115" s="491" t="n"/>
      <c r="E115" s="491" t="n"/>
      <c r="F115" s="491" t="n"/>
      <c r="G115" s="491" t="n"/>
      <c r="H115" s="491" t="n"/>
      <c r="I115" s="491" t="n"/>
      <c r="J115" s="491" t="n"/>
      <c r="K115" s="491" t="n"/>
      <c r="L115" s="491" t="n"/>
      <c r="M115" s="491" t="n"/>
      <c r="N115" s="491" t="n"/>
      <c r="O115" s="491" t="n"/>
      <c r="P115" s="491" t="n"/>
      <c r="Q115" s="491" t="n"/>
      <c r="R115" s="491" t="n"/>
      <c r="S115" s="491" t="n"/>
      <c r="T115" s="491" t="n"/>
      <c r="U115" s="491" t="n"/>
      <c r="V115" s="491" t="n"/>
      <c r="W115" s="491" t="n"/>
      <c r="X115" s="491" t="n"/>
      <c r="Y115" s="491" t="n"/>
    </row>
    <row r="116" ht="12.75" customHeight="1" s="398">
      <c r="A116" s="491" t="n"/>
      <c r="B116" s="491" t="n"/>
      <c r="C116" s="491" t="n"/>
      <c r="D116" s="491" t="n"/>
      <c r="E116" s="491" t="n"/>
      <c r="F116" s="491" t="n"/>
      <c r="G116" s="491" t="n"/>
      <c r="H116" s="491" t="n"/>
      <c r="I116" s="491" t="n"/>
      <c r="J116" s="491" t="n"/>
      <c r="K116" s="491" t="n"/>
      <c r="L116" s="491" t="n"/>
      <c r="M116" s="491" t="n"/>
      <c r="N116" s="491" t="n"/>
      <c r="O116" s="491" t="n"/>
      <c r="P116" s="491" t="n"/>
      <c r="Q116" s="491" t="n"/>
      <c r="R116" s="491" t="n"/>
      <c r="S116" s="491" t="n"/>
      <c r="T116" s="491" t="n"/>
      <c r="U116" s="491" t="n"/>
      <c r="V116" s="491" t="n"/>
      <c r="W116" s="491" t="n"/>
      <c r="X116" s="491" t="n"/>
      <c r="Y116" s="491" t="n"/>
    </row>
    <row r="117" ht="12.75" customHeight="1" s="398">
      <c r="A117" s="491" t="n"/>
      <c r="B117" s="491" t="n"/>
      <c r="C117" s="491" t="n"/>
      <c r="D117" s="491" t="n"/>
      <c r="E117" s="491" t="n"/>
      <c r="F117" s="491" t="n"/>
      <c r="G117" s="491" t="n"/>
      <c r="H117" s="491" t="n"/>
      <c r="I117" s="491" t="n"/>
      <c r="J117" s="491" t="n"/>
      <c r="K117" s="491" t="n"/>
      <c r="L117" s="491" t="n"/>
      <c r="M117" s="491" t="n"/>
      <c r="N117" s="491" t="n"/>
      <c r="O117" s="491" t="n"/>
      <c r="P117" s="491" t="n"/>
      <c r="Q117" s="491" t="n"/>
      <c r="R117" s="491" t="n"/>
      <c r="S117" s="491" t="n"/>
      <c r="T117" s="491" t="n"/>
      <c r="U117" s="491" t="n"/>
      <c r="V117" s="491" t="n"/>
      <c r="W117" s="491" t="n"/>
      <c r="X117" s="491" t="n"/>
      <c r="Y117" s="491" t="n"/>
    </row>
    <row r="118" ht="12.75" customHeight="1" s="398">
      <c r="A118" s="491" t="n"/>
      <c r="B118" s="491" t="n"/>
      <c r="C118" s="491" t="n"/>
      <c r="D118" s="491" t="n"/>
      <c r="E118" s="491" t="n"/>
      <c r="F118" s="491" t="n"/>
      <c r="G118" s="491" t="n"/>
      <c r="H118" s="491" t="n"/>
      <c r="I118" s="491" t="n"/>
      <c r="J118" s="491" t="n"/>
      <c r="K118" s="491" t="n"/>
      <c r="L118" s="491" t="n"/>
      <c r="M118" s="491" t="n"/>
      <c r="N118" s="491" t="n"/>
      <c r="O118" s="491" t="n"/>
      <c r="P118" s="491" t="n"/>
      <c r="Q118" s="491" t="n"/>
      <c r="R118" s="491" t="n"/>
      <c r="S118" s="491" t="n"/>
      <c r="T118" s="491" t="n"/>
      <c r="U118" s="491" t="n"/>
      <c r="V118" s="491" t="n"/>
      <c r="W118" s="491" t="n"/>
      <c r="X118" s="491" t="n"/>
      <c r="Y118" s="491" t="n"/>
    </row>
    <row r="119" ht="12.75" customHeight="1" s="398">
      <c r="A119" s="491" t="n"/>
      <c r="B119" s="491" t="n"/>
      <c r="C119" s="491" t="n"/>
      <c r="D119" s="491" t="n"/>
      <c r="E119" s="491" t="n"/>
      <c r="F119" s="491" t="n"/>
      <c r="G119" s="491" t="n"/>
      <c r="H119" s="491" t="n"/>
      <c r="I119" s="491" t="n"/>
      <c r="J119" s="491" t="n"/>
      <c r="K119" s="491" t="n"/>
      <c r="L119" s="491" t="n"/>
      <c r="M119" s="491" t="n"/>
      <c r="N119" s="491" t="n"/>
      <c r="O119" s="491" t="n"/>
      <c r="P119" s="491" t="n"/>
      <c r="Q119" s="491" t="n"/>
      <c r="R119" s="491" t="n"/>
      <c r="S119" s="491" t="n"/>
      <c r="T119" s="491" t="n"/>
      <c r="U119" s="491" t="n"/>
      <c r="V119" s="491" t="n"/>
      <c r="W119" s="491" t="n"/>
      <c r="X119" s="491" t="n"/>
      <c r="Y119" s="491" t="n"/>
    </row>
    <row r="120" ht="12.75" customHeight="1" s="398">
      <c r="A120" s="491" t="n"/>
      <c r="B120" s="491" t="n"/>
      <c r="C120" s="491" t="n"/>
      <c r="D120" s="491" t="n"/>
      <c r="E120" s="491" t="n"/>
      <c r="F120" s="491" t="n"/>
      <c r="G120" s="491" t="n"/>
      <c r="H120" s="491" t="n"/>
      <c r="I120" s="491" t="n"/>
      <c r="J120" s="491" t="n"/>
      <c r="K120" s="491" t="n"/>
      <c r="L120" s="491" t="n"/>
      <c r="M120" s="491" t="n"/>
      <c r="N120" s="491" t="n"/>
      <c r="O120" s="491" t="n"/>
      <c r="P120" s="491" t="n"/>
      <c r="Q120" s="491" t="n"/>
      <c r="R120" s="491" t="n"/>
      <c r="S120" s="491" t="n"/>
      <c r="T120" s="491" t="n"/>
      <c r="U120" s="491" t="n"/>
      <c r="V120" s="491" t="n"/>
      <c r="W120" s="491" t="n"/>
      <c r="X120" s="491" t="n"/>
      <c r="Y120" s="491" t="n"/>
    </row>
    <row r="121" ht="12.75" customHeight="1" s="398">
      <c r="A121" s="491" t="n"/>
      <c r="B121" s="491" t="n"/>
      <c r="C121" s="491" t="n"/>
      <c r="D121" s="491" t="n"/>
      <c r="E121" s="491" t="n"/>
      <c r="F121" s="491" t="n"/>
      <c r="G121" s="491" t="n"/>
      <c r="H121" s="491" t="n"/>
      <c r="I121" s="491" t="n"/>
      <c r="J121" s="491" t="n"/>
      <c r="K121" s="491" t="n"/>
      <c r="L121" s="491" t="n"/>
      <c r="M121" s="491" t="n"/>
      <c r="N121" s="491" t="n"/>
      <c r="O121" s="491" t="n"/>
      <c r="P121" s="491" t="n"/>
      <c r="Q121" s="491" t="n"/>
      <c r="R121" s="491" t="n"/>
      <c r="S121" s="491" t="n"/>
      <c r="T121" s="491" t="n"/>
      <c r="U121" s="491" t="n"/>
      <c r="V121" s="491" t="n"/>
      <c r="W121" s="491" t="n"/>
      <c r="X121" s="491" t="n"/>
      <c r="Y121" s="491" t="n"/>
    </row>
    <row r="122" ht="12.75" customHeight="1" s="398">
      <c r="A122" s="491" t="n"/>
      <c r="B122" s="491" t="n"/>
      <c r="C122" s="491" t="n"/>
      <c r="D122" s="491" t="n"/>
      <c r="E122" s="491" t="n"/>
      <c r="F122" s="491" t="n"/>
      <c r="G122" s="491" t="n"/>
      <c r="H122" s="491" t="n"/>
      <c r="I122" s="491" t="n"/>
      <c r="J122" s="491" t="n"/>
      <c r="K122" s="491" t="n"/>
      <c r="L122" s="491" t="n"/>
      <c r="M122" s="491" t="n"/>
      <c r="N122" s="491" t="n"/>
      <c r="O122" s="491" t="n"/>
      <c r="P122" s="491" t="n"/>
      <c r="Q122" s="491" t="n"/>
      <c r="R122" s="491" t="n"/>
      <c r="S122" s="491" t="n"/>
      <c r="T122" s="491" t="n"/>
      <c r="U122" s="491" t="n"/>
      <c r="V122" s="491" t="n"/>
      <c r="W122" s="491" t="n"/>
      <c r="X122" s="491" t="n"/>
      <c r="Y122" s="491" t="n"/>
    </row>
    <row r="123" ht="12.75" customHeight="1" s="398">
      <c r="A123" s="491" t="n"/>
      <c r="B123" s="491" t="n"/>
      <c r="C123" s="491" t="n"/>
      <c r="D123" s="491" t="n"/>
      <c r="E123" s="491" t="n"/>
      <c r="F123" s="491" t="n"/>
      <c r="G123" s="491" t="n"/>
      <c r="H123" s="491" t="n"/>
      <c r="I123" s="491" t="n"/>
      <c r="J123" s="491" t="n"/>
      <c r="K123" s="491" t="n"/>
      <c r="L123" s="491" t="n"/>
      <c r="M123" s="491" t="n"/>
      <c r="N123" s="491" t="n"/>
      <c r="O123" s="491" t="n"/>
      <c r="P123" s="491" t="n"/>
      <c r="Q123" s="491" t="n"/>
      <c r="R123" s="491" t="n"/>
      <c r="S123" s="491" t="n"/>
      <c r="T123" s="491" t="n"/>
      <c r="U123" s="491" t="n"/>
      <c r="V123" s="491" t="n"/>
      <c r="W123" s="491" t="n"/>
      <c r="X123" s="491" t="n"/>
      <c r="Y123" s="491" t="n"/>
    </row>
    <row r="124" ht="12.75" customHeight="1" s="398">
      <c r="A124" s="491" t="n"/>
      <c r="B124" s="491" t="n"/>
      <c r="C124" s="491" t="n"/>
      <c r="D124" s="491" t="n"/>
      <c r="E124" s="491" t="n"/>
      <c r="F124" s="491" t="n"/>
      <c r="G124" s="491" t="n"/>
      <c r="H124" s="491" t="n"/>
      <c r="I124" s="491" t="n"/>
      <c r="J124" s="491" t="n"/>
      <c r="K124" s="491" t="n"/>
      <c r="L124" s="491" t="n"/>
      <c r="M124" s="491" t="n"/>
      <c r="N124" s="491" t="n"/>
      <c r="O124" s="491" t="n"/>
      <c r="P124" s="491" t="n"/>
      <c r="Q124" s="491" t="n"/>
      <c r="R124" s="491" t="n"/>
      <c r="S124" s="491" t="n"/>
      <c r="T124" s="491" t="n"/>
      <c r="U124" s="491" t="n"/>
      <c r="V124" s="491" t="n"/>
      <c r="W124" s="491" t="n"/>
      <c r="X124" s="491" t="n"/>
      <c r="Y124" s="491" t="n"/>
    </row>
    <row r="125" ht="12.75" customHeight="1" s="398">
      <c r="A125" s="491" t="n"/>
      <c r="B125" s="491" t="n"/>
      <c r="C125" s="491" t="n"/>
      <c r="D125" s="491" t="n"/>
      <c r="E125" s="491" t="n"/>
      <c r="F125" s="491" t="n"/>
      <c r="G125" s="491" t="n"/>
      <c r="H125" s="491" t="n"/>
      <c r="I125" s="491" t="n"/>
      <c r="J125" s="491" t="n"/>
      <c r="K125" s="491" t="n"/>
      <c r="L125" s="491" t="n"/>
      <c r="M125" s="491" t="n"/>
      <c r="N125" s="491" t="n"/>
      <c r="O125" s="491" t="n"/>
      <c r="P125" s="491" t="n"/>
      <c r="Q125" s="491" t="n"/>
      <c r="R125" s="491" t="n"/>
      <c r="S125" s="491" t="n"/>
      <c r="T125" s="491" t="n"/>
      <c r="U125" s="491" t="n"/>
      <c r="V125" s="491" t="n"/>
      <c r="W125" s="491" t="n"/>
      <c r="X125" s="491" t="n"/>
      <c r="Y125" s="491" t="n"/>
    </row>
    <row r="126" ht="12.75" customHeight="1" s="398">
      <c r="A126" s="491" t="n"/>
      <c r="B126" s="491" t="n"/>
      <c r="C126" s="491" t="n"/>
      <c r="D126" s="491" t="n"/>
      <c r="E126" s="491" t="n"/>
      <c r="F126" s="491" t="n"/>
      <c r="G126" s="491" t="n"/>
      <c r="H126" s="491" t="n"/>
      <c r="I126" s="491" t="n"/>
      <c r="J126" s="491" t="n"/>
      <c r="K126" s="491" t="n"/>
      <c r="L126" s="491" t="n"/>
      <c r="M126" s="491" t="n"/>
      <c r="N126" s="491" t="n"/>
      <c r="O126" s="491" t="n"/>
      <c r="P126" s="491" t="n"/>
      <c r="Q126" s="491" t="n"/>
      <c r="R126" s="491" t="n"/>
      <c r="S126" s="491" t="n"/>
      <c r="T126" s="491" t="n"/>
      <c r="U126" s="491" t="n"/>
      <c r="V126" s="491" t="n"/>
      <c r="W126" s="491" t="n"/>
      <c r="X126" s="491" t="n"/>
      <c r="Y126" s="491" t="n"/>
    </row>
    <row r="127" ht="12.75" customHeight="1" s="398">
      <c r="A127" s="491" t="n"/>
      <c r="B127" s="491" t="n"/>
      <c r="C127" s="491" t="n"/>
      <c r="D127" s="491" t="n"/>
      <c r="E127" s="491" t="n"/>
      <c r="F127" s="491" t="n"/>
      <c r="G127" s="491" t="n"/>
      <c r="H127" s="491" t="n"/>
      <c r="I127" s="491" t="n"/>
      <c r="J127" s="491" t="n"/>
      <c r="K127" s="491" t="n"/>
      <c r="L127" s="491" t="n"/>
      <c r="M127" s="491" t="n"/>
      <c r="N127" s="491" t="n"/>
      <c r="O127" s="491" t="n"/>
      <c r="P127" s="491" t="n"/>
      <c r="Q127" s="491" t="n"/>
      <c r="R127" s="491" t="n"/>
      <c r="S127" s="491" t="n"/>
      <c r="T127" s="491" t="n"/>
      <c r="U127" s="491" t="n"/>
      <c r="V127" s="491" t="n"/>
      <c r="W127" s="491" t="n"/>
      <c r="X127" s="491" t="n"/>
      <c r="Y127" s="491" t="n"/>
    </row>
    <row r="128" ht="12.75" customHeight="1" s="398">
      <c r="A128" s="491" t="n"/>
      <c r="B128" s="491" t="n"/>
      <c r="C128" s="491" t="n"/>
      <c r="D128" s="491" t="n"/>
      <c r="E128" s="491" t="n"/>
      <c r="F128" s="491" t="n"/>
      <c r="G128" s="491" t="n"/>
      <c r="H128" s="491" t="n"/>
      <c r="I128" s="491" t="n"/>
      <c r="J128" s="491" t="n"/>
      <c r="K128" s="491" t="n"/>
      <c r="L128" s="491" t="n"/>
      <c r="M128" s="491" t="n"/>
      <c r="N128" s="491" t="n"/>
      <c r="O128" s="491" t="n"/>
      <c r="P128" s="491" t="n"/>
      <c r="Q128" s="491" t="n"/>
      <c r="R128" s="491" t="n"/>
      <c r="S128" s="491" t="n"/>
      <c r="T128" s="491" t="n"/>
      <c r="U128" s="491" t="n"/>
      <c r="V128" s="491" t="n"/>
      <c r="W128" s="491" t="n"/>
      <c r="X128" s="491" t="n"/>
      <c r="Y128" s="491" t="n"/>
    </row>
    <row r="129" ht="12.75" customHeight="1" s="398">
      <c r="A129" s="491" t="n"/>
      <c r="B129" s="491" t="n"/>
      <c r="C129" s="491" t="n"/>
      <c r="D129" s="491" t="n"/>
      <c r="E129" s="491" t="n"/>
      <c r="F129" s="491" t="n"/>
      <c r="G129" s="491" t="n"/>
      <c r="H129" s="491" t="n"/>
      <c r="I129" s="491" t="n"/>
      <c r="J129" s="491" t="n"/>
      <c r="K129" s="491" t="n"/>
      <c r="L129" s="491" t="n"/>
      <c r="M129" s="491" t="n"/>
      <c r="N129" s="491" t="n"/>
      <c r="O129" s="491" t="n"/>
      <c r="P129" s="491" t="n"/>
      <c r="Q129" s="491" t="n"/>
      <c r="R129" s="491" t="n"/>
      <c r="S129" s="491" t="n"/>
      <c r="T129" s="491" t="n"/>
      <c r="U129" s="491" t="n"/>
      <c r="V129" s="491" t="n"/>
      <c r="W129" s="491" t="n"/>
      <c r="X129" s="491" t="n"/>
      <c r="Y129" s="491" t="n"/>
    </row>
    <row r="130" ht="12.75" customHeight="1" s="398">
      <c r="A130" s="491" t="n"/>
      <c r="B130" s="491" t="n"/>
      <c r="C130" s="491" t="n"/>
      <c r="D130" s="491" t="n"/>
      <c r="E130" s="491" t="n"/>
      <c r="F130" s="491" t="n"/>
      <c r="G130" s="491" t="n"/>
      <c r="H130" s="491" t="n"/>
      <c r="I130" s="491" t="n"/>
      <c r="J130" s="491" t="n"/>
      <c r="K130" s="491" t="n"/>
      <c r="L130" s="491" t="n"/>
      <c r="M130" s="491" t="n"/>
      <c r="N130" s="491" t="n"/>
      <c r="O130" s="491" t="n"/>
      <c r="P130" s="491" t="n"/>
      <c r="Q130" s="491" t="n"/>
      <c r="R130" s="491" t="n"/>
      <c r="S130" s="491" t="n"/>
      <c r="T130" s="491" t="n"/>
      <c r="U130" s="491" t="n"/>
      <c r="V130" s="491" t="n"/>
      <c r="W130" s="491" t="n"/>
      <c r="X130" s="491" t="n"/>
      <c r="Y130" s="491" t="n"/>
    </row>
    <row r="131" ht="12.75" customHeight="1" s="398">
      <c r="A131" s="491" t="n"/>
      <c r="B131" s="491" t="n"/>
      <c r="C131" s="491" t="n"/>
      <c r="D131" s="491" t="n"/>
      <c r="E131" s="491" t="n"/>
      <c r="F131" s="491" t="n"/>
      <c r="G131" s="491" t="n"/>
      <c r="H131" s="491" t="n"/>
      <c r="I131" s="491" t="n"/>
      <c r="J131" s="491" t="n"/>
      <c r="K131" s="491" t="n"/>
      <c r="L131" s="491" t="n"/>
      <c r="M131" s="491" t="n"/>
      <c r="N131" s="491" t="n"/>
      <c r="O131" s="491" t="n"/>
      <c r="P131" s="491" t="n"/>
      <c r="Q131" s="491" t="n"/>
      <c r="R131" s="491" t="n"/>
      <c r="S131" s="491" t="n"/>
      <c r="T131" s="491" t="n"/>
      <c r="U131" s="491" t="n"/>
      <c r="V131" s="491" t="n"/>
      <c r="W131" s="491" t="n"/>
      <c r="X131" s="491" t="n"/>
      <c r="Y131" s="491" t="n"/>
    </row>
    <row r="132" ht="12.75" customHeight="1" s="398">
      <c r="A132" s="491" t="n"/>
      <c r="B132" s="491" t="n"/>
      <c r="C132" s="491" t="n"/>
      <c r="D132" s="491" t="n"/>
      <c r="E132" s="491" t="n"/>
      <c r="F132" s="491" t="n"/>
      <c r="G132" s="491" t="n"/>
      <c r="H132" s="491" t="n"/>
      <c r="I132" s="491" t="n"/>
      <c r="J132" s="491" t="n"/>
      <c r="K132" s="491" t="n"/>
      <c r="L132" s="491" t="n"/>
      <c r="M132" s="491" t="n"/>
      <c r="N132" s="491" t="n"/>
      <c r="O132" s="491" t="n"/>
      <c r="P132" s="491" t="n"/>
      <c r="Q132" s="491" t="n"/>
      <c r="R132" s="491" t="n"/>
      <c r="S132" s="491" t="n"/>
      <c r="T132" s="491" t="n"/>
      <c r="U132" s="491" t="n"/>
      <c r="V132" s="491" t="n"/>
      <c r="W132" s="491" t="n"/>
      <c r="X132" s="491" t="n"/>
      <c r="Y132" s="491" t="n"/>
    </row>
    <row r="133" ht="12.75" customHeight="1" s="398">
      <c r="A133" s="491" t="n"/>
      <c r="B133" s="491" t="n"/>
      <c r="C133" s="491" t="n"/>
      <c r="D133" s="491" t="n"/>
      <c r="E133" s="491" t="n"/>
      <c r="F133" s="491" t="n"/>
      <c r="G133" s="491" t="n"/>
      <c r="H133" s="491" t="n"/>
      <c r="I133" s="491" t="n"/>
      <c r="J133" s="491" t="n"/>
      <c r="K133" s="491" t="n"/>
      <c r="L133" s="491" t="n"/>
      <c r="M133" s="491" t="n"/>
      <c r="N133" s="491" t="n"/>
      <c r="O133" s="491" t="n"/>
      <c r="P133" s="491" t="n"/>
      <c r="Q133" s="491" t="n"/>
      <c r="R133" s="491" t="n"/>
      <c r="S133" s="491" t="n"/>
      <c r="T133" s="491" t="n"/>
      <c r="U133" s="491" t="n"/>
      <c r="V133" s="491" t="n"/>
      <c r="W133" s="491" t="n"/>
      <c r="X133" s="491" t="n"/>
      <c r="Y133" s="491" t="n"/>
    </row>
    <row r="134" ht="12.75" customHeight="1" s="398">
      <c r="A134" s="491" t="n"/>
      <c r="B134" s="491" t="n"/>
      <c r="C134" s="491" t="n"/>
      <c r="D134" s="491" t="n"/>
      <c r="E134" s="491" t="n"/>
      <c r="F134" s="491" t="n"/>
      <c r="G134" s="491" t="n"/>
      <c r="H134" s="491" t="n"/>
      <c r="I134" s="491" t="n"/>
      <c r="J134" s="491" t="n"/>
      <c r="K134" s="491" t="n"/>
      <c r="L134" s="491" t="n"/>
      <c r="M134" s="491" t="n"/>
      <c r="N134" s="491" t="n"/>
      <c r="O134" s="491" t="n"/>
      <c r="P134" s="491" t="n"/>
      <c r="Q134" s="491" t="n"/>
      <c r="R134" s="491" t="n"/>
      <c r="S134" s="491" t="n"/>
      <c r="T134" s="491" t="n"/>
      <c r="U134" s="491" t="n"/>
      <c r="V134" s="491" t="n"/>
      <c r="W134" s="491" t="n"/>
      <c r="X134" s="491" t="n"/>
      <c r="Y134" s="491" t="n"/>
    </row>
    <row r="135" ht="12.75" customHeight="1" s="398">
      <c r="A135" s="491" t="n"/>
      <c r="B135" s="491" t="n"/>
      <c r="C135" s="491" t="n"/>
      <c r="D135" s="491" t="n"/>
      <c r="E135" s="491" t="n"/>
      <c r="F135" s="491" t="n"/>
      <c r="G135" s="491" t="n"/>
      <c r="H135" s="491" t="n"/>
      <c r="I135" s="491" t="n"/>
      <c r="J135" s="491" t="n"/>
      <c r="K135" s="491" t="n"/>
      <c r="L135" s="491" t="n"/>
      <c r="M135" s="491" t="n"/>
      <c r="N135" s="491" t="n"/>
      <c r="O135" s="491" t="n"/>
      <c r="P135" s="491" t="n"/>
      <c r="Q135" s="491" t="n"/>
      <c r="R135" s="491" t="n"/>
      <c r="S135" s="491" t="n"/>
      <c r="T135" s="491" t="n"/>
      <c r="U135" s="491" t="n"/>
      <c r="V135" s="491" t="n"/>
      <c r="W135" s="491" t="n"/>
      <c r="X135" s="491" t="n"/>
      <c r="Y135" s="491" t="n"/>
    </row>
    <row r="136" ht="12.75" customHeight="1" s="398">
      <c r="A136" s="491" t="n"/>
      <c r="B136" s="491" t="n"/>
      <c r="C136" s="491" t="n"/>
      <c r="D136" s="491" t="n"/>
      <c r="E136" s="491" t="n"/>
      <c r="F136" s="491" t="n"/>
      <c r="G136" s="491" t="n"/>
      <c r="H136" s="491" t="n"/>
      <c r="I136" s="491" t="n"/>
      <c r="J136" s="491" t="n"/>
      <c r="K136" s="491" t="n"/>
      <c r="L136" s="491" t="n"/>
      <c r="M136" s="491" t="n"/>
      <c r="N136" s="491" t="n"/>
      <c r="O136" s="491" t="n"/>
      <c r="P136" s="491" t="n"/>
      <c r="Q136" s="491" t="n"/>
      <c r="R136" s="491" t="n"/>
      <c r="S136" s="491" t="n"/>
      <c r="T136" s="491" t="n"/>
      <c r="U136" s="491" t="n"/>
      <c r="V136" s="491" t="n"/>
      <c r="W136" s="491" t="n"/>
      <c r="X136" s="491" t="n"/>
      <c r="Y136" s="491" t="n"/>
    </row>
    <row r="137" ht="12.75" customHeight="1" s="398">
      <c r="A137" s="491" t="n"/>
      <c r="B137" s="491" t="n"/>
      <c r="C137" s="491" t="n"/>
      <c r="D137" s="491" t="n"/>
      <c r="E137" s="491" t="n"/>
      <c r="F137" s="491" t="n"/>
      <c r="G137" s="491" t="n"/>
      <c r="H137" s="491" t="n"/>
      <c r="I137" s="491" t="n"/>
      <c r="J137" s="491" t="n"/>
      <c r="K137" s="491" t="n"/>
      <c r="L137" s="491" t="n"/>
      <c r="M137" s="491" t="n"/>
      <c r="N137" s="491" t="n"/>
      <c r="O137" s="491" t="n"/>
      <c r="P137" s="491" t="n"/>
      <c r="Q137" s="491" t="n"/>
      <c r="R137" s="491" t="n"/>
      <c r="S137" s="491" t="n"/>
      <c r="T137" s="491" t="n"/>
      <c r="U137" s="491" t="n"/>
      <c r="V137" s="491" t="n"/>
      <c r="W137" s="491" t="n"/>
      <c r="X137" s="491" t="n"/>
      <c r="Y137" s="491" t="n"/>
    </row>
    <row r="138" ht="12.75" customHeight="1" s="398">
      <c r="A138" s="491" t="n"/>
      <c r="B138" s="491" t="n"/>
      <c r="C138" s="491" t="n"/>
      <c r="D138" s="491" t="n"/>
      <c r="E138" s="491" t="n"/>
      <c r="F138" s="491" t="n"/>
      <c r="G138" s="491" t="n"/>
      <c r="H138" s="491" t="n"/>
      <c r="I138" s="491" t="n"/>
      <c r="J138" s="491" t="n"/>
      <c r="K138" s="491" t="n"/>
      <c r="L138" s="491" t="n"/>
      <c r="M138" s="491" t="n"/>
      <c r="N138" s="491" t="n"/>
      <c r="O138" s="491" t="n"/>
      <c r="P138" s="491" t="n"/>
      <c r="Q138" s="491" t="n"/>
      <c r="R138" s="491" t="n"/>
      <c r="S138" s="491" t="n"/>
      <c r="T138" s="491" t="n"/>
      <c r="U138" s="491" t="n"/>
      <c r="V138" s="491" t="n"/>
      <c r="W138" s="491" t="n"/>
      <c r="X138" s="491" t="n"/>
      <c r="Y138" s="491" t="n"/>
    </row>
    <row r="139" ht="12.75" customHeight="1" s="398">
      <c r="A139" s="491" t="n"/>
      <c r="B139" s="491" t="n"/>
      <c r="C139" s="491" t="n"/>
      <c r="D139" s="491" t="n"/>
      <c r="E139" s="491" t="n"/>
      <c r="F139" s="491" t="n"/>
      <c r="G139" s="491" t="n"/>
      <c r="H139" s="491" t="n"/>
      <c r="I139" s="491" t="n"/>
      <c r="J139" s="491" t="n"/>
      <c r="K139" s="491" t="n"/>
      <c r="L139" s="491" t="n"/>
      <c r="M139" s="491" t="n"/>
      <c r="N139" s="491" t="n"/>
      <c r="O139" s="491" t="n"/>
      <c r="P139" s="491" t="n"/>
      <c r="Q139" s="491" t="n"/>
      <c r="R139" s="491" t="n"/>
      <c r="S139" s="491" t="n"/>
      <c r="T139" s="491" t="n"/>
      <c r="U139" s="491" t="n"/>
      <c r="V139" s="491" t="n"/>
      <c r="W139" s="491" t="n"/>
      <c r="X139" s="491" t="n"/>
      <c r="Y139" s="491" t="n"/>
    </row>
    <row r="140" ht="12.75" customHeight="1" s="398">
      <c r="A140" s="491" t="n"/>
      <c r="B140" s="491" t="n"/>
      <c r="C140" s="491" t="n"/>
      <c r="D140" s="491" t="n"/>
      <c r="E140" s="491" t="n"/>
      <c r="F140" s="491" t="n"/>
      <c r="G140" s="491" t="n"/>
      <c r="H140" s="491" t="n"/>
      <c r="I140" s="491" t="n"/>
      <c r="J140" s="491" t="n"/>
      <c r="K140" s="491" t="n"/>
      <c r="L140" s="491" t="n"/>
      <c r="M140" s="491" t="n"/>
      <c r="N140" s="491" t="n"/>
      <c r="O140" s="491" t="n"/>
      <c r="P140" s="491" t="n"/>
      <c r="Q140" s="491" t="n"/>
      <c r="R140" s="491" t="n"/>
      <c r="S140" s="491" t="n"/>
      <c r="T140" s="491" t="n"/>
      <c r="U140" s="491" t="n"/>
      <c r="V140" s="491" t="n"/>
      <c r="W140" s="491" t="n"/>
      <c r="X140" s="491" t="n"/>
      <c r="Y140" s="491" t="n"/>
    </row>
    <row r="141" ht="12.75" customHeight="1" s="398">
      <c r="A141" s="491" t="n"/>
      <c r="B141" s="491" t="n"/>
      <c r="C141" s="491" t="n"/>
      <c r="D141" s="491" t="n"/>
      <c r="E141" s="491" t="n"/>
      <c r="F141" s="491" t="n"/>
      <c r="G141" s="491" t="n"/>
      <c r="H141" s="491" t="n"/>
      <c r="I141" s="491" t="n"/>
      <c r="J141" s="491" t="n"/>
      <c r="K141" s="491" t="n"/>
      <c r="L141" s="491" t="n"/>
      <c r="M141" s="491" t="n"/>
      <c r="N141" s="491" t="n"/>
      <c r="O141" s="491" t="n"/>
      <c r="P141" s="491" t="n"/>
      <c r="Q141" s="491" t="n"/>
      <c r="R141" s="491" t="n"/>
      <c r="S141" s="491" t="n"/>
      <c r="T141" s="491" t="n"/>
      <c r="U141" s="491" t="n"/>
      <c r="V141" s="491" t="n"/>
      <c r="W141" s="491" t="n"/>
      <c r="X141" s="491" t="n"/>
      <c r="Y141" s="491" t="n"/>
    </row>
    <row r="142" ht="12.75" customHeight="1" s="398">
      <c r="A142" s="491" t="n"/>
      <c r="B142" s="491" t="n"/>
      <c r="C142" s="491" t="n"/>
      <c r="D142" s="491" t="n"/>
      <c r="E142" s="491" t="n"/>
      <c r="F142" s="491" t="n"/>
      <c r="G142" s="491" t="n"/>
      <c r="H142" s="491" t="n"/>
      <c r="I142" s="491" t="n"/>
      <c r="J142" s="491" t="n"/>
      <c r="K142" s="491" t="n"/>
      <c r="L142" s="491" t="n"/>
      <c r="M142" s="491" t="n"/>
      <c r="N142" s="491" t="n"/>
      <c r="O142" s="491" t="n"/>
      <c r="P142" s="491" t="n"/>
      <c r="Q142" s="491" t="n"/>
      <c r="R142" s="491" t="n"/>
      <c r="S142" s="491" t="n"/>
      <c r="T142" s="491" t="n"/>
      <c r="U142" s="491" t="n"/>
      <c r="V142" s="491" t="n"/>
      <c r="W142" s="491" t="n"/>
      <c r="X142" s="491" t="n"/>
      <c r="Y142" s="491" t="n"/>
    </row>
    <row r="143" ht="12.75" customHeight="1" s="398">
      <c r="A143" s="491" t="n"/>
      <c r="B143" s="491" t="n"/>
      <c r="C143" s="491" t="n"/>
      <c r="D143" s="491" t="n"/>
      <c r="E143" s="491" t="n"/>
      <c r="F143" s="491" t="n"/>
      <c r="G143" s="491" t="n"/>
      <c r="H143" s="491" t="n"/>
      <c r="I143" s="491" t="n"/>
      <c r="J143" s="491" t="n"/>
      <c r="K143" s="491" t="n"/>
      <c r="L143" s="491" t="n"/>
      <c r="M143" s="491" t="n"/>
      <c r="N143" s="491" t="n"/>
      <c r="O143" s="491" t="n"/>
      <c r="P143" s="491" t="n"/>
      <c r="Q143" s="491" t="n"/>
      <c r="R143" s="491" t="n"/>
      <c r="S143" s="491" t="n"/>
      <c r="T143" s="491" t="n"/>
      <c r="U143" s="491" t="n"/>
      <c r="V143" s="491" t="n"/>
      <c r="W143" s="491" t="n"/>
      <c r="X143" s="491" t="n"/>
      <c r="Y143" s="491" t="n"/>
    </row>
    <row r="144" ht="12.75" customHeight="1" s="398">
      <c r="A144" s="491" t="n"/>
      <c r="B144" s="491" t="n"/>
      <c r="C144" s="491" t="n"/>
      <c r="D144" s="491" t="n"/>
      <c r="E144" s="491" t="n"/>
      <c r="F144" s="491" t="n"/>
      <c r="G144" s="491" t="n"/>
      <c r="H144" s="491" t="n"/>
      <c r="I144" s="491" t="n"/>
      <c r="J144" s="491" t="n"/>
      <c r="K144" s="491" t="n"/>
      <c r="L144" s="491" t="n"/>
      <c r="M144" s="491" t="n"/>
      <c r="N144" s="491" t="n"/>
      <c r="O144" s="491" t="n"/>
      <c r="P144" s="491" t="n"/>
      <c r="Q144" s="491" t="n"/>
      <c r="R144" s="491" t="n"/>
      <c r="S144" s="491" t="n"/>
      <c r="T144" s="491" t="n"/>
      <c r="U144" s="491" t="n"/>
      <c r="V144" s="491" t="n"/>
      <c r="W144" s="491" t="n"/>
      <c r="X144" s="491" t="n"/>
      <c r="Y144" s="491" t="n"/>
    </row>
    <row r="145" ht="12.75" customHeight="1" s="398">
      <c r="A145" s="491" t="n"/>
      <c r="B145" s="491" t="n"/>
      <c r="C145" s="491" t="n"/>
      <c r="D145" s="491" t="n"/>
      <c r="E145" s="491" t="n"/>
      <c r="F145" s="491" t="n"/>
      <c r="G145" s="491" t="n"/>
      <c r="H145" s="491" t="n"/>
      <c r="I145" s="491" t="n"/>
      <c r="J145" s="491" t="n"/>
      <c r="K145" s="491" t="n"/>
      <c r="L145" s="491" t="n"/>
      <c r="M145" s="491" t="n"/>
      <c r="N145" s="491" t="n"/>
      <c r="O145" s="491" t="n"/>
      <c r="P145" s="491" t="n"/>
      <c r="Q145" s="491" t="n"/>
      <c r="R145" s="491" t="n"/>
      <c r="S145" s="491" t="n"/>
      <c r="T145" s="491" t="n"/>
      <c r="U145" s="491" t="n"/>
      <c r="V145" s="491" t="n"/>
      <c r="W145" s="491" t="n"/>
      <c r="X145" s="491" t="n"/>
      <c r="Y145" s="491" t="n"/>
    </row>
    <row r="146" ht="12.75" customHeight="1" s="398">
      <c r="A146" s="491" t="n"/>
      <c r="B146" s="491" t="n"/>
      <c r="C146" s="491" t="n"/>
      <c r="D146" s="491" t="n"/>
      <c r="E146" s="491" t="n"/>
      <c r="F146" s="491" t="n"/>
      <c r="G146" s="491" t="n"/>
      <c r="H146" s="491" t="n"/>
      <c r="I146" s="491" t="n"/>
      <c r="J146" s="491" t="n"/>
      <c r="K146" s="491" t="n"/>
      <c r="L146" s="491" t="n"/>
      <c r="M146" s="491" t="n"/>
      <c r="N146" s="491" t="n"/>
      <c r="O146" s="491" t="n"/>
      <c r="P146" s="491" t="n"/>
      <c r="Q146" s="491" t="n"/>
      <c r="R146" s="491" t="n"/>
      <c r="S146" s="491" t="n"/>
      <c r="T146" s="491" t="n"/>
      <c r="U146" s="491" t="n"/>
      <c r="V146" s="491" t="n"/>
      <c r="W146" s="491" t="n"/>
      <c r="X146" s="491" t="n"/>
      <c r="Y146" s="491" t="n"/>
    </row>
    <row r="147" ht="12.75" customHeight="1" s="398">
      <c r="A147" s="491" t="n"/>
      <c r="B147" s="491" t="n"/>
      <c r="C147" s="491" t="n"/>
      <c r="D147" s="491" t="n"/>
      <c r="E147" s="491" t="n"/>
      <c r="F147" s="491" t="n"/>
      <c r="G147" s="491" t="n"/>
      <c r="H147" s="491" t="n"/>
      <c r="I147" s="491" t="n"/>
      <c r="J147" s="491" t="n"/>
      <c r="K147" s="491" t="n"/>
      <c r="L147" s="491" t="n"/>
      <c r="M147" s="491" t="n"/>
      <c r="N147" s="491" t="n"/>
      <c r="O147" s="491" t="n"/>
      <c r="P147" s="491" t="n"/>
      <c r="Q147" s="491" t="n"/>
      <c r="R147" s="491" t="n"/>
      <c r="S147" s="491" t="n"/>
      <c r="T147" s="491" t="n"/>
      <c r="U147" s="491" t="n"/>
      <c r="V147" s="491" t="n"/>
      <c r="W147" s="491" t="n"/>
      <c r="X147" s="491" t="n"/>
      <c r="Y147" s="491" t="n"/>
    </row>
    <row r="148" ht="12.75" customHeight="1" s="398">
      <c r="A148" s="491" t="n"/>
      <c r="B148" s="491" t="n"/>
      <c r="C148" s="491" t="n"/>
      <c r="D148" s="491" t="n"/>
      <c r="E148" s="491" t="n"/>
      <c r="F148" s="491" t="n"/>
      <c r="G148" s="491" t="n"/>
      <c r="H148" s="491" t="n"/>
      <c r="I148" s="491" t="n"/>
      <c r="J148" s="491" t="n"/>
      <c r="K148" s="491" t="n"/>
      <c r="L148" s="491" t="n"/>
      <c r="M148" s="491" t="n"/>
      <c r="N148" s="491" t="n"/>
      <c r="O148" s="491" t="n"/>
      <c r="P148" s="491" t="n"/>
      <c r="Q148" s="491" t="n"/>
      <c r="R148" s="491" t="n"/>
      <c r="S148" s="491" t="n"/>
      <c r="T148" s="491" t="n"/>
      <c r="U148" s="491" t="n"/>
      <c r="V148" s="491" t="n"/>
      <c r="W148" s="491" t="n"/>
      <c r="X148" s="491" t="n"/>
      <c r="Y148" s="491" t="n"/>
    </row>
    <row r="149" ht="12.75" customHeight="1" s="398">
      <c r="A149" s="491" t="n"/>
      <c r="B149" s="491" t="n"/>
      <c r="C149" s="491" t="n"/>
      <c r="D149" s="491" t="n"/>
      <c r="E149" s="491" t="n"/>
      <c r="F149" s="491" t="n"/>
      <c r="G149" s="491" t="n"/>
      <c r="H149" s="491" t="n"/>
      <c r="I149" s="491" t="n"/>
      <c r="J149" s="491" t="n"/>
      <c r="K149" s="491" t="n"/>
      <c r="L149" s="491" t="n"/>
      <c r="M149" s="491" t="n"/>
      <c r="N149" s="491" t="n"/>
      <c r="O149" s="491" t="n"/>
      <c r="P149" s="491" t="n"/>
      <c r="Q149" s="491" t="n"/>
      <c r="R149" s="491" t="n"/>
      <c r="S149" s="491" t="n"/>
      <c r="T149" s="491" t="n"/>
      <c r="U149" s="491" t="n"/>
      <c r="V149" s="491" t="n"/>
      <c r="W149" s="491" t="n"/>
      <c r="X149" s="491" t="n"/>
      <c r="Y149" s="491" t="n"/>
    </row>
    <row r="150" ht="12.75" customHeight="1" s="398">
      <c r="A150" s="491" t="n"/>
      <c r="B150" s="491" t="n"/>
      <c r="C150" s="491" t="n"/>
      <c r="D150" s="491" t="n"/>
      <c r="E150" s="491" t="n"/>
      <c r="F150" s="491" t="n"/>
      <c r="G150" s="491" t="n"/>
      <c r="H150" s="491" t="n"/>
      <c r="I150" s="491" t="n"/>
      <c r="J150" s="491" t="n"/>
      <c r="K150" s="491" t="n"/>
      <c r="L150" s="491" t="n"/>
      <c r="M150" s="491" t="n"/>
      <c r="N150" s="491" t="n"/>
      <c r="O150" s="491" t="n"/>
      <c r="P150" s="491" t="n"/>
      <c r="Q150" s="491" t="n"/>
      <c r="R150" s="491" t="n"/>
      <c r="S150" s="491" t="n"/>
      <c r="T150" s="491" t="n"/>
      <c r="U150" s="491" t="n"/>
      <c r="V150" s="491" t="n"/>
      <c r="W150" s="491" t="n"/>
      <c r="X150" s="491" t="n"/>
      <c r="Y150" s="491" t="n"/>
    </row>
    <row r="151" ht="12.75" customHeight="1" s="398">
      <c r="A151" s="491" t="n"/>
      <c r="B151" s="491" t="n"/>
      <c r="C151" s="491" t="n"/>
      <c r="D151" s="491" t="n"/>
      <c r="E151" s="491" t="n"/>
      <c r="F151" s="491" t="n"/>
      <c r="G151" s="491" t="n"/>
      <c r="H151" s="491" t="n"/>
      <c r="I151" s="491" t="n"/>
      <c r="J151" s="491" t="n"/>
      <c r="K151" s="491" t="n"/>
      <c r="L151" s="491" t="n"/>
      <c r="M151" s="491" t="n"/>
      <c r="N151" s="491" t="n"/>
      <c r="O151" s="491" t="n"/>
      <c r="P151" s="491" t="n"/>
      <c r="Q151" s="491" t="n"/>
      <c r="R151" s="491" t="n"/>
      <c r="S151" s="491" t="n"/>
      <c r="T151" s="491" t="n"/>
      <c r="U151" s="491" t="n"/>
      <c r="V151" s="491" t="n"/>
      <c r="W151" s="491" t="n"/>
      <c r="X151" s="491" t="n"/>
      <c r="Y151" s="491" t="n"/>
    </row>
    <row r="152" ht="12.75" customHeight="1" s="398">
      <c r="A152" s="491" t="n"/>
      <c r="B152" s="491" t="n"/>
      <c r="C152" s="491" t="n"/>
      <c r="D152" s="491" t="n"/>
      <c r="E152" s="491" t="n"/>
      <c r="F152" s="491" t="n"/>
      <c r="G152" s="491" t="n"/>
      <c r="H152" s="491" t="n"/>
      <c r="I152" s="491" t="n"/>
      <c r="J152" s="491" t="n"/>
      <c r="K152" s="491" t="n"/>
      <c r="L152" s="491" t="n"/>
      <c r="M152" s="491" t="n"/>
      <c r="N152" s="491" t="n"/>
      <c r="O152" s="491" t="n"/>
      <c r="P152" s="491" t="n"/>
      <c r="Q152" s="491" t="n"/>
      <c r="R152" s="491" t="n"/>
      <c r="S152" s="491" t="n"/>
      <c r="T152" s="491" t="n"/>
      <c r="U152" s="491" t="n"/>
      <c r="V152" s="491" t="n"/>
      <c r="W152" s="491" t="n"/>
      <c r="X152" s="491" t="n"/>
      <c r="Y152" s="491" t="n"/>
    </row>
    <row r="153" ht="12.75" customHeight="1" s="398">
      <c r="A153" s="491" t="n"/>
      <c r="B153" s="491" t="n"/>
      <c r="C153" s="491" t="n"/>
      <c r="D153" s="491" t="n"/>
      <c r="E153" s="491" t="n"/>
      <c r="F153" s="491" t="n"/>
      <c r="G153" s="491" t="n"/>
      <c r="H153" s="491" t="n"/>
      <c r="I153" s="491" t="n"/>
      <c r="J153" s="491" t="n"/>
      <c r="K153" s="491" t="n"/>
      <c r="L153" s="491" t="n"/>
      <c r="M153" s="491" t="n"/>
      <c r="N153" s="491" t="n"/>
      <c r="O153" s="491" t="n"/>
      <c r="P153" s="491" t="n"/>
      <c r="Q153" s="491" t="n"/>
      <c r="R153" s="491" t="n"/>
      <c r="S153" s="491" t="n"/>
      <c r="T153" s="491" t="n"/>
      <c r="U153" s="491" t="n"/>
      <c r="V153" s="491" t="n"/>
      <c r="W153" s="491" t="n"/>
      <c r="X153" s="491" t="n"/>
      <c r="Y153" s="491" t="n"/>
    </row>
    <row r="154" ht="12.75" customHeight="1" s="398">
      <c r="A154" s="491" t="n"/>
      <c r="B154" s="491" t="n"/>
      <c r="C154" s="491" t="n"/>
      <c r="D154" s="491" t="n"/>
      <c r="E154" s="491" t="n"/>
      <c r="F154" s="491" t="n"/>
      <c r="G154" s="491" t="n"/>
      <c r="H154" s="491" t="n"/>
      <c r="I154" s="491" t="n"/>
      <c r="J154" s="491" t="n"/>
      <c r="K154" s="491" t="n"/>
      <c r="L154" s="491" t="n"/>
      <c r="M154" s="491" t="n"/>
      <c r="N154" s="491" t="n"/>
      <c r="O154" s="491" t="n"/>
      <c r="P154" s="491" t="n"/>
      <c r="Q154" s="491" t="n"/>
      <c r="R154" s="491" t="n"/>
      <c r="S154" s="491" t="n"/>
      <c r="T154" s="491" t="n"/>
      <c r="U154" s="491" t="n"/>
      <c r="V154" s="491" t="n"/>
      <c r="W154" s="491" t="n"/>
      <c r="X154" s="491" t="n"/>
      <c r="Y154" s="491" t="n"/>
    </row>
    <row r="155" ht="12.75" customHeight="1" s="398">
      <c r="A155" s="491" t="n"/>
      <c r="B155" s="491" t="n"/>
      <c r="C155" s="491" t="n"/>
      <c r="D155" s="491" t="n"/>
      <c r="E155" s="491" t="n"/>
      <c r="F155" s="491" t="n"/>
      <c r="G155" s="491" t="n"/>
      <c r="H155" s="491" t="n"/>
      <c r="I155" s="491" t="n"/>
      <c r="J155" s="491" t="n"/>
      <c r="K155" s="491" t="n"/>
      <c r="L155" s="491" t="n"/>
      <c r="M155" s="491" t="n"/>
      <c r="N155" s="491" t="n"/>
      <c r="O155" s="491" t="n"/>
      <c r="P155" s="491" t="n"/>
      <c r="Q155" s="491" t="n"/>
      <c r="R155" s="491" t="n"/>
      <c r="S155" s="491" t="n"/>
      <c r="T155" s="491" t="n"/>
      <c r="U155" s="491" t="n"/>
      <c r="V155" s="491" t="n"/>
      <c r="W155" s="491" t="n"/>
      <c r="X155" s="491" t="n"/>
      <c r="Y155" s="491" t="n"/>
    </row>
    <row r="156" ht="12.75" customHeight="1" s="398">
      <c r="A156" s="491" t="n"/>
      <c r="B156" s="491" t="n"/>
      <c r="C156" s="491" t="n"/>
      <c r="D156" s="491" t="n"/>
      <c r="E156" s="491" t="n"/>
      <c r="F156" s="491" t="n"/>
      <c r="G156" s="491" t="n"/>
      <c r="H156" s="491" t="n"/>
      <c r="I156" s="491" t="n"/>
      <c r="J156" s="491" t="n"/>
      <c r="K156" s="491" t="n"/>
      <c r="L156" s="491" t="n"/>
      <c r="M156" s="491" t="n"/>
      <c r="N156" s="491" t="n"/>
      <c r="O156" s="491" t="n"/>
      <c r="P156" s="491" t="n"/>
      <c r="Q156" s="491" t="n"/>
      <c r="R156" s="491" t="n"/>
      <c r="S156" s="491" t="n"/>
      <c r="T156" s="491" t="n"/>
      <c r="U156" s="491" t="n"/>
      <c r="V156" s="491" t="n"/>
      <c r="W156" s="491" t="n"/>
      <c r="X156" s="491" t="n"/>
      <c r="Y156" s="491" t="n"/>
    </row>
    <row r="157" ht="12.75" customHeight="1" s="398">
      <c r="A157" s="491" t="n"/>
      <c r="B157" s="491" t="n"/>
      <c r="C157" s="491" t="n"/>
      <c r="D157" s="491" t="n"/>
      <c r="E157" s="491" t="n"/>
      <c r="F157" s="491" t="n"/>
      <c r="G157" s="491" t="n"/>
      <c r="H157" s="491" t="n"/>
      <c r="I157" s="491" t="n"/>
      <c r="J157" s="491" t="n"/>
      <c r="K157" s="491" t="n"/>
      <c r="L157" s="491" t="n"/>
      <c r="M157" s="491" t="n"/>
      <c r="N157" s="491" t="n"/>
      <c r="O157" s="491" t="n"/>
      <c r="P157" s="491" t="n"/>
      <c r="Q157" s="491" t="n"/>
      <c r="R157" s="491" t="n"/>
      <c r="S157" s="491" t="n"/>
      <c r="T157" s="491" t="n"/>
      <c r="U157" s="491" t="n"/>
      <c r="V157" s="491" t="n"/>
      <c r="W157" s="491" t="n"/>
      <c r="X157" s="491" t="n"/>
      <c r="Y157" s="491" t="n"/>
    </row>
    <row r="158" ht="12.75" customHeight="1" s="398">
      <c r="A158" s="491" t="n"/>
      <c r="B158" s="491" t="n"/>
      <c r="C158" s="491" t="n"/>
      <c r="D158" s="491" t="n"/>
      <c r="E158" s="491" t="n"/>
      <c r="F158" s="491" t="n"/>
      <c r="G158" s="491" t="n"/>
      <c r="H158" s="491" t="n"/>
      <c r="I158" s="491" t="n"/>
      <c r="J158" s="491" t="n"/>
      <c r="K158" s="491" t="n"/>
      <c r="L158" s="491" t="n"/>
      <c r="M158" s="491" t="n"/>
      <c r="N158" s="491" t="n"/>
      <c r="O158" s="491" t="n"/>
      <c r="P158" s="491" t="n"/>
      <c r="Q158" s="491" t="n"/>
      <c r="R158" s="491" t="n"/>
      <c r="S158" s="491" t="n"/>
      <c r="T158" s="491" t="n"/>
      <c r="U158" s="491" t="n"/>
      <c r="V158" s="491" t="n"/>
      <c r="W158" s="491" t="n"/>
      <c r="X158" s="491" t="n"/>
      <c r="Y158" s="491" t="n"/>
    </row>
    <row r="159" ht="12.75" customHeight="1" s="398">
      <c r="A159" s="491" t="n"/>
      <c r="B159" s="491" t="n"/>
      <c r="C159" s="491" t="n"/>
      <c r="D159" s="491" t="n"/>
      <c r="E159" s="491" t="n"/>
      <c r="F159" s="491" t="n"/>
      <c r="G159" s="491" t="n"/>
      <c r="H159" s="491" t="n"/>
      <c r="I159" s="491" t="n"/>
      <c r="J159" s="491" t="n"/>
      <c r="K159" s="491" t="n"/>
      <c r="L159" s="491" t="n"/>
      <c r="M159" s="491" t="n"/>
      <c r="N159" s="491" t="n"/>
      <c r="O159" s="491" t="n"/>
      <c r="P159" s="491" t="n"/>
      <c r="Q159" s="491" t="n"/>
      <c r="R159" s="491" t="n"/>
      <c r="S159" s="491" t="n"/>
      <c r="T159" s="491" t="n"/>
      <c r="U159" s="491" t="n"/>
      <c r="V159" s="491" t="n"/>
      <c r="W159" s="491" t="n"/>
      <c r="X159" s="491" t="n"/>
      <c r="Y159" s="491" t="n"/>
    </row>
    <row r="160" ht="12.75" customHeight="1" s="398">
      <c r="A160" s="491" t="n"/>
      <c r="B160" s="491" t="n"/>
      <c r="C160" s="491" t="n"/>
      <c r="D160" s="491" t="n"/>
      <c r="E160" s="491" t="n"/>
      <c r="F160" s="491" t="n"/>
      <c r="G160" s="491" t="n"/>
      <c r="H160" s="491" t="n"/>
      <c r="I160" s="491" t="n"/>
      <c r="J160" s="491" t="n"/>
      <c r="K160" s="491" t="n"/>
      <c r="L160" s="491" t="n"/>
      <c r="M160" s="491" t="n"/>
      <c r="N160" s="491" t="n"/>
      <c r="O160" s="491" t="n"/>
      <c r="P160" s="491" t="n"/>
      <c r="Q160" s="491" t="n"/>
      <c r="R160" s="491" t="n"/>
      <c r="S160" s="491" t="n"/>
      <c r="T160" s="491" t="n"/>
      <c r="U160" s="491" t="n"/>
      <c r="V160" s="491" t="n"/>
      <c r="W160" s="491" t="n"/>
      <c r="X160" s="491" t="n"/>
      <c r="Y160" s="491" t="n"/>
    </row>
    <row r="161" ht="12.75" customHeight="1" s="398">
      <c r="A161" s="491" t="n"/>
      <c r="B161" s="491" t="n"/>
      <c r="C161" s="491" t="n"/>
      <c r="D161" s="491" t="n"/>
      <c r="E161" s="491" t="n"/>
      <c r="F161" s="491" t="n"/>
      <c r="G161" s="491" t="n"/>
      <c r="H161" s="491" t="n"/>
      <c r="I161" s="491" t="n"/>
      <c r="J161" s="491" t="n"/>
      <c r="K161" s="491" t="n"/>
      <c r="L161" s="491" t="n"/>
      <c r="M161" s="491" t="n"/>
      <c r="N161" s="491" t="n"/>
      <c r="O161" s="491" t="n"/>
      <c r="P161" s="491" t="n"/>
      <c r="Q161" s="491" t="n"/>
      <c r="R161" s="491" t="n"/>
      <c r="S161" s="491" t="n"/>
      <c r="T161" s="491" t="n"/>
      <c r="U161" s="491" t="n"/>
      <c r="V161" s="491" t="n"/>
      <c r="W161" s="491" t="n"/>
      <c r="X161" s="491" t="n"/>
      <c r="Y161" s="491" t="n"/>
    </row>
    <row r="162" ht="12.75" customHeight="1" s="398">
      <c r="A162" s="491" t="n"/>
      <c r="B162" s="491" t="n"/>
      <c r="C162" s="491" t="n"/>
      <c r="D162" s="491" t="n"/>
      <c r="E162" s="491" t="n"/>
      <c r="F162" s="491" t="n"/>
      <c r="G162" s="491" t="n"/>
      <c r="H162" s="491" t="n"/>
      <c r="I162" s="491" t="n"/>
      <c r="J162" s="491" t="n"/>
      <c r="K162" s="491" t="n"/>
      <c r="L162" s="491" t="n"/>
      <c r="M162" s="491" t="n"/>
      <c r="N162" s="491" t="n"/>
      <c r="O162" s="491" t="n"/>
      <c r="P162" s="491" t="n"/>
      <c r="Q162" s="491" t="n"/>
      <c r="R162" s="491" t="n"/>
      <c r="S162" s="491" t="n"/>
      <c r="T162" s="491" t="n"/>
      <c r="U162" s="491" t="n"/>
      <c r="V162" s="491" t="n"/>
      <c r="W162" s="491" t="n"/>
      <c r="X162" s="491" t="n"/>
      <c r="Y162" s="491" t="n"/>
    </row>
    <row r="163" ht="12.75" customHeight="1" s="398">
      <c r="A163" s="491" t="n"/>
      <c r="B163" s="491" t="n"/>
      <c r="C163" s="491" t="n"/>
      <c r="D163" s="491" t="n"/>
      <c r="E163" s="491" t="n"/>
      <c r="F163" s="491" t="n"/>
      <c r="G163" s="491" t="n"/>
      <c r="H163" s="491" t="n"/>
      <c r="I163" s="491" t="n"/>
      <c r="J163" s="491" t="n"/>
      <c r="K163" s="491" t="n"/>
      <c r="L163" s="491" t="n"/>
      <c r="M163" s="491" t="n"/>
      <c r="N163" s="491" t="n"/>
      <c r="O163" s="491" t="n"/>
      <c r="P163" s="491" t="n"/>
      <c r="Q163" s="491" t="n"/>
      <c r="R163" s="491" t="n"/>
      <c r="S163" s="491" t="n"/>
      <c r="T163" s="491" t="n"/>
      <c r="U163" s="491" t="n"/>
      <c r="V163" s="491" t="n"/>
      <c r="W163" s="491" t="n"/>
      <c r="X163" s="491" t="n"/>
      <c r="Y163" s="491" t="n"/>
    </row>
    <row r="164" ht="12.75" customHeight="1" s="398">
      <c r="A164" s="491" t="n"/>
      <c r="B164" s="491" t="n"/>
      <c r="C164" s="491" t="n"/>
      <c r="D164" s="491" t="n"/>
      <c r="E164" s="491" t="n"/>
      <c r="F164" s="491" t="n"/>
      <c r="G164" s="491" t="n"/>
      <c r="H164" s="491" t="n"/>
      <c r="I164" s="491" t="n"/>
      <c r="J164" s="491" t="n"/>
      <c r="K164" s="491" t="n"/>
      <c r="L164" s="491" t="n"/>
      <c r="M164" s="491" t="n"/>
      <c r="N164" s="491" t="n"/>
      <c r="O164" s="491" t="n"/>
      <c r="P164" s="491" t="n"/>
      <c r="Q164" s="491" t="n"/>
      <c r="R164" s="491" t="n"/>
      <c r="S164" s="491" t="n"/>
      <c r="T164" s="491" t="n"/>
      <c r="U164" s="491" t="n"/>
      <c r="V164" s="491" t="n"/>
      <c r="W164" s="491" t="n"/>
      <c r="X164" s="491" t="n"/>
      <c r="Y164" s="491" t="n"/>
    </row>
    <row r="165" ht="12.75" customHeight="1" s="398">
      <c r="A165" s="491" t="n"/>
      <c r="B165" s="491" t="n"/>
      <c r="C165" s="491" t="n"/>
      <c r="D165" s="491" t="n"/>
      <c r="E165" s="491" t="n"/>
      <c r="F165" s="491" t="n"/>
      <c r="G165" s="491" t="n"/>
      <c r="H165" s="491" t="n"/>
      <c r="I165" s="491" t="n"/>
      <c r="J165" s="491" t="n"/>
      <c r="K165" s="491" t="n"/>
      <c r="L165" s="491" t="n"/>
      <c r="M165" s="491" t="n"/>
      <c r="N165" s="491" t="n"/>
      <c r="O165" s="491" t="n"/>
      <c r="P165" s="491" t="n"/>
      <c r="Q165" s="491" t="n"/>
      <c r="R165" s="491" t="n"/>
      <c r="S165" s="491" t="n"/>
      <c r="T165" s="491" t="n"/>
      <c r="U165" s="491" t="n"/>
      <c r="V165" s="491" t="n"/>
      <c r="W165" s="491" t="n"/>
      <c r="X165" s="491" t="n"/>
      <c r="Y165" s="491" t="n"/>
    </row>
    <row r="166" ht="12.75" customHeight="1" s="398">
      <c r="A166" s="491" t="n"/>
      <c r="B166" s="491" t="n"/>
      <c r="C166" s="491" t="n"/>
      <c r="D166" s="491" t="n"/>
      <c r="E166" s="491" t="n"/>
      <c r="F166" s="491" t="n"/>
      <c r="G166" s="491" t="n"/>
      <c r="H166" s="491" t="n"/>
      <c r="I166" s="491" t="n"/>
      <c r="J166" s="491" t="n"/>
      <c r="K166" s="491" t="n"/>
      <c r="L166" s="491" t="n"/>
      <c r="M166" s="491" t="n"/>
      <c r="N166" s="491" t="n"/>
      <c r="O166" s="491" t="n"/>
      <c r="P166" s="491" t="n"/>
      <c r="Q166" s="491" t="n"/>
      <c r="R166" s="491" t="n"/>
      <c r="S166" s="491" t="n"/>
      <c r="T166" s="491" t="n"/>
      <c r="U166" s="491" t="n"/>
      <c r="V166" s="491" t="n"/>
      <c r="W166" s="491" t="n"/>
      <c r="X166" s="491" t="n"/>
      <c r="Y166" s="491" t="n"/>
    </row>
    <row r="167" ht="12.75" customHeight="1" s="398">
      <c r="A167" s="491" t="n"/>
      <c r="B167" s="491" t="n"/>
      <c r="C167" s="491" t="n"/>
      <c r="D167" s="491" t="n"/>
      <c r="E167" s="491" t="n"/>
      <c r="F167" s="491" t="n"/>
      <c r="G167" s="491" t="n"/>
      <c r="H167" s="491" t="n"/>
      <c r="I167" s="491" t="n"/>
      <c r="J167" s="491" t="n"/>
      <c r="K167" s="491" t="n"/>
      <c r="L167" s="491" t="n"/>
      <c r="M167" s="491" t="n"/>
      <c r="N167" s="491" t="n"/>
      <c r="O167" s="491" t="n"/>
      <c r="P167" s="491" t="n"/>
      <c r="Q167" s="491" t="n"/>
      <c r="R167" s="491" t="n"/>
      <c r="S167" s="491" t="n"/>
      <c r="T167" s="491" t="n"/>
      <c r="U167" s="491" t="n"/>
      <c r="V167" s="491" t="n"/>
      <c r="W167" s="491" t="n"/>
      <c r="X167" s="491" t="n"/>
      <c r="Y167" s="491" t="n"/>
    </row>
    <row r="168" ht="12.75" customHeight="1" s="398">
      <c r="A168" s="491" t="n"/>
      <c r="B168" s="491" t="n"/>
      <c r="C168" s="491" t="n"/>
      <c r="D168" s="491" t="n"/>
      <c r="E168" s="491" t="n"/>
      <c r="F168" s="491" t="n"/>
      <c r="G168" s="491" t="n"/>
      <c r="H168" s="491" t="n"/>
      <c r="I168" s="491" t="n"/>
      <c r="J168" s="491" t="n"/>
      <c r="K168" s="491" t="n"/>
      <c r="L168" s="491" t="n"/>
      <c r="M168" s="491" t="n"/>
      <c r="N168" s="491" t="n"/>
      <c r="O168" s="491" t="n"/>
      <c r="P168" s="491" t="n"/>
      <c r="Q168" s="491" t="n"/>
      <c r="R168" s="491" t="n"/>
      <c r="S168" s="491" t="n"/>
      <c r="T168" s="491" t="n"/>
      <c r="U168" s="491" t="n"/>
      <c r="V168" s="491" t="n"/>
      <c r="W168" s="491" t="n"/>
      <c r="X168" s="491" t="n"/>
      <c r="Y168" s="491" t="n"/>
    </row>
    <row r="169" ht="12.75" customHeight="1" s="398">
      <c r="A169" s="491" t="n"/>
      <c r="B169" s="491" t="n"/>
      <c r="C169" s="491" t="n"/>
      <c r="D169" s="491" t="n"/>
      <c r="E169" s="491" t="n"/>
      <c r="F169" s="491" t="n"/>
      <c r="G169" s="491" t="n"/>
      <c r="H169" s="491" t="n"/>
      <c r="I169" s="491" t="n"/>
      <c r="J169" s="491" t="n"/>
      <c r="K169" s="491" t="n"/>
      <c r="L169" s="491" t="n"/>
      <c r="M169" s="491" t="n"/>
      <c r="N169" s="491" t="n"/>
      <c r="O169" s="491" t="n"/>
      <c r="P169" s="491" t="n"/>
      <c r="Q169" s="491" t="n"/>
      <c r="R169" s="491" t="n"/>
      <c r="S169" s="491" t="n"/>
      <c r="T169" s="491" t="n"/>
      <c r="U169" s="491" t="n"/>
      <c r="V169" s="491" t="n"/>
      <c r="W169" s="491" t="n"/>
      <c r="X169" s="491" t="n"/>
      <c r="Y169" s="491" t="n"/>
    </row>
    <row r="170" ht="12.75" customHeight="1" s="398">
      <c r="A170" s="491" t="n"/>
      <c r="B170" s="491" t="n"/>
      <c r="C170" s="491" t="n"/>
      <c r="D170" s="491" t="n"/>
      <c r="E170" s="491" t="n"/>
      <c r="F170" s="491" t="n"/>
      <c r="G170" s="491" t="n"/>
      <c r="H170" s="491" t="n"/>
      <c r="I170" s="491" t="n"/>
      <c r="J170" s="491" t="n"/>
      <c r="K170" s="491" t="n"/>
      <c r="L170" s="491" t="n"/>
      <c r="M170" s="491" t="n"/>
      <c r="N170" s="491" t="n"/>
      <c r="O170" s="491" t="n"/>
      <c r="P170" s="491" t="n"/>
      <c r="Q170" s="491" t="n"/>
      <c r="R170" s="491" t="n"/>
      <c r="S170" s="491" t="n"/>
      <c r="T170" s="491" t="n"/>
      <c r="U170" s="491" t="n"/>
      <c r="V170" s="491" t="n"/>
      <c r="W170" s="491" t="n"/>
      <c r="X170" s="491" t="n"/>
      <c r="Y170" s="491" t="n"/>
    </row>
    <row r="171" ht="12.75" customHeight="1" s="398">
      <c r="A171" s="491" t="n"/>
      <c r="B171" s="491" t="n"/>
      <c r="C171" s="491" t="n"/>
      <c r="D171" s="491" t="n"/>
      <c r="E171" s="491" t="n"/>
      <c r="F171" s="491" t="n"/>
      <c r="G171" s="491" t="n"/>
      <c r="H171" s="491" t="n"/>
      <c r="I171" s="491" t="n"/>
      <c r="J171" s="491" t="n"/>
      <c r="K171" s="491" t="n"/>
      <c r="L171" s="491" t="n"/>
      <c r="M171" s="491" t="n"/>
      <c r="N171" s="491" t="n"/>
      <c r="O171" s="491" t="n"/>
      <c r="P171" s="491" t="n"/>
      <c r="Q171" s="491" t="n"/>
      <c r="R171" s="491" t="n"/>
      <c r="S171" s="491" t="n"/>
      <c r="T171" s="491" t="n"/>
      <c r="U171" s="491" t="n"/>
      <c r="V171" s="491" t="n"/>
      <c r="W171" s="491" t="n"/>
      <c r="X171" s="491" t="n"/>
      <c r="Y171" s="491" t="n"/>
    </row>
    <row r="172" ht="12.75" customHeight="1" s="398">
      <c r="A172" s="491" t="n"/>
      <c r="B172" s="491" t="n"/>
      <c r="C172" s="491" t="n"/>
      <c r="D172" s="491" t="n"/>
      <c r="E172" s="491" t="n"/>
      <c r="F172" s="491" t="n"/>
      <c r="G172" s="491" t="n"/>
      <c r="H172" s="491" t="n"/>
      <c r="I172" s="491" t="n"/>
      <c r="J172" s="491" t="n"/>
      <c r="K172" s="491" t="n"/>
      <c r="L172" s="491" t="n"/>
      <c r="M172" s="491" t="n"/>
      <c r="N172" s="491" t="n"/>
      <c r="O172" s="491" t="n"/>
      <c r="P172" s="491" t="n"/>
      <c r="Q172" s="491" t="n"/>
      <c r="R172" s="491" t="n"/>
      <c r="S172" s="491" t="n"/>
      <c r="T172" s="491" t="n"/>
      <c r="U172" s="491" t="n"/>
      <c r="V172" s="491" t="n"/>
      <c r="W172" s="491" t="n"/>
      <c r="X172" s="491" t="n"/>
      <c r="Y172" s="491" t="n"/>
    </row>
    <row r="173" ht="12.75" customHeight="1" s="398">
      <c r="A173" s="491" t="n"/>
      <c r="B173" s="491" t="n"/>
      <c r="C173" s="491" t="n"/>
      <c r="D173" s="491" t="n"/>
      <c r="E173" s="491" t="n"/>
      <c r="F173" s="491" t="n"/>
      <c r="G173" s="491" t="n"/>
      <c r="H173" s="491" t="n"/>
      <c r="I173" s="491" t="n"/>
      <c r="J173" s="491" t="n"/>
      <c r="K173" s="491" t="n"/>
      <c r="L173" s="491" t="n"/>
      <c r="M173" s="491" t="n"/>
      <c r="N173" s="491" t="n"/>
      <c r="O173" s="491" t="n"/>
      <c r="P173" s="491" t="n"/>
      <c r="Q173" s="491" t="n"/>
      <c r="R173" s="491" t="n"/>
      <c r="S173" s="491" t="n"/>
      <c r="T173" s="491" t="n"/>
      <c r="U173" s="491" t="n"/>
      <c r="V173" s="491" t="n"/>
      <c r="W173" s="491" t="n"/>
      <c r="X173" s="491" t="n"/>
      <c r="Y173" s="491" t="n"/>
    </row>
    <row r="174" ht="12.75" customHeight="1" s="398">
      <c r="A174" s="491" t="n"/>
      <c r="B174" s="491" t="n"/>
      <c r="C174" s="491" t="n"/>
      <c r="D174" s="491" t="n"/>
      <c r="E174" s="491" t="n"/>
      <c r="F174" s="491" t="n"/>
      <c r="G174" s="491" t="n"/>
      <c r="H174" s="491" t="n"/>
      <c r="I174" s="491" t="n"/>
      <c r="J174" s="491" t="n"/>
      <c r="K174" s="491" t="n"/>
      <c r="L174" s="491" t="n"/>
      <c r="M174" s="491" t="n"/>
      <c r="N174" s="491" t="n"/>
      <c r="O174" s="491" t="n"/>
      <c r="P174" s="491" t="n"/>
      <c r="Q174" s="491" t="n"/>
      <c r="R174" s="491" t="n"/>
      <c r="S174" s="491" t="n"/>
      <c r="T174" s="491" t="n"/>
      <c r="U174" s="491" t="n"/>
      <c r="V174" s="491" t="n"/>
      <c r="W174" s="491" t="n"/>
      <c r="X174" s="491" t="n"/>
      <c r="Y174" s="491" t="n"/>
    </row>
    <row r="175" ht="12.75" customHeight="1" s="398">
      <c r="A175" s="491" t="n"/>
      <c r="B175" s="491" t="n"/>
      <c r="C175" s="491" t="n"/>
      <c r="D175" s="491" t="n"/>
      <c r="E175" s="491" t="n"/>
      <c r="F175" s="491" t="n"/>
      <c r="G175" s="491" t="n"/>
      <c r="H175" s="491" t="n"/>
      <c r="I175" s="491" t="n"/>
      <c r="J175" s="491" t="n"/>
      <c r="K175" s="491" t="n"/>
      <c r="L175" s="491" t="n"/>
      <c r="M175" s="491" t="n"/>
      <c r="N175" s="491" t="n"/>
      <c r="O175" s="491" t="n"/>
      <c r="P175" s="491" t="n"/>
      <c r="Q175" s="491" t="n"/>
      <c r="R175" s="491" t="n"/>
      <c r="S175" s="491" t="n"/>
      <c r="T175" s="491" t="n"/>
      <c r="U175" s="491" t="n"/>
      <c r="V175" s="491" t="n"/>
      <c r="W175" s="491" t="n"/>
      <c r="X175" s="491" t="n"/>
      <c r="Y175" s="491" t="n"/>
    </row>
    <row r="176" ht="12.75" customHeight="1" s="398">
      <c r="A176" s="491" t="n"/>
      <c r="B176" s="491" t="n"/>
      <c r="C176" s="491" t="n"/>
      <c r="D176" s="491" t="n"/>
      <c r="E176" s="491" t="n"/>
      <c r="F176" s="491" t="n"/>
      <c r="G176" s="491" t="n"/>
      <c r="H176" s="491" t="n"/>
      <c r="I176" s="491" t="n"/>
      <c r="J176" s="491" t="n"/>
      <c r="K176" s="491" t="n"/>
      <c r="L176" s="491" t="n"/>
      <c r="M176" s="491" t="n"/>
      <c r="N176" s="491" t="n"/>
      <c r="O176" s="491" t="n"/>
      <c r="P176" s="491" t="n"/>
      <c r="Q176" s="491" t="n"/>
      <c r="R176" s="491" t="n"/>
      <c r="S176" s="491" t="n"/>
      <c r="T176" s="491" t="n"/>
      <c r="U176" s="491" t="n"/>
      <c r="V176" s="491" t="n"/>
      <c r="W176" s="491" t="n"/>
      <c r="X176" s="491" t="n"/>
      <c r="Y176" s="491" t="n"/>
    </row>
    <row r="177" ht="12.75" customHeight="1" s="398">
      <c r="A177" s="491" t="n"/>
      <c r="B177" s="491" t="n"/>
      <c r="C177" s="491" t="n"/>
      <c r="D177" s="491" t="n"/>
      <c r="E177" s="491" t="n"/>
      <c r="F177" s="491" t="n"/>
      <c r="G177" s="491" t="n"/>
      <c r="H177" s="491" t="n"/>
      <c r="I177" s="491" t="n"/>
      <c r="J177" s="491" t="n"/>
      <c r="K177" s="491" t="n"/>
      <c r="L177" s="491" t="n"/>
      <c r="M177" s="491" t="n"/>
      <c r="N177" s="491" t="n"/>
      <c r="O177" s="491" t="n"/>
      <c r="P177" s="491" t="n"/>
      <c r="Q177" s="491" t="n"/>
      <c r="R177" s="491" t="n"/>
      <c r="S177" s="491" t="n"/>
      <c r="T177" s="491" t="n"/>
      <c r="U177" s="491" t="n"/>
      <c r="V177" s="491" t="n"/>
      <c r="W177" s="491" t="n"/>
      <c r="X177" s="491" t="n"/>
      <c r="Y177" s="491" t="n"/>
    </row>
    <row r="178" ht="12.75" customHeight="1" s="398">
      <c r="A178" s="491" t="n"/>
      <c r="B178" s="491" t="n"/>
      <c r="C178" s="491" t="n"/>
      <c r="D178" s="491" t="n"/>
      <c r="E178" s="491" t="n"/>
      <c r="F178" s="491" t="n"/>
      <c r="G178" s="491" t="n"/>
      <c r="H178" s="491" t="n"/>
      <c r="I178" s="491" t="n"/>
      <c r="J178" s="491" t="n"/>
      <c r="K178" s="491" t="n"/>
      <c r="L178" s="491" t="n"/>
      <c r="M178" s="491" t="n"/>
      <c r="N178" s="491" t="n"/>
      <c r="O178" s="491" t="n"/>
      <c r="P178" s="491" t="n"/>
      <c r="Q178" s="491" t="n"/>
      <c r="R178" s="491" t="n"/>
      <c r="S178" s="491" t="n"/>
      <c r="T178" s="491" t="n"/>
      <c r="U178" s="491" t="n"/>
      <c r="V178" s="491" t="n"/>
      <c r="W178" s="491" t="n"/>
      <c r="X178" s="491" t="n"/>
      <c r="Y178" s="491" t="n"/>
    </row>
    <row r="179" ht="12.75" customHeight="1" s="398">
      <c r="A179" s="491" t="n"/>
      <c r="B179" s="491" t="n"/>
      <c r="C179" s="491" t="n"/>
      <c r="D179" s="491" t="n"/>
      <c r="E179" s="491" t="n"/>
      <c r="F179" s="491" t="n"/>
      <c r="G179" s="491" t="n"/>
      <c r="H179" s="491" t="n"/>
      <c r="I179" s="491" t="n"/>
      <c r="J179" s="491" t="n"/>
      <c r="K179" s="491" t="n"/>
      <c r="L179" s="491" t="n"/>
      <c r="M179" s="491" t="n"/>
      <c r="N179" s="491" t="n"/>
      <c r="O179" s="491" t="n"/>
      <c r="P179" s="491" t="n"/>
      <c r="Q179" s="491" t="n"/>
      <c r="R179" s="491" t="n"/>
      <c r="S179" s="491" t="n"/>
      <c r="T179" s="491" t="n"/>
      <c r="U179" s="491" t="n"/>
      <c r="V179" s="491" t="n"/>
      <c r="W179" s="491" t="n"/>
      <c r="X179" s="491" t="n"/>
      <c r="Y179" s="491" t="n"/>
    </row>
    <row r="180" ht="12.75" customHeight="1" s="398">
      <c r="A180" s="491" t="n"/>
      <c r="B180" s="491" t="n"/>
      <c r="C180" s="491" t="n"/>
      <c r="D180" s="491" t="n"/>
      <c r="E180" s="491" t="n"/>
      <c r="F180" s="491" t="n"/>
      <c r="G180" s="491" t="n"/>
      <c r="H180" s="491" t="n"/>
      <c r="I180" s="491" t="n"/>
      <c r="J180" s="491" t="n"/>
      <c r="K180" s="491" t="n"/>
      <c r="L180" s="491" t="n"/>
      <c r="M180" s="491" t="n"/>
      <c r="N180" s="491" t="n"/>
      <c r="O180" s="491" t="n"/>
      <c r="P180" s="491" t="n"/>
      <c r="Q180" s="491" t="n"/>
      <c r="R180" s="491" t="n"/>
      <c r="S180" s="491" t="n"/>
      <c r="T180" s="491" t="n"/>
      <c r="U180" s="491" t="n"/>
      <c r="V180" s="491" t="n"/>
      <c r="W180" s="491" t="n"/>
      <c r="X180" s="491" t="n"/>
      <c r="Y180" s="491" t="n"/>
    </row>
    <row r="181" ht="12.75" customHeight="1" s="398">
      <c r="A181" s="491" t="n"/>
      <c r="B181" s="491" t="n"/>
      <c r="C181" s="491" t="n"/>
      <c r="D181" s="491" t="n"/>
      <c r="E181" s="491" t="n"/>
      <c r="F181" s="491" t="n"/>
      <c r="G181" s="491" t="n"/>
      <c r="H181" s="491" t="n"/>
      <c r="I181" s="491" t="n"/>
      <c r="J181" s="491" t="n"/>
      <c r="K181" s="491" t="n"/>
      <c r="L181" s="491" t="n"/>
      <c r="M181" s="491" t="n"/>
      <c r="N181" s="491" t="n"/>
      <c r="O181" s="491" t="n"/>
      <c r="P181" s="491" t="n"/>
      <c r="Q181" s="491" t="n"/>
      <c r="R181" s="491" t="n"/>
      <c r="S181" s="491" t="n"/>
      <c r="T181" s="491" t="n"/>
      <c r="U181" s="491" t="n"/>
      <c r="V181" s="491" t="n"/>
      <c r="W181" s="491" t="n"/>
      <c r="X181" s="491" t="n"/>
      <c r="Y181" s="491" t="n"/>
    </row>
    <row r="182" ht="12.75" customHeight="1" s="398">
      <c r="A182" s="491" t="n"/>
      <c r="B182" s="491" t="n"/>
      <c r="C182" s="491" t="n"/>
      <c r="D182" s="491" t="n"/>
      <c r="E182" s="491" t="n"/>
      <c r="F182" s="491" t="n"/>
      <c r="G182" s="491" t="n"/>
      <c r="H182" s="491" t="n"/>
      <c r="I182" s="491" t="n"/>
      <c r="J182" s="491" t="n"/>
      <c r="K182" s="491" t="n"/>
      <c r="L182" s="491" t="n"/>
      <c r="M182" s="491" t="n"/>
      <c r="N182" s="491" t="n"/>
      <c r="O182" s="491" t="n"/>
      <c r="P182" s="491" t="n"/>
      <c r="Q182" s="491" t="n"/>
      <c r="R182" s="491" t="n"/>
      <c r="S182" s="491" t="n"/>
      <c r="T182" s="491" t="n"/>
      <c r="U182" s="491" t="n"/>
      <c r="V182" s="491" t="n"/>
      <c r="W182" s="491" t="n"/>
      <c r="X182" s="491" t="n"/>
      <c r="Y182" s="491" t="n"/>
    </row>
    <row r="183" ht="12.75" customHeight="1" s="398">
      <c r="A183" s="491" t="n"/>
      <c r="B183" s="491" t="n"/>
      <c r="C183" s="491" t="n"/>
      <c r="D183" s="491" t="n"/>
      <c r="E183" s="491" t="n"/>
      <c r="F183" s="491" t="n"/>
      <c r="G183" s="491" t="n"/>
      <c r="H183" s="491" t="n"/>
      <c r="I183" s="491" t="n"/>
      <c r="J183" s="491" t="n"/>
      <c r="K183" s="491" t="n"/>
      <c r="L183" s="491" t="n"/>
      <c r="M183" s="491" t="n"/>
      <c r="N183" s="491" t="n"/>
      <c r="O183" s="491" t="n"/>
      <c r="P183" s="491" t="n"/>
      <c r="Q183" s="491" t="n"/>
      <c r="R183" s="491" t="n"/>
      <c r="S183" s="491" t="n"/>
      <c r="T183" s="491" t="n"/>
      <c r="U183" s="491" t="n"/>
      <c r="V183" s="491" t="n"/>
      <c r="W183" s="491" t="n"/>
      <c r="X183" s="491" t="n"/>
      <c r="Y183" s="491" t="n"/>
    </row>
    <row r="184" ht="12.75" customHeight="1" s="398">
      <c r="A184" s="491" t="n"/>
      <c r="B184" s="491" t="n"/>
      <c r="C184" s="491" t="n"/>
      <c r="D184" s="491" t="n"/>
      <c r="E184" s="491" t="n"/>
      <c r="F184" s="491" t="n"/>
      <c r="G184" s="491" t="n"/>
      <c r="H184" s="491" t="n"/>
      <c r="I184" s="491" t="n"/>
      <c r="J184" s="491" t="n"/>
      <c r="K184" s="491" t="n"/>
      <c r="L184" s="491" t="n"/>
      <c r="M184" s="491" t="n"/>
      <c r="N184" s="491" t="n"/>
      <c r="O184" s="491" t="n"/>
      <c r="P184" s="491" t="n"/>
      <c r="Q184" s="491" t="n"/>
      <c r="R184" s="491" t="n"/>
      <c r="S184" s="491" t="n"/>
      <c r="T184" s="491" t="n"/>
      <c r="U184" s="491" t="n"/>
      <c r="V184" s="491" t="n"/>
      <c r="W184" s="491" t="n"/>
      <c r="X184" s="491" t="n"/>
      <c r="Y184" s="491" t="n"/>
    </row>
    <row r="185" ht="12.75" customHeight="1" s="398">
      <c r="A185" s="491" t="n"/>
      <c r="B185" s="491" t="n"/>
      <c r="C185" s="491" t="n"/>
      <c r="D185" s="491" t="n"/>
      <c r="E185" s="491" t="n"/>
      <c r="F185" s="491" t="n"/>
      <c r="G185" s="491" t="n"/>
      <c r="H185" s="491" t="n"/>
      <c r="I185" s="491" t="n"/>
      <c r="J185" s="491" t="n"/>
      <c r="K185" s="491" t="n"/>
      <c r="L185" s="491" t="n"/>
      <c r="M185" s="491" t="n"/>
      <c r="N185" s="491" t="n"/>
      <c r="O185" s="491" t="n"/>
      <c r="P185" s="491" t="n"/>
      <c r="Q185" s="491" t="n"/>
      <c r="R185" s="491" t="n"/>
      <c r="S185" s="491" t="n"/>
      <c r="T185" s="491" t="n"/>
      <c r="U185" s="491" t="n"/>
      <c r="V185" s="491" t="n"/>
      <c r="W185" s="491" t="n"/>
      <c r="X185" s="491" t="n"/>
      <c r="Y185" s="491" t="n"/>
    </row>
    <row r="186" ht="12.75" customHeight="1" s="398">
      <c r="A186" s="491" t="n"/>
      <c r="B186" s="491" t="n"/>
      <c r="C186" s="491" t="n"/>
      <c r="D186" s="491" t="n"/>
      <c r="E186" s="491" t="n"/>
      <c r="F186" s="491" t="n"/>
      <c r="G186" s="491" t="n"/>
      <c r="H186" s="491" t="n"/>
      <c r="I186" s="491" t="n"/>
      <c r="J186" s="491" t="n"/>
      <c r="K186" s="491" t="n"/>
      <c r="L186" s="491" t="n"/>
      <c r="M186" s="491" t="n"/>
      <c r="N186" s="491" t="n"/>
      <c r="O186" s="491" t="n"/>
      <c r="P186" s="491" t="n"/>
      <c r="Q186" s="491" t="n"/>
      <c r="R186" s="491" t="n"/>
      <c r="S186" s="491" t="n"/>
      <c r="T186" s="491" t="n"/>
      <c r="U186" s="491" t="n"/>
      <c r="V186" s="491" t="n"/>
      <c r="W186" s="491" t="n"/>
      <c r="X186" s="491" t="n"/>
      <c r="Y186" s="491" t="n"/>
    </row>
    <row r="187" ht="12.75" customHeight="1" s="398">
      <c r="A187" s="491" t="n"/>
      <c r="B187" s="491" t="n"/>
      <c r="C187" s="491" t="n"/>
      <c r="D187" s="491" t="n"/>
      <c r="E187" s="491" t="n"/>
      <c r="F187" s="491" t="n"/>
      <c r="G187" s="491" t="n"/>
      <c r="H187" s="491" t="n"/>
      <c r="I187" s="491" t="n"/>
      <c r="J187" s="491" t="n"/>
      <c r="K187" s="491" t="n"/>
      <c r="L187" s="491" t="n"/>
      <c r="M187" s="491" t="n"/>
      <c r="N187" s="491" t="n"/>
      <c r="O187" s="491" t="n"/>
      <c r="P187" s="491" t="n"/>
      <c r="Q187" s="491" t="n"/>
      <c r="R187" s="491" t="n"/>
      <c r="S187" s="491" t="n"/>
      <c r="T187" s="491" t="n"/>
      <c r="U187" s="491" t="n"/>
      <c r="V187" s="491" t="n"/>
      <c r="W187" s="491" t="n"/>
      <c r="X187" s="491" t="n"/>
      <c r="Y187" s="491" t="n"/>
    </row>
    <row r="188" ht="12.75" customHeight="1" s="398">
      <c r="A188" s="491" t="n"/>
      <c r="B188" s="491" t="n"/>
      <c r="C188" s="491" t="n"/>
      <c r="D188" s="491" t="n"/>
      <c r="E188" s="491" t="n"/>
      <c r="F188" s="491" t="n"/>
      <c r="G188" s="491" t="n"/>
      <c r="H188" s="491" t="n"/>
      <c r="I188" s="491" t="n"/>
      <c r="J188" s="491" t="n"/>
      <c r="K188" s="491" t="n"/>
      <c r="L188" s="491" t="n"/>
      <c r="M188" s="491" t="n"/>
      <c r="N188" s="491" t="n"/>
      <c r="O188" s="491" t="n"/>
      <c r="P188" s="491" t="n"/>
      <c r="Q188" s="491" t="n"/>
      <c r="R188" s="491" t="n"/>
      <c r="S188" s="491" t="n"/>
      <c r="T188" s="491" t="n"/>
      <c r="U188" s="491" t="n"/>
      <c r="V188" s="491" t="n"/>
      <c r="W188" s="491" t="n"/>
      <c r="X188" s="491" t="n"/>
      <c r="Y188" s="491" t="n"/>
    </row>
    <row r="189" ht="12.75" customHeight="1" s="398">
      <c r="A189" s="491" t="n"/>
      <c r="B189" s="491" t="n"/>
      <c r="C189" s="491" t="n"/>
      <c r="D189" s="491" t="n"/>
      <c r="E189" s="491" t="n"/>
      <c r="F189" s="491" t="n"/>
      <c r="G189" s="491" t="n"/>
      <c r="H189" s="491" t="n"/>
      <c r="I189" s="491" t="n"/>
      <c r="J189" s="491" t="n"/>
      <c r="K189" s="491" t="n"/>
      <c r="L189" s="491" t="n"/>
      <c r="M189" s="491" t="n"/>
      <c r="N189" s="491" t="n"/>
      <c r="O189" s="491" t="n"/>
      <c r="P189" s="491" t="n"/>
      <c r="Q189" s="491" t="n"/>
      <c r="R189" s="491" t="n"/>
      <c r="S189" s="491" t="n"/>
      <c r="T189" s="491" t="n"/>
      <c r="U189" s="491" t="n"/>
      <c r="V189" s="491" t="n"/>
      <c r="W189" s="491" t="n"/>
      <c r="X189" s="491" t="n"/>
      <c r="Y189" s="491" t="n"/>
    </row>
    <row r="190" ht="12.75" customHeight="1" s="398">
      <c r="A190" s="491" t="n"/>
      <c r="B190" s="491" t="n"/>
      <c r="C190" s="491" t="n"/>
      <c r="D190" s="491" t="n"/>
      <c r="E190" s="491" t="n"/>
      <c r="F190" s="491" t="n"/>
      <c r="G190" s="491" t="n"/>
      <c r="H190" s="491" t="n"/>
      <c r="I190" s="491" t="n"/>
      <c r="J190" s="491" t="n"/>
      <c r="K190" s="491" t="n"/>
      <c r="L190" s="491" t="n"/>
      <c r="M190" s="491" t="n"/>
      <c r="N190" s="491" t="n"/>
      <c r="O190" s="491" t="n"/>
      <c r="P190" s="491" t="n"/>
      <c r="Q190" s="491" t="n"/>
      <c r="R190" s="491" t="n"/>
      <c r="S190" s="491" t="n"/>
      <c r="T190" s="491" t="n"/>
      <c r="U190" s="491" t="n"/>
      <c r="V190" s="491" t="n"/>
      <c r="W190" s="491" t="n"/>
      <c r="X190" s="491" t="n"/>
      <c r="Y190" s="491" t="n"/>
    </row>
    <row r="191" ht="12.75" customHeight="1" s="398">
      <c r="A191" s="491" t="n"/>
      <c r="B191" s="491" t="n"/>
      <c r="C191" s="491" t="n"/>
      <c r="D191" s="491" t="n"/>
      <c r="E191" s="491" t="n"/>
      <c r="F191" s="491" t="n"/>
      <c r="G191" s="491" t="n"/>
      <c r="H191" s="491" t="n"/>
      <c r="I191" s="491" t="n"/>
      <c r="J191" s="491" t="n"/>
      <c r="K191" s="491" t="n"/>
      <c r="L191" s="491" t="n"/>
      <c r="M191" s="491" t="n"/>
      <c r="N191" s="491" t="n"/>
      <c r="O191" s="491" t="n"/>
      <c r="P191" s="491" t="n"/>
      <c r="Q191" s="491" t="n"/>
      <c r="R191" s="491" t="n"/>
      <c r="S191" s="491" t="n"/>
      <c r="T191" s="491" t="n"/>
      <c r="U191" s="491" t="n"/>
      <c r="V191" s="491" t="n"/>
      <c r="W191" s="491" t="n"/>
      <c r="X191" s="491" t="n"/>
      <c r="Y191" s="491" t="n"/>
    </row>
    <row r="192" ht="12.75" customHeight="1" s="398">
      <c r="A192" s="491" t="n"/>
      <c r="B192" s="491" t="n"/>
      <c r="C192" s="491" t="n"/>
      <c r="D192" s="491" t="n"/>
      <c r="E192" s="491" t="n"/>
      <c r="F192" s="491" t="n"/>
      <c r="G192" s="491" t="n"/>
      <c r="H192" s="491" t="n"/>
      <c r="I192" s="491" t="n"/>
      <c r="J192" s="491" t="n"/>
      <c r="K192" s="491" t="n"/>
      <c r="L192" s="491" t="n"/>
      <c r="M192" s="491" t="n"/>
      <c r="N192" s="491" t="n"/>
      <c r="O192" s="491" t="n"/>
      <c r="P192" s="491" t="n"/>
      <c r="Q192" s="491" t="n"/>
      <c r="R192" s="491" t="n"/>
      <c r="S192" s="491" t="n"/>
      <c r="T192" s="491" t="n"/>
      <c r="U192" s="491" t="n"/>
      <c r="V192" s="491" t="n"/>
      <c r="W192" s="491" t="n"/>
      <c r="X192" s="491" t="n"/>
      <c r="Y192" s="491" t="n"/>
    </row>
    <row r="193" ht="12.75" customHeight="1" s="398">
      <c r="A193" s="491" t="n"/>
      <c r="B193" s="491" t="n"/>
      <c r="C193" s="491" t="n"/>
      <c r="D193" s="491" t="n"/>
      <c r="E193" s="491" t="n"/>
      <c r="F193" s="491" t="n"/>
      <c r="G193" s="491" t="n"/>
      <c r="H193" s="491" t="n"/>
      <c r="I193" s="491" t="n"/>
      <c r="J193" s="491" t="n"/>
      <c r="K193" s="491" t="n"/>
      <c r="L193" s="491" t="n"/>
      <c r="M193" s="491" t="n"/>
      <c r="N193" s="491" t="n"/>
      <c r="O193" s="491" t="n"/>
      <c r="P193" s="491" t="n"/>
      <c r="Q193" s="491" t="n"/>
      <c r="R193" s="491" t="n"/>
      <c r="S193" s="491" t="n"/>
      <c r="T193" s="491" t="n"/>
      <c r="U193" s="491" t="n"/>
      <c r="V193" s="491" t="n"/>
      <c r="W193" s="491" t="n"/>
      <c r="X193" s="491" t="n"/>
      <c r="Y193" s="491" t="n"/>
    </row>
    <row r="194" ht="12.75" customHeight="1" s="398">
      <c r="A194" s="491" t="n"/>
      <c r="B194" s="491" t="n"/>
      <c r="C194" s="491" t="n"/>
      <c r="D194" s="491" t="n"/>
      <c r="E194" s="491" t="n"/>
      <c r="F194" s="491" t="n"/>
      <c r="G194" s="491" t="n"/>
      <c r="H194" s="491" t="n"/>
      <c r="I194" s="491" t="n"/>
      <c r="J194" s="491" t="n"/>
      <c r="K194" s="491" t="n"/>
      <c r="L194" s="491" t="n"/>
      <c r="M194" s="491" t="n"/>
      <c r="N194" s="491" t="n"/>
      <c r="O194" s="491" t="n"/>
      <c r="P194" s="491" t="n"/>
      <c r="Q194" s="491" t="n"/>
      <c r="R194" s="491" t="n"/>
      <c r="S194" s="491" t="n"/>
      <c r="T194" s="491" t="n"/>
      <c r="U194" s="491" t="n"/>
      <c r="V194" s="491" t="n"/>
      <c r="W194" s="491" t="n"/>
      <c r="X194" s="491" t="n"/>
      <c r="Y194" s="491" t="n"/>
    </row>
    <row r="195" ht="12.75" customHeight="1" s="398">
      <c r="A195" s="491" t="n"/>
      <c r="B195" s="491" t="n"/>
      <c r="C195" s="491" t="n"/>
      <c r="D195" s="491" t="n"/>
      <c r="E195" s="491" t="n"/>
      <c r="F195" s="491" t="n"/>
      <c r="G195" s="491" t="n"/>
      <c r="H195" s="491" t="n"/>
      <c r="I195" s="491" t="n"/>
      <c r="J195" s="491" t="n"/>
      <c r="K195" s="491" t="n"/>
      <c r="L195" s="491" t="n"/>
      <c r="M195" s="491" t="n"/>
      <c r="N195" s="491" t="n"/>
      <c r="O195" s="491" t="n"/>
      <c r="P195" s="491" t="n"/>
      <c r="Q195" s="491" t="n"/>
      <c r="R195" s="491" t="n"/>
      <c r="S195" s="491" t="n"/>
      <c r="T195" s="491" t="n"/>
      <c r="U195" s="491" t="n"/>
      <c r="V195" s="491" t="n"/>
      <c r="W195" s="491" t="n"/>
      <c r="X195" s="491" t="n"/>
      <c r="Y195" s="491" t="n"/>
    </row>
    <row r="196" ht="12.75" customHeight="1" s="398">
      <c r="A196" s="491" t="n"/>
      <c r="B196" s="491" t="n"/>
      <c r="C196" s="491" t="n"/>
      <c r="D196" s="491" t="n"/>
      <c r="E196" s="491" t="n"/>
      <c r="F196" s="491" t="n"/>
      <c r="G196" s="491" t="n"/>
      <c r="H196" s="491" t="n"/>
      <c r="I196" s="491" t="n"/>
      <c r="J196" s="491" t="n"/>
      <c r="K196" s="491" t="n"/>
      <c r="L196" s="491" t="n"/>
      <c r="M196" s="491" t="n"/>
      <c r="N196" s="491" t="n"/>
      <c r="O196" s="491" t="n"/>
      <c r="P196" s="491" t="n"/>
      <c r="Q196" s="491" t="n"/>
      <c r="R196" s="491" t="n"/>
      <c r="S196" s="491" t="n"/>
      <c r="T196" s="491" t="n"/>
      <c r="U196" s="491" t="n"/>
      <c r="V196" s="491" t="n"/>
      <c r="W196" s="491" t="n"/>
      <c r="X196" s="491" t="n"/>
      <c r="Y196" s="491" t="n"/>
    </row>
    <row r="197" ht="12.75" customHeight="1" s="398">
      <c r="A197" s="491" t="n"/>
      <c r="B197" s="491" t="n"/>
      <c r="C197" s="491" t="n"/>
      <c r="D197" s="491" t="n"/>
      <c r="E197" s="491" t="n"/>
      <c r="F197" s="491" t="n"/>
      <c r="G197" s="491" t="n"/>
      <c r="H197" s="491" t="n"/>
      <c r="I197" s="491" t="n"/>
      <c r="J197" s="491" t="n"/>
      <c r="K197" s="491" t="n"/>
      <c r="L197" s="491" t="n"/>
      <c r="M197" s="491" t="n"/>
      <c r="N197" s="491" t="n"/>
      <c r="O197" s="491" t="n"/>
      <c r="P197" s="491" t="n"/>
      <c r="Q197" s="491" t="n"/>
      <c r="R197" s="491" t="n"/>
      <c r="S197" s="491" t="n"/>
      <c r="T197" s="491" t="n"/>
      <c r="U197" s="491" t="n"/>
      <c r="V197" s="491" t="n"/>
      <c r="W197" s="491" t="n"/>
      <c r="X197" s="491" t="n"/>
      <c r="Y197" s="491" t="n"/>
    </row>
    <row r="198" ht="12.75" customHeight="1" s="398">
      <c r="A198" s="491" t="n"/>
      <c r="B198" s="491" t="n"/>
      <c r="C198" s="491" t="n"/>
      <c r="D198" s="491" t="n"/>
      <c r="E198" s="491" t="n"/>
      <c r="F198" s="491" t="n"/>
      <c r="G198" s="491" t="n"/>
      <c r="H198" s="491" t="n"/>
      <c r="I198" s="491" t="n"/>
      <c r="J198" s="491" t="n"/>
      <c r="K198" s="491" t="n"/>
      <c r="L198" s="491" t="n"/>
      <c r="M198" s="491" t="n"/>
      <c r="N198" s="491" t="n"/>
      <c r="O198" s="491" t="n"/>
      <c r="P198" s="491" t="n"/>
      <c r="Q198" s="491" t="n"/>
      <c r="R198" s="491" t="n"/>
      <c r="S198" s="491" t="n"/>
      <c r="T198" s="491" t="n"/>
      <c r="U198" s="491" t="n"/>
      <c r="V198" s="491" t="n"/>
      <c r="W198" s="491" t="n"/>
      <c r="X198" s="491" t="n"/>
      <c r="Y198" s="491" t="n"/>
    </row>
    <row r="199" ht="12.75" customHeight="1" s="398">
      <c r="A199" s="491" t="n"/>
      <c r="B199" s="491" t="n"/>
      <c r="C199" s="491" t="n"/>
      <c r="D199" s="491" t="n"/>
      <c r="E199" s="491" t="n"/>
      <c r="F199" s="491" t="n"/>
      <c r="G199" s="491" t="n"/>
      <c r="H199" s="491" t="n"/>
      <c r="I199" s="491" t="n"/>
      <c r="J199" s="491" t="n"/>
      <c r="K199" s="491" t="n"/>
      <c r="L199" s="491" t="n"/>
      <c r="M199" s="491" t="n"/>
      <c r="N199" s="491" t="n"/>
      <c r="O199" s="491" t="n"/>
      <c r="P199" s="491" t="n"/>
      <c r="Q199" s="491" t="n"/>
      <c r="R199" s="491" t="n"/>
      <c r="S199" s="491" t="n"/>
      <c r="T199" s="491" t="n"/>
      <c r="U199" s="491" t="n"/>
      <c r="V199" s="491" t="n"/>
      <c r="W199" s="491" t="n"/>
      <c r="X199" s="491" t="n"/>
      <c r="Y199" s="491" t="n"/>
    </row>
    <row r="200" ht="12.75" customHeight="1" s="398">
      <c r="A200" s="491" t="n"/>
      <c r="B200" s="491" t="n"/>
      <c r="C200" s="491" t="n"/>
      <c r="D200" s="491" t="n"/>
      <c r="E200" s="491" t="n"/>
      <c r="F200" s="491" t="n"/>
      <c r="G200" s="491" t="n"/>
      <c r="H200" s="491" t="n"/>
      <c r="I200" s="491" t="n"/>
      <c r="J200" s="491" t="n"/>
      <c r="K200" s="491" t="n"/>
      <c r="L200" s="491" t="n"/>
      <c r="M200" s="491" t="n"/>
      <c r="N200" s="491" t="n"/>
      <c r="O200" s="491" t="n"/>
      <c r="P200" s="491" t="n"/>
      <c r="Q200" s="491" t="n"/>
      <c r="R200" s="491" t="n"/>
      <c r="S200" s="491" t="n"/>
      <c r="T200" s="491" t="n"/>
      <c r="U200" s="491" t="n"/>
      <c r="V200" s="491" t="n"/>
      <c r="W200" s="491" t="n"/>
      <c r="X200" s="491" t="n"/>
      <c r="Y200" s="491" t="n"/>
    </row>
    <row r="201" ht="12.75" customHeight="1" s="398">
      <c r="A201" s="491" t="n"/>
      <c r="B201" s="491" t="n"/>
      <c r="C201" s="491" t="n"/>
      <c r="D201" s="491" t="n"/>
      <c r="E201" s="491" t="n"/>
      <c r="F201" s="491" t="n"/>
      <c r="G201" s="491" t="n"/>
      <c r="H201" s="491" t="n"/>
      <c r="I201" s="491" t="n"/>
      <c r="J201" s="491" t="n"/>
      <c r="K201" s="491" t="n"/>
      <c r="L201" s="491" t="n"/>
      <c r="M201" s="491" t="n"/>
      <c r="N201" s="491" t="n"/>
      <c r="O201" s="491" t="n"/>
      <c r="P201" s="491" t="n"/>
      <c r="Q201" s="491" t="n"/>
      <c r="R201" s="491" t="n"/>
      <c r="S201" s="491" t="n"/>
      <c r="T201" s="491" t="n"/>
      <c r="U201" s="491" t="n"/>
      <c r="V201" s="491" t="n"/>
      <c r="W201" s="491" t="n"/>
      <c r="X201" s="491" t="n"/>
      <c r="Y201" s="491" t="n"/>
    </row>
    <row r="202" ht="12.75" customHeight="1" s="398">
      <c r="A202" s="491" t="n"/>
      <c r="B202" s="491" t="n"/>
      <c r="C202" s="491" t="n"/>
      <c r="D202" s="491" t="n"/>
      <c r="E202" s="491" t="n"/>
      <c r="F202" s="491" t="n"/>
      <c r="G202" s="491" t="n"/>
      <c r="H202" s="491" t="n"/>
      <c r="I202" s="491" t="n"/>
      <c r="J202" s="491" t="n"/>
      <c r="K202" s="491" t="n"/>
      <c r="L202" s="491" t="n"/>
      <c r="M202" s="491" t="n"/>
      <c r="N202" s="491" t="n"/>
      <c r="O202" s="491" t="n"/>
      <c r="P202" s="491" t="n"/>
      <c r="Q202" s="491" t="n"/>
      <c r="R202" s="491" t="n"/>
      <c r="S202" s="491" t="n"/>
      <c r="T202" s="491" t="n"/>
      <c r="U202" s="491" t="n"/>
      <c r="V202" s="491" t="n"/>
      <c r="W202" s="491" t="n"/>
      <c r="X202" s="491" t="n"/>
      <c r="Y202" s="491" t="n"/>
    </row>
    <row r="203" ht="12.75" customHeight="1" s="398">
      <c r="A203" s="491" t="n"/>
      <c r="B203" s="491" t="n"/>
      <c r="C203" s="491" t="n"/>
      <c r="D203" s="491" t="n"/>
      <c r="E203" s="491" t="n"/>
      <c r="F203" s="491" t="n"/>
      <c r="G203" s="491" t="n"/>
      <c r="H203" s="491" t="n"/>
      <c r="I203" s="491" t="n"/>
      <c r="J203" s="491" t="n"/>
      <c r="K203" s="491" t="n"/>
      <c r="L203" s="491" t="n"/>
      <c r="M203" s="491" t="n"/>
      <c r="N203" s="491" t="n"/>
      <c r="O203" s="491" t="n"/>
      <c r="P203" s="491" t="n"/>
      <c r="Q203" s="491" t="n"/>
      <c r="R203" s="491" t="n"/>
      <c r="S203" s="491" t="n"/>
      <c r="T203" s="491" t="n"/>
      <c r="U203" s="491" t="n"/>
      <c r="V203" s="491" t="n"/>
      <c r="W203" s="491" t="n"/>
      <c r="X203" s="491" t="n"/>
      <c r="Y203" s="491" t="n"/>
    </row>
    <row r="204" ht="12.75" customHeight="1" s="398">
      <c r="A204" s="491" t="n"/>
      <c r="B204" s="491" t="n"/>
      <c r="C204" s="491" t="n"/>
      <c r="D204" s="491" t="n"/>
      <c r="E204" s="491" t="n"/>
      <c r="F204" s="491" t="n"/>
      <c r="G204" s="491" t="n"/>
      <c r="H204" s="491" t="n"/>
      <c r="I204" s="491" t="n"/>
      <c r="J204" s="491" t="n"/>
      <c r="K204" s="491" t="n"/>
      <c r="L204" s="491" t="n"/>
      <c r="M204" s="491" t="n"/>
      <c r="N204" s="491" t="n"/>
      <c r="O204" s="491" t="n"/>
      <c r="P204" s="491" t="n"/>
      <c r="Q204" s="491" t="n"/>
      <c r="R204" s="491" t="n"/>
      <c r="S204" s="491" t="n"/>
      <c r="T204" s="491" t="n"/>
      <c r="U204" s="491" t="n"/>
      <c r="V204" s="491" t="n"/>
      <c r="W204" s="491" t="n"/>
      <c r="X204" s="491" t="n"/>
      <c r="Y204" s="491" t="n"/>
    </row>
    <row r="205" ht="12.75" customHeight="1" s="398">
      <c r="A205" s="491" t="n"/>
      <c r="B205" s="491" t="n"/>
      <c r="C205" s="491" t="n"/>
      <c r="D205" s="491" t="n"/>
      <c r="E205" s="491" t="n"/>
      <c r="F205" s="491" t="n"/>
      <c r="G205" s="491" t="n"/>
      <c r="H205" s="491" t="n"/>
      <c r="I205" s="491" t="n"/>
      <c r="J205" s="491" t="n"/>
      <c r="K205" s="491" t="n"/>
      <c r="L205" s="491" t="n"/>
      <c r="M205" s="491" t="n"/>
      <c r="N205" s="491" t="n"/>
      <c r="O205" s="491" t="n"/>
      <c r="P205" s="491" t="n"/>
      <c r="Q205" s="491" t="n"/>
      <c r="R205" s="491" t="n"/>
      <c r="S205" s="491" t="n"/>
      <c r="T205" s="491" t="n"/>
      <c r="U205" s="491" t="n"/>
      <c r="V205" s="491" t="n"/>
      <c r="W205" s="491" t="n"/>
      <c r="X205" s="491" t="n"/>
      <c r="Y205" s="491" t="n"/>
    </row>
    <row r="206" ht="12.75" customHeight="1" s="398">
      <c r="A206" s="491" t="n"/>
      <c r="B206" s="491" t="n"/>
      <c r="C206" s="491" t="n"/>
      <c r="D206" s="491" t="n"/>
      <c r="E206" s="491" t="n"/>
      <c r="F206" s="491" t="n"/>
      <c r="G206" s="491" t="n"/>
      <c r="H206" s="491" t="n"/>
      <c r="I206" s="491" t="n"/>
      <c r="J206" s="491" t="n"/>
      <c r="K206" s="491" t="n"/>
      <c r="L206" s="491" t="n"/>
      <c r="M206" s="491" t="n"/>
      <c r="N206" s="491" t="n"/>
      <c r="O206" s="491" t="n"/>
      <c r="P206" s="491" t="n"/>
      <c r="Q206" s="491" t="n"/>
      <c r="R206" s="491" t="n"/>
      <c r="S206" s="491" t="n"/>
      <c r="T206" s="491" t="n"/>
      <c r="U206" s="491" t="n"/>
      <c r="V206" s="491" t="n"/>
      <c r="W206" s="491" t="n"/>
      <c r="X206" s="491" t="n"/>
      <c r="Y206" s="491" t="n"/>
    </row>
    <row r="207" ht="12.75" customHeight="1" s="398">
      <c r="A207" s="491" t="n"/>
      <c r="B207" s="491" t="n"/>
      <c r="C207" s="491" t="n"/>
      <c r="D207" s="491" t="n"/>
      <c r="E207" s="491" t="n"/>
      <c r="F207" s="491" t="n"/>
      <c r="G207" s="491" t="n"/>
      <c r="H207" s="491" t="n"/>
      <c r="I207" s="491" t="n"/>
      <c r="J207" s="491" t="n"/>
      <c r="K207" s="491" t="n"/>
      <c r="L207" s="491" t="n"/>
      <c r="M207" s="491" t="n"/>
      <c r="N207" s="491" t="n"/>
      <c r="O207" s="491" t="n"/>
      <c r="P207" s="491" t="n"/>
      <c r="Q207" s="491" t="n"/>
      <c r="R207" s="491" t="n"/>
      <c r="S207" s="491" t="n"/>
      <c r="T207" s="491" t="n"/>
      <c r="U207" s="491" t="n"/>
      <c r="V207" s="491" t="n"/>
      <c r="W207" s="491" t="n"/>
      <c r="X207" s="491" t="n"/>
      <c r="Y207" s="491" t="n"/>
    </row>
    <row r="208" ht="12.75" customHeight="1" s="398">
      <c r="A208" s="491" t="n"/>
      <c r="B208" s="491" t="n"/>
      <c r="C208" s="491" t="n"/>
      <c r="D208" s="491" t="n"/>
      <c r="E208" s="491" t="n"/>
      <c r="F208" s="491" t="n"/>
      <c r="G208" s="491" t="n"/>
      <c r="H208" s="491" t="n"/>
      <c r="I208" s="491" t="n"/>
      <c r="J208" s="491" t="n"/>
      <c r="K208" s="491" t="n"/>
      <c r="L208" s="491" t="n"/>
      <c r="M208" s="491" t="n"/>
      <c r="N208" s="491" t="n"/>
      <c r="O208" s="491" t="n"/>
      <c r="P208" s="491" t="n"/>
      <c r="Q208" s="491" t="n"/>
      <c r="R208" s="491" t="n"/>
      <c r="S208" s="491" t="n"/>
      <c r="T208" s="491" t="n"/>
      <c r="U208" s="491" t="n"/>
      <c r="V208" s="491" t="n"/>
      <c r="W208" s="491" t="n"/>
      <c r="X208" s="491" t="n"/>
      <c r="Y208" s="491" t="n"/>
    </row>
    <row r="209" ht="12.75" customHeight="1" s="398">
      <c r="A209" s="491" t="n"/>
      <c r="B209" s="491" t="n"/>
      <c r="C209" s="491" t="n"/>
      <c r="D209" s="491" t="n"/>
      <c r="E209" s="491" t="n"/>
      <c r="F209" s="491" t="n"/>
      <c r="G209" s="491" t="n"/>
      <c r="H209" s="491" t="n"/>
      <c r="I209" s="491" t="n"/>
      <c r="J209" s="491" t="n"/>
      <c r="K209" s="491" t="n"/>
      <c r="L209" s="491" t="n"/>
      <c r="M209" s="491" t="n"/>
      <c r="N209" s="491" t="n"/>
      <c r="O209" s="491" t="n"/>
      <c r="P209" s="491" t="n"/>
      <c r="Q209" s="491" t="n"/>
      <c r="R209" s="491" t="n"/>
      <c r="S209" s="491" t="n"/>
      <c r="T209" s="491" t="n"/>
      <c r="U209" s="491" t="n"/>
      <c r="V209" s="491" t="n"/>
      <c r="W209" s="491" t="n"/>
      <c r="X209" s="491" t="n"/>
      <c r="Y209" s="491" t="n"/>
    </row>
    <row r="210" ht="12.75" customHeight="1" s="398">
      <c r="A210" s="491" t="n"/>
      <c r="B210" s="491" t="n"/>
      <c r="C210" s="491" t="n"/>
      <c r="D210" s="491" t="n"/>
      <c r="E210" s="491" t="n"/>
      <c r="F210" s="491" t="n"/>
      <c r="G210" s="491" t="n"/>
      <c r="H210" s="491" t="n"/>
      <c r="I210" s="491" t="n"/>
      <c r="J210" s="491" t="n"/>
      <c r="K210" s="491" t="n"/>
      <c r="L210" s="491" t="n"/>
      <c r="M210" s="491" t="n"/>
      <c r="N210" s="491" t="n"/>
      <c r="O210" s="491" t="n"/>
      <c r="P210" s="491" t="n"/>
      <c r="Q210" s="491" t="n"/>
      <c r="R210" s="491" t="n"/>
      <c r="S210" s="491" t="n"/>
      <c r="T210" s="491" t="n"/>
      <c r="U210" s="491" t="n"/>
      <c r="V210" s="491" t="n"/>
      <c r="W210" s="491" t="n"/>
      <c r="X210" s="491" t="n"/>
      <c r="Y210" s="491" t="n"/>
    </row>
    <row r="211" ht="12.75" customHeight="1" s="398">
      <c r="A211" s="491" t="n"/>
      <c r="B211" s="491" t="n"/>
      <c r="C211" s="491" t="n"/>
      <c r="D211" s="491" t="n"/>
      <c r="E211" s="491" t="n"/>
      <c r="F211" s="491" t="n"/>
      <c r="G211" s="491" t="n"/>
      <c r="H211" s="491" t="n"/>
      <c r="I211" s="491" t="n"/>
      <c r="J211" s="491" t="n"/>
      <c r="K211" s="491" t="n"/>
      <c r="L211" s="491" t="n"/>
      <c r="M211" s="491" t="n"/>
      <c r="N211" s="491" t="n"/>
      <c r="O211" s="491" t="n"/>
      <c r="P211" s="491" t="n"/>
      <c r="Q211" s="491" t="n"/>
      <c r="R211" s="491" t="n"/>
      <c r="S211" s="491" t="n"/>
      <c r="T211" s="491" t="n"/>
      <c r="U211" s="491" t="n"/>
      <c r="V211" s="491" t="n"/>
      <c r="W211" s="491" t="n"/>
      <c r="X211" s="491" t="n"/>
      <c r="Y211" s="491" t="n"/>
    </row>
    <row r="212" ht="12.75" customHeight="1" s="398">
      <c r="A212" s="491" t="n"/>
      <c r="B212" s="491" t="n"/>
      <c r="C212" s="491" t="n"/>
      <c r="D212" s="491" t="n"/>
      <c r="E212" s="491" t="n"/>
      <c r="F212" s="491" t="n"/>
      <c r="G212" s="491" t="n"/>
      <c r="H212" s="491" t="n"/>
      <c r="I212" s="491" t="n"/>
      <c r="J212" s="491" t="n"/>
      <c r="K212" s="491" t="n"/>
      <c r="L212" s="491" t="n"/>
      <c r="M212" s="491" t="n"/>
      <c r="N212" s="491" t="n"/>
      <c r="O212" s="491" t="n"/>
      <c r="P212" s="491" t="n"/>
      <c r="Q212" s="491" t="n"/>
      <c r="R212" s="491" t="n"/>
      <c r="S212" s="491" t="n"/>
      <c r="T212" s="491" t="n"/>
      <c r="U212" s="491" t="n"/>
      <c r="V212" s="491" t="n"/>
      <c r="W212" s="491" t="n"/>
      <c r="X212" s="491" t="n"/>
      <c r="Y212" s="491" t="n"/>
    </row>
    <row r="213" ht="12.75" customHeight="1" s="398">
      <c r="A213" s="491" t="n"/>
      <c r="B213" s="491" t="n"/>
      <c r="C213" s="491" t="n"/>
      <c r="D213" s="491" t="n"/>
      <c r="E213" s="491" t="n"/>
      <c r="F213" s="491" t="n"/>
      <c r="G213" s="491" t="n"/>
      <c r="H213" s="491" t="n"/>
      <c r="I213" s="491" t="n"/>
      <c r="J213" s="491" t="n"/>
      <c r="K213" s="491" t="n"/>
      <c r="L213" s="491" t="n"/>
      <c r="M213" s="491" t="n"/>
      <c r="N213" s="491" t="n"/>
      <c r="O213" s="491" t="n"/>
      <c r="P213" s="491" t="n"/>
      <c r="Q213" s="491" t="n"/>
      <c r="R213" s="491" t="n"/>
      <c r="S213" s="491" t="n"/>
      <c r="T213" s="491" t="n"/>
      <c r="U213" s="491" t="n"/>
      <c r="V213" s="491" t="n"/>
      <c r="W213" s="491" t="n"/>
      <c r="X213" s="491" t="n"/>
      <c r="Y213" s="491" t="n"/>
    </row>
    <row r="214" ht="12.75" customHeight="1" s="398">
      <c r="A214" s="491" t="n"/>
      <c r="B214" s="491" t="n"/>
      <c r="C214" s="491" t="n"/>
      <c r="D214" s="491" t="n"/>
      <c r="E214" s="491" t="n"/>
      <c r="F214" s="491" t="n"/>
      <c r="G214" s="491" t="n"/>
      <c r="H214" s="491" t="n"/>
      <c r="I214" s="491" t="n"/>
      <c r="J214" s="491" t="n"/>
      <c r="K214" s="491" t="n"/>
      <c r="L214" s="491" t="n"/>
      <c r="M214" s="491" t="n"/>
      <c r="N214" s="491" t="n"/>
      <c r="O214" s="491" t="n"/>
      <c r="P214" s="491" t="n"/>
      <c r="Q214" s="491" t="n"/>
      <c r="R214" s="491" t="n"/>
      <c r="S214" s="491" t="n"/>
      <c r="T214" s="491" t="n"/>
      <c r="U214" s="491" t="n"/>
      <c r="V214" s="491" t="n"/>
      <c r="W214" s="491" t="n"/>
      <c r="X214" s="491" t="n"/>
      <c r="Y214" s="491" t="n"/>
    </row>
    <row r="215" ht="12.75" customHeight="1" s="398">
      <c r="A215" s="491" t="n"/>
      <c r="B215" s="491" t="n"/>
      <c r="C215" s="491" t="n"/>
      <c r="D215" s="491" t="n"/>
      <c r="E215" s="491" t="n"/>
      <c r="F215" s="491" t="n"/>
      <c r="G215" s="491" t="n"/>
      <c r="H215" s="491" t="n"/>
      <c r="I215" s="491" t="n"/>
      <c r="J215" s="491" t="n"/>
      <c r="K215" s="491" t="n"/>
      <c r="L215" s="491" t="n"/>
      <c r="M215" s="491" t="n"/>
      <c r="N215" s="491" t="n"/>
      <c r="O215" s="491" t="n"/>
      <c r="P215" s="491" t="n"/>
      <c r="Q215" s="491" t="n"/>
      <c r="R215" s="491" t="n"/>
      <c r="S215" s="491" t="n"/>
      <c r="T215" s="491" t="n"/>
      <c r="U215" s="491" t="n"/>
      <c r="V215" s="491" t="n"/>
      <c r="W215" s="491" t="n"/>
      <c r="X215" s="491" t="n"/>
      <c r="Y215" s="491" t="n"/>
    </row>
    <row r="216" ht="12.75" customHeight="1" s="398">
      <c r="A216" s="491" t="n"/>
      <c r="B216" s="491" t="n"/>
      <c r="C216" s="491" t="n"/>
      <c r="D216" s="491" t="n"/>
      <c r="E216" s="491" t="n"/>
      <c r="F216" s="491" t="n"/>
      <c r="G216" s="491" t="n"/>
      <c r="H216" s="491" t="n"/>
      <c r="I216" s="491" t="n"/>
      <c r="J216" s="491" t="n"/>
      <c r="K216" s="491" t="n"/>
      <c r="L216" s="491" t="n"/>
      <c r="M216" s="491" t="n"/>
      <c r="N216" s="491" t="n"/>
      <c r="O216" s="491" t="n"/>
      <c r="P216" s="491" t="n"/>
      <c r="Q216" s="491" t="n"/>
      <c r="R216" s="491" t="n"/>
      <c r="S216" s="491" t="n"/>
      <c r="T216" s="491" t="n"/>
      <c r="U216" s="491" t="n"/>
      <c r="V216" s="491" t="n"/>
      <c r="W216" s="491" t="n"/>
      <c r="X216" s="491" t="n"/>
      <c r="Y216" s="491" t="n"/>
    </row>
    <row r="217" ht="12.75" customHeight="1" s="398">
      <c r="A217" s="491" t="n"/>
      <c r="B217" s="491" t="n"/>
      <c r="C217" s="491" t="n"/>
      <c r="D217" s="491" t="n"/>
      <c r="E217" s="491" t="n"/>
      <c r="F217" s="491" t="n"/>
      <c r="G217" s="491" t="n"/>
      <c r="H217" s="491" t="n"/>
      <c r="I217" s="491" t="n"/>
      <c r="J217" s="491" t="n"/>
      <c r="K217" s="491" t="n"/>
      <c r="L217" s="491" t="n"/>
      <c r="M217" s="491" t="n"/>
      <c r="N217" s="491" t="n"/>
      <c r="O217" s="491" t="n"/>
      <c r="P217" s="491" t="n"/>
      <c r="Q217" s="491" t="n"/>
      <c r="R217" s="491" t="n"/>
      <c r="S217" s="491" t="n"/>
      <c r="T217" s="491" t="n"/>
      <c r="U217" s="491" t="n"/>
      <c r="V217" s="491" t="n"/>
      <c r="W217" s="491" t="n"/>
      <c r="X217" s="491" t="n"/>
      <c r="Y217" s="491" t="n"/>
    </row>
    <row r="218" ht="12.75" customHeight="1" s="398">
      <c r="A218" s="491" t="n"/>
      <c r="B218" s="491" t="n"/>
      <c r="C218" s="491" t="n"/>
      <c r="D218" s="491" t="n"/>
      <c r="E218" s="491" t="n"/>
      <c r="F218" s="491" t="n"/>
      <c r="G218" s="491" t="n"/>
      <c r="H218" s="491" t="n"/>
      <c r="I218" s="491" t="n"/>
      <c r="J218" s="491" t="n"/>
      <c r="K218" s="491" t="n"/>
      <c r="L218" s="491" t="n"/>
      <c r="M218" s="491" t="n"/>
      <c r="N218" s="491" t="n"/>
      <c r="O218" s="491" t="n"/>
      <c r="P218" s="491" t="n"/>
      <c r="Q218" s="491" t="n"/>
      <c r="R218" s="491" t="n"/>
      <c r="S218" s="491" t="n"/>
      <c r="T218" s="491" t="n"/>
      <c r="U218" s="491" t="n"/>
      <c r="V218" s="491" t="n"/>
      <c r="W218" s="491" t="n"/>
      <c r="X218" s="491" t="n"/>
      <c r="Y218" s="491" t="n"/>
    </row>
    <row r="219" ht="12.75" customHeight="1" s="398">
      <c r="A219" s="491" t="n"/>
      <c r="B219" s="491" t="n"/>
      <c r="C219" s="491" t="n"/>
      <c r="D219" s="491" t="n"/>
      <c r="E219" s="491" t="n"/>
      <c r="F219" s="491" t="n"/>
      <c r="G219" s="491" t="n"/>
      <c r="H219" s="491" t="n"/>
      <c r="I219" s="491" t="n"/>
      <c r="J219" s="491" t="n"/>
      <c r="K219" s="491" t="n"/>
      <c r="L219" s="491" t="n"/>
      <c r="M219" s="491" t="n"/>
      <c r="N219" s="491" t="n"/>
      <c r="O219" s="491" t="n"/>
      <c r="P219" s="491" t="n"/>
      <c r="Q219" s="491" t="n"/>
      <c r="R219" s="491" t="n"/>
      <c r="S219" s="491" t="n"/>
      <c r="T219" s="491" t="n"/>
      <c r="U219" s="491" t="n"/>
      <c r="V219" s="491" t="n"/>
      <c r="W219" s="491" t="n"/>
      <c r="X219" s="491" t="n"/>
      <c r="Y219" s="491" t="n"/>
    </row>
    <row r="220" ht="12.75" customHeight="1" s="398">
      <c r="A220" s="491" t="n"/>
      <c r="B220" s="491" t="n"/>
      <c r="C220" s="491" t="n"/>
      <c r="D220" s="491" t="n"/>
      <c r="E220" s="491" t="n"/>
      <c r="F220" s="491" t="n"/>
      <c r="G220" s="491" t="n"/>
      <c r="H220" s="491" t="n"/>
      <c r="I220" s="491" t="n"/>
      <c r="J220" s="491" t="n"/>
      <c r="K220" s="491" t="n"/>
      <c r="L220" s="491" t="n"/>
      <c r="M220" s="491" t="n"/>
      <c r="N220" s="491" t="n"/>
      <c r="O220" s="491" t="n"/>
      <c r="P220" s="491" t="n"/>
      <c r="Q220" s="491" t="n"/>
      <c r="R220" s="491" t="n"/>
      <c r="S220" s="491" t="n"/>
      <c r="T220" s="491" t="n"/>
      <c r="U220" s="491" t="n"/>
      <c r="V220" s="491" t="n"/>
      <c r="W220" s="491" t="n"/>
      <c r="X220" s="491" t="n"/>
      <c r="Y220" s="491" t="n"/>
    </row>
    <row r="221" ht="12.75" customHeight="1" s="398">
      <c r="A221" s="491" t="n"/>
      <c r="B221" s="491" t="n"/>
      <c r="C221" s="491" t="n"/>
      <c r="D221" s="491" t="n"/>
      <c r="E221" s="491" t="n"/>
      <c r="F221" s="491" t="n"/>
      <c r="G221" s="491" t="n"/>
      <c r="H221" s="491" t="n"/>
      <c r="I221" s="491" t="n"/>
      <c r="J221" s="491" t="n"/>
      <c r="K221" s="491" t="n"/>
      <c r="L221" s="491" t="n"/>
      <c r="M221" s="491" t="n"/>
      <c r="N221" s="491" t="n"/>
      <c r="O221" s="491" t="n"/>
      <c r="P221" s="491" t="n"/>
      <c r="Q221" s="491" t="n"/>
      <c r="R221" s="491" t="n"/>
      <c r="S221" s="491" t="n"/>
      <c r="T221" s="491" t="n"/>
      <c r="U221" s="491" t="n"/>
      <c r="V221" s="491" t="n"/>
      <c r="W221" s="491" t="n"/>
      <c r="X221" s="491" t="n"/>
      <c r="Y221" s="491" t="n"/>
    </row>
    <row r="222" ht="12.75" customHeight="1" s="398">
      <c r="A222" s="491" t="n"/>
      <c r="B222" s="491" t="n"/>
      <c r="C222" s="491" t="n"/>
      <c r="D222" s="491" t="n"/>
      <c r="E222" s="491" t="n"/>
      <c r="F222" s="491" t="n"/>
      <c r="G222" s="491" t="n"/>
      <c r="H222" s="491" t="n"/>
      <c r="I222" s="491" t="n"/>
      <c r="J222" s="491" t="n"/>
      <c r="K222" s="491" t="n"/>
      <c r="L222" s="491" t="n"/>
      <c r="M222" s="491" t="n"/>
      <c r="N222" s="491" t="n"/>
      <c r="O222" s="491" t="n"/>
      <c r="P222" s="491" t="n"/>
      <c r="Q222" s="491" t="n"/>
      <c r="R222" s="491" t="n"/>
      <c r="S222" s="491" t="n"/>
      <c r="T222" s="491" t="n"/>
      <c r="U222" s="491" t="n"/>
      <c r="V222" s="491" t="n"/>
      <c r="W222" s="491" t="n"/>
      <c r="X222" s="491" t="n"/>
      <c r="Y222" s="491" t="n"/>
    </row>
    <row r="223" ht="12.75" customHeight="1" s="398">
      <c r="A223" s="491" t="n"/>
      <c r="B223" s="491" t="n"/>
      <c r="C223" s="491" t="n"/>
      <c r="D223" s="491" t="n"/>
      <c r="E223" s="491" t="n"/>
      <c r="F223" s="491" t="n"/>
      <c r="G223" s="491" t="n"/>
      <c r="H223" s="491" t="n"/>
      <c r="I223" s="491" t="n"/>
      <c r="J223" s="491" t="n"/>
      <c r="K223" s="491" t="n"/>
      <c r="L223" s="491" t="n"/>
      <c r="M223" s="491" t="n"/>
      <c r="N223" s="491" t="n"/>
      <c r="O223" s="491" t="n"/>
      <c r="P223" s="491" t="n"/>
      <c r="Q223" s="491" t="n"/>
      <c r="R223" s="491" t="n"/>
      <c r="S223" s="491" t="n"/>
      <c r="T223" s="491" t="n"/>
      <c r="U223" s="491" t="n"/>
      <c r="V223" s="491" t="n"/>
      <c r="W223" s="491" t="n"/>
      <c r="X223" s="491" t="n"/>
      <c r="Y223" s="491" t="n"/>
    </row>
    <row r="224" ht="12.75" customHeight="1" s="398">
      <c r="A224" s="491" t="n"/>
      <c r="B224" s="491" t="n"/>
      <c r="C224" s="491" t="n"/>
      <c r="D224" s="491" t="n"/>
      <c r="E224" s="491" t="n"/>
      <c r="F224" s="491" t="n"/>
      <c r="G224" s="491" t="n"/>
      <c r="H224" s="491" t="n"/>
      <c r="I224" s="491" t="n"/>
      <c r="J224" s="491" t="n"/>
      <c r="K224" s="491" t="n"/>
      <c r="L224" s="491" t="n"/>
      <c r="M224" s="491" t="n"/>
      <c r="N224" s="491" t="n"/>
      <c r="O224" s="491" t="n"/>
      <c r="P224" s="491" t="n"/>
      <c r="Q224" s="491" t="n"/>
      <c r="R224" s="491" t="n"/>
      <c r="S224" s="491" t="n"/>
      <c r="T224" s="491" t="n"/>
      <c r="U224" s="491" t="n"/>
      <c r="V224" s="491" t="n"/>
      <c r="W224" s="491" t="n"/>
      <c r="X224" s="491" t="n"/>
      <c r="Y224" s="491" t="n"/>
    </row>
    <row r="225" ht="12.75" customHeight="1" s="398">
      <c r="A225" s="491" t="n"/>
      <c r="B225" s="491" t="n"/>
      <c r="C225" s="491" t="n"/>
      <c r="D225" s="491" t="n"/>
      <c r="E225" s="491" t="n"/>
      <c r="F225" s="491" t="n"/>
      <c r="G225" s="491" t="n"/>
      <c r="H225" s="491" t="n"/>
      <c r="I225" s="491" t="n"/>
      <c r="J225" s="491" t="n"/>
      <c r="K225" s="491" t="n"/>
      <c r="L225" s="491" t="n"/>
      <c r="M225" s="491" t="n"/>
      <c r="N225" s="491" t="n"/>
      <c r="O225" s="491" t="n"/>
      <c r="P225" s="491" t="n"/>
      <c r="Q225" s="491" t="n"/>
      <c r="R225" s="491" t="n"/>
      <c r="S225" s="491" t="n"/>
      <c r="T225" s="491" t="n"/>
      <c r="U225" s="491" t="n"/>
      <c r="V225" s="491" t="n"/>
      <c r="W225" s="491" t="n"/>
      <c r="X225" s="491" t="n"/>
      <c r="Y225" s="491" t="n"/>
    </row>
    <row r="226" ht="12.75" customHeight="1" s="398">
      <c r="A226" s="491" t="n"/>
      <c r="B226" s="491" t="n"/>
      <c r="C226" s="491" t="n"/>
      <c r="D226" s="491" t="n"/>
      <c r="E226" s="491" t="n"/>
      <c r="F226" s="491" t="n"/>
      <c r="G226" s="491" t="n"/>
      <c r="H226" s="491" t="n"/>
      <c r="I226" s="491" t="n"/>
      <c r="J226" s="491" t="n"/>
      <c r="K226" s="491" t="n"/>
      <c r="L226" s="491" t="n"/>
      <c r="M226" s="491" t="n"/>
      <c r="N226" s="491" t="n"/>
      <c r="O226" s="491" t="n"/>
      <c r="P226" s="491" t="n"/>
      <c r="Q226" s="491" t="n"/>
      <c r="R226" s="491" t="n"/>
      <c r="S226" s="491" t="n"/>
      <c r="T226" s="491" t="n"/>
      <c r="U226" s="491" t="n"/>
      <c r="V226" s="491" t="n"/>
      <c r="W226" s="491" t="n"/>
      <c r="X226" s="491" t="n"/>
      <c r="Y226" s="491" t="n"/>
    </row>
    <row r="227" ht="12.75" customHeight="1" s="398">
      <c r="A227" s="491" t="n"/>
      <c r="B227" s="491" t="n"/>
      <c r="C227" s="491" t="n"/>
      <c r="D227" s="491" t="n"/>
      <c r="E227" s="491" t="n"/>
      <c r="F227" s="491" t="n"/>
      <c r="G227" s="491" t="n"/>
      <c r="H227" s="491" t="n"/>
      <c r="I227" s="491" t="n"/>
      <c r="J227" s="491" t="n"/>
      <c r="K227" s="491" t="n"/>
      <c r="L227" s="491" t="n"/>
      <c r="M227" s="491" t="n"/>
      <c r="N227" s="491" t="n"/>
      <c r="O227" s="491" t="n"/>
      <c r="P227" s="491" t="n"/>
      <c r="Q227" s="491" t="n"/>
      <c r="R227" s="491" t="n"/>
      <c r="S227" s="491" t="n"/>
      <c r="T227" s="491" t="n"/>
      <c r="U227" s="491" t="n"/>
      <c r="V227" s="491" t="n"/>
      <c r="W227" s="491" t="n"/>
      <c r="X227" s="491" t="n"/>
      <c r="Y227" s="491" t="n"/>
    </row>
    <row r="228" ht="12.75" customHeight="1" s="398">
      <c r="A228" s="491" t="n"/>
      <c r="B228" s="491" t="n"/>
      <c r="C228" s="491" t="n"/>
      <c r="D228" s="491" t="n"/>
      <c r="E228" s="491" t="n"/>
      <c r="F228" s="491" t="n"/>
      <c r="G228" s="491" t="n"/>
      <c r="H228" s="491" t="n"/>
      <c r="I228" s="491" t="n"/>
      <c r="J228" s="491" t="n"/>
      <c r="K228" s="491" t="n"/>
      <c r="L228" s="491" t="n"/>
      <c r="M228" s="491" t="n"/>
      <c r="N228" s="491" t="n"/>
      <c r="O228" s="491" t="n"/>
      <c r="P228" s="491" t="n"/>
      <c r="Q228" s="491" t="n"/>
      <c r="R228" s="491" t="n"/>
      <c r="S228" s="491" t="n"/>
      <c r="T228" s="491" t="n"/>
      <c r="U228" s="491" t="n"/>
      <c r="V228" s="491" t="n"/>
      <c r="W228" s="491" t="n"/>
      <c r="X228" s="491" t="n"/>
      <c r="Y228" s="491" t="n"/>
    </row>
    <row r="229" ht="12.75" customHeight="1" s="398">
      <c r="A229" s="491" t="n"/>
      <c r="B229" s="491" t="n"/>
      <c r="C229" s="491" t="n"/>
      <c r="D229" s="491" t="n"/>
      <c r="E229" s="491" t="n"/>
      <c r="F229" s="491" t="n"/>
      <c r="G229" s="491" t="n"/>
      <c r="H229" s="491" t="n"/>
      <c r="I229" s="491" t="n"/>
      <c r="J229" s="491" t="n"/>
      <c r="K229" s="491" t="n"/>
      <c r="L229" s="491" t="n"/>
      <c r="M229" s="491" t="n"/>
      <c r="N229" s="491" t="n"/>
      <c r="O229" s="491" t="n"/>
      <c r="P229" s="491" t="n"/>
      <c r="Q229" s="491" t="n"/>
      <c r="R229" s="491" t="n"/>
      <c r="S229" s="491" t="n"/>
      <c r="T229" s="491" t="n"/>
      <c r="U229" s="491" t="n"/>
      <c r="V229" s="491" t="n"/>
      <c r="W229" s="491" t="n"/>
      <c r="X229" s="491" t="n"/>
      <c r="Y229" s="491" t="n"/>
    </row>
    <row r="230" ht="12.75" customHeight="1" s="398">
      <c r="A230" s="491" t="n"/>
      <c r="B230" s="491" t="n"/>
      <c r="C230" s="491" t="n"/>
      <c r="D230" s="491" t="n"/>
      <c r="E230" s="491" t="n"/>
      <c r="F230" s="491" t="n"/>
      <c r="G230" s="491" t="n"/>
      <c r="H230" s="491" t="n"/>
      <c r="I230" s="491" t="n"/>
      <c r="J230" s="491" t="n"/>
      <c r="K230" s="491" t="n"/>
      <c r="L230" s="491" t="n"/>
      <c r="M230" s="491" t="n"/>
      <c r="N230" s="491" t="n"/>
      <c r="O230" s="491" t="n"/>
      <c r="P230" s="491" t="n"/>
      <c r="Q230" s="491" t="n"/>
      <c r="R230" s="491" t="n"/>
      <c r="S230" s="491" t="n"/>
      <c r="T230" s="491" t="n"/>
      <c r="U230" s="491" t="n"/>
      <c r="V230" s="491" t="n"/>
      <c r="W230" s="491" t="n"/>
      <c r="X230" s="491" t="n"/>
      <c r="Y230" s="491" t="n"/>
    </row>
    <row r="231" ht="12.75" customHeight="1" s="398">
      <c r="A231" s="491" t="n"/>
      <c r="B231" s="491" t="n"/>
      <c r="C231" s="491" t="n"/>
      <c r="D231" s="491" t="n"/>
      <c r="E231" s="491" t="n"/>
      <c r="F231" s="491" t="n"/>
      <c r="G231" s="491" t="n"/>
      <c r="H231" s="491" t="n"/>
      <c r="I231" s="491" t="n"/>
      <c r="J231" s="491" t="n"/>
      <c r="K231" s="491" t="n"/>
      <c r="L231" s="491" t="n"/>
      <c r="M231" s="491" t="n"/>
      <c r="N231" s="491" t="n"/>
      <c r="O231" s="491" t="n"/>
      <c r="P231" s="491" t="n"/>
      <c r="Q231" s="491" t="n"/>
      <c r="R231" s="491" t="n"/>
      <c r="S231" s="491" t="n"/>
      <c r="T231" s="491" t="n"/>
      <c r="U231" s="491" t="n"/>
      <c r="V231" s="491" t="n"/>
      <c r="W231" s="491" t="n"/>
      <c r="X231" s="491" t="n"/>
      <c r="Y231" s="491" t="n"/>
    </row>
    <row r="232" ht="12.75" customHeight="1" s="398">
      <c r="A232" s="491" t="n"/>
      <c r="B232" s="491" t="n"/>
      <c r="C232" s="491" t="n"/>
      <c r="D232" s="491" t="n"/>
      <c r="E232" s="491" t="n"/>
      <c r="F232" s="491" t="n"/>
      <c r="G232" s="491" t="n"/>
      <c r="H232" s="491" t="n"/>
      <c r="I232" s="491" t="n"/>
      <c r="J232" s="491" t="n"/>
      <c r="K232" s="491" t="n"/>
      <c r="L232" s="491" t="n"/>
      <c r="M232" s="491" t="n"/>
      <c r="N232" s="491" t="n"/>
      <c r="O232" s="491" t="n"/>
      <c r="P232" s="491" t="n"/>
      <c r="Q232" s="491" t="n"/>
      <c r="R232" s="491" t="n"/>
      <c r="S232" s="491" t="n"/>
      <c r="T232" s="491" t="n"/>
      <c r="U232" s="491" t="n"/>
      <c r="V232" s="491" t="n"/>
      <c r="W232" s="491" t="n"/>
      <c r="X232" s="491" t="n"/>
      <c r="Y232" s="491" t="n"/>
    </row>
    <row r="233" ht="12.75" customHeight="1" s="398">
      <c r="A233" s="491" t="n"/>
      <c r="B233" s="491" t="n"/>
      <c r="C233" s="491" t="n"/>
      <c r="D233" s="491" t="n"/>
      <c r="E233" s="491" t="n"/>
      <c r="F233" s="491" t="n"/>
      <c r="G233" s="491" t="n"/>
      <c r="H233" s="491" t="n"/>
      <c r="I233" s="491" t="n"/>
      <c r="J233" s="491" t="n"/>
      <c r="K233" s="491" t="n"/>
      <c r="L233" s="491" t="n"/>
      <c r="M233" s="491" t="n"/>
      <c r="N233" s="491" t="n"/>
      <c r="O233" s="491" t="n"/>
      <c r="P233" s="491" t="n"/>
      <c r="Q233" s="491" t="n"/>
      <c r="R233" s="491" t="n"/>
      <c r="S233" s="491" t="n"/>
      <c r="T233" s="491" t="n"/>
      <c r="U233" s="491" t="n"/>
      <c r="V233" s="491" t="n"/>
      <c r="W233" s="491" t="n"/>
      <c r="X233" s="491" t="n"/>
      <c r="Y233" s="491" t="n"/>
    </row>
    <row r="234" ht="12.75" customHeight="1" s="398">
      <c r="A234" s="491" t="n"/>
      <c r="B234" s="491" t="n"/>
      <c r="C234" s="491" t="n"/>
      <c r="D234" s="491" t="n"/>
      <c r="E234" s="491" t="n"/>
      <c r="F234" s="491" t="n"/>
      <c r="G234" s="491" t="n"/>
      <c r="H234" s="491" t="n"/>
      <c r="I234" s="491" t="n"/>
      <c r="J234" s="491" t="n"/>
      <c r="K234" s="491" t="n"/>
      <c r="L234" s="491" t="n"/>
      <c r="M234" s="491" t="n"/>
      <c r="N234" s="491" t="n"/>
      <c r="O234" s="491" t="n"/>
      <c r="P234" s="491" t="n"/>
      <c r="Q234" s="491" t="n"/>
      <c r="R234" s="491" t="n"/>
      <c r="S234" s="491" t="n"/>
      <c r="T234" s="491" t="n"/>
      <c r="U234" s="491" t="n"/>
      <c r="V234" s="491" t="n"/>
      <c r="W234" s="491" t="n"/>
      <c r="X234" s="491" t="n"/>
      <c r="Y234" s="491" t="n"/>
    </row>
    <row r="235" ht="12.75" customHeight="1" s="398">
      <c r="A235" s="491" t="n"/>
      <c r="B235" s="491" t="n"/>
      <c r="C235" s="491" t="n"/>
      <c r="D235" s="491" t="n"/>
      <c r="E235" s="491" t="n"/>
      <c r="F235" s="491" t="n"/>
      <c r="G235" s="491" t="n"/>
      <c r="H235" s="491" t="n"/>
      <c r="I235" s="491" t="n"/>
      <c r="J235" s="491" t="n"/>
      <c r="K235" s="491" t="n"/>
      <c r="L235" s="491" t="n"/>
      <c r="M235" s="491" t="n"/>
      <c r="N235" s="491" t="n"/>
      <c r="O235" s="491" t="n"/>
      <c r="P235" s="491" t="n"/>
      <c r="Q235" s="491" t="n"/>
      <c r="R235" s="491" t="n"/>
      <c r="S235" s="491" t="n"/>
      <c r="T235" s="491" t="n"/>
      <c r="U235" s="491" t="n"/>
      <c r="V235" s="491" t="n"/>
      <c r="W235" s="491" t="n"/>
      <c r="X235" s="491" t="n"/>
      <c r="Y235" s="491" t="n"/>
    </row>
    <row r="236" ht="12.75" customHeight="1" s="398">
      <c r="A236" s="491" t="n"/>
      <c r="B236" s="491" t="n"/>
      <c r="C236" s="491" t="n"/>
      <c r="D236" s="491" t="n"/>
      <c r="E236" s="491" t="n"/>
      <c r="F236" s="491" t="n"/>
      <c r="G236" s="491" t="n"/>
      <c r="H236" s="491" t="n"/>
      <c r="I236" s="491" t="n"/>
      <c r="J236" s="491" t="n"/>
      <c r="K236" s="491" t="n"/>
      <c r="L236" s="491" t="n"/>
      <c r="M236" s="491" t="n"/>
      <c r="N236" s="491" t="n"/>
      <c r="O236" s="491" t="n"/>
      <c r="P236" s="491" t="n"/>
      <c r="Q236" s="491" t="n"/>
      <c r="R236" s="491" t="n"/>
      <c r="S236" s="491" t="n"/>
      <c r="T236" s="491" t="n"/>
      <c r="U236" s="491" t="n"/>
      <c r="V236" s="491" t="n"/>
      <c r="W236" s="491" t="n"/>
      <c r="X236" s="491" t="n"/>
      <c r="Y236" s="491" t="n"/>
    </row>
    <row r="237" ht="12.75" customHeight="1" s="398">
      <c r="A237" s="491" t="n"/>
      <c r="B237" s="491" t="n"/>
      <c r="C237" s="491" t="n"/>
      <c r="D237" s="491" t="n"/>
      <c r="E237" s="491" t="n"/>
      <c r="F237" s="491" t="n"/>
      <c r="G237" s="491" t="n"/>
      <c r="H237" s="491" t="n"/>
      <c r="I237" s="491" t="n"/>
      <c r="J237" s="491" t="n"/>
      <c r="K237" s="491" t="n"/>
      <c r="L237" s="491" t="n"/>
      <c r="M237" s="491" t="n"/>
      <c r="N237" s="491" t="n"/>
      <c r="O237" s="491" t="n"/>
      <c r="P237" s="491" t="n"/>
      <c r="Q237" s="491" t="n"/>
      <c r="R237" s="491" t="n"/>
      <c r="S237" s="491" t="n"/>
      <c r="T237" s="491" t="n"/>
      <c r="U237" s="491" t="n"/>
      <c r="V237" s="491" t="n"/>
      <c r="W237" s="491" t="n"/>
      <c r="X237" s="491" t="n"/>
      <c r="Y237" s="491" t="n"/>
    </row>
    <row r="238" ht="12.75" customHeight="1" s="398">
      <c r="A238" s="491" t="n"/>
      <c r="B238" s="491" t="n"/>
      <c r="C238" s="491" t="n"/>
      <c r="D238" s="491" t="n"/>
      <c r="E238" s="491" t="n"/>
      <c r="F238" s="491" t="n"/>
      <c r="G238" s="491" t="n"/>
      <c r="H238" s="491" t="n"/>
      <c r="I238" s="491" t="n"/>
      <c r="J238" s="491" t="n"/>
      <c r="K238" s="491" t="n"/>
      <c r="L238" s="491" t="n"/>
      <c r="M238" s="491" t="n"/>
      <c r="N238" s="491" t="n"/>
      <c r="O238" s="491" t="n"/>
      <c r="P238" s="491" t="n"/>
      <c r="Q238" s="491" t="n"/>
      <c r="R238" s="491" t="n"/>
      <c r="S238" s="491" t="n"/>
      <c r="T238" s="491" t="n"/>
      <c r="U238" s="491" t="n"/>
      <c r="V238" s="491" t="n"/>
      <c r="W238" s="491" t="n"/>
      <c r="X238" s="491" t="n"/>
      <c r="Y238" s="491" t="n"/>
    </row>
    <row r="239" ht="12.75" customHeight="1" s="398">
      <c r="A239" s="491" t="n"/>
      <c r="B239" s="491" t="n"/>
      <c r="C239" s="491" t="n"/>
      <c r="D239" s="491" t="n"/>
      <c r="E239" s="491" t="n"/>
      <c r="F239" s="491" t="n"/>
      <c r="G239" s="491" t="n"/>
      <c r="H239" s="491" t="n"/>
      <c r="I239" s="491" t="n"/>
      <c r="J239" s="491" t="n"/>
      <c r="K239" s="491" t="n"/>
      <c r="L239" s="491" t="n"/>
      <c r="M239" s="491" t="n"/>
      <c r="N239" s="491" t="n"/>
      <c r="O239" s="491" t="n"/>
      <c r="P239" s="491" t="n"/>
      <c r="Q239" s="491" t="n"/>
      <c r="R239" s="491" t="n"/>
      <c r="S239" s="491" t="n"/>
      <c r="T239" s="491" t="n"/>
      <c r="U239" s="491" t="n"/>
      <c r="V239" s="491" t="n"/>
      <c r="W239" s="491" t="n"/>
      <c r="X239" s="491" t="n"/>
      <c r="Y239" s="491" t="n"/>
    </row>
    <row r="240" ht="12.75" customHeight="1" s="398">
      <c r="A240" s="491" t="n"/>
      <c r="B240" s="491" t="n"/>
      <c r="C240" s="491" t="n"/>
      <c r="D240" s="491" t="n"/>
      <c r="E240" s="491" t="n"/>
      <c r="F240" s="491" t="n"/>
      <c r="G240" s="491" t="n"/>
      <c r="H240" s="491" t="n"/>
      <c r="I240" s="491" t="n"/>
      <c r="J240" s="491" t="n"/>
      <c r="K240" s="491" t="n"/>
      <c r="L240" s="491" t="n"/>
      <c r="M240" s="491" t="n"/>
      <c r="N240" s="491" t="n"/>
      <c r="O240" s="491" t="n"/>
      <c r="P240" s="491" t="n"/>
      <c r="Q240" s="491" t="n"/>
      <c r="R240" s="491" t="n"/>
      <c r="S240" s="491" t="n"/>
      <c r="T240" s="491" t="n"/>
      <c r="U240" s="491" t="n"/>
      <c r="V240" s="491" t="n"/>
      <c r="W240" s="491" t="n"/>
      <c r="X240" s="491" t="n"/>
      <c r="Y240" s="491" t="n"/>
    </row>
    <row r="241" ht="12.75" customHeight="1" s="398">
      <c r="A241" s="491" t="n"/>
      <c r="B241" s="491" t="n"/>
      <c r="C241" s="491" t="n"/>
      <c r="D241" s="491" t="n"/>
      <c r="E241" s="491" t="n"/>
      <c r="F241" s="491" t="n"/>
      <c r="G241" s="491" t="n"/>
      <c r="H241" s="491" t="n"/>
      <c r="I241" s="491" t="n"/>
      <c r="J241" s="491" t="n"/>
      <c r="K241" s="491" t="n"/>
      <c r="L241" s="491" t="n"/>
      <c r="M241" s="491" t="n"/>
      <c r="N241" s="491" t="n"/>
      <c r="O241" s="491" t="n"/>
      <c r="P241" s="491" t="n"/>
      <c r="Q241" s="491" t="n"/>
      <c r="R241" s="491" t="n"/>
      <c r="S241" s="491" t="n"/>
      <c r="T241" s="491" t="n"/>
      <c r="U241" s="491" t="n"/>
      <c r="V241" s="491" t="n"/>
      <c r="W241" s="491" t="n"/>
      <c r="X241" s="491" t="n"/>
      <c r="Y241" s="491" t="n"/>
    </row>
    <row r="242" ht="12.75" customHeight="1" s="398">
      <c r="A242" s="491" t="n"/>
      <c r="B242" s="491" t="n"/>
      <c r="C242" s="491" t="n"/>
      <c r="D242" s="491" t="n"/>
      <c r="E242" s="491" t="n"/>
      <c r="F242" s="491" t="n"/>
      <c r="G242" s="491" t="n"/>
      <c r="H242" s="491" t="n"/>
      <c r="I242" s="491" t="n"/>
      <c r="J242" s="491" t="n"/>
      <c r="K242" s="491" t="n"/>
      <c r="L242" s="491" t="n"/>
      <c r="M242" s="491" t="n"/>
      <c r="N242" s="491" t="n"/>
      <c r="O242" s="491" t="n"/>
      <c r="P242" s="491" t="n"/>
      <c r="Q242" s="491" t="n"/>
      <c r="R242" s="491" t="n"/>
      <c r="S242" s="491" t="n"/>
      <c r="T242" s="491" t="n"/>
      <c r="U242" s="491" t="n"/>
      <c r="V242" s="491" t="n"/>
      <c r="W242" s="491" t="n"/>
      <c r="X242" s="491" t="n"/>
      <c r="Y242" s="491" t="n"/>
    </row>
    <row r="243" ht="12.75" customHeight="1" s="398">
      <c r="A243" s="491" t="n"/>
      <c r="B243" s="491" t="n"/>
      <c r="C243" s="491" t="n"/>
      <c r="D243" s="491" t="n"/>
      <c r="E243" s="491" t="n"/>
      <c r="F243" s="491" t="n"/>
      <c r="G243" s="491" t="n"/>
      <c r="H243" s="491" t="n"/>
      <c r="I243" s="491" t="n"/>
      <c r="J243" s="491" t="n"/>
      <c r="K243" s="491" t="n"/>
      <c r="L243" s="491" t="n"/>
      <c r="M243" s="491" t="n"/>
      <c r="N243" s="491" t="n"/>
      <c r="O243" s="491" t="n"/>
      <c r="P243" s="491" t="n"/>
      <c r="Q243" s="491" t="n"/>
      <c r="R243" s="491" t="n"/>
      <c r="S243" s="491" t="n"/>
      <c r="T243" s="491" t="n"/>
      <c r="U243" s="491" t="n"/>
      <c r="V243" s="491" t="n"/>
      <c r="W243" s="491" t="n"/>
      <c r="X243" s="491" t="n"/>
      <c r="Y243" s="491" t="n"/>
    </row>
    <row r="244" ht="12.75" customHeight="1" s="398">
      <c r="A244" s="491" t="n"/>
      <c r="B244" s="491" t="n"/>
      <c r="C244" s="491" t="n"/>
      <c r="D244" s="491" t="n"/>
      <c r="E244" s="491" t="n"/>
      <c r="F244" s="491" t="n"/>
      <c r="G244" s="491" t="n"/>
      <c r="H244" s="491" t="n"/>
      <c r="I244" s="491" t="n"/>
      <c r="J244" s="491" t="n"/>
      <c r="K244" s="491" t="n"/>
      <c r="L244" s="491" t="n"/>
      <c r="M244" s="491" t="n"/>
      <c r="N244" s="491" t="n"/>
      <c r="O244" s="491" t="n"/>
      <c r="P244" s="491" t="n"/>
      <c r="Q244" s="491" t="n"/>
      <c r="R244" s="491" t="n"/>
      <c r="S244" s="491" t="n"/>
      <c r="T244" s="491" t="n"/>
      <c r="U244" s="491" t="n"/>
      <c r="V244" s="491" t="n"/>
      <c r="W244" s="491" t="n"/>
      <c r="X244" s="491" t="n"/>
      <c r="Y244" s="491" t="n"/>
    </row>
    <row r="245" ht="12.75" customHeight="1" s="398">
      <c r="A245" s="491" t="n"/>
      <c r="B245" s="491" t="n"/>
      <c r="C245" s="491" t="n"/>
      <c r="D245" s="491" t="n"/>
      <c r="E245" s="491" t="n"/>
      <c r="F245" s="491" t="n"/>
      <c r="G245" s="491" t="n"/>
      <c r="H245" s="491" t="n"/>
      <c r="I245" s="491" t="n"/>
      <c r="J245" s="491" t="n"/>
      <c r="K245" s="491" t="n"/>
      <c r="L245" s="491" t="n"/>
      <c r="M245" s="491" t="n"/>
      <c r="N245" s="491" t="n"/>
      <c r="O245" s="491" t="n"/>
      <c r="P245" s="491" t="n"/>
      <c r="Q245" s="491" t="n"/>
      <c r="R245" s="491" t="n"/>
      <c r="S245" s="491" t="n"/>
      <c r="T245" s="491" t="n"/>
      <c r="U245" s="491" t="n"/>
      <c r="V245" s="491" t="n"/>
      <c r="W245" s="491" t="n"/>
      <c r="X245" s="491" t="n"/>
      <c r="Y245" s="491" t="n"/>
    </row>
    <row r="246" ht="12.75" customHeight="1" s="398">
      <c r="A246" s="491" t="n"/>
      <c r="B246" s="491" t="n"/>
      <c r="C246" s="491" t="n"/>
      <c r="D246" s="491" t="n"/>
      <c r="E246" s="491" t="n"/>
      <c r="F246" s="491" t="n"/>
      <c r="G246" s="491" t="n"/>
      <c r="H246" s="491" t="n"/>
      <c r="I246" s="491" t="n"/>
      <c r="J246" s="491" t="n"/>
      <c r="K246" s="491" t="n"/>
      <c r="L246" s="491" t="n"/>
      <c r="M246" s="491" t="n"/>
      <c r="N246" s="491" t="n"/>
      <c r="O246" s="491" t="n"/>
      <c r="P246" s="491" t="n"/>
      <c r="Q246" s="491" t="n"/>
      <c r="R246" s="491" t="n"/>
      <c r="S246" s="491" t="n"/>
      <c r="T246" s="491" t="n"/>
      <c r="U246" s="491" t="n"/>
      <c r="V246" s="491" t="n"/>
      <c r="W246" s="491" t="n"/>
      <c r="X246" s="491" t="n"/>
      <c r="Y246" s="491" t="n"/>
    </row>
    <row r="247" ht="12.75" customHeight="1" s="398">
      <c r="A247" s="491" t="n"/>
      <c r="B247" s="491" t="n"/>
      <c r="C247" s="491" t="n"/>
      <c r="D247" s="491" t="n"/>
      <c r="E247" s="491" t="n"/>
      <c r="F247" s="491" t="n"/>
      <c r="G247" s="491" t="n"/>
      <c r="H247" s="491" t="n"/>
      <c r="I247" s="491" t="n"/>
      <c r="J247" s="491" t="n"/>
      <c r="K247" s="491" t="n"/>
      <c r="L247" s="491" t="n"/>
      <c r="M247" s="491" t="n"/>
      <c r="N247" s="491" t="n"/>
      <c r="O247" s="491" t="n"/>
      <c r="P247" s="491" t="n"/>
      <c r="Q247" s="491" t="n"/>
      <c r="R247" s="491" t="n"/>
      <c r="S247" s="491" t="n"/>
      <c r="T247" s="491" t="n"/>
      <c r="U247" s="491" t="n"/>
      <c r="V247" s="491" t="n"/>
      <c r="W247" s="491" t="n"/>
      <c r="X247" s="491" t="n"/>
      <c r="Y247" s="491" t="n"/>
    </row>
    <row r="248" ht="12.75" customHeight="1" s="398">
      <c r="A248" s="491" t="n"/>
      <c r="B248" s="491" t="n"/>
      <c r="C248" s="491" t="n"/>
      <c r="D248" s="491" t="n"/>
      <c r="E248" s="491" t="n"/>
      <c r="F248" s="491" t="n"/>
      <c r="G248" s="491" t="n"/>
      <c r="H248" s="491" t="n"/>
      <c r="I248" s="491" t="n"/>
      <c r="J248" s="491" t="n"/>
      <c r="K248" s="491" t="n"/>
      <c r="L248" s="491" t="n"/>
      <c r="M248" s="491" t="n"/>
      <c r="N248" s="491" t="n"/>
      <c r="O248" s="491" t="n"/>
      <c r="P248" s="491" t="n"/>
      <c r="Q248" s="491" t="n"/>
      <c r="R248" s="491" t="n"/>
      <c r="S248" s="491" t="n"/>
      <c r="T248" s="491" t="n"/>
      <c r="U248" s="491" t="n"/>
      <c r="V248" s="491" t="n"/>
      <c r="W248" s="491" t="n"/>
      <c r="X248" s="491" t="n"/>
      <c r="Y248" s="491" t="n"/>
    </row>
    <row r="249" ht="12.75" customHeight="1" s="398">
      <c r="A249" s="491" t="n"/>
      <c r="B249" s="491" t="n"/>
      <c r="C249" s="491" t="n"/>
      <c r="D249" s="491" t="n"/>
      <c r="E249" s="491" t="n"/>
      <c r="F249" s="491" t="n"/>
      <c r="G249" s="491" t="n"/>
      <c r="H249" s="491" t="n"/>
      <c r="I249" s="491" t="n"/>
      <c r="J249" s="491" t="n"/>
      <c r="K249" s="491" t="n"/>
      <c r="L249" s="491" t="n"/>
      <c r="M249" s="491" t="n"/>
      <c r="N249" s="491" t="n"/>
      <c r="O249" s="491" t="n"/>
      <c r="P249" s="491" t="n"/>
      <c r="Q249" s="491" t="n"/>
      <c r="R249" s="491" t="n"/>
      <c r="S249" s="491" t="n"/>
      <c r="T249" s="491" t="n"/>
      <c r="U249" s="491" t="n"/>
      <c r="V249" s="491" t="n"/>
      <c r="W249" s="491" t="n"/>
      <c r="X249" s="491" t="n"/>
      <c r="Y249" s="491" t="n"/>
    </row>
    <row r="250" ht="12.75" customHeight="1" s="398">
      <c r="A250" s="491" t="n"/>
      <c r="B250" s="491" t="n"/>
      <c r="C250" s="491" t="n"/>
      <c r="D250" s="491" t="n"/>
      <c r="E250" s="491" t="n"/>
      <c r="F250" s="491" t="n"/>
      <c r="G250" s="491" t="n"/>
      <c r="H250" s="491" t="n"/>
      <c r="I250" s="491" t="n"/>
      <c r="J250" s="491" t="n"/>
      <c r="K250" s="491" t="n"/>
      <c r="L250" s="491" t="n"/>
      <c r="M250" s="491" t="n"/>
      <c r="N250" s="491" t="n"/>
      <c r="O250" s="491" t="n"/>
      <c r="P250" s="491" t="n"/>
      <c r="Q250" s="491" t="n"/>
      <c r="R250" s="491" t="n"/>
      <c r="S250" s="491" t="n"/>
      <c r="T250" s="491" t="n"/>
      <c r="U250" s="491" t="n"/>
      <c r="V250" s="491" t="n"/>
      <c r="W250" s="491" t="n"/>
      <c r="X250" s="491" t="n"/>
      <c r="Y250" s="491" t="n"/>
    </row>
    <row r="251" ht="12.75" customHeight="1" s="398">
      <c r="A251" s="491" t="n"/>
      <c r="B251" s="491" t="n"/>
      <c r="C251" s="491" t="n"/>
      <c r="D251" s="491" t="n"/>
      <c r="E251" s="491" t="n"/>
      <c r="F251" s="491" t="n"/>
      <c r="G251" s="491" t="n"/>
      <c r="H251" s="491" t="n"/>
      <c r="I251" s="491" t="n"/>
      <c r="J251" s="491" t="n"/>
      <c r="K251" s="491" t="n"/>
      <c r="L251" s="491" t="n"/>
      <c r="M251" s="491" t="n"/>
      <c r="N251" s="491" t="n"/>
      <c r="O251" s="491" t="n"/>
      <c r="P251" s="491" t="n"/>
      <c r="Q251" s="491" t="n"/>
      <c r="R251" s="491" t="n"/>
      <c r="S251" s="491" t="n"/>
      <c r="T251" s="491" t="n"/>
      <c r="U251" s="491" t="n"/>
      <c r="V251" s="491" t="n"/>
      <c r="W251" s="491" t="n"/>
      <c r="X251" s="491" t="n"/>
      <c r="Y251" s="491" t="n"/>
    </row>
    <row r="252" ht="12.75" customHeight="1" s="398">
      <c r="A252" s="491" t="n"/>
      <c r="B252" s="491" t="n"/>
      <c r="C252" s="491" t="n"/>
      <c r="D252" s="491" t="n"/>
      <c r="E252" s="491" t="n"/>
      <c r="F252" s="491" t="n"/>
      <c r="G252" s="491" t="n"/>
      <c r="H252" s="491" t="n"/>
      <c r="I252" s="491" t="n"/>
      <c r="J252" s="491" t="n"/>
      <c r="K252" s="491" t="n"/>
      <c r="L252" s="491" t="n"/>
      <c r="M252" s="491" t="n"/>
      <c r="N252" s="491" t="n"/>
      <c r="O252" s="491" t="n"/>
      <c r="P252" s="491" t="n"/>
      <c r="Q252" s="491" t="n"/>
      <c r="R252" s="491" t="n"/>
      <c r="S252" s="491" t="n"/>
      <c r="T252" s="491" t="n"/>
      <c r="U252" s="491" t="n"/>
      <c r="V252" s="491" t="n"/>
      <c r="W252" s="491" t="n"/>
      <c r="X252" s="491" t="n"/>
      <c r="Y252" s="491" t="n"/>
    </row>
    <row r="253" ht="12.75" customHeight="1" s="398">
      <c r="A253" s="491" t="n"/>
      <c r="B253" s="491" t="n"/>
      <c r="C253" s="491" t="n"/>
      <c r="D253" s="491" t="n"/>
      <c r="E253" s="491" t="n"/>
      <c r="F253" s="491" t="n"/>
      <c r="G253" s="491" t="n"/>
      <c r="H253" s="491" t="n"/>
      <c r="I253" s="491" t="n"/>
      <c r="J253" s="491" t="n"/>
      <c r="K253" s="491" t="n"/>
      <c r="L253" s="491" t="n"/>
      <c r="M253" s="491" t="n"/>
      <c r="N253" s="491" t="n"/>
      <c r="O253" s="491" t="n"/>
      <c r="P253" s="491" t="n"/>
      <c r="Q253" s="491" t="n"/>
      <c r="R253" s="491" t="n"/>
      <c r="S253" s="491" t="n"/>
      <c r="T253" s="491" t="n"/>
      <c r="U253" s="491" t="n"/>
      <c r="V253" s="491" t="n"/>
      <c r="W253" s="491" t="n"/>
      <c r="X253" s="491" t="n"/>
      <c r="Y253" s="491" t="n"/>
    </row>
    <row r="254" ht="12.75" customHeight="1" s="398">
      <c r="A254" s="491" t="n"/>
      <c r="B254" s="491" t="n"/>
      <c r="C254" s="491" t="n"/>
      <c r="D254" s="491" t="n"/>
      <c r="E254" s="491" t="n"/>
      <c r="F254" s="491" t="n"/>
      <c r="G254" s="491" t="n"/>
      <c r="H254" s="491" t="n"/>
      <c r="I254" s="491" t="n"/>
      <c r="J254" s="491" t="n"/>
      <c r="K254" s="491" t="n"/>
      <c r="L254" s="491" t="n"/>
      <c r="M254" s="491" t="n"/>
      <c r="N254" s="491" t="n"/>
      <c r="O254" s="491" t="n"/>
      <c r="P254" s="491" t="n"/>
      <c r="Q254" s="491" t="n"/>
      <c r="R254" s="491" t="n"/>
      <c r="S254" s="491" t="n"/>
      <c r="T254" s="491" t="n"/>
      <c r="U254" s="491" t="n"/>
      <c r="V254" s="491" t="n"/>
      <c r="W254" s="491" t="n"/>
      <c r="X254" s="491" t="n"/>
      <c r="Y254" s="491" t="n"/>
    </row>
    <row r="255" ht="12.75" customHeight="1" s="398">
      <c r="A255" s="491" t="n"/>
      <c r="B255" s="491" t="n"/>
      <c r="C255" s="491" t="n"/>
      <c r="D255" s="491" t="n"/>
      <c r="E255" s="491" t="n"/>
      <c r="F255" s="491" t="n"/>
      <c r="G255" s="491" t="n"/>
      <c r="H255" s="491" t="n"/>
      <c r="I255" s="491" t="n"/>
      <c r="J255" s="491" t="n"/>
      <c r="K255" s="491" t="n"/>
      <c r="L255" s="491" t="n"/>
      <c r="M255" s="491" t="n"/>
      <c r="N255" s="491" t="n"/>
      <c r="O255" s="491" t="n"/>
      <c r="P255" s="491" t="n"/>
      <c r="Q255" s="491" t="n"/>
      <c r="R255" s="491" t="n"/>
      <c r="S255" s="491" t="n"/>
      <c r="T255" s="491" t="n"/>
      <c r="U255" s="491" t="n"/>
      <c r="V255" s="491" t="n"/>
      <c r="W255" s="491" t="n"/>
      <c r="X255" s="491" t="n"/>
      <c r="Y255" s="491" t="n"/>
    </row>
    <row r="256" ht="12.75" customHeight="1" s="398">
      <c r="A256" s="491" t="n"/>
      <c r="B256" s="491" t="n"/>
      <c r="C256" s="491" t="n"/>
      <c r="D256" s="491" t="n"/>
      <c r="E256" s="491" t="n"/>
      <c r="F256" s="491" t="n"/>
      <c r="G256" s="491" t="n"/>
      <c r="H256" s="491" t="n"/>
      <c r="I256" s="491" t="n"/>
      <c r="J256" s="491" t="n"/>
      <c r="K256" s="491" t="n"/>
      <c r="L256" s="491" t="n"/>
      <c r="M256" s="491" t="n"/>
      <c r="N256" s="491" t="n"/>
      <c r="O256" s="491" t="n"/>
      <c r="P256" s="491" t="n"/>
      <c r="Q256" s="491" t="n"/>
      <c r="R256" s="491" t="n"/>
      <c r="S256" s="491" t="n"/>
      <c r="T256" s="491" t="n"/>
      <c r="U256" s="491" t="n"/>
      <c r="V256" s="491" t="n"/>
      <c r="W256" s="491" t="n"/>
      <c r="X256" s="491" t="n"/>
      <c r="Y256" s="491" t="n"/>
    </row>
    <row r="257" ht="12.75" customHeight="1" s="398">
      <c r="A257" s="491" t="n"/>
      <c r="B257" s="491" t="n"/>
      <c r="C257" s="491" t="n"/>
      <c r="D257" s="491" t="n"/>
      <c r="E257" s="491" t="n"/>
      <c r="F257" s="491" t="n"/>
      <c r="G257" s="491" t="n"/>
      <c r="H257" s="491" t="n"/>
      <c r="I257" s="491" t="n"/>
      <c r="J257" s="491" t="n"/>
      <c r="K257" s="491" t="n"/>
      <c r="L257" s="491" t="n"/>
      <c r="M257" s="491" t="n"/>
      <c r="N257" s="491" t="n"/>
      <c r="O257" s="491" t="n"/>
      <c r="P257" s="491" t="n"/>
      <c r="Q257" s="491" t="n"/>
      <c r="R257" s="491" t="n"/>
      <c r="S257" s="491" t="n"/>
      <c r="T257" s="491" t="n"/>
      <c r="U257" s="491" t="n"/>
      <c r="V257" s="491" t="n"/>
      <c r="W257" s="491" t="n"/>
      <c r="X257" s="491" t="n"/>
      <c r="Y257" s="491" t="n"/>
    </row>
    <row r="258" ht="12.75" customHeight="1" s="398">
      <c r="A258" s="491" t="n"/>
      <c r="B258" s="491" t="n"/>
      <c r="C258" s="491" t="n"/>
      <c r="D258" s="491" t="n"/>
      <c r="E258" s="491" t="n"/>
      <c r="F258" s="491" t="n"/>
      <c r="G258" s="491" t="n"/>
      <c r="H258" s="491" t="n"/>
      <c r="I258" s="491" t="n"/>
      <c r="J258" s="491" t="n"/>
      <c r="K258" s="491" t="n"/>
      <c r="L258" s="491" t="n"/>
      <c r="M258" s="491" t="n"/>
      <c r="N258" s="491" t="n"/>
      <c r="O258" s="491" t="n"/>
      <c r="P258" s="491" t="n"/>
      <c r="Q258" s="491" t="n"/>
      <c r="R258" s="491" t="n"/>
      <c r="S258" s="491" t="n"/>
      <c r="T258" s="491" t="n"/>
      <c r="U258" s="491" t="n"/>
      <c r="V258" s="491" t="n"/>
      <c r="W258" s="491" t="n"/>
      <c r="X258" s="491" t="n"/>
      <c r="Y258" s="491" t="n"/>
    </row>
    <row r="259" ht="12.75" customHeight="1" s="398">
      <c r="A259" s="491" t="n"/>
      <c r="B259" s="491" t="n"/>
      <c r="C259" s="491" t="n"/>
      <c r="D259" s="491" t="n"/>
      <c r="E259" s="491" t="n"/>
      <c r="F259" s="491" t="n"/>
      <c r="G259" s="491" t="n"/>
      <c r="H259" s="491" t="n"/>
      <c r="I259" s="491" t="n"/>
      <c r="J259" s="491" t="n"/>
      <c r="K259" s="491" t="n"/>
      <c r="L259" s="491" t="n"/>
      <c r="M259" s="491" t="n"/>
      <c r="N259" s="491" t="n"/>
      <c r="O259" s="491" t="n"/>
      <c r="P259" s="491" t="n"/>
      <c r="Q259" s="491" t="n"/>
      <c r="R259" s="491" t="n"/>
      <c r="S259" s="491" t="n"/>
      <c r="T259" s="491" t="n"/>
      <c r="U259" s="491" t="n"/>
      <c r="V259" s="491" t="n"/>
      <c r="W259" s="491" t="n"/>
      <c r="X259" s="491" t="n"/>
      <c r="Y259" s="491" t="n"/>
    </row>
    <row r="260" ht="12.75" customHeight="1" s="398">
      <c r="A260" s="491" t="n"/>
      <c r="B260" s="491" t="n"/>
      <c r="C260" s="491" t="n"/>
      <c r="D260" s="491" t="n"/>
      <c r="E260" s="491" t="n"/>
      <c r="F260" s="491" t="n"/>
      <c r="G260" s="491" t="n"/>
      <c r="H260" s="491" t="n"/>
      <c r="I260" s="491" t="n"/>
      <c r="J260" s="491" t="n"/>
      <c r="K260" s="491" t="n"/>
      <c r="L260" s="491" t="n"/>
      <c r="M260" s="491" t="n"/>
      <c r="N260" s="491" t="n"/>
      <c r="O260" s="491" t="n"/>
      <c r="P260" s="491" t="n"/>
      <c r="Q260" s="491" t="n"/>
      <c r="R260" s="491" t="n"/>
      <c r="S260" s="491" t="n"/>
      <c r="T260" s="491" t="n"/>
      <c r="U260" s="491" t="n"/>
      <c r="V260" s="491" t="n"/>
      <c r="W260" s="491" t="n"/>
      <c r="X260" s="491" t="n"/>
      <c r="Y260" s="491" t="n"/>
    </row>
    <row r="261" ht="12.75" customHeight="1" s="398">
      <c r="A261" s="491" t="n"/>
      <c r="B261" s="491" t="n"/>
      <c r="C261" s="491" t="n"/>
      <c r="D261" s="491" t="n"/>
      <c r="E261" s="491" t="n"/>
      <c r="F261" s="491" t="n"/>
      <c r="G261" s="491" t="n"/>
      <c r="H261" s="491" t="n"/>
      <c r="I261" s="491" t="n"/>
      <c r="J261" s="491" t="n"/>
      <c r="K261" s="491" t="n"/>
      <c r="L261" s="491" t="n"/>
      <c r="M261" s="491" t="n"/>
      <c r="N261" s="491" t="n"/>
      <c r="O261" s="491" t="n"/>
      <c r="P261" s="491" t="n"/>
      <c r="Q261" s="491" t="n"/>
      <c r="R261" s="491" t="n"/>
      <c r="S261" s="491" t="n"/>
      <c r="T261" s="491" t="n"/>
      <c r="U261" s="491" t="n"/>
      <c r="V261" s="491" t="n"/>
      <c r="W261" s="491" t="n"/>
      <c r="X261" s="491" t="n"/>
      <c r="Y261" s="491" t="n"/>
    </row>
    <row r="262" ht="12.75" customHeight="1" s="398">
      <c r="A262" s="491" t="n"/>
      <c r="B262" s="491" t="n"/>
      <c r="C262" s="491" t="n"/>
      <c r="D262" s="491" t="n"/>
      <c r="E262" s="491" t="n"/>
      <c r="F262" s="491" t="n"/>
      <c r="G262" s="491" t="n"/>
      <c r="H262" s="491" t="n"/>
      <c r="I262" s="491" t="n"/>
      <c r="J262" s="491" t="n"/>
      <c r="K262" s="491" t="n"/>
      <c r="L262" s="491" t="n"/>
      <c r="M262" s="491" t="n"/>
      <c r="N262" s="491" t="n"/>
      <c r="O262" s="491" t="n"/>
      <c r="P262" s="491" t="n"/>
      <c r="Q262" s="491" t="n"/>
      <c r="R262" s="491" t="n"/>
      <c r="S262" s="491" t="n"/>
      <c r="T262" s="491" t="n"/>
      <c r="U262" s="491" t="n"/>
      <c r="V262" s="491" t="n"/>
      <c r="W262" s="491" t="n"/>
      <c r="X262" s="491" t="n"/>
      <c r="Y262" s="491" t="n"/>
    </row>
    <row r="263" ht="12.75" customHeight="1" s="398">
      <c r="A263" s="491" t="n"/>
      <c r="B263" s="491" t="n"/>
      <c r="C263" s="491" t="n"/>
      <c r="D263" s="491" t="n"/>
      <c r="E263" s="491" t="n"/>
      <c r="F263" s="491" t="n"/>
      <c r="G263" s="491" t="n"/>
      <c r="H263" s="491" t="n"/>
      <c r="I263" s="491" t="n"/>
      <c r="J263" s="491" t="n"/>
      <c r="K263" s="491" t="n"/>
      <c r="L263" s="491" t="n"/>
      <c r="M263" s="491" t="n"/>
      <c r="N263" s="491" t="n"/>
      <c r="O263" s="491" t="n"/>
      <c r="P263" s="491" t="n"/>
      <c r="Q263" s="491" t="n"/>
      <c r="R263" s="491" t="n"/>
      <c r="S263" s="491" t="n"/>
      <c r="T263" s="491" t="n"/>
      <c r="U263" s="491" t="n"/>
      <c r="V263" s="491" t="n"/>
      <c r="W263" s="491" t="n"/>
      <c r="X263" s="491" t="n"/>
      <c r="Y263" s="491" t="n"/>
    </row>
    <row r="264" ht="12.75" customHeight="1" s="398">
      <c r="A264" s="491" t="n"/>
      <c r="B264" s="491" t="n"/>
      <c r="C264" s="491" t="n"/>
      <c r="D264" s="491" t="n"/>
      <c r="E264" s="491" t="n"/>
      <c r="F264" s="491" t="n"/>
      <c r="G264" s="491" t="n"/>
      <c r="H264" s="491" t="n"/>
      <c r="I264" s="491" t="n"/>
      <c r="J264" s="491" t="n"/>
      <c r="K264" s="491" t="n"/>
      <c r="L264" s="491" t="n"/>
      <c r="M264" s="491" t="n"/>
      <c r="N264" s="491" t="n"/>
      <c r="O264" s="491" t="n"/>
      <c r="P264" s="491" t="n"/>
      <c r="Q264" s="491" t="n"/>
      <c r="R264" s="491" t="n"/>
      <c r="S264" s="491" t="n"/>
      <c r="T264" s="491" t="n"/>
      <c r="U264" s="491" t="n"/>
      <c r="V264" s="491" t="n"/>
      <c r="W264" s="491" t="n"/>
      <c r="X264" s="491" t="n"/>
      <c r="Y264" s="491" t="n"/>
    </row>
    <row r="265" ht="12.75" customHeight="1" s="398">
      <c r="A265" s="491" t="n"/>
      <c r="B265" s="491" t="n"/>
      <c r="C265" s="491" t="n"/>
      <c r="D265" s="491" t="n"/>
      <c r="E265" s="491" t="n"/>
      <c r="F265" s="491" t="n"/>
      <c r="G265" s="491" t="n"/>
      <c r="H265" s="491" t="n"/>
      <c r="I265" s="491" t="n"/>
      <c r="J265" s="491" t="n"/>
      <c r="K265" s="491" t="n"/>
      <c r="L265" s="491" t="n"/>
      <c r="M265" s="491" t="n"/>
      <c r="N265" s="491" t="n"/>
      <c r="O265" s="491" t="n"/>
      <c r="P265" s="491" t="n"/>
      <c r="Q265" s="491" t="n"/>
      <c r="R265" s="491" t="n"/>
      <c r="S265" s="491" t="n"/>
      <c r="T265" s="491" t="n"/>
      <c r="U265" s="491" t="n"/>
      <c r="V265" s="491" t="n"/>
      <c r="W265" s="491" t="n"/>
      <c r="X265" s="491" t="n"/>
      <c r="Y265" s="491" t="n"/>
    </row>
    <row r="266" ht="12.75" customHeight="1" s="398">
      <c r="A266" s="491" t="n"/>
      <c r="B266" s="491" t="n"/>
      <c r="C266" s="491" t="n"/>
      <c r="D266" s="491" t="n"/>
      <c r="E266" s="491" t="n"/>
      <c r="F266" s="491" t="n"/>
      <c r="G266" s="491" t="n"/>
      <c r="H266" s="491" t="n"/>
      <c r="I266" s="491" t="n"/>
      <c r="J266" s="491" t="n"/>
      <c r="K266" s="491" t="n"/>
      <c r="L266" s="491" t="n"/>
      <c r="M266" s="491" t="n"/>
      <c r="N266" s="491" t="n"/>
      <c r="O266" s="491" t="n"/>
      <c r="P266" s="491" t="n"/>
      <c r="Q266" s="491" t="n"/>
      <c r="R266" s="491" t="n"/>
      <c r="S266" s="491" t="n"/>
      <c r="T266" s="491" t="n"/>
      <c r="U266" s="491" t="n"/>
      <c r="V266" s="491" t="n"/>
      <c r="W266" s="491" t="n"/>
      <c r="X266" s="491" t="n"/>
      <c r="Y266" s="491" t="n"/>
    </row>
    <row r="267" ht="12.75" customHeight="1" s="398">
      <c r="A267" s="491" t="n"/>
      <c r="B267" s="491" t="n"/>
      <c r="C267" s="491" t="n"/>
      <c r="D267" s="491" t="n"/>
      <c r="E267" s="491" t="n"/>
      <c r="F267" s="491" t="n"/>
      <c r="G267" s="491" t="n"/>
      <c r="H267" s="491" t="n"/>
      <c r="I267" s="491" t="n"/>
      <c r="J267" s="491" t="n"/>
      <c r="K267" s="491" t="n"/>
      <c r="L267" s="491" t="n"/>
      <c r="M267" s="491" t="n"/>
      <c r="N267" s="491" t="n"/>
      <c r="O267" s="491" t="n"/>
      <c r="P267" s="491" t="n"/>
      <c r="Q267" s="491" t="n"/>
      <c r="R267" s="491" t="n"/>
      <c r="S267" s="491" t="n"/>
      <c r="T267" s="491" t="n"/>
      <c r="U267" s="491" t="n"/>
      <c r="V267" s="491" t="n"/>
      <c r="W267" s="491" t="n"/>
      <c r="X267" s="491" t="n"/>
      <c r="Y267" s="491" t="n"/>
    </row>
    <row r="268" ht="12.75" customHeight="1" s="398">
      <c r="A268" s="491" t="n"/>
      <c r="B268" s="491" t="n"/>
      <c r="C268" s="491" t="n"/>
      <c r="D268" s="491" t="n"/>
      <c r="E268" s="491" t="n"/>
      <c r="F268" s="491" t="n"/>
      <c r="G268" s="491" t="n"/>
      <c r="H268" s="491" t="n"/>
      <c r="I268" s="491" t="n"/>
      <c r="J268" s="491" t="n"/>
      <c r="K268" s="491" t="n"/>
      <c r="L268" s="491" t="n"/>
      <c r="M268" s="491" t="n"/>
      <c r="N268" s="491" t="n"/>
      <c r="O268" s="491" t="n"/>
      <c r="P268" s="491" t="n"/>
      <c r="Q268" s="491" t="n"/>
      <c r="R268" s="491" t="n"/>
      <c r="S268" s="491" t="n"/>
      <c r="T268" s="491" t="n"/>
      <c r="U268" s="491" t="n"/>
      <c r="V268" s="491" t="n"/>
      <c r="W268" s="491" t="n"/>
      <c r="X268" s="491" t="n"/>
      <c r="Y268" s="491" t="n"/>
    </row>
    <row r="269" ht="12.75" customHeight="1" s="398">
      <c r="A269" s="491" t="n"/>
      <c r="B269" s="491" t="n"/>
      <c r="C269" s="491" t="n"/>
      <c r="D269" s="491" t="n"/>
      <c r="E269" s="491" t="n"/>
      <c r="F269" s="491" t="n"/>
      <c r="G269" s="491" t="n"/>
      <c r="H269" s="491" t="n"/>
      <c r="I269" s="491" t="n"/>
      <c r="J269" s="491" t="n"/>
      <c r="K269" s="491" t="n"/>
      <c r="L269" s="491" t="n"/>
      <c r="M269" s="491" t="n"/>
      <c r="N269" s="491" t="n"/>
      <c r="O269" s="491" t="n"/>
      <c r="P269" s="491" t="n"/>
      <c r="Q269" s="491" t="n"/>
      <c r="R269" s="491" t="n"/>
      <c r="S269" s="491" t="n"/>
      <c r="T269" s="491" t="n"/>
      <c r="U269" s="491" t="n"/>
      <c r="V269" s="491" t="n"/>
      <c r="W269" s="491" t="n"/>
      <c r="X269" s="491" t="n"/>
      <c r="Y269" s="491" t="n"/>
    </row>
    <row r="270" ht="12.75" customHeight="1" s="398">
      <c r="A270" s="491" t="n"/>
      <c r="B270" s="491" t="n"/>
      <c r="C270" s="491" t="n"/>
      <c r="D270" s="491" t="n"/>
      <c r="E270" s="491" t="n"/>
      <c r="F270" s="491" t="n"/>
      <c r="G270" s="491" t="n"/>
      <c r="H270" s="491" t="n"/>
      <c r="I270" s="491" t="n"/>
      <c r="J270" s="491" t="n"/>
      <c r="K270" s="491" t="n"/>
      <c r="L270" s="491" t="n"/>
      <c r="M270" s="491" t="n"/>
      <c r="N270" s="491" t="n"/>
      <c r="O270" s="491" t="n"/>
      <c r="P270" s="491" t="n"/>
      <c r="Q270" s="491" t="n"/>
      <c r="R270" s="491" t="n"/>
      <c r="S270" s="491" t="n"/>
      <c r="T270" s="491" t="n"/>
      <c r="U270" s="491" t="n"/>
      <c r="V270" s="491" t="n"/>
      <c r="W270" s="491" t="n"/>
      <c r="X270" s="491" t="n"/>
      <c r="Y270" s="491" t="n"/>
    </row>
    <row r="271" ht="12.75" customHeight="1" s="398">
      <c r="A271" s="491" t="n"/>
      <c r="B271" s="491" t="n"/>
      <c r="C271" s="491" t="n"/>
      <c r="D271" s="491" t="n"/>
      <c r="E271" s="491" t="n"/>
      <c r="F271" s="491" t="n"/>
      <c r="G271" s="491" t="n"/>
      <c r="H271" s="491" t="n"/>
      <c r="I271" s="491" t="n"/>
      <c r="J271" s="491" t="n"/>
      <c r="K271" s="491" t="n"/>
      <c r="L271" s="491" t="n"/>
      <c r="M271" s="491" t="n"/>
      <c r="N271" s="491" t="n"/>
      <c r="O271" s="491" t="n"/>
      <c r="P271" s="491" t="n"/>
      <c r="Q271" s="491" t="n"/>
      <c r="R271" s="491" t="n"/>
      <c r="S271" s="491" t="n"/>
      <c r="T271" s="491" t="n"/>
      <c r="U271" s="491" t="n"/>
      <c r="V271" s="491" t="n"/>
      <c r="W271" s="491" t="n"/>
      <c r="X271" s="491" t="n"/>
      <c r="Y271" s="491" t="n"/>
    </row>
    <row r="272" ht="12.75" customHeight="1" s="398">
      <c r="A272" s="491" t="n"/>
      <c r="B272" s="491" t="n"/>
      <c r="C272" s="491" t="n"/>
      <c r="D272" s="491" t="n"/>
      <c r="E272" s="491" t="n"/>
      <c r="F272" s="491" t="n"/>
      <c r="G272" s="491" t="n"/>
      <c r="H272" s="491" t="n"/>
      <c r="I272" s="491" t="n"/>
      <c r="J272" s="491" t="n"/>
      <c r="K272" s="491" t="n"/>
      <c r="L272" s="491" t="n"/>
      <c r="M272" s="491" t="n"/>
      <c r="N272" s="491" t="n"/>
      <c r="O272" s="491" t="n"/>
      <c r="P272" s="491" t="n"/>
      <c r="Q272" s="491" t="n"/>
      <c r="R272" s="491" t="n"/>
      <c r="S272" s="491" t="n"/>
      <c r="T272" s="491" t="n"/>
      <c r="U272" s="491" t="n"/>
      <c r="V272" s="491" t="n"/>
      <c r="W272" s="491" t="n"/>
      <c r="X272" s="491" t="n"/>
      <c r="Y272" s="491" t="n"/>
    </row>
    <row r="273" ht="12.75" customHeight="1" s="398">
      <c r="A273" s="491" t="n"/>
      <c r="B273" s="491" t="n"/>
      <c r="C273" s="491" t="n"/>
      <c r="D273" s="491" t="n"/>
      <c r="E273" s="491" t="n"/>
      <c r="F273" s="491" t="n"/>
      <c r="G273" s="491" t="n"/>
      <c r="H273" s="491" t="n"/>
      <c r="I273" s="491" t="n"/>
      <c r="J273" s="491" t="n"/>
      <c r="K273" s="491" t="n"/>
      <c r="L273" s="491" t="n"/>
      <c r="M273" s="491" t="n"/>
      <c r="N273" s="491" t="n"/>
      <c r="O273" s="491" t="n"/>
      <c r="P273" s="491" t="n"/>
      <c r="Q273" s="491" t="n"/>
      <c r="R273" s="491" t="n"/>
      <c r="S273" s="491" t="n"/>
      <c r="T273" s="491" t="n"/>
      <c r="U273" s="491" t="n"/>
      <c r="V273" s="491" t="n"/>
      <c r="W273" s="491" t="n"/>
      <c r="X273" s="491" t="n"/>
      <c r="Y273" s="491" t="n"/>
    </row>
    <row r="274" ht="12.75" customHeight="1" s="398">
      <c r="A274" s="491" t="n"/>
      <c r="B274" s="491" t="n"/>
      <c r="C274" s="491" t="n"/>
      <c r="D274" s="491" t="n"/>
      <c r="E274" s="491" t="n"/>
      <c r="F274" s="491" t="n"/>
      <c r="G274" s="491" t="n"/>
      <c r="H274" s="491" t="n"/>
      <c r="I274" s="491" t="n"/>
      <c r="J274" s="491" t="n"/>
      <c r="K274" s="491" t="n"/>
      <c r="L274" s="491" t="n"/>
      <c r="M274" s="491" t="n"/>
      <c r="N274" s="491" t="n"/>
      <c r="O274" s="491" t="n"/>
      <c r="P274" s="491" t="n"/>
      <c r="Q274" s="491" t="n"/>
      <c r="R274" s="491" t="n"/>
      <c r="S274" s="491" t="n"/>
      <c r="T274" s="491" t="n"/>
      <c r="U274" s="491" t="n"/>
      <c r="V274" s="491" t="n"/>
      <c r="W274" s="491" t="n"/>
      <c r="X274" s="491" t="n"/>
      <c r="Y274" s="491" t="n"/>
    </row>
    <row r="275" ht="12.75" customHeight="1" s="398">
      <c r="A275" s="491" t="n"/>
      <c r="B275" s="491" t="n"/>
      <c r="C275" s="491" t="n"/>
      <c r="D275" s="491" t="n"/>
      <c r="E275" s="491" t="n"/>
      <c r="F275" s="491" t="n"/>
      <c r="G275" s="491" t="n"/>
      <c r="H275" s="491" t="n"/>
      <c r="I275" s="491" t="n"/>
      <c r="J275" s="491" t="n"/>
      <c r="K275" s="491" t="n"/>
      <c r="L275" s="491" t="n"/>
      <c r="M275" s="491" t="n"/>
      <c r="N275" s="491" t="n"/>
      <c r="O275" s="491" t="n"/>
      <c r="P275" s="491" t="n"/>
      <c r="Q275" s="491" t="n"/>
      <c r="R275" s="491" t="n"/>
      <c r="S275" s="491" t="n"/>
      <c r="T275" s="491" t="n"/>
      <c r="U275" s="491" t="n"/>
      <c r="V275" s="491" t="n"/>
      <c r="W275" s="491" t="n"/>
      <c r="X275" s="491" t="n"/>
      <c r="Y275" s="491" t="n"/>
    </row>
    <row r="276" ht="12.75" customHeight="1" s="398">
      <c r="A276" s="491" t="n"/>
      <c r="B276" s="491" t="n"/>
      <c r="C276" s="491" t="n"/>
      <c r="D276" s="491" t="n"/>
      <c r="E276" s="491" t="n"/>
      <c r="F276" s="491" t="n"/>
      <c r="G276" s="491" t="n"/>
      <c r="H276" s="491" t="n"/>
      <c r="I276" s="491" t="n"/>
      <c r="J276" s="491" t="n"/>
      <c r="K276" s="491" t="n"/>
      <c r="L276" s="491" t="n"/>
      <c r="M276" s="491" t="n"/>
      <c r="N276" s="491" t="n"/>
      <c r="O276" s="491" t="n"/>
      <c r="P276" s="491" t="n"/>
      <c r="Q276" s="491" t="n"/>
      <c r="R276" s="491" t="n"/>
      <c r="S276" s="491" t="n"/>
      <c r="T276" s="491" t="n"/>
      <c r="U276" s="491" t="n"/>
      <c r="V276" s="491" t="n"/>
      <c r="W276" s="491" t="n"/>
      <c r="X276" s="491" t="n"/>
      <c r="Y276" s="491" t="n"/>
    </row>
    <row r="277" ht="12.75" customHeight="1" s="398">
      <c r="A277" s="491" t="n"/>
      <c r="B277" s="491" t="n"/>
      <c r="C277" s="491" t="n"/>
      <c r="D277" s="491" t="n"/>
      <c r="E277" s="491" t="n"/>
      <c r="F277" s="491" t="n"/>
      <c r="G277" s="491" t="n"/>
      <c r="H277" s="491" t="n"/>
      <c r="I277" s="491" t="n"/>
      <c r="J277" s="491" t="n"/>
      <c r="K277" s="491" t="n"/>
      <c r="L277" s="491" t="n"/>
      <c r="M277" s="491" t="n"/>
      <c r="N277" s="491" t="n"/>
      <c r="O277" s="491" t="n"/>
      <c r="P277" s="491" t="n"/>
      <c r="Q277" s="491" t="n"/>
      <c r="R277" s="491" t="n"/>
      <c r="S277" s="491" t="n"/>
      <c r="T277" s="491" t="n"/>
      <c r="U277" s="491" t="n"/>
      <c r="V277" s="491" t="n"/>
      <c r="W277" s="491" t="n"/>
      <c r="X277" s="491" t="n"/>
      <c r="Y277" s="491" t="n"/>
    </row>
    <row r="278" ht="12.75" customHeight="1" s="398">
      <c r="A278" s="491" t="n"/>
      <c r="B278" s="491" t="n"/>
      <c r="C278" s="491" t="n"/>
      <c r="D278" s="491" t="n"/>
      <c r="E278" s="491" t="n"/>
      <c r="F278" s="491" t="n"/>
      <c r="G278" s="491" t="n"/>
      <c r="H278" s="491" t="n"/>
      <c r="I278" s="491" t="n"/>
      <c r="J278" s="491" t="n"/>
      <c r="K278" s="491" t="n"/>
      <c r="L278" s="491" t="n"/>
      <c r="M278" s="491" t="n"/>
      <c r="N278" s="491" t="n"/>
      <c r="O278" s="491" t="n"/>
      <c r="P278" s="491" t="n"/>
      <c r="Q278" s="491" t="n"/>
      <c r="R278" s="491" t="n"/>
      <c r="S278" s="491" t="n"/>
      <c r="T278" s="491" t="n"/>
      <c r="U278" s="491" t="n"/>
      <c r="V278" s="491" t="n"/>
      <c r="W278" s="491" t="n"/>
      <c r="X278" s="491" t="n"/>
      <c r="Y278" s="491" t="n"/>
    </row>
    <row r="279" ht="12.75" customHeight="1" s="398">
      <c r="A279" s="491" t="n"/>
      <c r="B279" s="491" t="n"/>
      <c r="C279" s="491" t="n"/>
      <c r="D279" s="491" t="n"/>
      <c r="E279" s="491" t="n"/>
      <c r="F279" s="491" t="n"/>
      <c r="G279" s="491" t="n"/>
      <c r="H279" s="491" t="n"/>
      <c r="I279" s="491" t="n"/>
      <c r="J279" s="491" t="n"/>
      <c r="K279" s="491" t="n"/>
      <c r="L279" s="491" t="n"/>
      <c r="M279" s="491" t="n"/>
      <c r="N279" s="491" t="n"/>
      <c r="O279" s="491" t="n"/>
      <c r="P279" s="491" t="n"/>
      <c r="Q279" s="491" t="n"/>
      <c r="R279" s="491" t="n"/>
      <c r="S279" s="491" t="n"/>
      <c r="T279" s="491" t="n"/>
      <c r="U279" s="491" t="n"/>
      <c r="V279" s="491" t="n"/>
      <c r="W279" s="491" t="n"/>
      <c r="X279" s="491" t="n"/>
      <c r="Y279" s="491" t="n"/>
    </row>
    <row r="280" ht="12.75" customHeight="1" s="398">
      <c r="A280" s="491" t="n"/>
      <c r="B280" s="491" t="n"/>
      <c r="C280" s="491" t="n"/>
      <c r="D280" s="491" t="n"/>
      <c r="E280" s="491" t="n"/>
      <c r="F280" s="491" t="n"/>
      <c r="G280" s="491" t="n"/>
      <c r="H280" s="491" t="n"/>
      <c r="I280" s="491" t="n"/>
      <c r="J280" s="491" t="n"/>
      <c r="K280" s="491" t="n"/>
      <c r="L280" s="491" t="n"/>
      <c r="M280" s="491" t="n"/>
      <c r="N280" s="491" t="n"/>
      <c r="O280" s="491" t="n"/>
      <c r="P280" s="491" t="n"/>
      <c r="Q280" s="491" t="n"/>
      <c r="R280" s="491" t="n"/>
      <c r="S280" s="491" t="n"/>
      <c r="T280" s="491" t="n"/>
      <c r="U280" s="491" t="n"/>
      <c r="V280" s="491" t="n"/>
      <c r="W280" s="491" t="n"/>
      <c r="X280" s="491" t="n"/>
      <c r="Y280" s="491" t="n"/>
    </row>
    <row r="281" ht="12.75" customHeight="1" s="398">
      <c r="A281" s="491" t="n"/>
      <c r="B281" s="491" t="n"/>
      <c r="C281" s="491" t="n"/>
      <c r="D281" s="491" t="n"/>
      <c r="E281" s="491" t="n"/>
      <c r="F281" s="491" t="n"/>
      <c r="G281" s="491" t="n"/>
      <c r="H281" s="491" t="n"/>
      <c r="I281" s="491" t="n"/>
      <c r="J281" s="491" t="n"/>
      <c r="K281" s="491" t="n"/>
      <c r="L281" s="491" t="n"/>
      <c r="M281" s="491" t="n"/>
      <c r="N281" s="491" t="n"/>
      <c r="O281" s="491" t="n"/>
      <c r="P281" s="491" t="n"/>
      <c r="Q281" s="491" t="n"/>
      <c r="R281" s="491" t="n"/>
      <c r="S281" s="491" t="n"/>
      <c r="T281" s="491" t="n"/>
      <c r="U281" s="491" t="n"/>
      <c r="V281" s="491" t="n"/>
      <c r="W281" s="491" t="n"/>
      <c r="X281" s="491" t="n"/>
      <c r="Y281" s="491" t="n"/>
    </row>
    <row r="282" ht="12.75" customHeight="1" s="398">
      <c r="A282" s="491" t="n"/>
      <c r="B282" s="491" t="n"/>
      <c r="C282" s="491" t="n"/>
      <c r="D282" s="491" t="n"/>
      <c r="E282" s="491" t="n"/>
      <c r="F282" s="491" t="n"/>
      <c r="G282" s="491" t="n"/>
      <c r="H282" s="491" t="n"/>
      <c r="I282" s="491" t="n"/>
      <c r="J282" s="491" t="n"/>
      <c r="K282" s="491" t="n"/>
      <c r="L282" s="491" t="n"/>
      <c r="M282" s="491" t="n"/>
      <c r="N282" s="491" t="n"/>
      <c r="O282" s="491" t="n"/>
      <c r="P282" s="491" t="n"/>
      <c r="Q282" s="491" t="n"/>
      <c r="R282" s="491" t="n"/>
      <c r="S282" s="491" t="n"/>
      <c r="T282" s="491" t="n"/>
      <c r="U282" s="491" t="n"/>
      <c r="V282" s="491" t="n"/>
      <c r="W282" s="491" t="n"/>
      <c r="X282" s="491" t="n"/>
      <c r="Y282" s="491" t="n"/>
    </row>
    <row r="283" ht="12.75" customHeight="1" s="398">
      <c r="A283" s="491" t="n"/>
      <c r="B283" s="491" t="n"/>
      <c r="C283" s="491" t="n"/>
      <c r="D283" s="491" t="n"/>
      <c r="E283" s="491" t="n"/>
      <c r="F283" s="491" t="n"/>
      <c r="G283" s="491" t="n"/>
      <c r="H283" s="491" t="n"/>
      <c r="I283" s="491" t="n"/>
      <c r="J283" s="491" t="n"/>
      <c r="K283" s="491" t="n"/>
      <c r="L283" s="491" t="n"/>
      <c r="M283" s="491" t="n"/>
      <c r="N283" s="491" t="n"/>
      <c r="O283" s="491" t="n"/>
      <c r="P283" s="491" t="n"/>
      <c r="Q283" s="491" t="n"/>
      <c r="R283" s="491" t="n"/>
      <c r="S283" s="491" t="n"/>
      <c r="T283" s="491" t="n"/>
      <c r="U283" s="491" t="n"/>
      <c r="V283" s="491" t="n"/>
      <c r="W283" s="491" t="n"/>
      <c r="X283" s="491" t="n"/>
      <c r="Y283" s="491" t="n"/>
    </row>
    <row r="284" ht="12.75" customHeight="1" s="398">
      <c r="A284" s="491" t="n"/>
      <c r="B284" s="491" t="n"/>
      <c r="C284" s="491" t="n"/>
      <c r="D284" s="491" t="n"/>
      <c r="E284" s="491" t="n"/>
      <c r="F284" s="491" t="n"/>
      <c r="G284" s="491" t="n"/>
      <c r="H284" s="491" t="n"/>
      <c r="I284" s="491" t="n"/>
      <c r="J284" s="491" t="n"/>
      <c r="K284" s="491" t="n"/>
      <c r="L284" s="491" t="n"/>
      <c r="M284" s="491" t="n"/>
      <c r="N284" s="491" t="n"/>
      <c r="O284" s="491" t="n"/>
      <c r="P284" s="491" t="n"/>
      <c r="Q284" s="491" t="n"/>
      <c r="R284" s="491" t="n"/>
      <c r="S284" s="491" t="n"/>
      <c r="T284" s="491" t="n"/>
      <c r="U284" s="491" t="n"/>
      <c r="V284" s="491" t="n"/>
      <c r="W284" s="491" t="n"/>
      <c r="X284" s="491" t="n"/>
      <c r="Y284" s="491" t="n"/>
    </row>
    <row r="285" ht="12.75" customHeight="1" s="398">
      <c r="A285" s="491" t="n"/>
      <c r="B285" s="491" t="n"/>
      <c r="C285" s="491" t="n"/>
      <c r="D285" s="491" t="n"/>
      <c r="E285" s="491" t="n"/>
      <c r="F285" s="491" t="n"/>
      <c r="G285" s="491" t="n"/>
      <c r="H285" s="491" t="n"/>
      <c r="I285" s="491" t="n"/>
      <c r="J285" s="491" t="n"/>
      <c r="K285" s="491" t="n"/>
      <c r="L285" s="491" t="n"/>
      <c r="M285" s="491" t="n"/>
      <c r="N285" s="491" t="n"/>
      <c r="O285" s="491" t="n"/>
      <c r="P285" s="491" t="n"/>
      <c r="Q285" s="491" t="n"/>
      <c r="R285" s="491" t="n"/>
      <c r="S285" s="491" t="n"/>
      <c r="T285" s="491" t="n"/>
      <c r="U285" s="491" t="n"/>
      <c r="V285" s="491" t="n"/>
      <c r="W285" s="491" t="n"/>
      <c r="X285" s="491" t="n"/>
      <c r="Y285" s="491" t="n"/>
    </row>
    <row r="286" ht="12.75" customHeight="1" s="398">
      <c r="A286" s="491" t="n"/>
      <c r="B286" s="491" t="n"/>
      <c r="C286" s="491" t="n"/>
      <c r="D286" s="491" t="n"/>
      <c r="E286" s="491" t="n"/>
      <c r="F286" s="491" t="n"/>
      <c r="G286" s="491" t="n"/>
      <c r="H286" s="491" t="n"/>
      <c r="I286" s="491" t="n"/>
      <c r="J286" s="491" t="n"/>
      <c r="K286" s="491" t="n"/>
      <c r="L286" s="491" t="n"/>
      <c r="M286" s="491" t="n"/>
      <c r="N286" s="491" t="n"/>
      <c r="O286" s="491" t="n"/>
      <c r="P286" s="491" t="n"/>
      <c r="Q286" s="491" t="n"/>
      <c r="R286" s="491" t="n"/>
      <c r="S286" s="491" t="n"/>
      <c r="T286" s="491" t="n"/>
      <c r="U286" s="491" t="n"/>
      <c r="V286" s="491" t="n"/>
      <c r="W286" s="491" t="n"/>
      <c r="X286" s="491" t="n"/>
      <c r="Y286" s="491" t="n"/>
    </row>
    <row r="287" ht="12.75" customHeight="1" s="398">
      <c r="A287" s="491" t="n"/>
      <c r="B287" s="491" t="n"/>
      <c r="C287" s="491" t="n"/>
      <c r="D287" s="491" t="n"/>
      <c r="E287" s="491" t="n"/>
      <c r="F287" s="491" t="n"/>
      <c r="G287" s="491" t="n"/>
      <c r="H287" s="491" t="n"/>
      <c r="I287" s="491" t="n"/>
      <c r="J287" s="491" t="n"/>
      <c r="K287" s="491" t="n"/>
      <c r="L287" s="491" t="n"/>
      <c r="M287" s="491" t="n"/>
      <c r="N287" s="491" t="n"/>
      <c r="O287" s="491" t="n"/>
      <c r="P287" s="491" t="n"/>
      <c r="Q287" s="491" t="n"/>
      <c r="R287" s="491" t="n"/>
      <c r="S287" s="491" t="n"/>
      <c r="T287" s="491" t="n"/>
      <c r="U287" s="491" t="n"/>
      <c r="V287" s="491" t="n"/>
      <c r="W287" s="491" t="n"/>
      <c r="X287" s="491" t="n"/>
      <c r="Y287" s="491" t="n"/>
    </row>
    <row r="288" ht="12.75" customHeight="1" s="398">
      <c r="A288" s="491" t="n"/>
      <c r="B288" s="491" t="n"/>
      <c r="C288" s="491" t="n"/>
      <c r="D288" s="491" t="n"/>
      <c r="E288" s="491" t="n"/>
      <c r="F288" s="491" t="n"/>
      <c r="G288" s="491" t="n"/>
      <c r="H288" s="491" t="n"/>
      <c r="I288" s="491" t="n"/>
      <c r="J288" s="491" t="n"/>
      <c r="K288" s="491" t="n"/>
      <c r="L288" s="491" t="n"/>
      <c r="M288" s="491" t="n"/>
      <c r="N288" s="491" t="n"/>
      <c r="O288" s="491" t="n"/>
      <c r="P288" s="491" t="n"/>
      <c r="Q288" s="491" t="n"/>
      <c r="R288" s="491" t="n"/>
      <c r="S288" s="491" t="n"/>
      <c r="T288" s="491" t="n"/>
      <c r="U288" s="491" t="n"/>
      <c r="V288" s="491" t="n"/>
      <c r="W288" s="491" t="n"/>
      <c r="X288" s="491" t="n"/>
      <c r="Y288" s="491" t="n"/>
    </row>
    <row r="289" ht="12.75" customHeight="1" s="398">
      <c r="A289" s="491" t="n"/>
      <c r="B289" s="491" t="n"/>
      <c r="C289" s="491" t="n"/>
      <c r="D289" s="491" t="n"/>
      <c r="E289" s="491" t="n"/>
      <c r="F289" s="491" t="n"/>
      <c r="G289" s="491" t="n"/>
      <c r="H289" s="491" t="n"/>
      <c r="I289" s="491" t="n"/>
      <c r="J289" s="491" t="n"/>
      <c r="K289" s="491" t="n"/>
      <c r="L289" s="491" t="n"/>
      <c r="M289" s="491" t="n"/>
      <c r="N289" s="491" t="n"/>
      <c r="O289" s="491" t="n"/>
      <c r="P289" s="491" t="n"/>
      <c r="Q289" s="491" t="n"/>
      <c r="R289" s="491" t="n"/>
      <c r="S289" s="491" t="n"/>
      <c r="T289" s="491" t="n"/>
      <c r="U289" s="491" t="n"/>
      <c r="V289" s="491" t="n"/>
      <c r="W289" s="491" t="n"/>
      <c r="X289" s="491" t="n"/>
      <c r="Y289" s="491" t="n"/>
    </row>
    <row r="290" ht="12.75" customHeight="1" s="398">
      <c r="A290" s="491" t="n"/>
      <c r="B290" s="491" t="n"/>
      <c r="C290" s="491" t="n"/>
      <c r="D290" s="491" t="n"/>
      <c r="E290" s="491" t="n"/>
      <c r="F290" s="491" t="n"/>
      <c r="G290" s="491" t="n"/>
      <c r="H290" s="491" t="n"/>
      <c r="I290" s="491" t="n"/>
      <c r="J290" s="491" t="n"/>
      <c r="K290" s="491" t="n"/>
      <c r="L290" s="491" t="n"/>
      <c r="M290" s="491" t="n"/>
      <c r="N290" s="491" t="n"/>
      <c r="O290" s="491" t="n"/>
      <c r="P290" s="491" t="n"/>
      <c r="Q290" s="491" t="n"/>
      <c r="R290" s="491" t="n"/>
      <c r="S290" s="491" t="n"/>
      <c r="T290" s="491" t="n"/>
      <c r="U290" s="491" t="n"/>
      <c r="V290" s="491" t="n"/>
      <c r="W290" s="491" t="n"/>
      <c r="X290" s="491" t="n"/>
      <c r="Y290" s="491" t="n"/>
    </row>
    <row r="291" ht="12.75" customHeight="1" s="398">
      <c r="A291" s="491" t="n"/>
      <c r="B291" s="491" t="n"/>
      <c r="C291" s="491" t="n"/>
      <c r="D291" s="491" t="n"/>
      <c r="E291" s="491" t="n"/>
      <c r="F291" s="491" t="n"/>
      <c r="G291" s="491" t="n"/>
      <c r="H291" s="491" t="n"/>
      <c r="I291" s="491" t="n"/>
      <c r="J291" s="491" t="n"/>
      <c r="K291" s="491" t="n"/>
      <c r="L291" s="491" t="n"/>
      <c r="M291" s="491" t="n"/>
      <c r="N291" s="491" t="n"/>
      <c r="O291" s="491" t="n"/>
      <c r="P291" s="491" t="n"/>
      <c r="Q291" s="491" t="n"/>
      <c r="R291" s="491" t="n"/>
      <c r="S291" s="491" t="n"/>
      <c r="T291" s="491" t="n"/>
      <c r="U291" s="491" t="n"/>
      <c r="V291" s="491" t="n"/>
      <c r="W291" s="491" t="n"/>
      <c r="X291" s="491" t="n"/>
      <c r="Y291" s="491" t="n"/>
    </row>
    <row r="292" ht="12.75" customHeight="1" s="398">
      <c r="A292" s="491" t="n"/>
      <c r="B292" s="491" t="n"/>
      <c r="C292" s="491" t="n"/>
      <c r="D292" s="491" t="n"/>
      <c r="E292" s="491" t="n"/>
      <c r="F292" s="491" t="n"/>
      <c r="G292" s="491" t="n"/>
      <c r="H292" s="491" t="n"/>
      <c r="I292" s="491" t="n"/>
      <c r="J292" s="491" t="n"/>
      <c r="K292" s="491" t="n"/>
      <c r="L292" s="491" t="n"/>
      <c r="M292" s="491" t="n"/>
      <c r="N292" s="491" t="n"/>
      <c r="O292" s="491" t="n"/>
      <c r="P292" s="491" t="n"/>
      <c r="Q292" s="491" t="n"/>
      <c r="R292" s="491" t="n"/>
      <c r="S292" s="491" t="n"/>
      <c r="T292" s="491" t="n"/>
      <c r="U292" s="491" t="n"/>
      <c r="V292" s="491" t="n"/>
      <c r="W292" s="491" t="n"/>
      <c r="X292" s="491" t="n"/>
      <c r="Y292" s="491" t="n"/>
    </row>
    <row r="293" ht="12.75" customHeight="1" s="398">
      <c r="A293" s="491" t="n"/>
      <c r="B293" s="491" t="n"/>
      <c r="C293" s="491" t="n"/>
      <c r="D293" s="491" t="n"/>
      <c r="E293" s="491" t="n"/>
      <c r="F293" s="491" t="n"/>
      <c r="G293" s="491" t="n"/>
      <c r="H293" s="491" t="n"/>
      <c r="I293" s="491" t="n"/>
      <c r="J293" s="491" t="n"/>
      <c r="K293" s="491" t="n"/>
      <c r="L293" s="491" t="n"/>
      <c r="M293" s="491" t="n"/>
      <c r="N293" s="491" t="n"/>
      <c r="O293" s="491" t="n"/>
      <c r="P293" s="491" t="n"/>
      <c r="Q293" s="491" t="n"/>
      <c r="R293" s="491" t="n"/>
      <c r="S293" s="491" t="n"/>
      <c r="T293" s="491" t="n"/>
      <c r="U293" s="491" t="n"/>
      <c r="V293" s="491" t="n"/>
      <c r="W293" s="491" t="n"/>
      <c r="X293" s="491" t="n"/>
      <c r="Y293" s="491" t="n"/>
    </row>
    <row r="294" ht="12.75" customHeight="1" s="398">
      <c r="A294" s="491" t="n"/>
      <c r="B294" s="491" t="n"/>
      <c r="C294" s="491" t="n"/>
      <c r="D294" s="491" t="n"/>
      <c r="E294" s="491" t="n"/>
      <c r="F294" s="491" t="n"/>
      <c r="G294" s="491" t="n"/>
      <c r="H294" s="491" t="n"/>
      <c r="I294" s="491" t="n"/>
      <c r="J294" s="491" t="n"/>
      <c r="K294" s="491" t="n"/>
      <c r="L294" s="491" t="n"/>
      <c r="M294" s="491" t="n"/>
      <c r="N294" s="491" t="n"/>
      <c r="O294" s="491" t="n"/>
      <c r="P294" s="491" t="n"/>
      <c r="Q294" s="491" t="n"/>
      <c r="R294" s="491" t="n"/>
      <c r="S294" s="491" t="n"/>
      <c r="T294" s="491" t="n"/>
      <c r="U294" s="491" t="n"/>
      <c r="V294" s="491" t="n"/>
      <c r="W294" s="491" t="n"/>
      <c r="X294" s="491" t="n"/>
      <c r="Y294" s="491" t="n"/>
    </row>
    <row r="295" ht="12.75" customHeight="1" s="398">
      <c r="A295" s="491" t="n"/>
      <c r="B295" s="491" t="n"/>
      <c r="C295" s="491" t="n"/>
      <c r="D295" s="491" t="n"/>
      <c r="E295" s="491" t="n"/>
      <c r="F295" s="491" t="n"/>
      <c r="G295" s="491" t="n"/>
      <c r="H295" s="491" t="n"/>
      <c r="I295" s="491" t="n"/>
      <c r="J295" s="491" t="n"/>
      <c r="K295" s="491" t="n"/>
      <c r="L295" s="491" t="n"/>
      <c r="M295" s="491" t="n"/>
      <c r="N295" s="491" t="n"/>
      <c r="O295" s="491" t="n"/>
      <c r="P295" s="491" t="n"/>
      <c r="Q295" s="491" t="n"/>
      <c r="R295" s="491" t="n"/>
      <c r="S295" s="491" t="n"/>
      <c r="T295" s="491" t="n"/>
      <c r="U295" s="491" t="n"/>
      <c r="V295" s="491" t="n"/>
      <c r="W295" s="491" t="n"/>
      <c r="X295" s="491" t="n"/>
      <c r="Y295" s="491" t="n"/>
    </row>
    <row r="296" ht="12.75" customHeight="1" s="398">
      <c r="A296" s="491" t="n"/>
      <c r="B296" s="491" t="n"/>
      <c r="C296" s="491" t="n"/>
      <c r="D296" s="491" t="n"/>
      <c r="E296" s="491" t="n"/>
      <c r="F296" s="491" t="n"/>
      <c r="G296" s="491" t="n"/>
      <c r="H296" s="491" t="n"/>
      <c r="I296" s="491" t="n"/>
      <c r="J296" s="491" t="n"/>
      <c r="K296" s="491" t="n"/>
      <c r="L296" s="491" t="n"/>
      <c r="M296" s="491" t="n"/>
      <c r="N296" s="491" t="n"/>
      <c r="O296" s="491" t="n"/>
      <c r="P296" s="491" t="n"/>
      <c r="Q296" s="491" t="n"/>
      <c r="R296" s="491" t="n"/>
      <c r="S296" s="491" t="n"/>
      <c r="T296" s="491" t="n"/>
      <c r="U296" s="491" t="n"/>
      <c r="V296" s="491" t="n"/>
      <c r="W296" s="491" t="n"/>
      <c r="X296" s="491" t="n"/>
      <c r="Y296" s="491" t="n"/>
    </row>
    <row r="297" ht="12.75" customHeight="1" s="398">
      <c r="A297" s="491" t="n"/>
      <c r="B297" s="491" t="n"/>
      <c r="C297" s="491" t="n"/>
      <c r="D297" s="491" t="n"/>
      <c r="E297" s="491" t="n"/>
      <c r="F297" s="491" t="n"/>
      <c r="G297" s="491" t="n"/>
      <c r="H297" s="491" t="n"/>
      <c r="I297" s="491" t="n"/>
      <c r="J297" s="491" t="n"/>
      <c r="K297" s="491" t="n"/>
      <c r="L297" s="491" t="n"/>
      <c r="M297" s="491" t="n"/>
      <c r="N297" s="491" t="n"/>
      <c r="O297" s="491" t="n"/>
      <c r="P297" s="491" t="n"/>
      <c r="Q297" s="491" t="n"/>
      <c r="R297" s="491" t="n"/>
      <c r="S297" s="491" t="n"/>
      <c r="T297" s="491" t="n"/>
      <c r="U297" s="491" t="n"/>
      <c r="V297" s="491" t="n"/>
      <c r="W297" s="491" t="n"/>
      <c r="X297" s="491" t="n"/>
      <c r="Y297" s="491" t="n"/>
    </row>
    <row r="298" ht="12.75" customHeight="1" s="398">
      <c r="A298" s="491" t="n"/>
      <c r="B298" s="491" t="n"/>
      <c r="C298" s="491" t="n"/>
      <c r="D298" s="491" t="n"/>
      <c r="E298" s="491" t="n"/>
      <c r="F298" s="491" t="n"/>
      <c r="G298" s="491" t="n"/>
      <c r="H298" s="491" t="n"/>
      <c r="I298" s="491" t="n"/>
      <c r="J298" s="491" t="n"/>
      <c r="K298" s="491" t="n"/>
      <c r="L298" s="491" t="n"/>
      <c r="M298" s="491" t="n"/>
      <c r="N298" s="491" t="n"/>
      <c r="O298" s="491" t="n"/>
      <c r="P298" s="491" t="n"/>
      <c r="Q298" s="491" t="n"/>
      <c r="R298" s="491" t="n"/>
      <c r="S298" s="491" t="n"/>
      <c r="T298" s="491" t="n"/>
      <c r="U298" s="491" t="n"/>
      <c r="V298" s="491" t="n"/>
      <c r="W298" s="491" t="n"/>
      <c r="X298" s="491" t="n"/>
      <c r="Y298" s="491" t="n"/>
    </row>
    <row r="299" ht="12.75" customHeight="1" s="398">
      <c r="A299" s="491" t="n"/>
      <c r="B299" s="491" t="n"/>
      <c r="C299" s="491" t="n"/>
      <c r="D299" s="491" t="n"/>
      <c r="E299" s="491" t="n"/>
      <c r="F299" s="491" t="n"/>
      <c r="G299" s="491" t="n"/>
      <c r="H299" s="491" t="n"/>
      <c r="I299" s="491" t="n"/>
      <c r="J299" s="491" t="n"/>
      <c r="K299" s="491" t="n"/>
      <c r="L299" s="491" t="n"/>
      <c r="M299" s="491" t="n"/>
      <c r="N299" s="491" t="n"/>
      <c r="O299" s="491" t="n"/>
      <c r="P299" s="491" t="n"/>
      <c r="Q299" s="491" t="n"/>
      <c r="R299" s="491" t="n"/>
      <c r="S299" s="491" t="n"/>
      <c r="T299" s="491" t="n"/>
      <c r="U299" s="491" t="n"/>
      <c r="V299" s="491" t="n"/>
      <c r="W299" s="491" t="n"/>
      <c r="X299" s="491" t="n"/>
      <c r="Y299" s="491" t="n"/>
    </row>
    <row r="300" ht="12.75" customHeight="1" s="398">
      <c r="A300" s="491" t="n"/>
      <c r="B300" s="491" t="n"/>
      <c r="C300" s="491" t="n"/>
      <c r="D300" s="491" t="n"/>
      <c r="E300" s="491" t="n"/>
      <c r="F300" s="491" t="n"/>
      <c r="G300" s="491" t="n"/>
      <c r="H300" s="491" t="n"/>
      <c r="I300" s="491" t="n"/>
      <c r="J300" s="491" t="n"/>
      <c r="K300" s="491" t="n"/>
      <c r="L300" s="491" t="n"/>
      <c r="M300" s="491" t="n"/>
      <c r="N300" s="491" t="n"/>
      <c r="O300" s="491" t="n"/>
      <c r="P300" s="491" t="n"/>
      <c r="Q300" s="491" t="n"/>
      <c r="R300" s="491" t="n"/>
      <c r="S300" s="491" t="n"/>
      <c r="T300" s="491" t="n"/>
      <c r="U300" s="491" t="n"/>
      <c r="V300" s="491" t="n"/>
      <c r="W300" s="491" t="n"/>
      <c r="X300" s="491" t="n"/>
      <c r="Y300" s="491" t="n"/>
    </row>
    <row r="301" ht="12.75" customHeight="1" s="398">
      <c r="A301" s="491" t="n"/>
      <c r="B301" s="491" t="n"/>
      <c r="C301" s="491" t="n"/>
      <c r="D301" s="491" t="n"/>
      <c r="E301" s="491" t="n"/>
      <c r="F301" s="491" t="n"/>
      <c r="G301" s="491" t="n"/>
      <c r="H301" s="491" t="n"/>
      <c r="I301" s="491" t="n"/>
      <c r="J301" s="491" t="n"/>
      <c r="K301" s="491" t="n"/>
      <c r="L301" s="491" t="n"/>
      <c r="M301" s="491" t="n"/>
      <c r="N301" s="491" t="n"/>
      <c r="O301" s="491" t="n"/>
      <c r="P301" s="491" t="n"/>
      <c r="Q301" s="491" t="n"/>
      <c r="R301" s="491" t="n"/>
      <c r="S301" s="491" t="n"/>
      <c r="T301" s="491" t="n"/>
      <c r="U301" s="491" t="n"/>
      <c r="V301" s="491" t="n"/>
      <c r="W301" s="491" t="n"/>
      <c r="X301" s="491" t="n"/>
      <c r="Y301" s="491" t="n"/>
    </row>
    <row r="302" ht="12.75" customHeight="1" s="398">
      <c r="A302" s="491" t="n"/>
      <c r="B302" s="491" t="n"/>
      <c r="C302" s="491" t="n"/>
      <c r="D302" s="491" t="n"/>
      <c r="E302" s="491" t="n"/>
      <c r="F302" s="491" t="n"/>
      <c r="G302" s="491" t="n"/>
      <c r="H302" s="491" t="n"/>
      <c r="I302" s="491" t="n"/>
      <c r="J302" s="491" t="n"/>
      <c r="K302" s="491" t="n"/>
      <c r="L302" s="491" t="n"/>
      <c r="M302" s="491" t="n"/>
      <c r="N302" s="491" t="n"/>
      <c r="O302" s="491" t="n"/>
      <c r="P302" s="491" t="n"/>
      <c r="Q302" s="491" t="n"/>
      <c r="R302" s="491" t="n"/>
      <c r="S302" s="491" t="n"/>
      <c r="T302" s="491" t="n"/>
      <c r="U302" s="491" t="n"/>
      <c r="V302" s="491" t="n"/>
      <c r="W302" s="491" t="n"/>
      <c r="X302" s="491" t="n"/>
      <c r="Y302" s="491" t="n"/>
    </row>
    <row r="303" ht="12.75" customHeight="1" s="398">
      <c r="A303" s="491" t="n"/>
      <c r="B303" s="491" t="n"/>
      <c r="C303" s="491" t="n"/>
      <c r="D303" s="491" t="n"/>
      <c r="E303" s="491" t="n"/>
      <c r="F303" s="491" t="n"/>
      <c r="G303" s="491" t="n"/>
      <c r="H303" s="491" t="n"/>
      <c r="I303" s="491" t="n"/>
      <c r="J303" s="491" t="n"/>
      <c r="K303" s="491" t="n"/>
      <c r="L303" s="491" t="n"/>
      <c r="M303" s="491" t="n"/>
      <c r="N303" s="491" t="n"/>
      <c r="O303" s="491" t="n"/>
      <c r="P303" s="491" t="n"/>
      <c r="Q303" s="491" t="n"/>
      <c r="R303" s="491" t="n"/>
      <c r="S303" s="491" t="n"/>
      <c r="T303" s="491" t="n"/>
      <c r="U303" s="491" t="n"/>
      <c r="V303" s="491" t="n"/>
      <c r="W303" s="491" t="n"/>
      <c r="X303" s="491" t="n"/>
      <c r="Y303" s="491" t="n"/>
    </row>
    <row r="304" ht="12.75" customHeight="1" s="398">
      <c r="A304" s="491" t="n"/>
      <c r="B304" s="491" t="n"/>
      <c r="C304" s="491" t="n"/>
      <c r="D304" s="491" t="n"/>
      <c r="E304" s="491" t="n"/>
      <c r="F304" s="491" t="n"/>
      <c r="G304" s="491" t="n"/>
      <c r="H304" s="491" t="n"/>
      <c r="I304" s="491" t="n"/>
      <c r="J304" s="491" t="n"/>
      <c r="K304" s="491" t="n"/>
      <c r="L304" s="491" t="n"/>
      <c r="M304" s="491" t="n"/>
      <c r="N304" s="491" t="n"/>
      <c r="O304" s="491" t="n"/>
      <c r="P304" s="491" t="n"/>
      <c r="Q304" s="491" t="n"/>
      <c r="R304" s="491" t="n"/>
      <c r="S304" s="491" t="n"/>
      <c r="T304" s="491" t="n"/>
      <c r="U304" s="491" t="n"/>
      <c r="V304" s="491" t="n"/>
      <c r="W304" s="491" t="n"/>
      <c r="X304" s="491" t="n"/>
      <c r="Y304" s="491" t="n"/>
    </row>
    <row r="305" ht="12.75" customHeight="1" s="398">
      <c r="A305" s="491" t="n"/>
      <c r="B305" s="491" t="n"/>
      <c r="C305" s="491" t="n"/>
      <c r="D305" s="491" t="n"/>
      <c r="E305" s="491" t="n"/>
      <c r="F305" s="491" t="n"/>
      <c r="G305" s="491" t="n"/>
      <c r="H305" s="491" t="n"/>
      <c r="I305" s="491" t="n"/>
      <c r="J305" s="491" t="n"/>
      <c r="K305" s="491" t="n"/>
      <c r="L305" s="491" t="n"/>
      <c r="M305" s="491" t="n"/>
      <c r="N305" s="491" t="n"/>
      <c r="O305" s="491" t="n"/>
      <c r="P305" s="491" t="n"/>
      <c r="Q305" s="491" t="n"/>
      <c r="R305" s="491" t="n"/>
      <c r="S305" s="491" t="n"/>
      <c r="T305" s="491" t="n"/>
      <c r="U305" s="491" t="n"/>
      <c r="V305" s="491" t="n"/>
      <c r="W305" s="491" t="n"/>
      <c r="X305" s="491" t="n"/>
      <c r="Y305" s="491" t="n"/>
    </row>
    <row r="306" ht="12.75" customHeight="1" s="398">
      <c r="A306" s="491" t="n"/>
      <c r="B306" s="491" t="n"/>
      <c r="C306" s="491" t="n"/>
      <c r="D306" s="491" t="n"/>
      <c r="E306" s="491" t="n"/>
      <c r="F306" s="491" t="n"/>
      <c r="G306" s="491" t="n"/>
      <c r="H306" s="491" t="n"/>
      <c r="I306" s="491" t="n"/>
      <c r="J306" s="491" t="n"/>
      <c r="K306" s="491" t="n"/>
      <c r="L306" s="491" t="n"/>
      <c r="M306" s="491" t="n"/>
      <c r="N306" s="491" t="n"/>
      <c r="O306" s="491" t="n"/>
      <c r="P306" s="491" t="n"/>
      <c r="Q306" s="491" t="n"/>
      <c r="R306" s="491" t="n"/>
      <c r="S306" s="491" t="n"/>
      <c r="T306" s="491" t="n"/>
      <c r="U306" s="491" t="n"/>
      <c r="V306" s="491" t="n"/>
      <c r="W306" s="491" t="n"/>
      <c r="X306" s="491" t="n"/>
      <c r="Y306" s="491" t="n"/>
    </row>
    <row r="307" ht="12.75" customHeight="1" s="398">
      <c r="A307" s="491" t="n"/>
      <c r="B307" s="491" t="n"/>
      <c r="C307" s="491" t="n"/>
      <c r="D307" s="491" t="n"/>
      <c r="E307" s="491" t="n"/>
      <c r="F307" s="491" t="n"/>
      <c r="G307" s="491" t="n"/>
      <c r="H307" s="491" t="n"/>
      <c r="I307" s="491" t="n"/>
      <c r="J307" s="491" t="n"/>
      <c r="K307" s="491" t="n"/>
      <c r="L307" s="491" t="n"/>
      <c r="M307" s="491" t="n"/>
      <c r="N307" s="491" t="n"/>
      <c r="O307" s="491" t="n"/>
      <c r="P307" s="491" t="n"/>
      <c r="Q307" s="491" t="n"/>
      <c r="R307" s="491" t="n"/>
      <c r="S307" s="491" t="n"/>
      <c r="T307" s="491" t="n"/>
      <c r="U307" s="491" t="n"/>
      <c r="V307" s="491" t="n"/>
      <c r="W307" s="491" t="n"/>
      <c r="X307" s="491" t="n"/>
      <c r="Y307" s="491" t="n"/>
    </row>
    <row r="308" ht="12.75" customHeight="1" s="398">
      <c r="A308" s="491" t="n"/>
      <c r="B308" s="491" t="n"/>
      <c r="C308" s="491" t="n"/>
      <c r="D308" s="491" t="n"/>
      <c r="E308" s="491" t="n"/>
      <c r="F308" s="491" t="n"/>
      <c r="G308" s="491" t="n"/>
      <c r="H308" s="491" t="n"/>
      <c r="I308" s="491" t="n"/>
      <c r="J308" s="491" t="n"/>
      <c r="K308" s="491" t="n"/>
      <c r="L308" s="491" t="n"/>
      <c r="M308" s="491" t="n"/>
      <c r="N308" s="491" t="n"/>
      <c r="O308" s="491" t="n"/>
      <c r="P308" s="491" t="n"/>
      <c r="Q308" s="491" t="n"/>
      <c r="R308" s="491" t="n"/>
      <c r="S308" s="491" t="n"/>
      <c r="T308" s="491" t="n"/>
      <c r="U308" s="491" t="n"/>
      <c r="V308" s="491" t="n"/>
      <c r="W308" s="491" t="n"/>
      <c r="X308" s="491" t="n"/>
      <c r="Y308" s="491" t="n"/>
    </row>
    <row r="309" ht="12.75" customHeight="1" s="398">
      <c r="A309" s="491" t="n"/>
      <c r="B309" s="491" t="n"/>
      <c r="C309" s="491" t="n"/>
      <c r="D309" s="491" t="n"/>
      <c r="E309" s="491" t="n"/>
      <c r="F309" s="491" t="n"/>
      <c r="G309" s="491" t="n"/>
      <c r="H309" s="491" t="n"/>
      <c r="I309" s="491" t="n"/>
      <c r="J309" s="491" t="n"/>
      <c r="K309" s="491" t="n"/>
      <c r="L309" s="491" t="n"/>
      <c r="M309" s="491" t="n"/>
      <c r="N309" s="491" t="n"/>
      <c r="O309" s="491" t="n"/>
      <c r="P309" s="491" t="n"/>
      <c r="Q309" s="491" t="n"/>
      <c r="R309" s="491" t="n"/>
      <c r="S309" s="491" t="n"/>
      <c r="T309" s="491" t="n"/>
      <c r="U309" s="491" t="n"/>
      <c r="V309" s="491" t="n"/>
      <c r="W309" s="491" t="n"/>
      <c r="X309" s="491" t="n"/>
      <c r="Y309" s="491" t="n"/>
    </row>
    <row r="310" ht="12.75" customHeight="1" s="398">
      <c r="A310" s="491" t="n"/>
      <c r="B310" s="491" t="n"/>
      <c r="C310" s="491" t="n"/>
      <c r="D310" s="491" t="n"/>
      <c r="E310" s="491" t="n"/>
      <c r="F310" s="491" t="n"/>
      <c r="G310" s="491" t="n"/>
      <c r="H310" s="491" t="n"/>
      <c r="I310" s="491" t="n"/>
      <c r="J310" s="491" t="n"/>
      <c r="K310" s="491" t="n"/>
      <c r="L310" s="491" t="n"/>
      <c r="M310" s="491" t="n"/>
      <c r="N310" s="491" t="n"/>
      <c r="O310" s="491" t="n"/>
      <c r="P310" s="491" t="n"/>
      <c r="Q310" s="491" t="n"/>
      <c r="R310" s="491" t="n"/>
      <c r="S310" s="491" t="n"/>
      <c r="T310" s="491" t="n"/>
      <c r="U310" s="491" t="n"/>
      <c r="V310" s="491" t="n"/>
      <c r="W310" s="491" t="n"/>
      <c r="X310" s="491" t="n"/>
      <c r="Y310" s="491" t="n"/>
    </row>
    <row r="311" ht="12.75" customHeight="1" s="398">
      <c r="A311" s="491" t="n"/>
      <c r="B311" s="491" t="n"/>
      <c r="C311" s="491" t="n"/>
      <c r="D311" s="491" t="n"/>
      <c r="E311" s="491" t="n"/>
      <c r="F311" s="491" t="n"/>
      <c r="G311" s="491" t="n"/>
      <c r="H311" s="491" t="n"/>
      <c r="I311" s="491" t="n"/>
      <c r="J311" s="491" t="n"/>
      <c r="K311" s="491" t="n"/>
      <c r="L311" s="491" t="n"/>
      <c r="M311" s="491" t="n"/>
      <c r="N311" s="491" t="n"/>
      <c r="O311" s="491" t="n"/>
      <c r="P311" s="491" t="n"/>
      <c r="Q311" s="491" t="n"/>
      <c r="R311" s="491" t="n"/>
      <c r="S311" s="491" t="n"/>
      <c r="T311" s="491" t="n"/>
      <c r="U311" s="491" t="n"/>
      <c r="V311" s="491" t="n"/>
      <c r="W311" s="491" t="n"/>
      <c r="X311" s="491" t="n"/>
      <c r="Y311" s="491" t="n"/>
    </row>
    <row r="312" ht="12.75" customHeight="1" s="398">
      <c r="A312" s="491" t="n"/>
      <c r="B312" s="491" t="n"/>
      <c r="C312" s="491" t="n"/>
      <c r="D312" s="491" t="n"/>
      <c r="E312" s="491" t="n"/>
      <c r="F312" s="491" t="n"/>
      <c r="G312" s="491" t="n"/>
      <c r="H312" s="491" t="n"/>
      <c r="I312" s="491" t="n"/>
      <c r="J312" s="491" t="n"/>
      <c r="K312" s="491" t="n"/>
      <c r="L312" s="491" t="n"/>
      <c r="M312" s="491" t="n"/>
      <c r="N312" s="491" t="n"/>
      <c r="O312" s="491" t="n"/>
      <c r="P312" s="491" t="n"/>
      <c r="Q312" s="491" t="n"/>
      <c r="R312" s="491" t="n"/>
      <c r="S312" s="491" t="n"/>
      <c r="T312" s="491" t="n"/>
      <c r="U312" s="491" t="n"/>
      <c r="V312" s="491" t="n"/>
      <c r="W312" s="491" t="n"/>
      <c r="X312" s="491" t="n"/>
      <c r="Y312" s="491" t="n"/>
    </row>
    <row r="313" ht="12.75" customHeight="1" s="398">
      <c r="A313" s="491" t="n"/>
      <c r="B313" s="491" t="n"/>
      <c r="C313" s="491" t="n"/>
      <c r="D313" s="491" t="n"/>
      <c r="E313" s="491" t="n"/>
      <c r="F313" s="491" t="n"/>
      <c r="G313" s="491" t="n"/>
      <c r="H313" s="491" t="n"/>
      <c r="I313" s="491" t="n"/>
      <c r="J313" s="491" t="n"/>
      <c r="K313" s="491" t="n"/>
      <c r="L313" s="491" t="n"/>
      <c r="M313" s="491" t="n"/>
      <c r="N313" s="491" t="n"/>
      <c r="O313" s="491" t="n"/>
      <c r="P313" s="491" t="n"/>
      <c r="Q313" s="491" t="n"/>
      <c r="R313" s="491" t="n"/>
      <c r="S313" s="491" t="n"/>
      <c r="T313" s="491" t="n"/>
      <c r="U313" s="491" t="n"/>
      <c r="V313" s="491" t="n"/>
      <c r="W313" s="491" t="n"/>
      <c r="X313" s="491" t="n"/>
      <c r="Y313" s="491" t="n"/>
    </row>
    <row r="314" ht="12.75" customHeight="1" s="398">
      <c r="A314" s="491" t="n"/>
      <c r="B314" s="491" t="n"/>
      <c r="C314" s="491" t="n"/>
      <c r="D314" s="491" t="n"/>
      <c r="E314" s="491" t="n"/>
      <c r="F314" s="491" t="n"/>
      <c r="G314" s="491" t="n"/>
      <c r="H314" s="491" t="n"/>
      <c r="I314" s="491" t="n"/>
      <c r="J314" s="491" t="n"/>
      <c r="K314" s="491" t="n"/>
      <c r="L314" s="491" t="n"/>
      <c r="M314" s="491" t="n"/>
      <c r="N314" s="491" t="n"/>
      <c r="O314" s="491" t="n"/>
      <c r="P314" s="491" t="n"/>
      <c r="Q314" s="491" t="n"/>
      <c r="R314" s="491" t="n"/>
      <c r="S314" s="491" t="n"/>
      <c r="T314" s="491" t="n"/>
      <c r="U314" s="491" t="n"/>
      <c r="V314" s="491" t="n"/>
      <c r="W314" s="491" t="n"/>
      <c r="X314" s="491" t="n"/>
      <c r="Y314" s="491" t="n"/>
    </row>
    <row r="315" ht="12.75" customHeight="1" s="398">
      <c r="A315" s="491" t="n"/>
      <c r="B315" s="491" t="n"/>
      <c r="C315" s="491" t="n"/>
      <c r="D315" s="491" t="n"/>
      <c r="E315" s="491" t="n"/>
      <c r="F315" s="491" t="n"/>
      <c r="G315" s="491" t="n"/>
      <c r="H315" s="491" t="n"/>
      <c r="I315" s="491" t="n"/>
      <c r="J315" s="491" t="n"/>
      <c r="K315" s="491" t="n"/>
      <c r="L315" s="491" t="n"/>
      <c r="M315" s="491" t="n"/>
      <c r="N315" s="491" t="n"/>
      <c r="O315" s="491" t="n"/>
      <c r="P315" s="491" t="n"/>
      <c r="Q315" s="491" t="n"/>
      <c r="R315" s="491" t="n"/>
      <c r="S315" s="491" t="n"/>
      <c r="T315" s="491" t="n"/>
      <c r="U315" s="491" t="n"/>
      <c r="V315" s="491" t="n"/>
      <c r="W315" s="491" t="n"/>
      <c r="X315" s="491" t="n"/>
      <c r="Y315" s="491" t="n"/>
    </row>
    <row r="316" ht="12.75" customHeight="1" s="398">
      <c r="A316" s="491" t="n"/>
      <c r="B316" s="491" t="n"/>
      <c r="C316" s="491" t="n"/>
      <c r="D316" s="491" t="n"/>
      <c r="E316" s="491" t="n"/>
      <c r="F316" s="491" t="n"/>
      <c r="G316" s="491" t="n"/>
      <c r="H316" s="491" t="n"/>
      <c r="I316" s="491" t="n"/>
      <c r="J316" s="491" t="n"/>
      <c r="K316" s="491" t="n"/>
      <c r="L316" s="491" t="n"/>
      <c r="M316" s="491" t="n"/>
      <c r="N316" s="491" t="n"/>
      <c r="O316" s="491" t="n"/>
      <c r="P316" s="491" t="n"/>
      <c r="Q316" s="491" t="n"/>
      <c r="R316" s="491" t="n"/>
      <c r="S316" s="491" t="n"/>
      <c r="T316" s="491" t="n"/>
      <c r="U316" s="491" t="n"/>
      <c r="V316" s="491" t="n"/>
      <c r="W316" s="491" t="n"/>
      <c r="X316" s="491" t="n"/>
      <c r="Y316" s="491" t="n"/>
    </row>
    <row r="317" ht="12.75" customHeight="1" s="398">
      <c r="A317" s="491" t="n"/>
      <c r="B317" s="491" t="n"/>
      <c r="C317" s="491" t="n"/>
      <c r="D317" s="491" t="n"/>
      <c r="E317" s="491" t="n"/>
      <c r="F317" s="491" t="n"/>
      <c r="G317" s="491" t="n"/>
      <c r="H317" s="491" t="n"/>
      <c r="I317" s="491" t="n"/>
      <c r="J317" s="491" t="n"/>
      <c r="K317" s="491" t="n"/>
      <c r="L317" s="491" t="n"/>
      <c r="M317" s="491" t="n"/>
      <c r="N317" s="491" t="n"/>
      <c r="O317" s="491" t="n"/>
      <c r="P317" s="491" t="n"/>
      <c r="Q317" s="491" t="n"/>
      <c r="R317" s="491" t="n"/>
      <c r="S317" s="491" t="n"/>
      <c r="T317" s="491" t="n"/>
      <c r="U317" s="491" t="n"/>
      <c r="V317" s="491" t="n"/>
      <c r="W317" s="491" t="n"/>
      <c r="X317" s="491" t="n"/>
      <c r="Y317" s="491" t="n"/>
    </row>
    <row r="318" ht="12.75" customHeight="1" s="398">
      <c r="A318" s="491" t="n"/>
      <c r="B318" s="491" t="n"/>
      <c r="C318" s="491" t="n"/>
      <c r="D318" s="491" t="n"/>
      <c r="E318" s="491" t="n"/>
      <c r="F318" s="491" t="n"/>
      <c r="G318" s="491" t="n"/>
      <c r="H318" s="491" t="n"/>
      <c r="I318" s="491" t="n"/>
      <c r="J318" s="491" t="n"/>
      <c r="K318" s="491" t="n"/>
      <c r="L318" s="491" t="n"/>
      <c r="M318" s="491" t="n"/>
      <c r="N318" s="491" t="n"/>
      <c r="O318" s="491" t="n"/>
      <c r="P318" s="491" t="n"/>
      <c r="Q318" s="491" t="n"/>
      <c r="R318" s="491" t="n"/>
      <c r="S318" s="491" t="n"/>
      <c r="T318" s="491" t="n"/>
      <c r="U318" s="491" t="n"/>
      <c r="V318" s="491" t="n"/>
      <c r="W318" s="491" t="n"/>
      <c r="X318" s="491" t="n"/>
      <c r="Y318" s="491" t="n"/>
    </row>
    <row r="319" ht="12.75" customHeight="1" s="398">
      <c r="A319" s="491" t="n"/>
      <c r="B319" s="491" t="n"/>
      <c r="C319" s="491" t="n"/>
      <c r="D319" s="491" t="n"/>
      <c r="E319" s="491" t="n"/>
      <c r="F319" s="491" t="n"/>
      <c r="G319" s="491" t="n"/>
      <c r="H319" s="491" t="n"/>
      <c r="I319" s="491" t="n"/>
      <c r="J319" s="491" t="n"/>
      <c r="K319" s="491" t="n"/>
      <c r="L319" s="491" t="n"/>
      <c r="M319" s="491" t="n"/>
      <c r="N319" s="491" t="n"/>
      <c r="O319" s="491" t="n"/>
      <c r="P319" s="491" t="n"/>
      <c r="Q319" s="491" t="n"/>
      <c r="R319" s="491" t="n"/>
      <c r="S319" s="491" t="n"/>
      <c r="T319" s="491" t="n"/>
      <c r="U319" s="491" t="n"/>
      <c r="V319" s="491" t="n"/>
      <c r="W319" s="491" t="n"/>
      <c r="X319" s="491" t="n"/>
      <c r="Y319" s="491" t="n"/>
    </row>
    <row r="320" ht="12.75" customHeight="1" s="398">
      <c r="A320" s="491" t="n"/>
      <c r="B320" s="491" t="n"/>
      <c r="C320" s="491" t="n"/>
      <c r="D320" s="491" t="n"/>
      <c r="E320" s="491" t="n"/>
      <c r="F320" s="491" t="n"/>
      <c r="G320" s="491" t="n"/>
      <c r="H320" s="491" t="n"/>
      <c r="I320" s="491" t="n"/>
      <c r="J320" s="491" t="n"/>
      <c r="K320" s="491" t="n"/>
      <c r="L320" s="491" t="n"/>
      <c r="M320" s="491" t="n"/>
      <c r="N320" s="491" t="n"/>
      <c r="O320" s="491" t="n"/>
      <c r="P320" s="491" t="n"/>
      <c r="Q320" s="491" t="n"/>
      <c r="R320" s="491" t="n"/>
      <c r="S320" s="491" t="n"/>
      <c r="T320" s="491" t="n"/>
      <c r="U320" s="491" t="n"/>
      <c r="V320" s="491" t="n"/>
      <c r="W320" s="491" t="n"/>
      <c r="X320" s="491" t="n"/>
      <c r="Y320" s="491" t="n"/>
    </row>
    <row r="321" ht="12.75" customHeight="1" s="398">
      <c r="A321" s="491" t="n"/>
      <c r="B321" s="491" t="n"/>
      <c r="C321" s="491" t="n"/>
      <c r="D321" s="491" t="n"/>
      <c r="E321" s="491" t="n"/>
      <c r="F321" s="491" t="n"/>
      <c r="G321" s="491" t="n"/>
      <c r="H321" s="491" t="n"/>
      <c r="I321" s="491" t="n"/>
      <c r="J321" s="491" t="n"/>
      <c r="K321" s="491" t="n"/>
      <c r="L321" s="491" t="n"/>
      <c r="M321" s="491" t="n"/>
      <c r="N321" s="491" t="n"/>
      <c r="O321" s="491" t="n"/>
      <c r="P321" s="491" t="n"/>
      <c r="Q321" s="491" t="n"/>
      <c r="R321" s="491" t="n"/>
      <c r="S321" s="491" t="n"/>
      <c r="T321" s="491" t="n"/>
      <c r="U321" s="491" t="n"/>
      <c r="V321" s="491" t="n"/>
      <c r="W321" s="491" t="n"/>
      <c r="X321" s="491" t="n"/>
      <c r="Y321" s="491" t="n"/>
    </row>
    <row r="322" ht="12.75" customHeight="1" s="398">
      <c r="A322" s="491" t="n"/>
      <c r="B322" s="491" t="n"/>
      <c r="C322" s="491" t="n"/>
      <c r="D322" s="491" t="n"/>
      <c r="E322" s="491" t="n"/>
      <c r="F322" s="491" t="n"/>
      <c r="G322" s="491" t="n"/>
      <c r="H322" s="491" t="n"/>
      <c r="I322" s="491" t="n"/>
      <c r="J322" s="491" t="n"/>
      <c r="K322" s="491" t="n"/>
      <c r="L322" s="491" t="n"/>
      <c r="M322" s="491" t="n"/>
      <c r="N322" s="491" t="n"/>
      <c r="O322" s="491" t="n"/>
      <c r="P322" s="491" t="n"/>
      <c r="Q322" s="491" t="n"/>
      <c r="R322" s="491" t="n"/>
      <c r="S322" s="491" t="n"/>
      <c r="T322" s="491" t="n"/>
      <c r="U322" s="491" t="n"/>
      <c r="V322" s="491" t="n"/>
      <c r="W322" s="491" t="n"/>
      <c r="X322" s="491" t="n"/>
      <c r="Y322" s="491" t="n"/>
    </row>
    <row r="323" ht="12.75" customHeight="1" s="398">
      <c r="A323" s="491" t="n"/>
      <c r="B323" s="491" t="n"/>
      <c r="C323" s="491" t="n"/>
      <c r="D323" s="491" t="n"/>
      <c r="E323" s="491" t="n"/>
      <c r="F323" s="491" t="n"/>
      <c r="G323" s="491" t="n"/>
      <c r="H323" s="491" t="n"/>
      <c r="I323" s="491" t="n"/>
      <c r="J323" s="491" t="n"/>
      <c r="K323" s="491" t="n"/>
      <c r="L323" s="491" t="n"/>
      <c r="M323" s="491" t="n"/>
      <c r="N323" s="491" t="n"/>
      <c r="O323" s="491" t="n"/>
      <c r="P323" s="491" t="n"/>
      <c r="Q323" s="491" t="n"/>
      <c r="R323" s="491" t="n"/>
      <c r="S323" s="491" t="n"/>
      <c r="T323" s="491" t="n"/>
      <c r="U323" s="491" t="n"/>
      <c r="V323" s="491" t="n"/>
      <c r="W323" s="491" t="n"/>
      <c r="X323" s="491" t="n"/>
      <c r="Y323" s="491" t="n"/>
    </row>
    <row r="324" ht="12.75" customHeight="1" s="398">
      <c r="A324" s="491" t="n"/>
      <c r="B324" s="491" t="n"/>
      <c r="C324" s="491" t="n"/>
      <c r="D324" s="491" t="n"/>
      <c r="E324" s="491" t="n"/>
      <c r="F324" s="491" t="n"/>
      <c r="G324" s="491" t="n"/>
      <c r="H324" s="491" t="n"/>
      <c r="I324" s="491" t="n"/>
      <c r="J324" s="491" t="n"/>
      <c r="K324" s="491" t="n"/>
      <c r="L324" s="491" t="n"/>
      <c r="M324" s="491" t="n"/>
      <c r="N324" s="491" t="n"/>
      <c r="O324" s="491" t="n"/>
      <c r="P324" s="491" t="n"/>
      <c r="Q324" s="491" t="n"/>
      <c r="R324" s="491" t="n"/>
      <c r="S324" s="491" t="n"/>
      <c r="T324" s="491" t="n"/>
      <c r="U324" s="491" t="n"/>
      <c r="V324" s="491" t="n"/>
      <c r="W324" s="491" t="n"/>
      <c r="X324" s="491" t="n"/>
      <c r="Y324" s="491" t="n"/>
    </row>
    <row r="325" ht="12.75" customHeight="1" s="398">
      <c r="A325" s="491" t="n"/>
      <c r="B325" s="491" t="n"/>
      <c r="C325" s="491" t="n"/>
      <c r="D325" s="491" t="n"/>
      <c r="E325" s="491" t="n"/>
      <c r="F325" s="491" t="n"/>
      <c r="G325" s="491" t="n"/>
      <c r="H325" s="491" t="n"/>
      <c r="I325" s="491" t="n"/>
      <c r="J325" s="491" t="n"/>
      <c r="K325" s="491" t="n"/>
      <c r="L325" s="491" t="n"/>
      <c r="M325" s="491" t="n"/>
      <c r="N325" s="491" t="n"/>
      <c r="O325" s="491" t="n"/>
      <c r="P325" s="491" t="n"/>
      <c r="Q325" s="491" t="n"/>
      <c r="R325" s="491" t="n"/>
      <c r="S325" s="491" t="n"/>
      <c r="T325" s="491" t="n"/>
      <c r="U325" s="491" t="n"/>
      <c r="V325" s="491" t="n"/>
      <c r="W325" s="491" t="n"/>
      <c r="X325" s="491" t="n"/>
      <c r="Y325" s="491" t="n"/>
    </row>
    <row r="326" ht="12.75" customHeight="1" s="398">
      <c r="A326" s="491" t="n"/>
      <c r="B326" s="491" t="n"/>
      <c r="C326" s="491" t="n"/>
      <c r="D326" s="491" t="n"/>
      <c r="E326" s="491" t="n"/>
      <c r="F326" s="491" t="n"/>
      <c r="G326" s="491" t="n"/>
      <c r="H326" s="491" t="n"/>
      <c r="I326" s="491" t="n"/>
      <c r="J326" s="491" t="n"/>
      <c r="K326" s="491" t="n"/>
      <c r="L326" s="491" t="n"/>
      <c r="M326" s="491" t="n"/>
      <c r="N326" s="491" t="n"/>
      <c r="O326" s="491" t="n"/>
      <c r="P326" s="491" t="n"/>
      <c r="Q326" s="491" t="n"/>
      <c r="R326" s="491" t="n"/>
      <c r="S326" s="491" t="n"/>
      <c r="T326" s="491" t="n"/>
      <c r="U326" s="491" t="n"/>
      <c r="V326" s="491" t="n"/>
      <c r="W326" s="491" t="n"/>
      <c r="X326" s="491" t="n"/>
      <c r="Y326" s="491" t="n"/>
    </row>
    <row r="327" ht="12.75" customHeight="1" s="398">
      <c r="A327" s="491" t="n"/>
      <c r="B327" s="491" t="n"/>
      <c r="C327" s="491" t="n"/>
      <c r="D327" s="491" t="n"/>
      <c r="E327" s="491" t="n"/>
      <c r="F327" s="491" t="n"/>
      <c r="G327" s="491" t="n"/>
      <c r="H327" s="491" t="n"/>
      <c r="I327" s="491" t="n"/>
      <c r="J327" s="491" t="n"/>
      <c r="K327" s="491" t="n"/>
      <c r="L327" s="491" t="n"/>
      <c r="M327" s="491" t="n"/>
      <c r="N327" s="491" t="n"/>
      <c r="O327" s="491" t="n"/>
      <c r="P327" s="491" t="n"/>
      <c r="Q327" s="491" t="n"/>
      <c r="R327" s="491" t="n"/>
      <c r="S327" s="491" t="n"/>
      <c r="T327" s="491" t="n"/>
      <c r="U327" s="491" t="n"/>
      <c r="V327" s="491" t="n"/>
      <c r="W327" s="491" t="n"/>
      <c r="X327" s="491" t="n"/>
      <c r="Y327" s="491" t="n"/>
    </row>
    <row r="328" ht="12.75" customHeight="1" s="398">
      <c r="A328" s="491" t="n"/>
      <c r="B328" s="491" t="n"/>
      <c r="C328" s="491" t="n"/>
      <c r="D328" s="491" t="n"/>
      <c r="E328" s="491" t="n"/>
      <c r="F328" s="491" t="n"/>
      <c r="G328" s="491" t="n"/>
      <c r="H328" s="491" t="n"/>
      <c r="I328" s="491" t="n"/>
      <c r="J328" s="491" t="n"/>
      <c r="K328" s="491" t="n"/>
      <c r="L328" s="491" t="n"/>
      <c r="M328" s="491" t="n"/>
      <c r="N328" s="491" t="n"/>
      <c r="O328" s="491" t="n"/>
      <c r="P328" s="491" t="n"/>
      <c r="Q328" s="491" t="n"/>
      <c r="R328" s="491" t="n"/>
      <c r="S328" s="491" t="n"/>
      <c r="T328" s="491" t="n"/>
      <c r="U328" s="491" t="n"/>
      <c r="V328" s="491" t="n"/>
      <c r="W328" s="491" t="n"/>
      <c r="X328" s="491" t="n"/>
      <c r="Y328" s="491" t="n"/>
    </row>
    <row r="329" ht="12.75" customHeight="1" s="398">
      <c r="A329" s="491" t="n"/>
      <c r="B329" s="491" t="n"/>
      <c r="C329" s="491" t="n"/>
      <c r="D329" s="491" t="n"/>
      <c r="E329" s="491" t="n"/>
      <c r="F329" s="491" t="n"/>
      <c r="G329" s="491" t="n"/>
      <c r="H329" s="491" t="n"/>
      <c r="I329" s="491" t="n"/>
      <c r="J329" s="491" t="n"/>
      <c r="K329" s="491" t="n"/>
      <c r="L329" s="491" t="n"/>
      <c r="M329" s="491" t="n"/>
      <c r="N329" s="491" t="n"/>
      <c r="O329" s="491" t="n"/>
      <c r="P329" s="491" t="n"/>
      <c r="Q329" s="491" t="n"/>
      <c r="R329" s="491" t="n"/>
      <c r="S329" s="491" t="n"/>
      <c r="T329" s="491" t="n"/>
      <c r="U329" s="491" t="n"/>
      <c r="V329" s="491" t="n"/>
      <c r="W329" s="491" t="n"/>
      <c r="X329" s="491" t="n"/>
      <c r="Y329" s="491" t="n"/>
    </row>
    <row r="330" ht="12.75" customHeight="1" s="398">
      <c r="A330" s="491" t="n"/>
      <c r="B330" s="491" t="n"/>
      <c r="C330" s="491" t="n"/>
      <c r="D330" s="491" t="n"/>
      <c r="E330" s="491" t="n"/>
      <c r="F330" s="491" t="n"/>
      <c r="G330" s="491" t="n"/>
      <c r="H330" s="491" t="n"/>
      <c r="I330" s="491" t="n"/>
      <c r="J330" s="491" t="n"/>
      <c r="K330" s="491" t="n"/>
      <c r="L330" s="491" t="n"/>
      <c r="M330" s="491" t="n"/>
      <c r="N330" s="491" t="n"/>
      <c r="O330" s="491" t="n"/>
      <c r="P330" s="491" t="n"/>
      <c r="Q330" s="491" t="n"/>
      <c r="R330" s="491" t="n"/>
      <c r="S330" s="491" t="n"/>
      <c r="T330" s="491" t="n"/>
      <c r="U330" s="491" t="n"/>
      <c r="V330" s="491" t="n"/>
      <c r="W330" s="491" t="n"/>
      <c r="X330" s="491" t="n"/>
      <c r="Y330" s="491" t="n"/>
    </row>
    <row r="331" ht="12.75" customHeight="1" s="398">
      <c r="A331" s="491" t="n"/>
      <c r="B331" s="491" t="n"/>
      <c r="C331" s="491" t="n"/>
      <c r="D331" s="491" t="n"/>
      <c r="E331" s="491" t="n"/>
      <c r="F331" s="491" t="n"/>
      <c r="G331" s="491" t="n"/>
      <c r="H331" s="491" t="n"/>
      <c r="I331" s="491" t="n"/>
      <c r="J331" s="491" t="n"/>
      <c r="K331" s="491" t="n"/>
      <c r="L331" s="491" t="n"/>
      <c r="M331" s="491" t="n"/>
      <c r="N331" s="491" t="n"/>
      <c r="O331" s="491" t="n"/>
      <c r="P331" s="491" t="n"/>
      <c r="Q331" s="491" t="n"/>
      <c r="R331" s="491" t="n"/>
      <c r="S331" s="491" t="n"/>
      <c r="T331" s="491" t="n"/>
      <c r="U331" s="491" t="n"/>
      <c r="V331" s="491" t="n"/>
      <c r="W331" s="491" t="n"/>
      <c r="X331" s="491" t="n"/>
      <c r="Y331" s="491" t="n"/>
    </row>
    <row r="332" ht="12.75" customHeight="1" s="398">
      <c r="A332" s="491" t="n"/>
      <c r="B332" s="491" t="n"/>
      <c r="C332" s="491" t="n"/>
      <c r="D332" s="491" t="n"/>
      <c r="E332" s="491" t="n"/>
      <c r="F332" s="491" t="n"/>
      <c r="G332" s="491" t="n"/>
      <c r="H332" s="491" t="n"/>
      <c r="I332" s="491" t="n"/>
      <c r="J332" s="491" t="n"/>
      <c r="K332" s="491" t="n"/>
      <c r="L332" s="491" t="n"/>
      <c r="M332" s="491" t="n"/>
      <c r="N332" s="491" t="n"/>
      <c r="O332" s="491" t="n"/>
      <c r="P332" s="491" t="n"/>
      <c r="Q332" s="491" t="n"/>
      <c r="R332" s="491" t="n"/>
      <c r="S332" s="491" t="n"/>
      <c r="T332" s="491" t="n"/>
      <c r="U332" s="491" t="n"/>
      <c r="V332" s="491" t="n"/>
      <c r="W332" s="491" t="n"/>
      <c r="X332" s="491" t="n"/>
      <c r="Y332" s="491" t="n"/>
    </row>
    <row r="333" ht="12.75" customHeight="1" s="398">
      <c r="A333" s="491" t="n"/>
      <c r="B333" s="491" t="n"/>
      <c r="C333" s="491" t="n"/>
      <c r="D333" s="491" t="n"/>
      <c r="E333" s="491" t="n"/>
      <c r="F333" s="491" t="n"/>
      <c r="G333" s="491" t="n"/>
      <c r="H333" s="491" t="n"/>
      <c r="I333" s="491" t="n"/>
      <c r="J333" s="491" t="n"/>
      <c r="K333" s="491" t="n"/>
      <c r="L333" s="491" t="n"/>
      <c r="M333" s="491" t="n"/>
      <c r="N333" s="491" t="n"/>
      <c r="O333" s="491" t="n"/>
      <c r="P333" s="491" t="n"/>
      <c r="Q333" s="491" t="n"/>
      <c r="R333" s="491" t="n"/>
      <c r="S333" s="491" t="n"/>
      <c r="T333" s="491" t="n"/>
      <c r="U333" s="491" t="n"/>
      <c r="V333" s="491" t="n"/>
      <c r="W333" s="491" t="n"/>
      <c r="X333" s="491" t="n"/>
      <c r="Y333" s="491" t="n"/>
    </row>
    <row r="334" ht="12.75" customHeight="1" s="398">
      <c r="A334" s="491" t="n"/>
      <c r="B334" s="491" t="n"/>
      <c r="C334" s="491" t="n"/>
      <c r="D334" s="491" t="n"/>
      <c r="E334" s="491" t="n"/>
      <c r="F334" s="491" t="n"/>
      <c r="G334" s="491" t="n"/>
      <c r="H334" s="491" t="n"/>
      <c r="I334" s="491" t="n"/>
      <c r="J334" s="491" t="n"/>
      <c r="K334" s="491" t="n"/>
      <c r="L334" s="491" t="n"/>
      <c r="M334" s="491" t="n"/>
      <c r="N334" s="491" t="n"/>
      <c r="O334" s="491" t="n"/>
      <c r="P334" s="491" t="n"/>
      <c r="Q334" s="491" t="n"/>
      <c r="R334" s="491" t="n"/>
      <c r="S334" s="491" t="n"/>
      <c r="T334" s="491" t="n"/>
      <c r="U334" s="491" t="n"/>
      <c r="V334" s="491" t="n"/>
      <c r="W334" s="491" t="n"/>
      <c r="X334" s="491" t="n"/>
      <c r="Y334" s="491" t="n"/>
    </row>
    <row r="335" ht="12.75" customHeight="1" s="398">
      <c r="A335" s="491" t="n"/>
      <c r="B335" s="491" t="n"/>
      <c r="C335" s="491" t="n"/>
      <c r="D335" s="491" t="n"/>
      <c r="E335" s="491" t="n"/>
      <c r="F335" s="491" t="n"/>
      <c r="G335" s="491" t="n"/>
      <c r="H335" s="491" t="n"/>
      <c r="I335" s="491" t="n"/>
      <c r="J335" s="491" t="n"/>
      <c r="K335" s="491" t="n"/>
      <c r="L335" s="491" t="n"/>
      <c r="M335" s="491" t="n"/>
      <c r="N335" s="491" t="n"/>
      <c r="O335" s="491" t="n"/>
      <c r="P335" s="491" t="n"/>
      <c r="Q335" s="491" t="n"/>
      <c r="R335" s="491" t="n"/>
      <c r="S335" s="491" t="n"/>
      <c r="T335" s="491" t="n"/>
      <c r="U335" s="491" t="n"/>
      <c r="V335" s="491" t="n"/>
      <c r="W335" s="491" t="n"/>
      <c r="X335" s="491" t="n"/>
      <c r="Y335" s="491" t="n"/>
    </row>
    <row r="336" ht="12.75" customHeight="1" s="398">
      <c r="A336" s="491" t="n"/>
      <c r="B336" s="491" t="n"/>
      <c r="C336" s="491" t="n"/>
      <c r="D336" s="491" t="n"/>
      <c r="E336" s="491" t="n"/>
      <c r="F336" s="491" t="n"/>
      <c r="G336" s="491" t="n"/>
      <c r="H336" s="491" t="n"/>
      <c r="I336" s="491" t="n"/>
      <c r="J336" s="491" t="n"/>
      <c r="K336" s="491" t="n"/>
      <c r="L336" s="491" t="n"/>
      <c r="M336" s="491" t="n"/>
      <c r="N336" s="491" t="n"/>
      <c r="O336" s="491" t="n"/>
      <c r="P336" s="491" t="n"/>
      <c r="Q336" s="491" t="n"/>
      <c r="R336" s="491" t="n"/>
      <c r="S336" s="491" t="n"/>
      <c r="T336" s="491" t="n"/>
      <c r="U336" s="491" t="n"/>
      <c r="V336" s="491" t="n"/>
      <c r="W336" s="491" t="n"/>
      <c r="X336" s="491" t="n"/>
      <c r="Y336" s="491" t="n"/>
    </row>
    <row r="337" ht="12.75" customHeight="1" s="398">
      <c r="A337" s="491" t="n"/>
      <c r="B337" s="491" t="n"/>
      <c r="C337" s="491" t="n"/>
      <c r="D337" s="491" t="n"/>
      <c r="E337" s="491" t="n"/>
      <c r="F337" s="491" t="n"/>
      <c r="G337" s="491" t="n"/>
      <c r="H337" s="491" t="n"/>
      <c r="I337" s="491" t="n"/>
      <c r="J337" s="491" t="n"/>
      <c r="K337" s="491" t="n"/>
      <c r="L337" s="491" t="n"/>
      <c r="M337" s="491" t="n"/>
      <c r="N337" s="491" t="n"/>
      <c r="O337" s="491" t="n"/>
      <c r="P337" s="491" t="n"/>
      <c r="Q337" s="491" t="n"/>
      <c r="R337" s="491" t="n"/>
      <c r="S337" s="491" t="n"/>
      <c r="T337" s="491" t="n"/>
      <c r="U337" s="491" t="n"/>
      <c r="V337" s="491" t="n"/>
      <c r="W337" s="491" t="n"/>
      <c r="X337" s="491" t="n"/>
      <c r="Y337" s="491" t="n"/>
    </row>
    <row r="338" ht="12.75" customHeight="1" s="398">
      <c r="A338" s="491" t="n"/>
      <c r="B338" s="491" t="n"/>
      <c r="C338" s="491" t="n"/>
      <c r="D338" s="491" t="n"/>
      <c r="E338" s="491" t="n"/>
      <c r="F338" s="491" t="n"/>
      <c r="G338" s="491" t="n"/>
      <c r="H338" s="491" t="n"/>
      <c r="I338" s="491" t="n"/>
      <c r="J338" s="491" t="n"/>
      <c r="K338" s="491" t="n"/>
      <c r="L338" s="491" t="n"/>
      <c r="M338" s="491" t="n"/>
      <c r="N338" s="491" t="n"/>
      <c r="O338" s="491" t="n"/>
      <c r="P338" s="491" t="n"/>
      <c r="Q338" s="491" t="n"/>
      <c r="R338" s="491" t="n"/>
      <c r="S338" s="491" t="n"/>
      <c r="T338" s="491" t="n"/>
      <c r="U338" s="491" t="n"/>
      <c r="V338" s="491" t="n"/>
      <c r="W338" s="491" t="n"/>
      <c r="X338" s="491" t="n"/>
      <c r="Y338" s="491" t="n"/>
    </row>
    <row r="339" ht="12.75" customHeight="1" s="398">
      <c r="A339" s="491" t="n"/>
      <c r="B339" s="491" t="n"/>
      <c r="C339" s="491" t="n"/>
      <c r="D339" s="491" t="n"/>
      <c r="E339" s="491" t="n"/>
      <c r="F339" s="491" t="n"/>
      <c r="G339" s="491" t="n"/>
      <c r="H339" s="491" t="n"/>
      <c r="I339" s="491" t="n"/>
      <c r="J339" s="491" t="n"/>
      <c r="K339" s="491" t="n"/>
      <c r="L339" s="491" t="n"/>
      <c r="M339" s="491" t="n"/>
      <c r="N339" s="491" t="n"/>
      <c r="O339" s="491" t="n"/>
      <c r="P339" s="491" t="n"/>
      <c r="Q339" s="491" t="n"/>
      <c r="R339" s="491" t="n"/>
      <c r="S339" s="491" t="n"/>
      <c r="T339" s="491" t="n"/>
      <c r="U339" s="491" t="n"/>
      <c r="V339" s="491" t="n"/>
      <c r="W339" s="491" t="n"/>
      <c r="X339" s="491" t="n"/>
      <c r="Y339" s="491" t="n"/>
    </row>
    <row r="340" ht="12.75" customHeight="1" s="398">
      <c r="A340" s="491" t="n"/>
      <c r="B340" s="491" t="n"/>
      <c r="C340" s="491" t="n"/>
      <c r="D340" s="491" t="n"/>
      <c r="E340" s="491" t="n"/>
      <c r="F340" s="491" t="n"/>
      <c r="G340" s="491" t="n"/>
      <c r="H340" s="491" t="n"/>
      <c r="I340" s="491" t="n"/>
      <c r="J340" s="491" t="n"/>
      <c r="K340" s="491" t="n"/>
      <c r="L340" s="491" t="n"/>
      <c r="M340" s="491" t="n"/>
      <c r="N340" s="491" t="n"/>
      <c r="O340" s="491" t="n"/>
      <c r="P340" s="491" t="n"/>
      <c r="Q340" s="491" t="n"/>
      <c r="R340" s="491" t="n"/>
      <c r="S340" s="491" t="n"/>
      <c r="T340" s="491" t="n"/>
      <c r="U340" s="491" t="n"/>
      <c r="V340" s="491" t="n"/>
      <c r="W340" s="491" t="n"/>
      <c r="X340" s="491" t="n"/>
      <c r="Y340" s="491" t="n"/>
    </row>
    <row r="341" ht="12.75" customHeight="1" s="398">
      <c r="A341" s="491" t="n"/>
      <c r="B341" s="491" t="n"/>
      <c r="C341" s="491" t="n"/>
      <c r="D341" s="491" t="n"/>
      <c r="E341" s="491" t="n"/>
      <c r="F341" s="491" t="n"/>
      <c r="G341" s="491" t="n"/>
      <c r="H341" s="491" t="n"/>
      <c r="I341" s="491" t="n"/>
      <c r="J341" s="491" t="n"/>
      <c r="K341" s="491" t="n"/>
      <c r="L341" s="491" t="n"/>
      <c r="M341" s="491" t="n"/>
      <c r="N341" s="491" t="n"/>
      <c r="O341" s="491" t="n"/>
      <c r="P341" s="491" t="n"/>
      <c r="Q341" s="491" t="n"/>
      <c r="R341" s="491" t="n"/>
      <c r="S341" s="491" t="n"/>
      <c r="T341" s="491" t="n"/>
      <c r="U341" s="491" t="n"/>
      <c r="V341" s="491" t="n"/>
      <c r="W341" s="491" t="n"/>
      <c r="X341" s="491" t="n"/>
      <c r="Y341" s="491" t="n"/>
    </row>
    <row r="342" ht="12.75" customHeight="1" s="398">
      <c r="A342" s="491" t="n"/>
      <c r="B342" s="491" t="n"/>
      <c r="C342" s="491" t="n"/>
      <c r="D342" s="491" t="n"/>
      <c r="E342" s="491" t="n"/>
      <c r="F342" s="491" t="n"/>
      <c r="G342" s="491" t="n"/>
      <c r="H342" s="491" t="n"/>
      <c r="I342" s="491" t="n"/>
      <c r="J342" s="491" t="n"/>
      <c r="K342" s="491" t="n"/>
      <c r="L342" s="491" t="n"/>
      <c r="M342" s="491" t="n"/>
      <c r="N342" s="491" t="n"/>
      <c r="O342" s="491" t="n"/>
      <c r="P342" s="491" t="n"/>
      <c r="Q342" s="491" t="n"/>
      <c r="R342" s="491" t="n"/>
      <c r="S342" s="491" t="n"/>
      <c r="T342" s="491" t="n"/>
      <c r="U342" s="491" t="n"/>
      <c r="V342" s="491" t="n"/>
      <c r="W342" s="491" t="n"/>
      <c r="X342" s="491" t="n"/>
      <c r="Y342" s="491" t="n"/>
    </row>
    <row r="343" ht="12.75" customHeight="1" s="398">
      <c r="A343" s="491" t="n"/>
      <c r="B343" s="491" t="n"/>
      <c r="C343" s="491" t="n"/>
      <c r="D343" s="491" t="n"/>
      <c r="E343" s="491" t="n"/>
      <c r="F343" s="491" t="n"/>
      <c r="G343" s="491" t="n"/>
      <c r="H343" s="491" t="n"/>
      <c r="I343" s="491" t="n"/>
      <c r="J343" s="491" t="n"/>
      <c r="K343" s="491" t="n"/>
      <c r="L343" s="491" t="n"/>
      <c r="M343" s="491" t="n"/>
      <c r="N343" s="491" t="n"/>
      <c r="O343" s="491" t="n"/>
      <c r="P343" s="491" t="n"/>
      <c r="Q343" s="491" t="n"/>
      <c r="R343" s="491" t="n"/>
      <c r="S343" s="491" t="n"/>
      <c r="T343" s="491" t="n"/>
      <c r="U343" s="491" t="n"/>
      <c r="V343" s="491" t="n"/>
      <c r="W343" s="491" t="n"/>
      <c r="X343" s="491" t="n"/>
      <c r="Y343" s="491" t="n"/>
    </row>
    <row r="344" ht="12.75" customHeight="1" s="398">
      <c r="A344" s="491" t="n"/>
      <c r="B344" s="491" t="n"/>
      <c r="C344" s="491" t="n"/>
      <c r="D344" s="491" t="n"/>
      <c r="E344" s="491" t="n"/>
      <c r="F344" s="491" t="n"/>
      <c r="G344" s="491" t="n"/>
      <c r="H344" s="491" t="n"/>
      <c r="I344" s="491" t="n"/>
      <c r="J344" s="491" t="n"/>
      <c r="K344" s="491" t="n"/>
      <c r="L344" s="491" t="n"/>
      <c r="M344" s="491" t="n"/>
      <c r="N344" s="491" t="n"/>
      <c r="O344" s="491" t="n"/>
      <c r="P344" s="491" t="n"/>
      <c r="Q344" s="491" t="n"/>
      <c r="R344" s="491" t="n"/>
      <c r="S344" s="491" t="n"/>
      <c r="T344" s="491" t="n"/>
      <c r="U344" s="491" t="n"/>
      <c r="V344" s="491" t="n"/>
      <c r="W344" s="491" t="n"/>
      <c r="X344" s="491" t="n"/>
      <c r="Y344" s="491" t="n"/>
    </row>
    <row r="345" ht="12.75" customHeight="1" s="398">
      <c r="A345" s="491" t="n"/>
      <c r="B345" s="491" t="n"/>
      <c r="C345" s="491" t="n"/>
      <c r="D345" s="491" t="n"/>
      <c r="E345" s="491" t="n"/>
      <c r="F345" s="491" t="n"/>
      <c r="G345" s="491" t="n"/>
      <c r="H345" s="491" t="n"/>
      <c r="I345" s="491" t="n"/>
      <c r="J345" s="491" t="n"/>
      <c r="K345" s="491" t="n"/>
      <c r="L345" s="491" t="n"/>
      <c r="M345" s="491" t="n"/>
      <c r="N345" s="491" t="n"/>
      <c r="O345" s="491" t="n"/>
      <c r="P345" s="491" t="n"/>
      <c r="Q345" s="491" t="n"/>
      <c r="R345" s="491" t="n"/>
      <c r="S345" s="491" t="n"/>
      <c r="T345" s="491" t="n"/>
      <c r="U345" s="491" t="n"/>
      <c r="V345" s="491" t="n"/>
      <c r="W345" s="491" t="n"/>
      <c r="X345" s="491" t="n"/>
      <c r="Y345" s="491" t="n"/>
    </row>
    <row r="346" ht="12.75" customHeight="1" s="398">
      <c r="A346" s="491" t="n"/>
      <c r="B346" s="491" t="n"/>
      <c r="C346" s="491" t="n"/>
      <c r="D346" s="491" t="n"/>
      <c r="E346" s="491" t="n"/>
      <c r="F346" s="491" t="n"/>
      <c r="G346" s="491" t="n"/>
      <c r="H346" s="491" t="n"/>
      <c r="I346" s="491" t="n"/>
      <c r="J346" s="491" t="n"/>
      <c r="K346" s="491" t="n"/>
      <c r="L346" s="491" t="n"/>
      <c r="M346" s="491" t="n"/>
      <c r="N346" s="491" t="n"/>
      <c r="O346" s="491" t="n"/>
      <c r="P346" s="491" t="n"/>
      <c r="Q346" s="491" t="n"/>
      <c r="R346" s="491" t="n"/>
      <c r="S346" s="491" t="n"/>
      <c r="T346" s="491" t="n"/>
      <c r="U346" s="491" t="n"/>
      <c r="V346" s="491" t="n"/>
      <c r="W346" s="491" t="n"/>
      <c r="X346" s="491" t="n"/>
      <c r="Y346" s="491" t="n"/>
    </row>
    <row r="347" ht="12.75" customHeight="1" s="398">
      <c r="A347" s="491" t="n"/>
      <c r="B347" s="491" t="n"/>
      <c r="C347" s="491" t="n"/>
      <c r="D347" s="491" t="n"/>
      <c r="E347" s="491" t="n"/>
      <c r="F347" s="491" t="n"/>
      <c r="G347" s="491" t="n"/>
      <c r="H347" s="491" t="n"/>
      <c r="I347" s="491" t="n"/>
      <c r="J347" s="491" t="n"/>
      <c r="K347" s="491" t="n"/>
      <c r="L347" s="491" t="n"/>
      <c r="M347" s="491" t="n"/>
      <c r="N347" s="491" t="n"/>
      <c r="O347" s="491" t="n"/>
      <c r="P347" s="491" t="n"/>
      <c r="Q347" s="491" t="n"/>
      <c r="R347" s="491" t="n"/>
      <c r="S347" s="491" t="n"/>
      <c r="T347" s="491" t="n"/>
      <c r="U347" s="491" t="n"/>
      <c r="V347" s="491" t="n"/>
      <c r="W347" s="491" t="n"/>
      <c r="X347" s="491" t="n"/>
      <c r="Y347" s="491" t="n"/>
    </row>
    <row r="348" ht="12.75" customHeight="1" s="398">
      <c r="A348" s="491" t="n"/>
      <c r="B348" s="491" t="n"/>
      <c r="C348" s="491" t="n"/>
      <c r="D348" s="491" t="n"/>
      <c r="E348" s="491" t="n"/>
      <c r="F348" s="491" t="n"/>
      <c r="G348" s="491" t="n"/>
      <c r="H348" s="491" t="n"/>
      <c r="I348" s="491" t="n"/>
      <c r="J348" s="491" t="n"/>
      <c r="K348" s="491" t="n"/>
      <c r="L348" s="491" t="n"/>
      <c r="M348" s="491" t="n"/>
      <c r="N348" s="491" t="n"/>
      <c r="O348" s="491" t="n"/>
      <c r="P348" s="491" t="n"/>
      <c r="Q348" s="491" t="n"/>
      <c r="R348" s="491" t="n"/>
      <c r="S348" s="491" t="n"/>
      <c r="T348" s="491" t="n"/>
      <c r="U348" s="491" t="n"/>
      <c r="V348" s="491" t="n"/>
      <c r="W348" s="491" t="n"/>
      <c r="X348" s="491" t="n"/>
      <c r="Y348" s="491" t="n"/>
    </row>
    <row r="349" ht="12.75" customHeight="1" s="398">
      <c r="A349" s="491" t="n"/>
      <c r="B349" s="491" t="n"/>
      <c r="C349" s="491" t="n"/>
      <c r="D349" s="491" t="n"/>
      <c r="E349" s="491" t="n"/>
      <c r="F349" s="491" t="n"/>
      <c r="G349" s="491" t="n"/>
      <c r="H349" s="491" t="n"/>
      <c r="I349" s="491" t="n"/>
      <c r="J349" s="491" t="n"/>
      <c r="K349" s="491" t="n"/>
      <c r="L349" s="491" t="n"/>
      <c r="M349" s="491" t="n"/>
      <c r="N349" s="491" t="n"/>
      <c r="O349" s="491" t="n"/>
      <c r="P349" s="491" t="n"/>
      <c r="Q349" s="491" t="n"/>
      <c r="R349" s="491" t="n"/>
      <c r="S349" s="491" t="n"/>
      <c r="T349" s="491" t="n"/>
      <c r="U349" s="491" t="n"/>
      <c r="V349" s="491" t="n"/>
      <c r="W349" s="491" t="n"/>
      <c r="X349" s="491" t="n"/>
      <c r="Y349" s="491" t="n"/>
    </row>
    <row r="350" ht="12.75" customHeight="1" s="398">
      <c r="A350" s="491" t="n"/>
      <c r="B350" s="491" t="n"/>
      <c r="C350" s="491" t="n"/>
      <c r="D350" s="491" t="n"/>
      <c r="E350" s="491" t="n"/>
      <c r="F350" s="491" t="n"/>
      <c r="G350" s="491" t="n"/>
      <c r="H350" s="491" t="n"/>
      <c r="I350" s="491" t="n"/>
      <c r="J350" s="491" t="n"/>
      <c r="K350" s="491" t="n"/>
      <c r="L350" s="491" t="n"/>
      <c r="M350" s="491" t="n"/>
      <c r="N350" s="491" t="n"/>
      <c r="O350" s="491" t="n"/>
      <c r="P350" s="491" t="n"/>
      <c r="Q350" s="491" t="n"/>
      <c r="R350" s="491" t="n"/>
      <c r="S350" s="491" t="n"/>
      <c r="T350" s="491" t="n"/>
      <c r="U350" s="491" t="n"/>
      <c r="V350" s="491" t="n"/>
      <c r="W350" s="491" t="n"/>
      <c r="X350" s="491" t="n"/>
      <c r="Y350" s="491" t="n"/>
    </row>
    <row r="351" ht="12.75" customHeight="1" s="398">
      <c r="A351" s="491" t="n"/>
      <c r="B351" s="491" t="n"/>
      <c r="C351" s="491" t="n"/>
      <c r="D351" s="491" t="n"/>
      <c r="E351" s="491" t="n"/>
      <c r="F351" s="491" t="n"/>
      <c r="G351" s="491" t="n"/>
      <c r="H351" s="491" t="n"/>
      <c r="I351" s="491" t="n"/>
      <c r="J351" s="491" t="n"/>
      <c r="K351" s="491" t="n"/>
      <c r="L351" s="491" t="n"/>
      <c r="M351" s="491" t="n"/>
      <c r="N351" s="491" t="n"/>
      <c r="O351" s="491" t="n"/>
      <c r="P351" s="491" t="n"/>
      <c r="Q351" s="491" t="n"/>
      <c r="R351" s="491" t="n"/>
      <c r="S351" s="491" t="n"/>
      <c r="T351" s="491" t="n"/>
      <c r="U351" s="491" t="n"/>
      <c r="V351" s="491" t="n"/>
      <c r="W351" s="491" t="n"/>
      <c r="X351" s="491" t="n"/>
      <c r="Y351" s="491" t="n"/>
    </row>
    <row r="352" ht="12.75" customHeight="1" s="398">
      <c r="A352" s="491" t="n"/>
      <c r="B352" s="491" t="n"/>
      <c r="C352" s="491" t="n"/>
      <c r="D352" s="491" t="n"/>
      <c r="E352" s="491" t="n"/>
      <c r="F352" s="491" t="n"/>
      <c r="G352" s="491" t="n"/>
      <c r="H352" s="491" t="n"/>
      <c r="I352" s="491" t="n"/>
      <c r="J352" s="491" t="n"/>
      <c r="K352" s="491" t="n"/>
      <c r="L352" s="491" t="n"/>
      <c r="M352" s="491" t="n"/>
      <c r="N352" s="491" t="n"/>
      <c r="O352" s="491" t="n"/>
      <c r="P352" s="491" t="n"/>
      <c r="Q352" s="491" t="n"/>
      <c r="R352" s="491" t="n"/>
      <c r="S352" s="491" t="n"/>
      <c r="T352" s="491" t="n"/>
      <c r="U352" s="491" t="n"/>
      <c r="V352" s="491" t="n"/>
      <c r="W352" s="491" t="n"/>
      <c r="X352" s="491" t="n"/>
      <c r="Y352" s="491" t="n"/>
    </row>
    <row r="353" ht="12.75" customHeight="1" s="398">
      <c r="A353" s="491" t="n"/>
      <c r="B353" s="491" t="n"/>
      <c r="C353" s="491" t="n"/>
      <c r="D353" s="491" t="n"/>
      <c r="E353" s="491" t="n"/>
      <c r="F353" s="491" t="n"/>
      <c r="G353" s="491" t="n"/>
      <c r="H353" s="491" t="n"/>
      <c r="I353" s="491" t="n"/>
      <c r="J353" s="491" t="n"/>
      <c r="K353" s="491" t="n"/>
      <c r="L353" s="491" t="n"/>
      <c r="M353" s="491" t="n"/>
      <c r="N353" s="491" t="n"/>
      <c r="O353" s="491" t="n"/>
      <c r="P353" s="491" t="n"/>
      <c r="Q353" s="491" t="n"/>
      <c r="R353" s="491" t="n"/>
      <c r="S353" s="491" t="n"/>
      <c r="T353" s="491" t="n"/>
      <c r="U353" s="491" t="n"/>
      <c r="V353" s="491" t="n"/>
      <c r="W353" s="491" t="n"/>
      <c r="X353" s="491" t="n"/>
      <c r="Y353" s="491" t="n"/>
    </row>
    <row r="354" ht="12.75" customHeight="1" s="398">
      <c r="A354" s="491" t="n"/>
      <c r="B354" s="491" t="n"/>
      <c r="C354" s="491" t="n"/>
      <c r="D354" s="491" t="n"/>
      <c r="E354" s="491" t="n"/>
      <c r="F354" s="491" t="n"/>
      <c r="G354" s="491" t="n"/>
      <c r="H354" s="491" t="n"/>
      <c r="I354" s="491" t="n"/>
      <c r="J354" s="491" t="n"/>
      <c r="K354" s="491" t="n"/>
      <c r="L354" s="491" t="n"/>
      <c r="M354" s="491" t="n"/>
      <c r="N354" s="491" t="n"/>
      <c r="O354" s="491" t="n"/>
      <c r="P354" s="491" t="n"/>
      <c r="Q354" s="491" t="n"/>
      <c r="R354" s="491" t="n"/>
      <c r="S354" s="491" t="n"/>
      <c r="T354" s="491" t="n"/>
      <c r="U354" s="491" t="n"/>
      <c r="V354" s="491" t="n"/>
      <c r="W354" s="491" t="n"/>
      <c r="X354" s="491" t="n"/>
      <c r="Y354" s="491" t="n"/>
    </row>
    <row r="355" ht="12.75" customHeight="1" s="398">
      <c r="A355" s="491" t="n"/>
      <c r="B355" s="491" t="n"/>
      <c r="C355" s="491" t="n"/>
      <c r="D355" s="491" t="n"/>
      <c r="E355" s="491" t="n"/>
      <c r="F355" s="491" t="n"/>
      <c r="G355" s="491" t="n"/>
      <c r="H355" s="491" t="n"/>
      <c r="I355" s="491" t="n"/>
      <c r="J355" s="491" t="n"/>
      <c r="K355" s="491" t="n"/>
      <c r="L355" s="491" t="n"/>
      <c r="M355" s="491" t="n"/>
      <c r="N355" s="491" t="n"/>
      <c r="O355" s="491" t="n"/>
      <c r="P355" s="491" t="n"/>
      <c r="Q355" s="491" t="n"/>
      <c r="R355" s="491" t="n"/>
      <c r="S355" s="491" t="n"/>
      <c r="T355" s="491" t="n"/>
      <c r="U355" s="491" t="n"/>
      <c r="V355" s="491" t="n"/>
      <c r="W355" s="491" t="n"/>
      <c r="X355" s="491" t="n"/>
      <c r="Y355" s="491" t="n"/>
    </row>
    <row r="356" ht="12.75" customHeight="1" s="398">
      <c r="A356" s="491" t="n"/>
      <c r="B356" s="491" t="n"/>
      <c r="C356" s="491" t="n"/>
      <c r="D356" s="491" t="n"/>
      <c r="E356" s="491" t="n"/>
      <c r="F356" s="491" t="n"/>
      <c r="G356" s="491" t="n"/>
      <c r="H356" s="491" t="n"/>
      <c r="I356" s="491" t="n"/>
      <c r="J356" s="491" t="n"/>
      <c r="K356" s="491" t="n"/>
      <c r="L356" s="491" t="n"/>
      <c r="M356" s="491" t="n"/>
      <c r="N356" s="491" t="n"/>
      <c r="O356" s="491" t="n"/>
      <c r="P356" s="491" t="n"/>
      <c r="Q356" s="491" t="n"/>
      <c r="R356" s="491" t="n"/>
      <c r="S356" s="491" t="n"/>
      <c r="T356" s="491" t="n"/>
      <c r="U356" s="491" t="n"/>
      <c r="V356" s="491" t="n"/>
      <c r="W356" s="491" t="n"/>
      <c r="X356" s="491" t="n"/>
      <c r="Y356" s="491" t="n"/>
    </row>
    <row r="357" ht="12.75" customHeight="1" s="398">
      <c r="A357" s="491" t="n"/>
      <c r="B357" s="491" t="n"/>
      <c r="C357" s="491" t="n"/>
      <c r="D357" s="491" t="n"/>
      <c r="E357" s="491" t="n"/>
      <c r="F357" s="491" t="n"/>
      <c r="G357" s="491" t="n"/>
      <c r="H357" s="491" t="n"/>
      <c r="I357" s="491" t="n"/>
      <c r="J357" s="491" t="n"/>
      <c r="K357" s="491" t="n"/>
      <c r="L357" s="491" t="n"/>
      <c r="M357" s="491" t="n"/>
      <c r="N357" s="491" t="n"/>
      <c r="O357" s="491" t="n"/>
      <c r="P357" s="491" t="n"/>
      <c r="Q357" s="491" t="n"/>
      <c r="R357" s="491" t="n"/>
      <c r="S357" s="491" t="n"/>
      <c r="T357" s="491" t="n"/>
      <c r="U357" s="491" t="n"/>
      <c r="V357" s="491" t="n"/>
      <c r="W357" s="491" t="n"/>
      <c r="X357" s="491" t="n"/>
      <c r="Y357" s="491" t="n"/>
    </row>
    <row r="358" ht="12.75" customHeight="1" s="398">
      <c r="A358" s="491" t="n"/>
      <c r="B358" s="491" t="n"/>
      <c r="C358" s="491" t="n"/>
      <c r="D358" s="491" t="n"/>
      <c r="E358" s="491" t="n"/>
      <c r="F358" s="491" t="n"/>
      <c r="G358" s="491" t="n"/>
      <c r="H358" s="491" t="n"/>
      <c r="I358" s="491" t="n"/>
      <c r="J358" s="491" t="n"/>
      <c r="K358" s="491" t="n"/>
      <c r="L358" s="491" t="n"/>
      <c r="M358" s="491" t="n"/>
      <c r="N358" s="491" t="n"/>
      <c r="O358" s="491" t="n"/>
      <c r="P358" s="491" t="n"/>
      <c r="Q358" s="491" t="n"/>
      <c r="R358" s="491" t="n"/>
      <c r="S358" s="491" t="n"/>
      <c r="T358" s="491" t="n"/>
      <c r="U358" s="491" t="n"/>
      <c r="V358" s="491" t="n"/>
      <c r="W358" s="491" t="n"/>
      <c r="X358" s="491" t="n"/>
      <c r="Y358" s="491" t="n"/>
    </row>
    <row r="359" ht="12.75" customHeight="1" s="398">
      <c r="A359" s="491" t="n"/>
      <c r="B359" s="491" t="n"/>
      <c r="C359" s="491" t="n"/>
      <c r="D359" s="491" t="n"/>
      <c r="E359" s="491" t="n"/>
      <c r="F359" s="491" t="n"/>
      <c r="G359" s="491" t="n"/>
      <c r="H359" s="491" t="n"/>
      <c r="I359" s="491" t="n"/>
      <c r="J359" s="491" t="n"/>
      <c r="K359" s="491" t="n"/>
      <c r="L359" s="491" t="n"/>
      <c r="M359" s="491" t="n"/>
      <c r="N359" s="491" t="n"/>
      <c r="O359" s="491" t="n"/>
      <c r="P359" s="491" t="n"/>
      <c r="Q359" s="491" t="n"/>
      <c r="R359" s="491" t="n"/>
      <c r="S359" s="491" t="n"/>
      <c r="T359" s="491" t="n"/>
      <c r="U359" s="491" t="n"/>
      <c r="V359" s="491" t="n"/>
      <c r="W359" s="491" t="n"/>
      <c r="X359" s="491" t="n"/>
      <c r="Y359" s="491" t="n"/>
    </row>
    <row r="360" ht="12.75" customHeight="1" s="398">
      <c r="A360" s="491" t="n"/>
      <c r="B360" s="491" t="n"/>
      <c r="C360" s="491" t="n"/>
      <c r="D360" s="491" t="n"/>
      <c r="E360" s="491" t="n"/>
      <c r="F360" s="491" t="n"/>
      <c r="G360" s="491" t="n"/>
      <c r="H360" s="491" t="n"/>
      <c r="I360" s="491" t="n"/>
      <c r="J360" s="491" t="n"/>
      <c r="K360" s="491" t="n"/>
      <c r="L360" s="491" t="n"/>
      <c r="M360" s="491" t="n"/>
      <c r="N360" s="491" t="n"/>
      <c r="O360" s="491" t="n"/>
      <c r="P360" s="491" t="n"/>
      <c r="Q360" s="491" t="n"/>
      <c r="R360" s="491" t="n"/>
      <c r="S360" s="491" t="n"/>
      <c r="T360" s="491" t="n"/>
      <c r="U360" s="491" t="n"/>
      <c r="V360" s="491" t="n"/>
      <c r="W360" s="491" t="n"/>
      <c r="X360" s="491" t="n"/>
      <c r="Y360" s="491" t="n"/>
    </row>
    <row r="361" ht="12.75" customHeight="1" s="398">
      <c r="A361" s="491" t="n"/>
      <c r="B361" s="491" t="n"/>
      <c r="C361" s="491" t="n"/>
      <c r="D361" s="491" t="n"/>
      <c r="E361" s="491" t="n"/>
      <c r="F361" s="491" t="n"/>
      <c r="G361" s="491" t="n"/>
      <c r="H361" s="491" t="n"/>
      <c r="I361" s="491" t="n"/>
      <c r="J361" s="491" t="n"/>
      <c r="K361" s="491" t="n"/>
      <c r="L361" s="491" t="n"/>
      <c r="M361" s="491" t="n"/>
      <c r="N361" s="491" t="n"/>
      <c r="O361" s="491" t="n"/>
      <c r="P361" s="491" t="n"/>
      <c r="Q361" s="491" t="n"/>
      <c r="R361" s="491" t="n"/>
      <c r="S361" s="491" t="n"/>
      <c r="T361" s="491" t="n"/>
      <c r="U361" s="491" t="n"/>
      <c r="V361" s="491" t="n"/>
      <c r="W361" s="491" t="n"/>
      <c r="X361" s="491" t="n"/>
      <c r="Y361" s="491" t="n"/>
    </row>
    <row r="362" ht="12.75" customHeight="1" s="398">
      <c r="A362" s="491" t="n"/>
      <c r="B362" s="491" t="n"/>
      <c r="C362" s="491" t="n"/>
      <c r="D362" s="491" t="n"/>
      <c r="E362" s="491" t="n"/>
      <c r="F362" s="491" t="n"/>
      <c r="G362" s="491" t="n"/>
      <c r="H362" s="491" t="n"/>
      <c r="I362" s="491" t="n"/>
      <c r="J362" s="491" t="n"/>
      <c r="K362" s="491" t="n"/>
      <c r="L362" s="491" t="n"/>
      <c r="M362" s="491" t="n"/>
      <c r="N362" s="491" t="n"/>
      <c r="O362" s="491" t="n"/>
      <c r="P362" s="491" t="n"/>
      <c r="Q362" s="491" t="n"/>
      <c r="R362" s="491" t="n"/>
      <c r="S362" s="491" t="n"/>
      <c r="T362" s="491" t="n"/>
      <c r="U362" s="491" t="n"/>
      <c r="V362" s="491" t="n"/>
      <c r="W362" s="491" t="n"/>
      <c r="X362" s="491" t="n"/>
      <c r="Y362" s="491" t="n"/>
    </row>
    <row r="363" ht="12.75" customHeight="1" s="398">
      <c r="A363" s="491" t="n"/>
      <c r="B363" s="491" t="n"/>
      <c r="C363" s="491" t="n"/>
      <c r="D363" s="491" t="n"/>
      <c r="E363" s="491" t="n"/>
      <c r="F363" s="491" t="n"/>
      <c r="G363" s="491" t="n"/>
      <c r="H363" s="491" t="n"/>
      <c r="I363" s="491" t="n"/>
      <c r="J363" s="491" t="n"/>
      <c r="K363" s="491" t="n"/>
      <c r="L363" s="491" t="n"/>
      <c r="M363" s="491" t="n"/>
      <c r="N363" s="491" t="n"/>
      <c r="O363" s="491" t="n"/>
      <c r="P363" s="491" t="n"/>
      <c r="Q363" s="491" t="n"/>
      <c r="R363" s="491" t="n"/>
      <c r="S363" s="491" t="n"/>
      <c r="T363" s="491" t="n"/>
      <c r="U363" s="491" t="n"/>
      <c r="V363" s="491" t="n"/>
      <c r="W363" s="491" t="n"/>
      <c r="X363" s="491" t="n"/>
      <c r="Y363" s="491" t="n"/>
    </row>
    <row r="364" ht="12.75" customHeight="1" s="398">
      <c r="A364" s="491" t="n"/>
      <c r="B364" s="491" t="n"/>
      <c r="C364" s="491" t="n"/>
      <c r="D364" s="491" t="n"/>
      <c r="E364" s="491" t="n"/>
      <c r="F364" s="491" t="n"/>
      <c r="G364" s="491" t="n"/>
      <c r="H364" s="491" t="n"/>
      <c r="I364" s="491" t="n"/>
      <c r="J364" s="491" t="n"/>
      <c r="K364" s="491" t="n"/>
      <c r="L364" s="491" t="n"/>
      <c r="M364" s="491" t="n"/>
      <c r="N364" s="491" t="n"/>
      <c r="O364" s="491" t="n"/>
      <c r="P364" s="491" t="n"/>
      <c r="Q364" s="491" t="n"/>
      <c r="R364" s="491" t="n"/>
      <c r="S364" s="491" t="n"/>
      <c r="T364" s="491" t="n"/>
      <c r="U364" s="491" t="n"/>
      <c r="V364" s="491" t="n"/>
      <c r="W364" s="491" t="n"/>
      <c r="X364" s="491" t="n"/>
      <c r="Y364" s="491" t="n"/>
    </row>
    <row r="365" ht="12.75" customHeight="1" s="398">
      <c r="A365" s="491" t="n"/>
      <c r="B365" s="491" t="n"/>
      <c r="C365" s="491" t="n"/>
      <c r="D365" s="491" t="n"/>
      <c r="E365" s="491" t="n"/>
      <c r="F365" s="491" t="n"/>
      <c r="G365" s="491" t="n"/>
      <c r="H365" s="491" t="n"/>
      <c r="I365" s="491" t="n"/>
      <c r="J365" s="491" t="n"/>
      <c r="K365" s="491" t="n"/>
      <c r="L365" s="491" t="n"/>
      <c r="M365" s="491" t="n"/>
      <c r="N365" s="491" t="n"/>
      <c r="O365" s="491" t="n"/>
      <c r="P365" s="491" t="n"/>
      <c r="Q365" s="491" t="n"/>
      <c r="R365" s="491" t="n"/>
      <c r="S365" s="491" t="n"/>
      <c r="T365" s="491" t="n"/>
      <c r="U365" s="491" t="n"/>
      <c r="V365" s="491" t="n"/>
      <c r="W365" s="491" t="n"/>
      <c r="X365" s="491" t="n"/>
      <c r="Y365" s="491" t="n"/>
    </row>
    <row r="366" ht="12.75" customHeight="1" s="398">
      <c r="A366" s="491" t="n"/>
      <c r="B366" s="491" t="n"/>
      <c r="C366" s="491" t="n"/>
      <c r="D366" s="491" t="n"/>
      <c r="E366" s="491" t="n"/>
      <c r="F366" s="491" t="n"/>
      <c r="G366" s="491" t="n"/>
      <c r="H366" s="491" t="n"/>
      <c r="I366" s="491" t="n"/>
      <c r="J366" s="491" t="n"/>
      <c r="K366" s="491" t="n"/>
      <c r="L366" s="491" t="n"/>
      <c r="M366" s="491" t="n"/>
      <c r="N366" s="491" t="n"/>
      <c r="O366" s="491" t="n"/>
      <c r="P366" s="491" t="n"/>
      <c r="Q366" s="491" t="n"/>
      <c r="R366" s="491" t="n"/>
      <c r="S366" s="491" t="n"/>
      <c r="T366" s="491" t="n"/>
      <c r="U366" s="491" t="n"/>
      <c r="V366" s="491" t="n"/>
      <c r="W366" s="491" t="n"/>
      <c r="X366" s="491" t="n"/>
      <c r="Y366" s="491" t="n"/>
    </row>
    <row r="367" ht="12.75" customHeight="1" s="398">
      <c r="A367" s="491" t="n"/>
      <c r="B367" s="491" t="n"/>
      <c r="C367" s="491" t="n"/>
      <c r="D367" s="491" t="n"/>
      <c r="E367" s="491" t="n"/>
      <c r="F367" s="491" t="n"/>
      <c r="G367" s="491" t="n"/>
      <c r="H367" s="491" t="n"/>
      <c r="I367" s="491" t="n"/>
      <c r="J367" s="491" t="n"/>
      <c r="K367" s="491" t="n"/>
      <c r="L367" s="491" t="n"/>
      <c r="M367" s="491" t="n"/>
      <c r="N367" s="491" t="n"/>
      <c r="O367" s="491" t="n"/>
      <c r="P367" s="491" t="n"/>
      <c r="Q367" s="491" t="n"/>
      <c r="R367" s="491" t="n"/>
      <c r="S367" s="491" t="n"/>
      <c r="T367" s="491" t="n"/>
      <c r="U367" s="491" t="n"/>
      <c r="V367" s="491" t="n"/>
      <c r="W367" s="491" t="n"/>
      <c r="X367" s="491" t="n"/>
      <c r="Y367" s="491" t="n"/>
    </row>
    <row r="368" ht="12.75" customHeight="1" s="398">
      <c r="A368" s="491" t="n"/>
      <c r="B368" s="491" t="n"/>
      <c r="C368" s="491" t="n"/>
      <c r="D368" s="491" t="n"/>
      <c r="E368" s="491" t="n"/>
      <c r="F368" s="491" t="n"/>
      <c r="G368" s="491" t="n"/>
      <c r="H368" s="491" t="n"/>
      <c r="I368" s="491" t="n"/>
      <c r="J368" s="491" t="n"/>
      <c r="K368" s="491" t="n"/>
      <c r="L368" s="491" t="n"/>
      <c r="M368" s="491" t="n"/>
      <c r="N368" s="491" t="n"/>
      <c r="O368" s="491" t="n"/>
      <c r="P368" s="491" t="n"/>
      <c r="Q368" s="491" t="n"/>
      <c r="R368" s="491" t="n"/>
      <c r="S368" s="491" t="n"/>
      <c r="T368" s="491" t="n"/>
      <c r="U368" s="491" t="n"/>
      <c r="V368" s="491" t="n"/>
      <c r="W368" s="491" t="n"/>
      <c r="X368" s="491" t="n"/>
      <c r="Y368" s="491" t="n"/>
    </row>
    <row r="369" ht="12.75" customHeight="1" s="398">
      <c r="A369" s="491" t="n"/>
      <c r="B369" s="491" t="n"/>
      <c r="C369" s="491" t="n"/>
      <c r="D369" s="491" t="n"/>
      <c r="E369" s="491" t="n"/>
      <c r="F369" s="491" t="n"/>
      <c r="G369" s="491" t="n"/>
      <c r="H369" s="491" t="n"/>
      <c r="I369" s="491" t="n"/>
      <c r="J369" s="491" t="n"/>
      <c r="K369" s="491" t="n"/>
      <c r="L369" s="491" t="n"/>
      <c r="M369" s="491" t="n"/>
      <c r="N369" s="491" t="n"/>
      <c r="O369" s="491" t="n"/>
      <c r="P369" s="491" t="n"/>
      <c r="Q369" s="491" t="n"/>
      <c r="R369" s="491" t="n"/>
      <c r="S369" s="491" t="n"/>
      <c r="T369" s="491" t="n"/>
      <c r="U369" s="491" t="n"/>
      <c r="V369" s="491" t="n"/>
      <c r="W369" s="491" t="n"/>
      <c r="X369" s="491" t="n"/>
      <c r="Y369" s="491" t="n"/>
    </row>
    <row r="370" ht="12.75" customHeight="1" s="398">
      <c r="A370" s="491" t="n"/>
      <c r="B370" s="491" t="n"/>
      <c r="C370" s="491" t="n"/>
      <c r="D370" s="491" t="n"/>
      <c r="E370" s="491" t="n"/>
      <c r="F370" s="491" t="n"/>
      <c r="G370" s="491" t="n"/>
      <c r="H370" s="491" t="n"/>
      <c r="I370" s="491" t="n"/>
      <c r="J370" s="491" t="n"/>
      <c r="K370" s="491" t="n"/>
      <c r="L370" s="491" t="n"/>
      <c r="M370" s="491" t="n"/>
      <c r="N370" s="491" t="n"/>
      <c r="O370" s="491" t="n"/>
      <c r="P370" s="491" t="n"/>
      <c r="Q370" s="491" t="n"/>
      <c r="R370" s="491" t="n"/>
      <c r="S370" s="491" t="n"/>
      <c r="T370" s="491" t="n"/>
      <c r="U370" s="491" t="n"/>
      <c r="V370" s="491" t="n"/>
      <c r="W370" s="491" t="n"/>
      <c r="X370" s="491" t="n"/>
      <c r="Y370" s="491" t="n"/>
    </row>
    <row r="371" ht="12.75" customHeight="1" s="398">
      <c r="A371" s="491" t="n"/>
      <c r="B371" s="491" t="n"/>
      <c r="C371" s="491" t="n"/>
      <c r="D371" s="491" t="n"/>
      <c r="E371" s="491" t="n"/>
      <c r="F371" s="491" t="n"/>
      <c r="G371" s="491" t="n"/>
      <c r="H371" s="491" t="n"/>
      <c r="I371" s="491" t="n"/>
      <c r="J371" s="491" t="n"/>
      <c r="K371" s="491" t="n"/>
      <c r="L371" s="491" t="n"/>
      <c r="M371" s="491" t="n"/>
      <c r="N371" s="491" t="n"/>
      <c r="O371" s="491" t="n"/>
      <c r="P371" s="491" t="n"/>
      <c r="Q371" s="491" t="n"/>
      <c r="R371" s="491" t="n"/>
      <c r="S371" s="491" t="n"/>
      <c r="T371" s="491" t="n"/>
      <c r="U371" s="491" t="n"/>
      <c r="V371" s="491" t="n"/>
      <c r="W371" s="491" t="n"/>
      <c r="X371" s="491" t="n"/>
      <c r="Y371" s="491" t="n"/>
    </row>
    <row r="372" ht="12.75" customHeight="1" s="398">
      <c r="A372" s="491" t="n"/>
      <c r="B372" s="491" t="n"/>
      <c r="C372" s="491" t="n"/>
      <c r="D372" s="491" t="n"/>
      <c r="E372" s="491" t="n"/>
      <c r="F372" s="491" t="n"/>
      <c r="G372" s="491" t="n"/>
      <c r="H372" s="491" t="n"/>
      <c r="I372" s="491" t="n"/>
      <c r="J372" s="491" t="n"/>
      <c r="K372" s="491" t="n"/>
      <c r="L372" s="491" t="n"/>
      <c r="M372" s="491" t="n"/>
      <c r="N372" s="491" t="n"/>
      <c r="O372" s="491" t="n"/>
      <c r="P372" s="491" t="n"/>
      <c r="Q372" s="491" t="n"/>
      <c r="R372" s="491" t="n"/>
      <c r="S372" s="491" t="n"/>
      <c r="T372" s="491" t="n"/>
      <c r="U372" s="491" t="n"/>
      <c r="V372" s="491" t="n"/>
      <c r="W372" s="491" t="n"/>
      <c r="X372" s="491" t="n"/>
      <c r="Y372" s="491" t="n"/>
    </row>
    <row r="373" ht="12.75" customHeight="1" s="398">
      <c r="A373" s="491" t="n"/>
      <c r="B373" s="491" t="n"/>
      <c r="C373" s="491" t="n"/>
      <c r="D373" s="491" t="n"/>
      <c r="E373" s="491" t="n"/>
      <c r="F373" s="491" t="n"/>
      <c r="G373" s="491" t="n"/>
      <c r="H373" s="491" t="n"/>
      <c r="I373" s="491" t="n"/>
      <c r="J373" s="491" t="n"/>
      <c r="K373" s="491" t="n"/>
      <c r="L373" s="491" t="n"/>
      <c r="M373" s="491" t="n"/>
      <c r="N373" s="491" t="n"/>
      <c r="O373" s="491" t="n"/>
      <c r="P373" s="491" t="n"/>
      <c r="Q373" s="491" t="n"/>
      <c r="R373" s="491" t="n"/>
      <c r="S373" s="491" t="n"/>
      <c r="T373" s="491" t="n"/>
      <c r="U373" s="491" t="n"/>
      <c r="V373" s="491" t="n"/>
      <c r="W373" s="491" t="n"/>
      <c r="X373" s="491" t="n"/>
      <c r="Y373" s="491" t="n"/>
    </row>
    <row r="374" ht="12.75" customHeight="1" s="398">
      <c r="A374" s="491" t="n"/>
      <c r="B374" s="491" t="n"/>
      <c r="C374" s="491" t="n"/>
      <c r="D374" s="491" t="n"/>
      <c r="E374" s="491" t="n"/>
      <c r="F374" s="491" t="n"/>
      <c r="G374" s="491" t="n"/>
      <c r="H374" s="491" t="n"/>
      <c r="I374" s="491" t="n"/>
      <c r="J374" s="491" t="n"/>
      <c r="K374" s="491" t="n"/>
      <c r="L374" s="491" t="n"/>
      <c r="M374" s="491" t="n"/>
      <c r="N374" s="491" t="n"/>
      <c r="O374" s="491" t="n"/>
      <c r="P374" s="491" t="n"/>
      <c r="Q374" s="491" t="n"/>
      <c r="R374" s="491" t="n"/>
      <c r="S374" s="491" t="n"/>
      <c r="T374" s="491" t="n"/>
      <c r="U374" s="491" t="n"/>
      <c r="V374" s="491" t="n"/>
      <c r="W374" s="491" t="n"/>
      <c r="X374" s="491" t="n"/>
      <c r="Y374" s="491" t="n"/>
    </row>
    <row r="375" ht="12.75" customHeight="1" s="398">
      <c r="A375" s="491" t="n"/>
      <c r="B375" s="491" t="n"/>
      <c r="C375" s="491" t="n"/>
      <c r="D375" s="491" t="n"/>
      <c r="E375" s="491" t="n"/>
      <c r="F375" s="491" t="n"/>
      <c r="G375" s="491" t="n"/>
      <c r="H375" s="491" t="n"/>
      <c r="I375" s="491" t="n"/>
      <c r="J375" s="491" t="n"/>
      <c r="K375" s="491" t="n"/>
      <c r="L375" s="491" t="n"/>
      <c r="M375" s="491" t="n"/>
      <c r="N375" s="491" t="n"/>
      <c r="O375" s="491" t="n"/>
      <c r="P375" s="491" t="n"/>
      <c r="Q375" s="491" t="n"/>
      <c r="R375" s="491" t="n"/>
      <c r="S375" s="491" t="n"/>
      <c r="T375" s="491" t="n"/>
      <c r="U375" s="491" t="n"/>
      <c r="V375" s="491" t="n"/>
      <c r="W375" s="491" t="n"/>
      <c r="X375" s="491" t="n"/>
      <c r="Y375" s="491" t="n"/>
    </row>
    <row r="376" ht="12.75" customHeight="1" s="398">
      <c r="A376" s="491" t="n"/>
      <c r="B376" s="491" t="n"/>
      <c r="C376" s="491" t="n"/>
      <c r="D376" s="491" t="n"/>
      <c r="E376" s="491" t="n"/>
      <c r="F376" s="491" t="n"/>
      <c r="G376" s="491" t="n"/>
      <c r="H376" s="491" t="n"/>
      <c r="I376" s="491" t="n"/>
      <c r="J376" s="491" t="n"/>
      <c r="K376" s="491" t="n"/>
      <c r="L376" s="491" t="n"/>
      <c r="M376" s="491" t="n"/>
      <c r="N376" s="491" t="n"/>
      <c r="O376" s="491" t="n"/>
      <c r="P376" s="491" t="n"/>
      <c r="Q376" s="491" t="n"/>
      <c r="R376" s="491" t="n"/>
      <c r="S376" s="491" t="n"/>
      <c r="T376" s="491" t="n"/>
      <c r="U376" s="491" t="n"/>
      <c r="V376" s="491" t="n"/>
      <c r="W376" s="491" t="n"/>
      <c r="X376" s="491" t="n"/>
      <c r="Y376" s="491" t="n"/>
    </row>
    <row r="377" ht="12.75" customHeight="1" s="398">
      <c r="A377" s="491" t="n"/>
      <c r="B377" s="491" t="n"/>
      <c r="C377" s="491" t="n"/>
      <c r="D377" s="491" t="n"/>
      <c r="E377" s="491" t="n"/>
      <c r="F377" s="491" t="n"/>
      <c r="G377" s="491" t="n"/>
      <c r="H377" s="491" t="n"/>
      <c r="I377" s="491" t="n"/>
      <c r="J377" s="491" t="n"/>
      <c r="K377" s="491" t="n"/>
      <c r="L377" s="491" t="n"/>
      <c r="M377" s="491" t="n"/>
      <c r="N377" s="491" t="n"/>
      <c r="O377" s="491" t="n"/>
      <c r="P377" s="491" t="n"/>
      <c r="Q377" s="491" t="n"/>
      <c r="R377" s="491" t="n"/>
      <c r="S377" s="491" t="n"/>
      <c r="T377" s="491" t="n"/>
      <c r="U377" s="491" t="n"/>
      <c r="V377" s="491" t="n"/>
      <c r="W377" s="491" t="n"/>
      <c r="X377" s="491" t="n"/>
      <c r="Y377" s="491" t="n"/>
    </row>
    <row r="378" ht="12.75" customHeight="1" s="398">
      <c r="A378" s="491" t="n"/>
      <c r="B378" s="491" t="n"/>
      <c r="C378" s="491" t="n"/>
      <c r="D378" s="491" t="n"/>
      <c r="E378" s="491" t="n"/>
      <c r="F378" s="491" t="n"/>
      <c r="G378" s="491" t="n"/>
      <c r="H378" s="491" t="n"/>
      <c r="I378" s="491" t="n"/>
      <c r="J378" s="491" t="n"/>
      <c r="K378" s="491" t="n"/>
      <c r="L378" s="491" t="n"/>
      <c r="M378" s="491" t="n"/>
      <c r="N378" s="491" t="n"/>
      <c r="O378" s="491" t="n"/>
      <c r="P378" s="491" t="n"/>
      <c r="Q378" s="491" t="n"/>
      <c r="R378" s="491" t="n"/>
      <c r="S378" s="491" t="n"/>
      <c r="T378" s="491" t="n"/>
      <c r="U378" s="491" t="n"/>
      <c r="V378" s="491" t="n"/>
      <c r="W378" s="491" t="n"/>
      <c r="X378" s="491" t="n"/>
      <c r="Y378" s="491" t="n"/>
    </row>
    <row r="379" ht="12.75" customHeight="1" s="398">
      <c r="A379" s="491" t="n"/>
      <c r="B379" s="491" t="n"/>
      <c r="C379" s="491" t="n"/>
      <c r="D379" s="491" t="n"/>
      <c r="E379" s="491" t="n"/>
      <c r="F379" s="491" t="n"/>
      <c r="G379" s="491" t="n"/>
      <c r="H379" s="491" t="n"/>
      <c r="I379" s="491" t="n"/>
      <c r="J379" s="491" t="n"/>
      <c r="K379" s="491" t="n"/>
      <c r="L379" s="491" t="n"/>
      <c r="M379" s="491" t="n"/>
      <c r="N379" s="491" t="n"/>
      <c r="O379" s="491" t="n"/>
      <c r="P379" s="491" t="n"/>
      <c r="Q379" s="491" t="n"/>
      <c r="R379" s="491" t="n"/>
      <c r="S379" s="491" t="n"/>
      <c r="T379" s="491" t="n"/>
      <c r="U379" s="491" t="n"/>
      <c r="V379" s="491" t="n"/>
      <c r="W379" s="491" t="n"/>
      <c r="X379" s="491" t="n"/>
      <c r="Y379" s="491" t="n"/>
    </row>
    <row r="380" ht="12.75" customHeight="1" s="398">
      <c r="A380" s="491" t="n"/>
      <c r="B380" s="491" t="n"/>
      <c r="C380" s="491" t="n"/>
      <c r="D380" s="491" t="n"/>
      <c r="E380" s="491" t="n"/>
      <c r="F380" s="491" t="n"/>
      <c r="G380" s="491" t="n"/>
      <c r="H380" s="491" t="n"/>
      <c r="I380" s="491" t="n"/>
      <c r="J380" s="491" t="n"/>
      <c r="K380" s="491" t="n"/>
      <c r="L380" s="491" t="n"/>
      <c r="M380" s="491" t="n"/>
      <c r="N380" s="491" t="n"/>
      <c r="O380" s="491" t="n"/>
      <c r="P380" s="491" t="n"/>
      <c r="Q380" s="491" t="n"/>
      <c r="R380" s="491" t="n"/>
      <c r="S380" s="491" t="n"/>
      <c r="T380" s="491" t="n"/>
      <c r="U380" s="491" t="n"/>
      <c r="V380" s="491" t="n"/>
      <c r="W380" s="491" t="n"/>
      <c r="X380" s="491" t="n"/>
      <c r="Y380" s="491" t="n"/>
    </row>
    <row r="381" ht="12.75" customHeight="1" s="398">
      <c r="A381" s="491" t="n"/>
      <c r="B381" s="491" t="n"/>
      <c r="C381" s="491" t="n"/>
      <c r="D381" s="491" t="n"/>
      <c r="E381" s="491" t="n"/>
      <c r="F381" s="491" t="n"/>
      <c r="G381" s="491" t="n"/>
      <c r="H381" s="491" t="n"/>
      <c r="I381" s="491" t="n"/>
      <c r="J381" s="491" t="n"/>
      <c r="K381" s="491" t="n"/>
      <c r="L381" s="491" t="n"/>
      <c r="M381" s="491" t="n"/>
      <c r="N381" s="491" t="n"/>
      <c r="O381" s="491" t="n"/>
      <c r="P381" s="491" t="n"/>
      <c r="Q381" s="491" t="n"/>
      <c r="R381" s="491" t="n"/>
      <c r="S381" s="491" t="n"/>
      <c r="T381" s="491" t="n"/>
      <c r="U381" s="491" t="n"/>
      <c r="V381" s="491" t="n"/>
      <c r="W381" s="491" t="n"/>
      <c r="X381" s="491" t="n"/>
      <c r="Y381" s="491" t="n"/>
    </row>
    <row r="382" ht="12.75" customHeight="1" s="398">
      <c r="A382" s="491" t="n"/>
      <c r="B382" s="491" t="n"/>
      <c r="C382" s="491" t="n"/>
      <c r="D382" s="491" t="n"/>
      <c r="E382" s="491" t="n"/>
      <c r="F382" s="491" t="n"/>
      <c r="G382" s="491" t="n"/>
      <c r="H382" s="491" t="n"/>
      <c r="I382" s="491" t="n"/>
      <c r="J382" s="491" t="n"/>
      <c r="K382" s="491" t="n"/>
      <c r="L382" s="491" t="n"/>
      <c r="M382" s="491" t="n"/>
      <c r="N382" s="491" t="n"/>
      <c r="O382" s="491" t="n"/>
      <c r="P382" s="491" t="n"/>
      <c r="Q382" s="491" t="n"/>
      <c r="R382" s="491" t="n"/>
      <c r="S382" s="491" t="n"/>
      <c r="T382" s="491" t="n"/>
      <c r="U382" s="491" t="n"/>
      <c r="V382" s="491" t="n"/>
      <c r="W382" s="491" t="n"/>
      <c r="X382" s="491" t="n"/>
      <c r="Y382" s="491" t="n"/>
    </row>
    <row r="383" ht="12.75" customHeight="1" s="398">
      <c r="A383" s="491" t="n"/>
      <c r="B383" s="491" t="n"/>
      <c r="C383" s="491" t="n"/>
      <c r="D383" s="491" t="n"/>
      <c r="E383" s="491" t="n"/>
      <c r="F383" s="491" t="n"/>
      <c r="G383" s="491" t="n"/>
      <c r="H383" s="491" t="n"/>
      <c r="I383" s="491" t="n"/>
      <c r="J383" s="491" t="n"/>
      <c r="K383" s="491" t="n"/>
      <c r="L383" s="491" t="n"/>
      <c r="M383" s="491" t="n"/>
      <c r="N383" s="491" t="n"/>
      <c r="O383" s="491" t="n"/>
      <c r="P383" s="491" t="n"/>
      <c r="Q383" s="491" t="n"/>
      <c r="R383" s="491" t="n"/>
      <c r="S383" s="491" t="n"/>
      <c r="T383" s="491" t="n"/>
      <c r="U383" s="491" t="n"/>
      <c r="V383" s="491" t="n"/>
      <c r="W383" s="491" t="n"/>
      <c r="X383" s="491" t="n"/>
      <c r="Y383" s="491" t="n"/>
    </row>
    <row r="384" ht="12.75" customHeight="1" s="398">
      <c r="A384" s="491" t="n"/>
      <c r="B384" s="491" t="n"/>
      <c r="C384" s="491" t="n"/>
      <c r="D384" s="491" t="n"/>
      <c r="E384" s="491" t="n"/>
      <c r="F384" s="491" t="n"/>
      <c r="G384" s="491" t="n"/>
      <c r="H384" s="491" t="n"/>
      <c r="I384" s="491" t="n"/>
      <c r="J384" s="491" t="n"/>
      <c r="K384" s="491" t="n"/>
      <c r="L384" s="491" t="n"/>
      <c r="M384" s="491" t="n"/>
      <c r="N384" s="491" t="n"/>
      <c r="O384" s="491" t="n"/>
      <c r="P384" s="491" t="n"/>
      <c r="Q384" s="491" t="n"/>
      <c r="R384" s="491" t="n"/>
      <c r="S384" s="491" t="n"/>
      <c r="T384" s="491" t="n"/>
      <c r="U384" s="491" t="n"/>
      <c r="V384" s="491" t="n"/>
      <c r="W384" s="491" t="n"/>
      <c r="X384" s="491" t="n"/>
      <c r="Y384" s="491" t="n"/>
    </row>
    <row r="385" ht="12.75" customHeight="1" s="398">
      <c r="A385" s="491" t="n"/>
      <c r="B385" s="491" t="n"/>
      <c r="C385" s="491" t="n"/>
      <c r="D385" s="491" t="n"/>
      <c r="E385" s="491" t="n"/>
      <c r="F385" s="491" t="n"/>
      <c r="G385" s="491" t="n"/>
      <c r="H385" s="491" t="n"/>
      <c r="I385" s="491" t="n"/>
      <c r="J385" s="491" t="n"/>
      <c r="K385" s="491" t="n"/>
      <c r="L385" s="491" t="n"/>
      <c r="M385" s="491" t="n"/>
      <c r="N385" s="491" t="n"/>
      <c r="O385" s="491" t="n"/>
      <c r="P385" s="491" t="n"/>
      <c r="Q385" s="491" t="n"/>
      <c r="R385" s="491" t="n"/>
      <c r="S385" s="491" t="n"/>
      <c r="T385" s="491" t="n"/>
      <c r="U385" s="491" t="n"/>
      <c r="V385" s="491" t="n"/>
      <c r="W385" s="491" t="n"/>
      <c r="X385" s="491" t="n"/>
      <c r="Y385" s="491" t="n"/>
    </row>
    <row r="386" ht="12.75" customHeight="1" s="398">
      <c r="A386" s="491" t="n"/>
      <c r="B386" s="491" t="n"/>
      <c r="C386" s="491" t="n"/>
      <c r="D386" s="491" t="n"/>
      <c r="E386" s="491" t="n"/>
      <c r="F386" s="491" t="n"/>
      <c r="G386" s="491" t="n"/>
      <c r="H386" s="491" t="n"/>
      <c r="I386" s="491" t="n"/>
      <c r="J386" s="491" t="n"/>
      <c r="K386" s="491" t="n"/>
      <c r="L386" s="491" t="n"/>
      <c r="M386" s="491" t="n"/>
      <c r="N386" s="491" t="n"/>
      <c r="O386" s="491" t="n"/>
      <c r="P386" s="491" t="n"/>
      <c r="Q386" s="491" t="n"/>
      <c r="R386" s="491" t="n"/>
      <c r="S386" s="491" t="n"/>
      <c r="T386" s="491" t="n"/>
      <c r="U386" s="491" t="n"/>
      <c r="V386" s="491" t="n"/>
      <c r="W386" s="491" t="n"/>
      <c r="X386" s="491" t="n"/>
      <c r="Y386" s="491" t="n"/>
    </row>
    <row r="387" ht="12.75" customHeight="1" s="398">
      <c r="A387" s="491" t="n"/>
      <c r="B387" s="491" t="n"/>
      <c r="C387" s="491" t="n"/>
      <c r="D387" s="491" t="n"/>
      <c r="E387" s="491" t="n"/>
      <c r="F387" s="491" t="n"/>
      <c r="G387" s="491" t="n"/>
      <c r="H387" s="491" t="n"/>
      <c r="I387" s="491" t="n"/>
      <c r="J387" s="491" t="n"/>
      <c r="K387" s="491" t="n"/>
      <c r="L387" s="491" t="n"/>
      <c r="M387" s="491" t="n"/>
      <c r="N387" s="491" t="n"/>
      <c r="O387" s="491" t="n"/>
      <c r="P387" s="491" t="n"/>
      <c r="Q387" s="491" t="n"/>
      <c r="R387" s="491" t="n"/>
      <c r="S387" s="491" t="n"/>
      <c r="T387" s="491" t="n"/>
      <c r="U387" s="491" t="n"/>
      <c r="V387" s="491" t="n"/>
      <c r="W387" s="491" t="n"/>
      <c r="X387" s="491" t="n"/>
      <c r="Y387" s="491" t="n"/>
    </row>
    <row r="388" ht="12.75" customHeight="1" s="398">
      <c r="A388" s="491" t="n"/>
      <c r="B388" s="491" t="n"/>
      <c r="C388" s="491" t="n"/>
      <c r="D388" s="491" t="n"/>
      <c r="E388" s="491" t="n"/>
      <c r="F388" s="491" t="n"/>
      <c r="G388" s="491" t="n"/>
      <c r="H388" s="491" t="n"/>
      <c r="I388" s="491" t="n"/>
      <c r="J388" s="491" t="n"/>
      <c r="K388" s="491" t="n"/>
      <c r="L388" s="491" t="n"/>
      <c r="M388" s="491" t="n"/>
      <c r="N388" s="491" t="n"/>
      <c r="O388" s="491" t="n"/>
      <c r="P388" s="491" t="n"/>
      <c r="Q388" s="491" t="n"/>
      <c r="R388" s="491" t="n"/>
      <c r="S388" s="491" t="n"/>
      <c r="T388" s="491" t="n"/>
      <c r="U388" s="491" t="n"/>
      <c r="V388" s="491" t="n"/>
      <c r="W388" s="491" t="n"/>
      <c r="X388" s="491" t="n"/>
      <c r="Y388" s="491" t="n"/>
    </row>
    <row r="389" ht="12.75" customHeight="1" s="398">
      <c r="A389" s="491" t="n"/>
      <c r="B389" s="491" t="n"/>
      <c r="C389" s="491" t="n"/>
      <c r="D389" s="491" t="n"/>
      <c r="E389" s="491" t="n"/>
      <c r="F389" s="491" t="n"/>
      <c r="G389" s="491" t="n"/>
      <c r="H389" s="491" t="n"/>
      <c r="I389" s="491" t="n"/>
      <c r="J389" s="491" t="n"/>
      <c r="K389" s="491" t="n"/>
      <c r="L389" s="491" t="n"/>
      <c r="M389" s="491" t="n"/>
      <c r="N389" s="491" t="n"/>
      <c r="O389" s="491" t="n"/>
      <c r="P389" s="491" t="n"/>
      <c r="Q389" s="491" t="n"/>
      <c r="R389" s="491" t="n"/>
      <c r="S389" s="491" t="n"/>
      <c r="T389" s="491" t="n"/>
      <c r="U389" s="491" t="n"/>
      <c r="V389" s="491" t="n"/>
      <c r="W389" s="491" t="n"/>
      <c r="X389" s="491" t="n"/>
      <c r="Y389" s="491" t="n"/>
    </row>
    <row r="390" ht="12.75" customHeight="1" s="398">
      <c r="A390" s="491" t="n"/>
      <c r="B390" s="491" t="n"/>
      <c r="C390" s="491" t="n"/>
      <c r="D390" s="491" t="n"/>
      <c r="E390" s="491" t="n"/>
      <c r="F390" s="491" t="n"/>
      <c r="G390" s="491" t="n"/>
      <c r="H390" s="491" t="n"/>
      <c r="I390" s="491" t="n"/>
      <c r="J390" s="491" t="n"/>
      <c r="K390" s="491" t="n"/>
      <c r="L390" s="491" t="n"/>
      <c r="M390" s="491" t="n"/>
      <c r="N390" s="491" t="n"/>
      <c r="O390" s="491" t="n"/>
      <c r="P390" s="491" t="n"/>
      <c r="Q390" s="491" t="n"/>
      <c r="R390" s="491" t="n"/>
      <c r="S390" s="491" t="n"/>
      <c r="T390" s="491" t="n"/>
      <c r="U390" s="491" t="n"/>
      <c r="V390" s="491" t="n"/>
      <c r="W390" s="491" t="n"/>
      <c r="X390" s="491" t="n"/>
      <c r="Y390" s="491" t="n"/>
    </row>
    <row r="391" ht="12.75" customHeight="1" s="398">
      <c r="A391" s="491" t="n"/>
      <c r="B391" s="491" t="n"/>
      <c r="C391" s="491" t="n"/>
      <c r="D391" s="491" t="n"/>
      <c r="E391" s="491" t="n"/>
      <c r="F391" s="491" t="n"/>
      <c r="G391" s="491" t="n"/>
      <c r="H391" s="491" t="n"/>
      <c r="I391" s="491" t="n"/>
      <c r="J391" s="491" t="n"/>
      <c r="K391" s="491" t="n"/>
      <c r="L391" s="491" t="n"/>
      <c r="M391" s="491" t="n"/>
      <c r="N391" s="491" t="n"/>
      <c r="O391" s="491" t="n"/>
      <c r="P391" s="491" t="n"/>
      <c r="Q391" s="491" t="n"/>
      <c r="R391" s="491" t="n"/>
      <c r="S391" s="491" t="n"/>
      <c r="T391" s="491" t="n"/>
      <c r="U391" s="491" t="n"/>
      <c r="V391" s="491" t="n"/>
      <c r="W391" s="491" t="n"/>
      <c r="X391" s="491" t="n"/>
      <c r="Y391" s="491" t="n"/>
    </row>
    <row r="392" ht="12.75" customHeight="1" s="398">
      <c r="A392" s="491" t="n"/>
      <c r="B392" s="491" t="n"/>
      <c r="C392" s="491" t="n"/>
      <c r="D392" s="491" t="n"/>
      <c r="E392" s="491" t="n"/>
      <c r="F392" s="491" t="n"/>
      <c r="G392" s="491" t="n"/>
      <c r="H392" s="491" t="n"/>
      <c r="I392" s="491" t="n"/>
      <c r="J392" s="491" t="n"/>
      <c r="K392" s="491" t="n"/>
      <c r="L392" s="491" t="n"/>
      <c r="M392" s="491" t="n"/>
      <c r="N392" s="491" t="n"/>
      <c r="O392" s="491" t="n"/>
      <c r="P392" s="491" t="n"/>
      <c r="Q392" s="491" t="n"/>
      <c r="R392" s="491" t="n"/>
      <c r="S392" s="491" t="n"/>
      <c r="T392" s="491" t="n"/>
      <c r="U392" s="491" t="n"/>
      <c r="V392" s="491" t="n"/>
      <c r="W392" s="491" t="n"/>
      <c r="X392" s="491" t="n"/>
      <c r="Y392" s="491" t="n"/>
    </row>
    <row r="393" ht="12.75" customHeight="1" s="398">
      <c r="A393" s="491" t="n"/>
      <c r="B393" s="491" t="n"/>
      <c r="C393" s="491" t="n"/>
      <c r="D393" s="491" t="n"/>
      <c r="E393" s="491" t="n"/>
      <c r="F393" s="491" t="n"/>
      <c r="G393" s="491" t="n"/>
      <c r="H393" s="491" t="n"/>
      <c r="I393" s="491" t="n"/>
      <c r="J393" s="491" t="n"/>
      <c r="K393" s="491" t="n"/>
      <c r="L393" s="491" t="n"/>
      <c r="M393" s="491" t="n"/>
      <c r="N393" s="491" t="n"/>
      <c r="O393" s="491" t="n"/>
      <c r="P393" s="491" t="n"/>
      <c r="Q393" s="491" t="n"/>
      <c r="R393" s="491" t="n"/>
      <c r="S393" s="491" t="n"/>
      <c r="T393" s="491" t="n"/>
      <c r="U393" s="491" t="n"/>
      <c r="V393" s="491" t="n"/>
      <c r="W393" s="491" t="n"/>
      <c r="X393" s="491" t="n"/>
      <c r="Y393" s="491" t="n"/>
    </row>
    <row r="394" ht="12.75" customHeight="1" s="398">
      <c r="A394" s="491" t="n"/>
      <c r="B394" s="491" t="n"/>
      <c r="C394" s="491" t="n"/>
      <c r="D394" s="491" t="n"/>
      <c r="E394" s="491" t="n"/>
      <c r="F394" s="491" t="n"/>
      <c r="G394" s="491" t="n"/>
      <c r="H394" s="491" t="n"/>
      <c r="I394" s="491" t="n"/>
      <c r="J394" s="491" t="n"/>
      <c r="K394" s="491" t="n"/>
      <c r="L394" s="491" t="n"/>
      <c r="M394" s="491" t="n"/>
      <c r="N394" s="491" t="n"/>
      <c r="O394" s="491" t="n"/>
      <c r="P394" s="491" t="n"/>
      <c r="Q394" s="491" t="n"/>
      <c r="R394" s="491" t="n"/>
      <c r="S394" s="491" t="n"/>
      <c r="T394" s="491" t="n"/>
      <c r="U394" s="491" t="n"/>
      <c r="V394" s="491" t="n"/>
      <c r="W394" s="491" t="n"/>
      <c r="X394" s="491" t="n"/>
      <c r="Y394" s="491" t="n"/>
    </row>
    <row r="395" ht="12.75" customHeight="1" s="398">
      <c r="A395" s="491" t="n"/>
      <c r="B395" s="491" t="n"/>
      <c r="C395" s="491" t="n"/>
      <c r="D395" s="491" t="n"/>
      <c r="E395" s="491" t="n"/>
      <c r="F395" s="491" t="n"/>
      <c r="G395" s="491" t="n"/>
      <c r="H395" s="491" t="n"/>
      <c r="I395" s="491" t="n"/>
      <c r="J395" s="491" t="n"/>
      <c r="K395" s="491" t="n"/>
      <c r="L395" s="491" t="n"/>
      <c r="M395" s="491" t="n"/>
      <c r="N395" s="491" t="n"/>
      <c r="O395" s="491" t="n"/>
      <c r="P395" s="491" t="n"/>
      <c r="Q395" s="491" t="n"/>
      <c r="R395" s="491" t="n"/>
      <c r="S395" s="491" t="n"/>
      <c r="T395" s="491" t="n"/>
      <c r="U395" s="491" t="n"/>
      <c r="V395" s="491" t="n"/>
      <c r="W395" s="491" t="n"/>
      <c r="X395" s="491" t="n"/>
      <c r="Y395" s="491" t="n"/>
    </row>
    <row r="396" ht="12.75" customHeight="1" s="398">
      <c r="A396" s="491" t="n"/>
      <c r="B396" s="491" t="n"/>
      <c r="C396" s="491" t="n"/>
      <c r="D396" s="491" t="n"/>
      <c r="E396" s="491" t="n"/>
      <c r="F396" s="491" t="n"/>
      <c r="G396" s="491" t="n"/>
      <c r="H396" s="491" t="n"/>
      <c r="I396" s="491" t="n"/>
      <c r="J396" s="491" t="n"/>
      <c r="K396" s="491" t="n"/>
      <c r="L396" s="491" t="n"/>
      <c r="M396" s="491" t="n"/>
      <c r="N396" s="491" t="n"/>
      <c r="O396" s="491" t="n"/>
      <c r="P396" s="491" t="n"/>
      <c r="Q396" s="491" t="n"/>
      <c r="R396" s="491" t="n"/>
      <c r="S396" s="491" t="n"/>
      <c r="T396" s="491" t="n"/>
      <c r="U396" s="491" t="n"/>
      <c r="V396" s="491" t="n"/>
      <c r="W396" s="491" t="n"/>
      <c r="X396" s="491" t="n"/>
      <c r="Y396" s="491" t="n"/>
    </row>
    <row r="397" ht="12.75" customHeight="1" s="398">
      <c r="A397" s="491" t="n"/>
      <c r="B397" s="491" t="n"/>
      <c r="C397" s="491" t="n"/>
      <c r="D397" s="491" t="n"/>
      <c r="E397" s="491" t="n"/>
      <c r="F397" s="491" t="n"/>
      <c r="G397" s="491" t="n"/>
      <c r="H397" s="491" t="n"/>
      <c r="I397" s="491" t="n"/>
      <c r="J397" s="491" t="n"/>
      <c r="K397" s="491" t="n"/>
      <c r="L397" s="491" t="n"/>
      <c r="M397" s="491" t="n"/>
      <c r="N397" s="491" t="n"/>
      <c r="O397" s="491" t="n"/>
      <c r="P397" s="491" t="n"/>
      <c r="Q397" s="491" t="n"/>
      <c r="R397" s="491" t="n"/>
      <c r="S397" s="491" t="n"/>
      <c r="T397" s="491" t="n"/>
      <c r="U397" s="491" t="n"/>
      <c r="V397" s="491" t="n"/>
      <c r="W397" s="491" t="n"/>
      <c r="X397" s="491" t="n"/>
      <c r="Y397" s="491" t="n"/>
    </row>
    <row r="398" ht="12.75" customHeight="1" s="398">
      <c r="A398" s="491" t="n"/>
      <c r="B398" s="491" t="n"/>
      <c r="C398" s="491" t="n"/>
      <c r="D398" s="491" t="n"/>
      <c r="E398" s="491" t="n"/>
      <c r="F398" s="491" t="n"/>
      <c r="G398" s="491" t="n"/>
      <c r="H398" s="491" t="n"/>
      <c r="I398" s="491" t="n"/>
      <c r="J398" s="491" t="n"/>
      <c r="K398" s="491" t="n"/>
      <c r="L398" s="491" t="n"/>
      <c r="M398" s="491" t="n"/>
      <c r="N398" s="491" t="n"/>
      <c r="O398" s="491" t="n"/>
      <c r="P398" s="491" t="n"/>
      <c r="Q398" s="491" t="n"/>
      <c r="R398" s="491" t="n"/>
      <c r="S398" s="491" t="n"/>
      <c r="T398" s="491" t="n"/>
      <c r="U398" s="491" t="n"/>
      <c r="V398" s="491" t="n"/>
      <c r="W398" s="491" t="n"/>
      <c r="X398" s="491" t="n"/>
      <c r="Y398" s="491" t="n"/>
    </row>
    <row r="399" ht="12.75" customHeight="1" s="398">
      <c r="A399" s="491" t="n"/>
      <c r="B399" s="491" t="n"/>
      <c r="C399" s="491" t="n"/>
      <c r="D399" s="491" t="n"/>
      <c r="E399" s="491" t="n"/>
      <c r="F399" s="491" t="n"/>
      <c r="G399" s="491" t="n"/>
      <c r="H399" s="491" t="n"/>
      <c r="I399" s="491" t="n"/>
      <c r="J399" s="491" t="n"/>
      <c r="K399" s="491" t="n"/>
      <c r="L399" s="491" t="n"/>
      <c r="M399" s="491" t="n"/>
      <c r="N399" s="491" t="n"/>
      <c r="O399" s="491" t="n"/>
      <c r="P399" s="491" t="n"/>
      <c r="Q399" s="491" t="n"/>
      <c r="R399" s="491" t="n"/>
      <c r="S399" s="491" t="n"/>
      <c r="T399" s="491" t="n"/>
      <c r="U399" s="491" t="n"/>
      <c r="V399" s="491" t="n"/>
      <c r="W399" s="491" t="n"/>
      <c r="X399" s="491" t="n"/>
      <c r="Y399" s="491" t="n"/>
    </row>
    <row r="400" ht="12.75" customHeight="1" s="398">
      <c r="A400" s="491" t="n"/>
      <c r="B400" s="491" t="n"/>
      <c r="C400" s="491" t="n"/>
      <c r="D400" s="491" t="n"/>
      <c r="E400" s="491" t="n"/>
      <c r="F400" s="491" t="n"/>
      <c r="G400" s="491" t="n"/>
      <c r="H400" s="491" t="n"/>
      <c r="I400" s="491" t="n"/>
      <c r="J400" s="491" t="n"/>
      <c r="K400" s="491" t="n"/>
      <c r="L400" s="491" t="n"/>
      <c r="M400" s="491" t="n"/>
      <c r="N400" s="491" t="n"/>
      <c r="O400" s="491" t="n"/>
      <c r="P400" s="491" t="n"/>
      <c r="Q400" s="491" t="n"/>
      <c r="R400" s="491" t="n"/>
      <c r="S400" s="491" t="n"/>
      <c r="T400" s="491" t="n"/>
      <c r="U400" s="491" t="n"/>
      <c r="V400" s="491" t="n"/>
      <c r="W400" s="491" t="n"/>
      <c r="X400" s="491" t="n"/>
      <c r="Y400" s="491" t="n"/>
    </row>
    <row r="401" ht="12.75" customHeight="1" s="398">
      <c r="A401" s="491" t="n"/>
      <c r="B401" s="491" t="n"/>
      <c r="C401" s="491" t="n"/>
      <c r="D401" s="491" t="n"/>
      <c r="E401" s="491" t="n"/>
      <c r="F401" s="491" t="n"/>
      <c r="G401" s="491" t="n"/>
      <c r="H401" s="491" t="n"/>
      <c r="I401" s="491" t="n"/>
      <c r="J401" s="491" t="n"/>
      <c r="K401" s="491" t="n"/>
      <c r="L401" s="491" t="n"/>
      <c r="M401" s="491" t="n"/>
      <c r="N401" s="491" t="n"/>
      <c r="O401" s="491" t="n"/>
      <c r="P401" s="491" t="n"/>
      <c r="Q401" s="491" t="n"/>
      <c r="R401" s="491" t="n"/>
      <c r="S401" s="491" t="n"/>
      <c r="T401" s="491" t="n"/>
      <c r="U401" s="491" t="n"/>
      <c r="V401" s="491" t="n"/>
      <c r="W401" s="491" t="n"/>
      <c r="X401" s="491" t="n"/>
      <c r="Y401" s="491" t="n"/>
    </row>
    <row r="402" ht="12.75" customHeight="1" s="398">
      <c r="A402" s="491" t="n"/>
      <c r="B402" s="491" t="n"/>
      <c r="C402" s="491" t="n"/>
      <c r="D402" s="491" t="n"/>
      <c r="E402" s="491" t="n"/>
      <c r="F402" s="491" t="n"/>
      <c r="G402" s="491" t="n"/>
      <c r="H402" s="491" t="n"/>
      <c r="I402" s="491" t="n"/>
      <c r="J402" s="491" t="n"/>
      <c r="K402" s="491" t="n"/>
      <c r="L402" s="491" t="n"/>
      <c r="M402" s="491" t="n"/>
      <c r="N402" s="491" t="n"/>
      <c r="O402" s="491" t="n"/>
      <c r="P402" s="491" t="n"/>
      <c r="Q402" s="491" t="n"/>
      <c r="R402" s="491" t="n"/>
      <c r="S402" s="491" t="n"/>
      <c r="T402" s="491" t="n"/>
      <c r="U402" s="491" t="n"/>
      <c r="V402" s="491" t="n"/>
      <c r="W402" s="491" t="n"/>
      <c r="X402" s="491" t="n"/>
      <c r="Y402" s="491" t="n"/>
    </row>
    <row r="403" ht="12.75" customHeight="1" s="398">
      <c r="A403" s="491" t="n"/>
      <c r="B403" s="491" t="n"/>
      <c r="C403" s="491" t="n"/>
      <c r="D403" s="491" t="n"/>
      <c r="E403" s="491" t="n"/>
      <c r="F403" s="491" t="n"/>
      <c r="G403" s="491" t="n"/>
      <c r="H403" s="491" t="n"/>
      <c r="I403" s="491" t="n"/>
      <c r="J403" s="491" t="n"/>
      <c r="K403" s="491" t="n"/>
      <c r="L403" s="491" t="n"/>
      <c r="M403" s="491" t="n"/>
      <c r="N403" s="491" t="n"/>
      <c r="O403" s="491" t="n"/>
      <c r="P403" s="491" t="n"/>
      <c r="Q403" s="491" t="n"/>
      <c r="R403" s="491" t="n"/>
      <c r="S403" s="491" t="n"/>
      <c r="T403" s="491" t="n"/>
      <c r="U403" s="491" t="n"/>
      <c r="V403" s="491" t="n"/>
      <c r="W403" s="491" t="n"/>
      <c r="X403" s="491" t="n"/>
      <c r="Y403" s="491" t="n"/>
    </row>
    <row r="404" ht="12.75" customHeight="1" s="398">
      <c r="A404" s="491" t="n"/>
      <c r="B404" s="491" t="n"/>
      <c r="C404" s="491" t="n"/>
      <c r="D404" s="491" t="n"/>
      <c r="E404" s="491" t="n"/>
      <c r="F404" s="491" t="n"/>
      <c r="G404" s="491" t="n"/>
      <c r="H404" s="491" t="n"/>
      <c r="I404" s="491" t="n"/>
      <c r="J404" s="491" t="n"/>
      <c r="K404" s="491" t="n"/>
      <c r="L404" s="491" t="n"/>
      <c r="M404" s="491" t="n"/>
      <c r="N404" s="491" t="n"/>
      <c r="O404" s="491" t="n"/>
      <c r="P404" s="491" t="n"/>
      <c r="Q404" s="491" t="n"/>
      <c r="R404" s="491" t="n"/>
      <c r="S404" s="491" t="n"/>
      <c r="T404" s="491" t="n"/>
      <c r="U404" s="491" t="n"/>
      <c r="V404" s="491" t="n"/>
      <c r="W404" s="491" t="n"/>
      <c r="X404" s="491" t="n"/>
      <c r="Y404" s="491" t="n"/>
    </row>
    <row r="405" ht="12.75" customHeight="1" s="398">
      <c r="A405" s="491" t="n"/>
      <c r="B405" s="491" t="n"/>
      <c r="C405" s="491" t="n"/>
      <c r="D405" s="491" t="n"/>
      <c r="E405" s="491" t="n"/>
      <c r="F405" s="491" t="n"/>
      <c r="G405" s="491" t="n"/>
      <c r="H405" s="491" t="n"/>
      <c r="I405" s="491" t="n"/>
      <c r="J405" s="491" t="n"/>
      <c r="K405" s="491" t="n"/>
      <c r="L405" s="491" t="n"/>
      <c r="M405" s="491" t="n"/>
      <c r="N405" s="491" t="n"/>
      <c r="O405" s="491" t="n"/>
      <c r="P405" s="491" t="n"/>
      <c r="Q405" s="491" t="n"/>
      <c r="R405" s="491" t="n"/>
      <c r="S405" s="491" t="n"/>
      <c r="T405" s="491" t="n"/>
      <c r="U405" s="491" t="n"/>
      <c r="V405" s="491" t="n"/>
      <c r="W405" s="491" t="n"/>
      <c r="X405" s="491" t="n"/>
      <c r="Y405" s="491" t="n"/>
    </row>
    <row r="406" ht="12.75" customHeight="1" s="398">
      <c r="A406" s="491" t="n"/>
      <c r="B406" s="491" t="n"/>
      <c r="C406" s="491" t="n"/>
      <c r="D406" s="491" t="n"/>
      <c r="E406" s="491" t="n"/>
      <c r="F406" s="491" t="n"/>
      <c r="G406" s="491" t="n"/>
      <c r="H406" s="491" t="n"/>
      <c r="I406" s="491" t="n"/>
      <c r="J406" s="491" t="n"/>
      <c r="K406" s="491" t="n"/>
      <c r="L406" s="491" t="n"/>
      <c r="M406" s="491" t="n"/>
      <c r="N406" s="491" t="n"/>
      <c r="O406" s="491" t="n"/>
      <c r="P406" s="491" t="n"/>
      <c r="Q406" s="491" t="n"/>
      <c r="R406" s="491" t="n"/>
      <c r="S406" s="491" t="n"/>
      <c r="T406" s="491" t="n"/>
      <c r="U406" s="491" t="n"/>
      <c r="V406" s="491" t="n"/>
      <c r="W406" s="491" t="n"/>
      <c r="X406" s="491" t="n"/>
      <c r="Y406" s="491" t="n"/>
    </row>
    <row r="407" ht="12.75" customHeight="1" s="398">
      <c r="A407" s="491" t="n"/>
      <c r="B407" s="491" t="n"/>
      <c r="C407" s="491" t="n"/>
      <c r="D407" s="491" t="n"/>
      <c r="E407" s="491" t="n"/>
      <c r="F407" s="491" t="n"/>
      <c r="G407" s="491" t="n"/>
      <c r="H407" s="491" t="n"/>
      <c r="I407" s="491" t="n"/>
      <c r="J407" s="491" t="n"/>
      <c r="K407" s="491" t="n"/>
      <c r="L407" s="491" t="n"/>
      <c r="M407" s="491" t="n"/>
      <c r="N407" s="491" t="n"/>
      <c r="O407" s="491" t="n"/>
      <c r="P407" s="491" t="n"/>
      <c r="Q407" s="491" t="n"/>
      <c r="R407" s="491" t="n"/>
      <c r="S407" s="491" t="n"/>
      <c r="T407" s="491" t="n"/>
      <c r="U407" s="491" t="n"/>
      <c r="V407" s="491" t="n"/>
      <c r="W407" s="491" t="n"/>
      <c r="X407" s="491" t="n"/>
      <c r="Y407" s="491" t="n"/>
    </row>
    <row r="408" ht="12.75" customHeight="1" s="398">
      <c r="A408" s="491" t="n"/>
      <c r="B408" s="491" t="n"/>
      <c r="C408" s="491" t="n"/>
      <c r="D408" s="491" t="n"/>
      <c r="E408" s="491" t="n"/>
      <c r="F408" s="491" t="n"/>
      <c r="G408" s="491" t="n"/>
      <c r="H408" s="491" t="n"/>
      <c r="I408" s="491" t="n"/>
      <c r="J408" s="491" t="n"/>
      <c r="K408" s="491" t="n"/>
      <c r="L408" s="491" t="n"/>
      <c r="M408" s="491" t="n"/>
      <c r="N408" s="491" t="n"/>
      <c r="O408" s="491" t="n"/>
      <c r="P408" s="491" t="n"/>
      <c r="Q408" s="491" t="n"/>
      <c r="R408" s="491" t="n"/>
      <c r="S408" s="491" t="n"/>
      <c r="T408" s="491" t="n"/>
      <c r="U408" s="491" t="n"/>
      <c r="V408" s="491" t="n"/>
      <c r="W408" s="491" t="n"/>
      <c r="X408" s="491" t="n"/>
      <c r="Y408" s="491" t="n"/>
    </row>
    <row r="409" ht="12.75" customHeight="1" s="398">
      <c r="A409" s="491" t="n"/>
      <c r="B409" s="491" t="n"/>
      <c r="C409" s="491" t="n"/>
      <c r="D409" s="491" t="n"/>
      <c r="E409" s="491" t="n"/>
      <c r="F409" s="491" t="n"/>
      <c r="G409" s="491" t="n"/>
      <c r="H409" s="491" t="n"/>
      <c r="I409" s="491" t="n"/>
      <c r="J409" s="491" t="n"/>
      <c r="K409" s="491" t="n"/>
      <c r="L409" s="491" t="n"/>
      <c r="M409" s="491" t="n"/>
      <c r="N409" s="491" t="n"/>
      <c r="O409" s="491" t="n"/>
      <c r="P409" s="491" t="n"/>
      <c r="Q409" s="491" t="n"/>
      <c r="R409" s="491" t="n"/>
      <c r="S409" s="491" t="n"/>
      <c r="T409" s="491" t="n"/>
      <c r="U409" s="491" t="n"/>
      <c r="V409" s="491" t="n"/>
      <c r="W409" s="491" t="n"/>
      <c r="X409" s="491" t="n"/>
      <c r="Y409" s="491" t="n"/>
    </row>
    <row r="410" ht="12.75" customHeight="1" s="398">
      <c r="A410" s="491" t="n"/>
      <c r="B410" s="491" t="n"/>
      <c r="C410" s="491" t="n"/>
      <c r="D410" s="491" t="n"/>
      <c r="E410" s="491" t="n"/>
      <c r="F410" s="491" t="n"/>
      <c r="G410" s="491" t="n"/>
      <c r="H410" s="491" t="n"/>
      <c r="I410" s="491" t="n"/>
      <c r="J410" s="491" t="n"/>
      <c r="K410" s="491" t="n"/>
      <c r="L410" s="491" t="n"/>
      <c r="M410" s="491" t="n"/>
      <c r="N410" s="491" t="n"/>
      <c r="O410" s="491" t="n"/>
      <c r="P410" s="491" t="n"/>
      <c r="Q410" s="491" t="n"/>
      <c r="R410" s="491" t="n"/>
      <c r="S410" s="491" t="n"/>
      <c r="T410" s="491" t="n"/>
      <c r="U410" s="491" t="n"/>
      <c r="V410" s="491" t="n"/>
      <c r="W410" s="491" t="n"/>
      <c r="X410" s="491" t="n"/>
      <c r="Y410" s="491" t="n"/>
    </row>
    <row r="411" ht="12.75" customHeight="1" s="398">
      <c r="A411" s="491" t="n"/>
      <c r="B411" s="491" t="n"/>
      <c r="C411" s="491" t="n"/>
      <c r="D411" s="491" t="n"/>
      <c r="E411" s="491" t="n"/>
      <c r="F411" s="491" t="n"/>
      <c r="G411" s="491" t="n"/>
      <c r="H411" s="491" t="n"/>
      <c r="I411" s="491" t="n"/>
      <c r="J411" s="491" t="n"/>
      <c r="K411" s="491" t="n"/>
      <c r="L411" s="491" t="n"/>
      <c r="M411" s="491" t="n"/>
      <c r="N411" s="491" t="n"/>
      <c r="O411" s="491" t="n"/>
      <c r="P411" s="491" t="n"/>
      <c r="Q411" s="491" t="n"/>
      <c r="R411" s="491" t="n"/>
      <c r="S411" s="491" t="n"/>
      <c r="T411" s="491" t="n"/>
      <c r="U411" s="491" t="n"/>
      <c r="V411" s="491" t="n"/>
      <c r="W411" s="491" t="n"/>
      <c r="X411" s="491" t="n"/>
      <c r="Y411" s="491" t="n"/>
    </row>
    <row r="412" ht="12.75" customHeight="1" s="398">
      <c r="A412" s="491" t="n"/>
      <c r="B412" s="491" t="n"/>
      <c r="C412" s="491" t="n"/>
      <c r="D412" s="491" t="n"/>
      <c r="E412" s="491" t="n"/>
      <c r="F412" s="491" t="n"/>
      <c r="G412" s="491" t="n"/>
      <c r="H412" s="491" t="n"/>
      <c r="I412" s="491" t="n"/>
      <c r="J412" s="491" t="n"/>
      <c r="K412" s="491" t="n"/>
      <c r="L412" s="491" t="n"/>
      <c r="M412" s="491" t="n"/>
      <c r="N412" s="491" t="n"/>
      <c r="O412" s="491" t="n"/>
      <c r="P412" s="491" t="n"/>
      <c r="Q412" s="491" t="n"/>
      <c r="R412" s="491" t="n"/>
      <c r="S412" s="491" t="n"/>
      <c r="T412" s="491" t="n"/>
      <c r="U412" s="491" t="n"/>
      <c r="V412" s="491" t="n"/>
      <c r="W412" s="491" t="n"/>
      <c r="X412" s="491" t="n"/>
      <c r="Y412" s="491" t="n"/>
    </row>
    <row r="413" ht="12.75" customHeight="1" s="398">
      <c r="A413" s="491" t="n"/>
      <c r="B413" s="491" t="n"/>
      <c r="C413" s="491" t="n"/>
      <c r="D413" s="491" t="n"/>
      <c r="E413" s="491" t="n"/>
      <c r="F413" s="491" t="n"/>
      <c r="G413" s="491" t="n"/>
      <c r="H413" s="491" t="n"/>
      <c r="I413" s="491" t="n"/>
      <c r="J413" s="491" t="n"/>
      <c r="K413" s="491" t="n"/>
      <c r="L413" s="491" t="n"/>
      <c r="M413" s="491" t="n"/>
      <c r="N413" s="491" t="n"/>
      <c r="O413" s="491" t="n"/>
      <c r="P413" s="491" t="n"/>
      <c r="Q413" s="491" t="n"/>
      <c r="R413" s="491" t="n"/>
      <c r="S413" s="491" t="n"/>
      <c r="T413" s="491" t="n"/>
      <c r="U413" s="491" t="n"/>
      <c r="V413" s="491" t="n"/>
      <c r="W413" s="491" t="n"/>
      <c r="X413" s="491" t="n"/>
      <c r="Y413" s="491" t="n"/>
    </row>
    <row r="414" ht="12.75" customHeight="1" s="398">
      <c r="A414" s="491" t="n"/>
      <c r="B414" s="491" t="n"/>
      <c r="C414" s="491" t="n"/>
      <c r="D414" s="491" t="n"/>
      <c r="E414" s="491" t="n"/>
      <c r="F414" s="491" t="n"/>
      <c r="G414" s="491" t="n"/>
      <c r="H414" s="491" t="n"/>
      <c r="I414" s="491" t="n"/>
      <c r="J414" s="491" t="n"/>
      <c r="K414" s="491" t="n"/>
      <c r="L414" s="491" t="n"/>
      <c r="M414" s="491" t="n"/>
      <c r="N414" s="491" t="n"/>
      <c r="O414" s="491" t="n"/>
      <c r="P414" s="491" t="n"/>
      <c r="Q414" s="491" t="n"/>
      <c r="R414" s="491" t="n"/>
      <c r="S414" s="491" t="n"/>
      <c r="T414" s="491" t="n"/>
      <c r="U414" s="491" t="n"/>
      <c r="V414" s="491" t="n"/>
      <c r="W414" s="491" t="n"/>
      <c r="X414" s="491" t="n"/>
      <c r="Y414" s="491" t="n"/>
    </row>
    <row r="415" ht="12.75" customHeight="1" s="398">
      <c r="A415" s="491" t="n"/>
      <c r="B415" s="491" t="n"/>
      <c r="C415" s="491" t="n"/>
      <c r="D415" s="491" t="n"/>
      <c r="E415" s="491" t="n"/>
      <c r="F415" s="491" t="n"/>
      <c r="G415" s="491" t="n"/>
      <c r="H415" s="491" t="n"/>
      <c r="I415" s="491" t="n"/>
      <c r="J415" s="491" t="n"/>
      <c r="K415" s="491" t="n"/>
      <c r="L415" s="491" t="n"/>
      <c r="M415" s="491" t="n"/>
      <c r="N415" s="491" t="n"/>
      <c r="O415" s="491" t="n"/>
      <c r="P415" s="491" t="n"/>
      <c r="Q415" s="491" t="n"/>
      <c r="R415" s="491" t="n"/>
      <c r="S415" s="491" t="n"/>
      <c r="T415" s="491" t="n"/>
      <c r="U415" s="491" t="n"/>
      <c r="V415" s="491" t="n"/>
      <c r="W415" s="491" t="n"/>
      <c r="X415" s="491" t="n"/>
      <c r="Y415" s="491" t="n"/>
    </row>
    <row r="416" ht="12.75" customHeight="1" s="398">
      <c r="A416" s="491" t="n"/>
      <c r="B416" s="491" t="n"/>
      <c r="C416" s="491" t="n"/>
      <c r="D416" s="491" t="n"/>
      <c r="E416" s="491" t="n"/>
      <c r="F416" s="491" t="n"/>
      <c r="G416" s="491" t="n"/>
      <c r="H416" s="491" t="n"/>
      <c r="I416" s="491" t="n"/>
      <c r="J416" s="491" t="n"/>
      <c r="K416" s="491" t="n"/>
      <c r="L416" s="491" t="n"/>
      <c r="M416" s="491" t="n"/>
      <c r="N416" s="491" t="n"/>
      <c r="O416" s="491" t="n"/>
      <c r="P416" s="491" t="n"/>
      <c r="Q416" s="491" t="n"/>
      <c r="R416" s="491" t="n"/>
      <c r="S416" s="491" t="n"/>
      <c r="T416" s="491" t="n"/>
      <c r="U416" s="491" t="n"/>
      <c r="V416" s="491" t="n"/>
      <c r="W416" s="491" t="n"/>
      <c r="X416" s="491" t="n"/>
      <c r="Y416" s="491" t="n"/>
    </row>
    <row r="417" ht="12.75" customHeight="1" s="398">
      <c r="A417" s="491" t="n"/>
      <c r="B417" s="491" t="n"/>
      <c r="C417" s="491" t="n"/>
      <c r="D417" s="491" t="n"/>
      <c r="E417" s="491" t="n"/>
      <c r="F417" s="491" t="n"/>
      <c r="G417" s="491" t="n"/>
      <c r="H417" s="491" t="n"/>
      <c r="I417" s="491" t="n"/>
      <c r="J417" s="491" t="n"/>
      <c r="K417" s="491" t="n"/>
      <c r="L417" s="491" t="n"/>
      <c r="M417" s="491" t="n"/>
      <c r="N417" s="491" t="n"/>
      <c r="O417" s="491" t="n"/>
      <c r="P417" s="491" t="n"/>
      <c r="Q417" s="491" t="n"/>
      <c r="R417" s="491" t="n"/>
      <c r="S417" s="491" t="n"/>
      <c r="T417" s="491" t="n"/>
      <c r="U417" s="491" t="n"/>
      <c r="V417" s="491" t="n"/>
      <c r="W417" s="491" t="n"/>
      <c r="X417" s="491" t="n"/>
      <c r="Y417" s="491" t="n"/>
    </row>
    <row r="418" ht="12.75" customHeight="1" s="398">
      <c r="A418" s="491" t="n"/>
      <c r="B418" s="491" t="n"/>
      <c r="C418" s="491" t="n"/>
      <c r="D418" s="491" t="n"/>
      <c r="E418" s="491" t="n"/>
      <c r="F418" s="491" t="n"/>
      <c r="G418" s="491" t="n"/>
      <c r="H418" s="491" t="n"/>
      <c r="I418" s="491" t="n"/>
      <c r="J418" s="491" t="n"/>
      <c r="K418" s="491" t="n"/>
      <c r="L418" s="491" t="n"/>
      <c r="M418" s="491" t="n"/>
      <c r="N418" s="491" t="n"/>
      <c r="O418" s="491" t="n"/>
      <c r="P418" s="491" t="n"/>
      <c r="Q418" s="491" t="n"/>
      <c r="R418" s="491" t="n"/>
      <c r="S418" s="491" t="n"/>
      <c r="T418" s="491" t="n"/>
      <c r="U418" s="491" t="n"/>
      <c r="V418" s="491" t="n"/>
      <c r="W418" s="491" t="n"/>
      <c r="X418" s="491" t="n"/>
      <c r="Y418" s="491" t="n"/>
    </row>
    <row r="419" ht="12.75" customHeight="1" s="398">
      <c r="A419" s="491" t="n"/>
      <c r="B419" s="491" t="n"/>
      <c r="C419" s="491" t="n"/>
      <c r="D419" s="491" t="n"/>
      <c r="E419" s="491" t="n"/>
      <c r="F419" s="491" t="n"/>
      <c r="G419" s="491" t="n"/>
      <c r="H419" s="491" t="n"/>
      <c r="I419" s="491" t="n"/>
      <c r="J419" s="491" t="n"/>
      <c r="K419" s="491" t="n"/>
      <c r="L419" s="491" t="n"/>
      <c r="M419" s="491" t="n"/>
      <c r="N419" s="491" t="n"/>
      <c r="O419" s="491" t="n"/>
      <c r="P419" s="491" t="n"/>
      <c r="Q419" s="491" t="n"/>
      <c r="R419" s="491" t="n"/>
      <c r="S419" s="491" t="n"/>
      <c r="T419" s="491" t="n"/>
      <c r="U419" s="491" t="n"/>
      <c r="V419" s="491" t="n"/>
      <c r="W419" s="491" t="n"/>
      <c r="X419" s="491" t="n"/>
      <c r="Y419" s="491" t="n"/>
    </row>
    <row r="420" ht="12.75" customHeight="1" s="398">
      <c r="A420" s="491" t="n"/>
      <c r="B420" s="491" t="n"/>
      <c r="C420" s="491" t="n"/>
      <c r="D420" s="491" t="n"/>
      <c r="E420" s="491" t="n"/>
      <c r="F420" s="491" t="n"/>
      <c r="G420" s="491" t="n"/>
      <c r="H420" s="491" t="n"/>
      <c r="I420" s="491" t="n"/>
      <c r="J420" s="491" t="n"/>
      <c r="K420" s="491" t="n"/>
      <c r="L420" s="491" t="n"/>
      <c r="M420" s="491" t="n"/>
      <c r="N420" s="491" t="n"/>
      <c r="O420" s="491" t="n"/>
      <c r="P420" s="491" t="n"/>
      <c r="Q420" s="491" t="n"/>
      <c r="R420" s="491" t="n"/>
      <c r="S420" s="491" t="n"/>
      <c r="T420" s="491" t="n"/>
      <c r="U420" s="491" t="n"/>
      <c r="V420" s="491" t="n"/>
      <c r="W420" s="491" t="n"/>
      <c r="X420" s="491" t="n"/>
      <c r="Y420" s="491" t="n"/>
    </row>
    <row r="421" ht="12.75" customHeight="1" s="398">
      <c r="A421" s="491" t="n"/>
      <c r="B421" s="491" t="n"/>
      <c r="C421" s="491" t="n"/>
      <c r="D421" s="491" t="n"/>
      <c r="E421" s="491" t="n"/>
      <c r="F421" s="491" t="n"/>
      <c r="G421" s="491" t="n"/>
      <c r="H421" s="491" t="n"/>
      <c r="I421" s="491" t="n"/>
      <c r="J421" s="491" t="n"/>
      <c r="K421" s="491" t="n"/>
      <c r="L421" s="491" t="n"/>
      <c r="M421" s="491" t="n"/>
      <c r="N421" s="491" t="n"/>
      <c r="O421" s="491" t="n"/>
      <c r="P421" s="491" t="n"/>
      <c r="Q421" s="491" t="n"/>
      <c r="R421" s="491" t="n"/>
      <c r="S421" s="491" t="n"/>
      <c r="T421" s="491" t="n"/>
      <c r="U421" s="491" t="n"/>
      <c r="V421" s="491" t="n"/>
      <c r="W421" s="491" t="n"/>
      <c r="X421" s="491" t="n"/>
      <c r="Y421" s="491" t="n"/>
    </row>
    <row r="422" ht="12.75" customHeight="1" s="398">
      <c r="A422" s="491" t="n"/>
      <c r="B422" s="491" t="n"/>
      <c r="C422" s="491" t="n"/>
      <c r="D422" s="491" t="n"/>
      <c r="E422" s="491" t="n"/>
      <c r="F422" s="491" t="n"/>
      <c r="G422" s="491" t="n"/>
      <c r="H422" s="491" t="n"/>
      <c r="I422" s="491" t="n"/>
      <c r="J422" s="491" t="n"/>
      <c r="K422" s="491" t="n"/>
      <c r="L422" s="491" t="n"/>
      <c r="M422" s="491" t="n"/>
      <c r="N422" s="491" t="n"/>
      <c r="O422" s="491" t="n"/>
      <c r="P422" s="491" t="n"/>
      <c r="Q422" s="491" t="n"/>
      <c r="R422" s="491" t="n"/>
      <c r="S422" s="491" t="n"/>
      <c r="T422" s="491" t="n"/>
      <c r="U422" s="491" t="n"/>
      <c r="V422" s="491" t="n"/>
      <c r="W422" s="491" t="n"/>
      <c r="X422" s="491" t="n"/>
      <c r="Y422" s="491" t="n"/>
    </row>
    <row r="423" ht="12.75" customHeight="1" s="398">
      <c r="A423" s="491" t="n"/>
      <c r="B423" s="491" t="n"/>
      <c r="C423" s="491" t="n"/>
      <c r="D423" s="491" t="n"/>
      <c r="E423" s="491" t="n"/>
      <c r="F423" s="491" t="n"/>
      <c r="G423" s="491" t="n"/>
      <c r="H423" s="491" t="n"/>
      <c r="I423" s="491" t="n"/>
      <c r="J423" s="491" t="n"/>
      <c r="K423" s="491" t="n"/>
      <c r="L423" s="491" t="n"/>
      <c r="M423" s="491" t="n"/>
      <c r="N423" s="491" t="n"/>
      <c r="O423" s="491" t="n"/>
      <c r="P423" s="491" t="n"/>
      <c r="Q423" s="491" t="n"/>
      <c r="R423" s="491" t="n"/>
      <c r="S423" s="491" t="n"/>
      <c r="T423" s="491" t="n"/>
      <c r="U423" s="491" t="n"/>
      <c r="V423" s="491" t="n"/>
      <c r="W423" s="491" t="n"/>
      <c r="X423" s="491" t="n"/>
      <c r="Y423" s="491" t="n"/>
    </row>
    <row r="424" ht="12.75" customHeight="1" s="398">
      <c r="A424" s="491" t="n"/>
      <c r="B424" s="491" t="n"/>
      <c r="C424" s="491" t="n"/>
      <c r="D424" s="491" t="n"/>
      <c r="E424" s="491" t="n"/>
      <c r="F424" s="491" t="n"/>
      <c r="G424" s="491" t="n"/>
      <c r="H424" s="491" t="n"/>
      <c r="I424" s="491" t="n"/>
      <c r="J424" s="491" t="n"/>
      <c r="K424" s="491" t="n"/>
      <c r="L424" s="491" t="n"/>
      <c r="M424" s="491" t="n"/>
      <c r="N424" s="491" t="n"/>
      <c r="O424" s="491" t="n"/>
      <c r="P424" s="491" t="n"/>
      <c r="Q424" s="491" t="n"/>
      <c r="R424" s="491" t="n"/>
      <c r="S424" s="491" t="n"/>
      <c r="T424" s="491" t="n"/>
      <c r="U424" s="491" t="n"/>
      <c r="V424" s="491" t="n"/>
      <c r="W424" s="491" t="n"/>
      <c r="X424" s="491" t="n"/>
      <c r="Y424" s="491" t="n"/>
    </row>
    <row r="425" ht="12.75" customHeight="1" s="398">
      <c r="A425" s="491" t="n"/>
      <c r="B425" s="491" t="n"/>
      <c r="C425" s="491" t="n"/>
      <c r="D425" s="491" t="n"/>
      <c r="E425" s="491" t="n"/>
      <c r="F425" s="491" t="n"/>
      <c r="G425" s="491" t="n"/>
      <c r="H425" s="491" t="n"/>
      <c r="I425" s="491" t="n"/>
      <c r="J425" s="491" t="n"/>
      <c r="K425" s="491" t="n"/>
      <c r="L425" s="491" t="n"/>
      <c r="M425" s="491" t="n"/>
      <c r="N425" s="491" t="n"/>
      <c r="O425" s="491" t="n"/>
      <c r="P425" s="491" t="n"/>
      <c r="Q425" s="491" t="n"/>
      <c r="R425" s="491" t="n"/>
      <c r="S425" s="491" t="n"/>
      <c r="T425" s="491" t="n"/>
      <c r="U425" s="491" t="n"/>
      <c r="V425" s="491" t="n"/>
      <c r="W425" s="491" t="n"/>
      <c r="X425" s="491" t="n"/>
      <c r="Y425" s="491" t="n"/>
    </row>
    <row r="426" ht="12.75" customHeight="1" s="398">
      <c r="A426" s="491" t="n"/>
      <c r="B426" s="491" t="n"/>
      <c r="C426" s="491" t="n"/>
      <c r="D426" s="491" t="n"/>
      <c r="E426" s="491" t="n"/>
      <c r="F426" s="491" t="n"/>
      <c r="G426" s="491" t="n"/>
      <c r="H426" s="491" t="n"/>
      <c r="I426" s="491" t="n"/>
      <c r="J426" s="491" t="n"/>
      <c r="K426" s="491" t="n"/>
      <c r="L426" s="491" t="n"/>
      <c r="M426" s="491" t="n"/>
      <c r="N426" s="491" t="n"/>
      <c r="O426" s="491" t="n"/>
      <c r="P426" s="491" t="n"/>
      <c r="Q426" s="491" t="n"/>
      <c r="R426" s="491" t="n"/>
      <c r="S426" s="491" t="n"/>
      <c r="T426" s="491" t="n"/>
      <c r="U426" s="491" t="n"/>
      <c r="V426" s="491" t="n"/>
      <c r="W426" s="491" t="n"/>
      <c r="X426" s="491" t="n"/>
      <c r="Y426" s="491" t="n"/>
    </row>
    <row r="427" ht="12.75" customHeight="1" s="398">
      <c r="A427" s="491" t="n"/>
      <c r="B427" s="491" t="n"/>
      <c r="C427" s="491" t="n"/>
      <c r="D427" s="491" t="n"/>
      <c r="E427" s="491" t="n"/>
      <c r="F427" s="491" t="n"/>
      <c r="G427" s="491" t="n"/>
      <c r="H427" s="491" t="n"/>
      <c r="I427" s="491" t="n"/>
      <c r="J427" s="491" t="n"/>
      <c r="K427" s="491" t="n"/>
      <c r="L427" s="491" t="n"/>
      <c r="M427" s="491" t="n"/>
      <c r="N427" s="491" t="n"/>
      <c r="O427" s="491" t="n"/>
      <c r="P427" s="491" t="n"/>
      <c r="Q427" s="491" t="n"/>
      <c r="R427" s="491" t="n"/>
      <c r="S427" s="491" t="n"/>
      <c r="T427" s="491" t="n"/>
      <c r="U427" s="491" t="n"/>
      <c r="V427" s="491" t="n"/>
      <c r="W427" s="491" t="n"/>
      <c r="X427" s="491" t="n"/>
      <c r="Y427" s="491" t="n"/>
    </row>
    <row r="428" ht="12.75" customHeight="1" s="398">
      <c r="A428" s="491" t="n"/>
      <c r="B428" s="491" t="n"/>
      <c r="C428" s="491" t="n"/>
      <c r="D428" s="491" t="n"/>
      <c r="E428" s="491" t="n"/>
      <c r="F428" s="491" t="n"/>
      <c r="G428" s="491" t="n"/>
      <c r="H428" s="491" t="n"/>
      <c r="I428" s="491" t="n"/>
      <c r="J428" s="491" t="n"/>
      <c r="K428" s="491" t="n"/>
      <c r="L428" s="491" t="n"/>
      <c r="M428" s="491" t="n"/>
      <c r="N428" s="491" t="n"/>
      <c r="O428" s="491" t="n"/>
      <c r="P428" s="491" t="n"/>
      <c r="Q428" s="491" t="n"/>
      <c r="R428" s="491" t="n"/>
      <c r="S428" s="491" t="n"/>
      <c r="T428" s="491" t="n"/>
      <c r="U428" s="491" t="n"/>
      <c r="V428" s="491" t="n"/>
      <c r="W428" s="491" t="n"/>
      <c r="X428" s="491" t="n"/>
      <c r="Y428" s="491" t="n"/>
    </row>
    <row r="429" ht="12.75" customHeight="1" s="398">
      <c r="A429" s="491" t="n"/>
      <c r="B429" s="491" t="n"/>
      <c r="C429" s="491" t="n"/>
      <c r="D429" s="491" t="n"/>
      <c r="E429" s="491" t="n"/>
      <c r="F429" s="491" t="n"/>
      <c r="G429" s="491" t="n"/>
      <c r="H429" s="491" t="n"/>
      <c r="I429" s="491" t="n"/>
      <c r="J429" s="491" t="n"/>
      <c r="K429" s="491" t="n"/>
      <c r="L429" s="491" t="n"/>
      <c r="M429" s="491" t="n"/>
      <c r="N429" s="491" t="n"/>
      <c r="O429" s="491" t="n"/>
      <c r="P429" s="491" t="n"/>
      <c r="Q429" s="491" t="n"/>
      <c r="R429" s="491" t="n"/>
      <c r="S429" s="491" t="n"/>
      <c r="T429" s="491" t="n"/>
      <c r="U429" s="491" t="n"/>
      <c r="V429" s="491" t="n"/>
      <c r="W429" s="491" t="n"/>
      <c r="X429" s="491" t="n"/>
      <c r="Y429" s="491" t="n"/>
    </row>
    <row r="430" ht="12.75" customHeight="1" s="398">
      <c r="A430" s="491" t="n"/>
      <c r="B430" s="491" t="n"/>
      <c r="C430" s="491" t="n"/>
      <c r="D430" s="491" t="n"/>
      <c r="E430" s="491" t="n"/>
      <c r="F430" s="491" t="n"/>
      <c r="G430" s="491" t="n"/>
      <c r="H430" s="491" t="n"/>
      <c r="I430" s="491" t="n"/>
      <c r="J430" s="491" t="n"/>
      <c r="K430" s="491" t="n"/>
      <c r="L430" s="491" t="n"/>
      <c r="M430" s="491" t="n"/>
      <c r="N430" s="491" t="n"/>
      <c r="O430" s="491" t="n"/>
      <c r="P430" s="491" t="n"/>
      <c r="Q430" s="491" t="n"/>
      <c r="R430" s="491" t="n"/>
      <c r="S430" s="491" t="n"/>
      <c r="T430" s="491" t="n"/>
      <c r="U430" s="491" t="n"/>
      <c r="V430" s="491" t="n"/>
      <c r="W430" s="491" t="n"/>
      <c r="X430" s="491" t="n"/>
      <c r="Y430" s="491" t="n"/>
    </row>
    <row r="431" ht="12.75" customHeight="1" s="398">
      <c r="A431" s="491" t="n"/>
      <c r="B431" s="491" t="n"/>
      <c r="C431" s="491" t="n"/>
      <c r="D431" s="491" t="n"/>
      <c r="E431" s="491" t="n"/>
      <c r="F431" s="491" t="n"/>
      <c r="G431" s="491" t="n"/>
      <c r="H431" s="491" t="n"/>
      <c r="I431" s="491" t="n"/>
      <c r="J431" s="491" t="n"/>
      <c r="K431" s="491" t="n"/>
      <c r="L431" s="491" t="n"/>
      <c r="M431" s="491" t="n"/>
      <c r="N431" s="491" t="n"/>
      <c r="O431" s="491" t="n"/>
      <c r="P431" s="491" t="n"/>
      <c r="Q431" s="491" t="n"/>
      <c r="R431" s="491" t="n"/>
      <c r="S431" s="491" t="n"/>
      <c r="T431" s="491" t="n"/>
      <c r="U431" s="491" t="n"/>
      <c r="V431" s="491" t="n"/>
      <c r="W431" s="491" t="n"/>
      <c r="X431" s="491" t="n"/>
      <c r="Y431" s="491" t="n"/>
    </row>
    <row r="432" ht="12.75" customHeight="1" s="398">
      <c r="A432" s="491" t="n"/>
      <c r="B432" s="491" t="n"/>
      <c r="C432" s="491" t="n"/>
      <c r="D432" s="491" t="n"/>
      <c r="E432" s="491" t="n"/>
      <c r="F432" s="491" t="n"/>
      <c r="G432" s="491" t="n"/>
      <c r="H432" s="491" t="n"/>
      <c r="I432" s="491" t="n"/>
      <c r="J432" s="491" t="n"/>
      <c r="K432" s="491" t="n"/>
      <c r="L432" s="491" t="n"/>
      <c r="M432" s="491" t="n"/>
      <c r="N432" s="491" t="n"/>
      <c r="O432" s="491" t="n"/>
      <c r="P432" s="491" t="n"/>
      <c r="Q432" s="491" t="n"/>
      <c r="R432" s="491" t="n"/>
      <c r="S432" s="491" t="n"/>
      <c r="T432" s="491" t="n"/>
      <c r="U432" s="491" t="n"/>
      <c r="V432" s="491" t="n"/>
      <c r="W432" s="491" t="n"/>
      <c r="X432" s="491" t="n"/>
      <c r="Y432" s="491" t="n"/>
    </row>
    <row r="433" ht="12.75" customHeight="1" s="398">
      <c r="A433" s="491" t="n"/>
      <c r="B433" s="491" t="n"/>
      <c r="C433" s="491" t="n"/>
      <c r="D433" s="491" t="n"/>
      <c r="E433" s="491" t="n"/>
      <c r="F433" s="491" t="n"/>
      <c r="G433" s="491" t="n"/>
      <c r="H433" s="491" t="n"/>
      <c r="I433" s="491" t="n"/>
      <c r="J433" s="491" t="n"/>
      <c r="K433" s="491" t="n"/>
      <c r="L433" s="491" t="n"/>
      <c r="M433" s="491" t="n"/>
      <c r="N433" s="491" t="n"/>
      <c r="O433" s="491" t="n"/>
      <c r="P433" s="491" t="n"/>
      <c r="Q433" s="491" t="n"/>
      <c r="R433" s="491" t="n"/>
      <c r="S433" s="491" t="n"/>
      <c r="T433" s="491" t="n"/>
      <c r="U433" s="491" t="n"/>
      <c r="V433" s="491" t="n"/>
      <c r="W433" s="491" t="n"/>
      <c r="X433" s="491" t="n"/>
      <c r="Y433" s="491" t="n"/>
    </row>
    <row r="434" ht="12.75" customHeight="1" s="398">
      <c r="A434" s="491" t="n"/>
      <c r="B434" s="491" t="n"/>
      <c r="C434" s="491" t="n"/>
      <c r="D434" s="491" t="n"/>
      <c r="E434" s="491" t="n"/>
      <c r="F434" s="491" t="n"/>
      <c r="G434" s="491" t="n"/>
      <c r="H434" s="491" t="n"/>
      <c r="I434" s="491" t="n"/>
      <c r="J434" s="491" t="n"/>
      <c r="K434" s="491" t="n"/>
      <c r="L434" s="491" t="n"/>
      <c r="M434" s="491" t="n"/>
      <c r="N434" s="491" t="n"/>
      <c r="O434" s="491" t="n"/>
      <c r="P434" s="491" t="n"/>
      <c r="Q434" s="491" t="n"/>
      <c r="R434" s="491" t="n"/>
      <c r="S434" s="491" t="n"/>
      <c r="T434" s="491" t="n"/>
      <c r="U434" s="491" t="n"/>
      <c r="V434" s="491" t="n"/>
      <c r="W434" s="491" t="n"/>
      <c r="X434" s="491" t="n"/>
      <c r="Y434" s="491" t="n"/>
    </row>
    <row r="435" ht="12.75" customHeight="1" s="398">
      <c r="A435" s="491" t="n"/>
      <c r="B435" s="491" t="n"/>
      <c r="C435" s="491" t="n"/>
      <c r="D435" s="491" t="n"/>
      <c r="E435" s="491" t="n"/>
      <c r="F435" s="491" t="n"/>
      <c r="G435" s="491" t="n"/>
      <c r="H435" s="491" t="n"/>
      <c r="I435" s="491" t="n"/>
      <c r="J435" s="491" t="n"/>
      <c r="K435" s="491" t="n"/>
      <c r="L435" s="491" t="n"/>
      <c r="M435" s="491" t="n"/>
      <c r="N435" s="491" t="n"/>
      <c r="O435" s="491" t="n"/>
      <c r="P435" s="491" t="n"/>
      <c r="Q435" s="491" t="n"/>
      <c r="R435" s="491" t="n"/>
      <c r="S435" s="491" t="n"/>
      <c r="T435" s="491" t="n"/>
      <c r="U435" s="491" t="n"/>
      <c r="V435" s="491" t="n"/>
      <c r="W435" s="491" t="n"/>
      <c r="X435" s="491" t="n"/>
      <c r="Y435" s="491" t="n"/>
    </row>
    <row r="436" ht="12.75" customHeight="1" s="398">
      <c r="A436" s="491" t="n"/>
      <c r="B436" s="491" t="n"/>
      <c r="C436" s="491" t="n"/>
      <c r="D436" s="491" t="n"/>
      <c r="E436" s="491" t="n"/>
      <c r="F436" s="491" t="n"/>
      <c r="G436" s="491" t="n"/>
      <c r="H436" s="491" t="n"/>
      <c r="I436" s="491" t="n"/>
      <c r="J436" s="491" t="n"/>
      <c r="K436" s="491" t="n"/>
      <c r="L436" s="491" t="n"/>
      <c r="M436" s="491" t="n"/>
      <c r="N436" s="491" t="n"/>
      <c r="O436" s="491" t="n"/>
      <c r="P436" s="491" t="n"/>
      <c r="Q436" s="491" t="n"/>
      <c r="R436" s="491" t="n"/>
      <c r="S436" s="491" t="n"/>
      <c r="T436" s="491" t="n"/>
      <c r="U436" s="491" t="n"/>
      <c r="V436" s="491" t="n"/>
      <c r="W436" s="491" t="n"/>
      <c r="X436" s="491" t="n"/>
      <c r="Y436" s="491" t="n"/>
    </row>
    <row r="437" ht="12.75" customHeight="1" s="398">
      <c r="A437" s="491" t="n"/>
      <c r="B437" s="491" t="n"/>
      <c r="C437" s="491" t="n"/>
      <c r="D437" s="491" t="n"/>
      <c r="E437" s="491" t="n"/>
      <c r="F437" s="491" t="n"/>
      <c r="G437" s="491" t="n"/>
      <c r="H437" s="491" t="n"/>
      <c r="I437" s="491" t="n"/>
      <c r="J437" s="491" t="n"/>
      <c r="K437" s="491" t="n"/>
      <c r="L437" s="491" t="n"/>
      <c r="M437" s="491" t="n"/>
      <c r="N437" s="491" t="n"/>
      <c r="O437" s="491" t="n"/>
      <c r="P437" s="491" t="n"/>
      <c r="Q437" s="491" t="n"/>
      <c r="R437" s="491" t="n"/>
      <c r="S437" s="491" t="n"/>
      <c r="T437" s="491" t="n"/>
      <c r="U437" s="491" t="n"/>
      <c r="V437" s="491" t="n"/>
      <c r="W437" s="491" t="n"/>
      <c r="X437" s="491" t="n"/>
      <c r="Y437" s="491" t="n"/>
    </row>
    <row r="438" ht="12.75" customHeight="1" s="398">
      <c r="A438" s="491" t="n"/>
      <c r="B438" s="491" t="n"/>
      <c r="C438" s="491" t="n"/>
      <c r="D438" s="491" t="n"/>
      <c r="E438" s="491" t="n"/>
      <c r="F438" s="491" t="n"/>
      <c r="G438" s="491" t="n"/>
      <c r="H438" s="491" t="n"/>
      <c r="I438" s="491" t="n"/>
      <c r="J438" s="491" t="n"/>
      <c r="K438" s="491" t="n"/>
      <c r="L438" s="491" t="n"/>
      <c r="M438" s="491" t="n"/>
      <c r="N438" s="491" t="n"/>
      <c r="O438" s="491" t="n"/>
      <c r="P438" s="491" t="n"/>
      <c r="Q438" s="491" t="n"/>
      <c r="R438" s="491" t="n"/>
      <c r="S438" s="491" t="n"/>
      <c r="T438" s="491" t="n"/>
      <c r="U438" s="491" t="n"/>
      <c r="V438" s="491" t="n"/>
      <c r="W438" s="491" t="n"/>
      <c r="X438" s="491" t="n"/>
      <c r="Y438" s="491" t="n"/>
    </row>
    <row r="439" ht="12.75" customHeight="1" s="398">
      <c r="A439" s="491" t="n"/>
      <c r="B439" s="491" t="n"/>
      <c r="C439" s="491" t="n"/>
      <c r="D439" s="491" t="n"/>
      <c r="E439" s="491" t="n"/>
      <c r="F439" s="491" t="n"/>
      <c r="G439" s="491" t="n"/>
      <c r="H439" s="491" t="n"/>
      <c r="I439" s="491" t="n"/>
      <c r="J439" s="491" t="n"/>
      <c r="K439" s="491" t="n"/>
      <c r="L439" s="491" t="n"/>
      <c r="M439" s="491" t="n"/>
      <c r="N439" s="491" t="n"/>
      <c r="O439" s="491" t="n"/>
      <c r="P439" s="491" t="n"/>
      <c r="Q439" s="491" t="n"/>
      <c r="R439" s="491" t="n"/>
      <c r="S439" s="491" t="n"/>
      <c r="T439" s="491" t="n"/>
      <c r="U439" s="491" t="n"/>
      <c r="V439" s="491" t="n"/>
      <c r="W439" s="491" t="n"/>
      <c r="X439" s="491" t="n"/>
      <c r="Y439" s="491" t="n"/>
    </row>
    <row r="440" ht="12.75" customHeight="1" s="398">
      <c r="A440" s="491" t="n"/>
      <c r="B440" s="491" t="n"/>
      <c r="C440" s="491" t="n"/>
      <c r="D440" s="491" t="n"/>
      <c r="E440" s="491" t="n"/>
      <c r="F440" s="491" t="n"/>
      <c r="G440" s="491" t="n"/>
      <c r="H440" s="491" t="n"/>
      <c r="I440" s="491" t="n"/>
      <c r="J440" s="491" t="n"/>
      <c r="K440" s="491" t="n"/>
      <c r="L440" s="491" t="n"/>
      <c r="M440" s="491" t="n"/>
      <c r="N440" s="491" t="n"/>
      <c r="O440" s="491" t="n"/>
      <c r="P440" s="491" t="n"/>
      <c r="Q440" s="491" t="n"/>
      <c r="R440" s="491" t="n"/>
      <c r="S440" s="491" t="n"/>
      <c r="T440" s="491" t="n"/>
      <c r="U440" s="491" t="n"/>
      <c r="V440" s="491" t="n"/>
      <c r="W440" s="491" t="n"/>
      <c r="X440" s="491" t="n"/>
      <c r="Y440" s="491" t="n"/>
    </row>
    <row r="441" ht="12.75" customHeight="1" s="398">
      <c r="A441" s="491" t="n"/>
      <c r="B441" s="491" t="n"/>
      <c r="C441" s="491" t="n"/>
      <c r="D441" s="491" t="n"/>
      <c r="E441" s="491" t="n"/>
      <c r="F441" s="491" t="n"/>
      <c r="G441" s="491" t="n"/>
      <c r="H441" s="491" t="n"/>
      <c r="I441" s="491" t="n"/>
      <c r="J441" s="491" t="n"/>
      <c r="K441" s="491" t="n"/>
      <c r="L441" s="491" t="n"/>
      <c r="M441" s="491" t="n"/>
      <c r="N441" s="491" t="n"/>
      <c r="O441" s="491" t="n"/>
      <c r="P441" s="491" t="n"/>
      <c r="Q441" s="491" t="n"/>
      <c r="R441" s="491" t="n"/>
      <c r="S441" s="491" t="n"/>
      <c r="T441" s="491" t="n"/>
      <c r="U441" s="491" t="n"/>
      <c r="V441" s="491" t="n"/>
      <c r="W441" s="491" t="n"/>
      <c r="X441" s="491" t="n"/>
      <c r="Y441" s="491" t="n"/>
    </row>
    <row r="442" ht="12.75" customHeight="1" s="398">
      <c r="A442" s="491" t="n"/>
      <c r="B442" s="491" t="n"/>
      <c r="C442" s="491" t="n"/>
      <c r="D442" s="491" t="n"/>
      <c r="E442" s="491" t="n"/>
      <c r="F442" s="491" t="n"/>
      <c r="G442" s="491" t="n"/>
      <c r="H442" s="491" t="n"/>
      <c r="I442" s="491" t="n"/>
      <c r="J442" s="491" t="n"/>
      <c r="K442" s="491" t="n"/>
      <c r="L442" s="491" t="n"/>
      <c r="M442" s="491" t="n"/>
      <c r="N442" s="491" t="n"/>
      <c r="O442" s="491" t="n"/>
      <c r="P442" s="491" t="n"/>
      <c r="Q442" s="491" t="n"/>
      <c r="R442" s="491" t="n"/>
      <c r="S442" s="491" t="n"/>
      <c r="T442" s="491" t="n"/>
      <c r="U442" s="491" t="n"/>
      <c r="V442" s="491" t="n"/>
      <c r="W442" s="491" t="n"/>
      <c r="X442" s="491" t="n"/>
      <c r="Y442" s="491" t="n"/>
    </row>
    <row r="443" ht="12.75" customHeight="1" s="398">
      <c r="A443" s="491" t="n"/>
      <c r="B443" s="491" t="n"/>
      <c r="C443" s="491" t="n"/>
      <c r="D443" s="491" t="n"/>
      <c r="E443" s="491" t="n"/>
      <c r="F443" s="491" t="n"/>
      <c r="G443" s="491" t="n"/>
      <c r="H443" s="491" t="n"/>
      <c r="I443" s="491" t="n"/>
      <c r="J443" s="491" t="n"/>
      <c r="K443" s="491" t="n"/>
      <c r="L443" s="491" t="n"/>
      <c r="M443" s="491" t="n"/>
      <c r="N443" s="491" t="n"/>
      <c r="O443" s="491" t="n"/>
      <c r="P443" s="491" t="n"/>
      <c r="Q443" s="491" t="n"/>
      <c r="R443" s="491" t="n"/>
      <c r="S443" s="491" t="n"/>
      <c r="T443" s="491" t="n"/>
      <c r="U443" s="491" t="n"/>
      <c r="V443" s="491" t="n"/>
      <c r="W443" s="491" t="n"/>
      <c r="X443" s="491" t="n"/>
      <c r="Y443" s="491" t="n"/>
    </row>
    <row r="444" ht="12.75" customHeight="1" s="398">
      <c r="A444" s="491" t="n"/>
      <c r="B444" s="491" t="n"/>
      <c r="C444" s="491" t="n"/>
      <c r="D444" s="491" t="n"/>
      <c r="E444" s="491" t="n"/>
      <c r="F444" s="491" t="n"/>
      <c r="G444" s="491" t="n"/>
      <c r="H444" s="491" t="n"/>
      <c r="I444" s="491" t="n"/>
      <c r="J444" s="491" t="n"/>
      <c r="K444" s="491" t="n"/>
      <c r="L444" s="491" t="n"/>
      <c r="M444" s="491" t="n"/>
      <c r="N444" s="491" t="n"/>
      <c r="O444" s="491" t="n"/>
      <c r="P444" s="491" t="n"/>
      <c r="Q444" s="491" t="n"/>
      <c r="R444" s="491" t="n"/>
      <c r="S444" s="491" t="n"/>
      <c r="T444" s="491" t="n"/>
      <c r="U444" s="491" t="n"/>
      <c r="V444" s="491" t="n"/>
      <c r="W444" s="491" t="n"/>
      <c r="X444" s="491" t="n"/>
      <c r="Y444" s="491" t="n"/>
    </row>
    <row r="445" ht="12.75" customHeight="1" s="398">
      <c r="A445" s="491" t="n"/>
      <c r="B445" s="491" t="n"/>
      <c r="C445" s="491" t="n"/>
      <c r="D445" s="491" t="n"/>
      <c r="E445" s="491" t="n"/>
      <c r="F445" s="491" t="n"/>
      <c r="G445" s="491" t="n"/>
      <c r="H445" s="491" t="n"/>
      <c r="I445" s="491" t="n"/>
      <c r="J445" s="491" t="n"/>
      <c r="K445" s="491" t="n"/>
      <c r="L445" s="491" t="n"/>
      <c r="M445" s="491" t="n"/>
      <c r="N445" s="491" t="n"/>
      <c r="O445" s="491" t="n"/>
      <c r="P445" s="491" t="n"/>
      <c r="Q445" s="491" t="n"/>
      <c r="R445" s="491" t="n"/>
      <c r="S445" s="491" t="n"/>
      <c r="T445" s="491" t="n"/>
      <c r="U445" s="491" t="n"/>
      <c r="V445" s="491" t="n"/>
      <c r="W445" s="491" t="n"/>
      <c r="X445" s="491" t="n"/>
      <c r="Y445" s="491" t="n"/>
    </row>
    <row r="446" ht="12.75" customHeight="1" s="398">
      <c r="A446" s="491" t="n"/>
      <c r="B446" s="491" t="n"/>
      <c r="C446" s="491" t="n"/>
      <c r="D446" s="491" t="n"/>
      <c r="E446" s="491" t="n"/>
      <c r="F446" s="491" t="n"/>
      <c r="G446" s="491" t="n"/>
      <c r="H446" s="491" t="n"/>
      <c r="I446" s="491" t="n"/>
      <c r="J446" s="491" t="n"/>
      <c r="K446" s="491" t="n"/>
      <c r="L446" s="491" t="n"/>
      <c r="M446" s="491" t="n"/>
      <c r="N446" s="491" t="n"/>
      <c r="O446" s="491" t="n"/>
      <c r="P446" s="491" t="n"/>
      <c r="Q446" s="491" t="n"/>
      <c r="R446" s="491" t="n"/>
      <c r="S446" s="491" t="n"/>
      <c r="T446" s="491" t="n"/>
      <c r="U446" s="491" t="n"/>
      <c r="V446" s="491" t="n"/>
      <c r="W446" s="491" t="n"/>
      <c r="X446" s="491" t="n"/>
      <c r="Y446" s="491" t="n"/>
    </row>
    <row r="447" ht="12.75" customHeight="1" s="398">
      <c r="A447" s="491" t="n"/>
      <c r="B447" s="491" t="n"/>
      <c r="C447" s="491" t="n"/>
      <c r="D447" s="491" t="n"/>
      <c r="E447" s="491" t="n"/>
      <c r="F447" s="491" t="n"/>
      <c r="G447" s="491" t="n"/>
      <c r="H447" s="491" t="n"/>
      <c r="I447" s="491" t="n"/>
      <c r="J447" s="491" t="n"/>
      <c r="K447" s="491" t="n"/>
      <c r="L447" s="491" t="n"/>
      <c r="M447" s="491" t="n"/>
      <c r="N447" s="491" t="n"/>
      <c r="O447" s="491" t="n"/>
      <c r="P447" s="491" t="n"/>
      <c r="Q447" s="491" t="n"/>
      <c r="R447" s="491" t="n"/>
      <c r="S447" s="491" t="n"/>
      <c r="T447" s="491" t="n"/>
      <c r="U447" s="491" t="n"/>
      <c r="V447" s="491" t="n"/>
      <c r="W447" s="491" t="n"/>
      <c r="X447" s="491" t="n"/>
      <c r="Y447" s="491" t="n"/>
    </row>
    <row r="448" ht="12.75" customHeight="1" s="398">
      <c r="A448" s="491" t="n"/>
      <c r="B448" s="491" t="n"/>
      <c r="C448" s="491" t="n"/>
      <c r="D448" s="491" t="n"/>
      <c r="E448" s="491" t="n"/>
      <c r="F448" s="491" t="n"/>
      <c r="G448" s="491" t="n"/>
      <c r="H448" s="491" t="n"/>
      <c r="I448" s="491" t="n"/>
      <c r="J448" s="491" t="n"/>
      <c r="K448" s="491" t="n"/>
      <c r="L448" s="491" t="n"/>
      <c r="M448" s="491" t="n"/>
      <c r="N448" s="491" t="n"/>
      <c r="O448" s="491" t="n"/>
      <c r="P448" s="491" t="n"/>
      <c r="Q448" s="491" t="n"/>
      <c r="R448" s="491" t="n"/>
      <c r="S448" s="491" t="n"/>
      <c r="T448" s="491" t="n"/>
      <c r="U448" s="491" t="n"/>
      <c r="V448" s="491" t="n"/>
      <c r="W448" s="491" t="n"/>
      <c r="X448" s="491" t="n"/>
      <c r="Y448" s="491" t="n"/>
    </row>
    <row r="449" ht="12.75" customHeight="1" s="398">
      <c r="A449" s="491" t="n"/>
      <c r="B449" s="491" t="n"/>
      <c r="C449" s="491" t="n"/>
      <c r="D449" s="491" t="n"/>
      <c r="E449" s="491" t="n"/>
      <c r="F449" s="491" t="n"/>
      <c r="G449" s="491" t="n"/>
      <c r="H449" s="491" t="n"/>
      <c r="I449" s="491" t="n"/>
      <c r="J449" s="491" t="n"/>
      <c r="K449" s="491" t="n"/>
      <c r="L449" s="491" t="n"/>
      <c r="M449" s="491" t="n"/>
      <c r="N449" s="491" t="n"/>
      <c r="O449" s="491" t="n"/>
      <c r="P449" s="491" t="n"/>
      <c r="Q449" s="491" t="n"/>
      <c r="R449" s="491" t="n"/>
      <c r="S449" s="491" t="n"/>
      <c r="T449" s="491" t="n"/>
      <c r="U449" s="491" t="n"/>
      <c r="V449" s="491" t="n"/>
      <c r="W449" s="491" t="n"/>
      <c r="X449" s="491" t="n"/>
      <c r="Y449" s="491" t="n"/>
    </row>
    <row r="450" ht="12.75" customHeight="1" s="398">
      <c r="A450" s="491" t="n"/>
      <c r="B450" s="491" t="n"/>
      <c r="C450" s="491" t="n"/>
      <c r="D450" s="491" t="n"/>
      <c r="E450" s="491" t="n"/>
      <c r="F450" s="491" t="n"/>
      <c r="G450" s="491" t="n"/>
      <c r="H450" s="491" t="n"/>
      <c r="I450" s="491" t="n"/>
      <c r="J450" s="491" t="n"/>
      <c r="K450" s="491" t="n"/>
      <c r="L450" s="491" t="n"/>
      <c r="M450" s="491" t="n"/>
      <c r="N450" s="491" t="n"/>
      <c r="O450" s="491" t="n"/>
      <c r="P450" s="491" t="n"/>
      <c r="Q450" s="491" t="n"/>
      <c r="R450" s="491" t="n"/>
      <c r="S450" s="491" t="n"/>
      <c r="T450" s="491" t="n"/>
      <c r="U450" s="491" t="n"/>
      <c r="V450" s="491" t="n"/>
      <c r="W450" s="491" t="n"/>
      <c r="X450" s="491" t="n"/>
      <c r="Y450" s="491" t="n"/>
    </row>
    <row r="451" ht="12.75" customHeight="1" s="398">
      <c r="A451" s="491" t="n"/>
      <c r="B451" s="491" t="n"/>
      <c r="C451" s="491" t="n"/>
      <c r="D451" s="491" t="n"/>
      <c r="E451" s="491" t="n"/>
      <c r="F451" s="491" t="n"/>
      <c r="G451" s="491" t="n"/>
      <c r="H451" s="491" t="n"/>
      <c r="I451" s="491" t="n"/>
      <c r="J451" s="491" t="n"/>
      <c r="K451" s="491" t="n"/>
      <c r="L451" s="491" t="n"/>
      <c r="M451" s="491" t="n"/>
      <c r="N451" s="491" t="n"/>
      <c r="O451" s="491" t="n"/>
      <c r="P451" s="491" t="n"/>
      <c r="Q451" s="491" t="n"/>
      <c r="R451" s="491" t="n"/>
      <c r="S451" s="491" t="n"/>
      <c r="T451" s="491" t="n"/>
      <c r="U451" s="491" t="n"/>
      <c r="V451" s="491" t="n"/>
      <c r="W451" s="491" t="n"/>
      <c r="X451" s="491" t="n"/>
      <c r="Y451" s="491" t="n"/>
    </row>
    <row r="452" ht="12.75" customHeight="1" s="398">
      <c r="A452" s="491" t="n"/>
      <c r="B452" s="491" t="n"/>
      <c r="C452" s="491" t="n"/>
      <c r="D452" s="491" t="n"/>
      <c r="E452" s="491" t="n"/>
      <c r="F452" s="491" t="n"/>
      <c r="G452" s="491" t="n"/>
      <c r="H452" s="491" t="n"/>
      <c r="I452" s="491" t="n"/>
      <c r="J452" s="491" t="n"/>
      <c r="K452" s="491" t="n"/>
      <c r="L452" s="491" t="n"/>
      <c r="M452" s="491" t="n"/>
      <c r="N452" s="491" t="n"/>
      <c r="O452" s="491" t="n"/>
      <c r="P452" s="491" t="n"/>
      <c r="Q452" s="491" t="n"/>
      <c r="R452" s="491" t="n"/>
      <c r="S452" s="491" t="n"/>
      <c r="T452" s="491" t="n"/>
      <c r="U452" s="491" t="n"/>
      <c r="V452" s="491" t="n"/>
      <c r="W452" s="491" t="n"/>
      <c r="X452" s="491" t="n"/>
      <c r="Y452" s="491" t="n"/>
    </row>
    <row r="453" ht="12.75" customHeight="1" s="398">
      <c r="A453" s="491" t="n"/>
      <c r="B453" s="491" t="n"/>
      <c r="C453" s="491" t="n"/>
      <c r="D453" s="491" t="n"/>
      <c r="E453" s="491" t="n"/>
      <c r="F453" s="491" t="n"/>
      <c r="G453" s="491" t="n"/>
      <c r="H453" s="491" t="n"/>
      <c r="I453" s="491" t="n"/>
      <c r="J453" s="491" t="n"/>
      <c r="K453" s="491" t="n"/>
      <c r="L453" s="491" t="n"/>
      <c r="M453" s="491" t="n"/>
      <c r="N453" s="491" t="n"/>
      <c r="O453" s="491" t="n"/>
      <c r="P453" s="491" t="n"/>
      <c r="Q453" s="491" t="n"/>
      <c r="R453" s="491" t="n"/>
      <c r="S453" s="491" t="n"/>
      <c r="T453" s="491" t="n"/>
      <c r="U453" s="491" t="n"/>
      <c r="V453" s="491" t="n"/>
      <c r="W453" s="491" t="n"/>
      <c r="X453" s="491" t="n"/>
      <c r="Y453" s="491" t="n"/>
    </row>
    <row r="454" ht="12.75" customHeight="1" s="398">
      <c r="A454" s="491" t="n"/>
      <c r="B454" s="491" t="n"/>
      <c r="C454" s="491" t="n"/>
      <c r="D454" s="491" t="n"/>
      <c r="E454" s="491" t="n"/>
      <c r="F454" s="491" t="n"/>
      <c r="G454" s="491" t="n"/>
      <c r="H454" s="491" t="n"/>
      <c r="I454" s="491" t="n"/>
      <c r="J454" s="491" t="n"/>
      <c r="K454" s="491" t="n"/>
      <c r="L454" s="491" t="n"/>
      <c r="M454" s="491" t="n"/>
      <c r="N454" s="491" t="n"/>
      <c r="O454" s="491" t="n"/>
      <c r="P454" s="491" t="n"/>
      <c r="Q454" s="491" t="n"/>
      <c r="R454" s="491" t="n"/>
      <c r="S454" s="491" t="n"/>
      <c r="T454" s="491" t="n"/>
      <c r="U454" s="491" t="n"/>
      <c r="V454" s="491" t="n"/>
      <c r="W454" s="491" t="n"/>
      <c r="X454" s="491" t="n"/>
      <c r="Y454" s="491" t="n"/>
    </row>
    <row r="455" ht="12.75" customHeight="1" s="398">
      <c r="A455" s="491" t="n"/>
      <c r="B455" s="491" t="n"/>
      <c r="C455" s="491" t="n"/>
      <c r="D455" s="491" t="n"/>
      <c r="E455" s="491" t="n"/>
      <c r="F455" s="491" t="n"/>
      <c r="G455" s="491" t="n"/>
      <c r="H455" s="491" t="n"/>
      <c r="I455" s="491" t="n"/>
      <c r="J455" s="491" t="n"/>
      <c r="K455" s="491" t="n"/>
      <c r="L455" s="491" t="n"/>
      <c r="M455" s="491" t="n"/>
      <c r="N455" s="491" t="n"/>
      <c r="O455" s="491" t="n"/>
      <c r="P455" s="491" t="n"/>
      <c r="Q455" s="491" t="n"/>
      <c r="R455" s="491" t="n"/>
      <c r="S455" s="491" t="n"/>
      <c r="T455" s="491" t="n"/>
      <c r="U455" s="491" t="n"/>
      <c r="V455" s="491" t="n"/>
      <c r="W455" s="491" t="n"/>
      <c r="X455" s="491" t="n"/>
      <c r="Y455" s="491" t="n"/>
    </row>
    <row r="456" ht="12.75" customHeight="1" s="398">
      <c r="A456" s="491" t="n"/>
      <c r="B456" s="491" t="n"/>
      <c r="C456" s="491" t="n"/>
      <c r="D456" s="491" t="n"/>
      <c r="E456" s="491" t="n"/>
      <c r="F456" s="491" t="n"/>
      <c r="G456" s="491" t="n"/>
      <c r="H456" s="491" t="n"/>
      <c r="I456" s="491" t="n"/>
      <c r="J456" s="491" t="n"/>
      <c r="K456" s="491" t="n"/>
      <c r="L456" s="491" t="n"/>
      <c r="M456" s="491" t="n"/>
      <c r="N456" s="491" t="n"/>
      <c r="O456" s="491" t="n"/>
      <c r="P456" s="491" t="n"/>
      <c r="Q456" s="491" t="n"/>
      <c r="R456" s="491" t="n"/>
      <c r="S456" s="491" t="n"/>
      <c r="T456" s="491" t="n"/>
      <c r="U456" s="491" t="n"/>
      <c r="V456" s="491" t="n"/>
      <c r="W456" s="491" t="n"/>
      <c r="X456" s="491" t="n"/>
      <c r="Y456" s="491" t="n"/>
    </row>
    <row r="457" ht="12.75" customHeight="1" s="398">
      <c r="A457" s="491" t="n"/>
      <c r="B457" s="491" t="n"/>
      <c r="C457" s="491" t="n"/>
      <c r="D457" s="491" t="n"/>
      <c r="E457" s="491" t="n"/>
      <c r="F457" s="491" t="n"/>
      <c r="G457" s="491" t="n"/>
      <c r="H457" s="491" t="n"/>
      <c r="I457" s="491" t="n"/>
      <c r="J457" s="491" t="n"/>
      <c r="K457" s="491" t="n"/>
      <c r="L457" s="491" t="n"/>
      <c r="M457" s="491" t="n"/>
      <c r="N457" s="491" t="n"/>
      <c r="O457" s="491" t="n"/>
      <c r="P457" s="491" t="n"/>
      <c r="Q457" s="491" t="n"/>
      <c r="R457" s="491" t="n"/>
      <c r="S457" s="491" t="n"/>
      <c r="T457" s="491" t="n"/>
      <c r="U457" s="491" t="n"/>
      <c r="V457" s="491" t="n"/>
      <c r="W457" s="491" t="n"/>
      <c r="X457" s="491" t="n"/>
      <c r="Y457" s="491" t="n"/>
    </row>
    <row r="458" ht="12.75" customHeight="1" s="398">
      <c r="A458" s="491" t="n"/>
      <c r="B458" s="491" t="n"/>
      <c r="C458" s="491" t="n"/>
      <c r="D458" s="491" t="n"/>
      <c r="E458" s="491" t="n"/>
      <c r="F458" s="491" t="n"/>
      <c r="G458" s="491" t="n"/>
      <c r="H458" s="491" t="n"/>
      <c r="I458" s="491" t="n"/>
      <c r="J458" s="491" t="n"/>
      <c r="K458" s="491" t="n"/>
      <c r="L458" s="491" t="n"/>
      <c r="M458" s="491" t="n"/>
      <c r="N458" s="491" t="n"/>
      <c r="O458" s="491" t="n"/>
      <c r="P458" s="491" t="n"/>
      <c r="Q458" s="491" t="n"/>
      <c r="R458" s="491" t="n"/>
      <c r="S458" s="491" t="n"/>
      <c r="T458" s="491" t="n"/>
      <c r="U458" s="491" t="n"/>
      <c r="V458" s="491" t="n"/>
      <c r="W458" s="491" t="n"/>
      <c r="X458" s="491" t="n"/>
      <c r="Y458" s="491" t="n"/>
    </row>
    <row r="459" ht="12.75" customHeight="1" s="398">
      <c r="A459" s="491" t="n"/>
      <c r="B459" s="491" t="n"/>
      <c r="C459" s="491" t="n"/>
      <c r="D459" s="491" t="n"/>
      <c r="E459" s="491" t="n"/>
      <c r="F459" s="491" t="n"/>
      <c r="G459" s="491" t="n"/>
      <c r="H459" s="491" t="n"/>
      <c r="I459" s="491" t="n"/>
      <c r="J459" s="491" t="n"/>
      <c r="K459" s="491" t="n"/>
      <c r="L459" s="491" t="n"/>
      <c r="M459" s="491" t="n"/>
      <c r="N459" s="491" t="n"/>
      <c r="O459" s="491" t="n"/>
      <c r="P459" s="491" t="n"/>
      <c r="Q459" s="491" t="n"/>
      <c r="R459" s="491" t="n"/>
      <c r="S459" s="491" t="n"/>
      <c r="T459" s="491" t="n"/>
      <c r="U459" s="491" t="n"/>
      <c r="V459" s="491" t="n"/>
      <c r="W459" s="491" t="n"/>
      <c r="X459" s="491" t="n"/>
      <c r="Y459" s="491" t="n"/>
    </row>
    <row r="460" ht="12.75" customHeight="1" s="398">
      <c r="A460" s="491" t="n"/>
      <c r="B460" s="491" t="n"/>
      <c r="C460" s="491" t="n"/>
      <c r="D460" s="491" t="n"/>
      <c r="E460" s="491" t="n"/>
      <c r="F460" s="491" t="n"/>
      <c r="G460" s="491" t="n"/>
      <c r="H460" s="491" t="n"/>
      <c r="I460" s="491" t="n"/>
      <c r="J460" s="491" t="n"/>
      <c r="K460" s="491" t="n"/>
      <c r="L460" s="491" t="n"/>
      <c r="M460" s="491" t="n"/>
      <c r="N460" s="491" t="n"/>
      <c r="O460" s="491" t="n"/>
      <c r="P460" s="491" t="n"/>
      <c r="Q460" s="491" t="n"/>
      <c r="R460" s="491" t="n"/>
      <c r="S460" s="491" t="n"/>
      <c r="T460" s="491" t="n"/>
      <c r="U460" s="491" t="n"/>
      <c r="V460" s="491" t="n"/>
      <c r="W460" s="491" t="n"/>
      <c r="X460" s="491" t="n"/>
      <c r="Y460" s="491" t="n"/>
    </row>
    <row r="461" ht="12.75" customHeight="1" s="398">
      <c r="A461" s="491" t="n"/>
      <c r="B461" s="491" t="n"/>
      <c r="C461" s="491" t="n"/>
      <c r="D461" s="491" t="n"/>
      <c r="E461" s="491" t="n"/>
      <c r="F461" s="491" t="n"/>
      <c r="G461" s="491" t="n"/>
      <c r="H461" s="491" t="n"/>
      <c r="I461" s="491" t="n"/>
      <c r="J461" s="491" t="n"/>
      <c r="K461" s="491" t="n"/>
      <c r="L461" s="491" t="n"/>
      <c r="M461" s="491" t="n"/>
      <c r="N461" s="491" t="n"/>
      <c r="O461" s="491" t="n"/>
      <c r="P461" s="491" t="n"/>
      <c r="Q461" s="491" t="n"/>
      <c r="R461" s="491" t="n"/>
      <c r="S461" s="491" t="n"/>
      <c r="T461" s="491" t="n"/>
      <c r="U461" s="491" t="n"/>
      <c r="V461" s="491" t="n"/>
      <c r="W461" s="491" t="n"/>
      <c r="X461" s="491" t="n"/>
      <c r="Y461" s="491" t="n"/>
    </row>
    <row r="462" ht="12.75" customHeight="1" s="398">
      <c r="A462" s="491" t="n"/>
      <c r="B462" s="491" t="n"/>
      <c r="C462" s="491" t="n"/>
      <c r="D462" s="491" t="n"/>
      <c r="E462" s="491" t="n"/>
      <c r="F462" s="491" t="n"/>
      <c r="G462" s="491" t="n"/>
      <c r="H462" s="491" t="n"/>
      <c r="I462" s="491" t="n"/>
      <c r="J462" s="491" t="n"/>
      <c r="K462" s="491" t="n"/>
      <c r="L462" s="491" t="n"/>
      <c r="M462" s="491" t="n"/>
      <c r="N462" s="491" t="n"/>
      <c r="O462" s="491" t="n"/>
      <c r="P462" s="491" t="n"/>
      <c r="Q462" s="491" t="n"/>
      <c r="R462" s="491" t="n"/>
      <c r="S462" s="491" t="n"/>
      <c r="T462" s="491" t="n"/>
      <c r="U462" s="491" t="n"/>
      <c r="V462" s="491" t="n"/>
      <c r="W462" s="491" t="n"/>
      <c r="X462" s="491" t="n"/>
      <c r="Y462" s="491" t="n"/>
    </row>
    <row r="463" ht="12.75" customHeight="1" s="398">
      <c r="A463" s="491" t="n"/>
      <c r="B463" s="491" t="n"/>
      <c r="C463" s="491" t="n"/>
      <c r="D463" s="491" t="n"/>
      <c r="E463" s="491" t="n"/>
      <c r="F463" s="491" t="n"/>
      <c r="G463" s="491" t="n"/>
      <c r="H463" s="491" t="n"/>
      <c r="I463" s="491" t="n"/>
      <c r="J463" s="491" t="n"/>
      <c r="K463" s="491" t="n"/>
      <c r="L463" s="491" t="n"/>
      <c r="M463" s="491" t="n"/>
      <c r="N463" s="491" t="n"/>
      <c r="O463" s="491" t="n"/>
      <c r="P463" s="491" t="n"/>
      <c r="Q463" s="491" t="n"/>
      <c r="R463" s="491" t="n"/>
      <c r="S463" s="491" t="n"/>
      <c r="T463" s="491" t="n"/>
      <c r="U463" s="491" t="n"/>
      <c r="V463" s="491" t="n"/>
      <c r="W463" s="491" t="n"/>
      <c r="X463" s="491" t="n"/>
      <c r="Y463" s="491" t="n"/>
    </row>
    <row r="464" ht="12.75" customHeight="1" s="398">
      <c r="A464" s="491" t="n"/>
      <c r="B464" s="491" t="n"/>
      <c r="C464" s="491" t="n"/>
      <c r="D464" s="491" t="n"/>
      <c r="E464" s="491" t="n"/>
      <c r="F464" s="491" t="n"/>
      <c r="G464" s="491" t="n"/>
      <c r="H464" s="491" t="n"/>
      <c r="I464" s="491" t="n"/>
      <c r="J464" s="491" t="n"/>
      <c r="K464" s="491" t="n"/>
      <c r="L464" s="491" t="n"/>
      <c r="M464" s="491" t="n"/>
      <c r="N464" s="491" t="n"/>
      <c r="O464" s="491" t="n"/>
      <c r="P464" s="491" t="n"/>
      <c r="Q464" s="491" t="n"/>
      <c r="R464" s="491" t="n"/>
      <c r="S464" s="491" t="n"/>
      <c r="T464" s="491" t="n"/>
      <c r="U464" s="491" t="n"/>
      <c r="V464" s="491" t="n"/>
      <c r="W464" s="491" t="n"/>
      <c r="X464" s="491" t="n"/>
      <c r="Y464" s="491" t="n"/>
    </row>
    <row r="465" ht="12.75" customHeight="1" s="398">
      <c r="A465" s="491" t="n"/>
      <c r="B465" s="491" t="n"/>
      <c r="C465" s="491" t="n"/>
      <c r="D465" s="491" t="n"/>
      <c r="E465" s="491" t="n"/>
      <c r="F465" s="491" t="n"/>
      <c r="G465" s="491" t="n"/>
      <c r="H465" s="491" t="n"/>
      <c r="I465" s="491" t="n"/>
      <c r="J465" s="491" t="n"/>
      <c r="K465" s="491" t="n"/>
      <c r="L465" s="491" t="n"/>
      <c r="M465" s="491" t="n"/>
      <c r="N465" s="491" t="n"/>
      <c r="O465" s="491" t="n"/>
      <c r="P465" s="491" t="n"/>
      <c r="Q465" s="491" t="n"/>
      <c r="R465" s="491" t="n"/>
      <c r="S465" s="491" t="n"/>
      <c r="T465" s="491" t="n"/>
      <c r="U465" s="491" t="n"/>
      <c r="V465" s="491" t="n"/>
      <c r="W465" s="491" t="n"/>
      <c r="X465" s="491" t="n"/>
      <c r="Y465" s="491" t="n"/>
    </row>
    <row r="466" ht="12.75" customHeight="1" s="398">
      <c r="A466" s="491" t="n"/>
      <c r="B466" s="491" t="n"/>
      <c r="C466" s="491" t="n"/>
      <c r="D466" s="491" t="n"/>
      <c r="E466" s="491" t="n"/>
      <c r="F466" s="491" t="n"/>
      <c r="G466" s="491" t="n"/>
      <c r="H466" s="491" t="n"/>
      <c r="I466" s="491" t="n"/>
      <c r="J466" s="491" t="n"/>
      <c r="K466" s="491" t="n"/>
      <c r="L466" s="491" t="n"/>
      <c r="M466" s="491" t="n"/>
      <c r="N466" s="491" t="n"/>
      <c r="O466" s="491" t="n"/>
      <c r="P466" s="491" t="n"/>
      <c r="Q466" s="491" t="n"/>
      <c r="R466" s="491" t="n"/>
      <c r="S466" s="491" t="n"/>
      <c r="T466" s="491" t="n"/>
      <c r="U466" s="491" t="n"/>
      <c r="V466" s="491" t="n"/>
      <c r="W466" s="491" t="n"/>
      <c r="X466" s="491" t="n"/>
      <c r="Y466" s="491" t="n"/>
    </row>
    <row r="467" ht="12.75" customHeight="1" s="398">
      <c r="A467" s="491" t="n"/>
      <c r="B467" s="491" t="n"/>
      <c r="C467" s="491" t="n"/>
      <c r="D467" s="491" t="n"/>
      <c r="E467" s="491" t="n"/>
      <c r="F467" s="491" t="n"/>
      <c r="G467" s="491" t="n"/>
      <c r="H467" s="491" t="n"/>
      <c r="I467" s="491" t="n"/>
      <c r="J467" s="491" t="n"/>
      <c r="K467" s="491" t="n"/>
      <c r="L467" s="491" t="n"/>
      <c r="M467" s="491" t="n"/>
      <c r="N467" s="491" t="n"/>
      <c r="O467" s="491" t="n"/>
      <c r="P467" s="491" t="n"/>
      <c r="Q467" s="491" t="n"/>
      <c r="R467" s="491" t="n"/>
      <c r="S467" s="491" t="n"/>
      <c r="T467" s="491" t="n"/>
      <c r="U467" s="491" t="n"/>
      <c r="V467" s="491" t="n"/>
      <c r="W467" s="491" t="n"/>
      <c r="X467" s="491" t="n"/>
      <c r="Y467" s="491" t="n"/>
    </row>
    <row r="468" ht="12.75" customHeight="1" s="398">
      <c r="A468" s="491" t="n"/>
      <c r="B468" s="491" t="n"/>
      <c r="C468" s="491" t="n"/>
      <c r="D468" s="491" t="n"/>
      <c r="E468" s="491" t="n"/>
      <c r="F468" s="491" t="n"/>
      <c r="G468" s="491" t="n"/>
      <c r="H468" s="491" t="n"/>
      <c r="I468" s="491" t="n"/>
      <c r="J468" s="491" t="n"/>
      <c r="K468" s="491" t="n"/>
      <c r="L468" s="491" t="n"/>
      <c r="M468" s="491" t="n"/>
      <c r="N468" s="491" t="n"/>
      <c r="O468" s="491" t="n"/>
      <c r="P468" s="491" t="n"/>
      <c r="Q468" s="491" t="n"/>
      <c r="R468" s="491" t="n"/>
      <c r="S468" s="491" t="n"/>
      <c r="T468" s="491" t="n"/>
      <c r="U468" s="491" t="n"/>
      <c r="V468" s="491" t="n"/>
      <c r="W468" s="491" t="n"/>
      <c r="X468" s="491" t="n"/>
      <c r="Y468" s="491" t="n"/>
    </row>
    <row r="469" ht="12.75" customHeight="1" s="398">
      <c r="A469" s="491" t="n"/>
      <c r="B469" s="491" t="n"/>
      <c r="C469" s="491" t="n"/>
      <c r="D469" s="491" t="n"/>
      <c r="E469" s="491" t="n"/>
      <c r="F469" s="491" t="n"/>
      <c r="G469" s="491" t="n"/>
      <c r="H469" s="491" t="n"/>
      <c r="I469" s="491" t="n"/>
      <c r="J469" s="491" t="n"/>
      <c r="K469" s="491" t="n"/>
      <c r="L469" s="491" t="n"/>
      <c r="M469" s="491" t="n"/>
      <c r="N469" s="491" t="n"/>
      <c r="O469" s="491" t="n"/>
      <c r="P469" s="491" t="n"/>
      <c r="Q469" s="491" t="n"/>
      <c r="R469" s="491" t="n"/>
      <c r="S469" s="491" t="n"/>
      <c r="T469" s="491" t="n"/>
      <c r="U469" s="491" t="n"/>
      <c r="V469" s="491" t="n"/>
      <c r="W469" s="491" t="n"/>
      <c r="X469" s="491" t="n"/>
      <c r="Y469" s="491" t="n"/>
    </row>
    <row r="470" ht="12.75" customHeight="1" s="398">
      <c r="A470" s="491" t="n"/>
      <c r="B470" s="491" t="n"/>
      <c r="C470" s="491" t="n"/>
      <c r="D470" s="491" t="n"/>
      <c r="E470" s="491" t="n"/>
      <c r="F470" s="491" t="n"/>
      <c r="G470" s="491" t="n"/>
      <c r="H470" s="491" t="n"/>
      <c r="I470" s="491" t="n"/>
      <c r="J470" s="491" t="n"/>
      <c r="K470" s="491" t="n"/>
      <c r="L470" s="491" t="n"/>
      <c r="M470" s="491" t="n"/>
      <c r="N470" s="491" t="n"/>
      <c r="O470" s="491" t="n"/>
      <c r="P470" s="491" t="n"/>
      <c r="Q470" s="491" t="n"/>
      <c r="R470" s="491" t="n"/>
      <c r="S470" s="491" t="n"/>
      <c r="T470" s="491" t="n"/>
      <c r="U470" s="491" t="n"/>
      <c r="V470" s="491" t="n"/>
      <c r="W470" s="491" t="n"/>
      <c r="X470" s="491" t="n"/>
      <c r="Y470" s="491" t="n"/>
    </row>
    <row r="471" ht="12.75" customHeight="1" s="398">
      <c r="A471" s="491" t="n"/>
      <c r="B471" s="491" t="n"/>
      <c r="C471" s="491" t="n"/>
      <c r="D471" s="491" t="n"/>
      <c r="E471" s="491" t="n"/>
      <c r="F471" s="491" t="n"/>
      <c r="G471" s="491" t="n"/>
      <c r="H471" s="491" t="n"/>
      <c r="I471" s="491" t="n"/>
      <c r="J471" s="491" t="n"/>
      <c r="K471" s="491" t="n"/>
      <c r="L471" s="491" t="n"/>
      <c r="M471" s="491" t="n"/>
      <c r="N471" s="491" t="n"/>
      <c r="O471" s="491" t="n"/>
      <c r="P471" s="491" t="n"/>
      <c r="Q471" s="491" t="n"/>
      <c r="R471" s="491" t="n"/>
      <c r="S471" s="491" t="n"/>
      <c r="T471" s="491" t="n"/>
      <c r="U471" s="491" t="n"/>
      <c r="V471" s="491" t="n"/>
      <c r="W471" s="491" t="n"/>
      <c r="X471" s="491" t="n"/>
      <c r="Y471" s="491" t="n"/>
    </row>
    <row r="472" ht="12.75" customHeight="1" s="398">
      <c r="A472" s="491" t="n"/>
      <c r="B472" s="491" t="n"/>
      <c r="C472" s="491" t="n"/>
      <c r="D472" s="491" t="n"/>
      <c r="E472" s="491" t="n"/>
      <c r="F472" s="491" t="n"/>
      <c r="G472" s="491" t="n"/>
      <c r="H472" s="491" t="n"/>
      <c r="I472" s="491" t="n"/>
      <c r="J472" s="491" t="n"/>
      <c r="K472" s="491" t="n"/>
      <c r="L472" s="491" t="n"/>
      <c r="M472" s="491" t="n"/>
      <c r="N472" s="491" t="n"/>
      <c r="O472" s="491" t="n"/>
      <c r="P472" s="491" t="n"/>
      <c r="Q472" s="491" t="n"/>
      <c r="R472" s="491" t="n"/>
      <c r="S472" s="491" t="n"/>
      <c r="T472" s="491" t="n"/>
      <c r="U472" s="491" t="n"/>
      <c r="V472" s="491" t="n"/>
      <c r="W472" s="491" t="n"/>
      <c r="X472" s="491" t="n"/>
      <c r="Y472" s="491" t="n"/>
    </row>
    <row r="473" ht="12.75" customHeight="1" s="398">
      <c r="A473" s="491" t="n"/>
      <c r="B473" s="491" t="n"/>
      <c r="C473" s="491" t="n"/>
      <c r="D473" s="491" t="n"/>
      <c r="E473" s="491" t="n"/>
      <c r="F473" s="491" t="n"/>
      <c r="G473" s="491" t="n"/>
      <c r="H473" s="491" t="n"/>
      <c r="I473" s="491" t="n"/>
      <c r="J473" s="491" t="n"/>
      <c r="K473" s="491" t="n"/>
      <c r="L473" s="491" t="n"/>
      <c r="M473" s="491" t="n"/>
      <c r="N473" s="491" t="n"/>
      <c r="O473" s="491" t="n"/>
      <c r="P473" s="491" t="n"/>
      <c r="Q473" s="491" t="n"/>
      <c r="R473" s="491" t="n"/>
      <c r="S473" s="491" t="n"/>
      <c r="T473" s="491" t="n"/>
      <c r="U473" s="491" t="n"/>
      <c r="V473" s="491" t="n"/>
      <c r="W473" s="491" t="n"/>
      <c r="X473" s="491" t="n"/>
      <c r="Y473" s="491" t="n"/>
    </row>
    <row r="474" ht="12.75" customHeight="1" s="398">
      <c r="A474" s="491" t="n"/>
      <c r="B474" s="491" t="n"/>
      <c r="C474" s="491" t="n"/>
      <c r="D474" s="491" t="n"/>
      <c r="E474" s="491" t="n"/>
      <c r="F474" s="491" t="n"/>
      <c r="G474" s="491" t="n"/>
      <c r="H474" s="491" t="n"/>
      <c r="I474" s="491" t="n"/>
      <c r="J474" s="491" t="n"/>
      <c r="K474" s="491" t="n"/>
      <c r="L474" s="491" t="n"/>
      <c r="M474" s="491" t="n"/>
      <c r="N474" s="491" t="n"/>
      <c r="O474" s="491" t="n"/>
      <c r="P474" s="491" t="n"/>
      <c r="Q474" s="491" t="n"/>
      <c r="R474" s="491" t="n"/>
      <c r="S474" s="491" t="n"/>
      <c r="T474" s="491" t="n"/>
      <c r="U474" s="491" t="n"/>
      <c r="V474" s="491" t="n"/>
      <c r="W474" s="491" t="n"/>
      <c r="X474" s="491" t="n"/>
      <c r="Y474" s="491" t="n"/>
    </row>
    <row r="475" ht="12.75" customHeight="1" s="398">
      <c r="A475" s="491" t="n"/>
      <c r="B475" s="491" t="n"/>
      <c r="C475" s="491" t="n"/>
      <c r="D475" s="491" t="n"/>
      <c r="E475" s="491" t="n"/>
      <c r="F475" s="491" t="n"/>
      <c r="G475" s="491" t="n"/>
      <c r="H475" s="491" t="n"/>
      <c r="I475" s="491" t="n"/>
      <c r="J475" s="491" t="n"/>
      <c r="K475" s="491" t="n"/>
      <c r="L475" s="491" t="n"/>
      <c r="M475" s="491" t="n"/>
      <c r="N475" s="491" t="n"/>
      <c r="O475" s="491" t="n"/>
      <c r="P475" s="491" t="n"/>
      <c r="Q475" s="491" t="n"/>
      <c r="R475" s="491" t="n"/>
      <c r="S475" s="491" t="n"/>
      <c r="T475" s="491" t="n"/>
      <c r="U475" s="491" t="n"/>
      <c r="V475" s="491" t="n"/>
      <c r="W475" s="491" t="n"/>
      <c r="X475" s="491" t="n"/>
      <c r="Y475" s="491" t="n"/>
    </row>
    <row r="476" ht="12.75" customHeight="1" s="398">
      <c r="A476" s="491" t="n"/>
      <c r="B476" s="491" t="n"/>
      <c r="C476" s="491" t="n"/>
      <c r="D476" s="491" t="n"/>
      <c r="E476" s="491" t="n"/>
      <c r="F476" s="491" t="n"/>
      <c r="G476" s="491" t="n"/>
      <c r="H476" s="491" t="n"/>
      <c r="I476" s="491" t="n"/>
      <c r="J476" s="491" t="n"/>
      <c r="K476" s="491" t="n"/>
      <c r="L476" s="491" t="n"/>
      <c r="M476" s="491" t="n"/>
      <c r="N476" s="491" t="n"/>
      <c r="O476" s="491" t="n"/>
      <c r="P476" s="491" t="n"/>
      <c r="Q476" s="491" t="n"/>
      <c r="R476" s="491" t="n"/>
      <c r="S476" s="491" t="n"/>
      <c r="T476" s="491" t="n"/>
      <c r="U476" s="491" t="n"/>
      <c r="V476" s="491" t="n"/>
      <c r="W476" s="491" t="n"/>
      <c r="X476" s="491" t="n"/>
      <c r="Y476" s="491" t="n"/>
    </row>
    <row r="477" ht="12.75" customHeight="1" s="398">
      <c r="A477" s="491" t="n"/>
      <c r="B477" s="491" t="n"/>
      <c r="C477" s="491" t="n"/>
      <c r="D477" s="491" t="n"/>
      <c r="E477" s="491" t="n"/>
      <c r="F477" s="491" t="n"/>
      <c r="G477" s="491" t="n"/>
      <c r="H477" s="491" t="n"/>
      <c r="I477" s="491" t="n"/>
      <c r="J477" s="491" t="n"/>
      <c r="K477" s="491" t="n"/>
      <c r="L477" s="491" t="n"/>
      <c r="M477" s="491" t="n"/>
      <c r="N477" s="491" t="n"/>
      <c r="O477" s="491" t="n"/>
      <c r="P477" s="491" t="n"/>
      <c r="Q477" s="491" t="n"/>
      <c r="R477" s="491" t="n"/>
      <c r="S477" s="491" t="n"/>
      <c r="T477" s="491" t="n"/>
      <c r="U477" s="491" t="n"/>
      <c r="V477" s="491" t="n"/>
      <c r="W477" s="491" t="n"/>
      <c r="X477" s="491" t="n"/>
      <c r="Y477" s="491" t="n"/>
    </row>
    <row r="478" ht="12.75" customHeight="1" s="398">
      <c r="A478" s="491" t="n"/>
      <c r="B478" s="491" t="n"/>
      <c r="C478" s="491" t="n"/>
      <c r="D478" s="491" t="n"/>
      <c r="E478" s="491" t="n"/>
      <c r="F478" s="491" t="n"/>
      <c r="G478" s="491" t="n"/>
      <c r="H478" s="491" t="n"/>
      <c r="I478" s="491" t="n"/>
      <c r="J478" s="491" t="n"/>
      <c r="K478" s="491" t="n"/>
      <c r="L478" s="491" t="n"/>
      <c r="M478" s="491" t="n"/>
      <c r="N478" s="491" t="n"/>
      <c r="O478" s="491" t="n"/>
      <c r="P478" s="491" t="n"/>
      <c r="Q478" s="491" t="n"/>
      <c r="R478" s="491" t="n"/>
      <c r="S478" s="491" t="n"/>
      <c r="T478" s="491" t="n"/>
      <c r="U478" s="491" t="n"/>
      <c r="V478" s="491" t="n"/>
      <c r="W478" s="491" t="n"/>
      <c r="X478" s="491" t="n"/>
      <c r="Y478" s="491" t="n"/>
    </row>
    <row r="479" ht="12.75" customHeight="1" s="398">
      <c r="A479" s="491" t="n"/>
      <c r="B479" s="491" t="n"/>
      <c r="C479" s="491" t="n"/>
      <c r="D479" s="491" t="n"/>
      <c r="E479" s="491" t="n"/>
      <c r="F479" s="491" t="n"/>
      <c r="G479" s="491" t="n"/>
      <c r="H479" s="491" t="n"/>
      <c r="I479" s="491" t="n"/>
      <c r="J479" s="491" t="n"/>
      <c r="K479" s="491" t="n"/>
      <c r="L479" s="491" t="n"/>
      <c r="M479" s="491" t="n"/>
      <c r="N479" s="491" t="n"/>
      <c r="O479" s="491" t="n"/>
      <c r="P479" s="491" t="n"/>
      <c r="Q479" s="491" t="n"/>
      <c r="R479" s="491" t="n"/>
      <c r="S479" s="491" t="n"/>
      <c r="T479" s="491" t="n"/>
      <c r="U479" s="491" t="n"/>
      <c r="V479" s="491" t="n"/>
      <c r="W479" s="491" t="n"/>
      <c r="X479" s="491" t="n"/>
      <c r="Y479" s="491" t="n"/>
    </row>
    <row r="480" ht="12.75" customHeight="1" s="398">
      <c r="A480" s="491" t="n"/>
      <c r="B480" s="491" t="n"/>
      <c r="C480" s="491" t="n"/>
      <c r="D480" s="491" t="n"/>
      <c r="E480" s="491" t="n"/>
      <c r="F480" s="491" t="n"/>
      <c r="G480" s="491" t="n"/>
      <c r="H480" s="491" t="n"/>
      <c r="I480" s="491" t="n"/>
      <c r="J480" s="491" t="n"/>
      <c r="K480" s="491" t="n"/>
      <c r="L480" s="491" t="n"/>
      <c r="M480" s="491" t="n"/>
      <c r="N480" s="491" t="n"/>
      <c r="O480" s="491" t="n"/>
      <c r="P480" s="491" t="n"/>
      <c r="Q480" s="491" t="n"/>
      <c r="R480" s="491" t="n"/>
      <c r="S480" s="491" t="n"/>
      <c r="T480" s="491" t="n"/>
      <c r="U480" s="491" t="n"/>
      <c r="V480" s="491" t="n"/>
      <c r="W480" s="491" t="n"/>
      <c r="X480" s="491" t="n"/>
      <c r="Y480" s="491" t="n"/>
    </row>
    <row r="481" ht="12.75" customHeight="1" s="398">
      <c r="A481" s="491" t="n"/>
      <c r="B481" s="491" t="n"/>
      <c r="C481" s="491" t="n"/>
      <c r="D481" s="491" t="n"/>
      <c r="E481" s="491" t="n"/>
      <c r="F481" s="491" t="n"/>
      <c r="G481" s="491" t="n"/>
      <c r="H481" s="491" t="n"/>
      <c r="I481" s="491" t="n"/>
      <c r="J481" s="491" t="n"/>
      <c r="K481" s="491" t="n"/>
      <c r="L481" s="491" t="n"/>
      <c r="M481" s="491" t="n"/>
      <c r="N481" s="491" t="n"/>
      <c r="O481" s="491" t="n"/>
      <c r="P481" s="491" t="n"/>
      <c r="Q481" s="491" t="n"/>
      <c r="R481" s="491" t="n"/>
      <c r="S481" s="491" t="n"/>
      <c r="T481" s="491" t="n"/>
      <c r="U481" s="491" t="n"/>
      <c r="V481" s="491" t="n"/>
      <c r="W481" s="491" t="n"/>
      <c r="X481" s="491" t="n"/>
      <c r="Y481" s="491" t="n"/>
    </row>
    <row r="482" ht="12.75" customHeight="1" s="398">
      <c r="A482" s="491" t="n"/>
      <c r="B482" s="491" t="n"/>
      <c r="C482" s="491" t="n"/>
      <c r="D482" s="491" t="n"/>
      <c r="E482" s="491" t="n"/>
      <c r="F482" s="491" t="n"/>
      <c r="G482" s="491" t="n"/>
      <c r="H482" s="491" t="n"/>
      <c r="I482" s="491" t="n"/>
      <c r="J482" s="491" t="n"/>
      <c r="K482" s="491" t="n"/>
      <c r="L482" s="491" t="n"/>
      <c r="M482" s="491" t="n"/>
      <c r="N482" s="491" t="n"/>
      <c r="O482" s="491" t="n"/>
      <c r="P482" s="491" t="n"/>
      <c r="Q482" s="491" t="n"/>
      <c r="R482" s="491" t="n"/>
      <c r="S482" s="491" t="n"/>
      <c r="T482" s="491" t="n"/>
      <c r="U482" s="491" t="n"/>
      <c r="V482" s="491" t="n"/>
      <c r="W482" s="491" t="n"/>
      <c r="X482" s="491" t="n"/>
      <c r="Y482" s="491" t="n"/>
    </row>
    <row r="483" ht="12.75" customHeight="1" s="398">
      <c r="A483" s="491" t="n"/>
      <c r="B483" s="491" t="n"/>
      <c r="C483" s="491" t="n"/>
      <c r="D483" s="491" t="n"/>
      <c r="E483" s="491" t="n"/>
      <c r="F483" s="491" t="n"/>
      <c r="G483" s="491" t="n"/>
      <c r="H483" s="491" t="n"/>
      <c r="I483" s="491" t="n"/>
      <c r="J483" s="491" t="n"/>
      <c r="K483" s="491" t="n"/>
      <c r="L483" s="491" t="n"/>
      <c r="M483" s="491" t="n"/>
      <c r="N483" s="491" t="n"/>
      <c r="O483" s="491" t="n"/>
      <c r="P483" s="491" t="n"/>
      <c r="Q483" s="491" t="n"/>
      <c r="R483" s="491" t="n"/>
      <c r="S483" s="491" t="n"/>
      <c r="T483" s="491" t="n"/>
      <c r="U483" s="491" t="n"/>
      <c r="V483" s="491" t="n"/>
      <c r="W483" s="491" t="n"/>
      <c r="X483" s="491" t="n"/>
      <c r="Y483" s="491" t="n"/>
    </row>
    <row r="484" ht="12.75" customHeight="1" s="398">
      <c r="A484" s="491" t="n"/>
      <c r="B484" s="491" t="n"/>
      <c r="C484" s="491" t="n"/>
      <c r="D484" s="491" t="n"/>
      <c r="E484" s="491" t="n"/>
      <c r="F484" s="491" t="n"/>
      <c r="G484" s="491" t="n"/>
      <c r="H484" s="491" t="n"/>
      <c r="I484" s="491" t="n"/>
      <c r="J484" s="491" t="n"/>
      <c r="K484" s="491" t="n"/>
      <c r="L484" s="491" t="n"/>
      <c r="M484" s="491" t="n"/>
      <c r="N484" s="491" t="n"/>
      <c r="O484" s="491" t="n"/>
      <c r="P484" s="491" t="n"/>
      <c r="Q484" s="491" t="n"/>
      <c r="R484" s="491" t="n"/>
      <c r="S484" s="491" t="n"/>
      <c r="T484" s="491" t="n"/>
      <c r="U484" s="491" t="n"/>
      <c r="V484" s="491" t="n"/>
      <c r="W484" s="491" t="n"/>
      <c r="X484" s="491" t="n"/>
      <c r="Y484" s="491" t="n"/>
    </row>
    <row r="485" ht="12.75" customHeight="1" s="398">
      <c r="A485" s="491" t="n"/>
      <c r="B485" s="491" t="n"/>
      <c r="C485" s="491" t="n"/>
      <c r="D485" s="491" t="n"/>
      <c r="E485" s="491" t="n"/>
      <c r="F485" s="491" t="n"/>
      <c r="G485" s="491" t="n"/>
      <c r="H485" s="491" t="n"/>
      <c r="I485" s="491" t="n"/>
      <c r="J485" s="491" t="n"/>
      <c r="K485" s="491" t="n"/>
      <c r="L485" s="491" t="n"/>
      <c r="M485" s="491" t="n"/>
      <c r="N485" s="491" t="n"/>
      <c r="O485" s="491" t="n"/>
      <c r="P485" s="491" t="n"/>
      <c r="Q485" s="491" t="n"/>
      <c r="R485" s="491" t="n"/>
      <c r="S485" s="491" t="n"/>
      <c r="T485" s="491" t="n"/>
      <c r="U485" s="491" t="n"/>
      <c r="V485" s="491" t="n"/>
      <c r="W485" s="491" t="n"/>
      <c r="X485" s="491" t="n"/>
      <c r="Y485" s="491" t="n"/>
    </row>
    <row r="486" ht="12.75" customHeight="1" s="398">
      <c r="A486" s="491" t="n"/>
      <c r="B486" s="491" t="n"/>
      <c r="C486" s="491" t="n"/>
      <c r="D486" s="491" t="n"/>
      <c r="E486" s="491" t="n"/>
      <c r="F486" s="491" t="n"/>
      <c r="G486" s="491" t="n"/>
      <c r="H486" s="491" t="n"/>
      <c r="I486" s="491" t="n"/>
      <c r="J486" s="491" t="n"/>
      <c r="K486" s="491" t="n"/>
      <c r="L486" s="491" t="n"/>
      <c r="M486" s="491" t="n"/>
      <c r="N486" s="491" t="n"/>
      <c r="O486" s="491" t="n"/>
      <c r="P486" s="491" t="n"/>
      <c r="Q486" s="491" t="n"/>
      <c r="R486" s="491" t="n"/>
      <c r="S486" s="491" t="n"/>
      <c r="T486" s="491" t="n"/>
      <c r="U486" s="491" t="n"/>
      <c r="V486" s="491" t="n"/>
      <c r="W486" s="491" t="n"/>
      <c r="X486" s="491" t="n"/>
      <c r="Y486" s="491" t="n"/>
    </row>
    <row r="487" ht="12.75" customHeight="1" s="398">
      <c r="A487" s="491" t="n"/>
      <c r="B487" s="491" t="n"/>
      <c r="C487" s="491" t="n"/>
      <c r="D487" s="491" t="n"/>
      <c r="E487" s="491" t="n"/>
      <c r="F487" s="491" t="n"/>
      <c r="G487" s="491" t="n"/>
      <c r="H487" s="491" t="n"/>
      <c r="I487" s="491" t="n"/>
      <c r="J487" s="491" t="n"/>
      <c r="K487" s="491" t="n"/>
      <c r="L487" s="491" t="n"/>
      <c r="M487" s="491" t="n"/>
      <c r="N487" s="491" t="n"/>
      <c r="O487" s="491" t="n"/>
      <c r="P487" s="491" t="n"/>
      <c r="Q487" s="491" t="n"/>
      <c r="R487" s="491" t="n"/>
      <c r="S487" s="491" t="n"/>
      <c r="T487" s="491" t="n"/>
      <c r="U487" s="491" t="n"/>
      <c r="V487" s="491" t="n"/>
      <c r="W487" s="491" t="n"/>
      <c r="X487" s="491" t="n"/>
      <c r="Y487" s="491" t="n"/>
    </row>
    <row r="488" ht="12.75" customHeight="1" s="398">
      <c r="A488" s="491" t="n"/>
      <c r="B488" s="491" t="n"/>
      <c r="C488" s="491" t="n"/>
      <c r="D488" s="491" t="n"/>
      <c r="E488" s="491" t="n"/>
      <c r="F488" s="491" t="n"/>
      <c r="G488" s="491" t="n"/>
      <c r="H488" s="491" t="n"/>
      <c r="I488" s="491" t="n"/>
      <c r="J488" s="491" t="n"/>
      <c r="K488" s="491" t="n"/>
      <c r="L488" s="491" t="n"/>
      <c r="M488" s="491" t="n"/>
      <c r="N488" s="491" t="n"/>
      <c r="O488" s="491" t="n"/>
      <c r="P488" s="491" t="n"/>
      <c r="Q488" s="491" t="n"/>
      <c r="R488" s="491" t="n"/>
      <c r="S488" s="491" t="n"/>
      <c r="T488" s="491" t="n"/>
      <c r="U488" s="491" t="n"/>
      <c r="V488" s="491" t="n"/>
      <c r="W488" s="491" t="n"/>
      <c r="X488" s="491" t="n"/>
      <c r="Y488" s="491" t="n"/>
    </row>
    <row r="489" ht="12.75" customHeight="1" s="398">
      <c r="A489" s="491" t="n"/>
      <c r="B489" s="491" t="n"/>
      <c r="C489" s="491" t="n"/>
      <c r="D489" s="491" t="n"/>
      <c r="E489" s="491" t="n"/>
      <c r="F489" s="491" t="n"/>
      <c r="G489" s="491" t="n"/>
      <c r="H489" s="491" t="n"/>
      <c r="I489" s="491" t="n"/>
      <c r="J489" s="491" t="n"/>
      <c r="K489" s="491" t="n"/>
      <c r="L489" s="491" t="n"/>
      <c r="M489" s="491" t="n"/>
      <c r="N489" s="491" t="n"/>
      <c r="O489" s="491" t="n"/>
      <c r="P489" s="491" t="n"/>
      <c r="Q489" s="491" t="n"/>
      <c r="R489" s="491" t="n"/>
      <c r="S489" s="491" t="n"/>
      <c r="T489" s="491" t="n"/>
      <c r="U489" s="491" t="n"/>
      <c r="V489" s="491" t="n"/>
      <c r="W489" s="491" t="n"/>
      <c r="X489" s="491" t="n"/>
      <c r="Y489" s="491" t="n"/>
    </row>
    <row r="490" ht="12.75" customHeight="1" s="398">
      <c r="A490" s="491" t="n"/>
      <c r="B490" s="491" t="n"/>
      <c r="C490" s="491" t="n"/>
      <c r="D490" s="491" t="n"/>
      <c r="E490" s="491" t="n"/>
      <c r="F490" s="491" t="n"/>
      <c r="G490" s="491" t="n"/>
      <c r="H490" s="491" t="n"/>
      <c r="I490" s="491" t="n"/>
      <c r="J490" s="491" t="n"/>
      <c r="K490" s="491" t="n"/>
      <c r="L490" s="491" t="n"/>
      <c r="M490" s="491" t="n"/>
      <c r="N490" s="491" t="n"/>
      <c r="O490" s="491" t="n"/>
      <c r="P490" s="491" t="n"/>
      <c r="Q490" s="491" t="n"/>
      <c r="R490" s="491" t="n"/>
      <c r="S490" s="491" t="n"/>
      <c r="T490" s="491" t="n"/>
      <c r="U490" s="491" t="n"/>
      <c r="V490" s="491" t="n"/>
      <c r="W490" s="491" t="n"/>
      <c r="X490" s="491" t="n"/>
      <c r="Y490" s="491" t="n"/>
    </row>
    <row r="491" ht="12.75" customHeight="1" s="398">
      <c r="A491" s="491" t="n"/>
      <c r="B491" s="491" t="n"/>
      <c r="C491" s="491" t="n"/>
      <c r="D491" s="491" t="n"/>
      <c r="E491" s="491" t="n"/>
      <c r="F491" s="491" t="n"/>
      <c r="G491" s="491" t="n"/>
      <c r="H491" s="491" t="n"/>
      <c r="I491" s="491" t="n"/>
      <c r="J491" s="491" t="n"/>
      <c r="K491" s="491" t="n"/>
      <c r="L491" s="491" t="n"/>
      <c r="M491" s="491" t="n"/>
      <c r="N491" s="491" t="n"/>
      <c r="O491" s="491" t="n"/>
      <c r="P491" s="491" t="n"/>
      <c r="Q491" s="491" t="n"/>
      <c r="R491" s="491" t="n"/>
      <c r="S491" s="491" t="n"/>
      <c r="T491" s="491" t="n"/>
      <c r="U491" s="491" t="n"/>
      <c r="V491" s="491" t="n"/>
      <c r="W491" s="491" t="n"/>
      <c r="X491" s="491" t="n"/>
      <c r="Y491" s="491" t="n"/>
    </row>
    <row r="492" ht="12.75" customHeight="1" s="398">
      <c r="A492" s="491" t="n"/>
      <c r="B492" s="491" t="n"/>
      <c r="C492" s="491" t="n"/>
      <c r="D492" s="491" t="n"/>
      <c r="E492" s="491" t="n"/>
      <c r="F492" s="491" t="n"/>
      <c r="G492" s="491" t="n"/>
      <c r="H492" s="491" t="n"/>
      <c r="I492" s="491" t="n"/>
      <c r="J492" s="491" t="n"/>
      <c r="K492" s="491" t="n"/>
      <c r="L492" s="491" t="n"/>
      <c r="M492" s="491" t="n"/>
      <c r="N492" s="491" t="n"/>
      <c r="O492" s="491" t="n"/>
      <c r="P492" s="491" t="n"/>
      <c r="Q492" s="491" t="n"/>
      <c r="R492" s="491" t="n"/>
      <c r="S492" s="491" t="n"/>
      <c r="T492" s="491" t="n"/>
      <c r="U492" s="491" t="n"/>
      <c r="V492" s="491" t="n"/>
      <c r="W492" s="491" t="n"/>
      <c r="X492" s="491" t="n"/>
      <c r="Y492" s="491" t="n"/>
    </row>
    <row r="493" ht="12.75" customHeight="1" s="398">
      <c r="A493" s="491" t="n"/>
      <c r="B493" s="491" t="n"/>
      <c r="C493" s="491" t="n"/>
      <c r="D493" s="491" t="n"/>
      <c r="E493" s="491" t="n"/>
      <c r="F493" s="491" t="n"/>
      <c r="G493" s="491" t="n"/>
      <c r="H493" s="491" t="n"/>
      <c r="I493" s="491" t="n"/>
      <c r="J493" s="491" t="n"/>
      <c r="K493" s="491" t="n"/>
      <c r="L493" s="491" t="n"/>
      <c r="M493" s="491" t="n"/>
      <c r="N493" s="491" t="n"/>
      <c r="O493" s="491" t="n"/>
      <c r="P493" s="491" t="n"/>
      <c r="Q493" s="491" t="n"/>
      <c r="R493" s="491" t="n"/>
      <c r="S493" s="491" t="n"/>
      <c r="T493" s="491" t="n"/>
      <c r="U493" s="491" t="n"/>
      <c r="V493" s="491" t="n"/>
      <c r="W493" s="491" t="n"/>
      <c r="X493" s="491" t="n"/>
      <c r="Y493" s="491" t="n"/>
    </row>
    <row r="494" ht="12.75" customHeight="1" s="398">
      <c r="A494" s="491" t="n"/>
      <c r="B494" s="491" t="n"/>
      <c r="C494" s="491" t="n"/>
      <c r="D494" s="491" t="n"/>
      <c r="E494" s="491" t="n"/>
      <c r="F494" s="491" t="n"/>
      <c r="G494" s="491" t="n"/>
      <c r="H494" s="491" t="n"/>
      <c r="I494" s="491" t="n"/>
      <c r="J494" s="491" t="n"/>
      <c r="K494" s="491" t="n"/>
      <c r="L494" s="491" t="n"/>
      <c r="M494" s="491" t="n"/>
      <c r="N494" s="491" t="n"/>
      <c r="O494" s="491" t="n"/>
      <c r="P494" s="491" t="n"/>
      <c r="Q494" s="491" t="n"/>
      <c r="R494" s="491" t="n"/>
      <c r="S494" s="491" t="n"/>
      <c r="T494" s="491" t="n"/>
      <c r="U494" s="491" t="n"/>
      <c r="V494" s="491" t="n"/>
      <c r="W494" s="491" t="n"/>
      <c r="X494" s="491" t="n"/>
      <c r="Y494" s="491" t="n"/>
    </row>
    <row r="495" ht="12.75" customHeight="1" s="398">
      <c r="A495" s="491" t="n"/>
      <c r="B495" s="491" t="n"/>
      <c r="C495" s="491" t="n"/>
      <c r="D495" s="491" t="n"/>
      <c r="E495" s="491" t="n"/>
      <c r="F495" s="491" t="n"/>
      <c r="G495" s="491" t="n"/>
      <c r="H495" s="491" t="n"/>
      <c r="I495" s="491" t="n"/>
      <c r="J495" s="491" t="n"/>
      <c r="K495" s="491" t="n"/>
      <c r="L495" s="491" t="n"/>
      <c r="M495" s="491" t="n"/>
      <c r="N495" s="491" t="n"/>
      <c r="O495" s="491" t="n"/>
      <c r="P495" s="491" t="n"/>
      <c r="Q495" s="491" t="n"/>
      <c r="R495" s="491" t="n"/>
      <c r="S495" s="491" t="n"/>
      <c r="T495" s="491" t="n"/>
      <c r="U495" s="491" t="n"/>
      <c r="V495" s="491" t="n"/>
      <c r="W495" s="491" t="n"/>
      <c r="X495" s="491" t="n"/>
      <c r="Y495" s="491" t="n"/>
    </row>
    <row r="496" ht="12.75" customHeight="1" s="398">
      <c r="A496" s="491" t="n"/>
      <c r="B496" s="491" t="n"/>
      <c r="C496" s="491" t="n"/>
      <c r="D496" s="491" t="n"/>
      <c r="E496" s="491" t="n"/>
      <c r="F496" s="491" t="n"/>
      <c r="G496" s="491" t="n"/>
      <c r="H496" s="491" t="n"/>
      <c r="I496" s="491" t="n"/>
      <c r="J496" s="491" t="n"/>
      <c r="K496" s="491" t="n"/>
      <c r="L496" s="491" t="n"/>
      <c r="M496" s="491" t="n"/>
      <c r="N496" s="491" t="n"/>
      <c r="O496" s="491" t="n"/>
      <c r="P496" s="491" t="n"/>
      <c r="Q496" s="491" t="n"/>
      <c r="R496" s="491" t="n"/>
      <c r="S496" s="491" t="n"/>
      <c r="T496" s="491" t="n"/>
      <c r="U496" s="491" t="n"/>
      <c r="V496" s="491" t="n"/>
      <c r="W496" s="491" t="n"/>
      <c r="X496" s="491" t="n"/>
      <c r="Y496" s="491" t="n"/>
    </row>
    <row r="497" ht="12.75" customHeight="1" s="398">
      <c r="A497" s="491" t="n"/>
      <c r="B497" s="491" t="n"/>
      <c r="C497" s="491" t="n"/>
      <c r="D497" s="491" t="n"/>
      <c r="E497" s="491" t="n"/>
      <c r="F497" s="491" t="n"/>
      <c r="G497" s="491" t="n"/>
      <c r="H497" s="491" t="n"/>
      <c r="I497" s="491" t="n"/>
      <c r="J497" s="491" t="n"/>
      <c r="K497" s="491" t="n"/>
      <c r="L497" s="491" t="n"/>
      <c r="M497" s="491" t="n"/>
      <c r="N497" s="491" t="n"/>
      <c r="O497" s="491" t="n"/>
      <c r="P497" s="491" t="n"/>
      <c r="Q497" s="491" t="n"/>
      <c r="R497" s="491" t="n"/>
      <c r="S497" s="491" t="n"/>
      <c r="T497" s="491" t="n"/>
      <c r="U497" s="491" t="n"/>
      <c r="V497" s="491" t="n"/>
      <c r="W497" s="491" t="n"/>
      <c r="X497" s="491" t="n"/>
      <c r="Y497" s="491" t="n"/>
    </row>
    <row r="498" ht="12.75" customHeight="1" s="398">
      <c r="A498" s="491" t="n"/>
      <c r="B498" s="491" t="n"/>
      <c r="C498" s="491" t="n"/>
      <c r="D498" s="491" t="n"/>
      <c r="E498" s="491" t="n"/>
      <c r="F498" s="491" t="n"/>
      <c r="G498" s="491" t="n"/>
      <c r="H498" s="491" t="n"/>
      <c r="I498" s="491" t="n"/>
      <c r="J498" s="491" t="n"/>
      <c r="K498" s="491" t="n"/>
      <c r="L498" s="491" t="n"/>
      <c r="M498" s="491" t="n"/>
      <c r="N498" s="491" t="n"/>
      <c r="O498" s="491" t="n"/>
      <c r="P498" s="491" t="n"/>
      <c r="Q498" s="491" t="n"/>
      <c r="R498" s="491" t="n"/>
      <c r="S498" s="491" t="n"/>
      <c r="T498" s="491" t="n"/>
      <c r="U498" s="491" t="n"/>
      <c r="V498" s="491" t="n"/>
      <c r="W498" s="491" t="n"/>
      <c r="X498" s="491" t="n"/>
      <c r="Y498" s="491" t="n"/>
    </row>
    <row r="499" ht="12.75" customHeight="1" s="398">
      <c r="A499" s="491" t="n"/>
      <c r="B499" s="491" t="n"/>
      <c r="C499" s="491" t="n"/>
      <c r="D499" s="491" t="n"/>
      <c r="E499" s="491" t="n"/>
      <c r="F499" s="491" t="n"/>
      <c r="G499" s="491" t="n"/>
      <c r="H499" s="491" t="n"/>
      <c r="I499" s="491" t="n"/>
      <c r="J499" s="491" t="n"/>
      <c r="K499" s="491" t="n"/>
      <c r="L499" s="491" t="n"/>
      <c r="M499" s="491" t="n"/>
      <c r="N499" s="491" t="n"/>
      <c r="O499" s="491" t="n"/>
      <c r="P499" s="491" t="n"/>
      <c r="Q499" s="491" t="n"/>
      <c r="R499" s="491" t="n"/>
      <c r="S499" s="491" t="n"/>
      <c r="T499" s="491" t="n"/>
      <c r="U499" s="491" t="n"/>
      <c r="V499" s="491" t="n"/>
      <c r="W499" s="491" t="n"/>
      <c r="X499" s="491" t="n"/>
      <c r="Y499" s="491" t="n"/>
    </row>
    <row r="500" ht="12.75" customHeight="1" s="398">
      <c r="A500" s="491" t="n"/>
      <c r="B500" s="491" t="n"/>
      <c r="C500" s="491" t="n"/>
      <c r="D500" s="491" t="n"/>
      <c r="E500" s="491" t="n"/>
      <c r="F500" s="491" t="n"/>
      <c r="G500" s="491" t="n"/>
      <c r="H500" s="491" t="n"/>
      <c r="I500" s="491" t="n"/>
      <c r="J500" s="491" t="n"/>
      <c r="K500" s="491" t="n"/>
      <c r="L500" s="491" t="n"/>
      <c r="M500" s="491" t="n"/>
      <c r="N500" s="491" t="n"/>
      <c r="O500" s="491" t="n"/>
      <c r="P500" s="491" t="n"/>
      <c r="Q500" s="491" t="n"/>
      <c r="R500" s="491" t="n"/>
      <c r="S500" s="491" t="n"/>
      <c r="T500" s="491" t="n"/>
      <c r="U500" s="491" t="n"/>
      <c r="V500" s="491" t="n"/>
      <c r="W500" s="491" t="n"/>
      <c r="X500" s="491" t="n"/>
      <c r="Y500" s="491" t="n"/>
    </row>
    <row r="501" ht="12.75" customHeight="1" s="398">
      <c r="A501" s="491" t="n"/>
      <c r="B501" s="491" t="n"/>
      <c r="C501" s="491" t="n"/>
      <c r="D501" s="491" t="n"/>
      <c r="E501" s="491" t="n"/>
      <c r="F501" s="491" t="n"/>
      <c r="G501" s="491" t="n"/>
      <c r="H501" s="491" t="n"/>
      <c r="I501" s="491" t="n"/>
      <c r="J501" s="491" t="n"/>
      <c r="K501" s="491" t="n"/>
      <c r="L501" s="491" t="n"/>
      <c r="M501" s="491" t="n"/>
      <c r="N501" s="491" t="n"/>
      <c r="O501" s="491" t="n"/>
      <c r="P501" s="491" t="n"/>
      <c r="Q501" s="491" t="n"/>
      <c r="R501" s="491" t="n"/>
      <c r="S501" s="491" t="n"/>
      <c r="T501" s="491" t="n"/>
      <c r="U501" s="491" t="n"/>
      <c r="V501" s="491" t="n"/>
      <c r="W501" s="491" t="n"/>
      <c r="X501" s="491" t="n"/>
      <c r="Y501" s="491" t="n"/>
    </row>
    <row r="502" ht="12.75" customHeight="1" s="398">
      <c r="A502" s="491" t="n"/>
      <c r="B502" s="491" t="n"/>
      <c r="C502" s="491" t="n"/>
      <c r="D502" s="491" t="n"/>
      <c r="E502" s="491" t="n"/>
      <c r="F502" s="491" t="n"/>
      <c r="G502" s="491" t="n"/>
      <c r="H502" s="491" t="n"/>
      <c r="I502" s="491" t="n"/>
      <c r="J502" s="491" t="n"/>
      <c r="K502" s="491" t="n"/>
      <c r="L502" s="491" t="n"/>
      <c r="M502" s="491" t="n"/>
      <c r="N502" s="491" t="n"/>
      <c r="O502" s="491" t="n"/>
      <c r="P502" s="491" t="n"/>
      <c r="Q502" s="491" t="n"/>
      <c r="R502" s="491" t="n"/>
      <c r="S502" s="491" t="n"/>
      <c r="T502" s="491" t="n"/>
      <c r="U502" s="491" t="n"/>
      <c r="V502" s="491" t="n"/>
      <c r="W502" s="491" t="n"/>
      <c r="X502" s="491" t="n"/>
      <c r="Y502" s="491" t="n"/>
    </row>
    <row r="503" ht="12.75" customHeight="1" s="398">
      <c r="A503" s="491" t="n"/>
      <c r="B503" s="491" t="n"/>
      <c r="C503" s="491" t="n"/>
      <c r="D503" s="491" t="n"/>
      <c r="E503" s="491" t="n"/>
      <c r="F503" s="491" t="n"/>
      <c r="G503" s="491" t="n"/>
      <c r="H503" s="491" t="n"/>
      <c r="I503" s="491" t="n"/>
      <c r="J503" s="491" t="n"/>
      <c r="K503" s="491" t="n"/>
      <c r="L503" s="491" t="n"/>
      <c r="M503" s="491" t="n"/>
      <c r="N503" s="491" t="n"/>
      <c r="O503" s="491" t="n"/>
      <c r="P503" s="491" t="n"/>
      <c r="Q503" s="491" t="n"/>
      <c r="R503" s="491" t="n"/>
      <c r="S503" s="491" t="n"/>
      <c r="T503" s="491" t="n"/>
      <c r="U503" s="491" t="n"/>
      <c r="V503" s="491" t="n"/>
      <c r="W503" s="491" t="n"/>
      <c r="X503" s="491" t="n"/>
      <c r="Y503" s="491" t="n"/>
    </row>
    <row r="504" ht="12.75" customHeight="1" s="398">
      <c r="A504" s="491" t="n"/>
      <c r="B504" s="491" t="n"/>
      <c r="C504" s="491" t="n"/>
      <c r="D504" s="491" t="n"/>
      <c r="E504" s="491" t="n"/>
      <c r="F504" s="491" t="n"/>
      <c r="G504" s="491" t="n"/>
      <c r="H504" s="491" t="n"/>
      <c r="I504" s="491" t="n"/>
      <c r="J504" s="491" t="n"/>
      <c r="K504" s="491" t="n"/>
      <c r="L504" s="491" t="n"/>
      <c r="M504" s="491" t="n"/>
      <c r="N504" s="491" t="n"/>
      <c r="O504" s="491" t="n"/>
      <c r="P504" s="491" t="n"/>
      <c r="Q504" s="491" t="n"/>
      <c r="R504" s="491" t="n"/>
      <c r="S504" s="491" t="n"/>
      <c r="T504" s="491" t="n"/>
      <c r="U504" s="491" t="n"/>
      <c r="V504" s="491" t="n"/>
      <c r="W504" s="491" t="n"/>
      <c r="X504" s="491" t="n"/>
      <c r="Y504" s="491" t="n"/>
    </row>
    <row r="505" ht="12.75" customHeight="1" s="398">
      <c r="A505" s="491" t="n"/>
      <c r="B505" s="491" t="n"/>
      <c r="C505" s="491" t="n"/>
      <c r="D505" s="491" t="n"/>
      <c r="E505" s="491" t="n"/>
      <c r="F505" s="491" t="n"/>
      <c r="G505" s="491" t="n"/>
      <c r="H505" s="491" t="n"/>
      <c r="I505" s="491" t="n"/>
      <c r="J505" s="491" t="n"/>
      <c r="K505" s="491" t="n"/>
      <c r="L505" s="491" t="n"/>
      <c r="M505" s="491" t="n"/>
      <c r="N505" s="491" t="n"/>
      <c r="O505" s="491" t="n"/>
      <c r="P505" s="491" t="n"/>
      <c r="Q505" s="491" t="n"/>
      <c r="R505" s="491" t="n"/>
      <c r="S505" s="491" t="n"/>
      <c r="T505" s="491" t="n"/>
      <c r="U505" s="491" t="n"/>
      <c r="V505" s="491" t="n"/>
      <c r="W505" s="491" t="n"/>
      <c r="X505" s="491" t="n"/>
      <c r="Y505" s="491" t="n"/>
    </row>
    <row r="506" ht="12.75" customHeight="1" s="398">
      <c r="A506" s="491" t="n"/>
      <c r="B506" s="491" t="n"/>
      <c r="C506" s="491" t="n"/>
      <c r="D506" s="491" t="n"/>
      <c r="E506" s="491" t="n"/>
      <c r="F506" s="491" t="n"/>
      <c r="G506" s="491" t="n"/>
      <c r="H506" s="491" t="n"/>
      <c r="I506" s="491" t="n"/>
      <c r="J506" s="491" t="n"/>
      <c r="K506" s="491" t="n"/>
      <c r="L506" s="491" t="n"/>
      <c r="M506" s="491" t="n"/>
      <c r="N506" s="491" t="n"/>
      <c r="O506" s="491" t="n"/>
      <c r="P506" s="491" t="n"/>
      <c r="Q506" s="491" t="n"/>
      <c r="R506" s="491" t="n"/>
      <c r="S506" s="491" t="n"/>
      <c r="T506" s="491" t="n"/>
      <c r="U506" s="491" t="n"/>
      <c r="V506" s="491" t="n"/>
      <c r="W506" s="491" t="n"/>
      <c r="X506" s="491" t="n"/>
      <c r="Y506" s="491" t="n"/>
    </row>
    <row r="507" ht="12.75" customHeight="1" s="398">
      <c r="A507" s="491" t="n"/>
      <c r="B507" s="491" t="n"/>
      <c r="C507" s="491" t="n"/>
      <c r="D507" s="491" t="n"/>
      <c r="E507" s="491" t="n"/>
      <c r="F507" s="491" t="n"/>
      <c r="G507" s="491" t="n"/>
      <c r="H507" s="491" t="n"/>
      <c r="I507" s="491" t="n"/>
      <c r="J507" s="491" t="n"/>
      <c r="K507" s="491" t="n"/>
      <c r="L507" s="491" t="n"/>
      <c r="M507" s="491" t="n"/>
      <c r="N507" s="491" t="n"/>
      <c r="O507" s="491" t="n"/>
      <c r="P507" s="491" t="n"/>
      <c r="Q507" s="491" t="n"/>
      <c r="R507" s="491" t="n"/>
      <c r="S507" s="491" t="n"/>
      <c r="T507" s="491" t="n"/>
      <c r="U507" s="491" t="n"/>
      <c r="V507" s="491" t="n"/>
      <c r="W507" s="491" t="n"/>
      <c r="X507" s="491" t="n"/>
      <c r="Y507" s="491" t="n"/>
    </row>
    <row r="508" ht="12.75" customHeight="1" s="398">
      <c r="A508" s="491" t="n"/>
      <c r="B508" s="491" t="n"/>
      <c r="C508" s="491" t="n"/>
      <c r="D508" s="491" t="n"/>
      <c r="E508" s="491" t="n"/>
      <c r="F508" s="491" t="n"/>
      <c r="G508" s="491" t="n"/>
      <c r="H508" s="491" t="n"/>
      <c r="I508" s="491" t="n"/>
      <c r="J508" s="491" t="n"/>
      <c r="K508" s="491" t="n"/>
      <c r="L508" s="491" t="n"/>
      <c r="M508" s="491" t="n"/>
      <c r="N508" s="491" t="n"/>
      <c r="O508" s="491" t="n"/>
      <c r="P508" s="491" t="n"/>
      <c r="Q508" s="491" t="n"/>
      <c r="R508" s="491" t="n"/>
      <c r="S508" s="491" t="n"/>
      <c r="T508" s="491" t="n"/>
      <c r="U508" s="491" t="n"/>
      <c r="V508" s="491" t="n"/>
      <c r="W508" s="491" t="n"/>
      <c r="X508" s="491" t="n"/>
      <c r="Y508" s="491" t="n"/>
    </row>
    <row r="509" ht="12.75" customHeight="1" s="398">
      <c r="A509" s="491" t="n"/>
      <c r="B509" s="491" t="n"/>
      <c r="C509" s="491" t="n"/>
      <c r="D509" s="491" t="n"/>
      <c r="E509" s="491" t="n"/>
      <c r="F509" s="491" t="n"/>
      <c r="G509" s="491" t="n"/>
      <c r="H509" s="491" t="n"/>
      <c r="I509" s="491" t="n"/>
      <c r="J509" s="491" t="n"/>
      <c r="K509" s="491" t="n"/>
      <c r="L509" s="491" t="n"/>
      <c r="M509" s="491" t="n"/>
      <c r="N509" s="491" t="n"/>
      <c r="O509" s="491" t="n"/>
      <c r="P509" s="491" t="n"/>
      <c r="Q509" s="491" t="n"/>
      <c r="R509" s="491" t="n"/>
      <c r="S509" s="491" t="n"/>
      <c r="T509" s="491" t="n"/>
      <c r="U509" s="491" t="n"/>
      <c r="V509" s="491" t="n"/>
      <c r="W509" s="491" t="n"/>
      <c r="X509" s="491" t="n"/>
      <c r="Y509" s="491" t="n"/>
    </row>
    <row r="510" ht="12.75" customHeight="1" s="398">
      <c r="A510" s="491" t="n"/>
      <c r="B510" s="491" t="n"/>
      <c r="C510" s="491" t="n"/>
      <c r="D510" s="491" t="n"/>
      <c r="E510" s="491" t="n"/>
      <c r="F510" s="491" t="n"/>
      <c r="G510" s="491" t="n"/>
      <c r="H510" s="491" t="n"/>
      <c r="I510" s="491" t="n"/>
      <c r="J510" s="491" t="n"/>
      <c r="K510" s="491" t="n"/>
      <c r="L510" s="491" t="n"/>
      <c r="M510" s="491" t="n"/>
      <c r="N510" s="491" t="n"/>
      <c r="O510" s="491" t="n"/>
      <c r="P510" s="491" t="n"/>
      <c r="Q510" s="491" t="n"/>
      <c r="R510" s="491" t="n"/>
      <c r="S510" s="491" t="n"/>
      <c r="T510" s="491" t="n"/>
      <c r="U510" s="491" t="n"/>
      <c r="V510" s="491" t="n"/>
      <c r="W510" s="491" t="n"/>
      <c r="X510" s="491" t="n"/>
      <c r="Y510" s="491" t="n"/>
    </row>
    <row r="511" ht="12.75" customHeight="1" s="398">
      <c r="A511" s="491" t="n"/>
      <c r="B511" s="491" t="n"/>
      <c r="C511" s="491" t="n"/>
      <c r="D511" s="491" t="n"/>
      <c r="E511" s="491" t="n"/>
      <c r="F511" s="491" t="n"/>
      <c r="G511" s="491" t="n"/>
      <c r="H511" s="491" t="n"/>
      <c r="I511" s="491" t="n"/>
      <c r="J511" s="491" t="n"/>
      <c r="K511" s="491" t="n"/>
      <c r="L511" s="491" t="n"/>
      <c r="M511" s="491" t="n"/>
      <c r="N511" s="491" t="n"/>
      <c r="O511" s="491" t="n"/>
      <c r="P511" s="491" t="n"/>
      <c r="Q511" s="491" t="n"/>
      <c r="R511" s="491" t="n"/>
      <c r="S511" s="491" t="n"/>
      <c r="T511" s="491" t="n"/>
      <c r="U511" s="491" t="n"/>
      <c r="V511" s="491" t="n"/>
      <c r="W511" s="491" t="n"/>
      <c r="X511" s="491" t="n"/>
      <c r="Y511" s="491" t="n"/>
    </row>
    <row r="512" ht="12.75" customHeight="1" s="398">
      <c r="A512" s="491" t="n"/>
      <c r="B512" s="491" t="n"/>
      <c r="C512" s="491" t="n"/>
      <c r="D512" s="491" t="n"/>
      <c r="E512" s="491" t="n"/>
      <c r="F512" s="491" t="n"/>
      <c r="G512" s="491" t="n"/>
      <c r="H512" s="491" t="n"/>
      <c r="I512" s="491" t="n"/>
      <c r="J512" s="491" t="n"/>
      <c r="K512" s="491" t="n"/>
      <c r="L512" s="491" t="n"/>
      <c r="M512" s="491" t="n"/>
      <c r="N512" s="491" t="n"/>
      <c r="O512" s="491" t="n"/>
      <c r="P512" s="491" t="n"/>
      <c r="Q512" s="491" t="n"/>
      <c r="R512" s="491" t="n"/>
      <c r="S512" s="491" t="n"/>
      <c r="T512" s="491" t="n"/>
      <c r="U512" s="491" t="n"/>
      <c r="V512" s="491" t="n"/>
      <c r="W512" s="491" t="n"/>
      <c r="X512" s="491" t="n"/>
      <c r="Y512" s="491" t="n"/>
    </row>
    <row r="513" ht="12.75" customHeight="1" s="398">
      <c r="A513" s="491" t="n"/>
      <c r="B513" s="491" t="n"/>
      <c r="C513" s="491" t="n"/>
      <c r="D513" s="491" t="n"/>
      <c r="E513" s="491" t="n"/>
      <c r="F513" s="491" t="n"/>
      <c r="G513" s="491" t="n"/>
      <c r="H513" s="491" t="n"/>
      <c r="I513" s="491" t="n"/>
      <c r="J513" s="491" t="n"/>
      <c r="K513" s="491" t="n"/>
      <c r="L513" s="491" t="n"/>
      <c r="M513" s="491" t="n"/>
      <c r="N513" s="491" t="n"/>
      <c r="O513" s="491" t="n"/>
      <c r="P513" s="491" t="n"/>
      <c r="Q513" s="491" t="n"/>
      <c r="R513" s="491" t="n"/>
      <c r="S513" s="491" t="n"/>
      <c r="T513" s="491" t="n"/>
      <c r="U513" s="491" t="n"/>
      <c r="V513" s="491" t="n"/>
      <c r="W513" s="491" t="n"/>
      <c r="X513" s="491" t="n"/>
      <c r="Y513" s="491" t="n"/>
    </row>
    <row r="514" ht="12.75" customHeight="1" s="398">
      <c r="A514" s="491" t="n"/>
      <c r="B514" s="491" t="n"/>
      <c r="C514" s="491" t="n"/>
      <c r="D514" s="491" t="n"/>
      <c r="E514" s="491" t="n"/>
      <c r="F514" s="491" t="n"/>
      <c r="G514" s="491" t="n"/>
      <c r="H514" s="491" t="n"/>
      <c r="I514" s="491" t="n"/>
      <c r="J514" s="491" t="n"/>
      <c r="K514" s="491" t="n"/>
      <c r="L514" s="491" t="n"/>
      <c r="M514" s="491" t="n"/>
      <c r="N514" s="491" t="n"/>
      <c r="O514" s="491" t="n"/>
      <c r="P514" s="491" t="n"/>
      <c r="Q514" s="491" t="n"/>
      <c r="R514" s="491" t="n"/>
      <c r="S514" s="491" t="n"/>
      <c r="T514" s="491" t="n"/>
      <c r="U514" s="491" t="n"/>
      <c r="V514" s="491" t="n"/>
      <c r="W514" s="491" t="n"/>
      <c r="X514" s="491" t="n"/>
      <c r="Y514" s="491" t="n"/>
    </row>
    <row r="515" ht="12.75" customHeight="1" s="398">
      <c r="A515" s="491" t="n"/>
      <c r="B515" s="491" t="n"/>
      <c r="C515" s="491" t="n"/>
      <c r="D515" s="491" t="n"/>
      <c r="E515" s="491" t="n"/>
      <c r="F515" s="491" t="n"/>
      <c r="G515" s="491" t="n"/>
      <c r="H515" s="491" t="n"/>
      <c r="I515" s="491" t="n"/>
      <c r="J515" s="491" t="n"/>
      <c r="K515" s="491" t="n"/>
      <c r="L515" s="491" t="n"/>
      <c r="M515" s="491" t="n"/>
      <c r="N515" s="491" t="n"/>
      <c r="O515" s="491" t="n"/>
      <c r="P515" s="491" t="n"/>
      <c r="Q515" s="491" t="n"/>
      <c r="R515" s="491" t="n"/>
      <c r="S515" s="491" t="n"/>
      <c r="T515" s="491" t="n"/>
      <c r="U515" s="491" t="n"/>
      <c r="V515" s="491" t="n"/>
      <c r="W515" s="491" t="n"/>
      <c r="X515" s="491" t="n"/>
      <c r="Y515" s="491" t="n"/>
    </row>
    <row r="516" ht="12.75" customHeight="1" s="398">
      <c r="A516" s="491" t="n"/>
      <c r="B516" s="491" t="n"/>
      <c r="C516" s="491" t="n"/>
      <c r="D516" s="491" t="n"/>
      <c r="E516" s="491" t="n"/>
      <c r="F516" s="491" t="n"/>
      <c r="G516" s="491" t="n"/>
      <c r="H516" s="491" t="n"/>
      <c r="I516" s="491" t="n"/>
      <c r="J516" s="491" t="n"/>
      <c r="K516" s="491" t="n"/>
      <c r="L516" s="491" t="n"/>
      <c r="M516" s="491" t="n"/>
      <c r="N516" s="491" t="n"/>
      <c r="O516" s="491" t="n"/>
      <c r="P516" s="491" t="n"/>
      <c r="Q516" s="491" t="n"/>
      <c r="R516" s="491" t="n"/>
      <c r="S516" s="491" t="n"/>
      <c r="T516" s="491" t="n"/>
      <c r="U516" s="491" t="n"/>
      <c r="V516" s="491" t="n"/>
      <c r="W516" s="491" t="n"/>
      <c r="X516" s="491" t="n"/>
      <c r="Y516" s="491" t="n"/>
    </row>
    <row r="517" ht="12.75" customHeight="1" s="398">
      <c r="A517" s="491" t="n"/>
      <c r="B517" s="491" t="n"/>
      <c r="C517" s="491" t="n"/>
      <c r="D517" s="491" t="n"/>
      <c r="E517" s="491" t="n"/>
      <c r="F517" s="491" t="n"/>
      <c r="G517" s="491" t="n"/>
      <c r="H517" s="491" t="n"/>
      <c r="I517" s="491" t="n"/>
      <c r="J517" s="491" t="n"/>
      <c r="K517" s="491" t="n"/>
      <c r="L517" s="491" t="n"/>
      <c r="M517" s="491" t="n"/>
      <c r="N517" s="491" t="n"/>
      <c r="O517" s="491" t="n"/>
      <c r="P517" s="491" t="n"/>
      <c r="Q517" s="491" t="n"/>
      <c r="R517" s="491" t="n"/>
      <c r="S517" s="491" t="n"/>
      <c r="T517" s="491" t="n"/>
      <c r="U517" s="491" t="n"/>
      <c r="V517" s="491" t="n"/>
      <c r="W517" s="491" t="n"/>
      <c r="X517" s="491" t="n"/>
      <c r="Y517" s="491" t="n"/>
    </row>
    <row r="518" ht="12.75" customHeight="1" s="398">
      <c r="A518" s="491" t="n"/>
      <c r="B518" s="491" t="n"/>
      <c r="C518" s="491" t="n"/>
      <c r="D518" s="491" t="n"/>
      <c r="E518" s="491" t="n"/>
      <c r="F518" s="491" t="n"/>
      <c r="G518" s="491" t="n"/>
      <c r="H518" s="491" t="n"/>
      <c r="I518" s="491" t="n"/>
      <c r="J518" s="491" t="n"/>
      <c r="K518" s="491" t="n"/>
      <c r="L518" s="491" t="n"/>
      <c r="M518" s="491" t="n"/>
      <c r="N518" s="491" t="n"/>
      <c r="O518" s="491" t="n"/>
      <c r="P518" s="491" t="n"/>
      <c r="Q518" s="491" t="n"/>
      <c r="R518" s="491" t="n"/>
      <c r="S518" s="491" t="n"/>
      <c r="T518" s="491" t="n"/>
      <c r="U518" s="491" t="n"/>
      <c r="V518" s="491" t="n"/>
      <c r="W518" s="491" t="n"/>
      <c r="X518" s="491" t="n"/>
      <c r="Y518" s="491" t="n"/>
    </row>
    <row r="519" ht="12.75" customHeight="1" s="398">
      <c r="A519" s="491" t="n"/>
      <c r="B519" s="491" t="n"/>
      <c r="C519" s="491" t="n"/>
      <c r="D519" s="491" t="n"/>
      <c r="E519" s="491" t="n"/>
      <c r="F519" s="491" t="n"/>
      <c r="G519" s="491" t="n"/>
      <c r="H519" s="491" t="n"/>
      <c r="I519" s="491" t="n"/>
      <c r="J519" s="491" t="n"/>
      <c r="K519" s="491" t="n"/>
      <c r="L519" s="491" t="n"/>
      <c r="M519" s="491" t="n"/>
      <c r="N519" s="491" t="n"/>
      <c r="O519" s="491" t="n"/>
      <c r="P519" s="491" t="n"/>
      <c r="Q519" s="491" t="n"/>
      <c r="R519" s="491" t="n"/>
      <c r="S519" s="491" t="n"/>
      <c r="T519" s="491" t="n"/>
      <c r="U519" s="491" t="n"/>
      <c r="V519" s="491" t="n"/>
      <c r="W519" s="491" t="n"/>
      <c r="X519" s="491" t="n"/>
      <c r="Y519" s="491" t="n"/>
    </row>
    <row r="520" ht="12.75" customHeight="1" s="398">
      <c r="A520" s="491" t="n"/>
      <c r="B520" s="491" t="n"/>
      <c r="C520" s="491" t="n"/>
      <c r="D520" s="491" t="n"/>
      <c r="E520" s="491" t="n"/>
      <c r="F520" s="491" t="n"/>
      <c r="G520" s="491" t="n"/>
      <c r="H520" s="491" t="n"/>
      <c r="I520" s="491" t="n"/>
      <c r="J520" s="491" t="n"/>
      <c r="K520" s="491" t="n"/>
      <c r="L520" s="491" t="n"/>
      <c r="M520" s="491" t="n"/>
      <c r="N520" s="491" t="n"/>
      <c r="O520" s="491" t="n"/>
      <c r="P520" s="491" t="n"/>
      <c r="Q520" s="491" t="n"/>
      <c r="R520" s="491" t="n"/>
      <c r="S520" s="491" t="n"/>
      <c r="T520" s="491" t="n"/>
      <c r="U520" s="491" t="n"/>
      <c r="V520" s="491" t="n"/>
      <c r="W520" s="491" t="n"/>
      <c r="X520" s="491" t="n"/>
      <c r="Y520" s="491" t="n"/>
    </row>
    <row r="521" ht="12.75" customHeight="1" s="398">
      <c r="A521" s="491" t="n"/>
      <c r="B521" s="491" t="n"/>
      <c r="C521" s="491" t="n"/>
      <c r="D521" s="491" t="n"/>
      <c r="E521" s="491" t="n"/>
      <c r="F521" s="491" t="n"/>
      <c r="G521" s="491" t="n"/>
      <c r="H521" s="491" t="n"/>
      <c r="I521" s="491" t="n"/>
      <c r="J521" s="491" t="n"/>
      <c r="K521" s="491" t="n"/>
      <c r="L521" s="491" t="n"/>
      <c r="M521" s="491" t="n"/>
      <c r="N521" s="491" t="n"/>
      <c r="O521" s="491" t="n"/>
      <c r="P521" s="491" t="n"/>
      <c r="Q521" s="491" t="n"/>
      <c r="R521" s="491" t="n"/>
      <c r="S521" s="491" t="n"/>
      <c r="T521" s="491" t="n"/>
      <c r="U521" s="491" t="n"/>
      <c r="V521" s="491" t="n"/>
      <c r="W521" s="491" t="n"/>
      <c r="X521" s="491" t="n"/>
      <c r="Y521" s="491" t="n"/>
    </row>
    <row r="522" ht="12.75" customHeight="1" s="398">
      <c r="A522" s="491" t="n"/>
      <c r="B522" s="491" t="n"/>
      <c r="C522" s="491" t="n"/>
      <c r="D522" s="491" t="n"/>
      <c r="E522" s="491" t="n"/>
      <c r="F522" s="491" t="n"/>
      <c r="G522" s="491" t="n"/>
      <c r="H522" s="491" t="n"/>
      <c r="I522" s="491" t="n"/>
      <c r="J522" s="491" t="n"/>
      <c r="K522" s="491" t="n"/>
      <c r="L522" s="491" t="n"/>
      <c r="M522" s="491" t="n"/>
      <c r="N522" s="491" t="n"/>
      <c r="O522" s="491" t="n"/>
      <c r="P522" s="491" t="n"/>
      <c r="Q522" s="491" t="n"/>
      <c r="R522" s="491" t="n"/>
      <c r="S522" s="491" t="n"/>
      <c r="T522" s="491" t="n"/>
      <c r="U522" s="491" t="n"/>
      <c r="V522" s="491" t="n"/>
      <c r="W522" s="491" t="n"/>
      <c r="X522" s="491" t="n"/>
      <c r="Y522" s="491" t="n"/>
    </row>
    <row r="523" ht="12.75" customHeight="1" s="398">
      <c r="A523" s="491" t="n"/>
      <c r="B523" s="491" t="n"/>
      <c r="C523" s="491" t="n"/>
      <c r="D523" s="491" t="n"/>
      <c r="E523" s="491" t="n"/>
      <c r="F523" s="491" t="n"/>
      <c r="G523" s="491" t="n"/>
      <c r="H523" s="491" t="n"/>
      <c r="I523" s="491" t="n"/>
      <c r="J523" s="491" t="n"/>
      <c r="K523" s="491" t="n"/>
      <c r="L523" s="491" t="n"/>
      <c r="M523" s="491" t="n"/>
      <c r="N523" s="491" t="n"/>
      <c r="O523" s="491" t="n"/>
      <c r="P523" s="491" t="n"/>
      <c r="Q523" s="491" t="n"/>
      <c r="R523" s="491" t="n"/>
      <c r="S523" s="491" t="n"/>
      <c r="T523" s="491" t="n"/>
      <c r="U523" s="491" t="n"/>
      <c r="V523" s="491" t="n"/>
      <c r="W523" s="491" t="n"/>
      <c r="X523" s="491" t="n"/>
      <c r="Y523" s="491" t="n"/>
    </row>
    <row r="524" ht="12.75" customHeight="1" s="398">
      <c r="A524" s="491" t="n"/>
      <c r="B524" s="491" t="n"/>
      <c r="C524" s="491" t="n"/>
      <c r="D524" s="491" t="n"/>
      <c r="E524" s="491" t="n"/>
      <c r="F524" s="491" t="n"/>
      <c r="G524" s="491" t="n"/>
      <c r="H524" s="491" t="n"/>
      <c r="I524" s="491" t="n"/>
      <c r="J524" s="491" t="n"/>
      <c r="K524" s="491" t="n"/>
      <c r="L524" s="491" t="n"/>
      <c r="M524" s="491" t="n"/>
      <c r="N524" s="491" t="n"/>
      <c r="O524" s="491" t="n"/>
      <c r="P524" s="491" t="n"/>
      <c r="Q524" s="491" t="n"/>
      <c r="R524" s="491" t="n"/>
      <c r="S524" s="491" t="n"/>
      <c r="T524" s="491" t="n"/>
      <c r="U524" s="491" t="n"/>
      <c r="V524" s="491" t="n"/>
      <c r="W524" s="491" t="n"/>
      <c r="X524" s="491" t="n"/>
      <c r="Y524" s="491" t="n"/>
    </row>
    <row r="525" ht="12.75" customHeight="1" s="398">
      <c r="A525" s="491" t="n"/>
      <c r="B525" s="491" t="n"/>
      <c r="C525" s="491" t="n"/>
      <c r="D525" s="491" t="n"/>
      <c r="E525" s="491" t="n"/>
      <c r="F525" s="491" t="n"/>
      <c r="G525" s="491" t="n"/>
      <c r="H525" s="491" t="n"/>
      <c r="I525" s="491" t="n"/>
      <c r="J525" s="491" t="n"/>
      <c r="K525" s="491" t="n"/>
      <c r="L525" s="491" t="n"/>
      <c r="M525" s="491" t="n"/>
      <c r="N525" s="491" t="n"/>
      <c r="O525" s="491" t="n"/>
      <c r="P525" s="491" t="n"/>
      <c r="Q525" s="491" t="n"/>
      <c r="R525" s="491" t="n"/>
      <c r="S525" s="491" t="n"/>
      <c r="T525" s="491" t="n"/>
      <c r="U525" s="491" t="n"/>
      <c r="V525" s="491" t="n"/>
      <c r="W525" s="491" t="n"/>
      <c r="X525" s="491" t="n"/>
      <c r="Y525" s="491" t="n"/>
    </row>
    <row r="526" ht="12.75" customHeight="1" s="398">
      <c r="A526" s="491" t="n"/>
      <c r="B526" s="491" t="n"/>
      <c r="C526" s="491" t="n"/>
      <c r="D526" s="491" t="n"/>
      <c r="E526" s="491" t="n"/>
      <c r="F526" s="491" t="n"/>
      <c r="G526" s="491" t="n"/>
      <c r="H526" s="491" t="n"/>
      <c r="I526" s="491" t="n"/>
      <c r="J526" s="491" t="n"/>
      <c r="K526" s="491" t="n"/>
      <c r="L526" s="491" t="n"/>
      <c r="M526" s="491" t="n"/>
      <c r="N526" s="491" t="n"/>
      <c r="O526" s="491" t="n"/>
      <c r="P526" s="491" t="n"/>
      <c r="Q526" s="491" t="n"/>
      <c r="R526" s="491" t="n"/>
      <c r="S526" s="491" t="n"/>
      <c r="T526" s="491" t="n"/>
      <c r="U526" s="491" t="n"/>
      <c r="V526" s="491" t="n"/>
      <c r="W526" s="491" t="n"/>
      <c r="X526" s="491" t="n"/>
      <c r="Y526" s="491" t="n"/>
    </row>
    <row r="527" ht="12.75" customHeight="1" s="398">
      <c r="A527" s="491" t="n"/>
      <c r="B527" s="491" t="n"/>
      <c r="C527" s="491" t="n"/>
      <c r="D527" s="491" t="n"/>
      <c r="E527" s="491" t="n"/>
      <c r="F527" s="491" t="n"/>
      <c r="G527" s="491" t="n"/>
      <c r="H527" s="491" t="n"/>
      <c r="I527" s="491" t="n"/>
      <c r="J527" s="491" t="n"/>
      <c r="K527" s="491" t="n"/>
      <c r="L527" s="491" t="n"/>
      <c r="M527" s="491" t="n"/>
      <c r="N527" s="491" t="n"/>
      <c r="O527" s="491" t="n"/>
      <c r="P527" s="491" t="n"/>
      <c r="Q527" s="491" t="n"/>
      <c r="R527" s="491" t="n"/>
      <c r="S527" s="491" t="n"/>
      <c r="T527" s="491" t="n"/>
      <c r="U527" s="491" t="n"/>
      <c r="V527" s="491" t="n"/>
      <c r="W527" s="491" t="n"/>
      <c r="X527" s="491" t="n"/>
      <c r="Y527" s="491" t="n"/>
    </row>
    <row r="528" ht="12.75" customHeight="1" s="398">
      <c r="A528" s="491" t="n"/>
      <c r="B528" s="491" t="n"/>
      <c r="C528" s="491" t="n"/>
      <c r="D528" s="491" t="n"/>
      <c r="E528" s="491" t="n"/>
      <c r="F528" s="491" t="n"/>
      <c r="G528" s="491" t="n"/>
      <c r="H528" s="491" t="n"/>
      <c r="I528" s="491" t="n"/>
      <c r="J528" s="491" t="n"/>
      <c r="K528" s="491" t="n"/>
      <c r="L528" s="491" t="n"/>
      <c r="M528" s="491" t="n"/>
      <c r="N528" s="491" t="n"/>
      <c r="O528" s="491" t="n"/>
      <c r="P528" s="491" t="n"/>
      <c r="Q528" s="491" t="n"/>
      <c r="R528" s="491" t="n"/>
      <c r="S528" s="491" t="n"/>
      <c r="T528" s="491" t="n"/>
      <c r="U528" s="491" t="n"/>
      <c r="V528" s="491" t="n"/>
      <c r="W528" s="491" t="n"/>
      <c r="X528" s="491" t="n"/>
      <c r="Y528" s="491" t="n"/>
    </row>
    <row r="529" ht="12.75" customHeight="1" s="398">
      <c r="A529" s="491" t="n"/>
      <c r="B529" s="491" t="n"/>
      <c r="C529" s="491" t="n"/>
      <c r="D529" s="491" t="n"/>
      <c r="E529" s="491" t="n"/>
      <c r="F529" s="491" t="n"/>
      <c r="G529" s="491" t="n"/>
      <c r="H529" s="491" t="n"/>
      <c r="I529" s="491" t="n"/>
      <c r="J529" s="491" t="n"/>
      <c r="K529" s="491" t="n"/>
      <c r="L529" s="491" t="n"/>
      <c r="M529" s="491" t="n"/>
      <c r="N529" s="491" t="n"/>
      <c r="O529" s="491" t="n"/>
      <c r="P529" s="491" t="n"/>
      <c r="Q529" s="491" t="n"/>
      <c r="R529" s="491" t="n"/>
      <c r="S529" s="491" t="n"/>
      <c r="T529" s="491" t="n"/>
      <c r="U529" s="491" t="n"/>
      <c r="V529" s="491" t="n"/>
      <c r="W529" s="491" t="n"/>
      <c r="X529" s="491" t="n"/>
      <c r="Y529" s="491" t="n"/>
    </row>
    <row r="530" ht="12.75" customHeight="1" s="398">
      <c r="A530" s="491" t="n"/>
      <c r="B530" s="491" t="n"/>
      <c r="C530" s="491" t="n"/>
      <c r="D530" s="491" t="n"/>
      <c r="E530" s="491" t="n"/>
      <c r="F530" s="491" t="n"/>
      <c r="G530" s="491" t="n"/>
      <c r="H530" s="491" t="n"/>
      <c r="I530" s="491" t="n"/>
      <c r="J530" s="491" t="n"/>
      <c r="K530" s="491" t="n"/>
      <c r="L530" s="491" t="n"/>
      <c r="M530" s="491" t="n"/>
      <c r="N530" s="491" t="n"/>
      <c r="O530" s="491" t="n"/>
      <c r="P530" s="491" t="n"/>
      <c r="Q530" s="491" t="n"/>
      <c r="R530" s="491" t="n"/>
      <c r="S530" s="491" t="n"/>
      <c r="T530" s="491" t="n"/>
      <c r="U530" s="491" t="n"/>
      <c r="V530" s="491" t="n"/>
      <c r="W530" s="491" t="n"/>
      <c r="X530" s="491" t="n"/>
      <c r="Y530" s="491" t="n"/>
    </row>
    <row r="531" ht="12.75" customHeight="1" s="398">
      <c r="A531" s="491" t="n"/>
      <c r="B531" s="491" t="n"/>
      <c r="C531" s="491" t="n"/>
      <c r="D531" s="491" t="n"/>
      <c r="E531" s="491" t="n"/>
      <c r="F531" s="491" t="n"/>
      <c r="G531" s="491" t="n"/>
      <c r="H531" s="491" t="n"/>
      <c r="I531" s="491" t="n"/>
      <c r="J531" s="491" t="n"/>
      <c r="K531" s="491" t="n"/>
      <c r="L531" s="491" t="n"/>
      <c r="M531" s="491" t="n"/>
      <c r="N531" s="491" t="n"/>
      <c r="O531" s="491" t="n"/>
      <c r="P531" s="491" t="n"/>
      <c r="Q531" s="491" t="n"/>
      <c r="R531" s="491" t="n"/>
      <c r="S531" s="491" t="n"/>
      <c r="T531" s="491" t="n"/>
      <c r="U531" s="491" t="n"/>
      <c r="V531" s="491" t="n"/>
      <c r="W531" s="491" t="n"/>
      <c r="X531" s="491" t="n"/>
      <c r="Y531" s="491" t="n"/>
    </row>
    <row r="532" ht="12.75" customHeight="1" s="398">
      <c r="A532" s="491" t="n"/>
      <c r="B532" s="491" t="n"/>
      <c r="C532" s="491" t="n"/>
      <c r="D532" s="491" t="n"/>
      <c r="E532" s="491" t="n"/>
      <c r="F532" s="491" t="n"/>
      <c r="G532" s="491" t="n"/>
      <c r="H532" s="491" t="n"/>
      <c r="I532" s="491" t="n"/>
      <c r="J532" s="491" t="n"/>
      <c r="K532" s="491" t="n"/>
      <c r="L532" s="491" t="n"/>
      <c r="M532" s="491" t="n"/>
      <c r="N532" s="491" t="n"/>
      <c r="O532" s="491" t="n"/>
      <c r="P532" s="491" t="n"/>
      <c r="Q532" s="491" t="n"/>
      <c r="R532" s="491" t="n"/>
      <c r="S532" s="491" t="n"/>
      <c r="T532" s="491" t="n"/>
      <c r="U532" s="491" t="n"/>
      <c r="V532" s="491" t="n"/>
      <c r="W532" s="491" t="n"/>
      <c r="X532" s="491" t="n"/>
      <c r="Y532" s="491" t="n"/>
    </row>
    <row r="533" ht="12.75" customHeight="1" s="398">
      <c r="A533" s="491" t="n"/>
      <c r="B533" s="491" t="n"/>
      <c r="C533" s="491" t="n"/>
      <c r="D533" s="491" t="n"/>
      <c r="E533" s="491" t="n"/>
      <c r="F533" s="491" t="n"/>
      <c r="G533" s="491" t="n"/>
      <c r="H533" s="491" t="n"/>
      <c r="I533" s="491" t="n"/>
      <c r="J533" s="491" t="n"/>
      <c r="K533" s="491" t="n"/>
      <c r="L533" s="491" t="n"/>
      <c r="M533" s="491" t="n"/>
      <c r="N533" s="491" t="n"/>
      <c r="O533" s="491" t="n"/>
      <c r="P533" s="491" t="n"/>
      <c r="Q533" s="491" t="n"/>
      <c r="R533" s="491" t="n"/>
      <c r="S533" s="491" t="n"/>
      <c r="T533" s="491" t="n"/>
      <c r="U533" s="491" t="n"/>
      <c r="V533" s="491" t="n"/>
      <c r="W533" s="491" t="n"/>
      <c r="X533" s="491" t="n"/>
      <c r="Y533" s="491" t="n"/>
    </row>
    <row r="534" ht="12.75" customHeight="1" s="398">
      <c r="A534" s="491" t="n"/>
      <c r="B534" s="491" t="n"/>
      <c r="C534" s="491" t="n"/>
      <c r="D534" s="491" t="n"/>
      <c r="E534" s="491" t="n"/>
      <c r="F534" s="491" t="n"/>
      <c r="G534" s="491" t="n"/>
      <c r="H534" s="491" t="n"/>
      <c r="I534" s="491" t="n"/>
      <c r="J534" s="491" t="n"/>
      <c r="K534" s="491" t="n"/>
      <c r="L534" s="491" t="n"/>
      <c r="M534" s="491" t="n"/>
      <c r="N534" s="491" t="n"/>
      <c r="O534" s="491" t="n"/>
      <c r="P534" s="491" t="n"/>
      <c r="Q534" s="491" t="n"/>
      <c r="R534" s="491" t="n"/>
      <c r="S534" s="491" t="n"/>
      <c r="T534" s="491" t="n"/>
      <c r="U534" s="491" t="n"/>
      <c r="V534" s="491" t="n"/>
      <c r="W534" s="491" t="n"/>
      <c r="X534" s="491" t="n"/>
      <c r="Y534" s="491" t="n"/>
    </row>
    <row r="535" ht="12.75" customHeight="1" s="398">
      <c r="A535" s="491" t="n"/>
      <c r="B535" s="491" t="n"/>
      <c r="C535" s="491" t="n"/>
      <c r="D535" s="491" t="n"/>
      <c r="E535" s="491" t="n"/>
      <c r="F535" s="491" t="n"/>
      <c r="G535" s="491" t="n"/>
      <c r="H535" s="491" t="n"/>
      <c r="I535" s="491" t="n"/>
      <c r="J535" s="491" t="n"/>
      <c r="K535" s="491" t="n"/>
      <c r="L535" s="491" t="n"/>
      <c r="M535" s="491" t="n"/>
      <c r="N535" s="491" t="n"/>
      <c r="O535" s="491" t="n"/>
      <c r="P535" s="491" t="n"/>
      <c r="Q535" s="491" t="n"/>
      <c r="R535" s="491" t="n"/>
      <c r="S535" s="491" t="n"/>
      <c r="T535" s="491" t="n"/>
      <c r="U535" s="491" t="n"/>
      <c r="V535" s="491" t="n"/>
      <c r="W535" s="491" t="n"/>
      <c r="X535" s="491" t="n"/>
      <c r="Y535" s="491" t="n"/>
    </row>
    <row r="536" ht="12.75" customHeight="1" s="398">
      <c r="A536" s="491" t="n"/>
      <c r="B536" s="491" t="n"/>
      <c r="C536" s="491" t="n"/>
      <c r="D536" s="491" t="n"/>
      <c r="E536" s="491" t="n"/>
      <c r="F536" s="491" t="n"/>
      <c r="G536" s="491" t="n"/>
      <c r="H536" s="491" t="n"/>
      <c r="I536" s="491" t="n"/>
      <c r="J536" s="491" t="n"/>
      <c r="K536" s="491" t="n"/>
      <c r="L536" s="491" t="n"/>
      <c r="M536" s="491" t="n"/>
      <c r="N536" s="491" t="n"/>
      <c r="O536" s="491" t="n"/>
      <c r="P536" s="491" t="n"/>
      <c r="Q536" s="491" t="n"/>
      <c r="R536" s="491" t="n"/>
      <c r="S536" s="491" t="n"/>
      <c r="T536" s="491" t="n"/>
      <c r="U536" s="491" t="n"/>
      <c r="V536" s="491" t="n"/>
      <c r="W536" s="491" t="n"/>
      <c r="X536" s="491" t="n"/>
      <c r="Y536" s="491" t="n"/>
    </row>
    <row r="537" ht="12.75" customHeight="1" s="398">
      <c r="A537" s="491" t="n"/>
      <c r="B537" s="491" t="n"/>
      <c r="C537" s="491" t="n"/>
      <c r="D537" s="491" t="n"/>
      <c r="E537" s="491" t="n"/>
      <c r="F537" s="491" t="n"/>
      <c r="G537" s="491" t="n"/>
      <c r="H537" s="491" t="n"/>
      <c r="I537" s="491" t="n"/>
      <c r="J537" s="491" t="n"/>
      <c r="K537" s="491" t="n"/>
      <c r="L537" s="491" t="n"/>
      <c r="M537" s="491" t="n"/>
      <c r="N537" s="491" t="n"/>
      <c r="O537" s="491" t="n"/>
      <c r="P537" s="491" t="n"/>
      <c r="Q537" s="491" t="n"/>
      <c r="R537" s="491" t="n"/>
      <c r="S537" s="491" t="n"/>
      <c r="T537" s="491" t="n"/>
      <c r="U537" s="491" t="n"/>
      <c r="V537" s="491" t="n"/>
      <c r="W537" s="491" t="n"/>
      <c r="X537" s="491" t="n"/>
      <c r="Y537" s="491" t="n"/>
    </row>
    <row r="538" ht="12.75" customHeight="1" s="398">
      <c r="A538" s="491" t="n"/>
      <c r="B538" s="491" t="n"/>
      <c r="C538" s="491" t="n"/>
      <c r="D538" s="491" t="n"/>
      <c r="E538" s="491" t="n"/>
      <c r="F538" s="491" t="n"/>
      <c r="G538" s="491" t="n"/>
      <c r="H538" s="491" t="n"/>
      <c r="I538" s="491" t="n"/>
      <c r="J538" s="491" t="n"/>
      <c r="K538" s="491" t="n"/>
      <c r="L538" s="491" t="n"/>
      <c r="M538" s="491" t="n"/>
      <c r="N538" s="491" t="n"/>
      <c r="O538" s="491" t="n"/>
      <c r="P538" s="491" t="n"/>
      <c r="Q538" s="491" t="n"/>
      <c r="R538" s="491" t="n"/>
      <c r="S538" s="491" t="n"/>
      <c r="T538" s="491" t="n"/>
      <c r="U538" s="491" t="n"/>
      <c r="V538" s="491" t="n"/>
      <c r="W538" s="491" t="n"/>
      <c r="X538" s="491" t="n"/>
      <c r="Y538" s="491" t="n"/>
    </row>
    <row r="539" ht="12.75" customHeight="1" s="398">
      <c r="A539" s="491" t="n"/>
      <c r="B539" s="491" t="n"/>
      <c r="C539" s="491" t="n"/>
      <c r="D539" s="491" t="n"/>
      <c r="E539" s="491" t="n"/>
      <c r="F539" s="491" t="n"/>
      <c r="G539" s="491" t="n"/>
      <c r="H539" s="491" t="n"/>
      <c r="I539" s="491" t="n"/>
      <c r="J539" s="491" t="n"/>
      <c r="K539" s="491" t="n"/>
      <c r="L539" s="491" t="n"/>
      <c r="M539" s="491" t="n"/>
      <c r="N539" s="491" t="n"/>
      <c r="O539" s="491" t="n"/>
      <c r="P539" s="491" t="n"/>
      <c r="Q539" s="491" t="n"/>
      <c r="R539" s="491" t="n"/>
      <c r="S539" s="491" t="n"/>
      <c r="T539" s="491" t="n"/>
      <c r="U539" s="491" t="n"/>
      <c r="V539" s="491" t="n"/>
      <c r="W539" s="491" t="n"/>
      <c r="X539" s="491" t="n"/>
      <c r="Y539" s="491" t="n"/>
    </row>
    <row r="540" ht="12.75" customHeight="1" s="398">
      <c r="A540" s="491" t="n"/>
      <c r="B540" s="491" t="n"/>
      <c r="C540" s="491" t="n"/>
      <c r="D540" s="491" t="n"/>
      <c r="E540" s="491" t="n"/>
      <c r="F540" s="491" t="n"/>
      <c r="G540" s="491" t="n"/>
      <c r="H540" s="491" t="n"/>
      <c r="I540" s="491" t="n"/>
      <c r="J540" s="491" t="n"/>
      <c r="K540" s="491" t="n"/>
      <c r="L540" s="491" t="n"/>
      <c r="M540" s="491" t="n"/>
      <c r="N540" s="491" t="n"/>
      <c r="O540" s="491" t="n"/>
      <c r="P540" s="491" t="n"/>
      <c r="Q540" s="491" t="n"/>
      <c r="R540" s="491" t="n"/>
      <c r="S540" s="491" t="n"/>
      <c r="T540" s="491" t="n"/>
      <c r="U540" s="491" t="n"/>
      <c r="V540" s="491" t="n"/>
      <c r="W540" s="491" t="n"/>
      <c r="X540" s="491" t="n"/>
      <c r="Y540" s="491" t="n"/>
    </row>
    <row r="541" ht="12.75" customHeight="1" s="398">
      <c r="A541" s="491" t="n"/>
      <c r="B541" s="491" t="n"/>
      <c r="C541" s="491" t="n"/>
      <c r="D541" s="491" t="n"/>
      <c r="E541" s="491" t="n"/>
      <c r="F541" s="491" t="n"/>
      <c r="G541" s="491" t="n"/>
      <c r="H541" s="491" t="n"/>
      <c r="I541" s="491" t="n"/>
      <c r="J541" s="491" t="n"/>
      <c r="K541" s="491" t="n"/>
      <c r="L541" s="491" t="n"/>
      <c r="M541" s="491" t="n"/>
      <c r="N541" s="491" t="n"/>
      <c r="O541" s="491" t="n"/>
      <c r="P541" s="491" t="n"/>
      <c r="Q541" s="491" t="n"/>
      <c r="R541" s="491" t="n"/>
      <c r="S541" s="491" t="n"/>
      <c r="T541" s="491" t="n"/>
      <c r="U541" s="491" t="n"/>
      <c r="V541" s="491" t="n"/>
      <c r="W541" s="491" t="n"/>
      <c r="X541" s="491" t="n"/>
      <c r="Y541" s="491" t="n"/>
    </row>
    <row r="542" ht="12.75" customHeight="1" s="398">
      <c r="A542" s="491" t="n"/>
      <c r="B542" s="491" t="n"/>
      <c r="C542" s="491" t="n"/>
      <c r="D542" s="491" t="n"/>
      <c r="E542" s="491" t="n"/>
      <c r="F542" s="491" t="n"/>
      <c r="G542" s="491" t="n"/>
      <c r="H542" s="491" t="n"/>
      <c r="I542" s="491" t="n"/>
      <c r="J542" s="491" t="n"/>
      <c r="K542" s="491" t="n"/>
      <c r="L542" s="491" t="n"/>
      <c r="M542" s="491" t="n"/>
      <c r="N542" s="491" t="n"/>
      <c r="O542" s="491" t="n"/>
      <c r="P542" s="491" t="n"/>
      <c r="Q542" s="491" t="n"/>
      <c r="R542" s="491" t="n"/>
      <c r="S542" s="491" t="n"/>
      <c r="T542" s="491" t="n"/>
      <c r="U542" s="491" t="n"/>
      <c r="V542" s="491" t="n"/>
      <c r="W542" s="491" t="n"/>
      <c r="X542" s="491" t="n"/>
      <c r="Y542" s="491" t="n"/>
    </row>
    <row r="543" ht="12.75" customHeight="1" s="398">
      <c r="A543" s="491" t="n"/>
      <c r="B543" s="491" t="n"/>
      <c r="C543" s="491" t="n"/>
      <c r="D543" s="491" t="n"/>
      <c r="E543" s="491" t="n"/>
      <c r="F543" s="491" t="n"/>
      <c r="G543" s="491" t="n"/>
      <c r="H543" s="491" t="n"/>
      <c r="I543" s="491" t="n"/>
      <c r="J543" s="491" t="n"/>
      <c r="K543" s="491" t="n"/>
      <c r="L543" s="491" t="n"/>
      <c r="M543" s="491" t="n"/>
      <c r="N543" s="491" t="n"/>
      <c r="O543" s="491" t="n"/>
      <c r="P543" s="491" t="n"/>
      <c r="Q543" s="491" t="n"/>
      <c r="R543" s="491" t="n"/>
      <c r="S543" s="491" t="n"/>
      <c r="T543" s="491" t="n"/>
      <c r="U543" s="491" t="n"/>
      <c r="V543" s="491" t="n"/>
      <c r="W543" s="491" t="n"/>
      <c r="X543" s="491" t="n"/>
      <c r="Y543" s="491" t="n"/>
    </row>
    <row r="544" ht="12.75" customHeight="1" s="398">
      <c r="A544" s="491" t="n"/>
      <c r="B544" s="491" t="n"/>
      <c r="C544" s="491" t="n"/>
      <c r="D544" s="491" t="n"/>
      <c r="E544" s="491" t="n"/>
      <c r="F544" s="491" t="n"/>
      <c r="G544" s="491" t="n"/>
      <c r="H544" s="491" t="n"/>
      <c r="I544" s="491" t="n"/>
      <c r="J544" s="491" t="n"/>
      <c r="K544" s="491" t="n"/>
      <c r="L544" s="491" t="n"/>
      <c r="M544" s="491" t="n"/>
      <c r="N544" s="491" t="n"/>
      <c r="O544" s="491" t="n"/>
      <c r="P544" s="491" t="n"/>
      <c r="Q544" s="491" t="n"/>
      <c r="R544" s="491" t="n"/>
      <c r="S544" s="491" t="n"/>
      <c r="T544" s="491" t="n"/>
      <c r="U544" s="491" t="n"/>
      <c r="V544" s="491" t="n"/>
      <c r="W544" s="491" t="n"/>
      <c r="X544" s="491" t="n"/>
      <c r="Y544" s="491" t="n"/>
    </row>
    <row r="545" ht="12.75" customHeight="1" s="398">
      <c r="A545" s="491" t="n"/>
      <c r="B545" s="491" t="n"/>
      <c r="C545" s="491" t="n"/>
      <c r="D545" s="491" t="n"/>
      <c r="E545" s="491" t="n"/>
      <c r="F545" s="491" t="n"/>
      <c r="G545" s="491" t="n"/>
      <c r="H545" s="491" t="n"/>
      <c r="I545" s="491" t="n"/>
      <c r="J545" s="491" t="n"/>
      <c r="K545" s="491" t="n"/>
      <c r="L545" s="491" t="n"/>
      <c r="M545" s="491" t="n"/>
      <c r="N545" s="491" t="n"/>
      <c r="O545" s="491" t="n"/>
      <c r="P545" s="491" t="n"/>
      <c r="Q545" s="491" t="n"/>
      <c r="R545" s="491" t="n"/>
      <c r="S545" s="491" t="n"/>
      <c r="T545" s="491" t="n"/>
      <c r="U545" s="491" t="n"/>
      <c r="V545" s="491" t="n"/>
      <c r="W545" s="491" t="n"/>
      <c r="X545" s="491" t="n"/>
      <c r="Y545" s="491" t="n"/>
    </row>
    <row r="546" ht="12.75" customHeight="1" s="398">
      <c r="A546" s="491" t="n"/>
      <c r="B546" s="491" t="n"/>
      <c r="C546" s="491" t="n"/>
      <c r="D546" s="491" t="n"/>
      <c r="E546" s="491" t="n"/>
      <c r="F546" s="491" t="n"/>
      <c r="G546" s="491" t="n"/>
      <c r="H546" s="491" t="n"/>
      <c r="I546" s="491" t="n"/>
      <c r="J546" s="491" t="n"/>
      <c r="K546" s="491" t="n"/>
      <c r="L546" s="491" t="n"/>
      <c r="M546" s="491" t="n"/>
      <c r="N546" s="491" t="n"/>
      <c r="O546" s="491" t="n"/>
      <c r="P546" s="491" t="n"/>
      <c r="Q546" s="491" t="n"/>
      <c r="R546" s="491" t="n"/>
      <c r="S546" s="491" t="n"/>
      <c r="T546" s="491" t="n"/>
      <c r="U546" s="491" t="n"/>
      <c r="V546" s="491" t="n"/>
      <c r="W546" s="491" t="n"/>
      <c r="X546" s="491" t="n"/>
      <c r="Y546" s="491" t="n"/>
    </row>
    <row r="547" ht="12.75" customHeight="1" s="398">
      <c r="A547" s="491" t="n"/>
      <c r="B547" s="491" t="n"/>
      <c r="C547" s="491" t="n"/>
      <c r="D547" s="491" t="n"/>
      <c r="E547" s="491" t="n"/>
      <c r="F547" s="491" t="n"/>
      <c r="G547" s="491" t="n"/>
      <c r="H547" s="491" t="n"/>
      <c r="I547" s="491" t="n"/>
      <c r="J547" s="491" t="n"/>
      <c r="K547" s="491" t="n"/>
      <c r="L547" s="491" t="n"/>
      <c r="M547" s="491" t="n"/>
      <c r="N547" s="491" t="n"/>
      <c r="O547" s="491" t="n"/>
      <c r="P547" s="491" t="n"/>
      <c r="Q547" s="491" t="n"/>
      <c r="R547" s="491" t="n"/>
      <c r="S547" s="491" t="n"/>
      <c r="T547" s="491" t="n"/>
      <c r="U547" s="491" t="n"/>
      <c r="V547" s="491" t="n"/>
      <c r="W547" s="491" t="n"/>
      <c r="X547" s="491" t="n"/>
      <c r="Y547" s="491" t="n"/>
    </row>
    <row r="548" ht="12.75" customHeight="1" s="398">
      <c r="A548" s="491" t="n"/>
      <c r="B548" s="491" t="n"/>
      <c r="C548" s="491" t="n"/>
      <c r="D548" s="491" t="n"/>
      <c r="E548" s="491" t="n"/>
      <c r="F548" s="491" t="n"/>
      <c r="G548" s="491" t="n"/>
      <c r="H548" s="491" t="n"/>
      <c r="I548" s="491" t="n"/>
      <c r="J548" s="491" t="n"/>
      <c r="K548" s="491" t="n"/>
      <c r="L548" s="491" t="n"/>
      <c r="M548" s="491" t="n"/>
      <c r="N548" s="491" t="n"/>
      <c r="O548" s="491" t="n"/>
      <c r="P548" s="491" t="n"/>
      <c r="Q548" s="491" t="n"/>
      <c r="R548" s="491" t="n"/>
      <c r="S548" s="491" t="n"/>
      <c r="T548" s="491" t="n"/>
      <c r="U548" s="491" t="n"/>
      <c r="V548" s="491" t="n"/>
      <c r="W548" s="491" t="n"/>
      <c r="X548" s="491" t="n"/>
      <c r="Y548" s="491" t="n"/>
    </row>
    <row r="549" ht="12.75" customHeight="1" s="398">
      <c r="A549" s="491" t="n"/>
      <c r="B549" s="491" t="n"/>
      <c r="C549" s="491" t="n"/>
      <c r="D549" s="491" t="n"/>
      <c r="E549" s="491" t="n"/>
      <c r="F549" s="491" t="n"/>
      <c r="G549" s="491" t="n"/>
      <c r="H549" s="491" t="n"/>
      <c r="I549" s="491" t="n"/>
      <c r="J549" s="491" t="n"/>
      <c r="K549" s="491" t="n"/>
      <c r="L549" s="491" t="n"/>
      <c r="M549" s="491" t="n"/>
      <c r="N549" s="491" t="n"/>
      <c r="O549" s="491" t="n"/>
      <c r="P549" s="491" t="n"/>
      <c r="Q549" s="491" t="n"/>
      <c r="R549" s="491" t="n"/>
      <c r="S549" s="491" t="n"/>
      <c r="T549" s="491" t="n"/>
      <c r="U549" s="491" t="n"/>
      <c r="V549" s="491" t="n"/>
      <c r="W549" s="491" t="n"/>
      <c r="X549" s="491" t="n"/>
      <c r="Y549" s="491" t="n"/>
    </row>
    <row r="550" ht="12.75" customHeight="1" s="398">
      <c r="A550" s="491" t="n"/>
      <c r="B550" s="491" t="n"/>
      <c r="C550" s="491" t="n"/>
      <c r="D550" s="491" t="n"/>
      <c r="E550" s="491" t="n"/>
      <c r="F550" s="491" t="n"/>
      <c r="G550" s="491" t="n"/>
      <c r="H550" s="491" t="n"/>
      <c r="I550" s="491" t="n"/>
      <c r="J550" s="491" t="n"/>
      <c r="K550" s="491" t="n"/>
      <c r="L550" s="491" t="n"/>
      <c r="M550" s="491" t="n"/>
      <c r="N550" s="491" t="n"/>
      <c r="O550" s="491" t="n"/>
      <c r="P550" s="491" t="n"/>
      <c r="Q550" s="491" t="n"/>
      <c r="R550" s="491" t="n"/>
      <c r="S550" s="491" t="n"/>
      <c r="T550" s="491" t="n"/>
      <c r="U550" s="491" t="n"/>
      <c r="V550" s="491" t="n"/>
      <c r="W550" s="491" t="n"/>
      <c r="X550" s="491" t="n"/>
      <c r="Y550" s="491" t="n"/>
    </row>
    <row r="551" ht="12.75" customHeight="1" s="398">
      <c r="A551" s="491" t="n"/>
      <c r="B551" s="491" t="n"/>
      <c r="C551" s="491" t="n"/>
      <c r="D551" s="491" t="n"/>
      <c r="E551" s="491" t="n"/>
      <c r="F551" s="491" t="n"/>
      <c r="G551" s="491" t="n"/>
      <c r="H551" s="491" t="n"/>
      <c r="I551" s="491" t="n"/>
      <c r="J551" s="491" t="n"/>
      <c r="K551" s="491" t="n"/>
      <c r="L551" s="491" t="n"/>
      <c r="M551" s="491" t="n"/>
      <c r="N551" s="491" t="n"/>
      <c r="O551" s="491" t="n"/>
      <c r="P551" s="491" t="n"/>
      <c r="Q551" s="491" t="n"/>
      <c r="R551" s="491" t="n"/>
      <c r="S551" s="491" t="n"/>
      <c r="T551" s="491" t="n"/>
      <c r="U551" s="491" t="n"/>
      <c r="V551" s="491" t="n"/>
      <c r="W551" s="491" t="n"/>
      <c r="X551" s="491" t="n"/>
      <c r="Y551" s="491" t="n"/>
    </row>
    <row r="552" ht="12.75" customHeight="1" s="398">
      <c r="A552" s="491" t="n"/>
      <c r="B552" s="491" t="n"/>
      <c r="C552" s="491" t="n"/>
      <c r="D552" s="491" t="n"/>
      <c r="E552" s="491" t="n"/>
      <c r="F552" s="491" t="n"/>
      <c r="G552" s="491" t="n"/>
      <c r="H552" s="491" t="n"/>
      <c r="I552" s="491" t="n"/>
      <c r="J552" s="491" t="n"/>
      <c r="K552" s="491" t="n"/>
      <c r="L552" s="491" t="n"/>
      <c r="M552" s="491" t="n"/>
      <c r="N552" s="491" t="n"/>
      <c r="O552" s="491" t="n"/>
      <c r="P552" s="491" t="n"/>
      <c r="Q552" s="491" t="n"/>
      <c r="R552" s="491" t="n"/>
      <c r="S552" s="491" t="n"/>
      <c r="T552" s="491" t="n"/>
      <c r="U552" s="491" t="n"/>
      <c r="V552" s="491" t="n"/>
      <c r="W552" s="491" t="n"/>
      <c r="X552" s="491" t="n"/>
      <c r="Y552" s="491" t="n"/>
    </row>
    <row r="553" ht="12.75" customHeight="1" s="398">
      <c r="A553" s="491" t="n"/>
      <c r="B553" s="491" t="n"/>
      <c r="C553" s="491" t="n"/>
      <c r="D553" s="491" t="n"/>
      <c r="E553" s="491" t="n"/>
      <c r="F553" s="491" t="n"/>
      <c r="G553" s="491" t="n"/>
      <c r="H553" s="491" t="n"/>
      <c r="I553" s="491" t="n"/>
      <c r="J553" s="491" t="n"/>
      <c r="K553" s="491" t="n"/>
      <c r="L553" s="491" t="n"/>
      <c r="M553" s="491" t="n"/>
      <c r="N553" s="491" t="n"/>
      <c r="O553" s="491" t="n"/>
      <c r="P553" s="491" t="n"/>
      <c r="Q553" s="491" t="n"/>
      <c r="R553" s="491" t="n"/>
      <c r="S553" s="491" t="n"/>
      <c r="T553" s="491" t="n"/>
      <c r="U553" s="491" t="n"/>
      <c r="V553" s="491" t="n"/>
      <c r="W553" s="491" t="n"/>
      <c r="X553" s="491" t="n"/>
      <c r="Y553" s="491" t="n"/>
    </row>
    <row r="554" ht="12.75" customHeight="1" s="398">
      <c r="A554" s="491" t="n"/>
      <c r="B554" s="491" t="n"/>
      <c r="C554" s="491" t="n"/>
      <c r="D554" s="491" t="n"/>
      <c r="E554" s="491" t="n"/>
      <c r="F554" s="491" t="n"/>
      <c r="G554" s="491" t="n"/>
      <c r="H554" s="491" t="n"/>
      <c r="I554" s="491" t="n"/>
      <c r="J554" s="491" t="n"/>
      <c r="K554" s="491" t="n"/>
      <c r="L554" s="491" t="n"/>
      <c r="M554" s="491" t="n"/>
      <c r="N554" s="491" t="n"/>
      <c r="O554" s="491" t="n"/>
      <c r="P554" s="491" t="n"/>
      <c r="Q554" s="491" t="n"/>
      <c r="R554" s="491" t="n"/>
      <c r="S554" s="491" t="n"/>
      <c r="T554" s="491" t="n"/>
      <c r="U554" s="491" t="n"/>
      <c r="V554" s="491" t="n"/>
      <c r="W554" s="491" t="n"/>
      <c r="X554" s="491" t="n"/>
      <c r="Y554" s="491" t="n"/>
    </row>
    <row r="555" ht="12.75" customHeight="1" s="398">
      <c r="A555" s="491" t="n"/>
      <c r="B555" s="491" t="n"/>
      <c r="C555" s="491" t="n"/>
      <c r="D555" s="491" t="n"/>
      <c r="E555" s="491" t="n"/>
      <c r="F555" s="491" t="n"/>
      <c r="G555" s="491" t="n"/>
      <c r="H555" s="491" t="n"/>
      <c r="I555" s="491" t="n"/>
      <c r="J555" s="491" t="n"/>
      <c r="K555" s="491" t="n"/>
      <c r="L555" s="491" t="n"/>
      <c r="M555" s="491" t="n"/>
      <c r="N555" s="491" t="n"/>
      <c r="O555" s="491" t="n"/>
      <c r="P555" s="491" t="n"/>
      <c r="Q555" s="491" t="n"/>
      <c r="R555" s="491" t="n"/>
      <c r="S555" s="491" t="n"/>
      <c r="T555" s="491" t="n"/>
      <c r="U555" s="491" t="n"/>
      <c r="V555" s="491" t="n"/>
      <c r="W555" s="491" t="n"/>
      <c r="X555" s="491" t="n"/>
      <c r="Y555" s="491" t="n"/>
    </row>
    <row r="556" ht="12.75" customHeight="1" s="398">
      <c r="A556" s="491" t="n"/>
      <c r="B556" s="491" t="n"/>
      <c r="C556" s="491" t="n"/>
      <c r="D556" s="491" t="n"/>
      <c r="E556" s="491" t="n"/>
      <c r="F556" s="491" t="n"/>
      <c r="G556" s="491" t="n"/>
      <c r="H556" s="491" t="n"/>
      <c r="I556" s="491" t="n"/>
      <c r="J556" s="491" t="n"/>
      <c r="K556" s="491" t="n"/>
      <c r="L556" s="491" t="n"/>
      <c r="M556" s="491" t="n"/>
      <c r="N556" s="491" t="n"/>
      <c r="O556" s="491" t="n"/>
      <c r="P556" s="491" t="n"/>
      <c r="Q556" s="491" t="n"/>
      <c r="R556" s="491" t="n"/>
      <c r="S556" s="491" t="n"/>
      <c r="T556" s="491" t="n"/>
      <c r="U556" s="491" t="n"/>
      <c r="V556" s="491" t="n"/>
      <c r="W556" s="491" t="n"/>
      <c r="X556" s="491" t="n"/>
      <c r="Y556" s="491" t="n"/>
    </row>
    <row r="557" ht="12.75" customHeight="1" s="398">
      <c r="A557" s="491" t="n"/>
      <c r="B557" s="491" t="n"/>
      <c r="C557" s="491" t="n"/>
      <c r="D557" s="491" t="n"/>
      <c r="E557" s="491" t="n"/>
      <c r="F557" s="491" t="n"/>
      <c r="G557" s="491" t="n"/>
      <c r="H557" s="491" t="n"/>
      <c r="I557" s="491" t="n"/>
      <c r="J557" s="491" t="n"/>
      <c r="K557" s="491" t="n"/>
      <c r="L557" s="491" t="n"/>
      <c r="M557" s="491" t="n"/>
      <c r="N557" s="491" t="n"/>
      <c r="O557" s="491" t="n"/>
      <c r="P557" s="491" t="n"/>
      <c r="Q557" s="491" t="n"/>
      <c r="R557" s="491" t="n"/>
      <c r="S557" s="491" t="n"/>
      <c r="T557" s="491" t="n"/>
      <c r="U557" s="491" t="n"/>
      <c r="V557" s="491" t="n"/>
      <c r="W557" s="491" t="n"/>
      <c r="X557" s="491" t="n"/>
      <c r="Y557" s="491" t="n"/>
    </row>
    <row r="558" ht="12.75" customHeight="1" s="398">
      <c r="A558" s="491" t="n"/>
      <c r="B558" s="491" t="n"/>
      <c r="C558" s="491" t="n"/>
      <c r="D558" s="491" t="n"/>
      <c r="E558" s="491" t="n"/>
      <c r="F558" s="491" t="n"/>
      <c r="G558" s="491" t="n"/>
      <c r="H558" s="491" t="n"/>
      <c r="I558" s="491" t="n"/>
      <c r="J558" s="491" t="n"/>
      <c r="K558" s="491" t="n"/>
      <c r="L558" s="491" t="n"/>
      <c r="M558" s="491" t="n"/>
      <c r="N558" s="491" t="n"/>
      <c r="O558" s="491" t="n"/>
      <c r="P558" s="491" t="n"/>
      <c r="Q558" s="491" t="n"/>
      <c r="R558" s="491" t="n"/>
      <c r="S558" s="491" t="n"/>
      <c r="T558" s="491" t="n"/>
      <c r="U558" s="491" t="n"/>
      <c r="V558" s="491" t="n"/>
      <c r="W558" s="491" t="n"/>
      <c r="X558" s="491" t="n"/>
      <c r="Y558" s="491" t="n"/>
    </row>
    <row r="559" ht="12.75" customHeight="1" s="398">
      <c r="A559" s="491" t="n"/>
      <c r="B559" s="491" t="n"/>
      <c r="C559" s="491" t="n"/>
      <c r="D559" s="491" t="n"/>
      <c r="E559" s="491" t="n"/>
      <c r="F559" s="491" t="n"/>
      <c r="G559" s="491" t="n"/>
      <c r="H559" s="491" t="n"/>
      <c r="I559" s="491" t="n"/>
      <c r="J559" s="491" t="n"/>
      <c r="K559" s="491" t="n"/>
      <c r="L559" s="491" t="n"/>
      <c r="M559" s="491" t="n"/>
      <c r="N559" s="491" t="n"/>
      <c r="O559" s="491" t="n"/>
      <c r="P559" s="491" t="n"/>
      <c r="Q559" s="491" t="n"/>
      <c r="R559" s="491" t="n"/>
      <c r="S559" s="491" t="n"/>
      <c r="T559" s="491" t="n"/>
      <c r="U559" s="491" t="n"/>
      <c r="V559" s="491" t="n"/>
      <c r="W559" s="491" t="n"/>
      <c r="X559" s="491" t="n"/>
      <c r="Y559" s="491" t="n"/>
    </row>
    <row r="560" ht="12.75" customHeight="1" s="398">
      <c r="A560" s="491" t="n"/>
      <c r="B560" s="491" t="n"/>
      <c r="C560" s="491" t="n"/>
      <c r="D560" s="491" t="n"/>
      <c r="E560" s="491" t="n"/>
      <c r="F560" s="491" t="n"/>
      <c r="G560" s="491" t="n"/>
      <c r="H560" s="491" t="n"/>
      <c r="I560" s="491" t="n"/>
      <c r="J560" s="491" t="n"/>
      <c r="K560" s="491" t="n"/>
      <c r="L560" s="491" t="n"/>
      <c r="M560" s="491" t="n"/>
      <c r="N560" s="491" t="n"/>
      <c r="O560" s="491" t="n"/>
      <c r="P560" s="491" t="n"/>
      <c r="Q560" s="491" t="n"/>
      <c r="R560" s="491" t="n"/>
      <c r="S560" s="491" t="n"/>
      <c r="T560" s="491" t="n"/>
      <c r="U560" s="491" t="n"/>
      <c r="V560" s="491" t="n"/>
      <c r="W560" s="491" t="n"/>
      <c r="X560" s="491" t="n"/>
      <c r="Y560" s="491" t="n"/>
    </row>
    <row r="561" ht="12.75" customHeight="1" s="398">
      <c r="A561" s="491" t="n"/>
      <c r="B561" s="491" t="n"/>
      <c r="C561" s="491" t="n"/>
      <c r="D561" s="491" t="n"/>
      <c r="E561" s="491" t="n"/>
      <c r="F561" s="491" t="n"/>
      <c r="G561" s="491" t="n"/>
      <c r="H561" s="491" t="n"/>
      <c r="I561" s="491" t="n"/>
      <c r="J561" s="491" t="n"/>
      <c r="K561" s="491" t="n"/>
      <c r="L561" s="491" t="n"/>
      <c r="M561" s="491" t="n"/>
      <c r="N561" s="491" t="n"/>
      <c r="O561" s="491" t="n"/>
      <c r="P561" s="491" t="n"/>
      <c r="Q561" s="491" t="n"/>
      <c r="R561" s="491" t="n"/>
      <c r="S561" s="491" t="n"/>
      <c r="T561" s="491" t="n"/>
      <c r="U561" s="491" t="n"/>
      <c r="V561" s="491" t="n"/>
      <c r="W561" s="491" t="n"/>
      <c r="X561" s="491" t="n"/>
      <c r="Y561" s="491" t="n"/>
    </row>
    <row r="562" ht="12.75" customHeight="1" s="398">
      <c r="A562" s="491" t="n"/>
      <c r="B562" s="491" t="n"/>
      <c r="C562" s="491" t="n"/>
      <c r="D562" s="491" t="n"/>
      <c r="E562" s="491" t="n"/>
      <c r="F562" s="491" t="n"/>
      <c r="G562" s="491" t="n"/>
      <c r="H562" s="491" t="n"/>
      <c r="I562" s="491" t="n"/>
      <c r="J562" s="491" t="n"/>
      <c r="K562" s="491" t="n"/>
      <c r="L562" s="491" t="n"/>
      <c r="M562" s="491" t="n"/>
      <c r="N562" s="491" t="n"/>
      <c r="O562" s="491" t="n"/>
      <c r="P562" s="491" t="n"/>
      <c r="Q562" s="491" t="n"/>
      <c r="R562" s="491" t="n"/>
      <c r="S562" s="491" t="n"/>
      <c r="T562" s="491" t="n"/>
      <c r="U562" s="491" t="n"/>
      <c r="V562" s="491" t="n"/>
      <c r="W562" s="491" t="n"/>
      <c r="X562" s="491" t="n"/>
      <c r="Y562" s="491" t="n"/>
    </row>
    <row r="563" ht="12.75" customHeight="1" s="398">
      <c r="A563" s="491" t="n"/>
      <c r="B563" s="491" t="n"/>
      <c r="C563" s="491" t="n"/>
      <c r="D563" s="491" t="n"/>
      <c r="E563" s="491" t="n"/>
      <c r="F563" s="491" t="n"/>
      <c r="G563" s="491" t="n"/>
      <c r="H563" s="491" t="n"/>
      <c r="I563" s="491" t="n"/>
      <c r="J563" s="491" t="n"/>
      <c r="K563" s="491" t="n"/>
      <c r="L563" s="491" t="n"/>
      <c r="M563" s="491" t="n"/>
      <c r="N563" s="491" t="n"/>
      <c r="O563" s="491" t="n"/>
      <c r="P563" s="491" t="n"/>
      <c r="Q563" s="491" t="n"/>
      <c r="R563" s="491" t="n"/>
      <c r="S563" s="491" t="n"/>
      <c r="T563" s="491" t="n"/>
      <c r="U563" s="491" t="n"/>
      <c r="V563" s="491" t="n"/>
      <c r="W563" s="491" t="n"/>
      <c r="X563" s="491" t="n"/>
      <c r="Y563" s="491" t="n"/>
    </row>
    <row r="564" ht="12.75" customHeight="1" s="398">
      <c r="A564" s="491" t="n"/>
      <c r="B564" s="491" t="n"/>
      <c r="C564" s="491" t="n"/>
      <c r="D564" s="491" t="n"/>
      <c r="E564" s="491" t="n"/>
      <c r="F564" s="491" t="n"/>
      <c r="G564" s="491" t="n"/>
      <c r="H564" s="491" t="n"/>
      <c r="I564" s="491" t="n"/>
      <c r="J564" s="491" t="n"/>
      <c r="K564" s="491" t="n"/>
      <c r="L564" s="491" t="n"/>
      <c r="M564" s="491" t="n"/>
      <c r="N564" s="491" t="n"/>
      <c r="O564" s="491" t="n"/>
      <c r="P564" s="491" t="n"/>
      <c r="Q564" s="491" t="n"/>
      <c r="R564" s="491" t="n"/>
      <c r="S564" s="491" t="n"/>
      <c r="T564" s="491" t="n"/>
      <c r="U564" s="491" t="n"/>
      <c r="V564" s="491" t="n"/>
      <c r="W564" s="491" t="n"/>
      <c r="X564" s="491" t="n"/>
      <c r="Y564" s="491" t="n"/>
    </row>
    <row r="565" ht="12.75" customHeight="1" s="398">
      <c r="A565" s="491" t="n"/>
      <c r="B565" s="491" t="n"/>
      <c r="C565" s="491" t="n"/>
      <c r="D565" s="491" t="n"/>
      <c r="E565" s="491" t="n"/>
      <c r="F565" s="491" t="n"/>
      <c r="G565" s="491" t="n"/>
      <c r="H565" s="491" t="n"/>
      <c r="I565" s="491" t="n"/>
      <c r="J565" s="491" t="n"/>
      <c r="K565" s="491" t="n"/>
      <c r="L565" s="491" t="n"/>
      <c r="M565" s="491" t="n"/>
      <c r="N565" s="491" t="n"/>
      <c r="O565" s="491" t="n"/>
      <c r="P565" s="491" t="n"/>
      <c r="Q565" s="491" t="n"/>
      <c r="R565" s="491" t="n"/>
      <c r="S565" s="491" t="n"/>
      <c r="T565" s="491" t="n"/>
      <c r="U565" s="491" t="n"/>
      <c r="V565" s="491" t="n"/>
      <c r="W565" s="491" t="n"/>
      <c r="X565" s="491" t="n"/>
      <c r="Y565" s="491" t="n"/>
    </row>
    <row r="566" ht="12.75" customHeight="1" s="398">
      <c r="A566" s="491" t="n"/>
      <c r="B566" s="491" t="n"/>
      <c r="C566" s="491" t="n"/>
      <c r="D566" s="491" t="n"/>
      <c r="E566" s="491" t="n"/>
      <c r="F566" s="491" t="n"/>
      <c r="G566" s="491" t="n"/>
      <c r="H566" s="491" t="n"/>
      <c r="I566" s="491" t="n"/>
      <c r="J566" s="491" t="n"/>
      <c r="K566" s="491" t="n"/>
      <c r="L566" s="491" t="n"/>
      <c r="M566" s="491" t="n"/>
      <c r="N566" s="491" t="n"/>
      <c r="O566" s="491" t="n"/>
      <c r="P566" s="491" t="n"/>
      <c r="Q566" s="491" t="n"/>
      <c r="R566" s="491" t="n"/>
      <c r="S566" s="491" t="n"/>
      <c r="T566" s="491" t="n"/>
      <c r="U566" s="491" t="n"/>
      <c r="V566" s="491" t="n"/>
      <c r="W566" s="491" t="n"/>
      <c r="X566" s="491" t="n"/>
      <c r="Y566" s="491" t="n"/>
    </row>
    <row r="567" ht="12.75" customHeight="1" s="398">
      <c r="A567" s="491" t="n"/>
      <c r="B567" s="491" t="n"/>
      <c r="C567" s="491" t="n"/>
      <c r="D567" s="491" t="n"/>
      <c r="E567" s="491" t="n"/>
      <c r="F567" s="491" t="n"/>
      <c r="G567" s="491" t="n"/>
      <c r="H567" s="491" t="n"/>
      <c r="I567" s="491" t="n"/>
      <c r="J567" s="491" t="n"/>
      <c r="K567" s="491" t="n"/>
      <c r="L567" s="491" t="n"/>
      <c r="M567" s="491" t="n"/>
      <c r="N567" s="491" t="n"/>
      <c r="O567" s="491" t="n"/>
      <c r="P567" s="491" t="n"/>
      <c r="Q567" s="491" t="n"/>
      <c r="R567" s="491" t="n"/>
      <c r="S567" s="491" t="n"/>
      <c r="T567" s="491" t="n"/>
      <c r="U567" s="491" t="n"/>
      <c r="V567" s="491" t="n"/>
      <c r="W567" s="491" t="n"/>
      <c r="X567" s="491" t="n"/>
      <c r="Y567" s="491" t="n"/>
    </row>
    <row r="568" ht="12.75" customHeight="1" s="398">
      <c r="A568" s="491" t="n"/>
      <c r="B568" s="491" t="n"/>
      <c r="C568" s="491" t="n"/>
      <c r="D568" s="491" t="n"/>
      <c r="E568" s="491" t="n"/>
      <c r="F568" s="491" t="n"/>
      <c r="G568" s="491" t="n"/>
      <c r="H568" s="491" t="n"/>
      <c r="I568" s="491" t="n"/>
      <c r="J568" s="491" t="n"/>
      <c r="K568" s="491" t="n"/>
      <c r="L568" s="491" t="n"/>
      <c r="M568" s="491" t="n"/>
      <c r="N568" s="491" t="n"/>
      <c r="O568" s="491" t="n"/>
      <c r="P568" s="491" t="n"/>
      <c r="Q568" s="491" t="n"/>
      <c r="R568" s="491" t="n"/>
      <c r="S568" s="491" t="n"/>
      <c r="T568" s="491" t="n"/>
      <c r="U568" s="491" t="n"/>
      <c r="V568" s="491" t="n"/>
      <c r="W568" s="491" t="n"/>
      <c r="X568" s="491" t="n"/>
      <c r="Y568" s="491" t="n"/>
    </row>
    <row r="569" ht="12.75" customHeight="1" s="398">
      <c r="A569" s="491" t="n"/>
      <c r="B569" s="491" t="n"/>
      <c r="C569" s="491" t="n"/>
      <c r="D569" s="491" t="n"/>
      <c r="E569" s="491" t="n"/>
      <c r="F569" s="491" t="n"/>
      <c r="G569" s="491" t="n"/>
      <c r="H569" s="491" t="n"/>
      <c r="I569" s="491" t="n"/>
      <c r="J569" s="491" t="n"/>
      <c r="K569" s="491" t="n"/>
      <c r="L569" s="491" t="n"/>
      <c r="M569" s="491" t="n"/>
      <c r="N569" s="491" t="n"/>
      <c r="O569" s="491" t="n"/>
      <c r="P569" s="491" t="n"/>
      <c r="Q569" s="491" t="n"/>
      <c r="R569" s="491" t="n"/>
      <c r="S569" s="491" t="n"/>
      <c r="T569" s="491" t="n"/>
      <c r="U569" s="491" t="n"/>
      <c r="V569" s="491" t="n"/>
      <c r="W569" s="491" t="n"/>
      <c r="X569" s="491" t="n"/>
      <c r="Y569" s="491" t="n"/>
    </row>
    <row r="570" ht="12.75" customHeight="1" s="398">
      <c r="A570" s="491" t="n"/>
      <c r="B570" s="491" t="n"/>
      <c r="C570" s="491" t="n"/>
      <c r="D570" s="491" t="n"/>
      <c r="E570" s="491" t="n"/>
      <c r="F570" s="491" t="n"/>
      <c r="G570" s="491" t="n"/>
      <c r="H570" s="491" t="n"/>
      <c r="I570" s="491" t="n"/>
      <c r="J570" s="491" t="n"/>
      <c r="K570" s="491" t="n"/>
      <c r="L570" s="491" t="n"/>
      <c r="M570" s="491" t="n"/>
      <c r="N570" s="491" t="n"/>
      <c r="O570" s="491" t="n"/>
      <c r="P570" s="491" t="n"/>
      <c r="Q570" s="491" t="n"/>
      <c r="R570" s="491" t="n"/>
      <c r="S570" s="491" t="n"/>
      <c r="T570" s="491" t="n"/>
      <c r="U570" s="491" t="n"/>
      <c r="V570" s="491" t="n"/>
      <c r="W570" s="491" t="n"/>
      <c r="X570" s="491" t="n"/>
      <c r="Y570" s="491" t="n"/>
    </row>
    <row r="571" ht="12.75" customHeight="1" s="398">
      <c r="A571" s="491" t="n"/>
      <c r="B571" s="491" t="n"/>
      <c r="C571" s="491" t="n"/>
      <c r="D571" s="491" t="n"/>
      <c r="E571" s="491" t="n"/>
      <c r="F571" s="491" t="n"/>
      <c r="G571" s="491" t="n"/>
      <c r="H571" s="491" t="n"/>
      <c r="I571" s="491" t="n"/>
      <c r="J571" s="491" t="n"/>
      <c r="K571" s="491" t="n"/>
      <c r="L571" s="491" t="n"/>
      <c r="M571" s="491" t="n"/>
      <c r="N571" s="491" t="n"/>
      <c r="O571" s="491" t="n"/>
      <c r="P571" s="491" t="n"/>
      <c r="Q571" s="491" t="n"/>
      <c r="R571" s="491" t="n"/>
      <c r="S571" s="491" t="n"/>
      <c r="T571" s="491" t="n"/>
      <c r="U571" s="491" t="n"/>
      <c r="V571" s="491" t="n"/>
      <c r="W571" s="491" t="n"/>
      <c r="X571" s="491" t="n"/>
      <c r="Y571" s="491" t="n"/>
    </row>
    <row r="572" ht="12.75" customHeight="1" s="398">
      <c r="A572" s="491" t="n"/>
      <c r="B572" s="491" t="n"/>
      <c r="C572" s="491" t="n"/>
      <c r="D572" s="491" t="n"/>
      <c r="E572" s="491" t="n"/>
      <c r="F572" s="491" t="n"/>
      <c r="G572" s="491" t="n"/>
      <c r="H572" s="491" t="n"/>
      <c r="I572" s="491" t="n"/>
      <c r="J572" s="491" t="n"/>
      <c r="K572" s="491" t="n"/>
      <c r="L572" s="491" t="n"/>
      <c r="M572" s="491" t="n"/>
      <c r="N572" s="491" t="n"/>
      <c r="O572" s="491" t="n"/>
      <c r="P572" s="491" t="n"/>
      <c r="Q572" s="491" t="n"/>
      <c r="R572" s="491" t="n"/>
      <c r="S572" s="491" t="n"/>
      <c r="T572" s="491" t="n"/>
      <c r="U572" s="491" t="n"/>
      <c r="V572" s="491" t="n"/>
      <c r="W572" s="491" t="n"/>
      <c r="X572" s="491" t="n"/>
      <c r="Y572" s="491" t="n"/>
    </row>
    <row r="573" ht="12.75" customHeight="1" s="398">
      <c r="A573" s="491" t="n"/>
      <c r="B573" s="491" t="n"/>
      <c r="C573" s="491" t="n"/>
      <c r="D573" s="491" t="n"/>
      <c r="E573" s="491" t="n"/>
      <c r="F573" s="491" t="n"/>
      <c r="G573" s="491" t="n"/>
      <c r="H573" s="491" t="n"/>
      <c r="I573" s="491" t="n"/>
      <c r="J573" s="491" t="n"/>
      <c r="K573" s="491" t="n"/>
      <c r="L573" s="491" t="n"/>
      <c r="M573" s="491" t="n"/>
      <c r="N573" s="491" t="n"/>
      <c r="O573" s="491" t="n"/>
      <c r="P573" s="491" t="n"/>
      <c r="Q573" s="491" t="n"/>
      <c r="R573" s="491" t="n"/>
      <c r="S573" s="491" t="n"/>
      <c r="T573" s="491" t="n"/>
      <c r="U573" s="491" t="n"/>
      <c r="V573" s="491" t="n"/>
      <c r="W573" s="491" t="n"/>
      <c r="X573" s="491" t="n"/>
      <c r="Y573" s="491" t="n"/>
    </row>
    <row r="574" ht="12.75" customHeight="1" s="398">
      <c r="A574" s="491" t="n"/>
      <c r="B574" s="491" t="n"/>
      <c r="C574" s="491" t="n"/>
      <c r="D574" s="491" t="n"/>
      <c r="E574" s="491" t="n"/>
      <c r="F574" s="491" t="n"/>
      <c r="G574" s="491" t="n"/>
      <c r="H574" s="491" t="n"/>
      <c r="I574" s="491" t="n"/>
      <c r="J574" s="491" t="n"/>
      <c r="K574" s="491" t="n"/>
      <c r="L574" s="491" t="n"/>
      <c r="M574" s="491" t="n"/>
      <c r="N574" s="491" t="n"/>
      <c r="O574" s="491" t="n"/>
      <c r="P574" s="491" t="n"/>
      <c r="Q574" s="491" t="n"/>
      <c r="R574" s="491" t="n"/>
      <c r="S574" s="491" t="n"/>
      <c r="T574" s="491" t="n"/>
      <c r="U574" s="491" t="n"/>
      <c r="V574" s="491" t="n"/>
      <c r="W574" s="491" t="n"/>
      <c r="X574" s="491" t="n"/>
      <c r="Y574" s="491" t="n"/>
    </row>
    <row r="575" ht="12.75" customHeight="1" s="398">
      <c r="A575" s="491" t="n"/>
      <c r="B575" s="491" t="n"/>
      <c r="C575" s="491" t="n"/>
      <c r="D575" s="491" t="n"/>
      <c r="E575" s="491" t="n"/>
      <c r="F575" s="491" t="n"/>
      <c r="G575" s="491" t="n"/>
      <c r="H575" s="491" t="n"/>
      <c r="I575" s="491" t="n"/>
      <c r="J575" s="491" t="n"/>
      <c r="K575" s="491" t="n"/>
      <c r="L575" s="491" t="n"/>
      <c r="M575" s="491" t="n"/>
      <c r="N575" s="491" t="n"/>
      <c r="O575" s="491" t="n"/>
      <c r="P575" s="491" t="n"/>
      <c r="Q575" s="491" t="n"/>
      <c r="R575" s="491" t="n"/>
      <c r="S575" s="491" t="n"/>
      <c r="T575" s="491" t="n"/>
      <c r="U575" s="491" t="n"/>
      <c r="V575" s="491" t="n"/>
      <c r="W575" s="491" t="n"/>
      <c r="X575" s="491" t="n"/>
      <c r="Y575" s="491" t="n"/>
    </row>
    <row r="576" ht="12.75" customHeight="1" s="398">
      <c r="A576" s="491" t="n"/>
      <c r="B576" s="491" t="n"/>
      <c r="C576" s="491" t="n"/>
      <c r="D576" s="491" t="n"/>
      <c r="E576" s="491" t="n"/>
      <c r="F576" s="491" t="n"/>
      <c r="G576" s="491" t="n"/>
      <c r="H576" s="491" t="n"/>
      <c r="I576" s="491" t="n"/>
      <c r="J576" s="491" t="n"/>
      <c r="K576" s="491" t="n"/>
      <c r="L576" s="491" t="n"/>
      <c r="M576" s="491" t="n"/>
      <c r="N576" s="491" t="n"/>
      <c r="O576" s="491" t="n"/>
      <c r="P576" s="491" t="n"/>
      <c r="Q576" s="491" t="n"/>
      <c r="R576" s="491" t="n"/>
      <c r="S576" s="491" t="n"/>
      <c r="T576" s="491" t="n"/>
      <c r="U576" s="491" t="n"/>
      <c r="V576" s="491" t="n"/>
      <c r="W576" s="491" t="n"/>
      <c r="X576" s="491" t="n"/>
      <c r="Y576" s="491" t="n"/>
    </row>
    <row r="577" ht="12.75" customHeight="1" s="398">
      <c r="A577" s="491" t="n"/>
      <c r="B577" s="491" t="n"/>
      <c r="C577" s="491" t="n"/>
      <c r="D577" s="491" t="n"/>
      <c r="E577" s="491" t="n"/>
      <c r="F577" s="491" t="n"/>
      <c r="G577" s="491" t="n"/>
      <c r="H577" s="491" t="n"/>
      <c r="I577" s="491" t="n"/>
      <c r="J577" s="491" t="n"/>
      <c r="K577" s="491" t="n"/>
      <c r="L577" s="491" t="n"/>
      <c r="M577" s="491" t="n"/>
      <c r="N577" s="491" t="n"/>
      <c r="O577" s="491" t="n"/>
      <c r="P577" s="491" t="n"/>
      <c r="Q577" s="491" t="n"/>
      <c r="R577" s="491" t="n"/>
      <c r="S577" s="491" t="n"/>
      <c r="T577" s="491" t="n"/>
      <c r="U577" s="491" t="n"/>
      <c r="V577" s="491" t="n"/>
      <c r="W577" s="491" t="n"/>
      <c r="X577" s="491" t="n"/>
      <c r="Y577" s="491" t="n"/>
    </row>
    <row r="578" ht="12.75" customHeight="1" s="398">
      <c r="A578" s="491" t="n"/>
      <c r="B578" s="491" t="n"/>
      <c r="C578" s="491" t="n"/>
      <c r="D578" s="491" t="n"/>
      <c r="E578" s="491" t="n"/>
      <c r="F578" s="491" t="n"/>
      <c r="G578" s="491" t="n"/>
      <c r="H578" s="491" t="n"/>
      <c r="I578" s="491" t="n"/>
      <c r="J578" s="491" t="n"/>
      <c r="K578" s="491" t="n"/>
      <c r="L578" s="491" t="n"/>
      <c r="M578" s="491" t="n"/>
      <c r="N578" s="491" t="n"/>
      <c r="O578" s="491" t="n"/>
      <c r="P578" s="491" t="n"/>
      <c r="Q578" s="491" t="n"/>
      <c r="R578" s="491" t="n"/>
      <c r="S578" s="491" t="n"/>
      <c r="T578" s="491" t="n"/>
      <c r="U578" s="491" t="n"/>
      <c r="V578" s="491" t="n"/>
      <c r="W578" s="491" t="n"/>
      <c r="X578" s="491" t="n"/>
      <c r="Y578" s="491" t="n"/>
    </row>
    <row r="579" ht="12.75" customHeight="1" s="398">
      <c r="A579" s="491" t="n"/>
      <c r="B579" s="491" t="n"/>
      <c r="C579" s="491" t="n"/>
      <c r="D579" s="491" t="n"/>
      <c r="E579" s="491" t="n"/>
      <c r="F579" s="491" t="n"/>
      <c r="G579" s="491" t="n"/>
      <c r="H579" s="491" t="n"/>
      <c r="I579" s="491" t="n"/>
      <c r="J579" s="491" t="n"/>
      <c r="K579" s="491" t="n"/>
      <c r="L579" s="491" t="n"/>
      <c r="M579" s="491" t="n"/>
      <c r="N579" s="491" t="n"/>
      <c r="O579" s="491" t="n"/>
      <c r="P579" s="491" t="n"/>
      <c r="Q579" s="491" t="n"/>
      <c r="R579" s="491" t="n"/>
      <c r="S579" s="491" t="n"/>
      <c r="T579" s="491" t="n"/>
      <c r="U579" s="491" t="n"/>
      <c r="V579" s="491" t="n"/>
      <c r="W579" s="491" t="n"/>
      <c r="X579" s="491" t="n"/>
      <c r="Y579" s="491" t="n"/>
    </row>
    <row r="580" ht="12.75" customHeight="1" s="398">
      <c r="A580" s="491" t="n"/>
      <c r="B580" s="491" t="n"/>
      <c r="C580" s="491" t="n"/>
      <c r="D580" s="491" t="n"/>
      <c r="E580" s="491" t="n"/>
      <c r="F580" s="491" t="n"/>
      <c r="G580" s="491" t="n"/>
      <c r="H580" s="491" t="n"/>
      <c r="I580" s="491" t="n"/>
      <c r="J580" s="491" t="n"/>
      <c r="K580" s="491" t="n"/>
      <c r="L580" s="491" t="n"/>
      <c r="M580" s="491" t="n"/>
      <c r="N580" s="491" t="n"/>
      <c r="O580" s="491" t="n"/>
      <c r="P580" s="491" t="n"/>
      <c r="Q580" s="491" t="n"/>
      <c r="R580" s="491" t="n"/>
      <c r="S580" s="491" t="n"/>
      <c r="T580" s="491" t="n"/>
      <c r="U580" s="491" t="n"/>
      <c r="V580" s="491" t="n"/>
      <c r="W580" s="491" t="n"/>
      <c r="X580" s="491" t="n"/>
      <c r="Y580" s="491" t="n"/>
    </row>
    <row r="581" ht="12.75" customHeight="1" s="398">
      <c r="A581" s="491" t="n"/>
      <c r="B581" s="491" t="n"/>
      <c r="C581" s="491" t="n"/>
      <c r="D581" s="491" t="n"/>
      <c r="E581" s="491" t="n"/>
      <c r="F581" s="491" t="n"/>
      <c r="G581" s="491" t="n"/>
      <c r="H581" s="491" t="n"/>
      <c r="I581" s="491" t="n"/>
      <c r="J581" s="491" t="n"/>
      <c r="K581" s="491" t="n"/>
      <c r="L581" s="491" t="n"/>
      <c r="M581" s="491" t="n"/>
      <c r="N581" s="491" t="n"/>
      <c r="O581" s="491" t="n"/>
      <c r="P581" s="491" t="n"/>
      <c r="Q581" s="491" t="n"/>
      <c r="R581" s="491" t="n"/>
      <c r="S581" s="491" t="n"/>
      <c r="T581" s="491" t="n"/>
      <c r="U581" s="491" t="n"/>
      <c r="V581" s="491" t="n"/>
      <c r="W581" s="491" t="n"/>
      <c r="X581" s="491" t="n"/>
      <c r="Y581" s="491" t="n"/>
    </row>
    <row r="582" ht="12.75" customHeight="1" s="398">
      <c r="A582" s="491" t="n"/>
      <c r="B582" s="491" t="n"/>
      <c r="C582" s="491" t="n"/>
      <c r="D582" s="491" t="n"/>
      <c r="E582" s="491" t="n"/>
      <c r="F582" s="491" t="n"/>
      <c r="G582" s="491" t="n"/>
      <c r="H582" s="491" t="n"/>
      <c r="I582" s="491" t="n"/>
      <c r="J582" s="491" t="n"/>
      <c r="K582" s="491" t="n"/>
      <c r="L582" s="491" t="n"/>
      <c r="M582" s="491" t="n"/>
      <c r="N582" s="491" t="n"/>
      <c r="O582" s="491" t="n"/>
      <c r="P582" s="491" t="n"/>
      <c r="Q582" s="491" t="n"/>
      <c r="R582" s="491" t="n"/>
      <c r="S582" s="491" t="n"/>
      <c r="T582" s="491" t="n"/>
      <c r="U582" s="491" t="n"/>
      <c r="V582" s="491" t="n"/>
      <c r="W582" s="491" t="n"/>
      <c r="X582" s="491" t="n"/>
      <c r="Y582" s="491" t="n"/>
    </row>
    <row r="583" ht="12.75" customHeight="1" s="398">
      <c r="A583" s="491" t="n"/>
      <c r="B583" s="491" t="n"/>
      <c r="C583" s="491" t="n"/>
      <c r="D583" s="491" t="n"/>
      <c r="E583" s="491" t="n"/>
      <c r="F583" s="491" t="n"/>
      <c r="G583" s="491" t="n"/>
      <c r="H583" s="491" t="n"/>
      <c r="I583" s="491" t="n"/>
      <c r="J583" s="491" t="n"/>
      <c r="K583" s="491" t="n"/>
      <c r="L583" s="491" t="n"/>
      <c r="M583" s="491" t="n"/>
      <c r="N583" s="491" t="n"/>
      <c r="O583" s="491" t="n"/>
      <c r="P583" s="491" t="n"/>
      <c r="Q583" s="491" t="n"/>
      <c r="R583" s="491" t="n"/>
      <c r="S583" s="491" t="n"/>
      <c r="T583" s="491" t="n"/>
      <c r="U583" s="491" t="n"/>
      <c r="V583" s="491" t="n"/>
      <c r="W583" s="491" t="n"/>
      <c r="X583" s="491" t="n"/>
      <c r="Y583" s="491" t="n"/>
    </row>
    <row r="584" ht="12.75" customHeight="1" s="398">
      <c r="A584" s="491" t="n"/>
      <c r="B584" s="491" t="n"/>
      <c r="C584" s="491" t="n"/>
      <c r="D584" s="491" t="n"/>
      <c r="E584" s="491" t="n"/>
      <c r="F584" s="491" t="n"/>
      <c r="G584" s="491" t="n"/>
      <c r="H584" s="491" t="n"/>
      <c r="I584" s="491" t="n"/>
      <c r="J584" s="491" t="n"/>
      <c r="K584" s="491" t="n"/>
      <c r="L584" s="491" t="n"/>
      <c r="M584" s="491" t="n"/>
      <c r="N584" s="491" t="n"/>
      <c r="O584" s="491" t="n"/>
      <c r="P584" s="491" t="n"/>
      <c r="Q584" s="491" t="n"/>
      <c r="R584" s="491" t="n"/>
      <c r="S584" s="491" t="n"/>
      <c r="T584" s="491" t="n"/>
      <c r="U584" s="491" t="n"/>
      <c r="V584" s="491" t="n"/>
      <c r="W584" s="491" t="n"/>
      <c r="X584" s="491" t="n"/>
      <c r="Y584" s="491" t="n"/>
    </row>
    <row r="585" ht="12.75" customHeight="1" s="398">
      <c r="A585" s="491" t="n"/>
      <c r="B585" s="491" t="n"/>
      <c r="C585" s="491" t="n"/>
      <c r="D585" s="491" t="n"/>
      <c r="E585" s="491" t="n"/>
      <c r="F585" s="491" t="n"/>
      <c r="G585" s="491" t="n"/>
      <c r="H585" s="491" t="n"/>
      <c r="I585" s="491" t="n"/>
      <c r="J585" s="491" t="n"/>
      <c r="K585" s="491" t="n"/>
      <c r="L585" s="491" t="n"/>
      <c r="M585" s="491" t="n"/>
      <c r="N585" s="491" t="n"/>
      <c r="O585" s="491" t="n"/>
      <c r="P585" s="491" t="n"/>
      <c r="Q585" s="491" t="n"/>
      <c r="R585" s="491" t="n"/>
      <c r="S585" s="491" t="n"/>
      <c r="T585" s="491" t="n"/>
      <c r="U585" s="491" t="n"/>
      <c r="V585" s="491" t="n"/>
      <c r="W585" s="491" t="n"/>
      <c r="X585" s="491" t="n"/>
      <c r="Y585" s="491" t="n"/>
    </row>
    <row r="586" ht="12.75" customHeight="1" s="398">
      <c r="A586" s="491" t="n"/>
      <c r="B586" s="491" t="n"/>
      <c r="C586" s="491" t="n"/>
      <c r="D586" s="491" t="n"/>
      <c r="E586" s="491" t="n"/>
      <c r="F586" s="491" t="n"/>
      <c r="G586" s="491" t="n"/>
      <c r="H586" s="491" t="n"/>
      <c r="I586" s="491" t="n"/>
      <c r="J586" s="491" t="n"/>
      <c r="K586" s="491" t="n"/>
      <c r="L586" s="491" t="n"/>
      <c r="M586" s="491" t="n"/>
      <c r="N586" s="491" t="n"/>
      <c r="O586" s="491" t="n"/>
      <c r="P586" s="491" t="n"/>
      <c r="Q586" s="491" t="n"/>
      <c r="R586" s="491" t="n"/>
      <c r="S586" s="491" t="n"/>
      <c r="T586" s="491" t="n"/>
      <c r="U586" s="491" t="n"/>
      <c r="V586" s="491" t="n"/>
      <c r="W586" s="491" t="n"/>
      <c r="X586" s="491" t="n"/>
      <c r="Y586" s="491" t="n"/>
    </row>
    <row r="587" ht="12.75" customHeight="1" s="398">
      <c r="A587" s="491" t="n"/>
      <c r="B587" s="491" t="n"/>
      <c r="C587" s="491" t="n"/>
      <c r="D587" s="491" t="n"/>
      <c r="E587" s="491" t="n"/>
      <c r="F587" s="491" t="n"/>
      <c r="G587" s="491" t="n"/>
      <c r="H587" s="491" t="n"/>
      <c r="I587" s="491" t="n"/>
      <c r="J587" s="491" t="n"/>
      <c r="K587" s="491" t="n"/>
      <c r="L587" s="491" t="n"/>
      <c r="M587" s="491" t="n"/>
      <c r="N587" s="491" t="n"/>
      <c r="O587" s="491" t="n"/>
      <c r="P587" s="491" t="n"/>
      <c r="Q587" s="491" t="n"/>
      <c r="R587" s="491" t="n"/>
      <c r="S587" s="491" t="n"/>
      <c r="T587" s="491" t="n"/>
      <c r="U587" s="491" t="n"/>
      <c r="V587" s="491" t="n"/>
      <c r="W587" s="491" t="n"/>
      <c r="X587" s="491" t="n"/>
      <c r="Y587" s="491" t="n"/>
    </row>
    <row r="588" ht="12.75" customHeight="1" s="398">
      <c r="A588" s="491" t="n"/>
      <c r="B588" s="491" t="n"/>
      <c r="C588" s="491" t="n"/>
      <c r="D588" s="491" t="n"/>
      <c r="E588" s="491" t="n"/>
      <c r="F588" s="491" t="n"/>
      <c r="G588" s="491" t="n"/>
      <c r="H588" s="491" t="n"/>
      <c r="I588" s="491" t="n"/>
      <c r="J588" s="491" t="n"/>
      <c r="K588" s="491" t="n"/>
      <c r="L588" s="491" t="n"/>
      <c r="M588" s="491" t="n"/>
      <c r="N588" s="491" t="n"/>
      <c r="O588" s="491" t="n"/>
      <c r="P588" s="491" t="n"/>
      <c r="Q588" s="491" t="n"/>
      <c r="R588" s="491" t="n"/>
      <c r="S588" s="491" t="n"/>
      <c r="T588" s="491" t="n"/>
      <c r="U588" s="491" t="n"/>
      <c r="V588" s="491" t="n"/>
      <c r="W588" s="491" t="n"/>
      <c r="X588" s="491" t="n"/>
      <c r="Y588" s="491" t="n"/>
    </row>
    <row r="589" ht="12.75" customHeight="1" s="398">
      <c r="A589" s="491" t="n"/>
      <c r="B589" s="491" t="n"/>
      <c r="C589" s="491" t="n"/>
      <c r="D589" s="491" t="n"/>
      <c r="E589" s="491" t="n"/>
      <c r="F589" s="491" t="n"/>
      <c r="G589" s="491" t="n"/>
      <c r="H589" s="491" t="n"/>
      <c r="I589" s="491" t="n"/>
      <c r="J589" s="491" t="n"/>
      <c r="K589" s="491" t="n"/>
      <c r="L589" s="491" t="n"/>
      <c r="M589" s="491" t="n"/>
      <c r="N589" s="491" t="n"/>
      <c r="O589" s="491" t="n"/>
      <c r="P589" s="491" t="n"/>
      <c r="Q589" s="491" t="n"/>
      <c r="R589" s="491" t="n"/>
      <c r="S589" s="491" t="n"/>
      <c r="T589" s="491" t="n"/>
      <c r="U589" s="491" t="n"/>
      <c r="V589" s="491" t="n"/>
      <c r="W589" s="491" t="n"/>
      <c r="X589" s="491" t="n"/>
      <c r="Y589" s="491" t="n"/>
    </row>
    <row r="590" ht="12.75" customHeight="1" s="398">
      <c r="A590" s="491" t="n"/>
      <c r="B590" s="491" t="n"/>
      <c r="C590" s="491" t="n"/>
      <c r="D590" s="491" t="n"/>
      <c r="E590" s="491" t="n"/>
      <c r="F590" s="491" t="n"/>
      <c r="G590" s="491" t="n"/>
      <c r="H590" s="491" t="n"/>
      <c r="I590" s="491" t="n"/>
      <c r="J590" s="491" t="n"/>
      <c r="K590" s="491" t="n"/>
      <c r="L590" s="491" t="n"/>
      <c r="M590" s="491" t="n"/>
      <c r="N590" s="491" t="n"/>
      <c r="O590" s="491" t="n"/>
      <c r="P590" s="491" t="n"/>
      <c r="Q590" s="491" t="n"/>
      <c r="R590" s="491" t="n"/>
      <c r="S590" s="491" t="n"/>
      <c r="T590" s="491" t="n"/>
      <c r="U590" s="491" t="n"/>
      <c r="V590" s="491" t="n"/>
      <c r="W590" s="491" t="n"/>
      <c r="X590" s="491" t="n"/>
      <c r="Y590" s="491" t="n"/>
    </row>
    <row r="591" ht="12.75" customHeight="1" s="398">
      <c r="A591" s="491" t="n"/>
      <c r="B591" s="491" t="n"/>
      <c r="C591" s="491" t="n"/>
      <c r="D591" s="491" t="n"/>
      <c r="E591" s="491" t="n"/>
      <c r="F591" s="491" t="n"/>
      <c r="G591" s="491" t="n"/>
      <c r="H591" s="491" t="n"/>
      <c r="I591" s="491" t="n"/>
      <c r="J591" s="491" t="n"/>
      <c r="K591" s="491" t="n"/>
      <c r="L591" s="491" t="n"/>
      <c r="M591" s="491" t="n"/>
      <c r="N591" s="491" t="n"/>
      <c r="O591" s="491" t="n"/>
      <c r="P591" s="491" t="n"/>
      <c r="Q591" s="491" t="n"/>
      <c r="R591" s="491" t="n"/>
      <c r="S591" s="491" t="n"/>
      <c r="T591" s="491" t="n"/>
      <c r="U591" s="491" t="n"/>
      <c r="V591" s="491" t="n"/>
      <c r="W591" s="491" t="n"/>
      <c r="X591" s="491" t="n"/>
      <c r="Y591" s="491" t="n"/>
    </row>
    <row r="592" ht="12.75" customHeight="1" s="398">
      <c r="A592" s="491" t="n"/>
      <c r="B592" s="491" t="n"/>
      <c r="C592" s="491" t="n"/>
      <c r="D592" s="491" t="n"/>
      <c r="E592" s="491" t="n"/>
      <c r="F592" s="491" t="n"/>
      <c r="G592" s="491" t="n"/>
      <c r="H592" s="491" t="n"/>
      <c r="I592" s="491" t="n"/>
      <c r="J592" s="491" t="n"/>
      <c r="K592" s="491" t="n"/>
      <c r="L592" s="491" t="n"/>
      <c r="M592" s="491" t="n"/>
      <c r="N592" s="491" t="n"/>
      <c r="O592" s="491" t="n"/>
      <c r="P592" s="491" t="n"/>
      <c r="Q592" s="491" t="n"/>
      <c r="R592" s="491" t="n"/>
      <c r="S592" s="491" t="n"/>
      <c r="T592" s="491" t="n"/>
      <c r="U592" s="491" t="n"/>
      <c r="V592" s="491" t="n"/>
      <c r="W592" s="491" t="n"/>
      <c r="X592" s="491" t="n"/>
      <c r="Y592" s="491" t="n"/>
    </row>
    <row r="593" ht="12.75" customHeight="1" s="398">
      <c r="A593" s="491" t="n"/>
      <c r="B593" s="491" t="n"/>
      <c r="C593" s="491" t="n"/>
      <c r="D593" s="491" t="n"/>
      <c r="E593" s="491" t="n"/>
      <c r="F593" s="491" t="n"/>
      <c r="G593" s="491" t="n"/>
      <c r="H593" s="491" t="n"/>
      <c r="I593" s="491" t="n"/>
      <c r="J593" s="491" t="n"/>
      <c r="K593" s="491" t="n"/>
      <c r="L593" s="491" t="n"/>
      <c r="M593" s="491" t="n"/>
      <c r="N593" s="491" t="n"/>
      <c r="O593" s="491" t="n"/>
      <c r="P593" s="491" t="n"/>
      <c r="Q593" s="491" t="n"/>
      <c r="R593" s="491" t="n"/>
      <c r="S593" s="491" t="n"/>
      <c r="T593" s="491" t="n"/>
      <c r="U593" s="491" t="n"/>
      <c r="V593" s="491" t="n"/>
      <c r="W593" s="491" t="n"/>
      <c r="X593" s="491" t="n"/>
      <c r="Y593" s="491" t="n"/>
    </row>
    <row r="594" ht="12.75" customHeight="1" s="398">
      <c r="A594" s="491" t="n"/>
      <c r="B594" s="491" t="n"/>
      <c r="C594" s="491" t="n"/>
      <c r="D594" s="491" t="n"/>
      <c r="E594" s="491" t="n"/>
      <c r="F594" s="491" t="n"/>
      <c r="G594" s="491" t="n"/>
      <c r="H594" s="491" t="n"/>
      <c r="I594" s="491" t="n"/>
      <c r="J594" s="491" t="n"/>
      <c r="K594" s="491" t="n"/>
      <c r="L594" s="491" t="n"/>
      <c r="M594" s="491" t="n"/>
      <c r="N594" s="491" t="n"/>
      <c r="O594" s="491" t="n"/>
      <c r="P594" s="491" t="n"/>
      <c r="Q594" s="491" t="n"/>
      <c r="R594" s="491" t="n"/>
      <c r="S594" s="491" t="n"/>
      <c r="T594" s="491" t="n"/>
      <c r="U594" s="491" t="n"/>
      <c r="V594" s="491" t="n"/>
      <c r="W594" s="491" t="n"/>
      <c r="X594" s="491" t="n"/>
      <c r="Y594" s="491" t="n"/>
    </row>
    <row r="595" ht="12.75" customHeight="1" s="398">
      <c r="A595" s="491" t="n"/>
      <c r="B595" s="491" t="n"/>
      <c r="C595" s="491" t="n"/>
      <c r="D595" s="491" t="n"/>
      <c r="E595" s="491" t="n"/>
      <c r="F595" s="491" t="n"/>
      <c r="G595" s="491" t="n"/>
      <c r="H595" s="491" t="n"/>
      <c r="I595" s="491" t="n"/>
      <c r="J595" s="491" t="n"/>
      <c r="K595" s="491" t="n"/>
      <c r="L595" s="491" t="n"/>
      <c r="M595" s="491" t="n"/>
      <c r="N595" s="491" t="n"/>
      <c r="O595" s="491" t="n"/>
      <c r="P595" s="491" t="n"/>
      <c r="Q595" s="491" t="n"/>
      <c r="R595" s="491" t="n"/>
      <c r="S595" s="491" t="n"/>
      <c r="T595" s="491" t="n"/>
      <c r="U595" s="491" t="n"/>
      <c r="V595" s="491" t="n"/>
      <c r="W595" s="491" t="n"/>
      <c r="X595" s="491" t="n"/>
      <c r="Y595" s="491" t="n"/>
    </row>
    <row r="596" ht="12.75" customHeight="1" s="398">
      <c r="A596" s="491" t="n"/>
      <c r="B596" s="491" t="n"/>
      <c r="C596" s="491" t="n"/>
      <c r="D596" s="491" t="n"/>
      <c r="E596" s="491" t="n"/>
      <c r="F596" s="491" t="n"/>
      <c r="G596" s="491" t="n"/>
      <c r="H596" s="491" t="n"/>
      <c r="I596" s="491" t="n"/>
      <c r="J596" s="491" t="n"/>
      <c r="K596" s="491" t="n"/>
      <c r="L596" s="491" t="n"/>
      <c r="M596" s="491" t="n"/>
      <c r="N596" s="491" t="n"/>
      <c r="O596" s="491" t="n"/>
      <c r="P596" s="491" t="n"/>
      <c r="Q596" s="491" t="n"/>
      <c r="R596" s="491" t="n"/>
      <c r="S596" s="491" t="n"/>
      <c r="T596" s="491" t="n"/>
      <c r="U596" s="491" t="n"/>
      <c r="V596" s="491" t="n"/>
      <c r="W596" s="491" t="n"/>
      <c r="X596" s="491" t="n"/>
      <c r="Y596" s="491" t="n"/>
    </row>
    <row r="597" ht="12.75" customHeight="1" s="398">
      <c r="A597" s="491" t="n"/>
      <c r="B597" s="491" t="n"/>
      <c r="C597" s="491" t="n"/>
      <c r="D597" s="491" t="n"/>
      <c r="E597" s="491" t="n"/>
      <c r="F597" s="491" t="n"/>
      <c r="G597" s="491" t="n"/>
      <c r="H597" s="491" t="n"/>
      <c r="I597" s="491" t="n"/>
      <c r="J597" s="491" t="n"/>
      <c r="K597" s="491" t="n"/>
      <c r="L597" s="491" t="n"/>
      <c r="M597" s="491" t="n"/>
      <c r="N597" s="491" t="n"/>
      <c r="O597" s="491" t="n"/>
      <c r="P597" s="491" t="n"/>
      <c r="Q597" s="491" t="n"/>
      <c r="R597" s="491" t="n"/>
      <c r="S597" s="491" t="n"/>
      <c r="T597" s="491" t="n"/>
      <c r="U597" s="491" t="n"/>
      <c r="V597" s="491" t="n"/>
      <c r="W597" s="491" t="n"/>
      <c r="X597" s="491" t="n"/>
      <c r="Y597" s="491" t="n"/>
    </row>
    <row r="598" ht="12.75" customHeight="1" s="398">
      <c r="A598" s="491" t="n"/>
      <c r="B598" s="491" t="n"/>
      <c r="C598" s="491" t="n"/>
      <c r="D598" s="491" t="n"/>
      <c r="E598" s="491" t="n"/>
      <c r="F598" s="491" t="n"/>
      <c r="G598" s="491" t="n"/>
      <c r="H598" s="491" t="n"/>
      <c r="I598" s="491" t="n"/>
      <c r="J598" s="491" t="n"/>
      <c r="K598" s="491" t="n"/>
      <c r="L598" s="491" t="n"/>
      <c r="M598" s="491" t="n"/>
      <c r="N598" s="491" t="n"/>
      <c r="O598" s="491" t="n"/>
      <c r="P598" s="491" t="n"/>
      <c r="Q598" s="491" t="n"/>
      <c r="R598" s="491" t="n"/>
      <c r="S598" s="491" t="n"/>
      <c r="T598" s="491" t="n"/>
      <c r="U598" s="491" t="n"/>
      <c r="V598" s="491" t="n"/>
      <c r="W598" s="491" t="n"/>
      <c r="X598" s="491" t="n"/>
      <c r="Y598" s="491" t="n"/>
    </row>
    <row r="599" ht="12.75" customHeight="1" s="398">
      <c r="A599" s="491" t="n"/>
      <c r="B599" s="491" t="n"/>
      <c r="C599" s="491" t="n"/>
      <c r="D599" s="491" t="n"/>
      <c r="E599" s="491" t="n"/>
      <c r="F599" s="491" t="n"/>
      <c r="G599" s="491" t="n"/>
      <c r="H599" s="491" t="n"/>
      <c r="I599" s="491" t="n"/>
      <c r="J599" s="491" t="n"/>
      <c r="K599" s="491" t="n"/>
      <c r="L599" s="491" t="n"/>
      <c r="M599" s="491" t="n"/>
      <c r="N599" s="491" t="n"/>
      <c r="O599" s="491" t="n"/>
      <c r="P599" s="491" t="n"/>
      <c r="Q599" s="491" t="n"/>
      <c r="R599" s="491" t="n"/>
      <c r="S599" s="491" t="n"/>
      <c r="T599" s="491" t="n"/>
      <c r="U599" s="491" t="n"/>
      <c r="V599" s="491" t="n"/>
      <c r="W599" s="491" t="n"/>
      <c r="X599" s="491" t="n"/>
      <c r="Y599" s="491" t="n"/>
    </row>
    <row r="600" ht="12.75" customHeight="1" s="398">
      <c r="A600" s="491" t="n"/>
      <c r="B600" s="491" t="n"/>
      <c r="C600" s="491" t="n"/>
      <c r="D600" s="491" t="n"/>
      <c r="E600" s="491" t="n"/>
      <c r="F600" s="491" t="n"/>
      <c r="G600" s="491" t="n"/>
      <c r="H600" s="491" t="n"/>
      <c r="I600" s="491" t="n"/>
      <c r="J600" s="491" t="n"/>
      <c r="K600" s="491" t="n"/>
      <c r="L600" s="491" t="n"/>
      <c r="M600" s="491" t="n"/>
      <c r="N600" s="491" t="n"/>
      <c r="O600" s="491" t="n"/>
      <c r="P600" s="491" t="n"/>
      <c r="Q600" s="491" t="n"/>
      <c r="R600" s="491" t="n"/>
      <c r="S600" s="491" t="n"/>
      <c r="T600" s="491" t="n"/>
      <c r="U600" s="491" t="n"/>
      <c r="V600" s="491" t="n"/>
      <c r="W600" s="491" t="n"/>
      <c r="X600" s="491" t="n"/>
      <c r="Y600" s="491" t="n"/>
    </row>
    <row r="601" ht="12.75" customHeight="1" s="398">
      <c r="A601" s="491" t="n"/>
      <c r="B601" s="491" t="n"/>
      <c r="C601" s="491" t="n"/>
      <c r="D601" s="491" t="n"/>
      <c r="E601" s="491" t="n"/>
      <c r="F601" s="491" t="n"/>
      <c r="G601" s="491" t="n"/>
      <c r="H601" s="491" t="n"/>
      <c r="I601" s="491" t="n"/>
      <c r="J601" s="491" t="n"/>
      <c r="K601" s="491" t="n"/>
      <c r="L601" s="491" t="n"/>
      <c r="M601" s="491" t="n"/>
      <c r="N601" s="491" t="n"/>
      <c r="O601" s="491" t="n"/>
      <c r="P601" s="491" t="n"/>
      <c r="Q601" s="491" t="n"/>
      <c r="R601" s="491" t="n"/>
      <c r="S601" s="491" t="n"/>
      <c r="T601" s="491" t="n"/>
      <c r="U601" s="491" t="n"/>
      <c r="V601" s="491" t="n"/>
      <c r="W601" s="491" t="n"/>
      <c r="X601" s="491" t="n"/>
      <c r="Y601" s="491" t="n"/>
    </row>
    <row r="602" ht="12.75" customHeight="1" s="398">
      <c r="A602" s="491" t="n"/>
      <c r="B602" s="491" t="n"/>
      <c r="C602" s="491" t="n"/>
      <c r="D602" s="491" t="n"/>
      <c r="E602" s="491" t="n"/>
      <c r="F602" s="491" t="n"/>
      <c r="G602" s="491" t="n"/>
      <c r="H602" s="491" t="n"/>
      <c r="I602" s="491" t="n"/>
      <c r="J602" s="491" t="n"/>
      <c r="K602" s="491" t="n"/>
      <c r="L602" s="491" t="n"/>
      <c r="M602" s="491" t="n"/>
      <c r="N602" s="491" t="n"/>
      <c r="O602" s="491" t="n"/>
      <c r="P602" s="491" t="n"/>
      <c r="Q602" s="491" t="n"/>
      <c r="R602" s="491" t="n"/>
      <c r="S602" s="491" t="n"/>
      <c r="T602" s="491" t="n"/>
      <c r="U602" s="491" t="n"/>
      <c r="V602" s="491" t="n"/>
      <c r="W602" s="491" t="n"/>
      <c r="X602" s="491" t="n"/>
      <c r="Y602" s="491" t="n"/>
    </row>
    <row r="603" ht="12.75" customHeight="1" s="398">
      <c r="A603" s="491" t="n"/>
      <c r="B603" s="491" t="n"/>
      <c r="C603" s="491" t="n"/>
      <c r="D603" s="491" t="n"/>
      <c r="E603" s="491" t="n"/>
      <c r="F603" s="491" t="n"/>
      <c r="G603" s="491" t="n"/>
      <c r="H603" s="491" t="n"/>
      <c r="I603" s="491" t="n"/>
      <c r="J603" s="491" t="n"/>
      <c r="K603" s="491" t="n"/>
      <c r="L603" s="491" t="n"/>
      <c r="M603" s="491" t="n"/>
      <c r="N603" s="491" t="n"/>
      <c r="O603" s="491" t="n"/>
      <c r="P603" s="491" t="n"/>
      <c r="Q603" s="491" t="n"/>
      <c r="R603" s="491" t="n"/>
      <c r="S603" s="491" t="n"/>
      <c r="T603" s="491" t="n"/>
      <c r="U603" s="491" t="n"/>
      <c r="V603" s="491" t="n"/>
      <c r="W603" s="491" t="n"/>
      <c r="X603" s="491" t="n"/>
      <c r="Y603" s="491" t="n"/>
    </row>
    <row r="604" ht="12.75" customHeight="1" s="398">
      <c r="A604" s="491" t="n"/>
      <c r="B604" s="491" t="n"/>
      <c r="C604" s="491" t="n"/>
      <c r="D604" s="491" t="n"/>
      <c r="E604" s="491" t="n"/>
      <c r="F604" s="491" t="n"/>
      <c r="G604" s="491" t="n"/>
      <c r="H604" s="491" t="n"/>
      <c r="I604" s="491" t="n"/>
      <c r="J604" s="491" t="n"/>
      <c r="K604" s="491" t="n"/>
      <c r="L604" s="491" t="n"/>
      <c r="M604" s="491" t="n"/>
      <c r="N604" s="491" t="n"/>
      <c r="O604" s="491" t="n"/>
      <c r="P604" s="491" t="n"/>
      <c r="Q604" s="491" t="n"/>
      <c r="R604" s="491" t="n"/>
      <c r="S604" s="491" t="n"/>
      <c r="T604" s="491" t="n"/>
      <c r="U604" s="491" t="n"/>
      <c r="V604" s="491" t="n"/>
      <c r="W604" s="491" t="n"/>
      <c r="X604" s="491" t="n"/>
      <c r="Y604" s="491" t="n"/>
    </row>
    <row r="605" ht="12.75" customHeight="1" s="398">
      <c r="A605" s="491" t="n"/>
      <c r="B605" s="491" t="n"/>
      <c r="C605" s="491" t="n"/>
      <c r="D605" s="491" t="n"/>
      <c r="E605" s="491" t="n"/>
      <c r="F605" s="491" t="n"/>
      <c r="G605" s="491" t="n"/>
      <c r="H605" s="491" t="n"/>
      <c r="I605" s="491" t="n"/>
      <c r="J605" s="491" t="n"/>
      <c r="K605" s="491" t="n"/>
      <c r="L605" s="491" t="n"/>
      <c r="M605" s="491" t="n"/>
      <c r="N605" s="491" t="n"/>
      <c r="O605" s="491" t="n"/>
      <c r="P605" s="491" t="n"/>
      <c r="Q605" s="491" t="n"/>
      <c r="R605" s="491" t="n"/>
      <c r="S605" s="491" t="n"/>
      <c r="T605" s="491" t="n"/>
      <c r="U605" s="491" t="n"/>
      <c r="V605" s="491" t="n"/>
      <c r="W605" s="491" t="n"/>
      <c r="X605" s="491" t="n"/>
      <c r="Y605" s="491" t="n"/>
    </row>
    <row r="606" ht="12.75" customHeight="1" s="398">
      <c r="A606" s="491" t="n"/>
      <c r="B606" s="491" t="n"/>
      <c r="C606" s="491" t="n"/>
      <c r="D606" s="491" t="n"/>
      <c r="E606" s="491" t="n"/>
      <c r="F606" s="491" t="n"/>
      <c r="G606" s="491" t="n"/>
      <c r="H606" s="491" t="n"/>
      <c r="I606" s="491" t="n"/>
      <c r="J606" s="491" t="n"/>
      <c r="K606" s="491" t="n"/>
      <c r="L606" s="491" t="n"/>
      <c r="M606" s="491" t="n"/>
      <c r="N606" s="491" t="n"/>
      <c r="O606" s="491" t="n"/>
      <c r="P606" s="491" t="n"/>
      <c r="Q606" s="491" t="n"/>
      <c r="R606" s="491" t="n"/>
      <c r="S606" s="491" t="n"/>
      <c r="T606" s="491" t="n"/>
      <c r="U606" s="491" t="n"/>
      <c r="V606" s="491" t="n"/>
      <c r="W606" s="491" t="n"/>
      <c r="X606" s="491" t="n"/>
      <c r="Y606" s="491" t="n"/>
    </row>
    <row r="607" ht="12.75" customHeight="1" s="398">
      <c r="A607" s="491" t="n"/>
      <c r="B607" s="491" t="n"/>
      <c r="C607" s="491" t="n"/>
      <c r="D607" s="491" t="n"/>
      <c r="E607" s="491" t="n"/>
      <c r="F607" s="491" t="n"/>
      <c r="G607" s="491" t="n"/>
      <c r="H607" s="491" t="n"/>
      <c r="I607" s="491" t="n"/>
      <c r="J607" s="491" t="n"/>
      <c r="K607" s="491" t="n"/>
      <c r="L607" s="491" t="n"/>
      <c r="M607" s="491" t="n"/>
      <c r="N607" s="491" t="n"/>
      <c r="O607" s="491" t="n"/>
      <c r="P607" s="491" t="n"/>
      <c r="Q607" s="491" t="n"/>
      <c r="R607" s="491" t="n"/>
      <c r="S607" s="491" t="n"/>
      <c r="T607" s="491" t="n"/>
      <c r="U607" s="491" t="n"/>
      <c r="V607" s="491" t="n"/>
      <c r="W607" s="491" t="n"/>
      <c r="X607" s="491" t="n"/>
      <c r="Y607" s="491" t="n"/>
    </row>
    <row r="608" ht="12.75" customHeight="1" s="398">
      <c r="A608" s="491" t="n"/>
      <c r="B608" s="491" t="n"/>
      <c r="C608" s="491" t="n"/>
      <c r="D608" s="491" t="n"/>
      <c r="E608" s="491" t="n"/>
      <c r="F608" s="491" t="n"/>
      <c r="G608" s="491" t="n"/>
      <c r="H608" s="491" t="n"/>
      <c r="I608" s="491" t="n"/>
      <c r="J608" s="491" t="n"/>
      <c r="K608" s="491" t="n"/>
      <c r="L608" s="491" t="n"/>
      <c r="M608" s="491" t="n"/>
      <c r="N608" s="491" t="n"/>
      <c r="O608" s="491" t="n"/>
      <c r="P608" s="491" t="n"/>
      <c r="Q608" s="491" t="n"/>
      <c r="R608" s="491" t="n"/>
      <c r="S608" s="491" t="n"/>
      <c r="T608" s="491" t="n"/>
      <c r="U608" s="491" t="n"/>
      <c r="V608" s="491" t="n"/>
      <c r="W608" s="491" t="n"/>
      <c r="X608" s="491" t="n"/>
      <c r="Y608" s="491" t="n"/>
    </row>
    <row r="609" ht="12.75" customHeight="1" s="398">
      <c r="A609" s="491" t="n"/>
      <c r="B609" s="491" t="n"/>
      <c r="C609" s="491" t="n"/>
      <c r="D609" s="491" t="n"/>
      <c r="E609" s="491" t="n"/>
      <c r="F609" s="491" t="n"/>
      <c r="G609" s="491" t="n"/>
      <c r="H609" s="491" t="n"/>
      <c r="I609" s="491" t="n"/>
      <c r="J609" s="491" t="n"/>
      <c r="K609" s="491" t="n"/>
      <c r="L609" s="491" t="n"/>
      <c r="M609" s="491" t="n"/>
      <c r="N609" s="491" t="n"/>
      <c r="O609" s="491" t="n"/>
      <c r="P609" s="491" t="n"/>
      <c r="Q609" s="491" t="n"/>
      <c r="R609" s="491" t="n"/>
      <c r="S609" s="491" t="n"/>
      <c r="T609" s="491" t="n"/>
      <c r="U609" s="491" t="n"/>
      <c r="V609" s="491" t="n"/>
      <c r="W609" s="491" t="n"/>
      <c r="X609" s="491" t="n"/>
      <c r="Y609" s="491" t="n"/>
    </row>
    <row r="610" ht="12.75" customHeight="1" s="398">
      <c r="A610" s="491" t="n"/>
      <c r="B610" s="491" t="n"/>
      <c r="C610" s="491" t="n"/>
      <c r="D610" s="491" t="n"/>
      <c r="E610" s="491" t="n"/>
      <c r="F610" s="491" t="n"/>
      <c r="G610" s="491" t="n"/>
      <c r="H610" s="491" t="n"/>
      <c r="I610" s="491" t="n"/>
      <c r="J610" s="491" t="n"/>
      <c r="K610" s="491" t="n"/>
      <c r="L610" s="491" t="n"/>
      <c r="M610" s="491" t="n"/>
      <c r="N610" s="491" t="n"/>
      <c r="O610" s="491" t="n"/>
      <c r="P610" s="491" t="n"/>
      <c r="Q610" s="491" t="n"/>
      <c r="R610" s="491" t="n"/>
      <c r="S610" s="491" t="n"/>
      <c r="T610" s="491" t="n"/>
      <c r="U610" s="491" t="n"/>
      <c r="V610" s="491" t="n"/>
      <c r="W610" s="491" t="n"/>
      <c r="X610" s="491" t="n"/>
      <c r="Y610" s="491" t="n"/>
    </row>
    <row r="611" ht="12.75" customHeight="1" s="398">
      <c r="A611" s="491" t="n"/>
      <c r="B611" s="491" t="n"/>
      <c r="C611" s="491" t="n"/>
      <c r="D611" s="491" t="n"/>
      <c r="E611" s="491" t="n"/>
      <c r="F611" s="491" t="n"/>
      <c r="G611" s="491" t="n"/>
      <c r="H611" s="491" t="n"/>
      <c r="I611" s="491" t="n"/>
      <c r="J611" s="491" t="n"/>
      <c r="K611" s="491" t="n"/>
      <c r="L611" s="491" t="n"/>
      <c r="M611" s="491" t="n"/>
      <c r="N611" s="491" t="n"/>
      <c r="O611" s="491" t="n"/>
      <c r="P611" s="491" t="n"/>
      <c r="Q611" s="491" t="n"/>
      <c r="R611" s="491" t="n"/>
      <c r="S611" s="491" t="n"/>
      <c r="T611" s="491" t="n"/>
      <c r="U611" s="491" t="n"/>
      <c r="V611" s="491" t="n"/>
      <c r="W611" s="491" t="n"/>
      <c r="X611" s="491" t="n"/>
      <c r="Y611" s="491" t="n"/>
    </row>
    <row r="612" ht="12.75" customHeight="1" s="398">
      <c r="A612" s="491" t="n"/>
      <c r="B612" s="491" t="n"/>
      <c r="C612" s="491" t="n"/>
      <c r="D612" s="491" t="n"/>
      <c r="E612" s="491" t="n"/>
      <c r="F612" s="491" t="n"/>
      <c r="G612" s="491" t="n"/>
      <c r="H612" s="491" t="n"/>
      <c r="I612" s="491" t="n"/>
      <c r="J612" s="491" t="n"/>
      <c r="K612" s="491" t="n"/>
      <c r="L612" s="491" t="n"/>
      <c r="M612" s="491" t="n"/>
      <c r="N612" s="491" t="n"/>
      <c r="O612" s="491" t="n"/>
      <c r="P612" s="491" t="n"/>
      <c r="Q612" s="491" t="n"/>
      <c r="R612" s="491" t="n"/>
      <c r="S612" s="491" t="n"/>
      <c r="T612" s="491" t="n"/>
      <c r="U612" s="491" t="n"/>
      <c r="V612" s="491" t="n"/>
      <c r="W612" s="491" t="n"/>
      <c r="X612" s="491" t="n"/>
      <c r="Y612" s="491" t="n"/>
    </row>
    <row r="613" ht="12.75" customHeight="1" s="398">
      <c r="A613" s="491" t="n"/>
      <c r="B613" s="491" t="n"/>
      <c r="C613" s="491" t="n"/>
      <c r="D613" s="491" t="n"/>
      <c r="E613" s="491" t="n"/>
      <c r="F613" s="491" t="n"/>
      <c r="G613" s="491" t="n"/>
      <c r="H613" s="491" t="n"/>
      <c r="I613" s="491" t="n"/>
      <c r="J613" s="491" t="n"/>
      <c r="K613" s="491" t="n"/>
      <c r="L613" s="491" t="n"/>
      <c r="M613" s="491" t="n"/>
      <c r="N613" s="491" t="n"/>
      <c r="O613" s="491" t="n"/>
      <c r="P613" s="491" t="n"/>
      <c r="Q613" s="491" t="n"/>
      <c r="R613" s="491" t="n"/>
      <c r="S613" s="491" t="n"/>
      <c r="T613" s="491" t="n"/>
      <c r="U613" s="491" t="n"/>
      <c r="V613" s="491" t="n"/>
      <c r="W613" s="491" t="n"/>
      <c r="X613" s="491" t="n"/>
      <c r="Y613" s="491" t="n"/>
    </row>
    <row r="614" ht="12.75" customHeight="1" s="398">
      <c r="A614" s="491" t="n"/>
      <c r="B614" s="491" t="n"/>
      <c r="C614" s="491" t="n"/>
      <c r="D614" s="491" t="n"/>
      <c r="E614" s="491" t="n"/>
      <c r="F614" s="491" t="n"/>
      <c r="G614" s="491" t="n"/>
      <c r="H614" s="491" t="n"/>
      <c r="I614" s="491" t="n"/>
      <c r="J614" s="491" t="n"/>
      <c r="K614" s="491" t="n"/>
      <c r="L614" s="491" t="n"/>
      <c r="M614" s="491" t="n"/>
      <c r="N614" s="491" t="n"/>
      <c r="O614" s="491" t="n"/>
      <c r="P614" s="491" t="n"/>
      <c r="Q614" s="491" t="n"/>
      <c r="R614" s="491" t="n"/>
      <c r="S614" s="491" t="n"/>
      <c r="T614" s="491" t="n"/>
      <c r="U614" s="491" t="n"/>
      <c r="V614" s="491" t="n"/>
      <c r="W614" s="491" t="n"/>
      <c r="X614" s="491" t="n"/>
      <c r="Y614" s="491" t="n"/>
    </row>
    <row r="615" ht="12.75" customHeight="1" s="398">
      <c r="A615" s="491" t="n"/>
      <c r="B615" s="491" t="n"/>
      <c r="C615" s="491" t="n"/>
      <c r="D615" s="491" t="n"/>
      <c r="E615" s="491" t="n"/>
      <c r="F615" s="491" t="n"/>
      <c r="G615" s="491" t="n"/>
      <c r="H615" s="491" t="n"/>
      <c r="I615" s="491" t="n"/>
      <c r="J615" s="491" t="n"/>
      <c r="K615" s="491" t="n"/>
      <c r="L615" s="491" t="n"/>
      <c r="M615" s="491" t="n"/>
      <c r="N615" s="491" t="n"/>
      <c r="O615" s="491" t="n"/>
      <c r="P615" s="491" t="n"/>
      <c r="Q615" s="491" t="n"/>
      <c r="R615" s="491" t="n"/>
      <c r="S615" s="491" t="n"/>
      <c r="T615" s="491" t="n"/>
      <c r="U615" s="491" t="n"/>
      <c r="V615" s="491" t="n"/>
      <c r="W615" s="491" t="n"/>
      <c r="X615" s="491" t="n"/>
      <c r="Y615" s="491" t="n"/>
    </row>
    <row r="616" ht="12.75" customHeight="1" s="398">
      <c r="A616" s="491" t="n"/>
      <c r="B616" s="491" t="n"/>
      <c r="C616" s="491" t="n"/>
      <c r="D616" s="491" t="n"/>
      <c r="E616" s="491" t="n"/>
      <c r="F616" s="491" t="n"/>
      <c r="G616" s="491" t="n"/>
      <c r="H616" s="491" t="n"/>
      <c r="I616" s="491" t="n"/>
      <c r="J616" s="491" t="n"/>
      <c r="K616" s="491" t="n"/>
      <c r="L616" s="491" t="n"/>
      <c r="M616" s="491" t="n"/>
      <c r="N616" s="491" t="n"/>
      <c r="O616" s="491" t="n"/>
      <c r="P616" s="491" t="n"/>
      <c r="Q616" s="491" t="n"/>
      <c r="R616" s="491" t="n"/>
      <c r="S616" s="491" t="n"/>
      <c r="T616" s="491" t="n"/>
      <c r="U616" s="491" t="n"/>
      <c r="V616" s="491" t="n"/>
      <c r="W616" s="491" t="n"/>
      <c r="X616" s="491" t="n"/>
      <c r="Y616" s="491" t="n"/>
    </row>
    <row r="617" ht="12.75" customHeight="1" s="398">
      <c r="A617" s="491" t="n"/>
      <c r="B617" s="491" t="n"/>
      <c r="C617" s="491" t="n"/>
      <c r="D617" s="491" t="n"/>
      <c r="E617" s="491" t="n"/>
      <c r="F617" s="491" t="n"/>
      <c r="G617" s="491" t="n"/>
      <c r="H617" s="491" t="n"/>
      <c r="I617" s="491" t="n"/>
      <c r="J617" s="491" t="n"/>
      <c r="K617" s="491" t="n"/>
      <c r="L617" s="491" t="n"/>
      <c r="M617" s="491" t="n"/>
      <c r="N617" s="491" t="n"/>
      <c r="O617" s="491" t="n"/>
      <c r="P617" s="491" t="n"/>
      <c r="Q617" s="491" t="n"/>
      <c r="R617" s="491" t="n"/>
      <c r="S617" s="491" t="n"/>
      <c r="T617" s="491" t="n"/>
      <c r="U617" s="491" t="n"/>
      <c r="V617" s="491" t="n"/>
      <c r="W617" s="491" t="n"/>
      <c r="X617" s="491" t="n"/>
      <c r="Y617" s="491" t="n"/>
    </row>
    <row r="618" ht="12.75" customHeight="1" s="398">
      <c r="A618" s="491" t="n"/>
      <c r="B618" s="491" t="n"/>
      <c r="C618" s="491" t="n"/>
      <c r="D618" s="491" t="n"/>
      <c r="E618" s="491" t="n"/>
      <c r="F618" s="491" t="n"/>
      <c r="G618" s="491" t="n"/>
      <c r="H618" s="491" t="n"/>
      <c r="I618" s="491" t="n"/>
      <c r="J618" s="491" t="n"/>
      <c r="K618" s="491" t="n"/>
      <c r="L618" s="491" t="n"/>
      <c r="M618" s="491" t="n"/>
      <c r="N618" s="491" t="n"/>
      <c r="O618" s="491" t="n"/>
      <c r="P618" s="491" t="n"/>
      <c r="Q618" s="491" t="n"/>
      <c r="R618" s="491" t="n"/>
      <c r="S618" s="491" t="n"/>
      <c r="T618" s="491" t="n"/>
      <c r="U618" s="491" t="n"/>
      <c r="V618" s="491" t="n"/>
      <c r="W618" s="491" t="n"/>
      <c r="X618" s="491" t="n"/>
      <c r="Y618" s="491" t="n"/>
    </row>
    <row r="619" ht="12.75" customHeight="1" s="398">
      <c r="A619" s="491" t="n"/>
      <c r="B619" s="491" t="n"/>
      <c r="C619" s="491" t="n"/>
      <c r="D619" s="491" t="n"/>
      <c r="E619" s="491" t="n"/>
      <c r="F619" s="491" t="n"/>
      <c r="G619" s="491" t="n"/>
      <c r="H619" s="491" t="n"/>
      <c r="I619" s="491" t="n"/>
      <c r="J619" s="491" t="n"/>
      <c r="K619" s="491" t="n"/>
      <c r="L619" s="491" t="n"/>
      <c r="M619" s="491" t="n"/>
      <c r="N619" s="491" t="n"/>
      <c r="O619" s="491" t="n"/>
      <c r="P619" s="491" t="n"/>
      <c r="Q619" s="491" t="n"/>
      <c r="R619" s="491" t="n"/>
      <c r="S619" s="491" t="n"/>
      <c r="T619" s="491" t="n"/>
      <c r="U619" s="491" t="n"/>
      <c r="V619" s="491" t="n"/>
      <c r="W619" s="491" t="n"/>
      <c r="X619" s="491" t="n"/>
      <c r="Y619" s="491" t="n"/>
    </row>
    <row r="620" ht="12.75" customHeight="1" s="398">
      <c r="A620" s="491" t="n"/>
      <c r="B620" s="491" t="n"/>
      <c r="C620" s="491" t="n"/>
      <c r="D620" s="491" t="n"/>
      <c r="E620" s="491" t="n"/>
      <c r="F620" s="491" t="n"/>
      <c r="G620" s="491" t="n"/>
      <c r="H620" s="491" t="n"/>
      <c r="I620" s="491" t="n"/>
      <c r="J620" s="491" t="n"/>
      <c r="K620" s="491" t="n"/>
      <c r="L620" s="491" t="n"/>
      <c r="M620" s="491" t="n"/>
      <c r="N620" s="491" t="n"/>
      <c r="O620" s="491" t="n"/>
      <c r="P620" s="491" t="n"/>
      <c r="Q620" s="491" t="n"/>
      <c r="R620" s="491" t="n"/>
      <c r="S620" s="491" t="n"/>
      <c r="T620" s="491" t="n"/>
      <c r="U620" s="491" t="n"/>
      <c r="V620" s="491" t="n"/>
      <c r="W620" s="491" t="n"/>
      <c r="X620" s="491" t="n"/>
      <c r="Y620" s="491" t="n"/>
    </row>
    <row r="621" ht="12.75" customHeight="1" s="398">
      <c r="A621" s="491" t="n"/>
      <c r="B621" s="491" t="n"/>
      <c r="C621" s="491" t="n"/>
      <c r="D621" s="491" t="n"/>
      <c r="E621" s="491" t="n"/>
      <c r="F621" s="491" t="n"/>
      <c r="G621" s="491" t="n"/>
      <c r="H621" s="491" t="n"/>
      <c r="I621" s="491" t="n"/>
      <c r="J621" s="491" t="n"/>
      <c r="K621" s="491" t="n"/>
      <c r="L621" s="491" t="n"/>
      <c r="M621" s="491" t="n"/>
      <c r="N621" s="491" t="n"/>
      <c r="O621" s="491" t="n"/>
      <c r="P621" s="491" t="n"/>
      <c r="Q621" s="491" t="n"/>
      <c r="R621" s="491" t="n"/>
      <c r="S621" s="491" t="n"/>
      <c r="T621" s="491" t="n"/>
      <c r="U621" s="491" t="n"/>
      <c r="V621" s="491" t="n"/>
      <c r="W621" s="491" t="n"/>
      <c r="X621" s="491" t="n"/>
      <c r="Y621" s="491" t="n"/>
    </row>
    <row r="622" ht="12.75" customHeight="1" s="398">
      <c r="A622" s="491" t="n"/>
      <c r="B622" s="491" t="n"/>
      <c r="C622" s="491" t="n"/>
      <c r="D622" s="491" t="n"/>
      <c r="E622" s="491" t="n"/>
      <c r="F622" s="491" t="n"/>
      <c r="G622" s="491" t="n"/>
      <c r="H622" s="491" t="n"/>
      <c r="I622" s="491" t="n"/>
      <c r="J622" s="491" t="n"/>
      <c r="K622" s="491" t="n"/>
      <c r="L622" s="491" t="n"/>
      <c r="M622" s="491" t="n"/>
      <c r="N622" s="491" t="n"/>
      <c r="O622" s="491" t="n"/>
      <c r="P622" s="491" t="n"/>
      <c r="Q622" s="491" t="n"/>
      <c r="R622" s="491" t="n"/>
      <c r="S622" s="491" t="n"/>
      <c r="T622" s="491" t="n"/>
      <c r="U622" s="491" t="n"/>
      <c r="V622" s="491" t="n"/>
      <c r="W622" s="491" t="n"/>
      <c r="X622" s="491" t="n"/>
      <c r="Y622" s="491" t="n"/>
    </row>
    <row r="623" ht="12.75" customHeight="1" s="398">
      <c r="A623" s="491" t="n"/>
      <c r="B623" s="491" t="n"/>
      <c r="C623" s="491" t="n"/>
      <c r="D623" s="491" t="n"/>
      <c r="E623" s="491" t="n"/>
      <c r="F623" s="491" t="n"/>
      <c r="G623" s="491" t="n"/>
      <c r="H623" s="491" t="n"/>
      <c r="I623" s="491" t="n"/>
      <c r="J623" s="491" t="n"/>
      <c r="K623" s="491" t="n"/>
      <c r="L623" s="491" t="n"/>
      <c r="M623" s="491" t="n"/>
      <c r="N623" s="491" t="n"/>
      <c r="O623" s="491" t="n"/>
      <c r="P623" s="491" t="n"/>
      <c r="Q623" s="491" t="n"/>
      <c r="R623" s="491" t="n"/>
      <c r="S623" s="491" t="n"/>
      <c r="T623" s="491" t="n"/>
      <c r="U623" s="491" t="n"/>
      <c r="V623" s="491" t="n"/>
      <c r="W623" s="491" t="n"/>
      <c r="X623" s="491" t="n"/>
      <c r="Y623" s="491" t="n"/>
    </row>
    <row r="624" ht="12.75" customHeight="1" s="398">
      <c r="A624" s="491" t="n"/>
      <c r="B624" s="491" t="n"/>
      <c r="C624" s="491" t="n"/>
      <c r="D624" s="491" t="n"/>
      <c r="E624" s="491" t="n"/>
      <c r="F624" s="491" t="n"/>
      <c r="G624" s="491" t="n"/>
      <c r="H624" s="491" t="n"/>
      <c r="I624" s="491" t="n"/>
      <c r="J624" s="491" t="n"/>
      <c r="K624" s="491" t="n"/>
      <c r="L624" s="491" t="n"/>
      <c r="M624" s="491" t="n"/>
      <c r="N624" s="491" t="n"/>
      <c r="O624" s="491" t="n"/>
      <c r="P624" s="491" t="n"/>
      <c r="Q624" s="491" t="n"/>
      <c r="R624" s="491" t="n"/>
      <c r="S624" s="491" t="n"/>
      <c r="T624" s="491" t="n"/>
      <c r="U624" s="491" t="n"/>
      <c r="V624" s="491" t="n"/>
      <c r="W624" s="491" t="n"/>
      <c r="X624" s="491" t="n"/>
      <c r="Y624" s="491" t="n"/>
    </row>
    <row r="625" ht="12.75" customHeight="1" s="398">
      <c r="A625" s="491" t="n"/>
      <c r="B625" s="491" t="n"/>
      <c r="C625" s="491" t="n"/>
      <c r="D625" s="491" t="n"/>
      <c r="E625" s="491" t="n"/>
      <c r="F625" s="491" t="n"/>
      <c r="G625" s="491" t="n"/>
      <c r="H625" s="491" t="n"/>
      <c r="I625" s="491" t="n"/>
      <c r="J625" s="491" t="n"/>
      <c r="K625" s="491" t="n"/>
      <c r="L625" s="491" t="n"/>
      <c r="M625" s="491" t="n"/>
      <c r="N625" s="491" t="n"/>
      <c r="O625" s="491" t="n"/>
      <c r="P625" s="491" t="n"/>
      <c r="Q625" s="491" t="n"/>
      <c r="R625" s="491" t="n"/>
      <c r="S625" s="491" t="n"/>
      <c r="T625" s="491" t="n"/>
      <c r="U625" s="491" t="n"/>
      <c r="V625" s="491" t="n"/>
      <c r="W625" s="491" t="n"/>
      <c r="X625" s="491" t="n"/>
      <c r="Y625" s="491" t="n"/>
    </row>
    <row r="626" ht="12.75" customHeight="1" s="398">
      <c r="A626" s="491" t="n"/>
      <c r="B626" s="491" t="n"/>
      <c r="C626" s="491" t="n"/>
      <c r="D626" s="491" t="n"/>
      <c r="E626" s="491" t="n"/>
      <c r="F626" s="491" t="n"/>
      <c r="G626" s="491" t="n"/>
      <c r="H626" s="491" t="n"/>
      <c r="I626" s="491" t="n"/>
      <c r="J626" s="491" t="n"/>
      <c r="K626" s="491" t="n"/>
      <c r="L626" s="491" t="n"/>
      <c r="M626" s="491" t="n"/>
      <c r="N626" s="491" t="n"/>
      <c r="O626" s="491" t="n"/>
      <c r="P626" s="491" t="n"/>
      <c r="Q626" s="491" t="n"/>
      <c r="R626" s="491" t="n"/>
      <c r="S626" s="491" t="n"/>
      <c r="T626" s="491" t="n"/>
      <c r="U626" s="491" t="n"/>
      <c r="V626" s="491" t="n"/>
      <c r="W626" s="491" t="n"/>
      <c r="X626" s="491" t="n"/>
      <c r="Y626" s="491" t="n"/>
    </row>
    <row r="627" ht="12.75" customHeight="1" s="398">
      <c r="A627" s="491" t="n"/>
      <c r="B627" s="491" t="n"/>
      <c r="C627" s="491" t="n"/>
      <c r="D627" s="491" t="n"/>
      <c r="E627" s="491" t="n"/>
      <c r="F627" s="491" t="n"/>
      <c r="G627" s="491" t="n"/>
      <c r="H627" s="491" t="n"/>
      <c r="I627" s="491" t="n"/>
      <c r="J627" s="491" t="n"/>
      <c r="K627" s="491" t="n"/>
      <c r="L627" s="491" t="n"/>
      <c r="M627" s="491" t="n"/>
      <c r="N627" s="491" t="n"/>
      <c r="O627" s="491" t="n"/>
      <c r="P627" s="491" t="n"/>
      <c r="Q627" s="491" t="n"/>
      <c r="R627" s="491" t="n"/>
      <c r="S627" s="491" t="n"/>
      <c r="T627" s="491" t="n"/>
      <c r="U627" s="491" t="n"/>
      <c r="V627" s="491" t="n"/>
      <c r="W627" s="491" t="n"/>
      <c r="X627" s="491" t="n"/>
      <c r="Y627" s="491" t="n"/>
    </row>
    <row r="628" ht="12.75" customHeight="1" s="398">
      <c r="A628" s="491" t="n"/>
      <c r="B628" s="491" t="n"/>
      <c r="C628" s="491" t="n"/>
      <c r="D628" s="491" t="n"/>
      <c r="E628" s="491" t="n"/>
      <c r="F628" s="491" t="n"/>
      <c r="G628" s="491" t="n"/>
      <c r="H628" s="491" t="n"/>
      <c r="I628" s="491" t="n"/>
      <c r="J628" s="491" t="n"/>
      <c r="K628" s="491" t="n"/>
      <c r="L628" s="491" t="n"/>
      <c r="M628" s="491" t="n"/>
      <c r="N628" s="491" t="n"/>
      <c r="O628" s="491" t="n"/>
      <c r="P628" s="491" t="n"/>
      <c r="Q628" s="491" t="n"/>
      <c r="R628" s="491" t="n"/>
      <c r="S628" s="491" t="n"/>
      <c r="T628" s="491" t="n"/>
      <c r="U628" s="491" t="n"/>
      <c r="V628" s="491" t="n"/>
      <c r="W628" s="491" t="n"/>
      <c r="X628" s="491" t="n"/>
      <c r="Y628" s="491" t="n"/>
    </row>
    <row r="629" ht="12.75" customHeight="1" s="398">
      <c r="A629" s="491" t="n"/>
      <c r="B629" s="491" t="n"/>
      <c r="C629" s="491" t="n"/>
      <c r="D629" s="491" t="n"/>
      <c r="E629" s="491" t="n"/>
      <c r="F629" s="491" t="n"/>
      <c r="G629" s="491" t="n"/>
      <c r="H629" s="491" t="n"/>
      <c r="I629" s="491" t="n"/>
      <c r="J629" s="491" t="n"/>
      <c r="K629" s="491" t="n"/>
      <c r="L629" s="491" t="n"/>
      <c r="M629" s="491" t="n"/>
      <c r="N629" s="491" t="n"/>
      <c r="O629" s="491" t="n"/>
      <c r="P629" s="491" t="n"/>
      <c r="Q629" s="491" t="n"/>
      <c r="R629" s="491" t="n"/>
      <c r="S629" s="491" t="n"/>
      <c r="T629" s="491" t="n"/>
      <c r="U629" s="491" t="n"/>
      <c r="V629" s="491" t="n"/>
      <c r="W629" s="491" t="n"/>
      <c r="X629" s="491" t="n"/>
      <c r="Y629" s="491" t="n"/>
    </row>
    <row r="630" ht="12.75" customHeight="1" s="398">
      <c r="A630" s="491" t="n"/>
      <c r="B630" s="491" t="n"/>
      <c r="C630" s="491" t="n"/>
      <c r="D630" s="491" t="n"/>
      <c r="E630" s="491" t="n"/>
      <c r="F630" s="491" t="n"/>
      <c r="G630" s="491" t="n"/>
      <c r="H630" s="491" t="n"/>
      <c r="I630" s="491" t="n"/>
      <c r="J630" s="491" t="n"/>
      <c r="K630" s="491" t="n"/>
      <c r="L630" s="491" t="n"/>
      <c r="M630" s="491" t="n"/>
      <c r="N630" s="491" t="n"/>
      <c r="O630" s="491" t="n"/>
      <c r="P630" s="491" t="n"/>
      <c r="Q630" s="491" t="n"/>
      <c r="R630" s="491" t="n"/>
      <c r="S630" s="491" t="n"/>
      <c r="T630" s="491" t="n"/>
      <c r="U630" s="491" t="n"/>
      <c r="V630" s="491" t="n"/>
      <c r="W630" s="491" t="n"/>
      <c r="X630" s="491" t="n"/>
      <c r="Y630" s="491" t="n"/>
    </row>
    <row r="631" ht="12.75" customHeight="1" s="398">
      <c r="A631" s="491" t="n"/>
      <c r="B631" s="491" t="n"/>
      <c r="C631" s="491" t="n"/>
      <c r="D631" s="491" t="n"/>
      <c r="E631" s="491" t="n"/>
      <c r="F631" s="491" t="n"/>
      <c r="G631" s="491" t="n"/>
      <c r="H631" s="491" t="n"/>
      <c r="I631" s="491" t="n"/>
      <c r="J631" s="491" t="n"/>
      <c r="K631" s="491" t="n"/>
      <c r="L631" s="491" t="n"/>
      <c r="M631" s="491" t="n"/>
      <c r="N631" s="491" t="n"/>
      <c r="O631" s="491" t="n"/>
      <c r="P631" s="491" t="n"/>
      <c r="Q631" s="491" t="n"/>
      <c r="R631" s="491" t="n"/>
      <c r="S631" s="491" t="n"/>
      <c r="T631" s="491" t="n"/>
      <c r="U631" s="491" t="n"/>
      <c r="V631" s="491" t="n"/>
      <c r="W631" s="491" t="n"/>
      <c r="X631" s="491" t="n"/>
      <c r="Y631" s="491" t="n"/>
    </row>
    <row r="632" ht="12.75" customHeight="1" s="398">
      <c r="A632" s="491" t="n"/>
      <c r="B632" s="491" t="n"/>
      <c r="C632" s="491" t="n"/>
      <c r="D632" s="491" t="n"/>
      <c r="E632" s="491" t="n"/>
      <c r="F632" s="491" t="n"/>
      <c r="G632" s="491" t="n"/>
      <c r="H632" s="491" t="n"/>
      <c r="I632" s="491" t="n"/>
      <c r="J632" s="491" t="n"/>
      <c r="K632" s="491" t="n"/>
      <c r="L632" s="491" t="n"/>
      <c r="M632" s="491" t="n"/>
      <c r="N632" s="491" t="n"/>
      <c r="O632" s="491" t="n"/>
      <c r="P632" s="491" t="n"/>
      <c r="Q632" s="491" t="n"/>
      <c r="R632" s="491" t="n"/>
      <c r="S632" s="491" t="n"/>
      <c r="T632" s="491" t="n"/>
      <c r="U632" s="491" t="n"/>
      <c r="V632" s="491" t="n"/>
      <c r="W632" s="491" t="n"/>
      <c r="X632" s="491" t="n"/>
      <c r="Y632" s="491" t="n"/>
    </row>
    <row r="633" ht="12.75" customHeight="1" s="398">
      <c r="A633" s="491" t="n"/>
      <c r="B633" s="491" t="n"/>
      <c r="C633" s="491" t="n"/>
      <c r="D633" s="491" t="n"/>
      <c r="E633" s="491" t="n"/>
      <c r="F633" s="491" t="n"/>
      <c r="G633" s="491" t="n"/>
      <c r="H633" s="491" t="n"/>
      <c r="I633" s="491" t="n"/>
      <c r="J633" s="491" t="n"/>
      <c r="K633" s="491" t="n"/>
      <c r="L633" s="491" t="n"/>
      <c r="M633" s="491" t="n"/>
      <c r="N633" s="491" t="n"/>
      <c r="O633" s="491" t="n"/>
      <c r="P633" s="491" t="n"/>
      <c r="Q633" s="491" t="n"/>
      <c r="R633" s="491" t="n"/>
      <c r="S633" s="491" t="n"/>
      <c r="T633" s="491" t="n"/>
      <c r="U633" s="491" t="n"/>
      <c r="V633" s="491" t="n"/>
      <c r="W633" s="491" t="n"/>
      <c r="X633" s="491" t="n"/>
      <c r="Y633" s="491" t="n"/>
    </row>
    <row r="634" ht="12.75" customHeight="1" s="398">
      <c r="A634" s="491" t="n"/>
      <c r="B634" s="491" t="n"/>
      <c r="C634" s="491" t="n"/>
      <c r="D634" s="491" t="n"/>
      <c r="E634" s="491" t="n"/>
      <c r="F634" s="491" t="n"/>
      <c r="G634" s="491" t="n"/>
      <c r="H634" s="491" t="n"/>
      <c r="I634" s="491" t="n"/>
      <c r="J634" s="491" t="n"/>
      <c r="K634" s="491" t="n"/>
      <c r="L634" s="491" t="n"/>
      <c r="M634" s="491" t="n"/>
      <c r="N634" s="491" t="n"/>
      <c r="O634" s="491" t="n"/>
      <c r="P634" s="491" t="n"/>
      <c r="Q634" s="491" t="n"/>
      <c r="R634" s="491" t="n"/>
      <c r="S634" s="491" t="n"/>
      <c r="T634" s="491" t="n"/>
      <c r="U634" s="491" t="n"/>
      <c r="V634" s="491" t="n"/>
      <c r="W634" s="491" t="n"/>
      <c r="X634" s="491" t="n"/>
      <c r="Y634" s="491" t="n"/>
    </row>
    <row r="635" ht="12.75" customHeight="1" s="398">
      <c r="A635" s="491" t="n"/>
      <c r="B635" s="491" t="n"/>
      <c r="C635" s="491" t="n"/>
      <c r="D635" s="491" t="n"/>
      <c r="E635" s="491" t="n"/>
      <c r="F635" s="491" t="n"/>
      <c r="G635" s="491" t="n"/>
      <c r="H635" s="491" t="n"/>
      <c r="I635" s="491" t="n"/>
      <c r="J635" s="491" t="n"/>
      <c r="K635" s="491" t="n"/>
      <c r="L635" s="491" t="n"/>
      <c r="M635" s="491" t="n"/>
      <c r="N635" s="491" t="n"/>
      <c r="O635" s="491" t="n"/>
      <c r="P635" s="491" t="n"/>
      <c r="Q635" s="491" t="n"/>
      <c r="R635" s="491" t="n"/>
      <c r="S635" s="491" t="n"/>
      <c r="T635" s="491" t="n"/>
      <c r="U635" s="491" t="n"/>
      <c r="V635" s="491" t="n"/>
      <c r="W635" s="491" t="n"/>
      <c r="X635" s="491" t="n"/>
      <c r="Y635" s="491" t="n"/>
    </row>
    <row r="636" ht="12.75" customHeight="1" s="398">
      <c r="A636" s="491" t="n"/>
      <c r="B636" s="491" t="n"/>
      <c r="C636" s="491" t="n"/>
      <c r="D636" s="491" t="n"/>
      <c r="E636" s="491" t="n"/>
      <c r="F636" s="491" t="n"/>
      <c r="G636" s="491" t="n"/>
      <c r="H636" s="491" t="n"/>
      <c r="I636" s="491" t="n"/>
      <c r="J636" s="491" t="n"/>
      <c r="K636" s="491" t="n"/>
      <c r="L636" s="491" t="n"/>
      <c r="M636" s="491" t="n"/>
      <c r="N636" s="491" t="n"/>
      <c r="O636" s="491" t="n"/>
      <c r="P636" s="491" t="n"/>
      <c r="Q636" s="491" t="n"/>
      <c r="R636" s="491" t="n"/>
      <c r="S636" s="491" t="n"/>
      <c r="T636" s="491" t="n"/>
      <c r="U636" s="491" t="n"/>
      <c r="V636" s="491" t="n"/>
      <c r="W636" s="491" t="n"/>
      <c r="X636" s="491" t="n"/>
      <c r="Y636" s="491" t="n"/>
    </row>
    <row r="637" ht="12.75" customHeight="1" s="398">
      <c r="A637" s="491" t="n"/>
      <c r="B637" s="491" t="n"/>
      <c r="C637" s="491" t="n"/>
      <c r="D637" s="491" t="n"/>
      <c r="E637" s="491" t="n"/>
      <c r="F637" s="491" t="n"/>
      <c r="G637" s="491" t="n"/>
      <c r="H637" s="491" t="n"/>
      <c r="I637" s="491" t="n"/>
      <c r="J637" s="491" t="n"/>
      <c r="K637" s="491" t="n"/>
      <c r="L637" s="491" t="n"/>
      <c r="M637" s="491" t="n"/>
      <c r="N637" s="491" t="n"/>
      <c r="O637" s="491" t="n"/>
      <c r="P637" s="491" t="n"/>
      <c r="Q637" s="491" t="n"/>
      <c r="R637" s="491" t="n"/>
      <c r="S637" s="491" t="n"/>
      <c r="T637" s="491" t="n"/>
      <c r="U637" s="491" t="n"/>
      <c r="V637" s="491" t="n"/>
      <c r="W637" s="491" t="n"/>
      <c r="X637" s="491" t="n"/>
      <c r="Y637" s="491" t="n"/>
    </row>
    <row r="638" ht="12.75" customHeight="1" s="398">
      <c r="A638" s="491" t="n"/>
      <c r="B638" s="491" t="n"/>
      <c r="C638" s="491" t="n"/>
      <c r="D638" s="491" t="n"/>
      <c r="E638" s="491" t="n"/>
      <c r="F638" s="491" t="n"/>
      <c r="G638" s="491" t="n"/>
      <c r="H638" s="491" t="n"/>
      <c r="I638" s="491" t="n"/>
      <c r="J638" s="491" t="n"/>
      <c r="K638" s="491" t="n"/>
      <c r="L638" s="491" t="n"/>
      <c r="M638" s="491" t="n"/>
      <c r="N638" s="491" t="n"/>
      <c r="O638" s="491" t="n"/>
      <c r="P638" s="491" t="n"/>
      <c r="Q638" s="491" t="n"/>
      <c r="R638" s="491" t="n"/>
      <c r="S638" s="491" t="n"/>
      <c r="T638" s="491" t="n"/>
      <c r="U638" s="491" t="n"/>
      <c r="V638" s="491" t="n"/>
      <c r="W638" s="491" t="n"/>
      <c r="X638" s="491" t="n"/>
      <c r="Y638" s="491" t="n"/>
    </row>
    <row r="639" ht="12.75" customHeight="1" s="398">
      <c r="A639" s="491" t="n"/>
      <c r="B639" s="491" t="n"/>
      <c r="C639" s="491" t="n"/>
      <c r="D639" s="491" t="n"/>
      <c r="E639" s="491" t="n"/>
      <c r="F639" s="491" t="n"/>
      <c r="G639" s="491" t="n"/>
      <c r="H639" s="491" t="n"/>
      <c r="I639" s="491" t="n"/>
      <c r="J639" s="491" t="n"/>
      <c r="K639" s="491" t="n"/>
      <c r="L639" s="491" t="n"/>
      <c r="M639" s="491" t="n"/>
      <c r="N639" s="491" t="n"/>
      <c r="O639" s="491" t="n"/>
      <c r="P639" s="491" t="n"/>
      <c r="Q639" s="491" t="n"/>
      <c r="R639" s="491" t="n"/>
      <c r="S639" s="491" t="n"/>
      <c r="T639" s="491" t="n"/>
      <c r="U639" s="491" t="n"/>
      <c r="V639" s="491" t="n"/>
      <c r="W639" s="491" t="n"/>
      <c r="X639" s="491" t="n"/>
      <c r="Y639" s="491" t="n"/>
    </row>
    <row r="640" ht="12.75" customHeight="1" s="398">
      <c r="A640" s="491" t="n"/>
      <c r="B640" s="491" t="n"/>
      <c r="C640" s="491" t="n"/>
      <c r="D640" s="491" t="n"/>
      <c r="E640" s="491" t="n"/>
      <c r="F640" s="491" t="n"/>
      <c r="G640" s="491" t="n"/>
      <c r="H640" s="491" t="n"/>
      <c r="I640" s="491" t="n"/>
      <c r="J640" s="491" t="n"/>
      <c r="K640" s="491" t="n"/>
      <c r="L640" s="491" t="n"/>
      <c r="M640" s="491" t="n"/>
      <c r="N640" s="491" t="n"/>
      <c r="O640" s="491" t="n"/>
      <c r="P640" s="491" t="n"/>
      <c r="Q640" s="491" t="n"/>
      <c r="R640" s="491" t="n"/>
      <c r="S640" s="491" t="n"/>
      <c r="T640" s="491" t="n"/>
      <c r="U640" s="491" t="n"/>
      <c r="V640" s="491" t="n"/>
      <c r="W640" s="491" t="n"/>
      <c r="X640" s="491" t="n"/>
      <c r="Y640" s="491" t="n"/>
    </row>
    <row r="641" ht="12.75" customHeight="1" s="398">
      <c r="A641" s="491" t="n"/>
      <c r="B641" s="491" t="n"/>
      <c r="C641" s="491" t="n"/>
      <c r="D641" s="491" t="n"/>
      <c r="E641" s="491" t="n"/>
      <c r="F641" s="491" t="n"/>
      <c r="G641" s="491" t="n"/>
      <c r="H641" s="491" t="n"/>
      <c r="I641" s="491" t="n"/>
      <c r="J641" s="491" t="n"/>
      <c r="K641" s="491" t="n"/>
      <c r="L641" s="491" t="n"/>
      <c r="M641" s="491" t="n"/>
      <c r="N641" s="491" t="n"/>
      <c r="O641" s="491" t="n"/>
      <c r="P641" s="491" t="n"/>
      <c r="Q641" s="491" t="n"/>
      <c r="R641" s="491" t="n"/>
      <c r="S641" s="491" t="n"/>
      <c r="T641" s="491" t="n"/>
      <c r="U641" s="491" t="n"/>
      <c r="V641" s="491" t="n"/>
      <c r="W641" s="491" t="n"/>
      <c r="X641" s="491" t="n"/>
      <c r="Y641" s="491" t="n"/>
    </row>
    <row r="642" ht="12.75" customHeight="1" s="398">
      <c r="A642" s="491" t="n"/>
      <c r="B642" s="491" t="n"/>
      <c r="C642" s="491" t="n"/>
      <c r="D642" s="491" t="n"/>
      <c r="E642" s="491" t="n"/>
      <c r="F642" s="491" t="n"/>
      <c r="G642" s="491" t="n"/>
      <c r="H642" s="491" t="n"/>
      <c r="I642" s="491" t="n"/>
      <c r="J642" s="491" t="n"/>
      <c r="K642" s="491" t="n"/>
      <c r="L642" s="491" t="n"/>
      <c r="M642" s="491" t="n"/>
      <c r="N642" s="491" t="n"/>
      <c r="O642" s="491" t="n"/>
      <c r="P642" s="491" t="n"/>
      <c r="Q642" s="491" t="n"/>
      <c r="R642" s="491" t="n"/>
      <c r="S642" s="491" t="n"/>
      <c r="T642" s="491" t="n"/>
      <c r="U642" s="491" t="n"/>
      <c r="V642" s="491" t="n"/>
      <c r="W642" s="491" t="n"/>
      <c r="X642" s="491" t="n"/>
      <c r="Y642" s="491" t="n"/>
    </row>
    <row r="643" ht="12.75" customHeight="1" s="398">
      <c r="A643" s="491" t="n"/>
      <c r="B643" s="491" t="n"/>
      <c r="C643" s="491" t="n"/>
      <c r="D643" s="491" t="n"/>
      <c r="E643" s="491" t="n"/>
      <c r="F643" s="491" t="n"/>
      <c r="G643" s="491" t="n"/>
      <c r="H643" s="491" t="n"/>
      <c r="I643" s="491" t="n"/>
      <c r="J643" s="491" t="n"/>
      <c r="K643" s="491" t="n"/>
      <c r="L643" s="491" t="n"/>
      <c r="M643" s="491" t="n"/>
      <c r="N643" s="491" t="n"/>
      <c r="O643" s="491" t="n"/>
      <c r="P643" s="491" t="n"/>
      <c r="Q643" s="491" t="n"/>
      <c r="R643" s="491" t="n"/>
      <c r="S643" s="491" t="n"/>
      <c r="T643" s="491" t="n"/>
      <c r="U643" s="491" t="n"/>
      <c r="V643" s="491" t="n"/>
      <c r="W643" s="491" t="n"/>
      <c r="X643" s="491" t="n"/>
      <c r="Y643" s="491" t="n"/>
    </row>
    <row r="644" ht="12.75" customHeight="1" s="398">
      <c r="A644" s="491" t="n"/>
      <c r="B644" s="491" t="n"/>
      <c r="C644" s="491" t="n"/>
      <c r="D644" s="491" t="n"/>
      <c r="E644" s="491" t="n"/>
      <c r="F644" s="491" t="n"/>
      <c r="G644" s="491" t="n"/>
      <c r="H644" s="491" t="n"/>
      <c r="I644" s="491" t="n"/>
      <c r="J644" s="491" t="n"/>
      <c r="K644" s="491" t="n"/>
      <c r="L644" s="491" t="n"/>
      <c r="M644" s="491" t="n"/>
      <c r="N644" s="491" t="n"/>
      <c r="O644" s="491" t="n"/>
      <c r="P644" s="491" t="n"/>
      <c r="Q644" s="491" t="n"/>
      <c r="R644" s="491" t="n"/>
      <c r="S644" s="491" t="n"/>
      <c r="T644" s="491" t="n"/>
      <c r="U644" s="491" t="n"/>
      <c r="V644" s="491" t="n"/>
      <c r="W644" s="491" t="n"/>
      <c r="X644" s="491" t="n"/>
      <c r="Y644" s="491" t="n"/>
    </row>
    <row r="645" ht="12.75" customHeight="1" s="398">
      <c r="A645" s="491" t="n"/>
      <c r="B645" s="491" t="n"/>
      <c r="C645" s="491" t="n"/>
      <c r="D645" s="491" t="n"/>
      <c r="E645" s="491" t="n"/>
      <c r="F645" s="491" t="n"/>
      <c r="G645" s="491" t="n"/>
      <c r="H645" s="491" t="n"/>
      <c r="I645" s="491" t="n"/>
      <c r="J645" s="491" t="n"/>
      <c r="K645" s="491" t="n"/>
      <c r="L645" s="491" t="n"/>
      <c r="M645" s="491" t="n"/>
      <c r="N645" s="491" t="n"/>
      <c r="O645" s="491" t="n"/>
      <c r="P645" s="491" t="n"/>
      <c r="Q645" s="491" t="n"/>
      <c r="R645" s="491" t="n"/>
      <c r="S645" s="491" t="n"/>
      <c r="T645" s="491" t="n"/>
      <c r="U645" s="491" t="n"/>
      <c r="V645" s="491" t="n"/>
      <c r="W645" s="491" t="n"/>
      <c r="X645" s="491" t="n"/>
      <c r="Y645" s="491" t="n"/>
    </row>
    <row r="646" ht="12.75" customHeight="1" s="398">
      <c r="A646" s="491" t="n"/>
      <c r="B646" s="491" t="n"/>
      <c r="C646" s="491" t="n"/>
      <c r="D646" s="491" t="n"/>
      <c r="E646" s="491" t="n"/>
      <c r="F646" s="491" t="n"/>
      <c r="G646" s="491" t="n"/>
      <c r="H646" s="491" t="n"/>
      <c r="I646" s="491" t="n"/>
      <c r="J646" s="491" t="n"/>
      <c r="K646" s="491" t="n"/>
      <c r="L646" s="491" t="n"/>
      <c r="M646" s="491" t="n"/>
      <c r="N646" s="491" t="n"/>
      <c r="O646" s="491" t="n"/>
      <c r="P646" s="491" t="n"/>
      <c r="Q646" s="491" t="n"/>
      <c r="R646" s="491" t="n"/>
      <c r="S646" s="491" t="n"/>
      <c r="T646" s="491" t="n"/>
      <c r="U646" s="491" t="n"/>
      <c r="V646" s="491" t="n"/>
      <c r="W646" s="491" t="n"/>
      <c r="X646" s="491" t="n"/>
      <c r="Y646" s="491" t="n"/>
    </row>
    <row r="647" ht="12.75" customHeight="1" s="398">
      <c r="A647" s="491" t="n"/>
      <c r="B647" s="491" t="n"/>
      <c r="C647" s="491" t="n"/>
      <c r="D647" s="491" t="n"/>
      <c r="E647" s="491" t="n"/>
      <c r="F647" s="491" t="n"/>
      <c r="G647" s="491" t="n"/>
      <c r="H647" s="491" t="n"/>
      <c r="I647" s="491" t="n"/>
      <c r="J647" s="491" t="n"/>
      <c r="K647" s="491" t="n"/>
      <c r="L647" s="491" t="n"/>
      <c r="M647" s="491" t="n"/>
      <c r="N647" s="491" t="n"/>
      <c r="O647" s="491" t="n"/>
      <c r="P647" s="491" t="n"/>
      <c r="Q647" s="491" t="n"/>
      <c r="R647" s="491" t="n"/>
      <c r="S647" s="491" t="n"/>
      <c r="T647" s="491" t="n"/>
      <c r="U647" s="491" t="n"/>
      <c r="V647" s="491" t="n"/>
      <c r="W647" s="491" t="n"/>
      <c r="X647" s="491" t="n"/>
      <c r="Y647" s="491" t="n"/>
    </row>
    <row r="648" ht="12.75" customHeight="1" s="398">
      <c r="A648" s="491" t="n"/>
      <c r="B648" s="491" t="n"/>
      <c r="C648" s="491" t="n"/>
      <c r="D648" s="491" t="n"/>
      <c r="E648" s="491" t="n"/>
      <c r="F648" s="491" t="n"/>
      <c r="G648" s="491" t="n"/>
      <c r="H648" s="491" t="n"/>
      <c r="I648" s="491" t="n"/>
      <c r="J648" s="491" t="n"/>
      <c r="K648" s="491" t="n"/>
      <c r="L648" s="491" t="n"/>
      <c r="M648" s="491" t="n"/>
      <c r="N648" s="491" t="n"/>
      <c r="O648" s="491" t="n"/>
      <c r="P648" s="491" t="n"/>
      <c r="Q648" s="491" t="n"/>
      <c r="R648" s="491" t="n"/>
      <c r="S648" s="491" t="n"/>
      <c r="T648" s="491" t="n"/>
      <c r="U648" s="491" t="n"/>
      <c r="V648" s="491" t="n"/>
      <c r="W648" s="491" t="n"/>
      <c r="X648" s="491" t="n"/>
      <c r="Y648" s="491" t="n"/>
    </row>
    <row r="649" ht="12.75" customHeight="1" s="398">
      <c r="A649" s="491" t="n"/>
      <c r="B649" s="491" t="n"/>
      <c r="C649" s="491" t="n"/>
      <c r="D649" s="491" t="n"/>
      <c r="E649" s="491" t="n"/>
      <c r="F649" s="491" t="n"/>
      <c r="G649" s="491" t="n"/>
      <c r="H649" s="491" t="n"/>
      <c r="I649" s="491" t="n"/>
      <c r="J649" s="491" t="n"/>
      <c r="K649" s="491" t="n"/>
      <c r="L649" s="491" t="n"/>
      <c r="M649" s="491" t="n"/>
      <c r="N649" s="491" t="n"/>
      <c r="O649" s="491" t="n"/>
      <c r="P649" s="491" t="n"/>
      <c r="Q649" s="491" t="n"/>
      <c r="R649" s="491" t="n"/>
      <c r="S649" s="491" t="n"/>
      <c r="T649" s="491" t="n"/>
      <c r="U649" s="491" t="n"/>
      <c r="V649" s="491" t="n"/>
      <c r="W649" s="491" t="n"/>
      <c r="X649" s="491" t="n"/>
      <c r="Y649" s="491" t="n"/>
    </row>
    <row r="650" ht="12.75" customHeight="1" s="398">
      <c r="A650" s="491" t="n"/>
      <c r="B650" s="491" t="n"/>
      <c r="C650" s="491" t="n"/>
      <c r="D650" s="491" t="n"/>
      <c r="E650" s="491" t="n"/>
      <c r="F650" s="491" t="n"/>
      <c r="G650" s="491" t="n"/>
      <c r="H650" s="491" t="n"/>
      <c r="I650" s="491" t="n"/>
      <c r="J650" s="491" t="n"/>
      <c r="K650" s="491" t="n"/>
      <c r="L650" s="491" t="n"/>
      <c r="M650" s="491" t="n"/>
      <c r="N650" s="491" t="n"/>
      <c r="O650" s="491" t="n"/>
      <c r="P650" s="491" t="n"/>
      <c r="Q650" s="491" t="n"/>
      <c r="R650" s="491" t="n"/>
      <c r="S650" s="491" t="n"/>
      <c r="T650" s="491" t="n"/>
      <c r="U650" s="491" t="n"/>
      <c r="V650" s="491" t="n"/>
      <c r="W650" s="491" t="n"/>
      <c r="X650" s="491" t="n"/>
      <c r="Y650" s="491" t="n"/>
    </row>
    <row r="651" ht="12.75" customHeight="1" s="398">
      <c r="A651" s="491" t="n"/>
      <c r="B651" s="491" t="n"/>
      <c r="C651" s="491" t="n"/>
      <c r="D651" s="491" t="n"/>
      <c r="E651" s="491" t="n"/>
      <c r="F651" s="491" t="n"/>
      <c r="G651" s="491" t="n"/>
      <c r="H651" s="491" t="n"/>
      <c r="I651" s="491" t="n"/>
      <c r="J651" s="491" t="n"/>
      <c r="K651" s="491" t="n"/>
      <c r="L651" s="491" t="n"/>
      <c r="M651" s="491" t="n"/>
      <c r="N651" s="491" t="n"/>
      <c r="O651" s="491" t="n"/>
      <c r="P651" s="491" t="n"/>
      <c r="Q651" s="491" t="n"/>
      <c r="R651" s="491" t="n"/>
      <c r="S651" s="491" t="n"/>
      <c r="T651" s="491" t="n"/>
      <c r="U651" s="491" t="n"/>
      <c r="V651" s="491" t="n"/>
      <c r="W651" s="491" t="n"/>
      <c r="X651" s="491" t="n"/>
      <c r="Y651" s="491" t="n"/>
    </row>
    <row r="652" ht="12.75" customHeight="1" s="398">
      <c r="A652" s="491" t="n"/>
      <c r="B652" s="491" t="n"/>
      <c r="C652" s="491" t="n"/>
      <c r="D652" s="491" t="n"/>
      <c r="E652" s="491" t="n"/>
      <c r="F652" s="491" t="n"/>
      <c r="G652" s="491" t="n"/>
      <c r="H652" s="491" t="n"/>
      <c r="I652" s="491" t="n"/>
      <c r="J652" s="491" t="n"/>
      <c r="K652" s="491" t="n"/>
      <c r="L652" s="491" t="n"/>
      <c r="M652" s="491" t="n"/>
      <c r="N652" s="491" t="n"/>
      <c r="O652" s="491" t="n"/>
      <c r="P652" s="491" t="n"/>
      <c r="Q652" s="491" t="n"/>
      <c r="R652" s="491" t="n"/>
      <c r="S652" s="491" t="n"/>
      <c r="T652" s="491" t="n"/>
      <c r="U652" s="491" t="n"/>
      <c r="V652" s="491" t="n"/>
      <c r="W652" s="491" t="n"/>
      <c r="X652" s="491" t="n"/>
      <c r="Y652" s="491" t="n"/>
    </row>
    <row r="653" ht="12.75" customHeight="1" s="398">
      <c r="A653" s="491" t="n"/>
      <c r="B653" s="491" t="n"/>
      <c r="C653" s="491" t="n"/>
      <c r="D653" s="491" t="n"/>
      <c r="E653" s="491" t="n"/>
      <c r="F653" s="491" t="n"/>
      <c r="G653" s="491" t="n"/>
      <c r="H653" s="491" t="n"/>
      <c r="I653" s="491" t="n"/>
      <c r="J653" s="491" t="n"/>
      <c r="K653" s="491" t="n"/>
      <c r="L653" s="491" t="n"/>
      <c r="M653" s="491" t="n"/>
      <c r="N653" s="491" t="n"/>
      <c r="O653" s="491" t="n"/>
      <c r="P653" s="491" t="n"/>
      <c r="Q653" s="491" t="n"/>
      <c r="R653" s="491" t="n"/>
      <c r="S653" s="491" t="n"/>
      <c r="T653" s="491" t="n"/>
      <c r="U653" s="491" t="n"/>
      <c r="V653" s="491" t="n"/>
      <c r="W653" s="491" t="n"/>
      <c r="X653" s="491" t="n"/>
      <c r="Y653" s="491" t="n"/>
    </row>
    <row r="654" ht="12.75" customHeight="1" s="398">
      <c r="A654" s="491" t="n"/>
      <c r="B654" s="491" t="n"/>
      <c r="C654" s="491" t="n"/>
      <c r="D654" s="491" t="n"/>
      <c r="E654" s="491" t="n"/>
      <c r="F654" s="491" t="n"/>
      <c r="G654" s="491" t="n"/>
      <c r="H654" s="491" t="n"/>
      <c r="I654" s="491" t="n"/>
      <c r="J654" s="491" t="n"/>
      <c r="K654" s="491" t="n"/>
      <c r="L654" s="491" t="n"/>
      <c r="M654" s="491" t="n"/>
      <c r="N654" s="491" t="n"/>
      <c r="O654" s="491" t="n"/>
      <c r="P654" s="491" t="n"/>
      <c r="Q654" s="491" t="n"/>
      <c r="R654" s="491" t="n"/>
      <c r="S654" s="491" t="n"/>
      <c r="T654" s="491" t="n"/>
      <c r="U654" s="491" t="n"/>
      <c r="V654" s="491" t="n"/>
      <c r="W654" s="491" t="n"/>
      <c r="X654" s="491" t="n"/>
      <c r="Y654" s="491" t="n"/>
    </row>
    <row r="655" ht="12.75" customHeight="1" s="398">
      <c r="A655" s="491" t="n"/>
      <c r="B655" s="491" t="n"/>
      <c r="C655" s="491" t="n"/>
      <c r="D655" s="491" t="n"/>
      <c r="E655" s="491" t="n"/>
      <c r="F655" s="491" t="n"/>
      <c r="G655" s="491" t="n"/>
      <c r="H655" s="491" t="n"/>
      <c r="I655" s="491" t="n"/>
      <c r="J655" s="491" t="n"/>
      <c r="K655" s="491" t="n"/>
      <c r="L655" s="491" t="n"/>
      <c r="M655" s="491" t="n"/>
      <c r="N655" s="491" t="n"/>
      <c r="O655" s="491" t="n"/>
      <c r="P655" s="491" t="n"/>
      <c r="Q655" s="491" t="n"/>
      <c r="R655" s="491" t="n"/>
      <c r="S655" s="491" t="n"/>
      <c r="T655" s="491" t="n"/>
      <c r="U655" s="491" t="n"/>
      <c r="V655" s="491" t="n"/>
      <c r="W655" s="491" t="n"/>
      <c r="X655" s="491" t="n"/>
      <c r="Y655" s="491" t="n"/>
    </row>
    <row r="656" ht="12.75" customHeight="1" s="398">
      <c r="A656" s="491" t="n"/>
      <c r="B656" s="491" t="n"/>
      <c r="C656" s="491" t="n"/>
      <c r="D656" s="491" t="n"/>
      <c r="E656" s="491" t="n"/>
      <c r="F656" s="491" t="n"/>
      <c r="G656" s="491" t="n"/>
      <c r="H656" s="491" t="n"/>
      <c r="I656" s="491" t="n"/>
      <c r="J656" s="491" t="n"/>
      <c r="K656" s="491" t="n"/>
      <c r="L656" s="491" t="n"/>
      <c r="M656" s="491" t="n"/>
      <c r="N656" s="491" t="n"/>
      <c r="O656" s="491" t="n"/>
      <c r="P656" s="491" t="n"/>
      <c r="Q656" s="491" t="n"/>
      <c r="R656" s="491" t="n"/>
      <c r="S656" s="491" t="n"/>
      <c r="T656" s="491" t="n"/>
      <c r="U656" s="491" t="n"/>
      <c r="V656" s="491" t="n"/>
      <c r="W656" s="491" t="n"/>
      <c r="X656" s="491" t="n"/>
      <c r="Y656" s="491" t="n"/>
    </row>
    <row r="657" ht="12.75" customHeight="1" s="398">
      <c r="A657" s="491" t="n"/>
      <c r="B657" s="491" t="n"/>
      <c r="C657" s="491" t="n"/>
      <c r="D657" s="491" t="n"/>
      <c r="E657" s="491" t="n"/>
      <c r="F657" s="491" t="n"/>
      <c r="G657" s="491" t="n"/>
      <c r="H657" s="491" t="n"/>
      <c r="I657" s="491" t="n"/>
      <c r="J657" s="491" t="n"/>
      <c r="K657" s="491" t="n"/>
      <c r="L657" s="491" t="n"/>
      <c r="M657" s="491" t="n"/>
      <c r="N657" s="491" t="n"/>
      <c r="O657" s="491" t="n"/>
      <c r="P657" s="491" t="n"/>
      <c r="Q657" s="491" t="n"/>
      <c r="R657" s="491" t="n"/>
      <c r="S657" s="491" t="n"/>
      <c r="T657" s="491" t="n"/>
      <c r="U657" s="491" t="n"/>
      <c r="V657" s="491" t="n"/>
      <c r="W657" s="491" t="n"/>
      <c r="X657" s="491" t="n"/>
      <c r="Y657" s="491" t="n"/>
    </row>
    <row r="658" ht="12.75" customHeight="1" s="398">
      <c r="A658" s="491" t="n"/>
      <c r="B658" s="491" t="n"/>
      <c r="C658" s="491" t="n"/>
      <c r="D658" s="491" t="n"/>
      <c r="E658" s="491" t="n"/>
      <c r="F658" s="491" t="n"/>
      <c r="G658" s="491" t="n"/>
      <c r="H658" s="491" t="n"/>
      <c r="I658" s="491" t="n"/>
      <c r="J658" s="491" t="n"/>
      <c r="K658" s="491" t="n"/>
      <c r="L658" s="491" t="n"/>
      <c r="M658" s="491" t="n"/>
      <c r="N658" s="491" t="n"/>
      <c r="O658" s="491" t="n"/>
      <c r="P658" s="491" t="n"/>
      <c r="Q658" s="491" t="n"/>
      <c r="R658" s="491" t="n"/>
      <c r="S658" s="491" t="n"/>
      <c r="T658" s="491" t="n"/>
      <c r="U658" s="491" t="n"/>
      <c r="V658" s="491" t="n"/>
      <c r="W658" s="491" t="n"/>
      <c r="X658" s="491" t="n"/>
      <c r="Y658" s="491" t="n"/>
    </row>
    <row r="659" ht="12.75" customHeight="1" s="398">
      <c r="A659" s="491" t="n"/>
      <c r="B659" s="491" t="n"/>
      <c r="C659" s="491" t="n"/>
      <c r="D659" s="491" t="n"/>
      <c r="E659" s="491" t="n"/>
      <c r="F659" s="491" t="n"/>
      <c r="G659" s="491" t="n"/>
      <c r="H659" s="491" t="n"/>
      <c r="I659" s="491" t="n"/>
      <c r="J659" s="491" t="n"/>
      <c r="K659" s="491" t="n"/>
      <c r="L659" s="491" t="n"/>
      <c r="M659" s="491" t="n"/>
      <c r="N659" s="491" t="n"/>
      <c r="O659" s="491" t="n"/>
      <c r="P659" s="491" t="n"/>
      <c r="Q659" s="491" t="n"/>
      <c r="R659" s="491" t="n"/>
      <c r="S659" s="491" t="n"/>
      <c r="T659" s="491" t="n"/>
      <c r="U659" s="491" t="n"/>
      <c r="V659" s="491" t="n"/>
      <c r="W659" s="491" t="n"/>
      <c r="X659" s="491" t="n"/>
      <c r="Y659" s="491" t="n"/>
    </row>
    <row r="660" ht="12.75" customHeight="1" s="398">
      <c r="A660" s="491" t="n"/>
      <c r="B660" s="491" t="n"/>
      <c r="C660" s="491" t="n"/>
      <c r="D660" s="491" t="n"/>
      <c r="E660" s="491" t="n"/>
      <c r="F660" s="491" t="n"/>
      <c r="G660" s="491" t="n"/>
      <c r="H660" s="491" t="n"/>
      <c r="I660" s="491" t="n"/>
      <c r="J660" s="491" t="n"/>
      <c r="K660" s="491" t="n"/>
      <c r="L660" s="491" t="n"/>
      <c r="M660" s="491" t="n"/>
      <c r="N660" s="491" t="n"/>
      <c r="O660" s="491" t="n"/>
      <c r="P660" s="491" t="n"/>
      <c r="Q660" s="491" t="n"/>
      <c r="R660" s="491" t="n"/>
      <c r="S660" s="491" t="n"/>
      <c r="T660" s="491" t="n"/>
      <c r="U660" s="491" t="n"/>
      <c r="V660" s="491" t="n"/>
      <c r="W660" s="491" t="n"/>
      <c r="X660" s="491" t="n"/>
      <c r="Y660" s="491" t="n"/>
    </row>
    <row r="661" ht="12.75" customHeight="1" s="398">
      <c r="A661" s="491" t="n"/>
      <c r="B661" s="491" t="n"/>
      <c r="C661" s="491" t="n"/>
      <c r="D661" s="491" t="n"/>
      <c r="E661" s="491" t="n"/>
      <c r="F661" s="491" t="n"/>
      <c r="G661" s="491" t="n"/>
      <c r="H661" s="491" t="n"/>
      <c r="I661" s="491" t="n"/>
      <c r="J661" s="491" t="n"/>
      <c r="K661" s="491" t="n"/>
      <c r="L661" s="491" t="n"/>
      <c r="M661" s="491" t="n"/>
      <c r="N661" s="491" t="n"/>
      <c r="O661" s="491" t="n"/>
      <c r="P661" s="491" t="n"/>
      <c r="Q661" s="491" t="n"/>
      <c r="R661" s="491" t="n"/>
      <c r="S661" s="491" t="n"/>
      <c r="T661" s="491" t="n"/>
      <c r="U661" s="491" t="n"/>
      <c r="V661" s="491" t="n"/>
      <c r="W661" s="491" t="n"/>
      <c r="X661" s="491" t="n"/>
      <c r="Y661" s="491" t="n"/>
    </row>
    <row r="662" ht="12.75" customHeight="1" s="398">
      <c r="A662" s="491" t="n"/>
      <c r="B662" s="491" t="n"/>
      <c r="C662" s="491" t="n"/>
      <c r="D662" s="491" t="n"/>
      <c r="E662" s="491" t="n"/>
      <c r="F662" s="491" t="n"/>
      <c r="G662" s="491" t="n"/>
      <c r="H662" s="491" t="n"/>
      <c r="I662" s="491" t="n"/>
      <c r="J662" s="491" t="n"/>
      <c r="K662" s="491" t="n"/>
      <c r="L662" s="491" t="n"/>
      <c r="M662" s="491" t="n"/>
      <c r="N662" s="491" t="n"/>
      <c r="O662" s="491" t="n"/>
      <c r="P662" s="491" t="n"/>
      <c r="Q662" s="491" t="n"/>
      <c r="R662" s="491" t="n"/>
      <c r="S662" s="491" t="n"/>
      <c r="T662" s="491" t="n"/>
      <c r="U662" s="491" t="n"/>
      <c r="V662" s="491" t="n"/>
      <c r="W662" s="491" t="n"/>
      <c r="X662" s="491" t="n"/>
      <c r="Y662" s="491" t="n"/>
    </row>
    <row r="663" ht="12.75" customHeight="1" s="398">
      <c r="A663" s="491" t="n"/>
      <c r="B663" s="491" t="n"/>
      <c r="C663" s="491" t="n"/>
      <c r="D663" s="491" t="n"/>
      <c r="E663" s="491" t="n"/>
      <c r="F663" s="491" t="n"/>
      <c r="G663" s="491" t="n"/>
      <c r="H663" s="491" t="n"/>
      <c r="I663" s="491" t="n"/>
      <c r="J663" s="491" t="n"/>
      <c r="K663" s="491" t="n"/>
      <c r="L663" s="491" t="n"/>
      <c r="M663" s="491" t="n"/>
      <c r="N663" s="491" t="n"/>
      <c r="O663" s="491" t="n"/>
      <c r="P663" s="491" t="n"/>
      <c r="Q663" s="491" t="n"/>
      <c r="R663" s="491" t="n"/>
      <c r="S663" s="491" t="n"/>
      <c r="T663" s="491" t="n"/>
      <c r="U663" s="491" t="n"/>
      <c r="V663" s="491" t="n"/>
      <c r="W663" s="491" t="n"/>
      <c r="X663" s="491" t="n"/>
      <c r="Y663" s="491" t="n"/>
    </row>
    <row r="664" ht="12.75" customHeight="1" s="398">
      <c r="A664" s="491" t="n"/>
      <c r="B664" s="491" t="n"/>
      <c r="C664" s="491" t="n"/>
      <c r="D664" s="491" t="n"/>
      <c r="E664" s="491" t="n"/>
      <c r="F664" s="491" t="n"/>
      <c r="G664" s="491" t="n"/>
      <c r="H664" s="491" t="n"/>
      <c r="I664" s="491" t="n"/>
      <c r="J664" s="491" t="n"/>
      <c r="K664" s="491" t="n"/>
      <c r="L664" s="491" t="n"/>
      <c r="M664" s="491" t="n"/>
      <c r="N664" s="491" t="n"/>
      <c r="O664" s="491" t="n"/>
      <c r="P664" s="491" t="n"/>
      <c r="Q664" s="491" t="n"/>
      <c r="R664" s="491" t="n"/>
      <c r="S664" s="491" t="n"/>
      <c r="T664" s="491" t="n"/>
      <c r="U664" s="491" t="n"/>
      <c r="V664" s="491" t="n"/>
      <c r="W664" s="491" t="n"/>
      <c r="X664" s="491" t="n"/>
      <c r="Y664" s="491" t="n"/>
    </row>
    <row r="665" ht="12.75" customHeight="1" s="398">
      <c r="A665" s="491" t="n"/>
      <c r="B665" s="491" t="n"/>
      <c r="C665" s="491" t="n"/>
      <c r="D665" s="491" t="n"/>
      <c r="E665" s="491" t="n"/>
      <c r="F665" s="491" t="n"/>
      <c r="G665" s="491" t="n"/>
      <c r="H665" s="491" t="n"/>
      <c r="I665" s="491" t="n"/>
      <c r="J665" s="491" t="n"/>
      <c r="K665" s="491" t="n"/>
      <c r="L665" s="491" t="n"/>
      <c r="M665" s="491" t="n"/>
      <c r="N665" s="491" t="n"/>
      <c r="O665" s="491" t="n"/>
      <c r="P665" s="491" t="n"/>
      <c r="Q665" s="491" t="n"/>
      <c r="R665" s="491" t="n"/>
      <c r="S665" s="491" t="n"/>
      <c r="T665" s="491" t="n"/>
      <c r="U665" s="491" t="n"/>
      <c r="V665" s="491" t="n"/>
      <c r="W665" s="491" t="n"/>
      <c r="X665" s="491" t="n"/>
      <c r="Y665" s="491" t="n"/>
    </row>
    <row r="666" ht="12.75" customHeight="1" s="398">
      <c r="A666" s="491" t="n"/>
      <c r="B666" s="491" t="n"/>
      <c r="C666" s="491" t="n"/>
      <c r="D666" s="491" t="n"/>
      <c r="E666" s="491" t="n"/>
      <c r="F666" s="491" t="n"/>
      <c r="G666" s="491" t="n"/>
      <c r="H666" s="491" t="n"/>
      <c r="I666" s="491" t="n"/>
      <c r="J666" s="491" t="n"/>
      <c r="K666" s="491" t="n"/>
      <c r="L666" s="491" t="n"/>
      <c r="M666" s="491" t="n"/>
      <c r="N666" s="491" t="n"/>
      <c r="O666" s="491" t="n"/>
      <c r="P666" s="491" t="n"/>
      <c r="Q666" s="491" t="n"/>
      <c r="R666" s="491" t="n"/>
      <c r="S666" s="491" t="n"/>
      <c r="T666" s="491" t="n"/>
      <c r="U666" s="491" t="n"/>
      <c r="V666" s="491" t="n"/>
      <c r="W666" s="491" t="n"/>
      <c r="X666" s="491" t="n"/>
      <c r="Y666" s="491" t="n"/>
    </row>
    <row r="667" ht="12.75" customHeight="1" s="398">
      <c r="A667" s="491" t="n"/>
      <c r="B667" s="491" t="n"/>
      <c r="C667" s="491" t="n"/>
      <c r="D667" s="491" t="n"/>
      <c r="E667" s="491" t="n"/>
      <c r="F667" s="491" t="n"/>
      <c r="G667" s="491" t="n"/>
      <c r="H667" s="491" t="n"/>
      <c r="I667" s="491" t="n"/>
      <c r="J667" s="491" t="n"/>
      <c r="K667" s="491" t="n"/>
      <c r="L667" s="491" t="n"/>
      <c r="M667" s="491" t="n"/>
      <c r="N667" s="491" t="n"/>
      <c r="O667" s="491" t="n"/>
      <c r="P667" s="491" t="n"/>
      <c r="Q667" s="491" t="n"/>
      <c r="R667" s="491" t="n"/>
      <c r="S667" s="491" t="n"/>
      <c r="T667" s="491" t="n"/>
      <c r="U667" s="491" t="n"/>
      <c r="V667" s="491" t="n"/>
      <c r="W667" s="491" t="n"/>
      <c r="X667" s="491" t="n"/>
      <c r="Y667" s="491" t="n"/>
    </row>
    <row r="668" ht="12.75" customHeight="1" s="398">
      <c r="A668" s="491" t="n"/>
      <c r="B668" s="491" t="n"/>
      <c r="C668" s="491" t="n"/>
      <c r="D668" s="491" t="n"/>
      <c r="E668" s="491" t="n"/>
      <c r="F668" s="491" t="n"/>
      <c r="G668" s="491" t="n"/>
      <c r="H668" s="491" t="n"/>
      <c r="I668" s="491" t="n"/>
      <c r="J668" s="491" t="n"/>
      <c r="K668" s="491" t="n"/>
      <c r="L668" s="491" t="n"/>
      <c r="M668" s="491" t="n"/>
      <c r="N668" s="491" t="n"/>
      <c r="O668" s="491" t="n"/>
      <c r="P668" s="491" t="n"/>
      <c r="Q668" s="491" t="n"/>
      <c r="R668" s="491" t="n"/>
      <c r="S668" s="491" t="n"/>
      <c r="T668" s="491" t="n"/>
      <c r="U668" s="491" t="n"/>
      <c r="V668" s="491" t="n"/>
      <c r="W668" s="491" t="n"/>
      <c r="X668" s="491" t="n"/>
      <c r="Y668" s="491" t="n"/>
    </row>
    <row r="669" ht="12.75" customHeight="1" s="398">
      <c r="A669" s="491" t="n"/>
      <c r="B669" s="491" t="n"/>
      <c r="C669" s="491" t="n"/>
      <c r="D669" s="491" t="n"/>
      <c r="E669" s="491" t="n"/>
      <c r="F669" s="491" t="n"/>
      <c r="G669" s="491" t="n"/>
      <c r="H669" s="491" t="n"/>
      <c r="I669" s="491" t="n"/>
      <c r="J669" s="491" t="n"/>
      <c r="K669" s="491" t="n"/>
      <c r="L669" s="491" t="n"/>
      <c r="M669" s="491" t="n"/>
      <c r="N669" s="491" t="n"/>
      <c r="O669" s="491" t="n"/>
      <c r="P669" s="491" t="n"/>
      <c r="Q669" s="491" t="n"/>
      <c r="R669" s="491" t="n"/>
      <c r="S669" s="491" t="n"/>
      <c r="T669" s="491" t="n"/>
      <c r="U669" s="491" t="n"/>
      <c r="V669" s="491" t="n"/>
      <c r="W669" s="491" t="n"/>
      <c r="X669" s="491" t="n"/>
      <c r="Y669" s="491" t="n"/>
    </row>
    <row r="670" ht="12.75" customHeight="1" s="398">
      <c r="A670" s="491" t="n"/>
      <c r="B670" s="491" t="n"/>
      <c r="C670" s="491" t="n"/>
      <c r="D670" s="491" t="n"/>
      <c r="E670" s="491" t="n"/>
      <c r="F670" s="491" t="n"/>
      <c r="G670" s="491" t="n"/>
      <c r="H670" s="491" t="n"/>
      <c r="I670" s="491" t="n"/>
      <c r="J670" s="491" t="n"/>
      <c r="K670" s="491" t="n"/>
      <c r="L670" s="491" t="n"/>
      <c r="M670" s="491" t="n"/>
      <c r="N670" s="491" t="n"/>
      <c r="O670" s="491" t="n"/>
      <c r="P670" s="491" t="n"/>
      <c r="Q670" s="491" t="n"/>
      <c r="R670" s="491" t="n"/>
      <c r="S670" s="491" t="n"/>
      <c r="T670" s="491" t="n"/>
      <c r="U670" s="491" t="n"/>
      <c r="V670" s="491" t="n"/>
      <c r="W670" s="491" t="n"/>
      <c r="X670" s="491" t="n"/>
      <c r="Y670" s="491" t="n"/>
    </row>
    <row r="671" ht="12.75" customHeight="1" s="398">
      <c r="A671" s="491" t="n"/>
      <c r="B671" s="491" t="n"/>
      <c r="C671" s="491" t="n"/>
      <c r="D671" s="491" t="n"/>
      <c r="E671" s="491" t="n"/>
      <c r="F671" s="491" t="n"/>
      <c r="G671" s="491" t="n"/>
      <c r="H671" s="491" t="n"/>
      <c r="I671" s="491" t="n"/>
      <c r="J671" s="491" t="n"/>
      <c r="K671" s="491" t="n"/>
      <c r="L671" s="491" t="n"/>
      <c r="M671" s="491" t="n"/>
      <c r="N671" s="491" t="n"/>
      <c r="O671" s="491" t="n"/>
      <c r="P671" s="491" t="n"/>
      <c r="Q671" s="491" t="n"/>
      <c r="R671" s="491" t="n"/>
      <c r="S671" s="491" t="n"/>
      <c r="T671" s="491" t="n"/>
      <c r="U671" s="491" t="n"/>
      <c r="V671" s="491" t="n"/>
      <c r="W671" s="491" t="n"/>
      <c r="X671" s="491" t="n"/>
      <c r="Y671" s="491" t="n"/>
    </row>
    <row r="672" ht="12.75" customHeight="1" s="398">
      <c r="A672" s="491" t="n"/>
      <c r="B672" s="491" t="n"/>
      <c r="C672" s="491" t="n"/>
      <c r="D672" s="491" t="n"/>
      <c r="E672" s="491" t="n"/>
      <c r="F672" s="491" t="n"/>
      <c r="G672" s="491" t="n"/>
      <c r="H672" s="491" t="n"/>
      <c r="I672" s="491" t="n"/>
      <c r="J672" s="491" t="n"/>
      <c r="K672" s="491" t="n"/>
      <c r="L672" s="491" t="n"/>
      <c r="M672" s="491" t="n"/>
      <c r="N672" s="491" t="n"/>
      <c r="O672" s="491" t="n"/>
      <c r="P672" s="491" t="n"/>
      <c r="Q672" s="491" t="n"/>
      <c r="R672" s="491" t="n"/>
      <c r="S672" s="491" t="n"/>
      <c r="T672" s="491" t="n"/>
      <c r="U672" s="491" t="n"/>
      <c r="V672" s="491" t="n"/>
      <c r="W672" s="491" t="n"/>
      <c r="X672" s="491" t="n"/>
      <c r="Y672" s="491" t="n"/>
    </row>
    <row r="673" ht="12.75" customHeight="1" s="398">
      <c r="A673" s="491" t="n"/>
      <c r="B673" s="491" t="n"/>
      <c r="C673" s="491" t="n"/>
      <c r="D673" s="491" t="n"/>
      <c r="E673" s="491" t="n"/>
      <c r="F673" s="491" t="n"/>
      <c r="G673" s="491" t="n"/>
      <c r="H673" s="491" t="n"/>
      <c r="I673" s="491" t="n"/>
      <c r="J673" s="491" t="n"/>
      <c r="K673" s="491" t="n"/>
      <c r="L673" s="491" t="n"/>
      <c r="M673" s="491" t="n"/>
      <c r="N673" s="491" t="n"/>
      <c r="O673" s="491" t="n"/>
      <c r="P673" s="491" t="n"/>
      <c r="Q673" s="491" t="n"/>
      <c r="R673" s="491" t="n"/>
      <c r="S673" s="491" t="n"/>
      <c r="T673" s="491" t="n"/>
      <c r="U673" s="491" t="n"/>
      <c r="V673" s="491" t="n"/>
      <c r="W673" s="491" t="n"/>
      <c r="X673" s="491" t="n"/>
      <c r="Y673" s="491" t="n"/>
    </row>
    <row r="674" ht="12.75" customHeight="1" s="398">
      <c r="A674" s="491" t="n"/>
      <c r="B674" s="491" t="n"/>
      <c r="C674" s="491" t="n"/>
      <c r="D674" s="491" t="n"/>
      <c r="E674" s="491" t="n"/>
      <c r="F674" s="491" t="n"/>
      <c r="G674" s="491" t="n"/>
      <c r="H674" s="491" t="n"/>
      <c r="I674" s="491" t="n"/>
      <c r="J674" s="491" t="n"/>
      <c r="K674" s="491" t="n"/>
      <c r="L674" s="491" t="n"/>
      <c r="M674" s="491" t="n"/>
      <c r="N674" s="491" t="n"/>
      <c r="O674" s="491" t="n"/>
      <c r="P674" s="491" t="n"/>
      <c r="Q674" s="491" t="n"/>
      <c r="R674" s="491" t="n"/>
      <c r="S674" s="491" t="n"/>
      <c r="T674" s="491" t="n"/>
      <c r="U674" s="491" t="n"/>
      <c r="V674" s="491" t="n"/>
      <c r="W674" s="491" t="n"/>
      <c r="X674" s="491" t="n"/>
      <c r="Y674" s="491" t="n"/>
    </row>
    <row r="675" ht="12.75" customHeight="1" s="398">
      <c r="A675" s="491" t="n"/>
      <c r="B675" s="491" t="n"/>
      <c r="C675" s="491" t="n"/>
      <c r="D675" s="491" t="n"/>
      <c r="E675" s="491" t="n"/>
      <c r="F675" s="491" t="n"/>
      <c r="G675" s="491" t="n"/>
      <c r="H675" s="491" t="n"/>
      <c r="I675" s="491" t="n"/>
      <c r="J675" s="491" t="n"/>
      <c r="K675" s="491" t="n"/>
      <c r="L675" s="491" t="n"/>
      <c r="M675" s="491" t="n"/>
      <c r="N675" s="491" t="n"/>
      <c r="O675" s="491" t="n"/>
      <c r="P675" s="491" t="n"/>
      <c r="Q675" s="491" t="n"/>
      <c r="R675" s="491" t="n"/>
      <c r="S675" s="491" t="n"/>
      <c r="T675" s="491" t="n"/>
      <c r="U675" s="491" t="n"/>
      <c r="V675" s="491" t="n"/>
      <c r="W675" s="491" t="n"/>
      <c r="X675" s="491" t="n"/>
      <c r="Y675" s="491" t="n"/>
    </row>
    <row r="676" ht="12.75" customHeight="1" s="398">
      <c r="A676" s="491" t="n"/>
      <c r="B676" s="491" t="n"/>
      <c r="C676" s="491" t="n"/>
      <c r="D676" s="491" t="n"/>
      <c r="E676" s="491" t="n"/>
      <c r="F676" s="491" t="n"/>
      <c r="G676" s="491" t="n"/>
      <c r="H676" s="491" t="n"/>
      <c r="I676" s="491" t="n"/>
      <c r="J676" s="491" t="n"/>
      <c r="K676" s="491" t="n"/>
      <c r="L676" s="491" t="n"/>
      <c r="M676" s="491" t="n"/>
      <c r="N676" s="491" t="n"/>
      <c r="O676" s="491" t="n"/>
      <c r="P676" s="491" t="n"/>
      <c r="Q676" s="491" t="n"/>
      <c r="R676" s="491" t="n"/>
      <c r="S676" s="491" t="n"/>
      <c r="T676" s="491" t="n"/>
      <c r="U676" s="491" t="n"/>
      <c r="V676" s="491" t="n"/>
      <c r="W676" s="491" t="n"/>
      <c r="X676" s="491" t="n"/>
      <c r="Y676" s="491" t="n"/>
    </row>
    <row r="677" ht="12.75" customHeight="1" s="398">
      <c r="A677" s="491" t="n"/>
      <c r="B677" s="491" t="n"/>
      <c r="C677" s="491" t="n"/>
      <c r="D677" s="491" t="n"/>
      <c r="E677" s="491" t="n"/>
      <c r="F677" s="491" t="n"/>
      <c r="G677" s="491" t="n"/>
      <c r="H677" s="491" t="n"/>
      <c r="I677" s="491" t="n"/>
      <c r="J677" s="491" t="n"/>
      <c r="K677" s="491" t="n"/>
      <c r="L677" s="491" t="n"/>
      <c r="M677" s="491" t="n"/>
      <c r="N677" s="491" t="n"/>
      <c r="O677" s="491" t="n"/>
      <c r="P677" s="491" t="n"/>
      <c r="Q677" s="491" t="n"/>
      <c r="R677" s="491" t="n"/>
      <c r="S677" s="491" t="n"/>
      <c r="T677" s="491" t="n"/>
      <c r="U677" s="491" t="n"/>
      <c r="V677" s="491" t="n"/>
      <c r="W677" s="491" t="n"/>
      <c r="X677" s="491" t="n"/>
      <c r="Y677" s="491" t="n"/>
    </row>
    <row r="678" ht="12.75" customHeight="1" s="398">
      <c r="A678" s="491" t="n"/>
      <c r="B678" s="491" t="n"/>
      <c r="C678" s="491" t="n"/>
      <c r="D678" s="491" t="n"/>
      <c r="E678" s="491" t="n"/>
      <c r="F678" s="491" t="n"/>
      <c r="G678" s="491" t="n"/>
      <c r="H678" s="491" t="n"/>
      <c r="I678" s="491" t="n"/>
      <c r="J678" s="491" t="n"/>
      <c r="K678" s="491" t="n"/>
      <c r="L678" s="491" t="n"/>
      <c r="M678" s="491" t="n"/>
      <c r="N678" s="491" t="n"/>
      <c r="O678" s="491" t="n"/>
      <c r="P678" s="491" t="n"/>
      <c r="Q678" s="491" t="n"/>
      <c r="R678" s="491" t="n"/>
      <c r="S678" s="491" t="n"/>
      <c r="T678" s="491" t="n"/>
      <c r="U678" s="491" t="n"/>
      <c r="V678" s="491" t="n"/>
      <c r="W678" s="491" t="n"/>
      <c r="X678" s="491" t="n"/>
      <c r="Y678" s="491" t="n"/>
    </row>
    <row r="679" ht="12.75" customHeight="1" s="398">
      <c r="A679" s="491" t="n"/>
      <c r="B679" s="491" t="n"/>
      <c r="C679" s="491" t="n"/>
      <c r="D679" s="491" t="n"/>
      <c r="E679" s="491" t="n"/>
      <c r="F679" s="491" t="n"/>
      <c r="G679" s="491" t="n"/>
      <c r="H679" s="491" t="n"/>
      <c r="I679" s="491" t="n"/>
      <c r="J679" s="491" t="n"/>
      <c r="K679" s="491" t="n"/>
      <c r="L679" s="491" t="n"/>
      <c r="M679" s="491" t="n"/>
      <c r="N679" s="491" t="n"/>
      <c r="O679" s="491" t="n"/>
      <c r="P679" s="491" t="n"/>
      <c r="Q679" s="491" t="n"/>
      <c r="R679" s="491" t="n"/>
      <c r="S679" s="491" t="n"/>
      <c r="T679" s="491" t="n"/>
      <c r="U679" s="491" t="n"/>
      <c r="V679" s="491" t="n"/>
      <c r="W679" s="491" t="n"/>
      <c r="X679" s="491" t="n"/>
      <c r="Y679" s="491" t="n"/>
    </row>
    <row r="680" ht="12.75" customHeight="1" s="398">
      <c r="A680" s="491" t="n"/>
      <c r="B680" s="491" t="n"/>
      <c r="C680" s="491" t="n"/>
      <c r="D680" s="491" t="n"/>
      <c r="E680" s="491" t="n"/>
      <c r="F680" s="491" t="n"/>
      <c r="G680" s="491" t="n"/>
      <c r="H680" s="491" t="n"/>
      <c r="I680" s="491" t="n"/>
      <c r="J680" s="491" t="n"/>
      <c r="K680" s="491" t="n"/>
      <c r="L680" s="491" t="n"/>
      <c r="M680" s="491" t="n"/>
      <c r="N680" s="491" t="n"/>
      <c r="O680" s="491" t="n"/>
      <c r="P680" s="491" t="n"/>
      <c r="Q680" s="491" t="n"/>
      <c r="R680" s="491" t="n"/>
      <c r="S680" s="491" t="n"/>
      <c r="T680" s="491" t="n"/>
      <c r="U680" s="491" t="n"/>
      <c r="V680" s="491" t="n"/>
      <c r="W680" s="491" t="n"/>
      <c r="X680" s="491" t="n"/>
      <c r="Y680" s="491" t="n"/>
    </row>
    <row r="681" ht="12.75" customHeight="1" s="398">
      <c r="A681" s="491" t="n"/>
      <c r="B681" s="491" t="n"/>
      <c r="C681" s="491" t="n"/>
      <c r="D681" s="491" t="n"/>
      <c r="E681" s="491" t="n"/>
      <c r="F681" s="491" t="n"/>
      <c r="G681" s="491" t="n"/>
      <c r="H681" s="491" t="n"/>
      <c r="I681" s="491" t="n"/>
      <c r="J681" s="491" t="n"/>
      <c r="K681" s="491" t="n"/>
      <c r="L681" s="491" t="n"/>
      <c r="M681" s="491" t="n"/>
      <c r="N681" s="491" t="n"/>
      <c r="O681" s="491" t="n"/>
      <c r="P681" s="491" t="n"/>
      <c r="Q681" s="491" t="n"/>
      <c r="R681" s="491" t="n"/>
      <c r="S681" s="491" t="n"/>
      <c r="T681" s="491" t="n"/>
      <c r="U681" s="491" t="n"/>
      <c r="V681" s="491" t="n"/>
      <c r="W681" s="491" t="n"/>
      <c r="X681" s="491" t="n"/>
      <c r="Y681" s="491" t="n"/>
    </row>
    <row r="682" ht="12.75" customHeight="1" s="398">
      <c r="A682" s="491" t="n"/>
      <c r="B682" s="491" t="n"/>
      <c r="C682" s="491" t="n"/>
      <c r="D682" s="491" t="n"/>
      <c r="E682" s="491" t="n"/>
      <c r="F682" s="491" t="n"/>
      <c r="G682" s="491" t="n"/>
      <c r="H682" s="491" t="n"/>
      <c r="I682" s="491" t="n"/>
      <c r="J682" s="491" t="n"/>
      <c r="K682" s="491" t="n"/>
      <c r="L682" s="491" t="n"/>
      <c r="M682" s="491" t="n"/>
      <c r="N682" s="491" t="n"/>
      <c r="O682" s="491" t="n"/>
      <c r="P682" s="491" t="n"/>
      <c r="Q682" s="491" t="n"/>
      <c r="R682" s="491" t="n"/>
      <c r="S682" s="491" t="n"/>
      <c r="T682" s="491" t="n"/>
      <c r="U682" s="491" t="n"/>
      <c r="V682" s="491" t="n"/>
      <c r="W682" s="491" t="n"/>
      <c r="X682" s="491" t="n"/>
      <c r="Y682" s="491" t="n"/>
    </row>
    <row r="683" ht="12.75" customHeight="1" s="398">
      <c r="A683" s="491" t="n"/>
      <c r="B683" s="491" t="n"/>
      <c r="C683" s="491" t="n"/>
      <c r="D683" s="491" t="n"/>
      <c r="E683" s="491" t="n"/>
      <c r="F683" s="491" t="n"/>
      <c r="G683" s="491" t="n"/>
      <c r="H683" s="491" t="n"/>
      <c r="I683" s="491" t="n"/>
      <c r="J683" s="491" t="n"/>
      <c r="K683" s="491" t="n"/>
      <c r="L683" s="491" t="n"/>
      <c r="M683" s="491" t="n"/>
      <c r="N683" s="491" t="n"/>
      <c r="O683" s="491" t="n"/>
      <c r="P683" s="491" t="n"/>
      <c r="Q683" s="491" t="n"/>
      <c r="R683" s="491" t="n"/>
      <c r="S683" s="491" t="n"/>
      <c r="T683" s="491" t="n"/>
      <c r="U683" s="491" t="n"/>
      <c r="V683" s="491" t="n"/>
      <c r="W683" s="491" t="n"/>
      <c r="X683" s="491" t="n"/>
      <c r="Y683" s="491" t="n"/>
    </row>
    <row r="684" ht="12.75" customHeight="1" s="398">
      <c r="A684" s="491" t="n"/>
      <c r="B684" s="491" t="n"/>
      <c r="C684" s="491" t="n"/>
      <c r="D684" s="491" t="n"/>
      <c r="E684" s="491" t="n"/>
      <c r="F684" s="491" t="n"/>
      <c r="G684" s="491" t="n"/>
      <c r="H684" s="491" t="n"/>
      <c r="I684" s="491" t="n"/>
      <c r="J684" s="491" t="n"/>
      <c r="K684" s="491" t="n"/>
      <c r="L684" s="491" t="n"/>
      <c r="M684" s="491" t="n"/>
      <c r="N684" s="491" t="n"/>
      <c r="O684" s="491" t="n"/>
      <c r="P684" s="491" t="n"/>
      <c r="Q684" s="491" t="n"/>
      <c r="R684" s="491" t="n"/>
      <c r="S684" s="491" t="n"/>
      <c r="T684" s="491" t="n"/>
      <c r="U684" s="491" t="n"/>
      <c r="V684" s="491" t="n"/>
      <c r="W684" s="491" t="n"/>
      <c r="X684" s="491" t="n"/>
      <c r="Y684" s="491" t="n"/>
    </row>
    <row r="685" ht="12.75" customHeight="1" s="398">
      <c r="A685" s="491" t="n"/>
      <c r="B685" s="491" t="n"/>
      <c r="C685" s="491" t="n"/>
      <c r="D685" s="491" t="n"/>
      <c r="E685" s="491" t="n"/>
      <c r="F685" s="491" t="n"/>
      <c r="G685" s="491" t="n"/>
      <c r="H685" s="491" t="n"/>
      <c r="I685" s="491" t="n"/>
      <c r="J685" s="491" t="n"/>
      <c r="K685" s="491" t="n"/>
      <c r="L685" s="491" t="n"/>
      <c r="M685" s="491" t="n"/>
      <c r="N685" s="491" t="n"/>
      <c r="O685" s="491" t="n"/>
      <c r="P685" s="491" t="n"/>
      <c r="Q685" s="491" t="n"/>
      <c r="R685" s="491" t="n"/>
      <c r="S685" s="491" t="n"/>
      <c r="T685" s="491" t="n"/>
      <c r="U685" s="491" t="n"/>
      <c r="V685" s="491" t="n"/>
      <c r="W685" s="491" t="n"/>
      <c r="X685" s="491" t="n"/>
      <c r="Y685" s="491" t="n"/>
    </row>
    <row r="686" ht="12.75" customHeight="1" s="398">
      <c r="A686" s="491" t="n"/>
      <c r="B686" s="491" t="n"/>
      <c r="C686" s="491" t="n"/>
      <c r="D686" s="491" t="n"/>
      <c r="E686" s="491" t="n"/>
      <c r="F686" s="491" t="n"/>
      <c r="G686" s="491" t="n"/>
      <c r="H686" s="491" t="n"/>
      <c r="I686" s="491" t="n"/>
      <c r="J686" s="491" t="n"/>
      <c r="K686" s="491" t="n"/>
      <c r="L686" s="491" t="n"/>
      <c r="M686" s="491" t="n"/>
      <c r="N686" s="491" t="n"/>
      <c r="O686" s="491" t="n"/>
      <c r="P686" s="491" t="n"/>
      <c r="Q686" s="491" t="n"/>
      <c r="R686" s="491" t="n"/>
      <c r="S686" s="491" t="n"/>
      <c r="T686" s="491" t="n"/>
      <c r="U686" s="491" t="n"/>
      <c r="V686" s="491" t="n"/>
      <c r="W686" s="491" t="n"/>
      <c r="X686" s="491" t="n"/>
      <c r="Y686" s="491" t="n"/>
    </row>
    <row r="687" ht="12.75" customHeight="1" s="398">
      <c r="A687" s="491" t="n"/>
      <c r="B687" s="491" t="n"/>
      <c r="C687" s="491" t="n"/>
      <c r="D687" s="491" t="n"/>
      <c r="E687" s="491" t="n"/>
      <c r="F687" s="491" t="n"/>
      <c r="G687" s="491" t="n"/>
      <c r="H687" s="491" t="n"/>
      <c r="I687" s="491" t="n"/>
      <c r="J687" s="491" t="n"/>
      <c r="K687" s="491" t="n"/>
      <c r="L687" s="491" t="n"/>
      <c r="M687" s="491" t="n"/>
      <c r="N687" s="491" t="n"/>
      <c r="O687" s="491" t="n"/>
      <c r="P687" s="491" t="n"/>
      <c r="Q687" s="491" t="n"/>
      <c r="R687" s="491" t="n"/>
      <c r="S687" s="491" t="n"/>
      <c r="T687" s="491" t="n"/>
      <c r="U687" s="491" t="n"/>
      <c r="V687" s="491" t="n"/>
      <c r="W687" s="491" t="n"/>
      <c r="X687" s="491" t="n"/>
      <c r="Y687" s="491" t="n"/>
    </row>
    <row r="688" ht="12.75" customHeight="1" s="398">
      <c r="A688" s="491" t="n"/>
      <c r="B688" s="491" t="n"/>
      <c r="C688" s="491" t="n"/>
      <c r="D688" s="491" t="n"/>
      <c r="E688" s="491" t="n"/>
      <c r="F688" s="491" t="n"/>
      <c r="G688" s="491" t="n"/>
      <c r="H688" s="491" t="n"/>
      <c r="I688" s="491" t="n"/>
      <c r="J688" s="491" t="n"/>
      <c r="K688" s="491" t="n"/>
      <c r="L688" s="491" t="n"/>
      <c r="M688" s="491" t="n"/>
      <c r="N688" s="491" t="n"/>
      <c r="O688" s="491" t="n"/>
      <c r="P688" s="491" t="n"/>
      <c r="Q688" s="491" t="n"/>
      <c r="R688" s="491" t="n"/>
      <c r="S688" s="491" t="n"/>
      <c r="T688" s="491" t="n"/>
      <c r="U688" s="491" t="n"/>
      <c r="V688" s="491" t="n"/>
      <c r="W688" s="491" t="n"/>
      <c r="X688" s="491" t="n"/>
      <c r="Y688" s="491" t="n"/>
    </row>
    <row r="689" ht="12.75" customHeight="1" s="398">
      <c r="A689" s="491" t="n"/>
      <c r="B689" s="491" t="n"/>
      <c r="C689" s="491" t="n"/>
      <c r="D689" s="491" t="n"/>
      <c r="E689" s="491" t="n"/>
      <c r="F689" s="491" t="n"/>
      <c r="G689" s="491" t="n"/>
      <c r="H689" s="491" t="n"/>
      <c r="I689" s="491" t="n"/>
      <c r="J689" s="491" t="n"/>
      <c r="K689" s="491" t="n"/>
      <c r="L689" s="491" t="n"/>
      <c r="M689" s="491" t="n"/>
      <c r="N689" s="491" t="n"/>
      <c r="O689" s="491" t="n"/>
      <c r="P689" s="491" t="n"/>
      <c r="Q689" s="491" t="n"/>
      <c r="R689" s="491" t="n"/>
      <c r="S689" s="491" t="n"/>
      <c r="T689" s="491" t="n"/>
      <c r="U689" s="491" t="n"/>
      <c r="V689" s="491" t="n"/>
      <c r="W689" s="491" t="n"/>
      <c r="X689" s="491" t="n"/>
      <c r="Y689" s="491" t="n"/>
    </row>
    <row r="690" ht="12.75" customHeight="1" s="398">
      <c r="A690" s="491" t="n"/>
      <c r="B690" s="491" t="n"/>
      <c r="C690" s="491" t="n"/>
      <c r="D690" s="491" t="n"/>
      <c r="E690" s="491" t="n"/>
      <c r="F690" s="491" t="n"/>
      <c r="G690" s="491" t="n"/>
      <c r="H690" s="491" t="n"/>
      <c r="I690" s="491" t="n"/>
      <c r="J690" s="491" t="n"/>
      <c r="K690" s="491" t="n"/>
      <c r="L690" s="491" t="n"/>
      <c r="M690" s="491" t="n"/>
      <c r="N690" s="491" t="n"/>
      <c r="O690" s="491" t="n"/>
      <c r="P690" s="491" t="n"/>
      <c r="Q690" s="491" t="n"/>
      <c r="R690" s="491" t="n"/>
      <c r="S690" s="491" t="n"/>
      <c r="T690" s="491" t="n"/>
      <c r="U690" s="491" t="n"/>
      <c r="V690" s="491" t="n"/>
      <c r="W690" s="491" t="n"/>
      <c r="X690" s="491" t="n"/>
      <c r="Y690" s="491" t="n"/>
    </row>
    <row r="691" ht="12.75" customHeight="1" s="398">
      <c r="A691" s="491" t="n"/>
      <c r="B691" s="491" t="n"/>
      <c r="C691" s="491" t="n"/>
      <c r="D691" s="491" t="n"/>
      <c r="E691" s="491" t="n"/>
      <c r="F691" s="491" t="n"/>
      <c r="G691" s="491" t="n"/>
      <c r="H691" s="491" t="n"/>
      <c r="I691" s="491" t="n"/>
      <c r="J691" s="491" t="n"/>
      <c r="K691" s="491" t="n"/>
      <c r="L691" s="491" t="n"/>
      <c r="M691" s="491" t="n"/>
      <c r="N691" s="491" t="n"/>
      <c r="O691" s="491" t="n"/>
      <c r="P691" s="491" t="n"/>
      <c r="Q691" s="491" t="n"/>
      <c r="R691" s="491" t="n"/>
      <c r="S691" s="491" t="n"/>
      <c r="T691" s="491" t="n"/>
      <c r="U691" s="491" t="n"/>
      <c r="V691" s="491" t="n"/>
      <c r="W691" s="491" t="n"/>
      <c r="X691" s="491" t="n"/>
      <c r="Y691" s="491" t="n"/>
    </row>
    <row r="692" ht="12.75" customHeight="1" s="398">
      <c r="A692" s="491" t="n"/>
      <c r="B692" s="491" t="n"/>
      <c r="C692" s="491" t="n"/>
      <c r="D692" s="491" t="n"/>
      <c r="E692" s="491" t="n"/>
      <c r="F692" s="491" t="n"/>
      <c r="G692" s="491" t="n"/>
      <c r="H692" s="491" t="n"/>
      <c r="I692" s="491" t="n"/>
      <c r="J692" s="491" t="n"/>
      <c r="K692" s="491" t="n"/>
      <c r="L692" s="491" t="n"/>
      <c r="M692" s="491" t="n"/>
      <c r="N692" s="491" t="n"/>
      <c r="O692" s="491" t="n"/>
      <c r="P692" s="491" t="n"/>
      <c r="Q692" s="491" t="n"/>
      <c r="R692" s="491" t="n"/>
      <c r="S692" s="491" t="n"/>
      <c r="T692" s="491" t="n"/>
      <c r="U692" s="491" t="n"/>
      <c r="V692" s="491" t="n"/>
      <c r="W692" s="491" t="n"/>
      <c r="X692" s="491" t="n"/>
      <c r="Y692" s="491" t="n"/>
    </row>
    <row r="693" ht="12.75" customHeight="1" s="398">
      <c r="A693" s="491" t="n"/>
      <c r="B693" s="491" t="n"/>
      <c r="C693" s="491" t="n"/>
      <c r="D693" s="491" t="n"/>
      <c r="E693" s="491" t="n"/>
      <c r="F693" s="491" t="n"/>
      <c r="G693" s="491" t="n"/>
      <c r="H693" s="491" t="n"/>
      <c r="I693" s="491" t="n"/>
      <c r="J693" s="491" t="n"/>
      <c r="K693" s="491" t="n"/>
      <c r="L693" s="491" t="n"/>
      <c r="M693" s="491" t="n"/>
      <c r="N693" s="491" t="n"/>
      <c r="O693" s="491" t="n"/>
      <c r="P693" s="491" t="n"/>
      <c r="Q693" s="491" t="n"/>
      <c r="R693" s="491" t="n"/>
      <c r="S693" s="491" t="n"/>
      <c r="T693" s="491" t="n"/>
      <c r="U693" s="491" t="n"/>
      <c r="V693" s="491" t="n"/>
      <c r="W693" s="491" t="n"/>
      <c r="X693" s="491" t="n"/>
      <c r="Y693" s="491" t="n"/>
    </row>
    <row r="694" ht="12.75" customHeight="1" s="398">
      <c r="A694" s="491" t="n"/>
      <c r="B694" s="491" t="n"/>
      <c r="C694" s="491" t="n"/>
      <c r="D694" s="491" t="n"/>
      <c r="E694" s="491" t="n"/>
      <c r="F694" s="491" t="n"/>
      <c r="G694" s="491" t="n"/>
      <c r="H694" s="491" t="n"/>
      <c r="I694" s="491" t="n"/>
      <c r="J694" s="491" t="n"/>
      <c r="K694" s="491" t="n"/>
      <c r="L694" s="491" t="n"/>
      <c r="M694" s="491" t="n"/>
      <c r="N694" s="491" t="n"/>
      <c r="O694" s="491" t="n"/>
      <c r="P694" s="491" t="n"/>
      <c r="Q694" s="491" t="n"/>
      <c r="R694" s="491" t="n"/>
      <c r="S694" s="491" t="n"/>
      <c r="T694" s="491" t="n"/>
      <c r="U694" s="491" t="n"/>
      <c r="V694" s="491" t="n"/>
      <c r="W694" s="491" t="n"/>
      <c r="X694" s="491" t="n"/>
      <c r="Y694" s="491" t="n"/>
    </row>
    <row r="695" ht="12.75" customHeight="1" s="398">
      <c r="A695" s="491" t="n"/>
      <c r="B695" s="491" t="n"/>
      <c r="C695" s="491" t="n"/>
      <c r="D695" s="491" t="n"/>
      <c r="E695" s="491" t="n"/>
      <c r="F695" s="491" t="n"/>
      <c r="G695" s="491" t="n"/>
      <c r="H695" s="491" t="n"/>
      <c r="I695" s="491" t="n"/>
      <c r="J695" s="491" t="n"/>
      <c r="K695" s="491" t="n"/>
      <c r="L695" s="491" t="n"/>
      <c r="M695" s="491" t="n"/>
      <c r="N695" s="491" t="n"/>
      <c r="O695" s="491" t="n"/>
      <c r="P695" s="491" t="n"/>
      <c r="Q695" s="491" t="n"/>
      <c r="R695" s="491" t="n"/>
      <c r="S695" s="491" t="n"/>
      <c r="T695" s="491" t="n"/>
      <c r="U695" s="491" t="n"/>
      <c r="V695" s="491" t="n"/>
      <c r="W695" s="491" t="n"/>
      <c r="X695" s="491" t="n"/>
      <c r="Y695" s="491" t="n"/>
    </row>
    <row r="696" ht="12.75" customHeight="1" s="398">
      <c r="A696" s="491" t="n"/>
      <c r="B696" s="491" t="n"/>
      <c r="C696" s="491" t="n"/>
      <c r="D696" s="491" t="n"/>
      <c r="E696" s="491" t="n"/>
      <c r="F696" s="491" t="n"/>
      <c r="G696" s="491" t="n"/>
      <c r="H696" s="491" t="n"/>
      <c r="I696" s="491" t="n"/>
      <c r="J696" s="491" t="n"/>
      <c r="K696" s="491" t="n"/>
      <c r="L696" s="491" t="n"/>
      <c r="M696" s="491" t="n"/>
      <c r="N696" s="491" t="n"/>
      <c r="O696" s="491" t="n"/>
      <c r="P696" s="491" t="n"/>
      <c r="Q696" s="491" t="n"/>
      <c r="R696" s="491" t="n"/>
      <c r="S696" s="491" t="n"/>
      <c r="T696" s="491" t="n"/>
      <c r="U696" s="491" t="n"/>
      <c r="V696" s="491" t="n"/>
      <c r="W696" s="491" t="n"/>
      <c r="X696" s="491" t="n"/>
      <c r="Y696" s="491" t="n"/>
    </row>
    <row r="697" ht="12.75" customHeight="1" s="398">
      <c r="A697" s="491" t="n"/>
      <c r="B697" s="491" t="n"/>
      <c r="C697" s="491" t="n"/>
      <c r="D697" s="491" t="n"/>
      <c r="E697" s="491" t="n"/>
      <c r="F697" s="491" t="n"/>
      <c r="G697" s="491" t="n"/>
      <c r="H697" s="491" t="n"/>
      <c r="I697" s="491" t="n"/>
      <c r="J697" s="491" t="n"/>
      <c r="K697" s="491" t="n"/>
      <c r="L697" s="491" t="n"/>
      <c r="M697" s="491" t="n"/>
      <c r="N697" s="491" t="n"/>
      <c r="O697" s="491" t="n"/>
      <c r="P697" s="491" t="n"/>
      <c r="Q697" s="491" t="n"/>
      <c r="R697" s="491" t="n"/>
      <c r="S697" s="491" t="n"/>
      <c r="T697" s="491" t="n"/>
      <c r="U697" s="491" t="n"/>
      <c r="V697" s="491" t="n"/>
      <c r="W697" s="491" t="n"/>
      <c r="X697" s="491" t="n"/>
      <c r="Y697" s="491" t="n"/>
    </row>
    <row r="698" ht="12.75" customHeight="1" s="398">
      <c r="A698" s="491" t="n"/>
      <c r="B698" s="491" t="n"/>
      <c r="C698" s="491" t="n"/>
      <c r="D698" s="491" t="n"/>
      <c r="E698" s="491" t="n"/>
      <c r="F698" s="491" t="n"/>
      <c r="G698" s="491" t="n"/>
      <c r="H698" s="491" t="n"/>
      <c r="I698" s="491" t="n"/>
      <c r="J698" s="491" t="n"/>
      <c r="K698" s="491" t="n"/>
      <c r="L698" s="491" t="n"/>
      <c r="M698" s="491" t="n"/>
      <c r="N698" s="491" t="n"/>
      <c r="O698" s="491" t="n"/>
      <c r="P698" s="491" t="n"/>
      <c r="Q698" s="491" t="n"/>
      <c r="R698" s="491" t="n"/>
      <c r="S698" s="491" t="n"/>
      <c r="T698" s="491" t="n"/>
      <c r="U698" s="491" t="n"/>
      <c r="V698" s="491" t="n"/>
      <c r="W698" s="491" t="n"/>
      <c r="X698" s="491" t="n"/>
      <c r="Y698" s="491" t="n"/>
    </row>
    <row r="699" ht="12.75" customHeight="1" s="398">
      <c r="A699" s="491" t="n"/>
      <c r="B699" s="491" t="n"/>
      <c r="C699" s="491" t="n"/>
      <c r="D699" s="491" t="n"/>
      <c r="E699" s="491" t="n"/>
      <c r="F699" s="491" t="n"/>
      <c r="G699" s="491" t="n"/>
      <c r="H699" s="491" t="n"/>
      <c r="I699" s="491" t="n"/>
      <c r="J699" s="491" t="n"/>
      <c r="K699" s="491" t="n"/>
      <c r="L699" s="491" t="n"/>
      <c r="M699" s="491" t="n"/>
      <c r="N699" s="491" t="n"/>
      <c r="O699" s="491" t="n"/>
      <c r="P699" s="491" t="n"/>
      <c r="Q699" s="491" t="n"/>
      <c r="R699" s="491" t="n"/>
      <c r="S699" s="491" t="n"/>
      <c r="T699" s="491" t="n"/>
      <c r="U699" s="491" t="n"/>
      <c r="V699" s="491" t="n"/>
      <c r="W699" s="491" t="n"/>
      <c r="X699" s="491" t="n"/>
      <c r="Y699" s="491" t="n"/>
    </row>
    <row r="700" ht="12.75" customHeight="1" s="398">
      <c r="A700" s="491" t="n"/>
      <c r="B700" s="491" t="n"/>
      <c r="C700" s="491" t="n"/>
      <c r="D700" s="491" t="n"/>
      <c r="E700" s="491" t="n"/>
      <c r="F700" s="491" t="n"/>
      <c r="G700" s="491" t="n"/>
      <c r="H700" s="491" t="n"/>
      <c r="I700" s="491" t="n"/>
      <c r="J700" s="491" t="n"/>
      <c r="K700" s="491" t="n"/>
      <c r="L700" s="491" t="n"/>
      <c r="M700" s="491" t="n"/>
      <c r="N700" s="491" t="n"/>
      <c r="O700" s="491" t="n"/>
      <c r="P700" s="491" t="n"/>
      <c r="Q700" s="491" t="n"/>
      <c r="R700" s="491" t="n"/>
      <c r="S700" s="491" t="n"/>
      <c r="T700" s="491" t="n"/>
      <c r="U700" s="491" t="n"/>
      <c r="V700" s="491" t="n"/>
      <c r="W700" s="491" t="n"/>
      <c r="X700" s="491" t="n"/>
      <c r="Y700" s="491" t="n"/>
    </row>
    <row r="701" ht="12.75" customHeight="1" s="398">
      <c r="A701" s="491" t="n"/>
      <c r="B701" s="491" t="n"/>
      <c r="C701" s="491" t="n"/>
      <c r="D701" s="491" t="n"/>
      <c r="E701" s="491" t="n"/>
      <c r="F701" s="491" t="n"/>
      <c r="G701" s="491" t="n"/>
      <c r="H701" s="491" t="n"/>
      <c r="I701" s="491" t="n"/>
      <c r="J701" s="491" t="n"/>
      <c r="K701" s="491" t="n"/>
      <c r="L701" s="491" t="n"/>
      <c r="M701" s="491" t="n"/>
      <c r="N701" s="491" t="n"/>
      <c r="O701" s="491" t="n"/>
      <c r="P701" s="491" t="n"/>
      <c r="Q701" s="491" t="n"/>
      <c r="R701" s="491" t="n"/>
      <c r="S701" s="491" t="n"/>
      <c r="T701" s="491" t="n"/>
      <c r="U701" s="491" t="n"/>
      <c r="V701" s="491" t="n"/>
      <c r="W701" s="491" t="n"/>
      <c r="X701" s="491" t="n"/>
      <c r="Y701" s="491" t="n"/>
    </row>
    <row r="702" ht="12.75" customHeight="1" s="398">
      <c r="A702" s="491" t="n"/>
      <c r="B702" s="491" t="n"/>
      <c r="C702" s="491" t="n"/>
      <c r="D702" s="491" t="n"/>
      <c r="E702" s="491" t="n"/>
      <c r="F702" s="491" t="n"/>
      <c r="G702" s="491" t="n"/>
      <c r="H702" s="491" t="n"/>
      <c r="I702" s="491" t="n"/>
      <c r="J702" s="491" t="n"/>
      <c r="K702" s="491" t="n"/>
      <c r="L702" s="491" t="n"/>
      <c r="M702" s="491" t="n"/>
      <c r="N702" s="491" t="n"/>
      <c r="O702" s="491" t="n"/>
      <c r="P702" s="491" t="n"/>
      <c r="Q702" s="491" t="n"/>
      <c r="R702" s="491" t="n"/>
      <c r="S702" s="491" t="n"/>
      <c r="T702" s="491" t="n"/>
      <c r="U702" s="491" t="n"/>
      <c r="V702" s="491" t="n"/>
      <c r="W702" s="491" t="n"/>
      <c r="X702" s="491" t="n"/>
      <c r="Y702" s="491" t="n"/>
    </row>
    <row r="703" ht="12.75" customHeight="1" s="398">
      <c r="A703" s="491" t="n"/>
      <c r="B703" s="491" t="n"/>
      <c r="C703" s="491" t="n"/>
      <c r="D703" s="491" t="n"/>
      <c r="E703" s="491" t="n"/>
      <c r="F703" s="491" t="n"/>
      <c r="G703" s="491" t="n"/>
      <c r="H703" s="491" t="n"/>
      <c r="I703" s="491" t="n"/>
      <c r="J703" s="491" t="n"/>
      <c r="K703" s="491" t="n"/>
      <c r="L703" s="491" t="n"/>
      <c r="M703" s="491" t="n"/>
      <c r="N703" s="491" t="n"/>
      <c r="O703" s="491" t="n"/>
      <c r="P703" s="491" t="n"/>
      <c r="Q703" s="491" t="n"/>
      <c r="R703" s="491" t="n"/>
      <c r="S703" s="491" t="n"/>
      <c r="T703" s="491" t="n"/>
      <c r="U703" s="491" t="n"/>
      <c r="V703" s="491" t="n"/>
      <c r="W703" s="491" t="n"/>
      <c r="X703" s="491" t="n"/>
      <c r="Y703" s="491" t="n"/>
    </row>
    <row r="704" ht="12.75" customHeight="1" s="398">
      <c r="A704" s="491" t="n"/>
      <c r="B704" s="491" t="n"/>
      <c r="C704" s="491" t="n"/>
      <c r="D704" s="491" t="n"/>
      <c r="E704" s="491" t="n"/>
      <c r="F704" s="491" t="n"/>
      <c r="G704" s="491" t="n"/>
      <c r="H704" s="491" t="n"/>
      <c r="I704" s="491" t="n"/>
      <c r="J704" s="491" t="n"/>
      <c r="K704" s="491" t="n"/>
      <c r="L704" s="491" t="n"/>
      <c r="M704" s="491" t="n"/>
      <c r="N704" s="491" t="n"/>
      <c r="O704" s="491" t="n"/>
      <c r="P704" s="491" t="n"/>
      <c r="Q704" s="491" t="n"/>
      <c r="R704" s="491" t="n"/>
      <c r="S704" s="491" t="n"/>
      <c r="T704" s="491" t="n"/>
      <c r="U704" s="491" t="n"/>
      <c r="V704" s="491" t="n"/>
      <c r="W704" s="491" t="n"/>
      <c r="X704" s="491" t="n"/>
      <c r="Y704" s="491" t="n"/>
    </row>
    <row r="705" ht="12.75" customHeight="1" s="398">
      <c r="A705" s="491" t="n"/>
      <c r="B705" s="491" t="n"/>
      <c r="C705" s="491" t="n"/>
      <c r="D705" s="491" t="n"/>
      <c r="E705" s="491" t="n"/>
      <c r="F705" s="491" t="n"/>
      <c r="G705" s="491" t="n"/>
      <c r="H705" s="491" t="n"/>
      <c r="I705" s="491" t="n"/>
      <c r="J705" s="491" t="n"/>
      <c r="K705" s="491" t="n"/>
      <c r="L705" s="491" t="n"/>
      <c r="M705" s="491" t="n"/>
      <c r="N705" s="491" t="n"/>
      <c r="O705" s="491" t="n"/>
      <c r="P705" s="491" t="n"/>
      <c r="Q705" s="491" t="n"/>
      <c r="R705" s="491" t="n"/>
      <c r="S705" s="491" t="n"/>
      <c r="T705" s="491" t="n"/>
      <c r="U705" s="491" t="n"/>
      <c r="V705" s="491" t="n"/>
      <c r="W705" s="491" t="n"/>
      <c r="X705" s="491" t="n"/>
      <c r="Y705" s="491" t="n"/>
    </row>
    <row r="706" ht="12.75" customHeight="1" s="398">
      <c r="A706" s="491" t="n"/>
      <c r="B706" s="491" t="n"/>
      <c r="C706" s="491" t="n"/>
      <c r="D706" s="491" t="n"/>
      <c r="E706" s="491" t="n"/>
      <c r="F706" s="491" t="n"/>
      <c r="G706" s="491" t="n"/>
      <c r="H706" s="491" t="n"/>
      <c r="I706" s="491" t="n"/>
      <c r="J706" s="491" t="n"/>
      <c r="K706" s="491" t="n"/>
      <c r="L706" s="491" t="n"/>
      <c r="M706" s="491" t="n"/>
      <c r="N706" s="491" t="n"/>
      <c r="O706" s="491" t="n"/>
      <c r="P706" s="491" t="n"/>
      <c r="Q706" s="491" t="n"/>
      <c r="R706" s="491" t="n"/>
      <c r="S706" s="491" t="n"/>
      <c r="T706" s="491" t="n"/>
      <c r="U706" s="491" t="n"/>
      <c r="V706" s="491" t="n"/>
      <c r="W706" s="491" t="n"/>
      <c r="X706" s="491" t="n"/>
      <c r="Y706" s="491" t="n"/>
    </row>
    <row r="707" ht="12.75" customHeight="1" s="398">
      <c r="A707" s="491" t="n"/>
      <c r="B707" s="491" t="n"/>
      <c r="C707" s="491" t="n"/>
      <c r="D707" s="491" t="n"/>
      <c r="E707" s="491" t="n"/>
      <c r="F707" s="491" t="n"/>
      <c r="G707" s="491" t="n"/>
      <c r="H707" s="491" t="n"/>
      <c r="I707" s="491" t="n"/>
      <c r="J707" s="491" t="n"/>
      <c r="K707" s="491" t="n"/>
      <c r="L707" s="491" t="n"/>
      <c r="M707" s="491" t="n"/>
      <c r="N707" s="491" t="n"/>
      <c r="O707" s="491" t="n"/>
      <c r="P707" s="491" t="n"/>
      <c r="Q707" s="491" t="n"/>
      <c r="R707" s="491" t="n"/>
      <c r="S707" s="491" t="n"/>
      <c r="T707" s="491" t="n"/>
      <c r="U707" s="491" t="n"/>
      <c r="V707" s="491" t="n"/>
      <c r="W707" s="491" t="n"/>
      <c r="X707" s="491" t="n"/>
      <c r="Y707" s="491" t="n"/>
    </row>
    <row r="708" ht="12.75" customHeight="1" s="398">
      <c r="A708" s="491" t="n"/>
      <c r="B708" s="491" t="n"/>
      <c r="C708" s="491" t="n"/>
      <c r="D708" s="491" t="n"/>
      <c r="E708" s="491" t="n"/>
      <c r="F708" s="491" t="n"/>
      <c r="G708" s="491" t="n"/>
      <c r="H708" s="491" t="n"/>
      <c r="I708" s="491" t="n"/>
      <c r="J708" s="491" t="n"/>
      <c r="K708" s="491" t="n"/>
      <c r="L708" s="491" t="n"/>
      <c r="M708" s="491" t="n"/>
      <c r="N708" s="491" t="n"/>
      <c r="O708" s="491" t="n"/>
      <c r="P708" s="491" t="n"/>
      <c r="Q708" s="491" t="n"/>
      <c r="R708" s="491" t="n"/>
      <c r="S708" s="491" t="n"/>
      <c r="T708" s="491" t="n"/>
      <c r="U708" s="491" t="n"/>
      <c r="V708" s="491" t="n"/>
      <c r="W708" s="491" t="n"/>
      <c r="X708" s="491" t="n"/>
      <c r="Y708" s="491" t="n"/>
    </row>
    <row r="709" ht="12.75" customHeight="1" s="398">
      <c r="A709" s="491" t="n"/>
      <c r="B709" s="491" t="n"/>
      <c r="C709" s="491" t="n"/>
      <c r="D709" s="491" t="n"/>
      <c r="E709" s="491" t="n"/>
      <c r="F709" s="491" t="n"/>
      <c r="G709" s="491" t="n"/>
      <c r="H709" s="491" t="n"/>
      <c r="I709" s="491" t="n"/>
      <c r="J709" s="491" t="n"/>
      <c r="K709" s="491" t="n"/>
      <c r="L709" s="491" t="n"/>
      <c r="M709" s="491" t="n"/>
      <c r="N709" s="491" t="n"/>
      <c r="O709" s="491" t="n"/>
      <c r="P709" s="491" t="n"/>
      <c r="Q709" s="491" t="n"/>
      <c r="R709" s="491" t="n"/>
      <c r="S709" s="491" t="n"/>
      <c r="T709" s="491" t="n"/>
      <c r="U709" s="491" t="n"/>
      <c r="V709" s="491" t="n"/>
      <c r="W709" s="491" t="n"/>
      <c r="X709" s="491" t="n"/>
      <c r="Y709" s="491" t="n"/>
    </row>
    <row r="710" ht="12.75" customHeight="1" s="398">
      <c r="A710" s="491" t="n"/>
      <c r="B710" s="491" t="n"/>
      <c r="C710" s="491" t="n"/>
      <c r="D710" s="491" t="n"/>
      <c r="E710" s="491" t="n"/>
      <c r="F710" s="491" t="n"/>
      <c r="G710" s="491" t="n"/>
      <c r="H710" s="491" t="n"/>
      <c r="I710" s="491" t="n"/>
      <c r="J710" s="491" t="n"/>
      <c r="K710" s="491" t="n"/>
      <c r="L710" s="491" t="n"/>
      <c r="M710" s="491" t="n"/>
      <c r="N710" s="491" t="n"/>
      <c r="O710" s="491" t="n"/>
      <c r="P710" s="491" t="n"/>
      <c r="Q710" s="491" t="n"/>
      <c r="R710" s="491" t="n"/>
      <c r="S710" s="491" t="n"/>
      <c r="T710" s="491" t="n"/>
      <c r="U710" s="491" t="n"/>
      <c r="V710" s="491" t="n"/>
      <c r="W710" s="491" t="n"/>
      <c r="X710" s="491" t="n"/>
      <c r="Y710" s="491" t="n"/>
    </row>
    <row r="711" ht="12.75" customHeight="1" s="398">
      <c r="A711" s="491" t="n"/>
      <c r="B711" s="491" t="n"/>
      <c r="C711" s="491" t="n"/>
      <c r="D711" s="491" t="n"/>
      <c r="E711" s="491" t="n"/>
      <c r="F711" s="491" t="n"/>
      <c r="G711" s="491" t="n"/>
      <c r="H711" s="491" t="n"/>
      <c r="I711" s="491" t="n"/>
      <c r="J711" s="491" t="n"/>
      <c r="K711" s="491" t="n"/>
      <c r="L711" s="491" t="n"/>
      <c r="M711" s="491" t="n"/>
      <c r="N711" s="491" t="n"/>
      <c r="O711" s="491" t="n"/>
      <c r="P711" s="491" t="n"/>
      <c r="Q711" s="491" t="n"/>
      <c r="R711" s="491" t="n"/>
      <c r="S711" s="491" t="n"/>
      <c r="T711" s="491" t="n"/>
      <c r="U711" s="491" t="n"/>
      <c r="V711" s="491" t="n"/>
      <c r="W711" s="491" t="n"/>
      <c r="X711" s="491" t="n"/>
      <c r="Y711" s="491" t="n"/>
    </row>
    <row r="712" ht="12.75" customHeight="1" s="398">
      <c r="A712" s="491" t="n"/>
      <c r="B712" s="491" t="n"/>
      <c r="C712" s="491" t="n"/>
      <c r="D712" s="491" t="n"/>
      <c r="E712" s="491" t="n"/>
      <c r="F712" s="491" t="n"/>
      <c r="G712" s="491" t="n"/>
      <c r="H712" s="491" t="n"/>
      <c r="I712" s="491" t="n"/>
      <c r="J712" s="491" t="n"/>
      <c r="K712" s="491" t="n"/>
      <c r="L712" s="491" t="n"/>
      <c r="M712" s="491" t="n"/>
      <c r="N712" s="491" t="n"/>
      <c r="O712" s="491" t="n"/>
      <c r="P712" s="491" t="n"/>
      <c r="Q712" s="491" t="n"/>
      <c r="R712" s="491" t="n"/>
      <c r="S712" s="491" t="n"/>
      <c r="T712" s="491" t="n"/>
      <c r="U712" s="491" t="n"/>
      <c r="V712" s="491" t="n"/>
      <c r="W712" s="491" t="n"/>
      <c r="X712" s="491" t="n"/>
      <c r="Y712" s="491" t="n"/>
    </row>
    <row r="713" ht="12.75" customHeight="1" s="398">
      <c r="A713" s="491" t="n"/>
      <c r="B713" s="491" t="n"/>
      <c r="C713" s="491" t="n"/>
      <c r="D713" s="491" t="n"/>
      <c r="E713" s="491" t="n"/>
      <c r="F713" s="491" t="n"/>
      <c r="G713" s="491" t="n"/>
      <c r="H713" s="491" t="n"/>
      <c r="I713" s="491" t="n"/>
      <c r="J713" s="491" t="n"/>
      <c r="K713" s="491" t="n"/>
      <c r="L713" s="491" t="n"/>
      <c r="M713" s="491" t="n"/>
      <c r="N713" s="491" t="n"/>
      <c r="O713" s="491" t="n"/>
      <c r="P713" s="491" t="n"/>
      <c r="Q713" s="491" t="n"/>
      <c r="R713" s="491" t="n"/>
      <c r="S713" s="491" t="n"/>
      <c r="T713" s="491" t="n"/>
      <c r="U713" s="491" t="n"/>
      <c r="V713" s="491" t="n"/>
      <c r="W713" s="491" t="n"/>
      <c r="X713" s="491" t="n"/>
      <c r="Y713" s="491" t="n"/>
    </row>
    <row r="714" ht="12.75" customHeight="1" s="398">
      <c r="A714" s="491" t="n"/>
      <c r="B714" s="491" t="n"/>
      <c r="C714" s="491" t="n"/>
      <c r="D714" s="491" t="n"/>
      <c r="E714" s="491" t="n"/>
      <c r="F714" s="491" t="n"/>
      <c r="G714" s="491" t="n"/>
      <c r="H714" s="491" t="n"/>
      <c r="I714" s="491" t="n"/>
      <c r="J714" s="491" t="n"/>
      <c r="K714" s="491" t="n"/>
      <c r="L714" s="491" t="n"/>
      <c r="M714" s="491" t="n"/>
      <c r="N714" s="491" t="n"/>
      <c r="O714" s="491" t="n"/>
      <c r="P714" s="491" t="n"/>
      <c r="Q714" s="491" t="n"/>
      <c r="R714" s="491" t="n"/>
      <c r="S714" s="491" t="n"/>
      <c r="T714" s="491" t="n"/>
      <c r="U714" s="491" t="n"/>
      <c r="V714" s="491" t="n"/>
      <c r="W714" s="491" t="n"/>
      <c r="X714" s="491" t="n"/>
      <c r="Y714" s="491" t="n"/>
    </row>
    <row r="715" ht="12.75" customHeight="1" s="398">
      <c r="A715" s="491" t="n"/>
      <c r="B715" s="491" t="n"/>
      <c r="C715" s="491" t="n"/>
      <c r="D715" s="491" t="n"/>
      <c r="E715" s="491" t="n"/>
      <c r="F715" s="491" t="n"/>
      <c r="G715" s="491" t="n"/>
      <c r="H715" s="491" t="n"/>
      <c r="I715" s="491" t="n"/>
      <c r="J715" s="491" t="n"/>
      <c r="K715" s="491" t="n"/>
      <c r="L715" s="491" t="n"/>
      <c r="M715" s="491" t="n"/>
      <c r="N715" s="491" t="n"/>
      <c r="O715" s="491" t="n"/>
      <c r="P715" s="491" t="n"/>
      <c r="Q715" s="491" t="n"/>
      <c r="R715" s="491" t="n"/>
      <c r="S715" s="491" t="n"/>
      <c r="T715" s="491" t="n"/>
      <c r="U715" s="491" t="n"/>
      <c r="V715" s="491" t="n"/>
      <c r="W715" s="491" t="n"/>
      <c r="X715" s="491" t="n"/>
      <c r="Y715" s="491" t="n"/>
    </row>
    <row r="716" ht="12.75" customHeight="1" s="398">
      <c r="A716" s="491" t="n"/>
      <c r="B716" s="491" t="n"/>
      <c r="C716" s="491" t="n"/>
      <c r="D716" s="491" t="n"/>
      <c r="E716" s="491" t="n"/>
      <c r="F716" s="491" t="n"/>
      <c r="G716" s="491" t="n"/>
      <c r="H716" s="491" t="n"/>
      <c r="I716" s="491" t="n"/>
      <c r="J716" s="491" t="n"/>
      <c r="K716" s="491" t="n"/>
      <c r="L716" s="491" t="n"/>
      <c r="M716" s="491" t="n"/>
      <c r="N716" s="491" t="n"/>
      <c r="O716" s="491" t="n"/>
      <c r="P716" s="491" t="n"/>
      <c r="Q716" s="491" t="n"/>
      <c r="R716" s="491" t="n"/>
      <c r="S716" s="491" t="n"/>
      <c r="T716" s="491" t="n"/>
      <c r="U716" s="491" t="n"/>
      <c r="V716" s="491" t="n"/>
      <c r="W716" s="491" t="n"/>
      <c r="X716" s="491" t="n"/>
      <c r="Y716" s="491" t="n"/>
    </row>
    <row r="717" ht="12.75" customHeight="1" s="398">
      <c r="A717" s="491" t="n"/>
      <c r="B717" s="491" t="n"/>
      <c r="C717" s="491" t="n"/>
      <c r="D717" s="491" t="n"/>
      <c r="E717" s="491" t="n"/>
      <c r="F717" s="491" t="n"/>
      <c r="G717" s="491" t="n"/>
      <c r="H717" s="491" t="n"/>
      <c r="I717" s="491" t="n"/>
      <c r="J717" s="491" t="n"/>
      <c r="K717" s="491" t="n"/>
      <c r="L717" s="491" t="n"/>
      <c r="M717" s="491" t="n"/>
      <c r="N717" s="491" t="n"/>
      <c r="O717" s="491" t="n"/>
      <c r="P717" s="491" t="n"/>
      <c r="Q717" s="491" t="n"/>
      <c r="R717" s="491" t="n"/>
      <c r="S717" s="491" t="n"/>
      <c r="T717" s="491" t="n"/>
      <c r="U717" s="491" t="n"/>
      <c r="V717" s="491" t="n"/>
      <c r="W717" s="491" t="n"/>
      <c r="X717" s="491" t="n"/>
      <c r="Y717" s="491" t="n"/>
    </row>
    <row r="718" ht="12.75" customHeight="1" s="398">
      <c r="A718" s="491" t="n"/>
      <c r="B718" s="491" t="n"/>
      <c r="C718" s="491" t="n"/>
      <c r="D718" s="491" t="n"/>
      <c r="E718" s="491" t="n"/>
      <c r="F718" s="491" t="n"/>
      <c r="G718" s="491" t="n"/>
      <c r="H718" s="491" t="n"/>
      <c r="I718" s="491" t="n"/>
      <c r="J718" s="491" t="n"/>
      <c r="K718" s="491" t="n"/>
      <c r="L718" s="491" t="n"/>
      <c r="M718" s="491" t="n"/>
      <c r="N718" s="491" t="n"/>
      <c r="O718" s="491" t="n"/>
      <c r="P718" s="491" t="n"/>
      <c r="Q718" s="491" t="n"/>
      <c r="R718" s="491" t="n"/>
      <c r="S718" s="491" t="n"/>
      <c r="T718" s="491" t="n"/>
      <c r="U718" s="491" t="n"/>
      <c r="V718" s="491" t="n"/>
      <c r="W718" s="491" t="n"/>
      <c r="X718" s="491" t="n"/>
      <c r="Y718" s="491" t="n"/>
    </row>
    <row r="719" ht="12.75" customHeight="1" s="398">
      <c r="A719" s="491" t="n"/>
      <c r="B719" s="491" t="n"/>
      <c r="C719" s="491" t="n"/>
      <c r="D719" s="491" t="n"/>
      <c r="E719" s="491" t="n"/>
      <c r="F719" s="491" t="n"/>
      <c r="G719" s="491" t="n"/>
      <c r="H719" s="491" t="n"/>
      <c r="I719" s="491" t="n"/>
      <c r="J719" s="491" t="n"/>
      <c r="K719" s="491" t="n"/>
      <c r="L719" s="491" t="n"/>
      <c r="M719" s="491" t="n"/>
      <c r="N719" s="491" t="n"/>
      <c r="O719" s="491" t="n"/>
      <c r="P719" s="491" t="n"/>
      <c r="Q719" s="491" t="n"/>
      <c r="R719" s="491" t="n"/>
      <c r="S719" s="491" t="n"/>
      <c r="T719" s="491" t="n"/>
      <c r="U719" s="491" t="n"/>
      <c r="V719" s="491" t="n"/>
      <c r="W719" s="491" t="n"/>
      <c r="X719" s="491" t="n"/>
      <c r="Y719" s="491" t="n"/>
    </row>
    <row r="720" ht="12.75" customHeight="1" s="398">
      <c r="A720" s="491" t="n"/>
      <c r="B720" s="491" t="n"/>
      <c r="C720" s="491" t="n"/>
      <c r="D720" s="491" t="n"/>
      <c r="E720" s="491" t="n"/>
      <c r="F720" s="491" t="n"/>
      <c r="G720" s="491" t="n"/>
      <c r="H720" s="491" t="n"/>
      <c r="I720" s="491" t="n"/>
      <c r="J720" s="491" t="n"/>
      <c r="K720" s="491" t="n"/>
      <c r="L720" s="491" t="n"/>
      <c r="M720" s="491" t="n"/>
      <c r="N720" s="491" t="n"/>
      <c r="O720" s="491" t="n"/>
      <c r="P720" s="491" t="n"/>
      <c r="Q720" s="491" t="n"/>
      <c r="R720" s="491" t="n"/>
      <c r="S720" s="491" t="n"/>
      <c r="T720" s="491" t="n"/>
      <c r="U720" s="491" t="n"/>
      <c r="V720" s="491" t="n"/>
      <c r="W720" s="491" t="n"/>
      <c r="X720" s="491" t="n"/>
      <c r="Y720" s="491" t="n"/>
    </row>
    <row r="721" ht="12.75" customHeight="1" s="398">
      <c r="A721" s="491" t="n"/>
      <c r="B721" s="491" t="n"/>
      <c r="C721" s="491" t="n"/>
      <c r="D721" s="491" t="n"/>
      <c r="E721" s="491" t="n"/>
      <c r="F721" s="491" t="n"/>
      <c r="G721" s="491" t="n"/>
      <c r="H721" s="491" t="n"/>
      <c r="I721" s="491" t="n"/>
      <c r="J721" s="491" t="n"/>
      <c r="K721" s="491" t="n"/>
      <c r="L721" s="491" t="n"/>
      <c r="M721" s="491" t="n"/>
      <c r="N721" s="491" t="n"/>
      <c r="O721" s="491" t="n"/>
      <c r="P721" s="491" t="n"/>
      <c r="Q721" s="491" t="n"/>
      <c r="R721" s="491" t="n"/>
      <c r="S721" s="491" t="n"/>
      <c r="T721" s="491" t="n"/>
      <c r="U721" s="491" t="n"/>
      <c r="V721" s="491" t="n"/>
      <c r="W721" s="491" t="n"/>
      <c r="X721" s="491" t="n"/>
      <c r="Y721" s="491" t="n"/>
    </row>
    <row r="722" ht="12.75" customHeight="1" s="398">
      <c r="A722" s="491" t="n"/>
      <c r="B722" s="491" t="n"/>
      <c r="C722" s="491" t="n"/>
      <c r="D722" s="491" t="n"/>
      <c r="E722" s="491" t="n"/>
      <c r="F722" s="491" t="n"/>
      <c r="G722" s="491" t="n"/>
      <c r="H722" s="491" t="n"/>
      <c r="I722" s="491" t="n"/>
      <c r="J722" s="491" t="n"/>
      <c r="K722" s="491" t="n"/>
      <c r="L722" s="491" t="n"/>
      <c r="M722" s="491" t="n"/>
      <c r="N722" s="491" t="n"/>
      <c r="O722" s="491" t="n"/>
      <c r="P722" s="491" t="n"/>
      <c r="Q722" s="491" t="n"/>
      <c r="R722" s="491" t="n"/>
      <c r="S722" s="491" t="n"/>
      <c r="T722" s="491" t="n"/>
      <c r="U722" s="491" t="n"/>
      <c r="V722" s="491" t="n"/>
      <c r="W722" s="491" t="n"/>
      <c r="X722" s="491" t="n"/>
      <c r="Y722" s="491" t="n"/>
    </row>
    <row r="723" ht="12.75" customHeight="1" s="398">
      <c r="A723" s="491" t="n"/>
      <c r="B723" s="491" t="n"/>
      <c r="C723" s="491" t="n"/>
      <c r="D723" s="491" t="n"/>
      <c r="E723" s="491" t="n"/>
      <c r="F723" s="491" t="n"/>
      <c r="G723" s="491" t="n"/>
      <c r="H723" s="491" t="n"/>
      <c r="I723" s="491" t="n"/>
      <c r="J723" s="491" t="n"/>
      <c r="K723" s="491" t="n"/>
      <c r="L723" s="491" t="n"/>
      <c r="M723" s="491" t="n"/>
      <c r="N723" s="491" t="n"/>
      <c r="O723" s="491" t="n"/>
      <c r="P723" s="491" t="n"/>
      <c r="Q723" s="491" t="n"/>
      <c r="R723" s="491" t="n"/>
      <c r="S723" s="491" t="n"/>
      <c r="T723" s="491" t="n"/>
      <c r="U723" s="491" t="n"/>
      <c r="V723" s="491" t="n"/>
      <c r="W723" s="491" t="n"/>
      <c r="X723" s="491" t="n"/>
      <c r="Y723" s="491" t="n"/>
    </row>
    <row r="724" ht="12.75" customHeight="1" s="398">
      <c r="A724" s="491" t="n"/>
      <c r="B724" s="491" t="n"/>
      <c r="C724" s="491" t="n"/>
      <c r="D724" s="491" t="n"/>
      <c r="E724" s="491" t="n"/>
      <c r="F724" s="491" t="n"/>
      <c r="G724" s="491" t="n"/>
      <c r="H724" s="491" t="n"/>
      <c r="I724" s="491" t="n"/>
      <c r="J724" s="491" t="n"/>
      <c r="K724" s="491" t="n"/>
      <c r="L724" s="491" t="n"/>
      <c r="M724" s="491" t="n"/>
      <c r="N724" s="491" t="n"/>
      <c r="O724" s="491" t="n"/>
      <c r="P724" s="491" t="n"/>
      <c r="Q724" s="491" t="n"/>
      <c r="R724" s="491" t="n"/>
      <c r="S724" s="491" t="n"/>
      <c r="T724" s="491" t="n"/>
      <c r="U724" s="491" t="n"/>
      <c r="V724" s="491" t="n"/>
      <c r="W724" s="491" t="n"/>
      <c r="X724" s="491" t="n"/>
      <c r="Y724" s="491" t="n"/>
    </row>
    <row r="725" ht="12.75" customHeight="1" s="398">
      <c r="A725" s="491" t="n"/>
      <c r="B725" s="491" t="n"/>
      <c r="C725" s="491" t="n"/>
      <c r="D725" s="491" t="n"/>
      <c r="E725" s="491" t="n"/>
      <c r="F725" s="491" t="n"/>
      <c r="G725" s="491" t="n"/>
      <c r="H725" s="491" t="n"/>
      <c r="I725" s="491" t="n"/>
      <c r="J725" s="491" t="n"/>
      <c r="K725" s="491" t="n"/>
      <c r="L725" s="491" t="n"/>
      <c r="M725" s="491" t="n"/>
      <c r="N725" s="491" t="n"/>
      <c r="O725" s="491" t="n"/>
      <c r="P725" s="491" t="n"/>
      <c r="Q725" s="491" t="n"/>
      <c r="R725" s="491" t="n"/>
      <c r="S725" s="491" t="n"/>
      <c r="T725" s="491" t="n"/>
      <c r="U725" s="491" t="n"/>
      <c r="V725" s="491" t="n"/>
      <c r="W725" s="491" t="n"/>
      <c r="X725" s="491" t="n"/>
      <c r="Y725" s="491" t="n"/>
    </row>
    <row r="726" ht="12.75" customHeight="1" s="398">
      <c r="A726" s="491" t="n"/>
      <c r="B726" s="491" t="n"/>
      <c r="C726" s="491" t="n"/>
      <c r="D726" s="491" t="n"/>
      <c r="E726" s="491" t="n"/>
      <c r="F726" s="491" t="n"/>
      <c r="G726" s="491" t="n"/>
      <c r="H726" s="491" t="n"/>
      <c r="I726" s="491" t="n"/>
      <c r="J726" s="491" t="n"/>
      <c r="K726" s="491" t="n"/>
      <c r="L726" s="491" t="n"/>
      <c r="M726" s="491" t="n"/>
      <c r="N726" s="491" t="n"/>
      <c r="O726" s="491" t="n"/>
      <c r="P726" s="491" t="n"/>
      <c r="Q726" s="491" t="n"/>
      <c r="R726" s="491" t="n"/>
      <c r="S726" s="491" t="n"/>
      <c r="T726" s="491" t="n"/>
      <c r="U726" s="491" t="n"/>
      <c r="V726" s="491" t="n"/>
      <c r="W726" s="491" t="n"/>
      <c r="X726" s="491" t="n"/>
      <c r="Y726" s="491" t="n"/>
    </row>
    <row r="727" ht="12.75" customHeight="1" s="398">
      <c r="A727" s="491" t="n"/>
      <c r="B727" s="491" t="n"/>
      <c r="C727" s="491" t="n"/>
      <c r="D727" s="491" t="n"/>
      <c r="E727" s="491" t="n"/>
      <c r="F727" s="491" t="n"/>
      <c r="G727" s="491" t="n"/>
      <c r="H727" s="491" t="n"/>
      <c r="I727" s="491" t="n"/>
      <c r="J727" s="491" t="n"/>
      <c r="K727" s="491" t="n"/>
      <c r="L727" s="491" t="n"/>
      <c r="M727" s="491" t="n"/>
      <c r="N727" s="491" t="n"/>
      <c r="O727" s="491" t="n"/>
      <c r="P727" s="491" t="n"/>
      <c r="Q727" s="491" t="n"/>
      <c r="R727" s="491" t="n"/>
      <c r="S727" s="491" t="n"/>
      <c r="T727" s="491" t="n"/>
      <c r="U727" s="491" t="n"/>
      <c r="V727" s="491" t="n"/>
      <c r="W727" s="491" t="n"/>
      <c r="X727" s="491" t="n"/>
      <c r="Y727" s="491" t="n"/>
    </row>
    <row r="728" ht="12.75" customHeight="1" s="398">
      <c r="A728" s="491" t="n"/>
      <c r="B728" s="491" t="n"/>
      <c r="C728" s="491" t="n"/>
      <c r="D728" s="491" t="n"/>
      <c r="E728" s="491" t="n"/>
      <c r="F728" s="491" t="n"/>
      <c r="G728" s="491" t="n"/>
      <c r="H728" s="491" t="n"/>
      <c r="I728" s="491" t="n"/>
      <c r="J728" s="491" t="n"/>
      <c r="K728" s="491" t="n"/>
      <c r="L728" s="491" t="n"/>
      <c r="M728" s="491" t="n"/>
      <c r="N728" s="491" t="n"/>
      <c r="O728" s="491" t="n"/>
      <c r="P728" s="491" t="n"/>
      <c r="Q728" s="491" t="n"/>
      <c r="R728" s="491" t="n"/>
      <c r="S728" s="491" t="n"/>
      <c r="T728" s="491" t="n"/>
      <c r="U728" s="491" t="n"/>
      <c r="V728" s="491" t="n"/>
      <c r="W728" s="491" t="n"/>
      <c r="X728" s="491" t="n"/>
      <c r="Y728" s="491" t="n"/>
    </row>
    <row r="729" ht="12.75" customHeight="1" s="398">
      <c r="A729" s="491" t="n"/>
      <c r="B729" s="491" t="n"/>
      <c r="C729" s="491" t="n"/>
      <c r="D729" s="491" t="n"/>
      <c r="E729" s="491" t="n"/>
      <c r="F729" s="491" t="n"/>
      <c r="G729" s="491" t="n"/>
      <c r="H729" s="491" t="n"/>
      <c r="I729" s="491" t="n"/>
      <c r="J729" s="491" t="n"/>
      <c r="K729" s="491" t="n"/>
      <c r="L729" s="491" t="n"/>
      <c r="M729" s="491" t="n"/>
      <c r="N729" s="491" t="n"/>
      <c r="O729" s="491" t="n"/>
      <c r="P729" s="491" t="n"/>
      <c r="Q729" s="491" t="n"/>
      <c r="R729" s="491" t="n"/>
      <c r="S729" s="491" t="n"/>
      <c r="T729" s="491" t="n"/>
      <c r="U729" s="491" t="n"/>
      <c r="V729" s="491" t="n"/>
      <c r="W729" s="491" t="n"/>
      <c r="X729" s="491" t="n"/>
      <c r="Y729" s="491" t="n"/>
    </row>
    <row r="730" ht="12.75" customHeight="1" s="398">
      <c r="A730" s="491" t="n"/>
      <c r="B730" s="491" t="n"/>
      <c r="C730" s="491" t="n"/>
      <c r="D730" s="491" t="n"/>
      <c r="E730" s="491" t="n"/>
      <c r="F730" s="491" t="n"/>
      <c r="G730" s="491" t="n"/>
      <c r="H730" s="491" t="n"/>
      <c r="I730" s="491" t="n"/>
      <c r="J730" s="491" t="n"/>
      <c r="K730" s="491" t="n"/>
      <c r="L730" s="491" t="n"/>
      <c r="M730" s="491" t="n"/>
      <c r="N730" s="491" t="n"/>
      <c r="O730" s="491" t="n"/>
      <c r="P730" s="491" t="n"/>
      <c r="Q730" s="491" t="n"/>
      <c r="R730" s="491" t="n"/>
      <c r="S730" s="491" t="n"/>
      <c r="T730" s="491" t="n"/>
      <c r="U730" s="491" t="n"/>
      <c r="V730" s="491" t="n"/>
      <c r="W730" s="491" t="n"/>
      <c r="X730" s="491" t="n"/>
      <c r="Y730" s="491" t="n"/>
    </row>
    <row r="731" ht="12.75" customHeight="1" s="398">
      <c r="A731" s="491" t="n"/>
      <c r="B731" s="491" t="n"/>
      <c r="C731" s="491" t="n"/>
      <c r="D731" s="491" t="n"/>
      <c r="E731" s="491" t="n"/>
      <c r="F731" s="491" t="n"/>
      <c r="G731" s="491" t="n"/>
      <c r="H731" s="491" t="n"/>
      <c r="I731" s="491" t="n"/>
      <c r="J731" s="491" t="n"/>
      <c r="K731" s="491" t="n"/>
      <c r="L731" s="491" t="n"/>
      <c r="M731" s="491" t="n"/>
      <c r="N731" s="491" t="n"/>
      <c r="O731" s="491" t="n"/>
      <c r="P731" s="491" t="n"/>
      <c r="Q731" s="491" t="n"/>
      <c r="R731" s="491" t="n"/>
      <c r="S731" s="491" t="n"/>
      <c r="T731" s="491" t="n"/>
      <c r="U731" s="491" t="n"/>
      <c r="V731" s="491" t="n"/>
      <c r="W731" s="491" t="n"/>
      <c r="X731" s="491" t="n"/>
      <c r="Y731" s="491" t="n"/>
    </row>
    <row r="732" ht="12.75" customHeight="1" s="398">
      <c r="A732" s="491" t="n"/>
      <c r="B732" s="491" t="n"/>
      <c r="C732" s="491" t="n"/>
      <c r="D732" s="491" t="n"/>
      <c r="E732" s="491" t="n"/>
      <c r="F732" s="491" t="n"/>
      <c r="G732" s="491" t="n"/>
      <c r="H732" s="491" t="n"/>
      <c r="I732" s="491" t="n"/>
      <c r="J732" s="491" t="n"/>
      <c r="K732" s="491" t="n"/>
      <c r="L732" s="491" t="n"/>
      <c r="M732" s="491" t="n"/>
      <c r="N732" s="491" t="n"/>
      <c r="O732" s="491" t="n"/>
      <c r="P732" s="491" t="n"/>
      <c r="Q732" s="491" t="n"/>
      <c r="R732" s="491" t="n"/>
      <c r="S732" s="491" t="n"/>
      <c r="T732" s="491" t="n"/>
      <c r="U732" s="491" t="n"/>
      <c r="V732" s="491" t="n"/>
      <c r="W732" s="491" t="n"/>
      <c r="X732" s="491" t="n"/>
      <c r="Y732" s="491" t="n"/>
    </row>
    <row r="733" ht="12.75" customHeight="1" s="398">
      <c r="A733" s="491" t="n"/>
      <c r="B733" s="491" t="n"/>
      <c r="C733" s="491" t="n"/>
      <c r="D733" s="491" t="n"/>
      <c r="E733" s="491" t="n"/>
      <c r="F733" s="491" t="n"/>
      <c r="G733" s="491" t="n"/>
      <c r="H733" s="491" t="n"/>
      <c r="I733" s="491" t="n"/>
      <c r="J733" s="491" t="n"/>
      <c r="K733" s="491" t="n"/>
      <c r="L733" s="491" t="n"/>
      <c r="M733" s="491" t="n"/>
      <c r="N733" s="491" t="n"/>
      <c r="O733" s="491" t="n"/>
      <c r="P733" s="491" t="n"/>
      <c r="Q733" s="491" t="n"/>
      <c r="R733" s="491" t="n"/>
      <c r="S733" s="491" t="n"/>
      <c r="T733" s="491" t="n"/>
      <c r="U733" s="491" t="n"/>
      <c r="V733" s="491" t="n"/>
      <c r="W733" s="491" t="n"/>
      <c r="X733" s="491" t="n"/>
      <c r="Y733" s="491" t="n"/>
    </row>
    <row r="734" ht="12.75" customHeight="1" s="398">
      <c r="A734" s="491" t="n"/>
      <c r="B734" s="491" t="n"/>
      <c r="C734" s="491" t="n"/>
      <c r="D734" s="491" t="n"/>
      <c r="E734" s="491" t="n"/>
      <c r="F734" s="491" t="n"/>
      <c r="G734" s="491" t="n"/>
      <c r="H734" s="491" t="n"/>
      <c r="I734" s="491" t="n"/>
      <c r="J734" s="491" t="n"/>
      <c r="K734" s="491" t="n"/>
      <c r="L734" s="491" t="n"/>
      <c r="M734" s="491" t="n"/>
      <c r="N734" s="491" t="n"/>
      <c r="O734" s="491" t="n"/>
      <c r="P734" s="491" t="n"/>
      <c r="Q734" s="491" t="n"/>
      <c r="R734" s="491" t="n"/>
      <c r="S734" s="491" t="n"/>
      <c r="T734" s="491" t="n"/>
      <c r="U734" s="491" t="n"/>
      <c r="V734" s="491" t="n"/>
      <c r="W734" s="491" t="n"/>
      <c r="X734" s="491" t="n"/>
      <c r="Y734" s="491" t="n"/>
    </row>
    <row r="735" ht="12.75" customHeight="1" s="398">
      <c r="A735" s="491" t="n"/>
      <c r="B735" s="491" t="n"/>
      <c r="C735" s="491" t="n"/>
      <c r="D735" s="491" t="n"/>
      <c r="E735" s="491" t="n"/>
      <c r="F735" s="491" t="n"/>
      <c r="G735" s="491" t="n"/>
      <c r="H735" s="491" t="n"/>
      <c r="I735" s="491" t="n"/>
      <c r="J735" s="491" t="n"/>
      <c r="K735" s="491" t="n"/>
      <c r="L735" s="491" t="n"/>
      <c r="M735" s="491" t="n"/>
      <c r="N735" s="491" t="n"/>
      <c r="O735" s="491" t="n"/>
      <c r="P735" s="491" t="n"/>
      <c r="Q735" s="491" t="n"/>
      <c r="R735" s="491" t="n"/>
      <c r="S735" s="491" t="n"/>
      <c r="T735" s="491" t="n"/>
      <c r="U735" s="491" t="n"/>
      <c r="V735" s="491" t="n"/>
      <c r="W735" s="491" t="n"/>
      <c r="X735" s="491" t="n"/>
      <c r="Y735" s="491" t="n"/>
    </row>
    <row r="736" ht="12.75" customHeight="1" s="398">
      <c r="A736" s="491" t="n"/>
      <c r="B736" s="491" t="n"/>
      <c r="C736" s="491" t="n"/>
      <c r="D736" s="491" t="n"/>
      <c r="E736" s="491" t="n"/>
      <c r="F736" s="491" t="n"/>
      <c r="G736" s="491" t="n"/>
      <c r="H736" s="491" t="n"/>
      <c r="I736" s="491" t="n"/>
      <c r="J736" s="491" t="n"/>
      <c r="K736" s="491" t="n"/>
      <c r="L736" s="491" t="n"/>
      <c r="M736" s="491" t="n"/>
      <c r="N736" s="491" t="n"/>
      <c r="O736" s="491" t="n"/>
      <c r="P736" s="491" t="n"/>
      <c r="Q736" s="491" t="n"/>
      <c r="R736" s="491" t="n"/>
      <c r="S736" s="491" t="n"/>
      <c r="T736" s="491" t="n"/>
      <c r="U736" s="491" t="n"/>
      <c r="V736" s="491" t="n"/>
      <c r="W736" s="491" t="n"/>
      <c r="X736" s="491" t="n"/>
      <c r="Y736" s="491" t="n"/>
    </row>
    <row r="737" ht="12.75" customHeight="1" s="398">
      <c r="A737" s="491" t="n"/>
      <c r="B737" s="491" t="n"/>
      <c r="C737" s="491" t="n"/>
      <c r="D737" s="491" t="n"/>
      <c r="E737" s="491" t="n"/>
      <c r="F737" s="491" t="n"/>
      <c r="G737" s="491" t="n"/>
      <c r="H737" s="491" t="n"/>
      <c r="I737" s="491" t="n"/>
      <c r="J737" s="491" t="n"/>
      <c r="K737" s="491" t="n"/>
      <c r="L737" s="491" t="n"/>
      <c r="M737" s="491" t="n"/>
      <c r="N737" s="491" t="n"/>
      <c r="O737" s="491" t="n"/>
      <c r="P737" s="491" t="n"/>
      <c r="Q737" s="491" t="n"/>
      <c r="R737" s="491" t="n"/>
      <c r="S737" s="491" t="n"/>
      <c r="T737" s="491" t="n"/>
      <c r="U737" s="491" t="n"/>
      <c r="V737" s="491" t="n"/>
      <c r="W737" s="491" t="n"/>
      <c r="X737" s="491" t="n"/>
      <c r="Y737" s="491" t="n"/>
    </row>
    <row r="738" ht="12.75" customHeight="1" s="398">
      <c r="A738" s="491" t="n"/>
      <c r="B738" s="491" t="n"/>
      <c r="C738" s="491" t="n"/>
      <c r="D738" s="491" t="n"/>
      <c r="E738" s="491" t="n"/>
      <c r="F738" s="491" t="n"/>
      <c r="G738" s="491" t="n"/>
      <c r="H738" s="491" t="n"/>
      <c r="I738" s="491" t="n"/>
      <c r="J738" s="491" t="n"/>
      <c r="K738" s="491" t="n"/>
      <c r="L738" s="491" t="n"/>
      <c r="M738" s="491" t="n"/>
      <c r="N738" s="491" t="n"/>
      <c r="O738" s="491" t="n"/>
      <c r="P738" s="491" t="n"/>
      <c r="Q738" s="491" t="n"/>
      <c r="R738" s="491" t="n"/>
      <c r="S738" s="491" t="n"/>
      <c r="T738" s="491" t="n"/>
      <c r="U738" s="491" t="n"/>
      <c r="V738" s="491" t="n"/>
      <c r="W738" s="491" t="n"/>
      <c r="X738" s="491" t="n"/>
      <c r="Y738" s="491" t="n"/>
    </row>
    <row r="739" ht="12.75" customHeight="1" s="398">
      <c r="A739" s="491" t="n"/>
      <c r="B739" s="491" t="n"/>
      <c r="C739" s="491" t="n"/>
      <c r="D739" s="491" t="n"/>
      <c r="E739" s="491" t="n"/>
      <c r="F739" s="491" t="n"/>
      <c r="G739" s="491" t="n"/>
      <c r="H739" s="491" t="n"/>
      <c r="I739" s="491" t="n"/>
      <c r="J739" s="491" t="n"/>
      <c r="K739" s="491" t="n"/>
      <c r="L739" s="491" t="n"/>
      <c r="M739" s="491" t="n"/>
      <c r="N739" s="491" t="n"/>
      <c r="O739" s="491" t="n"/>
      <c r="P739" s="491" t="n"/>
      <c r="Q739" s="491" t="n"/>
      <c r="R739" s="491" t="n"/>
      <c r="S739" s="491" t="n"/>
      <c r="T739" s="491" t="n"/>
      <c r="U739" s="491" t="n"/>
      <c r="V739" s="491" t="n"/>
      <c r="W739" s="491" t="n"/>
      <c r="X739" s="491" t="n"/>
      <c r="Y739" s="491" t="n"/>
    </row>
    <row r="740" ht="12.75" customHeight="1" s="398">
      <c r="A740" s="491" t="n"/>
      <c r="B740" s="491" t="n"/>
      <c r="C740" s="491" t="n"/>
      <c r="D740" s="491" t="n"/>
      <c r="E740" s="491" t="n"/>
      <c r="F740" s="491" t="n"/>
      <c r="G740" s="491" t="n"/>
      <c r="H740" s="491" t="n"/>
      <c r="I740" s="491" t="n"/>
      <c r="J740" s="491" t="n"/>
      <c r="K740" s="491" t="n"/>
      <c r="L740" s="491" t="n"/>
      <c r="M740" s="491" t="n"/>
      <c r="N740" s="491" t="n"/>
      <c r="O740" s="491" t="n"/>
      <c r="P740" s="491" t="n"/>
      <c r="Q740" s="491" t="n"/>
      <c r="R740" s="491" t="n"/>
      <c r="S740" s="491" t="n"/>
      <c r="T740" s="491" t="n"/>
      <c r="U740" s="491" t="n"/>
      <c r="V740" s="491" t="n"/>
      <c r="W740" s="491" t="n"/>
      <c r="X740" s="491" t="n"/>
      <c r="Y740" s="491" t="n"/>
    </row>
    <row r="741" ht="12.75" customHeight="1" s="398">
      <c r="A741" s="491" t="n"/>
      <c r="B741" s="491" t="n"/>
      <c r="C741" s="491" t="n"/>
      <c r="D741" s="491" t="n"/>
      <c r="E741" s="491" t="n"/>
      <c r="F741" s="491" t="n"/>
      <c r="G741" s="491" t="n"/>
      <c r="H741" s="491" t="n"/>
      <c r="I741" s="491" t="n"/>
      <c r="J741" s="491" t="n"/>
      <c r="K741" s="491" t="n"/>
      <c r="L741" s="491" t="n"/>
      <c r="M741" s="491" t="n"/>
      <c r="N741" s="491" t="n"/>
      <c r="O741" s="491" t="n"/>
      <c r="P741" s="491" t="n"/>
      <c r="Q741" s="491" t="n"/>
      <c r="R741" s="491" t="n"/>
      <c r="S741" s="491" t="n"/>
      <c r="T741" s="491" t="n"/>
      <c r="U741" s="491" t="n"/>
      <c r="V741" s="491" t="n"/>
      <c r="W741" s="491" t="n"/>
      <c r="X741" s="491" t="n"/>
      <c r="Y741" s="491" t="n"/>
    </row>
    <row r="742" ht="12.75" customHeight="1" s="398">
      <c r="A742" s="491" t="n"/>
      <c r="B742" s="491" t="n"/>
      <c r="C742" s="491" t="n"/>
      <c r="D742" s="491" t="n"/>
      <c r="E742" s="491" t="n"/>
      <c r="F742" s="491" t="n"/>
      <c r="G742" s="491" t="n"/>
      <c r="H742" s="491" t="n"/>
      <c r="I742" s="491" t="n"/>
      <c r="J742" s="491" t="n"/>
      <c r="K742" s="491" t="n"/>
      <c r="L742" s="491" t="n"/>
      <c r="M742" s="491" t="n"/>
      <c r="N742" s="491" t="n"/>
      <c r="O742" s="491" t="n"/>
      <c r="P742" s="491" t="n"/>
      <c r="Q742" s="491" t="n"/>
      <c r="R742" s="491" t="n"/>
      <c r="S742" s="491" t="n"/>
      <c r="T742" s="491" t="n"/>
      <c r="U742" s="491" t="n"/>
      <c r="V742" s="491" t="n"/>
      <c r="W742" s="491" t="n"/>
      <c r="X742" s="491" t="n"/>
      <c r="Y742" s="491" t="n"/>
    </row>
    <row r="743" ht="12.75" customHeight="1" s="398">
      <c r="A743" s="491" t="n"/>
      <c r="B743" s="491" t="n"/>
      <c r="C743" s="491" t="n"/>
      <c r="D743" s="491" t="n"/>
      <c r="E743" s="491" t="n"/>
      <c r="F743" s="491" t="n"/>
      <c r="G743" s="491" t="n"/>
      <c r="H743" s="491" t="n"/>
      <c r="I743" s="491" t="n"/>
      <c r="J743" s="491" t="n"/>
      <c r="K743" s="491" t="n"/>
      <c r="L743" s="491" t="n"/>
      <c r="M743" s="491" t="n"/>
      <c r="N743" s="491" t="n"/>
      <c r="O743" s="491" t="n"/>
      <c r="P743" s="491" t="n"/>
      <c r="Q743" s="491" t="n"/>
      <c r="R743" s="491" t="n"/>
      <c r="S743" s="491" t="n"/>
      <c r="T743" s="491" t="n"/>
      <c r="U743" s="491" t="n"/>
      <c r="V743" s="491" t="n"/>
      <c r="W743" s="491" t="n"/>
      <c r="X743" s="491" t="n"/>
      <c r="Y743" s="491" t="n"/>
    </row>
    <row r="744" ht="12.75" customHeight="1" s="398">
      <c r="A744" s="491" t="n"/>
      <c r="B744" s="491" t="n"/>
      <c r="C744" s="491" t="n"/>
      <c r="D744" s="491" t="n"/>
      <c r="E744" s="491" t="n"/>
      <c r="F744" s="491" t="n"/>
      <c r="G744" s="491" t="n"/>
      <c r="H744" s="491" t="n"/>
      <c r="I744" s="491" t="n"/>
      <c r="J744" s="491" t="n"/>
      <c r="K744" s="491" t="n"/>
      <c r="L744" s="491" t="n"/>
      <c r="M744" s="491" t="n"/>
      <c r="N744" s="491" t="n"/>
      <c r="O744" s="491" t="n"/>
      <c r="P744" s="491" t="n"/>
      <c r="Q744" s="491" t="n"/>
      <c r="R744" s="491" t="n"/>
      <c r="S744" s="491" t="n"/>
      <c r="T744" s="491" t="n"/>
      <c r="U744" s="491" t="n"/>
      <c r="V744" s="491" t="n"/>
      <c r="W744" s="491" t="n"/>
      <c r="X744" s="491" t="n"/>
      <c r="Y744" s="491" t="n"/>
    </row>
    <row r="745" ht="12.75" customHeight="1" s="398">
      <c r="A745" s="491" t="n"/>
      <c r="B745" s="491" t="n"/>
      <c r="C745" s="491" t="n"/>
      <c r="D745" s="491" t="n"/>
      <c r="E745" s="491" t="n"/>
      <c r="F745" s="491" t="n"/>
      <c r="G745" s="491" t="n"/>
      <c r="H745" s="491" t="n"/>
      <c r="I745" s="491" t="n"/>
      <c r="J745" s="491" t="n"/>
      <c r="K745" s="491" t="n"/>
      <c r="L745" s="491" t="n"/>
      <c r="M745" s="491" t="n"/>
      <c r="N745" s="491" t="n"/>
      <c r="O745" s="491" t="n"/>
      <c r="P745" s="491" t="n"/>
      <c r="Q745" s="491" t="n"/>
      <c r="R745" s="491" t="n"/>
      <c r="S745" s="491" t="n"/>
      <c r="T745" s="491" t="n"/>
      <c r="U745" s="491" t="n"/>
      <c r="V745" s="491" t="n"/>
      <c r="W745" s="491" t="n"/>
      <c r="X745" s="491" t="n"/>
      <c r="Y745" s="491" t="n"/>
    </row>
    <row r="746" ht="12.75" customHeight="1" s="398">
      <c r="A746" s="491" t="n"/>
      <c r="B746" s="491" t="n"/>
      <c r="C746" s="491" t="n"/>
      <c r="D746" s="491" t="n"/>
      <c r="E746" s="491" t="n"/>
      <c r="F746" s="491" t="n"/>
      <c r="G746" s="491" t="n"/>
      <c r="H746" s="491" t="n"/>
      <c r="I746" s="491" t="n"/>
      <c r="J746" s="491" t="n"/>
      <c r="K746" s="491" t="n"/>
      <c r="L746" s="491" t="n"/>
      <c r="M746" s="491" t="n"/>
      <c r="N746" s="491" t="n"/>
      <c r="O746" s="491" t="n"/>
      <c r="P746" s="491" t="n"/>
      <c r="Q746" s="491" t="n"/>
      <c r="R746" s="491" t="n"/>
      <c r="S746" s="491" t="n"/>
      <c r="T746" s="491" t="n"/>
      <c r="U746" s="491" t="n"/>
      <c r="V746" s="491" t="n"/>
      <c r="W746" s="491" t="n"/>
      <c r="X746" s="491" t="n"/>
      <c r="Y746" s="491" t="n"/>
    </row>
    <row r="747" ht="12.75" customHeight="1" s="398">
      <c r="A747" s="491" t="n"/>
      <c r="B747" s="491" t="n"/>
      <c r="C747" s="491" t="n"/>
      <c r="D747" s="491" t="n"/>
      <c r="E747" s="491" t="n"/>
      <c r="F747" s="491" t="n"/>
      <c r="G747" s="491" t="n"/>
      <c r="H747" s="491" t="n"/>
      <c r="I747" s="491" t="n"/>
      <c r="J747" s="491" t="n"/>
      <c r="K747" s="491" t="n"/>
      <c r="L747" s="491" t="n"/>
      <c r="M747" s="491" t="n"/>
      <c r="N747" s="491" t="n"/>
      <c r="O747" s="491" t="n"/>
      <c r="P747" s="491" t="n"/>
      <c r="Q747" s="491" t="n"/>
      <c r="R747" s="491" t="n"/>
      <c r="S747" s="491" t="n"/>
      <c r="T747" s="491" t="n"/>
      <c r="U747" s="491" t="n"/>
      <c r="V747" s="491" t="n"/>
      <c r="W747" s="491" t="n"/>
      <c r="X747" s="491" t="n"/>
      <c r="Y747" s="491" t="n"/>
    </row>
    <row r="748" ht="12.75" customHeight="1" s="398">
      <c r="A748" s="491" t="n"/>
      <c r="B748" s="491" t="n"/>
      <c r="C748" s="491" t="n"/>
      <c r="D748" s="491" t="n"/>
      <c r="E748" s="491" t="n"/>
      <c r="F748" s="491" t="n"/>
      <c r="G748" s="491" t="n"/>
      <c r="H748" s="491" t="n"/>
      <c r="I748" s="491" t="n"/>
      <c r="J748" s="491" t="n"/>
      <c r="K748" s="491" t="n"/>
      <c r="L748" s="491" t="n"/>
      <c r="M748" s="491" t="n"/>
      <c r="N748" s="491" t="n"/>
      <c r="O748" s="491" t="n"/>
      <c r="P748" s="491" t="n"/>
      <c r="Q748" s="491" t="n"/>
      <c r="R748" s="491" t="n"/>
      <c r="S748" s="491" t="n"/>
      <c r="T748" s="491" t="n"/>
      <c r="U748" s="491" t="n"/>
      <c r="V748" s="491" t="n"/>
      <c r="W748" s="491" t="n"/>
      <c r="X748" s="491" t="n"/>
      <c r="Y748" s="491" t="n"/>
    </row>
    <row r="749" ht="12.75" customHeight="1" s="398">
      <c r="A749" s="491" t="n"/>
      <c r="B749" s="491" t="n"/>
      <c r="C749" s="491" t="n"/>
      <c r="D749" s="491" t="n"/>
      <c r="E749" s="491" t="n"/>
      <c r="F749" s="491" t="n"/>
      <c r="G749" s="491" t="n"/>
      <c r="H749" s="491" t="n"/>
      <c r="I749" s="491" t="n"/>
      <c r="J749" s="491" t="n"/>
      <c r="K749" s="491" t="n"/>
      <c r="L749" s="491" t="n"/>
      <c r="M749" s="491" t="n"/>
      <c r="N749" s="491" t="n"/>
      <c r="O749" s="491" t="n"/>
      <c r="P749" s="491" t="n"/>
      <c r="Q749" s="491" t="n"/>
      <c r="R749" s="491" t="n"/>
      <c r="S749" s="491" t="n"/>
      <c r="T749" s="491" t="n"/>
      <c r="U749" s="491" t="n"/>
      <c r="V749" s="491" t="n"/>
      <c r="W749" s="491" t="n"/>
      <c r="X749" s="491" t="n"/>
      <c r="Y749" s="491" t="n"/>
    </row>
    <row r="750" ht="12.75" customHeight="1" s="398">
      <c r="A750" s="491" t="n"/>
      <c r="B750" s="491" t="n"/>
      <c r="C750" s="491" t="n"/>
      <c r="D750" s="491" t="n"/>
      <c r="E750" s="491" t="n"/>
      <c r="F750" s="491" t="n"/>
      <c r="G750" s="491" t="n"/>
      <c r="H750" s="491" t="n"/>
      <c r="I750" s="491" t="n"/>
      <c r="J750" s="491" t="n"/>
      <c r="K750" s="491" t="n"/>
      <c r="L750" s="491" t="n"/>
      <c r="M750" s="491" t="n"/>
      <c r="N750" s="491" t="n"/>
      <c r="O750" s="491" t="n"/>
      <c r="P750" s="491" t="n"/>
      <c r="Q750" s="491" t="n"/>
      <c r="R750" s="491" t="n"/>
      <c r="S750" s="491" t="n"/>
      <c r="T750" s="491" t="n"/>
      <c r="U750" s="491" t="n"/>
      <c r="V750" s="491" t="n"/>
      <c r="W750" s="491" t="n"/>
      <c r="X750" s="491" t="n"/>
      <c r="Y750" s="491" t="n"/>
    </row>
    <row r="751" ht="12.75" customHeight="1" s="398">
      <c r="A751" s="491" t="n"/>
      <c r="B751" s="491" t="n"/>
      <c r="C751" s="491" t="n"/>
      <c r="D751" s="491" t="n"/>
      <c r="E751" s="491" t="n"/>
      <c r="F751" s="491" t="n"/>
      <c r="G751" s="491" t="n"/>
      <c r="H751" s="491" t="n"/>
      <c r="I751" s="491" t="n"/>
      <c r="J751" s="491" t="n"/>
      <c r="K751" s="491" t="n"/>
      <c r="L751" s="491" t="n"/>
      <c r="M751" s="491" t="n"/>
      <c r="N751" s="491" t="n"/>
      <c r="O751" s="491" t="n"/>
      <c r="P751" s="491" t="n"/>
      <c r="Q751" s="491" t="n"/>
      <c r="R751" s="491" t="n"/>
      <c r="S751" s="491" t="n"/>
      <c r="T751" s="491" t="n"/>
      <c r="U751" s="491" t="n"/>
      <c r="V751" s="491" t="n"/>
      <c r="W751" s="491" t="n"/>
      <c r="X751" s="491" t="n"/>
      <c r="Y751" s="491" t="n"/>
    </row>
    <row r="752" ht="12.75" customHeight="1" s="398">
      <c r="A752" s="491" t="n"/>
      <c r="B752" s="491" t="n"/>
      <c r="C752" s="491" t="n"/>
      <c r="D752" s="491" t="n"/>
      <c r="E752" s="491" t="n"/>
      <c r="F752" s="491" t="n"/>
      <c r="G752" s="491" t="n"/>
      <c r="H752" s="491" t="n"/>
      <c r="I752" s="491" t="n"/>
      <c r="J752" s="491" t="n"/>
      <c r="K752" s="491" t="n"/>
      <c r="L752" s="491" t="n"/>
      <c r="M752" s="491" t="n"/>
      <c r="N752" s="491" t="n"/>
      <c r="O752" s="491" t="n"/>
      <c r="P752" s="491" t="n"/>
      <c r="Q752" s="491" t="n"/>
      <c r="R752" s="491" t="n"/>
      <c r="S752" s="491" t="n"/>
      <c r="T752" s="491" t="n"/>
      <c r="U752" s="491" t="n"/>
      <c r="V752" s="491" t="n"/>
      <c r="W752" s="491" t="n"/>
      <c r="X752" s="491" t="n"/>
      <c r="Y752" s="491" t="n"/>
    </row>
    <row r="753" ht="12.75" customHeight="1" s="398">
      <c r="A753" s="491" t="n"/>
      <c r="B753" s="491" t="n"/>
      <c r="C753" s="491" t="n"/>
      <c r="D753" s="491" t="n"/>
      <c r="E753" s="491" t="n"/>
      <c r="F753" s="491" t="n"/>
      <c r="G753" s="491" t="n"/>
      <c r="H753" s="491" t="n"/>
      <c r="I753" s="491" t="n"/>
      <c r="J753" s="491" t="n"/>
      <c r="K753" s="491" t="n"/>
      <c r="L753" s="491" t="n"/>
      <c r="M753" s="491" t="n"/>
      <c r="N753" s="491" t="n"/>
      <c r="O753" s="491" t="n"/>
      <c r="P753" s="491" t="n"/>
      <c r="Q753" s="491" t="n"/>
      <c r="R753" s="491" t="n"/>
      <c r="S753" s="491" t="n"/>
      <c r="T753" s="491" t="n"/>
      <c r="U753" s="491" t="n"/>
      <c r="V753" s="491" t="n"/>
      <c r="W753" s="491" t="n"/>
      <c r="X753" s="491" t="n"/>
      <c r="Y753" s="491" t="n"/>
    </row>
    <row r="754" ht="12.75" customHeight="1" s="398">
      <c r="A754" s="491" t="n"/>
      <c r="B754" s="491" t="n"/>
      <c r="C754" s="491" t="n"/>
      <c r="D754" s="491" t="n"/>
      <c r="E754" s="491" t="n"/>
      <c r="F754" s="491" t="n"/>
      <c r="G754" s="491" t="n"/>
      <c r="H754" s="491" t="n"/>
      <c r="I754" s="491" t="n"/>
      <c r="J754" s="491" t="n"/>
      <c r="K754" s="491" t="n"/>
      <c r="L754" s="491" t="n"/>
      <c r="M754" s="491" t="n"/>
      <c r="N754" s="491" t="n"/>
      <c r="O754" s="491" t="n"/>
      <c r="P754" s="491" t="n"/>
      <c r="Q754" s="491" t="n"/>
      <c r="R754" s="491" t="n"/>
      <c r="S754" s="491" t="n"/>
      <c r="T754" s="491" t="n"/>
      <c r="U754" s="491" t="n"/>
      <c r="V754" s="491" t="n"/>
      <c r="W754" s="491" t="n"/>
      <c r="X754" s="491" t="n"/>
      <c r="Y754" s="491" t="n"/>
    </row>
    <row r="755" ht="12.75" customHeight="1" s="398">
      <c r="A755" s="491" t="n"/>
      <c r="B755" s="491" t="n"/>
      <c r="C755" s="491" t="n"/>
      <c r="D755" s="491" t="n"/>
      <c r="E755" s="491" t="n"/>
      <c r="F755" s="491" t="n"/>
      <c r="G755" s="491" t="n"/>
      <c r="H755" s="491" t="n"/>
      <c r="I755" s="491" t="n"/>
      <c r="J755" s="491" t="n"/>
      <c r="K755" s="491" t="n"/>
      <c r="L755" s="491" t="n"/>
      <c r="M755" s="491" t="n"/>
      <c r="N755" s="491" t="n"/>
      <c r="O755" s="491" t="n"/>
      <c r="P755" s="491" t="n"/>
      <c r="Q755" s="491" t="n"/>
      <c r="R755" s="491" t="n"/>
      <c r="S755" s="491" t="n"/>
      <c r="T755" s="491" t="n"/>
      <c r="U755" s="491" t="n"/>
      <c r="V755" s="491" t="n"/>
      <c r="W755" s="491" t="n"/>
      <c r="X755" s="491" t="n"/>
      <c r="Y755" s="491" t="n"/>
    </row>
    <row r="756" ht="12.75" customHeight="1" s="398">
      <c r="A756" s="491" t="n"/>
      <c r="B756" s="491" t="n"/>
      <c r="C756" s="491" t="n"/>
      <c r="D756" s="491" t="n"/>
      <c r="E756" s="491" t="n"/>
      <c r="F756" s="491" t="n"/>
      <c r="G756" s="491" t="n"/>
      <c r="H756" s="491" t="n"/>
      <c r="I756" s="491" t="n"/>
      <c r="J756" s="491" t="n"/>
      <c r="K756" s="491" t="n"/>
      <c r="L756" s="491" t="n"/>
      <c r="M756" s="491" t="n"/>
      <c r="N756" s="491" t="n"/>
      <c r="O756" s="491" t="n"/>
      <c r="P756" s="491" t="n"/>
      <c r="Q756" s="491" t="n"/>
      <c r="R756" s="491" t="n"/>
      <c r="S756" s="491" t="n"/>
      <c r="T756" s="491" t="n"/>
      <c r="U756" s="491" t="n"/>
      <c r="V756" s="491" t="n"/>
      <c r="W756" s="491" t="n"/>
      <c r="X756" s="491" t="n"/>
      <c r="Y756" s="491" t="n"/>
    </row>
    <row r="757" ht="12.75" customHeight="1" s="398">
      <c r="A757" s="491" t="n"/>
      <c r="B757" s="491" t="n"/>
      <c r="C757" s="491" t="n"/>
      <c r="D757" s="491" t="n"/>
      <c r="E757" s="491" t="n"/>
      <c r="F757" s="491" t="n"/>
      <c r="G757" s="491" t="n"/>
      <c r="H757" s="491" t="n"/>
      <c r="I757" s="491" t="n"/>
      <c r="J757" s="491" t="n"/>
      <c r="K757" s="491" t="n"/>
      <c r="L757" s="491" t="n"/>
      <c r="M757" s="491" t="n"/>
      <c r="N757" s="491" t="n"/>
      <c r="O757" s="491" t="n"/>
      <c r="P757" s="491" t="n"/>
      <c r="Q757" s="491" t="n"/>
      <c r="R757" s="491" t="n"/>
      <c r="S757" s="491" t="n"/>
      <c r="T757" s="491" t="n"/>
      <c r="U757" s="491" t="n"/>
      <c r="V757" s="491" t="n"/>
      <c r="W757" s="491" t="n"/>
      <c r="X757" s="491" t="n"/>
      <c r="Y757" s="491" t="n"/>
    </row>
    <row r="758" ht="12.75" customHeight="1" s="398">
      <c r="A758" s="491" t="n"/>
      <c r="B758" s="491" t="n"/>
      <c r="C758" s="491" t="n"/>
      <c r="D758" s="491" t="n"/>
      <c r="E758" s="491" t="n"/>
      <c r="F758" s="491" t="n"/>
      <c r="G758" s="491" t="n"/>
      <c r="H758" s="491" t="n"/>
      <c r="I758" s="491" t="n"/>
      <c r="J758" s="491" t="n"/>
      <c r="K758" s="491" t="n"/>
      <c r="L758" s="491" t="n"/>
      <c r="M758" s="491" t="n"/>
      <c r="N758" s="491" t="n"/>
      <c r="O758" s="491" t="n"/>
      <c r="P758" s="491" t="n"/>
      <c r="Q758" s="491" t="n"/>
      <c r="R758" s="491" t="n"/>
      <c r="S758" s="491" t="n"/>
      <c r="T758" s="491" t="n"/>
      <c r="U758" s="491" t="n"/>
      <c r="V758" s="491" t="n"/>
      <c r="W758" s="491" t="n"/>
      <c r="X758" s="491" t="n"/>
      <c r="Y758" s="491" t="n"/>
    </row>
    <row r="759" ht="12.75" customHeight="1" s="398">
      <c r="A759" s="491" t="n"/>
      <c r="B759" s="491" t="n"/>
      <c r="C759" s="491" t="n"/>
      <c r="D759" s="491" t="n"/>
      <c r="E759" s="491" t="n"/>
      <c r="F759" s="491" t="n"/>
      <c r="G759" s="491" t="n"/>
      <c r="H759" s="491" t="n"/>
      <c r="I759" s="491" t="n"/>
      <c r="J759" s="491" t="n"/>
      <c r="K759" s="491" t="n"/>
      <c r="L759" s="491" t="n"/>
      <c r="M759" s="491" t="n"/>
      <c r="N759" s="491" t="n"/>
      <c r="O759" s="491" t="n"/>
      <c r="P759" s="491" t="n"/>
      <c r="Q759" s="491" t="n"/>
      <c r="R759" s="491" t="n"/>
      <c r="S759" s="491" t="n"/>
      <c r="T759" s="491" t="n"/>
      <c r="U759" s="491" t="n"/>
      <c r="V759" s="491" t="n"/>
      <c r="W759" s="491" t="n"/>
      <c r="X759" s="491" t="n"/>
      <c r="Y759" s="491" t="n"/>
    </row>
    <row r="760" ht="12.75" customHeight="1" s="398">
      <c r="A760" s="491" t="n"/>
      <c r="B760" s="491" t="n"/>
      <c r="C760" s="491" t="n"/>
      <c r="D760" s="491" t="n"/>
      <c r="E760" s="491" t="n"/>
      <c r="F760" s="491" t="n"/>
      <c r="G760" s="491" t="n"/>
      <c r="H760" s="491" t="n"/>
      <c r="I760" s="491" t="n"/>
      <c r="J760" s="491" t="n"/>
      <c r="K760" s="491" t="n"/>
      <c r="L760" s="491" t="n"/>
      <c r="M760" s="491" t="n"/>
      <c r="N760" s="491" t="n"/>
      <c r="O760" s="491" t="n"/>
      <c r="P760" s="491" t="n"/>
      <c r="Q760" s="491" t="n"/>
      <c r="R760" s="491" t="n"/>
      <c r="S760" s="491" t="n"/>
      <c r="T760" s="491" t="n"/>
      <c r="U760" s="491" t="n"/>
      <c r="V760" s="491" t="n"/>
      <c r="W760" s="491" t="n"/>
      <c r="X760" s="491" t="n"/>
      <c r="Y760" s="491" t="n"/>
    </row>
    <row r="761" ht="12.75" customHeight="1" s="398">
      <c r="A761" s="491" t="n"/>
      <c r="B761" s="491" t="n"/>
      <c r="C761" s="491" t="n"/>
      <c r="D761" s="491" t="n"/>
      <c r="E761" s="491" t="n"/>
      <c r="F761" s="491" t="n"/>
      <c r="G761" s="491" t="n"/>
      <c r="H761" s="491" t="n"/>
      <c r="I761" s="491" t="n"/>
      <c r="J761" s="491" t="n"/>
      <c r="K761" s="491" t="n"/>
      <c r="L761" s="491" t="n"/>
      <c r="M761" s="491" t="n"/>
      <c r="N761" s="491" t="n"/>
      <c r="O761" s="491" t="n"/>
      <c r="P761" s="491" t="n"/>
      <c r="Q761" s="491" t="n"/>
      <c r="R761" s="491" t="n"/>
      <c r="S761" s="491" t="n"/>
      <c r="T761" s="491" t="n"/>
      <c r="U761" s="491" t="n"/>
      <c r="V761" s="491" t="n"/>
      <c r="W761" s="491" t="n"/>
      <c r="X761" s="491" t="n"/>
      <c r="Y761" s="491" t="n"/>
    </row>
    <row r="762" ht="12.75" customHeight="1" s="398">
      <c r="A762" s="491" t="n"/>
      <c r="B762" s="491" t="n"/>
      <c r="C762" s="491" t="n"/>
      <c r="D762" s="491" t="n"/>
      <c r="E762" s="491" t="n"/>
      <c r="F762" s="491" t="n"/>
      <c r="G762" s="491" t="n"/>
      <c r="H762" s="491" t="n"/>
      <c r="I762" s="491" t="n"/>
      <c r="J762" s="491" t="n"/>
      <c r="K762" s="491" t="n"/>
      <c r="L762" s="491" t="n"/>
      <c r="M762" s="491" t="n"/>
      <c r="N762" s="491" t="n"/>
      <c r="O762" s="491" t="n"/>
      <c r="P762" s="491" t="n"/>
      <c r="Q762" s="491" t="n"/>
      <c r="R762" s="491" t="n"/>
      <c r="S762" s="491" t="n"/>
      <c r="T762" s="491" t="n"/>
      <c r="U762" s="491" t="n"/>
      <c r="V762" s="491" t="n"/>
      <c r="W762" s="491" t="n"/>
      <c r="X762" s="491" t="n"/>
      <c r="Y762" s="491" t="n"/>
    </row>
    <row r="763" ht="12.75" customHeight="1" s="398">
      <c r="A763" s="491" t="n"/>
      <c r="B763" s="491" t="n"/>
      <c r="C763" s="491" t="n"/>
      <c r="D763" s="491" t="n"/>
      <c r="E763" s="491" t="n"/>
      <c r="F763" s="491" t="n"/>
      <c r="G763" s="491" t="n"/>
      <c r="H763" s="491" t="n"/>
      <c r="I763" s="491" t="n"/>
      <c r="J763" s="491" t="n"/>
      <c r="K763" s="491" t="n"/>
      <c r="L763" s="491" t="n"/>
      <c r="M763" s="491" t="n"/>
      <c r="N763" s="491" t="n"/>
      <c r="O763" s="491" t="n"/>
      <c r="P763" s="491" t="n"/>
      <c r="Q763" s="491" t="n"/>
      <c r="R763" s="491" t="n"/>
      <c r="S763" s="491" t="n"/>
      <c r="T763" s="491" t="n"/>
      <c r="U763" s="491" t="n"/>
      <c r="V763" s="491" t="n"/>
      <c r="W763" s="491" t="n"/>
      <c r="X763" s="491" t="n"/>
      <c r="Y763" s="491" t="n"/>
    </row>
    <row r="764" ht="12.75" customHeight="1" s="398">
      <c r="A764" s="491" t="n"/>
      <c r="B764" s="491" t="n"/>
      <c r="C764" s="491" t="n"/>
      <c r="D764" s="491" t="n"/>
      <c r="E764" s="491" t="n"/>
      <c r="F764" s="491" t="n"/>
      <c r="G764" s="491" t="n"/>
      <c r="H764" s="491" t="n"/>
      <c r="I764" s="491" t="n"/>
      <c r="J764" s="491" t="n"/>
      <c r="K764" s="491" t="n"/>
      <c r="L764" s="491" t="n"/>
      <c r="M764" s="491" t="n"/>
      <c r="N764" s="491" t="n"/>
      <c r="O764" s="491" t="n"/>
      <c r="P764" s="491" t="n"/>
      <c r="Q764" s="491" t="n"/>
      <c r="R764" s="491" t="n"/>
      <c r="S764" s="491" t="n"/>
      <c r="T764" s="491" t="n"/>
      <c r="U764" s="491" t="n"/>
      <c r="V764" s="491" t="n"/>
      <c r="W764" s="491" t="n"/>
      <c r="X764" s="491" t="n"/>
      <c r="Y764" s="491" t="n"/>
    </row>
    <row r="765" ht="12.75" customHeight="1" s="398">
      <c r="A765" s="491" t="n"/>
      <c r="B765" s="491" t="n"/>
      <c r="C765" s="491" t="n"/>
      <c r="D765" s="491" t="n"/>
      <c r="E765" s="491" t="n"/>
      <c r="F765" s="491" t="n"/>
      <c r="G765" s="491" t="n"/>
      <c r="H765" s="491" t="n"/>
      <c r="I765" s="491" t="n"/>
      <c r="J765" s="491" t="n"/>
      <c r="K765" s="491" t="n"/>
      <c r="L765" s="491" t="n"/>
      <c r="M765" s="491" t="n"/>
      <c r="N765" s="491" t="n"/>
      <c r="O765" s="491" t="n"/>
      <c r="P765" s="491" t="n"/>
      <c r="Q765" s="491" t="n"/>
      <c r="R765" s="491" t="n"/>
      <c r="S765" s="491" t="n"/>
      <c r="T765" s="491" t="n"/>
      <c r="U765" s="491" t="n"/>
      <c r="V765" s="491" t="n"/>
      <c r="W765" s="491" t="n"/>
      <c r="X765" s="491" t="n"/>
      <c r="Y765" s="491" t="n"/>
    </row>
    <row r="766" ht="12.75" customHeight="1" s="398">
      <c r="A766" s="491" t="n"/>
      <c r="B766" s="491" t="n"/>
      <c r="C766" s="491" t="n"/>
      <c r="D766" s="491" t="n"/>
      <c r="E766" s="491" t="n"/>
      <c r="F766" s="491" t="n"/>
      <c r="G766" s="491" t="n"/>
      <c r="H766" s="491" t="n"/>
      <c r="I766" s="491" t="n"/>
      <c r="J766" s="491" t="n"/>
      <c r="K766" s="491" t="n"/>
      <c r="L766" s="491" t="n"/>
      <c r="M766" s="491" t="n"/>
      <c r="N766" s="491" t="n"/>
      <c r="O766" s="491" t="n"/>
      <c r="P766" s="491" t="n"/>
      <c r="Q766" s="491" t="n"/>
      <c r="R766" s="491" t="n"/>
      <c r="S766" s="491" t="n"/>
      <c r="T766" s="491" t="n"/>
      <c r="U766" s="491" t="n"/>
      <c r="V766" s="491" t="n"/>
      <c r="W766" s="491" t="n"/>
      <c r="X766" s="491" t="n"/>
      <c r="Y766" s="491" t="n"/>
    </row>
    <row r="767" ht="12.75" customHeight="1" s="398">
      <c r="A767" s="491" t="n"/>
      <c r="B767" s="491" t="n"/>
      <c r="C767" s="491" t="n"/>
      <c r="D767" s="491" t="n"/>
      <c r="E767" s="491" t="n"/>
      <c r="F767" s="491" t="n"/>
      <c r="G767" s="491" t="n"/>
      <c r="H767" s="491" t="n"/>
      <c r="I767" s="491" t="n"/>
      <c r="J767" s="491" t="n"/>
      <c r="K767" s="491" t="n"/>
      <c r="L767" s="491" t="n"/>
      <c r="M767" s="491" t="n"/>
      <c r="N767" s="491" t="n"/>
      <c r="O767" s="491" t="n"/>
      <c r="P767" s="491" t="n"/>
      <c r="Q767" s="491" t="n"/>
      <c r="R767" s="491" t="n"/>
      <c r="S767" s="491" t="n"/>
      <c r="T767" s="491" t="n"/>
      <c r="U767" s="491" t="n"/>
      <c r="V767" s="491" t="n"/>
      <c r="W767" s="491" t="n"/>
      <c r="X767" s="491" t="n"/>
      <c r="Y767" s="491" t="n"/>
    </row>
    <row r="768" ht="12.75" customHeight="1" s="398">
      <c r="A768" s="491" t="n"/>
      <c r="B768" s="491" t="n"/>
      <c r="C768" s="491" t="n"/>
      <c r="D768" s="491" t="n"/>
      <c r="E768" s="491" t="n"/>
      <c r="F768" s="491" t="n"/>
      <c r="G768" s="491" t="n"/>
      <c r="H768" s="491" t="n"/>
      <c r="I768" s="491" t="n"/>
      <c r="J768" s="491" t="n"/>
      <c r="K768" s="491" t="n"/>
      <c r="L768" s="491" t="n"/>
      <c r="M768" s="491" t="n"/>
      <c r="N768" s="491" t="n"/>
      <c r="O768" s="491" t="n"/>
      <c r="P768" s="491" t="n"/>
      <c r="Q768" s="491" t="n"/>
      <c r="R768" s="491" t="n"/>
      <c r="S768" s="491" t="n"/>
      <c r="T768" s="491" t="n"/>
      <c r="U768" s="491" t="n"/>
      <c r="V768" s="491" t="n"/>
      <c r="W768" s="491" t="n"/>
      <c r="X768" s="491" t="n"/>
      <c r="Y768" s="491" t="n"/>
    </row>
    <row r="769" ht="12.75" customHeight="1" s="398">
      <c r="A769" s="491" t="n"/>
      <c r="B769" s="491" t="n"/>
      <c r="C769" s="491" t="n"/>
      <c r="D769" s="491" t="n"/>
      <c r="E769" s="491" t="n"/>
      <c r="F769" s="491" t="n"/>
      <c r="G769" s="491" t="n"/>
      <c r="H769" s="491" t="n"/>
      <c r="I769" s="491" t="n"/>
      <c r="J769" s="491" t="n"/>
      <c r="K769" s="491" t="n"/>
      <c r="L769" s="491" t="n"/>
      <c r="M769" s="491" t="n"/>
      <c r="N769" s="491" t="n"/>
      <c r="O769" s="491" t="n"/>
      <c r="P769" s="491" t="n"/>
      <c r="Q769" s="491" t="n"/>
      <c r="R769" s="491" t="n"/>
      <c r="S769" s="491" t="n"/>
      <c r="T769" s="491" t="n"/>
      <c r="U769" s="491" t="n"/>
      <c r="V769" s="491" t="n"/>
      <c r="W769" s="491" t="n"/>
      <c r="X769" s="491" t="n"/>
      <c r="Y769" s="491" t="n"/>
    </row>
    <row r="770" ht="12.75" customHeight="1" s="398">
      <c r="A770" s="491" t="n"/>
      <c r="B770" s="491" t="n"/>
      <c r="C770" s="491" t="n"/>
      <c r="D770" s="491" t="n"/>
      <c r="E770" s="491" t="n"/>
      <c r="F770" s="491" t="n"/>
      <c r="G770" s="491" t="n"/>
      <c r="H770" s="491" t="n"/>
      <c r="I770" s="491" t="n"/>
      <c r="J770" s="491" t="n"/>
      <c r="K770" s="491" t="n"/>
      <c r="L770" s="491" t="n"/>
      <c r="M770" s="491" t="n"/>
      <c r="N770" s="491" t="n"/>
      <c r="O770" s="491" t="n"/>
      <c r="P770" s="491" t="n"/>
      <c r="Q770" s="491" t="n"/>
      <c r="R770" s="491" t="n"/>
      <c r="S770" s="491" t="n"/>
      <c r="T770" s="491" t="n"/>
      <c r="U770" s="491" t="n"/>
      <c r="V770" s="491" t="n"/>
      <c r="W770" s="491" t="n"/>
      <c r="X770" s="491" t="n"/>
      <c r="Y770" s="491" t="n"/>
    </row>
    <row r="771" ht="12.75" customHeight="1" s="398">
      <c r="A771" s="491" t="n"/>
      <c r="B771" s="491" t="n"/>
      <c r="C771" s="491" t="n"/>
      <c r="D771" s="491" t="n"/>
      <c r="E771" s="491" t="n"/>
      <c r="F771" s="491" t="n"/>
      <c r="G771" s="491" t="n"/>
      <c r="H771" s="491" t="n"/>
      <c r="I771" s="491" t="n"/>
      <c r="J771" s="491" t="n"/>
      <c r="K771" s="491" t="n"/>
      <c r="L771" s="491" t="n"/>
      <c r="M771" s="491" t="n"/>
      <c r="N771" s="491" t="n"/>
      <c r="O771" s="491" t="n"/>
      <c r="P771" s="491" t="n"/>
      <c r="Q771" s="491" t="n"/>
      <c r="R771" s="491" t="n"/>
      <c r="S771" s="491" t="n"/>
      <c r="T771" s="491" t="n"/>
      <c r="U771" s="491" t="n"/>
      <c r="V771" s="491" t="n"/>
      <c r="W771" s="491" t="n"/>
      <c r="X771" s="491" t="n"/>
      <c r="Y771" s="491" t="n"/>
    </row>
    <row r="772" ht="12.75" customHeight="1" s="398">
      <c r="A772" s="491" t="n"/>
      <c r="B772" s="491" t="n"/>
      <c r="C772" s="491" t="n"/>
      <c r="D772" s="491" t="n"/>
      <c r="E772" s="491" t="n"/>
      <c r="F772" s="491" t="n"/>
      <c r="G772" s="491" t="n"/>
      <c r="H772" s="491" t="n"/>
      <c r="I772" s="491" t="n"/>
      <c r="J772" s="491" t="n"/>
      <c r="K772" s="491" t="n"/>
      <c r="L772" s="491" t="n"/>
      <c r="M772" s="491" t="n"/>
      <c r="N772" s="491" t="n"/>
      <c r="O772" s="491" t="n"/>
      <c r="P772" s="491" t="n"/>
      <c r="Q772" s="491" t="n"/>
      <c r="R772" s="491" t="n"/>
      <c r="S772" s="491" t="n"/>
      <c r="T772" s="491" t="n"/>
      <c r="U772" s="491" t="n"/>
      <c r="V772" s="491" t="n"/>
      <c r="W772" s="491" t="n"/>
      <c r="X772" s="491" t="n"/>
      <c r="Y772" s="491" t="n"/>
    </row>
    <row r="773" ht="12.75" customHeight="1" s="398">
      <c r="A773" s="491" t="n"/>
      <c r="B773" s="491" t="n"/>
      <c r="C773" s="491" t="n"/>
      <c r="D773" s="491" t="n"/>
      <c r="E773" s="491" t="n"/>
      <c r="F773" s="491" t="n"/>
      <c r="G773" s="491" t="n"/>
      <c r="H773" s="491" t="n"/>
      <c r="I773" s="491" t="n"/>
      <c r="J773" s="491" t="n"/>
      <c r="K773" s="491" t="n"/>
      <c r="L773" s="491" t="n"/>
      <c r="M773" s="491" t="n"/>
      <c r="N773" s="491" t="n"/>
      <c r="O773" s="491" t="n"/>
      <c r="P773" s="491" t="n"/>
      <c r="Q773" s="491" t="n"/>
      <c r="R773" s="491" t="n"/>
      <c r="S773" s="491" t="n"/>
      <c r="T773" s="491" t="n"/>
      <c r="U773" s="491" t="n"/>
      <c r="V773" s="491" t="n"/>
      <c r="W773" s="491" t="n"/>
      <c r="X773" s="491" t="n"/>
      <c r="Y773" s="491" t="n"/>
    </row>
    <row r="774" ht="12.75" customHeight="1" s="398">
      <c r="A774" s="491" t="n"/>
      <c r="B774" s="491" t="n"/>
      <c r="C774" s="491" t="n"/>
      <c r="D774" s="491" t="n"/>
      <c r="E774" s="491" t="n"/>
      <c r="F774" s="491" t="n"/>
      <c r="G774" s="491" t="n"/>
      <c r="H774" s="491" t="n"/>
      <c r="I774" s="491" t="n"/>
      <c r="J774" s="491" t="n"/>
      <c r="K774" s="491" t="n"/>
      <c r="L774" s="491" t="n"/>
      <c r="M774" s="491" t="n"/>
      <c r="N774" s="491" t="n"/>
      <c r="O774" s="491" t="n"/>
      <c r="P774" s="491" t="n"/>
      <c r="Q774" s="491" t="n"/>
      <c r="R774" s="491" t="n"/>
      <c r="S774" s="491" t="n"/>
      <c r="T774" s="491" t="n"/>
      <c r="U774" s="491" t="n"/>
      <c r="V774" s="491" t="n"/>
      <c r="W774" s="491" t="n"/>
      <c r="X774" s="491" t="n"/>
      <c r="Y774" s="491" t="n"/>
    </row>
    <row r="775" ht="12.75" customHeight="1" s="398">
      <c r="A775" s="491" t="n"/>
      <c r="B775" s="491" t="n"/>
      <c r="C775" s="491" t="n"/>
      <c r="D775" s="491" t="n"/>
      <c r="E775" s="491" t="n"/>
      <c r="F775" s="491" t="n"/>
      <c r="G775" s="491" t="n"/>
      <c r="H775" s="491" t="n"/>
      <c r="I775" s="491" t="n"/>
      <c r="J775" s="491" t="n"/>
      <c r="K775" s="491" t="n"/>
      <c r="L775" s="491" t="n"/>
      <c r="M775" s="491" t="n"/>
      <c r="N775" s="491" t="n"/>
      <c r="O775" s="491" t="n"/>
      <c r="P775" s="491" t="n"/>
      <c r="Q775" s="491" t="n"/>
      <c r="R775" s="491" t="n"/>
      <c r="S775" s="491" t="n"/>
      <c r="T775" s="491" t="n"/>
      <c r="U775" s="491" t="n"/>
      <c r="V775" s="491" t="n"/>
      <c r="W775" s="491" t="n"/>
      <c r="X775" s="491" t="n"/>
      <c r="Y775" s="491" t="n"/>
    </row>
    <row r="776" ht="12.75" customHeight="1" s="398">
      <c r="A776" s="491" t="n"/>
      <c r="B776" s="491" t="n"/>
      <c r="C776" s="491" t="n"/>
      <c r="D776" s="491" t="n"/>
      <c r="E776" s="491" t="n"/>
      <c r="F776" s="491" t="n"/>
      <c r="G776" s="491" t="n"/>
      <c r="H776" s="491" t="n"/>
      <c r="I776" s="491" t="n"/>
      <c r="J776" s="491" t="n"/>
      <c r="K776" s="491" t="n"/>
      <c r="L776" s="491" t="n"/>
      <c r="M776" s="491" t="n"/>
      <c r="N776" s="491" t="n"/>
      <c r="O776" s="491" t="n"/>
      <c r="P776" s="491" t="n"/>
      <c r="Q776" s="491" t="n"/>
      <c r="R776" s="491" t="n"/>
      <c r="S776" s="491" t="n"/>
      <c r="T776" s="491" t="n"/>
      <c r="U776" s="491" t="n"/>
      <c r="V776" s="491" t="n"/>
      <c r="W776" s="491" t="n"/>
      <c r="X776" s="491" t="n"/>
      <c r="Y776" s="491" t="n"/>
    </row>
    <row r="777" ht="12.75" customHeight="1" s="398">
      <c r="A777" s="491" t="n"/>
      <c r="B777" s="491" t="n"/>
      <c r="C777" s="491" t="n"/>
      <c r="D777" s="491" t="n"/>
      <c r="E777" s="491" t="n"/>
      <c r="F777" s="491" t="n"/>
      <c r="G777" s="491" t="n"/>
      <c r="H777" s="491" t="n"/>
      <c r="I777" s="491" t="n"/>
      <c r="J777" s="491" t="n"/>
      <c r="K777" s="491" t="n"/>
      <c r="L777" s="491" t="n"/>
      <c r="M777" s="491" t="n"/>
      <c r="N777" s="491" t="n"/>
      <c r="O777" s="491" t="n"/>
      <c r="P777" s="491" t="n"/>
      <c r="Q777" s="491" t="n"/>
      <c r="R777" s="491" t="n"/>
      <c r="S777" s="491" t="n"/>
      <c r="T777" s="491" t="n"/>
      <c r="U777" s="491" t="n"/>
      <c r="V777" s="491" t="n"/>
      <c r="W777" s="491" t="n"/>
      <c r="X777" s="491" t="n"/>
      <c r="Y777" s="491" t="n"/>
    </row>
    <row r="778" ht="12.75" customHeight="1" s="398">
      <c r="A778" s="491" t="n"/>
      <c r="B778" s="491" t="n"/>
      <c r="C778" s="491" t="n"/>
      <c r="D778" s="491" t="n"/>
      <c r="E778" s="491" t="n"/>
      <c r="F778" s="491" t="n"/>
      <c r="G778" s="491" t="n"/>
      <c r="H778" s="491" t="n"/>
      <c r="I778" s="491" t="n"/>
      <c r="J778" s="491" t="n"/>
      <c r="K778" s="491" t="n"/>
      <c r="L778" s="491" t="n"/>
      <c r="M778" s="491" t="n"/>
      <c r="N778" s="491" t="n"/>
      <c r="O778" s="491" t="n"/>
      <c r="P778" s="491" t="n"/>
      <c r="Q778" s="491" t="n"/>
      <c r="R778" s="491" t="n"/>
      <c r="S778" s="491" t="n"/>
      <c r="T778" s="491" t="n"/>
      <c r="U778" s="491" t="n"/>
      <c r="V778" s="491" t="n"/>
      <c r="W778" s="491" t="n"/>
      <c r="X778" s="491" t="n"/>
      <c r="Y778" s="491" t="n"/>
    </row>
    <row r="779" ht="12.75" customHeight="1" s="398">
      <c r="A779" s="491" t="n"/>
      <c r="B779" s="491" t="n"/>
      <c r="C779" s="491" t="n"/>
      <c r="D779" s="491" t="n"/>
      <c r="E779" s="491" t="n"/>
      <c r="F779" s="491" t="n"/>
      <c r="G779" s="491" t="n"/>
      <c r="H779" s="491" t="n"/>
      <c r="I779" s="491" t="n"/>
      <c r="J779" s="491" t="n"/>
      <c r="K779" s="491" t="n"/>
      <c r="L779" s="491" t="n"/>
      <c r="M779" s="491" t="n"/>
      <c r="N779" s="491" t="n"/>
      <c r="O779" s="491" t="n"/>
      <c r="P779" s="491" t="n"/>
      <c r="Q779" s="491" t="n"/>
      <c r="R779" s="491" t="n"/>
      <c r="S779" s="491" t="n"/>
      <c r="T779" s="491" t="n"/>
      <c r="U779" s="491" t="n"/>
      <c r="V779" s="491" t="n"/>
      <c r="W779" s="491" t="n"/>
      <c r="X779" s="491" t="n"/>
      <c r="Y779" s="491" t="n"/>
    </row>
    <row r="780" ht="12.75" customHeight="1" s="398">
      <c r="A780" s="491" t="n"/>
      <c r="B780" s="491" t="n"/>
      <c r="C780" s="491" t="n"/>
      <c r="D780" s="491" t="n"/>
      <c r="E780" s="491" t="n"/>
      <c r="F780" s="491" t="n"/>
      <c r="G780" s="491" t="n"/>
      <c r="H780" s="491" t="n"/>
      <c r="I780" s="491" t="n"/>
      <c r="J780" s="491" t="n"/>
      <c r="K780" s="491" t="n"/>
      <c r="L780" s="491" t="n"/>
      <c r="M780" s="491" t="n"/>
      <c r="N780" s="491" t="n"/>
      <c r="O780" s="491" t="n"/>
      <c r="P780" s="491" t="n"/>
      <c r="Q780" s="491" t="n"/>
      <c r="R780" s="491" t="n"/>
      <c r="S780" s="491" t="n"/>
      <c r="T780" s="491" t="n"/>
      <c r="U780" s="491" t="n"/>
      <c r="V780" s="491" t="n"/>
      <c r="W780" s="491" t="n"/>
      <c r="X780" s="491" t="n"/>
      <c r="Y780" s="491" t="n"/>
    </row>
    <row r="781" ht="12.75" customHeight="1" s="398">
      <c r="A781" s="491" t="n"/>
      <c r="B781" s="491" t="n"/>
      <c r="C781" s="491" t="n"/>
      <c r="D781" s="491" t="n"/>
      <c r="E781" s="491" t="n"/>
      <c r="F781" s="491" t="n"/>
      <c r="G781" s="491" t="n"/>
      <c r="H781" s="491" t="n"/>
      <c r="I781" s="491" t="n"/>
      <c r="J781" s="491" t="n"/>
      <c r="K781" s="491" t="n"/>
      <c r="L781" s="491" t="n"/>
      <c r="M781" s="491" t="n"/>
      <c r="N781" s="491" t="n"/>
      <c r="O781" s="491" t="n"/>
      <c r="P781" s="491" t="n"/>
      <c r="Q781" s="491" t="n"/>
      <c r="R781" s="491" t="n"/>
      <c r="S781" s="491" t="n"/>
      <c r="T781" s="491" t="n"/>
      <c r="U781" s="491" t="n"/>
      <c r="V781" s="491" t="n"/>
      <c r="W781" s="491" t="n"/>
      <c r="X781" s="491" t="n"/>
      <c r="Y781" s="491" t="n"/>
    </row>
    <row r="782" ht="12.75" customHeight="1" s="398">
      <c r="A782" s="491" t="n"/>
      <c r="B782" s="491" t="n"/>
      <c r="C782" s="491" t="n"/>
      <c r="D782" s="491" t="n"/>
      <c r="E782" s="491" t="n"/>
      <c r="F782" s="491" t="n"/>
      <c r="G782" s="491" t="n"/>
      <c r="H782" s="491" t="n"/>
      <c r="I782" s="491" t="n"/>
      <c r="J782" s="491" t="n"/>
      <c r="K782" s="491" t="n"/>
      <c r="L782" s="491" t="n"/>
      <c r="M782" s="491" t="n"/>
      <c r="N782" s="491" t="n"/>
      <c r="O782" s="491" t="n"/>
      <c r="P782" s="491" t="n"/>
      <c r="Q782" s="491" t="n"/>
      <c r="R782" s="491" t="n"/>
      <c r="S782" s="491" t="n"/>
      <c r="T782" s="491" t="n"/>
      <c r="U782" s="491" t="n"/>
      <c r="V782" s="491" t="n"/>
      <c r="W782" s="491" t="n"/>
      <c r="X782" s="491" t="n"/>
      <c r="Y782" s="491" t="n"/>
    </row>
    <row r="783" ht="12.75" customHeight="1" s="398">
      <c r="A783" s="491" t="n"/>
      <c r="B783" s="491" t="n"/>
      <c r="C783" s="491" t="n"/>
      <c r="D783" s="491" t="n"/>
      <c r="E783" s="491" t="n"/>
      <c r="F783" s="491" t="n"/>
      <c r="G783" s="491" t="n"/>
      <c r="H783" s="491" t="n"/>
      <c r="I783" s="491" t="n"/>
      <c r="J783" s="491" t="n"/>
      <c r="K783" s="491" t="n"/>
      <c r="L783" s="491" t="n"/>
      <c r="M783" s="491" t="n"/>
      <c r="N783" s="491" t="n"/>
      <c r="O783" s="491" t="n"/>
      <c r="P783" s="491" t="n"/>
      <c r="Q783" s="491" t="n"/>
      <c r="R783" s="491" t="n"/>
      <c r="S783" s="491" t="n"/>
      <c r="T783" s="491" t="n"/>
      <c r="U783" s="491" t="n"/>
      <c r="V783" s="491" t="n"/>
      <c r="W783" s="491" t="n"/>
      <c r="X783" s="491" t="n"/>
      <c r="Y783" s="491" t="n"/>
    </row>
    <row r="784" ht="12.75" customHeight="1" s="398">
      <c r="A784" s="491" t="n"/>
      <c r="B784" s="491" t="n"/>
      <c r="C784" s="491" t="n"/>
      <c r="D784" s="491" t="n"/>
      <c r="E784" s="491" t="n"/>
      <c r="F784" s="491" t="n"/>
      <c r="G784" s="491" t="n"/>
      <c r="H784" s="491" t="n"/>
      <c r="I784" s="491" t="n"/>
      <c r="J784" s="491" t="n"/>
      <c r="K784" s="491" t="n"/>
      <c r="L784" s="491" t="n"/>
      <c r="M784" s="491" t="n"/>
      <c r="N784" s="491" t="n"/>
      <c r="O784" s="491" t="n"/>
      <c r="P784" s="491" t="n"/>
      <c r="Q784" s="491" t="n"/>
      <c r="R784" s="491" t="n"/>
      <c r="S784" s="491" t="n"/>
      <c r="T784" s="491" t="n"/>
      <c r="U784" s="491" t="n"/>
      <c r="V784" s="491" t="n"/>
      <c r="W784" s="491" t="n"/>
      <c r="X784" s="491" t="n"/>
      <c r="Y784" s="491" t="n"/>
    </row>
    <row r="785" ht="12.75" customHeight="1" s="398">
      <c r="A785" s="491" t="n"/>
      <c r="B785" s="491" t="n"/>
      <c r="C785" s="491" t="n"/>
      <c r="D785" s="491" t="n"/>
      <c r="E785" s="491" t="n"/>
      <c r="F785" s="491" t="n"/>
      <c r="G785" s="491" t="n"/>
      <c r="H785" s="491" t="n"/>
      <c r="I785" s="491" t="n"/>
      <c r="J785" s="491" t="n"/>
      <c r="K785" s="491" t="n"/>
      <c r="L785" s="491" t="n"/>
      <c r="M785" s="491" t="n"/>
      <c r="N785" s="491" t="n"/>
      <c r="O785" s="491" t="n"/>
      <c r="P785" s="491" t="n"/>
      <c r="Q785" s="491" t="n"/>
      <c r="R785" s="491" t="n"/>
      <c r="S785" s="491" t="n"/>
      <c r="T785" s="491" t="n"/>
      <c r="U785" s="491" t="n"/>
      <c r="V785" s="491" t="n"/>
      <c r="W785" s="491" t="n"/>
      <c r="X785" s="491" t="n"/>
      <c r="Y785" s="491" t="n"/>
    </row>
    <row r="786" ht="12.75" customHeight="1" s="398">
      <c r="A786" s="491" t="n"/>
      <c r="B786" s="491" t="n"/>
      <c r="C786" s="491" t="n"/>
      <c r="D786" s="491" t="n"/>
      <c r="E786" s="491" t="n"/>
      <c r="F786" s="491" t="n"/>
      <c r="G786" s="491" t="n"/>
      <c r="H786" s="491" t="n"/>
      <c r="I786" s="491" t="n"/>
      <c r="J786" s="491" t="n"/>
      <c r="K786" s="491" t="n"/>
      <c r="L786" s="491" t="n"/>
      <c r="M786" s="491" t="n"/>
      <c r="N786" s="491" t="n"/>
      <c r="O786" s="491" t="n"/>
      <c r="P786" s="491" t="n"/>
      <c r="Q786" s="491" t="n"/>
      <c r="R786" s="491" t="n"/>
      <c r="S786" s="491" t="n"/>
      <c r="T786" s="491" t="n"/>
      <c r="U786" s="491" t="n"/>
      <c r="V786" s="491" t="n"/>
      <c r="W786" s="491" t="n"/>
      <c r="X786" s="491" t="n"/>
      <c r="Y786" s="491" t="n"/>
    </row>
    <row r="787" ht="12.75" customHeight="1" s="398">
      <c r="A787" s="491" t="n"/>
      <c r="B787" s="491" t="n"/>
      <c r="C787" s="491" t="n"/>
      <c r="D787" s="491" t="n"/>
      <c r="E787" s="491" t="n"/>
      <c r="F787" s="491" t="n"/>
      <c r="G787" s="491" t="n"/>
      <c r="H787" s="491" t="n"/>
      <c r="I787" s="491" t="n"/>
      <c r="J787" s="491" t="n"/>
      <c r="K787" s="491" t="n"/>
      <c r="L787" s="491" t="n"/>
      <c r="M787" s="491" t="n"/>
      <c r="N787" s="491" t="n"/>
      <c r="O787" s="491" t="n"/>
      <c r="P787" s="491" t="n"/>
      <c r="Q787" s="491" t="n"/>
      <c r="R787" s="491" t="n"/>
      <c r="S787" s="491" t="n"/>
      <c r="T787" s="491" t="n"/>
      <c r="U787" s="491" t="n"/>
      <c r="V787" s="491" t="n"/>
      <c r="W787" s="491" t="n"/>
      <c r="X787" s="491" t="n"/>
      <c r="Y787" s="491" t="n"/>
    </row>
    <row r="788" ht="12.75" customHeight="1" s="398">
      <c r="A788" s="491" t="n"/>
      <c r="B788" s="491" t="n"/>
      <c r="C788" s="491" t="n"/>
      <c r="D788" s="491" t="n"/>
      <c r="E788" s="491" t="n"/>
      <c r="F788" s="491" t="n"/>
      <c r="G788" s="491" t="n"/>
      <c r="H788" s="491" t="n"/>
      <c r="I788" s="491" t="n"/>
      <c r="J788" s="491" t="n"/>
      <c r="K788" s="491" t="n"/>
      <c r="L788" s="491" t="n"/>
      <c r="M788" s="491" t="n"/>
      <c r="N788" s="491" t="n"/>
      <c r="O788" s="491" t="n"/>
      <c r="P788" s="491" t="n"/>
      <c r="Q788" s="491" t="n"/>
      <c r="R788" s="491" t="n"/>
      <c r="S788" s="491" t="n"/>
      <c r="T788" s="491" t="n"/>
      <c r="U788" s="491" t="n"/>
      <c r="V788" s="491" t="n"/>
      <c r="W788" s="491" t="n"/>
      <c r="X788" s="491" t="n"/>
      <c r="Y788" s="491" t="n"/>
    </row>
    <row r="789" ht="12.75" customHeight="1" s="398">
      <c r="A789" s="491" t="n"/>
      <c r="B789" s="491" t="n"/>
      <c r="C789" s="491" t="n"/>
      <c r="D789" s="491" t="n"/>
      <c r="E789" s="491" t="n"/>
      <c r="F789" s="491" t="n"/>
      <c r="G789" s="491" t="n"/>
      <c r="H789" s="491" t="n"/>
      <c r="I789" s="491" t="n"/>
      <c r="J789" s="491" t="n"/>
      <c r="K789" s="491" t="n"/>
      <c r="L789" s="491" t="n"/>
      <c r="M789" s="491" t="n"/>
      <c r="N789" s="491" t="n"/>
      <c r="O789" s="491" t="n"/>
      <c r="P789" s="491" t="n"/>
      <c r="Q789" s="491" t="n"/>
      <c r="R789" s="491" t="n"/>
      <c r="S789" s="491" t="n"/>
      <c r="T789" s="491" t="n"/>
      <c r="U789" s="491" t="n"/>
      <c r="V789" s="491" t="n"/>
      <c r="W789" s="491" t="n"/>
      <c r="X789" s="491" t="n"/>
      <c r="Y789" s="491" t="n"/>
    </row>
    <row r="790" ht="12.75" customHeight="1" s="398">
      <c r="A790" s="491" t="n"/>
      <c r="B790" s="491" t="n"/>
      <c r="C790" s="491" t="n"/>
      <c r="D790" s="491" t="n"/>
      <c r="E790" s="491" t="n"/>
      <c r="F790" s="491" t="n"/>
      <c r="G790" s="491" t="n"/>
      <c r="H790" s="491" t="n"/>
      <c r="I790" s="491" t="n"/>
      <c r="J790" s="491" t="n"/>
      <c r="K790" s="491" t="n"/>
      <c r="L790" s="491" t="n"/>
      <c r="M790" s="491" t="n"/>
      <c r="N790" s="491" t="n"/>
      <c r="O790" s="491" t="n"/>
      <c r="P790" s="491" t="n"/>
      <c r="Q790" s="491" t="n"/>
      <c r="R790" s="491" t="n"/>
      <c r="S790" s="491" t="n"/>
      <c r="T790" s="491" t="n"/>
      <c r="U790" s="491" t="n"/>
      <c r="V790" s="491" t="n"/>
      <c r="W790" s="491" t="n"/>
      <c r="X790" s="491" t="n"/>
      <c r="Y790" s="491" t="n"/>
    </row>
    <row r="791" ht="12.75" customHeight="1" s="398">
      <c r="A791" s="491" t="n"/>
      <c r="B791" s="491" t="n"/>
      <c r="C791" s="491" t="n"/>
      <c r="D791" s="491" t="n"/>
      <c r="E791" s="491" t="n"/>
      <c r="F791" s="491" t="n"/>
      <c r="G791" s="491" t="n"/>
      <c r="H791" s="491" t="n"/>
      <c r="I791" s="491" t="n"/>
      <c r="J791" s="491" t="n"/>
      <c r="K791" s="491" t="n"/>
      <c r="L791" s="491" t="n"/>
      <c r="M791" s="491" t="n"/>
      <c r="N791" s="491" t="n"/>
      <c r="O791" s="491" t="n"/>
      <c r="P791" s="491" t="n"/>
      <c r="Q791" s="491" t="n"/>
      <c r="R791" s="491" t="n"/>
      <c r="S791" s="491" t="n"/>
      <c r="T791" s="491" t="n"/>
      <c r="U791" s="491" t="n"/>
      <c r="V791" s="491" t="n"/>
      <c r="W791" s="491" t="n"/>
      <c r="X791" s="491" t="n"/>
      <c r="Y791" s="491" t="n"/>
    </row>
    <row r="792" ht="12.75" customHeight="1" s="398">
      <c r="A792" s="491" t="n"/>
      <c r="B792" s="491" t="n"/>
      <c r="C792" s="491" t="n"/>
      <c r="D792" s="491" t="n"/>
      <c r="E792" s="491" t="n"/>
      <c r="F792" s="491" t="n"/>
      <c r="G792" s="491" t="n"/>
      <c r="H792" s="491" t="n"/>
      <c r="I792" s="491" t="n"/>
      <c r="J792" s="491" t="n"/>
      <c r="K792" s="491" t="n"/>
      <c r="L792" s="491" t="n"/>
      <c r="M792" s="491" t="n"/>
      <c r="N792" s="491" t="n"/>
      <c r="O792" s="491" t="n"/>
      <c r="P792" s="491" t="n"/>
      <c r="Q792" s="491" t="n"/>
      <c r="R792" s="491" t="n"/>
      <c r="S792" s="491" t="n"/>
      <c r="T792" s="491" t="n"/>
      <c r="U792" s="491" t="n"/>
      <c r="V792" s="491" t="n"/>
      <c r="W792" s="491" t="n"/>
      <c r="X792" s="491" t="n"/>
      <c r="Y792" s="491" t="n"/>
    </row>
    <row r="793" ht="12.75" customHeight="1" s="398">
      <c r="A793" s="491" t="n"/>
      <c r="B793" s="491" t="n"/>
      <c r="C793" s="491" t="n"/>
      <c r="D793" s="491" t="n"/>
      <c r="E793" s="491" t="n"/>
      <c r="F793" s="491" t="n"/>
      <c r="G793" s="491" t="n"/>
      <c r="H793" s="491" t="n"/>
      <c r="I793" s="491" t="n"/>
      <c r="J793" s="491" t="n"/>
      <c r="K793" s="491" t="n"/>
      <c r="L793" s="491" t="n"/>
      <c r="M793" s="491" t="n"/>
      <c r="N793" s="491" t="n"/>
      <c r="O793" s="491" t="n"/>
      <c r="P793" s="491" t="n"/>
      <c r="Q793" s="491" t="n"/>
      <c r="R793" s="491" t="n"/>
      <c r="S793" s="491" t="n"/>
      <c r="T793" s="491" t="n"/>
      <c r="U793" s="491" t="n"/>
      <c r="V793" s="491" t="n"/>
      <c r="W793" s="491" t="n"/>
      <c r="X793" s="491" t="n"/>
      <c r="Y793" s="491" t="n"/>
    </row>
    <row r="794" ht="12.75" customHeight="1" s="398">
      <c r="A794" s="491" t="n"/>
      <c r="B794" s="491" t="n"/>
      <c r="C794" s="491" t="n"/>
      <c r="D794" s="491" t="n"/>
      <c r="E794" s="491" t="n"/>
      <c r="F794" s="491" t="n"/>
      <c r="G794" s="491" t="n"/>
      <c r="H794" s="491" t="n"/>
      <c r="I794" s="491" t="n"/>
      <c r="J794" s="491" t="n"/>
      <c r="K794" s="491" t="n"/>
      <c r="L794" s="491" t="n"/>
      <c r="M794" s="491" t="n"/>
      <c r="N794" s="491" t="n"/>
      <c r="O794" s="491" t="n"/>
      <c r="P794" s="491" t="n"/>
      <c r="Q794" s="491" t="n"/>
      <c r="R794" s="491" t="n"/>
      <c r="S794" s="491" t="n"/>
      <c r="T794" s="491" t="n"/>
      <c r="U794" s="491" t="n"/>
      <c r="V794" s="491" t="n"/>
      <c r="W794" s="491" t="n"/>
      <c r="X794" s="491" t="n"/>
      <c r="Y794" s="491" t="n"/>
    </row>
    <row r="795" ht="12.75" customHeight="1" s="398">
      <c r="A795" s="491" t="n"/>
      <c r="B795" s="491" t="n"/>
      <c r="C795" s="491" t="n"/>
      <c r="D795" s="491" t="n"/>
      <c r="E795" s="491" t="n"/>
      <c r="F795" s="491" t="n"/>
      <c r="G795" s="491" t="n"/>
      <c r="H795" s="491" t="n"/>
      <c r="I795" s="491" t="n"/>
      <c r="J795" s="491" t="n"/>
      <c r="K795" s="491" t="n"/>
      <c r="L795" s="491" t="n"/>
      <c r="M795" s="491" t="n"/>
      <c r="N795" s="491" t="n"/>
      <c r="O795" s="491" t="n"/>
      <c r="P795" s="491" t="n"/>
      <c r="Q795" s="491" t="n"/>
      <c r="R795" s="491" t="n"/>
      <c r="S795" s="491" t="n"/>
      <c r="T795" s="491" t="n"/>
      <c r="U795" s="491" t="n"/>
      <c r="V795" s="491" t="n"/>
      <c r="W795" s="491" t="n"/>
      <c r="X795" s="491" t="n"/>
      <c r="Y795" s="491" t="n"/>
    </row>
    <row r="796" ht="12.75" customHeight="1" s="398">
      <c r="A796" s="491" t="n"/>
      <c r="B796" s="491" t="n"/>
      <c r="C796" s="491" t="n"/>
      <c r="D796" s="491" t="n"/>
      <c r="E796" s="491" t="n"/>
      <c r="F796" s="491" t="n"/>
      <c r="G796" s="491" t="n"/>
      <c r="H796" s="491" t="n"/>
      <c r="I796" s="491" t="n"/>
      <c r="J796" s="491" t="n"/>
      <c r="K796" s="491" t="n"/>
      <c r="L796" s="491" t="n"/>
      <c r="M796" s="491" t="n"/>
      <c r="N796" s="491" t="n"/>
      <c r="O796" s="491" t="n"/>
      <c r="P796" s="491" t="n"/>
      <c r="Q796" s="491" t="n"/>
      <c r="R796" s="491" t="n"/>
      <c r="S796" s="491" t="n"/>
      <c r="T796" s="491" t="n"/>
      <c r="U796" s="491" t="n"/>
      <c r="V796" s="491" t="n"/>
      <c r="W796" s="491" t="n"/>
      <c r="X796" s="491" t="n"/>
      <c r="Y796" s="491" t="n"/>
    </row>
    <row r="797" ht="12.75" customHeight="1" s="398">
      <c r="A797" s="491" t="n"/>
      <c r="B797" s="491" t="n"/>
      <c r="C797" s="491" t="n"/>
      <c r="D797" s="491" t="n"/>
      <c r="E797" s="491" t="n"/>
      <c r="F797" s="491" t="n"/>
      <c r="G797" s="491" t="n"/>
      <c r="H797" s="491" t="n"/>
      <c r="I797" s="491" t="n"/>
      <c r="J797" s="491" t="n"/>
      <c r="K797" s="491" t="n"/>
      <c r="L797" s="491" t="n"/>
      <c r="M797" s="491" t="n"/>
      <c r="N797" s="491" t="n"/>
      <c r="O797" s="491" t="n"/>
      <c r="P797" s="491" t="n"/>
      <c r="Q797" s="491" t="n"/>
      <c r="R797" s="491" t="n"/>
      <c r="S797" s="491" t="n"/>
      <c r="T797" s="491" t="n"/>
      <c r="U797" s="491" t="n"/>
      <c r="V797" s="491" t="n"/>
      <c r="W797" s="491" t="n"/>
      <c r="X797" s="491" t="n"/>
      <c r="Y797" s="491" t="n"/>
    </row>
    <row r="798" ht="12.75" customHeight="1" s="398">
      <c r="A798" s="491" t="n"/>
      <c r="B798" s="491" t="n"/>
      <c r="C798" s="491" t="n"/>
      <c r="D798" s="491" t="n"/>
      <c r="E798" s="491" t="n"/>
      <c r="F798" s="491" t="n"/>
      <c r="G798" s="491" t="n"/>
      <c r="H798" s="491" t="n"/>
      <c r="I798" s="491" t="n"/>
      <c r="J798" s="491" t="n"/>
      <c r="K798" s="491" t="n"/>
      <c r="L798" s="491" t="n"/>
      <c r="M798" s="491" t="n"/>
      <c r="N798" s="491" t="n"/>
      <c r="O798" s="491" t="n"/>
      <c r="P798" s="491" t="n"/>
      <c r="Q798" s="491" t="n"/>
      <c r="R798" s="491" t="n"/>
      <c r="S798" s="491" t="n"/>
      <c r="T798" s="491" t="n"/>
      <c r="U798" s="491" t="n"/>
      <c r="V798" s="491" t="n"/>
      <c r="W798" s="491" t="n"/>
      <c r="X798" s="491" t="n"/>
      <c r="Y798" s="491" t="n"/>
    </row>
    <row r="799" ht="12.75" customHeight="1" s="398">
      <c r="A799" s="491" t="n"/>
      <c r="B799" s="491" t="n"/>
      <c r="C799" s="491" t="n"/>
      <c r="D799" s="491" t="n"/>
      <c r="E799" s="491" t="n"/>
      <c r="F799" s="491" t="n"/>
      <c r="G799" s="491" t="n"/>
      <c r="H799" s="491" t="n"/>
      <c r="I799" s="491" t="n"/>
      <c r="J799" s="491" t="n"/>
      <c r="K799" s="491" t="n"/>
      <c r="L799" s="491" t="n"/>
      <c r="M799" s="491" t="n"/>
      <c r="N799" s="491" t="n"/>
      <c r="O799" s="491" t="n"/>
      <c r="P799" s="491" t="n"/>
      <c r="Q799" s="491" t="n"/>
      <c r="R799" s="491" t="n"/>
      <c r="S799" s="491" t="n"/>
      <c r="T799" s="491" t="n"/>
      <c r="U799" s="491" t="n"/>
      <c r="V799" s="491" t="n"/>
      <c r="W799" s="491" t="n"/>
      <c r="X799" s="491" t="n"/>
      <c r="Y799" s="491" t="n"/>
    </row>
    <row r="800" ht="12.75" customHeight="1" s="398">
      <c r="A800" s="491" t="n"/>
      <c r="B800" s="491" t="n"/>
      <c r="C800" s="491" t="n"/>
      <c r="D800" s="491" t="n"/>
      <c r="E800" s="491" t="n"/>
      <c r="F800" s="491" t="n"/>
      <c r="G800" s="491" t="n"/>
      <c r="H800" s="491" t="n"/>
      <c r="I800" s="491" t="n"/>
      <c r="J800" s="491" t="n"/>
      <c r="K800" s="491" t="n"/>
      <c r="L800" s="491" t="n"/>
      <c r="M800" s="491" t="n"/>
      <c r="N800" s="491" t="n"/>
      <c r="O800" s="491" t="n"/>
      <c r="P800" s="491" t="n"/>
      <c r="Q800" s="491" t="n"/>
      <c r="R800" s="491" t="n"/>
      <c r="S800" s="491" t="n"/>
      <c r="T800" s="491" t="n"/>
      <c r="U800" s="491" t="n"/>
      <c r="V800" s="491" t="n"/>
      <c r="W800" s="491" t="n"/>
      <c r="X800" s="491" t="n"/>
      <c r="Y800" s="491" t="n"/>
    </row>
    <row r="801" ht="12.75" customHeight="1" s="398">
      <c r="A801" s="491" t="n"/>
      <c r="B801" s="491" t="n"/>
      <c r="C801" s="491" t="n"/>
      <c r="D801" s="491" t="n"/>
      <c r="E801" s="491" t="n"/>
      <c r="F801" s="491" t="n"/>
      <c r="G801" s="491" t="n"/>
      <c r="H801" s="491" t="n"/>
      <c r="I801" s="491" t="n"/>
      <c r="J801" s="491" t="n"/>
      <c r="K801" s="491" t="n"/>
      <c r="L801" s="491" t="n"/>
      <c r="M801" s="491" t="n"/>
      <c r="N801" s="491" t="n"/>
      <c r="O801" s="491" t="n"/>
      <c r="P801" s="491" t="n"/>
      <c r="Q801" s="491" t="n"/>
      <c r="R801" s="491" t="n"/>
      <c r="S801" s="491" t="n"/>
      <c r="T801" s="491" t="n"/>
      <c r="U801" s="491" t="n"/>
      <c r="V801" s="491" t="n"/>
      <c r="W801" s="491" t="n"/>
      <c r="X801" s="491" t="n"/>
      <c r="Y801" s="491" t="n"/>
    </row>
    <row r="802" ht="12.75" customHeight="1" s="398">
      <c r="A802" s="491" t="n"/>
      <c r="B802" s="491" t="n"/>
      <c r="C802" s="491" t="n"/>
      <c r="D802" s="491" t="n"/>
      <c r="E802" s="491" t="n"/>
      <c r="F802" s="491" t="n"/>
      <c r="G802" s="491" t="n"/>
      <c r="H802" s="491" t="n"/>
      <c r="I802" s="491" t="n"/>
      <c r="J802" s="491" t="n"/>
      <c r="K802" s="491" t="n"/>
      <c r="L802" s="491" t="n"/>
      <c r="M802" s="491" t="n"/>
      <c r="N802" s="491" t="n"/>
      <c r="O802" s="491" t="n"/>
      <c r="P802" s="491" t="n"/>
      <c r="Q802" s="491" t="n"/>
      <c r="R802" s="491" t="n"/>
      <c r="S802" s="491" t="n"/>
      <c r="T802" s="491" t="n"/>
      <c r="U802" s="491" t="n"/>
      <c r="V802" s="491" t="n"/>
      <c r="W802" s="491" t="n"/>
      <c r="X802" s="491" t="n"/>
      <c r="Y802" s="491" t="n"/>
    </row>
    <row r="803" ht="12.75" customHeight="1" s="398">
      <c r="A803" s="491" t="n"/>
      <c r="B803" s="491" t="n"/>
      <c r="C803" s="491" t="n"/>
      <c r="D803" s="491" t="n"/>
      <c r="E803" s="491" t="n"/>
      <c r="F803" s="491" t="n"/>
      <c r="G803" s="491" t="n"/>
      <c r="H803" s="491" t="n"/>
      <c r="I803" s="491" t="n"/>
      <c r="J803" s="491" t="n"/>
      <c r="K803" s="491" t="n"/>
      <c r="L803" s="491" t="n"/>
      <c r="M803" s="491" t="n"/>
      <c r="N803" s="491" t="n"/>
      <c r="O803" s="491" t="n"/>
      <c r="P803" s="491" t="n"/>
      <c r="Q803" s="491" t="n"/>
      <c r="R803" s="491" t="n"/>
      <c r="S803" s="491" t="n"/>
      <c r="T803" s="491" t="n"/>
      <c r="U803" s="491" t="n"/>
      <c r="V803" s="491" t="n"/>
      <c r="W803" s="491" t="n"/>
      <c r="X803" s="491" t="n"/>
      <c r="Y803" s="491" t="n"/>
    </row>
    <row r="804" ht="12.75" customHeight="1" s="398">
      <c r="A804" s="491" t="n"/>
      <c r="B804" s="491" t="n"/>
      <c r="C804" s="491" t="n"/>
      <c r="D804" s="491" t="n"/>
      <c r="E804" s="491" t="n"/>
      <c r="F804" s="491" t="n"/>
      <c r="G804" s="491" t="n"/>
      <c r="H804" s="491" t="n"/>
      <c r="I804" s="491" t="n"/>
      <c r="J804" s="491" t="n"/>
      <c r="K804" s="491" t="n"/>
      <c r="L804" s="491" t="n"/>
      <c r="M804" s="491" t="n"/>
      <c r="N804" s="491" t="n"/>
      <c r="O804" s="491" t="n"/>
      <c r="P804" s="491" t="n"/>
      <c r="Q804" s="491" t="n"/>
      <c r="R804" s="491" t="n"/>
      <c r="S804" s="491" t="n"/>
      <c r="T804" s="491" t="n"/>
      <c r="U804" s="491" t="n"/>
      <c r="V804" s="491" t="n"/>
      <c r="W804" s="491" t="n"/>
      <c r="X804" s="491" t="n"/>
      <c r="Y804" s="491" t="n"/>
    </row>
    <row r="805" ht="12.75" customHeight="1" s="398">
      <c r="A805" s="491" t="n"/>
      <c r="B805" s="491" t="n"/>
      <c r="C805" s="491" t="n"/>
      <c r="D805" s="491" t="n"/>
      <c r="E805" s="491" t="n"/>
      <c r="F805" s="491" t="n"/>
      <c r="G805" s="491" t="n"/>
      <c r="H805" s="491" t="n"/>
      <c r="I805" s="491" t="n"/>
      <c r="J805" s="491" t="n"/>
      <c r="K805" s="491" t="n"/>
      <c r="L805" s="491" t="n"/>
      <c r="M805" s="491" t="n"/>
      <c r="N805" s="491" t="n"/>
      <c r="O805" s="491" t="n"/>
      <c r="P805" s="491" t="n"/>
      <c r="Q805" s="491" t="n"/>
      <c r="R805" s="491" t="n"/>
      <c r="S805" s="491" t="n"/>
      <c r="T805" s="491" t="n"/>
      <c r="U805" s="491" t="n"/>
      <c r="V805" s="491" t="n"/>
      <c r="W805" s="491" t="n"/>
      <c r="X805" s="491" t="n"/>
      <c r="Y805" s="491" t="n"/>
    </row>
    <row r="806" ht="12.75" customHeight="1" s="398">
      <c r="A806" s="491" t="n"/>
      <c r="B806" s="491" t="n"/>
      <c r="C806" s="491" t="n"/>
      <c r="D806" s="491" t="n"/>
      <c r="E806" s="491" t="n"/>
      <c r="F806" s="491" t="n"/>
      <c r="G806" s="491" t="n"/>
      <c r="H806" s="491" t="n"/>
      <c r="I806" s="491" t="n"/>
      <c r="J806" s="491" t="n"/>
      <c r="K806" s="491" t="n"/>
      <c r="L806" s="491" t="n"/>
      <c r="M806" s="491" t="n"/>
      <c r="N806" s="491" t="n"/>
      <c r="O806" s="491" t="n"/>
      <c r="P806" s="491" t="n"/>
      <c r="Q806" s="491" t="n"/>
      <c r="R806" s="491" t="n"/>
      <c r="S806" s="491" t="n"/>
      <c r="T806" s="491" t="n"/>
      <c r="U806" s="491" t="n"/>
      <c r="V806" s="491" t="n"/>
      <c r="W806" s="491" t="n"/>
      <c r="X806" s="491" t="n"/>
      <c r="Y806" s="491" t="n"/>
    </row>
    <row r="807" ht="12.75" customHeight="1" s="398">
      <c r="A807" s="491" t="n"/>
      <c r="B807" s="491" t="n"/>
      <c r="C807" s="491" t="n"/>
      <c r="D807" s="491" t="n"/>
      <c r="E807" s="491" t="n"/>
      <c r="F807" s="491" t="n"/>
      <c r="G807" s="491" t="n"/>
      <c r="H807" s="491" t="n"/>
      <c r="I807" s="491" t="n"/>
      <c r="J807" s="491" t="n"/>
      <c r="K807" s="491" t="n"/>
      <c r="L807" s="491" t="n"/>
      <c r="M807" s="491" t="n"/>
      <c r="N807" s="491" t="n"/>
      <c r="O807" s="491" t="n"/>
      <c r="P807" s="491" t="n"/>
      <c r="Q807" s="491" t="n"/>
      <c r="R807" s="491" t="n"/>
      <c r="S807" s="491" t="n"/>
      <c r="T807" s="491" t="n"/>
      <c r="U807" s="491" t="n"/>
      <c r="V807" s="491" t="n"/>
      <c r="W807" s="491" t="n"/>
      <c r="X807" s="491" t="n"/>
      <c r="Y807" s="491" t="n"/>
    </row>
    <row r="808" ht="12.75" customHeight="1" s="398">
      <c r="A808" s="491" t="n"/>
      <c r="B808" s="491" t="n"/>
      <c r="C808" s="491" t="n"/>
      <c r="D808" s="491" t="n"/>
      <c r="E808" s="491" t="n"/>
      <c r="F808" s="491" t="n"/>
      <c r="G808" s="491" t="n"/>
      <c r="H808" s="491" t="n"/>
      <c r="I808" s="491" t="n"/>
      <c r="J808" s="491" t="n"/>
      <c r="K808" s="491" t="n"/>
      <c r="L808" s="491" t="n"/>
      <c r="M808" s="491" t="n"/>
      <c r="N808" s="491" t="n"/>
      <c r="O808" s="491" t="n"/>
      <c r="P808" s="491" t="n"/>
      <c r="Q808" s="491" t="n"/>
      <c r="R808" s="491" t="n"/>
      <c r="S808" s="491" t="n"/>
      <c r="T808" s="491" t="n"/>
      <c r="U808" s="491" t="n"/>
      <c r="V808" s="491" t="n"/>
      <c r="W808" s="491" t="n"/>
      <c r="X808" s="491" t="n"/>
      <c r="Y808" s="491" t="n"/>
    </row>
    <row r="809" ht="12.75" customHeight="1" s="398">
      <c r="A809" s="491" t="n"/>
      <c r="B809" s="491" t="n"/>
      <c r="C809" s="491" t="n"/>
      <c r="D809" s="491" t="n"/>
      <c r="E809" s="491" t="n"/>
      <c r="F809" s="491" t="n"/>
      <c r="G809" s="491" t="n"/>
      <c r="H809" s="491" t="n"/>
      <c r="I809" s="491" t="n"/>
      <c r="J809" s="491" t="n"/>
      <c r="K809" s="491" t="n"/>
      <c r="L809" s="491" t="n"/>
      <c r="M809" s="491" t="n"/>
      <c r="N809" s="491" t="n"/>
      <c r="O809" s="491" t="n"/>
      <c r="P809" s="491" t="n"/>
      <c r="Q809" s="491" t="n"/>
      <c r="R809" s="491" t="n"/>
      <c r="S809" s="491" t="n"/>
      <c r="T809" s="491" t="n"/>
      <c r="U809" s="491" t="n"/>
      <c r="V809" s="491" t="n"/>
      <c r="W809" s="491" t="n"/>
      <c r="X809" s="491" t="n"/>
      <c r="Y809" s="491" t="n"/>
    </row>
    <row r="810" ht="12.75" customHeight="1" s="398">
      <c r="A810" s="491" t="n"/>
      <c r="B810" s="491" t="n"/>
      <c r="C810" s="491" t="n"/>
      <c r="D810" s="491" t="n"/>
      <c r="E810" s="491" t="n"/>
      <c r="F810" s="491" t="n"/>
      <c r="G810" s="491" t="n"/>
      <c r="H810" s="491" t="n"/>
      <c r="I810" s="491" t="n"/>
      <c r="J810" s="491" t="n"/>
      <c r="K810" s="491" t="n"/>
      <c r="L810" s="491" t="n"/>
      <c r="M810" s="491" t="n"/>
      <c r="N810" s="491" t="n"/>
      <c r="O810" s="491" t="n"/>
      <c r="P810" s="491" t="n"/>
      <c r="Q810" s="491" t="n"/>
      <c r="R810" s="491" t="n"/>
      <c r="S810" s="491" t="n"/>
      <c r="T810" s="491" t="n"/>
      <c r="U810" s="491" t="n"/>
      <c r="V810" s="491" t="n"/>
      <c r="W810" s="491" t="n"/>
      <c r="X810" s="491" t="n"/>
      <c r="Y810" s="491" t="n"/>
    </row>
    <row r="811" ht="12.75" customHeight="1" s="398">
      <c r="A811" s="491" t="n"/>
      <c r="B811" s="491" t="n"/>
      <c r="C811" s="491" t="n"/>
      <c r="D811" s="491" t="n"/>
      <c r="E811" s="491" t="n"/>
      <c r="F811" s="491" t="n"/>
      <c r="G811" s="491" t="n"/>
      <c r="H811" s="491" t="n"/>
      <c r="I811" s="491" t="n"/>
      <c r="J811" s="491" t="n"/>
      <c r="K811" s="491" t="n"/>
      <c r="L811" s="491" t="n"/>
      <c r="M811" s="491" t="n"/>
      <c r="N811" s="491" t="n"/>
      <c r="O811" s="491" t="n"/>
      <c r="P811" s="491" t="n"/>
      <c r="Q811" s="491" t="n"/>
      <c r="R811" s="491" t="n"/>
      <c r="S811" s="491" t="n"/>
      <c r="T811" s="491" t="n"/>
      <c r="U811" s="491" t="n"/>
      <c r="V811" s="491" t="n"/>
      <c r="W811" s="491" t="n"/>
      <c r="X811" s="491" t="n"/>
      <c r="Y811" s="491" t="n"/>
    </row>
    <row r="812" ht="12.75" customHeight="1" s="398">
      <c r="A812" s="491" t="n"/>
      <c r="B812" s="491" t="n"/>
      <c r="C812" s="491" t="n"/>
      <c r="D812" s="491" t="n"/>
      <c r="E812" s="491" t="n"/>
      <c r="F812" s="491" t="n"/>
      <c r="G812" s="491" t="n"/>
      <c r="H812" s="491" t="n"/>
      <c r="I812" s="491" t="n"/>
      <c r="J812" s="491" t="n"/>
      <c r="K812" s="491" t="n"/>
      <c r="L812" s="491" t="n"/>
      <c r="M812" s="491" t="n"/>
      <c r="N812" s="491" t="n"/>
      <c r="O812" s="491" t="n"/>
      <c r="P812" s="491" t="n"/>
      <c r="Q812" s="491" t="n"/>
      <c r="R812" s="491" t="n"/>
      <c r="S812" s="491" t="n"/>
      <c r="T812" s="491" t="n"/>
      <c r="U812" s="491" t="n"/>
      <c r="V812" s="491" t="n"/>
      <c r="W812" s="491" t="n"/>
      <c r="X812" s="491" t="n"/>
      <c r="Y812" s="491" t="n"/>
    </row>
    <row r="813" ht="12.75" customHeight="1" s="398">
      <c r="A813" s="491" t="n"/>
      <c r="B813" s="491" t="n"/>
      <c r="C813" s="491" t="n"/>
      <c r="D813" s="491" t="n"/>
      <c r="E813" s="491" t="n"/>
      <c r="F813" s="491" t="n"/>
      <c r="G813" s="491" t="n"/>
      <c r="H813" s="491" t="n"/>
      <c r="I813" s="491" t="n"/>
      <c r="J813" s="491" t="n"/>
      <c r="K813" s="491" t="n"/>
      <c r="L813" s="491" t="n"/>
      <c r="M813" s="491" t="n"/>
      <c r="N813" s="491" t="n"/>
      <c r="O813" s="491" t="n"/>
      <c r="P813" s="491" t="n"/>
      <c r="Q813" s="491" t="n"/>
      <c r="R813" s="491" t="n"/>
      <c r="S813" s="491" t="n"/>
      <c r="T813" s="491" t="n"/>
      <c r="U813" s="491" t="n"/>
      <c r="V813" s="491" t="n"/>
      <c r="W813" s="491" t="n"/>
      <c r="X813" s="491" t="n"/>
      <c r="Y813" s="491" t="n"/>
    </row>
    <row r="814" ht="12.75" customHeight="1" s="398">
      <c r="A814" s="491" t="n"/>
      <c r="B814" s="491" t="n"/>
      <c r="C814" s="491" t="n"/>
      <c r="D814" s="491" t="n"/>
      <c r="E814" s="491" t="n"/>
      <c r="F814" s="491" t="n"/>
      <c r="G814" s="491" t="n"/>
      <c r="H814" s="491" t="n"/>
      <c r="I814" s="491" t="n"/>
      <c r="J814" s="491" t="n"/>
      <c r="K814" s="491" t="n"/>
      <c r="L814" s="491" t="n"/>
      <c r="M814" s="491" t="n"/>
      <c r="N814" s="491" t="n"/>
      <c r="O814" s="491" t="n"/>
      <c r="P814" s="491" t="n"/>
      <c r="Q814" s="491" t="n"/>
      <c r="R814" s="491" t="n"/>
      <c r="S814" s="491" t="n"/>
      <c r="T814" s="491" t="n"/>
      <c r="U814" s="491" t="n"/>
      <c r="V814" s="491" t="n"/>
      <c r="W814" s="491" t="n"/>
      <c r="X814" s="491" t="n"/>
      <c r="Y814" s="491" t="n"/>
    </row>
    <row r="815" ht="12.75" customHeight="1" s="398">
      <c r="A815" s="491" t="n"/>
      <c r="B815" s="491" t="n"/>
      <c r="C815" s="491" t="n"/>
      <c r="D815" s="491" t="n"/>
      <c r="E815" s="491" t="n"/>
      <c r="F815" s="491" t="n"/>
      <c r="G815" s="491" t="n"/>
      <c r="H815" s="491" t="n"/>
      <c r="I815" s="491" t="n"/>
      <c r="J815" s="491" t="n"/>
      <c r="K815" s="491" t="n"/>
      <c r="L815" s="491" t="n"/>
      <c r="M815" s="491" t="n"/>
      <c r="N815" s="491" t="n"/>
      <c r="O815" s="491" t="n"/>
      <c r="P815" s="491" t="n"/>
      <c r="Q815" s="491" t="n"/>
      <c r="R815" s="491" t="n"/>
      <c r="S815" s="491" t="n"/>
      <c r="T815" s="491" t="n"/>
      <c r="U815" s="491" t="n"/>
      <c r="V815" s="491" t="n"/>
      <c r="W815" s="491" t="n"/>
      <c r="X815" s="491" t="n"/>
      <c r="Y815" s="491" t="n"/>
    </row>
    <row r="816" ht="12.75" customHeight="1" s="398">
      <c r="A816" s="491" t="n"/>
      <c r="B816" s="491" t="n"/>
      <c r="C816" s="491" t="n"/>
      <c r="D816" s="491" t="n"/>
      <c r="E816" s="491" t="n"/>
      <c r="F816" s="491" t="n"/>
      <c r="G816" s="491" t="n"/>
      <c r="H816" s="491" t="n"/>
      <c r="I816" s="491" t="n"/>
      <c r="J816" s="491" t="n"/>
      <c r="K816" s="491" t="n"/>
      <c r="L816" s="491" t="n"/>
      <c r="M816" s="491" t="n"/>
      <c r="N816" s="491" t="n"/>
      <c r="O816" s="491" t="n"/>
      <c r="P816" s="491" t="n"/>
      <c r="Q816" s="491" t="n"/>
      <c r="R816" s="491" t="n"/>
      <c r="S816" s="491" t="n"/>
      <c r="T816" s="491" t="n"/>
      <c r="U816" s="491" t="n"/>
      <c r="V816" s="491" t="n"/>
      <c r="W816" s="491" t="n"/>
      <c r="X816" s="491" t="n"/>
      <c r="Y816" s="491" t="n"/>
    </row>
    <row r="817" ht="12.75" customHeight="1" s="398">
      <c r="A817" s="491" t="n"/>
      <c r="B817" s="491" t="n"/>
      <c r="C817" s="491" t="n"/>
      <c r="D817" s="491" t="n"/>
      <c r="E817" s="491" t="n"/>
      <c r="F817" s="491" t="n"/>
      <c r="G817" s="491" t="n"/>
      <c r="H817" s="491" t="n"/>
      <c r="I817" s="491" t="n"/>
      <c r="J817" s="491" t="n"/>
      <c r="K817" s="491" t="n"/>
      <c r="L817" s="491" t="n"/>
      <c r="M817" s="491" t="n"/>
      <c r="N817" s="491" t="n"/>
      <c r="O817" s="491" t="n"/>
      <c r="P817" s="491" t="n"/>
      <c r="Q817" s="491" t="n"/>
      <c r="R817" s="491" t="n"/>
      <c r="S817" s="491" t="n"/>
      <c r="T817" s="491" t="n"/>
      <c r="U817" s="491" t="n"/>
      <c r="V817" s="491" t="n"/>
      <c r="W817" s="491" t="n"/>
      <c r="X817" s="491" t="n"/>
      <c r="Y817" s="491" t="n"/>
    </row>
    <row r="818" ht="12.75" customHeight="1" s="398">
      <c r="A818" s="491" t="n"/>
      <c r="B818" s="491" t="n"/>
      <c r="C818" s="491" t="n"/>
      <c r="D818" s="491" t="n"/>
      <c r="E818" s="491" t="n"/>
      <c r="F818" s="491" t="n"/>
      <c r="G818" s="491" t="n"/>
      <c r="H818" s="491" t="n"/>
      <c r="I818" s="491" t="n"/>
      <c r="J818" s="491" t="n"/>
      <c r="K818" s="491" t="n"/>
      <c r="L818" s="491" t="n"/>
      <c r="M818" s="491" t="n"/>
      <c r="N818" s="491" t="n"/>
      <c r="O818" s="491" t="n"/>
      <c r="P818" s="491" t="n"/>
      <c r="Q818" s="491" t="n"/>
      <c r="R818" s="491" t="n"/>
      <c r="S818" s="491" t="n"/>
      <c r="T818" s="491" t="n"/>
      <c r="U818" s="491" t="n"/>
      <c r="V818" s="491" t="n"/>
      <c r="W818" s="491" t="n"/>
      <c r="X818" s="491" t="n"/>
      <c r="Y818" s="491" t="n"/>
    </row>
    <row r="819" ht="12.75" customHeight="1" s="398">
      <c r="A819" s="491" t="n"/>
      <c r="B819" s="491" t="n"/>
      <c r="C819" s="491" t="n"/>
      <c r="D819" s="491" t="n"/>
      <c r="E819" s="491" t="n"/>
      <c r="F819" s="491" t="n"/>
      <c r="G819" s="491" t="n"/>
      <c r="H819" s="491" t="n"/>
      <c r="I819" s="491" t="n"/>
      <c r="J819" s="491" t="n"/>
      <c r="K819" s="491" t="n"/>
      <c r="L819" s="491" t="n"/>
      <c r="M819" s="491" t="n"/>
      <c r="N819" s="491" t="n"/>
      <c r="O819" s="491" t="n"/>
      <c r="P819" s="491" t="n"/>
      <c r="Q819" s="491" t="n"/>
      <c r="R819" s="491" t="n"/>
      <c r="S819" s="491" t="n"/>
      <c r="T819" s="491" t="n"/>
      <c r="U819" s="491" t="n"/>
      <c r="V819" s="491" t="n"/>
      <c r="W819" s="491" t="n"/>
      <c r="X819" s="491" t="n"/>
      <c r="Y819" s="491" t="n"/>
    </row>
    <row r="820" ht="12.75" customHeight="1" s="398">
      <c r="A820" s="491" t="n"/>
      <c r="B820" s="491" t="n"/>
      <c r="C820" s="491" t="n"/>
      <c r="D820" s="491" t="n"/>
      <c r="E820" s="491" t="n"/>
      <c r="F820" s="491" t="n"/>
      <c r="G820" s="491" t="n"/>
      <c r="H820" s="491" t="n"/>
      <c r="I820" s="491" t="n"/>
      <c r="J820" s="491" t="n"/>
      <c r="K820" s="491" t="n"/>
      <c r="L820" s="491" t="n"/>
      <c r="M820" s="491" t="n"/>
      <c r="N820" s="491" t="n"/>
      <c r="O820" s="491" t="n"/>
      <c r="P820" s="491" t="n"/>
      <c r="Q820" s="491" t="n"/>
      <c r="R820" s="491" t="n"/>
      <c r="S820" s="491" t="n"/>
      <c r="T820" s="491" t="n"/>
      <c r="U820" s="491" t="n"/>
      <c r="V820" s="491" t="n"/>
      <c r="W820" s="491" t="n"/>
      <c r="X820" s="491" t="n"/>
      <c r="Y820" s="491" t="n"/>
    </row>
    <row r="821" ht="12.75" customHeight="1" s="398">
      <c r="A821" s="491" t="n"/>
      <c r="B821" s="491" t="n"/>
      <c r="C821" s="491" t="n"/>
      <c r="D821" s="491" t="n"/>
      <c r="E821" s="491" t="n"/>
      <c r="F821" s="491" t="n"/>
      <c r="G821" s="491" t="n"/>
      <c r="H821" s="491" t="n"/>
      <c r="I821" s="491" t="n"/>
      <c r="J821" s="491" t="n"/>
      <c r="K821" s="491" t="n"/>
      <c r="L821" s="491" t="n"/>
      <c r="M821" s="491" t="n"/>
      <c r="N821" s="491" t="n"/>
      <c r="O821" s="491" t="n"/>
      <c r="P821" s="491" t="n"/>
      <c r="Q821" s="491" t="n"/>
      <c r="R821" s="491" t="n"/>
      <c r="S821" s="491" t="n"/>
      <c r="T821" s="491" t="n"/>
      <c r="U821" s="491" t="n"/>
      <c r="V821" s="491" t="n"/>
      <c r="W821" s="491" t="n"/>
      <c r="X821" s="491" t="n"/>
      <c r="Y821" s="491" t="n"/>
    </row>
    <row r="822" ht="12.75" customHeight="1" s="398">
      <c r="A822" s="491" t="n"/>
      <c r="B822" s="491" t="n"/>
      <c r="C822" s="491" t="n"/>
      <c r="D822" s="491" t="n"/>
      <c r="E822" s="491" t="n"/>
      <c r="F822" s="491" t="n"/>
      <c r="G822" s="491" t="n"/>
      <c r="H822" s="491" t="n"/>
      <c r="I822" s="491" t="n"/>
      <c r="J822" s="491" t="n"/>
      <c r="K822" s="491" t="n"/>
      <c r="L822" s="491" t="n"/>
      <c r="M822" s="491" t="n"/>
      <c r="N822" s="491" t="n"/>
      <c r="O822" s="491" t="n"/>
      <c r="P822" s="491" t="n"/>
      <c r="Q822" s="491" t="n"/>
      <c r="R822" s="491" t="n"/>
      <c r="S822" s="491" t="n"/>
      <c r="T822" s="491" t="n"/>
      <c r="U822" s="491" t="n"/>
      <c r="V822" s="491" t="n"/>
      <c r="W822" s="491" t="n"/>
      <c r="X822" s="491" t="n"/>
      <c r="Y822" s="491" t="n"/>
    </row>
    <row r="823" ht="12.75" customHeight="1" s="398">
      <c r="A823" s="491" t="n"/>
      <c r="B823" s="491" t="n"/>
      <c r="C823" s="491" t="n"/>
      <c r="D823" s="491" t="n"/>
      <c r="E823" s="491" t="n"/>
      <c r="F823" s="491" t="n"/>
      <c r="G823" s="491" t="n"/>
      <c r="H823" s="491" t="n"/>
      <c r="I823" s="491" t="n"/>
      <c r="J823" s="491" t="n"/>
      <c r="K823" s="491" t="n"/>
      <c r="L823" s="491" t="n"/>
      <c r="M823" s="491" t="n"/>
      <c r="N823" s="491" t="n"/>
      <c r="O823" s="491" t="n"/>
      <c r="P823" s="491" t="n"/>
      <c r="Q823" s="491" t="n"/>
      <c r="R823" s="491" t="n"/>
      <c r="S823" s="491" t="n"/>
      <c r="T823" s="491" t="n"/>
      <c r="U823" s="491" t="n"/>
      <c r="V823" s="491" t="n"/>
      <c r="W823" s="491" t="n"/>
      <c r="X823" s="491" t="n"/>
      <c r="Y823" s="491" t="n"/>
    </row>
    <row r="824" ht="12.75" customHeight="1" s="398">
      <c r="A824" s="491" t="n"/>
      <c r="B824" s="491" t="n"/>
      <c r="C824" s="491" t="n"/>
      <c r="D824" s="491" t="n"/>
      <c r="E824" s="491" t="n"/>
      <c r="F824" s="491" t="n"/>
      <c r="G824" s="491" t="n"/>
      <c r="H824" s="491" t="n"/>
      <c r="I824" s="491" t="n"/>
      <c r="J824" s="491" t="n"/>
      <c r="K824" s="491" t="n"/>
      <c r="L824" s="491" t="n"/>
      <c r="M824" s="491" t="n"/>
      <c r="N824" s="491" t="n"/>
      <c r="O824" s="491" t="n"/>
      <c r="P824" s="491" t="n"/>
      <c r="Q824" s="491" t="n"/>
      <c r="R824" s="491" t="n"/>
      <c r="S824" s="491" t="n"/>
      <c r="T824" s="491" t="n"/>
      <c r="U824" s="491" t="n"/>
      <c r="V824" s="491" t="n"/>
      <c r="W824" s="491" t="n"/>
      <c r="X824" s="491" t="n"/>
      <c r="Y824" s="491" t="n"/>
    </row>
    <row r="825" ht="12.75" customHeight="1" s="398">
      <c r="A825" s="491" t="n"/>
      <c r="B825" s="491" t="n"/>
      <c r="C825" s="491" t="n"/>
      <c r="D825" s="491" t="n"/>
      <c r="E825" s="491" t="n"/>
      <c r="F825" s="491" t="n"/>
      <c r="G825" s="491" t="n"/>
      <c r="H825" s="491" t="n"/>
      <c r="I825" s="491" t="n"/>
      <c r="J825" s="491" t="n"/>
      <c r="K825" s="491" t="n"/>
      <c r="L825" s="491" t="n"/>
      <c r="M825" s="491" t="n"/>
      <c r="N825" s="491" t="n"/>
      <c r="O825" s="491" t="n"/>
      <c r="P825" s="491" t="n"/>
      <c r="Q825" s="491" t="n"/>
      <c r="R825" s="491" t="n"/>
      <c r="S825" s="491" t="n"/>
      <c r="T825" s="491" t="n"/>
      <c r="U825" s="491" t="n"/>
      <c r="V825" s="491" t="n"/>
      <c r="W825" s="491" t="n"/>
      <c r="X825" s="491" t="n"/>
      <c r="Y825" s="491" t="n"/>
    </row>
    <row r="826" ht="12.75" customHeight="1" s="398">
      <c r="A826" s="491" t="n"/>
      <c r="B826" s="491" t="n"/>
      <c r="C826" s="491" t="n"/>
      <c r="D826" s="491" t="n"/>
      <c r="E826" s="491" t="n"/>
      <c r="F826" s="491" t="n"/>
      <c r="G826" s="491" t="n"/>
      <c r="H826" s="491" t="n"/>
      <c r="I826" s="491" t="n"/>
      <c r="J826" s="491" t="n"/>
      <c r="K826" s="491" t="n"/>
      <c r="L826" s="491" t="n"/>
      <c r="M826" s="491" t="n"/>
      <c r="N826" s="491" t="n"/>
      <c r="O826" s="491" t="n"/>
      <c r="P826" s="491" t="n"/>
      <c r="Q826" s="491" t="n"/>
      <c r="R826" s="491" t="n"/>
      <c r="S826" s="491" t="n"/>
      <c r="T826" s="491" t="n"/>
      <c r="U826" s="491" t="n"/>
      <c r="V826" s="491" t="n"/>
      <c r="W826" s="491" t="n"/>
      <c r="X826" s="491" t="n"/>
      <c r="Y826" s="491" t="n"/>
    </row>
    <row r="827" ht="12.75" customHeight="1" s="398">
      <c r="A827" s="491" t="n"/>
      <c r="B827" s="491" t="n"/>
      <c r="C827" s="491" t="n"/>
      <c r="D827" s="491" t="n"/>
      <c r="E827" s="491" t="n"/>
      <c r="F827" s="491" t="n"/>
      <c r="G827" s="491" t="n"/>
      <c r="H827" s="491" t="n"/>
      <c r="I827" s="491" t="n"/>
      <c r="J827" s="491" t="n"/>
      <c r="K827" s="491" t="n"/>
      <c r="L827" s="491" t="n"/>
      <c r="M827" s="491" t="n"/>
      <c r="N827" s="491" t="n"/>
      <c r="O827" s="491" t="n"/>
      <c r="P827" s="491" t="n"/>
      <c r="Q827" s="491" t="n"/>
      <c r="R827" s="491" t="n"/>
      <c r="S827" s="491" t="n"/>
      <c r="T827" s="491" t="n"/>
      <c r="U827" s="491" t="n"/>
      <c r="V827" s="491" t="n"/>
      <c r="W827" s="491" t="n"/>
      <c r="X827" s="491" t="n"/>
      <c r="Y827" s="491" t="n"/>
    </row>
    <row r="828" ht="12.75" customHeight="1" s="398">
      <c r="A828" s="491" t="n"/>
      <c r="B828" s="491" t="n"/>
      <c r="C828" s="491" t="n"/>
      <c r="D828" s="491" t="n"/>
      <c r="E828" s="491" t="n"/>
      <c r="F828" s="491" t="n"/>
      <c r="G828" s="491" t="n"/>
      <c r="H828" s="491" t="n"/>
      <c r="I828" s="491" t="n"/>
      <c r="J828" s="491" t="n"/>
      <c r="K828" s="491" t="n"/>
      <c r="L828" s="491" t="n"/>
      <c r="M828" s="491" t="n"/>
      <c r="N828" s="491" t="n"/>
      <c r="O828" s="491" t="n"/>
      <c r="P828" s="491" t="n"/>
      <c r="Q828" s="491" t="n"/>
      <c r="R828" s="491" t="n"/>
      <c r="S828" s="491" t="n"/>
      <c r="T828" s="491" t="n"/>
      <c r="U828" s="491" t="n"/>
      <c r="V828" s="491" t="n"/>
      <c r="W828" s="491" t="n"/>
      <c r="X828" s="491" t="n"/>
      <c r="Y828" s="491" t="n"/>
    </row>
    <row r="829" ht="12.75" customHeight="1" s="398">
      <c r="A829" s="491" t="n"/>
      <c r="B829" s="491" t="n"/>
      <c r="C829" s="491" t="n"/>
      <c r="D829" s="491" t="n"/>
      <c r="E829" s="491" t="n"/>
      <c r="F829" s="491" t="n"/>
      <c r="G829" s="491" t="n"/>
      <c r="H829" s="491" t="n"/>
      <c r="I829" s="491" t="n"/>
      <c r="J829" s="491" t="n"/>
      <c r="K829" s="491" t="n"/>
      <c r="L829" s="491" t="n"/>
      <c r="M829" s="491" t="n"/>
      <c r="N829" s="491" t="n"/>
      <c r="O829" s="491" t="n"/>
      <c r="P829" s="491" t="n"/>
      <c r="Q829" s="491" t="n"/>
      <c r="R829" s="491" t="n"/>
      <c r="S829" s="491" t="n"/>
      <c r="T829" s="491" t="n"/>
      <c r="U829" s="491" t="n"/>
      <c r="V829" s="491" t="n"/>
      <c r="W829" s="491" t="n"/>
      <c r="X829" s="491" t="n"/>
      <c r="Y829" s="491" t="n"/>
    </row>
    <row r="830" ht="12.75" customHeight="1" s="398">
      <c r="A830" s="491" t="n"/>
      <c r="B830" s="491" t="n"/>
      <c r="C830" s="491" t="n"/>
      <c r="D830" s="491" t="n"/>
      <c r="E830" s="491" t="n"/>
      <c r="F830" s="491" t="n"/>
      <c r="G830" s="491" t="n"/>
      <c r="H830" s="491" t="n"/>
      <c r="I830" s="491" t="n"/>
      <c r="J830" s="491" t="n"/>
      <c r="K830" s="491" t="n"/>
      <c r="L830" s="491" t="n"/>
      <c r="M830" s="491" t="n"/>
      <c r="N830" s="491" t="n"/>
      <c r="O830" s="491" t="n"/>
      <c r="P830" s="491" t="n"/>
      <c r="Q830" s="491" t="n"/>
      <c r="R830" s="491" t="n"/>
      <c r="S830" s="491" t="n"/>
      <c r="T830" s="491" t="n"/>
      <c r="U830" s="491" t="n"/>
      <c r="V830" s="491" t="n"/>
      <c r="W830" s="491" t="n"/>
      <c r="X830" s="491" t="n"/>
      <c r="Y830" s="491" t="n"/>
    </row>
    <row r="831" ht="12.75" customHeight="1" s="398">
      <c r="A831" s="491" t="n"/>
      <c r="B831" s="491" t="n"/>
      <c r="C831" s="491" t="n"/>
      <c r="D831" s="491" t="n"/>
      <c r="E831" s="491" t="n"/>
      <c r="F831" s="491" t="n"/>
      <c r="G831" s="491" t="n"/>
      <c r="H831" s="491" t="n"/>
      <c r="I831" s="491" t="n"/>
      <c r="J831" s="491" t="n"/>
      <c r="K831" s="491" t="n"/>
      <c r="L831" s="491" t="n"/>
      <c r="M831" s="491" t="n"/>
      <c r="N831" s="491" t="n"/>
      <c r="O831" s="491" t="n"/>
      <c r="P831" s="491" t="n"/>
      <c r="Q831" s="491" t="n"/>
      <c r="R831" s="491" t="n"/>
      <c r="S831" s="491" t="n"/>
      <c r="T831" s="491" t="n"/>
      <c r="U831" s="491" t="n"/>
      <c r="V831" s="491" t="n"/>
      <c r="W831" s="491" t="n"/>
      <c r="X831" s="491" t="n"/>
      <c r="Y831" s="491" t="n"/>
    </row>
    <row r="832" ht="12.75" customHeight="1" s="398">
      <c r="A832" s="491" t="n"/>
      <c r="B832" s="491" t="n"/>
      <c r="C832" s="491" t="n"/>
      <c r="D832" s="491" t="n"/>
      <c r="E832" s="491" t="n"/>
      <c r="F832" s="491" t="n"/>
      <c r="G832" s="491" t="n"/>
      <c r="H832" s="491" t="n"/>
      <c r="I832" s="491" t="n"/>
      <c r="J832" s="491" t="n"/>
      <c r="K832" s="491" t="n"/>
      <c r="L832" s="491" t="n"/>
      <c r="M832" s="491" t="n"/>
      <c r="N832" s="491" t="n"/>
      <c r="O832" s="491" t="n"/>
      <c r="P832" s="491" t="n"/>
      <c r="Q832" s="491" t="n"/>
      <c r="R832" s="491" t="n"/>
      <c r="S832" s="491" t="n"/>
      <c r="T832" s="491" t="n"/>
      <c r="U832" s="491" t="n"/>
      <c r="V832" s="491" t="n"/>
      <c r="W832" s="491" t="n"/>
      <c r="X832" s="491" t="n"/>
      <c r="Y832" s="491" t="n"/>
    </row>
    <row r="833" ht="12.75" customHeight="1" s="398">
      <c r="A833" s="491" t="n"/>
      <c r="B833" s="491" t="n"/>
      <c r="C833" s="491" t="n"/>
      <c r="D833" s="491" t="n"/>
      <c r="E833" s="491" t="n"/>
      <c r="F833" s="491" t="n"/>
      <c r="G833" s="491" t="n"/>
      <c r="H833" s="491" t="n"/>
      <c r="I833" s="491" t="n"/>
      <c r="J833" s="491" t="n"/>
      <c r="K833" s="491" t="n"/>
      <c r="L833" s="491" t="n"/>
      <c r="M833" s="491" t="n"/>
      <c r="N833" s="491" t="n"/>
      <c r="O833" s="491" t="n"/>
      <c r="P833" s="491" t="n"/>
      <c r="Q833" s="491" t="n"/>
      <c r="R833" s="491" t="n"/>
      <c r="S833" s="491" t="n"/>
      <c r="T833" s="491" t="n"/>
      <c r="U833" s="491" t="n"/>
      <c r="V833" s="491" t="n"/>
      <c r="W833" s="491" t="n"/>
      <c r="X833" s="491" t="n"/>
      <c r="Y833" s="491" t="n"/>
    </row>
    <row r="834" ht="12.75" customHeight="1" s="398">
      <c r="A834" s="491" t="n"/>
      <c r="B834" s="491" t="n"/>
      <c r="C834" s="491" t="n"/>
      <c r="D834" s="491" t="n"/>
      <c r="E834" s="491" t="n"/>
      <c r="F834" s="491" t="n"/>
      <c r="G834" s="491" t="n"/>
      <c r="H834" s="491" t="n"/>
      <c r="I834" s="491" t="n"/>
      <c r="J834" s="491" t="n"/>
      <c r="K834" s="491" t="n"/>
      <c r="L834" s="491" t="n"/>
      <c r="M834" s="491" t="n"/>
      <c r="N834" s="491" t="n"/>
      <c r="O834" s="491" t="n"/>
      <c r="P834" s="491" t="n"/>
      <c r="Q834" s="491" t="n"/>
      <c r="R834" s="491" t="n"/>
      <c r="S834" s="491" t="n"/>
      <c r="T834" s="491" t="n"/>
      <c r="U834" s="491" t="n"/>
      <c r="V834" s="491" t="n"/>
      <c r="W834" s="491" t="n"/>
      <c r="X834" s="491" t="n"/>
      <c r="Y834" s="491" t="n"/>
    </row>
    <row r="835" ht="12.75" customHeight="1" s="398">
      <c r="A835" s="491" t="n"/>
      <c r="B835" s="491" t="n"/>
      <c r="C835" s="491" t="n"/>
      <c r="D835" s="491" t="n"/>
      <c r="E835" s="491" t="n"/>
      <c r="F835" s="491" t="n"/>
      <c r="G835" s="491" t="n"/>
      <c r="H835" s="491" t="n"/>
      <c r="I835" s="491" t="n"/>
      <c r="J835" s="491" t="n"/>
      <c r="K835" s="491" t="n"/>
      <c r="L835" s="491" t="n"/>
      <c r="M835" s="491" t="n"/>
      <c r="N835" s="491" t="n"/>
      <c r="O835" s="491" t="n"/>
      <c r="P835" s="491" t="n"/>
      <c r="Q835" s="491" t="n"/>
      <c r="R835" s="491" t="n"/>
      <c r="S835" s="491" t="n"/>
      <c r="T835" s="491" t="n"/>
      <c r="U835" s="491" t="n"/>
      <c r="V835" s="491" t="n"/>
      <c r="W835" s="491" t="n"/>
      <c r="X835" s="491" t="n"/>
      <c r="Y835" s="491" t="n"/>
    </row>
    <row r="836" ht="12.75" customHeight="1" s="398">
      <c r="A836" s="491" t="n"/>
      <c r="B836" s="491" t="n"/>
      <c r="C836" s="491" t="n"/>
      <c r="D836" s="491" t="n"/>
      <c r="E836" s="491" t="n"/>
      <c r="F836" s="491" t="n"/>
      <c r="G836" s="491" t="n"/>
      <c r="H836" s="491" t="n"/>
      <c r="I836" s="491" t="n"/>
      <c r="J836" s="491" t="n"/>
      <c r="K836" s="491" t="n"/>
      <c r="L836" s="491" t="n"/>
      <c r="M836" s="491" t="n"/>
      <c r="N836" s="491" t="n"/>
      <c r="O836" s="491" t="n"/>
      <c r="P836" s="491" t="n"/>
      <c r="Q836" s="491" t="n"/>
      <c r="R836" s="491" t="n"/>
      <c r="S836" s="491" t="n"/>
      <c r="T836" s="491" t="n"/>
      <c r="U836" s="491" t="n"/>
      <c r="V836" s="491" t="n"/>
      <c r="W836" s="491" t="n"/>
      <c r="X836" s="491" t="n"/>
      <c r="Y836" s="491" t="n"/>
    </row>
    <row r="837" ht="12.75" customHeight="1" s="398">
      <c r="A837" s="491" t="n"/>
      <c r="B837" s="491" t="n"/>
      <c r="C837" s="491" t="n"/>
      <c r="D837" s="491" t="n"/>
      <c r="E837" s="491" t="n"/>
      <c r="F837" s="491" t="n"/>
      <c r="G837" s="491" t="n"/>
      <c r="H837" s="491" t="n"/>
      <c r="I837" s="491" t="n"/>
      <c r="J837" s="491" t="n"/>
      <c r="K837" s="491" t="n"/>
      <c r="L837" s="491" t="n"/>
      <c r="M837" s="491" t="n"/>
      <c r="N837" s="491" t="n"/>
      <c r="O837" s="491" t="n"/>
      <c r="P837" s="491" t="n"/>
      <c r="Q837" s="491" t="n"/>
      <c r="R837" s="491" t="n"/>
      <c r="S837" s="491" t="n"/>
      <c r="T837" s="491" t="n"/>
      <c r="U837" s="491" t="n"/>
      <c r="V837" s="491" t="n"/>
      <c r="W837" s="491" t="n"/>
      <c r="X837" s="491" t="n"/>
      <c r="Y837" s="491" t="n"/>
    </row>
    <row r="838" ht="12.75" customHeight="1" s="398">
      <c r="A838" s="491" t="n"/>
      <c r="B838" s="491" t="n"/>
      <c r="C838" s="491" t="n"/>
      <c r="D838" s="491" t="n"/>
      <c r="E838" s="491" t="n"/>
      <c r="F838" s="491" t="n"/>
      <c r="G838" s="491" t="n"/>
      <c r="H838" s="491" t="n"/>
      <c r="I838" s="491" t="n"/>
      <c r="J838" s="491" t="n"/>
      <c r="K838" s="491" t="n"/>
      <c r="L838" s="491" t="n"/>
      <c r="M838" s="491" t="n"/>
      <c r="N838" s="491" t="n"/>
      <c r="O838" s="491" t="n"/>
      <c r="P838" s="491" t="n"/>
      <c r="Q838" s="491" t="n"/>
      <c r="R838" s="491" t="n"/>
      <c r="S838" s="491" t="n"/>
      <c r="T838" s="491" t="n"/>
      <c r="U838" s="491" t="n"/>
      <c r="V838" s="491" t="n"/>
      <c r="W838" s="491" t="n"/>
      <c r="X838" s="491" t="n"/>
      <c r="Y838" s="491" t="n"/>
    </row>
    <row r="839" ht="12.75" customHeight="1" s="398">
      <c r="A839" s="491" t="n"/>
      <c r="B839" s="491" t="n"/>
      <c r="C839" s="491" t="n"/>
      <c r="D839" s="491" t="n"/>
      <c r="E839" s="491" t="n"/>
      <c r="F839" s="491" t="n"/>
      <c r="G839" s="491" t="n"/>
      <c r="H839" s="491" t="n"/>
      <c r="I839" s="491" t="n"/>
      <c r="J839" s="491" t="n"/>
      <c r="K839" s="491" t="n"/>
      <c r="L839" s="491" t="n"/>
      <c r="M839" s="491" t="n"/>
      <c r="N839" s="491" t="n"/>
      <c r="O839" s="491" t="n"/>
      <c r="P839" s="491" t="n"/>
      <c r="Q839" s="491" t="n"/>
      <c r="R839" s="491" t="n"/>
      <c r="S839" s="491" t="n"/>
      <c r="T839" s="491" t="n"/>
      <c r="U839" s="491" t="n"/>
      <c r="V839" s="491" t="n"/>
      <c r="W839" s="491" t="n"/>
      <c r="X839" s="491" t="n"/>
      <c r="Y839" s="491" t="n"/>
    </row>
    <row r="840" ht="12.75" customHeight="1" s="398">
      <c r="A840" s="491" t="n"/>
      <c r="B840" s="491" t="n"/>
      <c r="C840" s="491" t="n"/>
      <c r="D840" s="491" t="n"/>
      <c r="E840" s="491" t="n"/>
      <c r="F840" s="491" t="n"/>
      <c r="G840" s="491" t="n"/>
      <c r="H840" s="491" t="n"/>
      <c r="I840" s="491" t="n"/>
      <c r="J840" s="491" t="n"/>
      <c r="K840" s="491" t="n"/>
      <c r="L840" s="491" t="n"/>
      <c r="M840" s="491" t="n"/>
      <c r="N840" s="491" t="n"/>
      <c r="O840" s="491" t="n"/>
      <c r="P840" s="491" t="n"/>
      <c r="Q840" s="491" t="n"/>
      <c r="R840" s="491" t="n"/>
      <c r="S840" s="491" t="n"/>
      <c r="T840" s="491" t="n"/>
      <c r="U840" s="491" t="n"/>
      <c r="V840" s="491" t="n"/>
      <c r="W840" s="491" t="n"/>
      <c r="X840" s="491" t="n"/>
      <c r="Y840" s="491" t="n"/>
    </row>
    <row r="841" ht="12.75" customHeight="1" s="398">
      <c r="A841" s="491" t="n"/>
      <c r="B841" s="491" t="n"/>
      <c r="C841" s="491" t="n"/>
      <c r="D841" s="491" t="n"/>
      <c r="E841" s="491" t="n"/>
      <c r="F841" s="491" t="n"/>
      <c r="G841" s="491" t="n"/>
      <c r="H841" s="491" t="n"/>
      <c r="I841" s="491" t="n"/>
      <c r="J841" s="491" t="n"/>
      <c r="K841" s="491" t="n"/>
      <c r="L841" s="491" t="n"/>
      <c r="M841" s="491" t="n"/>
      <c r="N841" s="491" t="n"/>
      <c r="O841" s="491" t="n"/>
      <c r="P841" s="491" t="n"/>
      <c r="Q841" s="491" t="n"/>
      <c r="R841" s="491" t="n"/>
      <c r="S841" s="491" t="n"/>
      <c r="T841" s="491" t="n"/>
      <c r="U841" s="491" t="n"/>
      <c r="V841" s="491" t="n"/>
      <c r="W841" s="491" t="n"/>
      <c r="X841" s="491" t="n"/>
      <c r="Y841" s="491" t="n"/>
    </row>
    <row r="842" ht="12.75" customHeight="1" s="398">
      <c r="A842" s="491" t="n"/>
      <c r="B842" s="491" t="n"/>
      <c r="C842" s="491" t="n"/>
      <c r="D842" s="491" t="n"/>
      <c r="E842" s="491" t="n"/>
      <c r="F842" s="491" t="n"/>
      <c r="G842" s="491" t="n"/>
      <c r="H842" s="491" t="n"/>
      <c r="I842" s="491" t="n"/>
      <c r="J842" s="491" t="n"/>
      <c r="K842" s="491" t="n"/>
      <c r="L842" s="491" t="n"/>
      <c r="M842" s="491" t="n"/>
      <c r="N842" s="491" t="n"/>
      <c r="O842" s="491" t="n"/>
      <c r="P842" s="491" t="n"/>
      <c r="Q842" s="491" t="n"/>
      <c r="R842" s="491" t="n"/>
      <c r="S842" s="491" t="n"/>
      <c r="T842" s="491" t="n"/>
      <c r="U842" s="491" t="n"/>
      <c r="V842" s="491" t="n"/>
      <c r="W842" s="491" t="n"/>
      <c r="X842" s="491" t="n"/>
      <c r="Y842" s="491" t="n"/>
    </row>
    <row r="843" ht="12.75" customHeight="1" s="398">
      <c r="A843" s="491" t="n"/>
      <c r="B843" s="491" t="n"/>
      <c r="C843" s="491" t="n"/>
      <c r="D843" s="491" t="n"/>
      <c r="E843" s="491" t="n"/>
      <c r="F843" s="491" t="n"/>
      <c r="G843" s="491" t="n"/>
      <c r="H843" s="491" t="n"/>
      <c r="I843" s="491" t="n"/>
      <c r="J843" s="491" t="n"/>
      <c r="K843" s="491" t="n"/>
      <c r="L843" s="491" t="n"/>
      <c r="M843" s="491" t="n"/>
      <c r="N843" s="491" t="n"/>
      <c r="O843" s="491" t="n"/>
      <c r="P843" s="491" t="n"/>
      <c r="Q843" s="491" t="n"/>
      <c r="R843" s="491" t="n"/>
      <c r="S843" s="491" t="n"/>
      <c r="T843" s="491" t="n"/>
      <c r="U843" s="491" t="n"/>
      <c r="V843" s="491" t="n"/>
      <c r="W843" s="491" t="n"/>
      <c r="X843" s="491" t="n"/>
      <c r="Y843" s="491" t="n"/>
    </row>
    <row r="844" ht="12.75" customHeight="1" s="398">
      <c r="A844" s="491" t="n"/>
      <c r="B844" s="491" t="n"/>
      <c r="C844" s="491" t="n"/>
      <c r="D844" s="491" t="n"/>
      <c r="E844" s="491" t="n"/>
      <c r="F844" s="491" t="n"/>
      <c r="G844" s="491" t="n"/>
      <c r="H844" s="491" t="n"/>
      <c r="I844" s="491" t="n"/>
      <c r="J844" s="491" t="n"/>
      <c r="K844" s="491" t="n"/>
      <c r="L844" s="491" t="n"/>
      <c r="M844" s="491" t="n"/>
      <c r="N844" s="491" t="n"/>
      <c r="O844" s="491" t="n"/>
      <c r="P844" s="491" t="n"/>
      <c r="Q844" s="491" t="n"/>
      <c r="R844" s="491" t="n"/>
      <c r="S844" s="491" t="n"/>
      <c r="T844" s="491" t="n"/>
      <c r="U844" s="491" t="n"/>
      <c r="V844" s="491" t="n"/>
      <c r="W844" s="491" t="n"/>
      <c r="X844" s="491" t="n"/>
      <c r="Y844" s="491" t="n"/>
    </row>
    <row r="845" ht="12.75" customHeight="1" s="398">
      <c r="A845" s="491" t="n"/>
      <c r="B845" s="491" t="n"/>
      <c r="C845" s="491" t="n"/>
      <c r="D845" s="491" t="n"/>
      <c r="E845" s="491" t="n"/>
      <c r="F845" s="491" t="n"/>
      <c r="G845" s="491" t="n"/>
      <c r="H845" s="491" t="n"/>
      <c r="I845" s="491" t="n"/>
      <c r="J845" s="491" t="n"/>
      <c r="K845" s="491" t="n"/>
      <c r="L845" s="491" t="n"/>
      <c r="M845" s="491" t="n"/>
      <c r="N845" s="491" t="n"/>
      <c r="O845" s="491" t="n"/>
      <c r="P845" s="491" t="n"/>
      <c r="Q845" s="491" t="n"/>
      <c r="R845" s="491" t="n"/>
      <c r="S845" s="491" t="n"/>
      <c r="T845" s="491" t="n"/>
      <c r="U845" s="491" t="n"/>
      <c r="V845" s="491" t="n"/>
      <c r="W845" s="491" t="n"/>
      <c r="X845" s="491" t="n"/>
      <c r="Y845" s="491" t="n"/>
    </row>
    <row r="846" ht="12.75" customHeight="1" s="398">
      <c r="A846" s="491" t="n"/>
      <c r="B846" s="491" t="n"/>
      <c r="C846" s="491" t="n"/>
      <c r="D846" s="491" t="n"/>
      <c r="E846" s="491" t="n"/>
      <c r="F846" s="491" t="n"/>
      <c r="G846" s="491" t="n"/>
      <c r="H846" s="491" t="n"/>
      <c r="I846" s="491" t="n"/>
      <c r="J846" s="491" t="n"/>
      <c r="K846" s="491" t="n"/>
      <c r="L846" s="491" t="n"/>
      <c r="M846" s="491" t="n"/>
      <c r="N846" s="491" t="n"/>
      <c r="O846" s="491" t="n"/>
      <c r="P846" s="491" t="n"/>
      <c r="Q846" s="491" t="n"/>
      <c r="R846" s="491" t="n"/>
      <c r="S846" s="491" t="n"/>
      <c r="T846" s="491" t="n"/>
      <c r="U846" s="491" t="n"/>
      <c r="V846" s="491" t="n"/>
      <c r="W846" s="491" t="n"/>
      <c r="X846" s="491" t="n"/>
      <c r="Y846" s="491" t="n"/>
    </row>
    <row r="847" ht="12.75" customHeight="1" s="398">
      <c r="A847" s="491" t="n"/>
      <c r="B847" s="491" t="n"/>
      <c r="C847" s="491" t="n"/>
      <c r="D847" s="491" t="n"/>
      <c r="E847" s="491" t="n"/>
      <c r="F847" s="491" t="n"/>
      <c r="G847" s="491" t="n"/>
      <c r="H847" s="491" t="n"/>
      <c r="I847" s="491" t="n"/>
      <c r="J847" s="491" t="n"/>
      <c r="K847" s="491" t="n"/>
      <c r="L847" s="491" t="n"/>
      <c r="M847" s="491" t="n"/>
      <c r="N847" s="491" t="n"/>
      <c r="O847" s="491" t="n"/>
      <c r="P847" s="491" t="n"/>
      <c r="Q847" s="491" t="n"/>
      <c r="R847" s="491" t="n"/>
      <c r="S847" s="491" t="n"/>
      <c r="T847" s="491" t="n"/>
      <c r="U847" s="491" t="n"/>
      <c r="V847" s="491" t="n"/>
      <c r="W847" s="491" t="n"/>
      <c r="X847" s="491" t="n"/>
      <c r="Y847" s="491" t="n"/>
    </row>
    <row r="848" ht="12.75" customHeight="1" s="398">
      <c r="A848" s="491" t="n"/>
      <c r="B848" s="491" t="n"/>
      <c r="C848" s="491" t="n"/>
      <c r="D848" s="491" t="n"/>
      <c r="E848" s="491" t="n"/>
      <c r="F848" s="491" t="n"/>
      <c r="G848" s="491" t="n"/>
      <c r="H848" s="491" t="n"/>
      <c r="I848" s="491" t="n"/>
      <c r="J848" s="491" t="n"/>
      <c r="K848" s="491" t="n"/>
      <c r="L848" s="491" t="n"/>
      <c r="M848" s="491" t="n"/>
      <c r="N848" s="491" t="n"/>
      <c r="O848" s="491" t="n"/>
      <c r="P848" s="491" t="n"/>
      <c r="Q848" s="491" t="n"/>
      <c r="R848" s="491" t="n"/>
      <c r="S848" s="491" t="n"/>
      <c r="T848" s="491" t="n"/>
      <c r="U848" s="491" t="n"/>
      <c r="V848" s="491" t="n"/>
      <c r="W848" s="491" t="n"/>
      <c r="X848" s="491" t="n"/>
      <c r="Y848" s="491" t="n"/>
    </row>
    <row r="849" ht="12.75" customHeight="1" s="398">
      <c r="A849" s="491" t="n"/>
      <c r="B849" s="491" t="n"/>
      <c r="C849" s="491" t="n"/>
      <c r="D849" s="491" t="n"/>
      <c r="E849" s="491" t="n"/>
      <c r="F849" s="491" t="n"/>
      <c r="G849" s="491" t="n"/>
      <c r="H849" s="491" t="n"/>
      <c r="I849" s="491" t="n"/>
      <c r="J849" s="491" t="n"/>
      <c r="K849" s="491" t="n"/>
      <c r="L849" s="491" t="n"/>
      <c r="M849" s="491" t="n"/>
      <c r="N849" s="491" t="n"/>
      <c r="O849" s="491" t="n"/>
      <c r="P849" s="491" t="n"/>
      <c r="Q849" s="491" t="n"/>
      <c r="R849" s="491" t="n"/>
      <c r="S849" s="491" t="n"/>
      <c r="T849" s="491" t="n"/>
      <c r="U849" s="491" t="n"/>
      <c r="V849" s="491" t="n"/>
      <c r="W849" s="491" t="n"/>
      <c r="X849" s="491" t="n"/>
      <c r="Y849" s="491" t="n"/>
    </row>
    <row r="850" ht="12.75" customHeight="1" s="398">
      <c r="A850" s="491" t="n"/>
      <c r="B850" s="491" t="n"/>
      <c r="C850" s="491" t="n"/>
      <c r="D850" s="491" t="n"/>
      <c r="E850" s="491" t="n"/>
      <c r="F850" s="491" t="n"/>
      <c r="G850" s="491" t="n"/>
      <c r="H850" s="491" t="n"/>
      <c r="I850" s="491" t="n"/>
      <c r="J850" s="491" t="n"/>
      <c r="K850" s="491" t="n"/>
      <c r="L850" s="491" t="n"/>
      <c r="M850" s="491" t="n"/>
      <c r="N850" s="491" t="n"/>
      <c r="O850" s="491" t="n"/>
      <c r="P850" s="491" t="n"/>
      <c r="Q850" s="491" t="n"/>
      <c r="R850" s="491" t="n"/>
      <c r="S850" s="491" t="n"/>
      <c r="T850" s="491" t="n"/>
      <c r="U850" s="491" t="n"/>
      <c r="V850" s="491" t="n"/>
      <c r="W850" s="491" t="n"/>
      <c r="X850" s="491" t="n"/>
      <c r="Y850" s="491" t="n"/>
    </row>
    <row r="851" ht="12.75" customHeight="1" s="398">
      <c r="A851" s="491" t="n"/>
      <c r="B851" s="491" t="n"/>
      <c r="C851" s="491" t="n"/>
      <c r="D851" s="491" t="n"/>
      <c r="E851" s="491" t="n"/>
      <c r="F851" s="491" t="n"/>
      <c r="G851" s="491" t="n"/>
      <c r="H851" s="491" t="n"/>
      <c r="I851" s="491" t="n"/>
      <c r="J851" s="491" t="n"/>
      <c r="K851" s="491" t="n"/>
      <c r="L851" s="491" t="n"/>
      <c r="M851" s="491" t="n"/>
      <c r="N851" s="491" t="n"/>
      <c r="O851" s="491" t="n"/>
      <c r="P851" s="491" t="n"/>
      <c r="Q851" s="491" t="n"/>
      <c r="R851" s="491" t="n"/>
      <c r="S851" s="491" t="n"/>
      <c r="T851" s="491" t="n"/>
      <c r="U851" s="491" t="n"/>
      <c r="V851" s="491" t="n"/>
      <c r="W851" s="491" t="n"/>
      <c r="X851" s="491" t="n"/>
      <c r="Y851" s="491" t="n"/>
    </row>
    <row r="852" ht="12.75" customHeight="1" s="398">
      <c r="A852" s="491" t="n"/>
      <c r="B852" s="491" t="n"/>
      <c r="C852" s="491" t="n"/>
      <c r="D852" s="491" t="n"/>
      <c r="E852" s="491" t="n"/>
      <c r="F852" s="491" t="n"/>
      <c r="G852" s="491" t="n"/>
      <c r="H852" s="491" t="n"/>
      <c r="I852" s="491" t="n"/>
      <c r="J852" s="491" t="n"/>
      <c r="K852" s="491" t="n"/>
      <c r="L852" s="491" t="n"/>
      <c r="M852" s="491" t="n"/>
      <c r="N852" s="491" t="n"/>
      <c r="O852" s="491" t="n"/>
      <c r="P852" s="491" t="n"/>
      <c r="Q852" s="491" t="n"/>
      <c r="R852" s="491" t="n"/>
      <c r="S852" s="491" t="n"/>
      <c r="T852" s="491" t="n"/>
      <c r="U852" s="491" t="n"/>
      <c r="V852" s="491" t="n"/>
      <c r="W852" s="491" t="n"/>
      <c r="X852" s="491" t="n"/>
      <c r="Y852" s="491" t="n"/>
    </row>
    <row r="853" ht="12.75" customHeight="1" s="398">
      <c r="A853" s="491" t="n"/>
      <c r="B853" s="491" t="n"/>
      <c r="C853" s="491" t="n"/>
      <c r="D853" s="491" t="n"/>
      <c r="E853" s="491" t="n"/>
      <c r="F853" s="491" t="n"/>
      <c r="G853" s="491" t="n"/>
      <c r="H853" s="491" t="n"/>
      <c r="I853" s="491" t="n"/>
      <c r="J853" s="491" t="n"/>
      <c r="K853" s="491" t="n"/>
      <c r="L853" s="491" t="n"/>
      <c r="M853" s="491" t="n"/>
      <c r="N853" s="491" t="n"/>
      <c r="O853" s="491" t="n"/>
      <c r="P853" s="491" t="n"/>
      <c r="Q853" s="491" t="n"/>
      <c r="R853" s="491" t="n"/>
      <c r="S853" s="491" t="n"/>
      <c r="T853" s="491" t="n"/>
      <c r="U853" s="491" t="n"/>
      <c r="V853" s="491" t="n"/>
      <c r="W853" s="491" t="n"/>
      <c r="X853" s="491" t="n"/>
      <c r="Y853" s="491" t="n"/>
    </row>
    <row r="854" ht="12.75" customHeight="1" s="398">
      <c r="A854" s="491" t="n"/>
      <c r="B854" s="491" t="n"/>
      <c r="C854" s="491" t="n"/>
      <c r="D854" s="491" t="n"/>
      <c r="E854" s="491" t="n"/>
      <c r="F854" s="491" t="n"/>
      <c r="G854" s="491" t="n"/>
      <c r="H854" s="491" t="n"/>
      <c r="I854" s="491" t="n"/>
      <c r="J854" s="491" t="n"/>
      <c r="K854" s="491" t="n"/>
      <c r="L854" s="491" t="n"/>
      <c r="M854" s="491" t="n"/>
      <c r="N854" s="491" t="n"/>
      <c r="O854" s="491" t="n"/>
      <c r="P854" s="491" t="n"/>
      <c r="Q854" s="491" t="n"/>
      <c r="R854" s="491" t="n"/>
      <c r="S854" s="491" t="n"/>
      <c r="T854" s="491" t="n"/>
      <c r="U854" s="491" t="n"/>
      <c r="V854" s="491" t="n"/>
      <c r="W854" s="491" t="n"/>
      <c r="X854" s="491" t="n"/>
      <c r="Y854" s="491" t="n"/>
    </row>
    <row r="855" ht="12.75" customHeight="1" s="398">
      <c r="A855" s="491" t="n"/>
      <c r="B855" s="491" t="n"/>
      <c r="C855" s="491" t="n"/>
      <c r="D855" s="491" t="n"/>
      <c r="E855" s="491" t="n"/>
      <c r="F855" s="491" t="n"/>
      <c r="G855" s="491" t="n"/>
      <c r="H855" s="491" t="n"/>
      <c r="I855" s="491" t="n"/>
      <c r="J855" s="491" t="n"/>
      <c r="K855" s="491" t="n"/>
      <c r="L855" s="491" t="n"/>
      <c r="M855" s="491" t="n"/>
      <c r="N855" s="491" t="n"/>
      <c r="O855" s="491" t="n"/>
      <c r="P855" s="491" t="n"/>
      <c r="Q855" s="491" t="n"/>
      <c r="R855" s="491" t="n"/>
      <c r="S855" s="491" t="n"/>
      <c r="T855" s="491" t="n"/>
      <c r="U855" s="491" t="n"/>
      <c r="V855" s="491" t="n"/>
      <c r="W855" s="491" t="n"/>
      <c r="X855" s="491" t="n"/>
      <c r="Y855" s="491" t="n"/>
    </row>
    <row r="856" ht="12.75" customHeight="1" s="398">
      <c r="A856" s="491" t="n"/>
      <c r="B856" s="491" t="n"/>
      <c r="C856" s="491" t="n"/>
      <c r="D856" s="491" t="n"/>
      <c r="E856" s="491" t="n"/>
      <c r="F856" s="491" t="n"/>
      <c r="G856" s="491" t="n"/>
      <c r="H856" s="491" t="n"/>
      <c r="I856" s="491" t="n"/>
      <c r="J856" s="491" t="n"/>
      <c r="K856" s="491" t="n"/>
      <c r="L856" s="491" t="n"/>
      <c r="M856" s="491" t="n"/>
      <c r="N856" s="491" t="n"/>
      <c r="O856" s="491" t="n"/>
      <c r="P856" s="491" t="n"/>
      <c r="Q856" s="491" t="n"/>
      <c r="R856" s="491" t="n"/>
      <c r="S856" s="491" t="n"/>
      <c r="T856" s="491" t="n"/>
      <c r="U856" s="491" t="n"/>
      <c r="V856" s="491" t="n"/>
      <c r="W856" s="491" t="n"/>
      <c r="X856" s="491" t="n"/>
      <c r="Y856" s="491" t="n"/>
    </row>
    <row r="857" ht="12.75" customHeight="1" s="398">
      <c r="A857" s="491" t="n"/>
      <c r="B857" s="491" t="n"/>
      <c r="C857" s="491" t="n"/>
      <c r="D857" s="491" t="n"/>
      <c r="E857" s="491" t="n"/>
      <c r="F857" s="491" t="n"/>
      <c r="G857" s="491" t="n"/>
      <c r="H857" s="491" t="n"/>
      <c r="I857" s="491" t="n"/>
      <c r="J857" s="491" t="n"/>
      <c r="K857" s="491" t="n"/>
      <c r="L857" s="491" t="n"/>
      <c r="M857" s="491" t="n"/>
      <c r="N857" s="491" t="n"/>
      <c r="O857" s="491" t="n"/>
      <c r="P857" s="491" t="n"/>
      <c r="Q857" s="491" t="n"/>
      <c r="R857" s="491" t="n"/>
      <c r="S857" s="491" t="n"/>
      <c r="T857" s="491" t="n"/>
      <c r="U857" s="491" t="n"/>
      <c r="V857" s="491" t="n"/>
      <c r="W857" s="491" t="n"/>
      <c r="X857" s="491" t="n"/>
      <c r="Y857" s="491" t="n"/>
    </row>
    <row r="858" ht="12.75" customHeight="1" s="398">
      <c r="A858" s="491" t="n"/>
      <c r="B858" s="491" t="n"/>
      <c r="C858" s="491" t="n"/>
      <c r="D858" s="491" t="n"/>
      <c r="E858" s="491" t="n"/>
      <c r="F858" s="491" t="n"/>
      <c r="G858" s="491" t="n"/>
      <c r="H858" s="491" t="n"/>
      <c r="I858" s="491" t="n"/>
      <c r="J858" s="491" t="n"/>
      <c r="K858" s="491" t="n"/>
      <c r="L858" s="491" t="n"/>
      <c r="M858" s="491" t="n"/>
      <c r="N858" s="491" t="n"/>
      <c r="O858" s="491" t="n"/>
      <c r="P858" s="491" t="n"/>
      <c r="Q858" s="491" t="n"/>
      <c r="R858" s="491" t="n"/>
      <c r="S858" s="491" t="n"/>
      <c r="T858" s="491" t="n"/>
      <c r="U858" s="491" t="n"/>
      <c r="V858" s="491" t="n"/>
      <c r="W858" s="491" t="n"/>
      <c r="X858" s="491" t="n"/>
      <c r="Y858" s="491" t="n"/>
    </row>
    <row r="859" ht="12.75" customHeight="1" s="398">
      <c r="A859" s="491" t="n"/>
      <c r="B859" s="491" t="n"/>
      <c r="C859" s="491" t="n"/>
      <c r="D859" s="491" t="n"/>
      <c r="E859" s="491" t="n"/>
      <c r="F859" s="491" t="n"/>
      <c r="G859" s="491" t="n"/>
      <c r="H859" s="491" t="n"/>
      <c r="I859" s="491" t="n"/>
      <c r="J859" s="491" t="n"/>
      <c r="K859" s="491" t="n"/>
      <c r="L859" s="491" t="n"/>
      <c r="M859" s="491" t="n"/>
      <c r="N859" s="491" t="n"/>
      <c r="O859" s="491" t="n"/>
      <c r="P859" s="491" t="n"/>
      <c r="Q859" s="491" t="n"/>
      <c r="R859" s="491" t="n"/>
      <c r="S859" s="491" t="n"/>
      <c r="T859" s="491" t="n"/>
      <c r="U859" s="491" t="n"/>
      <c r="V859" s="491" t="n"/>
      <c r="W859" s="491" t="n"/>
      <c r="X859" s="491" t="n"/>
      <c r="Y859" s="491" t="n"/>
    </row>
    <row r="860" ht="12.75" customHeight="1" s="398">
      <c r="A860" s="491" t="n"/>
      <c r="B860" s="491" t="n"/>
      <c r="C860" s="491" t="n"/>
      <c r="D860" s="491" t="n"/>
      <c r="E860" s="491" t="n"/>
      <c r="F860" s="491" t="n"/>
      <c r="G860" s="491" t="n"/>
      <c r="H860" s="491" t="n"/>
      <c r="I860" s="491" t="n"/>
      <c r="J860" s="491" t="n"/>
      <c r="K860" s="491" t="n"/>
      <c r="L860" s="491" t="n"/>
      <c r="M860" s="491" t="n"/>
      <c r="N860" s="491" t="n"/>
      <c r="O860" s="491" t="n"/>
      <c r="P860" s="491" t="n"/>
      <c r="Q860" s="491" t="n"/>
      <c r="R860" s="491" t="n"/>
      <c r="S860" s="491" t="n"/>
      <c r="T860" s="491" t="n"/>
      <c r="U860" s="491" t="n"/>
      <c r="V860" s="491" t="n"/>
      <c r="W860" s="491" t="n"/>
      <c r="X860" s="491" t="n"/>
      <c r="Y860" s="491" t="n"/>
    </row>
    <row r="861" ht="12.75" customHeight="1" s="398">
      <c r="A861" s="491" t="n"/>
      <c r="B861" s="491" t="n"/>
      <c r="C861" s="491" t="n"/>
      <c r="D861" s="491" t="n"/>
      <c r="E861" s="491" t="n"/>
      <c r="F861" s="491" t="n"/>
      <c r="G861" s="491" t="n"/>
      <c r="H861" s="491" t="n"/>
      <c r="I861" s="491" t="n"/>
      <c r="J861" s="491" t="n"/>
      <c r="K861" s="491" t="n"/>
      <c r="L861" s="491" t="n"/>
      <c r="M861" s="491" t="n"/>
      <c r="N861" s="491" t="n"/>
      <c r="O861" s="491" t="n"/>
      <c r="P861" s="491" t="n"/>
      <c r="Q861" s="491" t="n"/>
      <c r="R861" s="491" t="n"/>
      <c r="S861" s="491" t="n"/>
      <c r="T861" s="491" t="n"/>
      <c r="U861" s="491" t="n"/>
      <c r="V861" s="491" t="n"/>
      <c r="W861" s="491" t="n"/>
      <c r="X861" s="491" t="n"/>
      <c r="Y861" s="491" t="n"/>
    </row>
    <row r="862" ht="12.75" customHeight="1" s="398">
      <c r="A862" s="491" t="n"/>
      <c r="B862" s="491" t="n"/>
      <c r="C862" s="491" t="n"/>
      <c r="D862" s="491" t="n"/>
      <c r="E862" s="491" t="n"/>
      <c r="F862" s="491" t="n"/>
      <c r="G862" s="491" t="n"/>
      <c r="H862" s="491" t="n"/>
      <c r="I862" s="491" t="n"/>
      <c r="J862" s="491" t="n"/>
      <c r="K862" s="491" t="n"/>
      <c r="L862" s="491" t="n"/>
      <c r="M862" s="491" t="n"/>
      <c r="N862" s="491" t="n"/>
      <c r="O862" s="491" t="n"/>
      <c r="P862" s="491" t="n"/>
      <c r="Q862" s="491" t="n"/>
      <c r="R862" s="491" t="n"/>
      <c r="S862" s="491" t="n"/>
      <c r="T862" s="491" t="n"/>
      <c r="U862" s="491" t="n"/>
      <c r="V862" s="491" t="n"/>
      <c r="W862" s="491" t="n"/>
      <c r="X862" s="491" t="n"/>
      <c r="Y862" s="491" t="n"/>
    </row>
    <row r="863" ht="12.75" customHeight="1" s="398">
      <c r="A863" s="491" t="n"/>
      <c r="B863" s="491" t="n"/>
      <c r="C863" s="491" t="n"/>
      <c r="D863" s="491" t="n"/>
      <c r="E863" s="491" t="n"/>
      <c r="F863" s="491" t="n"/>
      <c r="G863" s="491" t="n"/>
      <c r="H863" s="491" t="n"/>
      <c r="I863" s="491" t="n"/>
      <c r="J863" s="491" t="n"/>
      <c r="K863" s="491" t="n"/>
      <c r="L863" s="491" t="n"/>
      <c r="M863" s="491" t="n"/>
      <c r="N863" s="491" t="n"/>
      <c r="O863" s="491" t="n"/>
      <c r="P863" s="491" t="n"/>
      <c r="Q863" s="491" t="n"/>
      <c r="R863" s="491" t="n"/>
      <c r="S863" s="491" t="n"/>
      <c r="T863" s="491" t="n"/>
      <c r="U863" s="491" t="n"/>
      <c r="V863" s="491" t="n"/>
      <c r="W863" s="491" t="n"/>
      <c r="X863" s="491" t="n"/>
      <c r="Y863" s="491" t="n"/>
    </row>
    <row r="864" ht="12.75" customHeight="1" s="398">
      <c r="A864" s="491" t="n"/>
      <c r="B864" s="491" t="n"/>
      <c r="C864" s="491" t="n"/>
      <c r="D864" s="491" t="n"/>
      <c r="E864" s="491" t="n"/>
      <c r="F864" s="491" t="n"/>
      <c r="G864" s="491" t="n"/>
      <c r="H864" s="491" t="n"/>
      <c r="I864" s="491" t="n"/>
      <c r="J864" s="491" t="n"/>
      <c r="K864" s="491" t="n"/>
      <c r="L864" s="491" t="n"/>
      <c r="M864" s="491" t="n"/>
      <c r="N864" s="491" t="n"/>
      <c r="O864" s="491" t="n"/>
      <c r="P864" s="491" t="n"/>
      <c r="Q864" s="491" t="n"/>
      <c r="R864" s="491" t="n"/>
      <c r="S864" s="491" t="n"/>
      <c r="T864" s="491" t="n"/>
      <c r="U864" s="491" t="n"/>
      <c r="V864" s="491" t="n"/>
      <c r="W864" s="491" t="n"/>
      <c r="X864" s="491" t="n"/>
      <c r="Y864" s="491" t="n"/>
    </row>
    <row r="865" ht="12.75" customHeight="1" s="398">
      <c r="A865" s="491" t="n"/>
      <c r="B865" s="491" t="n"/>
      <c r="C865" s="491" t="n"/>
      <c r="D865" s="491" t="n"/>
      <c r="E865" s="491" t="n"/>
      <c r="F865" s="491" t="n"/>
      <c r="G865" s="491" t="n"/>
      <c r="H865" s="491" t="n"/>
      <c r="I865" s="491" t="n"/>
      <c r="J865" s="491" t="n"/>
      <c r="K865" s="491" t="n"/>
      <c r="L865" s="491" t="n"/>
      <c r="M865" s="491" t="n"/>
      <c r="N865" s="491" t="n"/>
      <c r="O865" s="491" t="n"/>
      <c r="P865" s="491" t="n"/>
      <c r="Q865" s="491" t="n"/>
      <c r="R865" s="491" t="n"/>
      <c r="S865" s="491" t="n"/>
      <c r="T865" s="491" t="n"/>
      <c r="U865" s="491" t="n"/>
      <c r="V865" s="491" t="n"/>
      <c r="W865" s="491" t="n"/>
      <c r="X865" s="491" t="n"/>
      <c r="Y865" s="491" t="n"/>
    </row>
    <row r="866" ht="12.75" customHeight="1" s="398">
      <c r="A866" s="491" t="n"/>
      <c r="B866" s="491" t="n"/>
      <c r="C866" s="491" t="n"/>
      <c r="D866" s="491" t="n"/>
      <c r="E866" s="491" t="n"/>
      <c r="F866" s="491" t="n"/>
      <c r="G866" s="491" t="n"/>
      <c r="H866" s="491" t="n"/>
      <c r="I866" s="491" t="n"/>
      <c r="J866" s="491" t="n"/>
      <c r="K866" s="491" t="n"/>
      <c r="L866" s="491" t="n"/>
      <c r="M866" s="491" t="n"/>
      <c r="N866" s="491" t="n"/>
      <c r="O866" s="491" t="n"/>
      <c r="P866" s="491" t="n"/>
      <c r="Q866" s="491" t="n"/>
      <c r="R866" s="491" t="n"/>
      <c r="S866" s="491" t="n"/>
      <c r="T866" s="491" t="n"/>
      <c r="U866" s="491" t="n"/>
      <c r="V866" s="491" t="n"/>
      <c r="W866" s="491" t="n"/>
      <c r="X866" s="491" t="n"/>
      <c r="Y866" s="491" t="n"/>
    </row>
    <row r="867" ht="12.75" customHeight="1" s="398">
      <c r="A867" s="491" t="n"/>
      <c r="B867" s="491" t="n"/>
      <c r="C867" s="491" t="n"/>
      <c r="D867" s="491" t="n"/>
      <c r="E867" s="491" t="n"/>
      <c r="F867" s="491" t="n"/>
      <c r="G867" s="491" t="n"/>
      <c r="H867" s="491" t="n"/>
      <c r="I867" s="491" t="n"/>
      <c r="J867" s="491" t="n"/>
      <c r="K867" s="491" t="n"/>
      <c r="L867" s="491" t="n"/>
      <c r="M867" s="491" t="n"/>
      <c r="N867" s="491" t="n"/>
      <c r="O867" s="491" t="n"/>
      <c r="P867" s="491" t="n"/>
      <c r="Q867" s="491" t="n"/>
      <c r="R867" s="491" t="n"/>
      <c r="S867" s="491" t="n"/>
      <c r="T867" s="491" t="n"/>
      <c r="U867" s="491" t="n"/>
      <c r="V867" s="491" t="n"/>
      <c r="W867" s="491" t="n"/>
      <c r="X867" s="491" t="n"/>
      <c r="Y867" s="491" t="n"/>
    </row>
    <row r="868" ht="12.75" customHeight="1" s="398">
      <c r="A868" s="491" t="n"/>
      <c r="B868" s="491" t="n"/>
      <c r="C868" s="491" t="n"/>
      <c r="D868" s="491" t="n"/>
      <c r="E868" s="491" t="n"/>
      <c r="F868" s="491" t="n"/>
      <c r="G868" s="491" t="n"/>
      <c r="H868" s="491" t="n"/>
      <c r="I868" s="491" t="n"/>
      <c r="J868" s="491" t="n"/>
      <c r="K868" s="491" t="n"/>
      <c r="L868" s="491" t="n"/>
      <c r="M868" s="491" t="n"/>
      <c r="N868" s="491" t="n"/>
      <c r="O868" s="491" t="n"/>
      <c r="P868" s="491" t="n"/>
      <c r="Q868" s="491" t="n"/>
      <c r="R868" s="491" t="n"/>
      <c r="S868" s="491" t="n"/>
      <c r="T868" s="491" t="n"/>
      <c r="U868" s="491" t="n"/>
      <c r="V868" s="491" t="n"/>
      <c r="W868" s="491" t="n"/>
      <c r="X868" s="491" t="n"/>
      <c r="Y868" s="491" t="n"/>
    </row>
    <row r="869" ht="12.75" customHeight="1" s="398">
      <c r="A869" s="491" t="n"/>
      <c r="B869" s="491" t="n"/>
      <c r="C869" s="491" t="n"/>
      <c r="D869" s="491" t="n"/>
      <c r="E869" s="491" t="n"/>
      <c r="F869" s="491" t="n"/>
      <c r="G869" s="491" t="n"/>
      <c r="H869" s="491" t="n"/>
      <c r="I869" s="491" t="n"/>
      <c r="J869" s="491" t="n"/>
      <c r="K869" s="491" t="n"/>
      <c r="L869" s="491" t="n"/>
      <c r="M869" s="491" t="n"/>
      <c r="N869" s="491" t="n"/>
      <c r="O869" s="491" t="n"/>
      <c r="P869" s="491" t="n"/>
      <c r="Q869" s="491" t="n"/>
      <c r="R869" s="491" t="n"/>
      <c r="S869" s="491" t="n"/>
      <c r="T869" s="491" t="n"/>
      <c r="U869" s="491" t="n"/>
      <c r="V869" s="491" t="n"/>
      <c r="W869" s="491" t="n"/>
      <c r="X869" s="491" t="n"/>
      <c r="Y869" s="491" t="n"/>
    </row>
    <row r="870" ht="12.75" customHeight="1" s="398">
      <c r="A870" s="491" t="n"/>
      <c r="B870" s="491" t="n"/>
      <c r="C870" s="491" t="n"/>
      <c r="D870" s="491" t="n"/>
      <c r="E870" s="491" t="n"/>
      <c r="F870" s="491" t="n"/>
      <c r="G870" s="491" t="n"/>
      <c r="H870" s="491" t="n"/>
      <c r="I870" s="491" t="n"/>
      <c r="J870" s="491" t="n"/>
      <c r="K870" s="491" t="n"/>
      <c r="L870" s="491" t="n"/>
      <c r="M870" s="491" t="n"/>
      <c r="N870" s="491" t="n"/>
      <c r="O870" s="491" t="n"/>
      <c r="P870" s="491" t="n"/>
      <c r="Q870" s="491" t="n"/>
      <c r="R870" s="491" t="n"/>
      <c r="S870" s="491" t="n"/>
      <c r="T870" s="491" t="n"/>
      <c r="U870" s="491" t="n"/>
      <c r="V870" s="491" t="n"/>
      <c r="W870" s="491" t="n"/>
      <c r="X870" s="491" t="n"/>
      <c r="Y870" s="491" t="n"/>
    </row>
    <row r="871" ht="12.75" customHeight="1" s="398">
      <c r="A871" s="491" t="n"/>
      <c r="B871" s="491" t="n"/>
      <c r="C871" s="491" t="n"/>
      <c r="D871" s="491" t="n"/>
      <c r="E871" s="491" t="n"/>
      <c r="F871" s="491" t="n"/>
      <c r="G871" s="491" t="n"/>
      <c r="H871" s="491" t="n"/>
      <c r="I871" s="491" t="n"/>
      <c r="J871" s="491" t="n"/>
      <c r="K871" s="491" t="n"/>
      <c r="L871" s="491" t="n"/>
      <c r="M871" s="491" t="n"/>
      <c r="N871" s="491" t="n"/>
      <c r="O871" s="491" t="n"/>
      <c r="P871" s="491" t="n"/>
      <c r="Q871" s="491" t="n"/>
      <c r="R871" s="491" t="n"/>
      <c r="S871" s="491" t="n"/>
      <c r="T871" s="491" t="n"/>
      <c r="U871" s="491" t="n"/>
      <c r="V871" s="491" t="n"/>
      <c r="W871" s="491" t="n"/>
      <c r="X871" s="491" t="n"/>
      <c r="Y871" s="491" t="n"/>
    </row>
    <row r="872" ht="12.75" customHeight="1" s="398">
      <c r="A872" s="491" t="n"/>
      <c r="B872" s="491" t="n"/>
      <c r="C872" s="491" t="n"/>
      <c r="D872" s="491" t="n"/>
      <c r="E872" s="491" t="n"/>
      <c r="F872" s="491" t="n"/>
      <c r="G872" s="491" t="n"/>
      <c r="H872" s="491" t="n"/>
      <c r="I872" s="491" t="n"/>
      <c r="J872" s="491" t="n"/>
      <c r="K872" s="491" t="n"/>
      <c r="L872" s="491" t="n"/>
      <c r="M872" s="491" t="n"/>
      <c r="N872" s="491" t="n"/>
      <c r="O872" s="491" t="n"/>
      <c r="P872" s="491" t="n"/>
      <c r="Q872" s="491" t="n"/>
      <c r="R872" s="491" t="n"/>
      <c r="S872" s="491" t="n"/>
      <c r="T872" s="491" t="n"/>
      <c r="U872" s="491" t="n"/>
      <c r="V872" s="491" t="n"/>
      <c r="W872" s="491" t="n"/>
      <c r="X872" s="491" t="n"/>
      <c r="Y872" s="491" t="n"/>
    </row>
    <row r="873" ht="12.75" customHeight="1" s="398">
      <c r="A873" s="491" t="n"/>
      <c r="B873" s="491" t="n"/>
      <c r="C873" s="491" t="n"/>
      <c r="D873" s="491" t="n"/>
      <c r="E873" s="491" t="n"/>
      <c r="F873" s="491" t="n"/>
      <c r="G873" s="491" t="n"/>
      <c r="H873" s="491" t="n"/>
      <c r="I873" s="491" t="n"/>
      <c r="J873" s="491" t="n"/>
      <c r="K873" s="491" t="n"/>
      <c r="L873" s="491" t="n"/>
      <c r="M873" s="491" t="n"/>
      <c r="N873" s="491" t="n"/>
      <c r="O873" s="491" t="n"/>
      <c r="P873" s="491" t="n"/>
      <c r="Q873" s="491" t="n"/>
      <c r="R873" s="491" t="n"/>
      <c r="S873" s="491" t="n"/>
      <c r="T873" s="491" t="n"/>
      <c r="U873" s="491" t="n"/>
      <c r="V873" s="491" t="n"/>
      <c r="W873" s="491" t="n"/>
      <c r="X873" s="491" t="n"/>
      <c r="Y873" s="491" t="n"/>
    </row>
    <row r="874" ht="12.75" customHeight="1" s="398">
      <c r="A874" s="491" t="n"/>
      <c r="B874" s="491" t="n"/>
      <c r="C874" s="491" t="n"/>
      <c r="D874" s="491" t="n"/>
      <c r="E874" s="491" t="n"/>
      <c r="F874" s="491" t="n"/>
      <c r="G874" s="491" t="n"/>
      <c r="H874" s="491" t="n"/>
      <c r="I874" s="491" t="n"/>
      <c r="J874" s="491" t="n"/>
      <c r="K874" s="491" t="n"/>
      <c r="L874" s="491" t="n"/>
      <c r="M874" s="491" t="n"/>
      <c r="N874" s="491" t="n"/>
      <c r="O874" s="491" t="n"/>
      <c r="P874" s="491" t="n"/>
      <c r="Q874" s="491" t="n"/>
      <c r="R874" s="491" t="n"/>
      <c r="S874" s="491" t="n"/>
      <c r="T874" s="491" t="n"/>
      <c r="U874" s="491" t="n"/>
      <c r="V874" s="491" t="n"/>
      <c r="W874" s="491" t="n"/>
      <c r="X874" s="491" t="n"/>
      <c r="Y874" s="491" t="n"/>
    </row>
    <row r="875" ht="12.75" customHeight="1" s="398">
      <c r="A875" s="491" t="n"/>
      <c r="B875" s="491" t="n"/>
      <c r="C875" s="491" t="n"/>
      <c r="D875" s="491" t="n"/>
      <c r="E875" s="491" t="n"/>
      <c r="F875" s="491" t="n"/>
      <c r="G875" s="491" t="n"/>
      <c r="H875" s="491" t="n"/>
      <c r="I875" s="491" t="n"/>
      <c r="J875" s="491" t="n"/>
      <c r="K875" s="491" t="n"/>
      <c r="L875" s="491" t="n"/>
      <c r="M875" s="491" t="n"/>
      <c r="N875" s="491" t="n"/>
      <c r="O875" s="491" t="n"/>
      <c r="P875" s="491" t="n"/>
      <c r="Q875" s="491" t="n"/>
      <c r="R875" s="491" t="n"/>
      <c r="S875" s="491" t="n"/>
      <c r="T875" s="491" t="n"/>
      <c r="U875" s="491" t="n"/>
      <c r="V875" s="491" t="n"/>
      <c r="W875" s="491" t="n"/>
      <c r="X875" s="491" t="n"/>
      <c r="Y875" s="491" t="n"/>
    </row>
    <row r="876" ht="12.75" customHeight="1" s="398">
      <c r="A876" s="491" t="n"/>
      <c r="B876" s="491" t="n"/>
      <c r="C876" s="491" t="n"/>
      <c r="D876" s="491" t="n"/>
      <c r="E876" s="491" t="n"/>
      <c r="F876" s="491" t="n"/>
      <c r="G876" s="491" t="n"/>
      <c r="H876" s="491" t="n"/>
      <c r="I876" s="491" t="n"/>
      <c r="J876" s="491" t="n"/>
      <c r="K876" s="491" t="n"/>
      <c r="L876" s="491" t="n"/>
      <c r="M876" s="491" t="n"/>
      <c r="N876" s="491" t="n"/>
      <c r="O876" s="491" t="n"/>
      <c r="P876" s="491" t="n"/>
      <c r="Q876" s="491" t="n"/>
      <c r="R876" s="491" t="n"/>
      <c r="S876" s="491" t="n"/>
      <c r="T876" s="491" t="n"/>
      <c r="U876" s="491" t="n"/>
      <c r="V876" s="491" t="n"/>
      <c r="W876" s="491" t="n"/>
      <c r="X876" s="491" t="n"/>
      <c r="Y876" s="491" t="n"/>
    </row>
    <row r="877" ht="12.75" customHeight="1" s="398">
      <c r="A877" s="491" t="n"/>
      <c r="B877" s="491" t="n"/>
      <c r="C877" s="491" t="n"/>
      <c r="D877" s="491" t="n"/>
      <c r="E877" s="491" t="n"/>
      <c r="F877" s="491" t="n"/>
      <c r="G877" s="491" t="n"/>
      <c r="H877" s="491" t="n"/>
      <c r="I877" s="491" t="n"/>
      <c r="J877" s="491" t="n"/>
      <c r="K877" s="491" t="n"/>
      <c r="L877" s="491" t="n"/>
      <c r="M877" s="491" t="n"/>
      <c r="N877" s="491" t="n"/>
      <c r="O877" s="491" t="n"/>
      <c r="P877" s="491" t="n"/>
      <c r="Q877" s="491" t="n"/>
      <c r="R877" s="491" t="n"/>
      <c r="S877" s="491" t="n"/>
      <c r="T877" s="491" t="n"/>
      <c r="U877" s="491" t="n"/>
      <c r="V877" s="491" t="n"/>
      <c r="W877" s="491" t="n"/>
      <c r="X877" s="491" t="n"/>
      <c r="Y877" s="491" t="n"/>
    </row>
    <row r="878" ht="12.75" customHeight="1" s="398">
      <c r="A878" s="491" t="n"/>
      <c r="B878" s="491" t="n"/>
      <c r="C878" s="491" t="n"/>
      <c r="D878" s="491" t="n"/>
      <c r="E878" s="491" t="n"/>
      <c r="F878" s="491" t="n"/>
      <c r="G878" s="491" t="n"/>
      <c r="H878" s="491" t="n"/>
      <c r="I878" s="491" t="n"/>
      <c r="J878" s="491" t="n"/>
      <c r="K878" s="491" t="n"/>
      <c r="L878" s="491" t="n"/>
      <c r="M878" s="491" t="n"/>
      <c r="N878" s="491" t="n"/>
      <c r="O878" s="491" t="n"/>
      <c r="P878" s="491" t="n"/>
      <c r="Q878" s="491" t="n"/>
      <c r="R878" s="491" t="n"/>
      <c r="S878" s="491" t="n"/>
      <c r="T878" s="491" t="n"/>
      <c r="U878" s="491" t="n"/>
      <c r="V878" s="491" t="n"/>
      <c r="W878" s="491" t="n"/>
      <c r="X878" s="491" t="n"/>
      <c r="Y878" s="491" t="n"/>
    </row>
    <row r="879" ht="12.75" customHeight="1" s="398">
      <c r="A879" s="491" t="n"/>
      <c r="B879" s="491" t="n"/>
      <c r="C879" s="491" t="n"/>
      <c r="D879" s="491" t="n"/>
      <c r="E879" s="491" t="n"/>
      <c r="F879" s="491" t="n"/>
      <c r="G879" s="491" t="n"/>
      <c r="H879" s="491" t="n"/>
      <c r="I879" s="491" t="n"/>
      <c r="J879" s="491" t="n"/>
      <c r="K879" s="491" t="n"/>
      <c r="L879" s="491" t="n"/>
      <c r="M879" s="491" t="n"/>
      <c r="N879" s="491" t="n"/>
      <c r="O879" s="491" t="n"/>
      <c r="P879" s="491" t="n"/>
      <c r="Q879" s="491" t="n"/>
      <c r="R879" s="491" t="n"/>
      <c r="S879" s="491" t="n"/>
      <c r="T879" s="491" t="n"/>
      <c r="U879" s="491" t="n"/>
      <c r="V879" s="491" t="n"/>
      <c r="W879" s="491" t="n"/>
      <c r="X879" s="491" t="n"/>
      <c r="Y879" s="491" t="n"/>
    </row>
    <row r="880" ht="12.75" customHeight="1" s="398">
      <c r="A880" s="491" t="n"/>
      <c r="B880" s="491" t="n"/>
      <c r="C880" s="491" t="n"/>
      <c r="D880" s="491" t="n"/>
      <c r="E880" s="491" t="n"/>
      <c r="F880" s="491" t="n"/>
      <c r="G880" s="491" t="n"/>
      <c r="H880" s="491" t="n"/>
      <c r="I880" s="491" t="n"/>
      <c r="J880" s="491" t="n"/>
      <c r="K880" s="491" t="n"/>
      <c r="L880" s="491" t="n"/>
      <c r="M880" s="491" t="n"/>
      <c r="N880" s="491" t="n"/>
      <c r="O880" s="491" t="n"/>
      <c r="P880" s="491" t="n"/>
      <c r="Q880" s="491" t="n"/>
      <c r="R880" s="491" t="n"/>
      <c r="S880" s="491" t="n"/>
      <c r="T880" s="491" t="n"/>
      <c r="U880" s="491" t="n"/>
      <c r="V880" s="491" t="n"/>
      <c r="W880" s="491" t="n"/>
      <c r="X880" s="491" t="n"/>
      <c r="Y880" s="491" t="n"/>
    </row>
    <row r="881" ht="12.75" customHeight="1" s="398">
      <c r="A881" s="491" t="n"/>
      <c r="B881" s="491" t="n"/>
      <c r="C881" s="491" t="n"/>
      <c r="D881" s="491" t="n"/>
      <c r="E881" s="491" t="n"/>
      <c r="F881" s="491" t="n"/>
      <c r="G881" s="491" t="n"/>
      <c r="H881" s="491" t="n"/>
      <c r="I881" s="491" t="n"/>
      <c r="J881" s="491" t="n"/>
      <c r="K881" s="491" t="n"/>
      <c r="L881" s="491" t="n"/>
      <c r="M881" s="491" t="n"/>
      <c r="N881" s="491" t="n"/>
      <c r="O881" s="491" t="n"/>
      <c r="P881" s="491" t="n"/>
      <c r="Q881" s="491" t="n"/>
      <c r="R881" s="491" t="n"/>
      <c r="S881" s="491" t="n"/>
      <c r="T881" s="491" t="n"/>
      <c r="U881" s="491" t="n"/>
      <c r="V881" s="491" t="n"/>
      <c r="W881" s="491" t="n"/>
      <c r="X881" s="491" t="n"/>
      <c r="Y881" s="491" t="n"/>
    </row>
    <row r="882" ht="12.75" customHeight="1" s="398">
      <c r="A882" s="491" t="n"/>
      <c r="B882" s="491" t="n"/>
      <c r="C882" s="491" t="n"/>
      <c r="D882" s="491" t="n"/>
      <c r="E882" s="491" t="n"/>
      <c r="F882" s="491" t="n"/>
      <c r="G882" s="491" t="n"/>
      <c r="H882" s="491" t="n"/>
      <c r="I882" s="491" t="n"/>
      <c r="J882" s="491" t="n"/>
      <c r="K882" s="491" t="n"/>
      <c r="L882" s="491" t="n"/>
      <c r="M882" s="491" t="n"/>
      <c r="N882" s="491" t="n"/>
      <c r="O882" s="491" t="n"/>
      <c r="P882" s="491" t="n"/>
      <c r="Q882" s="491" t="n"/>
      <c r="R882" s="491" t="n"/>
      <c r="S882" s="491" t="n"/>
      <c r="T882" s="491" t="n"/>
      <c r="U882" s="491" t="n"/>
      <c r="V882" s="491" t="n"/>
      <c r="W882" s="491" t="n"/>
      <c r="X882" s="491" t="n"/>
      <c r="Y882" s="491" t="n"/>
    </row>
    <row r="883" ht="12.75" customHeight="1" s="398">
      <c r="A883" s="491" t="n"/>
      <c r="B883" s="491" t="n"/>
      <c r="C883" s="491" t="n"/>
      <c r="D883" s="491" t="n"/>
      <c r="E883" s="491" t="n"/>
      <c r="F883" s="491" t="n"/>
      <c r="G883" s="491" t="n"/>
      <c r="H883" s="491" t="n"/>
      <c r="I883" s="491" t="n"/>
      <c r="J883" s="491" t="n"/>
      <c r="K883" s="491" t="n"/>
      <c r="L883" s="491" t="n"/>
      <c r="M883" s="491" t="n"/>
      <c r="N883" s="491" t="n"/>
      <c r="O883" s="491" t="n"/>
      <c r="P883" s="491" t="n"/>
      <c r="Q883" s="491" t="n"/>
      <c r="R883" s="491" t="n"/>
      <c r="S883" s="491" t="n"/>
      <c r="T883" s="491" t="n"/>
      <c r="U883" s="491" t="n"/>
      <c r="V883" s="491" t="n"/>
      <c r="W883" s="491" t="n"/>
      <c r="X883" s="491" t="n"/>
      <c r="Y883" s="491" t="n"/>
    </row>
    <row r="884" ht="12.75" customHeight="1" s="398">
      <c r="A884" s="491" t="n"/>
      <c r="B884" s="491" t="n"/>
      <c r="C884" s="491" t="n"/>
      <c r="D884" s="491" t="n"/>
      <c r="E884" s="491" t="n"/>
      <c r="F884" s="491" t="n"/>
      <c r="G884" s="491" t="n"/>
      <c r="H884" s="491" t="n"/>
      <c r="I884" s="491" t="n"/>
      <c r="J884" s="491" t="n"/>
      <c r="K884" s="491" t="n"/>
      <c r="L884" s="491" t="n"/>
      <c r="M884" s="491" t="n"/>
      <c r="N884" s="491" t="n"/>
      <c r="O884" s="491" t="n"/>
      <c r="P884" s="491" t="n"/>
      <c r="Q884" s="491" t="n"/>
      <c r="R884" s="491" t="n"/>
      <c r="S884" s="491" t="n"/>
      <c r="T884" s="491" t="n"/>
      <c r="U884" s="491" t="n"/>
      <c r="V884" s="491" t="n"/>
      <c r="W884" s="491" t="n"/>
      <c r="X884" s="491" t="n"/>
      <c r="Y884" s="491" t="n"/>
    </row>
    <row r="885" ht="12.75" customHeight="1" s="398">
      <c r="A885" s="491" t="n"/>
      <c r="B885" s="491" t="n"/>
      <c r="C885" s="491" t="n"/>
      <c r="D885" s="491" t="n"/>
      <c r="E885" s="491" t="n"/>
      <c r="F885" s="491" t="n"/>
      <c r="G885" s="491" t="n"/>
      <c r="H885" s="491" t="n"/>
      <c r="I885" s="491" t="n"/>
      <c r="J885" s="491" t="n"/>
      <c r="K885" s="491" t="n"/>
      <c r="L885" s="491" t="n"/>
      <c r="M885" s="491" t="n"/>
      <c r="N885" s="491" t="n"/>
      <c r="O885" s="491" t="n"/>
      <c r="P885" s="491" t="n"/>
      <c r="Q885" s="491" t="n"/>
      <c r="R885" s="491" t="n"/>
      <c r="S885" s="491" t="n"/>
      <c r="T885" s="491" t="n"/>
      <c r="U885" s="491" t="n"/>
      <c r="V885" s="491" t="n"/>
      <c r="W885" s="491" t="n"/>
      <c r="X885" s="491" t="n"/>
      <c r="Y885" s="491" t="n"/>
    </row>
    <row r="886" ht="12.75" customHeight="1" s="398">
      <c r="A886" s="491" t="n"/>
      <c r="B886" s="491" t="n"/>
      <c r="C886" s="491" t="n"/>
      <c r="D886" s="491" t="n"/>
      <c r="E886" s="491" t="n"/>
      <c r="F886" s="491" t="n"/>
      <c r="G886" s="491" t="n"/>
      <c r="H886" s="491" t="n"/>
      <c r="I886" s="491" t="n"/>
      <c r="J886" s="491" t="n"/>
      <c r="K886" s="491" t="n"/>
      <c r="L886" s="491" t="n"/>
      <c r="M886" s="491" t="n"/>
      <c r="N886" s="491" t="n"/>
      <c r="O886" s="491" t="n"/>
      <c r="P886" s="491" t="n"/>
      <c r="Q886" s="491" t="n"/>
      <c r="R886" s="491" t="n"/>
      <c r="S886" s="491" t="n"/>
      <c r="T886" s="491" t="n"/>
      <c r="U886" s="491" t="n"/>
      <c r="V886" s="491" t="n"/>
      <c r="W886" s="491" t="n"/>
      <c r="X886" s="491" t="n"/>
      <c r="Y886" s="491" t="n"/>
    </row>
    <row r="887" ht="12.75" customHeight="1" s="398">
      <c r="A887" s="491" t="n"/>
      <c r="B887" s="491" t="n"/>
      <c r="C887" s="491" t="n"/>
      <c r="D887" s="491" t="n"/>
      <c r="E887" s="491" t="n"/>
      <c r="F887" s="491" t="n"/>
      <c r="G887" s="491" t="n"/>
      <c r="H887" s="491" t="n"/>
      <c r="I887" s="491" t="n"/>
      <c r="J887" s="491" t="n"/>
      <c r="K887" s="491" t="n"/>
      <c r="L887" s="491" t="n"/>
      <c r="M887" s="491" t="n"/>
      <c r="N887" s="491" t="n"/>
      <c r="O887" s="491" t="n"/>
      <c r="P887" s="491" t="n"/>
      <c r="Q887" s="491" t="n"/>
      <c r="R887" s="491" t="n"/>
      <c r="S887" s="491" t="n"/>
      <c r="T887" s="491" t="n"/>
      <c r="U887" s="491" t="n"/>
      <c r="V887" s="491" t="n"/>
      <c r="W887" s="491" t="n"/>
      <c r="X887" s="491" t="n"/>
      <c r="Y887" s="491" t="n"/>
    </row>
    <row r="888" ht="12.75" customHeight="1" s="398">
      <c r="A888" s="491" t="n"/>
      <c r="B888" s="491" t="n"/>
      <c r="C888" s="491" t="n"/>
      <c r="D888" s="491" t="n"/>
      <c r="E888" s="491" t="n"/>
      <c r="F888" s="491" t="n"/>
      <c r="G888" s="491" t="n"/>
      <c r="H888" s="491" t="n"/>
      <c r="I888" s="491" t="n"/>
      <c r="J888" s="491" t="n"/>
      <c r="K888" s="491" t="n"/>
      <c r="L888" s="491" t="n"/>
      <c r="M888" s="491" t="n"/>
      <c r="N888" s="491" t="n"/>
      <c r="O888" s="491" t="n"/>
      <c r="P888" s="491" t="n"/>
      <c r="Q888" s="491" t="n"/>
      <c r="R888" s="491" t="n"/>
      <c r="S888" s="491" t="n"/>
      <c r="T888" s="491" t="n"/>
      <c r="U888" s="491" t="n"/>
      <c r="V888" s="491" t="n"/>
      <c r="W888" s="491" t="n"/>
      <c r="X888" s="491" t="n"/>
      <c r="Y888" s="491" t="n"/>
    </row>
    <row r="889" ht="12.75" customHeight="1" s="398">
      <c r="A889" s="491" t="n"/>
      <c r="B889" s="491" t="n"/>
      <c r="C889" s="491" t="n"/>
      <c r="D889" s="491" t="n"/>
      <c r="E889" s="491" t="n"/>
      <c r="F889" s="491" t="n"/>
      <c r="G889" s="491" t="n"/>
      <c r="H889" s="491" t="n"/>
      <c r="I889" s="491" t="n"/>
      <c r="J889" s="491" t="n"/>
      <c r="K889" s="491" t="n"/>
      <c r="L889" s="491" t="n"/>
      <c r="M889" s="491" t="n"/>
      <c r="N889" s="491" t="n"/>
      <c r="O889" s="491" t="n"/>
      <c r="P889" s="491" t="n"/>
      <c r="Q889" s="491" t="n"/>
      <c r="R889" s="491" t="n"/>
      <c r="S889" s="491" t="n"/>
      <c r="T889" s="491" t="n"/>
      <c r="U889" s="491" t="n"/>
      <c r="V889" s="491" t="n"/>
      <c r="W889" s="491" t="n"/>
      <c r="X889" s="491" t="n"/>
      <c r="Y889" s="491" t="n"/>
    </row>
    <row r="890" ht="12.75" customHeight="1" s="398">
      <c r="A890" s="491" t="n"/>
      <c r="B890" s="491" t="n"/>
      <c r="C890" s="491" t="n"/>
      <c r="D890" s="491" t="n"/>
      <c r="E890" s="491" t="n"/>
      <c r="F890" s="491" t="n"/>
      <c r="G890" s="491" t="n"/>
      <c r="H890" s="491" t="n"/>
      <c r="I890" s="491" t="n"/>
      <c r="J890" s="491" t="n"/>
      <c r="K890" s="491" t="n"/>
      <c r="L890" s="491" t="n"/>
      <c r="M890" s="491" t="n"/>
      <c r="N890" s="491" t="n"/>
      <c r="O890" s="491" t="n"/>
      <c r="P890" s="491" t="n"/>
      <c r="Q890" s="491" t="n"/>
      <c r="R890" s="491" t="n"/>
      <c r="S890" s="491" t="n"/>
      <c r="T890" s="491" t="n"/>
      <c r="U890" s="491" t="n"/>
      <c r="V890" s="491" t="n"/>
      <c r="W890" s="491" t="n"/>
      <c r="X890" s="491" t="n"/>
      <c r="Y890" s="491" t="n"/>
    </row>
    <row r="891" ht="12.75" customHeight="1" s="398">
      <c r="A891" s="491" t="n"/>
      <c r="B891" s="491" t="n"/>
      <c r="C891" s="491" t="n"/>
      <c r="D891" s="491" t="n"/>
      <c r="E891" s="491" t="n"/>
      <c r="F891" s="491" t="n"/>
      <c r="G891" s="491" t="n"/>
      <c r="H891" s="491" t="n"/>
      <c r="I891" s="491" t="n"/>
      <c r="J891" s="491" t="n"/>
      <c r="K891" s="491" t="n"/>
      <c r="L891" s="491" t="n"/>
      <c r="M891" s="491" t="n"/>
      <c r="N891" s="491" t="n"/>
      <c r="O891" s="491" t="n"/>
      <c r="P891" s="491" t="n"/>
      <c r="Q891" s="491" t="n"/>
      <c r="R891" s="491" t="n"/>
      <c r="S891" s="491" t="n"/>
      <c r="T891" s="491" t="n"/>
      <c r="U891" s="491" t="n"/>
      <c r="V891" s="491" t="n"/>
      <c r="W891" s="491" t="n"/>
      <c r="X891" s="491" t="n"/>
      <c r="Y891" s="491" t="n"/>
    </row>
    <row r="892" ht="12.75" customHeight="1" s="398">
      <c r="A892" s="491" t="n"/>
      <c r="B892" s="491" t="n"/>
      <c r="C892" s="491" t="n"/>
      <c r="D892" s="491" t="n"/>
      <c r="E892" s="491" t="n"/>
      <c r="F892" s="491" t="n"/>
      <c r="G892" s="491" t="n"/>
      <c r="H892" s="491" t="n"/>
      <c r="I892" s="491" t="n"/>
      <c r="J892" s="491" t="n"/>
      <c r="K892" s="491" t="n"/>
      <c r="L892" s="491" t="n"/>
      <c r="M892" s="491" t="n"/>
      <c r="N892" s="491" t="n"/>
      <c r="O892" s="491" t="n"/>
      <c r="P892" s="491" t="n"/>
      <c r="Q892" s="491" t="n"/>
      <c r="R892" s="491" t="n"/>
      <c r="S892" s="491" t="n"/>
      <c r="T892" s="491" t="n"/>
      <c r="U892" s="491" t="n"/>
      <c r="V892" s="491" t="n"/>
      <c r="W892" s="491" t="n"/>
      <c r="X892" s="491" t="n"/>
      <c r="Y892" s="491" t="n"/>
    </row>
    <row r="893" ht="12.75" customHeight="1" s="398">
      <c r="A893" s="491" t="n"/>
      <c r="B893" s="491" t="n"/>
      <c r="C893" s="491" t="n"/>
      <c r="D893" s="491" t="n"/>
      <c r="E893" s="491" t="n"/>
      <c r="F893" s="491" t="n"/>
      <c r="G893" s="491" t="n"/>
      <c r="H893" s="491" t="n"/>
      <c r="I893" s="491" t="n"/>
      <c r="J893" s="491" t="n"/>
      <c r="K893" s="491" t="n"/>
      <c r="L893" s="491" t="n"/>
      <c r="M893" s="491" t="n"/>
      <c r="N893" s="491" t="n"/>
      <c r="O893" s="491" t="n"/>
      <c r="P893" s="491" t="n"/>
      <c r="Q893" s="491" t="n"/>
      <c r="R893" s="491" t="n"/>
      <c r="S893" s="491" t="n"/>
      <c r="T893" s="491" t="n"/>
      <c r="U893" s="491" t="n"/>
      <c r="V893" s="491" t="n"/>
      <c r="W893" s="491" t="n"/>
      <c r="X893" s="491" t="n"/>
      <c r="Y893" s="491" t="n"/>
    </row>
    <row r="894" ht="12.75" customHeight="1" s="398">
      <c r="A894" s="491" t="n"/>
      <c r="B894" s="491" t="n"/>
      <c r="C894" s="491" t="n"/>
      <c r="D894" s="491" t="n"/>
      <c r="E894" s="491" t="n"/>
      <c r="F894" s="491" t="n"/>
      <c r="G894" s="491" t="n"/>
      <c r="H894" s="491" t="n"/>
      <c r="I894" s="491" t="n"/>
      <c r="J894" s="491" t="n"/>
      <c r="K894" s="491" t="n"/>
      <c r="L894" s="491" t="n"/>
      <c r="M894" s="491" t="n"/>
      <c r="N894" s="491" t="n"/>
      <c r="O894" s="491" t="n"/>
      <c r="P894" s="491" t="n"/>
      <c r="Q894" s="491" t="n"/>
      <c r="R894" s="491" t="n"/>
      <c r="S894" s="491" t="n"/>
      <c r="T894" s="491" t="n"/>
      <c r="U894" s="491" t="n"/>
      <c r="V894" s="491" t="n"/>
      <c r="W894" s="491" t="n"/>
      <c r="X894" s="491" t="n"/>
      <c r="Y894" s="491" t="n"/>
    </row>
    <row r="895" ht="12.75" customHeight="1" s="398">
      <c r="A895" s="491" t="n"/>
      <c r="B895" s="491" t="n"/>
      <c r="C895" s="491" t="n"/>
      <c r="D895" s="491" t="n"/>
      <c r="E895" s="491" t="n"/>
      <c r="F895" s="491" t="n"/>
      <c r="G895" s="491" t="n"/>
      <c r="H895" s="491" t="n"/>
      <c r="I895" s="491" t="n"/>
      <c r="J895" s="491" t="n"/>
      <c r="K895" s="491" t="n"/>
      <c r="L895" s="491" t="n"/>
      <c r="M895" s="491" t="n"/>
      <c r="N895" s="491" t="n"/>
      <c r="O895" s="491" t="n"/>
      <c r="P895" s="491" t="n"/>
      <c r="Q895" s="491" t="n"/>
      <c r="R895" s="491" t="n"/>
      <c r="S895" s="491" t="n"/>
      <c r="T895" s="491" t="n"/>
      <c r="U895" s="491" t="n"/>
      <c r="V895" s="491" t="n"/>
      <c r="W895" s="491" t="n"/>
      <c r="X895" s="491" t="n"/>
      <c r="Y895" s="491" t="n"/>
    </row>
    <row r="896" ht="12.75" customHeight="1" s="398">
      <c r="A896" s="491" t="n"/>
      <c r="B896" s="491" t="n"/>
      <c r="C896" s="491" t="n"/>
      <c r="D896" s="491" t="n"/>
      <c r="E896" s="491" t="n"/>
      <c r="F896" s="491" t="n"/>
      <c r="G896" s="491" t="n"/>
      <c r="H896" s="491" t="n"/>
      <c r="I896" s="491" t="n"/>
      <c r="J896" s="491" t="n"/>
      <c r="K896" s="491" t="n"/>
      <c r="L896" s="491" t="n"/>
      <c r="M896" s="491" t="n"/>
      <c r="N896" s="491" t="n"/>
      <c r="O896" s="491" t="n"/>
      <c r="P896" s="491" t="n"/>
      <c r="Q896" s="491" t="n"/>
      <c r="R896" s="491" t="n"/>
      <c r="S896" s="491" t="n"/>
      <c r="T896" s="491" t="n"/>
      <c r="U896" s="491" t="n"/>
      <c r="V896" s="491" t="n"/>
      <c r="W896" s="491" t="n"/>
      <c r="X896" s="491" t="n"/>
      <c r="Y896" s="491" t="n"/>
    </row>
    <row r="897" ht="12.75" customHeight="1" s="398">
      <c r="A897" s="491" t="n"/>
      <c r="B897" s="491" t="n"/>
      <c r="C897" s="491" t="n"/>
      <c r="D897" s="491" t="n"/>
      <c r="E897" s="491" t="n"/>
      <c r="F897" s="491" t="n"/>
      <c r="G897" s="491" t="n"/>
      <c r="H897" s="491" t="n"/>
      <c r="I897" s="491" t="n"/>
      <c r="J897" s="491" t="n"/>
      <c r="K897" s="491" t="n"/>
      <c r="L897" s="491" t="n"/>
      <c r="M897" s="491" t="n"/>
      <c r="N897" s="491" t="n"/>
      <c r="O897" s="491" t="n"/>
      <c r="P897" s="491" t="n"/>
      <c r="Q897" s="491" t="n"/>
      <c r="R897" s="491" t="n"/>
      <c r="S897" s="491" t="n"/>
      <c r="T897" s="491" t="n"/>
      <c r="U897" s="491" t="n"/>
      <c r="V897" s="491" t="n"/>
      <c r="W897" s="491" t="n"/>
      <c r="X897" s="491" t="n"/>
      <c r="Y897" s="491" t="n"/>
    </row>
    <row r="898" ht="12.75" customHeight="1" s="398">
      <c r="A898" s="491" t="n"/>
      <c r="B898" s="491" t="n"/>
      <c r="C898" s="491" t="n"/>
      <c r="D898" s="491" t="n"/>
      <c r="E898" s="491" t="n"/>
      <c r="F898" s="491" t="n"/>
      <c r="G898" s="491" t="n"/>
      <c r="H898" s="491" t="n"/>
      <c r="I898" s="491" t="n"/>
      <c r="J898" s="491" t="n"/>
      <c r="K898" s="491" t="n"/>
      <c r="L898" s="491" t="n"/>
      <c r="M898" s="491" t="n"/>
      <c r="N898" s="491" t="n"/>
      <c r="O898" s="491" t="n"/>
      <c r="P898" s="491" t="n"/>
      <c r="Q898" s="491" t="n"/>
      <c r="R898" s="491" t="n"/>
      <c r="S898" s="491" t="n"/>
      <c r="T898" s="491" t="n"/>
      <c r="U898" s="491" t="n"/>
      <c r="V898" s="491" t="n"/>
      <c r="W898" s="491" t="n"/>
      <c r="X898" s="491" t="n"/>
      <c r="Y898" s="491" t="n"/>
    </row>
    <row r="899" ht="12.75" customHeight="1" s="398">
      <c r="A899" s="491" t="n"/>
      <c r="B899" s="491" t="n"/>
      <c r="C899" s="491" t="n"/>
      <c r="D899" s="491" t="n"/>
      <c r="E899" s="491" t="n"/>
      <c r="F899" s="491" t="n"/>
      <c r="G899" s="491" t="n"/>
      <c r="H899" s="491" t="n"/>
      <c r="I899" s="491" t="n"/>
      <c r="J899" s="491" t="n"/>
      <c r="K899" s="491" t="n"/>
      <c r="L899" s="491" t="n"/>
      <c r="M899" s="491" t="n"/>
      <c r="N899" s="491" t="n"/>
      <c r="O899" s="491" t="n"/>
      <c r="P899" s="491" t="n"/>
      <c r="Q899" s="491" t="n"/>
      <c r="R899" s="491" t="n"/>
      <c r="S899" s="491" t="n"/>
      <c r="T899" s="491" t="n"/>
      <c r="U899" s="491" t="n"/>
      <c r="V899" s="491" t="n"/>
      <c r="W899" s="491" t="n"/>
      <c r="X899" s="491" t="n"/>
      <c r="Y899" s="491" t="n"/>
    </row>
    <row r="900" ht="12.75" customHeight="1" s="398">
      <c r="A900" s="491" t="n"/>
      <c r="B900" s="491" t="n"/>
      <c r="C900" s="491" t="n"/>
      <c r="D900" s="491" t="n"/>
      <c r="E900" s="491" t="n"/>
      <c r="F900" s="491" t="n"/>
      <c r="G900" s="491" t="n"/>
      <c r="H900" s="491" t="n"/>
      <c r="I900" s="491" t="n"/>
      <c r="J900" s="491" t="n"/>
      <c r="K900" s="491" t="n"/>
      <c r="L900" s="491" t="n"/>
      <c r="M900" s="491" t="n"/>
      <c r="N900" s="491" t="n"/>
      <c r="O900" s="491" t="n"/>
      <c r="P900" s="491" t="n"/>
      <c r="Q900" s="491" t="n"/>
      <c r="R900" s="491" t="n"/>
      <c r="S900" s="491" t="n"/>
      <c r="T900" s="491" t="n"/>
      <c r="U900" s="491" t="n"/>
      <c r="V900" s="491" t="n"/>
      <c r="W900" s="491" t="n"/>
      <c r="X900" s="491" t="n"/>
      <c r="Y900" s="491" t="n"/>
    </row>
    <row r="901" ht="12.75" customHeight="1" s="398">
      <c r="A901" s="491" t="n"/>
      <c r="B901" s="491" t="n"/>
      <c r="C901" s="491" t="n"/>
      <c r="D901" s="491" t="n"/>
      <c r="E901" s="491" t="n"/>
      <c r="F901" s="491" t="n"/>
      <c r="G901" s="491" t="n"/>
      <c r="H901" s="491" t="n"/>
      <c r="I901" s="491" t="n"/>
      <c r="J901" s="491" t="n"/>
      <c r="K901" s="491" t="n"/>
      <c r="L901" s="491" t="n"/>
      <c r="M901" s="491" t="n"/>
      <c r="N901" s="491" t="n"/>
      <c r="O901" s="491" t="n"/>
      <c r="P901" s="491" t="n"/>
      <c r="Q901" s="491" t="n"/>
      <c r="R901" s="491" t="n"/>
      <c r="S901" s="491" t="n"/>
      <c r="T901" s="491" t="n"/>
      <c r="U901" s="491" t="n"/>
      <c r="V901" s="491" t="n"/>
      <c r="W901" s="491" t="n"/>
      <c r="X901" s="491" t="n"/>
      <c r="Y901" s="491" t="n"/>
    </row>
    <row r="902" ht="12.75" customHeight="1" s="398">
      <c r="A902" s="491" t="n"/>
      <c r="B902" s="491" t="n"/>
      <c r="C902" s="491" t="n"/>
      <c r="D902" s="491" t="n"/>
      <c r="E902" s="491" t="n"/>
      <c r="F902" s="491" t="n"/>
      <c r="G902" s="491" t="n"/>
      <c r="H902" s="491" t="n"/>
      <c r="I902" s="491" t="n"/>
      <c r="J902" s="491" t="n"/>
      <c r="K902" s="491" t="n"/>
      <c r="L902" s="491" t="n"/>
      <c r="M902" s="491" t="n"/>
      <c r="N902" s="491" t="n"/>
      <c r="O902" s="491" t="n"/>
      <c r="P902" s="491" t="n"/>
      <c r="Q902" s="491" t="n"/>
      <c r="R902" s="491" t="n"/>
      <c r="S902" s="491" t="n"/>
      <c r="T902" s="491" t="n"/>
      <c r="U902" s="491" t="n"/>
      <c r="V902" s="491" t="n"/>
      <c r="W902" s="491" t="n"/>
      <c r="X902" s="491" t="n"/>
      <c r="Y902" s="491" t="n"/>
    </row>
    <row r="903" ht="12.75" customHeight="1" s="398">
      <c r="A903" s="491" t="n"/>
      <c r="B903" s="491" t="n"/>
      <c r="C903" s="491" t="n"/>
      <c r="D903" s="491" t="n"/>
      <c r="E903" s="491" t="n"/>
      <c r="F903" s="491" t="n"/>
      <c r="G903" s="491" t="n"/>
      <c r="H903" s="491" t="n"/>
      <c r="I903" s="491" t="n"/>
      <c r="J903" s="491" t="n"/>
      <c r="K903" s="491" t="n"/>
      <c r="L903" s="491" t="n"/>
      <c r="M903" s="491" t="n"/>
      <c r="N903" s="491" t="n"/>
      <c r="O903" s="491" t="n"/>
      <c r="P903" s="491" t="n"/>
      <c r="Q903" s="491" t="n"/>
      <c r="R903" s="491" t="n"/>
      <c r="S903" s="491" t="n"/>
      <c r="T903" s="491" t="n"/>
      <c r="U903" s="491" t="n"/>
      <c r="V903" s="491" t="n"/>
      <c r="W903" s="491" t="n"/>
      <c r="X903" s="491" t="n"/>
      <c r="Y903" s="491" t="n"/>
    </row>
    <row r="904" ht="12.75" customHeight="1" s="398">
      <c r="A904" s="491" t="n"/>
      <c r="B904" s="491" t="n"/>
      <c r="C904" s="491" t="n"/>
      <c r="D904" s="491" t="n"/>
      <c r="E904" s="491" t="n"/>
      <c r="F904" s="491" t="n"/>
      <c r="G904" s="491" t="n"/>
      <c r="H904" s="491" t="n"/>
      <c r="I904" s="491" t="n"/>
      <c r="J904" s="491" t="n"/>
      <c r="K904" s="491" t="n"/>
      <c r="L904" s="491" t="n"/>
      <c r="M904" s="491" t="n"/>
      <c r="N904" s="491" t="n"/>
      <c r="O904" s="491" t="n"/>
      <c r="P904" s="491" t="n"/>
      <c r="Q904" s="491" t="n"/>
      <c r="R904" s="491" t="n"/>
      <c r="S904" s="491" t="n"/>
      <c r="T904" s="491" t="n"/>
      <c r="U904" s="491" t="n"/>
      <c r="V904" s="491" t="n"/>
      <c r="W904" s="491" t="n"/>
      <c r="X904" s="491" t="n"/>
      <c r="Y904" s="491" t="n"/>
    </row>
    <row r="905" ht="12.75" customHeight="1" s="398">
      <c r="A905" s="491" t="n"/>
      <c r="B905" s="491" t="n"/>
      <c r="C905" s="491" t="n"/>
      <c r="D905" s="491" t="n"/>
      <c r="E905" s="491" t="n"/>
      <c r="F905" s="491" t="n"/>
      <c r="G905" s="491" t="n"/>
      <c r="H905" s="491" t="n"/>
      <c r="I905" s="491" t="n"/>
      <c r="J905" s="491" t="n"/>
      <c r="K905" s="491" t="n"/>
      <c r="L905" s="491" t="n"/>
      <c r="M905" s="491" t="n"/>
      <c r="N905" s="491" t="n"/>
      <c r="O905" s="491" t="n"/>
      <c r="P905" s="491" t="n"/>
      <c r="Q905" s="491" t="n"/>
      <c r="R905" s="491" t="n"/>
      <c r="S905" s="491" t="n"/>
      <c r="T905" s="491" t="n"/>
      <c r="U905" s="491" t="n"/>
      <c r="V905" s="491" t="n"/>
      <c r="W905" s="491" t="n"/>
      <c r="X905" s="491" t="n"/>
      <c r="Y905" s="491" t="n"/>
    </row>
    <row r="906" ht="12.75" customHeight="1" s="398">
      <c r="A906" s="491" t="n"/>
      <c r="B906" s="491" t="n"/>
      <c r="C906" s="491" t="n"/>
      <c r="D906" s="491" t="n"/>
      <c r="E906" s="491" t="n"/>
      <c r="F906" s="491" t="n"/>
      <c r="G906" s="491" t="n"/>
      <c r="H906" s="491" t="n"/>
      <c r="I906" s="491" t="n"/>
      <c r="J906" s="491" t="n"/>
      <c r="K906" s="491" t="n"/>
      <c r="L906" s="491" t="n"/>
      <c r="M906" s="491" t="n"/>
      <c r="N906" s="491" t="n"/>
      <c r="O906" s="491" t="n"/>
      <c r="P906" s="491" t="n"/>
      <c r="Q906" s="491" t="n"/>
      <c r="R906" s="491" t="n"/>
      <c r="S906" s="491" t="n"/>
      <c r="T906" s="491" t="n"/>
      <c r="U906" s="491" t="n"/>
      <c r="V906" s="491" t="n"/>
      <c r="W906" s="491" t="n"/>
      <c r="X906" s="491" t="n"/>
      <c r="Y906" s="491" t="n"/>
    </row>
    <row r="907" ht="12.75" customHeight="1" s="398">
      <c r="A907" s="491" t="n"/>
      <c r="B907" s="491" t="n"/>
      <c r="C907" s="491" t="n"/>
      <c r="D907" s="491" t="n"/>
      <c r="E907" s="491" t="n"/>
      <c r="F907" s="491" t="n"/>
      <c r="G907" s="491" t="n"/>
      <c r="H907" s="491" t="n"/>
      <c r="I907" s="491" t="n"/>
      <c r="J907" s="491" t="n"/>
      <c r="K907" s="491" t="n"/>
      <c r="L907" s="491" t="n"/>
      <c r="M907" s="491" t="n"/>
      <c r="N907" s="491" t="n"/>
      <c r="O907" s="491" t="n"/>
      <c r="P907" s="491" t="n"/>
      <c r="Q907" s="491" t="n"/>
      <c r="R907" s="491" t="n"/>
      <c r="S907" s="491" t="n"/>
      <c r="T907" s="491" t="n"/>
      <c r="U907" s="491" t="n"/>
      <c r="V907" s="491" t="n"/>
      <c r="W907" s="491" t="n"/>
      <c r="X907" s="491" t="n"/>
      <c r="Y907" s="491" t="n"/>
    </row>
    <row r="908" ht="12.75" customHeight="1" s="398">
      <c r="A908" s="491" t="n"/>
      <c r="B908" s="491" t="n"/>
      <c r="C908" s="491" t="n"/>
      <c r="D908" s="491" t="n"/>
      <c r="E908" s="491" t="n"/>
      <c r="F908" s="491" t="n"/>
      <c r="G908" s="491" t="n"/>
      <c r="H908" s="491" t="n"/>
      <c r="I908" s="491" t="n"/>
      <c r="J908" s="491" t="n"/>
      <c r="K908" s="491" t="n"/>
      <c r="L908" s="491" t="n"/>
      <c r="M908" s="491" t="n"/>
      <c r="N908" s="491" t="n"/>
      <c r="O908" s="491" t="n"/>
      <c r="P908" s="491" t="n"/>
      <c r="Q908" s="491" t="n"/>
      <c r="R908" s="491" t="n"/>
      <c r="S908" s="491" t="n"/>
      <c r="T908" s="491" t="n"/>
      <c r="U908" s="491" t="n"/>
      <c r="V908" s="491" t="n"/>
      <c r="W908" s="491" t="n"/>
      <c r="X908" s="491" t="n"/>
      <c r="Y908" s="491" t="n"/>
    </row>
    <row r="909" ht="12.75" customHeight="1" s="398">
      <c r="A909" s="491" t="n"/>
      <c r="B909" s="491" t="n"/>
      <c r="C909" s="491" t="n"/>
      <c r="D909" s="491" t="n"/>
      <c r="E909" s="491" t="n"/>
      <c r="F909" s="491" t="n"/>
      <c r="G909" s="491" t="n"/>
      <c r="H909" s="491" t="n"/>
      <c r="I909" s="491" t="n"/>
      <c r="J909" s="491" t="n"/>
      <c r="K909" s="491" t="n"/>
      <c r="L909" s="491" t="n"/>
      <c r="M909" s="491" t="n"/>
      <c r="N909" s="491" t="n"/>
      <c r="O909" s="491" t="n"/>
      <c r="P909" s="491" t="n"/>
      <c r="Q909" s="491" t="n"/>
      <c r="R909" s="491" t="n"/>
      <c r="S909" s="491" t="n"/>
      <c r="T909" s="491" t="n"/>
      <c r="U909" s="491" t="n"/>
      <c r="V909" s="491" t="n"/>
      <c r="W909" s="491" t="n"/>
      <c r="X909" s="491" t="n"/>
      <c r="Y909" s="491" t="n"/>
    </row>
    <row r="910" ht="12.75" customHeight="1" s="398">
      <c r="A910" s="491" t="n"/>
      <c r="B910" s="491" t="n"/>
      <c r="C910" s="491" t="n"/>
      <c r="D910" s="491" t="n"/>
      <c r="E910" s="491" t="n"/>
      <c r="F910" s="491" t="n"/>
      <c r="G910" s="491" t="n"/>
      <c r="H910" s="491" t="n"/>
      <c r="I910" s="491" t="n"/>
      <c r="J910" s="491" t="n"/>
      <c r="K910" s="491" t="n"/>
      <c r="L910" s="491" t="n"/>
      <c r="M910" s="491" t="n"/>
      <c r="N910" s="491" t="n"/>
      <c r="O910" s="491" t="n"/>
      <c r="P910" s="491" t="n"/>
      <c r="Q910" s="491" t="n"/>
      <c r="R910" s="491" t="n"/>
      <c r="S910" s="491" t="n"/>
      <c r="T910" s="491" t="n"/>
      <c r="U910" s="491" t="n"/>
      <c r="V910" s="491" t="n"/>
      <c r="W910" s="491" t="n"/>
      <c r="X910" s="491" t="n"/>
      <c r="Y910" s="491" t="n"/>
    </row>
    <row r="911" ht="12.75" customHeight="1" s="398">
      <c r="A911" s="491" t="n"/>
      <c r="B911" s="491" t="n"/>
      <c r="C911" s="491" t="n"/>
      <c r="D911" s="491" t="n"/>
      <c r="E911" s="491" t="n"/>
      <c r="F911" s="491" t="n"/>
      <c r="G911" s="491" t="n"/>
      <c r="H911" s="491" t="n"/>
      <c r="I911" s="491" t="n"/>
      <c r="J911" s="491" t="n"/>
      <c r="K911" s="491" t="n"/>
      <c r="L911" s="491" t="n"/>
      <c r="M911" s="491" t="n"/>
      <c r="N911" s="491" t="n"/>
      <c r="O911" s="491" t="n"/>
      <c r="P911" s="491" t="n"/>
      <c r="Q911" s="491" t="n"/>
      <c r="R911" s="491" t="n"/>
      <c r="S911" s="491" t="n"/>
      <c r="T911" s="491" t="n"/>
      <c r="U911" s="491" t="n"/>
      <c r="V911" s="491" t="n"/>
      <c r="W911" s="491" t="n"/>
      <c r="X911" s="491" t="n"/>
      <c r="Y911" s="491" t="n"/>
    </row>
    <row r="912" ht="12.75" customHeight="1" s="398">
      <c r="A912" s="491" t="n"/>
      <c r="B912" s="491" t="n"/>
      <c r="C912" s="491" t="n"/>
      <c r="D912" s="491" t="n"/>
      <c r="E912" s="491" t="n"/>
      <c r="F912" s="491" t="n"/>
      <c r="G912" s="491" t="n"/>
      <c r="H912" s="491" t="n"/>
      <c r="I912" s="491" t="n"/>
      <c r="J912" s="491" t="n"/>
      <c r="K912" s="491" t="n"/>
      <c r="L912" s="491" t="n"/>
      <c r="M912" s="491" t="n"/>
      <c r="N912" s="491" t="n"/>
      <c r="O912" s="491" t="n"/>
      <c r="P912" s="491" t="n"/>
      <c r="Q912" s="491" t="n"/>
      <c r="R912" s="491" t="n"/>
      <c r="S912" s="491" t="n"/>
      <c r="T912" s="491" t="n"/>
      <c r="U912" s="491" t="n"/>
      <c r="V912" s="491" t="n"/>
      <c r="W912" s="491" t="n"/>
      <c r="X912" s="491" t="n"/>
      <c r="Y912" s="491" t="n"/>
    </row>
    <row r="913" ht="12.75" customHeight="1" s="398">
      <c r="A913" s="491" t="n"/>
      <c r="B913" s="491" t="n"/>
      <c r="C913" s="491" t="n"/>
      <c r="D913" s="491" t="n"/>
      <c r="E913" s="491" t="n"/>
      <c r="F913" s="491" t="n"/>
      <c r="G913" s="491" t="n"/>
      <c r="H913" s="491" t="n"/>
      <c r="I913" s="491" t="n"/>
      <c r="J913" s="491" t="n"/>
      <c r="K913" s="491" t="n"/>
      <c r="L913" s="491" t="n"/>
      <c r="M913" s="491" t="n"/>
      <c r="N913" s="491" t="n"/>
      <c r="O913" s="491" t="n"/>
      <c r="P913" s="491" t="n"/>
      <c r="Q913" s="491" t="n"/>
      <c r="R913" s="491" t="n"/>
      <c r="S913" s="491" t="n"/>
      <c r="T913" s="491" t="n"/>
      <c r="U913" s="491" t="n"/>
      <c r="V913" s="491" t="n"/>
      <c r="W913" s="491" t="n"/>
      <c r="X913" s="491" t="n"/>
      <c r="Y913" s="491" t="n"/>
    </row>
    <row r="914" ht="12.75" customHeight="1" s="398">
      <c r="A914" s="491" t="n"/>
      <c r="B914" s="491" t="n"/>
      <c r="C914" s="491" t="n"/>
      <c r="D914" s="491" t="n"/>
      <c r="E914" s="491" t="n"/>
      <c r="F914" s="491" t="n"/>
      <c r="G914" s="491" t="n"/>
      <c r="H914" s="491" t="n"/>
      <c r="I914" s="491" t="n"/>
      <c r="J914" s="491" t="n"/>
      <c r="K914" s="491" t="n"/>
      <c r="L914" s="491" t="n"/>
      <c r="M914" s="491" t="n"/>
      <c r="N914" s="491" t="n"/>
      <c r="O914" s="491" t="n"/>
      <c r="P914" s="491" t="n"/>
      <c r="Q914" s="491" t="n"/>
      <c r="R914" s="491" t="n"/>
      <c r="S914" s="491" t="n"/>
      <c r="T914" s="491" t="n"/>
      <c r="U914" s="491" t="n"/>
      <c r="V914" s="491" t="n"/>
      <c r="W914" s="491" t="n"/>
      <c r="X914" s="491" t="n"/>
      <c r="Y914" s="491" t="n"/>
    </row>
    <row r="915" ht="12.75" customHeight="1" s="398">
      <c r="A915" s="491" t="n"/>
      <c r="B915" s="491" t="n"/>
      <c r="C915" s="491" t="n"/>
      <c r="D915" s="491" t="n"/>
      <c r="E915" s="491" t="n"/>
      <c r="F915" s="491" t="n"/>
      <c r="G915" s="491" t="n"/>
      <c r="H915" s="491" t="n"/>
      <c r="I915" s="491" t="n"/>
      <c r="J915" s="491" t="n"/>
      <c r="K915" s="491" t="n"/>
      <c r="L915" s="491" t="n"/>
      <c r="M915" s="491" t="n"/>
      <c r="N915" s="491" t="n"/>
      <c r="O915" s="491" t="n"/>
      <c r="P915" s="491" t="n"/>
      <c r="Q915" s="491" t="n"/>
      <c r="R915" s="491" t="n"/>
      <c r="S915" s="491" t="n"/>
      <c r="T915" s="491" t="n"/>
      <c r="U915" s="491" t="n"/>
      <c r="V915" s="491" t="n"/>
      <c r="W915" s="491" t="n"/>
      <c r="X915" s="491" t="n"/>
      <c r="Y915" s="491" t="n"/>
    </row>
    <row r="916" ht="12.75" customHeight="1" s="398">
      <c r="A916" s="491" t="n"/>
      <c r="B916" s="491" t="n"/>
      <c r="C916" s="491" t="n"/>
      <c r="D916" s="491" t="n"/>
      <c r="E916" s="491" t="n"/>
      <c r="F916" s="491" t="n"/>
      <c r="G916" s="491" t="n"/>
      <c r="H916" s="491" t="n"/>
      <c r="I916" s="491" t="n"/>
      <c r="J916" s="491" t="n"/>
      <c r="K916" s="491" t="n"/>
      <c r="L916" s="491" t="n"/>
      <c r="M916" s="491" t="n"/>
      <c r="N916" s="491" t="n"/>
      <c r="O916" s="491" t="n"/>
      <c r="P916" s="491" t="n"/>
      <c r="Q916" s="491" t="n"/>
      <c r="R916" s="491" t="n"/>
      <c r="S916" s="491" t="n"/>
      <c r="T916" s="491" t="n"/>
      <c r="U916" s="491" t="n"/>
      <c r="V916" s="491" t="n"/>
      <c r="W916" s="491" t="n"/>
      <c r="X916" s="491" t="n"/>
      <c r="Y916" s="491" t="n"/>
    </row>
    <row r="917" ht="12.75" customHeight="1" s="398">
      <c r="A917" s="491" t="n"/>
      <c r="B917" s="491" t="n"/>
      <c r="C917" s="491" t="n"/>
      <c r="D917" s="491" t="n"/>
      <c r="E917" s="491" t="n"/>
      <c r="F917" s="491" t="n"/>
      <c r="G917" s="491" t="n"/>
      <c r="H917" s="491" t="n"/>
      <c r="I917" s="491" t="n"/>
      <c r="J917" s="491" t="n"/>
      <c r="K917" s="491" t="n"/>
      <c r="L917" s="491" t="n"/>
      <c r="M917" s="491" t="n"/>
      <c r="N917" s="491" t="n"/>
      <c r="O917" s="491" t="n"/>
      <c r="P917" s="491" t="n"/>
      <c r="Q917" s="491" t="n"/>
      <c r="R917" s="491" t="n"/>
      <c r="S917" s="491" t="n"/>
      <c r="T917" s="491" t="n"/>
      <c r="U917" s="491" t="n"/>
      <c r="V917" s="491" t="n"/>
      <c r="W917" s="491" t="n"/>
      <c r="X917" s="491" t="n"/>
      <c r="Y917" s="491" t="n"/>
    </row>
    <row r="918" ht="12.75" customHeight="1" s="398">
      <c r="A918" s="491" t="n"/>
      <c r="B918" s="491" t="n"/>
      <c r="C918" s="491" t="n"/>
      <c r="D918" s="491" t="n"/>
      <c r="E918" s="491" t="n"/>
      <c r="F918" s="491" t="n"/>
      <c r="G918" s="491" t="n"/>
      <c r="H918" s="491" t="n"/>
      <c r="I918" s="491" t="n"/>
      <c r="J918" s="491" t="n"/>
      <c r="K918" s="491" t="n"/>
      <c r="L918" s="491" t="n"/>
      <c r="M918" s="491" t="n"/>
      <c r="N918" s="491" t="n"/>
      <c r="O918" s="491" t="n"/>
      <c r="P918" s="491" t="n"/>
      <c r="Q918" s="491" t="n"/>
      <c r="R918" s="491" t="n"/>
      <c r="S918" s="491" t="n"/>
      <c r="T918" s="491" t="n"/>
      <c r="U918" s="491" t="n"/>
      <c r="V918" s="491" t="n"/>
      <c r="W918" s="491" t="n"/>
      <c r="X918" s="491" t="n"/>
      <c r="Y918" s="491" t="n"/>
    </row>
    <row r="919" ht="12.75" customHeight="1" s="398">
      <c r="A919" s="491" t="n"/>
      <c r="B919" s="491" t="n"/>
      <c r="C919" s="491" t="n"/>
      <c r="D919" s="491" t="n"/>
      <c r="E919" s="491" t="n"/>
      <c r="F919" s="491" t="n"/>
      <c r="G919" s="491" t="n"/>
      <c r="H919" s="491" t="n"/>
      <c r="I919" s="491" t="n"/>
      <c r="J919" s="491" t="n"/>
      <c r="K919" s="491" t="n"/>
      <c r="L919" s="491" t="n"/>
      <c r="M919" s="491" t="n"/>
      <c r="N919" s="491" t="n"/>
      <c r="O919" s="491" t="n"/>
      <c r="P919" s="491" t="n"/>
      <c r="Q919" s="491" t="n"/>
      <c r="R919" s="491" t="n"/>
      <c r="S919" s="491" t="n"/>
      <c r="T919" s="491" t="n"/>
      <c r="U919" s="491" t="n"/>
      <c r="V919" s="491" t="n"/>
      <c r="W919" s="491" t="n"/>
      <c r="X919" s="491" t="n"/>
      <c r="Y919" s="491" t="n"/>
    </row>
    <row r="920" ht="12.75" customHeight="1" s="398">
      <c r="A920" s="491" t="n"/>
      <c r="B920" s="491" t="n"/>
      <c r="C920" s="491" t="n"/>
      <c r="D920" s="491" t="n"/>
      <c r="E920" s="491" t="n"/>
      <c r="F920" s="491" t="n"/>
      <c r="G920" s="491" t="n"/>
      <c r="H920" s="491" t="n"/>
      <c r="I920" s="491" t="n"/>
      <c r="J920" s="491" t="n"/>
      <c r="K920" s="491" t="n"/>
      <c r="L920" s="491" t="n"/>
      <c r="M920" s="491" t="n"/>
      <c r="N920" s="491" t="n"/>
      <c r="O920" s="491" t="n"/>
      <c r="P920" s="491" t="n"/>
      <c r="Q920" s="491" t="n"/>
      <c r="R920" s="491" t="n"/>
      <c r="S920" s="491" t="n"/>
      <c r="T920" s="491" t="n"/>
      <c r="U920" s="491" t="n"/>
      <c r="V920" s="491" t="n"/>
      <c r="W920" s="491" t="n"/>
      <c r="X920" s="491" t="n"/>
      <c r="Y920" s="491" t="n"/>
    </row>
    <row r="921" ht="12.75" customHeight="1" s="398">
      <c r="A921" s="491" t="n"/>
      <c r="B921" s="491" t="n"/>
      <c r="C921" s="491" t="n"/>
      <c r="D921" s="491" t="n"/>
      <c r="E921" s="491" t="n"/>
      <c r="F921" s="491" t="n"/>
      <c r="G921" s="491" t="n"/>
      <c r="H921" s="491" t="n"/>
      <c r="I921" s="491" t="n"/>
      <c r="J921" s="491" t="n"/>
      <c r="K921" s="491" t="n"/>
      <c r="L921" s="491" t="n"/>
      <c r="M921" s="491" t="n"/>
      <c r="N921" s="491" t="n"/>
      <c r="O921" s="491" t="n"/>
      <c r="P921" s="491" t="n"/>
      <c r="Q921" s="491" t="n"/>
      <c r="R921" s="491" t="n"/>
      <c r="S921" s="491" t="n"/>
      <c r="T921" s="491" t="n"/>
      <c r="U921" s="491" t="n"/>
      <c r="V921" s="491" t="n"/>
      <c r="W921" s="491" t="n"/>
      <c r="X921" s="491" t="n"/>
      <c r="Y921" s="491" t="n"/>
    </row>
    <row r="922" ht="12.75" customHeight="1" s="398">
      <c r="A922" s="491" t="n"/>
      <c r="B922" s="491" t="n"/>
      <c r="C922" s="491" t="n"/>
      <c r="D922" s="491" t="n"/>
      <c r="E922" s="491" t="n"/>
      <c r="F922" s="491" t="n"/>
      <c r="G922" s="491" t="n"/>
      <c r="H922" s="491" t="n"/>
      <c r="I922" s="491" t="n"/>
      <c r="J922" s="491" t="n"/>
      <c r="K922" s="491" t="n"/>
      <c r="L922" s="491" t="n"/>
      <c r="M922" s="491" t="n"/>
      <c r="N922" s="491" t="n"/>
      <c r="O922" s="491" t="n"/>
      <c r="P922" s="491" t="n"/>
      <c r="Q922" s="491" t="n"/>
      <c r="R922" s="491" t="n"/>
      <c r="S922" s="491" t="n"/>
      <c r="T922" s="491" t="n"/>
      <c r="U922" s="491" t="n"/>
      <c r="V922" s="491" t="n"/>
      <c r="W922" s="491" t="n"/>
      <c r="X922" s="491" t="n"/>
      <c r="Y922" s="491" t="n"/>
    </row>
    <row r="923" ht="12.75" customHeight="1" s="398">
      <c r="A923" s="491" t="n"/>
      <c r="B923" s="491" t="n"/>
      <c r="C923" s="491" t="n"/>
      <c r="D923" s="491" t="n"/>
      <c r="E923" s="491" t="n"/>
      <c r="F923" s="491" t="n"/>
      <c r="G923" s="491" t="n"/>
      <c r="H923" s="491" t="n"/>
      <c r="I923" s="491" t="n"/>
      <c r="J923" s="491" t="n"/>
      <c r="K923" s="491" t="n"/>
      <c r="L923" s="491" t="n"/>
      <c r="M923" s="491" t="n"/>
      <c r="N923" s="491" t="n"/>
      <c r="O923" s="491" t="n"/>
      <c r="P923" s="491" t="n"/>
      <c r="Q923" s="491" t="n"/>
      <c r="R923" s="491" t="n"/>
      <c r="S923" s="491" t="n"/>
      <c r="T923" s="491" t="n"/>
      <c r="U923" s="491" t="n"/>
      <c r="V923" s="491" t="n"/>
      <c r="W923" s="491" t="n"/>
      <c r="X923" s="491" t="n"/>
      <c r="Y923" s="491" t="n"/>
    </row>
    <row r="924" ht="12.75" customHeight="1" s="398">
      <c r="A924" s="491" t="n"/>
      <c r="B924" s="491" t="n"/>
      <c r="C924" s="491" t="n"/>
      <c r="D924" s="491" t="n"/>
      <c r="E924" s="491" t="n"/>
      <c r="F924" s="491" t="n"/>
      <c r="G924" s="491" t="n"/>
      <c r="H924" s="491" t="n"/>
      <c r="I924" s="491" t="n"/>
      <c r="J924" s="491" t="n"/>
      <c r="K924" s="491" t="n"/>
      <c r="L924" s="491" t="n"/>
      <c r="M924" s="491" t="n"/>
      <c r="N924" s="491" t="n"/>
      <c r="O924" s="491" t="n"/>
      <c r="P924" s="491" t="n"/>
      <c r="Q924" s="491" t="n"/>
      <c r="R924" s="491" t="n"/>
      <c r="S924" s="491" t="n"/>
      <c r="T924" s="491" t="n"/>
      <c r="U924" s="491" t="n"/>
      <c r="V924" s="491" t="n"/>
      <c r="W924" s="491" t="n"/>
      <c r="X924" s="491" t="n"/>
      <c r="Y924" s="491" t="n"/>
    </row>
    <row r="925" ht="12.75" customHeight="1" s="398">
      <c r="A925" s="491" t="n"/>
      <c r="B925" s="491" t="n"/>
      <c r="C925" s="491" t="n"/>
      <c r="D925" s="491" t="n"/>
      <c r="E925" s="491" t="n"/>
      <c r="F925" s="491" t="n"/>
      <c r="G925" s="491" t="n"/>
      <c r="H925" s="491" t="n"/>
      <c r="I925" s="491" t="n"/>
      <c r="J925" s="491" t="n"/>
      <c r="K925" s="491" t="n"/>
      <c r="L925" s="491" t="n"/>
      <c r="M925" s="491" t="n"/>
      <c r="N925" s="491" t="n"/>
      <c r="O925" s="491" t="n"/>
      <c r="P925" s="491" t="n"/>
      <c r="Q925" s="491" t="n"/>
      <c r="R925" s="491" t="n"/>
      <c r="S925" s="491" t="n"/>
      <c r="T925" s="491" t="n"/>
      <c r="U925" s="491" t="n"/>
      <c r="V925" s="491" t="n"/>
      <c r="W925" s="491" t="n"/>
      <c r="X925" s="491" t="n"/>
      <c r="Y925" s="491" t="n"/>
    </row>
    <row r="926" ht="12.75" customHeight="1" s="398">
      <c r="A926" s="491" t="n"/>
      <c r="B926" s="491" t="n"/>
      <c r="C926" s="491" t="n"/>
      <c r="D926" s="491" t="n"/>
      <c r="E926" s="491" t="n"/>
      <c r="F926" s="491" t="n"/>
      <c r="G926" s="491" t="n"/>
      <c r="H926" s="491" t="n"/>
      <c r="I926" s="491" t="n"/>
      <c r="J926" s="491" t="n"/>
      <c r="K926" s="491" t="n"/>
      <c r="L926" s="491" t="n"/>
      <c r="M926" s="491" t="n"/>
      <c r="N926" s="491" t="n"/>
      <c r="O926" s="491" t="n"/>
      <c r="P926" s="491" t="n"/>
      <c r="Q926" s="491" t="n"/>
      <c r="R926" s="491" t="n"/>
      <c r="S926" s="491" t="n"/>
      <c r="T926" s="491" t="n"/>
      <c r="U926" s="491" t="n"/>
      <c r="V926" s="491" t="n"/>
      <c r="W926" s="491" t="n"/>
      <c r="X926" s="491" t="n"/>
      <c r="Y926" s="491" t="n"/>
    </row>
    <row r="927" ht="12.75" customHeight="1" s="398">
      <c r="A927" s="491" t="n"/>
      <c r="B927" s="491" t="n"/>
      <c r="C927" s="491" t="n"/>
      <c r="D927" s="491" t="n"/>
      <c r="E927" s="491" t="n"/>
      <c r="F927" s="491" t="n"/>
      <c r="G927" s="491" t="n"/>
      <c r="H927" s="491" t="n"/>
      <c r="I927" s="491" t="n"/>
      <c r="J927" s="491" t="n"/>
      <c r="K927" s="491" t="n"/>
      <c r="L927" s="491" t="n"/>
      <c r="M927" s="491" t="n"/>
      <c r="N927" s="491" t="n"/>
      <c r="O927" s="491" t="n"/>
      <c r="P927" s="491" t="n"/>
      <c r="Q927" s="491" t="n"/>
      <c r="R927" s="491" t="n"/>
      <c r="S927" s="491" t="n"/>
      <c r="T927" s="491" t="n"/>
      <c r="U927" s="491" t="n"/>
      <c r="V927" s="491" t="n"/>
      <c r="W927" s="491" t="n"/>
      <c r="X927" s="491" t="n"/>
      <c r="Y927" s="491" t="n"/>
    </row>
    <row r="928" ht="12.75" customHeight="1" s="398">
      <c r="A928" s="491" t="n"/>
      <c r="B928" s="491" t="n"/>
      <c r="C928" s="491" t="n"/>
      <c r="D928" s="491" t="n"/>
      <c r="E928" s="491" t="n"/>
      <c r="F928" s="491" t="n"/>
      <c r="G928" s="491" t="n"/>
      <c r="H928" s="491" t="n"/>
      <c r="I928" s="491" t="n"/>
      <c r="J928" s="491" t="n"/>
      <c r="K928" s="491" t="n"/>
      <c r="L928" s="491" t="n"/>
      <c r="M928" s="491" t="n"/>
      <c r="N928" s="491" t="n"/>
      <c r="O928" s="491" t="n"/>
      <c r="P928" s="491" t="n"/>
      <c r="Q928" s="491" t="n"/>
      <c r="R928" s="491" t="n"/>
      <c r="S928" s="491" t="n"/>
      <c r="T928" s="491" t="n"/>
      <c r="U928" s="491" t="n"/>
      <c r="V928" s="491" t="n"/>
      <c r="W928" s="491" t="n"/>
      <c r="X928" s="491" t="n"/>
      <c r="Y928" s="491" t="n"/>
    </row>
    <row r="929" ht="12.75" customHeight="1" s="398">
      <c r="A929" s="491" t="n"/>
      <c r="B929" s="491" t="n"/>
      <c r="C929" s="491" t="n"/>
      <c r="D929" s="491" t="n"/>
      <c r="E929" s="491" t="n"/>
      <c r="F929" s="491" t="n"/>
      <c r="G929" s="491" t="n"/>
      <c r="H929" s="491" t="n"/>
      <c r="I929" s="491" t="n"/>
      <c r="J929" s="491" t="n"/>
      <c r="K929" s="491" t="n"/>
      <c r="L929" s="491" t="n"/>
      <c r="M929" s="491" t="n"/>
      <c r="N929" s="491" t="n"/>
      <c r="O929" s="491" t="n"/>
      <c r="P929" s="491" t="n"/>
      <c r="Q929" s="491" t="n"/>
      <c r="R929" s="491" t="n"/>
      <c r="S929" s="491" t="n"/>
      <c r="T929" s="491" t="n"/>
      <c r="U929" s="491" t="n"/>
      <c r="V929" s="491" t="n"/>
      <c r="W929" s="491" t="n"/>
      <c r="X929" s="491" t="n"/>
      <c r="Y929" s="491" t="n"/>
    </row>
    <row r="930" ht="12.75" customHeight="1" s="398">
      <c r="A930" s="491" t="n"/>
      <c r="B930" s="491" t="n"/>
      <c r="C930" s="491" t="n"/>
      <c r="D930" s="491" t="n"/>
      <c r="E930" s="491" t="n"/>
      <c r="F930" s="491" t="n"/>
      <c r="G930" s="491" t="n"/>
      <c r="H930" s="491" t="n"/>
      <c r="I930" s="491" t="n"/>
      <c r="J930" s="491" t="n"/>
      <c r="K930" s="491" t="n"/>
      <c r="L930" s="491" t="n"/>
      <c r="M930" s="491" t="n"/>
      <c r="N930" s="491" t="n"/>
      <c r="O930" s="491" t="n"/>
      <c r="P930" s="491" t="n"/>
      <c r="Q930" s="491" t="n"/>
      <c r="R930" s="491" t="n"/>
      <c r="S930" s="491" t="n"/>
      <c r="T930" s="491" t="n"/>
      <c r="U930" s="491" t="n"/>
      <c r="V930" s="491" t="n"/>
      <c r="W930" s="491" t="n"/>
      <c r="X930" s="491" t="n"/>
      <c r="Y930" s="491" t="n"/>
    </row>
    <row r="931" ht="12.75" customHeight="1" s="398">
      <c r="A931" s="491" t="n"/>
      <c r="B931" s="491" t="n"/>
      <c r="C931" s="491" t="n"/>
      <c r="D931" s="491" t="n"/>
      <c r="E931" s="491" t="n"/>
      <c r="F931" s="491" t="n"/>
      <c r="G931" s="491" t="n"/>
      <c r="H931" s="491" t="n"/>
      <c r="I931" s="491" t="n"/>
      <c r="J931" s="491" t="n"/>
      <c r="K931" s="491" t="n"/>
      <c r="L931" s="491" t="n"/>
      <c r="M931" s="491" t="n"/>
      <c r="N931" s="491" t="n"/>
      <c r="O931" s="491" t="n"/>
      <c r="P931" s="491" t="n"/>
      <c r="Q931" s="491" t="n"/>
      <c r="R931" s="491" t="n"/>
      <c r="S931" s="491" t="n"/>
      <c r="T931" s="491" t="n"/>
      <c r="U931" s="491" t="n"/>
      <c r="V931" s="491" t="n"/>
      <c r="W931" s="491" t="n"/>
      <c r="X931" s="491" t="n"/>
      <c r="Y931" s="491" t="n"/>
    </row>
    <row r="932" ht="12.75" customHeight="1" s="398">
      <c r="A932" s="491" t="n"/>
      <c r="B932" s="491" t="n"/>
      <c r="C932" s="491" t="n"/>
      <c r="D932" s="491" t="n"/>
      <c r="E932" s="491" t="n"/>
      <c r="F932" s="491" t="n"/>
      <c r="G932" s="491" t="n"/>
      <c r="H932" s="491" t="n"/>
      <c r="I932" s="491" t="n"/>
      <c r="J932" s="491" t="n"/>
      <c r="K932" s="491" t="n"/>
      <c r="L932" s="491" t="n"/>
      <c r="M932" s="491" t="n"/>
      <c r="N932" s="491" t="n"/>
      <c r="O932" s="491" t="n"/>
      <c r="P932" s="491" t="n"/>
      <c r="Q932" s="491" t="n"/>
      <c r="R932" s="491" t="n"/>
      <c r="S932" s="491" t="n"/>
      <c r="T932" s="491" t="n"/>
      <c r="U932" s="491" t="n"/>
      <c r="V932" s="491" t="n"/>
      <c r="W932" s="491" t="n"/>
      <c r="X932" s="491" t="n"/>
      <c r="Y932" s="491" t="n"/>
    </row>
    <row r="933" ht="12.75" customHeight="1" s="398">
      <c r="A933" s="491" t="n"/>
      <c r="B933" s="491" t="n"/>
      <c r="C933" s="491" t="n"/>
      <c r="D933" s="491" t="n"/>
      <c r="E933" s="491" t="n"/>
      <c r="F933" s="491" t="n"/>
      <c r="G933" s="491" t="n"/>
      <c r="H933" s="491" t="n"/>
      <c r="I933" s="491" t="n"/>
      <c r="J933" s="491" t="n"/>
      <c r="K933" s="491" t="n"/>
      <c r="L933" s="491" t="n"/>
      <c r="M933" s="491" t="n"/>
      <c r="N933" s="491" t="n"/>
      <c r="O933" s="491" t="n"/>
      <c r="P933" s="491" t="n"/>
      <c r="Q933" s="491" t="n"/>
      <c r="R933" s="491" t="n"/>
      <c r="S933" s="491" t="n"/>
      <c r="T933" s="491" t="n"/>
      <c r="U933" s="491" t="n"/>
      <c r="V933" s="491" t="n"/>
      <c r="W933" s="491" t="n"/>
      <c r="X933" s="491" t="n"/>
      <c r="Y933" s="491" t="n"/>
    </row>
    <row r="934" ht="12.75" customHeight="1" s="398">
      <c r="A934" s="491" t="n"/>
      <c r="B934" s="491" t="n"/>
      <c r="C934" s="491" t="n"/>
      <c r="D934" s="491" t="n"/>
      <c r="E934" s="491" t="n"/>
      <c r="F934" s="491" t="n"/>
      <c r="G934" s="491" t="n"/>
      <c r="H934" s="491" t="n"/>
      <c r="I934" s="491" t="n"/>
      <c r="J934" s="491" t="n"/>
      <c r="K934" s="491" t="n"/>
      <c r="L934" s="491" t="n"/>
      <c r="M934" s="491" t="n"/>
      <c r="N934" s="491" t="n"/>
      <c r="O934" s="491" t="n"/>
      <c r="P934" s="491" t="n"/>
      <c r="Q934" s="491" t="n"/>
      <c r="R934" s="491" t="n"/>
      <c r="S934" s="491" t="n"/>
      <c r="T934" s="491" t="n"/>
      <c r="U934" s="491" t="n"/>
      <c r="V934" s="491" t="n"/>
      <c r="W934" s="491" t="n"/>
      <c r="X934" s="491" t="n"/>
      <c r="Y934" s="491" t="n"/>
    </row>
    <row r="935" ht="12.75" customHeight="1" s="398">
      <c r="A935" s="491" t="n"/>
      <c r="B935" s="491" t="n"/>
      <c r="C935" s="491" t="n"/>
      <c r="D935" s="491" t="n"/>
      <c r="E935" s="491" t="n"/>
      <c r="F935" s="491" t="n"/>
      <c r="G935" s="491" t="n"/>
      <c r="H935" s="491" t="n"/>
      <c r="I935" s="491" t="n"/>
      <c r="J935" s="491" t="n"/>
      <c r="K935" s="491" t="n"/>
      <c r="L935" s="491" t="n"/>
      <c r="M935" s="491" t="n"/>
      <c r="N935" s="491" t="n"/>
      <c r="O935" s="491" t="n"/>
      <c r="P935" s="491" t="n"/>
      <c r="Q935" s="491" t="n"/>
      <c r="R935" s="491" t="n"/>
      <c r="S935" s="491" t="n"/>
      <c r="T935" s="491" t="n"/>
      <c r="U935" s="491" t="n"/>
      <c r="V935" s="491" t="n"/>
      <c r="W935" s="491" t="n"/>
      <c r="X935" s="491" t="n"/>
      <c r="Y935" s="491" t="n"/>
    </row>
    <row r="936" ht="12.75" customHeight="1" s="398">
      <c r="A936" s="491" t="n"/>
      <c r="B936" s="491" t="n"/>
      <c r="C936" s="491" t="n"/>
      <c r="D936" s="491" t="n"/>
      <c r="E936" s="491" t="n"/>
      <c r="F936" s="491" t="n"/>
      <c r="G936" s="491" t="n"/>
      <c r="H936" s="491" t="n"/>
      <c r="I936" s="491" t="n"/>
      <c r="J936" s="491" t="n"/>
      <c r="K936" s="491" t="n"/>
      <c r="L936" s="491" t="n"/>
      <c r="M936" s="491" t="n"/>
      <c r="N936" s="491" t="n"/>
      <c r="O936" s="491" t="n"/>
      <c r="P936" s="491" t="n"/>
      <c r="Q936" s="491" t="n"/>
      <c r="R936" s="491" t="n"/>
      <c r="S936" s="491" t="n"/>
      <c r="T936" s="491" t="n"/>
      <c r="U936" s="491" t="n"/>
      <c r="V936" s="491" t="n"/>
      <c r="W936" s="491" t="n"/>
      <c r="X936" s="491" t="n"/>
      <c r="Y936" s="491" t="n"/>
    </row>
    <row r="937" ht="12.75" customHeight="1" s="398">
      <c r="A937" s="491" t="n"/>
      <c r="B937" s="491" t="n"/>
      <c r="C937" s="491" t="n"/>
      <c r="D937" s="491" t="n"/>
      <c r="E937" s="491" t="n"/>
      <c r="F937" s="491" t="n"/>
      <c r="G937" s="491" t="n"/>
      <c r="H937" s="491" t="n"/>
      <c r="I937" s="491" t="n"/>
      <c r="J937" s="491" t="n"/>
      <c r="K937" s="491" t="n"/>
      <c r="L937" s="491" t="n"/>
      <c r="M937" s="491" t="n"/>
      <c r="N937" s="491" t="n"/>
      <c r="O937" s="491" t="n"/>
      <c r="P937" s="491" t="n"/>
      <c r="Q937" s="491" t="n"/>
      <c r="R937" s="491" t="n"/>
      <c r="S937" s="491" t="n"/>
      <c r="T937" s="491" t="n"/>
      <c r="U937" s="491" t="n"/>
      <c r="V937" s="491" t="n"/>
      <c r="W937" s="491" t="n"/>
      <c r="X937" s="491" t="n"/>
      <c r="Y937" s="491" t="n"/>
    </row>
    <row r="938" ht="12.75" customHeight="1" s="398">
      <c r="A938" s="491" t="n"/>
      <c r="B938" s="491" t="n"/>
      <c r="C938" s="491" t="n"/>
      <c r="D938" s="491" t="n"/>
      <c r="E938" s="491" t="n"/>
      <c r="F938" s="491" t="n"/>
      <c r="G938" s="491" t="n"/>
      <c r="H938" s="491" t="n"/>
      <c r="I938" s="491" t="n"/>
      <c r="J938" s="491" t="n"/>
      <c r="K938" s="491" t="n"/>
      <c r="L938" s="491" t="n"/>
      <c r="M938" s="491" t="n"/>
      <c r="N938" s="491" t="n"/>
      <c r="O938" s="491" t="n"/>
      <c r="P938" s="491" t="n"/>
      <c r="Q938" s="491" t="n"/>
      <c r="R938" s="491" t="n"/>
      <c r="S938" s="491" t="n"/>
      <c r="T938" s="491" t="n"/>
      <c r="U938" s="491" t="n"/>
      <c r="V938" s="491" t="n"/>
      <c r="W938" s="491" t="n"/>
      <c r="X938" s="491" t="n"/>
      <c r="Y938" s="491" t="n"/>
    </row>
    <row r="939" ht="12.75" customHeight="1" s="398">
      <c r="A939" s="491" t="n"/>
      <c r="B939" s="491" t="n"/>
      <c r="C939" s="491" t="n"/>
      <c r="D939" s="491" t="n"/>
      <c r="E939" s="491" t="n"/>
      <c r="F939" s="491" t="n"/>
      <c r="G939" s="491" t="n"/>
      <c r="H939" s="491" t="n"/>
      <c r="I939" s="491" t="n"/>
      <c r="J939" s="491" t="n"/>
      <c r="K939" s="491" t="n"/>
      <c r="L939" s="491" t="n"/>
      <c r="M939" s="491" t="n"/>
      <c r="N939" s="491" t="n"/>
      <c r="O939" s="491" t="n"/>
      <c r="P939" s="491" t="n"/>
      <c r="Q939" s="491" t="n"/>
      <c r="R939" s="491" t="n"/>
      <c r="S939" s="491" t="n"/>
      <c r="T939" s="491" t="n"/>
      <c r="U939" s="491" t="n"/>
      <c r="V939" s="491" t="n"/>
      <c r="W939" s="491" t="n"/>
      <c r="X939" s="491" t="n"/>
      <c r="Y939" s="491" t="n"/>
    </row>
    <row r="940" ht="12.75" customHeight="1" s="398">
      <c r="A940" s="491" t="n"/>
      <c r="B940" s="491" t="n"/>
      <c r="C940" s="491" t="n"/>
      <c r="D940" s="491" t="n"/>
      <c r="E940" s="491" t="n"/>
      <c r="F940" s="491" t="n"/>
      <c r="G940" s="491" t="n"/>
      <c r="H940" s="491" t="n"/>
      <c r="I940" s="491" t="n"/>
      <c r="J940" s="491" t="n"/>
      <c r="K940" s="491" t="n"/>
      <c r="L940" s="491" t="n"/>
      <c r="M940" s="491" t="n"/>
      <c r="N940" s="491" t="n"/>
      <c r="O940" s="491" t="n"/>
      <c r="P940" s="491" t="n"/>
      <c r="Q940" s="491" t="n"/>
      <c r="R940" s="491" t="n"/>
      <c r="S940" s="491" t="n"/>
      <c r="T940" s="491" t="n"/>
      <c r="U940" s="491" t="n"/>
      <c r="V940" s="491" t="n"/>
      <c r="W940" s="491" t="n"/>
      <c r="X940" s="491" t="n"/>
      <c r="Y940" s="491" t="n"/>
    </row>
    <row r="941" ht="12.75" customHeight="1" s="398">
      <c r="A941" s="491" t="n"/>
      <c r="B941" s="491" t="n"/>
      <c r="C941" s="491" t="n"/>
      <c r="D941" s="491" t="n"/>
      <c r="E941" s="491" t="n"/>
      <c r="F941" s="491" t="n"/>
      <c r="G941" s="491" t="n"/>
      <c r="H941" s="491" t="n"/>
      <c r="I941" s="491" t="n"/>
      <c r="J941" s="491" t="n"/>
      <c r="K941" s="491" t="n"/>
      <c r="L941" s="491" t="n"/>
      <c r="M941" s="491" t="n"/>
      <c r="N941" s="491" t="n"/>
      <c r="O941" s="491" t="n"/>
      <c r="P941" s="491" t="n"/>
      <c r="Q941" s="491" t="n"/>
      <c r="R941" s="491" t="n"/>
      <c r="S941" s="491" t="n"/>
      <c r="T941" s="491" t="n"/>
      <c r="U941" s="491" t="n"/>
      <c r="V941" s="491" t="n"/>
      <c r="W941" s="491" t="n"/>
      <c r="X941" s="491" t="n"/>
      <c r="Y941" s="491" t="n"/>
    </row>
    <row r="942" ht="12.75" customHeight="1" s="398">
      <c r="A942" s="491" t="n"/>
      <c r="B942" s="491" t="n"/>
      <c r="C942" s="491" t="n"/>
      <c r="D942" s="491" t="n"/>
      <c r="E942" s="491" t="n"/>
      <c r="F942" s="491" t="n"/>
      <c r="G942" s="491" t="n"/>
      <c r="H942" s="491" t="n"/>
      <c r="I942" s="491" t="n"/>
      <c r="J942" s="491" t="n"/>
      <c r="K942" s="491" t="n"/>
      <c r="L942" s="491" t="n"/>
      <c r="M942" s="491" t="n"/>
      <c r="N942" s="491" t="n"/>
      <c r="O942" s="491" t="n"/>
      <c r="P942" s="491" t="n"/>
      <c r="Q942" s="491" t="n"/>
      <c r="R942" s="491" t="n"/>
      <c r="S942" s="491" t="n"/>
      <c r="T942" s="491" t="n"/>
      <c r="U942" s="491" t="n"/>
      <c r="V942" s="491" t="n"/>
      <c r="W942" s="491" t="n"/>
      <c r="X942" s="491" t="n"/>
      <c r="Y942" s="491" t="n"/>
    </row>
    <row r="943" ht="12.75" customHeight="1" s="398">
      <c r="A943" s="491" t="n"/>
      <c r="B943" s="491" t="n"/>
      <c r="C943" s="491" t="n"/>
      <c r="D943" s="491" t="n"/>
      <c r="E943" s="491" t="n"/>
      <c r="F943" s="491" t="n"/>
      <c r="G943" s="491" t="n"/>
      <c r="H943" s="491" t="n"/>
      <c r="I943" s="491" t="n"/>
      <c r="J943" s="491" t="n"/>
      <c r="K943" s="491" t="n"/>
      <c r="L943" s="491" t="n"/>
      <c r="M943" s="491" t="n"/>
      <c r="N943" s="491" t="n"/>
      <c r="O943" s="491" t="n"/>
      <c r="P943" s="491" t="n"/>
      <c r="Q943" s="491" t="n"/>
      <c r="R943" s="491" t="n"/>
      <c r="S943" s="491" t="n"/>
      <c r="T943" s="491" t="n"/>
      <c r="U943" s="491" t="n"/>
      <c r="V943" s="491" t="n"/>
      <c r="W943" s="491" t="n"/>
      <c r="X943" s="491" t="n"/>
      <c r="Y943" s="491" t="n"/>
    </row>
    <row r="944" ht="12.75" customHeight="1" s="398">
      <c r="A944" s="491" t="n"/>
      <c r="B944" s="491" t="n"/>
      <c r="C944" s="491" t="n"/>
      <c r="D944" s="491" t="n"/>
      <c r="E944" s="491" t="n"/>
      <c r="F944" s="491" t="n"/>
      <c r="G944" s="491" t="n"/>
      <c r="H944" s="491" t="n"/>
      <c r="I944" s="491" t="n"/>
      <c r="J944" s="491" t="n"/>
      <c r="K944" s="491" t="n"/>
      <c r="L944" s="491" t="n"/>
      <c r="M944" s="491" t="n"/>
      <c r="N944" s="491" t="n"/>
      <c r="O944" s="491" t="n"/>
      <c r="P944" s="491" t="n"/>
      <c r="Q944" s="491" t="n"/>
      <c r="R944" s="491" t="n"/>
      <c r="S944" s="491" t="n"/>
      <c r="T944" s="491" t="n"/>
      <c r="U944" s="491" t="n"/>
      <c r="V944" s="491" t="n"/>
      <c r="W944" s="491" t="n"/>
      <c r="X944" s="491" t="n"/>
      <c r="Y944" s="491" t="n"/>
    </row>
    <row r="945" ht="12.75" customHeight="1" s="398">
      <c r="A945" s="491" t="n"/>
      <c r="B945" s="491" t="n"/>
      <c r="C945" s="491" t="n"/>
      <c r="D945" s="491" t="n"/>
      <c r="E945" s="491" t="n"/>
      <c r="F945" s="491" t="n"/>
      <c r="G945" s="491" t="n"/>
      <c r="H945" s="491" t="n"/>
      <c r="I945" s="491" t="n"/>
      <c r="J945" s="491" t="n"/>
      <c r="K945" s="491" t="n"/>
      <c r="L945" s="491" t="n"/>
      <c r="M945" s="491" t="n"/>
      <c r="N945" s="491" t="n"/>
      <c r="O945" s="491" t="n"/>
      <c r="P945" s="491" t="n"/>
      <c r="Q945" s="491" t="n"/>
      <c r="R945" s="491" t="n"/>
      <c r="S945" s="491" t="n"/>
      <c r="T945" s="491" t="n"/>
      <c r="U945" s="491" t="n"/>
      <c r="V945" s="491" t="n"/>
      <c r="W945" s="491" t="n"/>
      <c r="X945" s="491" t="n"/>
      <c r="Y945" s="491" t="n"/>
    </row>
    <row r="946" ht="12.75" customHeight="1" s="398">
      <c r="A946" s="491" t="n"/>
      <c r="B946" s="491" t="n"/>
      <c r="C946" s="491" t="n"/>
      <c r="D946" s="491" t="n"/>
      <c r="E946" s="491" t="n"/>
      <c r="F946" s="491" t="n"/>
      <c r="G946" s="491" t="n"/>
      <c r="H946" s="491" t="n"/>
      <c r="I946" s="491" t="n"/>
      <c r="J946" s="491" t="n"/>
      <c r="K946" s="491" t="n"/>
      <c r="L946" s="491" t="n"/>
      <c r="M946" s="491" t="n"/>
      <c r="N946" s="491" t="n"/>
      <c r="O946" s="491" t="n"/>
      <c r="P946" s="491" t="n"/>
      <c r="Q946" s="491" t="n"/>
      <c r="R946" s="491" t="n"/>
      <c r="S946" s="491" t="n"/>
      <c r="T946" s="491" t="n"/>
      <c r="U946" s="491" t="n"/>
      <c r="V946" s="491" t="n"/>
      <c r="W946" s="491" t="n"/>
      <c r="X946" s="491" t="n"/>
      <c r="Y946" s="491" t="n"/>
    </row>
    <row r="947" ht="12.75" customHeight="1" s="398">
      <c r="A947" s="491" t="n"/>
      <c r="B947" s="491" t="n"/>
      <c r="C947" s="491" t="n"/>
      <c r="D947" s="491" t="n"/>
      <c r="E947" s="491" t="n"/>
      <c r="F947" s="491" t="n"/>
      <c r="G947" s="491" t="n"/>
      <c r="H947" s="491" t="n"/>
      <c r="I947" s="491" t="n"/>
      <c r="J947" s="491" t="n"/>
      <c r="K947" s="491" t="n"/>
      <c r="L947" s="491" t="n"/>
      <c r="M947" s="491" t="n"/>
      <c r="N947" s="491" t="n"/>
      <c r="O947" s="491" t="n"/>
      <c r="P947" s="491" t="n"/>
      <c r="Q947" s="491" t="n"/>
      <c r="R947" s="491" t="n"/>
      <c r="S947" s="491" t="n"/>
      <c r="T947" s="491" t="n"/>
      <c r="U947" s="491" t="n"/>
      <c r="V947" s="491" t="n"/>
      <c r="W947" s="491" t="n"/>
      <c r="X947" s="491" t="n"/>
      <c r="Y947" s="491" t="n"/>
    </row>
    <row r="948" ht="12.75" customHeight="1" s="398">
      <c r="A948" s="491" t="n"/>
      <c r="B948" s="491" t="n"/>
      <c r="C948" s="491" t="n"/>
      <c r="D948" s="491" t="n"/>
      <c r="E948" s="491" t="n"/>
      <c r="F948" s="491" t="n"/>
      <c r="G948" s="491" t="n"/>
      <c r="H948" s="491" t="n"/>
      <c r="I948" s="491" t="n"/>
      <c r="J948" s="491" t="n"/>
      <c r="K948" s="491" t="n"/>
      <c r="L948" s="491" t="n"/>
      <c r="M948" s="491" t="n"/>
      <c r="N948" s="491" t="n"/>
      <c r="O948" s="491" t="n"/>
      <c r="P948" s="491" t="n"/>
      <c r="Q948" s="491" t="n"/>
      <c r="R948" s="491" t="n"/>
      <c r="S948" s="491" t="n"/>
      <c r="T948" s="491" t="n"/>
      <c r="U948" s="491" t="n"/>
      <c r="V948" s="491" t="n"/>
      <c r="W948" s="491" t="n"/>
      <c r="X948" s="491" t="n"/>
      <c r="Y948" s="491" t="n"/>
    </row>
    <row r="949" ht="12.75" customHeight="1" s="398">
      <c r="A949" s="491" t="n"/>
      <c r="B949" s="491" t="n"/>
      <c r="C949" s="491" t="n"/>
      <c r="D949" s="491" t="n"/>
      <c r="E949" s="491" t="n"/>
      <c r="F949" s="491" t="n"/>
      <c r="G949" s="491" t="n"/>
      <c r="H949" s="491" t="n"/>
      <c r="I949" s="491" t="n"/>
      <c r="J949" s="491" t="n"/>
      <c r="K949" s="491" t="n"/>
      <c r="L949" s="491" t="n"/>
      <c r="M949" s="491" t="n"/>
      <c r="N949" s="491" t="n"/>
      <c r="O949" s="491" t="n"/>
      <c r="P949" s="491" t="n"/>
      <c r="Q949" s="491" t="n"/>
      <c r="R949" s="491" t="n"/>
      <c r="S949" s="491" t="n"/>
      <c r="T949" s="491" t="n"/>
      <c r="U949" s="491" t="n"/>
      <c r="V949" s="491" t="n"/>
      <c r="W949" s="491" t="n"/>
      <c r="X949" s="491" t="n"/>
      <c r="Y949" s="491" t="n"/>
    </row>
    <row r="950" ht="12.75" customHeight="1" s="398">
      <c r="A950" s="491" t="n"/>
      <c r="B950" s="491" t="n"/>
      <c r="C950" s="491" t="n"/>
      <c r="D950" s="491" t="n"/>
      <c r="E950" s="491" t="n"/>
      <c r="F950" s="491" t="n"/>
      <c r="G950" s="491" t="n"/>
      <c r="H950" s="491" t="n"/>
      <c r="I950" s="491" t="n"/>
      <c r="J950" s="491" t="n"/>
      <c r="K950" s="491" t="n"/>
      <c r="L950" s="491" t="n"/>
      <c r="M950" s="491" t="n"/>
      <c r="N950" s="491" t="n"/>
      <c r="O950" s="491" t="n"/>
      <c r="P950" s="491" t="n"/>
      <c r="Q950" s="491" t="n"/>
      <c r="R950" s="491" t="n"/>
      <c r="S950" s="491" t="n"/>
      <c r="T950" s="491" t="n"/>
      <c r="U950" s="491" t="n"/>
      <c r="V950" s="491" t="n"/>
      <c r="W950" s="491" t="n"/>
      <c r="X950" s="491" t="n"/>
      <c r="Y950" s="491" t="n"/>
    </row>
    <row r="951" ht="12.75" customHeight="1" s="398">
      <c r="A951" s="491" t="n"/>
      <c r="B951" s="491" t="n"/>
      <c r="C951" s="491" t="n"/>
      <c r="D951" s="491" t="n"/>
      <c r="E951" s="491" t="n"/>
      <c r="F951" s="491" t="n"/>
      <c r="G951" s="491" t="n"/>
      <c r="H951" s="491" t="n"/>
      <c r="I951" s="491" t="n"/>
      <c r="J951" s="491" t="n"/>
      <c r="K951" s="491" t="n"/>
      <c r="L951" s="491" t="n"/>
      <c r="M951" s="491" t="n"/>
      <c r="N951" s="491" t="n"/>
      <c r="O951" s="491" t="n"/>
      <c r="P951" s="491" t="n"/>
      <c r="Q951" s="491" t="n"/>
      <c r="R951" s="491" t="n"/>
      <c r="S951" s="491" t="n"/>
      <c r="T951" s="491" t="n"/>
      <c r="U951" s="491" t="n"/>
      <c r="V951" s="491" t="n"/>
      <c r="W951" s="491" t="n"/>
      <c r="X951" s="491" t="n"/>
      <c r="Y951" s="491" t="n"/>
    </row>
    <row r="952" ht="12.75" customHeight="1" s="398">
      <c r="A952" s="491" t="n"/>
      <c r="B952" s="491" t="n"/>
      <c r="C952" s="491" t="n"/>
      <c r="D952" s="491" t="n"/>
      <c r="E952" s="491" t="n"/>
      <c r="F952" s="491" t="n"/>
      <c r="G952" s="491" t="n"/>
      <c r="H952" s="491" t="n"/>
      <c r="I952" s="491" t="n"/>
      <c r="J952" s="491" t="n"/>
      <c r="K952" s="491" t="n"/>
      <c r="L952" s="491" t="n"/>
      <c r="M952" s="491" t="n"/>
      <c r="N952" s="491" t="n"/>
      <c r="O952" s="491" t="n"/>
      <c r="P952" s="491" t="n"/>
      <c r="Q952" s="491" t="n"/>
      <c r="R952" s="491" t="n"/>
      <c r="S952" s="491" t="n"/>
      <c r="T952" s="491" t="n"/>
      <c r="U952" s="491" t="n"/>
      <c r="V952" s="491" t="n"/>
      <c r="W952" s="491" t="n"/>
      <c r="X952" s="491" t="n"/>
      <c r="Y952" s="491" t="n"/>
    </row>
    <row r="953" ht="12.75" customHeight="1" s="398">
      <c r="A953" s="491" t="n"/>
      <c r="B953" s="491" t="n"/>
      <c r="C953" s="491" t="n"/>
      <c r="D953" s="491" t="n"/>
      <c r="E953" s="491" t="n"/>
      <c r="F953" s="491" t="n"/>
      <c r="G953" s="491" t="n"/>
      <c r="H953" s="491" t="n"/>
      <c r="I953" s="491" t="n"/>
      <c r="J953" s="491" t="n"/>
      <c r="K953" s="491" t="n"/>
      <c r="L953" s="491" t="n"/>
      <c r="M953" s="491" t="n"/>
      <c r="N953" s="491" t="n"/>
      <c r="O953" s="491" t="n"/>
      <c r="P953" s="491" t="n"/>
      <c r="Q953" s="491" t="n"/>
      <c r="R953" s="491" t="n"/>
      <c r="S953" s="491" t="n"/>
      <c r="T953" s="491" t="n"/>
      <c r="U953" s="491" t="n"/>
      <c r="V953" s="491" t="n"/>
      <c r="W953" s="491" t="n"/>
      <c r="X953" s="491" t="n"/>
      <c r="Y953" s="491" t="n"/>
    </row>
    <row r="954" ht="12.75" customHeight="1" s="398">
      <c r="A954" s="491" t="n"/>
      <c r="B954" s="491" t="n"/>
      <c r="C954" s="491" t="n"/>
      <c r="D954" s="491" t="n"/>
      <c r="E954" s="491" t="n"/>
      <c r="F954" s="491" t="n"/>
      <c r="G954" s="491" t="n"/>
      <c r="H954" s="491" t="n"/>
      <c r="I954" s="491" t="n"/>
      <c r="J954" s="491" t="n"/>
      <c r="K954" s="491" t="n"/>
      <c r="L954" s="491" t="n"/>
      <c r="M954" s="491" t="n"/>
      <c r="N954" s="491" t="n"/>
      <c r="O954" s="491" t="n"/>
      <c r="P954" s="491" t="n"/>
      <c r="Q954" s="491" t="n"/>
      <c r="R954" s="491" t="n"/>
      <c r="S954" s="491" t="n"/>
      <c r="T954" s="491" t="n"/>
      <c r="U954" s="491" t="n"/>
      <c r="V954" s="491" t="n"/>
      <c r="W954" s="491" t="n"/>
      <c r="X954" s="491" t="n"/>
      <c r="Y954" s="491" t="n"/>
    </row>
    <row r="955" ht="12.75" customHeight="1" s="398">
      <c r="A955" s="491" t="n"/>
      <c r="B955" s="491" t="n"/>
      <c r="C955" s="491" t="n"/>
      <c r="D955" s="491" t="n"/>
      <c r="E955" s="491" t="n"/>
      <c r="F955" s="491" t="n"/>
      <c r="G955" s="491" t="n"/>
      <c r="H955" s="491" t="n"/>
      <c r="I955" s="491" t="n"/>
      <c r="J955" s="491" t="n"/>
      <c r="K955" s="491" t="n"/>
      <c r="L955" s="491" t="n"/>
      <c r="M955" s="491" t="n"/>
      <c r="N955" s="491" t="n"/>
      <c r="O955" s="491" t="n"/>
      <c r="P955" s="491" t="n"/>
      <c r="Q955" s="491" t="n"/>
      <c r="R955" s="491" t="n"/>
      <c r="S955" s="491" t="n"/>
      <c r="T955" s="491" t="n"/>
      <c r="U955" s="491" t="n"/>
      <c r="V955" s="491" t="n"/>
      <c r="W955" s="491" t="n"/>
      <c r="X955" s="491" t="n"/>
      <c r="Y955" s="491" t="n"/>
    </row>
    <row r="956" ht="12.75" customHeight="1" s="398">
      <c r="A956" s="491" t="n"/>
      <c r="B956" s="491" t="n"/>
      <c r="C956" s="491" t="n"/>
      <c r="D956" s="491" t="n"/>
      <c r="E956" s="491" t="n"/>
      <c r="F956" s="491" t="n"/>
      <c r="G956" s="491" t="n"/>
      <c r="H956" s="491" t="n"/>
      <c r="I956" s="491" t="n"/>
      <c r="J956" s="491" t="n"/>
      <c r="K956" s="491" t="n"/>
      <c r="L956" s="491" t="n"/>
      <c r="M956" s="491" t="n"/>
      <c r="N956" s="491" t="n"/>
      <c r="O956" s="491" t="n"/>
      <c r="P956" s="491" t="n"/>
      <c r="Q956" s="491" t="n"/>
      <c r="R956" s="491" t="n"/>
      <c r="S956" s="491" t="n"/>
      <c r="T956" s="491" t="n"/>
      <c r="U956" s="491" t="n"/>
      <c r="V956" s="491" t="n"/>
      <c r="W956" s="491" t="n"/>
      <c r="X956" s="491" t="n"/>
      <c r="Y956" s="491" t="n"/>
    </row>
    <row r="957" ht="12.75" customHeight="1" s="398">
      <c r="A957" s="491" t="n"/>
      <c r="B957" s="491" t="n"/>
      <c r="C957" s="491" t="n"/>
      <c r="D957" s="491" t="n"/>
      <c r="E957" s="491" t="n"/>
      <c r="F957" s="491" t="n"/>
      <c r="G957" s="491" t="n"/>
      <c r="H957" s="491" t="n"/>
      <c r="I957" s="491" t="n"/>
      <c r="J957" s="491" t="n"/>
      <c r="K957" s="491" t="n"/>
      <c r="L957" s="491" t="n"/>
      <c r="M957" s="491" t="n"/>
      <c r="N957" s="491" t="n"/>
      <c r="O957" s="491" t="n"/>
      <c r="P957" s="491" t="n"/>
      <c r="Q957" s="491" t="n"/>
      <c r="R957" s="491" t="n"/>
      <c r="S957" s="491" t="n"/>
      <c r="T957" s="491" t="n"/>
      <c r="U957" s="491" t="n"/>
      <c r="V957" s="491" t="n"/>
      <c r="W957" s="491" t="n"/>
      <c r="X957" s="491" t="n"/>
      <c r="Y957" s="491" t="n"/>
    </row>
    <row r="958" ht="12.75" customHeight="1" s="398">
      <c r="A958" s="491" t="n"/>
      <c r="B958" s="491" t="n"/>
      <c r="C958" s="491" t="n"/>
      <c r="D958" s="491" t="n"/>
      <c r="E958" s="491" t="n"/>
      <c r="F958" s="491" t="n"/>
      <c r="G958" s="491" t="n"/>
      <c r="H958" s="491" t="n"/>
      <c r="I958" s="491" t="n"/>
      <c r="J958" s="491" t="n"/>
      <c r="K958" s="491" t="n"/>
      <c r="L958" s="491" t="n"/>
      <c r="M958" s="491" t="n"/>
      <c r="N958" s="491" t="n"/>
      <c r="O958" s="491" t="n"/>
      <c r="P958" s="491" t="n"/>
      <c r="Q958" s="491" t="n"/>
      <c r="R958" s="491" t="n"/>
      <c r="S958" s="491" t="n"/>
      <c r="T958" s="491" t="n"/>
      <c r="U958" s="491" t="n"/>
      <c r="V958" s="491" t="n"/>
      <c r="W958" s="491" t="n"/>
      <c r="X958" s="491" t="n"/>
      <c r="Y958" s="491" t="n"/>
    </row>
    <row r="959" ht="12.75" customHeight="1" s="398">
      <c r="A959" s="491" t="n"/>
      <c r="B959" s="491" t="n"/>
      <c r="C959" s="491" t="n"/>
      <c r="D959" s="491" t="n"/>
      <c r="E959" s="491" t="n"/>
      <c r="F959" s="491" t="n"/>
      <c r="G959" s="491" t="n"/>
      <c r="H959" s="491" t="n"/>
      <c r="I959" s="491" t="n"/>
      <c r="J959" s="491" t="n"/>
      <c r="K959" s="491" t="n"/>
      <c r="L959" s="491" t="n"/>
      <c r="M959" s="491" t="n"/>
      <c r="N959" s="491" t="n"/>
      <c r="O959" s="491" t="n"/>
      <c r="P959" s="491" t="n"/>
      <c r="Q959" s="491" t="n"/>
      <c r="R959" s="491" t="n"/>
      <c r="S959" s="491" t="n"/>
      <c r="T959" s="491" t="n"/>
      <c r="U959" s="491" t="n"/>
      <c r="V959" s="491" t="n"/>
      <c r="W959" s="491" t="n"/>
      <c r="X959" s="491" t="n"/>
      <c r="Y959" s="491" t="n"/>
    </row>
    <row r="960" ht="12.75" customHeight="1" s="398">
      <c r="A960" s="491" t="n"/>
      <c r="B960" s="491" t="n"/>
      <c r="C960" s="491" t="n"/>
      <c r="D960" s="491" t="n"/>
      <c r="E960" s="491" t="n"/>
      <c r="F960" s="491" t="n"/>
      <c r="G960" s="491" t="n"/>
      <c r="H960" s="491" t="n"/>
      <c r="I960" s="491" t="n"/>
      <c r="J960" s="491" t="n"/>
      <c r="K960" s="491" t="n"/>
      <c r="L960" s="491" t="n"/>
      <c r="M960" s="491" t="n"/>
      <c r="N960" s="491" t="n"/>
      <c r="O960" s="491" t="n"/>
      <c r="P960" s="491" t="n"/>
      <c r="Q960" s="491" t="n"/>
      <c r="R960" s="491" t="n"/>
      <c r="S960" s="491" t="n"/>
      <c r="T960" s="491" t="n"/>
      <c r="U960" s="491" t="n"/>
      <c r="V960" s="491" t="n"/>
      <c r="W960" s="491" t="n"/>
      <c r="X960" s="491" t="n"/>
      <c r="Y960" s="491" t="n"/>
    </row>
    <row r="961" ht="12.75" customHeight="1" s="398">
      <c r="A961" s="491" t="n"/>
      <c r="B961" s="491" t="n"/>
      <c r="C961" s="491" t="n"/>
      <c r="D961" s="491" t="n"/>
      <c r="E961" s="491" t="n"/>
      <c r="F961" s="491" t="n"/>
      <c r="G961" s="491" t="n"/>
      <c r="H961" s="491" t="n"/>
      <c r="I961" s="491" t="n"/>
      <c r="J961" s="491" t="n"/>
      <c r="K961" s="491" t="n"/>
      <c r="L961" s="491" t="n"/>
      <c r="M961" s="491" t="n"/>
      <c r="N961" s="491" t="n"/>
      <c r="O961" s="491" t="n"/>
      <c r="P961" s="491" t="n"/>
      <c r="Q961" s="491" t="n"/>
      <c r="R961" s="491" t="n"/>
      <c r="S961" s="491" t="n"/>
      <c r="T961" s="491" t="n"/>
      <c r="U961" s="491" t="n"/>
      <c r="V961" s="491" t="n"/>
      <c r="W961" s="491" t="n"/>
      <c r="X961" s="491" t="n"/>
      <c r="Y961" s="491" t="n"/>
    </row>
    <row r="962" ht="12.75" customHeight="1" s="398">
      <c r="A962" s="491" t="n"/>
      <c r="B962" s="491" t="n"/>
      <c r="C962" s="491" t="n"/>
      <c r="D962" s="491" t="n"/>
      <c r="E962" s="491" t="n"/>
      <c r="F962" s="491" t="n"/>
      <c r="G962" s="491" t="n"/>
      <c r="H962" s="491" t="n"/>
      <c r="I962" s="491" t="n"/>
      <c r="J962" s="491" t="n"/>
      <c r="K962" s="491" t="n"/>
      <c r="L962" s="491" t="n"/>
      <c r="M962" s="491" t="n"/>
      <c r="N962" s="491" t="n"/>
      <c r="O962" s="491" t="n"/>
      <c r="P962" s="491" t="n"/>
      <c r="Q962" s="491" t="n"/>
      <c r="R962" s="491" t="n"/>
      <c r="S962" s="491" t="n"/>
      <c r="T962" s="491" t="n"/>
      <c r="U962" s="491" t="n"/>
      <c r="V962" s="491" t="n"/>
      <c r="W962" s="491" t="n"/>
      <c r="X962" s="491" t="n"/>
      <c r="Y962" s="491" t="n"/>
    </row>
    <row r="963" ht="12.75" customHeight="1" s="398">
      <c r="A963" s="491" t="n"/>
      <c r="B963" s="491" t="n"/>
      <c r="C963" s="491" t="n"/>
      <c r="D963" s="491" t="n"/>
      <c r="E963" s="491" t="n"/>
      <c r="F963" s="491" t="n"/>
      <c r="G963" s="491" t="n"/>
      <c r="H963" s="491" t="n"/>
      <c r="I963" s="491" t="n"/>
      <c r="J963" s="491" t="n"/>
      <c r="K963" s="491" t="n"/>
      <c r="L963" s="491" t="n"/>
      <c r="M963" s="491" t="n"/>
      <c r="N963" s="491" t="n"/>
      <c r="O963" s="491" t="n"/>
      <c r="P963" s="491" t="n"/>
      <c r="Q963" s="491" t="n"/>
      <c r="R963" s="491" t="n"/>
      <c r="S963" s="491" t="n"/>
      <c r="T963" s="491" t="n"/>
      <c r="U963" s="491" t="n"/>
      <c r="V963" s="491" t="n"/>
      <c r="W963" s="491" t="n"/>
      <c r="X963" s="491" t="n"/>
      <c r="Y963" s="491" t="n"/>
    </row>
    <row r="964" ht="12.75" customHeight="1" s="398">
      <c r="A964" s="491" t="n"/>
      <c r="B964" s="491" t="n"/>
      <c r="C964" s="491" t="n"/>
      <c r="D964" s="491" t="n"/>
      <c r="E964" s="491" t="n"/>
      <c r="F964" s="491" t="n"/>
      <c r="G964" s="491" t="n"/>
      <c r="H964" s="491" t="n"/>
      <c r="I964" s="491" t="n"/>
      <c r="J964" s="491" t="n"/>
      <c r="K964" s="491" t="n"/>
      <c r="L964" s="491" t="n"/>
      <c r="M964" s="491" t="n"/>
      <c r="N964" s="491" t="n"/>
      <c r="O964" s="491" t="n"/>
      <c r="P964" s="491" t="n"/>
      <c r="Q964" s="491" t="n"/>
      <c r="R964" s="491" t="n"/>
      <c r="S964" s="491" t="n"/>
      <c r="T964" s="491" t="n"/>
      <c r="U964" s="491" t="n"/>
      <c r="V964" s="491" t="n"/>
      <c r="W964" s="491" t="n"/>
      <c r="X964" s="491" t="n"/>
      <c r="Y964" s="491" t="n"/>
    </row>
    <row r="965" ht="12.75" customHeight="1" s="398">
      <c r="A965" s="491" t="n"/>
      <c r="B965" s="491" t="n"/>
      <c r="C965" s="491" t="n"/>
      <c r="D965" s="491" t="n"/>
      <c r="E965" s="491" t="n"/>
      <c r="F965" s="491" t="n"/>
      <c r="G965" s="491" t="n"/>
      <c r="H965" s="491" t="n"/>
      <c r="I965" s="491" t="n"/>
      <c r="J965" s="491" t="n"/>
      <c r="K965" s="491" t="n"/>
      <c r="L965" s="491" t="n"/>
      <c r="M965" s="491" t="n"/>
      <c r="N965" s="491" t="n"/>
      <c r="O965" s="491" t="n"/>
      <c r="P965" s="491" t="n"/>
      <c r="Q965" s="491" t="n"/>
      <c r="R965" s="491" t="n"/>
      <c r="S965" s="491" t="n"/>
      <c r="T965" s="491" t="n"/>
      <c r="U965" s="491" t="n"/>
      <c r="V965" s="491" t="n"/>
      <c r="W965" s="491" t="n"/>
      <c r="X965" s="491" t="n"/>
      <c r="Y965" s="491" t="n"/>
    </row>
    <row r="966" ht="12.75" customHeight="1" s="398">
      <c r="A966" s="491" t="n"/>
      <c r="B966" s="491" t="n"/>
      <c r="C966" s="491" t="n"/>
      <c r="D966" s="491" t="n"/>
      <c r="E966" s="491" t="n"/>
      <c r="F966" s="491" t="n"/>
      <c r="G966" s="491" t="n"/>
      <c r="H966" s="491" t="n"/>
      <c r="I966" s="491" t="n"/>
      <c r="J966" s="491" t="n"/>
      <c r="K966" s="491" t="n"/>
      <c r="L966" s="491" t="n"/>
      <c r="M966" s="491" t="n"/>
      <c r="N966" s="491" t="n"/>
      <c r="O966" s="491" t="n"/>
      <c r="P966" s="491" t="n"/>
      <c r="Q966" s="491" t="n"/>
      <c r="R966" s="491" t="n"/>
      <c r="S966" s="491" t="n"/>
      <c r="T966" s="491" t="n"/>
      <c r="U966" s="491" t="n"/>
      <c r="V966" s="491" t="n"/>
      <c r="W966" s="491" t="n"/>
      <c r="X966" s="491" t="n"/>
      <c r="Y966" s="491" t="n"/>
    </row>
    <row r="967" ht="12.75" customHeight="1" s="398">
      <c r="A967" s="491" t="n"/>
      <c r="B967" s="491" t="n"/>
      <c r="C967" s="491" t="n"/>
      <c r="D967" s="491" t="n"/>
      <c r="E967" s="491" t="n"/>
      <c r="F967" s="491" t="n"/>
      <c r="G967" s="491" t="n"/>
      <c r="H967" s="491" t="n"/>
      <c r="I967" s="491" t="n"/>
      <c r="J967" s="491" t="n"/>
      <c r="K967" s="491" t="n"/>
      <c r="L967" s="491" t="n"/>
      <c r="M967" s="491" t="n"/>
      <c r="N967" s="491" t="n"/>
      <c r="O967" s="491" t="n"/>
      <c r="P967" s="491" t="n"/>
      <c r="Q967" s="491" t="n"/>
      <c r="R967" s="491" t="n"/>
      <c r="S967" s="491" t="n"/>
      <c r="T967" s="491" t="n"/>
      <c r="U967" s="491" t="n"/>
      <c r="V967" s="491" t="n"/>
      <c r="W967" s="491" t="n"/>
      <c r="X967" s="491" t="n"/>
      <c r="Y967" s="491" t="n"/>
    </row>
    <row r="968" ht="12.75" customHeight="1" s="398">
      <c r="A968" s="491" t="n"/>
      <c r="B968" s="491" t="n"/>
      <c r="C968" s="491" t="n"/>
      <c r="D968" s="491" t="n"/>
      <c r="E968" s="491" t="n"/>
      <c r="F968" s="491" t="n"/>
      <c r="G968" s="491" t="n"/>
      <c r="H968" s="491" t="n"/>
      <c r="I968" s="491" t="n"/>
      <c r="J968" s="491" t="n"/>
      <c r="K968" s="491" t="n"/>
      <c r="L968" s="491" t="n"/>
      <c r="M968" s="491" t="n"/>
      <c r="N968" s="491" t="n"/>
      <c r="O968" s="491" t="n"/>
      <c r="P968" s="491" t="n"/>
      <c r="Q968" s="491" t="n"/>
      <c r="R968" s="491" t="n"/>
      <c r="S968" s="491" t="n"/>
      <c r="T968" s="491" t="n"/>
      <c r="U968" s="491" t="n"/>
      <c r="V968" s="491" t="n"/>
      <c r="W968" s="491" t="n"/>
      <c r="X968" s="491" t="n"/>
      <c r="Y968" s="491" t="n"/>
    </row>
    <row r="969" ht="12.75" customHeight="1" s="398">
      <c r="A969" s="491" t="n"/>
      <c r="B969" s="491" t="n"/>
      <c r="C969" s="491" t="n"/>
      <c r="D969" s="491" t="n"/>
      <c r="E969" s="491" t="n"/>
      <c r="F969" s="491" t="n"/>
      <c r="G969" s="491" t="n"/>
      <c r="H969" s="491" t="n"/>
      <c r="I969" s="491" t="n"/>
      <c r="J969" s="491" t="n"/>
      <c r="K969" s="491" t="n"/>
      <c r="L969" s="491" t="n"/>
      <c r="M969" s="491" t="n"/>
      <c r="N969" s="491" t="n"/>
      <c r="O969" s="491" t="n"/>
      <c r="P969" s="491" t="n"/>
      <c r="Q969" s="491" t="n"/>
      <c r="R969" s="491" t="n"/>
      <c r="S969" s="491" t="n"/>
      <c r="T969" s="491" t="n"/>
      <c r="U969" s="491" t="n"/>
      <c r="V969" s="491" t="n"/>
      <c r="W969" s="491" t="n"/>
      <c r="X969" s="491" t="n"/>
      <c r="Y969" s="491" t="n"/>
    </row>
    <row r="970" ht="12.75" customHeight="1" s="398">
      <c r="A970" s="491" t="n"/>
      <c r="B970" s="491" t="n"/>
      <c r="C970" s="491" t="n"/>
      <c r="D970" s="491" t="n"/>
      <c r="E970" s="491" t="n"/>
      <c r="F970" s="491" t="n"/>
      <c r="G970" s="491" t="n"/>
      <c r="H970" s="491" t="n"/>
      <c r="I970" s="491" t="n"/>
      <c r="J970" s="491" t="n"/>
      <c r="K970" s="491" t="n"/>
      <c r="L970" s="491" t="n"/>
      <c r="M970" s="491" t="n"/>
      <c r="N970" s="491" t="n"/>
      <c r="O970" s="491" t="n"/>
      <c r="P970" s="491" t="n"/>
      <c r="Q970" s="491" t="n"/>
      <c r="R970" s="491" t="n"/>
      <c r="S970" s="491" t="n"/>
      <c r="T970" s="491" t="n"/>
      <c r="U970" s="491" t="n"/>
      <c r="V970" s="491" t="n"/>
      <c r="W970" s="491" t="n"/>
      <c r="X970" s="491" t="n"/>
      <c r="Y970" s="491" t="n"/>
    </row>
    <row r="971" ht="12.75" customHeight="1" s="398">
      <c r="A971" s="491" t="n"/>
      <c r="B971" s="491" t="n"/>
      <c r="C971" s="491" t="n"/>
      <c r="D971" s="491" t="n"/>
      <c r="E971" s="491" t="n"/>
      <c r="F971" s="491" t="n"/>
      <c r="G971" s="491" t="n"/>
      <c r="H971" s="491" t="n"/>
      <c r="I971" s="491" t="n"/>
      <c r="J971" s="491" t="n"/>
      <c r="K971" s="491" t="n"/>
      <c r="L971" s="491" t="n"/>
      <c r="M971" s="491" t="n"/>
      <c r="N971" s="491" t="n"/>
      <c r="O971" s="491" t="n"/>
      <c r="P971" s="491" t="n"/>
      <c r="Q971" s="491" t="n"/>
      <c r="R971" s="491" t="n"/>
      <c r="S971" s="491" t="n"/>
      <c r="T971" s="491" t="n"/>
      <c r="U971" s="491" t="n"/>
      <c r="V971" s="491" t="n"/>
      <c r="W971" s="491" t="n"/>
      <c r="X971" s="491" t="n"/>
      <c r="Y971" s="491" t="n"/>
    </row>
    <row r="972" ht="12.75" customHeight="1" s="398">
      <c r="A972" s="491" t="n"/>
      <c r="B972" s="491" t="n"/>
      <c r="C972" s="491" t="n"/>
      <c r="D972" s="491" t="n"/>
      <c r="E972" s="491" t="n"/>
      <c r="F972" s="491" t="n"/>
      <c r="G972" s="491" t="n"/>
      <c r="H972" s="491" t="n"/>
      <c r="I972" s="491" t="n"/>
      <c r="J972" s="491" t="n"/>
      <c r="K972" s="491" t="n"/>
      <c r="L972" s="491" t="n"/>
      <c r="M972" s="491" t="n"/>
      <c r="N972" s="491" t="n"/>
      <c r="O972" s="491" t="n"/>
      <c r="P972" s="491" t="n"/>
      <c r="Q972" s="491" t="n"/>
      <c r="R972" s="491" t="n"/>
      <c r="S972" s="491" t="n"/>
      <c r="T972" s="491" t="n"/>
      <c r="U972" s="491" t="n"/>
      <c r="V972" s="491" t="n"/>
      <c r="W972" s="491" t="n"/>
      <c r="X972" s="491" t="n"/>
      <c r="Y972" s="491" t="n"/>
    </row>
    <row r="973" ht="12.75" customHeight="1" s="398">
      <c r="A973" s="491" t="n"/>
      <c r="B973" s="491" t="n"/>
      <c r="C973" s="491" t="n"/>
      <c r="D973" s="491" t="n"/>
      <c r="E973" s="491" t="n"/>
      <c r="F973" s="491" t="n"/>
      <c r="G973" s="491" t="n"/>
      <c r="H973" s="491" t="n"/>
      <c r="I973" s="491" t="n"/>
      <c r="J973" s="491" t="n"/>
      <c r="K973" s="491" t="n"/>
      <c r="L973" s="491" t="n"/>
      <c r="M973" s="491" t="n"/>
      <c r="N973" s="491" t="n"/>
      <c r="O973" s="491" t="n"/>
      <c r="P973" s="491" t="n"/>
      <c r="Q973" s="491" t="n"/>
      <c r="R973" s="491" t="n"/>
      <c r="S973" s="491" t="n"/>
      <c r="T973" s="491" t="n"/>
      <c r="U973" s="491" t="n"/>
      <c r="V973" s="491" t="n"/>
      <c r="W973" s="491" t="n"/>
      <c r="X973" s="491" t="n"/>
      <c r="Y973" s="491" t="n"/>
    </row>
    <row r="974" ht="12.75" customHeight="1" s="398">
      <c r="A974" s="491" t="n"/>
      <c r="B974" s="491" t="n"/>
      <c r="C974" s="491" t="n"/>
      <c r="D974" s="491" t="n"/>
      <c r="E974" s="491" t="n"/>
      <c r="F974" s="491" t="n"/>
      <c r="G974" s="491" t="n"/>
      <c r="H974" s="491" t="n"/>
      <c r="I974" s="491" t="n"/>
      <c r="J974" s="491" t="n"/>
      <c r="K974" s="491" t="n"/>
      <c r="L974" s="491" t="n"/>
      <c r="M974" s="491" t="n"/>
      <c r="N974" s="491" t="n"/>
      <c r="O974" s="491" t="n"/>
      <c r="P974" s="491" t="n"/>
      <c r="Q974" s="491" t="n"/>
      <c r="R974" s="491" t="n"/>
      <c r="S974" s="491" t="n"/>
      <c r="T974" s="491" t="n"/>
      <c r="U974" s="491" t="n"/>
      <c r="V974" s="491" t="n"/>
      <c r="W974" s="491" t="n"/>
      <c r="X974" s="491" t="n"/>
      <c r="Y974" s="491" t="n"/>
    </row>
    <row r="975" ht="12.75" customHeight="1" s="398">
      <c r="A975" s="491" t="n"/>
      <c r="B975" s="491" t="n"/>
      <c r="C975" s="491" t="n"/>
      <c r="D975" s="491" t="n"/>
      <c r="E975" s="491" t="n"/>
      <c r="F975" s="491" t="n"/>
      <c r="G975" s="491" t="n"/>
      <c r="H975" s="491" t="n"/>
      <c r="I975" s="491" t="n"/>
      <c r="J975" s="491" t="n"/>
      <c r="K975" s="491" t="n"/>
      <c r="L975" s="491" t="n"/>
      <c r="M975" s="491" t="n"/>
      <c r="N975" s="491" t="n"/>
      <c r="O975" s="491" t="n"/>
      <c r="P975" s="491" t="n"/>
      <c r="Q975" s="491" t="n"/>
      <c r="R975" s="491" t="n"/>
      <c r="S975" s="491" t="n"/>
      <c r="T975" s="491" t="n"/>
      <c r="U975" s="491" t="n"/>
      <c r="V975" s="491" t="n"/>
      <c r="W975" s="491" t="n"/>
      <c r="X975" s="491" t="n"/>
      <c r="Y975" s="491" t="n"/>
    </row>
    <row r="976" ht="12.75" customHeight="1" s="398">
      <c r="A976" s="491" t="n"/>
      <c r="B976" s="491" t="n"/>
      <c r="C976" s="491" t="n"/>
      <c r="D976" s="491" t="n"/>
      <c r="E976" s="491" t="n"/>
      <c r="F976" s="491" t="n"/>
      <c r="G976" s="491" t="n"/>
      <c r="H976" s="491" t="n"/>
      <c r="I976" s="491" t="n"/>
      <c r="J976" s="491" t="n"/>
      <c r="K976" s="491" t="n"/>
      <c r="L976" s="491" t="n"/>
      <c r="M976" s="491" t="n"/>
      <c r="N976" s="491" t="n"/>
      <c r="O976" s="491" t="n"/>
      <c r="P976" s="491" t="n"/>
      <c r="Q976" s="491" t="n"/>
      <c r="R976" s="491" t="n"/>
      <c r="S976" s="491" t="n"/>
      <c r="T976" s="491" t="n"/>
      <c r="U976" s="491" t="n"/>
      <c r="V976" s="491" t="n"/>
      <c r="W976" s="491" t="n"/>
      <c r="X976" s="491" t="n"/>
      <c r="Y976" s="491" t="n"/>
    </row>
    <row r="977" ht="12.75" customHeight="1" s="398">
      <c r="A977" s="491" t="n"/>
      <c r="B977" s="491" t="n"/>
      <c r="C977" s="491" t="n"/>
      <c r="D977" s="491" t="n"/>
      <c r="E977" s="491" t="n"/>
      <c r="F977" s="491" t="n"/>
      <c r="G977" s="491" t="n"/>
      <c r="H977" s="491" t="n"/>
      <c r="I977" s="491" t="n"/>
      <c r="J977" s="491" t="n"/>
      <c r="K977" s="491" t="n"/>
      <c r="L977" s="491" t="n"/>
      <c r="M977" s="491" t="n"/>
      <c r="N977" s="491" t="n"/>
      <c r="O977" s="491" t="n"/>
      <c r="P977" s="491" t="n"/>
      <c r="Q977" s="491" t="n"/>
      <c r="R977" s="491" t="n"/>
      <c r="S977" s="491" t="n"/>
      <c r="T977" s="491" t="n"/>
      <c r="U977" s="491" t="n"/>
      <c r="V977" s="491" t="n"/>
      <c r="W977" s="491" t="n"/>
      <c r="X977" s="491" t="n"/>
      <c r="Y977" s="491" t="n"/>
    </row>
    <row r="978" ht="12.75" customHeight="1" s="398">
      <c r="A978" s="491" t="n"/>
      <c r="B978" s="491" t="n"/>
      <c r="C978" s="491" t="n"/>
      <c r="D978" s="491" t="n"/>
      <c r="E978" s="491" t="n"/>
      <c r="F978" s="491" t="n"/>
      <c r="G978" s="491" t="n"/>
      <c r="H978" s="491" t="n"/>
      <c r="I978" s="491" t="n"/>
      <c r="J978" s="491" t="n"/>
      <c r="K978" s="491" t="n"/>
      <c r="L978" s="491" t="n"/>
      <c r="M978" s="491" t="n"/>
      <c r="N978" s="491" t="n"/>
      <c r="O978" s="491" t="n"/>
      <c r="P978" s="491" t="n"/>
      <c r="Q978" s="491" t="n"/>
      <c r="R978" s="491" t="n"/>
      <c r="S978" s="491" t="n"/>
      <c r="T978" s="491" t="n"/>
      <c r="U978" s="491" t="n"/>
      <c r="V978" s="491" t="n"/>
      <c r="W978" s="491" t="n"/>
      <c r="X978" s="491" t="n"/>
      <c r="Y978" s="491" t="n"/>
    </row>
    <row r="979" ht="12.75" customHeight="1" s="398">
      <c r="A979" s="491" t="n"/>
      <c r="B979" s="491" t="n"/>
      <c r="C979" s="491" t="n"/>
      <c r="D979" s="491" t="n"/>
      <c r="E979" s="491" t="n"/>
      <c r="F979" s="491" t="n"/>
      <c r="G979" s="491" t="n"/>
      <c r="H979" s="491" t="n"/>
      <c r="I979" s="491" t="n"/>
      <c r="J979" s="491" t="n"/>
      <c r="K979" s="491" t="n"/>
      <c r="L979" s="491" t="n"/>
      <c r="M979" s="491" t="n"/>
      <c r="N979" s="491" t="n"/>
      <c r="O979" s="491" t="n"/>
      <c r="P979" s="491" t="n"/>
      <c r="Q979" s="491" t="n"/>
      <c r="R979" s="491" t="n"/>
      <c r="S979" s="491" t="n"/>
      <c r="T979" s="491" t="n"/>
      <c r="U979" s="491" t="n"/>
      <c r="V979" s="491" t="n"/>
      <c r="W979" s="491" t="n"/>
      <c r="X979" s="491" t="n"/>
      <c r="Y979" s="491" t="n"/>
    </row>
    <row r="980" ht="12.75" customHeight="1" s="398">
      <c r="A980" s="491" t="n"/>
      <c r="B980" s="491" t="n"/>
      <c r="C980" s="491" t="n"/>
      <c r="D980" s="491" t="n"/>
      <c r="E980" s="491" t="n"/>
      <c r="F980" s="491" t="n"/>
      <c r="G980" s="491" t="n"/>
      <c r="H980" s="491" t="n"/>
      <c r="I980" s="491" t="n"/>
      <c r="J980" s="491" t="n"/>
      <c r="K980" s="491" t="n"/>
      <c r="L980" s="491" t="n"/>
      <c r="M980" s="491" t="n"/>
      <c r="N980" s="491" t="n"/>
      <c r="O980" s="491" t="n"/>
      <c r="P980" s="491" t="n"/>
      <c r="Q980" s="491" t="n"/>
      <c r="R980" s="491" t="n"/>
      <c r="S980" s="491" t="n"/>
      <c r="T980" s="491" t="n"/>
      <c r="U980" s="491" t="n"/>
      <c r="V980" s="491" t="n"/>
      <c r="W980" s="491" t="n"/>
      <c r="X980" s="491" t="n"/>
      <c r="Y980" s="491" t="n"/>
    </row>
    <row r="981" ht="12.75" customHeight="1" s="398">
      <c r="A981" s="491" t="n"/>
      <c r="B981" s="491" t="n"/>
      <c r="C981" s="491" t="n"/>
      <c r="D981" s="491" t="n"/>
      <c r="E981" s="491" t="n"/>
      <c r="F981" s="491" t="n"/>
      <c r="G981" s="491" t="n"/>
      <c r="H981" s="491" t="n"/>
      <c r="I981" s="491" t="n"/>
      <c r="J981" s="491" t="n"/>
      <c r="K981" s="491" t="n"/>
      <c r="L981" s="491" t="n"/>
      <c r="M981" s="491" t="n"/>
      <c r="N981" s="491" t="n"/>
      <c r="O981" s="491" t="n"/>
      <c r="P981" s="491" t="n"/>
      <c r="Q981" s="491" t="n"/>
      <c r="R981" s="491" t="n"/>
      <c r="S981" s="491" t="n"/>
      <c r="T981" s="491" t="n"/>
      <c r="U981" s="491" t="n"/>
      <c r="V981" s="491" t="n"/>
      <c r="W981" s="491" t="n"/>
      <c r="X981" s="491" t="n"/>
      <c r="Y981" s="491" t="n"/>
    </row>
    <row r="982" ht="12.75" customHeight="1" s="398">
      <c r="A982" s="491" t="n"/>
      <c r="B982" s="491" t="n"/>
      <c r="C982" s="491" t="n"/>
      <c r="D982" s="491" t="n"/>
      <c r="E982" s="491" t="n"/>
      <c r="F982" s="491" t="n"/>
      <c r="G982" s="491" t="n"/>
      <c r="H982" s="491" t="n"/>
      <c r="I982" s="491" t="n"/>
      <c r="J982" s="491" t="n"/>
      <c r="K982" s="491" t="n"/>
      <c r="L982" s="491" t="n"/>
      <c r="M982" s="491" t="n"/>
      <c r="N982" s="491" t="n"/>
      <c r="O982" s="491" t="n"/>
      <c r="P982" s="491" t="n"/>
      <c r="Q982" s="491" t="n"/>
      <c r="R982" s="491" t="n"/>
      <c r="S982" s="491" t="n"/>
      <c r="T982" s="491" t="n"/>
      <c r="U982" s="491" t="n"/>
      <c r="V982" s="491" t="n"/>
      <c r="W982" s="491" t="n"/>
      <c r="X982" s="491" t="n"/>
      <c r="Y982" s="491" t="n"/>
    </row>
    <row r="983" ht="12.75" customHeight="1" s="398">
      <c r="A983" s="491" t="n"/>
      <c r="B983" s="491" t="n"/>
      <c r="C983" s="491" t="n"/>
      <c r="D983" s="491" t="n"/>
      <c r="E983" s="491" t="n"/>
      <c r="F983" s="491" t="n"/>
      <c r="G983" s="491" t="n"/>
      <c r="H983" s="491" t="n"/>
      <c r="I983" s="491" t="n"/>
      <c r="J983" s="491" t="n"/>
      <c r="K983" s="491" t="n"/>
      <c r="L983" s="491" t="n"/>
      <c r="M983" s="491" t="n"/>
      <c r="N983" s="491" t="n"/>
      <c r="O983" s="491" t="n"/>
      <c r="P983" s="491" t="n"/>
      <c r="Q983" s="491" t="n"/>
      <c r="R983" s="491" t="n"/>
      <c r="S983" s="491" t="n"/>
      <c r="T983" s="491" t="n"/>
      <c r="U983" s="491" t="n"/>
      <c r="V983" s="491" t="n"/>
      <c r="W983" s="491" t="n"/>
      <c r="X983" s="491" t="n"/>
      <c r="Y983" s="491" t="n"/>
    </row>
    <row r="984" ht="12.75" customHeight="1" s="398">
      <c r="A984" s="491" t="n"/>
      <c r="B984" s="491" t="n"/>
      <c r="C984" s="491" t="n"/>
      <c r="D984" s="491" t="n"/>
      <c r="E984" s="491" t="n"/>
      <c r="F984" s="491" t="n"/>
      <c r="G984" s="491" t="n"/>
      <c r="H984" s="491" t="n"/>
      <c r="I984" s="491" t="n"/>
      <c r="J984" s="491" t="n"/>
      <c r="K984" s="491" t="n"/>
      <c r="L984" s="491" t="n"/>
      <c r="M984" s="491" t="n"/>
      <c r="N984" s="491" t="n"/>
      <c r="O984" s="491" t="n"/>
      <c r="P984" s="491" t="n"/>
      <c r="Q984" s="491" t="n"/>
      <c r="R984" s="491" t="n"/>
      <c r="S984" s="491" t="n"/>
      <c r="T984" s="491" t="n"/>
      <c r="U984" s="491" t="n"/>
      <c r="V984" s="491" t="n"/>
      <c r="W984" s="491" t="n"/>
      <c r="X984" s="491" t="n"/>
      <c r="Y984" s="491" t="n"/>
    </row>
    <row r="985" ht="12.75" customHeight="1" s="398">
      <c r="A985" s="491" t="n"/>
      <c r="B985" s="491" t="n"/>
      <c r="C985" s="491" t="n"/>
      <c r="D985" s="491" t="n"/>
      <c r="E985" s="491" t="n"/>
      <c r="F985" s="491" t="n"/>
      <c r="G985" s="491" t="n"/>
      <c r="H985" s="491" t="n"/>
      <c r="I985" s="491" t="n"/>
      <c r="J985" s="491" t="n"/>
      <c r="K985" s="491" t="n"/>
      <c r="L985" s="491" t="n"/>
      <c r="M985" s="491" t="n"/>
      <c r="N985" s="491" t="n"/>
      <c r="O985" s="491" t="n"/>
      <c r="P985" s="491" t="n"/>
      <c r="Q985" s="491" t="n"/>
      <c r="R985" s="491" t="n"/>
      <c r="S985" s="491" t="n"/>
      <c r="T985" s="491" t="n"/>
      <c r="U985" s="491" t="n"/>
      <c r="V985" s="491" t="n"/>
      <c r="W985" s="491" t="n"/>
      <c r="X985" s="491" t="n"/>
      <c r="Y985" s="491" t="n"/>
    </row>
    <row r="986" ht="12.75" customHeight="1" s="398">
      <c r="A986" s="491" t="n"/>
      <c r="B986" s="491" t="n"/>
      <c r="C986" s="491" t="n"/>
      <c r="D986" s="491" t="n"/>
      <c r="E986" s="491" t="n"/>
      <c r="F986" s="491" t="n"/>
      <c r="G986" s="491" t="n"/>
      <c r="H986" s="491" t="n"/>
      <c r="I986" s="491" t="n"/>
      <c r="J986" s="491" t="n"/>
      <c r="K986" s="491" t="n"/>
      <c r="L986" s="491" t="n"/>
      <c r="M986" s="491" t="n"/>
      <c r="N986" s="491" t="n"/>
      <c r="O986" s="491" t="n"/>
      <c r="P986" s="491" t="n"/>
      <c r="Q986" s="491" t="n"/>
      <c r="R986" s="491" t="n"/>
      <c r="S986" s="491" t="n"/>
      <c r="T986" s="491" t="n"/>
      <c r="U986" s="491" t="n"/>
      <c r="V986" s="491" t="n"/>
      <c r="W986" s="491" t="n"/>
      <c r="X986" s="491" t="n"/>
      <c r="Y986" s="491" t="n"/>
    </row>
    <row r="987" ht="12.75" customHeight="1" s="398">
      <c r="A987" s="491" t="n"/>
      <c r="B987" s="491" t="n"/>
      <c r="C987" s="491" t="n"/>
      <c r="D987" s="491" t="n"/>
      <c r="E987" s="491" t="n"/>
      <c r="F987" s="491" t="n"/>
      <c r="G987" s="491" t="n"/>
      <c r="H987" s="491" t="n"/>
      <c r="I987" s="491" t="n"/>
      <c r="J987" s="491" t="n"/>
      <c r="K987" s="491" t="n"/>
      <c r="L987" s="491" t="n"/>
      <c r="M987" s="491" t="n"/>
      <c r="N987" s="491" t="n"/>
      <c r="O987" s="491" t="n"/>
      <c r="P987" s="491" t="n"/>
      <c r="Q987" s="491" t="n"/>
      <c r="R987" s="491" t="n"/>
      <c r="S987" s="491" t="n"/>
      <c r="T987" s="491" t="n"/>
      <c r="U987" s="491" t="n"/>
      <c r="V987" s="491" t="n"/>
      <c r="W987" s="491" t="n"/>
      <c r="X987" s="491" t="n"/>
      <c r="Y987" s="491" t="n"/>
    </row>
    <row r="988" ht="12.75" customHeight="1" s="398">
      <c r="A988" s="491" t="n"/>
      <c r="B988" s="491" t="n"/>
      <c r="C988" s="491" t="n"/>
      <c r="D988" s="491" t="n"/>
      <c r="E988" s="491" t="n"/>
      <c r="F988" s="491" t="n"/>
      <c r="G988" s="491" t="n"/>
      <c r="H988" s="491" t="n"/>
      <c r="I988" s="491" t="n"/>
      <c r="J988" s="491" t="n"/>
      <c r="K988" s="491" t="n"/>
      <c r="L988" s="491" t="n"/>
      <c r="M988" s="491" t="n"/>
      <c r="N988" s="491" t="n"/>
      <c r="O988" s="491" t="n"/>
      <c r="P988" s="491" t="n"/>
      <c r="Q988" s="491" t="n"/>
      <c r="R988" s="491" t="n"/>
      <c r="S988" s="491" t="n"/>
      <c r="T988" s="491" t="n"/>
      <c r="U988" s="491" t="n"/>
      <c r="V988" s="491" t="n"/>
      <c r="W988" s="491" t="n"/>
      <c r="X988" s="491" t="n"/>
      <c r="Y988" s="491" t="n"/>
    </row>
    <row r="989" ht="12.75" customHeight="1" s="398">
      <c r="A989" s="491" t="n"/>
      <c r="B989" s="491" t="n"/>
      <c r="C989" s="491" t="n"/>
      <c r="D989" s="491" t="n"/>
      <c r="E989" s="491" t="n"/>
      <c r="F989" s="491" t="n"/>
      <c r="G989" s="491" t="n"/>
      <c r="H989" s="491" t="n"/>
      <c r="I989" s="491" t="n"/>
      <c r="J989" s="491" t="n"/>
      <c r="K989" s="491" t="n"/>
      <c r="L989" s="491" t="n"/>
      <c r="M989" s="491" t="n"/>
      <c r="N989" s="491" t="n"/>
      <c r="O989" s="491" t="n"/>
      <c r="P989" s="491" t="n"/>
      <c r="Q989" s="491" t="n"/>
      <c r="R989" s="491" t="n"/>
      <c r="S989" s="491" t="n"/>
      <c r="T989" s="491" t="n"/>
      <c r="U989" s="491" t="n"/>
      <c r="V989" s="491" t="n"/>
      <c r="W989" s="491" t="n"/>
      <c r="X989" s="491" t="n"/>
      <c r="Y989" s="491" t="n"/>
    </row>
    <row r="990" ht="12.75" customHeight="1" s="398">
      <c r="A990" s="491" t="n"/>
      <c r="B990" s="491" t="n"/>
      <c r="C990" s="491" t="n"/>
      <c r="D990" s="491" t="n"/>
      <c r="E990" s="491" t="n"/>
      <c r="F990" s="491" t="n"/>
      <c r="G990" s="491" t="n"/>
      <c r="H990" s="491" t="n"/>
      <c r="I990" s="491" t="n"/>
      <c r="J990" s="491" t="n"/>
      <c r="K990" s="491" t="n"/>
      <c r="L990" s="491" t="n"/>
      <c r="M990" s="491" t="n"/>
      <c r="N990" s="491" t="n"/>
      <c r="O990" s="491" t="n"/>
      <c r="P990" s="491" t="n"/>
      <c r="Q990" s="491" t="n"/>
      <c r="R990" s="491" t="n"/>
      <c r="S990" s="491" t="n"/>
      <c r="T990" s="491" t="n"/>
      <c r="U990" s="491" t="n"/>
      <c r="V990" s="491" t="n"/>
      <c r="W990" s="491" t="n"/>
      <c r="X990" s="491" t="n"/>
      <c r="Y990" s="491" t="n"/>
    </row>
    <row r="991" ht="12.75" customHeight="1" s="398">
      <c r="A991" s="491" t="n"/>
      <c r="B991" s="491" t="n"/>
      <c r="C991" s="491" t="n"/>
      <c r="D991" s="491" t="n"/>
      <c r="E991" s="491" t="n"/>
      <c r="F991" s="491" t="n"/>
      <c r="G991" s="491" t="n"/>
      <c r="H991" s="491" t="n"/>
      <c r="I991" s="491" t="n"/>
      <c r="J991" s="491" t="n"/>
      <c r="K991" s="491" t="n"/>
      <c r="L991" s="491" t="n"/>
      <c r="M991" s="491" t="n"/>
      <c r="N991" s="491" t="n"/>
      <c r="O991" s="491" t="n"/>
      <c r="P991" s="491" t="n"/>
      <c r="Q991" s="491" t="n"/>
      <c r="R991" s="491" t="n"/>
      <c r="S991" s="491" t="n"/>
      <c r="T991" s="491" t="n"/>
      <c r="U991" s="491" t="n"/>
      <c r="V991" s="491" t="n"/>
      <c r="W991" s="491" t="n"/>
      <c r="X991" s="491" t="n"/>
      <c r="Y991" s="491" t="n"/>
    </row>
    <row r="992" ht="12.75" customHeight="1" s="398">
      <c r="A992" s="491" t="n"/>
      <c r="B992" s="491" t="n"/>
      <c r="C992" s="491" t="n"/>
      <c r="D992" s="491" t="n"/>
      <c r="E992" s="491" t="n"/>
      <c r="F992" s="491" t="n"/>
      <c r="G992" s="491" t="n"/>
      <c r="H992" s="491" t="n"/>
      <c r="I992" s="491" t="n"/>
      <c r="J992" s="491" t="n"/>
      <c r="K992" s="491" t="n"/>
      <c r="L992" s="491" t="n"/>
      <c r="M992" s="491" t="n"/>
      <c r="N992" s="491" t="n"/>
      <c r="O992" s="491" t="n"/>
      <c r="P992" s="491" t="n"/>
      <c r="Q992" s="491" t="n"/>
      <c r="R992" s="491" t="n"/>
      <c r="S992" s="491" t="n"/>
      <c r="T992" s="491" t="n"/>
      <c r="U992" s="491" t="n"/>
      <c r="V992" s="491" t="n"/>
      <c r="W992" s="491" t="n"/>
      <c r="X992" s="491" t="n"/>
      <c r="Y992" s="491" t="n"/>
    </row>
    <row r="993" ht="12.75" customHeight="1" s="398">
      <c r="A993" s="491" t="n"/>
      <c r="B993" s="491" t="n"/>
      <c r="C993" s="491" t="n"/>
      <c r="D993" s="491" t="n"/>
      <c r="E993" s="491" t="n"/>
      <c r="F993" s="491" t="n"/>
      <c r="G993" s="491" t="n"/>
      <c r="H993" s="491" t="n"/>
      <c r="I993" s="491" t="n"/>
      <c r="J993" s="491" t="n"/>
      <c r="K993" s="491" t="n"/>
      <c r="L993" s="491" t="n"/>
      <c r="M993" s="491" t="n"/>
      <c r="N993" s="491" t="n"/>
      <c r="O993" s="491" t="n"/>
      <c r="P993" s="491" t="n"/>
      <c r="Q993" s="491" t="n"/>
      <c r="R993" s="491" t="n"/>
      <c r="S993" s="491" t="n"/>
      <c r="T993" s="491" t="n"/>
      <c r="U993" s="491" t="n"/>
      <c r="V993" s="491" t="n"/>
      <c r="W993" s="491" t="n"/>
      <c r="X993" s="491" t="n"/>
      <c r="Y993" s="491" t="n"/>
    </row>
    <row r="994" ht="12.75" customHeight="1" s="398">
      <c r="A994" s="491" t="n"/>
      <c r="B994" s="491" t="n"/>
      <c r="C994" s="491" t="n"/>
      <c r="D994" s="491" t="n"/>
      <c r="E994" s="491" t="n"/>
      <c r="F994" s="491" t="n"/>
      <c r="G994" s="491" t="n"/>
      <c r="H994" s="491" t="n"/>
      <c r="I994" s="491" t="n"/>
      <c r="J994" s="491" t="n"/>
      <c r="K994" s="491" t="n"/>
      <c r="L994" s="491" t="n"/>
      <c r="M994" s="491" t="n"/>
      <c r="N994" s="491" t="n"/>
      <c r="O994" s="491" t="n"/>
      <c r="P994" s="491" t="n"/>
      <c r="Q994" s="491" t="n"/>
      <c r="R994" s="491" t="n"/>
      <c r="S994" s="491" t="n"/>
      <c r="T994" s="491" t="n"/>
      <c r="U994" s="491" t="n"/>
      <c r="V994" s="491" t="n"/>
      <c r="W994" s="491" t="n"/>
      <c r="X994" s="491" t="n"/>
      <c r="Y994" s="491" t="n"/>
    </row>
    <row r="995" ht="12.75" customHeight="1" s="398">
      <c r="A995" s="491" t="n"/>
      <c r="B995" s="491" t="n"/>
      <c r="C995" s="491" t="n"/>
      <c r="D995" s="491" t="n"/>
      <c r="E995" s="491" t="n"/>
      <c r="F995" s="491" t="n"/>
      <c r="G995" s="491" t="n"/>
      <c r="H995" s="491" t="n"/>
      <c r="I995" s="491" t="n"/>
      <c r="J995" s="491" t="n"/>
      <c r="K995" s="491" t="n"/>
      <c r="L995" s="491" t="n"/>
      <c r="M995" s="491" t="n"/>
      <c r="N995" s="491" t="n"/>
      <c r="O995" s="491" t="n"/>
      <c r="P995" s="491" t="n"/>
      <c r="Q995" s="491" t="n"/>
      <c r="R995" s="491" t="n"/>
      <c r="S995" s="491" t="n"/>
      <c r="T995" s="491" t="n"/>
      <c r="U995" s="491" t="n"/>
      <c r="V995" s="491" t="n"/>
      <c r="W995" s="491" t="n"/>
      <c r="X995" s="491" t="n"/>
      <c r="Y995" s="491" t="n"/>
    </row>
    <row r="996" ht="12.75" customHeight="1" s="398">
      <c r="A996" s="491" t="n"/>
      <c r="B996" s="491" t="n"/>
      <c r="C996" s="491" t="n"/>
      <c r="D996" s="491" t="n"/>
      <c r="E996" s="491" t="n"/>
      <c r="F996" s="491" t="n"/>
      <c r="G996" s="491" t="n"/>
      <c r="H996" s="491" t="n"/>
      <c r="I996" s="491" t="n"/>
      <c r="J996" s="491" t="n"/>
      <c r="K996" s="491" t="n"/>
      <c r="L996" s="491" t="n"/>
      <c r="M996" s="491" t="n"/>
      <c r="N996" s="491" t="n"/>
      <c r="O996" s="491" t="n"/>
      <c r="P996" s="491" t="n"/>
      <c r="Q996" s="491" t="n"/>
      <c r="R996" s="491" t="n"/>
      <c r="S996" s="491" t="n"/>
      <c r="T996" s="491" t="n"/>
      <c r="U996" s="491" t="n"/>
      <c r="V996" s="491" t="n"/>
      <c r="W996" s="491" t="n"/>
      <c r="X996" s="491" t="n"/>
      <c r="Y996" s="491" t="n"/>
    </row>
    <row r="997" ht="12.75" customHeight="1" s="398">
      <c r="A997" s="491" t="n"/>
      <c r="B997" s="491" t="n"/>
      <c r="C997" s="491" t="n"/>
      <c r="D997" s="491" t="n"/>
      <c r="E997" s="491" t="n"/>
      <c r="F997" s="491" t="n"/>
      <c r="G997" s="491" t="n"/>
      <c r="H997" s="491" t="n"/>
      <c r="I997" s="491" t="n"/>
      <c r="J997" s="491" t="n"/>
      <c r="K997" s="491" t="n"/>
      <c r="L997" s="491" t="n"/>
      <c r="M997" s="491" t="n"/>
      <c r="N997" s="491" t="n"/>
      <c r="O997" s="491" t="n"/>
      <c r="P997" s="491" t="n"/>
      <c r="Q997" s="491" t="n"/>
      <c r="R997" s="491" t="n"/>
      <c r="S997" s="491" t="n"/>
      <c r="T997" s="491" t="n"/>
      <c r="U997" s="491" t="n"/>
      <c r="V997" s="491" t="n"/>
      <c r="W997" s="491" t="n"/>
      <c r="X997" s="491" t="n"/>
      <c r="Y997" s="491" t="n"/>
    </row>
    <row r="998" ht="12.75" customHeight="1" s="398">
      <c r="A998" s="491" t="n"/>
      <c r="B998" s="491" t="n"/>
      <c r="C998" s="491" t="n"/>
      <c r="D998" s="491" t="n"/>
      <c r="E998" s="491" t="n"/>
      <c r="F998" s="491" t="n"/>
      <c r="G998" s="491" t="n"/>
      <c r="H998" s="491" t="n"/>
      <c r="I998" s="491" t="n"/>
      <c r="J998" s="491" t="n"/>
      <c r="K998" s="491" t="n"/>
      <c r="L998" s="491" t="n"/>
      <c r="M998" s="491" t="n"/>
      <c r="N998" s="491" t="n"/>
      <c r="O998" s="491" t="n"/>
      <c r="P998" s="491" t="n"/>
      <c r="Q998" s="491" t="n"/>
      <c r="R998" s="491" t="n"/>
      <c r="S998" s="491" t="n"/>
      <c r="T998" s="491" t="n"/>
      <c r="U998" s="491" t="n"/>
      <c r="V998" s="491" t="n"/>
      <c r="W998" s="491" t="n"/>
      <c r="X998" s="491" t="n"/>
      <c r="Y998" s="491" t="n"/>
    </row>
    <row r="999" ht="12.75" customHeight="1" s="398">
      <c r="A999" s="491" t="n"/>
      <c r="B999" s="491" t="n"/>
      <c r="C999" s="491" t="n"/>
      <c r="D999" s="491" t="n"/>
      <c r="E999" s="491" t="n"/>
      <c r="F999" s="491" t="n"/>
      <c r="G999" s="491" t="n"/>
      <c r="H999" s="491" t="n"/>
      <c r="I999" s="491" t="n"/>
      <c r="J999" s="491" t="n"/>
      <c r="K999" s="491" t="n"/>
      <c r="L999" s="491" t="n"/>
      <c r="M999" s="491" t="n"/>
      <c r="N999" s="491" t="n"/>
      <c r="O999" s="491" t="n"/>
      <c r="P999" s="491" t="n"/>
      <c r="Q999" s="491" t="n"/>
      <c r="R999" s="491" t="n"/>
      <c r="S999" s="491" t="n"/>
      <c r="T999" s="491" t="n"/>
      <c r="U999" s="491" t="n"/>
      <c r="V999" s="491" t="n"/>
      <c r="W999" s="491" t="n"/>
      <c r="X999" s="491" t="n"/>
      <c r="Y999" s="491" t="n"/>
    </row>
    <row r="1000" ht="12.75" customHeight="1" s="398">
      <c r="A1000" s="491" t="n"/>
      <c r="B1000" s="491" t="n"/>
      <c r="C1000" s="491" t="n"/>
      <c r="D1000" s="491" t="n"/>
      <c r="E1000" s="491" t="n"/>
      <c r="F1000" s="491" t="n"/>
      <c r="G1000" s="491" t="n"/>
      <c r="H1000" s="491" t="n"/>
      <c r="I1000" s="491" t="n"/>
      <c r="J1000" s="491" t="n"/>
      <c r="K1000" s="491" t="n"/>
      <c r="L1000" s="491" t="n"/>
      <c r="M1000" s="491" t="n"/>
      <c r="N1000" s="491" t="n"/>
      <c r="O1000" s="491" t="n"/>
      <c r="P1000" s="491" t="n"/>
      <c r="Q1000" s="491" t="n"/>
      <c r="R1000" s="491" t="n"/>
      <c r="S1000" s="491" t="n"/>
      <c r="T1000" s="491" t="n"/>
      <c r="U1000" s="491" t="n"/>
      <c r="V1000" s="491" t="n"/>
      <c r="W1000" s="491" t="n"/>
      <c r="X1000" s="491" t="n"/>
      <c r="Y1000" s="491" t="n"/>
    </row>
    <row r="1001" ht="12.75" customHeight="1" s="398">
      <c r="A1001" s="491" t="n"/>
      <c r="B1001" s="491" t="n"/>
      <c r="C1001" s="491" t="n"/>
      <c r="D1001" s="491" t="n"/>
      <c r="E1001" s="491" t="n"/>
      <c r="F1001" s="491" t="n"/>
      <c r="G1001" s="491" t="n"/>
      <c r="H1001" s="491" t="n"/>
      <c r="I1001" s="491" t="n"/>
      <c r="J1001" s="491" t="n"/>
      <c r="K1001" s="491" t="n"/>
      <c r="L1001" s="491" t="n"/>
      <c r="M1001" s="491" t="n"/>
      <c r="N1001" s="491" t="n"/>
      <c r="O1001" s="491" t="n"/>
      <c r="P1001" s="491" t="n"/>
      <c r="Q1001" s="491" t="n"/>
      <c r="R1001" s="491" t="n"/>
      <c r="S1001" s="491" t="n"/>
      <c r="T1001" s="491" t="n"/>
      <c r="U1001" s="491" t="n"/>
      <c r="V1001" s="491" t="n"/>
      <c r="W1001" s="491" t="n"/>
      <c r="X1001" s="491" t="n"/>
      <c r="Y1001" s="491" t="n"/>
    </row>
    <row r="1002" ht="12.75" customHeight="1" s="398">
      <c r="A1002" s="491" t="n"/>
      <c r="B1002" s="491" t="n"/>
      <c r="C1002" s="491" t="n"/>
      <c r="D1002" s="491" t="n"/>
      <c r="E1002" s="491" t="n"/>
      <c r="F1002" s="491" t="n"/>
      <c r="G1002" s="491" t="n"/>
      <c r="H1002" s="491" t="n"/>
      <c r="I1002" s="491" t="n"/>
      <c r="J1002" s="491" t="n"/>
      <c r="K1002" s="491" t="n"/>
      <c r="L1002" s="491" t="n"/>
      <c r="M1002" s="491" t="n"/>
      <c r="N1002" s="491" t="n"/>
      <c r="O1002" s="491" t="n"/>
      <c r="P1002" s="491" t="n"/>
      <c r="Q1002" s="491" t="n"/>
      <c r="R1002" s="491" t="n"/>
      <c r="S1002" s="491" t="n"/>
      <c r="T1002" s="491" t="n"/>
      <c r="U1002" s="491" t="n"/>
      <c r="V1002" s="491" t="n"/>
      <c r="W1002" s="491" t="n"/>
      <c r="X1002" s="491" t="n"/>
      <c r="Y1002" s="491" t="n"/>
    </row>
  </sheetData>
  <mergeCells count="3">
    <mergeCell ref="C3:N3"/>
    <mergeCell ref="C2:O2"/>
    <mergeCell ref="F41:R67"/>
  </mergeCells>
  <conditionalFormatting sqref="C7:O10 C13:O16 C19:O22 C25:O26 C29:O30 C33:O34">
    <cfRule type="cellIs" priority="1" operator="between" dxfId="1">
      <formula>0</formula>
      <formula>-10000000000000000000</formula>
    </cfRule>
    <cfRule type="cellIs" priority="2" operator="between" dxfId="0">
      <formula>0</formula>
      <formula>1E+23</formula>
    </cfRule>
  </conditionalFormatting>
  <printOptions horizontalCentered="1" gridLines="1"/>
  <pageMargins left="0.25" right="0.25" top="0.75" bottom="0.75" header="0" footer="0"/>
  <pageSetup orientation="landscape" paperSize="9" fitToHeight="0" pageOrder="overThenDown" cellComments="atEnd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Q975"/>
  <sheetViews>
    <sheetView workbookViewId="0">
      <selection activeCell="K21" sqref="K21"/>
    </sheetView>
  </sheetViews>
  <sheetFormatPr baseColWidth="8" defaultColWidth="12.7109375" defaultRowHeight="15" customHeight="1"/>
  <cols>
    <col width="7.140625" customWidth="1" style="398" min="1" max="1"/>
    <col width="9" customWidth="1" style="398" min="2" max="2"/>
    <col width="15.42578125" customWidth="1" style="398" min="3" max="3"/>
    <col width="11.42578125" customWidth="1" style="398" min="4" max="7"/>
    <col width="12.28515625" customWidth="1" style="398" min="8" max="8"/>
    <col width="1.7109375" customWidth="1" style="398" min="9" max="9"/>
    <col width="7.140625" customWidth="1" style="398" min="10" max="10"/>
    <col width="9" customWidth="1" style="398" min="11" max="11"/>
    <col width="11.28515625" customWidth="1" style="398" min="12" max="17"/>
  </cols>
  <sheetData>
    <row r="1" ht="14.25" customHeight="1" s="398">
      <c r="A1" s="511" t="inlineStr">
        <is>
          <t>PROJEÇÃO</t>
        </is>
      </c>
      <c r="I1" s="27" t="n"/>
      <c r="J1" s="511" t="inlineStr">
        <is>
          <t>REALIZADO</t>
        </is>
      </c>
    </row>
    <row r="2" ht="27.6" customHeight="1" s="398">
      <c r="A2" s="28" t="inlineStr">
        <is>
          <t>ANO</t>
        </is>
      </c>
      <c r="B2" s="28" t="inlineStr">
        <is>
          <t>MÊS</t>
        </is>
      </c>
      <c r="C2" s="28" t="inlineStr">
        <is>
          <t>SALDO ANTERIOR</t>
        </is>
      </c>
      <c r="D2" s="28" t="inlineStr">
        <is>
          <t>COTA</t>
        </is>
      </c>
      <c r="E2" s="28" t="inlineStr">
        <is>
          <t>ESTAC</t>
        </is>
      </c>
      <c r="F2" s="28" t="inlineStr">
        <is>
          <t>REUNIÕES</t>
        </is>
      </c>
      <c r="G2" s="28" t="inlineStr">
        <is>
          <t>DESPESA</t>
        </is>
      </c>
      <c r="H2" s="28" t="inlineStr">
        <is>
          <t>CFTV</t>
        </is>
      </c>
      <c r="I2" s="29" t="n"/>
      <c r="J2" s="28" t="inlineStr">
        <is>
          <t>ANO</t>
        </is>
      </c>
      <c r="K2" s="28" t="inlineStr">
        <is>
          <t>MÊS</t>
        </is>
      </c>
      <c r="L2" s="28" t="inlineStr">
        <is>
          <t>SALDO ANTERIOR</t>
        </is>
      </c>
      <c r="M2" s="28" t="inlineStr">
        <is>
          <t>RECEITA COTA</t>
        </is>
      </c>
      <c r="N2" s="28" t="inlineStr">
        <is>
          <t>ESTAC</t>
        </is>
      </c>
      <c r="O2" s="28" t="inlineStr">
        <is>
          <t>REUNIÕES</t>
        </is>
      </c>
      <c r="P2" s="28" t="inlineStr">
        <is>
          <t>DESPESA</t>
        </is>
      </c>
      <c r="Q2" s="28" t="inlineStr">
        <is>
          <t>CFTV</t>
        </is>
      </c>
    </row>
    <row r="3" ht="27.6" customHeight="1" s="398">
      <c r="A3" s="512" t="n">
        <v>2023</v>
      </c>
      <c r="B3" s="30" t="inlineStr">
        <is>
          <t>março</t>
        </is>
      </c>
      <c r="C3" s="513" t="n">
        <v>713969.29</v>
      </c>
      <c r="D3" s="513" t="n">
        <v>151804.81</v>
      </c>
      <c r="E3" s="513" t="n">
        <v>8000</v>
      </c>
      <c r="F3" s="513" t="n">
        <v>4000</v>
      </c>
      <c r="G3" s="513" t="n">
        <v>-180000</v>
      </c>
      <c r="H3" s="513" t="n">
        <v>-24587.5</v>
      </c>
      <c r="I3" s="27" t="n"/>
      <c r="J3" s="514" t="n">
        <v>2023</v>
      </c>
      <c r="K3" s="30" t="inlineStr">
        <is>
          <t>março</t>
        </is>
      </c>
      <c r="L3" s="515" t="n">
        <v>713969.29</v>
      </c>
      <c r="M3" s="513" t="n">
        <v>247222.65</v>
      </c>
      <c r="N3" s="515" t="n">
        <v>9209.51</v>
      </c>
      <c r="O3" s="513" t="n">
        <v>4610.33</v>
      </c>
      <c r="P3" s="515">
        <f>-280799.27</f>
        <v/>
      </c>
      <c r="Q3" s="513" t="inlineStr">
        <is>
          <t>-</t>
        </is>
      </c>
    </row>
    <row r="4" ht="14.25" customHeight="1" s="398">
      <c r="B4" s="30" t="inlineStr">
        <is>
          <t>abril</t>
        </is>
      </c>
      <c r="C4" s="513">
        <f>SUM(C3:H3)</f>
        <v/>
      </c>
      <c r="D4" s="513" t="n">
        <v>151804.81</v>
      </c>
      <c r="E4" s="513" t="n">
        <v>8000</v>
      </c>
      <c r="F4" s="513" t="n">
        <v>4000</v>
      </c>
      <c r="G4" s="513" t="n">
        <v>-180000</v>
      </c>
      <c r="H4" s="513" t="n">
        <v>-24587.5</v>
      </c>
      <c r="I4" s="27" t="n"/>
      <c r="K4" s="30" t="inlineStr">
        <is>
          <t>abril</t>
        </is>
      </c>
      <c r="L4" s="515">
        <f>SUM(L3:Q3)</f>
        <v/>
      </c>
      <c r="M4" s="513" t="n">
        <v>186460.07</v>
      </c>
      <c r="N4" s="515" t="n">
        <v>9223.98</v>
      </c>
      <c r="O4" s="513" t="n">
        <v>2013.78</v>
      </c>
      <c r="P4" s="515" t="n">
        <v>-220454.15</v>
      </c>
      <c r="Q4" s="513" t="inlineStr">
        <is>
          <t>-</t>
        </is>
      </c>
    </row>
    <row r="5" ht="14.25" customHeight="1" s="398">
      <c r="B5" s="30" t="inlineStr">
        <is>
          <t>maio</t>
        </is>
      </c>
      <c r="C5" s="513">
        <f>SUM(C4:H4)</f>
        <v/>
      </c>
      <c r="D5" s="513" t="n">
        <v>151804.81</v>
      </c>
      <c r="E5" s="513" t="n">
        <v>8000</v>
      </c>
      <c r="F5" s="513" t="n">
        <v>4000</v>
      </c>
      <c r="G5" s="513" t="n">
        <v>-180000</v>
      </c>
      <c r="H5" s="513" t="n">
        <v>-24587.5</v>
      </c>
      <c r="I5" s="27" t="n"/>
      <c r="K5" s="30" t="inlineStr">
        <is>
          <t>maio</t>
        </is>
      </c>
      <c r="L5" s="515">
        <f>SUM(L4:Q4)</f>
        <v/>
      </c>
      <c r="M5" s="513" t="n">
        <v>213554.72</v>
      </c>
      <c r="N5" s="515" t="n">
        <v>10032</v>
      </c>
      <c r="O5" s="513" t="n">
        <v>10937.99</v>
      </c>
      <c r="P5" s="515">
        <f>-225371.9+32.58</f>
        <v/>
      </c>
      <c r="Q5" s="513" t="n"/>
    </row>
    <row r="6" ht="14.25" customHeight="1" s="398">
      <c r="B6" s="30" t="inlineStr">
        <is>
          <t>junho</t>
        </is>
      </c>
      <c r="C6" s="513">
        <f>SUM(C5:H5)</f>
        <v/>
      </c>
      <c r="D6" s="513" t="n">
        <v>151804.81</v>
      </c>
      <c r="E6" s="513" t="n">
        <v>8000</v>
      </c>
      <c r="F6" s="513" t="n">
        <v>4000</v>
      </c>
      <c r="G6" s="513" t="n">
        <v>-180000</v>
      </c>
      <c r="H6" s="513" t="n">
        <v>-24587.5</v>
      </c>
      <c r="I6" s="27" t="n"/>
      <c r="K6" s="30" t="inlineStr">
        <is>
          <t>junho</t>
        </is>
      </c>
      <c r="L6" s="515">
        <f>SUM(L5:Q5)</f>
        <v/>
      </c>
      <c r="M6" s="513" t="n">
        <v>195997.96</v>
      </c>
      <c r="N6" s="515" t="n">
        <v>10659</v>
      </c>
      <c r="O6" s="513" t="n">
        <v>6455.07</v>
      </c>
      <c r="P6" s="515" t="n">
        <v>-330027.28</v>
      </c>
      <c r="Q6" s="513" t="n"/>
    </row>
    <row r="7" ht="14.25" customHeight="1" s="398">
      <c r="B7" s="30" t="inlineStr">
        <is>
          <t>julho</t>
        </is>
      </c>
      <c r="C7" s="513">
        <f>SUM(C6:H6)</f>
        <v/>
      </c>
      <c r="D7" s="513" t="n">
        <v>151804.81</v>
      </c>
      <c r="E7" s="513" t="n">
        <v>8000</v>
      </c>
      <c r="F7" s="513" t="n">
        <v>4000</v>
      </c>
      <c r="G7" s="513" t="n">
        <v>-180000</v>
      </c>
      <c r="H7" s="513" t="n"/>
      <c r="I7" s="27" t="n"/>
      <c r="K7" s="30" t="inlineStr">
        <is>
          <t>julho</t>
        </is>
      </c>
      <c r="L7" s="515">
        <f>SUM(L6:Q6)</f>
        <v/>
      </c>
      <c r="M7" s="513" t="n">
        <v>206150.02</v>
      </c>
      <c r="N7" s="515" t="n">
        <v>9823</v>
      </c>
      <c r="O7" s="513" t="n">
        <v>7054.92</v>
      </c>
      <c r="P7" s="515" t="n">
        <v>-205048.42</v>
      </c>
      <c r="Q7" s="513" t="n"/>
    </row>
    <row r="8" ht="14.25" customHeight="1" s="398">
      <c r="B8" s="30" t="inlineStr">
        <is>
          <t>agosto</t>
        </is>
      </c>
      <c r="C8" s="513">
        <f>SUM(C7:H7)</f>
        <v/>
      </c>
      <c r="D8" s="513" t="n">
        <v>151804.81</v>
      </c>
      <c r="E8" s="513" t="n">
        <v>8000</v>
      </c>
      <c r="F8" s="513" t="n">
        <v>4000</v>
      </c>
      <c r="G8" s="513" t="n">
        <v>-180000</v>
      </c>
      <c r="H8" s="513" t="n"/>
      <c r="I8" s="27" t="n"/>
      <c r="K8" s="30" t="inlineStr">
        <is>
          <t>agosto</t>
        </is>
      </c>
      <c r="L8" s="515">
        <f>SUM(L7:Q7)</f>
        <v/>
      </c>
      <c r="M8" s="513" t="n">
        <v>185455.19</v>
      </c>
      <c r="N8" s="515" t="n">
        <v>10063.63</v>
      </c>
      <c r="O8" s="513" t="n">
        <v>9392.139999999999</v>
      </c>
      <c r="P8" s="515" t="n">
        <v>-232839.25</v>
      </c>
      <c r="Q8" s="513" t="n"/>
    </row>
    <row r="9" ht="14.25" customHeight="1" s="398">
      <c r="B9" s="30" t="inlineStr">
        <is>
          <t>setembro</t>
        </is>
      </c>
      <c r="C9" s="513">
        <f>SUM(C8:H8)</f>
        <v/>
      </c>
      <c r="D9" s="513" t="n">
        <v>151804.81</v>
      </c>
      <c r="E9" s="513" t="n">
        <v>8000</v>
      </c>
      <c r="F9" s="513" t="n">
        <v>4000</v>
      </c>
      <c r="G9" s="513" t="n">
        <v>-180000</v>
      </c>
      <c r="H9" s="513" t="n"/>
      <c r="I9" s="27" t="n"/>
      <c r="K9" s="30" t="inlineStr">
        <is>
          <t>setembro</t>
        </is>
      </c>
      <c r="L9" s="515">
        <f>SUM(L8:Q8)</f>
        <v/>
      </c>
      <c r="M9" s="513" t="n">
        <v>195221.23</v>
      </c>
      <c r="N9" s="515" t="n">
        <v>11085.98</v>
      </c>
      <c r="O9" s="513" t="n">
        <v>6262.68</v>
      </c>
      <c r="P9" s="515" t="n">
        <v>-235181.24</v>
      </c>
      <c r="Q9" s="513" t="n"/>
    </row>
    <row r="10" ht="14.25" customHeight="1" s="398">
      <c r="B10" s="30" t="inlineStr">
        <is>
          <t>outubro</t>
        </is>
      </c>
      <c r="C10" s="513">
        <f>SUM(C9:H9)</f>
        <v/>
      </c>
      <c r="D10" s="513" t="n">
        <v>151804.81</v>
      </c>
      <c r="E10" s="513" t="n">
        <v>8000</v>
      </c>
      <c r="F10" s="513" t="n">
        <v>4000</v>
      </c>
      <c r="G10" s="513" t="n">
        <v>-180000</v>
      </c>
      <c r="H10" s="513" t="n"/>
      <c r="I10" s="27" t="n"/>
      <c r="K10" s="30" t="inlineStr">
        <is>
          <t>outubro</t>
        </is>
      </c>
      <c r="L10" s="515">
        <f>SUM(L9:Q9)</f>
        <v/>
      </c>
      <c r="M10" s="513" t="n">
        <v>188175.79</v>
      </c>
      <c r="N10" s="515" t="n">
        <v>12976.85</v>
      </c>
      <c r="O10" s="513" t="n">
        <v>8525</v>
      </c>
      <c r="P10" s="515" t="n">
        <v>-225452.4</v>
      </c>
      <c r="Q10" s="513" t="n"/>
    </row>
    <row r="11" ht="14.25" customHeight="1" s="398">
      <c r="B11" s="30" t="inlineStr">
        <is>
          <t>novembro</t>
        </is>
      </c>
      <c r="C11" s="513">
        <f>SUM(C10:H10)</f>
        <v/>
      </c>
      <c r="D11" s="513" t="n">
        <v>151804.81</v>
      </c>
      <c r="E11" s="513" t="n">
        <v>8000</v>
      </c>
      <c r="F11" s="513" t="n">
        <v>4000</v>
      </c>
      <c r="G11" s="513" t="n">
        <v>-180000</v>
      </c>
      <c r="H11" s="513" t="n"/>
      <c r="I11" s="27" t="n"/>
      <c r="K11" s="30" t="inlineStr">
        <is>
          <t>novembro</t>
        </is>
      </c>
      <c r="L11" s="515">
        <f>SUM(L10:Q10)</f>
        <v/>
      </c>
      <c r="M11" s="513" t="n">
        <v>187343.88</v>
      </c>
      <c r="N11" s="515" t="n">
        <v>10464.09</v>
      </c>
      <c r="O11" s="513" t="n">
        <v>4275</v>
      </c>
      <c r="P11" s="515" t="n">
        <v>-229692.8</v>
      </c>
      <c r="Q11" s="513" t="n"/>
    </row>
    <row r="12" ht="14.25" customHeight="1" s="398">
      <c r="B12" s="30" t="inlineStr">
        <is>
          <t>dezembro</t>
        </is>
      </c>
      <c r="C12" s="513">
        <f>SUM(C11:H11)</f>
        <v/>
      </c>
      <c r="D12" s="513" t="n">
        <v>151804.81</v>
      </c>
      <c r="E12" s="513" t="n">
        <v>8000</v>
      </c>
      <c r="F12" s="513" t="n">
        <v>4000</v>
      </c>
      <c r="G12" s="513" t="n">
        <v>-180000</v>
      </c>
      <c r="H12" s="513" t="n"/>
      <c r="I12" s="27" t="n"/>
      <c r="K12" s="30" t="inlineStr">
        <is>
          <t>dezembro</t>
        </is>
      </c>
      <c r="L12" s="515">
        <f>SUM(L11:Q11)</f>
        <v/>
      </c>
      <c r="M12" s="513" t="n">
        <v>187237.82</v>
      </c>
      <c r="N12" s="515" t="n">
        <v>13191.01</v>
      </c>
      <c r="O12" s="513" t="n">
        <v>7868.08</v>
      </c>
      <c r="P12" s="515" t="n">
        <v>-222526.71</v>
      </c>
      <c r="Q12" s="513" t="n"/>
    </row>
    <row r="13" ht="14.25" customHeight="1" s="398">
      <c r="A13" s="512" t="n">
        <v>2024</v>
      </c>
      <c r="B13" s="30" t="inlineStr">
        <is>
          <t>janeiro</t>
        </is>
      </c>
      <c r="C13" s="513">
        <f>SUM(C12:H12)</f>
        <v/>
      </c>
      <c r="D13" s="513" t="n">
        <v>151804.81</v>
      </c>
      <c r="E13" s="513" t="n">
        <v>8000</v>
      </c>
      <c r="F13" s="513" t="n">
        <v>4000</v>
      </c>
      <c r="G13" s="513" t="n">
        <v>-180000</v>
      </c>
      <c r="H13" s="513" t="n"/>
      <c r="I13" s="27" t="n"/>
      <c r="J13" s="514" t="n">
        <v>2024</v>
      </c>
      <c r="K13" s="30" t="inlineStr">
        <is>
          <t>janeiro</t>
        </is>
      </c>
      <c r="L13" s="515">
        <f>SUM(L12:Q12)</f>
        <v/>
      </c>
      <c r="M13" s="513" t="n">
        <v>186984.33</v>
      </c>
      <c r="N13" s="515" t="n">
        <v>12974.53</v>
      </c>
      <c r="O13" s="513" t="n">
        <v>10441.69</v>
      </c>
      <c r="P13" s="515" t="n">
        <v>-258452.21</v>
      </c>
      <c r="Q13" s="513" t="n"/>
    </row>
    <row r="14" ht="14.25" customHeight="1" s="398">
      <c r="B14" s="30" t="inlineStr">
        <is>
          <t>fevereiro</t>
        </is>
      </c>
      <c r="C14" s="513">
        <f>SUM(C13:H13)</f>
        <v/>
      </c>
      <c r="D14" s="513" t="n">
        <v>151804.81</v>
      </c>
      <c r="E14" s="513" t="n">
        <v>8000</v>
      </c>
      <c r="F14" s="513" t="n">
        <v>4000</v>
      </c>
      <c r="G14" s="513" t="n">
        <v>-180000</v>
      </c>
      <c r="H14" s="513" t="n"/>
      <c r="I14" s="27" t="n"/>
      <c r="K14" s="30" t="inlineStr">
        <is>
          <t>fevereiro</t>
        </is>
      </c>
      <c r="L14" s="515">
        <f>SUM(L13:Q13)</f>
        <v/>
      </c>
      <c r="M14" s="513" t="n">
        <v>189944.3</v>
      </c>
      <c r="N14" s="515" t="n">
        <v>12967.7</v>
      </c>
      <c r="O14" s="513" t="n">
        <v>7628.77</v>
      </c>
      <c r="P14" s="515" t="n">
        <v>-239604.92</v>
      </c>
      <c r="Q14" s="513" t="n"/>
    </row>
    <row r="15" ht="14.25" customHeight="1" s="398">
      <c r="B15" s="30" t="inlineStr">
        <is>
          <t>março</t>
        </is>
      </c>
      <c r="C15" s="516">
        <f>SUM(C14:H14)</f>
        <v/>
      </c>
      <c r="D15" s="513" t="inlineStr">
        <is>
          <t>-</t>
        </is>
      </c>
      <c r="E15" s="513" t="inlineStr">
        <is>
          <t>-</t>
        </is>
      </c>
      <c r="F15" s="513" t="inlineStr">
        <is>
          <t>-</t>
        </is>
      </c>
      <c r="G15" s="513" t="n">
        <v>-180000</v>
      </c>
      <c r="H15" s="513" t="n"/>
      <c r="I15" s="27" t="n"/>
      <c r="K15" s="30" t="inlineStr">
        <is>
          <t>março</t>
        </is>
      </c>
      <c r="L15" s="517">
        <f>SUM(L14:Q14)</f>
        <v/>
      </c>
      <c r="M15" s="513" t="n"/>
      <c r="N15" s="515" t="n"/>
      <c r="O15" s="513" t="n"/>
      <c r="P15" s="515" t="n"/>
      <c r="Q15" s="513" t="n"/>
    </row>
    <row r="16" ht="14.25" customHeight="1" s="398">
      <c r="A16" s="511" t="n"/>
      <c r="C16" s="518" t="n"/>
      <c r="I16" s="27" t="n"/>
      <c r="J16" s="511" t="n"/>
      <c r="L16" s="518" t="n"/>
    </row>
    <row r="17" ht="14.25" customHeight="1" s="398">
      <c r="A17" s="35" t="n"/>
      <c r="B17" s="35" t="n"/>
      <c r="C17" s="35" t="n"/>
      <c r="D17" s="35" t="n"/>
      <c r="E17" s="35" t="n"/>
      <c r="F17" s="35" t="n"/>
      <c r="G17" s="35" t="n"/>
      <c r="H17" s="35" t="n"/>
      <c r="I17" s="27" t="n"/>
      <c r="J17" s="36" t="n"/>
      <c r="K17" s="36" t="n"/>
      <c r="L17" s="36" t="n"/>
      <c r="M17" s="36" t="n"/>
      <c r="N17" s="36" t="n"/>
      <c r="O17" s="36" t="n"/>
      <c r="P17" s="36" t="n"/>
      <c r="Q17" s="36" t="n"/>
    </row>
    <row r="18" ht="14.25" customHeight="1" s="398">
      <c r="A18" s="35" t="n"/>
      <c r="B18" s="35" t="n"/>
      <c r="C18" s="35" t="n"/>
      <c r="D18" s="35" t="n"/>
      <c r="E18" s="35" t="n"/>
      <c r="F18" s="35" t="n"/>
      <c r="G18" s="35" t="n"/>
      <c r="H18" s="35" t="n"/>
      <c r="I18" s="27" t="n"/>
      <c r="J18" s="35" t="n"/>
      <c r="K18" s="35" t="n"/>
      <c r="L18" s="35" t="n"/>
      <c r="M18" s="35" t="n"/>
      <c r="N18" s="35" t="n"/>
      <c r="O18" s="35" t="n"/>
      <c r="P18" s="35" t="n"/>
      <c r="Q18" s="35" t="n"/>
    </row>
    <row r="19" ht="14.25" customHeight="1" s="398">
      <c r="A19" s="35" t="n"/>
      <c r="B19" s="35" t="n"/>
      <c r="C19" s="35" t="n"/>
      <c r="D19" s="519">
        <f>C3-C15</f>
        <v/>
      </c>
      <c r="E19" s="35" t="n"/>
      <c r="F19" s="35" t="n"/>
      <c r="G19" s="35" t="n"/>
      <c r="H19" s="35" t="n"/>
      <c r="I19" s="27" t="n"/>
      <c r="J19" s="35" t="n"/>
      <c r="K19" s="35" t="n"/>
      <c r="L19" s="35" t="n"/>
      <c r="M19" s="35" t="n"/>
      <c r="N19" s="35" t="n"/>
      <c r="O19" s="35" t="n"/>
      <c r="P19" s="35" t="n"/>
      <c r="Q19" s="35" t="n"/>
    </row>
    <row r="20" ht="14.25" customHeight="1" s="398">
      <c r="A20" s="35" t="n"/>
      <c r="B20" s="35" t="n"/>
      <c r="C20" s="35" t="n"/>
      <c r="D20" s="35" t="n"/>
      <c r="E20" s="35" t="n"/>
      <c r="F20" s="35" t="n"/>
      <c r="G20" s="35" t="n"/>
      <c r="H20" s="35" t="n"/>
      <c r="I20" s="27" t="n"/>
      <c r="J20" s="35" t="n"/>
      <c r="K20" s="35" t="n"/>
      <c r="L20" s="35" t="n"/>
      <c r="M20" s="35" t="n"/>
      <c r="N20" s="35" t="n"/>
      <c r="O20" s="35" t="n"/>
      <c r="P20" s="35" t="n"/>
      <c r="Q20" s="35" t="n"/>
    </row>
    <row r="21" ht="14.25" customHeight="1" s="398">
      <c r="A21" s="35" t="n"/>
      <c r="B21" s="35" t="n"/>
      <c r="C21" s="35" t="n"/>
      <c r="D21" s="35" t="n"/>
      <c r="E21" s="35" t="n"/>
      <c r="F21" s="35" t="n"/>
      <c r="G21" s="35" t="n"/>
      <c r="H21" s="35" t="n"/>
      <c r="I21" s="27" t="n"/>
      <c r="J21" s="35" t="n"/>
      <c r="K21" s="35" t="n"/>
      <c r="L21" s="35" t="n"/>
      <c r="M21" s="35" t="n"/>
      <c r="N21" s="35" t="n"/>
      <c r="O21" s="35" t="n"/>
      <c r="P21" s="35" t="n"/>
      <c r="Q21" s="35" t="n"/>
    </row>
    <row r="22" ht="14.25" customHeight="1" s="398">
      <c r="A22" s="35" t="n"/>
      <c r="B22" s="35" t="n"/>
      <c r="C22" s="35" t="n"/>
      <c r="D22" s="35" t="n"/>
      <c r="E22" s="35" t="n"/>
      <c r="F22" s="35" t="n"/>
      <c r="G22" s="35" t="n"/>
      <c r="H22" s="35" t="n"/>
      <c r="I22" s="27" t="n"/>
      <c r="J22" s="35" t="n"/>
      <c r="K22" s="35" t="n"/>
      <c r="L22" s="35" t="n"/>
      <c r="M22" s="35" t="n"/>
      <c r="N22" s="35" t="n"/>
      <c r="O22" s="35" t="n"/>
      <c r="P22" s="35" t="n"/>
      <c r="Q22" s="35" t="n"/>
    </row>
    <row r="23" ht="14.25" customHeight="1" s="398">
      <c r="A23" s="35" t="n"/>
      <c r="B23" s="35" t="n"/>
      <c r="C23" s="35" t="n"/>
      <c r="D23" s="35" t="n"/>
      <c r="E23" s="35" t="n"/>
      <c r="F23" s="35" t="n"/>
      <c r="G23" s="35" t="n"/>
      <c r="H23" s="35" t="n"/>
      <c r="I23" s="27" t="n"/>
      <c r="J23" s="35" t="n"/>
      <c r="K23" s="35" t="n"/>
      <c r="L23" s="35" t="n"/>
      <c r="M23" s="35" t="n"/>
      <c r="N23" s="35" t="n"/>
      <c r="O23" s="35" t="n"/>
      <c r="P23" s="35" t="n"/>
      <c r="Q23" s="35" t="n"/>
    </row>
    <row r="24" ht="14.25" customHeight="1" s="398">
      <c r="A24" s="35" t="n"/>
      <c r="B24" s="35" t="n"/>
      <c r="C24" s="35" t="n"/>
      <c r="D24" s="35" t="n"/>
      <c r="E24" s="35" t="n"/>
      <c r="F24" s="35" t="n"/>
      <c r="G24" s="35" t="n"/>
      <c r="H24" s="35" t="n"/>
      <c r="I24" s="27" t="n"/>
      <c r="J24" s="35" t="n"/>
      <c r="K24" s="35" t="n"/>
      <c r="L24" s="35" t="n"/>
      <c r="M24" s="35" t="n"/>
      <c r="N24" s="35" t="n"/>
      <c r="O24" s="35" t="n"/>
      <c r="P24" s="35" t="n"/>
      <c r="Q24" s="35" t="n"/>
    </row>
    <row r="25" ht="14.25" customHeight="1" s="398">
      <c r="A25" s="35" t="n"/>
      <c r="B25" s="35" t="n"/>
      <c r="C25" s="35" t="n"/>
      <c r="D25" s="35" t="n"/>
      <c r="E25" s="35" t="n"/>
      <c r="F25" s="35" t="n"/>
      <c r="G25" s="35" t="n"/>
      <c r="H25" s="35" t="n"/>
      <c r="I25" s="27" t="n"/>
      <c r="J25" s="35" t="n"/>
      <c r="K25" s="35" t="n"/>
      <c r="L25" s="35" t="n"/>
      <c r="M25" s="35" t="n"/>
      <c r="N25" s="35" t="n"/>
      <c r="O25" s="35" t="n"/>
      <c r="P25" s="35" t="n"/>
      <c r="Q25" s="35" t="n"/>
    </row>
    <row r="26" ht="14.25" customHeight="1" s="398">
      <c r="A26" s="35" t="n"/>
      <c r="B26" s="35" t="n"/>
      <c r="C26" s="35" t="n"/>
      <c r="D26" s="35" t="n"/>
      <c r="E26" s="35" t="n"/>
      <c r="F26" s="35" t="n"/>
      <c r="G26" s="35" t="n"/>
      <c r="H26" s="35" t="n"/>
      <c r="I26" s="27" t="n"/>
      <c r="J26" s="35" t="n"/>
      <c r="K26" s="35" t="n"/>
      <c r="L26" s="35" t="n"/>
      <c r="M26" s="35" t="n"/>
      <c r="N26" s="35" t="n"/>
      <c r="O26" s="35" t="n"/>
      <c r="P26" s="35" t="n"/>
      <c r="Q26" s="35" t="n"/>
    </row>
    <row r="27" ht="14.25" customHeight="1" s="398">
      <c r="A27" s="35" t="n"/>
      <c r="B27" s="35" t="n"/>
      <c r="C27" s="35" t="n"/>
      <c r="D27" s="35" t="n"/>
      <c r="E27" s="35" t="n"/>
      <c r="F27" s="35" t="n"/>
      <c r="G27" s="35" t="n"/>
      <c r="H27" s="35" t="n"/>
      <c r="I27" s="27" t="n"/>
      <c r="J27" s="35" t="n"/>
      <c r="K27" s="35" t="n"/>
      <c r="L27" s="35" t="n"/>
      <c r="M27" s="35" t="n"/>
      <c r="N27" s="35" t="n"/>
      <c r="O27" s="35" t="n"/>
      <c r="P27" s="35" t="n"/>
      <c r="Q27" s="35" t="n"/>
    </row>
    <row r="28" ht="14.25" customHeight="1" s="398">
      <c r="A28" s="35" t="n"/>
      <c r="B28" s="35" t="n"/>
      <c r="C28" s="35" t="n"/>
      <c r="D28" s="35" t="n"/>
      <c r="E28" s="35" t="n"/>
      <c r="F28" s="35" t="n"/>
      <c r="G28" s="35" t="n"/>
      <c r="H28" s="35" t="n"/>
      <c r="I28" s="27" t="n"/>
      <c r="J28" s="35" t="n"/>
      <c r="K28" s="35" t="n"/>
      <c r="L28" s="35" t="n"/>
      <c r="M28" s="35" t="n"/>
      <c r="N28" s="35" t="n"/>
      <c r="O28" s="35" t="n"/>
      <c r="P28" s="35" t="n"/>
      <c r="Q28" s="35" t="n"/>
    </row>
    <row r="29" ht="14.25" customHeight="1" s="398">
      <c r="A29" s="35" t="n"/>
      <c r="B29" s="35" t="n"/>
      <c r="C29" s="35" t="n"/>
      <c r="D29" s="35" t="n"/>
      <c r="E29" s="35" t="n"/>
      <c r="F29" s="35" t="n"/>
      <c r="G29" s="35" t="n"/>
      <c r="H29" s="35" t="n"/>
      <c r="I29" s="27" t="n"/>
      <c r="J29" s="35" t="n"/>
      <c r="K29" s="35" t="n"/>
      <c r="L29" s="35" t="n"/>
      <c r="M29" s="35" t="n"/>
      <c r="N29" s="35" t="n"/>
      <c r="O29" s="35" t="n"/>
      <c r="P29" s="35" t="n"/>
      <c r="Q29" s="35" t="n"/>
    </row>
    <row r="30" ht="14.25" customHeight="1" s="398">
      <c r="A30" s="35" t="n"/>
      <c r="B30" s="35" t="n"/>
      <c r="C30" s="35" t="n"/>
      <c r="D30" s="35" t="n"/>
      <c r="E30" s="35" t="n"/>
      <c r="F30" s="35" t="n"/>
      <c r="G30" s="35" t="n"/>
      <c r="H30" s="35" t="n"/>
      <c r="I30" s="27" t="n"/>
      <c r="J30" s="35" t="n"/>
      <c r="K30" s="35" t="n"/>
      <c r="L30" s="35" t="n"/>
      <c r="M30" s="35" t="n"/>
      <c r="N30" s="35" t="n"/>
      <c r="O30" s="35" t="n"/>
      <c r="P30" s="35" t="n"/>
      <c r="Q30" s="35" t="n"/>
    </row>
    <row r="31" ht="14.25" customHeight="1" s="398">
      <c r="A31" s="35" t="n"/>
      <c r="B31" s="35" t="n"/>
      <c r="C31" s="35" t="n"/>
      <c r="D31" s="35" t="n"/>
      <c r="E31" s="35" t="n"/>
      <c r="F31" s="35" t="n"/>
      <c r="G31" s="35" t="n"/>
      <c r="H31" s="35" t="n"/>
      <c r="I31" s="27" t="n"/>
      <c r="J31" s="35" t="n"/>
      <c r="K31" s="35" t="n"/>
      <c r="L31" s="35" t="n"/>
      <c r="M31" s="35" t="n"/>
      <c r="N31" s="35" t="n"/>
      <c r="O31" s="35" t="n"/>
      <c r="P31" s="35" t="n"/>
      <c r="Q31" s="35" t="n"/>
    </row>
    <row r="32" ht="14.25" customHeight="1" s="398">
      <c r="A32" s="35" t="n"/>
      <c r="B32" s="35" t="n"/>
      <c r="C32" s="35" t="n"/>
      <c r="D32" s="35" t="n"/>
      <c r="E32" s="35" t="n"/>
      <c r="F32" s="35" t="n"/>
      <c r="G32" s="35" t="n"/>
      <c r="H32" s="35" t="n"/>
      <c r="I32" s="27" t="n"/>
      <c r="J32" s="35" t="n"/>
      <c r="K32" s="35" t="n"/>
      <c r="L32" s="35" t="n"/>
      <c r="M32" s="35" t="n"/>
      <c r="N32" s="35" t="n"/>
      <c r="O32" s="35" t="n"/>
      <c r="P32" s="35" t="n"/>
      <c r="Q32" s="35" t="n"/>
    </row>
    <row r="33" ht="14.25" customHeight="1" s="398">
      <c r="A33" s="35" t="n"/>
      <c r="B33" s="35" t="n"/>
      <c r="C33" s="35" t="n"/>
      <c r="D33" s="35" t="n"/>
      <c r="E33" s="35" t="n"/>
      <c r="F33" s="35" t="n"/>
      <c r="G33" s="35" t="n"/>
      <c r="H33" s="35" t="n"/>
      <c r="I33" s="27" t="n"/>
      <c r="J33" s="35" t="n"/>
      <c r="K33" s="35" t="n"/>
      <c r="L33" s="35" t="n"/>
      <c r="M33" s="35" t="n"/>
      <c r="N33" s="35" t="n"/>
      <c r="O33" s="35" t="n"/>
      <c r="P33" s="35" t="n"/>
      <c r="Q33" s="35" t="n"/>
    </row>
    <row r="34" ht="14.25" customHeight="1" s="398">
      <c r="A34" s="35" t="n"/>
      <c r="B34" s="35" t="n"/>
      <c r="C34" s="35" t="n"/>
      <c r="D34" s="35" t="n"/>
      <c r="E34" s="35" t="n"/>
      <c r="F34" s="35" t="n"/>
      <c r="G34" s="35" t="n"/>
      <c r="H34" s="35" t="n"/>
      <c r="I34" s="27" t="n"/>
      <c r="J34" s="35" t="n"/>
      <c r="K34" s="35" t="n"/>
      <c r="L34" s="35" t="n"/>
      <c r="M34" s="35" t="n"/>
      <c r="N34" s="35" t="n"/>
      <c r="O34" s="35" t="n"/>
      <c r="P34" s="35" t="n"/>
      <c r="Q34" s="35" t="n"/>
    </row>
    <row r="35" ht="14.25" customHeight="1" s="398">
      <c r="A35" s="35" t="n"/>
      <c r="B35" s="35" t="n"/>
      <c r="C35" s="35" t="n"/>
      <c r="D35" s="35" t="n"/>
      <c r="E35" s="35" t="n"/>
      <c r="F35" s="35" t="n"/>
      <c r="G35" s="35" t="n"/>
      <c r="H35" s="35" t="n"/>
      <c r="I35" s="27" t="n"/>
      <c r="J35" s="35" t="n"/>
      <c r="K35" s="35" t="n"/>
      <c r="L35" s="35" t="n"/>
      <c r="M35" s="35" t="n"/>
      <c r="N35" s="35" t="n"/>
      <c r="O35" s="35" t="n"/>
      <c r="P35" s="35" t="n"/>
      <c r="Q35" s="35" t="n"/>
    </row>
    <row r="36" ht="14.25" customHeight="1" s="398">
      <c r="A36" s="35" t="n"/>
      <c r="B36" s="35" t="n"/>
      <c r="C36" s="35" t="n"/>
      <c r="D36" s="35" t="n"/>
      <c r="E36" s="35" t="n"/>
      <c r="F36" s="35" t="n"/>
      <c r="G36" s="35" t="n"/>
      <c r="H36" s="35" t="n"/>
      <c r="I36" s="27" t="n"/>
      <c r="J36" s="35" t="n"/>
      <c r="K36" s="35" t="n"/>
      <c r="L36" s="35" t="n"/>
      <c r="M36" s="35" t="n"/>
      <c r="N36" s="35" t="n"/>
      <c r="O36" s="35" t="n"/>
      <c r="P36" s="35" t="n"/>
      <c r="Q36" s="35" t="n"/>
    </row>
    <row r="37" ht="14.25" customHeight="1" s="398">
      <c r="A37" s="35" t="n"/>
      <c r="B37" s="35" t="n"/>
      <c r="C37" s="35" t="n"/>
      <c r="D37" s="35" t="n"/>
      <c r="E37" s="35" t="n"/>
      <c r="F37" s="35" t="n"/>
      <c r="G37" s="35" t="n"/>
      <c r="H37" s="35" t="n"/>
      <c r="I37" s="27" t="n"/>
      <c r="J37" s="35" t="n"/>
      <c r="K37" s="35" t="n"/>
      <c r="L37" s="35" t="n"/>
      <c r="M37" s="35" t="n"/>
      <c r="N37" s="35" t="n"/>
      <c r="O37" s="35" t="n"/>
      <c r="P37" s="35" t="n"/>
      <c r="Q37" s="35" t="n"/>
    </row>
    <row r="38" ht="14.25" customHeight="1" s="398">
      <c r="A38" s="35" t="n"/>
      <c r="B38" s="35" t="n"/>
      <c r="C38" s="35" t="n"/>
      <c r="D38" s="35" t="n"/>
      <c r="E38" s="35" t="n"/>
      <c r="F38" s="35" t="n"/>
      <c r="G38" s="35" t="n"/>
      <c r="H38" s="35" t="n"/>
      <c r="I38" s="27" t="n"/>
      <c r="J38" s="35" t="n"/>
      <c r="K38" s="35" t="n"/>
      <c r="L38" s="35" t="n"/>
      <c r="M38" s="35" t="n"/>
      <c r="N38" s="35" t="n"/>
      <c r="O38" s="35" t="n"/>
      <c r="P38" s="35" t="n"/>
      <c r="Q38" s="35" t="n"/>
    </row>
    <row r="39" ht="14.25" customHeight="1" s="398">
      <c r="A39" s="35" t="n"/>
      <c r="B39" s="35" t="n"/>
      <c r="C39" s="35" t="n"/>
      <c r="D39" s="35" t="n"/>
      <c r="E39" s="35" t="n"/>
      <c r="F39" s="35" t="n"/>
      <c r="G39" s="35" t="n"/>
      <c r="H39" s="35" t="n"/>
      <c r="I39" s="27" t="n"/>
      <c r="J39" s="35" t="n"/>
      <c r="K39" s="35" t="n"/>
      <c r="L39" s="35" t="n"/>
      <c r="M39" s="35" t="n"/>
      <c r="N39" s="35" t="n"/>
      <c r="O39" s="35" t="n"/>
      <c r="P39" s="35" t="n"/>
      <c r="Q39" s="35" t="n"/>
    </row>
    <row r="40" ht="14.25" customHeight="1" s="398">
      <c r="A40" s="35" t="n"/>
      <c r="B40" s="35" t="n"/>
      <c r="C40" s="35" t="n"/>
      <c r="D40" s="35" t="n"/>
      <c r="E40" s="35" t="n"/>
      <c r="F40" s="35" t="n"/>
      <c r="G40" s="35" t="n"/>
      <c r="H40" s="35" t="n"/>
      <c r="I40" s="27" t="n"/>
      <c r="J40" s="35" t="n"/>
      <c r="K40" s="35" t="n"/>
      <c r="L40" s="35" t="n"/>
      <c r="M40" s="35" t="n"/>
      <c r="N40" s="35" t="n"/>
      <c r="O40" s="35" t="n"/>
      <c r="P40" s="35" t="n"/>
      <c r="Q40" s="35" t="n"/>
    </row>
    <row r="41" ht="14.25" customHeight="1" s="398">
      <c r="A41" s="35" t="n"/>
      <c r="B41" s="35" t="n"/>
      <c r="C41" s="35" t="n"/>
      <c r="D41" s="35" t="n"/>
      <c r="E41" s="35" t="n"/>
      <c r="F41" s="35" t="n"/>
      <c r="G41" s="35" t="n"/>
      <c r="H41" s="35" t="n"/>
      <c r="I41" s="27" t="n"/>
      <c r="J41" s="35" t="n"/>
      <c r="K41" s="35" t="n"/>
      <c r="L41" s="35" t="n"/>
      <c r="M41" s="35" t="n"/>
      <c r="N41" s="35" t="n"/>
      <c r="O41" s="35" t="n"/>
      <c r="P41" s="35" t="n"/>
      <c r="Q41" s="35" t="n"/>
    </row>
    <row r="42" ht="14.25" customHeight="1" s="398">
      <c r="A42" s="35" t="n"/>
      <c r="B42" s="35" t="n"/>
      <c r="C42" s="35" t="n"/>
      <c r="D42" s="35" t="n"/>
      <c r="E42" s="35" t="n"/>
      <c r="F42" s="35" t="n"/>
      <c r="G42" s="35" t="n"/>
      <c r="H42" s="35" t="n"/>
      <c r="I42" s="27" t="n"/>
      <c r="J42" s="35" t="n"/>
      <c r="K42" s="35" t="n"/>
      <c r="L42" s="35" t="n"/>
      <c r="M42" s="35" t="n"/>
      <c r="N42" s="35" t="n"/>
      <c r="O42" s="35" t="n"/>
      <c r="P42" s="35" t="n"/>
      <c r="Q42" s="35" t="n"/>
    </row>
    <row r="43" ht="14.25" customHeight="1" s="398">
      <c r="A43" s="35" t="n"/>
      <c r="B43" s="35" t="n"/>
      <c r="C43" s="35" t="n"/>
      <c r="D43" s="35" t="n"/>
      <c r="E43" s="35" t="n"/>
      <c r="F43" s="35" t="n"/>
      <c r="G43" s="35" t="n"/>
      <c r="H43" s="35" t="n"/>
      <c r="I43" s="27" t="n"/>
      <c r="J43" s="35" t="n"/>
      <c r="K43" s="35" t="n"/>
      <c r="L43" s="35" t="n"/>
      <c r="M43" s="35" t="n"/>
      <c r="N43" s="35" t="n"/>
      <c r="O43" s="35" t="n"/>
      <c r="P43" s="35" t="n"/>
      <c r="Q43" s="35" t="n"/>
    </row>
    <row r="44" ht="14.25" customHeight="1" s="398">
      <c r="A44" s="35" t="n"/>
      <c r="B44" s="35" t="n"/>
      <c r="C44" s="35" t="n"/>
      <c r="D44" s="35" t="n"/>
      <c r="E44" s="35" t="n"/>
      <c r="F44" s="35" t="n"/>
      <c r="G44" s="35" t="n"/>
      <c r="H44" s="35" t="n"/>
      <c r="I44" s="27" t="n"/>
      <c r="J44" s="35" t="n"/>
      <c r="K44" s="35" t="n"/>
      <c r="L44" s="35" t="n"/>
      <c r="M44" s="35" t="n"/>
      <c r="N44" s="35" t="n"/>
      <c r="O44" s="35" t="n"/>
      <c r="P44" s="35" t="n"/>
      <c r="Q44" s="35" t="n"/>
    </row>
    <row r="45" ht="14.25" customHeight="1" s="398">
      <c r="A45" s="35" t="n"/>
      <c r="B45" s="35" t="n"/>
      <c r="C45" s="35" t="n"/>
      <c r="D45" s="35" t="n"/>
      <c r="E45" s="35" t="n"/>
      <c r="F45" s="35" t="n"/>
      <c r="G45" s="35" t="n"/>
      <c r="H45" s="35" t="n"/>
      <c r="I45" s="27" t="n"/>
      <c r="J45" s="35" t="n"/>
      <c r="K45" s="35" t="n"/>
      <c r="L45" s="35" t="n"/>
      <c r="M45" s="35" t="n"/>
      <c r="N45" s="35" t="n"/>
      <c r="O45" s="35" t="n"/>
      <c r="P45" s="35" t="n"/>
      <c r="Q45" s="35" t="n"/>
    </row>
    <row r="46" ht="14.25" customHeight="1" s="398">
      <c r="A46" s="35" t="n"/>
      <c r="B46" s="35" t="n"/>
      <c r="C46" s="35" t="n"/>
      <c r="D46" s="35" t="n"/>
      <c r="E46" s="35" t="n"/>
      <c r="F46" s="35" t="n"/>
      <c r="G46" s="35" t="n"/>
      <c r="H46" s="35" t="n"/>
      <c r="I46" s="27" t="n"/>
      <c r="J46" s="35" t="n"/>
      <c r="K46" s="35" t="n"/>
      <c r="L46" s="35" t="n"/>
      <c r="M46" s="35" t="n"/>
      <c r="N46" s="35" t="n"/>
      <c r="O46" s="35" t="n"/>
      <c r="P46" s="35" t="n"/>
      <c r="Q46" s="35" t="n"/>
    </row>
    <row r="47" ht="14.25" customHeight="1" s="398">
      <c r="A47" s="35" t="n"/>
      <c r="B47" s="35" t="n"/>
      <c r="C47" s="35" t="n"/>
      <c r="D47" s="35" t="n"/>
      <c r="E47" s="35" t="n"/>
      <c r="F47" s="35" t="n"/>
      <c r="G47" s="35" t="n"/>
      <c r="H47" s="35" t="n"/>
      <c r="I47" s="27" t="n"/>
      <c r="J47" s="35" t="n"/>
      <c r="K47" s="35" t="n"/>
      <c r="L47" s="35" t="n"/>
      <c r="M47" s="35" t="n"/>
      <c r="N47" s="35" t="n"/>
      <c r="O47" s="35" t="n"/>
      <c r="P47" s="35" t="n"/>
      <c r="Q47" s="35" t="n"/>
    </row>
    <row r="48" ht="14.25" customHeight="1" s="398">
      <c r="A48" s="35" t="n"/>
      <c r="B48" s="35" t="n"/>
      <c r="C48" s="35" t="n"/>
      <c r="D48" s="35" t="n"/>
      <c r="E48" s="35" t="n"/>
      <c r="F48" s="35" t="n"/>
      <c r="G48" s="35" t="n"/>
      <c r="H48" s="35" t="n"/>
      <c r="I48" s="27" t="n"/>
      <c r="J48" s="35" t="n"/>
      <c r="K48" s="35" t="n"/>
      <c r="L48" s="35" t="n"/>
      <c r="M48" s="35" t="n"/>
      <c r="N48" s="35" t="n"/>
      <c r="O48" s="35" t="n"/>
      <c r="P48" s="35" t="n"/>
      <c r="Q48" s="35" t="n"/>
    </row>
    <row r="49" ht="14.25" customHeight="1" s="398">
      <c r="A49" s="35" t="n"/>
      <c r="B49" s="35" t="n"/>
      <c r="C49" s="35" t="n"/>
      <c r="D49" s="35" t="n"/>
      <c r="E49" s="35" t="n"/>
      <c r="F49" s="35" t="n"/>
      <c r="G49" s="35" t="n"/>
      <c r="H49" s="35" t="n"/>
      <c r="I49" s="27" t="n"/>
      <c r="J49" s="35" t="n"/>
      <c r="K49" s="35" t="n"/>
      <c r="L49" s="35" t="n"/>
      <c r="M49" s="35" t="n"/>
      <c r="N49" s="35" t="n"/>
      <c r="O49" s="35" t="n"/>
      <c r="P49" s="35" t="n"/>
      <c r="Q49" s="35" t="n"/>
    </row>
    <row r="50" ht="14.25" customHeight="1" s="398">
      <c r="A50" s="35" t="n"/>
      <c r="B50" s="35" t="n"/>
      <c r="C50" s="35" t="n"/>
      <c r="D50" s="35" t="n"/>
      <c r="E50" s="35" t="n"/>
      <c r="F50" s="35" t="n"/>
      <c r="G50" s="35" t="n"/>
      <c r="H50" s="35" t="n"/>
      <c r="I50" s="27" t="n"/>
      <c r="J50" s="35" t="n"/>
      <c r="K50" s="35" t="n"/>
      <c r="L50" s="35" t="n"/>
      <c r="M50" s="35" t="n"/>
      <c r="N50" s="35" t="n"/>
      <c r="O50" s="35" t="n"/>
      <c r="P50" s="35" t="n"/>
      <c r="Q50" s="35" t="n"/>
    </row>
    <row r="51" ht="14.25" customHeight="1" s="398">
      <c r="A51" s="35" t="n"/>
      <c r="B51" s="35" t="n"/>
      <c r="C51" s="35" t="n"/>
      <c r="D51" s="35" t="n"/>
      <c r="E51" s="35" t="n"/>
      <c r="F51" s="35" t="n"/>
      <c r="G51" s="35" t="n"/>
      <c r="H51" s="35" t="n"/>
      <c r="I51" s="27" t="n"/>
      <c r="J51" s="35" t="n"/>
      <c r="K51" s="35" t="n"/>
      <c r="L51" s="35" t="n"/>
      <c r="M51" s="35" t="n"/>
      <c r="N51" s="35" t="n"/>
      <c r="O51" s="35" t="n"/>
      <c r="P51" s="35" t="n"/>
      <c r="Q51" s="35" t="n"/>
    </row>
    <row r="52" ht="14.25" customHeight="1" s="398">
      <c r="A52" s="35" t="n"/>
      <c r="B52" s="35" t="n"/>
      <c r="C52" s="35" t="n"/>
      <c r="D52" s="35" t="n"/>
      <c r="E52" s="35" t="n"/>
      <c r="F52" s="35" t="n"/>
      <c r="G52" s="35" t="n"/>
      <c r="H52" s="35" t="n"/>
      <c r="I52" s="27" t="n"/>
      <c r="J52" s="35" t="n"/>
      <c r="K52" s="35" t="n"/>
      <c r="L52" s="35" t="n"/>
      <c r="M52" s="35" t="n"/>
      <c r="N52" s="35" t="n"/>
      <c r="O52" s="35" t="n"/>
      <c r="P52" s="35" t="n"/>
      <c r="Q52" s="35" t="n"/>
    </row>
    <row r="53" ht="14.25" customHeight="1" s="398">
      <c r="A53" s="35" t="n"/>
      <c r="B53" s="35" t="n"/>
      <c r="C53" s="35" t="n"/>
      <c r="D53" s="35" t="n"/>
      <c r="E53" s="35" t="n"/>
      <c r="F53" s="35" t="n"/>
      <c r="G53" s="35" t="n"/>
      <c r="H53" s="35" t="n"/>
      <c r="I53" s="27" t="n"/>
      <c r="J53" s="35" t="n"/>
      <c r="K53" s="35" t="n"/>
      <c r="L53" s="35" t="n"/>
      <c r="M53" s="35" t="n"/>
      <c r="N53" s="35" t="n"/>
      <c r="O53" s="35" t="n"/>
      <c r="P53" s="35" t="n"/>
      <c r="Q53" s="35" t="n"/>
    </row>
    <row r="54" ht="14.25" customHeight="1" s="398">
      <c r="A54" s="35" t="n"/>
      <c r="B54" s="35" t="n"/>
      <c r="C54" s="35" t="n"/>
      <c r="D54" s="35" t="n"/>
      <c r="E54" s="35" t="n"/>
      <c r="F54" s="35" t="n"/>
      <c r="G54" s="35" t="n"/>
      <c r="H54" s="35" t="n"/>
      <c r="I54" s="27" t="n"/>
      <c r="J54" s="35" t="n"/>
      <c r="K54" s="35" t="n"/>
      <c r="L54" s="35" t="n"/>
      <c r="M54" s="35" t="n"/>
      <c r="N54" s="35" t="n"/>
      <c r="O54" s="35" t="n"/>
      <c r="P54" s="35" t="n"/>
      <c r="Q54" s="35" t="n"/>
    </row>
    <row r="55" ht="14.25" customHeight="1" s="398">
      <c r="A55" s="35" t="n"/>
      <c r="B55" s="35" t="n"/>
      <c r="C55" s="35" t="n"/>
      <c r="D55" s="35" t="n"/>
      <c r="E55" s="35" t="n"/>
      <c r="F55" s="35" t="n"/>
      <c r="G55" s="35" t="n"/>
      <c r="H55" s="35" t="n"/>
      <c r="I55" s="27" t="n"/>
      <c r="J55" s="35" t="n"/>
      <c r="K55" s="35" t="n"/>
      <c r="L55" s="35" t="n"/>
      <c r="M55" s="35" t="n"/>
      <c r="N55" s="35" t="n"/>
      <c r="O55" s="35" t="n"/>
      <c r="P55" s="35" t="n"/>
      <c r="Q55" s="35" t="n"/>
    </row>
    <row r="56" ht="14.25" customHeight="1" s="398">
      <c r="A56" s="35" t="n"/>
      <c r="B56" s="35" t="n"/>
      <c r="C56" s="35" t="n"/>
      <c r="D56" s="35" t="n"/>
      <c r="E56" s="35" t="n"/>
      <c r="F56" s="35" t="n"/>
      <c r="G56" s="35" t="n"/>
      <c r="H56" s="35" t="n"/>
      <c r="I56" s="27" t="n"/>
      <c r="J56" s="35" t="n"/>
      <c r="K56" s="35" t="n"/>
      <c r="L56" s="35" t="n"/>
      <c r="M56" s="35" t="n"/>
      <c r="N56" s="35" t="n"/>
      <c r="O56" s="35" t="n"/>
      <c r="P56" s="35" t="n"/>
      <c r="Q56" s="35" t="n"/>
    </row>
    <row r="57" ht="14.25" customHeight="1" s="398">
      <c r="A57" s="35" t="n"/>
      <c r="B57" s="35" t="n"/>
      <c r="C57" s="35" t="n"/>
      <c r="D57" s="35" t="n"/>
      <c r="E57" s="35" t="n"/>
      <c r="F57" s="35" t="n"/>
      <c r="G57" s="35" t="n"/>
      <c r="H57" s="35" t="n"/>
      <c r="I57" s="27" t="n"/>
      <c r="J57" s="35" t="n"/>
      <c r="K57" s="35" t="n"/>
      <c r="L57" s="35" t="n"/>
      <c r="M57" s="35" t="n"/>
      <c r="N57" s="35" t="n"/>
      <c r="O57" s="35" t="n"/>
      <c r="P57" s="35" t="n"/>
      <c r="Q57" s="35" t="n"/>
    </row>
    <row r="58" ht="14.25" customHeight="1" s="398">
      <c r="A58" s="35" t="n"/>
      <c r="B58" s="35" t="n"/>
      <c r="C58" s="35" t="n"/>
      <c r="D58" s="35" t="n"/>
      <c r="E58" s="35" t="n"/>
      <c r="F58" s="35" t="n"/>
      <c r="G58" s="35" t="n"/>
      <c r="H58" s="35" t="n"/>
      <c r="I58" s="27" t="n"/>
      <c r="J58" s="35" t="n"/>
      <c r="K58" s="35" t="n"/>
      <c r="L58" s="35" t="n"/>
      <c r="M58" s="35" t="n"/>
      <c r="N58" s="35" t="n"/>
      <c r="O58" s="35" t="n"/>
      <c r="P58" s="35" t="n"/>
      <c r="Q58" s="35" t="n"/>
    </row>
    <row r="59" ht="14.25" customHeight="1" s="398">
      <c r="A59" s="35" t="n"/>
      <c r="B59" s="35" t="n"/>
      <c r="C59" s="35" t="n"/>
      <c r="D59" s="35" t="n"/>
      <c r="E59" s="35" t="n"/>
      <c r="F59" s="35" t="n"/>
      <c r="G59" s="35" t="n"/>
      <c r="H59" s="35" t="n"/>
      <c r="I59" s="27" t="n"/>
      <c r="J59" s="35" t="n"/>
      <c r="K59" s="35" t="n"/>
      <c r="L59" s="35" t="n"/>
      <c r="M59" s="35" t="n"/>
      <c r="N59" s="35" t="n"/>
      <c r="O59" s="35" t="n"/>
      <c r="P59" s="35" t="n"/>
      <c r="Q59" s="35" t="n"/>
    </row>
    <row r="60" ht="14.25" customHeight="1" s="398">
      <c r="A60" s="35" t="n"/>
      <c r="B60" s="35" t="n"/>
      <c r="C60" s="35" t="n"/>
      <c r="D60" s="35" t="n"/>
      <c r="E60" s="35" t="n"/>
      <c r="F60" s="35" t="n"/>
      <c r="G60" s="35" t="n"/>
      <c r="H60" s="35" t="n"/>
      <c r="I60" s="27" t="n"/>
      <c r="J60" s="35" t="n"/>
      <c r="K60" s="35" t="n"/>
      <c r="L60" s="35" t="n"/>
      <c r="M60" s="35" t="n"/>
      <c r="N60" s="35" t="n"/>
      <c r="O60" s="35" t="n"/>
      <c r="P60" s="35" t="n"/>
      <c r="Q60" s="35" t="n"/>
    </row>
    <row r="61" ht="14.25" customHeight="1" s="398">
      <c r="A61" s="35" t="n"/>
      <c r="B61" s="35" t="n"/>
      <c r="C61" s="35" t="n"/>
      <c r="D61" s="35" t="n"/>
      <c r="E61" s="35" t="n"/>
      <c r="F61" s="35" t="n"/>
      <c r="G61" s="35" t="n"/>
      <c r="H61" s="35" t="n"/>
      <c r="I61" s="27" t="n"/>
      <c r="J61" s="35" t="n"/>
      <c r="K61" s="35" t="n"/>
      <c r="L61" s="35" t="n"/>
      <c r="M61" s="35" t="n"/>
      <c r="N61" s="35" t="n"/>
      <c r="O61" s="35" t="n"/>
      <c r="P61" s="35" t="n"/>
      <c r="Q61" s="35" t="n"/>
    </row>
    <row r="62" ht="14.25" customHeight="1" s="398">
      <c r="A62" s="35" t="n"/>
      <c r="B62" s="35" t="n"/>
      <c r="C62" s="35" t="n"/>
      <c r="D62" s="35" t="n"/>
      <c r="E62" s="35" t="n"/>
      <c r="F62" s="35" t="n"/>
      <c r="G62" s="35" t="n"/>
      <c r="H62" s="35" t="n"/>
      <c r="I62" s="27" t="n"/>
      <c r="J62" s="35" t="n"/>
      <c r="K62" s="35" t="n"/>
      <c r="L62" s="35" t="n"/>
      <c r="M62" s="35" t="n"/>
      <c r="N62" s="35" t="n"/>
      <c r="O62" s="35" t="n"/>
      <c r="P62" s="35" t="n"/>
      <c r="Q62" s="35" t="n"/>
    </row>
    <row r="63" ht="14.25" customHeight="1" s="398">
      <c r="A63" s="35" t="n"/>
      <c r="B63" s="35" t="n"/>
      <c r="C63" s="35" t="n"/>
      <c r="D63" s="35" t="n"/>
      <c r="E63" s="35" t="n"/>
      <c r="F63" s="35" t="n"/>
      <c r="G63" s="35" t="n"/>
      <c r="H63" s="35" t="n"/>
      <c r="I63" s="27" t="n"/>
      <c r="J63" s="35" t="n"/>
      <c r="K63" s="35" t="n"/>
      <c r="L63" s="35" t="n"/>
      <c r="M63" s="35" t="n"/>
      <c r="N63" s="35" t="n"/>
      <c r="O63" s="35" t="n"/>
      <c r="P63" s="35" t="n"/>
      <c r="Q63" s="35" t="n"/>
    </row>
    <row r="64" ht="14.25" customHeight="1" s="398">
      <c r="A64" s="35" t="n"/>
      <c r="B64" s="35" t="n"/>
      <c r="C64" s="35" t="n"/>
      <c r="D64" s="35" t="n"/>
      <c r="E64" s="35" t="n"/>
      <c r="F64" s="35" t="n"/>
      <c r="G64" s="35" t="n"/>
      <c r="H64" s="35" t="n"/>
      <c r="I64" s="27" t="n"/>
      <c r="J64" s="35" t="n"/>
      <c r="K64" s="35" t="n"/>
      <c r="L64" s="35" t="n"/>
      <c r="M64" s="35" t="n"/>
      <c r="N64" s="35" t="n"/>
      <c r="O64" s="35" t="n"/>
      <c r="P64" s="35" t="n"/>
      <c r="Q64" s="35" t="n"/>
    </row>
    <row r="65" ht="14.25" customHeight="1" s="398">
      <c r="A65" s="35" t="n"/>
      <c r="B65" s="35" t="n"/>
      <c r="C65" s="35" t="n"/>
      <c r="D65" s="35" t="n"/>
      <c r="E65" s="35" t="n"/>
      <c r="F65" s="35" t="n"/>
      <c r="G65" s="35" t="n"/>
      <c r="H65" s="35" t="n"/>
      <c r="I65" s="27" t="n"/>
      <c r="J65" s="35" t="n"/>
      <c r="K65" s="35" t="n"/>
      <c r="L65" s="35" t="n"/>
      <c r="M65" s="35" t="n"/>
      <c r="N65" s="35" t="n"/>
      <c r="O65" s="35" t="n"/>
      <c r="P65" s="35" t="n"/>
      <c r="Q65" s="35" t="n"/>
    </row>
    <row r="66" ht="14.25" customHeight="1" s="398">
      <c r="A66" s="35" t="n"/>
      <c r="B66" s="35" t="n"/>
      <c r="C66" s="35" t="n"/>
      <c r="D66" s="35" t="n"/>
      <c r="E66" s="35" t="n"/>
      <c r="F66" s="35" t="n"/>
      <c r="G66" s="35" t="n"/>
      <c r="H66" s="35" t="n"/>
      <c r="I66" s="27" t="n"/>
      <c r="J66" s="35" t="n"/>
      <c r="K66" s="35" t="n"/>
      <c r="L66" s="35" t="n"/>
      <c r="M66" s="35" t="n"/>
      <c r="N66" s="35" t="n"/>
      <c r="O66" s="35" t="n"/>
      <c r="P66" s="35" t="n"/>
      <c r="Q66" s="35" t="n"/>
    </row>
    <row r="67" ht="14.25" customHeight="1" s="398">
      <c r="A67" s="35" t="n"/>
      <c r="B67" s="35" t="n"/>
      <c r="C67" s="35" t="n"/>
      <c r="D67" s="35" t="n"/>
      <c r="E67" s="35" t="n"/>
      <c r="F67" s="35" t="n"/>
      <c r="G67" s="35" t="n"/>
      <c r="H67" s="35" t="n"/>
      <c r="I67" s="27" t="n"/>
      <c r="J67" s="35" t="n"/>
      <c r="K67" s="35" t="n"/>
      <c r="L67" s="35" t="n"/>
      <c r="M67" s="35" t="n"/>
      <c r="N67" s="35" t="n"/>
      <c r="O67" s="35" t="n"/>
      <c r="P67" s="35" t="n"/>
      <c r="Q67" s="35" t="n"/>
    </row>
    <row r="68" ht="14.25" customHeight="1" s="398">
      <c r="A68" s="35" t="n"/>
      <c r="B68" s="35" t="n"/>
      <c r="C68" s="35" t="n"/>
      <c r="D68" s="35" t="n"/>
      <c r="E68" s="35" t="n"/>
      <c r="F68" s="35" t="n"/>
      <c r="G68" s="35" t="n"/>
      <c r="H68" s="35" t="n"/>
      <c r="I68" s="27" t="n"/>
      <c r="J68" s="35" t="n"/>
      <c r="K68" s="35" t="n"/>
      <c r="L68" s="35" t="n"/>
      <c r="M68" s="35" t="n"/>
      <c r="N68" s="35" t="n"/>
      <c r="O68" s="35" t="n"/>
      <c r="P68" s="35" t="n"/>
      <c r="Q68" s="35" t="n"/>
    </row>
    <row r="69" ht="14.25" customHeight="1" s="398">
      <c r="A69" s="35" t="n"/>
      <c r="B69" s="35" t="n"/>
      <c r="C69" s="35" t="n"/>
      <c r="D69" s="35" t="n"/>
      <c r="E69" s="35" t="n"/>
      <c r="F69" s="35" t="n"/>
      <c r="G69" s="35" t="n"/>
      <c r="H69" s="35" t="n"/>
      <c r="I69" s="27" t="n"/>
      <c r="J69" s="35" t="n"/>
      <c r="K69" s="35" t="n"/>
      <c r="L69" s="35" t="n"/>
      <c r="M69" s="35" t="n"/>
      <c r="N69" s="35" t="n"/>
      <c r="O69" s="35" t="n"/>
      <c r="P69" s="35" t="n"/>
      <c r="Q69" s="35" t="n"/>
    </row>
    <row r="70" ht="14.25" customHeight="1" s="398">
      <c r="A70" s="35" t="n"/>
      <c r="B70" s="35" t="n"/>
      <c r="C70" s="35" t="n"/>
      <c r="D70" s="35" t="n"/>
      <c r="E70" s="35" t="n"/>
      <c r="F70" s="35" t="n"/>
      <c r="G70" s="35" t="n"/>
      <c r="H70" s="35" t="n"/>
      <c r="I70" s="27" t="n"/>
      <c r="J70" s="35" t="n"/>
      <c r="K70" s="35" t="n"/>
      <c r="L70" s="35" t="n"/>
      <c r="M70" s="35" t="n"/>
      <c r="N70" s="35" t="n"/>
      <c r="O70" s="35" t="n"/>
      <c r="P70" s="35" t="n"/>
      <c r="Q70" s="35" t="n"/>
    </row>
    <row r="71" ht="14.25" customHeight="1" s="398">
      <c r="A71" s="35" t="n"/>
      <c r="B71" s="35" t="n"/>
      <c r="C71" s="35" t="n"/>
      <c r="D71" s="35" t="n"/>
      <c r="E71" s="35" t="n"/>
      <c r="F71" s="35" t="n"/>
      <c r="G71" s="35" t="n"/>
      <c r="H71" s="35" t="n"/>
      <c r="I71" s="27" t="n"/>
      <c r="J71" s="35" t="n"/>
      <c r="K71" s="35" t="n"/>
      <c r="L71" s="35" t="n"/>
      <c r="M71" s="35" t="n"/>
      <c r="N71" s="35" t="n"/>
      <c r="O71" s="35" t="n"/>
      <c r="P71" s="35" t="n"/>
      <c r="Q71" s="35" t="n"/>
    </row>
    <row r="72" ht="14.25" customHeight="1" s="398">
      <c r="A72" s="35" t="n"/>
      <c r="B72" s="35" t="n"/>
      <c r="C72" s="35" t="n"/>
      <c r="D72" s="35" t="n"/>
      <c r="E72" s="35" t="n"/>
      <c r="F72" s="35" t="n"/>
      <c r="G72" s="35" t="n"/>
      <c r="H72" s="35" t="n"/>
      <c r="I72" s="27" t="n"/>
      <c r="J72" s="35" t="n"/>
      <c r="K72" s="35" t="n"/>
      <c r="L72" s="35" t="n"/>
      <c r="M72" s="35" t="n"/>
      <c r="N72" s="35" t="n"/>
      <c r="O72" s="35" t="n"/>
      <c r="P72" s="35" t="n"/>
      <c r="Q72" s="35" t="n"/>
    </row>
    <row r="73" ht="14.25" customHeight="1" s="398">
      <c r="A73" s="35" t="n"/>
      <c r="B73" s="35" t="n"/>
      <c r="C73" s="35" t="n"/>
      <c r="D73" s="35" t="n"/>
      <c r="E73" s="35" t="n"/>
      <c r="F73" s="35" t="n"/>
      <c r="G73" s="35" t="n"/>
      <c r="H73" s="35" t="n"/>
      <c r="I73" s="27" t="n"/>
      <c r="J73" s="35" t="n"/>
      <c r="K73" s="35" t="n"/>
      <c r="L73" s="35" t="n"/>
      <c r="M73" s="35" t="n"/>
      <c r="N73" s="35" t="n"/>
      <c r="O73" s="35" t="n"/>
      <c r="P73" s="35" t="n"/>
      <c r="Q73" s="35" t="n"/>
    </row>
    <row r="74" ht="14.25" customHeight="1" s="398">
      <c r="A74" s="35" t="n"/>
      <c r="B74" s="35" t="n"/>
      <c r="C74" s="35" t="n"/>
      <c r="D74" s="35" t="n"/>
      <c r="E74" s="35" t="n"/>
      <c r="F74" s="35" t="n"/>
      <c r="G74" s="35" t="n"/>
      <c r="H74" s="35" t="n"/>
      <c r="I74" s="27" t="n"/>
      <c r="J74" s="35" t="n"/>
      <c r="K74" s="35" t="n"/>
      <c r="L74" s="35" t="n"/>
      <c r="M74" s="35" t="n"/>
      <c r="N74" s="35" t="n"/>
      <c r="O74" s="35" t="n"/>
      <c r="P74" s="35" t="n"/>
      <c r="Q74" s="35" t="n"/>
    </row>
    <row r="75" ht="14.25" customHeight="1" s="398">
      <c r="A75" s="35" t="n"/>
      <c r="B75" s="35" t="n"/>
      <c r="C75" s="35" t="n"/>
      <c r="D75" s="35" t="n"/>
      <c r="E75" s="35" t="n"/>
      <c r="F75" s="35" t="n"/>
      <c r="G75" s="35" t="n"/>
      <c r="H75" s="35" t="n"/>
      <c r="I75" s="27" t="n"/>
      <c r="J75" s="35" t="n"/>
      <c r="K75" s="35" t="n"/>
      <c r="L75" s="35" t="n"/>
      <c r="M75" s="35" t="n"/>
      <c r="N75" s="35" t="n"/>
      <c r="O75" s="35" t="n"/>
      <c r="P75" s="35" t="n"/>
      <c r="Q75" s="35" t="n"/>
    </row>
    <row r="76" ht="14.25" customHeight="1" s="398">
      <c r="A76" s="35" t="n"/>
      <c r="B76" s="35" t="n"/>
      <c r="C76" s="35" t="n"/>
      <c r="D76" s="35" t="n"/>
      <c r="E76" s="35" t="n"/>
      <c r="F76" s="35" t="n"/>
      <c r="G76" s="35" t="n"/>
      <c r="H76" s="35" t="n"/>
      <c r="I76" s="27" t="n"/>
      <c r="J76" s="35" t="n"/>
      <c r="K76" s="35" t="n"/>
      <c r="L76" s="35" t="n"/>
      <c r="M76" s="35" t="n"/>
      <c r="N76" s="35" t="n"/>
      <c r="O76" s="35" t="n"/>
      <c r="P76" s="35" t="n"/>
      <c r="Q76" s="35" t="n"/>
    </row>
    <row r="77" ht="14.25" customHeight="1" s="398">
      <c r="A77" s="35" t="n"/>
      <c r="B77" s="35" t="n"/>
      <c r="C77" s="35" t="n"/>
      <c r="D77" s="35" t="n"/>
      <c r="E77" s="35" t="n"/>
      <c r="F77" s="35" t="n"/>
      <c r="G77" s="35" t="n"/>
      <c r="H77" s="35" t="n"/>
      <c r="I77" s="27" t="n"/>
      <c r="J77" s="35" t="n"/>
      <c r="K77" s="35" t="n"/>
      <c r="L77" s="35" t="n"/>
      <c r="M77" s="35" t="n"/>
      <c r="N77" s="35" t="n"/>
      <c r="O77" s="35" t="n"/>
      <c r="P77" s="35" t="n"/>
      <c r="Q77" s="35" t="n"/>
    </row>
    <row r="78" ht="14.25" customHeight="1" s="398">
      <c r="A78" s="35" t="n"/>
      <c r="B78" s="35" t="n"/>
      <c r="C78" s="35" t="n"/>
      <c r="D78" s="35" t="n"/>
      <c r="E78" s="35" t="n"/>
      <c r="F78" s="35" t="n"/>
      <c r="G78" s="35" t="n"/>
      <c r="H78" s="35" t="n"/>
      <c r="I78" s="27" t="n"/>
      <c r="J78" s="35" t="n"/>
      <c r="K78" s="35" t="n"/>
      <c r="L78" s="35" t="n"/>
      <c r="M78" s="35" t="n"/>
      <c r="N78" s="35" t="n"/>
      <c r="O78" s="35" t="n"/>
      <c r="P78" s="35" t="n"/>
      <c r="Q78" s="35" t="n"/>
    </row>
    <row r="79" ht="14.25" customHeight="1" s="398">
      <c r="A79" s="35" t="n"/>
      <c r="B79" s="35" t="n"/>
      <c r="C79" s="35" t="n"/>
      <c r="D79" s="35" t="n"/>
      <c r="E79" s="35" t="n"/>
      <c r="F79" s="35" t="n"/>
      <c r="G79" s="35" t="n"/>
      <c r="H79" s="35" t="n"/>
      <c r="I79" s="27" t="n"/>
      <c r="J79" s="35" t="n"/>
      <c r="K79" s="35" t="n"/>
      <c r="L79" s="35" t="n"/>
      <c r="M79" s="35" t="n"/>
      <c r="N79" s="35" t="n"/>
      <c r="O79" s="35" t="n"/>
      <c r="P79" s="35" t="n"/>
      <c r="Q79" s="35" t="n"/>
    </row>
    <row r="80" ht="14.25" customHeight="1" s="398">
      <c r="A80" s="35" t="n"/>
      <c r="B80" s="35" t="n"/>
      <c r="C80" s="35" t="n"/>
      <c r="D80" s="35" t="n"/>
      <c r="E80" s="35" t="n"/>
      <c r="F80" s="35" t="n"/>
      <c r="G80" s="35" t="n"/>
      <c r="H80" s="35" t="n"/>
      <c r="I80" s="27" t="n"/>
      <c r="J80" s="35" t="n"/>
      <c r="K80" s="35" t="n"/>
      <c r="L80" s="35" t="n"/>
      <c r="M80" s="35" t="n"/>
      <c r="N80" s="35" t="n"/>
      <c r="O80" s="35" t="n"/>
      <c r="P80" s="35" t="n"/>
      <c r="Q80" s="35" t="n"/>
    </row>
    <row r="81" ht="14.25" customHeight="1" s="398">
      <c r="A81" s="35" t="n"/>
      <c r="B81" s="35" t="n"/>
      <c r="C81" s="35" t="n"/>
      <c r="D81" s="35" t="n"/>
      <c r="E81" s="35" t="n"/>
      <c r="F81" s="35" t="n"/>
      <c r="G81" s="35" t="n"/>
      <c r="H81" s="35" t="n"/>
      <c r="I81" s="27" t="n"/>
      <c r="J81" s="35" t="n"/>
      <c r="K81" s="35" t="n"/>
      <c r="L81" s="35" t="n"/>
      <c r="M81" s="35" t="n"/>
      <c r="N81" s="35" t="n"/>
      <c r="O81" s="35" t="n"/>
      <c r="P81" s="35" t="n"/>
      <c r="Q81" s="35" t="n"/>
    </row>
    <row r="82" ht="14.25" customHeight="1" s="398">
      <c r="A82" s="35" t="n"/>
      <c r="B82" s="35" t="n"/>
      <c r="C82" s="35" t="n"/>
      <c r="D82" s="35" t="n"/>
      <c r="E82" s="35" t="n"/>
      <c r="F82" s="35" t="n"/>
      <c r="G82" s="35" t="n"/>
      <c r="H82" s="35" t="n"/>
      <c r="I82" s="27" t="n"/>
      <c r="J82" s="35" t="n"/>
      <c r="K82" s="35" t="n"/>
      <c r="L82" s="35" t="n"/>
      <c r="M82" s="35" t="n"/>
      <c r="N82" s="35" t="n"/>
      <c r="O82" s="35" t="n"/>
      <c r="P82" s="35" t="n"/>
      <c r="Q82" s="35" t="n"/>
    </row>
    <row r="83" ht="14.25" customHeight="1" s="398">
      <c r="A83" s="35" t="n"/>
      <c r="B83" s="35" t="n"/>
      <c r="C83" s="35" t="n"/>
      <c r="D83" s="35" t="n"/>
      <c r="E83" s="35" t="n"/>
      <c r="F83" s="35" t="n"/>
      <c r="G83" s="35" t="n"/>
      <c r="H83" s="35" t="n"/>
      <c r="I83" s="27" t="n"/>
      <c r="J83" s="35" t="n"/>
      <c r="K83" s="35" t="n"/>
      <c r="L83" s="35" t="n"/>
      <c r="M83" s="35" t="n"/>
      <c r="N83" s="35" t="n"/>
      <c r="O83" s="35" t="n"/>
      <c r="P83" s="35" t="n"/>
      <c r="Q83" s="35" t="n"/>
    </row>
    <row r="84" ht="14.25" customHeight="1" s="398">
      <c r="A84" s="35" t="n"/>
      <c r="B84" s="35" t="n"/>
      <c r="C84" s="35" t="n"/>
      <c r="D84" s="35" t="n"/>
      <c r="E84" s="35" t="n"/>
      <c r="F84" s="35" t="n"/>
      <c r="G84" s="35" t="n"/>
      <c r="H84" s="35" t="n"/>
      <c r="I84" s="27" t="n"/>
      <c r="J84" s="35" t="n"/>
      <c r="K84" s="35" t="n"/>
      <c r="L84" s="35" t="n"/>
      <c r="M84" s="35" t="n"/>
      <c r="N84" s="35" t="n"/>
      <c r="O84" s="35" t="n"/>
      <c r="P84" s="35" t="n"/>
      <c r="Q84" s="35" t="n"/>
    </row>
    <row r="85" ht="14.25" customHeight="1" s="398">
      <c r="A85" s="35" t="n"/>
      <c r="B85" s="35" t="n"/>
      <c r="C85" s="35" t="n"/>
      <c r="D85" s="35" t="n"/>
      <c r="E85" s="35" t="n"/>
      <c r="F85" s="35" t="n"/>
      <c r="G85" s="35" t="n"/>
      <c r="H85" s="35" t="n"/>
      <c r="I85" s="27" t="n"/>
      <c r="J85" s="35" t="n"/>
      <c r="K85" s="35" t="n"/>
      <c r="L85" s="35" t="n"/>
      <c r="M85" s="35" t="n"/>
      <c r="N85" s="35" t="n"/>
      <c r="O85" s="35" t="n"/>
      <c r="P85" s="35" t="n"/>
      <c r="Q85" s="35" t="n"/>
    </row>
    <row r="86" ht="14.25" customHeight="1" s="398">
      <c r="A86" s="35" t="n"/>
      <c r="B86" s="35" t="n"/>
      <c r="C86" s="35" t="n"/>
      <c r="D86" s="35" t="n"/>
      <c r="E86" s="35" t="n"/>
      <c r="F86" s="35" t="n"/>
      <c r="G86" s="35" t="n"/>
      <c r="H86" s="35" t="n"/>
      <c r="I86" s="27" t="n"/>
      <c r="J86" s="35" t="n"/>
      <c r="K86" s="35" t="n"/>
      <c r="L86" s="35" t="n"/>
      <c r="M86" s="35" t="n"/>
      <c r="N86" s="35" t="n"/>
      <c r="O86" s="35" t="n"/>
      <c r="P86" s="35" t="n"/>
      <c r="Q86" s="35" t="n"/>
    </row>
    <row r="87" ht="14.25" customHeight="1" s="398">
      <c r="A87" s="35" t="n"/>
      <c r="B87" s="35" t="n"/>
      <c r="C87" s="35" t="n"/>
      <c r="D87" s="35" t="n"/>
      <c r="E87" s="35" t="n"/>
      <c r="F87" s="35" t="n"/>
      <c r="G87" s="35" t="n"/>
      <c r="H87" s="35" t="n"/>
      <c r="I87" s="27" t="n"/>
      <c r="J87" s="35" t="n"/>
      <c r="K87" s="35" t="n"/>
      <c r="L87" s="35" t="n"/>
      <c r="M87" s="35" t="n"/>
      <c r="N87" s="35" t="n"/>
      <c r="O87" s="35" t="n"/>
      <c r="P87" s="35" t="n"/>
      <c r="Q87" s="35" t="n"/>
    </row>
    <row r="88" ht="14.25" customHeight="1" s="398">
      <c r="A88" s="35" t="n"/>
      <c r="B88" s="35" t="n"/>
      <c r="C88" s="35" t="n"/>
      <c r="D88" s="35" t="n"/>
      <c r="E88" s="35" t="n"/>
      <c r="F88" s="35" t="n"/>
      <c r="G88" s="35" t="n"/>
      <c r="H88" s="35" t="n"/>
      <c r="I88" s="27" t="n"/>
      <c r="J88" s="35" t="n"/>
      <c r="K88" s="35" t="n"/>
      <c r="L88" s="35" t="n"/>
      <c r="M88" s="35" t="n"/>
      <c r="N88" s="35" t="n"/>
      <c r="O88" s="35" t="n"/>
      <c r="P88" s="35" t="n"/>
      <c r="Q88" s="35" t="n"/>
    </row>
    <row r="89" ht="14.25" customHeight="1" s="398">
      <c r="A89" s="35" t="n"/>
      <c r="B89" s="35" t="n"/>
      <c r="C89" s="35" t="n"/>
      <c r="D89" s="35" t="n"/>
      <c r="E89" s="35" t="n"/>
      <c r="F89" s="35" t="n"/>
      <c r="G89" s="35" t="n"/>
      <c r="H89" s="35" t="n"/>
      <c r="I89" s="27" t="n"/>
      <c r="J89" s="35" t="n"/>
      <c r="K89" s="35" t="n"/>
      <c r="L89" s="35" t="n"/>
      <c r="M89" s="35" t="n"/>
      <c r="N89" s="35" t="n"/>
      <c r="O89" s="35" t="n"/>
      <c r="P89" s="35" t="n"/>
      <c r="Q89" s="35" t="n"/>
    </row>
    <row r="90" ht="14.25" customHeight="1" s="398">
      <c r="A90" s="35" t="n"/>
      <c r="B90" s="35" t="n"/>
      <c r="C90" s="35" t="n"/>
      <c r="D90" s="35" t="n"/>
      <c r="E90" s="35" t="n"/>
      <c r="F90" s="35" t="n"/>
      <c r="G90" s="35" t="n"/>
      <c r="H90" s="35" t="n"/>
      <c r="I90" s="27" t="n"/>
      <c r="J90" s="35" t="n"/>
      <c r="K90" s="35" t="n"/>
      <c r="L90" s="35" t="n"/>
      <c r="M90" s="35" t="n"/>
      <c r="N90" s="35" t="n"/>
      <c r="O90" s="35" t="n"/>
      <c r="P90" s="35" t="n"/>
      <c r="Q90" s="35" t="n"/>
    </row>
    <row r="91" ht="14.25" customHeight="1" s="398">
      <c r="A91" s="35" t="n"/>
      <c r="B91" s="35" t="n"/>
      <c r="C91" s="35" t="n"/>
      <c r="D91" s="35" t="n"/>
      <c r="E91" s="35" t="n"/>
      <c r="F91" s="35" t="n"/>
      <c r="G91" s="35" t="n"/>
      <c r="H91" s="35" t="n"/>
      <c r="I91" s="27" t="n"/>
      <c r="J91" s="35" t="n"/>
      <c r="K91" s="35" t="n"/>
      <c r="L91" s="35" t="n"/>
      <c r="M91" s="35" t="n"/>
      <c r="N91" s="35" t="n"/>
      <c r="O91" s="35" t="n"/>
      <c r="P91" s="35" t="n"/>
      <c r="Q91" s="35" t="n"/>
    </row>
    <row r="92" ht="14.25" customHeight="1" s="398">
      <c r="A92" s="35" t="n"/>
      <c r="B92" s="35" t="n"/>
      <c r="C92" s="35" t="n"/>
      <c r="D92" s="35" t="n"/>
      <c r="E92" s="35" t="n"/>
      <c r="F92" s="35" t="n"/>
      <c r="G92" s="35" t="n"/>
      <c r="H92" s="35" t="n"/>
      <c r="I92" s="27" t="n"/>
      <c r="J92" s="35" t="n"/>
      <c r="K92" s="35" t="n"/>
      <c r="L92" s="35" t="n"/>
      <c r="M92" s="35" t="n"/>
      <c r="N92" s="35" t="n"/>
      <c r="O92" s="35" t="n"/>
      <c r="P92" s="35" t="n"/>
      <c r="Q92" s="35" t="n"/>
    </row>
    <row r="93" ht="14.25" customHeight="1" s="398">
      <c r="A93" s="35" t="n"/>
      <c r="B93" s="35" t="n"/>
      <c r="C93" s="35" t="n"/>
      <c r="D93" s="35" t="n"/>
      <c r="E93" s="35" t="n"/>
      <c r="F93" s="35" t="n"/>
      <c r="G93" s="35" t="n"/>
      <c r="H93" s="35" t="n"/>
      <c r="I93" s="27" t="n"/>
      <c r="J93" s="35" t="n"/>
      <c r="K93" s="35" t="n"/>
      <c r="L93" s="35" t="n"/>
      <c r="M93" s="35" t="n"/>
      <c r="N93" s="35" t="n"/>
      <c r="O93" s="35" t="n"/>
      <c r="P93" s="35" t="n"/>
      <c r="Q93" s="35" t="n"/>
    </row>
    <row r="94" ht="14.25" customHeight="1" s="398">
      <c r="A94" s="35" t="n"/>
      <c r="B94" s="35" t="n"/>
      <c r="C94" s="35" t="n"/>
      <c r="D94" s="35" t="n"/>
      <c r="E94" s="35" t="n"/>
      <c r="F94" s="35" t="n"/>
      <c r="G94" s="35" t="n"/>
      <c r="H94" s="35" t="n"/>
      <c r="I94" s="27" t="n"/>
      <c r="J94" s="35" t="n"/>
      <c r="K94" s="35" t="n"/>
      <c r="L94" s="35" t="n"/>
      <c r="M94" s="35" t="n"/>
      <c r="N94" s="35" t="n"/>
      <c r="O94" s="35" t="n"/>
      <c r="P94" s="35" t="n"/>
      <c r="Q94" s="35" t="n"/>
    </row>
    <row r="95" ht="14.25" customHeight="1" s="398">
      <c r="A95" s="35" t="n"/>
      <c r="B95" s="35" t="n"/>
      <c r="C95" s="35" t="n"/>
      <c r="D95" s="35" t="n"/>
      <c r="E95" s="35" t="n"/>
      <c r="F95" s="35" t="n"/>
      <c r="G95" s="35" t="n"/>
      <c r="H95" s="35" t="n"/>
      <c r="I95" s="27" t="n"/>
      <c r="J95" s="35" t="n"/>
      <c r="K95" s="35" t="n"/>
      <c r="L95" s="35" t="n"/>
      <c r="M95" s="35" t="n"/>
      <c r="N95" s="35" t="n"/>
      <c r="O95" s="35" t="n"/>
      <c r="P95" s="35" t="n"/>
      <c r="Q95" s="35" t="n"/>
    </row>
    <row r="96" ht="14.25" customHeight="1" s="398">
      <c r="A96" s="35" t="n"/>
      <c r="B96" s="35" t="n"/>
      <c r="C96" s="35" t="n"/>
      <c r="D96" s="35" t="n"/>
      <c r="E96" s="35" t="n"/>
      <c r="F96" s="35" t="n"/>
      <c r="G96" s="35" t="n"/>
      <c r="H96" s="35" t="n"/>
      <c r="I96" s="27" t="n"/>
      <c r="J96" s="35" t="n"/>
      <c r="K96" s="35" t="n"/>
      <c r="L96" s="35" t="n"/>
      <c r="M96" s="35" t="n"/>
      <c r="N96" s="35" t="n"/>
      <c r="O96" s="35" t="n"/>
      <c r="P96" s="35" t="n"/>
      <c r="Q96" s="35" t="n"/>
    </row>
    <row r="97" ht="14.25" customHeight="1" s="398">
      <c r="A97" s="35" t="n"/>
      <c r="B97" s="35" t="n"/>
      <c r="C97" s="35" t="n"/>
      <c r="D97" s="35" t="n"/>
      <c r="E97" s="35" t="n"/>
      <c r="F97" s="35" t="n"/>
      <c r="G97" s="35" t="n"/>
      <c r="H97" s="35" t="n"/>
      <c r="I97" s="27" t="n"/>
      <c r="J97" s="35" t="n"/>
      <c r="K97" s="35" t="n"/>
      <c r="L97" s="35" t="n"/>
      <c r="M97" s="35" t="n"/>
      <c r="N97" s="35" t="n"/>
      <c r="O97" s="35" t="n"/>
      <c r="P97" s="35" t="n"/>
      <c r="Q97" s="35" t="n"/>
    </row>
    <row r="98" ht="14.25" customHeight="1" s="398">
      <c r="A98" s="35" t="n"/>
      <c r="B98" s="35" t="n"/>
      <c r="C98" s="35" t="n"/>
      <c r="D98" s="35" t="n"/>
      <c r="E98" s="35" t="n"/>
      <c r="F98" s="35" t="n"/>
      <c r="G98" s="35" t="n"/>
      <c r="H98" s="35" t="n"/>
      <c r="I98" s="27" t="n"/>
      <c r="J98" s="35" t="n"/>
      <c r="K98" s="35" t="n"/>
      <c r="L98" s="35" t="n"/>
      <c r="M98" s="35" t="n"/>
      <c r="N98" s="35" t="n"/>
      <c r="O98" s="35" t="n"/>
      <c r="P98" s="35" t="n"/>
      <c r="Q98" s="35" t="n"/>
    </row>
    <row r="99" ht="14.25" customHeight="1" s="398">
      <c r="A99" s="35" t="n"/>
      <c r="B99" s="35" t="n"/>
      <c r="C99" s="35" t="n"/>
      <c r="D99" s="35" t="n"/>
      <c r="E99" s="35" t="n"/>
      <c r="F99" s="35" t="n"/>
      <c r="G99" s="35" t="n"/>
      <c r="H99" s="35" t="n"/>
      <c r="I99" s="27" t="n"/>
      <c r="J99" s="35" t="n"/>
      <c r="K99" s="35" t="n"/>
      <c r="L99" s="35" t="n"/>
      <c r="M99" s="35" t="n"/>
      <c r="N99" s="35" t="n"/>
      <c r="O99" s="35" t="n"/>
      <c r="P99" s="35" t="n"/>
      <c r="Q99" s="35" t="n"/>
    </row>
    <row r="100" ht="14.25" customHeight="1" s="398">
      <c r="A100" s="35" t="n"/>
      <c r="B100" s="35" t="n"/>
      <c r="C100" s="35" t="n"/>
      <c r="D100" s="35" t="n"/>
      <c r="E100" s="35" t="n"/>
      <c r="F100" s="35" t="n"/>
      <c r="G100" s="35" t="n"/>
      <c r="H100" s="35" t="n"/>
      <c r="I100" s="27" t="n"/>
      <c r="J100" s="35" t="n"/>
      <c r="K100" s="35" t="n"/>
      <c r="L100" s="35" t="n"/>
      <c r="M100" s="35" t="n"/>
      <c r="N100" s="35" t="n"/>
      <c r="O100" s="35" t="n"/>
      <c r="P100" s="35" t="n"/>
      <c r="Q100" s="35" t="n"/>
    </row>
    <row r="101" ht="14.25" customHeight="1" s="398">
      <c r="A101" s="35" t="n"/>
      <c r="B101" s="35" t="n"/>
      <c r="C101" s="35" t="n"/>
      <c r="D101" s="35" t="n"/>
      <c r="E101" s="35" t="n"/>
      <c r="F101" s="35" t="n"/>
      <c r="G101" s="35" t="n"/>
      <c r="H101" s="35" t="n"/>
      <c r="I101" s="27" t="n"/>
      <c r="J101" s="35" t="n"/>
      <c r="K101" s="35" t="n"/>
      <c r="L101" s="35" t="n"/>
      <c r="M101" s="35" t="n"/>
      <c r="N101" s="35" t="n"/>
      <c r="O101" s="35" t="n"/>
      <c r="P101" s="35" t="n"/>
      <c r="Q101" s="35" t="n"/>
    </row>
    <row r="102" ht="14.25" customHeight="1" s="398">
      <c r="A102" s="35" t="n"/>
      <c r="B102" s="35" t="n"/>
      <c r="C102" s="35" t="n"/>
      <c r="D102" s="35" t="n"/>
      <c r="E102" s="35" t="n"/>
      <c r="F102" s="35" t="n"/>
      <c r="G102" s="35" t="n"/>
      <c r="H102" s="35" t="n"/>
      <c r="I102" s="27" t="n"/>
      <c r="J102" s="35" t="n"/>
      <c r="K102" s="35" t="n"/>
      <c r="L102" s="35" t="n"/>
      <c r="M102" s="35" t="n"/>
      <c r="N102" s="35" t="n"/>
      <c r="O102" s="35" t="n"/>
      <c r="P102" s="35" t="n"/>
      <c r="Q102" s="35" t="n"/>
    </row>
    <row r="103" ht="14.25" customHeight="1" s="398">
      <c r="A103" s="35" t="n"/>
      <c r="B103" s="35" t="n"/>
      <c r="C103" s="35" t="n"/>
      <c r="D103" s="35" t="n"/>
      <c r="E103" s="35" t="n"/>
      <c r="F103" s="35" t="n"/>
      <c r="G103" s="35" t="n"/>
      <c r="H103" s="35" t="n"/>
      <c r="I103" s="27" t="n"/>
      <c r="J103" s="35" t="n"/>
      <c r="K103" s="35" t="n"/>
      <c r="L103" s="35" t="n"/>
      <c r="M103" s="35" t="n"/>
      <c r="N103" s="35" t="n"/>
      <c r="O103" s="35" t="n"/>
      <c r="P103" s="35" t="n"/>
      <c r="Q103" s="35" t="n"/>
    </row>
    <row r="104" ht="14.25" customHeight="1" s="398">
      <c r="A104" s="35" t="n"/>
      <c r="B104" s="35" t="n"/>
      <c r="C104" s="35" t="n"/>
      <c r="D104" s="35" t="n"/>
      <c r="E104" s="35" t="n"/>
      <c r="F104" s="35" t="n"/>
      <c r="G104" s="35" t="n"/>
      <c r="H104" s="35" t="n"/>
      <c r="I104" s="27" t="n"/>
      <c r="J104" s="35" t="n"/>
      <c r="K104" s="35" t="n"/>
      <c r="L104" s="35" t="n"/>
      <c r="M104" s="35" t="n"/>
      <c r="N104" s="35" t="n"/>
      <c r="O104" s="35" t="n"/>
      <c r="P104" s="35" t="n"/>
      <c r="Q104" s="35" t="n"/>
    </row>
    <row r="105" ht="14.25" customHeight="1" s="398">
      <c r="A105" s="35" t="n"/>
      <c r="B105" s="35" t="n"/>
      <c r="C105" s="35" t="n"/>
      <c r="D105" s="35" t="n"/>
      <c r="E105" s="35" t="n"/>
      <c r="F105" s="35" t="n"/>
      <c r="G105" s="35" t="n"/>
      <c r="H105" s="35" t="n"/>
      <c r="I105" s="27" t="n"/>
      <c r="J105" s="35" t="n"/>
      <c r="K105" s="35" t="n"/>
      <c r="L105" s="35" t="n"/>
      <c r="M105" s="35" t="n"/>
      <c r="N105" s="35" t="n"/>
      <c r="O105" s="35" t="n"/>
      <c r="P105" s="35" t="n"/>
      <c r="Q105" s="35" t="n"/>
    </row>
    <row r="106" ht="14.25" customHeight="1" s="398">
      <c r="A106" s="35" t="n"/>
      <c r="B106" s="35" t="n"/>
      <c r="C106" s="35" t="n"/>
      <c r="D106" s="35" t="n"/>
      <c r="E106" s="35" t="n"/>
      <c r="F106" s="35" t="n"/>
      <c r="G106" s="35" t="n"/>
      <c r="H106" s="35" t="n"/>
      <c r="I106" s="27" t="n"/>
      <c r="J106" s="35" t="n"/>
      <c r="K106" s="35" t="n"/>
      <c r="L106" s="35" t="n"/>
      <c r="M106" s="35" t="n"/>
      <c r="N106" s="35" t="n"/>
      <c r="O106" s="35" t="n"/>
      <c r="P106" s="35" t="n"/>
      <c r="Q106" s="35" t="n"/>
    </row>
    <row r="107" ht="14.25" customHeight="1" s="398">
      <c r="A107" s="35" t="n"/>
      <c r="B107" s="35" t="n"/>
      <c r="C107" s="35" t="n"/>
      <c r="D107" s="35" t="n"/>
      <c r="E107" s="35" t="n"/>
      <c r="F107" s="35" t="n"/>
      <c r="G107" s="35" t="n"/>
      <c r="H107" s="35" t="n"/>
      <c r="I107" s="27" t="n"/>
      <c r="J107" s="35" t="n"/>
      <c r="K107" s="35" t="n"/>
      <c r="L107" s="35" t="n"/>
      <c r="M107" s="35" t="n"/>
      <c r="N107" s="35" t="n"/>
      <c r="O107" s="35" t="n"/>
      <c r="P107" s="35" t="n"/>
      <c r="Q107" s="35" t="n"/>
    </row>
    <row r="108" ht="14.25" customHeight="1" s="398">
      <c r="A108" s="35" t="n"/>
      <c r="B108" s="35" t="n"/>
      <c r="C108" s="35" t="n"/>
      <c r="D108" s="35" t="n"/>
      <c r="E108" s="35" t="n"/>
      <c r="F108" s="35" t="n"/>
      <c r="G108" s="35" t="n"/>
      <c r="H108" s="35" t="n"/>
      <c r="I108" s="27" t="n"/>
      <c r="J108" s="35" t="n"/>
      <c r="K108" s="35" t="n"/>
      <c r="L108" s="35" t="n"/>
      <c r="M108" s="35" t="n"/>
      <c r="N108" s="35" t="n"/>
      <c r="O108" s="35" t="n"/>
      <c r="P108" s="35" t="n"/>
      <c r="Q108" s="35" t="n"/>
    </row>
    <row r="109" ht="14.25" customHeight="1" s="398">
      <c r="A109" s="35" t="n"/>
      <c r="B109" s="35" t="n"/>
      <c r="C109" s="35" t="n"/>
      <c r="D109" s="35" t="n"/>
      <c r="E109" s="35" t="n"/>
      <c r="F109" s="35" t="n"/>
      <c r="G109" s="35" t="n"/>
      <c r="H109" s="35" t="n"/>
      <c r="I109" s="27" t="n"/>
      <c r="J109" s="35" t="n"/>
      <c r="K109" s="35" t="n"/>
      <c r="L109" s="35" t="n"/>
      <c r="M109" s="35" t="n"/>
      <c r="N109" s="35" t="n"/>
      <c r="O109" s="35" t="n"/>
      <c r="P109" s="35" t="n"/>
      <c r="Q109" s="35" t="n"/>
    </row>
    <row r="110" ht="14.25" customHeight="1" s="398">
      <c r="A110" s="35" t="n"/>
      <c r="B110" s="35" t="n"/>
      <c r="C110" s="35" t="n"/>
      <c r="D110" s="35" t="n"/>
      <c r="E110" s="35" t="n"/>
      <c r="F110" s="35" t="n"/>
      <c r="G110" s="35" t="n"/>
      <c r="H110" s="35" t="n"/>
      <c r="I110" s="27" t="n"/>
      <c r="J110" s="35" t="n"/>
      <c r="K110" s="35" t="n"/>
      <c r="L110" s="35" t="n"/>
      <c r="M110" s="35" t="n"/>
      <c r="N110" s="35" t="n"/>
      <c r="O110" s="35" t="n"/>
      <c r="P110" s="35" t="n"/>
      <c r="Q110" s="35" t="n"/>
    </row>
    <row r="111" ht="14.25" customHeight="1" s="398">
      <c r="A111" s="35" t="n"/>
      <c r="B111" s="35" t="n"/>
      <c r="C111" s="35" t="n"/>
      <c r="D111" s="35" t="n"/>
      <c r="E111" s="35" t="n"/>
      <c r="F111" s="35" t="n"/>
      <c r="G111" s="35" t="n"/>
      <c r="H111" s="35" t="n"/>
      <c r="I111" s="27" t="n"/>
      <c r="J111" s="35" t="n"/>
      <c r="K111" s="35" t="n"/>
      <c r="L111" s="35" t="n"/>
      <c r="M111" s="35" t="n"/>
      <c r="N111" s="35" t="n"/>
      <c r="O111" s="35" t="n"/>
      <c r="P111" s="35" t="n"/>
      <c r="Q111" s="35" t="n"/>
    </row>
    <row r="112" ht="14.25" customHeight="1" s="398">
      <c r="A112" s="35" t="n"/>
      <c r="B112" s="35" t="n"/>
      <c r="C112" s="35" t="n"/>
      <c r="D112" s="35" t="n"/>
      <c r="E112" s="35" t="n"/>
      <c r="F112" s="35" t="n"/>
      <c r="G112" s="35" t="n"/>
      <c r="H112" s="35" t="n"/>
      <c r="I112" s="27" t="n"/>
      <c r="J112" s="35" t="n"/>
      <c r="K112" s="35" t="n"/>
      <c r="L112" s="35" t="n"/>
      <c r="M112" s="35" t="n"/>
      <c r="N112" s="35" t="n"/>
      <c r="O112" s="35" t="n"/>
      <c r="P112" s="35" t="n"/>
      <c r="Q112" s="35" t="n"/>
    </row>
    <row r="113" ht="14.25" customHeight="1" s="398">
      <c r="A113" s="35" t="n"/>
      <c r="B113" s="35" t="n"/>
      <c r="C113" s="35" t="n"/>
      <c r="D113" s="35" t="n"/>
      <c r="E113" s="35" t="n"/>
      <c r="F113" s="35" t="n"/>
      <c r="G113" s="35" t="n"/>
      <c r="H113" s="35" t="n"/>
      <c r="I113" s="27" t="n"/>
      <c r="J113" s="35" t="n"/>
      <c r="K113" s="35" t="n"/>
      <c r="L113" s="35" t="n"/>
      <c r="M113" s="35" t="n"/>
      <c r="N113" s="35" t="n"/>
      <c r="O113" s="35" t="n"/>
      <c r="P113" s="35" t="n"/>
      <c r="Q113" s="35" t="n"/>
    </row>
    <row r="114" ht="14.25" customHeight="1" s="398">
      <c r="A114" s="35" t="n"/>
      <c r="B114" s="35" t="n"/>
      <c r="C114" s="35" t="n"/>
      <c r="D114" s="35" t="n"/>
      <c r="E114" s="35" t="n"/>
      <c r="F114" s="35" t="n"/>
      <c r="G114" s="35" t="n"/>
      <c r="H114" s="35" t="n"/>
      <c r="I114" s="27" t="n"/>
      <c r="J114" s="35" t="n"/>
      <c r="K114" s="35" t="n"/>
      <c r="L114" s="35" t="n"/>
      <c r="M114" s="35" t="n"/>
      <c r="N114" s="35" t="n"/>
      <c r="O114" s="35" t="n"/>
      <c r="P114" s="35" t="n"/>
      <c r="Q114" s="35" t="n"/>
    </row>
    <row r="115" ht="14.25" customHeight="1" s="398">
      <c r="A115" s="35" t="n"/>
      <c r="B115" s="35" t="n"/>
      <c r="C115" s="35" t="n"/>
      <c r="D115" s="35" t="n"/>
      <c r="E115" s="35" t="n"/>
      <c r="F115" s="35" t="n"/>
      <c r="G115" s="35" t="n"/>
      <c r="H115" s="35" t="n"/>
      <c r="I115" s="27" t="n"/>
      <c r="J115" s="35" t="n"/>
      <c r="K115" s="35" t="n"/>
      <c r="L115" s="35" t="n"/>
      <c r="M115" s="35" t="n"/>
      <c r="N115" s="35" t="n"/>
      <c r="O115" s="35" t="n"/>
      <c r="P115" s="35" t="n"/>
      <c r="Q115" s="35" t="n"/>
    </row>
    <row r="116" ht="14.25" customHeight="1" s="398">
      <c r="A116" s="35" t="n"/>
      <c r="B116" s="35" t="n"/>
      <c r="C116" s="35" t="n"/>
      <c r="D116" s="35" t="n"/>
      <c r="E116" s="35" t="n"/>
      <c r="F116" s="35" t="n"/>
      <c r="G116" s="35" t="n"/>
      <c r="H116" s="35" t="n"/>
      <c r="I116" s="27" t="n"/>
      <c r="J116" s="35" t="n"/>
      <c r="K116" s="35" t="n"/>
      <c r="L116" s="35" t="n"/>
      <c r="M116" s="35" t="n"/>
      <c r="N116" s="35" t="n"/>
      <c r="O116" s="35" t="n"/>
      <c r="P116" s="35" t="n"/>
      <c r="Q116" s="35" t="n"/>
    </row>
    <row r="117" ht="14.25" customHeight="1" s="398">
      <c r="A117" s="35" t="n"/>
      <c r="B117" s="35" t="n"/>
      <c r="C117" s="35" t="n"/>
      <c r="D117" s="35" t="n"/>
      <c r="E117" s="35" t="n"/>
      <c r="F117" s="35" t="n"/>
      <c r="G117" s="35" t="n"/>
      <c r="H117" s="35" t="n"/>
      <c r="I117" s="27" t="n"/>
      <c r="J117" s="35" t="n"/>
      <c r="K117" s="35" t="n"/>
      <c r="L117" s="35" t="n"/>
      <c r="M117" s="35" t="n"/>
      <c r="N117" s="35" t="n"/>
      <c r="O117" s="35" t="n"/>
      <c r="P117" s="35" t="n"/>
      <c r="Q117" s="35" t="n"/>
    </row>
    <row r="118" ht="14.25" customHeight="1" s="398">
      <c r="A118" s="35" t="n"/>
      <c r="B118" s="35" t="n"/>
      <c r="C118" s="35" t="n"/>
      <c r="D118" s="35" t="n"/>
      <c r="E118" s="35" t="n"/>
      <c r="F118" s="35" t="n"/>
      <c r="G118" s="35" t="n"/>
      <c r="H118" s="35" t="n"/>
      <c r="I118" s="27" t="n"/>
      <c r="J118" s="35" t="n"/>
      <c r="K118" s="35" t="n"/>
      <c r="L118" s="35" t="n"/>
      <c r="M118" s="35" t="n"/>
      <c r="N118" s="35" t="n"/>
      <c r="O118" s="35" t="n"/>
      <c r="P118" s="35" t="n"/>
      <c r="Q118" s="35" t="n"/>
    </row>
    <row r="119" ht="14.25" customHeight="1" s="398">
      <c r="A119" s="35" t="n"/>
      <c r="B119" s="35" t="n"/>
      <c r="C119" s="35" t="n"/>
      <c r="D119" s="35" t="n"/>
      <c r="E119" s="35" t="n"/>
      <c r="F119" s="35" t="n"/>
      <c r="G119" s="35" t="n"/>
      <c r="H119" s="35" t="n"/>
      <c r="I119" s="27" t="n"/>
      <c r="J119" s="35" t="n"/>
      <c r="K119" s="35" t="n"/>
      <c r="L119" s="35" t="n"/>
      <c r="M119" s="35" t="n"/>
      <c r="N119" s="35" t="n"/>
      <c r="O119" s="35" t="n"/>
      <c r="P119" s="35" t="n"/>
      <c r="Q119" s="35" t="n"/>
    </row>
    <row r="120" ht="14.25" customHeight="1" s="398">
      <c r="A120" s="35" t="n"/>
      <c r="B120" s="35" t="n"/>
      <c r="C120" s="35" t="n"/>
      <c r="D120" s="35" t="n"/>
      <c r="E120" s="35" t="n"/>
      <c r="F120" s="35" t="n"/>
      <c r="G120" s="35" t="n"/>
      <c r="H120" s="35" t="n"/>
      <c r="I120" s="27" t="n"/>
      <c r="J120" s="35" t="n"/>
      <c r="K120" s="35" t="n"/>
      <c r="L120" s="35" t="n"/>
      <c r="M120" s="35" t="n"/>
      <c r="N120" s="35" t="n"/>
      <c r="O120" s="35" t="n"/>
      <c r="P120" s="35" t="n"/>
      <c r="Q120" s="35" t="n"/>
    </row>
    <row r="121" ht="14.25" customHeight="1" s="398">
      <c r="A121" s="35" t="n"/>
      <c r="B121" s="35" t="n"/>
      <c r="C121" s="35" t="n"/>
      <c r="D121" s="35" t="n"/>
      <c r="E121" s="35" t="n"/>
      <c r="F121" s="35" t="n"/>
      <c r="G121" s="35" t="n"/>
      <c r="H121" s="35" t="n"/>
      <c r="I121" s="27" t="n"/>
      <c r="J121" s="35" t="n"/>
      <c r="K121" s="35" t="n"/>
      <c r="L121" s="35" t="n"/>
      <c r="M121" s="35" t="n"/>
      <c r="N121" s="35" t="n"/>
      <c r="O121" s="35" t="n"/>
      <c r="P121" s="35" t="n"/>
      <c r="Q121" s="35" t="n"/>
    </row>
    <row r="122" ht="14.25" customHeight="1" s="398">
      <c r="A122" s="35" t="n"/>
      <c r="B122" s="35" t="n"/>
      <c r="C122" s="35" t="n"/>
      <c r="D122" s="35" t="n"/>
      <c r="E122" s="35" t="n"/>
      <c r="F122" s="35" t="n"/>
      <c r="G122" s="35" t="n"/>
      <c r="H122" s="35" t="n"/>
      <c r="I122" s="27" t="n"/>
      <c r="J122" s="35" t="n"/>
      <c r="K122" s="35" t="n"/>
      <c r="L122" s="35" t="n"/>
      <c r="M122" s="35" t="n"/>
      <c r="N122" s="35" t="n"/>
      <c r="O122" s="35" t="n"/>
      <c r="P122" s="35" t="n"/>
      <c r="Q122" s="35" t="n"/>
    </row>
    <row r="123" ht="14.25" customHeight="1" s="398">
      <c r="A123" s="35" t="n"/>
      <c r="B123" s="35" t="n"/>
      <c r="C123" s="35" t="n"/>
      <c r="D123" s="35" t="n"/>
      <c r="E123" s="35" t="n"/>
      <c r="F123" s="35" t="n"/>
      <c r="G123" s="35" t="n"/>
      <c r="H123" s="35" t="n"/>
      <c r="I123" s="27" t="n"/>
      <c r="J123" s="35" t="n"/>
      <c r="K123" s="35" t="n"/>
      <c r="L123" s="35" t="n"/>
      <c r="M123" s="35" t="n"/>
      <c r="N123" s="35" t="n"/>
      <c r="O123" s="35" t="n"/>
      <c r="P123" s="35" t="n"/>
      <c r="Q123" s="35" t="n"/>
    </row>
    <row r="124" ht="14.25" customHeight="1" s="398">
      <c r="A124" s="35" t="n"/>
      <c r="B124" s="35" t="n"/>
      <c r="C124" s="35" t="n"/>
      <c r="D124" s="35" t="n"/>
      <c r="E124" s="35" t="n"/>
      <c r="F124" s="35" t="n"/>
      <c r="G124" s="35" t="n"/>
      <c r="H124" s="35" t="n"/>
      <c r="I124" s="27" t="n"/>
      <c r="J124" s="35" t="n"/>
      <c r="K124" s="35" t="n"/>
      <c r="L124" s="35" t="n"/>
      <c r="M124" s="35" t="n"/>
      <c r="N124" s="35" t="n"/>
      <c r="O124" s="35" t="n"/>
      <c r="P124" s="35" t="n"/>
      <c r="Q124" s="35" t="n"/>
    </row>
    <row r="125" ht="14.25" customHeight="1" s="398">
      <c r="A125" s="35" t="n"/>
      <c r="B125" s="35" t="n"/>
      <c r="C125" s="35" t="n"/>
      <c r="D125" s="35" t="n"/>
      <c r="E125" s="35" t="n"/>
      <c r="F125" s="35" t="n"/>
      <c r="G125" s="35" t="n"/>
      <c r="H125" s="35" t="n"/>
      <c r="I125" s="27" t="n"/>
      <c r="J125" s="35" t="n"/>
      <c r="K125" s="35" t="n"/>
      <c r="L125" s="35" t="n"/>
      <c r="M125" s="35" t="n"/>
      <c r="N125" s="35" t="n"/>
      <c r="O125" s="35" t="n"/>
      <c r="P125" s="35" t="n"/>
      <c r="Q125" s="35" t="n"/>
    </row>
    <row r="126" ht="14.25" customHeight="1" s="398">
      <c r="A126" s="35" t="n"/>
      <c r="B126" s="35" t="n"/>
      <c r="C126" s="35" t="n"/>
      <c r="D126" s="35" t="n"/>
      <c r="E126" s="35" t="n"/>
      <c r="F126" s="35" t="n"/>
      <c r="G126" s="35" t="n"/>
      <c r="H126" s="35" t="n"/>
      <c r="I126" s="27" t="n"/>
      <c r="J126" s="35" t="n"/>
      <c r="K126" s="35" t="n"/>
      <c r="L126" s="35" t="n"/>
      <c r="M126" s="35" t="n"/>
      <c r="N126" s="35" t="n"/>
      <c r="O126" s="35" t="n"/>
      <c r="P126" s="35" t="n"/>
      <c r="Q126" s="35" t="n"/>
    </row>
    <row r="127" ht="14.25" customHeight="1" s="398">
      <c r="A127" s="35" t="n"/>
      <c r="B127" s="35" t="n"/>
      <c r="C127" s="35" t="n"/>
      <c r="D127" s="35" t="n"/>
      <c r="E127" s="35" t="n"/>
      <c r="F127" s="35" t="n"/>
      <c r="G127" s="35" t="n"/>
      <c r="H127" s="35" t="n"/>
      <c r="I127" s="27" t="n"/>
      <c r="J127" s="35" t="n"/>
      <c r="K127" s="35" t="n"/>
      <c r="L127" s="35" t="n"/>
      <c r="M127" s="35" t="n"/>
      <c r="N127" s="35" t="n"/>
      <c r="O127" s="35" t="n"/>
      <c r="P127" s="35" t="n"/>
      <c r="Q127" s="35" t="n"/>
    </row>
    <row r="128" ht="14.25" customHeight="1" s="398">
      <c r="A128" s="35" t="n"/>
      <c r="B128" s="35" t="n"/>
      <c r="C128" s="35" t="n"/>
      <c r="D128" s="35" t="n"/>
      <c r="E128" s="35" t="n"/>
      <c r="F128" s="35" t="n"/>
      <c r="G128" s="35" t="n"/>
      <c r="H128" s="35" t="n"/>
      <c r="I128" s="27" t="n"/>
      <c r="J128" s="35" t="n"/>
      <c r="K128" s="35" t="n"/>
      <c r="L128" s="35" t="n"/>
      <c r="M128" s="35" t="n"/>
      <c r="N128" s="35" t="n"/>
      <c r="O128" s="35" t="n"/>
      <c r="P128" s="35" t="n"/>
      <c r="Q128" s="35" t="n"/>
    </row>
    <row r="129" ht="14.25" customHeight="1" s="398">
      <c r="A129" s="35" t="n"/>
      <c r="B129" s="35" t="n"/>
      <c r="C129" s="35" t="n"/>
      <c r="D129" s="35" t="n"/>
      <c r="E129" s="35" t="n"/>
      <c r="F129" s="35" t="n"/>
      <c r="G129" s="35" t="n"/>
      <c r="H129" s="35" t="n"/>
      <c r="I129" s="27" t="n"/>
      <c r="J129" s="35" t="n"/>
      <c r="K129" s="35" t="n"/>
      <c r="L129" s="35" t="n"/>
      <c r="M129" s="35" t="n"/>
      <c r="N129" s="35" t="n"/>
      <c r="O129" s="35" t="n"/>
      <c r="P129" s="35" t="n"/>
      <c r="Q129" s="35" t="n"/>
    </row>
    <row r="130" ht="14.25" customHeight="1" s="398">
      <c r="A130" s="35" t="n"/>
      <c r="B130" s="35" t="n"/>
      <c r="C130" s="35" t="n"/>
      <c r="D130" s="35" t="n"/>
      <c r="E130" s="35" t="n"/>
      <c r="F130" s="35" t="n"/>
      <c r="G130" s="35" t="n"/>
      <c r="H130" s="35" t="n"/>
      <c r="I130" s="27" t="n"/>
      <c r="J130" s="35" t="n"/>
      <c r="K130" s="35" t="n"/>
      <c r="L130" s="35" t="n"/>
      <c r="M130" s="35" t="n"/>
      <c r="N130" s="35" t="n"/>
      <c r="O130" s="35" t="n"/>
      <c r="P130" s="35" t="n"/>
      <c r="Q130" s="35" t="n"/>
    </row>
    <row r="131" ht="14.25" customHeight="1" s="398">
      <c r="A131" s="35" t="n"/>
      <c r="B131" s="35" t="n"/>
      <c r="C131" s="35" t="n"/>
      <c r="D131" s="35" t="n"/>
      <c r="E131" s="35" t="n"/>
      <c r="F131" s="35" t="n"/>
      <c r="G131" s="35" t="n"/>
      <c r="H131" s="35" t="n"/>
      <c r="I131" s="27" t="n"/>
      <c r="J131" s="35" t="n"/>
      <c r="K131" s="35" t="n"/>
      <c r="L131" s="35" t="n"/>
      <c r="M131" s="35" t="n"/>
      <c r="N131" s="35" t="n"/>
      <c r="O131" s="35" t="n"/>
      <c r="P131" s="35" t="n"/>
      <c r="Q131" s="35" t="n"/>
    </row>
    <row r="132" ht="14.25" customHeight="1" s="398">
      <c r="A132" s="35" t="n"/>
      <c r="B132" s="35" t="n"/>
      <c r="C132" s="35" t="n"/>
      <c r="D132" s="35" t="n"/>
      <c r="E132" s="35" t="n"/>
      <c r="F132" s="35" t="n"/>
      <c r="G132" s="35" t="n"/>
      <c r="H132" s="35" t="n"/>
      <c r="I132" s="27" t="n"/>
      <c r="J132" s="35" t="n"/>
      <c r="K132" s="35" t="n"/>
      <c r="L132" s="35" t="n"/>
      <c r="M132" s="35" t="n"/>
      <c r="N132" s="35" t="n"/>
      <c r="O132" s="35" t="n"/>
      <c r="P132" s="35" t="n"/>
      <c r="Q132" s="35" t="n"/>
    </row>
    <row r="133" ht="14.25" customHeight="1" s="398">
      <c r="A133" s="35" t="n"/>
      <c r="B133" s="35" t="n"/>
      <c r="C133" s="35" t="n"/>
      <c r="D133" s="35" t="n"/>
      <c r="E133" s="35" t="n"/>
      <c r="F133" s="35" t="n"/>
      <c r="G133" s="35" t="n"/>
      <c r="H133" s="35" t="n"/>
      <c r="I133" s="27" t="n"/>
      <c r="J133" s="35" t="n"/>
      <c r="K133" s="35" t="n"/>
      <c r="L133" s="35" t="n"/>
      <c r="M133" s="35" t="n"/>
      <c r="N133" s="35" t="n"/>
      <c r="O133" s="35" t="n"/>
      <c r="P133" s="35" t="n"/>
      <c r="Q133" s="35" t="n"/>
    </row>
    <row r="134" ht="14.25" customHeight="1" s="398">
      <c r="A134" s="35" t="n"/>
      <c r="B134" s="35" t="n"/>
      <c r="C134" s="35" t="n"/>
      <c r="D134" s="35" t="n"/>
      <c r="E134" s="35" t="n"/>
      <c r="F134" s="35" t="n"/>
      <c r="G134" s="35" t="n"/>
      <c r="H134" s="35" t="n"/>
      <c r="I134" s="27" t="n"/>
      <c r="J134" s="35" t="n"/>
      <c r="K134" s="35" t="n"/>
      <c r="L134" s="35" t="n"/>
      <c r="M134" s="35" t="n"/>
      <c r="N134" s="35" t="n"/>
      <c r="O134" s="35" t="n"/>
      <c r="P134" s="35" t="n"/>
      <c r="Q134" s="35" t="n"/>
    </row>
    <row r="135" ht="14.25" customHeight="1" s="398">
      <c r="A135" s="35" t="n"/>
      <c r="B135" s="35" t="n"/>
      <c r="C135" s="35" t="n"/>
      <c r="D135" s="35" t="n"/>
      <c r="E135" s="35" t="n"/>
      <c r="F135" s="35" t="n"/>
      <c r="G135" s="35" t="n"/>
      <c r="H135" s="35" t="n"/>
      <c r="I135" s="27" t="n"/>
      <c r="J135" s="35" t="n"/>
      <c r="K135" s="35" t="n"/>
      <c r="L135" s="35" t="n"/>
      <c r="M135" s="35" t="n"/>
      <c r="N135" s="35" t="n"/>
      <c r="O135" s="35" t="n"/>
      <c r="P135" s="35" t="n"/>
      <c r="Q135" s="35" t="n"/>
    </row>
    <row r="136" ht="14.25" customHeight="1" s="398">
      <c r="A136" s="35" t="n"/>
      <c r="B136" s="35" t="n"/>
      <c r="C136" s="35" t="n"/>
      <c r="D136" s="35" t="n"/>
      <c r="E136" s="35" t="n"/>
      <c r="F136" s="35" t="n"/>
      <c r="G136" s="35" t="n"/>
      <c r="H136" s="35" t="n"/>
      <c r="I136" s="27" t="n"/>
      <c r="J136" s="35" t="n"/>
      <c r="K136" s="35" t="n"/>
      <c r="L136" s="35" t="n"/>
      <c r="M136" s="35" t="n"/>
      <c r="N136" s="35" t="n"/>
      <c r="O136" s="35" t="n"/>
      <c r="P136" s="35" t="n"/>
      <c r="Q136" s="35" t="n"/>
    </row>
    <row r="137" ht="14.25" customHeight="1" s="398">
      <c r="A137" s="35" t="n"/>
      <c r="B137" s="35" t="n"/>
      <c r="C137" s="35" t="n"/>
      <c r="D137" s="35" t="n"/>
      <c r="E137" s="35" t="n"/>
      <c r="F137" s="35" t="n"/>
      <c r="G137" s="35" t="n"/>
      <c r="H137" s="35" t="n"/>
      <c r="I137" s="27" t="n"/>
      <c r="J137" s="35" t="n"/>
      <c r="K137" s="35" t="n"/>
      <c r="L137" s="35" t="n"/>
      <c r="M137" s="35" t="n"/>
      <c r="N137" s="35" t="n"/>
      <c r="O137" s="35" t="n"/>
      <c r="P137" s="35" t="n"/>
      <c r="Q137" s="35" t="n"/>
    </row>
    <row r="138" ht="14.25" customHeight="1" s="398">
      <c r="A138" s="35" t="n"/>
      <c r="B138" s="35" t="n"/>
      <c r="C138" s="35" t="n"/>
      <c r="D138" s="35" t="n"/>
      <c r="E138" s="35" t="n"/>
      <c r="F138" s="35" t="n"/>
      <c r="G138" s="35" t="n"/>
      <c r="H138" s="35" t="n"/>
      <c r="I138" s="27" t="n"/>
      <c r="J138" s="35" t="n"/>
      <c r="K138" s="35" t="n"/>
      <c r="L138" s="35" t="n"/>
      <c r="M138" s="35" t="n"/>
      <c r="N138" s="35" t="n"/>
      <c r="O138" s="35" t="n"/>
      <c r="P138" s="35" t="n"/>
      <c r="Q138" s="35" t="n"/>
    </row>
    <row r="139" ht="14.25" customHeight="1" s="398">
      <c r="A139" s="35" t="n"/>
      <c r="B139" s="35" t="n"/>
      <c r="C139" s="35" t="n"/>
      <c r="D139" s="35" t="n"/>
      <c r="E139" s="35" t="n"/>
      <c r="F139" s="35" t="n"/>
      <c r="G139" s="35" t="n"/>
      <c r="H139" s="35" t="n"/>
      <c r="I139" s="27" t="n"/>
      <c r="J139" s="35" t="n"/>
      <c r="K139" s="35" t="n"/>
      <c r="L139" s="35" t="n"/>
      <c r="M139" s="35" t="n"/>
      <c r="N139" s="35" t="n"/>
      <c r="O139" s="35" t="n"/>
      <c r="P139" s="35" t="n"/>
      <c r="Q139" s="35" t="n"/>
    </row>
    <row r="140" ht="14.25" customHeight="1" s="398">
      <c r="A140" s="35" t="n"/>
      <c r="B140" s="35" t="n"/>
      <c r="C140" s="35" t="n"/>
      <c r="D140" s="35" t="n"/>
      <c r="E140" s="35" t="n"/>
      <c r="F140" s="35" t="n"/>
      <c r="G140" s="35" t="n"/>
      <c r="H140" s="35" t="n"/>
      <c r="I140" s="27" t="n"/>
      <c r="J140" s="35" t="n"/>
      <c r="K140" s="35" t="n"/>
      <c r="L140" s="35" t="n"/>
      <c r="M140" s="35" t="n"/>
      <c r="N140" s="35" t="n"/>
      <c r="O140" s="35" t="n"/>
      <c r="P140" s="35" t="n"/>
      <c r="Q140" s="35" t="n"/>
    </row>
    <row r="141" ht="14.25" customHeight="1" s="398">
      <c r="A141" s="35" t="n"/>
      <c r="B141" s="35" t="n"/>
      <c r="C141" s="35" t="n"/>
      <c r="D141" s="35" t="n"/>
      <c r="E141" s="35" t="n"/>
      <c r="F141" s="35" t="n"/>
      <c r="G141" s="35" t="n"/>
      <c r="H141" s="35" t="n"/>
      <c r="I141" s="27" t="n"/>
      <c r="J141" s="35" t="n"/>
      <c r="K141" s="35" t="n"/>
      <c r="L141" s="35" t="n"/>
      <c r="M141" s="35" t="n"/>
      <c r="N141" s="35" t="n"/>
      <c r="O141" s="35" t="n"/>
      <c r="P141" s="35" t="n"/>
      <c r="Q141" s="35" t="n"/>
    </row>
    <row r="142" ht="14.25" customHeight="1" s="398">
      <c r="A142" s="35" t="n"/>
      <c r="B142" s="35" t="n"/>
      <c r="C142" s="35" t="n"/>
      <c r="D142" s="35" t="n"/>
      <c r="E142" s="35" t="n"/>
      <c r="F142" s="35" t="n"/>
      <c r="G142" s="35" t="n"/>
      <c r="H142" s="35" t="n"/>
      <c r="I142" s="27" t="n"/>
      <c r="J142" s="35" t="n"/>
      <c r="K142" s="35" t="n"/>
      <c r="L142" s="35" t="n"/>
      <c r="M142" s="35" t="n"/>
      <c r="N142" s="35" t="n"/>
      <c r="O142" s="35" t="n"/>
      <c r="P142" s="35" t="n"/>
      <c r="Q142" s="35" t="n"/>
    </row>
    <row r="143" ht="14.25" customHeight="1" s="398">
      <c r="A143" s="35" t="n"/>
      <c r="B143" s="35" t="n"/>
      <c r="C143" s="35" t="n"/>
      <c r="D143" s="35" t="n"/>
      <c r="E143" s="35" t="n"/>
      <c r="F143" s="35" t="n"/>
      <c r="G143" s="35" t="n"/>
      <c r="H143" s="35" t="n"/>
      <c r="I143" s="27" t="n"/>
      <c r="J143" s="35" t="n"/>
      <c r="K143" s="35" t="n"/>
      <c r="L143" s="35" t="n"/>
      <c r="M143" s="35" t="n"/>
      <c r="N143" s="35" t="n"/>
      <c r="O143" s="35" t="n"/>
      <c r="P143" s="35" t="n"/>
      <c r="Q143" s="35" t="n"/>
    </row>
    <row r="144" ht="14.25" customHeight="1" s="398">
      <c r="A144" s="35" t="n"/>
      <c r="B144" s="35" t="n"/>
      <c r="C144" s="35" t="n"/>
      <c r="D144" s="35" t="n"/>
      <c r="E144" s="35" t="n"/>
      <c r="F144" s="35" t="n"/>
      <c r="G144" s="35" t="n"/>
      <c r="H144" s="35" t="n"/>
      <c r="I144" s="27" t="n"/>
      <c r="J144" s="35" t="n"/>
      <c r="K144" s="35" t="n"/>
      <c r="L144" s="35" t="n"/>
      <c r="M144" s="35" t="n"/>
      <c r="N144" s="35" t="n"/>
      <c r="O144" s="35" t="n"/>
      <c r="P144" s="35" t="n"/>
      <c r="Q144" s="35" t="n"/>
    </row>
    <row r="145" ht="14.25" customHeight="1" s="398">
      <c r="A145" s="35" t="n"/>
      <c r="B145" s="35" t="n"/>
      <c r="C145" s="35" t="n"/>
      <c r="D145" s="35" t="n"/>
      <c r="E145" s="35" t="n"/>
      <c r="F145" s="35" t="n"/>
      <c r="G145" s="35" t="n"/>
      <c r="H145" s="35" t="n"/>
      <c r="I145" s="27" t="n"/>
      <c r="J145" s="35" t="n"/>
      <c r="K145" s="35" t="n"/>
      <c r="L145" s="35" t="n"/>
      <c r="M145" s="35" t="n"/>
      <c r="N145" s="35" t="n"/>
      <c r="O145" s="35" t="n"/>
      <c r="P145" s="35" t="n"/>
      <c r="Q145" s="35" t="n"/>
    </row>
    <row r="146" ht="14.25" customHeight="1" s="398">
      <c r="A146" s="35" t="n"/>
      <c r="B146" s="35" t="n"/>
      <c r="C146" s="35" t="n"/>
      <c r="D146" s="35" t="n"/>
      <c r="E146" s="35" t="n"/>
      <c r="F146" s="35" t="n"/>
      <c r="G146" s="35" t="n"/>
      <c r="H146" s="35" t="n"/>
      <c r="I146" s="27" t="n"/>
      <c r="J146" s="35" t="n"/>
      <c r="K146" s="35" t="n"/>
      <c r="L146" s="35" t="n"/>
      <c r="M146" s="35" t="n"/>
      <c r="N146" s="35" t="n"/>
      <c r="O146" s="35" t="n"/>
      <c r="P146" s="35" t="n"/>
      <c r="Q146" s="35" t="n"/>
    </row>
    <row r="147" ht="14.25" customHeight="1" s="398">
      <c r="A147" s="35" t="n"/>
      <c r="B147" s="35" t="n"/>
      <c r="C147" s="35" t="n"/>
      <c r="D147" s="35" t="n"/>
      <c r="E147" s="35" t="n"/>
      <c r="F147" s="35" t="n"/>
      <c r="G147" s="35" t="n"/>
      <c r="H147" s="35" t="n"/>
      <c r="I147" s="27" t="n"/>
      <c r="J147" s="35" t="n"/>
      <c r="K147" s="35" t="n"/>
      <c r="L147" s="35" t="n"/>
      <c r="M147" s="35" t="n"/>
      <c r="N147" s="35" t="n"/>
      <c r="O147" s="35" t="n"/>
      <c r="P147" s="35" t="n"/>
      <c r="Q147" s="35" t="n"/>
    </row>
    <row r="148" ht="14.25" customHeight="1" s="398">
      <c r="A148" s="35" t="n"/>
      <c r="B148" s="35" t="n"/>
      <c r="C148" s="35" t="n"/>
      <c r="D148" s="35" t="n"/>
      <c r="E148" s="35" t="n"/>
      <c r="F148" s="35" t="n"/>
      <c r="G148" s="35" t="n"/>
      <c r="H148" s="35" t="n"/>
      <c r="I148" s="27" t="n"/>
      <c r="J148" s="35" t="n"/>
      <c r="K148" s="35" t="n"/>
      <c r="L148" s="35" t="n"/>
      <c r="M148" s="35" t="n"/>
      <c r="N148" s="35" t="n"/>
      <c r="O148" s="35" t="n"/>
      <c r="P148" s="35" t="n"/>
      <c r="Q148" s="35" t="n"/>
    </row>
    <row r="149" ht="14.25" customHeight="1" s="398">
      <c r="A149" s="35" t="n"/>
      <c r="B149" s="35" t="n"/>
      <c r="C149" s="35" t="n"/>
      <c r="D149" s="35" t="n"/>
      <c r="E149" s="35" t="n"/>
      <c r="F149" s="35" t="n"/>
      <c r="G149" s="35" t="n"/>
      <c r="H149" s="35" t="n"/>
      <c r="I149" s="27" t="n"/>
      <c r="J149" s="35" t="n"/>
      <c r="K149" s="35" t="n"/>
      <c r="L149" s="35" t="n"/>
      <c r="M149" s="35" t="n"/>
      <c r="N149" s="35" t="n"/>
      <c r="O149" s="35" t="n"/>
      <c r="P149" s="35" t="n"/>
      <c r="Q149" s="35" t="n"/>
    </row>
    <row r="150" ht="14.25" customHeight="1" s="398">
      <c r="A150" s="35" t="n"/>
      <c r="B150" s="35" t="n"/>
      <c r="C150" s="35" t="n"/>
      <c r="D150" s="35" t="n"/>
      <c r="E150" s="35" t="n"/>
      <c r="F150" s="35" t="n"/>
      <c r="G150" s="35" t="n"/>
      <c r="H150" s="35" t="n"/>
      <c r="I150" s="27" t="n"/>
      <c r="J150" s="35" t="n"/>
      <c r="K150" s="35" t="n"/>
      <c r="L150" s="35" t="n"/>
      <c r="M150" s="35" t="n"/>
      <c r="N150" s="35" t="n"/>
      <c r="O150" s="35" t="n"/>
      <c r="P150" s="35" t="n"/>
      <c r="Q150" s="35" t="n"/>
    </row>
    <row r="151" ht="14.25" customHeight="1" s="398">
      <c r="A151" s="35" t="n"/>
      <c r="B151" s="35" t="n"/>
      <c r="C151" s="35" t="n"/>
      <c r="D151" s="35" t="n"/>
      <c r="E151" s="35" t="n"/>
      <c r="F151" s="35" t="n"/>
      <c r="G151" s="35" t="n"/>
      <c r="H151" s="35" t="n"/>
      <c r="I151" s="27" t="n"/>
      <c r="J151" s="35" t="n"/>
      <c r="K151" s="35" t="n"/>
      <c r="L151" s="35" t="n"/>
      <c r="M151" s="35" t="n"/>
      <c r="N151" s="35" t="n"/>
      <c r="O151" s="35" t="n"/>
      <c r="P151" s="35" t="n"/>
      <c r="Q151" s="35" t="n"/>
    </row>
    <row r="152" ht="14.25" customHeight="1" s="398">
      <c r="A152" s="35" t="n"/>
      <c r="B152" s="35" t="n"/>
      <c r="C152" s="35" t="n"/>
      <c r="D152" s="35" t="n"/>
      <c r="E152" s="35" t="n"/>
      <c r="F152" s="35" t="n"/>
      <c r="G152" s="35" t="n"/>
      <c r="H152" s="35" t="n"/>
      <c r="I152" s="27" t="n"/>
      <c r="J152" s="35" t="n"/>
      <c r="K152" s="35" t="n"/>
      <c r="L152" s="35" t="n"/>
      <c r="M152" s="35" t="n"/>
      <c r="N152" s="35" t="n"/>
      <c r="O152" s="35" t="n"/>
      <c r="P152" s="35" t="n"/>
      <c r="Q152" s="35" t="n"/>
    </row>
    <row r="153" ht="14.25" customHeight="1" s="398">
      <c r="A153" s="35" t="n"/>
      <c r="B153" s="35" t="n"/>
      <c r="C153" s="35" t="n"/>
      <c r="D153" s="35" t="n"/>
      <c r="E153" s="35" t="n"/>
      <c r="F153" s="35" t="n"/>
      <c r="G153" s="35" t="n"/>
      <c r="H153" s="35" t="n"/>
      <c r="I153" s="27" t="n"/>
      <c r="J153" s="35" t="n"/>
      <c r="K153" s="35" t="n"/>
      <c r="L153" s="35" t="n"/>
      <c r="M153" s="35" t="n"/>
      <c r="N153" s="35" t="n"/>
      <c r="O153" s="35" t="n"/>
      <c r="P153" s="35" t="n"/>
      <c r="Q153" s="35" t="n"/>
    </row>
    <row r="154" ht="14.25" customHeight="1" s="398">
      <c r="A154" s="35" t="n"/>
      <c r="B154" s="35" t="n"/>
      <c r="C154" s="35" t="n"/>
      <c r="D154" s="35" t="n"/>
      <c r="E154" s="35" t="n"/>
      <c r="F154" s="35" t="n"/>
      <c r="G154" s="35" t="n"/>
      <c r="H154" s="35" t="n"/>
      <c r="I154" s="27" t="n"/>
      <c r="J154" s="35" t="n"/>
      <c r="K154" s="35" t="n"/>
      <c r="L154" s="35" t="n"/>
      <c r="M154" s="35" t="n"/>
      <c r="N154" s="35" t="n"/>
      <c r="O154" s="35" t="n"/>
      <c r="P154" s="35" t="n"/>
      <c r="Q154" s="35" t="n"/>
    </row>
    <row r="155" ht="14.25" customHeight="1" s="398">
      <c r="A155" s="35" t="n"/>
      <c r="B155" s="35" t="n"/>
      <c r="C155" s="35" t="n"/>
      <c r="D155" s="35" t="n"/>
      <c r="E155" s="35" t="n"/>
      <c r="F155" s="35" t="n"/>
      <c r="G155" s="35" t="n"/>
      <c r="H155" s="35" t="n"/>
      <c r="I155" s="27" t="n"/>
      <c r="J155" s="35" t="n"/>
      <c r="K155" s="35" t="n"/>
      <c r="L155" s="35" t="n"/>
      <c r="M155" s="35" t="n"/>
      <c r="N155" s="35" t="n"/>
      <c r="O155" s="35" t="n"/>
      <c r="P155" s="35" t="n"/>
      <c r="Q155" s="35" t="n"/>
    </row>
    <row r="156" ht="14.25" customHeight="1" s="398">
      <c r="A156" s="35" t="n"/>
      <c r="B156" s="35" t="n"/>
      <c r="C156" s="35" t="n"/>
      <c r="D156" s="35" t="n"/>
      <c r="E156" s="35" t="n"/>
      <c r="F156" s="35" t="n"/>
      <c r="G156" s="35" t="n"/>
      <c r="H156" s="35" t="n"/>
      <c r="I156" s="27" t="n"/>
      <c r="J156" s="35" t="n"/>
      <c r="K156" s="35" t="n"/>
      <c r="L156" s="35" t="n"/>
      <c r="M156" s="35" t="n"/>
      <c r="N156" s="35" t="n"/>
      <c r="O156" s="35" t="n"/>
      <c r="P156" s="35" t="n"/>
      <c r="Q156" s="35" t="n"/>
    </row>
    <row r="157" ht="14.25" customHeight="1" s="398">
      <c r="A157" s="35" t="n"/>
      <c r="B157" s="35" t="n"/>
      <c r="C157" s="35" t="n"/>
      <c r="D157" s="35" t="n"/>
      <c r="E157" s="35" t="n"/>
      <c r="F157" s="35" t="n"/>
      <c r="G157" s="35" t="n"/>
      <c r="H157" s="35" t="n"/>
      <c r="I157" s="27" t="n"/>
      <c r="J157" s="35" t="n"/>
      <c r="K157" s="35" t="n"/>
      <c r="L157" s="35" t="n"/>
      <c r="M157" s="35" t="n"/>
      <c r="N157" s="35" t="n"/>
      <c r="O157" s="35" t="n"/>
      <c r="P157" s="35" t="n"/>
      <c r="Q157" s="35" t="n"/>
    </row>
    <row r="158" ht="14.25" customHeight="1" s="398">
      <c r="A158" s="35" t="n"/>
      <c r="B158" s="35" t="n"/>
      <c r="C158" s="35" t="n"/>
      <c r="D158" s="35" t="n"/>
      <c r="E158" s="35" t="n"/>
      <c r="F158" s="35" t="n"/>
      <c r="G158" s="35" t="n"/>
      <c r="H158" s="35" t="n"/>
      <c r="I158" s="27" t="n"/>
      <c r="J158" s="35" t="n"/>
      <c r="K158" s="35" t="n"/>
      <c r="L158" s="35" t="n"/>
      <c r="M158" s="35" t="n"/>
      <c r="N158" s="35" t="n"/>
      <c r="O158" s="35" t="n"/>
      <c r="P158" s="35" t="n"/>
      <c r="Q158" s="35" t="n"/>
    </row>
    <row r="159" ht="14.25" customHeight="1" s="398">
      <c r="A159" s="35" t="n"/>
      <c r="B159" s="35" t="n"/>
      <c r="C159" s="35" t="n"/>
      <c r="D159" s="35" t="n"/>
      <c r="E159" s="35" t="n"/>
      <c r="F159" s="35" t="n"/>
      <c r="G159" s="35" t="n"/>
      <c r="H159" s="35" t="n"/>
      <c r="I159" s="27" t="n"/>
      <c r="J159" s="35" t="n"/>
      <c r="K159" s="35" t="n"/>
      <c r="L159" s="35" t="n"/>
      <c r="M159" s="35" t="n"/>
      <c r="N159" s="35" t="n"/>
      <c r="O159" s="35" t="n"/>
      <c r="P159" s="35" t="n"/>
      <c r="Q159" s="35" t="n"/>
    </row>
    <row r="160" ht="14.25" customHeight="1" s="398">
      <c r="A160" s="35" t="n"/>
      <c r="B160" s="35" t="n"/>
      <c r="C160" s="35" t="n"/>
      <c r="D160" s="35" t="n"/>
      <c r="E160" s="35" t="n"/>
      <c r="F160" s="35" t="n"/>
      <c r="G160" s="35" t="n"/>
      <c r="H160" s="35" t="n"/>
      <c r="I160" s="27" t="n"/>
      <c r="J160" s="35" t="n"/>
      <c r="K160" s="35" t="n"/>
      <c r="L160" s="35" t="n"/>
      <c r="M160" s="35" t="n"/>
      <c r="N160" s="35" t="n"/>
      <c r="O160" s="35" t="n"/>
      <c r="P160" s="35" t="n"/>
      <c r="Q160" s="35" t="n"/>
    </row>
    <row r="161" ht="14.25" customHeight="1" s="398">
      <c r="A161" s="35" t="n"/>
      <c r="B161" s="35" t="n"/>
      <c r="C161" s="35" t="n"/>
      <c r="D161" s="35" t="n"/>
      <c r="E161" s="35" t="n"/>
      <c r="F161" s="35" t="n"/>
      <c r="G161" s="35" t="n"/>
      <c r="H161" s="35" t="n"/>
      <c r="I161" s="27" t="n"/>
      <c r="J161" s="35" t="n"/>
      <c r="K161" s="35" t="n"/>
      <c r="L161" s="35" t="n"/>
      <c r="M161" s="35" t="n"/>
      <c r="N161" s="35" t="n"/>
      <c r="O161" s="35" t="n"/>
      <c r="P161" s="35" t="n"/>
      <c r="Q161" s="35" t="n"/>
    </row>
    <row r="162" ht="14.25" customHeight="1" s="398">
      <c r="A162" s="35" t="n"/>
      <c r="B162" s="35" t="n"/>
      <c r="C162" s="35" t="n"/>
      <c r="D162" s="35" t="n"/>
      <c r="E162" s="35" t="n"/>
      <c r="F162" s="35" t="n"/>
      <c r="G162" s="35" t="n"/>
      <c r="H162" s="35" t="n"/>
      <c r="I162" s="27" t="n"/>
      <c r="J162" s="35" t="n"/>
      <c r="K162" s="35" t="n"/>
      <c r="L162" s="35" t="n"/>
      <c r="M162" s="35" t="n"/>
      <c r="N162" s="35" t="n"/>
      <c r="O162" s="35" t="n"/>
      <c r="P162" s="35" t="n"/>
      <c r="Q162" s="35" t="n"/>
    </row>
    <row r="163" ht="14.25" customHeight="1" s="398">
      <c r="A163" s="35" t="n"/>
      <c r="B163" s="35" t="n"/>
      <c r="C163" s="35" t="n"/>
      <c r="D163" s="35" t="n"/>
      <c r="E163" s="35" t="n"/>
      <c r="F163" s="35" t="n"/>
      <c r="G163" s="35" t="n"/>
      <c r="H163" s="35" t="n"/>
      <c r="I163" s="27" t="n"/>
      <c r="J163" s="35" t="n"/>
      <c r="K163" s="35" t="n"/>
      <c r="L163" s="35" t="n"/>
      <c r="M163" s="35" t="n"/>
      <c r="N163" s="35" t="n"/>
      <c r="O163" s="35" t="n"/>
      <c r="P163" s="35" t="n"/>
      <c r="Q163" s="35" t="n"/>
    </row>
    <row r="164" ht="14.25" customHeight="1" s="398">
      <c r="A164" s="35" t="n"/>
      <c r="B164" s="35" t="n"/>
      <c r="C164" s="35" t="n"/>
      <c r="D164" s="35" t="n"/>
      <c r="E164" s="35" t="n"/>
      <c r="F164" s="35" t="n"/>
      <c r="G164" s="35" t="n"/>
      <c r="H164" s="35" t="n"/>
      <c r="I164" s="27" t="n"/>
      <c r="J164" s="35" t="n"/>
      <c r="K164" s="35" t="n"/>
      <c r="L164" s="35" t="n"/>
      <c r="M164" s="35" t="n"/>
      <c r="N164" s="35" t="n"/>
      <c r="O164" s="35" t="n"/>
      <c r="P164" s="35" t="n"/>
      <c r="Q164" s="35" t="n"/>
    </row>
    <row r="165" ht="14.25" customHeight="1" s="398">
      <c r="A165" s="35" t="n"/>
      <c r="B165" s="35" t="n"/>
      <c r="C165" s="35" t="n"/>
      <c r="D165" s="35" t="n"/>
      <c r="E165" s="35" t="n"/>
      <c r="F165" s="35" t="n"/>
      <c r="G165" s="35" t="n"/>
      <c r="H165" s="35" t="n"/>
      <c r="I165" s="27" t="n"/>
      <c r="J165" s="35" t="n"/>
      <c r="K165" s="35" t="n"/>
      <c r="L165" s="35" t="n"/>
      <c r="M165" s="35" t="n"/>
      <c r="N165" s="35" t="n"/>
      <c r="O165" s="35" t="n"/>
      <c r="P165" s="35" t="n"/>
      <c r="Q165" s="35" t="n"/>
    </row>
    <row r="166" ht="14.25" customHeight="1" s="398">
      <c r="A166" s="35" t="n"/>
      <c r="B166" s="35" t="n"/>
      <c r="C166" s="35" t="n"/>
      <c r="D166" s="35" t="n"/>
      <c r="E166" s="35" t="n"/>
      <c r="F166" s="35" t="n"/>
      <c r="G166" s="35" t="n"/>
      <c r="H166" s="35" t="n"/>
      <c r="I166" s="27" t="n"/>
      <c r="J166" s="35" t="n"/>
      <c r="K166" s="35" t="n"/>
      <c r="L166" s="35" t="n"/>
      <c r="M166" s="35" t="n"/>
      <c r="N166" s="35" t="n"/>
      <c r="O166" s="35" t="n"/>
      <c r="P166" s="35" t="n"/>
      <c r="Q166" s="35" t="n"/>
    </row>
    <row r="167" ht="14.25" customHeight="1" s="398">
      <c r="A167" s="35" t="n"/>
      <c r="B167" s="35" t="n"/>
      <c r="C167" s="35" t="n"/>
      <c r="D167" s="35" t="n"/>
      <c r="E167" s="35" t="n"/>
      <c r="F167" s="35" t="n"/>
      <c r="G167" s="35" t="n"/>
      <c r="H167" s="35" t="n"/>
      <c r="I167" s="27" t="n"/>
      <c r="J167" s="35" t="n"/>
      <c r="K167" s="35" t="n"/>
      <c r="L167" s="35" t="n"/>
      <c r="M167" s="35" t="n"/>
      <c r="N167" s="35" t="n"/>
      <c r="O167" s="35" t="n"/>
      <c r="P167" s="35" t="n"/>
      <c r="Q167" s="35" t="n"/>
    </row>
    <row r="168" ht="14.25" customHeight="1" s="398">
      <c r="A168" s="35" t="n"/>
      <c r="B168" s="35" t="n"/>
      <c r="C168" s="35" t="n"/>
      <c r="D168" s="35" t="n"/>
      <c r="E168" s="35" t="n"/>
      <c r="F168" s="35" t="n"/>
      <c r="G168" s="35" t="n"/>
      <c r="H168" s="35" t="n"/>
      <c r="I168" s="27" t="n"/>
      <c r="J168" s="35" t="n"/>
      <c r="K168" s="35" t="n"/>
      <c r="L168" s="35" t="n"/>
      <c r="M168" s="35" t="n"/>
      <c r="N168" s="35" t="n"/>
      <c r="O168" s="35" t="n"/>
      <c r="P168" s="35" t="n"/>
      <c r="Q168" s="35" t="n"/>
    </row>
    <row r="169" ht="14.25" customHeight="1" s="398">
      <c r="A169" s="35" t="n"/>
      <c r="B169" s="35" t="n"/>
      <c r="C169" s="35" t="n"/>
      <c r="D169" s="35" t="n"/>
      <c r="E169" s="35" t="n"/>
      <c r="F169" s="35" t="n"/>
      <c r="G169" s="35" t="n"/>
      <c r="H169" s="35" t="n"/>
      <c r="I169" s="27" t="n"/>
      <c r="J169" s="35" t="n"/>
      <c r="K169" s="35" t="n"/>
      <c r="L169" s="35" t="n"/>
      <c r="M169" s="35" t="n"/>
      <c r="N169" s="35" t="n"/>
      <c r="O169" s="35" t="n"/>
      <c r="P169" s="35" t="n"/>
      <c r="Q169" s="35" t="n"/>
    </row>
    <row r="170" ht="14.25" customHeight="1" s="398">
      <c r="A170" s="35" t="n"/>
      <c r="B170" s="35" t="n"/>
      <c r="C170" s="35" t="n"/>
      <c r="D170" s="35" t="n"/>
      <c r="E170" s="35" t="n"/>
      <c r="F170" s="35" t="n"/>
      <c r="G170" s="35" t="n"/>
      <c r="H170" s="35" t="n"/>
      <c r="I170" s="27" t="n"/>
      <c r="J170" s="35" t="n"/>
      <c r="K170" s="35" t="n"/>
      <c r="L170" s="35" t="n"/>
      <c r="M170" s="35" t="n"/>
      <c r="N170" s="35" t="n"/>
      <c r="O170" s="35" t="n"/>
      <c r="P170" s="35" t="n"/>
      <c r="Q170" s="35" t="n"/>
    </row>
    <row r="171" ht="14.25" customHeight="1" s="398">
      <c r="A171" s="35" t="n"/>
      <c r="B171" s="35" t="n"/>
      <c r="C171" s="35" t="n"/>
      <c r="D171" s="35" t="n"/>
      <c r="E171" s="35" t="n"/>
      <c r="F171" s="35" t="n"/>
      <c r="G171" s="35" t="n"/>
      <c r="H171" s="35" t="n"/>
      <c r="I171" s="27" t="n"/>
      <c r="J171" s="35" t="n"/>
      <c r="K171" s="35" t="n"/>
      <c r="L171" s="35" t="n"/>
      <c r="M171" s="35" t="n"/>
      <c r="N171" s="35" t="n"/>
      <c r="O171" s="35" t="n"/>
      <c r="P171" s="35" t="n"/>
      <c r="Q171" s="35" t="n"/>
    </row>
    <row r="172" ht="14.25" customHeight="1" s="398">
      <c r="A172" s="35" t="n"/>
      <c r="B172" s="35" t="n"/>
      <c r="C172" s="35" t="n"/>
      <c r="D172" s="35" t="n"/>
      <c r="E172" s="35" t="n"/>
      <c r="F172" s="35" t="n"/>
      <c r="G172" s="35" t="n"/>
      <c r="H172" s="35" t="n"/>
      <c r="I172" s="27" t="n"/>
      <c r="J172" s="35" t="n"/>
      <c r="K172" s="35" t="n"/>
      <c r="L172" s="35" t="n"/>
      <c r="M172" s="35" t="n"/>
      <c r="N172" s="35" t="n"/>
      <c r="O172" s="35" t="n"/>
      <c r="P172" s="35" t="n"/>
      <c r="Q172" s="35" t="n"/>
    </row>
    <row r="173" ht="14.25" customHeight="1" s="398">
      <c r="A173" s="35" t="n"/>
      <c r="B173" s="35" t="n"/>
      <c r="C173" s="35" t="n"/>
      <c r="D173" s="35" t="n"/>
      <c r="E173" s="35" t="n"/>
      <c r="F173" s="35" t="n"/>
      <c r="G173" s="35" t="n"/>
      <c r="H173" s="35" t="n"/>
      <c r="I173" s="27" t="n"/>
      <c r="J173" s="35" t="n"/>
      <c r="K173" s="35" t="n"/>
      <c r="L173" s="35" t="n"/>
      <c r="M173" s="35" t="n"/>
      <c r="N173" s="35" t="n"/>
      <c r="O173" s="35" t="n"/>
      <c r="P173" s="35" t="n"/>
      <c r="Q173" s="35" t="n"/>
    </row>
    <row r="174" ht="14.25" customHeight="1" s="398">
      <c r="A174" s="35" t="n"/>
      <c r="B174" s="35" t="n"/>
      <c r="C174" s="35" t="n"/>
      <c r="D174" s="35" t="n"/>
      <c r="E174" s="35" t="n"/>
      <c r="F174" s="35" t="n"/>
      <c r="G174" s="35" t="n"/>
      <c r="H174" s="35" t="n"/>
      <c r="I174" s="27" t="n"/>
      <c r="J174" s="35" t="n"/>
      <c r="K174" s="35" t="n"/>
      <c r="L174" s="35" t="n"/>
      <c r="M174" s="35" t="n"/>
      <c r="N174" s="35" t="n"/>
      <c r="O174" s="35" t="n"/>
      <c r="P174" s="35" t="n"/>
      <c r="Q174" s="35" t="n"/>
    </row>
    <row r="175" ht="14.25" customHeight="1" s="398">
      <c r="A175" s="35" t="n"/>
      <c r="B175" s="35" t="n"/>
      <c r="C175" s="35" t="n"/>
      <c r="D175" s="35" t="n"/>
      <c r="E175" s="35" t="n"/>
      <c r="F175" s="35" t="n"/>
      <c r="G175" s="35" t="n"/>
      <c r="H175" s="35" t="n"/>
      <c r="I175" s="27" t="n"/>
      <c r="J175" s="35" t="n"/>
      <c r="K175" s="35" t="n"/>
      <c r="L175" s="35" t="n"/>
      <c r="M175" s="35" t="n"/>
      <c r="N175" s="35" t="n"/>
      <c r="O175" s="35" t="n"/>
      <c r="P175" s="35" t="n"/>
      <c r="Q175" s="35" t="n"/>
    </row>
    <row r="176" ht="14.25" customHeight="1" s="398">
      <c r="A176" s="35" t="n"/>
      <c r="B176" s="35" t="n"/>
      <c r="C176" s="35" t="n"/>
      <c r="D176" s="35" t="n"/>
      <c r="E176" s="35" t="n"/>
      <c r="F176" s="35" t="n"/>
      <c r="G176" s="35" t="n"/>
      <c r="H176" s="35" t="n"/>
      <c r="I176" s="27" t="n"/>
      <c r="J176" s="35" t="n"/>
      <c r="K176" s="35" t="n"/>
      <c r="L176" s="35" t="n"/>
      <c r="M176" s="35" t="n"/>
      <c r="N176" s="35" t="n"/>
      <c r="O176" s="35" t="n"/>
      <c r="P176" s="35" t="n"/>
      <c r="Q176" s="35" t="n"/>
    </row>
    <row r="177" ht="14.25" customHeight="1" s="398">
      <c r="A177" s="35" t="n"/>
      <c r="B177" s="35" t="n"/>
      <c r="C177" s="35" t="n"/>
      <c r="D177" s="35" t="n"/>
      <c r="E177" s="35" t="n"/>
      <c r="F177" s="35" t="n"/>
      <c r="G177" s="35" t="n"/>
      <c r="H177" s="35" t="n"/>
      <c r="I177" s="27" t="n"/>
      <c r="J177" s="35" t="n"/>
      <c r="K177" s="35" t="n"/>
      <c r="L177" s="35" t="n"/>
      <c r="M177" s="35" t="n"/>
      <c r="N177" s="35" t="n"/>
      <c r="O177" s="35" t="n"/>
      <c r="P177" s="35" t="n"/>
      <c r="Q177" s="35" t="n"/>
    </row>
    <row r="178" ht="14.25" customHeight="1" s="398">
      <c r="A178" s="35" t="n"/>
      <c r="B178" s="35" t="n"/>
      <c r="C178" s="35" t="n"/>
      <c r="D178" s="35" t="n"/>
      <c r="E178" s="35" t="n"/>
      <c r="F178" s="35" t="n"/>
      <c r="G178" s="35" t="n"/>
      <c r="H178" s="35" t="n"/>
      <c r="I178" s="27" t="n"/>
      <c r="J178" s="35" t="n"/>
      <c r="K178" s="35" t="n"/>
      <c r="L178" s="35" t="n"/>
      <c r="M178" s="35" t="n"/>
      <c r="N178" s="35" t="n"/>
      <c r="O178" s="35" t="n"/>
      <c r="P178" s="35" t="n"/>
      <c r="Q178" s="35" t="n"/>
    </row>
    <row r="179" ht="14.25" customHeight="1" s="398">
      <c r="A179" s="35" t="n"/>
      <c r="B179" s="35" t="n"/>
      <c r="C179" s="35" t="n"/>
      <c r="D179" s="35" t="n"/>
      <c r="E179" s="35" t="n"/>
      <c r="F179" s="35" t="n"/>
      <c r="G179" s="35" t="n"/>
      <c r="H179" s="35" t="n"/>
      <c r="I179" s="27" t="n"/>
      <c r="J179" s="35" t="n"/>
      <c r="K179" s="35" t="n"/>
      <c r="L179" s="35" t="n"/>
      <c r="M179" s="35" t="n"/>
      <c r="N179" s="35" t="n"/>
      <c r="O179" s="35" t="n"/>
      <c r="P179" s="35" t="n"/>
      <c r="Q179" s="35" t="n"/>
    </row>
    <row r="180" ht="14.25" customHeight="1" s="398">
      <c r="A180" s="35" t="n"/>
      <c r="B180" s="35" t="n"/>
      <c r="C180" s="35" t="n"/>
      <c r="D180" s="35" t="n"/>
      <c r="E180" s="35" t="n"/>
      <c r="F180" s="35" t="n"/>
      <c r="G180" s="35" t="n"/>
      <c r="H180" s="35" t="n"/>
      <c r="I180" s="27" t="n"/>
      <c r="J180" s="35" t="n"/>
      <c r="K180" s="35" t="n"/>
      <c r="L180" s="35" t="n"/>
      <c r="M180" s="35" t="n"/>
      <c r="N180" s="35" t="n"/>
      <c r="O180" s="35" t="n"/>
      <c r="P180" s="35" t="n"/>
      <c r="Q180" s="35" t="n"/>
    </row>
    <row r="181" ht="14.25" customHeight="1" s="398">
      <c r="A181" s="35" t="n"/>
      <c r="B181" s="35" t="n"/>
      <c r="C181" s="35" t="n"/>
      <c r="D181" s="35" t="n"/>
      <c r="E181" s="35" t="n"/>
      <c r="F181" s="35" t="n"/>
      <c r="G181" s="35" t="n"/>
      <c r="H181" s="35" t="n"/>
      <c r="I181" s="27" t="n"/>
      <c r="J181" s="35" t="n"/>
      <c r="K181" s="35" t="n"/>
      <c r="L181" s="35" t="n"/>
      <c r="M181" s="35" t="n"/>
      <c r="N181" s="35" t="n"/>
      <c r="O181" s="35" t="n"/>
      <c r="P181" s="35" t="n"/>
      <c r="Q181" s="35" t="n"/>
    </row>
    <row r="182" ht="14.25" customHeight="1" s="398">
      <c r="A182" s="35" t="n"/>
      <c r="B182" s="35" t="n"/>
      <c r="C182" s="35" t="n"/>
      <c r="D182" s="35" t="n"/>
      <c r="E182" s="35" t="n"/>
      <c r="F182" s="35" t="n"/>
      <c r="G182" s="35" t="n"/>
      <c r="H182" s="35" t="n"/>
      <c r="I182" s="27" t="n"/>
      <c r="J182" s="35" t="n"/>
      <c r="K182" s="35" t="n"/>
      <c r="L182" s="35" t="n"/>
      <c r="M182" s="35" t="n"/>
      <c r="N182" s="35" t="n"/>
      <c r="O182" s="35" t="n"/>
      <c r="P182" s="35" t="n"/>
      <c r="Q182" s="35" t="n"/>
    </row>
    <row r="183" ht="14.25" customHeight="1" s="398">
      <c r="A183" s="35" t="n"/>
      <c r="B183" s="35" t="n"/>
      <c r="C183" s="35" t="n"/>
      <c r="D183" s="35" t="n"/>
      <c r="E183" s="35" t="n"/>
      <c r="F183" s="35" t="n"/>
      <c r="G183" s="35" t="n"/>
      <c r="H183" s="35" t="n"/>
      <c r="I183" s="27" t="n"/>
      <c r="J183" s="35" t="n"/>
      <c r="K183" s="35" t="n"/>
      <c r="L183" s="35" t="n"/>
      <c r="M183" s="35" t="n"/>
      <c r="N183" s="35" t="n"/>
      <c r="O183" s="35" t="n"/>
      <c r="P183" s="35" t="n"/>
      <c r="Q183" s="35" t="n"/>
    </row>
    <row r="184" ht="14.25" customHeight="1" s="398">
      <c r="A184" s="35" t="n"/>
      <c r="B184" s="35" t="n"/>
      <c r="C184" s="35" t="n"/>
      <c r="D184" s="35" t="n"/>
      <c r="E184" s="35" t="n"/>
      <c r="F184" s="35" t="n"/>
      <c r="G184" s="35" t="n"/>
      <c r="H184" s="35" t="n"/>
      <c r="I184" s="27" t="n"/>
      <c r="J184" s="35" t="n"/>
      <c r="K184" s="35" t="n"/>
      <c r="L184" s="35" t="n"/>
      <c r="M184" s="35" t="n"/>
      <c r="N184" s="35" t="n"/>
      <c r="O184" s="35" t="n"/>
      <c r="P184" s="35" t="n"/>
      <c r="Q184" s="35" t="n"/>
    </row>
    <row r="185" ht="14.25" customHeight="1" s="398">
      <c r="A185" s="35" t="n"/>
      <c r="B185" s="35" t="n"/>
      <c r="C185" s="35" t="n"/>
      <c r="D185" s="35" t="n"/>
      <c r="E185" s="35" t="n"/>
      <c r="F185" s="35" t="n"/>
      <c r="G185" s="35" t="n"/>
      <c r="H185" s="35" t="n"/>
      <c r="I185" s="27" t="n"/>
      <c r="J185" s="35" t="n"/>
      <c r="K185" s="35" t="n"/>
      <c r="L185" s="35" t="n"/>
      <c r="M185" s="35" t="n"/>
      <c r="N185" s="35" t="n"/>
      <c r="O185" s="35" t="n"/>
      <c r="P185" s="35" t="n"/>
      <c r="Q185" s="35" t="n"/>
    </row>
    <row r="186" ht="14.25" customHeight="1" s="398">
      <c r="A186" s="35" t="n"/>
      <c r="B186" s="35" t="n"/>
      <c r="C186" s="35" t="n"/>
      <c r="D186" s="35" t="n"/>
      <c r="E186" s="35" t="n"/>
      <c r="F186" s="35" t="n"/>
      <c r="G186" s="35" t="n"/>
      <c r="H186" s="35" t="n"/>
      <c r="I186" s="27" t="n"/>
      <c r="J186" s="35" t="n"/>
      <c r="K186" s="35" t="n"/>
      <c r="L186" s="35" t="n"/>
      <c r="M186" s="35" t="n"/>
      <c r="N186" s="35" t="n"/>
      <c r="O186" s="35" t="n"/>
      <c r="P186" s="35" t="n"/>
      <c r="Q186" s="35" t="n"/>
    </row>
    <row r="187" ht="14.25" customHeight="1" s="398">
      <c r="A187" s="35" t="n"/>
      <c r="B187" s="35" t="n"/>
      <c r="C187" s="35" t="n"/>
      <c r="D187" s="35" t="n"/>
      <c r="E187" s="35" t="n"/>
      <c r="F187" s="35" t="n"/>
      <c r="G187" s="35" t="n"/>
      <c r="H187" s="35" t="n"/>
      <c r="I187" s="27" t="n"/>
      <c r="J187" s="35" t="n"/>
      <c r="K187" s="35" t="n"/>
      <c r="L187" s="35" t="n"/>
      <c r="M187" s="35" t="n"/>
      <c r="N187" s="35" t="n"/>
      <c r="O187" s="35" t="n"/>
      <c r="P187" s="35" t="n"/>
      <c r="Q187" s="35" t="n"/>
    </row>
    <row r="188" ht="14.25" customHeight="1" s="398">
      <c r="A188" s="35" t="n"/>
      <c r="B188" s="35" t="n"/>
      <c r="C188" s="35" t="n"/>
      <c r="D188" s="35" t="n"/>
      <c r="E188" s="35" t="n"/>
      <c r="F188" s="35" t="n"/>
      <c r="G188" s="35" t="n"/>
      <c r="H188" s="35" t="n"/>
      <c r="I188" s="27" t="n"/>
      <c r="J188" s="35" t="n"/>
      <c r="K188" s="35" t="n"/>
      <c r="L188" s="35" t="n"/>
      <c r="M188" s="35" t="n"/>
      <c r="N188" s="35" t="n"/>
      <c r="O188" s="35" t="n"/>
      <c r="P188" s="35" t="n"/>
      <c r="Q188" s="35" t="n"/>
    </row>
    <row r="189" ht="14.25" customHeight="1" s="398">
      <c r="A189" s="35" t="n"/>
      <c r="B189" s="35" t="n"/>
      <c r="C189" s="35" t="n"/>
      <c r="D189" s="35" t="n"/>
      <c r="E189" s="35" t="n"/>
      <c r="F189" s="35" t="n"/>
      <c r="G189" s="35" t="n"/>
      <c r="H189" s="35" t="n"/>
      <c r="I189" s="27" t="n"/>
      <c r="J189" s="35" t="n"/>
      <c r="K189" s="35" t="n"/>
      <c r="L189" s="35" t="n"/>
      <c r="M189" s="35" t="n"/>
      <c r="N189" s="35" t="n"/>
      <c r="O189" s="35" t="n"/>
      <c r="P189" s="35" t="n"/>
      <c r="Q189" s="35" t="n"/>
    </row>
    <row r="190" ht="14.25" customHeight="1" s="398">
      <c r="A190" s="35" t="n"/>
      <c r="B190" s="35" t="n"/>
      <c r="C190" s="35" t="n"/>
      <c r="D190" s="35" t="n"/>
      <c r="E190" s="35" t="n"/>
      <c r="F190" s="35" t="n"/>
      <c r="G190" s="35" t="n"/>
      <c r="H190" s="35" t="n"/>
      <c r="I190" s="27" t="n"/>
      <c r="J190" s="35" t="n"/>
      <c r="K190" s="35" t="n"/>
      <c r="L190" s="35" t="n"/>
      <c r="M190" s="35" t="n"/>
      <c r="N190" s="35" t="n"/>
      <c r="O190" s="35" t="n"/>
      <c r="P190" s="35" t="n"/>
      <c r="Q190" s="35" t="n"/>
    </row>
    <row r="191" ht="14.25" customHeight="1" s="398">
      <c r="A191" s="35" t="n"/>
      <c r="B191" s="35" t="n"/>
      <c r="C191" s="35" t="n"/>
      <c r="D191" s="35" t="n"/>
      <c r="E191" s="35" t="n"/>
      <c r="F191" s="35" t="n"/>
      <c r="G191" s="35" t="n"/>
      <c r="H191" s="35" t="n"/>
      <c r="I191" s="27" t="n"/>
      <c r="J191" s="35" t="n"/>
      <c r="K191" s="35" t="n"/>
      <c r="L191" s="35" t="n"/>
      <c r="M191" s="35" t="n"/>
      <c r="N191" s="35" t="n"/>
      <c r="O191" s="35" t="n"/>
      <c r="P191" s="35" t="n"/>
      <c r="Q191" s="35" t="n"/>
    </row>
    <row r="192" ht="14.25" customHeight="1" s="398">
      <c r="A192" s="35" t="n"/>
      <c r="B192" s="35" t="n"/>
      <c r="C192" s="35" t="n"/>
      <c r="D192" s="35" t="n"/>
      <c r="E192" s="35" t="n"/>
      <c r="F192" s="35" t="n"/>
      <c r="G192" s="35" t="n"/>
      <c r="H192" s="35" t="n"/>
      <c r="I192" s="27" t="n"/>
      <c r="J192" s="35" t="n"/>
      <c r="K192" s="35" t="n"/>
      <c r="L192" s="35" t="n"/>
      <c r="M192" s="35" t="n"/>
      <c r="N192" s="35" t="n"/>
      <c r="O192" s="35" t="n"/>
      <c r="P192" s="35" t="n"/>
      <c r="Q192" s="35" t="n"/>
    </row>
    <row r="193" ht="14.25" customHeight="1" s="398">
      <c r="A193" s="35" t="n"/>
      <c r="B193" s="35" t="n"/>
      <c r="C193" s="35" t="n"/>
      <c r="D193" s="35" t="n"/>
      <c r="E193" s="35" t="n"/>
      <c r="F193" s="35" t="n"/>
      <c r="G193" s="35" t="n"/>
      <c r="H193" s="35" t="n"/>
      <c r="I193" s="27" t="n"/>
      <c r="J193" s="35" t="n"/>
      <c r="K193" s="35" t="n"/>
      <c r="L193" s="35" t="n"/>
      <c r="M193" s="35" t="n"/>
      <c r="N193" s="35" t="n"/>
      <c r="O193" s="35" t="n"/>
      <c r="P193" s="35" t="n"/>
      <c r="Q193" s="35" t="n"/>
    </row>
    <row r="194" ht="14.25" customHeight="1" s="398">
      <c r="A194" s="35" t="n"/>
      <c r="B194" s="35" t="n"/>
      <c r="C194" s="35" t="n"/>
      <c r="D194" s="35" t="n"/>
      <c r="E194" s="35" t="n"/>
      <c r="F194" s="35" t="n"/>
      <c r="G194" s="35" t="n"/>
      <c r="H194" s="35" t="n"/>
      <c r="I194" s="27" t="n"/>
      <c r="J194" s="35" t="n"/>
      <c r="K194" s="35" t="n"/>
      <c r="L194" s="35" t="n"/>
      <c r="M194" s="35" t="n"/>
      <c r="N194" s="35" t="n"/>
      <c r="O194" s="35" t="n"/>
      <c r="P194" s="35" t="n"/>
      <c r="Q194" s="35" t="n"/>
    </row>
    <row r="195" ht="14.25" customHeight="1" s="398">
      <c r="A195" s="35" t="n"/>
      <c r="B195" s="35" t="n"/>
      <c r="C195" s="35" t="n"/>
      <c r="D195" s="35" t="n"/>
      <c r="E195" s="35" t="n"/>
      <c r="F195" s="35" t="n"/>
      <c r="G195" s="35" t="n"/>
      <c r="H195" s="35" t="n"/>
      <c r="I195" s="27" t="n"/>
      <c r="J195" s="35" t="n"/>
      <c r="K195" s="35" t="n"/>
      <c r="L195" s="35" t="n"/>
      <c r="M195" s="35" t="n"/>
      <c r="N195" s="35" t="n"/>
      <c r="O195" s="35" t="n"/>
      <c r="P195" s="35" t="n"/>
      <c r="Q195" s="35" t="n"/>
    </row>
    <row r="196" ht="14.25" customHeight="1" s="398">
      <c r="A196" s="35" t="n"/>
      <c r="B196" s="35" t="n"/>
      <c r="C196" s="35" t="n"/>
      <c r="D196" s="35" t="n"/>
      <c r="E196" s="35" t="n"/>
      <c r="F196" s="35" t="n"/>
      <c r="G196" s="35" t="n"/>
      <c r="H196" s="35" t="n"/>
      <c r="I196" s="27" t="n"/>
      <c r="J196" s="35" t="n"/>
      <c r="K196" s="35" t="n"/>
      <c r="L196" s="35" t="n"/>
      <c r="M196" s="35" t="n"/>
      <c r="N196" s="35" t="n"/>
      <c r="O196" s="35" t="n"/>
      <c r="P196" s="35" t="n"/>
      <c r="Q196" s="35" t="n"/>
    </row>
    <row r="197" ht="14.25" customHeight="1" s="398">
      <c r="A197" s="35" t="n"/>
      <c r="B197" s="35" t="n"/>
      <c r="C197" s="35" t="n"/>
      <c r="D197" s="35" t="n"/>
      <c r="E197" s="35" t="n"/>
      <c r="F197" s="35" t="n"/>
      <c r="G197" s="35" t="n"/>
      <c r="H197" s="35" t="n"/>
      <c r="I197" s="27" t="n"/>
      <c r="J197" s="35" t="n"/>
      <c r="K197" s="35" t="n"/>
      <c r="L197" s="35" t="n"/>
      <c r="M197" s="35" t="n"/>
      <c r="N197" s="35" t="n"/>
      <c r="O197" s="35" t="n"/>
      <c r="P197" s="35" t="n"/>
      <c r="Q197" s="35" t="n"/>
    </row>
    <row r="198" ht="14.25" customHeight="1" s="398">
      <c r="A198" s="35" t="n"/>
      <c r="B198" s="35" t="n"/>
      <c r="C198" s="35" t="n"/>
      <c r="D198" s="35" t="n"/>
      <c r="E198" s="35" t="n"/>
      <c r="F198" s="35" t="n"/>
      <c r="G198" s="35" t="n"/>
      <c r="H198" s="35" t="n"/>
      <c r="I198" s="27" t="n"/>
      <c r="J198" s="35" t="n"/>
      <c r="K198" s="35" t="n"/>
      <c r="L198" s="35" t="n"/>
      <c r="M198" s="35" t="n"/>
      <c r="N198" s="35" t="n"/>
      <c r="O198" s="35" t="n"/>
      <c r="P198" s="35" t="n"/>
      <c r="Q198" s="35" t="n"/>
    </row>
    <row r="199" ht="14.25" customHeight="1" s="398">
      <c r="A199" s="35" t="n"/>
      <c r="B199" s="35" t="n"/>
      <c r="C199" s="35" t="n"/>
      <c r="D199" s="35" t="n"/>
      <c r="E199" s="35" t="n"/>
      <c r="F199" s="35" t="n"/>
      <c r="G199" s="35" t="n"/>
      <c r="H199" s="35" t="n"/>
      <c r="I199" s="27" t="n"/>
      <c r="J199" s="35" t="n"/>
      <c r="K199" s="35" t="n"/>
      <c r="L199" s="35" t="n"/>
      <c r="M199" s="35" t="n"/>
      <c r="N199" s="35" t="n"/>
      <c r="O199" s="35" t="n"/>
      <c r="P199" s="35" t="n"/>
      <c r="Q199" s="35" t="n"/>
    </row>
    <row r="200" ht="14.25" customHeight="1" s="398">
      <c r="A200" s="35" t="n"/>
      <c r="B200" s="35" t="n"/>
      <c r="C200" s="35" t="n"/>
      <c r="D200" s="35" t="n"/>
      <c r="E200" s="35" t="n"/>
      <c r="F200" s="35" t="n"/>
      <c r="G200" s="35" t="n"/>
      <c r="H200" s="35" t="n"/>
      <c r="I200" s="27" t="n"/>
      <c r="J200" s="35" t="n"/>
      <c r="K200" s="35" t="n"/>
      <c r="L200" s="35" t="n"/>
      <c r="M200" s="35" t="n"/>
      <c r="N200" s="35" t="n"/>
      <c r="O200" s="35" t="n"/>
      <c r="P200" s="35" t="n"/>
      <c r="Q200" s="35" t="n"/>
    </row>
    <row r="201" ht="14.25" customHeight="1" s="398">
      <c r="A201" s="35" t="n"/>
      <c r="B201" s="35" t="n"/>
      <c r="C201" s="35" t="n"/>
      <c r="D201" s="35" t="n"/>
      <c r="E201" s="35" t="n"/>
      <c r="F201" s="35" t="n"/>
      <c r="G201" s="35" t="n"/>
      <c r="H201" s="35" t="n"/>
      <c r="I201" s="27" t="n"/>
      <c r="J201" s="35" t="n"/>
      <c r="K201" s="35" t="n"/>
      <c r="L201" s="35" t="n"/>
      <c r="M201" s="35" t="n"/>
      <c r="N201" s="35" t="n"/>
      <c r="O201" s="35" t="n"/>
      <c r="P201" s="35" t="n"/>
      <c r="Q201" s="35" t="n"/>
    </row>
    <row r="202" ht="14.25" customHeight="1" s="398">
      <c r="A202" s="35" t="n"/>
      <c r="B202" s="35" t="n"/>
      <c r="C202" s="35" t="n"/>
      <c r="D202" s="35" t="n"/>
      <c r="E202" s="35" t="n"/>
      <c r="F202" s="35" t="n"/>
      <c r="G202" s="35" t="n"/>
      <c r="H202" s="35" t="n"/>
      <c r="I202" s="27" t="n"/>
      <c r="J202" s="35" t="n"/>
      <c r="K202" s="35" t="n"/>
      <c r="L202" s="35" t="n"/>
      <c r="M202" s="35" t="n"/>
      <c r="N202" s="35" t="n"/>
      <c r="O202" s="35" t="n"/>
      <c r="P202" s="35" t="n"/>
      <c r="Q202" s="35" t="n"/>
    </row>
    <row r="203" ht="14.25" customHeight="1" s="398">
      <c r="A203" s="35" t="n"/>
      <c r="B203" s="35" t="n"/>
      <c r="C203" s="35" t="n"/>
      <c r="D203" s="35" t="n"/>
      <c r="E203" s="35" t="n"/>
      <c r="F203" s="35" t="n"/>
      <c r="G203" s="35" t="n"/>
      <c r="H203" s="35" t="n"/>
      <c r="I203" s="27" t="n"/>
      <c r="J203" s="35" t="n"/>
      <c r="K203" s="35" t="n"/>
      <c r="L203" s="35" t="n"/>
      <c r="M203" s="35" t="n"/>
      <c r="N203" s="35" t="n"/>
      <c r="O203" s="35" t="n"/>
      <c r="P203" s="35" t="n"/>
      <c r="Q203" s="35" t="n"/>
    </row>
    <row r="204" ht="14.25" customHeight="1" s="398">
      <c r="A204" s="35" t="n"/>
      <c r="B204" s="35" t="n"/>
      <c r="C204" s="35" t="n"/>
      <c r="D204" s="35" t="n"/>
      <c r="E204" s="35" t="n"/>
      <c r="F204" s="35" t="n"/>
      <c r="G204" s="35" t="n"/>
      <c r="H204" s="35" t="n"/>
      <c r="I204" s="27" t="n"/>
      <c r="J204" s="35" t="n"/>
      <c r="K204" s="35" t="n"/>
      <c r="L204" s="35" t="n"/>
      <c r="M204" s="35" t="n"/>
      <c r="N204" s="35" t="n"/>
      <c r="O204" s="35" t="n"/>
      <c r="P204" s="35" t="n"/>
      <c r="Q204" s="35" t="n"/>
    </row>
    <row r="205" ht="14.25" customHeight="1" s="398">
      <c r="A205" s="35" t="n"/>
      <c r="B205" s="35" t="n"/>
      <c r="C205" s="35" t="n"/>
      <c r="D205" s="35" t="n"/>
      <c r="E205" s="35" t="n"/>
      <c r="F205" s="35" t="n"/>
      <c r="G205" s="35" t="n"/>
      <c r="H205" s="35" t="n"/>
      <c r="I205" s="27" t="n"/>
      <c r="J205" s="35" t="n"/>
      <c r="K205" s="35" t="n"/>
      <c r="L205" s="35" t="n"/>
      <c r="M205" s="35" t="n"/>
      <c r="N205" s="35" t="n"/>
      <c r="O205" s="35" t="n"/>
      <c r="P205" s="35" t="n"/>
      <c r="Q205" s="35" t="n"/>
    </row>
    <row r="206" ht="14.25" customHeight="1" s="398">
      <c r="A206" s="35" t="n"/>
      <c r="B206" s="35" t="n"/>
      <c r="C206" s="35" t="n"/>
      <c r="D206" s="35" t="n"/>
      <c r="E206" s="35" t="n"/>
      <c r="F206" s="35" t="n"/>
      <c r="G206" s="35" t="n"/>
      <c r="H206" s="35" t="n"/>
      <c r="I206" s="27" t="n"/>
      <c r="J206" s="35" t="n"/>
      <c r="K206" s="35" t="n"/>
      <c r="L206" s="35" t="n"/>
      <c r="M206" s="35" t="n"/>
      <c r="N206" s="35" t="n"/>
      <c r="O206" s="35" t="n"/>
      <c r="P206" s="35" t="n"/>
      <c r="Q206" s="35" t="n"/>
    </row>
    <row r="207" ht="14.25" customHeight="1" s="398">
      <c r="A207" s="35" t="n"/>
      <c r="B207" s="35" t="n"/>
      <c r="C207" s="35" t="n"/>
      <c r="D207" s="35" t="n"/>
      <c r="E207" s="35" t="n"/>
      <c r="F207" s="35" t="n"/>
      <c r="G207" s="35" t="n"/>
      <c r="H207" s="35" t="n"/>
      <c r="I207" s="27" t="n"/>
      <c r="J207" s="35" t="n"/>
      <c r="K207" s="35" t="n"/>
      <c r="L207" s="35" t="n"/>
      <c r="M207" s="35" t="n"/>
      <c r="N207" s="35" t="n"/>
      <c r="O207" s="35" t="n"/>
      <c r="P207" s="35" t="n"/>
      <c r="Q207" s="35" t="n"/>
    </row>
    <row r="208" ht="14.25" customHeight="1" s="398">
      <c r="A208" s="35" t="n"/>
      <c r="B208" s="35" t="n"/>
      <c r="C208" s="35" t="n"/>
      <c r="D208" s="35" t="n"/>
      <c r="E208" s="35" t="n"/>
      <c r="F208" s="35" t="n"/>
      <c r="G208" s="35" t="n"/>
      <c r="H208" s="35" t="n"/>
      <c r="I208" s="27" t="n"/>
      <c r="J208" s="35" t="n"/>
      <c r="K208" s="35" t="n"/>
      <c r="L208" s="35" t="n"/>
      <c r="M208" s="35" t="n"/>
      <c r="N208" s="35" t="n"/>
      <c r="O208" s="35" t="n"/>
      <c r="P208" s="35" t="n"/>
      <c r="Q208" s="35" t="n"/>
    </row>
    <row r="209" ht="14.25" customHeight="1" s="398">
      <c r="A209" s="35" t="n"/>
      <c r="B209" s="35" t="n"/>
      <c r="C209" s="35" t="n"/>
      <c r="D209" s="35" t="n"/>
      <c r="E209" s="35" t="n"/>
      <c r="F209" s="35" t="n"/>
      <c r="G209" s="35" t="n"/>
      <c r="H209" s="35" t="n"/>
      <c r="I209" s="27" t="n"/>
      <c r="J209" s="35" t="n"/>
      <c r="K209" s="35" t="n"/>
      <c r="L209" s="35" t="n"/>
      <c r="M209" s="35" t="n"/>
      <c r="N209" s="35" t="n"/>
      <c r="O209" s="35" t="n"/>
      <c r="P209" s="35" t="n"/>
      <c r="Q209" s="35" t="n"/>
    </row>
    <row r="210" ht="14.25" customHeight="1" s="398">
      <c r="A210" s="35" t="n"/>
      <c r="B210" s="35" t="n"/>
      <c r="C210" s="35" t="n"/>
      <c r="D210" s="35" t="n"/>
      <c r="E210" s="35" t="n"/>
      <c r="F210" s="35" t="n"/>
      <c r="G210" s="35" t="n"/>
      <c r="H210" s="35" t="n"/>
      <c r="I210" s="27" t="n"/>
      <c r="J210" s="35" t="n"/>
      <c r="K210" s="35" t="n"/>
      <c r="L210" s="35" t="n"/>
      <c r="M210" s="35" t="n"/>
      <c r="N210" s="35" t="n"/>
      <c r="O210" s="35" t="n"/>
      <c r="P210" s="35" t="n"/>
      <c r="Q210" s="35" t="n"/>
    </row>
    <row r="211" ht="14.25" customHeight="1" s="398">
      <c r="A211" s="35" t="n"/>
      <c r="B211" s="35" t="n"/>
      <c r="C211" s="35" t="n"/>
      <c r="D211" s="35" t="n"/>
      <c r="E211" s="35" t="n"/>
      <c r="F211" s="35" t="n"/>
      <c r="G211" s="35" t="n"/>
      <c r="H211" s="35" t="n"/>
      <c r="I211" s="27" t="n"/>
      <c r="J211" s="35" t="n"/>
      <c r="K211" s="35" t="n"/>
      <c r="L211" s="35" t="n"/>
      <c r="M211" s="35" t="n"/>
      <c r="N211" s="35" t="n"/>
      <c r="O211" s="35" t="n"/>
      <c r="P211" s="35" t="n"/>
      <c r="Q211" s="35" t="n"/>
    </row>
    <row r="212" ht="14.25" customHeight="1" s="398">
      <c r="A212" s="35" t="n"/>
      <c r="B212" s="35" t="n"/>
      <c r="C212" s="35" t="n"/>
      <c r="D212" s="35" t="n"/>
      <c r="E212" s="35" t="n"/>
      <c r="F212" s="35" t="n"/>
      <c r="G212" s="35" t="n"/>
      <c r="H212" s="35" t="n"/>
      <c r="I212" s="27" t="n"/>
      <c r="J212" s="35" t="n"/>
      <c r="K212" s="35" t="n"/>
      <c r="L212" s="35" t="n"/>
      <c r="M212" s="35" t="n"/>
      <c r="N212" s="35" t="n"/>
      <c r="O212" s="35" t="n"/>
      <c r="P212" s="35" t="n"/>
      <c r="Q212" s="35" t="n"/>
    </row>
    <row r="213" ht="14.25" customHeight="1" s="398">
      <c r="A213" s="35" t="n"/>
      <c r="B213" s="35" t="n"/>
      <c r="C213" s="35" t="n"/>
      <c r="D213" s="35" t="n"/>
      <c r="E213" s="35" t="n"/>
      <c r="F213" s="35" t="n"/>
      <c r="G213" s="35" t="n"/>
      <c r="H213" s="35" t="n"/>
      <c r="I213" s="27" t="n"/>
      <c r="J213" s="35" t="n"/>
      <c r="K213" s="35" t="n"/>
      <c r="L213" s="35" t="n"/>
      <c r="M213" s="35" t="n"/>
      <c r="N213" s="35" t="n"/>
      <c r="O213" s="35" t="n"/>
      <c r="P213" s="35" t="n"/>
      <c r="Q213" s="35" t="n"/>
    </row>
    <row r="214" ht="14.25" customHeight="1" s="398">
      <c r="A214" s="35" t="n"/>
      <c r="B214" s="35" t="n"/>
      <c r="C214" s="35" t="n"/>
      <c r="D214" s="35" t="n"/>
      <c r="E214" s="35" t="n"/>
      <c r="F214" s="35" t="n"/>
      <c r="G214" s="35" t="n"/>
      <c r="H214" s="35" t="n"/>
      <c r="I214" s="27" t="n"/>
      <c r="J214" s="35" t="n"/>
      <c r="K214" s="35" t="n"/>
      <c r="L214" s="35" t="n"/>
      <c r="M214" s="35" t="n"/>
      <c r="N214" s="35" t="n"/>
      <c r="O214" s="35" t="n"/>
      <c r="P214" s="35" t="n"/>
      <c r="Q214" s="35" t="n"/>
    </row>
    <row r="215" ht="14.25" customHeight="1" s="398">
      <c r="A215" s="35" t="n"/>
      <c r="B215" s="35" t="n"/>
      <c r="C215" s="35" t="n"/>
      <c r="D215" s="35" t="n"/>
      <c r="E215" s="35" t="n"/>
      <c r="F215" s="35" t="n"/>
      <c r="G215" s="35" t="n"/>
      <c r="H215" s="35" t="n"/>
      <c r="I215" s="27" t="n"/>
      <c r="J215" s="35" t="n"/>
      <c r="K215" s="35" t="n"/>
      <c r="L215" s="35" t="n"/>
      <c r="M215" s="35" t="n"/>
      <c r="N215" s="35" t="n"/>
      <c r="O215" s="35" t="n"/>
      <c r="P215" s="35" t="n"/>
      <c r="Q215" s="35" t="n"/>
    </row>
    <row r="216" ht="14.25" customHeight="1" s="398">
      <c r="A216" s="35" t="n"/>
      <c r="B216" s="35" t="n"/>
      <c r="C216" s="35" t="n"/>
      <c r="D216" s="35" t="n"/>
      <c r="E216" s="35" t="n"/>
      <c r="F216" s="35" t="n"/>
      <c r="G216" s="35" t="n"/>
      <c r="H216" s="35" t="n"/>
      <c r="I216" s="27" t="n"/>
      <c r="J216" s="35" t="n"/>
      <c r="K216" s="35" t="n"/>
      <c r="L216" s="35" t="n"/>
      <c r="M216" s="35" t="n"/>
      <c r="N216" s="35" t="n"/>
      <c r="O216" s="35" t="n"/>
      <c r="P216" s="35" t="n"/>
      <c r="Q216" s="35" t="n"/>
    </row>
    <row r="217" ht="14.25" customHeight="1" s="398">
      <c r="A217" s="35" t="n"/>
      <c r="B217" s="35" t="n"/>
      <c r="C217" s="35" t="n"/>
      <c r="D217" s="35" t="n"/>
      <c r="E217" s="35" t="n"/>
      <c r="F217" s="35" t="n"/>
      <c r="G217" s="35" t="n"/>
      <c r="H217" s="35" t="n"/>
      <c r="I217" s="27" t="n"/>
      <c r="J217" s="35" t="n"/>
      <c r="K217" s="35" t="n"/>
      <c r="L217" s="35" t="n"/>
      <c r="M217" s="35" t="n"/>
      <c r="N217" s="35" t="n"/>
      <c r="O217" s="35" t="n"/>
      <c r="P217" s="35" t="n"/>
      <c r="Q217" s="35" t="n"/>
    </row>
    <row r="218" ht="14.25" customHeight="1" s="398">
      <c r="A218" s="35" t="n"/>
      <c r="B218" s="35" t="n"/>
      <c r="C218" s="35" t="n"/>
      <c r="D218" s="35" t="n"/>
      <c r="E218" s="35" t="n"/>
      <c r="F218" s="35" t="n"/>
      <c r="G218" s="35" t="n"/>
      <c r="H218" s="35" t="n"/>
      <c r="I218" s="27" t="n"/>
      <c r="J218" s="35" t="n"/>
      <c r="K218" s="35" t="n"/>
      <c r="L218" s="35" t="n"/>
      <c r="M218" s="35" t="n"/>
      <c r="N218" s="35" t="n"/>
      <c r="O218" s="35" t="n"/>
      <c r="P218" s="35" t="n"/>
      <c r="Q218" s="35" t="n"/>
    </row>
    <row r="219" ht="14.25" customHeight="1" s="398">
      <c r="A219" s="35" t="n"/>
      <c r="B219" s="35" t="n"/>
      <c r="C219" s="35" t="n"/>
      <c r="D219" s="35" t="n"/>
      <c r="E219" s="35" t="n"/>
      <c r="F219" s="35" t="n"/>
      <c r="G219" s="35" t="n"/>
      <c r="H219" s="35" t="n"/>
      <c r="I219" s="27" t="n"/>
      <c r="J219" s="35" t="n"/>
      <c r="K219" s="35" t="n"/>
      <c r="L219" s="35" t="n"/>
      <c r="M219" s="35" t="n"/>
      <c r="N219" s="35" t="n"/>
      <c r="O219" s="35" t="n"/>
      <c r="P219" s="35" t="n"/>
      <c r="Q219" s="35" t="n"/>
    </row>
    <row r="220" ht="14.25" customHeight="1" s="398">
      <c r="A220" s="35" t="n"/>
      <c r="B220" s="35" t="n"/>
      <c r="C220" s="35" t="n"/>
      <c r="D220" s="35" t="n"/>
      <c r="E220" s="35" t="n"/>
      <c r="F220" s="35" t="n"/>
      <c r="G220" s="35" t="n"/>
      <c r="H220" s="35" t="n"/>
      <c r="I220" s="27" t="n"/>
      <c r="J220" s="35" t="n"/>
      <c r="K220" s="35" t="n"/>
      <c r="L220" s="35" t="n"/>
      <c r="M220" s="35" t="n"/>
      <c r="N220" s="35" t="n"/>
      <c r="O220" s="35" t="n"/>
      <c r="P220" s="35" t="n"/>
      <c r="Q220" s="35" t="n"/>
    </row>
    <row r="221" ht="14.25" customHeight="1" s="398">
      <c r="A221" s="35" t="n"/>
      <c r="B221" s="35" t="n"/>
      <c r="C221" s="35" t="n"/>
      <c r="D221" s="35" t="n"/>
      <c r="E221" s="35" t="n"/>
      <c r="F221" s="35" t="n"/>
      <c r="G221" s="35" t="n"/>
      <c r="H221" s="35" t="n"/>
      <c r="I221" s="27" t="n"/>
      <c r="J221" s="35" t="n"/>
      <c r="K221" s="35" t="n"/>
      <c r="L221" s="35" t="n"/>
      <c r="M221" s="35" t="n"/>
      <c r="N221" s="35" t="n"/>
      <c r="O221" s="35" t="n"/>
      <c r="P221" s="35" t="n"/>
      <c r="Q221" s="35" t="n"/>
    </row>
    <row r="222" ht="14.25" customHeight="1" s="398">
      <c r="A222" s="35" t="n"/>
      <c r="B222" s="35" t="n"/>
      <c r="C222" s="35" t="n"/>
      <c r="D222" s="35" t="n"/>
      <c r="E222" s="35" t="n"/>
      <c r="F222" s="35" t="n"/>
      <c r="G222" s="35" t="n"/>
      <c r="H222" s="35" t="n"/>
      <c r="I222" s="27" t="n"/>
      <c r="J222" s="35" t="n"/>
      <c r="K222" s="35" t="n"/>
      <c r="L222" s="35" t="n"/>
      <c r="M222" s="35" t="n"/>
      <c r="N222" s="35" t="n"/>
      <c r="O222" s="35" t="n"/>
      <c r="P222" s="35" t="n"/>
      <c r="Q222" s="35" t="n"/>
    </row>
    <row r="223" ht="14.25" customHeight="1" s="398">
      <c r="A223" s="35" t="n"/>
      <c r="B223" s="35" t="n"/>
      <c r="C223" s="35" t="n"/>
      <c r="D223" s="35" t="n"/>
      <c r="E223" s="35" t="n"/>
      <c r="F223" s="35" t="n"/>
      <c r="G223" s="35" t="n"/>
      <c r="H223" s="35" t="n"/>
      <c r="I223" s="27" t="n"/>
      <c r="J223" s="35" t="n"/>
      <c r="K223" s="35" t="n"/>
      <c r="L223" s="35" t="n"/>
      <c r="M223" s="35" t="n"/>
      <c r="N223" s="35" t="n"/>
      <c r="O223" s="35" t="n"/>
      <c r="P223" s="35" t="n"/>
      <c r="Q223" s="35" t="n"/>
    </row>
    <row r="224" ht="14.25" customHeight="1" s="398">
      <c r="A224" s="35" t="n"/>
      <c r="B224" s="35" t="n"/>
      <c r="C224" s="35" t="n"/>
      <c r="D224" s="35" t="n"/>
      <c r="E224" s="35" t="n"/>
      <c r="F224" s="35" t="n"/>
      <c r="G224" s="35" t="n"/>
      <c r="H224" s="35" t="n"/>
      <c r="I224" s="27" t="n"/>
      <c r="J224" s="35" t="n"/>
      <c r="K224" s="35" t="n"/>
      <c r="L224" s="35" t="n"/>
      <c r="M224" s="35" t="n"/>
      <c r="N224" s="35" t="n"/>
      <c r="O224" s="35" t="n"/>
      <c r="P224" s="35" t="n"/>
      <c r="Q224" s="35" t="n"/>
    </row>
    <row r="225" ht="14.25" customHeight="1" s="398">
      <c r="A225" s="35" t="n"/>
      <c r="B225" s="35" t="n"/>
      <c r="C225" s="35" t="n"/>
      <c r="D225" s="35" t="n"/>
      <c r="E225" s="35" t="n"/>
      <c r="F225" s="35" t="n"/>
      <c r="G225" s="35" t="n"/>
      <c r="H225" s="35" t="n"/>
      <c r="I225" s="27" t="n"/>
      <c r="J225" s="35" t="n"/>
      <c r="K225" s="35" t="n"/>
      <c r="L225" s="35" t="n"/>
      <c r="M225" s="35" t="n"/>
      <c r="N225" s="35" t="n"/>
      <c r="O225" s="35" t="n"/>
      <c r="P225" s="35" t="n"/>
      <c r="Q225" s="35" t="n"/>
    </row>
    <row r="226" ht="14.25" customHeight="1" s="398">
      <c r="A226" s="35" t="n"/>
      <c r="B226" s="35" t="n"/>
      <c r="C226" s="35" t="n"/>
      <c r="D226" s="35" t="n"/>
      <c r="E226" s="35" t="n"/>
      <c r="F226" s="35" t="n"/>
      <c r="G226" s="35" t="n"/>
      <c r="H226" s="35" t="n"/>
      <c r="I226" s="27" t="n"/>
      <c r="J226" s="35" t="n"/>
      <c r="K226" s="35" t="n"/>
      <c r="L226" s="35" t="n"/>
      <c r="M226" s="35" t="n"/>
      <c r="N226" s="35" t="n"/>
      <c r="O226" s="35" t="n"/>
      <c r="P226" s="35" t="n"/>
      <c r="Q226" s="35" t="n"/>
    </row>
    <row r="227" ht="14.25" customHeight="1" s="398">
      <c r="A227" s="35" t="n"/>
      <c r="B227" s="35" t="n"/>
      <c r="C227" s="35" t="n"/>
      <c r="D227" s="35" t="n"/>
      <c r="E227" s="35" t="n"/>
      <c r="F227" s="35" t="n"/>
      <c r="G227" s="35" t="n"/>
      <c r="H227" s="35" t="n"/>
      <c r="I227" s="27" t="n"/>
      <c r="J227" s="35" t="n"/>
      <c r="K227" s="35" t="n"/>
      <c r="L227" s="35" t="n"/>
      <c r="M227" s="35" t="n"/>
      <c r="N227" s="35" t="n"/>
      <c r="O227" s="35" t="n"/>
      <c r="P227" s="35" t="n"/>
      <c r="Q227" s="35" t="n"/>
    </row>
    <row r="228" ht="14.25" customHeight="1" s="398">
      <c r="A228" s="35" t="n"/>
      <c r="B228" s="35" t="n"/>
      <c r="C228" s="35" t="n"/>
      <c r="D228" s="35" t="n"/>
      <c r="E228" s="35" t="n"/>
      <c r="F228" s="35" t="n"/>
      <c r="G228" s="35" t="n"/>
      <c r="H228" s="35" t="n"/>
      <c r="I228" s="27" t="n"/>
      <c r="J228" s="35" t="n"/>
      <c r="K228" s="35" t="n"/>
      <c r="L228" s="35" t="n"/>
      <c r="M228" s="35" t="n"/>
      <c r="N228" s="35" t="n"/>
      <c r="O228" s="35" t="n"/>
      <c r="P228" s="35" t="n"/>
      <c r="Q228" s="35" t="n"/>
    </row>
    <row r="229" ht="14.25" customHeight="1" s="398">
      <c r="A229" s="35" t="n"/>
      <c r="B229" s="35" t="n"/>
      <c r="C229" s="35" t="n"/>
      <c r="D229" s="35" t="n"/>
      <c r="E229" s="35" t="n"/>
      <c r="F229" s="35" t="n"/>
      <c r="G229" s="35" t="n"/>
      <c r="H229" s="35" t="n"/>
      <c r="I229" s="27" t="n"/>
      <c r="J229" s="35" t="n"/>
      <c r="K229" s="35" t="n"/>
      <c r="L229" s="35" t="n"/>
      <c r="M229" s="35" t="n"/>
      <c r="N229" s="35" t="n"/>
      <c r="O229" s="35" t="n"/>
      <c r="P229" s="35" t="n"/>
      <c r="Q229" s="35" t="n"/>
    </row>
    <row r="230" ht="14.25" customHeight="1" s="398">
      <c r="A230" s="35" t="n"/>
      <c r="B230" s="35" t="n"/>
      <c r="C230" s="35" t="n"/>
      <c r="D230" s="35" t="n"/>
      <c r="E230" s="35" t="n"/>
      <c r="F230" s="35" t="n"/>
      <c r="G230" s="35" t="n"/>
      <c r="H230" s="35" t="n"/>
      <c r="I230" s="27" t="n"/>
      <c r="J230" s="35" t="n"/>
      <c r="K230" s="35" t="n"/>
      <c r="L230" s="35" t="n"/>
      <c r="M230" s="35" t="n"/>
      <c r="N230" s="35" t="n"/>
      <c r="O230" s="35" t="n"/>
      <c r="P230" s="35" t="n"/>
      <c r="Q230" s="35" t="n"/>
    </row>
    <row r="231" ht="14.25" customHeight="1" s="398">
      <c r="A231" s="35" t="n"/>
      <c r="B231" s="35" t="n"/>
      <c r="C231" s="35" t="n"/>
      <c r="D231" s="35" t="n"/>
      <c r="E231" s="35" t="n"/>
      <c r="F231" s="35" t="n"/>
      <c r="G231" s="35" t="n"/>
      <c r="H231" s="35" t="n"/>
      <c r="I231" s="27" t="n"/>
      <c r="J231" s="35" t="n"/>
      <c r="K231" s="35" t="n"/>
      <c r="L231" s="35" t="n"/>
      <c r="M231" s="35" t="n"/>
      <c r="N231" s="35" t="n"/>
      <c r="O231" s="35" t="n"/>
      <c r="P231" s="35" t="n"/>
      <c r="Q231" s="35" t="n"/>
    </row>
    <row r="232" ht="14.25" customHeight="1" s="398">
      <c r="A232" s="35" t="n"/>
      <c r="B232" s="35" t="n"/>
      <c r="C232" s="35" t="n"/>
      <c r="D232" s="35" t="n"/>
      <c r="E232" s="35" t="n"/>
      <c r="F232" s="35" t="n"/>
      <c r="G232" s="35" t="n"/>
      <c r="H232" s="35" t="n"/>
      <c r="I232" s="27" t="n"/>
      <c r="J232" s="35" t="n"/>
      <c r="K232" s="35" t="n"/>
      <c r="L232" s="35" t="n"/>
      <c r="M232" s="35" t="n"/>
      <c r="N232" s="35" t="n"/>
      <c r="O232" s="35" t="n"/>
      <c r="P232" s="35" t="n"/>
      <c r="Q232" s="35" t="n"/>
    </row>
    <row r="233" ht="14.25" customHeight="1" s="398">
      <c r="A233" s="35" t="n"/>
      <c r="B233" s="35" t="n"/>
      <c r="C233" s="35" t="n"/>
      <c r="D233" s="35" t="n"/>
      <c r="E233" s="35" t="n"/>
      <c r="F233" s="35" t="n"/>
      <c r="G233" s="35" t="n"/>
      <c r="H233" s="35" t="n"/>
      <c r="I233" s="27" t="n"/>
      <c r="J233" s="35" t="n"/>
      <c r="K233" s="35" t="n"/>
      <c r="L233" s="35" t="n"/>
      <c r="M233" s="35" t="n"/>
      <c r="N233" s="35" t="n"/>
      <c r="O233" s="35" t="n"/>
      <c r="P233" s="35" t="n"/>
      <c r="Q233" s="35" t="n"/>
    </row>
    <row r="234" ht="14.25" customHeight="1" s="398">
      <c r="A234" s="35" t="n"/>
      <c r="B234" s="35" t="n"/>
      <c r="C234" s="35" t="n"/>
      <c r="D234" s="35" t="n"/>
      <c r="E234" s="35" t="n"/>
      <c r="F234" s="35" t="n"/>
      <c r="G234" s="35" t="n"/>
      <c r="H234" s="35" t="n"/>
      <c r="I234" s="27" t="n"/>
      <c r="J234" s="35" t="n"/>
      <c r="K234" s="35" t="n"/>
      <c r="L234" s="35" t="n"/>
      <c r="M234" s="35" t="n"/>
      <c r="N234" s="35" t="n"/>
      <c r="O234" s="35" t="n"/>
      <c r="P234" s="35" t="n"/>
      <c r="Q234" s="35" t="n"/>
    </row>
    <row r="235" ht="14.25" customHeight="1" s="398">
      <c r="A235" s="35" t="n"/>
      <c r="B235" s="35" t="n"/>
      <c r="C235" s="35" t="n"/>
      <c r="D235" s="35" t="n"/>
      <c r="E235" s="35" t="n"/>
      <c r="F235" s="35" t="n"/>
      <c r="G235" s="35" t="n"/>
      <c r="H235" s="35" t="n"/>
      <c r="I235" s="27" t="n"/>
      <c r="J235" s="35" t="n"/>
      <c r="K235" s="35" t="n"/>
      <c r="L235" s="35" t="n"/>
      <c r="M235" s="35" t="n"/>
      <c r="N235" s="35" t="n"/>
      <c r="O235" s="35" t="n"/>
      <c r="P235" s="35" t="n"/>
      <c r="Q235" s="35" t="n"/>
    </row>
    <row r="236" ht="14.25" customHeight="1" s="398">
      <c r="A236" s="35" t="n"/>
      <c r="B236" s="35" t="n"/>
      <c r="C236" s="35" t="n"/>
      <c r="D236" s="35" t="n"/>
      <c r="E236" s="35" t="n"/>
      <c r="F236" s="35" t="n"/>
      <c r="G236" s="35" t="n"/>
      <c r="H236" s="35" t="n"/>
      <c r="I236" s="27" t="n"/>
      <c r="J236" s="35" t="n"/>
      <c r="K236" s="35" t="n"/>
      <c r="L236" s="35" t="n"/>
      <c r="M236" s="35" t="n"/>
      <c r="N236" s="35" t="n"/>
      <c r="O236" s="35" t="n"/>
      <c r="P236" s="35" t="n"/>
      <c r="Q236" s="35" t="n"/>
    </row>
    <row r="237" ht="14.25" customHeight="1" s="398">
      <c r="A237" s="35" t="n"/>
      <c r="B237" s="35" t="n"/>
      <c r="C237" s="35" t="n"/>
      <c r="D237" s="35" t="n"/>
      <c r="E237" s="35" t="n"/>
      <c r="F237" s="35" t="n"/>
      <c r="G237" s="35" t="n"/>
      <c r="H237" s="35" t="n"/>
      <c r="I237" s="27" t="n"/>
      <c r="J237" s="35" t="n"/>
      <c r="K237" s="35" t="n"/>
      <c r="L237" s="35" t="n"/>
      <c r="M237" s="35" t="n"/>
      <c r="N237" s="35" t="n"/>
      <c r="O237" s="35" t="n"/>
      <c r="P237" s="35" t="n"/>
      <c r="Q237" s="35" t="n"/>
    </row>
    <row r="238" ht="14.25" customHeight="1" s="398">
      <c r="A238" s="35" t="n"/>
      <c r="B238" s="35" t="n"/>
      <c r="C238" s="35" t="n"/>
      <c r="D238" s="35" t="n"/>
      <c r="E238" s="35" t="n"/>
      <c r="F238" s="35" t="n"/>
      <c r="G238" s="35" t="n"/>
      <c r="H238" s="35" t="n"/>
      <c r="I238" s="27" t="n"/>
      <c r="J238" s="35" t="n"/>
      <c r="K238" s="35" t="n"/>
      <c r="L238" s="35" t="n"/>
      <c r="M238" s="35" t="n"/>
      <c r="N238" s="35" t="n"/>
      <c r="O238" s="35" t="n"/>
      <c r="P238" s="35" t="n"/>
      <c r="Q238" s="35" t="n"/>
    </row>
    <row r="239" ht="14.25" customHeight="1" s="398">
      <c r="A239" s="35" t="n"/>
      <c r="B239" s="35" t="n"/>
      <c r="C239" s="35" t="n"/>
      <c r="D239" s="35" t="n"/>
      <c r="E239" s="35" t="n"/>
      <c r="F239" s="35" t="n"/>
      <c r="G239" s="35" t="n"/>
      <c r="H239" s="35" t="n"/>
      <c r="I239" s="27" t="n"/>
      <c r="J239" s="35" t="n"/>
      <c r="K239" s="35" t="n"/>
      <c r="L239" s="35" t="n"/>
      <c r="M239" s="35" t="n"/>
      <c r="N239" s="35" t="n"/>
      <c r="O239" s="35" t="n"/>
      <c r="P239" s="35" t="n"/>
      <c r="Q239" s="35" t="n"/>
    </row>
    <row r="240" ht="14.25" customHeight="1" s="398">
      <c r="A240" s="35" t="n"/>
      <c r="B240" s="35" t="n"/>
      <c r="C240" s="35" t="n"/>
      <c r="D240" s="35" t="n"/>
      <c r="E240" s="35" t="n"/>
      <c r="F240" s="35" t="n"/>
      <c r="G240" s="35" t="n"/>
      <c r="H240" s="35" t="n"/>
      <c r="I240" s="27" t="n"/>
      <c r="J240" s="35" t="n"/>
      <c r="K240" s="35" t="n"/>
      <c r="L240" s="35" t="n"/>
      <c r="M240" s="35" t="n"/>
      <c r="N240" s="35" t="n"/>
      <c r="O240" s="35" t="n"/>
      <c r="P240" s="35" t="n"/>
      <c r="Q240" s="35" t="n"/>
    </row>
    <row r="241" ht="14.25" customHeight="1" s="398">
      <c r="A241" s="35" t="n"/>
      <c r="B241" s="35" t="n"/>
      <c r="C241" s="35" t="n"/>
      <c r="D241" s="35" t="n"/>
      <c r="E241" s="35" t="n"/>
      <c r="F241" s="35" t="n"/>
      <c r="G241" s="35" t="n"/>
      <c r="H241" s="35" t="n"/>
      <c r="I241" s="27" t="n"/>
      <c r="J241" s="35" t="n"/>
      <c r="K241" s="35" t="n"/>
      <c r="L241" s="35" t="n"/>
      <c r="M241" s="35" t="n"/>
      <c r="N241" s="35" t="n"/>
      <c r="O241" s="35" t="n"/>
      <c r="P241" s="35" t="n"/>
      <c r="Q241" s="35" t="n"/>
    </row>
    <row r="242" ht="14.25" customHeight="1" s="398">
      <c r="A242" s="35" t="n"/>
      <c r="B242" s="35" t="n"/>
      <c r="C242" s="35" t="n"/>
      <c r="D242" s="35" t="n"/>
      <c r="E242" s="35" t="n"/>
      <c r="F242" s="35" t="n"/>
      <c r="G242" s="35" t="n"/>
      <c r="H242" s="35" t="n"/>
      <c r="I242" s="27" t="n"/>
      <c r="J242" s="35" t="n"/>
      <c r="K242" s="35" t="n"/>
      <c r="L242" s="35" t="n"/>
      <c r="M242" s="35" t="n"/>
      <c r="N242" s="35" t="n"/>
      <c r="O242" s="35" t="n"/>
      <c r="P242" s="35" t="n"/>
      <c r="Q242" s="35" t="n"/>
    </row>
    <row r="243" ht="14.25" customHeight="1" s="398">
      <c r="A243" s="35" t="n"/>
      <c r="B243" s="35" t="n"/>
      <c r="C243" s="35" t="n"/>
      <c r="D243" s="35" t="n"/>
      <c r="E243" s="35" t="n"/>
      <c r="F243" s="35" t="n"/>
      <c r="G243" s="35" t="n"/>
      <c r="H243" s="35" t="n"/>
      <c r="I243" s="27" t="n"/>
      <c r="J243" s="35" t="n"/>
      <c r="K243" s="35" t="n"/>
      <c r="L243" s="35" t="n"/>
      <c r="M243" s="35" t="n"/>
      <c r="N243" s="35" t="n"/>
      <c r="O243" s="35" t="n"/>
      <c r="P243" s="35" t="n"/>
      <c r="Q243" s="35" t="n"/>
    </row>
    <row r="244" ht="14.25" customHeight="1" s="398">
      <c r="A244" s="35" t="n"/>
      <c r="B244" s="35" t="n"/>
      <c r="C244" s="35" t="n"/>
      <c r="D244" s="35" t="n"/>
      <c r="E244" s="35" t="n"/>
      <c r="F244" s="35" t="n"/>
      <c r="G244" s="35" t="n"/>
      <c r="H244" s="35" t="n"/>
      <c r="I244" s="27" t="n"/>
      <c r="J244" s="35" t="n"/>
      <c r="K244" s="35" t="n"/>
      <c r="L244" s="35" t="n"/>
      <c r="M244" s="35" t="n"/>
      <c r="N244" s="35" t="n"/>
      <c r="O244" s="35" t="n"/>
      <c r="P244" s="35" t="n"/>
      <c r="Q244" s="35" t="n"/>
    </row>
    <row r="245" ht="14.25" customHeight="1" s="398">
      <c r="A245" s="35" t="n"/>
      <c r="B245" s="35" t="n"/>
      <c r="C245" s="35" t="n"/>
      <c r="D245" s="35" t="n"/>
      <c r="E245" s="35" t="n"/>
      <c r="F245" s="35" t="n"/>
      <c r="G245" s="35" t="n"/>
      <c r="H245" s="35" t="n"/>
      <c r="I245" s="27" t="n"/>
      <c r="J245" s="35" t="n"/>
      <c r="K245" s="35" t="n"/>
      <c r="L245" s="35" t="n"/>
      <c r="M245" s="35" t="n"/>
      <c r="N245" s="35" t="n"/>
      <c r="O245" s="35" t="n"/>
      <c r="P245" s="35" t="n"/>
      <c r="Q245" s="35" t="n"/>
    </row>
    <row r="246" ht="14.25" customHeight="1" s="398">
      <c r="A246" s="35" t="n"/>
      <c r="B246" s="35" t="n"/>
      <c r="C246" s="35" t="n"/>
      <c r="D246" s="35" t="n"/>
      <c r="E246" s="35" t="n"/>
      <c r="F246" s="35" t="n"/>
      <c r="G246" s="35" t="n"/>
      <c r="H246" s="35" t="n"/>
      <c r="I246" s="27" t="n"/>
      <c r="J246" s="35" t="n"/>
      <c r="K246" s="35" t="n"/>
      <c r="L246" s="35" t="n"/>
      <c r="M246" s="35" t="n"/>
      <c r="N246" s="35" t="n"/>
      <c r="O246" s="35" t="n"/>
      <c r="P246" s="35" t="n"/>
      <c r="Q246" s="35" t="n"/>
    </row>
    <row r="247" ht="14.25" customHeight="1" s="398">
      <c r="A247" s="35" t="n"/>
      <c r="B247" s="35" t="n"/>
      <c r="C247" s="35" t="n"/>
      <c r="D247" s="35" t="n"/>
      <c r="E247" s="35" t="n"/>
      <c r="F247" s="35" t="n"/>
      <c r="G247" s="35" t="n"/>
      <c r="H247" s="35" t="n"/>
      <c r="I247" s="27" t="n"/>
      <c r="J247" s="35" t="n"/>
      <c r="K247" s="35" t="n"/>
      <c r="L247" s="35" t="n"/>
      <c r="M247" s="35" t="n"/>
      <c r="N247" s="35" t="n"/>
      <c r="O247" s="35" t="n"/>
      <c r="P247" s="35" t="n"/>
      <c r="Q247" s="35" t="n"/>
    </row>
    <row r="248" ht="14.25" customHeight="1" s="398">
      <c r="A248" s="35" t="n"/>
      <c r="B248" s="35" t="n"/>
      <c r="C248" s="35" t="n"/>
      <c r="D248" s="35" t="n"/>
      <c r="E248" s="35" t="n"/>
      <c r="F248" s="35" t="n"/>
      <c r="G248" s="35" t="n"/>
      <c r="H248" s="35" t="n"/>
      <c r="I248" s="27" t="n"/>
      <c r="J248" s="35" t="n"/>
      <c r="K248" s="35" t="n"/>
      <c r="L248" s="35" t="n"/>
      <c r="M248" s="35" t="n"/>
      <c r="N248" s="35" t="n"/>
      <c r="O248" s="35" t="n"/>
      <c r="P248" s="35" t="n"/>
      <c r="Q248" s="35" t="n"/>
    </row>
    <row r="249" ht="14.25" customHeight="1" s="398">
      <c r="A249" s="35" t="n"/>
      <c r="B249" s="35" t="n"/>
      <c r="C249" s="35" t="n"/>
      <c r="D249" s="35" t="n"/>
      <c r="E249" s="35" t="n"/>
      <c r="F249" s="35" t="n"/>
      <c r="G249" s="35" t="n"/>
      <c r="H249" s="35" t="n"/>
      <c r="I249" s="27" t="n"/>
      <c r="J249" s="35" t="n"/>
      <c r="K249" s="35" t="n"/>
      <c r="L249" s="35" t="n"/>
      <c r="M249" s="35" t="n"/>
      <c r="N249" s="35" t="n"/>
      <c r="O249" s="35" t="n"/>
      <c r="P249" s="35" t="n"/>
      <c r="Q249" s="35" t="n"/>
    </row>
    <row r="250" ht="14.25" customHeight="1" s="398">
      <c r="A250" s="35" t="n"/>
      <c r="B250" s="35" t="n"/>
      <c r="C250" s="35" t="n"/>
      <c r="D250" s="35" t="n"/>
      <c r="E250" s="35" t="n"/>
      <c r="F250" s="35" t="n"/>
      <c r="G250" s="35" t="n"/>
      <c r="H250" s="35" t="n"/>
      <c r="I250" s="27" t="n"/>
      <c r="J250" s="35" t="n"/>
      <c r="K250" s="35" t="n"/>
      <c r="L250" s="35" t="n"/>
      <c r="M250" s="35" t="n"/>
      <c r="N250" s="35" t="n"/>
      <c r="O250" s="35" t="n"/>
      <c r="P250" s="35" t="n"/>
      <c r="Q250" s="35" t="n"/>
    </row>
    <row r="251" ht="14.25" customHeight="1" s="398">
      <c r="A251" s="35" t="n"/>
      <c r="B251" s="35" t="n"/>
      <c r="C251" s="35" t="n"/>
      <c r="D251" s="35" t="n"/>
      <c r="E251" s="35" t="n"/>
      <c r="F251" s="35" t="n"/>
      <c r="G251" s="35" t="n"/>
      <c r="H251" s="35" t="n"/>
      <c r="I251" s="27" t="n"/>
      <c r="J251" s="35" t="n"/>
      <c r="K251" s="35" t="n"/>
      <c r="L251" s="35" t="n"/>
      <c r="M251" s="35" t="n"/>
      <c r="N251" s="35" t="n"/>
      <c r="O251" s="35" t="n"/>
      <c r="P251" s="35" t="n"/>
      <c r="Q251" s="35" t="n"/>
    </row>
    <row r="252" ht="14.25" customHeight="1" s="398">
      <c r="A252" s="35" t="n"/>
      <c r="B252" s="35" t="n"/>
      <c r="C252" s="35" t="n"/>
      <c r="D252" s="35" t="n"/>
      <c r="E252" s="35" t="n"/>
      <c r="F252" s="35" t="n"/>
      <c r="G252" s="35" t="n"/>
      <c r="H252" s="35" t="n"/>
      <c r="I252" s="27" t="n"/>
      <c r="J252" s="35" t="n"/>
      <c r="K252" s="35" t="n"/>
      <c r="L252" s="35" t="n"/>
      <c r="M252" s="35" t="n"/>
      <c r="N252" s="35" t="n"/>
      <c r="O252" s="35" t="n"/>
      <c r="P252" s="35" t="n"/>
      <c r="Q252" s="35" t="n"/>
    </row>
    <row r="253" ht="14.25" customHeight="1" s="398">
      <c r="A253" s="35" t="n"/>
      <c r="B253" s="35" t="n"/>
      <c r="C253" s="35" t="n"/>
      <c r="D253" s="35" t="n"/>
      <c r="E253" s="35" t="n"/>
      <c r="F253" s="35" t="n"/>
      <c r="G253" s="35" t="n"/>
      <c r="H253" s="35" t="n"/>
      <c r="I253" s="27" t="n"/>
      <c r="J253" s="35" t="n"/>
      <c r="K253" s="35" t="n"/>
      <c r="L253" s="35" t="n"/>
      <c r="M253" s="35" t="n"/>
      <c r="N253" s="35" t="n"/>
      <c r="O253" s="35" t="n"/>
      <c r="P253" s="35" t="n"/>
      <c r="Q253" s="35" t="n"/>
    </row>
    <row r="254" ht="14.25" customHeight="1" s="398">
      <c r="A254" s="35" t="n"/>
      <c r="B254" s="35" t="n"/>
      <c r="C254" s="35" t="n"/>
      <c r="D254" s="35" t="n"/>
      <c r="E254" s="35" t="n"/>
      <c r="F254" s="35" t="n"/>
      <c r="G254" s="35" t="n"/>
      <c r="H254" s="35" t="n"/>
      <c r="I254" s="27" t="n"/>
      <c r="J254" s="35" t="n"/>
      <c r="K254" s="35" t="n"/>
      <c r="L254" s="35" t="n"/>
      <c r="M254" s="35" t="n"/>
      <c r="N254" s="35" t="n"/>
      <c r="O254" s="35" t="n"/>
      <c r="P254" s="35" t="n"/>
      <c r="Q254" s="35" t="n"/>
    </row>
    <row r="255" ht="14.25" customHeight="1" s="398">
      <c r="A255" s="35" t="n"/>
      <c r="B255" s="35" t="n"/>
      <c r="C255" s="35" t="n"/>
      <c r="D255" s="35" t="n"/>
      <c r="E255" s="35" t="n"/>
      <c r="F255" s="35" t="n"/>
      <c r="G255" s="35" t="n"/>
      <c r="H255" s="35" t="n"/>
      <c r="I255" s="27" t="n"/>
      <c r="J255" s="35" t="n"/>
      <c r="K255" s="35" t="n"/>
      <c r="L255" s="35" t="n"/>
      <c r="M255" s="35" t="n"/>
      <c r="N255" s="35" t="n"/>
      <c r="O255" s="35" t="n"/>
      <c r="P255" s="35" t="n"/>
      <c r="Q255" s="35" t="n"/>
    </row>
    <row r="256" ht="14.25" customHeight="1" s="398">
      <c r="A256" s="35" t="n"/>
      <c r="B256" s="35" t="n"/>
      <c r="C256" s="35" t="n"/>
      <c r="D256" s="35" t="n"/>
      <c r="E256" s="35" t="n"/>
      <c r="F256" s="35" t="n"/>
      <c r="G256" s="35" t="n"/>
      <c r="H256" s="35" t="n"/>
      <c r="I256" s="27" t="n"/>
      <c r="J256" s="35" t="n"/>
      <c r="K256" s="35" t="n"/>
      <c r="L256" s="35" t="n"/>
      <c r="M256" s="35" t="n"/>
      <c r="N256" s="35" t="n"/>
      <c r="O256" s="35" t="n"/>
      <c r="P256" s="35" t="n"/>
      <c r="Q256" s="35" t="n"/>
    </row>
    <row r="257" ht="14.25" customHeight="1" s="398">
      <c r="A257" s="35" t="n"/>
      <c r="B257" s="35" t="n"/>
      <c r="C257" s="35" t="n"/>
      <c r="D257" s="35" t="n"/>
      <c r="E257" s="35" t="n"/>
      <c r="F257" s="35" t="n"/>
      <c r="G257" s="35" t="n"/>
      <c r="H257" s="35" t="n"/>
      <c r="I257" s="27" t="n"/>
      <c r="J257" s="35" t="n"/>
      <c r="K257" s="35" t="n"/>
      <c r="L257" s="35" t="n"/>
      <c r="M257" s="35" t="n"/>
      <c r="N257" s="35" t="n"/>
      <c r="O257" s="35" t="n"/>
      <c r="P257" s="35" t="n"/>
      <c r="Q257" s="35" t="n"/>
    </row>
    <row r="258" ht="14.25" customHeight="1" s="398">
      <c r="A258" s="35" t="n"/>
      <c r="B258" s="35" t="n"/>
      <c r="C258" s="35" t="n"/>
      <c r="D258" s="35" t="n"/>
      <c r="E258" s="35" t="n"/>
      <c r="F258" s="35" t="n"/>
      <c r="G258" s="35" t="n"/>
      <c r="H258" s="35" t="n"/>
      <c r="I258" s="27" t="n"/>
      <c r="J258" s="35" t="n"/>
      <c r="K258" s="35" t="n"/>
      <c r="L258" s="35" t="n"/>
      <c r="M258" s="35" t="n"/>
      <c r="N258" s="35" t="n"/>
      <c r="O258" s="35" t="n"/>
      <c r="P258" s="35" t="n"/>
      <c r="Q258" s="35" t="n"/>
    </row>
    <row r="259" ht="14.25" customHeight="1" s="398">
      <c r="A259" s="35" t="n"/>
      <c r="B259" s="35" t="n"/>
      <c r="C259" s="35" t="n"/>
      <c r="D259" s="35" t="n"/>
      <c r="E259" s="35" t="n"/>
      <c r="F259" s="35" t="n"/>
      <c r="G259" s="35" t="n"/>
      <c r="H259" s="35" t="n"/>
      <c r="I259" s="27" t="n"/>
      <c r="J259" s="35" t="n"/>
      <c r="K259" s="35" t="n"/>
      <c r="L259" s="35" t="n"/>
      <c r="M259" s="35" t="n"/>
      <c r="N259" s="35" t="n"/>
      <c r="O259" s="35" t="n"/>
      <c r="P259" s="35" t="n"/>
      <c r="Q259" s="35" t="n"/>
    </row>
    <row r="260" ht="14.25" customHeight="1" s="398">
      <c r="A260" s="35" t="n"/>
      <c r="B260" s="35" t="n"/>
      <c r="C260" s="35" t="n"/>
      <c r="D260" s="35" t="n"/>
      <c r="E260" s="35" t="n"/>
      <c r="F260" s="35" t="n"/>
      <c r="G260" s="35" t="n"/>
      <c r="H260" s="35" t="n"/>
      <c r="I260" s="27" t="n"/>
      <c r="J260" s="35" t="n"/>
      <c r="K260" s="35" t="n"/>
      <c r="L260" s="35" t="n"/>
      <c r="M260" s="35" t="n"/>
      <c r="N260" s="35" t="n"/>
      <c r="O260" s="35" t="n"/>
      <c r="P260" s="35" t="n"/>
      <c r="Q260" s="35" t="n"/>
    </row>
    <row r="261" ht="14.25" customHeight="1" s="398">
      <c r="A261" s="35" t="n"/>
      <c r="B261" s="35" t="n"/>
      <c r="C261" s="35" t="n"/>
      <c r="D261" s="35" t="n"/>
      <c r="E261" s="35" t="n"/>
      <c r="F261" s="35" t="n"/>
      <c r="G261" s="35" t="n"/>
      <c r="H261" s="35" t="n"/>
      <c r="I261" s="27" t="n"/>
      <c r="J261" s="35" t="n"/>
      <c r="K261" s="35" t="n"/>
      <c r="L261" s="35" t="n"/>
      <c r="M261" s="35" t="n"/>
      <c r="N261" s="35" t="n"/>
      <c r="O261" s="35" t="n"/>
      <c r="P261" s="35" t="n"/>
      <c r="Q261" s="35" t="n"/>
    </row>
    <row r="262" ht="14.25" customHeight="1" s="398">
      <c r="A262" s="35" t="n"/>
      <c r="B262" s="35" t="n"/>
      <c r="C262" s="35" t="n"/>
      <c r="D262" s="35" t="n"/>
      <c r="E262" s="35" t="n"/>
      <c r="F262" s="35" t="n"/>
      <c r="G262" s="35" t="n"/>
      <c r="H262" s="35" t="n"/>
      <c r="I262" s="27" t="n"/>
      <c r="J262" s="35" t="n"/>
      <c r="K262" s="35" t="n"/>
      <c r="L262" s="35" t="n"/>
      <c r="M262" s="35" t="n"/>
      <c r="N262" s="35" t="n"/>
      <c r="O262" s="35" t="n"/>
      <c r="P262" s="35" t="n"/>
      <c r="Q262" s="35" t="n"/>
    </row>
    <row r="263" ht="14.25" customHeight="1" s="398">
      <c r="A263" s="35" t="n"/>
      <c r="B263" s="35" t="n"/>
      <c r="C263" s="35" t="n"/>
      <c r="D263" s="35" t="n"/>
      <c r="E263" s="35" t="n"/>
      <c r="F263" s="35" t="n"/>
      <c r="G263" s="35" t="n"/>
      <c r="H263" s="35" t="n"/>
      <c r="I263" s="27" t="n"/>
      <c r="J263" s="35" t="n"/>
      <c r="K263" s="35" t="n"/>
      <c r="L263" s="35" t="n"/>
      <c r="M263" s="35" t="n"/>
      <c r="N263" s="35" t="n"/>
      <c r="O263" s="35" t="n"/>
      <c r="P263" s="35" t="n"/>
      <c r="Q263" s="35" t="n"/>
    </row>
    <row r="264" ht="14.25" customHeight="1" s="398">
      <c r="A264" s="35" t="n"/>
      <c r="B264" s="35" t="n"/>
      <c r="C264" s="35" t="n"/>
      <c r="D264" s="35" t="n"/>
      <c r="E264" s="35" t="n"/>
      <c r="F264" s="35" t="n"/>
      <c r="G264" s="35" t="n"/>
      <c r="H264" s="35" t="n"/>
      <c r="I264" s="27" t="n"/>
      <c r="J264" s="35" t="n"/>
      <c r="K264" s="35" t="n"/>
      <c r="L264" s="35" t="n"/>
      <c r="M264" s="35" t="n"/>
      <c r="N264" s="35" t="n"/>
      <c r="O264" s="35" t="n"/>
      <c r="P264" s="35" t="n"/>
      <c r="Q264" s="35" t="n"/>
    </row>
    <row r="265" ht="14.25" customHeight="1" s="398">
      <c r="A265" s="35" t="n"/>
      <c r="B265" s="35" t="n"/>
      <c r="C265" s="35" t="n"/>
      <c r="D265" s="35" t="n"/>
      <c r="E265" s="35" t="n"/>
      <c r="F265" s="35" t="n"/>
      <c r="G265" s="35" t="n"/>
      <c r="H265" s="35" t="n"/>
      <c r="I265" s="27" t="n"/>
      <c r="J265" s="35" t="n"/>
      <c r="K265" s="35" t="n"/>
      <c r="L265" s="35" t="n"/>
      <c r="M265" s="35" t="n"/>
      <c r="N265" s="35" t="n"/>
      <c r="O265" s="35" t="n"/>
      <c r="P265" s="35" t="n"/>
      <c r="Q265" s="35" t="n"/>
    </row>
    <row r="266" ht="14.25" customHeight="1" s="398">
      <c r="A266" s="35" t="n"/>
      <c r="B266" s="35" t="n"/>
      <c r="C266" s="35" t="n"/>
      <c r="D266" s="35" t="n"/>
      <c r="E266" s="35" t="n"/>
      <c r="F266" s="35" t="n"/>
      <c r="G266" s="35" t="n"/>
      <c r="H266" s="35" t="n"/>
      <c r="I266" s="27" t="n"/>
      <c r="J266" s="35" t="n"/>
      <c r="K266" s="35" t="n"/>
      <c r="L266" s="35" t="n"/>
      <c r="M266" s="35" t="n"/>
      <c r="N266" s="35" t="n"/>
      <c r="O266" s="35" t="n"/>
      <c r="P266" s="35" t="n"/>
      <c r="Q266" s="35" t="n"/>
    </row>
    <row r="267" ht="14.25" customHeight="1" s="398">
      <c r="A267" s="35" t="n"/>
      <c r="B267" s="35" t="n"/>
      <c r="C267" s="35" t="n"/>
      <c r="D267" s="35" t="n"/>
      <c r="E267" s="35" t="n"/>
      <c r="F267" s="35" t="n"/>
      <c r="G267" s="35" t="n"/>
      <c r="H267" s="35" t="n"/>
      <c r="I267" s="27" t="n"/>
      <c r="J267" s="35" t="n"/>
      <c r="K267" s="35" t="n"/>
      <c r="L267" s="35" t="n"/>
      <c r="M267" s="35" t="n"/>
      <c r="N267" s="35" t="n"/>
      <c r="O267" s="35" t="n"/>
      <c r="P267" s="35" t="n"/>
      <c r="Q267" s="35" t="n"/>
    </row>
    <row r="268" ht="14.25" customHeight="1" s="398">
      <c r="A268" s="35" t="n"/>
      <c r="B268" s="35" t="n"/>
      <c r="C268" s="35" t="n"/>
      <c r="D268" s="35" t="n"/>
      <c r="E268" s="35" t="n"/>
      <c r="F268" s="35" t="n"/>
      <c r="G268" s="35" t="n"/>
      <c r="H268" s="35" t="n"/>
      <c r="I268" s="27" t="n"/>
      <c r="J268" s="35" t="n"/>
      <c r="K268" s="35" t="n"/>
      <c r="L268" s="35" t="n"/>
      <c r="M268" s="35" t="n"/>
      <c r="N268" s="35" t="n"/>
      <c r="O268" s="35" t="n"/>
      <c r="P268" s="35" t="n"/>
      <c r="Q268" s="35" t="n"/>
    </row>
    <row r="269" ht="14.25" customHeight="1" s="398">
      <c r="A269" s="35" t="n"/>
      <c r="B269" s="35" t="n"/>
      <c r="C269" s="35" t="n"/>
      <c r="D269" s="35" t="n"/>
      <c r="E269" s="35" t="n"/>
      <c r="F269" s="35" t="n"/>
      <c r="G269" s="35" t="n"/>
      <c r="H269" s="35" t="n"/>
      <c r="I269" s="27" t="n"/>
      <c r="J269" s="35" t="n"/>
      <c r="K269" s="35" t="n"/>
      <c r="L269" s="35" t="n"/>
      <c r="M269" s="35" t="n"/>
      <c r="N269" s="35" t="n"/>
      <c r="O269" s="35" t="n"/>
      <c r="P269" s="35" t="n"/>
      <c r="Q269" s="35" t="n"/>
    </row>
    <row r="270" ht="14.25" customHeight="1" s="398">
      <c r="A270" s="35" t="n"/>
      <c r="B270" s="35" t="n"/>
      <c r="C270" s="35" t="n"/>
      <c r="D270" s="35" t="n"/>
      <c r="E270" s="35" t="n"/>
      <c r="F270" s="35" t="n"/>
      <c r="G270" s="35" t="n"/>
      <c r="H270" s="35" t="n"/>
      <c r="I270" s="27" t="n"/>
      <c r="J270" s="35" t="n"/>
      <c r="K270" s="35" t="n"/>
      <c r="L270" s="35" t="n"/>
      <c r="M270" s="35" t="n"/>
      <c r="N270" s="35" t="n"/>
      <c r="O270" s="35" t="n"/>
      <c r="P270" s="35" t="n"/>
      <c r="Q270" s="35" t="n"/>
    </row>
    <row r="271" ht="14.25" customHeight="1" s="398">
      <c r="A271" s="35" t="n"/>
      <c r="B271" s="35" t="n"/>
      <c r="C271" s="35" t="n"/>
      <c r="D271" s="35" t="n"/>
      <c r="E271" s="35" t="n"/>
      <c r="F271" s="35" t="n"/>
      <c r="G271" s="35" t="n"/>
      <c r="H271" s="35" t="n"/>
      <c r="I271" s="27" t="n"/>
      <c r="J271" s="35" t="n"/>
      <c r="K271" s="35" t="n"/>
      <c r="L271" s="35" t="n"/>
      <c r="M271" s="35" t="n"/>
      <c r="N271" s="35" t="n"/>
      <c r="O271" s="35" t="n"/>
      <c r="P271" s="35" t="n"/>
      <c r="Q271" s="35" t="n"/>
    </row>
    <row r="272" ht="14.25" customHeight="1" s="398">
      <c r="A272" s="35" t="n"/>
      <c r="B272" s="35" t="n"/>
      <c r="C272" s="35" t="n"/>
      <c r="D272" s="35" t="n"/>
      <c r="E272" s="35" t="n"/>
      <c r="F272" s="35" t="n"/>
      <c r="G272" s="35" t="n"/>
      <c r="H272" s="35" t="n"/>
      <c r="I272" s="27" t="n"/>
      <c r="J272" s="35" t="n"/>
      <c r="K272" s="35" t="n"/>
      <c r="L272" s="35" t="n"/>
      <c r="M272" s="35" t="n"/>
      <c r="N272" s="35" t="n"/>
      <c r="O272" s="35" t="n"/>
      <c r="P272" s="35" t="n"/>
      <c r="Q272" s="35" t="n"/>
    </row>
    <row r="273" ht="14.25" customHeight="1" s="398">
      <c r="A273" s="35" t="n"/>
      <c r="B273" s="35" t="n"/>
      <c r="C273" s="35" t="n"/>
      <c r="D273" s="35" t="n"/>
      <c r="E273" s="35" t="n"/>
      <c r="F273" s="35" t="n"/>
      <c r="G273" s="35" t="n"/>
      <c r="H273" s="35" t="n"/>
      <c r="I273" s="27" t="n"/>
      <c r="J273" s="35" t="n"/>
      <c r="K273" s="35" t="n"/>
      <c r="L273" s="35" t="n"/>
      <c r="M273" s="35" t="n"/>
      <c r="N273" s="35" t="n"/>
      <c r="O273" s="35" t="n"/>
      <c r="P273" s="35" t="n"/>
      <c r="Q273" s="35" t="n"/>
    </row>
    <row r="274" ht="14.25" customHeight="1" s="398">
      <c r="A274" s="35" t="n"/>
      <c r="B274" s="35" t="n"/>
      <c r="C274" s="35" t="n"/>
      <c r="D274" s="35" t="n"/>
      <c r="E274" s="35" t="n"/>
      <c r="F274" s="35" t="n"/>
      <c r="G274" s="35" t="n"/>
      <c r="H274" s="35" t="n"/>
      <c r="I274" s="27" t="n"/>
      <c r="J274" s="35" t="n"/>
      <c r="K274" s="35" t="n"/>
      <c r="L274" s="35" t="n"/>
      <c r="M274" s="35" t="n"/>
      <c r="N274" s="35" t="n"/>
      <c r="O274" s="35" t="n"/>
      <c r="P274" s="35" t="n"/>
      <c r="Q274" s="35" t="n"/>
    </row>
    <row r="275" ht="14.25" customHeight="1" s="398">
      <c r="A275" s="35" t="n"/>
      <c r="B275" s="35" t="n"/>
      <c r="C275" s="35" t="n"/>
      <c r="D275" s="35" t="n"/>
      <c r="E275" s="35" t="n"/>
      <c r="F275" s="35" t="n"/>
      <c r="G275" s="35" t="n"/>
      <c r="H275" s="35" t="n"/>
      <c r="I275" s="27" t="n"/>
      <c r="J275" s="35" t="n"/>
      <c r="K275" s="35" t="n"/>
      <c r="L275" s="35" t="n"/>
      <c r="M275" s="35" t="n"/>
      <c r="N275" s="35" t="n"/>
      <c r="O275" s="35" t="n"/>
      <c r="P275" s="35" t="n"/>
      <c r="Q275" s="35" t="n"/>
    </row>
    <row r="276" ht="14.25" customHeight="1" s="398">
      <c r="A276" s="35" t="n"/>
      <c r="B276" s="35" t="n"/>
      <c r="C276" s="35" t="n"/>
      <c r="D276" s="35" t="n"/>
      <c r="E276" s="35" t="n"/>
      <c r="F276" s="35" t="n"/>
      <c r="G276" s="35" t="n"/>
      <c r="H276" s="35" t="n"/>
      <c r="I276" s="27" t="n"/>
      <c r="J276" s="35" t="n"/>
      <c r="K276" s="35" t="n"/>
      <c r="L276" s="35" t="n"/>
      <c r="M276" s="35" t="n"/>
      <c r="N276" s="35" t="n"/>
      <c r="O276" s="35" t="n"/>
      <c r="P276" s="35" t="n"/>
      <c r="Q276" s="35" t="n"/>
    </row>
    <row r="277" ht="14.25" customHeight="1" s="398">
      <c r="A277" s="35" t="n"/>
      <c r="B277" s="35" t="n"/>
      <c r="C277" s="35" t="n"/>
      <c r="D277" s="35" t="n"/>
      <c r="E277" s="35" t="n"/>
      <c r="F277" s="35" t="n"/>
      <c r="G277" s="35" t="n"/>
      <c r="H277" s="35" t="n"/>
      <c r="I277" s="27" t="n"/>
      <c r="J277" s="35" t="n"/>
      <c r="K277" s="35" t="n"/>
      <c r="L277" s="35" t="n"/>
      <c r="M277" s="35" t="n"/>
      <c r="N277" s="35" t="n"/>
      <c r="O277" s="35" t="n"/>
      <c r="P277" s="35" t="n"/>
      <c r="Q277" s="35" t="n"/>
    </row>
    <row r="278" ht="14.25" customHeight="1" s="398">
      <c r="A278" s="35" t="n"/>
      <c r="B278" s="35" t="n"/>
      <c r="C278" s="35" t="n"/>
      <c r="D278" s="35" t="n"/>
      <c r="E278" s="35" t="n"/>
      <c r="F278" s="35" t="n"/>
      <c r="G278" s="35" t="n"/>
      <c r="H278" s="35" t="n"/>
      <c r="I278" s="27" t="n"/>
      <c r="J278" s="35" t="n"/>
      <c r="K278" s="35" t="n"/>
      <c r="L278" s="35" t="n"/>
      <c r="M278" s="35" t="n"/>
      <c r="N278" s="35" t="n"/>
      <c r="O278" s="35" t="n"/>
      <c r="P278" s="35" t="n"/>
      <c r="Q278" s="35" t="n"/>
    </row>
    <row r="279" ht="14.25" customHeight="1" s="398">
      <c r="A279" s="35" t="n"/>
      <c r="B279" s="35" t="n"/>
      <c r="C279" s="35" t="n"/>
      <c r="D279" s="35" t="n"/>
      <c r="E279" s="35" t="n"/>
      <c r="F279" s="35" t="n"/>
      <c r="G279" s="35" t="n"/>
      <c r="H279" s="35" t="n"/>
      <c r="I279" s="27" t="n"/>
      <c r="J279" s="35" t="n"/>
      <c r="K279" s="35" t="n"/>
      <c r="L279" s="35" t="n"/>
      <c r="M279" s="35" t="n"/>
      <c r="N279" s="35" t="n"/>
      <c r="O279" s="35" t="n"/>
      <c r="P279" s="35" t="n"/>
      <c r="Q279" s="35" t="n"/>
    </row>
    <row r="280" ht="14.25" customHeight="1" s="398">
      <c r="A280" s="35" t="n"/>
      <c r="B280" s="35" t="n"/>
      <c r="C280" s="35" t="n"/>
      <c r="D280" s="35" t="n"/>
      <c r="E280" s="35" t="n"/>
      <c r="F280" s="35" t="n"/>
      <c r="G280" s="35" t="n"/>
      <c r="H280" s="35" t="n"/>
      <c r="I280" s="27" t="n"/>
      <c r="J280" s="35" t="n"/>
      <c r="K280" s="35" t="n"/>
      <c r="L280" s="35" t="n"/>
      <c r="M280" s="35" t="n"/>
      <c r="N280" s="35" t="n"/>
      <c r="O280" s="35" t="n"/>
      <c r="P280" s="35" t="n"/>
      <c r="Q280" s="35" t="n"/>
    </row>
    <row r="281" ht="14.25" customHeight="1" s="398">
      <c r="A281" s="35" t="n"/>
      <c r="B281" s="35" t="n"/>
      <c r="C281" s="35" t="n"/>
      <c r="D281" s="35" t="n"/>
      <c r="E281" s="35" t="n"/>
      <c r="F281" s="35" t="n"/>
      <c r="G281" s="35" t="n"/>
      <c r="H281" s="35" t="n"/>
      <c r="I281" s="27" t="n"/>
      <c r="J281" s="35" t="n"/>
      <c r="K281" s="35" t="n"/>
      <c r="L281" s="35" t="n"/>
      <c r="M281" s="35" t="n"/>
      <c r="N281" s="35" t="n"/>
      <c r="O281" s="35" t="n"/>
      <c r="P281" s="35" t="n"/>
      <c r="Q281" s="35" t="n"/>
    </row>
    <row r="282" ht="14.25" customHeight="1" s="398">
      <c r="A282" s="35" t="n"/>
      <c r="B282" s="35" t="n"/>
      <c r="C282" s="35" t="n"/>
      <c r="D282" s="35" t="n"/>
      <c r="E282" s="35" t="n"/>
      <c r="F282" s="35" t="n"/>
      <c r="G282" s="35" t="n"/>
      <c r="H282" s="35" t="n"/>
      <c r="I282" s="27" t="n"/>
      <c r="J282" s="35" t="n"/>
      <c r="K282" s="35" t="n"/>
      <c r="L282" s="35" t="n"/>
      <c r="M282" s="35" t="n"/>
      <c r="N282" s="35" t="n"/>
      <c r="O282" s="35" t="n"/>
      <c r="P282" s="35" t="n"/>
      <c r="Q282" s="35" t="n"/>
    </row>
    <row r="283" ht="14.25" customHeight="1" s="398">
      <c r="A283" s="35" t="n"/>
      <c r="B283" s="35" t="n"/>
      <c r="C283" s="35" t="n"/>
      <c r="D283" s="35" t="n"/>
      <c r="E283" s="35" t="n"/>
      <c r="F283" s="35" t="n"/>
      <c r="G283" s="35" t="n"/>
      <c r="H283" s="35" t="n"/>
      <c r="I283" s="27" t="n"/>
      <c r="J283" s="35" t="n"/>
      <c r="K283" s="35" t="n"/>
      <c r="L283" s="35" t="n"/>
      <c r="M283" s="35" t="n"/>
      <c r="N283" s="35" t="n"/>
      <c r="O283" s="35" t="n"/>
      <c r="P283" s="35" t="n"/>
      <c r="Q283" s="35" t="n"/>
    </row>
    <row r="284" ht="14.25" customHeight="1" s="398">
      <c r="A284" s="35" t="n"/>
      <c r="B284" s="35" t="n"/>
      <c r="C284" s="35" t="n"/>
      <c r="D284" s="35" t="n"/>
      <c r="E284" s="35" t="n"/>
      <c r="F284" s="35" t="n"/>
      <c r="G284" s="35" t="n"/>
      <c r="H284" s="35" t="n"/>
      <c r="I284" s="27" t="n"/>
      <c r="J284" s="35" t="n"/>
      <c r="K284" s="35" t="n"/>
      <c r="L284" s="35" t="n"/>
      <c r="M284" s="35" t="n"/>
      <c r="N284" s="35" t="n"/>
      <c r="O284" s="35" t="n"/>
      <c r="P284" s="35" t="n"/>
      <c r="Q284" s="35" t="n"/>
    </row>
    <row r="285" ht="14.25" customHeight="1" s="398">
      <c r="A285" s="35" t="n"/>
      <c r="B285" s="35" t="n"/>
      <c r="C285" s="35" t="n"/>
      <c r="D285" s="35" t="n"/>
      <c r="E285" s="35" t="n"/>
      <c r="F285" s="35" t="n"/>
      <c r="G285" s="35" t="n"/>
      <c r="H285" s="35" t="n"/>
      <c r="I285" s="27" t="n"/>
      <c r="J285" s="35" t="n"/>
      <c r="K285" s="35" t="n"/>
      <c r="L285" s="35" t="n"/>
      <c r="M285" s="35" t="n"/>
      <c r="N285" s="35" t="n"/>
      <c r="O285" s="35" t="n"/>
      <c r="P285" s="35" t="n"/>
      <c r="Q285" s="35" t="n"/>
    </row>
    <row r="286" ht="14.25" customHeight="1" s="398">
      <c r="A286" s="35" t="n"/>
      <c r="B286" s="35" t="n"/>
      <c r="C286" s="35" t="n"/>
      <c r="D286" s="35" t="n"/>
      <c r="E286" s="35" t="n"/>
      <c r="F286" s="35" t="n"/>
      <c r="G286" s="35" t="n"/>
      <c r="H286" s="35" t="n"/>
      <c r="I286" s="27" t="n"/>
      <c r="J286" s="35" t="n"/>
      <c r="K286" s="35" t="n"/>
      <c r="L286" s="35" t="n"/>
      <c r="M286" s="35" t="n"/>
      <c r="N286" s="35" t="n"/>
      <c r="O286" s="35" t="n"/>
      <c r="P286" s="35" t="n"/>
      <c r="Q286" s="35" t="n"/>
    </row>
    <row r="287" ht="14.25" customHeight="1" s="398">
      <c r="A287" s="35" t="n"/>
      <c r="B287" s="35" t="n"/>
      <c r="C287" s="35" t="n"/>
      <c r="D287" s="35" t="n"/>
      <c r="E287" s="35" t="n"/>
      <c r="F287" s="35" t="n"/>
      <c r="G287" s="35" t="n"/>
      <c r="H287" s="35" t="n"/>
      <c r="I287" s="27" t="n"/>
      <c r="J287" s="35" t="n"/>
      <c r="K287" s="35" t="n"/>
      <c r="L287" s="35" t="n"/>
      <c r="M287" s="35" t="n"/>
      <c r="N287" s="35" t="n"/>
      <c r="O287" s="35" t="n"/>
      <c r="P287" s="35" t="n"/>
      <c r="Q287" s="35" t="n"/>
    </row>
    <row r="288" ht="14.25" customHeight="1" s="398">
      <c r="A288" s="35" t="n"/>
      <c r="B288" s="35" t="n"/>
      <c r="C288" s="35" t="n"/>
      <c r="D288" s="35" t="n"/>
      <c r="E288" s="35" t="n"/>
      <c r="F288" s="35" t="n"/>
      <c r="G288" s="35" t="n"/>
      <c r="H288" s="35" t="n"/>
      <c r="I288" s="27" t="n"/>
      <c r="J288" s="35" t="n"/>
      <c r="K288" s="35" t="n"/>
      <c r="L288" s="35" t="n"/>
      <c r="M288" s="35" t="n"/>
      <c r="N288" s="35" t="n"/>
      <c r="O288" s="35" t="n"/>
      <c r="P288" s="35" t="n"/>
      <c r="Q288" s="35" t="n"/>
    </row>
    <row r="289" ht="14.25" customHeight="1" s="398">
      <c r="A289" s="35" t="n"/>
      <c r="B289" s="35" t="n"/>
      <c r="C289" s="35" t="n"/>
      <c r="D289" s="35" t="n"/>
      <c r="E289" s="35" t="n"/>
      <c r="F289" s="35" t="n"/>
      <c r="G289" s="35" t="n"/>
      <c r="H289" s="35" t="n"/>
      <c r="I289" s="27" t="n"/>
      <c r="J289" s="35" t="n"/>
      <c r="K289" s="35" t="n"/>
      <c r="L289" s="35" t="n"/>
      <c r="M289" s="35" t="n"/>
      <c r="N289" s="35" t="n"/>
      <c r="O289" s="35" t="n"/>
      <c r="P289" s="35" t="n"/>
      <c r="Q289" s="35" t="n"/>
    </row>
    <row r="290" ht="14.25" customHeight="1" s="398">
      <c r="A290" s="35" t="n"/>
      <c r="B290" s="35" t="n"/>
      <c r="C290" s="35" t="n"/>
      <c r="D290" s="35" t="n"/>
      <c r="E290" s="35" t="n"/>
      <c r="F290" s="35" t="n"/>
      <c r="G290" s="35" t="n"/>
      <c r="H290" s="35" t="n"/>
      <c r="I290" s="27" t="n"/>
      <c r="J290" s="35" t="n"/>
      <c r="K290" s="35" t="n"/>
      <c r="L290" s="35" t="n"/>
      <c r="M290" s="35" t="n"/>
      <c r="N290" s="35" t="n"/>
      <c r="O290" s="35" t="n"/>
      <c r="P290" s="35" t="n"/>
      <c r="Q290" s="35" t="n"/>
    </row>
    <row r="291" ht="14.25" customHeight="1" s="398">
      <c r="A291" s="35" t="n"/>
      <c r="B291" s="35" t="n"/>
      <c r="C291" s="35" t="n"/>
      <c r="D291" s="35" t="n"/>
      <c r="E291" s="35" t="n"/>
      <c r="F291" s="35" t="n"/>
      <c r="G291" s="35" t="n"/>
      <c r="H291" s="35" t="n"/>
      <c r="I291" s="27" t="n"/>
      <c r="J291" s="35" t="n"/>
      <c r="K291" s="35" t="n"/>
      <c r="L291" s="35" t="n"/>
      <c r="M291" s="35" t="n"/>
      <c r="N291" s="35" t="n"/>
      <c r="O291" s="35" t="n"/>
      <c r="P291" s="35" t="n"/>
      <c r="Q291" s="35" t="n"/>
    </row>
    <row r="292" ht="14.25" customHeight="1" s="398">
      <c r="A292" s="35" t="n"/>
      <c r="B292" s="35" t="n"/>
      <c r="C292" s="35" t="n"/>
      <c r="D292" s="35" t="n"/>
      <c r="E292" s="35" t="n"/>
      <c r="F292" s="35" t="n"/>
      <c r="G292" s="35" t="n"/>
      <c r="H292" s="35" t="n"/>
      <c r="I292" s="27" t="n"/>
      <c r="J292" s="35" t="n"/>
      <c r="K292" s="35" t="n"/>
      <c r="L292" s="35" t="n"/>
      <c r="M292" s="35" t="n"/>
      <c r="N292" s="35" t="n"/>
      <c r="O292" s="35" t="n"/>
      <c r="P292" s="35" t="n"/>
      <c r="Q292" s="35" t="n"/>
    </row>
    <row r="293" ht="14.25" customHeight="1" s="398">
      <c r="A293" s="35" t="n"/>
      <c r="B293" s="35" t="n"/>
      <c r="C293" s="35" t="n"/>
      <c r="D293" s="35" t="n"/>
      <c r="E293" s="35" t="n"/>
      <c r="F293" s="35" t="n"/>
      <c r="G293" s="35" t="n"/>
      <c r="H293" s="35" t="n"/>
      <c r="I293" s="27" t="n"/>
      <c r="J293" s="35" t="n"/>
      <c r="K293" s="35" t="n"/>
      <c r="L293" s="35" t="n"/>
      <c r="M293" s="35" t="n"/>
      <c r="N293" s="35" t="n"/>
      <c r="O293" s="35" t="n"/>
      <c r="P293" s="35" t="n"/>
      <c r="Q293" s="35" t="n"/>
    </row>
    <row r="294" ht="14.25" customHeight="1" s="398">
      <c r="A294" s="35" t="n"/>
      <c r="B294" s="35" t="n"/>
      <c r="C294" s="35" t="n"/>
      <c r="D294" s="35" t="n"/>
      <c r="E294" s="35" t="n"/>
      <c r="F294" s="35" t="n"/>
      <c r="G294" s="35" t="n"/>
      <c r="H294" s="35" t="n"/>
      <c r="I294" s="27" t="n"/>
      <c r="J294" s="35" t="n"/>
      <c r="K294" s="35" t="n"/>
      <c r="L294" s="35" t="n"/>
      <c r="M294" s="35" t="n"/>
      <c r="N294" s="35" t="n"/>
      <c r="O294" s="35" t="n"/>
      <c r="P294" s="35" t="n"/>
      <c r="Q294" s="35" t="n"/>
    </row>
    <row r="295" ht="14.25" customHeight="1" s="398">
      <c r="A295" s="35" t="n"/>
      <c r="B295" s="35" t="n"/>
      <c r="C295" s="35" t="n"/>
      <c r="D295" s="35" t="n"/>
      <c r="E295" s="35" t="n"/>
      <c r="F295" s="35" t="n"/>
      <c r="G295" s="35" t="n"/>
      <c r="H295" s="35" t="n"/>
      <c r="I295" s="27" t="n"/>
      <c r="J295" s="35" t="n"/>
      <c r="K295" s="35" t="n"/>
      <c r="L295" s="35" t="n"/>
      <c r="M295" s="35" t="n"/>
      <c r="N295" s="35" t="n"/>
      <c r="O295" s="35" t="n"/>
      <c r="P295" s="35" t="n"/>
      <c r="Q295" s="35" t="n"/>
    </row>
    <row r="296" ht="14.25" customHeight="1" s="398">
      <c r="A296" s="35" t="n"/>
      <c r="B296" s="35" t="n"/>
      <c r="C296" s="35" t="n"/>
      <c r="D296" s="35" t="n"/>
      <c r="E296" s="35" t="n"/>
      <c r="F296" s="35" t="n"/>
      <c r="G296" s="35" t="n"/>
      <c r="H296" s="35" t="n"/>
      <c r="I296" s="27" t="n"/>
      <c r="J296" s="35" t="n"/>
      <c r="K296" s="35" t="n"/>
      <c r="L296" s="35" t="n"/>
      <c r="M296" s="35" t="n"/>
      <c r="N296" s="35" t="n"/>
      <c r="O296" s="35" t="n"/>
      <c r="P296" s="35" t="n"/>
      <c r="Q296" s="35" t="n"/>
    </row>
    <row r="297" ht="14.25" customHeight="1" s="398">
      <c r="A297" s="35" t="n"/>
      <c r="B297" s="35" t="n"/>
      <c r="C297" s="35" t="n"/>
      <c r="D297" s="35" t="n"/>
      <c r="E297" s="35" t="n"/>
      <c r="F297" s="35" t="n"/>
      <c r="G297" s="35" t="n"/>
      <c r="H297" s="35" t="n"/>
      <c r="I297" s="27" t="n"/>
      <c r="J297" s="35" t="n"/>
      <c r="K297" s="35" t="n"/>
      <c r="L297" s="35" t="n"/>
      <c r="M297" s="35" t="n"/>
      <c r="N297" s="35" t="n"/>
      <c r="O297" s="35" t="n"/>
      <c r="P297" s="35" t="n"/>
      <c r="Q297" s="35" t="n"/>
    </row>
    <row r="298" ht="14.25" customHeight="1" s="398">
      <c r="A298" s="35" t="n"/>
      <c r="B298" s="35" t="n"/>
      <c r="C298" s="35" t="n"/>
      <c r="D298" s="35" t="n"/>
      <c r="E298" s="35" t="n"/>
      <c r="F298" s="35" t="n"/>
      <c r="G298" s="35" t="n"/>
      <c r="H298" s="35" t="n"/>
      <c r="I298" s="27" t="n"/>
      <c r="J298" s="35" t="n"/>
      <c r="K298" s="35" t="n"/>
      <c r="L298" s="35" t="n"/>
      <c r="M298" s="35" t="n"/>
      <c r="N298" s="35" t="n"/>
      <c r="O298" s="35" t="n"/>
      <c r="P298" s="35" t="n"/>
      <c r="Q298" s="35" t="n"/>
    </row>
    <row r="299" ht="14.25" customHeight="1" s="398">
      <c r="A299" s="35" t="n"/>
      <c r="B299" s="35" t="n"/>
      <c r="C299" s="35" t="n"/>
      <c r="D299" s="35" t="n"/>
      <c r="E299" s="35" t="n"/>
      <c r="F299" s="35" t="n"/>
      <c r="G299" s="35" t="n"/>
      <c r="H299" s="35" t="n"/>
      <c r="I299" s="27" t="n"/>
      <c r="J299" s="35" t="n"/>
      <c r="K299" s="35" t="n"/>
      <c r="L299" s="35" t="n"/>
      <c r="M299" s="35" t="n"/>
      <c r="N299" s="35" t="n"/>
      <c r="O299" s="35" t="n"/>
      <c r="P299" s="35" t="n"/>
      <c r="Q299" s="35" t="n"/>
    </row>
    <row r="300" ht="14.25" customHeight="1" s="398">
      <c r="A300" s="35" t="n"/>
      <c r="B300" s="35" t="n"/>
      <c r="C300" s="35" t="n"/>
      <c r="D300" s="35" t="n"/>
      <c r="E300" s="35" t="n"/>
      <c r="F300" s="35" t="n"/>
      <c r="G300" s="35" t="n"/>
      <c r="H300" s="35" t="n"/>
      <c r="I300" s="27" t="n"/>
      <c r="J300" s="35" t="n"/>
      <c r="K300" s="35" t="n"/>
      <c r="L300" s="35" t="n"/>
      <c r="M300" s="35" t="n"/>
      <c r="N300" s="35" t="n"/>
      <c r="O300" s="35" t="n"/>
      <c r="P300" s="35" t="n"/>
      <c r="Q300" s="35" t="n"/>
    </row>
    <row r="301" ht="14.25" customHeight="1" s="398">
      <c r="A301" s="35" t="n"/>
      <c r="B301" s="35" t="n"/>
      <c r="C301" s="35" t="n"/>
      <c r="D301" s="35" t="n"/>
      <c r="E301" s="35" t="n"/>
      <c r="F301" s="35" t="n"/>
      <c r="G301" s="35" t="n"/>
      <c r="H301" s="35" t="n"/>
      <c r="I301" s="27" t="n"/>
      <c r="J301" s="35" t="n"/>
      <c r="K301" s="35" t="n"/>
      <c r="L301" s="35" t="n"/>
      <c r="M301" s="35" t="n"/>
      <c r="N301" s="35" t="n"/>
      <c r="O301" s="35" t="n"/>
      <c r="P301" s="35" t="n"/>
      <c r="Q301" s="35" t="n"/>
    </row>
    <row r="302" ht="14.25" customHeight="1" s="398">
      <c r="A302" s="35" t="n"/>
      <c r="B302" s="35" t="n"/>
      <c r="C302" s="35" t="n"/>
      <c r="D302" s="35" t="n"/>
      <c r="E302" s="35" t="n"/>
      <c r="F302" s="35" t="n"/>
      <c r="G302" s="35" t="n"/>
      <c r="H302" s="35" t="n"/>
      <c r="I302" s="27" t="n"/>
      <c r="J302" s="35" t="n"/>
      <c r="K302" s="35" t="n"/>
      <c r="L302" s="35" t="n"/>
      <c r="M302" s="35" t="n"/>
      <c r="N302" s="35" t="n"/>
      <c r="O302" s="35" t="n"/>
      <c r="P302" s="35" t="n"/>
      <c r="Q302" s="35" t="n"/>
    </row>
    <row r="303" ht="14.25" customHeight="1" s="398">
      <c r="A303" s="35" t="n"/>
      <c r="B303" s="35" t="n"/>
      <c r="C303" s="35" t="n"/>
      <c r="D303" s="35" t="n"/>
      <c r="E303" s="35" t="n"/>
      <c r="F303" s="35" t="n"/>
      <c r="G303" s="35" t="n"/>
      <c r="H303" s="35" t="n"/>
      <c r="I303" s="27" t="n"/>
      <c r="J303" s="35" t="n"/>
      <c r="K303" s="35" t="n"/>
      <c r="L303" s="35" t="n"/>
      <c r="M303" s="35" t="n"/>
      <c r="N303" s="35" t="n"/>
      <c r="O303" s="35" t="n"/>
      <c r="P303" s="35" t="n"/>
      <c r="Q303" s="35" t="n"/>
    </row>
    <row r="304" ht="14.25" customHeight="1" s="398">
      <c r="A304" s="35" t="n"/>
      <c r="B304" s="35" t="n"/>
      <c r="C304" s="35" t="n"/>
      <c r="D304" s="35" t="n"/>
      <c r="E304" s="35" t="n"/>
      <c r="F304" s="35" t="n"/>
      <c r="G304" s="35" t="n"/>
      <c r="H304" s="35" t="n"/>
      <c r="I304" s="27" t="n"/>
      <c r="J304" s="35" t="n"/>
      <c r="K304" s="35" t="n"/>
      <c r="L304" s="35" t="n"/>
      <c r="M304" s="35" t="n"/>
      <c r="N304" s="35" t="n"/>
      <c r="O304" s="35" t="n"/>
      <c r="P304" s="35" t="n"/>
      <c r="Q304" s="35" t="n"/>
    </row>
    <row r="305" ht="14.25" customHeight="1" s="398">
      <c r="A305" s="35" t="n"/>
      <c r="B305" s="35" t="n"/>
      <c r="C305" s="35" t="n"/>
      <c r="D305" s="35" t="n"/>
      <c r="E305" s="35" t="n"/>
      <c r="F305" s="35" t="n"/>
      <c r="G305" s="35" t="n"/>
      <c r="H305" s="35" t="n"/>
      <c r="I305" s="27" t="n"/>
      <c r="J305" s="35" t="n"/>
      <c r="K305" s="35" t="n"/>
      <c r="L305" s="35" t="n"/>
      <c r="M305" s="35" t="n"/>
      <c r="N305" s="35" t="n"/>
      <c r="O305" s="35" t="n"/>
      <c r="P305" s="35" t="n"/>
      <c r="Q305" s="35" t="n"/>
    </row>
    <row r="306" ht="14.25" customHeight="1" s="398">
      <c r="A306" s="35" t="n"/>
      <c r="B306" s="35" t="n"/>
      <c r="C306" s="35" t="n"/>
      <c r="D306" s="35" t="n"/>
      <c r="E306" s="35" t="n"/>
      <c r="F306" s="35" t="n"/>
      <c r="G306" s="35" t="n"/>
      <c r="H306" s="35" t="n"/>
      <c r="I306" s="27" t="n"/>
      <c r="J306" s="35" t="n"/>
      <c r="K306" s="35" t="n"/>
      <c r="L306" s="35" t="n"/>
      <c r="M306" s="35" t="n"/>
      <c r="N306" s="35" t="n"/>
      <c r="O306" s="35" t="n"/>
      <c r="P306" s="35" t="n"/>
      <c r="Q306" s="35" t="n"/>
    </row>
    <row r="307" ht="14.25" customHeight="1" s="398">
      <c r="A307" s="35" t="n"/>
      <c r="B307" s="35" t="n"/>
      <c r="C307" s="35" t="n"/>
      <c r="D307" s="35" t="n"/>
      <c r="E307" s="35" t="n"/>
      <c r="F307" s="35" t="n"/>
      <c r="G307" s="35" t="n"/>
      <c r="H307" s="35" t="n"/>
      <c r="I307" s="27" t="n"/>
      <c r="J307" s="35" t="n"/>
      <c r="K307" s="35" t="n"/>
      <c r="L307" s="35" t="n"/>
      <c r="M307" s="35" t="n"/>
      <c r="N307" s="35" t="n"/>
      <c r="O307" s="35" t="n"/>
      <c r="P307" s="35" t="n"/>
      <c r="Q307" s="35" t="n"/>
    </row>
    <row r="308" ht="14.25" customHeight="1" s="398">
      <c r="A308" s="35" t="n"/>
      <c r="B308" s="35" t="n"/>
      <c r="C308" s="35" t="n"/>
      <c r="D308" s="35" t="n"/>
      <c r="E308" s="35" t="n"/>
      <c r="F308" s="35" t="n"/>
      <c r="G308" s="35" t="n"/>
      <c r="H308" s="35" t="n"/>
      <c r="I308" s="27" t="n"/>
      <c r="J308" s="35" t="n"/>
      <c r="K308" s="35" t="n"/>
      <c r="L308" s="35" t="n"/>
      <c r="M308" s="35" t="n"/>
      <c r="N308" s="35" t="n"/>
      <c r="O308" s="35" t="n"/>
      <c r="P308" s="35" t="n"/>
      <c r="Q308" s="35" t="n"/>
    </row>
    <row r="309" ht="14.25" customHeight="1" s="398">
      <c r="A309" s="35" t="n"/>
      <c r="B309" s="35" t="n"/>
      <c r="C309" s="35" t="n"/>
      <c r="D309" s="35" t="n"/>
      <c r="E309" s="35" t="n"/>
      <c r="F309" s="35" t="n"/>
      <c r="G309" s="35" t="n"/>
      <c r="H309" s="35" t="n"/>
      <c r="I309" s="27" t="n"/>
      <c r="J309" s="35" t="n"/>
      <c r="K309" s="35" t="n"/>
      <c r="L309" s="35" t="n"/>
      <c r="M309" s="35" t="n"/>
      <c r="N309" s="35" t="n"/>
      <c r="O309" s="35" t="n"/>
      <c r="P309" s="35" t="n"/>
      <c r="Q309" s="35" t="n"/>
    </row>
    <row r="310" ht="14.25" customHeight="1" s="398">
      <c r="A310" s="35" t="n"/>
      <c r="B310" s="35" t="n"/>
      <c r="C310" s="35" t="n"/>
      <c r="D310" s="35" t="n"/>
      <c r="E310" s="35" t="n"/>
      <c r="F310" s="35" t="n"/>
      <c r="G310" s="35" t="n"/>
      <c r="H310" s="35" t="n"/>
      <c r="I310" s="27" t="n"/>
      <c r="J310" s="35" t="n"/>
      <c r="K310" s="35" t="n"/>
      <c r="L310" s="35" t="n"/>
      <c r="M310" s="35" t="n"/>
      <c r="N310" s="35" t="n"/>
      <c r="O310" s="35" t="n"/>
      <c r="P310" s="35" t="n"/>
      <c r="Q310" s="35" t="n"/>
    </row>
    <row r="311" ht="14.25" customHeight="1" s="398">
      <c r="A311" s="35" t="n"/>
      <c r="B311" s="35" t="n"/>
      <c r="C311" s="35" t="n"/>
      <c r="D311" s="35" t="n"/>
      <c r="E311" s="35" t="n"/>
      <c r="F311" s="35" t="n"/>
      <c r="G311" s="35" t="n"/>
      <c r="H311" s="35" t="n"/>
      <c r="I311" s="27" t="n"/>
      <c r="J311" s="35" t="n"/>
      <c r="K311" s="35" t="n"/>
      <c r="L311" s="35" t="n"/>
      <c r="M311" s="35" t="n"/>
      <c r="N311" s="35" t="n"/>
      <c r="O311" s="35" t="n"/>
      <c r="P311" s="35" t="n"/>
      <c r="Q311" s="35" t="n"/>
    </row>
    <row r="312" ht="14.25" customHeight="1" s="398">
      <c r="A312" s="35" t="n"/>
      <c r="B312" s="35" t="n"/>
      <c r="C312" s="35" t="n"/>
      <c r="D312" s="35" t="n"/>
      <c r="E312" s="35" t="n"/>
      <c r="F312" s="35" t="n"/>
      <c r="G312" s="35" t="n"/>
      <c r="H312" s="35" t="n"/>
      <c r="I312" s="27" t="n"/>
      <c r="J312" s="35" t="n"/>
      <c r="K312" s="35" t="n"/>
      <c r="L312" s="35" t="n"/>
      <c r="M312" s="35" t="n"/>
      <c r="N312" s="35" t="n"/>
      <c r="O312" s="35" t="n"/>
      <c r="P312" s="35" t="n"/>
      <c r="Q312" s="35" t="n"/>
    </row>
    <row r="313" ht="14.25" customHeight="1" s="398">
      <c r="A313" s="35" t="n"/>
      <c r="B313" s="35" t="n"/>
      <c r="C313" s="35" t="n"/>
      <c r="D313" s="35" t="n"/>
      <c r="E313" s="35" t="n"/>
      <c r="F313" s="35" t="n"/>
      <c r="G313" s="35" t="n"/>
      <c r="H313" s="35" t="n"/>
      <c r="I313" s="27" t="n"/>
      <c r="J313" s="35" t="n"/>
      <c r="K313" s="35" t="n"/>
      <c r="L313" s="35" t="n"/>
      <c r="M313" s="35" t="n"/>
      <c r="N313" s="35" t="n"/>
      <c r="O313" s="35" t="n"/>
      <c r="P313" s="35" t="n"/>
      <c r="Q313" s="35" t="n"/>
    </row>
    <row r="314" ht="14.25" customHeight="1" s="398">
      <c r="A314" s="35" t="n"/>
      <c r="B314" s="35" t="n"/>
      <c r="C314" s="35" t="n"/>
      <c r="D314" s="35" t="n"/>
      <c r="E314" s="35" t="n"/>
      <c r="F314" s="35" t="n"/>
      <c r="G314" s="35" t="n"/>
      <c r="H314" s="35" t="n"/>
      <c r="I314" s="27" t="n"/>
      <c r="J314" s="35" t="n"/>
      <c r="K314" s="35" t="n"/>
      <c r="L314" s="35" t="n"/>
      <c r="M314" s="35" t="n"/>
      <c r="N314" s="35" t="n"/>
      <c r="O314" s="35" t="n"/>
      <c r="P314" s="35" t="n"/>
      <c r="Q314" s="35" t="n"/>
    </row>
    <row r="315" ht="14.25" customHeight="1" s="398">
      <c r="A315" s="35" t="n"/>
      <c r="B315" s="35" t="n"/>
      <c r="C315" s="35" t="n"/>
      <c r="D315" s="35" t="n"/>
      <c r="E315" s="35" t="n"/>
      <c r="F315" s="35" t="n"/>
      <c r="G315" s="35" t="n"/>
      <c r="H315" s="35" t="n"/>
      <c r="I315" s="27" t="n"/>
      <c r="J315" s="35" t="n"/>
      <c r="K315" s="35" t="n"/>
      <c r="L315" s="35" t="n"/>
      <c r="M315" s="35" t="n"/>
      <c r="N315" s="35" t="n"/>
      <c r="O315" s="35" t="n"/>
      <c r="P315" s="35" t="n"/>
      <c r="Q315" s="35" t="n"/>
    </row>
    <row r="316" ht="14.25" customHeight="1" s="398">
      <c r="A316" s="35" t="n"/>
      <c r="B316" s="35" t="n"/>
      <c r="C316" s="35" t="n"/>
      <c r="D316" s="35" t="n"/>
      <c r="E316" s="35" t="n"/>
      <c r="F316" s="35" t="n"/>
      <c r="G316" s="35" t="n"/>
      <c r="H316" s="35" t="n"/>
      <c r="I316" s="27" t="n"/>
      <c r="J316" s="35" t="n"/>
      <c r="K316" s="35" t="n"/>
      <c r="L316" s="35" t="n"/>
      <c r="M316" s="35" t="n"/>
      <c r="N316" s="35" t="n"/>
      <c r="O316" s="35" t="n"/>
      <c r="P316" s="35" t="n"/>
      <c r="Q316" s="35" t="n"/>
    </row>
    <row r="317" ht="14.25" customHeight="1" s="398">
      <c r="A317" s="35" t="n"/>
      <c r="B317" s="35" t="n"/>
      <c r="C317" s="35" t="n"/>
      <c r="D317" s="35" t="n"/>
      <c r="E317" s="35" t="n"/>
      <c r="F317" s="35" t="n"/>
      <c r="G317" s="35" t="n"/>
      <c r="H317" s="35" t="n"/>
      <c r="I317" s="27" t="n"/>
      <c r="J317" s="35" t="n"/>
      <c r="K317" s="35" t="n"/>
      <c r="L317" s="35" t="n"/>
      <c r="M317" s="35" t="n"/>
      <c r="N317" s="35" t="n"/>
      <c r="O317" s="35" t="n"/>
      <c r="P317" s="35" t="n"/>
      <c r="Q317" s="35" t="n"/>
    </row>
    <row r="318" ht="14.25" customHeight="1" s="398">
      <c r="A318" s="35" t="n"/>
      <c r="B318" s="35" t="n"/>
      <c r="C318" s="35" t="n"/>
      <c r="D318" s="35" t="n"/>
      <c r="E318" s="35" t="n"/>
      <c r="F318" s="35" t="n"/>
      <c r="G318" s="35" t="n"/>
      <c r="H318" s="35" t="n"/>
      <c r="I318" s="27" t="n"/>
      <c r="J318" s="35" t="n"/>
      <c r="K318" s="35" t="n"/>
      <c r="L318" s="35" t="n"/>
      <c r="M318" s="35" t="n"/>
      <c r="N318" s="35" t="n"/>
      <c r="O318" s="35" t="n"/>
      <c r="P318" s="35" t="n"/>
      <c r="Q318" s="35" t="n"/>
    </row>
    <row r="319" ht="14.25" customHeight="1" s="398">
      <c r="A319" s="35" t="n"/>
      <c r="B319" s="35" t="n"/>
      <c r="C319" s="35" t="n"/>
      <c r="D319" s="35" t="n"/>
      <c r="E319" s="35" t="n"/>
      <c r="F319" s="35" t="n"/>
      <c r="G319" s="35" t="n"/>
      <c r="H319" s="35" t="n"/>
      <c r="I319" s="27" t="n"/>
      <c r="J319" s="35" t="n"/>
      <c r="K319" s="35" t="n"/>
      <c r="L319" s="35" t="n"/>
      <c r="M319" s="35" t="n"/>
      <c r="N319" s="35" t="n"/>
      <c r="O319" s="35" t="n"/>
      <c r="P319" s="35" t="n"/>
      <c r="Q319" s="35" t="n"/>
    </row>
    <row r="320" ht="14.25" customHeight="1" s="398">
      <c r="A320" s="35" t="n"/>
      <c r="B320" s="35" t="n"/>
      <c r="C320" s="35" t="n"/>
      <c r="D320" s="35" t="n"/>
      <c r="E320" s="35" t="n"/>
      <c r="F320" s="35" t="n"/>
      <c r="G320" s="35" t="n"/>
      <c r="H320" s="35" t="n"/>
      <c r="I320" s="27" t="n"/>
      <c r="J320" s="35" t="n"/>
      <c r="K320" s="35" t="n"/>
      <c r="L320" s="35" t="n"/>
      <c r="M320" s="35" t="n"/>
      <c r="N320" s="35" t="n"/>
      <c r="O320" s="35" t="n"/>
      <c r="P320" s="35" t="n"/>
      <c r="Q320" s="35" t="n"/>
    </row>
    <row r="321" ht="14.25" customHeight="1" s="398">
      <c r="A321" s="35" t="n"/>
      <c r="B321" s="35" t="n"/>
      <c r="C321" s="35" t="n"/>
      <c r="D321" s="35" t="n"/>
      <c r="E321" s="35" t="n"/>
      <c r="F321" s="35" t="n"/>
      <c r="G321" s="35" t="n"/>
      <c r="H321" s="35" t="n"/>
      <c r="I321" s="27" t="n"/>
      <c r="J321" s="35" t="n"/>
      <c r="K321" s="35" t="n"/>
      <c r="L321" s="35" t="n"/>
      <c r="M321" s="35" t="n"/>
      <c r="N321" s="35" t="n"/>
      <c r="O321" s="35" t="n"/>
      <c r="P321" s="35" t="n"/>
      <c r="Q321" s="35" t="n"/>
    </row>
    <row r="322" ht="14.25" customHeight="1" s="398">
      <c r="A322" s="35" t="n"/>
      <c r="B322" s="35" t="n"/>
      <c r="C322" s="35" t="n"/>
      <c r="D322" s="35" t="n"/>
      <c r="E322" s="35" t="n"/>
      <c r="F322" s="35" t="n"/>
      <c r="G322" s="35" t="n"/>
      <c r="H322" s="35" t="n"/>
      <c r="I322" s="27" t="n"/>
      <c r="J322" s="35" t="n"/>
      <c r="K322" s="35" t="n"/>
      <c r="L322" s="35" t="n"/>
      <c r="M322" s="35" t="n"/>
      <c r="N322" s="35" t="n"/>
      <c r="O322" s="35" t="n"/>
      <c r="P322" s="35" t="n"/>
      <c r="Q322" s="35" t="n"/>
    </row>
    <row r="323" ht="14.25" customHeight="1" s="398">
      <c r="A323" s="35" t="n"/>
      <c r="B323" s="35" t="n"/>
      <c r="C323" s="35" t="n"/>
      <c r="D323" s="35" t="n"/>
      <c r="E323" s="35" t="n"/>
      <c r="F323" s="35" t="n"/>
      <c r="G323" s="35" t="n"/>
      <c r="H323" s="35" t="n"/>
      <c r="I323" s="27" t="n"/>
      <c r="J323" s="35" t="n"/>
      <c r="K323" s="35" t="n"/>
      <c r="L323" s="35" t="n"/>
      <c r="M323" s="35" t="n"/>
      <c r="N323" s="35" t="n"/>
      <c r="O323" s="35" t="n"/>
      <c r="P323" s="35" t="n"/>
      <c r="Q323" s="35" t="n"/>
    </row>
    <row r="324" ht="14.25" customHeight="1" s="398">
      <c r="A324" s="35" t="n"/>
      <c r="B324" s="35" t="n"/>
      <c r="C324" s="35" t="n"/>
      <c r="D324" s="35" t="n"/>
      <c r="E324" s="35" t="n"/>
      <c r="F324" s="35" t="n"/>
      <c r="G324" s="35" t="n"/>
      <c r="H324" s="35" t="n"/>
      <c r="I324" s="27" t="n"/>
      <c r="J324" s="35" t="n"/>
      <c r="K324" s="35" t="n"/>
      <c r="L324" s="35" t="n"/>
      <c r="M324" s="35" t="n"/>
      <c r="N324" s="35" t="n"/>
      <c r="O324" s="35" t="n"/>
      <c r="P324" s="35" t="n"/>
      <c r="Q324" s="35" t="n"/>
    </row>
    <row r="325" ht="14.25" customHeight="1" s="398">
      <c r="A325" s="35" t="n"/>
      <c r="B325" s="35" t="n"/>
      <c r="C325" s="35" t="n"/>
      <c r="D325" s="35" t="n"/>
      <c r="E325" s="35" t="n"/>
      <c r="F325" s="35" t="n"/>
      <c r="G325" s="35" t="n"/>
      <c r="H325" s="35" t="n"/>
      <c r="I325" s="27" t="n"/>
      <c r="J325" s="35" t="n"/>
      <c r="K325" s="35" t="n"/>
      <c r="L325" s="35" t="n"/>
      <c r="M325" s="35" t="n"/>
      <c r="N325" s="35" t="n"/>
      <c r="O325" s="35" t="n"/>
      <c r="P325" s="35" t="n"/>
      <c r="Q325" s="35" t="n"/>
    </row>
    <row r="326" ht="14.25" customHeight="1" s="398">
      <c r="A326" s="35" t="n"/>
      <c r="B326" s="35" t="n"/>
      <c r="C326" s="35" t="n"/>
      <c r="D326" s="35" t="n"/>
      <c r="E326" s="35" t="n"/>
      <c r="F326" s="35" t="n"/>
      <c r="G326" s="35" t="n"/>
      <c r="H326" s="35" t="n"/>
      <c r="I326" s="27" t="n"/>
      <c r="J326" s="35" t="n"/>
      <c r="K326" s="35" t="n"/>
      <c r="L326" s="35" t="n"/>
      <c r="M326" s="35" t="n"/>
      <c r="N326" s="35" t="n"/>
      <c r="O326" s="35" t="n"/>
      <c r="P326" s="35" t="n"/>
      <c r="Q326" s="35" t="n"/>
    </row>
    <row r="327" ht="14.25" customHeight="1" s="398">
      <c r="A327" s="35" t="n"/>
      <c r="B327" s="35" t="n"/>
      <c r="C327" s="35" t="n"/>
      <c r="D327" s="35" t="n"/>
      <c r="E327" s="35" t="n"/>
      <c r="F327" s="35" t="n"/>
      <c r="G327" s="35" t="n"/>
      <c r="H327" s="35" t="n"/>
      <c r="I327" s="27" t="n"/>
      <c r="J327" s="35" t="n"/>
      <c r="K327" s="35" t="n"/>
      <c r="L327" s="35" t="n"/>
      <c r="M327" s="35" t="n"/>
      <c r="N327" s="35" t="n"/>
      <c r="O327" s="35" t="n"/>
      <c r="P327" s="35" t="n"/>
      <c r="Q327" s="35" t="n"/>
    </row>
    <row r="328" ht="14.25" customHeight="1" s="398">
      <c r="A328" s="35" t="n"/>
      <c r="B328" s="35" t="n"/>
      <c r="C328" s="35" t="n"/>
      <c r="D328" s="35" t="n"/>
      <c r="E328" s="35" t="n"/>
      <c r="F328" s="35" t="n"/>
      <c r="G328" s="35" t="n"/>
      <c r="H328" s="35" t="n"/>
      <c r="I328" s="27" t="n"/>
      <c r="J328" s="35" t="n"/>
      <c r="K328" s="35" t="n"/>
      <c r="L328" s="35" t="n"/>
      <c r="M328" s="35" t="n"/>
      <c r="N328" s="35" t="n"/>
      <c r="O328" s="35" t="n"/>
      <c r="P328" s="35" t="n"/>
      <c r="Q328" s="35" t="n"/>
    </row>
    <row r="329" ht="14.25" customHeight="1" s="398">
      <c r="A329" s="35" t="n"/>
      <c r="B329" s="35" t="n"/>
      <c r="C329" s="35" t="n"/>
      <c r="D329" s="35" t="n"/>
      <c r="E329" s="35" t="n"/>
      <c r="F329" s="35" t="n"/>
      <c r="G329" s="35" t="n"/>
      <c r="H329" s="35" t="n"/>
      <c r="I329" s="27" t="n"/>
      <c r="J329" s="35" t="n"/>
      <c r="K329" s="35" t="n"/>
      <c r="L329" s="35" t="n"/>
      <c r="M329" s="35" t="n"/>
      <c r="N329" s="35" t="n"/>
      <c r="O329" s="35" t="n"/>
      <c r="P329" s="35" t="n"/>
      <c r="Q329" s="35" t="n"/>
    </row>
    <row r="330" ht="14.25" customHeight="1" s="398">
      <c r="A330" s="35" t="n"/>
      <c r="B330" s="35" t="n"/>
      <c r="C330" s="35" t="n"/>
      <c r="D330" s="35" t="n"/>
      <c r="E330" s="35" t="n"/>
      <c r="F330" s="35" t="n"/>
      <c r="G330" s="35" t="n"/>
      <c r="H330" s="35" t="n"/>
      <c r="I330" s="27" t="n"/>
      <c r="J330" s="35" t="n"/>
      <c r="K330" s="35" t="n"/>
      <c r="L330" s="35" t="n"/>
      <c r="M330" s="35" t="n"/>
      <c r="N330" s="35" t="n"/>
      <c r="O330" s="35" t="n"/>
      <c r="P330" s="35" t="n"/>
      <c r="Q330" s="35" t="n"/>
    </row>
    <row r="331" ht="14.25" customHeight="1" s="398">
      <c r="A331" s="35" t="n"/>
      <c r="B331" s="35" t="n"/>
      <c r="C331" s="35" t="n"/>
      <c r="D331" s="35" t="n"/>
      <c r="E331" s="35" t="n"/>
      <c r="F331" s="35" t="n"/>
      <c r="G331" s="35" t="n"/>
      <c r="H331" s="35" t="n"/>
      <c r="I331" s="27" t="n"/>
      <c r="J331" s="35" t="n"/>
      <c r="K331" s="35" t="n"/>
      <c r="L331" s="35" t="n"/>
      <c r="M331" s="35" t="n"/>
      <c r="N331" s="35" t="n"/>
      <c r="O331" s="35" t="n"/>
      <c r="P331" s="35" t="n"/>
      <c r="Q331" s="35" t="n"/>
    </row>
    <row r="332" ht="14.25" customHeight="1" s="398">
      <c r="A332" s="35" t="n"/>
      <c r="B332" s="35" t="n"/>
      <c r="C332" s="35" t="n"/>
      <c r="D332" s="35" t="n"/>
      <c r="E332" s="35" t="n"/>
      <c r="F332" s="35" t="n"/>
      <c r="G332" s="35" t="n"/>
      <c r="H332" s="35" t="n"/>
      <c r="I332" s="27" t="n"/>
      <c r="J332" s="35" t="n"/>
      <c r="K332" s="35" t="n"/>
      <c r="L332" s="35" t="n"/>
      <c r="M332" s="35" t="n"/>
      <c r="N332" s="35" t="n"/>
      <c r="O332" s="35" t="n"/>
      <c r="P332" s="35" t="n"/>
      <c r="Q332" s="35" t="n"/>
    </row>
    <row r="333" ht="14.25" customHeight="1" s="398">
      <c r="A333" s="35" t="n"/>
      <c r="B333" s="35" t="n"/>
      <c r="C333" s="35" t="n"/>
      <c r="D333" s="35" t="n"/>
      <c r="E333" s="35" t="n"/>
      <c r="F333" s="35" t="n"/>
      <c r="G333" s="35" t="n"/>
      <c r="H333" s="35" t="n"/>
      <c r="I333" s="27" t="n"/>
      <c r="J333" s="35" t="n"/>
      <c r="K333" s="35" t="n"/>
      <c r="L333" s="35" t="n"/>
      <c r="M333" s="35" t="n"/>
      <c r="N333" s="35" t="n"/>
      <c r="O333" s="35" t="n"/>
      <c r="P333" s="35" t="n"/>
      <c r="Q333" s="35" t="n"/>
    </row>
    <row r="334" ht="14.25" customHeight="1" s="398">
      <c r="A334" s="35" t="n"/>
      <c r="B334" s="35" t="n"/>
      <c r="C334" s="35" t="n"/>
      <c r="D334" s="35" t="n"/>
      <c r="E334" s="35" t="n"/>
      <c r="F334" s="35" t="n"/>
      <c r="G334" s="35" t="n"/>
      <c r="H334" s="35" t="n"/>
      <c r="I334" s="27" t="n"/>
      <c r="J334" s="35" t="n"/>
      <c r="K334" s="35" t="n"/>
      <c r="L334" s="35" t="n"/>
      <c r="M334" s="35" t="n"/>
      <c r="N334" s="35" t="n"/>
      <c r="O334" s="35" t="n"/>
      <c r="P334" s="35" t="n"/>
      <c r="Q334" s="35" t="n"/>
    </row>
    <row r="335" ht="14.25" customHeight="1" s="398">
      <c r="A335" s="35" t="n"/>
      <c r="B335" s="35" t="n"/>
      <c r="C335" s="35" t="n"/>
      <c r="D335" s="35" t="n"/>
      <c r="E335" s="35" t="n"/>
      <c r="F335" s="35" t="n"/>
      <c r="G335" s="35" t="n"/>
      <c r="H335" s="35" t="n"/>
      <c r="I335" s="27" t="n"/>
      <c r="J335" s="35" t="n"/>
      <c r="K335" s="35" t="n"/>
      <c r="L335" s="35" t="n"/>
      <c r="M335" s="35" t="n"/>
      <c r="N335" s="35" t="n"/>
      <c r="O335" s="35" t="n"/>
      <c r="P335" s="35" t="n"/>
      <c r="Q335" s="35" t="n"/>
    </row>
    <row r="336" ht="14.25" customHeight="1" s="398">
      <c r="A336" s="35" t="n"/>
      <c r="B336" s="35" t="n"/>
      <c r="C336" s="35" t="n"/>
      <c r="D336" s="35" t="n"/>
      <c r="E336" s="35" t="n"/>
      <c r="F336" s="35" t="n"/>
      <c r="G336" s="35" t="n"/>
      <c r="H336" s="35" t="n"/>
      <c r="I336" s="27" t="n"/>
      <c r="J336" s="35" t="n"/>
      <c r="K336" s="35" t="n"/>
      <c r="L336" s="35" t="n"/>
      <c r="M336" s="35" t="n"/>
      <c r="N336" s="35" t="n"/>
      <c r="O336" s="35" t="n"/>
      <c r="P336" s="35" t="n"/>
      <c r="Q336" s="35" t="n"/>
    </row>
    <row r="337" ht="14.25" customHeight="1" s="398">
      <c r="A337" s="35" t="n"/>
      <c r="B337" s="35" t="n"/>
      <c r="C337" s="35" t="n"/>
      <c r="D337" s="35" t="n"/>
      <c r="E337" s="35" t="n"/>
      <c r="F337" s="35" t="n"/>
      <c r="G337" s="35" t="n"/>
      <c r="H337" s="35" t="n"/>
      <c r="I337" s="27" t="n"/>
      <c r="J337" s="35" t="n"/>
      <c r="K337" s="35" t="n"/>
      <c r="L337" s="35" t="n"/>
      <c r="M337" s="35" t="n"/>
      <c r="N337" s="35" t="n"/>
      <c r="O337" s="35" t="n"/>
      <c r="P337" s="35" t="n"/>
      <c r="Q337" s="35" t="n"/>
    </row>
    <row r="338" ht="14.25" customHeight="1" s="398">
      <c r="A338" s="35" t="n"/>
      <c r="B338" s="35" t="n"/>
      <c r="C338" s="35" t="n"/>
      <c r="D338" s="35" t="n"/>
      <c r="E338" s="35" t="n"/>
      <c r="F338" s="35" t="n"/>
      <c r="G338" s="35" t="n"/>
      <c r="H338" s="35" t="n"/>
      <c r="I338" s="27" t="n"/>
      <c r="J338" s="35" t="n"/>
      <c r="K338" s="35" t="n"/>
      <c r="L338" s="35" t="n"/>
      <c r="M338" s="35" t="n"/>
      <c r="N338" s="35" t="n"/>
      <c r="O338" s="35" t="n"/>
      <c r="P338" s="35" t="n"/>
      <c r="Q338" s="35" t="n"/>
    </row>
    <row r="339" ht="14.25" customHeight="1" s="398">
      <c r="A339" s="35" t="n"/>
      <c r="B339" s="35" t="n"/>
      <c r="C339" s="35" t="n"/>
      <c r="D339" s="35" t="n"/>
      <c r="E339" s="35" t="n"/>
      <c r="F339" s="35" t="n"/>
      <c r="G339" s="35" t="n"/>
      <c r="H339" s="35" t="n"/>
      <c r="I339" s="27" t="n"/>
      <c r="J339" s="35" t="n"/>
      <c r="K339" s="35" t="n"/>
      <c r="L339" s="35" t="n"/>
      <c r="M339" s="35" t="n"/>
      <c r="N339" s="35" t="n"/>
      <c r="O339" s="35" t="n"/>
      <c r="P339" s="35" t="n"/>
      <c r="Q339" s="35" t="n"/>
    </row>
    <row r="340" ht="14.25" customHeight="1" s="398">
      <c r="A340" s="35" t="n"/>
      <c r="B340" s="35" t="n"/>
      <c r="C340" s="35" t="n"/>
      <c r="D340" s="35" t="n"/>
      <c r="E340" s="35" t="n"/>
      <c r="F340" s="35" t="n"/>
      <c r="G340" s="35" t="n"/>
      <c r="H340" s="35" t="n"/>
      <c r="I340" s="27" t="n"/>
      <c r="J340" s="35" t="n"/>
      <c r="K340" s="35" t="n"/>
      <c r="L340" s="35" t="n"/>
      <c r="M340" s="35" t="n"/>
      <c r="N340" s="35" t="n"/>
      <c r="O340" s="35" t="n"/>
      <c r="P340" s="35" t="n"/>
      <c r="Q340" s="35" t="n"/>
    </row>
    <row r="341" ht="14.25" customHeight="1" s="398">
      <c r="A341" s="35" t="n"/>
      <c r="B341" s="35" t="n"/>
      <c r="C341" s="35" t="n"/>
      <c r="D341" s="35" t="n"/>
      <c r="E341" s="35" t="n"/>
      <c r="F341" s="35" t="n"/>
      <c r="G341" s="35" t="n"/>
      <c r="H341" s="35" t="n"/>
      <c r="I341" s="27" t="n"/>
      <c r="J341" s="35" t="n"/>
      <c r="K341" s="35" t="n"/>
      <c r="L341" s="35" t="n"/>
      <c r="M341" s="35" t="n"/>
      <c r="N341" s="35" t="n"/>
      <c r="O341" s="35" t="n"/>
      <c r="P341" s="35" t="n"/>
      <c r="Q341" s="35" t="n"/>
    </row>
    <row r="342" ht="14.25" customHeight="1" s="398">
      <c r="A342" s="35" t="n"/>
      <c r="B342" s="35" t="n"/>
      <c r="C342" s="35" t="n"/>
      <c r="D342" s="35" t="n"/>
      <c r="E342" s="35" t="n"/>
      <c r="F342" s="35" t="n"/>
      <c r="G342" s="35" t="n"/>
      <c r="H342" s="35" t="n"/>
      <c r="I342" s="27" t="n"/>
      <c r="J342" s="35" t="n"/>
      <c r="K342" s="35" t="n"/>
      <c r="L342" s="35" t="n"/>
      <c r="M342" s="35" t="n"/>
      <c r="N342" s="35" t="n"/>
      <c r="O342" s="35" t="n"/>
      <c r="P342" s="35" t="n"/>
      <c r="Q342" s="35" t="n"/>
    </row>
    <row r="343" ht="14.25" customHeight="1" s="398">
      <c r="A343" s="35" t="n"/>
      <c r="B343" s="35" t="n"/>
      <c r="C343" s="35" t="n"/>
      <c r="D343" s="35" t="n"/>
      <c r="E343" s="35" t="n"/>
      <c r="F343" s="35" t="n"/>
      <c r="G343" s="35" t="n"/>
      <c r="H343" s="35" t="n"/>
      <c r="I343" s="27" t="n"/>
      <c r="J343" s="35" t="n"/>
      <c r="K343" s="35" t="n"/>
      <c r="L343" s="35" t="n"/>
      <c r="M343" s="35" t="n"/>
      <c r="N343" s="35" t="n"/>
      <c r="O343" s="35" t="n"/>
      <c r="P343" s="35" t="n"/>
      <c r="Q343" s="35" t="n"/>
    </row>
    <row r="344" ht="14.25" customHeight="1" s="398">
      <c r="A344" s="35" t="n"/>
      <c r="B344" s="35" t="n"/>
      <c r="C344" s="35" t="n"/>
      <c r="D344" s="35" t="n"/>
      <c r="E344" s="35" t="n"/>
      <c r="F344" s="35" t="n"/>
      <c r="G344" s="35" t="n"/>
      <c r="H344" s="35" t="n"/>
      <c r="I344" s="27" t="n"/>
      <c r="J344" s="35" t="n"/>
      <c r="K344" s="35" t="n"/>
      <c r="L344" s="35" t="n"/>
      <c r="M344" s="35" t="n"/>
      <c r="N344" s="35" t="n"/>
      <c r="O344" s="35" t="n"/>
      <c r="P344" s="35" t="n"/>
      <c r="Q344" s="35" t="n"/>
    </row>
    <row r="345" ht="14.25" customHeight="1" s="398">
      <c r="A345" s="35" t="n"/>
      <c r="B345" s="35" t="n"/>
      <c r="C345" s="35" t="n"/>
      <c r="D345" s="35" t="n"/>
      <c r="E345" s="35" t="n"/>
      <c r="F345" s="35" t="n"/>
      <c r="G345" s="35" t="n"/>
      <c r="H345" s="35" t="n"/>
      <c r="I345" s="27" t="n"/>
      <c r="J345" s="35" t="n"/>
      <c r="K345" s="35" t="n"/>
      <c r="L345" s="35" t="n"/>
      <c r="M345" s="35" t="n"/>
      <c r="N345" s="35" t="n"/>
      <c r="O345" s="35" t="n"/>
      <c r="P345" s="35" t="n"/>
      <c r="Q345" s="35" t="n"/>
    </row>
    <row r="346" ht="14.25" customHeight="1" s="398">
      <c r="A346" s="35" t="n"/>
      <c r="B346" s="35" t="n"/>
      <c r="C346" s="35" t="n"/>
      <c r="D346" s="35" t="n"/>
      <c r="E346" s="35" t="n"/>
      <c r="F346" s="35" t="n"/>
      <c r="G346" s="35" t="n"/>
      <c r="H346" s="35" t="n"/>
      <c r="I346" s="27" t="n"/>
      <c r="J346" s="35" t="n"/>
      <c r="K346" s="35" t="n"/>
      <c r="L346" s="35" t="n"/>
      <c r="M346" s="35" t="n"/>
      <c r="N346" s="35" t="n"/>
      <c r="O346" s="35" t="n"/>
      <c r="P346" s="35" t="n"/>
      <c r="Q346" s="35" t="n"/>
    </row>
    <row r="347" ht="14.25" customHeight="1" s="398">
      <c r="A347" s="35" t="n"/>
      <c r="B347" s="35" t="n"/>
      <c r="C347" s="35" t="n"/>
      <c r="D347" s="35" t="n"/>
      <c r="E347" s="35" t="n"/>
      <c r="F347" s="35" t="n"/>
      <c r="G347" s="35" t="n"/>
      <c r="H347" s="35" t="n"/>
      <c r="I347" s="27" t="n"/>
      <c r="J347" s="35" t="n"/>
      <c r="K347" s="35" t="n"/>
      <c r="L347" s="35" t="n"/>
      <c r="M347" s="35" t="n"/>
      <c r="N347" s="35" t="n"/>
      <c r="O347" s="35" t="n"/>
      <c r="P347" s="35" t="n"/>
      <c r="Q347" s="35" t="n"/>
    </row>
    <row r="348" ht="14.25" customHeight="1" s="398">
      <c r="A348" s="35" t="n"/>
      <c r="B348" s="35" t="n"/>
      <c r="C348" s="35" t="n"/>
      <c r="D348" s="35" t="n"/>
      <c r="E348" s="35" t="n"/>
      <c r="F348" s="35" t="n"/>
      <c r="G348" s="35" t="n"/>
      <c r="H348" s="35" t="n"/>
      <c r="I348" s="27" t="n"/>
      <c r="J348" s="35" t="n"/>
      <c r="K348" s="35" t="n"/>
      <c r="L348" s="35" t="n"/>
      <c r="M348" s="35" t="n"/>
      <c r="N348" s="35" t="n"/>
      <c r="O348" s="35" t="n"/>
      <c r="P348" s="35" t="n"/>
      <c r="Q348" s="35" t="n"/>
    </row>
    <row r="349" ht="14.25" customHeight="1" s="398">
      <c r="A349" s="35" t="n"/>
      <c r="B349" s="35" t="n"/>
      <c r="C349" s="35" t="n"/>
      <c r="D349" s="35" t="n"/>
      <c r="E349" s="35" t="n"/>
      <c r="F349" s="35" t="n"/>
      <c r="G349" s="35" t="n"/>
      <c r="H349" s="35" t="n"/>
      <c r="I349" s="27" t="n"/>
      <c r="J349" s="35" t="n"/>
      <c r="K349" s="35" t="n"/>
      <c r="L349" s="35" t="n"/>
      <c r="M349" s="35" t="n"/>
      <c r="N349" s="35" t="n"/>
      <c r="O349" s="35" t="n"/>
      <c r="P349" s="35" t="n"/>
      <c r="Q349" s="35" t="n"/>
    </row>
    <row r="350" ht="14.25" customHeight="1" s="398">
      <c r="A350" s="35" t="n"/>
      <c r="B350" s="35" t="n"/>
      <c r="C350" s="35" t="n"/>
      <c r="D350" s="35" t="n"/>
      <c r="E350" s="35" t="n"/>
      <c r="F350" s="35" t="n"/>
      <c r="G350" s="35" t="n"/>
      <c r="H350" s="35" t="n"/>
      <c r="I350" s="27" t="n"/>
      <c r="J350" s="35" t="n"/>
      <c r="K350" s="35" t="n"/>
      <c r="L350" s="35" t="n"/>
      <c r="M350" s="35" t="n"/>
      <c r="N350" s="35" t="n"/>
      <c r="O350" s="35" t="n"/>
      <c r="P350" s="35" t="n"/>
      <c r="Q350" s="35" t="n"/>
    </row>
    <row r="351" ht="14.25" customHeight="1" s="398">
      <c r="A351" s="35" t="n"/>
      <c r="B351" s="35" t="n"/>
      <c r="C351" s="35" t="n"/>
      <c r="D351" s="35" t="n"/>
      <c r="E351" s="35" t="n"/>
      <c r="F351" s="35" t="n"/>
      <c r="G351" s="35" t="n"/>
      <c r="H351" s="35" t="n"/>
      <c r="I351" s="27" t="n"/>
      <c r="J351" s="35" t="n"/>
      <c r="K351" s="35" t="n"/>
      <c r="L351" s="35" t="n"/>
      <c r="M351" s="35" t="n"/>
      <c r="N351" s="35" t="n"/>
      <c r="O351" s="35" t="n"/>
      <c r="P351" s="35" t="n"/>
      <c r="Q351" s="35" t="n"/>
    </row>
    <row r="352" ht="14.25" customHeight="1" s="398">
      <c r="A352" s="35" t="n"/>
      <c r="B352" s="35" t="n"/>
      <c r="C352" s="35" t="n"/>
      <c r="D352" s="35" t="n"/>
      <c r="E352" s="35" t="n"/>
      <c r="F352" s="35" t="n"/>
      <c r="G352" s="35" t="n"/>
      <c r="H352" s="35" t="n"/>
      <c r="I352" s="27" t="n"/>
      <c r="J352" s="35" t="n"/>
      <c r="K352" s="35" t="n"/>
      <c r="L352" s="35" t="n"/>
      <c r="M352" s="35" t="n"/>
      <c r="N352" s="35" t="n"/>
      <c r="O352" s="35" t="n"/>
      <c r="P352" s="35" t="n"/>
      <c r="Q352" s="35" t="n"/>
    </row>
    <row r="353" ht="14.25" customHeight="1" s="398">
      <c r="A353" s="35" t="n"/>
      <c r="B353" s="35" t="n"/>
      <c r="C353" s="35" t="n"/>
      <c r="D353" s="35" t="n"/>
      <c r="E353" s="35" t="n"/>
      <c r="F353" s="35" t="n"/>
      <c r="G353" s="35" t="n"/>
      <c r="H353" s="35" t="n"/>
      <c r="I353" s="27" t="n"/>
      <c r="J353" s="35" t="n"/>
      <c r="K353" s="35" t="n"/>
      <c r="L353" s="35" t="n"/>
      <c r="M353" s="35" t="n"/>
      <c r="N353" s="35" t="n"/>
      <c r="O353" s="35" t="n"/>
      <c r="P353" s="35" t="n"/>
      <c r="Q353" s="35" t="n"/>
    </row>
    <row r="354" ht="14.25" customHeight="1" s="398">
      <c r="A354" s="35" t="n"/>
      <c r="B354" s="35" t="n"/>
      <c r="C354" s="35" t="n"/>
      <c r="D354" s="35" t="n"/>
      <c r="E354" s="35" t="n"/>
      <c r="F354" s="35" t="n"/>
      <c r="G354" s="35" t="n"/>
      <c r="H354" s="35" t="n"/>
      <c r="I354" s="27" t="n"/>
      <c r="J354" s="35" t="n"/>
      <c r="K354" s="35" t="n"/>
      <c r="L354" s="35" t="n"/>
      <c r="M354" s="35" t="n"/>
      <c r="N354" s="35" t="n"/>
      <c r="O354" s="35" t="n"/>
      <c r="P354" s="35" t="n"/>
      <c r="Q354" s="35" t="n"/>
    </row>
    <row r="355" ht="14.25" customHeight="1" s="398">
      <c r="A355" s="35" t="n"/>
      <c r="B355" s="35" t="n"/>
      <c r="C355" s="35" t="n"/>
      <c r="D355" s="35" t="n"/>
      <c r="E355" s="35" t="n"/>
      <c r="F355" s="35" t="n"/>
      <c r="G355" s="35" t="n"/>
      <c r="H355" s="35" t="n"/>
      <c r="I355" s="27" t="n"/>
      <c r="J355" s="35" t="n"/>
      <c r="K355" s="35" t="n"/>
      <c r="L355" s="35" t="n"/>
      <c r="M355" s="35" t="n"/>
      <c r="N355" s="35" t="n"/>
      <c r="O355" s="35" t="n"/>
      <c r="P355" s="35" t="n"/>
      <c r="Q355" s="35" t="n"/>
    </row>
    <row r="356" ht="14.25" customHeight="1" s="398">
      <c r="A356" s="35" t="n"/>
      <c r="B356" s="35" t="n"/>
      <c r="C356" s="35" t="n"/>
      <c r="D356" s="35" t="n"/>
      <c r="E356" s="35" t="n"/>
      <c r="F356" s="35" t="n"/>
      <c r="G356" s="35" t="n"/>
      <c r="H356" s="35" t="n"/>
      <c r="I356" s="27" t="n"/>
      <c r="J356" s="35" t="n"/>
      <c r="K356" s="35" t="n"/>
      <c r="L356" s="35" t="n"/>
      <c r="M356" s="35" t="n"/>
      <c r="N356" s="35" t="n"/>
      <c r="O356" s="35" t="n"/>
      <c r="P356" s="35" t="n"/>
      <c r="Q356" s="35" t="n"/>
    </row>
    <row r="357" ht="14.25" customHeight="1" s="398">
      <c r="A357" s="35" t="n"/>
      <c r="B357" s="35" t="n"/>
      <c r="C357" s="35" t="n"/>
      <c r="D357" s="35" t="n"/>
      <c r="E357" s="35" t="n"/>
      <c r="F357" s="35" t="n"/>
      <c r="G357" s="35" t="n"/>
      <c r="H357" s="35" t="n"/>
      <c r="I357" s="27" t="n"/>
      <c r="J357" s="35" t="n"/>
      <c r="K357" s="35" t="n"/>
      <c r="L357" s="35" t="n"/>
      <c r="M357" s="35" t="n"/>
      <c r="N357" s="35" t="n"/>
      <c r="O357" s="35" t="n"/>
      <c r="P357" s="35" t="n"/>
      <c r="Q357" s="35" t="n"/>
    </row>
    <row r="358" ht="14.25" customHeight="1" s="398">
      <c r="A358" s="35" t="n"/>
      <c r="B358" s="35" t="n"/>
      <c r="C358" s="35" t="n"/>
      <c r="D358" s="35" t="n"/>
      <c r="E358" s="35" t="n"/>
      <c r="F358" s="35" t="n"/>
      <c r="G358" s="35" t="n"/>
      <c r="H358" s="35" t="n"/>
      <c r="I358" s="27" t="n"/>
      <c r="J358" s="35" t="n"/>
      <c r="K358" s="35" t="n"/>
      <c r="L358" s="35" t="n"/>
      <c r="M358" s="35" t="n"/>
      <c r="N358" s="35" t="n"/>
      <c r="O358" s="35" t="n"/>
      <c r="P358" s="35" t="n"/>
      <c r="Q358" s="35" t="n"/>
    </row>
    <row r="359" ht="14.25" customHeight="1" s="398">
      <c r="A359" s="35" t="n"/>
      <c r="B359" s="35" t="n"/>
      <c r="C359" s="35" t="n"/>
      <c r="D359" s="35" t="n"/>
      <c r="E359" s="35" t="n"/>
      <c r="F359" s="35" t="n"/>
      <c r="G359" s="35" t="n"/>
      <c r="H359" s="35" t="n"/>
      <c r="I359" s="27" t="n"/>
      <c r="J359" s="35" t="n"/>
      <c r="K359" s="35" t="n"/>
      <c r="L359" s="35" t="n"/>
      <c r="M359" s="35" t="n"/>
      <c r="N359" s="35" t="n"/>
      <c r="O359" s="35" t="n"/>
      <c r="P359" s="35" t="n"/>
      <c r="Q359" s="35" t="n"/>
    </row>
    <row r="360" ht="14.25" customHeight="1" s="398">
      <c r="A360" s="35" t="n"/>
      <c r="B360" s="35" t="n"/>
      <c r="C360" s="35" t="n"/>
      <c r="D360" s="35" t="n"/>
      <c r="E360" s="35" t="n"/>
      <c r="F360" s="35" t="n"/>
      <c r="G360" s="35" t="n"/>
      <c r="H360" s="35" t="n"/>
      <c r="I360" s="27" t="n"/>
      <c r="J360" s="35" t="n"/>
      <c r="K360" s="35" t="n"/>
      <c r="L360" s="35" t="n"/>
      <c r="M360" s="35" t="n"/>
      <c r="N360" s="35" t="n"/>
      <c r="O360" s="35" t="n"/>
      <c r="P360" s="35" t="n"/>
      <c r="Q360" s="35" t="n"/>
    </row>
    <row r="361" ht="14.25" customHeight="1" s="398">
      <c r="A361" s="35" t="n"/>
      <c r="B361" s="35" t="n"/>
      <c r="C361" s="35" t="n"/>
      <c r="D361" s="35" t="n"/>
      <c r="E361" s="35" t="n"/>
      <c r="F361" s="35" t="n"/>
      <c r="G361" s="35" t="n"/>
      <c r="H361" s="35" t="n"/>
      <c r="I361" s="27" t="n"/>
      <c r="J361" s="35" t="n"/>
      <c r="K361" s="35" t="n"/>
      <c r="L361" s="35" t="n"/>
      <c r="M361" s="35" t="n"/>
      <c r="N361" s="35" t="n"/>
      <c r="O361" s="35" t="n"/>
      <c r="P361" s="35" t="n"/>
      <c r="Q361" s="35" t="n"/>
    </row>
    <row r="362" ht="14.25" customHeight="1" s="398">
      <c r="A362" s="35" t="n"/>
      <c r="B362" s="35" t="n"/>
      <c r="C362" s="35" t="n"/>
      <c r="D362" s="35" t="n"/>
      <c r="E362" s="35" t="n"/>
      <c r="F362" s="35" t="n"/>
      <c r="G362" s="35" t="n"/>
      <c r="H362" s="35" t="n"/>
      <c r="I362" s="27" t="n"/>
      <c r="J362" s="35" t="n"/>
      <c r="K362" s="35" t="n"/>
      <c r="L362" s="35" t="n"/>
      <c r="M362" s="35" t="n"/>
      <c r="N362" s="35" t="n"/>
      <c r="O362" s="35" t="n"/>
      <c r="P362" s="35" t="n"/>
      <c r="Q362" s="35" t="n"/>
    </row>
    <row r="363" ht="14.25" customHeight="1" s="398">
      <c r="A363" s="35" t="n"/>
      <c r="B363" s="35" t="n"/>
      <c r="C363" s="35" t="n"/>
      <c r="D363" s="35" t="n"/>
      <c r="E363" s="35" t="n"/>
      <c r="F363" s="35" t="n"/>
      <c r="G363" s="35" t="n"/>
      <c r="H363" s="35" t="n"/>
      <c r="I363" s="27" t="n"/>
      <c r="J363" s="35" t="n"/>
      <c r="K363" s="35" t="n"/>
      <c r="L363" s="35" t="n"/>
      <c r="M363" s="35" t="n"/>
      <c r="N363" s="35" t="n"/>
      <c r="O363" s="35" t="n"/>
      <c r="P363" s="35" t="n"/>
      <c r="Q363" s="35" t="n"/>
    </row>
    <row r="364" ht="14.25" customHeight="1" s="398">
      <c r="A364" s="35" t="n"/>
      <c r="B364" s="35" t="n"/>
      <c r="C364" s="35" t="n"/>
      <c r="D364" s="35" t="n"/>
      <c r="E364" s="35" t="n"/>
      <c r="F364" s="35" t="n"/>
      <c r="G364" s="35" t="n"/>
      <c r="H364" s="35" t="n"/>
      <c r="I364" s="27" t="n"/>
      <c r="J364" s="35" t="n"/>
      <c r="K364" s="35" t="n"/>
      <c r="L364" s="35" t="n"/>
      <c r="M364" s="35" t="n"/>
      <c r="N364" s="35" t="n"/>
      <c r="O364" s="35" t="n"/>
      <c r="P364" s="35" t="n"/>
      <c r="Q364" s="35" t="n"/>
    </row>
    <row r="365" ht="14.25" customHeight="1" s="398">
      <c r="A365" s="35" t="n"/>
      <c r="B365" s="35" t="n"/>
      <c r="C365" s="35" t="n"/>
      <c r="D365" s="35" t="n"/>
      <c r="E365" s="35" t="n"/>
      <c r="F365" s="35" t="n"/>
      <c r="G365" s="35" t="n"/>
      <c r="H365" s="35" t="n"/>
      <c r="I365" s="27" t="n"/>
      <c r="J365" s="35" t="n"/>
      <c r="K365" s="35" t="n"/>
      <c r="L365" s="35" t="n"/>
      <c r="M365" s="35" t="n"/>
      <c r="N365" s="35" t="n"/>
      <c r="O365" s="35" t="n"/>
      <c r="P365" s="35" t="n"/>
      <c r="Q365" s="35" t="n"/>
    </row>
    <row r="366" ht="14.25" customHeight="1" s="398">
      <c r="A366" s="35" t="n"/>
      <c r="B366" s="35" t="n"/>
      <c r="C366" s="35" t="n"/>
      <c r="D366" s="35" t="n"/>
      <c r="E366" s="35" t="n"/>
      <c r="F366" s="35" t="n"/>
      <c r="G366" s="35" t="n"/>
      <c r="H366" s="35" t="n"/>
      <c r="I366" s="27" t="n"/>
      <c r="J366" s="35" t="n"/>
      <c r="K366" s="35" t="n"/>
      <c r="L366" s="35" t="n"/>
      <c r="M366" s="35" t="n"/>
      <c r="N366" s="35" t="n"/>
      <c r="O366" s="35" t="n"/>
      <c r="P366" s="35" t="n"/>
      <c r="Q366" s="35" t="n"/>
    </row>
    <row r="367" ht="14.25" customHeight="1" s="398">
      <c r="A367" s="35" t="n"/>
      <c r="B367" s="35" t="n"/>
      <c r="C367" s="35" t="n"/>
      <c r="D367" s="35" t="n"/>
      <c r="E367" s="35" t="n"/>
      <c r="F367" s="35" t="n"/>
      <c r="G367" s="35" t="n"/>
      <c r="H367" s="35" t="n"/>
      <c r="I367" s="27" t="n"/>
      <c r="J367" s="35" t="n"/>
      <c r="K367" s="35" t="n"/>
      <c r="L367" s="35" t="n"/>
      <c r="M367" s="35" t="n"/>
      <c r="N367" s="35" t="n"/>
      <c r="O367" s="35" t="n"/>
      <c r="P367" s="35" t="n"/>
      <c r="Q367" s="35" t="n"/>
    </row>
    <row r="368" ht="14.25" customHeight="1" s="398">
      <c r="A368" s="35" t="n"/>
      <c r="B368" s="35" t="n"/>
      <c r="C368" s="35" t="n"/>
      <c r="D368" s="35" t="n"/>
      <c r="E368" s="35" t="n"/>
      <c r="F368" s="35" t="n"/>
      <c r="G368" s="35" t="n"/>
      <c r="H368" s="35" t="n"/>
      <c r="I368" s="27" t="n"/>
      <c r="J368" s="35" t="n"/>
      <c r="K368" s="35" t="n"/>
      <c r="L368" s="35" t="n"/>
      <c r="M368" s="35" t="n"/>
      <c r="N368" s="35" t="n"/>
      <c r="O368" s="35" t="n"/>
      <c r="P368" s="35" t="n"/>
      <c r="Q368" s="35" t="n"/>
    </row>
    <row r="369" ht="14.25" customHeight="1" s="398">
      <c r="A369" s="35" t="n"/>
      <c r="B369" s="35" t="n"/>
      <c r="C369" s="35" t="n"/>
      <c r="D369" s="35" t="n"/>
      <c r="E369" s="35" t="n"/>
      <c r="F369" s="35" t="n"/>
      <c r="G369" s="35" t="n"/>
      <c r="H369" s="35" t="n"/>
      <c r="I369" s="27" t="n"/>
      <c r="J369" s="35" t="n"/>
      <c r="K369" s="35" t="n"/>
      <c r="L369" s="35" t="n"/>
      <c r="M369" s="35" t="n"/>
      <c r="N369" s="35" t="n"/>
      <c r="O369" s="35" t="n"/>
      <c r="P369" s="35" t="n"/>
      <c r="Q369" s="35" t="n"/>
    </row>
    <row r="370" ht="14.25" customHeight="1" s="398">
      <c r="A370" s="35" t="n"/>
      <c r="B370" s="35" t="n"/>
      <c r="C370" s="35" t="n"/>
      <c r="D370" s="35" t="n"/>
      <c r="E370" s="35" t="n"/>
      <c r="F370" s="35" t="n"/>
      <c r="G370" s="35" t="n"/>
      <c r="H370" s="35" t="n"/>
      <c r="I370" s="27" t="n"/>
      <c r="J370" s="35" t="n"/>
      <c r="K370" s="35" t="n"/>
      <c r="L370" s="35" t="n"/>
      <c r="M370" s="35" t="n"/>
      <c r="N370" s="35" t="n"/>
      <c r="O370" s="35" t="n"/>
      <c r="P370" s="35" t="n"/>
      <c r="Q370" s="35" t="n"/>
    </row>
    <row r="371" ht="14.25" customHeight="1" s="398">
      <c r="A371" s="35" t="n"/>
      <c r="B371" s="35" t="n"/>
      <c r="C371" s="35" t="n"/>
      <c r="D371" s="35" t="n"/>
      <c r="E371" s="35" t="n"/>
      <c r="F371" s="35" t="n"/>
      <c r="G371" s="35" t="n"/>
      <c r="H371" s="35" t="n"/>
      <c r="I371" s="27" t="n"/>
      <c r="J371" s="35" t="n"/>
      <c r="K371" s="35" t="n"/>
      <c r="L371" s="35" t="n"/>
      <c r="M371" s="35" t="n"/>
      <c r="N371" s="35" t="n"/>
      <c r="O371" s="35" t="n"/>
      <c r="P371" s="35" t="n"/>
      <c r="Q371" s="35" t="n"/>
    </row>
    <row r="372" ht="14.25" customHeight="1" s="398">
      <c r="A372" s="35" t="n"/>
      <c r="B372" s="35" t="n"/>
      <c r="C372" s="35" t="n"/>
      <c r="D372" s="35" t="n"/>
      <c r="E372" s="35" t="n"/>
      <c r="F372" s="35" t="n"/>
      <c r="G372" s="35" t="n"/>
      <c r="H372" s="35" t="n"/>
      <c r="I372" s="27" t="n"/>
      <c r="J372" s="35" t="n"/>
      <c r="K372" s="35" t="n"/>
      <c r="L372" s="35" t="n"/>
      <c r="M372" s="35" t="n"/>
      <c r="N372" s="35" t="n"/>
      <c r="O372" s="35" t="n"/>
      <c r="P372" s="35" t="n"/>
      <c r="Q372" s="35" t="n"/>
    </row>
    <row r="373" ht="14.25" customHeight="1" s="398">
      <c r="A373" s="35" t="n"/>
      <c r="B373" s="35" t="n"/>
      <c r="C373" s="35" t="n"/>
      <c r="D373" s="35" t="n"/>
      <c r="E373" s="35" t="n"/>
      <c r="F373" s="35" t="n"/>
      <c r="G373" s="35" t="n"/>
      <c r="H373" s="35" t="n"/>
      <c r="I373" s="27" t="n"/>
      <c r="J373" s="35" t="n"/>
      <c r="K373" s="35" t="n"/>
      <c r="L373" s="35" t="n"/>
      <c r="M373" s="35" t="n"/>
      <c r="N373" s="35" t="n"/>
      <c r="O373" s="35" t="n"/>
      <c r="P373" s="35" t="n"/>
      <c r="Q373" s="35" t="n"/>
    </row>
    <row r="374" ht="14.25" customHeight="1" s="398">
      <c r="A374" s="35" t="n"/>
      <c r="B374" s="35" t="n"/>
      <c r="C374" s="35" t="n"/>
      <c r="D374" s="35" t="n"/>
      <c r="E374" s="35" t="n"/>
      <c r="F374" s="35" t="n"/>
      <c r="G374" s="35" t="n"/>
      <c r="H374" s="35" t="n"/>
      <c r="I374" s="27" t="n"/>
      <c r="J374" s="35" t="n"/>
      <c r="K374" s="35" t="n"/>
      <c r="L374" s="35" t="n"/>
      <c r="M374" s="35" t="n"/>
      <c r="N374" s="35" t="n"/>
      <c r="O374" s="35" t="n"/>
      <c r="P374" s="35" t="n"/>
      <c r="Q374" s="35" t="n"/>
    </row>
    <row r="375" ht="14.25" customHeight="1" s="398">
      <c r="A375" s="35" t="n"/>
      <c r="B375" s="35" t="n"/>
      <c r="C375" s="35" t="n"/>
      <c r="D375" s="35" t="n"/>
      <c r="E375" s="35" t="n"/>
      <c r="F375" s="35" t="n"/>
      <c r="G375" s="35" t="n"/>
      <c r="H375" s="35" t="n"/>
      <c r="I375" s="27" t="n"/>
      <c r="J375" s="35" t="n"/>
      <c r="K375" s="35" t="n"/>
      <c r="L375" s="35" t="n"/>
      <c r="M375" s="35" t="n"/>
      <c r="N375" s="35" t="n"/>
      <c r="O375" s="35" t="n"/>
      <c r="P375" s="35" t="n"/>
      <c r="Q375" s="35" t="n"/>
    </row>
    <row r="376" ht="14.25" customHeight="1" s="398">
      <c r="A376" s="35" t="n"/>
      <c r="B376" s="35" t="n"/>
      <c r="C376" s="35" t="n"/>
      <c r="D376" s="35" t="n"/>
      <c r="E376" s="35" t="n"/>
      <c r="F376" s="35" t="n"/>
      <c r="G376" s="35" t="n"/>
      <c r="H376" s="35" t="n"/>
      <c r="I376" s="27" t="n"/>
      <c r="J376" s="35" t="n"/>
      <c r="K376" s="35" t="n"/>
      <c r="L376" s="35" t="n"/>
      <c r="M376" s="35" t="n"/>
      <c r="N376" s="35" t="n"/>
      <c r="O376" s="35" t="n"/>
      <c r="P376" s="35" t="n"/>
      <c r="Q376" s="35" t="n"/>
    </row>
    <row r="377" ht="14.25" customHeight="1" s="398">
      <c r="A377" s="35" t="n"/>
      <c r="B377" s="35" t="n"/>
      <c r="C377" s="35" t="n"/>
      <c r="D377" s="35" t="n"/>
      <c r="E377" s="35" t="n"/>
      <c r="F377" s="35" t="n"/>
      <c r="G377" s="35" t="n"/>
      <c r="H377" s="35" t="n"/>
      <c r="I377" s="27" t="n"/>
      <c r="J377" s="35" t="n"/>
      <c r="K377" s="35" t="n"/>
      <c r="L377" s="35" t="n"/>
      <c r="M377" s="35" t="n"/>
      <c r="N377" s="35" t="n"/>
      <c r="O377" s="35" t="n"/>
      <c r="P377" s="35" t="n"/>
      <c r="Q377" s="35" t="n"/>
    </row>
    <row r="378" ht="14.25" customHeight="1" s="398">
      <c r="A378" s="35" t="n"/>
      <c r="B378" s="35" t="n"/>
      <c r="C378" s="35" t="n"/>
      <c r="D378" s="35" t="n"/>
      <c r="E378" s="35" t="n"/>
      <c r="F378" s="35" t="n"/>
      <c r="G378" s="35" t="n"/>
      <c r="H378" s="35" t="n"/>
      <c r="I378" s="27" t="n"/>
      <c r="J378" s="35" t="n"/>
      <c r="K378" s="35" t="n"/>
      <c r="L378" s="35" t="n"/>
      <c r="M378" s="35" t="n"/>
      <c r="N378" s="35" t="n"/>
      <c r="O378" s="35" t="n"/>
      <c r="P378" s="35" t="n"/>
      <c r="Q378" s="35" t="n"/>
    </row>
    <row r="379" ht="14.25" customHeight="1" s="398">
      <c r="A379" s="35" t="n"/>
      <c r="B379" s="35" t="n"/>
      <c r="C379" s="35" t="n"/>
      <c r="D379" s="35" t="n"/>
      <c r="E379" s="35" t="n"/>
      <c r="F379" s="35" t="n"/>
      <c r="G379" s="35" t="n"/>
      <c r="H379" s="35" t="n"/>
      <c r="I379" s="27" t="n"/>
      <c r="J379" s="35" t="n"/>
      <c r="K379" s="35" t="n"/>
      <c r="L379" s="35" t="n"/>
      <c r="M379" s="35" t="n"/>
      <c r="N379" s="35" t="n"/>
      <c r="O379" s="35" t="n"/>
      <c r="P379" s="35" t="n"/>
      <c r="Q379" s="35" t="n"/>
    </row>
    <row r="380" ht="14.25" customHeight="1" s="398">
      <c r="A380" s="35" t="n"/>
      <c r="B380" s="35" t="n"/>
      <c r="C380" s="35" t="n"/>
      <c r="D380" s="35" t="n"/>
      <c r="E380" s="35" t="n"/>
      <c r="F380" s="35" t="n"/>
      <c r="G380" s="35" t="n"/>
      <c r="H380" s="35" t="n"/>
      <c r="I380" s="27" t="n"/>
      <c r="J380" s="35" t="n"/>
      <c r="K380" s="35" t="n"/>
      <c r="L380" s="35" t="n"/>
      <c r="M380" s="35" t="n"/>
      <c r="N380" s="35" t="n"/>
      <c r="O380" s="35" t="n"/>
      <c r="P380" s="35" t="n"/>
      <c r="Q380" s="35" t="n"/>
    </row>
    <row r="381" ht="14.25" customHeight="1" s="398">
      <c r="A381" s="35" t="n"/>
      <c r="B381" s="35" t="n"/>
      <c r="C381" s="35" t="n"/>
      <c r="D381" s="35" t="n"/>
      <c r="E381" s="35" t="n"/>
      <c r="F381" s="35" t="n"/>
      <c r="G381" s="35" t="n"/>
      <c r="H381" s="35" t="n"/>
      <c r="I381" s="27" t="n"/>
      <c r="J381" s="35" t="n"/>
      <c r="K381" s="35" t="n"/>
      <c r="L381" s="35" t="n"/>
      <c r="M381" s="35" t="n"/>
      <c r="N381" s="35" t="n"/>
      <c r="O381" s="35" t="n"/>
      <c r="P381" s="35" t="n"/>
      <c r="Q381" s="35" t="n"/>
    </row>
    <row r="382" ht="14.25" customHeight="1" s="398">
      <c r="A382" s="35" t="n"/>
      <c r="B382" s="35" t="n"/>
      <c r="C382" s="35" t="n"/>
      <c r="D382" s="35" t="n"/>
      <c r="E382" s="35" t="n"/>
      <c r="F382" s="35" t="n"/>
      <c r="G382" s="35" t="n"/>
      <c r="H382" s="35" t="n"/>
      <c r="I382" s="27" t="n"/>
      <c r="J382" s="35" t="n"/>
      <c r="K382" s="35" t="n"/>
      <c r="L382" s="35" t="n"/>
      <c r="M382" s="35" t="n"/>
      <c r="N382" s="35" t="n"/>
      <c r="O382" s="35" t="n"/>
      <c r="P382" s="35" t="n"/>
      <c r="Q382" s="35" t="n"/>
    </row>
    <row r="383" ht="14.25" customHeight="1" s="398">
      <c r="A383" s="35" t="n"/>
      <c r="B383" s="35" t="n"/>
      <c r="C383" s="35" t="n"/>
      <c r="D383" s="35" t="n"/>
      <c r="E383" s="35" t="n"/>
      <c r="F383" s="35" t="n"/>
      <c r="G383" s="35" t="n"/>
      <c r="H383" s="35" t="n"/>
      <c r="I383" s="27" t="n"/>
      <c r="J383" s="35" t="n"/>
      <c r="K383" s="35" t="n"/>
      <c r="L383" s="35" t="n"/>
      <c r="M383" s="35" t="n"/>
      <c r="N383" s="35" t="n"/>
      <c r="O383" s="35" t="n"/>
      <c r="P383" s="35" t="n"/>
      <c r="Q383" s="35" t="n"/>
    </row>
    <row r="384" ht="14.25" customHeight="1" s="398">
      <c r="A384" s="35" t="n"/>
      <c r="B384" s="35" t="n"/>
      <c r="C384" s="35" t="n"/>
      <c r="D384" s="35" t="n"/>
      <c r="E384" s="35" t="n"/>
      <c r="F384" s="35" t="n"/>
      <c r="G384" s="35" t="n"/>
      <c r="H384" s="35" t="n"/>
      <c r="I384" s="27" t="n"/>
      <c r="J384" s="35" t="n"/>
      <c r="K384" s="35" t="n"/>
      <c r="L384" s="35" t="n"/>
      <c r="M384" s="35" t="n"/>
      <c r="N384" s="35" t="n"/>
      <c r="O384" s="35" t="n"/>
      <c r="P384" s="35" t="n"/>
      <c r="Q384" s="35" t="n"/>
    </row>
    <row r="385" ht="14.25" customHeight="1" s="398">
      <c r="A385" s="35" t="n"/>
      <c r="B385" s="35" t="n"/>
      <c r="C385" s="35" t="n"/>
      <c r="D385" s="35" t="n"/>
      <c r="E385" s="35" t="n"/>
      <c r="F385" s="35" t="n"/>
      <c r="G385" s="35" t="n"/>
      <c r="H385" s="35" t="n"/>
      <c r="I385" s="27" t="n"/>
      <c r="J385" s="35" t="n"/>
      <c r="K385" s="35" t="n"/>
      <c r="L385" s="35" t="n"/>
      <c r="M385" s="35" t="n"/>
      <c r="N385" s="35" t="n"/>
      <c r="O385" s="35" t="n"/>
      <c r="P385" s="35" t="n"/>
      <c r="Q385" s="35" t="n"/>
    </row>
    <row r="386" ht="14.25" customHeight="1" s="398">
      <c r="A386" s="35" t="n"/>
      <c r="B386" s="35" t="n"/>
      <c r="C386" s="35" t="n"/>
      <c r="D386" s="35" t="n"/>
      <c r="E386" s="35" t="n"/>
      <c r="F386" s="35" t="n"/>
      <c r="G386" s="35" t="n"/>
      <c r="H386" s="35" t="n"/>
      <c r="I386" s="27" t="n"/>
      <c r="J386" s="35" t="n"/>
      <c r="K386" s="35" t="n"/>
      <c r="L386" s="35" t="n"/>
      <c r="M386" s="35" t="n"/>
      <c r="N386" s="35" t="n"/>
      <c r="O386" s="35" t="n"/>
      <c r="P386" s="35" t="n"/>
      <c r="Q386" s="35" t="n"/>
    </row>
    <row r="387" ht="14.25" customHeight="1" s="398">
      <c r="A387" s="35" t="n"/>
      <c r="B387" s="35" t="n"/>
      <c r="C387" s="35" t="n"/>
      <c r="D387" s="35" t="n"/>
      <c r="E387" s="35" t="n"/>
      <c r="F387" s="35" t="n"/>
      <c r="G387" s="35" t="n"/>
      <c r="H387" s="35" t="n"/>
      <c r="I387" s="27" t="n"/>
      <c r="J387" s="35" t="n"/>
      <c r="K387" s="35" t="n"/>
      <c r="L387" s="35" t="n"/>
      <c r="M387" s="35" t="n"/>
      <c r="N387" s="35" t="n"/>
      <c r="O387" s="35" t="n"/>
      <c r="P387" s="35" t="n"/>
      <c r="Q387" s="35" t="n"/>
    </row>
    <row r="388" ht="14.25" customHeight="1" s="398">
      <c r="A388" s="35" t="n"/>
      <c r="B388" s="35" t="n"/>
      <c r="C388" s="35" t="n"/>
      <c r="D388" s="35" t="n"/>
      <c r="E388" s="35" t="n"/>
      <c r="F388" s="35" t="n"/>
      <c r="G388" s="35" t="n"/>
      <c r="H388" s="35" t="n"/>
      <c r="I388" s="27" t="n"/>
      <c r="J388" s="35" t="n"/>
      <c r="K388" s="35" t="n"/>
      <c r="L388" s="35" t="n"/>
      <c r="M388" s="35" t="n"/>
      <c r="N388" s="35" t="n"/>
      <c r="O388" s="35" t="n"/>
      <c r="P388" s="35" t="n"/>
      <c r="Q388" s="35" t="n"/>
    </row>
    <row r="389" ht="14.25" customHeight="1" s="398">
      <c r="A389" s="35" t="n"/>
      <c r="B389" s="35" t="n"/>
      <c r="C389" s="35" t="n"/>
      <c r="D389" s="35" t="n"/>
      <c r="E389" s="35" t="n"/>
      <c r="F389" s="35" t="n"/>
      <c r="G389" s="35" t="n"/>
      <c r="H389" s="35" t="n"/>
      <c r="I389" s="27" t="n"/>
      <c r="J389" s="35" t="n"/>
      <c r="K389" s="35" t="n"/>
      <c r="L389" s="35" t="n"/>
      <c r="M389" s="35" t="n"/>
      <c r="N389" s="35" t="n"/>
      <c r="O389" s="35" t="n"/>
      <c r="P389" s="35" t="n"/>
      <c r="Q389" s="35" t="n"/>
    </row>
    <row r="390" ht="14.25" customHeight="1" s="398">
      <c r="A390" s="35" t="n"/>
      <c r="B390" s="35" t="n"/>
      <c r="C390" s="35" t="n"/>
      <c r="D390" s="35" t="n"/>
      <c r="E390" s="35" t="n"/>
      <c r="F390" s="35" t="n"/>
      <c r="G390" s="35" t="n"/>
      <c r="H390" s="35" t="n"/>
      <c r="I390" s="27" t="n"/>
      <c r="J390" s="35" t="n"/>
      <c r="K390" s="35" t="n"/>
      <c r="L390" s="35" t="n"/>
      <c r="M390" s="35" t="n"/>
      <c r="N390" s="35" t="n"/>
      <c r="O390" s="35" t="n"/>
      <c r="P390" s="35" t="n"/>
      <c r="Q390" s="35" t="n"/>
    </row>
    <row r="391" ht="14.25" customHeight="1" s="398">
      <c r="A391" s="35" t="n"/>
      <c r="B391" s="35" t="n"/>
      <c r="C391" s="35" t="n"/>
      <c r="D391" s="35" t="n"/>
      <c r="E391" s="35" t="n"/>
      <c r="F391" s="35" t="n"/>
      <c r="G391" s="35" t="n"/>
      <c r="H391" s="35" t="n"/>
      <c r="I391" s="27" t="n"/>
      <c r="J391" s="35" t="n"/>
      <c r="K391" s="35" t="n"/>
      <c r="L391" s="35" t="n"/>
      <c r="M391" s="35" t="n"/>
      <c r="N391" s="35" t="n"/>
      <c r="O391" s="35" t="n"/>
      <c r="P391" s="35" t="n"/>
      <c r="Q391" s="35" t="n"/>
    </row>
    <row r="392" ht="14.25" customHeight="1" s="398">
      <c r="A392" s="35" t="n"/>
      <c r="B392" s="35" t="n"/>
      <c r="C392" s="35" t="n"/>
      <c r="D392" s="35" t="n"/>
      <c r="E392" s="35" t="n"/>
      <c r="F392" s="35" t="n"/>
      <c r="G392" s="35" t="n"/>
      <c r="H392" s="35" t="n"/>
      <c r="I392" s="27" t="n"/>
      <c r="J392" s="35" t="n"/>
      <c r="K392" s="35" t="n"/>
      <c r="L392" s="35" t="n"/>
      <c r="M392" s="35" t="n"/>
      <c r="N392" s="35" t="n"/>
      <c r="O392" s="35" t="n"/>
      <c r="P392" s="35" t="n"/>
      <c r="Q392" s="35" t="n"/>
    </row>
    <row r="393" ht="14.25" customHeight="1" s="398">
      <c r="A393" s="35" t="n"/>
      <c r="B393" s="35" t="n"/>
      <c r="C393" s="35" t="n"/>
      <c r="D393" s="35" t="n"/>
      <c r="E393" s="35" t="n"/>
      <c r="F393" s="35" t="n"/>
      <c r="G393" s="35" t="n"/>
      <c r="H393" s="35" t="n"/>
      <c r="I393" s="27" t="n"/>
      <c r="J393" s="35" t="n"/>
      <c r="K393" s="35" t="n"/>
      <c r="L393" s="35" t="n"/>
      <c r="M393" s="35" t="n"/>
      <c r="N393" s="35" t="n"/>
      <c r="O393" s="35" t="n"/>
      <c r="P393" s="35" t="n"/>
      <c r="Q393" s="35" t="n"/>
    </row>
    <row r="394" ht="14.25" customHeight="1" s="398">
      <c r="A394" s="35" t="n"/>
      <c r="B394" s="35" t="n"/>
      <c r="C394" s="35" t="n"/>
      <c r="D394" s="35" t="n"/>
      <c r="E394" s="35" t="n"/>
      <c r="F394" s="35" t="n"/>
      <c r="G394" s="35" t="n"/>
      <c r="H394" s="35" t="n"/>
      <c r="I394" s="27" t="n"/>
      <c r="J394" s="35" t="n"/>
      <c r="K394" s="35" t="n"/>
      <c r="L394" s="35" t="n"/>
      <c r="M394" s="35" t="n"/>
      <c r="N394" s="35" t="n"/>
      <c r="O394" s="35" t="n"/>
      <c r="P394" s="35" t="n"/>
      <c r="Q394" s="35" t="n"/>
    </row>
    <row r="395" ht="14.25" customHeight="1" s="398">
      <c r="A395" s="35" t="n"/>
      <c r="B395" s="35" t="n"/>
      <c r="C395" s="35" t="n"/>
      <c r="D395" s="35" t="n"/>
      <c r="E395" s="35" t="n"/>
      <c r="F395" s="35" t="n"/>
      <c r="G395" s="35" t="n"/>
      <c r="H395" s="35" t="n"/>
      <c r="I395" s="27" t="n"/>
      <c r="J395" s="35" t="n"/>
      <c r="K395" s="35" t="n"/>
      <c r="L395" s="35" t="n"/>
      <c r="M395" s="35" t="n"/>
      <c r="N395" s="35" t="n"/>
      <c r="O395" s="35" t="n"/>
      <c r="P395" s="35" t="n"/>
      <c r="Q395" s="35" t="n"/>
    </row>
    <row r="396" ht="14.25" customHeight="1" s="398">
      <c r="A396" s="35" t="n"/>
      <c r="B396" s="35" t="n"/>
      <c r="C396" s="35" t="n"/>
      <c r="D396" s="35" t="n"/>
      <c r="E396" s="35" t="n"/>
      <c r="F396" s="35" t="n"/>
      <c r="G396" s="35" t="n"/>
      <c r="H396" s="35" t="n"/>
      <c r="I396" s="27" t="n"/>
      <c r="J396" s="35" t="n"/>
      <c r="K396" s="35" t="n"/>
      <c r="L396" s="35" t="n"/>
      <c r="M396" s="35" t="n"/>
      <c r="N396" s="35" t="n"/>
      <c r="O396" s="35" t="n"/>
      <c r="P396" s="35" t="n"/>
      <c r="Q396" s="35" t="n"/>
    </row>
    <row r="397" ht="14.25" customHeight="1" s="398">
      <c r="A397" s="35" t="n"/>
      <c r="B397" s="35" t="n"/>
      <c r="C397" s="35" t="n"/>
      <c r="D397" s="35" t="n"/>
      <c r="E397" s="35" t="n"/>
      <c r="F397" s="35" t="n"/>
      <c r="G397" s="35" t="n"/>
      <c r="H397" s="35" t="n"/>
      <c r="I397" s="27" t="n"/>
      <c r="J397" s="35" t="n"/>
      <c r="K397" s="35" t="n"/>
      <c r="L397" s="35" t="n"/>
      <c r="M397" s="35" t="n"/>
      <c r="N397" s="35" t="n"/>
      <c r="O397" s="35" t="n"/>
      <c r="P397" s="35" t="n"/>
      <c r="Q397" s="35" t="n"/>
    </row>
    <row r="398" ht="14.25" customHeight="1" s="398">
      <c r="A398" s="35" t="n"/>
      <c r="B398" s="35" t="n"/>
      <c r="C398" s="35" t="n"/>
      <c r="D398" s="35" t="n"/>
      <c r="E398" s="35" t="n"/>
      <c r="F398" s="35" t="n"/>
      <c r="G398" s="35" t="n"/>
      <c r="H398" s="35" t="n"/>
      <c r="I398" s="27" t="n"/>
      <c r="J398" s="35" t="n"/>
      <c r="K398" s="35" t="n"/>
      <c r="L398" s="35" t="n"/>
      <c r="M398" s="35" t="n"/>
      <c r="N398" s="35" t="n"/>
      <c r="O398" s="35" t="n"/>
      <c r="P398" s="35" t="n"/>
      <c r="Q398" s="35" t="n"/>
    </row>
    <row r="399" ht="14.25" customHeight="1" s="398">
      <c r="A399" s="35" t="n"/>
      <c r="B399" s="35" t="n"/>
      <c r="C399" s="35" t="n"/>
      <c r="D399" s="35" t="n"/>
      <c r="E399" s="35" t="n"/>
      <c r="F399" s="35" t="n"/>
      <c r="G399" s="35" t="n"/>
      <c r="H399" s="35" t="n"/>
      <c r="I399" s="27" t="n"/>
      <c r="J399" s="35" t="n"/>
      <c r="K399" s="35" t="n"/>
      <c r="L399" s="35" t="n"/>
      <c r="M399" s="35" t="n"/>
      <c r="N399" s="35" t="n"/>
      <c r="O399" s="35" t="n"/>
      <c r="P399" s="35" t="n"/>
      <c r="Q399" s="35" t="n"/>
    </row>
    <row r="400" ht="14.25" customHeight="1" s="398">
      <c r="A400" s="35" t="n"/>
      <c r="B400" s="35" t="n"/>
      <c r="C400" s="35" t="n"/>
      <c r="D400" s="35" t="n"/>
      <c r="E400" s="35" t="n"/>
      <c r="F400" s="35" t="n"/>
      <c r="G400" s="35" t="n"/>
      <c r="H400" s="35" t="n"/>
      <c r="I400" s="27" t="n"/>
      <c r="J400" s="35" t="n"/>
      <c r="K400" s="35" t="n"/>
      <c r="L400" s="35" t="n"/>
      <c r="M400" s="35" t="n"/>
      <c r="N400" s="35" t="n"/>
      <c r="O400" s="35" t="n"/>
      <c r="P400" s="35" t="n"/>
      <c r="Q400" s="35" t="n"/>
    </row>
    <row r="401" ht="14.25" customHeight="1" s="398">
      <c r="A401" s="35" t="n"/>
      <c r="B401" s="35" t="n"/>
      <c r="C401" s="35" t="n"/>
      <c r="D401" s="35" t="n"/>
      <c r="E401" s="35" t="n"/>
      <c r="F401" s="35" t="n"/>
      <c r="G401" s="35" t="n"/>
      <c r="H401" s="35" t="n"/>
      <c r="I401" s="27" t="n"/>
      <c r="J401" s="35" t="n"/>
      <c r="K401" s="35" t="n"/>
      <c r="L401" s="35" t="n"/>
      <c r="M401" s="35" t="n"/>
      <c r="N401" s="35" t="n"/>
      <c r="O401" s="35" t="n"/>
      <c r="P401" s="35" t="n"/>
      <c r="Q401" s="35" t="n"/>
    </row>
    <row r="402" ht="14.25" customHeight="1" s="398">
      <c r="A402" s="35" t="n"/>
      <c r="B402" s="35" t="n"/>
      <c r="C402" s="35" t="n"/>
      <c r="D402" s="35" t="n"/>
      <c r="E402" s="35" t="n"/>
      <c r="F402" s="35" t="n"/>
      <c r="G402" s="35" t="n"/>
      <c r="H402" s="35" t="n"/>
      <c r="I402" s="27" t="n"/>
      <c r="J402" s="35" t="n"/>
      <c r="K402" s="35" t="n"/>
      <c r="L402" s="35" t="n"/>
      <c r="M402" s="35" t="n"/>
      <c r="N402" s="35" t="n"/>
      <c r="O402" s="35" t="n"/>
      <c r="P402" s="35" t="n"/>
      <c r="Q402" s="35" t="n"/>
    </row>
    <row r="403" ht="14.25" customHeight="1" s="398">
      <c r="A403" s="35" t="n"/>
      <c r="B403" s="35" t="n"/>
      <c r="C403" s="35" t="n"/>
      <c r="D403" s="35" t="n"/>
      <c r="E403" s="35" t="n"/>
      <c r="F403" s="35" t="n"/>
      <c r="G403" s="35" t="n"/>
      <c r="H403" s="35" t="n"/>
      <c r="I403" s="27" t="n"/>
      <c r="J403" s="35" t="n"/>
      <c r="K403" s="35" t="n"/>
      <c r="L403" s="35" t="n"/>
      <c r="M403" s="35" t="n"/>
      <c r="N403" s="35" t="n"/>
      <c r="O403" s="35" t="n"/>
      <c r="P403" s="35" t="n"/>
      <c r="Q403" s="35" t="n"/>
    </row>
    <row r="404" ht="14.25" customHeight="1" s="398">
      <c r="A404" s="35" t="n"/>
      <c r="B404" s="35" t="n"/>
      <c r="C404" s="35" t="n"/>
      <c r="D404" s="35" t="n"/>
      <c r="E404" s="35" t="n"/>
      <c r="F404" s="35" t="n"/>
      <c r="G404" s="35" t="n"/>
      <c r="H404" s="35" t="n"/>
      <c r="I404" s="27" t="n"/>
      <c r="J404" s="35" t="n"/>
      <c r="K404" s="35" t="n"/>
      <c r="L404" s="35" t="n"/>
      <c r="M404" s="35" t="n"/>
      <c r="N404" s="35" t="n"/>
      <c r="O404" s="35" t="n"/>
      <c r="P404" s="35" t="n"/>
      <c r="Q404" s="35" t="n"/>
    </row>
    <row r="405" ht="14.25" customHeight="1" s="398">
      <c r="A405" s="35" t="n"/>
      <c r="B405" s="35" t="n"/>
      <c r="C405" s="35" t="n"/>
      <c r="D405" s="35" t="n"/>
      <c r="E405" s="35" t="n"/>
      <c r="F405" s="35" t="n"/>
      <c r="G405" s="35" t="n"/>
      <c r="H405" s="35" t="n"/>
      <c r="I405" s="27" t="n"/>
      <c r="J405" s="35" t="n"/>
      <c r="K405" s="35" t="n"/>
      <c r="L405" s="35" t="n"/>
      <c r="M405" s="35" t="n"/>
      <c r="N405" s="35" t="n"/>
      <c r="O405" s="35" t="n"/>
      <c r="P405" s="35" t="n"/>
      <c r="Q405" s="35" t="n"/>
    </row>
    <row r="406" ht="14.25" customHeight="1" s="398">
      <c r="A406" s="35" t="n"/>
      <c r="B406" s="35" t="n"/>
      <c r="C406" s="35" t="n"/>
      <c r="D406" s="35" t="n"/>
      <c r="E406" s="35" t="n"/>
      <c r="F406" s="35" t="n"/>
      <c r="G406" s="35" t="n"/>
      <c r="H406" s="35" t="n"/>
      <c r="I406" s="27" t="n"/>
      <c r="J406" s="35" t="n"/>
      <c r="K406" s="35" t="n"/>
      <c r="L406" s="35" t="n"/>
      <c r="M406" s="35" t="n"/>
      <c r="N406" s="35" t="n"/>
      <c r="O406" s="35" t="n"/>
      <c r="P406" s="35" t="n"/>
      <c r="Q406" s="35" t="n"/>
    </row>
    <row r="407" ht="14.25" customHeight="1" s="398">
      <c r="A407" s="35" t="n"/>
      <c r="B407" s="35" t="n"/>
      <c r="C407" s="35" t="n"/>
      <c r="D407" s="35" t="n"/>
      <c r="E407" s="35" t="n"/>
      <c r="F407" s="35" t="n"/>
      <c r="G407" s="35" t="n"/>
      <c r="H407" s="35" t="n"/>
      <c r="I407" s="27" t="n"/>
      <c r="J407" s="35" t="n"/>
      <c r="K407" s="35" t="n"/>
      <c r="L407" s="35" t="n"/>
      <c r="M407" s="35" t="n"/>
      <c r="N407" s="35" t="n"/>
      <c r="O407" s="35" t="n"/>
      <c r="P407" s="35" t="n"/>
      <c r="Q407" s="35" t="n"/>
    </row>
    <row r="408" ht="14.25" customHeight="1" s="398">
      <c r="A408" s="35" t="n"/>
      <c r="B408" s="35" t="n"/>
      <c r="C408" s="35" t="n"/>
      <c r="D408" s="35" t="n"/>
      <c r="E408" s="35" t="n"/>
      <c r="F408" s="35" t="n"/>
      <c r="G408" s="35" t="n"/>
      <c r="H408" s="35" t="n"/>
      <c r="I408" s="27" t="n"/>
      <c r="J408" s="35" t="n"/>
      <c r="K408" s="35" t="n"/>
      <c r="L408" s="35" t="n"/>
      <c r="M408" s="35" t="n"/>
      <c r="N408" s="35" t="n"/>
      <c r="O408" s="35" t="n"/>
      <c r="P408" s="35" t="n"/>
      <c r="Q408" s="35" t="n"/>
    </row>
    <row r="409" ht="14.25" customHeight="1" s="398">
      <c r="A409" s="35" t="n"/>
      <c r="B409" s="35" t="n"/>
      <c r="C409" s="35" t="n"/>
      <c r="D409" s="35" t="n"/>
      <c r="E409" s="35" t="n"/>
      <c r="F409" s="35" t="n"/>
      <c r="G409" s="35" t="n"/>
      <c r="H409" s="35" t="n"/>
      <c r="I409" s="27" t="n"/>
      <c r="J409" s="35" t="n"/>
      <c r="K409" s="35" t="n"/>
      <c r="L409" s="35" t="n"/>
      <c r="M409" s="35" t="n"/>
      <c r="N409" s="35" t="n"/>
      <c r="O409" s="35" t="n"/>
      <c r="P409" s="35" t="n"/>
      <c r="Q409" s="35" t="n"/>
    </row>
    <row r="410" ht="14.25" customHeight="1" s="398">
      <c r="A410" s="35" t="n"/>
      <c r="B410" s="35" t="n"/>
      <c r="C410" s="35" t="n"/>
      <c r="D410" s="35" t="n"/>
      <c r="E410" s="35" t="n"/>
      <c r="F410" s="35" t="n"/>
      <c r="G410" s="35" t="n"/>
      <c r="H410" s="35" t="n"/>
      <c r="I410" s="27" t="n"/>
      <c r="J410" s="35" t="n"/>
      <c r="K410" s="35" t="n"/>
      <c r="L410" s="35" t="n"/>
      <c r="M410" s="35" t="n"/>
      <c r="N410" s="35" t="n"/>
      <c r="O410" s="35" t="n"/>
      <c r="P410" s="35" t="n"/>
      <c r="Q410" s="35" t="n"/>
    </row>
    <row r="411" ht="14.25" customHeight="1" s="398">
      <c r="A411" s="35" t="n"/>
      <c r="B411" s="35" t="n"/>
      <c r="C411" s="35" t="n"/>
      <c r="D411" s="35" t="n"/>
      <c r="E411" s="35" t="n"/>
      <c r="F411" s="35" t="n"/>
      <c r="G411" s="35" t="n"/>
      <c r="H411" s="35" t="n"/>
      <c r="I411" s="27" t="n"/>
      <c r="J411" s="35" t="n"/>
      <c r="K411" s="35" t="n"/>
      <c r="L411" s="35" t="n"/>
      <c r="M411" s="35" t="n"/>
      <c r="N411" s="35" t="n"/>
      <c r="O411" s="35" t="n"/>
      <c r="P411" s="35" t="n"/>
      <c r="Q411" s="35" t="n"/>
    </row>
    <row r="412" ht="14.25" customHeight="1" s="398">
      <c r="A412" s="35" t="n"/>
      <c r="B412" s="35" t="n"/>
      <c r="C412" s="35" t="n"/>
      <c r="D412" s="35" t="n"/>
      <c r="E412" s="35" t="n"/>
      <c r="F412" s="35" t="n"/>
      <c r="G412" s="35" t="n"/>
      <c r="H412" s="35" t="n"/>
      <c r="I412" s="27" t="n"/>
      <c r="J412" s="35" t="n"/>
      <c r="K412" s="35" t="n"/>
      <c r="L412" s="35" t="n"/>
      <c r="M412" s="35" t="n"/>
      <c r="N412" s="35" t="n"/>
      <c r="O412" s="35" t="n"/>
      <c r="P412" s="35" t="n"/>
      <c r="Q412" s="35" t="n"/>
    </row>
    <row r="413" ht="14.25" customHeight="1" s="398">
      <c r="A413" s="35" t="n"/>
      <c r="B413" s="35" t="n"/>
      <c r="C413" s="35" t="n"/>
      <c r="D413" s="35" t="n"/>
      <c r="E413" s="35" t="n"/>
      <c r="F413" s="35" t="n"/>
      <c r="G413" s="35" t="n"/>
      <c r="H413" s="35" t="n"/>
      <c r="I413" s="27" t="n"/>
      <c r="J413" s="35" t="n"/>
      <c r="K413" s="35" t="n"/>
      <c r="L413" s="35" t="n"/>
      <c r="M413" s="35" t="n"/>
      <c r="N413" s="35" t="n"/>
      <c r="O413" s="35" t="n"/>
      <c r="P413" s="35" t="n"/>
      <c r="Q413" s="35" t="n"/>
    </row>
    <row r="414" ht="14.25" customHeight="1" s="398">
      <c r="A414" s="35" t="n"/>
      <c r="B414" s="35" t="n"/>
      <c r="C414" s="35" t="n"/>
      <c r="D414" s="35" t="n"/>
      <c r="E414" s="35" t="n"/>
      <c r="F414" s="35" t="n"/>
      <c r="G414" s="35" t="n"/>
      <c r="H414" s="35" t="n"/>
      <c r="I414" s="27" t="n"/>
      <c r="J414" s="35" t="n"/>
      <c r="K414" s="35" t="n"/>
      <c r="L414" s="35" t="n"/>
      <c r="M414" s="35" t="n"/>
      <c r="N414" s="35" t="n"/>
      <c r="O414" s="35" t="n"/>
      <c r="P414" s="35" t="n"/>
      <c r="Q414" s="35" t="n"/>
    </row>
    <row r="415" ht="14.25" customHeight="1" s="398">
      <c r="A415" s="35" t="n"/>
      <c r="B415" s="35" t="n"/>
      <c r="C415" s="35" t="n"/>
      <c r="D415" s="35" t="n"/>
      <c r="E415" s="35" t="n"/>
      <c r="F415" s="35" t="n"/>
      <c r="G415" s="35" t="n"/>
      <c r="H415" s="35" t="n"/>
      <c r="I415" s="27" t="n"/>
      <c r="J415" s="35" t="n"/>
      <c r="K415" s="35" t="n"/>
      <c r="L415" s="35" t="n"/>
      <c r="M415" s="35" t="n"/>
      <c r="N415" s="35" t="n"/>
      <c r="O415" s="35" t="n"/>
      <c r="P415" s="35" t="n"/>
      <c r="Q415" s="35" t="n"/>
    </row>
    <row r="416" ht="14.25" customHeight="1" s="398">
      <c r="A416" s="35" t="n"/>
      <c r="B416" s="35" t="n"/>
      <c r="C416" s="35" t="n"/>
      <c r="D416" s="35" t="n"/>
      <c r="E416" s="35" t="n"/>
      <c r="F416" s="35" t="n"/>
      <c r="G416" s="35" t="n"/>
      <c r="H416" s="35" t="n"/>
      <c r="I416" s="27" t="n"/>
      <c r="J416" s="35" t="n"/>
      <c r="K416" s="35" t="n"/>
      <c r="L416" s="35" t="n"/>
      <c r="M416" s="35" t="n"/>
      <c r="N416" s="35" t="n"/>
      <c r="O416" s="35" t="n"/>
      <c r="P416" s="35" t="n"/>
      <c r="Q416" s="35" t="n"/>
    </row>
    <row r="417" ht="14.25" customHeight="1" s="398">
      <c r="A417" s="35" t="n"/>
      <c r="B417" s="35" t="n"/>
      <c r="C417" s="35" t="n"/>
      <c r="D417" s="35" t="n"/>
      <c r="E417" s="35" t="n"/>
      <c r="F417" s="35" t="n"/>
      <c r="G417" s="35" t="n"/>
      <c r="H417" s="35" t="n"/>
      <c r="I417" s="27" t="n"/>
      <c r="J417" s="35" t="n"/>
      <c r="K417" s="35" t="n"/>
      <c r="L417" s="35" t="n"/>
      <c r="M417" s="35" t="n"/>
      <c r="N417" s="35" t="n"/>
      <c r="O417" s="35" t="n"/>
      <c r="P417" s="35" t="n"/>
      <c r="Q417" s="35" t="n"/>
    </row>
    <row r="418" ht="14.25" customHeight="1" s="398">
      <c r="A418" s="35" t="n"/>
      <c r="B418" s="35" t="n"/>
      <c r="C418" s="35" t="n"/>
      <c r="D418" s="35" t="n"/>
      <c r="E418" s="35" t="n"/>
      <c r="F418" s="35" t="n"/>
      <c r="G418" s="35" t="n"/>
      <c r="H418" s="35" t="n"/>
      <c r="I418" s="27" t="n"/>
      <c r="J418" s="35" t="n"/>
      <c r="K418" s="35" t="n"/>
      <c r="L418" s="35" t="n"/>
      <c r="M418" s="35" t="n"/>
      <c r="N418" s="35" t="n"/>
      <c r="O418" s="35" t="n"/>
      <c r="P418" s="35" t="n"/>
      <c r="Q418" s="35" t="n"/>
    </row>
    <row r="419" ht="14.25" customHeight="1" s="398">
      <c r="A419" s="35" t="n"/>
      <c r="B419" s="35" t="n"/>
      <c r="C419" s="35" t="n"/>
      <c r="D419" s="35" t="n"/>
      <c r="E419" s="35" t="n"/>
      <c r="F419" s="35" t="n"/>
      <c r="G419" s="35" t="n"/>
      <c r="H419" s="35" t="n"/>
      <c r="I419" s="27" t="n"/>
      <c r="J419" s="35" t="n"/>
      <c r="K419" s="35" t="n"/>
      <c r="L419" s="35" t="n"/>
      <c r="M419" s="35" t="n"/>
      <c r="N419" s="35" t="n"/>
      <c r="O419" s="35" t="n"/>
      <c r="P419" s="35" t="n"/>
      <c r="Q419" s="35" t="n"/>
    </row>
    <row r="420" ht="14.25" customHeight="1" s="398">
      <c r="A420" s="35" t="n"/>
      <c r="B420" s="35" t="n"/>
      <c r="C420" s="35" t="n"/>
      <c r="D420" s="35" t="n"/>
      <c r="E420" s="35" t="n"/>
      <c r="F420" s="35" t="n"/>
      <c r="G420" s="35" t="n"/>
      <c r="H420" s="35" t="n"/>
      <c r="I420" s="27" t="n"/>
      <c r="J420" s="35" t="n"/>
      <c r="K420" s="35" t="n"/>
      <c r="L420" s="35" t="n"/>
      <c r="M420" s="35" t="n"/>
      <c r="N420" s="35" t="n"/>
      <c r="O420" s="35" t="n"/>
      <c r="P420" s="35" t="n"/>
      <c r="Q420" s="35" t="n"/>
    </row>
    <row r="421" ht="14.25" customHeight="1" s="398">
      <c r="A421" s="35" t="n"/>
      <c r="B421" s="35" t="n"/>
      <c r="C421" s="35" t="n"/>
      <c r="D421" s="35" t="n"/>
      <c r="E421" s="35" t="n"/>
      <c r="F421" s="35" t="n"/>
      <c r="G421" s="35" t="n"/>
      <c r="H421" s="35" t="n"/>
      <c r="I421" s="27" t="n"/>
      <c r="J421" s="35" t="n"/>
      <c r="K421" s="35" t="n"/>
      <c r="L421" s="35" t="n"/>
      <c r="M421" s="35" t="n"/>
      <c r="N421" s="35" t="n"/>
      <c r="O421" s="35" t="n"/>
      <c r="P421" s="35" t="n"/>
      <c r="Q421" s="35" t="n"/>
    </row>
    <row r="422" ht="14.25" customHeight="1" s="398">
      <c r="A422" s="35" t="n"/>
      <c r="B422" s="35" t="n"/>
      <c r="C422" s="35" t="n"/>
      <c r="D422" s="35" t="n"/>
      <c r="E422" s="35" t="n"/>
      <c r="F422" s="35" t="n"/>
      <c r="G422" s="35" t="n"/>
      <c r="H422" s="35" t="n"/>
      <c r="I422" s="27" t="n"/>
      <c r="J422" s="35" t="n"/>
      <c r="K422" s="35" t="n"/>
      <c r="L422" s="35" t="n"/>
      <c r="M422" s="35" t="n"/>
      <c r="N422" s="35" t="n"/>
      <c r="O422" s="35" t="n"/>
      <c r="P422" s="35" t="n"/>
      <c r="Q422" s="35" t="n"/>
    </row>
    <row r="423" ht="14.25" customHeight="1" s="398">
      <c r="A423" s="35" t="n"/>
      <c r="B423" s="35" t="n"/>
      <c r="C423" s="35" t="n"/>
      <c r="D423" s="35" t="n"/>
      <c r="E423" s="35" t="n"/>
      <c r="F423" s="35" t="n"/>
      <c r="G423" s="35" t="n"/>
      <c r="H423" s="35" t="n"/>
      <c r="I423" s="27" t="n"/>
      <c r="J423" s="35" t="n"/>
      <c r="K423" s="35" t="n"/>
      <c r="L423" s="35" t="n"/>
      <c r="M423" s="35" t="n"/>
      <c r="N423" s="35" t="n"/>
      <c r="O423" s="35" t="n"/>
      <c r="P423" s="35" t="n"/>
      <c r="Q423" s="35" t="n"/>
    </row>
    <row r="424" ht="14.25" customHeight="1" s="398">
      <c r="A424" s="35" t="n"/>
      <c r="B424" s="35" t="n"/>
      <c r="C424" s="35" t="n"/>
      <c r="D424" s="35" t="n"/>
      <c r="E424" s="35" t="n"/>
      <c r="F424" s="35" t="n"/>
      <c r="G424" s="35" t="n"/>
      <c r="H424" s="35" t="n"/>
      <c r="I424" s="27" t="n"/>
      <c r="J424" s="35" t="n"/>
      <c r="K424" s="35" t="n"/>
      <c r="L424" s="35" t="n"/>
      <c r="M424" s="35" t="n"/>
      <c r="N424" s="35" t="n"/>
      <c r="O424" s="35" t="n"/>
      <c r="P424" s="35" t="n"/>
      <c r="Q424" s="35" t="n"/>
    </row>
    <row r="425" ht="14.25" customHeight="1" s="398">
      <c r="A425" s="35" t="n"/>
      <c r="B425" s="35" t="n"/>
      <c r="C425" s="35" t="n"/>
      <c r="D425" s="35" t="n"/>
      <c r="E425" s="35" t="n"/>
      <c r="F425" s="35" t="n"/>
      <c r="G425" s="35" t="n"/>
      <c r="H425" s="35" t="n"/>
      <c r="I425" s="27" t="n"/>
      <c r="J425" s="35" t="n"/>
      <c r="K425" s="35" t="n"/>
      <c r="L425" s="35" t="n"/>
      <c r="M425" s="35" t="n"/>
      <c r="N425" s="35" t="n"/>
      <c r="O425" s="35" t="n"/>
      <c r="P425" s="35" t="n"/>
      <c r="Q425" s="35" t="n"/>
    </row>
    <row r="426" ht="14.25" customHeight="1" s="398">
      <c r="A426" s="35" t="n"/>
      <c r="B426" s="35" t="n"/>
      <c r="C426" s="35" t="n"/>
      <c r="D426" s="35" t="n"/>
      <c r="E426" s="35" t="n"/>
      <c r="F426" s="35" t="n"/>
      <c r="G426" s="35" t="n"/>
      <c r="H426" s="35" t="n"/>
      <c r="I426" s="27" t="n"/>
      <c r="J426" s="35" t="n"/>
      <c r="K426" s="35" t="n"/>
      <c r="L426" s="35" t="n"/>
      <c r="M426" s="35" t="n"/>
      <c r="N426" s="35" t="n"/>
      <c r="O426" s="35" t="n"/>
      <c r="P426" s="35" t="n"/>
      <c r="Q426" s="35" t="n"/>
    </row>
    <row r="427" ht="14.25" customHeight="1" s="398">
      <c r="A427" s="35" t="n"/>
      <c r="B427" s="35" t="n"/>
      <c r="C427" s="35" t="n"/>
      <c r="D427" s="35" t="n"/>
      <c r="E427" s="35" t="n"/>
      <c r="F427" s="35" t="n"/>
      <c r="G427" s="35" t="n"/>
      <c r="H427" s="35" t="n"/>
      <c r="I427" s="27" t="n"/>
      <c r="J427" s="35" t="n"/>
      <c r="K427" s="35" t="n"/>
      <c r="L427" s="35" t="n"/>
      <c r="M427" s="35" t="n"/>
      <c r="N427" s="35" t="n"/>
      <c r="O427" s="35" t="n"/>
      <c r="P427" s="35" t="n"/>
      <c r="Q427" s="35" t="n"/>
    </row>
    <row r="428" ht="14.25" customHeight="1" s="398">
      <c r="A428" s="35" t="n"/>
      <c r="B428" s="35" t="n"/>
      <c r="C428" s="35" t="n"/>
      <c r="D428" s="35" t="n"/>
      <c r="E428" s="35" t="n"/>
      <c r="F428" s="35" t="n"/>
      <c r="G428" s="35" t="n"/>
      <c r="H428" s="35" t="n"/>
      <c r="I428" s="27" t="n"/>
      <c r="J428" s="35" t="n"/>
      <c r="K428" s="35" t="n"/>
      <c r="L428" s="35" t="n"/>
      <c r="M428" s="35" t="n"/>
      <c r="N428" s="35" t="n"/>
      <c r="O428" s="35" t="n"/>
      <c r="P428" s="35" t="n"/>
      <c r="Q428" s="35" t="n"/>
    </row>
    <row r="429" ht="14.25" customHeight="1" s="398">
      <c r="A429" s="35" t="n"/>
      <c r="B429" s="35" t="n"/>
      <c r="C429" s="35" t="n"/>
      <c r="D429" s="35" t="n"/>
      <c r="E429" s="35" t="n"/>
      <c r="F429" s="35" t="n"/>
      <c r="G429" s="35" t="n"/>
      <c r="H429" s="35" t="n"/>
      <c r="I429" s="27" t="n"/>
      <c r="J429" s="35" t="n"/>
      <c r="K429" s="35" t="n"/>
      <c r="L429" s="35" t="n"/>
      <c r="M429" s="35" t="n"/>
      <c r="N429" s="35" t="n"/>
      <c r="O429" s="35" t="n"/>
      <c r="P429" s="35" t="n"/>
      <c r="Q429" s="35" t="n"/>
    </row>
    <row r="430" ht="14.25" customHeight="1" s="398">
      <c r="A430" s="35" t="n"/>
      <c r="B430" s="35" t="n"/>
      <c r="C430" s="35" t="n"/>
      <c r="D430" s="35" t="n"/>
      <c r="E430" s="35" t="n"/>
      <c r="F430" s="35" t="n"/>
      <c r="G430" s="35" t="n"/>
      <c r="H430" s="35" t="n"/>
      <c r="I430" s="27" t="n"/>
      <c r="J430" s="35" t="n"/>
      <c r="K430" s="35" t="n"/>
      <c r="L430" s="35" t="n"/>
      <c r="M430" s="35" t="n"/>
      <c r="N430" s="35" t="n"/>
      <c r="O430" s="35" t="n"/>
      <c r="P430" s="35" t="n"/>
      <c r="Q430" s="35" t="n"/>
    </row>
    <row r="431" ht="14.25" customHeight="1" s="398">
      <c r="A431" s="35" t="n"/>
      <c r="B431" s="35" t="n"/>
      <c r="C431" s="35" t="n"/>
      <c r="D431" s="35" t="n"/>
      <c r="E431" s="35" t="n"/>
      <c r="F431" s="35" t="n"/>
      <c r="G431" s="35" t="n"/>
      <c r="H431" s="35" t="n"/>
      <c r="I431" s="27" t="n"/>
      <c r="J431" s="35" t="n"/>
      <c r="K431" s="35" t="n"/>
      <c r="L431" s="35" t="n"/>
      <c r="M431" s="35" t="n"/>
      <c r="N431" s="35" t="n"/>
      <c r="O431" s="35" t="n"/>
      <c r="P431" s="35" t="n"/>
      <c r="Q431" s="35" t="n"/>
    </row>
    <row r="432" ht="14.25" customHeight="1" s="398">
      <c r="A432" s="35" t="n"/>
      <c r="B432" s="35" t="n"/>
      <c r="C432" s="35" t="n"/>
      <c r="D432" s="35" t="n"/>
      <c r="E432" s="35" t="n"/>
      <c r="F432" s="35" t="n"/>
      <c r="G432" s="35" t="n"/>
      <c r="H432" s="35" t="n"/>
      <c r="I432" s="27" t="n"/>
      <c r="J432" s="35" t="n"/>
      <c r="K432" s="35" t="n"/>
      <c r="L432" s="35" t="n"/>
      <c r="M432" s="35" t="n"/>
      <c r="N432" s="35" t="n"/>
      <c r="O432" s="35" t="n"/>
      <c r="P432" s="35" t="n"/>
      <c r="Q432" s="35" t="n"/>
    </row>
    <row r="433" ht="14.25" customHeight="1" s="398">
      <c r="A433" s="35" t="n"/>
      <c r="B433" s="35" t="n"/>
      <c r="C433" s="35" t="n"/>
      <c r="D433" s="35" t="n"/>
      <c r="E433" s="35" t="n"/>
      <c r="F433" s="35" t="n"/>
      <c r="G433" s="35" t="n"/>
      <c r="H433" s="35" t="n"/>
      <c r="I433" s="27" t="n"/>
      <c r="J433" s="35" t="n"/>
      <c r="K433" s="35" t="n"/>
      <c r="L433" s="35" t="n"/>
      <c r="M433" s="35" t="n"/>
      <c r="N433" s="35" t="n"/>
      <c r="O433" s="35" t="n"/>
      <c r="P433" s="35" t="n"/>
      <c r="Q433" s="35" t="n"/>
    </row>
    <row r="434" ht="14.25" customHeight="1" s="398">
      <c r="A434" s="35" t="n"/>
      <c r="B434" s="35" t="n"/>
      <c r="C434" s="35" t="n"/>
      <c r="D434" s="35" t="n"/>
      <c r="E434" s="35" t="n"/>
      <c r="F434" s="35" t="n"/>
      <c r="G434" s="35" t="n"/>
      <c r="H434" s="35" t="n"/>
      <c r="I434" s="27" t="n"/>
      <c r="J434" s="35" t="n"/>
      <c r="K434" s="35" t="n"/>
      <c r="L434" s="35" t="n"/>
      <c r="M434" s="35" t="n"/>
      <c r="N434" s="35" t="n"/>
      <c r="O434" s="35" t="n"/>
      <c r="P434" s="35" t="n"/>
      <c r="Q434" s="35" t="n"/>
    </row>
    <row r="435" ht="14.25" customHeight="1" s="398">
      <c r="A435" s="35" t="n"/>
      <c r="B435" s="35" t="n"/>
      <c r="C435" s="35" t="n"/>
      <c r="D435" s="35" t="n"/>
      <c r="E435" s="35" t="n"/>
      <c r="F435" s="35" t="n"/>
      <c r="G435" s="35" t="n"/>
      <c r="H435" s="35" t="n"/>
      <c r="I435" s="27" t="n"/>
      <c r="J435" s="35" t="n"/>
      <c r="K435" s="35" t="n"/>
      <c r="L435" s="35" t="n"/>
      <c r="M435" s="35" t="n"/>
      <c r="N435" s="35" t="n"/>
      <c r="O435" s="35" t="n"/>
      <c r="P435" s="35" t="n"/>
      <c r="Q435" s="35" t="n"/>
    </row>
    <row r="436" ht="14.25" customHeight="1" s="398">
      <c r="A436" s="35" t="n"/>
      <c r="B436" s="35" t="n"/>
      <c r="C436" s="35" t="n"/>
      <c r="D436" s="35" t="n"/>
      <c r="E436" s="35" t="n"/>
      <c r="F436" s="35" t="n"/>
      <c r="G436" s="35" t="n"/>
      <c r="H436" s="35" t="n"/>
      <c r="I436" s="27" t="n"/>
      <c r="J436" s="35" t="n"/>
      <c r="K436" s="35" t="n"/>
      <c r="L436" s="35" t="n"/>
      <c r="M436" s="35" t="n"/>
      <c r="N436" s="35" t="n"/>
      <c r="O436" s="35" t="n"/>
      <c r="P436" s="35" t="n"/>
      <c r="Q436" s="35" t="n"/>
    </row>
    <row r="437" ht="14.25" customHeight="1" s="398">
      <c r="A437" s="35" t="n"/>
      <c r="B437" s="35" t="n"/>
      <c r="C437" s="35" t="n"/>
      <c r="D437" s="35" t="n"/>
      <c r="E437" s="35" t="n"/>
      <c r="F437" s="35" t="n"/>
      <c r="G437" s="35" t="n"/>
      <c r="H437" s="35" t="n"/>
      <c r="I437" s="27" t="n"/>
      <c r="J437" s="35" t="n"/>
      <c r="K437" s="35" t="n"/>
      <c r="L437" s="35" t="n"/>
      <c r="M437" s="35" t="n"/>
      <c r="N437" s="35" t="n"/>
      <c r="O437" s="35" t="n"/>
      <c r="P437" s="35" t="n"/>
      <c r="Q437" s="35" t="n"/>
    </row>
    <row r="438" ht="14.25" customHeight="1" s="398">
      <c r="A438" s="35" t="n"/>
      <c r="B438" s="35" t="n"/>
      <c r="C438" s="35" t="n"/>
      <c r="D438" s="35" t="n"/>
      <c r="E438" s="35" t="n"/>
      <c r="F438" s="35" t="n"/>
      <c r="G438" s="35" t="n"/>
      <c r="H438" s="35" t="n"/>
      <c r="I438" s="27" t="n"/>
      <c r="J438" s="35" t="n"/>
      <c r="K438" s="35" t="n"/>
      <c r="L438" s="35" t="n"/>
      <c r="M438" s="35" t="n"/>
      <c r="N438" s="35" t="n"/>
      <c r="O438" s="35" t="n"/>
      <c r="P438" s="35" t="n"/>
      <c r="Q438" s="35" t="n"/>
    </row>
    <row r="439" ht="14.25" customHeight="1" s="398">
      <c r="A439" s="35" t="n"/>
      <c r="B439" s="35" t="n"/>
      <c r="C439" s="35" t="n"/>
      <c r="D439" s="35" t="n"/>
      <c r="E439" s="35" t="n"/>
      <c r="F439" s="35" t="n"/>
      <c r="G439" s="35" t="n"/>
      <c r="H439" s="35" t="n"/>
      <c r="I439" s="27" t="n"/>
      <c r="J439" s="35" t="n"/>
      <c r="K439" s="35" t="n"/>
      <c r="L439" s="35" t="n"/>
      <c r="M439" s="35" t="n"/>
      <c r="N439" s="35" t="n"/>
      <c r="O439" s="35" t="n"/>
      <c r="P439" s="35" t="n"/>
      <c r="Q439" s="35" t="n"/>
    </row>
    <row r="440" ht="14.25" customHeight="1" s="398">
      <c r="A440" s="35" t="n"/>
      <c r="B440" s="35" t="n"/>
      <c r="C440" s="35" t="n"/>
      <c r="D440" s="35" t="n"/>
      <c r="E440" s="35" t="n"/>
      <c r="F440" s="35" t="n"/>
      <c r="G440" s="35" t="n"/>
      <c r="H440" s="35" t="n"/>
      <c r="I440" s="27" t="n"/>
      <c r="J440" s="35" t="n"/>
      <c r="K440" s="35" t="n"/>
      <c r="L440" s="35" t="n"/>
      <c r="M440" s="35" t="n"/>
      <c r="N440" s="35" t="n"/>
      <c r="O440" s="35" t="n"/>
      <c r="P440" s="35" t="n"/>
      <c r="Q440" s="35" t="n"/>
    </row>
    <row r="441" ht="14.25" customHeight="1" s="398">
      <c r="A441" s="35" t="n"/>
      <c r="B441" s="35" t="n"/>
      <c r="C441" s="35" t="n"/>
      <c r="D441" s="35" t="n"/>
      <c r="E441" s="35" t="n"/>
      <c r="F441" s="35" t="n"/>
      <c r="G441" s="35" t="n"/>
      <c r="H441" s="35" t="n"/>
      <c r="I441" s="27" t="n"/>
      <c r="J441" s="35" t="n"/>
      <c r="K441" s="35" t="n"/>
      <c r="L441" s="35" t="n"/>
      <c r="M441" s="35" t="n"/>
      <c r="N441" s="35" t="n"/>
      <c r="O441" s="35" t="n"/>
      <c r="P441" s="35" t="n"/>
      <c r="Q441" s="35" t="n"/>
    </row>
    <row r="442" ht="14.25" customHeight="1" s="398">
      <c r="A442" s="35" t="n"/>
      <c r="B442" s="35" t="n"/>
      <c r="C442" s="35" t="n"/>
      <c r="D442" s="35" t="n"/>
      <c r="E442" s="35" t="n"/>
      <c r="F442" s="35" t="n"/>
      <c r="G442" s="35" t="n"/>
      <c r="H442" s="35" t="n"/>
      <c r="I442" s="27" t="n"/>
      <c r="J442" s="35" t="n"/>
      <c r="K442" s="35" t="n"/>
      <c r="L442" s="35" t="n"/>
      <c r="M442" s="35" t="n"/>
      <c r="N442" s="35" t="n"/>
      <c r="O442" s="35" t="n"/>
      <c r="P442" s="35" t="n"/>
      <c r="Q442" s="35" t="n"/>
    </row>
    <row r="443" ht="14.25" customHeight="1" s="398">
      <c r="A443" s="35" t="n"/>
      <c r="B443" s="35" t="n"/>
      <c r="C443" s="35" t="n"/>
      <c r="D443" s="35" t="n"/>
      <c r="E443" s="35" t="n"/>
      <c r="F443" s="35" t="n"/>
      <c r="G443" s="35" t="n"/>
      <c r="H443" s="35" t="n"/>
      <c r="I443" s="27" t="n"/>
      <c r="J443" s="35" t="n"/>
      <c r="K443" s="35" t="n"/>
      <c r="L443" s="35" t="n"/>
      <c r="M443" s="35" t="n"/>
      <c r="N443" s="35" t="n"/>
      <c r="O443" s="35" t="n"/>
      <c r="P443" s="35" t="n"/>
      <c r="Q443" s="35" t="n"/>
    </row>
    <row r="444" ht="14.25" customHeight="1" s="398">
      <c r="A444" s="35" t="n"/>
      <c r="B444" s="35" t="n"/>
      <c r="C444" s="35" t="n"/>
      <c r="D444" s="35" t="n"/>
      <c r="E444" s="35" t="n"/>
      <c r="F444" s="35" t="n"/>
      <c r="G444" s="35" t="n"/>
      <c r="H444" s="35" t="n"/>
      <c r="I444" s="27" t="n"/>
      <c r="J444" s="35" t="n"/>
      <c r="K444" s="35" t="n"/>
      <c r="L444" s="35" t="n"/>
      <c r="M444" s="35" t="n"/>
      <c r="N444" s="35" t="n"/>
      <c r="O444" s="35" t="n"/>
      <c r="P444" s="35" t="n"/>
      <c r="Q444" s="35" t="n"/>
    </row>
    <row r="445" ht="14.25" customHeight="1" s="398">
      <c r="A445" s="35" t="n"/>
      <c r="B445" s="35" t="n"/>
      <c r="C445" s="35" t="n"/>
      <c r="D445" s="35" t="n"/>
      <c r="E445" s="35" t="n"/>
      <c r="F445" s="35" t="n"/>
      <c r="G445" s="35" t="n"/>
      <c r="H445" s="35" t="n"/>
      <c r="I445" s="27" t="n"/>
      <c r="J445" s="35" t="n"/>
      <c r="K445" s="35" t="n"/>
      <c r="L445" s="35" t="n"/>
      <c r="M445" s="35" t="n"/>
      <c r="N445" s="35" t="n"/>
      <c r="O445" s="35" t="n"/>
      <c r="P445" s="35" t="n"/>
      <c r="Q445" s="35" t="n"/>
    </row>
    <row r="446" ht="14.25" customHeight="1" s="398">
      <c r="A446" s="35" t="n"/>
      <c r="B446" s="35" t="n"/>
      <c r="C446" s="35" t="n"/>
      <c r="D446" s="35" t="n"/>
      <c r="E446" s="35" t="n"/>
      <c r="F446" s="35" t="n"/>
      <c r="G446" s="35" t="n"/>
      <c r="H446" s="35" t="n"/>
      <c r="I446" s="27" t="n"/>
      <c r="J446" s="35" t="n"/>
      <c r="K446" s="35" t="n"/>
      <c r="L446" s="35" t="n"/>
      <c r="M446" s="35" t="n"/>
      <c r="N446" s="35" t="n"/>
      <c r="O446" s="35" t="n"/>
      <c r="P446" s="35" t="n"/>
      <c r="Q446" s="35" t="n"/>
    </row>
    <row r="447" ht="14.25" customHeight="1" s="398">
      <c r="A447" s="35" t="n"/>
      <c r="B447" s="35" t="n"/>
      <c r="C447" s="35" t="n"/>
      <c r="D447" s="35" t="n"/>
      <c r="E447" s="35" t="n"/>
      <c r="F447" s="35" t="n"/>
      <c r="G447" s="35" t="n"/>
      <c r="H447" s="35" t="n"/>
      <c r="I447" s="27" t="n"/>
      <c r="J447" s="35" t="n"/>
      <c r="K447" s="35" t="n"/>
      <c r="L447" s="35" t="n"/>
      <c r="M447" s="35" t="n"/>
      <c r="N447" s="35" t="n"/>
      <c r="O447" s="35" t="n"/>
      <c r="P447" s="35" t="n"/>
      <c r="Q447" s="35" t="n"/>
    </row>
    <row r="448" ht="14.25" customHeight="1" s="398">
      <c r="A448" s="35" t="n"/>
      <c r="B448" s="35" t="n"/>
      <c r="C448" s="35" t="n"/>
      <c r="D448" s="35" t="n"/>
      <c r="E448" s="35" t="n"/>
      <c r="F448" s="35" t="n"/>
      <c r="G448" s="35" t="n"/>
      <c r="H448" s="35" t="n"/>
      <c r="I448" s="27" t="n"/>
      <c r="J448" s="35" t="n"/>
      <c r="K448" s="35" t="n"/>
      <c r="L448" s="35" t="n"/>
      <c r="M448" s="35" t="n"/>
      <c r="N448" s="35" t="n"/>
      <c r="O448" s="35" t="n"/>
      <c r="P448" s="35" t="n"/>
      <c r="Q448" s="35" t="n"/>
    </row>
    <row r="449" ht="14.25" customHeight="1" s="398">
      <c r="A449" s="35" t="n"/>
      <c r="B449" s="35" t="n"/>
      <c r="C449" s="35" t="n"/>
      <c r="D449" s="35" t="n"/>
      <c r="E449" s="35" t="n"/>
      <c r="F449" s="35" t="n"/>
      <c r="G449" s="35" t="n"/>
      <c r="H449" s="35" t="n"/>
      <c r="I449" s="27" t="n"/>
      <c r="J449" s="35" t="n"/>
      <c r="K449" s="35" t="n"/>
      <c r="L449" s="35" t="n"/>
      <c r="M449" s="35" t="n"/>
      <c r="N449" s="35" t="n"/>
      <c r="O449" s="35" t="n"/>
      <c r="P449" s="35" t="n"/>
      <c r="Q449" s="35" t="n"/>
    </row>
    <row r="450" ht="14.25" customHeight="1" s="398">
      <c r="A450" s="35" t="n"/>
      <c r="B450" s="35" t="n"/>
      <c r="C450" s="35" t="n"/>
      <c r="D450" s="35" t="n"/>
      <c r="E450" s="35" t="n"/>
      <c r="F450" s="35" t="n"/>
      <c r="G450" s="35" t="n"/>
      <c r="H450" s="35" t="n"/>
      <c r="I450" s="27" t="n"/>
      <c r="J450" s="35" t="n"/>
      <c r="K450" s="35" t="n"/>
      <c r="L450" s="35" t="n"/>
      <c r="M450" s="35" t="n"/>
      <c r="N450" s="35" t="n"/>
      <c r="O450" s="35" t="n"/>
      <c r="P450" s="35" t="n"/>
      <c r="Q450" s="35" t="n"/>
    </row>
    <row r="451" ht="14.25" customHeight="1" s="398">
      <c r="A451" s="35" t="n"/>
      <c r="B451" s="35" t="n"/>
      <c r="C451" s="35" t="n"/>
      <c r="D451" s="35" t="n"/>
      <c r="E451" s="35" t="n"/>
      <c r="F451" s="35" t="n"/>
      <c r="G451" s="35" t="n"/>
      <c r="H451" s="35" t="n"/>
      <c r="I451" s="27" t="n"/>
      <c r="J451" s="35" t="n"/>
      <c r="K451" s="35" t="n"/>
      <c r="L451" s="35" t="n"/>
      <c r="M451" s="35" t="n"/>
      <c r="N451" s="35" t="n"/>
      <c r="O451" s="35" t="n"/>
      <c r="P451" s="35" t="n"/>
      <c r="Q451" s="35" t="n"/>
    </row>
    <row r="452" ht="14.25" customHeight="1" s="398">
      <c r="A452" s="35" t="n"/>
      <c r="B452" s="35" t="n"/>
      <c r="C452" s="35" t="n"/>
      <c r="D452" s="35" t="n"/>
      <c r="E452" s="35" t="n"/>
      <c r="F452" s="35" t="n"/>
      <c r="G452" s="35" t="n"/>
      <c r="H452" s="35" t="n"/>
      <c r="I452" s="27" t="n"/>
      <c r="J452" s="35" t="n"/>
      <c r="K452" s="35" t="n"/>
      <c r="L452" s="35" t="n"/>
      <c r="M452" s="35" t="n"/>
      <c r="N452" s="35" t="n"/>
      <c r="O452" s="35" t="n"/>
      <c r="P452" s="35" t="n"/>
      <c r="Q452" s="35" t="n"/>
    </row>
    <row r="453" ht="14.25" customHeight="1" s="398">
      <c r="A453" s="35" t="n"/>
      <c r="B453" s="35" t="n"/>
      <c r="C453" s="35" t="n"/>
      <c r="D453" s="35" t="n"/>
      <c r="E453" s="35" t="n"/>
      <c r="F453" s="35" t="n"/>
      <c r="G453" s="35" t="n"/>
      <c r="H453" s="35" t="n"/>
      <c r="I453" s="27" t="n"/>
      <c r="J453" s="35" t="n"/>
      <c r="K453" s="35" t="n"/>
      <c r="L453" s="35" t="n"/>
      <c r="M453" s="35" t="n"/>
      <c r="N453" s="35" t="n"/>
      <c r="O453" s="35" t="n"/>
      <c r="P453" s="35" t="n"/>
      <c r="Q453" s="35" t="n"/>
    </row>
    <row r="454" ht="14.25" customHeight="1" s="398">
      <c r="A454" s="35" t="n"/>
      <c r="B454" s="35" t="n"/>
      <c r="C454" s="35" t="n"/>
      <c r="D454" s="35" t="n"/>
      <c r="E454" s="35" t="n"/>
      <c r="F454" s="35" t="n"/>
      <c r="G454" s="35" t="n"/>
      <c r="H454" s="35" t="n"/>
      <c r="I454" s="27" t="n"/>
      <c r="J454" s="35" t="n"/>
      <c r="K454" s="35" t="n"/>
      <c r="L454" s="35" t="n"/>
      <c r="M454" s="35" t="n"/>
      <c r="N454" s="35" t="n"/>
      <c r="O454" s="35" t="n"/>
      <c r="P454" s="35" t="n"/>
      <c r="Q454" s="35" t="n"/>
    </row>
    <row r="455" ht="14.25" customHeight="1" s="398">
      <c r="A455" s="35" t="n"/>
      <c r="B455" s="35" t="n"/>
      <c r="C455" s="35" t="n"/>
      <c r="D455" s="35" t="n"/>
      <c r="E455" s="35" t="n"/>
      <c r="F455" s="35" t="n"/>
      <c r="G455" s="35" t="n"/>
      <c r="H455" s="35" t="n"/>
      <c r="I455" s="27" t="n"/>
      <c r="J455" s="35" t="n"/>
      <c r="K455" s="35" t="n"/>
      <c r="L455" s="35" t="n"/>
      <c r="M455" s="35" t="n"/>
      <c r="N455" s="35" t="n"/>
      <c r="O455" s="35" t="n"/>
      <c r="P455" s="35" t="n"/>
      <c r="Q455" s="35" t="n"/>
    </row>
    <row r="456" ht="14.25" customHeight="1" s="398">
      <c r="A456" s="35" t="n"/>
      <c r="B456" s="35" t="n"/>
      <c r="C456" s="35" t="n"/>
      <c r="D456" s="35" t="n"/>
      <c r="E456" s="35" t="n"/>
      <c r="F456" s="35" t="n"/>
      <c r="G456" s="35" t="n"/>
      <c r="H456" s="35" t="n"/>
      <c r="I456" s="27" t="n"/>
      <c r="J456" s="35" t="n"/>
      <c r="K456" s="35" t="n"/>
      <c r="L456" s="35" t="n"/>
      <c r="M456" s="35" t="n"/>
      <c r="N456" s="35" t="n"/>
      <c r="O456" s="35" t="n"/>
      <c r="P456" s="35" t="n"/>
      <c r="Q456" s="35" t="n"/>
    </row>
    <row r="457" ht="14.25" customHeight="1" s="398">
      <c r="A457" s="35" t="n"/>
      <c r="B457" s="35" t="n"/>
      <c r="C457" s="35" t="n"/>
      <c r="D457" s="35" t="n"/>
      <c r="E457" s="35" t="n"/>
      <c r="F457" s="35" t="n"/>
      <c r="G457" s="35" t="n"/>
      <c r="H457" s="35" t="n"/>
      <c r="I457" s="27" t="n"/>
      <c r="J457" s="35" t="n"/>
      <c r="K457" s="35" t="n"/>
      <c r="L457" s="35" t="n"/>
      <c r="M457" s="35" t="n"/>
      <c r="N457" s="35" t="n"/>
      <c r="O457" s="35" t="n"/>
      <c r="P457" s="35" t="n"/>
      <c r="Q457" s="35" t="n"/>
    </row>
    <row r="458" ht="14.25" customHeight="1" s="398">
      <c r="A458" s="35" t="n"/>
      <c r="B458" s="35" t="n"/>
      <c r="C458" s="35" t="n"/>
      <c r="D458" s="35" t="n"/>
      <c r="E458" s="35" t="n"/>
      <c r="F458" s="35" t="n"/>
      <c r="G458" s="35" t="n"/>
      <c r="H458" s="35" t="n"/>
      <c r="I458" s="27" t="n"/>
      <c r="J458" s="35" t="n"/>
      <c r="K458" s="35" t="n"/>
      <c r="L458" s="35" t="n"/>
      <c r="M458" s="35" t="n"/>
      <c r="N458" s="35" t="n"/>
      <c r="O458" s="35" t="n"/>
      <c r="P458" s="35" t="n"/>
      <c r="Q458" s="35" t="n"/>
    </row>
    <row r="459" ht="14.25" customHeight="1" s="398">
      <c r="A459" s="35" t="n"/>
      <c r="B459" s="35" t="n"/>
      <c r="C459" s="35" t="n"/>
      <c r="D459" s="35" t="n"/>
      <c r="E459" s="35" t="n"/>
      <c r="F459" s="35" t="n"/>
      <c r="G459" s="35" t="n"/>
      <c r="H459" s="35" t="n"/>
      <c r="I459" s="27" t="n"/>
      <c r="J459" s="35" t="n"/>
      <c r="K459" s="35" t="n"/>
      <c r="L459" s="35" t="n"/>
      <c r="M459" s="35" t="n"/>
      <c r="N459" s="35" t="n"/>
      <c r="O459" s="35" t="n"/>
      <c r="P459" s="35" t="n"/>
      <c r="Q459" s="35" t="n"/>
    </row>
    <row r="460" ht="14.25" customHeight="1" s="398">
      <c r="A460" s="35" t="n"/>
      <c r="B460" s="35" t="n"/>
      <c r="C460" s="35" t="n"/>
      <c r="D460" s="35" t="n"/>
      <c r="E460" s="35" t="n"/>
      <c r="F460" s="35" t="n"/>
      <c r="G460" s="35" t="n"/>
      <c r="H460" s="35" t="n"/>
      <c r="I460" s="27" t="n"/>
      <c r="J460" s="35" t="n"/>
      <c r="K460" s="35" t="n"/>
      <c r="L460" s="35" t="n"/>
      <c r="M460" s="35" t="n"/>
      <c r="N460" s="35" t="n"/>
      <c r="O460" s="35" t="n"/>
      <c r="P460" s="35" t="n"/>
      <c r="Q460" s="35" t="n"/>
    </row>
    <row r="461" ht="14.25" customHeight="1" s="398">
      <c r="A461" s="35" t="n"/>
      <c r="B461" s="35" t="n"/>
      <c r="C461" s="35" t="n"/>
      <c r="D461" s="35" t="n"/>
      <c r="E461" s="35" t="n"/>
      <c r="F461" s="35" t="n"/>
      <c r="G461" s="35" t="n"/>
      <c r="H461" s="35" t="n"/>
      <c r="I461" s="27" t="n"/>
      <c r="J461" s="35" t="n"/>
      <c r="K461" s="35" t="n"/>
      <c r="L461" s="35" t="n"/>
      <c r="M461" s="35" t="n"/>
      <c r="N461" s="35" t="n"/>
      <c r="O461" s="35" t="n"/>
      <c r="P461" s="35" t="n"/>
      <c r="Q461" s="35" t="n"/>
    </row>
    <row r="462" ht="14.25" customHeight="1" s="398">
      <c r="A462" s="35" t="n"/>
      <c r="B462" s="35" t="n"/>
      <c r="C462" s="35" t="n"/>
      <c r="D462" s="35" t="n"/>
      <c r="E462" s="35" t="n"/>
      <c r="F462" s="35" t="n"/>
      <c r="G462" s="35" t="n"/>
      <c r="H462" s="35" t="n"/>
      <c r="I462" s="27" t="n"/>
      <c r="J462" s="35" t="n"/>
      <c r="K462" s="35" t="n"/>
      <c r="L462" s="35" t="n"/>
      <c r="M462" s="35" t="n"/>
      <c r="N462" s="35" t="n"/>
      <c r="O462" s="35" t="n"/>
      <c r="P462" s="35" t="n"/>
      <c r="Q462" s="35" t="n"/>
    </row>
    <row r="463" ht="14.25" customHeight="1" s="398">
      <c r="A463" s="35" t="n"/>
      <c r="B463" s="35" t="n"/>
      <c r="C463" s="35" t="n"/>
      <c r="D463" s="35" t="n"/>
      <c r="E463" s="35" t="n"/>
      <c r="F463" s="35" t="n"/>
      <c r="G463" s="35" t="n"/>
      <c r="H463" s="35" t="n"/>
      <c r="I463" s="27" t="n"/>
      <c r="J463" s="35" t="n"/>
      <c r="K463" s="35" t="n"/>
      <c r="L463" s="35" t="n"/>
      <c r="M463" s="35" t="n"/>
      <c r="N463" s="35" t="n"/>
      <c r="O463" s="35" t="n"/>
      <c r="P463" s="35" t="n"/>
      <c r="Q463" s="35" t="n"/>
    </row>
    <row r="464" ht="14.25" customHeight="1" s="398">
      <c r="A464" s="35" t="n"/>
      <c r="B464" s="35" t="n"/>
      <c r="C464" s="35" t="n"/>
      <c r="D464" s="35" t="n"/>
      <c r="E464" s="35" t="n"/>
      <c r="F464" s="35" t="n"/>
      <c r="G464" s="35" t="n"/>
      <c r="H464" s="35" t="n"/>
      <c r="I464" s="27" t="n"/>
      <c r="J464" s="35" t="n"/>
      <c r="K464" s="35" t="n"/>
      <c r="L464" s="35" t="n"/>
      <c r="M464" s="35" t="n"/>
      <c r="N464" s="35" t="n"/>
      <c r="O464" s="35" t="n"/>
      <c r="P464" s="35" t="n"/>
      <c r="Q464" s="35" t="n"/>
    </row>
    <row r="465" ht="14.25" customHeight="1" s="398">
      <c r="A465" s="35" t="n"/>
      <c r="B465" s="35" t="n"/>
      <c r="C465" s="35" t="n"/>
      <c r="D465" s="35" t="n"/>
      <c r="E465" s="35" t="n"/>
      <c r="F465" s="35" t="n"/>
      <c r="G465" s="35" t="n"/>
      <c r="H465" s="35" t="n"/>
      <c r="I465" s="27" t="n"/>
      <c r="J465" s="35" t="n"/>
      <c r="K465" s="35" t="n"/>
      <c r="L465" s="35" t="n"/>
      <c r="M465" s="35" t="n"/>
      <c r="N465" s="35" t="n"/>
      <c r="O465" s="35" t="n"/>
      <c r="P465" s="35" t="n"/>
      <c r="Q465" s="35" t="n"/>
    </row>
    <row r="466" ht="14.25" customHeight="1" s="398">
      <c r="A466" s="35" t="n"/>
      <c r="B466" s="35" t="n"/>
      <c r="C466" s="35" t="n"/>
      <c r="D466" s="35" t="n"/>
      <c r="E466" s="35" t="n"/>
      <c r="F466" s="35" t="n"/>
      <c r="G466" s="35" t="n"/>
      <c r="H466" s="35" t="n"/>
      <c r="I466" s="27" t="n"/>
      <c r="J466" s="35" t="n"/>
      <c r="K466" s="35" t="n"/>
      <c r="L466" s="35" t="n"/>
      <c r="M466" s="35" t="n"/>
      <c r="N466" s="35" t="n"/>
      <c r="O466" s="35" t="n"/>
      <c r="P466" s="35" t="n"/>
      <c r="Q466" s="35" t="n"/>
    </row>
    <row r="467" ht="14.25" customHeight="1" s="398">
      <c r="A467" s="35" t="n"/>
      <c r="B467" s="35" t="n"/>
      <c r="C467" s="35" t="n"/>
      <c r="D467" s="35" t="n"/>
      <c r="E467" s="35" t="n"/>
      <c r="F467" s="35" t="n"/>
      <c r="G467" s="35" t="n"/>
      <c r="H467" s="35" t="n"/>
      <c r="I467" s="27" t="n"/>
      <c r="J467" s="35" t="n"/>
      <c r="K467" s="35" t="n"/>
      <c r="L467" s="35" t="n"/>
      <c r="M467" s="35" t="n"/>
      <c r="N467" s="35" t="n"/>
      <c r="O467" s="35" t="n"/>
      <c r="P467" s="35" t="n"/>
      <c r="Q467" s="35" t="n"/>
    </row>
    <row r="468" ht="14.25" customHeight="1" s="398">
      <c r="A468" s="35" t="n"/>
      <c r="B468" s="35" t="n"/>
      <c r="C468" s="35" t="n"/>
      <c r="D468" s="35" t="n"/>
      <c r="E468" s="35" t="n"/>
      <c r="F468" s="35" t="n"/>
      <c r="G468" s="35" t="n"/>
      <c r="H468" s="35" t="n"/>
      <c r="I468" s="27" t="n"/>
      <c r="J468" s="35" t="n"/>
      <c r="K468" s="35" t="n"/>
      <c r="L468" s="35" t="n"/>
      <c r="M468" s="35" t="n"/>
      <c r="N468" s="35" t="n"/>
      <c r="O468" s="35" t="n"/>
      <c r="P468" s="35" t="n"/>
      <c r="Q468" s="35" t="n"/>
    </row>
    <row r="469" ht="14.25" customHeight="1" s="398">
      <c r="A469" s="35" t="n"/>
      <c r="B469" s="35" t="n"/>
      <c r="C469" s="35" t="n"/>
      <c r="D469" s="35" t="n"/>
      <c r="E469" s="35" t="n"/>
      <c r="F469" s="35" t="n"/>
      <c r="G469" s="35" t="n"/>
      <c r="H469" s="35" t="n"/>
      <c r="I469" s="27" t="n"/>
      <c r="J469" s="35" t="n"/>
      <c r="K469" s="35" t="n"/>
      <c r="L469" s="35" t="n"/>
      <c r="M469" s="35" t="n"/>
      <c r="N469" s="35" t="n"/>
      <c r="O469" s="35" t="n"/>
      <c r="P469" s="35" t="n"/>
      <c r="Q469" s="35" t="n"/>
    </row>
    <row r="470" ht="14.25" customHeight="1" s="398">
      <c r="A470" s="35" t="n"/>
      <c r="B470" s="35" t="n"/>
      <c r="C470" s="35" t="n"/>
      <c r="D470" s="35" t="n"/>
      <c r="E470" s="35" t="n"/>
      <c r="F470" s="35" t="n"/>
      <c r="G470" s="35" t="n"/>
      <c r="H470" s="35" t="n"/>
      <c r="I470" s="27" t="n"/>
      <c r="J470" s="35" t="n"/>
      <c r="K470" s="35" t="n"/>
      <c r="L470" s="35" t="n"/>
      <c r="M470" s="35" t="n"/>
      <c r="N470" s="35" t="n"/>
      <c r="O470" s="35" t="n"/>
      <c r="P470" s="35" t="n"/>
      <c r="Q470" s="35" t="n"/>
    </row>
    <row r="471" ht="14.25" customHeight="1" s="398">
      <c r="A471" s="35" t="n"/>
      <c r="B471" s="35" t="n"/>
      <c r="C471" s="35" t="n"/>
      <c r="D471" s="35" t="n"/>
      <c r="E471" s="35" t="n"/>
      <c r="F471" s="35" t="n"/>
      <c r="G471" s="35" t="n"/>
      <c r="H471" s="35" t="n"/>
      <c r="I471" s="27" t="n"/>
      <c r="J471" s="35" t="n"/>
      <c r="K471" s="35" t="n"/>
      <c r="L471" s="35" t="n"/>
      <c r="M471" s="35" t="n"/>
      <c r="N471" s="35" t="n"/>
      <c r="O471" s="35" t="n"/>
      <c r="P471" s="35" t="n"/>
      <c r="Q471" s="35" t="n"/>
    </row>
    <row r="472" ht="14.25" customHeight="1" s="398">
      <c r="A472" s="35" t="n"/>
      <c r="B472" s="35" t="n"/>
      <c r="C472" s="35" t="n"/>
      <c r="D472" s="35" t="n"/>
      <c r="E472" s="35" t="n"/>
      <c r="F472" s="35" t="n"/>
      <c r="G472" s="35" t="n"/>
      <c r="H472" s="35" t="n"/>
      <c r="I472" s="27" t="n"/>
      <c r="J472" s="35" t="n"/>
      <c r="K472" s="35" t="n"/>
      <c r="L472" s="35" t="n"/>
      <c r="M472" s="35" t="n"/>
      <c r="N472" s="35" t="n"/>
      <c r="O472" s="35" t="n"/>
      <c r="P472" s="35" t="n"/>
      <c r="Q472" s="35" t="n"/>
    </row>
    <row r="473" ht="14.25" customHeight="1" s="398">
      <c r="A473" s="35" t="n"/>
      <c r="B473" s="35" t="n"/>
      <c r="C473" s="35" t="n"/>
      <c r="D473" s="35" t="n"/>
      <c r="E473" s="35" t="n"/>
      <c r="F473" s="35" t="n"/>
      <c r="G473" s="35" t="n"/>
      <c r="H473" s="35" t="n"/>
      <c r="I473" s="27" t="n"/>
      <c r="J473" s="35" t="n"/>
      <c r="K473" s="35" t="n"/>
      <c r="L473" s="35" t="n"/>
      <c r="M473" s="35" t="n"/>
      <c r="N473" s="35" t="n"/>
      <c r="O473" s="35" t="n"/>
      <c r="P473" s="35" t="n"/>
      <c r="Q473" s="35" t="n"/>
    </row>
    <row r="474" ht="14.25" customHeight="1" s="398">
      <c r="A474" s="35" t="n"/>
      <c r="B474" s="35" t="n"/>
      <c r="C474" s="35" t="n"/>
      <c r="D474" s="35" t="n"/>
      <c r="E474" s="35" t="n"/>
      <c r="F474" s="35" t="n"/>
      <c r="G474" s="35" t="n"/>
      <c r="H474" s="35" t="n"/>
      <c r="I474" s="27" t="n"/>
      <c r="J474" s="35" t="n"/>
      <c r="K474" s="35" t="n"/>
      <c r="L474" s="35" t="n"/>
      <c r="M474" s="35" t="n"/>
      <c r="N474" s="35" t="n"/>
      <c r="O474" s="35" t="n"/>
      <c r="P474" s="35" t="n"/>
      <c r="Q474" s="35" t="n"/>
    </row>
    <row r="475" ht="14.25" customHeight="1" s="398">
      <c r="A475" s="35" t="n"/>
      <c r="B475" s="35" t="n"/>
      <c r="C475" s="35" t="n"/>
      <c r="D475" s="35" t="n"/>
      <c r="E475" s="35" t="n"/>
      <c r="F475" s="35" t="n"/>
      <c r="G475" s="35" t="n"/>
      <c r="H475" s="35" t="n"/>
      <c r="I475" s="27" t="n"/>
      <c r="J475" s="35" t="n"/>
      <c r="K475" s="35" t="n"/>
      <c r="L475" s="35" t="n"/>
      <c r="M475" s="35" t="n"/>
      <c r="N475" s="35" t="n"/>
      <c r="O475" s="35" t="n"/>
      <c r="P475" s="35" t="n"/>
      <c r="Q475" s="35" t="n"/>
    </row>
    <row r="476" ht="14.25" customHeight="1" s="398">
      <c r="A476" s="35" t="n"/>
      <c r="B476" s="35" t="n"/>
      <c r="C476" s="35" t="n"/>
      <c r="D476" s="35" t="n"/>
      <c r="E476" s="35" t="n"/>
      <c r="F476" s="35" t="n"/>
      <c r="G476" s="35" t="n"/>
      <c r="H476" s="35" t="n"/>
      <c r="I476" s="27" t="n"/>
      <c r="J476" s="35" t="n"/>
      <c r="K476" s="35" t="n"/>
      <c r="L476" s="35" t="n"/>
      <c r="M476" s="35" t="n"/>
      <c r="N476" s="35" t="n"/>
      <c r="O476" s="35" t="n"/>
      <c r="P476" s="35" t="n"/>
      <c r="Q476" s="35" t="n"/>
    </row>
    <row r="477" ht="14.25" customHeight="1" s="398">
      <c r="A477" s="35" t="n"/>
      <c r="B477" s="35" t="n"/>
      <c r="C477" s="35" t="n"/>
      <c r="D477" s="35" t="n"/>
      <c r="E477" s="35" t="n"/>
      <c r="F477" s="35" t="n"/>
      <c r="G477" s="35" t="n"/>
      <c r="H477" s="35" t="n"/>
      <c r="I477" s="27" t="n"/>
      <c r="J477" s="35" t="n"/>
      <c r="K477" s="35" t="n"/>
      <c r="L477" s="35" t="n"/>
      <c r="M477" s="35" t="n"/>
      <c r="N477" s="35" t="n"/>
      <c r="O477" s="35" t="n"/>
      <c r="P477" s="35" t="n"/>
      <c r="Q477" s="35" t="n"/>
    </row>
    <row r="478" ht="14.25" customHeight="1" s="398">
      <c r="A478" s="35" t="n"/>
      <c r="B478" s="35" t="n"/>
      <c r="C478" s="35" t="n"/>
      <c r="D478" s="35" t="n"/>
      <c r="E478" s="35" t="n"/>
      <c r="F478" s="35" t="n"/>
      <c r="G478" s="35" t="n"/>
      <c r="H478" s="35" t="n"/>
      <c r="I478" s="27" t="n"/>
      <c r="J478" s="35" t="n"/>
      <c r="K478" s="35" t="n"/>
      <c r="L478" s="35" t="n"/>
      <c r="M478" s="35" t="n"/>
      <c r="N478" s="35" t="n"/>
      <c r="O478" s="35" t="n"/>
      <c r="P478" s="35" t="n"/>
      <c r="Q478" s="35" t="n"/>
    </row>
    <row r="479" ht="14.25" customHeight="1" s="398">
      <c r="A479" s="35" t="n"/>
      <c r="B479" s="35" t="n"/>
      <c r="C479" s="35" t="n"/>
      <c r="D479" s="35" t="n"/>
      <c r="E479" s="35" t="n"/>
      <c r="F479" s="35" t="n"/>
      <c r="G479" s="35" t="n"/>
      <c r="H479" s="35" t="n"/>
      <c r="I479" s="27" t="n"/>
      <c r="J479" s="35" t="n"/>
      <c r="K479" s="35" t="n"/>
      <c r="L479" s="35" t="n"/>
      <c r="M479" s="35" t="n"/>
      <c r="N479" s="35" t="n"/>
      <c r="O479" s="35" t="n"/>
      <c r="P479" s="35" t="n"/>
      <c r="Q479" s="35" t="n"/>
    </row>
    <row r="480" ht="14.25" customHeight="1" s="398">
      <c r="A480" s="35" t="n"/>
      <c r="B480" s="35" t="n"/>
      <c r="C480" s="35" t="n"/>
      <c r="D480" s="35" t="n"/>
      <c r="E480" s="35" t="n"/>
      <c r="F480" s="35" t="n"/>
      <c r="G480" s="35" t="n"/>
      <c r="H480" s="35" t="n"/>
      <c r="I480" s="27" t="n"/>
      <c r="J480" s="35" t="n"/>
      <c r="K480" s="35" t="n"/>
      <c r="L480" s="35" t="n"/>
      <c r="M480" s="35" t="n"/>
      <c r="N480" s="35" t="n"/>
      <c r="O480" s="35" t="n"/>
      <c r="P480" s="35" t="n"/>
      <c r="Q480" s="35" t="n"/>
    </row>
    <row r="481" ht="14.25" customHeight="1" s="398">
      <c r="A481" s="35" t="n"/>
      <c r="B481" s="35" t="n"/>
      <c r="C481" s="35" t="n"/>
      <c r="D481" s="35" t="n"/>
      <c r="E481" s="35" t="n"/>
      <c r="F481" s="35" t="n"/>
      <c r="G481" s="35" t="n"/>
      <c r="H481" s="35" t="n"/>
      <c r="I481" s="27" t="n"/>
      <c r="J481" s="35" t="n"/>
      <c r="K481" s="35" t="n"/>
      <c r="L481" s="35" t="n"/>
      <c r="M481" s="35" t="n"/>
      <c r="N481" s="35" t="n"/>
      <c r="O481" s="35" t="n"/>
      <c r="P481" s="35" t="n"/>
      <c r="Q481" s="35" t="n"/>
    </row>
    <row r="482" ht="14.25" customHeight="1" s="398">
      <c r="A482" s="35" t="n"/>
      <c r="B482" s="35" t="n"/>
      <c r="C482" s="35" t="n"/>
      <c r="D482" s="35" t="n"/>
      <c r="E482" s="35" t="n"/>
      <c r="F482" s="35" t="n"/>
      <c r="G482" s="35" t="n"/>
      <c r="H482" s="35" t="n"/>
      <c r="I482" s="27" t="n"/>
      <c r="J482" s="35" t="n"/>
      <c r="K482" s="35" t="n"/>
      <c r="L482" s="35" t="n"/>
      <c r="M482" s="35" t="n"/>
      <c r="N482" s="35" t="n"/>
      <c r="O482" s="35" t="n"/>
      <c r="P482" s="35" t="n"/>
      <c r="Q482" s="35" t="n"/>
    </row>
    <row r="483" ht="14.25" customHeight="1" s="398">
      <c r="A483" s="35" t="n"/>
      <c r="B483" s="35" t="n"/>
      <c r="C483" s="35" t="n"/>
      <c r="D483" s="35" t="n"/>
      <c r="E483" s="35" t="n"/>
      <c r="F483" s="35" t="n"/>
      <c r="G483" s="35" t="n"/>
      <c r="H483" s="35" t="n"/>
      <c r="I483" s="27" t="n"/>
      <c r="J483" s="35" t="n"/>
      <c r="K483" s="35" t="n"/>
      <c r="L483" s="35" t="n"/>
      <c r="M483" s="35" t="n"/>
      <c r="N483" s="35" t="n"/>
      <c r="O483" s="35" t="n"/>
      <c r="P483" s="35" t="n"/>
      <c r="Q483" s="35" t="n"/>
    </row>
    <row r="484" ht="14.25" customHeight="1" s="398">
      <c r="A484" s="35" t="n"/>
      <c r="B484" s="35" t="n"/>
      <c r="C484" s="35" t="n"/>
      <c r="D484" s="35" t="n"/>
      <c r="E484" s="35" t="n"/>
      <c r="F484" s="35" t="n"/>
      <c r="G484" s="35" t="n"/>
      <c r="H484" s="35" t="n"/>
      <c r="I484" s="27" t="n"/>
      <c r="J484" s="35" t="n"/>
      <c r="K484" s="35" t="n"/>
      <c r="L484" s="35" t="n"/>
      <c r="M484" s="35" t="n"/>
      <c r="N484" s="35" t="n"/>
      <c r="O484" s="35" t="n"/>
      <c r="P484" s="35" t="n"/>
      <c r="Q484" s="35" t="n"/>
    </row>
    <row r="485" ht="14.25" customHeight="1" s="398">
      <c r="A485" s="35" t="n"/>
      <c r="B485" s="35" t="n"/>
      <c r="C485" s="35" t="n"/>
      <c r="D485" s="35" t="n"/>
      <c r="E485" s="35" t="n"/>
      <c r="F485" s="35" t="n"/>
      <c r="G485" s="35" t="n"/>
      <c r="H485" s="35" t="n"/>
      <c r="I485" s="27" t="n"/>
      <c r="J485" s="35" t="n"/>
      <c r="K485" s="35" t="n"/>
      <c r="L485" s="35" t="n"/>
      <c r="M485" s="35" t="n"/>
      <c r="N485" s="35" t="n"/>
      <c r="O485" s="35" t="n"/>
      <c r="P485" s="35" t="n"/>
      <c r="Q485" s="35" t="n"/>
    </row>
    <row r="486" ht="14.25" customHeight="1" s="398">
      <c r="A486" s="35" t="n"/>
      <c r="B486" s="35" t="n"/>
      <c r="C486" s="35" t="n"/>
      <c r="D486" s="35" t="n"/>
      <c r="E486" s="35" t="n"/>
      <c r="F486" s="35" t="n"/>
      <c r="G486" s="35" t="n"/>
      <c r="H486" s="35" t="n"/>
      <c r="I486" s="27" t="n"/>
      <c r="J486" s="35" t="n"/>
      <c r="K486" s="35" t="n"/>
      <c r="L486" s="35" t="n"/>
      <c r="M486" s="35" t="n"/>
      <c r="N486" s="35" t="n"/>
      <c r="O486" s="35" t="n"/>
      <c r="P486" s="35" t="n"/>
      <c r="Q486" s="35" t="n"/>
    </row>
    <row r="487" ht="14.25" customHeight="1" s="398">
      <c r="A487" s="35" t="n"/>
      <c r="B487" s="35" t="n"/>
      <c r="C487" s="35" t="n"/>
      <c r="D487" s="35" t="n"/>
      <c r="E487" s="35" t="n"/>
      <c r="F487" s="35" t="n"/>
      <c r="G487" s="35" t="n"/>
      <c r="H487" s="35" t="n"/>
      <c r="I487" s="27" t="n"/>
      <c r="J487" s="35" t="n"/>
      <c r="K487" s="35" t="n"/>
      <c r="L487" s="35" t="n"/>
      <c r="M487" s="35" t="n"/>
      <c r="N487" s="35" t="n"/>
      <c r="O487" s="35" t="n"/>
      <c r="P487" s="35" t="n"/>
      <c r="Q487" s="35" t="n"/>
    </row>
    <row r="488" ht="14.25" customHeight="1" s="398">
      <c r="A488" s="35" t="n"/>
      <c r="B488" s="35" t="n"/>
      <c r="C488" s="35" t="n"/>
      <c r="D488" s="35" t="n"/>
      <c r="E488" s="35" t="n"/>
      <c r="F488" s="35" t="n"/>
      <c r="G488" s="35" t="n"/>
      <c r="H488" s="35" t="n"/>
      <c r="I488" s="27" t="n"/>
      <c r="J488" s="35" t="n"/>
      <c r="K488" s="35" t="n"/>
      <c r="L488" s="35" t="n"/>
      <c r="M488" s="35" t="n"/>
      <c r="N488" s="35" t="n"/>
      <c r="O488" s="35" t="n"/>
      <c r="P488" s="35" t="n"/>
      <c r="Q488" s="35" t="n"/>
    </row>
    <row r="489" ht="14.25" customHeight="1" s="398">
      <c r="A489" s="35" t="n"/>
      <c r="B489" s="35" t="n"/>
      <c r="C489" s="35" t="n"/>
      <c r="D489" s="35" t="n"/>
      <c r="E489" s="35" t="n"/>
      <c r="F489" s="35" t="n"/>
      <c r="G489" s="35" t="n"/>
      <c r="H489" s="35" t="n"/>
      <c r="I489" s="27" t="n"/>
      <c r="J489" s="35" t="n"/>
      <c r="K489" s="35" t="n"/>
      <c r="L489" s="35" t="n"/>
      <c r="M489" s="35" t="n"/>
      <c r="N489" s="35" t="n"/>
      <c r="O489" s="35" t="n"/>
      <c r="P489" s="35" t="n"/>
      <c r="Q489" s="35" t="n"/>
    </row>
    <row r="490" ht="14.25" customHeight="1" s="398">
      <c r="A490" s="35" t="n"/>
      <c r="B490" s="35" t="n"/>
      <c r="C490" s="35" t="n"/>
      <c r="D490" s="35" t="n"/>
      <c r="E490" s="35" t="n"/>
      <c r="F490" s="35" t="n"/>
      <c r="G490" s="35" t="n"/>
      <c r="H490" s="35" t="n"/>
      <c r="I490" s="27" t="n"/>
      <c r="J490" s="35" t="n"/>
      <c r="K490" s="35" t="n"/>
      <c r="L490" s="35" t="n"/>
      <c r="M490" s="35" t="n"/>
      <c r="N490" s="35" t="n"/>
      <c r="O490" s="35" t="n"/>
      <c r="P490" s="35" t="n"/>
      <c r="Q490" s="35" t="n"/>
    </row>
    <row r="491" ht="14.25" customHeight="1" s="398">
      <c r="A491" s="35" t="n"/>
      <c r="B491" s="35" t="n"/>
      <c r="C491" s="35" t="n"/>
      <c r="D491" s="35" t="n"/>
      <c r="E491" s="35" t="n"/>
      <c r="F491" s="35" t="n"/>
      <c r="G491" s="35" t="n"/>
      <c r="H491" s="35" t="n"/>
      <c r="I491" s="27" t="n"/>
      <c r="J491" s="35" t="n"/>
      <c r="K491" s="35" t="n"/>
      <c r="L491" s="35" t="n"/>
      <c r="M491" s="35" t="n"/>
      <c r="N491" s="35" t="n"/>
      <c r="O491" s="35" t="n"/>
      <c r="P491" s="35" t="n"/>
      <c r="Q491" s="35" t="n"/>
    </row>
    <row r="492" ht="14.25" customHeight="1" s="398">
      <c r="A492" s="35" t="n"/>
      <c r="B492" s="35" t="n"/>
      <c r="C492" s="35" t="n"/>
      <c r="D492" s="35" t="n"/>
      <c r="E492" s="35" t="n"/>
      <c r="F492" s="35" t="n"/>
      <c r="G492" s="35" t="n"/>
      <c r="H492" s="35" t="n"/>
      <c r="I492" s="27" t="n"/>
      <c r="J492" s="35" t="n"/>
      <c r="K492" s="35" t="n"/>
      <c r="L492" s="35" t="n"/>
      <c r="M492" s="35" t="n"/>
      <c r="N492" s="35" t="n"/>
      <c r="O492" s="35" t="n"/>
      <c r="P492" s="35" t="n"/>
      <c r="Q492" s="35" t="n"/>
    </row>
    <row r="493" ht="14.25" customHeight="1" s="398">
      <c r="A493" s="35" t="n"/>
      <c r="B493" s="35" t="n"/>
      <c r="C493" s="35" t="n"/>
      <c r="D493" s="35" t="n"/>
      <c r="E493" s="35" t="n"/>
      <c r="F493" s="35" t="n"/>
      <c r="G493" s="35" t="n"/>
      <c r="H493" s="35" t="n"/>
      <c r="I493" s="27" t="n"/>
      <c r="J493" s="35" t="n"/>
      <c r="K493" s="35" t="n"/>
      <c r="L493" s="35" t="n"/>
      <c r="M493" s="35" t="n"/>
      <c r="N493" s="35" t="n"/>
      <c r="O493" s="35" t="n"/>
      <c r="P493" s="35" t="n"/>
      <c r="Q493" s="35" t="n"/>
    </row>
    <row r="494" ht="14.25" customHeight="1" s="398">
      <c r="A494" s="35" t="n"/>
      <c r="B494" s="35" t="n"/>
      <c r="C494" s="35" t="n"/>
      <c r="D494" s="35" t="n"/>
      <c r="E494" s="35" t="n"/>
      <c r="F494" s="35" t="n"/>
      <c r="G494" s="35" t="n"/>
      <c r="H494" s="35" t="n"/>
      <c r="I494" s="27" t="n"/>
      <c r="J494" s="35" t="n"/>
      <c r="K494" s="35" t="n"/>
      <c r="L494" s="35" t="n"/>
      <c r="M494" s="35" t="n"/>
      <c r="N494" s="35" t="n"/>
      <c r="O494" s="35" t="n"/>
      <c r="P494" s="35" t="n"/>
      <c r="Q494" s="35" t="n"/>
    </row>
    <row r="495" ht="14.25" customHeight="1" s="398">
      <c r="A495" s="35" t="n"/>
      <c r="B495" s="35" t="n"/>
      <c r="C495" s="35" t="n"/>
      <c r="D495" s="35" t="n"/>
      <c r="E495" s="35" t="n"/>
      <c r="F495" s="35" t="n"/>
      <c r="G495" s="35" t="n"/>
      <c r="H495" s="35" t="n"/>
      <c r="I495" s="27" t="n"/>
      <c r="J495" s="35" t="n"/>
      <c r="K495" s="35" t="n"/>
      <c r="L495" s="35" t="n"/>
      <c r="M495" s="35" t="n"/>
      <c r="N495" s="35" t="n"/>
      <c r="O495" s="35" t="n"/>
      <c r="P495" s="35" t="n"/>
      <c r="Q495" s="35" t="n"/>
    </row>
    <row r="496" ht="14.25" customHeight="1" s="398">
      <c r="A496" s="35" t="n"/>
      <c r="B496" s="35" t="n"/>
      <c r="C496" s="35" t="n"/>
      <c r="D496" s="35" t="n"/>
      <c r="E496" s="35" t="n"/>
      <c r="F496" s="35" t="n"/>
      <c r="G496" s="35" t="n"/>
      <c r="H496" s="35" t="n"/>
      <c r="I496" s="27" t="n"/>
      <c r="J496" s="35" t="n"/>
      <c r="K496" s="35" t="n"/>
      <c r="L496" s="35" t="n"/>
      <c r="M496" s="35" t="n"/>
      <c r="N496" s="35" t="n"/>
      <c r="O496" s="35" t="n"/>
      <c r="P496" s="35" t="n"/>
      <c r="Q496" s="35" t="n"/>
    </row>
    <row r="497" ht="14.25" customHeight="1" s="398">
      <c r="A497" s="35" t="n"/>
      <c r="B497" s="35" t="n"/>
      <c r="C497" s="35" t="n"/>
      <c r="D497" s="35" t="n"/>
      <c r="E497" s="35" t="n"/>
      <c r="F497" s="35" t="n"/>
      <c r="G497" s="35" t="n"/>
      <c r="H497" s="35" t="n"/>
      <c r="I497" s="27" t="n"/>
      <c r="J497" s="35" t="n"/>
      <c r="K497" s="35" t="n"/>
      <c r="L497" s="35" t="n"/>
      <c r="M497" s="35" t="n"/>
      <c r="N497" s="35" t="n"/>
      <c r="O497" s="35" t="n"/>
      <c r="P497" s="35" t="n"/>
      <c r="Q497" s="35" t="n"/>
    </row>
    <row r="498" ht="14.25" customHeight="1" s="398">
      <c r="A498" s="35" t="n"/>
      <c r="B498" s="35" t="n"/>
      <c r="C498" s="35" t="n"/>
      <c r="D498" s="35" t="n"/>
      <c r="E498" s="35" t="n"/>
      <c r="F498" s="35" t="n"/>
      <c r="G498" s="35" t="n"/>
      <c r="H498" s="35" t="n"/>
      <c r="I498" s="27" t="n"/>
      <c r="J498" s="35" t="n"/>
      <c r="K498" s="35" t="n"/>
      <c r="L498" s="35" t="n"/>
      <c r="M498" s="35" t="n"/>
      <c r="N498" s="35" t="n"/>
      <c r="O498" s="35" t="n"/>
      <c r="P498" s="35" t="n"/>
      <c r="Q498" s="35" t="n"/>
    </row>
    <row r="499" ht="14.25" customHeight="1" s="398">
      <c r="A499" s="35" t="n"/>
      <c r="B499" s="35" t="n"/>
      <c r="C499" s="35" t="n"/>
      <c r="D499" s="35" t="n"/>
      <c r="E499" s="35" t="n"/>
      <c r="F499" s="35" t="n"/>
      <c r="G499" s="35" t="n"/>
      <c r="H499" s="35" t="n"/>
      <c r="I499" s="27" t="n"/>
      <c r="J499" s="35" t="n"/>
      <c r="K499" s="35" t="n"/>
      <c r="L499" s="35" t="n"/>
      <c r="M499" s="35" t="n"/>
      <c r="N499" s="35" t="n"/>
      <c r="O499" s="35" t="n"/>
      <c r="P499" s="35" t="n"/>
      <c r="Q499" s="35" t="n"/>
    </row>
    <row r="500" ht="14.25" customHeight="1" s="398">
      <c r="A500" s="35" t="n"/>
      <c r="B500" s="35" t="n"/>
      <c r="C500" s="35" t="n"/>
      <c r="D500" s="35" t="n"/>
      <c r="E500" s="35" t="n"/>
      <c r="F500" s="35" t="n"/>
      <c r="G500" s="35" t="n"/>
      <c r="H500" s="35" t="n"/>
      <c r="I500" s="27" t="n"/>
      <c r="J500" s="35" t="n"/>
      <c r="K500" s="35" t="n"/>
      <c r="L500" s="35" t="n"/>
      <c r="M500" s="35" t="n"/>
      <c r="N500" s="35" t="n"/>
      <c r="O500" s="35" t="n"/>
      <c r="P500" s="35" t="n"/>
      <c r="Q500" s="35" t="n"/>
    </row>
    <row r="501" ht="14.25" customHeight="1" s="398">
      <c r="A501" s="35" t="n"/>
      <c r="B501" s="35" t="n"/>
      <c r="C501" s="35" t="n"/>
      <c r="D501" s="35" t="n"/>
      <c r="E501" s="35" t="n"/>
      <c r="F501" s="35" t="n"/>
      <c r="G501" s="35" t="n"/>
      <c r="H501" s="35" t="n"/>
      <c r="I501" s="27" t="n"/>
      <c r="J501" s="35" t="n"/>
      <c r="K501" s="35" t="n"/>
      <c r="L501" s="35" t="n"/>
      <c r="M501" s="35" t="n"/>
      <c r="N501" s="35" t="n"/>
      <c r="O501" s="35" t="n"/>
      <c r="P501" s="35" t="n"/>
      <c r="Q501" s="35" t="n"/>
    </row>
    <row r="502" ht="14.25" customHeight="1" s="398">
      <c r="A502" s="35" t="n"/>
      <c r="B502" s="35" t="n"/>
      <c r="C502" s="35" t="n"/>
      <c r="D502" s="35" t="n"/>
      <c r="E502" s="35" t="n"/>
      <c r="F502" s="35" t="n"/>
      <c r="G502" s="35" t="n"/>
      <c r="H502" s="35" t="n"/>
      <c r="I502" s="27" t="n"/>
      <c r="J502" s="35" t="n"/>
      <c r="K502" s="35" t="n"/>
      <c r="L502" s="35" t="n"/>
      <c r="M502" s="35" t="n"/>
      <c r="N502" s="35" t="n"/>
      <c r="O502" s="35" t="n"/>
      <c r="P502" s="35" t="n"/>
      <c r="Q502" s="35" t="n"/>
    </row>
    <row r="503" ht="14.25" customHeight="1" s="398">
      <c r="A503" s="35" t="n"/>
      <c r="B503" s="35" t="n"/>
      <c r="C503" s="35" t="n"/>
      <c r="D503" s="35" t="n"/>
      <c r="E503" s="35" t="n"/>
      <c r="F503" s="35" t="n"/>
      <c r="G503" s="35" t="n"/>
      <c r="H503" s="35" t="n"/>
      <c r="I503" s="27" t="n"/>
      <c r="J503" s="35" t="n"/>
      <c r="K503" s="35" t="n"/>
      <c r="L503" s="35" t="n"/>
      <c r="M503" s="35" t="n"/>
      <c r="N503" s="35" t="n"/>
      <c r="O503" s="35" t="n"/>
      <c r="P503" s="35" t="n"/>
      <c r="Q503" s="35" t="n"/>
    </row>
    <row r="504" ht="14.25" customHeight="1" s="398">
      <c r="A504" s="35" t="n"/>
      <c r="B504" s="35" t="n"/>
      <c r="C504" s="35" t="n"/>
      <c r="D504" s="35" t="n"/>
      <c r="E504" s="35" t="n"/>
      <c r="F504" s="35" t="n"/>
      <c r="G504" s="35" t="n"/>
      <c r="H504" s="35" t="n"/>
      <c r="I504" s="27" t="n"/>
      <c r="J504" s="35" t="n"/>
      <c r="K504" s="35" t="n"/>
      <c r="L504" s="35" t="n"/>
      <c r="M504" s="35" t="n"/>
      <c r="N504" s="35" t="n"/>
      <c r="O504" s="35" t="n"/>
      <c r="P504" s="35" t="n"/>
      <c r="Q504" s="35" t="n"/>
    </row>
    <row r="505" ht="14.25" customHeight="1" s="398">
      <c r="A505" s="35" t="n"/>
      <c r="B505" s="35" t="n"/>
      <c r="C505" s="35" t="n"/>
      <c r="D505" s="35" t="n"/>
      <c r="E505" s="35" t="n"/>
      <c r="F505" s="35" t="n"/>
      <c r="G505" s="35" t="n"/>
      <c r="H505" s="35" t="n"/>
      <c r="I505" s="27" t="n"/>
      <c r="J505" s="35" t="n"/>
      <c r="K505" s="35" t="n"/>
      <c r="L505" s="35" t="n"/>
      <c r="M505" s="35" t="n"/>
      <c r="N505" s="35" t="n"/>
      <c r="O505" s="35" t="n"/>
      <c r="P505" s="35" t="n"/>
      <c r="Q505" s="35" t="n"/>
    </row>
    <row r="506" ht="14.25" customHeight="1" s="398">
      <c r="A506" s="35" t="n"/>
      <c r="B506" s="35" t="n"/>
      <c r="C506" s="35" t="n"/>
      <c r="D506" s="35" t="n"/>
      <c r="E506" s="35" t="n"/>
      <c r="F506" s="35" t="n"/>
      <c r="G506" s="35" t="n"/>
      <c r="H506" s="35" t="n"/>
      <c r="I506" s="27" t="n"/>
      <c r="J506" s="35" t="n"/>
      <c r="K506" s="35" t="n"/>
      <c r="L506" s="35" t="n"/>
      <c r="M506" s="35" t="n"/>
      <c r="N506" s="35" t="n"/>
      <c r="O506" s="35" t="n"/>
      <c r="P506" s="35" t="n"/>
      <c r="Q506" s="35" t="n"/>
    </row>
    <row r="507" ht="14.25" customHeight="1" s="398">
      <c r="A507" s="35" t="n"/>
      <c r="B507" s="35" t="n"/>
      <c r="C507" s="35" t="n"/>
      <c r="D507" s="35" t="n"/>
      <c r="E507" s="35" t="n"/>
      <c r="F507" s="35" t="n"/>
      <c r="G507" s="35" t="n"/>
      <c r="H507" s="35" t="n"/>
      <c r="I507" s="27" t="n"/>
      <c r="J507" s="35" t="n"/>
      <c r="K507" s="35" t="n"/>
      <c r="L507" s="35" t="n"/>
      <c r="M507" s="35" t="n"/>
      <c r="N507" s="35" t="n"/>
      <c r="O507" s="35" t="n"/>
      <c r="P507" s="35" t="n"/>
      <c r="Q507" s="35" t="n"/>
    </row>
    <row r="508" ht="14.25" customHeight="1" s="398">
      <c r="A508" s="35" t="n"/>
      <c r="B508" s="35" t="n"/>
      <c r="C508" s="35" t="n"/>
      <c r="D508" s="35" t="n"/>
      <c r="E508" s="35" t="n"/>
      <c r="F508" s="35" t="n"/>
      <c r="G508" s="35" t="n"/>
      <c r="H508" s="35" t="n"/>
      <c r="I508" s="27" t="n"/>
      <c r="J508" s="35" t="n"/>
      <c r="K508" s="35" t="n"/>
      <c r="L508" s="35" t="n"/>
      <c r="M508" s="35" t="n"/>
      <c r="N508" s="35" t="n"/>
      <c r="O508" s="35" t="n"/>
      <c r="P508" s="35" t="n"/>
      <c r="Q508" s="35" t="n"/>
    </row>
    <row r="509" ht="14.25" customHeight="1" s="398">
      <c r="A509" s="35" t="n"/>
      <c r="B509" s="35" t="n"/>
      <c r="C509" s="35" t="n"/>
      <c r="D509" s="35" t="n"/>
      <c r="E509" s="35" t="n"/>
      <c r="F509" s="35" t="n"/>
      <c r="G509" s="35" t="n"/>
      <c r="H509" s="35" t="n"/>
      <c r="I509" s="27" t="n"/>
      <c r="J509" s="35" t="n"/>
      <c r="K509" s="35" t="n"/>
      <c r="L509" s="35" t="n"/>
      <c r="M509" s="35" t="n"/>
      <c r="N509" s="35" t="n"/>
      <c r="O509" s="35" t="n"/>
      <c r="P509" s="35" t="n"/>
      <c r="Q509" s="35" t="n"/>
    </row>
    <row r="510" ht="14.25" customHeight="1" s="398">
      <c r="A510" s="35" t="n"/>
      <c r="B510" s="35" t="n"/>
      <c r="C510" s="35" t="n"/>
      <c r="D510" s="35" t="n"/>
      <c r="E510" s="35" t="n"/>
      <c r="F510" s="35" t="n"/>
      <c r="G510" s="35" t="n"/>
      <c r="H510" s="35" t="n"/>
      <c r="I510" s="27" t="n"/>
      <c r="J510" s="35" t="n"/>
      <c r="K510" s="35" t="n"/>
      <c r="L510" s="35" t="n"/>
      <c r="M510" s="35" t="n"/>
      <c r="N510" s="35" t="n"/>
      <c r="O510" s="35" t="n"/>
      <c r="P510" s="35" t="n"/>
      <c r="Q510" s="35" t="n"/>
    </row>
    <row r="511" ht="14.25" customHeight="1" s="398">
      <c r="A511" s="35" t="n"/>
      <c r="B511" s="35" t="n"/>
      <c r="C511" s="35" t="n"/>
      <c r="D511" s="35" t="n"/>
      <c r="E511" s="35" t="n"/>
      <c r="F511" s="35" t="n"/>
      <c r="G511" s="35" t="n"/>
      <c r="H511" s="35" t="n"/>
      <c r="I511" s="27" t="n"/>
      <c r="J511" s="35" t="n"/>
      <c r="K511" s="35" t="n"/>
      <c r="L511" s="35" t="n"/>
      <c r="M511" s="35" t="n"/>
      <c r="N511" s="35" t="n"/>
      <c r="O511" s="35" t="n"/>
      <c r="P511" s="35" t="n"/>
      <c r="Q511" s="35" t="n"/>
    </row>
    <row r="512" ht="14.25" customHeight="1" s="398">
      <c r="A512" s="35" t="n"/>
      <c r="B512" s="35" t="n"/>
      <c r="C512" s="35" t="n"/>
      <c r="D512" s="35" t="n"/>
      <c r="E512" s="35" t="n"/>
      <c r="F512" s="35" t="n"/>
      <c r="G512" s="35" t="n"/>
      <c r="H512" s="35" t="n"/>
      <c r="I512" s="27" t="n"/>
      <c r="J512" s="35" t="n"/>
      <c r="K512" s="35" t="n"/>
      <c r="L512" s="35" t="n"/>
      <c r="M512" s="35" t="n"/>
      <c r="N512" s="35" t="n"/>
      <c r="O512" s="35" t="n"/>
      <c r="P512" s="35" t="n"/>
      <c r="Q512" s="35" t="n"/>
    </row>
    <row r="513" ht="14.25" customHeight="1" s="398">
      <c r="A513" s="35" t="n"/>
      <c r="B513" s="35" t="n"/>
      <c r="C513" s="35" t="n"/>
      <c r="D513" s="35" t="n"/>
      <c r="E513" s="35" t="n"/>
      <c r="F513" s="35" t="n"/>
      <c r="G513" s="35" t="n"/>
      <c r="H513" s="35" t="n"/>
      <c r="I513" s="27" t="n"/>
      <c r="J513" s="35" t="n"/>
      <c r="K513" s="35" t="n"/>
      <c r="L513" s="35" t="n"/>
      <c r="M513" s="35" t="n"/>
      <c r="N513" s="35" t="n"/>
      <c r="O513" s="35" t="n"/>
      <c r="P513" s="35" t="n"/>
      <c r="Q513" s="35" t="n"/>
    </row>
    <row r="514" ht="14.25" customHeight="1" s="398">
      <c r="A514" s="35" t="n"/>
      <c r="B514" s="35" t="n"/>
      <c r="C514" s="35" t="n"/>
      <c r="D514" s="35" t="n"/>
      <c r="E514" s="35" t="n"/>
      <c r="F514" s="35" t="n"/>
      <c r="G514" s="35" t="n"/>
      <c r="H514" s="35" t="n"/>
      <c r="I514" s="27" t="n"/>
      <c r="J514" s="35" t="n"/>
      <c r="K514" s="35" t="n"/>
      <c r="L514" s="35" t="n"/>
      <c r="M514" s="35" t="n"/>
      <c r="N514" s="35" t="n"/>
      <c r="O514" s="35" t="n"/>
      <c r="P514" s="35" t="n"/>
      <c r="Q514" s="35" t="n"/>
    </row>
    <row r="515" ht="14.25" customHeight="1" s="398">
      <c r="A515" s="35" t="n"/>
      <c r="B515" s="35" t="n"/>
      <c r="C515" s="35" t="n"/>
      <c r="D515" s="35" t="n"/>
      <c r="E515" s="35" t="n"/>
      <c r="F515" s="35" t="n"/>
      <c r="G515" s="35" t="n"/>
      <c r="H515" s="35" t="n"/>
      <c r="I515" s="27" t="n"/>
      <c r="J515" s="35" t="n"/>
      <c r="K515" s="35" t="n"/>
      <c r="L515" s="35" t="n"/>
      <c r="M515" s="35" t="n"/>
      <c r="N515" s="35" t="n"/>
      <c r="O515" s="35" t="n"/>
      <c r="P515" s="35" t="n"/>
      <c r="Q515" s="35" t="n"/>
    </row>
    <row r="516" ht="14.25" customHeight="1" s="398">
      <c r="A516" s="35" t="n"/>
      <c r="B516" s="35" t="n"/>
      <c r="C516" s="35" t="n"/>
      <c r="D516" s="35" t="n"/>
      <c r="E516" s="35" t="n"/>
      <c r="F516" s="35" t="n"/>
      <c r="G516" s="35" t="n"/>
      <c r="H516" s="35" t="n"/>
      <c r="I516" s="27" t="n"/>
      <c r="J516" s="35" t="n"/>
      <c r="K516" s="35" t="n"/>
      <c r="L516" s="35" t="n"/>
      <c r="M516" s="35" t="n"/>
      <c r="N516" s="35" t="n"/>
      <c r="O516" s="35" t="n"/>
      <c r="P516" s="35" t="n"/>
      <c r="Q516" s="35" t="n"/>
    </row>
    <row r="517" ht="14.25" customHeight="1" s="398">
      <c r="A517" s="35" t="n"/>
      <c r="B517" s="35" t="n"/>
      <c r="C517" s="35" t="n"/>
      <c r="D517" s="35" t="n"/>
      <c r="E517" s="35" t="n"/>
      <c r="F517" s="35" t="n"/>
      <c r="G517" s="35" t="n"/>
      <c r="H517" s="35" t="n"/>
      <c r="I517" s="27" t="n"/>
      <c r="J517" s="35" t="n"/>
      <c r="K517" s="35" t="n"/>
      <c r="L517" s="35" t="n"/>
      <c r="M517" s="35" t="n"/>
      <c r="N517" s="35" t="n"/>
      <c r="O517" s="35" t="n"/>
      <c r="P517" s="35" t="n"/>
      <c r="Q517" s="35" t="n"/>
    </row>
    <row r="518" ht="14.25" customHeight="1" s="398">
      <c r="A518" s="35" t="n"/>
      <c r="B518" s="35" t="n"/>
      <c r="C518" s="35" t="n"/>
      <c r="D518" s="35" t="n"/>
      <c r="E518" s="35" t="n"/>
      <c r="F518" s="35" t="n"/>
      <c r="G518" s="35" t="n"/>
      <c r="H518" s="35" t="n"/>
      <c r="I518" s="27" t="n"/>
      <c r="J518" s="35" t="n"/>
      <c r="K518" s="35" t="n"/>
      <c r="L518" s="35" t="n"/>
      <c r="M518" s="35" t="n"/>
      <c r="N518" s="35" t="n"/>
      <c r="O518" s="35" t="n"/>
      <c r="P518" s="35" t="n"/>
      <c r="Q518" s="35" t="n"/>
    </row>
    <row r="519" ht="14.25" customHeight="1" s="398">
      <c r="A519" s="35" t="n"/>
      <c r="B519" s="35" t="n"/>
      <c r="C519" s="35" t="n"/>
      <c r="D519" s="35" t="n"/>
      <c r="E519" s="35" t="n"/>
      <c r="F519" s="35" t="n"/>
      <c r="G519" s="35" t="n"/>
      <c r="H519" s="35" t="n"/>
      <c r="I519" s="27" t="n"/>
      <c r="J519" s="35" t="n"/>
      <c r="K519" s="35" t="n"/>
      <c r="L519" s="35" t="n"/>
      <c r="M519" s="35" t="n"/>
      <c r="N519" s="35" t="n"/>
      <c r="O519" s="35" t="n"/>
      <c r="P519" s="35" t="n"/>
      <c r="Q519" s="35" t="n"/>
    </row>
    <row r="520" ht="14.25" customHeight="1" s="398">
      <c r="A520" s="35" t="n"/>
      <c r="B520" s="35" t="n"/>
      <c r="C520" s="35" t="n"/>
      <c r="D520" s="35" t="n"/>
      <c r="E520" s="35" t="n"/>
      <c r="F520" s="35" t="n"/>
      <c r="G520" s="35" t="n"/>
      <c r="H520" s="35" t="n"/>
      <c r="I520" s="27" t="n"/>
      <c r="J520" s="35" t="n"/>
      <c r="K520" s="35" t="n"/>
      <c r="L520" s="35" t="n"/>
      <c r="M520" s="35" t="n"/>
      <c r="N520" s="35" t="n"/>
      <c r="O520" s="35" t="n"/>
      <c r="P520" s="35" t="n"/>
      <c r="Q520" s="35" t="n"/>
    </row>
    <row r="521" ht="14.25" customHeight="1" s="398">
      <c r="A521" s="35" t="n"/>
      <c r="B521" s="35" t="n"/>
      <c r="C521" s="35" t="n"/>
      <c r="D521" s="35" t="n"/>
      <c r="E521" s="35" t="n"/>
      <c r="F521" s="35" t="n"/>
      <c r="G521" s="35" t="n"/>
      <c r="H521" s="35" t="n"/>
      <c r="I521" s="27" t="n"/>
      <c r="J521" s="35" t="n"/>
      <c r="K521" s="35" t="n"/>
      <c r="L521" s="35" t="n"/>
      <c r="M521" s="35" t="n"/>
      <c r="N521" s="35" t="n"/>
      <c r="O521" s="35" t="n"/>
      <c r="P521" s="35" t="n"/>
      <c r="Q521" s="35" t="n"/>
    </row>
    <row r="522" ht="14.25" customHeight="1" s="398">
      <c r="A522" s="35" t="n"/>
      <c r="B522" s="35" t="n"/>
      <c r="C522" s="35" t="n"/>
      <c r="D522" s="35" t="n"/>
      <c r="E522" s="35" t="n"/>
      <c r="F522" s="35" t="n"/>
      <c r="G522" s="35" t="n"/>
      <c r="H522" s="35" t="n"/>
      <c r="I522" s="27" t="n"/>
      <c r="J522" s="35" t="n"/>
      <c r="K522" s="35" t="n"/>
      <c r="L522" s="35" t="n"/>
      <c r="M522" s="35" t="n"/>
      <c r="N522" s="35" t="n"/>
      <c r="O522" s="35" t="n"/>
      <c r="P522" s="35" t="n"/>
      <c r="Q522" s="35" t="n"/>
    </row>
    <row r="523" ht="14.25" customHeight="1" s="398">
      <c r="A523" s="35" t="n"/>
      <c r="B523" s="35" t="n"/>
      <c r="C523" s="35" t="n"/>
      <c r="D523" s="35" t="n"/>
      <c r="E523" s="35" t="n"/>
      <c r="F523" s="35" t="n"/>
      <c r="G523" s="35" t="n"/>
      <c r="H523" s="35" t="n"/>
      <c r="I523" s="27" t="n"/>
      <c r="J523" s="35" t="n"/>
      <c r="K523" s="35" t="n"/>
      <c r="L523" s="35" t="n"/>
      <c r="M523" s="35" t="n"/>
      <c r="N523" s="35" t="n"/>
      <c r="O523" s="35" t="n"/>
      <c r="P523" s="35" t="n"/>
      <c r="Q523" s="35" t="n"/>
    </row>
    <row r="524" ht="14.25" customHeight="1" s="398">
      <c r="A524" s="35" t="n"/>
      <c r="B524" s="35" t="n"/>
      <c r="C524" s="35" t="n"/>
      <c r="D524" s="35" t="n"/>
      <c r="E524" s="35" t="n"/>
      <c r="F524" s="35" t="n"/>
      <c r="G524" s="35" t="n"/>
      <c r="H524" s="35" t="n"/>
      <c r="I524" s="27" t="n"/>
      <c r="J524" s="35" t="n"/>
      <c r="K524" s="35" t="n"/>
      <c r="L524" s="35" t="n"/>
      <c r="M524" s="35" t="n"/>
      <c r="N524" s="35" t="n"/>
      <c r="O524" s="35" t="n"/>
      <c r="P524" s="35" t="n"/>
      <c r="Q524" s="35" t="n"/>
    </row>
    <row r="525" ht="14.25" customHeight="1" s="398">
      <c r="A525" s="35" t="n"/>
      <c r="B525" s="35" t="n"/>
      <c r="C525" s="35" t="n"/>
      <c r="D525" s="35" t="n"/>
      <c r="E525" s="35" t="n"/>
      <c r="F525" s="35" t="n"/>
      <c r="G525" s="35" t="n"/>
      <c r="H525" s="35" t="n"/>
      <c r="I525" s="27" t="n"/>
      <c r="J525" s="35" t="n"/>
      <c r="K525" s="35" t="n"/>
      <c r="L525" s="35" t="n"/>
      <c r="M525" s="35" t="n"/>
      <c r="N525" s="35" t="n"/>
      <c r="O525" s="35" t="n"/>
      <c r="P525" s="35" t="n"/>
      <c r="Q525" s="35" t="n"/>
    </row>
    <row r="526" ht="14.25" customHeight="1" s="398">
      <c r="A526" s="35" t="n"/>
      <c r="B526" s="35" t="n"/>
      <c r="C526" s="35" t="n"/>
      <c r="D526" s="35" t="n"/>
      <c r="E526" s="35" t="n"/>
      <c r="F526" s="35" t="n"/>
      <c r="G526" s="35" t="n"/>
      <c r="H526" s="35" t="n"/>
      <c r="I526" s="27" t="n"/>
      <c r="J526" s="35" t="n"/>
      <c r="K526" s="35" t="n"/>
      <c r="L526" s="35" t="n"/>
      <c r="M526" s="35" t="n"/>
      <c r="N526" s="35" t="n"/>
      <c r="O526" s="35" t="n"/>
      <c r="P526" s="35" t="n"/>
      <c r="Q526" s="35" t="n"/>
    </row>
    <row r="527" ht="14.25" customHeight="1" s="398">
      <c r="A527" s="35" t="n"/>
      <c r="B527" s="35" t="n"/>
      <c r="C527" s="35" t="n"/>
      <c r="D527" s="35" t="n"/>
      <c r="E527" s="35" t="n"/>
      <c r="F527" s="35" t="n"/>
      <c r="G527" s="35" t="n"/>
      <c r="H527" s="35" t="n"/>
      <c r="I527" s="27" t="n"/>
      <c r="J527" s="35" t="n"/>
      <c r="K527" s="35" t="n"/>
      <c r="L527" s="35" t="n"/>
      <c r="M527" s="35" t="n"/>
      <c r="N527" s="35" t="n"/>
      <c r="O527" s="35" t="n"/>
      <c r="P527" s="35" t="n"/>
      <c r="Q527" s="35" t="n"/>
    </row>
    <row r="528" ht="14.25" customHeight="1" s="398">
      <c r="A528" s="35" t="n"/>
      <c r="B528" s="35" t="n"/>
      <c r="C528" s="35" t="n"/>
      <c r="D528" s="35" t="n"/>
      <c r="E528" s="35" t="n"/>
      <c r="F528" s="35" t="n"/>
      <c r="G528" s="35" t="n"/>
      <c r="H528" s="35" t="n"/>
      <c r="I528" s="27" t="n"/>
      <c r="J528" s="35" t="n"/>
      <c r="K528" s="35" t="n"/>
      <c r="L528" s="35" t="n"/>
      <c r="M528" s="35" t="n"/>
      <c r="N528" s="35" t="n"/>
      <c r="O528" s="35" t="n"/>
      <c r="P528" s="35" t="n"/>
      <c r="Q528" s="35" t="n"/>
    </row>
    <row r="529" ht="14.25" customHeight="1" s="398">
      <c r="A529" s="35" t="n"/>
      <c r="B529" s="35" t="n"/>
      <c r="C529" s="35" t="n"/>
      <c r="D529" s="35" t="n"/>
      <c r="E529" s="35" t="n"/>
      <c r="F529" s="35" t="n"/>
      <c r="G529" s="35" t="n"/>
      <c r="H529" s="35" t="n"/>
      <c r="I529" s="27" t="n"/>
      <c r="J529" s="35" t="n"/>
      <c r="K529" s="35" t="n"/>
      <c r="L529" s="35" t="n"/>
      <c r="M529" s="35" t="n"/>
      <c r="N529" s="35" t="n"/>
      <c r="O529" s="35" t="n"/>
      <c r="P529" s="35" t="n"/>
      <c r="Q529" s="35" t="n"/>
    </row>
    <row r="530" ht="14.25" customHeight="1" s="398">
      <c r="A530" s="35" t="n"/>
      <c r="B530" s="35" t="n"/>
      <c r="C530" s="35" t="n"/>
      <c r="D530" s="35" t="n"/>
      <c r="E530" s="35" t="n"/>
      <c r="F530" s="35" t="n"/>
      <c r="G530" s="35" t="n"/>
      <c r="H530" s="35" t="n"/>
      <c r="I530" s="27" t="n"/>
      <c r="J530" s="35" t="n"/>
      <c r="K530" s="35" t="n"/>
      <c r="L530" s="35" t="n"/>
      <c r="M530" s="35" t="n"/>
      <c r="N530" s="35" t="n"/>
      <c r="O530" s="35" t="n"/>
      <c r="P530" s="35" t="n"/>
      <c r="Q530" s="35" t="n"/>
    </row>
    <row r="531" ht="14.25" customHeight="1" s="398">
      <c r="A531" s="35" t="n"/>
      <c r="B531" s="35" t="n"/>
      <c r="C531" s="35" t="n"/>
      <c r="D531" s="35" t="n"/>
      <c r="E531" s="35" t="n"/>
      <c r="F531" s="35" t="n"/>
      <c r="G531" s="35" t="n"/>
      <c r="H531" s="35" t="n"/>
      <c r="I531" s="27" t="n"/>
      <c r="J531" s="35" t="n"/>
      <c r="K531" s="35" t="n"/>
      <c r="L531" s="35" t="n"/>
      <c r="M531" s="35" t="n"/>
      <c r="N531" s="35" t="n"/>
      <c r="O531" s="35" t="n"/>
      <c r="P531" s="35" t="n"/>
      <c r="Q531" s="35" t="n"/>
    </row>
    <row r="532" ht="14.25" customHeight="1" s="398">
      <c r="A532" s="35" t="n"/>
      <c r="B532" s="35" t="n"/>
      <c r="C532" s="35" t="n"/>
      <c r="D532" s="35" t="n"/>
      <c r="E532" s="35" t="n"/>
      <c r="F532" s="35" t="n"/>
      <c r="G532" s="35" t="n"/>
      <c r="H532" s="35" t="n"/>
      <c r="I532" s="27" t="n"/>
      <c r="J532" s="35" t="n"/>
      <c r="K532" s="35" t="n"/>
      <c r="L532" s="35" t="n"/>
      <c r="M532" s="35" t="n"/>
      <c r="N532" s="35" t="n"/>
      <c r="O532" s="35" t="n"/>
      <c r="P532" s="35" t="n"/>
      <c r="Q532" s="35" t="n"/>
    </row>
    <row r="533" ht="14.25" customHeight="1" s="398">
      <c r="A533" s="35" t="n"/>
      <c r="B533" s="35" t="n"/>
      <c r="C533" s="35" t="n"/>
      <c r="D533" s="35" t="n"/>
      <c r="E533" s="35" t="n"/>
      <c r="F533" s="35" t="n"/>
      <c r="G533" s="35" t="n"/>
      <c r="H533" s="35" t="n"/>
      <c r="I533" s="27" t="n"/>
      <c r="J533" s="35" t="n"/>
      <c r="K533" s="35" t="n"/>
      <c r="L533" s="35" t="n"/>
      <c r="M533" s="35" t="n"/>
      <c r="N533" s="35" t="n"/>
      <c r="O533" s="35" t="n"/>
      <c r="P533" s="35" t="n"/>
      <c r="Q533" s="35" t="n"/>
    </row>
    <row r="534" ht="14.25" customHeight="1" s="398">
      <c r="A534" s="35" t="n"/>
      <c r="B534" s="35" t="n"/>
      <c r="C534" s="35" t="n"/>
      <c r="D534" s="35" t="n"/>
      <c r="E534" s="35" t="n"/>
      <c r="F534" s="35" t="n"/>
      <c r="G534" s="35" t="n"/>
      <c r="H534" s="35" t="n"/>
      <c r="I534" s="27" t="n"/>
      <c r="J534" s="35" t="n"/>
      <c r="K534" s="35" t="n"/>
      <c r="L534" s="35" t="n"/>
      <c r="M534" s="35" t="n"/>
      <c r="N534" s="35" t="n"/>
      <c r="O534" s="35" t="n"/>
      <c r="P534" s="35" t="n"/>
      <c r="Q534" s="35" t="n"/>
    </row>
    <row r="535" ht="14.25" customHeight="1" s="398">
      <c r="A535" s="35" t="n"/>
      <c r="B535" s="35" t="n"/>
      <c r="C535" s="35" t="n"/>
      <c r="D535" s="35" t="n"/>
      <c r="E535" s="35" t="n"/>
      <c r="F535" s="35" t="n"/>
      <c r="G535" s="35" t="n"/>
      <c r="H535" s="35" t="n"/>
      <c r="I535" s="27" t="n"/>
      <c r="J535" s="35" t="n"/>
      <c r="K535" s="35" t="n"/>
      <c r="L535" s="35" t="n"/>
      <c r="M535" s="35" t="n"/>
      <c r="N535" s="35" t="n"/>
      <c r="O535" s="35" t="n"/>
      <c r="P535" s="35" t="n"/>
      <c r="Q535" s="35" t="n"/>
    </row>
    <row r="536" ht="14.25" customHeight="1" s="398">
      <c r="A536" s="35" t="n"/>
      <c r="B536" s="35" t="n"/>
      <c r="C536" s="35" t="n"/>
      <c r="D536" s="35" t="n"/>
      <c r="E536" s="35" t="n"/>
      <c r="F536" s="35" t="n"/>
      <c r="G536" s="35" t="n"/>
      <c r="H536" s="35" t="n"/>
      <c r="I536" s="27" t="n"/>
      <c r="J536" s="35" t="n"/>
      <c r="K536" s="35" t="n"/>
      <c r="L536" s="35" t="n"/>
      <c r="M536" s="35" t="n"/>
      <c r="N536" s="35" t="n"/>
      <c r="O536" s="35" t="n"/>
      <c r="P536" s="35" t="n"/>
      <c r="Q536" s="35" t="n"/>
    </row>
    <row r="537" ht="14.25" customHeight="1" s="398">
      <c r="A537" s="35" t="n"/>
      <c r="B537" s="35" t="n"/>
      <c r="C537" s="35" t="n"/>
      <c r="D537" s="35" t="n"/>
      <c r="E537" s="35" t="n"/>
      <c r="F537" s="35" t="n"/>
      <c r="G537" s="35" t="n"/>
      <c r="H537" s="35" t="n"/>
      <c r="I537" s="27" t="n"/>
      <c r="J537" s="35" t="n"/>
      <c r="K537" s="35" t="n"/>
      <c r="L537" s="35" t="n"/>
      <c r="M537" s="35" t="n"/>
      <c r="N537" s="35" t="n"/>
      <c r="O537" s="35" t="n"/>
      <c r="P537" s="35" t="n"/>
      <c r="Q537" s="35" t="n"/>
    </row>
    <row r="538" ht="14.25" customHeight="1" s="398">
      <c r="A538" s="35" t="n"/>
      <c r="B538" s="35" t="n"/>
      <c r="C538" s="35" t="n"/>
      <c r="D538" s="35" t="n"/>
      <c r="E538" s="35" t="n"/>
      <c r="F538" s="35" t="n"/>
      <c r="G538" s="35" t="n"/>
      <c r="H538" s="35" t="n"/>
      <c r="I538" s="27" t="n"/>
      <c r="J538" s="35" t="n"/>
      <c r="K538" s="35" t="n"/>
      <c r="L538" s="35" t="n"/>
      <c r="M538" s="35" t="n"/>
      <c r="N538" s="35" t="n"/>
      <c r="O538" s="35" t="n"/>
      <c r="P538" s="35" t="n"/>
      <c r="Q538" s="35" t="n"/>
    </row>
    <row r="539" ht="14.25" customHeight="1" s="398">
      <c r="A539" s="35" t="n"/>
      <c r="B539" s="35" t="n"/>
      <c r="C539" s="35" t="n"/>
      <c r="D539" s="35" t="n"/>
      <c r="E539" s="35" t="n"/>
      <c r="F539" s="35" t="n"/>
      <c r="G539" s="35" t="n"/>
      <c r="H539" s="35" t="n"/>
      <c r="I539" s="27" t="n"/>
      <c r="J539" s="35" t="n"/>
      <c r="K539" s="35" t="n"/>
      <c r="L539" s="35" t="n"/>
      <c r="M539" s="35" t="n"/>
      <c r="N539" s="35" t="n"/>
      <c r="O539" s="35" t="n"/>
      <c r="P539" s="35" t="n"/>
      <c r="Q539" s="35" t="n"/>
    </row>
    <row r="540" ht="14.25" customHeight="1" s="398">
      <c r="A540" s="35" t="n"/>
      <c r="B540" s="35" t="n"/>
      <c r="C540" s="35" t="n"/>
      <c r="D540" s="35" t="n"/>
      <c r="E540" s="35" t="n"/>
      <c r="F540" s="35" t="n"/>
      <c r="G540" s="35" t="n"/>
      <c r="H540" s="35" t="n"/>
      <c r="I540" s="27" t="n"/>
      <c r="J540" s="35" t="n"/>
      <c r="K540" s="35" t="n"/>
      <c r="L540" s="35" t="n"/>
      <c r="M540" s="35" t="n"/>
      <c r="N540" s="35" t="n"/>
      <c r="O540" s="35" t="n"/>
      <c r="P540" s="35" t="n"/>
      <c r="Q540" s="35" t="n"/>
    </row>
    <row r="541" ht="14.25" customHeight="1" s="398">
      <c r="A541" s="35" t="n"/>
      <c r="B541" s="35" t="n"/>
      <c r="C541" s="35" t="n"/>
      <c r="D541" s="35" t="n"/>
      <c r="E541" s="35" t="n"/>
      <c r="F541" s="35" t="n"/>
      <c r="G541" s="35" t="n"/>
      <c r="H541" s="35" t="n"/>
      <c r="I541" s="27" t="n"/>
      <c r="J541" s="35" t="n"/>
      <c r="K541" s="35" t="n"/>
      <c r="L541" s="35" t="n"/>
      <c r="M541" s="35" t="n"/>
      <c r="N541" s="35" t="n"/>
      <c r="O541" s="35" t="n"/>
      <c r="P541" s="35" t="n"/>
      <c r="Q541" s="35" t="n"/>
    </row>
    <row r="542" ht="14.25" customHeight="1" s="398">
      <c r="A542" s="35" t="n"/>
      <c r="B542" s="35" t="n"/>
      <c r="C542" s="35" t="n"/>
      <c r="D542" s="35" t="n"/>
      <c r="E542" s="35" t="n"/>
      <c r="F542" s="35" t="n"/>
      <c r="G542" s="35" t="n"/>
      <c r="H542" s="35" t="n"/>
      <c r="I542" s="27" t="n"/>
      <c r="J542" s="35" t="n"/>
      <c r="K542" s="35" t="n"/>
      <c r="L542" s="35" t="n"/>
      <c r="M542" s="35" t="n"/>
      <c r="N542" s="35" t="n"/>
      <c r="O542" s="35" t="n"/>
      <c r="P542" s="35" t="n"/>
      <c r="Q542" s="35" t="n"/>
    </row>
    <row r="543" ht="14.25" customHeight="1" s="398">
      <c r="A543" s="35" t="n"/>
      <c r="B543" s="35" t="n"/>
      <c r="C543" s="35" t="n"/>
      <c r="D543" s="35" t="n"/>
      <c r="E543" s="35" t="n"/>
      <c r="F543" s="35" t="n"/>
      <c r="G543" s="35" t="n"/>
      <c r="H543" s="35" t="n"/>
      <c r="I543" s="27" t="n"/>
      <c r="J543" s="35" t="n"/>
      <c r="K543" s="35" t="n"/>
      <c r="L543" s="35" t="n"/>
      <c r="M543" s="35" t="n"/>
      <c r="N543" s="35" t="n"/>
      <c r="O543" s="35" t="n"/>
      <c r="P543" s="35" t="n"/>
      <c r="Q543" s="35" t="n"/>
    </row>
    <row r="544" ht="14.25" customHeight="1" s="398">
      <c r="A544" s="35" t="n"/>
      <c r="B544" s="35" t="n"/>
      <c r="C544" s="35" t="n"/>
      <c r="D544" s="35" t="n"/>
      <c r="E544" s="35" t="n"/>
      <c r="F544" s="35" t="n"/>
      <c r="G544" s="35" t="n"/>
      <c r="H544" s="35" t="n"/>
      <c r="I544" s="27" t="n"/>
      <c r="J544" s="35" t="n"/>
      <c r="K544" s="35" t="n"/>
      <c r="L544" s="35" t="n"/>
      <c r="M544" s="35" t="n"/>
      <c r="N544" s="35" t="n"/>
      <c r="O544" s="35" t="n"/>
      <c r="P544" s="35" t="n"/>
      <c r="Q544" s="35" t="n"/>
    </row>
    <row r="545" ht="14.25" customHeight="1" s="398">
      <c r="A545" s="35" t="n"/>
      <c r="B545" s="35" t="n"/>
      <c r="C545" s="35" t="n"/>
      <c r="D545" s="35" t="n"/>
      <c r="E545" s="35" t="n"/>
      <c r="F545" s="35" t="n"/>
      <c r="G545" s="35" t="n"/>
      <c r="H545" s="35" t="n"/>
      <c r="I545" s="27" t="n"/>
      <c r="J545" s="35" t="n"/>
      <c r="K545" s="35" t="n"/>
      <c r="L545" s="35" t="n"/>
      <c r="M545" s="35" t="n"/>
      <c r="N545" s="35" t="n"/>
      <c r="O545" s="35" t="n"/>
      <c r="P545" s="35" t="n"/>
      <c r="Q545" s="35" t="n"/>
    </row>
    <row r="546" ht="14.25" customHeight="1" s="398">
      <c r="A546" s="35" t="n"/>
      <c r="B546" s="35" t="n"/>
      <c r="C546" s="35" t="n"/>
      <c r="D546" s="35" t="n"/>
      <c r="E546" s="35" t="n"/>
      <c r="F546" s="35" t="n"/>
      <c r="G546" s="35" t="n"/>
      <c r="H546" s="35" t="n"/>
      <c r="I546" s="27" t="n"/>
      <c r="J546" s="35" t="n"/>
      <c r="K546" s="35" t="n"/>
      <c r="L546" s="35" t="n"/>
      <c r="M546" s="35" t="n"/>
      <c r="N546" s="35" t="n"/>
      <c r="O546" s="35" t="n"/>
      <c r="P546" s="35" t="n"/>
      <c r="Q546" s="35" t="n"/>
    </row>
    <row r="547" ht="14.25" customHeight="1" s="398">
      <c r="A547" s="35" t="n"/>
      <c r="B547" s="35" t="n"/>
      <c r="C547" s="35" t="n"/>
      <c r="D547" s="35" t="n"/>
      <c r="E547" s="35" t="n"/>
      <c r="F547" s="35" t="n"/>
      <c r="G547" s="35" t="n"/>
      <c r="H547" s="35" t="n"/>
      <c r="I547" s="27" t="n"/>
      <c r="J547" s="35" t="n"/>
      <c r="K547" s="35" t="n"/>
      <c r="L547" s="35" t="n"/>
      <c r="M547" s="35" t="n"/>
      <c r="N547" s="35" t="n"/>
      <c r="O547" s="35" t="n"/>
      <c r="P547" s="35" t="n"/>
      <c r="Q547" s="35" t="n"/>
    </row>
    <row r="548" ht="14.25" customHeight="1" s="398">
      <c r="A548" s="35" t="n"/>
      <c r="B548" s="35" t="n"/>
      <c r="C548" s="35" t="n"/>
      <c r="D548" s="35" t="n"/>
      <c r="E548" s="35" t="n"/>
      <c r="F548" s="35" t="n"/>
      <c r="G548" s="35" t="n"/>
      <c r="H548" s="35" t="n"/>
      <c r="I548" s="27" t="n"/>
      <c r="J548" s="35" t="n"/>
      <c r="K548" s="35" t="n"/>
      <c r="L548" s="35" t="n"/>
      <c r="M548" s="35" t="n"/>
      <c r="N548" s="35" t="n"/>
      <c r="O548" s="35" t="n"/>
      <c r="P548" s="35" t="n"/>
      <c r="Q548" s="35" t="n"/>
    </row>
    <row r="549" ht="14.25" customHeight="1" s="398">
      <c r="A549" s="35" t="n"/>
      <c r="B549" s="35" t="n"/>
      <c r="C549" s="35" t="n"/>
      <c r="D549" s="35" t="n"/>
      <c r="E549" s="35" t="n"/>
      <c r="F549" s="35" t="n"/>
      <c r="G549" s="35" t="n"/>
      <c r="H549" s="35" t="n"/>
      <c r="I549" s="27" t="n"/>
      <c r="J549" s="35" t="n"/>
      <c r="K549" s="35" t="n"/>
      <c r="L549" s="35" t="n"/>
      <c r="M549" s="35" t="n"/>
      <c r="N549" s="35" t="n"/>
      <c r="O549" s="35" t="n"/>
      <c r="P549" s="35" t="n"/>
      <c r="Q549" s="35" t="n"/>
    </row>
    <row r="550" ht="14.25" customHeight="1" s="398">
      <c r="A550" s="35" t="n"/>
      <c r="B550" s="35" t="n"/>
      <c r="C550" s="35" t="n"/>
      <c r="D550" s="35" t="n"/>
      <c r="E550" s="35" t="n"/>
      <c r="F550" s="35" t="n"/>
      <c r="G550" s="35" t="n"/>
      <c r="H550" s="35" t="n"/>
      <c r="I550" s="27" t="n"/>
      <c r="J550" s="35" t="n"/>
      <c r="K550" s="35" t="n"/>
      <c r="L550" s="35" t="n"/>
      <c r="M550" s="35" t="n"/>
      <c r="N550" s="35" t="n"/>
      <c r="O550" s="35" t="n"/>
      <c r="P550" s="35" t="n"/>
      <c r="Q550" s="35" t="n"/>
    </row>
    <row r="551" ht="14.25" customHeight="1" s="398">
      <c r="A551" s="35" t="n"/>
      <c r="B551" s="35" t="n"/>
      <c r="C551" s="35" t="n"/>
      <c r="D551" s="35" t="n"/>
      <c r="E551" s="35" t="n"/>
      <c r="F551" s="35" t="n"/>
      <c r="G551" s="35" t="n"/>
      <c r="H551" s="35" t="n"/>
      <c r="I551" s="27" t="n"/>
      <c r="J551" s="35" t="n"/>
      <c r="K551" s="35" t="n"/>
      <c r="L551" s="35" t="n"/>
      <c r="M551" s="35" t="n"/>
      <c r="N551" s="35" t="n"/>
      <c r="O551" s="35" t="n"/>
      <c r="P551" s="35" t="n"/>
      <c r="Q551" s="35" t="n"/>
    </row>
    <row r="552" ht="14.25" customHeight="1" s="398">
      <c r="A552" s="35" t="n"/>
      <c r="B552" s="35" t="n"/>
      <c r="C552" s="35" t="n"/>
      <c r="D552" s="35" t="n"/>
      <c r="E552" s="35" t="n"/>
      <c r="F552" s="35" t="n"/>
      <c r="G552" s="35" t="n"/>
      <c r="H552" s="35" t="n"/>
      <c r="I552" s="27" t="n"/>
      <c r="J552" s="35" t="n"/>
      <c r="K552" s="35" t="n"/>
      <c r="L552" s="35" t="n"/>
      <c r="M552" s="35" t="n"/>
      <c r="N552" s="35" t="n"/>
      <c r="O552" s="35" t="n"/>
      <c r="P552" s="35" t="n"/>
      <c r="Q552" s="35" t="n"/>
    </row>
    <row r="553" ht="14.25" customHeight="1" s="398">
      <c r="A553" s="35" t="n"/>
      <c r="B553" s="35" t="n"/>
      <c r="C553" s="35" t="n"/>
      <c r="D553" s="35" t="n"/>
      <c r="E553" s="35" t="n"/>
      <c r="F553" s="35" t="n"/>
      <c r="G553" s="35" t="n"/>
      <c r="H553" s="35" t="n"/>
      <c r="I553" s="27" t="n"/>
      <c r="J553" s="35" t="n"/>
      <c r="K553" s="35" t="n"/>
      <c r="L553" s="35" t="n"/>
      <c r="M553" s="35" t="n"/>
      <c r="N553" s="35" t="n"/>
      <c r="O553" s="35" t="n"/>
      <c r="P553" s="35" t="n"/>
      <c r="Q553" s="35" t="n"/>
    </row>
    <row r="554" ht="14.25" customHeight="1" s="398">
      <c r="A554" s="35" t="n"/>
      <c r="B554" s="35" t="n"/>
      <c r="C554" s="35" t="n"/>
      <c r="D554" s="35" t="n"/>
      <c r="E554" s="35" t="n"/>
      <c r="F554" s="35" t="n"/>
      <c r="G554" s="35" t="n"/>
      <c r="H554" s="35" t="n"/>
      <c r="I554" s="27" t="n"/>
      <c r="J554" s="35" t="n"/>
      <c r="K554" s="35" t="n"/>
      <c r="L554" s="35" t="n"/>
      <c r="M554" s="35" t="n"/>
      <c r="N554" s="35" t="n"/>
      <c r="O554" s="35" t="n"/>
      <c r="P554" s="35" t="n"/>
      <c r="Q554" s="35" t="n"/>
    </row>
    <row r="555" ht="14.25" customHeight="1" s="398">
      <c r="A555" s="35" t="n"/>
      <c r="B555" s="35" t="n"/>
      <c r="C555" s="35" t="n"/>
      <c r="D555" s="35" t="n"/>
      <c r="E555" s="35" t="n"/>
      <c r="F555" s="35" t="n"/>
      <c r="G555" s="35" t="n"/>
      <c r="H555" s="35" t="n"/>
      <c r="I555" s="27" t="n"/>
      <c r="J555" s="35" t="n"/>
      <c r="K555" s="35" t="n"/>
      <c r="L555" s="35" t="n"/>
      <c r="M555" s="35" t="n"/>
      <c r="N555" s="35" t="n"/>
      <c r="O555" s="35" t="n"/>
      <c r="P555" s="35" t="n"/>
      <c r="Q555" s="35" t="n"/>
    </row>
    <row r="556" ht="14.25" customHeight="1" s="398">
      <c r="A556" s="35" t="n"/>
      <c r="B556" s="35" t="n"/>
      <c r="C556" s="35" t="n"/>
      <c r="D556" s="35" t="n"/>
      <c r="E556" s="35" t="n"/>
      <c r="F556" s="35" t="n"/>
      <c r="G556" s="35" t="n"/>
      <c r="H556" s="35" t="n"/>
      <c r="I556" s="27" t="n"/>
      <c r="J556" s="35" t="n"/>
      <c r="K556" s="35" t="n"/>
      <c r="L556" s="35" t="n"/>
      <c r="M556" s="35" t="n"/>
      <c r="N556" s="35" t="n"/>
      <c r="O556" s="35" t="n"/>
      <c r="P556" s="35" t="n"/>
      <c r="Q556" s="35" t="n"/>
    </row>
    <row r="557" ht="14.25" customHeight="1" s="398">
      <c r="A557" s="35" t="n"/>
      <c r="B557" s="35" t="n"/>
      <c r="C557" s="35" t="n"/>
      <c r="D557" s="35" t="n"/>
      <c r="E557" s="35" t="n"/>
      <c r="F557" s="35" t="n"/>
      <c r="G557" s="35" t="n"/>
      <c r="H557" s="35" t="n"/>
      <c r="I557" s="27" t="n"/>
      <c r="J557" s="35" t="n"/>
      <c r="K557" s="35" t="n"/>
      <c r="L557" s="35" t="n"/>
      <c r="M557" s="35" t="n"/>
      <c r="N557" s="35" t="n"/>
      <c r="O557" s="35" t="n"/>
      <c r="P557" s="35" t="n"/>
      <c r="Q557" s="35" t="n"/>
    </row>
    <row r="558" ht="14.25" customHeight="1" s="398">
      <c r="A558" s="35" t="n"/>
      <c r="B558" s="35" t="n"/>
      <c r="C558" s="35" t="n"/>
      <c r="D558" s="35" t="n"/>
      <c r="E558" s="35" t="n"/>
      <c r="F558" s="35" t="n"/>
      <c r="G558" s="35" t="n"/>
      <c r="H558" s="35" t="n"/>
      <c r="I558" s="27" t="n"/>
      <c r="J558" s="35" t="n"/>
      <c r="K558" s="35" t="n"/>
      <c r="L558" s="35" t="n"/>
      <c r="M558" s="35" t="n"/>
      <c r="N558" s="35" t="n"/>
      <c r="O558" s="35" t="n"/>
      <c r="P558" s="35" t="n"/>
      <c r="Q558" s="35" t="n"/>
    </row>
    <row r="559" ht="14.25" customHeight="1" s="398">
      <c r="A559" s="35" t="n"/>
      <c r="B559" s="35" t="n"/>
      <c r="C559" s="35" t="n"/>
      <c r="D559" s="35" t="n"/>
      <c r="E559" s="35" t="n"/>
      <c r="F559" s="35" t="n"/>
      <c r="G559" s="35" t="n"/>
      <c r="H559" s="35" t="n"/>
      <c r="I559" s="27" t="n"/>
      <c r="J559" s="35" t="n"/>
      <c r="K559" s="35" t="n"/>
      <c r="L559" s="35" t="n"/>
      <c r="M559" s="35" t="n"/>
      <c r="N559" s="35" t="n"/>
      <c r="O559" s="35" t="n"/>
      <c r="P559" s="35" t="n"/>
      <c r="Q559" s="35" t="n"/>
    </row>
    <row r="560" ht="14.25" customHeight="1" s="398">
      <c r="A560" s="35" t="n"/>
      <c r="B560" s="35" t="n"/>
      <c r="C560" s="35" t="n"/>
      <c r="D560" s="35" t="n"/>
      <c r="E560" s="35" t="n"/>
      <c r="F560" s="35" t="n"/>
      <c r="G560" s="35" t="n"/>
      <c r="H560" s="35" t="n"/>
      <c r="I560" s="27" t="n"/>
      <c r="J560" s="35" t="n"/>
      <c r="K560" s="35" t="n"/>
      <c r="L560" s="35" t="n"/>
      <c r="M560" s="35" t="n"/>
      <c r="N560" s="35" t="n"/>
      <c r="O560" s="35" t="n"/>
      <c r="P560" s="35" t="n"/>
      <c r="Q560" s="35" t="n"/>
    </row>
    <row r="561" ht="14.25" customHeight="1" s="398">
      <c r="A561" s="35" t="n"/>
      <c r="B561" s="35" t="n"/>
      <c r="C561" s="35" t="n"/>
      <c r="D561" s="35" t="n"/>
      <c r="E561" s="35" t="n"/>
      <c r="F561" s="35" t="n"/>
      <c r="G561" s="35" t="n"/>
      <c r="H561" s="35" t="n"/>
      <c r="I561" s="27" t="n"/>
      <c r="J561" s="35" t="n"/>
      <c r="K561" s="35" t="n"/>
      <c r="L561" s="35" t="n"/>
      <c r="M561" s="35" t="n"/>
      <c r="N561" s="35" t="n"/>
      <c r="O561" s="35" t="n"/>
      <c r="P561" s="35" t="n"/>
      <c r="Q561" s="35" t="n"/>
    </row>
    <row r="562" ht="14.25" customHeight="1" s="398">
      <c r="A562" s="35" t="n"/>
      <c r="B562" s="35" t="n"/>
      <c r="C562" s="35" t="n"/>
      <c r="D562" s="35" t="n"/>
      <c r="E562" s="35" t="n"/>
      <c r="F562" s="35" t="n"/>
      <c r="G562" s="35" t="n"/>
      <c r="H562" s="35" t="n"/>
      <c r="I562" s="27" t="n"/>
      <c r="J562" s="35" t="n"/>
      <c r="K562" s="35" t="n"/>
      <c r="L562" s="35" t="n"/>
      <c r="M562" s="35" t="n"/>
      <c r="N562" s="35" t="n"/>
      <c r="O562" s="35" t="n"/>
      <c r="P562" s="35" t="n"/>
      <c r="Q562" s="35" t="n"/>
    </row>
    <row r="563" ht="14.25" customHeight="1" s="398">
      <c r="A563" s="35" t="n"/>
      <c r="B563" s="35" t="n"/>
      <c r="C563" s="35" t="n"/>
      <c r="D563" s="35" t="n"/>
      <c r="E563" s="35" t="n"/>
      <c r="F563" s="35" t="n"/>
      <c r="G563" s="35" t="n"/>
      <c r="H563" s="35" t="n"/>
      <c r="I563" s="27" t="n"/>
      <c r="J563" s="35" t="n"/>
      <c r="K563" s="35" t="n"/>
      <c r="L563" s="35" t="n"/>
      <c r="M563" s="35" t="n"/>
      <c r="N563" s="35" t="n"/>
      <c r="O563" s="35" t="n"/>
      <c r="P563" s="35" t="n"/>
      <c r="Q563" s="35" t="n"/>
    </row>
    <row r="564" ht="14.25" customHeight="1" s="398">
      <c r="A564" s="35" t="n"/>
      <c r="B564" s="35" t="n"/>
      <c r="C564" s="35" t="n"/>
      <c r="D564" s="35" t="n"/>
      <c r="E564" s="35" t="n"/>
      <c r="F564" s="35" t="n"/>
      <c r="G564" s="35" t="n"/>
      <c r="H564" s="35" t="n"/>
      <c r="I564" s="27" t="n"/>
      <c r="J564" s="35" t="n"/>
      <c r="K564" s="35" t="n"/>
      <c r="L564" s="35" t="n"/>
      <c r="M564" s="35" t="n"/>
      <c r="N564" s="35" t="n"/>
      <c r="O564" s="35" t="n"/>
      <c r="P564" s="35" t="n"/>
      <c r="Q564" s="35" t="n"/>
    </row>
    <row r="565" ht="14.25" customHeight="1" s="398">
      <c r="A565" s="35" t="n"/>
      <c r="B565" s="35" t="n"/>
      <c r="C565" s="35" t="n"/>
      <c r="D565" s="35" t="n"/>
      <c r="E565" s="35" t="n"/>
      <c r="F565" s="35" t="n"/>
      <c r="G565" s="35" t="n"/>
      <c r="H565" s="35" t="n"/>
      <c r="I565" s="27" t="n"/>
      <c r="J565" s="35" t="n"/>
      <c r="K565" s="35" t="n"/>
      <c r="L565" s="35" t="n"/>
      <c r="M565" s="35" t="n"/>
      <c r="N565" s="35" t="n"/>
      <c r="O565" s="35" t="n"/>
      <c r="P565" s="35" t="n"/>
      <c r="Q565" s="35" t="n"/>
    </row>
    <row r="566" ht="14.25" customHeight="1" s="398">
      <c r="A566" s="35" t="n"/>
      <c r="B566" s="35" t="n"/>
      <c r="C566" s="35" t="n"/>
      <c r="D566" s="35" t="n"/>
      <c r="E566" s="35" t="n"/>
      <c r="F566" s="35" t="n"/>
      <c r="G566" s="35" t="n"/>
      <c r="H566" s="35" t="n"/>
      <c r="I566" s="27" t="n"/>
      <c r="J566" s="35" t="n"/>
      <c r="K566" s="35" t="n"/>
      <c r="L566" s="35" t="n"/>
      <c r="M566" s="35" t="n"/>
      <c r="N566" s="35" t="n"/>
      <c r="O566" s="35" t="n"/>
      <c r="P566" s="35" t="n"/>
      <c r="Q566" s="35" t="n"/>
    </row>
    <row r="567" ht="14.25" customHeight="1" s="398">
      <c r="A567" s="35" t="n"/>
      <c r="B567" s="35" t="n"/>
      <c r="C567" s="35" t="n"/>
      <c r="D567" s="35" t="n"/>
      <c r="E567" s="35" t="n"/>
      <c r="F567" s="35" t="n"/>
      <c r="G567" s="35" t="n"/>
      <c r="H567" s="35" t="n"/>
      <c r="I567" s="27" t="n"/>
      <c r="J567" s="35" t="n"/>
      <c r="K567" s="35" t="n"/>
      <c r="L567" s="35" t="n"/>
      <c r="M567" s="35" t="n"/>
      <c r="N567" s="35" t="n"/>
      <c r="O567" s="35" t="n"/>
      <c r="P567" s="35" t="n"/>
      <c r="Q567" s="35" t="n"/>
    </row>
    <row r="568" ht="14.25" customHeight="1" s="398">
      <c r="A568" s="35" t="n"/>
      <c r="B568" s="35" t="n"/>
      <c r="C568" s="35" t="n"/>
      <c r="D568" s="35" t="n"/>
      <c r="E568" s="35" t="n"/>
      <c r="F568" s="35" t="n"/>
      <c r="G568" s="35" t="n"/>
      <c r="H568" s="35" t="n"/>
      <c r="I568" s="27" t="n"/>
      <c r="J568" s="35" t="n"/>
      <c r="K568" s="35" t="n"/>
      <c r="L568" s="35" t="n"/>
      <c r="M568" s="35" t="n"/>
      <c r="N568" s="35" t="n"/>
      <c r="O568" s="35" t="n"/>
      <c r="P568" s="35" t="n"/>
      <c r="Q568" s="35" t="n"/>
    </row>
    <row r="569" ht="14.25" customHeight="1" s="398">
      <c r="A569" s="35" t="n"/>
      <c r="B569" s="35" t="n"/>
      <c r="C569" s="35" t="n"/>
      <c r="D569" s="35" t="n"/>
      <c r="E569" s="35" t="n"/>
      <c r="F569" s="35" t="n"/>
      <c r="G569" s="35" t="n"/>
      <c r="H569" s="35" t="n"/>
      <c r="I569" s="27" t="n"/>
      <c r="J569" s="35" t="n"/>
      <c r="K569" s="35" t="n"/>
      <c r="L569" s="35" t="n"/>
      <c r="M569" s="35" t="n"/>
      <c r="N569" s="35" t="n"/>
      <c r="O569" s="35" t="n"/>
      <c r="P569" s="35" t="n"/>
      <c r="Q569" s="35" t="n"/>
    </row>
    <row r="570" ht="14.25" customHeight="1" s="398">
      <c r="A570" s="35" t="n"/>
      <c r="B570" s="35" t="n"/>
      <c r="C570" s="35" t="n"/>
      <c r="D570" s="35" t="n"/>
      <c r="E570" s="35" t="n"/>
      <c r="F570" s="35" t="n"/>
      <c r="G570" s="35" t="n"/>
      <c r="H570" s="35" t="n"/>
      <c r="I570" s="27" t="n"/>
      <c r="J570" s="35" t="n"/>
      <c r="K570" s="35" t="n"/>
      <c r="L570" s="35" t="n"/>
      <c r="M570" s="35" t="n"/>
      <c r="N570" s="35" t="n"/>
      <c r="O570" s="35" t="n"/>
      <c r="P570" s="35" t="n"/>
      <c r="Q570" s="35" t="n"/>
    </row>
    <row r="571" ht="14.25" customHeight="1" s="398">
      <c r="A571" s="35" t="n"/>
      <c r="B571" s="35" t="n"/>
      <c r="C571" s="35" t="n"/>
      <c r="D571" s="35" t="n"/>
      <c r="E571" s="35" t="n"/>
      <c r="F571" s="35" t="n"/>
      <c r="G571" s="35" t="n"/>
      <c r="H571" s="35" t="n"/>
      <c r="I571" s="27" t="n"/>
      <c r="J571" s="35" t="n"/>
      <c r="K571" s="35" t="n"/>
      <c r="L571" s="35" t="n"/>
      <c r="M571" s="35" t="n"/>
      <c r="N571" s="35" t="n"/>
      <c r="O571" s="35" t="n"/>
      <c r="P571" s="35" t="n"/>
      <c r="Q571" s="35" t="n"/>
    </row>
    <row r="572" ht="14.25" customHeight="1" s="398">
      <c r="A572" s="35" t="n"/>
      <c r="B572" s="35" t="n"/>
      <c r="C572" s="35" t="n"/>
      <c r="D572" s="35" t="n"/>
      <c r="E572" s="35" t="n"/>
      <c r="F572" s="35" t="n"/>
      <c r="G572" s="35" t="n"/>
      <c r="H572" s="35" t="n"/>
      <c r="I572" s="27" t="n"/>
      <c r="J572" s="35" t="n"/>
      <c r="K572" s="35" t="n"/>
      <c r="L572" s="35" t="n"/>
      <c r="M572" s="35" t="n"/>
      <c r="N572" s="35" t="n"/>
      <c r="O572" s="35" t="n"/>
      <c r="P572" s="35" t="n"/>
      <c r="Q572" s="35" t="n"/>
    </row>
    <row r="573" ht="14.25" customHeight="1" s="398">
      <c r="A573" s="35" t="n"/>
      <c r="B573" s="35" t="n"/>
      <c r="C573" s="35" t="n"/>
      <c r="D573" s="35" t="n"/>
      <c r="E573" s="35" t="n"/>
      <c r="F573" s="35" t="n"/>
      <c r="G573" s="35" t="n"/>
      <c r="H573" s="35" t="n"/>
      <c r="I573" s="27" t="n"/>
      <c r="J573" s="35" t="n"/>
      <c r="K573" s="35" t="n"/>
      <c r="L573" s="35" t="n"/>
      <c r="M573" s="35" t="n"/>
      <c r="N573" s="35" t="n"/>
      <c r="O573" s="35" t="n"/>
      <c r="P573" s="35" t="n"/>
      <c r="Q573" s="35" t="n"/>
    </row>
    <row r="574" ht="14.25" customHeight="1" s="398">
      <c r="A574" s="35" t="n"/>
      <c r="B574" s="35" t="n"/>
      <c r="C574" s="35" t="n"/>
      <c r="D574" s="35" t="n"/>
      <c r="E574" s="35" t="n"/>
      <c r="F574" s="35" t="n"/>
      <c r="G574" s="35" t="n"/>
      <c r="H574" s="35" t="n"/>
      <c r="I574" s="27" t="n"/>
      <c r="J574" s="35" t="n"/>
      <c r="K574" s="35" t="n"/>
      <c r="L574" s="35" t="n"/>
      <c r="M574" s="35" t="n"/>
      <c r="N574" s="35" t="n"/>
      <c r="O574" s="35" t="n"/>
      <c r="P574" s="35" t="n"/>
      <c r="Q574" s="35" t="n"/>
    </row>
    <row r="575" ht="14.25" customHeight="1" s="398">
      <c r="A575" s="35" t="n"/>
      <c r="B575" s="35" t="n"/>
      <c r="C575" s="35" t="n"/>
      <c r="D575" s="35" t="n"/>
      <c r="E575" s="35" t="n"/>
      <c r="F575" s="35" t="n"/>
      <c r="G575" s="35" t="n"/>
      <c r="H575" s="35" t="n"/>
      <c r="I575" s="27" t="n"/>
      <c r="J575" s="35" t="n"/>
      <c r="K575" s="35" t="n"/>
      <c r="L575" s="35" t="n"/>
      <c r="M575" s="35" t="n"/>
      <c r="N575" s="35" t="n"/>
      <c r="O575" s="35" t="n"/>
      <c r="P575" s="35" t="n"/>
      <c r="Q575" s="35" t="n"/>
    </row>
    <row r="576" ht="14.25" customHeight="1" s="398">
      <c r="A576" s="35" t="n"/>
      <c r="B576" s="35" t="n"/>
      <c r="C576" s="35" t="n"/>
      <c r="D576" s="35" t="n"/>
      <c r="E576" s="35" t="n"/>
      <c r="F576" s="35" t="n"/>
      <c r="G576" s="35" t="n"/>
      <c r="H576" s="35" t="n"/>
      <c r="I576" s="27" t="n"/>
      <c r="J576" s="35" t="n"/>
      <c r="K576" s="35" t="n"/>
      <c r="L576" s="35" t="n"/>
      <c r="M576" s="35" t="n"/>
      <c r="N576" s="35" t="n"/>
      <c r="O576" s="35" t="n"/>
      <c r="P576" s="35" t="n"/>
      <c r="Q576" s="35" t="n"/>
    </row>
    <row r="577" ht="14.25" customHeight="1" s="398">
      <c r="A577" s="35" t="n"/>
      <c r="B577" s="35" t="n"/>
      <c r="C577" s="35" t="n"/>
      <c r="D577" s="35" t="n"/>
      <c r="E577" s="35" t="n"/>
      <c r="F577" s="35" t="n"/>
      <c r="G577" s="35" t="n"/>
      <c r="H577" s="35" t="n"/>
      <c r="I577" s="27" t="n"/>
      <c r="J577" s="35" t="n"/>
      <c r="K577" s="35" t="n"/>
      <c r="L577" s="35" t="n"/>
      <c r="M577" s="35" t="n"/>
      <c r="N577" s="35" t="n"/>
      <c r="O577" s="35" t="n"/>
      <c r="P577" s="35" t="n"/>
      <c r="Q577" s="35" t="n"/>
    </row>
    <row r="578" ht="14.25" customHeight="1" s="398">
      <c r="A578" s="35" t="n"/>
      <c r="B578" s="35" t="n"/>
      <c r="C578" s="35" t="n"/>
      <c r="D578" s="35" t="n"/>
      <c r="E578" s="35" t="n"/>
      <c r="F578" s="35" t="n"/>
      <c r="G578" s="35" t="n"/>
      <c r="H578" s="35" t="n"/>
      <c r="I578" s="27" t="n"/>
      <c r="J578" s="35" t="n"/>
      <c r="K578" s="35" t="n"/>
      <c r="L578" s="35" t="n"/>
      <c r="M578" s="35" t="n"/>
      <c r="N578" s="35" t="n"/>
      <c r="O578" s="35" t="n"/>
      <c r="P578" s="35" t="n"/>
      <c r="Q578" s="35" t="n"/>
    </row>
    <row r="579" ht="14.25" customHeight="1" s="398">
      <c r="A579" s="35" t="n"/>
      <c r="B579" s="35" t="n"/>
      <c r="C579" s="35" t="n"/>
      <c r="D579" s="35" t="n"/>
      <c r="E579" s="35" t="n"/>
      <c r="F579" s="35" t="n"/>
      <c r="G579" s="35" t="n"/>
      <c r="H579" s="35" t="n"/>
      <c r="I579" s="27" t="n"/>
      <c r="J579" s="35" t="n"/>
      <c r="K579" s="35" t="n"/>
      <c r="L579" s="35" t="n"/>
      <c r="M579" s="35" t="n"/>
      <c r="N579" s="35" t="n"/>
      <c r="O579" s="35" t="n"/>
      <c r="P579" s="35" t="n"/>
      <c r="Q579" s="35" t="n"/>
    </row>
    <row r="580" ht="14.25" customHeight="1" s="398">
      <c r="A580" s="35" t="n"/>
      <c r="B580" s="35" t="n"/>
      <c r="C580" s="35" t="n"/>
      <c r="D580" s="35" t="n"/>
      <c r="E580" s="35" t="n"/>
      <c r="F580" s="35" t="n"/>
      <c r="G580" s="35" t="n"/>
      <c r="H580" s="35" t="n"/>
      <c r="I580" s="27" t="n"/>
      <c r="J580" s="35" t="n"/>
      <c r="K580" s="35" t="n"/>
      <c r="L580" s="35" t="n"/>
      <c r="M580" s="35" t="n"/>
      <c r="N580" s="35" t="n"/>
      <c r="O580" s="35" t="n"/>
      <c r="P580" s="35" t="n"/>
      <c r="Q580" s="35" t="n"/>
    </row>
    <row r="581" ht="14.25" customHeight="1" s="398">
      <c r="A581" s="35" t="n"/>
      <c r="B581" s="35" t="n"/>
      <c r="C581" s="35" t="n"/>
      <c r="D581" s="35" t="n"/>
      <c r="E581" s="35" t="n"/>
      <c r="F581" s="35" t="n"/>
      <c r="G581" s="35" t="n"/>
      <c r="H581" s="35" t="n"/>
      <c r="I581" s="27" t="n"/>
      <c r="J581" s="35" t="n"/>
      <c r="K581" s="35" t="n"/>
      <c r="L581" s="35" t="n"/>
      <c r="M581" s="35" t="n"/>
      <c r="N581" s="35" t="n"/>
      <c r="O581" s="35" t="n"/>
      <c r="P581" s="35" t="n"/>
      <c r="Q581" s="35" t="n"/>
    </row>
    <row r="582" ht="14.25" customHeight="1" s="398">
      <c r="A582" s="35" t="n"/>
      <c r="B582" s="35" t="n"/>
      <c r="C582" s="35" t="n"/>
      <c r="D582" s="35" t="n"/>
      <c r="E582" s="35" t="n"/>
      <c r="F582" s="35" t="n"/>
      <c r="G582" s="35" t="n"/>
      <c r="H582" s="35" t="n"/>
      <c r="I582" s="27" t="n"/>
      <c r="J582" s="35" t="n"/>
      <c r="K582" s="35" t="n"/>
      <c r="L582" s="35" t="n"/>
      <c r="M582" s="35" t="n"/>
      <c r="N582" s="35" t="n"/>
      <c r="O582" s="35" t="n"/>
      <c r="P582" s="35" t="n"/>
      <c r="Q582" s="35" t="n"/>
    </row>
    <row r="583" ht="14.25" customHeight="1" s="398">
      <c r="A583" s="35" t="n"/>
      <c r="B583" s="35" t="n"/>
      <c r="C583" s="35" t="n"/>
      <c r="D583" s="35" t="n"/>
      <c r="E583" s="35" t="n"/>
      <c r="F583" s="35" t="n"/>
      <c r="G583" s="35" t="n"/>
      <c r="H583" s="35" t="n"/>
      <c r="I583" s="27" t="n"/>
      <c r="J583" s="35" t="n"/>
      <c r="K583" s="35" t="n"/>
      <c r="L583" s="35" t="n"/>
      <c r="M583" s="35" t="n"/>
      <c r="N583" s="35" t="n"/>
      <c r="O583" s="35" t="n"/>
      <c r="P583" s="35" t="n"/>
      <c r="Q583" s="35" t="n"/>
    </row>
    <row r="584" ht="14.25" customHeight="1" s="398">
      <c r="A584" s="35" t="n"/>
      <c r="B584" s="35" t="n"/>
      <c r="C584" s="35" t="n"/>
      <c r="D584" s="35" t="n"/>
      <c r="E584" s="35" t="n"/>
      <c r="F584" s="35" t="n"/>
      <c r="G584" s="35" t="n"/>
      <c r="H584" s="35" t="n"/>
      <c r="I584" s="27" t="n"/>
      <c r="J584" s="35" t="n"/>
      <c r="K584" s="35" t="n"/>
      <c r="L584" s="35" t="n"/>
      <c r="M584" s="35" t="n"/>
      <c r="N584" s="35" t="n"/>
      <c r="O584" s="35" t="n"/>
      <c r="P584" s="35" t="n"/>
      <c r="Q584" s="35" t="n"/>
    </row>
    <row r="585" ht="14.25" customHeight="1" s="398">
      <c r="A585" s="35" t="n"/>
      <c r="B585" s="35" t="n"/>
      <c r="C585" s="35" t="n"/>
      <c r="D585" s="35" t="n"/>
      <c r="E585" s="35" t="n"/>
      <c r="F585" s="35" t="n"/>
      <c r="G585" s="35" t="n"/>
      <c r="H585" s="35" t="n"/>
      <c r="I585" s="27" t="n"/>
      <c r="J585" s="35" t="n"/>
      <c r="K585" s="35" t="n"/>
      <c r="L585" s="35" t="n"/>
      <c r="M585" s="35" t="n"/>
      <c r="N585" s="35" t="n"/>
      <c r="O585" s="35" t="n"/>
      <c r="P585" s="35" t="n"/>
      <c r="Q585" s="35" t="n"/>
    </row>
    <row r="586" ht="14.25" customHeight="1" s="398">
      <c r="A586" s="35" t="n"/>
      <c r="B586" s="35" t="n"/>
      <c r="C586" s="35" t="n"/>
      <c r="D586" s="35" t="n"/>
      <c r="E586" s="35" t="n"/>
      <c r="F586" s="35" t="n"/>
      <c r="G586" s="35" t="n"/>
      <c r="H586" s="35" t="n"/>
      <c r="I586" s="27" t="n"/>
      <c r="J586" s="35" t="n"/>
      <c r="K586" s="35" t="n"/>
      <c r="L586" s="35" t="n"/>
      <c r="M586" s="35" t="n"/>
      <c r="N586" s="35" t="n"/>
      <c r="O586" s="35" t="n"/>
      <c r="P586" s="35" t="n"/>
      <c r="Q586" s="35" t="n"/>
    </row>
    <row r="587" ht="14.25" customHeight="1" s="398">
      <c r="A587" s="35" t="n"/>
      <c r="B587" s="35" t="n"/>
      <c r="C587" s="35" t="n"/>
      <c r="D587" s="35" t="n"/>
      <c r="E587" s="35" t="n"/>
      <c r="F587" s="35" t="n"/>
      <c r="G587" s="35" t="n"/>
      <c r="H587" s="35" t="n"/>
      <c r="I587" s="27" t="n"/>
      <c r="J587" s="35" t="n"/>
      <c r="K587" s="35" t="n"/>
      <c r="L587" s="35" t="n"/>
      <c r="M587" s="35" t="n"/>
      <c r="N587" s="35" t="n"/>
      <c r="O587" s="35" t="n"/>
      <c r="P587" s="35" t="n"/>
      <c r="Q587" s="35" t="n"/>
    </row>
    <row r="588" ht="14.25" customHeight="1" s="398">
      <c r="A588" s="35" t="n"/>
      <c r="B588" s="35" t="n"/>
      <c r="C588" s="35" t="n"/>
      <c r="D588" s="35" t="n"/>
      <c r="E588" s="35" t="n"/>
      <c r="F588" s="35" t="n"/>
      <c r="G588" s="35" t="n"/>
      <c r="H588" s="35" t="n"/>
      <c r="I588" s="27" t="n"/>
      <c r="J588" s="35" t="n"/>
      <c r="K588" s="35" t="n"/>
      <c r="L588" s="35" t="n"/>
      <c r="M588" s="35" t="n"/>
      <c r="N588" s="35" t="n"/>
      <c r="O588" s="35" t="n"/>
      <c r="P588" s="35" t="n"/>
      <c r="Q588" s="35" t="n"/>
    </row>
    <row r="589" ht="14.25" customHeight="1" s="398">
      <c r="A589" s="35" t="n"/>
      <c r="B589" s="35" t="n"/>
      <c r="C589" s="35" t="n"/>
      <c r="D589" s="35" t="n"/>
      <c r="E589" s="35" t="n"/>
      <c r="F589" s="35" t="n"/>
      <c r="G589" s="35" t="n"/>
      <c r="H589" s="35" t="n"/>
      <c r="I589" s="27" t="n"/>
      <c r="J589" s="35" t="n"/>
      <c r="K589" s="35" t="n"/>
      <c r="L589" s="35" t="n"/>
      <c r="M589" s="35" t="n"/>
      <c r="N589" s="35" t="n"/>
      <c r="O589" s="35" t="n"/>
      <c r="P589" s="35" t="n"/>
      <c r="Q589" s="35" t="n"/>
    </row>
    <row r="590" ht="14.25" customHeight="1" s="398">
      <c r="A590" s="35" t="n"/>
      <c r="B590" s="35" t="n"/>
      <c r="C590" s="35" t="n"/>
      <c r="D590" s="35" t="n"/>
      <c r="E590" s="35" t="n"/>
      <c r="F590" s="35" t="n"/>
      <c r="G590" s="35" t="n"/>
      <c r="H590" s="35" t="n"/>
      <c r="I590" s="27" t="n"/>
      <c r="J590" s="35" t="n"/>
      <c r="K590" s="35" t="n"/>
      <c r="L590" s="35" t="n"/>
      <c r="M590" s="35" t="n"/>
      <c r="N590" s="35" t="n"/>
      <c r="O590" s="35" t="n"/>
      <c r="P590" s="35" t="n"/>
      <c r="Q590" s="35" t="n"/>
    </row>
    <row r="591" ht="14.25" customHeight="1" s="398">
      <c r="A591" s="35" t="n"/>
      <c r="B591" s="35" t="n"/>
      <c r="C591" s="35" t="n"/>
      <c r="D591" s="35" t="n"/>
      <c r="E591" s="35" t="n"/>
      <c r="F591" s="35" t="n"/>
      <c r="G591" s="35" t="n"/>
      <c r="H591" s="35" t="n"/>
      <c r="I591" s="27" t="n"/>
      <c r="J591" s="35" t="n"/>
      <c r="K591" s="35" t="n"/>
      <c r="L591" s="35" t="n"/>
      <c r="M591" s="35" t="n"/>
      <c r="N591" s="35" t="n"/>
      <c r="O591" s="35" t="n"/>
      <c r="P591" s="35" t="n"/>
      <c r="Q591" s="35" t="n"/>
    </row>
    <row r="592" ht="14.25" customHeight="1" s="398">
      <c r="A592" s="35" t="n"/>
      <c r="B592" s="35" t="n"/>
      <c r="C592" s="35" t="n"/>
      <c r="D592" s="35" t="n"/>
      <c r="E592" s="35" t="n"/>
      <c r="F592" s="35" t="n"/>
      <c r="G592" s="35" t="n"/>
      <c r="H592" s="35" t="n"/>
      <c r="I592" s="27" t="n"/>
      <c r="J592" s="35" t="n"/>
      <c r="K592" s="35" t="n"/>
      <c r="L592" s="35" t="n"/>
      <c r="M592" s="35" t="n"/>
      <c r="N592" s="35" t="n"/>
      <c r="O592" s="35" t="n"/>
      <c r="P592" s="35" t="n"/>
      <c r="Q592" s="35" t="n"/>
    </row>
    <row r="593" ht="14.25" customHeight="1" s="398">
      <c r="A593" s="35" t="n"/>
      <c r="B593" s="35" t="n"/>
      <c r="C593" s="35" t="n"/>
      <c r="D593" s="35" t="n"/>
      <c r="E593" s="35" t="n"/>
      <c r="F593" s="35" t="n"/>
      <c r="G593" s="35" t="n"/>
      <c r="H593" s="35" t="n"/>
      <c r="I593" s="27" t="n"/>
      <c r="J593" s="35" t="n"/>
      <c r="K593" s="35" t="n"/>
      <c r="L593" s="35" t="n"/>
      <c r="M593" s="35" t="n"/>
      <c r="N593" s="35" t="n"/>
      <c r="O593" s="35" t="n"/>
      <c r="P593" s="35" t="n"/>
      <c r="Q593" s="35" t="n"/>
    </row>
    <row r="594" ht="14.25" customHeight="1" s="398">
      <c r="A594" s="35" t="n"/>
      <c r="B594" s="35" t="n"/>
      <c r="C594" s="35" t="n"/>
      <c r="D594" s="35" t="n"/>
      <c r="E594" s="35" t="n"/>
      <c r="F594" s="35" t="n"/>
      <c r="G594" s="35" t="n"/>
      <c r="H594" s="35" t="n"/>
      <c r="I594" s="27" t="n"/>
      <c r="J594" s="35" t="n"/>
      <c r="K594" s="35" t="n"/>
      <c r="L594" s="35" t="n"/>
      <c r="M594" s="35" t="n"/>
      <c r="N594" s="35" t="n"/>
      <c r="O594" s="35" t="n"/>
      <c r="P594" s="35" t="n"/>
      <c r="Q594" s="35" t="n"/>
    </row>
    <row r="595" ht="14.25" customHeight="1" s="398">
      <c r="A595" s="35" t="n"/>
      <c r="B595" s="35" t="n"/>
      <c r="C595" s="35" t="n"/>
      <c r="D595" s="35" t="n"/>
      <c r="E595" s="35" t="n"/>
      <c r="F595" s="35" t="n"/>
      <c r="G595" s="35" t="n"/>
      <c r="H595" s="35" t="n"/>
      <c r="I595" s="27" t="n"/>
      <c r="J595" s="35" t="n"/>
      <c r="K595" s="35" t="n"/>
      <c r="L595" s="35" t="n"/>
      <c r="M595" s="35" t="n"/>
      <c r="N595" s="35" t="n"/>
      <c r="O595" s="35" t="n"/>
      <c r="P595" s="35" t="n"/>
      <c r="Q595" s="35" t="n"/>
    </row>
    <row r="596" ht="14.25" customHeight="1" s="398">
      <c r="A596" s="35" t="n"/>
      <c r="B596" s="35" t="n"/>
      <c r="C596" s="35" t="n"/>
      <c r="D596" s="35" t="n"/>
      <c r="E596" s="35" t="n"/>
      <c r="F596" s="35" t="n"/>
      <c r="G596" s="35" t="n"/>
      <c r="H596" s="35" t="n"/>
      <c r="I596" s="27" t="n"/>
      <c r="J596" s="35" t="n"/>
      <c r="K596" s="35" t="n"/>
      <c r="L596" s="35" t="n"/>
      <c r="M596" s="35" t="n"/>
      <c r="N596" s="35" t="n"/>
      <c r="O596" s="35" t="n"/>
      <c r="P596" s="35" t="n"/>
      <c r="Q596" s="35" t="n"/>
    </row>
    <row r="597" ht="14.25" customHeight="1" s="398">
      <c r="A597" s="35" t="n"/>
      <c r="B597" s="35" t="n"/>
      <c r="C597" s="35" t="n"/>
      <c r="D597" s="35" t="n"/>
      <c r="E597" s="35" t="n"/>
      <c r="F597" s="35" t="n"/>
      <c r="G597" s="35" t="n"/>
      <c r="H597" s="35" t="n"/>
      <c r="I597" s="27" t="n"/>
      <c r="J597" s="35" t="n"/>
      <c r="K597" s="35" t="n"/>
      <c r="L597" s="35" t="n"/>
      <c r="M597" s="35" t="n"/>
      <c r="N597" s="35" t="n"/>
      <c r="O597" s="35" t="n"/>
      <c r="P597" s="35" t="n"/>
      <c r="Q597" s="35" t="n"/>
    </row>
    <row r="598" ht="14.25" customHeight="1" s="398">
      <c r="A598" s="35" t="n"/>
      <c r="B598" s="35" t="n"/>
      <c r="C598" s="35" t="n"/>
      <c r="D598" s="35" t="n"/>
      <c r="E598" s="35" t="n"/>
      <c r="F598" s="35" t="n"/>
      <c r="G598" s="35" t="n"/>
      <c r="H598" s="35" t="n"/>
      <c r="I598" s="27" t="n"/>
      <c r="J598" s="35" t="n"/>
      <c r="K598" s="35" t="n"/>
      <c r="L598" s="35" t="n"/>
      <c r="M598" s="35" t="n"/>
      <c r="N598" s="35" t="n"/>
      <c r="O598" s="35" t="n"/>
      <c r="P598" s="35" t="n"/>
      <c r="Q598" s="35" t="n"/>
    </row>
    <row r="599" ht="14.25" customHeight="1" s="398">
      <c r="A599" s="35" t="n"/>
      <c r="B599" s="35" t="n"/>
      <c r="C599" s="35" t="n"/>
      <c r="D599" s="35" t="n"/>
      <c r="E599" s="35" t="n"/>
      <c r="F599" s="35" t="n"/>
      <c r="G599" s="35" t="n"/>
      <c r="H599" s="35" t="n"/>
      <c r="I599" s="27" t="n"/>
      <c r="J599" s="35" t="n"/>
      <c r="K599" s="35" t="n"/>
      <c r="L599" s="35" t="n"/>
      <c r="M599" s="35" t="n"/>
      <c r="N599" s="35" t="n"/>
      <c r="O599" s="35" t="n"/>
      <c r="P599" s="35" t="n"/>
      <c r="Q599" s="35" t="n"/>
    </row>
    <row r="600" ht="14.25" customHeight="1" s="398">
      <c r="A600" s="35" t="n"/>
      <c r="B600" s="35" t="n"/>
      <c r="C600" s="35" t="n"/>
      <c r="D600" s="35" t="n"/>
      <c r="E600" s="35" t="n"/>
      <c r="F600" s="35" t="n"/>
      <c r="G600" s="35" t="n"/>
      <c r="H600" s="35" t="n"/>
      <c r="I600" s="27" t="n"/>
      <c r="J600" s="35" t="n"/>
      <c r="K600" s="35" t="n"/>
      <c r="L600" s="35" t="n"/>
      <c r="M600" s="35" t="n"/>
      <c r="N600" s="35" t="n"/>
      <c r="O600" s="35" t="n"/>
      <c r="P600" s="35" t="n"/>
      <c r="Q600" s="35" t="n"/>
    </row>
    <row r="601" ht="14.25" customHeight="1" s="398">
      <c r="A601" s="35" t="n"/>
      <c r="B601" s="35" t="n"/>
      <c r="C601" s="35" t="n"/>
      <c r="D601" s="35" t="n"/>
      <c r="E601" s="35" t="n"/>
      <c r="F601" s="35" t="n"/>
      <c r="G601" s="35" t="n"/>
      <c r="H601" s="35" t="n"/>
      <c r="I601" s="27" t="n"/>
      <c r="J601" s="35" t="n"/>
      <c r="K601" s="35" t="n"/>
      <c r="L601" s="35" t="n"/>
      <c r="M601" s="35" t="n"/>
      <c r="N601" s="35" t="n"/>
      <c r="O601" s="35" t="n"/>
      <c r="P601" s="35" t="n"/>
      <c r="Q601" s="35" t="n"/>
    </row>
    <row r="602" ht="14.25" customHeight="1" s="398">
      <c r="A602" s="35" t="n"/>
      <c r="B602" s="35" t="n"/>
      <c r="C602" s="35" t="n"/>
      <c r="D602" s="35" t="n"/>
      <c r="E602" s="35" t="n"/>
      <c r="F602" s="35" t="n"/>
      <c r="G602" s="35" t="n"/>
      <c r="H602" s="35" t="n"/>
      <c r="I602" s="27" t="n"/>
      <c r="J602" s="35" t="n"/>
      <c r="K602" s="35" t="n"/>
      <c r="L602" s="35" t="n"/>
      <c r="M602" s="35" t="n"/>
      <c r="N602" s="35" t="n"/>
      <c r="O602" s="35" t="n"/>
      <c r="P602" s="35" t="n"/>
      <c r="Q602" s="35" t="n"/>
    </row>
    <row r="603" ht="14.25" customHeight="1" s="398">
      <c r="A603" s="35" t="n"/>
      <c r="B603" s="35" t="n"/>
      <c r="C603" s="35" t="n"/>
      <c r="D603" s="35" t="n"/>
      <c r="E603" s="35" t="n"/>
      <c r="F603" s="35" t="n"/>
      <c r="G603" s="35" t="n"/>
      <c r="H603" s="35" t="n"/>
      <c r="I603" s="27" t="n"/>
      <c r="J603" s="35" t="n"/>
      <c r="K603" s="35" t="n"/>
      <c r="L603" s="35" t="n"/>
      <c r="M603" s="35" t="n"/>
      <c r="N603" s="35" t="n"/>
      <c r="O603" s="35" t="n"/>
      <c r="P603" s="35" t="n"/>
      <c r="Q603" s="35" t="n"/>
    </row>
    <row r="604" ht="14.25" customHeight="1" s="398">
      <c r="A604" s="35" t="n"/>
      <c r="B604" s="35" t="n"/>
      <c r="C604" s="35" t="n"/>
      <c r="D604" s="35" t="n"/>
      <c r="E604" s="35" t="n"/>
      <c r="F604" s="35" t="n"/>
      <c r="G604" s="35" t="n"/>
      <c r="H604" s="35" t="n"/>
      <c r="I604" s="27" t="n"/>
      <c r="J604" s="35" t="n"/>
      <c r="K604" s="35" t="n"/>
      <c r="L604" s="35" t="n"/>
      <c r="M604" s="35" t="n"/>
      <c r="N604" s="35" t="n"/>
      <c r="O604" s="35" t="n"/>
      <c r="P604" s="35" t="n"/>
      <c r="Q604" s="35" t="n"/>
    </row>
    <row r="605" ht="14.25" customHeight="1" s="398">
      <c r="A605" s="35" t="n"/>
      <c r="B605" s="35" t="n"/>
      <c r="C605" s="35" t="n"/>
      <c r="D605" s="35" t="n"/>
      <c r="E605" s="35" t="n"/>
      <c r="F605" s="35" t="n"/>
      <c r="G605" s="35" t="n"/>
      <c r="H605" s="35" t="n"/>
      <c r="I605" s="27" t="n"/>
      <c r="J605" s="35" t="n"/>
      <c r="K605" s="35" t="n"/>
      <c r="L605" s="35" t="n"/>
      <c r="M605" s="35" t="n"/>
      <c r="N605" s="35" t="n"/>
      <c r="O605" s="35" t="n"/>
      <c r="P605" s="35" t="n"/>
      <c r="Q605" s="35" t="n"/>
    </row>
    <row r="606" ht="14.25" customHeight="1" s="398">
      <c r="A606" s="35" t="n"/>
      <c r="B606" s="35" t="n"/>
      <c r="C606" s="35" t="n"/>
      <c r="D606" s="35" t="n"/>
      <c r="E606" s="35" t="n"/>
      <c r="F606" s="35" t="n"/>
      <c r="G606" s="35" t="n"/>
      <c r="H606" s="35" t="n"/>
      <c r="I606" s="27" t="n"/>
      <c r="J606" s="35" t="n"/>
      <c r="K606" s="35" t="n"/>
      <c r="L606" s="35" t="n"/>
      <c r="M606" s="35" t="n"/>
      <c r="N606" s="35" t="n"/>
      <c r="O606" s="35" t="n"/>
      <c r="P606" s="35" t="n"/>
      <c r="Q606" s="35" t="n"/>
    </row>
    <row r="607" ht="14.25" customHeight="1" s="398">
      <c r="A607" s="35" t="n"/>
      <c r="B607" s="35" t="n"/>
      <c r="C607" s="35" t="n"/>
      <c r="D607" s="35" t="n"/>
      <c r="E607" s="35" t="n"/>
      <c r="F607" s="35" t="n"/>
      <c r="G607" s="35" t="n"/>
      <c r="H607" s="35" t="n"/>
      <c r="I607" s="27" t="n"/>
      <c r="J607" s="35" t="n"/>
      <c r="K607" s="35" t="n"/>
      <c r="L607" s="35" t="n"/>
      <c r="M607" s="35" t="n"/>
      <c r="N607" s="35" t="n"/>
      <c r="O607" s="35" t="n"/>
      <c r="P607" s="35" t="n"/>
      <c r="Q607" s="35" t="n"/>
    </row>
    <row r="608" ht="14.25" customHeight="1" s="398">
      <c r="A608" s="35" t="n"/>
      <c r="B608" s="35" t="n"/>
      <c r="C608" s="35" t="n"/>
      <c r="D608" s="35" t="n"/>
      <c r="E608" s="35" t="n"/>
      <c r="F608" s="35" t="n"/>
      <c r="G608" s="35" t="n"/>
      <c r="H608" s="35" t="n"/>
      <c r="I608" s="27" t="n"/>
      <c r="J608" s="35" t="n"/>
      <c r="K608" s="35" t="n"/>
      <c r="L608" s="35" t="n"/>
      <c r="M608" s="35" t="n"/>
      <c r="N608" s="35" t="n"/>
      <c r="O608" s="35" t="n"/>
      <c r="P608" s="35" t="n"/>
      <c r="Q608" s="35" t="n"/>
    </row>
    <row r="609" ht="14.25" customHeight="1" s="398">
      <c r="A609" s="35" t="n"/>
      <c r="B609" s="35" t="n"/>
      <c r="C609" s="35" t="n"/>
      <c r="D609" s="35" t="n"/>
      <c r="E609" s="35" t="n"/>
      <c r="F609" s="35" t="n"/>
      <c r="G609" s="35" t="n"/>
      <c r="H609" s="35" t="n"/>
      <c r="I609" s="27" t="n"/>
      <c r="J609" s="35" t="n"/>
      <c r="K609" s="35" t="n"/>
      <c r="L609" s="35" t="n"/>
      <c r="M609" s="35" t="n"/>
      <c r="N609" s="35" t="n"/>
      <c r="O609" s="35" t="n"/>
      <c r="P609" s="35" t="n"/>
      <c r="Q609" s="35" t="n"/>
    </row>
    <row r="610" ht="14.25" customHeight="1" s="398">
      <c r="A610" s="35" t="n"/>
      <c r="B610" s="35" t="n"/>
      <c r="C610" s="35" t="n"/>
      <c r="D610" s="35" t="n"/>
      <c r="E610" s="35" t="n"/>
      <c r="F610" s="35" t="n"/>
      <c r="G610" s="35" t="n"/>
      <c r="H610" s="35" t="n"/>
      <c r="I610" s="27" t="n"/>
      <c r="J610" s="35" t="n"/>
      <c r="K610" s="35" t="n"/>
      <c r="L610" s="35" t="n"/>
      <c r="M610" s="35" t="n"/>
      <c r="N610" s="35" t="n"/>
      <c r="O610" s="35" t="n"/>
      <c r="P610" s="35" t="n"/>
      <c r="Q610" s="35" t="n"/>
    </row>
    <row r="611" ht="14.25" customHeight="1" s="398">
      <c r="A611" s="35" t="n"/>
      <c r="B611" s="35" t="n"/>
      <c r="C611" s="35" t="n"/>
      <c r="D611" s="35" t="n"/>
      <c r="E611" s="35" t="n"/>
      <c r="F611" s="35" t="n"/>
      <c r="G611" s="35" t="n"/>
      <c r="H611" s="35" t="n"/>
      <c r="I611" s="27" t="n"/>
      <c r="J611" s="35" t="n"/>
      <c r="K611" s="35" t="n"/>
      <c r="L611" s="35" t="n"/>
      <c r="M611" s="35" t="n"/>
      <c r="N611" s="35" t="n"/>
      <c r="O611" s="35" t="n"/>
      <c r="P611" s="35" t="n"/>
      <c r="Q611" s="35" t="n"/>
    </row>
    <row r="612" ht="14.25" customHeight="1" s="398">
      <c r="A612" s="35" t="n"/>
      <c r="B612" s="35" t="n"/>
      <c r="C612" s="35" t="n"/>
      <c r="D612" s="35" t="n"/>
      <c r="E612" s="35" t="n"/>
      <c r="F612" s="35" t="n"/>
      <c r="G612" s="35" t="n"/>
      <c r="H612" s="35" t="n"/>
      <c r="I612" s="27" t="n"/>
      <c r="J612" s="35" t="n"/>
      <c r="K612" s="35" t="n"/>
      <c r="L612" s="35" t="n"/>
      <c r="M612" s="35" t="n"/>
      <c r="N612" s="35" t="n"/>
      <c r="O612" s="35" t="n"/>
      <c r="P612" s="35" t="n"/>
      <c r="Q612" s="35" t="n"/>
    </row>
    <row r="613" ht="14.25" customHeight="1" s="398">
      <c r="A613" s="35" t="n"/>
      <c r="B613" s="35" t="n"/>
      <c r="C613" s="35" t="n"/>
      <c r="D613" s="35" t="n"/>
      <c r="E613" s="35" t="n"/>
      <c r="F613" s="35" t="n"/>
      <c r="G613" s="35" t="n"/>
      <c r="H613" s="35" t="n"/>
      <c r="I613" s="27" t="n"/>
      <c r="J613" s="35" t="n"/>
      <c r="K613" s="35" t="n"/>
      <c r="L613" s="35" t="n"/>
      <c r="M613" s="35" t="n"/>
      <c r="N613" s="35" t="n"/>
      <c r="O613" s="35" t="n"/>
      <c r="P613" s="35" t="n"/>
      <c r="Q613" s="35" t="n"/>
    </row>
    <row r="614" ht="14.25" customHeight="1" s="398">
      <c r="A614" s="35" t="n"/>
      <c r="B614" s="35" t="n"/>
      <c r="C614" s="35" t="n"/>
      <c r="D614" s="35" t="n"/>
      <c r="E614" s="35" t="n"/>
      <c r="F614" s="35" t="n"/>
      <c r="G614" s="35" t="n"/>
      <c r="H614" s="35" t="n"/>
      <c r="I614" s="27" t="n"/>
      <c r="J614" s="35" t="n"/>
      <c r="K614" s="35" t="n"/>
      <c r="L614" s="35" t="n"/>
      <c r="M614" s="35" t="n"/>
      <c r="N614" s="35" t="n"/>
      <c r="O614" s="35" t="n"/>
      <c r="P614" s="35" t="n"/>
      <c r="Q614" s="35" t="n"/>
    </row>
    <row r="615" ht="14.25" customHeight="1" s="398">
      <c r="A615" s="35" t="n"/>
      <c r="B615" s="35" t="n"/>
      <c r="C615" s="35" t="n"/>
      <c r="D615" s="35" t="n"/>
      <c r="E615" s="35" t="n"/>
      <c r="F615" s="35" t="n"/>
      <c r="G615" s="35" t="n"/>
      <c r="H615" s="35" t="n"/>
      <c r="I615" s="27" t="n"/>
      <c r="J615" s="35" t="n"/>
      <c r="K615" s="35" t="n"/>
      <c r="L615" s="35" t="n"/>
      <c r="M615" s="35" t="n"/>
      <c r="N615" s="35" t="n"/>
      <c r="O615" s="35" t="n"/>
      <c r="P615" s="35" t="n"/>
      <c r="Q615" s="35" t="n"/>
    </row>
    <row r="616" ht="14.25" customHeight="1" s="398">
      <c r="A616" s="35" t="n"/>
      <c r="B616" s="35" t="n"/>
      <c r="C616" s="35" t="n"/>
      <c r="D616" s="35" t="n"/>
      <c r="E616" s="35" t="n"/>
      <c r="F616" s="35" t="n"/>
      <c r="G616" s="35" t="n"/>
      <c r="H616" s="35" t="n"/>
      <c r="I616" s="27" t="n"/>
      <c r="J616" s="35" t="n"/>
      <c r="K616" s="35" t="n"/>
      <c r="L616" s="35" t="n"/>
      <c r="M616" s="35" t="n"/>
      <c r="N616" s="35" t="n"/>
      <c r="O616" s="35" t="n"/>
      <c r="P616" s="35" t="n"/>
      <c r="Q616" s="35" t="n"/>
    </row>
    <row r="617" ht="14.25" customHeight="1" s="398">
      <c r="A617" s="35" t="n"/>
      <c r="B617" s="35" t="n"/>
      <c r="C617" s="35" t="n"/>
      <c r="D617" s="35" t="n"/>
      <c r="E617" s="35" t="n"/>
      <c r="F617" s="35" t="n"/>
      <c r="G617" s="35" t="n"/>
      <c r="H617" s="35" t="n"/>
      <c r="I617" s="27" t="n"/>
      <c r="J617" s="35" t="n"/>
      <c r="K617" s="35" t="n"/>
      <c r="L617" s="35" t="n"/>
      <c r="M617" s="35" t="n"/>
      <c r="N617" s="35" t="n"/>
      <c r="O617" s="35" t="n"/>
      <c r="P617" s="35" t="n"/>
      <c r="Q617" s="35" t="n"/>
    </row>
    <row r="618" ht="14.25" customHeight="1" s="398">
      <c r="A618" s="35" t="n"/>
      <c r="B618" s="35" t="n"/>
      <c r="C618" s="35" t="n"/>
      <c r="D618" s="35" t="n"/>
      <c r="E618" s="35" t="n"/>
      <c r="F618" s="35" t="n"/>
      <c r="G618" s="35" t="n"/>
      <c r="H618" s="35" t="n"/>
      <c r="I618" s="27" t="n"/>
      <c r="J618" s="35" t="n"/>
      <c r="K618" s="35" t="n"/>
      <c r="L618" s="35" t="n"/>
      <c r="M618" s="35" t="n"/>
      <c r="N618" s="35" t="n"/>
      <c r="O618" s="35" t="n"/>
      <c r="P618" s="35" t="n"/>
      <c r="Q618" s="35" t="n"/>
    </row>
    <row r="619" ht="14.25" customHeight="1" s="398">
      <c r="A619" s="35" t="n"/>
      <c r="B619" s="35" t="n"/>
      <c r="C619" s="35" t="n"/>
      <c r="D619" s="35" t="n"/>
      <c r="E619" s="35" t="n"/>
      <c r="F619" s="35" t="n"/>
      <c r="G619" s="35" t="n"/>
      <c r="H619" s="35" t="n"/>
      <c r="I619" s="27" t="n"/>
      <c r="J619" s="35" t="n"/>
      <c r="K619" s="35" t="n"/>
      <c r="L619" s="35" t="n"/>
      <c r="M619" s="35" t="n"/>
      <c r="N619" s="35" t="n"/>
      <c r="O619" s="35" t="n"/>
      <c r="P619" s="35" t="n"/>
      <c r="Q619" s="35" t="n"/>
    </row>
    <row r="620" ht="14.25" customHeight="1" s="398">
      <c r="A620" s="35" t="n"/>
      <c r="B620" s="35" t="n"/>
      <c r="C620" s="35" t="n"/>
      <c r="D620" s="35" t="n"/>
      <c r="E620" s="35" t="n"/>
      <c r="F620" s="35" t="n"/>
      <c r="G620" s="35" t="n"/>
      <c r="H620" s="35" t="n"/>
      <c r="I620" s="27" t="n"/>
      <c r="J620" s="35" t="n"/>
      <c r="K620" s="35" t="n"/>
      <c r="L620" s="35" t="n"/>
      <c r="M620" s="35" t="n"/>
      <c r="N620" s="35" t="n"/>
      <c r="O620" s="35" t="n"/>
      <c r="P620" s="35" t="n"/>
      <c r="Q620" s="35" t="n"/>
    </row>
    <row r="621" ht="14.25" customHeight="1" s="398">
      <c r="A621" s="35" t="n"/>
      <c r="B621" s="35" t="n"/>
      <c r="C621" s="35" t="n"/>
      <c r="D621" s="35" t="n"/>
      <c r="E621" s="35" t="n"/>
      <c r="F621" s="35" t="n"/>
      <c r="G621" s="35" t="n"/>
      <c r="H621" s="35" t="n"/>
      <c r="I621" s="27" t="n"/>
      <c r="J621" s="35" t="n"/>
      <c r="K621" s="35" t="n"/>
      <c r="L621" s="35" t="n"/>
      <c r="M621" s="35" t="n"/>
      <c r="N621" s="35" t="n"/>
      <c r="O621" s="35" t="n"/>
      <c r="P621" s="35" t="n"/>
      <c r="Q621" s="35" t="n"/>
    </row>
    <row r="622" ht="14.25" customHeight="1" s="398">
      <c r="A622" s="35" t="n"/>
      <c r="B622" s="35" t="n"/>
      <c r="C622" s="35" t="n"/>
      <c r="D622" s="35" t="n"/>
      <c r="E622" s="35" t="n"/>
      <c r="F622" s="35" t="n"/>
      <c r="G622" s="35" t="n"/>
      <c r="H622" s="35" t="n"/>
      <c r="I622" s="27" t="n"/>
      <c r="J622" s="35" t="n"/>
      <c r="K622" s="35" t="n"/>
      <c r="L622" s="35" t="n"/>
      <c r="M622" s="35" t="n"/>
      <c r="N622" s="35" t="n"/>
      <c r="O622" s="35" t="n"/>
      <c r="P622" s="35" t="n"/>
      <c r="Q622" s="35" t="n"/>
    </row>
    <row r="623" ht="14.25" customHeight="1" s="398">
      <c r="A623" s="35" t="n"/>
      <c r="B623" s="35" t="n"/>
      <c r="C623" s="35" t="n"/>
      <c r="D623" s="35" t="n"/>
      <c r="E623" s="35" t="n"/>
      <c r="F623" s="35" t="n"/>
      <c r="G623" s="35" t="n"/>
      <c r="H623" s="35" t="n"/>
      <c r="I623" s="27" t="n"/>
      <c r="J623" s="35" t="n"/>
      <c r="K623" s="35" t="n"/>
      <c r="L623" s="35" t="n"/>
      <c r="M623" s="35" t="n"/>
      <c r="N623" s="35" t="n"/>
      <c r="O623" s="35" t="n"/>
      <c r="P623" s="35" t="n"/>
      <c r="Q623" s="35" t="n"/>
    </row>
    <row r="624" ht="14.25" customHeight="1" s="398">
      <c r="A624" s="35" t="n"/>
      <c r="B624" s="35" t="n"/>
      <c r="C624" s="35" t="n"/>
      <c r="D624" s="35" t="n"/>
      <c r="E624" s="35" t="n"/>
      <c r="F624" s="35" t="n"/>
      <c r="G624" s="35" t="n"/>
      <c r="H624" s="35" t="n"/>
      <c r="I624" s="27" t="n"/>
      <c r="J624" s="35" t="n"/>
      <c r="K624" s="35" t="n"/>
      <c r="L624" s="35" t="n"/>
      <c r="M624" s="35" t="n"/>
      <c r="N624" s="35" t="n"/>
      <c r="O624" s="35" t="n"/>
      <c r="P624" s="35" t="n"/>
      <c r="Q624" s="35" t="n"/>
    </row>
    <row r="625" ht="14.25" customHeight="1" s="398">
      <c r="A625" s="35" t="n"/>
      <c r="B625" s="35" t="n"/>
      <c r="C625" s="35" t="n"/>
      <c r="D625" s="35" t="n"/>
      <c r="E625" s="35" t="n"/>
      <c r="F625" s="35" t="n"/>
      <c r="G625" s="35" t="n"/>
      <c r="H625" s="35" t="n"/>
      <c r="I625" s="27" t="n"/>
      <c r="J625" s="35" t="n"/>
      <c r="K625" s="35" t="n"/>
      <c r="L625" s="35" t="n"/>
      <c r="M625" s="35" t="n"/>
      <c r="N625" s="35" t="n"/>
      <c r="O625" s="35" t="n"/>
      <c r="P625" s="35" t="n"/>
      <c r="Q625" s="35" t="n"/>
    </row>
    <row r="626" ht="14.25" customHeight="1" s="398">
      <c r="A626" s="35" t="n"/>
      <c r="B626" s="35" t="n"/>
      <c r="C626" s="35" t="n"/>
      <c r="D626" s="35" t="n"/>
      <c r="E626" s="35" t="n"/>
      <c r="F626" s="35" t="n"/>
      <c r="G626" s="35" t="n"/>
      <c r="H626" s="35" t="n"/>
      <c r="I626" s="27" t="n"/>
      <c r="J626" s="35" t="n"/>
      <c r="K626" s="35" t="n"/>
      <c r="L626" s="35" t="n"/>
      <c r="M626" s="35" t="n"/>
      <c r="N626" s="35" t="n"/>
      <c r="O626" s="35" t="n"/>
      <c r="P626" s="35" t="n"/>
      <c r="Q626" s="35" t="n"/>
    </row>
    <row r="627" ht="14.25" customHeight="1" s="398">
      <c r="A627" s="35" t="n"/>
      <c r="B627" s="35" t="n"/>
      <c r="C627" s="35" t="n"/>
      <c r="D627" s="35" t="n"/>
      <c r="E627" s="35" t="n"/>
      <c r="F627" s="35" t="n"/>
      <c r="G627" s="35" t="n"/>
      <c r="H627" s="35" t="n"/>
      <c r="I627" s="27" t="n"/>
      <c r="J627" s="35" t="n"/>
      <c r="K627" s="35" t="n"/>
      <c r="L627" s="35" t="n"/>
      <c r="M627" s="35" t="n"/>
      <c r="N627" s="35" t="n"/>
      <c r="O627" s="35" t="n"/>
      <c r="P627" s="35" t="n"/>
      <c r="Q627" s="35" t="n"/>
    </row>
    <row r="628" ht="14.25" customHeight="1" s="398">
      <c r="A628" s="35" t="n"/>
      <c r="B628" s="35" t="n"/>
      <c r="C628" s="35" t="n"/>
      <c r="D628" s="35" t="n"/>
      <c r="E628" s="35" t="n"/>
      <c r="F628" s="35" t="n"/>
      <c r="G628" s="35" t="n"/>
      <c r="H628" s="35" t="n"/>
      <c r="I628" s="27" t="n"/>
      <c r="J628" s="35" t="n"/>
      <c r="K628" s="35" t="n"/>
      <c r="L628" s="35" t="n"/>
      <c r="M628" s="35" t="n"/>
      <c r="N628" s="35" t="n"/>
      <c r="O628" s="35" t="n"/>
      <c r="P628" s="35" t="n"/>
      <c r="Q628" s="35" t="n"/>
    </row>
    <row r="629" ht="14.25" customHeight="1" s="398">
      <c r="A629" s="35" t="n"/>
      <c r="B629" s="35" t="n"/>
      <c r="C629" s="35" t="n"/>
      <c r="D629" s="35" t="n"/>
      <c r="E629" s="35" t="n"/>
      <c r="F629" s="35" t="n"/>
      <c r="G629" s="35" t="n"/>
      <c r="H629" s="35" t="n"/>
      <c r="I629" s="27" t="n"/>
      <c r="J629" s="35" t="n"/>
      <c r="K629" s="35" t="n"/>
      <c r="L629" s="35" t="n"/>
      <c r="M629" s="35" t="n"/>
      <c r="N629" s="35" t="n"/>
      <c r="O629" s="35" t="n"/>
      <c r="P629" s="35" t="n"/>
      <c r="Q629" s="35" t="n"/>
    </row>
    <row r="630" ht="14.25" customHeight="1" s="398">
      <c r="A630" s="35" t="n"/>
      <c r="B630" s="35" t="n"/>
      <c r="C630" s="35" t="n"/>
      <c r="D630" s="35" t="n"/>
      <c r="E630" s="35" t="n"/>
      <c r="F630" s="35" t="n"/>
      <c r="G630" s="35" t="n"/>
      <c r="H630" s="35" t="n"/>
      <c r="I630" s="27" t="n"/>
      <c r="J630" s="35" t="n"/>
      <c r="K630" s="35" t="n"/>
      <c r="L630" s="35" t="n"/>
      <c r="M630" s="35" t="n"/>
      <c r="N630" s="35" t="n"/>
      <c r="O630" s="35" t="n"/>
      <c r="P630" s="35" t="n"/>
      <c r="Q630" s="35" t="n"/>
    </row>
    <row r="631" ht="14.25" customHeight="1" s="398">
      <c r="A631" s="35" t="n"/>
      <c r="B631" s="35" t="n"/>
      <c r="C631" s="35" t="n"/>
      <c r="D631" s="35" t="n"/>
      <c r="E631" s="35" t="n"/>
      <c r="F631" s="35" t="n"/>
      <c r="G631" s="35" t="n"/>
      <c r="H631" s="35" t="n"/>
      <c r="I631" s="27" t="n"/>
      <c r="J631" s="35" t="n"/>
      <c r="K631" s="35" t="n"/>
      <c r="L631" s="35" t="n"/>
      <c r="M631" s="35" t="n"/>
      <c r="N631" s="35" t="n"/>
      <c r="O631" s="35" t="n"/>
      <c r="P631" s="35" t="n"/>
      <c r="Q631" s="35" t="n"/>
    </row>
    <row r="632" ht="14.25" customHeight="1" s="398">
      <c r="A632" s="35" t="n"/>
      <c r="B632" s="35" t="n"/>
      <c r="C632" s="35" t="n"/>
      <c r="D632" s="35" t="n"/>
      <c r="E632" s="35" t="n"/>
      <c r="F632" s="35" t="n"/>
      <c r="G632" s="35" t="n"/>
      <c r="H632" s="35" t="n"/>
      <c r="I632" s="27" t="n"/>
      <c r="J632" s="35" t="n"/>
      <c r="K632" s="35" t="n"/>
      <c r="L632" s="35" t="n"/>
      <c r="M632" s="35" t="n"/>
      <c r="N632" s="35" t="n"/>
      <c r="O632" s="35" t="n"/>
      <c r="P632" s="35" t="n"/>
      <c r="Q632" s="35" t="n"/>
    </row>
    <row r="633" ht="14.25" customHeight="1" s="398">
      <c r="A633" s="35" t="n"/>
      <c r="B633" s="35" t="n"/>
      <c r="C633" s="35" t="n"/>
      <c r="D633" s="35" t="n"/>
      <c r="E633" s="35" t="n"/>
      <c r="F633" s="35" t="n"/>
      <c r="G633" s="35" t="n"/>
      <c r="H633" s="35" t="n"/>
      <c r="I633" s="27" t="n"/>
      <c r="J633" s="35" t="n"/>
      <c r="K633" s="35" t="n"/>
      <c r="L633" s="35" t="n"/>
      <c r="M633" s="35" t="n"/>
      <c r="N633" s="35" t="n"/>
      <c r="O633" s="35" t="n"/>
      <c r="P633" s="35" t="n"/>
      <c r="Q633" s="35" t="n"/>
    </row>
    <row r="634" ht="14.25" customHeight="1" s="398">
      <c r="A634" s="35" t="n"/>
      <c r="B634" s="35" t="n"/>
      <c r="C634" s="35" t="n"/>
      <c r="D634" s="35" t="n"/>
      <c r="E634" s="35" t="n"/>
      <c r="F634" s="35" t="n"/>
      <c r="G634" s="35" t="n"/>
      <c r="H634" s="35" t="n"/>
      <c r="I634" s="27" t="n"/>
      <c r="J634" s="35" t="n"/>
      <c r="K634" s="35" t="n"/>
      <c r="L634" s="35" t="n"/>
      <c r="M634" s="35" t="n"/>
      <c r="N634" s="35" t="n"/>
      <c r="O634" s="35" t="n"/>
      <c r="P634" s="35" t="n"/>
      <c r="Q634" s="35" t="n"/>
    </row>
    <row r="635" ht="14.25" customHeight="1" s="398">
      <c r="A635" s="35" t="n"/>
      <c r="B635" s="35" t="n"/>
      <c r="C635" s="35" t="n"/>
      <c r="D635" s="35" t="n"/>
      <c r="E635" s="35" t="n"/>
      <c r="F635" s="35" t="n"/>
      <c r="G635" s="35" t="n"/>
      <c r="H635" s="35" t="n"/>
      <c r="I635" s="27" t="n"/>
      <c r="J635" s="35" t="n"/>
      <c r="K635" s="35" t="n"/>
      <c r="L635" s="35" t="n"/>
      <c r="M635" s="35" t="n"/>
      <c r="N635" s="35" t="n"/>
      <c r="O635" s="35" t="n"/>
      <c r="P635" s="35" t="n"/>
      <c r="Q635" s="35" t="n"/>
    </row>
    <row r="636" ht="14.25" customHeight="1" s="398">
      <c r="A636" s="35" t="n"/>
      <c r="B636" s="35" t="n"/>
      <c r="C636" s="35" t="n"/>
      <c r="D636" s="35" t="n"/>
      <c r="E636" s="35" t="n"/>
      <c r="F636" s="35" t="n"/>
      <c r="G636" s="35" t="n"/>
      <c r="H636" s="35" t="n"/>
      <c r="I636" s="27" t="n"/>
      <c r="J636" s="35" t="n"/>
      <c r="K636" s="35" t="n"/>
      <c r="L636" s="35" t="n"/>
      <c r="M636" s="35" t="n"/>
      <c r="N636" s="35" t="n"/>
      <c r="O636" s="35" t="n"/>
      <c r="P636" s="35" t="n"/>
      <c r="Q636" s="35" t="n"/>
    </row>
    <row r="637" ht="14.25" customHeight="1" s="398">
      <c r="A637" s="35" t="n"/>
      <c r="B637" s="35" t="n"/>
      <c r="C637" s="35" t="n"/>
      <c r="D637" s="35" t="n"/>
      <c r="E637" s="35" t="n"/>
      <c r="F637" s="35" t="n"/>
      <c r="G637" s="35" t="n"/>
      <c r="H637" s="35" t="n"/>
      <c r="I637" s="27" t="n"/>
      <c r="J637" s="35" t="n"/>
      <c r="K637" s="35" t="n"/>
      <c r="L637" s="35" t="n"/>
      <c r="M637" s="35" t="n"/>
      <c r="N637" s="35" t="n"/>
      <c r="O637" s="35" t="n"/>
      <c r="P637" s="35" t="n"/>
      <c r="Q637" s="35" t="n"/>
    </row>
    <row r="638" ht="14.25" customHeight="1" s="398">
      <c r="A638" s="35" t="n"/>
      <c r="B638" s="35" t="n"/>
      <c r="C638" s="35" t="n"/>
      <c r="D638" s="35" t="n"/>
      <c r="E638" s="35" t="n"/>
      <c r="F638" s="35" t="n"/>
      <c r="G638" s="35" t="n"/>
      <c r="H638" s="35" t="n"/>
      <c r="I638" s="27" t="n"/>
      <c r="J638" s="35" t="n"/>
      <c r="K638" s="35" t="n"/>
      <c r="L638" s="35" t="n"/>
      <c r="M638" s="35" t="n"/>
      <c r="N638" s="35" t="n"/>
      <c r="O638" s="35" t="n"/>
      <c r="P638" s="35" t="n"/>
      <c r="Q638" s="35" t="n"/>
    </row>
    <row r="639" ht="14.25" customHeight="1" s="398">
      <c r="A639" s="35" t="n"/>
      <c r="B639" s="35" t="n"/>
      <c r="C639" s="35" t="n"/>
      <c r="D639" s="35" t="n"/>
      <c r="E639" s="35" t="n"/>
      <c r="F639" s="35" t="n"/>
      <c r="G639" s="35" t="n"/>
      <c r="H639" s="35" t="n"/>
      <c r="I639" s="27" t="n"/>
      <c r="J639" s="35" t="n"/>
      <c r="K639" s="35" t="n"/>
      <c r="L639" s="35" t="n"/>
      <c r="M639" s="35" t="n"/>
      <c r="N639" s="35" t="n"/>
      <c r="O639" s="35" t="n"/>
      <c r="P639" s="35" t="n"/>
      <c r="Q639" s="35" t="n"/>
    </row>
    <row r="640" ht="14.25" customHeight="1" s="398">
      <c r="A640" s="35" t="n"/>
      <c r="B640" s="35" t="n"/>
      <c r="C640" s="35" t="n"/>
      <c r="D640" s="35" t="n"/>
      <c r="E640" s="35" t="n"/>
      <c r="F640" s="35" t="n"/>
      <c r="G640" s="35" t="n"/>
      <c r="H640" s="35" t="n"/>
      <c r="I640" s="27" t="n"/>
      <c r="J640" s="35" t="n"/>
      <c r="K640" s="35" t="n"/>
      <c r="L640" s="35" t="n"/>
      <c r="M640" s="35" t="n"/>
      <c r="N640" s="35" t="n"/>
      <c r="O640" s="35" t="n"/>
      <c r="P640" s="35" t="n"/>
      <c r="Q640" s="35" t="n"/>
    </row>
    <row r="641" ht="14.25" customHeight="1" s="398">
      <c r="A641" s="35" t="n"/>
      <c r="B641" s="35" t="n"/>
      <c r="C641" s="35" t="n"/>
      <c r="D641" s="35" t="n"/>
      <c r="E641" s="35" t="n"/>
      <c r="F641" s="35" t="n"/>
      <c r="G641" s="35" t="n"/>
      <c r="H641" s="35" t="n"/>
      <c r="I641" s="27" t="n"/>
      <c r="J641" s="35" t="n"/>
      <c r="K641" s="35" t="n"/>
      <c r="L641" s="35" t="n"/>
      <c r="M641" s="35" t="n"/>
      <c r="N641" s="35" t="n"/>
      <c r="O641" s="35" t="n"/>
      <c r="P641" s="35" t="n"/>
      <c r="Q641" s="35" t="n"/>
    </row>
    <row r="642" ht="14.25" customHeight="1" s="398">
      <c r="A642" s="35" t="n"/>
      <c r="B642" s="35" t="n"/>
      <c r="C642" s="35" t="n"/>
      <c r="D642" s="35" t="n"/>
      <c r="E642" s="35" t="n"/>
      <c r="F642" s="35" t="n"/>
      <c r="G642" s="35" t="n"/>
      <c r="H642" s="35" t="n"/>
      <c r="I642" s="27" t="n"/>
      <c r="J642" s="35" t="n"/>
      <c r="K642" s="35" t="n"/>
      <c r="L642" s="35" t="n"/>
      <c r="M642" s="35" t="n"/>
      <c r="N642" s="35" t="n"/>
      <c r="O642" s="35" t="n"/>
      <c r="P642" s="35" t="n"/>
      <c r="Q642" s="35" t="n"/>
    </row>
    <row r="643" ht="14.25" customHeight="1" s="398">
      <c r="A643" s="35" t="n"/>
      <c r="B643" s="35" t="n"/>
      <c r="C643" s="35" t="n"/>
      <c r="D643" s="35" t="n"/>
      <c r="E643" s="35" t="n"/>
      <c r="F643" s="35" t="n"/>
      <c r="G643" s="35" t="n"/>
      <c r="H643" s="35" t="n"/>
      <c r="I643" s="27" t="n"/>
      <c r="J643" s="35" t="n"/>
      <c r="K643" s="35" t="n"/>
      <c r="L643" s="35" t="n"/>
      <c r="M643" s="35" t="n"/>
      <c r="N643" s="35" t="n"/>
      <c r="O643" s="35" t="n"/>
      <c r="P643" s="35" t="n"/>
      <c r="Q643" s="35" t="n"/>
    </row>
    <row r="644" ht="14.25" customHeight="1" s="398">
      <c r="A644" s="35" t="n"/>
      <c r="B644" s="35" t="n"/>
      <c r="C644" s="35" t="n"/>
      <c r="D644" s="35" t="n"/>
      <c r="E644" s="35" t="n"/>
      <c r="F644" s="35" t="n"/>
      <c r="G644" s="35" t="n"/>
      <c r="H644" s="35" t="n"/>
      <c r="I644" s="27" t="n"/>
      <c r="J644" s="35" t="n"/>
      <c r="K644" s="35" t="n"/>
      <c r="L644" s="35" t="n"/>
      <c r="M644" s="35" t="n"/>
      <c r="N644" s="35" t="n"/>
      <c r="O644" s="35" t="n"/>
      <c r="P644" s="35" t="n"/>
      <c r="Q644" s="35" t="n"/>
    </row>
    <row r="645" ht="14.25" customHeight="1" s="398">
      <c r="A645" s="35" t="n"/>
      <c r="B645" s="35" t="n"/>
      <c r="C645" s="35" t="n"/>
      <c r="D645" s="35" t="n"/>
      <c r="E645" s="35" t="n"/>
      <c r="F645" s="35" t="n"/>
      <c r="G645" s="35" t="n"/>
      <c r="H645" s="35" t="n"/>
      <c r="I645" s="27" t="n"/>
      <c r="J645" s="35" t="n"/>
      <c r="K645" s="35" t="n"/>
      <c r="L645" s="35" t="n"/>
      <c r="M645" s="35" t="n"/>
      <c r="N645" s="35" t="n"/>
      <c r="O645" s="35" t="n"/>
      <c r="P645" s="35" t="n"/>
      <c r="Q645" s="35" t="n"/>
    </row>
    <row r="646" ht="14.25" customHeight="1" s="398">
      <c r="A646" s="35" t="n"/>
      <c r="B646" s="35" t="n"/>
      <c r="C646" s="35" t="n"/>
      <c r="D646" s="35" t="n"/>
      <c r="E646" s="35" t="n"/>
      <c r="F646" s="35" t="n"/>
      <c r="G646" s="35" t="n"/>
      <c r="H646" s="35" t="n"/>
      <c r="I646" s="27" t="n"/>
      <c r="J646" s="35" t="n"/>
      <c r="K646" s="35" t="n"/>
      <c r="L646" s="35" t="n"/>
      <c r="M646" s="35" t="n"/>
      <c r="N646" s="35" t="n"/>
      <c r="O646" s="35" t="n"/>
      <c r="P646" s="35" t="n"/>
      <c r="Q646" s="35" t="n"/>
    </row>
    <row r="647" ht="14.25" customHeight="1" s="398">
      <c r="A647" s="35" t="n"/>
      <c r="B647" s="35" t="n"/>
      <c r="C647" s="35" t="n"/>
      <c r="D647" s="35" t="n"/>
      <c r="E647" s="35" t="n"/>
      <c r="F647" s="35" t="n"/>
      <c r="G647" s="35" t="n"/>
      <c r="H647" s="35" t="n"/>
      <c r="I647" s="27" t="n"/>
      <c r="J647" s="35" t="n"/>
      <c r="K647" s="35" t="n"/>
      <c r="L647" s="35" t="n"/>
      <c r="M647" s="35" t="n"/>
      <c r="N647" s="35" t="n"/>
      <c r="O647" s="35" t="n"/>
      <c r="P647" s="35" t="n"/>
      <c r="Q647" s="35" t="n"/>
    </row>
    <row r="648" ht="14.25" customHeight="1" s="398">
      <c r="A648" s="35" t="n"/>
      <c r="B648" s="35" t="n"/>
      <c r="C648" s="35" t="n"/>
      <c r="D648" s="35" t="n"/>
      <c r="E648" s="35" t="n"/>
      <c r="F648" s="35" t="n"/>
      <c r="G648" s="35" t="n"/>
      <c r="H648" s="35" t="n"/>
      <c r="I648" s="27" t="n"/>
      <c r="J648" s="35" t="n"/>
      <c r="K648" s="35" t="n"/>
      <c r="L648" s="35" t="n"/>
      <c r="M648" s="35" t="n"/>
      <c r="N648" s="35" t="n"/>
      <c r="O648" s="35" t="n"/>
      <c r="P648" s="35" t="n"/>
      <c r="Q648" s="35" t="n"/>
    </row>
    <row r="649" ht="14.25" customHeight="1" s="398">
      <c r="A649" s="35" t="n"/>
      <c r="B649" s="35" t="n"/>
      <c r="C649" s="35" t="n"/>
      <c r="D649" s="35" t="n"/>
      <c r="E649" s="35" t="n"/>
      <c r="F649" s="35" t="n"/>
      <c r="G649" s="35" t="n"/>
      <c r="H649" s="35" t="n"/>
      <c r="I649" s="27" t="n"/>
      <c r="J649" s="35" t="n"/>
      <c r="K649" s="35" t="n"/>
      <c r="L649" s="35" t="n"/>
      <c r="M649" s="35" t="n"/>
      <c r="N649" s="35" t="n"/>
      <c r="O649" s="35" t="n"/>
      <c r="P649" s="35" t="n"/>
      <c r="Q649" s="35" t="n"/>
    </row>
    <row r="650" ht="14.25" customHeight="1" s="398">
      <c r="A650" s="35" t="n"/>
      <c r="B650" s="35" t="n"/>
      <c r="C650" s="35" t="n"/>
      <c r="D650" s="35" t="n"/>
      <c r="E650" s="35" t="n"/>
      <c r="F650" s="35" t="n"/>
      <c r="G650" s="35" t="n"/>
      <c r="H650" s="35" t="n"/>
      <c r="I650" s="27" t="n"/>
      <c r="J650" s="35" t="n"/>
      <c r="K650" s="35" t="n"/>
      <c r="L650" s="35" t="n"/>
      <c r="M650" s="35" t="n"/>
      <c r="N650" s="35" t="n"/>
      <c r="O650" s="35" t="n"/>
      <c r="P650" s="35" t="n"/>
      <c r="Q650" s="35" t="n"/>
    </row>
    <row r="651" ht="14.25" customHeight="1" s="398">
      <c r="A651" s="35" t="n"/>
      <c r="B651" s="35" t="n"/>
      <c r="C651" s="35" t="n"/>
      <c r="D651" s="35" t="n"/>
      <c r="E651" s="35" t="n"/>
      <c r="F651" s="35" t="n"/>
      <c r="G651" s="35" t="n"/>
      <c r="H651" s="35" t="n"/>
      <c r="I651" s="27" t="n"/>
      <c r="J651" s="35" t="n"/>
      <c r="K651" s="35" t="n"/>
      <c r="L651" s="35" t="n"/>
      <c r="M651" s="35" t="n"/>
      <c r="N651" s="35" t="n"/>
      <c r="O651" s="35" t="n"/>
      <c r="P651" s="35" t="n"/>
      <c r="Q651" s="35" t="n"/>
    </row>
    <row r="652" ht="14.25" customHeight="1" s="398">
      <c r="A652" s="35" t="n"/>
      <c r="B652" s="35" t="n"/>
      <c r="C652" s="35" t="n"/>
      <c r="D652" s="35" t="n"/>
      <c r="E652" s="35" t="n"/>
      <c r="F652" s="35" t="n"/>
      <c r="G652" s="35" t="n"/>
      <c r="H652" s="35" t="n"/>
      <c r="I652" s="27" t="n"/>
      <c r="J652" s="35" t="n"/>
      <c r="K652" s="35" t="n"/>
      <c r="L652" s="35" t="n"/>
      <c r="M652" s="35" t="n"/>
      <c r="N652" s="35" t="n"/>
      <c r="O652" s="35" t="n"/>
      <c r="P652" s="35" t="n"/>
      <c r="Q652" s="35" t="n"/>
    </row>
    <row r="653" ht="14.25" customHeight="1" s="398">
      <c r="A653" s="35" t="n"/>
      <c r="B653" s="35" t="n"/>
      <c r="C653" s="35" t="n"/>
      <c r="D653" s="35" t="n"/>
      <c r="E653" s="35" t="n"/>
      <c r="F653" s="35" t="n"/>
      <c r="G653" s="35" t="n"/>
      <c r="H653" s="35" t="n"/>
      <c r="I653" s="27" t="n"/>
      <c r="J653" s="35" t="n"/>
      <c r="K653" s="35" t="n"/>
      <c r="L653" s="35" t="n"/>
      <c r="M653" s="35" t="n"/>
      <c r="N653" s="35" t="n"/>
      <c r="O653" s="35" t="n"/>
      <c r="P653" s="35" t="n"/>
      <c r="Q653" s="35" t="n"/>
    </row>
    <row r="654" ht="14.25" customHeight="1" s="398">
      <c r="A654" s="35" t="n"/>
      <c r="B654" s="35" t="n"/>
      <c r="C654" s="35" t="n"/>
      <c r="D654" s="35" t="n"/>
      <c r="E654" s="35" t="n"/>
      <c r="F654" s="35" t="n"/>
      <c r="G654" s="35" t="n"/>
      <c r="H654" s="35" t="n"/>
      <c r="I654" s="27" t="n"/>
      <c r="J654" s="35" t="n"/>
      <c r="K654" s="35" t="n"/>
      <c r="L654" s="35" t="n"/>
      <c r="M654" s="35" t="n"/>
      <c r="N654" s="35" t="n"/>
      <c r="O654" s="35" t="n"/>
      <c r="P654" s="35" t="n"/>
      <c r="Q654" s="35" t="n"/>
    </row>
    <row r="655" ht="14.25" customHeight="1" s="398">
      <c r="A655" s="35" t="n"/>
      <c r="B655" s="35" t="n"/>
      <c r="C655" s="35" t="n"/>
      <c r="D655" s="35" t="n"/>
      <c r="E655" s="35" t="n"/>
      <c r="F655" s="35" t="n"/>
      <c r="G655" s="35" t="n"/>
      <c r="H655" s="35" t="n"/>
      <c r="I655" s="27" t="n"/>
      <c r="J655" s="35" t="n"/>
      <c r="K655" s="35" t="n"/>
      <c r="L655" s="35" t="n"/>
      <c r="M655" s="35" t="n"/>
      <c r="N655" s="35" t="n"/>
      <c r="O655" s="35" t="n"/>
      <c r="P655" s="35" t="n"/>
      <c r="Q655" s="35" t="n"/>
    </row>
    <row r="656" ht="14.25" customHeight="1" s="398">
      <c r="A656" s="35" t="n"/>
      <c r="B656" s="35" t="n"/>
      <c r="C656" s="35" t="n"/>
      <c r="D656" s="35" t="n"/>
      <c r="E656" s="35" t="n"/>
      <c r="F656" s="35" t="n"/>
      <c r="G656" s="35" t="n"/>
      <c r="H656" s="35" t="n"/>
      <c r="I656" s="27" t="n"/>
      <c r="J656" s="35" t="n"/>
      <c r="K656" s="35" t="n"/>
      <c r="L656" s="35" t="n"/>
      <c r="M656" s="35" t="n"/>
      <c r="N656" s="35" t="n"/>
      <c r="O656" s="35" t="n"/>
      <c r="P656" s="35" t="n"/>
      <c r="Q656" s="35" t="n"/>
    </row>
    <row r="657" ht="14.25" customHeight="1" s="398">
      <c r="A657" s="35" t="n"/>
      <c r="B657" s="35" t="n"/>
      <c r="C657" s="35" t="n"/>
      <c r="D657" s="35" t="n"/>
      <c r="E657" s="35" t="n"/>
      <c r="F657" s="35" t="n"/>
      <c r="G657" s="35" t="n"/>
      <c r="H657" s="35" t="n"/>
      <c r="I657" s="27" t="n"/>
      <c r="J657" s="35" t="n"/>
      <c r="K657" s="35" t="n"/>
      <c r="L657" s="35" t="n"/>
      <c r="M657" s="35" t="n"/>
      <c r="N657" s="35" t="n"/>
      <c r="O657" s="35" t="n"/>
      <c r="P657" s="35" t="n"/>
      <c r="Q657" s="35" t="n"/>
    </row>
    <row r="658" ht="14.25" customHeight="1" s="398">
      <c r="A658" s="35" t="n"/>
      <c r="B658" s="35" t="n"/>
      <c r="C658" s="35" t="n"/>
      <c r="D658" s="35" t="n"/>
      <c r="E658" s="35" t="n"/>
      <c r="F658" s="35" t="n"/>
      <c r="G658" s="35" t="n"/>
      <c r="H658" s="35" t="n"/>
      <c r="I658" s="27" t="n"/>
      <c r="J658" s="35" t="n"/>
      <c r="K658" s="35" t="n"/>
      <c r="L658" s="35" t="n"/>
      <c r="M658" s="35" t="n"/>
      <c r="N658" s="35" t="n"/>
      <c r="O658" s="35" t="n"/>
      <c r="P658" s="35" t="n"/>
      <c r="Q658" s="35" t="n"/>
    </row>
    <row r="659" ht="14.25" customHeight="1" s="398">
      <c r="A659" s="35" t="n"/>
      <c r="B659" s="35" t="n"/>
      <c r="C659" s="35" t="n"/>
      <c r="D659" s="35" t="n"/>
      <c r="E659" s="35" t="n"/>
      <c r="F659" s="35" t="n"/>
      <c r="G659" s="35" t="n"/>
      <c r="H659" s="35" t="n"/>
      <c r="I659" s="27" t="n"/>
      <c r="J659" s="35" t="n"/>
      <c r="K659" s="35" t="n"/>
      <c r="L659" s="35" t="n"/>
      <c r="M659" s="35" t="n"/>
      <c r="N659" s="35" t="n"/>
      <c r="O659" s="35" t="n"/>
      <c r="P659" s="35" t="n"/>
      <c r="Q659" s="35" t="n"/>
    </row>
    <row r="660" ht="14.25" customHeight="1" s="398">
      <c r="A660" s="35" t="n"/>
      <c r="B660" s="35" t="n"/>
      <c r="C660" s="35" t="n"/>
      <c r="D660" s="35" t="n"/>
      <c r="E660" s="35" t="n"/>
      <c r="F660" s="35" t="n"/>
      <c r="G660" s="35" t="n"/>
      <c r="H660" s="35" t="n"/>
      <c r="I660" s="27" t="n"/>
      <c r="J660" s="35" t="n"/>
      <c r="K660" s="35" t="n"/>
      <c r="L660" s="35" t="n"/>
      <c r="M660" s="35" t="n"/>
      <c r="N660" s="35" t="n"/>
      <c r="O660" s="35" t="n"/>
      <c r="P660" s="35" t="n"/>
      <c r="Q660" s="35" t="n"/>
    </row>
    <row r="661" ht="14.25" customHeight="1" s="398">
      <c r="A661" s="35" t="n"/>
      <c r="B661" s="35" t="n"/>
      <c r="C661" s="35" t="n"/>
      <c r="D661" s="35" t="n"/>
      <c r="E661" s="35" t="n"/>
      <c r="F661" s="35" t="n"/>
      <c r="G661" s="35" t="n"/>
      <c r="H661" s="35" t="n"/>
      <c r="I661" s="27" t="n"/>
      <c r="J661" s="35" t="n"/>
      <c r="K661" s="35" t="n"/>
      <c r="L661" s="35" t="n"/>
      <c r="M661" s="35" t="n"/>
      <c r="N661" s="35" t="n"/>
      <c r="O661" s="35" t="n"/>
      <c r="P661" s="35" t="n"/>
      <c r="Q661" s="35" t="n"/>
    </row>
    <row r="662" ht="14.25" customHeight="1" s="398">
      <c r="A662" s="35" t="n"/>
      <c r="B662" s="35" t="n"/>
      <c r="C662" s="35" t="n"/>
      <c r="D662" s="35" t="n"/>
      <c r="E662" s="35" t="n"/>
      <c r="F662" s="35" t="n"/>
      <c r="G662" s="35" t="n"/>
      <c r="H662" s="35" t="n"/>
      <c r="I662" s="27" t="n"/>
      <c r="J662" s="35" t="n"/>
      <c r="K662" s="35" t="n"/>
      <c r="L662" s="35" t="n"/>
      <c r="M662" s="35" t="n"/>
      <c r="N662" s="35" t="n"/>
      <c r="O662" s="35" t="n"/>
      <c r="P662" s="35" t="n"/>
      <c r="Q662" s="35" t="n"/>
    </row>
    <row r="663" ht="14.25" customHeight="1" s="398">
      <c r="A663" s="35" t="n"/>
      <c r="B663" s="35" t="n"/>
      <c r="C663" s="35" t="n"/>
      <c r="D663" s="35" t="n"/>
      <c r="E663" s="35" t="n"/>
      <c r="F663" s="35" t="n"/>
      <c r="G663" s="35" t="n"/>
      <c r="H663" s="35" t="n"/>
      <c r="I663" s="27" t="n"/>
      <c r="J663" s="35" t="n"/>
      <c r="K663" s="35" t="n"/>
      <c r="L663" s="35" t="n"/>
      <c r="M663" s="35" t="n"/>
      <c r="N663" s="35" t="n"/>
      <c r="O663" s="35" t="n"/>
      <c r="P663" s="35" t="n"/>
      <c r="Q663" s="35" t="n"/>
    </row>
    <row r="664" ht="14.25" customHeight="1" s="398">
      <c r="A664" s="35" t="n"/>
      <c r="B664" s="35" t="n"/>
      <c r="C664" s="35" t="n"/>
      <c r="D664" s="35" t="n"/>
      <c r="E664" s="35" t="n"/>
      <c r="F664" s="35" t="n"/>
      <c r="G664" s="35" t="n"/>
      <c r="H664" s="35" t="n"/>
      <c r="I664" s="27" t="n"/>
      <c r="J664" s="35" t="n"/>
      <c r="K664" s="35" t="n"/>
      <c r="L664" s="35" t="n"/>
      <c r="M664" s="35" t="n"/>
      <c r="N664" s="35" t="n"/>
      <c r="O664" s="35" t="n"/>
      <c r="P664" s="35" t="n"/>
      <c r="Q664" s="35" t="n"/>
    </row>
    <row r="665" ht="14.25" customHeight="1" s="398">
      <c r="A665" s="35" t="n"/>
      <c r="B665" s="35" t="n"/>
      <c r="C665" s="35" t="n"/>
      <c r="D665" s="35" t="n"/>
      <c r="E665" s="35" t="n"/>
      <c r="F665" s="35" t="n"/>
      <c r="G665" s="35" t="n"/>
      <c r="H665" s="35" t="n"/>
      <c r="I665" s="27" t="n"/>
      <c r="J665" s="35" t="n"/>
      <c r="K665" s="35" t="n"/>
      <c r="L665" s="35" t="n"/>
      <c r="M665" s="35" t="n"/>
      <c r="N665" s="35" t="n"/>
      <c r="O665" s="35" t="n"/>
      <c r="P665" s="35" t="n"/>
      <c r="Q665" s="35" t="n"/>
    </row>
    <row r="666" ht="14.25" customHeight="1" s="398">
      <c r="A666" s="35" t="n"/>
      <c r="B666" s="35" t="n"/>
      <c r="C666" s="35" t="n"/>
      <c r="D666" s="35" t="n"/>
      <c r="E666" s="35" t="n"/>
      <c r="F666" s="35" t="n"/>
      <c r="G666" s="35" t="n"/>
      <c r="H666" s="35" t="n"/>
      <c r="I666" s="27" t="n"/>
      <c r="J666" s="35" t="n"/>
      <c r="K666" s="35" t="n"/>
      <c r="L666" s="35" t="n"/>
      <c r="M666" s="35" t="n"/>
      <c r="N666" s="35" t="n"/>
      <c r="O666" s="35" t="n"/>
      <c r="P666" s="35" t="n"/>
      <c r="Q666" s="35" t="n"/>
    </row>
    <row r="667" ht="14.25" customHeight="1" s="398">
      <c r="A667" s="35" t="n"/>
      <c r="B667" s="35" t="n"/>
      <c r="C667" s="35" t="n"/>
      <c r="D667" s="35" t="n"/>
      <c r="E667" s="35" t="n"/>
      <c r="F667" s="35" t="n"/>
      <c r="G667" s="35" t="n"/>
      <c r="H667" s="35" t="n"/>
      <c r="I667" s="27" t="n"/>
      <c r="J667" s="35" t="n"/>
      <c r="K667" s="35" t="n"/>
      <c r="L667" s="35" t="n"/>
      <c r="M667" s="35" t="n"/>
      <c r="N667" s="35" t="n"/>
      <c r="O667" s="35" t="n"/>
      <c r="P667" s="35" t="n"/>
      <c r="Q667" s="35" t="n"/>
    </row>
    <row r="668" ht="14.25" customHeight="1" s="398">
      <c r="A668" s="35" t="n"/>
      <c r="B668" s="35" t="n"/>
      <c r="C668" s="35" t="n"/>
      <c r="D668" s="35" t="n"/>
      <c r="E668" s="35" t="n"/>
      <c r="F668" s="35" t="n"/>
      <c r="G668" s="35" t="n"/>
      <c r="H668" s="35" t="n"/>
      <c r="I668" s="27" t="n"/>
      <c r="J668" s="35" t="n"/>
      <c r="K668" s="35" t="n"/>
      <c r="L668" s="35" t="n"/>
      <c r="M668" s="35" t="n"/>
      <c r="N668" s="35" t="n"/>
      <c r="O668" s="35" t="n"/>
      <c r="P668" s="35" t="n"/>
      <c r="Q668" s="35" t="n"/>
    </row>
    <row r="669" ht="14.25" customHeight="1" s="398">
      <c r="A669" s="35" t="n"/>
      <c r="B669" s="35" t="n"/>
      <c r="C669" s="35" t="n"/>
      <c r="D669" s="35" t="n"/>
      <c r="E669" s="35" t="n"/>
      <c r="F669" s="35" t="n"/>
      <c r="G669" s="35" t="n"/>
      <c r="H669" s="35" t="n"/>
      <c r="I669" s="27" t="n"/>
      <c r="J669" s="35" t="n"/>
      <c r="K669" s="35" t="n"/>
      <c r="L669" s="35" t="n"/>
      <c r="M669" s="35" t="n"/>
      <c r="N669" s="35" t="n"/>
      <c r="O669" s="35" t="n"/>
      <c r="P669" s="35" t="n"/>
      <c r="Q669" s="35" t="n"/>
    </row>
    <row r="670" ht="14.25" customHeight="1" s="398">
      <c r="A670" s="35" t="n"/>
      <c r="B670" s="35" t="n"/>
      <c r="C670" s="35" t="n"/>
      <c r="D670" s="35" t="n"/>
      <c r="E670" s="35" t="n"/>
      <c r="F670" s="35" t="n"/>
      <c r="G670" s="35" t="n"/>
      <c r="H670" s="35" t="n"/>
      <c r="I670" s="27" t="n"/>
      <c r="J670" s="35" t="n"/>
      <c r="K670" s="35" t="n"/>
      <c r="L670" s="35" t="n"/>
      <c r="M670" s="35" t="n"/>
      <c r="N670" s="35" t="n"/>
      <c r="O670" s="35" t="n"/>
      <c r="P670" s="35" t="n"/>
      <c r="Q670" s="35" t="n"/>
    </row>
    <row r="671" ht="14.25" customHeight="1" s="398">
      <c r="A671" s="35" t="n"/>
      <c r="B671" s="35" t="n"/>
      <c r="C671" s="35" t="n"/>
      <c r="D671" s="35" t="n"/>
      <c r="E671" s="35" t="n"/>
      <c r="F671" s="35" t="n"/>
      <c r="G671" s="35" t="n"/>
      <c r="H671" s="35" t="n"/>
      <c r="I671" s="27" t="n"/>
      <c r="J671" s="35" t="n"/>
      <c r="K671" s="35" t="n"/>
      <c r="L671" s="35" t="n"/>
      <c r="M671" s="35" t="n"/>
      <c r="N671" s="35" t="n"/>
      <c r="O671" s="35" t="n"/>
      <c r="P671" s="35" t="n"/>
      <c r="Q671" s="35" t="n"/>
    </row>
    <row r="672" ht="14.25" customHeight="1" s="398">
      <c r="A672" s="35" t="n"/>
      <c r="B672" s="35" t="n"/>
      <c r="C672" s="35" t="n"/>
      <c r="D672" s="35" t="n"/>
      <c r="E672" s="35" t="n"/>
      <c r="F672" s="35" t="n"/>
      <c r="G672" s="35" t="n"/>
      <c r="H672" s="35" t="n"/>
      <c r="I672" s="27" t="n"/>
      <c r="J672" s="35" t="n"/>
      <c r="K672" s="35" t="n"/>
      <c r="L672" s="35" t="n"/>
      <c r="M672" s="35" t="n"/>
      <c r="N672" s="35" t="n"/>
      <c r="O672" s="35" t="n"/>
      <c r="P672" s="35" t="n"/>
      <c r="Q672" s="35" t="n"/>
    </row>
    <row r="673" ht="14.25" customHeight="1" s="398">
      <c r="A673" s="35" t="n"/>
      <c r="B673" s="35" t="n"/>
      <c r="C673" s="35" t="n"/>
      <c r="D673" s="35" t="n"/>
      <c r="E673" s="35" t="n"/>
      <c r="F673" s="35" t="n"/>
      <c r="G673" s="35" t="n"/>
      <c r="H673" s="35" t="n"/>
      <c r="I673" s="27" t="n"/>
      <c r="J673" s="35" t="n"/>
      <c r="K673" s="35" t="n"/>
      <c r="L673" s="35" t="n"/>
      <c r="M673" s="35" t="n"/>
      <c r="N673" s="35" t="n"/>
      <c r="O673" s="35" t="n"/>
      <c r="P673" s="35" t="n"/>
      <c r="Q673" s="35" t="n"/>
    </row>
    <row r="674" ht="14.25" customHeight="1" s="398">
      <c r="A674" s="35" t="n"/>
      <c r="B674" s="35" t="n"/>
      <c r="C674" s="35" t="n"/>
      <c r="D674" s="35" t="n"/>
      <c r="E674" s="35" t="n"/>
      <c r="F674" s="35" t="n"/>
      <c r="G674" s="35" t="n"/>
      <c r="H674" s="35" t="n"/>
      <c r="I674" s="27" t="n"/>
      <c r="J674" s="35" t="n"/>
      <c r="K674" s="35" t="n"/>
      <c r="L674" s="35" t="n"/>
      <c r="M674" s="35" t="n"/>
      <c r="N674" s="35" t="n"/>
      <c r="O674" s="35" t="n"/>
      <c r="P674" s="35" t="n"/>
      <c r="Q674" s="35" t="n"/>
    </row>
    <row r="675" ht="14.25" customHeight="1" s="398">
      <c r="A675" s="35" t="n"/>
      <c r="B675" s="35" t="n"/>
      <c r="C675" s="35" t="n"/>
      <c r="D675" s="35" t="n"/>
      <c r="E675" s="35" t="n"/>
      <c r="F675" s="35" t="n"/>
      <c r="G675" s="35" t="n"/>
      <c r="H675" s="35" t="n"/>
      <c r="I675" s="27" t="n"/>
      <c r="J675" s="35" t="n"/>
      <c r="K675" s="35" t="n"/>
      <c r="L675" s="35" t="n"/>
      <c r="M675" s="35" t="n"/>
      <c r="N675" s="35" t="n"/>
      <c r="O675" s="35" t="n"/>
      <c r="P675" s="35" t="n"/>
      <c r="Q675" s="35" t="n"/>
    </row>
    <row r="676" ht="14.25" customHeight="1" s="398">
      <c r="A676" s="35" t="n"/>
      <c r="B676" s="35" t="n"/>
      <c r="C676" s="35" t="n"/>
      <c r="D676" s="35" t="n"/>
      <c r="E676" s="35" t="n"/>
      <c r="F676" s="35" t="n"/>
      <c r="G676" s="35" t="n"/>
      <c r="H676" s="35" t="n"/>
      <c r="I676" s="27" t="n"/>
      <c r="J676" s="35" t="n"/>
      <c r="K676" s="35" t="n"/>
      <c r="L676" s="35" t="n"/>
      <c r="M676" s="35" t="n"/>
      <c r="N676" s="35" t="n"/>
      <c r="O676" s="35" t="n"/>
      <c r="P676" s="35" t="n"/>
      <c r="Q676" s="35" t="n"/>
    </row>
    <row r="677" ht="14.25" customHeight="1" s="398">
      <c r="A677" s="35" t="n"/>
      <c r="B677" s="35" t="n"/>
      <c r="C677" s="35" t="n"/>
      <c r="D677" s="35" t="n"/>
      <c r="E677" s="35" t="n"/>
      <c r="F677" s="35" t="n"/>
      <c r="G677" s="35" t="n"/>
      <c r="H677" s="35" t="n"/>
      <c r="I677" s="27" t="n"/>
      <c r="J677" s="35" t="n"/>
      <c r="K677" s="35" t="n"/>
      <c r="L677" s="35" t="n"/>
      <c r="M677" s="35" t="n"/>
      <c r="N677" s="35" t="n"/>
      <c r="O677" s="35" t="n"/>
      <c r="P677" s="35" t="n"/>
      <c r="Q677" s="35" t="n"/>
    </row>
    <row r="678" ht="14.25" customHeight="1" s="398">
      <c r="A678" s="35" t="n"/>
      <c r="B678" s="35" t="n"/>
      <c r="C678" s="35" t="n"/>
      <c r="D678" s="35" t="n"/>
      <c r="E678" s="35" t="n"/>
      <c r="F678" s="35" t="n"/>
      <c r="G678" s="35" t="n"/>
      <c r="H678" s="35" t="n"/>
      <c r="I678" s="27" t="n"/>
      <c r="J678" s="35" t="n"/>
      <c r="K678" s="35" t="n"/>
      <c r="L678" s="35" t="n"/>
      <c r="M678" s="35" t="n"/>
      <c r="N678" s="35" t="n"/>
      <c r="O678" s="35" t="n"/>
      <c r="P678" s="35" t="n"/>
      <c r="Q678" s="35" t="n"/>
    </row>
    <row r="679" ht="14.25" customHeight="1" s="398">
      <c r="A679" s="35" t="n"/>
      <c r="B679" s="35" t="n"/>
      <c r="C679" s="35" t="n"/>
      <c r="D679" s="35" t="n"/>
      <c r="E679" s="35" t="n"/>
      <c r="F679" s="35" t="n"/>
      <c r="G679" s="35" t="n"/>
      <c r="H679" s="35" t="n"/>
      <c r="I679" s="27" t="n"/>
      <c r="J679" s="35" t="n"/>
      <c r="K679" s="35" t="n"/>
      <c r="L679" s="35" t="n"/>
      <c r="M679" s="35" t="n"/>
      <c r="N679" s="35" t="n"/>
      <c r="O679" s="35" t="n"/>
      <c r="P679" s="35" t="n"/>
      <c r="Q679" s="35" t="n"/>
    </row>
    <row r="680" ht="14.25" customHeight="1" s="398">
      <c r="A680" s="35" t="n"/>
      <c r="B680" s="35" t="n"/>
      <c r="C680" s="35" t="n"/>
      <c r="D680" s="35" t="n"/>
      <c r="E680" s="35" t="n"/>
      <c r="F680" s="35" t="n"/>
      <c r="G680" s="35" t="n"/>
      <c r="H680" s="35" t="n"/>
      <c r="I680" s="27" t="n"/>
      <c r="J680" s="35" t="n"/>
      <c r="K680" s="35" t="n"/>
      <c r="L680" s="35" t="n"/>
      <c r="M680" s="35" t="n"/>
      <c r="N680" s="35" t="n"/>
      <c r="O680" s="35" t="n"/>
      <c r="P680" s="35" t="n"/>
      <c r="Q680" s="35" t="n"/>
    </row>
    <row r="681" ht="14.25" customHeight="1" s="398">
      <c r="A681" s="35" t="n"/>
      <c r="B681" s="35" t="n"/>
      <c r="C681" s="35" t="n"/>
      <c r="D681" s="35" t="n"/>
      <c r="E681" s="35" t="n"/>
      <c r="F681" s="35" t="n"/>
      <c r="G681" s="35" t="n"/>
      <c r="H681" s="35" t="n"/>
      <c r="I681" s="27" t="n"/>
      <c r="J681" s="35" t="n"/>
      <c r="K681" s="35" t="n"/>
      <c r="L681" s="35" t="n"/>
      <c r="M681" s="35" t="n"/>
      <c r="N681" s="35" t="n"/>
      <c r="O681" s="35" t="n"/>
      <c r="P681" s="35" t="n"/>
      <c r="Q681" s="35" t="n"/>
    </row>
    <row r="682" ht="14.25" customHeight="1" s="398">
      <c r="A682" s="35" t="n"/>
      <c r="B682" s="35" t="n"/>
      <c r="C682" s="35" t="n"/>
      <c r="D682" s="35" t="n"/>
      <c r="E682" s="35" t="n"/>
      <c r="F682" s="35" t="n"/>
      <c r="G682" s="35" t="n"/>
      <c r="H682" s="35" t="n"/>
      <c r="I682" s="27" t="n"/>
      <c r="J682" s="35" t="n"/>
      <c r="K682" s="35" t="n"/>
      <c r="L682" s="35" t="n"/>
      <c r="M682" s="35" t="n"/>
      <c r="N682" s="35" t="n"/>
      <c r="O682" s="35" t="n"/>
      <c r="P682" s="35" t="n"/>
      <c r="Q682" s="35" t="n"/>
    </row>
    <row r="683" ht="14.25" customHeight="1" s="398">
      <c r="A683" s="35" t="n"/>
      <c r="B683" s="35" t="n"/>
      <c r="C683" s="35" t="n"/>
      <c r="D683" s="35" t="n"/>
      <c r="E683" s="35" t="n"/>
      <c r="F683" s="35" t="n"/>
      <c r="G683" s="35" t="n"/>
      <c r="H683" s="35" t="n"/>
      <c r="I683" s="27" t="n"/>
      <c r="J683" s="35" t="n"/>
      <c r="K683" s="35" t="n"/>
      <c r="L683" s="35" t="n"/>
      <c r="M683" s="35" t="n"/>
      <c r="N683" s="35" t="n"/>
      <c r="O683" s="35" t="n"/>
      <c r="P683" s="35" t="n"/>
      <c r="Q683" s="35" t="n"/>
    </row>
    <row r="684" ht="14.25" customHeight="1" s="398">
      <c r="A684" s="35" t="n"/>
      <c r="B684" s="35" t="n"/>
      <c r="C684" s="35" t="n"/>
      <c r="D684" s="35" t="n"/>
      <c r="E684" s="35" t="n"/>
      <c r="F684" s="35" t="n"/>
      <c r="G684" s="35" t="n"/>
      <c r="H684" s="35" t="n"/>
      <c r="I684" s="27" t="n"/>
      <c r="J684" s="35" t="n"/>
      <c r="K684" s="35" t="n"/>
      <c r="L684" s="35" t="n"/>
      <c r="M684" s="35" t="n"/>
      <c r="N684" s="35" t="n"/>
      <c r="O684" s="35" t="n"/>
      <c r="P684" s="35" t="n"/>
      <c r="Q684" s="35" t="n"/>
    </row>
    <row r="685" ht="14.25" customHeight="1" s="398">
      <c r="A685" s="35" t="n"/>
      <c r="B685" s="35" t="n"/>
      <c r="C685" s="35" t="n"/>
      <c r="D685" s="35" t="n"/>
      <c r="E685" s="35" t="n"/>
      <c r="F685" s="35" t="n"/>
      <c r="G685" s="35" t="n"/>
      <c r="H685" s="35" t="n"/>
      <c r="I685" s="27" t="n"/>
      <c r="J685" s="35" t="n"/>
      <c r="K685" s="35" t="n"/>
      <c r="L685" s="35" t="n"/>
      <c r="M685" s="35" t="n"/>
      <c r="N685" s="35" t="n"/>
      <c r="O685" s="35" t="n"/>
      <c r="P685" s="35" t="n"/>
      <c r="Q685" s="35" t="n"/>
    </row>
    <row r="686" ht="14.25" customHeight="1" s="398">
      <c r="A686" s="35" t="n"/>
      <c r="B686" s="35" t="n"/>
      <c r="C686" s="35" t="n"/>
      <c r="D686" s="35" t="n"/>
      <c r="E686" s="35" t="n"/>
      <c r="F686" s="35" t="n"/>
      <c r="G686" s="35" t="n"/>
      <c r="H686" s="35" t="n"/>
      <c r="I686" s="27" t="n"/>
      <c r="J686" s="35" t="n"/>
      <c r="K686" s="35" t="n"/>
      <c r="L686" s="35" t="n"/>
      <c r="M686" s="35" t="n"/>
      <c r="N686" s="35" t="n"/>
      <c r="O686" s="35" t="n"/>
      <c r="P686" s="35" t="n"/>
      <c r="Q686" s="35" t="n"/>
    </row>
    <row r="687" ht="14.25" customHeight="1" s="398">
      <c r="A687" s="35" t="n"/>
      <c r="B687" s="35" t="n"/>
      <c r="C687" s="35" t="n"/>
      <c r="D687" s="35" t="n"/>
      <c r="E687" s="35" t="n"/>
      <c r="F687" s="35" t="n"/>
      <c r="G687" s="35" t="n"/>
      <c r="H687" s="35" t="n"/>
      <c r="I687" s="27" t="n"/>
      <c r="J687" s="35" t="n"/>
      <c r="K687" s="35" t="n"/>
      <c r="L687" s="35" t="n"/>
      <c r="M687" s="35" t="n"/>
      <c r="N687" s="35" t="n"/>
      <c r="O687" s="35" t="n"/>
      <c r="P687" s="35" t="n"/>
      <c r="Q687" s="35" t="n"/>
    </row>
    <row r="688" ht="14.25" customHeight="1" s="398">
      <c r="A688" s="35" t="n"/>
      <c r="B688" s="35" t="n"/>
      <c r="C688" s="35" t="n"/>
      <c r="D688" s="35" t="n"/>
      <c r="E688" s="35" t="n"/>
      <c r="F688" s="35" t="n"/>
      <c r="G688" s="35" t="n"/>
      <c r="H688" s="35" t="n"/>
      <c r="I688" s="27" t="n"/>
      <c r="J688" s="35" t="n"/>
      <c r="K688" s="35" t="n"/>
      <c r="L688" s="35" t="n"/>
      <c r="M688" s="35" t="n"/>
      <c r="N688" s="35" t="n"/>
      <c r="O688" s="35" t="n"/>
      <c r="P688" s="35" t="n"/>
      <c r="Q688" s="35" t="n"/>
    </row>
    <row r="689" ht="14.25" customHeight="1" s="398">
      <c r="A689" s="35" t="n"/>
      <c r="B689" s="35" t="n"/>
      <c r="C689" s="35" t="n"/>
      <c r="D689" s="35" t="n"/>
      <c r="E689" s="35" t="n"/>
      <c r="F689" s="35" t="n"/>
      <c r="G689" s="35" t="n"/>
      <c r="H689" s="35" t="n"/>
      <c r="I689" s="27" t="n"/>
      <c r="J689" s="35" t="n"/>
      <c r="K689" s="35" t="n"/>
      <c r="L689" s="35" t="n"/>
      <c r="M689" s="35" t="n"/>
      <c r="N689" s="35" t="n"/>
      <c r="O689" s="35" t="n"/>
      <c r="P689" s="35" t="n"/>
      <c r="Q689" s="35" t="n"/>
    </row>
    <row r="690" ht="14.25" customHeight="1" s="398">
      <c r="A690" s="35" t="n"/>
      <c r="B690" s="35" t="n"/>
      <c r="C690" s="35" t="n"/>
      <c r="D690" s="35" t="n"/>
      <c r="E690" s="35" t="n"/>
      <c r="F690" s="35" t="n"/>
      <c r="G690" s="35" t="n"/>
      <c r="H690" s="35" t="n"/>
      <c r="I690" s="27" t="n"/>
      <c r="J690" s="35" t="n"/>
      <c r="K690" s="35" t="n"/>
      <c r="L690" s="35" t="n"/>
      <c r="M690" s="35" t="n"/>
      <c r="N690" s="35" t="n"/>
      <c r="O690" s="35" t="n"/>
      <c r="P690" s="35" t="n"/>
      <c r="Q690" s="35" t="n"/>
    </row>
    <row r="691" ht="14.25" customHeight="1" s="398">
      <c r="A691" s="35" t="n"/>
      <c r="B691" s="35" t="n"/>
      <c r="C691" s="35" t="n"/>
      <c r="D691" s="35" t="n"/>
      <c r="E691" s="35" t="n"/>
      <c r="F691" s="35" t="n"/>
      <c r="G691" s="35" t="n"/>
      <c r="H691" s="35" t="n"/>
      <c r="I691" s="27" t="n"/>
      <c r="J691" s="35" t="n"/>
      <c r="K691" s="35" t="n"/>
      <c r="L691" s="35" t="n"/>
      <c r="M691" s="35" t="n"/>
      <c r="N691" s="35" t="n"/>
      <c r="O691" s="35" t="n"/>
      <c r="P691" s="35" t="n"/>
      <c r="Q691" s="35" t="n"/>
    </row>
    <row r="692" ht="14.25" customHeight="1" s="398">
      <c r="A692" s="35" t="n"/>
      <c r="B692" s="35" t="n"/>
      <c r="C692" s="35" t="n"/>
      <c r="D692" s="35" t="n"/>
      <c r="E692" s="35" t="n"/>
      <c r="F692" s="35" t="n"/>
      <c r="G692" s="35" t="n"/>
      <c r="H692" s="35" t="n"/>
      <c r="I692" s="27" t="n"/>
      <c r="J692" s="35" t="n"/>
      <c r="K692" s="35" t="n"/>
      <c r="L692" s="35" t="n"/>
      <c r="M692" s="35" t="n"/>
      <c r="N692" s="35" t="n"/>
      <c r="O692" s="35" t="n"/>
      <c r="P692" s="35" t="n"/>
      <c r="Q692" s="35" t="n"/>
    </row>
    <row r="693" ht="14.25" customHeight="1" s="398">
      <c r="A693" s="35" t="n"/>
      <c r="B693" s="35" t="n"/>
      <c r="C693" s="35" t="n"/>
      <c r="D693" s="35" t="n"/>
      <c r="E693" s="35" t="n"/>
      <c r="F693" s="35" t="n"/>
      <c r="G693" s="35" t="n"/>
      <c r="H693" s="35" t="n"/>
      <c r="I693" s="27" t="n"/>
      <c r="J693" s="35" t="n"/>
      <c r="K693" s="35" t="n"/>
      <c r="L693" s="35" t="n"/>
      <c r="M693" s="35" t="n"/>
      <c r="N693" s="35" t="n"/>
      <c r="O693" s="35" t="n"/>
      <c r="P693" s="35" t="n"/>
      <c r="Q693" s="35" t="n"/>
    </row>
    <row r="694" ht="14.25" customHeight="1" s="398">
      <c r="A694" s="35" t="n"/>
      <c r="B694" s="35" t="n"/>
      <c r="C694" s="35" t="n"/>
      <c r="D694" s="35" t="n"/>
      <c r="E694" s="35" t="n"/>
      <c r="F694" s="35" t="n"/>
      <c r="G694" s="35" t="n"/>
      <c r="H694" s="35" t="n"/>
      <c r="I694" s="27" t="n"/>
      <c r="J694" s="35" t="n"/>
      <c r="K694" s="35" t="n"/>
      <c r="L694" s="35" t="n"/>
      <c r="M694" s="35" t="n"/>
      <c r="N694" s="35" t="n"/>
      <c r="O694" s="35" t="n"/>
      <c r="P694" s="35" t="n"/>
      <c r="Q694" s="35" t="n"/>
    </row>
    <row r="695" ht="14.25" customHeight="1" s="398">
      <c r="A695" s="35" t="n"/>
      <c r="B695" s="35" t="n"/>
      <c r="C695" s="35" t="n"/>
      <c r="D695" s="35" t="n"/>
      <c r="E695" s="35" t="n"/>
      <c r="F695" s="35" t="n"/>
      <c r="G695" s="35" t="n"/>
      <c r="H695" s="35" t="n"/>
      <c r="I695" s="27" t="n"/>
      <c r="J695" s="35" t="n"/>
      <c r="K695" s="35" t="n"/>
      <c r="L695" s="35" t="n"/>
      <c r="M695" s="35" t="n"/>
      <c r="N695" s="35" t="n"/>
      <c r="O695" s="35" t="n"/>
      <c r="P695" s="35" t="n"/>
      <c r="Q695" s="35" t="n"/>
    </row>
    <row r="696" ht="14.25" customHeight="1" s="398">
      <c r="A696" s="35" t="n"/>
      <c r="B696" s="35" t="n"/>
      <c r="C696" s="35" t="n"/>
      <c r="D696" s="35" t="n"/>
      <c r="E696" s="35" t="n"/>
      <c r="F696" s="35" t="n"/>
      <c r="G696" s="35" t="n"/>
      <c r="H696" s="35" t="n"/>
      <c r="I696" s="27" t="n"/>
      <c r="J696" s="35" t="n"/>
      <c r="K696" s="35" t="n"/>
      <c r="L696" s="35" t="n"/>
      <c r="M696" s="35" t="n"/>
      <c r="N696" s="35" t="n"/>
      <c r="O696" s="35" t="n"/>
      <c r="P696" s="35" t="n"/>
      <c r="Q696" s="35" t="n"/>
    </row>
    <row r="697" ht="14.25" customHeight="1" s="398">
      <c r="A697" s="35" t="n"/>
      <c r="B697" s="35" t="n"/>
      <c r="C697" s="35" t="n"/>
      <c r="D697" s="35" t="n"/>
      <c r="E697" s="35" t="n"/>
      <c r="F697" s="35" t="n"/>
      <c r="G697" s="35" t="n"/>
      <c r="H697" s="35" t="n"/>
      <c r="I697" s="27" t="n"/>
      <c r="J697" s="35" t="n"/>
      <c r="K697" s="35" t="n"/>
      <c r="L697" s="35" t="n"/>
      <c r="M697" s="35" t="n"/>
      <c r="N697" s="35" t="n"/>
      <c r="O697" s="35" t="n"/>
      <c r="P697" s="35" t="n"/>
      <c r="Q697" s="35" t="n"/>
    </row>
    <row r="698" ht="14.25" customHeight="1" s="398">
      <c r="A698" s="35" t="n"/>
      <c r="B698" s="35" t="n"/>
      <c r="C698" s="35" t="n"/>
      <c r="D698" s="35" t="n"/>
      <c r="E698" s="35" t="n"/>
      <c r="F698" s="35" t="n"/>
      <c r="G698" s="35" t="n"/>
      <c r="H698" s="35" t="n"/>
      <c r="I698" s="27" t="n"/>
      <c r="J698" s="35" t="n"/>
      <c r="K698" s="35" t="n"/>
      <c r="L698" s="35" t="n"/>
      <c r="M698" s="35" t="n"/>
      <c r="N698" s="35" t="n"/>
      <c r="O698" s="35" t="n"/>
      <c r="P698" s="35" t="n"/>
      <c r="Q698" s="35" t="n"/>
    </row>
    <row r="699" ht="14.25" customHeight="1" s="398">
      <c r="A699" s="35" t="n"/>
      <c r="B699" s="35" t="n"/>
      <c r="C699" s="35" t="n"/>
      <c r="D699" s="35" t="n"/>
      <c r="E699" s="35" t="n"/>
      <c r="F699" s="35" t="n"/>
      <c r="G699" s="35" t="n"/>
      <c r="H699" s="35" t="n"/>
      <c r="I699" s="27" t="n"/>
      <c r="J699" s="35" t="n"/>
      <c r="K699" s="35" t="n"/>
      <c r="L699" s="35" t="n"/>
      <c r="M699" s="35" t="n"/>
      <c r="N699" s="35" t="n"/>
      <c r="O699" s="35" t="n"/>
      <c r="P699" s="35" t="n"/>
      <c r="Q699" s="35" t="n"/>
    </row>
    <row r="700" ht="14.25" customHeight="1" s="398">
      <c r="A700" s="35" t="n"/>
      <c r="B700" s="35" t="n"/>
      <c r="C700" s="35" t="n"/>
      <c r="D700" s="35" t="n"/>
      <c r="E700" s="35" t="n"/>
      <c r="F700" s="35" t="n"/>
      <c r="G700" s="35" t="n"/>
      <c r="H700" s="35" t="n"/>
      <c r="I700" s="27" t="n"/>
      <c r="J700" s="35" t="n"/>
      <c r="K700" s="35" t="n"/>
      <c r="L700" s="35" t="n"/>
      <c r="M700" s="35" t="n"/>
      <c r="N700" s="35" t="n"/>
      <c r="O700" s="35" t="n"/>
      <c r="P700" s="35" t="n"/>
      <c r="Q700" s="35" t="n"/>
    </row>
    <row r="701" ht="14.25" customHeight="1" s="398">
      <c r="A701" s="35" t="n"/>
      <c r="B701" s="35" t="n"/>
      <c r="C701" s="35" t="n"/>
      <c r="D701" s="35" t="n"/>
      <c r="E701" s="35" t="n"/>
      <c r="F701" s="35" t="n"/>
      <c r="G701" s="35" t="n"/>
      <c r="H701" s="35" t="n"/>
      <c r="I701" s="27" t="n"/>
      <c r="J701" s="35" t="n"/>
      <c r="K701" s="35" t="n"/>
      <c r="L701" s="35" t="n"/>
      <c r="M701" s="35" t="n"/>
      <c r="N701" s="35" t="n"/>
      <c r="O701" s="35" t="n"/>
      <c r="P701" s="35" t="n"/>
      <c r="Q701" s="35" t="n"/>
    </row>
    <row r="702" ht="14.25" customHeight="1" s="398">
      <c r="A702" s="35" t="n"/>
      <c r="B702" s="35" t="n"/>
      <c r="C702" s="35" t="n"/>
      <c r="D702" s="35" t="n"/>
      <c r="E702" s="35" t="n"/>
      <c r="F702" s="35" t="n"/>
      <c r="G702" s="35" t="n"/>
      <c r="H702" s="35" t="n"/>
      <c r="I702" s="27" t="n"/>
      <c r="J702" s="35" t="n"/>
      <c r="K702" s="35" t="n"/>
      <c r="L702" s="35" t="n"/>
      <c r="M702" s="35" t="n"/>
      <c r="N702" s="35" t="n"/>
      <c r="O702" s="35" t="n"/>
      <c r="P702" s="35" t="n"/>
      <c r="Q702" s="35" t="n"/>
    </row>
    <row r="703" ht="14.25" customHeight="1" s="398">
      <c r="A703" s="35" t="n"/>
      <c r="B703" s="35" t="n"/>
      <c r="C703" s="35" t="n"/>
      <c r="D703" s="35" t="n"/>
      <c r="E703" s="35" t="n"/>
      <c r="F703" s="35" t="n"/>
      <c r="G703" s="35" t="n"/>
      <c r="H703" s="35" t="n"/>
      <c r="I703" s="27" t="n"/>
      <c r="J703" s="35" t="n"/>
      <c r="K703" s="35" t="n"/>
      <c r="L703" s="35" t="n"/>
      <c r="M703" s="35" t="n"/>
      <c r="N703" s="35" t="n"/>
      <c r="O703" s="35" t="n"/>
      <c r="P703" s="35" t="n"/>
      <c r="Q703" s="35" t="n"/>
    </row>
    <row r="704" ht="14.25" customHeight="1" s="398">
      <c r="A704" s="35" t="n"/>
      <c r="B704" s="35" t="n"/>
      <c r="C704" s="35" t="n"/>
      <c r="D704" s="35" t="n"/>
      <c r="E704" s="35" t="n"/>
      <c r="F704" s="35" t="n"/>
      <c r="G704" s="35" t="n"/>
      <c r="H704" s="35" t="n"/>
      <c r="I704" s="27" t="n"/>
      <c r="J704" s="35" t="n"/>
      <c r="K704" s="35" t="n"/>
      <c r="L704" s="35" t="n"/>
      <c r="M704" s="35" t="n"/>
      <c r="N704" s="35" t="n"/>
      <c r="O704" s="35" t="n"/>
      <c r="P704" s="35" t="n"/>
      <c r="Q704" s="35" t="n"/>
    </row>
    <row r="705" ht="14.25" customHeight="1" s="398">
      <c r="A705" s="35" t="n"/>
      <c r="B705" s="35" t="n"/>
      <c r="C705" s="35" t="n"/>
      <c r="D705" s="35" t="n"/>
      <c r="E705" s="35" t="n"/>
      <c r="F705" s="35" t="n"/>
      <c r="G705" s="35" t="n"/>
      <c r="H705" s="35" t="n"/>
      <c r="I705" s="27" t="n"/>
      <c r="J705" s="35" t="n"/>
      <c r="K705" s="35" t="n"/>
      <c r="L705" s="35" t="n"/>
      <c r="M705" s="35" t="n"/>
      <c r="N705" s="35" t="n"/>
      <c r="O705" s="35" t="n"/>
      <c r="P705" s="35" t="n"/>
      <c r="Q705" s="35" t="n"/>
    </row>
    <row r="706" ht="14.25" customHeight="1" s="398">
      <c r="A706" s="35" t="n"/>
      <c r="B706" s="35" t="n"/>
      <c r="C706" s="35" t="n"/>
      <c r="D706" s="35" t="n"/>
      <c r="E706" s="35" t="n"/>
      <c r="F706" s="35" t="n"/>
      <c r="G706" s="35" t="n"/>
      <c r="H706" s="35" t="n"/>
      <c r="I706" s="27" t="n"/>
      <c r="J706" s="35" t="n"/>
      <c r="K706" s="35" t="n"/>
      <c r="L706" s="35" t="n"/>
      <c r="M706" s="35" t="n"/>
      <c r="N706" s="35" t="n"/>
      <c r="O706" s="35" t="n"/>
      <c r="P706" s="35" t="n"/>
      <c r="Q706" s="35" t="n"/>
    </row>
    <row r="707" ht="14.25" customHeight="1" s="398">
      <c r="A707" s="35" t="n"/>
      <c r="B707" s="35" t="n"/>
      <c r="C707" s="35" t="n"/>
      <c r="D707" s="35" t="n"/>
      <c r="E707" s="35" t="n"/>
      <c r="F707" s="35" t="n"/>
      <c r="G707" s="35" t="n"/>
      <c r="H707" s="35" t="n"/>
      <c r="I707" s="27" t="n"/>
      <c r="J707" s="35" t="n"/>
      <c r="K707" s="35" t="n"/>
      <c r="L707" s="35" t="n"/>
      <c r="M707" s="35" t="n"/>
      <c r="N707" s="35" t="n"/>
      <c r="O707" s="35" t="n"/>
      <c r="P707" s="35" t="n"/>
      <c r="Q707" s="35" t="n"/>
    </row>
    <row r="708" ht="14.25" customHeight="1" s="398">
      <c r="A708" s="35" t="n"/>
      <c r="B708" s="35" t="n"/>
      <c r="C708" s="35" t="n"/>
      <c r="D708" s="35" t="n"/>
      <c r="E708" s="35" t="n"/>
      <c r="F708" s="35" t="n"/>
      <c r="G708" s="35" t="n"/>
      <c r="H708" s="35" t="n"/>
      <c r="I708" s="27" t="n"/>
      <c r="J708" s="35" t="n"/>
      <c r="K708" s="35" t="n"/>
      <c r="L708" s="35" t="n"/>
      <c r="M708" s="35" t="n"/>
      <c r="N708" s="35" t="n"/>
      <c r="O708" s="35" t="n"/>
      <c r="P708" s="35" t="n"/>
      <c r="Q708" s="35" t="n"/>
    </row>
    <row r="709" ht="14.25" customHeight="1" s="398">
      <c r="A709" s="35" t="n"/>
      <c r="B709" s="35" t="n"/>
      <c r="C709" s="35" t="n"/>
      <c r="D709" s="35" t="n"/>
      <c r="E709" s="35" t="n"/>
      <c r="F709" s="35" t="n"/>
      <c r="G709" s="35" t="n"/>
      <c r="H709" s="35" t="n"/>
      <c r="I709" s="27" t="n"/>
      <c r="J709" s="35" t="n"/>
      <c r="K709" s="35" t="n"/>
      <c r="L709" s="35" t="n"/>
      <c r="M709" s="35" t="n"/>
      <c r="N709" s="35" t="n"/>
      <c r="O709" s="35" t="n"/>
      <c r="P709" s="35" t="n"/>
      <c r="Q709" s="35" t="n"/>
    </row>
    <row r="710" ht="14.25" customHeight="1" s="398">
      <c r="A710" s="35" t="n"/>
      <c r="B710" s="35" t="n"/>
      <c r="C710" s="35" t="n"/>
      <c r="D710" s="35" t="n"/>
      <c r="E710" s="35" t="n"/>
      <c r="F710" s="35" t="n"/>
      <c r="G710" s="35" t="n"/>
      <c r="H710" s="35" t="n"/>
      <c r="I710" s="27" t="n"/>
      <c r="J710" s="35" t="n"/>
      <c r="K710" s="35" t="n"/>
      <c r="L710" s="35" t="n"/>
      <c r="M710" s="35" t="n"/>
      <c r="N710" s="35" t="n"/>
      <c r="O710" s="35" t="n"/>
      <c r="P710" s="35" t="n"/>
      <c r="Q710" s="35" t="n"/>
    </row>
    <row r="711" ht="14.25" customHeight="1" s="398">
      <c r="A711" s="35" t="n"/>
      <c r="B711" s="35" t="n"/>
      <c r="C711" s="35" t="n"/>
      <c r="D711" s="35" t="n"/>
      <c r="E711" s="35" t="n"/>
      <c r="F711" s="35" t="n"/>
      <c r="G711" s="35" t="n"/>
      <c r="H711" s="35" t="n"/>
      <c r="I711" s="27" t="n"/>
      <c r="J711" s="35" t="n"/>
      <c r="K711" s="35" t="n"/>
      <c r="L711" s="35" t="n"/>
      <c r="M711" s="35" t="n"/>
      <c r="N711" s="35" t="n"/>
      <c r="O711" s="35" t="n"/>
      <c r="P711" s="35" t="n"/>
      <c r="Q711" s="35" t="n"/>
    </row>
    <row r="712" ht="14.25" customHeight="1" s="398">
      <c r="A712" s="35" t="n"/>
      <c r="B712" s="35" t="n"/>
      <c r="C712" s="35" t="n"/>
      <c r="D712" s="35" t="n"/>
      <c r="E712" s="35" t="n"/>
      <c r="F712" s="35" t="n"/>
      <c r="G712" s="35" t="n"/>
      <c r="H712" s="35" t="n"/>
      <c r="I712" s="27" t="n"/>
      <c r="J712" s="35" t="n"/>
      <c r="K712" s="35" t="n"/>
      <c r="L712" s="35" t="n"/>
      <c r="M712" s="35" t="n"/>
      <c r="N712" s="35" t="n"/>
      <c r="O712" s="35" t="n"/>
      <c r="P712" s="35" t="n"/>
      <c r="Q712" s="35" t="n"/>
    </row>
    <row r="713" ht="14.25" customHeight="1" s="398">
      <c r="A713" s="35" t="n"/>
      <c r="B713" s="35" t="n"/>
      <c r="C713" s="35" t="n"/>
      <c r="D713" s="35" t="n"/>
      <c r="E713" s="35" t="n"/>
      <c r="F713" s="35" t="n"/>
      <c r="G713" s="35" t="n"/>
      <c r="H713" s="35" t="n"/>
      <c r="I713" s="27" t="n"/>
      <c r="J713" s="35" t="n"/>
      <c r="K713" s="35" t="n"/>
      <c r="L713" s="35" t="n"/>
      <c r="M713" s="35" t="n"/>
      <c r="N713" s="35" t="n"/>
      <c r="O713" s="35" t="n"/>
      <c r="P713" s="35" t="n"/>
      <c r="Q713" s="35" t="n"/>
    </row>
    <row r="714" ht="14.25" customHeight="1" s="398">
      <c r="A714" s="35" t="n"/>
      <c r="B714" s="35" t="n"/>
      <c r="C714" s="35" t="n"/>
      <c r="D714" s="35" t="n"/>
      <c r="E714" s="35" t="n"/>
      <c r="F714" s="35" t="n"/>
      <c r="G714" s="35" t="n"/>
      <c r="H714" s="35" t="n"/>
      <c r="I714" s="27" t="n"/>
      <c r="J714" s="35" t="n"/>
      <c r="K714" s="35" t="n"/>
      <c r="L714" s="35" t="n"/>
      <c r="M714" s="35" t="n"/>
      <c r="N714" s="35" t="n"/>
      <c r="O714" s="35" t="n"/>
      <c r="P714" s="35" t="n"/>
      <c r="Q714" s="35" t="n"/>
    </row>
    <row r="715" ht="14.25" customHeight="1" s="398">
      <c r="A715" s="35" t="n"/>
      <c r="B715" s="35" t="n"/>
      <c r="C715" s="35" t="n"/>
      <c r="D715" s="35" t="n"/>
      <c r="E715" s="35" t="n"/>
      <c r="F715" s="35" t="n"/>
      <c r="G715" s="35" t="n"/>
      <c r="H715" s="35" t="n"/>
      <c r="I715" s="27" t="n"/>
      <c r="J715" s="35" t="n"/>
      <c r="K715" s="35" t="n"/>
      <c r="L715" s="35" t="n"/>
      <c r="M715" s="35" t="n"/>
      <c r="N715" s="35" t="n"/>
      <c r="O715" s="35" t="n"/>
      <c r="P715" s="35" t="n"/>
      <c r="Q715" s="35" t="n"/>
    </row>
    <row r="716" ht="14.25" customHeight="1" s="398">
      <c r="A716" s="35" t="n"/>
      <c r="B716" s="35" t="n"/>
      <c r="C716" s="35" t="n"/>
      <c r="D716" s="35" t="n"/>
      <c r="E716" s="35" t="n"/>
      <c r="F716" s="35" t="n"/>
      <c r="G716" s="35" t="n"/>
      <c r="H716" s="35" t="n"/>
      <c r="I716" s="27" t="n"/>
      <c r="J716" s="35" t="n"/>
      <c r="K716" s="35" t="n"/>
      <c r="L716" s="35" t="n"/>
      <c r="M716" s="35" t="n"/>
      <c r="N716" s="35" t="n"/>
      <c r="O716" s="35" t="n"/>
      <c r="P716" s="35" t="n"/>
      <c r="Q716" s="35" t="n"/>
    </row>
    <row r="717" ht="14.25" customHeight="1" s="398">
      <c r="A717" s="35" t="n"/>
      <c r="B717" s="35" t="n"/>
      <c r="C717" s="35" t="n"/>
      <c r="D717" s="35" t="n"/>
      <c r="E717" s="35" t="n"/>
      <c r="F717" s="35" t="n"/>
      <c r="G717" s="35" t="n"/>
      <c r="H717" s="35" t="n"/>
      <c r="I717" s="27" t="n"/>
      <c r="J717" s="35" t="n"/>
      <c r="K717" s="35" t="n"/>
      <c r="L717" s="35" t="n"/>
      <c r="M717" s="35" t="n"/>
      <c r="N717" s="35" t="n"/>
      <c r="O717" s="35" t="n"/>
      <c r="P717" s="35" t="n"/>
      <c r="Q717" s="35" t="n"/>
    </row>
    <row r="718" ht="14.25" customHeight="1" s="398">
      <c r="A718" s="35" t="n"/>
      <c r="B718" s="35" t="n"/>
      <c r="C718" s="35" t="n"/>
      <c r="D718" s="35" t="n"/>
      <c r="E718" s="35" t="n"/>
      <c r="F718" s="35" t="n"/>
      <c r="G718" s="35" t="n"/>
      <c r="H718" s="35" t="n"/>
      <c r="I718" s="27" t="n"/>
      <c r="J718" s="35" t="n"/>
      <c r="K718" s="35" t="n"/>
      <c r="L718" s="35" t="n"/>
      <c r="M718" s="35" t="n"/>
      <c r="N718" s="35" t="n"/>
      <c r="O718" s="35" t="n"/>
      <c r="P718" s="35" t="n"/>
      <c r="Q718" s="35" t="n"/>
    </row>
    <row r="719" ht="14.25" customHeight="1" s="398">
      <c r="A719" s="35" t="n"/>
      <c r="B719" s="35" t="n"/>
      <c r="C719" s="35" t="n"/>
      <c r="D719" s="35" t="n"/>
      <c r="E719" s="35" t="n"/>
      <c r="F719" s="35" t="n"/>
      <c r="G719" s="35" t="n"/>
      <c r="H719" s="35" t="n"/>
      <c r="I719" s="27" t="n"/>
      <c r="J719" s="35" t="n"/>
      <c r="K719" s="35" t="n"/>
      <c r="L719" s="35" t="n"/>
      <c r="M719" s="35" t="n"/>
      <c r="N719" s="35" t="n"/>
      <c r="O719" s="35" t="n"/>
      <c r="P719" s="35" t="n"/>
      <c r="Q719" s="35" t="n"/>
    </row>
    <row r="720" ht="14.25" customHeight="1" s="398">
      <c r="A720" s="35" t="n"/>
      <c r="B720" s="35" t="n"/>
      <c r="C720" s="35" t="n"/>
      <c r="D720" s="35" t="n"/>
      <c r="E720" s="35" t="n"/>
      <c r="F720" s="35" t="n"/>
      <c r="G720" s="35" t="n"/>
      <c r="H720" s="35" t="n"/>
      <c r="I720" s="27" t="n"/>
      <c r="J720" s="35" t="n"/>
      <c r="K720" s="35" t="n"/>
      <c r="L720" s="35" t="n"/>
      <c r="M720" s="35" t="n"/>
      <c r="N720" s="35" t="n"/>
      <c r="O720" s="35" t="n"/>
      <c r="P720" s="35" t="n"/>
      <c r="Q720" s="35" t="n"/>
    </row>
    <row r="721" ht="14.25" customHeight="1" s="398">
      <c r="A721" s="35" t="n"/>
      <c r="B721" s="35" t="n"/>
      <c r="C721" s="35" t="n"/>
      <c r="D721" s="35" t="n"/>
      <c r="E721" s="35" t="n"/>
      <c r="F721" s="35" t="n"/>
      <c r="G721" s="35" t="n"/>
      <c r="H721" s="35" t="n"/>
      <c r="I721" s="27" t="n"/>
      <c r="J721" s="35" t="n"/>
      <c r="K721" s="35" t="n"/>
      <c r="L721" s="35" t="n"/>
      <c r="M721" s="35" t="n"/>
      <c r="N721" s="35" t="n"/>
      <c r="O721" s="35" t="n"/>
      <c r="P721" s="35" t="n"/>
      <c r="Q721" s="35" t="n"/>
    </row>
    <row r="722" ht="14.25" customHeight="1" s="398">
      <c r="A722" s="35" t="n"/>
      <c r="B722" s="35" t="n"/>
      <c r="C722" s="35" t="n"/>
      <c r="D722" s="35" t="n"/>
      <c r="E722" s="35" t="n"/>
      <c r="F722" s="35" t="n"/>
      <c r="G722" s="35" t="n"/>
      <c r="H722" s="35" t="n"/>
      <c r="I722" s="27" t="n"/>
      <c r="J722" s="35" t="n"/>
      <c r="K722" s="35" t="n"/>
      <c r="L722" s="35" t="n"/>
      <c r="M722" s="35" t="n"/>
      <c r="N722" s="35" t="n"/>
      <c r="O722" s="35" t="n"/>
      <c r="P722" s="35" t="n"/>
      <c r="Q722" s="35" t="n"/>
    </row>
    <row r="723" ht="14.25" customHeight="1" s="398">
      <c r="A723" s="35" t="n"/>
      <c r="B723" s="35" t="n"/>
      <c r="C723" s="35" t="n"/>
      <c r="D723" s="35" t="n"/>
      <c r="E723" s="35" t="n"/>
      <c r="F723" s="35" t="n"/>
      <c r="G723" s="35" t="n"/>
      <c r="H723" s="35" t="n"/>
      <c r="I723" s="27" t="n"/>
      <c r="J723" s="35" t="n"/>
      <c r="K723" s="35" t="n"/>
      <c r="L723" s="35" t="n"/>
      <c r="M723" s="35" t="n"/>
      <c r="N723" s="35" t="n"/>
      <c r="O723" s="35" t="n"/>
      <c r="P723" s="35" t="n"/>
      <c r="Q723" s="35" t="n"/>
    </row>
    <row r="724" ht="14.25" customHeight="1" s="398">
      <c r="A724" s="35" t="n"/>
      <c r="B724" s="35" t="n"/>
      <c r="C724" s="35" t="n"/>
      <c r="D724" s="35" t="n"/>
      <c r="E724" s="35" t="n"/>
      <c r="F724" s="35" t="n"/>
      <c r="G724" s="35" t="n"/>
      <c r="H724" s="35" t="n"/>
      <c r="I724" s="27" t="n"/>
      <c r="J724" s="35" t="n"/>
      <c r="K724" s="35" t="n"/>
      <c r="L724" s="35" t="n"/>
      <c r="M724" s="35" t="n"/>
      <c r="N724" s="35" t="n"/>
      <c r="O724" s="35" t="n"/>
      <c r="P724" s="35" t="n"/>
      <c r="Q724" s="35" t="n"/>
    </row>
    <row r="725" ht="14.25" customHeight="1" s="398">
      <c r="A725" s="35" t="n"/>
      <c r="B725" s="35" t="n"/>
      <c r="C725" s="35" t="n"/>
      <c r="D725" s="35" t="n"/>
      <c r="E725" s="35" t="n"/>
      <c r="F725" s="35" t="n"/>
      <c r="G725" s="35" t="n"/>
      <c r="H725" s="35" t="n"/>
      <c r="I725" s="27" t="n"/>
      <c r="J725" s="35" t="n"/>
      <c r="K725" s="35" t="n"/>
      <c r="L725" s="35" t="n"/>
      <c r="M725" s="35" t="n"/>
      <c r="N725" s="35" t="n"/>
      <c r="O725" s="35" t="n"/>
      <c r="P725" s="35" t="n"/>
      <c r="Q725" s="35" t="n"/>
    </row>
    <row r="726" ht="14.25" customHeight="1" s="398">
      <c r="A726" s="35" t="n"/>
      <c r="B726" s="35" t="n"/>
      <c r="C726" s="35" t="n"/>
      <c r="D726" s="35" t="n"/>
      <c r="E726" s="35" t="n"/>
      <c r="F726" s="35" t="n"/>
      <c r="G726" s="35" t="n"/>
      <c r="H726" s="35" t="n"/>
      <c r="I726" s="27" t="n"/>
      <c r="J726" s="35" t="n"/>
      <c r="K726" s="35" t="n"/>
      <c r="L726" s="35" t="n"/>
      <c r="M726" s="35" t="n"/>
      <c r="N726" s="35" t="n"/>
      <c r="O726" s="35" t="n"/>
      <c r="P726" s="35" t="n"/>
      <c r="Q726" s="35" t="n"/>
    </row>
    <row r="727" ht="14.25" customHeight="1" s="398">
      <c r="A727" s="35" t="n"/>
      <c r="B727" s="35" t="n"/>
      <c r="C727" s="35" t="n"/>
      <c r="D727" s="35" t="n"/>
      <c r="E727" s="35" t="n"/>
      <c r="F727" s="35" t="n"/>
      <c r="G727" s="35" t="n"/>
      <c r="H727" s="35" t="n"/>
      <c r="I727" s="27" t="n"/>
      <c r="J727" s="35" t="n"/>
      <c r="K727" s="35" t="n"/>
      <c r="L727" s="35" t="n"/>
      <c r="M727" s="35" t="n"/>
      <c r="N727" s="35" t="n"/>
      <c r="O727" s="35" t="n"/>
      <c r="P727" s="35" t="n"/>
      <c r="Q727" s="35" t="n"/>
    </row>
    <row r="728" ht="14.25" customHeight="1" s="398">
      <c r="A728" s="35" t="n"/>
      <c r="B728" s="35" t="n"/>
      <c r="C728" s="35" t="n"/>
      <c r="D728" s="35" t="n"/>
      <c r="E728" s="35" t="n"/>
      <c r="F728" s="35" t="n"/>
      <c r="G728" s="35" t="n"/>
      <c r="H728" s="35" t="n"/>
      <c r="I728" s="27" t="n"/>
      <c r="J728" s="35" t="n"/>
      <c r="K728" s="35" t="n"/>
      <c r="L728" s="35" t="n"/>
      <c r="M728" s="35" t="n"/>
      <c r="N728" s="35" t="n"/>
      <c r="O728" s="35" t="n"/>
      <c r="P728" s="35" t="n"/>
      <c r="Q728" s="35" t="n"/>
    </row>
    <row r="729" ht="14.25" customHeight="1" s="398">
      <c r="A729" s="35" t="n"/>
      <c r="B729" s="35" t="n"/>
      <c r="C729" s="35" t="n"/>
      <c r="D729" s="35" t="n"/>
      <c r="E729" s="35" t="n"/>
      <c r="F729" s="35" t="n"/>
      <c r="G729" s="35" t="n"/>
      <c r="H729" s="35" t="n"/>
      <c r="I729" s="27" t="n"/>
      <c r="J729" s="35" t="n"/>
      <c r="K729" s="35" t="n"/>
      <c r="L729" s="35" t="n"/>
      <c r="M729" s="35" t="n"/>
      <c r="N729" s="35" t="n"/>
      <c r="O729" s="35" t="n"/>
      <c r="P729" s="35" t="n"/>
      <c r="Q729" s="35" t="n"/>
    </row>
    <row r="730" ht="14.25" customHeight="1" s="398">
      <c r="A730" s="35" t="n"/>
      <c r="B730" s="35" t="n"/>
      <c r="C730" s="35" t="n"/>
      <c r="D730" s="35" t="n"/>
      <c r="E730" s="35" t="n"/>
      <c r="F730" s="35" t="n"/>
      <c r="G730" s="35" t="n"/>
      <c r="H730" s="35" t="n"/>
      <c r="I730" s="27" t="n"/>
      <c r="J730" s="35" t="n"/>
      <c r="K730" s="35" t="n"/>
      <c r="L730" s="35" t="n"/>
      <c r="M730" s="35" t="n"/>
      <c r="N730" s="35" t="n"/>
      <c r="O730" s="35" t="n"/>
      <c r="P730" s="35" t="n"/>
      <c r="Q730" s="35" t="n"/>
    </row>
    <row r="731" ht="14.25" customHeight="1" s="398">
      <c r="A731" s="35" t="n"/>
      <c r="B731" s="35" t="n"/>
      <c r="C731" s="35" t="n"/>
      <c r="D731" s="35" t="n"/>
      <c r="E731" s="35" t="n"/>
      <c r="F731" s="35" t="n"/>
      <c r="G731" s="35" t="n"/>
      <c r="H731" s="35" t="n"/>
      <c r="I731" s="27" t="n"/>
      <c r="J731" s="35" t="n"/>
      <c r="K731" s="35" t="n"/>
      <c r="L731" s="35" t="n"/>
      <c r="M731" s="35" t="n"/>
      <c r="N731" s="35" t="n"/>
      <c r="O731" s="35" t="n"/>
      <c r="P731" s="35" t="n"/>
      <c r="Q731" s="35" t="n"/>
    </row>
    <row r="732" ht="14.25" customHeight="1" s="398">
      <c r="A732" s="35" t="n"/>
      <c r="B732" s="35" t="n"/>
      <c r="C732" s="35" t="n"/>
      <c r="D732" s="35" t="n"/>
      <c r="E732" s="35" t="n"/>
      <c r="F732" s="35" t="n"/>
      <c r="G732" s="35" t="n"/>
      <c r="H732" s="35" t="n"/>
      <c r="I732" s="27" t="n"/>
      <c r="J732" s="35" t="n"/>
      <c r="K732" s="35" t="n"/>
      <c r="L732" s="35" t="n"/>
      <c r="M732" s="35" t="n"/>
      <c r="N732" s="35" t="n"/>
      <c r="O732" s="35" t="n"/>
      <c r="P732" s="35" t="n"/>
      <c r="Q732" s="35" t="n"/>
    </row>
    <row r="733" ht="14.25" customHeight="1" s="398">
      <c r="A733" s="35" t="n"/>
      <c r="B733" s="35" t="n"/>
      <c r="C733" s="35" t="n"/>
      <c r="D733" s="35" t="n"/>
      <c r="E733" s="35" t="n"/>
      <c r="F733" s="35" t="n"/>
      <c r="G733" s="35" t="n"/>
      <c r="H733" s="35" t="n"/>
      <c r="I733" s="27" t="n"/>
      <c r="J733" s="35" t="n"/>
      <c r="K733" s="35" t="n"/>
      <c r="L733" s="35" t="n"/>
      <c r="M733" s="35" t="n"/>
      <c r="N733" s="35" t="n"/>
      <c r="O733" s="35" t="n"/>
      <c r="P733" s="35" t="n"/>
      <c r="Q733" s="35" t="n"/>
    </row>
    <row r="734" ht="14.25" customHeight="1" s="398">
      <c r="A734" s="35" t="n"/>
      <c r="B734" s="35" t="n"/>
      <c r="C734" s="35" t="n"/>
      <c r="D734" s="35" t="n"/>
      <c r="E734" s="35" t="n"/>
      <c r="F734" s="35" t="n"/>
      <c r="G734" s="35" t="n"/>
      <c r="H734" s="35" t="n"/>
      <c r="I734" s="27" t="n"/>
      <c r="J734" s="35" t="n"/>
      <c r="K734" s="35" t="n"/>
      <c r="L734" s="35" t="n"/>
      <c r="M734" s="35" t="n"/>
      <c r="N734" s="35" t="n"/>
      <c r="O734" s="35" t="n"/>
      <c r="P734" s="35" t="n"/>
      <c r="Q734" s="35" t="n"/>
    </row>
    <row r="735" ht="14.25" customHeight="1" s="398">
      <c r="A735" s="35" t="n"/>
      <c r="B735" s="35" t="n"/>
      <c r="C735" s="35" t="n"/>
      <c r="D735" s="35" t="n"/>
      <c r="E735" s="35" t="n"/>
      <c r="F735" s="35" t="n"/>
      <c r="G735" s="35" t="n"/>
      <c r="H735" s="35" t="n"/>
      <c r="I735" s="27" t="n"/>
      <c r="J735" s="35" t="n"/>
      <c r="K735" s="35" t="n"/>
      <c r="L735" s="35" t="n"/>
      <c r="M735" s="35" t="n"/>
      <c r="N735" s="35" t="n"/>
      <c r="O735" s="35" t="n"/>
      <c r="P735" s="35" t="n"/>
      <c r="Q735" s="35" t="n"/>
    </row>
    <row r="736" ht="14.25" customHeight="1" s="398">
      <c r="A736" s="35" t="n"/>
      <c r="B736" s="35" t="n"/>
      <c r="C736" s="35" t="n"/>
      <c r="D736" s="35" t="n"/>
      <c r="E736" s="35" t="n"/>
      <c r="F736" s="35" t="n"/>
      <c r="G736" s="35" t="n"/>
      <c r="H736" s="35" t="n"/>
      <c r="I736" s="27" t="n"/>
      <c r="J736" s="35" t="n"/>
      <c r="K736" s="35" t="n"/>
      <c r="L736" s="35" t="n"/>
      <c r="M736" s="35" t="n"/>
      <c r="N736" s="35" t="n"/>
      <c r="O736" s="35" t="n"/>
      <c r="P736" s="35" t="n"/>
      <c r="Q736" s="35" t="n"/>
    </row>
    <row r="737" ht="14.25" customHeight="1" s="398">
      <c r="A737" s="35" t="n"/>
      <c r="B737" s="35" t="n"/>
      <c r="C737" s="35" t="n"/>
      <c r="D737" s="35" t="n"/>
      <c r="E737" s="35" t="n"/>
      <c r="F737" s="35" t="n"/>
      <c r="G737" s="35" t="n"/>
      <c r="H737" s="35" t="n"/>
      <c r="I737" s="27" t="n"/>
      <c r="J737" s="35" t="n"/>
      <c r="K737" s="35" t="n"/>
      <c r="L737" s="35" t="n"/>
      <c r="M737" s="35" t="n"/>
      <c r="N737" s="35" t="n"/>
      <c r="O737" s="35" t="n"/>
      <c r="P737" s="35" t="n"/>
      <c r="Q737" s="35" t="n"/>
    </row>
    <row r="738" ht="14.25" customHeight="1" s="398">
      <c r="A738" s="35" t="n"/>
      <c r="B738" s="35" t="n"/>
      <c r="C738" s="35" t="n"/>
      <c r="D738" s="35" t="n"/>
      <c r="E738" s="35" t="n"/>
      <c r="F738" s="35" t="n"/>
      <c r="G738" s="35" t="n"/>
      <c r="H738" s="35" t="n"/>
      <c r="I738" s="27" t="n"/>
      <c r="J738" s="35" t="n"/>
      <c r="K738" s="35" t="n"/>
      <c r="L738" s="35" t="n"/>
      <c r="M738" s="35" t="n"/>
      <c r="N738" s="35" t="n"/>
      <c r="O738" s="35" t="n"/>
      <c r="P738" s="35" t="n"/>
      <c r="Q738" s="35" t="n"/>
    </row>
    <row r="739" ht="14.25" customHeight="1" s="398">
      <c r="A739" s="35" t="n"/>
      <c r="B739" s="35" t="n"/>
      <c r="C739" s="35" t="n"/>
      <c r="D739" s="35" t="n"/>
      <c r="E739" s="35" t="n"/>
      <c r="F739" s="35" t="n"/>
      <c r="G739" s="35" t="n"/>
      <c r="H739" s="35" t="n"/>
      <c r="I739" s="27" t="n"/>
      <c r="J739" s="35" t="n"/>
      <c r="K739" s="35" t="n"/>
      <c r="L739" s="35" t="n"/>
      <c r="M739" s="35" t="n"/>
      <c r="N739" s="35" t="n"/>
      <c r="O739" s="35" t="n"/>
      <c r="P739" s="35" t="n"/>
      <c r="Q739" s="35" t="n"/>
    </row>
    <row r="740" ht="14.25" customHeight="1" s="398">
      <c r="A740" s="35" t="n"/>
      <c r="B740" s="35" t="n"/>
      <c r="C740" s="35" t="n"/>
      <c r="D740" s="35" t="n"/>
      <c r="E740" s="35" t="n"/>
      <c r="F740" s="35" t="n"/>
      <c r="G740" s="35" t="n"/>
      <c r="H740" s="35" t="n"/>
      <c r="I740" s="27" t="n"/>
      <c r="J740" s="35" t="n"/>
      <c r="K740" s="35" t="n"/>
      <c r="L740" s="35" t="n"/>
      <c r="M740" s="35" t="n"/>
      <c r="N740" s="35" t="n"/>
      <c r="O740" s="35" t="n"/>
      <c r="P740" s="35" t="n"/>
      <c r="Q740" s="35" t="n"/>
    </row>
    <row r="741" ht="14.25" customHeight="1" s="398">
      <c r="A741" s="35" t="n"/>
      <c r="B741" s="35" t="n"/>
      <c r="C741" s="35" t="n"/>
      <c r="D741" s="35" t="n"/>
      <c r="E741" s="35" t="n"/>
      <c r="F741" s="35" t="n"/>
      <c r="G741" s="35" t="n"/>
      <c r="H741" s="35" t="n"/>
      <c r="I741" s="27" t="n"/>
      <c r="J741" s="35" t="n"/>
      <c r="K741" s="35" t="n"/>
      <c r="L741" s="35" t="n"/>
      <c r="M741" s="35" t="n"/>
      <c r="N741" s="35" t="n"/>
      <c r="O741" s="35" t="n"/>
      <c r="P741" s="35" t="n"/>
      <c r="Q741" s="35" t="n"/>
    </row>
    <row r="742" ht="14.25" customHeight="1" s="398">
      <c r="A742" s="35" t="n"/>
      <c r="B742" s="35" t="n"/>
      <c r="C742" s="35" t="n"/>
      <c r="D742" s="35" t="n"/>
      <c r="E742" s="35" t="n"/>
      <c r="F742" s="35" t="n"/>
      <c r="G742" s="35" t="n"/>
      <c r="H742" s="35" t="n"/>
      <c r="I742" s="27" t="n"/>
      <c r="J742" s="35" t="n"/>
      <c r="K742" s="35" t="n"/>
      <c r="L742" s="35" t="n"/>
      <c r="M742" s="35" t="n"/>
      <c r="N742" s="35" t="n"/>
      <c r="O742" s="35" t="n"/>
      <c r="P742" s="35" t="n"/>
      <c r="Q742" s="35" t="n"/>
    </row>
    <row r="743" ht="14.25" customHeight="1" s="398">
      <c r="A743" s="35" t="n"/>
      <c r="B743" s="35" t="n"/>
      <c r="C743" s="35" t="n"/>
      <c r="D743" s="35" t="n"/>
      <c r="E743" s="35" t="n"/>
      <c r="F743" s="35" t="n"/>
      <c r="G743" s="35" t="n"/>
      <c r="H743" s="35" t="n"/>
      <c r="I743" s="27" t="n"/>
      <c r="J743" s="35" t="n"/>
      <c r="K743" s="35" t="n"/>
      <c r="L743" s="35" t="n"/>
      <c r="M743" s="35" t="n"/>
      <c r="N743" s="35" t="n"/>
      <c r="O743" s="35" t="n"/>
      <c r="P743" s="35" t="n"/>
      <c r="Q743" s="35" t="n"/>
    </row>
    <row r="744" ht="14.25" customHeight="1" s="398">
      <c r="A744" s="35" t="n"/>
      <c r="B744" s="35" t="n"/>
      <c r="C744" s="35" t="n"/>
      <c r="D744" s="35" t="n"/>
      <c r="E744" s="35" t="n"/>
      <c r="F744" s="35" t="n"/>
      <c r="G744" s="35" t="n"/>
      <c r="H744" s="35" t="n"/>
      <c r="I744" s="27" t="n"/>
      <c r="J744" s="35" t="n"/>
      <c r="K744" s="35" t="n"/>
      <c r="L744" s="35" t="n"/>
      <c r="M744" s="35" t="n"/>
      <c r="N744" s="35" t="n"/>
      <c r="O744" s="35" t="n"/>
      <c r="P744" s="35" t="n"/>
      <c r="Q744" s="35" t="n"/>
    </row>
    <row r="745" ht="14.25" customHeight="1" s="398">
      <c r="A745" s="35" t="n"/>
      <c r="B745" s="35" t="n"/>
      <c r="C745" s="35" t="n"/>
      <c r="D745" s="35" t="n"/>
      <c r="E745" s="35" t="n"/>
      <c r="F745" s="35" t="n"/>
      <c r="G745" s="35" t="n"/>
      <c r="H745" s="35" t="n"/>
      <c r="I745" s="27" t="n"/>
      <c r="J745" s="35" t="n"/>
      <c r="K745" s="35" t="n"/>
      <c r="L745" s="35" t="n"/>
      <c r="M745" s="35" t="n"/>
      <c r="N745" s="35" t="n"/>
      <c r="O745" s="35" t="n"/>
      <c r="P745" s="35" t="n"/>
      <c r="Q745" s="35" t="n"/>
    </row>
    <row r="746" ht="14.25" customHeight="1" s="398">
      <c r="A746" s="35" t="n"/>
      <c r="B746" s="35" t="n"/>
      <c r="C746" s="35" t="n"/>
      <c r="D746" s="35" t="n"/>
      <c r="E746" s="35" t="n"/>
      <c r="F746" s="35" t="n"/>
      <c r="G746" s="35" t="n"/>
      <c r="H746" s="35" t="n"/>
      <c r="I746" s="27" t="n"/>
      <c r="J746" s="35" t="n"/>
      <c r="K746" s="35" t="n"/>
      <c r="L746" s="35" t="n"/>
      <c r="M746" s="35" t="n"/>
      <c r="N746" s="35" t="n"/>
      <c r="O746" s="35" t="n"/>
      <c r="P746" s="35" t="n"/>
      <c r="Q746" s="35" t="n"/>
    </row>
    <row r="747" ht="14.25" customHeight="1" s="398">
      <c r="A747" s="35" t="n"/>
      <c r="B747" s="35" t="n"/>
      <c r="C747" s="35" t="n"/>
      <c r="D747" s="35" t="n"/>
      <c r="E747" s="35" t="n"/>
      <c r="F747" s="35" t="n"/>
      <c r="G747" s="35" t="n"/>
      <c r="H747" s="35" t="n"/>
      <c r="I747" s="27" t="n"/>
      <c r="J747" s="35" t="n"/>
      <c r="K747" s="35" t="n"/>
      <c r="L747" s="35" t="n"/>
      <c r="M747" s="35" t="n"/>
      <c r="N747" s="35" t="n"/>
      <c r="O747" s="35" t="n"/>
      <c r="P747" s="35" t="n"/>
      <c r="Q747" s="35" t="n"/>
    </row>
    <row r="748" ht="14.25" customHeight="1" s="398">
      <c r="A748" s="35" t="n"/>
      <c r="B748" s="35" t="n"/>
      <c r="C748" s="35" t="n"/>
      <c r="D748" s="35" t="n"/>
      <c r="E748" s="35" t="n"/>
      <c r="F748" s="35" t="n"/>
      <c r="G748" s="35" t="n"/>
      <c r="H748" s="35" t="n"/>
      <c r="I748" s="27" t="n"/>
      <c r="J748" s="35" t="n"/>
      <c r="K748" s="35" t="n"/>
      <c r="L748" s="35" t="n"/>
      <c r="M748" s="35" t="n"/>
      <c r="N748" s="35" t="n"/>
      <c r="O748" s="35" t="n"/>
      <c r="P748" s="35" t="n"/>
      <c r="Q748" s="35" t="n"/>
    </row>
    <row r="749" ht="14.25" customHeight="1" s="398">
      <c r="A749" s="35" t="n"/>
      <c r="B749" s="35" t="n"/>
      <c r="C749" s="35" t="n"/>
      <c r="D749" s="35" t="n"/>
      <c r="E749" s="35" t="n"/>
      <c r="F749" s="35" t="n"/>
      <c r="G749" s="35" t="n"/>
      <c r="H749" s="35" t="n"/>
      <c r="I749" s="27" t="n"/>
      <c r="J749" s="35" t="n"/>
      <c r="K749" s="35" t="n"/>
      <c r="L749" s="35" t="n"/>
      <c r="M749" s="35" t="n"/>
      <c r="N749" s="35" t="n"/>
      <c r="O749" s="35" t="n"/>
      <c r="P749" s="35" t="n"/>
      <c r="Q749" s="35" t="n"/>
    </row>
    <row r="750" ht="14.25" customHeight="1" s="398">
      <c r="A750" s="35" t="n"/>
      <c r="B750" s="35" t="n"/>
      <c r="C750" s="35" t="n"/>
      <c r="D750" s="35" t="n"/>
      <c r="E750" s="35" t="n"/>
      <c r="F750" s="35" t="n"/>
      <c r="G750" s="35" t="n"/>
      <c r="H750" s="35" t="n"/>
      <c r="I750" s="27" t="n"/>
      <c r="J750" s="35" t="n"/>
      <c r="K750" s="35" t="n"/>
      <c r="L750" s="35" t="n"/>
      <c r="M750" s="35" t="n"/>
      <c r="N750" s="35" t="n"/>
      <c r="O750" s="35" t="n"/>
      <c r="P750" s="35" t="n"/>
      <c r="Q750" s="35" t="n"/>
    </row>
    <row r="751" ht="14.25" customHeight="1" s="398">
      <c r="A751" s="35" t="n"/>
      <c r="B751" s="35" t="n"/>
      <c r="C751" s="35" t="n"/>
      <c r="D751" s="35" t="n"/>
      <c r="E751" s="35" t="n"/>
      <c r="F751" s="35" t="n"/>
      <c r="G751" s="35" t="n"/>
      <c r="H751" s="35" t="n"/>
      <c r="I751" s="27" t="n"/>
      <c r="J751" s="35" t="n"/>
      <c r="K751" s="35" t="n"/>
      <c r="L751" s="35" t="n"/>
      <c r="M751" s="35" t="n"/>
      <c r="N751" s="35" t="n"/>
      <c r="O751" s="35" t="n"/>
      <c r="P751" s="35" t="n"/>
      <c r="Q751" s="35" t="n"/>
    </row>
    <row r="752" ht="14.25" customHeight="1" s="398">
      <c r="A752" s="35" t="n"/>
      <c r="B752" s="35" t="n"/>
      <c r="C752" s="35" t="n"/>
      <c r="D752" s="35" t="n"/>
      <c r="E752" s="35" t="n"/>
      <c r="F752" s="35" t="n"/>
      <c r="G752" s="35" t="n"/>
      <c r="H752" s="35" t="n"/>
      <c r="I752" s="27" t="n"/>
      <c r="J752" s="35" t="n"/>
      <c r="K752" s="35" t="n"/>
      <c r="L752" s="35" t="n"/>
      <c r="M752" s="35" t="n"/>
      <c r="N752" s="35" t="n"/>
      <c r="O752" s="35" t="n"/>
      <c r="P752" s="35" t="n"/>
      <c r="Q752" s="35" t="n"/>
    </row>
    <row r="753" ht="14.25" customHeight="1" s="398">
      <c r="A753" s="35" t="n"/>
      <c r="B753" s="35" t="n"/>
      <c r="C753" s="35" t="n"/>
      <c r="D753" s="35" t="n"/>
      <c r="E753" s="35" t="n"/>
      <c r="F753" s="35" t="n"/>
      <c r="G753" s="35" t="n"/>
      <c r="H753" s="35" t="n"/>
      <c r="I753" s="27" t="n"/>
      <c r="J753" s="35" t="n"/>
      <c r="K753" s="35" t="n"/>
      <c r="L753" s="35" t="n"/>
      <c r="M753" s="35" t="n"/>
      <c r="N753" s="35" t="n"/>
      <c r="O753" s="35" t="n"/>
      <c r="P753" s="35" t="n"/>
      <c r="Q753" s="35" t="n"/>
    </row>
    <row r="754" ht="14.25" customHeight="1" s="398">
      <c r="A754" s="35" t="n"/>
      <c r="B754" s="35" t="n"/>
      <c r="C754" s="35" t="n"/>
      <c r="D754" s="35" t="n"/>
      <c r="E754" s="35" t="n"/>
      <c r="F754" s="35" t="n"/>
      <c r="G754" s="35" t="n"/>
      <c r="H754" s="35" t="n"/>
      <c r="I754" s="27" t="n"/>
      <c r="J754" s="35" t="n"/>
      <c r="K754" s="35" t="n"/>
      <c r="L754" s="35" t="n"/>
      <c r="M754" s="35" t="n"/>
      <c r="N754" s="35" t="n"/>
      <c r="O754" s="35" t="n"/>
      <c r="P754" s="35" t="n"/>
      <c r="Q754" s="35" t="n"/>
    </row>
    <row r="755" ht="14.25" customHeight="1" s="398">
      <c r="A755" s="35" t="n"/>
      <c r="B755" s="35" t="n"/>
      <c r="C755" s="35" t="n"/>
      <c r="D755" s="35" t="n"/>
      <c r="E755" s="35" t="n"/>
      <c r="F755" s="35" t="n"/>
      <c r="G755" s="35" t="n"/>
      <c r="H755" s="35" t="n"/>
      <c r="I755" s="27" t="n"/>
      <c r="J755" s="35" t="n"/>
      <c r="K755" s="35" t="n"/>
      <c r="L755" s="35" t="n"/>
      <c r="M755" s="35" t="n"/>
      <c r="N755" s="35" t="n"/>
      <c r="O755" s="35" t="n"/>
      <c r="P755" s="35" t="n"/>
      <c r="Q755" s="35" t="n"/>
    </row>
    <row r="756" ht="14.25" customHeight="1" s="398">
      <c r="A756" s="35" t="n"/>
      <c r="B756" s="35" t="n"/>
      <c r="C756" s="35" t="n"/>
      <c r="D756" s="35" t="n"/>
      <c r="E756" s="35" t="n"/>
      <c r="F756" s="35" t="n"/>
      <c r="G756" s="35" t="n"/>
      <c r="H756" s="35" t="n"/>
      <c r="I756" s="27" t="n"/>
      <c r="J756" s="35" t="n"/>
      <c r="K756" s="35" t="n"/>
      <c r="L756" s="35" t="n"/>
      <c r="M756" s="35" t="n"/>
      <c r="N756" s="35" t="n"/>
      <c r="O756" s="35" t="n"/>
      <c r="P756" s="35" t="n"/>
      <c r="Q756" s="35" t="n"/>
    </row>
    <row r="757" ht="14.25" customHeight="1" s="398">
      <c r="A757" s="35" t="n"/>
      <c r="B757" s="35" t="n"/>
      <c r="C757" s="35" t="n"/>
      <c r="D757" s="35" t="n"/>
      <c r="E757" s="35" t="n"/>
      <c r="F757" s="35" t="n"/>
      <c r="G757" s="35" t="n"/>
      <c r="H757" s="35" t="n"/>
      <c r="I757" s="27" t="n"/>
      <c r="J757" s="35" t="n"/>
      <c r="K757" s="35" t="n"/>
      <c r="L757" s="35" t="n"/>
      <c r="M757" s="35" t="n"/>
      <c r="N757" s="35" t="n"/>
      <c r="O757" s="35" t="n"/>
      <c r="P757" s="35" t="n"/>
      <c r="Q757" s="35" t="n"/>
    </row>
    <row r="758" ht="14.25" customHeight="1" s="398">
      <c r="A758" s="35" t="n"/>
      <c r="B758" s="35" t="n"/>
      <c r="C758" s="35" t="n"/>
      <c r="D758" s="35" t="n"/>
      <c r="E758" s="35" t="n"/>
      <c r="F758" s="35" t="n"/>
      <c r="G758" s="35" t="n"/>
      <c r="H758" s="35" t="n"/>
      <c r="I758" s="27" t="n"/>
      <c r="J758" s="35" t="n"/>
      <c r="K758" s="35" t="n"/>
      <c r="L758" s="35" t="n"/>
      <c r="M758" s="35" t="n"/>
      <c r="N758" s="35" t="n"/>
      <c r="O758" s="35" t="n"/>
      <c r="P758" s="35" t="n"/>
      <c r="Q758" s="35" t="n"/>
    </row>
    <row r="759" ht="14.25" customHeight="1" s="398">
      <c r="A759" s="35" t="n"/>
      <c r="B759" s="35" t="n"/>
      <c r="C759" s="35" t="n"/>
      <c r="D759" s="35" t="n"/>
      <c r="E759" s="35" t="n"/>
      <c r="F759" s="35" t="n"/>
      <c r="G759" s="35" t="n"/>
      <c r="H759" s="35" t="n"/>
      <c r="I759" s="27" t="n"/>
      <c r="J759" s="35" t="n"/>
      <c r="K759" s="35" t="n"/>
      <c r="L759" s="35" t="n"/>
      <c r="M759" s="35" t="n"/>
      <c r="N759" s="35" t="n"/>
      <c r="O759" s="35" t="n"/>
      <c r="P759" s="35" t="n"/>
      <c r="Q759" s="35" t="n"/>
    </row>
    <row r="760" ht="14.25" customHeight="1" s="398">
      <c r="A760" s="35" t="n"/>
      <c r="B760" s="35" t="n"/>
      <c r="C760" s="35" t="n"/>
      <c r="D760" s="35" t="n"/>
      <c r="E760" s="35" t="n"/>
      <c r="F760" s="35" t="n"/>
      <c r="G760" s="35" t="n"/>
      <c r="H760" s="35" t="n"/>
      <c r="I760" s="27" t="n"/>
      <c r="J760" s="35" t="n"/>
      <c r="K760" s="35" t="n"/>
      <c r="L760" s="35" t="n"/>
      <c r="M760" s="35" t="n"/>
      <c r="N760" s="35" t="n"/>
      <c r="O760" s="35" t="n"/>
      <c r="P760" s="35" t="n"/>
      <c r="Q760" s="35" t="n"/>
    </row>
    <row r="761" ht="14.25" customHeight="1" s="398">
      <c r="A761" s="35" t="n"/>
      <c r="B761" s="35" t="n"/>
      <c r="C761" s="35" t="n"/>
      <c r="D761" s="35" t="n"/>
      <c r="E761" s="35" t="n"/>
      <c r="F761" s="35" t="n"/>
      <c r="G761" s="35" t="n"/>
      <c r="H761" s="35" t="n"/>
      <c r="I761" s="27" t="n"/>
      <c r="J761" s="35" t="n"/>
      <c r="K761" s="35" t="n"/>
      <c r="L761" s="35" t="n"/>
      <c r="M761" s="35" t="n"/>
      <c r="N761" s="35" t="n"/>
      <c r="O761" s="35" t="n"/>
      <c r="P761" s="35" t="n"/>
      <c r="Q761" s="35" t="n"/>
    </row>
    <row r="762" ht="14.25" customHeight="1" s="398">
      <c r="A762" s="35" t="n"/>
      <c r="B762" s="35" t="n"/>
      <c r="C762" s="35" t="n"/>
      <c r="D762" s="35" t="n"/>
      <c r="E762" s="35" t="n"/>
      <c r="F762" s="35" t="n"/>
      <c r="G762" s="35" t="n"/>
      <c r="H762" s="35" t="n"/>
      <c r="I762" s="27" t="n"/>
      <c r="J762" s="35" t="n"/>
      <c r="K762" s="35" t="n"/>
      <c r="L762" s="35" t="n"/>
      <c r="M762" s="35" t="n"/>
      <c r="N762" s="35" t="n"/>
      <c r="O762" s="35" t="n"/>
      <c r="P762" s="35" t="n"/>
      <c r="Q762" s="35" t="n"/>
    </row>
    <row r="763" ht="14.25" customHeight="1" s="398">
      <c r="A763" s="35" t="n"/>
      <c r="B763" s="35" t="n"/>
      <c r="C763" s="35" t="n"/>
      <c r="D763" s="35" t="n"/>
      <c r="E763" s="35" t="n"/>
      <c r="F763" s="35" t="n"/>
      <c r="G763" s="35" t="n"/>
      <c r="H763" s="35" t="n"/>
      <c r="I763" s="27" t="n"/>
      <c r="J763" s="35" t="n"/>
      <c r="K763" s="35" t="n"/>
      <c r="L763" s="35" t="n"/>
      <c r="M763" s="35" t="n"/>
      <c r="N763" s="35" t="n"/>
      <c r="O763" s="35" t="n"/>
      <c r="P763" s="35" t="n"/>
      <c r="Q763" s="35" t="n"/>
    </row>
    <row r="764" ht="14.25" customHeight="1" s="398">
      <c r="A764" s="35" t="n"/>
      <c r="B764" s="35" t="n"/>
      <c r="C764" s="35" t="n"/>
      <c r="D764" s="35" t="n"/>
      <c r="E764" s="35" t="n"/>
      <c r="F764" s="35" t="n"/>
      <c r="G764" s="35" t="n"/>
      <c r="H764" s="35" t="n"/>
      <c r="I764" s="27" t="n"/>
      <c r="J764" s="35" t="n"/>
      <c r="K764" s="35" t="n"/>
      <c r="L764" s="35" t="n"/>
      <c r="M764" s="35" t="n"/>
      <c r="N764" s="35" t="n"/>
      <c r="O764" s="35" t="n"/>
      <c r="P764" s="35" t="n"/>
      <c r="Q764" s="35" t="n"/>
    </row>
    <row r="765" ht="14.25" customHeight="1" s="398">
      <c r="A765" s="35" t="n"/>
      <c r="B765" s="35" t="n"/>
      <c r="C765" s="35" t="n"/>
      <c r="D765" s="35" t="n"/>
      <c r="E765" s="35" t="n"/>
      <c r="F765" s="35" t="n"/>
      <c r="G765" s="35" t="n"/>
      <c r="H765" s="35" t="n"/>
      <c r="I765" s="27" t="n"/>
      <c r="J765" s="35" t="n"/>
      <c r="K765" s="35" t="n"/>
      <c r="L765" s="35" t="n"/>
      <c r="M765" s="35" t="n"/>
      <c r="N765" s="35" t="n"/>
      <c r="O765" s="35" t="n"/>
      <c r="P765" s="35" t="n"/>
      <c r="Q765" s="35" t="n"/>
    </row>
    <row r="766" ht="14.25" customHeight="1" s="398">
      <c r="A766" s="35" t="n"/>
      <c r="B766" s="35" t="n"/>
      <c r="C766" s="35" t="n"/>
      <c r="D766" s="35" t="n"/>
      <c r="E766" s="35" t="n"/>
      <c r="F766" s="35" t="n"/>
      <c r="G766" s="35" t="n"/>
      <c r="H766" s="35" t="n"/>
      <c r="I766" s="27" t="n"/>
      <c r="J766" s="35" t="n"/>
      <c r="K766" s="35" t="n"/>
      <c r="L766" s="35" t="n"/>
      <c r="M766" s="35" t="n"/>
      <c r="N766" s="35" t="n"/>
      <c r="O766" s="35" t="n"/>
      <c r="P766" s="35" t="n"/>
      <c r="Q766" s="35" t="n"/>
    </row>
    <row r="767" ht="14.25" customHeight="1" s="398">
      <c r="A767" s="35" t="n"/>
      <c r="B767" s="35" t="n"/>
      <c r="C767" s="35" t="n"/>
      <c r="D767" s="35" t="n"/>
      <c r="E767" s="35" t="n"/>
      <c r="F767" s="35" t="n"/>
      <c r="G767" s="35" t="n"/>
      <c r="H767" s="35" t="n"/>
      <c r="I767" s="27" t="n"/>
      <c r="J767" s="35" t="n"/>
      <c r="K767" s="35" t="n"/>
      <c r="L767" s="35" t="n"/>
      <c r="M767" s="35" t="n"/>
      <c r="N767" s="35" t="n"/>
      <c r="O767" s="35" t="n"/>
      <c r="P767" s="35" t="n"/>
      <c r="Q767" s="35" t="n"/>
    </row>
    <row r="768" ht="14.25" customHeight="1" s="398">
      <c r="A768" s="35" t="n"/>
      <c r="B768" s="35" t="n"/>
      <c r="C768" s="35" t="n"/>
      <c r="D768" s="35" t="n"/>
      <c r="E768" s="35" t="n"/>
      <c r="F768" s="35" t="n"/>
      <c r="G768" s="35" t="n"/>
      <c r="H768" s="35" t="n"/>
      <c r="I768" s="27" t="n"/>
      <c r="J768" s="35" t="n"/>
      <c r="K768" s="35" t="n"/>
      <c r="L768" s="35" t="n"/>
      <c r="M768" s="35" t="n"/>
      <c r="N768" s="35" t="n"/>
      <c r="O768" s="35" t="n"/>
      <c r="P768" s="35" t="n"/>
      <c r="Q768" s="35" t="n"/>
    </row>
    <row r="769" ht="14.25" customHeight="1" s="398">
      <c r="A769" s="35" t="n"/>
      <c r="B769" s="35" t="n"/>
      <c r="C769" s="35" t="n"/>
      <c r="D769" s="35" t="n"/>
      <c r="E769" s="35" t="n"/>
      <c r="F769" s="35" t="n"/>
      <c r="G769" s="35" t="n"/>
      <c r="H769" s="35" t="n"/>
      <c r="I769" s="27" t="n"/>
      <c r="J769" s="35" t="n"/>
      <c r="K769" s="35" t="n"/>
      <c r="L769" s="35" t="n"/>
      <c r="M769" s="35" t="n"/>
      <c r="N769" s="35" t="n"/>
      <c r="O769" s="35" t="n"/>
      <c r="P769" s="35" t="n"/>
      <c r="Q769" s="35" t="n"/>
    </row>
    <row r="770" ht="14.25" customHeight="1" s="398">
      <c r="A770" s="35" t="n"/>
      <c r="B770" s="35" t="n"/>
      <c r="C770" s="35" t="n"/>
      <c r="D770" s="35" t="n"/>
      <c r="E770" s="35" t="n"/>
      <c r="F770" s="35" t="n"/>
      <c r="G770" s="35" t="n"/>
      <c r="H770" s="35" t="n"/>
      <c r="I770" s="27" t="n"/>
      <c r="J770" s="35" t="n"/>
      <c r="K770" s="35" t="n"/>
      <c r="L770" s="35" t="n"/>
      <c r="M770" s="35" t="n"/>
      <c r="N770" s="35" t="n"/>
      <c r="O770" s="35" t="n"/>
      <c r="P770" s="35" t="n"/>
      <c r="Q770" s="35" t="n"/>
    </row>
    <row r="771" ht="14.25" customHeight="1" s="398">
      <c r="A771" s="35" t="n"/>
      <c r="B771" s="35" t="n"/>
      <c r="C771" s="35" t="n"/>
      <c r="D771" s="35" t="n"/>
      <c r="E771" s="35" t="n"/>
      <c r="F771" s="35" t="n"/>
      <c r="G771" s="35" t="n"/>
      <c r="H771" s="35" t="n"/>
      <c r="I771" s="27" t="n"/>
      <c r="J771" s="35" t="n"/>
      <c r="K771" s="35" t="n"/>
      <c r="L771" s="35" t="n"/>
      <c r="M771" s="35" t="n"/>
      <c r="N771" s="35" t="n"/>
      <c r="O771" s="35" t="n"/>
      <c r="P771" s="35" t="n"/>
      <c r="Q771" s="35" t="n"/>
    </row>
    <row r="772" ht="14.25" customHeight="1" s="398">
      <c r="A772" s="35" t="n"/>
      <c r="B772" s="35" t="n"/>
      <c r="C772" s="35" t="n"/>
      <c r="D772" s="35" t="n"/>
      <c r="E772" s="35" t="n"/>
      <c r="F772" s="35" t="n"/>
      <c r="G772" s="35" t="n"/>
      <c r="H772" s="35" t="n"/>
      <c r="I772" s="27" t="n"/>
      <c r="J772" s="35" t="n"/>
      <c r="K772" s="35" t="n"/>
      <c r="L772" s="35" t="n"/>
      <c r="M772" s="35" t="n"/>
      <c r="N772" s="35" t="n"/>
      <c r="O772" s="35" t="n"/>
      <c r="P772" s="35" t="n"/>
      <c r="Q772" s="35" t="n"/>
    </row>
    <row r="773" ht="14.25" customHeight="1" s="398">
      <c r="A773" s="35" t="n"/>
      <c r="B773" s="35" t="n"/>
      <c r="C773" s="35" t="n"/>
      <c r="D773" s="35" t="n"/>
      <c r="E773" s="35" t="n"/>
      <c r="F773" s="35" t="n"/>
      <c r="G773" s="35" t="n"/>
      <c r="H773" s="35" t="n"/>
      <c r="I773" s="27" t="n"/>
      <c r="J773" s="35" t="n"/>
      <c r="K773" s="35" t="n"/>
      <c r="L773" s="35" t="n"/>
      <c r="M773" s="35" t="n"/>
      <c r="N773" s="35" t="n"/>
      <c r="O773" s="35" t="n"/>
      <c r="P773" s="35" t="n"/>
      <c r="Q773" s="35" t="n"/>
    </row>
    <row r="774" ht="14.25" customHeight="1" s="398">
      <c r="A774" s="35" t="n"/>
      <c r="B774" s="35" t="n"/>
      <c r="C774" s="35" t="n"/>
      <c r="D774" s="35" t="n"/>
      <c r="E774" s="35" t="n"/>
      <c r="F774" s="35" t="n"/>
      <c r="G774" s="35" t="n"/>
      <c r="H774" s="35" t="n"/>
      <c r="I774" s="27" t="n"/>
      <c r="J774" s="35" t="n"/>
      <c r="K774" s="35" t="n"/>
      <c r="L774" s="35" t="n"/>
      <c r="M774" s="35" t="n"/>
      <c r="N774" s="35" t="n"/>
      <c r="O774" s="35" t="n"/>
      <c r="P774" s="35" t="n"/>
      <c r="Q774" s="35" t="n"/>
    </row>
    <row r="775" ht="14.25" customHeight="1" s="398">
      <c r="A775" s="35" t="n"/>
      <c r="B775" s="35" t="n"/>
      <c r="C775" s="35" t="n"/>
      <c r="D775" s="35" t="n"/>
      <c r="E775" s="35" t="n"/>
      <c r="F775" s="35" t="n"/>
      <c r="G775" s="35" t="n"/>
      <c r="H775" s="35" t="n"/>
      <c r="I775" s="27" t="n"/>
      <c r="J775" s="35" t="n"/>
      <c r="K775" s="35" t="n"/>
      <c r="L775" s="35" t="n"/>
      <c r="M775" s="35" t="n"/>
      <c r="N775" s="35" t="n"/>
      <c r="O775" s="35" t="n"/>
      <c r="P775" s="35" t="n"/>
      <c r="Q775" s="35" t="n"/>
    </row>
    <row r="776" ht="14.25" customHeight="1" s="398">
      <c r="A776" s="35" t="n"/>
      <c r="B776" s="35" t="n"/>
      <c r="C776" s="35" t="n"/>
      <c r="D776" s="35" t="n"/>
      <c r="E776" s="35" t="n"/>
      <c r="F776" s="35" t="n"/>
      <c r="G776" s="35" t="n"/>
      <c r="H776" s="35" t="n"/>
      <c r="I776" s="27" t="n"/>
      <c r="J776" s="35" t="n"/>
      <c r="K776" s="35" t="n"/>
      <c r="L776" s="35" t="n"/>
      <c r="M776" s="35" t="n"/>
      <c r="N776" s="35" t="n"/>
      <c r="O776" s="35" t="n"/>
      <c r="P776" s="35" t="n"/>
      <c r="Q776" s="35" t="n"/>
    </row>
    <row r="777" ht="14.25" customHeight="1" s="398">
      <c r="A777" s="35" t="n"/>
      <c r="B777" s="35" t="n"/>
      <c r="C777" s="35" t="n"/>
      <c r="D777" s="35" t="n"/>
      <c r="E777" s="35" t="n"/>
      <c r="F777" s="35" t="n"/>
      <c r="G777" s="35" t="n"/>
      <c r="H777" s="35" t="n"/>
      <c r="I777" s="27" t="n"/>
      <c r="J777" s="35" t="n"/>
      <c r="K777" s="35" t="n"/>
      <c r="L777" s="35" t="n"/>
      <c r="M777" s="35" t="n"/>
      <c r="N777" s="35" t="n"/>
      <c r="O777" s="35" t="n"/>
      <c r="P777" s="35" t="n"/>
      <c r="Q777" s="35" t="n"/>
    </row>
    <row r="778" ht="14.25" customHeight="1" s="398">
      <c r="A778" s="35" t="n"/>
      <c r="B778" s="35" t="n"/>
      <c r="C778" s="35" t="n"/>
      <c r="D778" s="35" t="n"/>
      <c r="E778" s="35" t="n"/>
      <c r="F778" s="35" t="n"/>
      <c r="G778" s="35" t="n"/>
      <c r="H778" s="35" t="n"/>
      <c r="I778" s="27" t="n"/>
      <c r="J778" s="35" t="n"/>
      <c r="K778" s="35" t="n"/>
      <c r="L778" s="35" t="n"/>
      <c r="M778" s="35" t="n"/>
      <c r="N778" s="35" t="n"/>
      <c r="O778" s="35" t="n"/>
      <c r="P778" s="35" t="n"/>
      <c r="Q778" s="35" t="n"/>
    </row>
    <row r="779" ht="14.25" customHeight="1" s="398">
      <c r="A779" s="35" t="n"/>
      <c r="B779" s="35" t="n"/>
      <c r="C779" s="35" t="n"/>
      <c r="D779" s="35" t="n"/>
      <c r="E779" s="35" t="n"/>
      <c r="F779" s="35" t="n"/>
      <c r="G779" s="35" t="n"/>
      <c r="H779" s="35" t="n"/>
      <c r="I779" s="27" t="n"/>
      <c r="J779" s="35" t="n"/>
      <c r="K779" s="35" t="n"/>
      <c r="L779" s="35" t="n"/>
      <c r="M779" s="35" t="n"/>
      <c r="N779" s="35" t="n"/>
      <c r="O779" s="35" t="n"/>
      <c r="P779" s="35" t="n"/>
      <c r="Q779" s="35" t="n"/>
    </row>
    <row r="780" ht="14.25" customHeight="1" s="398">
      <c r="A780" s="35" t="n"/>
      <c r="B780" s="35" t="n"/>
      <c r="C780" s="35" t="n"/>
      <c r="D780" s="35" t="n"/>
      <c r="E780" s="35" t="n"/>
      <c r="F780" s="35" t="n"/>
      <c r="G780" s="35" t="n"/>
      <c r="H780" s="35" t="n"/>
      <c r="I780" s="27" t="n"/>
      <c r="J780" s="35" t="n"/>
      <c r="K780" s="35" t="n"/>
      <c r="L780" s="35" t="n"/>
      <c r="M780" s="35" t="n"/>
      <c r="N780" s="35" t="n"/>
      <c r="O780" s="35" t="n"/>
      <c r="P780" s="35" t="n"/>
      <c r="Q780" s="35" t="n"/>
    </row>
    <row r="781" ht="14.25" customHeight="1" s="398">
      <c r="A781" s="35" t="n"/>
      <c r="B781" s="35" t="n"/>
      <c r="C781" s="35" t="n"/>
      <c r="D781" s="35" t="n"/>
      <c r="E781" s="35" t="n"/>
      <c r="F781" s="35" t="n"/>
      <c r="G781" s="35" t="n"/>
      <c r="H781" s="35" t="n"/>
      <c r="I781" s="27" t="n"/>
      <c r="J781" s="35" t="n"/>
      <c r="K781" s="35" t="n"/>
      <c r="L781" s="35" t="n"/>
      <c r="M781" s="35" t="n"/>
      <c r="N781" s="35" t="n"/>
      <c r="O781" s="35" t="n"/>
      <c r="P781" s="35" t="n"/>
      <c r="Q781" s="35" t="n"/>
    </row>
    <row r="782" ht="14.25" customHeight="1" s="398">
      <c r="A782" s="35" t="n"/>
      <c r="B782" s="35" t="n"/>
      <c r="C782" s="35" t="n"/>
      <c r="D782" s="35" t="n"/>
      <c r="E782" s="35" t="n"/>
      <c r="F782" s="35" t="n"/>
      <c r="G782" s="35" t="n"/>
      <c r="H782" s="35" t="n"/>
      <c r="I782" s="27" t="n"/>
      <c r="J782" s="35" t="n"/>
      <c r="K782" s="35" t="n"/>
      <c r="L782" s="35" t="n"/>
      <c r="M782" s="35" t="n"/>
      <c r="N782" s="35" t="n"/>
      <c r="O782" s="35" t="n"/>
      <c r="P782" s="35" t="n"/>
      <c r="Q782" s="35" t="n"/>
    </row>
    <row r="783" ht="14.25" customHeight="1" s="398">
      <c r="A783" s="35" t="n"/>
      <c r="B783" s="35" t="n"/>
      <c r="C783" s="35" t="n"/>
      <c r="D783" s="35" t="n"/>
      <c r="E783" s="35" t="n"/>
      <c r="F783" s="35" t="n"/>
      <c r="G783" s="35" t="n"/>
      <c r="H783" s="35" t="n"/>
      <c r="I783" s="27" t="n"/>
      <c r="J783" s="35" t="n"/>
      <c r="K783" s="35" t="n"/>
      <c r="L783" s="35" t="n"/>
      <c r="M783" s="35" t="n"/>
      <c r="N783" s="35" t="n"/>
      <c r="O783" s="35" t="n"/>
      <c r="P783" s="35" t="n"/>
      <c r="Q783" s="35" t="n"/>
    </row>
    <row r="784" ht="14.25" customHeight="1" s="398">
      <c r="A784" s="35" t="n"/>
      <c r="B784" s="35" t="n"/>
      <c r="C784" s="35" t="n"/>
      <c r="D784" s="35" t="n"/>
      <c r="E784" s="35" t="n"/>
      <c r="F784" s="35" t="n"/>
      <c r="G784" s="35" t="n"/>
      <c r="H784" s="35" t="n"/>
      <c r="I784" s="27" t="n"/>
      <c r="J784" s="35" t="n"/>
      <c r="K784" s="35" t="n"/>
      <c r="L784" s="35" t="n"/>
      <c r="M784" s="35" t="n"/>
      <c r="N784" s="35" t="n"/>
      <c r="O784" s="35" t="n"/>
      <c r="P784" s="35" t="n"/>
      <c r="Q784" s="35" t="n"/>
    </row>
    <row r="785" ht="14.25" customHeight="1" s="398">
      <c r="A785" s="35" t="n"/>
      <c r="B785" s="35" t="n"/>
      <c r="C785" s="35" t="n"/>
      <c r="D785" s="35" t="n"/>
      <c r="E785" s="35" t="n"/>
      <c r="F785" s="35" t="n"/>
      <c r="G785" s="35" t="n"/>
      <c r="H785" s="35" t="n"/>
      <c r="I785" s="27" t="n"/>
      <c r="J785" s="35" t="n"/>
      <c r="K785" s="35" t="n"/>
      <c r="L785" s="35" t="n"/>
      <c r="M785" s="35" t="n"/>
      <c r="N785" s="35" t="n"/>
      <c r="O785" s="35" t="n"/>
      <c r="P785" s="35" t="n"/>
      <c r="Q785" s="35" t="n"/>
    </row>
    <row r="786" ht="14.25" customHeight="1" s="398">
      <c r="A786" s="35" t="n"/>
      <c r="B786" s="35" t="n"/>
      <c r="C786" s="35" t="n"/>
      <c r="D786" s="35" t="n"/>
      <c r="E786" s="35" t="n"/>
      <c r="F786" s="35" t="n"/>
      <c r="G786" s="35" t="n"/>
      <c r="H786" s="35" t="n"/>
      <c r="I786" s="27" t="n"/>
      <c r="J786" s="35" t="n"/>
      <c r="K786" s="35" t="n"/>
      <c r="L786" s="35" t="n"/>
      <c r="M786" s="35" t="n"/>
      <c r="N786" s="35" t="n"/>
      <c r="O786" s="35" t="n"/>
      <c r="P786" s="35" t="n"/>
      <c r="Q786" s="35" t="n"/>
    </row>
    <row r="787" ht="14.25" customHeight="1" s="398">
      <c r="A787" s="35" t="n"/>
      <c r="B787" s="35" t="n"/>
      <c r="C787" s="35" t="n"/>
      <c r="D787" s="35" t="n"/>
      <c r="E787" s="35" t="n"/>
      <c r="F787" s="35" t="n"/>
      <c r="G787" s="35" t="n"/>
      <c r="H787" s="35" t="n"/>
      <c r="I787" s="27" t="n"/>
      <c r="J787" s="35" t="n"/>
      <c r="K787" s="35" t="n"/>
      <c r="L787" s="35" t="n"/>
      <c r="M787" s="35" t="n"/>
      <c r="N787" s="35" t="n"/>
      <c r="O787" s="35" t="n"/>
      <c r="P787" s="35" t="n"/>
      <c r="Q787" s="35" t="n"/>
    </row>
    <row r="788" ht="14.25" customHeight="1" s="398">
      <c r="A788" s="35" t="n"/>
      <c r="B788" s="35" t="n"/>
      <c r="C788" s="35" t="n"/>
      <c r="D788" s="35" t="n"/>
      <c r="E788" s="35" t="n"/>
      <c r="F788" s="35" t="n"/>
      <c r="G788" s="35" t="n"/>
      <c r="H788" s="35" t="n"/>
      <c r="I788" s="27" t="n"/>
      <c r="J788" s="35" t="n"/>
      <c r="K788" s="35" t="n"/>
      <c r="L788" s="35" t="n"/>
      <c r="M788" s="35" t="n"/>
      <c r="N788" s="35" t="n"/>
      <c r="O788" s="35" t="n"/>
      <c r="P788" s="35" t="n"/>
      <c r="Q788" s="35" t="n"/>
    </row>
    <row r="789" ht="14.25" customHeight="1" s="398">
      <c r="A789" s="35" t="n"/>
      <c r="B789" s="35" t="n"/>
      <c r="C789" s="35" t="n"/>
      <c r="D789" s="35" t="n"/>
      <c r="E789" s="35" t="n"/>
      <c r="F789" s="35" t="n"/>
      <c r="G789" s="35" t="n"/>
      <c r="H789" s="35" t="n"/>
      <c r="I789" s="27" t="n"/>
      <c r="J789" s="35" t="n"/>
      <c r="K789" s="35" t="n"/>
      <c r="L789" s="35" t="n"/>
      <c r="M789" s="35" t="n"/>
      <c r="N789" s="35" t="n"/>
      <c r="O789" s="35" t="n"/>
      <c r="P789" s="35" t="n"/>
      <c r="Q789" s="35" t="n"/>
    </row>
    <row r="790" ht="14.25" customHeight="1" s="398">
      <c r="A790" s="35" t="n"/>
      <c r="B790" s="35" t="n"/>
      <c r="C790" s="35" t="n"/>
      <c r="D790" s="35" t="n"/>
      <c r="E790" s="35" t="n"/>
      <c r="F790" s="35" t="n"/>
      <c r="G790" s="35" t="n"/>
      <c r="H790" s="35" t="n"/>
      <c r="I790" s="27" t="n"/>
      <c r="J790" s="35" t="n"/>
      <c r="K790" s="35" t="n"/>
      <c r="L790" s="35" t="n"/>
      <c r="M790" s="35" t="n"/>
      <c r="N790" s="35" t="n"/>
      <c r="O790" s="35" t="n"/>
      <c r="P790" s="35" t="n"/>
      <c r="Q790" s="35" t="n"/>
    </row>
    <row r="791" ht="14.25" customHeight="1" s="398">
      <c r="A791" s="35" t="n"/>
      <c r="B791" s="35" t="n"/>
      <c r="C791" s="35" t="n"/>
      <c r="D791" s="35" t="n"/>
      <c r="E791" s="35" t="n"/>
      <c r="F791" s="35" t="n"/>
      <c r="G791" s="35" t="n"/>
      <c r="H791" s="35" t="n"/>
      <c r="I791" s="27" t="n"/>
      <c r="J791" s="35" t="n"/>
      <c r="K791" s="35" t="n"/>
      <c r="L791" s="35" t="n"/>
      <c r="M791" s="35" t="n"/>
      <c r="N791" s="35" t="n"/>
      <c r="O791" s="35" t="n"/>
      <c r="P791" s="35" t="n"/>
      <c r="Q791" s="35" t="n"/>
    </row>
    <row r="792" ht="14.25" customHeight="1" s="398">
      <c r="A792" s="35" t="n"/>
      <c r="B792" s="35" t="n"/>
      <c r="C792" s="35" t="n"/>
      <c r="D792" s="35" t="n"/>
      <c r="E792" s="35" t="n"/>
      <c r="F792" s="35" t="n"/>
      <c r="G792" s="35" t="n"/>
      <c r="H792" s="35" t="n"/>
      <c r="I792" s="27" t="n"/>
      <c r="J792" s="35" t="n"/>
      <c r="K792" s="35" t="n"/>
      <c r="L792" s="35" t="n"/>
      <c r="M792" s="35" t="n"/>
      <c r="N792" s="35" t="n"/>
      <c r="O792" s="35" t="n"/>
      <c r="P792" s="35" t="n"/>
      <c r="Q792" s="35" t="n"/>
    </row>
    <row r="793" ht="14.25" customHeight="1" s="398">
      <c r="A793" s="35" t="n"/>
      <c r="B793" s="35" t="n"/>
      <c r="C793" s="35" t="n"/>
      <c r="D793" s="35" t="n"/>
      <c r="E793" s="35" t="n"/>
      <c r="F793" s="35" t="n"/>
      <c r="G793" s="35" t="n"/>
      <c r="H793" s="35" t="n"/>
      <c r="I793" s="27" t="n"/>
      <c r="J793" s="35" t="n"/>
      <c r="K793" s="35" t="n"/>
      <c r="L793" s="35" t="n"/>
      <c r="M793" s="35" t="n"/>
      <c r="N793" s="35" t="n"/>
      <c r="O793" s="35" t="n"/>
      <c r="P793" s="35" t="n"/>
      <c r="Q793" s="35" t="n"/>
    </row>
    <row r="794" ht="14.25" customHeight="1" s="398">
      <c r="A794" s="35" t="n"/>
      <c r="B794" s="35" t="n"/>
      <c r="C794" s="35" t="n"/>
      <c r="D794" s="35" t="n"/>
      <c r="E794" s="35" t="n"/>
      <c r="F794" s="35" t="n"/>
      <c r="G794" s="35" t="n"/>
      <c r="H794" s="35" t="n"/>
      <c r="I794" s="27" t="n"/>
      <c r="J794" s="35" t="n"/>
      <c r="K794" s="35" t="n"/>
      <c r="L794" s="35" t="n"/>
      <c r="M794" s="35" t="n"/>
      <c r="N794" s="35" t="n"/>
      <c r="O794" s="35" t="n"/>
      <c r="P794" s="35" t="n"/>
      <c r="Q794" s="35" t="n"/>
    </row>
    <row r="795" ht="14.25" customHeight="1" s="398">
      <c r="A795" s="35" t="n"/>
      <c r="B795" s="35" t="n"/>
      <c r="C795" s="35" t="n"/>
      <c r="D795" s="35" t="n"/>
      <c r="E795" s="35" t="n"/>
      <c r="F795" s="35" t="n"/>
      <c r="G795" s="35" t="n"/>
      <c r="H795" s="35" t="n"/>
      <c r="I795" s="27" t="n"/>
      <c r="J795" s="35" t="n"/>
      <c r="K795" s="35" t="n"/>
      <c r="L795" s="35" t="n"/>
      <c r="M795" s="35" t="n"/>
      <c r="N795" s="35" t="n"/>
      <c r="O795" s="35" t="n"/>
      <c r="P795" s="35" t="n"/>
      <c r="Q795" s="35" t="n"/>
    </row>
    <row r="796" ht="14.25" customHeight="1" s="398">
      <c r="A796" s="35" t="n"/>
      <c r="B796" s="35" t="n"/>
      <c r="C796" s="35" t="n"/>
      <c r="D796" s="35" t="n"/>
      <c r="E796" s="35" t="n"/>
      <c r="F796" s="35" t="n"/>
      <c r="G796" s="35" t="n"/>
      <c r="H796" s="35" t="n"/>
      <c r="I796" s="27" t="n"/>
      <c r="J796" s="35" t="n"/>
      <c r="K796" s="35" t="n"/>
      <c r="L796" s="35" t="n"/>
      <c r="M796" s="35" t="n"/>
      <c r="N796" s="35" t="n"/>
      <c r="O796" s="35" t="n"/>
      <c r="P796" s="35" t="n"/>
      <c r="Q796" s="35" t="n"/>
    </row>
    <row r="797" ht="14.25" customHeight="1" s="398">
      <c r="A797" s="35" t="n"/>
      <c r="B797" s="35" t="n"/>
      <c r="C797" s="35" t="n"/>
      <c r="D797" s="35" t="n"/>
      <c r="E797" s="35" t="n"/>
      <c r="F797" s="35" t="n"/>
      <c r="G797" s="35" t="n"/>
      <c r="H797" s="35" t="n"/>
      <c r="I797" s="27" t="n"/>
      <c r="J797" s="35" t="n"/>
      <c r="K797" s="35" t="n"/>
      <c r="L797" s="35" t="n"/>
      <c r="M797" s="35" t="n"/>
      <c r="N797" s="35" t="n"/>
      <c r="O797" s="35" t="n"/>
      <c r="P797" s="35" t="n"/>
      <c r="Q797" s="35" t="n"/>
    </row>
    <row r="798" ht="14.25" customHeight="1" s="398">
      <c r="A798" s="35" t="n"/>
      <c r="B798" s="35" t="n"/>
      <c r="C798" s="35" t="n"/>
      <c r="D798" s="35" t="n"/>
      <c r="E798" s="35" t="n"/>
      <c r="F798" s="35" t="n"/>
      <c r="G798" s="35" t="n"/>
      <c r="H798" s="35" t="n"/>
      <c r="I798" s="27" t="n"/>
      <c r="J798" s="35" t="n"/>
      <c r="K798" s="35" t="n"/>
      <c r="L798" s="35" t="n"/>
      <c r="M798" s="35" t="n"/>
      <c r="N798" s="35" t="n"/>
      <c r="O798" s="35" t="n"/>
      <c r="P798" s="35" t="n"/>
      <c r="Q798" s="35" t="n"/>
    </row>
    <row r="799" ht="14.25" customHeight="1" s="398">
      <c r="A799" s="35" t="n"/>
      <c r="B799" s="35" t="n"/>
      <c r="C799" s="35" t="n"/>
      <c r="D799" s="35" t="n"/>
      <c r="E799" s="35" t="n"/>
      <c r="F799" s="35" t="n"/>
      <c r="G799" s="35" t="n"/>
      <c r="H799" s="35" t="n"/>
      <c r="I799" s="27" t="n"/>
      <c r="J799" s="35" t="n"/>
      <c r="K799" s="35" t="n"/>
      <c r="L799" s="35" t="n"/>
      <c r="M799" s="35" t="n"/>
      <c r="N799" s="35" t="n"/>
      <c r="O799" s="35" t="n"/>
      <c r="P799" s="35" t="n"/>
      <c r="Q799" s="35" t="n"/>
    </row>
    <row r="800" ht="14.25" customHeight="1" s="398">
      <c r="A800" s="35" t="n"/>
      <c r="B800" s="35" t="n"/>
      <c r="C800" s="35" t="n"/>
      <c r="D800" s="35" t="n"/>
      <c r="E800" s="35" t="n"/>
      <c r="F800" s="35" t="n"/>
      <c r="G800" s="35" t="n"/>
      <c r="H800" s="35" t="n"/>
      <c r="I800" s="27" t="n"/>
      <c r="J800" s="35" t="n"/>
      <c r="K800" s="35" t="n"/>
      <c r="L800" s="35" t="n"/>
      <c r="M800" s="35" t="n"/>
      <c r="N800" s="35" t="n"/>
      <c r="O800" s="35" t="n"/>
      <c r="P800" s="35" t="n"/>
      <c r="Q800" s="35" t="n"/>
    </row>
    <row r="801" ht="14.25" customHeight="1" s="398">
      <c r="A801" s="35" t="n"/>
      <c r="B801" s="35" t="n"/>
      <c r="C801" s="35" t="n"/>
      <c r="D801" s="35" t="n"/>
      <c r="E801" s="35" t="n"/>
      <c r="F801" s="35" t="n"/>
      <c r="G801" s="35" t="n"/>
      <c r="H801" s="35" t="n"/>
      <c r="I801" s="27" t="n"/>
      <c r="J801" s="35" t="n"/>
      <c r="K801" s="35" t="n"/>
      <c r="L801" s="35" t="n"/>
      <c r="M801" s="35" t="n"/>
      <c r="N801" s="35" t="n"/>
      <c r="O801" s="35" t="n"/>
      <c r="P801" s="35" t="n"/>
      <c r="Q801" s="35" t="n"/>
    </row>
    <row r="802" ht="14.25" customHeight="1" s="398">
      <c r="A802" s="35" t="n"/>
      <c r="B802" s="35" t="n"/>
      <c r="C802" s="35" t="n"/>
      <c r="D802" s="35" t="n"/>
      <c r="E802" s="35" t="n"/>
      <c r="F802" s="35" t="n"/>
      <c r="G802" s="35" t="n"/>
      <c r="H802" s="35" t="n"/>
      <c r="I802" s="27" t="n"/>
      <c r="J802" s="35" t="n"/>
      <c r="K802" s="35" t="n"/>
      <c r="L802" s="35" t="n"/>
      <c r="M802" s="35" t="n"/>
      <c r="N802" s="35" t="n"/>
      <c r="O802" s="35" t="n"/>
      <c r="P802" s="35" t="n"/>
      <c r="Q802" s="35" t="n"/>
    </row>
    <row r="803" ht="14.25" customHeight="1" s="398">
      <c r="A803" s="35" t="n"/>
      <c r="B803" s="35" t="n"/>
      <c r="C803" s="35" t="n"/>
      <c r="D803" s="35" t="n"/>
      <c r="E803" s="35" t="n"/>
      <c r="F803" s="35" t="n"/>
      <c r="G803" s="35" t="n"/>
      <c r="H803" s="35" t="n"/>
      <c r="I803" s="27" t="n"/>
      <c r="J803" s="35" t="n"/>
      <c r="K803" s="35" t="n"/>
      <c r="L803" s="35" t="n"/>
      <c r="M803" s="35" t="n"/>
      <c r="N803" s="35" t="n"/>
      <c r="O803" s="35" t="n"/>
      <c r="P803" s="35" t="n"/>
      <c r="Q803" s="35" t="n"/>
    </row>
    <row r="804" ht="14.25" customHeight="1" s="398">
      <c r="A804" s="35" t="n"/>
      <c r="B804" s="35" t="n"/>
      <c r="C804" s="35" t="n"/>
      <c r="D804" s="35" t="n"/>
      <c r="E804" s="35" t="n"/>
      <c r="F804" s="35" t="n"/>
      <c r="G804" s="35" t="n"/>
      <c r="H804" s="35" t="n"/>
      <c r="I804" s="27" t="n"/>
      <c r="J804" s="35" t="n"/>
      <c r="K804" s="35" t="n"/>
      <c r="L804" s="35" t="n"/>
      <c r="M804" s="35" t="n"/>
      <c r="N804" s="35" t="n"/>
      <c r="O804" s="35" t="n"/>
      <c r="P804" s="35" t="n"/>
      <c r="Q804" s="35" t="n"/>
    </row>
    <row r="805" ht="14.25" customHeight="1" s="398">
      <c r="A805" s="35" t="n"/>
      <c r="B805" s="35" t="n"/>
      <c r="C805" s="35" t="n"/>
      <c r="D805" s="35" t="n"/>
      <c r="E805" s="35" t="n"/>
      <c r="F805" s="35" t="n"/>
      <c r="G805" s="35" t="n"/>
      <c r="H805" s="35" t="n"/>
      <c r="I805" s="27" t="n"/>
      <c r="J805" s="35" t="n"/>
      <c r="K805" s="35" t="n"/>
      <c r="L805" s="35" t="n"/>
      <c r="M805" s="35" t="n"/>
      <c r="N805" s="35" t="n"/>
      <c r="O805" s="35" t="n"/>
      <c r="P805" s="35" t="n"/>
      <c r="Q805" s="35" t="n"/>
    </row>
    <row r="806" ht="14.25" customHeight="1" s="398">
      <c r="A806" s="35" t="n"/>
      <c r="B806" s="35" t="n"/>
      <c r="C806" s="35" t="n"/>
      <c r="D806" s="35" t="n"/>
      <c r="E806" s="35" t="n"/>
      <c r="F806" s="35" t="n"/>
      <c r="G806" s="35" t="n"/>
      <c r="H806" s="35" t="n"/>
      <c r="I806" s="27" t="n"/>
      <c r="J806" s="35" t="n"/>
      <c r="K806" s="35" t="n"/>
      <c r="L806" s="35" t="n"/>
      <c r="M806" s="35" t="n"/>
      <c r="N806" s="35" t="n"/>
      <c r="O806" s="35" t="n"/>
      <c r="P806" s="35" t="n"/>
      <c r="Q806" s="35" t="n"/>
    </row>
    <row r="807" ht="14.25" customHeight="1" s="398">
      <c r="A807" s="35" t="n"/>
      <c r="B807" s="35" t="n"/>
      <c r="C807" s="35" t="n"/>
      <c r="D807" s="35" t="n"/>
      <c r="E807" s="35" t="n"/>
      <c r="F807" s="35" t="n"/>
      <c r="G807" s="35" t="n"/>
      <c r="H807" s="35" t="n"/>
      <c r="I807" s="27" t="n"/>
      <c r="J807" s="35" t="n"/>
      <c r="K807" s="35" t="n"/>
      <c r="L807" s="35" t="n"/>
      <c r="M807" s="35" t="n"/>
      <c r="N807" s="35" t="n"/>
      <c r="O807" s="35" t="n"/>
      <c r="P807" s="35" t="n"/>
      <c r="Q807" s="35" t="n"/>
    </row>
    <row r="808" ht="14.25" customHeight="1" s="398">
      <c r="A808" s="35" t="n"/>
      <c r="B808" s="35" t="n"/>
      <c r="C808" s="35" t="n"/>
      <c r="D808" s="35" t="n"/>
      <c r="E808" s="35" t="n"/>
      <c r="F808" s="35" t="n"/>
      <c r="G808" s="35" t="n"/>
      <c r="H808" s="35" t="n"/>
      <c r="I808" s="27" t="n"/>
      <c r="J808" s="35" t="n"/>
      <c r="K808" s="35" t="n"/>
      <c r="L808" s="35" t="n"/>
      <c r="M808" s="35" t="n"/>
      <c r="N808" s="35" t="n"/>
      <c r="O808" s="35" t="n"/>
      <c r="P808" s="35" t="n"/>
      <c r="Q808" s="35" t="n"/>
    </row>
    <row r="809" ht="14.25" customHeight="1" s="398">
      <c r="A809" s="35" t="n"/>
      <c r="B809" s="35" t="n"/>
      <c r="C809" s="35" t="n"/>
      <c r="D809" s="35" t="n"/>
      <c r="E809" s="35" t="n"/>
      <c r="F809" s="35" t="n"/>
      <c r="G809" s="35" t="n"/>
      <c r="H809" s="35" t="n"/>
      <c r="I809" s="27" t="n"/>
      <c r="J809" s="35" t="n"/>
      <c r="K809" s="35" t="n"/>
      <c r="L809" s="35" t="n"/>
      <c r="M809" s="35" t="n"/>
      <c r="N809" s="35" t="n"/>
      <c r="O809" s="35" t="n"/>
      <c r="P809" s="35" t="n"/>
      <c r="Q809" s="35" t="n"/>
    </row>
    <row r="810" ht="14.25" customHeight="1" s="398">
      <c r="A810" s="35" t="n"/>
      <c r="B810" s="35" t="n"/>
      <c r="C810" s="35" t="n"/>
      <c r="D810" s="35" t="n"/>
      <c r="E810" s="35" t="n"/>
      <c r="F810" s="35" t="n"/>
      <c r="G810" s="35" t="n"/>
      <c r="H810" s="35" t="n"/>
      <c r="I810" s="27" t="n"/>
      <c r="J810" s="35" t="n"/>
      <c r="K810" s="35" t="n"/>
      <c r="L810" s="35" t="n"/>
      <c r="M810" s="35" t="n"/>
      <c r="N810" s="35" t="n"/>
      <c r="O810" s="35" t="n"/>
      <c r="P810" s="35" t="n"/>
      <c r="Q810" s="35" t="n"/>
    </row>
    <row r="811" ht="14.25" customHeight="1" s="398">
      <c r="A811" s="35" t="n"/>
      <c r="B811" s="35" t="n"/>
      <c r="C811" s="35" t="n"/>
      <c r="D811" s="35" t="n"/>
      <c r="E811" s="35" t="n"/>
      <c r="F811" s="35" t="n"/>
      <c r="G811" s="35" t="n"/>
      <c r="H811" s="35" t="n"/>
      <c r="I811" s="27" t="n"/>
      <c r="J811" s="35" t="n"/>
      <c r="K811" s="35" t="n"/>
      <c r="L811" s="35" t="n"/>
      <c r="M811" s="35" t="n"/>
      <c r="N811" s="35" t="n"/>
      <c r="O811" s="35" t="n"/>
      <c r="P811" s="35" t="n"/>
      <c r="Q811" s="35" t="n"/>
    </row>
    <row r="812" ht="14.25" customHeight="1" s="398">
      <c r="A812" s="35" t="n"/>
      <c r="B812" s="35" t="n"/>
      <c r="C812" s="35" t="n"/>
      <c r="D812" s="35" t="n"/>
      <c r="E812" s="35" t="n"/>
      <c r="F812" s="35" t="n"/>
      <c r="G812" s="35" t="n"/>
      <c r="H812" s="35" t="n"/>
      <c r="I812" s="27" t="n"/>
      <c r="J812" s="35" t="n"/>
      <c r="K812" s="35" t="n"/>
      <c r="L812" s="35" t="n"/>
      <c r="M812" s="35" t="n"/>
      <c r="N812" s="35" t="n"/>
      <c r="O812" s="35" t="n"/>
      <c r="P812" s="35" t="n"/>
      <c r="Q812" s="35" t="n"/>
    </row>
    <row r="813" ht="14.25" customHeight="1" s="398">
      <c r="A813" s="35" t="n"/>
      <c r="B813" s="35" t="n"/>
      <c r="C813" s="35" t="n"/>
      <c r="D813" s="35" t="n"/>
      <c r="E813" s="35" t="n"/>
      <c r="F813" s="35" t="n"/>
      <c r="G813" s="35" t="n"/>
      <c r="H813" s="35" t="n"/>
      <c r="I813" s="27" t="n"/>
      <c r="J813" s="35" t="n"/>
      <c r="K813" s="35" t="n"/>
      <c r="L813" s="35" t="n"/>
      <c r="M813" s="35" t="n"/>
      <c r="N813" s="35" t="n"/>
      <c r="O813" s="35" t="n"/>
      <c r="P813" s="35" t="n"/>
      <c r="Q813" s="35" t="n"/>
    </row>
    <row r="814" ht="14.25" customHeight="1" s="398">
      <c r="A814" s="35" t="n"/>
      <c r="B814" s="35" t="n"/>
      <c r="C814" s="35" t="n"/>
      <c r="D814" s="35" t="n"/>
      <c r="E814" s="35" t="n"/>
      <c r="F814" s="35" t="n"/>
      <c r="G814" s="35" t="n"/>
      <c r="H814" s="35" t="n"/>
      <c r="I814" s="27" t="n"/>
      <c r="J814" s="35" t="n"/>
      <c r="K814" s="35" t="n"/>
      <c r="L814" s="35" t="n"/>
      <c r="M814" s="35" t="n"/>
      <c r="N814" s="35" t="n"/>
      <c r="O814" s="35" t="n"/>
      <c r="P814" s="35" t="n"/>
      <c r="Q814" s="35" t="n"/>
    </row>
    <row r="815" ht="14.25" customHeight="1" s="398">
      <c r="A815" s="35" t="n"/>
      <c r="B815" s="35" t="n"/>
      <c r="C815" s="35" t="n"/>
      <c r="D815" s="35" t="n"/>
      <c r="E815" s="35" t="n"/>
      <c r="F815" s="35" t="n"/>
      <c r="G815" s="35" t="n"/>
      <c r="H815" s="35" t="n"/>
      <c r="I815" s="27" t="n"/>
      <c r="J815" s="35" t="n"/>
      <c r="K815" s="35" t="n"/>
      <c r="L815" s="35" t="n"/>
      <c r="M815" s="35" t="n"/>
      <c r="N815" s="35" t="n"/>
      <c r="O815" s="35" t="n"/>
      <c r="P815" s="35" t="n"/>
      <c r="Q815" s="35" t="n"/>
    </row>
    <row r="816" ht="14.25" customHeight="1" s="398">
      <c r="A816" s="35" t="n"/>
      <c r="B816" s="35" t="n"/>
      <c r="C816" s="35" t="n"/>
      <c r="D816" s="35" t="n"/>
      <c r="E816" s="35" t="n"/>
      <c r="F816" s="35" t="n"/>
      <c r="G816" s="35" t="n"/>
      <c r="H816" s="35" t="n"/>
      <c r="I816" s="27" t="n"/>
      <c r="J816" s="35" t="n"/>
      <c r="K816" s="35" t="n"/>
      <c r="L816" s="35" t="n"/>
      <c r="M816" s="35" t="n"/>
      <c r="N816" s="35" t="n"/>
      <c r="O816" s="35" t="n"/>
      <c r="P816" s="35" t="n"/>
      <c r="Q816" s="35" t="n"/>
    </row>
    <row r="817" ht="14.25" customHeight="1" s="398">
      <c r="A817" s="35" t="n"/>
      <c r="B817" s="35" t="n"/>
      <c r="C817" s="35" t="n"/>
      <c r="D817" s="35" t="n"/>
      <c r="E817" s="35" t="n"/>
      <c r="F817" s="35" t="n"/>
      <c r="G817" s="35" t="n"/>
      <c r="H817" s="35" t="n"/>
      <c r="I817" s="27" t="n"/>
      <c r="J817" s="35" t="n"/>
      <c r="K817" s="35" t="n"/>
      <c r="L817" s="35" t="n"/>
      <c r="M817" s="35" t="n"/>
      <c r="N817" s="35" t="n"/>
      <c r="O817" s="35" t="n"/>
      <c r="P817" s="35" t="n"/>
      <c r="Q817" s="35" t="n"/>
    </row>
    <row r="818" ht="14.25" customHeight="1" s="398">
      <c r="A818" s="35" t="n"/>
      <c r="B818" s="35" t="n"/>
      <c r="C818" s="35" t="n"/>
      <c r="D818" s="35" t="n"/>
      <c r="E818" s="35" t="n"/>
      <c r="F818" s="35" t="n"/>
      <c r="G818" s="35" t="n"/>
      <c r="H818" s="35" t="n"/>
      <c r="I818" s="27" t="n"/>
      <c r="J818" s="35" t="n"/>
      <c r="K818" s="35" t="n"/>
      <c r="L818" s="35" t="n"/>
      <c r="M818" s="35" t="n"/>
      <c r="N818" s="35" t="n"/>
      <c r="O818" s="35" t="n"/>
      <c r="P818" s="35" t="n"/>
      <c r="Q818" s="35" t="n"/>
    </row>
    <row r="819" ht="14.25" customHeight="1" s="398">
      <c r="A819" s="35" t="n"/>
      <c r="B819" s="35" t="n"/>
      <c r="C819" s="35" t="n"/>
      <c r="D819" s="35" t="n"/>
      <c r="E819" s="35" t="n"/>
      <c r="F819" s="35" t="n"/>
      <c r="G819" s="35" t="n"/>
      <c r="H819" s="35" t="n"/>
      <c r="I819" s="27" t="n"/>
      <c r="J819" s="35" t="n"/>
      <c r="K819" s="35" t="n"/>
      <c r="L819" s="35" t="n"/>
      <c r="M819" s="35" t="n"/>
      <c r="N819" s="35" t="n"/>
      <c r="O819" s="35" t="n"/>
      <c r="P819" s="35" t="n"/>
      <c r="Q819" s="35" t="n"/>
    </row>
    <row r="820" ht="14.25" customHeight="1" s="398">
      <c r="A820" s="35" t="n"/>
      <c r="B820" s="35" t="n"/>
      <c r="C820" s="35" t="n"/>
      <c r="D820" s="35" t="n"/>
      <c r="E820" s="35" t="n"/>
      <c r="F820" s="35" t="n"/>
      <c r="G820" s="35" t="n"/>
      <c r="H820" s="35" t="n"/>
      <c r="I820" s="27" t="n"/>
      <c r="J820" s="35" t="n"/>
      <c r="K820" s="35" t="n"/>
      <c r="L820" s="35" t="n"/>
      <c r="M820" s="35" t="n"/>
      <c r="N820" s="35" t="n"/>
      <c r="O820" s="35" t="n"/>
      <c r="P820" s="35" t="n"/>
      <c r="Q820" s="35" t="n"/>
    </row>
    <row r="821" ht="14.25" customHeight="1" s="398">
      <c r="A821" s="35" t="n"/>
      <c r="B821" s="35" t="n"/>
      <c r="C821" s="35" t="n"/>
      <c r="D821" s="35" t="n"/>
      <c r="E821" s="35" t="n"/>
      <c r="F821" s="35" t="n"/>
      <c r="G821" s="35" t="n"/>
      <c r="H821" s="35" t="n"/>
      <c r="I821" s="27" t="n"/>
      <c r="J821" s="35" t="n"/>
      <c r="K821" s="35" t="n"/>
      <c r="L821" s="35" t="n"/>
      <c r="M821" s="35" t="n"/>
      <c r="N821" s="35" t="n"/>
      <c r="O821" s="35" t="n"/>
      <c r="P821" s="35" t="n"/>
      <c r="Q821" s="35" t="n"/>
    </row>
    <row r="822" ht="14.25" customHeight="1" s="398">
      <c r="A822" s="35" t="n"/>
      <c r="B822" s="35" t="n"/>
      <c r="C822" s="35" t="n"/>
      <c r="D822" s="35" t="n"/>
      <c r="E822" s="35" t="n"/>
      <c r="F822" s="35" t="n"/>
      <c r="G822" s="35" t="n"/>
      <c r="H822" s="35" t="n"/>
      <c r="I822" s="27" t="n"/>
      <c r="J822" s="35" t="n"/>
      <c r="K822" s="35" t="n"/>
      <c r="L822" s="35" t="n"/>
      <c r="M822" s="35" t="n"/>
      <c r="N822" s="35" t="n"/>
      <c r="O822" s="35" t="n"/>
      <c r="P822" s="35" t="n"/>
      <c r="Q822" s="35" t="n"/>
    </row>
    <row r="823" ht="14.25" customHeight="1" s="398">
      <c r="A823" s="35" t="n"/>
      <c r="B823" s="35" t="n"/>
      <c r="C823" s="35" t="n"/>
      <c r="D823" s="35" t="n"/>
      <c r="E823" s="35" t="n"/>
      <c r="F823" s="35" t="n"/>
      <c r="G823" s="35" t="n"/>
      <c r="H823" s="35" t="n"/>
      <c r="I823" s="27" t="n"/>
      <c r="J823" s="35" t="n"/>
      <c r="K823" s="35" t="n"/>
      <c r="L823" s="35" t="n"/>
      <c r="M823" s="35" t="n"/>
      <c r="N823" s="35" t="n"/>
      <c r="O823" s="35" t="n"/>
      <c r="P823" s="35" t="n"/>
      <c r="Q823" s="35" t="n"/>
    </row>
    <row r="824" ht="14.25" customHeight="1" s="398">
      <c r="A824" s="35" t="n"/>
      <c r="B824" s="35" t="n"/>
      <c r="C824" s="35" t="n"/>
      <c r="D824" s="35" t="n"/>
      <c r="E824" s="35" t="n"/>
      <c r="F824" s="35" t="n"/>
      <c r="G824" s="35" t="n"/>
      <c r="H824" s="35" t="n"/>
      <c r="I824" s="27" t="n"/>
      <c r="J824" s="35" t="n"/>
      <c r="K824" s="35" t="n"/>
      <c r="L824" s="35" t="n"/>
      <c r="M824" s="35" t="n"/>
      <c r="N824" s="35" t="n"/>
      <c r="O824" s="35" t="n"/>
      <c r="P824" s="35" t="n"/>
      <c r="Q824" s="35" t="n"/>
    </row>
    <row r="825" ht="14.25" customHeight="1" s="398">
      <c r="A825" s="35" t="n"/>
      <c r="B825" s="35" t="n"/>
      <c r="C825" s="35" t="n"/>
      <c r="D825" s="35" t="n"/>
      <c r="E825" s="35" t="n"/>
      <c r="F825" s="35" t="n"/>
      <c r="G825" s="35" t="n"/>
      <c r="H825" s="35" t="n"/>
      <c r="I825" s="27" t="n"/>
      <c r="J825" s="35" t="n"/>
      <c r="K825" s="35" t="n"/>
      <c r="L825" s="35" t="n"/>
      <c r="M825" s="35" t="n"/>
      <c r="N825" s="35" t="n"/>
      <c r="O825" s="35" t="n"/>
      <c r="P825" s="35" t="n"/>
      <c r="Q825" s="35" t="n"/>
    </row>
    <row r="826" ht="14.25" customHeight="1" s="398">
      <c r="A826" s="35" t="n"/>
      <c r="B826" s="35" t="n"/>
      <c r="C826" s="35" t="n"/>
      <c r="D826" s="35" t="n"/>
      <c r="E826" s="35" t="n"/>
      <c r="F826" s="35" t="n"/>
      <c r="G826" s="35" t="n"/>
      <c r="H826" s="35" t="n"/>
      <c r="I826" s="27" t="n"/>
      <c r="J826" s="35" t="n"/>
      <c r="K826" s="35" t="n"/>
      <c r="L826" s="35" t="n"/>
      <c r="M826" s="35" t="n"/>
      <c r="N826" s="35" t="n"/>
      <c r="O826" s="35" t="n"/>
      <c r="P826" s="35" t="n"/>
      <c r="Q826" s="35" t="n"/>
    </row>
    <row r="827" ht="14.25" customHeight="1" s="398">
      <c r="A827" s="35" t="n"/>
      <c r="B827" s="35" t="n"/>
      <c r="C827" s="35" t="n"/>
      <c r="D827" s="35" t="n"/>
      <c r="E827" s="35" t="n"/>
      <c r="F827" s="35" t="n"/>
      <c r="G827" s="35" t="n"/>
      <c r="H827" s="35" t="n"/>
      <c r="I827" s="27" t="n"/>
      <c r="J827" s="35" t="n"/>
      <c r="K827" s="35" t="n"/>
      <c r="L827" s="35" t="n"/>
      <c r="M827" s="35" t="n"/>
      <c r="N827" s="35" t="n"/>
      <c r="O827" s="35" t="n"/>
      <c r="P827" s="35" t="n"/>
      <c r="Q827" s="35" t="n"/>
    </row>
    <row r="828" ht="14.25" customHeight="1" s="398">
      <c r="A828" s="35" t="n"/>
      <c r="B828" s="35" t="n"/>
      <c r="C828" s="35" t="n"/>
      <c r="D828" s="35" t="n"/>
      <c r="E828" s="35" t="n"/>
      <c r="F828" s="35" t="n"/>
      <c r="G828" s="35" t="n"/>
      <c r="H828" s="35" t="n"/>
      <c r="I828" s="27" t="n"/>
      <c r="J828" s="35" t="n"/>
      <c r="K828" s="35" t="n"/>
      <c r="L828" s="35" t="n"/>
      <c r="M828" s="35" t="n"/>
      <c r="N828" s="35" t="n"/>
      <c r="O828" s="35" t="n"/>
      <c r="P828" s="35" t="n"/>
      <c r="Q828" s="35" t="n"/>
    </row>
    <row r="829" ht="14.25" customHeight="1" s="398">
      <c r="A829" s="35" t="n"/>
      <c r="B829" s="35" t="n"/>
      <c r="C829" s="35" t="n"/>
      <c r="D829" s="35" t="n"/>
      <c r="E829" s="35" t="n"/>
      <c r="F829" s="35" t="n"/>
      <c r="G829" s="35" t="n"/>
      <c r="H829" s="35" t="n"/>
      <c r="I829" s="27" t="n"/>
      <c r="J829" s="35" t="n"/>
      <c r="K829" s="35" t="n"/>
      <c r="L829" s="35" t="n"/>
      <c r="M829" s="35" t="n"/>
      <c r="N829" s="35" t="n"/>
      <c r="O829" s="35" t="n"/>
      <c r="P829" s="35" t="n"/>
      <c r="Q829" s="35" t="n"/>
    </row>
    <row r="830" ht="14.25" customHeight="1" s="398">
      <c r="A830" s="35" t="n"/>
      <c r="B830" s="35" t="n"/>
      <c r="C830" s="35" t="n"/>
      <c r="D830" s="35" t="n"/>
      <c r="E830" s="35" t="n"/>
      <c r="F830" s="35" t="n"/>
      <c r="G830" s="35" t="n"/>
      <c r="H830" s="35" t="n"/>
      <c r="I830" s="27" t="n"/>
      <c r="J830" s="35" t="n"/>
      <c r="K830" s="35" t="n"/>
      <c r="L830" s="35" t="n"/>
      <c r="M830" s="35" t="n"/>
      <c r="N830" s="35" t="n"/>
      <c r="O830" s="35" t="n"/>
      <c r="P830" s="35" t="n"/>
      <c r="Q830" s="35" t="n"/>
    </row>
    <row r="831" ht="14.25" customHeight="1" s="398">
      <c r="A831" s="35" t="n"/>
      <c r="B831" s="35" t="n"/>
      <c r="C831" s="35" t="n"/>
      <c r="D831" s="35" t="n"/>
      <c r="E831" s="35" t="n"/>
      <c r="F831" s="35" t="n"/>
      <c r="G831" s="35" t="n"/>
      <c r="H831" s="35" t="n"/>
      <c r="I831" s="27" t="n"/>
      <c r="J831" s="35" t="n"/>
      <c r="K831" s="35" t="n"/>
      <c r="L831" s="35" t="n"/>
      <c r="M831" s="35" t="n"/>
      <c r="N831" s="35" t="n"/>
      <c r="O831" s="35" t="n"/>
      <c r="P831" s="35" t="n"/>
      <c r="Q831" s="35" t="n"/>
    </row>
    <row r="832" ht="14.25" customHeight="1" s="398">
      <c r="A832" s="35" t="n"/>
      <c r="B832" s="35" t="n"/>
      <c r="C832" s="35" t="n"/>
      <c r="D832" s="35" t="n"/>
      <c r="E832" s="35" t="n"/>
      <c r="F832" s="35" t="n"/>
      <c r="G832" s="35" t="n"/>
      <c r="H832" s="35" t="n"/>
      <c r="I832" s="27" t="n"/>
      <c r="J832" s="35" t="n"/>
      <c r="K832" s="35" t="n"/>
      <c r="L832" s="35" t="n"/>
      <c r="M832" s="35" t="n"/>
      <c r="N832" s="35" t="n"/>
      <c r="O832" s="35" t="n"/>
      <c r="P832" s="35" t="n"/>
      <c r="Q832" s="35" t="n"/>
    </row>
    <row r="833" ht="14.25" customHeight="1" s="398">
      <c r="A833" s="35" t="n"/>
      <c r="B833" s="35" t="n"/>
      <c r="C833" s="35" t="n"/>
      <c r="D833" s="35" t="n"/>
      <c r="E833" s="35" t="n"/>
      <c r="F833" s="35" t="n"/>
      <c r="G833" s="35" t="n"/>
      <c r="H833" s="35" t="n"/>
      <c r="I833" s="27" t="n"/>
      <c r="J833" s="35" t="n"/>
      <c r="K833" s="35" t="n"/>
      <c r="L833" s="35" t="n"/>
      <c r="M833" s="35" t="n"/>
      <c r="N833" s="35" t="n"/>
      <c r="O833" s="35" t="n"/>
      <c r="P833" s="35" t="n"/>
      <c r="Q833" s="35" t="n"/>
    </row>
    <row r="834" ht="14.25" customHeight="1" s="398">
      <c r="A834" s="35" t="n"/>
      <c r="B834" s="35" t="n"/>
      <c r="C834" s="35" t="n"/>
      <c r="D834" s="35" t="n"/>
      <c r="E834" s="35" t="n"/>
      <c r="F834" s="35" t="n"/>
      <c r="G834" s="35" t="n"/>
      <c r="H834" s="35" t="n"/>
      <c r="I834" s="27" t="n"/>
      <c r="J834" s="35" t="n"/>
      <c r="K834" s="35" t="n"/>
      <c r="L834" s="35" t="n"/>
      <c r="M834" s="35" t="n"/>
      <c r="N834" s="35" t="n"/>
      <c r="O834" s="35" t="n"/>
      <c r="P834" s="35" t="n"/>
      <c r="Q834" s="35" t="n"/>
    </row>
    <row r="835" ht="14.25" customHeight="1" s="398">
      <c r="A835" s="35" t="n"/>
      <c r="B835" s="35" t="n"/>
      <c r="C835" s="35" t="n"/>
      <c r="D835" s="35" t="n"/>
      <c r="E835" s="35" t="n"/>
      <c r="F835" s="35" t="n"/>
      <c r="G835" s="35" t="n"/>
      <c r="H835" s="35" t="n"/>
      <c r="I835" s="27" t="n"/>
      <c r="J835" s="35" t="n"/>
      <c r="K835" s="35" t="n"/>
      <c r="L835" s="35" t="n"/>
      <c r="M835" s="35" t="n"/>
      <c r="N835" s="35" t="n"/>
      <c r="O835" s="35" t="n"/>
      <c r="P835" s="35" t="n"/>
      <c r="Q835" s="35" t="n"/>
    </row>
    <row r="836" ht="14.25" customHeight="1" s="398">
      <c r="A836" s="35" t="n"/>
      <c r="B836" s="35" t="n"/>
      <c r="C836" s="35" t="n"/>
      <c r="D836" s="35" t="n"/>
      <c r="E836" s="35" t="n"/>
      <c r="F836" s="35" t="n"/>
      <c r="G836" s="35" t="n"/>
      <c r="H836" s="35" t="n"/>
      <c r="I836" s="27" t="n"/>
      <c r="J836" s="35" t="n"/>
      <c r="K836" s="35" t="n"/>
      <c r="L836" s="35" t="n"/>
      <c r="M836" s="35" t="n"/>
      <c r="N836" s="35" t="n"/>
      <c r="O836" s="35" t="n"/>
      <c r="P836" s="35" t="n"/>
      <c r="Q836" s="35" t="n"/>
    </row>
    <row r="837" ht="14.25" customHeight="1" s="398">
      <c r="A837" s="35" t="n"/>
      <c r="B837" s="35" t="n"/>
      <c r="C837" s="35" t="n"/>
      <c r="D837" s="35" t="n"/>
      <c r="E837" s="35" t="n"/>
      <c r="F837" s="35" t="n"/>
      <c r="G837" s="35" t="n"/>
      <c r="H837" s="35" t="n"/>
      <c r="I837" s="27" t="n"/>
      <c r="J837" s="35" t="n"/>
      <c r="K837" s="35" t="n"/>
      <c r="L837" s="35" t="n"/>
      <c r="M837" s="35" t="n"/>
      <c r="N837" s="35" t="n"/>
      <c r="O837" s="35" t="n"/>
      <c r="P837" s="35" t="n"/>
      <c r="Q837" s="35" t="n"/>
    </row>
    <row r="838" ht="14.25" customHeight="1" s="398">
      <c r="A838" s="35" t="n"/>
      <c r="B838" s="35" t="n"/>
      <c r="C838" s="35" t="n"/>
      <c r="D838" s="35" t="n"/>
      <c r="E838" s="35" t="n"/>
      <c r="F838" s="35" t="n"/>
      <c r="G838" s="35" t="n"/>
      <c r="H838" s="35" t="n"/>
      <c r="I838" s="27" t="n"/>
      <c r="J838" s="35" t="n"/>
      <c r="K838" s="35" t="n"/>
      <c r="L838" s="35" t="n"/>
      <c r="M838" s="35" t="n"/>
      <c r="N838" s="35" t="n"/>
      <c r="O838" s="35" t="n"/>
      <c r="P838" s="35" t="n"/>
      <c r="Q838" s="35" t="n"/>
    </row>
    <row r="839" ht="14.25" customHeight="1" s="398">
      <c r="A839" s="35" t="n"/>
      <c r="B839" s="35" t="n"/>
      <c r="C839" s="35" t="n"/>
      <c r="D839" s="35" t="n"/>
      <c r="E839" s="35" t="n"/>
      <c r="F839" s="35" t="n"/>
      <c r="G839" s="35" t="n"/>
      <c r="H839" s="35" t="n"/>
      <c r="I839" s="27" t="n"/>
      <c r="J839" s="35" t="n"/>
      <c r="K839" s="35" t="n"/>
      <c r="L839" s="35" t="n"/>
      <c r="M839" s="35" t="n"/>
      <c r="N839" s="35" t="n"/>
      <c r="O839" s="35" t="n"/>
      <c r="P839" s="35" t="n"/>
      <c r="Q839" s="35" t="n"/>
    </row>
    <row r="840" ht="14.25" customHeight="1" s="398">
      <c r="A840" s="35" t="n"/>
      <c r="B840" s="35" t="n"/>
      <c r="C840" s="35" t="n"/>
      <c r="D840" s="35" t="n"/>
      <c r="E840" s="35" t="n"/>
      <c r="F840" s="35" t="n"/>
      <c r="G840" s="35" t="n"/>
      <c r="H840" s="35" t="n"/>
      <c r="I840" s="27" t="n"/>
      <c r="J840" s="35" t="n"/>
      <c r="K840" s="35" t="n"/>
      <c r="L840" s="35" t="n"/>
      <c r="M840" s="35" t="n"/>
      <c r="N840" s="35" t="n"/>
      <c r="O840" s="35" t="n"/>
      <c r="P840" s="35" t="n"/>
      <c r="Q840" s="35" t="n"/>
    </row>
    <row r="841" ht="14.25" customHeight="1" s="398">
      <c r="A841" s="35" t="n"/>
      <c r="B841" s="35" t="n"/>
      <c r="C841" s="35" t="n"/>
      <c r="D841" s="35" t="n"/>
      <c r="E841" s="35" t="n"/>
      <c r="F841" s="35" t="n"/>
      <c r="G841" s="35" t="n"/>
      <c r="H841" s="35" t="n"/>
      <c r="I841" s="27" t="n"/>
      <c r="J841" s="35" t="n"/>
      <c r="K841" s="35" t="n"/>
      <c r="L841" s="35" t="n"/>
      <c r="M841" s="35" t="n"/>
      <c r="N841" s="35" t="n"/>
      <c r="O841" s="35" t="n"/>
      <c r="P841" s="35" t="n"/>
      <c r="Q841" s="35" t="n"/>
    </row>
    <row r="842" ht="14.25" customHeight="1" s="398">
      <c r="A842" s="35" t="n"/>
      <c r="B842" s="35" t="n"/>
      <c r="C842" s="35" t="n"/>
      <c r="D842" s="35" t="n"/>
      <c r="E842" s="35" t="n"/>
      <c r="F842" s="35" t="n"/>
      <c r="G842" s="35" t="n"/>
      <c r="H842" s="35" t="n"/>
      <c r="I842" s="27" t="n"/>
      <c r="J842" s="35" t="n"/>
      <c r="K842" s="35" t="n"/>
      <c r="L842" s="35" t="n"/>
      <c r="M842" s="35" t="n"/>
      <c r="N842" s="35" t="n"/>
      <c r="O842" s="35" t="n"/>
      <c r="P842" s="35" t="n"/>
      <c r="Q842" s="35" t="n"/>
    </row>
    <row r="843" ht="14.25" customHeight="1" s="398">
      <c r="A843" s="35" t="n"/>
      <c r="B843" s="35" t="n"/>
      <c r="C843" s="35" t="n"/>
      <c r="D843" s="35" t="n"/>
      <c r="E843" s="35" t="n"/>
      <c r="F843" s="35" t="n"/>
      <c r="G843" s="35" t="n"/>
      <c r="H843" s="35" t="n"/>
      <c r="I843" s="27" t="n"/>
      <c r="J843" s="35" t="n"/>
      <c r="K843" s="35" t="n"/>
      <c r="L843" s="35" t="n"/>
      <c r="M843" s="35" t="n"/>
      <c r="N843" s="35" t="n"/>
      <c r="O843" s="35" t="n"/>
      <c r="P843" s="35" t="n"/>
      <c r="Q843" s="35" t="n"/>
    </row>
    <row r="844" ht="14.25" customHeight="1" s="398">
      <c r="A844" s="35" t="n"/>
      <c r="B844" s="35" t="n"/>
      <c r="C844" s="35" t="n"/>
      <c r="D844" s="35" t="n"/>
      <c r="E844" s="35" t="n"/>
      <c r="F844" s="35" t="n"/>
      <c r="G844" s="35" t="n"/>
      <c r="H844" s="35" t="n"/>
      <c r="I844" s="27" t="n"/>
      <c r="J844" s="35" t="n"/>
      <c r="K844" s="35" t="n"/>
      <c r="L844" s="35" t="n"/>
      <c r="M844" s="35" t="n"/>
      <c r="N844" s="35" t="n"/>
      <c r="O844" s="35" t="n"/>
      <c r="P844" s="35" t="n"/>
      <c r="Q844" s="35" t="n"/>
    </row>
    <row r="845" ht="14.25" customHeight="1" s="398">
      <c r="A845" s="35" t="n"/>
      <c r="B845" s="35" t="n"/>
      <c r="C845" s="35" t="n"/>
      <c r="D845" s="35" t="n"/>
      <c r="E845" s="35" t="n"/>
      <c r="F845" s="35" t="n"/>
      <c r="G845" s="35" t="n"/>
      <c r="H845" s="35" t="n"/>
      <c r="I845" s="27" t="n"/>
      <c r="J845" s="35" t="n"/>
      <c r="K845" s="35" t="n"/>
      <c r="L845" s="35" t="n"/>
      <c r="M845" s="35" t="n"/>
      <c r="N845" s="35" t="n"/>
      <c r="O845" s="35" t="n"/>
      <c r="P845" s="35" t="n"/>
      <c r="Q845" s="35" t="n"/>
    </row>
    <row r="846" ht="14.25" customHeight="1" s="398">
      <c r="A846" s="35" t="n"/>
      <c r="B846" s="35" t="n"/>
      <c r="C846" s="35" t="n"/>
      <c r="D846" s="35" t="n"/>
      <c r="E846" s="35" t="n"/>
      <c r="F846" s="35" t="n"/>
      <c r="G846" s="35" t="n"/>
      <c r="H846" s="35" t="n"/>
      <c r="I846" s="27" t="n"/>
      <c r="J846" s="35" t="n"/>
      <c r="K846" s="35" t="n"/>
      <c r="L846" s="35" t="n"/>
      <c r="M846" s="35" t="n"/>
      <c r="N846" s="35" t="n"/>
      <c r="O846" s="35" t="n"/>
      <c r="P846" s="35" t="n"/>
      <c r="Q846" s="35" t="n"/>
    </row>
    <row r="847" ht="14.25" customHeight="1" s="398">
      <c r="A847" s="35" t="n"/>
      <c r="B847" s="35" t="n"/>
      <c r="C847" s="35" t="n"/>
      <c r="D847" s="35" t="n"/>
      <c r="E847" s="35" t="n"/>
      <c r="F847" s="35" t="n"/>
      <c r="G847" s="35" t="n"/>
      <c r="H847" s="35" t="n"/>
      <c r="I847" s="27" t="n"/>
      <c r="J847" s="35" t="n"/>
      <c r="K847" s="35" t="n"/>
      <c r="L847" s="35" t="n"/>
      <c r="M847" s="35" t="n"/>
      <c r="N847" s="35" t="n"/>
      <c r="O847" s="35" t="n"/>
      <c r="P847" s="35" t="n"/>
      <c r="Q847" s="35" t="n"/>
    </row>
    <row r="848" ht="14.25" customHeight="1" s="398">
      <c r="A848" s="35" t="n"/>
      <c r="B848" s="35" t="n"/>
      <c r="C848" s="35" t="n"/>
      <c r="D848" s="35" t="n"/>
      <c r="E848" s="35" t="n"/>
      <c r="F848" s="35" t="n"/>
      <c r="G848" s="35" t="n"/>
      <c r="H848" s="35" t="n"/>
      <c r="I848" s="27" t="n"/>
      <c r="J848" s="35" t="n"/>
      <c r="K848" s="35" t="n"/>
      <c r="L848" s="35" t="n"/>
      <c r="M848" s="35" t="n"/>
      <c r="N848" s="35" t="n"/>
      <c r="O848" s="35" t="n"/>
      <c r="P848" s="35" t="n"/>
      <c r="Q848" s="35" t="n"/>
    </row>
    <row r="849" ht="14.25" customHeight="1" s="398">
      <c r="A849" s="35" t="n"/>
      <c r="B849" s="35" t="n"/>
      <c r="C849" s="35" t="n"/>
      <c r="D849" s="35" t="n"/>
      <c r="E849" s="35" t="n"/>
      <c r="F849" s="35" t="n"/>
      <c r="G849" s="35" t="n"/>
      <c r="H849" s="35" t="n"/>
      <c r="I849" s="27" t="n"/>
      <c r="J849" s="35" t="n"/>
      <c r="K849" s="35" t="n"/>
      <c r="L849" s="35" t="n"/>
      <c r="M849" s="35" t="n"/>
      <c r="N849" s="35" t="n"/>
      <c r="O849" s="35" t="n"/>
      <c r="P849" s="35" t="n"/>
      <c r="Q849" s="35" t="n"/>
    </row>
    <row r="850" ht="14.25" customHeight="1" s="398">
      <c r="A850" s="35" t="n"/>
      <c r="B850" s="35" t="n"/>
      <c r="C850" s="35" t="n"/>
      <c r="D850" s="35" t="n"/>
      <c r="E850" s="35" t="n"/>
      <c r="F850" s="35" t="n"/>
      <c r="G850" s="35" t="n"/>
      <c r="H850" s="35" t="n"/>
      <c r="I850" s="27" t="n"/>
      <c r="J850" s="35" t="n"/>
      <c r="K850" s="35" t="n"/>
      <c r="L850" s="35" t="n"/>
      <c r="M850" s="35" t="n"/>
      <c r="N850" s="35" t="n"/>
      <c r="O850" s="35" t="n"/>
      <c r="P850" s="35" t="n"/>
      <c r="Q850" s="35" t="n"/>
    </row>
    <row r="851" ht="14.25" customHeight="1" s="398">
      <c r="A851" s="35" t="n"/>
      <c r="B851" s="35" t="n"/>
      <c r="C851" s="35" t="n"/>
      <c r="D851" s="35" t="n"/>
      <c r="E851" s="35" t="n"/>
      <c r="F851" s="35" t="n"/>
      <c r="G851" s="35" t="n"/>
      <c r="H851" s="35" t="n"/>
      <c r="I851" s="27" t="n"/>
      <c r="J851" s="35" t="n"/>
      <c r="K851" s="35" t="n"/>
      <c r="L851" s="35" t="n"/>
      <c r="M851" s="35" t="n"/>
      <c r="N851" s="35" t="n"/>
      <c r="O851" s="35" t="n"/>
      <c r="P851" s="35" t="n"/>
      <c r="Q851" s="35" t="n"/>
    </row>
    <row r="852" ht="14.25" customHeight="1" s="398">
      <c r="A852" s="35" t="n"/>
      <c r="B852" s="35" t="n"/>
      <c r="C852" s="35" t="n"/>
      <c r="D852" s="35" t="n"/>
      <c r="E852" s="35" t="n"/>
      <c r="F852" s="35" t="n"/>
      <c r="G852" s="35" t="n"/>
      <c r="H852" s="35" t="n"/>
      <c r="I852" s="27" t="n"/>
      <c r="J852" s="35" t="n"/>
      <c r="K852" s="35" t="n"/>
      <c r="L852" s="35" t="n"/>
      <c r="M852" s="35" t="n"/>
      <c r="N852" s="35" t="n"/>
      <c r="O852" s="35" t="n"/>
      <c r="P852" s="35" t="n"/>
      <c r="Q852" s="35" t="n"/>
    </row>
    <row r="853" ht="14.25" customHeight="1" s="398">
      <c r="A853" s="35" t="n"/>
      <c r="B853" s="35" t="n"/>
      <c r="C853" s="35" t="n"/>
      <c r="D853" s="35" t="n"/>
      <c r="E853" s="35" t="n"/>
      <c r="F853" s="35" t="n"/>
      <c r="G853" s="35" t="n"/>
      <c r="H853" s="35" t="n"/>
      <c r="I853" s="27" t="n"/>
      <c r="J853" s="35" t="n"/>
      <c r="K853" s="35" t="n"/>
      <c r="L853" s="35" t="n"/>
      <c r="M853" s="35" t="n"/>
      <c r="N853" s="35" t="n"/>
      <c r="O853" s="35" t="n"/>
      <c r="P853" s="35" t="n"/>
      <c r="Q853" s="35" t="n"/>
    </row>
    <row r="854" ht="14.25" customHeight="1" s="398">
      <c r="A854" s="35" t="n"/>
      <c r="B854" s="35" t="n"/>
      <c r="C854" s="35" t="n"/>
      <c r="D854" s="35" t="n"/>
      <c r="E854" s="35" t="n"/>
      <c r="F854" s="35" t="n"/>
      <c r="G854" s="35" t="n"/>
      <c r="H854" s="35" t="n"/>
      <c r="I854" s="27" t="n"/>
      <c r="J854" s="35" t="n"/>
      <c r="K854" s="35" t="n"/>
      <c r="L854" s="35" t="n"/>
      <c r="M854" s="35" t="n"/>
      <c r="N854" s="35" t="n"/>
      <c r="O854" s="35" t="n"/>
      <c r="P854" s="35" t="n"/>
      <c r="Q854" s="35" t="n"/>
    </row>
    <row r="855" ht="14.25" customHeight="1" s="398">
      <c r="A855" s="35" t="n"/>
      <c r="B855" s="35" t="n"/>
      <c r="C855" s="35" t="n"/>
      <c r="D855" s="35" t="n"/>
      <c r="E855" s="35" t="n"/>
      <c r="F855" s="35" t="n"/>
      <c r="G855" s="35" t="n"/>
      <c r="H855" s="35" t="n"/>
      <c r="I855" s="27" t="n"/>
      <c r="J855" s="35" t="n"/>
      <c r="K855" s="35" t="n"/>
      <c r="L855" s="35" t="n"/>
      <c r="M855" s="35" t="n"/>
      <c r="N855" s="35" t="n"/>
      <c r="O855" s="35" t="n"/>
      <c r="P855" s="35" t="n"/>
      <c r="Q855" s="35" t="n"/>
    </row>
    <row r="856" ht="14.25" customHeight="1" s="398">
      <c r="A856" s="35" t="n"/>
      <c r="B856" s="35" t="n"/>
      <c r="C856" s="35" t="n"/>
      <c r="D856" s="35" t="n"/>
      <c r="E856" s="35" t="n"/>
      <c r="F856" s="35" t="n"/>
      <c r="G856" s="35" t="n"/>
      <c r="H856" s="35" t="n"/>
      <c r="I856" s="27" t="n"/>
      <c r="J856" s="35" t="n"/>
      <c r="K856" s="35" t="n"/>
      <c r="L856" s="35" t="n"/>
      <c r="M856" s="35" t="n"/>
      <c r="N856" s="35" t="n"/>
      <c r="O856" s="35" t="n"/>
      <c r="P856" s="35" t="n"/>
      <c r="Q856" s="35" t="n"/>
    </row>
    <row r="857" ht="14.25" customHeight="1" s="398">
      <c r="A857" s="35" t="n"/>
      <c r="B857" s="35" t="n"/>
      <c r="C857" s="35" t="n"/>
      <c r="D857" s="35" t="n"/>
      <c r="E857" s="35" t="n"/>
      <c r="F857" s="35" t="n"/>
      <c r="G857" s="35" t="n"/>
      <c r="H857" s="35" t="n"/>
      <c r="I857" s="27" t="n"/>
      <c r="J857" s="35" t="n"/>
      <c r="K857" s="35" t="n"/>
      <c r="L857" s="35" t="n"/>
      <c r="M857" s="35" t="n"/>
      <c r="N857" s="35" t="n"/>
      <c r="O857" s="35" t="n"/>
      <c r="P857" s="35" t="n"/>
      <c r="Q857" s="35" t="n"/>
    </row>
    <row r="858" ht="14.25" customHeight="1" s="398">
      <c r="A858" s="35" t="n"/>
      <c r="B858" s="35" t="n"/>
      <c r="C858" s="35" t="n"/>
      <c r="D858" s="35" t="n"/>
      <c r="E858" s="35" t="n"/>
      <c r="F858" s="35" t="n"/>
      <c r="G858" s="35" t="n"/>
      <c r="H858" s="35" t="n"/>
      <c r="I858" s="27" t="n"/>
      <c r="J858" s="35" t="n"/>
      <c r="K858" s="35" t="n"/>
      <c r="L858" s="35" t="n"/>
      <c r="M858" s="35" t="n"/>
      <c r="N858" s="35" t="n"/>
      <c r="O858" s="35" t="n"/>
      <c r="P858" s="35" t="n"/>
      <c r="Q858" s="35" t="n"/>
    </row>
    <row r="859" ht="14.25" customHeight="1" s="398">
      <c r="A859" s="35" t="n"/>
      <c r="B859" s="35" t="n"/>
      <c r="C859" s="35" t="n"/>
      <c r="D859" s="35" t="n"/>
      <c r="E859" s="35" t="n"/>
      <c r="F859" s="35" t="n"/>
      <c r="G859" s="35" t="n"/>
      <c r="H859" s="35" t="n"/>
      <c r="I859" s="27" t="n"/>
      <c r="J859" s="35" t="n"/>
      <c r="K859" s="35" t="n"/>
      <c r="L859" s="35" t="n"/>
      <c r="M859" s="35" t="n"/>
      <c r="N859" s="35" t="n"/>
      <c r="O859" s="35" t="n"/>
      <c r="P859" s="35" t="n"/>
      <c r="Q859" s="35" t="n"/>
    </row>
    <row r="860" ht="14.25" customHeight="1" s="398">
      <c r="A860" s="35" t="n"/>
      <c r="B860" s="35" t="n"/>
      <c r="C860" s="35" t="n"/>
      <c r="D860" s="35" t="n"/>
      <c r="E860" s="35" t="n"/>
      <c r="F860" s="35" t="n"/>
      <c r="G860" s="35" t="n"/>
      <c r="H860" s="35" t="n"/>
      <c r="I860" s="27" t="n"/>
      <c r="J860" s="35" t="n"/>
      <c r="K860" s="35" t="n"/>
      <c r="L860" s="35" t="n"/>
      <c r="M860" s="35" t="n"/>
      <c r="N860" s="35" t="n"/>
      <c r="O860" s="35" t="n"/>
      <c r="P860" s="35" t="n"/>
      <c r="Q860" s="35" t="n"/>
    </row>
    <row r="861" ht="14.25" customHeight="1" s="398">
      <c r="A861" s="35" t="n"/>
      <c r="B861" s="35" t="n"/>
      <c r="C861" s="35" t="n"/>
      <c r="D861" s="35" t="n"/>
      <c r="E861" s="35" t="n"/>
      <c r="F861" s="35" t="n"/>
      <c r="G861" s="35" t="n"/>
      <c r="H861" s="35" t="n"/>
      <c r="I861" s="27" t="n"/>
      <c r="J861" s="35" t="n"/>
      <c r="K861" s="35" t="n"/>
      <c r="L861" s="35" t="n"/>
      <c r="M861" s="35" t="n"/>
      <c r="N861" s="35" t="n"/>
      <c r="O861" s="35" t="n"/>
      <c r="P861" s="35" t="n"/>
      <c r="Q861" s="35" t="n"/>
    </row>
    <row r="862" ht="14.25" customHeight="1" s="398">
      <c r="A862" s="35" t="n"/>
      <c r="B862" s="35" t="n"/>
      <c r="C862" s="35" t="n"/>
      <c r="D862" s="35" t="n"/>
      <c r="E862" s="35" t="n"/>
      <c r="F862" s="35" t="n"/>
      <c r="G862" s="35" t="n"/>
      <c r="H862" s="35" t="n"/>
      <c r="I862" s="27" t="n"/>
      <c r="J862" s="35" t="n"/>
      <c r="K862" s="35" t="n"/>
      <c r="L862" s="35" t="n"/>
      <c r="M862" s="35" t="n"/>
      <c r="N862" s="35" t="n"/>
      <c r="O862" s="35" t="n"/>
      <c r="P862" s="35" t="n"/>
      <c r="Q862" s="35" t="n"/>
    </row>
    <row r="863" ht="14.25" customHeight="1" s="398">
      <c r="A863" s="35" t="n"/>
      <c r="B863" s="35" t="n"/>
      <c r="C863" s="35" t="n"/>
      <c r="D863" s="35" t="n"/>
      <c r="E863" s="35" t="n"/>
      <c r="F863" s="35" t="n"/>
      <c r="G863" s="35" t="n"/>
      <c r="H863" s="35" t="n"/>
      <c r="I863" s="27" t="n"/>
      <c r="J863" s="35" t="n"/>
      <c r="K863" s="35" t="n"/>
      <c r="L863" s="35" t="n"/>
      <c r="M863" s="35" t="n"/>
      <c r="N863" s="35" t="n"/>
      <c r="O863" s="35" t="n"/>
      <c r="P863" s="35" t="n"/>
      <c r="Q863" s="35" t="n"/>
    </row>
    <row r="864" ht="14.25" customHeight="1" s="398">
      <c r="A864" s="35" t="n"/>
      <c r="B864" s="35" t="n"/>
      <c r="C864" s="35" t="n"/>
      <c r="D864" s="35" t="n"/>
      <c r="E864" s="35" t="n"/>
      <c r="F864" s="35" t="n"/>
      <c r="G864" s="35" t="n"/>
      <c r="H864" s="35" t="n"/>
      <c r="I864" s="27" t="n"/>
      <c r="J864" s="35" t="n"/>
      <c r="K864" s="35" t="n"/>
      <c r="L864" s="35" t="n"/>
      <c r="M864" s="35" t="n"/>
      <c r="N864" s="35" t="n"/>
      <c r="O864" s="35" t="n"/>
      <c r="P864" s="35" t="n"/>
      <c r="Q864" s="35" t="n"/>
    </row>
    <row r="865" ht="14.25" customHeight="1" s="398">
      <c r="A865" s="35" t="n"/>
      <c r="B865" s="35" t="n"/>
      <c r="C865" s="35" t="n"/>
      <c r="D865" s="35" t="n"/>
      <c r="E865" s="35" t="n"/>
      <c r="F865" s="35" t="n"/>
      <c r="G865" s="35" t="n"/>
      <c r="H865" s="35" t="n"/>
      <c r="I865" s="27" t="n"/>
      <c r="J865" s="35" t="n"/>
      <c r="K865" s="35" t="n"/>
      <c r="L865" s="35" t="n"/>
      <c r="M865" s="35" t="n"/>
      <c r="N865" s="35" t="n"/>
      <c r="O865" s="35" t="n"/>
      <c r="P865" s="35" t="n"/>
      <c r="Q865" s="35" t="n"/>
    </row>
    <row r="866" ht="14.25" customHeight="1" s="398">
      <c r="A866" s="35" t="n"/>
      <c r="B866" s="35" t="n"/>
      <c r="C866" s="35" t="n"/>
      <c r="D866" s="35" t="n"/>
      <c r="E866" s="35" t="n"/>
      <c r="F866" s="35" t="n"/>
      <c r="G866" s="35" t="n"/>
      <c r="H866" s="35" t="n"/>
      <c r="I866" s="27" t="n"/>
      <c r="J866" s="35" t="n"/>
      <c r="K866" s="35" t="n"/>
      <c r="L866" s="35" t="n"/>
      <c r="M866" s="35" t="n"/>
      <c r="N866" s="35" t="n"/>
      <c r="O866" s="35" t="n"/>
      <c r="P866" s="35" t="n"/>
      <c r="Q866" s="35" t="n"/>
    </row>
    <row r="867" ht="14.25" customHeight="1" s="398">
      <c r="A867" s="35" t="n"/>
      <c r="B867" s="35" t="n"/>
      <c r="C867" s="35" t="n"/>
      <c r="D867" s="35" t="n"/>
      <c r="E867" s="35" t="n"/>
      <c r="F867" s="35" t="n"/>
      <c r="G867" s="35" t="n"/>
      <c r="H867" s="35" t="n"/>
      <c r="I867" s="27" t="n"/>
      <c r="J867" s="35" t="n"/>
      <c r="K867" s="35" t="n"/>
      <c r="L867" s="35" t="n"/>
      <c r="M867" s="35" t="n"/>
      <c r="N867" s="35" t="n"/>
      <c r="O867" s="35" t="n"/>
      <c r="P867" s="35" t="n"/>
      <c r="Q867" s="35" t="n"/>
    </row>
    <row r="868" ht="14.25" customHeight="1" s="398">
      <c r="A868" s="35" t="n"/>
      <c r="B868" s="35" t="n"/>
      <c r="C868" s="35" t="n"/>
      <c r="D868" s="35" t="n"/>
      <c r="E868" s="35" t="n"/>
      <c r="F868" s="35" t="n"/>
      <c r="G868" s="35" t="n"/>
      <c r="H868" s="35" t="n"/>
      <c r="I868" s="27" t="n"/>
      <c r="J868" s="35" t="n"/>
      <c r="K868" s="35" t="n"/>
      <c r="L868" s="35" t="n"/>
      <c r="M868" s="35" t="n"/>
      <c r="N868" s="35" t="n"/>
      <c r="O868" s="35" t="n"/>
      <c r="P868" s="35" t="n"/>
      <c r="Q868" s="35" t="n"/>
    </row>
    <row r="869" ht="14.25" customHeight="1" s="398">
      <c r="A869" s="35" t="n"/>
      <c r="B869" s="35" t="n"/>
      <c r="C869" s="35" t="n"/>
      <c r="D869" s="35" t="n"/>
      <c r="E869" s="35" t="n"/>
      <c r="F869" s="35" t="n"/>
      <c r="G869" s="35" t="n"/>
      <c r="H869" s="35" t="n"/>
      <c r="I869" s="27" t="n"/>
      <c r="J869" s="35" t="n"/>
      <c r="K869" s="35" t="n"/>
      <c r="L869" s="35" t="n"/>
      <c r="M869" s="35" t="n"/>
      <c r="N869" s="35" t="n"/>
      <c r="O869" s="35" t="n"/>
      <c r="P869" s="35" t="n"/>
      <c r="Q869" s="35" t="n"/>
    </row>
    <row r="870" ht="14.25" customHeight="1" s="398">
      <c r="A870" s="35" t="n"/>
      <c r="B870" s="35" t="n"/>
      <c r="C870" s="35" t="n"/>
      <c r="D870" s="35" t="n"/>
      <c r="E870" s="35" t="n"/>
      <c r="F870" s="35" t="n"/>
      <c r="G870" s="35" t="n"/>
      <c r="H870" s="35" t="n"/>
      <c r="I870" s="27" t="n"/>
      <c r="J870" s="35" t="n"/>
      <c r="K870" s="35" t="n"/>
      <c r="L870" s="35" t="n"/>
      <c r="M870" s="35" t="n"/>
      <c r="N870" s="35" t="n"/>
      <c r="O870" s="35" t="n"/>
      <c r="P870" s="35" t="n"/>
      <c r="Q870" s="35" t="n"/>
    </row>
    <row r="871" ht="14.25" customHeight="1" s="398">
      <c r="A871" s="35" t="n"/>
      <c r="B871" s="35" t="n"/>
      <c r="C871" s="35" t="n"/>
      <c r="D871" s="35" t="n"/>
      <c r="E871" s="35" t="n"/>
      <c r="F871" s="35" t="n"/>
      <c r="G871" s="35" t="n"/>
      <c r="H871" s="35" t="n"/>
      <c r="I871" s="27" t="n"/>
      <c r="J871" s="35" t="n"/>
      <c r="K871" s="35" t="n"/>
      <c r="L871" s="35" t="n"/>
      <c r="M871" s="35" t="n"/>
      <c r="N871" s="35" t="n"/>
      <c r="O871" s="35" t="n"/>
      <c r="P871" s="35" t="n"/>
      <c r="Q871" s="35" t="n"/>
    </row>
    <row r="872" ht="14.25" customHeight="1" s="398">
      <c r="A872" s="35" t="n"/>
      <c r="B872" s="35" t="n"/>
      <c r="C872" s="35" t="n"/>
      <c r="D872" s="35" t="n"/>
      <c r="E872" s="35" t="n"/>
      <c r="F872" s="35" t="n"/>
      <c r="G872" s="35" t="n"/>
      <c r="H872" s="35" t="n"/>
      <c r="I872" s="27" t="n"/>
      <c r="J872" s="35" t="n"/>
      <c r="K872" s="35" t="n"/>
      <c r="L872" s="35" t="n"/>
      <c r="M872" s="35" t="n"/>
      <c r="N872" s="35" t="n"/>
      <c r="O872" s="35" t="n"/>
      <c r="P872" s="35" t="n"/>
      <c r="Q872" s="35" t="n"/>
    </row>
    <row r="873" ht="14.25" customHeight="1" s="398">
      <c r="A873" s="35" t="n"/>
      <c r="B873" s="35" t="n"/>
      <c r="C873" s="35" t="n"/>
      <c r="D873" s="35" t="n"/>
      <c r="E873" s="35" t="n"/>
      <c r="F873" s="35" t="n"/>
      <c r="G873" s="35" t="n"/>
      <c r="H873" s="35" t="n"/>
      <c r="I873" s="27" t="n"/>
      <c r="J873" s="35" t="n"/>
      <c r="K873" s="35" t="n"/>
      <c r="L873" s="35" t="n"/>
      <c r="M873" s="35" t="n"/>
      <c r="N873" s="35" t="n"/>
      <c r="O873" s="35" t="n"/>
      <c r="P873" s="35" t="n"/>
      <c r="Q873" s="35" t="n"/>
    </row>
    <row r="874" ht="14.25" customHeight="1" s="398">
      <c r="A874" s="35" t="n"/>
      <c r="B874" s="35" t="n"/>
      <c r="C874" s="35" t="n"/>
      <c r="D874" s="35" t="n"/>
      <c r="E874" s="35" t="n"/>
      <c r="F874" s="35" t="n"/>
      <c r="G874" s="35" t="n"/>
      <c r="H874" s="35" t="n"/>
      <c r="I874" s="27" t="n"/>
      <c r="J874" s="35" t="n"/>
      <c r="K874" s="35" t="n"/>
      <c r="L874" s="35" t="n"/>
      <c r="M874" s="35" t="n"/>
      <c r="N874" s="35" t="n"/>
      <c r="O874" s="35" t="n"/>
      <c r="P874" s="35" t="n"/>
      <c r="Q874" s="35" t="n"/>
    </row>
    <row r="875" ht="14.25" customHeight="1" s="398">
      <c r="A875" s="35" t="n"/>
      <c r="B875" s="35" t="n"/>
      <c r="C875" s="35" t="n"/>
      <c r="D875" s="35" t="n"/>
      <c r="E875" s="35" t="n"/>
      <c r="F875" s="35" t="n"/>
      <c r="G875" s="35" t="n"/>
      <c r="H875" s="35" t="n"/>
      <c r="I875" s="27" t="n"/>
      <c r="J875" s="35" t="n"/>
      <c r="K875" s="35" t="n"/>
      <c r="L875" s="35" t="n"/>
      <c r="M875" s="35" t="n"/>
      <c r="N875" s="35" t="n"/>
      <c r="O875" s="35" t="n"/>
      <c r="P875" s="35" t="n"/>
      <c r="Q875" s="35" t="n"/>
    </row>
    <row r="876" ht="14.25" customHeight="1" s="398">
      <c r="A876" s="35" t="n"/>
      <c r="B876" s="35" t="n"/>
      <c r="C876" s="35" t="n"/>
      <c r="D876" s="35" t="n"/>
      <c r="E876" s="35" t="n"/>
      <c r="F876" s="35" t="n"/>
      <c r="G876" s="35" t="n"/>
      <c r="H876" s="35" t="n"/>
      <c r="I876" s="27" t="n"/>
      <c r="J876" s="35" t="n"/>
      <c r="K876" s="35" t="n"/>
      <c r="L876" s="35" t="n"/>
      <c r="M876" s="35" t="n"/>
      <c r="N876" s="35" t="n"/>
      <c r="O876" s="35" t="n"/>
      <c r="P876" s="35" t="n"/>
      <c r="Q876" s="35" t="n"/>
    </row>
    <row r="877" ht="14.25" customHeight="1" s="398">
      <c r="A877" s="35" t="n"/>
      <c r="B877" s="35" t="n"/>
      <c r="C877" s="35" t="n"/>
      <c r="D877" s="35" t="n"/>
      <c r="E877" s="35" t="n"/>
      <c r="F877" s="35" t="n"/>
      <c r="G877" s="35" t="n"/>
      <c r="H877" s="35" t="n"/>
      <c r="I877" s="27" t="n"/>
      <c r="J877" s="35" t="n"/>
      <c r="K877" s="35" t="n"/>
      <c r="L877" s="35" t="n"/>
      <c r="M877" s="35" t="n"/>
      <c r="N877" s="35" t="n"/>
      <c r="O877" s="35" t="n"/>
      <c r="P877" s="35" t="n"/>
      <c r="Q877" s="35" t="n"/>
    </row>
    <row r="878" ht="14.25" customHeight="1" s="398">
      <c r="A878" s="35" t="n"/>
      <c r="B878" s="35" t="n"/>
      <c r="C878" s="35" t="n"/>
      <c r="D878" s="35" t="n"/>
      <c r="E878" s="35" t="n"/>
      <c r="F878" s="35" t="n"/>
      <c r="G878" s="35" t="n"/>
      <c r="H878" s="35" t="n"/>
      <c r="I878" s="27" t="n"/>
      <c r="J878" s="35" t="n"/>
      <c r="K878" s="35" t="n"/>
      <c r="L878" s="35" t="n"/>
      <c r="M878" s="35" t="n"/>
      <c r="N878" s="35" t="n"/>
      <c r="O878" s="35" t="n"/>
      <c r="P878" s="35" t="n"/>
      <c r="Q878" s="35" t="n"/>
    </row>
    <row r="879" ht="14.25" customHeight="1" s="398">
      <c r="A879" s="35" t="n"/>
      <c r="B879" s="35" t="n"/>
      <c r="C879" s="35" t="n"/>
      <c r="D879" s="35" t="n"/>
      <c r="E879" s="35" t="n"/>
      <c r="F879" s="35" t="n"/>
      <c r="G879" s="35" t="n"/>
      <c r="H879" s="35" t="n"/>
      <c r="I879" s="27" t="n"/>
      <c r="J879" s="35" t="n"/>
      <c r="K879" s="35" t="n"/>
      <c r="L879" s="35" t="n"/>
      <c r="M879" s="35" t="n"/>
      <c r="N879" s="35" t="n"/>
      <c r="O879" s="35" t="n"/>
      <c r="P879" s="35" t="n"/>
      <c r="Q879" s="35" t="n"/>
    </row>
    <row r="880" ht="14.25" customHeight="1" s="398">
      <c r="A880" s="35" t="n"/>
      <c r="B880" s="35" t="n"/>
      <c r="C880" s="35" t="n"/>
      <c r="D880" s="35" t="n"/>
      <c r="E880" s="35" t="n"/>
      <c r="F880" s="35" t="n"/>
      <c r="G880" s="35" t="n"/>
      <c r="H880" s="35" t="n"/>
      <c r="I880" s="27" t="n"/>
      <c r="J880" s="35" t="n"/>
      <c r="K880" s="35" t="n"/>
      <c r="L880" s="35" t="n"/>
      <c r="M880" s="35" t="n"/>
      <c r="N880" s="35" t="n"/>
      <c r="O880" s="35" t="n"/>
      <c r="P880" s="35" t="n"/>
      <c r="Q880" s="35" t="n"/>
    </row>
    <row r="881" ht="14.25" customHeight="1" s="398">
      <c r="A881" s="35" t="n"/>
      <c r="B881" s="35" t="n"/>
      <c r="C881" s="35" t="n"/>
      <c r="D881" s="35" t="n"/>
      <c r="E881" s="35" t="n"/>
      <c r="F881" s="35" t="n"/>
      <c r="G881" s="35" t="n"/>
      <c r="H881" s="35" t="n"/>
      <c r="I881" s="27" t="n"/>
      <c r="J881" s="35" t="n"/>
      <c r="K881" s="35" t="n"/>
      <c r="L881" s="35" t="n"/>
      <c r="M881" s="35" t="n"/>
      <c r="N881" s="35" t="n"/>
      <c r="O881" s="35" t="n"/>
      <c r="P881" s="35" t="n"/>
      <c r="Q881" s="35" t="n"/>
    </row>
    <row r="882" ht="14.25" customHeight="1" s="398">
      <c r="A882" s="35" t="n"/>
      <c r="B882" s="35" t="n"/>
      <c r="C882" s="35" t="n"/>
      <c r="D882" s="35" t="n"/>
      <c r="E882" s="35" t="n"/>
      <c r="F882" s="35" t="n"/>
      <c r="G882" s="35" t="n"/>
      <c r="H882" s="35" t="n"/>
      <c r="I882" s="27" t="n"/>
      <c r="J882" s="35" t="n"/>
      <c r="K882" s="35" t="n"/>
      <c r="L882" s="35" t="n"/>
      <c r="M882" s="35" t="n"/>
      <c r="N882" s="35" t="n"/>
      <c r="O882" s="35" t="n"/>
      <c r="P882" s="35" t="n"/>
      <c r="Q882" s="35" t="n"/>
    </row>
    <row r="883" ht="14.25" customHeight="1" s="398">
      <c r="A883" s="35" t="n"/>
      <c r="B883" s="35" t="n"/>
      <c r="C883" s="35" t="n"/>
      <c r="D883" s="35" t="n"/>
      <c r="E883" s="35" t="n"/>
      <c r="F883" s="35" t="n"/>
      <c r="G883" s="35" t="n"/>
      <c r="H883" s="35" t="n"/>
      <c r="I883" s="27" t="n"/>
      <c r="J883" s="35" t="n"/>
      <c r="K883" s="35" t="n"/>
      <c r="L883" s="35" t="n"/>
      <c r="M883" s="35" t="n"/>
      <c r="N883" s="35" t="n"/>
      <c r="O883" s="35" t="n"/>
      <c r="P883" s="35" t="n"/>
      <c r="Q883" s="35" t="n"/>
    </row>
    <row r="884" ht="14.25" customHeight="1" s="398">
      <c r="A884" s="35" t="n"/>
      <c r="B884" s="35" t="n"/>
      <c r="C884" s="35" t="n"/>
      <c r="D884" s="35" t="n"/>
      <c r="E884" s="35" t="n"/>
      <c r="F884" s="35" t="n"/>
      <c r="G884" s="35" t="n"/>
      <c r="H884" s="35" t="n"/>
      <c r="I884" s="27" t="n"/>
      <c r="J884" s="35" t="n"/>
      <c r="K884" s="35" t="n"/>
      <c r="L884" s="35" t="n"/>
      <c r="M884" s="35" t="n"/>
      <c r="N884" s="35" t="n"/>
      <c r="O884" s="35" t="n"/>
      <c r="P884" s="35" t="n"/>
      <c r="Q884" s="35" t="n"/>
    </row>
    <row r="885" ht="14.25" customHeight="1" s="398">
      <c r="A885" s="35" t="n"/>
      <c r="B885" s="35" t="n"/>
      <c r="C885" s="35" t="n"/>
      <c r="D885" s="35" t="n"/>
      <c r="E885" s="35" t="n"/>
      <c r="F885" s="35" t="n"/>
      <c r="G885" s="35" t="n"/>
      <c r="H885" s="35" t="n"/>
      <c r="I885" s="27" t="n"/>
      <c r="J885" s="35" t="n"/>
      <c r="K885" s="35" t="n"/>
      <c r="L885" s="35" t="n"/>
      <c r="M885" s="35" t="n"/>
      <c r="N885" s="35" t="n"/>
      <c r="O885" s="35" t="n"/>
      <c r="P885" s="35" t="n"/>
      <c r="Q885" s="35" t="n"/>
    </row>
    <row r="886" ht="14.25" customHeight="1" s="398">
      <c r="A886" s="35" t="n"/>
      <c r="B886" s="35" t="n"/>
      <c r="C886" s="35" t="n"/>
      <c r="D886" s="35" t="n"/>
      <c r="E886" s="35" t="n"/>
      <c r="F886" s="35" t="n"/>
      <c r="G886" s="35" t="n"/>
      <c r="H886" s="35" t="n"/>
      <c r="I886" s="27" t="n"/>
      <c r="J886" s="35" t="n"/>
      <c r="K886" s="35" t="n"/>
      <c r="L886" s="35" t="n"/>
      <c r="M886" s="35" t="n"/>
      <c r="N886" s="35" t="n"/>
      <c r="O886" s="35" t="n"/>
      <c r="P886" s="35" t="n"/>
      <c r="Q886" s="35" t="n"/>
    </row>
    <row r="887" ht="14.25" customHeight="1" s="398">
      <c r="A887" s="35" t="n"/>
      <c r="B887" s="35" t="n"/>
      <c r="C887" s="35" t="n"/>
      <c r="D887" s="35" t="n"/>
      <c r="E887" s="35" t="n"/>
      <c r="F887" s="35" t="n"/>
      <c r="G887" s="35" t="n"/>
      <c r="H887" s="35" t="n"/>
      <c r="I887" s="27" t="n"/>
      <c r="J887" s="35" t="n"/>
      <c r="K887" s="35" t="n"/>
      <c r="L887" s="35" t="n"/>
      <c r="M887" s="35" t="n"/>
      <c r="N887" s="35" t="n"/>
      <c r="O887" s="35" t="n"/>
      <c r="P887" s="35" t="n"/>
      <c r="Q887" s="35" t="n"/>
    </row>
    <row r="888" ht="14.25" customHeight="1" s="398">
      <c r="A888" s="35" t="n"/>
      <c r="B888" s="35" t="n"/>
      <c r="C888" s="35" t="n"/>
      <c r="D888" s="35" t="n"/>
      <c r="E888" s="35" t="n"/>
      <c r="F888" s="35" t="n"/>
      <c r="G888" s="35" t="n"/>
      <c r="H888" s="35" t="n"/>
      <c r="I888" s="27" t="n"/>
      <c r="J888" s="35" t="n"/>
      <c r="K888" s="35" t="n"/>
      <c r="L888" s="35" t="n"/>
      <c r="M888" s="35" t="n"/>
      <c r="N888" s="35" t="n"/>
      <c r="O888" s="35" t="n"/>
      <c r="P888" s="35" t="n"/>
      <c r="Q888" s="35" t="n"/>
    </row>
    <row r="889" ht="14.25" customHeight="1" s="398">
      <c r="A889" s="35" t="n"/>
      <c r="B889" s="35" t="n"/>
      <c r="C889" s="35" t="n"/>
      <c r="D889" s="35" t="n"/>
      <c r="E889" s="35" t="n"/>
      <c r="F889" s="35" t="n"/>
      <c r="G889" s="35" t="n"/>
      <c r="H889" s="35" t="n"/>
      <c r="I889" s="27" t="n"/>
      <c r="J889" s="35" t="n"/>
      <c r="K889" s="35" t="n"/>
      <c r="L889" s="35" t="n"/>
      <c r="M889" s="35" t="n"/>
      <c r="N889" s="35" t="n"/>
      <c r="O889" s="35" t="n"/>
      <c r="P889" s="35" t="n"/>
      <c r="Q889" s="35" t="n"/>
    </row>
    <row r="890" ht="14.25" customHeight="1" s="398">
      <c r="A890" s="35" t="n"/>
      <c r="B890" s="35" t="n"/>
      <c r="C890" s="35" t="n"/>
      <c r="D890" s="35" t="n"/>
      <c r="E890" s="35" t="n"/>
      <c r="F890" s="35" t="n"/>
      <c r="G890" s="35" t="n"/>
      <c r="H890" s="35" t="n"/>
      <c r="I890" s="27" t="n"/>
      <c r="J890" s="35" t="n"/>
      <c r="K890" s="35" t="n"/>
      <c r="L890" s="35" t="n"/>
      <c r="M890" s="35" t="n"/>
      <c r="N890" s="35" t="n"/>
      <c r="O890" s="35" t="n"/>
      <c r="P890" s="35" t="n"/>
      <c r="Q890" s="35" t="n"/>
    </row>
    <row r="891" ht="14.25" customHeight="1" s="398">
      <c r="A891" s="35" t="n"/>
      <c r="B891" s="35" t="n"/>
      <c r="C891" s="35" t="n"/>
      <c r="D891" s="35" t="n"/>
      <c r="E891" s="35" t="n"/>
      <c r="F891" s="35" t="n"/>
      <c r="G891" s="35" t="n"/>
      <c r="H891" s="35" t="n"/>
      <c r="I891" s="27" t="n"/>
      <c r="J891" s="35" t="n"/>
      <c r="K891" s="35" t="n"/>
      <c r="L891" s="35" t="n"/>
      <c r="M891" s="35" t="n"/>
      <c r="N891" s="35" t="n"/>
      <c r="O891" s="35" t="n"/>
      <c r="P891" s="35" t="n"/>
      <c r="Q891" s="35" t="n"/>
    </row>
    <row r="892" ht="14.25" customHeight="1" s="398">
      <c r="A892" s="35" t="n"/>
      <c r="B892" s="35" t="n"/>
      <c r="C892" s="35" t="n"/>
      <c r="D892" s="35" t="n"/>
      <c r="E892" s="35" t="n"/>
      <c r="F892" s="35" t="n"/>
      <c r="G892" s="35" t="n"/>
      <c r="H892" s="35" t="n"/>
      <c r="I892" s="27" t="n"/>
      <c r="J892" s="35" t="n"/>
      <c r="K892" s="35" t="n"/>
      <c r="L892" s="35" t="n"/>
      <c r="M892" s="35" t="n"/>
      <c r="N892" s="35" t="n"/>
      <c r="O892" s="35" t="n"/>
      <c r="P892" s="35" t="n"/>
      <c r="Q892" s="35" t="n"/>
    </row>
    <row r="893" ht="14.25" customHeight="1" s="398">
      <c r="A893" s="35" t="n"/>
      <c r="B893" s="35" t="n"/>
      <c r="C893" s="35" t="n"/>
      <c r="D893" s="35" t="n"/>
      <c r="E893" s="35" t="n"/>
      <c r="F893" s="35" t="n"/>
      <c r="G893" s="35" t="n"/>
      <c r="H893" s="35" t="n"/>
      <c r="I893" s="27" t="n"/>
      <c r="J893" s="35" t="n"/>
      <c r="K893" s="35" t="n"/>
      <c r="L893" s="35" t="n"/>
      <c r="M893" s="35" t="n"/>
      <c r="N893" s="35" t="n"/>
      <c r="O893" s="35" t="n"/>
      <c r="P893" s="35" t="n"/>
      <c r="Q893" s="35" t="n"/>
    </row>
    <row r="894" ht="14.25" customHeight="1" s="398">
      <c r="A894" s="35" t="n"/>
      <c r="B894" s="35" t="n"/>
      <c r="C894" s="35" t="n"/>
      <c r="D894" s="35" t="n"/>
      <c r="E894" s="35" t="n"/>
      <c r="F894" s="35" t="n"/>
      <c r="G894" s="35" t="n"/>
      <c r="H894" s="35" t="n"/>
      <c r="I894" s="27" t="n"/>
      <c r="J894" s="35" t="n"/>
      <c r="K894" s="35" t="n"/>
      <c r="L894" s="35" t="n"/>
      <c r="M894" s="35" t="n"/>
      <c r="N894" s="35" t="n"/>
      <c r="O894" s="35" t="n"/>
      <c r="P894" s="35" t="n"/>
      <c r="Q894" s="35" t="n"/>
    </row>
    <row r="895" ht="14.25" customHeight="1" s="398">
      <c r="A895" s="35" t="n"/>
      <c r="B895" s="35" t="n"/>
      <c r="C895" s="35" t="n"/>
      <c r="D895" s="35" t="n"/>
      <c r="E895" s="35" t="n"/>
      <c r="F895" s="35" t="n"/>
      <c r="G895" s="35" t="n"/>
      <c r="H895" s="35" t="n"/>
      <c r="I895" s="27" t="n"/>
      <c r="J895" s="35" t="n"/>
      <c r="K895" s="35" t="n"/>
      <c r="L895" s="35" t="n"/>
      <c r="M895" s="35" t="n"/>
      <c r="N895" s="35" t="n"/>
      <c r="O895" s="35" t="n"/>
      <c r="P895" s="35" t="n"/>
      <c r="Q895" s="35" t="n"/>
    </row>
    <row r="896" ht="14.25" customHeight="1" s="398">
      <c r="A896" s="35" t="n"/>
      <c r="B896" s="35" t="n"/>
      <c r="C896" s="35" t="n"/>
      <c r="D896" s="35" t="n"/>
      <c r="E896" s="35" t="n"/>
      <c r="F896" s="35" t="n"/>
      <c r="G896" s="35" t="n"/>
      <c r="H896" s="35" t="n"/>
      <c r="I896" s="27" t="n"/>
      <c r="J896" s="35" t="n"/>
      <c r="K896" s="35" t="n"/>
      <c r="L896" s="35" t="n"/>
      <c r="M896" s="35" t="n"/>
      <c r="N896" s="35" t="n"/>
      <c r="O896" s="35" t="n"/>
      <c r="P896" s="35" t="n"/>
      <c r="Q896" s="35" t="n"/>
    </row>
    <row r="897" ht="14.25" customHeight="1" s="398">
      <c r="A897" s="35" t="n"/>
      <c r="B897" s="35" t="n"/>
      <c r="C897" s="35" t="n"/>
      <c r="D897" s="35" t="n"/>
      <c r="E897" s="35" t="n"/>
      <c r="F897" s="35" t="n"/>
      <c r="G897" s="35" t="n"/>
      <c r="H897" s="35" t="n"/>
      <c r="I897" s="27" t="n"/>
      <c r="J897" s="35" t="n"/>
      <c r="K897" s="35" t="n"/>
      <c r="L897" s="35" t="n"/>
      <c r="M897" s="35" t="n"/>
      <c r="N897" s="35" t="n"/>
      <c r="O897" s="35" t="n"/>
      <c r="P897" s="35" t="n"/>
      <c r="Q897" s="35" t="n"/>
    </row>
    <row r="898" ht="14.25" customHeight="1" s="398">
      <c r="A898" s="35" t="n"/>
      <c r="B898" s="35" t="n"/>
      <c r="C898" s="35" t="n"/>
      <c r="D898" s="35" t="n"/>
      <c r="E898" s="35" t="n"/>
      <c r="F898" s="35" t="n"/>
      <c r="G898" s="35" t="n"/>
      <c r="H898" s="35" t="n"/>
      <c r="I898" s="27" t="n"/>
      <c r="J898" s="35" t="n"/>
      <c r="K898" s="35" t="n"/>
      <c r="L898" s="35" t="n"/>
      <c r="M898" s="35" t="n"/>
      <c r="N898" s="35" t="n"/>
      <c r="O898" s="35" t="n"/>
      <c r="P898" s="35" t="n"/>
      <c r="Q898" s="35" t="n"/>
    </row>
    <row r="899" ht="14.25" customHeight="1" s="398">
      <c r="A899" s="35" t="n"/>
      <c r="B899" s="35" t="n"/>
      <c r="C899" s="35" t="n"/>
      <c r="D899" s="35" t="n"/>
      <c r="E899" s="35" t="n"/>
      <c r="F899" s="35" t="n"/>
      <c r="G899" s="35" t="n"/>
      <c r="H899" s="35" t="n"/>
      <c r="I899" s="27" t="n"/>
      <c r="J899" s="35" t="n"/>
      <c r="K899" s="35" t="n"/>
      <c r="L899" s="35" t="n"/>
      <c r="M899" s="35" t="n"/>
      <c r="N899" s="35" t="n"/>
      <c r="O899" s="35" t="n"/>
      <c r="P899" s="35" t="n"/>
      <c r="Q899" s="35" t="n"/>
    </row>
    <row r="900" ht="14.25" customHeight="1" s="398">
      <c r="A900" s="35" t="n"/>
      <c r="B900" s="35" t="n"/>
      <c r="C900" s="35" t="n"/>
      <c r="D900" s="35" t="n"/>
      <c r="E900" s="35" t="n"/>
      <c r="F900" s="35" t="n"/>
      <c r="G900" s="35" t="n"/>
      <c r="H900" s="35" t="n"/>
      <c r="I900" s="27" t="n"/>
      <c r="J900" s="35" t="n"/>
      <c r="K900" s="35" t="n"/>
      <c r="L900" s="35" t="n"/>
      <c r="M900" s="35" t="n"/>
      <c r="N900" s="35" t="n"/>
      <c r="O900" s="35" t="n"/>
      <c r="P900" s="35" t="n"/>
      <c r="Q900" s="35" t="n"/>
    </row>
    <row r="901" ht="14.25" customHeight="1" s="398">
      <c r="A901" s="35" t="n"/>
      <c r="B901" s="35" t="n"/>
      <c r="C901" s="35" t="n"/>
      <c r="D901" s="35" t="n"/>
      <c r="E901" s="35" t="n"/>
      <c r="F901" s="35" t="n"/>
      <c r="G901" s="35" t="n"/>
      <c r="H901" s="35" t="n"/>
      <c r="I901" s="27" t="n"/>
      <c r="J901" s="35" t="n"/>
      <c r="K901" s="35" t="n"/>
      <c r="L901" s="35" t="n"/>
      <c r="M901" s="35" t="n"/>
      <c r="N901" s="35" t="n"/>
      <c r="O901" s="35" t="n"/>
      <c r="P901" s="35" t="n"/>
      <c r="Q901" s="35" t="n"/>
    </row>
    <row r="902" ht="14.25" customHeight="1" s="398">
      <c r="A902" s="35" t="n"/>
      <c r="B902" s="35" t="n"/>
      <c r="C902" s="35" t="n"/>
      <c r="D902" s="35" t="n"/>
      <c r="E902" s="35" t="n"/>
      <c r="F902" s="35" t="n"/>
      <c r="G902" s="35" t="n"/>
      <c r="H902" s="35" t="n"/>
      <c r="I902" s="27" t="n"/>
      <c r="J902" s="35" t="n"/>
      <c r="K902" s="35" t="n"/>
      <c r="L902" s="35" t="n"/>
      <c r="M902" s="35" t="n"/>
      <c r="N902" s="35" t="n"/>
      <c r="O902" s="35" t="n"/>
      <c r="P902" s="35" t="n"/>
      <c r="Q902" s="35" t="n"/>
    </row>
    <row r="903" ht="14.25" customHeight="1" s="398">
      <c r="A903" s="35" t="n"/>
      <c r="B903" s="35" t="n"/>
      <c r="C903" s="35" t="n"/>
      <c r="D903" s="35" t="n"/>
      <c r="E903" s="35" t="n"/>
      <c r="F903" s="35" t="n"/>
      <c r="G903" s="35" t="n"/>
      <c r="H903" s="35" t="n"/>
      <c r="I903" s="27" t="n"/>
      <c r="J903" s="35" t="n"/>
      <c r="K903" s="35" t="n"/>
      <c r="L903" s="35" t="n"/>
      <c r="M903" s="35" t="n"/>
      <c r="N903" s="35" t="n"/>
      <c r="O903" s="35" t="n"/>
      <c r="P903" s="35" t="n"/>
      <c r="Q903" s="35" t="n"/>
    </row>
    <row r="904" ht="14.25" customHeight="1" s="398">
      <c r="A904" s="35" t="n"/>
      <c r="B904" s="35" t="n"/>
      <c r="C904" s="35" t="n"/>
      <c r="D904" s="35" t="n"/>
      <c r="E904" s="35" t="n"/>
      <c r="F904" s="35" t="n"/>
      <c r="G904" s="35" t="n"/>
      <c r="H904" s="35" t="n"/>
      <c r="I904" s="27" t="n"/>
      <c r="J904" s="35" t="n"/>
      <c r="K904" s="35" t="n"/>
      <c r="L904" s="35" t="n"/>
      <c r="M904" s="35" t="n"/>
      <c r="N904" s="35" t="n"/>
      <c r="O904" s="35" t="n"/>
      <c r="P904" s="35" t="n"/>
      <c r="Q904" s="35" t="n"/>
    </row>
    <row r="905" ht="14.25" customHeight="1" s="398">
      <c r="A905" s="35" t="n"/>
      <c r="B905" s="35" t="n"/>
      <c r="C905" s="35" t="n"/>
      <c r="D905" s="35" t="n"/>
      <c r="E905" s="35" t="n"/>
      <c r="F905" s="35" t="n"/>
      <c r="G905" s="35" t="n"/>
      <c r="H905" s="35" t="n"/>
      <c r="I905" s="27" t="n"/>
      <c r="J905" s="35" t="n"/>
      <c r="K905" s="35" t="n"/>
      <c r="L905" s="35" t="n"/>
      <c r="M905" s="35" t="n"/>
      <c r="N905" s="35" t="n"/>
      <c r="O905" s="35" t="n"/>
      <c r="P905" s="35" t="n"/>
      <c r="Q905" s="35" t="n"/>
    </row>
    <row r="906" ht="14.25" customHeight="1" s="398">
      <c r="A906" s="35" t="n"/>
      <c r="B906" s="35" t="n"/>
      <c r="C906" s="35" t="n"/>
      <c r="D906" s="35" t="n"/>
      <c r="E906" s="35" t="n"/>
      <c r="F906" s="35" t="n"/>
      <c r="G906" s="35" t="n"/>
      <c r="H906" s="35" t="n"/>
      <c r="I906" s="27" t="n"/>
      <c r="J906" s="35" t="n"/>
      <c r="K906" s="35" t="n"/>
      <c r="L906" s="35" t="n"/>
      <c r="M906" s="35" t="n"/>
      <c r="N906" s="35" t="n"/>
      <c r="O906" s="35" t="n"/>
      <c r="P906" s="35" t="n"/>
      <c r="Q906" s="35" t="n"/>
    </row>
    <row r="907" ht="14.25" customHeight="1" s="398">
      <c r="A907" s="35" t="n"/>
      <c r="B907" s="35" t="n"/>
      <c r="C907" s="35" t="n"/>
      <c r="D907" s="35" t="n"/>
      <c r="E907" s="35" t="n"/>
      <c r="F907" s="35" t="n"/>
      <c r="G907" s="35" t="n"/>
      <c r="H907" s="35" t="n"/>
      <c r="I907" s="27" t="n"/>
      <c r="J907" s="35" t="n"/>
      <c r="K907" s="35" t="n"/>
      <c r="L907" s="35" t="n"/>
      <c r="M907" s="35" t="n"/>
      <c r="N907" s="35" t="n"/>
      <c r="O907" s="35" t="n"/>
      <c r="P907" s="35" t="n"/>
      <c r="Q907" s="35" t="n"/>
    </row>
    <row r="908" ht="14.25" customHeight="1" s="398">
      <c r="A908" s="35" t="n"/>
      <c r="B908" s="35" t="n"/>
      <c r="C908" s="35" t="n"/>
      <c r="D908" s="35" t="n"/>
      <c r="E908" s="35" t="n"/>
      <c r="F908" s="35" t="n"/>
      <c r="G908" s="35" t="n"/>
      <c r="H908" s="35" t="n"/>
      <c r="I908" s="27" t="n"/>
      <c r="J908" s="35" t="n"/>
      <c r="K908" s="35" t="n"/>
      <c r="L908" s="35" t="n"/>
      <c r="M908" s="35" t="n"/>
      <c r="N908" s="35" t="n"/>
      <c r="O908" s="35" t="n"/>
      <c r="P908" s="35" t="n"/>
      <c r="Q908" s="35" t="n"/>
    </row>
    <row r="909" ht="14.25" customHeight="1" s="398">
      <c r="A909" s="35" t="n"/>
      <c r="B909" s="35" t="n"/>
      <c r="C909" s="35" t="n"/>
      <c r="D909" s="35" t="n"/>
      <c r="E909" s="35" t="n"/>
      <c r="F909" s="35" t="n"/>
      <c r="G909" s="35" t="n"/>
      <c r="H909" s="35" t="n"/>
      <c r="I909" s="27" t="n"/>
      <c r="J909" s="35" t="n"/>
      <c r="K909" s="35" t="n"/>
      <c r="L909" s="35" t="n"/>
      <c r="M909" s="35" t="n"/>
      <c r="N909" s="35" t="n"/>
      <c r="O909" s="35" t="n"/>
      <c r="P909" s="35" t="n"/>
      <c r="Q909" s="35" t="n"/>
    </row>
    <row r="910" ht="14.25" customHeight="1" s="398">
      <c r="A910" s="35" t="n"/>
      <c r="B910" s="35" t="n"/>
      <c r="C910" s="35" t="n"/>
      <c r="D910" s="35" t="n"/>
      <c r="E910" s="35" t="n"/>
      <c r="F910" s="35" t="n"/>
      <c r="G910" s="35" t="n"/>
      <c r="H910" s="35" t="n"/>
      <c r="I910" s="27" t="n"/>
      <c r="J910" s="35" t="n"/>
      <c r="K910" s="35" t="n"/>
      <c r="L910" s="35" t="n"/>
      <c r="M910" s="35" t="n"/>
      <c r="N910" s="35" t="n"/>
      <c r="O910" s="35" t="n"/>
      <c r="P910" s="35" t="n"/>
      <c r="Q910" s="35" t="n"/>
    </row>
    <row r="911" ht="14.25" customHeight="1" s="398">
      <c r="A911" s="35" t="n"/>
      <c r="B911" s="35" t="n"/>
      <c r="C911" s="35" t="n"/>
      <c r="D911" s="35" t="n"/>
      <c r="E911" s="35" t="n"/>
      <c r="F911" s="35" t="n"/>
      <c r="G911" s="35" t="n"/>
      <c r="H911" s="35" t="n"/>
      <c r="I911" s="27" t="n"/>
      <c r="J911" s="35" t="n"/>
      <c r="K911" s="35" t="n"/>
      <c r="L911" s="35" t="n"/>
      <c r="M911" s="35" t="n"/>
      <c r="N911" s="35" t="n"/>
      <c r="O911" s="35" t="n"/>
      <c r="P911" s="35" t="n"/>
      <c r="Q911" s="35" t="n"/>
    </row>
    <row r="912" ht="14.25" customHeight="1" s="398">
      <c r="A912" s="35" t="n"/>
      <c r="B912" s="35" t="n"/>
      <c r="C912" s="35" t="n"/>
      <c r="D912" s="35" t="n"/>
      <c r="E912" s="35" t="n"/>
      <c r="F912" s="35" t="n"/>
      <c r="G912" s="35" t="n"/>
      <c r="H912" s="35" t="n"/>
      <c r="I912" s="27" t="n"/>
      <c r="J912" s="35" t="n"/>
      <c r="K912" s="35" t="n"/>
      <c r="L912" s="35" t="n"/>
      <c r="M912" s="35" t="n"/>
      <c r="N912" s="35" t="n"/>
      <c r="O912" s="35" t="n"/>
      <c r="P912" s="35" t="n"/>
      <c r="Q912" s="35" t="n"/>
    </row>
    <row r="913" ht="14.25" customHeight="1" s="398">
      <c r="A913" s="35" t="n"/>
      <c r="B913" s="35" t="n"/>
      <c r="C913" s="35" t="n"/>
      <c r="D913" s="35" t="n"/>
      <c r="E913" s="35" t="n"/>
      <c r="F913" s="35" t="n"/>
      <c r="G913" s="35" t="n"/>
      <c r="H913" s="35" t="n"/>
      <c r="I913" s="27" t="n"/>
      <c r="J913" s="35" t="n"/>
      <c r="K913" s="35" t="n"/>
      <c r="L913" s="35" t="n"/>
      <c r="M913" s="35" t="n"/>
      <c r="N913" s="35" t="n"/>
      <c r="O913" s="35" t="n"/>
      <c r="P913" s="35" t="n"/>
      <c r="Q913" s="35" t="n"/>
    </row>
    <row r="914" ht="14.25" customHeight="1" s="398">
      <c r="A914" s="35" t="n"/>
      <c r="B914" s="35" t="n"/>
      <c r="C914" s="35" t="n"/>
      <c r="D914" s="35" t="n"/>
      <c r="E914" s="35" t="n"/>
      <c r="F914" s="35" t="n"/>
      <c r="G914" s="35" t="n"/>
      <c r="H914" s="35" t="n"/>
      <c r="I914" s="27" t="n"/>
      <c r="J914" s="35" t="n"/>
      <c r="K914" s="35" t="n"/>
      <c r="L914" s="35" t="n"/>
      <c r="M914" s="35" t="n"/>
      <c r="N914" s="35" t="n"/>
      <c r="O914" s="35" t="n"/>
      <c r="P914" s="35" t="n"/>
      <c r="Q914" s="35" t="n"/>
    </row>
    <row r="915" ht="14.25" customHeight="1" s="398">
      <c r="A915" s="35" t="n"/>
      <c r="B915" s="35" t="n"/>
      <c r="C915" s="35" t="n"/>
      <c r="D915" s="35" t="n"/>
      <c r="E915" s="35" t="n"/>
      <c r="F915" s="35" t="n"/>
      <c r="G915" s="35" t="n"/>
      <c r="H915" s="35" t="n"/>
      <c r="I915" s="27" t="n"/>
      <c r="J915" s="35" t="n"/>
      <c r="K915" s="35" t="n"/>
      <c r="L915" s="35" t="n"/>
      <c r="M915" s="35" t="n"/>
      <c r="N915" s="35" t="n"/>
      <c r="O915" s="35" t="n"/>
      <c r="P915" s="35" t="n"/>
      <c r="Q915" s="35" t="n"/>
    </row>
    <row r="916" ht="14.25" customHeight="1" s="398">
      <c r="A916" s="35" t="n"/>
      <c r="B916" s="35" t="n"/>
      <c r="C916" s="35" t="n"/>
      <c r="D916" s="35" t="n"/>
      <c r="E916" s="35" t="n"/>
      <c r="F916" s="35" t="n"/>
      <c r="G916" s="35" t="n"/>
      <c r="H916" s="35" t="n"/>
      <c r="I916" s="27" t="n"/>
      <c r="J916" s="35" t="n"/>
      <c r="K916" s="35" t="n"/>
      <c r="L916" s="35" t="n"/>
      <c r="M916" s="35" t="n"/>
      <c r="N916" s="35" t="n"/>
      <c r="O916" s="35" t="n"/>
      <c r="P916" s="35" t="n"/>
      <c r="Q916" s="35" t="n"/>
    </row>
    <row r="917" ht="14.25" customHeight="1" s="398">
      <c r="A917" s="35" t="n"/>
      <c r="B917" s="35" t="n"/>
      <c r="C917" s="35" t="n"/>
      <c r="D917" s="35" t="n"/>
      <c r="E917" s="35" t="n"/>
      <c r="F917" s="35" t="n"/>
      <c r="G917" s="35" t="n"/>
      <c r="H917" s="35" t="n"/>
      <c r="I917" s="27" t="n"/>
      <c r="J917" s="35" t="n"/>
      <c r="K917" s="35" t="n"/>
      <c r="L917" s="35" t="n"/>
      <c r="M917" s="35" t="n"/>
      <c r="N917" s="35" t="n"/>
      <c r="O917" s="35" t="n"/>
      <c r="P917" s="35" t="n"/>
      <c r="Q917" s="35" t="n"/>
    </row>
    <row r="918" ht="14.25" customHeight="1" s="398">
      <c r="A918" s="35" t="n"/>
      <c r="B918" s="35" t="n"/>
      <c r="C918" s="35" t="n"/>
      <c r="D918" s="35" t="n"/>
      <c r="E918" s="35" t="n"/>
      <c r="F918" s="35" t="n"/>
      <c r="G918" s="35" t="n"/>
      <c r="H918" s="35" t="n"/>
      <c r="I918" s="27" t="n"/>
      <c r="J918" s="35" t="n"/>
      <c r="K918" s="35" t="n"/>
      <c r="L918" s="35" t="n"/>
      <c r="M918" s="35" t="n"/>
      <c r="N918" s="35" t="n"/>
      <c r="O918" s="35" t="n"/>
      <c r="P918" s="35" t="n"/>
      <c r="Q918" s="35" t="n"/>
    </row>
    <row r="919" ht="14.25" customHeight="1" s="398">
      <c r="A919" s="35" t="n"/>
      <c r="B919" s="35" t="n"/>
      <c r="C919" s="35" t="n"/>
      <c r="D919" s="35" t="n"/>
      <c r="E919" s="35" t="n"/>
      <c r="F919" s="35" t="n"/>
      <c r="G919" s="35" t="n"/>
      <c r="H919" s="35" t="n"/>
      <c r="I919" s="27" t="n"/>
      <c r="J919" s="35" t="n"/>
      <c r="K919" s="35" t="n"/>
      <c r="L919" s="35" t="n"/>
      <c r="M919" s="35" t="n"/>
      <c r="N919" s="35" t="n"/>
      <c r="O919" s="35" t="n"/>
      <c r="P919" s="35" t="n"/>
      <c r="Q919" s="35" t="n"/>
    </row>
    <row r="920" ht="14.25" customHeight="1" s="398">
      <c r="A920" s="35" t="n"/>
      <c r="B920" s="35" t="n"/>
      <c r="C920" s="35" t="n"/>
      <c r="D920" s="35" t="n"/>
      <c r="E920" s="35" t="n"/>
      <c r="F920" s="35" t="n"/>
      <c r="G920" s="35" t="n"/>
      <c r="H920" s="35" t="n"/>
      <c r="I920" s="27" t="n"/>
      <c r="J920" s="35" t="n"/>
      <c r="K920" s="35" t="n"/>
      <c r="L920" s="35" t="n"/>
      <c r="M920" s="35" t="n"/>
      <c r="N920" s="35" t="n"/>
      <c r="O920" s="35" t="n"/>
      <c r="P920" s="35" t="n"/>
      <c r="Q920" s="35" t="n"/>
    </row>
    <row r="921" ht="14.25" customHeight="1" s="398">
      <c r="A921" s="35" t="n"/>
      <c r="B921" s="35" t="n"/>
      <c r="C921" s="35" t="n"/>
      <c r="D921" s="35" t="n"/>
      <c r="E921" s="35" t="n"/>
      <c r="F921" s="35" t="n"/>
      <c r="G921" s="35" t="n"/>
      <c r="H921" s="35" t="n"/>
      <c r="I921" s="27" t="n"/>
      <c r="J921" s="35" t="n"/>
      <c r="K921" s="35" t="n"/>
      <c r="L921" s="35" t="n"/>
      <c r="M921" s="35" t="n"/>
      <c r="N921" s="35" t="n"/>
      <c r="O921" s="35" t="n"/>
      <c r="P921" s="35" t="n"/>
      <c r="Q921" s="35" t="n"/>
    </row>
    <row r="922" ht="14.25" customHeight="1" s="398">
      <c r="A922" s="35" t="n"/>
      <c r="B922" s="35" t="n"/>
      <c r="C922" s="35" t="n"/>
      <c r="D922" s="35" t="n"/>
      <c r="E922" s="35" t="n"/>
      <c r="F922" s="35" t="n"/>
      <c r="G922" s="35" t="n"/>
      <c r="H922" s="35" t="n"/>
      <c r="I922" s="27" t="n"/>
      <c r="J922" s="35" t="n"/>
      <c r="K922" s="35" t="n"/>
      <c r="L922" s="35" t="n"/>
      <c r="M922" s="35" t="n"/>
      <c r="N922" s="35" t="n"/>
      <c r="O922" s="35" t="n"/>
      <c r="P922" s="35" t="n"/>
      <c r="Q922" s="35" t="n"/>
    </row>
    <row r="923" ht="14.25" customHeight="1" s="398">
      <c r="A923" s="35" t="n"/>
      <c r="B923" s="35" t="n"/>
      <c r="C923" s="35" t="n"/>
      <c r="D923" s="35" t="n"/>
      <c r="E923" s="35" t="n"/>
      <c r="F923" s="35" t="n"/>
      <c r="G923" s="35" t="n"/>
      <c r="H923" s="35" t="n"/>
      <c r="I923" s="27" t="n"/>
      <c r="J923" s="35" t="n"/>
      <c r="K923" s="35" t="n"/>
      <c r="L923" s="35" t="n"/>
      <c r="M923" s="35" t="n"/>
      <c r="N923" s="35" t="n"/>
      <c r="O923" s="35" t="n"/>
      <c r="P923" s="35" t="n"/>
      <c r="Q923" s="35" t="n"/>
    </row>
    <row r="924" ht="14.25" customHeight="1" s="398">
      <c r="A924" s="35" t="n"/>
      <c r="B924" s="35" t="n"/>
      <c r="C924" s="35" t="n"/>
      <c r="D924" s="35" t="n"/>
      <c r="E924" s="35" t="n"/>
      <c r="F924" s="35" t="n"/>
      <c r="G924" s="35" t="n"/>
      <c r="H924" s="35" t="n"/>
      <c r="I924" s="27" t="n"/>
      <c r="J924" s="35" t="n"/>
      <c r="K924" s="35" t="n"/>
      <c r="L924" s="35" t="n"/>
      <c r="M924" s="35" t="n"/>
      <c r="N924" s="35" t="n"/>
      <c r="O924" s="35" t="n"/>
      <c r="P924" s="35" t="n"/>
      <c r="Q924" s="35" t="n"/>
    </row>
    <row r="925" ht="14.25" customHeight="1" s="398">
      <c r="A925" s="35" t="n"/>
      <c r="B925" s="35" t="n"/>
      <c r="C925" s="35" t="n"/>
      <c r="D925" s="35" t="n"/>
      <c r="E925" s="35" t="n"/>
      <c r="F925" s="35" t="n"/>
      <c r="G925" s="35" t="n"/>
      <c r="H925" s="35" t="n"/>
      <c r="I925" s="27" t="n"/>
      <c r="J925" s="35" t="n"/>
      <c r="K925" s="35" t="n"/>
      <c r="L925" s="35" t="n"/>
      <c r="M925" s="35" t="n"/>
      <c r="N925" s="35" t="n"/>
      <c r="O925" s="35" t="n"/>
      <c r="P925" s="35" t="n"/>
      <c r="Q925" s="35" t="n"/>
    </row>
    <row r="926" ht="14.25" customHeight="1" s="398">
      <c r="A926" s="35" t="n"/>
      <c r="B926" s="35" t="n"/>
      <c r="C926" s="35" t="n"/>
      <c r="D926" s="35" t="n"/>
      <c r="E926" s="35" t="n"/>
      <c r="F926" s="35" t="n"/>
      <c r="G926" s="35" t="n"/>
      <c r="H926" s="35" t="n"/>
      <c r="I926" s="27" t="n"/>
      <c r="J926" s="35" t="n"/>
      <c r="K926" s="35" t="n"/>
      <c r="L926" s="35" t="n"/>
      <c r="M926" s="35" t="n"/>
      <c r="N926" s="35" t="n"/>
      <c r="O926" s="35" t="n"/>
      <c r="P926" s="35" t="n"/>
      <c r="Q926" s="35" t="n"/>
    </row>
    <row r="927" ht="14.25" customHeight="1" s="398">
      <c r="A927" s="35" t="n"/>
      <c r="B927" s="35" t="n"/>
      <c r="C927" s="35" t="n"/>
      <c r="D927" s="35" t="n"/>
      <c r="E927" s="35" t="n"/>
      <c r="F927" s="35" t="n"/>
      <c r="G927" s="35" t="n"/>
      <c r="H927" s="35" t="n"/>
      <c r="I927" s="27" t="n"/>
      <c r="J927" s="35" t="n"/>
      <c r="K927" s="35" t="n"/>
      <c r="L927" s="35" t="n"/>
      <c r="M927" s="35" t="n"/>
      <c r="N927" s="35" t="n"/>
      <c r="O927" s="35" t="n"/>
      <c r="P927" s="35" t="n"/>
      <c r="Q927" s="35" t="n"/>
    </row>
    <row r="928" ht="14.25" customHeight="1" s="398">
      <c r="A928" s="35" t="n"/>
      <c r="B928" s="35" t="n"/>
      <c r="C928" s="35" t="n"/>
      <c r="D928" s="35" t="n"/>
      <c r="E928" s="35" t="n"/>
      <c r="F928" s="35" t="n"/>
      <c r="G928" s="35" t="n"/>
      <c r="H928" s="35" t="n"/>
      <c r="I928" s="27" t="n"/>
      <c r="J928" s="35" t="n"/>
      <c r="K928" s="35" t="n"/>
      <c r="L928" s="35" t="n"/>
      <c r="M928" s="35" t="n"/>
      <c r="N928" s="35" t="n"/>
      <c r="O928" s="35" t="n"/>
      <c r="P928" s="35" t="n"/>
      <c r="Q928" s="35" t="n"/>
    </row>
    <row r="929" ht="14.25" customHeight="1" s="398">
      <c r="A929" s="35" t="n"/>
      <c r="B929" s="35" t="n"/>
      <c r="C929" s="35" t="n"/>
      <c r="D929" s="35" t="n"/>
      <c r="E929" s="35" t="n"/>
      <c r="F929" s="35" t="n"/>
      <c r="G929" s="35" t="n"/>
      <c r="H929" s="35" t="n"/>
      <c r="I929" s="27" t="n"/>
      <c r="J929" s="35" t="n"/>
      <c r="K929" s="35" t="n"/>
      <c r="L929" s="35" t="n"/>
      <c r="M929" s="35" t="n"/>
      <c r="N929" s="35" t="n"/>
      <c r="O929" s="35" t="n"/>
      <c r="P929" s="35" t="n"/>
      <c r="Q929" s="35" t="n"/>
    </row>
    <row r="930" ht="14.25" customHeight="1" s="398">
      <c r="A930" s="35" t="n"/>
      <c r="B930" s="35" t="n"/>
      <c r="C930" s="35" t="n"/>
      <c r="D930" s="35" t="n"/>
      <c r="E930" s="35" t="n"/>
      <c r="F930" s="35" t="n"/>
      <c r="G930" s="35" t="n"/>
      <c r="H930" s="35" t="n"/>
      <c r="I930" s="27" t="n"/>
      <c r="J930" s="35" t="n"/>
      <c r="K930" s="35" t="n"/>
      <c r="L930" s="35" t="n"/>
      <c r="M930" s="35" t="n"/>
      <c r="N930" s="35" t="n"/>
      <c r="O930" s="35" t="n"/>
      <c r="P930" s="35" t="n"/>
      <c r="Q930" s="35" t="n"/>
    </row>
    <row r="931" ht="14.25" customHeight="1" s="398">
      <c r="A931" s="35" t="n"/>
      <c r="B931" s="35" t="n"/>
      <c r="C931" s="35" t="n"/>
      <c r="D931" s="35" t="n"/>
      <c r="E931" s="35" t="n"/>
      <c r="F931" s="35" t="n"/>
      <c r="G931" s="35" t="n"/>
      <c r="H931" s="35" t="n"/>
      <c r="I931" s="27" t="n"/>
      <c r="J931" s="35" t="n"/>
      <c r="K931" s="35" t="n"/>
      <c r="L931" s="35" t="n"/>
      <c r="M931" s="35" t="n"/>
      <c r="N931" s="35" t="n"/>
      <c r="O931" s="35" t="n"/>
      <c r="P931" s="35" t="n"/>
      <c r="Q931" s="35" t="n"/>
    </row>
    <row r="932" ht="14.25" customHeight="1" s="398">
      <c r="A932" s="35" t="n"/>
      <c r="B932" s="35" t="n"/>
      <c r="C932" s="35" t="n"/>
      <c r="D932" s="35" t="n"/>
      <c r="E932" s="35" t="n"/>
      <c r="F932" s="35" t="n"/>
      <c r="G932" s="35" t="n"/>
      <c r="H932" s="35" t="n"/>
      <c r="I932" s="27" t="n"/>
      <c r="J932" s="35" t="n"/>
      <c r="K932" s="35" t="n"/>
      <c r="L932" s="35" t="n"/>
      <c r="M932" s="35" t="n"/>
      <c r="N932" s="35" t="n"/>
      <c r="O932" s="35" t="n"/>
      <c r="P932" s="35" t="n"/>
      <c r="Q932" s="35" t="n"/>
    </row>
    <row r="933" ht="14.25" customHeight="1" s="398">
      <c r="A933" s="35" t="n"/>
      <c r="B933" s="35" t="n"/>
      <c r="C933" s="35" t="n"/>
      <c r="D933" s="35" t="n"/>
      <c r="E933" s="35" t="n"/>
      <c r="F933" s="35" t="n"/>
      <c r="G933" s="35" t="n"/>
      <c r="H933" s="35" t="n"/>
      <c r="I933" s="27" t="n"/>
      <c r="J933" s="35" t="n"/>
      <c r="K933" s="35" t="n"/>
      <c r="L933" s="35" t="n"/>
      <c r="M933" s="35" t="n"/>
      <c r="N933" s="35" t="n"/>
      <c r="O933" s="35" t="n"/>
      <c r="P933" s="35" t="n"/>
      <c r="Q933" s="35" t="n"/>
    </row>
    <row r="934" ht="14.25" customHeight="1" s="398">
      <c r="A934" s="35" t="n"/>
      <c r="B934" s="35" t="n"/>
      <c r="C934" s="35" t="n"/>
      <c r="D934" s="35" t="n"/>
      <c r="E934" s="35" t="n"/>
      <c r="F934" s="35" t="n"/>
      <c r="G934" s="35" t="n"/>
      <c r="H934" s="35" t="n"/>
      <c r="I934" s="27" t="n"/>
      <c r="J934" s="35" t="n"/>
      <c r="K934" s="35" t="n"/>
      <c r="L934" s="35" t="n"/>
      <c r="M934" s="35" t="n"/>
      <c r="N934" s="35" t="n"/>
      <c r="O934" s="35" t="n"/>
      <c r="P934" s="35" t="n"/>
      <c r="Q934" s="35" t="n"/>
    </row>
    <row r="935" ht="14.25" customHeight="1" s="398">
      <c r="A935" s="35" t="n"/>
      <c r="B935" s="35" t="n"/>
      <c r="C935" s="35" t="n"/>
      <c r="D935" s="35" t="n"/>
      <c r="E935" s="35" t="n"/>
      <c r="F935" s="35" t="n"/>
      <c r="G935" s="35" t="n"/>
      <c r="H935" s="35" t="n"/>
      <c r="I935" s="27" t="n"/>
      <c r="J935" s="35" t="n"/>
      <c r="K935" s="35" t="n"/>
      <c r="L935" s="35" t="n"/>
      <c r="M935" s="35" t="n"/>
      <c r="N935" s="35" t="n"/>
      <c r="O935" s="35" t="n"/>
      <c r="P935" s="35" t="n"/>
      <c r="Q935" s="35" t="n"/>
    </row>
    <row r="936" ht="14.25" customHeight="1" s="398">
      <c r="A936" s="35" t="n"/>
      <c r="B936" s="35" t="n"/>
      <c r="C936" s="35" t="n"/>
      <c r="D936" s="35" t="n"/>
      <c r="E936" s="35" t="n"/>
      <c r="F936" s="35" t="n"/>
      <c r="G936" s="35" t="n"/>
      <c r="H936" s="35" t="n"/>
      <c r="I936" s="27" t="n"/>
      <c r="J936" s="35" t="n"/>
      <c r="K936" s="35" t="n"/>
      <c r="L936" s="35" t="n"/>
      <c r="M936" s="35" t="n"/>
      <c r="N936" s="35" t="n"/>
      <c r="O936" s="35" t="n"/>
      <c r="P936" s="35" t="n"/>
      <c r="Q936" s="35" t="n"/>
    </row>
    <row r="937" ht="14.25" customHeight="1" s="398">
      <c r="A937" s="35" t="n"/>
      <c r="B937" s="35" t="n"/>
      <c r="C937" s="35" t="n"/>
      <c r="D937" s="35" t="n"/>
      <c r="E937" s="35" t="n"/>
      <c r="F937" s="35" t="n"/>
      <c r="G937" s="35" t="n"/>
      <c r="H937" s="35" t="n"/>
      <c r="I937" s="27" t="n"/>
      <c r="J937" s="35" t="n"/>
      <c r="K937" s="35" t="n"/>
      <c r="L937" s="35" t="n"/>
      <c r="M937" s="35" t="n"/>
      <c r="N937" s="35" t="n"/>
      <c r="O937" s="35" t="n"/>
      <c r="P937" s="35" t="n"/>
      <c r="Q937" s="35" t="n"/>
    </row>
    <row r="938" ht="14.25" customHeight="1" s="398">
      <c r="A938" s="35" t="n"/>
      <c r="B938" s="35" t="n"/>
      <c r="C938" s="35" t="n"/>
      <c r="D938" s="35" t="n"/>
      <c r="E938" s="35" t="n"/>
      <c r="F938" s="35" t="n"/>
      <c r="G938" s="35" t="n"/>
      <c r="H938" s="35" t="n"/>
      <c r="I938" s="27" t="n"/>
      <c r="J938" s="35" t="n"/>
      <c r="K938" s="35" t="n"/>
      <c r="L938" s="35" t="n"/>
      <c r="M938" s="35" t="n"/>
      <c r="N938" s="35" t="n"/>
      <c r="O938" s="35" t="n"/>
      <c r="P938" s="35" t="n"/>
      <c r="Q938" s="35" t="n"/>
    </row>
    <row r="939" ht="14.25" customHeight="1" s="398">
      <c r="A939" s="35" t="n"/>
      <c r="B939" s="35" t="n"/>
      <c r="C939" s="35" t="n"/>
      <c r="D939" s="35" t="n"/>
      <c r="E939" s="35" t="n"/>
      <c r="F939" s="35" t="n"/>
      <c r="G939" s="35" t="n"/>
      <c r="H939" s="35" t="n"/>
      <c r="I939" s="27" t="n"/>
      <c r="J939" s="35" t="n"/>
      <c r="K939" s="35" t="n"/>
      <c r="L939" s="35" t="n"/>
      <c r="M939" s="35" t="n"/>
      <c r="N939" s="35" t="n"/>
      <c r="O939" s="35" t="n"/>
      <c r="P939" s="35" t="n"/>
      <c r="Q939" s="35" t="n"/>
    </row>
    <row r="940" ht="14.25" customHeight="1" s="398">
      <c r="A940" s="35" t="n"/>
      <c r="B940" s="35" t="n"/>
      <c r="C940" s="35" t="n"/>
      <c r="D940" s="35" t="n"/>
      <c r="E940" s="35" t="n"/>
      <c r="F940" s="35" t="n"/>
      <c r="G940" s="35" t="n"/>
      <c r="H940" s="35" t="n"/>
      <c r="I940" s="27" t="n"/>
      <c r="J940" s="35" t="n"/>
      <c r="K940" s="35" t="n"/>
      <c r="L940" s="35" t="n"/>
      <c r="M940" s="35" t="n"/>
      <c r="N940" s="35" t="n"/>
      <c r="O940" s="35" t="n"/>
      <c r="P940" s="35" t="n"/>
      <c r="Q940" s="35" t="n"/>
    </row>
    <row r="941" ht="14.25" customHeight="1" s="398">
      <c r="A941" s="35" t="n"/>
      <c r="B941" s="35" t="n"/>
      <c r="C941" s="35" t="n"/>
      <c r="D941" s="35" t="n"/>
      <c r="E941" s="35" t="n"/>
      <c r="F941" s="35" t="n"/>
      <c r="G941" s="35" t="n"/>
      <c r="H941" s="35" t="n"/>
      <c r="I941" s="27" t="n"/>
      <c r="J941" s="35" t="n"/>
      <c r="K941" s="35" t="n"/>
      <c r="L941" s="35" t="n"/>
      <c r="M941" s="35" t="n"/>
      <c r="N941" s="35" t="n"/>
      <c r="O941" s="35" t="n"/>
      <c r="P941" s="35" t="n"/>
      <c r="Q941" s="35" t="n"/>
    </row>
    <row r="942" ht="14.25" customHeight="1" s="398">
      <c r="A942" s="35" t="n"/>
      <c r="B942" s="35" t="n"/>
      <c r="C942" s="35" t="n"/>
      <c r="D942" s="35" t="n"/>
      <c r="E942" s="35" t="n"/>
      <c r="F942" s="35" t="n"/>
      <c r="G942" s="35" t="n"/>
      <c r="H942" s="35" t="n"/>
      <c r="I942" s="27" t="n"/>
      <c r="J942" s="35" t="n"/>
      <c r="K942" s="35" t="n"/>
      <c r="L942" s="35" t="n"/>
      <c r="M942" s="35" t="n"/>
      <c r="N942" s="35" t="n"/>
      <c r="O942" s="35" t="n"/>
      <c r="P942" s="35" t="n"/>
      <c r="Q942" s="35" t="n"/>
    </row>
    <row r="943" ht="14.25" customHeight="1" s="398">
      <c r="A943" s="35" t="n"/>
      <c r="B943" s="35" t="n"/>
      <c r="C943" s="35" t="n"/>
      <c r="D943" s="35" t="n"/>
      <c r="E943" s="35" t="n"/>
      <c r="F943" s="35" t="n"/>
      <c r="G943" s="35" t="n"/>
      <c r="H943" s="35" t="n"/>
      <c r="I943" s="27" t="n"/>
      <c r="J943" s="35" t="n"/>
      <c r="K943" s="35" t="n"/>
      <c r="L943" s="35" t="n"/>
      <c r="M943" s="35" t="n"/>
      <c r="N943" s="35" t="n"/>
      <c r="O943" s="35" t="n"/>
      <c r="P943" s="35" t="n"/>
      <c r="Q943" s="35" t="n"/>
    </row>
    <row r="944" ht="14.25" customHeight="1" s="398">
      <c r="A944" s="35" t="n"/>
      <c r="B944" s="35" t="n"/>
      <c r="C944" s="35" t="n"/>
      <c r="D944" s="35" t="n"/>
      <c r="E944" s="35" t="n"/>
      <c r="F944" s="35" t="n"/>
      <c r="G944" s="35" t="n"/>
      <c r="H944" s="35" t="n"/>
      <c r="I944" s="27" t="n"/>
      <c r="J944" s="35" t="n"/>
      <c r="K944" s="35" t="n"/>
      <c r="L944" s="35" t="n"/>
      <c r="M944" s="35" t="n"/>
      <c r="N944" s="35" t="n"/>
      <c r="O944" s="35" t="n"/>
      <c r="P944" s="35" t="n"/>
      <c r="Q944" s="35" t="n"/>
    </row>
    <row r="945" ht="14.25" customHeight="1" s="398">
      <c r="A945" s="35" t="n"/>
      <c r="B945" s="35" t="n"/>
      <c r="C945" s="35" t="n"/>
      <c r="D945" s="35" t="n"/>
      <c r="E945" s="35" t="n"/>
      <c r="F945" s="35" t="n"/>
      <c r="G945" s="35" t="n"/>
      <c r="H945" s="35" t="n"/>
      <c r="I945" s="27" t="n"/>
      <c r="J945" s="35" t="n"/>
      <c r="K945" s="35" t="n"/>
      <c r="L945" s="35" t="n"/>
      <c r="M945" s="35" t="n"/>
      <c r="N945" s="35" t="n"/>
      <c r="O945" s="35" t="n"/>
      <c r="P945" s="35" t="n"/>
      <c r="Q945" s="35" t="n"/>
    </row>
    <row r="946" ht="14.25" customHeight="1" s="398">
      <c r="A946" s="35" t="n"/>
      <c r="B946" s="35" t="n"/>
      <c r="C946" s="35" t="n"/>
      <c r="D946" s="35" t="n"/>
      <c r="E946" s="35" t="n"/>
      <c r="F946" s="35" t="n"/>
      <c r="G946" s="35" t="n"/>
      <c r="H946" s="35" t="n"/>
      <c r="I946" s="27" t="n"/>
      <c r="J946" s="35" t="n"/>
      <c r="K946" s="35" t="n"/>
      <c r="L946" s="35" t="n"/>
      <c r="M946" s="35" t="n"/>
      <c r="N946" s="35" t="n"/>
      <c r="O946" s="35" t="n"/>
      <c r="P946" s="35" t="n"/>
      <c r="Q946" s="35" t="n"/>
    </row>
    <row r="947" ht="14.25" customHeight="1" s="398">
      <c r="A947" s="35" t="n"/>
      <c r="B947" s="35" t="n"/>
      <c r="C947" s="35" t="n"/>
      <c r="D947" s="35" t="n"/>
      <c r="E947" s="35" t="n"/>
      <c r="F947" s="35" t="n"/>
      <c r="G947" s="35" t="n"/>
      <c r="H947" s="35" t="n"/>
      <c r="I947" s="27" t="n"/>
      <c r="J947" s="35" t="n"/>
      <c r="K947" s="35" t="n"/>
      <c r="L947" s="35" t="n"/>
      <c r="M947" s="35" t="n"/>
      <c r="N947" s="35" t="n"/>
      <c r="O947" s="35" t="n"/>
      <c r="P947" s="35" t="n"/>
      <c r="Q947" s="35" t="n"/>
    </row>
    <row r="948" ht="14.25" customHeight="1" s="398">
      <c r="A948" s="35" t="n"/>
      <c r="B948" s="35" t="n"/>
      <c r="C948" s="35" t="n"/>
      <c r="D948" s="35" t="n"/>
      <c r="E948" s="35" t="n"/>
      <c r="F948" s="35" t="n"/>
      <c r="G948" s="35" t="n"/>
      <c r="H948" s="35" t="n"/>
      <c r="I948" s="27" t="n"/>
      <c r="J948" s="35" t="n"/>
      <c r="K948" s="35" t="n"/>
      <c r="L948" s="35" t="n"/>
      <c r="M948" s="35" t="n"/>
      <c r="N948" s="35" t="n"/>
      <c r="O948" s="35" t="n"/>
      <c r="P948" s="35" t="n"/>
      <c r="Q948" s="35" t="n"/>
    </row>
    <row r="949" ht="14.25" customHeight="1" s="398">
      <c r="A949" s="35" t="n"/>
      <c r="B949" s="35" t="n"/>
      <c r="C949" s="35" t="n"/>
      <c r="D949" s="35" t="n"/>
      <c r="E949" s="35" t="n"/>
      <c r="F949" s="35" t="n"/>
      <c r="G949" s="35" t="n"/>
      <c r="H949" s="35" t="n"/>
      <c r="I949" s="27" t="n"/>
      <c r="J949" s="35" t="n"/>
      <c r="K949" s="35" t="n"/>
      <c r="L949" s="35" t="n"/>
      <c r="M949" s="35" t="n"/>
      <c r="N949" s="35" t="n"/>
      <c r="O949" s="35" t="n"/>
      <c r="P949" s="35" t="n"/>
      <c r="Q949" s="35" t="n"/>
    </row>
    <row r="950" ht="14.25" customHeight="1" s="398">
      <c r="A950" s="35" t="n"/>
      <c r="B950" s="35" t="n"/>
      <c r="C950" s="35" t="n"/>
      <c r="D950" s="35" t="n"/>
      <c r="E950" s="35" t="n"/>
      <c r="F950" s="35" t="n"/>
      <c r="G950" s="35" t="n"/>
      <c r="H950" s="35" t="n"/>
      <c r="I950" s="27" t="n"/>
      <c r="J950" s="35" t="n"/>
      <c r="K950" s="35" t="n"/>
      <c r="L950" s="35" t="n"/>
      <c r="M950" s="35" t="n"/>
      <c r="N950" s="35" t="n"/>
      <c r="O950" s="35" t="n"/>
      <c r="P950" s="35" t="n"/>
      <c r="Q950" s="35" t="n"/>
    </row>
    <row r="951" ht="14.25" customHeight="1" s="398">
      <c r="A951" s="35" t="n"/>
      <c r="B951" s="35" t="n"/>
      <c r="C951" s="35" t="n"/>
      <c r="D951" s="35" t="n"/>
      <c r="E951" s="35" t="n"/>
      <c r="F951" s="35" t="n"/>
      <c r="G951" s="35" t="n"/>
      <c r="H951" s="35" t="n"/>
      <c r="I951" s="27" t="n"/>
      <c r="J951" s="35" t="n"/>
      <c r="K951" s="35" t="n"/>
      <c r="L951" s="35" t="n"/>
      <c r="M951" s="35" t="n"/>
      <c r="N951" s="35" t="n"/>
      <c r="O951" s="35" t="n"/>
      <c r="P951" s="35" t="n"/>
      <c r="Q951" s="35" t="n"/>
    </row>
    <row r="952" ht="14.25" customHeight="1" s="398">
      <c r="A952" s="35" t="n"/>
      <c r="B952" s="35" t="n"/>
      <c r="C952" s="35" t="n"/>
      <c r="D952" s="35" t="n"/>
      <c r="E952" s="35" t="n"/>
      <c r="F952" s="35" t="n"/>
      <c r="G952" s="35" t="n"/>
      <c r="H952" s="35" t="n"/>
      <c r="I952" s="27" t="n"/>
      <c r="J952" s="35" t="n"/>
      <c r="K952" s="35" t="n"/>
      <c r="L952" s="35" t="n"/>
      <c r="M952" s="35" t="n"/>
      <c r="N952" s="35" t="n"/>
      <c r="O952" s="35" t="n"/>
      <c r="P952" s="35" t="n"/>
      <c r="Q952" s="35" t="n"/>
    </row>
    <row r="953" ht="14.25" customHeight="1" s="398">
      <c r="A953" s="35" t="n"/>
      <c r="B953" s="35" t="n"/>
      <c r="C953" s="35" t="n"/>
      <c r="D953" s="35" t="n"/>
      <c r="E953" s="35" t="n"/>
      <c r="F953" s="35" t="n"/>
      <c r="G953" s="35" t="n"/>
      <c r="H953" s="35" t="n"/>
      <c r="I953" s="27" t="n"/>
      <c r="J953" s="35" t="n"/>
      <c r="K953" s="35" t="n"/>
      <c r="L953" s="35" t="n"/>
      <c r="M953" s="35" t="n"/>
      <c r="N953" s="35" t="n"/>
      <c r="O953" s="35" t="n"/>
      <c r="P953" s="35" t="n"/>
      <c r="Q953" s="35" t="n"/>
    </row>
    <row r="954" ht="14.25" customHeight="1" s="398">
      <c r="A954" s="35" t="n"/>
      <c r="B954" s="35" t="n"/>
      <c r="C954" s="35" t="n"/>
      <c r="D954" s="35" t="n"/>
      <c r="E954" s="35" t="n"/>
      <c r="F954" s="35" t="n"/>
      <c r="G954" s="35" t="n"/>
      <c r="H954" s="35" t="n"/>
      <c r="I954" s="27" t="n"/>
      <c r="J954" s="35" t="n"/>
      <c r="K954" s="35" t="n"/>
      <c r="L954" s="35" t="n"/>
      <c r="M954" s="35" t="n"/>
      <c r="N954" s="35" t="n"/>
      <c r="O954" s="35" t="n"/>
      <c r="P954" s="35" t="n"/>
      <c r="Q954" s="35" t="n"/>
    </row>
    <row r="955" ht="14.25" customHeight="1" s="398">
      <c r="A955" s="35" t="n"/>
      <c r="B955" s="35" t="n"/>
      <c r="C955" s="35" t="n"/>
      <c r="D955" s="35" t="n"/>
      <c r="E955" s="35" t="n"/>
      <c r="F955" s="35" t="n"/>
      <c r="G955" s="35" t="n"/>
      <c r="H955" s="35" t="n"/>
      <c r="I955" s="27" t="n"/>
      <c r="J955" s="35" t="n"/>
      <c r="K955" s="35" t="n"/>
      <c r="L955" s="35" t="n"/>
      <c r="M955" s="35" t="n"/>
      <c r="N955" s="35" t="n"/>
      <c r="O955" s="35" t="n"/>
      <c r="P955" s="35" t="n"/>
      <c r="Q955" s="35" t="n"/>
    </row>
    <row r="956" ht="14.25" customHeight="1" s="398">
      <c r="A956" s="35" t="n"/>
      <c r="B956" s="35" t="n"/>
      <c r="C956" s="35" t="n"/>
      <c r="D956" s="35" t="n"/>
      <c r="E956" s="35" t="n"/>
      <c r="F956" s="35" t="n"/>
      <c r="G956" s="35" t="n"/>
      <c r="H956" s="35" t="n"/>
      <c r="I956" s="27" t="n"/>
      <c r="J956" s="35" t="n"/>
      <c r="K956" s="35" t="n"/>
      <c r="L956" s="35" t="n"/>
      <c r="M956" s="35" t="n"/>
      <c r="N956" s="35" t="n"/>
      <c r="O956" s="35" t="n"/>
      <c r="P956" s="35" t="n"/>
      <c r="Q956" s="35" t="n"/>
    </row>
    <row r="957" ht="14.25" customHeight="1" s="398">
      <c r="A957" s="35" t="n"/>
      <c r="B957" s="35" t="n"/>
      <c r="C957" s="35" t="n"/>
      <c r="D957" s="35" t="n"/>
      <c r="E957" s="35" t="n"/>
      <c r="F957" s="35" t="n"/>
      <c r="G957" s="35" t="n"/>
      <c r="H957" s="35" t="n"/>
      <c r="I957" s="27" t="n"/>
      <c r="J957" s="35" t="n"/>
      <c r="K957" s="35" t="n"/>
      <c r="L957" s="35" t="n"/>
      <c r="M957" s="35" t="n"/>
      <c r="N957" s="35" t="n"/>
      <c r="O957" s="35" t="n"/>
      <c r="P957" s="35" t="n"/>
      <c r="Q957" s="35" t="n"/>
    </row>
    <row r="958" ht="14.25" customHeight="1" s="398">
      <c r="A958" s="35" t="n"/>
      <c r="B958" s="35" t="n"/>
      <c r="C958" s="35" t="n"/>
      <c r="D958" s="35" t="n"/>
      <c r="E958" s="35" t="n"/>
      <c r="F958" s="35" t="n"/>
      <c r="G958" s="35" t="n"/>
      <c r="H958" s="35" t="n"/>
      <c r="I958" s="27" t="n"/>
      <c r="J958" s="35" t="n"/>
      <c r="K958" s="35" t="n"/>
      <c r="L958" s="35" t="n"/>
      <c r="M958" s="35" t="n"/>
      <c r="N958" s="35" t="n"/>
      <c r="O958" s="35" t="n"/>
      <c r="P958" s="35" t="n"/>
      <c r="Q958" s="35" t="n"/>
    </row>
    <row r="959" ht="14.25" customHeight="1" s="398">
      <c r="A959" s="35" t="n"/>
      <c r="B959" s="35" t="n"/>
      <c r="C959" s="35" t="n"/>
      <c r="D959" s="35" t="n"/>
      <c r="E959" s="35" t="n"/>
      <c r="F959" s="35" t="n"/>
      <c r="G959" s="35" t="n"/>
      <c r="H959" s="35" t="n"/>
      <c r="I959" s="27" t="n"/>
      <c r="J959" s="35" t="n"/>
      <c r="K959" s="35" t="n"/>
      <c r="L959" s="35" t="n"/>
      <c r="M959" s="35" t="n"/>
      <c r="N959" s="35" t="n"/>
      <c r="O959" s="35" t="n"/>
      <c r="P959" s="35" t="n"/>
      <c r="Q959" s="35" t="n"/>
    </row>
    <row r="960" ht="14.25" customHeight="1" s="398">
      <c r="A960" s="35" t="n"/>
      <c r="B960" s="35" t="n"/>
      <c r="C960" s="35" t="n"/>
      <c r="D960" s="35" t="n"/>
      <c r="E960" s="35" t="n"/>
      <c r="F960" s="35" t="n"/>
      <c r="G960" s="35" t="n"/>
      <c r="H960" s="35" t="n"/>
      <c r="I960" s="27" t="n"/>
      <c r="J960" s="35" t="n"/>
      <c r="K960" s="35" t="n"/>
      <c r="L960" s="35" t="n"/>
      <c r="M960" s="35" t="n"/>
      <c r="N960" s="35" t="n"/>
      <c r="O960" s="35" t="n"/>
      <c r="P960" s="35" t="n"/>
      <c r="Q960" s="35" t="n"/>
    </row>
    <row r="961" ht="14.25" customHeight="1" s="398">
      <c r="A961" s="35" t="n"/>
      <c r="B961" s="35" t="n"/>
      <c r="C961" s="35" t="n"/>
      <c r="D961" s="35" t="n"/>
      <c r="E961" s="35" t="n"/>
      <c r="F961" s="35" t="n"/>
      <c r="G961" s="35" t="n"/>
      <c r="H961" s="35" t="n"/>
      <c r="I961" s="27" t="n"/>
      <c r="J961" s="35" t="n"/>
      <c r="K961" s="35" t="n"/>
      <c r="L961" s="35" t="n"/>
      <c r="M961" s="35" t="n"/>
      <c r="N961" s="35" t="n"/>
      <c r="O961" s="35" t="n"/>
      <c r="P961" s="35" t="n"/>
      <c r="Q961" s="35" t="n"/>
    </row>
    <row r="962" ht="14.25" customHeight="1" s="398">
      <c r="A962" s="35" t="n"/>
      <c r="B962" s="35" t="n"/>
      <c r="C962" s="35" t="n"/>
      <c r="D962" s="35" t="n"/>
      <c r="E962" s="35" t="n"/>
      <c r="F962" s="35" t="n"/>
      <c r="G962" s="35" t="n"/>
      <c r="H962" s="35" t="n"/>
      <c r="I962" s="27" t="n"/>
      <c r="J962" s="35" t="n"/>
      <c r="K962" s="35" t="n"/>
      <c r="L962" s="35" t="n"/>
      <c r="M962" s="35" t="n"/>
      <c r="N962" s="35" t="n"/>
      <c r="O962" s="35" t="n"/>
      <c r="P962" s="35" t="n"/>
      <c r="Q962" s="35" t="n"/>
    </row>
    <row r="963" ht="14.25" customHeight="1" s="398">
      <c r="A963" s="35" t="n"/>
      <c r="B963" s="35" t="n"/>
      <c r="C963" s="35" t="n"/>
      <c r="D963" s="35" t="n"/>
      <c r="E963" s="35" t="n"/>
      <c r="F963" s="35" t="n"/>
      <c r="G963" s="35" t="n"/>
      <c r="H963" s="35" t="n"/>
      <c r="I963" s="27" t="n"/>
      <c r="J963" s="35" t="n"/>
      <c r="K963" s="35" t="n"/>
      <c r="L963" s="35" t="n"/>
      <c r="M963" s="35" t="n"/>
      <c r="N963" s="35" t="n"/>
      <c r="O963" s="35" t="n"/>
      <c r="P963" s="35" t="n"/>
      <c r="Q963" s="35" t="n"/>
    </row>
    <row r="964" ht="14.25" customHeight="1" s="398">
      <c r="A964" s="35" t="n"/>
      <c r="B964" s="35" t="n"/>
      <c r="C964" s="35" t="n"/>
      <c r="D964" s="35" t="n"/>
      <c r="E964" s="35" t="n"/>
      <c r="F964" s="35" t="n"/>
      <c r="G964" s="35" t="n"/>
      <c r="H964" s="35" t="n"/>
      <c r="I964" s="27" t="n"/>
      <c r="J964" s="35" t="n"/>
      <c r="K964" s="35" t="n"/>
      <c r="L964" s="35" t="n"/>
      <c r="M964" s="35" t="n"/>
      <c r="N964" s="35" t="n"/>
      <c r="O964" s="35" t="n"/>
      <c r="P964" s="35" t="n"/>
      <c r="Q964" s="35" t="n"/>
    </row>
    <row r="965" ht="14.25" customHeight="1" s="398">
      <c r="A965" s="35" t="n"/>
      <c r="B965" s="35" t="n"/>
      <c r="C965" s="35" t="n"/>
      <c r="D965" s="35" t="n"/>
      <c r="E965" s="35" t="n"/>
      <c r="F965" s="35" t="n"/>
      <c r="G965" s="35" t="n"/>
      <c r="H965" s="35" t="n"/>
      <c r="I965" s="27" t="n"/>
      <c r="J965" s="35" t="n"/>
      <c r="K965" s="35" t="n"/>
      <c r="L965" s="35" t="n"/>
      <c r="M965" s="35" t="n"/>
      <c r="N965" s="35" t="n"/>
      <c r="O965" s="35" t="n"/>
      <c r="P965" s="35" t="n"/>
      <c r="Q965" s="35" t="n"/>
    </row>
    <row r="966" ht="14.25" customHeight="1" s="398">
      <c r="A966" s="35" t="n"/>
      <c r="B966" s="35" t="n"/>
      <c r="C966" s="35" t="n"/>
      <c r="D966" s="35" t="n"/>
      <c r="E966" s="35" t="n"/>
      <c r="F966" s="35" t="n"/>
      <c r="G966" s="35" t="n"/>
      <c r="H966" s="35" t="n"/>
      <c r="I966" s="27" t="n"/>
      <c r="J966" s="35" t="n"/>
      <c r="K966" s="35" t="n"/>
      <c r="L966" s="35" t="n"/>
      <c r="M966" s="35" t="n"/>
      <c r="N966" s="35" t="n"/>
      <c r="O966" s="35" t="n"/>
      <c r="P966" s="35" t="n"/>
      <c r="Q966" s="35" t="n"/>
    </row>
    <row r="967" ht="14.25" customHeight="1" s="398">
      <c r="A967" s="35" t="n"/>
      <c r="B967" s="35" t="n"/>
      <c r="C967" s="35" t="n"/>
      <c r="D967" s="35" t="n"/>
      <c r="E967" s="35" t="n"/>
      <c r="F967" s="35" t="n"/>
      <c r="G967" s="35" t="n"/>
      <c r="H967" s="35" t="n"/>
      <c r="I967" s="27" t="n"/>
      <c r="J967" s="35" t="n"/>
      <c r="K967" s="35" t="n"/>
      <c r="L967" s="35" t="n"/>
      <c r="M967" s="35" t="n"/>
      <c r="N967" s="35" t="n"/>
      <c r="O967" s="35" t="n"/>
      <c r="P967" s="35" t="n"/>
      <c r="Q967" s="35" t="n"/>
    </row>
    <row r="968" ht="14.25" customHeight="1" s="398">
      <c r="A968" s="35" t="n"/>
      <c r="B968" s="35" t="n"/>
      <c r="C968" s="35" t="n"/>
      <c r="D968" s="35" t="n"/>
      <c r="E968" s="35" t="n"/>
      <c r="F968" s="35" t="n"/>
      <c r="G968" s="35" t="n"/>
      <c r="H968" s="35" t="n"/>
      <c r="I968" s="27" t="n"/>
      <c r="J968" s="35" t="n"/>
      <c r="K968" s="35" t="n"/>
      <c r="L968" s="35" t="n"/>
      <c r="M968" s="35" t="n"/>
      <c r="N968" s="35" t="n"/>
      <c r="O968" s="35" t="n"/>
      <c r="P968" s="35" t="n"/>
      <c r="Q968" s="35" t="n"/>
    </row>
    <row r="969" ht="14.25" customHeight="1" s="398">
      <c r="A969" s="35" t="n"/>
      <c r="B969" s="35" t="n"/>
      <c r="C969" s="35" t="n"/>
      <c r="D969" s="35" t="n"/>
      <c r="E969" s="35" t="n"/>
      <c r="F969" s="35" t="n"/>
      <c r="G969" s="35" t="n"/>
      <c r="H969" s="35" t="n"/>
      <c r="I969" s="27" t="n"/>
      <c r="J969" s="35" t="n"/>
      <c r="K969" s="35" t="n"/>
      <c r="L969" s="35" t="n"/>
      <c r="M969" s="35" t="n"/>
      <c r="N969" s="35" t="n"/>
      <c r="O969" s="35" t="n"/>
      <c r="P969" s="35" t="n"/>
      <c r="Q969" s="35" t="n"/>
    </row>
    <row r="970" ht="14.25" customHeight="1" s="398">
      <c r="A970" s="35" t="n"/>
      <c r="B970" s="35" t="n"/>
      <c r="C970" s="35" t="n"/>
      <c r="D970" s="35" t="n"/>
      <c r="E970" s="35" t="n"/>
      <c r="F970" s="35" t="n"/>
      <c r="G970" s="35" t="n"/>
      <c r="H970" s="35" t="n"/>
      <c r="I970" s="27" t="n"/>
      <c r="J970" s="35" t="n"/>
      <c r="K970" s="35" t="n"/>
      <c r="L970" s="35" t="n"/>
      <c r="M970" s="35" t="n"/>
      <c r="N970" s="35" t="n"/>
      <c r="O970" s="35" t="n"/>
      <c r="P970" s="35" t="n"/>
      <c r="Q970" s="35" t="n"/>
    </row>
    <row r="971" ht="14.25" customHeight="1" s="398">
      <c r="A971" s="35" t="n"/>
      <c r="B971" s="35" t="n"/>
      <c r="C971" s="35" t="n"/>
      <c r="D971" s="35" t="n"/>
      <c r="E971" s="35" t="n"/>
      <c r="F971" s="35" t="n"/>
      <c r="G971" s="35" t="n"/>
      <c r="H971" s="35" t="n"/>
      <c r="I971" s="27" t="n"/>
      <c r="J971" s="35" t="n"/>
      <c r="K971" s="35" t="n"/>
      <c r="L971" s="35" t="n"/>
      <c r="M971" s="35" t="n"/>
      <c r="N971" s="35" t="n"/>
      <c r="O971" s="35" t="n"/>
      <c r="P971" s="35" t="n"/>
      <c r="Q971" s="35" t="n"/>
    </row>
    <row r="972" ht="14.25" customHeight="1" s="398">
      <c r="A972" s="35" t="n"/>
      <c r="B972" s="35" t="n"/>
      <c r="C972" s="35" t="n"/>
      <c r="D972" s="35" t="n"/>
      <c r="E972" s="35" t="n"/>
      <c r="F972" s="35" t="n"/>
      <c r="G972" s="35" t="n"/>
      <c r="H972" s="35" t="n"/>
      <c r="I972" s="27" t="n"/>
      <c r="J972" s="35" t="n"/>
      <c r="K972" s="35" t="n"/>
      <c r="L972" s="35" t="n"/>
      <c r="M972" s="35" t="n"/>
      <c r="N972" s="35" t="n"/>
      <c r="O972" s="35" t="n"/>
      <c r="P972" s="35" t="n"/>
      <c r="Q972" s="35" t="n"/>
    </row>
    <row r="973" ht="14.25" customHeight="1" s="398">
      <c r="A973" s="35" t="n"/>
      <c r="B973" s="35" t="n"/>
      <c r="C973" s="35" t="n"/>
      <c r="D973" s="35" t="n"/>
      <c r="E973" s="35" t="n"/>
      <c r="F973" s="35" t="n"/>
      <c r="G973" s="35" t="n"/>
      <c r="H973" s="35" t="n"/>
      <c r="I973" s="27" t="n"/>
      <c r="J973" s="35" t="n"/>
      <c r="K973" s="35" t="n"/>
      <c r="L973" s="35" t="n"/>
      <c r="M973" s="35" t="n"/>
      <c r="N973" s="35" t="n"/>
      <c r="O973" s="35" t="n"/>
      <c r="P973" s="35" t="n"/>
      <c r="Q973" s="35" t="n"/>
    </row>
    <row r="974" ht="14.25" customHeight="1" s="398">
      <c r="A974" s="35" t="n"/>
      <c r="B974" s="35" t="n"/>
      <c r="C974" s="35" t="n"/>
      <c r="D974" s="35" t="n"/>
      <c r="E974" s="35" t="n"/>
      <c r="F974" s="35" t="n"/>
      <c r="G974" s="35" t="n"/>
      <c r="H974" s="35" t="n"/>
      <c r="I974" s="27" t="n"/>
      <c r="J974" s="35" t="n"/>
      <c r="K974" s="35" t="n"/>
      <c r="L974" s="35" t="n"/>
      <c r="M974" s="35" t="n"/>
      <c r="N974" s="35" t="n"/>
      <c r="O974" s="35" t="n"/>
      <c r="P974" s="35" t="n"/>
      <c r="Q974" s="35" t="n"/>
    </row>
    <row r="975" ht="14.25" customHeight="1" s="398">
      <c r="A975" s="35" t="n"/>
      <c r="B975" s="35" t="n"/>
      <c r="C975" s="35" t="n"/>
      <c r="D975" s="35" t="n"/>
      <c r="E975" s="35" t="n"/>
      <c r="F975" s="35" t="n"/>
      <c r="G975" s="35" t="n"/>
      <c r="H975" s="35" t="n"/>
      <c r="I975" s="27" t="n"/>
      <c r="J975" s="35" t="n"/>
      <c r="K975" s="35" t="n"/>
      <c r="L975" s="35" t="n"/>
      <c r="M975" s="35" t="n"/>
      <c r="N975" s="35" t="n"/>
      <c r="O975" s="35" t="n"/>
      <c r="P975" s="35" t="n"/>
      <c r="Q975" s="35" t="n"/>
    </row>
  </sheetData>
  <mergeCells count="10">
    <mergeCell ref="L16:Q16"/>
    <mergeCell ref="A16:B16"/>
    <mergeCell ref="C16:H16"/>
    <mergeCell ref="J13:J15"/>
    <mergeCell ref="J16:K16"/>
    <mergeCell ref="J1:Q1"/>
    <mergeCell ref="A3:A12"/>
    <mergeCell ref="J3:J12"/>
    <mergeCell ref="A1:H1"/>
    <mergeCell ref="A13:A15"/>
  </mergeCells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0" summaryRight="0"/>
    <pageSetUpPr fitToPage="1"/>
  </sheetPr>
  <dimension ref="A1:Z1001"/>
  <sheetViews>
    <sheetView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G19" sqref="G19"/>
    </sheetView>
  </sheetViews>
  <sheetFormatPr baseColWidth="8" defaultColWidth="12.7109375" defaultRowHeight="15" customHeight="1"/>
  <cols>
    <col width="21.28515625" customWidth="1" style="398" min="1" max="1"/>
  </cols>
  <sheetData>
    <row r="1" ht="12.75" customHeight="1" s="398">
      <c r="A1" s="481" t="n"/>
      <c r="B1" s="509" t="inlineStr">
        <is>
          <t>RESUMO DE SALDOS</t>
        </is>
      </c>
      <c r="C1" s="483" t="n"/>
      <c r="D1" s="483" t="n"/>
      <c r="E1" s="483" t="n"/>
      <c r="F1" s="483" t="n"/>
      <c r="G1" s="483" t="n"/>
      <c r="H1" s="483" t="n"/>
      <c r="I1" s="483" t="n"/>
      <c r="J1" s="483" t="n"/>
      <c r="K1" s="483" t="n"/>
      <c r="L1" s="483" t="n"/>
      <c r="M1" s="483" t="n"/>
      <c r="N1" s="483" t="n"/>
      <c r="O1" s="483" t="n"/>
      <c r="P1" s="484" t="n"/>
      <c r="Q1" s="480" t="n"/>
      <c r="R1" s="480" t="n"/>
      <c r="S1" s="480" t="n"/>
      <c r="T1" s="480" t="n"/>
      <c r="U1" s="480" t="n"/>
      <c r="V1" s="480" t="n"/>
      <c r="W1" s="480" t="n"/>
      <c r="X1" s="480" t="n"/>
      <c r="Y1" s="480" t="n"/>
      <c r="Z1" s="480" t="n"/>
    </row>
    <row r="2" ht="12.75" customHeight="1" s="398">
      <c r="A2" s="485" t="n"/>
      <c r="B2" s="520" t="inlineStr">
        <is>
          <t>2022</t>
        </is>
      </c>
      <c r="N2" s="41" t="inlineStr">
        <is>
          <t>2023</t>
        </is>
      </c>
      <c r="P2" s="521" t="n"/>
      <c r="Q2" s="480" t="n"/>
      <c r="R2" s="480" t="n"/>
      <c r="S2" s="480" t="n"/>
      <c r="T2" s="480" t="n"/>
      <c r="U2" s="480" t="n"/>
      <c r="V2" s="480" t="n"/>
      <c r="W2" s="480" t="n"/>
      <c r="X2" s="480" t="n"/>
      <c r="Y2" s="480" t="n"/>
      <c r="Z2" s="480" t="n"/>
    </row>
    <row r="3" ht="12.75" customHeight="1" s="398">
      <c r="A3" s="487" t="inlineStr">
        <is>
          <t>CONTA</t>
        </is>
      </c>
      <c r="B3" s="488" t="inlineStr">
        <is>
          <t>JANEIRO</t>
        </is>
      </c>
      <c r="C3" s="488" t="inlineStr">
        <is>
          <t>FEVEREIRO</t>
        </is>
      </c>
      <c r="D3" s="488" t="inlineStr">
        <is>
          <t>MARÇO</t>
        </is>
      </c>
      <c r="E3" s="488" t="inlineStr">
        <is>
          <t>ABRIL</t>
        </is>
      </c>
      <c r="F3" s="488" t="inlineStr">
        <is>
          <t>MAIO</t>
        </is>
      </c>
      <c r="G3" s="488" t="inlineStr">
        <is>
          <t>JUNHO</t>
        </is>
      </c>
      <c r="H3" s="488" t="inlineStr">
        <is>
          <t>JULHO</t>
        </is>
      </c>
      <c r="I3" s="488" t="inlineStr">
        <is>
          <t>AGOSTO</t>
        </is>
      </c>
      <c r="J3" s="488" t="inlineStr">
        <is>
          <t>SETEMBRO</t>
        </is>
      </c>
      <c r="K3" s="488" t="inlineStr">
        <is>
          <t>OUTUBRO</t>
        </is>
      </c>
      <c r="L3" s="488" t="inlineStr">
        <is>
          <t>NOVEMBRO</t>
        </is>
      </c>
      <c r="M3" s="488" t="inlineStr">
        <is>
          <t>DEZEMBRO</t>
        </is>
      </c>
      <c r="N3" s="488" t="inlineStr">
        <is>
          <t>JANEIRO</t>
        </is>
      </c>
      <c r="O3" s="488" t="inlineStr">
        <is>
          <t>FEVEREIRO</t>
        </is>
      </c>
      <c r="P3" s="489" t="inlineStr">
        <is>
          <t>MARÇO</t>
        </is>
      </c>
      <c r="Q3" s="480" t="n"/>
      <c r="R3" s="480" t="n"/>
      <c r="S3" s="480" t="n"/>
      <c r="T3" s="480" t="n"/>
      <c r="U3" s="480" t="n"/>
      <c r="V3" s="480" t="n"/>
      <c r="W3" s="480" t="n"/>
      <c r="X3" s="480" t="n"/>
      <c r="Y3" s="480" t="n"/>
      <c r="Z3" s="480" t="n"/>
    </row>
    <row r="4" ht="7.5" customHeight="1" s="398">
      <c r="A4" s="490" t="n"/>
      <c r="B4" s="491" t="n"/>
      <c r="C4" s="491" t="n"/>
      <c r="D4" s="491" t="n"/>
      <c r="E4" s="491" t="n"/>
      <c r="F4" s="491" t="n"/>
      <c r="G4" s="491" t="n"/>
      <c r="H4" s="491" t="n"/>
      <c r="I4" s="491" t="n"/>
      <c r="J4" s="491" t="n"/>
      <c r="K4" s="491" t="n"/>
      <c r="L4" s="491" t="n"/>
      <c r="M4" s="491" t="n"/>
      <c r="N4" s="491" t="n"/>
      <c r="O4" s="491" t="n"/>
      <c r="P4" s="491" t="n"/>
      <c r="Q4" s="491" t="n"/>
      <c r="R4" s="491" t="n"/>
      <c r="S4" s="491" t="n"/>
      <c r="T4" s="491" t="n"/>
      <c r="U4" s="491" t="n"/>
      <c r="V4" s="491" t="n"/>
      <c r="W4" s="491" t="n"/>
      <c r="X4" s="491" t="n"/>
      <c r="Y4" s="491" t="n"/>
      <c r="Z4" s="491" t="n"/>
    </row>
    <row r="5" ht="12.75" customHeight="1" s="398">
      <c r="A5" s="493" t="inlineStr">
        <is>
          <t>PRINCIPAL</t>
        </is>
      </c>
      <c r="B5" s="494">
        <f>B9</f>
        <v/>
      </c>
      <c r="C5" s="494">
        <f>C9</f>
        <v/>
      </c>
      <c r="D5" s="494">
        <f>D9</f>
        <v/>
      </c>
      <c r="E5" s="494">
        <f>E9</f>
        <v/>
      </c>
      <c r="F5" s="494">
        <f>F9</f>
        <v/>
      </c>
      <c r="G5" s="494">
        <f>G9</f>
        <v/>
      </c>
      <c r="H5" s="494">
        <f>H9</f>
        <v/>
      </c>
      <c r="I5" s="494">
        <f>I9</f>
        <v/>
      </c>
      <c r="J5" s="494">
        <f>J9</f>
        <v/>
      </c>
      <c r="K5" s="494">
        <f>K9</f>
        <v/>
      </c>
      <c r="L5" s="494">
        <f>L9</f>
        <v/>
      </c>
      <c r="M5" s="494">
        <f>M9</f>
        <v/>
      </c>
      <c r="N5" s="494">
        <f>N9</f>
        <v/>
      </c>
      <c r="O5" s="494">
        <f>O9</f>
        <v/>
      </c>
      <c r="P5" s="495">
        <f>P9</f>
        <v/>
      </c>
      <c r="Q5" s="480" t="n"/>
      <c r="R5" s="480">
        <f>O5+O11+O17+O23+O27</f>
        <v/>
      </c>
      <c r="S5" s="480" t="n"/>
      <c r="T5" s="480" t="n"/>
      <c r="U5" s="480" t="n"/>
      <c r="V5" s="480" t="n"/>
      <c r="W5" s="480" t="n"/>
      <c r="X5" s="480" t="n"/>
      <c r="Y5" s="480" t="n"/>
      <c r="Z5" s="480" t="n"/>
    </row>
    <row r="6" ht="12.75" customHeight="1" s="398">
      <c r="A6" s="496" t="inlineStr">
        <is>
          <t>SALDO ANTERIOR</t>
        </is>
      </c>
      <c r="B6" s="491" t="n">
        <v>596624.76</v>
      </c>
      <c r="C6" s="491">
        <f>B9</f>
        <v/>
      </c>
      <c r="D6" s="491">
        <f>C9</f>
        <v/>
      </c>
      <c r="E6" s="491">
        <f>D9</f>
        <v/>
      </c>
      <c r="F6" s="491">
        <f>E9</f>
        <v/>
      </c>
      <c r="G6" s="491">
        <f>F9</f>
        <v/>
      </c>
      <c r="H6" s="491">
        <f>G9</f>
        <v/>
      </c>
      <c r="I6" s="491">
        <f>H9</f>
        <v/>
      </c>
      <c r="J6" s="491">
        <f>I9</f>
        <v/>
      </c>
      <c r="K6" s="491">
        <f>J9</f>
        <v/>
      </c>
      <c r="L6" s="491" t="n">
        <v>0</v>
      </c>
      <c r="M6" s="491">
        <f>L9</f>
        <v/>
      </c>
      <c r="N6" s="491">
        <f>M9</f>
        <v/>
      </c>
      <c r="O6" s="491">
        <f>N9</f>
        <v/>
      </c>
      <c r="P6" s="491">
        <f>O9</f>
        <v/>
      </c>
      <c r="Q6" s="491" t="n"/>
      <c r="R6" s="491" t="n"/>
      <c r="S6" s="491" t="n"/>
      <c r="T6" s="491" t="n"/>
      <c r="U6" s="491" t="n"/>
      <c r="V6" s="491" t="n"/>
      <c r="W6" s="491" t="n"/>
      <c r="X6" s="491" t="n"/>
      <c r="Y6" s="491" t="n"/>
      <c r="Z6" s="491" t="n"/>
    </row>
    <row r="7" ht="12.75" customHeight="1" s="398">
      <c r="A7" s="496" t="inlineStr">
        <is>
          <t>RECEITA</t>
        </is>
      </c>
      <c r="B7" s="491" t="n">
        <v>197663.32</v>
      </c>
      <c r="C7" s="491" t="n">
        <v>188366.85</v>
      </c>
      <c r="D7" s="491" t="n">
        <v>189788.6</v>
      </c>
      <c r="E7" s="491" t="n">
        <v>182087.05</v>
      </c>
      <c r="F7" s="491" t="n">
        <v>184206.22</v>
      </c>
      <c r="G7" s="491" t="n">
        <v>217398.91</v>
      </c>
      <c r="H7" s="491" t="n">
        <v>232569.98</v>
      </c>
      <c r="I7" s="491" t="n">
        <v>260316.89</v>
      </c>
      <c r="J7" s="491" t="n">
        <v>282731.33</v>
      </c>
      <c r="K7" s="491" t="n">
        <v>252750.56</v>
      </c>
      <c r="L7" s="491">
        <f>414839.79</f>
        <v/>
      </c>
      <c r="M7" s="491" t="n">
        <v>312497.63</v>
      </c>
      <c r="N7" s="491" t="n">
        <v>280595.02</v>
      </c>
      <c r="O7" s="491" t="n">
        <v>204744.74</v>
      </c>
      <c r="P7" s="491" t="n"/>
      <c r="Q7" s="491" t="n"/>
      <c r="R7" s="491" t="n"/>
      <c r="S7" s="491" t="n"/>
      <c r="T7" s="491" t="n"/>
      <c r="U7" s="491" t="n"/>
      <c r="V7" s="491" t="n"/>
      <c r="W7" s="491" t="n"/>
      <c r="X7" s="491" t="n"/>
      <c r="Y7" s="491" t="n"/>
      <c r="Z7" s="491" t="n"/>
    </row>
    <row r="8" ht="12.75" customHeight="1" s="398">
      <c r="A8" s="496" t="inlineStr">
        <is>
          <t>DESPESA</t>
        </is>
      </c>
      <c r="B8" s="491" t="n">
        <v>-275101.92</v>
      </c>
      <c r="C8" s="491" t="n">
        <v>-662760.09</v>
      </c>
      <c r="D8" s="491" t="n">
        <v>-208990.8</v>
      </c>
      <c r="E8" s="491" t="n">
        <v>-195547.4</v>
      </c>
      <c r="F8" s="491" t="n">
        <v>-210961.1</v>
      </c>
      <c r="G8" s="491" t="n">
        <v>-191546.65</v>
      </c>
      <c r="H8" s="491" t="n">
        <v>-186980.45</v>
      </c>
      <c r="I8" s="491" t="n">
        <v>-204512.59</v>
      </c>
      <c r="J8" s="491" t="n">
        <v>-180953.05</v>
      </c>
      <c r="K8" s="491" t="n">
        <v>-190915.7</v>
      </c>
      <c r="L8" s="491" t="n">
        <v>-105700.48</v>
      </c>
      <c r="M8" s="491" t="n">
        <v>-210963.83</v>
      </c>
      <c r="N8" s="491" t="n">
        <v>-187580.75</v>
      </c>
      <c r="O8" s="491" t="n">
        <v>-156299.81</v>
      </c>
      <c r="P8" s="491" t="n"/>
      <c r="Q8" s="491" t="n"/>
      <c r="R8" s="491" t="n"/>
      <c r="S8" s="491" t="n"/>
      <c r="T8" s="491" t="n"/>
      <c r="U8" s="491" t="n"/>
      <c r="V8" s="491" t="n"/>
      <c r="W8" s="491" t="n"/>
      <c r="X8" s="491" t="n"/>
      <c r="Y8" s="491" t="n"/>
      <c r="Z8" s="491" t="n"/>
    </row>
    <row r="9" ht="12.75" customHeight="1" s="398">
      <c r="A9" s="496" t="inlineStr">
        <is>
          <t>SALDO ATUAL</t>
        </is>
      </c>
      <c r="B9" s="491">
        <f>SUM(B6:B8)</f>
        <v/>
      </c>
      <c r="C9" s="491">
        <f>SUM(C6:C8)</f>
        <v/>
      </c>
      <c r="D9" s="491">
        <f>SUM(D6:D8)</f>
        <v/>
      </c>
      <c r="E9" s="491">
        <f>SUM(E6:E8)</f>
        <v/>
      </c>
      <c r="F9" s="491">
        <f>SUM(F6:F8)</f>
        <v/>
      </c>
      <c r="G9" s="491">
        <f>SUM(G6:G8)</f>
        <v/>
      </c>
      <c r="H9" s="491">
        <f>SUM(H6:H8)</f>
        <v/>
      </c>
      <c r="I9" s="491">
        <f>SUM(I6:I8)</f>
        <v/>
      </c>
      <c r="J9" s="491">
        <f>SUM(J6:J8)</f>
        <v/>
      </c>
      <c r="K9" s="491">
        <f>SUM(K6:K8)</f>
        <v/>
      </c>
      <c r="L9" s="491">
        <f>SUM(L6:L8)</f>
        <v/>
      </c>
      <c r="M9" s="491">
        <f>SUM(M6:M8)</f>
        <v/>
      </c>
      <c r="N9" s="491">
        <f>SUM(N6:N8)</f>
        <v/>
      </c>
      <c r="O9" s="491">
        <f>SUM(O6:O8)</f>
        <v/>
      </c>
      <c r="P9" s="491">
        <f>SUM(P6:P8)</f>
        <v/>
      </c>
      <c r="Q9" s="491" t="n"/>
      <c r="R9" s="491" t="n"/>
      <c r="S9" s="491" t="n"/>
      <c r="T9" s="491" t="n"/>
      <c r="U9" s="491" t="n"/>
      <c r="V9" s="491" t="n"/>
      <c r="W9" s="491" t="n"/>
      <c r="X9" s="491" t="n"/>
      <c r="Y9" s="491" t="n"/>
      <c r="Z9" s="491" t="n"/>
    </row>
    <row r="10" ht="7.5" customHeight="1" s="398">
      <c r="A10" s="490" t="n"/>
      <c r="B10" s="491" t="n"/>
      <c r="C10" s="491" t="n"/>
      <c r="D10" s="491" t="n"/>
      <c r="E10" s="491" t="n"/>
      <c r="F10" s="491" t="n"/>
      <c r="G10" s="491" t="n"/>
      <c r="H10" s="491" t="n"/>
      <c r="I10" s="491" t="n"/>
      <c r="J10" s="491" t="n"/>
      <c r="K10" s="491" t="n"/>
      <c r="L10" s="491" t="n"/>
      <c r="M10" s="491" t="n"/>
      <c r="N10" s="491" t="n"/>
      <c r="O10" s="491" t="n"/>
      <c r="P10" s="491" t="n"/>
      <c r="Q10" s="491" t="n"/>
      <c r="R10" s="491" t="n"/>
      <c r="S10" s="491" t="n"/>
      <c r="T10" s="491" t="n"/>
      <c r="U10" s="491" t="n"/>
      <c r="V10" s="491" t="n"/>
      <c r="W10" s="491" t="n"/>
      <c r="X10" s="491" t="n"/>
      <c r="Y10" s="491" t="n"/>
      <c r="Z10" s="491" t="n"/>
    </row>
    <row r="11" ht="12.75" customHeight="1" s="398">
      <c r="A11" s="493" t="inlineStr">
        <is>
          <t>SALA DE EVENTOS</t>
        </is>
      </c>
      <c r="B11" s="494">
        <f>B15</f>
        <v/>
      </c>
      <c r="C11" s="494">
        <f>C15</f>
        <v/>
      </c>
      <c r="D11" s="494">
        <f>D15</f>
        <v/>
      </c>
      <c r="E11" s="494">
        <f>E15</f>
        <v/>
      </c>
      <c r="F11" s="494">
        <f>F15</f>
        <v/>
      </c>
      <c r="G11" s="494">
        <f>G15</f>
        <v/>
      </c>
      <c r="H11" s="494">
        <f>H15</f>
        <v/>
      </c>
      <c r="I11" s="494">
        <f>I15</f>
        <v/>
      </c>
      <c r="J11" s="494">
        <f>J15</f>
        <v/>
      </c>
      <c r="K11" s="494">
        <f>K15</f>
        <v/>
      </c>
      <c r="L11" s="494">
        <f>L15</f>
        <v/>
      </c>
      <c r="M11" s="494">
        <f>M15</f>
        <v/>
      </c>
      <c r="N11" s="494">
        <f>N15</f>
        <v/>
      </c>
      <c r="O11" s="494">
        <f>O15</f>
        <v/>
      </c>
      <c r="P11" s="495">
        <f>P15</f>
        <v/>
      </c>
      <c r="Q11" s="480" t="n"/>
      <c r="R11" s="480" t="n"/>
      <c r="S11" s="480" t="n"/>
      <c r="T11" s="480" t="n"/>
      <c r="U11" s="480" t="n"/>
      <c r="V11" s="480" t="n"/>
      <c r="W11" s="480" t="n"/>
      <c r="X11" s="480" t="n"/>
      <c r="Y11" s="480" t="n"/>
      <c r="Z11" s="480" t="n"/>
    </row>
    <row r="12" ht="12.75" customHeight="1" s="398">
      <c r="A12" s="496" t="inlineStr">
        <is>
          <t>SALDO ANTERIOR</t>
        </is>
      </c>
      <c r="B12" s="491" t="n">
        <v>43351.01</v>
      </c>
      <c r="C12" s="491">
        <f>B15</f>
        <v/>
      </c>
      <c r="D12" s="491">
        <f>C15</f>
        <v/>
      </c>
      <c r="E12" s="491">
        <f>D15</f>
        <v/>
      </c>
      <c r="F12" s="491">
        <f>E15</f>
        <v/>
      </c>
      <c r="G12" s="491">
        <f>F15</f>
        <v/>
      </c>
      <c r="H12" s="491">
        <f>G15</f>
        <v/>
      </c>
      <c r="I12" s="491">
        <f>H15</f>
        <v/>
      </c>
      <c r="J12" s="491">
        <f>I15</f>
        <v/>
      </c>
      <c r="K12" s="491">
        <f>J15</f>
        <v/>
      </c>
      <c r="L12" s="491">
        <f>K15</f>
        <v/>
      </c>
      <c r="M12" s="491">
        <f>L15</f>
        <v/>
      </c>
      <c r="N12" s="491">
        <f>M15</f>
        <v/>
      </c>
      <c r="O12" s="491">
        <f>N15</f>
        <v/>
      </c>
      <c r="P12" s="491">
        <f>O15</f>
        <v/>
      </c>
      <c r="Q12" s="491" t="n"/>
      <c r="R12" s="491" t="n"/>
      <c r="S12" s="491" t="n"/>
      <c r="T12" s="491" t="n"/>
      <c r="U12" s="491" t="n"/>
      <c r="V12" s="491" t="n"/>
      <c r="W12" s="491" t="n"/>
      <c r="X12" s="491" t="n"/>
      <c r="Y12" s="491" t="n"/>
      <c r="Z12" s="491" t="n"/>
    </row>
    <row r="13" ht="12.75" customHeight="1" s="398">
      <c r="A13" s="496" t="inlineStr">
        <is>
          <t>RECEITA</t>
        </is>
      </c>
      <c r="B13" s="491" t="n">
        <v>3100</v>
      </c>
      <c r="C13" s="491" t="n">
        <v>1900</v>
      </c>
      <c r="D13" s="491" t="n">
        <v>2100</v>
      </c>
      <c r="E13" s="491" t="n">
        <v>1600</v>
      </c>
      <c r="F13" s="491" t="n">
        <v>4300</v>
      </c>
      <c r="G13" s="491" t="n">
        <v>4300</v>
      </c>
      <c r="H13" s="491" t="n">
        <v>2600</v>
      </c>
      <c r="I13" s="491" t="n">
        <v>3450</v>
      </c>
      <c r="J13" s="491" t="n">
        <v>4220.91</v>
      </c>
      <c r="K13" s="491" t="n">
        <v>3500</v>
      </c>
      <c r="L13" s="491">
        <f>71371.92-L12</f>
        <v/>
      </c>
      <c r="M13" s="491" t="n">
        <v>8005.11</v>
      </c>
      <c r="N13" s="491" t="n">
        <v>5660.17</v>
      </c>
      <c r="O13" s="491" t="n">
        <v>4508.2</v>
      </c>
      <c r="P13" s="491" t="n"/>
      <c r="Q13" s="491" t="n"/>
      <c r="R13" s="491" t="n"/>
      <c r="S13" s="491" t="n"/>
      <c r="T13" s="491" t="n"/>
      <c r="U13" s="491" t="n"/>
      <c r="V13" s="491" t="n"/>
      <c r="W13" s="491" t="n"/>
      <c r="X13" s="491" t="n"/>
      <c r="Y13" s="491" t="n"/>
      <c r="Z13" s="491" t="n"/>
    </row>
    <row r="14" ht="12.75" customHeight="1" s="398">
      <c r="A14" s="496" t="inlineStr">
        <is>
          <t>DESPESA</t>
        </is>
      </c>
      <c r="B14" s="491" t="n">
        <v>0</v>
      </c>
      <c r="C14" s="491" t="n">
        <v>0</v>
      </c>
      <c r="D14" s="491" t="n">
        <v>0</v>
      </c>
      <c r="E14" s="491" t="n">
        <v>0</v>
      </c>
      <c r="F14" s="491" t="n">
        <v>0</v>
      </c>
      <c r="G14" s="491" t="n">
        <v>0</v>
      </c>
      <c r="H14" s="491" t="n">
        <v>-5900</v>
      </c>
      <c r="I14" s="491" t="n">
        <v>0</v>
      </c>
      <c r="J14" s="491" t="n">
        <v>-200</v>
      </c>
      <c r="K14" s="491" t="n">
        <v>0</v>
      </c>
      <c r="L14" s="491" t="n">
        <v>0</v>
      </c>
      <c r="M14" s="491" t="n">
        <v>0</v>
      </c>
      <c r="N14" s="491" t="n">
        <v>0</v>
      </c>
      <c r="O14" s="491" t="n">
        <v>0</v>
      </c>
      <c r="P14" s="491" t="n"/>
      <c r="Q14" s="491" t="n"/>
      <c r="R14" s="491" t="n"/>
      <c r="S14" s="491" t="n"/>
      <c r="T14" s="491" t="n"/>
      <c r="U14" s="491" t="n"/>
      <c r="V14" s="491" t="n"/>
      <c r="W14" s="491" t="n"/>
      <c r="X14" s="491" t="n"/>
      <c r="Y14" s="491" t="n"/>
      <c r="Z14" s="491" t="n"/>
    </row>
    <row r="15" ht="12.75" customHeight="1" s="398">
      <c r="A15" s="496" t="inlineStr">
        <is>
          <t>SALDO ATUAL</t>
        </is>
      </c>
      <c r="B15" s="491">
        <f>SUM(B12:B14)</f>
        <v/>
      </c>
      <c r="C15" s="491">
        <f>SUM(C12:C14)</f>
        <v/>
      </c>
      <c r="D15" s="491">
        <f>SUM(D12:D14)</f>
        <v/>
      </c>
      <c r="E15" s="491">
        <f>SUM(E12:E14)</f>
        <v/>
      </c>
      <c r="F15" s="491">
        <f>SUM(F12:F14)</f>
        <v/>
      </c>
      <c r="G15" s="491">
        <f>SUM(G12:G14)</f>
        <v/>
      </c>
      <c r="H15" s="491">
        <f>SUM(H12:H14)</f>
        <v/>
      </c>
      <c r="I15" s="491">
        <f>SUM(I12:I14)</f>
        <v/>
      </c>
      <c r="J15" s="491">
        <f>SUM(J12:J14)</f>
        <v/>
      </c>
      <c r="K15" s="491">
        <f>SUM(K12:K14)</f>
        <v/>
      </c>
      <c r="L15" s="491">
        <f>SUM(L12:L14)</f>
        <v/>
      </c>
      <c r="M15" s="491">
        <f>SUM(M12:M14)</f>
        <v/>
      </c>
      <c r="N15" s="491">
        <f>SUM(N12:N14)</f>
        <v/>
      </c>
      <c r="O15" s="491">
        <f>SUM(O12:O14)</f>
        <v/>
      </c>
      <c r="P15" s="491">
        <f>SUM(P12:P14)</f>
        <v/>
      </c>
      <c r="Q15" s="491" t="n"/>
      <c r="R15" s="491" t="n"/>
      <c r="S15" s="491" t="n"/>
      <c r="T15" s="491" t="n"/>
      <c r="U15" s="491" t="n"/>
      <c r="V15" s="491" t="n"/>
      <c r="W15" s="491" t="n"/>
      <c r="X15" s="491" t="n"/>
      <c r="Y15" s="491" t="n"/>
      <c r="Z15" s="491" t="n"/>
    </row>
    <row r="16" ht="7.5" customHeight="1" s="398">
      <c r="A16" s="490" t="n"/>
      <c r="B16" s="491" t="n"/>
      <c r="C16" s="491" t="n"/>
      <c r="D16" s="491" t="n"/>
      <c r="E16" s="491" t="n"/>
      <c r="F16" s="491" t="n"/>
      <c r="G16" s="491" t="n"/>
      <c r="H16" s="491" t="n"/>
      <c r="I16" s="491" t="n"/>
      <c r="J16" s="491" t="n"/>
      <c r="K16" s="491" t="n"/>
      <c r="L16" s="491" t="n"/>
      <c r="M16" s="491" t="n"/>
      <c r="N16" s="491" t="n"/>
      <c r="O16" s="491" t="n"/>
      <c r="P16" s="491" t="n"/>
      <c r="Q16" s="491" t="n"/>
      <c r="R16" s="491" t="n"/>
      <c r="S16" s="491" t="n"/>
      <c r="T16" s="491" t="n"/>
      <c r="U16" s="491" t="n"/>
      <c r="V16" s="491" t="n"/>
      <c r="W16" s="491" t="n"/>
      <c r="X16" s="491" t="n"/>
      <c r="Y16" s="491" t="n"/>
      <c r="Z16" s="491" t="n"/>
    </row>
    <row r="17" ht="12.75" customHeight="1" s="398">
      <c r="A17" s="493" t="inlineStr">
        <is>
          <t>ESTACIONAMENTO</t>
        </is>
      </c>
      <c r="B17" s="494">
        <f>B21</f>
        <v/>
      </c>
      <c r="C17" s="494">
        <f>C21</f>
        <v/>
      </c>
      <c r="D17" s="494">
        <f>D21</f>
        <v/>
      </c>
      <c r="E17" s="494">
        <f>E21</f>
        <v/>
      </c>
      <c r="F17" s="494">
        <f>F21</f>
        <v/>
      </c>
      <c r="G17" s="494">
        <f>G21</f>
        <v/>
      </c>
      <c r="H17" s="494">
        <f>H21</f>
        <v/>
      </c>
      <c r="I17" s="494">
        <f>I21</f>
        <v/>
      </c>
      <c r="J17" s="494">
        <f>J21</f>
        <v/>
      </c>
      <c r="K17" s="494">
        <f>K21</f>
        <v/>
      </c>
      <c r="L17" s="494">
        <f>L21</f>
        <v/>
      </c>
      <c r="M17" s="494">
        <f>M21</f>
        <v/>
      </c>
      <c r="N17" s="494">
        <f>N21</f>
        <v/>
      </c>
      <c r="O17" s="494">
        <f>O21</f>
        <v/>
      </c>
      <c r="P17" s="495">
        <f>P21</f>
        <v/>
      </c>
      <c r="Q17" s="480" t="n"/>
      <c r="R17" s="480" t="n"/>
      <c r="S17" s="480" t="n"/>
      <c r="T17" s="480" t="n"/>
      <c r="U17" s="480" t="n"/>
      <c r="V17" s="480" t="n"/>
      <c r="W17" s="480" t="n"/>
      <c r="X17" s="480" t="n"/>
      <c r="Y17" s="480" t="n"/>
      <c r="Z17" s="480" t="n"/>
    </row>
    <row r="18" ht="12.75" customHeight="1" s="398">
      <c r="A18" s="496" t="inlineStr">
        <is>
          <t>SALDO ANTERIOR</t>
        </is>
      </c>
      <c r="B18" s="491" t="n">
        <v>171252.87</v>
      </c>
      <c r="C18" s="491">
        <f>B21</f>
        <v/>
      </c>
      <c r="D18" s="491">
        <f>C21</f>
        <v/>
      </c>
      <c r="E18" s="491">
        <f>D21</f>
        <v/>
      </c>
      <c r="F18" s="491">
        <f>E21</f>
        <v/>
      </c>
      <c r="G18" s="491">
        <f>F21</f>
        <v/>
      </c>
      <c r="H18" s="491">
        <f>G21</f>
        <v/>
      </c>
      <c r="I18" s="491">
        <f>H21</f>
        <v/>
      </c>
      <c r="J18" s="491">
        <f>I21</f>
        <v/>
      </c>
      <c r="K18" s="491">
        <f>J21</f>
        <v/>
      </c>
      <c r="L18" s="491">
        <f>K21</f>
        <v/>
      </c>
      <c r="M18" s="491">
        <f>L21</f>
        <v/>
      </c>
      <c r="N18" s="491">
        <f>M21</f>
        <v/>
      </c>
      <c r="O18" s="491">
        <f>N21</f>
        <v/>
      </c>
      <c r="P18" s="491">
        <f>O21</f>
        <v/>
      </c>
      <c r="Q18" s="491" t="n"/>
      <c r="R18" s="491" t="n"/>
      <c r="S18" s="491" t="n"/>
      <c r="T18" s="491" t="n"/>
      <c r="U18" s="491" t="n"/>
      <c r="V18" s="491" t="n"/>
      <c r="W18" s="491" t="n"/>
      <c r="X18" s="491" t="n"/>
      <c r="Y18" s="491" t="n"/>
      <c r="Z18" s="491" t="n"/>
    </row>
    <row r="19" ht="12.75" customHeight="1" s="398">
      <c r="A19" s="496" t="inlineStr">
        <is>
          <t>RECEITA</t>
        </is>
      </c>
      <c r="B19" s="491" t="n">
        <v>6479</v>
      </c>
      <c r="C19" s="491" t="n">
        <v>6061</v>
      </c>
      <c r="D19" s="491" t="n">
        <v>6479</v>
      </c>
      <c r="E19" s="491" t="n">
        <v>6688</v>
      </c>
      <c r="F19" s="491" t="n">
        <v>6897</v>
      </c>
      <c r="G19" s="491" t="n">
        <v>7524</v>
      </c>
      <c r="H19" s="491" t="n">
        <v>7315</v>
      </c>
      <c r="I19" s="491" t="n">
        <v>7524</v>
      </c>
      <c r="J19" s="491" t="n">
        <v>8327.139999999999</v>
      </c>
      <c r="K19" s="491" t="n">
        <v>9581</v>
      </c>
      <c r="L19" s="491">
        <f>34038.26-L18</f>
        <v/>
      </c>
      <c r="M19" s="491" t="n">
        <v>9210.83</v>
      </c>
      <c r="N19" s="491" t="n">
        <v>10263.2</v>
      </c>
      <c r="O19" s="491" t="n">
        <v>7963.47</v>
      </c>
      <c r="P19" s="491" t="n"/>
      <c r="Q19" s="491" t="n"/>
      <c r="R19" s="491" t="n"/>
      <c r="S19" s="491" t="n"/>
      <c r="T19" s="491" t="n"/>
      <c r="U19" s="491" t="n"/>
      <c r="V19" s="491" t="n"/>
      <c r="W19" s="491" t="n"/>
      <c r="X19" s="491" t="n"/>
      <c r="Y19" s="491" t="n"/>
      <c r="Z19" s="491" t="n"/>
    </row>
    <row r="20" ht="12.75" customHeight="1" s="398">
      <c r="A20" s="496" t="inlineStr">
        <is>
          <t>DESPESA</t>
        </is>
      </c>
      <c r="B20" s="491" t="n">
        <v>0</v>
      </c>
      <c r="C20" s="491" t="n">
        <v>-183792.87</v>
      </c>
      <c r="D20" s="491" t="n">
        <v>0</v>
      </c>
      <c r="E20" s="491" t="n">
        <v>0</v>
      </c>
      <c r="F20" s="491" t="n">
        <v>0</v>
      </c>
      <c r="G20" s="491" t="n">
        <v>-17328.44</v>
      </c>
      <c r="H20" s="491" t="n">
        <v>-17328.44</v>
      </c>
      <c r="I20" s="491" t="n">
        <v>0</v>
      </c>
      <c r="J20" s="491" t="n">
        <v>0</v>
      </c>
      <c r="K20" s="491" t="n">
        <v>0</v>
      </c>
      <c r="L20" s="491" t="n">
        <v>0</v>
      </c>
      <c r="M20" s="491" t="n">
        <v>0</v>
      </c>
      <c r="N20" s="491" t="n">
        <v>0</v>
      </c>
      <c r="O20" s="491" t="n">
        <v>0</v>
      </c>
      <c r="P20" s="491" t="n"/>
      <c r="Q20" s="491" t="n"/>
      <c r="R20" s="491" t="n"/>
      <c r="S20" s="491" t="n"/>
      <c r="T20" s="491" t="n"/>
      <c r="U20" s="491" t="n"/>
      <c r="V20" s="491" t="n"/>
      <c r="W20" s="491" t="n"/>
      <c r="X20" s="491" t="n"/>
      <c r="Y20" s="491" t="n"/>
      <c r="Z20" s="491" t="n"/>
    </row>
    <row r="21" ht="12.75" customHeight="1" s="398">
      <c r="A21" s="496" t="inlineStr">
        <is>
          <t>SALDO ATUAL</t>
        </is>
      </c>
      <c r="B21" s="491">
        <f>SUM(B18:B20)</f>
        <v/>
      </c>
      <c r="C21" s="491">
        <f>SUM(C18:C20)</f>
        <v/>
      </c>
      <c r="D21" s="491">
        <f>SUM(D18:D20)</f>
        <v/>
      </c>
      <c r="E21" s="491">
        <f>SUM(E18:E20)</f>
        <v/>
      </c>
      <c r="F21" s="491">
        <f>SUM(F18:F20)</f>
        <v/>
      </c>
      <c r="G21" s="491">
        <f>SUM(G18:G20)</f>
        <v/>
      </c>
      <c r="H21" s="491">
        <f>SUM(H18:H20)</f>
        <v/>
      </c>
      <c r="I21" s="491">
        <f>SUM(I18:I20)</f>
        <v/>
      </c>
      <c r="J21" s="491">
        <f>SUM(J18:J20)</f>
        <v/>
      </c>
      <c r="K21" s="491">
        <f>SUM(K18:K20)</f>
        <v/>
      </c>
      <c r="L21" s="491">
        <f>SUM(L18:L20)</f>
        <v/>
      </c>
      <c r="M21" s="491">
        <f>SUM(M18:M20)</f>
        <v/>
      </c>
      <c r="N21" s="491">
        <f>SUM(N18:N20)</f>
        <v/>
      </c>
      <c r="O21" s="491">
        <f>SUM(O18:O20)</f>
        <v/>
      </c>
      <c r="P21" s="491">
        <f>SUM(P18:P20)</f>
        <v/>
      </c>
      <c r="Q21" s="491" t="n"/>
      <c r="R21" s="491" t="n"/>
      <c r="S21" s="491" t="n"/>
      <c r="T21" s="491" t="n"/>
      <c r="U21" s="491" t="n"/>
      <c r="V21" s="491" t="n"/>
      <c r="W21" s="491" t="n"/>
      <c r="X21" s="491" t="n"/>
      <c r="Y21" s="491" t="n"/>
      <c r="Z21" s="491" t="n"/>
    </row>
    <row r="22" ht="7.5" customHeight="1" s="398">
      <c r="A22" s="490" t="n"/>
      <c r="B22" s="491" t="n"/>
      <c r="C22" s="491" t="n"/>
      <c r="D22" s="491" t="n"/>
      <c r="E22" s="491" t="n"/>
      <c r="F22" s="491" t="n"/>
      <c r="G22" s="491" t="n"/>
      <c r="H22" s="491" t="n"/>
      <c r="I22" s="491" t="n"/>
      <c r="J22" s="491" t="n"/>
      <c r="K22" s="491" t="n"/>
      <c r="L22" s="491" t="n"/>
      <c r="M22" s="491" t="n"/>
      <c r="N22" s="491" t="n"/>
      <c r="O22" s="491" t="n"/>
      <c r="P22" s="491" t="n"/>
      <c r="Q22" s="491" t="n"/>
      <c r="R22" s="491" t="n"/>
      <c r="S22" s="491" t="n"/>
      <c r="T22" s="491" t="n"/>
      <c r="U22" s="491" t="n"/>
      <c r="V22" s="491" t="n"/>
      <c r="W22" s="491" t="n"/>
      <c r="X22" s="491" t="n"/>
      <c r="Y22" s="491" t="n"/>
      <c r="Z22" s="491" t="n"/>
    </row>
    <row r="23" ht="12.75" customHeight="1" s="398">
      <c r="A23" s="493" t="inlineStr">
        <is>
          <t>INADIMPLÊNCIA</t>
        </is>
      </c>
      <c r="B23" s="494">
        <f>B25</f>
        <v/>
      </c>
      <c r="C23" s="494">
        <f>C25</f>
        <v/>
      </c>
      <c r="D23" s="494">
        <f>D25</f>
        <v/>
      </c>
      <c r="E23" s="494">
        <f>E25</f>
        <v/>
      </c>
      <c r="F23" s="494">
        <f>F25</f>
        <v/>
      </c>
      <c r="G23" s="494">
        <f>G25</f>
        <v/>
      </c>
      <c r="H23" s="494">
        <f>H25</f>
        <v/>
      </c>
      <c r="I23" s="494">
        <f>I25</f>
        <v/>
      </c>
      <c r="J23" s="494">
        <f>J25</f>
        <v/>
      </c>
      <c r="K23" s="494">
        <f>K25</f>
        <v/>
      </c>
      <c r="L23" s="494">
        <f>L25</f>
        <v/>
      </c>
      <c r="M23" s="494">
        <f>M25</f>
        <v/>
      </c>
      <c r="N23" s="494">
        <f>N25</f>
        <v/>
      </c>
      <c r="O23" s="494">
        <f>O25</f>
        <v/>
      </c>
      <c r="P23" s="495">
        <f>P25</f>
        <v/>
      </c>
      <c r="Q23" s="480" t="n"/>
      <c r="R23" s="480" t="n"/>
      <c r="S23" s="480" t="n"/>
      <c r="T23" s="480" t="n"/>
      <c r="U23" s="480" t="n"/>
      <c r="V23" s="480" t="n"/>
      <c r="W23" s="480" t="n"/>
      <c r="X23" s="480" t="n"/>
      <c r="Y23" s="480" t="n"/>
      <c r="Z23" s="480" t="n"/>
    </row>
    <row r="24" ht="12.75" customHeight="1" s="398">
      <c r="A24" s="496" t="inlineStr">
        <is>
          <t>SALDO ANTERIOR</t>
        </is>
      </c>
      <c r="B24" s="491" t="n">
        <v>4607.91</v>
      </c>
      <c r="C24" s="491">
        <f>B25</f>
        <v/>
      </c>
      <c r="D24" s="491">
        <f>C25</f>
        <v/>
      </c>
      <c r="E24" s="491">
        <f>D25</f>
        <v/>
      </c>
      <c r="F24" s="491">
        <f>E25</f>
        <v/>
      </c>
      <c r="G24" s="491">
        <f>F25</f>
        <v/>
      </c>
      <c r="H24" s="491">
        <f>G25</f>
        <v/>
      </c>
      <c r="I24" s="491">
        <f>H25</f>
        <v/>
      </c>
      <c r="J24" s="491">
        <f>I25</f>
        <v/>
      </c>
      <c r="K24" s="491">
        <f>J25</f>
        <v/>
      </c>
      <c r="L24" s="491">
        <f>K25</f>
        <v/>
      </c>
      <c r="M24" s="491">
        <f>L25</f>
        <v/>
      </c>
      <c r="N24" s="491">
        <f>M25</f>
        <v/>
      </c>
      <c r="O24" s="491">
        <f>N25</f>
        <v/>
      </c>
      <c r="P24" s="491">
        <f>O25</f>
        <v/>
      </c>
      <c r="Q24" s="491" t="n"/>
      <c r="R24" s="491" t="n"/>
      <c r="S24" s="491" t="n"/>
      <c r="T24" s="491" t="n"/>
      <c r="U24" s="491" t="n"/>
      <c r="V24" s="491" t="n"/>
      <c r="W24" s="491" t="n"/>
      <c r="X24" s="491" t="n"/>
      <c r="Y24" s="491" t="n"/>
      <c r="Z24" s="491" t="n"/>
    </row>
    <row r="25" ht="12.75" customHeight="1" s="398">
      <c r="A25" s="496" t="inlineStr">
        <is>
          <t>SALDO ATUAL</t>
        </is>
      </c>
      <c r="B25" s="491" t="n">
        <v>4607.91</v>
      </c>
      <c r="C25" s="491" t="n">
        <v>4607.91</v>
      </c>
      <c r="D25" s="491" t="n">
        <v>4607.91</v>
      </c>
      <c r="E25" s="491" t="n">
        <v>4607.91</v>
      </c>
      <c r="F25" s="491" t="n">
        <v>4607.91</v>
      </c>
      <c r="G25" s="491" t="n">
        <v>4607.91</v>
      </c>
      <c r="H25" s="491">
        <f>H24+250.62</f>
        <v/>
      </c>
      <c r="I25" s="491">
        <f>I24+359.99</f>
        <v/>
      </c>
      <c r="J25" s="491">
        <f>J24+359.99</f>
        <v/>
      </c>
      <c r="K25" s="491">
        <f>K24+420.47</f>
        <v/>
      </c>
      <c r="L25" s="491" t="n">
        <v>6358.97</v>
      </c>
      <c r="M25" s="491" t="n">
        <v>6358.97</v>
      </c>
      <c r="N25" s="491" t="n">
        <v>6358.97</v>
      </c>
      <c r="O25" s="491" t="n">
        <v>6358.97</v>
      </c>
      <c r="P25" s="491" t="n"/>
      <c r="Q25" s="491" t="n"/>
      <c r="R25" s="491" t="n"/>
      <c r="S25" s="491" t="n"/>
      <c r="T25" s="491" t="n"/>
      <c r="U25" s="491" t="n"/>
      <c r="V25" s="491" t="n"/>
      <c r="W25" s="491" t="n"/>
      <c r="X25" s="491" t="n"/>
      <c r="Y25" s="491" t="n"/>
      <c r="Z25" s="491" t="n"/>
    </row>
    <row r="26" ht="7.5" customHeight="1" s="398">
      <c r="A26" s="490" t="n"/>
      <c r="B26" s="491" t="n"/>
      <c r="C26" s="491" t="n"/>
      <c r="D26" s="491" t="n"/>
      <c r="E26" s="491" t="n"/>
      <c r="F26" s="491" t="n"/>
      <c r="G26" s="491" t="n"/>
      <c r="H26" s="491" t="n"/>
      <c r="I26" s="491" t="n"/>
      <c r="J26" s="491" t="n"/>
      <c r="K26" s="491" t="n"/>
      <c r="L26" s="491" t="n"/>
      <c r="M26" s="491" t="n"/>
      <c r="N26" s="491" t="n"/>
      <c r="O26" s="491" t="n"/>
      <c r="P26" s="491" t="n"/>
      <c r="Q26" s="491" t="n"/>
      <c r="R26" s="491" t="n"/>
      <c r="S26" s="491" t="n"/>
      <c r="T26" s="491" t="n"/>
      <c r="U26" s="491" t="n"/>
      <c r="V26" s="491" t="n"/>
      <c r="W26" s="491" t="n"/>
      <c r="X26" s="491" t="n"/>
      <c r="Y26" s="491" t="n"/>
      <c r="Z26" s="491" t="n"/>
    </row>
    <row r="27" ht="12.75" customHeight="1" s="398">
      <c r="A27" s="493" t="inlineStr">
        <is>
          <t>FUNDO DE RESERVA</t>
        </is>
      </c>
      <c r="B27" s="494">
        <f>B29</f>
        <v/>
      </c>
      <c r="C27" s="494">
        <f>C29</f>
        <v/>
      </c>
      <c r="D27" s="494">
        <f>D29</f>
        <v/>
      </c>
      <c r="E27" s="494">
        <f>E29</f>
        <v/>
      </c>
      <c r="F27" s="494">
        <f>F29</f>
        <v/>
      </c>
      <c r="G27" s="494">
        <f>G29</f>
        <v/>
      </c>
      <c r="H27" s="494">
        <f>H29</f>
        <v/>
      </c>
      <c r="I27" s="494">
        <f>I29</f>
        <v/>
      </c>
      <c r="J27" s="494">
        <f>J29</f>
        <v/>
      </c>
      <c r="K27" s="494">
        <f>K29</f>
        <v/>
      </c>
      <c r="L27" s="494">
        <f>L29</f>
        <v/>
      </c>
      <c r="M27" s="494">
        <f>M29</f>
        <v/>
      </c>
      <c r="N27" s="494">
        <f>N29</f>
        <v/>
      </c>
      <c r="O27" s="494">
        <f>O29</f>
        <v/>
      </c>
      <c r="P27" s="495">
        <f>P29</f>
        <v/>
      </c>
      <c r="Q27" s="480" t="n"/>
      <c r="R27" s="480" t="n"/>
      <c r="S27" s="480" t="n"/>
      <c r="T27" s="480" t="n"/>
      <c r="U27" s="480" t="n"/>
      <c r="V27" s="480" t="n"/>
      <c r="W27" s="480" t="n"/>
      <c r="X27" s="480" t="n"/>
      <c r="Y27" s="480" t="n"/>
      <c r="Z27" s="480" t="n"/>
    </row>
    <row r="28" ht="12.75" customHeight="1" s="398">
      <c r="A28" s="496" t="inlineStr">
        <is>
          <t>SALDO ANTERIOR</t>
        </is>
      </c>
      <c r="B28" s="491" t="n">
        <v>3187.37</v>
      </c>
      <c r="C28" s="491">
        <f>B29</f>
        <v/>
      </c>
      <c r="D28" s="491">
        <f>C29</f>
        <v/>
      </c>
      <c r="E28" s="491">
        <f>D29</f>
        <v/>
      </c>
      <c r="F28" s="491">
        <f>E29</f>
        <v/>
      </c>
      <c r="G28" s="491">
        <f>F29</f>
        <v/>
      </c>
      <c r="H28" s="491">
        <f>G29</f>
        <v/>
      </c>
      <c r="I28" s="491">
        <f>H29</f>
        <v/>
      </c>
      <c r="J28" s="491">
        <f>I29</f>
        <v/>
      </c>
      <c r="K28" s="491">
        <f>J29</f>
        <v/>
      </c>
      <c r="L28" s="491">
        <f>K29</f>
        <v/>
      </c>
      <c r="M28" s="491">
        <f>L29</f>
        <v/>
      </c>
      <c r="N28" s="491">
        <f>M29</f>
        <v/>
      </c>
      <c r="O28" s="491">
        <f>N29</f>
        <v/>
      </c>
      <c r="P28" s="491">
        <f>O29</f>
        <v/>
      </c>
      <c r="Q28" s="491" t="n"/>
      <c r="R28" s="491" t="n"/>
      <c r="S28" s="491" t="n"/>
      <c r="T28" s="491" t="n"/>
      <c r="U28" s="491" t="n"/>
      <c r="V28" s="491" t="n"/>
      <c r="W28" s="491" t="n"/>
      <c r="X28" s="491" t="n"/>
      <c r="Y28" s="491" t="n"/>
      <c r="Z28" s="491" t="n"/>
    </row>
    <row r="29" ht="12.75" customHeight="1" s="398">
      <c r="A29" s="496" t="inlineStr">
        <is>
          <t>SALDO ATUAL</t>
        </is>
      </c>
      <c r="B29" s="491" t="n">
        <v>3187.37</v>
      </c>
      <c r="C29" s="491" t="n">
        <v>3187.37</v>
      </c>
      <c r="D29" s="491" t="n">
        <v>3187.37</v>
      </c>
      <c r="E29" s="491" t="n">
        <v>3187.37</v>
      </c>
      <c r="F29" s="491" t="n">
        <v>3187.37</v>
      </c>
      <c r="G29" s="491" t="n">
        <v>3187.37</v>
      </c>
      <c r="H29" s="491">
        <f>H28+221.96</f>
        <v/>
      </c>
      <c r="I29" s="491">
        <f>I28+271.46</f>
        <v/>
      </c>
      <c r="J29" s="491">
        <f>J28+271.46</f>
        <v/>
      </c>
      <c r="K29" s="491">
        <f>K28+298.94</f>
        <v/>
      </c>
      <c r="L29" s="491" t="n">
        <v>4522.65</v>
      </c>
      <c r="M29" s="491" t="n">
        <v>4522.65</v>
      </c>
      <c r="N29" s="491" t="n">
        <v>4522.65</v>
      </c>
      <c r="O29" s="491" t="n">
        <v>4522.65</v>
      </c>
      <c r="P29" s="491" t="n"/>
      <c r="Q29" s="491" t="n"/>
      <c r="R29" s="491" t="n"/>
      <c r="S29" s="491" t="n"/>
      <c r="T29" s="491" t="n"/>
      <c r="U29" s="491" t="n"/>
      <c r="V29" s="491" t="n"/>
      <c r="W29" s="491" t="n"/>
      <c r="X29" s="491" t="n"/>
      <c r="Y29" s="491" t="n"/>
      <c r="Z29" s="491" t="n"/>
    </row>
    <row r="30" ht="7.5" customHeight="1" s="398">
      <c r="A30" s="490" t="n"/>
      <c r="B30" s="491" t="n"/>
      <c r="C30" s="491" t="n"/>
      <c r="D30" s="491" t="n"/>
      <c r="E30" s="491" t="n"/>
      <c r="F30" s="491" t="n"/>
      <c r="G30" s="491" t="n"/>
      <c r="H30" s="491" t="n"/>
      <c r="I30" s="491" t="n"/>
      <c r="J30" s="491" t="n"/>
      <c r="K30" s="491" t="n"/>
      <c r="L30" s="491" t="n"/>
      <c r="M30" s="491" t="n"/>
      <c r="N30" s="491" t="n"/>
      <c r="O30" s="491" t="n"/>
      <c r="P30" s="491" t="n"/>
      <c r="Q30" s="491" t="n"/>
      <c r="R30" s="491" t="n"/>
      <c r="S30" s="491" t="n"/>
      <c r="T30" s="491" t="n"/>
      <c r="U30" s="491" t="n"/>
      <c r="V30" s="491" t="n"/>
      <c r="W30" s="491" t="n"/>
      <c r="X30" s="491" t="n"/>
      <c r="Y30" s="491" t="n"/>
      <c r="Z30" s="491" t="n"/>
    </row>
    <row r="31" ht="12.75" customHeight="1" s="398">
      <c r="A31" s="493" t="inlineStr">
        <is>
          <t>BRADESCO</t>
        </is>
      </c>
      <c r="B31" s="494">
        <f>B33</f>
        <v/>
      </c>
      <c r="C31" s="494">
        <f>C33</f>
        <v/>
      </c>
      <c r="D31" s="494">
        <f>D33</f>
        <v/>
      </c>
      <c r="E31" s="494">
        <f>E33</f>
        <v/>
      </c>
      <c r="F31" s="494">
        <f>F33</f>
        <v/>
      </c>
      <c r="G31" s="494">
        <f>G33</f>
        <v/>
      </c>
      <c r="H31" s="494">
        <f>H33</f>
        <v/>
      </c>
      <c r="I31" s="494">
        <f>I33</f>
        <v/>
      </c>
      <c r="J31" s="494">
        <f>J33</f>
        <v/>
      </c>
      <c r="K31" s="494">
        <f>K33</f>
        <v/>
      </c>
      <c r="L31" s="494">
        <f>L33</f>
        <v/>
      </c>
      <c r="M31" s="494">
        <f>M33</f>
        <v/>
      </c>
      <c r="N31" s="494">
        <f>N33</f>
        <v/>
      </c>
      <c r="O31" s="494">
        <f>O33</f>
        <v/>
      </c>
      <c r="P31" s="495">
        <f>P33</f>
        <v/>
      </c>
      <c r="Q31" s="480" t="n"/>
      <c r="R31" s="480" t="n"/>
      <c r="S31" s="480" t="n"/>
      <c r="T31" s="480" t="n"/>
      <c r="U31" s="480" t="n"/>
      <c r="V31" s="480" t="n"/>
      <c r="W31" s="480" t="n"/>
      <c r="X31" s="480" t="n"/>
      <c r="Y31" s="480" t="n"/>
      <c r="Z31" s="480" t="n"/>
    </row>
    <row r="32" ht="12.75" customHeight="1" s="398">
      <c r="A32" s="496" t="inlineStr">
        <is>
          <t>SALDO ANTERIOR</t>
        </is>
      </c>
      <c r="B32" s="491" t="n">
        <v>387344.88</v>
      </c>
      <c r="C32" s="491">
        <f>B33</f>
        <v/>
      </c>
      <c r="D32" s="491">
        <f>C33</f>
        <v/>
      </c>
      <c r="E32" s="491">
        <f>D33</f>
        <v/>
      </c>
      <c r="F32" s="491">
        <f>E33</f>
        <v/>
      </c>
      <c r="G32" s="491">
        <f>F33</f>
        <v/>
      </c>
      <c r="H32" s="491">
        <f>G33</f>
        <v/>
      </c>
      <c r="I32" s="491">
        <f>H33</f>
        <v/>
      </c>
      <c r="J32" s="491">
        <f>I33</f>
        <v/>
      </c>
      <c r="K32" s="491">
        <f>J33</f>
        <v/>
      </c>
      <c r="L32" s="491">
        <f>K33</f>
        <v/>
      </c>
      <c r="M32" s="491">
        <f>L33</f>
        <v/>
      </c>
      <c r="N32" s="491">
        <f>M33</f>
        <v/>
      </c>
      <c r="O32" s="491">
        <f>N33</f>
        <v/>
      </c>
      <c r="P32" s="491">
        <f>O33</f>
        <v/>
      </c>
      <c r="Q32" s="491" t="n"/>
      <c r="R32" s="491" t="n"/>
      <c r="S32" s="491" t="n"/>
      <c r="T32" s="491" t="n"/>
      <c r="U32" s="491" t="n"/>
      <c r="V32" s="491" t="n"/>
      <c r="W32" s="491" t="n"/>
      <c r="X32" s="491" t="n"/>
      <c r="Y32" s="491" t="n"/>
      <c r="Z32" s="491" t="n"/>
    </row>
    <row r="33" ht="12.75" customHeight="1" s="398">
      <c r="A33" s="496" t="inlineStr">
        <is>
          <t>SALDO ATUAL</t>
        </is>
      </c>
      <c r="B33" s="491">
        <f>287388.77+104679.76</f>
        <v/>
      </c>
      <c r="C33" s="491">
        <f>789533.59+105389.31</f>
        <v/>
      </c>
      <c r="D33" s="491">
        <f>106269.31+792207.28</f>
        <v/>
      </c>
      <c r="E33" s="491">
        <f>107071.05+794645.23</f>
        <v/>
      </c>
      <c r="F33" s="491">
        <f>293895.48+106515.83+149092.68+320488.47</f>
        <v/>
      </c>
      <c r="G33" s="491">
        <f>770280.53+109059.62</f>
        <v/>
      </c>
      <c r="H33" s="491">
        <f>756023.73+109962.92</f>
        <v/>
      </c>
      <c r="I33" s="491">
        <f>111152.93+747245.89</f>
        <v/>
      </c>
      <c r="J33" s="491">
        <f>750500.62+112132.65</f>
        <v/>
      </c>
      <c r="K33" s="491">
        <f>113169.34+753671.39</f>
        <v/>
      </c>
      <c r="L33" s="491">
        <f>114355.56+114215.61+317027.13+325491.82</f>
        <v/>
      </c>
      <c r="M33" s="491">
        <f>112700.34+312789.43+179220.95+330589.66</f>
        <v/>
      </c>
      <c r="N33" s="491">
        <f>244080.19+112128.91+335000+316000</f>
        <v/>
      </c>
      <c r="O33" s="491">
        <f>114858.61+941415.06</f>
        <v/>
      </c>
      <c r="P33" s="491" t="n"/>
      <c r="Q33" s="491" t="n"/>
      <c r="R33" s="491" t="n"/>
      <c r="S33" s="491" t="n"/>
      <c r="T33" s="491" t="n"/>
      <c r="U33" s="491" t="n"/>
      <c r="V33" s="491" t="n"/>
      <c r="W33" s="491" t="n"/>
      <c r="X33" s="491" t="n"/>
      <c r="Y33" s="491" t="n"/>
      <c r="Z33" s="491" t="n"/>
    </row>
    <row r="34" ht="7.5" customHeight="1" s="398">
      <c r="A34" s="490" t="n"/>
      <c r="B34" s="491" t="n"/>
      <c r="C34" s="491" t="n"/>
      <c r="D34" s="491" t="n"/>
      <c r="E34" s="491" t="n"/>
      <c r="F34" s="491" t="n"/>
      <c r="G34" s="491" t="n"/>
      <c r="H34" s="491" t="n"/>
      <c r="I34" s="491" t="n"/>
      <c r="J34" s="491" t="n"/>
      <c r="K34" s="491" t="n"/>
      <c r="L34" s="491" t="n"/>
      <c r="M34" s="491" t="n"/>
      <c r="N34" s="491" t="n"/>
      <c r="O34" s="491" t="n"/>
      <c r="P34" s="491" t="n"/>
      <c r="Q34" s="491" t="n"/>
      <c r="R34" s="491" t="n"/>
      <c r="S34" s="491" t="n"/>
      <c r="T34" s="491" t="n"/>
      <c r="U34" s="491" t="n"/>
      <c r="V34" s="491" t="n"/>
      <c r="W34" s="491" t="n"/>
      <c r="X34" s="491" t="n"/>
      <c r="Y34" s="491" t="n"/>
      <c r="Z34" s="491" t="n"/>
    </row>
    <row r="35" ht="12.75" customHeight="1" s="398">
      <c r="A35" s="493" t="inlineStr">
        <is>
          <t>TOTAL</t>
        </is>
      </c>
      <c r="B35" s="494">
        <f>B5+B11+B17+B23+B27+B31</f>
        <v/>
      </c>
      <c r="C35" s="494">
        <f>C5+C11+C17+C23+C27+C31</f>
        <v/>
      </c>
      <c r="D35" s="494">
        <f>D5+D11+D17+D23+D27+D31</f>
        <v/>
      </c>
      <c r="E35" s="494">
        <f>E5+E11+E17+E23+E27+E31</f>
        <v/>
      </c>
      <c r="F35" s="494">
        <f>F5+F11+F17+F23+F27+F31</f>
        <v/>
      </c>
      <c r="G35" s="494">
        <f>G5+G11+G17+G23+G27+G31</f>
        <v/>
      </c>
      <c r="H35" s="494">
        <f>H5+H11+H17+H23+H27+H31</f>
        <v/>
      </c>
      <c r="I35" s="494">
        <f>I5+I11+I17+I23+I27+I31</f>
        <v/>
      </c>
      <c r="J35" s="494">
        <f>J5+J11+J17+J23+J27+J31</f>
        <v/>
      </c>
      <c r="K35" s="494">
        <f>K5+K11+K17+K23+K27+K31</f>
        <v/>
      </c>
      <c r="L35" s="494">
        <f>L5+L11+L17+L23+L27+L31</f>
        <v/>
      </c>
      <c r="M35" s="494">
        <f>M5+M11+M17+M23+M27+M31</f>
        <v/>
      </c>
      <c r="N35" s="494">
        <f>N5+N11+N17+N23+N27+N31</f>
        <v/>
      </c>
      <c r="O35" s="494">
        <f>O5+O11+O17+O23+O27+O31</f>
        <v/>
      </c>
      <c r="P35" s="495">
        <f>P5+P11+P17+P23+P27+P31</f>
        <v/>
      </c>
      <c r="Q35" s="480" t="n"/>
      <c r="R35" s="480" t="n"/>
      <c r="S35" s="480" t="n"/>
      <c r="T35" s="480" t="n"/>
      <c r="U35" s="480" t="n"/>
      <c r="V35" s="480" t="n"/>
      <c r="W35" s="480" t="n"/>
      <c r="X35" s="480" t="n"/>
      <c r="Y35" s="480" t="n"/>
      <c r="Z35" s="480" t="n"/>
    </row>
    <row r="36" ht="12.75" customHeight="1" s="398">
      <c r="A36" s="491" t="n"/>
      <c r="B36" s="491" t="n"/>
      <c r="C36" s="52" t="n"/>
      <c r="D36" s="52" t="n"/>
      <c r="E36" s="52" t="n"/>
      <c r="F36" s="52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491" t="n"/>
      <c r="Q36" s="491" t="n"/>
      <c r="R36" s="491" t="n"/>
      <c r="S36" s="491" t="n"/>
      <c r="T36" s="491" t="n"/>
      <c r="U36" s="491" t="n"/>
      <c r="V36" s="491" t="n"/>
      <c r="W36" s="491" t="n"/>
      <c r="X36" s="491" t="n"/>
      <c r="Y36" s="491" t="n"/>
      <c r="Z36" s="491" t="n"/>
    </row>
    <row r="37" ht="12.75" customHeight="1" s="398">
      <c r="A37" s="491" t="n"/>
      <c r="B37" s="491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  <c r="M37" s="52" t="n"/>
      <c r="N37" s="53" t="n">
        <v>1770308.76</v>
      </c>
      <c r="O37" s="52" t="n"/>
      <c r="P37" s="491" t="n"/>
      <c r="Q37" s="491" t="n"/>
      <c r="R37" s="491" t="n"/>
      <c r="S37" s="491" t="n"/>
      <c r="T37" s="491" t="n"/>
      <c r="U37" s="491" t="n"/>
      <c r="V37" s="491" t="n"/>
      <c r="W37" s="491" t="n"/>
      <c r="X37" s="491" t="n"/>
      <c r="Y37" s="491" t="n"/>
      <c r="Z37" s="491" t="n"/>
    </row>
    <row r="38" ht="12.75" customHeight="1" s="398">
      <c r="A38" s="491" t="n"/>
      <c r="B38" s="491" t="n"/>
      <c r="C38" s="491" t="n"/>
      <c r="D38" s="491" t="n"/>
      <c r="E38" s="491" t="n"/>
      <c r="F38" s="491" t="n"/>
      <c r="G38" s="491" t="n"/>
      <c r="H38" s="491" t="n"/>
      <c r="I38" s="491" t="n"/>
      <c r="J38" s="491" t="n"/>
      <c r="K38" s="491" t="n"/>
      <c r="L38" s="491" t="n"/>
      <c r="M38" s="491" t="n"/>
      <c r="N38" s="491" t="n"/>
      <c r="O38" s="491" t="n"/>
      <c r="P38" s="491" t="n"/>
      <c r="Q38" s="491" t="n"/>
      <c r="R38" s="491" t="n"/>
      <c r="S38" s="491" t="n"/>
      <c r="T38" s="491" t="n"/>
      <c r="U38" s="491" t="n"/>
      <c r="V38" s="491" t="n"/>
      <c r="W38" s="491" t="n"/>
      <c r="X38" s="491" t="n"/>
      <c r="Y38" s="491" t="n"/>
      <c r="Z38" s="491" t="n"/>
    </row>
    <row r="39" ht="12.75" customHeight="1" s="398">
      <c r="A39" s="491" t="n"/>
      <c r="B39" s="491" t="n"/>
      <c r="C39" s="491" t="n"/>
      <c r="D39" s="491" t="n"/>
      <c r="E39" s="491" t="n"/>
      <c r="F39" s="491" t="n"/>
      <c r="G39" s="491" t="n"/>
      <c r="H39" s="491" t="n"/>
      <c r="I39" s="491" t="n"/>
      <c r="J39" s="491" t="n"/>
      <c r="K39" s="491" t="n"/>
      <c r="L39" s="491" t="n"/>
      <c r="M39" s="491" t="n"/>
      <c r="N39" s="491" t="n"/>
      <c r="O39" s="491" t="n"/>
      <c r="P39" s="491" t="n"/>
      <c r="Q39" s="491" t="n"/>
      <c r="R39" s="491" t="n"/>
      <c r="S39" s="491" t="n"/>
      <c r="T39" s="491" t="n"/>
      <c r="U39" s="491" t="n"/>
      <c r="V39" s="491" t="n"/>
      <c r="W39" s="491" t="n"/>
      <c r="X39" s="491" t="n"/>
      <c r="Y39" s="491" t="n"/>
      <c r="Z39" s="491" t="n"/>
    </row>
    <row r="40" ht="12.75" customHeight="1" s="398">
      <c r="A40" s="491" t="n"/>
      <c r="B40" s="491" t="n"/>
      <c r="C40" s="491" t="n"/>
      <c r="D40" s="491" t="n"/>
      <c r="E40" s="491" t="n"/>
      <c r="F40" s="491" t="n"/>
      <c r="G40" s="491" t="n"/>
      <c r="H40" s="491" t="n"/>
      <c r="I40" s="491" t="n"/>
      <c r="J40" s="491" t="n"/>
      <c r="K40" s="491" t="n"/>
      <c r="L40" s="491" t="n"/>
      <c r="M40" s="491" t="n"/>
      <c r="N40" s="491" t="n"/>
      <c r="O40" s="491" t="n"/>
      <c r="P40" s="491" t="n"/>
      <c r="Q40" s="491" t="n"/>
      <c r="R40" s="491" t="n"/>
      <c r="S40" s="491" t="n"/>
      <c r="T40" s="491" t="n"/>
      <c r="U40" s="491" t="n"/>
      <c r="V40" s="491" t="n"/>
      <c r="W40" s="491" t="n"/>
      <c r="X40" s="491" t="n"/>
      <c r="Y40" s="491" t="n"/>
      <c r="Z40" s="491" t="n"/>
    </row>
    <row r="41" ht="12.75" customHeight="1" s="398">
      <c r="A41" s="491" t="n"/>
      <c r="B41" s="491" t="n"/>
      <c r="C41" s="491" t="n"/>
      <c r="D41" s="491" t="n"/>
      <c r="E41" s="491" t="n"/>
      <c r="F41" s="491" t="n"/>
      <c r="G41" s="491" t="n"/>
      <c r="H41" s="491" t="n"/>
      <c r="I41" s="491" t="n"/>
      <c r="J41" s="491" t="n"/>
      <c r="K41" s="491" t="n"/>
      <c r="L41" s="491" t="n"/>
      <c r="M41" s="491" t="n"/>
      <c r="N41" s="491" t="n"/>
      <c r="O41" s="491" t="n"/>
      <c r="P41" s="491" t="n"/>
      <c r="Q41" s="491" t="n"/>
      <c r="R41" s="491" t="n"/>
      <c r="S41" s="491" t="n"/>
      <c r="T41" s="491" t="n"/>
      <c r="U41" s="491" t="n"/>
      <c r="V41" s="491" t="n"/>
      <c r="W41" s="491" t="n"/>
      <c r="X41" s="491" t="n"/>
      <c r="Y41" s="491" t="n"/>
      <c r="Z41" s="491" t="n"/>
    </row>
    <row r="42" ht="12.75" customHeight="1" s="398">
      <c r="A42" s="491" t="n"/>
      <c r="B42" s="491" t="n"/>
      <c r="C42" s="491" t="n"/>
      <c r="D42" s="491" t="n"/>
      <c r="E42" s="491" t="n"/>
      <c r="F42" s="491" t="n"/>
      <c r="G42" s="491" t="n"/>
      <c r="H42" s="491" t="n"/>
      <c r="I42" s="491" t="n"/>
      <c r="J42" s="491" t="n"/>
      <c r="K42" s="491" t="n"/>
      <c r="L42" s="491" t="n"/>
      <c r="M42" s="491" t="n"/>
      <c r="N42" s="491" t="n"/>
      <c r="O42" s="491" t="n"/>
      <c r="P42" s="491" t="n"/>
      <c r="Q42" s="491" t="n"/>
      <c r="R42" s="491" t="n"/>
      <c r="S42" s="491" t="n"/>
      <c r="T42" s="491" t="n"/>
      <c r="U42" s="491" t="n"/>
      <c r="V42" s="491" t="n"/>
      <c r="W42" s="491" t="n"/>
      <c r="X42" s="491" t="n"/>
      <c r="Y42" s="491" t="n"/>
      <c r="Z42" s="491" t="n"/>
    </row>
    <row r="43" ht="12.75" customHeight="1" s="398">
      <c r="A43" s="491" t="n"/>
      <c r="B43" s="491" t="n"/>
      <c r="C43" s="491" t="n"/>
      <c r="D43" s="491" t="n"/>
      <c r="E43" s="491" t="n"/>
      <c r="F43" s="491" t="n"/>
      <c r="G43" s="491" t="n"/>
      <c r="H43" s="491" t="n"/>
      <c r="I43" s="491" t="n"/>
      <c r="J43" s="491" t="n"/>
      <c r="K43" s="491" t="n"/>
      <c r="L43" s="491" t="n"/>
      <c r="M43" s="491" t="n"/>
      <c r="N43" s="491" t="n"/>
      <c r="O43" s="491" t="n"/>
      <c r="P43" s="491" t="n"/>
      <c r="Q43" s="491" t="n"/>
      <c r="R43" s="491" t="n"/>
      <c r="S43" s="491" t="n"/>
      <c r="T43" s="491" t="n"/>
      <c r="U43" s="491" t="n"/>
      <c r="V43" s="491" t="n"/>
      <c r="W43" s="491" t="n"/>
      <c r="X43" s="491" t="n"/>
      <c r="Y43" s="491" t="n"/>
      <c r="Z43" s="491" t="n"/>
    </row>
    <row r="44" ht="12.75" customHeight="1" s="398">
      <c r="A44" s="491" t="n"/>
      <c r="B44" s="491" t="n"/>
      <c r="C44" s="491" t="n"/>
      <c r="D44" s="491" t="n"/>
      <c r="E44" s="491" t="n"/>
      <c r="F44" s="491" t="n"/>
      <c r="G44" s="491" t="n"/>
      <c r="H44" s="491" t="n"/>
      <c r="I44" s="491" t="n"/>
      <c r="J44" s="491" t="n"/>
      <c r="K44" s="491" t="n"/>
      <c r="L44" s="491" t="n"/>
      <c r="M44" s="491" t="n"/>
      <c r="N44" s="491" t="n"/>
      <c r="O44" s="491" t="n"/>
      <c r="P44" s="491" t="n"/>
      <c r="Q44" s="491" t="n"/>
      <c r="R44" s="491" t="n"/>
      <c r="S44" s="491" t="n"/>
      <c r="T44" s="491" t="n"/>
      <c r="U44" s="491" t="n"/>
      <c r="V44" s="491" t="n"/>
      <c r="W44" s="491" t="n"/>
      <c r="X44" s="491" t="n"/>
      <c r="Y44" s="491" t="n"/>
      <c r="Z44" s="491" t="n"/>
    </row>
    <row r="45" ht="12.75" customHeight="1" s="398">
      <c r="A45" s="491" t="n"/>
      <c r="B45" s="491" t="n"/>
      <c r="C45" s="491" t="n"/>
      <c r="D45" s="491" t="n"/>
      <c r="E45" s="491" t="n"/>
      <c r="F45" s="491" t="n"/>
      <c r="G45" s="491" t="n"/>
      <c r="H45" s="491" t="n"/>
      <c r="I45" s="491" t="n"/>
      <c r="J45" s="491" t="n"/>
      <c r="K45" s="491" t="n"/>
      <c r="L45" s="491" t="n"/>
      <c r="M45" s="491" t="n"/>
      <c r="N45" s="491" t="n"/>
      <c r="O45" s="491" t="n"/>
      <c r="P45" s="491" t="n"/>
      <c r="Q45" s="491" t="n"/>
      <c r="R45" s="491" t="n"/>
      <c r="S45" s="491" t="n"/>
      <c r="T45" s="491" t="n"/>
      <c r="U45" s="491" t="n"/>
      <c r="V45" s="491" t="n"/>
      <c r="W45" s="491" t="n"/>
      <c r="X45" s="491" t="n"/>
      <c r="Y45" s="491" t="n"/>
      <c r="Z45" s="491" t="n"/>
    </row>
    <row r="46" ht="12.75" customHeight="1" s="398">
      <c r="A46" s="491" t="n"/>
      <c r="B46" s="491" t="n"/>
      <c r="C46" s="491" t="n"/>
      <c r="D46" s="491" t="n"/>
      <c r="E46" s="491" t="n"/>
      <c r="F46" s="491" t="n"/>
      <c r="G46" s="491" t="n"/>
      <c r="H46" s="491" t="n"/>
      <c r="I46" s="491" t="n"/>
      <c r="J46" s="491" t="n"/>
      <c r="K46" s="491" t="n"/>
      <c r="L46" s="491" t="n"/>
      <c r="M46" s="491" t="n"/>
      <c r="N46" s="491" t="n"/>
      <c r="O46" s="491" t="n"/>
      <c r="P46" s="491" t="n"/>
      <c r="Q46" s="491" t="n"/>
      <c r="R46" s="491" t="n"/>
      <c r="S46" s="491" t="n"/>
      <c r="T46" s="491" t="n"/>
      <c r="U46" s="491" t="n"/>
      <c r="V46" s="491" t="n"/>
      <c r="W46" s="491" t="n"/>
      <c r="X46" s="491" t="n"/>
      <c r="Y46" s="491" t="n"/>
      <c r="Z46" s="491" t="n"/>
    </row>
    <row r="47" ht="12.75" customHeight="1" s="398">
      <c r="A47" s="491" t="n"/>
      <c r="B47" s="491" t="n"/>
      <c r="C47" s="491" t="n"/>
      <c r="D47" s="491" t="n"/>
      <c r="E47" s="491" t="n"/>
      <c r="F47" s="491" t="n"/>
      <c r="G47" s="491" t="n"/>
      <c r="H47" s="491" t="n"/>
      <c r="I47" s="491" t="n"/>
      <c r="J47" s="491" t="n"/>
      <c r="K47" s="491" t="n"/>
      <c r="L47" s="491" t="n"/>
      <c r="M47" s="491" t="n"/>
      <c r="N47" s="491" t="n"/>
      <c r="O47" s="491" t="n"/>
      <c r="P47" s="491" t="n"/>
      <c r="Q47" s="491" t="n"/>
      <c r="R47" s="491" t="n"/>
      <c r="S47" s="491" t="n"/>
      <c r="T47" s="491" t="n"/>
      <c r="U47" s="491" t="n"/>
      <c r="V47" s="491" t="n"/>
      <c r="W47" s="491" t="n"/>
      <c r="X47" s="491" t="n"/>
      <c r="Y47" s="491" t="n"/>
      <c r="Z47" s="491" t="n"/>
    </row>
    <row r="48" ht="12.75" customHeight="1" s="398">
      <c r="A48" s="491" t="n"/>
      <c r="B48" s="491" t="n"/>
      <c r="C48" s="491" t="n"/>
      <c r="D48" s="491" t="n"/>
      <c r="E48" s="491" t="n"/>
      <c r="F48" s="491" t="n"/>
      <c r="G48" s="491" t="n"/>
      <c r="H48" s="491" t="n"/>
      <c r="I48" s="491" t="n"/>
      <c r="J48" s="491" t="n"/>
      <c r="K48" s="491" t="n"/>
      <c r="L48" s="491" t="n"/>
      <c r="M48" s="491" t="n"/>
      <c r="N48" s="491" t="n"/>
      <c r="O48" s="491" t="n"/>
      <c r="P48" s="491" t="n"/>
      <c r="Q48" s="491" t="n"/>
      <c r="R48" s="491" t="n"/>
      <c r="S48" s="491" t="n"/>
      <c r="T48" s="491" t="n"/>
      <c r="U48" s="491" t="n"/>
      <c r="V48" s="491" t="n"/>
      <c r="W48" s="491" t="n"/>
      <c r="X48" s="491" t="n"/>
      <c r="Y48" s="491" t="n"/>
      <c r="Z48" s="491" t="n"/>
    </row>
    <row r="49" ht="12.75" customHeight="1" s="398">
      <c r="A49" s="491" t="n"/>
      <c r="B49" s="491" t="n"/>
      <c r="C49" s="491" t="n"/>
      <c r="D49" s="491" t="n"/>
      <c r="E49" s="491" t="n"/>
      <c r="F49" s="491" t="n"/>
      <c r="G49" s="491" t="n"/>
      <c r="H49" s="491" t="n"/>
      <c r="I49" s="491" t="n"/>
      <c r="J49" s="491" t="n"/>
      <c r="K49" s="491" t="n"/>
      <c r="L49" s="491" t="n"/>
      <c r="M49" s="491" t="n"/>
      <c r="N49" s="491" t="n"/>
      <c r="O49" s="491" t="n"/>
      <c r="P49" s="491" t="n"/>
      <c r="Q49" s="491" t="n"/>
      <c r="R49" s="491" t="n"/>
      <c r="S49" s="491" t="n"/>
      <c r="T49" s="491" t="n"/>
      <c r="U49" s="491" t="n"/>
      <c r="V49" s="491" t="n"/>
      <c r="W49" s="491" t="n"/>
      <c r="X49" s="491" t="n"/>
      <c r="Y49" s="491" t="n"/>
      <c r="Z49" s="491" t="n"/>
    </row>
    <row r="50" ht="12.75" customHeight="1" s="398">
      <c r="A50" s="491" t="n"/>
      <c r="B50" s="491" t="n"/>
      <c r="C50" s="491" t="n"/>
      <c r="D50" s="491" t="n"/>
      <c r="E50" s="491" t="n"/>
      <c r="F50" s="491" t="n"/>
      <c r="G50" s="491" t="n"/>
      <c r="H50" s="491" t="n"/>
      <c r="I50" s="491" t="n"/>
      <c r="J50" s="491" t="n"/>
      <c r="K50" s="491" t="n"/>
      <c r="L50" s="491" t="n"/>
      <c r="M50" s="491" t="n"/>
      <c r="N50" s="491" t="n"/>
      <c r="O50" s="491" t="n"/>
      <c r="P50" s="491" t="n"/>
      <c r="Q50" s="491" t="n"/>
      <c r="R50" s="491" t="n"/>
      <c r="S50" s="491" t="n"/>
      <c r="T50" s="491" t="n"/>
      <c r="U50" s="491" t="n"/>
      <c r="V50" s="491" t="n"/>
      <c r="W50" s="491" t="n"/>
      <c r="X50" s="491" t="n"/>
      <c r="Y50" s="491" t="n"/>
      <c r="Z50" s="491" t="n"/>
    </row>
    <row r="51" ht="12.75" customHeight="1" s="398">
      <c r="A51" s="491" t="n"/>
      <c r="B51" s="491" t="n"/>
      <c r="C51" s="491" t="n"/>
      <c r="D51" s="491" t="n"/>
      <c r="E51" s="491" t="n"/>
      <c r="F51" s="491" t="n"/>
      <c r="G51" s="491" t="n"/>
      <c r="H51" s="491" t="n"/>
      <c r="I51" s="491" t="n"/>
      <c r="J51" s="491" t="n"/>
      <c r="K51" s="491" t="n"/>
      <c r="L51" s="491" t="n"/>
      <c r="M51" s="491" t="n"/>
      <c r="N51" s="491" t="n"/>
      <c r="O51" s="491" t="n"/>
      <c r="P51" s="491" t="n"/>
      <c r="Q51" s="491" t="n"/>
      <c r="R51" s="491" t="n"/>
      <c r="S51" s="491" t="n"/>
      <c r="T51" s="491" t="n"/>
      <c r="U51" s="491" t="n"/>
      <c r="V51" s="491" t="n"/>
      <c r="W51" s="491" t="n"/>
      <c r="X51" s="491" t="n"/>
      <c r="Y51" s="491" t="n"/>
      <c r="Z51" s="491" t="n"/>
    </row>
    <row r="52" ht="12.75" customHeight="1" s="398">
      <c r="A52" s="491" t="n"/>
      <c r="B52" s="491" t="n"/>
      <c r="C52" s="491" t="n"/>
      <c r="D52" s="491" t="n"/>
      <c r="E52" s="491" t="n"/>
      <c r="F52" s="491" t="n"/>
      <c r="G52" s="491" t="n"/>
      <c r="H52" s="491" t="n"/>
      <c r="I52" s="491" t="n"/>
      <c r="J52" s="491" t="n"/>
      <c r="K52" s="491" t="n"/>
      <c r="L52" s="491" t="n"/>
      <c r="M52" s="491" t="n"/>
      <c r="N52" s="491" t="n"/>
      <c r="O52" s="491" t="n"/>
      <c r="P52" s="491" t="n"/>
      <c r="Q52" s="491" t="n"/>
      <c r="R52" s="491" t="n"/>
      <c r="S52" s="491" t="n"/>
      <c r="T52" s="491" t="n"/>
      <c r="U52" s="491" t="n"/>
      <c r="V52" s="491" t="n"/>
      <c r="W52" s="491" t="n"/>
      <c r="X52" s="491" t="n"/>
      <c r="Y52" s="491" t="n"/>
      <c r="Z52" s="491" t="n"/>
    </row>
    <row r="53" ht="12.75" customHeight="1" s="398">
      <c r="A53" s="491" t="n"/>
      <c r="B53" s="491" t="n"/>
      <c r="C53" s="491" t="n"/>
      <c r="D53" s="491" t="n"/>
      <c r="E53" s="491" t="n"/>
      <c r="F53" s="491" t="n"/>
      <c r="G53" s="491" t="n"/>
      <c r="H53" s="491" t="n"/>
      <c r="I53" s="491" t="n"/>
      <c r="J53" s="491" t="n"/>
      <c r="K53" s="491" t="n"/>
      <c r="L53" s="491" t="n"/>
      <c r="M53" s="491" t="n"/>
      <c r="N53" s="491" t="n"/>
      <c r="O53" s="491" t="n"/>
      <c r="P53" s="491" t="n"/>
      <c r="Q53" s="491" t="n"/>
      <c r="R53" s="491" t="n"/>
      <c r="S53" s="491" t="n"/>
      <c r="T53" s="491" t="n"/>
      <c r="U53" s="491" t="n"/>
      <c r="V53" s="491" t="n"/>
      <c r="W53" s="491" t="n"/>
      <c r="X53" s="491" t="n"/>
      <c r="Y53" s="491" t="n"/>
      <c r="Z53" s="491" t="n"/>
    </row>
    <row r="54" ht="12.75" customHeight="1" s="398">
      <c r="A54" s="491" t="n"/>
      <c r="B54" s="491" t="n"/>
      <c r="C54" s="491" t="n"/>
      <c r="D54" s="491" t="n"/>
      <c r="E54" s="491" t="n"/>
      <c r="F54" s="491" t="n"/>
      <c r="G54" s="491" t="n"/>
      <c r="H54" s="491" t="n"/>
      <c r="I54" s="491" t="n"/>
      <c r="J54" s="491" t="n"/>
      <c r="K54" s="491" t="n"/>
      <c r="L54" s="491" t="n"/>
      <c r="M54" s="491" t="n"/>
      <c r="N54" s="491" t="n"/>
      <c r="O54" s="491" t="n"/>
      <c r="P54" s="491" t="n"/>
      <c r="Q54" s="491" t="n"/>
      <c r="R54" s="491" t="n"/>
      <c r="S54" s="491" t="n"/>
      <c r="T54" s="491" t="n"/>
      <c r="U54" s="491" t="n"/>
      <c r="V54" s="491" t="n"/>
      <c r="W54" s="491" t="n"/>
      <c r="X54" s="491" t="n"/>
      <c r="Y54" s="491" t="n"/>
      <c r="Z54" s="491" t="n"/>
    </row>
    <row r="55" ht="12.75" customHeight="1" s="398">
      <c r="A55" s="491" t="n"/>
      <c r="B55" s="491" t="n"/>
      <c r="C55" s="491" t="n"/>
      <c r="D55" s="491" t="n"/>
      <c r="E55" s="491" t="n"/>
      <c r="F55" s="491" t="n"/>
      <c r="G55" s="491" t="n"/>
      <c r="H55" s="491" t="n"/>
      <c r="I55" s="491" t="n"/>
      <c r="J55" s="491" t="n"/>
      <c r="K55" s="491" t="n"/>
      <c r="L55" s="491" t="n"/>
      <c r="M55" s="491" t="n"/>
      <c r="N55" s="491" t="n"/>
      <c r="O55" s="491" t="n"/>
      <c r="P55" s="491" t="n"/>
      <c r="Q55" s="491" t="n"/>
      <c r="R55" s="491" t="n"/>
      <c r="S55" s="491" t="n"/>
      <c r="T55" s="491" t="n"/>
      <c r="U55" s="491" t="n"/>
      <c r="V55" s="491" t="n"/>
      <c r="W55" s="491" t="n"/>
      <c r="X55" s="491" t="n"/>
      <c r="Y55" s="491" t="n"/>
      <c r="Z55" s="491" t="n"/>
    </row>
    <row r="56" ht="12.75" customHeight="1" s="398">
      <c r="A56" s="491" t="n"/>
      <c r="B56" s="491" t="n"/>
      <c r="C56" s="491" t="n"/>
      <c r="D56" s="491" t="n"/>
      <c r="E56" s="491" t="n"/>
      <c r="F56" s="491" t="n"/>
      <c r="G56" s="491" t="n"/>
      <c r="H56" s="491" t="n"/>
      <c r="I56" s="491" t="n"/>
      <c r="J56" s="491" t="n"/>
      <c r="K56" s="491" t="n"/>
      <c r="L56" s="491" t="n"/>
      <c r="M56" s="491" t="n"/>
      <c r="N56" s="491" t="n"/>
      <c r="O56" s="491" t="n"/>
      <c r="P56" s="491" t="n"/>
      <c r="Q56" s="491" t="n"/>
      <c r="R56" s="491" t="n"/>
      <c r="S56" s="491" t="n"/>
      <c r="T56" s="491" t="n"/>
      <c r="U56" s="491" t="n"/>
      <c r="V56" s="491" t="n"/>
      <c r="W56" s="491" t="n"/>
      <c r="X56" s="491" t="n"/>
      <c r="Y56" s="491" t="n"/>
      <c r="Z56" s="491" t="n"/>
    </row>
    <row r="57" ht="12.75" customHeight="1" s="398">
      <c r="A57" s="491" t="n"/>
      <c r="B57" s="491" t="n"/>
      <c r="C57" s="491" t="n"/>
      <c r="D57" s="491" t="n"/>
      <c r="E57" s="491" t="n"/>
      <c r="F57" s="491" t="n"/>
      <c r="G57" s="491" t="n"/>
      <c r="H57" s="491" t="n"/>
      <c r="I57" s="491" t="n"/>
      <c r="J57" s="491" t="n"/>
      <c r="K57" s="491" t="n"/>
      <c r="L57" s="491" t="n"/>
      <c r="M57" s="491" t="n"/>
      <c r="N57" s="491" t="n"/>
      <c r="O57" s="491" t="n"/>
      <c r="P57" s="491" t="n"/>
      <c r="Q57" s="491" t="n"/>
      <c r="R57" s="491" t="n"/>
      <c r="S57" s="491" t="n"/>
      <c r="T57" s="491" t="n"/>
      <c r="U57" s="491" t="n"/>
      <c r="V57" s="491" t="n"/>
      <c r="W57" s="491" t="n"/>
      <c r="X57" s="491" t="n"/>
      <c r="Y57" s="491" t="n"/>
      <c r="Z57" s="491" t="n"/>
    </row>
    <row r="58" ht="12.75" customHeight="1" s="398">
      <c r="A58" s="491" t="n"/>
      <c r="B58" s="491" t="n"/>
      <c r="C58" s="491" t="n"/>
      <c r="D58" s="491" t="n"/>
      <c r="E58" s="491" t="n"/>
      <c r="F58" s="491" t="n"/>
      <c r="G58" s="491" t="n"/>
      <c r="H58" s="491" t="n"/>
      <c r="I58" s="491" t="n"/>
      <c r="J58" s="491" t="n"/>
      <c r="K58" s="491" t="n"/>
      <c r="L58" s="491" t="n"/>
      <c r="M58" s="491" t="n"/>
      <c r="N58" s="491" t="n"/>
      <c r="O58" s="491" t="n"/>
      <c r="P58" s="491" t="n"/>
      <c r="Q58" s="491" t="n"/>
      <c r="R58" s="491" t="n"/>
      <c r="S58" s="491" t="n"/>
      <c r="T58" s="491" t="n"/>
      <c r="U58" s="491" t="n"/>
      <c r="V58" s="491" t="n"/>
      <c r="W58" s="491" t="n"/>
      <c r="X58" s="491" t="n"/>
      <c r="Y58" s="491" t="n"/>
      <c r="Z58" s="491" t="n"/>
    </row>
    <row r="59" ht="12.75" customHeight="1" s="398">
      <c r="A59" s="491" t="n"/>
      <c r="B59" s="491" t="n"/>
      <c r="C59" s="491" t="n"/>
      <c r="D59" s="491" t="n"/>
      <c r="E59" s="491" t="n"/>
      <c r="F59" s="491" t="n"/>
      <c r="G59" s="491" t="n"/>
      <c r="H59" s="491" t="n"/>
      <c r="I59" s="491" t="n"/>
      <c r="J59" s="491" t="n"/>
      <c r="K59" s="491" t="n"/>
      <c r="L59" s="491" t="n"/>
      <c r="M59" s="491" t="n"/>
      <c r="N59" s="491" t="n"/>
      <c r="O59" s="491" t="n"/>
      <c r="P59" s="491" t="n"/>
      <c r="Q59" s="491" t="n"/>
      <c r="R59" s="491" t="n"/>
      <c r="S59" s="491" t="n"/>
      <c r="T59" s="491" t="n"/>
      <c r="U59" s="491" t="n"/>
      <c r="V59" s="491" t="n"/>
      <c r="W59" s="491" t="n"/>
      <c r="X59" s="491" t="n"/>
      <c r="Y59" s="491" t="n"/>
      <c r="Z59" s="491" t="n"/>
    </row>
    <row r="60" ht="12.75" customHeight="1" s="398">
      <c r="A60" s="491" t="n"/>
      <c r="B60" s="491" t="n"/>
      <c r="C60" s="491" t="n"/>
      <c r="D60" s="491" t="n"/>
      <c r="E60" s="491" t="n"/>
      <c r="F60" s="491" t="n"/>
      <c r="G60" s="491" t="n"/>
      <c r="H60" s="491" t="n"/>
      <c r="I60" s="491" t="n"/>
      <c r="J60" s="491" t="n"/>
      <c r="K60" s="491" t="n"/>
      <c r="L60" s="491" t="n"/>
      <c r="M60" s="491" t="n"/>
      <c r="N60" s="491" t="n"/>
      <c r="O60" s="491" t="n"/>
      <c r="P60" s="491" t="n"/>
      <c r="Q60" s="491" t="n"/>
      <c r="R60" s="491" t="n"/>
      <c r="S60" s="491" t="n"/>
      <c r="T60" s="491" t="n"/>
      <c r="U60" s="491" t="n"/>
      <c r="V60" s="491" t="n"/>
      <c r="W60" s="491" t="n"/>
      <c r="X60" s="491" t="n"/>
      <c r="Y60" s="491" t="n"/>
      <c r="Z60" s="491" t="n"/>
    </row>
    <row r="61" ht="12.75" customHeight="1" s="398">
      <c r="A61" s="491" t="n"/>
      <c r="B61" s="491" t="n"/>
      <c r="C61" s="491" t="n"/>
      <c r="D61" s="491" t="n"/>
      <c r="E61" s="491" t="n"/>
      <c r="F61" s="491" t="n"/>
      <c r="G61" s="491" t="n"/>
      <c r="H61" s="491" t="n"/>
      <c r="I61" s="491" t="n"/>
      <c r="J61" s="491" t="n"/>
      <c r="K61" s="491" t="n"/>
      <c r="L61" s="491" t="n"/>
      <c r="M61" s="491" t="n"/>
      <c r="N61" s="491" t="n"/>
      <c r="O61" s="491" t="n"/>
      <c r="P61" s="491" t="n"/>
      <c r="Q61" s="491" t="n"/>
      <c r="R61" s="491" t="n"/>
      <c r="S61" s="491" t="n"/>
      <c r="T61" s="491" t="n"/>
      <c r="U61" s="491" t="n"/>
      <c r="V61" s="491" t="n"/>
      <c r="W61" s="491" t="n"/>
      <c r="X61" s="491" t="n"/>
      <c r="Y61" s="491" t="n"/>
      <c r="Z61" s="491" t="n"/>
    </row>
    <row r="62" ht="12.75" customHeight="1" s="398">
      <c r="A62" s="491" t="n"/>
      <c r="B62" s="491" t="n"/>
      <c r="C62" s="491" t="n"/>
      <c r="D62" s="491" t="n"/>
      <c r="E62" s="491" t="n"/>
      <c r="F62" s="491" t="n"/>
      <c r="G62" s="491" t="n"/>
      <c r="H62" s="491" t="n"/>
      <c r="I62" s="491" t="n"/>
      <c r="J62" s="491" t="n"/>
      <c r="K62" s="491" t="n"/>
      <c r="L62" s="491" t="n"/>
      <c r="M62" s="491" t="n"/>
      <c r="N62" s="491" t="n"/>
      <c r="O62" s="491" t="n"/>
      <c r="P62" s="491" t="n"/>
      <c r="Q62" s="491" t="n"/>
      <c r="R62" s="491" t="n"/>
      <c r="S62" s="491" t="n"/>
      <c r="T62" s="491" t="n"/>
      <c r="U62" s="491" t="n"/>
      <c r="V62" s="491" t="n"/>
      <c r="W62" s="491" t="n"/>
      <c r="X62" s="491" t="n"/>
      <c r="Y62" s="491" t="n"/>
      <c r="Z62" s="491" t="n"/>
    </row>
    <row r="63" ht="12.75" customHeight="1" s="398">
      <c r="A63" s="491" t="n"/>
      <c r="B63" s="491" t="n"/>
      <c r="C63" s="491" t="n"/>
      <c r="D63" s="491" t="n"/>
      <c r="E63" s="491" t="n"/>
      <c r="F63" s="491" t="n"/>
      <c r="G63" s="491" t="n"/>
      <c r="H63" s="491" t="n"/>
      <c r="I63" s="491" t="n"/>
      <c r="J63" s="491" t="n"/>
      <c r="K63" s="491" t="n"/>
      <c r="L63" s="491" t="n"/>
      <c r="M63" s="491" t="n"/>
      <c r="N63" s="491" t="n"/>
      <c r="O63" s="491" t="n"/>
      <c r="P63" s="491" t="n"/>
      <c r="Q63" s="491" t="n"/>
      <c r="R63" s="491" t="n"/>
      <c r="S63" s="491" t="n"/>
      <c r="T63" s="491" t="n"/>
      <c r="U63" s="491" t="n"/>
      <c r="V63" s="491" t="n"/>
      <c r="W63" s="491" t="n"/>
      <c r="X63" s="491" t="n"/>
      <c r="Y63" s="491" t="n"/>
      <c r="Z63" s="491" t="n"/>
    </row>
    <row r="64" ht="12.75" customHeight="1" s="398">
      <c r="A64" s="491" t="n"/>
      <c r="B64" s="491" t="n"/>
      <c r="C64" s="491" t="n"/>
      <c r="D64" s="491" t="n"/>
      <c r="E64" s="491" t="n"/>
      <c r="F64" s="491" t="n"/>
      <c r="G64" s="491" t="n"/>
      <c r="H64" s="491" t="n"/>
      <c r="I64" s="491" t="n"/>
      <c r="J64" s="491" t="n"/>
      <c r="K64" s="491" t="n"/>
      <c r="L64" s="491" t="n"/>
      <c r="M64" s="491" t="n"/>
      <c r="N64" s="491" t="n"/>
      <c r="O64" s="491" t="n"/>
      <c r="P64" s="491" t="n"/>
      <c r="Q64" s="491" t="n"/>
      <c r="R64" s="491" t="n"/>
      <c r="S64" s="491" t="n"/>
      <c r="T64" s="491" t="n"/>
      <c r="U64" s="491" t="n"/>
      <c r="V64" s="491" t="n"/>
      <c r="W64" s="491" t="n"/>
      <c r="X64" s="491" t="n"/>
      <c r="Y64" s="491" t="n"/>
      <c r="Z64" s="491" t="n"/>
    </row>
    <row r="65" ht="12.75" customHeight="1" s="398">
      <c r="A65" s="491" t="n"/>
      <c r="B65" s="491" t="n"/>
      <c r="C65" s="491" t="n"/>
      <c r="D65" s="491" t="n"/>
      <c r="E65" s="491" t="n"/>
      <c r="F65" s="491" t="n"/>
      <c r="G65" s="491" t="n"/>
      <c r="H65" s="491" t="n"/>
      <c r="I65" s="491" t="n"/>
      <c r="J65" s="491" t="n"/>
      <c r="K65" s="491" t="n"/>
      <c r="L65" s="491" t="n"/>
      <c r="M65" s="491" t="n"/>
      <c r="N65" s="491" t="n"/>
      <c r="O65" s="491" t="n"/>
      <c r="P65" s="491" t="n"/>
      <c r="Q65" s="491" t="n"/>
      <c r="R65" s="491" t="n"/>
      <c r="S65" s="491" t="n"/>
      <c r="T65" s="491" t="n"/>
      <c r="U65" s="491" t="n"/>
      <c r="V65" s="491" t="n"/>
      <c r="W65" s="491" t="n"/>
      <c r="X65" s="491" t="n"/>
      <c r="Y65" s="491" t="n"/>
      <c r="Z65" s="491" t="n"/>
    </row>
    <row r="66" ht="12.75" customHeight="1" s="398">
      <c r="A66" s="491" t="n"/>
      <c r="B66" s="491" t="n"/>
      <c r="C66" s="491" t="n"/>
      <c r="D66" s="491" t="n"/>
      <c r="E66" s="491" t="n"/>
      <c r="F66" s="491" t="n"/>
      <c r="G66" s="491" t="n"/>
      <c r="H66" s="491" t="n"/>
      <c r="I66" s="491" t="n"/>
      <c r="J66" s="491" t="n"/>
      <c r="K66" s="491" t="n"/>
      <c r="L66" s="491" t="n"/>
      <c r="M66" s="491" t="n"/>
      <c r="N66" s="491" t="n"/>
      <c r="O66" s="491" t="n"/>
      <c r="P66" s="491" t="n"/>
      <c r="Q66" s="491" t="n"/>
      <c r="R66" s="491" t="n"/>
      <c r="S66" s="491" t="n"/>
      <c r="T66" s="491" t="n"/>
      <c r="U66" s="491" t="n"/>
      <c r="V66" s="491" t="n"/>
      <c r="W66" s="491" t="n"/>
      <c r="X66" s="491" t="n"/>
      <c r="Y66" s="491" t="n"/>
      <c r="Z66" s="491" t="n"/>
    </row>
    <row r="67" ht="12.75" customHeight="1" s="398">
      <c r="A67" s="491" t="n"/>
      <c r="B67" s="491" t="n"/>
      <c r="C67" s="491" t="n"/>
      <c r="D67" s="491" t="n"/>
      <c r="E67" s="491" t="n"/>
      <c r="F67" s="491" t="n"/>
      <c r="G67" s="491" t="n"/>
      <c r="H67" s="491" t="n"/>
      <c r="I67" s="491" t="n"/>
      <c r="J67" s="491" t="n"/>
      <c r="K67" s="491" t="n"/>
      <c r="L67" s="491" t="n"/>
      <c r="M67" s="491" t="n"/>
      <c r="N67" s="491" t="n"/>
      <c r="O67" s="491" t="n"/>
      <c r="P67" s="491" t="n"/>
      <c r="Q67" s="491" t="n"/>
      <c r="R67" s="491" t="n"/>
      <c r="S67" s="491" t="n"/>
      <c r="T67" s="491" t="n"/>
      <c r="U67" s="491" t="n"/>
      <c r="V67" s="491" t="n"/>
      <c r="W67" s="491" t="n"/>
      <c r="X67" s="491" t="n"/>
      <c r="Y67" s="491" t="n"/>
      <c r="Z67" s="491" t="n"/>
    </row>
    <row r="68" ht="12.75" customHeight="1" s="398">
      <c r="A68" s="491" t="n"/>
      <c r="B68" s="491" t="n"/>
      <c r="C68" s="491" t="n"/>
      <c r="D68" s="491" t="n"/>
      <c r="E68" s="491" t="n"/>
      <c r="F68" s="491" t="n"/>
      <c r="G68" s="491" t="n"/>
      <c r="H68" s="491" t="n"/>
      <c r="I68" s="491" t="n"/>
      <c r="J68" s="491" t="n"/>
      <c r="K68" s="491" t="n"/>
      <c r="L68" s="491" t="n"/>
      <c r="M68" s="491" t="n"/>
      <c r="N68" s="491" t="n"/>
      <c r="O68" s="491" t="n"/>
      <c r="P68" s="491" t="n"/>
      <c r="Q68" s="491" t="n"/>
      <c r="R68" s="491" t="n"/>
      <c r="S68" s="491" t="n"/>
      <c r="T68" s="491" t="n"/>
      <c r="U68" s="491" t="n"/>
      <c r="V68" s="491" t="n"/>
      <c r="W68" s="491" t="n"/>
      <c r="X68" s="491" t="n"/>
      <c r="Y68" s="491" t="n"/>
      <c r="Z68" s="491" t="n"/>
    </row>
    <row r="69" ht="12.75" customHeight="1" s="398">
      <c r="A69" s="491" t="n"/>
      <c r="B69" s="491" t="n"/>
      <c r="C69" s="491" t="n"/>
      <c r="D69" s="491" t="n"/>
      <c r="E69" s="491" t="n"/>
      <c r="F69" s="491" t="n"/>
      <c r="G69" s="491" t="n"/>
      <c r="H69" s="491" t="n"/>
      <c r="I69" s="491" t="n"/>
      <c r="J69" s="491" t="n"/>
      <c r="K69" s="491" t="n"/>
      <c r="L69" s="491" t="n"/>
      <c r="M69" s="491" t="n"/>
      <c r="N69" s="491" t="n"/>
      <c r="O69" s="491" t="n"/>
      <c r="P69" s="491" t="n"/>
      <c r="Q69" s="491" t="n"/>
      <c r="R69" s="491" t="n"/>
      <c r="S69" s="491" t="n"/>
      <c r="T69" s="491" t="n"/>
      <c r="U69" s="491" t="n"/>
      <c r="V69" s="491" t="n"/>
      <c r="W69" s="491" t="n"/>
      <c r="X69" s="491" t="n"/>
      <c r="Y69" s="491" t="n"/>
      <c r="Z69" s="491" t="n"/>
    </row>
    <row r="70" ht="12.75" customHeight="1" s="398">
      <c r="A70" s="491" t="n"/>
      <c r="B70" s="491" t="n"/>
      <c r="C70" s="491" t="n"/>
      <c r="D70" s="491" t="n"/>
      <c r="E70" s="491" t="n"/>
      <c r="F70" s="491" t="n"/>
      <c r="G70" s="491" t="n"/>
      <c r="H70" s="491" t="n"/>
      <c r="I70" s="491" t="n"/>
      <c r="J70" s="491" t="n"/>
      <c r="K70" s="491" t="n"/>
      <c r="L70" s="491" t="n"/>
      <c r="M70" s="491" t="n"/>
      <c r="N70" s="491" t="n"/>
      <c r="O70" s="491" t="n"/>
      <c r="P70" s="491" t="n"/>
      <c r="Q70" s="491" t="n"/>
      <c r="R70" s="491" t="n"/>
      <c r="S70" s="491" t="n"/>
      <c r="T70" s="491" t="n"/>
      <c r="U70" s="491" t="n"/>
      <c r="V70" s="491" t="n"/>
      <c r="W70" s="491" t="n"/>
      <c r="X70" s="491" t="n"/>
      <c r="Y70" s="491" t="n"/>
      <c r="Z70" s="491" t="n"/>
    </row>
    <row r="71" ht="12.75" customHeight="1" s="398">
      <c r="A71" s="491" t="n"/>
      <c r="B71" s="491" t="n"/>
      <c r="C71" s="491" t="n"/>
      <c r="D71" s="491" t="n"/>
      <c r="E71" s="491" t="n"/>
      <c r="F71" s="491" t="n"/>
      <c r="G71" s="491" t="n"/>
      <c r="H71" s="491" t="n"/>
      <c r="I71" s="491" t="n"/>
      <c r="J71" s="491" t="n"/>
      <c r="K71" s="491" t="n"/>
      <c r="L71" s="491" t="n"/>
      <c r="M71" s="491" t="n"/>
      <c r="N71" s="491" t="n"/>
      <c r="O71" s="491" t="n"/>
      <c r="P71" s="491" t="n"/>
      <c r="Q71" s="491" t="n"/>
      <c r="R71" s="491" t="n"/>
      <c r="S71" s="491" t="n"/>
      <c r="T71" s="491" t="n"/>
      <c r="U71" s="491" t="n"/>
      <c r="V71" s="491" t="n"/>
      <c r="W71" s="491" t="n"/>
      <c r="X71" s="491" t="n"/>
      <c r="Y71" s="491" t="n"/>
      <c r="Z71" s="491" t="n"/>
    </row>
    <row r="72" ht="12.75" customHeight="1" s="398">
      <c r="A72" s="491" t="n"/>
      <c r="B72" s="491" t="n"/>
      <c r="C72" s="491" t="n"/>
      <c r="D72" s="491" t="n"/>
      <c r="E72" s="491" t="n"/>
      <c r="F72" s="491" t="n"/>
      <c r="G72" s="491" t="n"/>
      <c r="H72" s="491" t="n"/>
      <c r="I72" s="491" t="n"/>
      <c r="J72" s="491" t="n"/>
      <c r="K72" s="491" t="n"/>
      <c r="L72" s="491" t="n"/>
      <c r="M72" s="491" t="n"/>
      <c r="N72" s="491" t="n"/>
      <c r="O72" s="491" t="n"/>
      <c r="P72" s="491" t="n"/>
      <c r="Q72" s="491" t="n"/>
      <c r="R72" s="491" t="n"/>
      <c r="S72" s="491" t="n"/>
      <c r="T72" s="491" t="n"/>
      <c r="U72" s="491" t="n"/>
      <c r="V72" s="491" t="n"/>
      <c r="W72" s="491" t="n"/>
      <c r="X72" s="491" t="n"/>
      <c r="Y72" s="491" t="n"/>
      <c r="Z72" s="491" t="n"/>
    </row>
    <row r="73" ht="12.75" customHeight="1" s="398">
      <c r="A73" s="491" t="n"/>
      <c r="B73" s="491" t="n"/>
      <c r="C73" s="491" t="n"/>
      <c r="D73" s="491" t="n"/>
      <c r="E73" s="491" t="n"/>
      <c r="F73" s="491" t="n"/>
      <c r="G73" s="491" t="n"/>
      <c r="H73" s="491" t="n"/>
      <c r="I73" s="491" t="n"/>
      <c r="J73" s="491" t="n"/>
      <c r="K73" s="491" t="n"/>
      <c r="L73" s="491" t="n"/>
      <c r="M73" s="491" t="n"/>
      <c r="N73" s="491" t="n"/>
      <c r="O73" s="491" t="n"/>
      <c r="P73" s="491" t="n"/>
      <c r="Q73" s="491" t="n"/>
      <c r="R73" s="491" t="n"/>
      <c r="S73" s="491" t="n"/>
      <c r="T73" s="491" t="n"/>
      <c r="U73" s="491" t="n"/>
      <c r="V73" s="491" t="n"/>
      <c r="W73" s="491" t="n"/>
      <c r="X73" s="491" t="n"/>
      <c r="Y73" s="491" t="n"/>
      <c r="Z73" s="491" t="n"/>
    </row>
    <row r="74" ht="12.75" customHeight="1" s="398">
      <c r="A74" s="491" t="n"/>
      <c r="B74" s="491" t="n"/>
      <c r="C74" s="491" t="n"/>
      <c r="D74" s="491" t="n"/>
      <c r="E74" s="491" t="n"/>
      <c r="F74" s="491" t="n"/>
      <c r="G74" s="491" t="n"/>
      <c r="H74" s="491" t="n"/>
      <c r="I74" s="491" t="n"/>
      <c r="J74" s="491" t="n"/>
      <c r="K74" s="491" t="n"/>
      <c r="L74" s="491" t="n"/>
      <c r="M74" s="491" t="n"/>
      <c r="N74" s="491" t="n"/>
      <c r="O74" s="491" t="n"/>
      <c r="P74" s="491" t="n"/>
      <c r="Q74" s="491" t="n"/>
      <c r="R74" s="491" t="n"/>
      <c r="S74" s="491" t="n"/>
      <c r="T74" s="491" t="n"/>
      <c r="U74" s="491" t="n"/>
      <c r="V74" s="491" t="n"/>
      <c r="W74" s="491" t="n"/>
      <c r="X74" s="491" t="n"/>
      <c r="Y74" s="491" t="n"/>
      <c r="Z74" s="491" t="n"/>
    </row>
    <row r="75" ht="12.75" customHeight="1" s="398">
      <c r="A75" s="491" t="n"/>
      <c r="B75" s="491" t="n"/>
      <c r="C75" s="491" t="n"/>
      <c r="D75" s="491" t="n"/>
      <c r="E75" s="491" t="n"/>
      <c r="F75" s="491" t="n"/>
      <c r="G75" s="491" t="n"/>
      <c r="H75" s="491" t="n"/>
      <c r="I75" s="491" t="n"/>
      <c r="J75" s="491" t="n"/>
      <c r="K75" s="491" t="n"/>
      <c r="L75" s="491" t="n"/>
      <c r="M75" s="491" t="n"/>
      <c r="N75" s="491" t="n"/>
      <c r="O75" s="491" t="n"/>
      <c r="P75" s="491" t="n"/>
      <c r="Q75" s="491" t="n"/>
      <c r="R75" s="491" t="n"/>
      <c r="S75" s="491" t="n"/>
      <c r="T75" s="491" t="n"/>
      <c r="U75" s="491" t="n"/>
      <c r="V75" s="491" t="n"/>
      <c r="W75" s="491" t="n"/>
      <c r="X75" s="491" t="n"/>
      <c r="Y75" s="491" t="n"/>
      <c r="Z75" s="491" t="n"/>
    </row>
    <row r="76" ht="12.75" customHeight="1" s="398">
      <c r="A76" s="491" t="n"/>
      <c r="B76" s="491" t="n"/>
      <c r="C76" s="491" t="n"/>
      <c r="D76" s="491" t="n"/>
      <c r="E76" s="491" t="n"/>
      <c r="F76" s="491" t="n"/>
      <c r="G76" s="491" t="n"/>
      <c r="H76" s="491" t="n"/>
      <c r="I76" s="491" t="n"/>
      <c r="J76" s="491" t="n"/>
      <c r="K76" s="491" t="n"/>
      <c r="L76" s="491" t="n"/>
      <c r="M76" s="491" t="n"/>
      <c r="N76" s="491" t="n"/>
      <c r="O76" s="491" t="n"/>
      <c r="P76" s="491" t="n"/>
      <c r="Q76" s="491" t="n"/>
      <c r="R76" s="491" t="n"/>
      <c r="S76" s="491" t="n"/>
      <c r="T76" s="491" t="n"/>
      <c r="U76" s="491" t="n"/>
      <c r="V76" s="491" t="n"/>
      <c r="W76" s="491" t="n"/>
      <c r="X76" s="491" t="n"/>
      <c r="Y76" s="491" t="n"/>
      <c r="Z76" s="491" t="n"/>
    </row>
    <row r="77" ht="12.75" customHeight="1" s="398">
      <c r="A77" s="491" t="n"/>
      <c r="B77" s="491" t="n"/>
      <c r="C77" s="491" t="n"/>
      <c r="D77" s="491" t="n"/>
      <c r="E77" s="491" t="n"/>
      <c r="F77" s="491" t="n"/>
      <c r="G77" s="491" t="n"/>
      <c r="H77" s="491" t="n"/>
      <c r="I77" s="491" t="n"/>
      <c r="J77" s="491" t="n"/>
      <c r="K77" s="491" t="n"/>
      <c r="L77" s="491" t="n"/>
      <c r="M77" s="491" t="n"/>
      <c r="N77" s="491" t="n"/>
      <c r="O77" s="491" t="n"/>
      <c r="P77" s="491" t="n"/>
      <c r="Q77" s="491" t="n"/>
      <c r="R77" s="491" t="n"/>
      <c r="S77" s="491" t="n"/>
      <c r="T77" s="491" t="n"/>
      <c r="U77" s="491" t="n"/>
      <c r="V77" s="491" t="n"/>
      <c r="W77" s="491" t="n"/>
      <c r="X77" s="491" t="n"/>
      <c r="Y77" s="491" t="n"/>
      <c r="Z77" s="491" t="n"/>
    </row>
    <row r="78" ht="12.75" customHeight="1" s="398">
      <c r="A78" s="491" t="n"/>
      <c r="B78" s="491" t="n"/>
      <c r="C78" s="491" t="n"/>
      <c r="D78" s="491" t="n"/>
      <c r="E78" s="491" t="n"/>
      <c r="F78" s="491" t="n"/>
      <c r="G78" s="491" t="n"/>
      <c r="H78" s="491" t="n"/>
      <c r="I78" s="491" t="n"/>
      <c r="J78" s="491" t="n"/>
      <c r="K78" s="491" t="n"/>
      <c r="L78" s="491" t="n"/>
      <c r="M78" s="491" t="n"/>
      <c r="N78" s="491" t="n"/>
      <c r="O78" s="491" t="n"/>
      <c r="P78" s="491" t="n"/>
      <c r="Q78" s="491" t="n"/>
      <c r="R78" s="491" t="n"/>
      <c r="S78" s="491" t="n"/>
      <c r="T78" s="491" t="n"/>
      <c r="U78" s="491" t="n"/>
      <c r="V78" s="491" t="n"/>
      <c r="W78" s="491" t="n"/>
      <c r="X78" s="491" t="n"/>
      <c r="Y78" s="491" t="n"/>
      <c r="Z78" s="491" t="n"/>
    </row>
    <row r="79" ht="12.75" customHeight="1" s="398">
      <c r="A79" s="491" t="n"/>
      <c r="B79" s="491" t="n"/>
      <c r="C79" s="491" t="n"/>
      <c r="D79" s="491" t="n"/>
      <c r="E79" s="491" t="n"/>
      <c r="F79" s="491" t="n"/>
      <c r="G79" s="491" t="n"/>
      <c r="H79" s="491" t="n"/>
      <c r="I79" s="491" t="n"/>
      <c r="J79" s="491" t="n"/>
      <c r="K79" s="491" t="n"/>
      <c r="L79" s="491" t="n"/>
      <c r="M79" s="491" t="n"/>
      <c r="N79" s="491" t="n"/>
      <c r="O79" s="491" t="n"/>
      <c r="P79" s="491" t="n"/>
      <c r="Q79" s="491" t="n"/>
      <c r="R79" s="491" t="n"/>
      <c r="S79" s="491" t="n"/>
      <c r="T79" s="491" t="n"/>
      <c r="U79" s="491" t="n"/>
      <c r="V79" s="491" t="n"/>
      <c r="W79" s="491" t="n"/>
      <c r="X79" s="491" t="n"/>
      <c r="Y79" s="491" t="n"/>
      <c r="Z79" s="491" t="n"/>
    </row>
    <row r="80" ht="12.75" customHeight="1" s="398">
      <c r="A80" s="491" t="n"/>
      <c r="B80" s="491" t="n"/>
      <c r="C80" s="491" t="n"/>
      <c r="D80" s="491" t="n"/>
      <c r="E80" s="491" t="n"/>
      <c r="F80" s="491" t="n"/>
      <c r="G80" s="491" t="n"/>
      <c r="H80" s="491" t="n"/>
      <c r="I80" s="491" t="n"/>
      <c r="J80" s="491" t="n"/>
      <c r="K80" s="491" t="n"/>
      <c r="L80" s="491" t="n"/>
      <c r="M80" s="491" t="n"/>
      <c r="N80" s="491" t="n"/>
      <c r="O80" s="491" t="n"/>
      <c r="P80" s="491" t="n"/>
      <c r="Q80" s="491" t="n"/>
      <c r="R80" s="491" t="n"/>
      <c r="S80" s="491" t="n"/>
      <c r="T80" s="491" t="n"/>
      <c r="U80" s="491" t="n"/>
      <c r="V80" s="491" t="n"/>
      <c r="W80" s="491" t="n"/>
      <c r="X80" s="491" t="n"/>
      <c r="Y80" s="491" t="n"/>
      <c r="Z80" s="491" t="n"/>
    </row>
    <row r="81" ht="12.75" customHeight="1" s="398">
      <c r="A81" s="491" t="n"/>
      <c r="B81" s="491" t="n"/>
      <c r="C81" s="491" t="n"/>
      <c r="D81" s="491" t="n"/>
      <c r="E81" s="491" t="n"/>
      <c r="F81" s="491" t="n"/>
      <c r="G81" s="491" t="n"/>
      <c r="H81" s="491" t="n"/>
      <c r="I81" s="491" t="n"/>
      <c r="J81" s="491" t="n"/>
      <c r="K81" s="491" t="n"/>
      <c r="L81" s="491" t="n"/>
      <c r="M81" s="491" t="n"/>
      <c r="N81" s="491" t="n"/>
      <c r="O81" s="491" t="n"/>
      <c r="P81" s="491" t="n"/>
      <c r="Q81" s="491" t="n"/>
      <c r="R81" s="491" t="n"/>
      <c r="S81" s="491" t="n"/>
      <c r="T81" s="491" t="n"/>
      <c r="U81" s="491" t="n"/>
      <c r="V81" s="491" t="n"/>
      <c r="W81" s="491" t="n"/>
      <c r="X81" s="491" t="n"/>
      <c r="Y81" s="491" t="n"/>
      <c r="Z81" s="491" t="n"/>
    </row>
    <row r="82" ht="12.75" customHeight="1" s="398">
      <c r="A82" s="491" t="n"/>
      <c r="B82" s="491" t="n"/>
      <c r="C82" s="491" t="n"/>
      <c r="D82" s="491" t="n"/>
      <c r="E82" s="491" t="n"/>
      <c r="F82" s="491" t="n"/>
      <c r="G82" s="491" t="n"/>
      <c r="H82" s="491" t="n"/>
      <c r="I82" s="491" t="n"/>
      <c r="J82" s="491" t="n"/>
      <c r="K82" s="491" t="n"/>
      <c r="L82" s="491" t="n"/>
      <c r="M82" s="491" t="n"/>
      <c r="N82" s="491" t="n"/>
      <c r="O82" s="491" t="n"/>
      <c r="P82" s="491" t="n"/>
      <c r="Q82" s="491" t="n"/>
      <c r="R82" s="491" t="n"/>
      <c r="S82" s="491" t="n"/>
      <c r="T82" s="491" t="n"/>
      <c r="U82" s="491" t="n"/>
      <c r="V82" s="491" t="n"/>
      <c r="W82" s="491" t="n"/>
      <c r="X82" s="491" t="n"/>
      <c r="Y82" s="491" t="n"/>
      <c r="Z82" s="491" t="n"/>
    </row>
    <row r="83" ht="12.75" customHeight="1" s="398">
      <c r="A83" s="491" t="n"/>
      <c r="B83" s="491" t="n"/>
      <c r="C83" s="491" t="n"/>
      <c r="D83" s="491" t="n"/>
      <c r="E83" s="491" t="n"/>
      <c r="F83" s="491" t="n"/>
      <c r="G83" s="491" t="n"/>
      <c r="H83" s="491" t="n"/>
      <c r="I83" s="491" t="n"/>
      <c r="J83" s="491" t="n"/>
      <c r="K83" s="491" t="n"/>
      <c r="L83" s="491" t="n"/>
      <c r="M83" s="491" t="n"/>
      <c r="N83" s="491" t="n"/>
      <c r="O83" s="491" t="n"/>
      <c r="P83" s="491" t="n"/>
      <c r="Q83" s="491" t="n"/>
      <c r="R83" s="491" t="n"/>
      <c r="S83" s="491" t="n"/>
      <c r="T83" s="491" t="n"/>
      <c r="U83" s="491" t="n"/>
      <c r="V83" s="491" t="n"/>
      <c r="W83" s="491" t="n"/>
      <c r="X83" s="491" t="n"/>
      <c r="Y83" s="491" t="n"/>
      <c r="Z83" s="491" t="n"/>
    </row>
    <row r="84" ht="12.75" customHeight="1" s="398">
      <c r="A84" s="491" t="n"/>
      <c r="B84" s="491" t="n"/>
      <c r="C84" s="491" t="n"/>
      <c r="D84" s="491" t="n"/>
      <c r="E84" s="491" t="n"/>
      <c r="F84" s="491" t="n"/>
      <c r="G84" s="491" t="n"/>
      <c r="H84" s="491" t="n"/>
      <c r="I84" s="491" t="n"/>
      <c r="J84" s="491" t="n"/>
      <c r="K84" s="491" t="n"/>
      <c r="L84" s="491" t="n"/>
      <c r="M84" s="491" t="n"/>
      <c r="N84" s="491" t="n"/>
      <c r="O84" s="491" t="n"/>
      <c r="P84" s="491" t="n"/>
      <c r="Q84" s="491" t="n"/>
      <c r="R84" s="491" t="n"/>
      <c r="S84" s="491" t="n"/>
      <c r="T84" s="491" t="n"/>
      <c r="U84" s="491" t="n"/>
      <c r="V84" s="491" t="n"/>
      <c r="W84" s="491" t="n"/>
      <c r="X84" s="491" t="n"/>
      <c r="Y84" s="491" t="n"/>
      <c r="Z84" s="491" t="n"/>
    </row>
    <row r="85" ht="12.75" customHeight="1" s="398">
      <c r="A85" s="491" t="n"/>
      <c r="B85" s="491" t="n"/>
      <c r="C85" s="491" t="n"/>
      <c r="D85" s="491" t="n"/>
      <c r="E85" s="491" t="n"/>
      <c r="F85" s="491" t="n"/>
      <c r="G85" s="491" t="n"/>
      <c r="H85" s="491" t="n"/>
      <c r="I85" s="491" t="n"/>
      <c r="J85" s="491" t="n"/>
      <c r="K85" s="491" t="n"/>
      <c r="L85" s="491" t="n"/>
      <c r="M85" s="491" t="n"/>
      <c r="N85" s="491" t="n"/>
      <c r="O85" s="491" t="n"/>
      <c r="P85" s="491" t="n"/>
      <c r="Q85" s="491" t="n"/>
      <c r="R85" s="491" t="n"/>
      <c r="S85" s="491" t="n"/>
      <c r="T85" s="491" t="n"/>
      <c r="U85" s="491" t="n"/>
      <c r="V85" s="491" t="n"/>
      <c r="W85" s="491" t="n"/>
      <c r="X85" s="491" t="n"/>
      <c r="Y85" s="491" t="n"/>
      <c r="Z85" s="491" t="n"/>
    </row>
    <row r="86" ht="12.75" customHeight="1" s="398">
      <c r="A86" s="491" t="n"/>
      <c r="B86" s="491" t="n"/>
      <c r="C86" s="491" t="n"/>
      <c r="D86" s="491" t="n"/>
      <c r="E86" s="491" t="n"/>
      <c r="F86" s="491" t="n"/>
      <c r="G86" s="491" t="n"/>
      <c r="H86" s="491" t="n"/>
      <c r="I86" s="491" t="n"/>
      <c r="J86" s="491" t="n"/>
      <c r="K86" s="491" t="n"/>
      <c r="L86" s="491" t="n"/>
      <c r="M86" s="491" t="n"/>
      <c r="N86" s="491" t="n"/>
      <c r="O86" s="491" t="n"/>
      <c r="P86" s="491" t="n"/>
      <c r="Q86" s="491" t="n"/>
      <c r="R86" s="491" t="n"/>
      <c r="S86" s="491" t="n"/>
      <c r="T86" s="491" t="n"/>
      <c r="U86" s="491" t="n"/>
      <c r="V86" s="491" t="n"/>
      <c r="W86" s="491" t="n"/>
      <c r="X86" s="491" t="n"/>
      <c r="Y86" s="491" t="n"/>
      <c r="Z86" s="491" t="n"/>
    </row>
    <row r="87" ht="12.75" customHeight="1" s="398">
      <c r="A87" s="491" t="n"/>
      <c r="B87" s="491" t="n"/>
      <c r="C87" s="491" t="n"/>
      <c r="D87" s="491" t="n"/>
      <c r="E87" s="491" t="n"/>
      <c r="F87" s="491" t="n"/>
      <c r="G87" s="491" t="n"/>
      <c r="H87" s="491" t="n"/>
      <c r="I87" s="491" t="n"/>
      <c r="J87" s="491" t="n"/>
      <c r="K87" s="491" t="n"/>
      <c r="L87" s="491" t="n"/>
      <c r="M87" s="491" t="n"/>
      <c r="N87" s="491" t="n"/>
      <c r="O87" s="491" t="n"/>
      <c r="P87" s="491" t="n"/>
      <c r="Q87" s="491" t="n"/>
      <c r="R87" s="491" t="n"/>
      <c r="S87" s="491" t="n"/>
      <c r="T87" s="491" t="n"/>
      <c r="U87" s="491" t="n"/>
      <c r="V87" s="491" t="n"/>
      <c r="W87" s="491" t="n"/>
      <c r="X87" s="491" t="n"/>
      <c r="Y87" s="491" t="n"/>
      <c r="Z87" s="491" t="n"/>
    </row>
    <row r="88" ht="12.75" customHeight="1" s="398">
      <c r="A88" s="491" t="n"/>
      <c r="B88" s="491" t="n"/>
      <c r="C88" s="491" t="n"/>
      <c r="D88" s="491" t="n"/>
      <c r="E88" s="491" t="n"/>
      <c r="F88" s="491" t="n"/>
      <c r="G88" s="491" t="n"/>
      <c r="H88" s="491" t="n"/>
      <c r="I88" s="491" t="n"/>
      <c r="J88" s="491" t="n"/>
      <c r="K88" s="491" t="n"/>
      <c r="L88" s="491" t="n"/>
      <c r="M88" s="491" t="n"/>
      <c r="N88" s="491" t="n"/>
      <c r="O88" s="491" t="n"/>
      <c r="P88" s="491" t="n"/>
      <c r="Q88" s="491" t="n"/>
      <c r="R88" s="491" t="n"/>
      <c r="S88" s="491" t="n"/>
      <c r="T88" s="491" t="n"/>
      <c r="U88" s="491" t="n"/>
      <c r="V88" s="491" t="n"/>
      <c r="W88" s="491" t="n"/>
      <c r="X88" s="491" t="n"/>
      <c r="Y88" s="491" t="n"/>
      <c r="Z88" s="491" t="n"/>
    </row>
    <row r="89" ht="12.75" customHeight="1" s="398">
      <c r="A89" s="491" t="n"/>
      <c r="B89" s="491" t="n"/>
      <c r="C89" s="491" t="n"/>
      <c r="D89" s="491" t="n"/>
      <c r="E89" s="491" t="n"/>
      <c r="F89" s="491" t="n"/>
      <c r="G89" s="491" t="n"/>
      <c r="H89" s="491" t="n"/>
      <c r="I89" s="491" t="n"/>
      <c r="J89" s="491" t="n"/>
      <c r="K89" s="491" t="n"/>
      <c r="L89" s="491" t="n"/>
      <c r="M89" s="491" t="n"/>
      <c r="N89" s="491" t="n"/>
      <c r="O89" s="491" t="n"/>
      <c r="P89" s="491" t="n"/>
      <c r="Q89" s="491" t="n"/>
      <c r="R89" s="491" t="n"/>
      <c r="S89" s="491" t="n"/>
      <c r="T89" s="491" t="n"/>
      <c r="U89" s="491" t="n"/>
      <c r="V89" s="491" t="n"/>
      <c r="W89" s="491" t="n"/>
      <c r="X89" s="491" t="n"/>
      <c r="Y89" s="491" t="n"/>
      <c r="Z89" s="491" t="n"/>
    </row>
    <row r="90" ht="12.75" customHeight="1" s="398">
      <c r="A90" s="491" t="n"/>
      <c r="B90" s="491" t="n"/>
      <c r="C90" s="491" t="n"/>
      <c r="D90" s="491" t="n"/>
      <c r="E90" s="491" t="n"/>
      <c r="F90" s="491" t="n"/>
      <c r="G90" s="491" t="n"/>
      <c r="H90" s="491" t="n"/>
      <c r="I90" s="491" t="n"/>
      <c r="J90" s="491" t="n"/>
      <c r="K90" s="491" t="n"/>
      <c r="L90" s="491" t="n"/>
      <c r="M90" s="491" t="n"/>
      <c r="N90" s="491" t="n"/>
      <c r="O90" s="491" t="n"/>
      <c r="P90" s="491" t="n"/>
      <c r="Q90" s="491" t="n"/>
      <c r="R90" s="491" t="n"/>
      <c r="S90" s="491" t="n"/>
      <c r="T90" s="491" t="n"/>
      <c r="U90" s="491" t="n"/>
      <c r="V90" s="491" t="n"/>
      <c r="W90" s="491" t="n"/>
      <c r="X90" s="491" t="n"/>
      <c r="Y90" s="491" t="n"/>
      <c r="Z90" s="491" t="n"/>
    </row>
    <row r="91" ht="12.75" customHeight="1" s="398">
      <c r="A91" s="491" t="n"/>
      <c r="B91" s="491" t="n"/>
      <c r="C91" s="491" t="n"/>
      <c r="D91" s="491" t="n"/>
      <c r="E91" s="491" t="n"/>
      <c r="F91" s="491" t="n"/>
      <c r="G91" s="491" t="n"/>
      <c r="H91" s="491" t="n"/>
      <c r="I91" s="491" t="n"/>
      <c r="J91" s="491" t="n"/>
      <c r="K91" s="491" t="n"/>
      <c r="L91" s="491" t="n"/>
      <c r="M91" s="491" t="n"/>
      <c r="N91" s="491" t="n"/>
      <c r="O91" s="491" t="n"/>
      <c r="P91" s="491" t="n"/>
      <c r="Q91" s="491" t="n"/>
      <c r="R91" s="491" t="n"/>
      <c r="S91" s="491" t="n"/>
      <c r="T91" s="491" t="n"/>
      <c r="U91" s="491" t="n"/>
      <c r="V91" s="491" t="n"/>
      <c r="W91" s="491" t="n"/>
      <c r="X91" s="491" t="n"/>
      <c r="Y91" s="491" t="n"/>
      <c r="Z91" s="491" t="n"/>
    </row>
    <row r="92" ht="12.75" customHeight="1" s="398">
      <c r="A92" s="491" t="n"/>
      <c r="B92" s="491" t="n"/>
      <c r="C92" s="491" t="n"/>
      <c r="D92" s="491" t="n"/>
      <c r="E92" s="491" t="n"/>
      <c r="F92" s="491" t="n"/>
      <c r="G92" s="491" t="n"/>
      <c r="H92" s="491" t="n"/>
      <c r="I92" s="491" t="n"/>
      <c r="J92" s="491" t="n"/>
      <c r="K92" s="491" t="n"/>
      <c r="L92" s="491" t="n"/>
      <c r="M92" s="491" t="n"/>
      <c r="N92" s="491" t="n"/>
      <c r="O92" s="491" t="n"/>
      <c r="P92" s="491" t="n"/>
      <c r="Q92" s="491" t="n"/>
      <c r="R92" s="491" t="n"/>
      <c r="S92" s="491" t="n"/>
      <c r="T92" s="491" t="n"/>
      <c r="U92" s="491" t="n"/>
      <c r="V92" s="491" t="n"/>
      <c r="W92" s="491" t="n"/>
      <c r="X92" s="491" t="n"/>
      <c r="Y92" s="491" t="n"/>
      <c r="Z92" s="491" t="n"/>
    </row>
    <row r="93" ht="12.75" customHeight="1" s="398">
      <c r="A93" s="491" t="n"/>
      <c r="B93" s="491" t="n"/>
      <c r="C93" s="491" t="n"/>
      <c r="D93" s="491" t="n"/>
      <c r="E93" s="491" t="n"/>
      <c r="F93" s="491" t="n"/>
      <c r="G93" s="491" t="n"/>
      <c r="H93" s="491" t="n"/>
      <c r="I93" s="491" t="n"/>
      <c r="J93" s="491" t="n"/>
      <c r="K93" s="491" t="n"/>
      <c r="L93" s="491" t="n"/>
      <c r="M93" s="491" t="n"/>
      <c r="N93" s="491" t="n"/>
      <c r="O93" s="491" t="n"/>
      <c r="P93" s="491" t="n"/>
      <c r="Q93" s="491" t="n"/>
      <c r="R93" s="491" t="n"/>
      <c r="S93" s="491" t="n"/>
      <c r="T93" s="491" t="n"/>
      <c r="U93" s="491" t="n"/>
      <c r="V93" s="491" t="n"/>
      <c r="W93" s="491" t="n"/>
      <c r="X93" s="491" t="n"/>
      <c r="Y93" s="491" t="n"/>
      <c r="Z93" s="491" t="n"/>
    </row>
    <row r="94" ht="12.75" customHeight="1" s="398">
      <c r="A94" s="491" t="n"/>
      <c r="B94" s="491" t="n"/>
      <c r="C94" s="491" t="n"/>
      <c r="D94" s="491" t="n"/>
      <c r="E94" s="491" t="n"/>
      <c r="F94" s="491" t="n"/>
      <c r="G94" s="491" t="n"/>
      <c r="H94" s="491" t="n"/>
      <c r="I94" s="491" t="n"/>
      <c r="J94" s="491" t="n"/>
      <c r="K94" s="491" t="n"/>
      <c r="L94" s="491" t="n"/>
      <c r="M94" s="491" t="n"/>
      <c r="N94" s="491" t="n"/>
      <c r="O94" s="491" t="n"/>
      <c r="P94" s="491" t="n"/>
      <c r="Q94" s="491" t="n"/>
      <c r="R94" s="491" t="n"/>
      <c r="S94" s="491" t="n"/>
      <c r="T94" s="491" t="n"/>
      <c r="U94" s="491" t="n"/>
      <c r="V94" s="491" t="n"/>
      <c r="W94" s="491" t="n"/>
      <c r="X94" s="491" t="n"/>
      <c r="Y94" s="491" t="n"/>
      <c r="Z94" s="491" t="n"/>
    </row>
    <row r="95" ht="12.75" customHeight="1" s="398">
      <c r="A95" s="491" t="n"/>
      <c r="B95" s="491" t="n"/>
      <c r="C95" s="491" t="n"/>
      <c r="D95" s="491" t="n"/>
      <c r="E95" s="491" t="n"/>
      <c r="F95" s="491" t="n"/>
      <c r="G95" s="491" t="n"/>
      <c r="H95" s="491" t="n"/>
      <c r="I95" s="491" t="n"/>
      <c r="J95" s="491" t="n"/>
      <c r="K95" s="491" t="n"/>
      <c r="L95" s="491" t="n"/>
      <c r="M95" s="491" t="n"/>
      <c r="N95" s="491" t="n"/>
      <c r="O95" s="491" t="n"/>
      <c r="P95" s="491" t="n"/>
      <c r="Q95" s="491" t="n"/>
      <c r="R95" s="491" t="n"/>
      <c r="S95" s="491" t="n"/>
      <c r="T95" s="491" t="n"/>
      <c r="U95" s="491" t="n"/>
      <c r="V95" s="491" t="n"/>
      <c r="W95" s="491" t="n"/>
      <c r="X95" s="491" t="n"/>
      <c r="Y95" s="491" t="n"/>
      <c r="Z95" s="491" t="n"/>
    </row>
    <row r="96" ht="12.75" customHeight="1" s="398">
      <c r="A96" s="491" t="n"/>
      <c r="B96" s="491" t="n"/>
      <c r="C96" s="491" t="n"/>
      <c r="D96" s="491" t="n"/>
      <c r="E96" s="491" t="n"/>
      <c r="F96" s="491" t="n"/>
      <c r="G96" s="491" t="n"/>
      <c r="H96" s="491" t="n"/>
      <c r="I96" s="491" t="n"/>
      <c r="J96" s="491" t="n"/>
      <c r="K96" s="491" t="n"/>
      <c r="L96" s="491" t="n"/>
      <c r="M96" s="491" t="n"/>
      <c r="N96" s="491" t="n"/>
      <c r="O96" s="491" t="n"/>
      <c r="P96" s="491" t="n"/>
      <c r="Q96" s="491" t="n"/>
      <c r="R96" s="491" t="n"/>
      <c r="S96" s="491" t="n"/>
      <c r="T96" s="491" t="n"/>
      <c r="U96" s="491" t="n"/>
      <c r="V96" s="491" t="n"/>
      <c r="W96" s="491" t="n"/>
      <c r="X96" s="491" t="n"/>
      <c r="Y96" s="491" t="n"/>
      <c r="Z96" s="491" t="n"/>
    </row>
    <row r="97" ht="12.75" customHeight="1" s="398">
      <c r="A97" s="491" t="n"/>
      <c r="B97" s="491" t="n"/>
      <c r="C97" s="491" t="n"/>
      <c r="D97" s="491" t="n"/>
      <c r="E97" s="491" t="n"/>
      <c r="F97" s="491" t="n"/>
      <c r="G97" s="491" t="n"/>
      <c r="H97" s="491" t="n"/>
      <c r="I97" s="491" t="n"/>
      <c r="J97" s="491" t="n"/>
      <c r="K97" s="491" t="n"/>
      <c r="L97" s="491" t="n"/>
      <c r="M97" s="491" t="n"/>
      <c r="N97" s="491" t="n"/>
      <c r="O97" s="491" t="n"/>
      <c r="P97" s="491" t="n"/>
      <c r="Q97" s="491" t="n"/>
      <c r="R97" s="491" t="n"/>
      <c r="S97" s="491" t="n"/>
      <c r="T97" s="491" t="n"/>
      <c r="U97" s="491" t="n"/>
      <c r="V97" s="491" t="n"/>
      <c r="W97" s="491" t="n"/>
      <c r="X97" s="491" t="n"/>
      <c r="Y97" s="491" t="n"/>
      <c r="Z97" s="491" t="n"/>
    </row>
    <row r="98" ht="12.75" customHeight="1" s="398">
      <c r="A98" s="491" t="n"/>
      <c r="B98" s="491" t="n"/>
      <c r="C98" s="491" t="n"/>
      <c r="D98" s="491" t="n"/>
      <c r="E98" s="491" t="n"/>
      <c r="F98" s="491" t="n"/>
      <c r="G98" s="491" t="n"/>
      <c r="H98" s="491" t="n"/>
      <c r="I98" s="491" t="n"/>
      <c r="J98" s="491" t="n"/>
      <c r="K98" s="491" t="n"/>
      <c r="L98" s="491" t="n"/>
      <c r="M98" s="491" t="n"/>
      <c r="N98" s="491" t="n"/>
      <c r="O98" s="491" t="n"/>
      <c r="P98" s="491" t="n"/>
      <c r="Q98" s="491" t="n"/>
      <c r="R98" s="491" t="n"/>
      <c r="S98" s="491" t="n"/>
      <c r="T98" s="491" t="n"/>
      <c r="U98" s="491" t="n"/>
      <c r="V98" s="491" t="n"/>
      <c r="W98" s="491" t="n"/>
      <c r="X98" s="491" t="n"/>
      <c r="Y98" s="491" t="n"/>
      <c r="Z98" s="491" t="n"/>
    </row>
    <row r="99" ht="12.75" customHeight="1" s="398">
      <c r="A99" s="491" t="n"/>
      <c r="B99" s="491" t="n"/>
      <c r="C99" s="491" t="n"/>
      <c r="D99" s="491" t="n"/>
      <c r="E99" s="491" t="n"/>
      <c r="F99" s="491" t="n"/>
      <c r="G99" s="491" t="n"/>
      <c r="H99" s="491" t="n"/>
      <c r="I99" s="491" t="n"/>
      <c r="J99" s="491" t="n"/>
      <c r="K99" s="491" t="n"/>
      <c r="L99" s="491" t="n"/>
      <c r="M99" s="491" t="n"/>
      <c r="N99" s="491" t="n"/>
      <c r="O99" s="491" t="n"/>
      <c r="P99" s="491" t="n"/>
      <c r="Q99" s="491" t="n"/>
      <c r="R99" s="491" t="n"/>
      <c r="S99" s="491" t="n"/>
      <c r="T99" s="491" t="n"/>
      <c r="U99" s="491" t="n"/>
      <c r="V99" s="491" t="n"/>
      <c r="W99" s="491" t="n"/>
      <c r="X99" s="491" t="n"/>
      <c r="Y99" s="491" t="n"/>
      <c r="Z99" s="491" t="n"/>
    </row>
    <row r="100" ht="12.75" customHeight="1" s="398">
      <c r="A100" s="491" t="n"/>
      <c r="B100" s="491" t="n"/>
      <c r="C100" s="491" t="n"/>
      <c r="D100" s="491" t="n"/>
      <c r="E100" s="491" t="n"/>
      <c r="F100" s="491" t="n"/>
      <c r="G100" s="491" t="n"/>
      <c r="H100" s="491" t="n"/>
      <c r="I100" s="491" t="n"/>
      <c r="J100" s="491" t="n"/>
      <c r="K100" s="491" t="n"/>
      <c r="L100" s="491" t="n"/>
      <c r="M100" s="491" t="n"/>
      <c r="N100" s="491" t="n"/>
      <c r="O100" s="491" t="n"/>
      <c r="P100" s="491" t="n"/>
      <c r="Q100" s="491" t="n"/>
      <c r="R100" s="491" t="n"/>
      <c r="S100" s="491" t="n"/>
      <c r="T100" s="491" t="n"/>
      <c r="U100" s="491" t="n"/>
      <c r="V100" s="491" t="n"/>
      <c r="W100" s="491" t="n"/>
      <c r="X100" s="491" t="n"/>
      <c r="Y100" s="491" t="n"/>
      <c r="Z100" s="491" t="n"/>
    </row>
    <row r="101" ht="12.75" customHeight="1" s="398">
      <c r="A101" s="491" t="n"/>
      <c r="B101" s="491" t="n"/>
      <c r="C101" s="491" t="n"/>
      <c r="D101" s="491" t="n"/>
      <c r="E101" s="491" t="n"/>
      <c r="F101" s="491" t="n"/>
      <c r="G101" s="491" t="n"/>
      <c r="H101" s="491" t="n"/>
      <c r="I101" s="491" t="n"/>
      <c r="J101" s="491" t="n"/>
      <c r="K101" s="491" t="n"/>
      <c r="L101" s="491" t="n"/>
      <c r="M101" s="491" t="n"/>
      <c r="N101" s="491" t="n"/>
      <c r="O101" s="491" t="n"/>
      <c r="P101" s="491" t="n"/>
      <c r="Q101" s="491" t="n"/>
      <c r="R101" s="491" t="n"/>
      <c r="S101" s="491" t="n"/>
      <c r="T101" s="491" t="n"/>
      <c r="U101" s="491" t="n"/>
      <c r="V101" s="491" t="n"/>
      <c r="W101" s="491" t="n"/>
      <c r="X101" s="491" t="n"/>
      <c r="Y101" s="491" t="n"/>
      <c r="Z101" s="491" t="n"/>
    </row>
    <row r="102" ht="12.75" customHeight="1" s="398">
      <c r="A102" s="491" t="n"/>
      <c r="B102" s="491" t="n"/>
      <c r="C102" s="491" t="n"/>
      <c r="D102" s="491" t="n"/>
      <c r="E102" s="491" t="n"/>
      <c r="F102" s="491" t="n"/>
      <c r="G102" s="491" t="n"/>
      <c r="H102" s="491" t="n"/>
      <c r="I102" s="491" t="n"/>
      <c r="J102" s="491" t="n"/>
      <c r="K102" s="491" t="n"/>
      <c r="L102" s="491" t="n"/>
      <c r="M102" s="491" t="n"/>
      <c r="N102" s="491" t="n"/>
      <c r="O102" s="491" t="n"/>
      <c r="P102" s="491" t="n"/>
      <c r="Q102" s="491" t="n"/>
      <c r="R102" s="491" t="n"/>
      <c r="S102" s="491" t="n"/>
      <c r="T102" s="491" t="n"/>
      <c r="U102" s="491" t="n"/>
      <c r="V102" s="491" t="n"/>
      <c r="W102" s="491" t="n"/>
      <c r="X102" s="491" t="n"/>
      <c r="Y102" s="491" t="n"/>
      <c r="Z102" s="491" t="n"/>
    </row>
    <row r="103" ht="12.75" customHeight="1" s="398">
      <c r="A103" s="491" t="n"/>
      <c r="B103" s="491" t="n"/>
      <c r="C103" s="491" t="n"/>
      <c r="D103" s="491" t="n"/>
      <c r="E103" s="491" t="n"/>
      <c r="F103" s="491" t="n"/>
      <c r="G103" s="491" t="n"/>
      <c r="H103" s="491" t="n"/>
      <c r="I103" s="491" t="n"/>
      <c r="J103" s="491" t="n"/>
      <c r="K103" s="491" t="n"/>
      <c r="L103" s="491" t="n"/>
      <c r="M103" s="491" t="n"/>
      <c r="N103" s="491" t="n"/>
      <c r="O103" s="491" t="n"/>
      <c r="P103" s="491" t="n"/>
      <c r="Q103" s="491" t="n"/>
      <c r="R103" s="491" t="n"/>
      <c r="S103" s="491" t="n"/>
      <c r="T103" s="491" t="n"/>
      <c r="U103" s="491" t="n"/>
      <c r="V103" s="491" t="n"/>
      <c r="W103" s="491" t="n"/>
      <c r="X103" s="491" t="n"/>
      <c r="Y103" s="491" t="n"/>
      <c r="Z103" s="491" t="n"/>
    </row>
    <row r="104" ht="12.75" customHeight="1" s="398">
      <c r="A104" s="491" t="n"/>
      <c r="B104" s="491" t="n"/>
      <c r="C104" s="491" t="n"/>
      <c r="D104" s="491" t="n"/>
      <c r="E104" s="491" t="n"/>
      <c r="F104" s="491" t="n"/>
      <c r="G104" s="491" t="n"/>
      <c r="H104" s="491" t="n"/>
      <c r="I104" s="491" t="n"/>
      <c r="J104" s="491" t="n"/>
      <c r="K104" s="491" t="n"/>
      <c r="L104" s="491" t="n"/>
      <c r="M104" s="491" t="n"/>
      <c r="N104" s="491" t="n"/>
      <c r="O104" s="491" t="n"/>
      <c r="P104" s="491" t="n"/>
      <c r="Q104" s="491" t="n"/>
      <c r="R104" s="491" t="n"/>
      <c r="S104" s="491" t="n"/>
      <c r="T104" s="491" t="n"/>
      <c r="U104" s="491" t="n"/>
      <c r="V104" s="491" t="n"/>
      <c r="W104" s="491" t="n"/>
      <c r="X104" s="491" t="n"/>
      <c r="Y104" s="491" t="n"/>
      <c r="Z104" s="491" t="n"/>
    </row>
    <row r="105" ht="12.75" customHeight="1" s="398">
      <c r="A105" s="491" t="n"/>
      <c r="B105" s="491" t="n"/>
      <c r="C105" s="491" t="n"/>
      <c r="D105" s="491" t="n"/>
      <c r="E105" s="491" t="n"/>
      <c r="F105" s="491" t="n"/>
      <c r="G105" s="491" t="n"/>
      <c r="H105" s="491" t="n"/>
      <c r="I105" s="491" t="n"/>
      <c r="J105" s="491" t="n"/>
      <c r="K105" s="491" t="n"/>
      <c r="L105" s="491" t="n"/>
      <c r="M105" s="491" t="n"/>
      <c r="N105" s="491" t="n"/>
      <c r="O105" s="491" t="n"/>
      <c r="P105" s="491" t="n"/>
      <c r="Q105" s="491" t="n"/>
      <c r="R105" s="491" t="n"/>
      <c r="S105" s="491" t="n"/>
      <c r="T105" s="491" t="n"/>
      <c r="U105" s="491" t="n"/>
      <c r="V105" s="491" t="n"/>
      <c r="W105" s="491" t="n"/>
      <c r="X105" s="491" t="n"/>
      <c r="Y105" s="491" t="n"/>
      <c r="Z105" s="491" t="n"/>
    </row>
    <row r="106" ht="12.75" customHeight="1" s="398">
      <c r="A106" s="491" t="n"/>
      <c r="B106" s="491" t="n"/>
      <c r="C106" s="491" t="n"/>
      <c r="D106" s="491" t="n"/>
      <c r="E106" s="491" t="n"/>
      <c r="F106" s="491" t="n"/>
      <c r="G106" s="491" t="n"/>
      <c r="H106" s="491" t="n"/>
      <c r="I106" s="491" t="n"/>
      <c r="J106" s="491" t="n"/>
      <c r="K106" s="491" t="n"/>
      <c r="L106" s="491" t="n"/>
      <c r="M106" s="491" t="n"/>
      <c r="N106" s="491" t="n"/>
      <c r="O106" s="491" t="n"/>
      <c r="P106" s="491" t="n"/>
      <c r="Q106" s="491" t="n"/>
      <c r="R106" s="491" t="n"/>
      <c r="S106" s="491" t="n"/>
      <c r="T106" s="491" t="n"/>
      <c r="U106" s="491" t="n"/>
      <c r="V106" s="491" t="n"/>
      <c r="W106" s="491" t="n"/>
      <c r="X106" s="491" t="n"/>
      <c r="Y106" s="491" t="n"/>
      <c r="Z106" s="491" t="n"/>
    </row>
    <row r="107" ht="12.75" customHeight="1" s="398">
      <c r="A107" s="491" t="n"/>
      <c r="B107" s="491" t="n"/>
      <c r="C107" s="491" t="n"/>
      <c r="D107" s="491" t="n"/>
      <c r="E107" s="491" t="n"/>
      <c r="F107" s="491" t="n"/>
      <c r="G107" s="491" t="n"/>
      <c r="H107" s="491" t="n"/>
      <c r="I107" s="491" t="n"/>
      <c r="J107" s="491" t="n"/>
      <c r="K107" s="491" t="n"/>
      <c r="L107" s="491" t="n"/>
      <c r="M107" s="491" t="n"/>
      <c r="N107" s="491" t="n"/>
      <c r="O107" s="491" t="n"/>
      <c r="P107" s="491" t="n"/>
      <c r="Q107" s="491" t="n"/>
      <c r="R107" s="491" t="n"/>
      <c r="S107" s="491" t="n"/>
      <c r="T107" s="491" t="n"/>
      <c r="U107" s="491" t="n"/>
      <c r="V107" s="491" t="n"/>
      <c r="W107" s="491" t="n"/>
      <c r="X107" s="491" t="n"/>
      <c r="Y107" s="491" t="n"/>
      <c r="Z107" s="491" t="n"/>
    </row>
    <row r="108" ht="12.75" customHeight="1" s="398">
      <c r="A108" s="491" t="n"/>
      <c r="B108" s="491" t="n"/>
      <c r="C108" s="491" t="n"/>
      <c r="D108" s="491" t="n"/>
      <c r="E108" s="491" t="n"/>
      <c r="F108" s="491" t="n"/>
      <c r="G108" s="491" t="n"/>
      <c r="H108" s="491" t="n"/>
      <c r="I108" s="491" t="n"/>
      <c r="J108" s="491" t="n"/>
      <c r="K108" s="491" t="n"/>
      <c r="L108" s="491" t="n"/>
      <c r="M108" s="491" t="n"/>
      <c r="N108" s="491" t="n"/>
      <c r="O108" s="491" t="n"/>
      <c r="P108" s="491" t="n"/>
      <c r="Q108" s="491" t="n"/>
      <c r="R108" s="491" t="n"/>
      <c r="S108" s="491" t="n"/>
      <c r="T108" s="491" t="n"/>
      <c r="U108" s="491" t="n"/>
      <c r="V108" s="491" t="n"/>
      <c r="W108" s="491" t="n"/>
      <c r="X108" s="491" t="n"/>
      <c r="Y108" s="491" t="n"/>
      <c r="Z108" s="491" t="n"/>
    </row>
    <row r="109" ht="12.75" customHeight="1" s="398">
      <c r="A109" s="491" t="n"/>
      <c r="B109" s="491" t="n"/>
      <c r="C109" s="491" t="n"/>
      <c r="D109" s="491" t="n"/>
      <c r="E109" s="491" t="n"/>
      <c r="F109" s="491" t="n"/>
      <c r="G109" s="491" t="n"/>
      <c r="H109" s="491" t="n"/>
      <c r="I109" s="491" t="n"/>
      <c r="J109" s="491" t="n"/>
      <c r="K109" s="491" t="n"/>
      <c r="L109" s="491" t="n"/>
      <c r="M109" s="491" t="n"/>
      <c r="N109" s="491" t="n"/>
      <c r="O109" s="491" t="n"/>
      <c r="P109" s="491" t="n"/>
      <c r="Q109" s="491" t="n"/>
      <c r="R109" s="491" t="n"/>
      <c r="S109" s="491" t="n"/>
      <c r="T109" s="491" t="n"/>
      <c r="U109" s="491" t="n"/>
      <c r="V109" s="491" t="n"/>
      <c r="W109" s="491" t="n"/>
      <c r="X109" s="491" t="n"/>
      <c r="Y109" s="491" t="n"/>
      <c r="Z109" s="491" t="n"/>
    </row>
    <row r="110" ht="12.75" customHeight="1" s="398">
      <c r="A110" s="491" t="n"/>
      <c r="B110" s="491" t="n"/>
      <c r="C110" s="491" t="n"/>
      <c r="D110" s="491" t="n"/>
      <c r="E110" s="491" t="n"/>
      <c r="F110" s="491" t="n"/>
      <c r="G110" s="491" t="n"/>
      <c r="H110" s="491" t="n"/>
      <c r="I110" s="491" t="n"/>
      <c r="J110" s="491" t="n"/>
      <c r="K110" s="491" t="n"/>
      <c r="L110" s="491" t="n"/>
      <c r="M110" s="491" t="n"/>
      <c r="N110" s="491" t="n"/>
      <c r="O110" s="491" t="n"/>
      <c r="P110" s="491" t="n"/>
      <c r="Q110" s="491" t="n"/>
      <c r="R110" s="491" t="n"/>
      <c r="S110" s="491" t="n"/>
      <c r="T110" s="491" t="n"/>
      <c r="U110" s="491" t="n"/>
      <c r="V110" s="491" t="n"/>
      <c r="W110" s="491" t="n"/>
      <c r="X110" s="491" t="n"/>
      <c r="Y110" s="491" t="n"/>
      <c r="Z110" s="491" t="n"/>
    </row>
    <row r="111" ht="12.75" customHeight="1" s="398">
      <c r="A111" s="491" t="n"/>
      <c r="B111" s="491" t="n"/>
      <c r="C111" s="491" t="n"/>
      <c r="D111" s="491" t="n"/>
      <c r="E111" s="491" t="n"/>
      <c r="F111" s="491" t="n"/>
      <c r="G111" s="491" t="n"/>
      <c r="H111" s="491" t="n"/>
      <c r="I111" s="491" t="n"/>
      <c r="J111" s="491" t="n"/>
      <c r="K111" s="491" t="n"/>
      <c r="L111" s="491" t="n"/>
      <c r="M111" s="491" t="n"/>
      <c r="N111" s="491" t="n"/>
      <c r="O111" s="491" t="n"/>
      <c r="P111" s="491" t="n"/>
      <c r="Q111" s="491" t="n"/>
      <c r="R111" s="491" t="n"/>
      <c r="S111" s="491" t="n"/>
      <c r="T111" s="491" t="n"/>
      <c r="U111" s="491" t="n"/>
      <c r="V111" s="491" t="n"/>
      <c r="W111" s="491" t="n"/>
      <c r="X111" s="491" t="n"/>
      <c r="Y111" s="491" t="n"/>
      <c r="Z111" s="491" t="n"/>
    </row>
    <row r="112" ht="12.75" customHeight="1" s="398">
      <c r="A112" s="491" t="n"/>
      <c r="B112" s="491" t="n"/>
      <c r="C112" s="491" t="n"/>
      <c r="D112" s="491" t="n"/>
      <c r="E112" s="491" t="n"/>
      <c r="F112" s="491" t="n"/>
      <c r="G112" s="491" t="n"/>
      <c r="H112" s="491" t="n"/>
      <c r="I112" s="491" t="n"/>
      <c r="J112" s="491" t="n"/>
      <c r="K112" s="491" t="n"/>
      <c r="L112" s="491" t="n"/>
      <c r="M112" s="491" t="n"/>
      <c r="N112" s="491" t="n"/>
      <c r="O112" s="491" t="n"/>
      <c r="P112" s="491" t="n"/>
      <c r="Q112" s="491" t="n"/>
      <c r="R112" s="491" t="n"/>
      <c r="S112" s="491" t="n"/>
      <c r="T112" s="491" t="n"/>
      <c r="U112" s="491" t="n"/>
      <c r="V112" s="491" t="n"/>
      <c r="W112" s="491" t="n"/>
      <c r="X112" s="491" t="n"/>
      <c r="Y112" s="491" t="n"/>
      <c r="Z112" s="491" t="n"/>
    </row>
    <row r="113" ht="12.75" customHeight="1" s="398">
      <c r="A113" s="491" t="n"/>
      <c r="B113" s="491" t="n"/>
      <c r="C113" s="491" t="n"/>
      <c r="D113" s="491" t="n"/>
      <c r="E113" s="491" t="n"/>
      <c r="F113" s="491" t="n"/>
      <c r="G113" s="491" t="n"/>
      <c r="H113" s="491" t="n"/>
      <c r="I113" s="491" t="n"/>
      <c r="J113" s="491" t="n"/>
      <c r="K113" s="491" t="n"/>
      <c r="L113" s="491" t="n"/>
      <c r="M113" s="491" t="n"/>
      <c r="N113" s="491" t="n"/>
      <c r="O113" s="491" t="n"/>
      <c r="P113" s="491" t="n"/>
      <c r="Q113" s="491" t="n"/>
      <c r="R113" s="491" t="n"/>
      <c r="S113" s="491" t="n"/>
      <c r="T113" s="491" t="n"/>
      <c r="U113" s="491" t="n"/>
      <c r="V113" s="491" t="n"/>
      <c r="W113" s="491" t="n"/>
      <c r="X113" s="491" t="n"/>
      <c r="Y113" s="491" t="n"/>
      <c r="Z113" s="491" t="n"/>
    </row>
    <row r="114" ht="12.75" customHeight="1" s="398">
      <c r="A114" s="491" t="n"/>
      <c r="B114" s="491" t="n"/>
      <c r="C114" s="491" t="n"/>
      <c r="D114" s="491" t="n"/>
      <c r="E114" s="491" t="n"/>
      <c r="F114" s="491" t="n"/>
      <c r="G114" s="491" t="n"/>
      <c r="H114" s="491" t="n"/>
      <c r="I114" s="491" t="n"/>
      <c r="J114" s="491" t="n"/>
      <c r="K114" s="491" t="n"/>
      <c r="L114" s="491" t="n"/>
      <c r="M114" s="491" t="n"/>
      <c r="N114" s="491" t="n"/>
      <c r="O114" s="491" t="n"/>
      <c r="P114" s="491" t="n"/>
      <c r="Q114" s="491" t="n"/>
      <c r="R114" s="491" t="n"/>
      <c r="S114" s="491" t="n"/>
      <c r="T114" s="491" t="n"/>
      <c r="U114" s="491" t="n"/>
      <c r="V114" s="491" t="n"/>
      <c r="W114" s="491" t="n"/>
      <c r="X114" s="491" t="n"/>
      <c r="Y114" s="491" t="n"/>
      <c r="Z114" s="491" t="n"/>
    </row>
    <row r="115" ht="12.75" customHeight="1" s="398">
      <c r="A115" s="491" t="n"/>
      <c r="B115" s="491" t="n"/>
      <c r="C115" s="491" t="n"/>
      <c r="D115" s="491" t="n"/>
      <c r="E115" s="491" t="n"/>
      <c r="F115" s="491" t="n"/>
      <c r="G115" s="491" t="n"/>
      <c r="H115" s="491" t="n"/>
      <c r="I115" s="491" t="n"/>
      <c r="J115" s="491" t="n"/>
      <c r="K115" s="491" t="n"/>
      <c r="L115" s="491" t="n"/>
      <c r="M115" s="491" t="n"/>
      <c r="N115" s="491" t="n"/>
      <c r="O115" s="491" t="n"/>
      <c r="P115" s="491" t="n"/>
      <c r="Q115" s="491" t="n"/>
      <c r="R115" s="491" t="n"/>
      <c r="S115" s="491" t="n"/>
      <c r="T115" s="491" t="n"/>
      <c r="U115" s="491" t="n"/>
      <c r="V115" s="491" t="n"/>
      <c r="W115" s="491" t="n"/>
      <c r="X115" s="491" t="n"/>
      <c r="Y115" s="491" t="n"/>
      <c r="Z115" s="491" t="n"/>
    </row>
    <row r="116" ht="12.75" customHeight="1" s="398">
      <c r="A116" s="491" t="n"/>
      <c r="B116" s="491" t="n"/>
      <c r="C116" s="491" t="n"/>
      <c r="D116" s="491" t="n"/>
      <c r="E116" s="491" t="n"/>
      <c r="F116" s="491" t="n"/>
      <c r="G116" s="491" t="n"/>
      <c r="H116" s="491" t="n"/>
      <c r="I116" s="491" t="n"/>
      <c r="J116" s="491" t="n"/>
      <c r="K116" s="491" t="n"/>
      <c r="L116" s="491" t="n"/>
      <c r="M116" s="491" t="n"/>
      <c r="N116" s="491" t="n"/>
      <c r="O116" s="491" t="n"/>
      <c r="P116" s="491" t="n"/>
      <c r="Q116" s="491" t="n"/>
      <c r="R116" s="491" t="n"/>
      <c r="S116" s="491" t="n"/>
      <c r="T116" s="491" t="n"/>
      <c r="U116" s="491" t="n"/>
      <c r="V116" s="491" t="n"/>
      <c r="W116" s="491" t="n"/>
      <c r="X116" s="491" t="n"/>
      <c r="Y116" s="491" t="n"/>
      <c r="Z116" s="491" t="n"/>
    </row>
    <row r="117" ht="12.75" customHeight="1" s="398">
      <c r="A117" s="491" t="n"/>
      <c r="B117" s="491" t="n"/>
      <c r="C117" s="491" t="n"/>
      <c r="D117" s="491" t="n"/>
      <c r="E117" s="491" t="n"/>
      <c r="F117" s="491" t="n"/>
      <c r="G117" s="491" t="n"/>
      <c r="H117" s="491" t="n"/>
      <c r="I117" s="491" t="n"/>
      <c r="J117" s="491" t="n"/>
      <c r="K117" s="491" t="n"/>
      <c r="L117" s="491" t="n"/>
      <c r="M117" s="491" t="n"/>
      <c r="N117" s="491" t="n"/>
      <c r="O117" s="491" t="n"/>
      <c r="P117" s="491" t="n"/>
      <c r="Q117" s="491" t="n"/>
      <c r="R117" s="491" t="n"/>
      <c r="S117" s="491" t="n"/>
      <c r="T117" s="491" t="n"/>
      <c r="U117" s="491" t="n"/>
      <c r="V117" s="491" t="n"/>
      <c r="W117" s="491" t="n"/>
      <c r="X117" s="491" t="n"/>
      <c r="Y117" s="491" t="n"/>
      <c r="Z117" s="491" t="n"/>
    </row>
    <row r="118" ht="12.75" customHeight="1" s="398">
      <c r="A118" s="491" t="n"/>
      <c r="B118" s="491" t="n"/>
      <c r="C118" s="491" t="n"/>
      <c r="D118" s="491" t="n"/>
      <c r="E118" s="491" t="n"/>
      <c r="F118" s="491" t="n"/>
      <c r="G118" s="491" t="n"/>
      <c r="H118" s="491" t="n"/>
      <c r="I118" s="491" t="n"/>
      <c r="J118" s="491" t="n"/>
      <c r="K118" s="491" t="n"/>
      <c r="L118" s="491" t="n"/>
      <c r="M118" s="491" t="n"/>
      <c r="N118" s="491" t="n"/>
      <c r="O118" s="491" t="n"/>
      <c r="P118" s="491" t="n"/>
      <c r="Q118" s="491" t="n"/>
      <c r="R118" s="491" t="n"/>
      <c r="S118" s="491" t="n"/>
      <c r="T118" s="491" t="n"/>
      <c r="U118" s="491" t="n"/>
      <c r="V118" s="491" t="n"/>
      <c r="W118" s="491" t="n"/>
      <c r="X118" s="491" t="n"/>
      <c r="Y118" s="491" t="n"/>
      <c r="Z118" s="491" t="n"/>
    </row>
    <row r="119" ht="12.75" customHeight="1" s="398">
      <c r="A119" s="491" t="n"/>
      <c r="B119" s="491" t="n"/>
      <c r="C119" s="491" t="n"/>
      <c r="D119" s="491" t="n"/>
      <c r="E119" s="491" t="n"/>
      <c r="F119" s="491" t="n"/>
      <c r="G119" s="491" t="n"/>
      <c r="H119" s="491" t="n"/>
      <c r="I119" s="491" t="n"/>
      <c r="J119" s="491" t="n"/>
      <c r="K119" s="491" t="n"/>
      <c r="L119" s="491" t="n"/>
      <c r="M119" s="491" t="n"/>
      <c r="N119" s="491" t="n"/>
      <c r="O119" s="491" t="n"/>
      <c r="P119" s="491" t="n"/>
      <c r="Q119" s="491" t="n"/>
      <c r="R119" s="491" t="n"/>
      <c r="S119" s="491" t="n"/>
      <c r="T119" s="491" t="n"/>
      <c r="U119" s="491" t="n"/>
      <c r="V119" s="491" t="n"/>
      <c r="W119" s="491" t="n"/>
      <c r="X119" s="491" t="n"/>
      <c r="Y119" s="491" t="n"/>
      <c r="Z119" s="491" t="n"/>
    </row>
    <row r="120" ht="12.75" customHeight="1" s="398">
      <c r="A120" s="491" t="n"/>
      <c r="B120" s="491" t="n"/>
      <c r="C120" s="491" t="n"/>
      <c r="D120" s="491" t="n"/>
      <c r="E120" s="491" t="n"/>
      <c r="F120" s="491" t="n"/>
      <c r="G120" s="491" t="n"/>
      <c r="H120" s="491" t="n"/>
      <c r="I120" s="491" t="n"/>
      <c r="J120" s="491" t="n"/>
      <c r="K120" s="491" t="n"/>
      <c r="L120" s="491" t="n"/>
      <c r="M120" s="491" t="n"/>
      <c r="N120" s="491" t="n"/>
      <c r="O120" s="491" t="n"/>
      <c r="P120" s="491" t="n"/>
      <c r="Q120" s="491" t="n"/>
      <c r="R120" s="491" t="n"/>
      <c r="S120" s="491" t="n"/>
      <c r="T120" s="491" t="n"/>
      <c r="U120" s="491" t="n"/>
      <c r="V120" s="491" t="n"/>
      <c r="W120" s="491" t="n"/>
      <c r="X120" s="491" t="n"/>
      <c r="Y120" s="491" t="n"/>
      <c r="Z120" s="491" t="n"/>
    </row>
    <row r="121" ht="12.75" customHeight="1" s="398">
      <c r="A121" s="491" t="n"/>
      <c r="B121" s="491" t="n"/>
      <c r="C121" s="491" t="n"/>
      <c r="D121" s="491" t="n"/>
      <c r="E121" s="491" t="n"/>
      <c r="F121" s="491" t="n"/>
      <c r="G121" s="491" t="n"/>
      <c r="H121" s="491" t="n"/>
      <c r="I121" s="491" t="n"/>
      <c r="J121" s="491" t="n"/>
      <c r="K121" s="491" t="n"/>
      <c r="L121" s="491" t="n"/>
      <c r="M121" s="491" t="n"/>
      <c r="N121" s="491" t="n"/>
      <c r="O121" s="491" t="n"/>
      <c r="P121" s="491" t="n"/>
      <c r="Q121" s="491" t="n"/>
      <c r="R121" s="491" t="n"/>
      <c r="S121" s="491" t="n"/>
      <c r="T121" s="491" t="n"/>
      <c r="U121" s="491" t="n"/>
      <c r="V121" s="491" t="n"/>
      <c r="W121" s="491" t="n"/>
      <c r="X121" s="491" t="n"/>
      <c r="Y121" s="491" t="n"/>
      <c r="Z121" s="491" t="n"/>
    </row>
    <row r="122" ht="12.75" customHeight="1" s="398">
      <c r="A122" s="491" t="n"/>
      <c r="B122" s="491" t="n"/>
      <c r="C122" s="491" t="n"/>
      <c r="D122" s="491" t="n"/>
      <c r="E122" s="491" t="n"/>
      <c r="F122" s="491" t="n"/>
      <c r="G122" s="491" t="n"/>
      <c r="H122" s="491" t="n"/>
      <c r="I122" s="491" t="n"/>
      <c r="J122" s="491" t="n"/>
      <c r="K122" s="491" t="n"/>
      <c r="L122" s="491" t="n"/>
      <c r="M122" s="491" t="n"/>
      <c r="N122" s="491" t="n"/>
      <c r="O122" s="491" t="n"/>
      <c r="P122" s="491" t="n"/>
      <c r="Q122" s="491" t="n"/>
      <c r="R122" s="491" t="n"/>
      <c r="S122" s="491" t="n"/>
      <c r="T122" s="491" t="n"/>
      <c r="U122" s="491" t="n"/>
      <c r="V122" s="491" t="n"/>
      <c r="W122" s="491" t="n"/>
      <c r="X122" s="491" t="n"/>
      <c r="Y122" s="491" t="n"/>
      <c r="Z122" s="491" t="n"/>
    </row>
    <row r="123" ht="12.75" customHeight="1" s="398">
      <c r="A123" s="491" t="n"/>
      <c r="B123" s="491" t="n"/>
      <c r="C123" s="491" t="n"/>
      <c r="D123" s="491" t="n"/>
      <c r="E123" s="491" t="n"/>
      <c r="F123" s="491" t="n"/>
      <c r="G123" s="491" t="n"/>
      <c r="H123" s="491" t="n"/>
      <c r="I123" s="491" t="n"/>
      <c r="J123" s="491" t="n"/>
      <c r="K123" s="491" t="n"/>
      <c r="L123" s="491" t="n"/>
      <c r="M123" s="491" t="n"/>
      <c r="N123" s="491" t="n"/>
      <c r="O123" s="491" t="n"/>
      <c r="P123" s="491" t="n"/>
      <c r="Q123" s="491" t="n"/>
      <c r="R123" s="491" t="n"/>
      <c r="S123" s="491" t="n"/>
      <c r="T123" s="491" t="n"/>
      <c r="U123" s="491" t="n"/>
      <c r="V123" s="491" t="n"/>
      <c r="W123" s="491" t="n"/>
      <c r="X123" s="491" t="n"/>
      <c r="Y123" s="491" t="n"/>
      <c r="Z123" s="491" t="n"/>
    </row>
    <row r="124" ht="12.75" customHeight="1" s="398">
      <c r="A124" s="491" t="n"/>
      <c r="B124" s="491" t="n"/>
      <c r="C124" s="491" t="n"/>
      <c r="D124" s="491" t="n"/>
      <c r="E124" s="491" t="n"/>
      <c r="F124" s="491" t="n"/>
      <c r="G124" s="491" t="n"/>
      <c r="H124" s="491" t="n"/>
      <c r="I124" s="491" t="n"/>
      <c r="J124" s="491" t="n"/>
      <c r="K124" s="491" t="n"/>
      <c r="L124" s="491" t="n"/>
      <c r="M124" s="491" t="n"/>
      <c r="N124" s="491" t="n"/>
      <c r="O124" s="491" t="n"/>
      <c r="P124" s="491" t="n"/>
      <c r="Q124" s="491" t="n"/>
      <c r="R124" s="491" t="n"/>
      <c r="S124" s="491" t="n"/>
      <c r="T124" s="491" t="n"/>
      <c r="U124" s="491" t="n"/>
      <c r="V124" s="491" t="n"/>
      <c r="W124" s="491" t="n"/>
      <c r="X124" s="491" t="n"/>
      <c r="Y124" s="491" t="n"/>
      <c r="Z124" s="491" t="n"/>
    </row>
    <row r="125" ht="12.75" customHeight="1" s="398">
      <c r="A125" s="491" t="n"/>
      <c r="B125" s="491" t="n"/>
      <c r="C125" s="491" t="n"/>
      <c r="D125" s="491" t="n"/>
      <c r="E125" s="491" t="n"/>
      <c r="F125" s="491" t="n"/>
      <c r="G125" s="491" t="n"/>
      <c r="H125" s="491" t="n"/>
      <c r="I125" s="491" t="n"/>
      <c r="J125" s="491" t="n"/>
      <c r="K125" s="491" t="n"/>
      <c r="L125" s="491" t="n"/>
      <c r="M125" s="491" t="n"/>
      <c r="N125" s="491" t="n"/>
      <c r="O125" s="491" t="n"/>
      <c r="P125" s="491" t="n"/>
      <c r="Q125" s="491" t="n"/>
      <c r="R125" s="491" t="n"/>
      <c r="S125" s="491" t="n"/>
      <c r="T125" s="491" t="n"/>
      <c r="U125" s="491" t="n"/>
      <c r="V125" s="491" t="n"/>
      <c r="W125" s="491" t="n"/>
      <c r="X125" s="491" t="n"/>
      <c r="Y125" s="491" t="n"/>
      <c r="Z125" s="491" t="n"/>
    </row>
    <row r="126" ht="12.75" customHeight="1" s="398">
      <c r="A126" s="491" t="n"/>
      <c r="B126" s="491" t="n"/>
      <c r="C126" s="491" t="n"/>
      <c r="D126" s="491" t="n"/>
      <c r="E126" s="491" t="n"/>
      <c r="F126" s="491" t="n"/>
      <c r="G126" s="491" t="n"/>
      <c r="H126" s="491" t="n"/>
      <c r="I126" s="491" t="n"/>
      <c r="J126" s="491" t="n"/>
      <c r="K126" s="491" t="n"/>
      <c r="L126" s="491" t="n"/>
      <c r="M126" s="491" t="n"/>
      <c r="N126" s="491" t="n"/>
      <c r="O126" s="491" t="n"/>
      <c r="P126" s="491" t="n"/>
      <c r="Q126" s="491" t="n"/>
      <c r="R126" s="491" t="n"/>
      <c r="S126" s="491" t="n"/>
      <c r="T126" s="491" t="n"/>
      <c r="U126" s="491" t="n"/>
      <c r="V126" s="491" t="n"/>
      <c r="W126" s="491" t="n"/>
      <c r="X126" s="491" t="n"/>
      <c r="Y126" s="491" t="n"/>
      <c r="Z126" s="491" t="n"/>
    </row>
    <row r="127" ht="12.75" customHeight="1" s="398">
      <c r="A127" s="491" t="n"/>
      <c r="B127" s="491" t="n"/>
      <c r="C127" s="491" t="n"/>
      <c r="D127" s="491" t="n"/>
      <c r="E127" s="491" t="n"/>
      <c r="F127" s="491" t="n"/>
      <c r="G127" s="491" t="n"/>
      <c r="H127" s="491" t="n"/>
      <c r="I127" s="491" t="n"/>
      <c r="J127" s="491" t="n"/>
      <c r="K127" s="491" t="n"/>
      <c r="L127" s="491" t="n"/>
      <c r="M127" s="491" t="n"/>
      <c r="N127" s="491" t="n"/>
      <c r="O127" s="491" t="n"/>
      <c r="P127" s="491" t="n"/>
      <c r="Q127" s="491" t="n"/>
      <c r="R127" s="491" t="n"/>
      <c r="S127" s="491" t="n"/>
      <c r="T127" s="491" t="n"/>
      <c r="U127" s="491" t="n"/>
      <c r="V127" s="491" t="n"/>
      <c r="W127" s="491" t="n"/>
      <c r="X127" s="491" t="n"/>
      <c r="Y127" s="491" t="n"/>
      <c r="Z127" s="491" t="n"/>
    </row>
    <row r="128" ht="12.75" customHeight="1" s="398">
      <c r="A128" s="491" t="n"/>
      <c r="B128" s="491" t="n"/>
      <c r="C128" s="491" t="n"/>
      <c r="D128" s="491" t="n"/>
      <c r="E128" s="491" t="n"/>
      <c r="F128" s="491" t="n"/>
      <c r="G128" s="491" t="n"/>
      <c r="H128" s="491" t="n"/>
      <c r="I128" s="491" t="n"/>
      <c r="J128" s="491" t="n"/>
      <c r="K128" s="491" t="n"/>
      <c r="L128" s="491" t="n"/>
      <c r="M128" s="491" t="n"/>
      <c r="N128" s="491" t="n"/>
      <c r="O128" s="491" t="n"/>
      <c r="P128" s="491" t="n"/>
      <c r="Q128" s="491" t="n"/>
      <c r="R128" s="491" t="n"/>
      <c r="S128" s="491" t="n"/>
      <c r="T128" s="491" t="n"/>
      <c r="U128" s="491" t="n"/>
      <c r="V128" s="491" t="n"/>
      <c r="W128" s="491" t="n"/>
      <c r="X128" s="491" t="n"/>
      <c r="Y128" s="491" t="n"/>
      <c r="Z128" s="491" t="n"/>
    </row>
    <row r="129" ht="12.75" customHeight="1" s="398">
      <c r="A129" s="491" t="n"/>
      <c r="B129" s="491" t="n"/>
      <c r="C129" s="491" t="n"/>
      <c r="D129" s="491" t="n"/>
      <c r="E129" s="491" t="n"/>
      <c r="F129" s="491" t="n"/>
      <c r="G129" s="491" t="n"/>
      <c r="H129" s="491" t="n"/>
      <c r="I129" s="491" t="n"/>
      <c r="J129" s="491" t="n"/>
      <c r="K129" s="491" t="n"/>
      <c r="L129" s="491" t="n"/>
      <c r="M129" s="491" t="n"/>
      <c r="N129" s="491" t="n"/>
      <c r="O129" s="491" t="n"/>
      <c r="P129" s="491" t="n"/>
      <c r="Q129" s="491" t="n"/>
      <c r="R129" s="491" t="n"/>
      <c r="S129" s="491" t="n"/>
      <c r="T129" s="491" t="n"/>
      <c r="U129" s="491" t="n"/>
      <c r="V129" s="491" t="n"/>
      <c r="W129" s="491" t="n"/>
      <c r="X129" s="491" t="n"/>
      <c r="Y129" s="491" t="n"/>
      <c r="Z129" s="491" t="n"/>
    </row>
    <row r="130" ht="12.75" customHeight="1" s="398">
      <c r="A130" s="491" t="n"/>
      <c r="B130" s="491" t="n"/>
      <c r="C130" s="491" t="n"/>
      <c r="D130" s="491" t="n"/>
      <c r="E130" s="491" t="n"/>
      <c r="F130" s="491" t="n"/>
      <c r="G130" s="491" t="n"/>
      <c r="H130" s="491" t="n"/>
      <c r="I130" s="491" t="n"/>
      <c r="J130" s="491" t="n"/>
      <c r="K130" s="491" t="n"/>
      <c r="L130" s="491" t="n"/>
      <c r="M130" s="491" t="n"/>
      <c r="N130" s="491" t="n"/>
      <c r="O130" s="491" t="n"/>
      <c r="P130" s="491" t="n"/>
      <c r="Q130" s="491" t="n"/>
      <c r="R130" s="491" t="n"/>
      <c r="S130" s="491" t="n"/>
      <c r="T130" s="491" t="n"/>
      <c r="U130" s="491" t="n"/>
      <c r="V130" s="491" t="n"/>
      <c r="W130" s="491" t="n"/>
      <c r="X130" s="491" t="n"/>
      <c r="Y130" s="491" t="n"/>
      <c r="Z130" s="491" t="n"/>
    </row>
    <row r="131" ht="12.75" customHeight="1" s="398">
      <c r="A131" s="491" t="n"/>
      <c r="B131" s="491" t="n"/>
      <c r="C131" s="491" t="n"/>
      <c r="D131" s="491" t="n"/>
      <c r="E131" s="491" t="n"/>
      <c r="F131" s="491" t="n"/>
      <c r="G131" s="491" t="n"/>
      <c r="H131" s="491" t="n"/>
      <c r="I131" s="491" t="n"/>
      <c r="J131" s="491" t="n"/>
      <c r="K131" s="491" t="n"/>
      <c r="L131" s="491" t="n"/>
      <c r="M131" s="491" t="n"/>
      <c r="N131" s="491" t="n"/>
      <c r="O131" s="491" t="n"/>
      <c r="P131" s="491" t="n"/>
      <c r="Q131" s="491" t="n"/>
      <c r="R131" s="491" t="n"/>
      <c r="S131" s="491" t="n"/>
      <c r="T131" s="491" t="n"/>
      <c r="U131" s="491" t="n"/>
      <c r="V131" s="491" t="n"/>
      <c r="W131" s="491" t="n"/>
      <c r="X131" s="491" t="n"/>
      <c r="Y131" s="491" t="n"/>
      <c r="Z131" s="491" t="n"/>
    </row>
    <row r="132" ht="12.75" customHeight="1" s="398">
      <c r="A132" s="491" t="n"/>
      <c r="B132" s="491" t="n"/>
      <c r="C132" s="491" t="n"/>
      <c r="D132" s="491" t="n"/>
      <c r="E132" s="491" t="n"/>
      <c r="F132" s="491" t="n"/>
      <c r="G132" s="491" t="n"/>
      <c r="H132" s="491" t="n"/>
      <c r="I132" s="491" t="n"/>
      <c r="J132" s="491" t="n"/>
      <c r="K132" s="491" t="n"/>
      <c r="L132" s="491" t="n"/>
      <c r="M132" s="491" t="n"/>
      <c r="N132" s="491" t="n"/>
      <c r="O132" s="491" t="n"/>
      <c r="P132" s="491" t="n"/>
      <c r="Q132" s="491" t="n"/>
      <c r="R132" s="491" t="n"/>
      <c r="S132" s="491" t="n"/>
      <c r="T132" s="491" t="n"/>
      <c r="U132" s="491" t="n"/>
      <c r="V132" s="491" t="n"/>
      <c r="W132" s="491" t="n"/>
      <c r="X132" s="491" t="n"/>
      <c r="Y132" s="491" t="n"/>
      <c r="Z132" s="491" t="n"/>
    </row>
    <row r="133" ht="12.75" customHeight="1" s="398">
      <c r="A133" s="491" t="n"/>
      <c r="B133" s="491" t="n"/>
      <c r="C133" s="491" t="n"/>
      <c r="D133" s="491" t="n"/>
      <c r="E133" s="491" t="n"/>
      <c r="F133" s="491" t="n"/>
      <c r="G133" s="491" t="n"/>
      <c r="H133" s="491" t="n"/>
      <c r="I133" s="491" t="n"/>
      <c r="J133" s="491" t="n"/>
      <c r="K133" s="491" t="n"/>
      <c r="L133" s="491" t="n"/>
      <c r="M133" s="491" t="n"/>
      <c r="N133" s="491" t="n"/>
      <c r="O133" s="491" t="n"/>
      <c r="P133" s="491" t="n"/>
      <c r="Q133" s="491" t="n"/>
      <c r="R133" s="491" t="n"/>
      <c r="S133" s="491" t="n"/>
      <c r="T133" s="491" t="n"/>
      <c r="U133" s="491" t="n"/>
      <c r="V133" s="491" t="n"/>
      <c r="W133" s="491" t="n"/>
      <c r="X133" s="491" t="n"/>
      <c r="Y133" s="491" t="n"/>
      <c r="Z133" s="491" t="n"/>
    </row>
    <row r="134" ht="12.75" customHeight="1" s="398">
      <c r="A134" s="491" t="n"/>
      <c r="B134" s="491" t="n"/>
      <c r="C134" s="491" t="n"/>
      <c r="D134" s="491" t="n"/>
      <c r="E134" s="491" t="n"/>
      <c r="F134" s="491" t="n"/>
      <c r="G134" s="491" t="n"/>
      <c r="H134" s="491" t="n"/>
      <c r="I134" s="491" t="n"/>
      <c r="J134" s="491" t="n"/>
      <c r="K134" s="491" t="n"/>
      <c r="L134" s="491" t="n"/>
      <c r="M134" s="491" t="n"/>
      <c r="N134" s="491" t="n"/>
      <c r="O134" s="491" t="n"/>
      <c r="P134" s="491" t="n"/>
      <c r="Q134" s="491" t="n"/>
      <c r="R134" s="491" t="n"/>
      <c r="S134" s="491" t="n"/>
      <c r="T134" s="491" t="n"/>
      <c r="U134" s="491" t="n"/>
      <c r="V134" s="491" t="n"/>
      <c r="W134" s="491" t="n"/>
      <c r="X134" s="491" t="n"/>
      <c r="Y134" s="491" t="n"/>
      <c r="Z134" s="491" t="n"/>
    </row>
    <row r="135" ht="12.75" customHeight="1" s="398">
      <c r="A135" s="491" t="n"/>
      <c r="B135" s="491" t="n"/>
      <c r="C135" s="491" t="n"/>
      <c r="D135" s="491" t="n"/>
      <c r="E135" s="491" t="n"/>
      <c r="F135" s="491" t="n"/>
      <c r="G135" s="491" t="n"/>
      <c r="H135" s="491" t="n"/>
      <c r="I135" s="491" t="n"/>
      <c r="J135" s="491" t="n"/>
      <c r="K135" s="491" t="n"/>
      <c r="L135" s="491" t="n"/>
      <c r="M135" s="491" t="n"/>
      <c r="N135" s="491" t="n"/>
      <c r="O135" s="491" t="n"/>
      <c r="P135" s="491" t="n"/>
      <c r="Q135" s="491" t="n"/>
      <c r="R135" s="491" t="n"/>
      <c r="S135" s="491" t="n"/>
      <c r="T135" s="491" t="n"/>
      <c r="U135" s="491" t="n"/>
      <c r="V135" s="491" t="n"/>
      <c r="W135" s="491" t="n"/>
      <c r="X135" s="491" t="n"/>
      <c r="Y135" s="491" t="n"/>
      <c r="Z135" s="491" t="n"/>
    </row>
    <row r="136" ht="12.75" customHeight="1" s="398">
      <c r="A136" s="491" t="n"/>
      <c r="B136" s="491" t="n"/>
      <c r="C136" s="491" t="n"/>
      <c r="D136" s="491" t="n"/>
      <c r="E136" s="491" t="n"/>
      <c r="F136" s="491" t="n"/>
      <c r="G136" s="491" t="n"/>
      <c r="H136" s="491" t="n"/>
      <c r="I136" s="491" t="n"/>
      <c r="J136" s="491" t="n"/>
      <c r="K136" s="491" t="n"/>
      <c r="L136" s="491" t="n"/>
      <c r="M136" s="491" t="n"/>
      <c r="N136" s="491" t="n"/>
      <c r="O136" s="491" t="n"/>
      <c r="P136" s="491" t="n"/>
      <c r="Q136" s="491" t="n"/>
      <c r="R136" s="491" t="n"/>
      <c r="S136" s="491" t="n"/>
      <c r="T136" s="491" t="n"/>
      <c r="U136" s="491" t="n"/>
      <c r="V136" s="491" t="n"/>
      <c r="W136" s="491" t="n"/>
      <c r="X136" s="491" t="n"/>
      <c r="Y136" s="491" t="n"/>
      <c r="Z136" s="491" t="n"/>
    </row>
    <row r="137" ht="12.75" customHeight="1" s="398">
      <c r="A137" s="491" t="n"/>
      <c r="B137" s="491" t="n"/>
      <c r="C137" s="491" t="n"/>
      <c r="D137" s="491" t="n"/>
      <c r="E137" s="491" t="n"/>
      <c r="F137" s="491" t="n"/>
      <c r="G137" s="491" t="n"/>
      <c r="H137" s="491" t="n"/>
      <c r="I137" s="491" t="n"/>
      <c r="J137" s="491" t="n"/>
      <c r="K137" s="491" t="n"/>
      <c r="L137" s="491" t="n"/>
      <c r="M137" s="491" t="n"/>
      <c r="N137" s="491" t="n"/>
      <c r="O137" s="491" t="n"/>
      <c r="P137" s="491" t="n"/>
      <c r="Q137" s="491" t="n"/>
      <c r="R137" s="491" t="n"/>
      <c r="S137" s="491" t="n"/>
      <c r="T137" s="491" t="n"/>
      <c r="U137" s="491" t="n"/>
      <c r="V137" s="491" t="n"/>
      <c r="W137" s="491" t="n"/>
      <c r="X137" s="491" t="n"/>
      <c r="Y137" s="491" t="n"/>
      <c r="Z137" s="491" t="n"/>
    </row>
    <row r="138" ht="12.75" customHeight="1" s="398">
      <c r="A138" s="491" t="n"/>
      <c r="B138" s="491" t="n"/>
      <c r="C138" s="491" t="n"/>
      <c r="D138" s="491" t="n"/>
      <c r="E138" s="491" t="n"/>
      <c r="F138" s="491" t="n"/>
      <c r="G138" s="491" t="n"/>
      <c r="H138" s="491" t="n"/>
      <c r="I138" s="491" t="n"/>
      <c r="J138" s="491" t="n"/>
      <c r="K138" s="491" t="n"/>
      <c r="L138" s="491" t="n"/>
      <c r="M138" s="491" t="n"/>
      <c r="N138" s="491" t="n"/>
      <c r="O138" s="491" t="n"/>
      <c r="P138" s="491" t="n"/>
      <c r="Q138" s="491" t="n"/>
      <c r="R138" s="491" t="n"/>
      <c r="S138" s="491" t="n"/>
      <c r="T138" s="491" t="n"/>
      <c r="U138" s="491" t="n"/>
      <c r="V138" s="491" t="n"/>
      <c r="W138" s="491" t="n"/>
      <c r="X138" s="491" t="n"/>
      <c r="Y138" s="491" t="n"/>
      <c r="Z138" s="491" t="n"/>
    </row>
    <row r="139" ht="12.75" customHeight="1" s="398">
      <c r="A139" s="491" t="n"/>
      <c r="B139" s="491" t="n"/>
      <c r="C139" s="491" t="n"/>
      <c r="D139" s="491" t="n"/>
      <c r="E139" s="491" t="n"/>
      <c r="F139" s="491" t="n"/>
      <c r="G139" s="491" t="n"/>
      <c r="H139" s="491" t="n"/>
      <c r="I139" s="491" t="n"/>
      <c r="J139" s="491" t="n"/>
      <c r="K139" s="491" t="n"/>
      <c r="L139" s="491" t="n"/>
      <c r="M139" s="491" t="n"/>
      <c r="N139" s="491" t="n"/>
      <c r="O139" s="491" t="n"/>
      <c r="P139" s="491" t="n"/>
      <c r="Q139" s="491" t="n"/>
      <c r="R139" s="491" t="n"/>
      <c r="S139" s="491" t="n"/>
      <c r="T139" s="491" t="n"/>
      <c r="U139" s="491" t="n"/>
      <c r="V139" s="491" t="n"/>
      <c r="W139" s="491" t="n"/>
      <c r="X139" s="491" t="n"/>
      <c r="Y139" s="491" t="n"/>
      <c r="Z139" s="491" t="n"/>
    </row>
    <row r="140" ht="12.75" customHeight="1" s="398">
      <c r="A140" s="491" t="n"/>
      <c r="B140" s="491" t="n"/>
      <c r="C140" s="491" t="n"/>
      <c r="D140" s="491" t="n"/>
      <c r="E140" s="491" t="n"/>
      <c r="F140" s="491" t="n"/>
      <c r="G140" s="491" t="n"/>
      <c r="H140" s="491" t="n"/>
      <c r="I140" s="491" t="n"/>
      <c r="J140" s="491" t="n"/>
      <c r="K140" s="491" t="n"/>
      <c r="L140" s="491" t="n"/>
      <c r="M140" s="491" t="n"/>
      <c r="N140" s="491" t="n"/>
      <c r="O140" s="491" t="n"/>
      <c r="P140" s="491" t="n"/>
      <c r="Q140" s="491" t="n"/>
      <c r="R140" s="491" t="n"/>
      <c r="S140" s="491" t="n"/>
      <c r="T140" s="491" t="n"/>
      <c r="U140" s="491" t="n"/>
      <c r="V140" s="491" t="n"/>
      <c r="W140" s="491" t="n"/>
      <c r="X140" s="491" t="n"/>
      <c r="Y140" s="491" t="n"/>
      <c r="Z140" s="491" t="n"/>
    </row>
    <row r="141" ht="12.75" customHeight="1" s="398">
      <c r="A141" s="491" t="n"/>
      <c r="B141" s="491" t="n"/>
      <c r="C141" s="491" t="n"/>
      <c r="D141" s="491" t="n"/>
      <c r="E141" s="491" t="n"/>
      <c r="F141" s="491" t="n"/>
      <c r="G141" s="491" t="n"/>
      <c r="H141" s="491" t="n"/>
      <c r="I141" s="491" t="n"/>
      <c r="J141" s="491" t="n"/>
      <c r="K141" s="491" t="n"/>
      <c r="L141" s="491" t="n"/>
      <c r="M141" s="491" t="n"/>
      <c r="N141" s="491" t="n"/>
      <c r="O141" s="491" t="n"/>
      <c r="P141" s="491" t="n"/>
      <c r="Q141" s="491" t="n"/>
      <c r="R141" s="491" t="n"/>
      <c r="S141" s="491" t="n"/>
      <c r="T141" s="491" t="n"/>
      <c r="U141" s="491" t="n"/>
      <c r="V141" s="491" t="n"/>
      <c r="W141" s="491" t="n"/>
      <c r="X141" s="491" t="n"/>
      <c r="Y141" s="491" t="n"/>
      <c r="Z141" s="491" t="n"/>
    </row>
    <row r="142" ht="12.75" customHeight="1" s="398">
      <c r="A142" s="491" t="n"/>
      <c r="B142" s="491" t="n"/>
      <c r="C142" s="491" t="n"/>
      <c r="D142" s="491" t="n"/>
      <c r="E142" s="491" t="n"/>
      <c r="F142" s="491" t="n"/>
      <c r="G142" s="491" t="n"/>
      <c r="H142" s="491" t="n"/>
      <c r="I142" s="491" t="n"/>
      <c r="J142" s="491" t="n"/>
      <c r="K142" s="491" t="n"/>
      <c r="L142" s="491" t="n"/>
      <c r="M142" s="491" t="n"/>
      <c r="N142" s="491" t="n"/>
      <c r="O142" s="491" t="n"/>
      <c r="P142" s="491" t="n"/>
      <c r="Q142" s="491" t="n"/>
      <c r="R142" s="491" t="n"/>
      <c r="S142" s="491" t="n"/>
      <c r="T142" s="491" t="n"/>
      <c r="U142" s="491" t="n"/>
      <c r="V142" s="491" t="n"/>
      <c r="W142" s="491" t="n"/>
      <c r="X142" s="491" t="n"/>
      <c r="Y142" s="491" t="n"/>
      <c r="Z142" s="491" t="n"/>
    </row>
    <row r="143" ht="12.75" customHeight="1" s="398">
      <c r="A143" s="491" t="n"/>
      <c r="B143" s="491" t="n"/>
      <c r="C143" s="491" t="n"/>
      <c r="D143" s="491" t="n"/>
      <c r="E143" s="491" t="n"/>
      <c r="F143" s="491" t="n"/>
      <c r="G143" s="491" t="n"/>
      <c r="H143" s="491" t="n"/>
      <c r="I143" s="491" t="n"/>
      <c r="J143" s="491" t="n"/>
      <c r="K143" s="491" t="n"/>
      <c r="L143" s="491" t="n"/>
      <c r="M143" s="491" t="n"/>
      <c r="N143" s="491" t="n"/>
      <c r="O143" s="491" t="n"/>
      <c r="P143" s="491" t="n"/>
      <c r="Q143" s="491" t="n"/>
      <c r="R143" s="491" t="n"/>
      <c r="S143" s="491" t="n"/>
      <c r="T143" s="491" t="n"/>
      <c r="U143" s="491" t="n"/>
      <c r="V143" s="491" t="n"/>
      <c r="W143" s="491" t="n"/>
      <c r="X143" s="491" t="n"/>
      <c r="Y143" s="491" t="n"/>
      <c r="Z143" s="491" t="n"/>
    </row>
    <row r="144" ht="12.75" customHeight="1" s="398">
      <c r="A144" s="491" t="n"/>
      <c r="B144" s="491" t="n"/>
      <c r="C144" s="491" t="n"/>
      <c r="D144" s="491" t="n"/>
      <c r="E144" s="491" t="n"/>
      <c r="F144" s="491" t="n"/>
      <c r="G144" s="491" t="n"/>
      <c r="H144" s="491" t="n"/>
      <c r="I144" s="491" t="n"/>
      <c r="J144" s="491" t="n"/>
      <c r="K144" s="491" t="n"/>
      <c r="L144" s="491" t="n"/>
      <c r="M144" s="491" t="n"/>
      <c r="N144" s="491" t="n"/>
      <c r="O144" s="491" t="n"/>
      <c r="P144" s="491" t="n"/>
      <c r="Q144" s="491" t="n"/>
      <c r="R144" s="491" t="n"/>
      <c r="S144" s="491" t="n"/>
      <c r="T144" s="491" t="n"/>
      <c r="U144" s="491" t="n"/>
      <c r="V144" s="491" t="n"/>
      <c r="W144" s="491" t="n"/>
      <c r="X144" s="491" t="n"/>
      <c r="Y144" s="491" t="n"/>
      <c r="Z144" s="491" t="n"/>
    </row>
    <row r="145" ht="12.75" customHeight="1" s="398">
      <c r="A145" s="491" t="n"/>
      <c r="B145" s="491" t="n"/>
      <c r="C145" s="491" t="n"/>
      <c r="D145" s="491" t="n"/>
      <c r="E145" s="491" t="n"/>
      <c r="F145" s="491" t="n"/>
      <c r="G145" s="491" t="n"/>
      <c r="H145" s="491" t="n"/>
      <c r="I145" s="491" t="n"/>
      <c r="J145" s="491" t="n"/>
      <c r="K145" s="491" t="n"/>
      <c r="L145" s="491" t="n"/>
      <c r="M145" s="491" t="n"/>
      <c r="N145" s="491" t="n"/>
      <c r="O145" s="491" t="n"/>
      <c r="P145" s="491" t="n"/>
      <c r="Q145" s="491" t="n"/>
      <c r="R145" s="491" t="n"/>
      <c r="S145" s="491" t="n"/>
      <c r="T145" s="491" t="n"/>
      <c r="U145" s="491" t="n"/>
      <c r="V145" s="491" t="n"/>
      <c r="W145" s="491" t="n"/>
      <c r="X145" s="491" t="n"/>
      <c r="Y145" s="491" t="n"/>
      <c r="Z145" s="491" t="n"/>
    </row>
    <row r="146" ht="12.75" customHeight="1" s="398">
      <c r="A146" s="491" t="n"/>
      <c r="B146" s="491" t="n"/>
      <c r="C146" s="491" t="n"/>
      <c r="D146" s="491" t="n"/>
      <c r="E146" s="491" t="n"/>
      <c r="F146" s="491" t="n"/>
      <c r="G146" s="491" t="n"/>
      <c r="H146" s="491" t="n"/>
      <c r="I146" s="491" t="n"/>
      <c r="J146" s="491" t="n"/>
      <c r="K146" s="491" t="n"/>
      <c r="L146" s="491" t="n"/>
      <c r="M146" s="491" t="n"/>
      <c r="N146" s="491" t="n"/>
      <c r="O146" s="491" t="n"/>
      <c r="P146" s="491" t="n"/>
      <c r="Q146" s="491" t="n"/>
      <c r="R146" s="491" t="n"/>
      <c r="S146" s="491" t="n"/>
      <c r="T146" s="491" t="n"/>
      <c r="U146" s="491" t="n"/>
      <c r="V146" s="491" t="n"/>
      <c r="W146" s="491" t="n"/>
      <c r="X146" s="491" t="n"/>
      <c r="Y146" s="491" t="n"/>
      <c r="Z146" s="491" t="n"/>
    </row>
    <row r="147" ht="12.75" customHeight="1" s="398">
      <c r="A147" s="491" t="n"/>
      <c r="B147" s="491" t="n"/>
      <c r="C147" s="491" t="n"/>
      <c r="D147" s="491" t="n"/>
      <c r="E147" s="491" t="n"/>
      <c r="F147" s="491" t="n"/>
      <c r="G147" s="491" t="n"/>
      <c r="H147" s="491" t="n"/>
      <c r="I147" s="491" t="n"/>
      <c r="J147" s="491" t="n"/>
      <c r="K147" s="491" t="n"/>
      <c r="L147" s="491" t="n"/>
      <c r="M147" s="491" t="n"/>
      <c r="N147" s="491" t="n"/>
      <c r="O147" s="491" t="n"/>
      <c r="P147" s="491" t="n"/>
      <c r="Q147" s="491" t="n"/>
      <c r="R147" s="491" t="n"/>
      <c r="S147" s="491" t="n"/>
      <c r="T147" s="491" t="n"/>
      <c r="U147" s="491" t="n"/>
      <c r="V147" s="491" t="n"/>
      <c r="W147" s="491" t="n"/>
      <c r="X147" s="491" t="n"/>
      <c r="Y147" s="491" t="n"/>
      <c r="Z147" s="491" t="n"/>
    </row>
    <row r="148" ht="12.75" customHeight="1" s="398">
      <c r="A148" s="491" t="n"/>
      <c r="B148" s="491" t="n"/>
      <c r="C148" s="491" t="n"/>
      <c r="D148" s="491" t="n"/>
      <c r="E148" s="491" t="n"/>
      <c r="F148" s="491" t="n"/>
      <c r="G148" s="491" t="n"/>
      <c r="H148" s="491" t="n"/>
      <c r="I148" s="491" t="n"/>
      <c r="J148" s="491" t="n"/>
      <c r="K148" s="491" t="n"/>
      <c r="L148" s="491" t="n"/>
      <c r="M148" s="491" t="n"/>
      <c r="N148" s="491" t="n"/>
      <c r="O148" s="491" t="n"/>
      <c r="P148" s="491" t="n"/>
      <c r="Q148" s="491" t="n"/>
      <c r="R148" s="491" t="n"/>
      <c r="S148" s="491" t="n"/>
      <c r="T148" s="491" t="n"/>
      <c r="U148" s="491" t="n"/>
      <c r="V148" s="491" t="n"/>
      <c r="W148" s="491" t="n"/>
      <c r="X148" s="491" t="n"/>
      <c r="Y148" s="491" t="n"/>
      <c r="Z148" s="491" t="n"/>
    </row>
    <row r="149" ht="12.75" customHeight="1" s="398">
      <c r="A149" s="491" t="n"/>
      <c r="B149" s="491" t="n"/>
      <c r="C149" s="491" t="n"/>
      <c r="D149" s="491" t="n"/>
      <c r="E149" s="491" t="n"/>
      <c r="F149" s="491" t="n"/>
      <c r="G149" s="491" t="n"/>
      <c r="H149" s="491" t="n"/>
      <c r="I149" s="491" t="n"/>
      <c r="J149" s="491" t="n"/>
      <c r="K149" s="491" t="n"/>
      <c r="L149" s="491" t="n"/>
      <c r="M149" s="491" t="n"/>
      <c r="N149" s="491" t="n"/>
      <c r="O149" s="491" t="n"/>
      <c r="P149" s="491" t="n"/>
      <c r="Q149" s="491" t="n"/>
      <c r="R149" s="491" t="n"/>
      <c r="S149" s="491" t="n"/>
      <c r="T149" s="491" t="n"/>
      <c r="U149" s="491" t="n"/>
      <c r="V149" s="491" t="n"/>
      <c r="W149" s="491" t="n"/>
      <c r="X149" s="491" t="n"/>
      <c r="Y149" s="491" t="n"/>
      <c r="Z149" s="491" t="n"/>
    </row>
    <row r="150" ht="12.75" customHeight="1" s="398">
      <c r="A150" s="491" t="n"/>
      <c r="B150" s="491" t="n"/>
      <c r="C150" s="491" t="n"/>
      <c r="D150" s="491" t="n"/>
      <c r="E150" s="491" t="n"/>
      <c r="F150" s="491" t="n"/>
      <c r="G150" s="491" t="n"/>
      <c r="H150" s="491" t="n"/>
      <c r="I150" s="491" t="n"/>
      <c r="J150" s="491" t="n"/>
      <c r="K150" s="491" t="n"/>
      <c r="L150" s="491" t="n"/>
      <c r="M150" s="491" t="n"/>
      <c r="N150" s="491" t="n"/>
      <c r="O150" s="491" t="n"/>
      <c r="P150" s="491" t="n"/>
      <c r="Q150" s="491" t="n"/>
      <c r="R150" s="491" t="n"/>
      <c r="S150" s="491" t="n"/>
      <c r="T150" s="491" t="n"/>
      <c r="U150" s="491" t="n"/>
      <c r="V150" s="491" t="n"/>
      <c r="W150" s="491" t="n"/>
      <c r="X150" s="491" t="n"/>
      <c r="Y150" s="491" t="n"/>
      <c r="Z150" s="491" t="n"/>
    </row>
    <row r="151" ht="12.75" customHeight="1" s="398">
      <c r="A151" s="491" t="n"/>
      <c r="B151" s="491" t="n"/>
      <c r="C151" s="491" t="n"/>
      <c r="D151" s="491" t="n"/>
      <c r="E151" s="491" t="n"/>
      <c r="F151" s="491" t="n"/>
      <c r="G151" s="491" t="n"/>
      <c r="H151" s="491" t="n"/>
      <c r="I151" s="491" t="n"/>
      <c r="J151" s="491" t="n"/>
      <c r="K151" s="491" t="n"/>
      <c r="L151" s="491" t="n"/>
      <c r="M151" s="491" t="n"/>
      <c r="N151" s="491" t="n"/>
      <c r="O151" s="491" t="n"/>
      <c r="P151" s="491" t="n"/>
      <c r="Q151" s="491" t="n"/>
      <c r="R151" s="491" t="n"/>
      <c r="S151" s="491" t="n"/>
      <c r="T151" s="491" t="n"/>
      <c r="U151" s="491" t="n"/>
      <c r="V151" s="491" t="n"/>
      <c r="W151" s="491" t="n"/>
      <c r="X151" s="491" t="n"/>
      <c r="Y151" s="491" t="n"/>
      <c r="Z151" s="491" t="n"/>
    </row>
    <row r="152" ht="12.75" customHeight="1" s="398">
      <c r="A152" s="491" t="n"/>
      <c r="B152" s="491" t="n"/>
      <c r="C152" s="491" t="n"/>
      <c r="D152" s="491" t="n"/>
      <c r="E152" s="491" t="n"/>
      <c r="F152" s="491" t="n"/>
      <c r="G152" s="491" t="n"/>
      <c r="H152" s="491" t="n"/>
      <c r="I152" s="491" t="n"/>
      <c r="J152" s="491" t="n"/>
      <c r="K152" s="491" t="n"/>
      <c r="L152" s="491" t="n"/>
      <c r="M152" s="491" t="n"/>
      <c r="N152" s="491" t="n"/>
      <c r="O152" s="491" t="n"/>
      <c r="P152" s="491" t="n"/>
      <c r="Q152" s="491" t="n"/>
      <c r="R152" s="491" t="n"/>
      <c r="S152" s="491" t="n"/>
      <c r="T152" s="491" t="n"/>
      <c r="U152" s="491" t="n"/>
      <c r="V152" s="491" t="n"/>
      <c r="W152" s="491" t="n"/>
      <c r="X152" s="491" t="n"/>
      <c r="Y152" s="491" t="n"/>
      <c r="Z152" s="491" t="n"/>
    </row>
    <row r="153" ht="12.75" customHeight="1" s="398">
      <c r="A153" s="491" t="n"/>
      <c r="B153" s="491" t="n"/>
      <c r="C153" s="491" t="n"/>
      <c r="D153" s="491" t="n"/>
      <c r="E153" s="491" t="n"/>
      <c r="F153" s="491" t="n"/>
      <c r="G153" s="491" t="n"/>
      <c r="H153" s="491" t="n"/>
      <c r="I153" s="491" t="n"/>
      <c r="J153" s="491" t="n"/>
      <c r="K153" s="491" t="n"/>
      <c r="L153" s="491" t="n"/>
      <c r="M153" s="491" t="n"/>
      <c r="N153" s="491" t="n"/>
      <c r="O153" s="491" t="n"/>
      <c r="P153" s="491" t="n"/>
      <c r="Q153" s="491" t="n"/>
      <c r="R153" s="491" t="n"/>
      <c r="S153" s="491" t="n"/>
      <c r="T153" s="491" t="n"/>
      <c r="U153" s="491" t="n"/>
      <c r="V153" s="491" t="n"/>
      <c r="W153" s="491" t="n"/>
      <c r="X153" s="491" t="n"/>
      <c r="Y153" s="491" t="n"/>
      <c r="Z153" s="491" t="n"/>
    </row>
    <row r="154" ht="12.75" customHeight="1" s="398">
      <c r="A154" s="491" t="n"/>
      <c r="B154" s="491" t="n"/>
      <c r="C154" s="491" t="n"/>
      <c r="D154" s="491" t="n"/>
      <c r="E154" s="491" t="n"/>
      <c r="F154" s="491" t="n"/>
      <c r="G154" s="491" t="n"/>
      <c r="H154" s="491" t="n"/>
      <c r="I154" s="491" t="n"/>
      <c r="J154" s="491" t="n"/>
      <c r="K154" s="491" t="n"/>
      <c r="L154" s="491" t="n"/>
      <c r="M154" s="491" t="n"/>
      <c r="N154" s="491" t="n"/>
      <c r="O154" s="491" t="n"/>
      <c r="P154" s="491" t="n"/>
      <c r="Q154" s="491" t="n"/>
      <c r="R154" s="491" t="n"/>
      <c r="S154" s="491" t="n"/>
      <c r="T154" s="491" t="n"/>
      <c r="U154" s="491" t="n"/>
      <c r="V154" s="491" t="n"/>
      <c r="W154" s="491" t="n"/>
      <c r="X154" s="491" t="n"/>
      <c r="Y154" s="491" t="n"/>
      <c r="Z154" s="491" t="n"/>
    </row>
    <row r="155" ht="12.75" customHeight="1" s="398">
      <c r="A155" s="491" t="n"/>
      <c r="B155" s="491" t="n"/>
      <c r="C155" s="491" t="n"/>
      <c r="D155" s="491" t="n"/>
      <c r="E155" s="491" t="n"/>
      <c r="F155" s="491" t="n"/>
      <c r="G155" s="491" t="n"/>
      <c r="H155" s="491" t="n"/>
      <c r="I155" s="491" t="n"/>
      <c r="J155" s="491" t="n"/>
      <c r="K155" s="491" t="n"/>
      <c r="L155" s="491" t="n"/>
      <c r="M155" s="491" t="n"/>
      <c r="N155" s="491" t="n"/>
      <c r="O155" s="491" t="n"/>
      <c r="P155" s="491" t="n"/>
      <c r="Q155" s="491" t="n"/>
      <c r="R155" s="491" t="n"/>
      <c r="S155" s="491" t="n"/>
      <c r="T155" s="491" t="n"/>
      <c r="U155" s="491" t="n"/>
      <c r="V155" s="491" t="n"/>
      <c r="W155" s="491" t="n"/>
      <c r="X155" s="491" t="n"/>
      <c r="Y155" s="491" t="n"/>
      <c r="Z155" s="491" t="n"/>
    </row>
    <row r="156" ht="12.75" customHeight="1" s="398">
      <c r="A156" s="491" t="n"/>
      <c r="B156" s="491" t="n"/>
      <c r="C156" s="491" t="n"/>
      <c r="D156" s="491" t="n"/>
      <c r="E156" s="491" t="n"/>
      <c r="F156" s="491" t="n"/>
      <c r="G156" s="491" t="n"/>
      <c r="H156" s="491" t="n"/>
      <c r="I156" s="491" t="n"/>
      <c r="J156" s="491" t="n"/>
      <c r="K156" s="491" t="n"/>
      <c r="L156" s="491" t="n"/>
      <c r="M156" s="491" t="n"/>
      <c r="N156" s="491" t="n"/>
      <c r="O156" s="491" t="n"/>
      <c r="P156" s="491" t="n"/>
      <c r="Q156" s="491" t="n"/>
      <c r="R156" s="491" t="n"/>
      <c r="S156" s="491" t="n"/>
      <c r="T156" s="491" t="n"/>
      <c r="U156" s="491" t="n"/>
      <c r="V156" s="491" t="n"/>
      <c r="W156" s="491" t="n"/>
      <c r="X156" s="491" t="n"/>
      <c r="Y156" s="491" t="n"/>
      <c r="Z156" s="491" t="n"/>
    </row>
    <row r="157" ht="12.75" customHeight="1" s="398">
      <c r="A157" s="491" t="n"/>
      <c r="B157" s="491" t="n"/>
      <c r="C157" s="491" t="n"/>
      <c r="D157" s="491" t="n"/>
      <c r="E157" s="491" t="n"/>
      <c r="F157" s="491" t="n"/>
      <c r="G157" s="491" t="n"/>
      <c r="H157" s="491" t="n"/>
      <c r="I157" s="491" t="n"/>
      <c r="J157" s="491" t="n"/>
      <c r="K157" s="491" t="n"/>
      <c r="L157" s="491" t="n"/>
      <c r="M157" s="491" t="n"/>
      <c r="N157" s="491" t="n"/>
      <c r="O157" s="491" t="n"/>
      <c r="P157" s="491" t="n"/>
      <c r="Q157" s="491" t="n"/>
      <c r="R157" s="491" t="n"/>
      <c r="S157" s="491" t="n"/>
      <c r="T157" s="491" t="n"/>
      <c r="U157" s="491" t="n"/>
      <c r="V157" s="491" t="n"/>
      <c r="W157" s="491" t="n"/>
      <c r="X157" s="491" t="n"/>
      <c r="Y157" s="491" t="n"/>
      <c r="Z157" s="491" t="n"/>
    </row>
    <row r="158" ht="12.75" customHeight="1" s="398">
      <c r="A158" s="491" t="n"/>
      <c r="B158" s="491" t="n"/>
      <c r="C158" s="491" t="n"/>
      <c r="D158" s="491" t="n"/>
      <c r="E158" s="491" t="n"/>
      <c r="F158" s="491" t="n"/>
      <c r="G158" s="491" t="n"/>
      <c r="H158" s="491" t="n"/>
      <c r="I158" s="491" t="n"/>
      <c r="J158" s="491" t="n"/>
      <c r="K158" s="491" t="n"/>
      <c r="L158" s="491" t="n"/>
      <c r="M158" s="491" t="n"/>
      <c r="N158" s="491" t="n"/>
      <c r="O158" s="491" t="n"/>
      <c r="P158" s="491" t="n"/>
      <c r="Q158" s="491" t="n"/>
      <c r="R158" s="491" t="n"/>
      <c r="S158" s="491" t="n"/>
      <c r="T158" s="491" t="n"/>
      <c r="U158" s="491" t="n"/>
      <c r="V158" s="491" t="n"/>
      <c r="W158" s="491" t="n"/>
      <c r="X158" s="491" t="n"/>
      <c r="Y158" s="491" t="n"/>
      <c r="Z158" s="491" t="n"/>
    </row>
    <row r="159" ht="12.75" customHeight="1" s="398">
      <c r="A159" s="491" t="n"/>
      <c r="B159" s="491" t="n"/>
      <c r="C159" s="491" t="n"/>
      <c r="D159" s="491" t="n"/>
      <c r="E159" s="491" t="n"/>
      <c r="F159" s="491" t="n"/>
      <c r="G159" s="491" t="n"/>
      <c r="H159" s="491" t="n"/>
      <c r="I159" s="491" t="n"/>
      <c r="J159" s="491" t="n"/>
      <c r="K159" s="491" t="n"/>
      <c r="L159" s="491" t="n"/>
      <c r="M159" s="491" t="n"/>
      <c r="N159" s="491" t="n"/>
      <c r="O159" s="491" t="n"/>
      <c r="P159" s="491" t="n"/>
      <c r="Q159" s="491" t="n"/>
      <c r="R159" s="491" t="n"/>
      <c r="S159" s="491" t="n"/>
      <c r="T159" s="491" t="n"/>
      <c r="U159" s="491" t="n"/>
      <c r="V159" s="491" t="n"/>
      <c r="W159" s="491" t="n"/>
      <c r="X159" s="491" t="n"/>
      <c r="Y159" s="491" t="n"/>
      <c r="Z159" s="491" t="n"/>
    </row>
    <row r="160" ht="12.75" customHeight="1" s="398">
      <c r="A160" s="491" t="n"/>
      <c r="B160" s="491" t="n"/>
      <c r="C160" s="491" t="n"/>
      <c r="D160" s="491" t="n"/>
      <c r="E160" s="491" t="n"/>
      <c r="F160" s="491" t="n"/>
      <c r="G160" s="491" t="n"/>
      <c r="H160" s="491" t="n"/>
      <c r="I160" s="491" t="n"/>
      <c r="J160" s="491" t="n"/>
      <c r="K160" s="491" t="n"/>
      <c r="L160" s="491" t="n"/>
      <c r="M160" s="491" t="n"/>
      <c r="N160" s="491" t="n"/>
      <c r="O160" s="491" t="n"/>
      <c r="P160" s="491" t="n"/>
      <c r="Q160" s="491" t="n"/>
      <c r="R160" s="491" t="n"/>
      <c r="S160" s="491" t="n"/>
      <c r="T160" s="491" t="n"/>
      <c r="U160" s="491" t="n"/>
      <c r="V160" s="491" t="n"/>
      <c r="W160" s="491" t="n"/>
      <c r="X160" s="491" t="n"/>
      <c r="Y160" s="491" t="n"/>
      <c r="Z160" s="491" t="n"/>
    </row>
    <row r="161" ht="12.75" customHeight="1" s="398">
      <c r="A161" s="491" t="n"/>
      <c r="B161" s="491" t="n"/>
      <c r="C161" s="491" t="n"/>
      <c r="D161" s="491" t="n"/>
      <c r="E161" s="491" t="n"/>
      <c r="F161" s="491" t="n"/>
      <c r="G161" s="491" t="n"/>
      <c r="H161" s="491" t="n"/>
      <c r="I161" s="491" t="n"/>
      <c r="J161" s="491" t="n"/>
      <c r="K161" s="491" t="n"/>
      <c r="L161" s="491" t="n"/>
      <c r="M161" s="491" t="n"/>
      <c r="N161" s="491" t="n"/>
      <c r="O161" s="491" t="n"/>
      <c r="P161" s="491" t="n"/>
      <c r="Q161" s="491" t="n"/>
      <c r="R161" s="491" t="n"/>
      <c r="S161" s="491" t="n"/>
      <c r="T161" s="491" t="n"/>
      <c r="U161" s="491" t="n"/>
      <c r="V161" s="491" t="n"/>
      <c r="W161" s="491" t="n"/>
      <c r="X161" s="491" t="n"/>
      <c r="Y161" s="491" t="n"/>
      <c r="Z161" s="491" t="n"/>
    </row>
    <row r="162" ht="12.75" customHeight="1" s="398">
      <c r="A162" s="491" t="n"/>
      <c r="B162" s="491" t="n"/>
      <c r="C162" s="491" t="n"/>
      <c r="D162" s="491" t="n"/>
      <c r="E162" s="491" t="n"/>
      <c r="F162" s="491" t="n"/>
      <c r="G162" s="491" t="n"/>
      <c r="H162" s="491" t="n"/>
      <c r="I162" s="491" t="n"/>
      <c r="J162" s="491" t="n"/>
      <c r="K162" s="491" t="n"/>
      <c r="L162" s="491" t="n"/>
      <c r="M162" s="491" t="n"/>
      <c r="N162" s="491" t="n"/>
      <c r="O162" s="491" t="n"/>
      <c r="P162" s="491" t="n"/>
      <c r="Q162" s="491" t="n"/>
      <c r="R162" s="491" t="n"/>
      <c r="S162" s="491" t="n"/>
      <c r="T162" s="491" t="n"/>
      <c r="U162" s="491" t="n"/>
      <c r="V162" s="491" t="n"/>
      <c r="W162" s="491" t="n"/>
      <c r="X162" s="491" t="n"/>
      <c r="Y162" s="491" t="n"/>
      <c r="Z162" s="491" t="n"/>
    </row>
    <row r="163" ht="12.75" customHeight="1" s="398">
      <c r="A163" s="491" t="n"/>
      <c r="B163" s="491" t="n"/>
      <c r="C163" s="491" t="n"/>
      <c r="D163" s="491" t="n"/>
      <c r="E163" s="491" t="n"/>
      <c r="F163" s="491" t="n"/>
      <c r="G163" s="491" t="n"/>
      <c r="H163" s="491" t="n"/>
      <c r="I163" s="491" t="n"/>
      <c r="J163" s="491" t="n"/>
      <c r="K163" s="491" t="n"/>
      <c r="L163" s="491" t="n"/>
      <c r="M163" s="491" t="n"/>
      <c r="N163" s="491" t="n"/>
      <c r="O163" s="491" t="n"/>
      <c r="P163" s="491" t="n"/>
      <c r="Q163" s="491" t="n"/>
      <c r="R163" s="491" t="n"/>
      <c r="S163" s="491" t="n"/>
      <c r="T163" s="491" t="n"/>
      <c r="U163" s="491" t="n"/>
      <c r="V163" s="491" t="n"/>
      <c r="W163" s="491" t="n"/>
      <c r="X163" s="491" t="n"/>
      <c r="Y163" s="491" t="n"/>
      <c r="Z163" s="491" t="n"/>
    </row>
    <row r="164" ht="12.75" customHeight="1" s="398">
      <c r="A164" s="491" t="n"/>
      <c r="B164" s="491" t="n"/>
      <c r="C164" s="491" t="n"/>
      <c r="D164" s="491" t="n"/>
      <c r="E164" s="491" t="n"/>
      <c r="F164" s="491" t="n"/>
      <c r="G164" s="491" t="n"/>
      <c r="H164" s="491" t="n"/>
      <c r="I164" s="491" t="n"/>
      <c r="J164" s="491" t="n"/>
      <c r="K164" s="491" t="n"/>
      <c r="L164" s="491" t="n"/>
      <c r="M164" s="491" t="n"/>
      <c r="N164" s="491" t="n"/>
      <c r="O164" s="491" t="n"/>
      <c r="P164" s="491" t="n"/>
      <c r="Q164" s="491" t="n"/>
      <c r="R164" s="491" t="n"/>
      <c r="S164" s="491" t="n"/>
      <c r="T164" s="491" t="n"/>
      <c r="U164" s="491" t="n"/>
      <c r="V164" s="491" t="n"/>
      <c r="W164" s="491" t="n"/>
      <c r="X164" s="491" t="n"/>
      <c r="Y164" s="491" t="n"/>
      <c r="Z164" s="491" t="n"/>
    </row>
    <row r="165" ht="12.75" customHeight="1" s="398">
      <c r="A165" s="491" t="n"/>
      <c r="B165" s="491" t="n"/>
      <c r="C165" s="491" t="n"/>
      <c r="D165" s="491" t="n"/>
      <c r="E165" s="491" t="n"/>
      <c r="F165" s="491" t="n"/>
      <c r="G165" s="491" t="n"/>
      <c r="H165" s="491" t="n"/>
      <c r="I165" s="491" t="n"/>
      <c r="J165" s="491" t="n"/>
      <c r="K165" s="491" t="n"/>
      <c r="L165" s="491" t="n"/>
      <c r="M165" s="491" t="n"/>
      <c r="N165" s="491" t="n"/>
      <c r="O165" s="491" t="n"/>
      <c r="P165" s="491" t="n"/>
      <c r="Q165" s="491" t="n"/>
      <c r="R165" s="491" t="n"/>
      <c r="S165" s="491" t="n"/>
      <c r="T165" s="491" t="n"/>
      <c r="U165" s="491" t="n"/>
      <c r="V165" s="491" t="n"/>
      <c r="W165" s="491" t="n"/>
      <c r="X165" s="491" t="n"/>
      <c r="Y165" s="491" t="n"/>
      <c r="Z165" s="491" t="n"/>
    </row>
    <row r="166" ht="12.75" customHeight="1" s="398">
      <c r="A166" s="491" t="n"/>
      <c r="B166" s="491" t="n"/>
      <c r="C166" s="491" t="n"/>
      <c r="D166" s="491" t="n"/>
      <c r="E166" s="491" t="n"/>
      <c r="F166" s="491" t="n"/>
      <c r="G166" s="491" t="n"/>
      <c r="H166" s="491" t="n"/>
      <c r="I166" s="491" t="n"/>
      <c r="J166" s="491" t="n"/>
      <c r="K166" s="491" t="n"/>
      <c r="L166" s="491" t="n"/>
      <c r="M166" s="491" t="n"/>
      <c r="N166" s="491" t="n"/>
      <c r="O166" s="491" t="n"/>
      <c r="P166" s="491" t="n"/>
      <c r="Q166" s="491" t="n"/>
      <c r="R166" s="491" t="n"/>
      <c r="S166" s="491" t="n"/>
      <c r="T166" s="491" t="n"/>
      <c r="U166" s="491" t="n"/>
      <c r="V166" s="491" t="n"/>
      <c r="W166" s="491" t="n"/>
      <c r="X166" s="491" t="n"/>
      <c r="Y166" s="491" t="n"/>
      <c r="Z166" s="491" t="n"/>
    </row>
    <row r="167" ht="12.75" customHeight="1" s="398">
      <c r="A167" s="491" t="n"/>
      <c r="B167" s="491" t="n"/>
      <c r="C167" s="491" t="n"/>
      <c r="D167" s="491" t="n"/>
      <c r="E167" s="491" t="n"/>
      <c r="F167" s="491" t="n"/>
      <c r="G167" s="491" t="n"/>
      <c r="H167" s="491" t="n"/>
      <c r="I167" s="491" t="n"/>
      <c r="J167" s="491" t="n"/>
      <c r="K167" s="491" t="n"/>
      <c r="L167" s="491" t="n"/>
      <c r="M167" s="491" t="n"/>
      <c r="N167" s="491" t="n"/>
      <c r="O167" s="491" t="n"/>
      <c r="P167" s="491" t="n"/>
      <c r="Q167" s="491" t="n"/>
      <c r="R167" s="491" t="n"/>
      <c r="S167" s="491" t="n"/>
      <c r="T167" s="491" t="n"/>
      <c r="U167" s="491" t="n"/>
      <c r="V167" s="491" t="n"/>
      <c r="W167" s="491" t="n"/>
      <c r="X167" s="491" t="n"/>
      <c r="Y167" s="491" t="n"/>
      <c r="Z167" s="491" t="n"/>
    </row>
    <row r="168" ht="12.75" customHeight="1" s="398">
      <c r="A168" s="491" t="n"/>
      <c r="B168" s="491" t="n"/>
      <c r="C168" s="491" t="n"/>
      <c r="D168" s="491" t="n"/>
      <c r="E168" s="491" t="n"/>
      <c r="F168" s="491" t="n"/>
      <c r="G168" s="491" t="n"/>
      <c r="H168" s="491" t="n"/>
      <c r="I168" s="491" t="n"/>
      <c r="J168" s="491" t="n"/>
      <c r="K168" s="491" t="n"/>
      <c r="L168" s="491" t="n"/>
      <c r="M168" s="491" t="n"/>
      <c r="N168" s="491" t="n"/>
      <c r="O168" s="491" t="n"/>
      <c r="P168" s="491" t="n"/>
      <c r="Q168" s="491" t="n"/>
      <c r="R168" s="491" t="n"/>
      <c r="S168" s="491" t="n"/>
      <c r="T168" s="491" t="n"/>
      <c r="U168" s="491" t="n"/>
      <c r="V168" s="491" t="n"/>
      <c r="W168" s="491" t="n"/>
      <c r="X168" s="491" t="n"/>
      <c r="Y168" s="491" t="n"/>
      <c r="Z168" s="491" t="n"/>
    </row>
    <row r="169" ht="12.75" customHeight="1" s="398">
      <c r="A169" s="491" t="n"/>
      <c r="B169" s="491" t="n"/>
      <c r="C169" s="491" t="n"/>
      <c r="D169" s="491" t="n"/>
      <c r="E169" s="491" t="n"/>
      <c r="F169" s="491" t="n"/>
      <c r="G169" s="491" t="n"/>
      <c r="H169" s="491" t="n"/>
      <c r="I169" s="491" t="n"/>
      <c r="J169" s="491" t="n"/>
      <c r="K169" s="491" t="n"/>
      <c r="L169" s="491" t="n"/>
      <c r="M169" s="491" t="n"/>
      <c r="N169" s="491" t="n"/>
      <c r="O169" s="491" t="n"/>
      <c r="P169" s="491" t="n"/>
      <c r="Q169" s="491" t="n"/>
      <c r="R169" s="491" t="n"/>
      <c r="S169" s="491" t="n"/>
      <c r="T169" s="491" t="n"/>
      <c r="U169" s="491" t="n"/>
      <c r="V169" s="491" t="n"/>
      <c r="W169" s="491" t="n"/>
      <c r="X169" s="491" t="n"/>
      <c r="Y169" s="491" t="n"/>
      <c r="Z169" s="491" t="n"/>
    </row>
    <row r="170" ht="12.75" customHeight="1" s="398">
      <c r="A170" s="491" t="n"/>
      <c r="B170" s="491" t="n"/>
      <c r="C170" s="491" t="n"/>
      <c r="D170" s="491" t="n"/>
      <c r="E170" s="491" t="n"/>
      <c r="F170" s="491" t="n"/>
      <c r="G170" s="491" t="n"/>
      <c r="H170" s="491" t="n"/>
      <c r="I170" s="491" t="n"/>
      <c r="J170" s="491" t="n"/>
      <c r="K170" s="491" t="n"/>
      <c r="L170" s="491" t="n"/>
      <c r="M170" s="491" t="n"/>
      <c r="N170" s="491" t="n"/>
      <c r="O170" s="491" t="n"/>
      <c r="P170" s="491" t="n"/>
      <c r="Q170" s="491" t="n"/>
      <c r="R170" s="491" t="n"/>
      <c r="S170" s="491" t="n"/>
      <c r="T170" s="491" t="n"/>
      <c r="U170" s="491" t="n"/>
      <c r="V170" s="491" t="n"/>
      <c r="W170" s="491" t="n"/>
      <c r="X170" s="491" t="n"/>
      <c r="Y170" s="491" t="n"/>
      <c r="Z170" s="491" t="n"/>
    </row>
    <row r="171" ht="12.75" customHeight="1" s="398">
      <c r="A171" s="491" t="n"/>
      <c r="B171" s="491" t="n"/>
      <c r="C171" s="491" t="n"/>
      <c r="D171" s="491" t="n"/>
      <c r="E171" s="491" t="n"/>
      <c r="F171" s="491" t="n"/>
      <c r="G171" s="491" t="n"/>
      <c r="H171" s="491" t="n"/>
      <c r="I171" s="491" t="n"/>
      <c r="J171" s="491" t="n"/>
      <c r="K171" s="491" t="n"/>
      <c r="L171" s="491" t="n"/>
      <c r="M171" s="491" t="n"/>
      <c r="N171" s="491" t="n"/>
      <c r="O171" s="491" t="n"/>
      <c r="P171" s="491" t="n"/>
      <c r="Q171" s="491" t="n"/>
      <c r="R171" s="491" t="n"/>
      <c r="S171" s="491" t="n"/>
      <c r="T171" s="491" t="n"/>
      <c r="U171" s="491" t="n"/>
      <c r="V171" s="491" t="n"/>
      <c r="W171" s="491" t="n"/>
      <c r="X171" s="491" t="n"/>
      <c r="Y171" s="491" t="n"/>
      <c r="Z171" s="491" t="n"/>
    </row>
    <row r="172" ht="12.75" customHeight="1" s="398">
      <c r="A172" s="491" t="n"/>
      <c r="B172" s="491" t="n"/>
      <c r="C172" s="491" t="n"/>
      <c r="D172" s="491" t="n"/>
      <c r="E172" s="491" t="n"/>
      <c r="F172" s="491" t="n"/>
      <c r="G172" s="491" t="n"/>
      <c r="H172" s="491" t="n"/>
      <c r="I172" s="491" t="n"/>
      <c r="J172" s="491" t="n"/>
      <c r="K172" s="491" t="n"/>
      <c r="L172" s="491" t="n"/>
      <c r="M172" s="491" t="n"/>
      <c r="N172" s="491" t="n"/>
      <c r="O172" s="491" t="n"/>
      <c r="P172" s="491" t="n"/>
      <c r="Q172" s="491" t="n"/>
      <c r="R172" s="491" t="n"/>
      <c r="S172" s="491" t="n"/>
      <c r="T172" s="491" t="n"/>
      <c r="U172" s="491" t="n"/>
      <c r="V172" s="491" t="n"/>
      <c r="W172" s="491" t="n"/>
      <c r="X172" s="491" t="n"/>
      <c r="Y172" s="491" t="n"/>
      <c r="Z172" s="491" t="n"/>
    </row>
    <row r="173" ht="12.75" customHeight="1" s="398">
      <c r="A173" s="491" t="n"/>
      <c r="B173" s="491" t="n"/>
      <c r="C173" s="491" t="n"/>
      <c r="D173" s="491" t="n"/>
      <c r="E173" s="491" t="n"/>
      <c r="F173" s="491" t="n"/>
      <c r="G173" s="491" t="n"/>
      <c r="H173" s="491" t="n"/>
      <c r="I173" s="491" t="n"/>
      <c r="J173" s="491" t="n"/>
      <c r="K173" s="491" t="n"/>
      <c r="L173" s="491" t="n"/>
      <c r="M173" s="491" t="n"/>
      <c r="N173" s="491" t="n"/>
      <c r="O173" s="491" t="n"/>
      <c r="P173" s="491" t="n"/>
      <c r="Q173" s="491" t="n"/>
      <c r="R173" s="491" t="n"/>
      <c r="S173" s="491" t="n"/>
      <c r="T173" s="491" t="n"/>
      <c r="U173" s="491" t="n"/>
      <c r="V173" s="491" t="n"/>
      <c r="W173" s="491" t="n"/>
      <c r="X173" s="491" t="n"/>
      <c r="Y173" s="491" t="n"/>
      <c r="Z173" s="491" t="n"/>
    </row>
    <row r="174" ht="12.75" customHeight="1" s="398">
      <c r="A174" s="491" t="n"/>
      <c r="B174" s="491" t="n"/>
      <c r="C174" s="491" t="n"/>
      <c r="D174" s="491" t="n"/>
      <c r="E174" s="491" t="n"/>
      <c r="F174" s="491" t="n"/>
      <c r="G174" s="491" t="n"/>
      <c r="H174" s="491" t="n"/>
      <c r="I174" s="491" t="n"/>
      <c r="J174" s="491" t="n"/>
      <c r="K174" s="491" t="n"/>
      <c r="L174" s="491" t="n"/>
      <c r="M174" s="491" t="n"/>
      <c r="N174" s="491" t="n"/>
      <c r="O174" s="491" t="n"/>
      <c r="P174" s="491" t="n"/>
      <c r="Q174" s="491" t="n"/>
      <c r="R174" s="491" t="n"/>
      <c r="S174" s="491" t="n"/>
      <c r="T174" s="491" t="n"/>
      <c r="U174" s="491" t="n"/>
      <c r="V174" s="491" t="n"/>
      <c r="W174" s="491" t="n"/>
      <c r="X174" s="491" t="n"/>
      <c r="Y174" s="491" t="n"/>
      <c r="Z174" s="491" t="n"/>
    </row>
    <row r="175" ht="12.75" customHeight="1" s="398">
      <c r="A175" s="491" t="n"/>
      <c r="B175" s="491" t="n"/>
      <c r="C175" s="491" t="n"/>
      <c r="D175" s="491" t="n"/>
      <c r="E175" s="491" t="n"/>
      <c r="F175" s="491" t="n"/>
      <c r="G175" s="491" t="n"/>
      <c r="H175" s="491" t="n"/>
      <c r="I175" s="491" t="n"/>
      <c r="J175" s="491" t="n"/>
      <c r="K175" s="491" t="n"/>
      <c r="L175" s="491" t="n"/>
      <c r="M175" s="491" t="n"/>
      <c r="N175" s="491" t="n"/>
      <c r="O175" s="491" t="n"/>
      <c r="P175" s="491" t="n"/>
      <c r="Q175" s="491" t="n"/>
      <c r="R175" s="491" t="n"/>
      <c r="S175" s="491" t="n"/>
      <c r="T175" s="491" t="n"/>
      <c r="U175" s="491" t="n"/>
      <c r="V175" s="491" t="n"/>
      <c r="W175" s="491" t="n"/>
      <c r="X175" s="491" t="n"/>
      <c r="Y175" s="491" t="n"/>
      <c r="Z175" s="491" t="n"/>
    </row>
    <row r="176" ht="12.75" customHeight="1" s="398">
      <c r="A176" s="491" t="n"/>
      <c r="B176" s="491" t="n"/>
      <c r="C176" s="491" t="n"/>
      <c r="D176" s="491" t="n"/>
      <c r="E176" s="491" t="n"/>
      <c r="F176" s="491" t="n"/>
      <c r="G176" s="491" t="n"/>
      <c r="H176" s="491" t="n"/>
      <c r="I176" s="491" t="n"/>
      <c r="J176" s="491" t="n"/>
      <c r="K176" s="491" t="n"/>
      <c r="L176" s="491" t="n"/>
      <c r="M176" s="491" t="n"/>
      <c r="N176" s="491" t="n"/>
      <c r="O176" s="491" t="n"/>
      <c r="P176" s="491" t="n"/>
      <c r="Q176" s="491" t="n"/>
      <c r="R176" s="491" t="n"/>
      <c r="S176" s="491" t="n"/>
      <c r="T176" s="491" t="n"/>
      <c r="U176" s="491" t="n"/>
      <c r="V176" s="491" t="n"/>
      <c r="W176" s="491" t="n"/>
      <c r="X176" s="491" t="n"/>
      <c r="Y176" s="491" t="n"/>
      <c r="Z176" s="491" t="n"/>
    </row>
    <row r="177" ht="12.75" customHeight="1" s="398">
      <c r="A177" s="491" t="n"/>
      <c r="B177" s="491" t="n"/>
      <c r="C177" s="491" t="n"/>
      <c r="D177" s="491" t="n"/>
      <c r="E177" s="491" t="n"/>
      <c r="F177" s="491" t="n"/>
      <c r="G177" s="491" t="n"/>
      <c r="H177" s="491" t="n"/>
      <c r="I177" s="491" t="n"/>
      <c r="J177" s="491" t="n"/>
      <c r="K177" s="491" t="n"/>
      <c r="L177" s="491" t="n"/>
      <c r="M177" s="491" t="n"/>
      <c r="N177" s="491" t="n"/>
      <c r="O177" s="491" t="n"/>
      <c r="P177" s="491" t="n"/>
      <c r="Q177" s="491" t="n"/>
      <c r="R177" s="491" t="n"/>
      <c r="S177" s="491" t="n"/>
      <c r="T177" s="491" t="n"/>
      <c r="U177" s="491" t="n"/>
      <c r="V177" s="491" t="n"/>
      <c r="W177" s="491" t="n"/>
      <c r="X177" s="491" t="n"/>
      <c r="Y177" s="491" t="n"/>
      <c r="Z177" s="491" t="n"/>
    </row>
    <row r="178" ht="12.75" customHeight="1" s="398">
      <c r="A178" s="491" t="n"/>
      <c r="B178" s="491" t="n"/>
      <c r="C178" s="491" t="n"/>
      <c r="D178" s="491" t="n"/>
      <c r="E178" s="491" t="n"/>
      <c r="F178" s="491" t="n"/>
      <c r="G178" s="491" t="n"/>
      <c r="H178" s="491" t="n"/>
      <c r="I178" s="491" t="n"/>
      <c r="J178" s="491" t="n"/>
      <c r="K178" s="491" t="n"/>
      <c r="L178" s="491" t="n"/>
      <c r="M178" s="491" t="n"/>
      <c r="N178" s="491" t="n"/>
      <c r="O178" s="491" t="n"/>
      <c r="P178" s="491" t="n"/>
      <c r="Q178" s="491" t="n"/>
      <c r="R178" s="491" t="n"/>
      <c r="S178" s="491" t="n"/>
      <c r="T178" s="491" t="n"/>
      <c r="U178" s="491" t="n"/>
      <c r="V178" s="491" t="n"/>
      <c r="W178" s="491" t="n"/>
      <c r="X178" s="491" t="n"/>
      <c r="Y178" s="491" t="n"/>
      <c r="Z178" s="491" t="n"/>
    </row>
    <row r="179" ht="12.75" customHeight="1" s="398">
      <c r="A179" s="491" t="n"/>
      <c r="B179" s="491" t="n"/>
      <c r="C179" s="491" t="n"/>
      <c r="D179" s="491" t="n"/>
      <c r="E179" s="491" t="n"/>
      <c r="F179" s="491" t="n"/>
      <c r="G179" s="491" t="n"/>
      <c r="H179" s="491" t="n"/>
      <c r="I179" s="491" t="n"/>
      <c r="J179" s="491" t="n"/>
      <c r="K179" s="491" t="n"/>
      <c r="L179" s="491" t="n"/>
      <c r="M179" s="491" t="n"/>
      <c r="N179" s="491" t="n"/>
      <c r="O179" s="491" t="n"/>
      <c r="P179" s="491" t="n"/>
      <c r="Q179" s="491" t="n"/>
      <c r="R179" s="491" t="n"/>
      <c r="S179" s="491" t="n"/>
      <c r="T179" s="491" t="n"/>
      <c r="U179" s="491" t="n"/>
      <c r="V179" s="491" t="n"/>
      <c r="W179" s="491" t="n"/>
      <c r="X179" s="491" t="n"/>
      <c r="Y179" s="491" t="n"/>
      <c r="Z179" s="491" t="n"/>
    </row>
    <row r="180" ht="12.75" customHeight="1" s="398">
      <c r="A180" s="491" t="n"/>
      <c r="B180" s="491" t="n"/>
      <c r="C180" s="491" t="n"/>
      <c r="D180" s="491" t="n"/>
      <c r="E180" s="491" t="n"/>
      <c r="F180" s="491" t="n"/>
      <c r="G180" s="491" t="n"/>
      <c r="H180" s="491" t="n"/>
      <c r="I180" s="491" t="n"/>
      <c r="J180" s="491" t="n"/>
      <c r="K180" s="491" t="n"/>
      <c r="L180" s="491" t="n"/>
      <c r="M180" s="491" t="n"/>
      <c r="N180" s="491" t="n"/>
      <c r="O180" s="491" t="n"/>
      <c r="P180" s="491" t="n"/>
      <c r="Q180" s="491" t="n"/>
      <c r="R180" s="491" t="n"/>
      <c r="S180" s="491" t="n"/>
      <c r="T180" s="491" t="n"/>
      <c r="U180" s="491" t="n"/>
      <c r="V180" s="491" t="n"/>
      <c r="W180" s="491" t="n"/>
      <c r="X180" s="491" t="n"/>
      <c r="Y180" s="491" t="n"/>
      <c r="Z180" s="491" t="n"/>
    </row>
    <row r="181" ht="12.75" customHeight="1" s="398">
      <c r="A181" s="491" t="n"/>
      <c r="B181" s="491" t="n"/>
      <c r="C181" s="491" t="n"/>
      <c r="D181" s="491" t="n"/>
      <c r="E181" s="491" t="n"/>
      <c r="F181" s="491" t="n"/>
      <c r="G181" s="491" t="n"/>
      <c r="H181" s="491" t="n"/>
      <c r="I181" s="491" t="n"/>
      <c r="J181" s="491" t="n"/>
      <c r="K181" s="491" t="n"/>
      <c r="L181" s="491" t="n"/>
      <c r="M181" s="491" t="n"/>
      <c r="N181" s="491" t="n"/>
      <c r="O181" s="491" t="n"/>
      <c r="P181" s="491" t="n"/>
      <c r="Q181" s="491" t="n"/>
      <c r="R181" s="491" t="n"/>
      <c r="S181" s="491" t="n"/>
      <c r="T181" s="491" t="n"/>
      <c r="U181" s="491" t="n"/>
      <c r="V181" s="491" t="n"/>
      <c r="W181" s="491" t="n"/>
      <c r="X181" s="491" t="n"/>
      <c r="Y181" s="491" t="n"/>
      <c r="Z181" s="491" t="n"/>
    </row>
    <row r="182" ht="12.75" customHeight="1" s="398">
      <c r="A182" s="491" t="n"/>
      <c r="B182" s="491" t="n"/>
      <c r="C182" s="491" t="n"/>
      <c r="D182" s="491" t="n"/>
      <c r="E182" s="491" t="n"/>
      <c r="F182" s="491" t="n"/>
      <c r="G182" s="491" t="n"/>
      <c r="H182" s="491" t="n"/>
      <c r="I182" s="491" t="n"/>
      <c r="J182" s="491" t="n"/>
      <c r="K182" s="491" t="n"/>
      <c r="L182" s="491" t="n"/>
      <c r="M182" s="491" t="n"/>
      <c r="N182" s="491" t="n"/>
      <c r="O182" s="491" t="n"/>
      <c r="P182" s="491" t="n"/>
      <c r="Q182" s="491" t="n"/>
      <c r="R182" s="491" t="n"/>
      <c r="S182" s="491" t="n"/>
      <c r="T182" s="491" t="n"/>
      <c r="U182" s="491" t="n"/>
      <c r="V182" s="491" t="n"/>
      <c r="W182" s="491" t="n"/>
      <c r="X182" s="491" t="n"/>
      <c r="Y182" s="491" t="n"/>
      <c r="Z182" s="491" t="n"/>
    </row>
    <row r="183" ht="12.75" customHeight="1" s="398">
      <c r="A183" s="491" t="n"/>
      <c r="B183" s="491" t="n"/>
      <c r="C183" s="491" t="n"/>
      <c r="D183" s="491" t="n"/>
      <c r="E183" s="491" t="n"/>
      <c r="F183" s="491" t="n"/>
      <c r="G183" s="491" t="n"/>
      <c r="H183" s="491" t="n"/>
      <c r="I183" s="491" t="n"/>
      <c r="J183" s="491" t="n"/>
      <c r="K183" s="491" t="n"/>
      <c r="L183" s="491" t="n"/>
      <c r="M183" s="491" t="n"/>
      <c r="N183" s="491" t="n"/>
      <c r="O183" s="491" t="n"/>
      <c r="P183" s="491" t="n"/>
      <c r="Q183" s="491" t="n"/>
      <c r="R183" s="491" t="n"/>
      <c r="S183" s="491" t="n"/>
      <c r="T183" s="491" t="n"/>
      <c r="U183" s="491" t="n"/>
      <c r="V183" s="491" t="n"/>
      <c r="W183" s="491" t="n"/>
      <c r="X183" s="491" t="n"/>
      <c r="Y183" s="491" t="n"/>
      <c r="Z183" s="491" t="n"/>
    </row>
    <row r="184" ht="12.75" customHeight="1" s="398">
      <c r="A184" s="491" t="n"/>
      <c r="B184" s="491" t="n"/>
      <c r="C184" s="491" t="n"/>
      <c r="D184" s="491" t="n"/>
      <c r="E184" s="491" t="n"/>
      <c r="F184" s="491" t="n"/>
      <c r="G184" s="491" t="n"/>
      <c r="H184" s="491" t="n"/>
      <c r="I184" s="491" t="n"/>
      <c r="J184" s="491" t="n"/>
      <c r="K184" s="491" t="n"/>
      <c r="L184" s="491" t="n"/>
      <c r="M184" s="491" t="n"/>
      <c r="N184" s="491" t="n"/>
      <c r="O184" s="491" t="n"/>
      <c r="P184" s="491" t="n"/>
      <c r="Q184" s="491" t="n"/>
      <c r="R184" s="491" t="n"/>
      <c r="S184" s="491" t="n"/>
      <c r="T184" s="491" t="n"/>
      <c r="U184" s="491" t="n"/>
      <c r="V184" s="491" t="n"/>
      <c r="W184" s="491" t="n"/>
      <c r="X184" s="491" t="n"/>
      <c r="Y184" s="491" t="n"/>
      <c r="Z184" s="491" t="n"/>
    </row>
    <row r="185" ht="12.75" customHeight="1" s="398">
      <c r="A185" s="491" t="n"/>
      <c r="B185" s="491" t="n"/>
      <c r="C185" s="491" t="n"/>
      <c r="D185" s="491" t="n"/>
      <c r="E185" s="491" t="n"/>
      <c r="F185" s="491" t="n"/>
      <c r="G185" s="491" t="n"/>
      <c r="H185" s="491" t="n"/>
      <c r="I185" s="491" t="n"/>
      <c r="J185" s="491" t="n"/>
      <c r="K185" s="491" t="n"/>
      <c r="L185" s="491" t="n"/>
      <c r="M185" s="491" t="n"/>
      <c r="N185" s="491" t="n"/>
      <c r="O185" s="491" t="n"/>
      <c r="P185" s="491" t="n"/>
      <c r="Q185" s="491" t="n"/>
      <c r="R185" s="491" t="n"/>
      <c r="S185" s="491" t="n"/>
      <c r="T185" s="491" t="n"/>
      <c r="U185" s="491" t="n"/>
      <c r="V185" s="491" t="n"/>
      <c r="W185" s="491" t="n"/>
      <c r="X185" s="491" t="n"/>
      <c r="Y185" s="491" t="n"/>
      <c r="Z185" s="491" t="n"/>
    </row>
    <row r="186" ht="12.75" customHeight="1" s="398">
      <c r="A186" s="491" t="n"/>
      <c r="B186" s="491" t="n"/>
      <c r="C186" s="491" t="n"/>
      <c r="D186" s="491" t="n"/>
      <c r="E186" s="491" t="n"/>
      <c r="F186" s="491" t="n"/>
      <c r="G186" s="491" t="n"/>
      <c r="H186" s="491" t="n"/>
      <c r="I186" s="491" t="n"/>
      <c r="J186" s="491" t="n"/>
      <c r="K186" s="491" t="n"/>
      <c r="L186" s="491" t="n"/>
      <c r="M186" s="491" t="n"/>
      <c r="N186" s="491" t="n"/>
      <c r="O186" s="491" t="n"/>
      <c r="P186" s="491" t="n"/>
      <c r="Q186" s="491" t="n"/>
      <c r="R186" s="491" t="n"/>
      <c r="S186" s="491" t="n"/>
      <c r="T186" s="491" t="n"/>
      <c r="U186" s="491" t="n"/>
      <c r="V186" s="491" t="n"/>
      <c r="W186" s="491" t="n"/>
      <c r="X186" s="491" t="n"/>
      <c r="Y186" s="491" t="n"/>
      <c r="Z186" s="491" t="n"/>
    </row>
    <row r="187" ht="12.75" customHeight="1" s="398">
      <c r="A187" s="491" t="n"/>
      <c r="B187" s="491" t="n"/>
      <c r="C187" s="491" t="n"/>
      <c r="D187" s="491" t="n"/>
      <c r="E187" s="491" t="n"/>
      <c r="F187" s="491" t="n"/>
      <c r="G187" s="491" t="n"/>
      <c r="H187" s="491" t="n"/>
      <c r="I187" s="491" t="n"/>
      <c r="J187" s="491" t="n"/>
      <c r="K187" s="491" t="n"/>
      <c r="L187" s="491" t="n"/>
      <c r="M187" s="491" t="n"/>
      <c r="N187" s="491" t="n"/>
      <c r="O187" s="491" t="n"/>
      <c r="P187" s="491" t="n"/>
      <c r="Q187" s="491" t="n"/>
      <c r="R187" s="491" t="n"/>
      <c r="S187" s="491" t="n"/>
      <c r="T187" s="491" t="n"/>
      <c r="U187" s="491" t="n"/>
      <c r="V187" s="491" t="n"/>
      <c r="W187" s="491" t="n"/>
      <c r="X187" s="491" t="n"/>
      <c r="Y187" s="491" t="n"/>
      <c r="Z187" s="491" t="n"/>
    </row>
    <row r="188" ht="12.75" customHeight="1" s="398">
      <c r="A188" s="491" t="n"/>
      <c r="B188" s="491" t="n"/>
      <c r="C188" s="491" t="n"/>
      <c r="D188" s="491" t="n"/>
      <c r="E188" s="491" t="n"/>
      <c r="F188" s="491" t="n"/>
      <c r="G188" s="491" t="n"/>
      <c r="H188" s="491" t="n"/>
      <c r="I188" s="491" t="n"/>
      <c r="J188" s="491" t="n"/>
      <c r="K188" s="491" t="n"/>
      <c r="L188" s="491" t="n"/>
      <c r="M188" s="491" t="n"/>
      <c r="N188" s="491" t="n"/>
      <c r="O188" s="491" t="n"/>
      <c r="P188" s="491" t="n"/>
      <c r="Q188" s="491" t="n"/>
      <c r="R188" s="491" t="n"/>
      <c r="S188" s="491" t="n"/>
      <c r="T188" s="491" t="n"/>
      <c r="U188" s="491" t="n"/>
      <c r="V188" s="491" t="n"/>
      <c r="W188" s="491" t="n"/>
      <c r="X188" s="491" t="n"/>
      <c r="Y188" s="491" t="n"/>
      <c r="Z188" s="491" t="n"/>
    </row>
    <row r="189" ht="12.75" customHeight="1" s="398">
      <c r="A189" s="491" t="n"/>
      <c r="B189" s="491" t="n"/>
      <c r="C189" s="491" t="n"/>
      <c r="D189" s="491" t="n"/>
      <c r="E189" s="491" t="n"/>
      <c r="F189" s="491" t="n"/>
      <c r="G189" s="491" t="n"/>
      <c r="H189" s="491" t="n"/>
      <c r="I189" s="491" t="n"/>
      <c r="J189" s="491" t="n"/>
      <c r="K189" s="491" t="n"/>
      <c r="L189" s="491" t="n"/>
      <c r="M189" s="491" t="n"/>
      <c r="N189" s="491" t="n"/>
      <c r="O189" s="491" t="n"/>
      <c r="P189" s="491" t="n"/>
      <c r="Q189" s="491" t="n"/>
      <c r="R189" s="491" t="n"/>
      <c r="S189" s="491" t="n"/>
      <c r="T189" s="491" t="n"/>
      <c r="U189" s="491" t="n"/>
      <c r="V189" s="491" t="n"/>
      <c r="W189" s="491" t="n"/>
      <c r="X189" s="491" t="n"/>
      <c r="Y189" s="491" t="n"/>
      <c r="Z189" s="491" t="n"/>
    </row>
    <row r="190" ht="12.75" customHeight="1" s="398">
      <c r="A190" s="491" t="n"/>
      <c r="B190" s="491" t="n"/>
      <c r="C190" s="491" t="n"/>
      <c r="D190" s="491" t="n"/>
      <c r="E190" s="491" t="n"/>
      <c r="F190" s="491" t="n"/>
      <c r="G190" s="491" t="n"/>
      <c r="H190" s="491" t="n"/>
      <c r="I190" s="491" t="n"/>
      <c r="J190" s="491" t="n"/>
      <c r="K190" s="491" t="n"/>
      <c r="L190" s="491" t="n"/>
      <c r="M190" s="491" t="n"/>
      <c r="N190" s="491" t="n"/>
      <c r="O190" s="491" t="n"/>
      <c r="P190" s="491" t="n"/>
      <c r="Q190" s="491" t="n"/>
      <c r="R190" s="491" t="n"/>
      <c r="S190" s="491" t="n"/>
      <c r="T190" s="491" t="n"/>
      <c r="U190" s="491" t="n"/>
      <c r="V190" s="491" t="n"/>
      <c r="W190" s="491" t="n"/>
      <c r="X190" s="491" t="n"/>
      <c r="Y190" s="491" t="n"/>
      <c r="Z190" s="491" t="n"/>
    </row>
    <row r="191" ht="12.75" customHeight="1" s="398">
      <c r="A191" s="491" t="n"/>
      <c r="B191" s="491" t="n"/>
      <c r="C191" s="491" t="n"/>
      <c r="D191" s="491" t="n"/>
      <c r="E191" s="491" t="n"/>
      <c r="F191" s="491" t="n"/>
      <c r="G191" s="491" t="n"/>
      <c r="H191" s="491" t="n"/>
      <c r="I191" s="491" t="n"/>
      <c r="J191" s="491" t="n"/>
      <c r="K191" s="491" t="n"/>
      <c r="L191" s="491" t="n"/>
      <c r="M191" s="491" t="n"/>
      <c r="N191" s="491" t="n"/>
      <c r="O191" s="491" t="n"/>
      <c r="P191" s="491" t="n"/>
      <c r="Q191" s="491" t="n"/>
      <c r="R191" s="491" t="n"/>
      <c r="S191" s="491" t="n"/>
      <c r="T191" s="491" t="n"/>
      <c r="U191" s="491" t="n"/>
      <c r="V191" s="491" t="n"/>
      <c r="W191" s="491" t="n"/>
      <c r="X191" s="491" t="n"/>
      <c r="Y191" s="491" t="n"/>
      <c r="Z191" s="491" t="n"/>
    </row>
    <row r="192" ht="12.75" customHeight="1" s="398">
      <c r="A192" s="491" t="n"/>
      <c r="B192" s="491" t="n"/>
      <c r="C192" s="491" t="n"/>
      <c r="D192" s="491" t="n"/>
      <c r="E192" s="491" t="n"/>
      <c r="F192" s="491" t="n"/>
      <c r="G192" s="491" t="n"/>
      <c r="H192" s="491" t="n"/>
      <c r="I192" s="491" t="n"/>
      <c r="J192" s="491" t="n"/>
      <c r="K192" s="491" t="n"/>
      <c r="L192" s="491" t="n"/>
      <c r="M192" s="491" t="n"/>
      <c r="N192" s="491" t="n"/>
      <c r="O192" s="491" t="n"/>
      <c r="P192" s="491" t="n"/>
      <c r="Q192" s="491" t="n"/>
      <c r="R192" s="491" t="n"/>
      <c r="S192" s="491" t="n"/>
      <c r="T192" s="491" t="n"/>
      <c r="U192" s="491" t="n"/>
      <c r="V192" s="491" t="n"/>
      <c r="W192" s="491" t="n"/>
      <c r="X192" s="491" t="n"/>
      <c r="Y192" s="491" t="n"/>
      <c r="Z192" s="491" t="n"/>
    </row>
    <row r="193" ht="12.75" customHeight="1" s="398">
      <c r="A193" s="491" t="n"/>
      <c r="B193" s="491" t="n"/>
      <c r="C193" s="491" t="n"/>
      <c r="D193" s="491" t="n"/>
      <c r="E193" s="491" t="n"/>
      <c r="F193" s="491" t="n"/>
      <c r="G193" s="491" t="n"/>
      <c r="H193" s="491" t="n"/>
      <c r="I193" s="491" t="n"/>
      <c r="J193" s="491" t="n"/>
      <c r="K193" s="491" t="n"/>
      <c r="L193" s="491" t="n"/>
      <c r="M193" s="491" t="n"/>
      <c r="N193" s="491" t="n"/>
      <c r="O193" s="491" t="n"/>
      <c r="P193" s="491" t="n"/>
      <c r="Q193" s="491" t="n"/>
      <c r="R193" s="491" t="n"/>
      <c r="S193" s="491" t="n"/>
      <c r="T193" s="491" t="n"/>
      <c r="U193" s="491" t="n"/>
      <c r="V193" s="491" t="n"/>
      <c r="W193" s="491" t="n"/>
      <c r="X193" s="491" t="n"/>
      <c r="Y193" s="491" t="n"/>
      <c r="Z193" s="491" t="n"/>
    </row>
    <row r="194" ht="12.75" customHeight="1" s="398">
      <c r="A194" s="491" t="n"/>
      <c r="B194" s="491" t="n"/>
      <c r="C194" s="491" t="n"/>
      <c r="D194" s="491" t="n"/>
      <c r="E194" s="491" t="n"/>
      <c r="F194" s="491" t="n"/>
      <c r="G194" s="491" t="n"/>
      <c r="H194" s="491" t="n"/>
      <c r="I194" s="491" t="n"/>
      <c r="J194" s="491" t="n"/>
      <c r="K194" s="491" t="n"/>
      <c r="L194" s="491" t="n"/>
      <c r="M194" s="491" t="n"/>
      <c r="N194" s="491" t="n"/>
      <c r="O194" s="491" t="n"/>
      <c r="P194" s="491" t="n"/>
      <c r="Q194" s="491" t="n"/>
      <c r="R194" s="491" t="n"/>
      <c r="S194" s="491" t="n"/>
      <c r="T194" s="491" t="n"/>
      <c r="U194" s="491" t="n"/>
      <c r="V194" s="491" t="n"/>
      <c r="W194" s="491" t="n"/>
      <c r="X194" s="491" t="n"/>
      <c r="Y194" s="491" t="n"/>
      <c r="Z194" s="491" t="n"/>
    </row>
    <row r="195" ht="12.75" customHeight="1" s="398">
      <c r="A195" s="491" t="n"/>
      <c r="B195" s="491" t="n"/>
      <c r="C195" s="491" t="n"/>
      <c r="D195" s="491" t="n"/>
      <c r="E195" s="491" t="n"/>
      <c r="F195" s="491" t="n"/>
      <c r="G195" s="491" t="n"/>
      <c r="H195" s="491" t="n"/>
      <c r="I195" s="491" t="n"/>
      <c r="J195" s="491" t="n"/>
      <c r="K195" s="491" t="n"/>
      <c r="L195" s="491" t="n"/>
      <c r="M195" s="491" t="n"/>
      <c r="N195" s="491" t="n"/>
      <c r="O195" s="491" t="n"/>
      <c r="P195" s="491" t="n"/>
      <c r="Q195" s="491" t="n"/>
      <c r="R195" s="491" t="n"/>
      <c r="S195" s="491" t="n"/>
      <c r="T195" s="491" t="n"/>
      <c r="U195" s="491" t="n"/>
      <c r="V195" s="491" t="n"/>
      <c r="W195" s="491" t="n"/>
      <c r="X195" s="491" t="n"/>
      <c r="Y195" s="491" t="n"/>
      <c r="Z195" s="491" t="n"/>
    </row>
    <row r="196" ht="12.75" customHeight="1" s="398">
      <c r="A196" s="491" t="n"/>
      <c r="B196" s="491" t="n"/>
      <c r="C196" s="491" t="n"/>
      <c r="D196" s="491" t="n"/>
      <c r="E196" s="491" t="n"/>
      <c r="F196" s="491" t="n"/>
      <c r="G196" s="491" t="n"/>
      <c r="H196" s="491" t="n"/>
      <c r="I196" s="491" t="n"/>
      <c r="J196" s="491" t="n"/>
      <c r="K196" s="491" t="n"/>
      <c r="L196" s="491" t="n"/>
      <c r="M196" s="491" t="n"/>
      <c r="N196" s="491" t="n"/>
      <c r="O196" s="491" t="n"/>
      <c r="P196" s="491" t="n"/>
      <c r="Q196" s="491" t="n"/>
      <c r="R196" s="491" t="n"/>
      <c r="S196" s="491" t="n"/>
      <c r="T196" s="491" t="n"/>
      <c r="U196" s="491" t="n"/>
      <c r="V196" s="491" t="n"/>
      <c r="W196" s="491" t="n"/>
      <c r="X196" s="491" t="n"/>
      <c r="Y196" s="491" t="n"/>
      <c r="Z196" s="491" t="n"/>
    </row>
    <row r="197" ht="12.75" customHeight="1" s="398">
      <c r="A197" s="491" t="n"/>
      <c r="B197" s="491" t="n"/>
      <c r="C197" s="491" t="n"/>
      <c r="D197" s="491" t="n"/>
      <c r="E197" s="491" t="n"/>
      <c r="F197" s="491" t="n"/>
      <c r="G197" s="491" t="n"/>
      <c r="H197" s="491" t="n"/>
      <c r="I197" s="491" t="n"/>
      <c r="J197" s="491" t="n"/>
      <c r="K197" s="491" t="n"/>
      <c r="L197" s="491" t="n"/>
      <c r="M197" s="491" t="n"/>
      <c r="N197" s="491" t="n"/>
      <c r="O197" s="491" t="n"/>
      <c r="P197" s="491" t="n"/>
      <c r="Q197" s="491" t="n"/>
      <c r="R197" s="491" t="n"/>
      <c r="S197" s="491" t="n"/>
      <c r="T197" s="491" t="n"/>
      <c r="U197" s="491" t="n"/>
      <c r="V197" s="491" t="n"/>
      <c r="W197" s="491" t="n"/>
      <c r="X197" s="491" t="n"/>
      <c r="Y197" s="491" t="n"/>
      <c r="Z197" s="491" t="n"/>
    </row>
    <row r="198" ht="12.75" customHeight="1" s="398">
      <c r="A198" s="491" t="n"/>
      <c r="B198" s="491" t="n"/>
      <c r="C198" s="491" t="n"/>
      <c r="D198" s="491" t="n"/>
      <c r="E198" s="491" t="n"/>
      <c r="F198" s="491" t="n"/>
      <c r="G198" s="491" t="n"/>
      <c r="H198" s="491" t="n"/>
      <c r="I198" s="491" t="n"/>
      <c r="J198" s="491" t="n"/>
      <c r="K198" s="491" t="n"/>
      <c r="L198" s="491" t="n"/>
      <c r="M198" s="491" t="n"/>
      <c r="N198" s="491" t="n"/>
      <c r="O198" s="491" t="n"/>
      <c r="P198" s="491" t="n"/>
      <c r="Q198" s="491" t="n"/>
      <c r="R198" s="491" t="n"/>
      <c r="S198" s="491" t="n"/>
      <c r="T198" s="491" t="n"/>
      <c r="U198" s="491" t="n"/>
      <c r="V198" s="491" t="n"/>
      <c r="W198" s="491" t="n"/>
      <c r="X198" s="491" t="n"/>
      <c r="Y198" s="491" t="n"/>
      <c r="Z198" s="491" t="n"/>
    </row>
    <row r="199" ht="12.75" customHeight="1" s="398">
      <c r="A199" s="491" t="n"/>
      <c r="B199" s="491" t="n"/>
      <c r="C199" s="491" t="n"/>
      <c r="D199" s="491" t="n"/>
      <c r="E199" s="491" t="n"/>
      <c r="F199" s="491" t="n"/>
      <c r="G199" s="491" t="n"/>
      <c r="H199" s="491" t="n"/>
      <c r="I199" s="491" t="n"/>
      <c r="J199" s="491" t="n"/>
      <c r="K199" s="491" t="n"/>
      <c r="L199" s="491" t="n"/>
      <c r="M199" s="491" t="n"/>
      <c r="N199" s="491" t="n"/>
      <c r="O199" s="491" t="n"/>
      <c r="P199" s="491" t="n"/>
      <c r="Q199" s="491" t="n"/>
      <c r="R199" s="491" t="n"/>
      <c r="S199" s="491" t="n"/>
      <c r="T199" s="491" t="n"/>
      <c r="U199" s="491" t="n"/>
      <c r="V199" s="491" t="n"/>
      <c r="W199" s="491" t="n"/>
      <c r="X199" s="491" t="n"/>
      <c r="Y199" s="491" t="n"/>
      <c r="Z199" s="491" t="n"/>
    </row>
    <row r="200" ht="12.75" customHeight="1" s="398">
      <c r="A200" s="491" t="n"/>
      <c r="B200" s="491" t="n"/>
      <c r="C200" s="491" t="n"/>
      <c r="D200" s="491" t="n"/>
      <c r="E200" s="491" t="n"/>
      <c r="F200" s="491" t="n"/>
      <c r="G200" s="491" t="n"/>
      <c r="H200" s="491" t="n"/>
      <c r="I200" s="491" t="n"/>
      <c r="J200" s="491" t="n"/>
      <c r="K200" s="491" t="n"/>
      <c r="L200" s="491" t="n"/>
      <c r="M200" s="491" t="n"/>
      <c r="N200" s="491" t="n"/>
      <c r="O200" s="491" t="n"/>
      <c r="P200" s="491" t="n"/>
      <c r="Q200" s="491" t="n"/>
      <c r="R200" s="491" t="n"/>
      <c r="S200" s="491" t="n"/>
      <c r="T200" s="491" t="n"/>
      <c r="U200" s="491" t="n"/>
      <c r="V200" s="491" t="n"/>
      <c r="W200" s="491" t="n"/>
      <c r="X200" s="491" t="n"/>
      <c r="Y200" s="491" t="n"/>
      <c r="Z200" s="491" t="n"/>
    </row>
    <row r="201" ht="12.75" customHeight="1" s="398">
      <c r="A201" s="491" t="n"/>
      <c r="B201" s="491" t="n"/>
      <c r="C201" s="491" t="n"/>
      <c r="D201" s="491" t="n"/>
      <c r="E201" s="491" t="n"/>
      <c r="F201" s="491" t="n"/>
      <c r="G201" s="491" t="n"/>
      <c r="H201" s="491" t="n"/>
      <c r="I201" s="491" t="n"/>
      <c r="J201" s="491" t="n"/>
      <c r="K201" s="491" t="n"/>
      <c r="L201" s="491" t="n"/>
      <c r="M201" s="491" t="n"/>
      <c r="N201" s="491" t="n"/>
      <c r="O201" s="491" t="n"/>
      <c r="P201" s="491" t="n"/>
      <c r="Q201" s="491" t="n"/>
      <c r="R201" s="491" t="n"/>
      <c r="S201" s="491" t="n"/>
      <c r="T201" s="491" t="n"/>
      <c r="U201" s="491" t="n"/>
      <c r="V201" s="491" t="n"/>
      <c r="W201" s="491" t="n"/>
      <c r="X201" s="491" t="n"/>
      <c r="Y201" s="491" t="n"/>
      <c r="Z201" s="491" t="n"/>
    </row>
    <row r="202" ht="12.75" customHeight="1" s="398">
      <c r="A202" s="491" t="n"/>
      <c r="B202" s="491" t="n"/>
      <c r="C202" s="491" t="n"/>
      <c r="D202" s="491" t="n"/>
      <c r="E202" s="491" t="n"/>
      <c r="F202" s="491" t="n"/>
      <c r="G202" s="491" t="n"/>
      <c r="H202" s="491" t="n"/>
      <c r="I202" s="491" t="n"/>
      <c r="J202" s="491" t="n"/>
      <c r="K202" s="491" t="n"/>
      <c r="L202" s="491" t="n"/>
      <c r="M202" s="491" t="n"/>
      <c r="N202" s="491" t="n"/>
      <c r="O202" s="491" t="n"/>
      <c r="P202" s="491" t="n"/>
      <c r="Q202" s="491" t="n"/>
      <c r="R202" s="491" t="n"/>
      <c r="S202" s="491" t="n"/>
      <c r="T202" s="491" t="n"/>
      <c r="U202" s="491" t="n"/>
      <c r="V202" s="491" t="n"/>
      <c r="W202" s="491" t="n"/>
      <c r="X202" s="491" t="n"/>
      <c r="Y202" s="491" t="n"/>
      <c r="Z202" s="491" t="n"/>
    </row>
    <row r="203" ht="12.75" customHeight="1" s="398">
      <c r="A203" s="491" t="n"/>
      <c r="B203" s="491" t="n"/>
      <c r="C203" s="491" t="n"/>
      <c r="D203" s="491" t="n"/>
      <c r="E203" s="491" t="n"/>
      <c r="F203" s="491" t="n"/>
      <c r="G203" s="491" t="n"/>
      <c r="H203" s="491" t="n"/>
      <c r="I203" s="491" t="n"/>
      <c r="J203" s="491" t="n"/>
      <c r="K203" s="491" t="n"/>
      <c r="L203" s="491" t="n"/>
      <c r="M203" s="491" t="n"/>
      <c r="N203" s="491" t="n"/>
      <c r="O203" s="491" t="n"/>
      <c r="P203" s="491" t="n"/>
      <c r="Q203" s="491" t="n"/>
      <c r="R203" s="491" t="n"/>
      <c r="S203" s="491" t="n"/>
      <c r="T203" s="491" t="n"/>
      <c r="U203" s="491" t="n"/>
      <c r="V203" s="491" t="n"/>
      <c r="W203" s="491" t="n"/>
      <c r="X203" s="491" t="n"/>
      <c r="Y203" s="491" t="n"/>
      <c r="Z203" s="491" t="n"/>
    </row>
    <row r="204" ht="12.75" customHeight="1" s="398">
      <c r="A204" s="491" t="n"/>
      <c r="B204" s="491" t="n"/>
      <c r="C204" s="491" t="n"/>
      <c r="D204" s="491" t="n"/>
      <c r="E204" s="491" t="n"/>
      <c r="F204" s="491" t="n"/>
      <c r="G204" s="491" t="n"/>
      <c r="H204" s="491" t="n"/>
      <c r="I204" s="491" t="n"/>
      <c r="J204" s="491" t="n"/>
      <c r="K204" s="491" t="n"/>
      <c r="L204" s="491" t="n"/>
      <c r="M204" s="491" t="n"/>
      <c r="N204" s="491" t="n"/>
      <c r="O204" s="491" t="n"/>
      <c r="P204" s="491" t="n"/>
      <c r="Q204" s="491" t="n"/>
      <c r="R204" s="491" t="n"/>
      <c r="S204" s="491" t="n"/>
      <c r="T204" s="491" t="n"/>
      <c r="U204" s="491" t="n"/>
      <c r="V204" s="491" t="n"/>
      <c r="W204" s="491" t="n"/>
      <c r="X204" s="491" t="n"/>
      <c r="Y204" s="491" t="n"/>
      <c r="Z204" s="491" t="n"/>
    </row>
    <row r="205" ht="12.75" customHeight="1" s="398">
      <c r="A205" s="491" t="n"/>
      <c r="B205" s="491" t="n"/>
      <c r="C205" s="491" t="n"/>
      <c r="D205" s="491" t="n"/>
      <c r="E205" s="491" t="n"/>
      <c r="F205" s="491" t="n"/>
      <c r="G205" s="491" t="n"/>
      <c r="H205" s="491" t="n"/>
      <c r="I205" s="491" t="n"/>
      <c r="J205" s="491" t="n"/>
      <c r="K205" s="491" t="n"/>
      <c r="L205" s="491" t="n"/>
      <c r="M205" s="491" t="n"/>
      <c r="N205" s="491" t="n"/>
      <c r="O205" s="491" t="n"/>
      <c r="P205" s="491" t="n"/>
      <c r="Q205" s="491" t="n"/>
      <c r="R205" s="491" t="n"/>
      <c r="S205" s="491" t="n"/>
      <c r="T205" s="491" t="n"/>
      <c r="U205" s="491" t="n"/>
      <c r="V205" s="491" t="n"/>
      <c r="W205" s="491" t="n"/>
      <c r="X205" s="491" t="n"/>
      <c r="Y205" s="491" t="n"/>
      <c r="Z205" s="491" t="n"/>
    </row>
    <row r="206" ht="12.75" customHeight="1" s="398">
      <c r="A206" s="491" t="n"/>
      <c r="B206" s="491" t="n"/>
      <c r="C206" s="491" t="n"/>
      <c r="D206" s="491" t="n"/>
      <c r="E206" s="491" t="n"/>
      <c r="F206" s="491" t="n"/>
      <c r="G206" s="491" t="n"/>
      <c r="H206" s="491" t="n"/>
      <c r="I206" s="491" t="n"/>
      <c r="J206" s="491" t="n"/>
      <c r="K206" s="491" t="n"/>
      <c r="L206" s="491" t="n"/>
      <c r="M206" s="491" t="n"/>
      <c r="N206" s="491" t="n"/>
      <c r="O206" s="491" t="n"/>
      <c r="P206" s="491" t="n"/>
      <c r="Q206" s="491" t="n"/>
      <c r="R206" s="491" t="n"/>
      <c r="S206" s="491" t="n"/>
      <c r="T206" s="491" t="n"/>
      <c r="U206" s="491" t="n"/>
      <c r="V206" s="491" t="n"/>
      <c r="W206" s="491" t="n"/>
      <c r="X206" s="491" t="n"/>
      <c r="Y206" s="491" t="n"/>
      <c r="Z206" s="491" t="n"/>
    </row>
    <row r="207" ht="12.75" customHeight="1" s="398">
      <c r="A207" s="491" t="n"/>
      <c r="B207" s="491" t="n"/>
      <c r="C207" s="491" t="n"/>
      <c r="D207" s="491" t="n"/>
      <c r="E207" s="491" t="n"/>
      <c r="F207" s="491" t="n"/>
      <c r="G207" s="491" t="n"/>
      <c r="H207" s="491" t="n"/>
      <c r="I207" s="491" t="n"/>
      <c r="J207" s="491" t="n"/>
      <c r="K207" s="491" t="n"/>
      <c r="L207" s="491" t="n"/>
      <c r="M207" s="491" t="n"/>
      <c r="N207" s="491" t="n"/>
      <c r="O207" s="491" t="n"/>
      <c r="P207" s="491" t="n"/>
      <c r="Q207" s="491" t="n"/>
      <c r="R207" s="491" t="n"/>
      <c r="S207" s="491" t="n"/>
      <c r="T207" s="491" t="n"/>
      <c r="U207" s="491" t="n"/>
      <c r="V207" s="491" t="n"/>
      <c r="W207" s="491" t="n"/>
      <c r="X207" s="491" t="n"/>
      <c r="Y207" s="491" t="n"/>
      <c r="Z207" s="491" t="n"/>
    </row>
    <row r="208" ht="12.75" customHeight="1" s="398">
      <c r="A208" s="491" t="n"/>
      <c r="B208" s="491" t="n"/>
      <c r="C208" s="491" t="n"/>
      <c r="D208" s="491" t="n"/>
      <c r="E208" s="491" t="n"/>
      <c r="F208" s="491" t="n"/>
      <c r="G208" s="491" t="n"/>
      <c r="H208" s="491" t="n"/>
      <c r="I208" s="491" t="n"/>
      <c r="J208" s="491" t="n"/>
      <c r="K208" s="491" t="n"/>
      <c r="L208" s="491" t="n"/>
      <c r="M208" s="491" t="n"/>
      <c r="N208" s="491" t="n"/>
      <c r="O208" s="491" t="n"/>
      <c r="P208" s="491" t="n"/>
      <c r="Q208" s="491" t="n"/>
      <c r="R208" s="491" t="n"/>
      <c r="S208" s="491" t="n"/>
      <c r="T208" s="491" t="n"/>
      <c r="U208" s="491" t="n"/>
      <c r="V208" s="491" t="n"/>
      <c r="W208" s="491" t="n"/>
      <c r="X208" s="491" t="n"/>
      <c r="Y208" s="491" t="n"/>
      <c r="Z208" s="491" t="n"/>
    </row>
    <row r="209" ht="12.75" customHeight="1" s="398">
      <c r="A209" s="491" t="n"/>
      <c r="B209" s="491" t="n"/>
      <c r="C209" s="491" t="n"/>
      <c r="D209" s="491" t="n"/>
      <c r="E209" s="491" t="n"/>
      <c r="F209" s="491" t="n"/>
      <c r="G209" s="491" t="n"/>
      <c r="H209" s="491" t="n"/>
      <c r="I209" s="491" t="n"/>
      <c r="J209" s="491" t="n"/>
      <c r="K209" s="491" t="n"/>
      <c r="L209" s="491" t="n"/>
      <c r="M209" s="491" t="n"/>
      <c r="N209" s="491" t="n"/>
      <c r="O209" s="491" t="n"/>
      <c r="P209" s="491" t="n"/>
      <c r="Q209" s="491" t="n"/>
      <c r="R209" s="491" t="n"/>
      <c r="S209" s="491" t="n"/>
      <c r="T209" s="491" t="n"/>
      <c r="U209" s="491" t="n"/>
      <c r="V209" s="491" t="n"/>
      <c r="W209" s="491" t="n"/>
      <c r="X209" s="491" t="n"/>
      <c r="Y209" s="491" t="n"/>
      <c r="Z209" s="491" t="n"/>
    </row>
    <row r="210" ht="12.75" customHeight="1" s="398">
      <c r="A210" s="491" t="n"/>
      <c r="B210" s="491" t="n"/>
      <c r="C210" s="491" t="n"/>
      <c r="D210" s="491" t="n"/>
      <c r="E210" s="491" t="n"/>
      <c r="F210" s="491" t="n"/>
      <c r="G210" s="491" t="n"/>
      <c r="H210" s="491" t="n"/>
      <c r="I210" s="491" t="n"/>
      <c r="J210" s="491" t="n"/>
      <c r="K210" s="491" t="n"/>
      <c r="L210" s="491" t="n"/>
      <c r="M210" s="491" t="n"/>
      <c r="N210" s="491" t="n"/>
      <c r="O210" s="491" t="n"/>
      <c r="P210" s="491" t="n"/>
      <c r="Q210" s="491" t="n"/>
      <c r="R210" s="491" t="n"/>
      <c r="S210" s="491" t="n"/>
      <c r="T210" s="491" t="n"/>
      <c r="U210" s="491" t="n"/>
      <c r="V210" s="491" t="n"/>
      <c r="W210" s="491" t="n"/>
      <c r="X210" s="491" t="n"/>
      <c r="Y210" s="491" t="n"/>
      <c r="Z210" s="491" t="n"/>
    </row>
    <row r="211" ht="12.75" customHeight="1" s="398">
      <c r="A211" s="491" t="n"/>
      <c r="B211" s="491" t="n"/>
      <c r="C211" s="491" t="n"/>
      <c r="D211" s="491" t="n"/>
      <c r="E211" s="491" t="n"/>
      <c r="F211" s="491" t="n"/>
      <c r="G211" s="491" t="n"/>
      <c r="H211" s="491" t="n"/>
      <c r="I211" s="491" t="n"/>
      <c r="J211" s="491" t="n"/>
      <c r="K211" s="491" t="n"/>
      <c r="L211" s="491" t="n"/>
      <c r="M211" s="491" t="n"/>
      <c r="N211" s="491" t="n"/>
      <c r="O211" s="491" t="n"/>
      <c r="P211" s="491" t="n"/>
      <c r="Q211" s="491" t="n"/>
      <c r="R211" s="491" t="n"/>
      <c r="S211" s="491" t="n"/>
      <c r="T211" s="491" t="n"/>
      <c r="U211" s="491" t="n"/>
      <c r="V211" s="491" t="n"/>
      <c r="W211" s="491" t="n"/>
      <c r="X211" s="491" t="n"/>
      <c r="Y211" s="491" t="n"/>
      <c r="Z211" s="491" t="n"/>
    </row>
    <row r="212" ht="12.75" customHeight="1" s="398">
      <c r="A212" s="491" t="n"/>
      <c r="B212" s="491" t="n"/>
      <c r="C212" s="491" t="n"/>
      <c r="D212" s="491" t="n"/>
      <c r="E212" s="491" t="n"/>
      <c r="F212" s="491" t="n"/>
      <c r="G212" s="491" t="n"/>
      <c r="H212" s="491" t="n"/>
      <c r="I212" s="491" t="n"/>
      <c r="J212" s="491" t="n"/>
      <c r="K212" s="491" t="n"/>
      <c r="L212" s="491" t="n"/>
      <c r="M212" s="491" t="n"/>
      <c r="N212" s="491" t="n"/>
      <c r="O212" s="491" t="n"/>
      <c r="P212" s="491" t="n"/>
      <c r="Q212" s="491" t="n"/>
      <c r="R212" s="491" t="n"/>
      <c r="S212" s="491" t="n"/>
      <c r="T212" s="491" t="n"/>
      <c r="U212" s="491" t="n"/>
      <c r="V212" s="491" t="n"/>
      <c r="W212" s="491" t="n"/>
      <c r="X212" s="491" t="n"/>
      <c r="Y212" s="491" t="n"/>
      <c r="Z212" s="491" t="n"/>
    </row>
    <row r="213" ht="12.75" customHeight="1" s="398">
      <c r="A213" s="491" t="n"/>
      <c r="B213" s="491" t="n"/>
      <c r="C213" s="491" t="n"/>
      <c r="D213" s="491" t="n"/>
      <c r="E213" s="491" t="n"/>
      <c r="F213" s="491" t="n"/>
      <c r="G213" s="491" t="n"/>
      <c r="H213" s="491" t="n"/>
      <c r="I213" s="491" t="n"/>
      <c r="J213" s="491" t="n"/>
      <c r="K213" s="491" t="n"/>
      <c r="L213" s="491" t="n"/>
      <c r="M213" s="491" t="n"/>
      <c r="N213" s="491" t="n"/>
      <c r="O213" s="491" t="n"/>
      <c r="P213" s="491" t="n"/>
      <c r="Q213" s="491" t="n"/>
      <c r="R213" s="491" t="n"/>
      <c r="S213" s="491" t="n"/>
      <c r="T213" s="491" t="n"/>
      <c r="U213" s="491" t="n"/>
      <c r="V213" s="491" t="n"/>
      <c r="W213" s="491" t="n"/>
      <c r="X213" s="491" t="n"/>
      <c r="Y213" s="491" t="n"/>
      <c r="Z213" s="491" t="n"/>
    </row>
    <row r="214" ht="12.75" customHeight="1" s="398">
      <c r="A214" s="491" t="n"/>
      <c r="B214" s="491" t="n"/>
      <c r="C214" s="491" t="n"/>
      <c r="D214" s="491" t="n"/>
      <c r="E214" s="491" t="n"/>
      <c r="F214" s="491" t="n"/>
      <c r="G214" s="491" t="n"/>
      <c r="H214" s="491" t="n"/>
      <c r="I214" s="491" t="n"/>
      <c r="J214" s="491" t="n"/>
      <c r="K214" s="491" t="n"/>
      <c r="L214" s="491" t="n"/>
      <c r="M214" s="491" t="n"/>
      <c r="N214" s="491" t="n"/>
      <c r="O214" s="491" t="n"/>
      <c r="P214" s="491" t="n"/>
      <c r="Q214" s="491" t="n"/>
      <c r="R214" s="491" t="n"/>
      <c r="S214" s="491" t="n"/>
      <c r="T214" s="491" t="n"/>
      <c r="U214" s="491" t="n"/>
      <c r="V214" s="491" t="n"/>
      <c r="W214" s="491" t="n"/>
      <c r="X214" s="491" t="n"/>
      <c r="Y214" s="491" t="n"/>
      <c r="Z214" s="491" t="n"/>
    </row>
    <row r="215" ht="12.75" customHeight="1" s="398">
      <c r="A215" s="491" t="n"/>
      <c r="B215" s="491" t="n"/>
      <c r="C215" s="491" t="n"/>
      <c r="D215" s="491" t="n"/>
      <c r="E215" s="491" t="n"/>
      <c r="F215" s="491" t="n"/>
      <c r="G215" s="491" t="n"/>
      <c r="H215" s="491" t="n"/>
      <c r="I215" s="491" t="n"/>
      <c r="J215" s="491" t="n"/>
      <c r="K215" s="491" t="n"/>
      <c r="L215" s="491" t="n"/>
      <c r="M215" s="491" t="n"/>
      <c r="N215" s="491" t="n"/>
      <c r="O215" s="491" t="n"/>
      <c r="P215" s="491" t="n"/>
      <c r="Q215" s="491" t="n"/>
      <c r="R215" s="491" t="n"/>
      <c r="S215" s="491" t="n"/>
      <c r="T215" s="491" t="n"/>
      <c r="U215" s="491" t="n"/>
      <c r="V215" s="491" t="n"/>
      <c r="W215" s="491" t="n"/>
      <c r="X215" s="491" t="n"/>
      <c r="Y215" s="491" t="n"/>
      <c r="Z215" s="491" t="n"/>
    </row>
    <row r="216" ht="12.75" customHeight="1" s="398">
      <c r="A216" s="491" t="n"/>
      <c r="B216" s="491" t="n"/>
      <c r="C216" s="491" t="n"/>
      <c r="D216" s="491" t="n"/>
      <c r="E216" s="491" t="n"/>
      <c r="F216" s="491" t="n"/>
      <c r="G216" s="491" t="n"/>
      <c r="H216" s="491" t="n"/>
      <c r="I216" s="491" t="n"/>
      <c r="J216" s="491" t="n"/>
      <c r="K216" s="491" t="n"/>
      <c r="L216" s="491" t="n"/>
      <c r="M216" s="491" t="n"/>
      <c r="N216" s="491" t="n"/>
      <c r="O216" s="491" t="n"/>
      <c r="P216" s="491" t="n"/>
      <c r="Q216" s="491" t="n"/>
      <c r="R216" s="491" t="n"/>
      <c r="S216" s="491" t="n"/>
      <c r="T216" s="491" t="n"/>
      <c r="U216" s="491" t="n"/>
      <c r="V216" s="491" t="n"/>
      <c r="W216" s="491" t="n"/>
      <c r="X216" s="491" t="n"/>
      <c r="Y216" s="491" t="n"/>
      <c r="Z216" s="491" t="n"/>
    </row>
    <row r="217" ht="12.75" customHeight="1" s="398">
      <c r="A217" s="491" t="n"/>
      <c r="B217" s="491" t="n"/>
      <c r="C217" s="491" t="n"/>
      <c r="D217" s="491" t="n"/>
      <c r="E217" s="491" t="n"/>
      <c r="F217" s="491" t="n"/>
      <c r="G217" s="491" t="n"/>
      <c r="H217" s="491" t="n"/>
      <c r="I217" s="491" t="n"/>
      <c r="J217" s="491" t="n"/>
      <c r="K217" s="491" t="n"/>
      <c r="L217" s="491" t="n"/>
      <c r="M217" s="491" t="n"/>
      <c r="N217" s="491" t="n"/>
      <c r="O217" s="491" t="n"/>
      <c r="P217" s="491" t="n"/>
      <c r="Q217" s="491" t="n"/>
      <c r="R217" s="491" t="n"/>
      <c r="S217" s="491" t="n"/>
      <c r="T217" s="491" t="n"/>
      <c r="U217" s="491" t="n"/>
      <c r="V217" s="491" t="n"/>
      <c r="W217" s="491" t="n"/>
      <c r="X217" s="491" t="n"/>
      <c r="Y217" s="491" t="n"/>
      <c r="Z217" s="491" t="n"/>
    </row>
    <row r="218" ht="12.75" customHeight="1" s="398">
      <c r="A218" s="491" t="n"/>
      <c r="B218" s="491" t="n"/>
      <c r="C218" s="491" t="n"/>
      <c r="D218" s="491" t="n"/>
      <c r="E218" s="491" t="n"/>
      <c r="F218" s="491" t="n"/>
      <c r="G218" s="491" t="n"/>
      <c r="H218" s="491" t="n"/>
      <c r="I218" s="491" t="n"/>
      <c r="J218" s="491" t="n"/>
      <c r="K218" s="491" t="n"/>
      <c r="L218" s="491" t="n"/>
      <c r="M218" s="491" t="n"/>
      <c r="N218" s="491" t="n"/>
      <c r="O218" s="491" t="n"/>
      <c r="P218" s="491" t="n"/>
      <c r="Q218" s="491" t="n"/>
      <c r="R218" s="491" t="n"/>
      <c r="S218" s="491" t="n"/>
      <c r="T218" s="491" t="n"/>
      <c r="U218" s="491" t="n"/>
      <c r="V218" s="491" t="n"/>
      <c r="W218" s="491" t="n"/>
      <c r="X218" s="491" t="n"/>
      <c r="Y218" s="491" t="n"/>
      <c r="Z218" s="491" t="n"/>
    </row>
    <row r="219" ht="12.75" customHeight="1" s="398">
      <c r="A219" s="491" t="n"/>
      <c r="B219" s="491" t="n"/>
      <c r="C219" s="491" t="n"/>
      <c r="D219" s="491" t="n"/>
      <c r="E219" s="491" t="n"/>
      <c r="F219" s="491" t="n"/>
      <c r="G219" s="491" t="n"/>
      <c r="H219" s="491" t="n"/>
      <c r="I219" s="491" t="n"/>
      <c r="J219" s="491" t="n"/>
      <c r="K219" s="491" t="n"/>
      <c r="L219" s="491" t="n"/>
      <c r="M219" s="491" t="n"/>
      <c r="N219" s="491" t="n"/>
      <c r="O219" s="491" t="n"/>
      <c r="P219" s="491" t="n"/>
      <c r="Q219" s="491" t="n"/>
      <c r="R219" s="491" t="n"/>
      <c r="S219" s="491" t="n"/>
      <c r="T219" s="491" t="n"/>
      <c r="U219" s="491" t="n"/>
      <c r="V219" s="491" t="n"/>
      <c r="W219" s="491" t="n"/>
      <c r="X219" s="491" t="n"/>
      <c r="Y219" s="491" t="n"/>
      <c r="Z219" s="491" t="n"/>
    </row>
    <row r="220" ht="12.75" customHeight="1" s="398">
      <c r="A220" s="491" t="n"/>
      <c r="B220" s="491" t="n"/>
      <c r="C220" s="491" t="n"/>
      <c r="D220" s="491" t="n"/>
      <c r="E220" s="491" t="n"/>
      <c r="F220" s="491" t="n"/>
      <c r="G220" s="491" t="n"/>
      <c r="H220" s="491" t="n"/>
      <c r="I220" s="491" t="n"/>
      <c r="J220" s="491" t="n"/>
      <c r="K220" s="491" t="n"/>
      <c r="L220" s="491" t="n"/>
      <c r="M220" s="491" t="n"/>
      <c r="N220" s="491" t="n"/>
      <c r="O220" s="491" t="n"/>
      <c r="P220" s="491" t="n"/>
      <c r="Q220" s="491" t="n"/>
      <c r="R220" s="491" t="n"/>
      <c r="S220" s="491" t="n"/>
      <c r="T220" s="491" t="n"/>
      <c r="U220" s="491" t="n"/>
      <c r="V220" s="491" t="n"/>
      <c r="W220" s="491" t="n"/>
      <c r="X220" s="491" t="n"/>
      <c r="Y220" s="491" t="n"/>
      <c r="Z220" s="491" t="n"/>
    </row>
    <row r="221" ht="12.75" customHeight="1" s="398">
      <c r="A221" s="491" t="n"/>
      <c r="B221" s="491" t="n"/>
      <c r="C221" s="491" t="n"/>
      <c r="D221" s="491" t="n"/>
      <c r="E221" s="491" t="n"/>
      <c r="F221" s="491" t="n"/>
      <c r="G221" s="491" t="n"/>
      <c r="H221" s="491" t="n"/>
      <c r="I221" s="491" t="n"/>
      <c r="J221" s="491" t="n"/>
      <c r="K221" s="491" t="n"/>
      <c r="L221" s="491" t="n"/>
      <c r="M221" s="491" t="n"/>
      <c r="N221" s="491" t="n"/>
      <c r="O221" s="491" t="n"/>
      <c r="P221" s="491" t="n"/>
      <c r="Q221" s="491" t="n"/>
      <c r="R221" s="491" t="n"/>
      <c r="S221" s="491" t="n"/>
      <c r="T221" s="491" t="n"/>
      <c r="U221" s="491" t="n"/>
      <c r="V221" s="491" t="n"/>
      <c r="W221" s="491" t="n"/>
      <c r="X221" s="491" t="n"/>
      <c r="Y221" s="491" t="n"/>
      <c r="Z221" s="491" t="n"/>
    </row>
    <row r="222" ht="12.75" customHeight="1" s="398">
      <c r="A222" s="491" t="n"/>
      <c r="B222" s="491" t="n"/>
      <c r="C222" s="491" t="n"/>
      <c r="D222" s="491" t="n"/>
      <c r="E222" s="491" t="n"/>
      <c r="F222" s="491" t="n"/>
      <c r="G222" s="491" t="n"/>
      <c r="H222" s="491" t="n"/>
      <c r="I222" s="491" t="n"/>
      <c r="J222" s="491" t="n"/>
      <c r="K222" s="491" t="n"/>
      <c r="L222" s="491" t="n"/>
      <c r="M222" s="491" t="n"/>
      <c r="N222" s="491" t="n"/>
      <c r="O222" s="491" t="n"/>
      <c r="P222" s="491" t="n"/>
      <c r="Q222" s="491" t="n"/>
      <c r="R222" s="491" t="n"/>
      <c r="S222" s="491" t="n"/>
      <c r="T222" s="491" t="n"/>
      <c r="U222" s="491" t="n"/>
      <c r="V222" s="491" t="n"/>
      <c r="W222" s="491" t="n"/>
      <c r="X222" s="491" t="n"/>
      <c r="Y222" s="491" t="n"/>
      <c r="Z222" s="491" t="n"/>
    </row>
    <row r="223" ht="12.75" customHeight="1" s="398">
      <c r="A223" s="491" t="n"/>
      <c r="B223" s="491" t="n"/>
      <c r="C223" s="491" t="n"/>
      <c r="D223" s="491" t="n"/>
      <c r="E223" s="491" t="n"/>
      <c r="F223" s="491" t="n"/>
      <c r="G223" s="491" t="n"/>
      <c r="H223" s="491" t="n"/>
      <c r="I223" s="491" t="n"/>
      <c r="J223" s="491" t="n"/>
      <c r="K223" s="491" t="n"/>
      <c r="L223" s="491" t="n"/>
      <c r="M223" s="491" t="n"/>
      <c r="N223" s="491" t="n"/>
      <c r="O223" s="491" t="n"/>
      <c r="P223" s="491" t="n"/>
      <c r="Q223" s="491" t="n"/>
      <c r="R223" s="491" t="n"/>
      <c r="S223" s="491" t="n"/>
      <c r="T223" s="491" t="n"/>
      <c r="U223" s="491" t="n"/>
      <c r="V223" s="491" t="n"/>
      <c r="W223" s="491" t="n"/>
      <c r="X223" s="491" t="n"/>
      <c r="Y223" s="491" t="n"/>
      <c r="Z223" s="491" t="n"/>
    </row>
    <row r="224" ht="12.75" customHeight="1" s="398">
      <c r="A224" s="491" t="n"/>
      <c r="B224" s="491" t="n"/>
      <c r="C224" s="491" t="n"/>
      <c r="D224" s="491" t="n"/>
      <c r="E224" s="491" t="n"/>
      <c r="F224" s="491" t="n"/>
      <c r="G224" s="491" t="n"/>
      <c r="H224" s="491" t="n"/>
      <c r="I224" s="491" t="n"/>
      <c r="J224" s="491" t="n"/>
      <c r="K224" s="491" t="n"/>
      <c r="L224" s="491" t="n"/>
      <c r="M224" s="491" t="n"/>
      <c r="N224" s="491" t="n"/>
      <c r="O224" s="491" t="n"/>
      <c r="P224" s="491" t="n"/>
      <c r="Q224" s="491" t="n"/>
      <c r="R224" s="491" t="n"/>
      <c r="S224" s="491" t="n"/>
      <c r="T224" s="491" t="n"/>
      <c r="U224" s="491" t="n"/>
      <c r="V224" s="491" t="n"/>
      <c r="W224" s="491" t="n"/>
      <c r="X224" s="491" t="n"/>
      <c r="Y224" s="491" t="n"/>
      <c r="Z224" s="491" t="n"/>
    </row>
    <row r="225" ht="12.75" customHeight="1" s="398">
      <c r="A225" s="491" t="n"/>
      <c r="B225" s="491" t="n"/>
      <c r="C225" s="491" t="n"/>
      <c r="D225" s="491" t="n"/>
      <c r="E225" s="491" t="n"/>
      <c r="F225" s="491" t="n"/>
      <c r="G225" s="491" t="n"/>
      <c r="H225" s="491" t="n"/>
      <c r="I225" s="491" t="n"/>
      <c r="J225" s="491" t="n"/>
      <c r="K225" s="491" t="n"/>
      <c r="L225" s="491" t="n"/>
      <c r="M225" s="491" t="n"/>
      <c r="N225" s="491" t="n"/>
      <c r="O225" s="491" t="n"/>
      <c r="P225" s="491" t="n"/>
      <c r="Q225" s="491" t="n"/>
      <c r="R225" s="491" t="n"/>
      <c r="S225" s="491" t="n"/>
      <c r="T225" s="491" t="n"/>
      <c r="U225" s="491" t="n"/>
      <c r="V225" s="491" t="n"/>
      <c r="W225" s="491" t="n"/>
      <c r="X225" s="491" t="n"/>
      <c r="Y225" s="491" t="n"/>
      <c r="Z225" s="491" t="n"/>
    </row>
    <row r="226" ht="12.75" customHeight="1" s="398">
      <c r="A226" s="491" t="n"/>
      <c r="B226" s="491" t="n"/>
      <c r="C226" s="491" t="n"/>
      <c r="D226" s="491" t="n"/>
      <c r="E226" s="491" t="n"/>
      <c r="F226" s="491" t="n"/>
      <c r="G226" s="491" t="n"/>
      <c r="H226" s="491" t="n"/>
      <c r="I226" s="491" t="n"/>
      <c r="J226" s="491" t="n"/>
      <c r="K226" s="491" t="n"/>
      <c r="L226" s="491" t="n"/>
      <c r="M226" s="491" t="n"/>
      <c r="N226" s="491" t="n"/>
      <c r="O226" s="491" t="n"/>
      <c r="P226" s="491" t="n"/>
      <c r="Q226" s="491" t="n"/>
      <c r="R226" s="491" t="n"/>
      <c r="S226" s="491" t="n"/>
      <c r="T226" s="491" t="n"/>
      <c r="U226" s="491" t="n"/>
      <c r="V226" s="491" t="n"/>
      <c r="W226" s="491" t="n"/>
      <c r="X226" s="491" t="n"/>
      <c r="Y226" s="491" t="n"/>
      <c r="Z226" s="491" t="n"/>
    </row>
    <row r="227" ht="12.75" customHeight="1" s="398">
      <c r="A227" s="491" t="n"/>
      <c r="B227" s="491" t="n"/>
      <c r="C227" s="491" t="n"/>
      <c r="D227" s="491" t="n"/>
      <c r="E227" s="491" t="n"/>
      <c r="F227" s="491" t="n"/>
      <c r="G227" s="491" t="n"/>
      <c r="H227" s="491" t="n"/>
      <c r="I227" s="491" t="n"/>
      <c r="J227" s="491" t="n"/>
      <c r="K227" s="491" t="n"/>
      <c r="L227" s="491" t="n"/>
      <c r="M227" s="491" t="n"/>
      <c r="N227" s="491" t="n"/>
      <c r="O227" s="491" t="n"/>
      <c r="P227" s="491" t="n"/>
      <c r="Q227" s="491" t="n"/>
      <c r="R227" s="491" t="n"/>
      <c r="S227" s="491" t="n"/>
      <c r="T227" s="491" t="n"/>
      <c r="U227" s="491" t="n"/>
      <c r="V227" s="491" t="n"/>
      <c r="W227" s="491" t="n"/>
      <c r="X227" s="491" t="n"/>
      <c r="Y227" s="491" t="n"/>
      <c r="Z227" s="491" t="n"/>
    </row>
    <row r="228" ht="12.75" customHeight="1" s="398">
      <c r="A228" s="491" t="n"/>
      <c r="B228" s="491" t="n"/>
      <c r="C228" s="491" t="n"/>
      <c r="D228" s="491" t="n"/>
      <c r="E228" s="491" t="n"/>
      <c r="F228" s="491" t="n"/>
      <c r="G228" s="491" t="n"/>
      <c r="H228" s="491" t="n"/>
      <c r="I228" s="491" t="n"/>
      <c r="J228" s="491" t="n"/>
      <c r="K228" s="491" t="n"/>
      <c r="L228" s="491" t="n"/>
      <c r="M228" s="491" t="n"/>
      <c r="N228" s="491" t="n"/>
      <c r="O228" s="491" t="n"/>
      <c r="P228" s="491" t="n"/>
      <c r="Q228" s="491" t="n"/>
      <c r="R228" s="491" t="n"/>
      <c r="S228" s="491" t="n"/>
      <c r="T228" s="491" t="n"/>
      <c r="U228" s="491" t="n"/>
      <c r="V228" s="491" t="n"/>
      <c r="W228" s="491" t="n"/>
      <c r="X228" s="491" t="n"/>
      <c r="Y228" s="491" t="n"/>
      <c r="Z228" s="491" t="n"/>
    </row>
    <row r="229" ht="12.75" customHeight="1" s="398">
      <c r="A229" s="491" t="n"/>
      <c r="B229" s="491" t="n"/>
      <c r="C229" s="491" t="n"/>
      <c r="D229" s="491" t="n"/>
      <c r="E229" s="491" t="n"/>
      <c r="F229" s="491" t="n"/>
      <c r="G229" s="491" t="n"/>
      <c r="H229" s="491" t="n"/>
      <c r="I229" s="491" t="n"/>
      <c r="J229" s="491" t="n"/>
      <c r="K229" s="491" t="n"/>
      <c r="L229" s="491" t="n"/>
      <c r="M229" s="491" t="n"/>
      <c r="N229" s="491" t="n"/>
      <c r="O229" s="491" t="n"/>
      <c r="P229" s="491" t="n"/>
      <c r="Q229" s="491" t="n"/>
      <c r="R229" s="491" t="n"/>
      <c r="S229" s="491" t="n"/>
      <c r="T229" s="491" t="n"/>
      <c r="U229" s="491" t="n"/>
      <c r="V229" s="491" t="n"/>
      <c r="W229" s="491" t="n"/>
      <c r="X229" s="491" t="n"/>
      <c r="Y229" s="491" t="n"/>
      <c r="Z229" s="491" t="n"/>
    </row>
    <row r="230" ht="12.75" customHeight="1" s="398">
      <c r="A230" s="491" t="n"/>
      <c r="B230" s="491" t="n"/>
      <c r="C230" s="491" t="n"/>
      <c r="D230" s="491" t="n"/>
      <c r="E230" s="491" t="n"/>
      <c r="F230" s="491" t="n"/>
      <c r="G230" s="491" t="n"/>
      <c r="H230" s="491" t="n"/>
      <c r="I230" s="491" t="n"/>
      <c r="J230" s="491" t="n"/>
      <c r="K230" s="491" t="n"/>
      <c r="L230" s="491" t="n"/>
      <c r="M230" s="491" t="n"/>
      <c r="N230" s="491" t="n"/>
      <c r="O230" s="491" t="n"/>
      <c r="P230" s="491" t="n"/>
      <c r="Q230" s="491" t="n"/>
      <c r="R230" s="491" t="n"/>
      <c r="S230" s="491" t="n"/>
      <c r="T230" s="491" t="n"/>
      <c r="U230" s="491" t="n"/>
      <c r="V230" s="491" t="n"/>
      <c r="W230" s="491" t="n"/>
      <c r="X230" s="491" t="n"/>
      <c r="Y230" s="491" t="n"/>
      <c r="Z230" s="491" t="n"/>
    </row>
    <row r="231" ht="12.75" customHeight="1" s="398">
      <c r="A231" s="491" t="n"/>
      <c r="B231" s="491" t="n"/>
      <c r="C231" s="491" t="n"/>
      <c r="D231" s="491" t="n"/>
      <c r="E231" s="491" t="n"/>
      <c r="F231" s="491" t="n"/>
      <c r="G231" s="491" t="n"/>
      <c r="H231" s="491" t="n"/>
      <c r="I231" s="491" t="n"/>
      <c r="J231" s="491" t="n"/>
      <c r="K231" s="491" t="n"/>
      <c r="L231" s="491" t="n"/>
      <c r="M231" s="491" t="n"/>
      <c r="N231" s="491" t="n"/>
      <c r="O231" s="491" t="n"/>
      <c r="P231" s="491" t="n"/>
      <c r="Q231" s="491" t="n"/>
      <c r="R231" s="491" t="n"/>
      <c r="S231" s="491" t="n"/>
      <c r="T231" s="491" t="n"/>
      <c r="U231" s="491" t="n"/>
      <c r="V231" s="491" t="n"/>
      <c r="W231" s="491" t="n"/>
      <c r="X231" s="491" t="n"/>
      <c r="Y231" s="491" t="n"/>
      <c r="Z231" s="491" t="n"/>
    </row>
    <row r="232" ht="12.75" customHeight="1" s="398">
      <c r="A232" s="491" t="n"/>
      <c r="B232" s="491" t="n"/>
      <c r="C232" s="491" t="n"/>
      <c r="D232" s="491" t="n"/>
      <c r="E232" s="491" t="n"/>
      <c r="F232" s="491" t="n"/>
      <c r="G232" s="491" t="n"/>
      <c r="H232" s="491" t="n"/>
      <c r="I232" s="491" t="n"/>
      <c r="J232" s="491" t="n"/>
      <c r="K232" s="491" t="n"/>
      <c r="L232" s="491" t="n"/>
      <c r="M232" s="491" t="n"/>
      <c r="N232" s="491" t="n"/>
      <c r="O232" s="491" t="n"/>
      <c r="P232" s="491" t="n"/>
      <c r="Q232" s="491" t="n"/>
      <c r="R232" s="491" t="n"/>
      <c r="S232" s="491" t="n"/>
      <c r="T232" s="491" t="n"/>
      <c r="U232" s="491" t="n"/>
      <c r="V232" s="491" t="n"/>
      <c r="W232" s="491" t="n"/>
      <c r="X232" s="491" t="n"/>
      <c r="Y232" s="491" t="n"/>
      <c r="Z232" s="491" t="n"/>
    </row>
    <row r="233" ht="12.75" customHeight="1" s="398">
      <c r="A233" s="491" t="n"/>
      <c r="B233" s="491" t="n"/>
      <c r="C233" s="491" t="n"/>
      <c r="D233" s="491" t="n"/>
      <c r="E233" s="491" t="n"/>
      <c r="F233" s="491" t="n"/>
      <c r="G233" s="491" t="n"/>
      <c r="H233" s="491" t="n"/>
      <c r="I233" s="491" t="n"/>
      <c r="J233" s="491" t="n"/>
      <c r="K233" s="491" t="n"/>
      <c r="L233" s="491" t="n"/>
      <c r="M233" s="491" t="n"/>
      <c r="N233" s="491" t="n"/>
      <c r="O233" s="491" t="n"/>
      <c r="P233" s="491" t="n"/>
      <c r="Q233" s="491" t="n"/>
      <c r="R233" s="491" t="n"/>
      <c r="S233" s="491" t="n"/>
      <c r="T233" s="491" t="n"/>
      <c r="U233" s="491" t="n"/>
      <c r="V233" s="491" t="n"/>
      <c r="W233" s="491" t="n"/>
      <c r="X233" s="491" t="n"/>
      <c r="Y233" s="491" t="n"/>
      <c r="Z233" s="491" t="n"/>
    </row>
    <row r="234" ht="12.75" customHeight="1" s="398">
      <c r="A234" s="491" t="n"/>
      <c r="B234" s="491" t="n"/>
      <c r="C234" s="491" t="n"/>
      <c r="D234" s="491" t="n"/>
      <c r="E234" s="491" t="n"/>
      <c r="F234" s="491" t="n"/>
      <c r="G234" s="491" t="n"/>
      <c r="H234" s="491" t="n"/>
      <c r="I234" s="491" t="n"/>
      <c r="J234" s="491" t="n"/>
      <c r="K234" s="491" t="n"/>
      <c r="L234" s="491" t="n"/>
      <c r="M234" s="491" t="n"/>
      <c r="N234" s="491" t="n"/>
      <c r="O234" s="491" t="n"/>
      <c r="P234" s="491" t="n"/>
      <c r="Q234" s="491" t="n"/>
      <c r="R234" s="491" t="n"/>
      <c r="S234" s="491" t="n"/>
      <c r="T234" s="491" t="n"/>
      <c r="U234" s="491" t="n"/>
      <c r="V234" s="491" t="n"/>
      <c r="W234" s="491" t="n"/>
      <c r="X234" s="491" t="n"/>
      <c r="Y234" s="491" t="n"/>
      <c r="Z234" s="491" t="n"/>
    </row>
    <row r="235" ht="12.75" customHeight="1" s="398">
      <c r="A235" s="491" t="n"/>
      <c r="B235" s="491" t="n"/>
      <c r="C235" s="491" t="n"/>
      <c r="D235" s="491" t="n"/>
      <c r="E235" s="491" t="n"/>
      <c r="F235" s="491" t="n"/>
      <c r="G235" s="491" t="n"/>
      <c r="H235" s="491" t="n"/>
      <c r="I235" s="491" t="n"/>
      <c r="J235" s="491" t="n"/>
      <c r="K235" s="491" t="n"/>
      <c r="L235" s="491" t="n"/>
      <c r="M235" s="491" t="n"/>
      <c r="N235" s="491" t="n"/>
      <c r="O235" s="491" t="n"/>
      <c r="P235" s="491" t="n"/>
      <c r="Q235" s="491" t="n"/>
      <c r="R235" s="491" t="n"/>
      <c r="S235" s="491" t="n"/>
      <c r="T235" s="491" t="n"/>
      <c r="U235" s="491" t="n"/>
      <c r="V235" s="491" t="n"/>
      <c r="W235" s="491" t="n"/>
      <c r="X235" s="491" t="n"/>
      <c r="Y235" s="491" t="n"/>
      <c r="Z235" s="491" t="n"/>
    </row>
    <row r="236" ht="12.75" customHeight="1" s="398">
      <c r="A236" s="491" t="n"/>
      <c r="B236" s="491" t="n"/>
      <c r="C236" s="491" t="n"/>
      <c r="D236" s="491" t="n"/>
      <c r="E236" s="491" t="n"/>
      <c r="F236" s="491" t="n"/>
      <c r="G236" s="491" t="n"/>
      <c r="H236" s="491" t="n"/>
      <c r="I236" s="491" t="n"/>
      <c r="J236" s="491" t="n"/>
      <c r="K236" s="491" t="n"/>
      <c r="L236" s="491" t="n"/>
      <c r="M236" s="491" t="n"/>
      <c r="N236" s="491" t="n"/>
      <c r="O236" s="491" t="n"/>
      <c r="P236" s="491" t="n"/>
      <c r="Q236" s="491" t="n"/>
      <c r="R236" s="491" t="n"/>
      <c r="S236" s="491" t="n"/>
      <c r="T236" s="491" t="n"/>
      <c r="U236" s="491" t="n"/>
      <c r="V236" s="491" t="n"/>
      <c r="W236" s="491" t="n"/>
      <c r="X236" s="491" t="n"/>
      <c r="Y236" s="491" t="n"/>
      <c r="Z236" s="491" t="n"/>
    </row>
    <row r="237" ht="12.75" customHeight="1" s="398">
      <c r="A237" s="491" t="n"/>
      <c r="B237" s="491" t="n"/>
      <c r="C237" s="491" t="n"/>
      <c r="D237" s="491" t="n"/>
      <c r="E237" s="491" t="n"/>
      <c r="F237" s="491" t="n"/>
      <c r="G237" s="491" t="n"/>
      <c r="H237" s="491" t="n"/>
      <c r="I237" s="491" t="n"/>
      <c r="J237" s="491" t="n"/>
      <c r="K237" s="491" t="n"/>
      <c r="L237" s="491" t="n"/>
      <c r="M237" s="491" t="n"/>
      <c r="N237" s="491" t="n"/>
      <c r="O237" s="491" t="n"/>
      <c r="P237" s="491" t="n"/>
      <c r="Q237" s="491" t="n"/>
      <c r="R237" s="491" t="n"/>
      <c r="S237" s="491" t="n"/>
      <c r="T237" s="491" t="n"/>
      <c r="U237" s="491" t="n"/>
      <c r="V237" s="491" t="n"/>
      <c r="W237" s="491" t="n"/>
      <c r="X237" s="491" t="n"/>
      <c r="Y237" s="491" t="n"/>
      <c r="Z237" s="491" t="n"/>
    </row>
    <row r="238" ht="12.75" customHeight="1" s="398">
      <c r="A238" s="491" t="n"/>
      <c r="B238" s="491" t="n"/>
      <c r="C238" s="491" t="n"/>
      <c r="D238" s="491" t="n"/>
      <c r="E238" s="491" t="n"/>
      <c r="F238" s="491" t="n"/>
      <c r="G238" s="491" t="n"/>
      <c r="H238" s="491" t="n"/>
      <c r="I238" s="491" t="n"/>
      <c r="J238" s="491" t="n"/>
      <c r="K238" s="491" t="n"/>
      <c r="L238" s="491" t="n"/>
      <c r="M238" s="491" t="n"/>
      <c r="N238" s="491" t="n"/>
      <c r="O238" s="491" t="n"/>
      <c r="P238" s="491" t="n"/>
      <c r="Q238" s="491" t="n"/>
      <c r="R238" s="491" t="n"/>
      <c r="S238" s="491" t="n"/>
      <c r="T238" s="491" t="n"/>
      <c r="U238" s="491" t="n"/>
      <c r="V238" s="491" t="n"/>
      <c r="W238" s="491" t="n"/>
      <c r="X238" s="491" t="n"/>
      <c r="Y238" s="491" t="n"/>
      <c r="Z238" s="491" t="n"/>
    </row>
    <row r="239" ht="12.75" customHeight="1" s="398">
      <c r="A239" s="491" t="n"/>
      <c r="B239" s="491" t="n"/>
      <c r="C239" s="491" t="n"/>
      <c r="D239" s="491" t="n"/>
      <c r="E239" s="491" t="n"/>
      <c r="F239" s="491" t="n"/>
      <c r="G239" s="491" t="n"/>
      <c r="H239" s="491" t="n"/>
      <c r="I239" s="491" t="n"/>
      <c r="J239" s="491" t="n"/>
      <c r="K239" s="491" t="n"/>
      <c r="L239" s="491" t="n"/>
      <c r="M239" s="491" t="n"/>
      <c r="N239" s="491" t="n"/>
      <c r="O239" s="491" t="n"/>
      <c r="P239" s="491" t="n"/>
      <c r="Q239" s="491" t="n"/>
      <c r="R239" s="491" t="n"/>
      <c r="S239" s="491" t="n"/>
      <c r="T239" s="491" t="n"/>
      <c r="U239" s="491" t="n"/>
      <c r="V239" s="491" t="n"/>
      <c r="W239" s="491" t="n"/>
      <c r="X239" s="491" t="n"/>
      <c r="Y239" s="491" t="n"/>
      <c r="Z239" s="491" t="n"/>
    </row>
    <row r="240" ht="12.75" customHeight="1" s="398">
      <c r="A240" s="491" t="n"/>
      <c r="B240" s="491" t="n"/>
      <c r="C240" s="491" t="n"/>
      <c r="D240" s="491" t="n"/>
      <c r="E240" s="491" t="n"/>
      <c r="F240" s="491" t="n"/>
      <c r="G240" s="491" t="n"/>
      <c r="H240" s="491" t="n"/>
      <c r="I240" s="491" t="n"/>
      <c r="J240" s="491" t="n"/>
      <c r="K240" s="491" t="n"/>
      <c r="L240" s="491" t="n"/>
      <c r="M240" s="491" t="n"/>
      <c r="N240" s="491" t="n"/>
      <c r="O240" s="491" t="n"/>
      <c r="P240" s="491" t="n"/>
      <c r="Q240" s="491" t="n"/>
      <c r="R240" s="491" t="n"/>
      <c r="S240" s="491" t="n"/>
      <c r="T240" s="491" t="n"/>
      <c r="U240" s="491" t="n"/>
      <c r="V240" s="491" t="n"/>
      <c r="W240" s="491" t="n"/>
      <c r="X240" s="491" t="n"/>
      <c r="Y240" s="491" t="n"/>
      <c r="Z240" s="491" t="n"/>
    </row>
    <row r="241" ht="12.75" customHeight="1" s="398">
      <c r="A241" s="491" t="n"/>
      <c r="B241" s="491" t="n"/>
      <c r="C241" s="491" t="n"/>
      <c r="D241" s="491" t="n"/>
      <c r="E241" s="491" t="n"/>
      <c r="F241" s="491" t="n"/>
      <c r="G241" s="491" t="n"/>
      <c r="H241" s="491" t="n"/>
      <c r="I241" s="491" t="n"/>
      <c r="J241" s="491" t="n"/>
      <c r="K241" s="491" t="n"/>
      <c r="L241" s="491" t="n"/>
      <c r="M241" s="491" t="n"/>
      <c r="N241" s="491" t="n"/>
      <c r="O241" s="491" t="n"/>
      <c r="P241" s="491" t="n"/>
      <c r="Q241" s="491" t="n"/>
      <c r="R241" s="491" t="n"/>
      <c r="S241" s="491" t="n"/>
      <c r="T241" s="491" t="n"/>
      <c r="U241" s="491" t="n"/>
      <c r="V241" s="491" t="n"/>
      <c r="W241" s="491" t="n"/>
      <c r="X241" s="491" t="n"/>
      <c r="Y241" s="491" t="n"/>
      <c r="Z241" s="491" t="n"/>
    </row>
    <row r="242" ht="12.75" customHeight="1" s="398">
      <c r="A242" s="491" t="n"/>
      <c r="B242" s="491" t="n"/>
      <c r="C242" s="491" t="n"/>
      <c r="D242" s="491" t="n"/>
      <c r="E242" s="491" t="n"/>
      <c r="F242" s="491" t="n"/>
      <c r="G242" s="491" t="n"/>
      <c r="H242" s="491" t="n"/>
      <c r="I242" s="491" t="n"/>
      <c r="J242" s="491" t="n"/>
      <c r="K242" s="491" t="n"/>
      <c r="L242" s="491" t="n"/>
      <c r="M242" s="491" t="n"/>
      <c r="N242" s="491" t="n"/>
      <c r="O242" s="491" t="n"/>
      <c r="P242" s="491" t="n"/>
      <c r="Q242" s="491" t="n"/>
      <c r="R242" s="491" t="n"/>
      <c r="S242" s="491" t="n"/>
      <c r="T242" s="491" t="n"/>
      <c r="U242" s="491" t="n"/>
      <c r="V242" s="491" t="n"/>
      <c r="W242" s="491" t="n"/>
      <c r="X242" s="491" t="n"/>
      <c r="Y242" s="491" t="n"/>
      <c r="Z242" s="491" t="n"/>
    </row>
    <row r="243" ht="12.75" customHeight="1" s="398">
      <c r="A243" s="491" t="n"/>
      <c r="B243" s="491" t="n"/>
      <c r="C243" s="491" t="n"/>
      <c r="D243" s="491" t="n"/>
      <c r="E243" s="491" t="n"/>
      <c r="F243" s="491" t="n"/>
      <c r="G243" s="491" t="n"/>
      <c r="H243" s="491" t="n"/>
      <c r="I243" s="491" t="n"/>
      <c r="J243" s="491" t="n"/>
      <c r="K243" s="491" t="n"/>
      <c r="L243" s="491" t="n"/>
      <c r="M243" s="491" t="n"/>
      <c r="N243" s="491" t="n"/>
      <c r="O243" s="491" t="n"/>
      <c r="P243" s="491" t="n"/>
      <c r="Q243" s="491" t="n"/>
      <c r="R243" s="491" t="n"/>
      <c r="S243" s="491" t="n"/>
      <c r="T243" s="491" t="n"/>
      <c r="U243" s="491" t="n"/>
      <c r="V243" s="491" t="n"/>
      <c r="W243" s="491" t="n"/>
      <c r="X243" s="491" t="n"/>
      <c r="Y243" s="491" t="n"/>
      <c r="Z243" s="491" t="n"/>
    </row>
    <row r="244" ht="12.75" customHeight="1" s="398">
      <c r="A244" s="491" t="n"/>
      <c r="B244" s="491" t="n"/>
      <c r="C244" s="491" t="n"/>
      <c r="D244" s="491" t="n"/>
      <c r="E244" s="491" t="n"/>
      <c r="F244" s="491" t="n"/>
      <c r="G244" s="491" t="n"/>
      <c r="H244" s="491" t="n"/>
      <c r="I244" s="491" t="n"/>
      <c r="J244" s="491" t="n"/>
      <c r="K244" s="491" t="n"/>
      <c r="L244" s="491" t="n"/>
      <c r="M244" s="491" t="n"/>
      <c r="N244" s="491" t="n"/>
      <c r="O244" s="491" t="n"/>
      <c r="P244" s="491" t="n"/>
      <c r="Q244" s="491" t="n"/>
      <c r="R244" s="491" t="n"/>
      <c r="S244" s="491" t="n"/>
      <c r="T244" s="491" t="n"/>
      <c r="U244" s="491" t="n"/>
      <c r="V244" s="491" t="n"/>
      <c r="W244" s="491" t="n"/>
      <c r="X244" s="491" t="n"/>
      <c r="Y244" s="491" t="n"/>
      <c r="Z244" s="491" t="n"/>
    </row>
    <row r="245" ht="12.75" customHeight="1" s="398">
      <c r="A245" s="491" t="n"/>
      <c r="B245" s="491" t="n"/>
      <c r="C245" s="491" t="n"/>
      <c r="D245" s="491" t="n"/>
      <c r="E245" s="491" t="n"/>
      <c r="F245" s="491" t="n"/>
      <c r="G245" s="491" t="n"/>
      <c r="H245" s="491" t="n"/>
      <c r="I245" s="491" t="n"/>
      <c r="J245" s="491" t="n"/>
      <c r="K245" s="491" t="n"/>
      <c r="L245" s="491" t="n"/>
      <c r="M245" s="491" t="n"/>
      <c r="N245" s="491" t="n"/>
      <c r="O245" s="491" t="n"/>
      <c r="P245" s="491" t="n"/>
      <c r="Q245" s="491" t="n"/>
      <c r="R245" s="491" t="n"/>
      <c r="S245" s="491" t="n"/>
      <c r="T245" s="491" t="n"/>
      <c r="U245" s="491" t="n"/>
      <c r="V245" s="491" t="n"/>
      <c r="W245" s="491" t="n"/>
      <c r="X245" s="491" t="n"/>
      <c r="Y245" s="491" t="n"/>
      <c r="Z245" s="491" t="n"/>
    </row>
    <row r="246" ht="12.75" customHeight="1" s="398">
      <c r="A246" s="491" t="n"/>
      <c r="B246" s="491" t="n"/>
      <c r="C246" s="491" t="n"/>
      <c r="D246" s="491" t="n"/>
      <c r="E246" s="491" t="n"/>
      <c r="F246" s="491" t="n"/>
      <c r="G246" s="491" t="n"/>
      <c r="H246" s="491" t="n"/>
      <c r="I246" s="491" t="n"/>
      <c r="J246" s="491" t="n"/>
      <c r="K246" s="491" t="n"/>
      <c r="L246" s="491" t="n"/>
      <c r="M246" s="491" t="n"/>
      <c r="N246" s="491" t="n"/>
      <c r="O246" s="491" t="n"/>
      <c r="P246" s="491" t="n"/>
      <c r="Q246" s="491" t="n"/>
      <c r="R246" s="491" t="n"/>
      <c r="S246" s="491" t="n"/>
      <c r="T246" s="491" t="n"/>
      <c r="U246" s="491" t="n"/>
      <c r="V246" s="491" t="n"/>
      <c r="W246" s="491" t="n"/>
      <c r="X246" s="491" t="n"/>
      <c r="Y246" s="491" t="n"/>
      <c r="Z246" s="491" t="n"/>
    </row>
    <row r="247" ht="12.75" customHeight="1" s="398">
      <c r="A247" s="491" t="n"/>
      <c r="B247" s="491" t="n"/>
      <c r="C247" s="491" t="n"/>
      <c r="D247" s="491" t="n"/>
      <c r="E247" s="491" t="n"/>
      <c r="F247" s="491" t="n"/>
      <c r="G247" s="491" t="n"/>
      <c r="H247" s="491" t="n"/>
      <c r="I247" s="491" t="n"/>
      <c r="J247" s="491" t="n"/>
      <c r="K247" s="491" t="n"/>
      <c r="L247" s="491" t="n"/>
      <c r="M247" s="491" t="n"/>
      <c r="N247" s="491" t="n"/>
      <c r="O247" s="491" t="n"/>
      <c r="P247" s="491" t="n"/>
      <c r="Q247" s="491" t="n"/>
      <c r="R247" s="491" t="n"/>
      <c r="S247" s="491" t="n"/>
      <c r="T247" s="491" t="n"/>
      <c r="U247" s="491" t="n"/>
      <c r="V247" s="491" t="n"/>
      <c r="W247" s="491" t="n"/>
      <c r="X247" s="491" t="n"/>
      <c r="Y247" s="491" t="n"/>
      <c r="Z247" s="491" t="n"/>
    </row>
    <row r="248" ht="12.75" customHeight="1" s="398">
      <c r="A248" s="491" t="n"/>
      <c r="B248" s="491" t="n"/>
      <c r="C248" s="491" t="n"/>
      <c r="D248" s="491" t="n"/>
      <c r="E248" s="491" t="n"/>
      <c r="F248" s="491" t="n"/>
      <c r="G248" s="491" t="n"/>
      <c r="H248" s="491" t="n"/>
      <c r="I248" s="491" t="n"/>
      <c r="J248" s="491" t="n"/>
      <c r="K248" s="491" t="n"/>
      <c r="L248" s="491" t="n"/>
      <c r="M248" s="491" t="n"/>
      <c r="N248" s="491" t="n"/>
      <c r="O248" s="491" t="n"/>
      <c r="P248" s="491" t="n"/>
      <c r="Q248" s="491" t="n"/>
      <c r="R248" s="491" t="n"/>
      <c r="S248" s="491" t="n"/>
      <c r="T248" s="491" t="n"/>
      <c r="U248" s="491" t="n"/>
      <c r="V248" s="491" t="n"/>
      <c r="W248" s="491" t="n"/>
      <c r="X248" s="491" t="n"/>
      <c r="Y248" s="491" t="n"/>
      <c r="Z248" s="491" t="n"/>
    </row>
    <row r="249" ht="12.75" customHeight="1" s="398">
      <c r="A249" s="491" t="n"/>
      <c r="B249" s="491" t="n"/>
      <c r="C249" s="491" t="n"/>
      <c r="D249" s="491" t="n"/>
      <c r="E249" s="491" t="n"/>
      <c r="F249" s="491" t="n"/>
      <c r="G249" s="491" t="n"/>
      <c r="H249" s="491" t="n"/>
      <c r="I249" s="491" t="n"/>
      <c r="J249" s="491" t="n"/>
      <c r="K249" s="491" t="n"/>
      <c r="L249" s="491" t="n"/>
      <c r="M249" s="491" t="n"/>
      <c r="N249" s="491" t="n"/>
      <c r="O249" s="491" t="n"/>
      <c r="P249" s="491" t="n"/>
      <c r="Q249" s="491" t="n"/>
      <c r="R249" s="491" t="n"/>
      <c r="S249" s="491" t="n"/>
      <c r="T249" s="491" t="n"/>
      <c r="U249" s="491" t="n"/>
      <c r="V249" s="491" t="n"/>
      <c r="W249" s="491" t="n"/>
      <c r="X249" s="491" t="n"/>
      <c r="Y249" s="491" t="n"/>
      <c r="Z249" s="491" t="n"/>
    </row>
    <row r="250" ht="12.75" customHeight="1" s="398">
      <c r="A250" s="491" t="n"/>
      <c r="B250" s="491" t="n"/>
      <c r="C250" s="491" t="n"/>
      <c r="D250" s="491" t="n"/>
      <c r="E250" s="491" t="n"/>
      <c r="F250" s="491" t="n"/>
      <c r="G250" s="491" t="n"/>
      <c r="H250" s="491" t="n"/>
      <c r="I250" s="491" t="n"/>
      <c r="J250" s="491" t="n"/>
      <c r="K250" s="491" t="n"/>
      <c r="L250" s="491" t="n"/>
      <c r="M250" s="491" t="n"/>
      <c r="N250" s="491" t="n"/>
      <c r="O250" s="491" t="n"/>
      <c r="P250" s="491" t="n"/>
      <c r="Q250" s="491" t="n"/>
      <c r="R250" s="491" t="n"/>
      <c r="S250" s="491" t="n"/>
      <c r="T250" s="491" t="n"/>
      <c r="U250" s="491" t="n"/>
      <c r="V250" s="491" t="n"/>
      <c r="W250" s="491" t="n"/>
      <c r="X250" s="491" t="n"/>
      <c r="Y250" s="491" t="n"/>
      <c r="Z250" s="491" t="n"/>
    </row>
    <row r="251" ht="12.75" customHeight="1" s="398">
      <c r="A251" s="491" t="n"/>
      <c r="B251" s="491" t="n"/>
      <c r="C251" s="491" t="n"/>
      <c r="D251" s="491" t="n"/>
      <c r="E251" s="491" t="n"/>
      <c r="F251" s="491" t="n"/>
      <c r="G251" s="491" t="n"/>
      <c r="H251" s="491" t="n"/>
      <c r="I251" s="491" t="n"/>
      <c r="J251" s="491" t="n"/>
      <c r="K251" s="491" t="n"/>
      <c r="L251" s="491" t="n"/>
      <c r="M251" s="491" t="n"/>
      <c r="N251" s="491" t="n"/>
      <c r="O251" s="491" t="n"/>
      <c r="P251" s="491" t="n"/>
      <c r="Q251" s="491" t="n"/>
      <c r="R251" s="491" t="n"/>
      <c r="S251" s="491" t="n"/>
      <c r="T251" s="491" t="n"/>
      <c r="U251" s="491" t="n"/>
      <c r="V251" s="491" t="n"/>
      <c r="W251" s="491" t="n"/>
      <c r="X251" s="491" t="n"/>
      <c r="Y251" s="491" t="n"/>
      <c r="Z251" s="491" t="n"/>
    </row>
    <row r="252" ht="12.75" customHeight="1" s="398">
      <c r="A252" s="491" t="n"/>
      <c r="B252" s="491" t="n"/>
      <c r="C252" s="491" t="n"/>
      <c r="D252" s="491" t="n"/>
      <c r="E252" s="491" t="n"/>
      <c r="F252" s="491" t="n"/>
      <c r="G252" s="491" t="n"/>
      <c r="H252" s="491" t="n"/>
      <c r="I252" s="491" t="n"/>
      <c r="J252" s="491" t="n"/>
      <c r="K252" s="491" t="n"/>
      <c r="L252" s="491" t="n"/>
      <c r="M252" s="491" t="n"/>
      <c r="N252" s="491" t="n"/>
      <c r="O252" s="491" t="n"/>
      <c r="P252" s="491" t="n"/>
      <c r="Q252" s="491" t="n"/>
      <c r="R252" s="491" t="n"/>
      <c r="S252" s="491" t="n"/>
      <c r="T252" s="491" t="n"/>
      <c r="U252" s="491" t="n"/>
      <c r="V252" s="491" t="n"/>
      <c r="W252" s="491" t="n"/>
      <c r="X252" s="491" t="n"/>
      <c r="Y252" s="491" t="n"/>
      <c r="Z252" s="491" t="n"/>
    </row>
    <row r="253" ht="12.75" customHeight="1" s="398">
      <c r="A253" s="491" t="n"/>
      <c r="B253" s="491" t="n"/>
      <c r="C253" s="491" t="n"/>
      <c r="D253" s="491" t="n"/>
      <c r="E253" s="491" t="n"/>
      <c r="F253" s="491" t="n"/>
      <c r="G253" s="491" t="n"/>
      <c r="H253" s="491" t="n"/>
      <c r="I253" s="491" t="n"/>
      <c r="J253" s="491" t="n"/>
      <c r="K253" s="491" t="n"/>
      <c r="L253" s="491" t="n"/>
      <c r="M253" s="491" t="n"/>
      <c r="N253" s="491" t="n"/>
      <c r="O253" s="491" t="n"/>
      <c r="P253" s="491" t="n"/>
      <c r="Q253" s="491" t="n"/>
      <c r="R253" s="491" t="n"/>
      <c r="S253" s="491" t="n"/>
      <c r="T253" s="491" t="n"/>
      <c r="U253" s="491" t="n"/>
      <c r="V253" s="491" t="n"/>
      <c r="W253" s="491" t="n"/>
      <c r="X253" s="491" t="n"/>
      <c r="Y253" s="491" t="n"/>
      <c r="Z253" s="491" t="n"/>
    </row>
    <row r="254" ht="12.75" customHeight="1" s="398">
      <c r="A254" s="491" t="n"/>
      <c r="B254" s="491" t="n"/>
      <c r="C254" s="491" t="n"/>
      <c r="D254" s="491" t="n"/>
      <c r="E254" s="491" t="n"/>
      <c r="F254" s="491" t="n"/>
      <c r="G254" s="491" t="n"/>
      <c r="H254" s="491" t="n"/>
      <c r="I254" s="491" t="n"/>
      <c r="J254" s="491" t="n"/>
      <c r="K254" s="491" t="n"/>
      <c r="L254" s="491" t="n"/>
      <c r="M254" s="491" t="n"/>
      <c r="N254" s="491" t="n"/>
      <c r="O254" s="491" t="n"/>
      <c r="P254" s="491" t="n"/>
      <c r="Q254" s="491" t="n"/>
      <c r="R254" s="491" t="n"/>
      <c r="S254" s="491" t="n"/>
      <c r="T254" s="491" t="n"/>
      <c r="U254" s="491" t="n"/>
      <c r="V254" s="491" t="n"/>
      <c r="W254" s="491" t="n"/>
      <c r="X254" s="491" t="n"/>
      <c r="Y254" s="491" t="n"/>
      <c r="Z254" s="491" t="n"/>
    </row>
    <row r="255" ht="12.75" customHeight="1" s="398">
      <c r="A255" s="491" t="n"/>
      <c r="B255" s="491" t="n"/>
      <c r="C255" s="491" t="n"/>
      <c r="D255" s="491" t="n"/>
      <c r="E255" s="491" t="n"/>
      <c r="F255" s="491" t="n"/>
      <c r="G255" s="491" t="n"/>
      <c r="H255" s="491" t="n"/>
      <c r="I255" s="491" t="n"/>
      <c r="J255" s="491" t="n"/>
      <c r="K255" s="491" t="n"/>
      <c r="L255" s="491" t="n"/>
      <c r="M255" s="491" t="n"/>
      <c r="N255" s="491" t="n"/>
      <c r="O255" s="491" t="n"/>
      <c r="P255" s="491" t="n"/>
      <c r="Q255" s="491" t="n"/>
      <c r="R255" s="491" t="n"/>
      <c r="S255" s="491" t="n"/>
      <c r="T255" s="491" t="n"/>
      <c r="U255" s="491" t="n"/>
      <c r="V255" s="491" t="n"/>
      <c r="W255" s="491" t="n"/>
      <c r="X255" s="491" t="n"/>
      <c r="Y255" s="491" t="n"/>
      <c r="Z255" s="491" t="n"/>
    </row>
    <row r="256" ht="12.75" customHeight="1" s="398">
      <c r="A256" s="491" t="n"/>
      <c r="B256" s="491" t="n"/>
      <c r="C256" s="491" t="n"/>
      <c r="D256" s="491" t="n"/>
      <c r="E256" s="491" t="n"/>
      <c r="F256" s="491" t="n"/>
      <c r="G256" s="491" t="n"/>
      <c r="H256" s="491" t="n"/>
      <c r="I256" s="491" t="n"/>
      <c r="J256" s="491" t="n"/>
      <c r="K256" s="491" t="n"/>
      <c r="L256" s="491" t="n"/>
      <c r="M256" s="491" t="n"/>
      <c r="N256" s="491" t="n"/>
      <c r="O256" s="491" t="n"/>
      <c r="P256" s="491" t="n"/>
      <c r="Q256" s="491" t="n"/>
      <c r="R256" s="491" t="n"/>
      <c r="S256" s="491" t="n"/>
      <c r="T256" s="491" t="n"/>
      <c r="U256" s="491" t="n"/>
      <c r="V256" s="491" t="n"/>
      <c r="W256" s="491" t="n"/>
      <c r="X256" s="491" t="n"/>
      <c r="Y256" s="491" t="n"/>
      <c r="Z256" s="491" t="n"/>
    </row>
    <row r="257" ht="12.75" customHeight="1" s="398">
      <c r="A257" s="491" t="n"/>
      <c r="B257" s="491" t="n"/>
      <c r="C257" s="491" t="n"/>
      <c r="D257" s="491" t="n"/>
      <c r="E257" s="491" t="n"/>
      <c r="F257" s="491" t="n"/>
      <c r="G257" s="491" t="n"/>
      <c r="H257" s="491" t="n"/>
      <c r="I257" s="491" t="n"/>
      <c r="J257" s="491" t="n"/>
      <c r="K257" s="491" t="n"/>
      <c r="L257" s="491" t="n"/>
      <c r="M257" s="491" t="n"/>
      <c r="N257" s="491" t="n"/>
      <c r="O257" s="491" t="n"/>
      <c r="P257" s="491" t="n"/>
      <c r="Q257" s="491" t="n"/>
      <c r="R257" s="491" t="n"/>
      <c r="S257" s="491" t="n"/>
      <c r="T257" s="491" t="n"/>
      <c r="U257" s="491" t="n"/>
      <c r="V257" s="491" t="n"/>
      <c r="W257" s="491" t="n"/>
      <c r="X257" s="491" t="n"/>
      <c r="Y257" s="491" t="n"/>
      <c r="Z257" s="491" t="n"/>
    </row>
    <row r="258" ht="12.75" customHeight="1" s="398">
      <c r="A258" s="491" t="n"/>
      <c r="B258" s="491" t="n"/>
      <c r="C258" s="491" t="n"/>
      <c r="D258" s="491" t="n"/>
      <c r="E258" s="491" t="n"/>
      <c r="F258" s="491" t="n"/>
      <c r="G258" s="491" t="n"/>
      <c r="H258" s="491" t="n"/>
      <c r="I258" s="491" t="n"/>
      <c r="J258" s="491" t="n"/>
      <c r="K258" s="491" t="n"/>
      <c r="L258" s="491" t="n"/>
      <c r="M258" s="491" t="n"/>
      <c r="N258" s="491" t="n"/>
      <c r="O258" s="491" t="n"/>
      <c r="P258" s="491" t="n"/>
      <c r="Q258" s="491" t="n"/>
      <c r="R258" s="491" t="n"/>
      <c r="S258" s="491" t="n"/>
      <c r="T258" s="491" t="n"/>
      <c r="U258" s="491" t="n"/>
      <c r="V258" s="491" t="n"/>
      <c r="W258" s="491" t="n"/>
      <c r="X258" s="491" t="n"/>
      <c r="Y258" s="491" t="n"/>
      <c r="Z258" s="491" t="n"/>
    </row>
    <row r="259" ht="12.75" customHeight="1" s="398">
      <c r="A259" s="491" t="n"/>
      <c r="B259" s="491" t="n"/>
      <c r="C259" s="491" t="n"/>
      <c r="D259" s="491" t="n"/>
      <c r="E259" s="491" t="n"/>
      <c r="F259" s="491" t="n"/>
      <c r="G259" s="491" t="n"/>
      <c r="H259" s="491" t="n"/>
      <c r="I259" s="491" t="n"/>
      <c r="J259" s="491" t="n"/>
      <c r="K259" s="491" t="n"/>
      <c r="L259" s="491" t="n"/>
      <c r="M259" s="491" t="n"/>
      <c r="N259" s="491" t="n"/>
      <c r="O259" s="491" t="n"/>
      <c r="P259" s="491" t="n"/>
      <c r="Q259" s="491" t="n"/>
      <c r="R259" s="491" t="n"/>
      <c r="S259" s="491" t="n"/>
      <c r="T259" s="491" t="n"/>
      <c r="U259" s="491" t="n"/>
      <c r="V259" s="491" t="n"/>
      <c r="W259" s="491" t="n"/>
      <c r="X259" s="491" t="n"/>
      <c r="Y259" s="491" t="n"/>
      <c r="Z259" s="491" t="n"/>
    </row>
    <row r="260" ht="12.75" customHeight="1" s="398">
      <c r="A260" s="491" t="n"/>
      <c r="B260" s="491" t="n"/>
      <c r="C260" s="491" t="n"/>
      <c r="D260" s="491" t="n"/>
      <c r="E260" s="491" t="n"/>
      <c r="F260" s="491" t="n"/>
      <c r="G260" s="491" t="n"/>
      <c r="H260" s="491" t="n"/>
      <c r="I260" s="491" t="n"/>
      <c r="J260" s="491" t="n"/>
      <c r="K260" s="491" t="n"/>
      <c r="L260" s="491" t="n"/>
      <c r="M260" s="491" t="n"/>
      <c r="N260" s="491" t="n"/>
      <c r="O260" s="491" t="n"/>
      <c r="P260" s="491" t="n"/>
      <c r="Q260" s="491" t="n"/>
      <c r="R260" s="491" t="n"/>
      <c r="S260" s="491" t="n"/>
      <c r="T260" s="491" t="n"/>
      <c r="U260" s="491" t="n"/>
      <c r="V260" s="491" t="n"/>
      <c r="W260" s="491" t="n"/>
      <c r="X260" s="491" t="n"/>
      <c r="Y260" s="491" t="n"/>
      <c r="Z260" s="491" t="n"/>
    </row>
    <row r="261" ht="12.75" customHeight="1" s="398">
      <c r="A261" s="491" t="n"/>
      <c r="B261" s="491" t="n"/>
      <c r="C261" s="491" t="n"/>
      <c r="D261" s="491" t="n"/>
      <c r="E261" s="491" t="n"/>
      <c r="F261" s="491" t="n"/>
      <c r="G261" s="491" t="n"/>
      <c r="H261" s="491" t="n"/>
      <c r="I261" s="491" t="n"/>
      <c r="J261" s="491" t="n"/>
      <c r="K261" s="491" t="n"/>
      <c r="L261" s="491" t="n"/>
      <c r="M261" s="491" t="n"/>
      <c r="N261" s="491" t="n"/>
      <c r="O261" s="491" t="n"/>
      <c r="P261" s="491" t="n"/>
      <c r="Q261" s="491" t="n"/>
      <c r="R261" s="491" t="n"/>
      <c r="S261" s="491" t="n"/>
      <c r="T261" s="491" t="n"/>
      <c r="U261" s="491" t="n"/>
      <c r="V261" s="491" t="n"/>
      <c r="W261" s="491" t="n"/>
      <c r="X261" s="491" t="n"/>
      <c r="Y261" s="491" t="n"/>
      <c r="Z261" s="491" t="n"/>
    </row>
    <row r="262" ht="12.75" customHeight="1" s="398">
      <c r="A262" s="491" t="n"/>
      <c r="B262" s="491" t="n"/>
      <c r="C262" s="491" t="n"/>
      <c r="D262" s="491" t="n"/>
      <c r="E262" s="491" t="n"/>
      <c r="F262" s="491" t="n"/>
      <c r="G262" s="491" t="n"/>
      <c r="H262" s="491" t="n"/>
      <c r="I262" s="491" t="n"/>
      <c r="J262" s="491" t="n"/>
      <c r="K262" s="491" t="n"/>
      <c r="L262" s="491" t="n"/>
      <c r="M262" s="491" t="n"/>
      <c r="N262" s="491" t="n"/>
      <c r="O262" s="491" t="n"/>
      <c r="P262" s="491" t="n"/>
      <c r="Q262" s="491" t="n"/>
      <c r="R262" s="491" t="n"/>
      <c r="S262" s="491" t="n"/>
      <c r="T262" s="491" t="n"/>
      <c r="U262" s="491" t="n"/>
      <c r="V262" s="491" t="n"/>
      <c r="W262" s="491" t="n"/>
      <c r="X262" s="491" t="n"/>
      <c r="Y262" s="491" t="n"/>
      <c r="Z262" s="491" t="n"/>
    </row>
    <row r="263" ht="12.75" customHeight="1" s="398">
      <c r="A263" s="491" t="n"/>
      <c r="B263" s="491" t="n"/>
      <c r="C263" s="491" t="n"/>
      <c r="D263" s="491" t="n"/>
      <c r="E263" s="491" t="n"/>
      <c r="F263" s="491" t="n"/>
      <c r="G263" s="491" t="n"/>
      <c r="H263" s="491" t="n"/>
      <c r="I263" s="491" t="n"/>
      <c r="J263" s="491" t="n"/>
      <c r="K263" s="491" t="n"/>
      <c r="L263" s="491" t="n"/>
      <c r="M263" s="491" t="n"/>
      <c r="N263" s="491" t="n"/>
      <c r="O263" s="491" t="n"/>
      <c r="P263" s="491" t="n"/>
      <c r="Q263" s="491" t="n"/>
      <c r="R263" s="491" t="n"/>
      <c r="S263" s="491" t="n"/>
      <c r="T263" s="491" t="n"/>
      <c r="U263" s="491" t="n"/>
      <c r="V263" s="491" t="n"/>
      <c r="W263" s="491" t="n"/>
      <c r="X263" s="491" t="n"/>
      <c r="Y263" s="491" t="n"/>
      <c r="Z263" s="491" t="n"/>
    </row>
    <row r="264" ht="12.75" customHeight="1" s="398">
      <c r="A264" s="491" t="n"/>
      <c r="B264" s="491" t="n"/>
      <c r="C264" s="491" t="n"/>
      <c r="D264" s="491" t="n"/>
      <c r="E264" s="491" t="n"/>
      <c r="F264" s="491" t="n"/>
      <c r="G264" s="491" t="n"/>
      <c r="H264" s="491" t="n"/>
      <c r="I264" s="491" t="n"/>
      <c r="J264" s="491" t="n"/>
      <c r="K264" s="491" t="n"/>
      <c r="L264" s="491" t="n"/>
      <c r="M264" s="491" t="n"/>
      <c r="N264" s="491" t="n"/>
      <c r="O264" s="491" t="n"/>
      <c r="P264" s="491" t="n"/>
      <c r="Q264" s="491" t="n"/>
      <c r="R264" s="491" t="n"/>
      <c r="S264" s="491" t="n"/>
      <c r="T264" s="491" t="n"/>
      <c r="U264" s="491" t="n"/>
      <c r="V264" s="491" t="n"/>
      <c r="W264" s="491" t="n"/>
      <c r="X264" s="491" t="n"/>
      <c r="Y264" s="491" t="n"/>
      <c r="Z264" s="491" t="n"/>
    </row>
    <row r="265" ht="12.75" customHeight="1" s="398">
      <c r="A265" s="491" t="n"/>
      <c r="B265" s="491" t="n"/>
      <c r="C265" s="491" t="n"/>
      <c r="D265" s="491" t="n"/>
      <c r="E265" s="491" t="n"/>
      <c r="F265" s="491" t="n"/>
      <c r="G265" s="491" t="n"/>
      <c r="H265" s="491" t="n"/>
      <c r="I265" s="491" t="n"/>
      <c r="J265" s="491" t="n"/>
      <c r="K265" s="491" t="n"/>
      <c r="L265" s="491" t="n"/>
      <c r="M265" s="491" t="n"/>
      <c r="N265" s="491" t="n"/>
      <c r="O265" s="491" t="n"/>
      <c r="P265" s="491" t="n"/>
      <c r="Q265" s="491" t="n"/>
      <c r="R265" s="491" t="n"/>
      <c r="S265" s="491" t="n"/>
      <c r="T265" s="491" t="n"/>
      <c r="U265" s="491" t="n"/>
      <c r="V265" s="491" t="n"/>
      <c r="W265" s="491" t="n"/>
      <c r="X265" s="491" t="n"/>
      <c r="Y265" s="491" t="n"/>
      <c r="Z265" s="491" t="n"/>
    </row>
    <row r="266" ht="12.75" customHeight="1" s="398">
      <c r="A266" s="491" t="n"/>
      <c r="B266" s="491" t="n"/>
      <c r="C266" s="491" t="n"/>
      <c r="D266" s="491" t="n"/>
      <c r="E266" s="491" t="n"/>
      <c r="F266" s="491" t="n"/>
      <c r="G266" s="491" t="n"/>
      <c r="H266" s="491" t="n"/>
      <c r="I266" s="491" t="n"/>
      <c r="J266" s="491" t="n"/>
      <c r="K266" s="491" t="n"/>
      <c r="L266" s="491" t="n"/>
      <c r="M266" s="491" t="n"/>
      <c r="N266" s="491" t="n"/>
      <c r="O266" s="491" t="n"/>
      <c r="P266" s="491" t="n"/>
      <c r="Q266" s="491" t="n"/>
      <c r="R266" s="491" t="n"/>
      <c r="S266" s="491" t="n"/>
      <c r="T266" s="491" t="n"/>
      <c r="U266" s="491" t="n"/>
      <c r="V266" s="491" t="n"/>
      <c r="W266" s="491" t="n"/>
      <c r="X266" s="491" t="n"/>
      <c r="Y266" s="491" t="n"/>
      <c r="Z266" s="491" t="n"/>
    </row>
    <row r="267" ht="12.75" customHeight="1" s="398">
      <c r="A267" s="491" t="n"/>
      <c r="B267" s="491" t="n"/>
      <c r="C267" s="491" t="n"/>
      <c r="D267" s="491" t="n"/>
      <c r="E267" s="491" t="n"/>
      <c r="F267" s="491" t="n"/>
      <c r="G267" s="491" t="n"/>
      <c r="H267" s="491" t="n"/>
      <c r="I267" s="491" t="n"/>
      <c r="J267" s="491" t="n"/>
      <c r="K267" s="491" t="n"/>
      <c r="L267" s="491" t="n"/>
      <c r="M267" s="491" t="n"/>
      <c r="N267" s="491" t="n"/>
      <c r="O267" s="491" t="n"/>
      <c r="P267" s="491" t="n"/>
      <c r="Q267" s="491" t="n"/>
      <c r="R267" s="491" t="n"/>
      <c r="S267" s="491" t="n"/>
      <c r="T267" s="491" t="n"/>
      <c r="U267" s="491" t="n"/>
      <c r="V267" s="491" t="n"/>
      <c r="W267" s="491" t="n"/>
      <c r="X267" s="491" t="n"/>
      <c r="Y267" s="491" t="n"/>
      <c r="Z267" s="491" t="n"/>
    </row>
    <row r="268" ht="12.75" customHeight="1" s="398">
      <c r="A268" s="491" t="n"/>
      <c r="B268" s="491" t="n"/>
      <c r="C268" s="491" t="n"/>
      <c r="D268" s="491" t="n"/>
      <c r="E268" s="491" t="n"/>
      <c r="F268" s="491" t="n"/>
      <c r="G268" s="491" t="n"/>
      <c r="H268" s="491" t="n"/>
      <c r="I268" s="491" t="n"/>
      <c r="J268" s="491" t="n"/>
      <c r="K268" s="491" t="n"/>
      <c r="L268" s="491" t="n"/>
      <c r="M268" s="491" t="n"/>
      <c r="N268" s="491" t="n"/>
      <c r="O268" s="491" t="n"/>
      <c r="P268" s="491" t="n"/>
      <c r="Q268" s="491" t="n"/>
      <c r="R268" s="491" t="n"/>
      <c r="S268" s="491" t="n"/>
      <c r="T268" s="491" t="n"/>
      <c r="U268" s="491" t="n"/>
      <c r="V268" s="491" t="n"/>
      <c r="W268" s="491" t="n"/>
      <c r="X268" s="491" t="n"/>
      <c r="Y268" s="491" t="n"/>
      <c r="Z268" s="491" t="n"/>
    </row>
    <row r="269" ht="12.75" customHeight="1" s="398">
      <c r="A269" s="491" t="n"/>
      <c r="B269" s="491" t="n"/>
      <c r="C269" s="491" t="n"/>
      <c r="D269" s="491" t="n"/>
      <c r="E269" s="491" t="n"/>
      <c r="F269" s="491" t="n"/>
      <c r="G269" s="491" t="n"/>
      <c r="H269" s="491" t="n"/>
      <c r="I269" s="491" t="n"/>
      <c r="J269" s="491" t="n"/>
      <c r="K269" s="491" t="n"/>
      <c r="L269" s="491" t="n"/>
      <c r="M269" s="491" t="n"/>
      <c r="N269" s="491" t="n"/>
      <c r="O269" s="491" t="n"/>
      <c r="P269" s="491" t="n"/>
      <c r="Q269" s="491" t="n"/>
      <c r="R269" s="491" t="n"/>
      <c r="S269" s="491" t="n"/>
      <c r="T269" s="491" t="n"/>
      <c r="U269" s="491" t="n"/>
      <c r="V269" s="491" t="n"/>
      <c r="W269" s="491" t="n"/>
      <c r="X269" s="491" t="n"/>
      <c r="Y269" s="491" t="n"/>
      <c r="Z269" s="491" t="n"/>
    </row>
    <row r="270" ht="12.75" customHeight="1" s="398">
      <c r="A270" s="491" t="n"/>
      <c r="B270" s="491" t="n"/>
      <c r="C270" s="491" t="n"/>
      <c r="D270" s="491" t="n"/>
      <c r="E270" s="491" t="n"/>
      <c r="F270" s="491" t="n"/>
      <c r="G270" s="491" t="n"/>
      <c r="H270" s="491" t="n"/>
      <c r="I270" s="491" t="n"/>
      <c r="J270" s="491" t="n"/>
      <c r="K270" s="491" t="n"/>
      <c r="L270" s="491" t="n"/>
      <c r="M270" s="491" t="n"/>
      <c r="N270" s="491" t="n"/>
      <c r="O270" s="491" t="n"/>
      <c r="P270" s="491" t="n"/>
      <c r="Q270" s="491" t="n"/>
      <c r="R270" s="491" t="n"/>
      <c r="S270" s="491" t="n"/>
      <c r="T270" s="491" t="n"/>
      <c r="U270" s="491" t="n"/>
      <c r="V270" s="491" t="n"/>
      <c r="W270" s="491" t="n"/>
      <c r="X270" s="491" t="n"/>
      <c r="Y270" s="491" t="n"/>
      <c r="Z270" s="491" t="n"/>
    </row>
    <row r="271" ht="12.75" customHeight="1" s="398">
      <c r="A271" s="491" t="n"/>
      <c r="B271" s="491" t="n"/>
      <c r="C271" s="491" t="n"/>
      <c r="D271" s="491" t="n"/>
      <c r="E271" s="491" t="n"/>
      <c r="F271" s="491" t="n"/>
      <c r="G271" s="491" t="n"/>
      <c r="H271" s="491" t="n"/>
      <c r="I271" s="491" t="n"/>
      <c r="J271" s="491" t="n"/>
      <c r="K271" s="491" t="n"/>
      <c r="L271" s="491" t="n"/>
      <c r="M271" s="491" t="n"/>
      <c r="N271" s="491" t="n"/>
      <c r="O271" s="491" t="n"/>
      <c r="P271" s="491" t="n"/>
      <c r="Q271" s="491" t="n"/>
      <c r="R271" s="491" t="n"/>
      <c r="S271" s="491" t="n"/>
      <c r="T271" s="491" t="n"/>
      <c r="U271" s="491" t="n"/>
      <c r="V271" s="491" t="n"/>
      <c r="W271" s="491" t="n"/>
      <c r="X271" s="491" t="n"/>
      <c r="Y271" s="491" t="n"/>
      <c r="Z271" s="491" t="n"/>
    </row>
    <row r="272" ht="12.75" customHeight="1" s="398">
      <c r="A272" s="491" t="n"/>
      <c r="B272" s="491" t="n"/>
      <c r="C272" s="491" t="n"/>
      <c r="D272" s="491" t="n"/>
      <c r="E272" s="491" t="n"/>
      <c r="F272" s="491" t="n"/>
      <c r="G272" s="491" t="n"/>
      <c r="H272" s="491" t="n"/>
      <c r="I272" s="491" t="n"/>
      <c r="J272" s="491" t="n"/>
      <c r="K272" s="491" t="n"/>
      <c r="L272" s="491" t="n"/>
      <c r="M272" s="491" t="n"/>
      <c r="N272" s="491" t="n"/>
      <c r="O272" s="491" t="n"/>
      <c r="P272" s="491" t="n"/>
      <c r="Q272" s="491" t="n"/>
      <c r="R272" s="491" t="n"/>
      <c r="S272" s="491" t="n"/>
      <c r="T272" s="491" t="n"/>
      <c r="U272" s="491" t="n"/>
      <c r="V272" s="491" t="n"/>
      <c r="W272" s="491" t="n"/>
      <c r="X272" s="491" t="n"/>
      <c r="Y272" s="491" t="n"/>
      <c r="Z272" s="491" t="n"/>
    </row>
    <row r="273" ht="12.75" customHeight="1" s="398">
      <c r="A273" s="491" t="n"/>
      <c r="B273" s="491" t="n"/>
      <c r="C273" s="491" t="n"/>
      <c r="D273" s="491" t="n"/>
      <c r="E273" s="491" t="n"/>
      <c r="F273" s="491" t="n"/>
      <c r="G273" s="491" t="n"/>
      <c r="H273" s="491" t="n"/>
      <c r="I273" s="491" t="n"/>
      <c r="J273" s="491" t="n"/>
      <c r="K273" s="491" t="n"/>
      <c r="L273" s="491" t="n"/>
      <c r="M273" s="491" t="n"/>
      <c r="N273" s="491" t="n"/>
      <c r="O273" s="491" t="n"/>
      <c r="P273" s="491" t="n"/>
      <c r="Q273" s="491" t="n"/>
      <c r="R273" s="491" t="n"/>
      <c r="S273" s="491" t="n"/>
      <c r="T273" s="491" t="n"/>
      <c r="U273" s="491" t="n"/>
      <c r="V273" s="491" t="n"/>
      <c r="W273" s="491" t="n"/>
      <c r="X273" s="491" t="n"/>
      <c r="Y273" s="491" t="n"/>
      <c r="Z273" s="491" t="n"/>
    </row>
    <row r="274" ht="12.75" customHeight="1" s="398">
      <c r="A274" s="491" t="n"/>
      <c r="B274" s="491" t="n"/>
      <c r="C274" s="491" t="n"/>
      <c r="D274" s="491" t="n"/>
      <c r="E274" s="491" t="n"/>
      <c r="F274" s="491" t="n"/>
      <c r="G274" s="491" t="n"/>
      <c r="H274" s="491" t="n"/>
      <c r="I274" s="491" t="n"/>
      <c r="J274" s="491" t="n"/>
      <c r="K274" s="491" t="n"/>
      <c r="L274" s="491" t="n"/>
      <c r="M274" s="491" t="n"/>
      <c r="N274" s="491" t="n"/>
      <c r="O274" s="491" t="n"/>
      <c r="P274" s="491" t="n"/>
      <c r="Q274" s="491" t="n"/>
      <c r="R274" s="491" t="n"/>
      <c r="S274" s="491" t="n"/>
      <c r="T274" s="491" t="n"/>
      <c r="U274" s="491" t="n"/>
      <c r="V274" s="491" t="n"/>
      <c r="W274" s="491" t="n"/>
      <c r="X274" s="491" t="n"/>
      <c r="Y274" s="491" t="n"/>
      <c r="Z274" s="491" t="n"/>
    </row>
    <row r="275" ht="12.75" customHeight="1" s="398">
      <c r="A275" s="491" t="n"/>
      <c r="B275" s="491" t="n"/>
      <c r="C275" s="491" t="n"/>
      <c r="D275" s="491" t="n"/>
      <c r="E275" s="491" t="n"/>
      <c r="F275" s="491" t="n"/>
      <c r="G275" s="491" t="n"/>
      <c r="H275" s="491" t="n"/>
      <c r="I275" s="491" t="n"/>
      <c r="J275" s="491" t="n"/>
      <c r="K275" s="491" t="n"/>
      <c r="L275" s="491" t="n"/>
      <c r="M275" s="491" t="n"/>
      <c r="N275" s="491" t="n"/>
      <c r="O275" s="491" t="n"/>
      <c r="P275" s="491" t="n"/>
      <c r="Q275" s="491" t="n"/>
      <c r="R275" s="491" t="n"/>
      <c r="S275" s="491" t="n"/>
      <c r="T275" s="491" t="n"/>
      <c r="U275" s="491" t="n"/>
      <c r="V275" s="491" t="n"/>
      <c r="W275" s="491" t="n"/>
      <c r="X275" s="491" t="n"/>
      <c r="Y275" s="491" t="n"/>
      <c r="Z275" s="491" t="n"/>
    </row>
    <row r="276" ht="12.75" customHeight="1" s="398">
      <c r="A276" s="491" t="n"/>
      <c r="B276" s="491" t="n"/>
      <c r="C276" s="491" t="n"/>
      <c r="D276" s="491" t="n"/>
      <c r="E276" s="491" t="n"/>
      <c r="F276" s="491" t="n"/>
      <c r="G276" s="491" t="n"/>
      <c r="H276" s="491" t="n"/>
      <c r="I276" s="491" t="n"/>
      <c r="J276" s="491" t="n"/>
      <c r="K276" s="491" t="n"/>
      <c r="L276" s="491" t="n"/>
      <c r="M276" s="491" t="n"/>
      <c r="N276" s="491" t="n"/>
      <c r="O276" s="491" t="n"/>
      <c r="P276" s="491" t="n"/>
      <c r="Q276" s="491" t="n"/>
      <c r="R276" s="491" t="n"/>
      <c r="S276" s="491" t="n"/>
      <c r="T276" s="491" t="n"/>
      <c r="U276" s="491" t="n"/>
      <c r="V276" s="491" t="n"/>
      <c r="W276" s="491" t="n"/>
      <c r="X276" s="491" t="n"/>
      <c r="Y276" s="491" t="n"/>
      <c r="Z276" s="491" t="n"/>
    </row>
    <row r="277" ht="12.75" customHeight="1" s="398">
      <c r="A277" s="491" t="n"/>
      <c r="B277" s="491" t="n"/>
      <c r="C277" s="491" t="n"/>
      <c r="D277" s="491" t="n"/>
      <c r="E277" s="491" t="n"/>
      <c r="F277" s="491" t="n"/>
      <c r="G277" s="491" t="n"/>
      <c r="H277" s="491" t="n"/>
      <c r="I277" s="491" t="n"/>
      <c r="J277" s="491" t="n"/>
      <c r="K277" s="491" t="n"/>
      <c r="L277" s="491" t="n"/>
      <c r="M277" s="491" t="n"/>
      <c r="N277" s="491" t="n"/>
      <c r="O277" s="491" t="n"/>
      <c r="P277" s="491" t="n"/>
      <c r="Q277" s="491" t="n"/>
      <c r="R277" s="491" t="n"/>
      <c r="S277" s="491" t="n"/>
      <c r="T277" s="491" t="n"/>
      <c r="U277" s="491" t="n"/>
      <c r="V277" s="491" t="n"/>
      <c r="W277" s="491" t="n"/>
      <c r="X277" s="491" t="n"/>
      <c r="Y277" s="491" t="n"/>
      <c r="Z277" s="491" t="n"/>
    </row>
    <row r="278" ht="12.75" customHeight="1" s="398">
      <c r="A278" s="491" t="n"/>
      <c r="B278" s="491" t="n"/>
      <c r="C278" s="491" t="n"/>
      <c r="D278" s="491" t="n"/>
      <c r="E278" s="491" t="n"/>
      <c r="F278" s="491" t="n"/>
      <c r="G278" s="491" t="n"/>
      <c r="H278" s="491" t="n"/>
      <c r="I278" s="491" t="n"/>
      <c r="J278" s="491" t="n"/>
      <c r="K278" s="491" t="n"/>
      <c r="L278" s="491" t="n"/>
      <c r="M278" s="491" t="n"/>
      <c r="N278" s="491" t="n"/>
      <c r="O278" s="491" t="n"/>
      <c r="P278" s="491" t="n"/>
      <c r="Q278" s="491" t="n"/>
      <c r="R278" s="491" t="n"/>
      <c r="S278" s="491" t="n"/>
      <c r="T278" s="491" t="n"/>
      <c r="U278" s="491" t="n"/>
      <c r="V278" s="491" t="n"/>
      <c r="W278" s="491" t="n"/>
      <c r="X278" s="491" t="n"/>
      <c r="Y278" s="491" t="n"/>
      <c r="Z278" s="491" t="n"/>
    </row>
    <row r="279" ht="12.75" customHeight="1" s="398">
      <c r="A279" s="491" t="n"/>
      <c r="B279" s="491" t="n"/>
      <c r="C279" s="491" t="n"/>
      <c r="D279" s="491" t="n"/>
      <c r="E279" s="491" t="n"/>
      <c r="F279" s="491" t="n"/>
      <c r="G279" s="491" t="n"/>
      <c r="H279" s="491" t="n"/>
      <c r="I279" s="491" t="n"/>
      <c r="J279" s="491" t="n"/>
      <c r="K279" s="491" t="n"/>
      <c r="L279" s="491" t="n"/>
      <c r="M279" s="491" t="n"/>
      <c r="N279" s="491" t="n"/>
      <c r="O279" s="491" t="n"/>
      <c r="P279" s="491" t="n"/>
      <c r="Q279" s="491" t="n"/>
      <c r="R279" s="491" t="n"/>
      <c r="S279" s="491" t="n"/>
      <c r="T279" s="491" t="n"/>
      <c r="U279" s="491" t="n"/>
      <c r="V279" s="491" t="n"/>
      <c r="W279" s="491" t="n"/>
      <c r="X279" s="491" t="n"/>
      <c r="Y279" s="491" t="n"/>
      <c r="Z279" s="491" t="n"/>
    </row>
    <row r="280" ht="12.75" customHeight="1" s="398">
      <c r="A280" s="491" t="n"/>
      <c r="B280" s="491" t="n"/>
      <c r="C280" s="491" t="n"/>
      <c r="D280" s="491" t="n"/>
      <c r="E280" s="491" t="n"/>
      <c r="F280" s="491" t="n"/>
      <c r="G280" s="491" t="n"/>
      <c r="H280" s="491" t="n"/>
      <c r="I280" s="491" t="n"/>
      <c r="J280" s="491" t="n"/>
      <c r="K280" s="491" t="n"/>
      <c r="L280" s="491" t="n"/>
      <c r="M280" s="491" t="n"/>
      <c r="N280" s="491" t="n"/>
      <c r="O280" s="491" t="n"/>
      <c r="P280" s="491" t="n"/>
      <c r="Q280" s="491" t="n"/>
      <c r="R280" s="491" t="n"/>
      <c r="S280" s="491" t="n"/>
      <c r="T280" s="491" t="n"/>
      <c r="U280" s="491" t="n"/>
      <c r="V280" s="491" t="n"/>
      <c r="W280" s="491" t="n"/>
      <c r="X280" s="491" t="n"/>
      <c r="Y280" s="491" t="n"/>
      <c r="Z280" s="491" t="n"/>
    </row>
    <row r="281" ht="12.75" customHeight="1" s="398">
      <c r="A281" s="491" t="n"/>
      <c r="B281" s="491" t="n"/>
      <c r="C281" s="491" t="n"/>
      <c r="D281" s="491" t="n"/>
      <c r="E281" s="491" t="n"/>
      <c r="F281" s="491" t="n"/>
      <c r="G281" s="491" t="n"/>
      <c r="H281" s="491" t="n"/>
      <c r="I281" s="491" t="n"/>
      <c r="J281" s="491" t="n"/>
      <c r="K281" s="491" t="n"/>
      <c r="L281" s="491" t="n"/>
      <c r="M281" s="491" t="n"/>
      <c r="N281" s="491" t="n"/>
      <c r="O281" s="491" t="n"/>
      <c r="P281" s="491" t="n"/>
      <c r="Q281" s="491" t="n"/>
      <c r="R281" s="491" t="n"/>
      <c r="S281" s="491" t="n"/>
      <c r="T281" s="491" t="n"/>
      <c r="U281" s="491" t="n"/>
      <c r="V281" s="491" t="n"/>
      <c r="W281" s="491" t="n"/>
      <c r="X281" s="491" t="n"/>
      <c r="Y281" s="491" t="n"/>
      <c r="Z281" s="491" t="n"/>
    </row>
    <row r="282" ht="12.75" customHeight="1" s="398">
      <c r="A282" s="491" t="n"/>
      <c r="B282" s="491" t="n"/>
      <c r="C282" s="491" t="n"/>
      <c r="D282" s="491" t="n"/>
      <c r="E282" s="491" t="n"/>
      <c r="F282" s="491" t="n"/>
      <c r="G282" s="491" t="n"/>
      <c r="H282" s="491" t="n"/>
      <c r="I282" s="491" t="n"/>
      <c r="J282" s="491" t="n"/>
      <c r="K282" s="491" t="n"/>
      <c r="L282" s="491" t="n"/>
      <c r="M282" s="491" t="n"/>
      <c r="N282" s="491" t="n"/>
      <c r="O282" s="491" t="n"/>
      <c r="P282" s="491" t="n"/>
      <c r="Q282" s="491" t="n"/>
      <c r="R282" s="491" t="n"/>
      <c r="S282" s="491" t="n"/>
      <c r="T282" s="491" t="n"/>
      <c r="U282" s="491" t="n"/>
      <c r="V282" s="491" t="n"/>
      <c r="W282" s="491" t="n"/>
      <c r="X282" s="491" t="n"/>
      <c r="Y282" s="491" t="n"/>
      <c r="Z282" s="491" t="n"/>
    </row>
    <row r="283" ht="12.75" customHeight="1" s="398">
      <c r="A283" s="491" t="n"/>
      <c r="B283" s="491" t="n"/>
      <c r="C283" s="491" t="n"/>
      <c r="D283" s="491" t="n"/>
      <c r="E283" s="491" t="n"/>
      <c r="F283" s="491" t="n"/>
      <c r="G283" s="491" t="n"/>
      <c r="H283" s="491" t="n"/>
      <c r="I283" s="491" t="n"/>
      <c r="J283" s="491" t="n"/>
      <c r="K283" s="491" t="n"/>
      <c r="L283" s="491" t="n"/>
      <c r="M283" s="491" t="n"/>
      <c r="N283" s="491" t="n"/>
      <c r="O283" s="491" t="n"/>
      <c r="P283" s="491" t="n"/>
      <c r="Q283" s="491" t="n"/>
      <c r="R283" s="491" t="n"/>
      <c r="S283" s="491" t="n"/>
      <c r="T283" s="491" t="n"/>
      <c r="U283" s="491" t="n"/>
      <c r="V283" s="491" t="n"/>
      <c r="W283" s="491" t="n"/>
      <c r="X283" s="491" t="n"/>
      <c r="Y283" s="491" t="n"/>
      <c r="Z283" s="491" t="n"/>
    </row>
    <row r="284" ht="12.75" customHeight="1" s="398">
      <c r="A284" s="491" t="n"/>
      <c r="B284" s="491" t="n"/>
      <c r="C284" s="491" t="n"/>
      <c r="D284" s="491" t="n"/>
      <c r="E284" s="491" t="n"/>
      <c r="F284" s="491" t="n"/>
      <c r="G284" s="491" t="n"/>
      <c r="H284" s="491" t="n"/>
      <c r="I284" s="491" t="n"/>
      <c r="J284" s="491" t="n"/>
      <c r="K284" s="491" t="n"/>
      <c r="L284" s="491" t="n"/>
      <c r="M284" s="491" t="n"/>
      <c r="N284" s="491" t="n"/>
      <c r="O284" s="491" t="n"/>
      <c r="P284" s="491" t="n"/>
      <c r="Q284" s="491" t="n"/>
      <c r="R284" s="491" t="n"/>
      <c r="S284" s="491" t="n"/>
      <c r="T284" s="491" t="n"/>
      <c r="U284" s="491" t="n"/>
      <c r="V284" s="491" t="n"/>
      <c r="W284" s="491" t="n"/>
      <c r="X284" s="491" t="n"/>
      <c r="Y284" s="491" t="n"/>
      <c r="Z284" s="491" t="n"/>
    </row>
    <row r="285" ht="12.75" customHeight="1" s="398">
      <c r="A285" s="491" t="n"/>
      <c r="B285" s="491" t="n"/>
      <c r="C285" s="491" t="n"/>
      <c r="D285" s="491" t="n"/>
      <c r="E285" s="491" t="n"/>
      <c r="F285" s="491" t="n"/>
      <c r="G285" s="491" t="n"/>
      <c r="H285" s="491" t="n"/>
      <c r="I285" s="491" t="n"/>
      <c r="J285" s="491" t="n"/>
      <c r="K285" s="491" t="n"/>
      <c r="L285" s="491" t="n"/>
      <c r="M285" s="491" t="n"/>
      <c r="N285" s="491" t="n"/>
      <c r="O285" s="491" t="n"/>
      <c r="P285" s="491" t="n"/>
      <c r="Q285" s="491" t="n"/>
      <c r="R285" s="491" t="n"/>
      <c r="S285" s="491" t="n"/>
      <c r="T285" s="491" t="n"/>
      <c r="U285" s="491" t="n"/>
      <c r="V285" s="491" t="n"/>
      <c r="W285" s="491" t="n"/>
      <c r="X285" s="491" t="n"/>
      <c r="Y285" s="491" t="n"/>
      <c r="Z285" s="491" t="n"/>
    </row>
    <row r="286" ht="12.75" customHeight="1" s="398">
      <c r="A286" s="491" t="n"/>
      <c r="B286" s="491" t="n"/>
      <c r="C286" s="491" t="n"/>
      <c r="D286" s="491" t="n"/>
      <c r="E286" s="491" t="n"/>
      <c r="F286" s="491" t="n"/>
      <c r="G286" s="491" t="n"/>
      <c r="H286" s="491" t="n"/>
      <c r="I286" s="491" t="n"/>
      <c r="J286" s="491" t="n"/>
      <c r="K286" s="491" t="n"/>
      <c r="L286" s="491" t="n"/>
      <c r="M286" s="491" t="n"/>
      <c r="N286" s="491" t="n"/>
      <c r="O286" s="491" t="n"/>
      <c r="P286" s="491" t="n"/>
      <c r="Q286" s="491" t="n"/>
      <c r="R286" s="491" t="n"/>
      <c r="S286" s="491" t="n"/>
      <c r="T286" s="491" t="n"/>
      <c r="U286" s="491" t="n"/>
      <c r="V286" s="491" t="n"/>
      <c r="W286" s="491" t="n"/>
      <c r="X286" s="491" t="n"/>
      <c r="Y286" s="491" t="n"/>
      <c r="Z286" s="491" t="n"/>
    </row>
    <row r="287" ht="12.75" customHeight="1" s="398">
      <c r="A287" s="491" t="n"/>
      <c r="B287" s="491" t="n"/>
      <c r="C287" s="491" t="n"/>
      <c r="D287" s="491" t="n"/>
      <c r="E287" s="491" t="n"/>
      <c r="F287" s="491" t="n"/>
      <c r="G287" s="491" t="n"/>
      <c r="H287" s="491" t="n"/>
      <c r="I287" s="491" t="n"/>
      <c r="J287" s="491" t="n"/>
      <c r="K287" s="491" t="n"/>
      <c r="L287" s="491" t="n"/>
      <c r="M287" s="491" t="n"/>
      <c r="N287" s="491" t="n"/>
      <c r="O287" s="491" t="n"/>
      <c r="P287" s="491" t="n"/>
      <c r="Q287" s="491" t="n"/>
      <c r="R287" s="491" t="n"/>
      <c r="S287" s="491" t="n"/>
      <c r="T287" s="491" t="n"/>
      <c r="U287" s="491" t="n"/>
      <c r="V287" s="491" t="n"/>
      <c r="W287" s="491" t="n"/>
      <c r="X287" s="491" t="n"/>
      <c r="Y287" s="491" t="n"/>
      <c r="Z287" s="491" t="n"/>
    </row>
    <row r="288" ht="12.75" customHeight="1" s="398">
      <c r="A288" s="491" t="n"/>
      <c r="B288" s="491" t="n"/>
      <c r="C288" s="491" t="n"/>
      <c r="D288" s="491" t="n"/>
      <c r="E288" s="491" t="n"/>
      <c r="F288" s="491" t="n"/>
      <c r="G288" s="491" t="n"/>
      <c r="H288" s="491" t="n"/>
      <c r="I288" s="491" t="n"/>
      <c r="J288" s="491" t="n"/>
      <c r="K288" s="491" t="n"/>
      <c r="L288" s="491" t="n"/>
      <c r="M288" s="491" t="n"/>
      <c r="N288" s="491" t="n"/>
      <c r="O288" s="491" t="n"/>
      <c r="P288" s="491" t="n"/>
      <c r="Q288" s="491" t="n"/>
      <c r="R288" s="491" t="n"/>
      <c r="S288" s="491" t="n"/>
      <c r="T288" s="491" t="n"/>
      <c r="U288" s="491" t="n"/>
      <c r="V288" s="491" t="n"/>
      <c r="W288" s="491" t="n"/>
      <c r="X288" s="491" t="n"/>
      <c r="Y288" s="491" t="n"/>
      <c r="Z288" s="491" t="n"/>
    </row>
    <row r="289" ht="12.75" customHeight="1" s="398">
      <c r="A289" s="491" t="n"/>
      <c r="B289" s="491" t="n"/>
      <c r="C289" s="491" t="n"/>
      <c r="D289" s="491" t="n"/>
      <c r="E289" s="491" t="n"/>
      <c r="F289" s="491" t="n"/>
      <c r="G289" s="491" t="n"/>
      <c r="H289" s="491" t="n"/>
      <c r="I289" s="491" t="n"/>
      <c r="J289" s="491" t="n"/>
      <c r="K289" s="491" t="n"/>
      <c r="L289" s="491" t="n"/>
      <c r="M289" s="491" t="n"/>
      <c r="N289" s="491" t="n"/>
      <c r="O289" s="491" t="n"/>
      <c r="P289" s="491" t="n"/>
      <c r="Q289" s="491" t="n"/>
      <c r="R289" s="491" t="n"/>
      <c r="S289" s="491" t="n"/>
      <c r="T289" s="491" t="n"/>
      <c r="U289" s="491" t="n"/>
      <c r="V289" s="491" t="n"/>
      <c r="W289" s="491" t="n"/>
      <c r="X289" s="491" t="n"/>
      <c r="Y289" s="491" t="n"/>
      <c r="Z289" s="491" t="n"/>
    </row>
    <row r="290" ht="12.75" customHeight="1" s="398">
      <c r="A290" s="491" t="n"/>
      <c r="B290" s="491" t="n"/>
      <c r="C290" s="491" t="n"/>
      <c r="D290" s="491" t="n"/>
      <c r="E290" s="491" t="n"/>
      <c r="F290" s="491" t="n"/>
      <c r="G290" s="491" t="n"/>
      <c r="H290" s="491" t="n"/>
      <c r="I290" s="491" t="n"/>
      <c r="J290" s="491" t="n"/>
      <c r="K290" s="491" t="n"/>
      <c r="L290" s="491" t="n"/>
      <c r="M290" s="491" t="n"/>
      <c r="N290" s="491" t="n"/>
      <c r="O290" s="491" t="n"/>
      <c r="P290" s="491" t="n"/>
      <c r="Q290" s="491" t="n"/>
      <c r="R290" s="491" t="n"/>
      <c r="S290" s="491" t="n"/>
      <c r="T290" s="491" t="n"/>
      <c r="U290" s="491" t="n"/>
      <c r="V290" s="491" t="n"/>
      <c r="W290" s="491" t="n"/>
      <c r="X290" s="491" t="n"/>
      <c r="Y290" s="491" t="n"/>
      <c r="Z290" s="491" t="n"/>
    </row>
    <row r="291" ht="12.75" customHeight="1" s="398">
      <c r="A291" s="491" t="n"/>
      <c r="B291" s="491" t="n"/>
      <c r="C291" s="491" t="n"/>
      <c r="D291" s="491" t="n"/>
      <c r="E291" s="491" t="n"/>
      <c r="F291" s="491" t="n"/>
      <c r="G291" s="491" t="n"/>
      <c r="H291" s="491" t="n"/>
      <c r="I291" s="491" t="n"/>
      <c r="J291" s="491" t="n"/>
      <c r="K291" s="491" t="n"/>
      <c r="L291" s="491" t="n"/>
      <c r="M291" s="491" t="n"/>
      <c r="N291" s="491" t="n"/>
      <c r="O291" s="491" t="n"/>
      <c r="P291" s="491" t="n"/>
      <c r="Q291" s="491" t="n"/>
      <c r="R291" s="491" t="n"/>
      <c r="S291" s="491" t="n"/>
      <c r="T291" s="491" t="n"/>
      <c r="U291" s="491" t="n"/>
      <c r="V291" s="491" t="n"/>
      <c r="W291" s="491" t="n"/>
      <c r="X291" s="491" t="n"/>
      <c r="Y291" s="491" t="n"/>
      <c r="Z291" s="491" t="n"/>
    </row>
    <row r="292" ht="12.75" customHeight="1" s="398">
      <c r="A292" s="491" t="n"/>
      <c r="B292" s="491" t="n"/>
      <c r="C292" s="491" t="n"/>
      <c r="D292" s="491" t="n"/>
      <c r="E292" s="491" t="n"/>
      <c r="F292" s="491" t="n"/>
      <c r="G292" s="491" t="n"/>
      <c r="H292" s="491" t="n"/>
      <c r="I292" s="491" t="n"/>
      <c r="J292" s="491" t="n"/>
      <c r="K292" s="491" t="n"/>
      <c r="L292" s="491" t="n"/>
      <c r="M292" s="491" t="n"/>
      <c r="N292" s="491" t="n"/>
      <c r="O292" s="491" t="n"/>
      <c r="P292" s="491" t="n"/>
      <c r="Q292" s="491" t="n"/>
      <c r="R292" s="491" t="n"/>
      <c r="S292" s="491" t="n"/>
      <c r="T292" s="491" t="n"/>
      <c r="U292" s="491" t="n"/>
      <c r="V292" s="491" t="n"/>
      <c r="W292" s="491" t="n"/>
      <c r="X292" s="491" t="n"/>
      <c r="Y292" s="491" t="n"/>
      <c r="Z292" s="491" t="n"/>
    </row>
    <row r="293" ht="12.75" customHeight="1" s="398">
      <c r="A293" s="491" t="n"/>
      <c r="B293" s="491" t="n"/>
      <c r="C293" s="491" t="n"/>
      <c r="D293" s="491" t="n"/>
      <c r="E293" s="491" t="n"/>
      <c r="F293" s="491" t="n"/>
      <c r="G293" s="491" t="n"/>
      <c r="H293" s="491" t="n"/>
      <c r="I293" s="491" t="n"/>
      <c r="J293" s="491" t="n"/>
      <c r="K293" s="491" t="n"/>
      <c r="L293" s="491" t="n"/>
      <c r="M293" s="491" t="n"/>
      <c r="N293" s="491" t="n"/>
      <c r="O293" s="491" t="n"/>
      <c r="P293" s="491" t="n"/>
      <c r="Q293" s="491" t="n"/>
      <c r="R293" s="491" t="n"/>
      <c r="S293" s="491" t="n"/>
      <c r="T293" s="491" t="n"/>
      <c r="U293" s="491" t="n"/>
      <c r="V293" s="491" t="n"/>
      <c r="W293" s="491" t="n"/>
      <c r="X293" s="491" t="n"/>
      <c r="Y293" s="491" t="n"/>
      <c r="Z293" s="491" t="n"/>
    </row>
    <row r="294" ht="12.75" customHeight="1" s="398">
      <c r="A294" s="491" t="n"/>
      <c r="B294" s="491" t="n"/>
      <c r="C294" s="491" t="n"/>
      <c r="D294" s="491" t="n"/>
      <c r="E294" s="491" t="n"/>
      <c r="F294" s="491" t="n"/>
      <c r="G294" s="491" t="n"/>
      <c r="H294" s="491" t="n"/>
      <c r="I294" s="491" t="n"/>
      <c r="J294" s="491" t="n"/>
      <c r="K294" s="491" t="n"/>
      <c r="L294" s="491" t="n"/>
      <c r="M294" s="491" t="n"/>
      <c r="N294" s="491" t="n"/>
      <c r="O294" s="491" t="n"/>
      <c r="P294" s="491" t="n"/>
      <c r="Q294" s="491" t="n"/>
      <c r="R294" s="491" t="n"/>
      <c r="S294" s="491" t="n"/>
      <c r="T294" s="491" t="n"/>
      <c r="U294" s="491" t="n"/>
      <c r="V294" s="491" t="n"/>
      <c r="W294" s="491" t="n"/>
      <c r="X294" s="491" t="n"/>
      <c r="Y294" s="491" t="n"/>
      <c r="Z294" s="491" t="n"/>
    </row>
    <row r="295" ht="12.75" customHeight="1" s="398">
      <c r="A295" s="491" t="n"/>
      <c r="B295" s="491" t="n"/>
      <c r="C295" s="491" t="n"/>
      <c r="D295" s="491" t="n"/>
      <c r="E295" s="491" t="n"/>
      <c r="F295" s="491" t="n"/>
      <c r="G295" s="491" t="n"/>
      <c r="H295" s="491" t="n"/>
      <c r="I295" s="491" t="n"/>
      <c r="J295" s="491" t="n"/>
      <c r="K295" s="491" t="n"/>
      <c r="L295" s="491" t="n"/>
      <c r="M295" s="491" t="n"/>
      <c r="N295" s="491" t="n"/>
      <c r="O295" s="491" t="n"/>
      <c r="P295" s="491" t="n"/>
      <c r="Q295" s="491" t="n"/>
      <c r="R295" s="491" t="n"/>
      <c r="S295" s="491" t="n"/>
      <c r="T295" s="491" t="n"/>
      <c r="U295" s="491" t="n"/>
      <c r="V295" s="491" t="n"/>
      <c r="W295" s="491" t="n"/>
      <c r="X295" s="491" t="n"/>
      <c r="Y295" s="491" t="n"/>
      <c r="Z295" s="491" t="n"/>
    </row>
    <row r="296" ht="12.75" customHeight="1" s="398">
      <c r="A296" s="491" t="n"/>
      <c r="B296" s="491" t="n"/>
      <c r="C296" s="491" t="n"/>
      <c r="D296" s="491" t="n"/>
      <c r="E296" s="491" t="n"/>
      <c r="F296" s="491" t="n"/>
      <c r="G296" s="491" t="n"/>
      <c r="H296" s="491" t="n"/>
      <c r="I296" s="491" t="n"/>
      <c r="J296" s="491" t="n"/>
      <c r="K296" s="491" t="n"/>
      <c r="L296" s="491" t="n"/>
      <c r="M296" s="491" t="n"/>
      <c r="N296" s="491" t="n"/>
      <c r="O296" s="491" t="n"/>
      <c r="P296" s="491" t="n"/>
      <c r="Q296" s="491" t="n"/>
      <c r="R296" s="491" t="n"/>
      <c r="S296" s="491" t="n"/>
      <c r="T296" s="491" t="n"/>
      <c r="U296" s="491" t="n"/>
      <c r="V296" s="491" t="n"/>
      <c r="W296" s="491" t="n"/>
      <c r="X296" s="491" t="n"/>
      <c r="Y296" s="491" t="n"/>
      <c r="Z296" s="491" t="n"/>
    </row>
    <row r="297" ht="12.75" customHeight="1" s="398">
      <c r="A297" s="491" t="n"/>
      <c r="B297" s="491" t="n"/>
      <c r="C297" s="491" t="n"/>
      <c r="D297" s="491" t="n"/>
      <c r="E297" s="491" t="n"/>
      <c r="F297" s="491" t="n"/>
      <c r="G297" s="491" t="n"/>
      <c r="H297" s="491" t="n"/>
      <c r="I297" s="491" t="n"/>
      <c r="J297" s="491" t="n"/>
      <c r="K297" s="491" t="n"/>
      <c r="L297" s="491" t="n"/>
      <c r="M297" s="491" t="n"/>
      <c r="N297" s="491" t="n"/>
      <c r="O297" s="491" t="n"/>
      <c r="P297" s="491" t="n"/>
      <c r="Q297" s="491" t="n"/>
      <c r="R297" s="491" t="n"/>
      <c r="S297" s="491" t="n"/>
      <c r="T297" s="491" t="n"/>
      <c r="U297" s="491" t="n"/>
      <c r="V297" s="491" t="n"/>
      <c r="W297" s="491" t="n"/>
      <c r="X297" s="491" t="n"/>
      <c r="Y297" s="491" t="n"/>
      <c r="Z297" s="491" t="n"/>
    </row>
    <row r="298" ht="12.75" customHeight="1" s="398">
      <c r="A298" s="491" t="n"/>
      <c r="B298" s="491" t="n"/>
      <c r="C298" s="491" t="n"/>
      <c r="D298" s="491" t="n"/>
      <c r="E298" s="491" t="n"/>
      <c r="F298" s="491" t="n"/>
      <c r="G298" s="491" t="n"/>
      <c r="H298" s="491" t="n"/>
      <c r="I298" s="491" t="n"/>
      <c r="J298" s="491" t="n"/>
      <c r="K298" s="491" t="n"/>
      <c r="L298" s="491" t="n"/>
      <c r="M298" s="491" t="n"/>
      <c r="N298" s="491" t="n"/>
      <c r="O298" s="491" t="n"/>
      <c r="P298" s="491" t="n"/>
      <c r="Q298" s="491" t="n"/>
      <c r="R298" s="491" t="n"/>
      <c r="S298" s="491" t="n"/>
      <c r="T298" s="491" t="n"/>
      <c r="U298" s="491" t="n"/>
      <c r="V298" s="491" t="n"/>
      <c r="W298" s="491" t="n"/>
      <c r="X298" s="491" t="n"/>
      <c r="Y298" s="491" t="n"/>
      <c r="Z298" s="491" t="n"/>
    </row>
    <row r="299" ht="12.75" customHeight="1" s="398">
      <c r="A299" s="491" t="n"/>
      <c r="B299" s="491" t="n"/>
      <c r="C299" s="491" t="n"/>
      <c r="D299" s="491" t="n"/>
      <c r="E299" s="491" t="n"/>
      <c r="F299" s="491" t="n"/>
      <c r="G299" s="491" t="n"/>
      <c r="H299" s="491" t="n"/>
      <c r="I299" s="491" t="n"/>
      <c r="J299" s="491" t="n"/>
      <c r="K299" s="491" t="n"/>
      <c r="L299" s="491" t="n"/>
      <c r="M299" s="491" t="n"/>
      <c r="N299" s="491" t="n"/>
      <c r="O299" s="491" t="n"/>
      <c r="P299" s="491" t="n"/>
      <c r="Q299" s="491" t="n"/>
      <c r="R299" s="491" t="n"/>
      <c r="S299" s="491" t="n"/>
      <c r="T299" s="491" t="n"/>
      <c r="U299" s="491" t="n"/>
      <c r="V299" s="491" t="n"/>
      <c r="W299" s="491" t="n"/>
      <c r="X299" s="491" t="n"/>
      <c r="Y299" s="491" t="n"/>
      <c r="Z299" s="491" t="n"/>
    </row>
    <row r="300" ht="12.75" customHeight="1" s="398">
      <c r="A300" s="491" t="n"/>
      <c r="B300" s="491" t="n"/>
      <c r="C300" s="491" t="n"/>
      <c r="D300" s="491" t="n"/>
      <c r="E300" s="491" t="n"/>
      <c r="F300" s="491" t="n"/>
      <c r="G300" s="491" t="n"/>
      <c r="H300" s="491" t="n"/>
      <c r="I300" s="491" t="n"/>
      <c r="J300" s="491" t="n"/>
      <c r="K300" s="491" t="n"/>
      <c r="L300" s="491" t="n"/>
      <c r="M300" s="491" t="n"/>
      <c r="N300" s="491" t="n"/>
      <c r="O300" s="491" t="n"/>
      <c r="P300" s="491" t="n"/>
      <c r="Q300" s="491" t="n"/>
      <c r="R300" s="491" t="n"/>
      <c r="S300" s="491" t="n"/>
      <c r="T300" s="491" t="n"/>
      <c r="U300" s="491" t="n"/>
      <c r="V300" s="491" t="n"/>
      <c r="W300" s="491" t="n"/>
      <c r="X300" s="491" t="n"/>
      <c r="Y300" s="491" t="n"/>
      <c r="Z300" s="491" t="n"/>
    </row>
    <row r="301" ht="12.75" customHeight="1" s="398">
      <c r="A301" s="491" t="n"/>
      <c r="B301" s="491" t="n"/>
      <c r="C301" s="491" t="n"/>
      <c r="D301" s="491" t="n"/>
      <c r="E301" s="491" t="n"/>
      <c r="F301" s="491" t="n"/>
      <c r="G301" s="491" t="n"/>
      <c r="H301" s="491" t="n"/>
      <c r="I301" s="491" t="n"/>
      <c r="J301" s="491" t="n"/>
      <c r="K301" s="491" t="n"/>
      <c r="L301" s="491" t="n"/>
      <c r="M301" s="491" t="n"/>
      <c r="N301" s="491" t="n"/>
      <c r="O301" s="491" t="n"/>
      <c r="P301" s="491" t="n"/>
      <c r="Q301" s="491" t="n"/>
      <c r="R301" s="491" t="n"/>
      <c r="S301" s="491" t="n"/>
      <c r="T301" s="491" t="n"/>
      <c r="U301" s="491" t="n"/>
      <c r="V301" s="491" t="n"/>
      <c r="W301" s="491" t="n"/>
      <c r="X301" s="491" t="n"/>
      <c r="Y301" s="491" t="n"/>
      <c r="Z301" s="491" t="n"/>
    </row>
    <row r="302" ht="12.75" customHeight="1" s="398">
      <c r="A302" s="491" t="n"/>
      <c r="B302" s="491" t="n"/>
      <c r="C302" s="491" t="n"/>
      <c r="D302" s="491" t="n"/>
      <c r="E302" s="491" t="n"/>
      <c r="F302" s="491" t="n"/>
      <c r="G302" s="491" t="n"/>
      <c r="H302" s="491" t="n"/>
      <c r="I302" s="491" t="n"/>
      <c r="J302" s="491" t="n"/>
      <c r="K302" s="491" t="n"/>
      <c r="L302" s="491" t="n"/>
      <c r="M302" s="491" t="n"/>
      <c r="N302" s="491" t="n"/>
      <c r="O302" s="491" t="n"/>
      <c r="P302" s="491" t="n"/>
      <c r="Q302" s="491" t="n"/>
      <c r="R302" s="491" t="n"/>
      <c r="S302" s="491" t="n"/>
      <c r="T302" s="491" t="n"/>
      <c r="U302" s="491" t="n"/>
      <c r="V302" s="491" t="n"/>
      <c r="W302" s="491" t="n"/>
      <c r="X302" s="491" t="n"/>
      <c r="Y302" s="491" t="n"/>
      <c r="Z302" s="491" t="n"/>
    </row>
    <row r="303" ht="12.75" customHeight="1" s="398">
      <c r="A303" s="491" t="n"/>
      <c r="B303" s="491" t="n"/>
      <c r="C303" s="491" t="n"/>
      <c r="D303" s="491" t="n"/>
      <c r="E303" s="491" t="n"/>
      <c r="F303" s="491" t="n"/>
      <c r="G303" s="491" t="n"/>
      <c r="H303" s="491" t="n"/>
      <c r="I303" s="491" t="n"/>
      <c r="J303" s="491" t="n"/>
      <c r="K303" s="491" t="n"/>
      <c r="L303" s="491" t="n"/>
      <c r="M303" s="491" t="n"/>
      <c r="N303" s="491" t="n"/>
      <c r="O303" s="491" t="n"/>
      <c r="P303" s="491" t="n"/>
      <c r="Q303" s="491" t="n"/>
      <c r="R303" s="491" t="n"/>
      <c r="S303" s="491" t="n"/>
      <c r="T303" s="491" t="n"/>
      <c r="U303" s="491" t="n"/>
      <c r="V303" s="491" t="n"/>
      <c r="W303" s="491" t="n"/>
      <c r="X303" s="491" t="n"/>
      <c r="Y303" s="491" t="n"/>
      <c r="Z303" s="491" t="n"/>
    </row>
    <row r="304" ht="12.75" customHeight="1" s="398">
      <c r="A304" s="491" t="n"/>
      <c r="B304" s="491" t="n"/>
      <c r="C304" s="491" t="n"/>
      <c r="D304" s="491" t="n"/>
      <c r="E304" s="491" t="n"/>
      <c r="F304" s="491" t="n"/>
      <c r="G304" s="491" t="n"/>
      <c r="H304" s="491" t="n"/>
      <c r="I304" s="491" t="n"/>
      <c r="J304" s="491" t="n"/>
      <c r="K304" s="491" t="n"/>
      <c r="L304" s="491" t="n"/>
      <c r="M304" s="491" t="n"/>
      <c r="N304" s="491" t="n"/>
      <c r="O304" s="491" t="n"/>
      <c r="P304" s="491" t="n"/>
      <c r="Q304" s="491" t="n"/>
      <c r="R304" s="491" t="n"/>
      <c r="S304" s="491" t="n"/>
      <c r="T304" s="491" t="n"/>
      <c r="U304" s="491" t="n"/>
      <c r="V304" s="491" t="n"/>
      <c r="W304" s="491" t="n"/>
      <c r="X304" s="491" t="n"/>
      <c r="Y304" s="491" t="n"/>
      <c r="Z304" s="491" t="n"/>
    </row>
    <row r="305" ht="12.75" customHeight="1" s="398">
      <c r="A305" s="491" t="n"/>
      <c r="B305" s="491" t="n"/>
      <c r="C305" s="491" t="n"/>
      <c r="D305" s="491" t="n"/>
      <c r="E305" s="491" t="n"/>
      <c r="F305" s="491" t="n"/>
      <c r="G305" s="491" t="n"/>
      <c r="H305" s="491" t="n"/>
      <c r="I305" s="491" t="n"/>
      <c r="J305" s="491" t="n"/>
      <c r="K305" s="491" t="n"/>
      <c r="L305" s="491" t="n"/>
      <c r="M305" s="491" t="n"/>
      <c r="N305" s="491" t="n"/>
      <c r="O305" s="491" t="n"/>
      <c r="P305" s="491" t="n"/>
      <c r="Q305" s="491" t="n"/>
      <c r="R305" s="491" t="n"/>
      <c r="S305" s="491" t="n"/>
      <c r="T305" s="491" t="n"/>
      <c r="U305" s="491" t="n"/>
      <c r="V305" s="491" t="n"/>
      <c r="W305" s="491" t="n"/>
      <c r="X305" s="491" t="n"/>
      <c r="Y305" s="491" t="n"/>
      <c r="Z305" s="491" t="n"/>
    </row>
    <row r="306" ht="12.75" customHeight="1" s="398">
      <c r="A306" s="491" t="n"/>
      <c r="B306" s="491" t="n"/>
      <c r="C306" s="491" t="n"/>
      <c r="D306" s="491" t="n"/>
      <c r="E306" s="491" t="n"/>
      <c r="F306" s="491" t="n"/>
      <c r="G306" s="491" t="n"/>
      <c r="H306" s="491" t="n"/>
      <c r="I306" s="491" t="n"/>
      <c r="J306" s="491" t="n"/>
      <c r="K306" s="491" t="n"/>
      <c r="L306" s="491" t="n"/>
      <c r="M306" s="491" t="n"/>
      <c r="N306" s="491" t="n"/>
      <c r="O306" s="491" t="n"/>
      <c r="P306" s="491" t="n"/>
      <c r="Q306" s="491" t="n"/>
      <c r="R306" s="491" t="n"/>
      <c r="S306" s="491" t="n"/>
      <c r="T306" s="491" t="n"/>
      <c r="U306" s="491" t="n"/>
      <c r="V306" s="491" t="n"/>
      <c r="W306" s="491" t="n"/>
      <c r="X306" s="491" t="n"/>
      <c r="Y306" s="491" t="n"/>
      <c r="Z306" s="491" t="n"/>
    </row>
    <row r="307" ht="12.75" customHeight="1" s="398">
      <c r="A307" s="491" t="n"/>
      <c r="B307" s="491" t="n"/>
      <c r="C307" s="491" t="n"/>
      <c r="D307" s="491" t="n"/>
      <c r="E307" s="491" t="n"/>
      <c r="F307" s="491" t="n"/>
      <c r="G307" s="491" t="n"/>
      <c r="H307" s="491" t="n"/>
      <c r="I307" s="491" t="n"/>
      <c r="J307" s="491" t="n"/>
      <c r="K307" s="491" t="n"/>
      <c r="L307" s="491" t="n"/>
      <c r="M307" s="491" t="n"/>
      <c r="N307" s="491" t="n"/>
      <c r="O307" s="491" t="n"/>
      <c r="P307" s="491" t="n"/>
      <c r="Q307" s="491" t="n"/>
      <c r="R307" s="491" t="n"/>
      <c r="S307" s="491" t="n"/>
      <c r="T307" s="491" t="n"/>
      <c r="U307" s="491" t="n"/>
      <c r="V307" s="491" t="n"/>
      <c r="W307" s="491" t="n"/>
      <c r="X307" s="491" t="n"/>
      <c r="Y307" s="491" t="n"/>
      <c r="Z307" s="491" t="n"/>
    </row>
    <row r="308" ht="12.75" customHeight="1" s="398">
      <c r="A308" s="491" t="n"/>
      <c r="B308" s="491" t="n"/>
      <c r="C308" s="491" t="n"/>
      <c r="D308" s="491" t="n"/>
      <c r="E308" s="491" t="n"/>
      <c r="F308" s="491" t="n"/>
      <c r="G308" s="491" t="n"/>
      <c r="H308" s="491" t="n"/>
      <c r="I308" s="491" t="n"/>
      <c r="J308" s="491" t="n"/>
      <c r="K308" s="491" t="n"/>
      <c r="L308" s="491" t="n"/>
      <c r="M308" s="491" t="n"/>
      <c r="N308" s="491" t="n"/>
      <c r="O308" s="491" t="n"/>
      <c r="P308" s="491" t="n"/>
      <c r="Q308" s="491" t="n"/>
      <c r="R308" s="491" t="n"/>
      <c r="S308" s="491" t="n"/>
      <c r="T308" s="491" t="n"/>
      <c r="U308" s="491" t="n"/>
      <c r="V308" s="491" t="n"/>
      <c r="W308" s="491" t="n"/>
      <c r="X308" s="491" t="n"/>
      <c r="Y308" s="491" t="n"/>
      <c r="Z308" s="491" t="n"/>
    </row>
    <row r="309" ht="12.75" customHeight="1" s="398">
      <c r="A309" s="491" t="n"/>
      <c r="B309" s="491" t="n"/>
      <c r="C309" s="491" t="n"/>
      <c r="D309" s="491" t="n"/>
      <c r="E309" s="491" t="n"/>
      <c r="F309" s="491" t="n"/>
      <c r="G309" s="491" t="n"/>
      <c r="H309" s="491" t="n"/>
      <c r="I309" s="491" t="n"/>
      <c r="J309" s="491" t="n"/>
      <c r="K309" s="491" t="n"/>
      <c r="L309" s="491" t="n"/>
      <c r="M309" s="491" t="n"/>
      <c r="N309" s="491" t="n"/>
      <c r="O309" s="491" t="n"/>
      <c r="P309" s="491" t="n"/>
      <c r="Q309" s="491" t="n"/>
      <c r="R309" s="491" t="n"/>
      <c r="S309" s="491" t="n"/>
      <c r="T309" s="491" t="n"/>
      <c r="U309" s="491" t="n"/>
      <c r="V309" s="491" t="n"/>
      <c r="W309" s="491" t="n"/>
      <c r="X309" s="491" t="n"/>
      <c r="Y309" s="491" t="n"/>
      <c r="Z309" s="491" t="n"/>
    </row>
    <row r="310" ht="12.75" customHeight="1" s="398">
      <c r="A310" s="491" t="n"/>
      <c r="B310" s="491" t="n"/>
      <c r="C310" s="491" t="n"/>
      <c r="D310" s="491" t="n"/>
      <c r="E310" s="491" t="n"/>
      <c r="F310" s="491" t="n"/>
      <c r="G310" s="491" t="n"/>
      <c r="H310" s="491" t="n"/>
      <c r="I310" s="491" t="n"/>
      <c r="J310" s="491" t="n"/>
      <c r="K310" s="491" t="n"/>
      <c r="L310" s="491" t="n"/>
      <c r="M310" s="491" t="n"/>
      <c r="N310" s="491" t="n"/>
      <c r="O310" s="491" t="n"/>
      <c r="P310" s="491" t="n"/>
      <c r="Q310" s="491" t="n"/>
      <c r="R310" s="491" t="n"/>
      <c r="S310" s="491" t="n"/>
      <c r="T310" s="491" t="n"/>
      <c r="U310" s="491" t="n"/>
      <c r="V310" s="491" t="n"/>
      <c r="W310" s="491" t="n"/>
      <c r="X310" s="491" t="n"/>
      <c r="Y310" s="491" t="n"/>
      <c r="Z310" s="491" t="n"/>
    </row>
    <row r="311" ht="12.75" customHeight="1" s="398">
      <c r="A311" s="491" t="n"/>
      <c r="B311" s="491" t="n"/>
      <c r="C311" s="491" t="n"/>
      <c r="D311" s="491" t="n"/>
      <c r="E311" s="491" t="n"/>
      <c r="F311" s="491" t="n"/>
      <c r="G311" s="491" t="n"/>
      <c r="H311" s="491" t="n"/>
      <c r="I311" s="491" t="n"/>
      <c r="J311" s="491" t="n"/>
      <c r="K311" s="491" t="n"/>
      <c r="L311" s="491" t="n"/>
      <c r="M311" s="491" t="n"/>
      <c r="N311" s="491" t="n"/>
      <c r="O311" s="491" t="n"/>
      <c r="P311" s="491" t="n"/>
      <c r="Q311" s="491" t="n"/>
      <c r="R311" s="491" t="n"/>
      <c r="S311" s="491" t="n"/>
      <c r="T311" s="491" t="n"/>
      <c r="U311" s="491" t="n"/>
      <c r="V311" s="491" t="n"/>
      <c r="W311" s="491" t="n"/>
      <c r="X311" s="491" t="n"/>
      <c r="Y311" s="491" t="n"/>
      <c r="Z311" s="491" t="n"/>
    </row>
    <row r="312" ht="12.75" customHeight="1" s="398">
      <c r="A312" s="491" t="n"/>
      <c r="B312" s="491" t="n"/>
      <c r="C312" s="491" t="n"/>
      <c r="D312" s="491" t="n"/>
      <c r="E312" s="491" t="n"/>
      <c r="F312" s="491" t="n"/>
      <c r="G312" s="491" t="n"/>
      <c r="H312" s="491" t="n"/>
      <c r="I312" s="491" t="n"/>
      <c r="J312" s="491" t="n"/>
      <c r="K312" s="491" t="n"/>
      <c r="L312" s="491" t="n"/>
      <c r="M312" s="491" t="n"/>
      <c r="N312" s="491" t="n"/>
      <c r="O312" s="491" t="n"/>
      <c r="P312" s="491" t="n"/>
      <c r="Q312" s="491" t="n"/>
      <c r="R312" s="491" t="n"/>
      <c r="S312" s="491" t="n"/>
      <c r="T312" s="491" t="n"/>
      <c r="U312" s="491" t="n"/>
      <c r="V312" s="491" t="n"/>
      <c r="W312" s="491" t="n"/>
      <c r="X312" s="491" t="n"/>
      <c r="Y312" s="491" t="n"/>
      <c r="Z312" s="491" t="n"/>
    </row>
    <row r="313" ht="12.75" customHeight="1" s="398">
      <c r="A313" s="491" t="n"/>
      <c r="B313" s="491" t="n"/>
      <c r="C313" s="491" t="n"/>
      <c r="D313" s="491" t="n"/>
      <c r="E313" s="491" t="n"/>
      <c r="F313" s="491" t="n"/>
      <c r="G313" s="491" t="n"/>
      <c r="H313" s="491" t="n"/>
      <c r="I313" s="491" t="n"/>
      <c r="J313" s="491" t="n"/>
      <c r="K313" s="491" t="n"/>
      <c r="L313" s="491" t="n"/>
      <c r="M313" s="491" t="n"/>
      <c r="N313" s="491" t="n"/>
      <c r="O313" s="491" t="n"/>
      <c r="P313" s="491" t="n"/>
      <c r="Q313" s="491" t="n"/>
      <c r="R313" s="491" t="n"/>
      <c r="S313" s="491" t="n"/>
      <c r="T313" s="491" t="n"/>
      <c r="U313" s="491" t="n"/>
      <c r="V313" s="491" t="n"/>
      <c r="W313" s="491" t="n"/>
      <c r="X313" s="491" t="n"/>
      <c r="Y313" s="491" t="n"/>
      <c r="Z313" s="491" t="n"/>
    </row>
    <row r="314" ht="12.75" customHeight="1" s="398">
      <c r="A314" s="491" t="n"/>
      <c r="B314" s="491" t="n"/>
      <c r="C314" s="491" t="n"/>
      <c r="D314" s="491" t="n"/>
      <c r="E314" s="491" t="n"/>
      <c r="F314" s="491" t="n"/>
      <c r="G314" s="491" t="n"/>
      <c r="H314" s="491" t="n"/>
      <c r="I314" s="491" t="n"/>
      <c r="J314" s="491" t="n"/>
      <c r="K314" s="491" t="n"/>
      <c r="L314" s="491" t="n"/>
      <c r="M314" s="491" t="n"/>
      <c r="N314" s="491" t="n"/>
      <c r="O314" s="491" t="n"/>
      <c r="P314" s="491" t="n"/>
      <c r="Q314" s="491" t="n"/>
      <c r="R314" s="491" t="n"/>
      <c r="S314" s="491" t="n"/>
      <c r="T314" s="491" t="n"/>
      <c r="U314" s="491" t="n"/>
      <c r="V314" s="491" t="n"/>
      <c r="W314" s="491" t="n"/>
      <c r="X314" s="491" t="n"/>
      <c r="Y314" s="491" t="n"/>
      <c r="Z314" s="491" t="n"/>
    </row>
    <row r="315" ht="12.75" customHeight="1" s="398">
      <c r="A315" s="491" t="n"/>
      <c r="B315" s="491" t="n"/>
      <c r="C315" s="491" t="n"/>
      <c r="D315" s="491" t="n"/>
      <c r="E315" s="491" t="n"/>
      <c r="F315" s="491" t="n"/>
      <c r="G315" s="491" t="n"/>
      <c r="H315" s="491" t="n"/>
      <c r="I315" s="491" t="n"/>
      <c r="J315" s="491" t="n"/>
      <c r="K315" s="491" t="n"/>
      <c r="L315" s="491" t="n"/>
      <c r="M315" s="491" t="n"/>
      <c r="N315" s="491" t="n"/>
      <c r="O315" s="491" t="n"/>
      <c r="P315" s="491" t="n"/>
      <c r="Q315" s="491" t="n"/>
      <c r="R315" s="491" t="n"/>
      <c r="S315" s="491" t="n"/>
      <c r="T315" s="491" t="n"/>
      <c r="U315" s="491" t="n"/>
      <c r="V315" s="491" t="n"/>
      <c r="W315" s="491" t="n"/>
      <c r="X315" s="491" t="n"/>
      <c r="Y315" s="491" t="n"/>
      <c r="Z315" s="491" t="n"/>
    </row>
    <row r="316" ht="12.75" customHeight="1" s="398">
      <c r="A316" s="491" t="n"/>
      <c r="B316" s="491" t="n"/>
      <c r="C316" s="491" t="n"/>
      <c r="D316" s="491" t="n"/>
      <c r="E316" s="491" t="n"/>
      <c r="F316" s="491" t="n"/>
      <c r="G316" s="491" t="n"/>
      <c r="H316" s="491" t="n"/>
      <c r="I316" s="491" t="n"/>
      <c r="J316" s="491" t="n"/>
      <c r="K316" s="491" t="n"/>
      <c r="L316" s="491" t="n"/>
      <c r="M316" s="491" t="n"/>
      <c r="N316" s="491" t="n"/>
      <c r="O316" s="491" t="n"/>
      <c r="P316" s="491" t="n"/>
      <c r="Q316" s="491" t="n"/>
      <c r="R316" s="491" t="n"/>
      <c r="S316" s="491" t="n"/>
      <c r="T316" s="491" t="n"/>
      <c r="U316" s="491" t="n"/>
      <c r="V316" s="491" t="n"/>
      <c r="W316" s="491" t="n"/>
      <c r="X316" s="491" t="n"/>
      <c r="Y316" s="491" t="n"/>
      <c r="Z316" s="491" t="n"/>
    </row>
    <row r="317" ht="12.75" customHeight="1" s="398">
      <c r="A317" s="491" t="n"/>
      <c r="B317" s="491" t="n"/>
      <c r="C317" s="491" t="n"/>
      <c r="D317" s="491" t="n"/>
      <c r="E317" s="491" t="n"/>
      <c r="F317" s="491" t="n"/>
      <c r="G317" s="491" t="n"/>
      <c r="H317" s="491" t="n"/>
      <c r="I317" s="491" t="n"/>
      <c r="J317" s="491" t="n"/>
      <c r="K317" s="491" t="n"/>
      <c r="L317" s="491" t="n"/>
      <c r="M317" s="491" t="n"/>
      <c r="N317" s="491" t="n"/>
      <c r="O317" s="491" t="n"/>
      <c r="P317" s="491" t="n"/>
      <c r="Q317" s="491" t="n"/>
      <c r="R317" s="491" t="n"/>
      <c r="S317" s="491" t="n"/>
      <c r="T317" s="491" t="n"/>
      <c r="U317" s="491" t="n"/>
      <c r="V317" s="491" t="n"/>
      <c r="W317" s="491" t="n"/>
      <c r="X317" s="491" t="n"/>
      <c r="Y317" s="491" t="n"/>
      <c r="Z317" s="491" t="n"/>
    </row>
    <row r="318" ht="12.75" customHeight="1" s="398">
      <c r="A318" s="491" t="n"/>
      <c r="B318" s="491" t="n"/>
      <c r="C318" s="491" t="n"/>
      <c r="D318" s="491" t="n"/>
      <c r="E318" s="491" t="n"/>
      <c r="F318" s="491" t="n"/>
      <c r="G318" s="491" t="n"/>
      <c r="H318" s="491" t="n"/>
      <c r="I318" s="491" t="n"/>
      <c r="J318" s="491" t="n"/>
      <c r="K318" s="491" t="n"/>
      <c r="L318" s="491" t="n"/>
      <c r="M318" s="491" t="n"/>
      <c r="N318" s="491" t="n"/>
      <c r="O318" s="491" t="n"/>
      <c r="P318" s="491" t="n"/>
      <c r="Q318" s="491" t="n"/>
      <c r="R318" s="491" t="n"/>
      <c r="S318" s="491" t="n"/>
      <c r="T318" s="491" t="n"/>
      <c r="U318" s="491" t="n"/>
      <c r="V318" s="491" t="n"/>
      <c r="W318" s="491" t="n"/>
      <c r="X318" s="491" t="n"/>
      <c r="Y318" s="491" t="n"/>
      <c r="Z318" s="491" t="n"/>
    </row>
    <row r="319" ht="12.75" customHeight="1" s="398">
      <c r="A319" s="491" t="n"/>
      <c r="B319" s="491" t="n"/>
      <c r="C319" s="491" t="n"/>
      <c r="D319" s="491" t="n"/>
      <c r="E319" s="491" t="n"/>
      <c r="F319" s="491" t="n"/>
      <c r="G319" s="491" t="n"/>
      <c r="H319" s="491" t="n"/>
      <c r="I319" s="491" t="n"/>
      <c r="J319" s="491" t="n"/>
      <c r="K319" s="491" t="n"/>
      <c r="L319" s="491" t="n"/>
      <c r="M319" s="491" t="n"/>
      <c r="N319" s="491" t="n"/>
      <c r="O319" s="491" t="n"/>
      <c r="P319" s="491" t="n"/>
      <c r="Q319" s="491" t="n"/>
      <c r="R319" s="491" t="n"/>
      <c r="S319" s="491" t="n"/>
      <c r="T319" s="491" t="n"/>
      <c r="U319" s="491" t="n"/>
      <c r="V319" s="491" t="n"/>
      <c r="W319" s="491" t="n"/>
      <c r="X319" s="491" t="n"/>
      <c r="Y319" s="491" t="n"/>
      <c r="Z319" s="491" t="n"/>
    </row>
    <row r="320" ht="12.75" customHeight="1" s="398">
      <c r="A320" s="491" t="n"/>
      <c r="B320" s="491" t="n"/>
      <c r="C320" s="491" t="n"/>
      <c r="D320" s="491" t="n"/>
      <c r="E320" s="491" t="n"/>
      <c r="F320" s="491" t="n"/>
      <c r="G320" s="491" t="n"/>
      <c r="H320" s="491" t="n"/>
      <c r="I320" s="491" t="n"/>
      <c r="J320" s="491" t="n"/>
      <c r="K320" s="491" t="n"/>
      <c r="L320" s="491" t="n"/>
      <c r="M320" s="491" t="n"/>
      <c r="N320" s="491" t="n"/>
      <c r="O320" s="491" t="n"/>
      <c r="P320" s="491" t="n"/>
      <c r="Q320" s="491" t="n"/>
      <c r="R320" s="491" t="n"/>
      <c r="S320" s="491" t="n"/>
      <c r="T320" s="491" t="n"/>
      <c r="U320" s="491" t="n"/>
      <c r="V320" s="491" t="n"/>
      <c r="W320" s="491" t="n"/>
      <c r="X320" s="491" t="n"/>
      <c r="Y320" s="491" t="n"/>
      <c r="Z320" s="491" t="n"/>
    </row>
    <row r="321" ht="12.75" customHeight="1" s="398">
      <c r="A321" s="491" t="n"/>
      <c r="B321" s="491" t="n"/>
      <c r="C321" s="491" t="n"/>
      <c r="D321" s="491" t="n"/>
      <c r="E321" s="491" t="n"/>
      <c r="F321" s="491" t="n"/>
      <c r="G321" s="491" t="n"/>
      <c r="H321" s="491" t="n"/>
      <c r="I321" s="491" t="n"/>
      <c r="J321" s="491" t="n"/>
      <c r="K321" s="491" t="n"/>
      <c r="L321" s="491" t="n"/>
      <c r="M321" s="491" t="n"/>
      <c r="N321" s="491" t="n"/>
      <c r="O321" s="491" t="n"/>
      <c r="P321" s="491" t="n"/>
      <c r="Q321" s="491" t="n"/>
      <c r="R321" s="491" t="n"/>
      <c r="S321" s="491" t="n"/>
      <c r="T321" s="491" t="n"/>
      <c r="U321" s="491" t="n"/>
      <c r="V321" s="491" t="n"/>
      <c r="W321" s="491" t="n"/>
      <c r="X321" s="491" t="n"/>
      <c r="Y321" s="491" t="n"/>
      <c r="Z321" s="491" t="n"/>
    </row>
    <row r="322" ht="12.75" customHeight="1" s="398">
      <c r="A322" s="491" t="n"/>
      <c r="B322" s="491" t="n"/>
      <c r="C322" s="491" t="n"/>
      <c r="D322" s="491" t="n"/>
      <c r="E322" s="491" t="n"/>
      <c r="F322" s="491" t="n"/>
      <c r="G322" s="491" t="n"/>
      <c r="H322" s="491" t="n"/>
      <c r="I322" s="491" t="n"/>
      <c r="J322" s="491" t="n"/>
      <c r="K322" s="491" t="n"/>
      <c r="L322" s="491" t="n"/>
      <c r="M322" s="491" t="n"/>
      <c r="N322" s="491" t="n"/>
      <c r="O322" s="491" t="n"/>
      <c r="P322" s="491" t="n"/>
      <c r="Q322" s="491" t="n"/>
      <c r="R322" s="491" t="n"/>
      <c r="S322" s="491" t="n"/>
      <c r="T322" s="491" t="n"/>
      <c r="U322" s="491" t="n"/>
      <c r="V322" s="491" t="n"/>
      <c r="W322" s="491" t="n"/>
      <c r="X322" s="491" t="n"/>
      <c r="Y322" s="491" t="n"/>
      <c r="Z322" s="491" t="n"/>
    </row>
    <row r="323" ht="12.75" customHeight="1" s="398">
      <c r="A323" s="491" t="n"/>
      <c r="B323" s="491" t="n"/>
      <c r="C323" s="491" t="n"/>
      <c r="D323" s="491" t="n"/>
      <c r="E323" s="491" t="n"/>
      <c r="F323" s="491" t="n"/>
      <c r="G323" s="491" t="n"/>
      <c r="H323" s="491" t="n"/>
      <c r="I323" s="491" t="n"/>
      <c r="J323" s="491" t="n"/>
      <c r="K323" s="491" t="n"/>
      <c r="L323" s="491" t="n"/>
      <c r="M323" s="491" t="n"/>
      <c r="N323" s="491" t="n"/>
      <c r="O323" s="491" t="n"/>
      <c r="P323" s="491" t="n"/>
      <c r="Q323" s="491" t="n"/>
      <c r="R323" s="491" t="n"/>
      <c r="S323" s="491" t="n"/>
      <c r="T323" s="491" t="n"/>
      <c r="U323" s="491" t="n"/>
      <c r="V323" s="491" t="n"/>
      <c r="W323" s="491" t="n"/>
      <c r="X323" s="491" t="n"/>
      <c r="Y323" s="491" t="n"/>
      <c r="Z323" s="491" t="n"/>
    </row>
    <row r="324" ht="12.75" customHeight="1" s="398">
      <c r="A324" s="491" t="n"/>
      <c r="B324" s="491" t="n"/>
      <c r="C324" s="491" t="n"/>
      <c r="D324" s="491" t="n"/>
      <c r="E324" s="491" t="n"/>
      <c r="F324" s="491" t="n"/>
      <c r="G324" s="491" t="n"/>
      <c r="H324" s="491" t="n"/>
      <c r="I324" s="491" t="n"/>
      <c r="J324" s="491" t="n"/>
      <c r="K324" s="491" t="n"/>
      <c r="L324" s="491" t="n"/>
      <c r="M324" s="491" t="n"/>
      <c r="N324" s="491" t="n"/>
      <c r="O324" s="491" t="n"/>
      <c r="P324" s="491" t="n"/>
      <c r="Q324" s="491" t="n"/>
      <c r="R324" s="491" t="n"/>
      <c r="S324" s="491" t="n"/>
      <c r="T324" s="491" t="n"/>
      <c r="U324" s="491" t="n"/>
      <c r="V324" s="491" t="n"/>
      <c r="W324" s="491" t="n"/>
      <c r="X324" s="491" t="n"/>
      <c r="Y324" s="491" t="n"/>
      <c r="Z324" s="491" t="n"/>
    </row>
    <row r="325" ht="12.75" customHeight="1" s="398">
      <c r="A325" s="491" t="n"/>
      <c r="B325" s="491" t="n"/>
      <c r="C325" s="491" t="n"/>
      <c r="D325" s="491" t="n"/>
      <c r="E325" s="491" t="n"/>
      <c r="F325" s="491" t="n"/>
      <c r="G325" s="491" t="n"/>
      <c r="H325" s="491" t="n"/>
      <c r="I325" s="491" t="n"/>
      <c r="J325" s="491" t="n"/>
      <c r="K325" s="491" t="n"/>
      <c r="L325" s="491" t="n"/>
      <c r="M325" s="491" t="n"/>
      <c r="N325" s="491" t="n"/>
      <c r="O325" s="491" t="n"/>
      <c r="P325" s="491" t="n"/>
      <c r="Q325" s="491" t="n"/>
      <c r="R325" s="491" t="n"/>
      <c r="S325" s="491" t="n"/>
      <c r="T325" s="491" t="n"/>
      <c r="U325" s="491" t="n"/>
      <c r="V325" s="491" t="n"/>
      <c r="W325" s="491" t="n"/>
      <c r="X325" s="491" t="n"/>
      <c r="Y325" s="491" t="n"/>
      <c r="Z325" s="491" t="n"/>
    </row>
    <row r="326" ht="12.75" customHeight="1" s="398">
      <c r="A326" s="491" t="n"/>
      <c r="B326" s="491" t="n"/>
      <c r="C326" s="491" t="n"/>
      <c r="D326" s="491" t="n"/>
      <c r="E326" s="491" t="n"/>
      <c r="F326" s="491" t="n"/>
      <c r="G326" s="491" t="n"/>
      <c r="H326" s="491" t="n"/>
      <c r="I326" s="491" t="n"/>
      <c r="J326" s="491" t="n"/>
      <c r="K326" s="491" t="n"/>
      <c r="L326" s="491" t="n"/>
      <c r="M326" s="491" t="n"/>
      <c r="N326" s="491" t="n"/>
      <c r="O326" s="491" t="n"/>
      <c r="P326" s="491" t="n"/>
      <c r="Q326" s="491" t="n"/>
      <c r="R326" s="491" t="n"/>
      <c r="S326" s="491" t="n"/>
      <c r="T326" s="491" t="n"/>
      <c r="U326" s="491" t="n"/>
      <c r="V326" s="491" t="n"/>
      <c r="W326" s="491" t="n"/>
      <c r="X326" s="491" t="n"/>
      <c r="Y326" s="491" t="n"/>
      <c r="Z326" s="491" t="n"/>
    </row>
    <row r="327" ht="12.75" customHeight="1" s="398">
      <c r="A327" s="491" t="n"/>
      <c r="B327" s="491" t="n"/>
      <c r="C327" s="491" t="n"/>
      <c r="D327" s="491" t="n"/>
      <c r="E327" s="491" t="n"/>
      <c r="F327" s="491" t="n"/>
      <c r="G327" s="491" t="n"/>
      <c r="H327" s="491" t="n"/>
      <c r="I327" s="491" t="n"/>
      <c r="J327" s="491" t="n"/>
      <c r="K327" s="491" t="n"/>
      <c r="L327" s="491" t="n"/>
      <c r="M327" s="491" t="n"/>
      <c r="N327" s="491" t="n"/>
      <c r="O327" s="491" t="n"/>
      <c r="P327" s="491" t="n"/>
      <c r="Q327" s="491" t="n"/>
      <c r="R327" s="491" t="n"/>
      <c r="S327" s="491" t="n"/>
      <c r="T327" s="491" t="n"/>
      <c r="U327" s="491" t="n"/>
      <c r="V327" s="491" t="n"/>
      <c r="W327" s="491" t="n"/>
      <c r="X327" s="491" t="n"/>
      <c r="Y327" s="491" t="n"/>
      <c r="Z327" s="491" t="n"/>
    </row>
    <row r="328" ht="12.75" customHeight="1" s="398">
      <c r="A328" s="491" t="n"/>
      <c r="B328" s="491" t="n"/>
      <c r="C328" s="491" t="n"/>
      <c r="D328" s="491" t="n"/>
      <c r="E328" s="491" t="n"/>
      <c r="F328" s="491" t="n"/>
      <c r="G328" s="491" t="n"/>
      <c r="H328" s="491" t="n"/>
      <c r="I328" s="491" t="n"/>
      <c r="J328" s="491" t="n"/>
      <c r="K328" s="491" t="n"/>
      <c r="L328" s="491" t="n"/>
      <c r="M328" s="491" t="n"/>
      <c r="N328" s="491" t="n"/>
      <c r="O328" s="491" t="n"/>
      <c r="P328" s="491" t="n"/>
      <c r="Q328" s="491" t="n"/>
      <c r="R328" s="491" t="n"/>
      <c r="S328" s="491" t="n"/>
      <c r="T328" s="491" t="n"/>
      <c r="U328" s="491" t="n"/>
      <c r="V328" s="491" t="n"/>
      <c r="W328" s="491" t="n"/>
      <c r="X328" s="491" t="n"/>
      <c r="Y328" s="491" t="n"/>
      <c r="Z328" s="491" t="n"/>
    </row>
    <row r="329" ht="12.75" customHeight="1" s="398">
      <c r="A329" s="491" t="n"/>
      <c r="B329" s="491" t="n"/>
      <c r="C329" s="491" t="n"/>
      <c r="D329" s="491" t="n"/>
      <c r="E329" s="491" t="n"/>
      <c r="F329" s="491" t="n"/>
      <c r="G329" s="491" t="n"/>
      <c r="H329" s="491" t="n"/>
      <c r="I329" s="491" t="n"/>
      <c r="J329" s="491" t="n"/>
      <c r="K329" s="491" t="n"/>
      <c r="L329" s="491" t="n"/>
      <c r="M329" s="491" t="n"/>
      <c r="N329" s="491" t="n"/>
      <c r="O329" s="491" t="n"/>
      <c r="P329" s="491" t="n"/>
      <c r="Q329" s="491" t="n"/>
      <c r="R329" s="491" t="n"/>
      <c r="S329" s="491" t="n"/>
      <c r="T329" s="491" t="n"/>
      <c r="U329" s="491" t="n"/>
      <c r="V329" s="491" t="n"/>
      <c r="W329" s="491" t="n"/>
      <c r="X329" s="491" t="n"/>
      <c r="Y329" s="491" t="n"/>
      <c r="Z329" s="491" t="n"/>
    </row>
    <row r="330" ht="12.75" customHeight="1" s="398">
      <c r="A330" s="491" t="n"/>
      <c r="B330" s="491" t="n"/>
      <c r="C330" s="491" t="n"/>
      <c r="D330" s="491" t="n"/>
      <c r="E330" s="491" t="n"/>
      <c r="F330" s="491" t="n"/>
      <c r="G330" s="491" t="n"/>
      <c r="H330" s="491" t="n"/>
      <c r="I330" s="491" t="n"/>
      <c r="J330" s="491" t="n"/>
      <c r="K330" s="491" t="n"/>
      <c r="L330" s="491" t="n"/>
      <c r="M330" s="491" t="n"/>
      <c r="N330" s="491" t="n"/>
      <c r="O330" s="491" t="n"/>
      <c r="P330" s="491" t="n"/>
      <c r="Q330" s="491" t="n"/>
      <c r="R330" s="491" t="n"/>
      <c r="S330" s="491" t="n"/>
      <c r="T330" s="491" t="n"/>
      <c r="U330" s="491" t="n"/>
      <c r="V330" s="491" t="n"/>
      <c r="W330" s="491" t="n"/>
      <c r="X330" s="491" t="n"/>
      <c r="Y330" s="491" t="n"/>
      <c r="Z330" s="491" t="n"/>
    </row>
    <row r="331" ht="12.75" customHeight="1" s="398">
      <c r="A331" s="491" t="n"/>
      <c r="B331" s="491" t="n"/>
      <c r="C331" s="491" t="n"/>
      <c r="D331" s="491" t="n"/>
      <c r="E331" s="491" t="n"/>
      <c r="F331" s="491" t="n"/>
      <c r="G331" s="491" t="n"/>
      <c r="H331" s="491" t="n"/>
      <c r="I331" s="491" t="n"/>
      <c r="J331" s="491" t="n"/>
      <c r="K331" s="491" t="n"/>
      <c r="L331" s="491" t="n"/>
      <c r="M331" s="491" t="n"/>
      <c r="N331" s="491" t="n"/>
      <c r="O331" s="491" t="n"/>
      <c r="P331" s="491" t="n"/>
      <c r="Q331" s="491" t="n"/>
      <c r="R331" s="491" t="n"/>
      <c r="S331" s="491" t="n"/>
      <c r="T331" s="491" t="n"/>
      <c r="U331" s="491" t="n"/>
      <c r="V331" s="491" t="n"/>
      <c r="W331" s="491" t="n"/>
      <c r="X331" s="491" t="n"/>
      <c r="Y331" s="491" t="n"/>
      <c r="Z331" s="491" t="n"/>
    </row>
    <row r="332" ht="12.75" customHeight="1" s="398">
      <c r="A332" s="491" t="n"/>
      <c r="B332" s="491" t="n"/>
      <c r="C332" s="491" t="n"/>
      <c r="D332" s="491" t="n"/>
      <c r="E332" s="491" t="n"/>
      <c r="F332" s="491" t="n"/>
      <c r="G332" s="491" t="n"/>
      <c r="H332" s="491" t="n"/>
      <c r="I332" s="491" t="n"/>
      <c r="J332" s="491" t="n"/>
      <c r="K332" s="491" t="n"/>
      <c r="L332" s="491" t="n"/>
      <c r="M332" s="491" t="n"/>
      <c r="N332" s="491" t="n"/>
      <c r="O332" s="491" t="n"/>
      <c r="P332" s="491" t="n"/>
      <c r="Q332" s="491" t="n"/>
      <c r="R332" s="491" t="n"/>
      <c r="S332" s="491" t="n"/>
      <c r="T332" s="491" t="n"/>
      <c r="U332" s="491" t="n"/>
      <c r="V332" s="491" t="n"/>
      <c r="W332" s="491" t="n"/>
      <c r="X332" s="491" t="n"/>
      <c r="Y332" s="491" t="n"/>
      <c r="Z332" s="491" t="n"/>
    </row>
    <row r="333" ht="12.75" customHeight="1" s="398">
      <c r="A333" s="491" t="n"/>
      <c r="B333" s="491" t="n"/>
      <c r="C333" s="491" t="n"/>
      <c r="D333" s="491" t="n"/>
      <c r="E333" s="491" t="n"/>
      <c r="F333" s="491" t="n"/>
      <c r="G333" s="491" t="n"/>
      <c r="H333" s="491" t="n"/>
      <c r="I333" s="491" t="n"/>
      <c r="J333" s="491" t="n"/>
      <c r="K333" s="491" t="n"/>
      <c r="L333" s="491" t="n"/>
      <c r="M333" s="491" t="n"/>
      <c r="N333" s="491" t="n"/>
      <c r="O333" s="491" t="n"/>
      <c r="P333" s="491" t="n"/>
      <c r="Q333" s="491" t="n"/>
      <c r="R333" s="491" t="n"/>
      <c r="S333" s="491" t="n"/>
      <c r="T333" s="491" t="n"/>
      <c r="U333" s="491" t="n"/>
      <c r="V333" s="491" t="n"/>
      <c r="W333" s="491" t="n"/>
      <c r="X333" s="491" t="n"/>
      <c r="Y333" s="491" t="n"/>
      <c r="Z333" s="491" t="n"/>
    </row>
    <row r="334" ht="12.75" customHeight="1" s="398">
      <c r="A334" s="491" t="n"/>
      <c r="B334" s="491" t="n"/>
      <c r="C334" s="491" t="n"/>
      <c r="D334" s="491" t="n"/>
      <c r="E334" s="491" t="n"/>
      <c r="F334" s="491" t="n"/>
      <c r="G334" s="491" t="n"/>
      <c r="H334" s="491" t="n"/>
      <c r="I334" s="491" t="n"/>
      <c r="J334" s="491" t="n"/>
      <c r="K334" s="491" t="n"/>
      <c r="L334" s="491" t="n"/>
      <c r="M334" s="491" t="n"/>
      <c r="N334" s="491" t="n"/>
      <c r="O334" s="491" t="n"/>
      <c r="P334" s="491" t="n"/>
      <c r="Q334" s="491" t="n"/>
      <c r="R334" s="491" t="n"/>
      <c r="S334" s="491" t="n"/>
      <c r="T334" s="491" t="n"/>
      <c r="U334" s="491" t="n"/>
      <c r="V334" s="491" t="n"/>
      <c r="W334" s="491" t="n"/>
      <c r="X334" s="491" t="n"/>
      <c r="Y334" s="491" t="n"/>
      <c r="Z334" s="491" t="n"/>
    </row>
    <row r="335" ht="12.75" customHeight="1" s="398">
      <c r="A335" s="491" t="n"/>
      <c r="B335" s="491" t="n"/>
      <c r="C335" s="491" t="n"/>
      <c r="D335" s="491" t="n"/>
      <c r="E335" s="491" t="n"/>
      <c r="F335" s="491" t="n"/>
      <c r="G335" s="491" t="n"/>
      <c r="H335" s="491" t="n"/>
      <c r="I335" s="491" t="n"/>
      <c r="J335" s="491" t="n"/>
      <c r="K335" s="491" t="n"/>
      <c r="L335" s="491" t="n"/>
      <c r="M335" s="491" t="n"/>
      <c r="N335" s="491" t="n"/>
      <c r="O335" s="491" t="n"/>
      <c r="P335" s="491" t="n"/>
      <c r="Q335" s="491" t="n"/>
      <c r="R335" s="491" t="n"/>
      <c r="S335" s="491" t="n"/>
      <c r="T335" s="491" t="n"/>
      <c r="U335" s="491" t="n"/>
      <c r="V335" s="491" t="n"/>
      <c r="W335" s="491" t="n"/>
      <c r="X335" s="491" t="n"/>
      <c r="Y335" s="491" t="n"/>
      <c r="Z335" s="491" t="n"/>
    </row>
    <row r="336" ht="12.75" customHeight="1" s="398">
      <c r="A336" s="491" t="n"/>
      <c r="B336" s="491" t="n"/>
      <c r="C336" s="491" t="n"/>
      <c r="D336" s="491" t="n"/>
      <c r="E336" s="491" t="n"/>
      <c r="F336" s="491" t="n"/>
      <c r="G336" s="491" t="n"/>
      <c r="H336" s="491" t="n"/>
      <c r="I336" s="491" t="n"/>
      <c r="J336" s="491" t="n"/>
      <c r="K336" s="491" t="n"/>
      <c r="L336" s="491" t="n"/>
      <c r="M336" s="491" t="n"/>
      <c r="N336" s="491" t="n"/>
      <c r="O336" s="491" t="n"/>
      <c r="P336" s="491" t="n"/>
      <c r="Q336" s="491" t="n"/>
      <c r="R336" s="491" t="n"/>
      <c r="S336" s="491" t="n"/>
      <c r="T336" s="491" t="n"/>
      <c r="U336" s="491" t="n"/>
      <c r="V336" s="491" t="n"/>
      <c r="W336" s="491" t="n"/>
      <c r="X336" s="491" t="n"/>
      <c r="Y336" s="491" t="n"/>
      <c r="Z336" s="491" t="n"/>
    </row>
    <row r="337" ht="12.75" customHeight="1" s="398">
      <c r="A337" s="491" t="n"/>
      <c r="B337" s="491" t="n"/>
      <c r="C337" s="491" t="n"/>
      <c r="D337" s="491" t="n"/>
      <c r="E337" s="491" t="n"/>
      <c r="F337" s="491" t="n"/>
      <c r="G337" s="491" t="n"/>
      <c r="H337" s="491" t="n"/>
      <c r="I337" s="491" t="n"/>
      <c r="J337" s="491" t="n"/>
      <c r="K337" s="491" t="n"/>
      <c r="L337" s="491" t="n"/>
      <c r="M337" s="491" t="n"/>
      <c r="N337" s="491" t="n"/>
      <c r="O337" s="491" t="n"/>
      <c r="P337" s="491" t="n"/>
      <c r="Q337" s="491" t="n"/>
      <c r="R337" s="491" t="n"/>
      <c r="S337" s="491" t="n"/>
      <c r="T337" s="491" t="n"/>
      <c r="U337" s="491" t="n"/>
      <c r="V337" s="491" t="n"/>
      <c r="W337" s="491" t="n"/>
      <c r="X337" s="491" t="n"/>
      <c r="Y337" s="491" t="n"/>
      <c r="Z337" s="491" t="n"/>
    </row>
    <row r="338" ht="12.75" customHeight="1" s="398">
      <c r="A338" s="491" t="n"/>
      <c r="B338" s="491" t="n"/>
      <c r="C338" s="491" t="n"/>
      <c r="D338" s="491" t="n"/>
      <c r="E338" s="491" t="n"/>
      <c r="F338" s="491" t="n"/>
      <c r="G338" s="491" t="n"/>
      <c r="H338" s="491" t="n"/>
      <c r="I338" s="491" t="n"/>
      <c r="J338" s="491" t="n"/>
      <c r="K338" s="491" t="n"/>
      <c r="L338" s="491" t="n"/>
      <c r="M338" s="491" t="n"/>
      <c r="N338" s="491" t="n"/>
      <c r="O338" s="491" t="n"/>
      <c r="P338" s="491" t="n"/>
      <c r="Q338" s="491" t="n"/>
      <c r="R338" s="491" t="n"/>
      <c r="S338" s="491" t="n"/>
      <c r="T338" s="491" t="n"/>
      <c r="U338" s="491" t="n"/>
      <c r="V338" s="491" t="n"/>
      <c r="W338" s="491" t="n"/>
      <c r="X338" s="491" t="n"/>
      <c r="Y338" s="491" t="n"/>
      <c r="Z338" s="491" t="n"/>
    </row>
    <row r="339" ht="12.75" customHeight="1" s="398">
      <c r="A339" s="491" t="n"/>
      <c r="B339" s="491" t="n"/>
      <c r="C339" s="491" t="n"/>
      <c r="D339" s="491" t="n"/>
      <c r="E339" s="491" t="n"/>
      <c r="F339" s="491" t="n"/>
      <c r="G339" s="491" t="n"/>
      <c r="H339" s="491" t="n"/>
      <c r="I339" s="491" t="n"/>
      <c r="J339" s="491" t="n"/>
      <c r="K339" s="491" t="n"/>
      <c r="L339" s="491" t="n"/>
      <c r="M339" s="491" t="n"/>
      <c r="N339" s="491" t="n"/>
      <c r="O339" s="491" t="n"/>
      <c r="P339" s="491" t="n"/>
      <c r="Q339" s="491" t="n"/>
      <c r="R339" s="491" t="n"/>
      <c r="S339" s="491" t="n"/>
      <c r="T339" s="491" t="n"/>
      <c r="U339" s="491" t="n"/>
      <c r="V339" s="491" t="n"/>
      <c r="W339" s="491" t="n"/>
      <c r="X339" s="491" t="n"/>
      <c r="Y339" s="491" t="n"/>
      <c r="Z339" s="491" t="n"/>
    </row>
    <row r="340" ht="12.75" customHeight="1" s="398">
      <c r="A340" s="491" t="n"/>
      <c r="B340" s="491" t="n"/>
      <c r="C340" s="491" t="n"/>
      <c r="D340" s="491" t="n"/>
      <c r="E340" s="491" t="n"/>
      <c r="F340" s="491" t="n"/>
      <c r="G340" s="491" t="n"/>
      <c r="H340" s="491" t="n"/>
      <c r="I340" s="491" t="n"/>
      <c r="J340" s="491" t="n"/>
      <c r="K340" s="491" t="n"/>
      <c r="L340" s="491" t="n"/>
      <c r="M340" s="491" t="n"/>
      <c r="N340" s="491" t="n"/>
      <c r="O340" s="491" t="n"/>
      <c r="P340" s="491" t="n"/>
      <c r="Q340" s="491" t="n"/>
      <c r="R340" s="491" t="n"/>
      <c r="S340" s="491" t="n"/>
      <c r="T340" s="491" t="n"/>
      <c r="U340" s="491" t="n"/>
      <c r="V340" s="491" t="n"/>
      <c r="W340" s="491" t="n"/>
      <c r="X340" s="491" t="n"/>
      <c r="Y340" s="491" t="n"/>
      <c r="Z340" s="491" t="n"/>
    </row>
    <row r="341" ht="12.75" customHeight="1" s="398">
      <c r="A341" s="491" t="n"/>
      <c r="B341" s="491" t="n"/>
      <c r="C341" s="491" t="n"/>
      <c r="D341" s="491" t="n"/>
      <c r="E341" s="491" t="n"/>
      <c r="F341" s="491" t="n"/>
      <c r="G341" s="491" t="n"/>
      <c r="H341" s="491" t="n"/>
      <c r="I341" s="491" t="n"/>
      <c r="J341" s="491" t="n"/>
      <c r="K341" s="491" t="n"/>
      <c r="L341" s="491" t="n"/>
      <c r="M341" s="491" t="n"/>
      <c r="N341" s="491" t="n"/>
      <c r="O341" s="491" t="n"/>
      <c r="P341" s="491" t="n"/>
      <c r="Q341" s="491" t="n"/>
      <c r="R341" s="491" t="n"/>
      <c r="S341" s="491" t="n"/>
      <c r="T341" s="491" t="n"/>
      <c r="U341" s="491" t="n"/>
      <c r="V341" s="491" t="n"/>
      <c r="W341" s="491" t="n"/>
      <c r="X341" s="491" t="n"/>
      <c r="Y341" s="491" t="n"/>
      <c r="Z341" s="491" t="n"/>
    </row>
    <row r="342" ht="12.75" customHeight="1" s="398">
      <c r="A342" s="491" t="n"/>
      <c r="B342" s="491" t="n"/>
      <c r="C342" s="491" t="n"/>
      <c r="D342" s="491" t="n"/>
      <c r="E342" s="491" t="n"/>
      <c r="F342" s="491" t="n"/>
      <c r="G342" s="491" t="n"/>
      <c r="H342" s="491" t="n"/>
      <c r="I342" s="491" t="n"/>
      <c r="J342" s="491" t="n"/>
      <c r="K342" s="491" t="n"/>
      <c r="L342" s="491" t="n"/>
      <c r="M342" s="491" t="n"/>
      <c r="N342" s="491" t="n"/>
      <c r="O342" s="491" t="n"/>
      <c r="P342" s="491" t="n"/>
      <c r="Q342" s="491" t="n"/>
      <c r="R342" s="491" t="n"/>
      <c r="S342" s="491" t="n"/>
      <c r="T342" s="491" t="n"/>
      <c r="U342" s="491" t="n"/>
      <c r="V342" s="491" t="n"/>
      <c r="W342" s="491" t="n"/>
      <c r="X342" s="491" t="n"/>
      <c r="Y342" s="491" t="n"/>
      <c r="Z342" s="491" t="n"/>
    </row>
    <row r="343" ht="12.75" customHeight="1" s="398">
      <c r="A343" s="491" t="n"/>
      <c r="B343" s="491" t="n"/>
      <c r="C343" s="491" t="n"/>
      <c r="D343" s="491" t="n"/>
      <c r="E343" s="491" t="n"/>
      <c r="F343" s="491" t="n"/>
      <c r="G343" s="491" t="n"/>
      <c r="H343" s="491" t="n"/>
      <c r="I343" s="491" t="n"/>
      <c r="J343" s="491" t="n"/>
      <c r="K343" s="491" t="n"/>
      <c r="L343" s="491" t="n"/>
      <c r="M343" s="491" t="n"/>
      <c r="N343" s="491" t="n"/>
      <c r="O343" s="491" t="n"/>
      <c r="P343" s="491" t="n"/>
      <c r="Q343" s="491" t="n"/>
      <c r="R343" s="491" t="n"/>
      <c r="S343" s="491" t="n"/>
      <c r="T343" s="491" t="n"/>
      <c r="U343" s="491" t="n"/>
      <c r="V343" s="491" t="n"/>
      <c r="W343" s="491" t="n"/>
      <c r="X343" s="491" t="n"/>
      <c r="Y343" s="491" t="n"/>
      <c r="Z343" s="491" t="n"/>
    </row>
    <row r="344" ht="12.75" customHeight="1" s="398">
      <c r="A344" s="491" t="n"/>
      <c r="B344" s="491" t="n"/>
      <c r="C344" s="491" t="n"/>
      <c r="D344" s="491" t="n"/>
      <c r="E344" s="491" t="n"/>
      <c r="F344" s="491" t="n"/>
      <c r="G344" s="491" t="n"/>
      <c r="H344" s="491" t="n"/>
      <c r="I344" s="491" t="n"/>
      <c r="J344" s="491" t="n"/>
      <c r="K344" s="491" t="n"/>
      <c r="L344" s="491" t="n"/>
      <c r="M344" s="491" t="n"/>
      <c r="N344" s="491" t="n"/>
      <c r="O344" s="491" t="n"/>
      <c r="P344" s="491" t="n"/>
      <c r="Q344" s="491" t="n"/>
      <c r="R344" s="491" t="n"/>
      <c r="S344" s="491" t="n"/>
      <c r="T344" s="491" t="n"/>
      <c r="U344" s="491" t="n"/>
      <c r="V344" s="491" t="n"/>
      <c r="W344" s="491" t="n"/>
      <c r="X344" s="491" t="n"/>
      <c r="Y344" s="491" t="n"/>
      <c r="Z344" s="491" t="n"/>
    </row>
    <row r="345" ht="12.75" customHeight="1" s="398">
      <c r="A345" s="491" t="n"/>
      <c r="B345" s="491" t="n"/>
      <c r="C345" s="491" t="n"/>
      <c r="D345" s="491" t="n"/>
      <c r="E345" s="491" t="n"/>
      <c r="F345" s="491" t="n"/>
      <c r="G345" s="491" t="n"/>
      <c r="H345" s="491" t="n"/>
      <c r="I345" s="491" t="n"/>
      <c r="J345" s="491" t="n"/>
      <c r="K345" s="491" t="n"/>
      <c r="L345" s="491" t="n"/>
      <c r="M345" s="491" t="n"/>
      <c r="N345" s="491" t="n"/>
      <c r="O345" s="491" t="n"/>
      <c r="P345" s="491" t="n"/>
      <c r="Q345" s="491" t="n"/>
      <c r="R345" s="491" t="n"/>
      <c r="S345" s="491" t="n"/>
      <c r="T345" s="491" t="n"/>
      <c r="U345" s="491" t="n"/>
      <c r="V345" s="491" t="n"/>
      <c r="W345" s="491" t="n"/>
      <c r="X345" s="491" t="n"/>
      <c r="Y345" s="491" t="n"/>
      <c r="Z345" s="491" t="n"/>
    </row>
    <row r="346" ht="12.75" customHeight="1" s="398">
      <c r="A346" s="491" t="n"/>
      <c r="B346" s="491" t="n"/>
      <c r="C346" s="491" t="n"/>
      <c r="D346" s="491" t="n"/>
      <c r="E346" s="491" t="n"/>
      <c r="F346" s="491" t="n"/>
      <c r="G346" s="491" t="n"/>
      <c r="H346" s="491" t="n"/>
      <c r="I346" s="491" t="n"/>
      <c r="J346" s="491" t="n"/>
      <c r="K346" s="491" t="n"/>
      <c r="L346" s="491" t="n"/>
      <c r="M346" s="491" t="n"/>
      <c r="N346" s="491" t="n"/>
      <c r="O346" s="491" t="n"/>
      <c r="P346" s="491" t="n"/>
      <c r="Q346" s="491" t="n"/>
      <c r="R346" s="491" t="n"/>
      <c r="S346" s="491" t="n"/>
      <c r="T346" s="491" t="n"/>
      <c r="U346" s="491" t="n"/>
      <c r="V346" s="491" t="n"/>
      <c r="W346" s="491" t="n"/>
      <c r="X346" s="491" t="n"/>
      <c r="Y346" s="491" t="n"/>
      <c r="Z346" s="491" t="n"/>
    </row>
    <row r="347" ht="12.75" customHeight="1" s="398">
      <c r="A347" s="491" t="n"/>
      <c r="B347" s="491" t="n"/>
      <c r="C347" s="491" t="n"/>
      <c r="D347" s="491" t="n"/>
      <c r="E347" s="491" t="n"/>
      <c r="F347" s="491" t="n"/>
      <c r="G347" s="491" t="n"/>
      <c r="H347" s="491" t="n"/>
      <c r="I347" s="491" t="n"/>
      <c r="J347" s="491" t="n"/>
      <c r="K347" s="491" t="n"/>
      <c r="L347" s="491" t="n"/>
      <c r="M347" s="491" t="n"/>
      <c r="N347" s="491" t="n"/>
      <c r="O347" s="491" t="n"/>
      <c r="P347" s="491" t="n"/>
      <c r="Q347" s="491" t="n"/>
      <c r="R347" s="491" t="n"/>
      <c r="S347" s="491" t="n"/>
      <c r="T347" s="491" t="n"/>
      <c r="U347" s="491" t="n"/>
      <c r="V347" s="491" t="n"/>
      <c r="W347" s="491" t="n"/>
      <c r="X347" s="491" t="n"/>
      <c r="Y347" s="491" t="n"/>
      <c r="Z347" s="491" t="n"/>
    </row>
    <row r="348" ht="12.75" customHeight="1" s="398">
      <c r="A348" s="491" t="n"/>
      <c r="B348" s="491" t="n"/>
      <c r="C348" s="491" t="n"/>
      <c r="D348" s="491" t="n"/>
      <c r="E348" s="491" t="n"/>
      <c r="F348" s="491" t="n"/>
      <c r="G348" s="491" t="n"/>
      <c r="H348" s="491" t="n"/>
      <c r="I348" s="491" t="n"/>
      <c r="J348" s="491" t="n"/>
      <c r="K348" s="491" t="n"/>
      <c r="L348" s="491" t="n"/>
      <c r="M348" s="491" t="n"/>
      <c r="N348" s="491" t="n"/>
      <c r="O348" s="491" t="n"/>
      <c r="P348" s="491" t="n"/>
      <c r="Q348" s="491" t="n"/>
      <c r="R348" s="491" t="n"/>
      <c r="S348" s="491" t="n"/>
      <c r="T348" s="491" t="n"/>
      <c r="U348" s="491" t="n"/>
      <c r="V348" s="491" t="n"/>
      <c r="W348" s="491" t="n"/>
      <c r="X348" s="491" t="n"/>
      <c r="Y348" s="491" t="n"/>
      <c r="Z348" s="491" t="n"/>
    </row>
    <row r="349" ht="12.75" customHeight="1" s="398">
      <c r="A349" s="491" t="n"/>
      <c r="B349" s="491" t="n"/>
      <c r="C349" s="491" t="n"/>
      <c r="D349" s="491" t="n"/>
      <c r="E349" s="491" t="n"/>
      <c r="F349" s="491" t="n"/>
      <c r="G349" s="491" t="n"/>
      <c r="H349" s="491" t="n"/>
      <c r="I349" s="491" t="n"/>
      <c r="J349" s="491" t="n"/>
      <c r="K349" s="491" t="n"/>
      <c r="L349" s="491" t="n"/>
      <c r="M349" s="491" t="n"/>
      <c r="N349" s="491" t="n"/>
      <c r="O349" s="491" t="n"/>
      <c r="P349" s="491" t="n"/>
      <c r="Q349" s="491" t="n"/>
      <c r="R349" s="491" t="n"/>
      <c r="S349" s="491" t="n"/>
      <c r="T349" s="491" t="n"/>
      <c r="U349" s="491" t="n"/>
      <c r="V349" s="491" t="n"/>
      <c r="W349" s="491" t="n"/>
      <c r="X349" s="491" t="n"/>
      <c r="Y349" s="491" t="n"/>
      <c r="Z349" s="491" t="n"/>
    </row>
    <row r="350" ht="12.75" customHeight="1" s="398">
      <c r="A350" s="491" t="n"/>
      <c r="B350" s="491" t="n"/>
      <c r="C350" s="491" t="n"/>
      <c r="D350" s="491" t="n"/>
      <c r="E350" s="491" t="n"/>
      <c r="F350" s="491" t="n"/>
      <c r="G350" s="491" t="n"/>
      <c r="H350" s="491" t="n"/>
      <c r="I350" s="491" t="n"/>
      <c r="J350" s="491" t="n"/>
      <c r="K350" s="491" t="n"/>
      <c r="L350" s="491" t="n"/>
      <c r="M350" s="491" t="n"/>
      <c r="N350" s="491" t="n"/>
      <c r="O350" s="491" t="n"/>
      <c r="P350" s="491" t="n"/>
      <c r="Q350" s="491" t="n"/>
      <c r="R350" s="491" t="n"/>
      <c r="S350" s="491" t="n"/>
      <c r="T350" s="491" t="n"/>
      <c r="U350" s="491" t="n"/>
      <c r="V350" s="491" t="n"/>
      <c r="W350" s="491" t="n"/>
      <c r="X350" s="491" t="n"/>
      <c r="Y350" s="491" t="n"/>
      <c r="Z350" s="491" t="n"/>
    </row>
    <row r="351" ht="12.75" customHeight="1" s="398">
      <c r="A351" s="491" t="n"/>
      <c r="B351" s="491" t="n"/>
      <c r="C351" s="491" t="n"/>
      <c r="D351" s="491" t="n"/>
      <c r="E351" s="491" t="n"/>
      <c r="F351" s="491" t="n"/>
      <c r="G351" s="491" t="n"/>
      <c r="H351" s="491" t="n"/>
      <c r="I351" s="491" t="n"/>
      <c r="J351" s="491" t="n"/>
      <c r="K351" s="491" t="n"/>
      <c r="L351" s="491" t="n"/>
      <c r="M351" s="491" t="n"/>
      <c r="N351" s="491" t="n"/>
      <c r="O351" s="491" t="n"/>
      <c r="P351" s="491" t="n"/>
      <c r="Q351" s="491" t="n"/>
      <c r="R351" s="491" t="n"/>
      <c r="S351" s="491" t="n"/>
      <c r="T351" s="491" t="n"/>
      <c r="U351" s="491" t="n"/>
      <c r="V351" s="491" t="n"/>
      <c r="W351" s="491" t="n"/>
      <c r="X351" s="491" t="n"/>
      <c r="Y351" s="491" t="n"/>
      <c r="Z351" s="491" t="n"/>
    </row>
    <row r="352" ht="12.75" customHeight="1" s="398">
      <c r="A352" s="491" t="n"/>
      <c r="B352" s="491" t="n"/>
      <c r="C352" s="491" t="n"/>
      <c r="D352" s="491" t="n"/>
      <c r="E352" s="491" t="n"/>
      <c r="F352" s="491" t="n"/>
      <c r="G352" s="491" t="n"/>
      <c r="H352" s="491" t="n"/>
      <c r="I352" s="491" t="n"/>
      <c r="J352" s="491" t="n"/>
      <c r="K352" s="491" t="n"/>
      <c r="L352" s="491" t="n"/>
      <c r="M352" s="491" t="n"/>
      <c r="N352" s="491" t="n"/>
      <c r="O352" s="491" t="n"/>
      <c r="P352" s="491" t="n"/>
      <c r="Q352" s="491" t="n"/>
      <c r="R352" s="491" t="n"/>
      <c r="S352" s="491" t="n"/>
      <c r="T352" s="491" t="n"/>
      <c r="U352" s="491" t="n"/>
      <c r="V352" s="491" t="n"/>
      <c r="W352" s="491" t="n"/>
      <c r="X352" s="491" t="n"/>
      <c r="Y352" s="491" t="n"/>
      <c r="Z352" s="491" t="n"/>
    </row>
    <row r="353" ht="12.75" customHeight="1" s="398">
      <c r="A353" s="491" t="n"/>
      <c r="B353" s="491" t="n"/>
      <c r="C353" s="491" t="n"/>
      <c r="D353" s="491" t="n"/>
      <c r="E353" s="491" t="n"/>
      <c r="F353" s="491" t="n"/>
      <c r="G353" s="491" t="n"/>
      <c r="H353" s="491" t="n"/>
      <c r="I353" s="491" t="n"/>
      <c r="J353" s="491" t="n"/>
      <c r="K353" s="491" t="n"/>
      <c r="L353" s="491" t="n"/>
      <c r="M353" s="491" t="n"/>
      <c r="N353" s="491" t="n"/>
      <c r="O353" s="491" t="n"/>
      <c r="P353" s="491" t="n"/>
      <c r="Q353" s="491" t="n"/>
      <c r="R353" s="491" t="n"/>
      <c r="S353" s="491" t="n"/>
      <c r="T353" s="491" t="n"/>
      <c r="U353" s="491" t="n"/>
      <c r="V353" s="491" t="n"/>
      <c r="W353" s="491" t="n"/>
      <c r="X353" s="491" t="n"/>
      <c r="Y353" s="491" t="n"/>
      <c r="Z353" s="491" t="n"/>
    </row>
    <row r="354" ht="12.75" customHeight="1" s="398">
      <c r="A354" s="491" t="n"/>
      <c r="B354" s="491" t="n"/>
      <c r="C354" s="491" t="n"/>
      <c r="D354" s="491" t="n"/>
      <c r="E354" s="491" t="n"/>
      <c r="F354" s="491" t="n"/>
      <c r="G354" s="491" t="n"/>
      <c r="H354" s="491" t="n"/>
      <c r="I354" s="491" t="n"/>
      <c r="J354" s="491" t="n"/>
      <c r="K354" s="491" t="n"/>
      <c r="L354" s="491" t="n"/>
      <c r="M354" s="491" t="n"/>
      <c r="N354" s="491" t="n"/>
      <c r="O354" s="491" t="n"/>
      <c r="P354" s="491" t="n"/>
      <c r="Q354" s="491" t="n"/>
      <c r="R354" s="491" t="n"/>
      <c r="S354" s="491" t="n"/>
      <c r="T354" s="491" t="n"/>
      <c r="U354" s="491" t="n"/>
      <c r="V354" s="491" t="n"/>
      <c r="W354" s="491" t="n"/>
      <c r="X354" s="491" t="n"/>
      <c r="Y354" s="491" t="n"/>
      <c r="Z354" s="491" t="n"/>
    </row>
    <row r="355" ht="12.75" customHeight="1" s="398">
      <c r="A355" s="491" t="n"/>
      <c r="B355" s="491" t="n"/>
      <c r="C355" s="491" t="n"/>
      <c r="D355" s="491" t="n"/>
      <c r="E355" s="491" t="n"/>
      <c r="F355" s="491" t="n"/>
      <c r="G355" s="491" t="n"/>
      <c r="H355" s="491" t="n"/>
      <c r="I355" s="491" t="n"/>
      <c r="J355" s="491" t="n"/>
      <c r="K355" s="491" t="n"/>
      <c r="L355" s="491" t="n"/>
      <c r="M355" s="491" t="n"/>
      <c r="N355" s="491" t="n"/>
      <c r="O355" s="491" t="n"/>
      <c r="P355" s="491" t="n"/>
      <c r="Q355" s="491" t="n"/>
      <c r="R355" s="491" t="n"/>
      <c r="S355" s="491" t="n"/>
      <c r="T355" s="491" t="n"/>
      <c r="U355" s="491" t="n"/>
      <c r="V355" s="491" t="n"/>
      <c r="W355" s="491" t="n"/>
      <c r="X355" s="491" t="n"/>
      <c r="Y355" s="491" t="n"/>
      <c r="Z355" s="491" t="n"/>
    </row>
    <row r="356" ht="12.75" customHeight="1" s="398">
      <c r="A356" s="491" t="n"/>
      <c r="B356" s="491" t="n"/>
      <c r="C356" s="491" t="n"/>
      <c r="D356" s="491" t="n"/>
      <c r="E356" s="491" t="n"/>
      <c r="F356" s="491" t="n"/>
      <c r="G356" s="491" t="n"/>
      <c r="H356" s="491" t="n"/>
      <c r="I356" s="491" t="n"/>
      <c r="J356" s="491" t="n"/>
      <c r="K356" s="491" t="n"/>
      <c r="L356" s="491" t="n"/>
      <c r="M356" s="491" t="n"/>
      <c r="N356" s="491" t="n"/>
      <c r="O356" s="491" t="n"/>
      <c r="P356" s="491" t="n"/>
      <c r="Q356" s="491" t="n"/>
      <c r="R356" s="491" t="n"/>
      <c r="S356" s="491" t="n"/>
      <c r="T356" s="491" t="n"/>
      <c r="U356" s="491" t="n"/>
      <c r="V356" s="491" t="n"/>
      <c r="W356" s="491" t="n"/>
      <c r="X356" s="491" t="n"/>
      <c r="Y356" s="491" t="n"/>
      <c r="Z356" s="491" t="n"/>
    </row>
    <row r="357" ht="12.75" customHeight="1" s="398">
      <c r="A357" s="491" t="n"/>
      <c r="B357" s="491" t="n"/>
      <c r="C357" s="491" t="n"/>
      <c r="D357" s="491" t="n"/>
      <c r="E357" s="491" t="n"/>
      <c r="F357" s="491" t="n"/>
      <c r="G357" s="491" t="n"/>
      <c r="H357" s="491" t="n"/>
      <c r="I357" s="491" t="n"/>
      <c r="J357" s="491" t="n"/>
      <c r="K357" s="491" t="n"/>
      <c r="L357" s="491" t="n"/>
      <c r="M357" s="491" t="n"/>
      <c r="N357" s="491" t="n"/>
      <c r="O357" s="491" t="n"/>
      <c r="P357" s="491" t="n"/>
      <c r="Q357" s="491" t="n"/>
      <c r="R357" s="491" t="n"/>
      <c r="S357" s="491" t="n"/>
      <c r="T357" s="491" t="n"/>
      <c r="U357" s="491" t="n"/>
      <c r="V357" s="491" t="n"/>
      <c r="W357" s="491" t="n"/>
      <c r="X357" s="491" t="n"/>
      <c r="Y357" s="491" t="n"/>
      <c r="Z357" s="491" t="n"/>
    </row>
    <row r="358" ht="12.75" customHeight="1" s="398">
      <c r="A358" s="491" t="n"/>
      <c r="B358" s="491" t="n"/>
      <c r="C358" s="491" t="n"/>
      <c r="D358" s="491" t="n"/>
      <c r="E358" s="491" t="n"/>
      <c r="F358" s="491" t="n"/>
      <c r="G358" s="491" t="n"/>
      <c r="H358" s="491" t="n"/>
      <c r="I358" s="491" t="n"/>
      <c r="J358" s="491" t="n"/>
      <c r="K358" s="491" t="n"/>
      <c r="L358" s="491" t="n"/>
      <c r="M358" s="491" t="n"/>
      <c r="N358" s="491" t="n"/>
      <c r="O358" s="491" t="n"/>
      <c r="P358" s="491" t="n"/>
      <c r="Q358" s="491" t="n"/>
      <c r="R358" s="491" t="n"/>
      <c r="S358" s="491" t="n"/>
      <c r="T358" s="491" t="n"/>
      <c r="U358" s="491" t="n"/>
      <c r="V358" s="491" t="n"/>
      <c r="W358" s="491" t="n"/>
      <c r="X358" s="491" t="n"/>
      <c r="Y358" s="491" t="n"/>
      <c r="Z358" s="491" t="n"/>
    </row>
    <row r="359" ht="12.75" customHeight="1" s="398">
      <c r="A359" s="491" t="n"/>
      <c r="B359" s="491" t="n"/>
      <c r="C359" s="491" t="n"/>
      <c r="D359" s="491" t="n"/>
      <c r="E359" s="491" t="n"/>
      <c r="F359" s="491" t="n"/>
      <c r="G359" s="491" t="n"/>
      <c r="H359" s="491" t="n"/>
      <c r="I359" s="491" t="n"/>
      <c r="J359" s="491" t="n"/>
      <c r="K359" s="491" t="n"/>
      <c r="L359" s="491" t="n"/>
      <c r="M359" s="491" t="n"/>
      <c r="N359" s="491" t="n"/>
      <c r="O359" s="491" t="n"/>
      <c r="P359" s="491" t="n"/>
      <c r="Q359" s="491" t="n"/>
      <c r="R359" s="491" t="n"/>
      <c r="S359" s="491" t="n"/>
      <c r="T359" s="491" t="n"/>
      <c r="U359" s="491" t="n"/>
      <c r="V359" s="491" t="n"/>
      <c r="W359" s="491" t="n"/>
      <c r="X359" s="491" t="n"/>
      <c r="Y359" s="491" t="n"/>
      <c r="Z359" s="491" t="n"/>
    </row>
    <row r="360" ht="12.75" customHeight="1" s="398">
      <c r="A360" s="491" t="n"/>
      <c r="B360" s="491" t="n"/>
      <c r="C360" s="491" t="n"/>
      <c r="D360" s="491" t="n"/>
      <c r="E360" s="491" t="n"/>
      <c r="F360" s="491" t="n"/>
      <c r="G360" s="491" t="n"/>
      <c r="H360" s="491" t="n"/>
      <c r="I360" s="491" t="n"/>
      <c r="J360" s="491" t="n"/>
      <c r="K360" s="491" t="n"/>
      <c r="L360" s="491" t="n"/>
      <c r="M360" s="491" t="n"/>
      <c r="N360" s="491" t="n"/>
      <c r="O360" s="491" t="n"/>
      <c r="P360" s="491" t="n"/>
      <c r="Q360" s="491" t="n"/>
      <c r="R360" s="491" t="n"/>
      <c r="S360" s="491" t="n"/>
      <c r="T360" s="491" t="n"/>
      <c r="U360" s="491" t="n"/>
      <c r="V360" s="491" t="n"/>
      <c r="W360" s="491" t="n"/>
      <c r="X360" s="491" t="n"/>
      <c r="Y360" s="491" t="n"/>
      <c r="Z360" s="491" t="n"/>
    </row>
    <row r="361" ht="12.75" customHeight="1" s="398">
      <c r="A361" s="491" t="n"/>
      <c r="B361" s="491" t="n"/>
      <c r="C361" s="491" t="n"/>
      <c r="D361" s="491" t="n"/>
      <c r="E361" s="491" t="n"/>
      <c r="F361" s="491" t="n"/>
      <c r="G361" s="491" t="n"/>
      <c r="H361" s="491" t="n"/>
      <c r="I361" s="491" t="n"/>
      <c r="J361" s="491" t="n"/>
      <c r="K361" s="491" t="n"/>
      <c r="L361" s="491" t="n"/>
      <c r="M361" s="491" t="n"/>
      <c r="N361" s="491" t="n"/>
      <c r="O361" s="491" t="n"/>
      <c r="P361" s="491" t="n"/>
      <c r="Q361" s="491" t="n"/>
      <c r="R361" s="491" t="n"/>
      <c r="S361" s="491" t="n"/>
      <c r="T361" s="491" t="n"/>
      <c r="U361" s="491" t="n"/>
      <c r="V361" s="491" t="n"/>
      <c r="W361" s="491" t="n"/>
      <c r="X361" s="491" t="n"/>
      <c r="Y361" s="491" t="n"/>
      <c r="Z361" s="491" t="n"/>
    </row>
    <row r="362" ht="12.75" customHeight="1" s="398">
      <c r="A362" s="491" t="n"/>
      <c r="B362" s="491" t="n"/>
      <c r="C362" s="491" t="n"/>
      <c r="D362" s="491" t="n"/>
      <c r="E362" s="491" t="n"/>
      <c r="F362" s="491" t="n"/>
      <c r="G362" s="491" t="n"/>
      <c r="H362" s="491" t="n"/>
      <c r="I362" s="491" t="n"/>
      <c r="J362" s="491" t="n"/>
      <c r="K362" s="491" t="n"/>
      <c r="L362" s="491" t="n"/>
      <c r="M362" s="491" t="n"/>
      <c r="N362" s="491" t="n"/>
      <c r="O362" s="491" t="n"/>
      <c r="P362" s="491" t="n"/>
      <c r="Q362" s="491" t="n"/>
      <c r="R362" s="491" t="n"/>
      <c r="S362" s="491" t="n"/>
      <c r="T362" s="491" t="n"/>
      <c r="U362" s="491" t="n"/>
      <c r="V362" s="491" t="n"/>
      <c r="W362" s="491" t="n"/>
      <c r="X362" s="491" t="n"/>
      <c r="Y362" s="491" t="n"/>
      <c r="Z362" s="491" t="n"/>
    </row>
    <row r="363" ht="12.75" customHeight="1" s="398">
      <c r="A363" s="491" t="n"/>
      <c r="B363" s="491" t="n"/>
      <c r="C363" s="491" t="n"/>
      <c r="D363" s="491" t="n"/>
      <c r="E363" s="491" t="n"/>
      <c r="F363" s="491" t="n"/>
      <c r="G363" s="491" t="n"/>
      <c r="H363" s="491" t="n"/>
      <c r="I363" s="491" t="n"/>
      <c r="J363" s="491" t="n"/>
      <c r="K363" s="491" t="n"/>
      <c r="L363" s="491" t="n"/>
      <c r="M363" s="491" t="n"/>
      <c r="N363" s="491" t="n"/>
      <c r="O363" s="491" t="n"/>
      <c r="P363" s="491" t="n"/>
      <c r="Q363" s="491" t="n"/>
      <c r="R363" s="491" t="n"/>
      <c r="S363" s="491" t="n"/>
      <c r="T363" s="491" t="n"/>
      <c r="U363" s="491" t="n"/>
      <c r="V363" s="491" t="n"/>
      <c r="W363" s="491" t="n"/>
      <c r="X363" s="491" t="n"/>
      <c r="Y363" s="491" t="n"/>
      <c r="Z363" s="491" t="n"/>
    </row>
    <row r="364" ht="12.75" customHeight="1" s="398">
      <c r="A364" s="491" t="n"/>
      <c r="B364" s="491" t="n"/>
      <c r="C364" s="491" t="n"/>
      <c r="D364" s="491" t="n"/>
      <c r="E364" s="491" t="n"/>
      <c r="F364" s="491" t="n"/>
      <c r="G364" s="491" t="n"/>
      <c r="H364" s="491" t="n"/>
      <c r="I364" s="491" t="n"/>
      <c r="J364" s="491" t="n"/>
      <c r="K364" s="491" t="n"/>
      <c r="L364" s="491" t="n"/>
      <c r="M364" s="491" t="n"/>
      <c r="N364" s="491" t="n"/>
      <c r="O364" s="491" t="n"/>
      <c r="P364" s="491" t="n"/>
      <c r="Q364" s="491" t="n"/>
      <c r="R364" s="491" t="n"/>
      <c r="S364" s="491" t="n"/>
      <c r="T364" s="491" t="n"/>
      <c r="U364" s="491" t="n"/>
      <c r="V364" s="491" t="n"/>
      <c r="W364" s="491" t="n"/>
      <c r="X364" s="491" t="n"/>
      <c r="Y364" s="491" t="n"/>
      <c r="Z364" s="491" t="n"/>
    </row>
    <row r="365" ht="12.75" customHeight="1" s="398">
      <c r="A365" s="491" t="n"/>
      <c r="B365" s="491" t="n"/>
      <c r="C365" s="491" t="n"/>
      <c r="D365" s="491" t="n"/>
      <c r="E365" s="491" t="n"/>
      <c r="F365" s="491" t="n"/>
      <c r="G365" s="491" t="n"/>
      <c r="H365" s="491" t="n"/>
      <c r="I365" s="491" t="n"/>
      <c r="J365" s="491" t="n"/>
      <c r="K365" s="491" t="n"/>
      <c r="L365" s="491" t="n"/>
      <c r="M365" s="491" t="n"/>
      <c r="N365" s="491" t="n"/>
      <c r="O365" s="491" t="n"/>
      <c r="P365" s="491" t="n"/>
      <c r="Q365" s="491" t="n"/>
      <c r="R365" s="491" t="n"/>
      <c r="S365" s="491" t="n"/>
      <c r="T365" s="491" t="n"/>
      <c r="U365" s="491" t="n"/>
      <c r="V365" s="491" t="n"/>
      <c r="W365" s="491" t="n"/>
      <c r="X365" s="491" t="n"/>
      <c r="Y365" s="491" t="n"/>
      <c r="Z365" s="491" t="n"/>
    </row>
    <row r="366" ht="12.75" customHeight="1" s="398">
      <c r="A366" s="491" t="n"/>
      <c r="B366" s="491" t="n"/>
      <c r="C366" s="491" t="n"/>
      <c r="D366" s="491" t="n"/>
      <c r="E366" s="491" t="n"/>
      <c r="F366" s="491" t="n"/>
      <c r="G366" s="491" t="n"/>
      <c r="H366" s="491" t="n"/>
      <c r="I366" s="491" t="n"/>
      <c r="J366" s="491" t="n"/>
      <c r="K366" s="491" t="n"/>
      <c r="L366" s="491" t="n"/>
      <c r="M366" s="491" t="n"/>
      <c r="N366" s="491" t="n"/>
      <c r="O366" s="491" t="n"/>
      <c r="P366" s="491" t="n"/>
      <c r="Q366" s="491" t="n"/>
      <c r="R366" s="491" t="n"/>
      <c r="S366" s="491" t="n"/>
      <c r="T366" s="491" t="n"/>
      <c r="U366" s="491" t="n"/>
      <c r="V366" s="491" t="n"/>
      <c r="W366" s="491" t="n"/>
      <c r="X366" s="491" t="n"/>
      <c r="Y366" s="491" t="n"/>
      <c r="Z366" s="491" t="n"/>
    </row>
    <row r="367" ht="12.75" customHeight="1" s="398">
      <c r="A367" s="491" t="n"/>
      <c r="B367" s="491" t="n"/>
      <c r="C367" s="491" t="n"/>
      <c r="D367" s="491" t="n"/>
      <c r="E367" s="491" t="n"/>
      <c r="F367" s="491" t="n"/>
      <c r="G367" s="491" t="n"/>
      <c r="H367" s="491" t="n"/>
      <c r="I367" s="491" t="n"/>
      <c r="J367" s="491" t="n"/>
      <c r="K367" s="491" t="n"/>
      <c r="L367" s="491" t="n"/>
      <c r="M367" s="491" t="n"/>
      <c r="N367" s="491" t="n"/>
      <c r="O367" s="491" t="n"/>
      <c r="P367" s="491" t="n"/>
      <c r="Q367" s="491" t="n"/>
      <c r="R367" s="491" t="n"/>
      <c r="S367" s="491" t="n"/>
      <c r="T367" s="491" t="n"/>
      <c r="U367" s="491" t="n"/>
      <c r="V367" s="491" t="n"/>
      <c r="W367" s="491" t="n"/>
      <c r="X367" s="491" t="n"/>
      <c r="Y367" s="491" t="n"/>
      <c r="Z367" s="491" t="n"/>
    </row>
    <row r="368" ht="12.75" customHeight="1" s="398">
      <c r="A368" s="491" t="n"/>
      <c r="B368" s="491" t="n"/>
      <c r="C368" s="491" t="n"/>
      <c r="D368" s="491" t="n"/>
      <c r="E368" s="491" t="n"/>
      <c r="F368" s="491" t="n"/>
      <c r="G368" s="491" t="n"/>
      <c r="H368" s="491" t="n"/>
      <c r="I368" s="491" t="n"/>
      <c r="J368" s="491" t="n"/>
      <c r="K368" s="491" t="n"/>
      <c r="L368" s="491" t="n"/>
      <c r="M368" s="491" t="n"/>
      <c r="N368" s="491" t="n"/>
      <c r="O368" s="491" t="n"/>
      <c r="P368" s="491" t="n"/>
      <c r="Q368" s="491" t="n"/>
      <c r="R368" s="491" t="n"/>
      <c r="S368" s="491" t="n"/>
      <c r="T368" s="491" t="n"/>
      <c r="U368" s="491" t="n"/>
      <c r="V368" s="491" t="n"/>
      <c r="W368" s="491" t="n"/>
      <c r="X368" s="491" t="n"/>
      <c r="Y368" s="491" t="n"/>
      <c r="Z368" s="491" t="n"/>
    </row>
    <row r="369" ht="12.75" customHeight="1" s="398">
      <c r="A369" s="491" t="n"/>
      <c r="B369" s="491" t="n"/>
      <c r="C369" s="491" t="n"/>
      <c r="D369" s="491" t="n"/>
      <c r="E369" s="491" t="n"/>
      <c r="F369" s="491" t="n"/>
      <c r="G369" s="491" t="n"/>
      <c r="H369" s="491" t="n"/>
      <c r="I369" s="491" t="n"/>
      <c r="J369" s="491" t="n"/>
      <c r="K369" s="491" t="n"/>
      <c r="L369" s="491" t="n"/>
      <c r="M369" s="491" t="n"/>
      <c r="N369" s="491" t="n"/>
      <c r="O369" s="491" t="n"/>
      <c r="P369" s="491" t="n"/>
      <c r="Q369" s="491" t="n"/>
      <c r="R369" s="491" t="n"/>
      <c r="S369" s="491" t="n"/>
      <c r="T369" s="491" t="n"/>
      <c r="U369" s="491" t="n"/>
      <c r="V369" s="491" t="n"/>
      <c r="W369" s="491" t="n"/>
      <c r="X369" s="491" t="n"/>
      <c r="Y369" s="491" t="n"/>
      <c r="Z369" s="491" t="n"/>
    </row>
    <row r="370" ht="12.75" customHeight="1" s="398">
      <c r="A370" s="491" t="n"/>
      <c r="B370" s="491" t="n"/>
      <c r="C370" s="491" t="n"/>
      <c r="D370" s="491" t="n"/>
      <c r="E370" s="491" t="n"/>
      <c r="F370" s="491" t="n"/>
      <c r="G370" s="491" t="n"/>
      <c r="H370" s="491" t="n"/>
      <c r="I370" s="491" t="n"/>
      <c r="J370" s="491" t="n"/>
      <c r="K370" s="491" t="n"/>
      <c r="L370" s="491" t="n"/>
      <c r="M370" s="491" t="n"/>
      <c r="N370" s="491" t="n"/>
      <c r="O370" s="491" t="n"/>
      <c r="P370" s="491" t="n"/>
      <c r="Q370" s="491" t="n"/>
      <c r="R370" s="491" t="n"/>
      <c r="S370" s="491" t="n"/>
      <c r="T370" s="491" t="n"/>
      <c r="U370" s="491" t="n"/>
      <c r="V370" s="491" t="n"/>
      <c r="W370" s="491" t="n"/>
      <c r="X370" s="491" t="n"/>
      <c r="Y370" s="491" t="n"/>
      <c r="Z370" s="491" t="n"/>
    </row>
    <row r="371" ht="12.75" customHeight="1" s="398">
      <c r="A371" s="491" t="n"/>
      <c r="B371" s="491" t="n"/>
      <c r="C371" s="491" t="n"/>
      <c r="D371" s="491" t="n"/>
      <c r="E371" s="491" t="n"/>
      <c r="F371" s="491" t="n"/>
      <c r="G371" s="491" t="n"/>
      <c r="H371" s="491" t="n"/>
      <c r="I371" s="491" t="n"/>
      <c r="J371" s="491" t="n"/>
      <c r="K371" s="491" t="n"/>
      <c r="L371" s="491" t="n"/>
      <c r="M371" s="491" t="n"/>
      <c r="N371" s="491" t="n"/>
      <c r="O371" s="491" t="n"/>
      <c r="P371" s="491" t="n"/>
      <c r="Q371" s="491" t="n"/>
      <c r="R371" s="491" t="n"/>
      <c r="S371" s="491" t="n"/>
      <c r="T371" s="491" t="n"/>
      <c r="U371" s="491" t="n"/>
      <c r="V371" s="491" t="n"/>
      <c r="W371" s="491" t="n"/>
      <c r="X371" s="491" t="n"/>
      <c r="Y371" s="491" t="n"/>
      <c r="Z371" s="491" t="n"/>
    </row>
    <row r="372" ht="12.75" customHeight="1" s="398">
      <c r="A372" s="491" t="n"/>
      <c r="B372" s="491" t="n"/>
      <c r="C372" s="491" t="n"/>
      <c r="D372" s="491" t="n"/>
      <c r="E372" s="491" t="n"/>
      <c r="F372" s="491" t="n"/>
      <c r="G372" s="491" t="n"/>
      <c r="H372" s="491" t="n"/>
      <c r="I372" s="491" t="n"/>
      <c r="J372" s="491" t="n"/>
      <c r="K372" s="491" t="n"/>
      <c r="L372" s="491" t="n"/>
      <c r="M372" s="491" t="n"/>
      <c r="N372" s="491" t="n"/>
      <c r="O372" s="491" t="n"/>
      <c r="P372" s="491" t="n"/>
      <c r="Q372" s="491" t="n"/>
      <c r="R372" s="491" t="n"/>
      <c r="S372" s="491" t="n"/>
      <c r="T372" s="491" t="n"/>
      <c r="U372" s="491" t="n"/>
      <c r="V372" s="491" t="n"/>
      <c r="W372" s="491" t="n"/>
      <c r="X372" s="491" t="n"/>
      <c r="Y372" s="491" t="n"/>
      <c r="Z372" s="491" t="n"/>
    </row>
    <row r="373" ht="12.75" customHeight="1" s="398">
      <c r="A373" s="491" t="n"/>
      <c r="B373" s="491" t="n"/>
      <c r="C373" s="491" t="n"/>
      <c r="D373" s="491" t="n"/>
      <c r="E373" s="491" t="n"/>
      <c r="F373" s="491" t="n"/>
      <c r="G373" s="491" t="n"/>
      <c r="H373" s="491" t="n"/>
      <c r="I373" s="491" t="n"/>
      <c r="J373" s="491" t="n"/>
      <c r="K373" s="491" t="n"/>
      <c r="L373" s="491" t="n"/>
      <c r="M373" s="491" t="n"/>
      <c r="N373" s="491" t="n"/>
      <c r="O373" s="491" t="n"/>
      <c r="P373" s="491" t="n"/>
      <c r="Q373" s="491" t="n"/>
      <c r="R373" s="491" t="n"/>
      <c r="S373" s="491" t="n"/>
      <c r="T373" s="491" t="n"/>
      <c r="U373" s="491" t="n"/>
      <c r="V373" s="491" t="n"/>
      <c r="W373" s="491" t="n"/>
      <c r="X373" s="491" t="n"/>
      <c r="Y373" s="491" t="n"/>
      <c r="Z373" s="491" t="n"/>
    </row>
    <row r="374" ht="12.75" customHeight="1" s="398">
      <c r="A374" s="491" t="n"/>
      <c r="B374" s="491" t="n"/>
      <c r="C374" s="491" t="n"/>
      <c r="D374" s="491" t="n"/>
      <c r="E374" s="491" t="n"/>
      <c r="F374" s="491" t="n"/>
      <c r="G374" s="491" t="n"/>
      <c r="H374" s="491" t="n"/>
      <c r="I374" s="491" t="n"/>
      <c r="J374" s="491" t="n"/>
      <c r="K374" s="491" t="n"/>
      <c r="L374" s="491" t="n"/>
      <c r="M374" s="491" t="n"/>
      <c r="N374" s="491" t="n"/>
      <c r="O374" s="491" t="n"/>
      <c r="P374" s="491" t="n"/>
      <c r="Q374" s="491" t="n"/>
      <c r="R374" s="491" t="n"/>
      <c r="S374" s="491" t="n"/>
      <c r="T374" s="491" t="n"/>
      <c r="U374" s="491" t="n"/>
      <c r="V374" s="491" t="n"/>
      <c r="W374" s="491" t="n"/>
      <c r="X374" s="491" t="n"/>
      <c r="Y374" s="491" t="n"/>
      <c r="Z374" s="491" t="n"/>
    </row>
    <row r="375" ht="12.75" customHeight="1" s="398">
      <c r="A375" s="491" t="n"/>
      <c r="B375" s="491" t="n"/>
      <c r="C375" s="491" t="n"/>
      <c r="D375" s="491" t="n"/>
      <c r="E375" s="491" t="n"/>
      <c r="F375" s="491" t="n"/>
      <c r="G375" s="491" t="n"/>
      <c r="H375" s="491" t="n"/>
      <c r="I375" s="491" t="n"/>
      <c r="J375" s="491" t="n"/>
      <c r="K375" s="491" t="n"/>
      <c r="L375" s="491" t="n"/>
      <c r="M375" s="491" t="n"/>
      <c r="N375" s="491" t="n"/>
      <c r="O375" s="491" t="n"/>
      <c r="P375" s="491" t="n"/>
      <c r="Q375" s="491" t="n"/>
      <c r="R375" s="491" t="n"/>
      <c r="S375" s="491" t="n"/>
      <c r="T375" s="491" t="n"/>
      <c r="U375" s="491" t="n"/>
      <c r="V375" s="491" t="n"/>
      <c r="W375" s="491" t="n"/>
      <c r="X375" s="491" t="n"/>
      <c r="Y375" s="491" t="n"/>
      <c r="Z375" s="491" t="n"/>
    </row>
    <row r="376" ht="12.75" customHeight="1" s="398">
      <c r="A376" s="491" t="n"/>
      <c r="B376" s="491" t="n"/>
      <c r="C376" s="491" t="n"/>
      <c r="D376" s="491" t="n"/>
      <c r="E376" s="491" t="n"/>
      <c r="F376" s="491" t="n"/>
      <c r="G376" s="491" t="n"/>
      <c r="H376" s="491" t="n"/>
      <c r="I376" s="491" t="n"/>
      <c r="J376" s="491" t="n"/>
      <c r="K376" s="491" t="n"/>
      <c r="L376" s="491" t="n"/>
      <c r="M376" s="491" t="n"/>
      <c r="N376" s="491" t="n"/>
      <c r="O376" s="491" t="n"/>
      <c r="P376" s="491" t="n"/>
      <c r="Q376" s="491" t="n"/>
      <c r="R376" s="491" t="n"/>
      <c r="S376" s="491" t="n"/>
      <c r="T376" s="491" t="n"/>
      <c r="U376" s="491" t="n"/>
      <c r="V376" s="491" t="n"/>
      <c r="W376" s="491" t="n"/>
      <c r="X376" s="491" t="n"/>
      <c r="Y376" s="491" t="n"/>
      <c r="Z376" s="491" t="n"/>
    </row>
    <row r="377" ht="12.75" customHeight="1" s="398">
      <c r="A377" s="491" t="n"/>
      <c r="B377" s="491" t="n"/>
      <c r="C377" s="491" t="n"/>
      <c r="D377" s="491" t="n"/>
      <c r="E377" s="491" t="n"/>
      <c r="F377" s="491" t="n"/>
      <c r="G377" s="491" t="n"/>
      <c r="H377" s="491" t="n"/>
      <c r="I377" s="491" t="n"/>
      <c r="J377" s="491" t="n"/>
      <c r="K377" s="491" t="n"/>
      <c r="L377" s="491" t="n"/>
      <c r="M377" s="491" t="n"/>
      <c r="N377" s="491" t="n"/>
      <c r="O377" s="491" t="n"/>
      <c r="P377" s="491" t="n"/>
      <c r="Q377" s="491" t="n"/>
      <c r="R377" s="491" t="n"/>
      <c r="S377" s="491" t="n"/>
      <c r="T377" s="491" t="n"/>
      <c r="U377" s="491" t="n"/>
      <c r="V377" s="491" t="n"/>
      <c r="W377" s="491" t="n"/>
      <c r="X377" s="491" t="n"/>
      <c r="Y377" s="491" t="n"/>
      <c r="Z377" s="491" t="n"/>
    </row>
    <row r="378" ht="12.75" customHeight="1" s="398">
      <c r="A378" s="491" t="n"/>
      <c r="B378" s="491" t="n"/>
      <c r="C378" s="491" t="n"/>
      <c r="D378" s="491" t="n"/>
      <c r="E378" s="491" t="n"/>
      <c r="F378" s="491" t="n"/>
      <c r="G378" s="491" t="n"/>
      <c r="H378" s="491" t="n"/>
      <c r="I378" s="491" t="n"/>
      <c r="J378" s="491" t="n"/>
      <c r="K378" s="491" t="n"/>
      <c r="L378" s="491" t="n"/>
      <c r="M378" s="491" t="n"/>
      <c r="N378" s="491" t="n"/>
      <c r="O378" s="491" t="n"/>
      <c r="P378" s="491" t="n"/>
      <c r="Q378" s="491" t="n"/>
      <c r="R378" s="491" t="n"/>
      <c r="S378" s="491" t="n"/>
      <c r="T378" s="491" t="n"/>
      <c r="U378" s="491" t="n"/>
      <c r="V378" s="491" t="n"/>
      <c r="W378" s="491" t="n"/>
      <c r="X378" s="491" t="n"/>
      <c r="Y378" s="491" t="n"/>
      <c r="Z378" s="491" t="n"/>
    </row>
    <row r="379" ht="12.75" customHeight="1" s="398">
      <c r="A379" s="491" t="n"/>
      <c r="B379" s="491" t="n"/>
      <c r="C379" s="491" t="n"/>
      <c r="D379" s="491" t="n"/>
      <c r="E379" s="491" t="n"/>
      <c r="F379" s="491" t="n"/>
      <c r="G379" s="491" t="n"/>
      <c r="H379" s="491" t="n"/>
      <c r="I379" s="491" t="n"/>
      <c r="J379" s="491" t="n"/>
      <c r="K379" s="491" t="n"/>
      <c r="L379" s="491" t="n"/>
      <c r="M379" s="491" t="n"/>
      <c r="N379" s="491" t="n"/>
      <c r="O379" s="491" t="n"/>
      <c r="P379" s="491" t="n"/>
      <c r="Q379" s="491" t="n"/>
      <c r="R379" s="491" t="n"/>
      <c r="S379" s="491" t="n"/>
      <c r="T379" s="491" t="n"/>
      <c r="U379" s="491" t="n"/>
      <c r="V379" s="491" t="n"/>
      <c r="W379" s="491" t="n"/>
      <c r="X379" s="491" t="n"/>
      <c r="Y379" s="491" t="n"/>
      <c r="Z379" s="491" t="n"/>
    </row>
    <row r="380" ht="12.75" customHeight="1" s="398">
      <c r="A380" s="491" t="n"/>
      <c r="B380" s="491" t="n"/>
      <c r="C380" s="491" t="n"/>
      <c r="D380" s="491" t="n"/>
      <c r="E380" s="491" t="n"/>
      <c r="F380" s="491" t="n"/>
      <c r="G380" s="491" t="n"/>
      <c r="H380" s="491" t="n"/>
      <c r="I380" s="491" t="n"/>
      <c r="J380" s="491" t="n"/>
      <c r="K380" s="491" t="n"/>
      <c r="L380" s="491" t="n"/>
      <c r="M380" s="491" t="n"/>
      <c r="N380" s="491" t="n"/>
      <c r="O380" s="491" t="n"/>
      <c r="P380" s="491" t="n"/>
      <c r="Q380" s="491" t="n"/>
      <c r="R380" s="491" t="n"/>
      <c r="S380" s="491" t="n"/>
      <c r="T380" s="491" t="n"/>
      <c r="U380" s="491" t="n"/>
      <c r="V380" s="491" t="n"/>
      <c r="W380" s="491" t="n"/>
      <c r="X380" s="491" t="n"/>
      <c r="Y380" s="491" t="n"/>
      <c r="Z380" s="491" t="n"/>
    </row>
    <row r="381" ht="12.75" customHeight="1" s="398">
      <c r="A381" s="491" t="n"/>
      <c r="B381" s="491" t="n"/>
      <c r="C381" s="491" t="n"/>
      <c r="D381" s="491" t="n"/>
      <c r="E381" s="491" t="n"/>
      <c r="F381" s="491" t="n"/>
      <c r="G381" s="491" t="n"/>
      <c r="H381" s="491" t="n"/>
      <c r="I381" s="491" t="n"/>
      <c r="J381" s="491" t="n"/>
      <c r="K381" s="491" t="n"/>
      <c r="L381" s="491" t="n"/>
      <c r="M381" s="491" t="n"/>
      <c r="N381" s="491" t="n"/>
      <c r="O381" s="491" t="n"/>
      <c r="P381" s="491" t="n"/>
      <c r="Q381" s="491" t="n"/>
      <c r="R381" s="491" t="n"/>
      <c r="S381" s="491" t="n"/>
      <c r="T381" s="491" t="n"/>
      <c r="U381" s="491" t="n"/>
      <c r="V381" s="491" t="n"/>
      <c r="W381" s="491" t="n"/>
      <c r="X381" s="491" t="n"/>
      <c r="Y381" s="491" t="n"/>
      <c r="Z381" s="491" t="n"/>
    </row>
    <row r="382" ht="12.75" customHeight="1" s="398">
      <c r="A382" s="491" t="n"/>
      <c r="B382" s="491" t="n"/>
      <c r="C382" s="491" t="n"/>
      <c r="D382" s="491" t="n"/>
      <c r="E382" s="491" t="n"/>
      <c r="F382" s="491" t="n"/>
      <c r="G382" s="491" t="n"/>
      <c r="H382" s="491" t="n"/>
      <c r="I382" s="491" t="n"/>
      <c r="J382" s="491" t="n"/>
      <c r="K382" s="491" t="n"/>
      <c r="L382" s="491" t="n"/>
      <c r="M382" s="491" t="n"/>
      <c r="N382" s="491" t="n"/>
      <c r="O382" s="491" t="n"/>
      <c r="P382" s="491" t="n"/>
      <c r="Q382" s="491" t="n"/>
      <c r="R382" s="491" t="n"/>
      <c r="S382" s="491" t="n"/>
      <c r="T382" s="491" t="n"/>
      <c r="U382" s="491" t="n"/>
      <c r="V382" s="491" t="n"/>
      <c r="W382" s="491" t="n"/>
      <c r="X382" s="491" t="n"/>
      <c r="Y382" s="491" t="n"/>
      <c r="Z382" s="491" t="n"/>
    </row>
    <row r="383" ht="12.75" customHeight="1" s="398">
      <c r="A383" s="491" t="n"/>
      <c r="B383" s="491" t="n"/>
      <c r="C383" s="491" t="n"/>
      <c r="D383" s="491" t="n"/>
      <c r="E383" s="491" t="n"/>
      <c r="F383" s="491" t="n"/>
      <c r="G383" s="491" t="n"/>
      <c r="H383" s="491" t="n"/>
      <c r="I383" s="491" t="n"/>
      <c r="J383" s="491" t="n"/>
      <c r="K383" s="491" t="n"/>
      <c r="L383" s="491" t="n"/>
      <c r="M383" s="491" t="n"/>
      <c r="N383" s="491" t="n"/>
      <c r="O383" s="491" t="n"/>
      <c r="P383" s="491" t="n"/>
      <c r="Q383" s="491" t="n"/>
      <c r="R383" s="491" t="n"/>
      <c r="S383" s="491" t="n"/>
      <c r="T383" s="491" t="n"/>
      <c r="U383" s="491" t="n"/>
      <c r="V383" s="491" t="n"/>
      <c r="W383" s="491" t="n"/>
      <c r="X383" s="491" t="n"/>
      <c r="Y383" s="491" t="n"/>
      <c r="Z383" s="491" t="n"/>
    </row>
    <row r="384" ht="12.75" customHeight="1" s="398">
      <c r="A384" s="491" t="n"/>
      <c r="B384" s="491" t="n"/>
      <c r="C384" s="491" t="n"/>
      <c r="D384" s="491" t="n"/>
      <c r="E384" s="491" t="n"/>
      <c r="F384" s="491" t="n"/>
      <c r="G384" s="491" t="n"/>
      <c r="H384" s="491" t="n"/>
      <c r="I384" s="491" t="n"/>
      <c r="J384" s="491" t="n"/>
      <c r="K384" s="491" t="n"/>
      <c r="L384" s="491" t="n"/>
      <c r="M384" s="491" t="n"/>
      <c r="N384" s="491" t="n"/>
      <c r="O384" s="491" t="n"/>
      <c r="P384" s="491" t="n"/>
      <c r="Q384" s="491" t="n"/>
      <c r="R384" s="491" t="n"/>
      <c r="S384" s="491" t="n"/>
      <c r="T384" s="491" t="n"/>
      <c r="U384" s="491" t="n"/>
      <c r="V384" s="491" t="n"/>
      <c r="W384" s="491" t="n"/>
      <c r="X384" s="491" t="n"/>
      <c r="Y384" s="491" t="n"/>
      <c r="Z384" s="491" t="n"/>
    </row>
    <row r="385" ht="12.75" customHeight="1" s="398">
      <c r="A385" s="491" t="n"/>
      <c r="B385" s="491" t="n"/>
      <c r="C385" s="491" t="n"/>
      <c r="D385" s="491" t="n"/>
      <c r="E385" s="491" t="n"/>
      <c r="F385" s="491" t="n"/>
      <c r="G385" s="491" t="n"/>
      <c r="H385" s="491" t="n"/>
      <c r="I385" s="491" t="n"/>
      <c r="J385" s="491" t="n"/>
      <c r="K385" s="491" t="n"/>
      <c r="L385" s="491" t="n"/>
      <c r="M385" s="491" t="n"/>
      <c r="N385" s="491" t="n"/>
      <c r="O385" s="491" t="n"/>
      <c r="P385" s="491" t="n"/>
      <c r="Q385" s="491" t="n"/>
      <c r="R385" s="491" t="n"/>
      <c r="S385" s="491" t="n"/>
      <c r="T385" s="491" t="n"/>
      <c r="U385" s="491" t="n"/>
      <c r="V385" s="491" t="n"/>
      <c r="W385" s="491" t="n"/>
      <c r="X385" s="491" t="n"/>
      <c r="Y385" s="491" t="n"/>
      <c r="Z385" s="491" t="n"/>
    </row>
    <row r="386" ht="12.75" customHeight="1" s="398">
      <c r="A386" s="491" t="n"/>
      <c r="B386" s="491" t="n"/>
      <c r="C386" s="491" t="n"/>
      <c r="D386" s="491" t="n"/>
      <c r="E386" s="491" t="n"/>
      <c r="F386" s="491" t="n"/>
      <c r="G386" s="491" t="n"/>
      <c r="H386" s="491" t="n"/>
      <c r="I386" s="491" t="n"/>
      <c r="J386" s="491" t="n"/>
      <c r="K386" s="491" t="n"/>
      <c r="L386" s="491" t="n"/>
      <c r="M386" s="491" t="n"/>
      <c r="N386" s="491" t="n"/>
      <c r="O386" s="491" t="n"/>
      <c r="P386" s="491" t="n"/>
      <c r="Q386" s="491" t="n"/>
      <c r="R386" s="491" t="n"/>
      <c r="S386" s="491" t="n"/>
      <c r="T386" s="491" t="n"/>
      <c r="U386" s="491" t="n"/>
      <c r="V386" s="491" t="n"/>
      <c r="W386" s="491" t="n"/>
      <c r="X386" s="491" t="n"/>
      <c r="Y386" s="491" t="n"/>
      <c r="Z386" s="491" t="n"/>
    </row>
    <row r="387" ht="12.75" customHeight="1" s="398">
      <c r="A387" s="491" t="n"/>
      <c r="B387" s="491" t="n"/>
      <c r="C387" s="491" t="n"/>
      <c r="D387" s="491" t="n"/>
      <c r="E387" s="491" t="n"/>
      <c r="F387" s="491" t="n"/>
      <c r="G387" s="491" t="n"/>
      <c r="H387" s="491" t="n"/>
      <c r="I387" s="491" t="n"/>
      <c r="J387" s="491" t="n"/>
      <c r="K387" s="491" t="n"/>
      <c r="L387" s="491" t="n"/>
      <c r="M387" s="491" t="n"/>
      <c r="N387" s="491" t="n"/>
      <c r="O387" s="491" t="n"/>
      <c r="P387" s="491" t="n"/>
      <c r="Q387" s="491" t="n"/>
      <c r="R387" s="491" t="n"/>
      <c r="S387" s="491" t="n"/>
      <c r="T387" s="491" t="n"/>
      <c r="U387" s="491" t="n"/>
      <c r="V387" s="491" t="n"/>
      <c r="W387" s="491" t="n"/>
      <c r="X387" s="491" t="n"/>
      <c r="Y387" s="491" t="n"/>
      <c r="Z387" s="491" t="n"/>
    </row>
    <row r="388" ht="12.75" customHeight="1" s="398">
      <c r="A388" s="491" t="n"/>
      <c r="B388" s="491" t="n"/>
      <c r="C388" s="491" t="n"/>
      <c r="D388" s="491" t="n"/>
      <c r="E388" s="491" t="n"/>
      <c r="F388" s="491" t="n"/>
      <c r="G388" s="491" t="n"/>
      <c r="H388" s="491" t="n"/>
      <c r="I388" s="491" t="n"/>
      <c r="J388" s="491" t="n"/>
      <c r="K388" s="491" t="n"/>
      <c r="L388" s="491" t="n"/>
      <c r="M388" s="491" t="n"/>
      <c r="N388" s="491" t="n"/>
      <c r="O388" s="491" t="n"/>
      <c r="P388" s="491" t="n"/>
      <c r="Q388" s="491" t="n"/>
      <c r="R388" s="491" t="n"/>
      <c r="S388" s="491" t="n"/>
      <c r="T388" s="491" t="n"/>
      <c r="U388" s="491" t="n"/>
      <c r="V388" s="491" t="n"/>
      <c r="W388" s="491" t="n"/>
      <c r="X388" s="491" t="n"/>
      <c r="Y388" s="491" t="n"/>
      <c r="Z388" s="491" t="n"/>
    </row>
    <row r="389" ht="12.75" customHeight="1" s="398">
      <c r="A389" s="491" t="n"/>
      <c r="B389" s="491" t="n"/>
      <c r="C389" s="491" t="n"/>
      <c r="D389" s="491" t="n"/>
      <c r="E389" s="491" t="n"/>
      <c r="F389" s="491" t="n"/>
      <c r="G389" s="491" t="n"/>
      <c r="H389" s="491" t="n"/>
      <c r="I389" s="491" t="n"/>
      <c r="J389" s="491" t="n"/>
      <c r="K389" s="491" t="n"/>
      <c r="L389" s="491" t="n"/>
      <c r="M389" s="491" t="n"/>
      <c r="N389" s="491" t="n"/>
      <c r="O389" s="491" t="n"/>
      <c r="P389" s="491" t="n"/>
      <c r="Q389" s="491" t="n"/>
      <c r="R389" s="491" t="n"/>
      <c r="S389" s="491" t="n"/>
      <c r="T389" s="491" t="n"/>
      <c r="U389" s="491" t="n"/>
      <c r="V389" s="491" t="n"/>
      <c r="W389" s="491" t="n"/>
      <c r="X389" s="491" t="n"/>
      <c r="Y389" s="491" t="n"/>
      <c r="Z389" s="491" t="n"/>
    </row>
    <row r="390" ht="12.75" customHeight="1" s="398">
      <c r="A390" s="491" t="n"/>
      <c r="B390" s="491" t="n"/>
      <c r="C390" s="491" t="n"/>
      <c r="D390" s="491" t="n"/>
      <c r="E390" s="491" t="n"/>
      <c r="F390" s="491" t="n"/>
      <c r="G390" s="491" t="n"/>
      <c r="H390" s="491" t="n"/>
      <c r="I390" s="491" t="n"/>
      <c r="J390" s="491" t="n"/>
      <c r="K390" s="491" t="n"/>
      <c r="L390" s="491" t="n"/>
      <c r="M390" s="491" t="n"/>
      <c r="N390" s="491" t="n"/>
      <c r="O390" s="491" t="n"/>
      <c r="P390" s="491" t="n"/>
      <c r="Q390" s="491" t="n"/>
      <c r="R390" s="491" t="n"/>
      <c r="S390" s="491" t="n"/>
      <c r="T390" s="491" t="n"/>
      <c r="U390" s="491" t="n"/>
      <c r="V390" s="491" t="n"/>
      <c r="W390" s="491" t="n"/>
      <c r="X390" s="491" t="n"/>
      <c r="Y390" s="491" t="n"/>
      <c r="Z390" s="491" t="n"/>
    </row>
    <row r="391" ht="12.75" customHeight="1" s="398">
      <c r="A391" s="491" t="n"/>
      <c r="B391" s="491" t="n"/>
      <c r="C391" s="491" t="n"/>
      <c r="D391" s="491" t="n"/>
      <c r="E391" s="491" t="n"/>
      <c r="F391" s="491" t="n"/>
      <c r="G391" s="491" t="n"/>
      <c r="H391" s="491" t="n"/>
      <c r="I391" s="491" t="n"/>
      <c r="J391" s="491" t="n"/>
      <c r="K391" s="491" t="n"/>
      <c r="L391" s="491" t="n"/>
      <c r="M391" s="491" t="n"/>
      <c r="N391" s="491" t="n"/>
      <c r="O391" s="491" t="n"/>
      <c r="P391" s="491" t="n"/>
      <c r="Q391" s="491" t="n"/>
      <c r="R391" s="491" t="n"/>
      <c r="S391" s="491" t="n"/>
      <c r="T391" s="491" t="n"/>
      <c r="U391" s="491" t="n"/>
      <c r="V391" s="491" t="n"/>
      <c r="W391" s="491" t="n"/>
      <c r="X391" s="491" t="n"/>
      <c r="Y391" s="491" t="n"/>
      <c r="Z391" s="491" t="n"/>
    </row>
    <row r="392" ht="12.75" customHeight="1" s="398">
      <c r="A392" s="491" t="n"/>
      <c r="B392" s="491" t="n"/>
      <c r="C392" s="491" t="n"/>
      <c r="D392" s="491" t="n"/>
      <c r="E392" s="491" t="n"/>
      <c r="F392" s="491" t="n"/>
      <c r="G392" s="491" t="n"/>
      <c r="H392" s="491" t="n"/>
      <c r="I392" s="491" t="n"/>
      <c r="J392" s="491" t="n"/>
      <c r="K392" s="491" t="n"/>
      <c r="L392" s="491" t="n"/>
      <c r="M392" s="491" t="n"/>
      <c r="N392" s="491" t="n"/>
      <c r="O392" s="491" t="n"/>
      <c r="P392" s="491" t="n"/>
      <c r="Q392" s="491" t="n"/>
      <c r="R392" s="491" t="n"/>
      <c r="S392" s="491" t="n"/>
      <c r="T392" s="491" t="n"/>
      <c r="U392" s="491" t="n"/>
      <c r="V392" s="491" t="n"/>
      <c r="W392" s="491" t="n"/>
      <c r="X392" s="491" t="n"/>
      <c r="Y392" s="491" t="n"/>
      <c r="Z392" s="491" t="n"/>
    </row>
    <row r="393" ht="12.75" customHeight="1" s="398">
      <c r="A393" s="491" t="n"/>
      <c r="B393" s="491" t="n"/>
      <c r="C393" s="491" t="n"/>
      <c r="D393" s="491" t="n"/>
      <c r="E393" s="491" t="n"/>
      <c r="F393" s="491" t="n"/>
      <c r="G393" s="491" t="n"/>
      <c r="H393" s="491" t="n"/>
      <c r="I393" s="491" t="n"/>
      <c r="J393" s="491" t="n"/>
      <c r="K393" s="491" t="n"/>
      <c r="L393" s="491" t="n"/>
      <c r="M393" s="491" t="n"/>
      <c r="N393" s="491" t="n"/>
      <c r="O393" s="491" t="n"/>
      <c r="P393" s="491" t="n"/>
      <c r="Q393" s="491" t="n"/>
      <c r="R393" s="491" t="n"/>
      <c r="S393" s="491" t="n"/>
      <c r="T393" s="491" t="n"/>
      <c r="U393" s="491" t="n"/>
      <c r="V393" s="491" t="n"/>
      <c r="W393" s="491" t="n"/>
      <c r="X393" s="491" t="n"/>
      <c r="Y393" s="491" t="n"/>
      <c r="Z393" s="491" t="n"/>
    </row>
    <row r="394" ht="12.75" customHeight="1" s="398">
      <c r="A394" s="491" t="n"/>
      <c r="B394" s="491" t="n"/>
      <c r="C394" s="491" t="n"/>
      <c r="D394" s="491" t="n"/>
      <c r="E394" s="491" t="n"/>
      <c r="F394" s="491" t="n"/>
      <c r="G394" s="491" t="n"/>
      <c r="H394" s="491" t="n"/>
      <c r="I394" s="491" t="n"/>
      <c r="J394" s="491" t="n"/>
      <c r="K394" s="491" t="n"/>
      <c r="L394" s="491" t="n"/>
      <c r="M394" s="491" t="n"/>
      <c r="N394" s="491" t="n"/>
      <c r="O394" s="491" t="n"/>
      <c r="P394" s="491" t="n"/>
      <c r="Q394" s="491" t="n"/>
      <c r="R394" s="491" t="n"/>
      <c r="S394" s="491" t="n"/>
      <c r="T394" s="491" t="n"/>
      <c r="U394" s="491" t="n"/>
      <c r="V394" s="491" t="n"/>
      <c r="W394" s="491" t="n"/>
      <c r="X394" s="491" t="n"/>
      <c r="Y394" s="491" t="n"/>
      <c r="Z394" s="491" t="n"/>
    </row>
    <row r="395" ht="12.75" customHeight="1" s="398">
      <c r="A395" s="491" t="n"/>
      <c r="B395" s="491" t="n"/>
      <c r="C395" s="491" t="n"/>
      <c r="D395" s="491" t="n"/>
      <c r="E395" s="491" t="n"/>
      <c r="F395" s="491" t="n"/>
      <c r="G395" s="491" t="n"/>
      <c r="H395" s="491" t="n"/>
      <c r="I395" s="491" t="n"/>
      <c r="J395" s="491" t="n"/>
      <c r="K395" s="491" t="n"/>
      <c r="L395" s="491" t="n"/>
      <c r="M395" s="491" t="n"/>
      <c r="N395" s="491" t="n"/>
      <c r="O395" s="491" t="n"/>
      <c r="P395" s="491" t="n"/>
      <c r="Q395" s="491" t="n"/>
      <c r="R395" s="491" t="n"/>
      <c r="S395" s="491" t="n"/>
      <c r="T395" s="491" t="n"/>
      <c r="U395" s="491" t="n"/>
      <c r="V395" s="491" t="n"/>
      <c r="W395" s="491" t="n"/>
      <c r="X395" s="491" t="n"/>
      <c r="Y395" s="491" t="n"/>
      <c r="Z395" s="491" t="n"/>
    </row>
    <row r="396" ht="12.75" customHeight="1" s="398">
      <c r="A396" s="491" t="n"/>
      <c r="B396" s="491" t="n"/>
      <c r="C396" s="491" t="n"/>
      <c r="D396" s="491" t="n"/>
      <c r="E396" s="491" t="n"/>
      <c r="F396" s="491" t="n"/>
      <c r="G396" s="491" t="n"/>
      <c r="H396" s="491" t="n"/>
      <c r="I396" s="491" t="n"/>
      <c r="J396" s="491" t="n"/>
      <c r="K396" s="491" t="n"/>
      <c r="L396" s="491" t="n"/>
      <c r="M396" s="491" t="n"/>
      <c r="N396" s="491" t="n"/>
      <c r="O396" s="491" t="n"/>
      <c r="P396" s="491" t="n"/>
      <c r="Q396" s="491" t="n"/>
      <c r="R396" s="491" t="n"/>
      <c r="S396" s="491" t="n"/>
      <c r="T396" s="491" t="n"/>
      <c r="U396" s="491" t="n"/>
      <c r="V396" s="491" t="n"/>
      <c r="W396" s="491" t="n"/>
      <c r="X396" s="491" t="n"/>
      <c r="Y396" s="491" t="n"/>
      <c r="Z396" s="491" t="n"/>
    </row>
    <row r="397" ht="12.75" customHeight="1" s="398">
      <c r="A397" s="491" t="n"/>
      <c r="B397" s="491" t="n"/>
      <c r="C397" s="491" t="n"/>
      <c r="D397" s="491" t="n"/>
      <c r="E397" s="491" t="n"/>
      <c r="F397" s="491" t="n"/>
      <c r="G397" s="491" t="n"/>
      <c r="H397" s="491" t="n"/>
      <c r="I397" s="491" t="n"/>
      <c r="J397" s="491" t="n"/>
      <c r="K397" s="491" t="n"/>
      <c r="L397" s="491" t="n"/>
      <c r="M397" s="491" t="n"/>
      <c r="N397" s="491" t="n"/>
      <c r="O397" s="491" t="n"/>
      <c r="P397" s="491" t="n"/>
      <c r="Q397" s="491" t="n"/>
      <c r="R397" s="491" t="n"/>
      <c r="S397" s="491" t="n"/>
      <c r="T397" s="491" t="n"/>
      <c r="U397" s="491" t="n"/>
      <c r="V397" s="491" t="n"/>
      <c r="W397" s="491" t="n"/>
      <c r="X397" s="491" t="n"/>
      <c r="Y397" s="491" t="n"/>
      <c r="Z397" s="491" t="n"/>
    </row>
    <row r="398" ht="12.75" customHeight="1" s="398">
      <c r="A398" s="491" t="n"/>
      <c r="B398" s="491" t="n"/>
      <c r="C398" s="491" t="n"/>
      <c r="D398" s="491" t="n"/>
      <c r="E398" s="491" t="n"/>
      <c r="F398" s="491" t="n"/>
      <c r="G398" s="491" t="n"/>
      <c r="H398" s="491" t="n"/>
      <c r="I398" s="491" t="n"/>
      <c r="J398" s="491" t="n"/>
      <c r="K398" s="491" t="n"/>
      <c r="L398" s="491" t="n"/>
      <c r="M398" s="491" t="n"/>
      <c r="N398" s="491" t="n"/>
      <c r="O398" s="491" t="n"/>
      <c r="P398" s="491" t="n"/>
      <c r="Q398" s="491" t="n"/>
      <c r="R398" s="491" t="n"/>
      <c r="S398" s="491" t="n"/>
      <c r="T398" s="491" t="n"/>
      <c r="U398" s="491" t="n"/>
      <c r="V398" s="491" t="n"/>
      <c r="W398" s="491" t="n"/>
      <c r="X398" s="491" t="n"/>
      <c r="Y398" s="491" t="n"/>
      <c r="Z398" s="491" t="n"/>
    </row>
    <row r="399" ht="12.75" customHeight="1" s="398">
      <c r="A399" s="491" t="n"/>
      <c r="B399" s="491" t="n"/>
      <c r="C399" s="491" t="n"/>
      <c r="D399" s="491" t="n"/>
      <c r="E399" s="491" t="n"/>
      <c r="F399" s="491" t="n"/>
      <c r="G399" s="491" t="n"/>
      <c r="H399" s="491" t="n"/>
      <c r="I399" s="491" t="n"/>
      <c r="J399" s="491" t="n"/>
      <c r="K399" s="491" t="n"/>
      <c r="L399" s="491" t="n"/>
      <c r="M399" s="491" t="n"/>
      <c r="N399" s="491" t="n"/>
      <c r="O399" s="491" t="n"/>
      <c r="P399" s="491" t="n"/>
      <c r="Q399" s="491" t="n"/>
      <c r="R399" s="491" t="n"/>
      <c r="S399" s="491" t="n"/>
      <c r="T399" s="491" t="n"/>
      <c r="U399" s="491" t="n"/>
      <c r="V399" s="491" t="n"/>
      <c r="W399" s="491" t="n"/>
      <c r="X399" s="491" t="n"/>
      <c r="Y399" s="491" t="n"/>
      <c r="Z399" s="491" t="n"/>
    </row>
    <row r="400" ht="12.75" customHeight="1" s="398">
      <c r="A400" s="491" t="n"/>
      <c r="B400" s="491" t="n"/>
      <c r="C400" s="491" t="n"/>
      <c r="D400" s="491" t="n"/>
      <c r="E400" s="491" t="n"/>
      <c r="F400" s="491" t="n"/>
      <c r="G400" s="491" t="n"/>
      <c r="H400" s="491" t="n"/>
      <c r="I400" s="491" t="n"/>
      <c r="J400" s="491" t="n"/>
      <c r="K400" s="491" t="n"/>
      <c r="L400" s="491" t="n"/>
      <c r="M400" s="491" t="n"/>
      <c r="N400" s="491" t="n"/>
      <c r="O400" s="491" t="n"/>
      <c r="P400" s="491" t="n"/>
      <c r="Q400" s="491" t="n"/>
      <c r="R400" s="491" t="n"/>
      <c r="S400" s="491" t="n"/>
      <c r="T400" s="491" t="n"/>
      <c r="U400" s="491" t="n"/>
      <c r="V400" s="491" t="n"/>
      <c r="W400" s="491" t="n"/>
      <c r="X400" s="491" t="n"/>
      <c r="Y400" s="491" t="n"/>
      <c r="Z400" s="491" t="n"/>
    </row>
    <row r="401" ht="12.75" customHeight="1" s="398">
      <c r="A401" s="491" t="n"/>
      <c r="B401" s="491" t="n"/>
      <c r="C401" s="491" t="n"/>
      <c r="D401" s="491" t="n"/>
      <c r="E401" s="491" t="n"/>
      <c r="F401" s="491" t="n"/>
      <c r="G401" s="491" t="n"/>
      <c r="H401" s="491" t="n"/>
      <c r="I401" s="491" t="n"/>
      <c r="J401" s="491" t="n"/>
      <c r="K401" s="491" t="n"/>
      <c r="L401" s="491" t="n"/>
      <c r="M401" s="491" t="n"/>
      <c r="N401" s="491" t="n"/>
      <c r="O401" s="491" t="n"/>
      <c r="P401" s="491" t="n"/>
      <c r="Q401" s="491" t="n"/>
      <c r="R401" s="491" t="n"/>
      <c r="S401" s="491" t="n"/>
      <c r="T401" s="491" t="n"/>
      <c r="U401" s="491" t="n"/>
      <c r="V401" s="491" t="n"/>
      <c r="W401" s="491" t="n"/>
      <c r="X401" s="491" t="n"/>
      <c r="Y401" s="491" t="n"/>
      <c r="Z401" s="491" t="n"/>
    </row>
    <row r="402" ht="12.75" customHeight="1" s="398">
      <c r="A402" s="491" t="n"/>
      <c r="B402" s="491" t="n"/>
      <c r="C402" s="491" t="n"/>
      <c r="D402" s="491" t="n"/>
      <c r="E402" s="491" t="n"/>
      <c r="F402" s="491" t="n"/>
      <c r="G402" s="491" t="n"/>
      <c r="H402" s="491" t="n"/>
      <c r="I402" s="491" t="n"/>
      <c r="J402" s="491" t="n"/>
      <c r="K402" s="491" t="n"/>
      <c r="L402" s="491" t="n"/>
      <c r="M402" s="491" t="n"/>
      <c r="N402" s="491" t="n"/>
      <c r="O402" s="491" t="n"/>
      <c r="P402" s="491" t="n"/>
      <c r="Q402" s="491" t="n"/>
      <c r="R402" s="491" t="n"/>
      <c r="S402" s="491" t="n"/>
      <c r="T402" s="491" t="n"/>
      <c r="U402" s="491" t="n"/>
      <c r="V402" s="491" t="n"/>
      <c r="W402" s="491" t="n"/>
      <c r="X402" s="491" t="n"/>
      <c r="Y402" s="491" t="n"/>
      <c r="Z402" s="491" t="n"/>
    </row>
    <row r="403" ht="12.75" customHeight="1" s="398">
      <c r="A403" s="491" t="n"/>
      <c r="B403" s="491" t="n"/>
      <c r="C403" s="491" t="n"/>
      <c r="D403" s="491" t="n"/>
      <c r="E403" s="491" t="n"/>
      <c r="F403" s="491" t="n"/>
      <c r="G403" s="491" t="n"/>
      <c r="H403" s="491" t="n"/>
      <c r="I403" s="491" t="n"/>
      <c r="J403" s="491" t="n"/>
      <c r="K403" s="491" t="n"/>
      <c r="L403" s="491" t="n"/>
      <c r="M403" s="491" t="n"/>
      <c r="N403" s="491" t="n"/>
      <c r="O403" s="491" t="n"/>
      <c r="P403" s="491" t="n"/>
      <c r="Q403" s="491" t="n"/>
      <c r="R403" s="491" t="n"/>
      <c r="S403" s="491" t="n"/>
      <c r="T403" s="491" t="n"/>
      <c r="U403" s="491" t="n"/>
      <c r="V403" s="491" t="n"/>
      <c r="W403" s="491" t="n"/>
      <c r="X403" s="491" t="n"/>
      <c r="Y403" s="491" t="n"/>
      <c r="Z403" s="491" t="n"/>
    </row>
    <row r="404" ht="12.75" customHeight="1" s="398">
      <c r="A404" s="491" t="n"/>
      <c r="B404" s="491" t="n"/>
      <c r="C404" s="491" t="n"/>
      <c r="D404" s="491" t="n"/>
      <c r="E404" s="491" t="n"/>
      <c r="F404" s="491" t="n"/>
      <c r="G404" s="491" t="n"/>
      <c r="H404" s="491" t="n"/>
      <c r="I404" s="491" t="n"/>
      <c r="J404" s="491" t="n"/>
      <c r="K404" s="491" t="n"/>
      <c r="L404" s="491" t="n"/>
      <c r="M404" s="491" t="n"/>
      <c r="N404" s="491" t="n"/>
      <c r="O404" s="491" t="n"/>
      <c r="P404" s="491" t="n"/>
      <c r="Q404" s="491" t="n"/>
      <c r="R404" s="491" t="n"/>
      <c r="S404" s="491" t="n"/>
      <c r="T404" s="491" t="n"/>
      <c r="U404" s="491" t="n"/>
      <c r="V404" s="491" t="n"/>
      <c r="W404" s="491" t="n"/>
      <c r="X404" s="491" t="n"/>
      <c r="Y404" s="491" t="n"/>
      <c r="Z404" s="491" t="n"/>
    </row>
    <row r="405" ht="12.75" customHeight="1" s="398">
      <c r="A405" s="491" t="n"/>
      <c r="B405" s="491" t="n"/>
      <c r="C405" s="491" t="n"/>
      <c r="D405" s="491" t="n"/>
      <c r="E405" s="491" t="n"/>
      <c r="F405" s="491" t="n"/>
      <c r="G405" s="491" t="n"/>
      <c r="H405" s="491" t="n"/>
      <c r="I405" s="491" t="n"/>
      <c r="J405" s="491" t="n"/>
      <c r="K405" s="491" t="n"/>
      <c r="L405" s="491" t="n"/>
      <c r="M405" s="491" t="n"/>
      <c r="N405" s="491" t="n"/>
      <c r="O405" s="491" t="n"/>
      <c r="P405" s="491" t="n"/>
      <c r="Q405" s="491" t="n"/>
      <c r="R405" s="491" t="n"/>
      <c r="S405" s="491" t="n"/>
      <c r="T405" s="491" t="n"/>
      <c r="U405" s="491" t="n"/>
      <c r="V405" s="491" t="n"/>
      <c r="W405" s="491" t="n"/>
      <c r="X405" s="491" t="n"/>
      <c r="Y405" s="491" t="n"/>
      <c r="Z405" s="491" t="n"/>
    </row>
    <row r="406" ht="12.75" customHeight="1" s="398">
      <c r="A406" s="491" t="n"/>
      <c r="B406" s="491" t="n"/>
      <c r="C406" s="491" t="n"/>
      <c r="D406" s="491" t="n"/>
      <c r="E406" s="491" t="n"/>
      <c r="F406" s="491" t="n"/>
      <c r="G406" s="491" t="n"/>
      <c r="H406" s="491" t="n"/>
      <c r="I406" s="491" t="n"/>
      <c r="J406" s="491" t="n"/>
      <c r="K406" s="491" t="n"/>
      <c r="L406" s="491" t="n"/>
      <c r="M406" s="491" t="n"/>
      <c r="N406" s="491" t="n"/>
      <c r="O406" s="491" t="n"/>
      <c r="P406" s="491" t="n"/>
      <c r="Q406" s="491" t="n"/>
      <c r="R406" s="491" t="n"/>
      <c r="S406" s="491" t="n"/>
      <c r="T406" s="491" t="n"/>
      <c r="U406" s="491" t="n"/>
      <c r="V406" s="491" t="n"/>
      <c r="W406" s="491" t="n"/>
      <c r="X406" s="491" t="n"/>
      <c r="Y406" s="491" t="n"/>
      <c r="Z406" s="491" t="n"/>
    </row>
    <row r="407" ht="12.75" customHeight="1" s="398">
      <c r="A407" s="491" t="n"/>
      <c r="B407" s="491" t="n"/>
      <c r="C407" s="491" t="n"/>
      <c r="D407" s="491" t="n"/>
      <c r="E407" s="491" t="n"/>
      <c r="F407" s="491" t="n"/>
      <c r="G407" s="491" t="n"/>
      <c r="H407" s="491" t="n"/>
      <c r="I407" s="491" t="n"/>
      <c r="J407" s="491" t="n"/>
      <c r="K407" s="491" t="n"/>
      <c r="L407" s="491" t="n"/>
      <c r="M407" s="491" t="n"/>
      <c r="N407" s="491" t="n"/>
      <c r="O407" s="491" t="n"/>
      <c r="P407" s="491" t="n"/>
      <c r="Q407" s="491" t="n"/>
      <c r="R407" s="491" t="n"/>
      <c r="S407" s="491" t="n"/>
      <c r="T407" s="491" t="n"/>
      <c r="U407" s="491" t="n"/>
      <c r="V407" s="491" t="n"/>
      <c r="W407" s="491" t="n"/>
      <c r="X407" s="491" t="n"/>
      <c r="Y407" s="491" t="n"/>
      <c r="Z407" s="491" t="n"/>
    </row>
    <row r="408" ht="12.75" customHeight="1" s="398">
      <c r="A408" s="491" t="n"/>
      <c r="B408" s="491" t="n"/>
      <c r="C408" s="491" t="n"/>
      <c r="D408" s="491" t="n"/>
      <c r="E408" s="491" t="n"/>
      <c r="F408" s="491" t="n"/>
      <c r="G408" s="491" t="n"/>
      <c r="H408" s="491" t="n"/>
      <c r="I408" s="491" t="n"/>
      <c r="J408" s="491" t="n"/>
      <c r="K408" s="491" t="n"/>
      <c r="L408" s="491" t="n"/>
      <c r="M408" s="491" t="n"/>
      <c r="N408" s="491" t="n"/>
      <c r="O408" s="491" t="n"/>
      <c r="P408" s="491" t="n"/>
      <c r="Q408" s="491" t="n"/>
      <c r="R408" s="491" t="n"/>
      <c r="S408" s="491" t="n"/>
      <c r="T408" s="491" t="n"/>
      <c r="U408" s="491" t="n"/>
      <c r="V408" s="491" t="n"/>
      <c r="W408" s="491" t="n"/>
      <c r="X408" s="491" t="n"/>
      <c r="Y408" s="491" t="n"/>
      <c r="Z408" s="491" t="n"/>
    </row>
    <row r="409" ht="12.75" customHeight="1" s="398">
      <c r="A409" s="491" t="n"/>
      <c r="B409" s="491" t="n"/>
      <c r="C409" s="491" t="n"/>
      <c r="D409" s="491" t="n"/>
      <c r="E409" s="491" t="n"/>
      <c r="F409" s="491" t="n"/>
      <c r="G409" s="491" t="n"/>
      <c r="H409" s="491" t="n"/>
      <c r="I409" s="491" t="n"/>
      <c r="J409" s="491" t="n"/>
      <c r="K409" s="491" t="n"/>
      <c r="L409" s="491" t="n"/>
      <c r="M409" s="491" t="n"/>
      <c r="N409" s="491" t="n"/>
      <c r="O409" s="491" t="n"/>
      <c r="P409" s="491" t="n"/>
      <c r="Q409" s="491" t="n"/>
      <c r="R409" s="491" t="n"/>
      <c r="S409" s="491" t="n"/>
      <c r="T409" s="491" t="n"/>
      <c r="U409" s="491" t="n"/>
      <c r="V409" s="491" t="n"/>
      <c r="W409" s="491" t="n"/>
      <c r="X409" s="491" t="n"/>
      <c r="Y409" s="491" t="n"/>
      <c r="Z409" s="491" t="n"/>
    </row>
    <row r="410" ht="12.75" customHeight="1" s="398">
      <c r="A410" s="491" t="n"/>
      <c r="B410" s="491" t="n"/>
      <c r="C410" s="491" t="n"/>
      <c r="D410" s="491" t="n"/>
      <c r="E410" s="491" t="n"/>
      <c r="F410" s="491" t="n"/>
      <c r="G410" s="491" t="n"/>
      <c r="H410" s="491" t="n"/>
      <c r="I410" s="491" t="n"/>
      <c r="J410" s="491" t="n"/>
      <c r="K410" s="491" t="n"/>
      <c r="L410" s="491" t="n"/>
      <c r="M410" s="491" t="n"/>
      <c r="N410" s="491" t="n"/>
      <c r="O410" s="491" t="n"/>
      <c r="P410" s="491" t="n"/>
      <c r="Q410" s="491" t="n"/>
      <c r="R410" s="491" t="n"/>
      <c r="S410" s="491" t="n"/>
      <c r="T410" s="491" t="n"/>
      <c r="U410" s="491" t="n"/>
      <c r="V410" s="491" t="n"/>
      <c r="W410" s="491" t="n"/>
      <c r="X410" s="491" t="n"/>
      <c r="Y410" s="491" t="n"/>
      <c r="Z410" s="491" t="n"/>
    </row>
    <row r="411" ht="12.75" customHeight="1" s="398">
      <c r="A411" s="491" t="n"/>
      <c r="B411" s="491" t="n"/>
      <c r="C411" s="491" t="n"/>
      <c r="D411" s="491" t="n"/>
      <c r="E411" s="491" t="n"/>
      <c r="F411" s="491" t="n"/>
      <c r="G411" s="491" t="n"/>
      <c r="H411" s="491" t="n"/>
      <c r="I411" s="491" t="n"/>
      <c r="J411" s="491" t="n"/>
      <c r="K411" s="491" t="n"/>
      <c r="L411" s="491" t="n"/>
      <c r="M411" s="491" t="n"/>
      <c r="N411" s="491" t="n"/>
      <c r="O411" s="491" t="n"/>
      <c r="P411" s="491" t="n"/>
      <c r="Q411" s="491" t="n"/>
      <c r="R411" s="491" t="n"/>
      <c r="S411" s="491" t="n"/>
      <c r="T411" s="491" t="n"/>
      <c r="U411" s="491" t="n"/>
      <c r="V411" s="491" t="n"/>
      <c r="W411" s="491" t="n"/>
      <c r="X411" s="491" t="n"/>
      <c r="Y411" s="491" t="n"/>
      <c r="Z411" s="491" t="n"/>
    </row>
    <row r="412" ht="12.75" customHeight="1" s="398">
      <c r="A412" s="491" t="n"/>
      <c r="B412" s="491" t="n"/>
      <c r="C412" s="491" t="n"/>
      <c r="D412" s="491" t="n"/>
      <c r="E412" s="491" t="n"/>
      <c r="F412" s="491" t="n"/>
      <c r="G412" s="491" t="n"/>
      <c r="H412" s="491" t="n"/>
      <c r="I412" s="491" t="n"/>
      <c r="J412" s="491" t="n"/>
      <c r="K412" s="491" t="n"/>
      <c r="L412" s="491" t="n"/>
      <c r="M412" s="491" t="n"/>
      <c r="N412" s="491" t="n"/>
      <c r="O412" s="491" t="n"/>
      <c r="P412" s="491" t="n"/>
      <c r="Q412" s="491" t="n"/>
      <c r="R412" s="491" t="n"/>
      <c r="S412" s="491" t="n"/>
      <c r="T412" s="491" t="n"/>
      <c r="U412" s="491" t="n"/>
      <c r="V412" s="491" t="n"/>
      <c r="W412" s="491" t="n"/>
      <c r="X412" s="491" t="n"/>
      <c r="Y412" s="491" t="n"/>
      <c r="Z412" s="491" t="n"/>
    </row>
    <row r="413" ht="12.75" customHeight="1" s="398">
      <c r="A413" s="491" t="n"/>
      <c r="B413" s="491" t="n"/>
      <c r="C413" s="491" t="n"/>
      <c r="D413" s="491" t="n"/>
      <c r="E413" s="491" t="n"/>
      <c r="F413" s="491" t="n"/>
      <c r="G413" s="491" t="n"/>
      <c r="H413" s="491" t="n"/>
      <c r="I413" s="491" t="n"/>
      <c r="J413" s="491" t="n"/>
      <c r="K413" s="491" t="n"/>
      <c r="L413" s="491" t="n"/>
      <c r="M413" s="491" t="n"/>
      <c r="N413" s="491" t="n"/>
      <c r="O413" s="491" t="n"/>
      <c r="P413" s="491" t="n"/>
      <c r="Q413" s="491" t="n"/>
      <c r="R413" s="491" t="n"/>
      <c r="S413" s="491" t="n"/>
      <c r="T413" s="491" t="n"/>
      <c r="U413" s="491" t="n"/>
      <c r="V413" s="491" t="n"/>
      <c r="W413" s="491" t="n"/>
      <c r="X413" s="491" t="n"/>
      <c r="Y413" s="491" t="n"/>
      <c r="Z413" s="491" t="n"/>
    </row>
    <row r="414" ht="12.75" customHeight="1" s="398">
      <c r="A414" s="491" t="n"/>
      <c r="B414" s="491" t="n"/>
      <c r="C414" s="491" t="n"/>
      <c r="D414" s="491" t="n"/>
      <c r="E414" s="491" t="n"/>
      <c r="F414" s="491" t="n"/>
      <c r="G414" s="491" t="n"/>
      <c r="H414" s="491" t="n"/>
      <c r="I414" s="491" t="n"/>
      <c r="J414" s="491" t="n"/>
      <c r="K414" s="491" t="n"/>
      <c r="L414" s="491" t="n"/>
      <c r="M414" s="491" t="n"/>
      <c r="N414" s="491" t="n"/>
      <c r="O414" s="491" t="n"/>
      <c r="P414" s="491" t="n"/>
      <c r="Q414" s="491" t="n"/>
      <c r="R414" s="491" t="n"/>
      <c r="S414" s="491" t="n"/>
      <c r="T414" s="491" t="n"/>
      <c r="U414" s="491" t="n"/>
      <c r="V414" s="491" t="n"/>
      <c r="W414" s="491" t="n"/>
      <c r="X414" s="491" t="n"/>
      <c r="Y414" s="491" t="n"/>
      <c r="Z414" s="491" t="n"/>
    </row>
    <row r="415" ht="12.75" customHeight="1" s="398">
      <c r="A415" s="491" t="n"/>
      <c r="B415" s="491" t="n"/>
      <c r="C415" s="491" t="n"/>
      <c r="D415" s="491" t="n"/>
      <c r="E415" s="491" t="n"/>
      <c r="F415" s="491" t="n"/>
      <c r="G415" s="491" t="n"/>
      <c r="H415" s="491" t="n"/>
      <c r="I415" s="491" t="n"/>
      <c r="J415" s="491" t="n"/>
      <c r="K415" s="491" t="n"/>
      <c r="L415" s="491" t="n"/>
      <c r="M415" s="491" t="n"/>
      <c r="N415" s="491" t="n"/>
      <c r="O415" s="491" t="n"/>
      <c r="P415" s="491" t="n"/>
      <c r="Q415" s="491" t="n"/>
      <c r="R415" s="491" t="n"/>
      <c r="S415" s="491" t="n"/>
      <c r="T415" s="491" t="n"/>
      <c r="U415" s="491" t="n"/>
      <c r="V415" s="491" t="n"/>
      <c r="W415" s="491" t="n"/>
      <c r="X415" s="491" t="n"/>
      <c r="Y415" s="491" t="n"/>
      <c r="Z415" s="491" t="n"/>
    </row>
    <row r="416" ht="12.75" customHeight="1" s="398">
      <c r="A416" s="491" t="n"/>
      <c r="B416" s="491" t="n"/>
      <c r="C416" s="491" t="n"/>
      <c r="D416" s="491" t="n"/>
      <c r="E416" s="491" t="n"/>
      <c r="F416" s="491" t="n"/>
      <c r="G416" s="491" t="n"/>
      <c r="H416" s="491" t="n"/>
      <c r="I416" s="491" t="n"/>
      <c r="J416" s="491" t="n"/>
      <c r="K416" s="491" t="n"/>
      <c r="L416" s="491" t="n"/>
      <c r="M416" s="491" t="n"/>
      <c r="N416" s="491" t="n"/>
      <c r="O416" s="491" t="n"/>
      <c r="P416" s="491" t="n"/>
      <c r="Q416" s="491" t="n"/>
      <c r="R416" s="491" t="n"/>
      <c r="S416" s="491" t="n"/>
      <c r="T416" s="491" t="n"/>
      <c r="U416" s="491" t="n"/>
      <c r="V416" s="491" t="n"/>
      <c r="W416" s="491" t="n"/>
      <c r="X416" s="491" t="n"/>
      <c r="Y416" s="491" t="n"/>
      <c r="Z416" s="491" t="n"/>
    </row>
    <row r="417" ht="12.75" customHeight="1" s="398">
      <c r="A417" s="491" t="n"/>
      <c r="B417" s="491" t="n"/>
      <c r="C417" s="491" t="n"/>
      <c r="D417" s="491" t="n"/>
      <c r="E417" s="491" t="n"/>
      <c r="F417" s="491" t="n"/>
      <c r="G417" s="491" t="n"/>
      <c r="H417" s="491" t="n"/>
      <c r="I417" s="491" t="n"/>
      <c r="J417" s="491" t="n"/>
      <c r="K417" s="491" t="n"/>
      <c r="L417" s="491" t="n"/>
      <c r="M417" s="491" t="n"/>
      <c r="N417" s="491" t="n"/>
      <c r="O417" s="491" t="n"/>
      <c r="P417" s="491" t="n"/>
      <c r="Q417" s="491" t="n"/>
      <c r="R417" s="491" t="n"/>
      <c r="S417" s="491" t="n"/>
      <c r="T417" s="491" t="n"/>
      <c r="U417" s="491" t="n"/>
      <c r="V417" s="491" t="n"/>
      <c r="W417" s="491" t="n"/>
      <c r="X417" s="491" t="n"/>
      <c r="Y417" s="491" t="n"/>
      <c r="Z417" s="491" t="n"/>
    </row>
    <row r="418" ht="12.75" customHeight="1" s="398">
      <c r="A418" s="491" t="n"/>
      <c r="B418" s="491" t="n"/>
      <c r="C418" s="491" t="n"/>
      <c r="D418" s="491" t="n"/>
      <c r="E418" s="491" t="n"/>
      <c r="F418" s="491" t="n"/>
      <c r="G418" s="491" t="n"/>
      <c r="H418" s="491" t="n"/>
      <c r="I418" s="491" t="n"/>
      <c r="J418" s="491" t="n"/>
      <c r="K418" s="491" t="n"/>
      <c r="L418" s="491" t="n"/>
      <c r="M418" s="491" t="n"/>
      <c r="N418" s="491" t="n"/>
      <c r="O418" s="491" t="n"/>
      <c r="P418" s="491" t="n"/>
      <c r="Q418" s="491" t="n"/>
      <c r="R418" s="491" t="n"/>
      <c r="S418" s="491" t="n"/>
      <c r="T418" s="491" t="n"/>
      <c r="U418" s="491" t="n"/>
      <c r="V418" s="491" t="n"/>
      <c r="W418" s="491" t="n"/>
      <c r="X418" s="491" t="n"/>
      <c r="Y418" s="491" t="n"/>
      <c r="Z418" s="491" t="n"/>
    </row>
    <row r="419" ht="12.75" customHeight="1" s="398">
      <c r="A419" s="491" t="n"/>
      <c r="B419" s="491" t="n"/>
      <c r="C419" s="491" t="n"/>
      <c r="D419" s="491" t="n"/>
      <c r="E419" s="491" t="n"/>
      <c r="F419" s="491" t="n"/>
      <c r="G419" s="491" t="n"/>
      <c r="H419" s="491" t="n"/>
      <c r="I419" s="491" t="n"/>
      <c r="J419" s="491" t="n"/>
      <c r="K419" s="491" t="n"/>
      <c r="L419" s="491" t="n"/>
      <c r="M419" s="491" t="n"/>
      <c r="N419" s="491" t="n"/>
      <c r="O419" s="491" t="n"/>
      <c r="P419" s="491" t="n"/>
      <c r="Q419" s="491" t="n"/>
      <c r="R419" s="491" t="n"/>
      <c r="S419" s="491" t="n"/>
      <c r="T419" s="491" t="n"/>
      <c r="U419" s="491" t="n"/>
      <c r="V419" s="491" t="n"/>
      <c r="W419" s="491" t="n"/>
      <c r="X419" s="491" t="n"/>
      <c r="Y419" s="491" t="n"/>
      <c r="Z419" s="491" t="n"/>
    </row>
    <row r="420" ht="12.75" customHeight="1" s="398">
      <c r="A420" s="491" t="n"/>
      <c r="B420" s="491" t="n"/>
      <c r="C420" s="491" t="n"/>
      <c r="D420" s="491" t="n"/>
      <c r="E420" s="491" t="n"/>
      <c r="F420" s="491" t="n"/>
      <c r="G420" s="491" t="n"/>
      <c r="H420" s="491" t="n"/>
      <c r="I420" s="491" t="n"/>
      <c r="J420" s="491" t="n"/>
      <c r="K420" s="491" t="n"/>
      <c r="L420" s="491" t="n"/>
      <c r="M420" s="491" t="n"/>
      <c r="N420" s="491" t="n"/>
      <c r="O420" s="491" t="n"/>
      <c r="P420" s="491" t="n"/>
      <c r="Q420" s="491" t="n"/>
      <c r="R420" s="491" t="n"/>
      <c r="S420" s="491" t="n"/>
      <c r="T420" s="491" t="n"/>
      <c r="U420" s="491" t="n"/>
      <c r="V420" s="491" t="n"/>
      <c r="W420" s="491" t="n"/>
      <c r="X420" s="491" t="n"/>
      <c r="Y420" s="491" t="n"/>
      <c r="Z420" s="491" t="n"/>
    </row>
    <row r="421" ht="12.75" customHeight="1" s="398">
      <c r="A421" s="491" t="n"/>
      <c r="B421" s="491" t="n"/>
      <c r="C421" s="491" t="n"/>
      <c r="D421" s="491" t="n"/>
      <c r="E421" s="491" t="n"/>
      <c r="F421" s="491" t="n"/>
      <c r="G421" s="491" t="n"/>
      <c r="H421" s="491" t="n"/>
      <c r="I421" s="491" t="n"/>
      <c r="J421" s="491" t="n"/>
      <c r="K421" s="491" t="n"/>
      <c r="L421" s="491" t="n"/>
      <c r="M421" s="491" t="n"/>
      <c r="N421" s="491" t="n"/>
      <c r="O421" s="491" t="n"/>
      <c r="P421" s="491" t="n"/>
      <c r="Q421" s="491" t="n"/>
      <c r="R421" s="491" t="n"/>
      <c r="S421" s="491" t="n"/>
      <c r="T421" s="491" t="n"/>
      <c r="U421" s="491" t="n"/>
      <c r="V421" s="491" t="n"/>
      <c r="W421" s="491" t="n"/>
      <c r="X421" s="491" t="n"/>
      <c r="Y421" s="491" t="n"/>
      <c r="Z421" s="491" t="n"/>
    </row>
    <row r="422" ht="12.75" customHeight="1" s="398">
      <c r="A422" s="491" t="n"/>
      <c r="B422" s="491" t="n"/>
      <c r="C422" s="491" t="n"/>
      <c r="D422" s="491" t="n"/>
      <c r="E422" s="491" t="n"/>
      <c r="F422" s="491" t="n"/>
      <c r="G422" s="491" t="n"/>
      <c r="H422" s="491" t="n"/>
      <c r="I422" s="491" t="n"/>
      <c r="J422" s="491" t="n"/>
      <c r="K422" s="491" t="n"/>
      <c r="L422" s="491" t="n"/>
      <c r="M422" s="491" t="n"/>
      <c r="N422" s="491" t="n"/>
      <c r="O422" s="491" t="n"/>
      <c r="P422" s="491" t="n"/>
      <c r="Q422" s="491" t="n"/>
      <c r="R422" s="491" t="n"/>
      <c r="S422" s="491" t="n"/>
      <c r="T422" s="491" t="n"/>
      <c r="U422" s="491" t="n"/>
      <c r="V422" s="491" t="n"/>
      <c r="W422" s="491" t="n"/>
      <c r="X422" s="491" t="n"/>
      <c r="Y422" s="491" t="n"/>
      <c r="Z422" s="491" t="n"/>
    </row>
    <row r="423" ht="12.75" customHeight="1" s="398">
      <c r="A423" s="491" t="n"/>
      <c r="B423" s="491" t="n"/>
      <c r="C423" s="491" t="n"/>
      <c r="D423" s="491" t="n"/>
      <c r="E423" s="491" t="n"/>
      <c r="F423" s="491" t="n"/>
      <c r="G423" s="491" t="n"/>
      <c r="H423" s="491" t="n"/>
      <c r="I423" s="491" t="n"/>
      <c r="J423" s="491" t="n"/>
      <c r="K423" s="491" t="n"/>
      <c r="L423" s="491" t="n"/>
      <c r="M423" s="491" t="n"/>
      <c r="N423" s="491" t="n"/>
      <c r="O423" s="491" t="n"/>
      <c r="P423" s="491" t="n"/>
      <c r="Q423" s="491" t="n"/>
      <c r="R423" s="491" t="n"/>
      <c r="S423" s="491" t="n"/>
      <c r="T423" s="491" t="n"/>
      <c r="U423" s="491" t="n"/>
      <c r="V423" s="491" t="n"/>
      <c r="W423" s="491" t="n"/>
      <c r="X423" s="491" t="n"/>
      <c r="Y423" s="491" t="n"/>
      <c r="Z423" s="491" t="n"/>
    </row>
    <row r="424" ht="12.75" customHeight="1" s="398">
      <c r="A424" s="491" t="n"/>
      <c r="B424" s="491" t="n"/>
      <c r="C424" s="491" t="n"/>
      <c r="D424" s="491" t="n"/>
      <c r="E424" s="491" t="n"/>
      <c r="F424" s="491" t="n"/>
      <c r="G424" s="491" t="n"/>
      <c r="H424" s="491" t="n"/>
      <c r="I424" s="491" t="n"/>
      <c r="J424" s="491" t="n"/>
      <c r="K424" s="491" t="n"/>
      <c r="L424" s="491" t="n"/>
      <c r="M424" s="491" t="n"/>
      <c r="N424" s="491" t="n"/>
      <c r="O424" s="491" t="n"/>
      <c r="P424" s="491" t="n"/>
      <c r="Q424" s="491" t="n"/>
      <c r="R424" s="491" t="n"/>
      <c r="S424" s="491" t="n"/>
      <c r="T424" s="491" t="n"/>
      <c r="U424" s="491" t="n"/>
      <c r="V424" s="491" t="n"/>
      <c r="W424" s="491" t="n"/>
      <c r="X424" s="491" t="n"/>
      <c r="Y424" s="491" t="n"/>
      <c r="Z424" s="491" t="n"/>
    </row>
    <row r="425" ht="12.75" customHeight="1" s="398">
      <c r="A425" s="491" t="n"/>
      <c r="B425" s="491" t="n"/>
      <c r="C425" s="491" t="n"/>
      <c r="D425" s="491" t="n"/>
      <c r="E425" s="491" t="n"/>
      <c r="F425" s="491" t="n"/>
      <c r="G425" s="491" t="n"/>
      <c r="H425" s="491" t="n"/>
      <c r="I425" s="491" t="n"/>
      <c r="J425" s="491" t="n"/>
      <c r="K425" s="491" t="n"/>
      <c r="L425" s="491" t="n"/>
      <c r="M425" s="491" t="n"/>
      <c r="N425" s="491" t="n"/>
      <c r="O425" s="491" t="n"/>
      <c r="P425" s="491" t="n"/>
      <c r="Q425" s="491" t="n"/>
      <c r="R425" s="491" t="n"/>
      <c r="S425" s="491" t="n"/>
      <c r="T425" s="491" t="n"/>
      <c r="U425" s="491" t="n"/>
      <c r="V425" s="491" t="n"/>
      <c r="W425" s="491" t="n"/>
      <c r="X425" s="491" t="n"/>
      <c r="Y425" s="491" t="n"/>
      <c r="Z425" s="491" t="n"/>
    </row>
    <row r="426" ht="12.75" customHeight="1" s="398">
      <c r="A426" s="491" t="n"/>
      <c r="B426" s="491" t="n"/>
      <c r="C426" s="491" t="n"/>
      <c r="D426" s="491" t="n"/>
      <c r="E426" s="491" t="n"/>
      <c r="F426" s="491" t="n"/>
      <c r="G426" s="491" t="n"/>
      <c r="H426" s="491" t="n"/>
      <c r="I426" s="491" t="n"/>
      <c r="J426" s="491" t="n"/>
      <c r="K426" s="491" t="n"/>
      <c r="L426" s="491" t="n"/>
      <c r="M426" s="491" t="n"/>
      <c r="N426" s="491" t="n"/>
      <c r="O426" s="491" t="n"/>
      <c r="P426" s="491" t="n"/>
      <c r="Q426" s="491" t="n"/>
      <c r="R426" s="491" t="n"/>
      <c r="S426" s="491" t="n"/>
      <c r="T426" s="491" t="n"/>
      <c r="U426" s="491" t="n"/>
      <c r="V426" s="491" t="n"/>
      <c r="W426" s="491" t="n"/>
      <c r="X426" s="491" t="n"/>
      <c r="Y426" s="491" t="n"/>
      <c r="Z426" s="491" t="n"/>
    </row>
    <row r="427" ht="12.75" customHeight="1" s="398">
      <c r="A427" s="491" t="n"/>
      <c r="B427" s="491" t="n"/>
      <c r="C427" s="491" t="n"/>
      <c r="D427" s="491" t="n"/>
      <c r="E427" s="491" t="n"/>
      <c r="F427" s="491" t="n"/>
      <c r="G427" s="491" t="n"/>
      <c r="H427" s="491" t="n"/>
      <c r="I427" s="491" t="n"/>
      <c r="J427" s="491" t="n"/>
      <c r="K427" s="491" t="n"/>
      <c r="L427" s="491" t="n"/>
      <c r="M427" s="491" t="n"/>
      <c r="N427" s="491" t="n"/>
      <c r="O427" s="491" t="n"/>
      <c r="P427" s="491" t="n"/>
      <c r="Q427" s="491" t="n"/>
      <c r="R427" s="491" t="n"/>
      <c r="S427" s="491" t="n"/>
      <c r="T427" s="491" t="n"/>
      <c r="U427" s="491" t="n"/>
      <c r="V427" s="491" t="n"/>
      <c r="W427" s="491" t="n"/>
      <c r="X427" s="491" t="n"/>
      <c r="Y427" s="491" t="n"/>
      <c r="Z427" s="491" t="n"/>
    </row>
    <row r="428" ht="12.75" customHeight="1" s="398">
      <c r="A428" s="491" t="n"/>
      <c r="B428" s="491" t="n"/>
      <c r="C428" s="491" t="n"/>
      <c r="D428" s="491" t="n"/>
      <c r="E428" s="491" t="n"/>
      <c r="F428" s="491" t="n"/>
      <c r="G428" s="491" t="n"/>
      <c r="H428" s="491" t="n"/>
      <c r="I428" s="491" t="n"/>
      <c r="J428" s="491" t="n"/>
      <c r="K428" s="491" t="n"/>
      <c r="L428" s="491" t="n"/>
      <c r="M428" s="491" t="n"/>
      <c r="N428" s="491" t="n"/>
      <c r="O428" s="491" t="n"/>
      <c r="P428" s="491" t="n"/>
      <c r="Q428" s="491" t="n"/>
      <c r="R428" s="491" t="n"/>
      <c r="S428" s="491" t="n"/>
      <c r="T428" s="491" t="n"/>
      <c r="U428" s="491" t="n"/>
      <c r="V428" s="491" t="n"/>
      <c r="W428" s="491" t="n"/>
      <c r="X428" s="491" t="n"/>
      <c r="Y428" s="491" t="n"/>
      <c r="Z428" s="491" t="n"/>
    </row>
    <row r="429" ht="12.75" customHeight="1" s="398">
      <c r="A429" s="491" t="n"/>
      <c r="B429" s="491" t="n"/>
      <c r="C429" s="491" t="n"/>
      <c r="D429" s="491" t="n"/>
      <c r="E429" s="491" t="n"/>
      <c r="F429" s="491" t="n"/>
      <c r="G429" s="491" t="n"/>
      <c r="H429" s="491" t="n"/>
      <c r="I429" s="491" t="n"/>
      <c r="J429" s="491" t="n"/>
      <c r="K429" s="491" t="n"/>
      <c r="L429" s="491" t="n"/>
      <c r="M429" s="491" t="n"/>
      <c r="N429" s="491" t="n"/>
      <c r="O429" s="491" t="n"/>
      <c r="P429" s="491" t="n"/>
      <c r="Q429" s="491" t="n"/>
      <c r="R429" s="491" t="n"/>
      <c r="S429" s="491" t="n"/>
      <c r="T429" s="491" t="n"/>
      <c r="U429" s="491" t="n"/>
      <c r="V429" s="491" t="n"/>
      <c r="W429" s="491" t="n"/>
      <c r="X429" s="491" t="n"/>
      <c r="Y429" s="491" t="n"/>
      <c r="Z429" s="491" t="n"/>
    </row>
    <row r="430" ht="12.75" customHeight="1" s="398">
      <c r="A430" s="491" t="n"/>
      <c r="B430" s="491" t="n"/>
      <c r="C430" s="491" t="n"/>
      <c r="D430" s="491" t="n"/>
      <c r="E430" s="491" t="n"/>
      <c r="F430" s="491" t="n"/>
      <c r="G430" s="491" t="n"/>
      <c r="H430" s="491" t="n"/>
      <c r="I430" s="491" t="n"/>
      <c r="J430" s="491" t="n"/>
      <c r="K430" s="491" t="n"/>
      <c r="L430" s="491" t="n"/>
      <c r="M430" s="491" t="n"/>
      <c r="N430" s="491" t="n"/>
      <c r="O430" s="491" t="n"/>
      <c r="P430" s="491" t="n"/>
      <c r="Q430" s="491" t="n"/>
      <c r="R430" s="491" t="n"/>
      <c r="S430" s="491" t="n"/>
      <c r="T430" s="491" t="n"/>
      <c r="U430" s="491" t="n"/>
      <c r="V430" s="491" t="n"/>
      <c r="W430" s="491" t="n"/>
      <c r="X430" s="491" t="n"/>
      <c r="Y430" s="491" t="n"/>
      <c r="Z430" s="491" t="n"/>
    </row>
    <row r="431" ht="12.75" customHeight="1" s="398">
      <c r="A431" s="491" t="n"/>
      <c r="B431" s="491" t="n"/>
      <c r="C431" s="491" t="n"/>
      <c r="D431" s="491" t="n"/>
      <c r="E431" s="491" t="n"/>
      <c r="F431" s="491" t="n"/>
      <c r="G431" s="491" t="n"/>
      <c r="H431" s="491" t="n"/>
      <c r="I431" s="491" t="n"/>
      <c r="J431" s="491" t="n"/>
      <c r="K431" s="491" t="n"/>
      <c r="L431" s="491" t="n"/>
      <c r="M431" s="491" t="n"/>
      <c r="N431" s="491" t="n"/>
      <c r="O431" s="491" t="n"/>
      <c r="P431" s="491" t="n"/>
      <c r="Q431" s="491" t="n"/>
      <c r="R431" s="491" t="n"/>
      <c r="S431" s="491" t="n"/>
      <c r="T431" s="491" t="n"/>
      <c r="U431" s="491" t="n"/>
      <c r="V431" s="491" t="n"/>
      <c r="W431" s="491" t="n"/>
      <c r="X431" s="491" t="n"/>
      <c r="Y431" s="491" t="n"/>
      <c r="Z431" s="491" t="n"/>
    </row>
    <row r="432" ht="12.75" customHeight="1" s="398">
      <c r="A432" s="491" t="n"/>
      <c r="B432" s="491" t="n"/>
      <c r="C432" s="491" t="n"/>
      <c r="D432" s="491" t="n"/>
      <c r="E432" s="491" t="n"/>
      <c r="F432" s="491" t="n"/>
      <c r="G432" s="491" t="n"/>
      <c r="H432" s="491" t="n"/>
      <c r="I432" s="491" t="n"/>
      <c r="J432" s="491" t="n"/>
      <c r="K432" s="491" t="n"/>
      <c r="L432" s="491" t="n"/>
      <c r="M432" s="491" t="n"/>
      <c r="N432" s="491" t="n"/>
      <c r="O432" s="491" t="n"/>
      <c r="P432" s="491" t="n"/>
      <c r="Q432" s="491" t="n"/>
      <c r="R432" s="491" t="n"/>
      <c r="S432" s="491" t="n"/>
      <c r="T432" s="491" t="n"/>
      <c r="U432" s="491" t="n"/>
      <c r="V432" s="491" t="n"/>
      <c r="W432" s="491" t="n"/>
      <c r="X432" s="491" t="n"/>
      <c r="Y432" s="491" t="n"/>
      <c r="Z432" s="491" t="n"/>
    </row>
    <row r="433" ht="12.75" customHeight="1" s="398">
      <c r="A433" s="491" t="n"/>
      <c r="B433" s="491" t="n"/>
      <c r="C433" s="491" t="n"/>
      <c r="D433" s="491" t="n"/>
      <c r="E433" s="491" t="n"/>
      <c r="F433" s="491" t="n"/>
      <c r="G433" s="491" t="n"/>
      <c r="H433" s="491" t="n"/>
      <c r="I433" s="491" t="n"/>
      <c r="J433" s="491" t="n"/>
      <c r="K433" s="491" t="n"/>
      <c r="L433" s="491" t="n"/>
      <c r="M433" s="491" t="n"/>
      <c r="N433" s="491" t="n"/>
      <c r="O433" s="491" t="n"/>
      <c r="P433" s="491" t="n"/>
      <c r="Q433" s="491" t="n"/>
      <c r="R433" s="491" t="n"/>
      <c r="S433" s="491" t="n"/>
      <c r="T433" s="491" t="n"/>
      <c r="U433" s="491" t="n"/>
      <c r="V433" s="491" t="n"/>
      <c r="W433" s="491" t="n"/>
      <c r="X433" s="491" t="n"/>
      <c r="Y433" s="491" t="n"/>
      <c r="Z433" s="491" t="n"/>
    </row>
    <row r="434" ht="12.75" customHeight="1" s="398">
      <c r="A434" s="491" t="n"/>
      <c r="B434" s="491" t="n"/>
      <c r="C434" s="491" t="n"/>
      <c r="D434" s="491" t="n"/>
      <c r="E434" s="491" t="n"/>
      <c r="F434" s="491" t="n"/>
      <c r="G434" s="491" t="n"/>
      <c r="H434" s="491" t="n"/>
      <c r="I434" s="491" t="n"/>
      <c r="J434" s="491" t="n"/>
      <c r="K434" s="491" t="n"/>
      <c r="L434" s="491" t="n"/>
      <c r="M434" s="491" t="n"/>
      <c r="N434" s="491" t="n"/>
      <c r="O434" s="491" t="n"/>
      <c r="P434" s="491" t="n"/>
      <c r="Q434" s="491" t="n"/>
      <c r="R434" s="491" t="n"/>
      <c r="S434" s="491" t="n"/>
      <c r="T434" s="491" t="n"/>
      <c r="U434" s="491" t="n"/>
      <c r="V434" s="491" t="n"/>
      <c r="W434" s="491" t="n"/>
      <c r="X434" s="491" t="n"/>
      <c r="Y434" s="491" t="n"/>
      <c r="Z434" s="491" t="n"/>
    </row>
    <row r="435" ht="12.75" customHeight="1" s="398">
      <c r="A435" s="491" t="n"/>
      <c r="B435" s="491" t="n"/>
      <c r="C435" s="491" t="n"/>
      <c r="D435" s="491" t="n"/>
      <c r="E435" s="491" t="n"/>
      <c r="F435" s="491" t="n"/>
      <c r="G435" s="491" t="n"/>
      <c r="H435" s="491" t="n"/>
      <c r="I435" s="491" t="n"/>
      <c r="J435" s="491" t="n"/>
      <c r="K435" s="491" t="n"/>
      <c r="L435" s="491" t="n"/>
      <c r="M435" s="491" t="n"/>
      <c r="N435" s="491" t="n"/>
      <c r="O435" s="491" t="n"/>
      <c r="P435" s="491" t="n"/>
      <c r="Q435" s="491" t="n"/>
      <c r="R435" s="491" t="n"/>
      <c r="S435" s="491" t="n"/>
      <c r="T435" s="491" t="n"/>
      <c r="U435" s="491" t="n"/>
      <c r="V435" s="491" t="n"/>
      <c r="W435" s="491" t="n"/>
      <c r="X435" s="491" t="n"/>
      <c r="Y435" s="491" t="n"/>
      <c r="Z435" s="491" t="n"/>
    </row>
    <row r="436" ht="12.75" customHeight="1" s="398">
      <c r="A436" s="491" t="n"/>
      <c r="B436" s="491" t="n"/>
      <c r="C436" s="491" t="n"/>
      <c r="D436" s="491" t="n"/>
      <c r="E436" s="491" t="n"/>
      <c r="F436" s="491" t="n"/>
      <c r="G436" s="491" t="n"/>
      <c r="H436" s="491" t="n"/>
      <c r="I436" s="491" t="n"/>
      <c r="J436" s="491" t="n"/>
      <c r="K436" s="491" t="n"/>
      <c r="L436" s="491" t="n"/>
      <c r="M436" s="491" t="n"/>
      <c r="N436" s="491" t="n"/>
      <c r="O436" s="491" t="n"/>
      <c r="P436" s="491" t="n"/>
      <c r="Q436" s="491" t="n"/>
      <c r="R436" s="491" t="n"/>
      <c r="S436" s="491" t="n"/>
      <c r="T436" s="491" t="n"/>
      <c r="U436" s="491" t="n"/>
      <c r="V436" s="491" t="n"/>
      <c r="W436" s="491" t="n"/>
      <c r="X436" s="491" t="n"/>
      <c r="Y436" s="491" t="n"/>
      <c r="Z436" s="491" t="n"/>
    </row>
    <row r="437" ht="12.75" customHeight="1" s="398">
      <c r="A437" s="491" t="n"/>
      <c r="B437" s="491" t="n"/>
      <c r="C437" s="491" t="n"/>
      <c r="D437" s="491" t="n"/>
      <c r="E437" s="491" t="n"/>
      <c r="F437" s="491" t="n"/>
      <c r="G437" s="491" t="n"/>
      <c r="H437" s="491" t="n"/>
      <c r="I437" s="491" t="n"/>
      <c r="J437" s="491" t="n"/>
      <c r="K437" s="491" t="n"/>
      <c r="L437" s="491" t="n"/>
      <c r="M437" s="491" t="n"/>
      <c r="N437" s="491" t="n"/>
      <c r="O437" s="491" t="n"/>
      <c r="P437" s="491" t="n"/>
      <c r="Q437" s="491" t="n"/>
      <c r="R437" s="491" t="n"/>
      <c r="S437" s="491" t="n"/>
      <c r="T437" s="491" t="n"/>
      <c r="U437" s="491" t="n"/>
      <c r="V437" s="491" t="n"/>
      <c r="W437" s="491" t="n"/>
      <c r="X437" s="491" t="n"/>
      <c r="Y437" s="491" t="n"/>
      <c r="Z437" s="491" t="n"/>
    </row>
    <row r="438" ht="12.75" customHeight="1" s="398">
      <c r="A438" s="491" t="n"/>
      <c r="B438" s="491" t="n"/>
      <c r="C438" s="491" t="n"/>
      <c r="D438" s="491" t="n"/>
      <c r="E438" s="491" t="n"/>
      <c r="F438" s="491" t="n"/>
      <c r="G438" s="491" t="n"/>
      <c r="H438" s="491" t="n"/>
      <c r="I438" s="491" t="n"/>
      <c r="J438" s="491" t="n"/>
      <c r="K438" s="491" t="n"/>
      <c r="L438" s="491" t="n"/>
      <c r="M438" s="491" t="n"/>
      <c r="N438" s="491" t="n"/>
      <c r="O438" s="491" t="n"/>
      <c r="P438" s="491" t="n"/>
      <c r="Q438" s="491" t="n"/>
      <c r="R438" s="491" t="n"/>
      <c r="S438" s="491" t="n"/>
      <c r="T438" s="491" t="n"/>
      <c r="U438" s="491" t="n"/>
      <c r="V438" s="491" t="n"/>
      <c r="W438" s="491" t="n"/>
      <c r="X438" s="491" t="n"/>
      <c r="Y438" s="491" t="n"/>
      <c r="Z438" s="491" t="n"/>
    </row>
    <row r="439" ht="12.75" customHeight="1" s="398">
      <c r="A439" s="491" t="n"/>
      <c r="B439" s="491" t="n"/>
      <c r="C439" s="491" t="n"/>
      <c r="D439" s="491" t="n"/>
      <c r="E439" s="491" t="n"/>
      <c r="F439" s="491" t="n"/>
      <c r="G439" s="491" t="n"/>
      <c r="H439" s="491" t="n"/>
      <c r="I439" s="491" t="n"/>
      <c r="J439" s="491" t="n"/>
      <c r="K439" s="491" t="n"/>
      <c r="L439" s="491" t="n"/>
      <c r="M439" s="491" t="n"/>
      <c r="N439" s="491" t="n"/>
      <c r="O439" s="491" t="n"/>
      <c r="P439" s="491" t="n"/>
      <c r="Q439" s="491" t="n"/>
      <c r="R439" s="491" t="n"/>
      <c r="S439" s="491" t="n"/>
      <c r="T439" s="491" t="n"/>
      <c r="U439" s="491" t="n"/>
      <c r="V439" s="491" t="n"/>
      <c r="W439" s="491" t="n"/>
      <c r="X439" s="491" t="n"/>
      <c r="Y439" s="491" t="n"/>
      <c r="Z439" s="491" t="n"/>
    </row>
    <row r="440" ht="12.75" customHeight="1" s="398">
      <c r="A440" s="491" t="n"/>
      <c r="B440" s="491" t="n"/>
      <c r="C440" s="491" t="n"/>
      <c r="D440" s="491" t="n"/>
      <c r="E440" s="491" t="n"/>
      <c r="F440" s="491" t="n"/>
      <c r="G440" s="491" t="n"/>
      <c r="H440" s="491" t="n"/>
      <c r="I440" s="491" t="n"/>
      <c r="J440" s="491" t="n"/>
      <c r="K440" s="491" t="n"/>
      <c r="L440" s="491" t="n"/>
      <c r="M440" s="491" t="n"/>
      <c r="N440" s="491" t="n"/>
      <c r="O440" s="491" t="n"/>
      <c r="P440" s="491" t="n"/>
      <c r="Q440" s="491" t="n"/>
      <c r="R440" s="491" t="n"/>
      <c r="S440" s="491" t="n"/>
      <c r="T440" s="491" t="n"/>
      <c r="U440" s="491" t="n"/>
      <c r="V440" s="491" t="n"/>
      <c r="W440" s="491" t="n"/>
      <c r="X440" s="491" t="n"/>
      <c r="Y440" s="491" t="n"/>
      <c r="Z440" s="491" t="n"/>
    </row>
    <row r="441" ht="12.75" customHeight="1" s="398">
      <c r="A441" s="491" t="n"/>
      <c r="B441" s="491" t="n"/>
      <c r="C441" s="491" t="n"/>
      <c r="D441" s="491" t="n"/>
      <c r="E441" s="491" t="n"/>
      <c r="F441" s="491" t="n"/>
      <c r="G441" s="491" t="n"/>
      <c r="H441" s="491" t="n"/>
      <c r="I441" s="491" t="n"/>
      <c r="J441" s="491" t="n"/>
      <c r="K441" s="491" t="n"/>
      <c r="L441" s="491" t="n"/>
      <c r="M441" s="491" t="n"/>
      <c r="N441" s="491" t="n"/>
      <c r="O441" s="491" t="n"/>
      <c r="P441" s="491" t="n"/>
      <c r="Q441" s="491" t="n"/>
      <c r="R441" s="491" t="n"/>
      <c r="S441" s="491" t="n"/>
      <c r="T441" s="491" t="n"/>
      <c r="U441" s="491" t="n"/>
      <c r="V441" s="491" t="n"/>
      <c r="W441" s="491" t="n"/>
      <c r="X441" s="491" t="n"/>
      <c r="Y441" s="491" t="n"/>
      <c r="Z441" s="491" t="n"/>
    </row>
    <row r="442" ht="12.75" customHeight="1" s="398">
      <c r="A442" s="491" t="n"/>
      <c r="B442" s="491" t="n"/>
      <c r="C442" s="491" t="n"/>
      <c r="D442" s="491" t="n"/>
      <c r="E442" s="491" t="n"/>
      <c r="F442" s="491" t="n"/>
      <c r="G442" s="491" t="n"/>
      <c r="H442" s="491" t="n"/>
      <c r="I442" s="491" t="n"/>
      <c r="J442" s="491" t="n"/>
      <c r="K442" s="491" t="n"/>
      <c r="L442" s="491" t="n"/>
      <c r="M442" s="491" t="n"/>
      <c r="N442" s="491" t="n"/>
      <c r="O442" s="491" t="n"/>
      <c r="P442" s="491" t="n"/>
      <c r="Q442" s="491" t="n"/>
      <c r="R442" s="491" t="n"/>
      <c r="S442" s="491" t="n"/>
      <c r="T442" s="491" t="n"/>
      <c r="U442" s="491" t="n"/>
      <c r="V442" s="491" t="n"/>
      <c r="W442" s="491" t="n"/>
      <c r="X442" s="491" t="n"/>
      <c r="Y442" s="491" t="n"/>
      <c r="Z442" s="491" t="n"/>
    </row>
    <row r="443" ht="12.75" customHeight="1" s="398">
      <c r="A443" s="491" t="n"/>
      <c r="B443" s="491" t="n"/>
      <c r="C443" s="491" t="n"/>
      <c r="D443" s="491" t="n"/>
      <c r="E443" s="491" t="n"/>
      <c r="F443" s="491" t="n"/>
      <c r="G443" s="491" t="n"/>
      <c r="H443" s="491" t="n"/>
      <c r="I443" s="491" t="n"/>
      <c r="J443" s="491" t="n"/>
      <c r="K443" s="491" t="n"/>
      <c r="L443" s="491" t="n"/>
      <c r="M443" s="491" t="n"/>
      <c r="N443" s="491" t="n"/>
      <c r="O443" s="491" t="n"/>
      <c r="P443" s="491" t="n"/>
      <c r="Q443" s="491" t="n"/>
      <c r="R443" s="491" t="n"/>
      <c r="S443" s="491" t="n"/>
      <c r="T443" s="491" t="n"/>
      <c r="U443" s="491" t="n"/>
      <c r="V443" s="491" t="n"/>
      <c r="W443" s="491" t="n"/>
      <c r="X443" s="491" t="n"/>
      <c r="Y443" s="491" t="n"/>
      <c r="Z443" s="491" t="n"/>
    </row>
    <row r="444" ht="12.75" customHeight="1" s="398">
      <c r="A444" s="491" t="n"/>
      <c r="B444" s="491" t="n"/>
      <c r="C444" s="491" t="n"/>
      <c r="D444" s="491" t="n"/>
      <c r="E444" s="491" t="n"/>
      <c r="F444" s="491" t="n"/>
      <c r="G444" s="491" t="n"/>
      <c r="H444" s="491" t="n"/>
      <c r="I444" s="491" t="n"/>
      <c r="J444" s="491" t="n"/>
      <c r="K444" s="491" t="n"/>
      <c r="L444" s="491" t="n"/>
      <c r="M444" s="491" t="n"/>
      <c r="N444" s="491" t="n"/>
      <c r="O444" s="491" t="n"/>
      <c r="P444" s="491" t="n"/>
      <c r="Q444" s="491" t="n"/>
      <c r="R444" s="491" t="n"/>
      <c r="S444" s="491" t="n"/>
      <c r="T444" s="491" t="n"/>
      <c r="U444" s="491" t="n"/>
      <c r="V444" s="491" t="n"/>
      <c r="W444" s="491" t="n"/>
      <c r="X444" s="491" t="n"/>
      <c r="Y444" s="491" t="n"/>
      <c r="Z444" s="491" t="n"/>
    </row>
    <row r="445" ht="12.75" customHeight="1" s="398">
      <c r="A445" s="491" t="n"/>
      <c r="B445" s="491" t="n"/>
      <c r="C445" s="491" t="n"/>
      <c r="D445" s="491" t="n"/>
      <c r="E445" s="491" t="n"/>
      <c r="F445" s="491" t="n"/>
      <c r="G445" s="491" t="n"/>
      <c r="H445" s="491" t="n"/>
      <c r="I445" s="491" t="n"/>
      <c r="J445" s="491" t="n"/>
      <c r="K445" s="491" t="n"/>
      <c r="L445" s="491" t="n"/>
      <c r="M445" s="491" t="n"/>
      <c r="N445" s="491" t="n"/>
      <c r="O445" s="491" t="n"/>
      <c r="P445" s="491" t="n"/>
      <c r="Q445" s="491" t="n"/>
      <c r="R445" s="491" t="n"/>
      <c r="S445" s="491" t="n"/>
      <c r="T445" s="491" t="n"/>
      <c r="U445" s="491" t="n"/>
      <c r="V445" s="491" t="n"/>
      <c r="W445" s="491" t="n"/>
      <c r="X445" s="491" t="n"/>
      <c r="Y445" s="491" t="n"/>
      <c r="Z445" s="491" t="n"/>
    </row>
    <row r="446" ht="12.75" customHeight="1" s="398">
      <c r="A446" s="491" t="n"/>
      <c r="B446" s="491" t="n"/>
      <c r="C446" s="491" t="n"/>
      <c r="D446" s="491" t="n"/>
      <c r="E446" s="491" t="n"/>
      <c r="F446" s="491" t="n"/>
      <c r="G446" s="491" t="n"/>
      <c r="H446" s="491" t="n"/>
      <c r="I446" s="491" t="n"/>
      <c r="J446" s="491" t="n"/>
      <c r="K446" s="491" t="n"/>
      <c r="L446" s="491" t="n"/>
      <c r="M446" s="491" t="n"/>
      <c r="N446" s="491" t="n"/>
      <c r="O446" s="491" t="n"/>
      <c r="P446" s="491" t="n"/>
      <c r="Q446" s="491" t="n"/>
      <c r="R446" s="491" t="n"/>
      <c r="S446" s="491" t="n"/>
      <c r="T446" s="491" t="n"/>
      <c r="U446" s="491" t="n"/>
      <c r="V446" s="491" t="n"/>
      <c r="W446" s="491" t="n"/>
      <c r="X446" s="491" t="n"/>
      <c r="Y446" s="491" t="n"/>
      <c r="Z446" s="491" t="n"/>
    </row>
    <row r="447" ht="12.75" customHeight="1" s="398">
      <c r="A447" s="491" t="n"/>
      <c r="B447" s="491" t="n"/>
      <c r="C447" s="491" t="n"/>
      <c r="D447" s="491" t="n"/>
      <c r="E447" s="491" t="n"/>
      <c r="F447" s="491" t="n"/>
      <c r="G447" s="491" t="n"/>
      <c r="H447" s="491" t="n"/>
      <c r="I447" s="491" t="n"/>
      <c r="J447" s="491" t="n"/>
      <c r="K447" s="491" t="n"/>
      <c r="L447" s="491" t="n"/>
      <c r="M447" s="491" t="n"/>
      <c r="N447" s="491" t="n"/>
      <c r="O447" s="491" t="n"/>
      <c r="P447" s="491" t="n"/>
      <c r="Q447" s="491" t="n"/>
      <c r="R447" s="491" t="n"/>
      <c r="S447" s="491" t="n"/>
      <c r="T447" s="491" t="n"/>
      <c r="U447" s="491" t="n"/>
      <c r="V447" s="491" t="n"/>
      <c r="W447" s="491" t="n"/>
      <c r="X447" s="491" t="n"/>
      <c r="Y447" s="491" t="n"/>
      <c r="Z447" s="491" t="n"/>
    </row>
    <row r="448" ht="12.75" customHeight="1" s="398">
      <c r="A448" s="491" t="n"/>
      <c r="B448" s="491" t="n"/>
      <c r="C448" s="491" t="n"/>
      <c r="D448" s="491" t="n"/>
      <c r="E448" s="491" t="n"/>
      <c r="F448" s="491" t="n"/>
      <c r="G448" s="491" t="n"/>
      <c r="H448" s="491" t="n"/>
      <c r="I448" s="491" t="n"/>
      <c r="J448" s="491" t="n"/>
      <c r="K448" s="491" t="n"/>
      <c r="L448" s="491" t="n"/>
      <c r="M448" s="491" t="n"/>
      <c r="N448" s="491" t="n"/>
      <c r="O448" s="491" t="n"/>
      <c r="P448" s="491" t="n"/>
      <c r="Q448" s="491" t="n"/>
      <c r="R448" s="491" t="n"/>
      <c r="S448" s="491" t="n"/>
      <c r="T448" s="491" t="n"/>
      <c r="U448" s="491" t="n"/>
      <c r="V448" s="491" t="n"/>
      <c r="W448" s="491" t="n"/>
      <c r="X448" s="491" t="n"/>
      <c r="Y448" s="491" t="n"/>
      <c r="Z448" s="491" t="n"/>
    </row>
    <row r="449" ht="12.75" customHeight="1" s="398">
      <c r="A449" s="491" t="n"/>
      <c r="B449" s="491" t="n"/>
      <c r="C449" s="491" t="n"/>
      <c r="D449" s="491" t="n"/>
      <c r="E449" s="491" t="n"/>
      <c r="F449" s="491" t="n"/>
      <c r="G449" s="491" t="n"/>
      <c r="H449" s="491" t="n"/>
      <c r="I449" s="491" t="n"/>
      <c r="J449" s="491" t="n"/>
      <c r="K449" s="491" t="n"/>
      <c r="L449" s="491" t="n"/>
      <c r="M449" s="491" t="n"/>
      <c r="N449" s="491" t="n"/>
      <c r="O449" s="491" t="n"/>
      <c r="P449" s="491" t="n"/>
      <c r="Q449" s="491" t="n"/>
      <c r="R449" s="491" t="n"/>
      <c r="S449" s="491" t="n"/>
      <c r="T449" s="491" t="n"/>
      <c r="U449" s="491" t="n"/>
      <c r="V449" s="491" t="n"/>
      <c r="W449" s="491" t="n"/>
      <c r="X449" s="491" t="n"/>
      <c r="Y449" s="491" t="n"/>
      <c r="Z449" s="491" t="n"/>
    </row>
    <row r="450" ht="12.75" customHeight="1" s="398">
      <c r="A450" s="491" t="n"/>
      <c r="B450" s="491" t="n"/>
      <c r="C450" s="491" t="n"/>
      <c r="D450" s="491" t="n"/>
      <c r="E450" s="491" t="n"/>
      <c r="F450" s="491" t="n"/>
      <c r="G450" s="491" t="n"/>
      <c r="H450" s="491" t="n"/>
      <c r="I450" s="491" t="n"/>
      <c r="J450" s="491" t="n"/>
      <c r="K450" s="491" t="n"/>
      <c r="L450" s="491" t="n"/>
      <c r="M450" s="491" t="n"/>
      <c r="N450" s="491" t="n"/>
      <c r="O450" s="491" t="n"/>
      <c r="P450" s="491" t="n"/>
      <c r="Q450" s="491" t="n"/>
      <c r="R450" s="491" t="n"/>
      <c r="S450" s="491" t="n"/>
      <c r="T450" s="491" t="n"/>
      <c r="U450" s="491" t="n"/>
      <c r="V450" s="491" t="n"/>
      <c r="W450" s="491" t="n"/>
      <c r="X450" s="491" t="n"/>
      <c r="Y450" s="491" t="n"/>
      <c r="Z450" s="491" t="n"/>
    </row>
    <row r="451" ht="12.75" customHeight="1" s="398">
      <c r="A451" s="491" t="n"/>
      <c r="B451" s="491" t="n"/>
      <c r="C451" s="491" t="n"/>
      <c r="D451" s="491" t="n"/>
      <c r="E451" s="491" t="n"/>
      <c r="F451" s="491" t="n"/>
      <c r="G451" s="491" t="n"/>
      <c r="H451" s="491" t="n"/>
      <c r="I451" s="491" t="n"/>
      <c r="J451" s="491" t="n"/>
      <c r="K451" s="491" t="n"/>
      <c r="L451" s="491" t="n"/>
      <c r="M451" s="491" t="n"/>
      <c r="N451" s="491" t="n"/>
      <c r="O451" s="491" t="n"/>
      <c r="P451" s="491" t="n"/>
      <c r="Q451" s="491" t="n"/>
      <c r="R451" s="491" t="n"/>
      <c r="S451" s="491" t="n"/>
      <c r="T451" s="491" t="n"/>
      <c r="U451" s="491" t="n"/>
      <c r="V451" s="491" t="n"/>
      <c r="W451" s="491" t="n"/>
      <c r="X451" s="491" t="n"/>
      <c r="Y451" s="491" t="n"/>
      <c r="Z451" s="491" t="n"/>
    </row>
    <row r="452" ht="12.75" customHeight="1" s="398">
      <c r="A452" s="491" t="n"/>
      <c r="B452" s="491" t="n"/>
      <c r="C452" s="491" t="n"/>
      <c r="D452" s="491" t="n"/>
      <c r="E452" s="491" t="n"/>
      <c r="F452" s="491" t="n"/>
      <c r="G452" s="491" t="n"/>
      <c r="H452" s="491" t="n"/>
      <c r="I452" s="491" t="n"/>
      <c r="J452" s="491" t="n"/>
      <c r="K452" s="491" t="n"/>
      <c r="L452" s="491" t="n"/>
      <c r="M452" s="491" t="n"/>
      <c r="N452" s="491" t="n"/>
      <c r="O452" s="491" t="n"/>
      <c r="P452" s="491" t="n"/>
      <c r="Q452" s="491" t="n"/>
      <c r="R452" s="491" t="n"/>
      <c r="S452" s="491" t="n"/>
      <c r="T452" s="491" t="n"/>
      <c r="U452" s="491" t="n"/>
      <c r="V452" s="491" t="n"/>
      <c r="W452" s="491" t="n"/>
      <c r="X452" s="491" t="n"/>
      <c r="Y452" s="491" t="n"/>
      <c r="Z452" s="491" t="n"/>
    </row>
    <row r="453" ht="12.75" customHeight="1" s="398">
      <c r="A453" s="491" t="n"/>
      <c r="B453" s="491" t="n"/>
      <c r="C453" s="491" t="n"/>
      <c r="D453" s="491" t="n"/>
      <c r="E453" s="491" t="n"/>
      <c r="F453" s="491" t="n"/>
      <c r="G453" s="491" t="n"/>
      <c r="H453" s="491" t="n"/>
      <c r="I453" s="491" t="n"/>
      <c r="J453" s="491" t="n"/>
      <c r="K453" s="491" t="n"/>
      <c r="L453" s="491" t="n"/>
      <c r="M453" s="491" t="n"/>
      <c r="N453" s="491" t="n"/>
      <c r="O453" s="491" t="n"/>
      <c r="P453" s="491" t="n"/>
      <c r="Q453" s="491" t="n"/>
      <c r="R453" s="491" t="n"/>
      <c r="S453" s="491" t="n"/>
      <c r="T453" s="491" t="n"/>
      <c r="U453" s="491" t="n"/>
      <c r="V453" s="491" t="n"/>
      <c r="W453" s="491" t="n"/>
      <c r="X453" s="491" t="n"/>
      <c r="Y453" s="491" t="n"/>
      <c r="Z453" s="491" t="n"/>
    </row>
    <row r="454" ht="12.75" customHeight="1" s="398">
      <c r="A454" s="491" t="n"/>
      <c r="B454" s="491" t="n"/>
      <c r="C454" s="491" t="n"/>
      <c r="D454" s="491" t="n"/>
      <c r="E454" s="491" t="n"/>
      <c r="F454" s="491" t="n"/>
      <c r="G454" s="491" t="n"/>
      <c r="H454" s="491" t="n"/>
      <c r="I454" s="491" t="n"/>
      <c r="J454" s="491" t="n"/>
      <c r="K454" s="491" t="n"/>
      <c r="L454" s="491" t="n"/>
      <c r="M454" s="491" t="n"/>
      <c r="N454" s="491" t="n"/>
      <c r="O454" s="491" t="n"/>
      <c r="P454" s="491" t="n"/>
      <c r="Q454" s="491" t="n"/>
      <c r="R454" s="491" t="n"/>
      <c r="S454" s="491" t="n"/>
      <c r="T454" s="491" t="n"/>
      <c r="U454" s="491" t="n"/>
      <c r="V454" s="491" t="n"/>
      <c r="W454" s="491" t="n"/>
      <c r="X454" s="491" t="n"/>
      <c r="Y454" s="491" t="n"/>
      <c r="Z454" s="491" t="n"/>
    </row>
    <row r="455" ht="12.75" customHeight="1" s="398">
      <c r="A455" s="491" t="n"/>
      <c r="B455" s="491" t="n"/>
      <c r="C455" s="491" t="n"/>
      <c r="D455" s="491" t="n"/>
      <c r="E455" s="491" t="n"/>
      <c r="F455" s="491" t="n"/>
      <c r="G455" s="491" t="n"/>
      <c r="H455" s="491" t="n"/>
      <c r="I455" s="491" t="n"/>
      <c r="J455" s="491" t="n"/>
      <c r="K455" s="491" t="n"/>
      <c r="L455" s="491" t="n"/>
      <c r="M455" s="491" t="n"/>
      <c r="N455" s="491" t="n"/>
      <c r="O455" s="491" t="n"/>
      <c r="P455" s="491" t="n"/>
      <c r="Q455" s="491" t="n"/>
      <c r="R455" s="491" t="n"/>
      <c r="S455" s="491" t="n"/>
      <c r="T455" s="491" t="n"/>
      <c r="U455" s="491" t="n"/>
      <c r="V455" s="491" t="n"/>
      <c r="W455" s="491" t="n"/>
      <c r="X455" s="491" t="n"/>
      <c r="Y455" s="491" t="n"/>
      <c r="Z455" s="491" t="n"/>
    </row>
    <row r="456" ht="12.75" customHeight="1" s="398">
      <c r="A456" s="491" t="n"/>
      <c r="B456" s="491" t="n"/>
      <c r="C456" s="491" t="n"/>
      <c r="D456" s="491" t="n"/>
      <c r="E456" s="491" t="n"/>
      <c r="F456" s="491" t="n"/>
      <c r="G456" s="491" t="n"/>
      <c r="H456" s="491" t="n"/>
      <c r="I456" s="491" t="n"/>
      <c r="J456" s="491" t="n"/>
      <c r="K456" s="491" t="n"/>
      <c r="L456" s="491" t="n"/>
      <c r="M456" s="491" t="n"/>
      <c r="N456" s="491" t="n"/>
      <c r="O456" s="491" t="n"/>
      <c r="P456" s="491" t="n"/>
      <c r="Q456" s="491" t="n"/>
      <c r="R456" s="491" t="n"/>
      <c r="S456" s="491" t="n"/>
      <c r="T456" s="491" t="n"/>
      <c r="U456" s="491" t="n"/>
      <c r="V456" s="491" t="n"/>
      <c r="W456" s="491" t="n"/>
      <c r="X456" s="491" t="n"/>
      <c r="Y456" s="491" t="n"/>
      <c r="Z456" s="491" t="n"/>
    </row>
    <row r="457" ht="12.75" customHeight="1" s="398">
      <c r="A457" s="491" t="n"/>
      <c r="B457" s="491" t="n"/>
      <c r="C457" s="491" t="n"/>
      <c r="D457" s="491" t="n"/>
      <c r="E457" s="491" t="n"/>
      <c r="F457" s="491" t="n"/>
      <c r="G457" s="491" t="n"/>
      <c r="H457" s="491" t="n"/>
      <c r="I457" s="491" t="n"/>
      <c r="J457" s="491" t="n"/>
      <c r="K457" s="491" t="n"/>
      <c r="L457" s="491" t="n"/>
      <c r="M457" s="491" t="n"/>
      <c r="N457" s="491" t="n"/>
      <c r="O457" s="491" t="n"/>
      <c r="P457" s="491" t="n"/>
      <c r="Q457" s="491" t="n"/>
      <c r="R457" s="491" t="n"/>
      <c r="S457" s="491" t="n"/>
      <c r="T457" s="491" t="n"/>
      <c r="U457" s="491" t="n"/>
      <c r="V457" s="491" t="n"/>
      <c r="W457" s="491" t="n"/>
      <c r="X457" s="491" t="n"/>
      <c r="Y457" s="491" t="n"/>
      <c r="Z457" s="491" t="n"/>
    </row>
    <row r="458" ht="12.75" customHeight="1" s="398">
      <c r="A458" s="491" t="n"/>
      <c r="B458" s="491" t="n"/>
      <c r="C458" s="491" t="n"/>
      <c r="D458" s="491" t="n"/>
      <c r="E458" s="491" t="n"/>
      <c r="F458" s="491" t="n"/>
      <c r="G458" s="491" t="n"/>
      <c r="H458" s="491" t="n"/>
      <c r="I458" s="491" t="n"/>
      <c r="J458" s="491" t="n"/>
      <c r="K458" s="491" t="n"/>
      <c r="L458" s="491" t="n"/>
      <c r="M458" s="491" t="n"/>
      <c r="N458" s="491" t="n"/>
      <c r="O458" s="491" t="n"/>
      <c r="P458" s="491" t="n"/>
      <c r="Q458" s="491" t="n"/>
      <c r="R458" s="491" t="n"/>
      <c r="S458" s="491" t="n"/>
      <c r="T458" s="491" t="n"/>
      <c r="U458" s="491" t="n"/>
      <c r="V458" s="491" t="n"/>
      <c r="W458" s="491" t="n"/>
      <c r="X458" s="491" t="n"/>
      <c r="Y458" s="491" t="n"/>
      <c r="Z458" s="491" t="n"/>
    </row>
    <row r="459" ht="12.75" customHeight="1" s="398">
      <c r="A459" s="491" t="n"/>
      <c r="B459" s="491" t="n"/>
      <c r="C459" s="491" t="n"/>
      <c r="D459" s="491" t="n"/>
      <c r="E459" s="491" t="n"/>
      <c r="F459" s="491" t="n"/>
      <c r="G459" s="491" t="n"/>
      <c r="H459" s="491" t="n"/>
      <c r="I459" s="491" t="n"/>
      <c r="J459" s="491" t="n"/>
      <c r="K459" s="491" t="n"/>
      <c r="L459" s="491" t="n"/>
      <c r="M459" s="491" t="n"/>
      <c r="N459" s="491" t="n"/>
      <c r="O459" s="491" t="n"/>
      <c r="P459" s="491" t="n"/>
      <c r="Q459" s="491" t="n"/>
      <c r="R459" s="491" t="n"/>
      <c r="S459" s="491" t="n"/>
      <c r="T459" s="491" t="n"/>
      <c r="U459" s="491" t="n"/>
      <c r="V459" s="491" t="n"/>
      <c r="W459" s="491" t="n"/>
      <c r="X459" s="491" t="n"/>
      <c r="Y459" s="491" t="n"/>
      <c r="Z459" s="491" t="n"/>
    </row>
    <row r="460" ht="12.75" customHeight="1" s="398">
      <c r="A460" s="491" t="n"/>
      <c r="B460" s="491" t="n"/>
      <c r="C460" s="491" t="n"/>
      <c r="D460" s="491" t="n"/>
      <c r="E460" s="491" t="n"/>
      <c r="F460" s="491" t="n"/>
      <c r="G460" s="491" t="n"/>
      <c r="H460" s="491" t="n"/>
      <c r="I460" s="491" t="n"/>
      <c r="J460" s="491" t="n"/>
      <c r="K460" s="491" t="n"/>
      <c r="L460" s="491" t="n"/>
      <c r="M460" s="491" t="n"/>
      <c r="N460" s="491" t="n"/>
      <c r="O460" s="491" t="n"/>
      <c r="P460" s="491" t="n"/>
      <c r="Q460" s="491" t="n"/>
      <c r="R460" s="491" t="n"/>
      <c r="S460" s="491" t="n"/>
      <c r="T460" s="491" t="n"/>
      <c r="U460" s="491" t="n"/>
      <c r="V460" s="491" t="n"/>
      <c r="W460" s="491" t="n"/>
      <c r="X460" s="491" t="n"/>
      <c r="Y460" s="491" t="n"/>
      <c r="Z460" s="491" t="n"/>
    </row>
    <row r="461" ht="12.75" customHeight="1" s="398">
      <c r="A461" s="491" t="n"/>
      <c r="B461" s="491" t="n"/>
      <c r="C461" s="491" t="n"/>
      <c r="D461" s="491" t="n"/>
      <c r="E461" s="491" t="n"/>
      <c r="F461" s="491" t="n"/>
      <c r="G461" s="491" t="n"/>
      <c r="H461" s="491" t="n"/>
      <c r="I461" s="491" t="n"/>
      <c r="J461" s="491" t="n"/>
      <c r="K461" s="491" t="n"/>
      <c r="L461" s="491" t="n"/>
      <c r="M461" s="491" t="n"/>
      <c r="N461" s="491" t="n"/>
      <c r="O461" s="491" t="n"/>
      <c r="P461" s="491" t="n"/>
      <c r="Q461" s="491" t="n"/>
      <c r="R461" s="491" t="n"/>
      <c r="S461" s="491" t="n"/>
      <c r="T461" s="491" t="n"/>
      <c r="U461" s="491" t="n"/>
      <c r="V461" s="491" t="n"/>
      <c r="W461" s="491" t="n"/>
      <c r="X461" s="491" t="n"/>
      <c r="Y461" s="491" t="n"/>
      <c r="Z461" s="491" t="n"/>
    </row>
    <row r="462" ht="12.75" customHeight="1" s="398">
      <c r="A462" s="491" t="n"/>
      <c r="B462" s="491" t="n"/>
      <c r="C462" s="491" t="n"/>
      <c r="D462" s="491" t="n"/>
      <c r="E462" s="491" t="n"/>
      <c r="F462" s="491" t="n"/>
      <c r="G462" s="491" t="n"/>
      <c r="H462" s="491" t="n"/>
      <c r="I462" s="491" t="n"/>
      <c r="J462" s="491" t="n"/>
      <c r="K462" s="491" t="n"/>
      <c r="L462" s="491" t="n"/>
      <c r="M462" s="491" t="n"/>
      <c r="N462" s="491" t="n"/>
      <c r="O462" s="491" t="n"/>
      <c r="P462" s="491" t="n"/>
      <c r="Q462" s="491" t="n"/>
      <c r="R462" s="491" t="n"/>
      <c r="S462" s="491" t="n"/>
      <c r="T462" s="491" t="n"/>
      <c r="U462" s="491" t="n"/>
      <c r="V462" s="491" t="n"/>
      <c r="W462" s="491" t="n"/>
      <c r="X462" s="491" t="n"/>
      <c r="Y462" s="491" t="n"/>
      <c r="Z462" s="491" t="n"/>
    </row>
    <row r="463" ht="12.75" customHeight="1" s="398">
      <c r="A463" s="491" t="n"/>
      <c r="B463" s="491" t="n"/>
      <c r="C463" s="491" t="n"/>
      <c r="D463" s="491" t="n"/>
      <c r="E463" s="491" t="n"/>
      <c r="F463" s="491" t="n"/>
      <c r="G463" s="491" t="n"/>
      <c r="H463" s="491" t="n"/>
      <c r="I463" s="491" t="n"/>
      <c r="J463" s="491" t="n"/>
      <c r="K463" s="491" t="n"/>
      <c r="L463" s="491" t="n"/>
      <c r="M463" s="491" t="n"/>
      <c r="N463" s="491" t="n"/>
      <c r="O463" s="491" t="n"/>
      <c r="P463" s="491" t="n"/>
      <c r="Q463" s="491" t="n"/>
      <c r="R463" s="491" t="n"/>
      <c r="S463" s="491" t="n"/>
      <c r="T463" s="491" t="n"/>
      <c r="U463" s="491" t="n"/>
      <c r="V463" s="491" t="n"/>
      <c r="W463" s="491" t="n"/>
      <c r="X463" s="491" t="n"/>
      <c r="Y463" s="491" t="n"/>
      <c r="Z463" s="491" t="n"/>
    </row>
    <row r="464" ht="12.75" customHeight="1" s="398">
      <c r="A464" s="491" t="n"/>
      <c r="B464" s="491" t="n"/>
      <c r="C464" s="491" t="n"/>
      <c r="D464" s="491" t="n"/>
      <c r="E464" s="491" t="n"/>
      <c r="F464" s="491" t="n"/>
      <c r="G464" s="491" t="n"/>
      <c r="H464" s="491" t="n"/>
      <c r="I464" s="491" t="n"/>
      <c r="J464" s="491" t="n"/>
      <c r="K464" s="491" t="n"/>
      <c r="L464" s="491" t="n"/>
      <c r="M464" s="491" t="n"/>
      <c r="N464" s="491" t="n"/>
      <c r="O464" s="491" t="n"/>
      <c r="P464" s="491" t="n"/>
      <c r="Q464" s="491" t="n"/>
      <c r="R464" s="491" t="n"/>
      <c r="S464" s="491" t="n"/>
      <c r="T464" s="491" t="n"/>
      <c r="U464" s="491" t="n"/>
      <c r="V464" s="491" t="n"/>
      <c r="W464" s="491" t="n"/>
      <c r="X464" s="491" t="n"/>
      <c r="Y464" s="491" t="n"/>
      <c r="Z464" s="491" t="n"/>
    </row>
    <row r="465" ht="12.75" customHeight="1" s="398">
      <c r="A465" s="491" t="n"/>
      <c r="B465" s="491" t="n"/>
      <c r="C465" s="491" t="n"/>
      <c r="D465" s="491" t="n"/>
      <c r="E465" s="491" t="n"/>
      <c r="F465" s="491" t="n"/>
      <c r="G465" s="491" t="n"/>
      <c r="H465" s="491" t="n"/>
      <c r="I465" s="491" t="n"/>
      <c r="J465" s="491" t="n"/>
      <c r="K465" s="491" t="n"/>
      <c r="L465" s="491" t="n"/>
      <c r="M465" s="491" t="n"/>
      <c r="N465" s="491" t="n"/>
      <c r="O465" s="491" t="n"/>
      <c r="P465" s="491" t="n"/>
      <c r="Q465" s="491" t="n"/>
      <c r="R465" s="491" t="n"/>
      <c r="S465" s="491" t="n"/>
      <c r="T465" s="491" t="n"/>
      <c r="U465" s="491" t="n"/>
      <c r="V465" s="491" t="n"/>
      <c r="W465" s="491" t="n"/>
      <c r="X465" s="491" t="n"/>
      <c r="Y465" s="491" t="n"/>
      <c r="Z465" s="491" t="n"/>
    </row>
    <row r="466" ht="12.75" customHeight="1" s="398">
      <c r="A466" s="491" t="n"/>
      <c r="B466" s="491" t="n"/>
      <c r="C466" s="491" t="n"/>
      <c r="D466" s="491" t="n"/>
      <c r="E466" s="491" t="n"/>
      <c r="F466" s="491" t="n"/>
      <c r="G466" s="491" t="n"/>
      <c r="H466" s="491" t="n"/>
      <c r="I466" s="491" t="n"/>
      <c r="J466" s="491" t="n"/>
      <c r="K466" s="491" t="n"/>
      <c r="L466" s="491" t="n"/>
      <c r="M466" s="491" t="n"/>
      <c r="N466" s="491" t="n"/>
      <c r="O466" s="491" t="n"/>
      <c r="P466" s="491" t="n"/>
      <c r="Q466" s="491" t="n"/>
      <c r="R466" s="491" t="n"/>
      <c r="S466" s="491" t="n"/>
      <c r="T466" s="491" t="n"/>
      <c r="U466" s="491" t="n"/>
      <c r="V466" s="491" t="n"/>
      <c r="W466" s="491" t="n"/>
      <c r="X466" s="491" t="n"/>
      <c r="Y466" s="491" t="n"/>
      <c r="Z466" s="491" t="n"/>
    </row>
    <row r="467" ht="12.75" customHeight="1" s="398">
      <c r="A467" s="491" t="n"/>
      <c r="B467" s="491" t="n"/>
      <c r="C467" s="491" t="n"/>
      <c r="D467" s="491" t="n"/>
      <c r="E467" s="491" t="n"/>
      <c r="F467" s="491" t="n"/>
      <c r="G467" s="491" t="n"/>
      <c r="H467" s="491" t="n"/>
      <c r="I467" s="491" t="n"/>
      <c r="J467" s="491" t="n"/>
      <c r="K467" s="491" t="n"/>
      <c r="L467" s="491" t="n"/>
      <c r="M467" s="491" t="n"/>
      <c r="N467" s="491" t="n"/>
      <c r="O467" s="491" t="n"/>
      <c r="P467" s="491" t="n"/>
      <c r="Q467" s="491" t="n"/>
      <c r="R467" s="491" t="n"/>
      <c r="S467" s="491" t="n"/>
      <c r="T467" s="491" t="n"/>
      <c r="U467" s="491" t="n"/>
      <c r="V467" s="491" t="n"/>
      <c r="W467" s="491" t="n"/>
      <c r="X467" s="491" t="n"/>
      <c r="Y467" s="491" t="n"/>
      <c r="Z467" s="491" t="n"/>
    </row>
    <row r="468" ht="12.75" customHeight="1" s="398">
      <c r="A468" s="491" t="n"/>
      <c r="B468" s="491" t="n"/>
      <c r="C468" s="491" t="n"/>
      <c r="D468" s="491" t="n"/>
      <c r="E468" s="491" t="n"/>
      <c r="F468" s="491" t="n"/>
      <c r="G468" s="491" t="n"/>
      <c r="H468" s="491" t="n"/>
      <c r="I468" s="491" t="n"/>
      <c r="J468" s="491" t="n"/>
      <c r="K468" s="491" t="n"/>
      <c r="L468" s="491" t="n"/>
      <c r="M468" s="491" t="n"/>
      <c r="N468" s="491" t="n"/>
      <c r="O468" s="491" t="n"/>
      <c r="P468" s="491" t="n"/>
      <c r="Q468" s="491" t="n"/>
      <c r="R468" s="491" t="n"/>
      <c r="S468" s="491" t="n"/>
      <c r="T468" s="491" t="n"/>
      <c r="U468" s="491" t="n"/>
      <c r="V468" s="491" t="n"/>
      <c r="W468" s="491" t="n"/>
      <c r="X468" s="491" t="n"/>
      <c r="Y468" s="491" t="n"/>
      <c r="Z468" s="491" t="n"/>
    </row>
    <row r="469" ht="12.75" customHeight="1" s="398">
      <c r="A469" s="491" t="n"/>
      <c r="B469" s="491" t="n"/>
      <c r="C469" s="491" t="n"/>
      <c r="D469" s="491" t="n"/>
      <c r="E469" s="491" t="n"/>
      <c r="F469" s="491" t="n"/>
      <c r="G469" s="491" t="n"/>
      <c r="H469" s="491" t="n"/>
      <c r="I469" s="491" t="n"/>
      <c r="J469" s="491" t="n"/>
      <c r="K469" s="491" t="n"/>
      <c r="L469" s="491" t="n"/>
      <c r="M469" s="491" t="n"/>
      <c r="N469" s="491" t="n"/>
      <c r="O469" s="491" t="n"/>
      <c r="P469" s="491" t="n"/>
      <c r="Q469" s="491" t="n"/>
      <c r="R469" s="491" t="n"/>
      <c r="S469" s="491" t="n"/>
      <c r="T469" s="491" t="n"/>
      <c r="U469" s="491" t="n"/>
      <c r="V469" s="491" t="n"/>
      <c r="W469" s="491" t="n"/>
      <c r="X469" s="491" t="n"/>
      <c r="Y469" s="491" t="n"/>
      <c r="Z469" s="491" t="n"/>
    </row>
    <row r="470" ht="12.75" customHeight="1" s="398">
      <c r="A470" s="491" t="n"/>
      <c r="B470" s="491" t="n"/>
      <c r="C470" s="491" t="n"/>
      <c r="D470" s="491" t="n"/>
      <c r="E470" s="491" t="n"/>
      <c r="F470" s="491" t="n"/>
      <c r="G470" s="491" t="n"/>
      <c r="H470" s="491" t="n"/>
      <c r="I470" s="491" t="n"/>
      <c r="J470" s="491" t="n"/>
      <c r="K470" s="491" t="n"/>
      <c r="L470" s="491" t="n"/>
      <c r="M470" s="491" t="n"/>
      <c r="N470" s="491" t="n"/>
      <c r="O470" s="491" t="n"/>
      <c r="P470" s="491" t="n"/>
      <c r="Q470" s="491" t="n"/>
      <c r="R470" s="491" t="n"/>
      <c r="S470" s="491" t="n"/>
      <c r="T470" s="491" t="n"/>
      <c r="U470" s="491" t="n"/>
      <c r="V470" s="491" t="n"/>
      <c r="W470" s="491" t="n"/>
      <c r="X470" s="491" t="n"/>
      <c r="Y470" s="491" t="n"/>
      <c r="Z470" s="491" t="n"/>
    </row>
    <row r="471" ht="12.75" customHeight="1" s="398">
      <c r="A471" s="491" t="n"/>
      <c r="B471" s="491" t="n"/>
      <c r="C471" s="491" t="n"/>
      <c r="D471" s="491" t="n"/>
      <c r="E471" s="491" t="n"/>
      <c r="F471" s="491" t="n"/>
      <c r="G471" s="491" t="n"/>
      <c r="H471" s="491" t="n"/>
      <c r="I471" s="491" t="n"/>
      <c r="J471" s="491" t="n"/>
      <c r="K471" s="491" t="n"/>
      <c r="L471" s="491" t="n"/>
      <c r="M471" s="491" t="n"/>
      <c r="N471" s="491" t="n"/>
      <c r="O471" s="491" t="n"/>
      <c r="P471" s="491" t="n"/>
      <c r="Q471" s="491" t="n"/>
      <c r="R471" s="491" t="n"/>
      <c r="S471" s="491" t="n"/>
      <c r="T471" s="491" t="n"/>
      <c r="U471" s="491" t="n"/>
      <c r="V471" s="491" t="n"/>
      <c r="W471" s="491" t="n"/>
      <c r="X471" s="491" t="n"/>
      <c r="Y471" s="491" t="n"/>
      <c r="Z471" s="491" t="n"/>
    </row>
    <row r="472" ht="12.75" customHeight="1" s="398">
      <c r="A472" s="491" t="n"/>
      <c r="B472" s="491" t="n"/>
      <c r="C472" s="491" t="n"/>
      <c r="D472" s="491" t="n"/>
      <c r="E472" s="491" t="n"/>
      <c r="F472" s="491" t="n"/>
      <c r="G472" s="491" t="n"/>
      <c r="H472" s="491" t="n"/>
      <c r="I472" s="491" t="n"/>
      <c r="J472" s="491" t="n"/>
      <c r="K472" s="491" t="n"/>
      <c r="L472" s="491" t="n"/>
      <c r="M472" s="491" t="n"/>
      <c r="N472" s="491" t="n"/>
      <c r="O472" s="491" t="n"/>
      <c r="P472" s="491" t="n"/>
      <c r="Q472" s="491" t="n"/>
      <c r="R472" s="491" t="n"/>
      <c r="S472" s="491" t="n"/>
      <c r="T472" s="491" t="n"/>
      <c r="U472" s="491" t="n"/>
      <c r="V472" s="491" t="n"/>
      <c r="W472" s="491" t="n"/>
      <c r="X472" s="491" t="n"/>
      <c r="Y472" s="491" t="n"/>
      <c r="Z472" s="491" t="n"/>
    </row>
    <row r="473" ht="12.75" customHeight="1" s="398">
      <c r="A473" s="491" t="n"/>
      <c r="B473" s="491" t="n"/>
      <c r="C473" s="491" t="n"/>
      <c r="D473" s="491" t="n"/>
      <c r="E473" s="491" t="n"/>
      <c r="F473" s="491" t="n"/>
      <c r="G473" s="491" t="n"/>
      <c r="H473" s="491" t="n"/>
      <c r="I473" s="491" t="n"/>
      <c r="J473" s="491" t="n"/>
      <c r="K473" s="491" t="n"/>
      <c r="L473" s="491" t="n"/>
      <c r="M473" s="491" t="n"/>
      <c r="N473" s="491" t="n"/>
      <c r="O473" s="491" t="n"/>
      <c r="P473" s="491" t="n"/>
      <c r="Q473" s="491" t="n"/>
      <c r="R473" s="491" t="n"/>
      <c r="S473" s="491" t="n"/>
      <c r="T473" s="491" t="n"/>
      <c r="U473" s="491" t="n"/>
      <c r="V473" s="491" t="n"/>
      <c r="W473" s="491" t="n"/>
      <c r="X473" s="491" t="n"/>
      <c r="Y473" s="491" t="n"/>
      <c r="Z473" s="491" t="n"/>
    </row>
    <row r="474" ht="12.75" customHeight="1" s="398">
      <c r="A474" s="491" t="n"/>
      <c r="B474" s="491" t="n"/>
      <c r="C474" s="491" t="n"/>
      <c r="D474" s="491" t="n"/>
      <c r="E474" s="491" t="n"/>
      <c r="F474" s="491" t="n"/>
      <c r="G474" s="491" t="n"/>
      <c r="H474" s="491" t="n"/>
      <c r="I474" s="491" t="n"/>
      <c r="J474" s="491" t="n"/>
      <c r="K474" s="491" t="n"/>
      <c r="L474" s="491" t="n"/>
      <c r="M474" s="491" t="n"/>
      <c r="N474" s="491" t="n"/>
      <c r="O474" s="491" t="n"/>
      <c r="P474" s="491" t="n"/>
      <c r="Q474" s="491" t="n"/>
      <c r="R474" s="491" t="n"/>
      <c r="S474" s="491" t="n"/>
      <c r="T474" s="491" t="n"/>
      <c r="U474" s="491" t="n"/>
      <c r="V474" s="491" t="n"/>
      <c r="W474" s="491" t="n"/>
      <c r="X474" s="491" t="n"/>
      <c r="Y474" s="491" t="n"/>
      <c r="Z474" s="491" t="n"/>
    </row>
    <row r="475" ht="12.75" customHeight="1" s="398">
      <c r="A475" s="491" t="n"/>
      <c r="B475" s="491" t="n"/>
      <c r="C475" s="491" t="n"/>
      <c r="D475" s="491" t="n"/>
      <c r="E475" s="491" t="n"/>
      <c r="F475" s="491" t="n"/>
      <c r="G475" s="491" t="n"/>
      <c r="H475" s="491" t="n"/>
      <c r="I475" s="491" t="n"/>
      <c r="J475" s="491" t="n"/>
      <c r="K475" s="491" t="n"/>
      <c r="L475" s="491" t="n"/>
      <c r="M475" s="491" t="n"/>
      <c r="N475" s="491" t="n"/>
      <c r="O475" s="491" t="n"/>
      <c r="P475" s="491" t="n"/>
      <c r="Q475" s="491" t="n"/>
      <c r="R475" s="491" t="n"/>
      <c r="S475" s="491" t="n"/>
      <c r="T475" s="491" t="n"/>
      <c r="U475" s="491" t="n"/>
      <c r="V475" s="491" t="n"/>
      <c r="W475" s="491" t="n"/>
      <c r="X475" s="491" t="n"/>
      <c r="Y475" s="491" t="n"/>
      <c r="Z475" s="491" t="n"/>
    </row>
    <row r="476" ht="12.75" customHeight="1" s="398">
      <c r="A476" s="491" t="n"/>
      <c r="B476" s="491" t="n"/>
      <c r="C476" s="491" t="n"/>
      <c r="D476" s="491" t="n"/>
      <c r="E476" s="491" t="n"/>
      <c r="F476" s="491" t="n"/>
      <c r="G476" s="491" t="n"/>
      <c r="H476" s="491" t="n"/>
      <c r="I476" s="491" t="n"/>
      <c r="J476" s="491" t="n"/>
      <c r="K476" s="491" t="n"/>
      <c r="L476" s="491" t="n"/>
      <c r="M476" s="491" t="n"/>
      <c r="N476" s="491" t="n"/>
      <c r="O476" s="491" t="n"/>
      <c r="P476" s="491" t="n"/>
      <c r="Q476" s="491" t="n"/>
      <c r="R476" s="491" t="n"/>
      <c r="S476" s="491" t="n"/>
      <c r="T476" s="491" t="n"/>
      <c r="U476" s="491" t="n"/>
      <c r="V476" s="491" t="n"/>
      <c r="W476" s="491" t="n"/>
      <c r="X476" s="491" t="n"/>
      <c r="Y476" s="491" t="n"/>
      <c r="Z476" s="491" t="n"/>
    </row>
    <row r="477" ht="12.75" customHeight="1" s="398">
      <c r="A477" s="491" t="n"/>
      <c r="B477" s="491" t="n"/>
      <c r="C477" s="491" t="n"/>
      <c r="D477" s="491" t="n"/>
      <c r="E477" s="491" t="n"/>
      <c r="F477" s="491" t="n"/>
      <c r="G477" s="491" t="n"/>
      <c r="H477" s="491" t="n"/>
      <c r="I477" s="491" t="n"/>
      <c r="J477" s="491" t="n"/>
      <c r="K477" s="491" t="n"/>
      <c r="L477" s="491" t="n"/>
      <c r="M477" s="491" t="n"/>
      <c r="N477" s="491" t="n"/>
      <c r="O477" s="491" t="n"/>
      <c r="P477" s="491" t="n"/>
      <c r="Q477" s="491" t="n"/>
      <c r="R477" s="491" t="n"/>
      <c r="S477" s="491" t="n"/>
      <c r="T477" s="491" t="n"/>
      <c r="U477" s="491" t="n"/>
      <c r="V477" s="491" t="n"/>
      <c r="W477" s="491" t="n"/>
      <c r="X477" s="491" t="n"/>
      <c r="Y477" s="491" t="n"/>
      <c r="Z477" s="491" t="n"/>
    </row>
    <row r="478" ht="12.75" customHeight="1" s="398">
      <c r="A478" s="491" t="n"/>
      <c r="B478" s="491" t="n"/>
      <c r="C478" s="491" t="n"/>
      <c r="D478" s="491" t="n"/>
      <c r="E478" s="491" t="n"/>
      <c r="F478" s="491" t="n"/>
      <c r="G478" s="491" t="n"/>
      <c r="H478" s="491" t="n"/>
      <c r="I478" s="491" t="n"/>
      <c r="J478" s="491" t="n"/>
      <c r="K478" s="491" t="n"/>
      <c r="L478" s="491" t="n"/>
      <c r="M478" s="491" t="n"/>
      <c r="N478" s="491" t="n"/>
      <c r="O478" s="491" t="n"/>
      <c r="P478" s="491" t="n"/>
      <c r="Q478" s="491" t="n"/>
      <c r="R478" s="491" t="n"/>
      <c r="S478" s="491" t="n"/>
      <c r="T478" s="491" t="n"/>
      <c r="U478" s="491" t="n"/>
      <c r="V478" s="491" t="n"/>
      <c r="W478" s="491" t="n"/>
      <c r="X478" s="491" t="n"/>
      <c r="Y478" s="491" t="n"/>
      <c r="Z478" s="491" t="n"/>
    </row>
    <row r="479" ht="12.75" customHeight="1" s="398">
      <c r="A479" s="491" t="n"/>
      <c r="B479" s="491" t="n"/>
      <c r="C479" s="491" t="n"/>
      <c r="D479" s="491" t="n"/>
      <c r="E479" s="491" t="n"/>
      <c r="F479" s="491" t="n"/>
      <c r="G479" s="491" t="n"/>
      <c r="H479" s="491" t="n"/>
      <c r="I479" s="491" t="n"/>
      <c r="J479" s="491" t="n"/>
      <c r="K479" s="491" t="n"/>
      <c r="L479" s="491" t="n"/>
      <c r="M479" s="491" t="n"/>
      <c r="N479" s="491" t="n"/>
      <c r="O479" s="491" t="n"/>
      <c r="P479" s="491" t="n"/>
      <c r="Q479" s="491" t="n"/>
      <c r="R479" s="491" t="n"/>
      <c r="S479" s="491" t="n"/>
      <c r="T479" s="491" t="n"/>
      <c r="U479" s="491" t="n"/>
      <c r="V479" s="491" t="n"/>
      <c r="W479" s="491" t="n"/>
      <c r="X479" s="491" t="n"/>
      <c r="Y479" s="491" t="n"/>
      <c r="Z479" s="491" t="n"/>
    </row>
    <row r="480" ht="12.75" customHeight="1" s="398">
      <c r="A480" s="491" t="n"/>
      <c r="B480" s="491" t="n"/>
      <c r="C480" s="491" t="n"/>
      <c r="D480" s="491" t="n"/>
      <c r="E480" s="491" t="n"/>
      <c r="F480" s="491" t="n"/>
      <c r="G480" s="491" t="n"/>
      <c r="H480" s="491" t="n"/>
      <c r="I480" s="491" t="n"/>
      <c r="J480" s="491" t="n"/>
      <c r="K480" s="491" t="n"/>
      <c r="L480" s="491" t="n"/>
      <c r="M480" s="491" t="n"/>
      <c r="N480" s="491" t="n"/>
      <c r="O480" s="491" t="n"/>
      <c r="P480" s="491" t="n"/>
      <c r="Q480" s="491" t="n"/>
      <c r="R480" s="491" t="n"/>
      <c r="S480" s="491" t="n"/>
      <c r="T480" s="491" t="n"/>
      <c r="U480" s="491" t="n"/>
      <c r="V480" s="491" t="n"/>
      <c r="W480" s="491" t="n"/>
      <c r="X480" s="491" t="n"/>
      <c r="Y480" s="491" t="n"/>
      <c r="Z480" s="491" t="n"/>
    </row>
    <row r="481" ht="12.75" customHeight="1" s="398">
      <c r="A481" s="491" t="n"/>
      <c r="B481" s="491" t="n"/>
      <c r="C481" s="491" t="n"/>
      <c r="D481" s="491" t="n"/>
      <c r="E481" s="491" t="n"/>
      <c r="F481" s="491" t="n"/>
      <c r="G481" s="491" t="n"/>
      <c r="H481" s="491" t="n"/>
      <c r="I481" s="491" t="n"/>
      <c r="J481" s="491" t="n"/>
      <c r="K481" s="491" t="n"/>
      <c r="L481" s="491" t="n"/>
      <c r="M481" s="491" t="n"/>
      <c r="N481" s="491" t="n"/>
      <c r="O481" s="491" t="n"/>
      <c r="P481" s="491" t="n"/>
      <c r="Q481" s="491" t="n"/>
      <c r="R481" s="491" t="n"/>
      <c r="S481" s="491" t="n"/>
      <c r="T481" s="491" t="n"/>
      <c r="U481" s="491" t="n"/>
      <c r="V481" s="491" t="n"/>
      <c r="W481" s="491" t="n"/>
      <c r="X481" s="491" t="n"/>
      <c r="Y481" s="491" t="n"/>
      <c r="Z481" s="491" t="n"/>
    </row>
    <row r="482" ht="12.75" customHeight="1" s="398">
      <c r="A482" s="491" t="n"/>
      <c r="B482" s="491" t="n"/>
      <c r="C482" s="491" t="n"/>
      <c r="D482" s="491" t="n"/>
      <c r="E482" s="491" t="n"/>
      <c r="F482" s="491" t="n"/>
      <c r="G482" s="491" t="n"/>
      <c r="H482" s="491" t="n"/>
      <c r="I482" s="491" t="n"/>
      <c r="J482" s="491" t="n"/>
      <c r="K482" s="491" t="n"/>
      <c r="L482" s="491" t="n"/>
      <c r="M482" s="491" t="n"/>
      <c r="N482" s="491" t="n"/>
      <c r="O482" s="491" t="n"/>
      <c r="P482" s="491" t="n"/>
      <c r="Q482" s="491" t="n"/>
      <c r="R482" s="491" t="n"/>
      <c r="S482" s="491" t="n"/>
      <c r="T482" s="491" t="n"/>
      <c r="U482" s="491" t="n"/>
      <c r="V482" s="491" t="n"/>
      <c r="W482" s="491" t="n"/>
      <c r="X482" s="491" t="n"/>
      <c r="Y482" s="491" t="n"/>
      <c r="Z482" s="491" t="n"/>
    </row>
    <row r="483" ht="12.75" customHeight="1" s="398">
      <c r="A483" s="491" t="n"/>
      <c r="B483" s="491" t="n"/>
      <c r="C483" s="491" t="n"/>
      <c r="D483" s="491" t="n"/>
      <c r="E483" s="491" t="n"/>
      <c r="F483" s="491" t="n"/>
      <c r="G483" s="491" t="n"/>
      <c r="H483" s="491" t="n"/>
      <c r="I483" s="491" t="n"/>
      <c r="J483" s="491" t="n"/>
      <c r="K483" s="491" t="n"/>
      <c r="L483" s="491" t="n"/>
      <c r="M483" s="491" t="n"/>
      <c r="N483" s="491" t="n"/>
      <c r="O483" s="491" t="n"/>
      <c r="P483" s="491" t="n"/>
      <c r="Q483" s="491" t="n"/>
      <c r="R483" s="491" t="n"/>
      <c r="S483" s="491" t="n"/>
      <c r="T483" s="491" t="n"/>
      <c r="U483" s="491" t="n"/>
      <c r="V483" s="491" t="n"/>
      <c r="W483" s="491" t="n"/>
      <c r="X483" s="491" t="n"/>
      <c r="Y483" s="491" t="n"/>
      <c r="Z483" s="491" t="n"/>
    </row>
    <row r="484" ht="12.75" customHeight="1" s="398">
      <c r="A484" s="491" t="n"/>
      <c r="B484" s="491" t="n"/>
      <c r="C484" s="491" t="n"/>
      <c r="D484" s="491" t="n"/>
      <c r="E484" s="491" t="n"/>
      <c r="F484" s="491" t="n"/>
      <c r="G484" s="491" t="n"/>
      <c r="H484" s="491" t="n"/>
      <c r="I484" s="491" t="n"/>
      <c r="J484" s="491" t="n"/>
      <c r="K484" s="491" t="n"/>
      <c r="L484" s="491" t="n"/>
      <c r="M484" s="491" t="n"/>
      <c r="N484" s="491" t="n"/>
      <c r="O484" s="491" t="n"/>
      <c r="P484" s="491" t="n"/>
      <c r="Q484" s="491" t="n"/>
      <c r="R484" s="491" t="n"/>
      <c r="S484" s="491" t="n"/>
      <c r="T484" s="491" t="n"/>
      <c r="U484" s="491" t="n"/>
      <c r="V484" s="491" t="n"/>
      <c r="W484" s="491" t="n"/>
      <c r="X484" s="491" t="n"/>
      <c r="Y484" s="491" t="n"/>
      <c r="Z484" s="491" t="n"/>
    </row>
    <row r="485" ht="12.75" customHeight="1" s="398">
      <c r="A485" s="491" t="n"/>
      <c r="B485" s="491" t="n"/>
      <c r="C485" s="491" t="n"/>
      <c r="D485" s="491" t="n"/>
      <c r="E485" s="491" t="n"/>
      <c r="F485" s="491" t="n"/>
      <c r="G485" s="491" t="n"/>
      <c r="H485" s="491" t="n"/>
      <c r="I485" s="491" t="n"/>
      <c r="J485" s="491" t="n"/>
      <c r="K485" s="491" t="n"/>
      <c r="L485" s="491" t="n"/>
      <c r="M485" s="491" t="n"/>
      <c r="N485" s="491" t="n"/>
      <c r="O485" s="491" t="n"/>
      <c r="P485" s="491" t="n"/>
      <c r="Q485" s="491" t="n"/>
      <c r="R485" s="491" t="n"/>
      <c r="S485" s="491" t="n"/>
      <c r="T485" s="491" t="n"/>
      <c r="U485" s="491" t="n"/>
      <c r="V485" s="491" t="n"/>
      <c r="W485" s="491" t="n"/>
      <c r="X485" s="491" t="n"/>
      <c r="Y485" s="491" t="n"/>
      <c r="Z485" s="491" t="n"/>
    </row>
    <row r="486" ht="12.75" customHeight="1" s="398">
      <c r="A486" s="491" t="n"/>
      <c r="B486" s="491" t="n"/>
      <c r="C486" s="491" t="n"/>
      <c r="D486" s="491" t="n"/>
      <c r="E486" s="491" t="n"/>
      <c r="F486" s="491" t="n"/>
      <c r="G486" s="491" t="n"/>
      <c r="H486" s="491" t="n"/>
      <c r="I486" s="491" t="n"/>
      <c r="J486" s="491" t="n"/>
      <c r="K486" s="491" t="n"/>
      <c r="L486" s="491" t="n"/>
      <c r="M486" s="491" t="n"/>
      <c r="N486" s="491" t="n"/>
      <c r="O486" s="491" t="n"/>
      <c r="P486" s="491" t="n"/>
      <c r="Q486" s="491" t="n"/>
      <c r="R486" s="491" t="n"/>
      <c r="S486" s="491" t="n"/>
      <c r="T486" s="491" t="n"/>
      <c r="U486" s="491" t="n"/>
      <c r="V486" s="491" t="n"/>
      <c r="W486" s="491" t="n"/>
      <c r="X486" s="491" t="n"/>
      <c r="Y486" s="491" t="n"/>
      <c r="Z486" s="491" t="n"/>
    </row>
    <row r="487" ht="12.75" customHeight="1" s="398">
      <c r="A487" s="491" t="n"/>
      <c r="B487" s="491" t="n"/>
      <c r="C487" s="491" t="n"/>
      <c r="D487" s="491" t="n"/>
      <c r="E487" s="491" t="n"/>
      <c r="F487" s="491" t="n"/>
      <c r="G487" s="491" t="n"/>
      <c r="H487" s="491" t="n"/>
      <c r="I487" s="491" t="n"/>
      <c r="J487" s="491" t="n"/>
      <c r="K487" s="491" t="n"/>
      <c r="L487" s="491" t="n"/>
      <c r="M487" s="491" t="n"/>
      <c r="N487" s="491" t="n"/>
      <c r="O487" s="491" t="n"/>
      <c r="P487" s="491" t="n"/>
      <c r="Q487" s="491" t="n"/>
      <c r="R487" s="491" t="n"/>
      <c r="S487" s="491" t="n"/>
      <c r="T487" s="491" t="n"/>
      <c r="U487" s="491" t="n"/>
      <c r="V487" s="491" t="n"/>
      <c r="W487" s="491" t="n"/>
      <c r="X487" s="491" t="n"/>
      <c r="Y487" s="491" t="n"/>
      <c r="Z487" s="491" t="n"/>
    </row>
    <row r="488" ht="12.75" customHeight="1" s="398">
      <c r="A488" s="491" t="n"/>
      <c r="B488" s="491" t="n"/>
      <c r="C488" s="491" t="n"/>
      <c r="D488" s="491" t="n"/>
      <c r="E488" s="491" t="n"/>
      <c r="F488" s="491" t="n"/>
      <c r="G488" s="491" t="n"/>
      <c r="H488" s="491" t="n"/>
      <c r="I488" s="491" t="n"/>
      <c r="J488" s="491" t="n"/>
      <c r="K488" s="491" t="n"/>
      <c r="L488" s="491" t="n"/>
      <c r="M488" s="491" t="n"/>
      <c r="N488" s="491" t="n"/>
      <c r="O488" s="491" t="n"/>
      <c r="P488" s="491" t="n"/>
      <c r="Q488" s="491" t="n"/>
      <c r="R488" s="491" t="n"/>
      <c r="S488" s="491" t="n"/>
      <c r="T488" s="491" t="n"/>
      <c r="U488" s="491" t="n"/>
      <c r="V488" s="491" t="n"/>
      <c r="W488" s="491" t="n"/>
      <c r="X488" s="491" t="n"/>
      <c r="Y488" s="491" t="n"/>
      <c r="Z488" s="491" t="n"/>
    </row>
    <row r="489" ht="12.75" customHeight="1" s="398">
      <c r="A489" s="491" t="n"/>
      <c r="B489" s="491" t="n"/>
      <c r="C489" s="491" t="n"/>
      <c r="D489" s="491" t="n"/>
      <c r="E489" s="491" t="n"/>
      <c r="F489" s="491" t="n"/>
      <c r="G489" s="491" t="n"/>
      <c r="H489" s="491" t="n"/>
      <c r="I489" s="491" t="n"/>
      <c r="J489" s="491" t="n"/>
      <c r="K489" s="491" t="n"/>
      <c r="L489" s="491" t="n"/>
      <c r="M489" s="491" t="n"/>
      <c r="N489" s="491" t="n"/>
      <c r="O489" s="491" t="n"/>
      <c r="P489" s="491" t="n"/>
      <c r="Q489" s="491" t="n"/>
      <c r="R489" s="491" t="n"/>
      <c r="S489" s="491" t="n"/>
      <c r="T489" s="491" t="n"/>
      <c r="U489" s="491" t="n"/>
      <c r="V489" s="491" t="n"/>
      <c r="W489" s="491" t="n"/>
      <c r="X489" s="491" t="n"/>
      <c r="Y489" s="491" t="n"/>
      <c r="Z489" s="491" t="n"/>
    </row>
    <row r="490" ht="12.75" customHeight="1" s="398">
      <c r="A490" s="491" t="n"/>
      <c r="B490" s="491" t="n"/>
      <c r="C490" s="491" t="n"/>
      <c r="D490" s="491" t="n"/>
      <c r="E490" s="491" t="n"/>
      <c r="F490" s="491" t="n"/>
      <c r="G490" s="491" t="n"/>
      <c r="H490" s="491" t="n"/>
      <c r="I490" s="491" t="n"/>
      <c r="J490" s="491" t="n"/>
      <c r="K490" s="491" t="n"/>
      <c r="L490" s="491" t="n"/>
      <c r="M490" s="491" t="n"/>
      <c r="N490" s="491" t="n"/>
      <c r="O490" s="491" t="n"/>
      <c r="P490" s="491" t="n"/>
      <c r="Q490" s="491" t="n"/>
      <c r="R490" s="491" t="n"/>
      <c r="S490" s="491" t="n"/>
      <c r="T490" s="491" t="n"/>
      <c r="U490" s="491" t="n"/>
      <c r="V490" s="491" t="n"/>
      <c r="W490" s="491" t="n"/>
      <c r="X490" s="491" t="n"/>
      <c r="Y490" s="491" t="n"/>
      <c r="Z490" s="491" t="n"/>
    </row>
    <row r="491" ht="12.75" customHeight="1" s="398">
      <c r="A491" s="491" t="n"/>
      <c r="B491" s="491" t="n"/>
      <c r="C491" s="491" t="n"/>
      <c r="D491" s="491" t="n"/>
      <c r="E491" s="491" t="n"/>
      <c r="F491" s="491" t="n"/>
      <c r="G491" s="491" t="n"/>
      <c r="H491" s="491" t="n"/>
      <c r="I491" s="491" t="n"/>
      <c r="J491" s="491" t="n"/>
      <c r="K491" s="491" t="n"/>
      <c r="L491" s="491" t="n"/>
      <c r="M491" s="491" t="n"/>
      <c r="N491" s="491" t="n"/>
      <c r="O491" s="491" t="n"/>
      <c r="P491" s="491" t="n"/>
      <c r="Q491" s="491" t="n"/>
      <c r="R491" s="491" t="n"/>
      <c r="S491" s="491" t="n"/>
      <c r="T491" s="491" t="n"/>
      <c r="U491" s="491" t="n"/>
      <c r="V491" s="491" t="n"/>
      <c r="W491" s="491" t="n"/>
      <c r="X491" s="491" t="n"/>
      <c r="Y491" s="491" t="n"/>
      <c r="Z491" s="491" t="n"/>
    </row>
    <row r="492" ht="12.75" customHeight="1" s="398">
      <c r="A492" s="491" t="n"/>
      <c r="B492" s="491" t="n"/>
      <c r="C492" s="491" t="n"/>
      <c r="D492" s="491" t="n"/>
      <c r="E492" s="491" t="n"/>
      <c r="F492" s="491" t="n"/>
      <c r="G492" s="491" t="n"/>
      <c r="H492" s="491" t="n"/>
      <c r="I492" s="491" t="n"/>
      <c r="J492" s="491" t="n"/>
      <c r="K492" s="491" t="n"/>
      <c r="L492" s="491" t="n"/>
      <c r="M492" s="491" t="n"/>
      <c r="N492" s="491" t="n"/>
      <c r="O492" s="491" t="n"/>
      <c r="P492" s="491" t="n"/>
      <c r="Q492" s="491" t="n"/>
      <c r="R492" s="491" t="n"/>
      <c r="S492" s="491" t="n"/>
      <c r="T492" s="491" t="n"/>
      <c r="U492" s="491" t="n"/>
      <c r="V492" s="491" t="n"/>
      <c r="W492" s="491" t="n"/>
      <c r="X492" s="491" t="n"/>
      <c r="Y492" s="491" t="n"/>
      <c r="Z492" s="491" t="n"/>
    </row>
    <row r="493" ht="12.75" customHeight="1" s="398">
      <c r="A493" s="491" t="n"/>
      <c r="B493" s="491" t="n"/>
      <c r="C493" s="491" t="n"/>
      <c r="D493" s="491" t="n"/>
      <c r="E493" s="491" t="n"/>
      <c r="F493" s="491" t="n"/>
      <c r="G493" s="491" t="n"/>
      <c r="H493" s="491" t="n"/>
      <c r="I493" s="491" t="n"/>
      <c r="J493" s="491" t="n"/>
      <c r="K493" s="491" t="n"/>
      <c r="L493" s="491" t="n"/>
      <c r="M493" s="491" t="n"/>
      <c r="N493" s="491" t="n"/>
      <c r="O493" s="491" t="n"/>
      <c r="P493" s="491" t="n"/>
      <c r="Q493" s="491" t="n"/>
      <c r="R493" s="491" t="n"/>
      <c r="S493" s="491" t="n"/>
      <c r="T493" s="491" t="n"/>
      <c r="U493" s="491" t="n"/>
      <c r="V493" s="491" t="n"/>
      <c r="W493" s="491" t="n"/>
      <c r="X493" s="491" t="n"/>
      <c r="Y493" s="491" t="n"/>
      <c r="Z493" s="491" t="n"/>
    </row>
    <row r="494" ht="12.75" customHeight="1" s="398">
      <c r="A494" s="491" t="n"/>
      <c r="B494" s="491" t="n"/>
      <c r="C494" s="491" t="n"/>
      <c r="D494" s="491" t="n"/>
      <c r="E494" s="491" t="n"/>
      <c r="F494" s="491" t="n"/>
      <c r="G494" s="491" t="n"/>
      <c r="H494" s="491" t="n"/>
      <c r="I494" s="491" t="n"/>
      <c r="J494" s="491" t="n"/>
      <c r="K494" s="491" t="n"/>
      <c r="L494" s="491" t="n"/>
      <c r="M494" s="491" t="n"/>
      <c r="N494" s="491" t="n"/>
      <c r="O494" s="491" t="n"/>
      <c r="P494" s="491" t="n"/>
      <c r="Q494" s="491" t="n"/>
      <c r="R494" s="491" t="n"/>
      <c r="S494" s="491" t="n"/>
      <c r="T494" s="491" t="n"/>
      <c r="U494" s="491" t="n"/>
      <c r="V494" s="491" t="n"/>
      <c r="W494" s="491" t="n"/>
      <c r="X494" s="491" t="n"/>
      <c r="Y494" s="491" t="n"/>
      <c r="Z494" s="491" t="n"/>
    </row>
    <row r="495" ht="12.75" customHeight="1" s="398">
      <c r="A495" s="491" t="n"/>
      <c r="B495" s="491" t="n"/>
      <c r="C495" s="491" t="n"/>
      <c r="D495" s="491" t="n"/>
      <c r="E495" s="491" t="n"/>
      <c r="F495" s="491" t="n"/>
      <c r="G495" s="491" t="n"/>
      <c r="H495" s="491" t="n"/>
      <c r="I495" s="491" t="n"/>
      <c r="J495" s="491" t="n"/>
      <c r="K495" s="491" t="n"/>
      <c r="L495" s="491" t="n"/>
      <c r="M495" s="491" t="n"/>
      <c r="N495" s="491" t="n"/>
      <c r="O495" s="491" t="n"/>
      <c r="P495" s="491" t="n"/>
      <c r="Q495" s="491" t="n"/>
      <c r="R495" s="491" t="n"/>
      <c r="S495" s="491" t="n"/>
      <c r="T495" s="491" t="n"/>
      <c r="U495" s="491" t="n"/>
      <c r="V495" s="491" t="n"/>
      <c r="W495" s="491" t="n"/>
      <c r="X495" s="491" t="n"/>
      <c r="Y495" s="491" t="n"/>
      <c r="Z495" s="491" t="n"/>
    </row>
    <row r="496" ht="12.75" customHeight="1" s="398">
      <c r="A496" s="491" t="n"/>
      <c r="B496" s="491" t="n"/>
      <c r="C496" s="491" t="n"/>
      <c r="D496" s="491" t="n"/>
      <c r="E496" s="491" t="n"/>
      <c r="F496" s="491" t="n"/>
      <c r="G496" s="491" t="n"/>
      <c r="H496" s="491" t="n"/>
      <c r="I496" s="491" t="n"/>
      <c r="J496" s="491" t="n"/>
      <c r="K496" s="491" t="n"/>
      <c r="L496" s="491" t="n"/>
      <c r="M496" s="491" t="n"/>
      <c r="N496" s="491" t="n"/>
      <c r="O496" s="491" t="n"/>
      <c r="P496" s="491" t="n"/>
      <c r="Q496" s="491" t="n"/>
      <c r="R496" s="491" t="n"/>
      <c r="S496" s="491" t="n"/>
      <c r="T496" s="491" t="n"/>
      <c r="U496" s="491" t="n"/>
      <c r="V496" s="491" t="n"/>
      <c r="W496" s="491" t="n"/>
      <c r="X496" s="491" t="n"/>
      <c r="Y496" s="491" t="n"/>
      <c r="Z496" s="491" t="n"/>
    </row>
    <row r="497" ht="12.75" customHeight="1" s="398">
      <c r="A497" s="491" t="n"/>
      <c r="B497" s="491" t="n"/>
      <c r="C497" s="491" t="n"/>
      <c r="D497" s="491" t="n"/>
      <c r="E497" s="491" t="n"/>
      <c r="F497" s="491" t="n"/>
      <c r="G497" s="491" t="n"/>
      <c r="H497" s="491" t="n"/>
      <c r="I497" s="491" t="n"/>
      <c r="J497" s="491" t="n"/>
      <c r="K497" s="491" t="n"/>
      <c r="L497" s="491" t="n"/>
      <c r="M497" s="491" t="n"/>
      <c r="N497" s="491" t="n"/>
      <c r="O497" s="491" t="n"/>
      <c r="P497" s="491" t="n"/>
      <c r="Q497" s="491" t="n"/>
      <c r="R497" s="491" t="n"/>
      <c r="S497" s="491" t="n"/>
      <c r="T497" s="491" t="n"/>
      <c r="U497" s="491" t="n"/>
      <c r="V497" s="491" t="n"/>
      <c r="W497" s="491" t="n"/>
      <c r="X497" s="491" t="n"/>
      <c r="Y497" s="491" t="n"/>
      <c r="Z497" s="491" t="n"/>
    </row>
    <row r="498" ht="12.75" customHeight="1" s="398">
      <c r="A498" s="491" t="n"/>
      <c r="B498" s="491" t="n"/>
      <c r="C498" s="491" t="n"/>
      <c r="D498" s="491" t="n"/>
      <c r="E498" s="491" t="n"/>
      <c r="F498" s="491" t="n"/>
      <c r="G498" s="491" t="n"/>
      <c r="H498" s="491" t="n"/>
      <c r="I498" s="491" t="n"/>
      <c r="J498" s="491" t="n"/>
      <c r="K498" s="491" t="n"/>
      <c r="L498" s="491" t="n"/>
      <c r="M498" s="491" t="n"/>
      <c r="N498" s="491" t="n"/>
      <c r="O498" s="491" t="n"/>
      <c r="P498" s="491" t="n"/>
      <c r="Q498" s="491" t="n"/>
      <c r="R498" s="491" t="n"/>
      <c r="S498" s="491" t="n"/>
      <c r="T498" s="491" t="n"/>
      <c r="U498" s="491" t="n"/>
      <c r="V498" s="491" t="n"/>
      <c r="W498" s="491" t="n"/>
      <c r="X498" s="491" t="n"/>
      <c r="Y498" s="491" t="n"/>
      <c r="Z498" s="491" t="n"/>
    </row>
    <row r="499" ht="12.75" customHeight="1" s="398">
      <c r="A499" s="491" t="n"/>
      <c r="B499" s="491" t="n"/>
      <c r="C499" s="491" t="n"/>
      <c r="D499" s="491" t="n"/>
      <c r="E499" s="491" t="n"/>
      <c r="F499" s="491" t="n"/>
      <c r="G499" s="491" t="n"/>
      <c r="H499" s="491" t="n"/>
      <c r="I499" s="491" t="n"/>
      <c r="J499" s="491" t="n"/>
      <c r="K499" s="491" t="n"/>
      <c r="L499" s="491" t="n"/>
      <c r="M499" s="491" t="n"/>
      <c r="N499" s="491" t="n"/>
      <c r="O499" s="491" t="n"/>
      <c r="P499" s="491" t="n"/>
      <c r="Q499" s="491" t="n"/>
      <c r="R499" s="491" t="n"/>
      <c r="S499" s="491" t="n"/>
      <c r="T499" s="491" t="n"/>
      <c r="U499" s="491" t="n"/>
      <c r="V499" s="491" t="n"/>
      <c r="W499" s="491" t="n"/>
      <c r="X499" s="491" t="n"/>
      <c r="Y499" s="491" t="n"/>
      <c r="Z499" s="491" t="n"/>
    </row>
    <row r="500" ht="12.75" customHeight="1" s="398">
      <c r="A500" s="491" t="n"/>
      <c r="B500" s="491" t="n"/>
      <c r="C500" s="491" t="n"/>
      <c r="D500" s="491" t="n"/>
      <c r="E500" s="491" t="n"/>
      <c r="F500" s="491" t="n"/>
      <c r="G500" s="491" t="n"/>
      <c r="H500" s="491" t="n"/>
      <c r="I500" s="491" t="n"/>
      <c r="J500" s="491" t="n"/>
      <c r="K500" s="491" t="n"/>
      <c r="L500" s="491" t="n"/>
      <c r="M500" s="491" t="n"/>
      <c r="N500" s="491" t="n"/>
      <c r="O500" s="491" t="n"/>
      <c r="P500" s="491" t="n"/>
      <c r="Q500" s="491" t="n"/>
      <c r="R500" s="491" t="n"/>
      <c r="S500" s="491" t="n"/>
      <c r="T500" s="491" t="n"/>
      <c r="U500" s="491" t="n"/>
      <c r="V500" s="491" t="n"/>
      <c r="W500" s="491" t="n"/>
      <c r="X500" s="491" t="n"/>
      <c r="Y500" s="491" t="n"/>
      <c r="Z500" s="491" t="n"/>
    </row>
    <row r="501" ht="12.75" customHeight="1" s="398">
      <c r="A501" s="491" t="n"/>
      <c r="B501" s="491" t="n"/>
      <c r="C501" s="491" t="n"/>
      <c r="D501" s="491" t="n"/>
      <c r="E501" s="491" t="n"/>
      <c r="F501" s="491" t="n"/>
      <c r="G501" s="491" t="n"/>
      <c r="H501" s="491" t="n"/>
      <c r="I501" s="491" t="n"/>
      <c r="J501" s="491" t="n"/>
      <c r="K501" s="491" t="n"/>
      <c r="L501" s="491" t="n"/>
      <c r="M501" s="491" t="n"/>
      <c r="N501" s="491" t="n"/>
      <c r="O501" s="491" t="n"/>
      <c r="P501" s="491" t="n"/>
      <c r="Q501" s="491" t="n"/>
      <c r="R501" s="491" t="n"/>
      <c r="S501" s="491" t="n"/>
      <c r="T501" s="491" t="n"/>
      <c r="U501" s="491" t="n"/>
      <c r="V501" s="491" t="n"/>
      <c r="W501" s="491" t="n"/>
      <c r="X501" s="491" t="n"/>
      <c r="Y501" s="491" t="n"/>
      <c r="Z501" s="491" t="n"/>
    </row>
    <row r="502" ht="12.75" customHeight="1" s="398">
      <c r="A502" s="491" t="n"/>
      <c r="B502" s="491" t="n"/>
      <c r="C502" s="491" t="n"/>
      <c r="D502" s="491" t="n"/>
      <c r="E502" s="491" t="n"/>
      <c r="F502" s="491" t="n"/>
      <c r="G502" s="491" t="n"/>
      <c r="H502" s="491" t="n"/>
      <c r="I502" s="491" t="n"/>
      <c r="J502" s="491" t="n"/>
      <c r="K502" s="491" t="n"/>
      <c r="L502" s="491" t="n"/>
      <c r="M502" s="491" t="n"/>
      <c r="N502" s="491" t="n"/>
      <c r="O502" s="491" t="n"/>
      <c r="P502" s="491" t="n"/>
      <c r="Q502" s="491" t="n"/>
      <c r="R502" s="491" t="n"/>
      <c r="S502" s="491" t="n"/>
      <c r="T502" s="491" t="n"/>
      <c r="U502" s="491" t="n"/>
      <c r="V502" s="491" t="n"/>
      <c r="W502" s="491" t="n"/>
      <c r="X502" s="491" t="n"/>
      <c r="Y502" s="491" t="n"/>
      <c r="Z502" s="491" t="n"/>
    </row>
    <row r="503" ht="12.75" customHeight="1" s="398">
      <c r="A503" s="491" t="n"/>
      <c r="B503" s="491" t="n"/>
      <c r="C503" s="491" t="n"/>
      <c r="D503" s="491" t="n"/>
      <c r="E503" s="491" t="n"/>
      <c r="F503" s="491" t="n"/>
      <c r="G503" s="491" t="n"/>
      <c r="H503" s="491" t="n"/>
      <c r="I503" s="491" t="n"/>
      <c r="J503" s="491" t="n"/>
      <c r="K503" s="491" t="n"/>
      <c r="L503" s="491" t="n"/>
      <c r="M503" s="491" t="n"/>
      <c r="N503" s="491" t="n"/>
      <c r="O503" s="491" t="n"/>
      <c r="P503" s="491" t="n"/>
      <c r="Q503" s="491" t="n"/>
      <c r="R503" s="491" t="n"/>
      <c r="S503" s="491" t="n"/>
      <c r="T503" s="491" t="n"/>
      <c r="U503" s="491" t="n"/>
      <c r="V503" s="491" t="n"/>
      <c r="W503" s="491" t="n"/>
      <c r="X503" s="491" t="n"/>
      <c r="Y503" s="491" t="n"/>
      <c r="Z503" s="491" t="n"/>
    </row>
    <row r="504" ht="12.75" customHeight="1" s="398">
      <c r="A504" s="491" t="n"/>
      <c r="B504" s="491" t="n"/>
      <c r="C504" s="491" t="n"/>
      <c r="D504" s="491" t="n"/>
      <c r="E504" s="491" t="n"/>
      <c r="F504" s="491" t="n"/>
      <c r="G504" s="491" t="n"/>
      <c r="H504" s="491" t="n"/>
      <c r="I504" s="491" t="n"/>
      <c r="J504" s="491" t="n"/>
      <c r="K504" s="491" t="n"/>
      <c r="L504" s="491" t="n"/>
      <c r="M504" s="491" t="n"/>
      <c r="N504" s="491" t="n"/>
      <c r="O504" s="491" t="n"/>
      <c r="P504" s="491" t="n"/>
      <c r="Q504" s="491" t="n"/>
      <c r="R504" s="491" t="n"/>
      <c r="S504" s="491" t="n"/>
      <c r="T504" s="491" t="n"/>
      <c r="U504" s="491" t="n"/>
      <c r="V504" s="491" t="n"/>
      <c r="W504" s="491" t="n"/>
      <c r="X504" s="491" t="n"/>
      <c r="Y504" s="491" t="n"/>
      <c r="Z504" s="491" t="n"/>
    </row>
    <row r="505" ht="12.75" customHeight="1" s="398">
      <c r="A505" s="491" t="n"/>
      <c r="B505" s="491" t="n"/>
      <c r="C505" s="491" t="n"/>
      <c r="D505" s="491" t="n"/>
      <c r="E505" s="491" t="n"/>
      <c r="F505" s="491" t="n"/>
      <c r="G505" s="491" t="n"/>
      <c r="H505" s="491" t="n"/>
      <c r="I505" s="491" t="n"/>
      <c r="J505" s="491" t="n"/>
      <c r="K505" s="491" t="n"/>
      <c r="L505" s="491" t="n"/>
      <c r="M505" s="491" t="n"/>
      <c r="N505" s="491" t="n"/>
      <c r="O505" s="491" t="n"/>
      <c r="P505" s="491" t="n"/>
      <c r="Q505" s="491" t="n"/>
      <c r="R505" s="491" t="n"/>
      <c r="S505" s="491" t="n"/>
      <c r="T505" s="491" t="n"/>
      <c r="U505" s="491" t="n"/>
      <c r="V505" s="491" t="n"/>
      <c r="W505" s="491" t="n"/>
      <c r="X505" s="491" t="n"/>
      <c r="Y505" s="491" t="n"/>
      <c r="Z505" s="491" t="n"/>
    </row>
    <row r="506" ht="12.75" customHeight="1" s="398">
      <c r="A506" s="491" t="n"/>
      <c r="B506" s="491" t="n"/>
      <c r="C506" s="491" t="n"/>
      <c r="D506" s="491" t="n"/>
      <c r="E506" s="491" t="n"/>
      <c r="F506" s="491" t="n"/>
      <c r="G506" s="491" t="n"/>
      <c r="H506" s="491" t="n"/>
      <c r="I506" s="491" t="n"/>
      <c r="J506" s="491" t="n"/>
      <c r="K506" s="491" t="n"/>
      <c r="L506" s="491" t="n"/>
      <c r="M506" s="491" t="n"/>
      <c r="N506" s="491" t="n"/>
      <c r="O506" s="491" t="n"/>
      <c r="P506" s="491" t="n"/>
      <c r="Q506" s="491" t="n"/>
      <c r="R506" s="491" t="n"/>
      <c r="S506" s="491" t="n"/>
      <c r="T506" s="491" t="n"/>
      <c r="U506" s="491" t="n"/>
      <c r="V506" s="491" t="n"/>
      <c r="W506" s="491" t="n"/>
      <c r="X506" s="491" t="n"/>
      <c r="Y506" s="491" t="n"/>
      <c r="Z506" s="491" t="n"/>
    </row>
    <row r="507" ht="12.75" customHeight="1" s="398">
      <c r="A507" s="491" t="n"/>
      <c r="B507" s="491" t="n"/>
      <c r="C507" s="491" t="n"/>
      <c r="D507" s="491" t="n"/>
      <c r="E507" s="491" t="n"/>
      <c r="F507" s="491" t="n"/>
      <c r="G507" s="491" t="n"/>
      <c r="H507" s="491" t="n"/>
      <c r="I507" s="491" t="n"/>
      <c r="J507" s="491" t="n"/>
      <c r="K507" s="491" t="n"/>
      <c r="L507" s="491" t="n"/>
      <c r="M507" s="491" t="n"/>
      <c r="N507" s="491" t="n"/>
      <c r="O507" s="491" t="n"/>
      <c r="P507" s="491" t="n"/>
      <c r="Q507" s="491" t="n"/>
      <c r="R507" s="491" t="n"/>
      <c r="S507" s="491" t="n"/>
      <c r="T507" s="491" t="n"/>
      <c r="U507" s="491" t="n"/>
      <c r="V507" s="491" t="n"/>
      <c r="W507" s="491" t="n"/>
      <c r="X507" s="491" t="n"/>
      <c r="Y507" s="491" t="n"/>
      <c r="Z507" s="491" t="n"/>
    </row>
    <row r="508" ht="12.75" customHeight="1" s="398">
      <c r="A508" s="491" t="n"/>
      <c r="B508" s="491" t="n"/>
      <c r="C508" s="491" t="n"/>
      <c r="D508" s="491" t="n"/>
      <c r="E508" s="491" t="n"/>
      <c r="F508" s="491" t="n"/>
      <c r="G508" s="491" t="n"/>
      <c r="H508" s="491" t="n"/>
      <c r="I508" s="491" t="n"/>
      <c r="J508" s="491" t="n"/>
      <c r="K508" s="491" t="n"/>
      <c r="L508" s="491" t="n"/>
      <c r="M508" s="491" t="n"/>
      <c r="N508" s="491" t="n"/>
      <c r="O508" s="491" t="n"/>
      <c r="P508" s="491" t="n"/>
      <c r="Q508" s="491" t="n"/>
      <c r="R508" s="491" t="n"/>
      <c r="S508" s="491" t="n"/>
      <c r="T508" s="491" t="n"/>
      <c r="U508" s="491" t="n"/>
      <c r="V508" s="491" t="n"/>
      <c r="W508" s="491" t="n"/>
      <c r="X508" s="491" t="n"/>
      <c r="Y508" s="491" t="n"/>
      <c r="Z508" s="491" t="n"/>
    </row>
    <row r="509" ht="12.75" customHeight="1" s="398">
      <c r="A509" s="491" t="n"/>
      <c r="B509" s="491" t="n"/>
      <c r="C509" s="491" t="n"/>
      <c r="D509" s="491" t="n"/>
      <c r="E509" s="491" t="n"/>
      <c r="F509" s="491" t="n"/>
      <c r="G509" s="491" t="n"/>
      <c r="H509" s="491" t="n"/>
      <c r="I509" s="491" t="n"/>
      <c r="J509" s="491" t="n"/>
      <c r="K509" s="491" t="n"/>
      <c r="L509" s="491" t="n"/>
      <c r="M509" s="491" t="n"/>
      <c r="N509" s="491" t="n"/>
      <c r="O509" s="491" t="n"/>
      <c r="P509" s="491" t="n"/>
      <c r="Q509" s="491" t="n"/>
      <c r="R509" s="491" t="n"/>
      <c r="S509" s="491" t="n"/>
      <c r="T509" s="491" t="n"/>
      <c r="U509" s="491" t="n"/>
      <c r="V509" s="491" t="n"/>
      <c r="W509" s="491" t="n"/>
      <c r="X509" s="491" t="n"/>
      <c r="Y509" s="491" t="n"/>
      <c r="Z509" s="491" t="n"/>
    </row>
    <row r="510" ht="12.75" customHeight="1" s="398">
      <c r="A510" s="491" t="n"/>
      <c r="B510" s="491" t="n"/>
      <c r="C510" s="491" t="n"/>
      <c r="D510" s="491" t="n"/>
      <c r="E510" s="491" t="n"/>
      <c r="F510" s="491" t="n"/>
      <c r="G510" s="491" t="n"/>
      <c r="H510" s="491" t="n"/>
      <c r="I510" s="491" t="n"/>
      <c r="J510" s="491" t="n"/>
      <c r="K510" s="491" t="n"/>
      <c r="L510" s="491" t="n"/>
      <c r="M510" s="491" t="n"/>
      <c r="N510" s="491" t="n"/>
      <c r="O510" s="491" t="n"/>
      <c r="P510" s="491" t="n"/>
      <c r="Q510" s="491" t="n"/>
      <c r="R510" s="491" t="n"/>
      <c r="S510" s="491" t="n"/>
      <c r="T510" s="491" t="n"/>
      <c r="U510" s="491" t="n"/>
      <c r="V510" s="491" t="n"/>
      <c r="W510" s="491" t="n"/>
      <c r="X510" s="491" t="n"/>
      <c r="Y510" s="491" t="n"/>
      <c r="Z510" s="491" t="n"/>
    </row>
    <row r="511" ht="12.75" customHeight="1" s="398">
      <c r="A511" s="491" t="n"/>
      <c r="B511" s="491" t="n"/>
      <c r="C511" s="491" t="n"/>
      <c r="D511" s="491" t="n"/>
      <c r="E511" s="491" t="n"/>
      <c r="F511" s="491" t="n"/>
      <c r="G511" s="491" t="n"/>
      <c r="H511" s="491" t="n"/>
      <c r="I511" s="491" t="n"/>
      <c r="J511" s="491" t="n"/>
      <c r="K511" s="491" t="n"/>
      <c r="L511" s="491" t="n"/>
      <c r="M511" s="491" t="n"/>
      <c r="N511" s="491" t="n"/>
      <c r="O511" s="491" t="n"/>
      <c r="P511" s="491" t="n"/>
      <c r="Q511" s="491" t="n"/>
      <c r="R511" s="491" t="n"/>
      <c r="S511" s="491" t="n"/>
      <c r="T511" s="491" t="n"/>
      <c r="U511" s="491" t="n"/>
      <c r="V511" s="491" t="n"/>
      <c r="W511" s="491" t="n"/>
      <c r="X511" s="491" t="n"/>
      <c r="Y511" s="491" t="n"/>
      <c r="Z511" s="491" t="n"/>
    </row>
    <row r="512" ht="12.75" customHeight="1" s="398">
      <c r="A512" s="491" t="n"/>
      <c r="B512" s="491" t="n"/>
      <c r="C512" s="491" t="n"/>
      <c r="D512" s="491" t="n"/>
      <c r="E512" s="491" t="n"/>
      <c r="F512" s="491" t="n"/>
      <c r="G512" s="491" t="n"/>
      <c r="H512" s="491" t="n"/>
      <c r="I512" s="491" t="n"/>
      <c r="J512" s="491" t="n"/>
      <c r="K512" s="491" t="n"/>
      <c r="L512" s="491" t="n"/>
      <c r="M512" s="491" t="n"/>
      <c r="N512" s="491" t="n"/>
      <c r="O512" s="491" t="n"/>
      <c r="P512" s="491" t="n"/>
      <c r="Q512" s="491" t="n"/>
      <c r="R512" s="491" t="n"/>
      <c r="S512" s="491" t="n"/>
      <c r="T512" s="491" t="n"/>
      <c r="U512" s="491" t="n"/>
      <c r="V512" s="491" t="n"/>
      <c r="W512" s="491" t="n"/>
      <c r="X512" s="491" t="n"/>
      <c r="Y512" s="491" t="n"/>
      <c r="Z512" s="491" t="n"/>
    </row>
    <row r="513" ht="12.75" customHeight="1" s="398">
      <c r="A513" s="491" t="n"/>
      <c r="B513" s="491" t="n"/>
      <c r="C513" s="491" t="n"/>
      <c r="D513" s="491" t="n"/>
      <c r="E513" s="491" t="n"/>
      <c r="F513" s="491" t="n"/>
      <c r="G513" s="491" t="n"/>
      <c r="H513" s="491" t="n"/>
      <c r="I513" s="491" t="n"/>
      <c r="J513" s="491" t="n"/>
      <c r="K513" s="491" t="n"/>
      <c r="L513" s="491" t="n"/>
      <c r="M513" s="491" t="n"/>
      <c r="N513" s="491" t="n"/>
      <c r="O513" s="491" t="n"/>
      <c r="P513" s="491" t="n"/>
      <c r="Q513" s="491" t="n"/>
      <c r="R513" s="491" t="n"/>
      <c r="S513" s="491" t="n"/>
      <c r="T513" s="491" t="n"/>
      <c r="U513" s="491" t="n"/>
      <c r="V513" s="491" t="n"/>
      <c r="W513" s="491" t="n"/>
      <c r="X513" s="491" t="n"/>
      <c r="Y513" s="491" t="n"/>
      <c r="Z513" s="491" t="n"/>
    </row>
    <row r="514" ht="12.75" customHeight="1" s="398">
      <c r="A514" s="491" t="n"/>
      <c r="B514" s="491" t="n"/>
      <c r="C514" s="491" t="n"/>
      <c r="D514" s="491" t="n"/>
      <c r="E514" s="491" t="n"/>
      <c r="F514" s="491" t="n"/>
      <c r="G514" s="491" t="n"/>
      <c r="H514" s="491" t="n"/>
      <c r="I514" s="491" t="n"/>
      <c r="J514" s="491" t="n"/>
      <c r="K514" s="491" t="n"/>
      <c r="L514" s="491" t="n"/>
      <c r="M514" s="491" t="n"/>
      <c r="N514" s="491" t="n"/>
      <c r="O514" s="491" t="n"/>
      <c r="P514" s="491" t="n"/>
      <c r="Q514" s="491" t="n"/>
      <c r="R514" s="491" t="n"/>
      <c r="S514" s="491" t="n"/>
      <c r="T514" s="491" t="n"/>
      <c r="U514" s="491" t="n"/>
      <c r="V514" s="491" t="n"/>
      <c r="W514" s="491" t="n"/>
      <c r="X514" s="491" t="n"/>
      <c r="Y514" s="491" t="n"/>
      <c r="Z514" s="491" t="n"/>
    </row>
    <row r="515" ht="12.75" customHeight="1" s="398">
      <c r="A515" s="491" t="n"/>
      <c r="B515" s="491" t="n"/>
      <c r="C515" s="491" t="n"/>
      <c r="D515" s="491" t="n"/>
      <c r="E515" s="491" t="n"/>
      <c r="F515" s="491" t="n"/>
      <c r="G515" s="491" t="n"/>
      <c r="H515" s="491" t="n"/>
      <c r="I515" s="491" t="n"/>
      <c r="J515" s="491" t="n"/>
      <c r="K515" s="491" t="n"/>
      <c r="L515" s="491" t="n"/>
      <c r="M515" s="491" t="n"/>
      <c r="N515" s="491" t="n"/>
      <c r="O515" s="491" t="n"/>
      <c r="P515" s="491" t="n"/>
      <c r="Q515" s="491" t="n"/>
      <c r="R515" s="491" t="n"/>
      <c r="S515" s="491" t="n"/>
      <c r="T515" s="491" t="n"/>
      <c r="U515" s="491" t="n"/>
      <c r="V515" s="491" t="n"/>
      <c r="W515" s="491" t="n"/>
      <c r="X515" s="491" t="n"/>
      <c r="Y515" s="491" t="n"/>
      <c r="Z515" s="491" t="n"/>
    </row>
    <row r="516" ht="12.75" customHeight="1" s="398">
      <c r="A516" s="491" t="n"/>
      <c r="B516" s="491" t="n"/>
      <c r="C516" s="491" t="n"/>
      <c r="D516" s="491" t="n"/>
      <c r="E516" s="491" t="n"/>
      <c r="F516" s="491" t="n"/>
      <c r="G516" s="491" t="n"/>
      <c r="H516" s="491" t="n"/>
      <c r="I516" s="491" t="n"/>
      <c r="J516" s="491" t="n"/>
      <c r="K516" s="491" t="n"/>
      <c r="L516" s="491" t="n"/>
      <c r="M516" s="491" t="n"/>
      <c r="N516" s="491" t="n"/>
      <c r="O516" s="491" t="n"/>
      <c r="P516" s="491" t="n"/>
      <c r="Q516" s="491" t="n"/>
      <c r="R516" s="491" t="n"/>
      <c r="S516" s="491" t="n"/>
      <c r="T516" s="491" t="n"/>
      <c r="U516" s="491" t="n"/>
      <c r="V516" s="491" t="n"/>
      <c r="W516" s="491" t="n"/>
      <c r="X516" s="491" t="n"/>
      <c r="Y516" s="491" t="n"/>
      <c r="Z516" s="491" t="n"/>
    </row>
    <row r="517" ht="12.75" customHeight="1" s="398">
      <c r="A517" s="491" t="n"/>
      <c r="B517" s="491" t="n"/>
      <c r="C517" s="491" t="n"/>
      <c r="D517" s="491" t="n"/>
      <c r="E517" s="491" t="n"/>
      <c r="F517" s="491" t="n"/>
      <c r="G517" s="491" t="n"/>
      <c r="H517" s="491" t="n"/>
      <c r="I517" s="491" t="n"/>
      <c r="J517" s="491" t="n"/>
      <c r="K517" s="491" t="n"/>
      <c r="L517" s="491" t="n"/>
      <c r="M517" s="491" t="n"/>
      <c r="N517" s="491" t="n"/>
      <c r="O517" s="491" t="n"/>
      <c r="P517" s="491" t="n"/>
      <c r="Q517" s="491" t="n"/>
      <c r="R517" s="491" t="n"/>
      <c r="S517" s="491" t="n"/>
      <c r="T517" s="491" t="n"/>
      <c r="U517" s="491" t="n"/>
      <c r="V517" s="491" t="n"/>
      <c r="W517" s="491" t="n"/>
      <c r="X517" s="491" t="n"/>
      <c r="Y517" s="491" t="n"/>
      <c r="Z517" s="491" t="n"/>
    </row>
    <row r="518" ht="12.75" customHeight="1" s="398">
      <c r="A518" s="491" t="n"/>
      <c r="B518" s="491" t="n"/>
      <c r="C518" s="491" t="n"/>
      <c r="D518" s="491" t="n"/>
      <c r="E518" s="491" t="n"/>
      <c r="F518" s="491" t="n"/>
      <c r="G518" s="491" t="n"/>
      <c r="H518" s="491" t="n"/>
      <c r="I518" s="491" t="n"/>
      <c r="J518" s="491" t="n"/>
      <c r="K518" s="491" t="n"/>
      <c r="L518" s="491" t="n"/>
      <c r="M518" s="491" t="n"/>
      <c r="N518" s="491" t="n"/>
      <c r="O518" s="491" t="n"/>
      <c r="P518" s="491" t="n"/>
      <c r="Q518" s="491" t="n"/>
      <c r="R518" s="491" t="n"/>
      <c r="S518" s="491" t="n"/>
      <c r="T518" s="491" t="n"/>
      <c r="U518" s="491" t="n"/>
      <c r="V518" s="491" t="n"/>
      <c r="W518" s="491" t="n"/>
      <c r="X518" s="491" t="n"/>
      <c r="Y518" s="491" t="n"/>
      <c r="Z518" s="491" t="n"/>
    </row>
    <row r="519" ht="12.75" customHeight="1" s="398">
      <c r="A519" s="491" t="n"/>
      <c r="B519" s="491" t="n"/>
      <c r="C519" s="491" t="n"/>
      <c r="D519" s="491" t="n"/>
      <c r="E519" s="491" t="n"/>
      <c r="F519" s="491" t="n"/>
      <c r="G519" s="491" t="n"/>
      <c r="H519" s="491" t="n"/>
      <c r="I519" s="491" t="n"/>
      <c r="J519" s="491" t="n"/>
      <c r="K519" s="491" t="n"/>
      <c r="L519" s="491" t="n"/>
      <c r="M519" s="491" t="n"/>
      <c r="N519" s="491" t="n"/>
      <c r="O519" s="491" t="n"/>
      <c r="P519" s="491" t="n"/>
      <c r="Q519" s="491" t="n"/>
      <c r="R519" s="491" t="n"/>
      <c r="S519" s="491" t="n"/>
      <c r="T519" s="491" t="n"/>
      <c r="U519" s="491" t="n"/>
      <c r="V519" s="491" t="n"/>
      <c r="W519" s="491" t="n"/>
      <c r="X519" s="491" t="n"/>
      <c r="Y519" s="491" t="n"/>
      <c r="Z519" s="491" t="n"/>
    </row>
    <row r="520" ht="12.75" customHeight="1" s="398">
      <c r="A520" s="491" t="n"/>
      <c r="B520" s="491" t="n"/>
      <c r="C520" s="491" t="n"/>
      <c r="D520" s="491" t="n"/>
      <c r="E520" s="491" t="n"/>
      <c r="F520" s="491" t="n"/>
      <c r="G520" s="491" t="n"/>
      <c r="H520" s="491" t="n"/>
      <c r="I520" s="491" t="n"/>
      <c r="J520" s="491" t="n"/>
      <c r="K520" s="491" t="n"/>
      <c r="L520" s="491" t="n"/>
      <c r="M520" s="491" t="n"/>
      <c r="N520" s="491" t="n"/>
      <c r="O520" s="491" t="n"/>
      <c r="P520" s="491" t="n"/>
      <c r="Q520" s="491" t="n"/>
      <c r="R520" s="491" t="n"/>
      <c r="S520" s="491" t="n"/>
      <c r="T520" s="491" t="n"/>
      <c r="U520" s="491" t="n"/>
      <c r="V520" s="491" t="n"/>
      <c r="W520" s="491" t="n"/>
      <c r="X520" s="491" t="n"/>
      <c r="Y520" s="491" t="n"/>
      <c r="Z520" s="491" t="n"/>
    </row>
    <row r="521" ht="12.75" customHeight="1" s="398">
      <c r="A521" s="491" t="n"/>
      <c r="B521" s="491" t="n"/>
      <c r="C521" s="491" t="n"/>
      <c r="D521" s="491" t="n"/>
      <c r="E521" s="491" t="n"/>
      <c r="F521" s="491" t="n"/>
      <c r="G521" s="491" t="n"/>
      <c r="H521" s="491" t="n"/>
      <c r="I521" s="491" t="n"/>
      <c r="J521" s="491" t="n"/>
      <c r="K521" s="491" t="n"/>
      <c r="L521" s="491" t="n"/>
      <c r="M521" s="491" t="n"/>
      <c r="N521" s="491" t="n"/>
      <c r="O521" s="491" t="n"/>
      <c r="P521" s="491" t="n"/>
      <c r="Q521" s="491" t="n"/>
      <c r="R521" s="491" t="n"/>
      <c r="S521" s="491" t="n"/>
      <c r="T521" s="491" t="n"/>
      <c r="U521" s="491" t="n"/>
      <c r="V521" s="491" t="n"/>
      <c r="W521" s="491" t="n"/>
      <c r="X521" s="491" t="n"/>
      <c r="Y521" s="491" t="n"/>
      <c r="Z521" s="491" t="n"/>
    </row>
    <row r="522" ht="12.75" customHeight="1" s="398">
      <c r="A522" s="491" t="n"/>
      <c r="B522" s="491" t="n"/>
      <c r="C522" s="491" t="n"/>
      <c r="D522" s="491" t="n"/>
      <c r="E522" s="491" t="n"/>
      <c r="F522" s="491" t="n"/>
      <c r="G522" s="491" t="n"/>
      <c r="H522" s="491" t="n"/>
      <c r="I522" s="491" t="n"/>
      <c r="J522" s="491" t="n"/>
      <c r="K522" s="491" t="n"/>
      <c r="L522" s="491" t="n"/>
      <c r="M522" s="491" t="n"/>
      <c r="N522" s="491" t="n"/>
      <c r="O522" s="491" t="n"/>
      <c r="P522" s="491" t="n"/>
      <c r="Q522" s="491" t="n"/>
      <c r="R522" s="491" t="n"/>
      <c r="S522" s="491" t="n"/>
      <c r="T522" s="491" t="n"/>
      <c r="U522" s="491" t="n"/>
      <c r="V522" s="491" t="n"/>
      <c r="W522" s="491" t="n"/>
      <c r="X522" s="491" t="n"/>
      <c r="Y522" s="491" t="n"/>
      <c r="Z522" s="491" t="n"/>
    </row>
    <row r="523" ht="12.75" customHeight="1" s="398">
      <c r="A523" s="491" t="n"/>
      <c r="B523" s="491" t="n"/>
      <c r="C523" s="491" t="n"/>
      <c r="D523" s="491" t="n"/>
      <c r="E523" s="491" t="n"/>
      <c r="F523" s="491" t="n"/>
      <c r="G523" s="491" t="n"/>
      <c r="H523" s="491" t="n"/>
      <c r="I523" s="491" t="n"/>
      <c r="J523" s="491" t="n"/>
      <c r="K523" s="491" t="n"/>
      <c r="L523" s="491" t="n"/>
      <c r="M523" s="491" t="n"/>
      <c r="N523" s="491" t="n"/>
      <c r="O523" s="491" t="n"/>
      <c r="P523" s="491" t="n"/>
      <c r="Q523" s="491" t="n"/>
      <c r="R523" s="491" t="n"/>
      <c r="S523" s="491" t="n"/>
      <c r="T523" s="491" t="n"/>
      <c r="U523" s="491" t="n"/>
      <c r="V523" s="491" t="n"/>
      <c r="W523" s="491" t="n"/>
      <c r="X523" s="491" t="n"/>
      <c r="Y523" s="491" t="n"/>
      <c r="Z523" s="491" t="n"/>
    </row>
    <row r="524" ht="12.75" customHeight="1" s="398">
      <c r="A524" s="491" t="n"/>
      <c r="B524" s="491" t="n"/>
      <c r="C524" s="491" t="n"/>
      <c r="D524" s="491" t="n"/>
      <c r="E524" s="491" t="n"/>
      <c r="F524" s="491" t="n"/>
      <c r="G524" s="491" t="n"/>
      <c r="H524" s="491" t="n"/>
      <c r="I524" s="491" t="n"/>
      <c r="J524" s="491" t="n"/>
      <c r="K524" s="491" t="n"/>
      <c r="L524" s="491" t="n"/>
      <c r="M524" s="491" t="n"/>
      <c r="N524" s="491" t="n"/>
      <c r="O524" s="491" t="n"/>
      <c r="P524" s="491" t="n"/>
      <c r="Q524" s="491" t="n"/>
      <c r="R524" s="491" t="n"/>
      <c r="S524" s="491" t="n"/>
      <c r="T524" s="491" t="n"/>
      <c r="U524" s="491" t="n"/>
      <c r="V524" s="491" t="n"/>
      <c r="W524" s="491" t="n"/>
      <c r="X524" s="491" t="n"/>
      <c r="Y524" s="491" t="n"/>
      <c r="Z524" s="491" t="n"/>
    </row>
    <row r="525" ht="12.75" customHeight="1" s="398">
      <c r="A525" s="491" t="n"/>
      <c r="B525" s="491" t="n"/>
      <c r="C525" s="491" t="n"/>
      <c r="D525" s="491" t="n"/>
      <c r="E525" s="491" t="n"/>
      <c r="F525" s="491" t="n"/>
      <c r="G525" s="491" t="n"/>
      <c r="H525" s="491" t="n"/>
      <c r="I525" s="491" t="n"/>
      <c r="J525" s="491" t="n"/>
      <c r="K525" s="491" t="n"/>
      <c r="L525" s="491" t="n"/>
      <c r="M525" s="491" t="n"/>
      <c r="N525" s="491" t="n"/>
      <c r="O525" s="491" t="n"/>
      <c r="P525" s="491" t="n"/>
      <c r="Q525" s="491" t="n"/>
      <c r="R525" s="491" t="n"/>
      <c r="S525" s="491" t="n"/>
      <c r="T525" s="491" t="n"/>
      <c r="U525" s="491" t="n"/>
      <c r="V525" s="491" t="n"/>
      <c r="W525" s="491" t="n"/>
      <c r="X525" s="491" t="n"/>
      <c r="Y525" s="491" t="n"/>
      <c r="Z525" s="491" t="n"/>
    </row>
    <row r="526" ht="12.75" customHeight="1" s="398">
      <c r="A526" s="491" t="n"/>
      <c r="B526" s="491" t="n"/>
      <c r="C526" s="491" t="n"/>
      <c r="D526" s="491" t="n"/>
      <c r="E526" s="491" t="n"/>
      <c r="F526" s="491" t="n"/>
      <c r="G526" s="491" t="n"/>
      <c r="H526" s="491" t="n"/>
      <c r="I526" s="491" t="n"/>
      <c r="J526" s="491" t="n"/>
      <c r="K526" s="491" t="n"/>
      <c r="L526" s="491" t="n"/>
      <c r="M526" s="491" t="n"/>
      <c r="N526" s="491" t="n"/>
      <c r="O526" s="491" t="n"/>
      <c r="P526" s="491" t="n"/>
      <c r="Q526" s="491" t="n"/>
      <c r="R526" s="491" t="n"/>
      <c r="S526" s="491" t="n"/>
      <c r="T526" s="491" t="n"/>
      <c r="U526" s="491" t="n"/>
      <c r="V526" s="491" t="n"/>
      <c r="W526" s="491" t="n"/>
      <c r="X526" s="491" t="n"/>
      <c r="Y526" s="491" t="n"/>
      <c r="Z526" s="491" t="n"/>
    </row>
    <row r="527" ht="12.75" customHeight="1" s="398">
      <c r="A527" s="491" t="n"/>
      <c r="B527" s="491" t="n"/>
      <c r="C527" s="491" t="n"/>
      <c r="D527" s="491" t="n"/>
      <c r="E527" s="491" t="n"/>
      <c r="F527" s="491" t="n"/>
      <c r="G527" s="491" t="n"/>
      <c r="H527" s="491" t="n"/>
      <c r="I527" s="491" t="n"/>
      <c r="J527" s="491" t="n"/>
      <c r="K527" s="491" t="n"/>
      <c r="L527" s="491" t="n"/>
      <c r="M527" s="491" t="n"/>
      <c r="N527" s="491" t="n"/>
      <c r="O527" s="491" t="n"/>
      <c r="P527" s="491" t="n"/>
      <c r="Q527" s="491" t="n"/>
      <c r="R527" s="491" t="n"/>
      <c r="S527" s="491" t="n"/>
      <c r="T527" s="491" t="n"/>
      <c r="U527" s="491" t="n"/>
      <c r="V527" s="491" t="n"/>
      <c r="W527" s="491" t="n"/>
      <c r="X527" s="491" t="n"/>
      <c r="Y527" s="491" t="n"/>
      <c r="Z527" s="491" t="n"/>
    </row>
    <row r="528" ht="12.75" customHeight="1" s="398">
      <c r="A528" s="491" t="n"/>
      <c r="B528" s="491" t="n"/>
      <c r="C528" s="491" t="n"/>
      <c r="D528" s="491" t="n"/>
      <c r="E528" s="491" t="n"/>
      <c r="F528" s="491" t="n"/>
      <c r="G528" s="491" t="n"/>
      <c r="H528" s="491" t="n"/>
      <c r="I528" s="491" t="n"/>
      <c r="J528" s="491" t="n"/>
      <c r="K528" s="491" t="n"/>
      <c r="L528" s="491" t="n"/>
      <c r="M528" s="491" t="n"/>
      <c r="N528" s="491" t="n"/>
      <c r="O528" s="491" t="n"/>
      <c r="P528" s="491" t="n"/>
      <c r="Q528" s="491" t="n"/>
      <c r="R528" s="491" t="n"/>
      <c r="S528" s="491" t="n"/>
      <c r="T528" s="491" t="n"/>
      <c r="U528" s="491" t="n"/>
      <c r="V528" s="491" t="n"/>
      <c r="W528" s="491" t="n"/>
      <c r="X528" s="491" t="n"/>
      <c r="Y528" s="491" t="n"/>
      <c r="Z528" s="491" t="n"/>
    </row>
    <row r="529" ht="12.75" customHeight="1" s="398">
      <c r="A529" s="491" t="n"/>
      <c r="B529" s="491" t="n"/>
      <c r="C529" s="491" t="n"/>
      <c r="D529" s="491" t="n"/>
      <c r="E529" s="491" t="n"/>
      <c r="F529" s="491" t="n"/>
      <c r="G529" s="491" t="n"/>
      <c r="H529" s="491" t="n"/>
      <c r="I529" s="491" t="n"/>
      <c r="J529" s="491" t="n"/>
      <c r="K529" s="491" t="n"/>
      <c r="L529" s="491" t="n"/>
      <c r="M529" s="491" t="n"/>
      <c r="N529" s="491" t="n"/>
      <c r="O529" s="491" t="n"/>
      <c r="P529" s="491" t="n"/>
      <c r="Q529" s="491" t="n"/>
      <c r="R529" s="491" t="n"/>
      <c r="S529" s="491" t="n"/>
      <c r="T529" s="491" t="n"/>
      <c r="U529" s="491" t="n"/>
      <c r="V529" s="491" t="n"/>
      <c r="W529" s="491" t="n"/>
      <c r="X529" s="491" t="n"/>
      <c r="Y529" s="491" t="n"/>
      <c r="Z529" s="491" t="n"/>
    </row>
    <row r="530" ht="12.75" customHeight="1" s="398">
      <c r="A530" s="491" t="n"/>
      <c r="B530" s="491" t="n"/>
      <c r="C530" s="491" t="n"/>
      <c r="D530" s="491" t="n"/>
      <c r="E530" s="491" t="n"/>
      <c r="F530" s="491" t="n"/>
      <c r="G530" s="491" t="n"/>
      <c r="H530" s="491" t="n"/>
      <c r="I530" s="491" t="n"/>
      <c r="J530" s="491" t="n"/>
      <c r="K530" s="491" t="n"/>
      <c r="L530" s="491" t="n"/>
      <c r="M530" s="491" t="n"/>
      <c r="N530" s="491" t="n"/>
      <c r="O530" s="491" t="n"/>
      <c r="P530" s="491" t="n"/>
      <c r="Q530" s="491" t="n"/>
      <c r="R530" s="491" t="n"/>
      <c r="S530" s="491" t="n"/>
      <c r="T530" s="491" t="n"/>
      <c r="U530" s="491" t="n"/>
      <c r="V530" s="491" t="n"/>
      <c r="W530" s="491" t="n"/>
      <c r="X530" s="491" t="n"/>
      <c r="Y530" s="491" t="n"/>
      <c r="Z530" s="491" t="n"/>
    </row>
    <row r="531" ht="12.75" customHeight="1" s="398">
      <c r="A531" s="491" t="n"/>
      <c r="B531" s="491" t="n"/>
      <c r="C531" s="491" t="n"/>
      <c r="D531" s="491" t="n"/>
      <c r="E531" s="491" t="n"/>
      <c r="F531" s="491" t="n"/>
      <c r="G531" s="491" t="n"/>
      <c r="H531" s="491" t="n"/>
      <c r="I531" s="491" t="n"/>
      <c r="J531" s="491" t="n"/>
      <c r="K531" s="491" t="n"/>
      <c r="L531" s="491" t="n"/>
      <c r="M531" s="491" t="n"/>
      <c r="N531" s="491" t="n"/>
      <c r="O531" s="491" t="n"/>
      <c r="P531" s="491" t="n"/>
      <c r="Q531" s="491" t="n"/>
      <c r="R531" s="491" t="n"/>
      <c r="S531" s="491" t="n"/>
      <c r="T531" s="491" t="n"/>
      <c r="U531" s="491" t="n"/>
      <c r="V531" s="491" t="n"/>
      <c r="W531" s="491" t="n"/>
      <c r="X531" s="491" t="n"/>
      <c r="Y531" s="491" t="n"/>
      <c r="Z531" s="491" t="n"/>
    </row>
    <row r="532" ht="12.75" customHeight="1" s="398">
      <c r="A532" s="491" t="n"/>
      <c r="B532" s="491" t="n"/>
      <c r="C532" s="491" t="n"/>
      <c r="D532" s="491" t="n"/>
      <c r="E532" s="491" t="n"/>
      <c r="F532" s="491" t="n"/>
      <c r="G532" s="491" t="n"/>
      <c r="H532" s="491" t="n"/>
      <c r="I532" s="491" t="n"/>
      <c r="J532" s="491" t="n"/>
      <c r="K532" s="491" t="n"/>
      <c r="L532" s="491" t="n"/>
      <c r="M532" s="491" t="n"/>
      <c r="N532" s="491" t="n"/>
      <c r="O532" s="491" t="n"/>
      <c r="P532" s="491" t="n"/>
      <c r="Q532" s="491" t="n"/>
      <c r="R532" s="491" t="n"/>
      <c r="S532" s="491" t="n"/>
      <c r="T532" s="491" t="n"/>
      <c r="U532" s="491" t="n"/>
      <c r="V532" s="491" t="n"/>
      <c r="W532" s="491" t="n"/>
      <c r="X532" s="491" t="n"/>
      <c r="Y532" s="491" t="n"/>
      <c r="Z532" s="491" t="n"/>
    </row>
    <row r="533" ht="12.75" customHeight="1" s="398">
      <c r="A533" s="491" t="n"/>
      <c r="B533" s="491" t="n"/>
      <c r="C533" s="491" t="n"/>
      <c r="D533" s="491" t="n"/>
      <c r="E533" s="491" t="n"/>
      <c r="F533" s="491" t="n"/>
      <c r="G533" s="491" t="n"/>
      <c r="H533" s="491" t="n"/>
      <c r="I533" s="491" t="n"/>
      <c r="J533" s="491" t="n"/>
      <c r="K533" s="491" t="n"/>
      <c r="L533" s="491" t="n"/>
      <c r="M533" s="491" t="n"/>
      <c r="N533" s="491" t="n"/>
      <c r="O533" s="491" t="n"/>
      <c r="P533" s="491" t="n"/>
      <c r="Q533" s="491" t="n"/>
      <c r="R533" s="491" t="n"/>
      <c r="S533" s="491" t="n"/>
      <c r="T533" s="491" t="n"/>
      <c r="U533" s="491" t="n"/>
      <c r="V533" s="491" t="n"/>
      <c r="W533" s="491" t="n"/>
      <c r="X533" s="491" t="n"/>
      <c r="Y533" s="491" t="n"/>
      <c r="Z533" s="491" t="n"/>
    </row>
    <row r="534" ht="12.75" customHeight="1" s="398">
      <c r="A534" s="491" t="n"/>
      <c r="B534" s="491" t="n"/>
      <c r="C534" s="491" t="n"/>
      <c r="D534" s="491" t="n"/>
      <c r="E534" s="491" t="n"/>
      <c r="F534" s="491" t="n"/>
      <c r="G534" s="491" t="n"/>
      <c r="H534" s="491" t="n"/>
      <c r="I534" s="491" t="n"/>
      <c r="J534" s="491" t="n"/>
      <c r="K534" s="491" t="n"/>
      <c r="L534" s="491" t="n"/>
      <c r="M534" s="491" t="n"/>
      <c r="N534" s="491" t="n"/>
      <c r="O534" s="491" t="n"/>
      <c r="P534" s="491" t="n"/>
      <c r="Q534" s="491" t="n"/>
      <c r="R534" s="491" t="n"/>
      <c r="S534" s="491" t="n"/>
      <c r="T534" s="491" t="n"/>
      <c r="U534" s="491" t="n"/>
      <c r="V534" s="491" t="n"/>
      <c r="W534" s="491" t="n"/>
      <c r="X534" s="491" t="n"/>
      <c r="Y534" s="491" t="n"/>
      <c r="Z534" s="491" t="n"/>
    </row>
    <row r="535" ht="12.75" customHeight="1" s="398">
      <c r="A535" s="491" t="n"/>
      <c r="B535" s="491" t="n"/>
      <c r="C535" s="491" t="n"/>
      <c r="D535" s="491" t="n"/>
      <c r="E535" s="491" t="n"/>
      <c r="F535" s="491" t="n"/>
      <c r="G535" s="491" t="n"/>
      <c r="H535" s="491" t="n"/>
      <c r="I535" s="491" t="n"/>
      <c r="J535" s="491" t="n"/>
      <c r="K535" s="491" t="n"/>
      <c r="L535" s="491" t="n"/>
      <c r="M535" s="491" t="n"/>
      <c r="N535" s="491" t="n"/>
      <c r="O535" s="491" t="n"/>
      <c r="P535" s="491" t="n"/>
      <c r="Q535" s="491" t="n"/>
      <c r="R535" s="491" t="n"/>
      <c r="S535" s="491" t="n"/>
      <c r="T535" s="491" t="n"/>
      <c r="U535" s="491" t="n"/>
      <c r="V535" s="491" t="n"/>
      <c r="W535" s="491" t="n"/>
      <c r="X535" s="491" t="n"/>
      <c r="Y535" s="491" t="n"/>
      <c r="Z535" s="491" t="n"/>
    </row>
    <row r="536" ht="12.75" customHeight="1" s="398">
      <c r="A536" s="491" t="n"/>
      <c r="B536" s="491" t="n"/>
      <c r="C536" s="491" t="n"/>
      <c r="D536" s="491" t="n"/>
      <c r="E536" s="491" t="n"/>
      <c r="F536" s="491" t="n"/>
      <c r="G536" s="491" t="n"/>
      <c r="H536" s="491" t="n"/>
      <c r="I536" s="491" t="n"/>
      <c r="J536" s="491" t="n"/>
      <c r="K536" s="491" t="n"/>
      <c r="L536" s="491" t="n"/>
      <c r="M536" s="491" t="n"/>
      <c r="N536" s="491" t="n"/>
      <c r="O536" s="491" t="n"/>
      <c r="P536" s="491" t="n"/>
      <c r="Q536" s="491" t="n"/>
      <c r="R536" s="491" t="n"/>
      <c r="S536" s="491" t="n"/>
      <c r="T536" s="491" t="n"/>
      <c r="U536" s="491" t="n"/>
      <c r="V536" s="491" t="n"/>
      <c r="W536" s="491" t="n"/>
      <c r="X536" s="491" t="n"/>
      <c r="Y536" s="491" t="n"/>
      <c r="Z536" s="491" t="n"/>
    </row>
    <row r="537" ht="12.75" customHeight="1" s="398">
      <c r="A537" s="491" t="n"/>
      <c r="B537" s="491" t="n"/>
      <c r="C537" s="491" t="n"/>
      <c r="D537" s="491" t="n"/>
      <c r="E537" s="491" t="n"/>
      <c r="F537" s="491" t="n"/>
      <c r="G537" s="491" t="n"/>
      <c r="H537" s="491" t="n"/>
      <c r="I537" s="491" t="n"/>
      <c r="J537" s="491" t="n"/>
      <c r="K537" s="491" t="n"/>
      <c r="L537" s="491" t="n"/>
      <c r="M537" s="491" t="n"/>
      <c r="N537" s="491" t="n"/>
      <c r="O537" s="491" t="n"/>
      <c r="P537" s="491" t="n"/>
      <c r="Q537" s="491" t="n"/>
      <c r="R537" s="491" t="n"/>
      <c r="S537" s="491" t="n"/>
      <c r="T537" s="491" t="n"/>
      <c r="U537" s="491" t="n"/>
      <c r="V537" s="491" t="n"/>
      <c r="W537" s="491" t="n"/>
      <c r="X537" s="491" t="n"/>
      <c r="Y537" s="491" t="n"/>
      <c r="Z537" s="491" t="n"/>
    </row>
    <row r="538" ht="12.75" customHeight="1" s="398">
      <c r="A538" s="491" t="n"/>
      <c r="B538" s="491" t="n"/>
      <c r="C538" s="491" t="n"/>
      <c r="D538" s="491" t="n"/>
      <c r="E538" s="491" t="n"/>
      <c r="F538" s="491" t="n"/>
      <c r="G538" s="491" t="n"/>
      <c r="H538" s="491" t="n"/>
      <c r="I538" s="491" t="n"/>
      <c r="J538" s="491" t="n"/>
      <c r="K538" s="491" t="n"/>
      <c r="L538" s="491" t="n"/>
      <c r="M538" s="491" t="n"/>
      <c r="N538" s="491" t="n"/>
      <c r="O538" s="491" t="n"/>
      <c r="P538" s="491" t="n"/>
      <c r="Q538" s="491" t="n"/>
      <c r="R538" s="491" t="n"/>
      <c r="S538" s="491" t="n"/>
      <c r="T538" s="491" t="n"/>
      <c r="U538" s="491" t="n"/>
      <c r="V538" s="491" t="n"/>
      <c r="W538" s="491" t="n"/>
      <c r="X538" s="491" t="n"/>
      <c r="Y538" s="491" t="n"/>
      <c r="Z538" s="491" t="n"/>
    </row>
    <row r="539" ht="12.75" customHeight="1" s="398">
      <c r="A539" s="491" t="n"/>
      <c r="B539" s="491" t="n"/>
      <c r="C539" s="491" t="n"/>
      <c r="D539" s="491" t="n"/>
      <c r="E539" s="491" t="n"/>
      <c r="F539" s="491" t="n"/>
      <c r="G539" s="491" t="n"/>
      <c r="H539" s="491" t="n"/>
      <c r="I539" s="491" t="n"/>
      <c r="J539" s="491" t="n"/>
      <c r="K539" s="491" t="n"/>
      <c r="L539" s="491" t="n"/>
      <c r="M539" s="491" t="n"/>
      <c r="N539" s="491" t="n"/>
      <c r="O539" s="491" t="n"/>
      <c r="P539" s="491" t="n"/>
      <c r="Q539" s="491" t="n"/>
      <c r="R539" s="491" t="n"/>
      <c r="S539" s="491" t="n"/>
      <c r="T539" s="491" t="n"/>
      <c r="U539" s="491" t="n"/>
      <c r="V539" s="491" t="n"/>
      <c r="W539" s="491" t="n"/>
      <c r="X539" s="491" t="n"/>
      <c r="Y539" s="491" t="n"/>
      <c r="Z539" s="491" t="n"/>
    </row>
    <row r="540" ht="12.75" customHeight="1" s="398">
      <c r="A540" s="491" t="n"/>
      <c r="B540" s="491" t="n"/>
      <c r="C540" s="491" t="n"/>
      <c r="D540" s="491" t="n"/>
      <c r="E540" s="491" t="n"/>
      <c r="F540" s="491" t="n"/>
      <c r="G540" s="491" t="n"/>
      <c r="H540" s="491" t="n"/>
      <c r="I540" s="491" t="n"/>
      <c r="J540" s="491" t="n"/>
      <c r="K540" s="491" t="n"/>
      <c r="L540" s="491" t="n"/>
      <c r="M540" s="491" t="n"/>
      <c r="N540" s="491" t="n"/>
      <c r="O540" s="491" t="n"/>
      <c r="P540" s="491" t="n"/>
      <c r="Q540" s="491" t="n"/>
      <c r="R540" s="491" t="n"/>
      <c r="S540" s="491" t="n"/>
      <c r="T540" s="491" t="n"/>
      <c r="U540" s="491" t="n"/>
      <c r="V540" s="491" t="n"/>
      <c r="W540" s="491" t="n"/>
      <c r="X540" s="491" t="n"/>
      <c r="Y540" s="491" t="n"/>
      <c r="Z540" s="491" t="n"/>
    </row>
    <row r="541" ht="12.75" customHeight="1" s="398">
      <c r="A541" s="491" t="n"/>
      <c r="B541" s="491" t="n"/>
      <c r="C541" s="491" t="n"/>
      <c r="D541" s="491" t="n"/>
      <c r="E541" s="491" t="n"/>
      <c r="F541" s="491" t="n"/>
      <c r="G541" s="491" t="n"/>
      <c r="H541" s="491" t="n"/>
      <c r="I541" s="491" t="n"/>
      <c r="J541" s="491" t="n"/>
      <c r="K541" s="491" t="n"/>
      <c r="L541" s="491" t="n"/>
      <c r="M541" s="491" t="n"/>
      <c r="N541" s="491" t="n"/>
      <c r="O541" s="491" t="n"/>
      <c r="P541" s="491" t="n"/>
      <c r="Q541" s="491" t="n"/>
      <c r="R541" s="491" t="n"/>
      <c r="S541" s="491" t="n"/>
      <c r="T541" s="491" t="n"/>
      <c r="U541" s="491" t="n"/>
      <c r="V541" s="491" t="n"/>
      <c r="W541" s="491" t="n"/>
      <c r="X541" s="491" t="n"/>
      <c r="Y541" s="491" t="n"/>
      <c r="Z541" s="491" t="n"/>
    </row>
    <row r="542" ht="12.75" customHeight="1" s="398">
      <c r="A542" s="491" t="n"/>
      <c r="B542" s="491" t="n"/>
      <c r="C542" s="491" t="n"/>
      <c r="D542" s="491" t="n"/>
      <c r="E542" s="491" t="n"/>
      <c r="F542" s="491" t="n"/>
      <c r="G542" s="491" t="n"/>
      <c r="H542" s="491" t="n"/>
      <c r="I542" s="491" t="n"/>
      <c r="J542" s="491" t="n"/>
      <c r="K542" s="491" t="n"/>
      <c r="L542" s="491" t="n"/>
      <c r="M542" s="491" t="n"/>
      <c r="N542" s="491" t="n"/>
      <c r="O542" s="491" t="n"/>
      <c r="P542" s="491" t="n"/>
      <c r="Q542" s="491" t="n"/>
      <c r="R542" s="491" t="n"/>
      <c r="S542" s="491" t="n"/>
      <c r="T542" s="491" t="n"/>
      <c r="U542" s="491" t="n"/>
      <c r="V542" s="491" t="n"/>
      <c r="W542" s="491" t="n"/>
      <c r="X542" s="491" t="n"/>
      <c r="Y542" s="491" t="n"/>
      <c r="Z542" s="491" t="n"/>
    </row>
    <row r="543" ht="12.75" customHeight="1" s="398">
      <c r="A543" s="491" t="n"/>
      <c r="B543" s="491" t="n"/>
      <c r="C543" s="491" t="n"/>
      <c r="D543" s="491" t="n"/>
      <c r="E543" s="491" t="n"/>
      <c r="F543" s="491" t="n"/>
      <c r="G543" s="491" t="n"/>
      <c r="H543" s="491" t="n"/>
      <c r="I543" s="491" t="n"/>
      <c r="J543" s="491" t="n"/>
      <c r="K543" s="491" t="n"/>
      <c r="L543" s="491" t="n"/>
      <c r="M543" s="491" t="n"/>
      <c r="N543" s="491" t="n"/>
      <c r="O543" s="491" t="n"/>
      <c r="P543" s="491" t="n"/>
      <c r="Q543" s="491" t="n"/>
      <c r="R543" s="491" t="n"/>
      <c r="S543" s="491" t="n"/>
      <c r="T543" s="491" t="n"/>
      <c r="U543" s="491" t="n"/>
      <c r="V543" s="491" t="n"/>
      <c r="W543" s="491" t="n"/>
      <c r="X543" s="491" t="n"/>
      <c r="Y543" s="491" t="n"/>
      <c r="Z543" s="491" t="n"/>
    </row>
    <row r="544" ht="12.75" customHeight="1" s="398">
      <c r="A544" s="491" t="n"/>
      <c r="B544" s="491" t="n"/>
      <c r="C544" s="491" t="n"/>
      <c r="D544" s="491" t="n"/>
      <c r="E544" s="491" t="n"/>
      <c r="F544" s="491" t="n"/>
      <c r="G544" s="491" t="n"/>
      <c r="H544" s="491" t="n"/>
      <c r="I544" s="491" t="n"/>
      <c r="J544" s="491" t="n"/>
      <c r="K544" s="491" t="n"/>
      <c r="L544" s="491" t="n"/>
      <c r="M544" s="491" t="n"/>
      <c r="N544" s="491" t="n"/>
      <c r="O544" s="491" t="n"/>
      <c r="P544" s="491" t="n"/>
      <c r="Q544" s="491" t="n"/>
      <c r="R544" s="491" t="n"/>
      <c r="S544" s="491" t="n"/>
      <c r="T544" s="491" t="n"/>
      <c r="U544" s="491" t="n"/>
      <c r="V544" s="491" t="n"/>
      <c r="W544" s="491" t="n"/>
      <c r="X544" s="491" t="n"/>
      <c r="Y544" s="491" t="n"/>
      <c r="Z544" s="491" t="n"/>
    </row>
    <row r="545" ht="12.75" customHeight="1" s="398">
      <c r="A545" s="491" t="n"/>
      <c r="B545" s="491" t="n"/>
      <c r="C545" s="491" t="n"/>
      <c r="D545" s="491" t="n"/>
      <c r="E545" s="491" t="n"/>
      <c r="F545" s="491" t="n"/>
      <c r="G545" s="491" t="n"/>
      <c r="H545" s="491" t="n"/>
      <c r="I545" s="491" t="n"/>
      <c r="J545" s="491" t="n"/>
      <c r="K545" s="491" t="n"/>
      <c r="L545" s="491" t="n"/>
      <c r="M545" s="491" t="n"/>
      <c r="N545" s="491" t="n"/>
      <c r="O545" s="491" t="n"/>
      <c r="P545" s="491" t="n"/>
      <c r="Q545" s="491" t="n"/>
      <c r="R545" s="491" t="n"/>
      <c r="S545" s="491" t="n"/>
      <c r="T545" s="491" t="n"/>
      <c r="U545" s="491" t="n"/>
      <c r="V545" s="491" t="n"/>
      <c r="W545" s="491" t="n"/>
      <c r="X545" s="491" t="n"/>
      <c r="Y545" s="491" t="n"/>
      <c r="Z545" s="491" t="n"/>
    </row>
    <row r="546" ht="12.75" customHeight="1" s="398">
      <c r="A546" s="491" t="n"/>
      <c r="B546" s="491" t="n"/>
      <c r="C546" s="491" t="n"/>
      <c r="D546" s="491" t="n"/>
      <c r="E546" s="491" t="n"/>
      <c r="F546" s="491" t="n"/>
      <c r="G546" s="491" t="n"/>
      <c r="H546" s="491" t="n"/>
      <c r="I546" s="491" t="n"/>
      <c r="J546" s="491" t="n"/>
      <c r="K546" s="491" t="n"/>
      <c r="L546" s="491" t="n"/>
      <c r="M546" s="491" t="n"/>
      <c r="N546" s="491" t="n"/>
      <c r="O546" s="491" t="n"/>
      <c r="P546" s="491" t="n"/>
      <c r="Q546" s="491" t="n"/>
      <c r="R546" s="491" t="n"/>
      <c r="S546" s="491" t="n"/>
      <c r="T546" s="491" t="n"/>
      <c r="U546" s="491" t="n"/>
      <c r="V546" s="491" t="n"/>
      <c r="W546" s="491" t="n"/>
      <c r="X546" s="491" t="n"/>
      <c r="Y546" s="491" t="n"/>
      <c r="Z546" s="491" t="n"/>
    </row>
    <row r="547" ht="12.75" customHeight="1" s="398">
      <c r="A547" s="491" t="n"/>
      <c r="B547" s="491" t="n"/>
      <c r="C547" s="491" t="n"/>
      <c r="D547" s="491" t="n"/>
      <c r="E547" s="491" t="n"/>
      <c r="F547" s="491" t="n"/>
      <c r="G547" s="491" t="n"/>
      <c r="H547" s="491" t="n"/>
      <c r="I547" s="491" t="n"/>
      <c r="J547" s="491" t="n"/>
      <c r="K547" s="491" t="n"/>
      <c r="L547" s="491" t="n"/>
      <c r="M547" s="491" t="n"/>
      <c r="N547" s="491" t="n"/>
      <c r="O547" s="491" t="n"/>
      <c r="P547" s="491" t="n"/>
      <c r="Q547" s="491" t="n"/>
      <c r="R547" s="491" t="n"/>
      <c r="S547" s="491" t="n"/>
      <c r="T547" s="491" t="n"/>
      <c r="U547" s="491" t="n"/>
      <c r="V547" s="491" t="n"/>
      <c r="W547" s="491" t="n"/>
      <c r="X547" s="491" t="n"/>
      <c r="Y547" s="491" t="n"/>
      <c r="Z547" s="491" t="n"/>
    </row>
    <row r="548" ht="12.75" customHeight="1" s="398">
      <c r="A548" s="491" t="n"/>
      <c r="B548" s="491" t="n"/>
      <c r="C548" s="491" t="n"/>
      <c r="D548" s="491" t="n"/>
      <c r="E548" s="491" t="n"/>
      <c r="F548" s="491" t="n"/>
      <c r="G548" s="491" t="n"/>
      <c r="H548" s="491" t="n"/>
      <c r="I548" s="491" t="n"/>
      <c r="J548" s="491" t="n"/>
      <c r="K548" s="491" t="n"/>
      <c r="L548" s="491" t="n"/>
      <c r="M548" s="491" t="n"/>
      <c r="N548" s="491" t="n"/>
      <c r="O548" s="491" t="n"/>
      <c r="P548" s="491" t="n"/>
      <c r="Q548" s="491" t="n"/>
      <c r="R548" s="491" t="n"/>
      <c r="S548" s="491" t="n"/>
      <c r="T548" s="491" t="n"/>
      <c r="U548" s="491" t="n"/>
      <c r="V548" s="491" t="n"/>
      <c r="W548" s="491" t="n"/>
      <c r="X548" s="491" t="n"/>
      <c r="Y548" s="491" t="n"/>
      <c r="Z548" s="491" t="n"/>
    </row>
    <row r="549" ht="12.75" customHeight="1" s="398">
      <c r="A549" s="491" t="n"/>
      <c r="B549" s="491" t="n"/>
      <c r="C549" s="491" t="n"/>
      <c r="D549" s="491" t="n"/>
      <c r="E549" s="491" t="n"/>
      <c r="F549" s="491" t="n"/>
      <c r="G549" s="491" t="n"/>
      <c r="H549" s="491" t="n"/>
      <c r="I549" s="491" t="n"/>
      <c r="J549" s="491" t="n"/>
      <c r="K549" s="491" t="n"/>
      <c r="L549" s="491" t="n"/>
      <c r="M549" s="491" t="n"/>
      <c r="N549" s="491" t="n"/>
      <c r="O549" s="491" t="n"/>
      <c r="P549" s="491" t="n"/>
      <c r="Q549" s="491" t="n"/>
      <c r="R549" s="491" t="n"/>
      <c r="S549" s="491" t="n"/>
      <c r="T549" s="491" t="n"/>
      <c r="U549" s="491" t="n"/>
      <c r="V549" s="491" t="n"/>
      <c r="W549" s="491" t="n"/>
      <c r="X549" s="491" t="n"/>
      <c r="Y549" s="491" t="n"/>
      <c r="Z549" s="491" t="n"/>
    </row>
    <row r="550" ht="12.75" customHeight="1" s="398">
      <c r="A550" s="491" t="n"/>
      <c r="B550" s="491" t="n"/>
      <c r="C550" s="491" t="n"/>
      <c r="D550" s="491" t="n"/>
      <c r="E550" s="491" t="n"/>
      <c r="F550" s="491" t="n"/>
      <c r="G550" s="491" t="n"/>
      <c r="H550" s="491" t="n"/>
      <c r="I550" s="491" t="n"/>
      <c r="J550" s="491" t="n"/>
      <c r="K550" s="491" t="n"/>
      <c r="L550" s="491" t="n"/>
      <c r="M550" s="491" t="n"/>
      <c r="N550" s="491" t="n"/>
      <c r="O550" s="491" t="n"/>
      <c r="P550" s="491" t="n"/>
      <c r="Q550" s="491" t="n"/>
      <c r="R550" s="491" t="n"/>
      <c r="S550" s="491" t="n"/>
      <c r="T550" s="491" t="n"/>
      <c r="U550" s="491" t="n"/>
      <c r="V550" s="491" t="n"/>
      <c r="W550" s="491" t="n"/>
      <c r="X550" s="491" t="n"/>
      <c r="Y550" s="491" t="n"/>
      <c r="Z550" s="491" t="n"/>
    </row>
    <row r="551" ht="12.75" customHeight="1" s="398">
      <c r="A551" s="491" t="n"/>
      <c r="B551" s="491" t="n"/>
      <c r="C551" s="491" t="n"/>
      <c r="D551" s="491" t="n"/>
      <c r="E551" s="491" t="n"/>
      <c r="F551" s="491" t="n"/>
      <c r="G551" s="491" t="n"/>
      <c r="H551" s="491" t="n"/>
      <c r="I551" s="491" t="n"/>
      <c r="J551" s="491" t="n"/>
      <c r="K551" s="491" t="n"/>
      <c r="L551" s="491" t="n"/>
      <c r="M551" s="491" t="n"/>
      <c r="N551" s="491" t="n"/>
      <c r="O551" s="491" t="n"/>
      <c r="P551" s="491" t="n"/>
      <c r="Q551" s="491" t="n"/>
      <c r="R551" s="491" t="n"/>
      <c r="S551" s="491" t="n"/>
      <c r="T551" s="491" t="n"/>
      <c r="U551" s="491" t="n"/>
      <c r="V551" s="491" t="n"/>
      <c r="W551" s="491" t="n"/>
      <c r="X551" s="491" t="n"/>
      <c r="Y551" s="491" t="n"/>
      <c r="Z551" s="491" t="n"/>
    </row>
    <row r="552" ht="12.75" customHeight="1" s="398">
      <c r="A552" s="491" t="n"/>
      <c r="B552" s="491" t="n"/>
      <c r="C552" s="491" t="n"/>
      <c r="D552" s="491" t="n"/>
      <c r="E552" s="491" t="n"/>
      <c r="F552" s="491" t="n"/>
      <c r="G552" s="491" t="n"/>
      <c r="H552" s="491" t="n"/>
      <c r="I552" s="491" t="n"/>
      <c r="J552" s="491" t="n"/>
      <c r="K552" s="491" t="n"/>
      <c r="L552" s="491" t="n"/>
      <c r="M552" s="491" t="n"/>
      <c r="N552" s="491" t="n"/>
      <c r="O552" s="491" t="n"/>
      <c r="P552" s="491" t="n"/>
      <c r="Q552" s="491" t="n"/>
      <c r="R552" s="491" t="n"/>
      <c r="S552" s="491" t="n"/>
      <c r="T552" s="491" t="n"/>
      <c r="U552" s="491" t="n"/>
      <c r="V552" s="491" t="n"/>
      <c r="W552" s="491" t="n"/>
      <c r="X552" s="491" t="n"/>
      <c r="Y552" s="491" t="n"/>
      <c r="Z552" s="491" t="n"/>
    </row>
    <row r="553" ht="12.75" customHeight="1" s="398">
      <c r="A553" s="491" t="n"/>
      <c r="B553" s="491" t="n"/>
      <c r="C553" s="491" t="n"/>
      <c r="D553" s="491" t="n"/>
      <c r="E553" s="491" t="n"/>
      <c r="F553" s="491" t="n"/>
      <c r="G553" s="491" t="n"/>
      <c r="H553" s="491" t="n"/>
      <c r="I553" s="491" t="n"/>
      <c r="J553" s="491" t="n"/>
      <c r="K553" s="491" t="n"/>
      <c r="L553" s="491" t="n"/>
      <c r="M553" s="491" t="n"/>
      <c r="N553" s="491" t="n"/>
      <c r="O553" s="491" t="n"/>
      <c r="P553" s="491" t="n"/>
      <c r="Q553" s="491" t="n"/>
      <c r="R553" s="491" t="n"/>
      <c r="S553" s="491" t="n"/>
      <c r="T553" s="491" t="n"/>
      <c r="U553" s="491" t="n"/>
      <c r="V553" s="491" t="n"/>
      <c r="W553" s="491" t="n"/>
      <c r="X553" s="491" t="n"/>
      <c r="Y553" s="491" t="n"/>
      <c r="Z553" s="491" t="n"/>
    </row>
    <row r="554" ht="12.75" customHeight="1" s="398">
      <c r="A554" s="491" t="n"/>
      <c r="B554" s="491" t="n"/>
      <c r="C554" s="491" t="n"/>
      <c r="D554" s="491" t="n"/>
      <c r="E554" s="491" t="n"/>
      <c r="F554" s="491" t="n"/>
      <c r="G554" s="491" t="n"/>
      <c r="H554" s="491" t="n"/>
      <c r="I554" s="491" t="n"/>
      <c r="J554" s="491" t="n"/>
      <c r="K554" s="491" t="n"/>
      <c r="L554" s="491" t="n"/>
      <c r="M554" s="491" t="n"/>
      <c r="N554" s="491" t="n"/>
      <c r="O554" s="491" t="n"/>
      <c r="P554" s="491" t="n"/>
      <c r="Q554" s="491" t="n"/>
      <c r="R554" s="491" t="n"/>
      <c r="S554" s="491" t="n"/>
      <c r="T554" s="491" t="n"/>
      <c r="U554" s="491" t="n"/>
      <c r="V554" s="491" t="n"/>
      <c r="W554" s="491" t="n"/>
      <c r="X554" s="491" t="n"/>
      <c r="Y554" s="491" t="n"/>
      <c r="Z554" s="491" t="n"/>
    </row>
    <row r="555" ht="12.75" customHeight="1" s="398">
      <c r="A555" s="491" t="n"/>
      <c r="B555" s="491" t="n"/>
      <c r="C555" s="491" t="n"/>
      <c r="D555" s="491" t="n"/>
      <c r="E555" s="491" t="n"/>
      <c r="F555" s="491" t="n"/>
      <c r="G555" s="491" t="n"/>
      <c r="H555" s="491" t="n"/>
      <c r="I555" s="491" t="n"/>
      <c r="J555" s="491" t="n"/>
      <c r="K555" s="491" t="n"/>
      <c r="L555" s="491" t="n"/>
      <c r="M555" s="491" t="n"/>
      <c r="N555" s="491" t="n"/>
      <c r="O555" s="491" t="n"/>
      <c r="P555" s="491" t="n"/>
      <c r="Q555" s="491" t="n"/>
      <c r="R555" s="491" t="n"/>
      <c r="S555" s="491" t="n"/>
      <c r="T555" s="491" t="n"/>
      <c r="U555" s="491" t="n"/>
      <c r="V555" s="491" t="n"/>
      <c r="W555" s="491" t="n"/>
      <c r="X555" s="491" t="n"/>
      <c r="Y555" s="491" t="n"/>
      <c r="Z555" s="491" t="n"/>
    </row>
    <row r="556" ht="12.75" customHeight="1" s="398">
      <c r="A556" s="491" t="n"/>
      <c r="B556" s="491" t="n"/>
      <c r="C556" s="491" t="n"/>
      <c r="D556" s="491" t="n"/>
      <c r="E556" s="491" t="n"/>
      <c r="F556" s="491" t="n"/>
      <c r="G556" s="491" t="n"/>
      <c r="H556" s="491" t="n"/>
      <c r="I556" s="491" t="n"/>
      <c r="J556" s="491" t="n"/>
      <c r="K556" s="491" t="n"/>
      <c r="L556" s="491" t="n"/>
      <c r="M556" s="491" t="n"/>
      <c r="N556" s="491" t="n"/>
      <c r="O556" s="491" t="n"/>
      <c r="P556" s="491" t="n"/>
      <c r="Q556" s="491" t="n"/>
      <c r="R556" s="491" t="n"/>
      <c r="S556" s="491" t="n"/>
      <c r="T556" s="491" t="n"/>
      <c r="U556" s="491" t="n"/>
      <c r="V556" s="491" t="n"/>
      <c r="W556" s="491" t="n"/>
      <c r="X556" s="491" t="n"/>
      <c r="Y556" s="491" t="n"/>
      <c r="Z556" s="491" t="n"/>
    </row>
    <row r="557" ht="12.75" customHeight="1" s="398">
      <c r="A557" s="491" t="n"/>
      <c r="B557" s="491" t="n"/>
      <c r="C557" s="491" t="n"/>
      <c r="D557" s="491" t="n"/>
      <c r="E557" s="491" t="n"/>
      <c r="F557" s="491" t="n"/>
      <c r="G557" s="491" t="n"/>
      <c r="H557" s="491" t="n"/>
      <c r="I557" s="491" t="n"/>
      <c r="J557" s="491" t="n"/>
      <c r="K557" s="491" t="n"/>
      <c r="L557" s="491" t="n"/>
      <c r="M557" s="491" t="n"/>
      <c r="N557" s="491" t="n"/>
      <c r="O557" s="491" t="n"/>
      <c r="P557" s="491" t="n"/>
      <c r="Q557" s="491" t="n"/>
      <c r="R557" s="491" t="n"/>
      <c r="S557" s="491" t="n"/>
      <c r="T557" s="491" t="n"/>
      <c r="U557" s="491" t="n"/>
      <c r="V557" s="491" t="n"/>
      <c r="W557" s="491" t="n"/>
      <c r="X557" s="491" t="n"/>
      <c r="Y557" s="491" t="n"/>
      <c r="Z557" s="491" t="n"/>
    </row>
    <row r="558" ht="12.75" customHeight="1" s="398">
      <c r="A558" s="491" t="n"/>
      <c r="B558" s="491" t="n"/>
      <c r="C558" s="491" t="n"/>
      <c r="D558" s="491" t="n"/>
      <c r="E558" s="491" t="n"/>
      <c r="F558" s="491" t="n"/>
      <c r="G558" s="491" t="n"/>
      <c r="H558" s="491" t="n"/>
      <c r="I558" s="491" t="n"/>
      <c r="J558" s="491" t="n"/>
      <c r="K558" s="491" t="n"/>
      <c r="L558" s="491" t="n"/>
      <c r="M558" s="491" t="n"/>
      <c r="N558" s="491" t="n"/>
      <c r="O558" s="491" t="n"/>
      <c r="P558" s="491" t="n"/>
      <c r="Q558" s="491" t="n"/>
      <c r="R558" s="491" t="n"/>
      <c r="S558" s="491" t="n"/>
      <c r="T558" s="491" t="n"/>
      <c r="U558" s="491" t="n"/>
      <c r="V558" s="491" t="n"/>
      <c r="W558" s="491" t="n"/>
      <c r="X558" s="491" t="n"/>
      <c r="Y558" s="491" t="n"/>
      <c r="Z558" s="491" t="n"/>
    </row>
    <row r="559" ht="12.75" customHeight="1" s="398">
      <c r="A559" s="491" t="n"/>
      <c r="B559" s="491" t="n"/>
      <c r="C559" s="491" t="n"/>
      <c r="D559" s="491" t="n"/>
      <c r="E559" s="491" t="n"/>
      <c r="F559" s="491" t="n"/>
      <c r="G559" s="491" t="n"/>
      <c r="H559" s="491" t="n"/>
      <c r="I559" s="491" t="n"/>
      <c r="J559" s="491" t="n"/>
      <c r="K559" s="491" t="n"/>
      <c r="L559" s="491" t="n"/>
      <c r="M559" s="491" t="n"/>
      <c r="N559" s="491" t="n"/>
      <c r="O559" s="491" t="n"/>
      <c r="P559" s="491" t="n"/>
      <c r="Q559" s="491" t="n"/>
      <c r="R559" s="491" t="n"/>
      <c r="S559" s="491" t="n"/>
      <c r="T559" s="491" t="n"/>
      <c r="U559" s="491" t="n"/>
      <c r="V559" s="491" t="n"/>
      <c r="W559" s="491" t="n"/>
      <c r="X559" s="491" t="n"/>
      <c r="Y559" s="491" t="n"/>
      <c r="Z559" s="491" t="n"/>
    </row>
    <row r="560" ht="12.75" customHeight="1" s="398">
      <c r="A560" s="491" t="n"/>
      <c r="B560" s="491" t="n"/>
      <c r="C560" s="491" t="n"/>
      <c r="D560" s="491" t="n"/>
      <c r="E560" s="491" t="n"/>
      <c r="F560" s="491" t="n"/>
      <c r="G560" s="491" t="n"/>
      <c r="H560" s="491" t="n"/>
      <c r="I560" s="491" t="n"/>
      <c r="J560" s="491" t="n"/>
      <c r="K560" s="491" t="n"/>
      <c r="L560" s="491" t="n"/>
      <c r="M560" s="491" t="n"/>
      <c r="N560" s="491" t="n"/>
      <c r="O560" s="491" t="n"/>
      <c r="P560" s="491" t="n"/>
      <c r="Q560" s="491" t="n"/>
      <c r="R560" s="491" t="n"/>
      <c r="S560" s="491" t="n"/>
      <c r="T560" s="491" t="n"/>
      <c r="U560" s="491" t="n"/>
      <c r="V560" s="491" t="n"/>
      <c r="W560" s="491" t="n"/>
      <c r="X560" s="491" t="n"/>
      <c r="Y560" s="491" t="n"/>
      <c r="Z560" s="491" t="n"/>
    </row>
    <row r="561" ht="12.75" customHeight="1" s="398">
      <c r="A561" s="491" t="n"/>
      <c r="B561" s="491" t="n"/>
      <c r="C561" s="491" t="n"/>
      <c r="D561" s="491" t="n"/>
      <c r="E561" s="491" t="n"/>
      <c r="F561" s="491" t="n"/>
      <c r="G561" s="491" t="n"/>
      <c r="H561" s="491" t="n"/>
      <c r="I561" s="491" t="n"/>
      <c r="J561" s="491" t="n"/>
      <c r="K561" s="491" t="n"/>
      <c r="L561" s="491" t="n"/>
      <c r="M561" s="491" t="n"/>
      <c r="N561" s="491" t="n"/>
      <c r="O561" s="491" t="n"/>
      <c r="P561" s="491" t="n"/>
      <c r="Q561" s="491" t="n"/>
      <c r="R561" s="491" t="n"/>
      <c r="S561" s="491" t="n"/>
      <c r="T561" s="491" t="n"/>
      <c r="U561" s="491" t="n"/>
      <c r="V561" s="491" t="n"/>
      <c r="W561" s="491" t="n"/>
      <c r="X561" s="491" t="n"/>
      <c r="Y561" s="491" t="n"/>
      <c r="Z561" s="491" t="n"/>
    </row>
    <row r="562" ht="12.75" customHeight="1" s="398">
      <c r="A562" s="491" t="n"/>
      <c r="B562" s="491" t="n"/>
      <c r="C562" s="491" t="n"/>
      <c r="D562" s="491" t="n"/>
      <c r="E562" s="491" t="n"/>
      <c r="F562" s="491" t="n"/>
      <c r="G562" s="491" t="n"/>
      <c r="H562" s="491" t="n"/>
      <c r="I562" s="491" t="n"/>
      <c r="J562" s="491" t="n"/>
      <c r="K562" s="491" t="n"/>
      <c r="L562" s="491" t="n"/>
      <c r="M562" s="491" t="n"/>
      <c r="N562" s="491" t="n"/>
      <c r="O562" s="491" t="n"/>
      <c r="P562" s="491" t="n"/>
      <c r="Q562" s="491" t="n"/>
      <c r="R562" s="491" t="n"/>
      <c r="S562" s="491" t="n"/>
      <c r="T562" s="491" t="n"/>
      <c r="U562" s="491" t="n"/>
      <c r="V562" s="491" t="n"/>
      <c r="W562" s="491" t="n"/>
      <c r="X562" s="491" t="n"/>
      <c r="Y562" s="491" t="n"/>
      <c r="Z562" s="491" t="n"/>
    </row>
    <row r="563" ht="12.75" customHeight="1" s="398">
      <c r="A563" s="491" t="n"/>
      <c r="B563" s="491" t="n"/>
      <c r="C563" s="491" t="n"/>
      <c r="D563" s="491" t="n"/>
      <c r="E563" s="491" t="n"/>
      <c r="F563" s="491" t="n"/>
      <c r="G563" s="491" t="n"/>
      <c r="H563" s="491" t="n"/>
      <c r="I563" s="491" t="n"/>
      <c r="J563" s="491" t="n"/>
      <c r="K563" s="491" t="n"/>
      <c r="L563" s="491" t="n"/>
      <c r="M563" s="491" t="n"/>
      <c r="N563" s="491" t="n"/>
      <c r="O563" s="491" t="n"/>
      <c r="P563" s="491" t="n"/>
      <c r="Q563" s="491" t="n"/>
      <c r="R563" s="491" t="n"/>
      <c r="S563" s="491" t="n"/>
      <c r="T563" s="491" t="n"/>
      <c r="U563" s="491" t="n"/>
      <c r="V563" s="491" t="n"/>
      <c r="W563" s="491" t="n"/>
      <c r="X563" s="491" t="n"/>
      <c r="Y563" s="491" t="n"/>
      <c r="Z563" s="491" t="n"/>
    </row>
    <row r="564" ht="12.75" customHeight="1" s="398">
      <c r="A564" s="491" t="n"/>
      <c r="B564" s="491" t="n"/>
      <c r="C564" s="491" t="n"/>
      <c r="D564" s="491" t="n"/>
      <c r="E564" s="491" t="n"/>
      <c r="F564" s="491" t="n"/>
      <c r="G564" s="491" t="n"/>
      <c r="H564" s="491" t="n"/>
      <c r="I564" s="491" t="n"/>
      <c r="J564" s="491" t="n"/>
      <c r="K564" s="491" t="n"/>
      <c r="L564" s="491" t="n"/>
      <c r="M564" s="491" t="n"/>
      <c r="N564" s="491" t="n"/>
      <c r="O564" s="491" t="n"/>
      <c r="P564" s="491" t="n"/>
      <c r="Q564" s="491" t="n"/>
      <c r="R564" s="491" t="n"/>
      <c r="S564" s="491" t="n"/>
      <c r="T564" s="491" t="n"/>
      <c r="U564" s="491" t="n"/>
      <c r="V564" s="491" t="n"/>
      <c r="W564" s="491" t="n"/>
      <c r="X564" s="491" t="n"/>
      <c r="Y564" s="491" t="n"/>
      <c r="Z564" s="491" t="n"/>
    </row>
    <row r="565" ht="12.75" customHeight="1" s="398">
      <c r="A565" s="491" t="n"/>
      <c r="B565" s="491" t="n"/>
      <c r="C565" s="491" t="n"/>
      <c r="D565" s="491" t="n"/>
      <c r="E565" s="491" t="n"/>
      <c r="F565" s="491" t="n"/>
      <c r="G565" s="491" t="n"/>
      <c r="H565" s="491" t="n"/>
      <c r="I565" s="491" t="n"/>
      <c r="J565" s="491" t="n"/>
      <c r="K565" s="491" t="n"/>
      <c r="L565" s="491" t="n"/>
      <c r="M565" s="491" t="n"/>
      <c r="N565" s="491" t="n"/>
      <c r="O565" s="491" t="n"/>
      <c r="P565" s="491" t="n"/>
      <c r="Q565" s="491" t="n"/>
      <c r="R565" s="491" t="n"/>
      <c r="S565" s="491" t="n"/>
      <c r="T565" s="491" t="n"/>
      <c r="U565" s="491" t="n"/>
      <c r="V565" s="491" t="n"/>
      <c r="W565" s="491" t="n"/>
      <c r="X565" s="491" t="n"/>
      <c r="Y565" s="491" t="n"/>
      <c r="Z565" s="491" t="n"/>
    </row>
    <row r="566" ht="12.75" customHeight="1" s="398">
      <c r="A566" s="491" t="n"/>
      <c r="B566" s="491" t="n"/>
      <c r="C566" s="491" t="n"/>
      <c r="D566" s="491" t="n"/>
      <c r="E566" s="491" t="n"/>
      <c r="F566" s="491" t="n"/>
      <c r="G566" s="491" t="n"/>
      <c r="H566" s="491" t="n"/>
      <c r="I566" s="491" t="n"/>
      <c r="J566" s="491" t="n"/>
      <c r="K566" s="491" t="n"/>
      <c r="L566" s="491" t="n"/>
      <c r="M566" s="491" t="n"/>
      <c r="N566" s="491" t="n"/>
      <c r="O566" s="491" t="n"/>
      <c r="P566" s="491" t="n"/>
      <c r="Q566" s="491" t="n"/>
      <c r="R566" s="491" t="n"/>
      <c r="S566" s="491" t="n"/>
      <c r="T566" s="491" t="n"/>
      <c r="U566" s="491" t="n"/>
      <c r="V566" s="491" t="n"/>
      <c r="W566" s="491" t="n"/>
      <c r="X566" s="491" t="n"/>
      <c r="Y566" s="491" t="n"/>
      <c r="Z566" s="491" t="n"/>
    </row>
    <row r="567" ht="12.75" customHeight="1" s="398">
      <c r="A567" s="491" t="n"/>
      <c r="B567" s="491" t="n"/>
      <c r="C567" s="491" t="n"/>
      <c r="D567" s="491" t="n"/>
      <c r="E567" s="491" t="n"/>
      <c r="F567" s="491" t="n"/>
      <c r="G567" s="491" t="n"/>
      <c r="H567" s="491" t="n"/>
      <c r="I567" s="491" t="n"/>
      <c r="J567" s="491" t="n"/>
      <c r="K567" s="491" t="n"/>
      <c r="L567" s="491" t="n"/>
      <c r="M567" s="491" t="n"/>
      <c r="N567" s="491" t="n"/>
      <c r="O567" s="491" t="n"/>
      <c r="P567" s="491" t="n"/>
      <c r="Q567" s="491" t="n"/>
      <c r="R567" s="491" t="n"/>
      <c r="S567" s="491" t="n"/>
      <c r="T567" s="491" t="n"/>
      <c r="U567" s="491" t="n"/>
      <c r="V567" s="491" t="n"/>
      <c r="W567" s="491" t="n"/>
      <c r="X567" s="491" t="n"/>
      <c r="Y567" s="491" t="n"/>
      <c r="Z567" s="491" t="n"/>
    </row>
    <row r="568" ht="12.75" customHeight="1" s="398">
      <c r="A568" s="491" t="n"/>
      <c r="B568" s="491" t="n"/>
      <c r="C568" s="491" t="n"/>
      <c r="D568" s="491" t="n"/>
      <c r="E568" s="491" t="n"/>
      <c r="F568" s="491" t="n"/>
      <c r="G568" s="491" t="n"/>
      <c r="H568" s="491" t="n"/>
      <c r="I568" s="491" t="n"/>
      <c r="J568" s="491" t="n"/>
      <c r="K568" s="491" t="n"/>
      <c r="L568" s="491" t="n"/>
      <c r="M568" s="491" t="n"/>
      <c r="N568" s="491" t="n"/>
      <c r="O568" s="491" t="n"/>
      <c r="P568" s="491" t="n"/>
      <c r="Q568" s="491" t="n"/>
      <c r="R568" s="491" t="n"/>
      <c r="S568" s="491" t="n"/>
      <c r="T568" s="491" t="n"/>
      <c r="U568" s="491" t="n"/>
      <c r="V568" s="491" t="n"/>
      <c r="W568" s="491" t="n"/>
      <c r="X568" s="491" t="n"/>
      <c r="Y568" s="491" t="n"/>
      <c r="Z568" s="491" t="n"/>
    </row>
    <row r="569" ht="12.75" customHeight="1" s="398">
      <c r="A569" s="491" t="n"/>
      <c r="B569" s="491" t="n"/>
      <c r="C569" s="491" t="n"/>
      <c r="D569" s="491" t="n"/>
      <c r="E569" s="491" t="n"/>
      <c r="F569" s="491" t="n"/>
      <c r="G569" s="491" t="n"/>
      <c r="H569" s="491" t="n"/>
      <c r="I569" s="491" t="n"/>
      <c r="J569" s="491" t="n"/>
      <c r="K569" s="491" t="n"/>
      <c r="L569" s="491" t="n"/>
      <c r="M569" s="491" t="n"/>
      <c r="N569" s="491" t="n"/>
      <c r="O569" s="491" t="n"/>
      <c r="P569" s="491" t="n"/>
      <c r="Q569" s="491" t="n"/>
      <c r="R569" s="491" t="n"/>
      <c r="S569" s="491" t="n"/>
      <c r="T569" s="491" t="n"/>
      <c r="U569" s="491" t="n"/>
      <c r="V569" s="491" t="n"/>
      <c r="W569" s="491" t="n"/>
      <c r="X569" s="491" t="n"/>
      <c r="Y569" s="491" t="n"/>
      <c r="Z569" s="491" t="n"/>
    </row>
    <row r="570" ht="12.75" customHeight="1" s="398">
      <c r="A570" s="491" t="n"/>
      <c r="B570" s="491" t="n"/>
      <c r="C570" s="491" t="n"/>
      <c r="D570" s="491" t="n"/>
      <c r="E570" s="491" t="n"/>
      <c r="F570" s="491" t="n"/>
      <c r="G570" s="491" t="n"/>
      <c r="H570" s="491" t="n"/>
      <c r="I570" s="491" t="n"/>
      <c r="J570" s="491" t="n"/>
      <c r="K570" s="491" t="n"/>
      <c r="L570" s="491" t="n"/>
      <c r="M570" s="491" t="n"/>
      <c r="N570" s="491" t="n"/>
      <c r="O570" s="491" t="n"/>
      <c r="P570" s="491" t="n"/>
      <c r="Q570" s="491" t="n"/>
      <c r="R570" s="491" t="n"/>
      <c r="S570" s="491" t="n"/>
      <c r="T570" s="491" t="n"/>
      <c r="U570" s="491" t="n"/>
      <c r="V570" s="491" t="n"/>
      <c r="W570" s="491" t="n"/>
      <c r="X570" s="491" t="n"/>
      <c r="Y570" s="491" t="n"/>
      <c r="Z570" s="491" t="n"/>
    </row>
    <row r="571" ht="12.75" customHeight="1" s="398">
      <c r="A571" s="491" t="n"/>
      <c r="B571" s="491" t="n"/>
      <c r="C571" s="491" t="n"/>
      <c r="D571" s="491" t="n"/>
      <c r="E571" s="491" t="n"/>
      <c r="F571" s="491" t="n"/>
      <c r="G571" s="491" t="n"/>
      <c r="H571" s="491" t="n"/>
      <c r="I571" s="491" t="n"/>
      <c r="J571" s="491" t="n"/>
      <c r="K571" s="491" t="n"/>
      <c r="L571" s="491" t="n"/>
      <c r="M571" s="491" t="n"/>
      <c r="N571" s="491" t="n"/>
      <c r="O571" s="491" t="n"/>
      <c r="P571" s="491" t="n"/>
      <c r="Q571" s="491" t="n"/>
      <c r="R571" s="491" t="n"/>
      <c r="S571" s="491" t="n"/>
      <c r="T571" s="491" t="n"/>
      <c r="U571" s="491" t="n"/>
      <c r="V571" s="491" t="n"/>
      <c r="W571" s="491" t="n"/>
      <c r="X571" s="491" t="n"/>
      <c r="Y571" s="491" t="n"/>
      <c r="Z571" s="491" t="n"/>
    </row>
    <row r="572" ht="12.75" customHeight="1" s="398">
      <c r="A572" s="491" t="n"/>
      <c r="B572" s="491" t="n"/>
      <c r="C572" s="491" t="n"/>
      <c r="D572" s="491" t="n"/>
      <c r="E572" s="491" t="n"/>
      <c r="F572" s="491" t="n"/>
      <c r="G572" s="491" t="n"/>
      <c r="H572" s="491" t="n"/>
      <c r="I572" s="491" t="n"/>
      <c r="J572" s="491" t="n"/>
      <c r="K572" s="491" t="n"/>
      <c r="L572" s="491" t="n"/>
      <c r="M572" s="491" t="n"/>
      <c r="N572" s="491" t="n"/>
      <c r="O572" s="491" t="n"/>
      <c r="P572" s="491" t="n"/>
      <c r="Q572" s="491" t="n"/>
      <c r="R572" s="491" t="n"/>
      <c r="S572" s="491" t="n"/>
      <c r="T572" s="491" t="n"/>
      <c r="U572" s="491" t="n"/>
      <c r="V572" s="491" t="n"/>
      <c r="W572" s="491" t="n"/>
      <c r="X572" s="491" t="n"/>
      <c r="Y572" s="491" t="n"/>
      <c r="Z572" s="491" t="n"/>
    </row>
    <row r="573" ht="12.75" customHeight="1" s="398">
      <c r="A573" s="491" t="n"/>
      <c r="B573" s="491" t="n"/>
      <c r="C573" s="491" t="n"/>
      <c r="D573" s="491" t="n"/>
      <c r="E573" s="491" t="n"/>
      <c r="F573" s="491" t="n"/>
      <c r="G573" s="491" t="n"/>
      <c r="H573" s="491" t="n"/>
      <c r="I573" s="491" t="n"/>
      <c r="J573" s="491" t="n"/>
      <c r="K573" s="491" t="n"/>
      <c r="L573" s="491" t="n"/>
      <c r="M573" s="491" t="n"/>
      <c r="N573" s="491" t="n"/>
      <c r="O573" s="491" t="n"/>
      <c r="P573" s="491" t="n"/>
      <c r="Q573" s="491" t="n"/>
      <c r="R573" s="491" t="n"/>
      <c r="S573" s="491" t="n"/>
      <c r="T573" s="491" t="n"/>
      <c r="U573" s="491" t="n"/>
      <c r="V573" s="491" t="n"/>
      <c r="W573" s="491" t="n"/>
      <c r="X573" s="491" t="n"/>
      <c r="Y573" s="491" t="n"/>
      <c r="Z573" s="491" t="n"/>
    </row>
    <row r="574" ht="12.75" customHeight="1" s="398">
      <c r="A574" s="491" t="n"/>
      <c r="B574" s="491" t="n"/>
      <c r="C574" s="491" t="n"/>
      <c r="D574" s="491" t="n"/>
      <c r="E574" s="491" t="n"/>
      <c r="F574" s="491" t="n"/>
      <c r="G574" s="491" t="n"/>
      <c r="H574" s="491" t="n"/>
      <c r="I574" s="491" t="n"/>
      <c r="J574" s="491" t="n"/>
      <c r="K574" s="491" t="n"/>
      <c r="L574" s="491" t="n"/>
      <c r="M574" s="491" t="n"/>
      <c r="N574" s="491" t="n"/>
      <c r="O574" s="491" t="n"/>
      <c r="P574" s="491" t="n"/>
      <c r="Q574" s="491" t="n"/>
      <c r="R574" s="491" t="n"/>
      <c r="S574" s="491" t="n"/>
      <c r="T574" s="491" t="n"/>
      <c r="U574" s="491" t="n"/>
      <c r="V574" s="491" t="n"/>
      <c r="W574" s="491" t="n"/>
      <c r="X574" s="491" t="n"/>
      <c r="Y574" s="491" t="n"/>
      <c r="Z574" s="491" t="n"/>
    </row>
    <row r="575" ht="12.75" customHeight="1" s="398">
      <c r="A575" s="491" t="n"/>
      <c r="B575" s="491" t="n"/>
      <c r="C575" s="491" t="n"/>
      <c r="D575" s="491" t="n"/>
      <c r="E575" s="491" t="n"/>
      <c r="F575" s="491" t="n"/>
      <c r="G575" s="491" t="n"/>
      <c r="H575" s="491" t="n"/>
      <c r="I575" s="491" t="n"/>
      <c r="J575" s="491" t="n"/>
      <c r="K575" s="491" t="n"/>
      <c r="L575" s="491" t="n"/>
      <c r="M575" s="491" t="n"/>
      <c r="N575" s="491" t="n"/>
      <c r="O575" s="491" t="n"/>
      <c r="P575" s="491" t="n"/>
      <c r="Q575" s="491" t="n"/>
      <c r="R575" s="491" t="n"/>
      <c r="S575" s="491" t="n"/>
      <c r="T575" s="491" t="n"/>
      <c r="U575" s="491" t="n"/>
      <c r="V575" s="491" t="n"/>
      <c r="W575" s="491" t="n"/>
      <c r="X575" s="491" t="n"/>
      <c r="Y575" s="491" t="n"/>
      <c r="Z575" s="491" t="n"/>
    </row>
    <row r="576" ht="12.75" customHeight="1" s="398">
      <c r="A576" s="491" t="n"/>
      <c r="B576" s="491" t="n"/>
      <c r="C576" s="491" t="n"/>
      <c r="D576" s="491" t="n"/>
      <c r="E576" s="491" t="n"/>
      <c r="F576" s="491" t="n"/>
      <c r="G576" s="491" t="n"/>
      <c r="H576" s="491" t="n"/>
      <c r="I576" s="491" t="n"/>
      <c r="J576" s="491" t="n"/>
      <c r="K576" s="491" t="n"/>
      <c r="L576" s="491" t="n"/>
      <c r="M576" s="491" t="n"/>
      <c r="N576" s="491" t="n"/>
      <c r="O576" s="491" t="n"/>
      <c r="P576" s="491" t="n"/>
      <c r="Q576" s="491" t="n"/>
      <c r="R576" s="491" t="n"/>
      <c r="S576" s="491" t="n"/>
      <c r="T576" s="491" t="n"/>
      <c r="U576" s="491" t="n"/>
      <c r="V576" s="491" t="n"/>
      <c r="W576" s="491" t="n"/>
      <c r="X576" s="491" t="n"/>
      <c r="Y576" s="491" t="n"/>
      <c r="Z576" s="491" t="n"/>
    </row>
    <row r="577" ht="12.75" customHeight="1" s="398">
      <c r="A577" s="491" t="n"/>
      <c r="B577" s="491" t="n"/>
      <c r="C577" s="491" t="n"/>
      <c r="D577" s="491" t="n"/>
      <c r="E577" s="491" t="n"/>
      <c r="F577" s="491" t="n"/>
      <c r="G577" s="491" t="n"/>
      <c r="H577" s="491" t="n"/>
      <c r="I577" s="491" t="n"/>
      <c r="J577" s="491" t="n"/>
      <c r="K577" s="491" t="n"/>
      <c r="L577" s="491" t="n"/>
      <c r="M577" s="491" t="n"/>
      <c r="N577" s="491" t="n"/>
      <c r="O577" s="491" t="n"/>
      <c r="P577" s="491" t="n"/>
      <c r="Q577" s="491" t="n"/>
      <c r="R577" s="491" t="n"/>
      <c r="S577" s="491" t="n"/>
      <c r="T577" s="491" t="n"/>
      <c r="U577" s="491" t="n"/>
      <c r="V577" s="491" t="n"/>
      <c r="W577" s="491" t="n"/>
      <c r="X577" s="491" t="n"/>
      <c r="Y577" s="491" t="n"/>
      <c r="Z577" s="491" t="n"/>
    </row>
    <row r="578" ht="12.75" customHeight="1" s="398">
      <c r="A578" s="491" t="n"/>
      <c r="B578" s="491" t="n"/>
      <c r="C578" s="491" t="n"/>
      <c r="D578" s="491" t="n"/>
      <c r="E578" s="491" t="n"/>
      <c r="F578" s="491" t="n"/>
      <c r="G578" s="491" t="n"/>
      <c r="H578" s="491" t="n"/>
      <c r="I578" s="491" t="n"/>
      <c r="J578" s="491" t="n"/>
      <c r="K578" s="491" t="n"/>
      <c r="L578" s="491" t="n"/>
      <c r="M578" s="491" t="n"/>
      <c r="N578" s="491" t="n"/>
      <c r="O578" s="491" t="n"/>
      <c r="P578" s="491" t="n"/>
      <c r="Q578" s="491" t="n"/>
      <c r="R578" s="491" t="n"/>
      <c r="S578" s="491" t="n"/>
      <c r="T578" s="491" t="n"/>
      <c r="U578" s="491" t="n"/>
      <c r="V578" s="491" t="n"/>
      <c r="W578" s="491" t="n"/>
      <c r="X578" s="491" t="n"/>
      <c r="Y578" s="491" t="n"/>
      <c r="Z578" s="491" t="n"/>
    </row>
    <row r="579" ht="12.75" customHeight="1" s="398">
      <c r="A579" s="491" t="n"/>
      <c r="B579" s="491" t="n"/>
      <c r="C579" s="491" t="n"/>
      <c r="D579" s="491" t="n"/>
      <c r="E579" s="491" t="n"/>
      <c r="F579" s="491" t="n"/>
      <c r="G579" s="491" t="n"/>
      <c r="H579" s="491" t="n"/>
      <c r="I579" s="491" t="n"/>
      <c r="J579" s="491" t="n"/>
      <c r="K579" s="491" t="n"/>
      <c r="L579" s="491" t="n"/>
      <c r="M579" s="491" t="n"/>
      <c r="N579" s="491" t="n"/>
      <c r="O579" s="491" t="n"/>
      <c r="P579" s="491" t="n"/>
      <c r="Q579" s="491" t="n"/>
      <c r="R579" s="491" t="n"/>
      <c r="S579" s="491" t="n"/>
      <c r="T579" s="491" t="n"/>
      <c r="U579" s="491" t="n"/>
      <c r="V579" s="491" t="n"/>
      <c r="W579" s="491" t="n"/>
      <c r="X579" s="491" t="n"/>
      <c r="Y579" s="491" t="n"/>
      <c r="Z579" s="491" t="n"/>
    </row>
    <row r="580" ht="12.75" customHeight="1" s="398">
      <c r="A580" s="491" t="n"/>
      <c r="B580" s="491" t="n"/>
      <c r="C580" s="491" t="n"/>
      <c r="D580" s="491" t="n"/>
      <c r="E580" s="491" t="n"/>
      <c r="F580" s="491" t="n"/>
      <c r="G580" s="491" t="n"/>
      <c r="H580" s="491" t="n"/>
      <c r="I580" s="491" t="n"/>
      <c r="J580" s="491" t="n"/>
      <c r="K580" s="491" t="n"/>
      <c r="L580" s="491" t="n"/>
      <c r="M580" s="491" t="n"/>
      <c r="N580" s="491" t="n"/>
      <c r="O580" s="491" t="n"/>
      <c r="P580" s="491" t="n"/>
      <c r="Q580" s="491" t="n"/>
      <c r="R580" s="491" t="n"/>
      <c r="S580" s="491" t="n"/>
      <c r="T580" s="491" t="n"/>
      <c r="U580" s="491" t="n"/>
      <c r="V580" s="491" t="n"/>
      <c r="W580" s="491" t="n"/>
      <c r="X580" s="491" t="n"/>
      <c r="Y580" s="491" t="n"/>
      <c r="Z580" s="491" t="n"/>
    </row>
    <row r="581" ht="12.75" customHeight="1" s="398">
      <c r="A581" s="491" t="n"/>
      <c r="B581" s="491" t="n"/>
      <c r="C581" s="491" t="n"/>
      <c r="D581" s="491" t="n"/>
      <c r="E581" s="491" t="n"/>
      <c r="F581" s="491" t="n"/>
      <c r="G581" s="491" t="n"/>
      <c r="H581" s="491" t="n"/>
      <c r="I581" s="491" t="n"/>
      <c r="J581" s="491" t="n"/>
      <c r="K581" s="491" t="n"/>
      <c r="L581" s="491" t="n"/>
      <c r="M581" s="491" t="n"/>
      <c r="N581" s="491" t="n"/>
      <c r="O581" s="491" t="n"/>
      <c r="P581" s="491" t="n"/>
      <c r="Q581" s="491" t="n"/>
      <c r="R581" s="491" t="n"/>
      <c r="S581" s="491" t="n"/>
      <c r="T581" s="491" t="n"/>
      <c r="U581" s="491" t="n"/>
      <c r="V581" s="491" t="n"/>
      <c r="W581" s="491" t="n"/>
      <c r="X581" s="491" t="n"/>
      <c r="Y581" s="491" t="n"/>
      <c r="Z581" s="491" t="n"/>
    </row>
    <row r="582" ht="12.75" customHeight="1" s="398">
      <c r="A582" s="491" t="n"/>
      <c r="B582" s="491" t="n"/>
      <c r="C582" s="491" t="n"/>
      <c r="D582" s="491" t="n"/>
      <c r="E582" s="491" t="n"/>
      <c r="F582" s="491" t="n"/>
      <c r="G582" s="491" t="n"/>
      <c r="H582" s="491" t="n"/>
      <c r="I582" s="491" t="n"/>
      <c r="J582" s="491" t="n"/>
      <c r="K582" s="491" t="n"/>
      <c r="L582" s="491" t="n"/>
      <c r="M582" s="491" t="n"/>
      <c r="N582" s="491" t="n"/>
      <c r="O582" s="491" t="n"/>
      <c r="P582" s="491" t="n"/>
      <c r="Q582" s="491" t="n"/>
      <c r="R582" s="491" t="n"/>
      <c r="S582" s="491" t="n"/>
      <c r="T582" s="491" t="n"/>
      <c r="U582" s="491" t="n"/>
      <c r="V582" s="491" t="n"/>
      <c r="W582" s="491" t="n"/>
      <c r="X582" s="491" t="n"/>
      <c r="Y582" s="491" t="n"/>
      <c r="Z582" s="491" t="n"/>
    </row>
    <row r="583" ht="12.75" customHeight="1" s="398">
      <c r="A583" s="491" t="n"/>
      <c r="B583" s="491" t="n"/>
      <c r="C583" s="491" t="n"/>
      <c r="D583" s="491" t="n"/>
      <c r="E583" s="491" t="n"/>
      <c r="F583" s="491" t="n"/>
      <c r="G583" s="491" t="n"/>
      <c r="H583" s="491" t="n"/>
      <c r="I583" s="491" t="n"/>
      <c r="J583" s="491" t="n"/>
      <c r="K583" s="491" t="n"/>
      <c r="L583" s="491" t="n"/>
      <c r="M583" s="491" t="n"/>
      <c r="N583" s="491" t="n"/>
      <c r="O583" s="491" t="n"/>
      <c r="P583" s="491" t="n"/>
      <c r="Q583" s="491" t="n"/>
      <c r="R583" s="491" t="n"/>
      <c r="S583" s="491" t="n"/>
      <c r="T583" s="491" t="n"/>
      <c r="U583" s="491" t="n"/>
      <c r="V583" s="491" t="n"/>
      <c r="W583" s="491" t="n"/>
      <c r="X583" s="491" t="n"/>
      <c r="Y583" s="491" t="n"/>
      <c r="Z583" s="491" t="n"/>
    </row>
    <row r="584" ht="12.75" customHeight="1" s="398">
      <c r="A584" s="491" t="n"/>
      <c r="B584" s="491" t="n"/>
      <c r="C584" s="491" t="n"/>
      <c r="D584" s="491" t="n"/>
      <c r="E584" s="491" t="n"/>
      <c r="F584" s="491" t="n"/>
      <c r="G584" s="491" t="n"/>
      <c r="H584" s="491" t="n"/>
      <c r="I584" s="491" t="n"/>
      <c r="J584" s="491" t="n"/>
      <c r="K584" s="491" t="n"/>
      <c r="L584" s="491" t="n"/>
      <c r="M584" s="491" t="n"/>
      <c r="N584" s="491" t="n"/>
      <c r="O584" s="491" t="n"/>
      <c r="P584" s="491" t="n"/>
      <c r="Q584" s="491" t="n"/>
      <c r="R584" s="491" t="n"/>
      <c r="S584" s="491" t="n"/>
      <c r="T584" s="491" t="n"/>
      <c r="U584" s="491" t="n"/>
      <c r="V584" s="491" t="n"/>
      <c r="W584" s="491" t="n"/>
      <c r="X584" s="491" t="n"/>
      <c r="Y584" s="491" t="n"/>
      <c r="Z584" s="491" t="n"/>
    </row>
    <row r="585" ht="12.75" customHeight="1" s="398">
      <c r="A585" s="491" t="n"/>
      <c r="B585" s="491" t="n"/>
      <c r="C585" s="491" t="n"/>
      <c r="D585" s="491" t="n"/>
      <c r="E585" s="491" t="n"/>
      <c r="F585" s="491" t="n"/>
      <c r="G585" s="491" t="n"/>
      <c r="H585" s="491" t="n"/>
      <c r="I585" s="491" t="n"/>
      <c r="J585" s="491" t="n"/>
      <c r="K585" s="491" t="n"/>
      <c r="L585" s="491" t="n"/>
      <c r="M585" s="491" t="n"/>
      <c r="N585" s="491" t="n"/>
      <c r="O585" s="491" t="n"/>
      <c r="P585" s="491" t="n"/>
      <c r="Q585" s="491" t="n"/>
      <c r="R585" s="491" t="n"/>
      <c r="S585" s="491" t="n"/>
      <c r="T585" s="491" t="n"/>
      <c r="U585" s="491" t="n"/>
      <c r="V585" s="491" t="n"/>
      <c r="W585" s="491" t="n"/>
      <c r="X585" s="491" t="n"/>
      <c r="Y585" s="491" t="n"/>
      <c r="Z585" s="491" t="n"/>
    </row>
    <row r="586" ht="12.75" customHeight="1" s="398">
      <c r="A586" s="491" t="n"/>
      <c r="B586" s="491" t="n"/>
      <c r="C586" s="491" t="n"/>
      <c r="D586" s="491" t="n"/>
      <c r="E586" s="491" t="n"/>
      <c r="F586" s="491" t="n"/>
      <c r="G586" s="491" t="n"/>
      <c r="H586" s="491" t="n"/>
      <c r="I586" s="491" t="n"/>
      <c r="J586" s="491" t="n"/>
      <c r="K586" s="491" t="n"/>
      <c r="L586" s="491" t="n"/>
      <c r="M586" s="491" t="n"/>
      <c r="N586" s="491" t="n"/>
      <c r="O586" s="491" t="n"/>
      <c r="P586" s="491" t="n"/>
      <c r="Q586" s="491" t="n"/>
      <c r="R586" s="491" t="n"/>
      <c r="S586" s="491" t="n"/>
      <c r="T586" s="491" t="n"/>
      <c r="U586" s="491" t="n"/>
      <c r="V586" s="491" t="n"/>
      <c r="W586" s="491" t="n"/>
      <c r="X586" s="491" t="n"/>
      <c r="Y586" s="491" t="n"/>
      <c r="Z586" s="491" t="n"/>
    </row>
    <row r="587" ht="12.75" customHeight="1" s="398">
      <c r="A587" s="491" t="n"/>
      <c r="B587" s="491" t="n"/>
      <c r="C587" s="491" t="n"/>
      <c r="D587" s="491" t="n"/>
      <c r="E587" s="491" t="n"/>
      <c r="F587" s="491" t="n"/>
      <c r="G587" s="491" t="n"/>
      <c r="H587" s="491" t="n"/>
      <c r="I587" s="491" t="n"/>
      <c r="J587" s="491" t="n"/>
      <c r="K587" s="491" t="n"/>
      <c r="L587" s="491" t="n"/>
      <c r="M587" s="491" t="n"/>
      <c r="N587" s="491" t="n"/>
      <c r="O587" s="491" t="n"/>
      <c r="P587" s="491" t="n"/>
      <c r="Q587" s="491" t="n"/>
      <c r="R587" s="491" t="n"/>
      <c r="S587" s="491" t="n"/>
      <c r="T587" s="491" t="n"/>
      <c r="U587" s="491" t="n"/>
      <c r="V587" s="491" t="n"/>
      <c r="W587" s="491" t="n"/>
      <c r="X587" s="491" t="n"/>
      <c r="Y587" s="491" t="n"/>
      <c r="Z587" s="491" t="n"/>
    </row>
    <row r="588" ht="12.75" customHeight="1" s="398">
      <c r="A588" s="491" t="n"/>
      <c r="B588" s="491" t="n"/>
      <c r="C588" s="491" t="n"/>
      <c r="D588" s="491" t="n"/>
      <c r="E588" s="491" t="n"/>
      <c r="F588" s="491" t="n"/>
      <c r="G588" s="491" t="n"/>
      <c r="H588" s="491" t="n"/>
      <c r="I588" s="491" t="n"/>
      <c r="J588" s="491" t="n"/>
      <c r="K588" s="491" t="n"/>
      <c r="L588" s="491" t="n"/>
      <c r="M588" s="491" t="n"/>
      <c r="N588" s="491" t="n"/>
      <c r="O588" s="491" t="n"/>
      <c r="P588" s="491" t="n"/>
      <c r="Q588" s="491" t="n"/>
      <c r="R588" s="491" t="n"/>
      <c r="S588" s="491" t="n"/>
      <c r="T588" s="491" t="n"/>
      <c r="U588" s="491" t="n"/>
      <c r="V588" s="491" t="n"/>
      <c r="W588" s="491" t="n"/>
      <c r="X588" s="491" t="n"/>
      <c r="Y588" s="491" t="n"/>
      <c r="Z588" s="491" t="n"/>
    </row>
    <row r="589" ht="12.75" customHeight="1" s="398">
      <c r="A589" s="491" t="n"/>
      <c r="B589" s="491" t="n"/>
      <c r="C589" s="491" t="n"/>
      <c r="D589" s="491" t="n"/>
      <c r="E589" s="491" t="n"/>
      <c r="F589" s="491" t="n"/>
      <c r="G589" s="491" t="n"/>
      <c r="H589" s="491" t="n"/>
      <c r="I589" s="491" t="n"/>
      <c r="J589" s="491" t="n"/>
      <c r="K589" s="491" t="n"/>
      <c r="L589" s="491" t="n"/>
      <c r="M589" s="491" t="n"/>
      <c r="N589" s="491" t="n"/>
      <c r="O589" s="491" t="n"/>
      <c r="P589" s="491" t="n"/>
      <c r="Q589" s="491" t="n"/>
      <c r="R589" s="491" t="n"/>
      <c r="S589" s="491" t="n"/>
      <c r="T589" s="491" t="n"/>
      <c r="U589" s="491" t="n"/>
      <c r="V589" s="491" t="n"/>
      <c r="W589" s="491" t="n"/>
      <c r="X589" s="491" t="n"/>
      <c r="Y589" s="491" t="n"/>
      <c r="Z589" s="491" t="n"/>
    </row>
    <row r="590" ht="12.75" customHeight="1" s="398">
      <c r="A590" s="491" t="n"/>
      <c r="B590" s="491" t="n"/>
      <c r="C590" s="491" t="n"/>
      <c r="D590" s="491" t="n"/>
      <c r="E590" s="491" t="n"/>
      <c r="F590" s="491" t="n"/>
      <c r="G590" s="491" t="n"/>
      <c r="H590" s="491" t="n"/>
      <c r="I590" s="491" t="n"/>
      <c r="J590" s="491" t="n"/>
      <c r="K590" s="491" t="n"/>
      <c r="L590" s="491" t="n"/>
      <c r="M590" s="491" t="n"/>
      <c r="N590" s="491" t="n"/>
      <c r="O590" s="491" t="n"/>
      <c r="P590" s="491" t="n"/>
      <c r="Q590" s="491" t="n"/>
      <c r="R590" s="491" t="n"/>
      <c r="S590" s="491" t="n"/>
      <c r="T590" s="491" t="n"/>
      <c r="U590" s="491" t="n"/>
      <c r="V590" s="491" t="n"/>
      <c r="W590" s="491" t="n"/>
      <c r="X590" s="491" t="n"/>
      <c r="Y590" s="491" t="n"/>
      <c r="Z590" s="491" t="n"/>
    </row>
    <row r="591" ht="12.75" customHeight="1" s="398">
      <c r="A591" s="491" t="n"/>
      <c r="B591" s="491" t="n"/>
      <c r="C591" s="491" t="n"/>
      <c r="D591" s="491" t="n"/>
      <c r="E591" s="491" t="n"/>
      <c r="F591" s="491" t="n"/>
      <c r="G591" s="491" t="n"/>
      <c r="H591" s="491" t="n"/>
      <c r="I591" s="491" t="n"/>
      <c r="J591" s="491" t="n"/>
      <c r="K591" s="491" t="n"/>
      <c r="L591" s="491" t="n"/>
      <c r="M591" s="491" t="n"/>
      <c r="N591" s="491" t="n"/>
      <c r="O591" s="491" t="n"/>
      <c r="P591" s="491" t="n"/>
      <c r="Q591" s="491" t="n"/>
      <c r="R591" s="491" t="n"/>
      <c r="S591" s="491" t="n"/>
      <c r="T591" s="491" t="n"/>
      <c r="U591" s="491" t="n"/>
      <c r="V591" s="491" t="n"/>
      <c r="W591" s="491" t="n"/>
      <c r="X591" s="491" t="n"/>
      <c r="Y591" s="491" t="n"/>
      <c r="Z591" s="491" t="n"/>
    </row>
    <row r="592" ht="12.75" customHeight="1" s="398">
      <c r="A592" s="491" t="n"/>
      <c r="B592" s="491" t="n"/>
      <c r="C592" s="491" t="n"/>
      <c r="D592" s="491" t="n"/>
      <c r="E592" s="491" t="n"/>
      <c r="F592" s="491" t="n"/>
      <c r="G592" s="491" t="n"/>
      <c r="H592" s="491" t="n"/>
      <c r="I592" s="491" t="n"/>
      <c r="J592" s="491" t="n"/>
      <c r="K592" s="491" t="n"/>
      <c r="L592" s="491" t="n"/>
      <c r="M592" s="491" t="n"/>
      <c r="N592" s="491" t="n"/>
      <c r="O592" s="491" t="n"/>
      <c r="P592" s="491" t="n"/>
      <c r="Q592" s="491" t="n"/>
      <c r="R592" s="491" t="n"/>
      <c r="S592" s="491" t="n"/>
      <c r="T592" s="491" t="n"/>
      <c r="U592" s="491" t="n"/>
      <c r="V592" s="491" t="n"/>
      <c r="W592" s="491" t="n"/>
      <c r="X592" s="491" t="n"/>
      <c r="Y592" s="491" t="n"/>
      <c r="Z592" s="491" t="n"/>
    </row>
    <row r="593" ht="12.75" customHeight="1" s="398">
      <c r="A593" s="491" t="n"/>
      <c r="B593" s="491" t="n"/>
      <c r="C593" s="491" t="n"/>
      <c r="D593" s="491" t="n"/>
      <c r="E593" s="491" t="n"/>
      <c r="F593" s="491" t="n"/>
      <c r="G593" s="491" t="n"/>
      <c r="H593" s="491" t="n"/>
      <c r="I593" s="491" t="n"/>
      <c r="J593" s="491" t="n"/>
      <c r="K593" s="491" t="n"/>
      <c r="L593" s="491" t="n"/>
      <c r="M593" s="491" t="n"/>
      <c r="N593" s="491" t="n"/>
      <c r="O593" s="491" t="n"/>
      <c r="P593" s="491" t="n"/>
      <c r="Q593" s="491" t="n"/>
      <c r="R593" s="491" t="n"/>
      <c r="S593" s="491" t="n"/>
      <c r="T593" s="491" t="n"/>
      <c r="U593" s="491" t="n"/>
      <c r="V593" s="491" t="n"/>
      <c r="W593" s="491" t="n"/>
      <c r="X593" s="491" t="n"/>
      <c r="Y593" s="491" t="n"/>
      <c r="Z593" s="491" t="n"/>
    </row>
    <row r="594" ht="12.75" customHeight="1" s="398">
      <c r="A594" s="491" t="n"/>
      <c r="B594" s="491" t="n"/>
      <c r="C594" s="491" t="n"/>
      <c r="D594" s="491" t="n"/>
      <c r="E594" s="491" t="n"/>
      <c r="F594" s="491" t="n"/>
      <c r="G594" s="491" t="n"/>
      <c r="H594" s="491" t="n"/>
      <c r="I594" s="491" t="n"/>
      <c r="J594" s="491" t="n"/>
      <c r="K594" s="491" t="n"/>
      <c r="L594" s="491" t="n"/>
      <c r="M594" s="491" t="n"/>
      <c r="N594" s="491" t="n"/>
      <c r="O594" s="491" t="n"/>
      <c r="P594" s="491" t="n"/>
      <c r="Q594" s="491" t="n"/>
      <c r="R594" s="491" t="n"/>
      <c r="S594" s="491" t="n"/>
      <c r="T594" s="491" t="n"/>
      <c r="U594" s="491" t="n"/>
      <c r="V594" s="491" t="n"/>
      <c r="W594" s="491" t="n"/>
      <c r="X594" s="491" t="n"/>
      <c r="Y594" s="491" t="n"/>
      <c r="Z594" s="491" t="n"/>
    </row>
    <row r="595" ht="12.75" customHeight="1" s="398">
      <c r="A595" s="491" t="n"/>
      <c r="B595" s="491" t="n"/>
      <c r="C595" s="491" t="n"/>
      <c r="D595" s="491" t="n"/>
      <c r="E595" s="491" t="n"/>
      <c r="F595" s="491" t="n"/>
      <c r="G595" s="491" t="n"/>
      <c r="H595" s="491" t="n"/>
      <c r="I595" s="491" t="n"/>
      <c r="J595" s="491" t="n"/>
      <c r="K595" s="491" t="n"/>
      <c r="L595" s="491" t="n"/>
      <c r="M595" s="491" t="n"/>
      <c r="N595" s="491" t="n"/>
      <c r="O595" s="491" t="n"/>
      <c r="P595" s="491" t="n"/>
      <c r="Q595" s="491" t="n"/>
      <c r="R595" s="491" t="n"/>
      <c r="S595" s="491" t="n"/>
      <c r="T595" s="491" t="n"/>
      <c r="U595" s="491" t="n"/>
      <c r="V595" s="491" t="n"/>
      <c r="W595" s="491" t="n"/>
      <c r="X595" s="491" t="n"/>
      <c r="Y595" s="491" t="n"/>
      <c r="Z595" s="491" t="n"/>
    </row>
    <row r="596" ht="12.75" customHeight="1" s="398">
      <c r="A596" s="491" t="n"/>
      <c r="B596" s="491" t="n"/>
      <c r="C596" s="491" t="n"/>
      <c r="D596" s="491" t="n"/>
      <c r="E596" s="491" t="n"/>
      <c r="F596" s="491" t="n"/>
      <c r="G596" s="491" t="n"/>
      <c r="H596" s="491" t="n"/>
      <c r="I596" s="491" t="n"/>
      <c r="J596" s="491" t="n"/>
      <c r="K596" s="491" t="n"/>
      <c r="L596" s="491" t="n"/>
      <c r="M596" s="491" t="n"/>
      <c r="N596" s="491" t="n"/>
      <c r="O596" s="491" t="n"/>
      <c r="P596" s="491" t="n"/>
      <c r="Q596" s="491" t="n"/>
      <c r="R596" s="491" t="n"/>
      <c r="S596" s="491" t="n"/>
      <c r="T596" s="491" t="n"/>
      <c r="U596" s="491" t="n"/>
      <c r="V596" s="491" t="n"/>
      <c r="W596" s="491" t="n"/>
      <c r="X596" s="491" t="n"/>
      <c r="Y596" s="491" t="n"/>
      <c r="Z596" s="491" t="n"/>
    </row>
    <row r="597" ht="12.75" customHeight="1" s="398">
      <c r="A597" s="491" t="n"/>
      <c r="B597" s="491" t="n"/>
      <c r="C597" s="491" t="n"/>
      <c r="D597" s="491" t="n"/>
      <c r="E597" s="491" t="n"/>
      <c r="F597" s="491" t="n"/>
      <c r="G597" s="491" t="n"/>
      <c r="H597" s="491" t="n"/>
      <c r="I597" s="491" t="n"/>
      <c r="J597" s="491" t="n"/>
      <c r="K597" s="491" t="n"/>
      <c r="L597" s="491" t="n"/>
      <c r="M597" s="491" t="n"/>
      <c r="N597" s="491" t="n"/>
      <c r="O597" s="491" t="n"/>
      <c r="P597" s="491" t="n"/>
      <c r="Q597" s="491" t="n"/>
      <c r="R597" s="491" t="n"/>
      <c r="S597" s="491" t="n"/>
      <c r="T597" s="491" t="n"/>
      <c r="U597" s="491" t="n"/>
      <c r="V597" s="491" t="n"/>
      <c r="W597" s="491" t="n"/>
      <c r="X597" s="491" t="n"/>
      <c r="Y597" s="491" t="n"/>
      <c r="Z597" s="491" t="n"/>
    </row>
    <row r="598" ht="12.75" customHeight="1" s="398">
      <c r="A598" s="491" t="n"/>
      <c r="B598" s="491" t="n"/>
      <c r="C598" s="491" t="n"/>
      <c r="D598" s="491" t="n"/>
      <c r="E598" s="491" t="n"/>
      <c r="F598" s="491" t="n"/>
      <c r="G598" s="491" t="n"/>
      <c r="H598" s="491" t="n"/>
      <c r="I598" s="491" t="n"/>
      <c r="J598" s="491" t="n"/>
      <c r="K598" s="491" t="n"/>
      <c r="L598" s="491" t="n"/>
      <c r="M598" s="491" t="n"/>
      <c r="N598" s="491" t="n"/>
      <c r="O598" s="491" t="n"/>
      <c r="P598" s="491" t="n"/>
      <c r="Q598" s="491" t="n"/>
      <c r="R598" s="491" t="n"/>
      <c r="S598" s="491" t="n"/>
      <c r="T598" s="491" t="n"/>
      <c r="U598" s="491" t="n"/>
      <c r="V598" s="491" t="n"/>
      <c r="W598" s="491" t="n"/>
      <c r="X598" s="491" t="n"/>
      <c r="Y598" s="491" t="n"/>
      <c r="Z598" s="491" t="n"/>
    </row>
    <row r="599" ht="12.75" customHeight="1" s="398">
      <c r="A599" s="491" t="n"/>
      <c r="B599" s="491" t="n"/>
      <c r="C599" s="491" t="n"/>
      <c r="D599" s="491" t="n"/>
      <c r="E599" s="491" t="n"/>
      <c r="F599" s="491" t="n"/>
      <c r="G599" s="491" t="n"/>
      <c r="H599" s="491" t="n"/>
      <c r="I599" s="491" t="n"/>
      <c r="J599" s="491" t="n"/>
      <c r="K599" s="491" t="n"/>
      <c r="L599" s="491" t="n"/>
      <c r="M599" s="491" t="n"/>
      <c r="N599" s="491" t="n"/>
      <c r="O599" s="491" t="n"/>
      <c r="P599" s="491" t="n"/>
      <c r="Q599" s="491" t="n"/>
      <c r="R599" s="491" t="n"/>
      <c r="S599" s="491" t="n"/>
      <c r="T599" s="491" t="n"/>
      <c r="U599" s="491" t="n"/>
      <c r="V599" s="491" t="n"/>
      <c r="W599" s="491" t="n"/>
      <c r="X599" s="491" t="n"/>
      <c r="Y599" s="491" t="n"/>
      <c r="Z599" s="491" t="n"/>
    </row>
    <row r="600" ht="12.75" customHeight="1" s="398">
      <c r="A600" s="491" t="n"/>
      <c r="B600" s="491" t="n"/>
      <c r="C600" s="491" t="n"/>
      <c r="D600" s="491" t="n"/>
      <c r="E600" s="491" t="n"/>
      <c r="F600" s="491" t="n"/>
      <c r="G600" s="491" t="n"/>
      <c r="H600" s="491" t="n"/>
      <c r="I600" s="491" t="n"/>
      <c r="J600" s="491" t="n"/>
      <c r="K600" s="491" t="n"/>
      <c r="L600" s="491" t="n"/>
      <c r="M600" s="491" t="n"/>
      <c r="N600" s="491" t="n"/>
      <c r="O600" s="491" t="n"/>
      <c r="P600" s="491" t="n"/>
      <c r="Q600" s="491" t="n"/>
      <c r="R600" s="491" t="n"/>
      <c r="S600" s="491" t="n"/>
      <c r="T600" s="491" t="n"/>
      <c r="U600" s="491" t="n"/>
      <c r="V600" s="491" t="n"/>
      <c r="W600" s="491" t="n"/>
      <c r="X600" s="491" t="n"/>
      <c r="Y600" s="491" t="n"/>
      <c r="Z600" s="491" t="n"/>
    </row>
    <row r="601" ht="12.75" customHeight="1" s="398">
      <c r="A601" s="491" t="n"/>
      <c r="B601" s="491" t="n"/>
      <c r="C601" s="491" t="n"/>
      <c r="D601" s="491" t="n"/>
      <c r="E601" s="491" t="n"/>
      <c r="F601" s="491" t="n"/>
      <c r="G601" s="491" t="n"/>
      <c r="H601" s="491" t="n"/>
      <c r="I601" s="491" t="n"/>
      <c r="J601" s="491" t="n"/>
      <c r="K601" s="491" t="n"/>
      <c r="L601" s="491" t="n"/>
      <c r="M601" s="491" t="n"/>
      <c r="N601" s="491" t="n"/>
      <c r="O601" s="491" t="n"/>
      <c r="P601" s="491" t="n"/>
      <c r="Q601" s="491" t="n"/>
      <c r="R601" s="491" t="n"/>
      <c r="S601" s="491" t="n"/>
      <c r="T601" s="491" t="n"/>
      <c r="U601" s="491" t="n"/>
      <c r="V601" s="491" t="n"/>
      <c r="W601" s="491" t="n"/>
      <c r="X601" s="491" t="n"/>
      <c r="Y601" s="491" t="n"/>
      <c r="Z601" s="491" t="n"/>
    </row>
    <row r="602" ht="12.75" customHeight="1" s="398">
      <c r="A602" s="491" t="n"/>
      <c r="B602" s="491" t="n"/>
      <c r="C602" s="491" t="n"/>
      <c r="D602" s="491" t="n"/>
      <c r="E602" s="491" t="n"/>
      <c r="F602" s="491" t="n"/>
      <c r="G602" s="491" t="n"/>
      <c r="H602" s="491" t="n"/>
      <c r="I602" s="491" t="n"/>
      <c r="J602" s="491" t="n"/>
      <c r="K602" s="491" t="n"/>
      <c r="L602" s="491" t="n"/>
      <c r="M602" s="491" t="n"/>
      <c r="N602" s="491" t="n"/>
      <c r="O602" s="491" t="n"/>
      <c r="P602" s="491" t="n"/>
      <c r="Q602" s="491" t="n"/>
      <c r="R602" s="491" t="n"/>
      <c r="S602" s="491" t="n"/>
      <c r="T602" s="491" t="n"/>
      <c r="U602" s="491" t="n"/>
      <c r="V602" s="491" t="n"/>
      <c r="W602" s="491" t="n"/>
      <c r="X602" s="491" t="n"/>
      <c r="Y602" s="491" t="n"/>
      <c r="Z602" s="491" t="n"/>
    </row>
    <row r="603" ht="12.75" customHeight="1" s="398">
      <c r="A603" s="491" t="n"/>
      <c r="B603" s="491" t="n"/>
      <c r="C603" s="491" t="n"/>
      <c r="D603" s="491" t="n"/>
      <c r="E603" s="491" t="n"/>
      <c r="F603" s="491" t="n"/>
      <c r="G603" s="491" t="n"/>
      <c r="H603" s="491" t="n"/>
      <c r="I603" s="491" t="n"/>
      <c r="J603" s="491" t="n"/>
      <c r="K603" s="491" t="n"/>
      <c r="L603" s="491" t="n"/>
      <c r="M603" s="491" t="n"/>
      <c r="N603" s="491" t="n"/>
      <c r="O603" s="491" t="n"/>
      <c r="P603" s="491" t="n"/>
      <c r="Q603" s="491" t="n"/>
      <c r="R603" s="491" t="n"/>
      <c r="S603" s="491" t="n"/>
      <c r="T603" s="491" t="n"/>
      <c r="U603" s="491" t="n"/>
      <c r="V603" s="491" t="n"/>
      <c r="W603" s="491" t="n"/>
      <c r="X603" s="491" t="n"/>
      <c r="Y603" s="491" t="n"/>
      <c r="Z603" s="491" t="n"/>
    </row>
    <row r="604" ht="12.75" customHeight="1" s="398">
      <c r="A604" s="491" t="n"/>
      <c r="B604" s="491" t="n"/>
      <c r="C604" s="491" t="n"/>
      <c r="D604" s="491" t="n"/>
      <c r="E604" s="491" t="n"/>
      <c r="F604" s="491" t="n"/>
      <c r="G604" s="491" t="n"/>
      <c r="H604" s="491" t="n"/>
      <c r="I604" s="491" t="n"/>
      <c r="J604" s="491" t="n"/>
      <c r="K604" s="491" t="n"/>
      <c r="L604" s="491" t="n"/>
      <c r="M604" s="491" t="n"/>
      <c r="N604" s="491" t="n"/>
      <c r="O604" s="491" t="n"/>
      <c r="P604" s="491" t="n"/>
      <c r="Q604" s="491" t="n"/>
      <c r="R604" s="491" t="n"/>
      <c r="S604" s="491" t="n"/>
      <c r="T604" s="491" t="n"/>
      <c r="U604" s="491" t="n"/>
      <c r="V604" s="491" t="n"/>
      <c r="W604" s="491" t="n"/>
      <c r="X604" s="491" t="n"/>
      <c r="Y604" s="491" t="n"/>
      <c r="Z604" s="491" t="n"/>
    </row>
    <row r="605" ht="12.75" customHeight="1" s="398">
      <c r="A605" s="491" t="n"/>
      <c r="B605" s="491" t="n"/>
      <c r="C605" s="491" t="n"/>
      <c r="D605" s="491" t="n"/>
      <c r="E605" s="491" t="n"/>
      <c r="F605" s="491" t="n"/>
      <c r="G605" s="491" t="n"/>
      <c r="H605" s="491" t="n"/>
      <c r="I605" s="491" t="n"/>
      <c r="J605" s="491" t="n"/>
      <c r="K605" s="491" t="n"/>
      <c r="L605" s="491" t="n"/>
      <c r="M605" s="491" t="n"/>
      <c r="N605" s="491" t="n"/>
      <c r="O605" s="491" t="n"/>
      <c r="P605" s="491" t="n"/>
      <c r="Q605" s="491" t="n"/>
      <c r="R605" s="491" t="n"/>
      <c r="S605" s="491" t="n"/>
      <c r="T605" s="491" t="n"/>
      <c r="U605" s="491" t="n"/>
      <c r="V605" s="491" t="n"/>
      <c r="W605" s="491" t="n"/>
      <c r="X605" s="491" t="n"/>
      <c r="Y605" s="491" t="n"/>
      <c r="Z605" s="491" t="n"/>
    </row>
    <row r="606" ht="12.75" customHeight="1" s="398">
      <c r="A606" s="491" t="n"/>
      <c r="B606" s="491" t="n"/>
      <c r="C606" s="491" t="n"/>
      <c r="D606" s="491" t="n"/>
      <c r="E606" s="491" t="n"/>
      <c r="F606" s="491" t="n"/>
      <c r="G606" s="491" t="n"/>
      <c r="H606" s="491" t="n"/>
      <c r="I606" s="491" t="n"/>
      <c r="J606" s="491" t="n"/>
      <c r="K606" s="491" t="n"/>
      <c r="L606" s="491" t="n"/>
      <c r="M606" s="491" t="n"/>
      <c r="N606" s="491" t="n"/>
      <c r="O606" s="491" t="n"/>
      <c r="P606" s="491" t="n"/>
      <c r="Q606" s="491" t="n"/>
      <c r="R606" s="491" t="n"/>
      <c r="S606" s="491" t="n"/>
      <c r="T606" s="491" t="n"/>
      <c r="U606" s="491" t="n"/>
      <c r="V606" s="491" t="n"/>
      <c r="W606" s="491" t="n"/>
      <c r="X606" s="491" t="n"/>
      <c r="Y606" s="491" t="n"/>
      <c r="Z606" s="491" t="n"/>
    </row>
    <row r="607" ht="12.75" customHeight="1" s="398">
      <c r="A607" s="491" t="n"/>
      <c r="B607" s="491" t="n"/>
      <c r="C607" s="491" t="n"/>
      <c r="D607" s="491" t="n"/>
      <c r="E607" s="491" t="n"/>
      <c r="F607" s="491" t="n"/>
      <c r="G607" s="491" t="n"/>
      <c r="H607" s="491" t="n"/>
      <c r="I607" s="491" t="n"/>
      <c r="J607" s="491" t="n"/>
      <c r="K607" s="491" t="n"/>
      <c r="L607" s="491" t="n"/>
      <c r="M607" s="491" t="n"/>
      <c r="N607" s="491" t="n"/>
      <c r="O607" s="491" t="n"/>
      <c r="P607" s="491" t="n"/>
      <c r="Q607" s="491" t="n"/>
      <c r="R607" s="491" t="n"/>
      <c r="S607" s="491" t="n"/>
      <c r="T607" s="491" t="n"/>
      <c r="U607" s="491" t="n"/>
      <c r="V607" s="491" t="n"/>
      <c r="W607" s="491" t="n"/>
      <c r="X607" s="491" t="n"/>
      <c r="Y607" s="491" t="n"/>
      <c r="Z607" s="491" t="n"/>
    </row>
    <row r="608" ht="12.75" customHeight="1" s="398">
      <c r="A608" s="491" t="n"/>
      <c r="B608" s="491" t="n"/>
      <c r="C608" s="491" t="n"/>
      <c r="D608" s="491" t="n"/>
      <c r="E608" s="491" t="n"/>
      <c r="F608" s="491" t="n"/>
      <c r="G608" s="491" t="n"/>
      <c r="H608" s="491" t="n"/>
      <c r="I608" s="491" t="n"/>
      <c r="J608" s="491" t="n"/>
      <c r="K608" s="491" t="n"/>
      <c r="L608" s="491" t="n"/>
      <c r="M608" s="491" t="n"/>
      <c r="N608" s="491" t="n"/>
      <c r="O608" s="491" t="n"/>
      <c r="P608" s="491" t="n"/>
      <c r="Q608" s="491" t="n"/>
      <c r="R608" s="491" t="n"/>
      <c r="S608" s="491" t="n"/>
      <c r="T608" s="491" t="n"/>
      <c r="U608" s="491" t="n"/>
      <c r="V608" s="491" t="n"/>
      <c r="W608" s="491" t="n"/>
      <c r="X608" s="491" t="n"/>
      <c r="Y608" s="491" t="n"/>
      <c r="Z608" s="491" t="n"/>
    </row>
    <row r="609" ht="12.75" customHeight="1" s="398">
      <c r="A609" s="491" t="n"/>
      <c r="B609" s="491" t="n"/>
      <c r="C609" s="491" t="n"/>
      <c r="D609" s="491" t="n"/>
      <c r="E609" s="491" t="n"/>
      <c r="F609" s="491" t="n"/>
      <c r="G609" s="491" t="n"/>
      <c r="H609" s="491" t="n"/>
      <c r="I609" s="491" t="n"/>
      <c r="J609" s="491" t="n"/>
      <c r="K609" s="491" t="n"/>
      <c r="L609" s="491" t="n"/>
      <c r="M609" s="491" t="n"/>
      <c r="N609" s="491" t="n"/>
      <c r="O609" s="491" t="n"/>
      <c r="P609" s="491" t="n"/>
      <c r="Q609" s="491" t="n"/>
      <c r="R609" s="491" t="n"/>
      <c r="S609" s="491" t="n"/>
      <c r="T609" s="491" t="n"/>
      <c r="U609" s="491" t="n"/>
      <c r="V609" s="491" t="n"/>
      <c r="W609" s="491" t="n"/>
      <c r="X609" s="491" t="n"/>
      <c r="Y609" s="491" t="n"/>
      <c r="Z609" s="491" t="n"/>
    </row>
    <row r="610" ht="12.75" customHeight="1" s="398">
      <c r="A610" s="491" t="n"/>
      <c r="B610" s="491" t="n"/>
      <c r="C610" s="491" t="n"/>
      <c r="D610" s="491" t="n"/>
      <c r="E610" s="491" t="n"/>
      <c r="F610" s="491" t="n"/>
      <c r="G610" s="491" t="n"/>
      <c r="H610" s="491" t="n"/>
      <c r="I610" s="491" t="n"/>
      <c r="J610" s="491" t="n"/>
      <c r="K610" s="491" t="n"/>
      <c r="L610" s="491" t="n"/>
      <c r="M610" s="491" t="n"/>
      <c r="N610" s="491" t="n"/>
      <c r="O610" s="491" t="n"/>
      <c r="P610" s="491" t="n"/>
      <c r="Q610" s="491" t="n"/>
      <c r="R610" s="491" t="n"/>
      <c r="S610" s="491" t="n"/>
      <c r="T610" s="491" t="n"/>
      <c r="U610" s="491" t="n"/>
      <c r="V610" s="491" t="n"/>
      <c r="W610" s="491" t="n"/>
      <c r="X610" s="491" t="n"/>
      <c r="Y610" s="491" t="n"/>
      <c r="Z610" s="491" t="n"/>
    </row>
    <row r="611" ht="12.75" customHeight="1" s="398">
      <c r="A611" s="491" t="n"/>
      <c r="B611" s="491" t="n"/>
      <c r="C611" s="491" t="n"/>
      <c r="D611" s="491" t="n"/>
      <c r="E611" s="491" t="n"/>
      <c r="F611" s="491" t="n"/>
      <c r="G611" s="491" t="n"/>
      <c r="H611" s="491" t="n"/>
      <c r="I611" s="491" t="n"/>
      <c r="J611" s="491" t="n"/>
      <c r="K611" s="491" t="n"/>
      <c r="L611" s="491" t="n"/>
      <c r="M611" s="491" t="n"/>
      <c r="N611" s="491" t="n"/>
      <c r="O611" s="491" t="n"/>
      <c r="P611" s="491" t="n"/>
      <c r="Q611" s="491" t="n"/>
      <c r="R611" s="491" t="n"/>
      <c r="S611" s="491" t="n"/>
      <c r="T611" s="491" t="n"/>
      <c r="U611" s="491" t="n"/>
      <c r="V611" s="491" t="n"/>
      <c r="W611" s="491" t="n"/>
      <c r="X611" s="491" t="n"/>
      <c r="Y611" s="491" t="n"/>
      <c r="Z611" s="491" t="n"/>
    </row>
    <row r="612" ht="12.75" customHeight="1" s="398">
      <c r="A612" s="491" t="n"/>
      <c r="B612" s="491" t="n"/>
      <c r="C612" s="491" t="n"/>
      <c r="D612" s="491" t="n"/>
      <c r="E612" s="491" t="n"/>
      <c r="F612" s="491" t="n"/>
      <c r="G612" s="491" t="n"/>
      <c r="H612" s="491" t="n"/>
      <c r="I612" s="491" t="n"/>
      <c r="J612" s="491" t="n"/>
      <c r="K612" s="491" t="n"/>
      <c r="L612" s="491" t="n"/>
      <c r="M612" s="491" t="n"/>
      <c r="N612" s="491" t="n"/>
      <c r="O612" s="491" t="n"/>
      <c r="P612" s="491" t="n"/>
      <c r="Q612" s="491" t="n"/>
      <c r="R612" s="491" t="n"/>
      <c r="S612" s="491" t="n"/>
      <c r="T612" s="491" t="n"/>
      <c r="U612" s="491" t="n"/>
      <c r="V612" s="491" t="n"/>
      <c r="W612" s="491" t="n"/>
      <c r="X612" s="491" t="n"/>
      <c r="Y612" s="491" t="n"/>
      <c r="Z612" s="491" t="n"/>
    </row>
    <row r="613" ht="12.75" customHeight="1" s="398">
      <c r="A613" s="491" t="n"/>
      <c r="B613" s="491" t="n"/>
      <c r="C613" s="491" t="n"/>
      <c r="D613" s="491" t="n"/>
      <c r="E613" s="491" t="n"/>
      <c r="F613" s="491" t="n"/>
      <c r="G613" s="491" t="n"/>
      <c r="H613" s="491" t="n"/>
      <c r="I613" s="491" t="n"/>
      <c r="J613" s="491" t="n"/>
      <c r="K613" s="491" t="n"/>
      <c r="L613" s="491" t="n"/>
      <c r="M613" s="491" t="n"/>
      <c r="N613" s="491" t="n"/>
      <c r="O613" s="491" t="n"/>
      <c r="P613" s="491" t="n"/>
      <c r="Q613" s="491" t="n"/>
      <c r="R613" s="491" t="n"/>
      <c r="S613" s="491" t="n"/>
      <c r="T613" s="491" t="n"/>
      <c r="U613" s="491" t="n"/>
      <c r="V613" s="491" t="n"/>
      <c r="W613" s="491" t="n"/>
      <c r="X613" s="491" t="n"/>
      <c r="Y613" s="491" t="n"/>
      <c r="Z613" s="491" t="n"/>
    </row>
    <row r="614" ht="12.75" customHeight="1" s="398">
      <c r="A614" s="491" t="n"/>
      <c r="B614" s="491" t="n"/>
      <c r="C614" s="491" t="n"/>
      <c r="D614" s="491" t="n"/>
      <c r="E614" s="491" t="n"/>
      <c r="F614" s="491" t="n"/>
      <c r="G614" s="491" t="n"/>
      <c r="H614" s="491" t="n"/>
      <c r="I614" s="491" t="n"/>
      <c r="J614" s="491" t="n"/>
      <c r="K614" s="491" t="n"/>
      <c r="L614" s="491" t="n"/>
      <c r="M614" s="491" t="n"/>
      <c r="N614" s="491" t="n"/>
      <c r="O614" s="491" t="n"/>
      <c r="P614" s="491" t="n"/>
      <c r="Q614" s="491" t="n"/>
      <c r="R614" s="491" t="n"/>
      <c r="S614" s="491" t="n"/>
      <c r="T614" s="491" t="n"/>
      <c r="U614" s="491" t="n"/>
      <c r="V614" s="491" t="n"/>
      <c r="W614" s="491" t="n"/>
      <c r="X614" s="491" t="n"/>
      <c r="Y614" s="491" t="n"/>
      <c r="Z614" s="491" t="n"/>
    </row>
    <row r="615" ht="12.75" customHeight="1" s="398">
      <c r="A615" s="491" t="n"/>
      <c r="B615" s="491" t="n"/>
      <c r="C615" s="491" t="n"/>
      <c r="D615" s="491" t="n"/>
      <c r="E615" s="491" t="n"/>
      <c r="F615" s="491" t="n"/>
      <c r="G615" s="491" t="n"/>
      <c r="H615" s="491" t="n"/>
      <c r="I615" s="491" t="n"/>
      <c r="J615" s="491" t="n"/>
      <c r="K615" s="491" t="n"/>
      <c r="L615" s="491" t="n"/>
      <c r="M615" s="491" t="n"/>
      <c r="N615" s="491" t="n"/>
      <c r="O615" s="491" t="n"/>
      <c r="P615" s="491" t="n"/>
      <c r="Q615" s="491" t="n"/>
      <c r="R615" s="491" t="n"/>
      <c r="S615" s="491" t="n"/>
      <c r="T615" s="491" t="n"/>
      <c r="U615" s="491" t="n"/>
      <c r="V615" s="491" t="n"/>
      <c r="W615" s="491" t="n"/>
      <c r="X615" s="491" t="n"/>
      <c r="Y615" s="491" t="n"/>
      <c r="Z615" s="491" t="n"/>
    </row>
    <row r="616" ht="12.75" customHeight="1" s="398">
      <c r="A616" s="491" t="n"/>
      <c r="B616" s="491" t="n"/>
      <c r="C616" s="491" t="n"/>
      <c r="D616" s="491" t="n"/>
      <c r="E616" s="491" t="n"/>
      <c r="F616" s="491" t="n"/>
      <c r="G616" s="491" t="n"/>
      <c r="H616" s="491" t="n"/>
      <c r="I616" s="491" t="n"/>
      <c r="J616" s="491" t="n"/>
      <c r="K616" s="491" t="n"/>
      <c r="L616" s="491" t="n"/>
      <c r="M616" s="491" t="n"/>
      <c r="N616" s="491" t="n"/>
      <c r="O616" s="491" t="n"/>
      <c r="P616" s="491" t="n"/>
      <c r="Q616" s="491" t="n"/>
      <c r="R616" s="491" t="n"/>
      <c r="S616" s="491" t="n"/>
      <c r="T616" s="491" t="n"/>
      <c r="U616" s="491" t="n"/>
      <c r="V616" s="491" t="n"/>
      <c r="W616" s="491" t="n"/>
      <c r="X616" s="491" t="n"/>
      <c r="Y616" s="491" t="n"/>
      <c r="Z616" s="491" t="n"/>
    </row>
    <row r="617" ht="12.75" customHeight="1" s="398">
      <c r="A617" s="491" t="n"/>
      <c r="B617" s="491" t="n"/>
      <c r="C617" s="491" t="n"/>
      <c r="D617" s="491" t="n"/>
      <c r="E617" s="491" t="n"/>
      <c r="F617" s="491" t="n"/>
      <c r="G617" s="491" t="n"/>
      <c r="H617" s="491" t="n"/>
      <c r="I617" s="491" t="n"/>
      <c r="J617" s="491" t="n"/>
      <c r="K617" s="491" t="n"/>
      <c r="L617" s="491" t="n"/>
      <c r="M617" s="491" t="n"/>
      <c r="N617" s="491" t="n"/>
      <c r="O617" s="491" t="n"/>
      <c r="P617" s="491" t="n"/>
      <c r="Q617" s="491" t="n"/>
      <c r="R617" s="491" t="n"/>
      <c r="S617" s="491" t="n"/>
      <c r="T617" s="491" t="n"/>
      <c r="U617" s="491" t="n"/>
      <c r="V617" s="491" t="n"/>
      <c r="W617" s="491" t="n"/>
      <c r="X617" s="491" t="n"/>
      <c r="Y617" s="491" t="n"/>
      <c r="Z617" s="491" t="n"/>
    </row>
    <row r="618" ht="12.75" customHeight="1" s="398">
      <c r="A618" s="491" t="n"/>
      <c r="B618" s="491" t="n"/>
      <c r="C618" s="491" t="n"/>
      <c r="D618" s="491" t="n"/>
      <c r="E618" s="491" t="n"/>
      <c r="F618" s="491" t="n"/>
      <c r="G618" s="491" t="n"/>
      <c r="H618" s="491" t="n"/>
      <c r="I618" s="491" t="n"/>
      <c r="J618" s="491" t="n"/>
      <c r="K618" s="491" t="n"/>
      <c r="L618" s="491" t="n"/>
      <c r="M618" s="491" t="n"/>
      <c r="N618" s="491" t="n"/>
      <c r="O618" s="491" t="n"/>
      <c r="P618" s="491" t="n"/>
      <c r="Q618" s="491" t="n"/>
      <c r="R618" s="491" t="n"/>
      <c r="S618" s="491" t="n"/>
      <c r="T618" s="491" t="n"/>
      <c r="U618" s="491" t="n"/>
      <c r="V618" s="491" t="n"/>
      <c r="W618" s="491" t="n"/>
      <c r="X618" s="491" t="n"/>
      <c r="Y618" s="491" t="n"/>
      <c r="Z618" s="491" t="n"/>
    </row>
    <row r="619" ht="12.75" customHeight="1" s="398">
      <c r="A619" s="491" t="n"/>
      <c r="B619" s="491" t="n"/>
      <c r="C619" s="491" t="n"/>
      <c r="D619" s="491" t="n"/>
      <c r="E619" s="491" t="n"/>
      <c r="F619" s="491" t="n"/>
      <c r="G619" s="491" t="n"/>
      <c r="H619" s="491" t="n"/>
      <c r="I619" s="491" t="n"/>
      <c r="J619" s="491" t="n"/>
      <c r="K619" s="491" t="n"/>
      <c r="L619" s="491" t="n"/>
      <c r="M619" s="491" t="n"/>
      <c r="N619" s="491" t="n"/>
      <c r="O619" s="491" t="n"/>
      <c r="P619" s="491" t="n"/>
      <c r="Q619" s="491" t="n"/>
      <c r="R619" s="491" t="n"/>
      <c r="S619" s="491" t="n"/>
      <c r="T619" s="491" t="n"/>
      <c r="U619" s="491" t="n"/>
      <c r="V619" s="491" t="n"/>
      <c r="W619" s="491" t="n"/>
      <c r="X619" s="491" t="n"/>
      <c r="Y619" s="491" t="n"/>
      <c r="Z619" s="491" t="n"/>
    </row>
    <row r="620" ht="12.75" customHeight="1" s="398">
      <c r="A620" s="491" t="n"/>
      <c r="B620" s="491" t="n"/>
      <c r="C620" s="491" t="n"/>
      <c r="D620" s="491" t="n"/>
      <c r="E620" s="491" t="n"/>
      <c r="F620" s="491" t="n"/>
      <c r="G620" s="491" t="n"/>
      <c r="H620" s="491" t="n"/>
      <c r="I620" s="491" t="n"/>
      <c r="J620" s="491" t="n"/>
      <c r="K620" s="491" t="n"/>
      <c r="L620" s="491" t="n"/>
      <c r="M620" s="491" t="n"/>
      <c r="N620" s="491" t="n"/>
      <c r="O620" s="491" t="n"/>
      <c r="P620" s="491" t="n"/>
      <c r="Q620" s="491" t="n"/>
      <c r="R620" s="491" t="n"/>
      <c r="S620" s="491" t="n"/>
      <c r="T620" s="491" t="n"/>
      <c r="U620" s="491" t="n"/>
      <c r="V620" s="491" t="n"/>
      <c r="W620" s="491" t="n"/>
      <c r="X620" s="491" t="n"/>
      <c r="Y620" s="491" t="n"/>
      <c r="Z620" s="491" t="n"/>
    </row>
    <row r="621" ht="12.75" customHeight="1" s="398">
      <c r="A621" s="491" t="n"/>
      <c r="B621" s="491" t="n"/>
      <c r="C621" s="491" t="n"/>
      <c r="D621" s="491" t="n"/>
      <c r="E621" s="491" t="n"/>
      <c r="F621" s="491" t="n"/>
      <c r="G621" s="491" t="n"/>
      <c r="H621" s="491" t="n"/>
      <c r="I621" s="491" t="n"/>
      <c r="J621" s="491" t="n"/>
      <c r="K621" s="491" t="n"/>
      <c r="L621" s="491" t="n"/>
      <c r="M621" s="491" t="n"/>
      <c r="N621" s="491" t="n"/>
      <c r="O621" s="491" t="n"/>
      <c r="P621" s="491" t="n"/>
      <c r="Q621" s="491" t="n"/>
      <c r="R621" s="491" t="n"/>
      <c r="S621" s="491" t="n"/>
      <c r="T621" s="491" t="n"/>
      <c r="U621" s="491" t="n"/>
      <c r="V621" s="491" t="n"/>
      <c r="W621" s="491" t="n"/>
      <c r="X621" s="491" t="n"/>
      <c r="Y621" s="491" t="n"/>
      <c r="Z621" s="491" t="n"/>
    </row>
    <row r="622" ht="12.75" customHeight="1" s="398">
      <c r="A622" s="491" t="n"/>
      <c r="B622" s="491" t="n"/>
      <c r="C622" s="491" t="n"/>
      <c r="D622" s="491" t="n"/>
      <c r="E622" s="491" t="n"/>
      <c r="F622" s="491" t="n"/>
      <c r="G622" s="491" t="n"/>
      <c r="H622" s="491" t="n"/>
      <c r="I622" s="491" t="n"/>
      <c r="J622" s="491" t="n"/>
      <c r="K622" s="491" t="n"/>
      <c r="L622" s="491" t="n"/>
      <c r="M622" s="491" t="n"/>
      <c r="N622" s="491" t="n"/>
      <c r="O622" s="491" t="n"/>
      <c r="P622" s="491" t="n"/>
      <c r="Q622" s="491" t="n"/>
      <c r="R622" s="491" t="n"/>
      <c r="S622" s="491" t="n"/>
      <c r="T622" s="491" t="n"/>
      <c r="U622" s="491" t="n"/>
      <c r="V622" s="491" t="n"/>
      <c r="W622" s="491" t="n"/>
      <c r="X622" s="491" t="n"/>
      <c r="Y622" s="491" t="n"/>
      <c r="Z622" s="491" t="n"/>
    </row>
    <row r="623" ht="12.75" customHeight="1" s="398">
      <c r="A623" s="491" t="n"/>
      <c r="B623" s="491" t="n"/>
      <c r="C623" s="491" t="n"/>
      <c r="D623" s="491" t="n"/>
      <c r="E623" s="491" t="n"/>
      <c r="F623" s="491" t="n"/>
      <c r="G623" s="491" t="n"/>
      <c r="H623" s="491" t="n"/>
      <c r="I623" s="491" t="n"/>
      <c r="J623" s="491" t="n"/>
      <c r="K623" s="491" t="n"/>
      <c r="L623" s="491" t="n"/>
      <c r="M623" s="491" t="n"/>
      <c r="N623" s="491" t="n"/>
      <c r="O623" s="491" t="n"/>
      <c r="P623" s="491" t="n"/>
      <c r="Q623" s="491" t="n"/>
      <c r="R623" s="491" t="n"/>
      <c r="S623" s="491" t="n"/>
      <c r="T623" s="491" t="n"/>
      <c r="U623" s="491" t="n"/>
      <c r="V623" s="491" t="n"/>
      <c r="W623" s="491" t="n"/>
      <c r="X623" s="491" t="n"/>
      <c r="Y623" s="491" t="n"/>
      <c r="Z623" s="491" t="n"/>
    </row>
    <row r="624" ht="12.75" customHeight="1" s="398">
      <c r="A624" s="491" t="n"/>
      <c r="B624" s="491" t="n"/>
      <c r="C624" s="491" t="n"/>
      <c r="D624" s="491" t="n"/>
      <c r="E624" s="491" t="n"/>
      <c r="F624" s="491" t="n"/>
      <c r="G624" s="491" t="n"/>
      <c r="H624" s="491" t="n"/>
      <c r="I624" s="491" t="n"/>
      <c r="J624" s="491" t="n"/>
      <c r="K624" s="491" t="n"/>
      <c r="L624" s="491" t="n"/>
      <c r="M624" s="491" t="n"/>
      <c r="N624" s="491" t="n"/>
      <c r="O624" s="491" t="n"/>
      <c r="P624" s="491" t="n"/>
      <c r="Q624" s="491" t="n"/>
      <c r="R624" s="491" t="n"/>
      <c r="S624" s="491" t="n"/>
      <c r="T624" s="491" t="n"/>
      <c r="U624" s="491" t="n"/>
      <c r="V624" s="491" t="n"/>
      <c r="W624" s="491" t="n"/>
      <c r="X624" s="491" t="n"/>
      <c r="Y624" s="491" t="n"/>
      <c r="Z624" s="491" t="n"/>
    </row>
    <row r="625" ht="12.75" customHeight="1" s="398">
      <c r="A625" s="491" t="n"/>
      <c r="B625" s="491" t="n"/>
      <c r="C625" s="491" t="n"/>
      <c r="D625" s="491" t="n"/>
      <c r="E625" s="491" t="n"/>
      <c r="F625" s="491" t="n"/>
      <c r="G625" s="491" t="n"/>
      <c r="H625" s="491" t="n"/>
      <c r="I625" s="491" t="n"/>
      <c r="J625" s="491" t="n"/>
      <c r="K625" s="491" t="n"/>
      <c r="L625" s="491" t="n"/>
      <c r="M625" s="491" t="n"/>
      <c r="N625" s="491" t="n"/>
      <c r="O625" s="491" t="n"/>
      <c r="P625" s="491" t="n"/>
      <c r="Q625" s="491" t="n"/>
      <c r="R625" s="491" t="n"/>
      <c r="S625" s="491" t="n"/>
      <c r="T625" s="491" t="n"/>
      <c r="U625" s="491" t="n"/>
      <c r="V625" s="491" t="n"/>
      <c r="W625" s="491" t="n"/>
      <c r="X625" s="491" t="n"/>
      <c r="Y625" s="491" t="n"/>
      <c r="Z625" s="491" t="n"/>
    </row>
    <row r="626" ht="12.75" customHeight="1" s="398">
      <c r="A626" s="491" t="n"/>
      <c r="B626" s="491" t="n"/>
      <c r="C626" s="491" t="n"/>
      <c r="D626" s="491" t="n"/>
      <c r="E626" s="491" t="n"/>
      <c r="F626" s="491" t="n"/>
      <c r="G626" s="491" t="n"/>
      <c r="H626" s="491" t="n"/>
      <c r="I626" s="491" t="n"/>
      <c r="J626" s="491" t="n"/>
      <c r="K626" s="491" t="n"/>
      <c r="L626" s="491" t="n"/>
      <c r="M626" s="491" t="n"/>
      <c r="N626" s="491" t="n"/>
      <c r="O626" s="491" t="n"/>
      <c r="P626" s="491" t="n"/>
      <c r="Q626" s="491" t="n"/>
      <c r="R626" s="491" t="n"/>
      <c r="S626" s="491" t="n"/>
      <c r="T626" s="491" t="n"/>
      <c r="U626" s="491" t="n"/>
      <c r="V626" s="491" t="n"/>
      <c r="W626" s="491" t="n"/>
      <c r="X626" s="491" t="n"/>
      <c r="Y626" s="491" t="n"/>
      <c r="Z626" s="491" t="n"/>
    </row>
    <row r="627" ht="12.75" customHeight="1" s="398">
      <c r="A627" s="491" t="n"/>
      <c r="B627" s="491" t="n"/>
      <c r="C627" s="491" t="n"/>
      <c r="D627" s="491" t="n"/>
      <c r="E627" s="491" t="n"/>
      <c r="F627" s="491" t="n"/>
      <c r="G627" s="491" t="n"/>
      <c r="H627" s="491" t="n"/>
      <c r="I627" s="491" t="n"/>
      <c r="J627" s="491" t="n"/>
      <c r="K627" s="491" t="n"/>
      <c r="L627" s="491" t="n"/>
      <c r="M627" s="491" t="n"/>
      <c r="N627" s="491" t="n"/>
      <c r="O627" s="491" t="n"/>
      <c r="P627" s="491" t="n"/>
      <c r="Q627" s="491" t="n"/>
      <c r="R627" s="491" t="n"/>
      <c r="S627" s="491" t="n"/>
      <c r="T627" s="491" t="n"/>
      <c r="U627" s="491" t="n"/>
      <c r="V627" s="491" t="n"/>
      <c r="W627" s="491" t="n"/>
      <c r="X627" s="491" t="n"/>
      <c r="Y627" s="491" t="n"/>
      <c r="Z627" s="491" t="n"/>
    </row>
    <row r="628" ht="12.75" customHeight="1" s="398">
      <c r="A628" s="491" t="n"/>
      <c r="B628" s="491" t="n"/>
      <c r="C628" s="491" t="n"/>
      <c r="D628" s="491" t="n"/>
      <c r="E628" s="491" t="n"/>
      <c r="F628" s="491" t="n"/>
      <c r="G628" s="491" t="n"/>
      <c r="H628" s="491" t="n"/>
      <c r="I628" s="491" t="n"/>
      <c r="J628" s="491" t="n"/>
      <c r="K628" s="491" t="n"/>
      <c r="L628" s="491" t="n"/>
      <c r="M628" s="491" t="n"/>
      <c r="N628" s="491" t="n"/>
      <c r="O628" s="491" t="n"/>
      <c r="P628" s="491" t="n"/>
      <c r="Q628" s="491" t="n"/>
      <c r="R628" s="491" t="n"/>
      <c r="S628" s="491" t="n"/>
      <c r="T628" s="491" t="n"/>
      <c r="U628" s="491" t="n"/>
      <c r="V628" s="491" t="n"/>
      <c r="W628" s="491" t="n"/>
      <c r="X628" s="491" t="n"/>
      <c r="Y628" s="491" t="n"/>
      <c r="Z628" s="491" t="n"/>
    </row>
    <row r="629" ht="12.75" customHeight="1" s="398">
      <c r="A629" s="491" t="n"/>
      <c r="B629" s="491" t="n"/>
      <c r="C629" s="491" t="n"/>
      <c r="D629" s="491" t="n"/>
      <c r="E629" s="491" t="n"/>
      <c r="F629" s="491" t="n"/>
      <c r="G629" s="491" t="n"/>
      <c r="H629" s="491" t="n"/>
      <c r="I629" s="491" t="n"/>
      <c r="J629" s="491" t="n"/>
      <c r="K629" s="491" t="n"/>
      <c r="L629" s="491" t="n"/>
      <c r="M629" s="491" t="n"/>
      <c r="N629" s="491" t="n"/>
      <c r="O629" s="491" t="n"/>
      <c r="P629" s="491" t="n"/>
      <c r="Q629" s="491" t="n"/>
      <c r="R629" s="491" t="n"/>
      <c r="S629" s="491" t="n"/>
      <c r="T629" s="491" t="n"/>
      <c r="U629" s="491" t="n"/>
      <c r="V629" s="491" t="n"/>
      <c r="W629" s="491" t="n"/>
      <c r="X629" s="491" t="n"/>
      <c r="Y629" s="491" t="n"/>
      <c r="Z629" s="491" t="n"/>
    </row>
    <row r="630" ht="12.75" customHeight="1" s="398">
      <c r="A630" s="491" t="n"/>
      <c r="B630" s="491" t="n"/>
      <c r="C630" s="491" t="n"/>
      <c r="D630" s="491" t="n"/>
      <c r="E630" s="491" t="n"/>
      <c r="F630" s="491" t="n"/>
      <c r="G630" s="491" t="n"/>
      <c r="H630" s="491" t="n"/>
      <c r="I630" s="491" t="n"/>
      <c r="J630" s="491" t="n"/>
      <c r="K630" s="491" t="n"/>
      <c r="L630" s="491" t="n"/>
      <c r="M630" s="491" t="n"/>
      <c r="N630" s="491" t="n"/>
      <c r="O630" s="491" t="n"/>
      <c r="P630" s="491" t="n"/>
      <c r="Q630" s="491" t="n"/>
      <c r="R630" s="491" t="n"/>
      <c r="S630" s="491" t="n"/>
      <c r="T630" s="491" t="n"/>
      <c r="U630" s="491" t="n"/>
      <c r="V630" s="491" t="n"/>
      <c r="W630" s="491" t="n"/>
      <c r="X630" s="491" t="n"/>
      <c r="Y630" s="491" t="n"/>
      <c r="Z630" s="491" t="n"/>
    </row>
    <row r="631" ht="12.75" customHeight="1" s="398">
      <c r="A631" s="491" t="n"/>
      <c r="B631" s="491" t="n"/>
      <c r="C631" s="491" t="n"/>
      <c r="D631" s="491" t="n"/>
      <c r="E631" s="491" t="n"/>
      <c r="F631" s="491" t="n"/>
      <c r="G631" s="491" t="n"/>
      <c r="H631" s="491" t="n"/>
      <c r="I631" s="491" t="n"/>
      <c r="J631" s="491" t="n"/>
      <c r="K631" s="491" t="n"/>
      <c r="L631" s="491" t="n"/>
      <c r="M631" s="491" t="n"/>
      <c r="N631" s="491" t="n"/>
      <c r="O631" s="491" t="n"/>
      <c r="P631" s="491" t="n"/>
      <c r="Q631" s="491" t="n"/>
      <c r="R631" s="491" t="n"/>
      <c r="S631" s="491" t="n"/>
      <c r="T631" s="491" t="n"/>
      <c r="U631" s="491" t="n"/>
      <c r="V631" s="491" t="n"/>
      <c r="W631" s="491" t="n"/>
      <c r="X631" s="491" t="n"/>
      <c r="Y631" s="491" t="n"/>
      <c r="Z631" s="491" t="n"/>
    </row>
    <row r="632" ht="12.75" customHeight="1" s="398">
      <c r="A632" s="491" t="n"/>
      <c r="B632" s="491" t="n"/>
      <c r="C632" s="491" t="n"/>
      <c r="D632" s="491" t="n"/>
      <c r="E632" s="491" t="n"/>
      <c r="F632" s="491" t="n"/>
      <c r="G632" s="491" t="n"/>
      <c r="H632" s="491" t="n"/>
      <c r="I632" s="491" t="n"/>
      <c r="J632" s="491" t="n"/>
      <c r="K632" s="491" t="n"/>
      <c r="L632" s="491" t="n"/>
      <c r="M632" s="491" t="n"/>
      <c r="N632" s="491" t="n"/>
      <c r="O632" s="491" t="n"/>
      <c r="P632" s="491" t="n"/>
      <c r="Q632" s="491" t="n"/>
      <c r="R632" s="491" t="n"/>
      <c r="S632" s="491" t="n"/>
      <c r="T632" s="491" t="n"/>
      <c r="U632" s="491" t="n"/>
      <c r="V632" s="491" t="n"/>
      <c r="W632" s="491" t="n"/>
      <c r="X632" s="491" t="n"/>
      <c r="Y632" s="491" t="n"/>
      <c r="Z632" s="491" t="n"/>
    </row>
    <row r="633" ht="12.75" customHeight="1" s="398">
      <c r="A633" s="491" t="n"/>
      <c r="B633" s="491" t="n"/>
      <c r="C633" s="491" t="n"/>
      <c r="D633" s="491" t="n"/>
      <c r="E633" s="491" t="n"/>
      <c r="F633" s="491" t="n"/>
      <c r="G633" s="491" t="n"/>
      <c r="H633" s="491" t="n"/>
      <c r="I633" s="491" t="n"/>
      <c r="J633" s="491" t="n"/>
      <c r="K633" s="491" t="n"/>
      <c r="L633" s="491" t="n"/>
      <c r="M633" s="491" t="n"/>
      <c r="N633" s="491" t="n"/>
      <c r="O633" s="491" t="n"/>
      <c r="P633" s="491" t="n"/>
      <c r="Q633" s="491" t="n"/>
      <c r="R633" s="491" t="n"/>
      <c r="S633" s="491" t="n"/>
      <c r="T633" s="491" t="n"/>
      <c r="U633" s="491" t="n"/>
      <c r="V633" s="491" t="n"/>
      <c r="W633" s="491" t="n"/>
      <c r="X633" s="491" t="n"/>
      <c r="Y633" s="491" t="n"/>
      <c r="Z633" s="491" t="n"/>
    </row>
    <row r="634" ht="12.75" customHeight="1" s="398">
      <c r="A634" s="491" t="n"/>
      <c r="B634" s="491" t="n"/>
      <c r="C634" s="491" t="n"/>
      <c r="D634" s="491" t="n"/>
      <c r="E634" s="491" t="n"/>
      <c r="F634" s="491" t="n"/>
      <c r="G634" s="491" t="n"/>
      <c r="H634" s="491" t="n"/>
      <c r="I634" s="491" t="n"/>
      <c r="J634" s="491" t="n"/>
      <c r="K634" s="491" t="n"/>
      <c r="L634" s="491" t="n"/>
      <c r="M634" s="491" t="n"/>
      <c r="N634" s="491" t="n"/>
      <c r="O634" s="491" t="n"/>
      <c r="P634" s="491" t="n"/>
      <c r="Q634" s="491" t="n"/>
      <c r="R634" s="491" t="n"/>
      <c r="S634" s="491" t="n"/>
      <c r="T634" s="491" t="n"/>
      <c r="U634" s="491" t="n"/>
      <c r="V634" s="491" t="n"/>
      <c r="W634" s="491" t="n"/>
      <c r="X634" s="491" t="n"/>
      <c r="Y634" s="491" t="n"/>
      <c r="Z634" s="491" t="n"/>
    </row>
    <row r="635" ht="12.75" customHeight="1" s="398">
      <c r="A635" s="491" t="n"/>
      <c r="B635" s="491" t="n"/>
      <c r="C635" s="491" t="n"/>
      <c r="D635" s="491" t="n"/>
      <c r="E635" s="491" t="n"/>
      <c r="F635" s="491" t="n"/>
      <c r="G635" s="491" t="n"/>
      <c r="H635" s="491" t="n"/>
      <c r="I635" s="491" t="n"/>
      <c r="J635" s="491" t="n"/>
      <c r="K635" s="491" t="n"/>
      <c r="L635" s="491" t="n"/>
      <c r="M635" s="491" t="n"/>
      <c r="N635" s="491" t="n"/>
      <c r="O635" s="491" t="n"/>
      <c r="P635" s="491" t="n"/>
      <c r="Q635" s="491" t="n"/>
      <c r="R635" s="491" t="n"/>
      <c r="S635" s="491" t="n"/>
      <c r="T635" s="491" t="n"/>
      <c r="U635" s="491" t="n"/>
      <c r="V635" s="491" t="n"/>
      <c r="W635" s="491" t="n"/>
      <c r="X635" s="491" t="n"/>
      <c r="Y635" s="491" t="n"/>
      <c r="Z635" s="491" t="n"/>
    </row>
    <row r="636" ht="12.75" customHeight="1" s="398">
      <c r="A636" s="491" t="n"/>
      <c r="B636" s="491" t="n"/>
      <c r="C636" s="491" t="n"/>
      <c r="D636" s="491" t="n"/>
      <c r="E636" s="491" t="n"/>
      <c r="F636" s="491" t="n"/>
      <c r="G636" s="491" t="n"/>
      <c r="H636" s="491" t="n"/>
      <c r="I636" s="491" t="n"/>
      <c r="J636" s="491" t="n"/>
      <c r="K636" s="491" t="n"/>
      <c r="L636" s="491" t="n"/>
      <c r="M636" s="491" t="n"/>
      <c r="N636" s="491" t="n"/>
      <c r="O636" s="491" t="n"/>
      <c r="P636" s="491" t="n"/>
      <c r="Q636" s="491" t="n"/>
      <c r="R636" s="491" t="n"/>
      <c r="S636" s="491" t="n"/>
      <c r="T636" s="491" t="n"/>
      <c r="U636" s="491" t="n"/>
      <c r="V636" s="491" t="n"/>
      <c r="W636" s="491" t="n"/>
      <c r="X636" s="491" t="n"/>
      <c r="Y636" s="491" t="n"/>
      <c r="Z636" s="491" t="n"/>
    </row>
    <row r="637" ht="12.75" customHeight="1" s="398">
      <c r="A637" s="491" t="n"/>
      <c r="B637" s="491" t="n"/>
      <c r="C637" s="491" t="n"/>
      <c r="D637" s="491" t="n"/>
      <c r="E637" s="491" t="n"/>
      <c r="F637" s="491" t="n"/>
      <c r="G637" s="491" t="n"/>
      <c r="H637" s="491" t="n"/>
      <c r="I637" s="491" t="n"/>
      <c r="J637" s="491" t="n"/>
      <c r="K637" s="491" t="n"/>
      <c r="L637" s="491" t="n"/>
      <c r="M637" s="491" t="n"/>
      <c r="N637" s="491" t="n"/>
      <c r="O637" s="491" t="n"/>
      <c r="P637" s="491" t="n"/>
      <c r="Q637" s="491" t="n"/>
      <c r="R637" s="491" t="n"/>
      <c r="S637" s="491" t="n"/>
      <c r="T637" s="491" t="n"/>
      <c r="U637" s="491" t="n"/>
      <c r="V637" s="491" t="n"/>
      <c r="W637" s="491" t="n"/>
      <c r="X637" s="491" t="n"/>
      <c r="Y637" s="491" t="n"/>
      <c r="Z637" s="491" t="n"/>
    </row>
    <row r="638" ht="12.75" customHeight="1" s="398">
      <c r="A638" s="491" t="n"/>
      <c r="B638" s="491" t="n"/>
      <c r="C638" s="491" t="n"/>
      <c r="D638" s="491" t="n"/>
      <c r="E638" s="491" t="n"/>
      <c r="F638" s="491" t="n"/>
      <c r="G638" s="491" t="n"/>
      <c r="H638" s="491" t="n"/>
      <c r="I638" s="491" t="n"/>
      <c r="J638" s="491" t="n"/>
      <c r="K638" s="491" t="n"/>
      <c r="L638" s="491" t="n"/>
      <c r="M638" s="491" t="n"/>
      <c r="N638" s="491" t="n"/>
      <c r="O638" s="491" t="n"/>
      <c r="P638" s="491" t="n"/>
      <c r="Q638" s="491" t="n"/>
      <c r="R638" s="491" t="n"/>
      <c r="S638" s="491" t="n"/>
      <c r="T638" s="491" t="n"/>
      <c r="U638" s="491" t="n"/>
      <c r="V638" s="491" t="n"/>
      <c r="W638" s="491" t="n"/>
      <c r="X638" s="491" t="n"/>
      <c r="Y638" s="491" t="n"/>
      <c r="Z638" s="491" t="n"/>
    </row>
    <row r="639" ht="12.75" customHeight="1" s="398">
      <c r="A639" s="491" t="n"/>
      <c r="B639" s="491" t="n"/>
      <c r="C639" s="491" t="n"/>
      <c r="D639" s="491" t="n"/>
      <c r="E639" s="491" t="n"/>
      <c r="F639" s="491" t="n"/>
      <c r="G639" s="491" t="n"/>
      <c r="H639" s="491" t="n"/>
      <c r="I639" s="491" t="n"/>
      <c r="J639" s="491" t="n"/>
      <c r="K639" s="491" t="n"/>
      <c r="L639" s="491" t="n"/>
      <c r="M639" s="491" t="n"/>
      <c r="N639" s="491" t="n"/>
      <c r="O639" s="491" t="n"/>
      <c r="P639" s="491" t="n"/>
      <c r="Q639" s="491" t="n"/>
      <c r="R639" s="491" t="n"/>
      <c r="S639" s="491" t="n"/>
      <c r="T639" s="491" t="n"/>
      <c r="U639" s="491" t="n"/>
      <c r="V639" s="491" t="n"/>
      <c r="W639" s="491" t="n"/>
      <c r="X639" s="491" t="n"/>
      <c r="Y639" s="491" t="n"/>
      <c r="Z639" s="491" t="n"/>
    </row>
    <row r="640" ht="12.75" customHeight="1" s="398">
      <c r="A640" s="491" t="n"/>
      <c r="B640" s="491" t="n"/>
      <c r="C640" s="491" t="n"/>
      <c r="D640" s="491" t="n"/>
      <c r="E640" s="491" t="n"/>
      <c r="F640" s="491" t="n"/>
      <c r="G640" s="491" t="n"/>
      <c r="H640" s="491" t="n"/>
      <c r="I640" s="491" t="n"/>
      <c r="J640" s="491" t="n"/>
      <c r="K640" s="491" t="n"/>
      <c r="L640" s="491" t="n"/>
      <c r="M640" s="491" t="n"/>
      <c r="N640" s="491" t="n"/>
      <c r="O640" s="491" t="n"/>
      <c r="P640" s="491" t="n"/>
      <c r="Q640" s="491" t="n"/>
      <c r="R640" s="491" t="n"/>
      <c r="S640" s="491" t="n"/>
      <c r="T640" s="491" t="n"/>
      <c r="U640" s="491" t="n"/>
      <c r="V640" s="491" t="n"/>
      <c r="W640" s="491" t="n"/>
      <c r="X640" s="491" t="n"/>
      <c r="Y640" s="491" t="n"/>
      <c r="Z640" s="491" t="n"/>
    </row>
    <row r="641" ht="12.75" customHeight="1" s="398">
      <c r="A641" s="491" t="n"/>
      <c r="B641" s="491" t="n"/>
      <c r="C641" s="491" t="n"/>
      <c r="D641" s="491" t="n"/>
      <c r="E641" s="491" t="n"/>
      <c r="F641" s="491" t="n"/>
      <c r="G641" s="491" t="n"/>
      <c r="H641" s="491" t="n"/>
      <c r="I641" s="491" t="n"/>
      <c r="J641" s="491" t="n"/>
      <c r="K641" s="491" t="n"/>
      <c r="L641" s="491" t="n"/>
      <c r="M641" s="491" t="n"/>
      <c r="N641" s="491" t="n"/>
      <c r="O641" s="491" t="n"/>
      <c r="P641" s="491" t="n"/>
      <c r="Q641" s="491" t="n"/>
      <c r="R641" s="491" t="n"/>
      <c r="S641" s="491" t="n"/>
      <c r="T641" s="491" t="n"/>
      <c r="U641" s="491" t="n"/>
      <c r="V641" s="491" t="n"/>
      <c r="W641" s="491" t="n"/>
      <c r="X641" s="491" t="n"/>
      <c r="Y641" s="491" t="n"/>
      <c r="Z641" s="491" t="n"/>
    </row>
    <row r="642" ht="12.75" customHeight="1" s="398">
      <c r="A642" s="491" t="n"/>
      <c r="B642" s="491" t="n"/>
      <c r="C642" s="491" t="n"/>
      <c r="D642" s="491" t="n"/>
      <c r="E642" s="491" t="n"/>
      <c r="F642" s="491" t="n"/>
      <c r="G642" s="491" t="n"/>
      <c r="H642" s="491" t="n"/>
      <c r="I642" s="491" t="n"/>
      <c r="J642" s="491" t="n"/>
      <c r="K642" s="491" t="n"/>
      <c r="L642" s="491" t="n"/>
      <c r="M642" s="491" t="n"/>
      <c r="N642" s="491" t="n"/>
      <c r="O642" s="491" t="n"/>
      <c r="P642" s="491" t="n"/>
      <c r="Q642" s="491" t="n"/>
      <c r="R642" s="491" t="n"/>
      <c r="S642" s="491" t="n"/>
      <c r="T642" s="491" t="n"/>
      <c r="U642" s="491" t="n"/>
      <c r="V642" s="491" t="n"/>
      <c r="W642" s="491" t="n"/>
      <c r="X642" s="491" t="n"/>
      <c r="Y642" s="491" t="n"/>
      <c r="Z642" s="491" t="n"/>
    </row>
    <row r="643" ht="12.75" customHeight="1" s="398">
      <c r="A643" s="491" t="n"/>
      <c r="B643" s="491" t="n"/>
      <c r="C643" s="491" t="n"/>
      <c r="D643" s="491" t="n"/>
      <c r="E643" s="491" t="n"/>
      <c r="F643" s="491" t="n"/>
      <c r="G643" s="491" t="n"/>
      <c r="H643" s="491" t="n"/>
      <c r="I643" s="491" t="n"/>
      <c r="J643" s="491" t="n"/>
      <c r="K643" s="491" t="n"/>
      <c r="L643" s="491" t="n"/>
      <c r="M643" s="491" t="n"/>
      <c r="N643" s="491" t="n"/>
      <c r="O643" s="491" t="n"/>
      <c r="P643" s="491" t="n"/>
      <c r="Q643" s="491" t="n"/>
      <c r="R643" s="491" t="n"/>
      <c r="S643" s="491" t="n"/>
      <c r="T643" s="491" t="n"/>
      <c r="U643" s="491" t="n"/>
      <c r="V643" s="491" t="n"/>
      <c r="W643" s="491" t="n"/>
      <c r="X643" s="491" t="n"/>
      <c r="Y643" s="491" t="n"/>
      <c r="Z643" s="491" t="n"/>
    </row>
    <row r="644" ht="12.75" customHeight="1" s="398">
      <c r="A644" s="491" t="n"/>
      <c r="B644" s="491" t="n"/>
      <c r="C644" s="491" t="n"/>
      <c r="D644" s="491" t="n"/>
      <c r="E644" s="491" t="n"/>
      <c r="F644" s="491" t="n"/>
      <c r="G644" s="491" t="n"/>
      <c r="H644" s="491" t="n"/>
      <c r="I644" s="491" t="n"/>
      <c r="J644" s="491" t="n"/>
      <c r="K644" s="491" t="n"/>
      <c r="L644" s="491" t="n"/>
      <c r="M644" s="491" t="n"/>
      <c r="N644" s="491" t="n"/>
      <c r="O644" s="491" t="n"/>
      <c r="P644" s="491" t="n"/>
      <c r="Q644" s="491" t="n"/>
      <c r="R644" s="491" t="n"/>
      <c r="S644" s="491" t="n"/>
      <c r="T644" s="491" t="n"/>
      <c r="U644" s="491" t="n"/>
      <c r="V644" s="491" t="n"/>
      <c r="W644" s="491" t="n"/>
      <c r="X644" s="491" t="n"/>
      <c r="Y644" s="491" t="n"/>
      <c r="Z644" s="491" t="n"/>
    </row>
    <row r="645" ht="12.75" customHeight="1" s="398">
      <c r="A645" s="491" t="n"/>
      <c r="B645" s="491" t="n"/>
      <c r="C645" s="491" t="n"/>
      <c r="D645" s="491" t="n"/>
      <c r="E645" s="491" t="n"/>
      <c r="F645" s="491" t="n"/>
      <c r="G645" s="491" t="n"/>
      <c r="H645" s="491" t="n"/>
      <c r="I645" s="491" t="n"/>
      <c r="J645" s="491" t="n"/>
      <c r="K645" s="491" t="n"/>
      <c r="L645" s="491" t="n"/>
      <c r="M645" s="491" t="n"/>
      <c r="N645" s="491" t="n"/>
      <c r="O645" s="491" t="n"/>
      <c r="P645" s="491" t="n"/>
      <c r="Q645" s="491" t="n"/>
      <c r="R645" s="491" t="n"/>
      <c r="S645" s="491" t="n"/>
      <c r="T645" s="491" t="n"/>
      <c r="U645" s="491" t="n"/>
      <c r="V645" s="491" t="n"/>
      <c r="W645" s="491" t="n"/>
      <c r="X645" s="491" t="n"/>
      <c r="Y645" s="491" t="n"/>
      <c r="Z645" s="491" t="n"/>
    </row>
    <row r="646" ht="12.75" customHeight="1" s="398">
      <c r="A646" s="491" t="n"/>
      <c r="B646" s="491" t="n"/>
      <c r="C646" s="491" t="n"/>
      <c r="D646" s="491" t="n"/>
      <c r="E646" s="491" t="n"/>
      <c r="F646" s="491" t="n"/>
      <c r="G646" s="491" t="n"/>
      <c r="H646" s="491" t="n"/>
      <c r="I646" s="491" t="n"/>
      <c r="J646" s="491" t="n"/>
      <c r="K646" s="491" t="n"/>
      <c r="L646" s="491" t="n"/>
      <c r="M646" s="491" t="n"/>
      <c r="N646" s="491" t="n"/>
      <c r="O646" s="491" t="n"/>
      <c r="P646" s="491" t="n"/>
      <c r="Q646" s="491" t="n"/>
      <c r="R646" s="491" t="n"/>
      <c r="S646" s="491" t="n"/>
      <c r="T646" s="491" t="n"/>
      <c r="U646" s="491" t="n"/>
      <c r="V646" s="491" t="n"/>
      <c r="W646" s="491" t="n"/>
      <c r="X646" s="491" t="n"/>
      <c r="Y646" s="491" t="n"/>
      <c r="Z646" s="491" t="n"/>
    </row>
    <row r="647" ht="12.75" customHeight="1" s="398">
      <c r="A647" s="491" t="n"/>
      <c r="B647" s="491" t="n"/>
      <c r="C647" s="491" t="n"/>
      <c r="D647" s="491" t="n"/>
      <c r="E647" s="491" t="n"/>
      <c r="F647" s="491" t="n"/>
      <c r="G647" s="491" t="n"/>
      <c r="H647" s="491" t="n"/>
      <c r="I647" s="491" t="n"/>
      <c r="J647" s="491" t="n"/>
      <c r="K647" s="491" t="n"/>
      <c r="L647" s="491" t="n"/>
      <c r="M647" s="491" t="n"/>
      <c r="N647" s="491" t="n"/>
      <c r="O647" s="491" t="n"/>
      <c r="P647" s="491" t="n"/>
      <c r="Q647" s="491" t="n"/>
      <c r="R647" s="491" t="n"/>
      <c r="S647" s="491" t="n"/>
      <c r="T647" s="491" t="n"/>
      <c r="U647" s="491" t="n"/>
      <c r="V647" s="491" t="n"/>
      <c r="W647" s="491" t="n"/>
      <c r="X647" s="491" t="n"/>
      <c r="Y647" s="491" t="n"/>
      <c r="Z647" s="491" t="n"/>
    </row>
    <row r="648" ht="12.75" customHeight="1" s="398">
      <c r="A648" s="491" t="n"/>
      <c r="B648" s="491" t="n"/>
      <c r="C648" s="491" t="n"/>
      <c r="D648" s="491" t="n"/>
      <c r="E648" s="491" t="n"/>
      <c r="F648" s="491" t="n"/>
      <c r="G648" s="491" t="n"/>
      <c r="H648" s="491" t="n"/>
      <c r="I648" s="491" t="n"/>
      <c r="J648" s="491" t="n"/>
      <c r="K648" s="491" t="n"/>
      <c r="L648" s="491" t="n"/>
      <c r="M648" s="491" t="n"/>
      <c r="N648" s="491" t="n"/>
      <c r="O648" s="491" t="n"/>
      <c r="P648" s="491" t="n"/>
      <c r="Q648" s="491" t="n"/>
      <c r="R648" s="491" t="n"/>
      <c r="S648" s="491" t="n"/>
      <c r="T648" s="491" t="n"/>
      <c r="U648" s="491" t="n"/>
      <c r="V648" s="491" t="n"/>
      <c r="W648" s="491" t="n"/>
      <c r="X648" s="491" t="n"/>
      <c r="Y648" s="491" t="n"/>
      <c r="Z648" s="491" t="n"/>
    </row>
    <row r="649" ht="12.75" customHeight="1" s="398">
      <c r="A649" s="491" t="n"/>
      <c r="B649" s="491" t="n"/>
      <c r="C649" s="491" t="n"/>
      <c r="D649" s="491" t="n"/>
      <c r="E649" s="491" t="n"/>
      <c r="F649" s="491" t="n"/>
      <c r="G649" s="491" t="n"/>
      <c r="H649" s="491" t="n"/>
      <c r="I649" s="491" t="n"/>
      <c r="J649" s="491" t="n"/>
      <c r="K649" s="491" t="n"/>
      <c r="L649" s="491" t="n"/>
      <c r="M649" s="491" t="n"/>
      <c r="N649" s="491" t="n"/>
      <c r="O649" s="491" t="n"/>
      <c r="P649" s="491" t="n"/>
      <c r="Q649" s="491" t="n"/>
      <c r="R649" s="491" t="n"/>
      <c r="S649" s="491" t="n"/>
      <c r="T649" s="491" t="n"/>
      <c r="U649" s="491" t="n"/>
      <c r="V649" s="491" t="n"/>
      <c r="W649" s="491" t="n"/>
      <c r="X649" s="491" t="n"/>
      <c r="Y649" s="491" t="n"/>
      <c r="Z649" s="491" t="n"/>
    </row>
    <row r="650" ht="12.75" customHeight="1" s="398">
      <c r="A650" s="491" t="n"/>
      <c r="B650" s="491" t="n"/>
      <c r="C650" s="491" t="n"/>
      <c r="D650" s="491" t="n"/>
      <c r="E650" s="491" t="n"/>
      <c r="F650" s="491" t="n"/>
      <c r="G650" s="491" t="n"/>
      <c r="H650" s="491" t="n"/>
      <c r="I650" s="491" t="n"/>
      <c r="J650" s="491" t="n"/>
      <c r="K650" s="491" t="n"/>
      <c r="L650" s="491" t="n"/>
      <c r="M650" s="491" t="n"/>
      <c r="N650" s="491" t="n"/>
      <c r="O650" s="491" t="n"/>
      <c r="P650" s="491" t="n"/>
      <c r="Q650" s="491" t="n"/>
      <c r="R650" s="491" t="n"/>
      <c r="S650" s="491" t="n"/>
      <c r="T650" s="491" t="n"/>
      <c r="U650" s="491" t="n"/>
      <c r="V650" s="491" t="n"/>
      <c r="W650" s="491" t="n"/>
      <c r="X650" s="491" t="n"/>
      <c r="Y650" s="491" t="n"/>
      <c r="Z650" s="491" t="n"/>
    </row>
    <row r="651" ht="12.75" customHeight="1" s="398">
      <c r="A651" s="491" t="n"/>
      <c r="B651" s="491" t="n"/>
      <c r="C651" s="491" t="n"/>
      <c r="D651" s="491" t="n"/>
      <c r="E651" s="491" t="n"/>
      <c r="F651" s="491" t="n"/>
      <c r="G651" s="491" t="n"/>
      <c r="H651" s="491" t="n"/>
      <c r="I651" s="491" t="n"/>
      <c r="J651" s="491" t="n"/>
      <c r="K651" s="491" t="n"/>
      <c r="L651" s="491" t="n"/>
      <c r="M651" s="491" t="n"/>
      <c r="N651" s="491" t="n"/>
      <c r="O651" s="491" t="n"/>
      <c r="P651" s="491" t="n"/>
      <c r="Q651" s="491" t="n"/>
      <c r="R651" s="491" t="n"/>
      <c r="S651" s="491" t="n"/>
      <c r="T651" s="491" t="n"/>
      <c r="U651" s="491" t="n"/>
      <c r="V651" s="491" t="n"/>
      <c r="W651" s="491" t="n"/>
      <c r="X651" s="491" t="n"/>
      <c r="Y651" s="491" t="n"/>
      <c r="Z651" s="491" t="n"/>
    </row>
    <row r="652" ht="12.75" customHeight="1" s="398">
      <c r="A652" s="491" t="n"/>
      <c r="B652" s="491" t="n"/>
      <c r="C652" s="491" t="n"/>
      <c r="D652" s="491" t="n"/>
      <c r="E652" s="491" t="n"/>
      <c r="F652" s="491" t="n"/>
      <c r="G652" s="491" t="n"/>
      <c r="H652" s="491" t="n"/>
      <c r="I652" s="491" t="n"/>
      <c r="J652" s="491" t="n"/>
      <c r="K652" s="491" t="n"/>
      <c r="L652" s="491" t="n"/>
      <c r="M652" s="491" t="n"/>
      <c r="N652" s="491" t="n"/>
      <c r="O652" s="491" t="n"/>
      <c r="P652" s="491" t="n"/>
      <c r="Q652" s="491" t="n"/>
      <c r="R652" s="491" t="n"/>
      <c r="S652" s="491" t="n"/>
      <c r="T652" s="491" t="n"/>
      <c r="U652" s="491" t="n"/>
      <c r="V652" s="491" t="n"/>
      <c r="W652" s="491" t="n"/>
      <c r="X652" s="491" t="n"/>
      <c r="Y652" s="491" t="n"/>
      <c r="Z652" s="491" t="n"/>
    </row>
    <row r="653" ht="12.75" customHeight="1" s="398">
      <c r="A653" s="491" t="n"/>
      <c r="B653" s="491" t="n"/>
      <c r="C653" s="491" t="n"/>
      <c r="D653" s="491" t="n"/>
      <c r="E653" s="491" t="n"/>
      <c r="F653" s="491" t="n"/>
      <c r="G653" s="491" t="n"/>
      <c r="H653" s="491" t="n"/>
      <c r="I653" s="491" t="n"/>
      <c r="J653" s="491" t="n"/>
      <c r="K653" s="491" t="n"/>
      <c r="L653" s="491" t="n"/>
      <c r="M653" s="491" t="n"/>
      <c r="N653" s="491" t="n"/>
      <c r="O653" s="491" t="n"/>
      <c r="P653" s="491" t="n"/>
      <c r="Q653" s="491" t="n"/>
      <c r="R653" s="491" t="n"/>
      <c r="S653" s="491" t="n"/>
      <c r="T653" s="491" t="n"/>
      <c r="U653" s="491" t="n"/>
      <c r="V653" s="491" t="n"/>
      <c r="W653" s="491" t="n"/>
      <c r="X653" s="491" t="n"/>
      <c r="Y653" s="491" t="n"/>
      <c r="Z653" s="491" t="n"/>
    </row>
    <row r="654" ht="12.75" customHeight="1" s="398">
      <c r="A654" s="491" t="n"/>
      <c r="B654" s="491" t="n"/>
      <c r="C654" s="491" t="n"/>
      <c r="D654" s="491" t="n"/>
      <c r="E654" s="491" t="n"/>
      <c r="F654" s="491" t="n"/>
      <c r="G654" s="491" t="n"/>
      <c r="H654" s="491" t="n"/>
      <c r="I654" s="491" t="n"/>
      <c r="J654" s="491" t="n"/>
      <c r="K654" s="491" t="n"/>
      <c r="L654" s="491" t="n"/>
      <c r="M654" s="491" t="n"/>
      <c r="N654" s="491" t="n"/>
      <c r="O654" s="491" t="n"/>
      <c r="P654" s="491" t="n"/>
      <c r="Q654" s="491" t="n"/>
      <c r="R654" s="491" t="n"/>
      <c r="S654" s="491" t="n"/>
      <c r="T654" s="491" t="n"/>
      <c r="U654" s="491" t="n"/>
      <c r="V654" s="491" t="n"/>
      <c r="W654" s="491" t="n"/>
      <c r="X654" s="491" t="n"/>
      <c r="Y654" s="491" t="n"/>
      <c r="Z654" s="491" t="n"/>
    </row>
    <row r="655" ht="12.75" customHeight="1" s="398">
      <c r="A655" s="491" t="n"/>
      <c r="B655" s="491" t="n"/>
      <c r="C655" s="491" t="n"/>
      <c r="D655" s="491" t="n"/>
      <c r="E655" s="491" t="n"/>
      <c r="F655" s="491" t="n"/>
      <c r="G655" s="491" t="n"/>
      <c r="H655" s="491" t="n"/>
      <c r="I655" s="491" t="n"/>
      <c r="J655" s="491" t="n"/>
      <c r="K655" s="491" t="n"/>
      <c r="L655" s="491" t="n"/>
      <c r="M655" s="491" t="n"/>
      <c r="N655" s="491" t="n"/>
      <c r="O655" s="491" t="n"/>
      <c r="P655" s="491" t="n"/>
      <c r="Q655" s="491" t="n"/>
      <c r="R655" s="491" t="n"/>
      <c r="S655" s="491" t="n"/>
      <c r="T655" s="491" t="n"/>
      <c r="U655" s="491" t="n"/>
      <c r="V655" s="491" t="n"/>
      <c r="W655" s="491" t="n"/>
      <c r="X655" s="491" t="n"/>
      <c r="Y655" s="491" t="n"/>
      <c r="Z655" s="491" t="n"/>
    </row>
    <row r="656" ht="12.75" customHeight="1" s="398">
      <c r="A656" s="491" t="n"/>
      <c r="B656" s="491" t="n"/>
      <c r="C656" s="491" t="n"/>
      <c r="D656" s="491" t="n"/>
      <c r="E656" s="491" t="n"/>
      <c r="F656" s="491" t="n"/>
      <c r="G656" s="491" t="n"/>
      <c r="H656" s="491" t="n"/>
      <c r="I656" s="491" t="n"/>
      <c r="J656" s="491" t="n"/>
      <c r="K656" s="491" t="n"/>
      <c r="L656" s="491" t="n"/>
      <c r="M656" s="491" t="n"/>
      <c r="N656" s="491" t="n"/>
      <c r="O656" s="491" t="n"/>
      <c r="P656" s="491" t="n"/>
      <c r="Q656" s="491" t="n"/>
      <c r="R656" s="491" t="n"/>
      <c r="S656" s="491" t="n"/>
      <c r="T656" s="491" t="n"/>
      <c r="U656" s="491" t="n"/>
      <c r="V656" s="491" t="n"/>
      <c r="W656" s="491" t="n"/>
      <c r="X656" s="491" t="n"/>
      <c r="Y656" s="491" t="n"/>
      <c r="Z656" s="491" t="n"/>
    </row>
    <row r="657" ht="12.75" customHeight="1" s="398">
      <c r="A657" s="491" t="n"/>
      <c r="B657" s="491" t="n"/>
      <c r="C657" s="491" t="n"/>
      <c r="D657" s="491" t="n"/>
      <c r="E657" s="491" t="n"/>
      <c r="F657" s="491" t="n"/>
      <c r="G657" s="491" t="n"/>
      <c r="H657" s="491" t="n"/>
      <c r="I657" s="491" t="n"/>
      <c r="J657" s="491" t="n"/>
      <c r="K657" s="491" t="n"/>
      <c r="L657" s="491" t="n"/>
      <c r="M657" s="491" t="n"/>
      <c r="N657" s="491" t="n"/>
      <c r="O657" s="491" t="n"/>
      <c r="P657" s="491" t="n"/>
      <c r="Q657" s="491" t="n"/>
      <c r="R657" s="491" t="n"/>
      <c r="S657" s="491" t="n"/>
      <c r="T657" s="491" t="n"/>
      <c r="U657" s="491" t="n"/>
      <c r="V657" s="491" t="n"/>
      <c r="W657" s="491" t="n"/>
      <c r="X657" s="491" t="n"/>
      <c r="Y657" s="491" t="n"/>
      <c r="Z657" s="491" t="n"/>
    </row>
    <row r="658" ht="12.75" customHeight="1" s="398">
      <c r="A658" s="491" t="n"/>
      <c r="B658" s="491" t="n"/>
      <c r="C658" s="491" t="n"/>
      <c r="D658" s="491" t="n"/>
      <c r="E658" s="491" t="n"/>
      <c r="F658" s="491" t="n"/>
      <c r="G658" s="491" t="n"/>
      <c r="H658" s="491" t="n"/>
      <c r="I658" s="491" t="n"/>
      <c r="J658" s="491" t="n"/>
      <c r="K658" s="491" t="n"/>
      <c r="L658" s="491" t="n"/>
      <c r="M658" s="491" t="n"/>
      <c r="N658" s="491" t="n"/>
      <c r="O658" s="491" t="n"/>
      <c r="P658" s="491" t="n"/>
      <c r="Q658" s="491" t="n"/>
      <c r="R658" s="491" t="n"/>
      <c r="S658" s="491" t="n"/>
      <c r="T658" s="491" t="n"/>
      <c r="U658" s="491" t="n"/>
      <c r="V658" s="491" t="n"/>
      <c r="W658" s="491" t="n"/>
      <c r="X658" s="491" t="n"/>
      <c r="Y658" s="491" t="n"/>
      <c r="Z658" s="491" t="n"/>
    </row>
    <row r="659" ht="12.75" customHeight="1" s="398">
      <c r="A659" s="491" t="n"/>
      <c r="B659" s="491" t="n"/>
      <c r="C659" s="491" t="n"/>
      <c r="D659" s="491" t="n"/>
      <c r="E659" s="491" t="n"/>
      <c r="F659" s="491" t="n"/>
      <c r="G659" s="491" t="n"/>
      <c r="H659" s="491" t="n"/>
      <c r="I659" s="491" t="n"/>
      <c r="J659" s="491" t="n"/>
      <c r="K659" s="491" t="n"/>
      <c r="L659" s="491" t="n"/>
      <c r="M659" s="491" t="n"/>
      <c r="N659" s="491" t="n"/>
      <c r="O659" s="491" t="n"/>
      <c r="P659" s="491" t="n"/>
      <c r="Q659" s="491" t="n"/>
      <c r="R659" s="491" t="n"/>
      <c r="S659" s="491" t="n"/>
      <c r="T659" s="491" t="n"/>
      <c r="U659" s="491" t="n"/>
      <c r="V659" s="491" t="n"/>
      <c r="W659" s="491" t="n"/>
      <c r="X659" s="491" t="n"/>
      <c r="Y659" s="491" t="n"/>
      <c r="Z659" s="491" t="n"/>
    </row>
    <row r="660" ht="12.75" customHeight="1" s="398">
      <c r="A660" s="491" t="n"/>
      <c r="B660" s="491" t="n"/>
      <c r="C660" s="491" t="n"/>
      <c r="D660" s="491" t="n"/>
      <c r="E660" s="491" t="n"/>
      <c r="F660" s="491" t="n"/>
      <c r="G660" s="491" t="n"/>
      <c r="H660" s="491" t="n"/>
      <c r="I660" s="491" t="n"/>
      <c r="J660" s="491" t="n"/>
      <c r="K660" s="491" t="n"/>
      <c r="L660" s="491" t="n"/>
      <c r="M660" s="491" t="n"/>
      <c r="N660" s="491" t="n"/>
      <c r="O660" s="491" t="n"/>
      <c r="P660" s="491" t="n"/>
      <c r="Q660" s="491" t="n"/>
      <c r="R660" s="491" t="n"/>
      <c r="S660" s="491" t="n"/>
      <c r="T660" s="491" t="n"/>
      <c r="U660" s="491" t="n"/>
      <c r="V660" s="491" t="n"/>
      <c r="W660" s="491" t="n"/>
      <c r="X660" s="491" t="n"/>
      <c r="Y660" s="491" t="n"/>
      <c r="Z660" s="491" t="n"/>
    </row>
    <row r="661" ht="12.75" customHeight="1" s="398">
      <c r="A661" s="491" t="n"/>
      <c r="B661" s="491" t="n"/>
      <c r="C661" s="491" t="n"/>
      <c r="D661" s="491" t="n"/>
      <c r="E661" s="491" t="n"/>
      <c r="F661" s="491" t="n"/>
      <c r="G661" s="491" t="n"/>
      <c r="H661" s="491" t="n"/>
      <c r="I661" s="491" t="n"/>
      <c r="J661" s="491" t="n"/>
      <c r="K661" s="491" t="n"/>
      <c r="L661" s="491" t="n"/>
      <c r="M661" s="491" t="n"/>
      <c r="N661" s="491" t="n"/>
      <c r="O661" s="491" t="n"/>
      <c r="P661" s="491" t="n"/>
      <c r="Q661" s="491" t="n"/>
      <c r="R661" s="491" t="n"/>
      <c r="S661" s="491" t="n"/>
      <c r="T661" s="491" t="n"/>
      <c r="U661" s="491" t="n"/>
      <c r="V661" s="491" t="n"/>
      <c r="W661" s="491" t="n"/>
      <c r="X661" s="491" t="n"/>
      <c r="Y661" s="491" t="n"/>
      <c r="Z661" s="491" t="n"/>
    </row>
    <row r="662" ht="12.75" customHeight="1" s="398">
      <c r="A662" s="491" t="n"/>
      <c r="B662" s="491" t="n"/>
      <c r="C662" s="491" t="n"/>
      <c r="D662" s="491" t="n"/>
      <c r="E662" s="491" t="n"/>
      <c r="F662" s="491" t="n"/>
      <c r="G662" s="491" t="n"/>
      <c r="H662" s="491" t="n"/>
      <c r="I662" s="491" t="n"/>
      <c r="J662" s="491" t="n"/>
      <c r="K662" s="491" t="n"/>
      <c r="L662" s="491" t="n"/>
      <c r="M662" s="491" t="n"/>
      <c r="N662" s="491" t="n"/>
      <c r="O662" s="491" t="n"/>
      <c r="P662" s="491" t="n"/>
      <c r="Q662" s="491" t="n"/>
      <c r="R662" s="491" t="n"/>
      <c r="S662" s="491" t="n"/>
      <c r="T662" s="491" t="n"/>
      <c r="U662" s="491" t="n"/>
      <c r="V662" s="491" t="n"/>
      <c r="W662" s="491" t="n"/>
      <c r="X662" s="491" t="n"/>
      <c r="Y662" s="491" t="n"/>
      <c r="Z662" s="491" t="n"/>
    </row>
    <row r="663" ht="12.75" customHeight="1" s="398">
      <c r="A663" s="491" t="n"/>
      <c r="B663" s="491" t="n"/>
      <c r="C663" s="491" t="n"/>
      <c r="D663" s="491" t="n"/>
      <c r="E663" s="491" t="n"/>
      <c r="F663" s="491" t="n"/>
      <c r="G663" s="491" t="n"/>
      <c r="H663" s="491" t="n"/>
      <c r="I663" s="491" t="n"/>
      <c r="J663" s="491" t="n"/>
      <c r="K663" s="491" t="n"/>
      <c r="L663" s="491" t="n"/>
      <c r="M663" s="491" t="n"/>
      <c r="N663" s="491" t="n"/>
      <c r="O663" s="491" t="n"/>
      <c r="P663" s="491" t="n"/>
      <c r="Q663" s="491" t="n"/>
      <c r="R663" s="491" t="n"/>
      <c r="S663" s="491" t="n"/>
      <c r="T663" s="491" t="n"/>
      <c r="U663" s="491" t="n"/>
      <c r="V663" s="491" t="n"/>
      <c r="W663" s="491" t="n"/>
      <c r="X663" s="491" t="n"/>
      <c r="Y663" s="491" t="n"/>
      <c r="Z663" s="491" t="n"/>
    </row>
    <row r="664" ht="12.75" customHeight="1" s="398">
      <c r="A664" s="491" t="n"/>
      <c r="B664" s="491" t="n"/>
      <c r="C664" s="491" t="n"/>
      <c r="D664" s="491" t="n"/>
      <c r="E664" s="491" t="n"/>
      <c r="F664" s="491" t="n"/>
      <c r="G664" s="491" t="n"/>
      <c r="H664" s="491" t="n"/>
      <c r="I664" s="491" t="n"/>
      <c r="J664" s="491" t="n"/>
      <c r="K664" s="491" t="n"/>
      <c r="L664" s="491" t="n"/>
      <c r="M664" s="491" t="n"/>
      <c r="N664" s="491" t="n"/>
      <c r="O664" s="491" t="n"/>
      <c r="P664" s="491" t="n"/>
      <c r="Q664" s="491" t="n"/>
      <c r="R664" s="491" t="n"/>
      <c r="S664" s="491" t="n"/>
      <c r="T664" s="491" t="n"/>
      <c r="U664" s="491" t="n"/>
      <c r="V664" s="491" t="n"/>
      <c r="W664" s="491" t="n"/>
      <c r="X664" s="491" t="n"/>
      <c r="Y664" s="491" t="n"/>
      <c r="Z664" s="491" t="n"/>
    </row>
    <row r="665" ht="12.75" customHeight="1" s="398">
      <c r="A665" s="491" t="n"/>
      <c r="B665" s="491" t="n"/>
      <c r="C665" s="491" t="n"/>
      <c r="D665" s="491" t="n"/>
      <c r="E665" s="491" t="n"/>
      <c r="F665" s="491" t="n"/>
      <c r="G665" s="491" t="n"/>
      <c r="H665" s="491" t="n"/>
      <c r="I665" s="491" t="n"/>
      <c r="J665" s="491" t="n"/>
      <c r="K665" s="491" t="n"/>
      <c r="L665" s="491" t="n"/>
      <c r="M665" s="491" t="n"/>
      <c r="N665" s="491" t="n"/>
      <c r="O665" s="491" t="n"/>
      <c r="P665" s="491" t="n"/>
      <c r="Q665" s="491" t="n"/>
      <c r="R665" s="491" t="n"/>
      <c r="S665" s="491" t="n"/>
      <c r="T665" s="491" t="n"/>
      <c r="U665" s="491" t="n"/>
      <c r="V665" s="491" t="n"/>
      <c r="W665" s="491" t="n"/>
      <c r="X665" s="491" t="n"/>
      <c r="Y665" s="491" t="n"/>
      <c r="Z665" s="491" t="n"/>
    </row>
    <row r="666" ht="12.75" customHeight="1" s="398">
      <c r="A666" s="491" t="n"/>
      <c r="B666" s="491" t="n"/>
      <c r="C666" s="491" t="n"/>
      <c r="D666" s="491" t="n"/>
      <c r="E666" s="491" t="n"/>
      <c r="F666" s="491" t="n"/>
      <c r="G666" s="491" t="n"/>
      <c r="H666" s="491" t="n"/>
      <c r="I666" s="491" t="n"/>
      <c r="J666" s="491" t="n"/>
      <c r="K666" s="491" t="n"/>
      <c r="L666" s="491" t="n"/>
      <c r="M666" s="491" t="n"/>
      <c r="N666" s="491" t="n"/>
      <c r="O666" s="491" t="n"/>
      <c r="P666" s="491" t="n"/>
      <c r="Q666" s="491" t="n"/>
      <c r="R666" s="491" t="n"/>
      <c r="S666" s="491" t="n"/>
      <c r="T666" s="491" t="n"/>
      <c r="U666" s="491" t="n"/>
      <c r="V666" s="491" t="n"/>
      <c r="W666" s="491" t="n"/>
      <c r="X666" s="491" t="n"/>
      <c r="Y666" s="491" t="n"/>
      <c r="Z666" s="491" t="n"/>
    </row>
    <row r="667" ht="12.75" customHeight="1" s="398">
      <c r="A667" s="491" t="n"/>
      <c r="B667" s="491" t="n"/>
      <c r="C667" s="491" t="n"/>
      <c r="D667" s="491" t="n"/>
      <c r="E667" s="491" t="n"/>
      <c r="F667" s="491" t="n"/>
      <c r="G667" s="491" t="n"/>
      <c r="H667" s="491" t="n"/>
      <c r="I667" s="491" t="n"/>
      <c r="J667" s="491" t="n"/>
      <c r="K667" s="491" t="n"/>
      <c r="L667" s="491" t="n"/>
      <c r="M667" s="491" t="n"/>
      <c r="N667" s="491" t="n"/>
      <c r="O667" s="491" t="n"/>
      <c r="P667" s="491" t="n"/>
      <c r="Q667" s="491" t="n"/>
      <c r="R667" s="491" t="n"/>
      <c r="S667" s="491" t="n"/>
      <c r="T667" s="491" t="n"/>
      <c r="U667" s="491" t="n"/>
      <c r="V667" s="491" t="n"/>
      <c r="W667" s="491" t="n"/>
      <c r="X667" s="491" t="n"/>
      <c r="Y667" s="491" t="n"/>
      <c r="Z667" s="491" t="n"/>
    </row>
    <row r="668" ht="12.75" customHeight="1" s="398">
      <c r="A668" s="491" t="n"/>
      <c r="B668" s="491" t="n"/>
      <c r="C668" s="491" t="n"/>
      <c r="D668" s="491" t="n"/>
      <c r="E668" s="491" t="n"/>
      <c r="F668" s="491" t="n"/>
      <c r="G668" s="491" t="n"/>
      <c r="H668" s="491" t="n"/>
      <c r="I668" s="491" t="n"/>
      <c r="J668" s="491" t="n"/>
      <c r="K668" s="491" t="n"/>
      <c r="L668" s="491" t="n"/>
      <c r="M668" s="491" t="n"/>
      <c r="N668" s="491" t="n"/>
      <c r="O668" s="491" t="n"/>
      <c r="P668" s="491" t="n"/>
      <c r="Q668" s="491" t="n"/>
      <c r="R668" s="491" t="n"/>
      <c r="S668" s="491" t="n"/>
      <c r="T668" s="491" t="n"/>
      <c r="U668" s="491" t="n"/>
      <c r="V668" s="491" t="n"/>
      <c r="W668" s="491" t="n"/>
      <c r="X668" s="491" t="n"/>
      <c r="Y668" s="491" t="n"/>
      <c r="Z668" s="491" t="n"/>
    </row>
    <row r="669" ht="12.75" customHeight="1" s="398">
      <c r="A669" s="491" t="n"/>
      <c r="B669" s="491" t="n"/>
      <c r="C669" s="491" t="n"/>
      <c r="D669" s="491" t="n"/>
      <c r="E669" s="491" t="n"/>
      <c r="F669" s="491" t="n"/>
      <c r="G669" s="491" t="n"/>
      <c r="H669" s="491" t="n"/>
      <c r="I669" s="491" t="n"/>
      <c r="J669" s="491" t="n"/>
      <c r="K669" s="491" t="n"/>
      <c r="L669" s="491" t="n"/>
      <c r="M669" s="491" t="n"/>
      <c r="N669" s="491" t="n"/>
      <c r="O669" s="491" t="n"/>
      <c r="P669" s="491" t="n"/>
      <c r="Q669" s="491" t="n"/>
      <c r="R669" s="491" t="n"/>
      <c r="S669" s="491" t="n"/>
      <c r="T669" s="491" t="n"/>
      <c r="U669" s="491" t="n"/>
      <c r="V669" s="491" t="n"/>
      <c r="W669" s="491" t="n"/>
      <c r="X669" s="491" t="n"/>
      <c r="Y669" s="491" t="n"/>
      <c r="Z669" s="491" t="n"/>
    </row>
    <row r="670" ht="12.75" customHeight="1" s="398">
      <c r="A670" s="491" t="n"/>
      <c r="B670" s="491" t="n"/>
      <c r="C670" s="491" t="n"/>
      <c r="D670" s="491" t="n"/>
      <c r="E670" s="491" t="n"/>
      <c r="F670" s="491" t="n"/>
      <c r="G670" s="491" t="n"/>
      <c r="H670" s="491" t="n"/>
      <c r="I670" s="491" t="n"/>
      <c r="J670" s="491" t="n"/>
      <c r="K670" s="491" t="n"/>
      <c r="L670" s="491" t="n"/>
      <c r="M670" s="491" t="n"/>
      <c r="N670" s="491" t="n"/>
      <c r="O670" s="491" t="n"/>
      <c r="P670" s="491" t="n"/>
      <c r="Q670" s="491" t="n"/>
      <c r="R670" s="491" t="n"/>
      <c r="S670" s="491" t="n"/>
      <c r="T670" s="491" t="n"/>
      <c r="U670" s="491" t="n"/>
      <c r="V670" s="491" t="n"/>
      <c r="W670" s="491" t="n"/>
      <c r="X670" s="491" t="n"/>
      <c r="Y670" s="491" t="n"/>
      <c r="Z670" s="491" t="n"/>
    </row>
    <row r="671" ht="12.75" customHeight="1" s="398">
      <c r="A671" s="491" t="n"/>
      <c r="B671" s="491" t="n"/>
      <c r="C671" s="491" t="n"/>
      <c r="D671" s="491" t="n"/>
      <c r="E671" s="491" t="n"/>
      <c r="F671" s="491" t="n"/>
      <c r="G671" s="491" t="n"/>
      <c r="H671" s="491" t="n"/>
      <c r="I671" s="491" t="n"/>
      <c r="J671" s="491" t="n"/>
      <c r="K671" s="491" t="n"/>
      <c r="L671" s="491" t="n"/>
      <c r="M671" s="491" t="n"/>
      <c r="N671" s="491" t="n"/>
      <c r="O671" s="491" t="n"/>
      <c r="P671" s="491" t="n"/>
      <c r="Q671" s="491" t="n"/>
      <c r="R671" s="491" t="n"/>
      <c r="S671" s="491" t="n"/>
      <c r="T671" s="491" t="n"/>
      <c r="U671" s="491" t="n"/>
      <c r="V671" s="491" t="n"/>
      <c r="W671" s="491" t="n"/>
      <c r="X671" s="491" t="n"/>
      <c r="Y671" s="491" t="n"/>
      <c r="Z671" s="491" t="n"/>
    </row>
    <row r="672" ht="12.75" customHeight="1" s="398">
      <c r="A672" s="491" t="n"/>
      <c r="B672" s="491" t="n"/>
      <c r="C672" s="491" t="n"/>
      <c r="D672" s="491" t="n"/>
      <c r="E672" s="491" t="n"/>
      <c r="F672" s="491" t="n"/>
      <c r="G672" s="491" t="n"/>
      <c r="H672" s="491" t="n"/>
      <c r="I672" s="491" t="n"/>
      <c r="J672" s="491" t="n"/>
      <c r="K672" s="491" t="n"/>
      <c r="L672" s="491" t="n"/>
      <c r="M672" s="491" t="n"/>
      <c r="N672" s="491" t="n"/>
      <c r="O672" s="491" t="n"/>
      <c r="P672" s="491" t="n"/>
      <c r="Q672" s="491" t="n"/>
      <c r="R672" s="491" t="n"/>
      <c r="S672" s="491" t="n"/>
      <c r="T672" s="491" t="n"/>
      <c r="U672" s="491" t="n"/>
      <c r="V672" s="491" t="n"/>
      <c r="W672" s="491" t="n"/>
      <c r="X672" s="491" t="n"/>
      <c r="Y672" s="491" t="n"/>
      <c r="Z672" s="491" t="n"/>
    </row>
    <row r="673" ht="12.75" customHeight="1" s="398">
      <c r="A673" s="491" t="n"/>
      <c r="B673" s="491" t="n"/>
      <c r="C673" s="491" t="n"/>
      <c r="D673" s="491" t="n"/>
      <c r="E673" s="491" t="n"/>
      <c r="F673" s="491" t="n"/>
      <c r="G673" s="491" t="n"/>
      <c r="H673" s="491" t="n"/>
      <c r="I673" s="491" t="n"/>
      <c r="J673" s="491" t="n"/>
      <c r="K673" s="491" t="n"/>
      <c r="L673" s="491" t="n"/>
      <c r="M673" s="491" t="n"/>
      <c r="N673" s="491" t="n"/>
      <c r="O673" s="491" t="n"/>
      <c r="P673" s="491" t="n"/>
      <c r="Q673" s="491" t="n"/>
      <c r="R673" s="491" t="n"/>
      <c r="S673" s="491" t="n"/>
      <c r="T673" s="491" t="n"/>
      <c r="U673" s="491" t="n"/>
      <c r="V673" s="491" t="n"/>
      <c r="W673" s="491" t="n"/>
      <c r="X673" s="491" t="n"/>
      <c r="Y673" s="491" t="n"/>
      <c r="Z673" s="491" t="n"/>
    </row>
    <row r="674" ht="12.75" customHeight="1" s="398">
      <c r="A674" s="491" t="n"/>
      <c r="B674" s="491" t="n"/>
      <c r="C674" s="491" t="n"/>
      <c r="D674" s="491" t="n"/>
      <c r="E674" s="491" t="n"/>
      <c r="F674" s="491" t="n"/>
      <c r="G674" s="491" t="n"/>
      <c r="H674" s="491" t="n"/>
      <c r="I674" s="491" t="n"/>
      <c r="J674" s="491" t="n"/>
      <c r="K674" s="491" t="n"/>
      <c r="L674" s="491" t="n"/>
      <c r="M674" s="491" t="n"/>
      <c r="N674" s="491" t="n"/>
      <c r="O674" s="491" t="n"/>
      <c r="P674" s="491" t="n"/>
      <c r="Q674" s="491" t="n"/>
      <c r="R674" s="491" t="n"/>
      <c r="S674" s="491" t="n"/>
      <c r="T674" s="491" t="n"/>
      <c r="U674" s="491" t="n"/>
      <c r="V674" s="491" t="n"/>
      <c r="W674" s="491" t="n"/>
      <c r="X674" s="491" t="n"/>
      <c r="Y674" s="491" t="n"/>
      <c r="Z674" s="491" t="n"/>
    </row>
    <row r="675" ht="12.75" customHeight="1" s="398">
      <c r="A675" s="491" t="n"/>
      <c r="B675" s="491" t="n"/>
      <c r="C675" s="491" t="n"/>
      <c r="D675" s="491" t="n"/>
      <c r="E675" s="491" t="n"/>
      <c r="F675" s="491" t="n"/>
      <c r="G675" s="491" t="n"/>
      <c r="H675" s="491" t="n"/>
      <c r="I675" s="491" t="n"/>
      <c r="J675" s="491" t="n"/>
      <c r="K675" s="491" t="n"/>
      <c r="L675" s="491" t="n"/>
      <c r="M675" s="491" t="n"/>
      <c r="N675" s="491" t="n"/>
      <c r="O675" s="491" t="n"/>
      <c r="P675" s="491" t="n"/>
      <c r="Q675" s="491" t="n"/>
      <c r="R675" s="491" t="n"/>
      <c r="S675" s="491" t="n"/>
      <c r="T675" s="491" t="n"/>
      <c r="U675" s="491" t="n"/>
      <c r="V675" s="491" t="n"/>
      <c r="W675" s="491" t="n"/>
      <c r="X675" s="491" t="n"/>
      <c r="Y675" s="491" t="n"/>
      <c r="Z675" s="491" t="n"/>
    </row>
    <row r="676" ht="12.75" customHeight="1" s="398">
      <c r="A676" s="491" t="n"/>
      <c r="B676" s="491" t="n"/>
      <c r="C676" s="491" t="n"/>
      <c r="D676" s="491" t="n"/>
      <c r="E676" s="491" t="n"/>
      <c r="F676" s="491" t="n"/>
      <c r="G676" s="491" t="n"/>
      <c r="H676" s="491" t="n"/>
      <c r="I676" s="491" t="n"/>
      <c r="J676" s="491" t="n"/>
      <c r="K676" s="491" t="n"/>
      <c r="L676" s="491" t="n"/>
      <c r="M676" s="491" t="n"/>
      <c r="N676" s="491" t="n"/>
      <c r="O676" s="491" t="n"/>
      <c r="P676" s="491" t="n"/>
      <c r="Q676" s="491" t="n"/>
      <c r="R676" s="491" t="n"/>
      <c r="S676" s="491" t="n"/>
      <c r="T676" s="491" t="n"/>
      <c r="U676" s="491" t="n"/>
      <c r="V676" s="491" t="n"/>
      <c r="W676" s="491" t="n"/>
      <c r="X676" s="491" t="n"/>
      <c r="Y676" s="491" t="n"/>
      <c r="Z676" s="491" t="n"/>
    </row>
    <row r="677" ht="12.75" customHeight="1" s="398">
      <c r="A677" s="491" t="n"/>
      <c r="B677" s="491" t="n"/>
      <c r="C677" s="491" t="n"/>
      <c r="D677" s="491" t="n"/>
      <c r="E677" s="491" t="n"/>
      <c r="F677" s="491" t="n"/>
      <c r="G677" s="491" t="n"/>
      <c r="H677" s="491" t="n"/>
      <c r="I677" s="491" t="n"/>
      <c r="J677" s="491" t="n"/>
      <c r="K677" s="491" t="n"/>
      <c r="L677" s="491" t="n"/>
      <c r="M677" s="491" t="n"/>
      <c r="N677" s="491" t="n"/>
      <c r="O677" s="491" t="n"/>
      <c r="P677" s="491" t="n"/>
      <c r="Q677" s="491" t="n"/>
      <c r="R677" s="491" t="n"/>
      <c r="S677" s="491" t="n"/>
      <c r="T677" s="491" t="n"/>
      <c r="U677" s="491" t="n"/>
      <c r="V677" s="491" t="n"/>
      <c r="W677" s="491" t="n"/>
      <c r="X677" s="491" t="n"/>
      <c r="Y677" s="491" t="n"/>
      <c r="Z677" s="491" t="n"/>
    </row>
    <row r="678" ht="12.75" customHeight="1" s="398">
      <c r="A678" s="491" t="n"/>
      <c r="B678" s="491" t="n"/>
      <c r="C678" s="491" t="n"/>
      <c r="D678" s="491" t="n"/>
      <c r="E678" s="491" t="n"/>
      <c r="F678" s="491" t="n"/>
      <c r="G678" s="491" t="n"/>
      <c r="H678" s="491" t="n"/>
      <c r="I678" s="491" t="n"/>
      <c r="J678" s="491" t="n"/>
      <c r="K678" s="491" t="n"/>
      <c r="L678" s="491" t="n"/>
      <c r="M678" s="491" t="n"/>
      <c r="N678" s="491" t="n"/>
      <c r="O678" s="491" t="n"/>
      <c r="P678" s="491" t="n"/>
      <c r="Q678" s="491" t="n"/>
      <c r="R678" s="491" t="n"/>
      <c r="S678" s="491" t="n"/>
      <c r="T678" s="491" t="n"/>
      <c r="U678" s="491" t="n"/>
      <c r="V678" s="491" t="n"/>
      <c r="W678" s="491" t="n"/>
      <c r="X678" s="491" t="n"/>
      <c r="Y678" s="491" t="n"/>
      <c r="Z678" s="491" t="n"/>
    </row>
    <row r="679" ht="12.75" customHeight="1" s="398">
      <c r="A679" s="491" t="n"/>
      <c r="B679" s="491" t="n"/>
      <c r="C679" s="491" t="n"/>
      <c r="D679" s="491" t="n"/>
      <c r="E679" s="491" t="n"/>
      <c r="F679" s="491" t="n"/>
      <c r="G679" s="491" t="n"/>
      <c r="H679" s="491" t="n"/>
      <c r="I679" s="491" t="n"/>
      <c r="J679" s="491" t="n"/>
      <c r="K679" s="491" t="n"/>
      <c r="L679" s="491" t="n"/>
      <c r="M679" s="491" t="n"/>
      <c r="N679" s="491" t="n"/>
      <c r="O679" s="491" t="n"/>
      <c r="P679" s="491" t="n"/>
      <c r="Q679" s="491" t="n"/>
      <c r="R679" s="491" t="n"/>
      <c r="S679" s="491" t="n"/>
      <c r="T679" s="491" t="n"/>
      <c r="U679" s="491" t="n"/>
      <c r="V679" s="491" t="n"/>
      <c r="W679" s="491" t="n"/>
      <c r="X679" s="491" t="n"/>
      <c r="Y679" s="491" t="n"/>
      <c r="Z679" s="491" t="n"/>
    </row>
    <row r="680" ht="12.75" customHeight="1" s="398">
      <c r="A680" s="491" t="n"/>
      <c r="B680" s="491" t="n"/>
      <c r="C680" s="491" t="n"/>
      <c r="D680" s="491" t="n"/>
      <c r="E680" s="491" t="n"/>
      <c r="F680" s="491" t="n"/>
      <c r="G680" s="491" t="n"/>
      <c r="H680" s="491" t="n"/>
      <c r="I680" s="491" t="n"/>
      <c r="J680" s="491" t="n"/>
      <c r="K680" s="491" t="n"/>
      <c r="L680" s="491" t="n"/>
      <c r="M680" s="491" t="n"/>
      <c r="N680" s="491" t="n"/>
      <c r="O680" s="491" t="n"/>
      <c r="P680" s="491" t="n"/>
      <c r="Q680" s="491" t="n"/>
      <c r="R680" s="491" t="n"/>
      <c r="S680" s="491" t="n"/>
      <c r="T680" s="491" t="n"/>
      <c r="U680" s="491" t="n"/>
      <c r="V680" s="491" t="n"/>
      <c r="W680" s="491" t="n"/>
      <c r="X680" s="491" t="n"/>
      <c r="Y680" s="491" t="n"/>
      <c r="Z680" s="491" t="n"/>
    </row>
    <row r="681" ht="12.75" customHeight="1" s="398">
      <c r="A681" s="491" t="n"/>
      <c r="B681" s="491" t="n"/>
      <c r="C681" s="491" t="n"/>
      <c r="D681" s="491" t="n"/>
      <c r="E681" s="491" t="n"/>
      <c r="F681" s="491" t="n"/>
      <c r="G681" s="491" t="n"/>
      <c r="H681" s="491" t="n"/>
      <c r="I681" s="491" t="n"/>
      <c r="J681" s="491" t="n"/>
      <c r="K681" s="491" t="n"/>
      <c r="L681" s="491" t="n"/>
      <c r="M681" s="491" t="n"/>
      <c r="N681" s="491" t="n"/>
      <c r="O681" s="491" t="n"/>
      <c r="P681" s="491" t="n"/>
      <c r="Q681" s="491" t="n"/>
      <c r="R681" s="491" t="n"/>
      <c r="S681" s="491" t="n"/>
      <c r="T681" s="491" t="n"/>
      <c r="U681" s="491" t="n"/>
      <c r="V681" s="491" t="n"/>
      <c r="W681" s="491" t="n"/>
      <c r="X681" s="491" t="n"/>
      <c r="Y681" s="491" t="n"/>
      <c r="Z681" s="491" t="n"/>
    </row>
    <row r="682" ht="12.75" customHeight="1" s="398">
      <c r="A682" s="491" t="n"/>
      <c r="B682" s="491" t="n"/>
      <c r="C682" s="491" t="n"/>
      <c r="D682" s="491" t="n"/>
      <c r="E682" s="491" t="n"/>
      <c r="F682" s="491" t="n"/>
      <c r="G682" s="491" t="n"/>
      <c r="H682" s="491" t="n"/>
      <c r="I682" s="491" t="n"/>
      <c r="J682" s="491" t="n"/>
      <c r="K682" s="491" t="n"/>
      <c r="L682" s="491" t="n"/>
      <c r="M682" s="491" t="n"/>
      <c r="N682" s="491" t="n"/>
      <c r="O682" s="491" t="n"/>
      <c r="P682" s="491" t="n"/>
      <c r="Q682" s="491" t="n"/>
      <c r="R682" s="491" t="n"/>
      <c r="S682" s="491" t="n"/>
      <c r="T682" s="491" t="n"/>
      <c r="U682" s="491" t="n"/>
      <c r="V682" s="491" t="n"/>
      <c r="W682" s="491" t="n"/>
      <c r="X682" s="491" t="n"/>
      <c r="Y682" s="491" t="n"/>
      <c r="Z682" s="491" t="n"/>
    </row>
    <row r="683" ht="12.75" customHeight="1" s="398">
      <c r="A683" s="491" t="n"/>
      <c r="B683" s="491" t="n"/>
      <c r="C683" s="491" t="n"/>
      <c r="D683" s="491" t="n"/>
      <c r="E683" s="491" t="n"/>
      <c r="F683" s="491" t="n"/>
      <c r="G683" s="491" t="n"/>
      <c r="H683" s="491" t="n"/>
      <c r="I683" s="491" t="n"/>
      <c r="J683" s="491" t="n"/>
      <c r="K683" s="491" t="n"/>
      <c r="L683" s="491" t="n"/>
      <c r="M683" s="491" t="n"/>
      <c r="N683" s="491" t="n"/>
      <c r="O683" s="491" t="n"/>
      <c r="P683" s="491" t="n"/>
      <c r="Q683" s="491" t="n"/>
      <c r="R683" s="491" t="n"/>
      <c r="S683" s="491" t="n"/>
      <c r="T683" s="491" t="n"/>
      <c r="U683" s="491" t="n"/>
      <c r="V683" s="491" t="n"/>
      <c r="W683" s="491" t="n"/>
      <c r="X683" s="491" t="n"/>
      <c r="Y683" s="491" t="n"/>
      <c r="Z683" s="491" t="n"/>
    </row>
    <row r="684" ht="12.75" customHeight="1" s="398">
      <c r="A684" s="491" t="n"/>
      <c r="B684" s="491" t="n"/>
      <c r="C684" s="491" t="n"/>
      <c r="D684" s="491" t="n"/>
      <c r="E684" s="491" t="n"/>
      <c r="F684" s="491" t="n"/>
      <c r="G684" s="491" t="n"/>
      <c r="H684" s="491" t="n"/>
      <c r="I684" s="491" t="n"/>
      <c r="J684" s="491" t="n"/>
      <c r="K684" s="491" t="n"/>
      <c r="L684" s="491" t="n"/>
      <c r="M684" s="491" t="n"/>
      <c r="N684" s="491" t="n"/>
      <c r="O684" s="491" t="n"/>
      <c r="P684" s="491" t="n"/>
      <c r="Q684" s="491" t="n"/>
      <c r="R684" s="491" t="n"/>
      <c r="S684" s="491" t="n"/>
      <c r="T684" s="491" t="n"/>
      <c r="U684" s="491" t="n"/>
      <c r="V684" s="491" t="n"/>
      <c r="W684" s="491" t="n"/>
      <c r="X684" s="491" t="n"/>
      <c r="Y684" s="491" t="n"/>
      <c r="Z684" s="491" t="n"/>
    </row>
    <row r="685" ht="12.75" customHeight="1" s="398">
      <c r="A685" s="491" t="n"/>
      <c r="B685" s="491" t="n"/>
      <c r="C685" s="491" t="n"/>
      <c r="D685" s="491" t="n"/>
      <c r="E685" s="491" t="n"/>
      <c r="F685" s="491" t="n"/>
      <c r="G685" s="491" t="n"/>
      <c r="H685" s="491" t="n"/>
      <c r="I685" s="491" t="n"/>
      <c r="J685" s="491" t="n"/>
      <c r="K685" s="491" t="n"/>
      <c r="L685" s="491" t="n"/>
      <c r="M685" s="491" t="n"/>
      <c r="N685" s="491" t="n"/>
      <c r="O685" s="491" t="n"/>
      <c r="P685" s="491" t="n"/>
      <c r="Q685" s="491" t="n"/>
      <c r="R685" s="491" t="n"/>
      <c r="S685" s="491" t="n"/>
      <c r="T685" s="491" t="n"/>
      <c r="U685" s="491" t="n"/>
      <c r="V685" s="491" t="n"/>
      <c r="W685" s="491" t="n"/>
      <c r="X685" s="491" t="n"/>
      <c r="Y685" s="491" t="n"/>
      <c r="Z685" s="491" t="n"/>
    </row>
    <row r="686" ht="12.75" customHeight="1" s="398">
      <c r="A686" s="491" t="n"/>
      <c r="B686" s="491" t="n"/>
      <c r="C686" s="491" t="n"/>
      <c r="D686" s="491" t="n"/>
      <c r="E686" s="491" t="n"/>
      <c r="F686" s="491" t="n"/>
      <c r="G686" s="491" t="n"/>
      <c r="H686" s="491" t="n"/>
      <c r="I686" s="491" t="n"/>
      <c r="J686" s="491" t="n"/>
      <c r="K686" s="491" t="n"/>
      <c r="L686" s="491" t="n"/>
      <c r="M686" s="491" t="n"/>
      <c r="N686" s="491" t="n"/>
      <c r="O686" s="491" t="n"/>
      <c r="P686" s="491" t="n"/>
      <c r="Q686" s="491" t="n"/>
      <c r="R686" s="491" t="n"/>
      <c r="S686" s="491" t="n"/>
      <c r="T686" s="491" t="n"/>
      <c r="U686" s="491" t="n"/>
      <c r="V686" s="491" t="n"/>
      <c r="W686" s="491" t="n"/>
      <c r="X686" s="491" t="n"/>
      <c r="Y686" s="491" t="n"/>
      <c r="Z686" s="491" t="n"/>
    </row>
    <row r="687" ht="12.75" customHeight="1" s="398">
      <c r="A687" s="491" t="n"/>
      <c r="B687" s="491" t="n"/>
      <c r="C687" s="491" t="n"/>
      <c r="D687" s="491" t="n"/>
      <c r="E687" s="491" t="n"/>
      <c r="F687" s="491" t="n"/>
      <c r="G687" s="491" t="n"/>
      <c r="H687" s="491" t="n"/>
      <c r="I687" s="491" t="n"/>
      <c r="J687" s="491" t="n"/>
      <c r="K687" s="491" t="n"/>
      <c r="L687" s="491" t="n"/>
      <c r="M687" s="491" t="n"/>
      <c r="N687" s="491" t="n"/>
      <c r="O687" s="491" t="n"/>
      <c r="P687" s="491" t="n"/>
      <c r="Q687" s="491" t="n"/>
      <c r="R687" s="491" t="n"/>
      <c r="S687" s="491" t="n"/>
      <c r="T687" s="491" t="n"/>
      <c r="U687" s="491" t="n"/>
      <c r="V687" s="491" t="n"/>
      <c r="W687" s="491" t="n"/>
      <c r="X687" s="491" t="n"/>
      <c r="Y687" s="491" t="n"/>
      <c r="Z687" s="491" t="n"/>
    </row>
    <row r="688" ht="12.75" customHeight="1" s="398">
      <c r="A688" s="491" t="n"/>
      <c r="B688" s="491" t="n"/>
      <c r="C688" s="491" t="n"/>
      <c r="D688" s="491" t="n"/>
      <c r="E688" s="491" t="n"/>
      <c r="F688" s="491" t="n"/>
      <c r="G688" s="491" t="n"/>
      <c r="H688" s="491" t="n"/>
      <c r="I688" s="491" t="n"/>
      <c r="J688" s="491" t="n"/>
      <c r="K688" s="491" t="n"/>
      <c r="L688" s="491" t="n"/>
      <c r="M688" s="491" t="n"/>
      <c r="N688" s="491" t="n"/>
      <c r="O688" s="491" t="n"/>
      <c r="P688" s="491" t="n"/>
      <c r="Q688" s="491" t="n"/>
      <c r="R688" s="491" t="n"/>
      <c r="S688" s="491" t="n"/>
      <c r="T688" s="491" t="n"/>
      <c r="U688" s="491" t="n"/>
      <c r="V688" s="491" t="n"/>
      <c r="W688" s="491" t="n"/>
      <c r="X688" s="491" t="n"/>
      <c r="Y688" s="491" t="n"/>
      <c r="Z688" s="491" t="n"/>
    </row>
    <row r="689" ht="12.75" customHeight="1" s="398">
      <c r="A689" s="491" t="n"/>
      <c r="B689" s="491" t="n"/>
      <c r="C689" s="491" t="n"/>
      <c r="D689" s="491" t="n"/>
      <c r="E689" s="491" t="n"/>
      <c r="F689" s="491" t="n"/>
      <c r="G689" s="491" t="n"/>
      <c r="H689" s="491" t="n"/>
      <c r="I689" s="491" t="n"/>
      <c r="J689" s="491" t="n"/>
      <c r="K689" s="491" t="n"/>
      <c r="L689" s="491" t="n"/>
      <c r="M689" s="491" t="n"/>
      <c r="N689" s="491" t="n"/>
      <c r="O689" s="491" t="n"/>
      <c r="P689" s="491" t="n"/>
      <c r="Q689" s="491" t="n"/>
      <c r="R689" s="491" t="n"/>
      <c r="S689" s="491" t="n"/>
      <c r="T689" s="491" t="n"/>
      <c r="U689" s="491" t="n"/>
      <c r="V689" s="491" t="n"/>
      <c r="W689" s="491" t="n"/>
      <c r="X689" s="491" t="n"/>
      <c r="Y689" s="491" t="n"/>
      <c r="Z689" s="491" t="n"/>
    </row>
    <row r="690" ht="12.75" customHeight="1" s="398">
      <c r="A690" s="491" t="n"/>
      <c r="B690" s="491" t="n"/>
      <c r="C690" s="491" t="n"/>
      <c r="D690" s="491" t="n"/>
      <c r="E690" s="491" t="n"/>
      <c r="F690" s="491" t="n"/>
      <c r="G690" s="491" t="n"/>
      <c r="H690" s="491" t="n"/>
      <c r="I690" s="491" t="n"/>
      <c r="J690" s="491" t="n"/>
      <c r="K690" s="491" t="n"/>
      <c r="L690" s="491" t="n"/>
      <c r="M690" s="491" t="n"/>
      <c r="N690" s="491" t="n"/>
      <c r="O690" s="491" t="n"/>
      <c r="P690" s="491" t="n"/>
      <c r="Q690" s="491" t="n"/>
      <c r="R690" s="491" t="n"/>
      <c r="S690" s="491" t="n"/>
      <c r="T690" s="491" t="n"/>
      <c r="U690" s="491" t="n"/>
      <c r="V690" s="491" t="n"/>
      <c r="W690" s="491" t="n"/>
      <c r="X690" s="491" t="n"/>
      <c r="Y690" s="491" t="n"/>
      <c r="Z690" s="491" t="n"/>
    </row>
    <row r="691" ht="12.75" customHeight="1" s="398">
      <c r="A691" s="491" t="n"/>
      <c r="B691" s="491" t="n"/>
      <c r="C691" s="491" t="n"/>
      <c r="D691" s="491" t="n"/>
      <c r="E691" s="491" t="n"/>
      <c r="F691" s="491" t="n"/>
      <c r="G691" s="491" t="n"/>
      <c r="H691" s="491" t="n"/>
      <c r="I691" s="491" t="n"/>
      <c r="J691" s="491" t="n"/>
      <c r="K691" s="491" t="n"/>
      <c r="L691" s="491" t="n"/>
      <c r="M691" s="491" t="n"/>
      <c r="N691" s="491" t="n"/>
      <c r="O691" s="491" t="n"/>
      <c r="P691" s="491" t="n"/>
      <c r="Q691" s="491" t="n"/>
      <c r="R691" s="491" t="n"/>
      <c r="S691" s="491" t="n"/>
      <c r="T691" s="491" t="n"/>
      <c r="U691" s="491" t="n"/>
      <c r="V691" s="491" t="n"/>
      <c r="W691" s="491" t="n"/>
      <c r="X691" s="491" t="n"/>
      <c r="Y691" s="491" t="n"/>
      <c r="Z691" s="491" t="n"/>
    </row>
    <row r="692" ht="12.75" customHeight="1" s="398">
      <c r="A692" s="491" t="n"/>
      <c r="B692" s="491" t="n"/>
      <c r="C692" s="491" t="n"/>
      <c r="D692" s="491" t="n"/>
      <c r="E692" s="491" t="n"/>
      <c r="F692" s="491" t="n"/>
      <c r="G692" s="491" t="n"/>
      <c r="H692" s="491" t="n"/>
      <c r="I692" s="491" t="n"/>
      <c r="J692" s="491" t="n"/>
      <c r="K692" s="491" t="n"/>
      <c r="L692" s="491" t="n"/>
      <c r="M692" s="491" t="n"/>
      <c r="N692" s="491" t="n"/>
      <c r="O692" s="491" t="n"/>
      <c r="P692" s="491" t="n"/>
      <c r="Q692" s="491" t="n"/>
      <c r="R692" s="491" t="n"/>
      <c r="S692" s="491" t="n"/>
      <c r="T692" s="491" t="n"/>
      <c r="U692" s="491" t="n"/>
      <c r="V692" s="491" t="n"/>
      <c r="W692" s="491" t="n"/>
      <c r="X692" s="491" t="n"/>
      <c r="Y692" s="491" t="n"/>
      <c r="Z692" s="491" t="n"/>
    </row>
    <row r="693" ht="12.75" customHeight="1" s="398">
      <c r="A693" s="491" t="n"/>
      <c r="B693" s="491" t="n"/>
      <c r="C693" s="491" t="n"/>
      <c r="D693" s="491" t="n"/>
      <c r="E693" s="491" t="n"/>
      <c r="F693" s="491" t="n"/>
      <c r="G693" s="491" t="n"/>
      <c r="H693" s="491" t="n"/>
      <c r="I693" s="491" t="n"/>
      <c r="J693" s="491" t="n"/>
      <c r="K693" s="491" t="n"/>
      <c r="L693" s="491" t="n"/>
      <c r="M693" s="491" t="n"/>
      <c r="N693" s="491" t="n"/>
      <c r="O693" s="491" t="n"/>
      <c r="P693" s="491" t="n"/>
      <c r="Q693" s="491" t="n"/>
      <c r="R693" s="491" t="n"/>
      <c r="S693" s="491" t="n"/>
      <c r="T693" s="491" t="n"/>
      <c r="U693" s="491" t="n"/>
      <c r="V693" s="491" t="n"/>
      <c r="W693" s="491" t="n"/>
      <c r="X693" s="491" t="n"/>
      <c r="Y693" s="491" t="n"/>
      <c r="Z693" s="491" t="n"/>
    </row>
    <row r="694" ht="12.75" customHeight="1" s="398">
      <c r="A694" s="491" t="n"/>
      <c r="B694" s="491" t="n"/>
      <c r="C694" s="491" t="n"/>
      <c r="D694" s="491" t="n"/>
      <c r="E694" s="491" t="n"/>
      <c r="F694" s="491" t="n"/>
      <c r="G694" s="491" t="n"/>
      <c r="H694" s="491" t="n"/>
      <c r="I694" s="491" t="n"/>
      <c r="J694" s="491" t="n"/>
      <c r="K694" s="491" t="n"/>
      <c r="L694" s="491" t="n"/>
      <c r="M694" s="491" t="n"/>
      <c r="N694" s="491" t="n"/>
      <c r="O694" s="491" t="n"/>
      <c r="P694" s="491" t="n"/>
      <c r="Q694" s="491" t="n"/>
      <c r="R694" s="491" t="n"/>
      <c r="S694" s="491" t="n"/>
      <c r="T694" s="491" t="n"/>
      <c r="U694" s="491" t="n"/>
      <c r="V694" s="491" t="n"/>
      <c r="W694" s="491" t="n"/>
      <c r="X694" s="491" t="n"/>
      <c r="Y694" s="491" t="n"/>
      <c r="Z694" s="491" t="n"/>
    </row>
    <row r="695" ht="12.75" customHeight="1" s="398">
      <c r="A695" s="491" t="n"/>
      <c r="B695" s="491" t="n"/>
      <c r="C695" s="491" t="n"/>
      <c r="D695" s="491" t="n"/>
      <c r="E695" s="491" t="n"/>
      <c r="F695" s="491" t="n"/>
      <c r="G695" s="491" t="n"/>
      <c r="H695" s="491" t="n"/>
      <c r="I695" s="491" t="n"/>
      <c r="J695" s="491" t="n"/>
      <c r="K695" s="491" t="n"/>
      <c r="L695" s="491" t="n"/>
      <c r="M695" s="491" t="n"/>
      <c r="N695" s="491" t="n"/>
      <c r="O695" s="491" t="n"/>
      <c r="P695" s="491" t="n"/>
      <c r="Q695" s="491" t="n"/>
      <c r="R695" s="491" t="n"/>
      <c r="S695" s="491" t="n"/>
      <c r="T695" s="491" t="n"/>
      <c r="U695" s="491" t="n"/>
      <c r="V695" s="491" t="n"/>
      <c r="W695" s="491" t="n"/>
      <c r="X695" s="491" t="n"/>
      <c r="Y695" s="491" t="n"/>
      <c r="Z695" s="491" t="n"/>
    </row>
    <row r="696" ht="12.75" customHeight="1" s="398">
      <c r="A696" s="491" t="n"/>
      <c r="B696" s="491" t="n"/>
      <c r="C696" s="491" t="n"/>
      <c r="D696" s="491" t="n"/>
      <c r="E696" s="491" t="n"/>
      <c r="F696" s="491" t="n"/>
      <c r="G696" s="491" t="n"/>
      <c r="H696" s="491" t="n"/>
      <c r="I696" s="491" t="n"/>
      <c r="J696" s="491" t="n"/>
      <c r="K696" s="491" t="n"/>
      <c r="L696" s="491" t="n"/>
      <c r="M696" s="491" t="n"/>
      <c r="N696" s="491" t="n"/>
      <c r="O696" s="491" t="n"/>
      <c r="P696" s="491" t="n"/>
      <c r="Q696" s="491" t="n"/>
      <c r="R696" s="491" t="n"/>
      <c r="S696" s="491" t="n"/>
      <c r="T696" s="491" t="n"/>
      <c r="U696" s="491" t="n"/>
      <c r="V696" s="491" t="n"/>
      <c r="W696" s="491" t="n"/>
      <c r="X696" s="491" t="n"/>
      <c r="Y696" s="491" t="n"/>
      <c r="Z696" s="491" t="n"/>
    </row>
    <row r="697" ht="12.75" customHeight="1" s="398">
      <c r="A697" s="491" t="n"/>
      <c r="B697" s="491" t="n"/>
      <c r="C697" s="491" t="n"/>
      <c r="D697" s="491" t="n"/>
      <c r="E697" s="491" t="n"/>
      <c r="F697" s="491" t="n"/>
      <c r="G697" s="491" t="n"/>
      <c r="H697" s="491" t="n"/>
      <c r="I697" s="491" t="n"/>
      <c r="J697" s="491" t="n"/>
      <c r="K697" s="491" t="n"/>
      <c r="L697" s="491" t="n"/>
      <c r="M697" s="491" t="n"/>
      <c r="N697" s="491" t="n"/>
      <c r="O697" s="491" t="n"/>
      <c r="P697" s="491" t="n"/>
      <c r="Q697" s="491" t="n"/>
      <c r="R697" s="491" t="n"/>
      <c r="S697" s="491" t="n"/>
      <c r="T697" s="491" t="n"/>
      <c r="U697" s="491" t="n"/>
      <c r="V697" s="491" t="n"/>
      <c r="W697" s="491" t="n"/>
      <c r="X697" s="491" t="n"/>
      <c r="Y697" s="491" t="n"/>
      <c r="Z697" s="491" t="n"/>
    </row>
    <row r="698" ht="12.75" customHeight="1" s="398">
      <c r="A698" s="491" t="n"/>
      <c r="B698" s="491" t="n"/>
      <c r="C698" s="491" t="n"/>
      <c r="D698" s="491" t="n"/>
      <c r="E698" s="491" t="n"/>
      <c r="F698" s="491" t="n"/>
      <c r="G698" s="491" t="n"/>
      <c r="H698" s="491" t="n"/>
      <c r="I698" s="491" t="n"/>
      <c r="J698" s="491" t="n"/>
      <c r="K698" s="491" t="n"/>
      <c r="L698" s="491" t="n"/>
      <c r="M698" s="491" t="n"/>
      <c r="N698" s="491" t="n"/>
      <c r="O698" s="491" t="n"/>
      <c r="P698" s="491" t="n"/>
      <c r="Q698" s="491" t="n"/>
      <c r="R698" s="491" t="n"/>
      <c r="S698" s="491" t="n"/>
      <c r="T698" s="491" t="n"/>
      <c r="U698" s="491" t="n"/>
      <c r="V698" s="491" t="n"/>
      <c r="W698" s="491" t="n"/>
      <c r="X698" s="491" t="n"/>
      <c r="Y698" s="491" t="n"/>
      <c r="Z698" s="491" t="n"/>
    </row>
    <row r="699" ht="12.75" customHeight="1" s="398">
      <c r="A699" s="491" t="n"/>
      <c r="B699" s="491" t="n"/>
      <c r="C699" s="491" t="n"/>
      <c r="D699" s="491" t="n"/>
      <c r="E699" s="491" t="n"/>
      <c r="F699" s="491" t="n"/>
      <c r="G699" s="491" t="n"/>
      <c r="H699" s="491" t="n"/>
      <c r="I699" s="491" t="n"/>
      <c r="J699" s="491" t="n"/>
      <c r="K699" s="491" t="n"/>
      <c r="L699" s="491" t="n"/>
      <c r="M699" s="491" t="n"/>
      <c r="N699" s="491" t="n"/>
      <c r="O699" s="491" t="n"/>
      <c r="P699" s="491" t="n"/>
      <c r="Q699" s="491" t="n"/>
      <c r="R699" s="491" t="n"/>
      <c r="S699" s="491" t="n"/>
      <c r="T699" s="491" t="n"/>
      <c r="U699" s="491" t="n"/>
      <c r="V699" s="491" t="n"/>
      <c r="W699" s="491" t="n"/>
      <c r="X699" s="491" t="n"/>
      <c r="Y699" s="491" t="n"/>
      <c r="Z699" s="491" t="n"/>
    </row>
    <row r="700" ht="12.75" customHeight="1" s="398">
      <c r="A700" s="491" t="n"/>
      <c r="B700" s="491" t="n"/>
      <c r="C700" s="491" t="n"/>
      <c r="D700" s="491" t="n"/>
      <c r="E700" s="491" t="n"/>
      <c r="F700" s="491" t="n"/>
      <c r="G700" s="491" t="n"/>
      <c r="H700" s="491" t="n"/>
      <c r="I700" s="491" t="n"/>
      <c r="J700" s="491" t="n"/>
      <c r="K700" s="491" t="n"/>
      <c r="L700" s="491" t="n"/>
      <c r="M700" s="491" t="n"/>
      <c r="N700" s="491" t="n"/>
      <c r="O700" s="491" t="n"/>
      <c r="P700" s="491" t="n"/>
      <c r="Q700" s="491" t="n"/>
      <c r="R700" s="491" t="n"/>
      <c r="S700" s="491" t="n"/>
      <c r="T700" s="491" t="n"/>
      <c r="U700" s="491" t="n"/>
      <c r="V700" s="491" t="n"/>
      <c r="W700" s="491" t="n"/>
      <c r="X700" s="491" t="n"/>
      <c r="Y700" s="491" t="n"/>
      <c r="Z700" s="491" t="n"/>
    </row>
    <row r="701" ht="12.75" customHeight="1" s="398">
      <c r="A701" s="491" t="n"/>
      <c r="B701" s="491" t="n"/>
      <c r="C701" s="491" t="n"/>
      <c r="D701" s="491" t="n"/>
      <c r="E701" s="491" t="n"/>
      <c r="F701" s="491" t="n"/>
      <c r="G701" s="491" t="n"/>
      <c r="H701" s="491" t="n"/>
      <c r="I701" s="491" t="n"/>
      <c r="J701" s="491" t="n"/>
      <c r="K701" s="491" t="n"/>
      <c r="L701" s="491" t="n"/>
      <c r="M701" s="491" t="n"/>
      <c r="N701" s="491" t="n"/>
      <c r="O701" s="491" t="n"/>
      <c r="P701" s="491" t="n"/>
      <c r="Q701" s="491" t="n"/>
      <c r="R701" s="491" t="n"/>
      <c r="S701" s="491" t="n"/>
      <c r="T701" s="491" t="n"/>
      <c r="U701" s="491" t="n"/>
      <c r="V701" s="491" t="n"/>
      <c r="W701" s="491" t="n"/>
      <c r="X701" s="491" t="n"/>
      <c r="Y701" s="491" t="n"/>
      <c r="Z701" s="491" t="n"/>
    </row>
    <row r="702" ht="12.75" customHeight="1" s="398">
      <c r="A702" s="491" t="n"/>
      <c r="B702" s="491" t="n"/>
      <c r="C702" s="491" t="n"/>
      <c r="D702" s="491" t="n"/>
      <c r="E702" s="491" t="n"/>
      <c r="F702" s="491" t="n"/>
      <c r="G702" s="491" t="n"/>
      <c r="H702" s="491" t="n"/>
      <c r="I702" s="491" t="n"/>
      <c r="J702" s="491" t="n"/>
      <c r="K702" s="491" t="n"/>
      <c r="L702" s="491" t="n"/>
      <c r="M702" s="491" t="n"/>
      <c r="N702" s="491" t="n"/>
      <c r="O702" s="491" t="n"/>
      <c r="P702" s="491" t="n"/>
      <c r="Q702" s="491" t="n"/>
      <c r="R702" s="491" t="n"/>
      <c r="S702" s="491" t="n"/>
      <c r="T702" s="491" t="n"/>
      <c r="U702" s="491" t="n"/>
      <c r="V702" s="491" t="n"/>
      <c r="W702" s="491" t="n"/>
      <c r="X702" s="491" t="n"/>
      <c r="Y702" s="491" t="n"/>
      <c r="Z702" s="491" t="n"/>
    </row>
    <row r="703" ht="12.75" customHeight="1" s="398">
      <c r="A703" s="491" t="n"/>
      <c r="B703" s="491" t="n"/>
      <c r="C703" s="491" t="n"/>
      <c r="D703" s="491" t="n"/>
      <c r="E703" s="491" t="n"/>
      <c r="F703" s="491" t="n"/>
      <c r="G703" s="491" t="n"/>
      <c r="H703" s="491" t="n"/>
      <c r="I703" s="491" t="n"/>
      <c r="J703" s="491" t="n"/>
      <c r="K703" s="491" t="n"/>
      <c r="L703" s="491" t="n"/>
      <c r="M703" s="491" t="n"/>
      <c r="N703" s="491" t="n"/>
      <c r="O703" s="491" t="n"/>
      <c r="P703" s="491" t="n"/>
      <c r="Q703" s="491" t="n"/>
      <c r="R703" s="491" t="n"/>
      <c r="S703" s="491" t="n"/>
      <c r="T703" s="491" t="n"/>
      <c r="U703" s="491" t="n"/>
      <c r="V703" s="491" t="n"/>
      <c r="W703" s="491" t="n"/>
      <c r="X703" s="491" t="n"/>
      <c r="Y703" s="491" t="n"/>
      <c r="Z703" s="491" t="n"/>
    </row>
    <row r="704" ht="12.75" customHeight="1" s="398">
      <c r="A704" s="491" t="n"/>
      <c r="B704" s="491" t="n"/>
      <c r="C704" s="491" t="n"/>
      <c r="D704" s="491" t="n"/>
      <c r="E704" s="491" t="n"/>
      <c r="F704" s="491" t="n"/>
      <c r="G704" s="491" t="n"/>
      <c r="H704" s="491" t="n"/>
      <c r="I704" s="491" t="n"/>
      <c r="J704" s="491" t="n"/>
      <c r="K704" s="491" t="n"/>
      <c r="L704" s="491" t="n"/>
      <c r="M704" s="491" t="n"/>
      <c r="N704" s="491" t="n"/>
      <c r="O704" s="491" t="n"/>
      <c r="P704" s="491" t="n"/>
      <c r="Q704" s="491" t="n"/>
      <c r="R704" s="491" t="n"/>
      <c r="S704" s="491" t="n"/>
      <c r="T704" s="491" t="n"/>
      <c r="U704" s="491" t="n"/>
      <c r="V704" s="491" t="n"/>
      <c r="W704" s="491" t="n"/>
      <c r="X704" s="491" t="n"/>
      <c r="Y704" s="491" t="n"/>
      <c r="Z704" s="491" t="n"/>
    </row>
    <row r="705" ht="12.75" customHeight="1" s="398">
      <c r="A705" s="491" t="n"/>
      <c r="B705" s="491" t="n"/>
      <c r="C705" s="491" t="n"/>
      <c r="D705" s="491" t="n"/>
      <c r="E705" s="491" t="n"/>
      <c r="F705" s="491" t="n"/>
      <c r="G705" s="491" t="n"/>
      <c r="H705" s="491" t="n"/>
      <c r="I705" s="491" t="n"/>
      <c r="J705" s="491" t="n"/>
      <c r="K705" s="491" t="n"/>
      <c r="L705" s="491" t="n"/>
      <c r="M705" s="491" t="n"/>
      <c r="N705" s="491" t="n"/>
      <c r="O705" s="491" t="n"/>
      <c r="P705" s="491" t="n"/>
      <c r="Q705" s="491" t="n"/>
      <c r="R705" s="491" t="n"/>
      <c r="S705" s="491" t="n"/>
      <c r="T705" s="491" t="n"/>
      <c r="U705" s="491" t="n"/>
      <c r="V705" s="491" t="n"/>
      <c r="W705" s="491" t="n"/>
      <c r="X705" s="491" t="n"/>
      <c r="Y705" s="491" t="n"/>
      <c r="Z705" s="491" t="n"/>
    </row>
    <row r="706" ht="12.75" customHeight="1" s="398">
      <c r="A706" s="491" t="n"/>
      <c r="B706" s="491" t="n"/>
      <c r="C706" s="491" t="n"/>
      <c r="D706" s="491" t="n"/>
      <c r="E706" s="491" t="n"/>
      <c r="F706" s="491" t="n"/>
      <c r="G706" s="491" t="n"/>
      <c r="H706" s="491" t="n"/>
      <c r="I706" s="491" t="n"/>
      <c r="J706" s="491" t="n"/>
      <c r="K706" s="491" t="n"/>
      <c r="L706" s="491" t="n"/>
      <c r="M706" s="491" t="n"/>
      <c r="N706" s="491" t="n"/>
      <c r="O706" s="491" t="n"/>
      <c r="P706" s="491" t="n"/>
      <c r="Q706" s="491" t="n"/>
      <c r="R706" s="491" t="n"/>
      <c r="S706" s="491" t="n"/>
      <c r="T706" s="491" t="n"/>
      <c r="U706" s="491" t="n"/>
      <c r="V706" s="491" t="n"/>
      <c r="W706" s="491" t="n"/>
      <c r="X706" s="491" t="n"/>
      <c r="Y706" s="491" t="n"/>
      <c r="Z706" s="491" t="n"/>
    </row>
    <row r="707" ht="12.75" customHeight="1" s="398">
      <c r="A707" s="491" t="n"/>
      <c r="B707" s="491" t="n"/>
      <c r="C707" s="491" t="n"/>
      <c r="D707" s="491" t="n"/>
      <c r="E707" s="491" t="n"/>
      <c r="F707" s="491" t="n"/>
      <c r="G707" s="491" t="n"/>
      <c r="H707" s="491" t="n"/>
      <c r="I707" s="491" t="n"/>
      <c r="J707" s="491" t="n"/>
      <c r="K707" s="491" t="n"/>
      <c r="L707" s="491" t="n"/>
      <c r="M707" s="491" t="n"/>
      <c r="N707" s="491" t="n"/>
      <c r="O707" s="491" t="n"/>
      <c r="P707" s="491" t="n"/>
      <c r="Q707" s="491" t="n"/>
      <c r="R707" s="491" t="n"/>
      <c r="S707" s="491" t="n"/>
      <c r="T707" s="491" t="n"/>
      <c r="U707" s="491" t="n"/>
      <c r="V707" s="491" t="n"/>
      <c r="W707" s="491" t="n"/>
      <c r="X707" s="491" t="n"/>
      <c r="Y707" s="491" t="n"/>
      <c r="Z707" s="491" t="n"/>
    </row>
    <row r="708" ht="12.75" customHeight="1" s="398">
      <c r="A708" s="491" t="n"/>
      <c r="B708" s="491" t="n"/>
      <c r="C708" s="491" t="n"/>
      <c r="D708" s="491" t="n"/>
      <c r="E708" s="491" t="n"/>
      <c r="F708" s="491" t="n"/>
      <c r="G708" s="491" t="n"/>
      <c r="H708" s="491" t="n"/>
      <c r="I708" s="491" t="n"/>
      <c r="J708" s="491" t="n"/>
      <c r="K708" s="491" t="n"/>
      <c r="L708" s="491" t="n"/>
      <c r="M708" s="491" t="n"/>
      <c r="N708" s="491" t="n"/>
      <c r="O708" s="491" t="n"/>
      <c r="P708" s="491" t="n"/>
      <c r="Q708" s="491" t="n"/>
      <c r="R708" s="491" t="n"/>
      <c r="S708" s="491" t="n"/>
      <c r="T708" s="491" t="n"/>
      <c r="U708" s="491" t="n"/>
      <c r="V708" s="491" t="n"/>
      <c r="W708" s="491" t="n"/>
      <c r="X708" s="491" t="n"/>
      <c r="Y708" s="491" t="n"/>
      <c r="Z708" s="491" t="n"/>
    </row>
    <row r="709" ht="12.75" customHeight="1" s="398">
      <c r="A709" s="491" t="n"/>
      <c r="B709" s="491" t="n"/>
      <c r="C709" s="491" t="n"/>
      <c r="D709" s="491" t="n"/>
      <c r="E709" s="491" t="n"/>
      <c r="F709" s="491" t="n"/>
      <c r="G709" s="491" t="n"/>
      <c r="H709" s="491" t="n"/>
      <c r="I709" s="491" t="n"/>
      <c r="J709" s="491" t="n"/>
      <c r="K709" s="491" t="n"/>
      <c r="L709" s="491" t="n"/>
      <c r="M709" s="491" t="n"/>
      <c r="N709" s="491" t="n"/>
      <c r="O709" s="491" t="n"/>
      <c r="P709" s="491" t="n"/>
      <c r="Q709" s="491" t="n"/>
      <c r="R709" s="491" t="n"/>
      <c r="S709" s="491" t="n"/>
      <c r="T709" s="491" t="n"/>
      <c r="U709" s="491" t="n"/>
      <c r="V709" s="491" t="n"/>
      <c r="W709" s="491" t="n"/>
      <c r="X709" s="491" t="n"/>
      <c r="Y709" s="491" t="n"/>
      <c r="Z709" s="491" t="n"/>
    </row>
    <row r="710" ht="12.75" customHeight="1" s="398">
      <c r="A710" s="491" t="n"/>
      <c r="B710" s="491" t="n"/>
      <c r="C710" s="491" t="n"/>
      <c r="D710" s="491" t="n"/>
      <c r="E710" s="491" t="n"/>
      <c r="F710" s="491" t="n"/>
      <c r="G710" s="491" t="n"/>
      <c r="H710" s="491" t="n"/>
      <c r="I710" s="491" t="n"/>
      <c r="J710" s="491" t="n"/>
      <c r="K710" s="491" t="n"/>
      <c r="L710" s="491" t="n"/>
      <c r="M710" s="491" t="n"/>
      <c r="N710" s="491" t="n"/>
      <c r="O710" s="491" t="n"/>
      <c r="P710" s="491" t="n"/>
      <c r="Q710" s="491" t="n"/>
      <c r="R710" s="491" t="n"/>
      <c r="S710" s="491" t="n"/>
      <c r="T710" s="491" t="n"/>
      <c r="U710" s="491" t="n"/>
      <c r="V710" s="491" t="n"/>
      <c r="W710" s="491" t="n"/>
      <c r="X710" s="491" t="n"/>
      <c r="Y710" s="491" t="n"/>
      <c r="Z710" s="491" t="n"/>
    </row>
    <row r="711" ht="12.75" customHeight="1" s="398">
      <c r="A711" s="491" t="n"/>
      <c r="B711" s="491" t="n"/>
      <c r="C711" s="491" t="n"/>
      <c r="D711" s="491" t="n"/>
      <c r="E711" s="491" t="n"/>
      <c r="F711" s="491" t="n"/>
      <c r="G711" s="491" t="n"/>
      <c r="H711" s="491" t="n"/>
      <c r="I711" s="491" t="n"/>
      <c r="J711" s="491" t="n"/>
      <c r="K711" s="491" t="n"/>
      <c r="L711" s="491" t="n"/>
      <c r="M711" s="491" t="n"/>
      <c r="N711" s="491" t="n"/>
      <c r="O711" s="491" t="n"/>
      <c r="P711" s="491" t="n"/>
      <c r="Q711" s="491" t="n"/>
      <c r="R711" s="491" t="n"/>
      <c r="S711" s="491" t="n"/>
      <c r="T711" s="491" t="n"/>
      <c r="U711" s="491" t="n"/>
      <c r="V711" s="491" t="n"/>
      <c r="W711" s="491" t="n"/>
      <c r="X711" s="491" t="n"/>
      <c r="Y711" s="491" t="n"/>
      <c r="Z711" s="491" t="n"/>
    </row>
    <row r="712" ht="12.75" customHeight="1" s="398">
      <c r="A712" s="491" t="n"/>
      <c r="B712" s="491" t="n"/>
      <c r="C712" s="491" t="n"/>
      <c r="D712" s="491" t="n"/>
      <c r="E712" s="491" t="n"/>
      <c r="F712" s="491" t="n"/>
      <c r="G712" s="491" t="n"/>
      <c r="H712" s="491" t="n"/>
      <c r="I712" s="491" t="n"/>
      <c r="J712" s="491" t="n"/>
      <c r="K712" s="491" t="n"/>
      <c r="L712" s="491" t="n"/>
      <c r="M712" s="491" t="n"/>
      <c r="N712" s="491" t="n"/>
      <c r="O712" s="491" t="n"/>
      <c r="P712" s="491" t="n"/>
      <c r="Q712" s="491" t="n"/>
      <c r="R712" s="491" t="n"/>
      <c r="S712" s="491" t="n"/>
      <c r="T712" s="491" t="n"/>
      <c r="U712" s="491" t="n"/>
      <c r="V712" s="491" t="n"/>
      <c r="W712" s="491" t="n"/>
      <c r="X712" s="491" t="n"/>
      <c r="Y712" s="491" t="n"/>
      <c r="Z712" s="491" t="n"/>
    </row>
    <row r="713" ht="12.75" customHeight="1" s="398">
      <c r="A713" s="491" t="n"/>
      <c r="B713" s="491" t="n"/>
      <c r="C713" s="491" t="n"/>
      <c r="D713" s="491" t="n"/>
      <c r="E713" s="491" t="n"/>
      <c r="F713" s="491" t="n"/>
      <c r="G713" s="491" t="n"/>
      <c r="H713" s="491" t="n"/>
      <c r="I713" s="491" t="n"/>
      <c r="J713" s="491" t="n"/>
      <c r="K713" s="491" t="n"/>
      <c r="L713" s="491" t="n"/>
      <c r="M713" s="491" t="n"/>
      <c r="N713" s="491" t="n"/>
      <c r="O713" s="491" t="n"/>
      <c r="P713" s="491" t="n"/>
      <c r="Q713" s="491" t="n"/>
      <c r="R713" s="491" t="n"/>
      <c r="S713" s="491" t="n"/>
      <c r="T713" s="491" t="n"/>
      <c r="U713" s="491" t="n"/>
      <c r="V713" s="491" t="n"/>
      <c r="W713" s="491" t="n"/>
      <c r="X713" s="491" t="n"/>
      <c r="Y713" s="491" t="n"/>
      <c r="Z713" s="491" t="n"/>
    </row>
    <row r="714" ht="12.75" customHeight="1" s="398">
      <c r="A714" s="491" t="n"/>
      <c r="B714" s="491" t="n"/>
      <c r="C714" s="491" t="n"/>
      <c r="D714" s="491" t="n"/>
      <c r="E714" s="491" t="n"/>
      <c r="F714" s="491" t="n"/>
      <c r="G714" s="491" t="n"/>
      <c r="H714" s="491" t="n"/>
      <c r="I714" s="491" t="n"/>
      <c r="J714" s="491" t="n"/>
      <c r="K714" s="491" t="n"/>
      <c r="L714" s="491" t="n"/>
      <c r="M714" s="491" t="n"/>
      <c r="N714" s="491" t="n"/>
      <c r="O714" s="491" t="n"/>
      <c r="P714" s="491" t="n"/>
      <c r="Q714" s="491" t="n"/>
      <c r="R714" s="491" t="n"/>
      <c r="S714" s="491" t="n"/>
      <c r="T714" s="491" t="n"/>
      <c r="U714" s="491" t="n"/>
      <c r="V714" s="491" t="n"/>
      <c r="W714" s="491" t="n"/>
      <c r="X714" s="491" t="n"/>
      <c r="Y714" s="491" t="n"/>
      <c r="Z714" s="491" t="n"/>
    </row>
    <row r="715" ht="12.75" customHeight="1" s="398">
      <c r="A715" s="491" t="n"/>
      <c r="B715" s="491" t="n"/>
      <c r="C715" s="491" t="n"/>
      <c r="D715" s="491" t="n"/>
      <c r="E715" s="491" t="n"/>
      <c r="F715" s="491" t="n"/>
      <c r="G715" s="491" t="n"/>
      <c r="H715" s="491" t="n"/>
      <c r="I715" s="491" t="n"/>
      <c r="J715" s="491" t="n"/>
      <c r="K715" s="491" t="n"/>
      <c r="L715" s="491" t="n"/>
      <c r="M715" s="491" t="n"/>
      <c r="N715" s="491" t="n"/>
      <c r="O715" s="491" t="n"/>
      <c r="P715" s="491" t="n"/>
      <c r="Q715" s="491" t="n"/>
      <c r="R715" s="491" t="n"/>
      <c r="S715" s="491" t="n"/>
      <c r="T715" s="491" t="n"/>
      <c r="U715" s="491" t="n"/>
      <c r="V715" s="491" t="n"/>
      <c r="W715" s="491" t="n"/>
      <c r="X715" s="491" t="n"/>
      <c r="Y715" s="491" t="n"/>
      <c r="Z715" s="491" t="n"/>
    </row>
    <row r="716" ht="12.75" customHeight="1" s="398">
      <c r="A716" s="491" t="n"/>
      <c r="B716" s="491" t="n"/>
      <c r="C716" s="491" t="n"/>
      <c r="D716" s="491" t="n"/>
      <c r="E716" s="491" t="n"/>
      <c r="F716" s="491" t="n"/>
      <c r="G716" s="491" t="n"/>
      <c r="H716" s="491" t="n"/>
      <c r="I716" s="491" t="n"/>
      <c r="J716" s="491" t="n"/>
      <c r="K716" s="491" t="n"/>
      <c r="L716" s="491" t="n"/>
      <c r="M716" s="491" t="n"/>
      <c r="N716" s="491" t="n"/>
      <c r="O716" s="491" t="n"/>
      <c r="P716" s="491" t="n"/>
      <c r="Q716" s="491" t="n"/>
      <c r="R716" s="491" t="n"/>
      <c r="S716" s="491" t="n"/>
      <c r="T716" s="491" t="n"/>
      <c r="U716" s="491" t="n"/>
      <c r="V716" s="491" t="n"/>
      <c r="W716" s="491" t="n"/>
      <c r="X716" s="491" t="n"/>
      <c r="Y716" s="491" t="n"/>
      <c r="Z716" s="491" t="n"/>
    </row>
    <row r="717" ht="12.75" customHeight="1" s="398">
      <c r="A717" s="491" t="n"/>
      <c r="B717" s="491" t="n"/>
      <c r="C717" s="491" t="n"/>
      <c r="D717" s="491" t="n"/>
      <c r="E717" s="491" t="n"/>
      <c r="F717" s="491" t="n"/>
      <c r="G717" s="491" t="n"/>
      <c r="H717" s="491" t="n"/>
      <c r="I717" s="491" t="n"/>
      <c r="J717" s="491" t="n"/>
      <c r="K717" s="491" t="n"/>
      <c r="L717" s="491" t="n"/>
      <c r="M717" s="491" t="n"/>
      <c r="N717" s="491" t="n"/>
      <c r="O717" s="491" t="n"/>
      <c r="P717" s="491" t="n"/>
      <c r="Q717" s="491" t="n"/>
      <c r="R717" s="491" t="n"/>
      <c r="S717" s="491" t="n"/>
      <c r="T717" s="491" t="n"/>
      <c r="U717" s="491" t="n"/>
      <c r="V717" s="491" t="n"/>
      <c r="W717" s="491" t="n"/>
      <c r="X717" s="491" t="n"/>
      <c r="Y717" s="491" t="n"/>
      <c r="Z717" s="491" t="n"/>
    </row>
    <row r="718" ht="12.75" customHeight="1" s="398">
      <c r="A718" s="491" t="n"/>
      <c r="B718" s="491" t="n"/>
      <c r="C718" s="491" t="n"/>
      <c r="D718" s="491" t="n"/>
      <c r="E718" s="491" t="n"/>
      <c r="F718" s="491" t="n"/>
      <c r="G718" s="491" t="n"/>
      <c r="H718" s="491" t="n"/>
      <c r="I718" s="491" t="n"/>
      <c r="J718" s="491" t="n"/>
      <c r="K718" s="491" t="n"/>
      <c r="L718" s="491" t="n"/>
      <c r="M718" s="491" t="n"/>
      <c r="N718" s="491" t="n"/>
      <c r="O718" s="491" t="n"/>
      <c r="P718" s="491" t="n"/>
      <c r="Q718" s="491" t="n"/>
      <c r="R718" s="491" t="n"/>
      <c r="S718" s="491" t="n"/>
      <c r="T718" s="491" t="n"/>
      <c r="U718" s="491" t="n"/>
      <c r="V718" s="491" t="n"/>
      <c r="W718" s="491" t="n"/>
      <c r="X718" s="491" t="n"/>
      <c r="Y718" s="491" t="n"/>
      <c r="Z718" s="491" t="n"/>
    </row>
    <row r="719" ht="12.75" customHeight="1" s="398">
      <c r="A719" s="491" t="n"/>
      <c r="B719" s="491" t="n"/>
      <c r="C719" s="491" t="n"/>
      <c r="D719" s="491" t="n"/>
      <c r="E719" s="491" t="n"/>
      <c r="F719" s="491" t="n"/>
      <c r="G719" s="491" t="n"/>
      <c r="H719" s="491" t="n"/>
      <c r="I719" s="491" t="n"/>
      <c r="J719" s="491" t="n"/>
      <c r="K719" s="491" t="n"/>
      <c r="L719" s="491" t="n"/>
      <c r="M719" s="491" t="n"/>
      <c r="N719" s="491" t="n"/>
      <c r="O719" s="491" t="n"/>
      <c r="P719" s="491" t="n"/>
      <c r="Q719" s="491" t="n"/>
      <c r="R719" s="491" t="n"/>
      <c r="S719" s="491" t="n"/>
      <c r="T719" s="491" t="n"/>
      <c r="U719" s="491" t="n"/>
      <c r="V719" s="491" t="n"/>
      <c r="W719" s="491" t="n"/>
      <c r="X719" s="491" t="n"/>
      <c r="Y719" s="491" t="n"/>
      <c r="Z719" s="491" t="n"/>
    </row>
    <row r="720" ht="12.75" customHeight="1" s="398">
      <c r="A720" s="491" t="n"/>
      <c r="B720" s="491" t="n"/>
      <c r="C720" s="491" t="n"/>
      <c r="D720" s="491" t="n"/>
      <c r="E720" s="491" t="n"/>
      <c r="F720" s="491" t="n"/>
      <c r="G720" s="491" t="n"/>
      <c r="H720" s="491" t="n"/>
      <c r="I720" s="491" t="n"/>
      <c r="J720" s="491" t="n"/>
      <c r="K720" s="491" t="n"/>
      <c r="L720" s="491" t="n"/>
      <c r="M720" s="491" t="n"/>
      <c r="N720" s="491" t="n"/>
      <c r="O720" s="491" t="n"/>
      <c r="P720" s="491" t="n"/>
      <c r="Q720" s="491" t="n"/>
      <c r="R720" s="491" t="n"/>
      <c r="S720" s="491" t="n"/>
      <c r="T720" s="491" t="n"/>
      <c r="U720" s="491" t="n"/>
      <c r="V720" s="491" t="n"/>
      <c r="W720" s="491" t="n"/>
      <c r="X720" s="491" t="n"/>
      <c r="Y720" s="491" t="n"/>
      <c r="Z720" s="491" t="n"/>
    </row>
    <row r="721" ht="12.75" customHeight="1" s="398">
      <c r="A721" s="491" t="n"/>
      <c r="B721" s="491" t="n"/>
      <c r="C721" s="491" t="n"/>
      <c r="D721" s="491" t="n"/>
      <c r="E721" s="491" t="n"/>
      <c r="F721" s="491" t="n"/>
      <c r="G721" s="491" t="n"/>
      <c r="H721" s="491" t="n"/>
      <c r="I721" s="491" t="n"/>
      <c r="J721" s="491" t="n"/>
      <c r="K721" s="491" t="n"/>
      <c r="L721" s="491" t="n"/>
      <c r="M721" s="491" t="n"/>
      <c r="N721" s="491" t="n"/>
      <c r="O721" s="491" t="n"/>
      <c r="P721" s="491" t="n"/>
      <c r="Q721" s="491" t="n"/>
      <c r="R721" s="491" t="n"/>
      <c r="S721" s="491" t="n"/>
      <c r="T721" s="491" t="n"/>
      <c r="U721" s="491" t="n"/>
      <c r="V721" s="491" t="n"/>
      <c r="W721" s="491" t="n"/>
      <c r="X721" s="491" t="n"/>
      <c r="Y721" s="491" t="n"/>
      <c r="Z721" s="491" t="n"/>
    </row>
    <row r="722" ht="12.75" customHeight="1" s="398">
      <c r="A722" s="491" t="n"/>
      <c r="B722" s="491" t="n"/>
      <c r="C722" s="491" t="n"/>
      <c r="D722" s="491" t="n"/>
      <c r="E722" s="491" t="n"/>
      <c r="F722" s="491" t="n"/>
      <c r="G722" s="491" t="n"/>
      <c r="H722" s="491" t="n"/>
      <c r="I722" s="491" t="n"/>
      <c r="J722" s="491" t="n"/>
      <c r="K722" s="491" t="n"/>
      <c r="L722" s="491" t="n"/>
      <c r="M722" s="491" t="n"/>
      <c r="N722" s="491" t="n"/>
      <c r="O722" s="491" t="n"/>
      <c r="P722" s="491" t="n"/>
      <c r="Q722" s="491" t="n"/>
      <c r="R722" s="491" t="n"/>
      <c r="S722" s="491" t="n"/>
      <c r="T722" s="491" t="n"/>
      <c r="U722" s="491" t="n"/>
      <c r="V722" s="491" t="n"/>
      <c r="W722" s="491" t="n"/>
      <c r="X722" s="491" t="n"/>
      <c r="Y722" s="491" t="n"/>
      <c r="Z722" s="491" t="n"/>
    </row>
    <row r="723" ht="12.75" customHeight="1" s="398">
      <c r="A723" s="491" t="n"/>
      <c r="B723" s="491" t="n"/>
      <c r="C723" s="491" t="n"/>
      <c r="D723" s="491" t="n"/>
      <c r="E723" s="491" t="n"/>
      <c r="F723" s="491" t="n"/>
      <c r="G723" s="491" t="n"/>
      <c r="H723" s="491" t="n"/>
      <c r="I723" s="491" t="n"/>
      <c r="J723" s="491" t="n"/>
      <c r="K723" s="491" t="n"/>
      <c r="L723" s="491" t="n"/>
      <c r="M723" s="491" t="n"/>
      <c r="N723" s="491" t="n"/>
      <c r="O723" s="491" t="n"/>
      <c r="P723" s="491" t="n"/>
      <c r="Q723" s="491" t="n"/>
      <c r="R723" s="491" t="n"/>
      <c r="S723" s="491" t="n"/>
      <c r="T723" s="491" t="n"/>
      <c r="U723" s="491" t="n"/>
      <c r="V723" s="491" t="n"/>
      <c r="W723" s="491" t="n"/>
      <c r="X723" s="491" t="n"/>
      <c r="Y723" s="491" t="n"/>
      <c r="Z723" s="491" t="n"/>
    </row>
    <row r="724" ht="12.75" customHeight="1" s="398">
      <c r="A724" s="491" t="n"/>
      <c r="B724" s="491" t="n"/>
      <c r="C724" s="491" t="n"/>
      <c r="D724" s="491" t="n"/>
      <c r="E724" s="491" t="n"/>
      <c r="F724" s="491" t="n"/>
      <c r="G724" s="491" t="n"/>
      <c r="H724" s="491" t="n"/>
      <c r="I724" s="491" t="n"/>
      <c r="J724" s="491" t="n"/>
      <c r="K724" s="491" t="n"/>
      <c r="L724" s="491" t="n"/>
      <c r="M724" s="491" t="n"/>
      <c r="N724" s="491" t="n"/>
      <c r="O724" s="491" t="n"/>
      <c r="P724" s="491" t="n"/>
      <c r="Q724" s="491" t="n"/>
      <c r="R724" s="491" t="n"/>
      <c r="S724" s="491" t="n"/>
      <c r="T724" s="491" t="n"/>
      <c r="U724" s="491" t="n"/>
      <c r="V724" s="491" t="n"/>
      <c r="W724" s="491" t="n"/>
      <c r="X724" s="491" t="n"/>
      <c r="Y724" s="491" t="n"/>
      <c r="Z724" s="491" t="n"/>
    </row>
    <row r="725" ht="12.75" customHeight="1" s="398">
      <c r="A725" s="491" t="n"/>
      <c r="B725" s="491" t="n"/>
      <c r="C725" s="491" t="n"/>
      <c r="D725" s="491" t="n"/>
      <c r="E725" s="491" t="n"/>
      <c r="F725" s="491" t="n"/>
      <c r="G725" s="491" t="n"/>
      <c r="H725" s="491" t="n"/>
      <c r="I725" s="491" t="n"/>
      <c r="J725" s="491" t="n"/>
      <c r="K725" s="491" t="n"/>
      <c r="L725" s="491" t="n"/>
      <c r="M725" s="491" t="n"/>
      <c r="N725" s="491" t="n"/>
      <c r="O725" s="491" t="n"/>
      <c r="P725" s="491" t="n"/>
      <c r="Q725" s="491" t="n"/>
      <c r="R725" s="491" t="n"/>
      <c r="S725" s="491" t="n"/>
      <c r="T725" s="491" t="n"/>
      <c r="U725" s="491" t="n"/>
      <c r="V725" s="491" t="n"/>
      <c r="W725" s="491" t="n"/>
      <c r="X725" s="491" t="n"/>
      <c r="Y725" s="491" t="n"/>
      <c r="Z725" s="491" t="n"/>
    </row>
    <row r="726" ht="12.75" customHeight="1" s="398">
      <c r="A726" s="491" t="n"/>
      <c r="B726" s="491" t="n"/>
      <c r="C726" s="491" t="n"/>
      <c r="D726" s="491" t="n"/>
      <c r="E726" s="491" t="n"/>
      <c r="F726" s="491" t="n"/>
      <c r="G726" s="491" t="n"/>
      <c r="H726" s="491" t="n"/>
      <c r="I726" s="491" t="n"/>
      <c r="J726" s="491" t="n"/>
      <c r="K726" s="491" t="n"/>
      <c r="L726" s="491" t="n"/>
      <c r="M726" s="491" t="n"/>
      <c r="N726" s="491" t="n"/>
      <c r="O726" s="491" t="n"/>
      <c r="P726" s="491" t="n"/>
      <c r="Q726" s="491" t="n"/>
      <c r="R726" s="491" t="n"/>
      <c r="S726" s="491" t="n"/>
      <c r="T726" s="491" t="n"/>
      <c r="U726" s="491" t="n"/>
      <c r="V726" s="491" t="n"/>
      <c r="W726" s="491" t="n"/>
      <c r="X726" s="491" t="n"/>
      <c r="Y726" s="491" t="n"/>
      <c r="Z726" s="491" t="n"/>
    </row>
    <row r="727" ht="12.75" customHeight="1" s="398">
      <c r="A727" s="491" t="n"/>
      <c r="B727" s="491" t="n"/>
      <c r="C727" s="491" t="n"/>
      <c r="D727" s="491" t="n"/>
      <c r="E727" s="491" t="n"/>
      <c r="F727" s="491" t="n"/>
      <c r="G727" s="491" t="n"/>
      <c r="H727" s="491" t="n"/>
      <c r="I727" s="491" t="n"/>
      <c r="J727" s="491" t="n"/>
      <c r="K727" s="491" t="n"/>
      <c r="L727" s="491" t="n"/>
      <c r="M727" s="491" t="n"/>
      <c r="N727" s="491" t="n"/>
      <c r="O727" s="491" t="n"/>
      <c r="P727" s="491" t="n"/>
      <c r="Q727" s="491" t="n"/>
      <c r="R727" s="491" t="n"/>
      <c r="S727" s="491" t="n"/>
      <c r="T727" s="491" t="n"/>
      <c r="U727" s="491" t="n"/>
      <c r="V727" s="491" t="n"/>
      <c r="W727" s="491" t="n"/>
      <c r="X727" s="491" t="n"/>
      <c r="Y727" s="491" t="n"/>
      <c r="Z727" s="491" t="n"/>
    </row>
    <row r="728" ht="12.75" customHeight="1" s="398">
      <c r="A728" s="491" t="n"/>
      <c r="B728" s="491" t="n"/>
      <c r="C728" s="491" t="n"/>
      <c r="D728" s="491" t="n"/>
      <c r="E728" s="491" t="n"/>
      <c r="F728" s="491" t="n"/>
      <c r="G728" s="491" t="n"/>
      <c r="H728" s="491" t="n"/>
      <c r="I728" s="491" t="n"/>
      <c r="J728" s="491" t="n"/>
      <c r="K728" s="491" t="n"/>
      <c r="L728" s="491" t="n"/>
      <c r="M728" s="491" t="n"/>
      <c r="N728" s="491" t="n"/>
      <c r="O728" s="491" t="n"/>
      <c r="P728" s="491" t="n"/>
      <c r="Q728" s="491" t="n"/>
      <c r="R728" s="491" t="n"/>
      <c r="S728" s="491" t="n"/>
      <c r="T728" s="491" t="n"/>
      <c r="U728" s="491" t="n"/>
      <c r="V728" s="491" t="n"/>
      <c r="W728" s="491" t="n"/>
      <c r="X728" s="491" t="n"/>
      <c r="Y728" s="491" t="n"/>
      <c r="Z728" s="491" t="n"/>
    </row>
    <row r="729" ht="12.75" customHeight="1" s="398">
      <c r="A729" s="491" t="n"/>
      <c r="B729" s="491" t="n"/>
      <c r="C729" s="491" t="n"/>
      <c r="D729" s="491" t="n"/>
      <c r="E729" s="491" t="n"/>
      <c r="F729" s="491" t="n"/>
      <c r="G729" s="491" t="n"/>
      <c r="H729" s="491" t="n"/>
      <c r="I729" s="491" t="n"/>
      <c r="J729" s="491" t="n"/>
      <c r="K729" s="491" t="n"/>
      <c r="L729" s="491" t="n"/>
      <c r="M729" s="491" t="n"/>
      <c r="N729" s="491" t="n"/>
      <c r="O729" s="491" t="n"/>
      <c r="P729" s="491" t="n"/>
      <c r="Q729" s="491" t="n"/>
      <c r="R729" s="491" t="n"/>
      <c r="S729" s="491" t="n"/>
      <c r="T729" s="491" t="n"/>
      <c r="U729" s="491" t="n"/>
      <c r="V729" s="491" t="n"/>
      <c r="W729" s="491" t="n"/>
      <c r="X729" s="491" t="n"/>
      <c r="Y729" s="491" t="n"/>
      <c r="Z729" s="491" t="n"/>
    </row>
    <row r="730" ht="12.75" customHeight="1" s="398">
      <c r="A730" s="491" t="n"/>
      <c r="B730" s="491" t="n"/>
      <c r="C730" s="491" t="n"/>
      <c r="D730" s="491" t="n"/>
      <c r="E730" s="491" t="n"/>
      <c r="F730" s="491" t="n"/>
      <c r="G730" s="491" t="n"/>
      <c r="H730" s="491" t="n"/>
      <c r="I730" s="491" t="n"/>
      <c r="J730" s="491" t="n"/>
      <c r="K730" s="491" t="n"/>
      <c r="L730" s="491" t="n"/>
      <c r="M730" s="491" t="n"/>
      <c r="N730" s="491" t="n"/>
      <c r="O730" s="491" t="n"/>
      <c r="P730" s="491" t="n"/>
      <c r="Q730" s="491" t="n"/>
      <c r="R730" s="491" t="n"/>
      <c r="S730" s="491" t="n"/>
      <c r="T730" s="491" t="n"/>
      <c r="U730" s="491" t="n"/>
      <c r="V730" s="491" t="n"/>
      <c r="W730" s="491" t="n"/>
      <c r="X730" s="491" t="n"/>
      <c r="Y730" s="491" t="n"/>
      <c r="Z730" s="491" t="n"/>
    </row>
    <row r="731" ht="12.75" customHeight="1" s="398">
      <c r="A731" s="491" t="n"/>
      <c r="B731" s="491" t="n"/>
      <c r="C731" s="491" t="n"/>
      <c r="D731" s="491" t="n"/>
      <c r="E731" s="491" t="n"/>
      <c r="F731" s="491" t="n"/>
      <c r="G731" s="491" t="n"/>
      <c r="H731" s="491" t="n"/>
      <c r="I731" s="491" t="n"/>
      <c r="J731" s="491" t="n"/>
      <c r="K731" s="491" t="n"/>
      <c r="L731" s="491" t="n"/>
      <c r="M731" s="491" t="n"/>
      <c r="N731" s="491" t="n"/>
      <c r="O731" s="491" t="n"/>
      <c r="P731" s="491" t="n"/>
      <c r="Q731" s="491" t="n"/>
      <c r="R731" s="491" t="n"/>
      <c r="S731" s="491" t="n"/>
      <c r="T731" s="491" t="n"/>
      <c r="U731" s="491" t="n"/>
      <c r="V731" s="491" t="n"/>
      <c r="W731" s="491" t="n"/>
      <c r="X731" s="491" t="n"/>
      <c r="Y731" s="491" t="n"/>
      <c r="Z731" s="491" t="n"/>
    </row>
    <row r="732" ht="12.75" customHeight="1" s="398">
      <c r="A732" s="491" t="n"/>
      <c r="B732" s="491" t="n"/>
      <c r="C732" s="491" t="n"/>
      <c r="D732" s="491" t="n"/>
      <c r="E732" s="491" t="n"/>
      <c r="F732" s="491" t="n"/>
      <c r="G732" s="491" t="n"/>
      <c r="H732" s="491" t="n"/>
      <c r="I732" s="491" t="n"/>
      <c r="J732" s="491" t="n"/>
      <c r="K732" s="491" t="n"/>
      <c r="L732" s="491" t="n"/>
      <c r="M732" s="491" t="n"/>
      <c r="N732" s="491" t="n"/>
      <c r="O732" s="491" t="n"/>
      <c r="P732" s="491" t="n"/>
      <c r="Q732" s="491" t="n"/>
      <c r="R732" s="491" t="n"/>
      <c r="S732" s="491" t="n"/>
      <c r="T732" s="491" t="n"/>
      <c r="U732" s="491" t="n"/>
      <c r="V732" s="491" t="n"/>
      <c r="W732" s="491" t="n"/>
      <c r="X732" s="491" t="n"/>
      <c r="Y732" s="491" t="n"/>
      <c r="Z732" s="491" t="n"/>
    </row>
    <row r="733" ht="12.75" customHeight="1" s="398">
      <c r="A733" s="491" t="n"/>
      <c r="B733" s="491" t="n"/>
      <c r="C733" s="491" t="n"/>
      <c r="D733" s="491" t="n"/>
      <c r="E733" s="491" t="n"/>
      <c r="F733" s="491" t="n"/>
      <c r="G733" s="491" t="n"/>
      <c r="H733" s="491" t="n"/>
      <c r="I733" s="491" t="n"/>
      <c r="J733" s="491" t="n"/>
      <c r="K733" s="491" t="n"/>
      <c r="L733" s="491" t="n"/>
      <c r="M733" s="491" t="n"/>
      <c r="N733" s="491" t="n"/>
      <c r="O733" s="491" t="n"/>
      <c r="P733" s="491" t="n"/>
      <c r="Q733" s="491" t="n"/>
      <c r="R733" s="491" t="n"/>
      <c r="S733" s="491" t="n"/>
      <c r="T733" s="491" t="n"/>
      <c r="U733" s="491" t="n"/>
      <c r="V733" s="491" t="n"/>
      <c r="W733" s="491" t="n"/>
      <c r="X733" s="491" t="n"/>
      <c r="Y733" s="491" t="n"/>
      <c r="Z733" s="491" t="n"/>
    </row>
    <row r="734" ht="12.75" customHeight="1" s="398">
      <c r="A734" s="491" t="n"/>
      <c r="B734" s="491" t="n"/>
      <c r="C734" s="491" t="n"/>
      <c r="D734" s="491" t="n"/>
      <c r="E734" s="491" t="n"/>
      <c r="F734" s="491" t="n"/>
      <c r="G734" s="491" t="n"/>
      <c r="H734" s="491" t="n"/>
      <c r="I734" s="491" t="n"/>
      <c r="J734" s="491" t="n"/>
      <c r="K734" s="491" t="n"/>
      <c r="L734" s="491" t="n"/>
      <c r="M734" s="491" t="n"/>
      <c r="N734" s="491" t="n"/>
      <c r="O734" s="491" t="n"/>
      <c r="P734" s="491" t="n"/>
      <c r="Q734" s="491" t="n"/>
      <c r="R734" s="491" t="n"/>
      <c r="S734" s="491" t="n"/>
      <c r="T734" s="491" t="n"/>
      <c r="U734" s="491" t="n"/>
      <c r="V734" s="491" t="n"/>
      <c r="W734" s="491" t="n"/>
      <c r="X734" s="491" t="n"/>
      <c r="Y734" s="491" t="n"/>
      <c r="Z734" s="491" t="n"/>
    </row>
    <row r="735" ht="12.75" customHeight="1" s="398">
      <c r="A735" s="491" t="n"/>
      <c r="B735" s="491" t="n"/>
      <c r="C735" s="491" t="n"/>
      <c r="D735" s="491" t="n"/>
      <c r="E735" s="491" t="n"/>
      <c r="F735" s="491" t="n"/>
      <c r="G735" s="491" t="n"/>
      <c r="H735" s="491" t="n"/>
      <c r="I735" s="491" t="n"/>
      <c r="J735" s="491" t="n"/>
      <c r="K735" s="491" t="n"/>
      <c r="L735" s="491" t="n"/>
      <c r="M735" s="491" t="n"/>
      <c r="N735" s="491" t="n"/>
      <c r="O735" s="491" t="n"/>
      <c r="P735" s="491" t="n"/>
      <c r="Q735" s="491" t="n"/>
      <c r="R735" s="491" t="n"/>
      <c r="S735" s="491" t="n"/>
      <c r="T735" s="491" t="n"/>
      <c r="U735" s="491" t="n"/>
      <c r="V735" s="491" t="n"/>
      <c r="W735" s="491" t="n"/>
      <c r="X735" s="491" t="n"/>
      <c r="Y735" s="491" t="n"/>
      <c r="Z735" s="491" t="n"/>
    </row>
    <row r="736" ht="12.75" customHeight="1" s="398">
      <c r="A736" s="491" t="n"/>
      <c r="B736" s="491" t="n"/>
      <c r="C736" s="491" t="n"/>
      <c r="D736" s="491" t="n"/>
      <c r="E736" s="491" t="n"/>
      <c r="F736" s="491" t="n"/>
      <c r="G736" s="491" t="n"/>
      <c r="H736" s="491" t="n"/>
      <c r="I736" s="491" t="n"/>
      <c r="J736" s="491" t="n"/>
      <c r="K736" s="491" t="n"/>
      <c r="L736" s="491" t="n"/>
      <c r="M736" s="491" t="n"/>
      <c r="N736" s="491" t="n"/>
      <c r="O736" s="491" t="n"/>
      <c r="P736" s="491" t="n"/>
      <c r="Q736" s="491" t="n"/>
      <c r="R736" s="491" t="n"/>
      <c r="S736" s="491" t="n"/>
      <c r="T736" s="491" t="n"/>
      <c r="U736" s="491" t="n"/>
      <c r="V736" s="491" t="n"/>
      <c r="W736" s="491" t="n"/>
      <c r="X736" s="491" t="n"/>
      <c r="Y736" s="491" t="n"/>
      <c r="Z736" s="491" t="n"/>
    </row>
    <row r="737" ht="12.75" customHeight="1" s="398">
      <c r="A737" s="491" t="n"/>
      <c r="B737" s="491" t="n"/>
      <c r="C737" s="491" t="n"/>
      <c r="D737" s="491" t="n"/>
      <c r="E737" s="491" t="n"/>
      <c r="F737" s="491" t="n"/>
      <c r="G737" s="491" t="n"/>
      <c r="H737" s="491" t="n"/>
      <c r="I737" s="491" t="n"/>
      <c r="J737" s="491" t="n"/>
      <c r="K737" s="491" t="n"/>
      <c r="L737" s="491" t="n"/>
      <c r="M737" s="491" t="n"/>
      <c r="N737" s="491" t="n"/>
      <c r="O737" s="491" t="n"/>
      <c r="P737" s="491" t="n"/>
      <c r="Q737" s="491" t="n"/>
      <c r="R737" s="491" t="n"/>
      <c r="S737" s="491" t="n"/>
      <c r="T737" s="491" t="n"/>
      <c r="U737" s="491" t="n"/>
      <c r="V737" s="491" t="n"/>
      <c r="W737" s="491" t="n"/>
      <c r="X737" s="491" t="n"/>
      <c r="Y737" s="491" t="n"/>
      <c r="Z737" s="491" t="n"/>
    </row>
    <row r="738" ht="12.75" customHeight="1" s="398">
      <c r="A738" s="491" t="n"/>
      <c r="B738" s="491" t="n"/>
      <c r="C738" s="491" t="n"/>
      <c r="D738" s="491" t="n"/>
      <c r="E738" s="491" t="n"/>
      <c r="F738" s="491" t="n"/>
      <c r="G738" s="491" t="n"/>
      <c r="H738" s="491" t="n"/>
      <c r="I738" s="491" t="n"/>
      <c r="J738" s="491" t="n"/>
      <c r="K738" s="491" t="n"/>
      <c r="L738" s="491" t="n"/>
      <c r="M738" s="491" t="n"/>
      <c r="N738" s="491" t="n"/>
      <c r="O738" s="491" t="n"/>
      <c r="P738" s="491" t="n"/>
      <c r="Q738" s="491" t="n"/>
      <c r="R738" s="491" t="n"/>
      <c r="S738" s="491" t="n"/>
      <c r="T738" s="491" t="n"/>
      <c r="U738" s="491" t="n"/>
      <c r="V738" s="491" t="n"/>
      <c r="W738" s="491" t="n"/>
      <c r="X738" s="491" t="n"/>
      <c r="Y738" s="491" t="n"/>
      <c r="Z738" s="491" t="n"/>
    </row>
    <row r="739" ht="12.75" customHeight="1" s="398">
      <c r="A739" s="491" t="n"/>
      <c r="B739" s="491" t="n"/>
      <c r="C739" s="491" t="n"/>
      <c r="D739" s="491" t="n"/>
      <c r="E739" s="491" t="n"/>
      <c r="F739" s="491" t="n"/>
      <c r="G739" s="491" t="n"/>
      <c r="H739" s="491" t="n"/>
      <c r="I739" s="491" t="n"/>
      <c r="J739" s="491" t="n"/>
      <c r="K739" s="491" t="n"/>
      <c r="L739" s="491" t="n"/>
      <c r="M739" s="491" t="n"/>
      <c r="N739" s="491" t="n"/>
      <c r="O739" s="491" t="n"/>
      <c r="P739" s="491" t="n"/>
      <c r="Q739" s="491" t="n"/>
      <c r="R739" s="491" t="n"/>
      <c r="S739" s="491" t="n"/>
      <c r="T739" s="491" t="n"/>
      <c r="U739" s="491" t="n"/>
      <c r="V739" s="491" t="n"/>
      <c r="W739" s="491" t="n"/>
      <c r="X739" s="491" t="n"/>
      <c r="Y739" s="491" t="n"/>
      <c r="Z739" s="491" t="n"/>
    </row>
    <row r="740" ht="12.75" customHeight="1" s="398">
      <c r="A740" s="491" t="n"/>
      <c r="B740" s="491" t="n"/>
      <c r="C740" s="491" t="n"/>
      <c r="D740" s="491" t="n"/>
      <c r="E740" s="491" t="n"/>
      <c r="F740" s="491" t="n"/>
      <c r="G740" s="491" t="n"/>
      <c r="H740" s="491" t="n"/>
      <c r="I740" s="491" t="n"/>
      <c r="J740" s="491" t="n"/>
      <c r="K740" s="491" t="n"/>
      <c r="L740" s="491" t="n"/>
      <c r="M740" s="491" t="n"/>
      <c r="N740" s="491" t="n"/>
      <c r="O740" s="491" t="n"/>
      <c r="P740" s="491" t="n"/>
      <c r="Q740" s="491" t="n"/>
      <c r="R740" s="491" t="n"/>
      <c r="S740" s="491" t="n"/>
      <c r="T740" s="491" t="n"/>
      <c r="U740" s="491" t="n"/>
      <c r="V740" s="491" t="n"/>
      <c r="W740" s="491" t="n"/>
      <c r="X740" s="491" t="n"/>
      <c r="Y740" s="491" t="n"/>
      <c r="Z740" s="491" t="n"/>
    </row>
    <row r="741" ht="12.75" customHeight="1" s="398">
      <c r="A741" s="491" t="n"/>
      <c r="B741" s="491" t="n"/>
      <c r="C741" s="491" t="n"/>
      <c r="D741" s="491" t="n"/>
      <c r="E741" s="491" t="n"/>
      <c r="F741" s="491" t="n"/>
      <c r="G741" s="491" t="n"/>
      <c r="H741" s="491" t="n"/>
      <c r="I741" s="491" t="n"/>
      <c r="J741" s="491" t="n"/>
      <c r="K741" s="491" t="n"/>
      <c r="L741" s="491" t="n"/>
      <c r="M741" s="491" t="n"/>
      <c r="N741" s="491" t="n"/>
      <c r="O741" s="491" t="n"/>
      <c r="P741" s="491" t="n"/>
      <c r="Q741" s="491" t="n"/>
      <c r="R741" s="491" t="n"/>
      <c r="S741" s="491" t="n"/>
      <c r="T741" s="491" t="n"/>
      <c r="U741" s="491" t="n"/>
      <c r="V741" s="491" t="n"/>
      <c r="W741" s="491" t="n"/>
      <c r="X741" s="491" t="n"/>
      <c r="Y741" s="491" t="n"/>
      <c r="Z741" s="491" t="n"/>
    </row>
    <row r="742" ht="12.75" customHeight="1" s="398">
      <c r="A742" s="491" t="n"/>
      <c r="B742" s="491" t="n"/>
      <c r="C742" s="491" t="n"/>
      <c r="D742" s="491" t="n"/>
      <c r="E742" s="491" t="n"/>
      <c r="F742" s="491" t="n"/>
      <c r="G742" s="491" t="n"/>
      <c r="H742" s="491" t="n"/>
      <c r="I742" s="491" t="n"/>
      <c r="J742" s="491" t="n"/>
      <c r="K742" s="491" t="n"/>
      <c r="L742" s="491" t="n"/>
      <c r="M742" s="491" t="n"/>
      <c r="N742" s="491" t="n"/>
      <c r="O742" s="491" t="n"/>
      <c r="P742" s="491" t="n"/>
      <c r="Q742" s="491" t="n"/>
      <c r="R742" s="491" t="n"/>
      <c r="S742" s="491" t="n"/>
      <c r="T742" s="491" t="n"/>
      <c r="U742" s="491" t="n"/>
      <c r="V742" s="491" t="n"/>
      <c r="W742" s="491" t="n"/>
      <c r="X742" s="491" t="n"/>
      <c r="Y742" s="491" t="n"/>
      <c r="Z742" s="491" t="n"/>
    </row>
    <row r="743" ht="12.75" customHeight="1" s="398">
      <c r="A743" s="491" t="n"/>
      <c r="B743" s="491" t="n"/>
      <c r="C743" s="491" t="n"/>
      <c r="D743" s="491" t="n"/>
      <c r="E743" s="491" t="n"/>
      <c r="F743" s="491" t="n"/>
      <c r="G743" s="491" t="n"/>
      <c r="H743" s="491" t="n"/>
      <c r="I743" s="491" t="n"/>
      <c r="J743" s="491" t="n"/>
      <c r="K743" s="491" t="n"/>
      <c r="L743" s="491" t="n"/>
      <c r="M743" s="491" t="n"/>
      <c r="N743" s="491" t="n"/>
      <c r="O743" s="491" t="n"/>
      <c r="P743" s="491" t="n"/>
      <c r="Q743" s="491" t="n"/>
      <c r="R743" s="491" t="n"/>
      <c r="S743" s="491" t="n"/>
      <c r="T743" s="491" t="n"/>
      <c r="U743" s="491" t="n"/>
      <c r="V743" s="491" t="n"/>
      <c r="W743" s="491" t="n"/>
      <c r="X743" s="491" t="n"/>
      <c r="Y743" s="491" t="n"/>
      <c r="Z743" s="491" t="n"/>
    </row>
    <row r="744" ht="12.75" customHeight="1" s="398">
      <c r="A744" s="491" t="n"/>
      <c r="B744" s="491" t="n"/>
      <c r="C744" s="491" t="n"/>
      <c r="D744" s="491" t="n"/>
      <c r="E744" s="491" t="n"/>
      <c r="F744" s="491" t="n"/>
      <c r="G744" s="491" t="n"/>
      <c r="H744" s="491" t="n"/>
      <c r="I744" s="491" t="n"/>
      <c r="J744" s="491" t="n"/>
      <c r="K744" s="491" t="n"/>
      <c r="L744" s="491" t="n"/>
      <c r="M744" s="491" t="n"/>
      <c r="N744" s="491" t="n"/>
      <c r="O744" s="491" t="n"/>
      <c r="P744" s="491" t="n"/>
      <c r="Q744" s="491" t="n"/>
      <c r="R744" s="491" t="n"/>
      <c r="S744" s="491" t="n"/>
      <c r="T744" s="491" t="n"/>
      <c r="U744" s="491" t="n"/>
      <c r="V744" s="491" t="n"/>
      <c r="W744" s="491" t="n"/>
      <c r="X744" s="491" t="n"/>
      <c r="Y744" s="491" t="n"/>
      <c r="Z744" s="491" t="n"/>
    </row>
    <row r="745" ht="12.75" customHeight="1" s="398">
      <c r="A745" s="491" t="n"/>
      <c r="B745" s="491" t="n"/>
      <c r="C745" s="491" t="n"/>
      <c r="D745" s="491" t="n"/>
      <c r="E745" s="491" t="n"/>
      <c r="F745" s="491" t="n"/>
      <c r="G745" s="491" t="n"/>
      <c r="H745" s="491" t="n"/>
      <c r="I745" s="491" t="n"/>
      <c r="J745" s="491" t="n"/>
      <c r="K745" s="491" t="n"/>
      <c r="L745" s="491" t="n"/>
      <c r="M745" s="491" t="n"/>
      <c r="N745" s="491" t="n"/>
      <c r="O745" s="491" t="n"/>
      <c r="P745" s="491" t="n"/>
      <c r="Q745" s="491" t="n"/>
      <c r="R745" s="491" t="n"/>
      <c r="S745" s="491" t="n"/>
      <c r="T745" s="491" t="n"/>
      <c r="U745" s="491" t="n"/>
      <c r="V745" s="491" t="n"/>
      <c r="W745" s="491" t="n"/>
      <c r="X745" s="491" t="n"/>
      <c r="Y745" s="491" t="n"/>
      <c r="Z745" s="491" t="n"/>
    </row>
    <row r="746" ht="12.75" customHeight="1" s="398">
      <c r="A746" s="491" t="n"/>
      <c r="B746" s="491" t="n"/>
      <c r="C746" s="491" t="n"/>
      <c r="D746" s="491" t="n"/>
      <c r="E746" s="491" t="n"/>
      <c r="F746" s="491" t="n"/>
      <c r="G746" s="491" t="n"/>
      <c r="H746" s="491" t="n"/>
      <c r="I746" s="491" t="n"/>
      <c r="J746" s="491" t="n"/>
      <c r="K746" s="491" t="n"/>
      <c r="L746" s="491" t="n"/>
      <c r="M746" s="491" t="n"/>
      <c r="N746" s="491" t="n"/>
      <c r="O746" s="491" t="n"/>
      <c r="P746" s="491" t="n"/>
      <c r="Q746" s="491" t="n"/>
      <c r="R746" s="491" t="n"/>
      <c r="S746" s="491" t="n"/>
      <c r="T746" s="491" t="n"/>
      <c r="U746" s="491" t="n"/>
      <c r="V746" s="491" t="n"/>
      <c r="W746" s="491" t="n"/>
      <c r="X746" s="491" t="n"/>
      <c r="Y746" s="491" t="n"/>
      <c r="Z746" s="491" t="n"/>
    </row>
    <row r="747" ht="12.75" customHeight="1" s="398">
      <c r="A747" s="491" t="n"/>
      <c r="B747" s="491" t="n"/>
      <c r="C747" s="491" t="n"/>
      <c r="D747" s="491" t="n"/>
      <c r="E747" s="491" t="n"/>
      <c r="F747" s="491" t="n"/>
      <c r="G747" s="491" t="n"/>
      <c r="H747" s="491" t="n"/>
      <c r="I747" s="491" t="n"/>
      <c r="J747" s="491" t="n"/>
      <c r="K747" s="491" t="n"/>
      <c r="L747" s="491" t="n"/>
      <c r="M747" s="491" t="n"/>
      <c r="N747" s="491" t="n"/>
      <c r="O747" s="491" t="n"/>
      <c r="P747" s="491" t="n"/>
      <c r="Q747" s="491" t="n"/>
      <c r="R747" s="491" t="n"/>
      <c r="S747" s="491" t="n"/>
      <c r="T747" s="491" t="n"/>
      <c r="U747" s="491" t="n"/>
      <c r="V747" s="491" t="n"/>
      <c r="W747" s="491" t="n"/>
      <c r="X747" s="491" t="n"/>
      <c r="Y747" s="491" t="n"/>
      <c r="Z747" s="491" t="n"/>
    </row>
    <row r="748" ht="12.75" customHeight="1" s="398">
      <c r="A748" s="491" t="n"/>
      <c r="B748" s="491" t="n"/>
      <c r="C748" s="491" t="n"/>
      <c r="D748" s="491" t="n"/>
      <c r="E748" s="491" t="n"/>
      <c r="F748" s="491" t="n"/>
      <c r="G748" s="491" t="n"/>
      <c r="H748" s="491" t="n"/>
      <c r="I748" s="491" t="n"/>
      <c r="J748" s="491" t="n"/>
      <c r="K748" s="491" t="n"/>
      <c r="L748" s="491" t="n"/>
      <c r="M748" s="491" t="n"/>
      <c r="N748" s="491" t="n"/>
      <c r="O748" s="491" t="n"/>
      <c r="P748" s="491" t="n"/>
      <c r="Q748" s="491" t="n"/>
      <c r="R748" s="491" t="n"/>
      <c r="S748" s="491" t="n"/>
      <c r="T748" s="491" t="n"/>
      <c r="U748" s="491" t="n"/>
      <c r="V748" s="491" t="n"/>
      <c r="W748" s="491" t="n"/>
      <c r="X748" s="491" t="n"/>
      <c r="Y748" s="491" t="n"/>
      <c r="Z748" s="491" t="n"/>
    </row>
    <row r="749" ht="12.75" customHeight="1" s="398">
      <c r="A749" s="491" t="n"/>
      <c r="B749" s="491" t="n"/>
      <c r="C749" s="491" t="n"/>
      <c r="D749" s="491" t="n"/>
      <c r="E749" s="491" t="n"/>
      <c r="F749" s="491" t="n"/>
      <c r="G749" s="491" t="n"/>
      <c r="H749" s="491" t="n"/>
      <c r="I749" s="491" t="n"/>
      <c r="J749" s="491" t="n"/>
      <c r="K749" s="491" t="n"/>
      <c r="L749" s="491" t="n"/>
      <c r="M749" s="491" t="n"/>
      <c r="N749" s="491" t="n"/>
      <c r="O749" s="491" t="n"/>
      <c r="P749" s="491" t="n"/>
      <c r="Q749" s="491" t="n"/>
      <c r="R749" s="491" t="n"/>
      <c r="S749" s="491" t="n"/>
      <c r="T749" s="491" t="n"/>
      <c r="U749" s="491" t="n"/>
      <c r="V749" s="491" t="n"/>
      <c r="W749" s="491" t="n"/>
      <c r="X749" s="491" t="n"/>
      <c r="Y749" s="491" t="n"/>
      <c r="Z749" s="491" t="n"/>
    </row>
    <row r="750" ht="12.75" customHeight="1" s="398">
      <c r="A750" s="491" t="n"/>
      <c r="B750" s="491" t="n"/>
      <c r="C750" s="491" t="n"/>
      <c r="D750" s="491" t="n"/>
      <c r="E750" s="491" t="n"/>
      <c r="F750" s="491" t="n"/>
      <c r="G750" s="491" t="n"/>
      <c r="H750" s="491" t="n"/>
      <c r="I750" s="491" t="n"/>
      <c r="J750" s="491" t="n"/>
      <c r="K750" s="491" t="n"/>
      <c r="L750" s="491" t="n"/>
      <c r="M750" s="491" t="n"/>
      <c r="N750" s="491" t="n"/>
      <c r="O750" s="491" t="n"/>
      <c r="P750" s="491" t="n"/>
      <c r="Q750" s="491" t="n"/>
      <c r="R750" s="491" t="n"/>
      <c r="S750" s="491" t="n"/>
      <c r="T750" s="491" t="n"/>
      <c r="U750" s="491" t="n"/>
      <c r="V750" s="491" t="n"/>
      <c r="W750" s="491" t="n"/>
      <c r="X750" s="491" t="n"/>
      <c r="Y750" s="491" t="n"/>
      <c r="Z750" s="491" t="n"/>
    </row>
    <row r="751" ht="12.75" customHeight="1" s="398">
      <c r="A751" s="491" t="n"/>
      <c r="B751" s="491" t="n"/>
      <c r="C751" s="491" t="n"/>
      <c r="D751" s="491" t="n"/>
      <c r="E751" s="491" t="n"/>
      <c r="F751" s="491" t="n"/>
      <c r="G751" s="491" t="n"/>
      <c r="H751" s="491" t="n"/>
      <c r="I751" s="491" t="n"/>
      <c r="J751" s="491" t="n"/>
      <c r="K751" s="491" t="n"/>
      <c r="L751" s="491" t="n"/>
      <c r="M751" s="491" t="n"/>
      <c r="N751" s="491" t="n"/>
      <c r="O751" s="491" t="n"/>
      <c r="P751" s="491" t="n"/>
      <c r="Q751" s="491" t="n"/>
      <c r="R751" s="491" t="n"/>
      <c r="S751" s="491" t="n"/>
      <c r="T751" s="491" t="n"/>
      <c r="U751" s="491" t="n"/>
      <c r="V751" s="491" t="n"/>
      <c r="W751" s="491" t="n"/>
      <c r="X751" s="491" t="n"/>
      <c r="Y751" s="491" t="n"/>
      <c r="Z751" s="491" t="n"/>
    </row>
    <row r="752" ht="12.75" customHeight="1" s="398">
      <c r="A752" s="491" t="n"/>
      <c r="B752" s="491" t="n"/>
      <c r="C752" s="491" t="n"/>
      <c r="D752" s="491" t="n"/>
      <c r="E752" s="491" t="n"/>
      <c r="F752" s="491" t="n"/>
      <c r="G752" s="491" t="n"/>
      <c r="H752" s="491" t="n"/>
      <c r="I752" s="491" t="n"/>
      <c r="J752" s="491" t="n"/>
      <c r="K752" s="491" t="n"/>
      <c r="L752" s="491" t="n"/>
      <c r="M752" s="491" t="n"/>
      <c r="N752" s="491" t="n"/>
      <c r="O752" s="491" t="n"/>
      <c r="P752" s="491" t="n"/>
      <c r="Q752" s="491" t="n"/>
      <c r="R752" s="491" t="n"/>
      <c r="S752" s="491" t="n"/>
      <c r="T752" s="491" t="n"/>
      <c r="U752" s="491" t="n"/>
      <c r="V752" s="491" t="n"/>
      <c r="W752" s="491" t="n"/>
      <c r="X752" s="491" t="n"/>
      <c r="Y752" s="491" t="n"/>
      <c r="Z752" s="491" t="n"/>
    </row>
    <row r="753" ht="12.75" customHeight="1" s="398">
      <c r="A753" s="491" t="n"/>
      <c r="B753" s="491" t="n"/>
      <c r="C753" s="491" t="n"/>
      <c r="D753" s="491" t="n"/>
      <c r="E753" s="491" t="n"/>
      <c r="F753" s="491" t="n"/>
      <c r="G753" s="491" t="n"/>
      <c r="H753" s="491" t="n"/>
      <c r="I753" s="491" t="n"/>
      <c r="J753" s="491" t="n"/>
      <c r="K753" s="491" t="n"/>
      <c r="L753" s="491" t="n"/>
      <c r="M753" s="491" t="n"/>
      <c r="N753" s="491" t="n"/>
      <c r="O753" s="491" t="n"/>
      <c r="P753" s="491" t="n"/>
      <c r="Q753" s="491" t="n"/>
      <c r="R753" s="491" t="n"/>
      <c r="S753" s="491" t="n"/>
      <c r="T753" s="491" t="n"/>
      <c r="U753" s="491" t="n"/>
      <c r="V753" s="491" t="n"/>
      <c r="W753" s="491" t="n"/>
      <c r="X753" s="491" t="n"/>
      <c r="Y753" s="491" t="n"/>
      <c r="Z753" s="491" t="n"/>
    </row>
    <row r="754" ht="12.75" customHeight="1" s="398">
      <c r="A754" s="491" t="n"/>
      <c r="B754" s="491" t="n"/>
      <c r="C754" s="491" t="n"/>
      <c r="D754" s="491" t="n"/>
      <c r="E754" s="491" t="n"/>
      <c r="F754" s="491" t="n"/>
      <c r="G754" s="491" t="n"/>
      <c r="H754" s="491" t="n"/>
      <c r="I754" s="491" t="n"/>
      <c r="J754" s="491" t="n"/>
      <c r="K754" s="491" t="n"/>
      <c r="L754" s="491" t="n"/>
      <c r="M754" s="491" t="n"/>
      <c r="N754" s="491" t="n"/>
      <c r="O754" s="491" t="n"/>
      <c r="P754" s="491" t="n"/>
      <c r="Q754" s="491" t="n"/>
      <c r="R754" s="491" t="n"/>
      <c r="S754" s="491" t="n"/>
      <c r="T754" s="491" t="n"/>
      <c r="U754" s="491" t="n"/>
      <c r="V754" s="491" t="n"/>
      <c r="W754" s="491" t="n"/>
      <c r="X754" s="491" t="n"/>
      <c r="Y754" s="491" t="n"/>
      <c r="Z754" s="491" t="n"/>
    </row>
    <row r="755" ht="12.75" customHeight="1" s="398">
      <c r="A755" s="491" t="n"/>
      <c r="B755" s="491" t="n"/>
      <c r="C755" s="491" t="n"/>
      <c r="D755" s="491" t="n"/>
      <c r="E755" s="491" t="n"/>
      <c r="F755" s="491" t="n"/>
      <c r="G755" s="491" t="n"/>
      <c r="H755" s="491" t="n"/>
      <c r="I755" s="491" t="n"/>
      <c r="J755" s="491" t="n"/>
      <c r="K755" s="491" t="n"/>
      <c r="L755" s="491" t="n"/>
      <c r="M755" s="491" t="n"/>
      <c r="N755" s="491" t="n"/>
      <c r="O755" s="491" t="n"/>
      <c r="P755" s="491" t="n"/>
      <c r="Q755" s="491" t="n"/>
      <c r="R755" s="491" t="n"/>
      <c r="S755" s="491" t="n"/>
      <c r="T755" s="491" t="n"/>
      <c r="U755" s="491" t="n"/>
      <c r="V755" s="491" t="n"/>
      <c r="W755" s="491" t="n"/>
      <c r="X755" s="491" t="n"/>
      <c r="Y755" s="491" t="n"/>
      <c r="Z755" s="491" t="n"/>
    </row>
    <row r="756" ht="12.75" customHeight="1" s="398">
      <c r="A756" s="491" t="n"/>
      <c r="B756" s="491" t="n"/>
      <c r="C756" s="491" t="n"/>
      <c r="D756" s="491" t="n"/>
      <c r="E756" s="491" t="n"/>
      <c r="F756" s="491" t="n"/>
      <c r="G756" s="491" t="n"/>
      <c r="H756" s="491" t="n"/>
      <c r="I756" s="491" t="n"/>
      <c r="J756" s="491" t="n"/>
      <c r="K756" s="491" t="n"/>
      <c r="L756" s="491" t="n"/>
      <c r="M756" s="491" t="n"/>
      <c r="N756" s="491" t="n"/>
      <c r="O756" s="491" t="n"/>
      <c r="P756" s="491" t="n"/>
      <c r="Q756" s="491" t="n"/>
      <c r="R756" s="491" t="n"/>
      <c r="S756" s="491" t="n"/>
      <c r="T756" s="491" t="n"/>
      <c r="U756" s="491" t="n"/>
      <c r="V756" s="491" t="n"/>
      <c r="W756" s="491" t="n"/>
      <c r="X756" s="491" t="n"/>
      <c r="Y756" s="491" t="n"/>
      <c r="Z756" s="491" t="n"/>
    </row>
    <row r="757" ht="12.75" customHeight="1" s="398">
      <c r="A757" s="491" t="n"/>
      <c r="B757" s="491" t="n"/>
      <c r="C757" s="491" t="n"/>
      <c r="D757" s="491" t="n"/>
      <c r="E757" s="491" t="n"/>
      <c r="F757" s="491" t="n"/>
      <c r="G757" s="491" t="n"/>
      <c r="H757" s="491" t="n"/>
      <c r="I757" s="491" t="n"/>
      <c r="J757" s="491" t="n"/>
      <c r="K757" s="491" t="n"/>
      <c r="L757" s="491" t="n"/>
      <c r="M757" s="491" t="n"/>
      <c r="N757" s="491" t="n"/>
      <c r="O757" s="491" t="n"/>
      <c r="P757" s="491" t="n"/>
      <c r="Q757" s="491" t="n"/>
      <c r="R757" s="491" t="n"/>
      <c r="S757" s="491" t="n"/>
      <c r="T757" s="491" t="n"/>
      <c r="U757" s="491" t="n"/>
      <c r="V757" s="491" t="n"/>
      <c r="W757" s="491" t="n"/>
      <c r="X757" s="491" t="n"/>
      <c r="Y757" s="491" t="n"/>
      <c r="Z757" s="491" t="n"/>
    </row>
    <row r="758" ht="12.75" customHeight="1" s="398">
      <c r="A758" s="491" t="n"/>
      <c r="B758" s="491" t="n"/>
      <c r="C758" s="491" t="n"/>
      <c r="D758" s="491" t="n"/>
      <c r="E758" s="491" t="n"/>
      <c r="F758" s="491" t="n"/>
      <c r="G758" s="491" t="n"/>
      <c r="H758" s="491" t="n"/>
      <c r="I758" s="491" t="n"/>
      <c r="J758" s="491" t="n"/>
      <c r="K758" s="491" t="n"/>
      <c r="L758" s="491" t="n"/>
      <c r="M758" s="491" t="n"/>
      <c r="N758" s="491" t="n"/>
      <c r="O758" s="491" t="n"/>
      <c r="P758" s="491" t="n"/>
      <c r="Q758" s="491" t="n"/>
      <c r="R758" s="491" t="n"/>
      <c r="S758" s="491" t="n"/>
      <c r="T758" s="491" t="n"/>
      <c r="U758" s="491" t="n"/>
      <c r="V758" s="491" t="n"/>
      <c r="W758" s="491" t="n"/>
      <c r="X758" s="491" t="n"/>
      <c r="Y758" s="491" t="n"/>
      <c r="Z758" s="491" t="n"/>
    </row>
    <row r="759" ht="12.75" customHeight="1" s="398">
      <c r="A759" s="491" t="n"/>
      <c r="B759" s="491" t="n"/>
      <c r="C759" s="491" t="n"/>
      <c r="D759" s="491" t="n"/>
      <c r="E759" s="491" t="n"/>
      <c r="F759" s="491" t="n"/>
      <c r="G759" s="491" t="n"/>
      <c r="H759" s="491" t="n"/>
      <c r="I759" s="491" t="n"/>
      <c r="J759" s="491" t="n"/>
      <c r="K759" s="491" t="n"/>
      <c r="L759" s="491" t="n"/>
      <c r="M759" s="491" t="n"/>
      <c r="N759" s="491" t="n"/>
      <c r="O759" s="491" t="n"/>
      <c r="P759" s="491" t="n"/>
      <c r="Q759" s="491" t="n"/>
      <c r="R759" s="491" t="n"/>
      <c r="S759" s="491" t="n"/>
      <c r="T759" s="491" t="n"/>
      <c r="U759" s="491" t="n"/>
      <c r="V759" s="491" t="n"/>
      <c r="W759" s="491" t="n"/>
      <c r="X759" s="491" t="n"/>
      <c r="Y759" s="491" t="n"/>
      <c r="Z759" s="491" t="n"/>
    </row>
    <row r="760" ht="12.75" customHeight="1" s="398">
      <c r="A760" s="491" t="n"/>
      <c r="B760" s="491" t="n"/>
      <c r="C760" s="491" t="n"/>
      <c r="D760" s="491" t="n"/>
      <c r="E760" s="491" t="n"/>
      <c r="F760" s="491" t="n"/>
      <c r="G760" s="491" t="n"/>
      <c r="H760" s="491" t="n"/>
      <c r="I760" s="491" t="n"/>
      <c r="J760" s="491" t="n"/>
      <c r="K760" s="491" t="n"/>
      <c r="L760" s="491" t="n"/>
      <c r="M760" s="491" t="n"/>
      <c r="N760" s="491" t="n"/>
      <c r="O760" s="491" t="n"/>
      <c r="P760" s="491" t="n"/>
      <c r="Q760" s="491" t="n"/>
      <c r="R760" s="491" t="n"/>
      <c r="S760" s="491" t="n"/>
      <c r="T760" s="491" t="n"/>
      <c r="U760" s="491" t="n"/>
      <c r="V760" s="491" t="n"/>
      <c r="W760" s="491" t="n"/>
      <c r="X760" s="491" t="n"/>
      <c r="Y760" s="491" t="n"/>
      <c r="Z760" s="491" t="n"/>
    </row>
    <row r="761" ht="12.75" customHeight="1" s="398">
      <c r="A761" s="491" t="n"/>
      <c r="B761" s="491" t="n"/>
      <c r="C761" s="491" t="n"/>
      <c r="D761" s="491" t="n"/>
      <c r="E761" s="491" t="n"/>
      <c r="F761" s="491" t="n"/>
      <c r="G761" s="491" t="n"/>
      <c r="H761" s="491" t="n"/>
      <c r="I761" s="491" t="n"/>
      <c r="J761" s="491" t="n"/>
      <c r="K761" s="491" t="n"/>
      <c r="L761" s="491" t="n"/>
      <c r="M761" s="491" t="n"/>
      <c r="N761" s="491" t="n"/>
      <c r="O761" s="491" t="n"/>
      <c r="P761" s="491" t="n"/>
      <c r="Q761" s="491" t="n"/>
      <c r="R761" s="491" t="n"/>
      <c r="S761" s="491" t="n"/>
      <c r="T761" s="491" t="n"/>
      <c r="U761" s="491" t="n"/>
      <c r="V761" s="491" t="n"/>
      <c r="W761" s="491" t="n"/>
      <c r="X761" s="491" t="n"/>
      <c r="Y761" s="491" t="n"/>
      <c r="Z761" s="491" t="n"/>
    </row>
    <row r="762" ht="12.75" customHeight="1" s="398">
      <c r="A762" s="491" t="n"/>
      <c r="B762" s="491" t="n"/>
      <c r="C762" s="491" t="n"/>
      <c r="D762" s="491" t="n"/>
      <c r="E762" s="491" t="n"/>
      <c r="F762" s="491" t="n"/>
      <c r="G762" s="491" t="n"/>
      <c r="H762" s="491" t="n"/>
      <c r="I762" s="491" t="n"/>
      <c r="J762" s="491" t="n"/>
      <c r="K762" s="491" t="n"/>
      <c r="L762" s="491" t="n"/>
      <c r="M762" s="491" t="n"/>
      <c r="N762" s="491" t="n"/>
      <c r="O762" s="491" t="n"/>
      <c r="P762" s="491" t="n"/>
      <c r="Q762" s="491" t="n"/>
      <c r="R762" s="491" t="n"/>
      <c r="S762" s="491" t="n"/>
      <c r="T762" s="491" t="n"/>
      <c r="U762" s="491" t="n"/>
      <c r="V762" s="491" t="n"/>
      <c r="W762" s="491" t="n"/>
      <c r="X762" s="491" t="n"/>
      <c r="Y762" s="491" t="n"/>
      <c r="Z762" s="491" t="n"/>
    </row>
    <row r="763" ht="12.75" customHeight="1" s="398">
      <c r="A763" s="491" t="n"/>
      <c r="B763" s="491" t="n"/>
      <c r="C763" s="491" t="n"/>
      <c r="D763" s="491" t="n"/>
      <c r="E763" s="491" t="n"/>
      <c r="F763" s="491" t="n"/>
      <c r="G763" s="491" t="n"/>
      <c r="H763" s="491" t="n"/>
      <c r="I763" s="491" t="n"/>
      <c r="J763" s="491" t="n"/>
      <c r="K763" s="491" t="n"/>
      <c r="L763" s="491" t="n"/>
      <c r="M763" s="491" t="n"/>
      <c r="N763" s="491" t="n"/>
      <c r="O763" s="491" t="n"/>
      <c r="P763" s="491" t="n"/>
      <c r="Q763" s="491" t="n"/>
      <c r="R763" s="491" t="n"/>
      <c r="S763" s="491" t="n"/>
      <c r="T763" s="491" t="n"/>
      <c r="U763" s="491" t="n"/>
      <c r="V763" s="491" t="n"/>
      <c r="W763" s="491" t="n"/>
      <c r="X763" s="491" t="n"/>
      <c r="Y763" s="491" t="n"/>
      <c r="Z763" s="491" t="n"/>
    </row>
    <row r="764" ht="12.75" customHeight="1" s="398">
      <c r="A764" s="491" t="n"/>
      <c r="B764" s="491" t="n"/>
      <c r="C764" s="491" t="n"/>
      <c r="D764" s="491" t="n"/>
      <c r="E764" s="491" t="n"/>
      <c r="F764" s="491" t="n"/>
      <c r="G764" s="491" t="n"/>
      <c r="H764" s="491" t="n"/>
      <c r="I764" s="491" t="n"/>
      <c r="J764" s="491" t="n"/>
      <c r="K764" s="491" t="n"/>
      <c r="L764" s="491" t="n"/>
      <c r="M764" s="491" t="n"/>
      <c r="N764" s="491" t="n"/>
      <c r="O764" s="491" t="n"/>
      <c r="P764" s="491" t="n"/>
      <c r="Q764" s="491" t="n"/>
      <c r="R764" s="491" t="n"/>
      <c r="S764" s="491" t="n"/>
      <c r="T764" s="491" t="n"/>
      <c r="U764" s="491" t="n"/>
      <c r="V764" s="491" t="n"/>
      <c r="W764" s="491" t="n"/>
      <c r="X764" s="491" t="n"/>
      <c r="Y764" s="491" t="n"/>
      <c r="Z764" s="491" t="n"/>
    </row>
    <row r="765" ht="12.75" customHeight="1" s="398">
      <c r="A765" s="491" t="n"/>
      <c r="B765" s="491" t="n"/>
      <c r="C765" s="491" t="n"/>
      <c r="D765" s="491" t="n"/>
      <c r="E765" s="491" t="n"/>
      <c r="F765" s="491" t="n"/>
      <c r="G765" s="491" t="n"/>
      <c r="H765" s="491" t="n"/>
      <c r="I765" s="491" t="n"/>
      <c r="J765" s="491" t="n"/>
      <c r="K765" s="491" t="n"/>
      <c r="L765" s="491" t="n"/>
      <c r="M765" s="491" t="n"/>
      <c r="N765" s="491" t="n"/>
      <c r="O765" s="491" t="n"/>
      <c r="P765" s="491" t="n"/>
      <c r="Q765" s="491" t="n"/>
      <c r="R765" s="491" t="n"/>
      <c r="S765" s="491" t="n"/>
      <c r="T765" s="491" t="n"/>
      <c r="U765" s="491" t="n"/>
      <c r="V765" s="491" t="n"/>
      <c r="W765" s="491" t="n"/>
      <c r="X765" s="491" t="n"/>
      <c r="Y765" s="491" t="n"/>
      <c r="Z765" s="491" t="n"/>
    </row>
    <row r="766" ht="12.75" customHeight="1" s="398">
      <c r="A766" s="491" t="n"/>
      <c r="B766" s="491" t="n"/>
      <c r="C766" s="491" t="n"/>
      <c r="D766" s="491" t="n"/>
      <c r="E766" s="491" t="n"/>
      <c r="F766" s="491" t="n"/>
      <c r="G766" s="491" t="n"/>
      <c r="H766" s="491" t="n"/>
      <c r="I766" s="491" t="n"/>
      <c r="J766" s="491" t="n"/>
      <c r="K766" s="491" t="n"/>
      <c r="L766" s="491" t="n"/>
      <c r="M766" s="491" t="n"/>
      <c r="N766" s="491" t="n"/>
      <c r="O766" s="491" t="n"/>
      <c r="P766" s="491" t="n"/>
      <c r="Q766" s="491" t="n"/>
      <c r="R766" s="491" t="n"/>
      <c r="S766" s="491" t="n"/>
      <c r="T766" s="491" t="n"/>
      <c r="U766" s="491" t="n"/>
      <c r="V766" s="491" t="n"/>
      <c r="W766" s="491" t="n"/>
      <c r="X766" s="491" t="n"/>
      <c r="Y766" s="491" t="n"/>
      <c r="Z766" s="491" t="n"/>
    </row>
    <row r="767" ht="12.75" customHeight="1" s="398">
      <c r="A767" s="491" t="n"/>
      <c r="B767" s="491" t="n"/>
      <c r="C767" s="491" t="n"/>
      <c r="D767" s="491" t="n"/>
      <c r="E767" s="491" t="n"/>
      <c r="F767" s="491" t="n"/>
      <c r="G767" s="491" t="n"/>
      <c r="H767" s="491" t="n"/>
      <c r="I767" s="491" t="n"/>
      <c r="J767" s="491" t="n"/>
      <c r="K767" s="491" t="n"/>
      <c r="L767" s="491" t="n"/>
      <c r="M767" s="491" t="n"/>
      <c r="N767" s="491" t="n"/>
      <c r="O767" s="491" t="n"/>
      <c r="P767" s="491" t="n"/>
      <c r="Q767" s="491" t="n"/>
      <c r="R767" s="491" t="n"/>
      <c r="S767" s="491" t="n"/>
      <c r="T767" s="491" t="n"/>
      <c r="U767" s="491" t="n"/>
      <c r="V767" s="491" t="n"/>
      <c r="W767" s="491" t="n"/>
      <c r="X767" s="491" t="n"/>
      <c r="Y767" s="491" t="n"/>
      <c r="Z767" s="491" t="n"/>
    </row>
    <row r="768" ht="12.75" customHeight="1" s="398">
      <c r="A768" s="491" t="n"/>
      <c r="B768" s="491" t="n"/>
      <c r="C768" s="491" t="n"/>
      <c r="D768" s="491" t="n"/>
      <c r="E768" s="491" t="n"/>
      <c r="F768" s="491" t="n"/>
      <c r="G768" s="491" t="n"/>
      <c r="H768" s="491" t="n"/>
      <c r="I768" s="491" t="n"/>
      <c r="J768" s="491" t="n"/>
      <c r="K768" s="491" t="n"/>
      <c r="L768" s="491" t="n"/>
      <c r="M768" s="491" t="n"/>
      <c r="N768" s="491" t="n"/>
      <c r="O768" s="491" t="n"/>
      <c r="P768" s="491" t="n"/>
      <c r="Q768" s="491" t="n"/>
      <c r="R768" s="491" t="n"/>
      <c r="S768" s="491" t="n"/>
      <c r="T768" s="491" t="n"/>
      <c r="U768" s="491" t="n"/>
      <c r="V768" s="491" t="n"/>
      <c r="W768" s="491" t="n"/>
      <c r="X768" s="491" t="n"/>
      <c r="Y768" s="491" t="n"/>
      <c r="Z768" s="491" t="n"/>
    </row>
    <row r="769" ht="12.75" customHeight="1" s="398">
      <c r="A769" s="491" t="n"/>
      <c r="B769" s="491" t="n"/>
      <c r="C769" s="491" t="n"/>
      <c r="D769" s="491" t="n"/>
      <c r="E769" s="491" t="n"/>
      <c r="F769" s="491" t="n"/>
      <c r="G769" s="491" t="n"/>
      <c r="H769" s="491" t="n"/>
      <c r="I769" s="491" t="n"/>
      <c r="J769" s="491" t="n"/>
      <c r="K769" s="491" t="n"/>
      <c r="L769" s="491" t="n"/>
      <c r="M769" s="491" t="n"/>
      <c r="N769" s="491" t="n"/>
      <c r="O769" s="491" t="n"/>
      <c r="P769" s="491" t="n"/>
      <c r="Q769" s="491" t="n"/>
      <c r="R769" s="491" t="n"/>
      <c r="S769" s="491" t="n"/>
      <c r="T769" s="491" t="n"/>
      <c r="U769" s="491" t="n"/>
      <c r="V769" s="491" t="n"/>
      <c r="W769" s="491" t="n"/>
      <c r="X769" s="491" t="n"/>
      <c r="Y769" s="491" t="n"/>
      <c r="Z769" s="491" t="n"/>
    </row>
    <row r="770" ht="12.75" customHeight="1" s="398">
      <c r="A770" s="491" t="n"/>
      <c r="B770" s="491" t="n"/>
      <c r="C770" s="491" t="n"/>
      <c r="D770" s="491" t="n"/>
      <c r="E770" s="491" t="n"/>
      <c r="F770" s="491" t="n"/>
      <c r="G770" s="491" t="n"/>
      <c r="H770" s="491" t="n"/>
      <c r="I770" s="491" t="n"/>
      <c r="J770" s="491" t="n"/>
      <c r="K770" s="491" t="n"/>
      <c r="L770" s="491" t="n"/>
      <c r="M770" s="491" t="n"/>
      <c r="N770" s="491" t="n"/>
      <c r="O770" s="491" t="n"/>
      <c r="P770" s="491" t="n"/>
      <c r="Q770" s="491" t="n"/>
      <c r="R770" s="491" t="n"/>
      <c r="S770" s="491" t="n"/>
      <c r="T770" s="491" t="n"/>
      <c r="U770" s="491" t="n"/>
      <c r="V770" s="491" t="n"/>
      <c r="W770" s="491" t="n"/>
      <c r="X770" s="491" t="n"/>
      <c r="Y770" s="491" t="n"/>
      <c r="Z770" s="491" t="n"/>
    </row>
    <row r="771" ht="12.75" customHeight="1" s="398">
      <c r="A771" s="491" t="n"/>
      <c r="B771" s="491" t="n"/>
      <c r="C771" s="491" t="n"/>
      <c r="D771" s="491" t="n"/>
      <c r="E771" s="491" t="n"/>
      <c r="F771" s="491" t="n"/>
      <c r="G771" s="491" t="n"/>
      <c r="H771" s="491" t="n"/>
      <c r="I771" s="491" t="n"/>
      <c r="J771" s="491" t="n"/>
      <c r="K771" s="491" t="n"/>
      <c r="L771" s="491" t="n"/>
      <c r="M771" s="491" t="n"/>
      <c r="N771" s="491" t="n"/>
      <c r="O771" s="491" t="n"/>
      <c r="P771" s="491" t="n"/>
      <c r="Q771" s="491" t="n"/>
      <c r="R771" s="491" t="n"/>
      <c r="S771" s="491" t="n"/>
      <c r="T771" s="491" t="n"/>
      <c r="U771" s="491" t="n"/>
      <c r="V771" s="491" t="n"/>
      <c r="W771" s="491" t="n"/>
      <c r="X771" s="491" t="n"/>
      <c r="Y771" s="491" t="n"/>
      <c r="Z771" s="491" t="n"/>
    </row>
    <row r="772" ht="12.75" customHeight="1" s="398">
      <c r="A772" s="491" t="n"/>
      <c r="B772" s="491" t="n"/>
      <c r="C772" s="491" t="n"/>
      <c r="D772" s="491" t="n"/>
      <c r="E772" s="491" t="n"/>
      <c r="F772" s="491" t="n"/>
      <c r="G772" s="491" t="n"/>
      <c r="H772" s="491" t="n"/>
      <c r="I772" s="491" t="n"/>
      <c r="J772" s="491" t="n"/>
      <c r="K772" s="491" t="n"/>
      <c r="L772" s="491" t="n"/>
      <c r="M772" s="491" t="n"/>
      <c r="N772" s="491" t="n"/>
      <c r="O772" s="491" t="n"/>
      <c r="P772" s="491" t="n"/>
      <c r="Q772" s="491" t="n"/>
      <c r="R772" s="491" t="n"/>
      <c r="S772" s="491" t="n"/>
      <c r="T772" s="491" t="n"/>
      <c r="U772" s="491" t="n"/>
      <c r="V772" s="491" t="n"/>
      <c r="W772" s="491" t="n"/>
      <c r="X772" s="491" t="n"/>
      <c r="Y772" s="491" t="n"/>
      <c r="Z772" s="491" t="n"/>
    </row>
    <row r="773" ht="12.75" customHeight="1" s="398">
      <c r="A773" s="491" t="n"/>
      <c r="B773" s="491" t="n"/>
      <c r="C773" s="491" t="n"/>
      <c r="D773" s="491" t="n"/>
      <c r="E773" s="491" t="n"/>
      <c r="F773" s="491" t="n"/>
      <c r="G773" s="491" t="n"/>
      <c r="H773" s="491" t="n"/>
      <c r="I773" s="491" t="n"/>
      <c r="J773" s="491" t="n"/>
      <c r="K773" s="491" t="n"/>
      <c r="L773" s="491" t="n"/>
      <c r="M773" s="491" t="n"/>
      <c r="N773" s="491" t="n"/>
      <c r="O773" s="491" t="n"/>
      <c r="P773" s="491" t="n"/>
      <c r="Q773" s="491" t="n"/>
      <c r="R773" s="491" t="n"/>
      <c r="S773" s="491" t="n"/>
      <c r="T773" s="491" t="n"/>
      <c r="U773" s="491" t="n"/>
      <c r="V773" s="491" t="n"/>
      <c r="W773" s="491" t="n"/>
      <c r="X773" s="491" t="n"/>
      <c r="Y773" s="491" t="n"/>
      <c r="Z773" s="491" t="n"/>
    </row>
    <row r="774" ht="12.75" customHeight="1" s="398">
      <c r="A774" s="491" t="n"/>
      <c r="B774" s="491" t="n"/>
      <c r="C774" s="491" t="n"/>
      <c r="D774" s="491" t="n"/>
      <c r="E774" s="491" t="n"/>
      <c r="F774" s="491" t="n"/>
      <c r="G774" s="491" t="n"/>
      <c r="H774" s="491" t="n"/>
      <c r="I774" s="491" t="n"/>
      <c r="J774" s="491" t="n"/>
      <c r="K774" s="491" t="n"/>
      <c r="L774" s="491" t="n"/>
      <c r="M774" s="491" t="n"/>
      <c r="N774" s="491" t="n"/>
      <c r="O774" s="491" t="n"/>
      <c r="P774" s="491" t="n"/>
      <c r="Q774" s="491" t="n"/>
      <c r="R774" s="491" t="n"/>
      <c r="S774" s="491" t="n"/>
      <c r="T774" s="491" t="n"/>
      <c r="U774" s="491" t="n"/>
      <c r="V774" s="491" t="n"/>
      <c r="W774" s="491" t="n"/>
      <c r="X774" s="491" t="n"/>
      <c r="Y774" s="491" t="n"/>
      <c r="Z774" s="491" t="n"/>
    </row>
    <row r="775" ht="12.75" customHeight="1" s="398">
      <c r="A775" s="491" t="n"/>
      <c r="B775" s="491" t="n"/>
      <c r="C775" s="491" t="n"/>
      <c r="D775" s="491" t="n"/>
      <c r="E775" s="491" t="n"/>
      <c r="F775" s="491" t="n"/>
      <c r="G775" s="491" t="n"/>
      <c r="H775" s="491" t="n"/>
      <c r="I775" s="491" t="n"/>
      <c r="J775" s="491" t="n"/>
      <c r="K775" s="491" t="n"/>
      <c r="L775" s="491" t="n"/>
      <c r="M775" s="491" t="n"/>
      <c r="N775" s="491" t="n"/>
      <c r="O775" s="491" t="n"/>
      <c r="P775" s="491" t="n"/>
      <c r="Q775" s="491" t="n"/>
      <c r="R775" s="491" t="n"/>
      <c r="S775" s="491" t="n"/>
      <c r="T775" s="491" t="n"/>
      <c r="U775" s="491" t="n"/>
      <c r="V775" s="491" t="n"/>
      <c r="W775" s="491" t="n"/>
      <c r="X775" s="491" t="n"/>
      <c r="Y775" s="491" t="n"/>
      <c r="Z775" s="491" t="n"/>
    </row>
    <row r="776" ht="12.75" customHeight="1" s="398">
      <c r="A776" s="491" t="n"/>
      <c r="B776" s="491" t="n"/>
      <c r="C776" s="491" t="n"/>
      <c r="D776" s="491" t="n"/>
      <c r="E776" s="491" t="n"/>
      <c r="F776" s="491" t="n"/>
      <c r="G776" s="491" t="n"/>
      <c r="H776" s="491" t="n"/>
      <c r="I776" s="491" t="n"/>
      <c r="J776" s="491" t="n"/>
      <c r="K776" s="491" t="n"/>
      <c r="L776" s="491" t="n"/>
      <c r="M776" s="491" t="n"/>
      <c r="N776" s="491" t="n"/>
      <c r="O776" s="491" t="n"/>
      <c r="P776" s="491" t="n"/>
      <c r="Q776" s="491" t="n"/>
      <c r="R776" s="491" t="n"/>
      <c r="S776" s="491" t="n"/>
      <c r="T776" s="491" t="n"/>
      <c r="U776" s="491" t="n"/>
      <c r="V776" s="491" t="n"/>
      <c r="W776" s="491" t="n"/>
      <c r="X776" s="491" t="n"/>
      <c r="Y776" s="491" t="n"/>
      <c r="Z776" s="491" t="n"/>
    </row>
    <row r="777" ht="12.75" customHeight="1" s="398">
      <c r="A777" s="491" t="n"/>
      <c r="B777" s="491" t="n"/>
      <c r="C777" s="491" t="n"/>
      <c r="D777" s="491" t="n"/>
      <c r="E777" s="491" t="n"/>
      <c r="F777" s="491" t="n"/>
      <c r="G777" s="491" t="n"/>
      <c r="H777" s="491" t="n"/>
      <c r="I777" s="491" t="n"/>
      <c r="J777" s="491" t="n"/>
      <c r="K777" s="491" t="n"/>
      <c r="L777" s="491" t="n"/>
      <c r="M777" s="491" t="n"/>
      <c r="N777" s="491" t="n"/>
      <c r="O777" s="491" t="n"/>
      <c r="P777" s="491" t="n"/>
      <c r="Q777" s="491" t="n"/>
      <c r="R777" s="491" t="n"/>
      <c r="S777" s="491" t="n"/>
      <c r="T777" s="491" t="n"/>
      <c r="U777" s="491" t="n"/>
      <c r="V777" s="491" t="n"/>
      <c r="W777" s="491" t="n"/>
      <c r="X777" s="491" t="n"/>
      <c r="Y777" s="491" t="n"/>
      <c r="Z777" s="491" t="n"/>
    </row>
    <row r="778" ht="12.75" customHeight="1" s="398">
      <c r="A778" s="491" t="n"/>
      <c r="B778" s="491" t="n"/>
      <c r="C778" s="491" t="n"/>
      <c r="D778" s="491" t="n"/>
      <c r="E778" s="491" t="n"/>
      <c r="F778" s="491" t="n"/>
      <c r="G778" s="491" t="n"/>
      <c r="H778" s="491" t="n"/>
      <c r="I778" s="491" t="n"/>
      <c r="J778" s="491" t="n"/>
      <c r="K778" s="491" t="n"/>
      <c r="L778" s="491" t="n"/>
      <c r="M778" s="491" t="n"/>
      <c r="N778" s="491" t="n"/>
      <c r="O778" s="491" t="n"/>
      <c r="P778" s="491" t="n"/>
      <c r="Q778" s="491" t="n"/>
      <c r="R778" s="491" t="n"/>
      <c r="S778" s="491" t="n"/>
      <c r="T778" s="491" t="n"/>
      <c r="U778" s="491" t="n"/>
      <c r="V778" s="491" t="n"/>
      <c r="W778" s="491" t="n"/>
      <c r="X778" s="491" t="n"/>
      <c r="Y778" s="491" t="n"/>
      <c r="Z778" s="491" t="n"/>
    </row>
    <row r="779" ht="12.75" customHeight="1" s="398">
      <c r="A779" s="491" t="n"/>
      <c r="B779" s="491" t="n"/>
      <c r="C779" s="491" t="n"/>
      <c r="D779" s="491" t="n"/>
      <c r="E779" s="491" t="n"/>
      <c r="F779" s="491" t="n"/>
      <c r="G779" s="491" t="n"/>
      <c r="H779" s="491" t="n"/>
      <c r="I779" s="491" t="n"/>
      <c r="J779" s="491" t="n"/>
      <c r="K779" s="491" t="n"/>
      <c r="L779" s="491" t="n"/>
      <c r="M779" s="491" t="n"/>
      <c r="N779" s="491" t="n"/>
      <c r="O779" s="491" t="n"/>
      <c r="P779" s="491" t="n"/>
      <c r="Q779" s="491" t="n"/>
      <c r="R779" s="491" t="n"/>
      <c r="S779" s="491" t="n"/>
      <c r="T779" s="491" t="n"/>
      <c r="U779" s="491" t="n"/>
      <c r="V779" s="491" t="n"/>
      <c r="W779" s="491" t="n"/>
      <c r="X779" s="491" t="n"/>
      <c r="Y779" s="491" t="n"/>
      <c r="Z779" s="491" t="n"/>
    </row>
    <row r="780" ht="12.75" customHeight="1" s="398">
      <c r="A780" s="491" t="n"/>
      <c r="B780" s="491" t="n"/>
      <c r="C780" s="491" t="n"/>
      <c r="D780" s="491" t="n"/>
      <c r="E780" s="491" t="n"/>
      <c r="F780" s="491" t="n"/>
      <c r="G780" s="491" t="n"/>
      <c r="H780" s="491" t="n"/>
      <c r="I780" s="491" t="n"/>
      <c r="J780" s="491" t="n"/>
      <c r="K780" s="491" t="n"/>
      <c r="L780" s="491" t="n"/>
      <c r="M780" s="491" t="n"/>
      <c r="N780" s="491" t="n"/>
      <c r="O780" s="491" t="n"/>
      <c r="P780" s="491" t="n"/>
      <c r="Q780" s="491" t="n"/>
      <c r="R780" s="491" t="n"/>
      <c r="S780" s="491" t="n"/>
      <c r="T780" s="491" t="n"/>
      <c r="U780" s="491" t="n"/>
      <c r="V780" s="491" t="n"/>
      <c r="W780" s="491" t="n"/>
      <c r="X780" s="491" t="n"/>
      <c r="Y780" s="491" t="n"/>
      <c r="Z780" s="491" t="n"/>
    </row>
    <row r="781" ht="12.75" customHeight="1" s="398">
      <c r="A781" s="491" t="n"/>
      <c r="B781" s="491" t="n"/>
      <c r="C781" s="491" t="n"/>
      <c r="D781" s="491" t="n"/>
      <c r="E781" s="491" t="n"/>
      <c r="F781" s="491" t="n"/>
      <c r="G781" s="491" t="n"/>
      <c r="H781" s="491" t="n"/>
      <c r="I781" s="491" t="n"/>
      <c r="J781" s="491" t="n"/>
      <c r="K781" s="491" t="n"/>
      <c r="L781" s="491" t="n"/>
      <c r="M781" s="491" t="n"/>
      <c r="N781" s="491" t="n"/>
      <c r="O781" s="491" t="n"/>
      <c r="P781" s="491" t="n"/>
      <c r="Q781" s="491" t="n"/>
      <c r="R781" s="491" t="n"/>
      <c r="S781" s="491" t="n"/>
      <c r="T781" s="491" t="n"/>
      <c r="U781" s="491" t="n"/>
      <c r="V781" s="491" t="n"/>
      <c r="W781" s="491" t="n"/>
      <c r="X781" s="491" t="n"/>
      <c r="Y781" s="491" t="n"/>
      <c r="Z781" s="491" t="n"/>
    </row>
    <row r="782" ht="12.75" customHeight="1" s="398">
      <c r="A782" s="491" t="n"/>
      <c r="B782" s="491" t="n"/>
      <c r="C782" s="491" t="n"/>
      <c r="D782" s="491" t="n"/>
      <c r="E782" s="491" t="n"/>
      <c r="F782" s="491" t="n"/>
      <c r="G782" s="491" t="n"/>
      <c r="H782" s="491" t="n"/>
      <c r="I782" s="491" t="n"/>
      <c r="J782" s="491" t="n"/>
      <c r="K782" s="491" t="n"/>
      <c r="L782" s="491" t="n"/>
      <c r="M782" s="491" t="n"/>
      <c r="N782" s="491" t="n"/>
      <c r="O782" s="491" t="n"/>
      <c r="P782" s="491" t="n"/>
      <c r="Q782" s="491" t="n"/>
      <c r="R782" s="491" t="n"/>
      <c r="S782" s="491" t="n"/>
      <c r="T782" s="491" t="n"/>
      <c r="U782" s="491" t="n"/>
      <c r="V782" s="491" t="n"/>
      <c r="W782" s="491" t="n"/>
      <c r="X782" s="491" t="n"/>
      <c r="Y782" s="491" t="n"/>
      <c r="Z782" s="491" t="n"/>
    </row>
    <row r="783" ht="12.75" customHeight="1" s="398">
      <c r="A783" s="491" t="n"/>
      <c r="B783" s="491" t="n"/>
      <c r="C783" s="491" t="n"/>
      <c r="D783" s="491" t="n"/>
      <c r="E783" s="491" t="n"/>
      <c r="F783" s="491" t="n"/>
      <c r="G783" s="491" t="n"/>
      <c r="H783" s="491" t="n"/>
      <c r="I783" s="491" t="n"/>
      <c r="J783" s="491" t="n"/>
      <c r="K783" s="491" t="n"/>
      <c r="L783" s="491" t="n"/>
      <c r="M783" s="491" t="n"/>
      <c r="N783" s="491" t="n"/>
      <c r="O783" s="491" t="n"/>
      <c r="P783" s="491" t="n"/>
      <c r="Q783" s="491" t="n"/>
      <c r="R783" s="491" t="n"/>
      <c r="S783" s="491" t="n"/>
      <c r="T783" s="491" t="n"/>
      <c r="U783" s="491" t="n"/>
      <c r="V783" s="491" t="n"/>
      <c r="W783" s="491" t="n"/>
      <c r="X783" s="491" t="n"/>
      <c r="Y783" s="491" t="n"/>
      <c r="Z783" s="491" t="n"/>
    </row>
    <row r="784" ht="12.75" customHeight="1" s="398">
      <c r="A784" s="491" t="n"/>
      <c r="B784" s="491" t="n"/>
      <c r="C784" s="491" t="n"/>
      <c r="D784" s="491" t="n"/>
      <c r="E784" s="491" t="n"/>
      <c r="F784" s="491" t="n"/>
      <c r="G784" s="491" t="n"/>
      <c r="H784" s="491" t="n"/>
      <c r="I784" s="491" t="n"/>
      <c r="J784" s="491" t="n"/>
      <c r="K784" s="491" t="n"/>
      <c r="L784" s="491" t="n"/>
      <c r="M784" s="491" t="n"/>
      <c r="N784" s="491" t="n"/>
      <c r="O784" s="491" t="n"/>
      <c r="P784" s="491" t="n"/>
      <c r="Q784" s="491" t="n"/>
      <c r="R784" s="491" t="n"/>
      <c r="S784" s="491" t="n"/>
      <c r="T784" s="491" t="n"/>
      <c r="U784" s="491" t="n"/>
      <c r="V784" s="491" t="n"/>
      <c r="W784" s="491" t="n"/>
      <c r="X784" s="491" t="n"/>
      <c r="Y784" s="491" t="n"/>
      <c r="Z784" s="491" t="n"/>
    </row>
    <row r="785" ht="12.75" customHeight="1" s="398">
      <c r="A785" s="491" t="n"/>
      <c r="B785" s="491" t="n"/>
      <c r="C785" s="491" t="n"/>
      <c r="D785" s="491" t="n"/>
      <c r="E785" s="491" t="n"/>
      <c r="F785" s="491" t="n"/>
      <c r="G785" s="491" t="n"/>
      <c r="H785" s="491" t="n"/>
      <c r="I785" s="491" t="n"/>
      <c r="J785" s="491" t="n"/>
      <c r="K785" s="491" t="n"/>
      <c r="L785" s="491" t="n"/>
      <c r="M785" s="491" t="n"/>
      <c r="N785" s="491" t="n"/>
      <c r="O785" s="491" t="n"/>
      <c r="P785" s="491" t="n"/>
      <c r="Q785" s="491" t="n"/>
      <c r="R785" s="491" t="n"/>
      <c r="S785" s="491" t="n"/>
      <c r="T785" s="491" t="n"/>
      <c r="U785" s="491" t="n"/>
      <c r="V785" s="491" t="n"/>
      <c r="W785" s="491" t="n"/>
      <c r="X785" s="491" t="n"/>
      <c r="Y785" s="491" t="n"/>
      <c r="Z785" s="491" t="n"/>
    </row>
    <row r="786" ht="12.75" customHeight="1" s="398">
      <c r="A786" s="491" t="n"/>
      <c r="B786" s="491" t="n"/>
      <c r="C786" s="491" t="n"/>
      <c r="D786" s="491" t="n"/>
      <c r="E786" s="491" t="n"/>
      <c r="F786" s="491" t="n"/>
      <c r="G786" s="491" t="n"/>
      <c r="H786" s="491" t="n"/>
      <c r="I786" s="491" t="n"/>
      <c r="J786" s="491" t="n"/>
      <c r="K786" s="491" t="n"/>
      <c r="L786" s="491" t="n"/>
      <c r="M786" s="491" t="n"/>
      <c r="N786" s="491" t="n"/>
      <c r="O786" s="491" t="n"/>
      <c r="P786" s="491" t="n"/>
      <c r="Q786" s="491" t="n"/>
      <c r="R786" s="491" t="n"/>
      <c r="S786" s="491" t="n"/>
      <c r="T786" s="491" t="n"/>
      <c r="U786" s="491" t="n"/>
      <c r="V786" s="491" t="n"/>
      <c r="W786" s="491" t="n"/>
      <c r="X786" s="491" t="n"/>
      <c r="Y786" s="491" t="n"/>
      <c r="Z786" s="491" t="n"/>
    </row>
    <row r="787" ht="12.75" customHeight="1" s="398">
      <c r="A787" s="491" t="n"/>
      <c r="B787" s="491" t="n"/>
      <c r="C787" s="491" t="n"/>
      <c r="D787" s="491" t="n"/>
      <c r="E787" s="491" t="n"/>
      <c r="F787" s="491" t="n"/>
      <c r="G787" s="491" t="n"/>
      <c r="H787" s="491" t="n"/>
      <c r="I787" s="491" t="n"/>
      <c r="J787" s="491" t="n"/>
      <c r="K787" s="491" t="n"/>
      <c r="L787" s="491" t="n"/>
      <c r="M787" s="491" t="n"/>
      <c r="N787" s="491" t="n"/>
      <c r="O787" s="491" t="n"/>
      <c r="P787" s="491" t="n"/>
      <c r="Q787" s="491" t="n"/>
      <c r="R787" s="491" t="n"/>
      <c r="S787" s="491" t="n"/>
      <c r="T787" s="491" t="n"/>
      <c r="U787" s="491" t="n"/>
      <c r="V787" s="491" t="n"/>
      <c r="W787" s="491" t="n"/>
      <c r="X787" s="491" t="n"/>
      <c r="Y787" s="491" t="n"/>
      <c r="Z787" s="491" t="n"/>
    </row>
    <row r="788" ht="12.75" customHeight="1" s="398">
      <c r="A788" s="491" t="n"/>
      <c r="B788" s="491" t="n"/>
      <c r="C788" s="491" t="n"/>
      <c r="D788" s="491" t="n"/>
      <c r="E788" s="491" t="n"/>
      <c r="F788" s="491" t="n"/>
      <c r="G788" s="491" t="n"/>
      <c r="H788" s="491" t="n"/>
      <c r="I788" s="491" t="n"/>
      <c r="J788" s="491" t="n"/>
      <c r="K788" s="491" t="n"/>
      <c r="L788" s="491" t="n"/>
      <c r="M788" s="491" t="n"/>
      <c r="N788" s="491" t="n"/>
      <c r="O788" s="491" t="n"/>
      <c r="P788" s="491" t="n"/>
      <c r="Q788" s="491" t="n"/>
      <c r="R788" s="491" t="n"/>
      <c r="S788" s="491" t="n"/>
      <c r="T788" s="491" t="n"/>
      <c r="U788" s="491" t="n"/>
      <c r="V788" s="491" t="n"/>
      <c r="W788" s="491" t="n"/>
      <c r="X788" s="491" t="n"/>
      <c r="Y788" s="491" t="n"/>
      <c r="Z788" s="491" t="n"/>
    </row>
    <row r="789" ht="12.75" customHeight="1" s="398">
      <c r="A789" s="491" t="n"/>
      <c r="B789" s="491" t="n"/>
      <c r="C789" s="491" t="n"/>
      <c r="D789" s="491" t="n"/>
      <c r="E789" s="491" t="n"/>
      <c r="F789" s="491" t="n"/>
      <c r="G789" s="491" t="n"/>
      <c r="H789" s="491" t="n"/>
      <c r="I789" s="491" t="n"/>
      <c r="J789" s="491" t="n"/>
      <c r="K789" s="491" t="n"/>
      <c r="L789" s="491" t="n"/>
      <c r="M789" s="491" t="n"/>
      <c r="N789" s="491" t="n"/>
      <c r="O789" s="491" t="n"/>
      <c r="P789" s="491" t="n"/>
      <c r="Q789" s="491" t="n"/>
      <c r="R789" s="491" t="n"/>
      <c r="S789" s="491" t="n"/>
      <c r="T789" s="491" t="n"/>
      <c r="U789" s="491" t="n"/>
      <c r="V789" s="491" t="n"/>
      <c r="W789" s="491" t="n"/>
      <c r="X789" s="491" t="n"/>
      <c r="Y789" s="491" t="n"/>
      <c r="Z789" s="491" t="n"/>
    </row>
    <row r="790" ht="12.75" customHeight="1" s="398">
      <c r="A790" s="491" t="n"/>
      <c r="B790" s="491" t="n"/>
      <c r="C790" s="491" t="n"/>
      <c r="D790" s="491" t="n"/>
      <c r="E790" s="491" t="n"/>
      <c r="F790" s="491" t="n"/>
      <c r="G790" s="491" t="n"/>
      <c r="H790" s="491" t="n"/>
      <c r="I790" s="491" t="n"/>
      <c r="J790" s="491" t="n"/>
      <c r="K790" s="491" t="n"/>
      <c r="L790" s="491" t="n"/>
      <c r="M790" s="491" t="n"/>
      <c r="N790" s="491" t="n"/>
      <c r="O790" s="491" t="n"/>
      <c r="P790" s="491" t="n"/>
      <c r="Q790" s="491" t="n"/>
      <c r="R790" s="491" t="n"/>
      <c r="S790" s="491" t="n"/>
      <c r="T790" s="491" t="n"/>
      <c r="U790" s="491" t="n"/>
      <c r="V790" s="491" t="n"/>
      <c r="W790" s="491" t="n"/>
      <c r="X790" s="491" t="n"/>
      <c r="Y790" s="491" t="n"/>
      <c r="Z790" s="491" t="n"/>
    </row>
    <row r="791" ht="12.75" customHeight="1" s="398">
      <c r="A791" s="491" t="n"/>
      <c r="B791" s="491" t="n"/>
      <c r="C791" s="491" t="n"/>
      <c r="D791" s="491" t="n"/>
      <c r="E791" s="491" t="n"/>
      <c r="F791" s="491" t="n"/>
      <c r="G791" s="491" t="n"/>
      <c r="H791" s="491" t="n"/>
      <c r="I791" s="491" t="n"/>
      <c r="J791" s="491" t="n"/>
      <c r="K791" s="491" t="n"/>
      <c r="L791" s="491" t="n"/>
      <c r="M791" s="491" t="n"/>
      <c r="N791" s="491" t="n"/>
      <c r="O791" s="491" t="n"/>
      <c r="P791" s="491" t="n"/>
      <c r="Q791" s="491" t="n"/>
      <c r="R791" s="491" t="n"/>
      <c r="S791" s="491" t="n"/>
      <c r="T791" s="491" t="n"/>
      <c r="U791" s="491" t="n"/>
      <c r="V791" s="491" t="n"/>
      <c r="W791" s="491" t="n"/>
      <c r="X791" s="491" t="n"/>
      <c r="Y791" s="491" t="n"/>
      <c r="Z791" s="491" t="n"/>
    </row>
    <row r="792" ht="12.75" customHeight="1" s="398">
      <c r="A792" s="491" t="n"/>
      <c r="B792" s="491" t="n"/>
      <c r="C792" s="491" t="n"/>
      <c r="D792" s="491" t="n"/>
      <c r="E792" s="491" t="n"/>
      <c r="F792" s="491" t="n"/>
      <c r="G792" s="491" t="n"/>
      <c r="H792" s="491" t="n"/>
      <c r="I792" s="491" t="n"/>
      <c r="J792" s="491" t="n"/>
      <c r="K792" s="491" t="n"/>
      <c r="L792" s="491" t="n"/>
      <c r="M792" s="491" t="n"/>
      <c r="N792" s="491" t="n"/>
      <c r="O792" s="491" t="n"/>
      <c r="P792" s="491" t="n"/>
      <c r="Q792" s="491" t="n"/>
      <c r="R792" s="491" t="n"/>
      <c r="S792" s="491" t="n"/>
      <c r="T792" s="491" t="n"/>
      <c r="U792" s="491" t="n"/>
      <c r="V792" s="491" t="n"/>
      <c r="W792" s="491" t="n"/>
      <c r="X792" s="491" t="n"/>
      <c r="Y792" s="491" t="n"/>
      <c r="Z792" s="491" t="n"/>
    </row>
    <row r="793" ht="12.75" customHeight="1" s="398">
      <c r="A793" s="491" t="n"/>
      <c r="B793" s="491" t="n"/>
      <c r="C793" s="491" t="n"/>
      <c r="D793" s="491" t="n"/>
      <c r="E793" s="491" t="n"/>
      <c r="F793" s="491" t="n"/>
      <c r="G793" s="491" t="n"/>
      <c r="H793" s="491" t="n"/>
      <c r="I793" s="491" t="n"/>
      <c r="J793" s="491" t="n"/>
      <c r="K793" s="491" t="n"/>
      <c r="L793" s="491" t="n"/>
      <c r="M793" s="491" t="n"/>
      <c r="N793" s="491" t="n"/>
      <c r="O793" s="491" t="n"/>
      <c r="P793" s="491" t="n"/>
      <c r="Q793" s="491" t="n"/>
      <c r="R793" s="491" t="n"/>
      <c r="S793" s="491" t="n"/>
      <c r="T793" s="491" t="n"/>
      <c r="U793" s="491" t="n"/>
      <c r="V793" s="491" t="n"/>
      <c r="W793" s="491" t="n"/>
      <c r="X793" s="491" t="n"/>
      <c r="Y793" s="491" t="n"/>
      <c r="Z793" s="491" t="n"/>
    </row>
    <row r="794" ht="12.75" customHeight="1" s="398">
      <c r="A794" s="491" t="n"/>
      <c r="B794" s="491" t="n"/>
      <c r="C794" s="491" t="n"/>
      <c r="D794" s="491" t="n"/>
      <c r="E794" s="491" t="n"/>
      <c r="F794" s="491" t="n"/>
      <c r="G794" s="491" t="n"/>
      <c r="H794" s="491" t="n"/>
      <c r="I794" s="491" t="n"/>
      <c r="J794" s="491" t="n"/>
      <c r="K794" s="491" t="n"/>
      <c r="L794" s="491" t="n"/>
      <c r="M794" s="491" t="n"/>
      <c r="N794" s="491" t="n"/>
      <c r="O794" s="491" t="n"/>
      <c r="P794" s="491" t="n"/>
      <c r="Q794" s="491" t="n"/>
      <c r="R794" s="491" t="n"/>
      <c r="S794" s="491" t="n"/>
      <c r="T794" s="491" t="n"/>
      <c r="U794" s="491" t="n"/>
      <c r="V794" s="491" t="n"/>
      <c r="W794" s="491" t="n"/>
      <c r="X794" s="491" t="n"/>
      <c r="Y794" s="491" t="n"/>
      <c r="Z794" s="491" t="n"/>
    </row>
    <row r="795" ht="12.75" customHeight="1" s="398">
      <c r="A795" s="491" t="n"/>
      <c r="B795" s="491" t="n"/>
      <c r="C795" s="491" t="n"/>
      <c r="D795" s="491" t="n"/>
      <c r="E795" s="491" t="n"/>
      <c r="F795" s="491" t="n"/>
      <c r="G795" s="491" t="n"/>
      <c r="H795" s="491" t="n"/>
      <c r="I795" s="491" t="n"/>
      <c r="J795" s="491" t="n"/>
      <c r="K795" s="491" t="n"/>
      <c r="L795" s="491" t="n"/>
      <c r="M795" s="491" t="n"/>
      <c r="N795" s="491" t="n"/>
      <c r="O795" s="491" t="n"/>
      <c r="P795" s="491" t="n"/>
      <c r="Q795" s="491" t="n"/>
      <c r="R795" s="491" t="n"/>
      <c r="S795" s="491" t="n"/>
      <c r="T795" s="491" t="n"/>
      <c r="U795" s="491" t="n"/>
      <c r="V795" s="491" t="n"/>
      <c r="W795" s="491" t="n"/>
      <c r="X795" s="491" t="n"/>
      <c r="Y795" s="491" t="n"/>
      <c r="Z795" s="491" t="n"/>
    </row>
    <row r="796" ht="12.75" customHeight="1" s="398">
      <c r="A796" s="491" t="n"/>
      <c r="B796" s="491" t="n"/>
      <c r="C796" s="491" t="n"/>
      <c r="D796" s="491" t="n"/>
      <c r="E796" s="491" t="n"/>
      <c r="F796" s="491" t="n"/>
      <c r="G796" s="491" t="n"/>
      <c r="H796" s="491" t="n"/>
      <c r="I796" s="491" t="n"/>
      <c r="J796" s="491" t="n"/>
      <c r="K796" s="491" t="n"/>
      <c r="L796" s="491" t="n"/>
      <c r="M796" s="491" t="n"/>
      <c r="N796" s="491" t="n"/>
      <c r="O796" s="491" t="n"/>
      <c r="P796" s="491" t="n"/>
      <c r="Q796" s="491" t="n"/>
      <c r="R796" s="491" t="n"/>
      <c r="S796" s="491" t="n"/>
      <c r="T796" s="491" t="n"/>
      <c r="U796" s="491" t="n"/>
      <c r="V796" s="491" t="n"/>
      <c r="W796" s="491" t="n"/>
      <c r="X796" s="491" t="n"/>
      <c r="Y796" s="491" t="n"/>
      <c r="Z796" s="491" t="n"/>
    </row>
    <row r="797" ht="12.75" customHeight="1" s="398">
      <c r="A797" s="491" t="n"/>
      <c r="B797" s="491" t="n"/>
      <c r="C797" s="491" t="n"/>
      <c r="D797" s="491" t="n"/>
      <c r="E797" s="491" t="n"/>
      <c r="F797" s="491" t="n"/>
      <c r="G797" s="491" t="n"/>
      <c r="H797" s="491" t="n"/>
      <c r="I797" s="491" t="n"/>
      <c r="J797" s="491" t="n"/>
      <c r="K797" s="491" t="n"/>
      <c r="L797" s="491" t="n"/>
      <c r="M797" s="491" t="n"/>
      <c r="N797" s="491" t="n"/>
      <c r="O797" s="491" t="n"/>
      <c r="P797" s="491" t="n"/>
      <c r="Q797" s="491" t="n"/>
      <c r="R797" s="491" t="n"/>
      <c r="S797" s="491" t="n"/>
      <c r="T797" s="491" t="n"/>
      <c r="U797" s="491" t="n"/>
      <c r="V797" s="491" t="n"/>
      <c r="W797" s="491" t="n"/>
      <c r="X797" s="491" t="n"/>
      <c r="Y797" s="491" t="n"/>
      <c r="Z797" s="491" t="n"/>
    </row>
    <row r="798" ht="12.75" customHeight="1" s="398">
      <c r="A798" s="491" t="n"/>
      <c r="B798" s="491" t="n"/>
      <c r="C798" s="491" t="n"/>
      <c r="D798" s="491" t="n"/>
      <c r="E798" s="491" t="n"/>
      <c r="F798" s="491" t="n"/>
      <c r="G798" s="491" t="n"/>
      <c r="H798" s="491" t="n"/>
      <c r="I798" s="491" t="n"/>
      <c r="J798" s="491" t="n"/>
      <c r="K798" s="491" t="n"/>
      <c r="L798" s="491" t="n"/>
      <c r="M798" s="491" t="n"/>
      <c r="N798" s="491" t="n"/>
      <c r="O798" s="491" t="n"/>
      <c r="P798" s="491" t="n"/>
      <c r="Q798" s="491" t="n"/>
      <c r="R798" s="491" t="n"/>
      <c r="S798" s="491" t="n"/>
      <c r="T798" s="491" t="n"/>
      <c r="U798" s="491" t="n"/>
      <c r="V798" s="491" t="n"/>
      <c r="W798" s="491" t="n"/>
      <c r="X798" s="491" t="n"/>
      <c r="Y798" s="491" t="n"/>
      <c r="Z798" s="491" t="n"/>
    </row>
    <row r="799" ht="12.75" customHeight="1" s="398">
      <c r="A799" s="491" t="n"/>
      <c r="B799" s="491" t="n"/>
      <c r="C799" s="491" t="n"/>
      <c r="D799" s="491" t="n"/>
      <c r="E799" s="491" t="n"/>
      <c r="F799" s="491" t="n"/>
      <c r="G799" s="491" t="n"/>
      <c r="H799" s="491" t="n"/>
      <c r="I799" s="491" t="n"/>
      <c r="J799" s="491" t="n"/>
      <c r="K799" s="491" t="n"/>
      <c r="L799" s="491" t="n"/>
      <c r="M799" s="491" t="n"/>
      <c r="N799" s="491" t="n"/>
      <c r="O799" s="491" t="n"/>
      <c r="P799" s="491" t="n"/>
      <c r="Q799" s="491" t="n"/>
      <c r="R799" s="491" t="n"/>
      <c r="S799" s="491" t="n"/>
      <c r="T799" s="491" t="n"/>
      <c r="U799" s="491" t="n"/>
      <c r="V799" s="491" t="n"/>
      <c r="W799" s="491" t="n"/>
      <c r="X799" s="491" t="n"/>
      <c r="Y799" s="491" t="n"/>
      <c r="Z799" s="491" t="n"/>
    </row>
    <row r="800" ht="12.75" customHeight="1" s="398">
      <c r="A800" s="491" t="n"/>
      <c r="B800" s="491" t="n"/>
      <c r="C800" s="491" t="n"/>
      <c r="D800" s="491" t="n"/>
      <c r="E800" s="491" t="n"/>
      <c r="F800" s="491" t="n"/>
      <c r="G800" s="491" t="n"/>
      <c r="H800" s="491" t="n"/>
      <c r="I800" s="491" t="n"/>
      <c r="J800" s="491" t="n"/>
      <c r="K800" s="491" t="n"/>
      <c r="L800" s="491" t="n"/>
      <c r="M800" s="491" t="n"/>
      <c r="N800" s="491" t="n"/>
      <c r="O800" s="491" t="n"/>
      <c r="P800" s="491" t="n"/>
      <c r="Q800" s="491" t="n"/>
      <c r="R800" s="491" t="n"/>
      <c r="S800" s="491" t="n"/>
      <c r="T800" s="491" t="n"/>
      <c r="U800" s="491" t="n"/>
      <c r="V800" s="491" t="n"/>
      <c r="W800" s="491" t="n"/>
      <c r="X800" s="491" t="n"/>
      <c r="Y800" s="491" t="n"/>
      <c r="Z800" s="491" t="n"/>
    </row>
    <row r="801" ht="12.75" customHeight="1" s="398">
      <c r="A801" s="491" t="n"/>
      <c r="B801" s="491" t="n"/>
      <c r="C801" s="491" t="n"/>
      <c r="D801" s="491" t="n"/>
      <c r="E801" s="491" t="n"/>
      <c r="F801" s="491" t="n"/>
      <c r="G801" s="491" t="n"/>
      <c r="H801" s="491" t="n"/>
      <c r="I801" s="491" t="n"/>
      <c r="J801" s="491" t="n"/>
      <c r="K801" s="491" t="n"/>
      <c r="L801" s="491" t="n"/>
      <c r="M801" s="491" t="n"/>
      <c r="N801" s="491" t="n"/>
      <c r="O801" s="491" t="n"/>
      <c r="P801" s="491" t="n"/>
      <c r="Q801" s="491" t="n"/>
      <c r="R801" s="491" t="n"/>
      <c r="S801" s="491" t="n"/>
      <c r="T801" s="491" t="n"/>
      <c r="U801" s="491" t="n"/>
      <c r="V801" s="491" t="n"/>
      <c r="W801" s="491" t="n"/>
      <c r="X801" s="491" t="n"/>
      <c r="Y801" s="491" t="n"/>
      <c r="Z801" s="491" t="n"/>
    </row>
    <row r="802" ht="12.75" customHeight="1" s="398">
      <c r="A802" s="491" t="n"/>
      <c r="B802" s="491" t="n"/>
      <c r="C802" s="491" t="n"/>
      <c r="D802" s="491" t="n"/>
      <c r="E802" s="491" t="n"/>
      <c r="F802" s="491" t="n"/>
      <c r="G802" s="491" t="n"/>
      <c r="H802" s="491" t="n"/>
      <c r="I802" s="491" t="n"/>
      <c r="J802" s="491" t="n"/>
      <c r="K802" s="491" t="n"/>
      <c r="L802" s="491" t="n"/>
      <c r="M802" s="491" t="n"/>
      <c r="N802" s="491" t="n"/>
      <c r="O802" s="491" t="n"/>
      <c r="P802" s="491" t="n"/>
      <c r="Q802" s="491" t="n"/>
      <c r="R802" s="491" t="n"/>
      <c r="S802" s="491" t="n"/>
      <c r="T802" s="491" t="n"/>
      <c r="U802" s="491" t="n"/>
      <c r="V802" s="491" t="n"/>
      <c r="W802" s="491" t="n"/>
      <c r="X802" s="491" t="n"/>
      <c r="Y802" s="491" t="n"/>
      <c r="Z802" s="491" t="n"/>
    </row>
    <row r="803" ht="12.75" customHeight="1" s="398">
      <c r="A803" s="491" t="n"/>
      <c r="B803" s="491" t="n"/>
      <c r="C803" s="491" t="n"/>
      <c r="D803" s="491" t="n"/>
      <c r="E803" s="491" t="n"/>
      <c r="F803" s="491" t="n"/>
      <c r="G803" s="491" t="n"/>
      <c r="H803" s="491" t="n"/>
      <c r="I803" s="491" t="n"/>
      <c r="J803" s="491" t="n"/>
      <c r="K803" s="491" t="n"/>
      <c r="L803" s="491" t="n"/>
      <c r="M803" s="491" t="n"/>
      <c r="N803" s="491" t="n"/>
      <c r="O803" s="491" t="n"/>
      <c r="P803" s="491" t="n"/>
      <c r="Q803" s="491" t="n"/>
      <c r="R803" s="491" t="n"/>
      <c r="S803" s="491" t="n"/>
      <c r="T803" s="491" t="n"/>
      <c r="U803" s="491" t="n"/>
      <c r="V803" s="491" t="n"/>
      <c r="W803" s="491" t="n"/>
      <c r="X803" s="491" t="n"/>
      <c r="Y803" s="491" t="n"/>
      <c r="Z803" s="491" t="n"/>
    </row>
    <row r="804" ht="12.75" customHeight="1" s="398">
      <c r="A804" s="491" t="n"/>
      <c r="B804" s="491" t="n"/>
      <c r="C804" s="491" t="n"/>
      <c r="D804" s="491" t="n"/>
      <c r="E804" s="491" t="n"/>
      <c r="F804" s="491" t="n"/>
      <c r="G804" s="491" t="n"/>
      <c r="H804" s="491" t="n"/>
      <c r="I804" s="491" t="n"/>
      <c r="J804" s="491" t="n"/>
      <c r="K804" s="491" t="n"/>
      <c r="L804" s="491" t="n"/>
      <c r="M804" s="491" t="n"/>
      <c r="N804" s="491" t="n"/>
      <c r="O804" s="491" t="n"/>
      <c r="P804" s="491" t="n"/>
      <c r="Q804" s="491" t="n"/>
      <c r="R804" s="491" t="n"/>
      <c r="S804" s="491" t="n"/>
      <c r="T804" s="491" t="n"/>
      <c r="U804" s="491" t="n"/>
      <c r="V804" s="491" t="n"/>
      <c r="W804" s="491" t="n"/>
      <c r="X804" s="491" t="n"/>
      <c r="Y804" s="491" t="n"/>
      <c r="Z804" s="491" t="n"/>
    </row>
    <row r="805" ht="12.75" customHeight="1" s="398">
      <c r="A805" s="491" t="n"/>
      <c r="B805" s="491" t="n"/>
      <c r="C805" s="491" t="n"/>
      <c r="D805" s="491" t="n"/>
      <c r="E805" s="491" t="n"/>
      <c r="F805" s="491" t="n"/>
      <c r="G805" s="491" t="n"/>
      <c r="H805" s="491" t="n"/>
      <c r="I805" s="491" t="n"/>
      <c r="J805" s="491" t="n"/>
      <c r="K805" s="491" t="n"/>
      <c r="L805" s="491" t="n"/>
      <c r="M805" s="491" t="n"/>
      <c r="N805" s="491" t="n"/>
      <c r="O805" s="491" t="n"/>
      <c r="P805" s="491" t="n"/>
      <c r="Q805" s="491" t="n"/>
      <c r="R805" s="491" t="n"/>
      <c r="S805" s="491" t="n"/>
      <c r="T805" s="491" t="n"/>
      <c r="U805" s="491" t="n"/>
      <c r="V805" s="491" t="n"/>
      <c r="W805" s="491" t="n"/>
      <c r="X805" s="491" t="n"/>
      <c r="Y805" s="491" t="n"/>
      <c r="Z805" s="491" t="n"/>
    </row>
    <row r="806" ht="12.75" customHeight="1" s="398">
      <c r="A806" s="491" t="n"/>
      <c r="B806" s="491" t="n"/>
      <c r="C806" s="491" t="n"/>
      <c r="D806" s="491" t="n"/>
      <c r="E806" s="491" t="n"/>
      <c r="F806" s="491" t="n"/>
      <c r="G806" s="491" t="n"/>
      <c r="H806" s="491" t="n"/>
      <c r="I806" s="491" t="n"/>
      <c r="J806" s="491" t="n"/>
      <c r="K806" s="491" t="n"/>
      <c r="L806" s="491" t="n"/>
      <c r="M806" s="491" t="n"/>
      <c r="N806" s="491" t="n"/>
      <c r="O806" s="491" t="n"/>
      <c r="P806" s="491" t="n"/>
      <c r="Q806" s="491" t="n"/>
      <c r="R806" s="491" t="n"/>
      <c r="S806" s="491" t="n"/>
      <c r="T806" s="491" t="n"/>
      <c r="U806" s="491" t="n"/>
      <c r="V806" s="491" t="n"/>
      <c r="W806" s="491" t="n"/>
      <c r="X806" s="491" t="n"/>
      <c r="Y806" s="491" t="n"/>
      <c r="Z806" s="491" t="n"/>
    </row>
    <row r="807" ht="12.75" customHeight="1" s="398">
      <c r="A807" s="491" t="n"/>
      <c r="B807" s="491" t="n"/>
      <c r="C807" s="491" t="n"/>
      <c r="D807" s="491" t="n"/>
      <c r="E807" s="491" t="n"/>
      <c r="F807" s="491" t="n"/>
      <c r="G807" s="491" t="n"/>
      <c r="H807" s="491" t="n"/>
      <c r="I807" s="491" t="n"/>
      <c r="J807" s="491" t="n"/>
      <c r="K807" s="491" t="n"/>
      <c r="L807" s="491" t="n"/>
      <c r="M807" s="491" t="n"/>
      <c r="N807" s="491" t="n"/>
      <c r="O807" s="491" t="n"/>
      <c r="P807" s="491" t="n"/>
      <c r="Q807" s="491" t="n"/>
      <c r="R807" s="491" t="n"/>
      <c r="S807" s="491" t="n"/>
      <c r="T807" s="491" t="n"/>
      <c r="U807" s="491" t="n"/>
      <c r="V807" s="491" t="n"/>
      <c r="W807" s="491" t="n"/>
      <c r="X807" s="491" t="n"/>
      <c r="Y807" s="491" t="n"/>
      <c r="Z807" s="491" t="n"/>
    </row>
    <row r="808" ht="12.75" customHeight="1" s="398">
      <c r="A808" s="491" t="n"/>
      <c r="B808" s="491" t="n"/>
      <c r="C808" s="491" t="n"/>
      <c r="D808" s="491" t="n"/>
      <c r="E808" s="491" t="n"/>
      <c r="F808" s="491" t="n"/>
      <c r="G808" s="491" t="n"/>
      <c r="H808" s="491" t="n"/>
      <c r="I808" s="491" t="n"/>
      <c r="J808" s="491" t="n"/>
      <c r="K808" s="491" t="n"/>
      <c r="L808" s="491" t="n"/>
      <c r="M808" s="491" t="n"/>
      <c r="N808" s="491" t="n"/>
      <c r="O808" s="491" t="n"/>
      <c r="P808" s="491" t="n"/>
      <c r="Q808" s="491" t="n"/>
      <c r="R808" s="491" t="n"/>
      <c r="S808" s="491" t="n"/>
      <c r="T808" s="491" t="n"/>
      <c r="U808" s="491" t="n"/>
      <c r="V808" s="491" t="n"/>
      <c r="W808" s="491" t="n"/>
      <c r="X808" s="491" t="n"/>
      <c r="Y808" s="491" t="n"/>
      <c r="Z808" s="491" t="n"/>
    </row>
    <row r="809" ht="12.75" customHeight="1" s="398">
      <c r="A809" s="491" t="n"/>
      <c r="B809" s="491" t="n"/>
      <c r="C809" s="491" t="n"/>
      <c r="D809" s="491" t="n"/>
      <c r="E809" s="491" t="n"/>
      <c r="F809" s="491" t="n"/>
      <c r="G809" s="491" t="n"/>
      <c r="H809" s="491" t="n"/>
      <c r="I809" s="491" t="n"/>
      <c r="J809" s="491" t="n"/>
      <c r="K809" s="491" t="n"/>
      <c r="L809" s="491" t="n"/>
      <c r="M809" s="491" t="n"/>
      <c r="N809" s="491" t="n"/>
      <c r="O809" s="491" t="n"/>
      <c r="P809" s="491" t="n"/>
      <c r="Q809" s="491" t="n"/>
      <c r="R809" s="491" t="n"/>
      <c r="S809" s="491" t="n"/>
      <c r="T809" s="491" t="n"/>
      <c r="U809" s="491" t="n"/>
      <c r="V809" s="491" t="n"/>
      <c r="W809" s="491" t="n"/>
      <c r="X809" s="491" t="n"/>
      <c r="Y809" s="491" t="n"/>
      <c r="Z809" s="491" t="n"/>
    </row>
    <row r="810" ht="12.75" customHeight="1" s="398">
      <c r="A810" s="491" t="n"/>
      <c r="B810" s="491" t="n"/>
      <c r="C810" s="491" t="n"/>
      <c r="D810" s="491" t="n"/>
      <c r="E810" s="491" t="n"/>
      <c r="F810" s="491" t="n"/>
      <c r="G810" s="491" t="n"/>
      <c r="H810" s="491" t="n"/>
      <c r="I810" s="491" t="n"/>
      <c r="J810" s="491" t="n"/>
      <c r="K810" s="491" t="n"/>
      <c r="L810" s="491" t="n"/>
      <c r="M810" s="491" t="n"/>
      <c r="N810" s="491" t="n"/>
      <c r="O810" s="491" t="n"/>
      <c r="P810" s="491" t="n"/>
      <c r="Q810" s="491" t="n"/>
      <c r="R810" s="491" t="n"/>
      <c r="S810" s="491" t="n"/>
      <c r="T810" s="491" t="n"/>
      <c r="U810" s="491" t="n"/>
      <c r="V810" s="491" t="n"/>
      <c r="W810" s="491" t="n"/>
      <c r="X810" s="491" t="n"/>
      <c r="Y810" s="491" t="n"/>
      <c r="Z810" s="491" t="n"/>
    </row>
    <row r="811" ht="12.75" customHeight="1" s="398">
      <c r="A811" s="491" t="n"/>
      <c r="B811" s="491" t="n"/>
      <c r="C811" s="491" t="n"/>
      <c r="D811" s="491" t="n"/>
      <c r="E811" s="491" t="n"/>
      <c r="F811" s="491" t="n"/>
      <c r="G811" s="491" t="n"/>
      <c r="H811" s="491" t="n"/>
      <c r="I811" s="491" t="n"/>
      <c r="J811" s="491" t="n"/>
      <c r="K811" s="491" t="n"/>
      <c r="L811" s="491" t="n"/>
      <c r="M811" s="491" t="n"/>
      <c r="N811" s="491" t="n"/>
      <c r="O811" s="491" t="n"/>
      <c r="P811" s="491" t="n"/>
      <c r="Q811" s="491" t="n"/>
      <c r="R811" s="491" t="n"/>
      <c r="S811" s="491" t="n"/>
      <c r="T811" s="491" t="n"/>
      <c r="U811" s="491" t="n"/>
      <c r="V811" s="491" t="n"/>
      <c r="W811" s="491" t="n"/>
      <c r="X811" s="491" t="n"/>
      <c r="Y811" s="491" t="n"/>
      <c r="Z811" s="491" t="n"/>
    </row>
    <row r="812" ht="12.75" customHeight="1" s="398">
      <c r="A812" s="491" t="n"/>
      <c r="B812" s="491" t="n"/>
      <c r="C812" s="491" t="n"/>
      <c r="D812" s="491" t="n"/>
      <c r="E812" s="491" t="n"/>
      <c r="F812" s="491" t="n"/>
      <c r="G812" s="491" t="n"/>
      <c r="H812" s="491" t="n"/>
      <c r="I812" s="491" t="n"/>
      <c r="J812" s="491" t="n"/>
      <c r="K812" s="491" t="n"/>
      <c r="L812" s="491" t="n"/>
      <c r="M812" s="491" t="n"/>
      <c r="N812" s="491" t="n"/>
      <c r="O812" s="491" t="n"/>
      <c r="P812" s="491" t="n"/>
      <c r="Q812" s="491" t="n"/>
      <c r="R812" s="491" t="n"/>
      <c r="S812" s="491" t="n"/>
      <c r="T812" s="491" t="n"/>
      <c r="U812" s="491" t="n"/>
      <c r="V812" s="491" t="n"/>
      <c r="W812" s="491" t="n"/>
      <c r="X812" s="491" t="n"/>
      <c r="Y812" s="491" t="n"/>
      <c r="Z812" s="491" t="n"/>
    </row>
    <row r="813" ht="12.75" customHeight="1" s="398">
      <c r="A813" s="491" t="n"/>
      <c r="B813" s="491" t="n"/>
      <c r="C813" s="491" t="n"/>
      <c r="D813" s="491" t="n"/>
      <c r="E813" s="491" t="n"/>
      <c r="F813" s="491" t="n"/>
      <c r="G813" s="491" t="n"/>
      <c r="H813" s="491" t="n"/>
      <c r="I813" s="491" t="n"/>
      <c r="J813" s="491" t="n"/>
      <c r="K813" s="491" t="n"/>
      <c r="L813" s="491" t="n"/>
      <c r="M813" s="491" t="n"/>
      <c r="N813" s="491" t="n"/>
      <c r="O813" s="491" t="n"/>
      <c r="P813" s="491" t="n"/>
      <c r="Q813" s="491" t="n"/>
      <c r="R813" s="491" t="n"/>
      <c r="S813" s="491" t="n"/>
      <c r="T813" s="491" t="n"/>
      <c r="U813" s="491" t="n"/>
      <c r="V813" s="491" t="n"/>
      <c r="W813" s="491" t="n"/>
      <c r="X813" s="491" t="n"/>
      <c r="Y813" s="491" t="n"/>
      <c r="Z813" s="491" t="n"/>
    </row>
    <row r="814" ht="12.75" customHeight="1" s="398">
      <c r="A814" s="491" t="n"/>
      <c r="B814" s="491" t="n"/>
      <c r="C814" s="491" t="n"/>
      <c r="D814" s="491" t="n"/>
      <c r="E814" s="491" t="n"/>
      <c r="F814" s="491" t="n"/>
      <c r="G814" s="491" t="n"/>
      <c r="H814" s="491" t="n"/>
      <c r="I814" s="491" t="n"/>
      <c r="J814" s="491" t="n"/>
      <c r="K814" s="491" t="n"/>
      <c r="L814" s="491" t="n"/>
      <c r="M814" s="491" t="n"/>
      <c r="N814" s="491" t="n"/>
      <c r="O814" s="491" t="n"/>
      <c r="P814" s="491" t="n"/>
      <c r="Q814" s="491" t="n"/>
      <c r="R814" s="491" t="n"/>
      <c r="S814" s="491" t="n"/>
      <c r="T814" s="491" t="n"/>
      <c r="U814" s="491" t="n"/>
      <c r="V814" s="491" t="n"/>
      <c r="W814" s="491" t="n"/>
      <c r="X814" s="491" t="n"/>
      <c r="Y814" s="491" t="n"/>
      <c r="Z814" s="491" t="n"/>
    </row>
    <row r="815" ht="12.75" customHeight="1" s="398">
      <c r="A815" s="491" t="n"/>
      <c r="B815" s="491" t="n"/>
      <c r="C815" s="491" t="n"/>
      <c r="D815" s="491" t="n"/>
      <c r="E815" s="491" t="n"/>
      <c r="F815" s="491" t="n"/>
      <c r="G815" s="491" t="n"/>
      <c r="H815" s="491" t="n"/>
      <c r="I815" s="491" t="n"/>
      <c r="J815" s="491" t="n"/>
      <c r="K815" s="491" t="n"/>
      <c r="L815" s="491" t="n"/>
      <c r="M815" s="491" t="n"/>
      <c r="N815" s="491" t="n"/>
      <c r="O815" s="491" t="n"/>
      <c r="P815" s="491" t="n"/>
      <c r="Q815" s="491" t="n"/>
      <c r="R815" s="491" t="n"/>
      <c r="S815" s="491" t="n"/>
      <c r="T815" s="491" t="n"/>
      <c r="U815" s="491" t="n"/>
      <c r="V815" s="491" t="n"/>
      <c r="W815" s="491" t="n"/>
      <c r="X815" s="491" t="n"/>
      <c r="Y815" s="491" t="n"/>
      <c r="Z815" s="491" t="n"/>
    </row>
    <row r="816" ht="12.75" customHeight="1" s="398">
      <c r="A816" s="491" t="n"/>
      <c r="B816" s="491" t="n"/>
      <c r="C816" s="491" t="n"/>
      <c r="D816" s="491" t="n"/>
      <c r="E816" s="491" t="n"/>
      <c r="F816" s="491" t="n"/>
      <c r="G816" s="491" t="n"/>
      <c r="H816" s="491" t="n"/>
      <c r="I816" s="491" t="n"/>
      <c r="J816" s="491" t="n"/>
      <c r="K816" s="491" t="n"/>
      <c r="L816" s="491" t="n"/>
      <c r="M816" s="491" t="n"/>
      <c r="N816" s="491" t="n"/>
      <c r="O816" s="491" t="n"/>
      <c r="P816" s="491" t="n"/>
      <c r="Q816" s="491" t="n"/>
      <c r="R816" s="491" t="n"/>
      <c r="S816" s="491" t="n"/>
      <c r="T816" s="491" t="n"/>
      <c r="U816" s="491" t="n"/>
      <c r="V816" s="491" t="n"/>
      <c r="W816" s="491" t="n"/>
      <c r="X816" s="491" t="n"/>
      <c r="Y816" s="491" t="n"/>
      <c r="Z816" s="491" t="n"/>
    </row>
    <row r="817" ht="12.75" customHeight="1" s="398">
      <c r="A817" s="491" t="n"/>
      <c r="B817" s="491" t="n"/>
      <c r="C817" s="491" t="n"/>
      <c r="D817" s="491" t="n"/>
      <c r="E817" s="491" t="n"/>
      <c r="F817" s="491" t="n"/>
      <c r="G817" s="491" t="n"/>
      <c r="H817" s="491" t="n"/>
      <c r="I817" s="491" t="n"/>
      <c r="J817" s="491" t="n"/>
      <c r="K817" s="491" t="n"/>
      <c r="L817" s="491" t="n"/>
      <c r="M817" s="491" t="n"/>
      <c r="N817" s="491" t="n"/>
      <c r="O817" s="491" t="n"/>
      <c r="P817" s="491" t="n"/>
      <c r="Q817" s="491" t="n"/>
      <c r="R817" s="491" t="n"/>
      <c r="S817" s="491" t="n"/>
      <c r="T817" s="491" t="n"/>
      <c r="U817" s="491" t="n"/>
      <c r="V817" s="491" t="n"/>
      <c r="W817" s="491" t="n"/>
      <c r="X817" s="491" t="n"/>
      <c r="Y817" s="491" t="n"/>
      <c r="Z817" s="491" t="n"/>
    </row>
    <row r="818" ht="12.75" customHeight="1" s="398">
      <c r="A818" s="491" t="n"/>
      <c r="B818" s="491" t="n"/>
      <c r="C818" s="491" t="n"/>
      <c r="D818" s="491" t="n"/>
      <c r="E818" s="491" t="n"/>
      <c r="F818" s="491" t="n"/>
      <c r="G818" s="491" t="n"/>
      <c r="H818" s="491" t="n"/>
      <c r="I818" s="491" t="n"/>
      <c r="J818" s="491" t="n"/>
      <c r="K818" s="491" t="n"/>
      <c r="L818" s="491" t="n"/>
      <c r="M818" s="491" t="n"/>
      <c r="N818" s="491" t="n"/>
      <c r="O818" s="491" t="n"/>
      <c r="P818" s="491" t="n"/>
      <c r="Q818" s="491" t="n"/>
      <c r="R818" s="491" t="n"/>
      <c r="S818" s="491" t="n"/>
      <c r="T818" s="491" t="n"/>
      <c r="U818" s="491" t="n"/>
      <c r="V818" s="491" t="n"/>
      <c r="W818" s="491" t="n"/>
      <c r="X818" s="491" t="n"/>
      <c r="Y818" s="491" t="n"/>
      <c r="Z818" s="491" t="n"/>
    </row>
    <row r="819" ht="12.75" customHeight="1" s="398">
      <c r="A819" s="491" t="n"/>
      <c r="B819" s="491" t="n"/>
      <c r="C819" s="491" t="n"/>
      <c r="D819" s="491" t="n"/>
      <c r="E819" s="491" t="n"/>
      <c r="F819" s="491" t="n"/>
      <c r="G819" s="491" t="n"/>
      <c r="H819" s="491" t="n"/>
      <c r="I819" s="491" t="n"/>
      <c r="J819" s="491" t="n"/>
      <c r="K819" s="491" t="n"/>
      <c r="L819" s="491" t="n"/>
      <c r="M819" s="491" t="n"/>
      <c r="N819" s="491" t="n"/>
      <c r="O819" s="491" t="n"/>
      <c r="P819" s="491" t="n"/>
      <c r="Q819" s="491" t="n"/>
      <c r="R819" s="491" t="n"/>
      <c r="S819" s="491" t="n"/>
      <c r="T819" s="491" t="n"/>
      <c r="U819" s="491" t="n"/>
      <c r="V819" s="491" t="n"/>
      <c r="W819" s="491" t="n"/>
      <c r="X819" s="491" t="n"/>
      <c r="Y819" s="491" t="n"/>
      <c r="Z819" s="491" t="n"/>
    </row>
    <row r="820" ht="12.75" customHeight="1" s="398">
      <c r="A820" s="491" t="n"/>
      <c r="B820" s="491" t="n"/>
      <c r="C820" s="491" t="n"/>
      <c r="D820" s="491" t="n"/>
      <c r="E820" s="491" t="n"/>
      <c r="F820" s="491" t="n"/>
      <c r="G820" s="491" t="n"/>
      <c r="H820" s="491" t="n"/>
      <c r="I820" s="491" t="n"/>
      <c r="J820" s="491" t="n"/>
      <c r="K820" s="491" t="n"/>
      <c r="L820" s="491" t="n"/>
      <c r="M820" s="491" t="n"/>
      <c r="N820" s="491" t="n"/>
      <c r="O820" s="491" t="n"/>
      <c r="P820" s="491" t="n"/>
      <c r="Q820" s="491" t="n"/>
      <c r="R820" s="491" t="n"/>
      <c r="S820" s="491" t="n"/>
      <c r="T820" s="491" t="n"/>
      <c r="U820" s="491" t="n"/>
      <c r="V820" s="491" t="n"/>
      <c r="W820" s="491" t="n"/>
      <c r="X820" s="491" t="n"/>
      <c r="Y820" s="491" t="n"/>
      <c r="Z820" s="491" t="n"/>
    </row>
    <row r="821" ht="12.75" customHeight="1" s="398">
      <c r="A821" s="491" t="n"/>
      <c r="B821" s="491" t="n"/>
      <c r="C821" s="491" t="n"/>
      <c r="D821" s="491" t="n"/>
      <c r="E821" s="491" t="n"/>
      <c r="F821" s="491" t="n"/>
      <c r="G821" s="491" t="n"/>
      <c r="H821" s="491" t="n"/>
      <c r="I821" s="491" t="n"/>
      <c r="J821" s="491" t="n"/>
      <c r="K821" s="491" t="n"/>
      <c r="L821" s="491" t="n"/>
      <c r="M821" s="491" t="n"/>
      <c r="N821" s="491" t="n"/>
      <c r="O821" s="491" t="n"/>
      <c r="P821" s="491" t="n"/>
      <c r="Q821" s="491" t="n"/>
      <c r="R821" s="491" t="n"/>
      <c r="S821" s="491" t="n"/>
      <c r="T821" s="491" t="n"/>
      <c r="U821" s="491" t="n"/>
      <c r="V821" s="491" t="n"/>
      <c r="W821" s="491" t="n"/>
      <c r="X821" s="491" t="n"/>
      <c r="Y821" s="491" t="n"/>
      <c r="Z821" s="491" t="n"/>
    </row>
    <row r="822" ht="12.75" customHeight="1" s="398">
      <c r="A822" s="491" t="n"/>
      <c r="B822" s="491" t="n"/>
      <c r="C822" s="491" t="n"/>
      <c r="D822" s="491" t="n"/>
      <c r="E822" s="491" t="n"/>
      <c r="F822" s="491" t="n"/>
      <c r="G822" s="491" t="n"/>
      <c r="H822" s="491" t="n"/>
      <c r="I822" s="491" t="n"/>
      <c r="J822" s="491" t="n"/>
      <c r="K822" s="491" t="n"/>
      <c r="L822" s="491" t="n"/>
      <c r="M822" s="491" t="n"/>
      <c r="N822" s="491" t="n"/>
      <c r="O822" s="491" t="n"/>
      <c r="P822" s="491" t="n"/>
      <c r="Q822" s="491" t="n"/>
      <c r="R822" s="491" t="n"/>
      <c r="S822" s="491" t="n"/>
      <c r="T822" s="491" t="n"/>
      <c r="U822" s="491" t="n"/>
      <c r="V822" s="491" t="n"/>
      <c r="W822" s="491" t="n"/>
      <c r="X822" s="491" t="n"/>
      <c r="Y822" s="491" t="n"/>
      <c r="Z822" s="491" t="n"/>
    </row>
    <row r="823" ht="12.75" customHeight="1" s="398">
      <c r="A823" s="491" t="n"/>
      <c r="B823" s="491" t="n"/>
      <c r="C823" s="491" t="n"/>
      <c r="D823" s="491" t="n"/>
      <c r="E823" s="491" t="n"/>
      <c r="F823" s="491" t="n"/>
      <c r="G823" s="491" t="n"/>
      <c r="H823" s="491" t="n"/>
      <c r="I823" s="491" t="n"/>
      <c r="J823" s="491" t="n"/>
      <c r="K823" s="491" t="n"/>
      <c r="L823" s="491" t="n"/>
      <c r="M823" s="491" t="n"/>
      <c r="N823" s="491" t="n"/>
      <c r="O823" s="491" t="n"/>
      <c r="P823" s="491" t="n"/>
      <c r="Q823" s="491" t="n"/>
      <c r="R823" s="491" t="n"/>
      <c r="S823" s="491" t="n"/>
      <c r="T823" s="491" t="n"/>
      <c r="U823" s="491" t="n"/>
      <c r="V823" s="491" t="n"/>
      <c r="W823" s="491" t="n"/>
      <c r="X823" s="491" t="n"/>
      <c r="Y823" s="491" t="n"/>
      <c r="Z823" s="491" t="n"/>
    </row>
    <row r="824" ht="12.75" customHeight="1" s="398">
      <c r="A824" s="491" t="n"/>
      <c r="B824" s="491" t="n"/>
      <c r="C824" s="491" t="n"/>
      <c r="D824" s="491" t="n"/>
      <c r="E824" s="491" t="n"/>
      <c r="F824" s="491" t="n"/>
      <c r="G824" s="491" t="n"/>
      <c r="H824" s="491" t="n"/>
      <c r="I824" s="491" t="n"/>
      <c r="J824" s="491" t="n"/>
      <c r="K824" s="491" t="n"/>
      <c r="L824" s="491" t="n"/>
      <c r="M824" s="491" t="n"/>
      <c r="N824" s="491" t="n"/>
      <c r="O824" s="491" t="n"/>
      <c r="P824" s="491" t="n"/>
      <c r="Q824" s="491" t="n"/>
      <c r="R824" s="491" t="n"/>
      <c r="S824" s="491" t="n"/>
      <c r="T824" s="491" t="n"/>
      <c r="U824" s="491" t="n"/>
      <c r="V824" s="491" t="n"/>
      <c r="W824" s="491" t="n"/>
      <c r="X824" s="491" t="n"/>
      <c r="Y824" s="491" t="n"/>
      <c r="Z824" s="491" t="n"/>
    </row>
    <row r="825" ht="12.75" customHeight="1" s="398">
      <c r="A825" s="491" t="n"/>
      <c r="B825" s="491" t="n"/>
      <c r="C825" s="491" t="n"/>
      <c r="D825" s="491" t="n"/>
      <c r="E825" s="491" t="n"/>
      <c r="F825" s="491" t="n"/>
      <c r="G825" s="491" t="n"/>
      <c r="H825" s="491" t="n"/>
      <c r="I825" s="491" t="n"/>
      <c r="J825" s="491" t="n"/>
      <c r="K825" s="491" t="n"/>
      <c r="L825" s="491" t="n"/>
      <c r="M825" s="491" t="n"/>
      <c r="N825" s="491" t="n"/>
      <c r="O825" s="491" t="n"/>
      <c r="P825" s="491" t="n"/>
      <c r="Q825" s="491" t="n"/>
      <c r="R825" s="491" t="n"/>
      <c r="S825" s="491" t="n"/>
      <c r="T825" s="491" t="n"/>
      <c r="U825" s="491" t="n"/>
      <c r="V825" s="491" t="n"/>
      <c r="W825" s="491" t="n"/>
      <c r="X825" s="491" t="n"/>
      <c r="Y825" s="491" t="n"/>
      <c r="Z825" s="491" t="n"/>
    </row>
    <row r="826" ht="12.75" customHeight="1" s="398">
      <c r="A826" s="491" t="n"/>
      <c r="B826" s="491" t="n"/>
      <c r="C826" s="491" t="n"/>
      <c r="D826" s="491" t="n"/>
      <c r="E826" s="491" t="n"/>
      <c r="F826" s="491" t="n"/>
      <c r="G826" s="491" t="n"/>
      <c r="H826" s="491" t="n"/>
      <c r="I826" s="491" t="n"/>
      <c r="J826" s="491" t="n"/>
      <c r="K826" s="491" t="n"/>
      <c r="L826" s="491" t="n"/>
      <c r="M826" s="491" t="n"/>
      <c r="N826" s="491" t="n"/>
      <c r="O826" s="491" t="n"/>
      <c r="P826" s="491" t="n"/>
      <c r="Q826" s="491" t="n"/>
      <c r="R826" s="491" t="n"/>
      <c r="S826" s="491" t="n"/>
      <c r="T826" s="491" t="n"/>
      <c r="U826" s="491" t="n"/>
      <c r="V826" s="491" t="n"/>
      <c r="W826" s="491" t="n"/>
      <c r="X826" s="491" t="n"/>
      <c r="Y826" s="491" t="n"/>
      <c r="Z826" s="491" t="n"/>
    </row>
    <row r="827" ht="12.75" customHeight="1" s="398">
      <c r="A827" s="491" t="n"/>
      <c r="B827" s="491" t="n"/>
      <c r="C827" s="491" t="n"/>
      <c r="D827" s="491" t="n"/>
      <c r="E827" s="491" t="n"/>
      <c r="F827" s="491" t="n"/>
      <c r="G827" s="491" t="n"/>
      <c r="H827" s="491" t="n"/>
      <c r="I827" s="491" t="n"/>
      <c r="J827" s="491" t="n"/>
      <c r="K827" s="491" t="n"/>
      <c r="L827" s="491" t="n"/>
      <c r="M827" s="491" t="n"/>
      <c r="N827" s="491" t="n"/>
      <c r="O827" s="491" t="n"/>
      <c r="P827" s="491" t="n"/>
      <c r="Q827" s="491" t="n"/>
      <c r="R827" s="491" t="n"/>
      <c r="S827" s="491" t="n"/>
      <c r="T827" s="491" t="n"/>
      <c r="U827" s="491" t="n"/>
      <c r="V827" s="491" t="n"/>
      <c r="W827" s="491" t="n"/>
      <c r="X827" s="491" t="n"/>
      <c r="Y827" s="491" t="n"/>
      <c r="Z827" s="491" t="n"/>
    </row>
    <row r="828" ht="12.75" customHeight="1" s="398">
      <c r="A828" s="491" t="n"/>
      <c r="B828" s="491" t="n"/>
      <c r="C828" s="491" t="n"/>
      <c r="D828" s="491" t="n"/>
      <c r="E828" s="491" t="n"/>
      <c r="F828" s="491" t="n"/>
      <c r="G828" s="491" t="n"/>
      <c r="H828" s="491" t="n"/>
      <c r="I828" s="491" t="n"/>
      <c r="J828" s="491" t="n"/>
      <c r="K828" s="491" t="n"/>
      <c r="L828" s="491" t="n"/>
      <c r="M828" s="491" t="n"/>
      <c r="N828" s="491" t="n"/>
      <c r="O828" s="491" t="n"/>
      <c r="P828" s="491" t="n"/>
      <c r="Q828" s="491" t="n"/>
      <c r="R828" s="491" t="n"/>
      <c r="S828" s="491" t="n"/>
      <c r="T828" s="491" t="n"/>
      <c r="U828" s="491" t="n"/>
      <c r="V828" s="491" t="n"/>
      <c r="W828" s="491" t="n"/>
      <c r="X828" s="491" t="n"/>
      <c r="Y828" s="491" t="n"/>
      <c r="Z828" s="491" t="n"/>
    </row>
    <row r="829" ht="12.75" customHeight="1" s="398">
      <c r="A829" s="491" t="n"/>
      <c r="B829" s="491" t="n"/>
      <c r="C829" s="491" t="n"/>
      <c r="D829" s="491" t="n"/>
      <c r="E829" s="491" t="n"/>
      <c r="F829" s="491" t="n"/>
      <c r="G829" s="491" t="n"/>
      <c r="H829" s="491" t="n"/>
      <c r="I829" s="491" t="n"/>
      <c r="J829" s="491" t="n"/>
      <c r="K829" s="491" t="n"/>
      <c r="L829" s="491" t="n"/>
      <c r="M829" s="491" t="n"/>
      <c r="N829" s="491" t="n"/>
      <c r="O829" s="491" t="n"/>
      <c r="P829" s="491" t="n"/>
      <c r="Q829" s="491" t="n"/>
      <c r="R829" s="491" t="n"/>
      <c r="S829" s="491" t="n"/>
      <c r="T829" s="491" t="n"/>
      <c r="U829" s="491" t="n"/>
      <c r="V829" s="491" t="n"/>
      <c r="W829" s="491" t="n"/>
      <c r="X829" s="491" t="n"/>
      <c r="Y829" s="491" t="n"/>
      <c r="Z829" s="491" t="n"/>
    </row>
    <row r="830" ht="12.75" customHeight="1" s="398">
      <c r="A830" s="491" t="n"/>
      <c r="B830" s="491" t="n"/>
      <c r="C830" s="491" t="n"/>
      <c r="D830" s="491" t="n"/>
      <c r="E830" s="491" t="n"/>
      <c r="F830" s="491" t="n"/>
      <c r="G830" s="491" t="n"/>
      <c r="H830" s="491" t="n"/>
      <c r="I830" s="491" t="n"/>
      <c r="J830" s="491" t="n"/>
      <c r="K830" s="491" t="n"/>
      <c r="L830" s="491" t="n"/>
      <c r="M830" s="491" t="n"/>
      <c r="N830" s="491" t="n"/>
      <c r="O830" s="491" t="n"/>
      <c r="P830" s="491" t="n"/>
      <c r="Q830" s="491" t="n"/>
      <c r="R830" s="491" t="n"/>
      <c r="S830" s="491" t="n"/>
      <c r="T830" s="491" t="n"/>
      <c r="U830" s="491" t="n"/>
      <c r="V830" s="491" t="n"/>
      <c r="W830" s="491" t="n"/>
      <c r="X830" s="491" t="n"/>
      <c r="Y830" s="491" t="n"/>
      <c r="Z830" s="491" t="n"/>
    </row>
    <row r="831" ht="12.75" customHeight="1" s="398">
      <c r="A831" s="491" t="n"/>
      <c r="B831" s="491" t="n"/>
      <c r="C831" s="491" t="n"/>
      <c r="D831" s="491" t="n"/>
      <c r="E831" s="491" t="n"/>
      <c r="F831" s="491" t="n"/>
      <c r="G831" s="491" t="n"/>
      <c r="H831" s="491" t="n"/>
      <c r="I831" s="491" t="n"/>
      <c r="J831" s="491" t="n"/>
      <c r="K831" s="491" t="n"/>
      <c r="L831" s="491" t="n"/>
      <c r="M831" s="491" t="n"/>
      <c r="N831" s="491" t="n"/>
      <c r="O831" s="491" t="n"/>
      <c r="P831" s="491" t="n"/>
      <c r="Q831" s="491" t="n"/>
      <c r="R831" s="491" t="n"/>
      <c r="S831" s="491" t="n"/>
      <c r="T831" s="491" t="n"/>
      <c r="U831" s="491" t="n"/>
      <c r="V831" s="491" t="n"/>
      <c r="W831" s="491" t="n"/>
      <c r="X831" s="491" t="n"/>
      <c r="Y831" s="491" t="n"/>
      <c r="Z831" s="491" t="n"/>
    </row>
    <row r="832" ht="12.75" customHeight="1" s="398">
      <c r="A832" s="491" t="n"/>
      <c r="B832" s="491" t="n"/>
      <c r="C832" s="491" t="n"/>
      <c r="D832" s="491" t="n"/>
      <c r="E832" s="491" t="n"/>
      <c r="F832" s="491" t="n"/>
      <c r="G832" s="491" t="n"/>
      <c r="H832" s="491" t="n"/>
      <c r="I832" s="491" t="n"/>
      <c r="J832" s="491" t="n"/>
      <c r="K832" s="491" t="n"/>
      <c r="L832" s="491" t="n"/>
      <c r="M832" s="491" t="n"/>
      <c r="N832" s="491" t="n"/>
      <c r="O832" s="491" t="n"/>
      <c r="P832" s="491" t="n"/>
      <c r="Q832" s="491" t="n"/>
      <c r="R832" s="491" t="n"/>
      <c r="S832" s="491" t="n"/>
      <c r="T832" s="491" t="n"/>
      <c r="U832" s="491" t="n"/>
      <c r="V832" s="491" t="n"/>
      <c r="W832" s="491" t="n"/>
      <c r="X832" s="491" t="n"/>
      <c r="Y832" s="491" t="n"/>
      <c r="Z832" s="491" t="n"/>
    </row>
    <row r="833" ht="12.75" customHeight="1" s="398">
      <c r="A833" s="491" t="n"/>
      <c r="B833" s="491" t="n"/>
      <c r="C833" s="491" t="n"/>
      <c r="D833" s="491" t="n"/>
      <c r="E833" s="491" t="n"/>
      <c r="F833" s="491" t="n"/>
      <c r="G833" s="491" t="n"/>
      <c r="H833" s="491" t="n"/>
      <c r="I833" s="491" t="n"/>
      <c r="J833" s="491" t="n"/>
      <c r="K833" s="491" t="n"/>
      <c r="L833" s="491" t="n"/>
      <c r="M833" s="491" t="n"/>
      <c r="N833" s="491" t="n"/>
      <c r="O833" s="491" t="n"/>
      <c r="P833" s="491" t="n"/>
      <c r="Q833" s="491" t="n"/>
      <c r="R833" s="491" t="n"/>
      <c r="S833" s="491" t="n"/>
      <c r="T833" s="491" t="n"/>
      <c r="U833" s="491" t="n"/>
      <c r="V833" s="491" t="n"/>
      <c r="W833" s="491" t="n"/>
      <c r="X833" s="491" t="n"/>
      <c r="Y833" s="491" t="n"/>
      <c r="Z833" s="491" t="n"/>
    </row>
    <row r="834" ht="12.75" customHeight="1" s="398">
      <c r="A834" s="491" t="n"/>
      <c r="B834" s="491" t="n"/>
      <c r="C834" s="491" t="n"/>
      <c r="D834" s="491" t="n"/>
      <c r="E834" s="491" t="n"/>
      <c r="F834" s="491" t="n"/>
      <c r="G834" s="491" t="n"/>
      <c r="H834" s="491" t="n"/>
      <c r="I834" s="491" t="n"/>
      <c r="J834" s="491" t="n"/>
      <c r="K834" s="491" t="n"/>
      <c r="L834" s="491" t="n"/>
      <c r="M834" s="491" t="n"/>
      <c r="N834" s="491" t="n"/>
      <c r="O834" s="491" t="n"/>
      <c r="P834" s="491" t="n"/>
      <c r="Q834" s="491" t="n"/>
      <c r="R834" s="491" t="n"/>
      <c r="S834" s="491" t="n"/>
      <c r="T834" s="491" t="n"/>
      <c r="U834" s="491" t="n"/>
      <c r="V834" s="491" t="n"/>
      <c r="W834" s="491" t="n"/>
      <c r="X834" s="491" t="n"/>
      <c r="Y834" s="491" t="n"/>
      <c r="Z834" s="491" t="n"/>
    </row>
    <row r="835" ht="12.75" customHeight="1" s="398">
      <c r="A835" s="491" t="n"/>
      <c r="B835" s="491" t="n"/>
      <c r="C835" s="491" t="n"/>
      <c r="D835" s="491" t="n"/>
      <c r="E835" s="491" t="n"/>
      <c r="F835" s="491" t="n"/>
      <c r="G835" s="491" t="n"/>
      <c r="H835" s="491" t="n"/>
      <c r="I835" s="491" t="n"/>
      <c r="J835" s="491" t="n"/>
      <c r="K835" s="491" t="n"/>
      <c r="L835" s="491" t="n"/>
      <c r="M835" s="491" t="n"/>
      <c r="N835" s="491" t="n"/>
      <c r="O835" s="491" t="n"/>
      <c r="P835" s="491" t="n"/>
      <c r="Q835" s="491" t="n"/>
      <c r="R835" s="491" t="n"/>
      <c r="S835" s="491" t="n"/>
      <c r="T835" s="491" t="n"/>
      <c r="U835" s="491" t="n"/>
      <c r="V835" s="491" t="n"/>
      <c r="W835" s="491" t="n"/>
      <c r="X835" s="491" t="n"/>
      <c r="Y835" s="491" t="n"/>
      <c r="Z835" s="491" t="n"/>
    </row>
    <row r="836" ht="12.75" customHeight="1" s="398">
      <c r="A836" s="491" t="n"/>
      <c r="B836" s="491" t="n"/>
      <c r="C836" s="491" t="n"/>
      <c r="D836" s="491" t="n"/>
      <c r="E836" s="491" t="n"/>
      <c r="F836" s="491" t="n"/>
      <c r="G836" s="491" t="n"/>
      <c r="H836" s="491" t="n"/>
      <c r="I836" s="491" t="n"/>
      <c r="J836" s="491" t="n"/>
      <c r="K836" s="491" t="n"/>
      <c r="L836" s="491" t="n"/>
      <c r="M836" s="491" t="n"/>
      <c r="N836" s="491" t="n"/>
      <c r="O836" s="491" t="n"/>
      <c r="P836" s="491" t="n"/>
      <c r="Q836" s="491" t="n"/>
      <c r="R836" s="491" t="n"/>
      <c r="S836" s="491" t="n"/>
      <c r="T836" s="491" t="n"/>
      <c r="U836" s="491" t="n"/>
      <c r="V836" s="491" t="n"/>
      <c r="W836" s="491" t="n"/>
      <c r="X836" s="491" t="n"/>
      <c r="Y836" s="491" t="n"/>
      <c r="Z836" s="491" t="n"/>
    </row>
    <row r="837" ht="12.75" customHeight="1" s="398">
      <c r="A837" s="491" t="n"/>
      <c r="B837" s="491" t="n"/>
      <c r="C837" s="491" t="n"/>
      <c r="D837" s="491" t="n"/>
      <c r="E837" s="491" t="n"/>
      <c r="F837" s="491" t="n"/>
      <c r="G837" s="491" t="n"/>
      <c r="H837" s="491" t="n"/>
      <c r="I837" s="491" t="n"/>
      <c r="J837" s="491" t="n"/>
      <c r="K837" s="491" t="n"/>
      <c r="L837" s="491" t="n"/>
      <c r="M837" s="491" t="n"/>
      <c r="N837" s="491" t="n"/>
      <c r="O837" s="491" t="n"/>
      <c r="P837" s="491" t="n"/>
      <c r="Q837" s="491" t="n"/>
      <c r="R837" s="491" t="n"/>
      <c r="S837" s="491" t="n"/>
      <c r="T837" s="491" t="n"/>
      <c r="U837" s="491" t="n"/>
      <c r="V837" s="491" t="n"/>
      <c r="W837" s="491" t="n"/>
      <c r="X837" s="491" t="n"/>
      <c r="Y837" s="491" t="n"/>
      <c r="Z837" s="491" t="n"/>
    </row>
    <row r="838" ht="12.75" customHeight="1" s="398">
      <c r="A838" s="491" t="n"/>
      <c r="B838" s="491" t="n"/>
      <c r="C838" s="491" t="n"/>
      <c r="D838" s="491" t="n"/>
      <c r="E838" s="491" t="n"/>
      <c r="F838" s="491" t="n"/>
      <c r="G838" s="491" t="n"/>
      <c r="H838" s="491" t="n"/>
      <c r="I838" s="491" t="n"/>
      <c r="J838" s="491" t="n"/>
      <c r="K838" s="491" t="n"/>
      <c r="L838" s="491" t="n"/>
      <c r="M838" s="491" t="n"/>
      <c r="N838" s="491" t="n"/>
      <c r="O838" s="491" t="n"/>
      <c r="P838" s="491" t="n"/>
      <c r="Q838" s="491" t="n"/>
      <c r="R838" s="491" t="n"/>
      <c r="S838" s="491" t="n"/>
      <c r="T838" s="491" t="n"/>
      <c r="U838" s="491" t="n"/>
      <c r="V838" s="491" t="n"/>
      <c r="W838" s="491" t="n"/>
      <c r="X838" s="491" t="n"/>
      <c r="Y838" s="491" t="n"/>
      <c r="Z838" s="491" t="n"/>
    </row>
    <row r="839" ht="12.75" customHeight="1" s="398">
      <c r="A839" s="491" t="n"/>
      <c r="B839" s="491" t="n"/>
      <c r="C839" s="491" t="n"/>
      <c r="D839" s="491" t="n"/>
      <c r="E839" s="491" t="n"/>
      <c r="F839" s="491" t="n"/>
      <c r="G839" s="491" t="n"/>
      <c r="H839" s="491" t="n"/>
      <c r="I839" s="491" t="n"/>
      <c r="J839" s="491" t="n"/>
      <c r="K839" s="491" t="n"/>
      <c r="L839" s="491" t="n"/>
      <c r="M839" s="491" t="n"/>
      <c r="N839" s="491" t="n"/>
      <c r="O839" s="491" t="n"/>
      <c r="P839" s="491" t="n"/>
      <c r="Q839" s="491" t="n"/>
      <c r="R839" s="491" t="n"/>
      <c r="S839" s="491" t="n"/>
      <c r="T839" s="491" t="n"/>
      <c r="U839" s="491" t="n"/>
      <c r="V839" s="491" t="n"/>
      <c r="W839" s="491" t="n"/>
      <c r="X839" s="491" t="n"/>
      <c r="Y839" s="491" t="n"/>
      <c r="Z839" s="491" t="n"/>
    </row>
    <row r="840" ht="12.75" customHeight="1" s="398">
      <c r="A840" s="491" t="n"/>
      <c r="B840" s="491" t="n"/>
      <c r="C840" s="491" t="n"/>
      <c r="D840" s="491" t="n"/>
      <c r="E840" s="491" t="n"/>
      <c r="F840" s="491" t="n"/>
      <c r="G840" s="491" t="n"/>
      <c r="H840" s="491" t="n"/>
      <c r="I840" s="491" t="n"/>
      <c r="J840" s="491" t="n"/>
      <c r="K840" s="491" t="n"/>
      <c r="L840" s="491" t="n"/>
      <c r="M840" s="491" t="n"/>
      <c r="N840" s="491" t="n"/>
      <c r="O840" s="491" t="n"/>
      <c r="P840" s="491" t="n"/>
      <c r="Q840" s="491" t="n"/>
      <c r="R840" s="491" t="n"/>
      <c r="S840" s="491" t="n"/>
      <c r="T840" s="491" t="n"/>
      <c r="U840" s="491" t="n"/>
      <c r="V840" s="491" t="n"/>
      <c r="W840" s="491" t="n"/>
      <c r="X840" s="491" t="n"/>
      <c r="Y840" s="491" t="n"/>
      <c r="Z840" s="491" t="n"/>
    </row>
    <row r="841" ht="12.75" customHeight="1" s="398">
      <c r="A841" s="491" t="n"/>
      <c r="B841" s="491" t="n"/>
      <c r="C841" s="491" t="n"/>
      <c r="D841" s="491" t="n"/>
      <c r="E841" s="491" t="n"/>
      <c r="F841" s="491" t="n"/>
      <c r="G841" s="491" t="n"/>
      <c r="H841" s="491" t="n"/>
      <c r="I841" s="491" t="n"/>
      <c r="J841" s="491" t="n"/>
      <c r="K841" s="491" t="n"/>
      <c r="L841" s="491" t="n"/>
      <c r="M841" s="491" t="n"/>
      <c r="N841" s="491" t="n"/>
      <c r="O841" s="491" t="n"/>
      <c r="P841" s="491" t="n"/>
      <c r="Q841" s="491" t="n"/>
      <c r="R841" s="491" t="n"/>
      <c r="S841" s="491" t="n"/>
      <c r="T841" s="491" t="n"/>
      <c r="U841" s="491" t="n"/>
      <c r="V841" s="491" t="n"/>
      <c r="W841" s="491" t="n"/>
      <c r="X841" s="491" t="n"/>
      <c r="Y841" s="491" t="n"/>
      <c r="Z841" s="491" t="n"/>
    </row>
    <row r="842" ht="12.75" customHeight="1" s="398">
      <c r="A842" s="491" t="n"/>
      <c r="B842" s="491" t="n"/>
      <c r="C842" s="491" t="n"/>
      <c r="D842" s="491" t="n"/>
      <c r="E842" s="491" t="n"/>
      <c r="F842" s="491" t="n"/>
      <c r="G842" s="491" t="n"/>
      <c r="H842" s="491" t="n"/>
      <c r="I842" s="491" t="n"/>
      <c r="J842" s="491" t="n"/>
      <c r="K842" s="491" t="n"/>
      <c r="L842" s="491" t="n"/>
      <c r="M842" s="491" t="n"/>
      <c r="N842" s="491" t="n"/>
      <c r="O842" s="491" t="n"/>
      <c r="P842" s="491" t="n"/>
      <c r="Q842" s="491" t="n"/>
      <c r="R842" s="491" t="n"/>
      <c r="S842" s="491" t="n"/>
      <c r="T842" s="491" t="n"/>
      <c r="U842" s="491" t="n"/>
      <c r="V842" s="491" t="n"/>
      <c r="W842" s="491" t="n"/>
      <c r="X842" s="491" t="n"/>
      <c r="Y842" s="491" t="n"/>
      <c r="Z842" s="491" t="n"/>
    </row>
    <row r="843" ht="12.75" customHeight="1" s="398">
      <c r="A843" s="491" t="n"/>
      <c r="B843" s="491" t="n"/>
      <c r="C843" s="491" t="n"/>
      <c r="D843" s="491" t="n"/>
      <c r="E843" s="491" t="n"/>
      <c r="F843" s="491" t="n"/>
      <c r="G843" s="491" t="n"/>
      <c r="H843" s="491" t="n"/>
      <c r="I843" s="491" t="n"/>
      <c r="J843" s="491" t="n"/>
      <c r="K843" s="491" t="n"/>
      <c r="L843" s="491" t="n"/>
      <c r="M843" s="491" t="n"/>
      <c r="N843" s="491" t="n"/>
      <c r="O843" s="491" t="n"/>
      <c r="P843" s="491" t="n"/>
      <c r="Q843" s="491" t="n"/>
      <c r="R843" s="491" t="n"/>
      <c r="S843" s="491" t="n"/>
      <c r="T843" s="491" t="n"/>
      <c r="U843" s="491" t="n"/>
      <c r="V843" s="491" t="n"/>
      <c r="W843" s="491" t="n"/>
      <c r="X843" s="491" t="n"/>
      <c r="Y843" s="491" t="n"/>
      <c r="Z843" s="491" t="n"/>
    </row>
    <row r="844" ht="12.75" customHeight="1" s="398">
      <c r="A844" s="491" t="n"/>
      <c r="B844" s="491" t="n"/>
      <c r="C844" s="491" t="n"/>
      <c r="D844" s="491" t="n"/>
      <c r="E844" s="491" t="n"/>
      <c r="F844" s="491" t="n"/>
      <c r="G844" s="491" t="n"/>
      <c r="H844" s="491" t="n"/>
      <c r="I844" s="491" t="n"/>
      <c r="J844" s="491" t="n"/>
      <c r="K844" s="491" t="n"/>
      <c r="L844" s="491" t="n"/>
      <c r="M844" s="491" t="n"/>
      <c r="N844" s="491" t="n"/>
      <c r="O844" s="491" t="n"/>
      <c r="P844" s="491" t="n"/>
      <c r="Q844" s="491" t="n"/>
      <c r="R844" s="491" t="n"/>
      <c r="S844" s="491" t="n"/>
      <c r="T844" s="491" t="n"/>
      <c r="U844" s="491" t="n"/>
      <c r="V844" s="491" t="n"/>
      <c r="W844" s="491" t="n"/>
      <c r="X844" s="491" t="n"/>
      <c r="Y844" s="491" t="n"/>
      <c r="Z844" s="491" t="n"/>
    </row>
    <row r="845" ht="12.75" customHeight="1" s="398">
      <c r="A845" s="491" t="n"/>
      <c r="B845" s="491" t="n"/>
      <c r="C845" s="491" t="n"/>
      <c r="D845" s="491" t="n"/>
      <c r="E845" s="491" t="n"/>
      <c r="F845" s="491" t="n"/>
      <c r="G845" s="491" t="n"/>
      <c r="H845" s="491" t="n"/>
      <c r="I845" s="491" t="n"/>
      <c r="J845" s="491" t="n"/>
      <c r="K845" s="491" t="n"/>
      <c r="L845" s="491" t="n"/>
      <c r="M845" s="491" t="n"/>
      <c r="N845" s="491" t="n"/>
      <c r="O845" s="491" t="n"/>
      <c r="P845" s="491" t="n"/>
      <c r="Q845" s="491" t="n"/>
      <c r="R845" s="491" t="n"/>
      <c r="S845" s="491" t="n"/>
      <c r="T845" s="491" t="n"/>
      <c r="U845" s="491" t="n"/>
      <c r="V845" s="491" t="n"/>
      <c r="W845" s="491" t="n"/>
      <c r="X845" s="491" t="n"/>
      <c r="Y845" s="491" t="n"/>
      <c r="Z845" s="491" t="n"/>
    </row>
    <row r="846" ht="12.75" customHeight="1" s="398">
      <c r="A846" s="491" t="n"/>
      <c r="B846" s="491" t="n"/>
      <c r="C846" s="491" t="n"/>
      <c r="D846" s="491" t="n"/>
      <c r="E846" s="491" t="n"/>
      <c r="F846" s="491" t="n"/>
      <c r="G846" s="491" t="n"/>
      <c r="H846" s="491" t="n"/>
      <c r="I846" s="491" t="n"/>
      <c r="J846" s="491" t="n"/>
      <c r="K846" s="491" t="n"/>
      <c r="L846" s="491" t="n"/>
      <c r="M846" s="491" t="n"/>
      <c r="N846" s="491" t="n"/>
      <c r="O846" s="491" t="n"/>
      <c r="P846" s="491" t="n"/>
      <c r="Q846" s="491" t="n"/>
      <c r="R846" s="491" t="n"/>
      <c r="S846" s="491" t="n"/>
      <c r="T846" s="491" t="n"/>
      <c r="U846" s="491" t="n"/>
      <c r="V846" s="491" t="n"/>
      <c r="W846" s="491" t="n"/>
      <c r="X846" s="491" t="n"/>
      <c r="Y846" s="491" t="n"/>
      <c r="Z846" s="491" t="n"/>
    </row>
    <row r="847" ht="12.75" customHeight="1" s="398">
      <c r="A847" s="491" t="n"/>
      <c r="B847" s="491" t="n"/>
      <c r="C847" s="491" t="n"/>
      <c r="D847" s="491" t="n"/>
      <c r="E847" s="491" t="n"/>
      <c r="F847" s="491" t="n"/>
      <c r="G847" s="491" t="n"/>
      <c r="H847" s="491" t="n"/>
      <c r="I847" s="491" t="n"/>
      <c r="J847" s="491" t="n"/>
      <c r="K847" s="491" t="n"/>
      <c r="L847" s="491" t="n"/>
      <c r="M847" s="491" t="n"/>
      <c r="N847" s="491" t="n"/>
      <c r="O847" s="491" t="n"/>
      <c r="P847" s="491" t="n"/>
      <c r="Q847" s="491" t="n"/>
      <c r="R847" s="491" t="n"/>
      <c r="S847" s="491" t="n"/>
      <c r="T847" s="491" t="n"/>
      <c r="U847" s="491" t="n"/>
      <c r="V847" s="491" t="n"/>
      <c r="W847" s="491" t="n"/>
      <c r="X847" s="491" t="n"/>
      <c r="Y847" s="491" t="n"/>
      <c r="Z847" s="491" t="n"/>
    </row>
    <row r="848" ht="12.75" customHeight="1" s="398">
      <c r="A848" s="491" t="n"/>
      <c r="B848" s="491" t="n"/>
      <c r="C848" s="491" t="n"/>
      <c r="D848" s="491" t="n"/>
      <c r="E848" s="491" t="n"/>
      <c r="F848" s="491" t="n"/>
      <c r="G848" s="491" t="n"/>
      <c r="H848" s="491" t="n"/>
      <c r="I848" s="491" t="n"/>
      <c r="J848" s="491" t="n"/>
      <c r="K848" s="491" t="n"/>
      <c r="L848" s="491" t="n"/>
      <c r="M848" s="491" t="n"/>
      <c r="N848" s="491" t="n"/>
      <c r="O848" s="491" t="n"/>
      <c r="P848" s="491" t="n"/>
      <c r="Q848" s="491" t="n"/>
      <c r="R848" s="491" t="n"/>
      <c r="S848" s="491" t="n"/>
      <c r="T848" s="491" t="n"/>
      <c r="U848" s="491" t="n"/>
      <c r="V848" s="491" t="n"/>
      <c r="W848" s="491" t="n"/>
      <c r="X848" s="491" t="n"/>
      <c r="Y848" s="491" t="n"/>
      <c r="Z848" s="491" t="n"/>
    </row>
    <row r="849" ht="12.75" customHeight="1" s="398">
      <c r="A849" s="491" t="n"/>
      <c r="B849" s="491" t="n"/>
      <c r="C849" s="491" t="n"/>
      <c r="D849" s="491" t="n"/>
      <c r="E849" s="491" t="n"/>
      <c r="F849" s="491" t="n"/>
      <c r="G849" s="491" t="n"/>
      <c r="H849" s="491" t="n"/>
      <c r="I849" s="491" t="n"/>
      <c r="J849" s="491" t="n"/>
      <c r="K849" s="491" t="n"/>
      <c r="L849" s="491" t="n"/>
      <c r="M849" s="491" t="n"/>
      <c r="N849" s="491" t="n"/>
      <c r="O849" s="491" t="n"/>
      <c r="P849" s="491" t="n"/>
      <c r="Q849" s="491" t="n"/>
      <c r="R849" s="491" t="n"/>
      <c r="S849" s="491" t="n"/>
      <c r="T849" s="491" t="n"/>
      <c r="U849" s="491" t="n"/>
      <c r="V849" s="491" t="n"/>
      <c r="W849" s="491" t="n"/>
      <c r="X849" s="491" t="n"/>
      <c r="Y849" s="491" t="n"/>
      <c r="Z849" s="491" t="n"/>
    </row>
    <row r="850" ht="12.75" customHeight="1" s="398">
      <c r="A850" s="491" t="n"/>
      <c r="B850" s="491" t="n"/>
      <c r="C850" s="491" t="n"/>
      <c r="D850" s="491" t="n"/>
      <c r="E850" s="491" t="n"/>
      <c r="F850" s="491" t="n"/>
      <c r="G850" s="491" t="n"/>
      <c r="H850" s="491" t="n"/>
      <c r="I850" s="491" t="n"/>
      <c r="J850" s="491" t="n"/>
      <c r="K850" s="491" t="n"/>
      <c r="L850" s="491" t="n"/>
      <c r="M850" s="491" t="n"/>
      <c r="N850" s="491" t="n"/>
      <c r="O850" s="491" t="n"/>
      <c r="P850" s="491" t="n"/>
      <c r="Q850" s="491" t="n"/>
      <c r="R850" s="491" t="n"/>
      <c r="S850" s="491" t="n"/>
      <c r="T850" s="491" t="n"/>
      <c r="U850" s="491" t="n"/>
      <c r="V850" s="491" t="n"/>
      <c r="W850" s="491" t="n"/>
      <c r="X850" s="491" t="n"/>
      <c r="Y850" s="491" t="n"/>
      <c r="Z850" s="491" t="n"/>
    </row>
    <row r="851" ht="12.75" customHeight="1" s="398">
      <c r="A851" s="491" t="n"/>
      <c r="B851" s="491" t="n"/>
      <c r="C851" s="491" t="n"/>
      <c r="D851" s="491" t="n"/>
      <c r="E851" s="491" t="n"/>
      <c r="F851" s="491" t="n"/>
      <c r="G851" s="491" t="n"/>
      <c r="H851" s="491" t="n"/>
      <c r="I851" s="491" t="n"/>
      <c r="J851" s="491" t="n"/>
      <c r="K851" s="491" t="n"/>
      <c r="L851" s="491" t="n"/>
      <c r="M851" s="491" t="n"/>
      <c r="N851" s="491" t="n"/>
      <c r="O851" s="491" t="n"/>
      <c r="P851" s="491" t="n"/>
      <c r="Q851" s="491" t="n"/>
      <c r="R851" s="491" t="n"/>
      <c r="S851" s="491" t="n"/>
      <c r="T851" s="491" t="n"/>
      <c r="U851" s="491" t="n"/>
      <c r="V851" s="491" t="n"/>
      <c r="W851" s="491" t="n"/>
      <c r="X851" s="491" t="n"/>
      <c r="Y851" s="491" t="n"/>
      <c r="Z851" s="491" t="n"/>
    </row>
    <row r="852" ht="12.75" customHeight="1" s="398">
      <c r="A852" s="491" t="n"/>
      <c r="B852" s="491" t="n"/>
      <c r="C852" s="491" t="n"/>
      <c r="D852" s="491" t="n"/>
      <c r="E852" s="491" t="n"/>
      <c r="F852" s="491" t="n"/>
      <c r="G852" s="491" t="n"/>
      <c r="H852" s="491" t="n"/>
      <c r="I852" s="491" t="n"/>
      <c r="J852" s="491" t="n"/>
      <c r="K852" s="491" t="n"/>
      <c r="L852" s="491" t="n"/>
      <c r="M852" s="491" t="n"/>
      <c r="N852" s="491" t="n"/>
      <c r="O852" s="491" t="n"/>
      <c r="P852" s="491" t="n"/>
      <c r="Q852" s="491" t="n"/>
      <c r="R852" s="491" t="n"/>
      <c r="S852" s="491" t="n"/>
      <c r="T852" s="491" t="n"/>
      <c r="U852" s="491" t="n"/>
      <c r="V852" s="491" t="n"/>
      <c r="W852" s="491" t="n"/>
      <c r="X852" s="491" t="n"/>
      <c r="Y852" s="491" t="n"/>
      <c r="Z852" s="491" t="n"/>
    </row>
    <row r="853" ht="12.75" customHeight="1" s="398">
      <c r="A853" s="491" t="n"/>
      <c r="B853" s="491" t="n"/>
      <c r="C853" s="491" t="n"/>
      <c r="D853" s="491" t="n"/>
      <c r="E853" s="491" t="n"/>
      <c r="F853" s="491" t="n"/>
      <c r="G853" s="491" t="n"/>
      <c r="H853" s="491" t="n"/>
      <c r="I853" s="491" t="n"/>
      <c r="J853" s="491" t="n"/>
      <c r="K853" s="491" t="n"/>
      <c r="L853" s="491" t="n"/>
      <c r="M853" s="491" t="n"/>
      <c r="N853" s="491" t="n"/>
      <c r="O853" s="491" t="n"/>
      <c r="P853" s="491" t="n"/>
      <c r="Q853" s="491" t="n"/>
      <c r="R853" s="491" t="n"/>
      <c r="S853" s="491" t="n"/>
      <c r="T853" s="491" t="n"/>
      <c r="U853" s="491" t="n"/>
      <c r="V853" s="491" t="n"/>
      <c r="W853" s="491" t="n"/>
      <c r="X853" s="491" t="n"/>
      <c r="Y853" s="491" t="n"/>
      <c r="Z853" s="491" t="n"/>
    </row>
    <row r="854" ht="12.75" customHeight="1" s="398">
      <c r="A854" s="491" t="n"/>
      <c r="B854" s="491" t="n"/>
      <c r="C854" s="491" t="n"/>
      <c r="D854" s="491" t="n"/>
      <c r="E854" s="491" t="n"/>
      <c r="F854" s="491" t="n"/>
      <c r="G854" s="491" t="n"/>
      <c r="H854" s="491" t="n"/>
      <c r="I854" s="491" t="n"/>
      <c r="J854" s="491" t="n"/>
      <c r="K854" s="491" t="n"/>
      <c r="L854" s="491" t="n"/>
      <c r="M854" s="491" t="n"/>
      <c r="N854" s="491" t="n"/>
      <c r="O854" s="491" t="n"/>
      <c r="P854" s="491" t="n"/>
      <c r="Q854" s="491" t="n"/>
      <c r="R854" s="491" t="n"/>
      <c r="S854" s="491" t="n"/>
      <c r="T854" s="491" t="n"/>
      <c r="U854" s="491" t="n"/>
      <c r="V854" s="491" t="n"/>
      <c r="W854" s="491" t="n"/>
      <c r="X854" s="491" t="n"/>
      <c r="Y854" s="491" t="n"/>
      <c r="Z854" s="491" t="n"/>
    </row>
    <row r="855" ht="12.75" customHeight="1" s="398">
      <c r="A855" s="491" t="n"/>
      <c r="B855" s="491" t="n"/>
      <c r="C855" s="491" t="n"/>
      <c r="D855" s="491" t="n"/>
      <c r="E855" s="491" t="n"/>
      <c r="F855" s="491" t="n"/>
      <c r="G855" s="491" t="n"/>
      <c r="H855" s="491" t="n"/>
      <c r="I855" s="491" t="n"/>
      <c r="J855" s="491" t="n"/>
      <c r="K855" s="491" t="n"/>
      <c r="L855" s="491" t="n"/>
      <c r="M855" s="491" t="n"/>
      <c r="N855" s="491" t="n"/>
      <c r="O855" s="491" t="n"/>
      <c r="P855" s="491" t="n"/>
      <c r="Q855" s="491" t="n"/>
      <c r="R855" s="491" t="n"/>
      <c r="S855" s="491" t="n"/>
      <c r="T855" s="491" t="n"/>
      <c r="U855" s="491" t="n"/>
      <c r="V855" s="491" t="n"/>
      <c r="W855" s="491" t="n"/>
      <c r="X855" s="491" t="n"/>
      <c r="Y855" s="491" t="n"/>
      <c r="Z855" s="491" t="n"/>
    </row>
    <row r="856" ht="12.75" customHeight="1" s="398">
      <c r="A856" s="491" t="n"/>
      <c r="B856" s="491" t="n"/>
      <c r="C856" s="491" t="n"/>
      <c r="D856" s="491" t="n"/>
      <c r="E856" s="491" t="n"/>
      <c r="F856" s="491" t="n"/>
      <c r="G856" s="491" t="n"/>
      <c r="H856" s="491" t="n"/>
      <c r="I856" s="491" t="n"/>
      <c r="J856" s="491" t="n"/>
      <c r="K856" s="491" t="n"/>
      <c r="L856" s="491" t="n"/>
      <c r="M856" s="491" t="n"/>
      <c r="N856" s="491" t="n"/>
      <c r="O856" s="491" t="n"/>
      <c r="P856" s="491" t="n"/>
      <c r="Q856" s="491" t="n"/>
      <c r="R856" s="491" t="n"/>
      <c r="S856" s="491" t="n"/>
      <c r="T856" s="491" t="n"/>
      <c r="U856" s="491" t="n"/>
      <c r="V856" s="491" t="n"/>
      <c r="W856" s="491" t="n"/>
      <c r="X856" s="491" t="n"/>
      <c r="Y856" s="491" t="n"/>
      <c r="Z856" s="491" t="n"/>
    </row>
    <row r="857" ht="12.75" customHeight="1" s="398">
      <c r="A857" s="491" t="n"/>
      <c r="B857" s="491" t="n"/>
      <c r="C857" s="491" t="n"/>
      <c r="D857" s="491" t="n"/>
      <c r="E857" s="491" t="n"/>
      <c r="F857" s="491" t="n"/>
      <c r="G857" s="491" t="n"/>
      <c r="H857" s="491" t="n"/>
      <c r="I857" s="491" t="n"/>
      <c r="J857" s="491" t="n"/>
      <c r="K857" s="491" t="n"/>
      <c r="L857" s="491" t="n"/>
      <c r="M857" s="491" t="n"/>
      <c r="N857" s="491" t="n"/>
      <c r="O857" s="491" t="n"/>
      <c r="P857" s="491" t="n"/>
      <c r="Q857" s="491" t="n"/>
      <c r="R857" s="491" t="n"/>
      <c r="S857" s="491" t="n"/>
      <c r="T857" s="491" t="n"/>
      <c r="U857" s="491" t="n"/>
      <c r="V857" s="491" t="n"/>
      <c r="W857" s="491" t="n"/>
      <c r="X857" s="491" t="n"/>
      <c r="Y857" s="491" t="n"/>
      <c r="Z857" s="491" t="n"/>
    </row>
    <row r="858" ht="12.75" customHeight="1" s="398">
      <c r="A858" s="491" t="n"/>
      <c r="B858" s="491" t="n"/>
      <c r="C858" s="491" t="n"/>
      <c r="D858" s="491" t="n"/>
      <c r="E858" s="491" t="n"/>
      <c r="F858" s="491" t="n"/>
      <c r="G858" s="491" t="n"/>
      <c r="H858" s="491" t="n"/>
      <c r="I858" s="491" t="n"/>
      <c r="J858" s="491" t="n"/>
      <c r="K858" s="491" t="n"/>
      <c r="L858" s="491" t="n"/>
      <c r="M858" s="491" t="n"/>
      <c r="N858" s="491" t="n"/>
      <c r="O858" s="491" t="n"/>
      <c r="P858" s="491" t="n"/>
      <c r="Q858" s="491" t="n"/>
      <c r="R858" s="491" t="n"/>
      <c r="S858" s="491" t="n"/>
      <c r="T858" s="491" t="n"/>
      <c r="U858" s="491" t="n"/>
      <c r="V858" s="491" t="n"/>
      <c r="W858" s="491" t="n"/>
      <c r="X858" s="491" t="n"/>
      <c r="Y858" s="491" t="n"/>
      <c r="Z858" s="491" t="n"/>
    </row>
    <row r="859" ht="12.75" customHeight="1" s="398">
      <c r="A859" s="491" t="n"/>
      <c r="B859" s="491" t="n"/>
      <c r="C859" s="491" t="n"/>
      <c r="D859" s="491" t="n"/>
      <c r="E859" s="491" t="n"/>
      <c r="F859" s="491" t="n"/>
      <c r="G859" s="491" t="n"/>
      <c r="H859" s="491" t="n"/>
      <c r="I859" s="491" t="n"/>
      <c r="J859" s="491" t="n"/>
      <c r="K859" s="491" t="n"/>
      <c r="L859" s="491" t="n"/>
      <c r="M859" s="491" t="n"/>
      <c r="N859" s="491" t="n"/>
      <c r="O859" s="491" t="n"/>
      <c r="P859" s="491" t="n"/>
      <c r="Q859" s="491" t="n"/>
      <c r="R859" s="491" t="n"/>
      <c r="S859" s="491" t="n"/>
      <c r="T859" s="491" t="n"/>
      <c r="U859" s="491" t="n"/>
      <c r="V859" s="491" t="n"/>
      <c r="W859" s="491" t="n"/>
      <c r="X859" s="491" t="n"/>
      <c r="Y859" s="491" t="n"/>
      <c r="Z859" s="491" t="n"/>
    </row>
    <row r="860" ht="12.75" customHeight="1" s="398">
      <c r="A860" s="491" t="n"/>
      <c r="B860" s="491" t="n"/>
      <c r="C860" s="491" t="n"/>
      <c r="D860" s="491" t="n"/>
      <c r="E860" s="491" t="n"/>
      <c r="F860" s="491" t="n"/>
      <c r="G860" s="491" t="n"/>
      <c r="H860" s="491" t="n"/>
      <c r="I860" s="491" t="n"/>
      <c r="J860" s="491" t="n"/>
      <c r="K860" s="491" t="n"/>
      <c r="L860" s="491" t="n"/>
      <c r="M860" s="491" t="n"/>
      <c r="N860" s="491" t="n"/>
      <c r="O860" s="491" t="n"/>
      <c r="P860" s="491" t="n"/>
      <c r="Q860" s="491" t="n"/>
      <c r="R860" s="491" t="n"/>
      <c r="S860" s="491" t="n"/>
      <c r="T860" s="491" t="n"/>
      <c r="U860" s="491" t="n"/>
      <c r="V860" s="491" t="n"/>
      <c r="W860" s="491" t="n"/>
      <c r="X860" s="491" t="n"/>
      <c r="Y860" s="491" t="n"/>
      <c r="Z860" s="491" t="n"/>
    </row>
    <row r="861" ht="12.75" customHeight="1" s="398">
      <c r="A861" s="491" t="n"/>
      <c r="B861" s="491" t="n"/>
      <c r="C861" s="491" t="n"/>
      <c r="D861" s="491" t="n"/>
      <c r="E861" s="491" t="n"/>
      <c r="F861" s="491" t="n"/>
      <c r="G861" s="491" t="n"/>
      <c r="H861" s="491" t="n"/>
      <c r="I861" s="491" t="n"/>
      <c r="J861" s="491" t="n"/>
      <c r="K861" s="491" t="n"/>
      <c r="L861" s="491" t="n"/>
      <c r="M861" s="491" t="n"/>
      <c r="N861" s="491" t="n"/>
      <c r="O861" s="491" t="n"/>
      <c r="P861" s="491" t="n"/>
      <c r="Q861" s="491" t="n"/>
      <c r="R861" s="491" t="n"/>
      <c r="S861" s="491" t="n"/>
      <c r="T861" s="491" t="n"/>
      <c r="U861" s="491" t="n"/>
      <c r="V861" s="491" t="n"/>
      <c r="W861" s="491" t="n"/>
      <c r="X861" s="491" t="n"/>
      <c r="Y861" s="491" t="n"/>
      <c r="Z861" s="491" t="n"/>
    </row>
    <row r="862" ht="12.75" customHeight="1" s="398">
      <c r="A862" s="491" t="n"/>
      <c r="B862" s="491" t="n"/>
      <c r="C862" s="491" t="n"/>
      <c r="D862" s="491" t="n"/>
      <c r="E862" s="491" t="n"/>
      <c r="F862" s="491" t="n"/>
      <c r="G862" s="491" t="n"/>
      <c r="H862" s="491" t="n"/>
      <c r="I862" s="491" t="n"/>
      <c r="J862" s="491" t="n"/>
      <c r="K862" s="491" t="n"/>
      <c r="L862" s="491" t="n"/>
      <c r="M862" s="491" t="n"/>
      <c r="N862" s="491" t="n"/>
      <c r="O862" s="491" t="n"/>
      <c r="P862" s="491" t="n"/>
      <c r="Q862" s="491" t="n"/>
      <c r="R862" s="491" t="n"/>
      <c r="S862" s="491" t="n"/>
      <c r="T862" s="491" t="n"/>
      <c r="U862" s="491" t="n"/>
      <c r="V862" s="491" t="n"/>
      <c r="W862" s="491" t="n"/>
      <c r="X862" s="491" t="n"/>
      <c r="Y862" s="491" t="n"/>
      <c r="Z862" s="491" t="n"/>
    </row>
    <row r="863" ht="12.75" customHeight="1" s="398">
      <c r="A863" s="491" t="n"/>
      <c r="B863" s="491" t="n"/>
      <c r="C863" s="491" t="n"/>
      <c r="D863" s="491" t="n"/>
      <c r="E863" s="491" t="n"/>
      <c r="F863" s="491" t="n"/>
      <c r="G863" s="491" t="n"/>
      <c r="H863" s="491" t="n"/>
      <c r="I863" s="491" t="n"/>
      <c r="J863" s="491" t="n"/>
      <c r="K863" s="491" t="n"/>
      <c r="L863" s="491" t="n"/>
      <c r="M863" s="491" t="n"/>
      <c r="N863" s="491" t="n"/>
      <c r="O863" s="491" t="n"/>
      <c r="P863" s="491" t="n"/>
      <c r="Q863" s="491" t="n"/>
      <c r="R863" s="491" t="n"/>
      <c r="S863" s="491" t="n"/>
      <c r="T863" s="491" t="n"/>
      <c r="U863" s="491" t="n"/>
      <c r="V863" s="491" t="n"/>
      <c r="W863" s="491" t="n"/>
      <c r="X863" s="491" t="n"/>
      <c r="Y863" s="491" t="n"/>
      <c r="Z863" s="491" t="n"/>
    </row>
    <row r="864" ht="12.75" customHeight="1" s="398">
      <c r="A864" s="491" t="n"/>
      <c r="B864" s="491" t="n"/>
      <c r="C864" s="491" t="n"/>
      <c r="D864" s="491" t="n"/>
      <c r="E864" s="491" t="n"/>
      <c r="F864" s="491" t="n"/>
      <c r="G864" s="491" t="n"/>
      <c r="H864" s="491" t="n"/>
      <c r="I864" s="491" t="n"/>
      <c r="J864" s="491" t="n"/>
      <c r="K864" s="491" t="n"/>
      <c r="L864" s="491" t="n"/>
      <c r="M864" s="491" t="n"/>
      <c r="N864" s="491" t="n"/>
      <c r="O864" s="491" t="n"/>
      <c r="P864" s="491" t="n"/>
      <c r="Q864" s="491" t="n"/>
      <c r="R864" s="491" t="n"/>
      <c r="S864" s="491" t="n"/>
      <c r="T864" s="491" t="n"/>
      <c r="U864" s="491" t="n"/>
      <c r="V864" s="491" t="n"/>
      <c r="W864" s="491" t="n"/>
      <c r="X864" s="491" t="n"/>
      <c r="Y864" s="491" t="n"/>
      <c r="Z864" s="491" t="n"/>
    </row>
    <row r="865" ht="12.75" customHeight="1" s="398">
      <c r="A865" s="491" t="n"/>
      <c r="B865" s="491" t="n"/>
      <c r="C865" s="491" t="n"/>
      <c r="D865" s="491" t="n"/>
      <c r="E865" s="491" t="n"/>
      <c r="F865" s="491" t="n"/>
      <c r="G865" s="491" t="n"/>
      <c r="H865" s="491" t="n"/>
      <c r="I865" s="491" t="n"/>
      <c r="J865" s="491" t="n"/>
      <c r="K865" s="491" t="n"/>
      <c r="L865" s="491" t="n"/>
      <c r="M865" s="491" t="n"/>
      <c r="N865" s="491" t="n"/>
      <c r="O865" s="491" t="n"/>
      <c r="P865" s="491" t="n"/>
      <c r="Q865" s="491" t="n"/>
      <c r="R865" s="491" t="n"/>
      <c r="S865" s="491" t="n"/>
      <c r="T865" s="491" t="n"/>
      <c r="U865" s="491" t="n"/>
      <c r="V865" s="491" t="n"/>
      <c r="W865" s="491" t="n"/>
      <c r="X865" s="491" t="n"/>
      <c r="Y865" s="491" t="n"/>
      <c r="Z865" s="491" t="n"/>
    </row>
    <row r="866" ht="12.75" customHeight="1" s="398">
      <c r="A866" s="491" t="n"/>
      <c r="B866" s="491" t="n"/>
      <c r="C866" s="491" t="n"/>
      <c r="D866" s="491" t="n"/>
      <c r="E866" s="491" t="n"/>
      <c r="F866" s="491" t="n"/>
      <c r="G866" s="491" t="n"/>
      <c r="H866" s="491" t="n"/>
      <c r="I866" s="491" t="n"/>
      <c r="J866" s="491" t="n"/>
      <c r="K866" s="491" t="n"/>
      <c r="L866" s="491" t="n"/>
      <c r="M866" s="491" t="n"/>
      <c r="N866" s="491" t="n"/>
      <c r="O866" s="491" t="n"/>
      <c r="P866" s="491" t="n"/>
      <c r="Q866" s="491" t="n"/>
      <c r="R866" s="491" t="n"/>
      <c r="S866" s="491" t="n"/>
      <c r="T866" s="491" t="n"/>
      <c r="U866" s="491" t="n"/>
      <c r="V866" s="491" t="n"/>
      <c r="W866" s="491" t="n"/>
      <c r="X866" s="491" t="n"/>
      <c r="Y866" s="491" t="n"/>
      <c r="Z866" s="491" t="n"/>
    </row>
    <row r="867" ht="12.75" customHeight="1" s="398">
      <c r="A867" s="491" t="n"/>
      <c r="B867" s="491" t="n"/>
      <c r="C867" s="491" t="n"/>
      <c r="D867" s="491" t="n"/>
      <c r="E867" s="491" t="n"/>
      <c r="F867" s="491" t="n"/>
      <c r="G867" s="491" t="n"/>
      <c r="H867" s="491" t="n"/>
      <c r="I867" s="491" t="n"/>
      <c r="J867" s="491" t="n"/>
      <c r="K867" s="491" t="n"/>
      <c r="L867" s="491" t="n"/>
      <c r="M867" s="491" t="n"/>
      <c r="N867" s="491" t="n"/>
      <c r="O867" s="491" t="n"/>
      <c r="P867" s="491" t="n"/>
      <c r="Q867" s="491" t="n"/>
      <c r="R867" s="491" t="n"/>
      <c r="S867" s="491" t="n"/>
      <c r="T867" s="491" t="n"/>
      <c r="U867" s="491" t="n"/>
      <c r="V867" s="491" t="n"/>
      <c r="W867" s="491" t="n"/>
      <c r="X867" s="491" t="n"/>
      <c r="Y867" s="491" t="n"/>
      <c r="Z867" s="491" t="n"/>
    </row>
    <row r="868" ht="12.75" customHeight="1" s="398">
      <c r="A868" s="491" t="n"/>
      <c r="B868" s="491" t="n"/>
      <c r="C868" s="491" t="n"/>
      <c r="D868" s="491" t="n"/>
      <c r="E868" s="491" t="n"/>
      <c r="F868" s="491" t="n"/>
      <c r="G868" s="491" t="n"/>
      <c r="H868" s="491" t="n"/>
      <c r="I868" s="491" t="n"/>
      <c r="J868" s="491" t="n"/>
      <c r="K868" s="491" t="n"/>
      <c r="L868" s="491" t="n"/>
      <c r="M868" s="491" t="n"/>
      <c r="N868" s="491" t="n"/>
      <c r="O868" s="491" t="n"/>
      <c r="P868" s="491" t="n"/>
      <c r="Q868" s="491" t="n"/>
      <c r="R868" s="491" t="n"/>
      <c r="S868" s="491" t="n"/>
      <c r="T868" s="491" t="n"/>
      <c r="U868" s="491" t="n"/>
      <c r="V868" s="491" t="n"/>
      <c r="W868" s="491" t="n"/>
      <c r="X868" s="491" t="n"/>
      <c r="Y868" s="491" t="n"/>
      <c r="Z868" s="491" t="n"/>
    </row>
    <row r="869" ht="12.75" customHeight="1" s="398">
      <c r="A869" s="491" t="n"/>
      <c r="B869" s="491" t="n"/>
      <c r="C869" s="491" t="n"/>
      <c r="D869" s="491" t="n"/>
      <c r="E869" s="491" t="n"/>
      <c r="F869" s="491" t="n"/>
      <c r="G869" s="491" t="n"/>
      <c r="H869" s="491" t="n"/>
      <c r="I869" s="491" t="n"/>
      <c r="J869" s="491" t="n"/>
      <c r="K869" s="491" t="n"/>
      <c r="L869" s="491" t="n"/>
      <c r="M869" s="491" t="n"/>
      <c r="N869" s="491" t="n"/>
      <c r="O869" s="491" t="n"/>
      <c r="P869" s="491" t="n"/>
      <c r="Q869" s="491" t="n"/>
      <c r="R869" s="491" t="n"/>
      <c r="S869" s="491" t="n"/>
      <c r="T869" s="491" t="n"/>
      <c r="U869" s="491" t="n"/>
      <c r="V869" s="491" t="n"/>
      <c r="W869" s="491" t="n"/>
      <c r="X869" s="491" t="n"/>
      <c r="Y869" s="491" t="n"/>
      <c r="Z869" s="491" t="n"/>
    </row>
    <row r="870" ht="12.75" customHeight="1" s="398">
      <c r="A870" s="491" t="n"/>
      <c r="B870" s="491" t="n"/>
      <c r="C870" s="491" t="n"/>
      <c r="D870" s="491" t="n"/>
      <c r="E870" s="491" t="n"/>
      <c r="F870" s="491" t="n"/>
      <c r="G870" s="491" t="n"/>
      <c r="H870" s="491" t="n"/>
      <c r="I870" s="491" t="n"/>
      <c r="J870" s="491" t="n"/>
      <c r="K870" s="491" t="n"/>
      <c r="L870" s="491" t="n"/>
      <c r="M870" s="491" t="n"/>
      <c r="N870" s="491" t="n"/>
      <c r="O870" s="491" t="n"/>
      <c r="P870" s="491" t="n"/>
      <c r="Q870" s="491" t="n"/>
      <c r="R870" s="491" t="n"/>
      <c r="S870" s="491" t="n"/>
      <c r="T870" s="491" t="n"/>
      <c r="U870" s="491" t="n"/>
      <c r="V870" s="491" t="n"/>
      <c r="W870" s="491" t="n"/>
      <c r="X870" s="491" t="n"/>
      <c r="Y870" s="491" t="n"/>
      <c r="Z870" s="491" t="n"/>
    </row>
    <row r="871" ht="12.75" customHeight="1" s="398">
      <c r="A871" s="491" t="n"/>
      <c r="B871" s="491" t="n"/>
      <c r="C871" s="491" t="n"/>
      <c r="D871" s="491" t="n"/>
      <c r="E871" s="491" t="n"/>
      <c r="F871" s="491" t="n"/>
      <c r="G871" s="491" t="n"/>
      <c r="H871" s="491" t="n"/>
      <c r="I871" s="491" t="n"/>
      <c r="J871" s="491" t="n"/>
      <c r="K871" s="491" t="n"/>
      <c r="L871" s="491" t="n"/>
      <c r="M871" s="491" t="n"/>
      <c r="N871" s="491" t="n"/>
      <c r="O871" s="491" t="n"/>
      <c r="P871" s="491" t="n"/>
      <c r="Q871" s="491" t="n"/>
      <c r="R871" s="491" t="n"/>
      <c r="S871" s="491" t="n"/>
      <c r="T871" s="491" t="n"/>
      <c r="U871" s="491" t="n"/>
      <c r="V871" s="491" t="n"/>
      <c r="W871" s="491" t="n"/>
      <c r="X871" s="491" t="n"/>
      <c r="Y871" s="491" t="n"/>
      <c r="Z871" s="491" t="n"/>
    </row>
    <row r="872" ht="12.75" customHeight="1" s="398">
      <c r="A872" s="491" t="n"/>
      <c r="B872" s="491" t="n"/>
      <c r="C872" s="491" t="n"/>
      <c r="D872" s="491" t="n"/>
      <c r="E872" s="491" t="n"/>
      <c r="F872" s="491" t="n"/>
      <c r="G872" s="491" t="n"/>
      <c r="H872" s="491" t="n"/>
      <c r="I872" s="491" t="n"/>
      <c r="J872" s="491" t="n"/>
      <c r="K872" s="491" t="n"/>
      <c r="L872" s="491" t="n"/>
      <c r="M872" s="491" t="n"/>
      <c r="N872" s="491" t="n"/>
      <c r="O872" s="491" t="n"/>
      <c r="P872" s="491" t="n"/>
      <c r="Q872" s="491" t="n"/>
      <c r="R872" s="491" t="n"/>
      <c r="S872" s="491" t="n"/>
      <c r="T872" s="491" t="n"/>
      <c r="U872" s="491" t="n"/>
      <c r="V872" s="491" t="n"/>
      <c r="W872" s="491" t="n"/>
      <c r="X872" s="491" t="n"/>
      <c r="Y872" s="491" t="n"/>
      <c r="Z872" s="491" t="n"/>
    </row>
    <row r="873" ht="12.75" customHeight="1" s="398">
      <c r="A873" s="491" t="n"/>
      <c r="B873" s="491" t="n"/>
      <c r="C873" s="491" t="n"/>
      <c r="D873" s="491" t="n"/>
      <c r="E873" s="491" t="n"/>
      <c r="F873" s="491" t="n"/>
      <c r="G873" s="491" t="n"/>
      <c r="H873" s="491" t="n"/>
      <c r="I873" s="491" t="n"/>
      <c r="J873" s="491" t="n"/>
      <c r="K873" s="491" t="n"/>
      <c r="L873" s="491" t="n"/>
      <c r="M873" s="491" t="n"/>
      <c r="N873" s="491" t="n"/>
      <c r="O873" s="491" t="n"/>
      <c r="P873" s="491" t="n"/>
      <c r="Q873" s="491" t="n"/>
      <c r="R873" s="491" t="n"/>
      <c r="S873" s="491" t="n"/>
      <c r="T873" s="491" t="n"/>
      <c r="U873" s="491" t="n"/>
      <c r="V873" s="491" t="n"/>
      <c r="W873" s="491" t="n"/>
      <c r="X873" s="491" t="n"/>
      <c r="Y873" s="491" t="n"/>
      <c r="Z873" s="491" t="n"/>
    </row>
    <row r="874" ht="12.75" customHeight="1" s="398">
      <c r="A874" s="491" t="n"/>
      <c r="B874" s="491" t="n"/>
      <c r="C874" s="491" t="n"/>
      <c r="D874" s="491" t="n"/>
      <c r="E874" s="491" t="n"/>
      <c r="F874" s="491" t="n"/>
      <c r="G874" s="491" t="n"/>
      <c r="H874" s="491" t="n"/>
      <c r="I874" s="491" t="n"/>
      <c r="J874" s="491" t="n"/>
      <c r="K874" s="491" t="n"/>
      <c r="L874" s="491" t="n"/>
      <c r="M874" s="491" t="n"/>
      <c r="N874" s="491" t="n"/>
      <c r="O874" s="491" t="n"/>
      <c r="P874" s="491" t="n"/>
      <c r="Q874" s="491" t="n"/>
      <c r="R874" s="491" t="n"/>
      <c r="S874" s="491" t="n"/>
      <c r="T874" s="491" t="n"/>
      <c r="U874" s="491" t="n"/>
      <c r="V874" s="491" t="n"/>
      <c r="W874" s="491" t="n"/>
      <c r="X874" s="491" t="n"/>
      <c r="Y874" s="491" t="n"/>
      <c r="Z874" s="491" t="n"/>
    </row>
    <row r="875" ht="12.75" customHeight="1" s="398">
      <c r="A875" s="491" t="n"/>
      <c r="B875" s="491" t="n"/>
      <c r="C875" s="491" t="n"/>
      <c r="D875" s="491" t="n"/>
      <c r="E875" s="491" t="n"/>
      <c r="F875" s="491" t="n"/>
      <c r="G875" s="491" t="n"/>
      <c r="H875" s="491" t="n"/>
      <c r="I875" s="491" t="n"/>
      <c r="J875" s="491" t="n"/>
      <c r="K875" s="491" t="n"/>
      <c r="L875" s="491" t="n"/>
      <c r="M875" s="491" t="n"/>
      <c r="N875" s="491" t="n"/>
      <c r="O875" s="491" t="n"/>
      <c r="P875" s="491" t="n"/>
      <c r="Q875" s="491" t="n"/>
      <c r="R875" s="491" t="n"/>
      <c r="S875" s="491" t="n"/>
      <c r="T875" s="491" t="n"/>
      <c r="U875" s="491" t="n"/>
      <c r="V875" s="491" t="n"/>
      <c r="W875" s="491" t="n"/>
      <c r="X875" s="491" t="n"/>
      <c r="Y875" s="491" t="n"/>
      <c r="Z875" s="491" t="n"/>
    </row>
    <row r="876" ht="12.75" customHeight="1" s="398">
      <c r="A876" s="491" t="n"/>
      <c r="B876" s="491" t="n"/>
      <c r="C876" s="491" t="n"/>
      <c r="D876" s="491" t="n"/>
      <c r="E876" s="491" t="n"/>
      <c r="F876" s="491" t="n"/>
      <c r="G876" s="491" t="n"/>
      <c r="H876" s="491" t="n"/>
      <c r="I876" s="491" t="n"/>
      <c r="J876" s="491" t="n"/>
      <c r="K876" s="491" t="n"/>
      <c r="L876" s="491" t="n"/>
      <c r="M876" s="491" t="n"/>
      <c r="N876" s="491" t="n"/>
      <c r="O876" s="491" t="n"/>
      <c r="P876" s="491" t="n"/>
      <c r="Q876" s="491" t="n"/>
      <c r="R876" s="491" t="n"/>
      <c r="S876" s="491" t="n"/>
      <c r="T876" s="491" t="n"/>
      <c r="U876" s="491" t="n"/>
      <c r="V876" s="491" t="n"/>
      <c r="W876" s="491" t="n"/>
      <c r="X876" s="491" t="n"/>
      <c r="Y876" s="491" t="n"/>
      <c r="Z876" s="491" t="n"/>
    </row>
    <row r="877" ht="12.75" customHeight="1" s="398">
      <c r="A877" s="491" t="n"/>
      <c r="B877" s="491" t="n"/>
      <c r="C877" s="491" t="n"/>
      <c r="D877" s="491" t="n"/>
      <c r="E877" s="491" t="n"/>
      <c r="F877" s="491" t="n"/>
      <c r="G877" s="491" t="n"/>
      <c r="H877" s="491" t="n"/>
      <c r="I877" s="491" t="n"/>
      <c r="J877" s="491" t="n"/>
      <c r="K877" s="491" t="n"/>
      <c r="L877" s="491" t="n"/>
      <c r="M877" s="491" t="n"/>
      <c r="N877" s="491" t="n"/>
      <c r="O877" s="491" t="n"/>
      <c r="P877" s="491" t="n"/>
      <c r="Q877" s="491" t="n"/>
      <c r="R877" s="491" t="n"/>
      <c r="S877" s="491" t="n"/>
      <c r="T877" s="491" t="n"/>
      <c r="U877" s="491" t="n"/>
      <c r="V877" s="491" t="n"/>
      <c r="W877" s="491" t="n"/>
      <c r="X877" s="491" t="n"/>
      <c r="Y877" s="491" t="n"/>
      <c r="Z877" s="491" t="n"/>
    </row>
    <row r="878" ht="12.75" customHeight="1" s="398">
      <c r="A878" s="491" t="n"/>
      <c r="B878" s="491" t="n"/>
      <c r="C878" s="491" t="n"/>
      <c r="D878" s="491" t="n"/>
      <c r="E878" s="491" t="n"/>
      <c r="F878" s="491" t="n"/>
      <c r="G878" s="491" t="n"/>
      <c r="H878" s="491" t="n"/>
      <c r="I878" s="491" t="n"/>
      <c r="J878" s="491" t="n"/>
      <c r="K878" s="491" t="n"/>
      <c r="L878" s="491" t="n"/>
      <c r="M878" s="491" t="n"/>
      <c r="N878" s="491" t="n"/>
      <c r="O878" s="491" t="n"/>
      <c r="P878" s="491" t="n"/>
      <c r="Q878" s="491" t="n"/>
      <c r="R878" s="491" t="n"/>
      <c r="S878" s="491" t="n"/>
      <c r="T878" s="491" t="n"/>
      <c r="U878" s="491" t="n"/>
      <c r="V878" s="491" t="n"/>
      <c r="W878" s="491" t="n"/>
      <c r="X878" s="491" t="n"/>
      <c r="Y878" s="491" t="n"/>
      <c r="Z878" s="491" t="n"/>
    </row>
    <row r="879" ht="12.75" customHeight="1" s="398">
      <c r="A879" s="491" t="n"/>
      <c r="B879" s="491" t="n"/>
      <c r="C879" s="491" t="n"/>
      <c r="D879" s="491" t="n"/>
      <c r="E879" s="491" t="n"/>
      <c r="F879" s="491" t="n"/>
      <c r="G879" s="491" t="n"/>
      <c r="H879" s="491" t="n"/>
      <c r="I879" s="491" t="n"/>
      <c r="J879" s="491" t="n"/>
      <c r="K879" s="491" t="n"/>
      <c r="L879" s="491" t="n"/>
      <c r="M879" s="491" t="n"/>
      <c r="N879" s="491" t="n"/>
      <c r="O879" s="491" t="n"/>
      <c r="P879" s="491" t="n"/>
      <c r="Q879" s="491" t="n"/>
      <c r="R879" s="491" t="n"/>
      <c r="S879" s="491" t="n"/>
      <c r="T879" s="491" t="n"/>
      <c r="U879" s="491" t="n"/>
      <c r="V879" s="491" t="n"/>
      <c r="W879" s="491" t="n"/>
      <c r="X879" s="491" t="n"/>
      <c r="Y879" s="491" t="n"/>
      <c r="Z879" s="491" t="n"/>
    </row>
    <row r="880" ht="12.75" customHeight="1" s="398">
      <c r="A880" s="491" t="n"/>
      <c r="B880" s="491" t="n"/>
      <c r="C880" s="491" t="n"/>
      <c r="D880" s="491" t="n"/>
      <c r="E880" s="491" t="n"/>
      <c r="F880" s="491" t="n"/>
      <c r="G880" s="491" t="n"/>
      <c r="H880" s="491" t="n"/>
      <c r="I880" s="491" t="n"/>
      <c r="J880" s="491" t="n"/>
      <c r="K880" s="491" t="n"/>
      <c r="L880" s="491" t="n"/>
      <c r="M880" s="491" t="n"/>
      <c r="N880" s="491" t="n"/>
      <c r="O880" s="491" t="n"/>
      <c r="P880" s="491" t="n"/>
      <c r="Q880" s="491" t="n"/>
      <c r="R880" s="491" t="n"/>
      <c r="S880" s="491" t="n"/>
      <c r="T880" s="491" t="n"/>
      <c r="U880" s="491" t="n"/>
      <c r="V880" s="491" t="n"/>
      <c r="W880" s="491" t="n"/>
      <c r="X880" s="491" t="n"/>
      <c r="Y880" s="491" t="n"/>
      <c r="Z880" s="491" t="n"/>
    </row>
    <row r="881" ht="12.75" customHeight="1" s="398">
      <c r="A881" s="491" t="n"/>
      <c r="B881" s="491" t="n"/>
      <c r="C881" s="491" t="n"/>
      <c r="D881" s="491" t="n"/>
      <c r="E881" s="491" t="n"/>
      <c r="F881" s="491" t="n"/>
      <c r="G881" s="491" t="n"/>
      <c r="H881" s="491" t="n"/>
      <c r="I881" s="491" t="n"/>
      <c r="J881" s="491" t="n"/>
      <c r="K881" s="491" t="n"/>
      <c r="L881" s="491" t="n"/>
      <c r="M881" s="491" t="n"/>
      <c r="N881" s="491" t="n"/>
      <c r="O881" s="491" t="n"/>
      <c r="P881" s="491" t="n"/>
      <c r="Q881" s="491" t="n"/>
      <c r="R881" s="491" t="n"/>
      <c r="S881" s="491" t="n"/>
      <c r="T881" s="491" t="n"/>
      <c r="U881" s="491" t="n"/>
      <c r="V881" s="491" t="n"/>
      <c r="W881" s="491" t="n"/>
      <c r="X881" s="491" t="n"/>
      <c r="Y881" s="491" t="n"/>
      <c r="Z881" s="491" t="n"/>
    </row>
    <row r="882" ht="12.75" customHeight="1" s="398">
      <c r="A882" s="491" t="n"/>
      <c r="B882" s="491" t="n"/>
      <c r="C882" s="491" t="n"/>
      <c r="D882" s="491" t="n"/>
      <c r="E882" s="491" t="n"/>
      <c r="F882" s="491" t="n"/>
      <c r="G882" s="491" t="n"/>
      <c r="H882" s="491" t="n"/>
      <c r="I882" s="491" t="n"/>
      <c r="J882" s="491" t="n"/>
      <c r="K882" s="491" t="n"/>
      <c r="L882" s="491" t="n"/>
      <c r="M882" s="491" t="n"/>
      <c r="N882" s="491" t="n"/>
      <c r="O882" s="491" t="n"/>
      <c r="P882" s="491" t="n"/>
      <c r="Q882" s="491" t="n"/>
      <c r="R882" s="491" t="n"/>
      <c r="S882" s="491" t="n"/>
      <c r="T882" s="491" t="n"/>
      <c r="U882" s="491" t="n"/>
      <c r="V882" s="491" t="n"/>
      <c r="W882" s="491" t="n"/>
      <c r="X882" s="491" t="n"/>
      <c r="Y882" s="491" t="n"/>
      <c r="Z882" s="491" t="n"/>
    </row>
    <row r="883" ht="12.75" customHeight="1" s="398">
      <c r="A883" s="491" t="n"/>
      <c r="B883" s="491" t="n"/>
      <c r="C883" s="491" t="n"/>
      <c r="D883" s="491" t="n"/>
      <c r="E883" s="491" t="n"/>
      <c r="F883" s="491" t="n"/>
      <c r="G883" s="491" t="n"/>
      <c r="H883" s="491" t="n"/>
      <c r="I883" s="491" t="n"/>
      <c r="J883" s="491" t="n"/>
      <c r="K883" s="491" t="n"/>
      <c r="L883" s="491" t="n"/>
      <c r="M883" s="491" t="n"/>
      <c r="N883" s="491" t="n"/>
      <c r="O883" s="491" t="n"/>
      <c r="P883" s="491" t="n"/>
      <c r="Q883" s="491" t="n"/>
      <c r="R883" s="491" t="n"/>
      <c r="S883" s="491" t="n"/>
      <c r="T883" s="491" t="n"/>
      <c r="U883" s="491" t="n"/>
      <c r="V883" s="491" t="n"/>
      <c r="W883" s="491" t="n"/>
      <c r="X883" s="491" t="n"/>
      <c r="Y883" s="491" t="n"/>
      <c r="Z883" s="491" t="n"/>
    </row>
    <row r="884" ht="12.75" customHeight="1" s="398">
      <c r="A884" s="491" t="n"/>
      <c r="B884" s="491" t="n"/>
      <c r="C884" s="491" t="n"/>
      <c r="D884" s="491" t="n"/>
      <c r="E884" s="491" t="n"/>
      <c r="F884" s="491" t="n"/>
      <c r="G884" s="491" t="n"/>
      <c r="H884" s="491" t="n"/>
      <c r="I884" s="491" t="n"/>
      <c r="J884" s="491" t="n"/>
      <c r="K884" s="491" t="n"/>
      <c r="L884" s="491" t="n"/>
      <c r="M884" s="491" t="n"/>
      <c r="N884" s="491" t="n"/>
      <c r="O884" s="491" t="n"/>
      <c r="P884" s="491" t="n"/>
      <c r="Q884" s="491" t="n"/>
      <c r="R884" s="491" t="n"/>
      <c r="S884" s="491" t="n"/>
      <c r="T884" s="491" t="n"/>
      <c r="U884" s="491" t="n"/>
      <c r="V884" s="491" t="n"/>
      <c r="W884" s="491" t="n"/>
      <c r="X884" s="491" t="n"/>
      <c r="Y884" s="491" t="n"/>
      <c r="Z884" s="491" t="n"/>
    </row>
    <row r="885" ht="12.75" customHeight="1" s="398">
      <c r="A885" s="491" t="n"/>
      <c r="B885" s="491" t="n"/>
      <c r="C885" s="491" t="n"/>
      <c r="D885" s="491" t="n"/>
      <c r="E885" s="491" t="n"/>
      <c r="F885" s="491" t="n"/>
      <c r="G885" s="491" t="n"/>
      <c r="H885" s="491" t="n"/>
      <c r="I885" s="491" t="n"/>
      <c r="J885" s="491" t="n"/>
      <c r="K885" s="491" t="n"/>
      <c r="L885" s="491" t="n"/>
      <c r="M885" s="491" t="n"/>
      <c r="N885" s="491" t="n"/>
      <c r="O885" s="491" t="n"/>
      <c r="P885" s="491" t="n"/>
      <c r="Q885" s="491" t="n"/>
      <c r="R885" s="491" t="n"/>
      <c r="S885" s="491" t="n"/>
      <c r="T885" s="491" t="n"/>
      <c r="U885" s="491" t="n"/>
      <c r="V885" s="491" t="n"/>
      <c r="W885" s="491" t="n"/>
      <c r="X885" s="491" t="n"/>
      <c r="Y885" s="491" t="n"/>
      <c r="Z885" s="491" t="n"/>
    </row>
    <row r="886" ht="12.75" customHeight="1" s="398">
      <c r="A886" s="491" t="n"/>
      <c r="B886" s="491" t="n"/>
      <c r="C886" s="491" t="n"/>
      <c r="D886" s="491" t="n"/>
      <c r="E886" s="491" t="n"/>
      <c r="F886" s="491" t="n"/>
      <c r="G886" s="491" t="n"/>
      <c r="H886" s="491" t="n"/>
      <c r="I886" s="491" t="n"/>
      <c r="J886" s="491" t="n"/>
      <c r="K886" s="491" t="n"/>
      <c r="L886" s="491" t="n"/>
      <c r="M886" s="491" t="n"/>
      <c r="N886" s="491" t="n"/>
      <c r="O886" s="491" t="n"/>
      <c r="P886" s="491" t="n"/>
      <c r="Q886" s="491" t="n"/>
      <c r="R886" s="491" t="n"/>
      <c r="S886" s="491" t="n"/>
      <c r="T886" s="491" t="n"/>
      <c r="U886" s="491" t="n"/>
      <c r="V886" s="491" t="n"/>
      <c r="W886" s="491" t="n"/>
      <c r="X886" s="491" t="n"/>
      <c r="Y886" s="491" t="n"/>
      <c r="Z886" s="491" t="n"/>
    </row>
    <row r="887" ht="12.75" customHeight="1" s="398">
      <c r="A887" s="491" t="n"/>
      <c r="B887" s="491" t="n"/>
      <c r="C887" s="491" t="n"/>
      <c r="D887" s="491" t="n"/>
      <c r="E887" s="491" t="n"/>
      <c r="F887" s="491" t="n"/>
      <c r="G887" s="491" t="n"/>
      <c r="H887" s="491" t="n"/>
      <c r="I887" s="491" t="n"/>
      <c r="J887" s="491" t="n"/>
      <c r="K887" s="491" t="n"/>
      <c r="L887" s="491" t="n"/>
      <c r="M887" s="491" t="n"/>
      <c r="N887" s="491" t="n"/>
      <c r="O887" s="491" t="n"/>
      <c r="P887" s="491" t="n"/>
      <c r="Q887" s="491" t="n"/>
      <c r="R887" s="491" t="n"/>
      <c r="S887" s="491" t="n"/>
      <c r="T887" s="491" t="n"/>
      <c r="U887" s="491" t="n"/>
      <c r="V887" s="491" t="n"/>
      <c r="W887" s="491" t="n"/>
      <c r="X887" s="491" t="n"/>
      <c r="Y887" s="491" t="n"/>
      <c r="Z887" s="491" t="n"/>
    </row>
    <row r="888" ht="12.75" customHeight="1" s="398">
      <c r="A888" s="491" t="n"/>
      <c r="B888" s="491" t="n"/>
      <c r="C888" s="491" t="n"/>
      <c r="D888" s="491" t="n"/>
      <c r="E888" s="491" t="n"/>
      <c r="F888" s="491" t="n"/>
      <c r="G888" s="491" t="n"/>
      <c r="H888" s="491" t="n"/>
      <c r="I888" s="491" t="n"/>
      <c r="J888" s="491" t="n"/>
      <c r="K888" s="491" t="n"/>
      <c r="L888" s="491" t="n"/>
      <c r="M888" s="491" t="n"/>
      <c r="N888" s="491" t="n"/>
      <c r="O888" s="491" t="n"/>
      <c r="P888" s="491" t="n"/>
      <c r="Q888" s="491" t="n"/>
      <c r="R888" s="491" t="n"/>
      <c r="S888" s="491" t="n"/>
      <c r="T888" s="491" t="n"/>
      <c r="U888" s="491" t="n"/>
      <c r="V888" s="491" t="n"/>
      <c r="W888" s="491" t="n"/>
      <c r="X888" s="491" t="n"/>
      <c r="Y888" s="491" t="n"/>
      <c r="Z888" s="491" t="n"/>
    </row>
    <row r="889" ht="12.75" customHeight="1" s="398">
      <c r="A889" s="491" t="n"/>
      <c r="B889" s="491" t="n"/>
      <c r="C889" s="491" t="n"/>
      <c r="D889" s="491" t="n"/>
      <c r="E889" s="491" t="n"/>
      <c r="F889" s="491" t="n"/>
      <c r="G889" s="491" t="n"/>
      <c r="H889" s="491" t="n"/>
      <c r="I889" s="491" t="n"/>
      <c r="J889" s="491" t="n"/>
      <c r="K889" s="491" t="n"/>
      <c r="L889" s="491" t="n"/>
      <c r="M889" s="491" t="n"/>
      <c r="N889" s="491" t="n"/>
      <c r="O889" s="491" t="n"/>
      <c r="P889" s="491" t="n"/>
      <c r="Q889" s="491" t="n"/>
      <c r="R889" s="491" t="n"/>
      <c r="S889" s="491" t="n"/>
      <c r="T889" s="491" t="n"/>
      <c r="U889" s="491" t="n"/>
      <c r="V889" s="491" t="n"/>
      <c r="W889" s="491" t="n"/>
      <c r="X889" s="491" t="n"/>
      <c r="Y889" s="491" t="n"/>
      <c r="Z889" s="491" t="n"/>
    </row>
    <row r="890" ht="12.75" customHeight="1" s="398">
      <c r="A890" s="491" t="n"/>
      <c r="B890" s="491" t="n"/>
      <c r="C890" s="491" t="n"/>
      <c r="D890" s="491" t="n"/>
      <c r="E890" s="491" t="n"/>
      <c r="F890" s="491" t="n"/>
      <c r="G890" s="491" t="n"/>
      <c r="H890" s="491" t="n"/>
      <c r="I890" s="491" t="n"/>
      <c r="J890" s="491" t="n"/>
      <c r="K890" s="491" t="n"/>
      <c r="L890" s="491" t="n"/>
      <c r="M890" s="491" t="n"/>
      <c r="N890" s="491" t="n"/>
      <c r="O890" s="491" t="n"/>
      <c r="P890" s="491" t="n"/>
      <c r="Q890" s="491" t="n"/>
      <c r="R890" s="491" t="n"/>
      <c r="S890" s="491" t="n"/>
      <c r="T890" s="491" t="n"/>
      <c r="U890" s="491" t="n"/>
      <c r="V890" s="491" t="n"/>
      <c r="W890" s="491" t="n"/>
      <c r="X890" s="491" t="n"/>
      <c r="Y890" s="491" t="n"/>
      <c r="Z890" s="491" t="n"/>
    </row>
    <row r="891" ht="12.75" customHeight="1" s="398">
      <c r="A891" s="491" t="n"/>
      <c r="B891" s="491" t="n"/>
      <c r="C891" s="491" t="n"/>
      <c r="D891" s="491" t="n"/>
      <c r="E891" s="491" t="n"/>
      <c r="F891" s="491" t="n"/>
      <c r="G891" s="491" t="n"/>
      <c r="H891" s="491" t="n"/>
      <c r="I891" s="491" t="n"/>
      <c r="J891" s="491" t="n"/>
      <c r="K891" s="491" t="n"/>
      <c r="L891" s="491" t="n"/>
      <c r="M891" s="491" t="n"/>
      <c r="N891" s="491" t="n"/>
      <c r="O891" s="491" t="n"/>
      <c r="P891" s="491" t="n"/>
      <c r="Q891" s="491" t="n"/>
      <c r="R891" s="491" t="n"/>
      <c r="S891" s="491" t="n"/>
      <c r="T891" s="491" t="n"/>
      <c r="U891" s="491" t="n"/>
      <c r="V891" s="491" t="n"/>
      <c r="W891" s="491" t="n"/>
      <c r="X891" s="491" t="n"/>
      <c r="Y891" s="491" t="n"/>
      <c r="Z891" s="491" t="n"/>
    </row>
    <row r="892" ht="12.75" customHeight="1" s="398">
      <c r="A892" s="491" t="n"/>
      <c r="B892" s="491" t="n"/>
      <c r="C892" s="491" t="n"/>
      <c r="D892" s="491" t="n"/>
      <c r="E892" s="491" t="n"/>
      <c r="F892" s="491" t="n"/>
      <c r="G892" s="491" t="n"/>
      <c r="H892" s="491" t="n"/>
      <c r="I892" s="491" t="n"/>
      <c r="J892" s="491" t="n"/>
      <c r="K892" s="491" t="n"/>
      <c r="L892" s="491" t="n"/>
      <c r="M892" s="491" t="n"/>
      <c r="N892" s="491" t="n"/>
      <c r="O892" s="491" t="n"/>
      <c r="P892" s="491" t="n"/>
      <c r="Q892" s="491" t="n"/>
      <c r="R892" s="491" t="n"/>
      <c r="S892" s="491" t="n"/>
      <c r="T892" s="491" t="n"/>
      <c r="U892" s="491" t="n"/>
      <c r="V892" s="491" t="n"/>
      <c r="W892" s="491" t="n"/>
      <c r="X892" s="491" t="n"/>
      <c r="Y892" s="491" t="n"/>
      <c r="Z892" s="491" t="n"/>
    </row>
    <row r="893" ht="12.75" customHeight="1" s="398">
      <c r="A893" s="491" t="n"/>
      <c r="B893" s="491" t="n"/>
      <c r="C893" s="491" t="n"/>
      <c r="D893" s="491" t="n"/>
      <c r="E893" s="491" t="n"/>
      <c r="F893" s="491" t="n"/>
      <c r="G893" s="491" t="n"/>
      <c r="H893" s="491" t="n"/>
      <c r="I893" s="491" t="n"/>
      <c r="J893" s="491" t="n"/>
      <c r="K893" s="491" t="n"/>
      <c r="L893" s="491" t="n"/>
      <c r="M893" s="491" t="n"/>
      <c r="N893" s="491" t="n"/>
      <c r="O893" s="491" t="n"/>
      <c r="P893" s="491" t="n"/>
      <c r="Q893" s="491" t="n"/>
      <c r="R893" s="491" t="n"/>
      <c r="S893" s="491" t="n"/>
      <c r="T893" s="491" t="n"/>
      <c r="U893" s="491" t="n"/>
      <c r="V893" s="491" t="n"/>
      <c r="W893" s="491" t="n"/>
      <c r="X893" s="491" t="n"/>
      <c r="Y893" s="491" t="n"/>
      <c r="Z893" s="491" t="n"/>
    </row>
    <row r="894" ht="12.75" customHeight="1" s="398">
      <c r="A894" s="491" t="n"/>
      <c r="B894" s="491" t="n"/>
      <c r="C894" s="491" t="n"/>
      <c r="D894" s="491" t="n"/>
      <c r="E894" s="491" t="n"/>
      <c r="F894" s="491" t="n"/>
      <c r="G894" s="491" t="n"/>
      <c r="H894" s="491" t="n"/>
      <c r="I894" s="491" t="n"/>
      <c r="J894" s="491" t="n"/>
      <c r="K894" s="491" t="n"/>
      <c r="L894" s="491" t="n"/>
      <c r="M894" s="491" t="n"/>
      <c r="N894" s="491" t="n"/>
      <c r="O894" s="491" t="n"/>
      <c r="P894" s="491" t="n"/>
      <c r="Q894" s="491" t="n"/>
      <c r="R894" s="491" t="n"/>
      <c r="S894" s="491" t="n"/>
      <c r="T894" s="491" t="n"/>
      <c r="U894" s="491" t="n"/>
      <c r="V894" s="491" t="n"/>
      <c r="W894" s="491" t="n"/>
      <c r="X894" s="491" t="n"/>
      <c r="Y894" s="491" t="n"/>
      <c r="Z894" s="491" t="n"/>
    </row>
    <row r="895" ht="12.75" customHeight="1" s="398">
      <c r="A895" s="491" t="n"/>
      <c r="B895" s="491" t="n"/>
      <c r="C895" s="491" t="n"/>
      <c r="D895" s="491" t="n"/>
      <c r="E895" s="491" t="n"/>
      <c r="F895" s="491" t="n"/>
      <c r="G895" s="491" t="n"/>
      <c r="H895" s="491" t="n"/>
      <c r="I895" s="491" t="n"/>
      <c r="J895" s="491" t="n"/>
      <c r="K895" s="491" t="n"/>
      <c r="L895" s="491" t="n"/>
      <c r="M895" s="491" t="n"/>
      <c r="N895" s="491" t="n"/>
      <c r="O895" s="491" t="n"/>
      <c r="P895" s="491" t="n"/>
      <c r="Q895" s="491" t="n"/>
      <c r="R895" s="491" t="n"/>
      <c r="S895" s="491" t="n"/>
      <c r="T895" s="491" t="n"/>
      <c r="U895" s="491" t="n"/>
      <c r="V895" s="491" t="n"/>
      <c r="W895" s="491" t="n"/>
      <c r="X895" s="491" t="n"/>
      <c r="Y895" s="491" t="n"/>
      <c r="Z895" s="491" t="n"/>
    </row>
    <row r="896" ht="12.75" customHeight="1" s="398">
      <c r="A896" s="491" t="n"/>
      <c r="B896" s="491" t="n"/>
      <c r="C896" s="491" t="n"/>
      <c r="D896" s="491" t="n"/>
      <c r="E896" s="491" t="n"/>
      <c r="F896" s="491" t="n"/>
      <c r="G896" s="491" t="n"/>
      <c r="H896" s="491" t="n"/>
      <c r="I896" s="491" t="n"/>
      <c r="J896" s="491" t="n"/>
      <c r="K896" s="491" t="n"/>
      <c r="L896" s="491" t="n"/>
      <c r="M896" s="491" t="n"/>
      <c r="N896" s="491" t="n"/>
      <c r="O896" s="491" t="n"/>
      <c r="P896" s="491" t="n"/>
      <c r="Q896" s="491" t="n"/>
      <c r="R896" s="491" t="n"/>
      <c r="S896" s="491" t="n"/>
      <c r="T896" s="491" t="n"/>
      <c r="U896" s="491" t="n"/>
      <c r="V896" s="491" t="n"/>
      <c r="W896" s="491" t="n"/>
      <c r="X896" s="491" t="n"/>
      <c r="Y896" s="491" t="n"/>
      <c r="Z896" s="491" t="n"/>
    </row>
    <row r="897" ht="12.75" customHeight="1" s="398">
      <c r="A897" s="491" t="n"/>
      <c r="B897" s="491" t="n"/>
      <c r="C897" s="491" t="n"/>
      <c r="D897" s="491" t="n"/>
      <c r="E897" s="491" t="n"/>
      <c r="F897" s="491" t="n"/>
      <c r="G897" s="491" t="n"/>
      <c r="H897" s="491" t="n"/>
      <c r="I897" s="491" t="n"/>
      <c r="J897" s="491" t="n"/>
      <c r="K897" s="491" t="n"/>
      <c r="L897" s="491" t="n"/>
      <c r="M897" s="491" t="n"/>
      <c r="N897" s="491" t="n"/>
      <c r="O897" s="491" t="n"/>
      <c r="P897" s="491" t="n"/>
      <c r="Q897" s="491" t="n"/>
      <c r="R897" s="491" t="n"/>
      <c r="S897" s="491" t="n"/>
      <c r="T897" s="491" t="n"/>
      <c r="U897" s="491" t="n"/>
      <c r="V897" s="491" t="n"/>
      <c r="W897" s="491" t="n"/>
      <c r="X897" s="491" t="n"/>
      <c r="Y897" s="491" t="n"/>
      <c r="Z897" s="491" t="n"/>
    </row>
    <row r="898" ht="12.75" customHeight="1" s="398">
      <c r="A898" s="491" t="n"/>
      <c r="B898" s="491" t="n"/>
      <c r="C898" s="491" t="n"/>
      <c r="D898" s="491" t="n"/>
      <c r="E898" s="491" t="n"/>
      <c r="F898" s="491" t="n"/>
      <c r="G898" s="491" t="n"/>
      <c r="H898" s="491" t="n"/>
      <c r="I898" s="491" t="n"/>
      <c r="J898" s="491" t="n"/>
      <c r="K898" s="491" t="n"/>
      <c r="L898" s="491" t="n"/>
      <c r="M898" s="491" t="n"/>
      <c r="N898" s="491" t="n"/>
      <c r="O898" s="491" t="n"/>
      <c r="P898" s="491" t="n"/>
      <c r="Q898" s="491" t="n"/>
      <c r="R898" s="491" t="n"/>
      <c r="S898" s="491" t="n"/>
      <c r="T898" s="491" t="n"/>
      <c r="U898" s="491" t="n"/>
      <c r="V898" s="491" t="n"/>
      <c r="W898" s="491" t="n"/>
      <c r="X898" s="491" t="n"/>
      <c r="Y898" s="491" t="n"/>
      <c r="Z898" s="491" t="n"/>
    </row>
    <row r="899" ht="12.75" customHeight="1" s="398">
      <c r="A899" s="491" t="n"/>
      <c r="B899" s="491" t="n"/>
      <c r="C899" s="491" t="n"/>
      <c r="D899" s="491" t="n"/>
      <c r="E899" s="491" t="n"/>
      <c r="F899" s="491" t="n"/>
      <c r="G899" s="491" t="n"/>
      <c r="H899" s="491" t="n"/>
      <c r="I899" s="491" t="n"/>
      <c r="J899" s="491" t="n"/>
      <c r="K899" s="491" t="n"/>
      <c r="L899" s="491" t="n"/>
      <c r="M899" s="491" t="n"/>
      <c r="N899" s="491" t="n"/>
      <c r="O899" s="491" t="n"/>
      <c r="P899" s="491" t="n"/>
      <c r="Q899" s="491" t="n"/>
      <c r="R899" s="491" t="n"/>
      <c r="S899" s="491" t="n"/>
      <c r="T899" s="491" t="n"/>
      <c r="U899" s="491" t="n"/>
      <c r="V899" s="491" t="n"/>
      <c r="W899" s="491" t="n"/>
      <c r="X899" s="491" t="n"/>
      <c r="Y899" s="491" t="n"/>
      <c r="Z899" s="491" t="n"/>
    </row>
    <row r="900" ht="12.75" customHeight="1" s="398">
      <c r="A900" s="491" t="n"/>
      <c r="B900" s="491" t="n"/>
      <c r="C900" s="491" t="n"/>
      <c r="D900" s="491" t="n"/>
      <c r="E900" s="491" t="n"/>
      <c r="F900" s="491" t="n"/>
      <c r="G900" s="491" t="n"/>
      <c r="H900" s="491" t="n"/>
      <c r="I900" s="491" t="n"/>
      <c r="J900" s="491" t="n"/>
      <c r="K900" s="491" t="n"/>
      <c r="L900" s="491" t="n"/>
      <c r="M900" s="491" t="n"/>
      <c r="N900" s="491" t="n"/>
      <c r="O900" s="491" t="n"/>
      <c r="P900" s="491" t="n"/>
      <c r="Q900" s="491" t="n"/>
      <c r="R900" s="491" t="n"/>
      <c r="S900" s="491" t="n"/>
      <c r="T900" s="491" t="n"/>
      <c r="U900" s="491" t="n"/>
      <c r="V900" s="491" t="n"/>
      <c r="W900" s="491" t="n"/>
      <c r="X900" s="491" t="n"/>
      <c r="Y900" s="491" t="n"/>
      <c r="Z900" s="491" t="n"/>
    </row>
    <row r="901" ht="12.75" customHeight="1" s="398">
      <c r="A901" s="491" t="n"/>
      <c r="B901" s="491" t="n"/>
      <c r="C901" s="491" t="n"/>
      <c r="D901" s="491" t="n"/>
      <c r="E901" s="491" t="n"/>
      <c r="F901" s="491" t="n"/>
      <c r="G901" s="491" t="n"/>
      <c r="H901" s="491" t="n"/>
      <c r="I901" s="491" t="n"/>
      <c r="J901" s="491" t="n"/>
      <c r="K901" s="491" t="n"/>
      <c r="L901" s="491" t="n"/>
      <c r="M901" s="491" t="n"/>
      <c r="N901" s="491" t="n"/>
      <c r="O901" s="491" t="n"/>
      <c r="P901" s="491" t="n"/>
      <c r="Q901" s="491" t="n"/>
      <c r="R901" s="491" t="n"/>
      <c r="S901" s="491" t="n"/>
      <c r="T901" s="491" t="n"/>
      <c r="U901" s="491" t="n"/>
      <c r="V901" s="491" t="n"/>
      <c r="W901" s="491" t="n"/>
      <c r="X901" s="491" t="n"/>
      <c r="Y901" s="491" t="n"/>
      <c r="Z901" s="491" t="n"/>
    </row>
    <row r="902" ht="12.75" customHeight="1" s="398">
      <c r="A902" s="491" t="n"/>
      <c r="B902" s="491" t="n"/>
      <c r="C902" s="491" t="n"/>
      <c r="D902" s="491" t="n"/>
      <c r="E902" s="491" t="n"/>
      <c r="F902" s="491" t="n"/>
      <c r="G902" s="491" t="n"/>
      <c r="H902" s="491" t="n"/>
      <c r="I902" s="491" t="n"/>
      <c r="J902" s="491" t="n"/>
      <c r="K902" s="491" t="n"/>
      <c r="L902" s="491" t="n"/>
      <c r="M902" s="491" t="n"/>
      <c r="N902" s="491" t="n"/>
      <c r="O902" s="491" t="n"/>
      <c r="P902" s="491" t="n"/>
      <c r="Q902" s="491" t="n"/>
      <c r="R902" s="491" t="n"/>
      <c r="S902" s="491" t="n"/>
      <c r="T902" s="491" t="n"/>
      <c r="U902" s="491" t="n"/>
      <c r="V902" s="491" t="n"/>
      <c r="W902" s="491" t="n"/>
      <c r="X902" s="491" t="n"/>
      <c r="Y902" s="491" t="n"/>
      <c r="Z902" s="491" t="n"/>
    </row>
    <row r="903" ht="12.75" customHeight="1" s="398">
      <c r="A903" s="491" t="n"/>
      <c r="B903" s="491" t="n"/>
      <c r="C903" s="491" t="n"/>
      <c r="D903" s="491" t="n"/>
      <c r="E903" s="491" t="n"/>
      <c r="F903" s="491" t="n"/>
      <c r="G903" s="491" t="n"/>
      <c r="H903" s="491" t="n"/>
      <c r="I903" s="491" t="n"/>
      <c r="J903" s="491" t="n"/>
      <c r="K903" s="491" t="n"/>
      <c r="L903" s="491" t="n"/>
      <c r="M903" s="491" t="n"/>
      <c r="N903" s="491" t="n"/>
      <c r="O903" s="491" t="n"/>
      <c r="P903" s="491" t="n"/>
      <c r="Q903" s="491" t="n"/>
      <c r="R903" s="491" t="n"/>
      <c r="S903" s="491" t="n"/>
      <c r="T903" s="491" t="n"/>
      <c r="U903" s="491" t="n"/>
      <c r="V903" s="491" t="n"/>
      <c r="W903" s="491" t="n"/>
      <c r="X903" s="491" t="n"/>
      <c r="Y903" s="491" t="n"/>
      <c r="Z903" s="491" t="n"/>
    </row>
    <row r="904" ht="12.75" customHeight="1" s="398">
      <c r="A904" s="491" t="n"/>
      <c r="B904" s="491" t="n"/>
      <c r="C904" s="491" t="n"/>
      <c r="D904" s="491" t="n"/>
      <c r="E904" s="491" t="n"/>
      <c r="F904" s="491" t="n"/>
      <c r="G904" s="491" t="n"/>
      <c r="H904" s="491" t="n"/>
      <c r="I904" s="491" t="n"/>
      <c r="J904" s="491" t="n"/>
      <c r="K904" s="491" t="n"/>
      <c r="L904" s="491" t="n"/>
      <c r="M904" s="491" t="n"/>
      <c r="N904" s="491" t="n"/>
      <c r="O904" s="491" t="n"/>
      <c r="P904" s="491" t="n"/>
      <c r="Q904" s="491" t="n"/>
      <c r="R904" s="491" t="n"/>
      <c r="S904" s="491" t="n"/>
      <c r="T904" s="491" t="n"/>
      <c r="U904" s="491" t="n"/>
      <c r="V904" s="491" t="n"/>
      <c r="W904" s="491" t="n"/>
      <c r="X904" s="491" t="n"/>
      <c r="Y904" s="491" t="n"/>
      <c r="Z904" s="491" t="n"/>
    </row>
    <row r="905" ht="12.75" customHeight="1" s="398">
      <c r="A905" s="491" t="n"/>
      <c r="B905" s="491" t="n"/>
      <c r="C905" s="491" t="n"/>
      <c r="D905" s="491" t="n"/>
      <c r="E905" s="491" t="n"/>
      <c r="F905" s="491" t="n"/>
      <c r="G905" s="491" t="n"/>
      <c r="H905" s="491" t="n"/>
      <c r="I905" s="491" t="n"/>
      <c r="J905" s="491" t="n"/>
      <c r="K905" s="491" t="n"/>
      <c r="L905" s="491" t="n"/>
      <c r="M905" s="491" t="n"/>
      <c r="N905" s="491" t="n"/>
      <c r="O905" s="491" t="n"/>
      <c r="P905" s="491" t="n"/>
      <c r="Q905" s="491" t="n"/>
      <c r="R905" s="491" t="n"/>
      <c r="S905" s="491" t="n"/>
      <c r="T905" s="491" t="n"/>
      <c r="U905" s="491" t="n"/>
      <c r="V905" s="491" t="n"/>
      <c r="W905" s="491" t="n"/>
      <c r="X905" s="491" t="n"/>
      <c r="Y905" s="491" t="n"/>
      <c r="Z905" s="491" t="n"/>
    </row>
    <row r="906" ht="12.75" customHeight="1" s="398">
      <c r="A906" s="491" t="n"/>
      <c r="B906" s="491" t="n"/>
      <c r="C906" s="491" t="n"/>
      <c r="D906" s="491" t="n"/>
      <c r="E906" s="491" t="n"/>
      <c r="F906" s="491" t="n"/>
      <c r="G906" s="491" t="n"/>
      <c r="H906" s="491" t="n"/>
      <c r="I906" s="491" t="n"/>
      <c r="J906" s="491" t="n"/>
      <c r="K906" s="491" t="n"/>
      <c r="L906" s="491" t="n"/>
      <c r="M906" s="491" t="n"/>
      <c r="N906" s="491" t="n"/>
      <c r="O906" s="491" t="n"/>
      <c r="P906" s="491" t="n"/>
      <c r="Q906" s="491" t="n"/>
      <c r="R906" s="491" t="n"/>
      <c r="S906" s="491" t="n"/>
      <c r="T906" s="491" t="n"/>
      <c r="U906" s="491" t="n"/>
      <c r="V906" s="491" t="n"/>
      <c r="W906" s="491" t="n"/>
      <c r="X906" s="491" t="n"/>
      <c r="Y906" s="491" t="n"/>
      <c r="Z906" s="491" t="n"/>
    </row>
    <row r="907" ht="12.75" customHeight="1" s="398">
      <c r="A907" s="491" t="n"/>
      <c r="B907" s="491" t="n"/>
      <c r="C907" s="491" t="n"/>
      <c r="D907" s="491" t="n"/>
      <c r="E907" s="491" t="n"/>
      <c r="F907" s="491" t="n"/>
      <c r="G907" s="491" t="n"/>
      <c r="H907" s="491" t="n"/>
      <c r="I907" s="491" t="n"/>
      <c r="J907" s="491" t="n"/>
      <c r="K907" s="491" t="n"/>
      <c r="L907" s="491" t="n"/>
      <c r="M907" s="491" t="n"/>
      <c r="N907" s="491" t="n"/>
      <c r="O907" s="491" t="n"/>
      <c r="P907" s="491" t="n"/>
      <c r="Q907" s="491" t="n"/>
      <c r="R907" s="491" t="n"/>
      <c r="S907" s="491" t="n"/>
      <c r="T907" s="491" t="n"/>
      <c r="U907" s="491" t="n"/>
      <c r="V907" s="491" t="n"/>
      <c r="W907" s="491" t="n"/>
      <c r="X907" s="491" t="n"/>
      <c r="Y907" s="491" t="n"/>
      <c r="Z907" s="491" t="n"/>
    </row>
    <row r="908" ht="12.75" customHeight="1" s="398">
      <c r="A908" s="491" t="n"/>
      <c r="B908" s="491" t="n"/>
      <c r="C908" s="491" t="n"/>
      <c r="D908" s="491" t="n"/>
      <c r="E908" s="491" t="n"/>
      <c r="F908" s="491" t="n"/>
      <c r="G908" s="491" t="n"/>
      <c r="H908" s="491" t="n"/>
      <c r="I908" s="491" t="n"/>
      <c r="J908" s="491" t="n"/>
      <c r="K908" s="491" t="n"/>
      <c r="L908" s="491" t="n"/>
      <c r="M908" s="491" t="n"/>
      <c r="N908" s="491" t="n"/>
      <c r="O908" s="491" t="n"/>
      <c r="P908" s="491" t="n"/>
      <c r="Q908" s="491" t="n"/>
      <c r="R908" s="491" t="n"/>
      <c r="S908" s="491" t="n"/>
      <c r="T908" s="491" t="n"/>
      <c r="U908" s="491" t="n"/>
      <c r="V908" s="491" t="n"/>
      <c r="W908" s="491" t="n"/>
      <c r="X908" s="491" t="n"/>
      <c r="Y908" s="491" t="n"/>
      <c r="Z908" s="491" t="n"/>
    </row>
    <row r="909" ht="12.75" customHeight="1" s="398">
      <c r="A909" s="491" t="n"/>
      <c r="B909" s="491" t="n"/>
      <c r="C909" s="491" t="n"/>
      <c r="D909" s="491" t="n"/>
      <c r="E909" s="491" t="n"/>
      <c r="F909" s="491" t="n"/>
      <c r="G909" s="491" t="n"/>
      <c r="H909" s="491" t="n"/>
      <c r="I909" s="491" t="n"/>
      <c r="J909" s="491" t="n"/>
      <c r="K909" s="491" t="n"/>
      <c r="L909" s="491" t="n"/>
      <c r="M909" s="491" t="n"/>
      <c r="N909" s="491" t="n"/>
      <c r="O909" s="491" t="n"/>
      <c r="P909" s="491" t="n"/>
      <c r="Q909" s="491" t="n"/>
      <c r="R909" s="491" t="n"/>
      <c r="S909" s="491" t="n"/>
      <c r="T909" s="491" t="n"/>
      <c r="U909" s="491" t="n"/>
      <c r="V909" s="491" t="n"/>
      <c r="W909" s="491" t="n"/>
      <c r="X909" s="491" t="n"/>
      <c r="Y909" s="491" t="n"/>
      <c r="Z909" s="491" t="n"/>
    </row>
    <row r="910" ht="12.75" customHeight="1" s="398">
      <c r="A910" s="491" t="n"/>
      <c r="B910" s="491" t="n"/>
      <c r="C910" s="491" t="n"/>
      <c r="D910" s="491" t="n"/>
      <c r="E910" s="491" t="n"/>
      <c r="F910" s="491" t="n"/>
      <c r="G910" s="491" t="n"/>
      <c r="H910" s="491" t="n"/>
      <c r="I910" s="491" t="n"/>
      <c r="J910" s="491" t="n"/>
      <c r="K910" s="491" t="n"/>
      <c r="L910" s="491" t="n"/>
      <c r="M910" s="491" t="n"/>
      <c r="N910" s="491" t="n"/>
      <c r="O910" s="491" t="n"/>
      <c r="P910" s="491" t="n"/>
      <c r="Q910" s="491" t="n"/>
      <c r="R910" s="491" t="n"/>
      <c r="S910" s="491" t="n"/>
      <c r="T910" s="491" t="n"/>
      <c r="U910" s="491" t="n"/>
      <c r="V910" s="491" t="n"/>
      <c r="W910" s="491" t="n"/>
      <c r="X910" s="491" t="n"/>
      <c r="Y910" s="491" t="n"/>
      <c r="Z910" s="491" t="n"/>
    </row>
    <row r="911" ht="12.75" customHeight="1" s="398">
      <c r="A911" s="491" t="n"/>
      <c r="B911" s="491" t="n"/>
      <c r="C911" s="491" t="n"/>
      <c r="D911" s="491" t="n"/>
      <c r="E911" s="491" t="n"/>
      <c r="F911" s="491" t="n"/>
      <c r="G911" s="491" t="n"/>
      <c r="H911" s="491" t="n"/>
      <c r="I911" s="491" t="n"/>
      <c r="J911" s="491" t="n"/>
      <c r="K911" s="491" t="n"/>
      <c r="L911" s="491" t="n"/>
      <c r="M911" s="491" t="n"/>
      <c r="N911" s="491" t="n"/>
      <c r="O911" s="491" t="n"/>
      <c r="P911" s="491" t="n"/>
      <c r="Q911" s="491" t="n"/>
      <c r="R911" s="491" t="n"/>
      <c r="S911" s="491" t="n"/>
      <c r="T911" s="491" t="n"/>
      <c r="U911" s="491" t="n"/>
      <c r="V911" s="491" t="n"/>
      <c r="W911" s="491" t="n"/>
      <c r="X911" s="491" t="n"/>
      <c r="Y911" s="491" t="n"/>
      <c r="Z911" s="491" t="n"/>
    </row>
    <row r="912" ht="12.75" customHeight="1" s="398">
      <c r="A912" s="491" t="n"/>
      <c r="B912" s="491" t="n"/>
      <c r="C912" s="491" t="n"/>
      <c r="D912" s="491" t="n"/>
      <c r="E912" s="491" t="n"/>
      <c r="F912" s="491" t="n"/>
      <c r="G912" s="491" t="n"/>
      <c r="H912" s="491" t="n"/>
      <c r="I912" s="491" t="n"/>
      <c r="J912" s="491" t="n"/>
      <c r="K912" s="491" t="n"/>
      <c r="L912" s="491" t="n"/>
      <c r="M912" s="491" t="n"/>
      <c r="N912" s="491" t="n"/>
      <c r="O912" s="491" t="n"/>
      <c r="P912" s="491" t="n"/>
      <c r="Q912" s="491" t="n"/>
      <c r="R912" s="491" t="n"/>
      <c r="S912" s="491" t="n"/>
      <c r="T912" s="491" t="n"/>
      <c r="U912" s="491" t="n"/>
      <c r="V912" s="491" t="n"/>
      <c r="W912" s="491" t="n"/>
      <c r="X912" s="491" t="n"/>
      <c r="Y912" s="491" t="n"/>
      <c r="Z912" s="491" t="n"/>
    </row>
    <row r="913" ht="12.75" customHeight="1" s="398">
      <c r="A913" s="491" t="n"/>
      <c r="B913" s="491" t="n"/>
      <c r="C913" s="491" t="n"/>
      <c r="D913" s="491" t="n"/>
      <c r="E913" s="491" t="n"/>
      <c r="F913" s="491" t="n"/>
      <c r="G913" s="491" t="n"/>
      <c r="H913" s="491" t="n"/>
      <c r="I913" s="491" t="n"/>
      <c r="J913" s="491" t="n"/>
      <c r="K913" s="491" t="n"/>
      <c r="L913" s="491" t="n"/>
      <c r="M913" s="491" t="n"/>
      <c r="N913" s="491" t="n"/>
      <c r="O913" s="491" t="n"/>
      <c r="P913" s="491" t="n"/>
      <c r="Q913" s="491" t="n"/>
      <c r="R913" s="491" t="n"/>
      <c r="S913" s="491" t="n"/>
      <c r="T913" s="491" t="n"/>
      <c r="U913" s="491" t="n"/>
      <c r="V913" s="491" t="n"/>
      <c r="W913" s="491" t="n"/>
      <c r="X913" s="491" t="n"/>
      <c r="Y913" s="491" t="n"/>
      <c r="Z913" s="491" t="n"/>
    </row>
    <row r="914" ht="12.75" customHeight="1" s="398">
      <c r="A914" s="491" t="n"/>
      <c r="B914" s="491" t="n"/>
      <c r="C914" s="491" t="n"/>
      <c r="D914" s="491" t="n"/>
      <c r="E914" s="491" t="n"/>
      <c r="F914" s="491" t="n"/>
      <c r="G914" s="491" t="n"/>
      <c r="H914" s="491" t="n"/>
      <c r="I914" s="491" t="n"/>
      <c r="J914" s="491" t="n"/>
      <c r="K914" s="491" t="n"/>
      <c r="L914" s="491" t="n"/>
      <c r="M914" s="491" t="n"/>
      <c r="N914" s="491" t="n"/>
      <c r="O914" s="491" t="n"/>
      <c r="P914" s="491" t="n"/>
      <c r="Q914" s="491" t="n"/>
      <c r="R914" s="491" t="n"/>
      <c r="S914" s="491" t="n"/>
      <c r="T914" s="491" t="n"/>
      <c r="U914" s="491" t="n"/>
      <c r="V914" s="491" t="n"/>
      <c r="W914" s="491" t="n"/>
      <c r="X914" s="491" t="n"/>
      <c r="Y914" s="491" t="n"/>
      <c r="Z914" s="491" t="n"/>
    </row>
    <row r="915" ht="12.75" customHeight="1" s="398">
      <c r="A915" s="491" t="n"/>
      <c r="B915" s="491" t="n"/>
      <c r="C915" s="491" t="n"/>
      <c r="D915" s="491" t="n"/>
      <c r="E915" s="491" t="n"/>
      <c r="F915" s="491" t="n"/>
      <c r="G915" s="491" t="n"/>
      <c r="H915" s="491" t="n"/>
      <c r="I915" s="491" t="n"/>
      <c r="J915" s="491" t="n"/>
      <c r="K915" s="491" t="n"/>
      <c r="L915" s="491" t="n"/>
      <c r="M915" s="491" t="n"/>
      <c r="N915" s="491" t="n"/>
      <c r="O915" s="491" t="n"/>
      <c r="P915" s="491" t="n"/>
      <c r="Q915" s="491" t="n"/>
      <c r="R915" s="491" t="n"/>
      <c r="S915" s="491" t="n"/>
      <c r="T915" s="491" t="n"/>
      <c r="U915" s="491" t="n"/>
      <c r="V915" s="491" t="n"/>
      <c r="W915" s="491" t="n"/>
      <c r="X915" s="491" t="n"/>
      <c r="Y915" s="491" t="n"/>
      <c r="Z915" s="491" t="n"/>
    </row>
    <row r="916" ht="12.75" customHeight="1" s="398">
      <c r="A916" s="491" t="n"/>
      <c r="B916" s="491" t="n"/>
      <c r="C916" s="491" t="n"/>
      <c r="D916" s="491" t="n"/>
      <c r="E916" s="491" t="n"/>
      <c r="F916" s="491" t="n"/>
      <c r="G916" s="491" t="n"/>
      <c r="H916" s="491" t="n"/>
      <c r="I916" s="491" t="n"/>
      <c r="J916" s="491" t="n"/>
      <c r="K916" s="491" t="n"/>
      <c r="L916" s="491" t="n"/>
      <c r="M916" s="491" t="n"/>
      <c r="N916" s="491" t="n"/>
      <c r="O916" s="491" t="n"/>
      <c r="P916" s="491" t="n"/>
      <c r="Q916" s="491" t="n"/>
      <c r="R916" s="491" t="n"/>
      <c r="S916" s="491" t="n"/>
      <c r="T916" s="491" t="n"/>
      <c r="U916" s="491" t="n"/>
      <c r="V916" s="491" t="n"/>
      <c r="W916" s="491" t="n"/>
      <c r="X916" s="491" t="n"/>
      <c r="Y916" s="491" t="n"/>
      <c r="Z916" s="491" t="n"/>
    </row>
    <row r="917" ht="12.75" customHeight="1" s="398">
      <c r="A917" s="491" t="n"/>
      <c r="B917" s="491" t="n"/>
      <c r="C917" s="491" t="n"/>
      <c r="D917" s="491" t="n"/>
      <c r="E917" s="491" t="n"/>
      <c r="F917" s="491" t="n"/>
      <c r="G917" s="491" t="n"/>
      <c r="H917" s="491" t="n"/>
      <c r="I917" s="491" t="n"/>
      <c r="J917" s="491" t="n"/>
      <c r="K917" s="491" t="n"/>
      <c r="L917" s="491" t="n"/>
      <c r="M917" s="491" t="n"/>
      <c r="N917" s="491" t="n"/>
      <c r="O917" s="491" t="n"/>
      <c r="P917" s="491" t="n"/>
      <c r="Q917" s="491" t="n"/>
      <c r="R917" s="491" t="n"/>
      <c r="S917" s="491" t="n"/>
      <c r="T917" s="491" t="n"/>
      <c r="U917" s="491" t="n"/>
      <c r="V917" s="491" t="n"/>
      <c r="W917" s="491" t="n"/>
      <c r="X917" s="491" t="n"/>
      <c r="Y917" s="491" t="n"/>
      <c r="Z917" s="491" t="n"/>
    </row>
    <row r="918" ht="12.75" customHeight="1" s="398">
      <c r="A918" s="491" t="n"/>
      <c r="B918" s="491" t="n"/>
      <c r="C918" s="491" t="n"/>
      <c r="D918" s="491" t="n"/>
      <c r="E918" s="491" t="n"/>
      <c r="F918" s="491" t="n"/>
      <c r="G918" s="491" t="n"/>
      <c r="H918" s="491" t="n"/>
      <c r="I918" s="491" t="n"/>
      <c r="J918" s="491" t="n"/>
      <c r="K918" s="491" t="n"/>
      <c r="L918" s="491" t="n"/>
      <c r="M918" s="491" t="n"/>
      <c r="N918" s="491" t="n"/>
      <c r="O918" s="491" t="n"/>
      <c r="P918" s="491" t="n"/>
      <c r="Q918" s="491" t="n"/>
      <c r="R918" s="491" t="n"/>
      <c r="S918" s="491" t="n"/>
      <c r="T918" s="491" t="n"/>
      <c r="U918" s="491" t="n"/>
      <c r="V918" s="491" t="n"/>
      <c r="W918" s="491" t="n"/>
      <c r="X918" s="491" t="n"/>
      <c r="Y918" s="491" t="n"/>
      <c r="Z918" s="491" t="n"/>
    </row>
    <row r="919" ht="12.75" customHeight="1" s="398">
      <c r="A919" s="491" t="n"/>
      <c r="B919" s="491" t="n"/>
      <c r="C919" s="491" t="n"/>
      <c r="D919" s="491" t="n"/>
      <c r="E919" s="491" t="n"/>
      <c r="F919" s="491" t="n"/>
      <c r="G919" s="491" t="n"/>
      <c r="H919" s="491" t="n"/>
      <c r="I919" s="491" t="n"/>
      <c r="J919" s="491" t="n"/>
      <c r="K919" s="491" t="n"/>
      <c r="L919" s="491" t="n"/>
      <c r="M919" s="491" t="n"/>
      <c r="N919" s="491" t="n"/>
      <c r="O919" s="491" t="n"/>
      <c r="P919" s="491" t="n"/>
      <c r="Q919" s="491" t="n"/>
      <c r="R919" s="491" t="n"/>
      <c r="S919" s="491" t="n"/>
      <c r="T919" s="491" t="n"/>
      <c r="U919" s="491" t="n"/>
      <c r="V919" s="491" t="n"/>
      <c r="W919" s="491" t="n"/>
      <c r="X919" s="491" t="n"/>
      <c r="Y919" s="491" t="n"/>
      <c r="Z919" s="491" t="n"/>
    </row>
    <row r="920" ht="12.75" customHeight="1" s="398">
      <c r="A920" s="491" t="n"/>
      <c r="B920" s="491" t="n"/>
      <c r="C920" s="491" t="n"/>
      <c r="D920" s="491" t="n"/>
      <c r="E920" s="491" t="n"/>
      <c r="F920" s="491" t="n"/>
      <c r="G920" s="491" t="n"/>
      <c r="H920" s="491" t="n"/>
      <c r="I920" s="491" t="n"/>
      <c r="J920" s="491" t="n"/>
      <c r="K920" s="491" t="n"/>
      <c r="L920" s="491" t="n"/>
      <c r="M920" s="491" t="n"/>
      <c r="N920" s="491" t="n"/>
      <c r="O920" s="491" t="n"/>
      <c r="P920" s="491" t="n"/>
      <c r="Q920" s="491" t="n"/>
      <c r="R920" s="491" t="n"/>
      <c r="S920" s="491" t="n"/>
      <c r="T920" s="491" t="n"/>
      <c r="U920" s="491" t="n"/>
      <c r="V920" s="491" t="n"/>
      <c r="W920" s="491" t="n"/>
      <c r="X920" s="491" t="n"/>
      <c r="Y920" s="491" t="n"/>
      <c r="Z920" s="491" t="n"/>
    </row>
    <row r="921" ht="12.75" customHeight="1" s="398">
      <c r="A921" s="491" t="n"/>
      <c r="B921" s="491" t="n"/>
      <c r="C921" s="491" t="n"/>
      <c r="D921" s="491" t="n"/>
      <c r="E921" s="491" t="n"/>
      <c r="F921" s="491" t="n"/>
      <c r="G921" s="491" t="n"/>
      <c r="H921" s="491" t="n"/>
      <c r="I921" s="491" t="n"/>
      <c r="J921" s="491" t="n"/>
      <c r="K921" s="491" t="n"/>
      <c r="L921" s="491" t="n"/>
      <c r="M921" s="491" t="n"/>
      <c r="N921" s="491" t="n"/>
      <c r="O921" s="491" t="n"/>
      <c r="P921" s="491" t="n"/>
      <c r="Q921" s="491" t="n"/>
      <c r="R921" s="491" t="n"/>
      <c r="S921" s="491" t="n"/>
      <c r="T921" s="491" t="n"/>
      <c r="U921" s="491" t="n"/>
      <c r="V921" s="491" t="n"/>
      <c r="W921" s="491" t="n"/>
      <c r="X921" s="491" t="n"/>
      <c r="Y921" s="491" t="n"/>
      <c r="Z921" s="491" t="n"/>
    </row>
    <row r="922" ht="12.75" customHeight="1" s="398">
      <c r="A922" s="491" t="n"/>
      <c r="B922" s="491" t="n"/>
      <c r="C922" s="491" t="n"/>
      <c r="D922" s="491" t="n"/>
      <c r="E922" s="491" t="n"/>
      <c r="F922" s="491" t="n"/>
      <c r="G922" s="491" t="n"/>
      <c r="H922" s="491" t="n"/>
      <c r="I922" s="491" t="n"/>
      <c r="J922" s="491" t="n"/>
      <c r="K922" s="491" t="n"/>
      <c r="L922" s="491" t="n"/>
      <c r="M922" s="491" t="n"/>
      <c r="N922" s="491" t="n"/>
      <c r="O922" s="491" t="n"/>
      <c r="P922" s="491" t="n"/>
      <c r="Q922" s="491" t="n"/>
      <c r="R922" s="491" t="n"/>
      <c r="S922" s="491" t="n"/>
      <c r="T922" s="491" t="n"/>
      <c r="U922" s="491" t="n"/>
      <c r="V922" s="491" t="n"/>
      <c r="W922" s="491" t="n"/>
      <c r="X922" s="491" t="n"/>
      <c r="Y922" s="491" t="n"/>
      <c r="Z922" s="491" t="n"/>
    </row>
    <row r="923" ht="12.75" customHeight="1" s="398">
      <c r="A923" s="491" t="n"/>
      <c r="B923" s="491" t="n"/>
      <c r="C923" s="491" t="n"/>
      <c r="D923" s="491" t="n"/>
      <c r="E923" s="491" t="n"/>
      <c r="F923" s="491" t="n"/>
      <c r="G923" s="491" t="n"/>
      <c r="H923" s="491" t="n"/>
      <c r="I923" s="491" t="n"/>
      <c r="J923" s="491" t="n"/>
      <c r="K923" s="491" t="n"/>
      <c r="L923" s="491" t="n"/>
      <c r="M923" s="491" t="n"/>
      <c r="N923" s="491" t="n"/>
      <c r="O923" s="491" t="n"/>
      <c r="P923" s="491" t="n"/>
      <c r="Q923" s="491" t="n"/>
      <c r="R923" s="491" t="n"/>
      <c r="S923" s="491" t="n"/>
      <c r="T923" s="491" t="n"/>
      <c r="U923" s="491" t="n"/>
      <c r="V923" s="491" t="n"/>
      <c r="W923" s="491" t="n"/>
      <c r="X923" s="491" t="n"/>
      <c r="Y923" s="491" t="n"/>
      <c r="Z923" s="491" t="n"/>
    </row>
    <row r="924" ht="12.75" customHeight="1" s="398">
      <c r="A924" s="491" t="n"/>
      <c r="B924" s="491" t="n"/>
      <c r="C924" s="491" t="n"/>
      <c r="D924" s="491" t="n"/>
      <c r="E924" s="491" t="n"/>
      <c r="F924" s="491" t="n"/>
      <c r="G924" s="491" t="n"/>
      <c r="H924" s="491" t="n"/>
      <c r="I924" s="491" t="n"/>
      <c r="J924" s="491" t="n"/>
      <c r="K924" s="491" t="n"/>
      <c r="L924" s="491" t="n"/>
      <c r="M924" s="491" t="n"/>
      <c r="N924" s="491" t="n"/>
      <c r="O924" s="491" t="n"/>
      <c r="P924" s="491" t="n"/>
      <c r="Q924" s="491" t="n"/>
      <c r="R924" s="491" t="n"/>
      <c r="S924" s="491" t="n"/>
      <c r="T924" s="491" t="n"/>
      <c r="U924" s="491" t="n"/>
      <c r="V924" s="491" t="n"/>
      <c r="W924" s="491" t="n"/>
      <c r="X924" s="491" t="n"/>
      <c r="Y924" s="491" t="n"/>
      <c r="Z924" s="491" t="n"/>
    </row>
    <row r="925" ht="12.75" customHeight="1" s="398">
      <c r="A925" s="491" t="n"/>
      <c r="B925" s="491" t="n"/>
      <c r="C925" s="491" t="n"/>
      <c r="D925" s="491" t="n"/>
      <c r="E925" s="491" t="n"/>
      <c r="F925" s="491" t="n"/>
      <c r="G925" s="491" t="n"/>
      <c r="H925" s="491" t="n"/>
      <c r="I925" s="491" t="n"/>
      <c r="J925" s="491" t="n"/>
      <c r="K925" s="491" t="n"/>
      <c r="L925" s="491" t="n"/>
      <c r="M925" s="491" t="n"/>
      <c r="N925" s="491" t="n"/>
      <c r="O925" s="491" t="n"/>
      <c r="P925" s="491" t="n"/>
      <c r="Q925" s="491" t="n"/>
      <c r="R925" s="491" t="n"/>
      <c r="S925" s="491" t="n"/>
      <c r="T925" s="491" t="n"/>
      <c r="U925" s="491" t="n"/>
      <c r="V925" s="491" t="n"/>
      <c r="W925" s="491" t="n"/>
      <c r="X925" s="491" t="n"/>
      <c r="Y925" s="491" t="n"/>
      <c r="Z925" s="491" t="n"/>
    </row>
    <row r="926" ht="12.75" customHeight="1" s="398">
      <c r="A926" s="491" t="n"/>
      <c r="B926" s="491" t="n"/>
      <c r="C926" s="491" t="n"/>
      <c r="D926" s="491" t="n"/>
      <c r="E926" s="491" t="n"/>
      <c r="F926" s="491" t="n"/>
      <c r="G926" s="491" t="n"/>
      <c r="H926" s="491" t="n"/>
      <c r="I926" s="491" t="n"/>
      <c r="J926" s="491" t="n"/>
      <c r="K926" s="491" t="n"/>
      <c r="L926" s="491" t="n"/>
      <c r="M926" s="491" t="n"/>
      <c r="N926" s="491" t="n"/>
      <c r="O926" s="491" t="n"/>
      <c r="P926" s="491" t="n"/>
      <c r="Q926" s="491" t="n"/>
      <c r="R926" s="491" t="n"/>
      <c r="S926" s="491" t="n"/>
      <c r="T926" s="491" t="n"/>
      <c r="U926" s="491" t="n"/>
      <c r="V926" s="491" t="n"/>
      <c r="W926" s="491" t="n"/>
      <c r="X926" s="491" t="n"/>
      <c r="Y926" s="491" t="n"/>
      <c r="Z926" s="491" t="n"/>
    </row>
    <row r="927" ht="12.75" customHeight="1" s="398">
      <c r="A927" s="491" t="n"/>
      <c r="B927" s="491" t="n"/>
      <c r="C927" s="491" t="n"/>
      <c r="D927" s="491" t="n"/>
      <c r="E927" s="491" t="n"/>
      <c r="F927" s="491" t="n"/>
      <c r="G927" s="491" t="n"/>
      <c r="H927" s="491" t="n"/>
      <c r="I927" s="491" t="n"/>
      <c r="J927" s="491" t="n"/>
      <c r="K927" s="491" t="n"/>
      <c r="L927" s="491" t="n"/>
      <c r="M927" s="491" t="n"/>
      <c r="N927" s="491" t="n"/>
      <c r="O927" s="491" t="n"/>
      <c r="P927" s="491" t="n"/>
      <c r="Q927" s="491" t="n"/>
      <c r="R927" s="491" t="n"/>
      <c r="S927" s="491" t="n"/>
      <c r="T927" s="491" t="n"/>
      <c r="U927" s="491" t="n"/>
      <c r="V927" s="491" t="n"/>
      <c r="W927" s="491" t="n"/>
      <c r="X927" s="491" t="n"/>
      <c r="Y927" s="491" t="n"/>
      <c r="Z927" s="491" t="n"/>
    </row>
    <row r="928" ht="12.75" customHeight="1" s="398">
      <c r="A928" s="491" t="n"/>
      <c r="B928" s="491" t="n"/>
      <c r="C928" s="491" t="n"/>
      <c r="D928" s="491" t="n"/>
      <c r="E928" s="491" t="n"/>
      <c r="F928" s="491" t="n"/>
      <c r="G928" s="491" t="n"/>
      <c r="H928" s="491" t="n"/>
      <c r="I928" s="491" t="n"/>
      <c r="J928" s="491" t="n"/>
      <c r="K928" s="491" t="n"/>
      <c r="L928" s="491" t="n"/>
      <c r="M928" s="491" t="n"/>
      <c r="N928" s="491" t="n"/>
      <c r="O928" s="491" t="n"/>
      <c r="P928" s="491" t="n"/>
      <c r="Q928" s="491" t="n"/>
      <c r="R928" s="491" t="n"/>
      <c r="S928" s="491" t="n"/>
      <c r="T928" s="491" t="n"/>
      <c r="U928" s="491" t="n"/>
      <c r="V928" s="491" t="n"/>
      <c r="W928" s="491" t="n"/>
      <c r="X928" s="491" t="n"/>
      <c r="Y928" s="491" t="n"/>
      <c r="Z928" s="491" t="n"/>
    </row>
    <row r="929" ht="12.75" customHeight="1" s="398">
      <c r="A929" s="491" t="n"/>
      <c r="B929" s="491" t="n"/>
      <c r="C929" s="491" t="n"/>
      <c r="D929" s="491" t="n"/>
      <c r="E929" s="491" t="n"/>
      <c r="F929" s="491" t="n"/>
      <c r="G929" s="491" t="n"/>
      <c r="H929" s="491" t="n"/>
      <c r="I929" s="491" t="n"/>
      <c r="J929" s="491" t="n"/>
      <c r="K929" s="491" t="n"/>
      <c r="L929" s="491" t="n"/>
      <c r="M929" s="491" t="n"/>
      <c r="N929" s="491" t="n"/>
      <c r="O929" s="491" t="n"/>
      <c r="P929" s="491" t="n"/>
      <c r="Q929" s="491" t="n"/>
      <c r="R929" s="491" t="n"/>
      <c r="S929" s="491" t="n"/>
      <c r="T929" s="491" t="n"/>
      <c r="U929" s="491" t="n"/>
      <c r="V929" s="491" t="n"/>
      <c r="W929" s="491" t="n"/>
      <c r="X929" s="491" t="n"/>
      <c r="Y929" s="491" t="n"/>
      <c r="Z929" s="491" t="n"/>
    </row>
    <row r="930" ht="12.75" customHeight="1" s="398">
      <c r="A930" s="491" t="n"/>
      <c r="B930" s="491" t="n"/>
      <c r="C930" s="491" t="n"/>
      <c r="D930" s="491" t="n"/>
      <c r="E930" s="491" t="n"/>
      <c r="F930" s="491" t="n"/>
      <c r="G930" s="491" t="n"/>
      <c r="H930" s="491" t="n"/>
      <c r="I930" s="491" t="n"/>
      <c r="J930" s="491" t="n"/>
      <c r="K930" s="491" t="n"/>
      <c r="L930" s="491" t="n"/>
      <c r="M930" s="491" t="n"/>
      <c r="N930" s="491" t="n"/>
      <c r="O930" s="491" t="n"/>
      <c r="P930" s="491" t="n"/>
      <c r="Q930" s="491" t="n"/>
      <c r="R930" s="491" t="n"/>
      <c r="S930" s="491" t="n"/>
      <c r="T930" s="491" t="n"/>
      <c r="U930" s="491" t="n"/>
      <c r="V930" s="491" t="n"/>
      <c r="W930" s="491" t="n"/>
      <c r="X930" s="491" t="n"/>
      <c r="Y930" s="491" t="n"/>
      <c r="Z930" s="491" t="n"/>
    </row>
    <row r="931" ht="12.75" customHeight="1" s="398">
      <c r="A931" s="491" t="n"/>
      <c r="B931" s="491" t="n"/>
      <c r="C931" s="491" t="n"/>
      <c r="D931" s="491" t="n"/>
      <c r="E931" s="491" t="n"/>
      <c r="F931" s="491" t="n"/>
      <c r="G931" s="491" t="n"/>
      <c r="H931" s="491" t="n"/>
      <c r="I931" s="491" t="n"/>
      <c r="J931" s="491" t="n"/>
      <c r="K931" s="491" t="n"/>
      <c r="L931" s="491" t="n"/>
      <c r="M931" s="491" t="n"/>
      <c r="N931" s="491" t="n"/>
      <c r="O931" s="491" t="n"/>
      <c r="P931" s="491" t="n"/>
      <c r="Q931" s="491" t="n"/>
      <c r="R931" s="491" t="n"/>
      <c r="S931" s="491" t="n"/>
      <c r="T931" s="491" t="n"/>
      <c r="U931" s="491" t="n"/>
      <c r="V931" s="491" t="n"/>
      <c r="W931" s="491" t="n"/>
      <c r="X931" s="491" t="n"/>
      <c r="Y931" s="491" t="n"/>
      <c r="Z931" s="491" t="n"/>
    </row>
    <row r="932" ht="12.75" customHeight="1" s="398">
      <c r="A932" s="491" t="n"/>
      <c r="B932" s="491" t="n"/>
      <c r="C932" s="491" t="n"/>
      <c r="D932" s="491" t="n"/>
      <c r="E932" s="491" t="n"/>
      <c r="F932" s="491" t="n"/>
      <c r="G932" s="491" t="n"/>
      <c r="H932" s="491" t="n"/>
      <c r="I932" s="491" t="n"/>
      <c r="J932" s="491" t="n"/>
      <c r="K932" s="491" t="n"/>
      <c r="L932" s="491" t="n"/>
      <c r="M932" s="491" t="n"/>
      <c r="N932" s="491" t="n"/>
      <c r="O932" s="491" t="n"/>
      <c r="P932" s="491" t="n"/>
      <c r="Q932" s="491" t="n"/>
      <c r="R932" s="491" t="n"/>
      <c r="S932" s="491" t="n"/>
      <c r="T932" s="491" t="n"/>
      <c r="U932" s="491" t="n"/>
      <c r="V932" s="491" t="n"/>
      <c r="W932" s="491" t="n"/>
      <c r="X932" s="491" t="n"/>
      <c r="Y932" s="491" t="n"/>
      <c r="Z932" s="491" t="n"/>
    </row>
    <row r="933" ht="12.75" customHeight="1" s="398">
      <c r="A933" s="491" t="n"/>
      <c r="B933" s="491" t="n"/>
      <c r="C933" s="491" t="n"/>
      <c r="D933" s="491" t="n"/>
      <c r="E933" s="491" t="n"/>
      <c r="F933" s="491" t="n"/>
      <c r="G933" s="491" t="n"/>
      <c r="H933" s="491" t="n"/>
      <c r="I933" s="491" t="n"/>
      <c r="J933" s="491" t="n"/>
      <c r="K933" s="491" t="n"/>
      <c r="L933" s="491" t="n"/>
      <c r="M933" s="491" t="n"/>
      <c r="N933" s="491" t="n"/>
      <c r="O933" s="491" t="n"/>
      <c r="P933" s="491" t="n"/>
      <c r="Q933" s="491" t="n"/>
      <c r="R933" s="491" t="n"/>
      <c r="S933" s="491" t="n"/>
      <c r="T933" s="491" t="n"/>
      <c r="U933" s="491" t="n"/>
      <c r="V933" s="491" t="n"/>
      <c r="W933" s="491" t="n"/>
      <c r="X933" s="491" t="n"/>
      <c r="Y933" s="491" t="n"/>
      <c r="Z933" s="491" t="n"/>
    </row>
    <row r="934" ht="12.75" customHeight="1" s="398">
      <c r="A934" s="491" t="n"/>
      <c r="B934" s="491" t="n"/>
      <c r="C934" s="491" t="n"/>
      <c r="D934" s="491" t="n"/>
      <c r="E934" s="491" t="n"/>
      <c r="F934" s="491" t="n"/>
      <c r="G934" s="491" t="n"/>
      <c r="H934" s="491" t="n"/>
      <c r="I934" s="491" t="n"/>
      <c r="J934" s="491" t="n"/>
      <c r="K934" s="491" t="n"/>
      <c r="L934" s="491" t="n"/>
      <c r="M934" s="491" t="n"/>
      <c r="N934" s="491" t="n"/>
      <c r="O934" s="491" t="n"/>
      <c r="P934" s="491" t="n"/>
      <c r="Q934" s="491" t="n"/>
      <c r="R934" s="491" t="n"/>
      <c r="S934" s="491" t="n"/>
      <c r="T934" s="491" t="n"/>
      <c r="U934" s="491" t="n"/>
      <c r="V934" s="491" t="n"/>
      <c r="W934" s="491" t="n"/>
      <c r="X934" s="491" t="n"/>
      <c r="Y934" s="491" t="n"/>
      <c r="Z934" s="491" t="n"/>
    </row>
    <row r="935" ht="12.75" customHeight="1" s="398">
      <c r="A935" s="491" t="n"/>
      <c r="B935" s="491" t="n"/>
      <c r="C935" s="491" t="n"/>
      <c r="D935" s="491" t="n"/>
      <c r="E935" s="491" t="n"/>
      <c r="F935" s="491" t="n"/>
      <c r="G935" s="491" t="n"/>
      <c r="H935" s="491" t="n"/>
      <c r="I935" s="491" t="n"/>
      <c r="J935" s="491" t="n"/>
      <c r="K935" s="491" t="n"/>
      <c r="L935" s="491" t="n"/>
      <c r="M935" s="491" t="n"/>
      <c r="N935" s="491" t="n"/>
      <c r="O935" s="491" t="n"/>
      <c r="P935" s="491" t="n"/>
      <c r="Q935" s="491" t="n"/>
      <c r="R935" s="491" t="n"/>
      <c r="S935" s="491" t="n"/>
      <c r="T935" s="491" t="n"/>
      <c r="U935" s="491" t="n"/>
      <c r="V935" s="491" t="n"/>
      <c r="W935" s="491" t="n"/>
      <c r="X935" s="491" t="n"/>
      <c r="Y935" s="491" t="n"/>
      <c r="Z935" s="491" t="n"/>
    </row>
    <row r="936" ht="12.75" customHeight="1" s="398">
      <c r="A936" s="491" t="n"/>
      <c r="B936" s="491" t="n"/>
      <c r="C936" s="491" t="n"/>
      <c r="D936" s="491" t="n"/>
      <c r="E936" s="491" t="n"/>
      <c r="F936" s="491" t="n"/>
      <c r="G936" s="491" t="n"/>
      <c r="H936" s="491" t="n"/>
      <c r="I936" s="491" t="n"/>
      <c r="J936" s="491" t="n"/>
      <c r="K936" s="491" t="n"/>
      <c r="L936" s="491" t="n"/>
      <c r="M936" s="491" t="n"/>
      <c r="N936" s="491" t="n"/>
      <c r="O936" s="491" t="n"/>
      <c r="P936" s="491" t="n"/>
      <c r="Q936" s="491" t="n"/>
      <c r="R936" s="491" t="n"/>
      <c r="S936" s="491" t="n"/>
      <c r="T936" s="491" t="n"/>
      <c r="U936" s="491" t="n"/>
      <c r="V936" s="491" t="n"/>
      <c r="W936" s="491" t="n"/>
      <c r="X936" s="491" t="n"/>
      <c r="Y936" s="491" t="n"/>
      <c r="Z936" s="491" t="n"/>
    </row>
    <row r="937" ht="12.75" customHeight="1" s="398">
      <c r="A937" s="491" t="n"/>
      <c r="B937" s="491" t="n"/>
      <c r="C937" s="491" t="n"/>
      <c r="D937" s="491" t="n"/>
      <c r="E937" s="491" t="n"/>
      <c r="F937" s="491" t="n"/>
      <c r="G937" s="491" t="n"/>
      <c r="H937" s="491" t="n"/>
      <c r="I937" s="491" t="n"/>
      <c r="J937" s="491" t="n"/>
      <c r="K937" s="491" t="n"/>
      <c r="L937" s="491" t="n"/>
      <c r="M937" s="491" t="n"/>
      <c r="N937" s="491" t="n"/>
      <c r="O937" s="491" t="n"/>
      <c r="P937" s="491" t="n"/>
      <c r="Q937" s="491" t="n"/>
      <c r="R937" s="491" t="n"/>
      <c r="S937" s="491" t="n"/>
      <c r="T937" s="491" t="n"/>
      <c r="U937" s="491" t="n"/>
      <c r="V937" s="491" t="n"/>
      <c r="W937" s="491" t="n"/>
      <c r="X937" s="491" t="n"/>
      <c r="Y937" s="491" t="n"/>
      <c r="Z937" s="491" t="n"/>
    </row>
    <row r="938" ht="12.75" customHeight="1" s="398">
      <c r="A938" s="491" t="n"/>
      <c r="B938" s="491" t="n"/>
      <c r="C938" s="491" t="n"/>
      <c r="D938" s="491" t="n"/>
      <c r="E938" s="491" t="n"/>
      <c r="F938" s="491" t="n"/>
      <c r="G938" s="491" t="n"/>
      <c r="H938" s="491" t="n"/>
      <c r="I938" s="491" t="n"/>
      <c r="J938" s="491" t="n"/>
      <c r="K938" s="491" t="n"/>
      <c r="L938" s="491" t="n"/>
      <c r="M938" s="491" t="n"/>
      <c r="N938" s="491" t="n"/>
      <c r="O938" s="491" t="n"/>
      <c r="P938" s="491" t="n"/>
      <c r="Q938" s="491" t="n"/>
      <c r="R938" s="491" t="n"/>
      <c r="S938" s="491" t="n"/>
      <c r="T938" s="491" t="n"/>
      <c r="U938" s="491" t="n"/>
      <c r="V938" s="491" t="n"/>
      <c r="W938" s="491" t="n"/>
      <c r="X938" s="491" t="n"/>
      <c r="Y938" s="491" t="n"/>
      <c r="Z938" s="491" t="n"/>
    </row>
    <row r="939" ht="12.75" customHeight="1" s="398">
      <c r="A939" s="491" t="n"/>
      <c r="B939" s="491" t="n"/>
      <c r="C939" s="491" t="n"/>
      <c r="D939" s="491" t="n"/>
      <c r="E939" s="491" t="n"/>
      <c r="F939" s="491" t="n"/>
      <c r="G939" s="491" t="n"/>
      <c r="H939" s="491" t="n"/>
      <c r="I939" s="491" t="n"/>
      <c r="J939" s="491" t="n"/>
      <c r="K939" s="491" t="n"/>
      <c r="L939" s="491" t="n"/>
      <c r="M939" s="491" t="n"/>
      <c r="N939" s="491" t="n"/>
      <c r="O939" s="491" t="n"/>
      <c r="P939" s="491" t="n"/>
      <c r="Q939" s="491" t="n"/>
      <c r="R939" s="491" t="n"/>
      <c r="S939" s="491" t="n"/>
      <c r="T939" s="491" t="n"/>
      <c r="U939" s="491" t="n"/>
      <c r="V939" s="491" t="n"/>
      <c r="W939" s="491" t="n"/>
      <c r="X939" s="491" t="n"/>
      <c r="Y939" s="491" t="n"/>
      <c r="Z939" s="491" t="n"/>
    </row>
    <row r="940" ht="12.75" customHeight="1" s="398">
      <c r="A940" s="491" t="n"/>
      <c r="B940" s="491" t="n"/>
      <c r="C940" s="491" t="n"/>
      <c r="D940" s="491" t="n"/>
      <c r="E940" s="491" t="n"/>
      <c r="F940" s="491" t="n"/>
      <c r="G940" s="491" t="n"/>
      <c r="H940" s="491" t="n"/>
      <c r="I940" s="491" t="n"/>
      <c r="J940" s="491" t="n"/>
      <c r="K940" s="491" t="n"/>
      <c r="L940" s="491" t="n"/>
      <c r="M940" s="491" t="n"/>
      <c r="N940" s="491" t="n"/>
      <c r="O940" s="491" t="n"/>
      <c r="P940" s="491" t="n"/>
      <c r="Q940" s="491" t="n"/>
      <c r="R940" s="491" t="n"/>
      <c r="S940" s="491" t="n"/>
      <c r="T940" s="491" t="n"/>
      <c r="U940" s="491" t="n"/>
      <c r="V940" s="491" t="n"/>
      <c r="W940" s="491" t="n"/>
      <c r="X940" s="491" t="n"/>
      <c r="Y940" s="491" t="n"/>
      <c r="Z940" s="491" t="n"/>
    </row>
    <row r="941" ht="12.75" customHeight="1" s="398">
      <c r="A941" s="491" t="n"/>
      <c r="B941" s="491" t="n"/>
      <c r="C941" s="491" t="n"/>
      <c r="D941" s="491" t="n"/>
      <c r="E941" s="491" t="n"/>
      <c r="F941" s="491" t="n"/>
      <c r="G941" s="491" t="n"/>
      <c r="H941" s="491" t="n"/>
      <c r="I941" s="491" t="n"/>
      <c r="J941" s="491" t="n"/>
      <c r="K941" s="491" t="n"/>
      <c r="L941" s="491" t="n"/>
      <c r="M941" s="491" t="n"/>
      <c r="N941" s="491" t="n"/>
      <c r="O941" s="491" t="n"/>
      <c r="P941" s="491" t="n"/>
      <c r="Q941" s="491" t="n"/>
      <c r="R941" s="491" t="n"/>
      <c r="S941" s="491" t="n"/>
      <c r="T941" s="491" t="n"/>
      <c r="U941" s="491" t="n"/>
      <c r="V941" s="491" t="n"/>
      <c r="W941" s="491" t="n"/>
      <c r="X941" s="491" t="n"/>
      <c r="Y941" s="491" t="n"/>
      <c r="Z941" s="491" t="n"/>
    </row>
    <row r="942" ht="12.75" customHeight="1" s="398">
      <c r="A942" s="491" t="n"/>
      <c r="B942" s="491" t="n"/>
      <c r="C942" s="491" t="n"/>
      <c r="D942" s="491" t="n"/>
      <c r="E942" s="491" t="n"/>
      <c r="F942" s="491" t="n"/>
      <c r="G942" s="491" t="n"/>
      <c r="H942" s="491" t="n"/>
      <c r="I942" s="491" t="n"/>
      <c r="J942" s="491" t="n"/>
      <c r="K942" s="491" t="n"/>
      <c r="L942" s="491" t="n"/>
      <c r="M942" s="491" t="n"/>
      <c r="N942" s="491" t="n"/>
      <c r="O942" s="491" t="n"/>
      <c r="P942" s="491" t="n"/>
      <c r="Q942" s="491" t="n"/>
      <c r="R942" s="491" t="n"/>
      <c r="S942" s="491" t="n"/>
      <c r="T942" s="491" t="n"/>
      <c r="U942" s="491" t="n"/>
      <c r="V942" s="491" t="n"/>
      <c r="W942" s="491" t="n"/>
      <c r="X942" s="491" t="n"/>
      <c r="Y942" s="491" t="n"/>
      <c r="Z942" s="491" t="n"/>
    </row>
    <row r="943" ht="12.75" customHeight="1" s="398">
      <c r="A943" s="491" t="n"/>
      <c r="B943" s="491" t="n"/>
      <c r="C943" s="491" t="n"/>
      <c r="D943" s="491" t="n"/>
      <c r="E943" s="491" t="n"/>
      <c r="F943" s="491" t="n"/>
      <c r="G943" s="491" t="n"/>
      <c r="H943" s="491" t="n"/>
      <c r="I943" s="491" t="n"/>
      <c r="J943" s="491" t="n"/>
      <c r="K943" s="491" t="n"/>
      <c r="L943" s="491" t="n"/>
      <c r="M943" s="491" t="n"/>
      <c r="N943" s="491" t="n"/>
      <c r="O943" s="491" t="n"/>
      <c r="P943" s="491" t="n"/>
      <c r="Q943" s="491" t="n"/>
      <c r="R943" s="491" t="n"/>
      <c r="S943" s="491" t="n"/>
      <c r="T943" s="491" t="n"/>
      <c r="U943" s="491" t="n"/>
      <c r="V943" s="491" t="n"/>
      <c r="W943" s="491" t="n"/>
      <c r="X943" s="491" t="n"/>
      <c r="Y943" s="491" t="n"/>
      <c r="Z943" s="491" t="n"/>
    </row>
    <row r="944" ht="12.75" customHeight="1" s="398">
      <c r="A944" s="491" t="n"/>
      <c r="B944" s="491" t="n"/>
      <c r="C944" s="491" t="n"/>
      <c r="D944" s="491" t="n"/>
      <c r="E944" s="491" t="n"/>
      <c r="F944" s="491" t="n"/>
      <c r="G944" s="491" t="n"/>
      <c r="H944" s="491" t="n"/>
      <c r="I944" s="491" t="n"/>
      <c r="J944" s="491" t="n"/>
      <c r="K944" s="491" t="n"/>
      <c r="L944" s="491" t="n"/>
      <c r="M944" s="491" t="n"/>
      <c r="N944" s="491" t="n"/>
      <c r="O944" s="491" t="n"/>
      <c r="P944" s="491" t="n"/>
      <c r="Q944" s="491" t="n"/>
      <c r="R944" s="491" t="n"/>
      <c r="S944" s="491" t="n"/>
      <c r="T944" s="491" t="n"/>
      <c r="U944" s="491" t="n"/>
      <c r="V944" s="491" t="n"/>
      <c r="W944" s="491" t="n"/>
      <c r="X944" s="491" t="n"/>
      <c r="Y944" s="491" t="n"/>
      <c r="Z944" s="491" t="n"/>
    </row>
    <row r="945" ht="12.75" customHeight="1" s="398">
      <c r="A945" s="491" t="n"/>
      <c r="B945" s="491" t="n"/>
      <c r="C945" s="491" t="n"/>
      <c r="D945" s="491" t="n"/>
      <c r="E945" s="491" t="n"/>
      <c r="F945" s="491" t="n"/>
      <c r="G945" s="491" t="n"/>
      <c r="H945" s="491" t="n"/>
      <c r="I945" s="491" t="n"/>
      <c r="J945" s="491" t="n"/>
      <c r="K945" s="491" t="n"/>
      <c r="L945" s="491" t="n"/>
      <c r="M945" s="491" t="n"/>
      <c r="N945" s="491" t="n"/>
      <c r="O945" s="491" t="n"/>
      <c r="P945" s="491" t="n"/>
      <c r="Q945" s="491" t="n"/>
      <c r="R945" s="491" t="n"/>
      <c r="S945" s="491" t="n"/>
      <c r="T945" s="491" t="n"/>
      <c r="U945" s="491" t="n"/>
      <c r="V945" s="491" t="n"/>
      <c r="W945" s="491" t="n"/>
      <c r="X945" s="491" t="n"/>
      <c r="Y945" s="491" t="n"/>
      <c r="Z945" s="491" t="n"/>
    </row>
    <row r="946" ht="12.75" customHeight="1" s="398">
      <c r="A946" s="491" t="n"/>
      <c r="B946" s="491" t="n"/>
      <c r="C946" s="491" t="n"/>
      <c r="D946" s="491" t="n"/>
      <c r="E946" s="491" t="n"/>
      <c r="F946" s="491" t="n"/>
      <c r="G946" s="491" t="n"/>
      <c r="H946" s="491" t="n"/>
      <c r="I946" s="491" t="n"/>
      <c r="J946" s="491" t="n"/>
      <c r="K946" s="491" t="n"/>
      <c r="L946" s="491" t="n"/>
      <c r="M946" s="491" t="n"/>
      <c r="N946" s="491" t="n"/>
      <c r="O946" s="491" t="n"/>
      <c r="P946" s="491" t="n"/>
      <c r="Q946" s="491" t="n"/>
      <c r="R946" s="491" t="n"/>
      <c r="S946" s="491" t="n"/>
      <c r="T946" s="491" t="n"/>
      <c r="U946" s="491" t="n"/>
      <c r="V946" s="491" t="n"/>
      <c r="W946" s="491" t="n"/>
      <c r="X946" s="491" t="n"/>
      <c r="Y946" s="491" t="n"/>
      <c r="Z946" s="491" t="n"/>
    </row>
    <row r="947" ht="12.75" customHeight="1" s="398">
      <c r="A947" s="491" t="n"/>
      <c r="B947" s="491" t="n"/>
      <c r="C947" s="491" t="n"/>
      <c r="D947" s="491" t="n"/>
      <c r="E947" s="491" t="n"/>
      <c r="F947" s="491" t="n"/>
      <c r="G947" s="491" t="n"/>
      <c r="H947" s="491" t="n"/>
      <c r="I947" s="491" t="n"/>
      <c r="J947" s="491" t="n"/>
      <c r="K947" s="491" t="n"/>
      <c r="L947" s="491" t="n"/>
      <c r="M947" s="491" t="n"/>
      <c r="N947" s="491" t="n"/>
      <c r="O947" s="491" t="n"/>
      <c r="P947" s="491" t="n"/>
      <c r="Q947" s="491" t="n"/>
      <c r="R947" s="491" t="n"/>
      <c r="S947" s="491" t="n"/>
      <c r="T947" s="491" t="n"/>
      <c r="U947" s="491" t="n"/>
      <c r="V947" s="491" t="n"/>
      <c r="W947" s="491" t="n"/>
      <c r="X947" s="491" t="n"/>
      <c r="Y947" s="491" t="n"/>
      <c r="Z947" s="491" t="n"/>
    </row>
    <row r="948" ht="12.75" customHeight="1" s="398">
      <c r="A948" s="491" t="n"/>
      <c r="B948" s="491" t="n"/>
      <c r="C948" s="491" t="n"/>
      <c r="D948" s="491" t="n"/>
      <c r="E948" s="491" t="n"/>
      <c r="F948" s="491" t="n"/>
      <c r="G948" s="491" t="n"/>
      <c r="H948" s="491" t="n"/>
      <c r="I948" s="491" t="n"/>
      <c r="J948" s="491" t="n"/>
      <c r="K948" s="491" t="n"/>
      <c r="L948" s="491" t="n"/>
      <c r="M948" s="491" t="n"/>
      <c r="N948" s="491" t="n"/>
      <c r="O948" s="491" t="n"/>
      <c r="P948" s="491" t="n"/>
      <c r="Q948" s="491" t="n"/>
      <c r="R948" s="491" t="n"/>
      <c r="S948" s="491" t="n"/>
      <c r="T948" s="491" t="n"/>
      <c r="U948" s="491" t="n"/>
      <c r="V948" s="491" t="n"/>
      <c r="W948" s="491" t="n"/>
      <c r="X948" s="491" t="n"/>
      <c r="Y948" s="491" t="n"/>
      <c r="Z948" s="491" t="n"/>
    </row>
    <row r="949" ht="12.75" customHeight="1" s="398">
      <c r="A949" s="491" t="n"/>
      <c r="B949" s="491" t="n"/>
      <c r="C949" s="491" t="n"/>
      <c r="D949" s="491" t="n"/>
      <c r="E949" s="491" t="n"/>
      <c r="F949" s="491" t="n"/>
      <c r="G949" s="491" t="n"/>
      <c r="H949" s="491" t="n"/>
      <c r="I949" s="491" t="n"/>
      <c r="J949" s="491" t="n"/>
      <c r="K949" s="491" t="n"/>
      <c r="L949" s="491" t="n"/>
      <c r="M949" s="491" t="n"/>
      <c r="N949" s="491" t="n"/>
      <c r="O949" s="491" t="n"/>
      <c r="P949" s="491" t="n"/>
      <c r="Q949" s="491" t="n"/>
      <c r="R949" s="491" t="n"/>
      <c r="S949" s="491" t="n"/>
      <c r="T949" s="491" t="n"/>
      <c r="U949" s="491" t="n"/>
      <c r="V949" s="491" t="n"/>
      <c r="W949" s="491" t="n"/>
      <c r="X949" s="491" t="n"/>
      <c r="Y949" s="491" t="n"/>
      <c r="Z949" s="491" t="n"/>
    </row>
    <row r="950" ht="12.75" customHeight="1" s="398">
      <c r="A950" s="491" t="n"/>
      <c r="B950" s="491" t="n"/>
      <c r="C950" s="491" t="n"/>
      <c r="D950" s="491" t="n"/>
      <c r="E950" s="491" t="n"/>
      <c r="F950" s="491" t="n"/>
      <c r="G950" s="491" t="n"/>
      <c r="H950" s="491" t="n"/>
      <c r="I950" s="491" t="n"/>
      <c r="J950" s="491" t="n"/>
      <c r="K950" s="491" t="n"/>
      <c r="L950" s="491" t="n"/>
      <c r="M950" s="491" t="n"/>
      <c r="N950" s="491" t="n"/>
      <c r="O950" s="491" t="n"/>
      <c r="P950" s="491" t="n"/>
      <c r="Q950" s="491" t="n"/>
      <c r="R950" s="491" t="n"/>
      <c r="S950" s="491" t="n"/>
      <c r="T950" s="491" t="n"/>
      <c r="U950" s="491" t="n"/>
      <c r="V950" s="491" t="n"/>
      <c r="W950" s="491" t="n"/>
      <c r="X950" s="491" t="n"/>
      <c r="Y950" s="491" t="n"/>
      <c r="Z950" s="491" t="n"/>
    </row>
    <row r="951" ht="12.75" customHeight="1" s="398">
      <c r="A951" s="491" t="n"/>
      <c r="B951" s="491" t="n"/>
      <c r="C951" s="491" t="n"/>
      <c r="D951" s="491" t="n"/>
      <c r="E951" s="491" t="n"/>
      <c r="F951" s="491" t="n"/>
      <c r="G951" s="491" t="n"/>
      <c r="H951" s="491" t="n"/>
      <c r="I951" s="491" t="n"/>
      <c r="J951" s="491" t="n"/>
      <c r="K951" s="491" t="n"/>
      <c r="L951" s="491" t="n"/>
      <c r="M951" s="491" t="n"/>
      <c r="N951" s="491" t="n"/>
      <c r="O951" s="491" t="n"/>
      <c r="P951" s="491" t="n"/>
      <c r="Q951" s="491" t="n"/>
      <c r="R951" s="491" t="n"/>
      <c r="S951" s="491" t="n"/>
      <c r="T951" s="491" t="n"/>
      <c r="U951" s="491" t="n"/>
      <c r="V951" s="491" t="n"/>
      <c r="W951" s="491" t="n"/>
      <c r="X951" s="491" t="n"/>
      <c r="Y951" s="491" t="n"/>
      <c r="Z951" s="491" t="n"/>
    </row>
    <row r="952" ht="12.75" customHeight="1" s="398">
      <c r="A952" s="491" t="n"/>
      <c r="B952" s="491" t="n"/>
      <c r="C952" s="491" t="n"/>
      <c r="D952" s="491" t="n"/>
      <c r="E952" s="491" t="n"/>
      <c r="F952" s="491" t="n"/>
      <c r="G952" s="491" t="n"/>
      <c r="H952" s="491" t="n"/>
      <c r="I952" s="491" t="n"/>
      <c r="J952" s="491" t="n"/>
      <c r="K952" s="491" t="n"/>
      <c r="L952" s="491" t="n"/>
      <c r="M952" s="491" t="n"/>
      <c r="N952" s="491" t="n"/>
      <c r="O952" s="491" t="n"/>
      <c r="P952" s="491" t="n"/>
      <c r="Q952" s="491" t="n"/>
      <c r="R952" s="491" t="n"/>
      <c r="S952" s="491" t="n"/>
      <c r="T952" s="491" t="n"/>
      <c r="U952" s="491" t="n"/>
      <c r="V952" s="491" t="n"/>
      <c r="W952" s="491" t="n"/>
      <c r="X952" s="491" t="n"/>
      <c r="Y952" s="491" t="n"/>
      <c r="Z952" s="491" t="n"/>
    </row>
    <row r="953" ht="12.75" customHeight="1" s="398">
      <c r="A953" s="491" t="n"/>
      <c r="B953" s="491" t="n"/>
      <c r="C953" s="491" t="n"/>
      <c r="D953" s="491" t="n"/>
      <c r="E953" s="491" t="n"/>
      <c r="F953" s="491" t="n"/>
      <c r="G953" s="491" t="n"/>
      <c r="H953" s="491" t="n"/>
      <c r="I953" s="491" t="n"/>
      <c r="J953" s="491" t="n"/>
      <c r="K953" s="491" t="n"/>
      <c r="L953" s="491" t="n"/>
      <c r="M953" s="491" t="n"/>
      <c r="N953" s="491" t="n"/>
      <c r="O953" s="491" t="n"/>
      <c r="P953" s="491" t="n"/>
      <c r="Q953" s="491" t="n"/>
      <c r="R953" s="491" t="n"/>
      <c r="S953" s="491" t="n"/>
      <c r="T953" s="491" t="n"/>
      <c r="U953" s="491" t="n"/>
      <c r="V953" s="491" t="n"/>
      <c r="W953" s="491" t="n"/>
      <c r="X953" s="491" t="n"/>
      <c r="Y953" s="491" t="n"/>
      <c r="Z953" s="491" t="n"/>
    </row>
    <row r="954" ht="12.75" customHeight="1" s="398">
      <c r="A954" s="491" t="n"/>
      <c r="B954" s="491" t="n"/>
      <c r="C954" s="491" t="n"/>
      <c r="D954" s="491" t="n"/>
      <c r="E954" s="491" t="n"/>
      <c r="F954" s="491" t="n"/>
      <c r="G954" s="491" t="n"/>
      <c r="H954" s="491" t="n"/>
      <c r="I954" s="491" t="n"/>
      <c r="J954" s="491" t="n"/>
      <c r="K954" s="491" t="n"/>
      <c r="L954" s="491" t="n"/>
      <c r="M954" s="491" t="n"/>
      <c r="N954" s="491" t="n"/>
      <c r="O954" s="491" t="n"/>
      <c r="P954" s="491" t="n"/>
      <c r="Q954" s="491" t="n"/>
      <c r="R954" s="491" t="n"/>
      <c r="S954" s="491" t="n"/>
      <c r="T954" s="491" t="n"/>
      <c r="U954" s="491" t="n"/>
      <c r="V954" s="491" t="n"/>
      <c r="W954" s="491" t="n"/>
      <c r="X954" s="491" t="n"/>
      <c r="Y954" s="491" t="n"/>
      <c r="Z954" s="491" t="n"/>
    </row>
    <row r="955" ht="12.75" customHeight="1" s="398">
      <c r="A955" s="491" t="n"/>
      <c r="B955" s="491" t="n"/>
      <c r="C955" s="491" t="n"/>
      <c r="D955" s="491" t="n"/>
      <c r="E955" s="491" t="n"/>
      <c r="F955" s="491" t="n"/>
      <c r="G955" s="491" t="n"/>
      <c r="H955" s="491" t="n"/>
      <c r="I955" s="491" t="n"/>
      <c r="J955" s="491" t="n"/>
      <c r="K955" s="491" t="n"/>
      <c r="L955" s="491" t="n"/>
      <c r="M955" s="491" t="n"/>
      <c r="N955" s="491" t="n"/>
      <c r="O955" s="491" t="n"/>
      <c r="P955" s="491" t="n"/>
      <c r="Q955" s="491" t="n"/>
      <c r="R955" s="491" t="n"/>
      <c r="S955" s="491" t="n"/>
      <c r="T955" s="491" t="n"/>
      <c r="U955" s="491" t="n"/>
      <c r="V955" s="491" t="n"/>
      <c r="W955" s="491" t="n"/>
      <c r="X955" s="491" t="n"/>
      <c r="Y955" s="491" t="n"/>
      <c r="Z955" s="491" t="n"/>
    </row>
    <row r="956" ht="12.75" customHeight="1" s="398">
      <c r="A956" s="491" t="n"/>
      <c r="B956" s="491" t="n"/>
      <c r="C956" s="491" t="n"/>
      <c r="D956" s="491" t="n"/>
      <c r="E956" s="491" t="n"/>
      <c r="F956" s="491" t="n"/>
      <c r="G956" s="491" t="n"/>
      <c r="H956" s="491" t="n"/>
      <c r="I956" s="491" t="n"/>
      <c r="J956" s="491" t="n"/>
      <c r="K956" s="491" t="n"/>
      <c r="L956" s="491" t="n"/>
      <c r="M956" s="491" t="n"/>
      <c r="N956" s="491" t="n"/>
      <c r="O956" s="491" t="n"/>
      <c r="P956" s="491" t="n"/>
      <c r="Q956" s="491" t="n"/>
      <c r="R956" s="491" t="n"/>
      <c r="S956" s="491" t="n"/>
      <c r="T956" s="491" t="n"/>
      <c r="U956" s="491" t="n"/>
      <c r="V956" s="491" t="n"/>
      <c r="W956" s="491" t="n"/>
      <c r="X956" s="491" t="n"/>
      <c r="Y956" s="491" t="n"/>
      <c r="Z956" s="491" t="n"/>
    </row>
    <row r="957" ht="12.75" customHeight="1" s="398">
      <c r="A957" s="491" t="n"/>
      <c r="B957" s="491" t="n"/>
      <c r="C957" s="491" t="n"/>
      <c r="D957" s="491" t="n"/>
      <c r="E957" s="491" t="n"/>
      <c r="F957" s="491" t="n"/>
      <c r="G957" s="491" t="n"/>
      <c r="H957" s="491" t="n"/>
      <c r="I957" s="491" t="n"/>
      <c r="J957" s="491" t="n"/>
      <c r="K957" s="491" t="n"/>
      <c r="L957" s="491" t="n"/>
      <c r="M957" s="491" t="n"/>
      <c r="N957" s="491" t="n"/>
      <c r="O957" s="491" t="n"/>
      <c r="P957" s="491" t="n"/>
      <c r="Q957" s="491" t="n"/>
      <c r="R957" s="491" t="n"/>
      <c r="S957" s="491" t="n"/>
      <c r="T957" s="491" t="n"/>
      <c r="U957" s="491" t="n"/>
      <c r="V957" s="491" t="n"/>
      <c r="W957" s="491" t="n"/>
      <c r="X957" s="491" t="n"/>
      <c r="Y957" s="491" t="n"/>
      <c r="Z957" s="491" t="n"/>
    </row>
    <row r="958" ht="12.75" customHeight="1" s="398">
      <c r="A958" s="491" t="n"/>
      <c r="B958" s="491" t="n"/>
      <c r="C958" s="491" t="n"/>
      <c r="D958" s="491" t="n"/>
      <c r="E958" s="491" t="n"/>
      <c r="F958" s="491" t="n"/>
      <c r="G958" s="491" t="n"/>
      <c r="H958" s="491" t="n"/>
      <c r="I958" s="491" t="n"/>
      <c r="J958" s="491" t="n"/>
      <c r="K958" s="491" t="n"/>
      <c r="L958" s="491" t="n"/>
      <c r="M958" s="491" t="n"/>
      <c r="N958" s="491" t="n"/>
      <c r="O958" s="491" t="n"/>
      <c r="P958" s="491" t="n"/>
      <c r="Q958" s="491" t="n"/>
      <c r="R958" s="491" t="n"/>
      <c r="S958" s="491" t="n"/>
      <c r="T958" s="491" t="n"/>
      <c r="U958" s="491" t="n"/>
      <c r="V958" s="491" t="n"/>
      <c r="W958" s="491" t="n"/>
      <c r="X958" s="491" t="n"/>
      <c r="Y958" s="491" t="n"/>
      <c r="Z958" s="491" t="n"/>
    </row>
    <row r="959" ht="12.75" customHeight="1" s="398">
      <c r="A959" s="491" t="n"/>
      <c r="B959" s="491" t="n"/>
      <c r="C959" s="491" t="n"/>
      <c r="D959" s="491" t="n"/>
      <c r="E959" s="491" t="n"/>
      <c r="F959" s="491" t="n"/>
      <c r="G959" s="491" t="n"/>
      <c r="H959" s="491" t="n"/>
      <c r="I959" s="491" t="n"/>
      <c r="J959" s="491" t="n"/>
      <c r="K959" s="491" t="n"/>
      <c r="L959" s="491" t="n"/>
      <c r="M959" s="491" t="n"/>
      <c r="N959" s="491" t="n"/>
      <c r="O959" s="491" t="n"/>
      <c r="P959" s="491" t="n"/>
      <c r="Q959" s="491" t="n"/>
      <c r="R959" s="491" t="n"/>
      <c r="S959" s="491" t="n"/>
      <c r="T959" s="491" t="n"/>
      <c r="U959" s="491" t="n"/>
      <c r="V959" s="491" t="n"/>
      <c r="W959" s="491" t="n"/>
      <c r="X959" s="491" t="n"/>
      <c r="Y959" s="491" t="n"/>
      <c r="Z959" s="491" t="n"/>
    </row>
    <row r="960" ht="12.75" customHeight="1" s="398">
      <c r="A960" s="491" t="n"/>
      <c r="B960" s="491" t="n"/>
      <c r="C960" s="491" t="n"/>
      <c r="D960" s="491" t="n"/>
      <c r="E960" s="491" t="n"/>
      <c r="F960" s="491" t="n"/>
      <c r="G960" s="491" t="n"/>
      <c r="H960" s="491" t="n"/>
      <c r="I960" s="491" t="n"/>
      <c r="J960" s="491" t="n"/>
      <c r="K960" s="491" t="n"/>
      <c r="L960" s="491" t="n"/>
      <c r="M960" s="491" t="n"/>
      <c r="N960" s="491" t="n"/>
      <c r="O960" s="491" t="n"/>
      <c r="P960" s="491" t="n"/>
      <c r="Q960" s="491" t="n"/>
      <c r="R960" s="491" t="n"/>
      <c r="S960" s="491" t="n"/>
      <c r="T960" s="491" t="n"/>
      <c r="U960" s="491" t="n"/>
      <c r="V960" s="491" t="n"/>
      <c r="W960" s="491" t="n"/>
      <c r="X960" s="491" t="n"/>
      <c r="Y960" s="491" t="n"/>
      <c r="Z960" s="491" t="n"/>
    </row>
    <row r="961" ht="12.75" customHeight="1" s="398">
      <c r="A961" s="491" t="n"/>
      <c r="B961" s="491" t="n"/>
      <c r="C961" s="491" t="n"/>
      <c r="D961" s="491" t="n"/>
      <c r="E961" s="491" t="n"/>
      <c r="F961" s="491" t="n"/>
      <c r="G961" s="491" t="n"/>
      <c r="H961" s="491" t="n"/>
      <c r="I961" s="491" t="n"/>
      <c r="J961" s="491" t="n"/>
      <c r="K961" s="491" t="n"/>
      <c r="L961" s="491" t="n"/>
      <c r="M961" s="491" t="n"/>
      <c r="N961" s="491" t="n"/>
      <c r="O961" s="491" t="n"/>
      <c r="P961" s="491" t="n"/>
      <c r="Q961" s="491" t="n"/>
      <c r="R961" s="491" t="n"/>
      <c r="S961" s="491" t="n"/>
      <c r="T961" s="491" t="n"/>
      <c r="U961" s="491" t="n"/>
      <c r="V961" s="491" t="n"/>
      <c r="W961" s="491" t="n"/>
      <c r="X961" s="491" t="n"/>
      <c r="Y961" s="491" t="n"/>
      <c r="Z961" s="491" t="n"/>
    </row>
    <row r="962" ht="12.75" customHeight="1" s="398">
      <c r="A962" s="491" t="n"/>
      <c r="B962" s="491" t="n"/>
      <c r="C962" s="491" t="n"/>
      <c r="D962" s="491" t="n"/>
      <c r="E962" s="491" t="n"/>
      <c r="F962" s="491" t="n"/>
      <c r="G962" s="491" t="n"/>
      <c r="H962" s="491" t="n"/>
      <c r="I962" s="491" t="n"/>
      <c r="J962" s="491" t="n"/>
      <c r="K962" s="491" t="n"/>
      <c r="L962" s="491" t="n"/>
      <c r="M962" s="491" t="n"/>
      <c r="N962" s="491" t="n"/>
      <c r="O962" s="491" t="n"/>
      <c r="P962" s="491" t="n"/>
      <c r="Q962" s="491" t="n"/>
      <c r="R962" s="491" t="n"/>
      <c r="S962" s="491" t="n"/>
      <c r="T962" s="491" t="n"/>
      <c r="U962" s="491" t="n"/>
      <c r="V962" s="491" t="n"/>
      <c r="W962" s="491" t="n"/>
      <c r="X962" s="491" t="n"/>
      <c r="Y962" s="491" t="n"/>
      <c r="Z962" s="491" t="n"/>
    </row>
    <row r="963" ht="12.75" customHeight="1" s="398">
      <c r="A963" s="491" t="n"/>
      <c r="B963" s="491" t="n"/>
      <c r="C963" s="491" t="n"/>
      <c r="D963" s="491" t="n"/>
      <c r="E963" s="491" t="n"/>
      <c r="F963" s="491" t="n"/>
      <c r="G963" s="491" t="n"/>
      <c r="H963" s="491" t="n"/>
      <c r="I963" s="491" t="n"/>
      <c r="J963" s="491" t="n"/>
      <c r="K963" s="491" t="n"/>
      <c r="L963" s="491" t="n"/>
      <c r="M963" s="491" t="n"/>
      <c r="N963" s="491" t="n"/>
      <c r="O963" s="491" t="n"/>
      <c r="P963" s="491" t="n"/>
      <c r="Q963" s="491" t="n"/>
      <c r="R963" s="491" t="n"/>
      <c r="S963" s="491" t="n"/>
      <c r="T963" s="491" t="n"/>
      <c r="U963" s="491" t="n"/>
      <c r="V963" s="491" t="n"/>
      <c r="W963" s="491" t="n"/>
      <c r="X963" s="491" t="n"/>
      <c r="Y963" s="491" t="n"/>
      <c r="Z963" s="491" t="n"/>
    </row>
    <row r="964" ht="12.75" customHeight="1" s="398">
      <c r="A964" s="491" t="n"/>
      <c r="B964" s="491" t="n"/>
      <c r="C964" s="491" t="n"/>
      <c r="D964" s="491" t="n"/>
      <c r="E964" s="491" t="n"/>
      <c r="F964" s="491" t="n"/>
      <c r="G964" s="491" t="n"/>
      <c r="H964" s="491" t="n"/>
      <c r="I964" s="491" t="n"/>
      <c r="J964" s="491" t="n"/>
      <c r="K964" s="491" t="n"/>
      <c r="L964" s="491" t="n"/>
      <c r="M964" s="491" t="n"/>
      <c r="N964" s="491" t="n"/>
      <c r="O964" s="491" t="n"/>
      <c r="P964" s="491" t="n"/>
      <c r="Q964" s="491" t="n"/>
      <c r="R964" s="491" t="n"/>
      <c r="S964" s="491" t="n"/>
      <c r="T964" s="491" t="n"/>
      <c r="U964" s="491" t="n"/>
      <c r="V964" s="491" t="n"/>
      <c r="W964" s="491" t="n"/>
      <c r="X964" s="491" t="n"/>
      <c r="Y964" s="491" t="n"/>
      <c r="Z964" s="491" t="n"/>
    </row>
    <row r="965" ht="12.75" customHeight="1" s="398">
      <c r="A965" s="491" t="n"/>
      <c r="B965" s="491" t="n"/>
      <c r="C965" s="491" t="n"/>
      <c r="D965" s="491" t="n"/>
      <c r="E965" s="491" t="n"/>
      <c r="F965" s="491" t="n"/>
      <c r="G965" s="491" t="n"/>
      <c r="H965" s="491" t="n"/>
      <c r="I965" s="491" t="n"/>
      <c r="J965" s="491" t="n"/>
      <c r="K965" s="491" t="n"/>
      <c r="L965" s="491" t="n"/>
      <c r="M965" s="491" t="n"/>
      <c r="N965" s="491" t="n"/>
      <c r="O965" s="491" t="n"/>
      <c r="P965" s="491" t="n"/>
      <c r="Q965" s="491" t="n"/>
      <c r="R965" s="491" t="n"/>
      <c r="S965" s="491" t="n"/>
      <c r="T965" s="491" t="n"/>
      <c r="U965" s="491" t="n"/>
      <c r="V965" s="491" t="n"/>
      <c r="W965" s="491" t="n"/>
      <c r="X965" s="491" t="n"/>
      <c r="Y965" s="491" t="n"/>
      <c r="Z965" s="491" t="n"/>
    </row>
    <row r="966" ht="12.75" customHeight="1" s="398">
      <c r="A966" s="491" t="n"/>
      <c r="B966" s="491" t="n"/>
      <c r="C966" s="491" t="n"/>
      <c r="D966" s="491" t="n"/>
      <c r="E966" s="491" t="n"/>
      <c r="F966" s="491" t="n"/>
      <c r="G966" s="491" t="n"/>
      <c r="H966" s="491" t="n"/>
      <c r="I966" s="491" t="n"/>
      <c r="J966" s="491" t="n"/>
      <c r="K966" s="491" t="n"/>
      <c r="L966" s="491" t="n"/>
      <c r="M966" s="491" t="n"/>
      <c r="N966" s="491" t="n"/>
      <c r="O966" s="491" t="n"/>
      <c r="P966" s="491" t="n"/>
      <c r="Q966" s="491" t="n"/>
      <c r="R966" s="491" t="n"/>
      <c r="S966" s="491" t="n"/>
      <c r="T966" s="491" t="n"/>
      <c r="U966" s="491" t="n"/>
      <c r="V966" s="491" t="n"/>
      <c r="W966" s="491" t="n"/>
      <c r="X966" s="491" t="n"/>
      <c r="Y966" s="491" t="n"/>
      <c r="Z966" s="491" t="n"/>
    </row>
    <row r="967" ht="12.75" customHeight="1" s="398">
      <c r="A967" s="491" t="n"/>
      <c r="B967" s="491" t="n"/>
      <c r="C967" s="491" t="n"/>
      <c r="D967" s="491" t="n"/>
      <c r="E967" s="491" t="n"/>
      <c r="F967" s="491" t="n"/>
      <c r="G967" s="491" t="n"/>
      <c r="H967" s="491" t="n"/>
      <c r="I967" s="491" t="n"/>
      <c r="J967" s="491" t="n"/>
      <c r="K967" s="491" t="n"/>
      <c r="L967" s="491" t="n"/>
      <c r="M967" s="491" t="n"/>
      <c r="N967" s="491" t="n"/>
      <c r="O967" s="491" t="n"/>
      <c r="P967" s="491" t="n"/>
      <c r="Q967" s="491" t="n"/>
      <c r="R967" s="491" t="n"/>
      <c r="S967" s="491" t="n"/>
      <c r="T967" s="491" t="n"/>
      <c r="U967" s="491" t="n"/>
      <c r="V967" s="491" t="n"/>
      <c r="W967" s="491" t="n"/>
      <c r="X967" s="491" t="n"/>
      <c r="Y967" s="491" t="n"/>
      <c r="Z967" s="491" t="n"/>
    </row>
    <row r="968" ht="12.75" customHeight="1" s="398">
      <c r="A968" s="491" t="n"/>
      <c r="B968" s="491" t="n"/>
      <c r="C968" s="491" t="n"/>
      <c r="D968" s="491" t="n"/>
      <c r="E968" s="491" t="n"/>
      <c r="F968" s="491" t="n"/>
      <c r="G968" s="491" t="n"/>
      <c r="H968" s="491" t="n"/>
      <c r="I968" s="491" t="n"/>
      <c r="J968" s="491" t="n"/>
      <c r="K968" s="491" t="n"/>
      <c r="L968" s="491" t="n"/>
      <c r="M968" s="491" t="n"/>
      <c r="N968" s="491" t="n"/>
      <c r="O968" s="491" t="n"/>
      <c r="P968" s="491" t="n"/>
      <c r="Q968" s="491" t="n"/>
      <c r="R968" s="491" t="n"/>
      <c r="S968" s="491" t="n"/>
      <c r="T968" s="491" t="n"/>
      <c r="U968" s="491" t="n"/>
      <c r="V968" s="491" t="n"/>
      <c r="W968" s="491" t="n"/>
      <c r="X968" s="491" t="n"/>
      <c r="Y968" s="491" t="n"/>
      <c r="Z968" s="491" t="n"/>
    </row>
    <row r="969" ht="12.75" customHeight="1" s="398">
      <c r="A969" s="491" t="n"/>
      <c r="B969" s="491" t="n"/>
      <c r="C969" s="491" t="n"/>
      <c r="D969" s="491" t="n"/>
      <c r="E969" s="491" t="n"/>
      <c r="F969" s="491" t="n"/>
      <c r="G969" s="491" t="n"/>
      <c r="H969" s="491" t="n"/>
      <c r="I969" s="491" t="n"/>
      <c r="J969" s="491" t="n"/>
      <c r="K969" s="491" t="n"/>
      <c r="L969" s="491" t="n"/>
      <c r="M969" s="491" t="n"/>
      <c r="N969" s="491" t="n"/>
      <c r="O969" s="491" t="n"/>
      <c r="P969" s="491" t="n"/>
      <c r="Q969" s="491" t="n"/>
      <c r="R969" s="491" t="n"/>
      <c r="S969" s="491" t="n"/>
      <c r="T969" s="491" t="n"/>
      <c r="U969" s="491" t="n"/>
      <c r="V969" s="491" t="n"/>
      <c r="W969" s="491" t="n"/>
      <c r="X969" s="491" t="n"/>
      <c r="Y969" s="491" t="n"/>
      <c r="Z969" s="491" t="n"/>
    </row>
    <row r="970" ht="12.75" customHeight="1" s="398">
      <c r="A970" s="491" t="n"/>
      <c r="B970" s="491" t="n"/>
      <c r="C970" s="491" t="n"/>
      <c r="D970" s="491" t="n"/>
      <c r="E970" s="491" t="n"/>
      <c r="F970" s="491" t="n"/>
      <c r="G970" s="491" t="n"/>
      <c r="H970" s="491" t="n"/>
      <c r="I970" s="491" t="n"/>
      <c r="J970" s="491" t="n"/>
      <c r="K970" s="491" t="n"/>
      <c r="L970" s="491" t="n"/>
      <c r="M970" s="491" t="n"/>
      <c r="N970" s="491" t="n"/>
      <c r="O970" s="491" t="n"/>
      <c r="P970" s="491" t="n"/>
      <c r="Q970" s="491" t="n"/>
      <c r="R970" s="491" t="n"/>
      <c r="S970" s="491" t="n"/>
      <c r="T970" s="491" t="n"/>
      <c r="U970" s="491" t="n"/>
      <c r="V970" s="491" t="n"/>
      <c r="W970" s="491" t="n"/>
      <c r="X970" s="491" t="n"/>
      <c r="Y970" s="491" t="n"/>
      <c r="Z970" s="491" t="n"/>
    </row>
    <row r="971" ht="12.75" customHeight="1" s="398">
      <c r="A971" s="491" t="n"/>
      <c r="B971" s="491" t="n"/>
      <c r="C971" s="491" t="n"/>
      <c r="D971" s="491" t="n"/>
      <c r="E971" s="491" t="n"/>
      <c r="F971" s="491" t="n"/>
      <c r="G971" s="491" t="n"/>
      <c r="H971" s="491" t="n"/>
      <c r="I971" s="491" t="n"/>
      <c r="J971" s="491" t="n"/>
      <c r="K971" s="491" t="n"/>
      <c r="L971" s="491" t="n"/>
      <c r="M971" s="491" t="n"/>
      <c r="N971" s="491" t="n"/>
      <c r="O971" s="491" t="n"/>
      <c r="P971" s="491" t="n"/>
      <c r="Q971" s="491" t="n"/>
      <c r="R971" s="491" t="n"/>
      <c r="S971" s="491" t="n"/>
      <c r="T971" s="491" t="n"/>
      <c r="U971" s="491" t="n"/>
      <c r="V971" s="491" t="n"/>
      <c r="W971" s="491" t="n"/>
      <c r="X971" s="491" t="n"/>
      <c r="Y971" s="491" t="n"/>
      <c r="Z971" s="491" t="n"/>
    </row>
    <row r="972" ht="12.75" customHeight="1" s="398">
      <c r="A972" s="491" t="n"/>
      <c r="B972" s="491" t="n"/>
      <c r="C972" s="491" t="n"/>
      <c r="D972" s="491" t="n"/>
      <c r="E972" s="491" t="n"/>
      <c r="F972" s="491" t="n"/>
      <c r="G972" s="491" t="n"/>
      <c r="H972" s="491" t="n"/>
      <c r="I972" s="491" t="n"/>
      <c r="J972" s="491" t="n"/>
      <c r="K972" s="491" t="n"/>
      <c r="L972" s="491" t="n"/>
      <c r="M972" s="491" t="n"/>
      <c r="N972" s="491" t="n"/>
      <c r="O972" s="491" t="n"/>
      <c r="P972" s="491" t="n"/>
      <c r="Q972" s="491" t="n"/>
      <c r="R972" s="491" t="n"/>
      <c r="S972" s="491" t="n"/>
      <c r="T972" s="491" t="n"/>
      <c r="U972" s="491" t="n"/>
      <c r="V972" s="491" t="n"/>
      <c r="W972" s="491" t="n"/>
      <c r="X972" s="491" t="n"/>
      <c r="Y972" s="491" t="n"/>
      <c r="Z972" s="491" t="n"/>
    </row>
    <row r="973" ht="12.75" customHeight="1" s="398">
      <c r="A973" s="491" t="n"/>
      <c r="B973" s="491" t="n"/>
      <c r="C973" s="491" t="n"/>
      <c r="D973" s="491" t="n"/>
      <c r="E973" s="491" t="n"/>
      <c r="F973" s="491" t="n"/>
      <c r="G973" s="491" t="n"/>
      <c r="H973" s="491" t="n"/>
      <c r="I973" s="491" t="n"/>
      <c r="J973" s="491" t="n"/>
      <c r="K973" s="491" t="n"/>
      <c r="L973" s="491" t="n"/>
      <c r="M973" s="491" t="n"/>
      <c r="N973" s="491" t="n"/>
      <c r="O973" s="491" t="n"/>
      <c r="P973" s="491" t="n"/>
      <c r="Q973" s="491" t="n"/>
      <c r="R973" s="491" t="n"/>
      <c r="S973" s="491" t="n"/>
      <c r="T973" s="491" t="n"/>
      <c r="U973" s="491" t="n"/>
      <c r="V973" s="491" t="n"/>
      <c r="W973" s="491" t="n"/>
      <c r="X973" s="491" t="n"/>
      <c r="Y973" s="491" t="n"/>
      <c r="Z973" s="491" t="n"/>
    </row>
    <row r="974" ht="12.75" customHeight="1" s="398">
      <c r="A974" s="491" t="n"/>
      <c r="B974" s="491" t="n"/>
      <c r="C974" s="491" t="n"/>
      <c r="D974" s="491" t="n"/>
      <c r="E974" s="491" t="n"/>
      <c r="F974" s="491" t="n"/>
      <c r="G974" s="491" t="n"/>
      <c r="H974" s="491" t="n"/>
      <c r="I974" s="491" t="n"/>
      <c r="J974" s="491" t="n"/>
      <c r="K974" s="491" t="n"/>
      <c r="L974" s="491" t="n"/>
      <c r="M974" s="491" t="n"/>
      <c r="N974" s="491" t="n"/>
      <c r="O974" s="491" t="n"/>
      <c r="P974" s="491" t="n"/>
      <c r="Q974" s="491" t="n"/>
      <c r="R974" s="491" t="n"/>
      <c r="S974" s="491" t="n"/>
      <c r="T974" s="491" t="n"/>
      <c r="U974" s="491" t="n"/>
      <c r="V974" s="491" t="n"/>
      <c r="W974" s="491" t="n"/>
      <c r="X974" s="491" t="n"/>
      <c r="Y974" s="491" t="n"/>
      <c r="Z974" s="491" t="n"/>
    </row>
    <row r="975" ht="12.75" customHeight="1" s="398">
      <c r="A975" s="491" t="n"/>
      <c r="B975" s="491" t="n"/>
      <c r="C975" s="491" t="n"/>
      <c r="D975" s="491" t="n"/>
      <c r="E975" s="491" t="n"/>
      <c r="F975" s="491" t="n"/>
      <c r="G975" s="491" t="n"/>
      <c r="H975" s="491" t="n"/>
      <c r="I975" s="491" t="n"/>
      <c r="J975" s="491" t="n"/>
      <c r="K975" s="491" t="n"/>
      <c r="L975" s="491" t="n"/>
      <c r="M975" s="491" t="n"/>
      <c r="N975" s="491" t="n"/>
      <c r="O975" s="491" t="n"/>
      <c r="P975" s="491" t="n"/>
      <c r="Q975" s="491" t="n"/>
      <c r="R975" s="491" t="n"/>
      <c r="S975" s="491" t="n"/>
      <c r="T975" s="491" t="n"/>
      <c r="U975" s="491" t="n"/>
      <c r="V975" s="491" t="n"/>
      <c r="W975" s="491" t="n"/>
      <c r="X975" s="491" t="n"/>
      <c r="Y975" s="491" t="n"/>
      <c r="Z975" s="491" t="n"/>
    </row>
    <row r="976" ht="12.75" customHeight="1" s="398">
      <c r="A976" s="491" t="n"/>
      <c r="B976" s="491" t="n"/>
      <c r="C976" s="491" t="n"/>
      <c r="D976" s="491" t="n"/>
      <c r="E976" s="491" t="n"/>
      <c r="F976" s="491" t="n"/>
      <c r="G976" s="491" t="n"/>
      <c r="H976" s="491" t="n"/>
      <c r="I976" s="491" t="n"/>
      <c r="J976" s="491" t="n"/>
      <c r="K976" s="491" t="n"/>
      <c r="L976" s="491" t="n"/>
      <c r="M976" s="491" t="n"/>
      <c r="N976" s="491" t="n"/>
      <c r="O976" s="491" t="n"/>
      <c r="P976" s="491" t="n"/>
      <c r="Q976" s="491" t="n"/>
      <c r="R976" s="491" t="n"/>
      <c r="S976" s="491" t="n"/>
      <c r="T976" s="491" t="n"/>
      <c r="U976" s="491" t="n"/>
      <c r="V976" s="491" t="n"/>
      <c r="W976" s="491" t="n"/>
      <c r="X976" s="491" t="n"/>
      <c r="Y976" s="491" t="n"/>
      <c r="Z976" s="491" t="n"/>
    </row>
    <row r="977" ht="12.75" customHeight="1" s="398">
      <c r="A977" s="491" t="n"/>
      <c r="B977" s="491" t="n"/>
      <c r="C977" s="491" t="n"/>
      <c r="D977" s="491" t="n"/>
      <c r="E977" s="491" t="n"/>
      <c r="F977" s="491" t="n"/>
      <c r="G977" s="491" t="n"/>
      <c r="H977" s="491" t="n"/>
      <c r="I977" s="491" t="n"/>
      <c r="J977" s="491" t="n"/>
      <c r="K977" s="491" t="n"/>
      <c r="L977" s="491" t="n"/>
      <c r="M977" s="491" t="n"/>
      <c r="N977" s="491" t="n"/>
      <c r="O977" s="491" t="n"/>
      <c r="P977" s="491" t="n"/>
      <c r="Q977" s="491" t="n"/>
      <c r="R977" s="491" t="n"/>
      <c r="S977" s="491" t="n"/>
      <c r="T977" s="491" t="n"/>
      <c r="U977" s="491" t="n"/>
      <c r="V977" s="491" t="n"/>
      <c r="W977" s="491" t="n"/>
      <c r="X977" s="491" t="n"/>
      <c r="Y977" s="491" t="n"/>
      <c r="Z977" s="491" t="n"/>
    </row>
    <row r="978" ht="12.75" customHeight="1" s="398">
      <c r="A978" s="491" t="n"/>
      <c r="B978" s="491" t="n"/>
      <c r="C978" s="491" t="n"/>
      <c r="D978" s="491" t="n"/>
      <c r="E978" s="491" t="n"/>
      <c r="F978" s="491" t="n"/>
      <c r="G978" s="491" t="n"/>
      <c r="H978" s="491" t="n"/>
      <c r="I978" s="491" t="n"/>
      <c r="J978" s="491" t="n"/>
      <c r="K978" s="491" t="n"/>
      <c r="L978" s="491" t="n"/>
      <c r="M978" s="491" t="n"/>
      <c r="N978" s="491" t="n"/>
      <c r="O978" s="491" t="n"/>
      <c r="P978" s="491" t="n"/>
      <c r="Q978" s="491" t="n"/>
      <c r="R978" s="491" t="n"/>
      <c r="S978" s="491" t="n"/>
      <c r="T978" s="491" t="n"/>
      <c r="U978" s="491" t="n"/>
      <c r="V978" s="491" t="n"/>
      <c r="W978" s="491" t="n"/>
      <c r="X978" s="491" t="n"/>
      <c r="Y978" s="491" t="n"/>
      <c r="Z978" s="491" t="n"/>
    </row>
    <row r="979" ht="12.75" customHeight="1" s="398">
      <c r="A979" s="491" t="n"/>
      <c r="B979" s="491" t="n"/>
      <c r="C979" s="491" t="n"/>
      <c r="D979" s="491" t="n"/>
      <c r="E979" s="491" t="n"/>
      <c r="F979" s="491" t="n"/>
      <c r="G979" s="491" t="n"/>
      <c r="H979" s="491" t="n"/>
      <c r="I979" s="491" t="n"/>
      <c r="J979" s="491" t="n"/>
      <c r="K979" s="491" t="n"/>
      <c r="L979" s="491" t="n"/>
      <c r="M979" s="491" t="n"/>
      <c r="N979" s="491" t="n"/>
      <c r="O979" s="491" t="n"/>
      <c r="P979" s="491" t="n"/>
      <c r="Q979" s="491" t="n"/>
      <c r="R979" s="491" t="n"/>
      <c r="S979" s="491" t="n"/>
      <c r="T979" s="491" t="n"/>
      <c r="U979" s="491" t="n"/>
      <c r="V979" s="491" t="n"/>
      <c r="W979" s="491" t="n"/>
      <c r="X979" s="491" t="n"/>
      <c r="Y979" s="491" t="n"/>
      <c r="Z979" s="491" t="n"/>
    </row>
    <row r="980" ht="12.75" customHeight="1" s="398">
      <c r="A980" s="491" t="n"/>
      <c r="B980" s="491" t="n"/>
      <c r="C980" s="491" t="n"/>
      <c r="D980" s="491" t="n"/>
      <c r="E980" s="491" t="n"/>
      <c r="F980" s="491" t="n"/>
      <c r="G980" s="491" t="n"/>
      <c r="H980" s="491" t="n"/>
      <c r="I980" s="491" t="n"/>
      <c r="J980" s="491" t="n"/>
      <c r="K980" s="491" t="n"/>
      <c r="L980" s="491" t="n"/>
      <c r="M980" s="491" t="n"/>
      <c r="N980" s="491" t="n"/>
      <c r="O980" s="491" t="n"/>
      <c r="P980" s="491" t="n"/>
      <c r="Q980" s="491" t="n"/>
      <c r="R980" s="491" t="n"/>
      <c r="S980" s="491" t="n"/>
      <c r="T980" s="491" t="n"/>
      <c r="U980" s="491" t="n"/>
      <c r="V980" s="491" t="n"/>
      <c r="W980" s="491" t="n"/>
      <c r="X980" s="491" t="n"/>
      <c r="Y980" s="491" t="n"/>
      <c r="Z980" s="491" t="n"/>
    </row>
    <row r="981" ht="12.75" customHeight="1" s="398">
      <c r="A981" s="491" t="n"/>
      <c r="B981" s="491" t="n"/>
      <c r="C981" s="491" t="n"/>
      <c r="D981" s="491" t="n"/>
      <c r="E981" s="491" t="n"/>
      <c r="F981" s="491" t="n"/>
      <c r="G981" s="491" t="n"/>
      <c r="H981" s="491" t="n"/>
      <c r="I981" s="491" t="n"/>
      <c r="J981" s="491" t="n"/>
      <c r="K981" s="491" t="n"/>
      <c r="L981" s="491" t="n"/>
      <c r="M981" s="491" t="n"/>
      <c r="N981" s="491" t="n"/>
      <c r="O981" s="491" t="n"/>
      <c r="P981" s="491" t="n"/>
      <c r="Q981" s="491" t="n"/>
      <c r="R981" s="491" t="n"/>
      <c r="S981" s="491" t="n"/>
      <c r="T981" s="491" t="n"/>
      <c r="U981" s="491" t="n"/>
      <c r="V981" s="491" t="n"/>
      <c r="W981" s="491" t="n"/>
      <c r="X981" s="491" t="n"/>
      <c r="Y981" s="491" t="n"/>
      <c r="Z981" s="491" t="n"/>
    </row>
    <row r="982" ht="12.75" customHeight="1" s="398">
      <c r="A982" s="491" t="n"/>
      <c r="B982" s="491" t="n"/>
      <c r="C982" s="491" t="n"/>
      <c r="D982" s="491" t="n"/>
      <c r="E982" s="491" t="n"/>
      <c r="F982" s="491" t="n"/>
      <c r="G982" s="491" t="n"/>
      <c r="H982" s="491" t="n"/>
      <c r="I982" s="491" t="n"/>
      <c r="J982" s="491" t="n"/>
      <c r="K982" s="491" t="n"/>
      <c r="L982" s="491" t="n"/>
      <c r="M982" s="491" t="n"/>
      <c r="N982" s="491" t="n"/>
      <c r="O982" s="491" t="n"/>
      <c r="P982" s="491" t="n"/>
      <c r="Q982" s="491" t="n"/>
      <c r="R982" s="491" t="n"/>
      <c r="S982" s="491" t="n"/>
      <c r="T982" s="491" t="n"/>
      <c r="U982" s="491" t="n"/>
      <c r="V982" s="491" t="n"/>
      <c r="W982" s="491" t="n"/>
      <c r="X982" s="491" t="n"/>
      <c r="Y982" s="491" t="n"/>
      <c r="Z982" s="491" t="n"/>
    </row>
    <row r="983" ht="12.75" customHeight="1" s="398">
      <c r="A983" s="491" t="n"/>
      <c r="B983" s="491" t="n"/>
      <c r="C983" s="491" t="n"/>
      <c r="D983" s="491" t="n"/>
      <c r="E983" s="491" t="n"/>
      <c r="F983" s="491" t="n"/>
      <c r="G983" s="491" t="n"/>
      <c r="H983" s="491" t="n"/>
      <c r="I983" s="491" t="n"/>
      <c r="J983" s="491" t="n"/>
      <c r="K983" s="491" t="n"/>
      <c r="L983" s="491" t="n"/>
      <c r="M983" s="491" t="n"/>
      <c r="N983" s="491" t="n"/>
      <c r="O983" s="491" t="n"/>
      <c r="P983" s="491" t="n"/>
      <c r="Q983" s="491" t="n"/>
      <c r="R983" s="491" t="n"/>
      <c r="S983" s="491" t="n"/>
      <c r="T983" s="491" t="n"/>
      <c r="U983" s="491" t="n"/>
      <c r="V983" s="491" t="n"/>
      <c r="W983" s="491" t="n"/>
      <c r="X983" s="491" t="n"/>
      <c r="Y983" s="491" t="n"/>
      <c r="Z983" s="491" t="n"/>
    </row>
    <row r="984" ht="12.75" customHeight="1" s="398">
      <c r="A984" s="491" t="n"/>
      <c r="B984" s="491" t="n"/>
      <c r="C984" s="491" t="n"/>
      <c r="D984" s="491" t="n"/>
      <c r="E984" s="491" t="n"/>
      <c r="F984" s="491" t="n"/>
      <c r="G984" s="491" t="n"/>
      <c r="H984" s="491" t="n"/>
      <c r="I984" s="491" t="n"/>
      <c r="J984" s="491" t="n"/>
      <c r="K984" s="491" t="n"/>
      <c r="L984" s="491" t="n"/>
      <c r="M984" s="491" t="n"/>
      <c r="N984" s="491" t="n"/>
      <c r="O984" s="491" t="n"/>
      <c r="P984" s="491" t="n"/>
      <c r="Q984" s="491" t="n"/>
      <c r="R984" s="491" t="n"/>
      <c r="S984" s="491" t="n"/>
      <c r="T984" s="491" t="n"/>
      <c r="U984" s="491" t="n"/>
      <c r="V984" s="491" t="n"/>
      <c r="W984" s="491" t="n"/>
      <c r="X984" s="491" t="n"/>
      <c r="Y984" s="491" t="n"/>
      <c r="Z984" s="491" t="n"/>
    </row>
    <row r="985" ht="12.75" customHeight="1" s="398">
      <c r="A985" s="491" t="n"/>
      <c r="B985" s="491" t="n"/>
      <c r="C985" s="491" t="n"/>
      <c r="D985" s="491" t="n"/>
      <c r="E985" s="491" t="n"/>
      <c r="F985" s="491" t="n"/>
      <c r="G985" s="491" t="n"/>
      <c r="H985" s="491" t="n"/>
      <c r="I985" s="491" t="n"/>
      <c r="J985" s="491" t="n"/>
      <c r="K985" s="491" t="n"/>
      <c r="L985" s="491" t="n"/>
      <c r="M985" s="491" t="n"/>
      <c r="N985" s="491" t="n"/>
      <c r="O985" s="491" t="n"/>
      <c r="P985" s="491" t="n"/>
      <c r="Q985" s="491" t="n"/>
      <c r="R985" s="491" t="n"/>
      <c r="S985" s="491" t="n"/>
      <c r="T985" s="491" t="n"/>
      <c r="U985" s="491" t="n"/>
      <c r="V985" s="491" t="n"/>
      <c r="W985" s="491" t="n"/>
      <c r="X985" s="491" t="n"/>
      <c r="Y985" s="491" t="n"/>
      <c r="Z985" s="491" t="n"/>
    </row>
    <row r="986" ht="12.75" customHeight="1" s="398">
      <c r="A986" s="491" t="n"/>
      <c r="B986" s="491" t="n"/>
      <c r="C986" s="491" t="n"/>
      <c r="D986" s="491" t="n"/>
      <c r="E986" s="491" t="n"/>
      <c r="F986" s="491" t="n"/>
      <c r="G986" s="491" t="n"/>
      <c r="H986" s="491" t="n"/>
      <c r="I986" s="491" t="n"/>
      <c r="J986" s="491" t="n"/>
      <c r="K986" s="491" t="n"/>
      <c r="L986" s="491" t="n"/>
      <c r="M986" s="491" t="n"/>
      <c r="N986" s="491" t="n"/>
      <c r="O986" s="491" t="n"/>
      <c r="P986" s="491" t="n"/>
      <c r="Q986" s="491" t="n"/>
      <c r="R986" s="491" t="n"/>
      <c r="S986" s="491" t="n"/>
      <c r="T986" s="491" t="n"/>
      <c r="U986" s="491" t="n"/>
      <c r="V986" s="491" t="n"/>
      <c r="W986" s="491" t="n"/>
      <c r="X986" s="491" t="n"/>
      <c r="Y986" s="491" t="n"/>
      <c r="Z986" s="491" t="n"/>
    </row>
    <row r="987" ht="12.75" customHeight="1" s="398">
      <c r="A987" s="491" t="n"/>
      <c r="B987" s="491" t="n"/>
      <c r="C987" s="491" t="n"/>
      <c r="D987" s="491" t="n"/>
      <c r="E987" s="491" t="n"/>
      <c r="F987" s="491" t="n"/>
      <c r="G987" s="491" t="n"/>
      <c r="H987" s="491" t="n"/>
      <c r="I987" s="491" t="n"/>
      <c r="J987" s="491" t="n"/>
      <c r="K987" s="491" t="n"/>
      <c r="L987" s="491" t="n"/>
      <c r="M987" s="491" t="n"/>
      <c r="N987" s="491" t="n"/>
      <c r="O987" s="491" t="n"/>
      <c r="P987" s="491" t="n"/>
      <c r="Q987" s="491" t="n"/>
      <c r="R987" s="491" t="n"/>
      <c r="S987" s="491" t="n"/>
      <c r="T987" s="491" t="n"/>
      <c r="U987" s="491" t="n"/>
      <c r="V987" s="491" t="n"/>
      <c r="W987" s="491" t="n"/>
      <c r="X987" s="491" t="n"/>
      <c r="Y987" s="491" t="n"/>
      <c r="Z987" s="491" t="n"/>
    </row>
    <row r="988" ht="12.75" customHeight="1" s="398">
      <c r="A988" s="491" t="n"/>
      <c r="B988" s="491" t="n"/>
      <c r="C988" s="491" t="n"/>
      <c r="D988" s="491" t="n"/>
      <c r="E988" s="491" t="n"/>
      <c r="F988" s="491" t="n"/>
      <c r="G988" s="491" t="n"/>
      <c r="H988" s="491" t="n"/>
      <c r="I988" s="491" t="n"/>
      <c r="J988" s="491" t="n"/>
      <c r="K988" s="491" t="n"/>
      <c r="L988" s="491" t="n"/>
      <c r="M988" s="491" t="n"/>
      <c r="N988" s="491" t="n"/>
      <c r="O988" s="491" t="n"/>
      <c r="P988" s="491" t="n"/>
      <c r="Q988" s="491" t="n"/>
      <c r="R988" s="491" t="n"/>
      <c r="S988" s="491" t="n"/>
      <c r="T988" s="491" t="n"/>
      <c r="U988" s="491" t="n"/>
      <c r="V988" s="491" t="n"/>
      <c r="W988" s="491" t="n"/>
      <c r="X988" s="491" t="n"/>
      <c r="Y988" s="491" t="n"/>
      <c r="Z988" s="491" t="n"/>
    </row>
    <row r="989" ht="12.75" customHeight="1" s="398">
      <c r="A989" s="491" t="n"/>
      <c r="B989" s="491" t="n"/>
      <c r="C989" s="491" t="n"/>
      <c r="D989" s="491" t="n"/>
      <c r="E989" s="491" t="n"/>
      <c r="F989" s="491" t="n"/>
      <c r="G989" s="491" t="n"/>
      <c r="H989" s="491" t="n"/>
      <c r="I989" s="491" t="n"/>
      <c r="J989" s="491" t="n"/>
      <c r="K989" s="491" t="n"/>
      <c r="L989" s="491" t="n"/>
      <c r="M989" s="491" t="n"/>
      <c r="N989" s="491" t="n"/>
      <c r="O989" s="491" t="n"/>
      <c r="P989" s="491" t="n"/>
      <c r="Q989" s="491" t="n"/>
      <c r="R989" s="491" t="n"/>
      <c r="S989" s="491" t="n"/>
      <c r="T989" s="491" t="n"/>
      <c r="U989" s="491" t="n"/>
      <c r="V989" s="491" t="n"/>
      <c r="W989" s="491" t="n"/>
      <c r="X989" s="491" t="n"/>
      <c r="Y989" s="491" t="n"/>
      <c r="Z989" s="491" t="n"/>
    </row>
    <row r="990" ht="12.75" customHeight="1" s="398">
      <c r="A990" s="491" t="n"/>
      <c r="B990" s="491" t="n"/>
      <c r="C990" s="491" t="n"/>
      <c r="D990" s="491" t="n"/>
      <c r="E990" s="491" t="n"/>
      <c r="F990" s="491" t="n"/>
      <c r="G990" s="491" t="n"/>
      <c r="H990" s="491" t="n"/>
      <c r="I990" s="491" t="n"/>
      <c r="J990" s="491" t="n"/>
      <c r="K990" s="491" t="n"/>
      <c r="L990" s="491" t="n"/>
      <c r="M990" s="491" t="n"/>
      <c r="N990" s="491" t="n"/>
      <c r="O990" s="491" t="n"/>
      <c r="P990" s="491" t="n"/>
      <c r="Q990" s="491" t="n"/>
      <c r="R990" s="491" t="n"/>
      <c r="S990" s="491" t="n"/>
      <c r="T990" s="491" t="n"/>
      <c r="U990" s="491" t="n"/>
      <c r="V990" s="491" t="n"/>
      <c r="W990" s="491" t="n"/>
      <c r="X990" s="491" t="n"/>
      <c r="Y990" s="491" t="n"/>
      <c r="Z990" s="491" t="n"/>
    </row>
    <row r="991" ht="12.75" customHeight="1" s="398">
      <c r="A991" s="491" t="n"/>
      <c r="B991" s="491" t="n"/>
      <c r="C991" s="491" t="n"/>
      <c r="D991" s="491" t="n"/>
      <c r="E991" s="491" t="n"/>
      <c r="F991" s="491" t="n"/>
      <c r="G991" s="491" t="n"/>
      <c r="H991" s="491" t="n"/>
      <c r="I991" s="491" t="n"/>
      <c r="J991" s="491" t="n"/>
      <c r="K991" s="491" t="n"/>
      <c r="L991" s="491" t="n"/>
      <c r="M991" s="491" t="n"/>
      <c r="N991" s="491" t="n"/>
      <c r="O991" s="491" t="n"/>
      <c r="P991" s="491" t="n"/>
      <c r="Q991" s="491" t="n"/>
      <c r="R991" s="491" t="n"/>
      <c r="S991" s="491" t="n"/>
      <c r="T991" s="491" t="n"/>
      <c r="U991" s="491" t="n"/>
      <c r="V991" s="491" t="n"/>
      <c r="W991" s="491" t="n"/>
      <c r="X991" s="491" t="n"/>
      <c r="Y991" s="491" t="n"/>
      <c r="Z991" s="491" t="n"/>
    </row>
    <row r="992" ht="12.75" customHeight="1" s="398">
      <c r="A992" s="491" t="n"/>
      <c r="B992" s="491" t="n"/>
      <c r="C992" s="491" t="n"/>
      <c r="D992" s="491" t="n"/>
      <c r="E992" s="491" t="n"/>
      <c r="F992" s="491" t="n"/>
      <c r="G992" s="491" t="n"/>
      <c r="H992" s="491" t="n"/>
      <c r="I992" s="491" t="n"/>
      <c r="J992" s="491" t="n"/>
      <c r="K992" s="491" t="n"/>
      <c r="L992" s="491" t="n"/>
      <c r="M992" s="491" t="n"/>
      <c r="N992" s="491" t="n"/>
      <c r="O992" s="491" t="n"/>
      <c r="P992" s="491" t="n"/>
      <c r="Q992" s="491" t="n"/>
      <c r="R992" s="491" t="n"/>
      <c r="S992" s="491" t="n"/>
      <c r="T992" s="491" t="n"/>
      <c r="U992" s="491" t="n"/>
      <c r="V992" s="491" t="n"/>
      <c r="W992" s="491" t="n"/>
      <c r="X992" s="491" t="n"/>
      <c r="Y992" s="491" t="n"/>
      <c r="Z992" s="491" t="n"/>
    </row>
    <row r="993" ht="12.75" customHeight="1" s="398">
      <c r="A993" s="491" t="n"/>
      <c r="B993" s="491" t="n"/>
      <c r="C993" s="491" t="n"/>
      <c r="D993" s="491" t="n"/>
      <c r="E993" s="491" t="n"/>
      <c r="F993" s="491" t="n"/>
      <c r="G993" s="491" t="n"/>
      <c r="H993" s="491" t="n"/>
      <c r="I993" s="491" t="n"/>
      <c r="J993" s="491" t="n"/>
      <c r="K993" s="491" t="n"/>
      <c r="L993" s="491" t="n"/>
      <c r="M993" s="491" t="n"/>
      <c r="N993" s="491" t="n"/>
      <c r="O993" s="491" t="n"/>
      <c r="P993" s="491" t="n"/>
      <c r="Q993" s="491" t="n"/>
      <c r="R993" s="491" t="n"/>
      <c r="S993" s="491" t="n"/>
      <c r="T993" s="491" t="n"/>
      <c r="U993" s="491" t="n"/>
      <c r="V993" s="491" t="n"/>
      <c r="W993" s="491" t="n"/>
      <c r="X993" s="491" t="n"/>
      <c r="Y993" s="491" t="n"/>
      <c r="Z993" s="491" t="n"/>
    </row>
    <row r="994" ht="12.75" customHeight="1" s="398">
      <c r="A994" s="491" t="n"/>
      <c r="B994" s="491" t="n"/>
      <c r="C994" s="491" t="n"/>
      <c r="D994" s="491" t="n"/>
      <c r="E994" s="491" t="n"/>
      <c r="F994" s="491" t="n"/>
      <c r="G994" s="491" t="n"/>
      <c r="H994" s="491" t="n"/>
      <c r="I994" s="491" t="n"/>
      <c r="J994" s="491" t="n"/>
      <c r="K994" s="491" t="n"/>
      <c r="L994" s="491" t="n"/>
      <c r="M994" s="491" t="n"/>
      <c r="N994" s="491" t="n"/>
      <c r="O994" s="491" t="n"/>
      <c r="P994" s="491" t="n"/>
      <c r="Q994" s="491" t="n"/>
      <c r="R994" s="491" t="n"/>
      <c r="S994" s="491" t="n"/>
      <c r="T994" s="491" t="n"/>
      <c r="U994" s="491" t="n"/>
      <c r="V994" s="491" t="n"/>
      <c r="W994" s="491" t="n"/>
      <c r="X994" s="491" t="n"/>
      <c r="Y994" s="491" t="n"/>
      <c r="Z994" s="491" t="n"/>
    </row>
    <row r="995" ht="12.75" customHeight="1" s="398">
      <c r="A995" s="491" t="n"/>
      <c r="B995" s="491" t="n"/>
      <c r="C995" s="491" t="n"/>
      <c r="D995" s="491" t="n"/>
      <c r="E995" s="491" t="n"/>
      <c r="F995" s="491" t="n"/>
      <c r="G995" s="491" t="n"/>
      <c r="H995" s="491" t="n"/>
      <c r="I995" s="491" t="n"/>
      <c r="J995" s="491" t="n"/>
      <c r="K995" s="491" t="n"/>
      <c r="L995" s="491" t="n"/>
      <c r="M995" s="491" t="n"/>
      <c r="N995" s="491" t="n"/>
      <c r="O995" s="491" t="n"/>
      <c r="P995" s="491" t="n"/>
      <c r="Q995" s="491" t="n"/>
      <c r="R995" s="491" t="n"/>
      <c r="S995" s="491" t="n"/>
      <c r="T995" s="491" t="n"/>
      <c r="U995" s="491" t="n"/>
      <c r="V995" s="491" t="n"/>
      <c r="W995" s="491" t="n"/>
      <c r="X995" s="491" t="n"/>
      <c r="Y995" s="491" t="n"/>
      <c r="Z995" s="491" t="n"/>
    </row>
    <row r="996" ht="12.75" customHeight="1" s="398">
      <c r="A996" s="491" t="n"/>
      <c r="B996" s="491" t="n"/>
      <c r="C996" s="491" t="n"/>
      <c r="D996" s="491" t="n"/>
      <c r="E996" s="491" t="n"/>
      <c r="F996" s="491" t="n"/>
      <c r="G996" s="491" t="n"/>
      <c r="H996" s="491" t="n"/>
      <c r="I996" s="491" t="n"/>
      <c r="J996" s="491" t="n"/>
      <c r="K996" s="491" t="n"/>
      <c r="L996" s="491" t="n"/>
      <c r="M996" s="491" t="n"/>
      <c r="N996" s="491" t="n"/>
      <c r="O996" s="491" t="n"/>
      <c r="P996" s="491" t="n"/>
      <c r="Q996" s="491" t="n"/>
      <c r="R996" s="491" t="n"/>
      <c r="S996" s="491" t="n"/>
      <c r="T996" s="491" t="n"/>
      <c r="U996" s="491" t="n"/>
      <c r="V996" s="491" t="n"/>
      <c r="W996" s="491" t="n"/>
      <c r="X996" s="491" t="n"/>
      <c r="Y996" s="491" t="n"/>
      <c r="Z996" s="491" t="n"/>
    </row>
    <row r="997" ht="12.75" customHeight="1" s="398">
      <c r="A997" s="491" t="n"/>
      <c r="B997" s="491" t="n"/>
      <c r="C997" s="491" t="n"/>
      <c r="D997" s="491" t="n"/>
      <c r="E997" s="491" t="n"/>
      <c r="F997" s="491" t="n"/>
      <c r="G997" s="491" t="n"/>
      <c r="H997" s="491" t="n"/>
      <c r="I997" s="491" t="n"/>
      <c r="J997" s="491" t="n"/>
      <c r="K997" s="491" t="n"/>
      <c r="L997" s="491" t="n"/>
      <c r="M997" s="491" t="n"/>
      <c r="N997" s="491" t="n"/>
      <c r="O997" s="491" t="n"/>
      <c r="P997" s="491" t="n"/>
      <c r="Q997" s="491" t="n"/>
      <c r="R997" s="491" t="n"/>
      <c r="S997" s="491" t="n"/>
      <c r="T997" s="491" t="n"/>
      <c r="U997" s="491" t="n"/>
      <c r="V997" s="491" t="n"/>
      <c r="W997" s="491" t="n"/>
      <c r="X997" s="491" t="n"/>
      <c r="Y997" s="491" t="n"/>
      <c r="Z997" s="491" t="n"/>
    </row>
    <row r="998" ht="12.75" customHeight="1" s="398">
      <c r="A998" s="491" t="n"/>
      <c r="B998" s="491" t="n"/>
      <c r="C998" s="491" t="n"/>
      <c r="D998" s="491" t="n"/>
      <c r="E998" s="491" t="n"/>
      <c r="F998" s="491" t="n"/>
      <c r="G998" s="491" t="n"/>
      <c r="H998" s="491" t="n"/>
      <c r="I998" s="491" t="n"/>
      <c r="J998" s="491" t="n"/>
      <c r="K998" s="491" t="n"/>
      <c r="L998" s="491" t="n"/>
      <c r="M998" s="491" t="n"/>
      <c r="N998" s="491" t="n"/>
      <c r="O998" s="491" t="n"/>
      <c r="P998" s="491" t="n"/>
      <c r="Q998" s="491" t="n"/>
      <c r="R998" s="491" t="n"/>
      <c r="S998" s="491" t="n"/>
      <c r="T998" s="491" t="n"/>
      <c r="U998" s="491" t="n"/>
      <c r="V998" s="491" t="n"/>
      <c r="W998" s="491" t="n"/>
      <c r="X998" s="491" t="n"/>
      <c r="Y998" s="491" t="n"/>
      <c r="Z998" s="491" t="n"/>
    </row>
    <row r="999" ht="12.75" customHeight="1" s="398">
      <c r="A999" s="491" t="n"/>
      <c r="B999" s="491" t="n"/>
      <c r="C999" s="491" t="n"/>
      <c r="D999" s="491" t="n"/>
      <c r="E999" s="491" t="n"/>
      <c r="F999" s="491" t="n"/>
      <c r="G999" s="491" t="n"/>
      <c r="H999" s="491" t="n"/>
      <c r="I999" s="491" t="n"/>
      <c r="J999" s="491" t="n"/>
      <c r="K999" s="491" t="n"/>
      <c r="L999" s="491" t="n"/>
      <c r="M999" s="491" t="n"/>
      <c r="N999" s="491" t="n"/>
      <c r="O999" s="491" t="n"/>
      <c r="P999" s="491" t="n"/>
      <c r="Q999" s="491" t="n"/>
      <c r="R999" s="491" t="n"/>
      <c r="S999" s="491" t="n"/>
      <c r="T999" s="491" t="n"/>
      <c r="U999" s="491" t="n"/>
      <c r="V999" s="491" t="n"/>
      <c r="W999" s="491" t="n"/>
      <c r="X999" s="491" t="n"/>
      <c r="Y999" s="491" t="n"/>
      <c r="Z999" s="491" t="n"/>
    </row>
    <row r="1000" ht="12.75" customHeight="1" s="398">
      <c r="A1000" s="491" t="n"/>
      <c r="B1000" s="491" t="n"/>
      <c r="C1000" s="491" t="n"/>
      <c r="D1000" s="491" t="n"/>
      <c r="E1000" s="491" t="n"/>
      <c r="F1000" s="491" t="n"/>
      <c r="G1000" s="491" t="n"/>
      <c r="H1000" s="491" t="n"/>
      <c r="I1000" s="491" t="n"/>
      <c r="J1000" s="491" t="n"/>
      <c r="K1000" s="491" t="n"/>
      <c r="L1000" s="491" t="n"/>
      <c r="M1000" s="491" t="n"/>
      <c r="N1000" s="491" t="n"/>
      <c r="O1000" s="491" t="n"/>
      <c r="P1000" s="491" t="n"/>
      <c r="Q1000" s="491" t="n"/>
      <c r="R1000" s="491" t="n"/>
      <c r="S1000" s="491" t="n"/>
      <c r="T1000" s="491" t="n"/>
      <c r="U1000" s="491" t="n"/>
      <c r="V1000" s="491" t="n"/>
      <c r="W1000" s="491" t="n"/>
      <c r="X1000" s="491" t="n"/>
      <c r="Y1000" s="491" t="n"/>
      <c r="Z1000" s="491" t="n"/>
    </row>
    <row r="1001" ht="12.75" customHeight="1" s="398">
      <c r="A1001" s="491" t="n"/>
      <c r="B1001" s="491" t="n"/>
      <c r="C1001" s="491" t="n"/>
      <c r="D1001" s="491" t="n"/>
      <c r="E1001" s="491" t="n"/>
      <c r="F1001" s="491" t="n"/>
      <c r="G1001" s="491" t="n"/>
      <c r="H1001" s="491" t="n"/>
      <c r="I1001" s="491" t="n"/>
      <c r="J1001" s="491" t="n"/>
      <c r="K1001" s="491" t="n"/>
      <c r="L1001" s="491" t="n"/>
      <c r="M1001" s="491" t="n"/>
      <c r="N1001" s="491" t="n"/>
      <c r="O1001" s="491" t="n"/>
      <c r="P1001" s="491" t="n"/>
      <c r="Q1001" s="491" t="n"/>
      <c r="R1001" s="491" t="n"/>
      <c r="S1001" s="491" t="n"/>
      <c r="T1001" s="491" t="n"/>
      <c r="U1001" s="491" t="n"/>
      <c r="V1001" s="491" t="n"/>
      <c r="W1001" s="491" t="n"/>
      <c r="X1001" s="491" t="n"/>
      <c r="Y1001" s="491" t="n"/>
      <c r="Z1001" s="491" t="n"/>
    </row>
  </sheetData>
  <mergeCells count="3">
    <mergeCell ref="B2:M2"/>
    <mergeCell ref="B1:P1"/>
    <mergeCell ref="N2:P2"/>
  </mergeCells>
  <conditionalFormatting sqref="B6:P9 B12:P15 B18:P21 B24:P25 B28:P29 B32:P33">
    <cfRule type="cellIs" priority="1" operator="between" dxfId="1">
      <formula>0</formula>
      <formula>-10000000000000000000</formula>
    </cfRule>
    <cfRule type="cellIs" priority="2" operator="between" dxfId="0">
      <formula>0</formula>
      <formula>1E+23</formula>
    </cfRule>
  </conditionalFormatting>
  <printOptions horizontalCentered="1" gridLines="1"/>
  <pageMargins left="0.25" right="0.25" top="0.75" bottom="0.75" header="0" footer="0"/>
  <pageSetup orientation="landscape" paperSize="9" fitToHeight="0" pageOrder="overThenDown" cellComments="atEnd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7109375" defaultRowHeight="15" customHeight="1"/>
  <cols>
    <col width="21.28515625" customWidth="1" style="398" min="1" max="26"/>
  </cols>
  <sheetData>
    <row r="1" ht="15" customHeight="1" s="398">
      <c r="A1" s="54" t="n"/>
      <c r="B1" s="54" t="inlineStr">
        <is>
          <t>MATHEUS</t>
        </is>
      </c>
      <c r="C1" s="54" t="inlineStr">
        <is>
          <t>MOISÉS</t>
        </is>
      </c>
      <c r="D1" s="54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  <c r="Z1" s="55" t="n"/>
    </row>
    <row r="2" ht="15" customHeight="1" s="398">
      <c r="A2" s="54" t="inlineStr">
        <is>
          <t>INSS</t>
        </is>
      </c>
      <c r="B2" s="54">
        <f>1-C2</f>
        <v/>
      </c>
      <c r="C2" s="54" t="n">
        <v>0.3346</v>
      </c>
      <c r="D2" s="54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  <c r="Z2" s="55" t="n"/>
    </row>
    <row r="3" ht="15" customHeight="1" s="398">
      <c r="A3" s="54" t="inlineStr">
        <is>
          <t>FGTS</t>
        </is>
      </c>
      <c r="B3" s="54">
        <f>1-C3</f>
        <v/>
      </c>
      <c r="C3" s="54" t="n">
        <v>0.3539</v>
      </c>
      <c r="D3" s="54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  <c r="Z3" s="55" t="n"/>
    </row>
    <row r="4" ht="15" customHeight="1" s="398">
      <c r="A4" s="54" t="inlineStr">
        <is>
          <t>IRPF</t>
        </is>
      </c>
      <c r="B4" s="54">
        <f>1-C4</f>
        <v/>
      </c>
      <c r="C4" s="54" t="n">
        <v>0.1086</v>
      </c>
      <c r="D4" s="54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  <c r="Z4" s="55" t="n"/>
    </row>
    <row r="5" ht="15" customHeight="1" s="398">
      <c r="A5" s="54" t="n"/>
      <c r="B5" s="54" t="n"/>
      <c r="C5" s="54" t="n"/>
      <c r="D5" s="54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  <c r="Z5" s="55" t="n"/>
    </row>
    <row r="6" ht="15" customHeight="1" s="398">
      <c r="A6" s="54" t="n"/>
      <c r="B6" s="54" t="n"/>
      <c r="C6" s="54" t="n"/>
      <c r="D6" s="54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</row>
    <row r="7" ht="15" customHeight="1" s="398">
      <c r="A7" s="54" t="n"/>
      <c r="B7" s="54" t="n"/>
      <c r="C7" s="54" t="n"/>
      <c r="D7" s="54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</row>
    <row r="8" ht="15" customHeight="1" s="398">
      <c r="A8" s="55" t="n"/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</row>
    <row r="9" ht="15" customHeight="1" s="398">
      <c r="A9" s="55" t="n"/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</row>
    <row r="10" ht="15" customHeight="1" s="398">
      <c r="A10" s="55" t="n"/>
      <c r="B10" s="55" t="n"/>
      <c r="C10" s="55" t="n"/>
      <c r="D10" s="55" t="n"/>
      <c r="E10" s="55" t="n"/>
      <c r="F10" s="55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</row>
    <row r="11" ht="15" customHeight="1" s="398">
      <c r="A11" s="55" t="n"/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</row>
    <row r="12" ht="15" customHeight="1" s="398">
      <c r="A12" s="55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  <c r="Z12" s="55" t="n"/>
    </row>
    <row r="13" ht="15" customHeight="1" s="398">
      <c r="A13" s="5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</row>
    <row r="14" ht="15" customHeight="1" s="398">
      <c r="A14" s="55" t="n"/>
      <c r="B14" s="55" t="n"/>
      <c r="C14" s="55" t="n"/>
      <c r="D14" s="55" t="n"/>
      <c r="E14" s="55" t="n"/>
      <c r="F14" s="55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</row>
    <row r="15" ht="15" customHeight="1" s="398">
      <c r="A15" s="55" t="n"/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</row>
    <row r="16" ht="15" customHeight="1" s="398">
      <c r="A16" s="55" t="n"/>
      <c r="B16" s="55" t="n"/>
      <c r="C16" s="55" t="n"/>
      <c r="D16" s="55" t="n"/>
      <c r="E16" s="55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  <c r="Z16" s="55" t="n"/>
    </row>
    <row r="17" ht="15" customHeight="1" s="398">
      <c r="A17" s="55" t="n"/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  <c r="Z17" s="55" t="n"/>
    </row>
    <row r="18" ht="15" customHeight="1" s="398">
      <c r="A18" s="55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  <c r="Z18" s="55" t="n"/>
    </row>
    <row r="19" ht="15" customHeight="1" s="398">
      <c r="A19" s="55" t="n"/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  <c r="Z19" s="55" t="n"/>
    </row>
    <row r="20" ht="15" customHeight="1" s="398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5" t="n"/>
      <c r="V20" s="55" t="n"/>
      <c r="W20" s="55" t="n"/>
      <c r="X20" s="55" t="n"/>
      <c r="Y20" s="55" t="n"/>
      <c r="Z20" s="55" t="n"/>
    </row>
    <row r="21" ht="15" customHeight="1" s="398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5" t="n"/>
      <c r="V21" s="55" t="n"/>
      <c r="W21" s="55" t="n"/>
      <c r="X21" s="55" t="n"/>
      <c r="Y21" s="55" t="n"/>
      <c r="Z21" s="55" t="n"/>
    </row>
    <row r="22" ht="15" customHeight="1" s="398">
      <c r="A22" s="55" t="n"/>
      <c r="B22" s="55" t="n"/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  <c r="Z22" s="55" t="n"/>
    </row>
    <row r="23" ht="15" customHeight="1" s="398">
      <c r="A23" s="55" t="n"/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  <c r="Z23" s="55" t="n"/>
    </row>
    <row r="24" ht="15" customHeight="1" s="398">
      <c r="A24" s="55" t="n"/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  <c r="Z24" s="55" t="n"/>
    </row>
    <row r="25" ht="15" customHeight="1" s="398">
      <c r="A25" s="55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  <c r="Z25" s="55" t="n"/>
    </row>
    <row r="26" ht="15" customHeight="1" s="398">
      <c r="A26" s="55" t="n"/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  <c r="Z26" s="55" t="n"/>
    </row>
    <row r="27" ht="15" customHeight="1" s="398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  <c r="Z27" s="55" t="n"/>
    </row>
    <row r="28" ht="15" customHeight="1" s="39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  <c r="Z28" s="55" t="n"/>
    </row>
    <row r="29" ht="15" customHeight="1" s="398">
      <c r="A29" s="55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  <c r="Z29" s="55" t="n"/>
    </row>
    <row r="30" ht="15" customHeight="1" s="398">
      <c r="A30" s="55" t="n"/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5" t="n"/>
      <c r="X30" s="55" t="n"/>
      <c r="Y30" s="55" t="n"/>
      <c r="Z30" s="55" t="n"/>
    </row>
    <row r="31" ht="15" customHeight="1" s="398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5" t="n"/>
      <c r="W31" s="55" t="n"/>
      <c r="X31" s="55" t="n"/>
      <c r="Y31" s="55" t="n"/>
      <c r="Z31" s="55" t="n"/>
    </row>
    <row r="32" ht="15" customHeight="1" s="398">
      <c r="A32" s="55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  <c r="Z32" s="55" t="n"/>
    </row>
    <row r="33" ht="15" customHeight="1" s="398">
      <c r="A33" s="55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n"/>
      <c r="O33" s="55" t="n"/>
      <c r="P33" s="55" t="n"/>
      <c r="Q33" s="55" t="n"/>
      <c r="R33" s="55" t="n"/>
      <c r="S33" s="55" t="n"/>
      <c r="T33" s="55" t="n"/>
      <c r="U33" s="55" t="n"/>
      <c r="V33" s="55" t="n"/>
      <c r="W33" s="55" t="n"/>
      <c r="X33" s="55" t="n"/>
      <c r="Y33" s="55" t="n"/>
      <c r="Z33" s="55" t="n"/>
    </row>
    <row r="34" ht="15" customHeight="1" s="398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  <c r="Z34" s="55" t="n"/>
    </row>
    <row r="35" ht="15" customHeight="1" s="398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  <c r="Z35" s="55" t="n"/>
    </row>
    <row r="36" ht="15" customHeight="1" s="398">
      <c r="A36" s="55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5" t="n"/>
      <c r="O36" s="55" t="n"/>
      <c r="P36" s="55" t="n"/>
      <c r="Q36" s="55" t="n"/>
      <c r="R36" s="55" t="n"/>
      <c r="S36" s="55" t="n"/>
      <c r="T36" s="55" t="n"/>
      <c r="U36" s="55" t="n"/>
      <c r="V36" s="55" t="n"/>
      <c r="W36" s="55" t="n"/>
      <c r="X36" s="55" t="n"/>
      <c r="Y36" s="55" t="n"/>
      <c r="Z36" s="55" t="n"/>
    </row>
    <row r="37" ht="12.75" customHeight="1" s="398">
      <c r="A37" s="55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  <c r="Z37" s="55" t="n"/>
    </row>
    <row r="38" ht="12.75" customHeight="1" s="398">
      <c r="A38" s="55" t="n"/>
      <c r="B38" s="55" t="n"/>
      <c r="C38" s="55" t="n"/>
      <c r="D38" s="55" t="n"/>
      <c r="E38" s="55" t="n"/>
      <c r="F38" s="55" t="n"/>
      <c r="G38" s="55" t="n"/>
      <c r="H38" s="55" t="n"/>
      <c r="I38" s="55" t="n"/>
      <c r="J38" s="55" t="n"/>
      <c r="K38" s="55" t="n"/>
      <c r="L38" s="55" t="n"/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W38" s="55" t="n"/>
      <c r="X38" s="55" t="n"/>
      <c r="Y38" s="55" t="n"/>
      <c r="Z38" s="55" t="n"/>
    </row>
    <row r="39" ht="12.75" customHeight="1" s="398">
      <c r="A39" s="55" t="n"/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  <c r="Z39" s="55" t="n"/>
    </row>
    <row r="40" ht="12.75" customHeight="1" s="398">
      <c r="A40" s="55" t="n"/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  <c r="S40" s="55" t="n"/>
      <c r="T40" s="55" t="n"/>
      <c r="U40" s="55" t="n"/>
      <c r="V40" s="55" t="n"/>
      <c r="W40" s="55" t="n"/>
      <c r="X40" s="55" t="n"/>
      <c r="Y40" s="55" t="n"/>
      <c r="Z40" s="55" t="n"/>
    </row>
    <row r="41" ht="12.75" customHeight="1" s="398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5" t="n"/>
      <c r="V41" s="55" t="n"/>
      <c r="W41" s="55" t="n"/>
      <c r="X41" s="55" t="n"/>
      <c r="Y41" s="55" t="n"/>
      <c r="Z41" s="55" t="n"/>
    </row>
    <row r="42" ht="12.75" customHeight="1" s="398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5" t="n"/>
      <c r="V42" s="55" t="n"/>
      <c r="W42" s="55" t="n"/>
      <c r="X42" s="55" t="n"/>
      <c r="Y42" s="55" t="n"/>
      <c r="Z42" s="55" t="n"/>
    </row>
    <row r="43" ht="12.75" customHeight="1" s="398">
      <c r="A43" s="55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  <c r="S43" s="55" t="n"/>
      <c r="T43" s="55" t="n"/>
      <c r="U43" s="55" t="n"/>
      <c r="V43" s="55" t="n"/>
      <c r="W43" s="55" t="n"/>
      <c r="X43" s="55" t="n"/>
      <c r="Y43" s="55" t="n"/>
      <c r="Z43" s="55" t="n"/>
    </row>
    <row r="44" ht="12.75" customHeight="1" s="398">
      <c r="A44" s="55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  <c r="S44" s="55" t="n"/>
      <c r="T44" s="55" t="n"/>
      <c r="U44" s="55" t="n"/>
      <c r="V44" s="55" t="n"/>
      <c r="W44" s="55" t="n"/>
      <c r="X44" s="55" t="n"/>
      <c r="Y44" s="55" t="n"/>
      <c r="Z44" s="55" t="n"/>
    </row>
    <row r="45" ht="12.75" customHeight="1" s="398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  <c r="S45" s="55" t="n"/>
      <c r="T45" s="55" t="n"/>
      <c r="U45" s="55" t="n"/>
      <c r="V45" s="55" t="n"/>
      <c r="W45" s="55" t="n"/>
      <c r="X45" s="55" t="n"/>
      <c r="Y45" s="55" t="n"/>
      <c r="Z45" s="55" t="n"/>
    </row>
    <row r="46" ht="12.75" customHeight="1" s="398">
      <c r="A46" s="55" t="n"/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  <c r="S46" s="55" t="n"/>
      <c r="T46" s="55" t="n"/>
      <c r="U46" s="55" t="n"/>
      <c r="V46" s="55" t="n"/>
      <c r="W46" s="55" t="n"/>
      <c r="X46" s="55" t="n"/>
      <c r="Y46" s="55" t="n"/>
      <c r="Z46" s="55" t="n"/>
    </row>
    <row r="47" ht="12.75" customHeight="1" s="398">
      <c r="A47" s="55" t="n"/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  <c r="X47" s="55" t="n"/>
      <c r="Y47" s="55" t="n"/>
      <c r="Z47" s="55" t="n"/>
    </row>
    <row r="48" ht="12.75" customHeight="1" s="39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5" t="n"/>
      <c r="V48" s="55" t="n"/>
      <c r="W48" s="55" t="n"/>
      <c r="X48" s="55" t="n"/>
      <c r="Y48" s="55" t="n"/>
      <c r="Z48" s="55" t="n"/>
    </row>
    <row r="49" ht="12.75" customHeight="1" s="398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5" t="n"/>
      <c r="V49" s="55" t="n"/>
      <c r="W49" s="55" t="n"/>
      <c r="X49" s="55" t="n"/>
      <c r="Y49" s="55" t="n"/>
      <c r="Z49" s="55" t="n"/>
    </row>
    <row r="50" ht="12.75" customHeight="1" s="398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  <c r="S50" s="55" t="n"/>
      <c r="T50" s="55" t="n"/>
      <c r="U50" s="55" t="n"/>
      <c r="V50" s="55" t="n"/>
      <c r="W50" s="55" t="n"/>
      <c r="X50" s="55" t="n"/>
      <c r="Y50" s="55" t="n"/>
      <c r="Z50" s="55" t="n"/>
    </row>
    <row r="51" ht="12.75" customHeight="1" s="398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  <c r="S51" s="55" t="n"/>
      <c r="T51" s="55" t="n"/>
      <c r="U51" s="55" t="n"/>
      <c r="V51" s="55" t="n"/>
      <c r="W51" s="55" t="n"/>
      <c r="X51" s="55" t="n"/>
      <c r="Y51" s="55" t="n"/>
      <c r="Z51" s="55" t="n"/>
    </row>
    <row r="52" ht="12.75" customHeight="1" s="398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  <c r="S52" s="55" t="n"/>
      <c r="T52" s="55" t="n"/>
      <c r="U52" s="55" t="n"/>
      <c r="V52" s="55" t="n"/>
      <c r="W52" s="55" t="n"/>
      <c r="X52" s="55" t="n"/>
      <c r="Y52" s="55" t="n"/>
      <c r="Z52" s="55" t="n"/>
    </row>
    <row r="53" ht="12.75" customHeight="1" s="398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  <c r="S53" s="55" t="n"/>
      <c r="T53" s="55" t="n"/>
      <c r="U53" s="55" t="n"/>
      <c r="V53" s="55" t="n"/>
      <c r="W53" s="55" t="n"/>
      <c r="X53" s="55" t="n"/>
      <c r="Y53" s="55" t="n"/>
      <c r="Z53" s="55" t="n"/>
    </row>
    <row r="54" ht="12.75" customHeight="1" s="398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  <c r="Z54" s="55" t="n"/>
    </row>
    <row r="55" ht="12.75" customHeight="1" s="398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5" t="n"/>
      <c r="V55" s="55" t="n"/>
      <c r="W55" s="55" t="n"/>
      <c r="X55" s="55" t="n"/>
      <c r="Y55" s="55" t="n"/>
      <c r="Z55" s="55" t="n"/>
    </row>
    <row r="56" ht="12.75" customHeight="1" s="398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5" t="n"/>
      <c r="V56" s="55" t="n"/>
      <c r="W56" s="55" t="n"/>
      <c r="X56" s="55" t="n"/>
      <c r="Y56" s="55" t="n"/>
      <c r="Z56" s="55" t="n"/>
    </row>
    <row r="57" ht="12.75" customHeight="1" s="398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  <c r="S57" s="55" t="n"/>
      <c r="T57" s="55" t="n"/>
      <c r="U57" s="55" t="n"/>
      <c r="V57" s="55" t="n"/>
      <c r="W57" s="55" t="n"/>
      <c r="X57" s="55" t="n"/>
      <c r="Y57" s="55" t="n"/>
      <c r="Z57" s="55" t="n"/>
    </row>
    <row r="58" ht="12.75" customHeight="1" s="398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  <c r="S58" s="55" t="n"/>
      <c r="T58" s="55" t="n"/>
      <c r="U58" s="55" t="n"/>
      <c r="V58" s="55" t="n"/>
      <c r="W58" s="55" t="n"/>
      <c r="X58" s="55" t="n"/>
      <c r="Y58" s="55" t="n"/>
      <c r="Z58" s="55" t="n"/>
    </row>
    <row r="59" ht="12.75" customHeight="1" s="398">
      <c r="A59" s="55" t="n"/>
      <c r="B59" s="55" t="n"/>
      <c r="C59" s="55" t="n"/>
      <c r="D59" s="55" t="n"/>
      <c r="E59" s="55" t="n"/>
      <c r="F59" s="55" t="n"/>
      <c r="G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  <c r="S59" s="55" t="n"/>
      <c r="T59" s="55" t="n"/>
      <c r="U59" s="55" t="n"/>
      <c r="V59" s="55" t="n"/>
      <c r="W59" s="55" t="n"/>
      <c r="X59" s="55" t="n"/>
      <c r="Y59" s="55" t="n"/>
      <c r="Z59" s="55" t="n"/>
    </row>
    <row r="60" ht="12.75" customHeight="1" s="398">
      <c r="A60" s="55" t="n"/>
      <c r="B60" s="55" t="n"/>
      <c r="C60" s="55" t="n"/>
      <c r="D60" s="55" t="n"/>
      <c r="E60" s="55" t="n"/>
      <c r="F60" s="55" t="n"/>
      <c r="G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  <c r="S60" s="55" t="n"/>
      <c r="T60" s="55" t="n"/>
      <c r="U60" s="55" t="n"/>
      <c r="V60" s="55" t="n"/>
      <c r="W60" s="55" t="n"/>
      <c r="X60" s="55" t="n"/>
      <c r="Y60" s="55" t="n"/>
      <c r="Z60" s="55" t="n"/>
    </row>
    <row r="61" ht="12.75" customHeight="1" s="398">
      <c r="A61" s="55" t="n"/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  <c r="S61" s="55" t="n"/>
      <c r="T61" s="55" t="n"/>
      <c r="U61" s="55" t="n"/>
      <c r="V61" s="55" t="n"/>
      <c r="W61" s="55" t="n"/>
      <c r="X61" s="55" t="n"/>
      <c r="Y61" s="55" t="n"/>
      <c r="Z61" s="55" t="n"/>
    </row>
    <row r="62" ht="12.75" customHeight="1" s="398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5" t="n"/>
      <c r="V62" s="55" t="n"/>
      <c r="W62" s="55" t="n"/>
      <c r="X62" s="55" t="n"/>
      <c r="Y62" s="55" t="n"/>
      <c r="Z62" s="55" t="n"/>
    </row>
    <row r="63" ht="12.75" customHeight="1" s="398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5" t="n"/>
      <c r="V63" s="55" t="n"/>
      <c r="W63" s="55" t="n"/>
      <c r="X63" s="55" t="n"/>
      <c r="Y63" s="55" t="n"/>
      <c r="Z63" s="55" t="n"/>
    </row>
    <row r="64" ht="12.75" customHeight="1" s="398">
      <c r="A64" s="55" t="n"/>
      <c r="B64" s="55" t="n"/>
      <c r="C64" s="55" t="n"/>
      <c r="D64" s="55" t="n"/>
      <c r="E64" s="55" t="n"/>
      <c r="F64" s="55" t="n"/>
      <c r="G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  <c r="W64" s="55" t="n"/>
      <c r="X64" s="55" t="n"/>
      <c r="Y64" s="55" t="n"/>
      <c r="Z64" s="55" t="n"/>
    </row>
    <row r="65" ht="12.75" customHeight="1" s="398">
      <c r="A65" s="55" t="n"/>
      <c r="B65" s="55" t="n"/>
      <c r="C65" s="55" t="n"/>
      <c r="D65" s="55" t="n"/>
      <c r="E65" s="55" t="n"/>
      <c r="F65" s="55" t="n"/>
      <c r="G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  <c r="S65" s="55" t="n"/>
      <c r="T65" s="55" t="n"/>
      <c r="U65" s="55" t="n"/>
      <c r="V65" s="55" t="n"/>
      <c r="W65" s="55" t="n"/>
      <c r="X65" s="55" t="n"/>
      <c r="Y65" s="55" t="n"/>
      <c r="Z65" s="55" t="n"/>
    </row>
    <row r="66" ht="12.75" customHeight="1" s="398">
      <c r="A66" s="55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  <c r="S66" s="55" t="n"/>
      <c r="T66" s="55" t="n"/>
      <c r="U66" s="55" t="n"/>
      <c r="V66" s="55" t="n"/>
      <c r="W66" s="55" t="n"/>
      <c r="X66" s="55" t="n"/>
      <c r="Y66" s="55" t="n"/>
      <c r="Z66" s="55" t="n"/>
    </row>
    <row r="67" ht="12.75" customHeight="1" s="398">
      <c r="A67" s="55" t="n"/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  <c r="S67" s="55" t="n"/>
      <c r="T67" s="55" t="n"/>
      <c r="U67" s="55" t="n"/>
      <c r="V67" s="55" t="n"/>
      <c r="W67" s="55" t="n"/>
      <c r="X67" s="55" t="n"/>
      <c r="Y67" s="55" t="n"/>
      <c r="Z67" s="55" t="n"/>
    </row>
    <row r="68" ht="12.75" customHeight="1" s="398">
      <c r="A68" s="55" t="n"/>
      <c r="B68" s="55" t="n"/>
      <c r="C68" s="55" t="n"/>
      <c r="D68" s="55" t="n"/>
      <c r="E68" s="55" t="n"/>
      <c r="F68" s="55" t="n"/>
      <c r="G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  <c r="S68" s="55" t="n"/>
      <c r="T68" s="55" t="n"/>
      <c r="U68" s="55" t="n"/>
      <c r="V68" s="55" t="n"/>
      <c r="W68" s="55" t="n"/>
      <c r="X68" s="55" t="n"/>
      <c r="Y68" s="55" t="n"/>
      <c r="Z68" s="55" t="n"/>
    </row>
    <row r="69" ht="12.75" customHeight="1" s="398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5" t="n"/>
      <c r="V69" s="55" t="n"/>
      <c r="W69" s="55" t="n"/>
      <c r="X69" s="55" t="n"/>
      <c r="Y69" s="55" t="n"/>
      <c r="Z69" s="55" t="n"/>
    </row>
    <row r="70" ht="12.75" customHeight="1" s="398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5" t="n"/>
      <c r="V70" s="55" t="n"/>
      <c r="W70" s="55" t="n"/>
      <c r="X70" s="55" t="n"/>
      <c r="Y70" s="55" t="n"/>
      <c r="Z70" s="55" t="n"/>
    </row>
    <row r="71" ht="12.75" customHeight="1" s="398">
      <c r="A71" s="55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  <c r="S71" s="55" t="n"/>
      <c r="T71" s="55" t="n"/>
      <c r="U71" s="55" t="n"/>
      <c r="V71" s="55" t="n"/>
      <c r="W71" s="55" t="n"/>
      <c r="X71" s="55" t="n"/>
      <c r="Y71" s="55" t="n"/>
      <c r="Z71" s="55" t="n"/>
    </row>
    <row r="72" ht="12.75" customHeight="1" s="398">
      <c r="A72" s="55" t="n"/>
      <c r="B72" s="55" t="n"/>
      <c r="C72" s="55" t="n"/>
      <c r="D72" s="55" t="n"/>
      <c r="E72" s="55" t="n"/>
      <c r="F72" s="55" t="n"/>
      <c r="G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  <c r="S72" s="55" t="n"/>
      <c r="T72" s="55" t="n"/>
      <c r="U72" s="55" t="n"/>
      <c r="V72" s="55" t="n"/>
      <c r="W72" s="55" t="n"/>
      <c r="X72" s="55" t="n"/>
      <c r="Y72" s="55" t="n"/>
      <c r="Z72" s="55" t="n"/>
    </row>
    <row r="73" ht="12.75" customHeight="1" s="398">
      <c r="A73" s="55" t="n"/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  <c r="S73" s="55" t="n"/>
      <c r="T73" s="55" t="n"/>
      <c r="U73" s="55" t="n"/>
      <c r="V73" s="55" t="n"/>
      <c r="W73" s="55" t="n"/>
      <c r="X73" s="55" t="n"/>
      <c r="Y73" s="55" t="n"/>
      <c r="Z73" s="55" t="n"/>
    </row>
    <row r="74" ht="12.75" customHeight="1" s="398">
      <c r="A74" s="55" t="n"/>
      <c r="B74" s="55" t="n"/>
      <c r="C74" s="55" t="n"/>
      <c r="D74" s="55" t="n"/>
      <c r="E74" s="55" t="n"/>
      <c r="F74" s="55" t="n"/>
      <c r="G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  <c r="S74" s="55" t="n"/>
      <c r="T74" s="55" t="n"/>
      <c r="U74" s="55" t="n"/>
      <c r="V74" s="55" t="n"/>
      <c r="W74" s="55" t="n"/>
      <c r="X74" s="55" t="n"/>
      <c r="Y74" s="55" t="n"/>
      <c r="Z74" s="55" t="n"/>
    </row>
    <row r="75" ht="12.75" customHeight="1" s="398">
      <c r="A75" s="55" t="n"/>
      <c r="B75" s="55" t="n"/>
      <c r="C75" s="55" t="n"/>
      <c r="D75" s="55" t="n"/>
      <c r="E75" s="55" t="n"/>
      <c r="F75" s="55" t="n"/>
      <c r="G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  <c r="S75" s="55" t="n"/>
      <c r="T75" s="55" t="n"/>
      <c r="U75" s="55" t="n"/>
      <c r="V75" s="55" t="n"/>
      <c r="W75" s="55" t="n"/>
      <c r="X75" s="55" t="n"/>
      <c r="Y75" s="55" t="n"/>
      <c r="Z75" s="55" t="n"/>
    </row>
    <row r="76" ht="12.75" customHeight="1" s="398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5" t="n"/>
      <c r="V76" s="55" t="n"/>
      <c r="W76" s="55" t="n"/>
      <c r="X76" s="55" t="n"/>
      <c r="Y76" s="55" t="n"/>
      <c r="Z76" s="55" t="n"/>
    </row>
    <row r="77" ht="12.75" customHeight="1" s="398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5" t="n"/>
      <c r="V77" s="55" t="n"/>
      <c r="W77" s="55" t="n"/>
      <c r="X77" s="55" t="n"/>
      <c r="Y77" s="55" t="n"/>
      <c r="Z77" s="55" t="n"/>
    </row>
    <row r="78" ht="12.75" customHeight="1" s="398">
      <c r="A78" s="55" t="n"/>
      <c r="B78" s="55" t="n"/>
      <c r="C78" s="55" t="n"/>
      <c r="D78" s="55" t="n"/>
      <c r="E78" s="55" t="n"/>
      <c r="F78" s="55" t="n"/>
      <c r="G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  <c r="S78" s="55" t="n"/>
      <c r="T78" s="55" t="n"/>
      <c r="U78" s="55" t="n"/>
      <c r="V78" s="55" t="n"/>
      <c r="W78" s="55" t="n"/>
      <c r="X78" s="55" t="n"/>
      <c r="Y78" s="55" t="n"/>
      <c r="Z78" s="55" t="n"/>
    </row>
    <row r="79" ht="12.75" customHeight="1" s="398">
      <c r="A79" s="55" t="n"/>
      <c r="B79" s="55" t="n"/>
      <c r="C79" s="55" t="n"/>
      <c r="D79" s="55" t="n"/>
      <c r="E79" s="55" t="n"/>
      <c r="F79" s="55" t="n"/>
      <c r="G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  <c r="S79" s="55" t="n"/>
      <c r="T79" s="55" t="n"/>
      <c r="U79" s="55" t="n"/>
      <c r="V79" s="55" t="n"/>
      <c r="W79" s="55" t="n"/>
      <c r="X79" s="55" t="n"/>
      <c r="Y79" s="55" t="n"/>
      <c r="Z79" s="55" t="n"/>
    </row>
    <row r="80" ht="12.75" customHeight="1" s="398">
      <c r="A80" s="55" t="n"/>
      <c r="B80" s="55" t="n"/>
      <c r="C80" s="55" t="n"/>
      <c r="D80" s="55" t="n"/>
      <c r="E80" s="55" t="n"/>
      <c r="F80" s="55" t="n"/>
      <c r="G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  <c r="S80" s="55" t="n"/>
      <c r="T80" s="55" t="n"/>
      <c r="U80" s="55" t="n"/>
      <c r="V80" s="55" t="n"/>
      <c r="W80" s="55" t="n"/>
      <c r="X80" s="55" t="n"/>
      <c r="Y80" s="55" t="n"/>
      <c r="Z80" s="55" t="n"/>
    </row>
    <row r="81" ht="12.75" customHeight="1" s="398">
      <c r="A81" s="55" t="n"/>
      <c r="B81" s="55" t="n"/>
      <c r="C81" s="55" t="n"/>
      <c r="D81" s="55" t="n"/>
      <c r="E81" s="55" t="n"/>
      <c r="F81" s="55" t="n"/>
      <c r="G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  <c r="S81" s="55" t="n"/>
      <c r="T81" s="55" t="n"/>
      <c r="U81" s="55" t="n"/>
      <c r="V81" s="55" t="n"/>
      <c r="W81" s="55" t="n"/>
      <c r="X81" s="55" t="n"/>
      <c r="Y81" s="55" t="n"/>
      <c r="Z81" s="55" t="n"/>
    </row>
    <row r="82" ht="12.75" customHeight="1" s="398">
      <c r="A82" s="55" t="n"/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  <c r="S82" s="55" t="n"/>
      <c r="T82" s="55" t="n"/>
      <c r="U82" s="55" t="n"/>
      <c r="V82" s="55" t="n"/>
      <c r="W82" s="55" t="n"/>
      <c r="X82" s="55" t="n"/>
      <c r="Y82" s="55" t="n"/>
      <c r="Z82" s="55" t="n"/>
    </row>
    <row r="83" ht="12.75" customHeight="1" s="398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5" t="n"/>
      <c r="V83" s="55" t="n"/>
      <c r="W83" s="55" t="n"/>
      <c r="X83" s="55" t="n"/>
      <c r="Y83" s="55" t="n"/>
      <c r="Z83" s="55" t="n"/>
    </row>
    <row r="84" ht="12.75" customHeight="1" s="398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5" t="n"/>
      <c r="V84" s="55" t="n"/>
      <c r="W84" s="55" t="n"/>
      <c r="X84" s="55" t="n"/>
      <c r="Y84" s="55" t="n"/>
      <c r="Z84" s="55" t="n"/>
    </row>
    <row r="85" ht="12.75" customHeight="1" s="398">
      <c r="A85" s="55" t="n"/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  <c r="S85" s="55" t="n"/>
      <c r="T85" s="55" t="n"/>
      <c r="U85" s="55" t="n"/>
      <c r="V85" s="55" t="n"/>
      <c r="W85" s="55" t="n"/>
      <c r="X85" s="55" t="n"/>
      <c r="Y85" s="55" t="n"/>
      <c r="Z85" s="55" t="n"/>
    </row>
    <row r="86" ht="12.75" customHeight="1" s="398">
      <c r="A86" s="55" t="n"/>
      <c r="B86" s="55" t="n"/>
      <c r="C86" s="55" t="n"/>
      <c r="D86" s="55" t="n"/>
      <c r="E86" s="55" t="n"/>
      <c r="F86" s="55" t="n"/>
      <c r="G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  <c r="S86" s="55" t="n"/>
      <c r="T86" s="55" t="n"/>
      <c r="U86" s="55" t="n"/>
      <c r="V86" s="55" t="n"/>
      <c r="W86" s="55" t="n"/>
      <c r="X86" s="55" t="n"/>
      <c r="Y86" s="55" t="n"/>
      <c r="Z86" s="55" t="n"/>
    </row>
    <row r="87" ht="12.75" customHeight="1" s="398">
      <c r="A87" s="55" t="n"/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  <c r="S87" s="55" t="n"/>
      <c r="T87" s="55" t="n"/>
      <c r="U87" s="55" t="n"/>
      <c r="V87" s="55" t="n"/>
      <c r="W87" s="55" t="n"/>
      <c r="X87" s="55" t="n"/>
      <c r="Y87" s="55" t="n"/>
      <c r="Z87" s="55" t="n"/>
    </row>
    <row r="88" ht="12.75" customHeight="1" s="398">
      <c r="A88" s="55" t="n"/>
      <c r="B88" s="55" t="n"/>
      <c r="C88" s="55" t="n"/>
      <c r="D88" s="55" t="n"/>
      <c r="E88" s="55" t="n"/>
      <c r="F88" s="55" t="n"/>
      <c r="G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  <c r="S88" s="55" t="n"/>
      <c r="T88" s="55" t="n"/>
      <c r="U88" s="55" t="n"/>
      <c r="V88" s="55" t="n"/>
      <c r="W88" s="55" t="n"/>
      <c r="X88" s="55" t="n"/>
      <c r="Y88" s="55" t="n"/>
      <c r="Z88" s="55" t="n"/>
    </row>
    <row r="89" ht="12.75" customHeight="1" s="398">
      <c r="A89" s="55" t="n"/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  <c r="S89" s="55" t="n"/>
      <c r="T89" s="55" t="n"/>
      <c r="U89" s="55" t="n"/>
      <c r="V89" s="55" t="n"/>
      <c r="W89" s="55" t="n"/>
      <c r="X89" s="55" t="n"/>
      <c r="Y89" s="55" t="n"/>
      <c r="Z89" s="55" t="n"/>
    </row>
    <row r="90" ht="12.75" customHeight="1" s="398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5" t="n"/>
      <c r="V90" s="55" t="n"/>
      <c r="W90" s="55" t="n"/>
      <c r="X90" s="55" t="n"/>
      <c r="Y90" s="55" t="n"/>
      <c r="Z90" s="55" t="n"/>
    </row>
    <row r="91" ht="12.75" customHeight="1" s="398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5" t="n"/>
      <c r="V91" s="55" t="n"/>
      <c r="W91" s="55" t="n"/>
      <c r="X91" s="55" t="n"/>
      <c r="Y91" s="55" t="n"/>
      <c r="Z91" s="55" t="n"/>
    </row>
    <row r="92" ht="12.75" customHeight="1" s="398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5" t="n"/>
      <c r="V92" s="55" t="n"/>
      <c r="W92" s="55" t="n"/>
      <c r="X92" s="55" t="n"/>
      <c r="Y92" s="55" t="n"/>
      <c r="Z92" s="55" t="n"/>
    </row>
    <row r="93" ht="12.75" customHeight="1" s="398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5" t="n"/>
      <c r="V93" s="55" t="n"/>
      <c r="W93" s="55" t="n"/>
      <c r="X93" s="55" t="n"/>
      <c r="Y93" s="55" t="n"/>
      <c r="Z93" s="55" t="n"/>
    </row>
    <row r="94" ht="12.75" customHeight="1" s="398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5" t="n"/>
      <c r="V94" s="55" t="n"/>
      <c r="W94" s="55" t="n"/>
      <c r="X94" s="55" t="n"/>
      <c r="Y94" s="55" t="n"/>
      <c r="Z94" s="55" t="n"/>
    </row>
    <row r="95" ht="12.75" customHeight="1" s="398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5" t="n"/>
      <c r="V95" s="55" t="n"/>
      <c r="W95" s="55" t="n"/>
      <c r="X95" s="55" t="n"/>
      <c r="Y95" s="55" t="n"/>
      <c r="Z95" s="55" t="n"/>
    </row>
    <row r="96" ht="12.75" customHeight="1" s="398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  <c r="Z96" s="55" t="n"/>
    </row>
    <row r="97" ht="12.75" customHeight="1" s="398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  <c r="Z97" s="55" t="n"/>
    </row>
    <row r="98" ht="12.75" customHeight="1" s="3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  <c r="W98" s="55" t="n"/>
      <c r="X98" s="55" t="n"/>
      <c r="Y98" s="55" t="n"/>
      <c r="Z98" s="55" t="n"/>
    </row>
    <row r="99" ht="12.75" customHeight="1" s="398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  <c r="W99" s="55" t="n"/>
      <c r="X99" s="55" t="n"/>
      <c r="Y99" s="55" t="n"/>
      <c r="Z99" s="55" t="n"/>
    </row>
    <row r="100" ht="12.75" customHeight="1" s="398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  <c r="W100" s="55" t="n"/>
      <c r="X100" s="55" t="n"/>
      <c r="Y100" s="55" t="n"/>
      <c r="Z100" s="55" t="n"/>
    </row>
    <row r="101" ht="12.75" customHeight="1" s="398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  <c r="Z101" s="55" t="n"/>
    </row>
    <row r="102" ht="12.75" customHeight="1" s="398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  <c r="W102" s="55" t="n"/>
      <c r="X102" s="55" t="n"/>
      <c r="Y102" s="55" t="n"/>
      <c r="Z102" s="55" t="n"/>
    </row>
    <row r="103" ht="12.75" customHeight="1" s="398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  <c r="W103" s="55" t="n"/>
      <c r="X103" s="55" t="n"/>
      <c r="Y103" s="55" t="n"/>
      <c r="Z103" s="55" t="n"/>
    </row>
    <row r="104" ht="12.75" customHeight="1" s="398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  <c r="W104" s="55" t="n"/>
      <c r="X104" s="55" t="n"/>
      <c r="Y104" s="55" t="n"/>
      <c r="Z104" s="55" t="n"/>
    </row>
    <row r="105" ht="12.75" customHeight="1" s="398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  <c r="Z105" s="55" t="n"/>
    </row>
    <row r="106" ht="12.75" customHeight="1" s="398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  <c r="W106" s="55" t="n"/>
      <c r="X106" s="55" t="n"/>
      <c r="Y106" s="55" t="n"/>
      <c r="Z106" s="55" t="n"/>
    </row>
    <row r="107" ht="12.75" customHeight="1" s="398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  <c r="W107" s="55" t="n"/>
      <c r="X107" s="55" t="n"/>
      <c r="Y107" s="55" t="n"/>
      <c r="Z107" s="55" t="n"/>
    </row>
    <row r="108" ht="12.75" customHeight="1" s="39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  <c r="Z108" s="55" t="n"/>
    </row>
    <row r="109" ht="12.75" customHeight="1" s="398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  <c r="W109" s="55" t="n"/>
      <c r="X109" s="55" t="n"/>
      <c r="Y109" s="55" t="n"/>
      <c r="Z109" s="55" t="n"/>
    </row>
    <row r="110" ht="12.75" customHeight="1" s="398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  <c r="W110" s="55" t="n"/>
      <c r="X110" s="55" t="n"/>
      <c r="Y110" s="55" t="n"/>
      <c r="Z110" s="55" t="n"/>
    </row>
    <row r="111" ht="12.75" customHeight="1" s="398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  <c r="W111" s="55" t="n"/>
      <c r="X111" s="55" t="n"/>
      <c r="Y111" s="55" t="n"/>
      <c r="Z111" s="55" t="n"/>
    </row>
    <row r="112" ht="12.75" customHeight="1" s="398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  <c r="W112" s="55" t="n"/>
      <c r="X112" s="55" t="n"/>
      <c r="Y112" s="55" t="n"/>
      <c r="Z112" s="55" t="n"/>
    </row>
    <row r="113" ht="12.75" customHeight="1" s="398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  <c r="W113" s="55" t="n"/>
      <c r="X113" s="55" t="n"/>
      <c r="Y113" s="55" t="n"/>
      <c r="Z113" s="55" t="n"/>
    </row>
    <row r="114" ht="12.75" customHeight="1" s="398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  <c r="W114" s="55" t="n"/>
      <c r="X114" s="55" t="n"/>
      <c r="Y114" s="55" t="n"/>
      <c r="Z114" s="55" t="n"/>
    </row>
    <row r="115" ht="12.75" customHeight="1" s="398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  <c r="W115" s="55" t="n"/>
      <c r="X115" s="55" t="n"/>
      <c r="Y115" s="55" t="n"/>
      <c r="Z115" s="55" t="n"/>
    </row>
    <row r="116" ht="12.75" customHeight="1" s="398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  <c r="W116" s="55" t="n"/>
      <c r="X116" s="55" t="n"/>
      <c r="Y116" s="55" t="n"/>
      <c r="Z116" s="55" t="n"/>
    </row>
    <row r="117" ht="12.75" customHeight="1" s="398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  <c r="W117" s="55" t="n"/>
      <c r="X117" s="55" t="n"/>
      <c r="Y117" s="55" t="n"/>
      <c r="Z117" s="55" t="n"/>
    </row>
    <row r="118" ht="12.75" customHeight="1" s="39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  <c r="W118" s="55" t="n"/>
      <c r="X118" s="55" t="n"/>
      <c r="Y118" s="55" t="n"/>
      <c r="Z118" s="55" t="n"/>
    </row>
    <row r="119" ht="12.75" customHeight="1" s="398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  <c r="W119" s="55" t="n"/>
      <c r="X119" s="55" t="n"/>
      <c r="Y119" s="55" t="n"/>
      <c r="Z119" s="55" t="n"/>
    </row>
    <row r="120" ht="12.75" customHeight="1" s="398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  <c r="W120" s="55" t="n"/>
      <c r="X120" s="55" t="n"/>
      <c r="Y120" s="55" t="n"/>
      <c r="Z120" s="55" t="n"/>
    </row>
    <row r="121" ht="12.75" customHeight="1" s="398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  <c r="W121" s="55" t="n"/>
      <c r="X121" s="55" t="n"/>
      <c r="Y121" s="55" t="n"/>
      <c r="Z121" s="55" t="n"/>
    </row>
    <row r="122" ht="12.75" customHeight="1" s="398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  <c r="W122" s="55" t="n"/>
      <c r="X122" s="55" t="n"/>
      <c r="Y122" s="55" t="n"/>
      <c r="Z122" s="55" t="n"/>
    </row>
    <row r="123" ht="12.75" customHeight="1" s="398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  <c r="W123" s="55" t="n"/>
      <c r="X123" s="55" t="n"/>
      <c r="Y123" s="55" t="n"/>
      <c r="Z123" s="55" t="n"/>
    </row>
    <row r="124" ht="12.75" customHeight="1" s="398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  <c r="W124" s="55" t="n"/>
      <c r="X124" s="55" t="n"/>
      <c r="Y124" s="55" t="n"/>
      <c r="Z124" s="55" t="n"/>
    </row>
    <row r="125" ht="12.75" customHeight="1" s="398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  <c r="Z125" s="55" t="n"/>
    </row>
    <row r="126" ht="12.75" customHeight="1" s="398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  <c r="Z126" s="55" t="n"/>
    </row>
    <row r="127" ht="12.75" customHeight="1" s="398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  <c r="W127" s="55" t="n"/>
      <c r="X127" s="55" t="n"/>
      <c r="Y127" s="55" t="n"/>
      <c r="Z127" s="55" t="n"/>
    </row>
    <row r="128" ht="12.75" customHeight="1" s="39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  <c r="W128" s="55" t="n"/>
      <c r="X128" s="55" t="n"/>
      <c r="Y128" s="55" t="n"/>
      <c r="Z128" s="55" t="n"/>
    </row>
    <row r="129" ht="12.75" customHeight="1" s="398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  <c r="W129" s="55" t="n"/>
      <c r="X129" s="55" t="n"/>
      <c r="Y129" s="55" t="n"/>
      <c r="Z129" s="55" t="n"/>
    </row>
    <row r="130" ht="12.75" customHeight="1" s="398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  <c r="W130" s="55" t="n"/>
      <c r="X130" s="55" t="n"/>
      <c r="Y130" s="55" t="n"/>
      <c r="Z130" s="55" t="n"/>
    </row>
    <row r="131" ht="12.75" customHeight="1" s="398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  <c r="W131" s="55" t="n"/>
      <c r="X131" s="55" t="n"/>
      <c r="Y131" s="55" t="n"/>
      <c r="Z131" s="55" t="n"/>
    </row>
    <row r="132" ht="12.75" customHeight="1" s="398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  <c r="W132" s="55" t="n"/>
      <c r="X132" s="55" t="n"/>
      <c r="Y132" s="55" t="n"/>
      <c r="Z132" s="55" t="n"/>
    </row>
    <row r="133" ht="12.75" customHeight="1" s="398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  <c r="W133" s="55" t="n"/>
      <c r="X133" s="55" t="n"/>
      <c r="Y133" s="55" t="n"/>
      <c r="Z133" s="55" t="n"/>
    </row>
    <row r="134" ht="12.75" customHeight="1" s="398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  <c r="W134" s="55" t="n"/>
      <c r="X134" s="55" t="n"/>
      <c r="Y134" s="55" t="n"/>
      <c r="Z134" s="55" t="n"/>
    </row>
    <row r="135" ht="12.75" customHeight="1" s="398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  <c r="W135" s="55" t="n"/>
      <c r="X135" s="55" t="n"/>
      <c r="Y135" s="55" t="n"/>
      <c r="Z135" s="55" t="n"/>
    </row>
    <row r="136" ht="12.75" customHeight="1" s="398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  <c r="W136" s="55" t="n"/>
      <c r="X136" s="55" t="n"/>
      <c r="Y136" s="55" t="n"/>
      <c r="Z136" s="55" t="n"/>
    </row>
    <row r="137" ht="12.75" customHeight="1" s="398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  <c r="W137" s="55" t="n"/>
      <c r="X137" s="55" t="n"/>
      <c r="Y137" s="55" t="n"/>
      <c r="Z137" s="55" t="n"/>
    </row>
    <row r="138" ht="12.75" customHeight="1" s="39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  <c r="W138" s="55" t="n"/>
      <c r="X138" s="55" t="n"/>
      <c r="Y138" s="55" t="n"/>
      <c r="Z138" s="55" t="n"/>
    </row>
    <row r="139" ht="12.75" customHeight="1" s="398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  <c r="W139" s="55" t="n"/>
      <c r="X139" s="55" t="n"/>
      <c r="Y139" s="55" t="n"/>
      <c r="Z139" s="55" t="n"/>
    </row>
    <row r="140" ht="12.75" customHeight="1" s="398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  <c r="W140" s="55" t="n"/>
      <c r="X140" s="55" t="n"/>
      <c r="Y140" s="55" t="n"/>
      <c r="Z140" s="55" t="n"/>
    </row>
    <row r="141" ht="12.75" customHeight="1" s="398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  <c r="W141" s="55" t="n"/>
      <c r="X141" s="55" t="n"/>
      <c r="Y141" s="55" t="n"/>
      <c r="Z141" s="55" t="n"/>
    </row>
    <row r="142" ht="12.75" customHeight="1" s="398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  <c r="W142" s="55" t="n"/>
      <c r="X142" s="55" t="n"/>
      <c r="Y142" s="55" t="n"/>
      <c r="Z142" s="55" t="n"/>
    </row>
    <row r="143" ht="12.75" customHeight="1" s="398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  <c r="W143" s="55" t="n"/>
      <c r="X143" s="55" t="n"/>
      <c r="Y143" s="55" t="n"/>
      <c r="Z143" s="55" t="n"/>
    </row>
    <row r="144" ht="12.75" customHeight="1" s="398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  <c r="Z144" s="55" t="n"/>
    </row>
    <row r="145" ht="12.75" customHeight="1" s="398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  <c r="W145" s="55" t="n"/>
      <c r="X145" s="55" t="n"/>
      <c r="Y145" s="55" t="n"/>
      <c r="Z145" s="55" t="n"/>
    </row>
    <row r="146" ht="12.75" customHeight="1" s="398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  <c r="W146" s="55" t="n"/>
      <c r="X146" s="55" t="n"/>
      <c r="Y146" s="55" t="n"/>
      <c r="Z146" s="55" t="n"/>
    </row>
    <row r="147" ht="12.75" customHeight="1" s="398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  <c r="W147" s="55" t="n"/>
      <c r="X147" s="55" t="n"/>
      <c r="Y147" s="55" t="n"/>
      <c r="Z147" s="55" t="n"/>
    </row>
    <row r="148" ht="12.75" customHeight="1" s="39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  <c r="W148" s="55" t="n"/>
      <c r="X148" s="55" t="n"/>
      <c r="Y148" s="55" t="n"/>
      <c r="Z148" s="55" t="n"/>
    </row>
    <row r="149" ht="12.75" customHeight="1" s="398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  <c r="W149" s="55" t="n"/>
      <c r="X149" s="55" t="n"/>
      <c r="Y149" s="55" t="n"/>
      <c r="Z149" s="55" t="n"/>
    </row>
    <row r="150" ht="12.75" customHeight="1" s="398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  <c r="W150" s="55" t="n"/>
      <c r="X150" s="55" t="n"/>
      <c r="Y150" s="55" t="n"/>
      <c r="Z150" s="55" t="n"/>
    </row>
    <row r="151" ht="12.75" customHeight="1" s="398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  <c r="W151" s="55" t="n"/>
      <c r="X151" s="55" t="n"/>
      <c r="Y151" s="55" t="n"/>
      <c r="Z151" s="55" t="n"/>
    </row>
    <row r="152" ht="12.75" customHeight="1" s="398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  <c r="W152" s="55" t="n"/>
      <c r="X152" s="55" t="n"/>
      <c r="Y152" s="55" t="n"/>
      <c r="Z152" s="55" t="n"/>
    </row>
    <row r="153" ht="12.75" customHeight="1" s="398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  <c r="W153" s="55" t="n"/>
      <c r="X153" s="55" t="n"/>
      <c r="Y153" s="55" t="n"/>
      <c r="Z153" s="55" t="n"/>
    </row>
    <row r="154" ht="12.75" customHeight="1" s="398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  <c r="W154" s="55" t="n"/>
      <c r="X154" s="55" t="n"/>
      <c r="Y154" s="55" t="n"/>
      <c r="Z154" s="55" t="n"/>
    </row>
    <row r="155" ht="12.75" customHeight="1" s="398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  <c r="W155" s="55" t="n"/>
      <c r="X155" s="55" t="n"/>
      <c r="Y155" s="55" t="n"/>
      <c r="Z155" s="55" t="n"/>
    </row>
    <row r="156" ht="12.75" customHeight="1" s="398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  <c r="W156" s="55" t="n"/>
      <c r="X156" s="55" t="n"/>
      <c r="Y156" s="55" t="n"/>
      <c r="Z156" s="55" t="n"/>
    </row>
    <row r="157" ht="12.75" customHeight="1" s="398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  <c r="W157" s="55" t="n"/>
      <c r="X157" s="55" t="n"/>
      <c r="Y157" s="55" t="n"/>
      <c r="Z157" s="55" t="n"/>
    </row>
    <row r="158" ht="12.75" customHeight="1" s="39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  <c r="W158" s="55" t="n"/>
      <c r="X158" s="55" t="n"/>
      <c r="Y158" s="55" t="n"/>
      <c r="Z158" s="55" t="n"/>
    </row>
    <row r="159" ht="12.75" customHeight="1" s="398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  <c r="W159" s="55" t="n"/>
      <c r="X159" s="55" t="n"/>
      <c r="Y159" s="55" t="n"/>
      <c r="Z159" s="55" t="n"/>
    </row>
    <row r="160" ht="12.75" customHeight="1" s="398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  <c r="W160" s="55" t="n"/>
      <c r="X160" s="55" t="n"/>
      <c r="Y160" s="55" t="n"/>
      <c r="Z160" s="55" t="n"/>
    </row>
    <row r="161" ht="12.75" customHeight="1" s="398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  <c r="W161" s="55" t="n"/>
      <c r="X161" s="55" t="n"/>
      <c r="Y161" s="55" t="n"/>
      <c r="Z161" s="55" t="n"/>
    </row>
    <row r="162" ht="12.75" customHeight="1" s="398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  <c r="W162" s="55" t="n"/>
      <c r="X162" s="55" t="n"/>
      <c r="Y162" s="55" t="n"/>
      <c r="Z162" s="55" t="n"/>
    </row>
    <row r="163" ht="12.75" customHeight="1" s="398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  <c r="W163" s="55" t="n"/>
      <c r="X163" s="55" t="n"/>
      <c r="Y163" s="55" t="n"/>
      <c r="Z163" s="55" t="n"/>
    </row>
    <row r="164" ht="12.75" customHeight="1" s="398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  <c r="W164" s="55" t="n"/>
      <c r="X164" s="55" t="n"/>
      <c r="Y164" s="55" t="n"/>
      <c r="Z164" s="55" t="n"/>
    </row>
    <row r="165" ht="12.75" customHeight="1" s="398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  <c r="W165" s="55" t="n"/>
      <c r="X165" s="55" t="n"/>
      <c r="Y165" s="55" t="n"/>
      <c r="Z165" s="55" t="n"/>
    </row>
    <row r="166" ht="12.75" customHeight="1" s="398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  <c r="W166" s="55" t="n"/>
      <c r="X166" s="55" t="n"/>
      <c r="Y166" s="55" t="n"/>
      <c r="Z166" s="55" t="n"/>
    </row>
    <row r="167" ht="12.75" customHeight="1" s="398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  <c r="W167" s="55" t="n"/>
      <c r="X167" s="55" t="n"/>
      <c r="Y167" s="55" t="n"/>
      <c r="Z167" s="55" t="n"/>
    </row>
    <row r="168" ht="12.75" customHeight="1" s="39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55" t="n"/>
      <c r="Y168" s="55" t="n"/>
      <c r="Z168" s="55" t="n"/>
    </row>
    <row r="169" ht="12.75" customHeight="1" s="398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  <c r="W169" s="55" t="n"/>
      <c r="X169" s="55" t="n"/>
      <c r="Y169" s="55" t="n"/>
      <c r="Z169" s="55" t="n"/>
    </row>
    <row r="170" ht="12.75" customHeight="1" s="398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  <c r="W170" s="55" t="n"/>
      <c r="X170" s="55" t="n"/>
      <c r="Y170" s="55" t="n"/>
      <c r="Z170" s="55" t="n"/>
    </row>
    <row r="171" ht="12.75" customHeight="1" s="398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Y171" s="55" t="n"/>
      <c r="Z171" s="55" t="n"/>
    </row>
    <row r="172" ht="12.75" customHeight="1" s="398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  <c r="W172" s="55" t="n"/>
      <c r="X172" s="55" t="n"/>
      <c r="Y172" s="55" t="n"/>
      <c r="Z172" s="55" t="n"/>
    </row>
    <row r="173" ht="12.75" customHeight="1" s="398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  <c r="W173" s="55" t="n"/>
      <c r="X173" s="55" t="n"/>
      <c r="Y173" s="55" t="n"/>
      <c r="Z173" s="55" t="n"/>
    </row>
    <row r="174" ht="12.75" customHeight="1" s="398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  <c r="W174" s="55" t="n"/>
      <c r="X174" s="55" t="n"/>
      <c r="Y174" s="55" t="n"/>
      <c r="Z174" s="55" t="n"/>
    </row>
    <row r="175" ht="12.75" customHeight="1" s="398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  <c r="W175" s="55" t="n"/>
      <c r="X175" s="55" t="n"/>
      <c r="Y175" s="55" t="n"/>
      <c r="Z175" s="55" t="n"/>
    </row>
    <row r="176" ht="12.75" customHeight="1" s="398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  <c r="W176" s="55" t="n"/>
      <c r="X176" s="55" t="n"/>
      <c r="Y176" s="55" t="n"/>
      <c r="Z176" s="55" t="n"/>
    </row>
    <row r="177" ht="12.75" customHeight="1" s="398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  <c r="W177" s="55" t="n"/>
      <c r="X177" s="55" t="n"/>
      <c r="Y177" s="55" t="n"/>
      <c r="Z177" s="55" t="n"/>
    </row>
    <row r="178" ht="12.75" customHeight="1" s="39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  <c r="W178" s="55" t="n"/>
      <c r="X178" s="55" t="n"/>
      <c r="Y178" s="55" t="n"/>
      <c r="Z178" s="55" t="n"/>
    </row>
    <row r="179" ht="12.75" customHeight="1" s="398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  <c r="W179" s="55" t="n"/>
      <c r="X179" s="55" t="n"/>
      <c r="Y179" s="55" t="n"/>
      <c r="Z179" s="55" t="n"/>
    </row>
    <row r="180" ht="12.75" customHeight="1" s="398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Y180" s="55" t="n"/>
      <c r="Z180" s="55" t="n"/>
    </row>
    <row r="181" ht="12.75" customHeight="1" s="398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Y181" s="55" t="n"/>
      <c r="Z181" s="55" t="n"/>
    </row>
    <row r="182" ht="12.75" customHeight="1" s="398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Y182" s="55" t="n"/>
      <c r="Z182" s="55" t="n"/>
    </row>
    <row r="183" ht="12.75" customHeight="1" s="398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Y183" s="55" t="n"/>
      <c r="Z183" s="55" t="n"/>
    </row>
    <row r="184" ht="12.75" customHeight="1" s="398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Y184" s="55" t="n"/>
      <c r="Z184" s="55" t="n"/>
    </row>
    <row r="185" ht="12.75" customHeight="1" s="398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Y185" s="55" t="n"/>
      <c r="Z185" s="55" t="n"/>
    </row>
    <row r="186" ht="12.75" customHeight="1" s="398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Y186" s="55" t="n"/>
      <c r="Z186" s="55" t="n"/>
    </row>
    <row r="187" ht="12.75" customHeight="1" s="398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Y187" s="55" t="n"/>
      <c r="Z187" s="55" t="n"/>
    </row>
    <row r="188" ht="12.75" customHeight="1" s="39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Y188" s="55" t="n"/>
      <c r="Z188" s="55" t="n"/>
    </row>
    <row r="189" ht="12.75" customHeight="1" s="398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  <c r="Z189" s="55" t="n"/>
    </row>
    <row r="190" ht="12.75" customHeight="1" s="398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Y190" s="55" t="n"/>
      <c r="Z190" s="55" t="n"/>
    </row>
    <row r="191" ht="12.75" customHeight="1" s="398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Y191" s="55" t="n"/>
      <c r="Z191" s="55" t="n"/>
    </row>
    <row r="192" ht="12.75" customHeight="1" s="398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Y192" s="55" t="n"/>
      <c r="Z192" s="55" t="n"/>
    </row>
    <row r="193" ht="12.75" customHeight="1" s="398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Y193" s="55" t="n"/>
      <c r="Z193" s="55" t="n"/>
    </row>
    <row r="194" ht="12.75" customHeight="1" s="398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Y194" s="55" t="n"/>
      <c r="Z194" s="55" t="n"/>
    </row>
    <row r="195" ht="12.75" customHeight="1" s="398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Y195" s="55" t="n"/>
      <c r="Z195" s="55" t="n"/>
    </row>
    <row r="196" ht="12.75" customHeight="1" s="398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  <c r="W196" s="55" t="n"/>
      <c r="X196" s="55" t="n"/>
      <c r="Y196" s="55" t="n"/>
      <c r="Z196" s="55" t="n"/>
    </row>
    <row r="197" ht="12.75" customHeight="1" s="398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  <c r="W197" s="55" t="n"/>
      <c r="X197" s="55" t="n"/>
      <c r="Y197" s="55" t="n"/>
      <c r="Z197" s="55" t="n"/>
    </row>
    <row r="198" ht="12.75" customHeight="1" s="3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  <c r="W198" s="55" t="n"/>
      <c r="X198" s="55" t="n"/>
      <c r="Y198" s="55" t="n"/>
      <c r="Z198" s="55" t="n"/>
    </row>
    <row r="199" ht="12.75" customHeight="1" s="398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  <c r="W199" s="55" t="n"/>
      <c r="X199" s="55" t="n"/>
      <c r="Y199" s="55" t="n"/>
      <c r="Z199" s="55" t="n"/>
    </row>
    <row r="200" ht="12.75" customHeight="1" s="398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  <c r="W200" s="55" t="n"/>
      <c r="X200" s="55" t="n"/>
      <c r="Y200" s="55" t="n"/>
      <c r="Z200" s="55" t="n"/>
    </row>
    <row r="201" ht="12.75" customHeight="1" s="398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  <c r="W201" s="55" t="n"/>
      <c r="X201" s="55" t="n"/>
      <c r="Y201" s="55" t="n"/>
      <c r="Z201" s="55" t="n"/>
    </row>
    <row r="202" ht="12.75" customHeight="1" s="398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  <c r="W202" s="55" t="n"/>
      <c r="X202" s="55" t="n"/>
      <c r="Y202" s="55" t="n"/>
      <c r="Z202" s="55" t="n"/>
    </row>
    <row r="203" ht="12.75" customHeight="1" s="398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  <c r="W203" s="55" t="n"/>
      <c r="X203" s="55" t="n"/>
      <c r="Y203" s="55" t="n"/>
      <c r="Z203" s="55" t="n"/>
    </row>
    <row r="204" ht="12.75" customHeight="1" s="398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  <c r="W204" s="55" t="n"/>
      <c r="X204" s="55" t="n"/>
      <c r="Y204" s="55" t="n"/>
      <c r="Z204" s="55" t="n"/>
    </row>
    <row r="205" ht="12.75" customHeight="1" s="398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  <c r="W205" s="55" t="n"/>
      <c r="X205" s="55" t="n"/>
      <c r="Y205" s="55" t="n"/>
      <c r="Z205" s="55" t="n"/>
    </row>
    <row r="206" ht="12.75" customHeight="1" s="398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  <c r="W206" s="55" t="n"/>
      <c r="X206" s="55" t="n"/>
      <c r="Y206" s="55" t="n"/>
      <c r="Z206" s="55" t="n"/>
    </row>
    <row r="207" ht="12.75" customHeight="1" s="398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  <c r="W207" s="55" t="n"/>
      <c r="X207" s="55" t="n"/>
      <c r="Y207" s="55" t="n"/>
      <c r="Z207" s="55" t="n"/>
    </row>
    <row r="208" ht="12.75" customHeight="1" s="39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  <c r="W208" s="55" t="n"/>
      <c r="X208" s="55" t="n"/>
      <c r="Y208" s="55" t="n"/>
      <c r="Z208" s="55" t="n"/>
    </row>
    <row r="209" ht="12.75" customHeight="1" s="398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  <c r="W209" s="55" t="n"/>
      <c r="X209" s="55" t="n"/>
      <c r="Y209" s="55" t="n"/>
      <c r="Z209" s="55" t="n"/>
    </row>
    <row r="210" ht="12.75" customHeight="1" s="398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  <c r="W210" s="55" t="n"/>
      <c r="X210" s="55" t="n"/>
      <c r="Y210" s="55" t="n"/>
      <c r="Z210" s="55" t="n"/>
    </row>
    <row r="211" ht="12.75" customHeight="1" s="398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  <c r="W211" s="55" t="n"/>
      <c r="X211" s="55" t="n"/>
      <c r="Y211" s="55" t="n"/>
      <c r="Z211" s="55" t="n"/>
    </row>
    <row r="212" ht="12.75" customHeight="1" s="398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  <c r="W212" s="55" t="n"/>
      <c r="X212" s="55" t="n"/>
      <c r="Y212" s="55" t="n"/>
      <c r="Z212" s="55" t="n"/>
    </row>
    <row r="213" ht="12.75" customHeight="1" s="398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  <c r="W213" s="55" t="n"/>
      <c r="X213" s="55" t="n"/>
      <c r="Y213" s="55" t="n"/>
      <c r="Z213" s="55" t="n"/>
    </row>
    <row r="214" ht="12.75" customHeight="1" s="398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  <c r="W214" s="55" t="n"/>
      <c r="X214" s="55" t="n"/>
      <c r="Y214" s="55" t="n"/>
      <c r="Z214" s="55" t="n"/>
    </row>
    <row r="215" ht="12.75" customHeight="1" s="398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  <c r="W215" s="55" t="n"/>
      <c r="X215" s="55" t="n"/>
      <c r="Y215" s="55" t="n"/>
      <c r="Z215" s="55" t="n"/>
    </row>
    <row r="216" ht="12.75" customHeight="1" s="398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  <c r="W216" s="55" t="n"/>
      <c r="X216" s="55" t="n"/>
      <c r="Y216" s="55" t="n"/>
      <c r="Z216" s="55" t="n"/>
    </row>
    <row r="217" ht="12.75" customHeight="1" s="398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  <c r="W217" s="55" t="n"/>
      <c r="X217" s="55" t="n"/>
      <c r="Y217" s="55" t="n"/>
      <c r="Z217" s="55" t="n"/>
    </row>
    <row r="218" ht="12.75" customHeight="1" s="39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  <c r="W218" s="55" t="n"/>
      <c r="X218" s="55" t="n"/>
      <c r="Y218" s="55" t="n"/>
      <c r="Z218" s="55" t="n"/>
    </row>
    <row r="219" ht="12.75" customHeight="1" s="398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  <c r="W219" s="55" t="n"/>
      <c r="X219" s="55" t="n"/>
      <c r="Y219" s="55" t="n"/>
      <c r="Z219" s="55" t="n"/>
    </row>
    <row r="220" ht="12.75" customHeight="1" s="398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  <c r="W220" s="55" t="n"/>
      <c r="X220" s="55" t="n"/>
      <c r="Y220" s="55" t="n"/>
      <c r="Z220" s="55" t="n"/>
    </row>
    <row r="221" ht="12.75" customHeight="1" s="398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  <c r="W221" s="55" t="n"/>
      <c r="X221" s="55" t="n"/>
      <c r="Y221" s="55" t="n"/>
      <c r="Z221" s="55" t="n"/>
    </row>
    <row r="222" ht="12.75" customHeight="1" s="398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  <c r="W222" s="55" t="n"/>
      <c r="X222" s="55" t="n"/>
      <c r="Y222" s="55" t="n"/>
      <c r="Z222" s="55" t="n"/>
    </row>
    <row r="223" ht="12.75" customHeight="1" s="398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  <c r="W223" s="55" t="n"/>
      <c r="X223" s="55" t="n"/>
      <c r="Y223" s="55" t="n"/>
      <c r="Z223" s="55" t="n"/>
    </row>
    <row r="224" ht="12.75" customHeight="1" s="398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  <c r="W224" s="55" t="n"/>
      <c r="X224" s="55" t="n"/>
      <c r="Y224" s="55" t="n"/>
      <c r="Z224" s="55" t="n"/>
    </row>
    <row r="225" ht="12.75" customHeight="1" s="398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  <c r="W225" s="55" t="n"/>
      <c r="X225" s="55" t="n"/>
      <c r="Y225" s="55" t="n"/>
      <c r="Z225" s="55" t="n"/>
    </row>
    <row r="226" ht="12.75" customHeight="1" s="398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  <c r="W226" s="55" t="n"/>
      <c r="X226" s="55" t="n"/>
      <c r="Y226" s="55" t="n"/>
      <c r="Z226" s="55" t="n"/>
    </row>
    <row r="227" ht="12.75" customHeight="1" s="398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  <c r="W227" s="55" t="n"/>
      <c r="X227" s="55" t="n"/>
      <c r="Y227" s="55" t="n"/>
      <c r="Z227" s="55" t="n"/>
    </row>
    <row r="228" ht="12.75" customHeight="1" s="39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  <c r="W228" s="55" t="n"/>
      <c r="X228" s="55" t="n"/>
      <c r="Y228" s="55" t="n"/>
      <c r="Z228" s="55" t="n"/>
    </row>
    <row r="229" ht="12.75" customHeight="1" s="398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  <c r="W229" s="55" t="n"/>
      <c r="X229" s="55" t="n"/>
      <c r="Y229" s="55" t="n"/>
      <c r="Z229" s="55" t="n"/>
    </row>
    <row r="230" ht="12.75" customHeight="1" s="398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  <c r="W230" s="55" t="n"/>
      <c r="X230" s="55" t="n"/>
      <c r="Y230" s="55" t="n"/>
      <c r="Z230" s="55" t="n"/>
    </row>
    <row r="231" ht="12.75" customHeight="1" s="398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  <c r="W231" s="55" t="n"/>
      <c r="X231" s="55" t="n"/>
      <c r="Y231" s="55" t="n"/>
      <c r="Z231" s="55" t="n"/>
    </row>
    <row r="232" ht="12.75" customHeight="1" s="398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  <c r="W232" s="55" t="n"/>
      <c r="X232" s="55" t="n"/>
      <c r="Y232" s="55" t="n"/>
      <c r="Z232" s="55" t="n"/>
    </row>
    <row r="233" ht="12.75" customHeight="1" s="398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  <c r="W233" s="55" t="n"/>
      <c r="X233" s="55" t="n"/>
      <c r="Y233" s="55" t="n"/>
      <c r="Z233" s="55" t="n"/>
    </row>
    <row r="234" ht="12.75" customHeight="1" s="398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  <c r="W234" s="55" t="n"/>
      <c r="X234" s="55" t="n"/>
      <c r="Y234" s="55" t="n"/>
      <c r="Z234" s="55" t="n"/>
    </row>
    <row r="235" ht="12.75" customHeight="1" s="398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  <c r="W235" s="55" t="n"/>
      <c r="X235" s="55" t="n"/>
      <c r="Y235" s="55" t="n"/>
      <c r="Z235" s="55" t="n"/>
    </row>
    <row r="236" ht="12.75" customHeight="1" s="398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  <c r="W236" s="55" t="n"/>
      <c r="X236" s="55" t="n"/>
      <c r="Y236" s="55" t="n"/>
      <c r="Z236" s="55" t="n"/>
    </row>
    <row r="237" ht="12.75" customHeight="1" s="398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  <c r="W237" s="55" t="n"/>
      <c r="X237" s="55" t="n"/>
      <c r="Y237" s="55" t="n"/>
      <c r="Z237" s="55" t="n"/>
    </row>
    <row r="238" ht="12.75" customHeight="1" s="39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  <c r="W238" s="55" t="n"/>
      <c r="X238" s="55" t="n"/>
      <c r="Y238" s="55" t="n"/>
      <c r="Z238" s="55" t="n"/>
    </row>
    <row r="239" ht="12.75" customHeight="1" s="398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  <c r="W239" s="55" t="n"/>
      <c r="X239" s="55" t="n"/>
      <c r="Y239" s="55" t="n"/>
      <c r="Z239" s="55" t="n"/>
    </row>
    <row r="240" ht="12.75" customHeight="1" s="398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  <c r="W240" s="55" t="n"/>
      <c r="X240" s="55" t="n"/>
      <c r="Y240" s="55" t="n"/>
      <c r="Z240" s="55" t="n"/>
    </row>
    <row r="241" ht="12.75" customHeight="1" s="398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  <c r="W241" s="55" t="n"/>
      <c r="X241" s="55" t="n"/>
      <c r="Y241" s="55" t="n"/>
      <c r="Z241" s="55" t="n"/>
    </row>
    <row r="242" ht="12.75" customHeight="1" s="398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  <c r="W242" s="55" t="n"/>
      <c r="X242" s="55" t="n"/>
      <c r="Y242" s="55" t="n"/>
      <c r="Z242" s="55" t="n"/>
    </row>
    <row r="243" ht="12.75" customHeight="1" s="398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  <c r="W243" s="55" t="n"/>
      <c r="X243" s="55" t="n"/>
      <c r="Y243" s="55" t="n"/>
      <c r="Z243" s="55" t="n"/>
    </row>
    <row r="244" ht="12.75" customHeight="1" s="398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  <c r="W244" s="55" t="n"/>
      <c r="X244" s="55" t="n"/>
      <c r="Y244" s="55" t="n"/>
      <c r="Z244" s="55" t="n"/>
    </row>
    <row r="245" ht="12.75" customHeight="1" s="398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  <c r="W245" s="55" t="n"/>
      <c r="X245" s="55" t="n"/>
      <c r="Y245" s="55" t="n"/>
      <c r="Z245" s="55" t="n"/>
    </row>
    <row r="246" ht="12.75" customHeight="1" s="398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  <c r="W246" s="55" t="n"/>
      <c r="X246" s="55" t="n"/>
      <c r="Y246" s="55" t="n"/>
      <c r="Z246" s="55" t="n"/>
    </row>
    <row r="247" ht="12.75" customHeight="1" s="398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  <c r="W247" s="55" t="n"/>
      <c r="X247" s="55" t="n"/>
      <c r="Y247" s="55" t="n"/>
      <c r="Z247" s="55" t="n"/>
    </row>
    <row r="248" ht="12.75" customHeight="1" s="39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  <c r="W248" s="55" t="n"/>
      <c r="X248" s="55" t="n"/>
      <c r="Y248" s="55" t="n"/>
      <c r="Z248" s="55" t="n"/>
    </row>
    <row r="249" ht="12.75" customHeight="1" s="398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  <c r="W249" s="55" t="n"/>
      <c r="X249" s="55" t="n"/>
      <c r="Y249" s="55" t="n"/>
      <c r="Z249" s="55" t="n"/>
    </row>
    <row r="250" ht="12.75" customHeight="1" s="398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  <c r="W250" s="55" t="n"/>
      <c r="X250" s="55" t="n"/>
      <c r="Y250" s="55" t="n"/>
      <c r="Z250" s="55" t="n"/>
    </row>
    <row r="251" ht="12.75" customHeight="1" s="398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  <c r="W251" s="55" t="n"/>
      <c r="X251" s="55" t="n"/>
      <c r="Y251" s="55" t="n"/>
      <c r="Z251" s="55" t="n"/>
    </row>
    <row r="252" ht="12.75" customHeight="1" s="398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  <c r="W252" s="55" t="n"/>
      <c r="X252" s="55" t="n"/>
      <c r="Y252" s="55" t="n"/>
      <c r="Z252" s="55" t="n"/>
    </row>
    <row r="253" ht="12.75" customHeight="1" s="398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  <c r="W253" s="55" t="n"/>
      <c r="X253" s="55" t="n"/>
      <c r="Y253" s="55" t="n"/>
      <c r="Z253" s="55" t="n"/>
    </row>
    <row r="254" ht="12.75" customHeight="1" s="398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  <c r="W254" s="55" t="n"/>
      <c r="X254" s="55" t="n"/>
      <c r="Y254" s="55" t="n"/>
      <c r="Z254" s="55" t="n"/>
    </row>
    <row r="255" ht="12.75" customHeight="1" s="398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  <c r="W255" s="55" t="n"/>
      <c r="X255" s="55" t="n"/>
      <c r="Y255" s="55" t="n"/>
      <c r="Z255" s="55" t="n"/>
    </row>
    <row r="256" ht="12.75" customHeight="1" s="398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  <c r="W256" s="55" t="n"/>
      <c r="X256" s="55" t="n"/>
      <c r="Y256" s="55" t="n"/>
      <c r="Z256" s="55" t="n"/>
    </row>
    <row r="257" ht="12.75" customHeight="1" s="398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  <c r="W257" s="55" t="n"/>
      <c r="X257" s="55" t="n"/>
      <c r="Y257" s="55" t="n"/>
      <c r="Z257" s="55" t="n"/>
    </row>
    <row r="258" ht="12.75" customHeight="1" s="39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  <c r="W258" s="55" t="n"/>
      <c r="X258" s="55" t="n"/>
      <c r="Y258" s="55" t="n"/>
      <c r="Z258" s="55" t="n"/>
    </row>
    <row r="259" ht="12.75" customHeight="1" s="398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  <c r="W259" s="55" t="n"/>
      <c r="X259" s="55" t="n"/>
      <c r="Y259" s="55" t="n"/>
      <c r="Z259" s="55" t="n"/>
    </row>
    <row r="260" ht="12.75" customHeight="1" s="398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  <c r="W260" s="55" t="n"/>
      <c r="X260" s="55" t="n"/>
      <c r="Y260" s="55" t="n"/>
      <c r="Z260" s="55" t="n"/>
    </row>
    <row r="261" ht="12.75" customHeight="1" s="398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  <c r="W261" s="55" t="n"/>
      <c r="X261" s="55" t="n"/>
      <c r="Y261" s="55" t="n"/>
      <c r="Z261" s="55" t="n"/>
    </row>
    <row r="262" ht="12.75" customHeight="1" s="398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  <c r="W262" s="55" t="n"/>
      <c r="X262" s="55" t="n"/>
      <c r="Y262" s="55" t="n"/>
      <c r="Z262" s="55" t="n"/>
    </row>
    <row r="263" ht="12.75" customHeight="1" s="398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  <c r="W263" s="55" t="n"/>
      <c r="X263" s="55" t="n"/>
      <c r="Y263" s="55" t="n"/>
      <c r="Z263" s="55" t="n"/>
    </row>
    <row r="264" ht="12.75" customHeight="1" s="398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  <c r="W264" s="55" t="n"/>
      <c r="X264" s="55" t="n"/>
      <c r="Y264" s="55" t="n"/>
      <c r="Z264" s="55" t="n"/>
    </row>
    <row r="265" ht="12.75" customHeight="1" s="398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  <c r="W265" s="55" t="n"/>
      <c r="X265" s="55" t="n"/>
      <c r="Y265" s="55" t="n"/>
      <c r="Z265" s="55" t="n"/>
    </row>
    <row r="266" ht="12.75" customHeight="1" s="398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  <c r="W266" s="55" t="n"/>
      <c r="X266" s="55" t="n"/>
      <c r="Y266" s="55" t="n"/>
      <c r="Z266" s="55" t="n"/>
    </row>
    <row r="267" ht="12.75" customHeight="1" s="398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  <c r="W267" s="55" t="n"/>
      <c r="X267" s="55" t="n"/>
      <c r="Y267" s="55" t="n"/>
      <c r="Z267" s="55" t="n"/>
    </row>
    <row r="268" ht="12.75" customHeight="1" s="39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  <c r="W268" s="55" t="n"/>
      <c r="X268" s="55" t="n"/>
      <c r="Y268" s="55" t="n"/>
      <c r="Z268" s="55" t="n"/>
    </row>
    <row r="269" ht="12.75" customHeight="1" s="398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  <c r="W269" s="55" t="n"/>
      <c r="X269" s="55" t="n"/>
      <c r="Y269" s="55" t="n"/>
      <c r="Z269" s="55" t="n"/>
    </row>
    <row r="270" ht="12.75" customHeight="1" s="398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  <c r="W270" s="55" t="n"/>
      <c r="X270" s="55" t="n"/>
      <c r="Y270" s="55" t="n"/>
      <c r="Z270" s="55" t="n"/>
    </row>
    <row r="271" ht="12.75" customHeight="1" s="398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  <c r="W271" s="55" t="n"/>
      <c r="X271" s="55" t="n"/>
      <c r="Y271" s="55" t="n"/>
      <c r="Z271" s="55" t="n"/>
    </row>
    <row r="272" ht="12.75" customHeight="1" s="398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  <c r="W272" s="55" t="n"/>
      <c r="X272" s="55" t="n"/>
      <c r="Y272" s="55" t="n"/>
      <c r="Z272" s="55" t="n"/>
    </row>
    <row r="273" ht="12.75" customHeight="1" s="398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  <c r="W273" s="55" t="n"/>
      <c r="X273" s="55" t="n"/>
      <c r="Y273" s="55" t="n"/>
      <c r="Z273" s="55" t="n"/>
    </row>
    <row r="274" ht="12.75" customHeight="1" s="398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  <c r="W274" s="55" t="n"/>
      <c r="X274" s="55" t="n"/>
      <c r="Y274" s="55" t="n"/>
      <c r="Z274" s="55" t="n"/>
    </row>
    <row r="275" ht="12.75" customHeight="1" s="398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  <c r="W275" s="55" t="n"/>
      <c r="X275" s="55" t="n"/>
      <c r="Y275" s="55" t="n"/>
      <c r="Z275" s="55" t="n"/>
    </row>
    <row r="276" ht="12.75" customHeight="1" s="398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  <c r="W276" s="55" t="n"/>
      <c r="X276" s="55" t="n"/>
      <c r="Y276" s="55" t="n"/>
      <c r="Z276" s="55" t="n"/>
    </row>
    <row r="277" ht="12.75" customHeight="1" s="398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  <c r="W277" s="55" t="n"/>
      <c r="X277" s="55" t="n"/>
      <c r="Y277" s="55" t="n"/>
      <c r="Z277" s="55" t="n"/>
    </row>
    <row r="278" ht="12.75" customHeight="1" s="39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  <c r="W278" s="55" t="n"/>
      <c r="X278" s="55" t="n"/>
      <c r="Y278" s="55" t="n"/>
      <c r="Z278" s="55" t="n"/>
    </row>
    <row r="279" ht="12.75" customHeight="1" s="398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  <c r="W279" s="55" t="n"/>
      <c r="X279" s="55" t="n"/>
      <c r="Y279" s="55" t="n"/>
      <c r="Z279" s="55" t="n"/>
    </row>
    <row r="280" ht="12.75" customHeight="1" s="398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  <c r="W280" s="55" t="n"/>
      <c r="X280" s="55" t="n"/>
      <c r="Y280" s="55" t="n"/>
      <c r="Z280" s="55" t="n"/>
    </row>
    <row r="281" ht="12.75" customHeight="1" s="398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  <c r="W281" s="55" t="n"/>
      <c r="X281" s="55" t="n"/>
      <c r="Y281" s="55" t="n"/>
      <c r="Z281" s="55" t="n"/>
    </row>
    <row r="282" ht="12.75" customHeight="1" s="398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  <c r="W282" s="55" t="n"/>
      <c r="X282" s="55" t="n"/>
      <c r="Y282" s="55" t="n"/>
      <c r="Z282" s="55" t="n"/>
    </row>
    <row r="283" ht="12.75" customHeight="1" s="398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  <c r="W283" s="55" t="n"/>
      <c r="X283" s="55" t="n"/>
      <c r="Y283" s="55" t="n"/>
      <c r="Z283" s="55" t="n"/>
    </row>
    <row r="284" ht="12.75" customHeight="1" s="398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  <c r="W284" s="55" t="n"/>
      <c r="X284" s="55" t="n"/>
      <c r="Y284" s="55" t="n"/>
      <c r="Z284" s="55" t="n"/>
    </row>
    <row r="285" ht="12.75" customHeight="1" s="398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  <c r="W285" s="55" t="n"/>
      <c r="X285" s="55" t="n"/>
      <c r="Y285" s="55" t="n"/>
      <c r="Z285" s="55" t="n"/>
    </row>
    <row r="286" ht="12.75" customHeight="1" s="398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  <c r="W286" s="55" t="n"/>
      <c r="X286" s="55" t="n"/>
      <c r="Y286" s="55" t="n"/>
      <c r="Z286" s="55" t="n"/>
    </row>
    <row r="287" ht="12.75" customHeight="1" s="398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  <c r="W287" s="55" t="n"/>
      <c r="X287" s="55" t="n"/>
      <c r="Y287" s="55" t="n"/>
      <c r="Z287" s="55" t="n"/>
    </row>
    <row r="288" ht="12.75" customHeight="1" s="39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  <c r="W288" s="55" t="n"/>
      <c r="X288" s="55" t="n"/>
      <c r="Y288" s="55" t="n"/>
      <c r="Z288" s="55" t="n"/>
    </row>
    <row r="289" ht="12.75" customHeight="1" s="398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  <c r="W289" s="55" t="n"/>
      <c r="X289" s="55" t="n"/>
      <c r="Y289" s="55" t="n"/>
      <c r="Z289" s="55" t="n"/>
    </row>
    <row r="290" ht="12.75" customHeight="1" s="398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  <c r="W290" s="55" t="n"/>
      <c r="X290" s="55" t="n"/>
      <c r="Y290" s="55" t="n"/>
      <c r="Z290" s="55" t="n"/>
    </row>
    <row r="291" ht="12.75" customHeight="1" s="398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  <c r="W291" s="55" t="n"/>
      <c r="X291" s="55" t="n"/>
      <c r="Y291" s="55" t="n"/>
      <c r="Z291" s="55" t="n"/>
    </row>
    <row r="292" ht="12.75" customHeight="1" s="398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  <c r="W292" s="55" t="n"/>
      <c r="X292" s="55" t="n"/>
      <c r="Y292" s="55" t="n"/>
      <c r="Z292" s="55" t="n"/>
    </row>
    <row r="293" ht="12.75" customHeight="1" s="398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  <c r="W293" s="55" t="n"/>
      <c r="X293" s="55" t="n"/>
      <c r="Y293" s="55" t="n"/>
      <c r="Z293" s="55" t="n"/>
    </row>
    <row r="294" ht="12.75" customHeight="1" s="398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  <c r="W294" s="55" t="n"/>
      <c r="X294" s="55" t="n"/>
      <c r="Y294" s="55" t="n"/>
      <c r="Z294" s="55" t="n"/>
    </row>
    <row r="295" ht="12.75" customHeight="1" s="398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  <c r="W295" s="55" t="n"/>
      <c r="X295" s="55" t="n"/>
      <c r="Y295" s="55" t="n"/>
      <c r="Z295" s="55" t="n"/>
    </row>
    <row r="296" ht="12.75" customHeight="1" s="398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  <c r="W296" s="55" t="n"/>
      <c r="X296" s="55" t="n"/>
      <c r="Y296" s="55" t="n"/>
      <c r="Z296" s="55" t="n"/>
    </row>
    <row r="297" ht="12.75" customHeight="1" s="398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  <c r="W297" s="55" t="n"/>
      <c r="X297" s="55" t="n"/>
      <c r="Y297" s="55" t="n"/>
      <c r="Z297" s="55" t="n"/>
    </row>
    <row r="298" ht="12.75" customHeight="1" s="3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  <c r="W298" s="55" t="n"/>
      <c r="X298" s="55" t="n"/>
      <c r="Y298" s="55" t="n"/>
      <c r="Z298" s="55" t="n"/>
    </row>
    <row r="299" ht="12.75" customHeight="1" s="398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  <c r="W299" s="55" t="n"/>
      <c r="X299" s="55" t="n"/>
      <c r="Y299" s="55" t="n"/>
      <c r="Z299" s="55" t="n"/>
    </row>
    <row r="300" ht="12.75" customHeight="1" s="398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  <c r="W300" s="55" t="n"/>
      <c r="X300" s="55" t="n"/>
      <c r="Y300" s="55" t="n"/>
      <c r="Z300" s="55" t="n"/>
    </row>
    <row r="301" ht="12.75" customHeight="1" s="398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  <c r="W301" s="55" t="n"/>
      <c r="X301" s="55" t="n"/>
      <c r="Y301" s="55" t="n"/>
      <c r="Z301" s="55" t="n"/>
    </row>
    <row r="302" ht="12.75" customHeight="1" s="398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  <c r="W302" s="55" t="n"/>
      <c r="X302" s="55" t="n"/>
      <c r="Y302" s="55" t="n"/>
      <c r="Z302" s="55" t="n"/>
    </row>
    <row r="303" ht="12.75" customHeight="1" s="398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  <c r="W303" s="55" t="n"/>
      <c r="X303" s="55" t="n"/>
      <c r="Y303" s="55" t="n"/>
      <c r="Z303" s="55" t="n"/>
    </row>
    <row r="304" ht="12.75" customHeight="1" s="398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  <c r="W304" s="55" t="n"/>
      <c r="X304" s="55" t="n"/>
      <c r="Y304" s="55" t="n"/>
      <c r="Z304" s="55" t="n"/>
    </row>
    <row r="305" ht="12.75" customHeight="1" s="398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  <c r="W305" s="55" t="n"/>
      <c r="X305" s="55" t="n"/>
      <c r="Y305" s="55" t="n"/>
      <c r="Z305" s="55" t="n"/>
    </row>
    <row r="306" ht="12.75" customHeight="1" s="398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  <c r="W306" s="55" t="n"/>
      <c r="X306" s="55" t="n"/>
      <c r="Y306" s="55" t="n"/>
      <c r="Z306" s="55" t="n"/>
    </row>
    <row r="307" ht="12.75" customHeight="1" s="398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  <c r="W307" s="55" t="n"/>
      <c r="X307" s="55" t="n"/>
      <c r="Y307" s="55" t="n"/>
      <c r="Z307" s="55" t="n"/>
    </row>
    <row r="308" ht="12.75" customHeight="1" s="39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  <c r="W308" s="55" t="n"/>
      <c r="X308" s="55" t="n"/>
      <c r="Y308" s="55" t="n"/>
      <c r="Z308" s="55" t="n"/>
    </row>
    <row r="309" ht="12.75" customHeight="1" s="398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  <c r="W309" s="55" t="n"/>
      <c r="X309" s="55" t="n"/>
      <c r="Y309" s="55" t="n"/>
      <c r="Z309" s="55" t="n"/>
    </row>
    <row r="310" ht="12.75" customHeight="1" s="398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  <c r="W310" s="55" t="n"/>
      <c r="X310" s="55" t="n"/>
      <c r="Y310" s="55" t="n"/>
      <c r="Z310" s="55" t="n"/>
    </row>
    <row r="311" ht="12.75" customHeight="1" s="398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  <c r="W311" s="55" t="n"/>
      <c r="X311" s="55" t="n"/>
      <c r="Y311" s="55" t="n"/>
      <c r="Z311" s="55" t="n"/>
    </row>
    <row r="312" ht="12.75" customHeight="1" s="398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  <c r="W312" s="55" t="n"/>
      <c r="X312" s="55" t="n"/>
      <c r="Y312" s="55" t="n"/>
      <c r="Z312" s="55" t="n"/>
    </row>
    <row r="313" ht="12.75" customHeight="1" s="398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  <c r="W313" s="55" t="n"/>
      <c r="X313" s="55" t="n"/>
      <c r="Y313" s="55" t="n"/>
      <c r="Z313" s="55" t="n"/>
    </row>
    <row r="314" ht="12.75" customHeight="1" s="398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  <c r="W314" s="55" t="n"/>
      <c r="X314" s="55" t="n"/>
      <c r="Y314" s="55" t="n"/>
      <c r="Z314" s="55" t="n"/>
    </row>
    <row r="315" ht="12.75" customHeight="1" s="398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  <c r="W315" s="55" t="n"/>
      <c r="X315" s="55" t="n"/>
      <c r="Y315" s="55" t="n"/>
      <c r="Z315" s="55" t="n"/>
    </row>
    <row r="316" ht="12.75" customHeight="1" s="398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  <c r="W316" s="55" t="n"/>
      <c r="X316" s="55" t="n"/>
      <c r="Y316" s="55" t="n"/>
      <c r="Z316" s="55" t="n"/>
    </row>
    <row r="317" ht="12.75" customHeight="1" s="398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  <c r="W317" s="55" t="n"/>
      <c r="X317" s="55" t="n"/>
      <c r="Y317" s="55" t="n"/>
      <c r="Z317" s="55" t="n"/>
    </row>
    <row r="318" ht="12.75" customHeight="1" s="39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  <c r="W318" s="55" t="n"/>
      <c r="X318" s="55" t="n"/>
      <c r="Y318" s="55" t="n"/>
      <c r="Z318" s="55" t="n"/>
    </row>
    <row r="319" ht="12.75" customHeight="1" s="398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  <c r="W319" s="55" t="n"/>
      <c r="X319" s="55" t="n"/>
      <c r="Y319" s="55" t="n"/>
      <c r="Z319" s="55" t="n"/>
    </row>
    <row r="320" ht="12.75" customHeight="1" s="398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  <c r="W320" s="55" t="n"/>
      <c r="X320" s="55" t="n"/>
      <c r="Y320" s="55" t="n"/>
      <c r="Z320" s="55" t="n"/>
    </row>
    <row r="321" ht="12.75" customHeight="1" s="398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  <c r="W321" s="55" t="n"/>
      <c r="X321" s="55" t="n"/>
      <c r="Y321" s="55" t="n"/>
      <c r="Z321" s="55" t="n"/>
    </row>
    <row r="322" ht="12.75" customHeight="1" s="398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  <c r="W322" s="55" t="n"/>
      <c r="X322" s="55" t="n"/>
      <c r="Y322" s="55" t="n"/>
      <c r="Z322" s="55" t="n"/>
    </row>
    <row r="323" ht="12.75" customHeight="1" s="398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  <c r="W323" s="55" t="n"/>
      <c r="X323" s="55" t="n"/>
      <c r="Y323" s="55" t="n"/>
      <c r="Z323" s="55" t="n"/>
    </row>
    <row r="324" ht="12.75" customHeight="1" s="398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  <c r="W324" s="55" t="n"/>
      <c r="X324" s="55" t="n"/>
      <c r="Y324" s="55" t="n"/>
      <c r="Z324" s="55" t="n"/>
    </row>
    <row r="325" ht="12.75" customHeight="1" s="398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  <c r="W325" s="55" t="n"/>
      <c r="X325" s="55" t="n"/>
      <c r="Y325" s="55" t="n"/>
      <c r="Z325" s="55" t="n"/>
    </row>
    <row r="326" ht="12.75" customHeight="1" s="398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  <c r="W326" s="55" t="n"/>
      <c r="X326" s="55" t="n"/>
      <c r="Y326" s="55" t="n"/>
      <c r="Z326" s="55" t="n"/>
    </row>
    <row r="327" ht="12.75" customHeight="1" s="398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  <c r="W327" s="55" t="n"/>
      <c r="X327" s="55" t="n"/>
      <c r="Y327" s="55" t="n"/>
      <c r="Z327" s="55" t="n"/>
    </row>
    <row r="328" ht="12.75" customHeight="1" s="39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  <c r="W328" s="55" t="n"/>
      <c r="X328" s="55" t="n"/>
      <c r="Y328" s="55" t="n"/>
      <c r="Z328" s="55" t="n"/>
    </row>
    <row r="329" ht="12.75" customHeight="1" s="398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  <c r="W329" s="55" t="n"/>
      <c r="X329" s="55" t="n"/>
      <c r="Y329" s="55" t="n"/>
      <c r="Z329" s="55" t="n"/>
    </row>
    <row r="330" ht="12.75" customHeight="1" s="398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  <c r="W330" s="55" t="n"/>
      <c r="X330" s="55" t="n"/>
      <c r="Y330" s="55" t="n"/>
      <c r="Z330" s="55" t="n"/>
    </row>
    <row r="331" ht="12.75" customHeight="1" s="398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  <c r="W331" s="55" t="n"/>
      <c r="X331" s="55" t="n"/>
      <c r="Y331" s="55" t="n"/>
      <c r="Z331" s="55" t="n"/>
    </row>
    <row r="332" ht="12.75" customHeight="1" s="398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  <c r="W332" s="55" t="n"/>
      <c r="X332" s="55" t="n"/>
      <c r="Y332" s="55" t="n"/>
      <c r="Z332" s="55" t="n"/>
    </row>
    <row r="333" ht="12.75" customHeight="1" s="398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  <c r="W333" s="55" t="n"/>
      <c r="X333" s="55" t="n"/>
      <c r="Y333" s="55" t="n"/>
      <c r="Z333" s="55" t="n"/>
    </row>
    <row r="334" ht="12.75" customHeight="1" s="398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  <c r="W334" s="55" t="n"/>
      <c r="X334" s="55" t="n"/>
      <c r="Y334" s="55" t="n"/>
      <c r="Z334" s="55" t="n"/>
    </row>
    <row r="335" ht="12.75" customHeight="1" s="398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  <c r="W335" s="55" t="n"/>
      <c r="X335" s="55" t="n"/>
      <c r="Y335" s="55" t="n"/>
      <c r="Z335" s="55" t="n"/>
    </row>
    <row r="336" ht="12.75" customHeight="1" s="398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  <c r="W336" s="55" t="n"/>
      <c r="X336" s="55" t="n"/>
      <c r="Y336" s="55" t="n"/>
      <c r="Z336" s="55" t="n"/>
    </row>
    <row r="337" ht="12.75" customHeight="1" s="398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  <c r="W337" s="55" t="n"/>
      <c r="X337" s="55" t="n"/>
      <c r="Y337" s="55" t="n"/>
      <c r="Z337" s="55" t="n"/>
    </row>
    <row r="338" ht="12.75" customHeight="1" s="39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  <c r="W338" s="55" t="n"/>
      <c r="X338" s="55" t="n"/>
      <c r="Y338" s="55" t="n"/>
      <c r="Z338" s="55" t="n"/>
    </row>
    <row r="339" ht="12.75" customHeight="1" s="398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  <c r="W339" s="55" t="n"/>
      <c r="X339" s="55" t="n"/>
      <c r="Y339" s="55" t="n"/>
      <c r="Z339" s="55" t="n"/>
    </row>
    <row r="340" ht="12.75" customHeight="1" s="398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  <c r="W340" s="55" t="n"/>
      <c r="X340" s="55" t="n"/>
      <c r="Y340" s="55" t="n"/>
      <c r="Z340" s="55" t="n"/>
    </row>
    <row r="341" ht="12.75" customHeight="1" s="398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  <c r="W341" s="55" t="n"/>
      <c r="X341" s="55" t="n"/>
      <c r="Y341" s="55" t="n"/>
      <c r="Z341" s="55" t="n"/>
    </row>
    <row r="342" ht="12.75" customHeight="1" s="398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  <c r="W342" s="55" t="n"/>
      <c r="X342" s="55" t="n"/>
      <c r="Y342" s="55" t="n"/>
      <c r="Z342" s="55" t="n"/>
    </row>
    <row r="343" ht="12.75" customHeight="1" s="398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  <c r="W343" s="55" t="n"/>
      <c r="X343" s="55" t="n"/>
      <c r="Y343" s="55" t="n"/>
      <c r="Z343" s="55" t="n"/>
    </row>
    <row r="344" ht="12.75" customHeight="1" s="398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  <c r="W344" s="55" t="n"/>
      <c r="X344" s="55" t="n"/>
      <c r="Y344" s="55" t="n"/>
      <c r="Z344" s="55" t="n"/>
    </row>
    <row r="345" ht="12.75" customHeight="1" s="398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  <c r="W345" s="55" t="n"/>
      <c r="X345" s="55" t="n"/>
      <c r="Y345" s="55" t="n"/>
      <c r="Z345" s="55" t="n"/>
    </row>
    <row r="346" ht="12.75" customHeight="1" s="398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  <c r="W346" s="55" t="n"/>
      <c r="X346" s="55" t="n"/>
      <c r="Y346" s="55" t="n"/>
      <c r="Z346" s="55" t="n"/>
    </row>
    <row r="347" ht="12.75" customHeight="1" s="398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  <c r="W347" s="55" t="n"/>
      <c r="X347" s="55" t="n"/>
      <c r="Y347" s="55" t="n"/>
      <c r="Z347" s="55" t="n"/>
    </row>
    <row r="348" ht="12.75" customHeight="1" s="39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  <c r="W348" s="55" t="n"/>
      <c r="X348" s="55" t="n"/>
      <c r="Y348" s="55" t="n"/>
      <c r="Z348" s="55" t="n"/>
    </row>
    <row r="349" ht="12.75" customHeight="1" s="398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  <c r="W349" s="55" t="n"/>
      <c r="X349" s="55" t="n"/>
      <c r="Y349" s="55" t="n"/>
      <c r="Z349" s="55" t="n"/>
    </row>
    <row r="350" ht="12.75" customHeight="1" s="398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  <c r="W350" s="55" t="n"/>
      <c r="X350" s="55" t="n"/>
      <c r="Y350" s="55" t="n"/>
      <c r="Z350" s="55" t="n"/>
    </row>
    <row r="351" ht="12.75" customHeight="1" s="398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  <c r="W351" s="55" t="n"/>
      <c r="X351" s="55" t="n"/>
      <c r="Y351" s="55" t="n"/>
      <c r="Z351" s="55" t="n"/>
    </row>
    <row r="352" ht="12.75" customHeight="1" s="398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  <c r="W352" s="55" t="n"/>
      <c r="X352" s="55" t="n"/>
      <c r="Y352" s="55" t="n"/>
      <c r="Z352" s="55" t="n"/>
    </row>
    <row r="353" ht="12.75" customHeight="1" s="398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  <c r="W353" s="55" t="n"/>
      <c r="X353" s="55" t="n"/>
      <c r="Y353" s="55" t="n"/>
      <c r="Z353" s="55" t="n"/>
    </row>
    <row r="354" ht="12.75" customHeight="1" s="398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  <c r="W354" s="55" t="n"/>
      <c r="X354" s="55" t="n"/>
      <c r="Y354" s="55" t="n"/>
      <c r="Z354" s="55" t="n"/>
    </row>
    <row r="355" ht="12.75" customHeight="1" s="398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  <c r="W355" s="55" t="n"/>
      <c r="X355" s="55" t="n"/>
      <c r="Y355" s="55" t="n"/>
      <c r="Z355" s="55" t="n"/>
    </row>
    <row r="356" ht="12.75" customHeight="1" s="398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  <c r="W356" s="55" t="n"/>
      <c r="X356" s="55" t="n"/>
      <c r="Y356" s="55" t="n"/>
      <c r="Z356" s="55" t="n"/>
    </row>
    <row r="357" ht="12.75" customHeight="1" s="398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  <c r="W357" s="55" t="n"/>
      <c r="X357" s="55" t="n"/>
      <c r="Y357" s="55" t="n"/>
      <c r="Z357" s="55" t="n"/>
    </row>
    <row r="358" ht="12.75" customHeight="1" s="39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  <c r="W358" s="55" t="n"/>
      <c r="X358" s="55" t="n"/>
      <c r="Y358" s="55" t="n"/>
      <c r="Z358" s="55" t="n"/>
    </row>
    <row r="359" ht="12.75" customHeight="1" s="398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  <c r="W359" s="55" t="n"/>
      <c r="X359" s="55" t="n"/>
      <c r="Y359" s="55" t="n"/>
      <c r="Z359" s="55" t="n"/>
    </row>
    <row r="360" ht="12.75" customHeight="1" s="398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  <c r="W360" s="55" t="n"/>
      <c r="X360" s="55" t="n"/>
      <c r="Y360" s="55" t="n"/>
      <c r="Z360" s="55" t="n"/>
    </row>
    <row r="361" ht="12.75" customHeight="1" s="398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  <c r="W361" s="55" t="n"/>
      <c r="X361" s="55" t="n"/>
      <c r="Y361" s="55" t="n"/>
      <c r="Z361" s="55" t="n"/>
    </row>
    <row r="362" ht="12.75" customHeight="1" s="398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  <c r="W362" s="55" t="n"/>
      <c r="X362" s="55" t="n"/>
      <c r="Y362" s="55" t="n"/>
      <c r="Z362" s="55" t="n"/>
    </row>
    <row r="363" ht="12.75" customHeight="1" s="398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  <c r="W363" s="55" t="n"/>
      <c r="X363" s="55" t="n"/>
      <c r="Y363" s="55" t="n"/>
      <c r="Z363" s="55" t="n"/>
    </row>
    <row r="364" ht="12.75" customHeight="1" s="398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  <c r="W364" s="55" t="n"/>
      <c r="X364" s="55" t="n"/>
      <c r="Y364" s="55" t="n"/>
      <c r="Z364" s="55" t="n"/>
    </row>
    <row r="365" ht="12.75" customHeight="1" s="398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  <c r="W365" s="55" t="n"/>
      <c r="X365" s="55" t="n"/>
      <c r="Y365" s="55" t="n"/>
      <c r="Z365" s="55" t="n"/>
    </row>
    <row r="366" ht="12.75" customHeight="1" s="398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  <c r="W366" s="55" t="n"/>
      <c r="X366" s="55" t="n"/>
      <c r="Y366" s="55" t="n"/>
      <c r="Z366" s="55" t="n"/>
    </row>
    <row r="367" ht="12.75" customHeight="1" s="398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  <c r="W367" s="55" t="n"/>
      <c r="X367" s="55" t="n"/>
      <c r="Y367" s="55" t="n"/>
      <c r="Z367" s="55" t="n"/>
    </row>
    <row r="368" ht="12.75" customHeight="1" s="39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  <c r="W368" s="55" t="n"/>
      <c r="X368" s="55" t="n"/>
      <c r="Y368" s="55" t="n"/>
      <c r="Z368" s="55" t="n"/>
    </row>
    <row r="369" ht="12.75" customHeight="1" s="398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  <c r="W369" s="55" t="n"/>
      <c r="X369" s="55" t="n"/>
      <c r="Y369" s="55" t="n"/>
      <c r="Z369" s="55" t="n"/>
    </row>
    <row r="370" ht="12.75" customHeight="1" s="398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  <c r="W370" s="55" t="n"/>
      <c r="X370" s="55" t="n"/>
      <c r="Y370" s="55" t="n"/>
      <c r="Z370" s="55" t="n"/>
    </row>
    <row r="371" ht="12.75" customHeight="1" s="398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  <c r="W371" s="55" t="n"/>
      <c r="X371" s="55" t="n"/>
      <c r="Y371" s="55" t="n"/>
      <c r="Z371" s="55" t="n"/>
    </row>
    <row r="372" ht="12.75" customHeight="1" s="398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  <c r="W372" s="55" t="n"/>
      <c r="X372" s="55" t="n"/>
      <c r="Y372" s="55" t="n"/>
      <c r="Z372" s="55" t="n"/>
    </row>
    <row r="373" ht="12.75" customHeight="1" s="398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  <c r="W373" s="55" t="n"/>
      <c r="X373" s="55" t="n"/>
      <c r="Y373" s="55" t="n"/>
      <c r="Z373" s="55" t="n"/>
    </row>
    <row r="374" ht="12.75" customHeight="1" s="398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  <c r="Z374" s="55" t="n"/>
    </row>
    <row r="375" ht="12.75" customHeight="1" s="398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  <c r="Z375" s="55" t="n"/>
    </row>
    <row r="376" ht="12.75" customHeight="1" s="398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  <c r="Z376" s="55" t="n"/>
    </row>
    <row r="377" ht="12.75" customHeight="1" s="398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  <c r="W377" s="55" t="n"/>
      <c r="X377" s="55" t="n"/>
      <c r="Y377" s="55" t="n"/>
      <c r="Z377" s="55" t="n"/>
    </row>
    <row r="378" ht="12.75" customHeight="1" s="39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  <c r="W378" s="55" t="n"/>
      <c r="X378" s="55" t="n"/>
      <c r="Y378" s="55" t="n"/>
      <c r="Z378" s="55" t="n"/>
    </row>
    <row r="379" ht="12.75" customHeight="1" s="398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  <c r="W379" s="55" t="n"/>
      <c r="X379" s="55" t="n"/>
      <c r="Y379" s="55" t="n"/>
      <c r="Z379" s="55" t="n"/>
    </row>
    <row r="380" ht="12.75" customHeight="1" s="398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  <c r="W380" s="55" t="n"/>
      <c r="X380" s="55" t="n"/>
      <c r="Y380" s="55" t="n"/>
      <c r="Z380" s="55" t="n"/>
    </row>
    <row r="381" ht="12.75" customHeight="1" s="398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  <c r="W381" s="55" t="n"/>
      <c r="X381" s="55" t="n"/>
      <c r="Y381" s="55" t="n"/>
      <c r="Z381" s="55" t="n"/>
    </row>
    <row r="382" ht="12.75" customHeight="1" s="398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  <c r="W382" s="55" t="n"/>
      <c r="X382" s="55" t="n"/>
      <c r="Y382" s="55" t="n"/>
      <c r="Z382" s="55" t="n"/>
    </row>
    <row r="383" ht="12.75" customHeight="1" s="398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  <c r="W383" s="55" t="n"/>
      <c r="X383" s="55" t="n"/>
      <c r="Y383" s="55" t="n"/>
      <c r="Z383" s="55" t="n"/>
    </row>
    <row r="384" ht="12.75" customHeight="1" s="398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  <c r="W384" s="55" t="n"/>
      <c r="X384" s="55" t="n"/>
      <c r="Y384" s="55" t="n"/>
      <c r="Z384" s="55" t="n"/>
    </row>
    <row r="385" ht="12.75" customHeight="1" s="398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  <c r="W385" s="55" t="n"/>
      <c r="X385" s="55" t="n"/>
      <c r="Y385" s="55" t="n"/>
      <c r="Z385" s="55" t="n"/>
    </row>
    <row r="386" ht="12.75" customHeight="1" s="398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  <c r="W386" s="55" t="n"/>
      <c r="X386" s="55" t="n"/>
      <c r="Y386" s="55" t="n"/>
      <c r="Z386" s="55" t="n"/>
    </row>
    <row r="387" ht="12.75" customHeight="1" s="398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  <c r="W387" s="55" t="n"/>
      <c r="X387" s="55" t="n"/>
      <c r="Y387" s="55" t="n"/>
      <c r="Z387" s="55" t="n"/>
    </row>
    <row r="388" ht="12.75" customHeight="1" s="39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  <c r="W388" s="55" t="n"/>
      <c r="X388" s="55" t="n"/>
      <c r="Y388" s="55" t="n"/>
      <c r="Z388" s="55" t="n"/>
    </row>
    <row r="389" ht="12.75" customHeight="1" s="398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  <c r="W389" s="55" t="n"/>
      <c r="X389" s="55" t="n"/>
      <c r="Y389" s="55" t="n"/>
      <c r="Z389" s="55" t="n"/>
    </row>
    <row r="390" ht="12.75" customHeight="1" s="398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  <c r="W390" s="55" t="n"/>
      <c r="X390" s="55" t="n"/>
      <c r="Y390" s="55" t="n"/>
      <c r="Z390" s="55" t="n"/>
    </row>
    <row r="391" ht="12.75" customHeight="1" s="398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  <c r="W391" s="55" t="n"/>
      <c r="X391" s="55" t="n"/>
      <c r="Y391" s="55" t="n"/>
      <c r="Z391" s="55" t="n"/>
    </row>
    <row r="392" ht="12.75" customHeight="1" s="398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  <c r="W392" s="55" t="n"/>
      <c r="X392" s="55" t="n"/>
      <c r="Y392" s="55" t="n"/>
      <c r="Z392" s="55" t="n"/>
    </row>
    <row r="393" ht="12.75" customHeight="1" s="398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  <c r="W393" s="55" t="n"/>
      <c r="X393" s="55" t="n"/>
      <c r="Y393" s="55" t="n"/>
      <c r="Z393" s="55" t="n"/>
    </row>
    <row r="394" ht="12.75" customHeight="1" s="398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  <c r="W394" s="55" t="n"/>
      <c r="X394" s="55" t="n"/>
      <c r="Y394" s="55" t="n"/>
      <c r="Z394" s="55" t="n"/>
    </row>
    <row r="395" ht="12.75" customHeight="1" s="398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  <c r="W395" s="55" t="n"/>
      <c r="X395" s="55" t="n"/>
      <c r="Y395" s="55" t="n"/>
      <c r="Z395" s="55" t="n"/>
    </row>
    <row r="396" ht="12.75" customHeight="1" s="398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  <c r="W396" s="55" t="n"/>
      <c r="X396" s="55" t="n"/>
      <c r="Y396" s="55" t="n"/>
      <c r="Z396" s="55" t="n"/>
    </row>
    <row r="397" ht="12.75" customHeight="1" s="398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  <c r="W397" s="55" t="n"/>
      <c r="X397" s="55" t="n"/>
      <c r="Y397" s="55" t="n"/>
      <c r="Z397" s="55" t="n"/>
    </row>
    <row r="398" ht="12.75" customHeight="1" s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  <c r="W398" s="55" t="n"/>
      <c r="X398" s="55" t="n"/>
      <c r="Y398" s="55" t="n"/>
      <c r="Z398" s="55" t="n"/>
    </row>
    <row r="399" ht="12.75" customHeight="1" s="398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  <c r="W399" s="55" t="n"/>
      <c r="X399" s="55" t="n"/>
      <c r="Y399" s="55" t="n"/>
      <c r="Z399" s="55" t="n"/>
    </row>
    <row r="400" ht="12.75" customHeight="1" s="398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  <c r="W400" s="55" t="n"/>
      <c r="X400" s="55" t="n"/>
      <c r="Y400" s="55" t="n"/>
      <c r="Z400" s="55" t="n"/>
    </row>
    <row r="401" ht="12.75" customHeight="1" s="398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  <c r="W401" s="55" t="n"/>
      <c r="X401" s="55" t="n"/>
      <c r="Y401" s="55" t="n"/>
      <c r="Z401" s="55" t="n"/>
    </row>
    <row r="402" ht="12.75" customHeight="1" s="398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  <c r="W402" s="55" t="n"/>
      <c r="X402" s="55" t="n"/>
      <c r="Y402" s="55" t="n"/>
      <c r="Z402" s="55" t="n"/>
    </row>
    <row r="403" ht="12.75" customHeight="1" s="398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  <c r="W403" s="55" t="n"/>
      <c r="X403" s="55" t="n"/>
      <c r="Y403" s="55" t="n"/>
      <c r="Z403" s="55" t="n"/>
    </row>
    <row r="404" ht="12.75" customHeight="1" s="398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  <c r="W404" s="55" t="n"/>
      <c r="X404" s="55" t="n"/>
      <c r="Y404" s="55" t="n"/>
      <c r="Z404" s="55" t="n"/>
    </row>
    <row r="405" ht="12.75" customHeight="1" s="398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  <c r="W405" s="55" t="n"/>
      <c r="X405" s="55" t="n"/>
      <c r="Y405" s="55" t="n"/>
      <c r="Z405" s="55" t="n"/>
    </row>
    <row r="406" ht="12.75" customHeight="1" s="398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  <c r="W406" s="55" t="n"/>
      <c r="X406" s="55" t="n"/>
      <c r="Y406" s="55" t="n"/>
      <c r="Z406" s="55" t="n"/>
    </row>
    <row r="407" ht="12.75" customHeight="1" s="398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  <c r="W407" s="55" t="n"/>
      <c r="X407" s="55" t="n"/>
      <c r="Y407" s="55" t="n"/>
      <c r="Z407" s="55" t="n"/>
    </row>
    <row r="408" ht="12.75" customHeight="1" s="39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  <c r="W408" s="55" t="n"/>
      <c r="X408" s="55" t="n"/>
      <c r="Y408" s="55" t="n"/>
      <c r="Z408" s="55" t="n"/>
    </row>
    <row r="409" ht="12.75" customHeight="1" s="398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  <c r="W409" s="55" t="n"/>
      <c r="X409" s="55" t="n"/>
      <c r="Y409" s="55" t="n"/>
      <c r="Z409" s="55" t="n"/>
    </row>
    <row r="410" ht="12.75" customHeight="1" s="398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  <c r="W410" s="55" t="n"/>
      <c r="X410" s="55" t="n"/>
      <c r="Y410" s="55" t="n"/>
      <c r="Z410" s="55" t="n"/>
    </row>
    <row r="411" ht="12.75" customHeight="1" s="398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  <c r="W411" s="55" t="n"/>
      <c r="X411" s="55" t="n"/>
      <c r="Y411" s="55" t="n"/>
      <c r="Z411" s="55" t="n"/>
    </row>
    <row r="412" ht="12.75" customHeight="1" s="398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  <c r="W412" s="55" t="n"/>
      <c r="X412" s="55" t="n"/>
      <c r="Y412" s="55" t="n"/>
      <c r="Z412" s="55" t="n"/>
    </row>
    <row r="413" ht="12.75" customHeight="1" s="398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  <c r="W413" s="55" t="n"/>
      <c r="X413" s="55" t="n"/>
      <c r="Y413" s="55" t="n"/>
      <c r="Z413" s="55" t="n"/>
    </row>
    <row r="414" ht="12.75" customHeight="1" s="398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  <c r="W414" s="55" t="n"/>
      <c r="X414" s="55" t="n"/>
      <c r="Y414" s="55" t="n"/>
      <c r="Z414" s="55" t="n"/>
    </row>
    <row r="415" ht="12.75" customHeight="1" s="398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  <c r="W415" s="55" t="n"/>
      <c r="X415" s="55" t="n"/>
      <c r="Y415" s="55" t="n"/>
      <c r="Z415" s="55" t="n"/>
    </row>
    <row r="416" ht="12.75" customHeight="1" s="398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  <c r="W416" s="55" t="n"/>
      <c r="X416" s="55" t="n"/>
      <c r="Y416" s="55" t="n"/>
      <c r="Z416" s="55" t="n"/>
    </row>
    <row r="417" ht="12.75" customHeight="1" s="398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  <c r="W417" s="55" t="n"/>
      <c r="X417" s="55" t="n"/>
      <c r="Y417" s="55" t="n"/>
      <c r="Z417" s="55" t="n"/>
    </row>
    <row r="418" ht="12.75" customHeight="1" s="39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  <c r="W418" s="55" t="n"/>
      <c r="X418" s="55" t="n"/>
      <c r="Y418" s="55" t="n"/>
      <c r="Z418" s="55" t="n"/>
    </row>
    <row r="419" ht="12.75" customHeight="1" s="398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  <c r="W419" s="55" t="n"/>
      <c r="X419" s="55" t="n"/>
      <c r="Y419" s="55" t="n"/>
      <c r="Z419" s="55" t="n"/>
    </row>
    <row r="420" ht="12.75" customHeight="1" s="398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  <c r="W420" s="55" t="n"/>
      <c r="X420" s="55" t="n"/>
      <c r="Y420" s="55" t="n"/>
      <c r="Z420" s="55" t="n"/>
    </row>
    <row r="421" ht="12.75" customHeight="1" s="398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  <c r="W421" s="55" t="n"/>
      <c r="X421" s="55" t="n"/>
      <c r="Y421" s="55" t="n"/>
      <c r="Z421" s="55" t="n"/>
    </row>
    <row r="422" ht="12.75" customHeight="1" s="398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  <c r="W422" s="55" t="n"/>
      <c r="X422" s="55" t="n"/>
      <c r="Y422" s="55" t="n"/>
      <c r="Z422" s="55" t="n"/>
    </row>
    <row r="423" ht="12.75" customHeight="1" s="398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  <c r="W423" s="55" t="n"/>
      <c r="X423" s="55" t="n"/>
      <c r="Y423" s="55" t="n"/>
      <c r="Z423" s="55" t="n"/>
    </row>
    <row r="424" ht="12.75" customHeight="1" s="398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  <c r="W424" s="55" t="n"/>
      <c r="X424" s="55" t="n"/>
      <c r="Y424" s="55" t="n"/>
      <c r="Z424" s="55" t="n"/>
    </row>
    <row r="425" ht="12.75" customHeight="1" s="398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  <c r="W425" s="55" t="n"/>
      <c r="X425" s="55" t="n"/>
      <c r="Y425" s="55" t="n"/>
      <c r="Z425" s="55" t="n"/>
    </row>
    <row r="426" ht="12.75" customHeight="1" s="398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  <c r="W426" s="55" t="n"/>
      <c r="X426" s="55" t="n"/>
      <c r="Y426" s="55" t="n"/>
      <c r="Z426" s="55" t="n"/>
    </row>
    <row r="427" ht="12.75" customHeight="1" s="398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  <c r="W427" s="55" t="n"/>
      <c r="X427" s="55" t="n"/>
      <c r="Y427" s="55" t="n"/>
      <c r="Z427" s="55" t="n"/>
    </row>
    <row r="428" ht="12.75" customHeight="1" s="39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  <c r="Z428" s="55" t="n"/>
    </row>
    <row r="429" ht="12.75" customHeight="1" s="398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  <c r="Z429" s="55" t="n"/>
    </row>
    <row r="430" ht="12.75" customHeight="1" s="398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  <c r="Z430" s="55" t="n"/>
    </row>
    <row r="431" ht="12.75" customHeight="1" s="398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  <c r="W431" s="55" t="n"/>
      <c r="X431" s="55" t="n"/>
      <c r="Y431" s="55" t="n"/>
      <c r="Z431" s="55" t="n"/>
    </row>
    <row r="432" ht="12.75" customHeight="1" s="398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  <c r="W432" s="55" t="n"/>
      <c r="X432" s="55" t="n"/>
      <c r="Y432" s="55" t="n"/>
      <c r="Z432" s="55" t="n"/>
    </row>
    <row r="433" ht="12.75" customHeight="1" s="398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  <c r="W433" s="55" t="n"/>
      <c r="X433" s="55" t="n"/>
      <c r="Y433" s="55" t="n"/>
      <c r="Z433" s="55" t="n"/>
    </row>
    <row r="434" ht="12.75" customHeight="1" s="398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  <c r="W434" s="55" t="n"/>
      <c r="X434" s="55" t="n"/>
      <c r="Y434" s="55" t="n"/>
      <c r="Z434" s="55" t="n"/>
    </row>
    <row r="435" ht="12.75" customHeight="1" s="398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  <c r="W435" s="55" t="n"/>
      <c r="X435" s="55" t="n"/>
      <c r="Y435" s="55" t="n"/>
      <c r="Z435" s="55" t="n"/>
    </row>
    <row r="436" ht="12.75" customHeight="1" s="398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  <c r="W436" s="55" t="n"/>
      <c r="X436" s="55" t="n"/>
      <c r="Y436" s="55" t="n"/>
      <c r="Z436" s="55" t="n"/>
    </row>
    <row r="437" ht="12.75" customHeight="1" s="398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  <c r="W437" s="55" t="n"/>
      <c r="X437" s="55" t="n"/>
      <c r="Y437" s="55" t="n"/>
      <c r="Z437" s="55" t="n"/>
    </row>
    <row r="438" ht="12.75" customHeight="1" s="39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  <c r="W438" s="55" t="n"/>
      <c r="X438" s="55" t="n"/>
      <c r="Y438" s="55" t="n"/>
      <c r="Z438" s="55" t="n"/>
    </row>
    <row r="439" ht="12.75" customHeight="1" s="398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  <c r="W439" s="55" t="n"/>
      <c r="X439" s="55" t="n"/>
      <c r="Y439" s="55" t="n"/>
      <c r="Z439" s="55" t="n"/>
    </row>
    <row r="440" ht="12.75" customHeight="1" s="398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  <c r="W440" s="55" t="n"/>
      <c r="X440" s="55" t="n"/>
      <c r="Y440" s="55" t="n"/>
      <c r="Z440" s="55" t="n"/>
    </row>
    <row r="441" ht="12.75" customHeight="1" s="398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  <c r="W441" s="55" t="n"/>
      <c r="X441" s="55" t="n"/>
      <c r="Y441" s="55" t="n"/>
      <c r="Z441" s="55" t="n"/>
    </row>
    <row r="442" ht="12.75" customHeight="1" s="398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  <c r="W442" s="55" t="n"/>
      <c r="X442" s="55" t="n"/>
      <c r="Y442" s="55" t="n"/>
      <c r="Z442" s="55" t="n"/>
    </row>
    <row r="443" ht="12.75" customHeight="1" s="398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  <c r="W443" s="55" t="n"/>
      <c r="X443" s="55" t="n"/>
      <c r="Y443" s="55" t="n"/>
      <c r="Z443" s="55" t="n"/>
    </row>
    <row r="444" ht="12.75" customHeight="1" s="398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  <c r="W444" s="55" t="n"/>
      <c r="X444" s="55" t="n"/>
      <c r="Y444" s="55" t="n"/>
      <c r="Z444" s="55" t="n"/>
    </row>
    <row r="445" ht="12.75" customHeight="1" s="398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  <c r="W445" s="55" t="n"/>
      <c r="X445" s="55" t="n"/>
      <c r="Y445" s="55" t="n"/>
      <c r="Z445" s="55" t="n"/>
    </row>
    <row r="446" ht="12.75" customHeight="1" s="398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  <c r="Z446" s="55" t="n"/>
    </row>
    <row r="447" ht="12.75" customHeight="1" s="398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  <c r="Z447" s="55" t="n"/>
    </row>
    <row r="448" ht="12.75" customHeight="1" s="39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  <c r="Z448" s="55" t="n"/>
    </row>
    <row r="449" ht="12.75" customHeight="1" s="398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  <c r="W449" s="55" t="n"/>
      <c r="X449" s="55" t="n"/>
      <c r="Y449" s="55" t="n"/>
      <c r="Z449" s="55" t="n"/>
    </row>
    <row r="450" ht="12.75" customHeight="1" s="398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  <c r="W450" s="55" t="n"/>
      <c r="X450" s="55" t="n"/>
      <c r="Y450" s="55" t="n"/>
      <c r="Z450" s="55" t="n"/>
    </row>
    <row r="451" ht="12.75" customHeight="1" s="398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  <c r="W451" s="55" t="n"/>
      <c r="X451" s="55" t="n"/>
      <c r="Y451" s="55" t="n"/>
      <c r="Z451" s="55" t="n"/>
    </row>
    <row r="452" ht="12.75" customHeight="1" s="398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  <c r="W452" s="55" t="n"/>
      <c r="X452" s="55" t="n"/>
      <c r="Y452" s="55" t="n"/>
      <c r="Z452" s="55" t="n"/>
    </row>
    <row r="453" ht="12.75" customHeight="1" s="398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  <c r="W453" s="55" t="n"/>
      <c r="X453" s="55" t="n"/>
      <c r="Y453" s="55" t="n"/>
      <c r="Z453" s="55" t="n"/>
    </row>
    <row r="454" ht="12.75" customHeight="1" s="398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  <c r="W454" s="55" t="n"/>
      <c r="X454" s="55" t="n"/>
      <c r="Y454" s="55" t="n"/>
      <c r="Z454" s="55" t="n"/>
    </row>
    <row r="455" ht="12.75" customHeight="1" s="398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  <c r="W455" s="55" t="n"/>
      <c r="X455" s="55" t="n"/>
      <c r="Y455" s="55" t="n"/>
      <c r="Z455" s="55" t="n"/>
    </row>
    <row r="456" ht="12.75" customHeight="1" s="398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  <c r="W456" s="55" t="n"/>
      <c r="X456" s="55" t="n"/>
      <c r="Y456" s="55" t="n"/>
      <c r="Z456" s="55" t="n"/>
    </row>
    <row r="457" ht="12.75" customHeight="1" s="398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  <c r="W457" s="55" t="n"/>
      <c r="X457" s="55" t="n"/>
      <c r="Y457" s="55" t="n"/>
      <c r="Z457" s="55" t="n"/>
    </row>
    <row r="458" ht="12.75" customHeight="1" s="39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  <c r="W458" s="55" t="n"/>
      <c r="X458" s="55" t="n"/>
      <c r="Y458" s="55" t="n"/>
      <c r="Z458" s="55" t="n"/>
    </row>
    <row r="459" ht="12.75" customHeight="1" s="398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  <c r="W459" s="55" t="n"/>
      <c r="X459" s="55" t="n"/>
      <c r="Y459" s="55" t="n"/>
      <c r="Z459" s="55" t="n"/>
    </row>
    <row r="460" ht="12.75" customHeight="1" s="398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  <c r="W460" s="55" t="n"/>
      <c r="X460" s="55" t="n"/>
      <c r="Y460" s="55" t="n"/>
      <c r="Z460" s="55" t="n"/>
    </row>
    <row r="461" ht="12.75" customHeight="1" s="398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  <c r="W461" s="55" t="n"/>
      <c r="X461" s="55" t="n"/>
      <c r="Y461" s="55" t="n"/>
      <c r="Z461" s="55" t="n"/>
    </row>
    <row r="462" ht="12.75" customHeight="1" s="398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  <c r="W462" s="55" t="n"/>
      <c r="X462" s="55" t="n"/>
      <c r="Y462" s="55" t="n"/>
      <c r="Z462" s="55" t="n"/>
    </row>
    <row r="463" ht="12.75" customHeight="1" s="398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  <c r="W463" s="55" t="n"/>
      <c r="X463" s="55" t="n"/>
      <c r="Y463" s="55" t="n"/>
      <c r="Z463" s="55" t="n"/>
    </row>
    <row r="464" ht="12.75" customHeight="1" s="398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  <c r="W464" s="55" t="n"/>
      <c r="X464" s="55" t="n"/>
      <c r="Y464" s="55" t="n"/>
      <c r="Z464" s="55" t="n"/>
    </row>
    <row r="465" ht="12.75" customHeight="1" s="398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  <c r="W465" s="55" t="n"/>
      <c r="X465" s="55" t="n"/>
      <c r="Y465" s="55" t="n"/>
      <c r="Z465" s="55" t="n"/>
    </row>
    <row r="466" ht="12.75" customHeight="1" s="398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  <c r="W466" s="55" t="n"/>
      <c r="X466" s="55" t="n"/>
      <c r="Y466" s="55" t="n"/>
      <c r="Z466" s="55" t="n"/>
    </row>
    <row r="467" ht="12.75" customHeight="1" s="398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  <c r="W467" s="55" t="n"/>
      <c r="X467" s="55" t="n"/>
      <c r="Y467" s="55" t="n"/>
      <c r="Z467" s="55" t="n"/>
    </row>
    <row r="468" ht="12.75" customHeight="1" s="39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  <c r="W468" s="55" t="n"/>
      <c r="X468" s="55" t="n"/>
      <c r="Y468" s="55" t="n"/>
      <c r="Z468" s="55" t="n"/>
    </row>
    <row r="469" ht="12.75" customHeight="1" s="398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  <c r="W469" s="55" t="n"/>
      <c r="X469" s="55" t="n"/>
      <c r="Y469" s="55" t="n"/>
      <c r="Z469" s="55" t="n"/>
    </row>
    <row r="470" ht="12.75" customHeight="1" s="398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  <c r="Z470" s="55" t="n"/>
    </row>
    <row r="471" ht="12.75" customHeight="1" s="398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  <c r="Z471" s="55" t="n"/>
    </row>
    <row r="472" ht="12.75" customHeight="1" s="398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  <c r="W472" s="55" t="n"/>
      <c r="X472" s="55" t="n"/>
      <c r="Y472" s="55" t="n"/>
      <c r="Z472" s="55" t="n"/>
    </row>
    <row r="473" ht="12.75" customHeight="1" s="398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  <c r="Z473" s="55" t="n"/>
    </row>
    <row r="474" ht="12.75" customHeight="1" s="398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  <c r="Z474" s="55" t="n"/>
    </row>
    <row r="475" ht="12.75" customHeight="1" s="398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  <c r="Z475" s="55" t="n"/>
    </row>
    <row r="476" ht="12.75" customHeight="1" s="398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  <c r="Z476" s="55" t="n"/>
    </row>
    <row r="477" ht="12.75" customHeight="1" s="398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  <c r="Z477" s="55" t="n"/>
    </row>
    <row r="478" ht="12.75" customHeight="1" s="39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  <c r="Z478" s="55" t="n"/>
    </row>
    <row r="479" ht="12.75" customHeight="1" s="398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  <c r="W479" s="55" t="n"/>
      <c r="X479" s="55" t="n"/>
      <c r="Y479" s="55" t="n"/>
      <c r="Z479" s="55" t="n"/>
    </row>
    <row r="480" ht="12.75" customHeight="1" s="398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  <c r="W480" s="55" t="n"/>
      <c r="X480" s="55" t="n"/>
      <c r="Y480" s="55" t="n"/>
      <c r="Z480" s="55" t="n"/>
    </row>
    <row r="481" ht="12.75" customHeight="1" s="398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  <c r="W481" s="55" t="n"/>
      <c r="X481" s="55" t="n"/>
      <c r="Y481" s="55" t="n"/>
      <c r="Z481" s="55" t="n"/>
    </row>
    <row r="482" ht="12.75" customHeight="1" s="398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  <c r="W482" s="55" t="n"/>
      <c r="X482" s="55" t="n"/>
      <c r="Y482" s="55" t="n"/>
      <c r="Z482" s="55" t="n"/>
    </row>
    <row r="483" ht="12.75" customHeight="1" s="398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  <c r="W483" s="55" t="n"/>
      <c r="X483" s="55" t="n"/>
      <c r="Y483" s="55" t="n"/>
      <c r="Z483" s="55" t="n"/>
    </row>
    <row r="484" ht="12.75" customHeight="1" s="398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  <c r="W484" s="55" t="n"/>
      <c r="X484" s="55" t="n"/>
      <c r="Y484" s="55" t="n"/>
      <c r="Z484" s="55" t="n"/>
    </row>
    <row r="485" ht="12.75" customHeight="1" s="398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  <c r="W485" s="55" t="n"/>
      <c r="X485" s="55" t="n"/>
      <c r="Y485" s="55" t="n"/>
      <c r="Z485" s="55" t="n"/>
    </row>
    <row r="486" ht="12.75" customHeight="1" s="398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  <c r="W486" s="55" t="n"/>
      <c r="X486" s="55" t="n"/>
      <c r="Y486" s="55" t="n"/>
      <c r="Z486" s="55" t="n"/>
    </row>
    <row r="487" ht="12.75" customHeight="1" s="398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  <c r="W487" s="55" t="n"/>
      <c r="X487" s="55" t="n"/>
      <c r="Y487" s="55" t="n"/>
      <c r="Z487" s="55" t="n"/>
    </row>
    <row r="488" ht="12.75" customHeight="1" s="39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  <c r="W488" s="55" t="n"/>
      <c r="X488" s="55" t="n"/>
      <c r="Y488" s="55" t="n"/>
      <c r="Z488" s="55" t="n"/>
    </row>
    <row r="489" ht="12.75" customHeight="1" s="398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  <c r="W489" s="55" t="n"/>
      <c r="X489" s="55" t="n"/>
      <c r="Y489" s="55" t="n"/>
      <c r="Z489" s="55" t="n"/>
    </row>
    <row r="490" ht="12.75" customHeight="1" s="398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  <c r="W490" s="55" t="n"/>
      <c r="X490" s="55" t="n"/>
      <c r="Y490" s="55" t="n"/>
      <c r="Z490" s="55" t="n"/>
    </row>
    <row r="491" ht="12.75" customHeight="1" s="398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  <c r="W491" s="55" t="n"/>
      <c r="X491" s="55" t="n"/>
      <c r="Y491" s="55" t="n"/>
      <c r="Z491" s="55" t="n"/>
    </row>
    <row r="492" ht="12.75" customHeight="1" s="398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  <c r="W492" s="55" t="n"/>
      <c r="X492" s="55" t="n"/>
      <c r="Y492" s="55" t="n"/>
      <c r="Z492" s="55" t="n"/>
    </row>
    <row r="493" ht="12.75" customHeight="1" s="398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  <c r="W493" s="55" t="n"/>
      <c r="X493" s="55" t="n"/>
      <c r="Y493" s="55" t="n"/>
      <c r="Z493" s="55" t="n"/>
    </row>
    <row r="494" ht="12.75" customHeight="1" s="398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  <c r="W494" s="55" t="n"/>
      <c r="X494" s="55" t="n"/>
      <c r="Y494" s="55" t="n"/>
      <c r="Z494" s="55" t="n"/>
    </row>
    <row r="495" ht="12.75" customHeight="1" s="398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  <c r="W495" s="55" t="n"/>
      <c r="X495" s="55" t="n"/>
      <c r="Y495" s="55" t="n"/>
      <c r="Z495" s="55" t="n"/>
    </row>
    <row r="496" ht="12.75" customHeight="1" s="398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  <c r="W496" s="55" t="n"/>
      <c r="X496" s="55" t="n"/>
      <c r="Y496" s="55" t="n"/>
      <c r="Z496" s="55" t="n"/>
    </row>
    <row r="497" ht="12.75" customHeight="1" s="398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  <c r="W497" s="55" t="n"/>
      <c r="X497" s="55" t="n"/>
      <c r="Y497" s="55" t="n"/>
      <c r="Z497" s="55" t="n"/>
    </row>
    <row r="498" ht="12.75" customHeight="1" s="3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  <c r="W498" s="55" t="n"/>
      <c r="X498" s="55" t="n"/>
      <c r="Y498" s="55" t="n"/>
      <c r="Z498" s="55" t="n"/>
    </row>
    <row r="499" ht="12.75" customHeight="1" s="398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  <c r="W499" s="55" t="n"/>
      <c r="X499" s="55" t="n"/>
      <c r="Y499" s="55" t="n"/>
      <c r="Z499" s="55" t="n"/>
    </row>
    <row r="500" ht="12.75" customHeight="1" s="398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  <c r="W500" s="55" t="n"/>
      <c r="X500" s="55" t="n"/>
      <c r="Y500" s="55" t="n"/>
      <c r="Z500" s="55" t="n"/>
    </row>
    <row r="501" ht="12.75" customHeight="1" s="398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  <c r="W501" s="55" t="n"/>
      <c r="X501" s="55" t="n"/>
      <c r="Y501" s="55" t="n"/>
      <c r="Z501" s="55" t="n"/>
    </row>
    <row r="502" ht="12.75" customHeight="1" s="398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  <c r="W502" s="55" t="n"/>
      <c r="X502" s="55" t="n"/>
      <c r="Y502" s="55" t="n"/>
      <c r="Z502" s="55" t="n"/>
    </row>
    <row r="503" ht="12.75" customHeight="1" s="398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  <c r="W503" s="55" t="n"/>
      <c r="X503" s="55" t="n"/>
      <c r="Y503" s="55" t="n"/>
      <c r="Z503" s="55" t="n"/>
    </row>
    <row r="504" ht="12.75" customHeight="1" s="398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  <c r="W504" s="55" t="n"/>
      <c r="X504" s="55" t="n"/>
      <c r="Y504" s="55" t="n"/>
      <c r="Z504" s="55" t="n"/>
    </row>
    <row r="505" ht="12.75" customHeight="1" s="398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  <c r="W505" s="55" t="n"/>
      <c r="X505" s="55" t="n"/>
      <c r="Y505" s="55" t="n"/>
      <c r="Z505" s="55" t="n"/>
    </row>
    <row r="506" ht="12.75" customHeight="1" s="398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  <c r="W506" s="55" t="n"/>
      <c r="X506" s="55" t="n"/>
      <c r="Y506" s="55" t="n"/>
      <c r="Z506" s="55" t="n"/>
    </row>
    <row r="507" ht="12.75" customHeight="1" s="398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  <c r="W507" s="55" t="n"/>
      <c r="X507" s="55" t="n"/>
      <c r="Y507" s="55" t="n"/>
      <c r="Z507" s="55" t="n"/>
    </row>
    <row r="508" ht="12.75" customHeight="1" s="39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  <c r="W508" s="55" t="n"/>
      <c r="X508" s="55" t="n"/>
      <c r="Y508" s="55" t="n"/>
      <c r="Z508" s="55" t="n"/>
    </row>
    <row r="509" ht="12.75" customHeight="1" s="398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  <c r="W509" s="55" t="n"/>
      <c r="X509" s="55" t="n"/>
      <c r="Y509" s="55" t="n"/>
      <c r="Z509" s="55" t="n"/>
    </row>
    <row r="510" ht="12.75" customHeight="1" s="398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  <c r="W510" s="55" t="n"/>
      <c r="X510" s="55" t="n"/>
      <c r="Y510" s="55" t="n"/>
      <c r="Z510" s="55" t="n"/>
    </row>
    <row r="511" ht="12.75" customHeight="1" s="398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  <c r="W511" s="55" t="n"/>
      <c r="X511" s="55" t="n"/>
      <c r="Y511" s="55" t="n"/>
      <c r="Z511" s="55" t="n"/>
    </row>
    <row r="512" ht="12.75" customHeight="1" s="398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  <c r="W512" s="55" t="n"/>
      <c r="X512" s="55" t="n"/>
      <c r="Y512" s="55" t="n"/>
      <c r="Z512" s="55" t="n"/>
    </row>
    <row r="513" ht="12.75" customHeight="1" s="398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  <c r="W513" s="55" t="n"/>
      <c r="X513" s="55" t="n"/>
      <c r="Y513" s="55" t="n"/>
      <c r="Z513" s="55" t="n"/>
    </row>
    <row r="514" ht="12.75" customHeight="1" s="398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  <c r="W514" s="55" t="n"/>
      <c r="X514" s="55" t="n"/>
      <c r="Y514" s="55" t="n"/>
      <c r="Z514" s="55" t="n"/>
    </row>
    <row r="515" ht="12.75" customHeight="1" s="398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  <c r="W515" s="55" t="n"/>
      <c r="X515" s="55" t="n"/>
      <c r="Y515" s="55" t="n"/>
      <c r="Z515" s="55" t="n"/>
    </row>
    <row r="516" ht="12.75" customHeight="1" s="398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  <c r="W516" s="55" t="n"/>
      <c r="X516" s="55" t="n"/>
      <c r="Y516" s="55" t="n"/>
      <c r="Z516" s="55" t="n"/>
    </row>
    <row r="517" ht="12.75" customHeight="1" s="398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  <c r="W517" s="55" t="n"/>
      <c r="X517" s="55" t="n"/>
      <c r="Y517" s="55" t="n"/>
      <c r="Z517" s="55" t="n"/>
    </row>
    <row r="518" ht="12.75" customHeight="1" s="39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  <c r="W518" s="55" t="n"/>
      <c r="X518" s="55" t="n"/>
      <c r="Y518" s="55" t="n"/>
      <c r="Z518" s="55" t="n"/>
    </row>
    <row r="519" ht="12.75" customHeight="1" s="398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  <c r="W519" s="55" t="n"/>
      <c r="X519" s="55" t="n"/>
      <c r="Y519" s="55" t="n"/>
      <c r="Z519" s="55" t="n"/>
    </row>
    <row r="520" ht="12.75" customHeight="1" s="398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  <c r="W520" s="55" t="n"/>
      <c r="X520" s="55" t="n"/>
      <c r="Y520" s="55" t="n"/>
      <c r="Z520" s="55" t="n"/>
    </row>
    <row r="521" ht="12.75" customHeight="1" s="398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  <c r="W521" s="55" t="n"/>
      <c r="X521" s="55" t="n"/>
      <c r="Y521" s="55" t="n"/>
      <c r="Z521" s="55" t="n"/>
    </row>
    <row r="522" ht="12.75" customHeight="1" s="398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  <c r="W522" s="55" t="n"/>
      <c r="X522" s="55" t="n"/>
      <c r="Y522" s="55" t="n"/>
      <c r="Z522" s="55" t="n"/>
    </row>
    <row r="523" ht="12.75" customHeight="1" s="398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  <c r="W523" s="55" t="n"/>
      <c r="X523" s="55" t="n"/>
      <c r="Y523" s="55" t="n"/>
      <c r="Z523" s="55" t="n"/>
    </row>
    <row r="524" ht="12.75" customHeight="1" s="398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  <c r="W524" s="55" t="n"/>
      <c r="X524" s="55" t="n"/>
      <c r="Y524" s="55" t="n"/>
      <c r="Z524" s="55" t="n"/>
    </row>
    <row r="525" ht="12.75" customHeight="1" s="398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  <c r="W525" s="55" t="n"/>
      <c r="X525" s="55" t="n"/>
      <c r="Y525" s="55" t="n"/>
      <c r="Z525" s="55" t="n"/>
    </row>
    <row r="526" ht="12.75" customHeight="1" s="398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  <c r="W526" s="55" t="n"/>
      <c r="X526" s="55" t="n"/>
      <c r="Y526" s="55" t="n"/>
      <c r="Z526" s="55" t="n"/>
    </row>
    <row r="527" ht="12.75" customHeight="1" s="398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  <c r="W527" s="55" t="n"/>
      <c r="X527" s="55" t="n"/>
      <c r="Y527" s="55" t="n"/>
      <c r="Z527" s="55" t="n"/>
    </row>
    <row r="528" ht="12.75" customHeight="1" s="39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  <c r="W528" s="55" t="n"/>
      <c r="X528" s="55" t="n"/>
      <c r="Y528" s="55" t="n"/>
      <c r="Z528" s="55" t="n"/>
    </row>
    <row r="529" ht="12.75" customHeight="1" s="398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  <c r="W529" s="55" t="n"/>
      <c r="X529" s="55" t="n"/>
      <c r="Y529" s="55" t="n"/>
      <c r="Z529" s="55" t="n"/>
    </row>
    <row r="530" ht="12.75" customHeight="1" s="398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  <c r="W530" s="55" t="n"/>
      <c r="X530" s="55" t="n"/>
      <c r="Y530" s="55" t="n"/>
      <c r="Z530" s="55" t="n"/>
    </row>
    <row r="531" ht="12.75" customHeight="1" s="398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  <c r="W531" s="55" t="n"/>
      <c r="X531" s="55" t="n"/>
      <c r="Y531" s="55" t="n"/>
      <c r="Z531" s="55" t="n"/>
    </row>
    <row r="532" ht="12.75" customHeight="1" s="398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  <c r="W532" s="55" t="n"/>
      <c r="X532" s="55" t="n"/>
      <c r="Y532" s="55" t="n"/>
      <c r="Z532" s="55" t="n"/>
    </row>
    <row r="533" ht="12.75" customHeight="1" s="398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  <c r="W533" s="55" t="n"/>
      <c r="X533" s="55" t="n"/>
      <c r="Y533" s="55" t="n"/>
      <c r="Z533" s="55" t="n"/>
    </row>
    <row r="534" ht="12.75" customHeight="1" s="398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  <c r="W534" s="55" t="n"/>
      <c r="X534" s="55" t="n"/>
      <c r="Y534" s="55" t="n"/>
      <c r="Z534" s="55" t="n"/>
    </row>
    <row r="535" ht="12.75" customHeight="1" s="398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  <c r="W535" s="55" t="n"/>
      <c r="X535" s="55" t="n"/>
      <c r="Y535" s="55" t="n"/>
      <c r="Z535" s="55" t="n"/>
    </row>
    <row r="536" ht="12.75" customHeight="1" s="398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  <c r="W536" s="55" t="n"/>
      <c r="X536" s="55" t="n"/>
      <c r="Y536" s="55" t="n"/>
      <c r="Z536" s="55" t="n"/>
    </row>
    <row r="537" ht="12.75" customHeight="1" s="398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  <c r="W537" s="55" t="n"/>
      <c r="X537" s="55" t="n"/>
      <c r="Y537" s="55" t="n"/>
      <c r="Z537" s="55" t="n"/>
    </row>
    <row r="538" ht="12.75" customHeight="1" s="39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  <c r="W538" s="55" t="n"/>
      <c r="X538" s="55" t="n"/>
      <c r="Y538" s="55" t="n"/>
      <c r="Z538" s="55" t="n"/>
    </row>
    <row r="539" ht="12.75" customHeight="1" s="398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  <c r="W539" s="55" t="n"/>
      <c r="X539" s="55" t="n"/>
      <c r="Y539" s="55" t="n"/>
      <c r="Z539" s="55" t="n"/>
    </row>
    <row r="540" ht="12.75" customHeight="1" s="398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  <c r="W540" s="55" t="n"/>
      <c r="X540" s="55" t="n"/>
      <c r="Y540" s="55" t="n"/>
      <c r="Z540" s="55" t="n"/>
    </row>
    <row r="541" ht="12.75" customHeight="1" s="398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  <c r="W541" s="55" t="n"/>
      <c r="X541" s="55" t="n"/>
      <c r="Y541" s="55" t="n"/>
      <c r="Z541" s="55" t="n"/>
    </row>
    <row r="542" ht="12.75" customHeight="1" s="398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  <c r="W542" s="55" t="n"/>
      <c r="X542" s="55" t="n"/>
      <c r="Y542" s="55" t="n"/>
      <c r="Z542" s="55" t="n"/>
    </row>
    <row r="543" ht="12.75" customHeight="1" s="398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  <c r="W543" s="55" t="n"/>
      <c r="X543" s="55" t="n"/>
      <c r="Y543" s="55" t="n"/>
      <c r="Z543" s="55" t="n"/>
    </row>
    <row r="544" ht="12.75" customHeight="1" s="398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  <c r="W544" s="55" t="n"/>
      <c r="X544" s="55" t="n"/>
      <c r="Y544" s="55" t="n"/>
      <c r="Z544" s="55" t="n"/>
    </row>
    <row r="545" ht="12.75" customHeight="1" s="398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  <c r="W545" s="55" t="n"/>
      <c r="X545" s="55" t="n"/>
      <c r="Y545" s="55" t="n"/>
      <c r="Z545" s="55" t="n"/>
    </row>
    <row r="546" ht="12.75" customHeight="1" s="398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  <c r="W546" s="55" t="n"/>
      <c r="X546" s="55" t="n"/>
      <c r="Y546" s="55" t="n"/>
      <c r="Z546" s="55" t="n"/>
    </row>
    <row r="547" ht="12.75" customHeight="1" s="398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  <c r="W547" s="55" t="n"/>
      <c r="X547" s="55" t="n"/>
      <c r="Y547" s="55" t="n"/>
      <c r="Z547" s="55" t="n"/>
    </row>
    <row r="548" ht="12.75" customHeight="1" s="39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  <c r="W548" s="55" t="n"/>
      <c r="X548" s="55" t="n"/>
      <c r="Y548" s="55" t="n"/>
      <c r="Z548" s="55" t="n"/>
    </row>
    <row r="549" ht="12.75" customHeight="1" s="398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  <c r="W549" s="55" t="n"/>
      <c r="X549" s="55" t="n"/>
      <c r="Y549" s="55" t="n"/>
      <c r="Z549" s="55" t="n"/>
    </row>
    <row r="550" ht="12.75" customHeight="1" s="398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  <c r="W550" s="55" t="n"/>
      <c r="X550" s="55" t="n"/>
      <c r="Y550" s="55" t="n"/>
      <c r="Z550" s="55" t="n"/>
    </row>
    <row r="551" ht="12.75" customHeight="1" s="398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  <c r="W551" s="55" t="n"/>
      <c r="X551" s="55" t="n"/>
      <c r="Y551" s="55" t="n"/>
      <c r="Z551" s="55" t="n"/>
    </row>
    <row r="552" ht="12.75" customHeight="1" s="398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  <c r="W552" s="55" t="n"/>
      <c r="X552" s="55" t="n"/>
      <c r="Y552" s="55" t="n"/>
      <c r="Z552" s="55" t="n"/>
    </row>
    <row r="553" ht="12.75" customHeight="1" s="398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  <c r="W553" s="55" t="n"/>
      <c r="X553" s="55" t="n"/>
      <c r="Y553" s="55" t="n"/>
      <c r="Z553" s="55" t="n"/>
    </row>
    <row r="554" ht="12.75" customHeight="1" s="398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  <c r="W554" s="55" t="n"/>
      <c r="X554" s="55" t="n"/>
      <c r="Y554" s="55" t="n"/>
      <c r="Z554" s="55" t="n"/>
    </row>
    <row r="555" ht="12.75" customHeight="1" s="398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  <c r="W555" s="55" t="n"/>
      <c r="X555" s="55" t="n"/>
      <c r="Y555" s="55" t="n"/>
      <c r="Z555" s="55" t="n"/>
    </row>
    <row r="556" ht="12.75" customHeight="1" s="398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  <c r="W556" s="55" t="n"/>
      <c r="X556" s="55" t="n"/>
      <c r="Y556" s="55" t="n"/>
      <c r="Z556" s="55" t="n"/>
    </row>
    <row r="557" ht="12.75" customHeight="1" s="398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  <c r="W557" s="55" t="n"/>
      <c r="X557" s="55" t="n"/>
      <c r="Y557" s="55" t="n"/>
      <c r="Z557" s="55" t="n"/>
    </row>
    <row r="558" ht="12.75" customHeight="1" s="39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  <c r="W558" s="55" t="n"/>
      <c r="X558" s="55" t="n"/>
      <c r="Y558" s="55" t="n"/>
      <c r="Z558" s="55" t="n"/>
    </row>
    <row r="559" ht="12.75" customHeight="1" s="398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  <c r="W559" s="55" t="n"/>
      <c r="X559" s="55" t="n"/>
      <c r="Y559" s="55" t="n"/>
      <c r="Z559" s="55" t="n"/>
    </row>
    <row r="560" ht="12.75" customHeight="1" s="398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  <c r="W560" s="55" t="n"/>
      <c r="X560" s="55" t="n"/>
      <c r="Y560" s="55" t="n"/>
      <c r="Z560" s="55" t="n"/>
    </row>
    <row r="561" ht="12.75" customHeight="1" s="398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  <c r="W561" s="55" t="n"/>
      <c r="X561" s="55" t="n"/>
      <c r="Y561" s="55" t="n"/>
      <c r="Z561" s="55" t="n"/>
    </row>
    <row r="562" ht="12.75" customHeight="1" s="398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  <c r="W562" s="55" t="n"/>
      <c r="X562" s="55" t="n"/>
      <c r="Y562" s="55" t="n"/>
      <c r="Z562" s="55" t="n"/>
    </row>
    <row r="563" ht="12.75" customHeight="1" s="398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  <c r="W563" s="55" t="n"/>
      <c r="X563" s="55" t="n"/>
      <c r="Y563" s="55" t="n"/>
      <c r="Z563" s="55" t="n"/>
    </row>
    <row r="564" ht="12.75" customHeight="1" s="398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  <c r="W564" s="55" t="n"/>
      <c r="X564" s="55" t="n"/>
      <c r="Y564" s="55" t="n"/>
      <c r="Z564" s="55" t="n"/>
    </row>
    <row r="565" ht="12.75" customHeight="1" s="398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  <c r="W565" s="55" t="n"/>
      <c r="X565" s="55" t="n"/>
      <c r="Y565" s="55" t="n"/>
      <c r="Z565" s="55" t="n"/>
    </row>
    <row r="566" ht="12.75" customHeight="1" s="398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  <c r="W566" s="55" t="n"/>
      <c r="X566" s="55" t="n"/>
      <c r="Y566" s="55" t="n"/>
      <c r="Z566" s="55" t="n"/>
    </row>
    <row r="567" ht="12.75" customHeight="1" s="398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  <c r="W567" s="55" t="n"/>
      <c r="X567" s="55" t="n"/>
      <c r="Y567" s="55" t="n"/>
      <c r="Z567" s="55" t="n"/>
    </row>
    <row r="568" ht="12.75" customHeight="1" s="39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  <c r="W568" s="55" t="n"/>
      <c r="X568" s="55" t="n"/>
      <c r="Y568" s="55" t="n"/>
      <c r="Z568" s="55" t="n"/>
    </row>
    <row r="569" ht="12.75" customHeight="1" s="398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  <c r="W569" s="55" t="n"/>
      <c r="X569" s="55" t="n"/>
      <c r="Y569" s="55" t="n"/>
      <c r="Z569" s="55" t="n"/>
    </row>
    <row r="570" ht="12.75" customHeight="1" s="398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  <c r="W570" s="55" t="n"/>
      <c r="X570" s="55" t="n"/>
      <c r="Y570" s="55" t="n"/>
      <c r="Z570" s="55" t="n"/>
    </row>
    <row r="571" ht="12.75" customHeight="1" s="398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  <c r="W571" s="55" t="n"/>
      <c r="X571" s="55" t="n"/>
      <c r="Y571" s="55" t="n"/>
      <c r="Z571" s="55" t="n"/>
    </row>
    <row r="572" ht="12.75" customHeight="1" s="398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  <c r="W572" s="55" t="n"/>
      <c r="X572" s="55" t="n"/>
      <c r="Y572" s="55" t="n"/>
      <c r="Z572" s="55" t="n"/>
    </row>
    <row r="573" ht="12.75" customHeight="1" s="398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  <c r="W573" s="55" t="n"/>
      <c r="X573" s="55" t="n"/>
      <c r="Y573" s="55" t="n"/>
      <c r="Z573" s="55" t="n"/>
    </row>
    <row r="574" ht="12.75" customHeight="1" s="398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  <c r="W574" s="55" t="n"/>
      <c r="X574" s="55" t="n"/>
      <c r="Y574" s="55" t="n"/>
      <c r="Z574" s="55" t="n"/>
    </row>
    <row r="575" ht="12.75" customHeight="1" s="398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  <c r="W575" s="55" t="n"/>
      <c r="X575" s="55" t="n"/>
      <c r="Y575" s="55" t="n"/>
      <c r="Z575" s="55" t="n"/>
    </row>
    <row r="576" ht="12.75" customHeight="1" s="398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  <c r="W576" s="55" t="n"/>
      <c r="X576" s="55" t="n"/>
      <c r="Y576" s="55" t="n"/>
      <c r="Z576" s="55" t="n"/>
    </row>
    <row r="577" ht="12.75" customHeight="1" s="398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  <c r="W577" s="55" t="n"/>
      <c r="X577" s="55" t="n"/>
      <c r="Y577" s="55" t="n"/>
      <c r="Z577" s="55" t="n"/>
    </row>
    <row r="578" ht="12.75" customHeight="1" s="39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  <c r="W578" s="55" t="n"/>
      <c r="X578" s="55" t="n"/>
      <c r="Y578" s="55" t="n"/>
      <c r="Z578" s="55" t="n"/>
    </row>
    <row r="579" ht="12.75" customHeight="1" s="398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  <c r="W579" s="55" t="n"/>
      <c r="X579" s="55" t="n"/>
      <c r="Y579" s="55" t="n"/>
      <c r="Z579" s="55" t="n"/>
    </row>
    <row r="580" ht="12.75" customHeight="1" s="398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  <c r="W580" s="55" t="n"/>
      <c r="X580" s="55" t="n"/>
      <c r="Y580" s="55" t="n"/>
      <c r="Z580" s="55" t="n"/>
    </row>
    <row r="581" ht="12.75" customHeight="1" s="398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  <c r="W581" s="55" t="n"/>
      <c r="X581" s="55" t="n"/>
      <c r="Y581" s="55" t="n"/>
      <c r="Z581" s="55" t="n"/>
    </row>
    <row r="582" ht="12.75" customHeight="1" s="398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  <c r="W582" s="55" t="n"/>
      <c r="X582" s="55" t="n"/>
      <c r="Y582" s="55" t="n"/>
      <c r="Z582" s="55" t="n"/>
    </row>
    <row r="583" ht="12.75" customHeight="1" s="398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  <c r="W583" s="55" t="n"/>
      <c r="X583" s="55" t="n"/>
      <c r="Y583" s="55" t="n"/>
      <c r="Z583" s="55" t="n"/>
    </row>
    <row r="584" ht="12.75" customHeight="1" s="398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  <c r="W584" s="55" t="n"/>
      <c r="X584" s="55" t="n"/>
      <c r="Y584" s="55" t="n"/>
      <c r="Z584" s="55" t="n"/>
    </row>
    <row r="585" ht="12.75" customHeight="1" s="398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  <c r="W585" s="55" t="n"/>
      <c r="X585" s="55" t="n"/>
      <c r="Y585" s="55" t="n"/>
      <c r="Z585" s="55" t="n"/>
    </row>
    <row r="586" ht="12.75" customHeight="1" s="398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  <c r="W586" s="55" t="n"/>
      <c r="X586" s="55" t="n"/>
      <c r="Y586" s="55" t="n"/>
      <c r="Z586" s="55" t="n"/>
    </row>
    <row r="587" ht="12.75" customHeight="1" s="398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  <c r="W587" s="55" t="n"/>
      <c r="X587" s="55" t="n"/>
      <c r="Y587" s="55" t="n"/>
      <c r="Z587" s="55" t="n"/>
    </row>
    <row r="588" ht="12.75" customHeight="1" s="39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  <c r="W588" s="55" t="n"/>
      <c r="X588" s="55" t="n"/>
      <c r="Y588" s="55" t="n"/>
      <c r="Z588" s="55" t="n"/>
    </row>
    <row r="589" ht="12.75" customHeight="1" s="398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  <c r="W589" s="55" t="n"/>
      <c r="X589" s="55" t="n"/>
      <c r="Y589" s="55" t="n"/>
      <c r="Z589" s="55" t="n"/>
    </row>
    <row r="590" ht="12.75" customHeight="1" s="398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  <c r="W590" s="55" t="n"/>
      <c r="X590" s="55" t="n"/>
      <c r="Y590" s="55" t="n"/>
      <c r="Z590" s="55" t="n"/>
    </row>
    <row r="591" ht="12.75" customHeight="1" s="398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  <c r="W591" s="55" t="n"/>
      <c r="X591" s="55" t="n"/>
      <c r="Y591" s="55" t="n"/>
      <c r="Z591" s="55" t="n"/>
    </row>
    <row r="592" ht="12.75" customHeight="1" s="398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  <c r="W592" s="55" t="n"/>
      <c r="X592" s="55" t="n"/>
      <c r="Y592" s="55" t="n"/>
      <c r="Z592" s="55" t="n"/>
    </row>
    <row r="593" ht="12.75" customHeight="1" s="398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  <c r="W593" s="55" t="n"/>
      <c r="X593" s="55" t="n"/>
      <c r="Y593" s="55" t="n"/>
      <c r="Z593" s="55" t="n"/>
    </row>
    <row r="594" ht="12.75" customHeight="1" s="398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  <c r="W594" s="55" t="n"/>
      <c r="X594" s="55" t="n"/>
      <c r="Y594" s="55" t="n"/>
      <c r="Z594" s="55" t="n"/>
    </row>
    <row r="595" ht="12.75" customHeight="1" s="398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  <c r="W595" s="55" t="n"/>
      <c r="X595" s="55" t="n"/>
      <c r="Y595" s="55" t="n"/>
      <c r="Z595" s="55" t="n"/>
    </row>
    <row r="596" ht="12.75" customHeight="1" s="398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  <c r="W596" s="55" t="n"/>
      <c r="X596" s="55" t="n"/>
      <c r="Y596" s="55" t="n"/>
      <c r="Z596" s="55" t="n"/>
    </row>
    <row r="597" ht="12.75" customHeight="1" s="398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  <c r="W597" s="55" t="n"/>
      <c r="X597" s="55" t="n"/>
      <c r="Y597" s="55" t="n"/>
      <c r="Z597" s="55" t="n"/>
    </row>
    <row r="598" ht="12.75" customHeight="1" s="3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  <c r="W598" s="55" t="n"/>
      <c r="X598" s="55" t="n"/>
      <c r="Y598" s="55" t="n"/>
      <c r="Z598" s="55" t="n"/>
    </row>
    <row r="599" ht="12.75" customHeight="1" s="398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  <c r="W599" s="55" t="n"/>
      <c r="X599" s="55" t="n"/>
      <c r="Y599" s="55" t="n"/>
      <c r="Z599" s="55" t="n"/>
    </row>
    <row r="600" ht="12.75" customHeight="1" s="398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  <c r="W600" s="55" t="n"/>
      <c r="X600" s="55" t="n"/>
      <c r="Y600" s="55" t="n"/>
      <c r="Z600" s="55" t="n"/>
    </row>
    <row r="601" ht="12.75" customHeight="1" s="398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  <c r="W601" s="55" t="n"/>
      <c r="X601" s="55" t="n"/>
      <c r="Y601" s="55" t="n"/>
      <c r="Z601" s="55" t="n"/>
    </row>
    <row r="602" ht="12.75" customHeight="1" s="398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  <c r="W602" s="55" t="n"/>
      <c r="X602" s="55" t="n"/>
      <c r="Y602" s="55" t="n"/>
      <c r="Z602" s="55" t="n"/>
    </row>
    <row r="603" ht="12.75" customHeight="1" s="398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  <c r="W603" s="55" t="n"/>
      <c r="X603" s="55" t="n"/>
      <c r="Y603" s="55" t="n"/>
      <c r="Z603" s="55" t="n"/>
    </row>
    <row r="604" ht="12.75" customHeight="1" s="398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  <c r="W604" s="55" t="n"/>
      <c r="X604" s="55" t="n"/>
      <c r="Y604" s="55" t="n"/>
      <c r="Z604" s="55" t="n"/>
    </row>
    <row r="605" ht="12.75" customHeight="1" s="398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  <c r="W605" s="55" t="n"/>
      <c r="X605" s="55" t="n"/>
      <c r="Y605" s="55" t="n"/>
      <c r="Z605" s="55" t="n"/>
    </row>
    <row r="606" ht="12.75" customHeight="1" s="398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  <c r="W606" s="55" t="n"/>
      <c r="X606" s="55" t="n"/>
      <c r="Y606" s="55" t="n"/>
      <c r="Z606" s="55" t="n"/>
    </row>
    <row r="607" ht="12.75" customHeight="1" s="398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  <c r="W607" s="55" t="n"/>
      <c r="X607" s="55" t="n"/>
      <c r="Y607" s="55" t="n"/>
      <c r="Z607" s="55" t="n"/>
    </row>
    <row r="608" ht="12.75" customHeight="1" s="39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  <c r="W608" s="55" t="n"/>
      <c r="X608" s="55" t="n"/>
      <c r="Y608" s="55" t="n"/>
      <c r="Z608" s="55" t="n"/>
    </row>
    <row r="609" ht="12.75" customHeight="1" s="398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  <c r="W609" s="55" t="n"/>
      <c r="X609" s="55" t="n"/>
      <c r="Y609" s="55" t="n"/>
      <c r="Z609" s="55" t="n"/>
    </row>
    <row r="610" ht="12.75" customHeight="1" s="398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  <c r="W610" s="55" t="n"/>
      <c r="X610" s="55" t="n"/>
      <c r="Y610" s="55" t="n"/>
      <c r="Z610" s="55" t="n"/>
    </row>
    <row r="611" ht="12.75" customHeight="1" s="398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  <c r="W611" s="55" t="n"/>
      <c r="X611" s="55" t="n"/>
      <c r="Y611" s="55" t="n"/>
      <c r="Z611" s="55" t="n"/>
    </row>
    <row r="612" ht="12.75" customHeight="1" s="398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  <c r="W612" s="55" t="n"/>
      <c r="X612" s="55" t="n"/>
      <c r="Y612" s="55" t="n"/>
      <c r="Z612" s="55" t="n"/>
    </row>
    <row r="613" ht="12.75" customHeight="1" s="398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  <c r="W613" s="55" t="n"/>
      <c r="X613" s="55" t="n"/>
      <c r="Y613" s="55" t="n"/>
      <c r="Z613" s="55" t="n"/>
    </row>
    <row r="614" ht="12.75" customHeight="1" s="398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  <c r="W614" s="55" t="n"/>
      <c r="X614" s="55" t="n"/>
      <c r="Y614" s="55" t="n"/>
      <c r="Z614" s="55" t="n"/>
    </row>
    <row r="615" ht="12.75" customHeight="1" s="398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  <c r="W615" s="55" t="n"/>
      <c r="X615" s="55" t="n"/>
      <c r="Y615" s="55" t="n"/>
      <c r="Z615" s="55" t="n"/>
    </row>
    <row r="616" ht="12.75" customHeight="1" s="398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  <c r="W616" s="55" t="n"/>
      <c r="X616" s="55" t="n"/>
      <c r="Y616" s="55" t="n"/>
      <c r="Z616" s="55" t="n"/>
    </row>
    <row r="617" ht="12.75" customHeight="1" s="398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  <c r="W617" s="55" t="n"/>
      <c r="X617" s="55" t="n"/>
      <c r="Y617" s="55" t="n"/>
      <c r="Z617" s="55" t="n"/>
    </row>
    <row r="618" ht="12.75" customHeight="1" s="39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  <c r="W618" s="55" t="n"/>
      <c r="X618" s="55" t="n"/>
      <c r="Y618" s="55" t="n"/>
      <c r="Z618" s="55" t="n"/>
    </row>
    <row r="619" ht="12.75" customHeight="1" s="398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  <c r="W619" s="55" t="n"/>
      <c r="X619" s="55" t="n"/>
      <c r="Y619" s="55" t="n"/>
      <c r="Z619" s="55" t="n"/>
    </row>
    <row r="620" ht="12.75" customHeight="1" s="398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  <c r="W620" s="55" t="n"/>
      <c r="X620" s="55" t="n"/>
      <c r="Y620" s="55" t="n"/>
      <c r="Z620" s="55" t="n"/>
    </row>
    <row r="621" ht="12.75" customHeight="1" s="398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  <c r="W621" s="55" t="n"/>
      <c r="X621" s="55" t="n"/>
      <c r="Y621" s="55" t="n"/>
      <c r="Z621" s="55" t="n"/>
    </row>
    <row r="622" ht="12.75" customHeight="1" s="398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  <c r="W622" s="55" t="n"/>
      <c r="X622" s="55" t="n"/>
      <c r="Y622" s="55" t="n"/>
      <c r="Z622" s="55" t="n"/>
    </row>
    <row r="623" ht="12.75" customHeight="1" s="398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  <c r="W623" s="55" t="n"/>
      <c r="X623" s="55" t="n"/>
      <c r="Y623" s="55" t="n"/>
      <c r="Z623" s="55" t="n"/>
    </row>
    <row r="624" ht="12.75" customHeight="1" s="398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  <c r="W624" s="55" t="n"/>
      <c r="X624" s="55" t="n"/>
      <c r="Y624" s="55" t="n"/>
      <c r="Z624" s="55" t="n"/>
    </row>
    <row r="625" ht="12.75" customHeight="1" s="398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  <c r="W625" s="55" t="n"/>
      <c r="X625" s="55" t="n"/>
      <c r="Y625" s="55" t="n"/>
      <c r="Z625" s="55" t="n"/>
    </row>
    <row r="626" ht="12.75" customHeight="1" s="398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  <c r="W626" s="55" t="n"/>
      <c r="X626" s="55" t="n"/>
      <c r="Y626" s="55" t="n"/>
      <c r="Z626" s="55" t="n"/>
    </row>
    <row r="627" ht="12.75" customHeight="1" s="398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  <c r="W627" s="55" t="n"/>
      <c r="X627" s="55" t="n"/>
      <c r="Y627" s="55" t="n"/>
      <c r="Z627" s="55" t="n"/>
    </row>
    <row r="628" ht="12.75" customHeight="1" s="39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  <c r="W628" s="55" t="n"/>
      <c r="X628" s="55" t="n"/>
      <c r="Y628" s="55" t="n"/>
      <c r="Z628" s="55" t="n"/>
    </row>
    <row r="629" ht="12.75" customHeight="1" s="398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  <c r="W629" s="55" t="n"/>
      <c r="X629" s="55" t="n"/>
      <c r="Y629" s="55" t="n"/>
      <c r="Z629" s="55" t="n"/>
    </row>
    <row r="630" ht="12.75" customHeight="1" s="398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  <c r="W630" s="55" t="n"/>
      <c r="X630" s="55" t="n"/>
      <c r="Y630" s="55" t="n"/>
      <c r="Z630" s="55" t="n"/>
    </row>
    <row r="631" ht="12.75" customHeight="1" s="398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  <c r="W631" s="55" t="n"/>
      <c r="X631" s="55" t="n"/>
      <c r="Y631" s="55" t="n"/>
      <c r="Z631" s="55" t="n"/>
    </row>
    <row r="632" ht="12.75" customHeight="1" s="398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  <c r="W632" s="55" t="n"/>
      <c r="X632" s="55" t="n"/>
      <c r="Y632" s="55" t="n"/>
      <c r="Z632" s="55" t="n"/>
    </row>
    <row r="633" ht="12.75" customHeight="1" s="398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  <c r="W633" s="55" t="n"/>
      <c r="X633" s="55" t="n"/>
      <c r="Y633" s="55" t="n"/>
      <c r="Z633" s="55" t="n"/>
    </row>
    <row r="634" ht="12.75" customHeight="1" s="398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  <c r="W634" s="55" t="n"/>
      <c r="X634" s="55" t="n"/>
      <c r="Y634" s="55" t="n"/>
      <c r="Z634" s="55" t="n"/>
    </row>
    <row r="635" ht="12.75" customHeight="1" s="398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  <c r="W635" s="55" t="n"/>
      <c r="X635" s="55" t="n"/>
      <c r="Y635" s="55" t="n"/>
      <c r="Z635" s="55" t="n"/>
    </row>
    <row r="636" ht="12.75" customHeight="1" s="398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  <c r="W636" s="55" t="n"/>
      <c r="X636" s="55" t="n"/>
      <c r="Y636" s="55" t="n"/>
      <c r="Z636" s="55" t="n"/>
    </row>
    <row r="637" ht="12.75" customHeight="1" s="398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  <c r="W637" s="55" t="n"/>
      <c r="X637" s="55" t="n"/>
      <c r="Y637" s="55" t="n"/>
      <c r="Z637" s="55" t="n"/>
    </row>
    <row r="638" ht="12.75" customHeight="1" s="39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  <c r="W638" s="55" t="n"/>
      <c r="X638" s="55" t="n"/>
      <c r="Y638" s="55" t="n"/>
      <c r="Z638" s="55" t="n"/>
    </row>
    <row r="639" ht="12.75" customHeight="1" s="398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  <c r="W639" s="55" t="n"/>
      <c r="X639" s="55" t="n"/>
      <c r="Y639" s="55" t="n"/>
      <c r="Z639" s="55" t="n"/>
    </row>
    <row r="640" ht="12.75" customHeight="1" s="398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  <c r="W640" s="55" t="n"/>
      <c r="X640" s="55" t="n"/>
      <c r="Y640" s="55" t="n"/>
      <c r="Z640" s="55" t="n"/>
    </row>
    <row r="641" ht="12.75" customHeight="1" s="398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  <c r="W641" s="55" t="n"/>
      <c r="X641" s="55" t="n"/>
      <c r="Y641" s="55" t="n"/>
      <c r="Z641" s="55" t="n"/>
    </row>
    <row r="642" ht="12.75" customHeight="1" s="398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  <c r="W642" s="55" t="n"/>
      <c r="X642" s="55" t="n"/>
      <c r="Y642" s="55" t="n"/>
      <c r="Z642" s="55" t="n"/>
    </row>
    <row r="643" ht="12.75" customHeight="1" s="398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  <c r="W643" s="55" t="n"/>
      <c r="X643" s="55" t="n"/>
      <c r="Y643" s="55" t="n"/>
      <c r="Z643" s="55" t="n"/>
    </row>
    <row r="644" ht="12.75" customHeight="1" s="398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  <c r="W644" s="55" t="n"/>
      <c r="X644" s="55" t="n"/>
      <c r="Y644" s="55" t="n"/>
      <c r="Z644" s="55" t="n"/>
    </row>
    <row r="645" ht="12.75" customHeight="1" s="398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  <c r="W645" s="55" t="n"/>
      <c r="X645" s="55" t="n"/>
      <c r="Y645" s="55" t="n"/>
      <c r="Z645" s="55" t="n"/>
    </row>
    <row r="646" ht="12.75" customHeight="1" s="398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  <c r="W646" s="55" t="n"/>
      <c r="X646" s="55" t="n"/>
      <c r="Y646" s="55" t="n"/>
      <c r="Z646" s="55" t="n"/>
    </row>
    <row r="647" ht="12.75" customHeight="1" s="398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  <c r="W647" s="55" t="n"/>
      <c r="X647" s="55" t="n"/>
      <c r="Y647" s="55" t="n"/>
      <c r="Z647" s="55" t="n"/>
    </row>
    <row r="648" ht="12.75" customHeight="1" s="39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  <c r="W648" s="55" t="n"/>
      <c r="X648" s="55" t="n"/>
      <c r="Y648" s="55" t="n"/>
      <c r="Z648" s="55" t="n"/>
    </row>
    <row r="649" ht="12.75" customHeight="1" s="398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  <c r="W649" s="55" t="n"/>
      <c r="X649" s="55" t="n"/>
      <c r="Y649" s="55" t="n"/>
      <c r="Z649" s="55" t="n"/>
    </row>
    <row r="650" ht="12.75" customHeight="1" s="398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  <c r="W650" s="55" t="n"/>
      <c r="X650" s="55" t="n"/>
      <c r="Y650" s="55" t="n"/>
      <c r="Z650" s="55" t="n"/>
    </row>
    <row r="651" ht="12.75" customHeight="1" s="398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  <c r="W651" s="55" t="n"/>
      <c r="X651" s="55" t="n"/>
      <c r="Y651" s="55" t="n"/>
      <c r="Z651" s="55" t="n"/>
    </row>
    <row r="652" ht="12.75" customHeight="1" s="398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  <c r="W652" s="55" t="n"/>
      <c r="X652" s="55" t="n"/>
      <c r="Y652" s="55" t="n"/>
      <c r="Z652" s="55" t="n"/>
    </row>
    <row r="653" ht="12.75" customHeight="1" s="398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  <c r="W653" s="55" t="n"/>
      <c r="X653" s="55" t="n"/>
      <c r="Y653" s="55" t="n"/>
      <c r="Z653" s="55" t="n"/>
    </row>
    <row r="654" ht="12.75" customHeight="1" s="398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  <c r="W654" s="55" t="n"/>
      <c r="X654" s="55" t="n"/>
      <c r="Y654" s="55" t="n"/>
      <c r="Z654" s="55" t="n"/>
    </row>
    <row r="655" ht="12.75" customHeight="1" s="398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  <c r="W655" s="55" t="n"/>
      <c r="X655" s="55" t="n"/>
      <c r="Y655" s="55" t="n"/>
      <c r="Z655" s="55" t="n"/>
    </row>
    <row r="656" ht="12.75" customHeight="1" s="398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  <c r="W656" s="55" t="n"/>
      <c r="X656" s="55" t="n"/>
      <c r="Y656" s="55" t="n"/>
      <c r="Z656" s="55" t="n"/>
    </row>
    <row r="657" ht="12.75" customHeight="1" s="398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  <c r="W657" s="55" t="n"/>
      <c r="X657" s="55" t="n"/>
      <c r="Y657" s="55" t="n"/>
      <c r="Z657" s="55" t="n"/>
    </row>
    <row r="658" ht="12.75" customHeight="1" s="39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  <c r="W658" s="55" t="n"/>
      <c r="X658" s="55" t="n"/>
      <c r="Y658" s="55" t="n"/>
      <c r="Z658" s="55" t="n"/>
    </row>
    <row r="659" ht="12.75" customHeight="1" s="398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  <c r="W659" s="55" t="n"/>
      <c r="X659" s="55" t="n"/>
      <c r="Y659" s="55" t="n"/>
      <c r="Z659" s="55" t="n"/>
    </row>
    <row r="660" ht="12.75" customHeight="1" s="398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  <c r="W660" s="55" t="n"/>
      <c r="X660" s="55" t="n"/>
      <c r="Y660" s="55" t="n"/>
      <c r="Z660" s="55" t="n"/>
    </row>
    <row r="661" ht="12.75" customHeight="1" s="398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  <c r="W661" s="55" t="n"/>
      <c r="X661" s="55" t="n"/>
      <c r="Y661" s="55" t="n"/>
      <c r="Z661" s="55" t="n"/>
    </row>
    <row r="662" ht="12.75" customHeight="1" s="398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  <c r="W662" s="55" t="n"/>
      <c r="X662" s="55" t="n"/>
      <c r="Y662" s="55" t="n"/>
      <c r="Z662" s="55" t="n"/>
    </row>
    <row r="663" ht="12.75" customHeight="1" s="398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  <c r="W663" s="55" t="n"/>
      <c r="X663" s="55" t="n"/>
      <c r="Y663" s="55" t="n"/>
      <c r="Z663" s="55" t="n"/>
    </row>
    <row r="664" ht="12.75" customHeight="1" s="398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  <c r="W664" s="55" t="n"/>
      <c r="X664" s="55" t="n"/>
      <c r="Y664" s="55" t="n"/>
      <c r="Z664" s="55" t="n"/>
    </row>
    <row r="665" ht="12.75" customHeight="1" s="398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  <c r="W665" s="55" t="n"/>
      <c r="X665" s="55" t="n"/>
      <c r="Y665" s="55" t="n"/>
      <c r="Z665" s="55" t="n"/>
    </row>
    <row r="666" ht="12.75" customHeight="1" s="398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  <c r="W666" s="55" t="n"/>
      <c r="X666" s="55" t="n"/>
      <c r="Y666" s="55" t="n"/>
      <c r="Z666" s="55" t="n"/>
    </row>
    <row r="667" ht="12.75" customHeight="1" s="398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  <c r="W667" s="55" t="n"/>
      <c r="X667" s="55" t="n"/>
      <c r="Y667" s="55" t="n"/>
      <c r="Z667" s="55" t="n"/>
    </row>
    <row r="668" ht="12.75" customHeight="1" s="39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  <c r="W668" s="55" t="n"/>
      <c r="X668" s="55" t="n"/>
      <c r="Y668" s="55" t="n"/>
      <c r="Z668" s="55" t="n"/>
    </row>
    <row r="669" ht="12.75" customHeight="1" s="398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  <c r="W669" s="55" t="n"/>
      <c r="X669" s="55" t="n"/>
      <c r="Y669" s="55" t="n"/>
      <c r="Z669" s="55" t="n"/>
    </row>
    <row r="670" ht="12.75" customHeight="1" s="398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  <c r="W670" s="55" t="n"/>
      <c r="X670" s="55" t="n"/>
      <c r="Y670" s="55" t="n"/>
      <c r="Z670" s="55" t="n"/>
    </row>
    <row r="671" ht="12.75" customHeight="1" s="398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  <c r="W671" s="55" t="n"/>
      <c r="X671" s="55" t="n"/>
      <c r="Y671" s="55" t="n"/>
      <c r="Z671" s="55" t="n"/>
    </row>
    <row r="672" ht="12.75" customHeight="1" s="398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  <c r="W672" s="55" t="n"/>
      <c r="X672" s="55" t="n"/>
      <c r="Y672" s="55" t="n"/>
      <c r="Z672" s="55" t="n"/>
    </row>
    <row r="673" ht="12.75" customHeight="1" s="398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  <c r="W673" s="55" t="n"/>
      <c r="X673" s="55" t="n"/>
      <c r="Y673" s="55" t="n"/>
      <c r="Z673" s="55" t="n"/>
    </row>
    <row r="674" ht="12.75" customHeight="1" s="398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  <c r="W674" s="55" t="n"/>
      <c r="X674" s="55" t="n"/>
      <c r="Y674" s="55" t="n"/>
      <c r="Z674" s="55" t="n"/>
    </row>
    <row r="675" ht="12.75" customHeight="1" s="398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  <c r="W675" s="55" t="n"/>
      <c r="X675" s="55" t="n"/>
      <c r="Y675" s="55" t="n"/>
      <c r="Z675" s="55" t="n"/>
    </row>
    <row r="676" ht="12.75" customHeight="1" s="398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  <c r="W676" s="55" t="n"/>
      <c r="X676" s="55" t="n"/>
      <c r="Y676" s="55" t="n"/>
      <c r="Z676" s="55" t="n"/>
    </row>
    <row r="677" ht="12.75" customHeight="1" s="398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  <c r="W677" s="55" t="n"/>
      <c r="X677" s="55" t="n"/>
      <c r="Y677" s="55" t="n"/>
      <c r="Z677" s="55" t="n"/>
    </row>
    <row r="678" ht="12.75" customHeight="1" s="39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  <c r="W678" s="55" t="n"/>
      <c r="X678" s="55" t="n"/>
      <c r="Y678" s="55" t="n"/>
      <c r="Z678" s="55" t="n"/>
    </row>
    <row r="679" ht="12.75" customHeight="1" s="398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  <c r="W679" s="55" t="n"/>
      <c r="X679" s="55" t="n"/>
      <c r="Y679" s="55" t="n"/>
      <c r="Z679" s="55" t="n"/>
    </row>
    <row r="680" ht="12.75" customHeight="1" s="398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  <c r="W680" s="55" t="n"/>
      <c r="X680" s="55" t="n"/>
      <c r="Y680" s="55" t="n"/>
      <c r="Z680" s="55" t="n"/>
    </row>
    <row r="681" ht="12.75" customHeight="1" s="398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  <c r="W681" s="55" t="n"/>
      <c r="X681" s="55" t="n"/>
      <c r="Y681" s="55" t="n"/>
      <c r="Z681" s="55" t="n"/>
    </row>
    <row r="682" ht="12.75" customHeight="1" s="398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  <c r="W682" s="55" t="n"/>
      <c r="X682" s="55" t="n"/>
      <c r="Y682" s="55" t="n"/>
      <c r="Z682" s="55" t="n"/>
    </row>
    <row r="683" ht="12.75" customHeight="1" s="398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  <c r="W683" s="55" t="n"/>
      <c r="X683" s="55" t="n"/>
      <c r="Y683" s="55" t="n"/>
      <c r="Z683" s="55" t="n"/>
    </row>
    <row r="684" ht="12.75" customHeight="1" s="398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  <c r="W684" s="55" t="n"/>
      <c r="X684" s="55" t="n"/>
      <c r="Y684" s="55" t="n"/>
      <c r="Z684" s="55" t="n"/>
    </row>
    <row r="685" ht="12.75" customHeight="1" s="398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  <c r="W685" s="55" t="n"/>
      <c r="X685" s="55" t="n"/>
      <c r="Y685" s="55" t="n"/>
      <c r="Z685" s="55" t="n"/>
    </row>
    <row r="686" ht="12.75" customHeight="1" s="398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  <c r="W686" s="55" t="n"/>
      <c r="X686" s="55" t="n"/>
      <c r="Y686" s="55" t="n"/>
      <c r="Z686" s="55" t="n"/>
    </row>
    <row r="687" ht="12.75" customHeight="1" s="398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  <c r="W687" s="55" t="n"/>
      <c r="X687" s="55" t="n"/>
      <c r="Y687" s="55" t="n"/>
      <c r="Z687" s="55" t="n"/>
    </row>
    <row r="688" ht="12.75" customHeight="1" s="39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  <c r="W688" s="55" t="n"/>
      <c r="X688" s="55" t="n"/>
      <c r="Y688" s="55" t="n"/>
      <c r="Z688" s="55" t="n"/>
    </row>
    <row r="689" ht="12.75" customHeight="1" s="398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  <c r="W689" s="55" t="n"/>
      <c r="X689" s="55" t="n"/>
      <c r="Y689" s="55" t="n"/>
      <c r="Z689" s="55" t="n"/>
    </row>
    <row r="690" ht="12.75" customHeight="1" s="398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  <c r="W690" s="55" t="n"/>
      <c r="X690" s="55" t="n"/>
      <c r="Y690" s="55" t="n"/>
      <c r="Z690" s="55" t="n"/>
    </row>
    <row r="691" ht="12.75" customHeight="1" s="398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  <c r="W691" s="55" t="n"/>
      <c r="X691" s="55" t="n"/>
      <c r="Y691" s="55" t="n"/>
      <c r="Z691" s="55" t="n"/>
    </row>
    <row r="692" ht="12.75" customHeight="1" s="398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  <c r="W692" s="55" t="n"/>
      <c r="X692" s="55" t="n"/>
      <c r="Y692" s="55" t="n"/>
      <c r="Z692" s="55" t="n"/>
    </row>
    <row r="693" ht="12.75" customHeight="1" s="398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  <c r="W693" s="55" t="n"/>
      <c r="X693" s="55" t="n"/>
      <c r="Y693" s="55" t="n"/>
      <c r="Z693" s="55" t="n"/>
    </row>
    <row r="694" ht="12.75" customHeight="1" s="398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  <c r="W694" s="55" t="n"/>
      <c r="X694" s="55" t="n"/>
      <c r="Y694" s="55" t="n"/>
      <c r="Z694" s="55" t="n"/>
    </row>
    <row r="695" ht="12.75" customHeight="1" s="398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  <c r="W695" s="55" t="n"/>
      <c r="X695" s="55" t="n"/>
      <c r="Y695" s="55" t="n"/>
      <c r="Z695" s="55" t="n"/>
    </row>
    <row r="696" ht="12.75" customHeight="1" s="398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  <c r="W696" s="55" t="n"/>
      <c r="X696" s="55" t="n"/>
      <c r="Y696" s="55" t="n"/>
      <c r="Z696" s="55" t="n"/>
    </row>
    <row r="697" ht="12.75" customHeight="1" s="398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  <c r="W697" s="55" t="n"/>
      <c r="X697" s="55" t="n"/>
      <c r="Y697" s="55" t="n"/>
      <c r="Z697" s="55" t="n"/>
    </row>
    <row r="698" ht="12.75" customHeight="1" s="3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  <c r="W698" s="55" t="n"/>
      <c r="X698" s="55" t="n"/>
      <c r="Y698" s="55" t="n"/>
      <c r="Z698" s="55" t="n"/>
    </row>
    <row r="699" ht="12.75" customHeight="1" s="398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  <c r="W699" s="55" t="n"/>
      <c r="X699" s="55" t="n"/>
      <c r="Y699" s="55" t="n"/>
      <c r="Z699" s="55" t="n"/>
    </row>
    <row r="700" ht="12.75" customHeight="1" s="398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  <c r="W700" s="55" t="n"/>
      <c r="X700" s="55" t="n"/>
      <c r="Y700" s="55" t="n"/>
      <c r="Z700" s="55" t="n"/>
    </row>
    <row r="701" ht="12.75" customHeight="1" s="398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  <c r="W701" s="55" t="n"/>
      <c r="X701" s="55" t="n"/>
      <c r="Y701" s="55" t="n"/>
      <c r="Z701" s="55" t="n"/>
    </row>
    <row r="702" ht="12.75" customHeight="1" s="398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  <c r="W702" s="55" t="n"/>
      <c r="X702" s="55" t="n"/>
      <c r="Y702" s="55" t="n"/>
      <c r="Z702" s="55" t="n"/>
    </row>
    <row r="703" ht="12.75" customHeight="1" s="398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  <c r="W703" s="55" t="n"/>
      <c r="X703" s="55" t="n"/>
      <c r="Y703" s="55" t="n"/>
      <c r="Z703" s="55" t="n"/>
    </row>
    <row r="704" ht="12.75" customHeight="1" s="398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  <c r="W704" s="55" t="n"/>
      <c r="X704" s="55" t="n"/>
      <c r="Y704" s="55" t="n"/>
      <c r="Z704" s="55" t="n"/>
    </row>
    <row r="705" ht="12.75" customHeight="1" s="398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  <c r="W705" s="55" t="n"/>
      <c r="X705" s="55" t="n"/>
      <c r="Y705" s="55" t="n"/>
      <c r="Z705" s="55" t="n"/>
    </row>
    <row r="706" ht="12.75" customHeight="1" s="398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  <c r="W706" s="55" t="n"/>
      <c r="X706" s="55" t="n"/>
      <c r="Y706" s="55" t="n"/>
      <c r="Z706" s="55" t="n"/>
    </row>
    <row r="707" ht="12.75" customHeight="1" s="398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  <c r="W707" s="55" t="n"/>
      <c r="X707" s="55" t="n"/>
      <c r="Y707" s="55" t="n"/>
      <c r="Z707" s="55" t="n"/>
    </row>
    <row r="708" ht="12.75" customHeight="1" s="39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  <c r="W708" s="55" t="n"/>
      <c r="X708" s="55" t="n"/>
      <c r="Y708" s="55" t="n"/>
      <c r="Z708" s="55" t="n"/>
    </row>
    <row r="709" ht="12.75" customHeight="1" s="398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  <c r="W709" s="55" t="n"/>
      <c r="X709" s="55" t="n"/>
      <c r="Y709" s="55" t="n"/>
      <c r="Z709" s="55" t="n"/>
    </row>
    <row r="710" ht="12.75" customHeight="1" s="398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  <c r="W710" s="55" t="n"/>
      <c r="X710" s="55" t="n"/>
      <c r="Y710" s="55" t="n"/>
      <c r="Z710" s="55" t="n"/>
    </row>
    <row r="711" ht="12.75" customHeight="1" s="398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  <c r="W711" s="55" t="n"/>
      <c r="X711" s="55" t="n"/>
      <c r="Y711" s="55" t="n"/>
      <c r="Z711" s="55" t="n"/>
    </row>
    <row r="712" ht="12.75" customHeight="1" s="398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  <c r="W712" s="55" t="n"/>
      <c r="X712" s="55" t="n"/>
      <c r="Y712" s="55" t="n"/>
      <c r="Z712" s="55" t="n"/>
    </row>
    <row r="713" ht="12.75" customHeight="1" s="398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  <c r="W713" s="55" t="n"/>
      <c r="X713" s="55" t="n"/>
      <c r="Y713" s="55" t="n"/>
      <c r="Z713" s="55" t="n"/>
    </row>
    <row r="714" ht="12.75" customHeight="1" s="398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  <c r="W714" s="55" t="n"/>
      <c r="X714" s="55" t="n"/>
      <c r="Y714" s="55" t="n"/>
      <c r="Z714" s="55" t="n"/>
    </row>
    <row r="715" ht="12.75" customHeight="1" s="398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  <c r="W715" s="55" t="n"/>
      <c r="X715" s="55" t="n"/>
      <c r="Y715" s="55" t="n"/>
      <c r="Z715" s="55" t="n"/>
    </row>
    <row r="716" ht="12.75" customHeight="1" s="398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  <c r="Z716" s="55" t="n"/>
    </row>
    <row r="717" ht="12.75" customHeight="1" s="398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  <c r="Z717" s="55" t="n"/>
    </row>
    <row r="718" ht="12.75" customHeight="1" s="39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  <c r="Z718" s="55" t="n"/>
    </row>
    <row r="719" ht="12.75" customHeight="1" s="398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  <c r="W719" s="55" t="n"/>
      <c r="X719" s="55" t="n"/>
      <c r="Y719" s="55" t="n"/>
      <c r="Z719" s="55" t="n"/>
    </row>
    <row r="720" ht="12.75" customHeight="1" s="398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  <c r="W720" s="55" t="n"/>
      <c r="X720" s="55" t="n"/>
      <c r="Y720" s="55" t="n"/>
      <c r="Z720" s="55" t="n"/>
    </row>
    <row r="721" ht="12.75" customHeight="1" s="398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  <c r="W721" s="55" t="n"/>
      <c r="X721" s="55" t="n"/>
      <c r="Y721" s="55" t="n"/>
      <c r="Z721" s="55" t="n"/>
    </row>
    <row r="722" ht="12.75" customHeight="1" s="398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  <c r="W722" s="55" t="n"/>
      <c r="X722" s="55" t="n"/>
      <c r="Y722" s="55" t="n"/>
      <c r="Z722" s="55" t="n"/>
    </row>
    <row r="723" ht="12.75" customHeight="1" s="398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  <c r="W723" s="55" t="n"/>
      <c r="X723" s="55" t="n"/>
      <c r="Y723" s="55" t="n"/>
      <c r="Z723" s="55" t="n"/>
    </row>
    <row r="724" ht="12.75" customHeight="1" s="398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  <c r="W724" s="55" t="n"/>
      <c r="X724" s="55" t="n"/>
      <c r="Y724" s="55" t="n"/>
      <c r="Z724" s="55" t="n"/>
    </row>
    <row r="725" ht="12.75" customHeight="1" s="398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  <c r="W725" s="55" t="n"/>
      <c r="X725" s="55" t="n"/>
      <c r="Y725" s="55" t="n"/>
      <c r="Z725" s="55" t="n"/>
    </row>
    <row r="726" ht="12.75" customHeight="1" s="398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  <c r="W726" s="55" t="n"/>
      <c r="X726" s="55" t="n"/>
      <c r="Y726" s="55" t="n"/>
      <c r="Z726" s="55" t="n"/>
    </row>
    <row r="727" ht="12.75" customHeight="1" s="398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  <c r="W727" s="55" t="n"/>
      <c r="X727" s="55" t="n"/>
      <c r="Y727" s="55" t="n"/>
      <c r="Z727" s="55" t="n"/>
    </row>
    <row r="728" ht="12.75" customHeight="1" s="39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  <c r="W728" s="55" t="n"/>
      <c r="X728" s="55" t="n"/>
      <c r="Y728" s="55" t="n"/>
      <c r="Z728" s="55" t="n"/>
    </row>
    <row r="729" ht="12.75" customHeight="1" s="398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  <c r="W729" s="55" t="n"/>
      <c r="X729" s="55" t="n"/>
      <c r="Y729" s="55" t="n"/>
      <c r="Z729" s="55" t="n"/>
    </row>
    <row r="730" ht="12.75" customHeight="1" s="398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  <c r="W730" s="55" t="n"/>
      <c r="X730" s="55" t="n"/>
      <c r="Y730" s="55" t="n"/>
      <c r="Z730" s="55" t="n"/>
    </row>
    <row r="731" ht="12.75" customHeight="1" s="398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  <c r="W731" s="55" t="n"/>
      <c r="X731" s="55" t="n"/>
      <c r="Y731" s="55" t="n"/>
      <c r="Z731" s="55" t="n"/>
    </row>
    <row r="732" ht="12.75" customHeight="1" s="398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  <c r="W732" s="55" t="n"/>
      <c r="X732" s="55" t="n"/>
      <c r="Y732" s="55" t="n"/>
      <c r="Z732" s="55" t="n"/>
    </row>
    <row r="733" ht="12.75" customHeight="1" s="398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  <c r="W733" s="55" t="n"/>
      <c r="X733" s="55" t="n"/>
      <c r="Y733" s="55" t="n"/>
      <c r="Z733" s="55" t="n"/>
    </row>
    <row r="734" ht="12.75" customHeight="1" s="398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  <c r="W734" s="55" t="n"/>
      <c r="X734" s="55" t="n"/>
      <c r="Y734" s="55" t="n"/>
      <c r="Z734" s="55" t="n"/>
    </row>
    <row r="735" ht="12.75" customHeight="1" s="398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  <c r="W735" s="55" t="n"/>
      <c r="X735" s="55" t="n"/>
      <c r="Y735" s="55" t="n"/>
      <c r="Z735" s="55" t="n"/>
    </row>
    <row r="736" ht="12.75" customHeight="1" s="398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  <c r="W736" s="55" t="n"/>
      <c r="X736" s="55" t="n"/>
      <c r="Y736" s="55" t="n"/>
      <c r="Z736" s="55" t="n"/>
    </row>
    <row r="737" ht="12.75" customHeight="1" s="398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  <c r="W737" s="55" t="n"/>
      <c r="X737" s="55" t="n"/>
      <c r="Y737" s="55" t="n"/>
      <c r="Z737" s="55" t="n"/>
    </row>
    <row r="738" ht="12.75" customHeight="1" s="39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  <c r="W738" s="55" t="n"/>
      <c r="X738" s="55" t="n"/>
      <c r="Y738" s="55" t="n"/>
      <c r="Z738" s="55" t="n"/>
    </row>
    <row r="739" ht="12.75" customHeight="1" s="398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  <c r="W739" s="55" t="n"/>
      <c r="X739" s="55" t="n"/>
      <c r="Y739" s="55" t="n"/>
      <c r="Z739" s="55" t="n"/>
    </row>
    <row r="740" ht="12.75" customHeight="1" s="398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  <c r="W740" s="55" t="n"/>
      <c r="X740" s="55" t="n"/>
      <c r="Y740" s="55" t="n"/>
      <c r="Z740" s="55" t="n"/>
    </row>
    <row r="741" ht="12.75" customHeight="1" s="398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  <c r="W741" s="55" t="n"/>
      <c r="X741" s="55" t="n"/>
      <c r="Y741" s="55" t="n"/>
      <c r="Z741" s="55" t="n"/>
    </row>
    <row r="742" ht="12.75" customHeight="1" s="398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  <c r="W742" s="55" t="n"/>
      <c r="X742" s="55" t="n"/>
      <c r="Y742" s="55" t="n"/>
      <c r="Z742" s="55" t="n"/>
    </row>
    <row r="743" ht="12.75" customHeight="1" s="398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  <c r="W743" s="55" t="n"/>
      <c r="X743" s="55" t="n"/>
      <c r="Y743" s="55" t="n"/>
      <c r="Z743" s="55" t="n"/>
    </row>
    <row r="744" ht="12.75" customHeight="1" s="398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  <c r="W744" s="55" t="n"/>
      <c r="X744" s="55" t="n"/>
      <c r="Y744" s="55" t="n"/>
      <c r="Z744" s="55" t="n"/>
    </row>
    <row r="745" ht="12.75" customHeight="1" s="398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  <c r="W745" s="55" t="n"/>
      <c r="X745" s="55" t="n"/>
      <c r="Y745" s="55" t="n"/>
      <c r="Z745" s="55" t="n"/>
    </row>
    <row r="746" ht="12.75" customHeight="1" s="398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  <c r="W746" s="55" t="n"/>
      <c r="X746" s="55" t="n"/>
      <c r="Y746" s="55" t="n"/>
      <c r="Z746" s="55" t="n"/>
    </row>
    <row r="747" ht="12.75" customHeight="1" s="398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  <c r="W747" s="55" t="n"/>
      <c r="X747" s="55" t="n"/>
      <c r="Y747" s="55" t="n"/>
      <c r="Z747" s="55" t="n"/>
    </row>
    <row r="748" ht="12.75" customHeight="1" s="39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  <c r="W748" s="55" t="n"/>
      <c r="X748" s="55" t="n"/>
      <c r="Y748" s="55" t="n"/>
      <c r="Z748" s="55" t="n"/>
    </row>
    <row r="749" ht="12.75" customHeight="1" s="398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  <c r="W749" s="55" t="n"/>
      <c r="X749" s="55" t="n"/>
      <c r="Y749" s="55" t="n"/>
      <c r="Z749" s="55" t="n"/>
    </row>
    <row r="750" ht="12.75" customHeight="1" s="398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  <c r="W750" s="55" t="n"/>
      <c r="X750" s="55" t="n"/>
      <c r="Y750" s="55" t="n"/>
      <c r="Z750" s="55" t="n"/>
    </row>
    <row r="751" ht="12.75" customHeight="1" s="398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  <c r="W751" s="55" t="n"/>
      <c r="X751" s="55" t="n"/>
      <c r="Y751" s="55" t="n"/>
      <c r="Z751" s="55" t="n"/>
    </row>
    <row r="752" ht="12.75" customHeight="1" s="398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  <c r="W752" s="55" t="n"/>
      <c r="X752" s="55" t="n"/>
      <c r="Y752" s="55" t="n"/>
      <c r="Z752" s="55" t="n"/>
    </row>
    <row r="753" ht="12.75" customHeight="1" s="398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  <c r="W753" s="55" t="n"/>
      <c r="X753" s="55" t="n"/>
      <c r="Y753" s="55" t="n"/>
      <c r="Z753" s="55" t="n"/>
    </row>
    <row r="754" ht="12.75" customHeight="1" s="398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  <c r="W754" s="55" t="n"/>
      <c r="X754" s="55" t="n"/>
      <c r="Y754" s="55" t="n"/>
      <c r="Z754" s="55" t="n"/>
    </row>
    <row r="755" ht="12.75" customHeight="1" s="398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  <c r="W755" s="55" t="n"/>
      <c r="X755" s="55" t="n"/>
      <c r="Y755" s="55" t="n"/>
      <c r="Z755" s="55" t="n"/>
    </row>
    <row r="756" ht="12.75" customHeight="1" s="398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  <c r="W756" s="55" t="n"/>
      <c r="X756" s="55" t="n"/>
      <c r="Y756" s="55" t="n"/>
      <c r="Z756" s="55" t="n"/>
    </row>
    <row r="757" ht="12.75" customHeight="1" s="398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  <c r="W757" s="55" t="n"/>
      <c r="X757" s="55" t="n"/>
      <c r="Y757" s="55" t="n"/>
      <c r="Z757" s="55" t="n"/>
    </row>
    <row r="758" ht="12.75" customHeight="1" s="39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  <c r="W758" s="55" t="n"/>
      <c r="X758" s="55" t="n"/>
      <c r="Y758" s="55" t="n"/>
      <c r="Z758" s="55" t="n"/>
    </row>
    <row r="759" ht="12.75" customHeight="1" s="398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  <c r="W759" s="55" t="n"/>
      <c r="X759" s="55" t="n"/>
      <c r="Y759" s="55" t="n"/>
      <c r="Z759" s="55" t="n"/>
    </row>
    <row r="760" ht="12.75" customHeight="1" s="398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  <c r="W760" s="55" t="n"/>
      <c r="X760" s="55" t="n"/>
      <c r="Y760" s="55" t="n"/>
      <c r="Z760" s="55" t="n"/>
    </row>
    <row r="761" ht="12.75" customHeight="1" s="398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  <c r="W761" s="55" t="n"/>
      <c r="X761" s="55" t="n"/>
      <c r="Y761" s="55" t="n"/>
      <c r="Z761" s="55" t="n"/>
    </row>
    <row r="762" ht="12.75" customHeight="1" s="398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  <c r="W762" s="55" t="n"/>
      <c r="X762" s="55" t="n"/>
      <c r="Y762" s="55" t="n"/>
      <c r="Z762" s="55" t="n"/>
    </row>
    <row r="763" ht="12.75" customHeight="1" s="398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  <c r="W763" s="55" t="n"/>
      <c r="X763" s="55" t="n"/>
      <c r="Y763" s="55" t="n"/>
      <c r="Z763" s="55" t="n"/>
    </row>
    <row r="764" ht="12.75" customHeight="1" s="398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  <c r="W764" s="55" t="n"/>
      <c r="X764" s="55" t="n"/>
      <c r="Y764" s="55" t="n"/>
      <c r="Z764" s="55" t="n"/>
    </row>
    <row r="765" ht="12.75" customHeight="1" s="398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  <c r="W765" s="55" t="n"/>
      <c r="X765" s="55" t="n"/>
      <c r="Y765" s="55" t="n"/>
      <c r="Z765" s="55" t="n"/>
    </row>
    <row r="766" ht="12.75" customHeight="1" s="398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  <c r="W766" s="55" t="n"/>
      <c r="X766" s="55" t="n"/>
      <c r="Y766" s="55" t="n"/>
      <c r="Z766" s="55" t="n"/>
    </row>
    <row r="767" ht="12.75" customHeight="1" s="398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  <c r="W767" s="55" t="n"/>
      <c r="X767" s="55" t="n"/>
      <c r="Y767" s="55" t="n"/>
      <c r="Z767" s="55" t="n"/>
    </row>
    <row r="768" ht="12.75" customHeight="1" s="39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  <c r="W768" s="55" t="n"/>
      <c r="X768" s="55" t="n"/>
      <c r="Y768" s="55" t="n"/>
      <c r="Z768" s="55" t="n"/>
    </row>
    <row r="769" ht="12.75" customHeight="1" s="398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  <c r="W769" s="55" t="n"/>
      <c r="X769" s="55" t="n"/>
      <c r="Y769" s="55" t="n"/>
      <c r="Z769" s="55" t="n"/>
    </row>
    <row r="770" ht="12.75" customHeight="1" s="398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  <c r="W770" s="55" t="n"/>
      <c r="X770" s="55" t="n"/>
      <c r="Y770" s="55" t="n"/>
      <c r="Z770" s="55" t="n"/>
    </row>
    <row r="771" ht="12.75" customHeight="1" s="398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  <c r="W771" s="55" t="n"/>
      <c r="X771" s="55" t="n"/>
      <c r="Y771" s="55" t="n"/>
      <c r="Z771" s="55" t="n"/>
    </row>
    <row r="772" ht="12.75" customHeight="1" s="398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  <c r="W772" s="55" t="n"/>
      <c r="X772" s="55" t="n"/>
      <c r="Y772" s="55" t="n"/>
      <c r="Z772" s="55" t="n"/>
    </row>
    <row r="773" ht="12.75" customHeight="1" s="398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  <c r="W773" s="55" t="n"/>
      <c r="X773" s="55" t="n"/>
      <c r="Y773" s="55" t="n"/>
      <c r="Z773" s="55" t="n"/>
    </row>
    <row r="774" ht="12.75" customHeight="1" s="398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  <c r="W774" s="55" t="n"/>
      <c r="X774" s="55" t="n"/>
      <c r="Y774" s="55" t="n"/>
      <c r="Z774" s="55" t="n"/>
    </row>
    <row r="775" ht="12.75" customHeight="1" s="398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  <c r="W775" s="55" t="n"/>
      <c r="X775" s="55" t="n"/>
      <c r="Y775" s="55" t="n"/>
      <c r="Z775" s="55" t="n"/>
    </row>
    <row r="776" ht="12.75" customHeight="1" s="398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  <c r="W776" s="55" t="n"/>
      <c r="X776" s="55" t="n"/>
      <c r="Y776" s="55" t="n"/>
      <c r="Z776" s="55" t="n"/>
    </row>
    <row r="777" ht="12.75" customHeight="1" s="398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  <c r="W777" s="55" t="n"/>
      <c r="X777" s="55" t="n"/>
      <c r="Y777" s="55" t="n"/>
      <c r="Z777" s="55" t="n"/>
    </row>
    <row r="778" ht="12.75" customHeight="1" s="39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  <c r="W778" s="55" t="n"/>
      <c r="X778" s="55" t="n"/>
      <c r="Y778" s="55" t="n"/>
      <c r="Z778" s="55" t="n"/>
    </row>
    <row r="779" ht="12.75" customHeight="1" s="398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  <c r="W779" s="55" t="n"/>
      <c r="X779" s="55" t="n"/>
      <c r="Y779" s="55" t="n"/>
      <c r="Z779" s="55" t="n"/>
    </row>
    <row r="780" ht="12.75" customHeight="1" s="398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  <c r="W780" s="55" t="n"/>
      <c r="X780" s="55" t="n"/>
      <c r="Y780" s="55" t="n"/>
      <c r="Z780" s="55" t="n"/>
    </row>
    <row r="781" ht="12.75" customHeight="1" s="398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  <c r="W781" s="55" t="n"/>
      <c r="X781" s="55" t="n"/>
      <c r="Y781" s="55" t="n"/>
      <c r="Z781" s="55" t="n"/>
    </row>
    <row r="782" ht="12.75" customHeight="1" s="398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  <c r="W782" s="55" t="n"/>
      <c r="X782" s="55" t="n"/>
      <c r="Y782" s="55" t="n"/>
      <c r="Z782" s="55" t="n"/>
    </row>
    <row r="783" ht="12.75" customHeight="1" s="398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  <c r="W783" s="55" t="n"/>
      <c r="X783" s="55" t="n"/>
      <c r="Y783" s="55" t="n"/>
      <c r="Z783" s="55" t="n"/>
    </row>
    <row r="784" ht="12.75" customHeight="1" s="398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  <c r="W784" s="55" t="n"/>
      <c r="X784" s="55" t="n"/>
      <c r="Y784" s="55" t="n"/>
      <c r="Z784" s="55" t="n"/>
    </row>
    <row r="785" ht="12.75" customHeight="1" s="398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  <c r="W785" s="55" t="n"/>
      <c r="X785" s="55" t="n"/>
      <c r="Y785" s="55" t="n"/>
      <c r="Z785" s="55" t="n"/>
    </row>
    <row r="786" ht="12.75" customHeight="1" s="398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  <c r="W786" s="55" t="n"/>
      <c r="X786" s="55" t="n"/>
      <c r="Y786" s="55" t="n"/>
      <c r="Z786" s="55" t="n"/>
    </row>
    <row r="787" ht="12.75" customHeight="1" s="398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  <c r="W787" s="55" t="n"/>
      <c r="X787" s="55" t="n"/>
      <c r="Y787" s="55" t="n"/>
      <c r="Z787" s="55" t="n"/>
    </row>
    <row r="788" ht="12.75" customHeight="1" s="39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  <c r="W788" s="55" t="n"/>
      <c r="X788" s="55" t="n"/>
      <c r="Y788" s="55" t="n"/>
      <c r="Z788" s="55" t="n"/>
    </row>
    <row r="789" ht="12.75" customHeight="1" s="398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  <c r="W789" s="55" t="n"/>
      <c r="X789" s="55" t="n"/>
      <c r="Y789" s="55" t="n"/>
      <c r="Z789" s="55" t="n"/>
    </row>
    <row r="790" ht="12.75" customHeight="1" s="398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  <c r="W790" s="55" t="n"/>
      <c r="X790" s="55" t="n"/>
      <c r="Y790" s="55" t="n"/>
      <c r="Z790" s="55" t="n"/>
    </row>
    <row r="791" ht="12.75" customHeight="1" s="398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  <c r="W791" s="55" t="n"/>
      <c r="X791" s="55" t="n"/>
      <c r="Y791" s="55" t="n"/>
      <c r="Z791" s="55" t="n"/>
    </row>
    <row r="792" ht="12.75" customHeight="1" s="398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  <c r="W792" s="55" t="n"/>
      <c r="X792" s="55" t="n"/>
      <c r="Y792" s="55" t="n"/>
      <c r="Z792" s="55" t="n"/>
    </row>
    <row r="793" ht="12.75" customHeight="1" s="398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  <c r="W793" s="55" t="n"/>
      <c r="X793" s="55" t="n"/>
      <c r="Y793" s="55" t="n"/>
      <c r="Z793" s="55" t="n"/>
    </row>
    <row r="794" ht="12.75" customHeight="1" s="398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  <c r="W794" s="55" t="n"/>
      <c r="X794" s="55" t="n"/>
      <c r="Y794" s="55" t="n"/>
      <c r="Z794" s="55" t="n"/>
    </row>
    <row r="795" ht="12.75" customHeight="1" s="398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  <c r="W795" s="55" t="n"/>
      <c r="X795" s="55" t="n"/>
      <c r="Y795" s="55" t="n"/>
      <c r="Z795" s="55" t="n"/>
    </row>
    <row r="796" ht="12.75" customHeight="1" s="398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  <c r="W796" s="55" t="n"/>
      <c r="X796" s="55" t="n"/>
      <c r="Y796" s="55" t="n"/>
      <c r="Z796" s="55" t="n"/>
    </row>
    <row r="797" ht="12.75" customHeight="1" s="398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  <c r="W797" s="55" t="n"/>
      <c r="X797" s="55" t="n"/>
      <c r="Y797" s="55" t="n"/>
      <c r="Z797" s="55" t="n"/>
    </row>
    <row r="798" ht="12.75" customHeight="1" s="3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  <c r="W798" s="55" t="n"/>
      <c r="X798" s="55" t="n"/>
      <c r="Y798" s="55" t="n"/>
      <c r="Z798" s="55" t="n"/>
    </row>
    <row r="799" ht="12.75" customHeight="1" s="398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  <c r="W799" s="55" t="n"/>
      <c r="X799" s="55" t="n"/>
      <c r="Y799" s="55" t="n"/>
      <c r="Z799" s="55" t="n"/>
    </row>
    <row r="800" ht="12.75" customHeight="1" s="398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  <c r="W800" s="55" t="n"/>
      <c r="X800" s="55" t="n"/>
      <c r="Y800" s="55" t="n"/>
      <c r="Z800" s="55" t="n"/>
    </row>
    <row r="801" ht="12.75" customHeight="1" s="398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  <c r="W801" s="55" t="n"/>
      <c r="X801" s="55" t="n"/>
      <c r="Y801" s="55" t="n"/>
      <c r="Z801" s="55" t="n"/>
    </row>
    <row r="802" ht="12.75" customHeight="1" s="398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  <c r="W802" s="55" t="n"/>
      <c r="X802" s="55" t="n"/>
      <c r="Y802" s="55" t="n"/>
      <c r="Z802" s="55" t="n"/>
    </row>
    <row r="803" ht="12.75" customHeight="1" s="398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  <c r="W803" s="55" t="n"/>
      <c r="X803" s="55" t="n"/>
      <c r="Y803" s="55" t="n"/>
      <c r="Z803" s="55" t="n"/>
    </row>
    <row r="804" ht="12.75" customHeight="1" s="398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  <c r="W804" s="55" t="n"/>
      <c r="X804" s="55" t="n"/>
      <c r="Y804" s="55" t="n"/>
      <c r="Z804" s="55" t="n"/>
    </row>
    <row r="805" ht="12.75" customHeight="1" s="398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  <c r="W805" s="55" t="n"/>
      <c r="X805" s="55" t="n"/>
      <c r="Y805" s="55" t="n"/>
      <c r="Z805" s="55" t="n"/>
    </row>
    <row r="806" ht="12.75" customHeight="1" s="398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  <c r="W806" s="55" t="n"/>
      <c r="X806" s="55" t="n"/>
      <c r="Y806" s="55" t="n"/>
      <c r="Z806" s="55" t="n"/>
    </row>
    <row r="807" ht="12.75" customHeight="1" s="398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  <c r="W807" s="55" t="n"/>
      <c r="X807" s="55" t="n"/>
      <c r="Y807" s="55" t="n"/>
      <c r="Z807" s="55" t="n"/>
    </row>
    <row r="808" ht="12.75" customHeight="1" s="39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  <c r="W808" s="55" t="n"/>
      <c r="X808" s="55" t="n"/>
      <c r="Y808" s="55" t="n"/>
      <c r="Z808" s="55" t="n"/>
    </row>
    <row r="809" ht="12.75" customHeight="1" s="398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  <c r="W809" s="55" t="n"/>
      <c r="X809" s="55" t="n"/>
      <c r="Y809" s="55" t="n"/>
      <c r="Z809" s="55" t="n"/>
    </row>
    <row r="810" ht="12.75" customHeight="1" s="398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  <c r="W810" s="55" t="n"/>
      <c r="X810" s="55" t="n"/>
      <c r="Y810" s="55" t="n"/>
      <c r="Z810" s="55" t="n"/>
    </row>
    <row r="811" ht="12.75" customHeight="1" s="398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  <c r="W811" s="55" t="n"/>
      <c r="X811" s="55" t="n"/>
      <c r="Y811" s="55" t="n"/>
      <c r="Z811" s="55" t="n"/>
    </row>
    <row r="812" ht="12.75" customHeight="1" s="398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  <c r="W812" s="55" t="n"/>
      <c r="X812" s="55" t="n"/>
      <c r="Y812" s="55" t="n"/>
      <c r="Z812" s="55" t="n"/>
    </row>
    <row r="813" ht="12.75" customHeight="1" s="398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  <c r="W813" s="55" t="n"/>
      <c r="X813" s="55" t="n"/>
      <c r="Y813" s="55" t="n"/>
      <c r="Z813" s="55" t="n"/>
    </row>
    <row r="814" ht="12.75" customHeight="1" s="398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  <c r="W814" s="55" t="n"/>
      <c r="X814" s="55" t="n"/>
      <c r="Y814" s="55" t="n"/>
      <c r="Z814" s="55" t="n"/>
    </row>
    <row r="815" ht="12.75" customHeight="1" s="398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  <c r="W815" s="55" t="n"/>
      <c r="X815" s="55" t="n"/>
      <c r="Y815" s="55" t="n"/>
      <c r="Z815" s="55" t="n"/>
    </row>
    <row r="816" ht="12.75" customHeight="1" s="398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  <c r="W816" s="55" t="n"/>
      <c r="X816" s="55" t="n"/>
      <c r="Y816" s="55" t="n"/>
      <c r="Z816" s="55" t="n"/>
    </row>
    <row r="817" ht="12.75" customHeight="1" s="398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  <c r="W817" s="55" t="n"/>
      <c r="X817" s="55" t="n"/>
      <c r="Y817" s="55" t="n"/>
      <c r="Z817" s="55" t="n"/>
    </row>
    <row r="818" ht="12.75" customHeight="1" s="39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  <c r="W818" s="55" t="n"/>
      <c r="X818" s="55" t="n"/>
      <c r="Y818" s="55" t="n"/>
      <c r="Z818" s="55" t="n"/>
    </row>
    <row r="819" ht="12.75" customHeight="1" s="398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  <c r="W819" s="55" t="n"/>
      <c r="X819" s="55" t="n"/>
      <c r="Y819" s="55" t="n"/>
      <c r="Z819" s="55" t="n"/>
    </row>
    <row r="820" ht="12.75" customHeight="1" s="398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  <c r="W820" s="55" t="n"/>
      <c r="X820" s="55" t="n"/>
      <c r="Y820" s="55" t="n"/>
      <c r="Z820" s="55" t="n"/>
    </row>
    <row r="821" ht="12.75" customHeight="1" s="398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  <c r="W821" s="55" t="n"/>
      <c r="X821" s="55" t="n"/>
      <c r="Y821" s="55" t="n"/>
      <c r="Z821" s="55" t="n"/>
    </row>
    <row r="822" ht="12.75" customHeight="1" s="398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  <c r="W822" s="55" t="n"/>
      <c r="X822" s="55" t="n"/>
      <c r="Y822" s="55" t="n"/>
      <c r="Z822" s="55" t="n"/>
    </row>
    <row r="823" ht="12.75" customHeight="1" s="398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  <c r="W823" s="55" t="n"/>
      <c r="X823" s="55" t="n"/>
      <c r="Y823" s="55" t="n"/>
      <c r="Z823" s="55" t="n"/>
    </row>
    <row r="824" ht="12.75" customHeight="1" s="398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  <c r="W824" s="55" t="n"/>
      <c r="X824" s="55" t="n"/>
      <c r="Y824" s="55" t="n"/>
      <c r="Z824" s="55" t="n"/>
    </row>
    <row r="825" ht="12.75" customHeight="1" s="398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  <c r="W825" s="55" t="n"/>
      <c r="X825" s="55" t="n"/>
      <c r="Y825" s="55" t="n"/>
      <c r="Z825" s="55" t="n"/>
    </row>
    <row r="826" ht="12.75" customHeight="1" s="398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  <c r="W826" s="55" t="n"/>
      <c r="X826" s="55" t="n"/>
      <c r="Y826" s="55" t="n"/>
      <c r="Z826" s="55" t="n"/>
    </row>
    <row r="827" ht="12.75" customHeight="1" s="398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  <c r="W827" s="55" t="n"/>
      <c r="X827" s="55" t="n"/>
      <c r="Y827" s="55" t="n"/>
      <c r="Z827" s="55" t="n"/>
    </row>
    <row r="828" ht="12.75" customHeight="1" s="39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  <c r="W828" s="55" t="n"/>
      <c r="X828" s="55" t="n"/>
      <c r="Y828" s="55" t="n"/>
      <c r="Z828" s="55" t="n"/>
    </row>
    <row r="829" ht="12.75" customHeight="1" s="398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  <c r="W829" s="55" t="n"/>
      <c r="X829" s="55" t="n"/>
      <c r="Y829" s="55" t="n"/>
      <c r="Z829" s="55" t="n"/>
    </row>
    <row r="830" ht="12.75" customHeight="1" s="398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  <c r="W830" s="55" t="n"/>
      <c r="X830" s="55" t="n"/>
      <c r="Y830" s="55" t="n"/>
      <c r="Z830" s="55" t="n"/>
    </row>
    <row r="831" ht="12.75" customHeight="1" s="398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  <c r="W831" s="55" t="n"/>
      <c r="X831" s="55" t="n"/>
      <c r="Y831" s="55" t="n"/>
      <c r="Z831" s="55" t="n"/>
    </row>
    <row r="832" ht="12.75" customHeight="1" s="398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  <c r="W832" s="55" t="n"/>
      <c r="X832" s="55" t="n"/>
      <c r="Y832" s="55" t="n"/>
      <c r="Z832" s="55" t="n"/>
    </row>
    <row r="833" ht="12.75" customHeight="1" s="398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  <c r="W833" s="55" t="n"/>
      <c r="X833" s="55" t="n"/>
      <c r="Y833" s="55" t="n"/>
      <c r="Z833" s="55" t="n"/>
    </row>
    <row r="834" ht="12.75" customHeight="1" s="398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  <c r="W834" s="55" t="n"/>
      <c r="X834" s="55" t="n"/>
      <c r="Y834" s="55" t="n"/>
      <c r="Z834" s="55" t="n"/>
    </row>
    <row r="835" ht="12.75" customHeight="1" s="398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  <c r="W835" s="55" t="n"/>
      <c r="X835" s="55" t="n"/>
      <c r="Y835" s="55" t="n"/>
      <c r="Z835" s="55" t="n"/>
    </row>
    <row r="836" ht="12.75" customHeight="1" s="398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  <c r="W836" s="55" t="n"/>
      <c r="X836" s="55" t="n"/>
      <c r="Y836" s="55" t="n"/>
      <c r="Z836" s="55" t="n"/>
    </row>
    <row r="837" ht="12.75" customHeight="1" s="398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  <c r="W837" s="55" t="n"/>
      <c r="X837" s="55" t="n"/>
      <c r="Y837" s="55" t="n"/>
      <c r="Z837" s="55" t="n"/>
    </row>
    <row r="838" ht="12.75" customHeight="1" s="39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  <c r="W838" s="55" t="n"/>
      <c r="X838" s="55" t="n"/>
      <c r="Y838" s="55" t="n"/>
      <c r="Z838" s="55" t="n"/>
    </row>
    <row r="839" ht="12.75" customHeight="1" s="398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  <c r="W839" s="55" t="n"/>
      <c r="X839" s="55" t="n"/>
      <c r="Y839" s="55" t="n"/>
      <c r="Z839" s="55" t="n"/>
    </row>
    <row r="840" ht="12.75" customHeight="1" s="398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  <c r="W840" s="55" t="n"/>
      <c r="X840" s="55" t="n"/>
      <c r="Y840" s="55" t="n"/>
      <c r="Z840" s="55" t="n"/>
    </row>
    <row r="841" ht="12.75" customHeight="1" s="398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  <c r="W841" s="55" t="n"/>
      <c r="X841" s="55" t="n"/>
      <c r="Y841" s="55" t="n"/>
      <c r="Z841" s="55" t="n"/>
    </row>
    <row r="842" ht="12.75" customHeight="1" s="398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  <c r="W842" s="55" t="n"/>
      <c r="X842" s="55" t="n"/>
      <c r="Y842" s="55" t="n"/>
      <c r="Z842" s="55" t="n"/>
    </row>
    <row r="843" ht="12.75" customHeight="1" s="398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  <c r="W843" s="55" t="n"/>
      <c r="X843" s="55" t="n"/>
      <c r="Y843" s="55" t="n"/>
      <c r="Z843" s="55" t="n"/>
    </row>
    <row r="844" ht="12.75" customHeight="1" s="398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  <c r="W844" s="55" t="n"/>
      <c r="X844" s="55" t="n"/>
      <c r="Y844" s="55" t="n"/>
      <c r="Z844" s="55" t="n"/>
    </row>
    <row r="845" ht="12.75" customHeight="1" s="398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  <c r="W845" s="55" t="n"/>
      <c r="X845" s="55" t="n"/>
      <c r="Y845" s="55" t="n"/>
      <c r="Z845" s="55" t="n"/>
    </row>
    <row r="846" ht="12.75" customHeight="1" s="398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  <c r="W846" s="55" t="n"/>
      <c r="X846" s="55" t="n"/>
      <c r="Y846" s="55" t="n"/>
      <c r="Z846" s="55" t="n"/>
    </row>
    <row r="847" ht="12.75" customHeight="1" s="398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  <c r="W847" s="55" t="n"/>
      <c r="X847" s="55" t="n"/>
      <c r="Y847" s="55" t="n"/>
      <c r="Z847" s="55" t="n"/>
    </row>
    <row r="848" ht="12.75" customHeight="1" s="39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  <c r="W848" s="55" t="n"/>
      <c r="X848" s="55" t="n"/>
      <c r="Y848" s="55" t="n"/>
      <c r="Z848" s="55" t="n"/>
    </row>
    <row r="849" ht="12.75" customHeight="1" s="398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  <c r="W849" s="55" t="n"/>
      <c r="X849" s="55" t="n"/>
      <c r="Y849" s="55" t="n"/>
      <c r="Z849" s="55" t="n"/>
    </row>
    <row r="850" ht="12.75" customHeight="1" s="398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  <c r="W850" s="55" t="n"/>
      <c r="X850" s="55" t="n"/>
      <c r="Y850" s="55" t="n"/>
      <c r="Z850" s="55" t="n"/>
    </row>
    <row r="851" ht="12.75" customHeight="1" s="398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  <c r="W851" s="55" t="n"/>
      <c r="X851" s="55" t="n"/>
      <c r="Y851" s="55" t="n"/>
      <c r="Z851" s="55" t="n"/>
    </row>
    <row r="852" ht="12.75" customHeight="1" s="398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  <c r="W852" s="55" t="n"/>
      <c r="X852" s="55" t="n"/>
      <c r="Y852" s="55" t="n"/>
      <c r="Z852" s="55" t="n"/>
    </row>
    <row r="853" ht="12.75" customHeight="1" s="398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  <c r="W853" s="55" t="n"/>
      <c r="X853" s="55" t="n"/>
      <c r="Y853" s="55" t="n"/>
      <c r="Z853" s="55" t="n"/>
    </row>
    <row r="854" ht="12.75" customHeight="1" s="398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  <c r="W854" s="55" t="n"/>
      <c r="X854" s="55" t="n"/>
      <c r="Y854" s="55" t="n"/>
      <c r="Z854" s="55" t="n"/>
    </row>
    <row r="855" ht="12.75" customHeight="1" s="398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  <c r="W855" s="55" t="n"/>
      <c r="X855" s="55" t="n"/>
      <c r="Y855" s="55" t="n"/>
      <c r="Z855" s="55" t="n"/>
    </row>
    <row r="856" ht="12.75" customHeight="1" s="398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  <c r="W856" s="55" t="n"/>
      <c r="X856" s="55" t="n"/>
      <c r="Y856" s="55" t="n"/>
      <c r="Z856" s="55" t="n"/>
    </row>
    <row r="857" ht="12.75" customHeight="1" s="398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  <c r="W857" s="55" t="n"/>
      <c r="X857" s="55" t="n"/>
      <c r="Y857" s="55" t="n"/>
      <c r="Z857" s="55" t="n"/>
    </row>
    <row r="858" ht="12.75" customHeight="1" s="39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  <c r="W858" s="55" t="n"/>
      <c r="X858" s="55" t="n"/>
      <c r="Y858" s="55" t="n"/>
      <c r="Z858" s="55" t="n"/>
    </row>
    <row r="859" ht="12.75" customHeight="1" s="398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  <c r="W859" s="55" t="n"/>
      <c r="X859" s="55" t="n"/>
      <c r="Y859" s="55" t="n"/>
      <c r="Z859" s="55" t="n"/>
    </row>
    <row r="860" ht="12.75" customHeight="1" s="398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  <c r="W860" s="55" t="n"/>
      <c r="X860" s="55" t="n"/>
      <c r="Y860" s="55" t="n"/>
      <c r="Z860" s="55" t="n"/>
    </row>
    <row r="861" ht="12.75" customHeight="1" s="398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  <c r="W861" s="55" t="n"/>
      <c r="X861" s="55" t="n"/>
      <c r="Y861" s="55" t="n"/>
      <c r="Z861" s="55" t="n"/>
    </row>
    <row r="862" ht="12.75" customHeight="1" s="398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  <c r="W862" s="55" t="n"/>
      <c r="X862" s="55" t="n"/>
      <c r="Y862" s="55" t="n"/>
      <c r="Z862" s="55" t="n"/>
    </row>
    <row r="863" ht="12.75" customHeight="1" s="398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  <c r="W863" s="55" t="n"/>
      <c r="X863" s="55" t="n"/>
      <c r="Y863" s="55" t="n"/>
      <c r="Z863" s="55" t="n"/>
    </row>
    <row r="864" ht="12.75" customHeight="1" s="398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  <c r="W864" s="55" t="n"/>
      <c r="X864" s="55" t="n"/>
      <c r="Y864" s="55" t="n"/>
      <c r="Z864" s="55" t="n"/>
    </row>
    <row r="865" ht="12.75" customHeight="1" s="398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  <c r="W865" s="55" t="n"/>
      <c r="X865" s="55" t="n"/>
      <c r="Y865" s="55" t="n"/>
      <c r="Z865" s="55" t="n"/>
    </row>
    <row r="866" ht="12.75" customHeight="1" s="398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  <c r="W866" s="55" t="n"/>
      <c r="X866" s="55" t="n"/>
      <c r="Y866" s="55" t="n"/>
      <c r="Z866" s="55" t="n"/>
    </row>
    <row r="867" ht="12.75" customHeight="1" s="398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  <c r="W867" s="55" t="n"/>
      <c r="X867" s="55" t="n"/>
      <c r="Y867" s="55" t="n"/>
      <c r="Z867" s="55" t="n"/>
    </row>
    <row r="868" ht="12.75" customHeight="1" s="39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  <c r="W868" s="55" t="n"/>
      <c r="X868" s="55" t="n"/>
      <c r="Y868" s="55" t="n"/>
      <c r="Z868" s="55" t="n"/>
    </row>
    <row r="869" ht="12.75" customHeight="1" s="398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  <c r="W869" s="55" t="n"/>
      <c r="X869" s="55" t="n"/>
      <c r="Y869" s="55" t="n"/>
      <c r="Z869" s="55" t="n"/>
    </row>
    <row r="870" ht="12.75" customHeight="1" s="398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  <c r="W870" s="55" t="n"/>
      <c r="X870" s="55" t="n"/>
      <c r="Y870" s="55" t="n"/>
      <c r="Z870" s="55" t="n"/>
    </row>
    <row r="871" ht="12.75" customHeight="1" s="398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  <c r="W871" s="55" t="n"/>
      <c r="X871" s="55" t="n"/>
      <c r="Y871" s="55" t="n"/>
      <c r="Z871" s="55" t="n"/>
    </row>
    <row r="872" ht="12.75" customHeight="1" s="398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  <c r="W872" s="55" t="n"/>
      <c r="X872" s="55" t="n"/>
      <c r="Y872" s="55" t="n"/>
      <c r="Z872" s="55" t="n"/>
    </row>
    <row r="873" ht="12.75" customHeight="1" s="398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  <c r="W873" s="55" t="n"/>
      <c r="X873" s="55" t="n"/>
      <c r="Y873" s="55" t="n"/>
      <c r="Z873" s="55" t="n"/>
    </row>
    <row r="874" ht="12.75" customHeight="1" s="398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  <c r="W874" s="55" t="n"/>
      <c r="X874" s="55" t="n"/>
      <c r="Y874" s="55" t="n"/>
      <c r="Z874" s="55" t="n"/>
    </row>
    <row r="875" ht="12.75" customHeight="1" s="398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  <c r="W875" s="55" t="n"/>
      <c r="X875" s="55" t="n"/>
      <c r="Y875" s="55" t="n"/>
      <c r="Z875" s="55" t="n"/>
    </row>
    <row r="876" ht="12.75" customHeight="1" s="398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  <c r="W876" s="55" t="n"/>
      <c r="X876" s="55" t="n"/>
      <c r="Y876" s="55" t="n"/>
      <c r="Z876" s="55" t="n"/>
    </row>
    <row r="877" ht="12.75" customHeight="1" s="398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  <c r="W877" s="55" t="n"/>
      <c r="X877" s="55" t="n"/>
      <c r="Y877" s="55" t="n"/>
      <c r="Z877" s="55" t="n"/>
    </row>
    <row r="878" ht="12.75" customHeight="1" s="39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  <c r="W878" s="55" t="n"/>
      <c r="X878" s="55" t="n"/>
      <c r="Y878" s="55" t="n"/>
      <c r="Z878" s="55" t="n"/>
    </row>
    <row r="879" ht="12.75" customHeight="1" s="398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  <c r="W879" s="55" t="n"/>
      <c r="X879" s="55" t="n"/>
      <c r="Y879" s="55" t="n"/>
      <c r="Z879" s="55" t="n"/>
    </row>
    <row r="880" ht="12.75" customHeight="1" s="398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  <c r="W880" s="55" t="n"/>
      <c r="X880" s="55" t="n"/>
      <c r="Y880" s="55" t="n"/>
      <c r="Z880" s="55" t="n"/>
    </row>
    <row r="881" ht="12.75" customHeight="1" s="398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  <c r="W881" s="55" t="n"/>
      <c r="X881" s="55" t="n"/>
      <c r="Y881" s="55" t="n"/>
      <c r="Z881" s="55" t="n"/>
    </row>
    <row r="882" ht="12.75" customHeight="1" s="398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  <c r="W882" s="55" t="n"/>
      <c r="X882" s="55" t="n"/>
      <c r="Y882" s="55" t="n"/>
      <c r="Z882" s="55" t="n"/>
    </row>
    <row r="883" ht="12.75" customHeight="1" s="398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  <c r="W883" s="55" t="n"/>
      <c r="X883" s="55" t="n"/>
      <c r="Y883" s="55" t="n"/>
      <c r="Z883" s="55" t="n"/>
    </row>
    <row r="884" ht="12.75" customHeight="1" s="398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  <c r="W884" s="55" t="n"/>
      <c r="X884" s="55" t="n"/>
      <c r="Y884" s="55" t="n"/>
      <c r="Z884" s="55" t="n"/>
    </row>
    <row r="885" ht="12.75" customHeight="1" s="398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  <c r="W885" s="55" t="n"/>
      <c r="X885" s="55" t="n"/>
      <c r="Y885" s="55" t="n"/>
      <c r="Z885" s="55" t="n"/>
    </row>
    <row r="886" ht="12.75" customHeight="1" s="398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  <c r="W886" s="55" t="n"/>
      <c r="X886" s="55" t="n"/>
      <c r="Y886" s="55" t="n"/>
      <c r="Z886" s="55" t="n"/>
    </row>
    <row r="887" ht="12.75" customHeight="1" s="398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  <c r="W887" s="55" t="n"/>
      <c r="X887" s="55" t="n"/>
      <c r="Y887" s="55" t="n"/>
      <c r="Z887" s="55" t="n"/>
    </row>
    <row r="888" ht="12.75" customHeight="1" s="39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  <c r="W888" s="55" t="n"/>
      <c r="X888" s="55" t="n"/>
      <c r="Y888" s="55" t="n"/>
      <c r="Z888" s="55" t="n"/>
    </row>
    <row r="889" ht="12.75" customHeight="1" s="398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  <c r="W889" s="55" t="n"/>
      <c r="X889" s="55" t="n"/>
      <c r="Y889" s="55" t="n"/>
      <c r="Z889" s="55" t="n"/>
    </row>
    <row r="890" ht="12.75" customHeight="1" s="398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  <c r="W890" s="55" t="n"/>
      <c r="X890" s="55" t="n"/>
      <c r="Y890" s="55" t="n"/>
      <c r="Z890" s="55" t="n"/>
    </row>
    <row r="891" ht="12.75" customHeight="1" s="398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  <c r="W891" s="55" t="n"/>
      <c r="X891" s="55" t="n"/>
      <c r="Y891" s="55" t="n"/>
      <c r="Z891" s="55" t="n"/>
    </row>
    <row r="892" ht="12.75" customHeight="1" s="398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  <c r="W892" s="55" t="n"/>
      <c r="X892" s="55" t="n"/>
      <c r="Y892" s="55" t="n"/>
      <c r="Z892" s="55" t="n"/>
    </row>
    <row r="893" ht="12.75" customHeight="1" s="398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  <c r="W893" s="55" t="n"/>
      <c r="X893" s="55" t="n"/>
      <c r="Y893" s="55" t="n"/>
      <c r="Z893" s="55" t="n"/>
    </row>
    <row r="894" ht="12.75" customHeight="1" s="398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  <c r="W894" s="55" t="n"/>
      <c r="X894" s="55" t="n"/>
      <c r="Y894" s="55" t="n"/>
      <c r="Z894" s="55" t="n"/>
    </row>
    <row r="895" ht="12.75" customHeight="1" s="398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  <c r="W895" s="55" t="n"/>
      <c r="X895" s="55" t="n"/>
      <c r="Y895" s="55" t="n"/>
      <c r="Z895" s="55" t="n"/>
    </row>
    <row r="896" ht="12.75" customHeight="1" s="398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  <c r="W896" s="55" t="n"/>
      <c r="X896" s="55" t="n"/>
      <c r="Y896" s="55" t="n"/>
      <c r="Z896" s="55" t="n"/>
    </row>
    <row r="897" ht="12.75" customHeight="1" s="398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  <c r="W897" s="55" t="n"/>
      <c r="X897" s="55" t="n"/>
      <c r="Y897" s="55" t="n"/>
      <c r="Z897" s="55" t="n"/>
    </row>
    <row r="898" ht="12.75" customHeight="1" s="3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  <c r="W898" s="55" t="n"/>
      <c r="X898" s="55" t="n"/>
      <c r="Y898" s="55" t="n"/>
      <c r="Z898" s="55" t="n"/>
    </row>
    <row r="899" ht="12.75" customHeight="1" s="398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  <c r="W899" s="55" t="n"/>
      <c r="X899" s="55" t="n"/>
      <c r="Y899" s="55" t="n"/>
      <c r="Z899" s="55" t="n"/>
    </row>
    <row r="900" ht="12.75" customHeight="1" s="398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  <c r="W900" s="55" t="n"/>
      <c r="X900" s="55" t="n"/>
      <c r="Y900" s="55" t="n"/>
      <c r="Z900" s="55" t="n"/>
    </row>
    <row r="901" ht="12.75" customHeight="1" s="398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  <c r="W901" s="55" t="n"/>
      <c r="X901" s="55" t="n"/>
      <c r="Y901" s="55" t="n"/>
      <c r="Z901" s="55" t="n"/>
    </row>
    <row r="902" ht="12.75" customHeight="1" s="398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  <c r="W902" s="55" t="n"/>
      <c r="X902" s="55" t="n"/>
      <c r="Y902" s="55" t="n"/>
      <c r="Z902" s="55" t="n"/>
    </row>
    <row r="903" ht="12.75" customHeight="1" s="398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  <c r="W903" s="55" t="n"/>
      <c r="X903" s="55" t="n"/>
      <c r="Y903" s="55" t="n"/>
      <c r="Z903" s="55" t="n"/>
    </row>
    <row r="904" ht="12.75" customHeight="1" s="398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  <c r="W904" s="55" t="n"/>
      <c r="X904" s="55" t="n"/>
      <c r="Y904" s="55" t="n"/>
      <c r="Z904" s="55" t="n"/>
    </row>
    <row r="905" ht="12.75" customHeight="1" s="398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  <c r="W905" s="55" t="n"/>
      <c r="X905" s="55" t="n"/>
      <c r="Y905" s="55" t="n"/>
      <c r="Z905" s="55" t="n"/>
    </row>
    <row r="906" ht="12.75" customHeight="1" s="398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  <c r="W906" s="55" t="n"/>
      <c r="X906" s="55" t="n"/>
      <c r="Y906" s="55" t="n"/>
      <c r="Z906" s="55" t="n"/>
    </row>
    <row r="907" ht="12.75" customHeight="1" s="398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  <c r="W907" s="55" t="n"/>
      <c r="X907" s="55" t="n"/>
      <c r="Y907" s="55" t="n"/>
      <c r="Z907" s="55" t="n"/>
    </row>
    <row r="908" ht="12.75" customHeight="1" s="39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  <c r="W908" s="55" t="n"/>
      <c r="X908" s="55" t="n"/>
      <c r="Y908" s="55" t="n"/>
      <c r="Z908" s="55" t="n"/>
    </row>
    <row r="909" ht="12.75" customHeight="1" s="398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  <c r="W909" s="55" t="n"/>
      <c r="X909" s="55" t="n"/>
      <c r="Y909" s="55" t="n"/>
      <c r="Z909" s="55" t="n"/>
    </row>
    <row r="910" ht="12.75" customHeight="1" s="398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  <c r="W910" s="55" t="n"/>
      <c r="X910" s="55" t="n"/>
      <c r="Y910" s="55" t="n"/>
      <c r="Z910" s="55" t="n"/>
    </row>
    <row r="911" ht="12.75" customHeight="1" s="398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  <c r="W911" s="55" t="n"/>
      <c r="X911" s="55" t="n"/>
      <c r="Y911" s="55" t="n"/>
      <c r="Z911" s="55" t="n"/>
    </row>
    <row r="912" ht="12.75" customHeight="1" s="398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  <c r="W912" s="55" t="n"/>
      <c r="X912" s="55" t="n"/>
      <c r="Y912" s="55" t="n"/>
      <c r="Z912" s="55" t="n"/>
    </row>
    <row r="913" ht="12.75" customHeight="1" s="398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  <c r="W913" s="55" t="n"/>
      <c r="X913" s="55" t="n"/>
      <c r="Y913" s="55" t="n"/>
      <c r="Z913" s="55" t="n"/>
    </row>
    <row r="914" ht="12.75" customHeight="1" s="398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  <c r="W914" s="55" t="n"/>
      <c r="X914" s="55" t="n"/>
      <c r="Y914" s="55" t="n"/>
      <c r="Z914" s="55" t="n"/>
    </row>
    <row r="915" ht="12.75" customHeight="1" s="398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  <c r="W915" s="55" t="n"/>
      <c r="X915" s="55" t="n"/>
      <c r="Y915" s="55" t="n"/>
      <c r="Z915" s="55" t="n"/>
    </row>
    <row r="916" ht="12.75" customHeight="1" s="398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  <c r="W916" s="55" t="n"/>
      <c r="X916" s="55" t="n"/>
      <c r="Y916" s="55" t="n"/>
      <c r="Z916" s="55" t="n"/>
    </row>
    <row r="917" ht="12.75" customHeight="1" s="398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  <c r="W917" s="55" t="n"/>
      <c r="X917" s="55" t="n"/>
      <c r="Y917" s="55" t="n"/>
      <c r="Z917" s="55" t="n"/>
    </row>
    <row r="918" ht="12.75" customHeight="1" s="39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  <c r="W918" s="55" t="n"/>
      <c r="X918" s="55" t="n"/>
      <c r="Y918" s="55" t="n"/>
      <c r="Z918" s="55" t="n"/>
    </row>
    <row r="919" ht="12.75" customHeight="1" s="398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  <c r="W919" s="55" t="n"/>
      <c r="X919" s="55" t="n"/>
      <c r="Y919" s="55" t="n"/>
      <c r="Z919" s="55" t="n"/>
    </row>
    <row r="920" ht="12.75" customHeight="1" s="398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  <c r="W920" s="55" t="n"/>
      <c r="X920" s="55" t="n"/>
      <c r="Y920" s="55" t="n"/>
      <c r="Z920" s="55" t="n"/>
    </row>
    <row r="921" ht="12.75" customHeight="1" s="398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  <c r="W921" s="55" t="n"/>
      <c r="X921" s="55" t="n"/>
      <c r="Y921" s="55" t="n"/>
      <c r="Z921" s="55" t="n"/>
    </row>
    <row r="922" ht="12.75" customHeight="1" s="398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  <c r="W922" s="55" t="n"/>
      <c r="X922" s="55" t="n"/>
      <c r="Y922" s="55" t="n"/>
      <c r="Z922" s="55" t="n"/>
    </row>
    <row r="923" ht="12.75" customHeight="1" s="398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  <c r="W923" s="55" t="n"/>
      <c r="X923" s="55" t="n"/>
      <c r="Y923" s="55" t="n"/>
      <c r="Z923" s="55" t="n"/>
    </row>
    <row r="924" ht="12.75" customHeight="1" s="398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  <c r="W924" s="55" t="n"/>
      <c r="X924" s="55" t="n"/>
      <c r="Y924" s="55" t="n"/>
      <c r="Z924" s="55" t="n"/>
    </row>
    <row r="925" ht="12.75" customHeight="1" s="398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  <c r="W925" s="55" t="n"/>
      <c r="X925" s="55" t="n"/>
      <c r="Y925" s="55" t="n"/>
      <c r="Z925" s="55" t="n"/>
    </row>
    <row r="926" ht="12.75" customHeight="1" s="398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  <c r="W926" s="55" t="n"/>
      <c r="X926" s="55" t="n"/>
      <c r="Y926" s="55" t="n"/>
      <c r="Z926" s="55" t="n"/>
    </row>
    <row r="927" ht="12.75" customHeight="1" s="398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  <c r="W927" s="55" t="n"/>
      <c r="X927" s="55" t="n"/>
      <c r="Y927" s="55" t="n"/>
      <c r="Z927" s="55" t="n"/>
    </row>
    <row r="928" ht="12.75" customHeight="1" s="39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  <c r="W928" s="55" t="n"/>
      <c r="X928" s="55" t="n"/>
      <c r="Y928" s="55" t="n"/>
      <c r="Z928" s="55" t="n"/>
    </row>
    <row r="929" ht="12.75" customHeight="1" s="398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  <c r="W929" s="55" t="n"/>
      <c r="X929" s="55" t="n"/>
      <c r="Y929" s="55" t="n"/>
      <c r="Z929" s="55" t="n"/>
    </row>
    <row r="930" ht="12.75" customHeight="1" s="398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  <c r="W930" s="55" t="n"/>
      <c r="X930" s="55" t="n"/>
      <c r="Y930" s="55" t="n"/>
      <c r="Z930" s="55" t="n"/>
    </row>
    <row r="931" ht="12.75" customHeight="1" s="398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  <c r="W931" s="55" t="n"/>
      <c r="X931" s="55" t="n"/>
      <c r="Y931" s="55" t="n"/>
      <c r="Z931" s="55" t="n"/>
    </row>
    <row r="932" ht="12.75" customHeight="1" s="398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  <c r="W932" s="55" t="n"/>
      <c r="X932" s="55" t="n"/>
      <c r="Y932" s="55" t="n"/>
      <c r="Z932" s="55" t="n"/>
    </row>
    <row r="933" ht="12.75" customHeight="1" s="398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  <c r="W933" s="55" t="n"/>
      <c r="X933" s="55" t="n"/>
      <c r="Y933" s="55" t="n"/>
      <c r="Z933" s="55" t="n"/>
    </row>
    <row r="934" ht="12.75" customHeight="1" s="398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  <c r="W934" s="55" t="n"/>
      <c r="X934" s="55" t="n"/>
      <c r="Y934" s="55" t="n"/>
      <c r="Z934" s="55" t="n"/>
    </row>
    <row r="935" ht="12.75" customHeight="1" s="398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  <c r="W935" s="55" t="n"/>
      <c r="X935" s="55" t="n"/>
      <c r="Y935" s="55" t="n"/>
      <c r="Z935" s="55" t="n"/>
    </row>
    <row r="936" ht="12.75" customHeight="1" s="398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  <c r="W936" s="55" t="n"/>
      <c r="X936" s="55" t="n"/>
      <c r="Y936" s="55" t="n"/>
      <c r="Z936" s="55" t="n"/>
    </row>
    <row r="937" ht="12.75" customHeight="1" s="398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  <c r="W937" s="55" t="n"/>
      <c r="X937" s="55" t="n"/>
      <c r="Y937" s="55" t="n"/>
      <c r="Z937" s="55" t="n"/>
    </row>
    <row r="938" ht="12.75" customHeight="1" s="39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  <c r="W938" s="55" t="n"/>
      <c r="X938" s="55" t="n"/>
      <c r="Y938" s="55" t="n"/>
      <c r="Z938" s="55" t="n"/>
    </row>
    <row r="939" ht="12.75" customHeight="1" s="398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  <c r="W939" s="55" t="n"/>
      <c r="X939" s="55" t="n"/>
      <c r="Y939" s="55" t="n"/>
      <c r="Z939" s="55" t="n"/>
    </row>
    <row r="940" ht="12.75" customHeight="1" s="398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  <c r="W940" s="55" t="n"/>
      <c r="X940" s="55" t="n"/>
      <c r="Y940" s="55" t="n"/>
      <c r="Z940" s="55" t="n"/>
    </row>
    <row r="941" ht="12.75" customHeight="1" s="398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  <c r="W941" s="55" t="n"/>
      <c r="X941" s="55" t="n"/>
      <c r="Y941" s="55" t="n"/>
      <c r="Z941" s="55" t="n"/>
    </row>
    <row r="942" ht="12.75" customHeight="1" s="398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  <c r="W942" s="55" t="n"/>
      <c r="X942" s="55" t="n"/>
      <c r="Y942" s="55" t="n"/>
      <c r="Z942" s="55" t="n"/>
    </row>
    <row r="943" ht="12.75" customHeight="1" s="398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  <c r="W943" s="55" t="n"/>
      <c r="X943" s="55" t="n"/>
      <c r="Y943" s="55" t="n"/>
      <c r="Z943" s="55" t="n"/>
    </row>
    <row r="944" ht="12.75" customHeight="1" s="398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  <c r="W944" s="55" t="n"/>
      <c r="X944" s="55" t="n"/>
      <c r="Y944" s="55" t="n"/>
      <c r="Z944" s="55" t="n"/>
    </row>
    <row r="945" ht="12.75" customHeight="1" s="398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  <c r="W945" s="55" t="n"/>
      <c r="X945" s="55" t="n"/>
      <c r="Y945" s="55" t="n"/>
      <c r="Z945" s="55" t="n"/>
    </row>
    <row r="946" ht="12.75" customHeight="1" s="398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  <c r="W946" s="55" t="n"/>
      <c r="X946" s="55" t="n"/>
      <c r="Y946" s="55" t="n"/>
      <c r="Z946" s="55" t="n"/>
    </row>
    <row r="947" ht="12.75" customHeight="1" s="398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  <c r="W947" s="55" t="n"/>
      <c r="X947" s="55" t="n"/>
      <c r="Y947" s="55" t="n"/>
      <c r="Z947" s="55" t="n"/>
    </row>
    <row r="948" ht="12.75" customHeight="1" s="39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  <c r="W948" s="55" t="n"/>
      <c r="X948" s="55" t="n"/>
      <c r="Y948" s="55" t="n"/>
      <c r="Z948" s="55" t="n"/>
    </row>
    <row r="949" ht="12.75" customHeight="1" s="398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  <c r="W949" s="55" t="n"/>
      <c r="X949" s="55" t="n"/>
      <c r="Y949" s="55" t="n"/>
      <c r="Z949" s="55" t="n"/>
    </row>
    <row r="950" ht="12.75" customHeight="1" s="398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  <c r="W950" s="55" t="n"/>
      <c r="X950" s="55" t="n"/>
      <c r="Y950" s="55" t="n"/>
      <c r="Z950" s="55" t="n"/>
    </row>
    <row r="951" ht="12.75" customHeight="1" s="398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  <c r="W951" s="55" t="n"/>
      <c r="X951" s="55" t="n"/>
      <c r="Y951" s="55" t="n"/>
      <c r="Z951" s="55" t="n"/>
    </row>
    <row r="952" ht="12.75" customHeight="1" s="398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  <c r="W952" s="55" t="n"/>
      <c r="X952" s="55" t="n"/>
      <c r="Y952" s="55" t="n"/>
      <c r="Z952" s="55" t="n"/>
    </row>
    <row r="953" ht="12.75" customHeight="1" s="398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  <c r="W953" s="55" t="n"/>
      <c r="X953" s="55" t="n"/>
      <c r="Y953" s="55" t="n"/>
      <c r="Z953" s="55" t="n"/>
    </row>
    <row r="954" ht="12.75" customHeight="1" s="398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  <c r="W954" s="55" t="n"/>
      <c r="X954" s="55" t="n"/>
      <c r="Y954" s="55" t="n"/>
      <c r="Z954" s="55" t="n"/>
    </row>
    <row r="955" ht="12.75" customHeight="1" s="398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  <c r="W955" s="55" t="n"/>
      <c r="X955" s="55" t="n"/>
      <c r="Y955" s="55" t="n"/>
      <c r="Z955" s="55" t="n"/>
    </row>
    <row r="956" ht="12.75" customHeight="1" s="398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  <c r="W956" s="55" t="n"/>
      <c r="X956" s="55" t="n"/>
      <c r="Y956" s="55" t="n"/>
      <c r="Z956" s="55" t="n"/>
    </row>
    <row r="957" ht="12.75" customHeight="1" s="398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  <c r="W957" s="55" t="n"/>
      <c r="X957" s="55" t="n"/>
      <c r="Y957" s="55" t="n"/>
      <c r="Z957" s="55" t="n"/>
    </row>
    <row r="958" ht="12.75" customHeight="1" s="39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  <c r="W958" s="55" t="n"/>
      <c r="X958" s="55" t="n"/>
      <c r="Y958" s="55" t="n"/>
      <c r="Z958" s="55" t="n"/>
    </row>
    <row r="959" ht="12.75" customHeight="1" s="398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  <c r="W959" s="55" t="n"/>
      <c r="X959" s="55" t="n"/>
      <c r="Y959" s="55" t="n"/>
      <c r="Z959" s="55" t="n"/>
    </row>
    <row r="960" ht="12.75" customHeight="1" s="398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  <c r="W960" s="55" t="n"/>
      <c r="X960" s="55" t="n"/>
      <c r="Y960" s="55" t="n"/>
      <c r="Z960" s="55" t="n"/>
    </row>
    <row r="961" ht="12.75" customHeight="1" s="398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  <c r="W961" s="55" t="n"/>
      <c r="X961" s="55" t="n"/>
      <c r="Y961" s="55" t="n"/>
      <c r="Z961" s="55" t="n"/>
    </row>
    <row r="962" ht="12.75" customHeight="1" s="398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  <c r="W962" s="55" t="n"/>
      <c r="X962" s="55" t="n"/>
      <c r="Y962" s="55" t="n"/>
      <c r="Z962" s="55" t="n"/>
    </row>
    <row r="963" ht="12.75" customHeight="1" s="398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  <c r="W963" s="55" t="n"/>
      <c r="X963" s="55" t="n"/>
      <c r="Y963" s="55" t="n"/>
      <c r="Z963" s="55" t="n"/>
    </row>
    <row r="964" ht="12.75" customHeight="1" s="398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  <c r="W964" s="55" t="n"/>
      <c r="X964" s="55" t="n"/>
      <c r="Y964" s="55" t="n"/>
      <c r="Z964" s="55" t="n"/>
    </row>
    <row r="965" ht="12.75" customHeight="1" s="398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  <c r="W965" s="55" t="n"/>
      <c r="X965" s="55" t="n"/>
      <c r="Y965" s="55" t="n"/>
      <c r="Z965" s="55" t="n"/>
    </row>
    <row r="966" ht="12.75" customHeight="1" s="398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  <c r="W966" s="55" t="n"/>
      <c r="X966" s="55" t="n"/>
      <c r="Y966" s="55" t="n"/>
      <c r="Z966" s="55" t="n"/>
    </row>
    <row r="967" ht="12.75" customHeight="1" s="398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  <c r="W967" s="55" t="n"/>
      <c r="X967" s="55" t="n"/>
      <c r="Y967" s="55" t="n"/>
      <c r="Z967" s="55" t="n"/>
    </row>
    <row r="968" ht="12.75" customHeight="1" s="39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  <c r="W968" s="55" t="n"/>
      <c r="X968" s="55" t="n"/>
      <c r="Y968" s="55" t="n"/>
      <c r="Z968" s="55" t="n"/>
    </row>
    <row r="969" ht="12.75" customHeight="1" s="398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  <c r="W969" s="55" t="n"/>
      <c r="X969" s="55" t="n"/>
      <c r="Y969" s="55" t="n"/>
      <c r="Z969" s="55" t="n"/>
    </row>
    <row r="970" ht="12.75" customHeight="1" s="398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  <c r="W970" s="55" t="n"/>
      <c r="X970" s="55" t="n"/>
      <c r="Y970" s="55" t="n"/>
      <c r="Z970" s="55" t="n"/>
    </row>
    <row r="971" ht="12.75" customHeight="1" s="398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  <c r="W971" s="55" t="n"/>
      <c r="X971" s="55" t="n"/>
      <c r="Y971" s="55" t="n"/>
      <c r="Z971" s="55" t="n"/>
    </row>
    <row r="972" ht="12.75" customHeight="1" s="398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  <c r="W972" s="55" t="n"/>
      <c r="X972" s="55" t="n"/>
      <c r="Y972" s="55" t="n"/>
      <c r="Z972" s="55" t="n"/>
    </row>
    <row r="973" ht="12.75" customHeight="1" s="398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  <c r="W973" s="55" t="n"/>
      <c r="X973" s="55" t="n"/>
      <c r="Y973" s="55" t="n"/>
      <c r="Z973" s="55" t="n"/>
    </row>
    <row r="974" ht="12.75" customHeight="1" s="398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  <c r="W974" s="55" t="n"/>
      <c r="X974" s="55" t="n"/>
      <c r="Y974" s="55" t="n"/>
      <c r="Z974" s="55" t="n"/>
    </row>
    <row r="975" ht="12.75" customHeight="1" s="398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  <c r="W975" s="55" t="n"/>
      <c r="X975" s="55" t="n"/>
      <c r="Y975" s="55" t="n"/>
      <c r="Z975" s="55" t="n"/>
    </row>
    <row r="976" ht="12.75" customHeight="1" s="398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  <c r="W976" s="55" t="n"/>
      <c r="X976" s="55" t="n"/>
      <c r="Y976" s="55" t="n"/>
      <c r="Z976" s="55" t="n"/>
    </row>
    <row r="977" ht="12.75" customHeight="1" s="398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  <c r="W977" s="55" t="n"/>
      <c r="X977" s="55" t="n"/>
      <c r="Y977" s="55" t="n"/>
      <c r="Z977" s="55" t="n"/>
    </row>
    <row r="978" ht="12.75" customHeight="1" s="39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  <c r="W978" s="55" t="n"/>
      <c r="X978" s="55" t="n"/>
      <c r="Y978" s="55" t="n"/>
      <c r="Z978" s="55" t="n"/>
    </row>
    <row r="979" ht="12.75" customHeight="1" s="398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  <c r="W979" s="55" t="n"/>
      <c r="X979" s="55" t="n"/>
      <c r="Y979" s="55" t="n"/>
      <c r="Z979" s="55" t="n"/>
    </row>
    <row r="980" ht="12.75" customHeight="1" s="398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  <c r="W980" s="55" t="n"/>
      <c r="X980" s="55" t="n"/>
      <c r="Y980" s="55" t="n"/>
      <c r="Z980" s="55" t="n"/>
    </row>
    <row r="981" ht="12.75" customHeight="1" s="398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  <c r="W981" s="55" t="n"/>
      <c r="X981" s="55" t="n"/>
      <c r="Y981" s="55" t="n"/>
      <c r="Z981" s="55" t="n"/>
    </row>
    <row r="982" ht="12.75" customHeight="1" s="398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  <c r="W982" s="55" t="n"/>
      <c r="X982" s="55" t="n"/>
      <c r="Y982" s="55" t="n"/>
      <c r="Z982" s="55" t="n"/>
    </row>
    <row r="983" ht="12.75" customHeight="1" s="398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  <c r="W983" s="55" t="n"/>
      <c r="X983" s="55" t="n"/>
      <c r="Y983" s="55" t="n"/>
      <c r="Z983" s="55" t="n"/>
    </row>
    <row r="984" ht="12.75" customHeight="1" s="398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  <c r="W984" s="55" t="n"/>
      <c r="X984" s="55" t="n"/>
      <c r="Y984" s="55" t="n"/>
      <c r="Z984" s="55" t="n"/>
    </row>
    <row r="985" ht="12.75" customHeight="1" s="398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  <c r="W985" s="55" t="n"/>
      <c r="X985" s="55" t="n"/>
      <c r="Y985" s="55" t="n"/>
      <c r="Z985" s="55" t="n"/>
    </row>
    <row r="986" ht="12.75" customHeight="1" s="398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  <c r="W986" s="55" t="n"/>
      <c r="X986" s="55" t="n"/>
      <c r="Y986" s="55" t="n"/>
      <c r="Z986" s="55" t="n"/>
    </row>
    <row r="987" ht="12.75" customHeight="1" s="398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  <c r="W987" s="55" t="n"/>
      <c r="X987" s="55" t="n"/>
      <c r="Y987" s="55" t="n"/>
      <c r="Z987" s="55" t="n"/>
    </row>
    <row r="988" ht="12.75" customHeight="1" s="39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  <c r="W988" s="55" t="n"/>
      <c r="X988" s="55" t="n"/>
      <c r="Y988" s="55" t="n"/>
      <c r="Z988" s="55" t="n"/>
    </row>
    <row r="989" ht="12.75" customHeight="1" s="398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  <c r="W989" s="55" t="n"/>
      <c r="X989" s="55" t="n"/>
      <c r="Y989" s="55" t="n"/>
      <c r="Z989" s="55" t="n"/>
    </row>
    <row r="990" ht="12.75" customHeight="1" s="398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  <c r="W990" s="55" t="n"/>
      <c r="X990" s="55" t="n"/>
      <c r="Y990" s="55" t="n"/>
      <c r="Z990" s="55" t="n"/>
    </row>
    <row r="991" ht="12.75" customHeight="1" s="398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  <c r="W991" s="55" t="n"/>
      <c r="X991" s="55" t="n"/>
      <c r="Y991" s="55" t="n"/>
      <c r="Z991" s="55" t="n"/>
    </row>
    <row r="992" ht="12.75" customHeight="1" s="398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  <c r="W992" s="55" t="n"/>
      <c r="X992" s="55" t="n"/>
      <c r="Y992" s="55" t="n"/>
      <c r="Z992" s="55" t="n"/>
    </row>
    <row r="993" ht="12.75" customHeight="1" s="398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  <c r="W993" s="55" t="n"/>
      <c r="X993" s="55" t="n"/>
      <c r="Y993" s="55" t="n"/>
      <c r="Z993" s="55" t="n"/>
    </row>
    <row r="994" ht="12.75" customHeight="1" s="398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5" t="n"/>
      <c r="V994" s="55" t="n"/>
      <c r="W994" s="55" t="n"/>
      <c r="X994" s="55" t="n"/>
      <c r="Y994" s="55" t="n"/>
      <c r="Z994" s="55" t="n"/>
    </row>
    <row r="995" ht="12.75" customHeight="1" s="398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5" t="n"/>
      <c r="V995" s="55" t="n"/>
      <c r="W995" s="55" t="n"/>
      <c r="X995" s="55" t="n"/>
      <c r="Y995" s="55" t="n"/>
      <c r="Z995" s="55" t="n"/>
    </row>
    <row r="996" ht="12.75" customHeight="1" s="398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5" t="n"/>
      <c r="V996" s="55" t="n"/>
      <c r="W996" s="55" t="n"/>
      <c r="X996" s="55" t="n"/>
      <c r="Y996" s="55" t="n"/>
      <c r="Z996" s="55" t="n"/>
    </row>
    <row r="997" ht="12.75" customHeight="1" s="398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5" t="n"/>
      <c r="V997" s="55" t="n"/>
      <c r="W997" s="55" t="n"/>
      <c r="X997" s="55" t="n"/>
      <c r="Y997" s="55" t="n"/>
      <c r="Z997" s="55" t="n"/>
    </row>
    <row r="998" ht="12.75" customHeight="1" s="3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5" t="n"/>
      <c r="V998" s="55" t="n"/>
      <c r="W998" s="55" t="n"/>
      <c r="X998" s="55" t="n"/>
      <c r="Y998" s="55" t="n"/>
      <c r="Z998" s="55" t="n"/>
    </row>
    <row r="999" ht="12.75" customHeight="1" s="398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5" t="n"/>
      <c r="V999" s="55" t="n"/>
      <c r="W999" s="55" t="n"/>
      <c r="X999" s="55" t="n"/>
      <c r="Y999" s="55" t="n"/>
      <c r="Z999" s="55" t="n"/>
    </row>
  </sheetData>
  <pageMargins left="0.511811024" right="0.511811024" top="0.787401575" bottom="0.787401575" header="0.31496062" footer="0.31496062"/>
</worksheet>
</file>

<file path=xl/worksheets/sheet11.xml><?xml version="1.0" encoding="utf-8"?>
<worksheet xmlns="http://schemas.openxmlformats.org/spreadsheetml/2006/main">
  <sheetPr>
    <outlinePr summaryBelow="0" summaryRight="0"/>
    <pageSetUpPr fitToPage="1"/>
  </sheetPr>
  <dimension ref="A1:AC99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7109375" defaultRowHeight="15" customHeight="1"/>
  <cols>
    <col width="65.140625" customWidth="1" style="398" min="1" max="1"/>
    <col width="19.140625" customWidth="1" style="398" min="2" max="17"/>
    <col width="18.28515625" customWidth="1" style="398" min="19" max="20"/>
  </cols>
  <sheetData>
    <row r="1" ht="24" customHeight="1" s="398">
      <c r="A1" s="56" t="n"/>
      <c r="B1" s="423" t="n"/>
      <c r="C1" s="423" t="n"/>
      <c r="D1" s="423" t="inlineStr">
        <is>
          <t>PLANILHA FINANCEIRA COND. DIAMOND TOWER 9155 - 2022</t>
        </is>
      </c>
      <c r="E1" s="483" t="n"/>
      <c r="F1" s="483" t="n"/>
      <c r="G1" s="483" t="n"/>
      <c r="H1" s="423" t="n"/>
      <c r="I1" s="423" t="n"/>
      <c r="J1" s="423" t="n"/>
      <c r="K1" s="423" t="n"/>
      <c r="L1" s="423" t="n"/>
      <c r="M1" s="423" t="n"/>
      <c r="N1" s="423" t="n"/>
      <c r="O1" s="423" t="n"/>
      <c r="P1" s="423" t="n"/>
      <c r="Q1" s="58" t="n"/>
      <c r="R1" s="2" t="n"/>
      <c r="S1" s="2" t="n"/>
      <c r="T1" s="2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 ht="24" customHeight="1" s="398">
      <c r="A2" s="59" t="inlineStr">
        <is>
          <t>PREVISÃO ORÇAMENTÁRIA - DIAMOND TOWER</t>
        </is>
      </c>
      <c r="B2" s="1" t="inlineStr">
        <is>
          <t>APROVADO 2022</t>
        </is>
      </c>
      <c r="C2" s="1" t="inlineStr">
        <is>
          <t>JANEIRO</t>
        </is>
      </c>
      <c r="D2" s="4" t="inlineStr">
        <is>
          <t>FEVEREIRO</t>
        </is>
      </c>
      <c r="E2" s="4" t="inlineStr">
        <is>
          <t>MARÇO</t>
        </is>
      </c>
      <c r="F2" s="4" t="inlineStr">
        <is>
          <t>ABRIL</t>
        </is>
      </c>
      <c r="G2" s="4" t="inlineStr">
        <is>
          <t>MAIO</t>
        </is>
      </c>
      <c r="H2" s="1" t="inlineStr">
        <is>
          <t>JUNHO</t>
        </is>
      </c>
      <c r="I2" s="1" t="inlineStr">
        <is>
          <t>JULHO</t>
        </is>
      </c>
      <c r="J2" s="1" t="inlineStr">
        <is>
          <t>AGOSTO</t>
        </is>
      </c>
      <c r="K2" s="1" t="inlineStr">
        <is>
          <t>SETEMBRO</t>
        </is>
      </c>
      <c r="L2" s="1" t="inlineStr">
        <is>
          <t>OUTUBRO</t>
        </is>
      </c>
      <c r="M2" s="1" t="inlineStr">
        <is>
          <t>NOVEMBRO</t>
        </is>
      </c>
      <c r="N2" s="1" t="inlineStr">
        <is>
          <t>DEZEMBRO</t>
        </is>
      </c>
      <c r="O2" s="1" t="inlineStr">
        <is>
          <t>JANEIRO/23</t>
        </is>
      </c>
      <c r="P2" s="1" t="inlineStr">
        <is>
          <t>FEVEIREIRO/23</t>
        </is>
      </c>
      <c r="Q2" s="60" t="inlineStr">
        <is>
          <t>MARÇO/23</t>
        </is>
      </c>
      <c r="R2" s="5" t="n"/>
      <c r="S2" s="56" t="inlineStr">
        <is>
          <t>PREVISTO</t>
        </is>
      </c>
      <c r="T2" s="58" t="inlineStr">
        <is>
          <t>REALIZADO</t>
        </is>
      </c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 ht="24" customHeight="1" s="398">
      <c r="A3" s="61" t="inlineStr">
        <is>
          <t>CONTRATOS MÃO DE OBRA</t>
        </is>
      </c>
      <c r="B3" s="62">
        <f>SUM(B4:B17)</f>
        <v/>
      </c>
      <c r="C3" s="62">
        <f>SUM(C4:C17)</f>
        <v/>
      </c>
      <c r="D3" s="63">
        <f>SUM(D4:D17)</f>
        <v/>
      </c>
      <c r="E3" s="63">
        <f>SUM(E4:E17)</f>
        <v/>
      </c>
      <c r="F3" s="63">
        <f>SUM(F4:F17)</f>
        <v/>
      </c>
      <c r="G3" s="63">
        <f>SUM(G4:G17)</f>
        <v/>
      </c>
      <c r="H3" s="62">
        <f>SUM(H4:H17)</f>
        <v/>
      </c>
      <c r="I3" s="62">
        <f>SUM(I4:I17)</f>
        <v/>
      </c>
      <c r="J3" s="62">
        <f>SUM(J4:J17)</f>
        <v/>
      </c>
      <c r="K3" s="62">
        <f>SUM(K4:K17)</f>
        <v/>
      </c>
      <c r="L3" s="62">
        <f>SUM(L4:L17)</f>
        <v/>
      </c>
      <c r="M3" s="62">
        <f>SUM(M4:M17)</f>
        <v/>
      </c>
      <c r="N3" s="62">
        <f>SUM(N4:N17)</f>
        <v/>
      </c>
      <c r="O3" s="62">
        <f>SUM(O4:O17)</f>
        <v/>
      </c>
      <c r="P3" s="62">
        <f>SUM(P4:P17)</f>
        <v/>
      </c>
      <c r="Q3" s="64">
        <f>SUM(Q4:Q17)</f>
        <v/>
      </c>
      <c r="R3" s="5" t="n"/>
      <c r="S3" s="65">
        <f>SUM(S4:S17)</f>
        <v/>
      </c>
      <c r="T3" s="64">
        <f>SUM(T4:T17)</f>
        <v/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 ht="18.75" customHeight="1" s="398">
      <c r="A4" s="66" t="inlineStr">
        <is>
          <t>Monitoramento - 01 Posto 24h - Central de Segurança - ONX</t>
        </is>
      </c>
      <c r="B4" s="419" t="n">
        <v>79000</v>
      </c>
      <c r="C4" s="419">
        <f>66360+5.5+3225.32+1548.13+575.13+447.11+208.06+77.29+8690+203.23+47.29+17.57+3950+813.84+3648.33</f>
        <v/>
      </c>
      <c r="D4" s="424">
        <f>66360+24996.22+11997.98+11997.98+4457.29+36106.55+26645.2+189.01+87.95+ 32.67+8690+3950</f>
        <v/>
      </c>
      <c r="E4" s="424">
        <f>66360+5.9+681.62+681.62+1464.81+253.22+2051.26+1513.75</f>
        <v/>
      </c>
      <c r="F4" s="424">
        <f>66360+5.9+8690+8690+3950</f>
        <v/>
      </c>
      <c r="G4" s="424">
        <f>66360+8690+3950</f>
        <v/>
      </c>
      <c r="H4" s="419">
        <f>6636+59724+8690</f>
        <v/>
      </c>
      <c r="I4" s="419">
        <f>66360+8690+3950+3950</f>
        <v/>
      </c>
      <c r="J4" s="419">
        <f>66360+8690+3950</f>
        <v/>
      </c>
      <c r="K4" s="419">
        <f>66360+8690+3950</f>
        <v/>
      </c>
      <c r="L4" s="419">
        <f>66360+8690+3950</f>
        <v/>
      </c>
      <c r="M4" s="522">
        <f>3950+66360+2.49+3950</f>
        <v/>
      </c>
      <c r="N4" s="419">
        <f>69420.96+2.49+4132.2</f>
        <v/>
      </c>
      <c r="O4" s="419">
        <f>72831.36+4335.2</f>
        <v/>
      </c>
      <c r="P4" s="522">
        <f>69849.7+4157.72</f>
        <v/>
      </c>
      <c r="Q4" s="420">
        <f>84035.28</f>
        <v/>
      </c>
      <c r="R4" s="5" t="n"/>
      <c r="S4" s="421">
        <f>B4*15</f>
        <v/>
      </c>
      <c r="T4" s="420">
        <f>SUM(C4:Q10)</f>
        <v/>
      </c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 ht="18.75" customHeight="1" s="398">
      <c r="A5" s="71" t="inlineStr">
        <is>
          <t>Ronda Vigilante - 01 Posto 24h - ONX</t>
        </is>
      </c>
      <c r="Q5" s="521" t="n"/>
      <c r="R5" s="5" t="n"/>
      <c r="S5" s="523" t="n"/>
      <c r="T5" s="521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 ht="18.75" customHeight="1" s="398">
      <c r="A6" s="71" t="inlineStr">
        <is>
          <t>Porteiro 02 postos 8h - (Seg à Dom - das 7h as 22h)  - ONX</t>
        </is>
      </c>
      <c r="Q6" s="521" t="n"/>
      <c r="R6" s="5" t="n"/>
      <c r="S6" s="523" t="n"/>
      <c r="T6" s="521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 ht="18.75" customHeight="1" s="398">
      <c r="A7" s="71" t="inlineStr">
        <is>
          <t>Expedição 01 posto 8h - (Seg à Sáb - das 08h às 16h20)  - ONX</t>
        </is>
      </c>
      <c r="Q7" s="521" t="n"/>
      <c r="R7" s="5" t="n"/>
      <c r="S7" s="523" t="n"/>
      <c r="T7" s="521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 ht="18.75" customHeight="1" s="398">
      <c r="A8" s="71" t="inlineStr">
        <is>
          <t>Recepção - 04 postos 8h  (das 7h as 22h)  - ONX</t>
        </is>
      </c>
      <c r="Q8" s="521" t="n"/>
      <c r="R8" s="5" t="n"/>
      <c r="S8" s="523" t="n"/>
      <c r="T8" s="521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</row>
    <row r="9" ht="18.75" customHeight="1" s="398">
      <c r="A9" s="71" t="inlineStr">
        <is>
          <t>Limpeza - 03 Postos 44h semanais  - ONX</t>
        </is>
      </c>
      <c r="Q9" s="521" t="n"/>
      <c r="R9" s="5" t="n"/>
      <c r="S9" s="523" t="n"/>
      <c r="T9" s="521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</row>
    <row r="10" ht="18.75" customHeight="1" s="398">
      <c r="A10" s="71" t="inlineStr">
        <is>
          <t>Serviços Gerais – 01 posto 44h semanais  - ONX</t>
        </is>
      </c>
      <c r="Q10" s="521" t="n"/>
      <c r="R10" s="5" t="n"/>
      <c r="S10" s="523" t="n"/>
      <c r="T10" s="521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</row>
    <row r="11" ht="18.75" customHeight="1" s="398">
      <c r="A11" s="71" t="inlineStr">
        <is>
          <t>Oficial Manutenção - 01 Posto 44h  semanais - R$1.887,00</t>
        </is>
      </c>
      <c r="B11" s="6" t="n">
        <v>4147.23</v>
      </c>
      <c r="C11" s="6">
        <f>2540+5.5+313.24+101.05+296.4+107.78+1568.67+19.8</f>
        <v/>
      </c>
      <c r="D11" s="7">
        <f>1865.96+9.9+440.65+448+18.24+145.92</f>
        <v/>
      </c>
      <c r="E11" s="7">
        <f>1718.18+172.99+839.32+381.9+440+21.62+9.9</f>
        <v/>
      </c>
      <c r="F11" s="7">
        <f>160+691.82+440+440.65+20+1718.18+9.9</f>
        <v/>
      </c>
      <c r="G11" s="7">
        <f>160+691.82+440.65+20+440+2829.32+9.9</f>
        <v/>
      </c>
      <c r="H11" s="6">
        <f>269.21+103.05+1204.56+440.65+33.65+440+2576.35+19.8</f>
        <v/>
      </c>
      <c r="I11" s="6">
        <f>242.68+64.24+440.65+1391.57+30.33+444+2747.69+9.9</f>
        <v/>
      </c>
      <c r="J11" s="6">
        <f>440+440.65+74.59+2239.95+9.9</f>
        <v/>
      </c>
      <c r="K11" s="6">
        <f>440.65+68.88+440+551.08+2256.67+9.9</f>
        <v/>
      </c>
      <c r="L11" s="6">
        <f>241.26+78.49+440+2358.36+9.9+(0.3539*611.98)</f>
        <v/>
      </c>
      <c r="M11" s="6">
        <f>1401.76+5.9+(0.1086*374.18)+(0.3346*2744.14)+440.65+440+422.4+2.49</f>
        <v/>
      </c>
      <c r="N11" s="6">
        <f>2341+983.45+39.49+(1681.84*0.3346)+3437.22+134.4+2.49</f>
        <v/>
      </c>
      <c r="O11" s="6">
        <f>2761+(900.36*0.3539)+182+39.49+(137.84/2)+364.8+2.49</f>
        <v/>
      </c>
      <c r="P11" s="6">
        <f>815+(613.06*0.3539)+(882/2)+39.49+(596.82*0.1086)+452.99</f>
        <v/>
      </c>
      <c r="Q11" s="72">
        <f>2384+(718.82*0.3539)</f>
        <v/>
      </c>
      <c r="R11" s="5" t="n"/>
      <c r="S11" s="73">
        <f>B11*15</f>
        <v/>
      </c>
      <c r="T11" s="72">
        <f>SUM(C11:Q11)</f>
        <v/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</row>
    <row r="12" ht="18.75" customHeight="1" s="398">
      <c r="A12" s="71" t="inlineStr">
        <is>
          <t>Auxiliar Administração  - Auxiliadora Predial</t>
        </is>
      </c>
      <c r="B12" s="6" t="n">
        <v>3600</v>
      </c>
      <c r="C12" s="6">
        <f>3600</f>
        <v/>
      </c>
      <c r="D12" s="7">
        <f>3600</f>
        <v/>
      </c>
      <c r="E12" s="7" t="n">
        <v>3600</v>
      </c>
      <c r="F12" s="7" t="n">
        <v>3600</v>
      </c>
      <c r="G12" s="7" t="n">
        <v>3600</v>
      </c>
      <c r="H12" s="6" t="n">
        <v>3600</v>
      </c>
      <c r="I12" s="6" t="n">
        <v>3600</v>
      </c>
      <c r="J12" s="6" t="n">
        <v>3600</v>
      </c>
      <c r="K12" s="6" t="n">
        <v>3600</v>
      </c>
      <c r="L12" s="6">
        <f>72.54+84+100.08+3600</f>
        <v/>
      </c>
      <c r="M12" s="6">
        <f>179.33+320+57.49+53.82+1936+49+273</f>
        <v/>
      </c>
      <c r="N12" s="6">
        <f>13.31+(1090-682.5)+245.01+1365</f>
        <v/>
      </c>
      <c r="O12" s="6">
        <f>66.57+245.01+1090+1365-682.5</f>
        <v/>
      </c>
      <c r="P12" s="6">
        <f>66.57+1090-682.5+245.01+1365</f>
        <v/>
      </c>
      <c r="Q12" s="72" t="n"/>
      <c r="R12" s="5" t="n"/>
      <c r="S12" s="73">
        <f>B12*15</f>
        <v/>
      </c>
      <c r="T12" s="72">
        <f>SUM(C12:Q12)</f>
        <v/>
      </c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 ht="18.75" customHeight="1" s="398">
      <c r="A13" s="74" t="inlineStr">
        <is>
          <t xml:space="preserve">Gestão Total - Auxiliadora Predial </t>
        </is>
      </c>
      <c r="B13" s="6" t="n">
        <v>18500</v>
      </c>
      <c r="C13" s="6">
        <f>860.25+2035+14864.75+740</f>
        <v/>
      </c>
      <c r="D13" s="7">
        <f>14864.75+860.25+2035+740</f>
        <v/>
      </c>
      <c r="E13" s="7">
        <f>860.25+2035+14864.75+740</f>
        <v/>
      </c>
      <c r="F13" s="7">
        <f>2035+860.25+14864.75+740</f>
        <v/>
      </c>
      <c r="G13" s="7">
        <f>860.25+14864.75+2035+740</f>
        <v/>
      </c>
      <c r="H13" s="6">
        <f>860.25+15604.75+2035+740</f>
        <v/>
      </c>
      <c r="I13" s="6">
        <f>860.25+2035+15604.75</f>
        <v/>
      </c>
      <c r="J13" s="6">
        <f>860.25+2035+9700.25</f>
        <v/>
      </c>
      <c r="K13" s="6">
        <f>534.75+1265+9700.25</f>
        <v/>
      </c>
      <c r="L13" s="6" t="n">
        <v>11500</v>
      </c>
      <c r="M13" s="6">
        <f>10670.27+179.33+534.75+1265</f>
        <v/>
      </c>
      <c r="N13" s="6" t="n"/>
      <c r="O13" s="3" t="n"/>
      <c r="P13" s="6" t="n"/>
      <c r="Q13" s="72" t="n"/>
      <c r="R13" s="5" t="n"/>
      <c r="S13" s="73">
        <f>B13*15</f>
        <v/>
      </c>
      <c r="T13" s="72">
        <f>SUM(C13:Q13)</f>
        <v/>
      </c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 ht="18.75" customHeight="1" s="398">
      <c r="A14" s="71" t="inlineStr">
        <is>
          <t>Gestor Condominial - 01 Posto 44h semanais</t>
        </is>
      </c>
      <c r="B14" s="524" t="n"/>
      <c r="C14" s="524" t="n"/>
      <c r="D14" s="75" t="n"/>
      <c r="E14" s="75" t="n"/>
      <c r="F14" s="75" t="n"/>
      <c r="G14" s="75" t="n"/>
      <c r="H14" s="524" t="n">
        <v>440</v>
      </c>
      <c r="I14" s="524">
        <f>444</f>
        <v/>
      </c>
      <c r="J14" s="524">
        <f>3629.05+9.9+596.74+321.6+440+165</f>
        <v/>
      </c>
      <c r="K14" s="524">
        <f>3607.04+9.9+2482.57+440+263.43</f>
        <v/>
      </c>
      <c r="L14" s="524">
        <f>4099.9+9.9+(2790.43*0.6654)+(407.96*0.8914)+440+(0.6461*611.98)</f>
        <v/>
      </c>
      <c r="M14" s="524">
        <f>3961.08+9.9+(0.6461*603.23)+1127.91+9.9+(0.8914*374.18)+(0.6654*2744.14)+440</f>
        <v/>
      </c>
      <c r="N14" s="524">
        <f>3967+858.12+2.49+39.49+(1681.84*0.6654)</f>
        <v/>
      </c>
      <c r="O14" s="524">
        <f>4673+(900.36*0.6461)+400+39.49+(137.84/2)</f>
        <v/>
      </c>
      <c r="P14" s="524">
        <f>3637+2.49+(613.06*0.6461)+1001+(882/2)+39.49+(596.82*0.8914)</f>
        <v/>
      </c>
      <c r="Q14" s="525">
        <f>3933+(716.82*0.6461)</f>
        <v/>
      </c>
      <c r="R14" s="5" t="n"/>
      <c r="S14" s="73" t="n"/>
      <c r="T14" s="72">
        <f>SUM(C14:Q14)</f>
        <v/>
      </c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</row>
    <row r="15" ht="18.75" customHeight="1" s="398">
      <c r="A15" s="71" t="inlineStr">
        <is>
          <t>Taxa Administração - Multiplan</t>
        </is>
      </c>
      <c r="B15" s="524" t="n">
        <v>0</v>
      </c>
      <c r="C15" s="524" t="n"/>
      <c r="D15" s="75" t="n"/>
      <c r="E15" s="75" t="n"/>
      <c r="F15" s="75" t="n"/>
      <c r="G15" s="75" t="n"/>
      <c r="H15" s="524" t="n"/>
      <c r="I15" s="524" t="n"/>
      <c r="J15" s="524" t="n"/>
      <c r="K15" s="524" t="n"/>
      <c r="L15" s="524" t="n"/>
      <c r="M15" s="524" t="n"/>
      <c r="N15" s="524" t="n"/>
      <c r="O15" s="524" t="n"/>
      <c r="P15" s="3" t="n"/>
      <c r="Q15" s="525" t="n"/>
      <c r="R15" s="5" t="n"/>
      <c r="S15" s="73">
        <f>B15*15</f>
        <v/>
      </c>
      <c r="T15" s="72">
        <f>SUM(C15:Q15)</f>
        <v/>
      </c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</row>
    <row r="16" ht="18.75" customHeight="1" s="398">
      <c r="A16" s="74" t="inlineStr">
        <is>
          <t>Remuneração Subsíndico</t>
        </is>
      </c>
      <c r="B16" s="6" t="n">
        <v>6527</v>
      </c>
      <c r="C16" s="6" t="n">
        <v>42581.19</v>
      </c>
      <c r="D16" s="7">
        <f>29592.7+5.9</f>
        <v/>
      </c>
      <c r="E16" s="7">
        <f>5222.24+5.9</f>
        <v/>
      </c>
      <c r="F16" s="7">
        <f>5222.24+5.9</f>
        <v/>
      </c>
      <c r="G16" s="7" t="n">
        <v>5222.24</v>
      </c>
      <c r="H16" s="6">
        <f>5222.24+5.9</f>
        <v/>
      </c>
      <c r="I16" s="6">
        <f>5222.24+11.8</f>
        <v/>
      </c>
      <c r="J16" s="6">
        <f>5222.24</f>
        <v/>
      </c>
      <c r="K16" s="6">
        <f>5222.24+5.9</f>
        <v/>
      </c>
      <c r="L16" s="6">
        <f>5222.24</f>
        <v/>
      </c>
      <c r="M16" s="6">
        <f>5222.24+5.9</f>
        <v/>
      </c>
      <c r="N16" s="6">
        <f>5222.24+2.49</f>
        <v/>
      </c>
      <c r="O16" s="6">
        <f>5222.24</f>
        <v/>
      </c>
      <c r="P16" s="6">
        <f>5222.24+2.49</f>
        <v/>
      </c>
      <c r="Q16" s="72">
        <f>5222.24</f>
        <v/>
      </c>
      <c r="R16" s="5" t="n"/>
      <c r="S16" s="73">
        <f>B16*15</f>
        <v/>
      </c>
      <c r="T16" s="72">
        <f>SUM(C16:Q16)</f>
        <v/>
      </c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</row>
    <row r="17" ht="18.75" customHeight="1" s="398">
      <c r="A17" s="71" t="inlineStr">
        <is>
          <t xml:space="preserve">Auditoria Externa </t>
        </is>
      </c>
      <c r="B17" s="6" t="n">
        <v>1000</v>
      </c>
      <c r="C17" s="6" t="n">
        <v>1000</v>
      </c>
      <c r="D17" s="7" t="n">
        <v>1000</v>
      </c>
      <c r="E17" s="7" t="n">
        <v>1100</v>
      </c>
      <c r="F17" s="7" t="n"/>
      <c r="G17" s="7">
        <f>1100+5.9+1100</f>
        <v/>
      </c>
      <c r="H17" s="6" t="n">
        <v>1100</v>
      </c>
      <c r="I17" s="6">
        <f>1100</f>
        <v/>
      </c>
      <c r="J17" s="6">
        <f>1078+17.7</f>
        <v/>
      </c>
      <c r="K17" s="6">
        <f>22+1078+5.9</f>
        <v/>
      </c>
      <c r="L17" s="6">
        <f>1078+22</f>
        <v/>
      </c>
      <c r="M17" s="6">
        <f>22+1078+22</f>
        <v/>
      </c>
      <c r="N17" s="6">
        <f>22+1078+2.49</f>
        <v/>
      </c>
      <c r="O17" s="6">
        <f>22+1078</f>
        <v/>
      </c>
      <c r="P17" s="6">
        <f>22+1078+2.49</f>
        <v/>
      </c>
      <c r="Q17" s="72" t="n"/>
      <c r="R17" s="5" t="n"/>
      <c r="S17" s="73">
        <f>B17*15</f>
        <v/>
      </c>
      <c r="T17" s="72">
        <f>SUM(C17:Q17)</f>
        <v/>
      </c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77" t="n"/>
      <c r="B18" s="78" t="n"/>
      <c r="C18" s="78" t="n"/>
      <c r="D18" s="79" t="n"/>
      <c r="E18" s="79" t="n"/>
      <c r="F18" s="79" t="n"/>
      <c r="G18" s="79" t="n"/>
      <c r="H18" s="78" t="n"/>
      <c r="I18" s="78" t="n"/>
      <c r="J18" s="78" t="n"/>
      <c r="K18" s="78" t="n"/>
      <c r="L18" s="78" t="n"/>
      <c r="M18" s="78" t="n"/>
      <c r="N18" s="78" t="n"/>
      <c r="O18" s="78" t="n"/>
      <c r="P18" s="78" t="n"/>
      <c r="Q18" s="80" t="n"/>
      <c r="R18" s="5" t="n"/>
      <c r="S18" s="81" t="n"/>
      <c r="T18" s="80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 ht="24" customHeight="1" s="398">
      <c r="A19" s="82" t="inlineStr">
        <is>
          <t xml:space="preserve">MANUTENÇÕES/LOCAÇÕES - CONTRATOS </t>
        </is>
      </c>
      <c r="B19" s="83">
        <f>SUM(B20:B29)</f>
        <v/>
      </c>
      <c r="C19" s="83">
        <f>SUM(C20:C29)</f>
        <v/>
      </c>
      <c r="D19" s="84">
        <f>SUM(D20:D29)</f>
        <v/>
      </c>
      <c r="E19" s="84">
        <f>SUM(E20:E29)</f>
        <v/>
      </c>
      <c r="F19" s="84">
        <f>SUM(F20:F29)</f>
        <v/>
      </c>
      <c r="G19" s="84">
        <f>SUM(G20:G29)</f>
        <v/>
      </c>
      <c r="H19" s="83">
        <f>SUM(H20:H29)</f>
        <v/>
      </c>
      <c r="I19" s="83">
        <f>SUM(I20:I29)</f>
        <v/>
      </c>
      <c r="J19" s="83">
        <f>SUM(J20:J29)</f>
        <v/>
      </c>
      <c r="K19" s="83">
        <f>SUM(K20:K29)</f>
        <v/>
      </c>
      <c r="L19" s="83">
        <f>SUM(L20:L29)</f>
        <v/>
      </c>
      <c r="M19" s="83">
        <f>SUM(M20:M29)</f>
        <v/>
      </c>
      <c r="N19" s="83">
        <f>SUM(N20:N29)</f>
        <v/>
      </c>
      <c r="O19" s="83">
        <f>SUM(O20:O29)</f>
        <v/>
      </c>
      <c r="P19" s="83">
        <f>SUM(P20:P29)</f>
        <v/>
      </c>
      <c r="Q19" s="85">
        <f>SUM(Q20:Q29)</f>
        <v/>
      </c>
      <c r="R19" s="5" t="n"/>
      <c r="S19" s="86">
        <f>SUM(S20:S29)</f>
        <v/>
      </c>
      <c r="T19" s="85">
        <f>SUM(T20:T29)</f>
        <v/>
      </c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 ht="18.75" customHeight="1" s="398">
      <c r="A20" s="87" t="inlineStr">
        <is>
          <t>Central de Automação</t>
        </is>
      </c>
      <c r="B20" s="419" t="n">
        <v>0</v>
      </c>
      <c r="C20" s="419">
        <f>781.11+36.89</f>
        <v/>
      </c>
      <c r="D20" s="424">
        <f>781.35+36.65</f>
        <v/>
      </c>
      <c r="E20" s="424" t="n"/>
      <c r="F20" s="424" t="n"/>
      <c r="G20" s="424" t="n"/>
      <c r="H20" s="419" t="n"/>
      <c r="I20" s="419" t="n"/>
      <c r="J20" s="419" t="n"/>
      <c r="K20" s="419" t="n"/>
      <c r="L20" s="419" t="n"/>
      <c r="M20" s="419" t="n"/>
      <c r="N20" s="419" t="n"/>
      <c r="O20" s="419" t="n"/>
      <c r="P20" s="419" t="n"/>
      <c r="Q20" s="420" t="n"/>
      <c r="R20" s="5" t="n"/>
      <c r="S20" s="421">
        <f>B20*15</f>
        <v/>
      </c>
      <c r="T20" s="420">
        <f>SUM(C20:Q20)</f>
        <v/>
      </c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 ht="18.75" customHeight="1" s="398">
      <c r="A21" s="71" t="inlineStr">
        <is>
          <t>Controle Pragas e Limpeza  Caixa D'água (2x ano)</t>
        </is>
      </c>
      <c r="B21" s="6" t="n">
        <v>0</v>
      </c>
      <c r="C21" s="6" t="n"/>
      <c r="D21" s="7" t="n"/>
      <c r="E21" s="7" t="n"/>
      <c r="F21" s="7" t="n"/>
      <c r="G21" s="7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72" t="n"/>
      <c r="R21" s="5" t="n"/>
      <c r="S21" s="73">
        <f>B21*15</f>
        <v/>
      </c>
      <c r="T21" s="72">
        <f>SUM(C21:Q21)</f>
        <v/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 ht="18.75" customHeight="1" s="398">
      <c r="A22" s="71" t="inlineStr">
        <is>
          <t xml:space="preserve">Limpeza Espelho D'água, Química e AFT com Material </t>
        </is>
      </c>
      <c r="B22" s="6" t="n">
        <v>800.01</v>
      </c>
      <c r="C22" s="6">
        <f>788+14.75</f>
        <v/>
      </c>
      <c r="D22" s="7">
        <f>780.75+12</f>
        <v/>
      </c>
      <c r="E22" s="7">
        <f>19.25+294</f>
        <v/>
      </c>
      <c r="F22" s="7">
        <f>6+270.75+515+11.8</f>
        <v/>
      </c>
      <c r="G22" s="7">
        <f>14.25+786.25</f>
        <v/>
      </c>
      <c r="H22" s="6">
        <f>13.75+130+794</f>
        <v/>
      </c>
      <c r="I22" s="6">
        <f>6+789.5</f>
        <v/>
      </c>
      <c r="J22" s="6">
        <f>10.5+783.25</f>
        <v/>
      </c>
      <c r="K22" s="6">
        <f>794.5+6.75</f>
        <v/>
      </c>
      <c r="L22" s="6">
        <f>5.5+788.25</f>
        <v/>
      </c>
      <c r="M22" s="6">
        <f>253.71+11.75+794+75.4+113.93</f>
        <v/>
      </c>
      <c r="N22" s="6">
        <f>6+789.5</f>
        <v/>
      </c>
      <c r="O22" s="6">
        <f>10.5+793.5</f>
        <v/>
      </c>
      <c r="P22" s="6">
        <f>6.5+2.7+795</f>
        <v/>
      </c>
      <c r="Q22" s="72" t="n"/>
      <c r="R22" s="5" t="n"/>
      <c r="S22" s="73">
        <f>B22*15</f>
        <v/>
      </c>
      <c r="T22" s="72">
        <f>SUM(C22:Q22)</f>
        <v/>
      </c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</row>
    <row r="23" ht="18.75" customHeight="1" s="398">
      <c r="A23" s="71" t="inlineStr">
        <is>
          <t>Locação Impressora</t>
        </is>
      </c>
      <c r="B23" s="6" t="n">
        <v>206.76</v>
      </c>
      <c r="C23" s="6" t="n">
        <v>206.76</v>
      </c>
      <c r="D23" s="7" t="n">
        <v>206.76</v>
      </c>
      <c r="E23" s="7" t="n">
        <v>206.76</v>
      </c>
      <c r="F23" s="7" t="n">
        <v>206.76</v>
      </c>
      <c r="G23" s="7" t="n"/>
      <c r="H23" s="6" t="n">
        <v>206.76</v>
      </c>
      <c r="I23" s="6" t="n">
        <v>206.76</v>
      </c>
      <c r="J23" s="6">
        <f>206.76</f>
        <v/>
      </c>
      <c r="K23" s="6">
        <f>206.76</f>
        <v/>
      </c>
      <c r="L23" s="6">
        <f>206.76</f>
        <v/>
      </c>
      <c r="M23" s="6">
        <f>206.76</f>
        <v/>
      </c>
      <c r="N23" s="3" t="n"/>
      <c r="O23" s="6">
        <f>206.76</f>
        <v/>
      </c>
      <c r="P23" s="6">
        <f>206.76</f>
        <v/>
      </c>
      <c r="Q23" s="72">
        <f>223.82</f>
        <v/>
      </c>
      <c r="R23" s="5" t="n"/>
      <c r="S23" s="73">
        <f>B23*15</f>
        <v/>
      </c>
      <c r="T23" s="72">
        <f>SUM(C23:Q23)</f>
        <v/>
      </c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</row>
    <row r="24" ht="18.75" customHeight="1" s="398">
      <c r="A24" s="88" t="inlineStr">
        <is>
          <t xml:space="preserve">Locação Rádios Comunicadores (9) </t>
        </is>
      </c>
      <c r="B24" s="6" t="n">
        <v>0</v>
      </c>
      <c r="C24" s="6" t="n">
        <v>480</v>
      </c>
      <c r="D24" s="7" t="n">
        <v>480</v>
      </c>
      <c r="E24" s="7" t="n">
        <v>480</v>
      </c>
      <c r="F24" s="7" t="n"/>
      <c r="G24" s="7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72" t="n"/>
      <c r="R24" s="5" t="n"/>
      <c r="S24" s="73">
        <f>B24*15</f>
        <v/>
      </c>
      <c r="T24" s="72">
        <f>SUM(C24:Q24)</f>
        <v/>
      </c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</row>
    <row r="25" ht="18.75" customHeight="1" s="398">
      <c r="A25" s="71" t="inlineStr">
        <is>
          <t>Manutenção ar condicionado / exaustão áreas comuns</t>
        </is>
      </c>
      <c r="B25" s="6" t="n">
        <v>3152.21</v>
      </c>
      <c r="C25" s="6">
        <f>146.58+3004.5</f>
        <v/>
      </c>
      <c r="D25" s="7">
        <f>146.52</f>
        <v/>
      </c>
      <c r="E25" s="7">
        <f>3004.5+146.52+3004.5</f>
        <v/>
      </c>
      <c r="F25" s="7">
        <f>146.52</f>
        <v/>
      </c>
      <c r="G25" s="7">
        <f>3004.5+3004.5</f>
        <v/>
      </c>
      <c r="H25" s="6">
        <f>146.52+146.52+3004.5</f>
        <v/>
      </c>
      <c r="I25" s="6">
        <f>146.52</f>
        <v/>
      </c>
      <c r="J25" s="6">
        <f>2846.96+5.9+157.55+2846.95</f>
        <v/>
      </c>
      <c r="K25" s="6">
        <f>146.52+146.52+157.55+2846.95</f>
        <v/>
      </c>
      <c r="L25" s="6">
        <f>146.52+157.55+2846.95</f>
        <v/>
      </c>
      <c r="M25" s="6">
        <f>146.52+157.55+2846.95+157.55</f>
        <v/>
      </c>
      <c r="N25" s="6">
        <f>146.52</f>
        <v/>
      </c>
      <c r="O25" s="6">
        <f>2846.95+157.55+146.52+3016.9</f>
        <v/>
      </c>
      <c r="P25" s="6">
        <f>1096.53+166.96+504.15+155.27</f>
        <v/>
      </c>
      <c r="Q25" s="72">
        <f>3016.9</f>
        <v/>
      </c>
      <c r="R25" s="5" t="n"/>
      <c r="S25" s="73">
        <f>B25*15</f>
        <v/>
      </c>
      <c r="T25" s="72">
        <f>SUM(C25:Q25)</f>
        <v/>
      </c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</row>
    <row r="26" ht="18.75" customHeight="1" s="398">
      <c r="A26" s="71" t="inlineStr">
        <is>
          <t xml:space="preserve">Manutenção CFTV/Controle de Acesso/Central Alarme </t>
        </is>
      </c>
      <c r="B26" s="6" t="n">
        <v>3320</v>
      </c>
      <c r="C26" s="6">
        <f>3227.37+92.63</f>
        <v/>
      </c>
      <c r="D26" s="7">
        <f>3227.37+92.63</f>
        <v/>
      </c>
      <c r="E26" s="7">
        <f>3227.37+92.63</f>
        <v/>
      </c>
      <c r="F26" s="7">
        <f>3227.37</f>
        <v/>
      </c>
      <c r="G26" s="7">
        <f>3227.37+11.8+92.63</f>
        <v/>
      </c>
      <c r="H26" s="6">
        <f>3227.27+11.8+92.63</f>
        <v/>
      </c>
      <c r="I26" s="6">
        <f>3227.37+92.63</f>
        <v/>
      </c>
      <c r="J26" s="6">
        <f>3227.37+92.63</f>
        <v/>
      </c>
      <c r="K26" s="6">
        <f>3227.37+92.63</f>
        <v/>
      </c>
      <c r="L26" s="6">
        <f>3227.37+92.63</f>
        <v/>
      </c>
      <c r="M26" s="6">
        <f>3227.37+92.63+92.63</f>
        <v/>
      </c>
      <c r="N26" s="6">
        <f>3227.37+92.63</f>
        <v/>
      </c>
      <c r="O26" s="6">
        <f>3227.37+92.63</f>
        <v/>
      </c>
      <c r="P26" s="6">
        <f>3227.37+92.63</f>
        <v/>
      </c>
      <c r="Q26" s="72">
        <f>3437.79</f>
        <v/>
      </c>
      <c r="R26" s="5" t="n"/>
      <c r="S26" s="73">
        <f>B26*15</f>
        <v/>
      </c>
      <c r="T26" s="72">
        <f>SUM(C26:Q26)</f>
        <v/>
      </c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</row>
    <row r="27" ht="18.75" customHeight="1" s="398">
      <c r="A27" s="88" t="inlineStr">
        <is>
          <t>Manutenção Preventiva Elevadores (7) - Com Peças - Atlas</t>
        </is>
      </c>
      <c r="B27" s="10" t="n">
        <v>8300</v>
      </c>
      <c r="C27" s="10">
        <f>3174.9+175.7+7499.05</f>
        <v/>
      </c>
      <c r="D27" s="11">
        <f>11822.82+163.4+385.95+415</f>
        <v/>
      </c>
      <c r="E27" s="11">
        <f>7499.05+415+8511.98</f>
        <v/>
      </c>
      <c r="F27" s="11">
        <f>385.95+438.08+471.06+24.51+694.87+7499.05</f>
        <v/>
      </c>
      <c r="G27" s="11">
        <f>385.95+49.95+415+7499.05</f>
        <v/>
      </c>
      <c r="H27" s="10">
        <f>46.46+385.95+22.79+415+21.82+7499.05</f>
        <v/>
      </c>
      <c r="I27" s="10">
        <f>385.95+415+7499.05</f>
        <v/>
      </c>
      <c r="J27" s="10">
        <f>385.95+415+7499.05</f>
        <v/>
      </c>
      <c r="K27" s="10">
        <f>385.95+415+7499.03</f>
        <v/>
      </c>
      <c r="L27" s="10">
        <f>385.95+415+7499.03</f>
        <v/>
      </c>
      <c r="M27" s="10">
        <f>385.95+415+7499.03+415</f>
        <v/>
      </c>
      <c r="N27" s="10">
        <f>415+385.95+7499.05</f>
        <v/>
      </c>
      <c r="O27" s="10">
        <f>415+385.95+7950.13</f>
        <v/>
      </c>
      <c r="P27" s="10">
        <f>439.98+409.18+7950.43</f>
        <v/>
      </c>
      <c r="Q27" s="89" t="n"/>
      <c r="R27" s="5" t="n"/>
      <c r="S27" s="73">
        <f>B27*15</f>
        <v/>
      </c>
      <c r="T27" s="72">
        <f>SUM(C27:Q27)</f>
        <v/>
      </c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</row>
    <row r="28" ht="18.75" customHeight="1" s="398">
      <c r="A28" s="88" t="inlineStr">
        <is>
          <t>Limpeza da Fachada</t>
        </is>
      </c>
      <c r="B28" s="6" t="n">
        <v>6000</v>
      </c>
      <c r="C28" s="6">
        <f>660+5130+210</f>
        <v/>
      </c>
      <c r="D28" s="7">
        <f>660+210</f>
        <v/>
      </c>
      <c r="E28" s="7">
        <f>5130+5.9+660+210+5130</f>
        <v/>
      </c>
      <c r="F28" s="7">
        <f>660+210</f>
        <v/>
      </c>
      <c r="G28" s="7">
        <f>5130+660+210+5130+5.9</f>
        <v/>
      </c>
      <c r="H28" s="6">
        <f>660+210+5130+5.9</f>
        <v/>
      </c>
      <c r="I28" s="6">
        <f>660+210+5130+11.8</f>
        <v/>
      </c>
      <c r="J28" s="6">
        <f>660+210+5130</f>
        <v/>
      </c>
      <c r="K28" s="6">
        <f>660+210</f>
        <v/>
      </c>
      <c r="L28" s="6">
        <f>5130+11.8</f>
        <v/>
      </c>
      <c r="M28" s="6">
        <f>660+210+210+5130+2.49</f>
        <v/>
      </c>
      <c r="N28" s="6">
        <f>5130+2.49</f>
        <v/>
      </c>
      <c r="O28" s="6">
        <f>210+5100</f>
        <v/>
      </c>
      <c r="P28" s="6">
        <f>210</f>
        <v/>
      </c>
      <c r="Q28" s="72">
        <f>5130</f>
        <v/>
      </c>
      <c r="R28" s="5" t="n"/>
      <c r="S28" s="73">
        <f>B28*15</f>
        <v/>
      </c>
      <c r="T28" s="72">
        <f>SUM(C28:Q28)</f>
        <v/>
      </c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 ht="18.75" customHeight="1" s="398">
      <c r="A29" s="88" t="inlineStr">
        <is>
          <t>Manutenção preventiva motor gerador</t>
        </is>
      </c>
      <c r="B29" s="6" t="n">
        <v>1173.12</v>
      </c>
      <c r="C29" s="6">
        <f>968.1+61+201.63</f>
        <v/>
      </c>
      <c r="D29" s="7">
        <f>56.73+968.1+136.41+61</f>
        <v/>
      </c>
      <c r="E29" s="7">
        <f>56.73+968.1+61+139.07</f>
        <v/>
      </c>
      <c r="F29" s="7">
        <f>968.1+134.2+56.73+61</f>
        <v/>
      </c>
      <c r="G29" s="7">
        <f>56.73+968.1+134.2+61</f>
        <v/>
      </c>
      <c r="H29" s="6">
        <f>968.1+56.73+134.2+61</f>
        <v/>
      </c>
      <c r="I29" s="6">
        <f>118.85+56.73+134.2+61+968.1</f>
        <v/>
      </c>
      <c r="J29" s="6">
        <f>56.73+968.1+134.2+61</f>
        <v/>
      </c>
      <c r="K29" s="6">
        <f>968.1+56.73+134.2+61</f>
        <v/>
      </c>
      <c r="L29" s="6">
        <f>968.1+56.73+134.2+61</f>
        <v/>
      </c>
      <c r="M29" s="6">
        <f>1047.97+56.73+145.27+66.03+66.03</f>
        <v/>
      </c>
      <c r="N29" s="6">
        <f>1047.97+66.03</f>
        <v/>
      </c>
      <c r="O29" s="6">
        <f>1047.97+66.03+61.41</f>
        <v/>
      </c>
      <c r="P29" s="6">
        <f>66.03+61.41+1047.97</f>
        <v/>
      </c>
      <c r="Q29" s="72" t="n"/>
      <c r="R29" s="5" t="n"/>
      <c r="S29" s="73">
        <f>B29*15</f>
        <v/>
      </c>
      <c r="T29" s="72">
        <f>SUM(C29:Q29)</f>
        <v/>
      </c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 ht="15.75" customHeight="1" s="398">
      <c r="A30" s="90" t="n"/>
      <c r="B30" s="91" t="n"/>
      <c r="C30" s="91" t="n"/>
      <c r="D30" s="92" t="n"/>
      <c r="E30" s="92" t="n"/>
      <c r="F30" s="92" t="n"/>
      <c r="G30" s="92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3" t="n"/>
      <c r="R30" s="5" t="n"/>
      <c r="S30" s="94" t="n"/>
      <c r="T30" s="9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 ht="24" customHeight="1" s="398">
      <c r="A31" s="82" t="inlineStr">
        <is>
          <t>MANUTENÇÕES - SEM CONTRATO</t>
        </is>
      </c>
      <c r="B31" s="83">
        <f>SUM(B32:B39)</f>
        <v/>
      </c>
      <c r="C31" s="83">
        <f>SUM(C32:C39)</f>
        <v/>
      </c>
      <c r="D31" s="84">
        <f>SUM(D32:D39)</f>
        <v/>
      </c>
      <c r="E31" s="84">
        <f>SUM(E32:E39)</f>
        <v/>
      </c>
      <c r="F31" s="84">
        <f>SUM(F32:F39)</f>
        <v/>
      </c>
      <c r="G31" s="84">
        <f>SUM(G32:G39)</f>
        <v/>
      </c>
      <c r="H31" s="83">
        <f>SUM(H32:H39)</f>
        <v/>
      </c>
      <c r="I31" s="83">
        <f>SUM(I32:I39)</f>
        <v/>
      </c>
      <c r="J31" s="83">
        <f>SUM(J32:J39)</f>
        <v/>
      </c>
      <c r="K31" s="83">
        <f>SUM(K32:K39)</f>
        <v/>
      </c>
      <c r="L31" s="83">
        <f>SUM(L32:L39)</f>
        <v/>
      </c>
      <c r="M31" s="83">
        <f>SUM(M32:M39)</f>
        <v/>
      </c>
      <c r="N31" s="83">
        <f>SUM(N32:N39)</f>
        <v/>
      </c>
      <c r="O31" s="83">
        <f>SUM(O32:O39)</f>
        <v/>
      </c>
      <c r="P31" s="83">
        <f>SUM(P32:P39)</f>
        <v/>
      </c>
      <c r="Q31" s="85">
        <f>SUM(Q32:Q39)</f>
        <v/>
      </c>
      <c r="R31" s="5" t="n"/>
      <c r="S31" s="86">
        <f>SUM(S32:S39)</f>
        <v/>
      </c>
      <c r="T31" s="85">
        <f>SUM(T32:T39)</f>
        <v/>
      </c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 ht="18.75" customHeight="1" s="398">
      <c r="A32" s="87" t="inlineStr">
        <is>
          <t xml:space="preserve">Lixo/Entulho/Manutenção Externa - Despesa Compartilhada </t>
        </is>
      </c>
      <c r="B32" s="419" t="n">
        <v>3000</v>
      </c>
      <c r="C32" s="419" t="n">
        <v>1009.9</v>
      </c>
      <c r="D32" s="424">
        <f>626.44+784.98+1105.99</f>
        <v/>
      </c>
      <c r="E32" s="424" t="n"/>
      <c r="F32" s="424">
        <f>656.82</f>
        <v/>
      </c>
      <c r="G32" s="424">
        <f>656.82</f>
        <v/>
      </c>
      <c r="H32" s="419" t="n"/>
      <c r="I32" s="419" t="n"/>
      <c r="J32" s="419">
        <f>3732.09+1592.24</f>
        <v/>
      </c>
      <c r="K32" s="419" t="n"/>
      <c r="L32" s="419">
        <f>750.45</f>
        <v/>
      </c>
      <c r="M32" s="419">
        <f>1333.7</f>
        <v/>
      </c>
      <c r="N32" s="419">
        <f>1059.99+1469.44</f>
        <v/>
      </c>
      <c r="O32" s="419" t="n"/>
      <c r="P32" s="419">
        <f>1288.65</f>
        <v/>
      </c>
      <c r="Q32" s="420" t="n"/>
      <c r="R32" s="5" t="n"/>
      <c r="S32" s="421">
        <f>B32*15</f>
        <v/>
      </c>
      <c r="T32" s="420">
        <f>SUM(C32:Q32)</f>
        <v/>
      </c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</row>
    <row r="33" ht="18.75" customHeight="1" s="398">
      <c r="A33" s="88" t="inlineStr">
        <is>
          <t>Manutenção Bombas de Recalque</t>
        </is>
      </c>
      <c r="B33" s="9" t="n">
        <v>120</v>
      </c>
      <c r="C33" s="9" t="n"/>
      <c r="D33" s="8" t="n"/>
      <c r="E33" s="8">
        <f>340+5.9</f>
        <v/>
      </c>
      <c r="F33" s="8" t="n"/>
      <c r="G33" s="8" t="n"/>
      <c r="H33" s="9" t="n">
        <v>823.33</v>
      </c>
      <c r="I33" s="9" t="n"/>
      <c r="J33" s="9" t="n"/>
      <c r="K33" s="9" t="n"/>
      <c r="L33" s="9" t="n"/>
      <c r="M33" s="9" t="n"/>
      <c r="N33" s="9" t="n"/>
      <c r="O33" s="9">
        <f>180</f>
        <v/>
      </c>
      <c r="P33" s="9" t="n"/>
      <c r="Q33" s="95" t="n"/>
      <c r="R33" s="5" t="n"/>
      <c r="S33" s="96">
        <f>B33*15</f>
        <v/>
      </c>
      <c r="T33" s="95">
        <f>SUM(C33:Q33)</f>
        <v/>
      </c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</row>
    <row r="34" ht="18.75" customHeight="1" s="398">
      <c r="A34" s="71" t="inlineStr">
        <is>
          <t>Manutenção Interfones</t>
        </is>
      </c>
      <c r="B34" s="9" t="n">
        <v>50</v>
      </c>
      <c r="C34" s="9" t="n"/>
      <c r="D34" s="8" t="n"/>
      <c r="E34" s="8">
        <f>290+5.9</f>
        <v/>
      </c>
      <c r="F34" s="8" t="n"/>
      <c r="G34" s="8" t="n"/>
      <c r="H34" s="9" t="n"/>
      <c r="I34" s="9" t="n"/>
      <c r="J34" s="9" t="n"/>
      <c r="K34" s="9" t="n"/>
      <c r="L34" s="9" t="n"/>
      <c r="M34" s="9" t="n"/>
      <c r="N34" s="9" t="n"/>
      <c r="O34" s="9">
        <f>366.34</f>
        <v/>
      </c>
      <c r="P34" s="9">
        <f>366.33</f>
        <v/>
      </c>
      <c r="Q34" s="95" t="n"/>
      <c r="R34" s="5" t="n"/>
      <c r="S34" s="96">
        <f>B34*15</f>
        <v/>
      </c>
      <c r="T34" s="95">
        <f>SUM(C34:Q34)</f>
        <v/>
      </c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</row>
    <row r="35" ht="18.75" customHeight="1" s="398">
      <c r="A35" s="88" t="inlineStr">
        <is>
          <t>Manutenção Predial</t>
        </is>
      </c>
      <c r="B35" s="9" t="n">
        <v>3000</v>
      </c>
      <c r="C35" s="9">
        <f>2089.22+325.6+364.08+2555.96+11+118.4+4515+3120</f>
        <v/>
      </c>
      <c r="D35" s="8">
        <f>42.96+133.18+3120+4515+760+340+11.8+114.56</f>
        <v/>
      </c>
      <c r="E35" s="8">
        <f>1595+1885+5.9+3505.49</f>
        <v/>
      </c>
      <c r="F35" s="8" t="n"/>
      <c r="G35" s="8">
        <f>3965+5.9+823.33</f>
        <v/>
      </c>
      <c r="H35" s="9">
        <f>156.86+345.25+667.5+5.9+45+393.25+727.5+5.9</f>
        <v/>
      </c>
      <c r="I35" s="9" t="n"/>
      <c r="J35" s="9" t="n"/>
      <c r="K35" s="9" t="n"/>
      <c r="L35" s="9">
        <f>2165</f>
        <v/>
      </c>
      <c r="M35" s="9" t="n"/>
      <c r="N35" s="9">
        <f>956.6+2.49</f>
        <v/>
      </c>
      <c r="O35" s="9">
        <f>151.2+2.49+9+634.7+956.6+2.49</f>
        <v/>
      </c>
      <c r="P35" s="9">
        <f>956.6+2.49</f>
        <v/>
      </c>
      <c r="Q35" s="95" t="n"/>
      <c r="R35" s="5" t="n"/>
      <c r="S35" s="96">
        <f>B35*15</f>
        <v/>
      </c>
      <c r="T35" s="95">
        <f>SUM(C35:Q35)</f>
        <v/>
      </c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</row>
    <row r="36" ht="18.75" customHeight="1" s="398">
      <c r="A36" s="97" t="inlineStr">
        <is>
          <t>Manutenção Preventiva Sistema de Incêndio</t>
        </is>
      </c>
      <c r="B36" s="6" t="n">
        <v>200</v>
      </c>
      <c r="C36" s="6" t="n"/>
      <c r="D36" s="7" t="n"/>
      <c r="E36" s="7">
        <f>12500+5.9</f>
        <v/>
      </c>
      <c r="F36" s="7">
        <f>10000</f>
        <v/>
      </c>
      <c r="G36" s="7" t="n"/>
      <c r="H36" s="6" t="n"/>
      <c r="I36" s="6" t="n"/>
      <c r="J36" s="6" t="n"/>
      <c r="K36" s="6" t="n"/>
      <c r="L36" s="6">
        <f>967.86+88.78+1518.63+967.85+883.96+5.9+5.9</f>
        <v/>
      </c>
      <c r="M36" s="6">
        <f>967.85+2500</f>
        <v/>
      </c>
      <c r="N36" s="6" t="n"/>
      <c r="O36" s="6" t="n"/>
      <c r="P36" s="6">
        <f>471.98</f>
        <v/>
      </c>
      <c r="Q36" s="72" t="n"/>
      <c r="R36" s="5" t="n"/>
      <c r="S36" s="96">
        <f>B36*15</f>
        <v/>
      </c>
      <c r="T36" s="72">
        <f>SUM(C36:Q36)</f>
        <v/>
      </c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 ht="15.75" customHeight="1" s="398">
      <c r="A37" s="74" t="inlineStr">
        <is>
          <t xml:space="preserve">Obrigações Legais (AFT, certificado de qualidade do ar de ambiente climatizado, certificado digital, inspeção da esccada pressurizada, laudo de potabilidade, teste mangueiras, recarga extintores, SPDA, subestação de energia) </t>
        </is>
      </c>
      <c r="B37" s="9" t="n">
        <v>2100</v>
      </c>
      <c r="C37" s="9" t="n"/>
      <c r="D37" s="8" t="n"/>
      <c r="E37" s="8" t="n"/>
      <c r="F37" s="8" t="n"/>
      <c r="G37" s="8">
        <f>6945+5.9</f>
        <v/>
      </c>
      <c r="H37" s="9">
        <f>1050.21+1466.96+193.6+193.6</f>
        <v/>
      </c>
      <c r="I37" s="9">
        <f>17.6+81.84+88.78</f>
        <v/>
      </c>
      <c r="J37" s="9">
        <f>88.78+271.05+3091.9</f>
        <v/>
      </c>
      <c r="K37" s="9">
        <f>13.95+15+63.1</f>
        <v/>
      </c>
      <c r="L37" s="9">
        <f>132.3+180+5.9</f>
        <v/>
      </c>
      <c r="M37" s="9">
        <f>132.3+2.7+270+2.7</f>
        <v/>
      </c>
      <c r="N37" s="9" t="n"/>
      <c r="O37" s="9" t="n"/>
      <c r="P37" s="9">
        <f>298.16</f>
        <v/>
      </c>
      <c r="Q37" s="95">
        <f>1200</f>
        <v/>
      </c>
      <c r="R37" s="5" t="n"/>
      <c r="S37" s="96">
        <f>B37*15</f>
        <v/>
      </c>
      <c r="T37" s="95">
        <f>SUM(C37:Q37)</f>
        <v/>
      </c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 ht="18.75" customHeight="1" s="398">
      <c r="A38" s="97" t="inlineStr">
        <is>
          <t xml:space="preserve">Controle Pragas e Limpeza  Caixa D'água (2x ano) </t>
        </is>
      </c>
      <c r="B38" s="9" t="n">
        <v>300</v>
      </c>
      <c r="C38" s="9">
        <f>503.38+27.75+65.65</f>
        <v/>
      </c>
      <c r="D38" s="8">
        <f>503.38+27.75+66.72</f>
        <v/>
      </c>
      <c r="E38" s="7">
        <f>535.33+29.51+27.75+69.81</f>
        <v/>
      </c>
      <c r="F38" s="8" t="n"/>
      <c r="G38" s="8" t="n"/>
      <c r="H38" s="9" t="n"/>
      <c r="I38" s="9">
        <f>404.88+17.6+81.84+52.8</f>
        <v/>
      </c>
      <c r="J38" s="9">
        <f>22.32</f>
        <v/>
      </c>
      <c r="K38" s="9" t="n"/>
      <c r="L38" s="9" t="n"/>
      <c r="M38" s="9" t="n"/>
      <c r="N38" s="9">
        <f>2208.78</f>
        <v/>
      </c>
      <c r="O38" s="9">
        <f>123.23+26.5</f>
        <v/>
      </c>
      <c r="P38" s="9" t="n"/>
      <c r="Q38" s="95" t="n"/>
      <c r="R38" s="5" t="n"/>
      <c r="S38" s="96">
        <f>B38*15</f>
        <v/>
      </c>
      <c r="T38" s="95">
        <f>SUM(C38:Q38)</f>
        <v/>
      </c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</row>
    <row r="39" ht="18.75" customHeight="1" s="398">
      <c r="A39" s="88" t="inlineStr">
        <is>
          <t>Paisagismo interno</t>
        </is>
      </c>
      <c r="B39" s="6" t="n">
        <v>100</v>
      </c>
      <c r="C39" s="6" t="n"/>
      <c r="D39" s="7" t="n"/>
      <c r="E39" s="7" t="n"/>
      <c r="F39" s="7" t="n"/>
      <c r="G39" s="7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72" t="n"/>
      <c r="R39" s="5" t="n"/>
      <c r="S39" s="96">
        <f>B39*15</f>
        <v/>
      </c>
      <c r="T39" s="72">
        <f>SUM(C39:Q39)</f>
        <v/>
      </c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</row>
    <row r="40" ht="15.75" customHeight="1" s="398">
      <c r="A40" s="90" t="n"/>
      <c r="B40" s="91" t="n"/>
      <c r="C40" s="91" t="n"/>
      <c r="D40" s="92" t="n"/>
      <c r="E40" s="92" t="n"/>
      <c r="F40" s="92" t="n"/>
      <c r="G40" s="92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3" t="n"/>
      <c r="R40" s="5" t="n"/>
      <c r="S40" s="94" t="n"/>
      <c r="T40" s="9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</row>
    <row r="41" ht="24" customHeight="1" s="398">
      <c r="A41" s="82" t="inlineStr">
        <is>
          <t>MATERIAIS E EQUIPAMENTOS</t>
        </is>
      </c>
      <c r="B41" s="83">
        <f>SUM(B42:B54)</f>
        <v/>
      </c>
      <c r="C41" s="83">
        <f>SUM(C42:C54)</f>
        <v/>
      </c>
      <c r="D41" s="84">
        <f>SUM(D42:D54)</f>
        <v/>
      </c>
      <c r="E41" s="84">
        <f>SUM(E42:E54)</f>
        <v/>
      </c>
      <c r="F41" s="84">
        <f>SUM(F42:F54)</f>
        <v/>
      </c>
      <c r="G41" s="84">
        <f>SUM(G42:G54)</f>
        <v/>
      </c>
      <c r="H41" s="83">
        <f>SUM(H42:H54)</f>
        <v/>
      </c>
      <c r="I41" s="83">
        <f>SUM(I42:I54)</f>
        <v/>
      </c>
      <c r="J41" s="83">
        <f>SUM(J42:J54)</f>
        <v/>
      </c>
      <c r="K41" s="83">
        <f>SUM(K42:K54)</f>
        <v/>
      </c>
      <c r="L41" s="83">
        <f>SUM(L42:L54)</f>
        <v/>
      </c>
      <c r="M41" s="83">
        <f>SUM(M42:M54)</f>
        <v/>
      </c>
      <c r="N41" s="83">
        <f>SUM(N42:N54)</f>
        <v/>
      </c>
      <c r="O41" s="83">
        <f>SUM(O42:O54)</f>
        <v/>
      </c>
      <c r="P41" s="83">
        <f>SUM(P42:P54)</f>
        <v/>
      </c>
      <c r="Q41" s="85">
        <f>SUM(Q42:Q54)</f>
        <v/>
      </c>
      <c r="R41" s="5" t="n"/>
      <c r="S41" s="86">
        <f>SUM(S42:S54)</f>
        <v/>
      </c>
      <c r="T41" s="85">
        <f>SUM(T42:T54)</f>
        <v/>
      </c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 ht="18.75" customHeight="1" s="398">
      <c r="A42" s="87" t="inlineStr">
        <is>
          <t>Cartões para controle de acesso</t>
        </is>
      </c>
      <c r="B42" s="98" t="n">
        <v>100</v>
      </c>
      <c r="C42" s="98" t="n"/>
      <c r="D42" s="99" t="n"/>
      <c r="E42" s="99" t="n"/>
      <c r="F42" s="99" t="n"/>
      <c r="G42" s="99" t="n"/>
      <c r="H42" s="98" t="n"/>
      <c r="I42" s="98" t="n"/>
      <c r="J42" s="98">
        <f>281.4+393.5</f>
        <v/>
      </c>
      <c r="K42" s="98">
        <f>315+647.32</f>
        <v/>
      </c>
      <c r="L42" s="98" t="n"/>
      <c r="M42" s="98" t="n">
        <v>-939</v>
      </c>
      <c r="N42" s="98">
        <f>371</f>
        <v/>
      </c>
      <c r="O42" s="98" t="n"/>
      <c r="P42" s="98" t="n"/>
      <c r="Q42" s="100" t="n"/>
      <c r="R42" s="5" t="n"/>
      <c r="S42" s="101">
        <f>B42*15</f>
        <v/>
      </c>
      <c r="T42" s="100">
        <f>SUM(C42:Q42)</f>
        <v/>
      </c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 ht="18.75" customHeight="1" s="398">
      <c r="A43" s="88" t="inlineStr">
        <is>
          <t>Chaveiro</t>
        </is>
      </c>
      <c r="B43" s="12" t="n">
        <v>20</v>
      </c>
      <c r="C43" s="12">
        <f>56+5.5</f>
        <v/>
      </c>
      <c r="D43" s="13" t="n"/>
      <c r="E43" s="13" t="n"/>
      <c r="F43" s="13" t="n"/>
      <c r="G43" s="13" t="n"/>
      <c r="H43" s="12" t="n"/>
      <c r="I43" s="12">
        <f>50+5.9</f>
        <v/>
      </c>
      <c r="J43" s="12" t="n"/>
      <c r="K43" s="12" t="n"/>
      <c r="L43" s="12" t="n"/>
      <c r="M43" s="12" t="n"/>
      <c r="N43" s="12" t="n"/>
      <c r="O43" s="12" t="n"/>
      <c r="P43" s="12" t="n"/>
      <c r="Q43" s="102" t="n"/>
      <c r="R43" s="5" t="n"/>
      <c r="S43" s="103">
        <f>B43*15</f>
        <v/>
      </c>
      <c r="T43" s="102">
        <f>SUM(C43:Q43)</f>
        <v/>
      </c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 ht="18.75" customHeight="1" s="398">
      <c r="A44" s="71" t="inlineStr">
        <is>
          <t>Lâmpadas</t>
        </is>
      </c>
      <c r="B44" s="12" t="n">
        <v>500</v>
      </c>
      <c r="C44" s="12" t="n"/>
      <c r="D44" s="13" t="n"/>
      <c r="E44" s="13" t="n">
        <v>646.5</v>
      </c>
      <c r="F44" s="13">
        <f>158+350+460+5.9</f>
        <v/>
      </c>
      <c r="G44" s="13">
        <f>302.4+555.42+680+960+1050+17.7+261.91</f>
        <v/>
      </c>
      <c r="H44" s="12" t="n"/>
      <c r="I44" s="12" t="n">
        <v>489.5</v>
      </c>
      <c r="J44" s="12">
        <f>489.5</f>
        <v/>
      </c>
      <c r="K44" s="12">
        <f>54.95+455.2+5.9</f>
        <v/>
      </c>
      <c r="L44" s="12" t="n"/>
      <c r="M44" s="12" t="n"/>
      <c r="N44" s="12" t="n"/>
      <c r="O44" s="12" t="n"/>
      <c r="P44" s="12" t="n"/>
      <c r="Q44" s="102" t="n"/>
      <c r="R44" s="5" t="n"/>
      <c r="S44" s="103">
        <f>B44*15</f>
        <v/>
      </c>
      <c r="T44" s="102">
        <f>SUM(C44:Q44)</f>
        <v/>
      </c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 ht="18.75" customHeight="1" s="398">
      <c r="A45" s="74" t="inlineStr">
        <is>
          <t>Materiais/Serviços Obras Diversas (Alvenaria, Serralheria, Funilaria, Outros)</t>
        </is>
      </c>
      <c r="B45" s="12" t="n">
        <v>400</v>
      </c>
      <c r="C45" s="12">
        <f>196.6</f>
        <v/>
      </c>
      <c r="D45" s="13" t="n">
        <v>242.7</v>
      </c>
      <c r="E45" s="13">
        <f>71.2+13.5+445+345.25</f>
        <v/>
      </c>
      <c r="F45" s="13">
        <f>492.5+305.3+322.5</f>
        <v/>
      </c>
      <c r="G45" s="13">
        <f>238.5+105.64+180.95+837.05</f>
        <v/>
      </c>
      <c r="H45" s="12">
        <f>989.9+483.7+41+560.8+33</f>
        <v/>
      </c>
      <c r="I45" s="12">
        <f>240.01+152.7</f>
        <v/>
      </c>
      <c r="J45" s="12">
        <f>126.2+175</f>
        <v/>
      </c>
      <c r="K45" s="12">
        <f>186.55+226.2+194.9</f>
        <v/>
      </c>
      <c r="L45" s="12">
        <f>49.39+288.2</f>
        <v/>
      </c>
      <c r="M45" s="12" t="n"/>
      <c r="N45" s="12">
        <f>179.75</f>
        <v/>
      </c>
      <c r="O45" s="526">
        <f>20.95+10</f>
        <v/>
      </c>
      <c r="P45" s="12" t="n"/>
      <c r="Q45" s="102" t="n"/>
      <c r="R45" s="5" t="n"/>
      <c r="S45" s="103">
        <f>B45*15</f>
        <v/>
      </c>
      <c r="T45" s="102">
        <f>SUM(C45:Q45)</f>
        <v/>
      </c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 ht="18.75" customHeight="1" s="398">
      <c r="A46" s="88" t="inlineStr">
        <is>
          <t>Material de Ferragem (Elétrica, Hidráulica e Ferramentas)</t>
        </is>
      </c>
      <c r="B46" s="12" t="n">
        <v>600</v>
      </c>
      <c r="C46" s="12">
        <f>33.05+167.2+1359.83</f>
        <v/>
      </c>
      <c r="D46" s="13">
        <f>89.8+89.55+ 127.05+407.1+607+48.15+31.35+5.9</f>
        <v/>
      </c>
      <c r="E46" s="13">
        <f>80.5+123.55+760+5.9+274.8</f>
        <v/>
      </c>
      <c r="F46" s="13">
        <f>984.5+29.7+844.05+54.35+760+17.7</f>
        <v/>
      </c>
      <c r="G46" s="13">
        <f>72+429.9+11.8+15+676.8+135+308.1+420.31+533.95+403.37</f>
        <v/>
      </c>
      <c r="H46" s="12">
        <f>72.3+99.8+124.59+231.85+453.25+174.9+32.6+320.9+1015.55+420+87.7+52.8+379.8</f>
        <v/>
      </c>
      <c r="I46" s="12">
        <f>199.9+238.15+269.5+68+145+5.9+424.95+472.75+229.9+219</f>
        <v/>
      </c>
      <c r="J46" s="12">
        <f>55</f>
        <v/>
      </c>
      <c r="K46" s="12">
        <f>53.7+38.18+199.5+5.9+111.8+198+66.95</f>
        <v/>
      </c>
      <c r="L46" s="12">
        <f>252.65</f>
        <v/>
      </c>
      <c r="M46" s="12">
        <f>56.65+65+16.25+252.95+216.15+69.75+61.7</f>
        <v/>
      </c>
      <c r="N46" s="12">
        <f>129.5+110.95+50.6+65.25+158.01+427.22</f>
        <v/>
      </c>
      <c r="O46" s="12">
        <f>69.95+242.25+159.9+43.34</f>
        <v/>
      </c>
      <c r="P46" s="12">
        <f>90.5+196+320.2</f>
        <v/>
      </c>
      <c r="Q46" s="102">
        <f>298.45+93.45</f>
        <v/>
      </c>
      <c r="R46" s="5" t="n"/>
      <c r="S46" s="103">
        <f>B46*15</f>
        <v/>
      </c>
      <c r="T46" s="102">
        <f>SUM(C46:Q46)</f>
        <v/>
      </c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</row>
    <row r="47" ht="18.75" customHeight="1" s="398">
      <c r="A47" s="71" t="inlineStr">
        <is>
          <t>Material Expediente Interno</t>
        </is>
      </c>
      <c r="B47" s="12" t="n">
        <v>300</v>
      </c>
      <c r="C47" s="12">
        <f>145.5+100.08</f>
        <v/>
      </c>
      <c r="D47" s="13" t="n">
        <v>100.08</v>
      </c>
      <c r="E47" s="13" t="n">
        <v>207.64</v>
      </c>
      <c r="F47" s="12" t="n"/>
      <c r="G47" s="13">
        <f>215.73+100.08</f>
        <v/>
      </c>
      <c r="H47" s="12">
        <f>385.65+374.72+5.9</f>
        <v/>
      </c>
      <c r="I47" s="12">
        <f>89.99+50+275.98+104+36.9</f>
        <v/>
      </c>
      <c r="J47" s="12">
        <f>199.02+100.08</f>
        <v/>
      </c>
      <c r="K47" s="12">
        <f>226.53+100.08</f>
        <v/>
      </c>
      <c r="L47" s="6">
        <f>239.9+29.9+54.8</f>
        <v/>
      </c>
      <c r="M47" s="12">
        <f>82.23</f>
        <v/>
      </c>
      <c r="N47" s="12" t="n"/>
      <c r="O47" s="6">
        <f>343.2</f>
        <v/>
      </c>
      <c r="P47" s="12" t="n"/>
      <c r="Q47" s="102" t="n"/>
      <c r="R47" s="5" t="n"/>
      <c r="S47" s="103">
        <f>B47*15</f>
        <v/>
      </c>
      <c r="T47" s="102">
        <f>SUM(C47:Q47)</f>
        <v/>
      </c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</row>
    <row r="48" ht="18.75" customHeight="1" s="398">
      <c r="A48" s="88" t="inlineStr">
        <is>
          <t>Material Limpeza/Consumíveis</t>
        </is>
      </c>
      <c r="B48" s="6" t="n">
        <v>1500</v>
      </c>
      <c r="C48" s="6" t="n">
        <v>793.26</v>
      </c>
      <c r="D48" s="7" t="n">
        <v>399.38</v>
      </c>
      <c r="E48" s="7">
        <f>598.59+ 391.1+522.62</f>
        <v/>
      </c>
      <c r="F48" s="7">
        <f>400.06+1048.72</f>
        <v/>
      </c>
      <c r="G48" s="7">
        <f>337.92+593.4+1155.08+36</f>
        <v/>
      </c>
      <c r="H48" s="6">
        <f>139.9+1667.43+741.75+5.9+803.3+881.32</f>
        <v/>
      </c>
      <c r="I48" s="6">
        <f>620.23+242.04</f>
        <v/>
      </c>
      <c r="J48" s="15">
        <f>922.55+270.44+869.05</f>
        <v/>
      </c>
      <c r="K48" s="6">
        <f>280.84+1216.86</f>
        <v/>
      </c>
      <c r="L48" s="6">
        <f>1496.99+244.27+315+149.52</f>
        <v/>
      </c>
      <c r="M48" s="6">
        <f>1722.08</f>
        <v/>
      </c>
      <c r="N48" s="6">
        <f>342.56+316.46+269.63+251.67</f>
        <v/>
      </c>
      <c r="O48" s="6">
        <f>847.3+343.2+186.67+879.93</f>
        <v/>
      </c>
      <c r="P48" s="6">
        <f>323.55+529.46</f>
        <v/>
      </c>
      <c r="Q48" s="72" t="n"/>
      <c r="R48" s="5" t="n"/>
      <c r="S48" s="103">
        <f>B48*15</f>
        <v/>
      </c>
      <c r="T48" s="72">
        <f>SUM(C48:Q48)</f>
        <v/>
      </c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</row>
    <row r="49" ht="18.75" customHeight="1" s="398">
      <c r="A49" s="88" t="inlineStr">
        <is>
          <t>Peças elevador</t>
        </is>
      </c>
      <c r="B49" s="6" t="n">
        <v>1100</v>
      </c>
      <c r="C49" s="6" t="n"/>
      <c r="D49" s="7">
        <f>77.7+765.14+42.34</f>
        <v/>
      </c>
      <c r="E49" s="7" t="n">
        <v>39.38</v>
      </c>
      <c r="F49" s="7" t="n"/>
      <c r="G49" s="7">
        <f>467.38+902.68</f>
        <v/>
      </c>
      <c r="H49" s="6" t="n">
        <v>394.36</v>
      </c>
      <c r="I49" s="6">
        <f>20.3+41.05+741.84</f>
        <v/>
      </c>
      <c r="J49" s="6">
        <f>38.18+41.05+741.84</f>
        <v/>
      </c>
      <c r="K49" s="6">
        <f>38.18</f>
        <v/>
      </c>
      <c r="L49" s="6" t="n"/>
      <c r="M49" s="6" t="n"/>
      <c r="N49" s="6" t="n"/>
      <c r="O49" s="6" t="n"/>
      <c r="P49" s="6" t="n"/>
      <c r="Q49" s="72" t="n"/>
      <c r="R49" s="5" t="n"/>
      <c r="S49" s="103">
        <f>B49*15</f>
        <v/>
      </c>
      <c r="T49" s="72">
        <f>SUM(C49:Q49)</f>
        <v/>
      </c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</row>
    <row r="50" ht="18.75" customHeight="1" s="398">
      <c r="A50" s="88" t="inlineStr">
        <is>
          <t>Móveis e Utensílios</t>
        </is>
      </c>
      <c r="B50" s="6" t="n">
        <v>500</v>
      </c>
      <c r="C50" s="6" t="n">
        <v>1044.14</v>
      </c>
      <c r="D50" s="13">
        <f>5.9+1681+5.9+1044.14</f>
        <v/>
      </c>
      <c r="E50" s="7">
        <f>1044.14+402</f>
        <v/>
      </c>
      <c r="F50" s="7">
        <f>1044.14</f>
        <v/>
      </c>
      <c r="G50" s="7" t="n">
        <v>1044.14</v>
      </c>
      <c r="H50" s="6">
        <f>779.9+11.8+3849+289.99</f>
        <v/>
      </c>
      <c r="I50" s="6">
        <f>266.68+823.04</f>
        <v/>
      </c>
      <c r="J50" s="6">
        <f>266.66</f>
        <v/>
      </c>
      <c r="K50" s="6">
        <f>266.66+184.45</f>
        <v/>
      </c>
      <c r="L50" s="6">
        <f>113.9+2.49</f>
        <v/>
      </c>
      <c r="M50" s="6" t="n"/>
      <c r="N50" s="6">
        <f>498</f>
        <v/>
      </c>
      <c r="O50" s="6" t="n"/>
      <c r="P50" s="6">
        <f>2254</f>
        <v/>
      </c>
      <c r="Q50" s="72" t="n"/>
      <c r="R50" s="5" t="n"/>
      <c r="S50" s="103">
        <f>B50*15</f>
        <v/>
      </c>
      <c r="T50" s="72">
        <f>SUM(C50:Q50)</f>
        <v/>
      </c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</row>
    <row r="51" ht="18.75" customHeight="1" s="398">
      <c r="A51" s="71" t="inlineStr">
        <is>
          <t>Peças Ar Condicionado/Exaustores</t>
        </is>
      </c>
      <c r="B51" s="6" t="n">
        <v>900</v>
      </c>
      <c r="C51" s="6" t="n"/>
      <c r="D51" s="7" t="n"/>
      <c r="E51" s="7" t="n"/>
      <c r="F51" s="7" t="n"/>
      <c r="G51" s="7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>
        <f>404.66+280</f>
        <v/>
      </c>
      <c r="Q51" s="72" t="n"/>
      <c r="R51" s="5" t="n"/>
      <c r="S51" s="103">
        <f>B51*15</f>
        <v/>
      </c>
      <c r="T51" s="72">
        <f>SUM(C51:Q51)</f>
        <v/>
      </c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</row>
    <row r="52" ht="18.75" customHeight="1" s="398">
      <c r="A52" s="74" t="inlineStr">
        <is>
          <t>Peças de reposição para extintores e hidrantes e recargas eventuais</t>
        </is>
      </c>
      <c r="B52" s="6" t="n">
        <v>50</v>
      </c>
      <c r="C52" s="6" t="n"/>
      <c r="D52" s="7" t="n"/>
      <c r="E52" s="7" t="n"/>
      <c r="F52" s="7">
        <f>1500+5.9</f>
        <v/>
      </c>
      <c r="G52" s="7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72" t="n"/>
      <c r="R52" s="5" t="n"/>
      <c r="S52" s="103">
        <f>B52*15</f>
        <v/>
      </c>
      <c r="T52" s="72">
        <f>SUM(C52:Q52)</f>
        <v/>
      </c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</row>
    <row r="53" ht="18.75" customHeight="1" s="398">
      <c r="A53" s="104" t="inlineStr">
        <is>
          <t>Peças para Grupo Gerador, limpeza semestral filtro e óleo e óleo diesel</t>
        </is>
      </c>
      <c r="B53" s="6" t="n">
        <v>270</v>
      </c>
      <c r="C53" s="6" t="n"/>
      <c r="D53" s="7" t="n"/>
      <c r="E53" s="7" t="n"/>
      <c r="F53" s="7" t="n"/>
      <c r="G53" s="7" t="n"/>
      <c r="H53" s="6" t="n"/>
      <c r="I53" s="6" t="n"/>
      <c r="J53" s="6">
        <f>362.5</f>
        <v/>
      </c>
      <c r="K53" s="6" t="n"/>
      <c r="L53" s="6" t="n"/>
      <c r="M53" s="6" t="n"/>
      <c r="N53" s="6" t="n"/>
      <c r="O53" s="6" t="n"/>
      <c r="P53" s="6">
        <f>912.5</f>
        <v/>
      </c>
      <c r="Q53" s="72" t="n"/>
      <c r="R53" s="5" t="n"/>
      <c r="S53" s="103">
        <f>B53*15</f>
        <v/>
      </c>
      <c r="T53" s="72">
        <f>SUM(C53:Q53)</f>
        <v/>
      </c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 ht="18.75" customHeight="1" s="398">
      <c r="A54" s="88" t="inlineStr">
        <is>
          <t>Peças para manutenção das catracas</t>
        </is>
      </c>
      <c r="B54" s="6" t="n">
        <v>180</v>
      </c>
      <c r="C54" s="6" t="n"/>
      <c r="D54" s="7" t="n"/>
      <c r="E54" s="7" t="n"/>
      <c r="F54" s="7" t="n"/>
      <c r="G54" s="7" t="n"/>
      <c r="H54" s="6" t="n"/>
      <c r="I54" s="6" t="n"/>
      <c r="J54" s="6" t="n"/>
      <c r="K54" s="6" t="n"/>
      <c r="L54" s="6" t="n"/>
      <c r="M54" s="6">
        <f>60</f>
        <v/>
      </c>
      <c r="N54" s="6" t="n"/>
      <c r="O54" s="6" t="n"/>
      <c r="P54" s="3" t="n"/>
      <c r="Q54" s="72" t="n"/>
      <c r="R54" s="5" t="n"/>
      <c r="S54" s="103">
        <f>B54*15</f>
        <v/>
      </c>
      <c r="T54" s="72">
        <f>SUM(C54:Q54)</f>
        <v/>
      </c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 ht="15.75" customHeight="1" s="398">
      <c r="A55" s="77" t="n"/>
      <c r="B55" s="105" t="n"/>
      <c r="C55" s="105" t="n"/>
      <c r="D55" s="106" t="n"/>
      <c r="E55" s="106" t="n"/>
      <c r="F55" s="106" t="n"/>
      <c r="G55" s="106" t="n"/>
      <c r="H55" s="105" t="n"/>
      <c r="I55" s="105" t="n"/>
      <c r="J55" s="105" t="n"/>
      <c r="K55" s="105" t="n"/>
      <c r="L55" s="105" t="n"/>
      <c r="M55" s="105" t="n"/>
      <c r="N55" s="105" t="n"/>
      <c r="O55" s="105" t="n"/>
      <c r="P55" s="105" t="n"/>
      <c r="Q55" s="107" t="n"/>
      <c r="R55" s="5" t="n"/>
      <c r="S55" s="108" t="n"/>
      <c r="T55" s="107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 ht="24" customHeight="1" s="398">
      <c r="A56" s="82" t="inlineStr">
        <is>
          <t>DESPESAS  ADMINISTRATIVAS</t>
        </is>
      </c>
      <c r="B56" s="83">
        <f>SUM(B57:B63)</f>
        <v/>
      </c>
      <c r="C56" s="83">
        <f>SUM(C57:C63)</f>
        <v/>
      </c>
      <c r="D56" s="84">
        <f>SUM(D57:D63)</f>
        <v/>
      </c>
      <c r="E56" s="84">
        <f>SUM(E57:E63)</f>
        <v/>
      </c>
      <c r="F56" s="84">
        <f>SUM(F57:F63)</f>
        <v/>
      </c>
      <c r="G56" s="84">
        <f>SUM(G57:G63)</f>
        <v/>
      </c>
      <c r="H56" s="83">
        <f>SUM(H57:H63)</f>
        <v/>
      </c>
      <c r="I56" s="83">
        <f>SUM(I57:I63)</f>
        <v/>
      </c>
      <c r="J56" s="83">
        <f>SUM(J57:J63)</f>
        <v/>
      </c>
      <c r="K56" s="83">
        <f>SUM(K57:K63)</f>
        <v/>
      </c>
      <c r="L56" s="83">
        <f>SUM(L57:L63)</f>
        <v/>
      </c>
      <c r="M56" s="83">
        <f>SUM(M57:M63)</f>
        <v/>
      </c>
      <c r="N56" s="83">
        <f>SUM(N57:N63)</f>
        <v/>
      </c>
      <c r="O56" s="83">
        <f>SUM(O57:O63)</f>
        <v/>
      </c>
      <c r="P56" s="83">
        <f>SUM(P57:P63)</f>
        <v/>
      </c>
      <c r="Q56" s="85">
        <f>SUM(Q57:Q63)</f>
        <v/>
      </c>
      <c r="R56" s="5" t="n"/>
      <c r="S56" s="86">
        <f>SUM(S57:S63)</f>
        <v/>
      </c>
      <c r="T56" s="85">
        <f>SUM(T57:T63)</f>
        <v/>
      </c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</row>
    <row r="57" ht="18.75" customHeight="1" s="398">
      <c r="A57" s="109" t="inlineStr">
        <is>
          <t>Telefonia/Internet- apenas telefone, internet comodato</t>
        </is>
      </c>
      <c r="B57" s="110" t="n">
        <v>108.48</v>
      </c>
      <c r="C57" s="110">
        <f>23.99+279.65</f>
        <v/>
      </c>
      <c r="D57" s="111">
        <f>23.99+86.66</f>
        <v/>
      </c>
      <c r="E57" s="111">
        <f>22.31+135.64</f>
        <v/>
      </c>
      <c r="F57" s="111">
        <f>24.68+139.36</f>
        <v/>
      </c>
      <c r="G57" s="111">
        <f>24.67+36.58</f>
        <v/>
      </c>
      <c r="H57" s="110">
        <f>24.67</f>
        <v/>
      </c>
      <c r="I57" s="110">
        <f>24.67+39.9</f>
        <v/>
      </c>
      <c r="J57" s="110">
        <f>59.85</f>
        <v/>
      </c>
      <c r="K57" s="110">
        <f>49.44</f>
        <v/>
      </c>
      <c r="L57" s="110">
        <f>57.05</f>
        <v/>
      </c>
      <c r="M57" s="110">
        <f>50.44</f>
        <v/>
      </c>
      <c r="N57" s="110">
        <f>53.03</f>
        <v/>
      </c>
      <c r="O57" s="110">
        <f>58.87</f>
        <v/>
      </c>
      <c r="P57" s="110">
        <f>55.59</f>
        <v/>
      </c>
      <c r="Q57" s="112" t="n"/>
      <c r="R57" s="5" t="n"/>
      <c r="S57" s="113">
        <f>B57*15</f>
        <v/>
      </c>
      <c r="T57" s="112">
        <f>SUM(C57:Q57)</f>
        <v/>
      </c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</row>
    <row r="58" ht="18.75" customHeight="1" s="398">
      <c r="A58" s="114" t="inlineStr">
        <is>
          <t>Impressões/Cópias</t>
        </is>
      </c>
      <c r="B58" s="9" t="n">
        <v>70</v>
      </c>
      <c r="C58" s="9">
        <f>135.32+105+5.5</f>
        <v/>
      </c>
      <c r="D58" s="8" t="n">
        <v>195.52</v>
      </c>
      <c r="E58" s="8" t="n">
        <v>53.62</v>
      </c>
      <c r="F58" s="8" t="n">
        <v>56.63</v>
      </c>
      <c r="G58" s="8">
        <f>309.9</f>
        <v/>
      </c>
      <c r="H58" s="9" t="n">
        <v>70.39</v>
      </c>
      <c r="I58" s="9" t="n">
        <v>72.97</v>
      </c>
      <c r="J58" s="9">
        <f>70.82</f>
        <v/>
      </c>
      <c r="K58" s="9">
        <f>73.83</f>
        <v/>
      </c>
      <c r="L58" s="9" t="n"/>
      <c r="M58" s="9" t="n"/>
      <c r="N58" s="9" t="n"/>
      <c r="O58" s="9" t="n"/>
      <c r="P58" s="9" t="n"/>
      <c r="Q58" s="95" t="n"/>
      <c r="R58" s="5" t="n"/>
      <c r="S58" s="96">
        <f>B58*15</f>
        <v/>
      </c>
      <c r="T58" s="95">
        <f>SUM(C58:Q58)</f>
        <v/>
      </c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</row>
    <row r="59" ht="18.75" customHeight="1" s="398">
      <c r="A59" s="114" t="inlineStr">
        <is>
          <t xml:space="preserve">Correio/Remessa Correspondências/Motoboy/Diversas </t>
        </is>
      </c>
      <c r="B59" s="9" t="n">
        <v>260</v>
      </c>
      <c r="C59" s="9">
        <f>20.54+82.05+27.35</f>
        <v/>
      </c>
      <c r="D59" s="8" t="n"/>
      <c r="E59" s="8" t="n">
        <v>17.7</v>
      </c>
      <c r="F59" s="8" t="n">
        <v>30.81</v>
      </c>
      <c r="G59" s="8" t="n"/>
      <c r="H59" s="9" t="n">
        <v>67.44</v>
      </c>
      <c r="I59" s="9" t="n"/>
      <c r="J59" s="9">
        <f>20.54</f>
        <v/>
      </c>
      <c r="K59" s="9" t="n"/>
      <c r="L59" s="9">
        <f>22.84+108.51+22.84+5.9+5.9</f>
        <v/>
      </c>
      <c r="M59" s="9" t="n"/>
      <c r="N59" s="9">
        <f>43.52+29.92+32.92</f>
        <v/>
      </c>
      <c r="O59" s="9">
        <f>277.5</f>
        <v/>
      </c>
      <c r="P59" s="9">
        <f>128.84+2.49</f>
        <v/>
      </c>
      <c r="Q59" s="95">
        <f>226.21</f>
        <v/>
      </c>
      <c r="R59" s="5" t="n"/>
      <c r="S59" s="96">
        <f>B59*15</f>
        <v/>
      </c>
      <c r="T59" s="95">
        <f>SUM(C59:Q59)</f>
        <v/>
      </c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</row>
    <row r="60" ht="18.75" customHeight="1" s="398">
      <c r="A60" s="114" t="inlineStr">
        <is>
          <t>Impostos - DIRF/DARF/ISSQN/PIS/COFINS</t>
        </is>
      </c>
      <c r="B60" s="16" t="n">
        <v>100</v>
      </c>
      <c r="C60" s="16" t="n">
        <v>42</v>
      </c>
      <c r="D60" s="17" t="n">
        <v>42</v>
      </c>
      <c r="E60" s="17" t="n">
        <v>42</v>
      </c>
      <c r="F60" s="17" t="n">
        <v>42</v>
      </c>
      <c r="G60" s="17" t="n">
        <v>42</v>
      </c>
      <c r="H60" s="16" t="n">
        <v>42</v>
      </c>
      <c r="I60" s="16" t="n">
        <v>84</v>
      </c>
      <c r="J60" s="16">
        <f>3037.26+2702.99+84</f>
        <v/>
      </c>
      <c r="K60" s="16">
        <f>84</f>
        <v/>
      </c>
      <c r="L60" s="16" t="n"/>
      <c r="M60" s="16" t="n"/>
      <c r="N60" s="16">
        <f>5213.59+9207.05+604.2+0.03+338.09+376.03+55.8+75.52+12709.04</f>
        <v/>
      </c>
      <c r="O60" s="16">
        <f>19.78+26.99+24.37+117.28+70.93+55.8+15870.69+218.33</f>
        <v/>
      </c>
      <c r="P60" s="16">
        <f>55.8+14537.03+76.63+191.58</f>
        <v/>
      </c>
      <c r="Q60" s="115" t="n"/>
      <c r="R60" s="5" t="n"/>
      <c r="S60" s="96">
        <f>B60*15</f>
        <v/>
      </c>
      <c r="T60" s="95">
        <f>SUM(C60:Q60)</f>
        <v/>
      </c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</row>
    <row r="61" ht="18.75" customHeight="1" s="398">
      <c r="A61" s="116" t="inlineStr">
        <is>
          <t>Material Expediente APL</t>
        </is>
      </c>
      <c r="B61" s="9" t="n">
        <v>100</v>
      </c>
      <c r="C61" s="9">
        <f>172.51+410.97</f>
        <v/>
      </c>
      <c r="D61" s="8" t="n"/>
      <c r="E61" s="8" t="n">
        <v>100.08</v>
      </c>
      <c r="F61" s="8" t="n">
        <v>100.08</v>
      </c>
      <c r="G61" s="8" t="n"/>
      <c r="H61" s="9" t="n">
        <v>100.08</v>
      </c>
      <c r="I61" s="9" t="n">
        <v>100.08</v>
      </c>
      <c r="J61" s="9" t="n"/>
      <c r="K61" s="9" t="n"/>
      <c r="L61" s="9" t="n"/>
      <c r="M61" s="9" t="n"/>
      <c r="N61" s="9" t="n">
        <v>23.29</v>
      </c>
      <c r="O61" s="9" t="n"/>
      <c r="P61" s="9" t="n"/>
      <c r="Q61" s="95" t="n"/>
      <c r="R61" s="5" t="n"/>
      <c r="S61" s="96">
        <f>B61*15</f>
        <v/>
      </c>
      <c r="T61" s="95">
        <f>SUM(C61:Q61)</f>
        <v/>
      </c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</row>
    <row r="62" ht="18.75" customHeight="1" s="398">
      <c r="A62" s="116" t="inlineStr">
        <is>
          <t xml:space="preserve">Taxa Desepesas com Assembleia </t>
        </is>
      </c>
      <c r="B62" s="16" t="n">
        <v>50</v>
      </c>
      <c r="C62" s="16" t="n"/>
      <c r="D62" s="17" t="n">
        <v>258.1</v>
      </c>
      <c r="E62" s="17" t="n"/>
      <c r="F62" s="17" t="n"/>
      <c r="G62" s="17" t="n"/>
      <c r="H62" s="16" t="n">
        <v>235.85</v>
      </c>
      <c r="I62" s="16" t="n"/>
      <c r="J62" s="16" t="n"/>
      <c r="K62" s="16" t="n"/>
      <c r="L62" s="16" t="n"/>
      <c r="M62" s="16" t="n"/>
      <c r="N62" s="16" t="n">
        <v>360</v>
      </c>
      <c r="O62" s="16" t="n"/>
      <c r="P62" s="16" t="n"/>
      <c r="Q62" s="115" t="n"/>
      <c r="R62" s="5" t="n"/>
      <c r="S62" s="96">
        <f>B62*15</f>
        <v/>
      </c>
      <c r="T62" s="95">
        <f>SUM(C62:Q62)</f>
        <v/>
      </c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</row>
    <row r="63" ht="18.75" customHeight="1" s="398">
      <c r="A63" s="114" t="inlineStr">
        <is>
          <t>Custas Judiciais</t>
        </is>
      </c>
      <c r="B63" s="9" t="n">
        <v>100</v>
      </c>
      <c r="C63" s="9" t="n"/>
      <c r="D63" s="8" t="n"/>
      <c r="E63" s="8" t="n"/>
      <c r="F63" s="8" t="n"/>
      <c r="G63" s="8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5" t="n"/>
      <c r="R63" s="5" t="n"/>
      <c r="S63" s="96">
        <f>B63*15</f>
        <v/>
      </c>
      <c r="T63" s="95">
        <f>SUM(C63:Q63)</f>
        <v/>
      </c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</row>
    <row r="64" ht="15.75" customHeight="1" s="398">
      <c r="A64" s="117" t="n"/>
      <c r="B64" s="118" t="n"/>
      <c r="C64" s="118" t="n"/>
      <c r="D64" s="119" t="n"/>
      <c r="E64" s="119" t="n"/>
      <c r="F64" s="119" t="n"/>
      <c r="G64" s="119" t="n"/>
      <c r="H64" s="118" t="n"/>
      <c r="I64" s="118" t="n"/>
      <c r="J64" s="118" t="n"/>
      <c r="K64" s="118" t="n"/>
      <c r="L64" s="118" t="n"/>
      <c r="M64" s="118" t="n"/>
      <c r="N64" s="118" t="n"/>
      <c r="O64" s="118" t="n"/>
      <c r="P64" s="118" t="n"/>
      <c r="Q64" s="120" t="n"/>
      <c r="R64" s="5" t="n"/>
      <c r="S64" s="121" t="n"/>
      <c r="T64" s="120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</row>
    <row r="65" ht="24" customHeight="1" s="398">
      <c r="A65" s="122" t="inlineStr">
        <is>
          <t xml:space="preserve">COTA </t>
        </is>
      </c>
      <c r="B65" s="83">
        <f>SUM(B3,B19,B31,B41,B56)</f>
        <v/>
      </c>
      <c r="C65" s="83">
        <f>SUM(C3,C19,C31,C41,C56)</f>
        <v/>
      </c>
      <c r="D65" s="84">
        <f>SUM(D3,D19,D31,D41,D56)</f>
        <v/>
      </c>
      <c r="E65" s="84">
        <f>SUM(E3,E19,E31,E41,E56)</f>
        <v/>
      </c>
      <c r="F65" s="84">
        <f>SUM(F3,F19,F31,F41,F56)</f>
        <v/>
      </c>
      <c r="G65" s="84">
        <f>SUM(G3,G19,G31,G41,G56)</f>
        <v/>
      </c>
      <c r="H65" s="83">
        <f>SUM(H3,H19,H31,H41,H56)</f>
        <v/>
      </c>
      <c r="I65" s="83">
        <f>SUM(I3,I19,I31,I41,I56)</f>
        <v/>
      </c>
      <c r="J65" s="83">
        <f>SUM(J3,J19,J31,J41,J56)</f>
        <v/>
      </c>
      <c r="K65" s="83">
        <f>SUM(K3,K19,K31,K41,K56)</f>
        <v/>
      </c>
      <c r="L65" s="83">
        <f>SUM(L3,L19,L31,L41,L56)</f>
        <v/>
      </c>
      <c r="M65" s="83">
        <f>SUM(M3,M19,M31,M41,M56)</f>
        <v/>
      </c>
      <c r="N65" s="83">
        <f>SUM(N3,N19,N31,N41,N56)</f>
        <v/>
      </c>
      <c r="O65" s="83">
        <f>SUM(O3,O19,O31,O41,O56)</f>
        <v/>
      </c>
      <c r="P65" s="83">
        <f>SUM(P3,P19,P31,P41,P56)</f>
        <v/>
      </c>
      <c r="Q65" s="85">
        <f>SUM(Q3,Q19,Q31,Q41,Q56)</f>
        <v/>
      </c>
      <c r="R65" s="5" t="n"/>
      <c r="S65" s="86">
        <f>SUM(S3,S19,S31,S41,S56)</f>
        <v/>
      </c>
      <c r="T65" s="85">
        <f>SUM(T3,T19,T31,T41,T56)</f>
        <v/>
      </c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 ht="15.75" customHeight="1" s="398">
      <c r="A66" s="19" t="n"/>
      <c r="B66" s="20" t="n"/>
      <c r="C66" s="20" t="n"/>
      <c r="D66" s="21" t="n"/>
      <c r="E66" s="21" t="n"/>
      <c r="F66" s="21" t="n"/>
      <c r="G66" s="21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5" t="n"/>
      <c r="S66" s="20" t="n"/>
      <c r="T66" s="20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 ht="24" customHeight="1" s="398">
      <c r="A67" s="82" t="inlineStr">
        <is>
          <t xml:space="preserve">DESPESAS VARIÁVEIS </t>
        </is>
      </c>
      <c r="B67" s="83">
        <f>SUM(B68:B70)</f>
        <v/>
      </c>
      <c r="C67" s="83">
        <f>SUM(C68:C70)</f>
        <v/>
      </c>
      <c r="D67" s="84">
        <f>SUM(D68:D70)</f>
        <v/>
      </c>
      <c r="E67" s="84">
        <f>SUM(E68:E70)</f>
        <v/>
      </c>
      <c r="F67" s="84">
        <f>SUM(F68:F70)</f>
        <v/>
      </c>
      <c r="G67" s="84">
        <f>SUM(G68:G70)</f>
        <v/>
      </c>
      <c r="H67" s="83">
        <f>SUM(H68:H70)</f>
        <v/>
      </c>
      <c r="I67" s="83">
        <f>SUM(I68:I70)</f>
        <v/>
      </c>
      <c r="J67" s="83">
        <f>SUM(J68:J70)</f>
        <v/>
      </c>
      <c r="K67" s="83">
        <f>SUM(K68:K70)</f>
        <v/>
      </c>
      <c r="L67" s="83">
        <f>SUM(L68:L70)</f>
        <v/>
      </c>
      <c r="M67" s="83">
        <f>SUM(M68:M70)</f>
        <v/>
      </c>
      <c r="N67" s="83">
        <f>SUM(N68:N70)</f>
        <v/>
      </c>
      <c r="O67" s="83">
        <f>SUM(O68:O70)</f>
        <v/>
      </c>
      <c r="P67" s="83">
        <f>SUM(P68:P70)</f>
        <v/>
      </c>
      <c r="Q67" s="85">
        <f>SUM(Q68:Q70)</f>
        <v/>
      </c>
      <c r="R67" s="5" t="n"/>
      <c r="S67" s="86">
        <f>SUM(S68:S70)</f>
        <v/>
      </c>
      <c r="T67" s="85">
        <f>SUM(T68:T70)</f>
        <v/>
      </c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 ht="18.75" customHeight="1" s="398">
      <c r="A68" s="123" t="inlineStr">
        <is>
          <t>Água e Esgoto - Área Comum</t>
        </is>
      </c>
      <c r="B68" s="124" t="inlineStr">
        <is>
          <t>-</t>
        </is>
      </c>
      <c r="C68" s="124" t="n">
        <v>8039.3</v>
      </c>
      <c r="D68" s="125" t="n">
        <v>8039.3</v>
      </c>
      <c r="E68" s="125" t="n">
        <v>8039.3</v>
      </c>
      <c r="F68" s="125" t="n">
        <v>8039.3</v>
      </c>
      <c r="G68" s="125">
        <f>8039.3</f>
        <v/>
      </c>
      <c r="H68" s="124" t="n">
        <v>8039.3</v>
      </c>
      <c r="I68" s="124" t="n">
        <v>8039.3</v>
      </c>
      <c r="J68" s="124">
        <f>8039.3</f>
        <v/>
      </c>
      <c r="K68" s="124" t="n">
        <v>8039.3</v>
      </c>
      <c r="L68" s="124">
        <f>8039.3</f>
        <v/>
      </c>
      <c r="M68" s="124">
        <f>9100.72</f>
        <v/>
      </c>
      <c r="N68" s="124">
        <f>12379.17</f>
        <v/>
      </c>
      <c r="O68" s="124" t="n">
        <v>9100.719999999999</v>
      </c>
      <c r="P68" s="124">
        <f>10633.73</f>
        <v/>
      </c>
      <c r="Q68" s="126" t="n"/>
      <c r="R68" s="5" t="n"/>
      <c r="S68" s="127" t="n"/>
      <c r="T68" s="126">
        <f>SUM(C68:Q68)</f>
        <v/>
      </c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</row>
    <row r="69" ht="18.75" customHeight="1" s="398">
      <c r="A69" s="128" t="inlineStr">
        <is>
          <t>Energia Elétrica - Área Comum</t>
        </is>
      </c>
      <c r="B69" s="22" t="inlineStr">
        <is>
          <t>-</t>
        </is>
      </c>
      <c r="C69" s="22" t="n">
        <v>33316.03</v>
      </c>
      <c r="D69" s="23" t="n">
        <v>33993.82</v>
      </c>
      <c r="E69" s="23" t="n">
        <v>28198.36</v>
      </c>
      <c r="F69" s="23" t="n">
        <v>31315.78</v>
      </c>
      <c r="G69" s="23" t="n">
        <v>25533.33</v>
      </c>
      <c r="H69" s="22" t="n">
        <v>22803.23</v>
      </c>
      <c r="I69" s="22" t="n">
        <v>19739.97</v>
      </c>
      <c r="J69" s="22" t="n">
        <v>19690.48</v>
      </c>
      <c r="K69" s="22" t="n">
        <v>20057.75</v>
      </c>
      <c r="L69" s="22">
        <f>18325.29</f>
        <v/>
      </c>
      <c r="M69" s="22">
        <f>18573.55</f>
        <v/>
      </c>
      <c r="N69" s="22" t="n">
        <v>19116.52</v>
      </c>
      <c r="O69" s="22">
        <f>21403.23</f>
        <v/>
      </c>
      <c r="P69" s="22" t="n"/>
      <c r="Q69" s="129" t="n">
        <v>22347.4</v>
      </c>
      <c r="R69" s="5" t="n"/>
      <c r="S69" s="130" t="n"/>
      <c r="T69" s="129">
        <f>SUM(C69:Q69)</f>
        <v/>
      </c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</row>
    <row r="70" ht="18.75" customHeight="1" s="398">
      <c r="A70" s="131" t="inlineStr">
        <is>
          <t>Seguro fogo</t>
        </is>
      </c>
      <c r="B70" s="132" t="inlineStr">
        <is>
          <t>-</t>
        </is>
      </c>
      <c r="C70" s="132" t="n"/>
      <c r="D70" s="133" t="n"/>
      <c r="E70" s="133" t="n"/>
      <c r="F70" s="133" t="n"/>
      <c r="G70" s="133" t="n"/>
      <c r="H70" s="132" t="n"/>
      <c r="I70" s="132" t="n"/>
      <c r="J70" s="132">
        <f>6690.63</f>
        <v/>
      </c>
      <c r="K70" s="132" t="n"/>
      <c r="L70" s="132">
        <f>6690.63-3895.02</f>
        <v/>
      </c>
      <c r="M70" s="132">
        <f>6690.63</f>
        <v/>
      </c>
      <c r="N70" s="132">
        <f>6690.63</f>
        <v/>
      </c>
      <c r="O70" s="132" t="n"/>
      <c r="P70" s="132" t="n"/>
      <c r="Q70" s="134" t="n"/>
      <c r="R70" s="5" t="n"/>
      <c r="S70" s="135" t="n"/>
      <c r="T70" s="134">
        <f>SUM(C70:Q70)</f>
        <v/>
      </c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</row>
    <row r="71" ht="15.75" customHeight="1" s="398">
      <c r="A71" s="18" t="n"/>
      <c r="B71" s="16" t="n"/>
      <c r="C71" s="16" t="n"/>
      <c r="D71" s="17" t="n"/>
      <c r="E71" s="17" t="n"/>
      <c r="F71" s="17" t="n"/>
      <c r="G71" s="17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5" t="n"/>
      <c r="S71" s="16" t="n"/>
      <c r="T71" s="16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</row>
    <row r="72" ht="24" customHeight="1" s="398">
      <c r="A72" s="82" t="inlineStr">
        <is>
          <t>OUTRAS DESPESAS</t>
        </is>
      </c>
      <c r="B72" s="83">
        <f>SUM(B73:B76)</f>
        <v/>
      </c>
      <c r="C72" s="83">
        <f>SUM(C73:C76)</f>
        <v/>
      </c>
      <c r="D72" s="84">
        <f>SUM(D73:D76)</f>
        <v/>
      </c>
      <c r="E72" s="84">
        <f>SUM(E73:E76)</f>
        <v/>
      </c>
      <c r="F72" s="84">
        <f>SUM(F73:F76)</f>
        <v/>
      </c>
      <c r="G72" s="84">
        <f>SUM(G73:G76)</f>
        <v/>
      </c>
      <c r="H72" s="83">
        <f>SUM(H73:H76)</f>
        <v/>
      </c>
      <c r="I72" s="83">
        <f>SUM(I73:I76)</f>
        <v/>
      </c>
      <c r="J72" s="83">
        <f>SUM(J73:J76)</f>
        <v/>
      </c>
      <c r="K72" s="83">
        <f>SUM(K73:K76)</f>
        <v/>
      </c>
      <c r="L72" s="83">
        <f>SUM(L73:L76)</f>
        <v/>
      </c>
      <c r="M72" s="83">
        <f>SUM(M73:M76)</f>
        <v/>
      </c>
      <c r="N72" s="83">
        <f>SUM(N73:N76)</f>
        <v/>
      </c>
      <c r="O72" s="83">
        <f>SUM(O73:O76)</f>
        <v/>
      </c>
      <c r="P72" s="83">
        <f>SUM(P73:P76)</f>
        <v/>
      </c>
      <c r="Q72" s="85">
        <f>SUM(Q73:Q76)</f>
        <v/>
      </c>
      <c r="R72" s="5" t="n"/>
      <c r="S72" s="86">
        <f>SUM(S73:S76)</f>
        <v/>
      </c>
      <c r="T72" s="85">
        <f>SUM(T73:T76)</f>
        <v/>
      </c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</row>
    <row r="73" ht="18.75" customHeight="1" s="398">
      <c r="A73" s="123" t="inlineStr">
        <is>
          <t>Despesas Não Orçadas</t>
        </is>
      </c>
      <c r="B73" s="124" t="inlineStr">
        <is>
          <t>-</t>
        </is>
      </c>
      <c r="C73" s="124">
        <f>0.66+2573.31+11+8.9+440+1492.5+440+9.9+632.5+995+422.4</f>
        <v/>
      </c>
      <c r="D73" s="125">
        <f>5.9+980+10668.47+632.5+995+415+165</f>
        <v/>
      </c>
      <c r="E73" s="125">
        <f>29.46+901.81</f>
        <v/>
      </c>
      <c r="F73" s="125">
        <f>47.03+31.38+103.5+445+345.25+39.99+39.92+92.63+393.25</f>
        <v/>
      </c>
      <c r="G73" s="125">
        <f>206.76+478.5+39.98+199+1500+5.9+445+345.25+393.25+1170+1170+44.92</f>
        <v/>
      </c>
      <c r="H73" s="124">
        <f>39.91+39.94+39.98+50.56+39.96+45+36.96+104.5</f>
        <v/>
      </c>
      <c r="I73" s="124">
        <f>1543+32.45+2064+41.08+51.35+20.54+20.54+5.9+393.25+34.92+34.92+5.9+22.5+1543+823.34</f>
        <v/>
      </c>
      <c r="J73" s="124">
        <f>5.9+421.11+1543+143.43+23.9+117.5</f>
        <v/>
      </c>
      <c r="K73" s="124">
        <f>39.96+39.03+210+5.9+150+2645.73+17.7+27.5+5.9+47.05+12.5+5.9</f>
        <v/>
      </c>
      <c r="L73" s="124">
        <f>199.5+53.16+1425+1028+129.84+19.09+6.88+9.54+39+39+64.92</f>
        <v/>
      </c>
      <c r="M73" s="124">
        <f>2375.01+264.57+2.49+240+54.31+2.49+32.63</f>
        <v/>
      </c>
      <c r="N73" s="124">
        <f>72.9+2.49+160.05</f>
        <v/>
      </c>
      <c r="O73" s="124">
        <f>145.8</f>
        <v/>
      </c>
      <c r="P73" s="124">
        <f>388.84</f>
        <v/>
      </c>
      <c r="Q73" s="126">
        <f>72.9</f>
        <v/>
      </c>
      <c r="R73" s="5" t="n"/>
      <c r="S73" s="127" t="n"/>
      <c r="T73" s="126">
        <f>SUM(C73:Q73)</f>
        <v/>
      </c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</row>
    <row r="74" ht="18.75" customHeight="1" s="398">
      <c r="A74" s="128" t="inlineStr">
        <is>
          <t>Despesas reembolsáveis</t>
        </is>
      </c>
      <c r="B74" s="22" t="inlineStr">
        <is>
          <t>-</t>
        </is>
      </c>
      <c r="C74" s="22">
        <f>175.51+150.98+1023</f>
        <v/>
      </c>
      <c r="D74" s="23">
        <f>180.3+155.1</f>
        <v/>
      </c>
      <c r="E74" s="23">
        <f>180.7+210.07</f>
        <v/>
      </c>
      <c r="F74" s="23">
        <f>176.5+151.83</f>
        <v/>
      </c>
      <c r="G74" s="23">
        <f>350+881+176.64+151.95</f>
        <v/>
      </c>
      <c r="H74" s="22">
        <f>188.42+2800+162.08</f>
        <v/>
      </c>
      <c r="I74" s="22">
        <f>622.5+177.28+6690.63+129.84+19.09+6.88+9.54</f>
        <v/>
      </c>
      <c r="J74" s="22">
        <f>129.84+19.09+6.88+9.54+64.92+350+32.45+179.35</f>
        <v/>
      </c>
      <c r="K74" s="22" t="n"/>
      <c r="L74" s="22">
        <f>910.8+20+3749.06+969.26+90+165.99+342.13+124.91+230.34+232.08+3895.02+554+26.99+20.83+54.27+2.51+2.98+3.57+3.55+11.63+3.71+3.38+554+50+840+327.6+5.9+29.5+17.7</f>
        <v/>
      </c>
      <c r="M74" s="527">
        <f>110+42.9+50+19.5+18.59+19.78+24.37+26.99+3.4+7.02+2.56+4.72+4.76+3749.06+1322.34+1193.98+487.2+2.49+18.59+19.78+24.37+22.46+50+19.5+26.99</f>
        <v/>
      </c>
      <c r="N74" s="22">
        <f>24.37+29+1322.34+969.26+70+2.49+2.49+2.49+1193.98+1196.22+1926.1+2.49+2.49+2.49</f>
        <v/>
      </c>
      <c r="O74" s="22">
        <f>3749.06+1926.1+39.31+39.31+39.19+100.5+39.19+969.26+1193.98+1322.34+103.31</f>
        <v/>
      </c>
      <c r="P74" s="528">
        <f>4846.46+1322.34+193.11+2.49+2.49+2.49+2.49+1926.22+1926.1+2.49+2.49+2.49+20</f>
        <v/>
      </c>
      <c r="Q74" s="129">
        <f>969.26</f>
        <v/>
      </c>
      <c r="R74" s="5" t="n"/>
      <c r="S74" s="130" t="n"/>
      <c r="T74" s="129">
        <f>SUM(C74:Q74)</f>
        <v/>
      </c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</row>
    <row r="75" ht="18.75" customHeight="1" s="398">
      <c r="A75" s="128" t="inlineStr">
        <is>
          <t xml:space="preserve">Honorários advocatícios </t>
        </is>
      </c>
      <c r="B75" s="22" t="n"/>
      <c r="C75" s="22" t="n"/>
      <c r="D75" s="23" t="n"/>
      <c r="E75" s="23" t="n"/>
      <c r="F75" s="23" t="n"/>
      <c r="G75" s="23" t="n"/>
      <c r="H75" s="22" t="n"/>
      <c r="I75" s="22" t="n"/>
      <c r="J75" s="22">
        <f>3749.06+5.9+3749.06+5.9+1322.34+761.17+11.8+279.1+200.31+123.88+299.56+146.96+304.42+135.23+112.1+153.95</f>
        <v/>
      </c>
      <c r="K75" s="22" t="n"/>
      <c r="L75" s="22" t="n"/>
      <c r="M75" s="22" t="n"/>
      <c r="N75" s="22">
        <f>1910.81+2.49+3919.6+4899.5+1080+2.49+2.49+2.49</f>
        <v/>
      </c>
      <c r="O75" s="22">
        <f>1910.81+80.4</f>
        <v/>
      </c>
      <c r="P75" s="22">
        <f>1910.81+2.49+39.19</f>
        <v/>
      </c>
      <c r="Q75" s="129">
        <f>1911</f>
        <v/>
      </c>
      <c r="R75" s="5" t="n"/>
      <c r="S75" s="130" t="n"/>
      <c r="T75" s="129">
        <f>SUM(C75:Q75)</f>
        <v/>
      </c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</row>
    <row r="76" ht="18.75" customHeight="1" s="398">
      <c r="A76" s="131" t="inlineStr">
        <is>
          <t>Transferências Entre Contas</t>
        </is>
      </c>
      <c r="B76" s="132" t="inlineStr">
        <is>
          <t>-</t>
        </is>
      </c>
      <c r="C76" s="132">
        <f>12149.55+6000</f>
        <v/>
      </c>
      <c r="D76" s="133">
        <f>316207.13+11.8</f>
        <v/>
      </c>
      <c r="E76" s="133" t="n"/>
      <c r="F76" s="133" t="n"/>
      <c r="G76" s="133" t="n"/>
      <c r="H76" s="132" t="n">
        <v>1500</v>
      </c>
      <c r="I76" s="132" t="n"/>
      <c r="J76" s="132" t="n"/>
      <c r="K76" s="132" t="n"/>
      <c r="L76" s="132" t="n"/>
      <c r="M76" s="132" t="n"/>
      <c r="N76" s="132" t="n"/>
      <c r="O76" s="132" t="n"/>
      <c r="P76" s="132" t="n"/>
      <c r="Q76" s="134" t="n"/>
      <c r="R76" s="5" t="n"/>
      <c r="S76" s="135" t="n"/>
      <c r="T76" s="134">
        <f>SUM(C76:Q76)</f>
        <v/>
      </c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</row>
    <row r="77" ht="15.75" customHeight="1" s="398">
      <c r="A77" s="18" t="n"/>
      <c r="B77" s="16" t="n"/>
      <c r="C77" s="16" t="n"/>
      <c r="D77" s="17" t="n"/>
      <c r="E77" s="17" t="n"/>
      <c r="F77" s="17" t="n"/>
      <c r="G77" s="17" t="n"/>
      <c r="H77" s="16" t="n"/>
      <c r="I77" s="16" t="n"/>
      <c r="J77" s="16" t="n"/>
      <c r="K77" s="16" t="n"/>
      <c r="L77" s="16" t="n"/>
      <c r="M77" s="16" t="n"/>
      <c r="N77" s="16" t="n"/>
      <c r="O77" s="5" t="n"/>
      <c r="P77" s="5" t="n"/>
      <c r="Q77" s="5" t="n"/>
      <c r="R77" s="5" t="n"/>
      <c r="S77" s="16" t="n"/>
      <c r="T77" s="16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</row>
    <row r="78" ht="24" customHeight="1" s="398">
      <c r="A78" s="138" t="inlineStr">
        <is>
          <t>TOTAL DESPESAS CONTA PRINCIPAL</t>
        </is>
      </c>
      <c r="B78" s="529">
        <f>B72+B67+B65</f>
        <v/>
      </c>
      <c r="C78" s="529">
        <f>C72+C67+C65</f>
        <v/>
      </c>
      <c r="D78" s="140">
        <f>D72+D67+D65</f>
        <v/>
      </c>
      <c r="E78" s="140">
        <f>E72+E67+E65</f>
        <v/>
      </c>
      <c r="F78" s="140">
        <f>F72+F67+F65</f>
        <v/>
      </c>
      <c r="G78" s="140">
        <f>G72+G67+G65</f>
        <v/>
      </c>
      <c r="H78" s="529">
        <f>H72+H67+H65</f>
        <v/>
      </c>
      <c r="I78" s="529">
        <f>I72+I67+I65</f>
        <v/>
      </c>
      <c r="J78" s="529">
        <f>J72+J67+J65</f>
        <v/>
      </c>
      <c r="K78" s="529">
        <f>K72+K67+K65</f>
        <v/>
      </c>
      <c r="L78" s="529">
        <f>L72+L67+L65</f>
        <v/>
      </c>
      <c r="M78" s="529">
        <f>M72+M67+M65</f>
        <v/>
      </c>
      <c r="N78" s="529">
        <f>N72+N67+N65</f>
        <v/>
      </c>
      <c r="O78" s="529">
        <f>O65+O67+O72</f>
        <v/>
      </c>
      <c r="P78" s="529">
        <f>P65+P67+P72</f>
        <v/>
      </c>
      <c r="Q78" s="530">
        <f>Q72+Q67+Q65</f>
        <v/>
      </c>
      <c r="R78" s="5" t="n"/>
      <c r="S78" s="531">
        <f>S72+S67+S65</f>
        <v/>
      </c>
      <c r="T78" s="530">
        <f>T72+T67+T65</f>
        <v/>
      </c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</row>
    <row r="79" ht="15.75" customHeight="1" s="398">
      <c r="A79" s="18" t="n"/>
      <c r="B79" s="16" t="n"/>
      <c r="C79" s="5" t="n"/>
      <c r="D79" s="24" t="n"/>
      <c r="E79" s="24" t="n"/>
      <c r="F79" s="24" t="n"/>
      <c r="G79" s="24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</row>
    <row r="80" ht="15.75" customHeight="1" s="398">
      <c r="A80" s="18" t="n"/>
      <c r="B80" s="16" t="n"/>
      <c r="C80" s="5" t="n"/>
      <c r="D80" s="24" t="n"/>
      <c r="E80" s="24" t="n"/>
      <c r="F80" s="24" t="n"/>
      <c r="G80" s="24" t="n"/>
      <c r="H80" s="5" t="n"/>
      <c r="I80" s="5" t="n"/>
      <c r="J80" s="2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</row>
    <row r="81" ht="15.75" customHeight="1" s="398">
      <c r="A81" s="18" t="n"/>
      <c r="B81" s="16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</row>
    <row r="82" ht="15.75" customHeight="1" s="398">
      <c r="A82" s="18" t="n"/>
      <c r="B82" s="16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</row>
    <row r="83" ht="15.75" customHeight="1" s="398">
      <c r="A83" s="18" t="n"/>
      <c r="B83" s="16" t="n"/>
      <c r="C83" s="5" t="n"/>
      <c r="D83" s="24" t="n"/>
      <c r="E83" s="24" t="n"/>
      <c r="F83" s="24" t="n"/>
      <c r="G83" s="24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</row>
    <row r="84" ht="15.75" customHeight="1" s="398">
      <c r="A84" s="18" t="n"/>
      <c r="B84" s="16" t="n"/>
      <c r="C84" s="5" t="n"/>
      <c r="D84" s="24" t="n"/>
      <c r="E84" s="24" t="n"/>
      <c r="F84" s="24" t="n"/>
      <c r="G84" s="24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</row>
    <row r="85" ht="15.75" customHeight="1" s="398">
      <c r="A85" s="18" t="n"/>
      <c r="B85" s="16" t="n"/>
      <c r="C85" s="5" t="n"/>
      <c r="D85" s="24" t="n"/>
      <c r="E85" s="24" t="n"/>
      <c r="F85" s="24" t="n"/>
      <c r="G85" s="24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</row>
    <row r="86" ht="15.75" customHeight="1" s="398">
      <c r="A86" s="18" t="n"/>
      <c r="B86" s="16" t="n"/>
      <c r="C86" s="5" t="n"/>
      <c r="D86" s="24" t="n"/>
      <c r="E86" s="24" t="n"/>
      <c r="F86" s="24" t="n"/>
      <c r="G86" s="24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</row>
    <row r="87" ht="15.75" customHeight="1" s="398">
      <c r="A87" s="18" t="n"/>
      <c r="B87" s="16" t="n"/>
      <c r="C87" s="5" t="n"/>
      <c r="D87" s="24" t="n"/>
      <c r="E87" s="24" t="n"/>
      <c r="F87" s="24" t="n"/>
      <c r="G87" s="24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</row>
    <row r="88" ht="15.75" customHeight="1" s="398">
      <c r="A88" s="18" t="n"/>
      <c r="B88" s="16" t="n"/>
      <c r="C88" s="5" t="n"/>
      <c r="D88" s="24" t="n"/>
      <c r="E88" s="24" t="n"/>
      <c r="F88" s="24" t="n"/>
      <c r="G88" s="24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</row>
    <row r="89" ht="15.75" customHeight="1" s="398">
      <c r="A89" s="18" t="n"/>
      <c r="B89" s="16" t="n"/>
      <c r="C89" s="5" t="n"/>
      <c r="D89" s="24" t="n"/>
      <c r="E89" s="24" t="n"/>
      <c r="F89" s="24" t="n"/>
      <c r="G89" s="24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</row>
    <row r="90" ht="15.75" customHeight="1" s="398">
      <c r="A90" s="18" t="n"/>
      <c r="B90" s="16" t="n"/>
      <c r="C90" s="5" t="n"/>
      <c r="D90" s="24" t="n"/>
      <c r="E90" s="24" t="n"/>
      <c r="F90" s="24" t="n"/>
      <c r="G90" s="24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</row>
    <row r="91" ht="15.75" customHeight="1" s="398">
      <c r="A91" s="18" t="n"/>
      <c r="B91" s="16" t="n"/>
      <c r="C91" s="5" t="n"/>
      <c r="D91" s="24" t="n"/>
      <c r="E91" s="24" t="n"/>
      <c r="F91" s="24" t="n"/>
      <c r="G91" s="24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</row>
    <row r="92" ht="15.75" customHeight="1" s="398">
      <c r="A92" s="18" t="n"/>
      <c r="B92" s="16" t="n"/>
      <c r="C92" s="5" t="n"/>
      <c r="D92" s="24" t="n"/>
      <c r="E92" s="24" t="n"/>
      <c r="F92" s="24" t="n"/>
      <c r="G92" s="24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</row>
    <row r="93" ht="15.75" customHeight="1" s="398">
      <c r="A93" s="18" t="n"/>
      <c r="B93" s="16" t="n"/>
      <c r="C93" s="5" t="n"/>
      <c r="D93" s="24" t="n"/>
      <c r="E93" s="24" t="n"/>
      <c r="F93" s="24" t="n"/>
      <c r="G93" s="24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</row>
    <row r="94" ht="15.75" customHeight="1" s="398">
      <c r="A94" s="18" t="n"/>
      <c r="B94" s="16" t="n"/>
      <c r="C94" s="5" t="n"/>
      <c r="D94" s="24" t="n"/>
      <c r="E94" s="24" t="n"/>
      <c r="F94" s="24" t="n"/>
      <c r="G94" s="24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</row>
    <row r="95" ht="15.75" customHeight="1" s="398">
      <c r="A95" s="18" t="n"/>
      <c r="B95" s="16" t="n"/>
      <c r="C95" s="5" t="n"/>
      <c r="D95" s="24" t="n"/>
      <c r="E95" s="24" t="n"/>
      <c r="F95" s="24" t="n"/>
      <c r="G95" s="24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</row>
    <row r="96" ht="15.75" customHeight="1" s="398">
      <c r="A96" s="18" t="n"/>
      <c r="B96" s="16" t="n"/>
      <c r="C96" s="5" t="n"/>
      <c r="D96" s="24" t="n"/>
      <c r="E96" s="24" t="n"/>
      <c r="F96" s="24" t="n"/>
      <c r="G96" s="24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</row>
    <row r="97" ht="15.75" customHeight="1" s="398">
      <c r="A97" s="18" t="n"/>
      <c r="B97" s="16" t="n"/>
      <c r="C97" s="5" t="n"/>
      <c r="D97" s="24" t="n"/>
      <c r="E97" s="24" t="n"/>
      <c r="F97" s="24" t="n"/>
      <c r="G97" s="24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</row>
    <row r="98" ht="15.75" customHeight="1" s="398">
      <c r="A98" s="18" t="n"/>
      <c r="B98" s="16" t="n"/>
      <c r="C98" s="5" t="n"/>
      <c r="D98" s="24" t="n"/>
      <c r="E98" s="24" t="n"/>
      <c r="F98" s="24" t="n"/>
      <c r="G98" s="24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</row>
    <row r="99" ht="15.75" customHeight="1" s="398">
      <c r="A99" s="18" t="n"/>
      <c r="B99" s="16" t="n"/>
      <c r="C99" s="5" t="n"/>
      <c r="D99" s="24" t="n"/>
      <c r="E99" s="24" t="n"/>
      <c r="F99" s="24" t="n"/>
      <c r="G99" s="24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</row>
    <row r="100" ht="15.75" customHeight="1" s="398">
      <c r="A100" s="18" t="n"/>
      <c r="B100" s="16" t="n"/>
      <c r="C100" s="5" t="n"/>
      <c r="D100" s="24" t="n"/>
      <c r="E100" s="24" t="n"/>
      <c r="F100" s="24" t="n"/>
      <c r="G100" s="24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</row>
    <row r="101" ht="15.75" customHeight="1" s="398">
      <c r="A101" s="18" t="n"/>
      <c r="B101" s="16" t="n"/>
      <c r="C101" s="5" t="n"/>
      <c r="D101" s="24" t="n"/>
      <c r="E101" s="24" t="n"/>
      <c r="F101" s="24" t="n"/>
      <c r="G101" s="24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</row>
    <row r="102" ht="15.75" customHeight="1" s="398">
      <c r="A102" s="18" t="n"/>
      <c r="B102" s="16" t="n"/>
      <c r="C102" s="5" t="n"/>
      <c r="D102" s="24" t="n"/>
      <c r="E102" s="24" t="n"/>
      <c r="F102" s="24" t="n"/>
      <c r="G102" s="24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</row>
    <row r="103" ht="15.75" customHeight="1" s="398">
      <c r="A103" s="18" t="n"/>
      <c r="B103" s="16" t="n"/>
      <c r="C103" s="5" t="n"/>
      <c r="D103" s="24" t="n"/>
      <c r="E103" s="24" t="n"/>
      <c r="F103" s="24" t="n"/>
      <c r="G103" s="24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</row>
    <row r="104" ht="15.75" customHeight="1" s="398">
      <c r="A104" s="18" t="n"/>
      <c r="B104" s="16" t="n"/>
      <c r="C104" s="5" t="n"/>
      <c r="D104" s="24" t="n"/>
      <c r="E104" s="24" t="n"/>
      <c r="F104" s="24" t="n"/>
      <c r="G104" s="24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</row>
    <row r="105" ht="15.75" customHeight="1" s="398">
      <c r="A105" s="18" t="n"/>
      <c r="B105" s="16" t="n"/>
      <c r="C105" s="5" t="n"/>
      <c r="D105" s="24" t="n"/>
      <c r="E105" s="24" t="n"/>
      <c r="F105" s="24" t="n"/>
      <c r="G105" s="24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</row>
    <row r="106" ht="15.75" customHeight="1" s="398">
      <c r="A106" s="18" t="n"/>
      <c r="B106" s="16" t="n"/>
      <c r="C106" s="5" t="n"/>
      <c r="D106" s="24" t="n"/>
      <c r="E106" s="24" t="n"/>
      <c r="F106" s="24" t="n"/>
      <c r="G106" s="24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</row>
    <row r="107" ht="15.75" customHeight="1" s="398">
      <c r="A107" s="18" t="n"/>
      <c r="B107" s="16" t="n"/>
      <c r="C107" s="5" t="n"/>
      <c r="D107" s="24" t="n"/>
      <c r="E107" s="24" t="n"/>
      <c r="F107" s="24" t="n"/>
      <c r="G107" s="24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</row>
    <row r="108" ht="15.75" customHeight="1" s="398">
      <c r="A108" s="18" t="n"/>
      <c r="B108" s="16" t="n"/>
      <c r="C108" s="5" t="n"/>
      <c r="D108" s="24" t="n"/>
      <c r="E108" s="24" t="n"/>
      <c r="F108" s="24" t="n"/>
      <c r="G108" s="24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</row>
    <row r="109" ht="15.75" customHeight="1" s="398">
      <c r="A109" s="18" t="n"/>
      <c r="B109" s="16" t="n"/>
      <c r="C109" s="5" t="n"/>
      <c r="D109" s="24" t="n"/>
      <c r="E109" s="24" t="n"/>
      <c r="F109" s="24" t="n"/>
      <c r="G109" s="24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</row>
    <row r="110" ht="15.75" customHeight="1" s="398">
      <c r="A110" s="18" t="n"/>
      <c r="B110" s="16" t="n"/>
      <c r="C110" s="5" t="n"/>
      <c r="D110" s="24" t="n"/>
      <c r="E110" s="24" t="n"/>
      <c r="F110" s="24" t="n"/>
      <c r="G110" s="24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</row>
    <row r="111" ht="15.75" customHeight="1" s="398">
      <c r="A111" s="18" t="n"/>
      <c r="B111" s="16" t="n"/>
      <c r="C111" s="5" t="n"/>
      <c r="D111" s="24" t="n"/>
      <c r="E111" s="24" t="n"/>
      <c r="F111" s="24" t="n"/>
      <c r="G111" s="24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</row>
    <row r="112" ht="15.75" customHeight="1" s="398">
      <c r="A112" s="18" t="n"/>
      <c r="B112" s="16" t="n"/>
      <c r="C112" s="5" t="n"/>
      <c r="D112" s="24" t="n"/>
      <c r="E112" s="24" t="n"/>
      <c r="F112" s="24" t="n"/>
      <c r="G112" s="24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</row>
    <row r="113" ht="15.75" customHeight="1" s="398">
      <c r="A113" s="18" t="n"/>
      <c r="B113" s="16" t="n"/>
      <c r="C113" s="5" t="n"/>
      <c r="D113" s="24" t="n"/>
      <c r="E113" s="24" t="n"/>
      <c r="F113" s="24" t="n"/>
      <c r="G113" s="24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</row>
    <row r="114" ht="15.75" customHeight="1" s="398">
      <c r="A114" s="18" t="n"/>
      <c r="B114" s="16" t="n"/>
      <c r="C114" s="5" t="n"/>
      <c r="D114" s="24" t="n"/>
      <c r="E114" s="24" t="n"/>
      <c r="F114" s="24" t="n"/>
      <c r="G114" s="24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</row>
    <row r="115" ht="15.75" customHeight="1" s="398">
      <c r="A115" s="18" t="n"/>
      <c r="B115" s="16" t="n"/>
      <c r="C115" s="5" t="n"/>
      <c r="D115" s="24" t="n"/>
      <c r="E115" s="24" t="n"/>
      <c r="F115" s="24" t="n"/>
      <c r="G115" s="24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</row>
    <row r="116" ht="15.75" customHeight="1" s="398">
      <c r="A116" s="18" t="n"/>
      <c r="B116" s="16" t="n"/>
      <c r="C116" s="5" t="n"/>
      <c r="D116" s="24" t="n"/>
      <c r="E116" s="24" t="n"/>
      <c r="F116" s="24" t="n"/>
      <c r="G116" s="24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</row>
    <row r="117" ht="15.75" customHeight="1" s="398">
      <c r="A117" s="18" t="n"/>
      <c r="B117" s="16" t="n"/>
      <c r="C117" s="5" t="n"/>
      <c r="D117" s="24" t="n"/>
      <c r="E117" s="24" t="n"/>
      <c r="F117" s="24" t="n"/>
      <c r="G117" s="24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</row>
    <row r="118" ht="15.75" customHeight="1" s="398">
      <c r="A118" s="18" t="n"/>
      <c r="B118" s="16" t="n"/>
      <c r="C118" s="5" t="n"/>
      <c r="D118" s="24" t="n"/>
      <c r="E118" s="24" t="n"/>
      <c r="F118" s="24" t="n"/>
      <c r="G118" s="24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</row>
    <row r="119" ht="15.75" customHeight="1" s="398">
      <c r="A119" s="18" t="n"/>
      <c r="B119" s="16" t="n"/>
      <c r="C119" s="5" t="n"/>
      <c r="D119" s="24" t="n"/>
      <c r="E119" s="24" t="n"/>
      <c r="F119" s="24" t="n"/>
      <c r="G119" s="24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</row>
    <row r="120" ht="15.75" customHeight="1" s="398">
      <c r="A120" s="18" t="n"/>
      <c r="B120" s="16" t="n"/>
      <c r="C120" s="5" t="n"/>
      <c r="D120" s="24" t="n"/>
      <c r="E120" s="24" t="n"/>
      <c r="F120" s="24" t="n"/>
      <c r="G120" s="24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</row>
    <row r="121" ht="15.75" customHeight="1" s="398">
      <c r="A121" s="18" t="n"/>
      <c r="B121" s="16" t="n"/>
      <c r="C121" s="5" t="n"/>
      <c r="D121" s="24" t="n"/>
      <c r="E121" s="24" t="n"/>
      <c r="F121" s="24" t="n"/>
      <c r="G121" s="24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</row>
    <row r="122" ht="15.75" customHeight="1" s="398">
      <c r="A122" s="18" t="n"/>
      <c r="B122" s="16" t="n"/>
      <c r="C122" s="5" t="n"/>
      <c r="D122" s="24" t="n"/>
      <c r="E122" s="24" t="n"/>
      <c r="F122" s="24" t="n"/>
      <c r="G122" s="24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</row>
    <row r="123" ht="15.75" customHeight="1" s="398">
      <c r="A123" s="18" t="n"/>
      <c r="B123" s="16" t="n"/>
      <c r="C123" s="5" t="n"/>
      <c r="D123" s="24" t="n"/>
      <c r="E123" s="24" t="n"/>
      <c r="F123" s="24" t="n"/>
      <c r="G123" s="24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</row>
    <row r="124" ht="15.75" customHeight="1" s="398">
      <c r="A124" s="18" t="n"/>
      <c r="B124" s="16" t="n"/>
      <c r="C124" s="5" t="n"/>
      <c r="D124" s="24" t="n"/>
      <c r="E124" s="24" t="n"/>
      <c r="F124" s="24" t="n"/>
      <c r="G124" s="24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</row>
    <row r="125" ht="15.75" customHeight="1" s="398">
      <c r="A125" s="18" t="n"/>
      <c r="B125" s="16" t="n"/>
      <c r="C125" s="5" t="n"/>
      <c r="D125" s="24" t="n"/>
      <c r="E125" s="24" t="n"/>
      <c r="F125" s="24" t="n"/>
      <c r="G125" s="24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</row>
    <row r="126" ht="15.75" customHeight="1" s="398">
      <c r="A126" s="18" t="n"/>
      <c r="B126" s="16" t="n"/>
      <c r="C126" s="5" t="n"/>
      <c r="D126" s="24" t="n"/>
      <c r="E126" s="24" t="n"/>
      <c r="F126" s="24" t="n"/>
      <c r="G126" s="24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</row>
    <row r="127" ht="15.75" customHeight="1" s="398">
      <c r="A127" s="18" t="n"/>
      <c r="B127" s="16" t="n"/>
      <c r="C127" s="5" t="n"/>
      <c r="D127" s="24" t="n"/>
      <c r="E127" s="24" t="n"/>
      <c r="F127" s="24" t="n"/>
      <c r="G127" s="24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</row>
    <row r="128" ht="15.75" customHeight="1" s="398">
      <c r="A128" s="18" t="n"/>
      <c r="B128" s="16" t="n"/>
      <c r="C128" s="5" t="n"/>
      <c r="D128" s="24" t="n"/>
      <c r="E128" s="24" t="n"/>
      <c r="F128" s="24" t="n"/>
      <c r="G128" s="24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</row>
    <row r="129" ht="15.75" customHeight="1" s="398">
      <c r="A129" s="18" t="n"/>
      <c r="B129" s="16" t="n"/>
      <c r="C129" s="5" t="n"/>
      <c r="D129" s="24" t="n"/>
      <c r="E129" s="24" t="n"/>
      <c r="F129" s="24" t="n"/>
      <c r="G129" s="24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</row>
    <row r="130" ht="15.75" customHeight="1" s="398">
      <c r="A130" s="18" t="n"/>
      <c r="B130" s="16" t="n"/>
      <c r="C130" s="5" t="n"/>
      <c r="D130" s="24" t="n"/>
      <c r="E130" s="24" t="n"/>
      <c r="F130" s="24" t="n"/>
      <c r="G130" s="24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</row>
    <row r="131" ht="15.75" customHeight="1" s="398">
      <c r="A131" s="18" t="n"/>
      <c r="B131" s="16" t="n"/>
      <c r="C131" s="5" t="n"/>
      <c r="D131" s="24" t="n"/>
      <c r="E131" s="24" t="n"/>
      <c r="F131" s="24" t="n"/>
      <c r="G131" s="24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</row>
    <row r="132" ht="15.75" customHeight="1" s="398">
      <c r="A132" s="18" t="n"/>
      <c r="B132" s="16" t="n"/>
      <c r="C132" s="5" t="n"/>
      <c r="D132" s="24" t="n"/>
      <c r="E132" s="24" t="n"/>
      <c r="F132" s="24" t="n"/>
      <c r="G132" s="24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</row>
    <row r="133" ht="15.75" customHeight="1" s="398">
      <c r="A133" s="18" t="n"/>
      <c r="B133" s="16" t="n"/>
      <c r="C133" s="5" t="n"/>
      <c r="D133" s="24" t="n"/>
      <c r="E133" s="24" t="n"/>
      <c r="F133" s="24" t="n"/>
      <c r="G133" s="24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</row>
    <row r="134" ht="15.75" customHeight="1" s="398">
      <c r="A134" s="18" t="n"/>
      <c r="B134" s="16" t="n"/>
      <c r="C134" s="5" t="n"/>
      <c r="D134" s="24" t="n"/>
      <c r="E134" s="24" t="n"/>
      <c r="F134" s="24" t="n"/>
      <c r="G134" s="24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</row>
    <row r="135" ht="15.75" customHeight="1" s="398">
      <c r="A135" s="18" t="n"/>
      <c r="B135" s="16" t="n"/>
      <c r="C135" s="5" t="n"/>
      <c r="D135" s="24" t="n"/>
      <c r="E135" s="24" t="n"/>
      <c r="F135" s="24" t="n"/>
      <c r="G135" s="24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</row>
    <row r="136" ht="15.75" customHeight="1" s="398">
      <c r="A136" s="18" t="n"/>
      <c r="B136" s="16" t="n"/>
      <c r="C136" s="5" t="n"/>
      <c r="D136" s="24" t="n"/>
      <c r="E136" s="24" t="n"/>
      <c r="F136" s="24" t="n"/>
      <c r="G136" s="24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</row>
    <row r="137" ht="15.75" customHeight="1" s="398">
      <c r="A137" s="18" t="n"/>
      <c r="B137" s="16" t="n"/>
      <c r="C137" s="5" t="n"/>
      <c r="D137" s="24" t="n"/>
      <c r="E137" s="24" t="n"/>
      <c r="F137" s="24" t="n"/>
      <c r="G137" s="24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</row>
    <row r="138" ht="15.75" customHeight="1" s="398">
      <c r="A138" s="18" t="n"/>
      <c r="B138" s="16" t="n"/>
      <c r="C138" s="5" t="n"/>
      <c r="D138" s="24" t="n"/>
      <c r="E138" s="24" t="n"/>
      <c r="F138" s="24" t="n"/>
      <c r="G138" s="24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</row>
    <row r="139" ht="15.75" customHeight="1" s="398">
      <c r="A139" s="18" t="n"/>
      <c r="B139" s="16" t="n"/>
      <c r="C139" s="5" t="n"/>
      <c r="D139" s="24" t="n"/>
      <c r="E139" s="24" t="n"/>
      <c r="F139" s="24" t="n"/>
      <c r="G139" s="24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</row>
    <row r="140" ht="15.75" customHeight="1" s="398">
      <c r="A140" s="18" t="n"/>
      <c r="B140" s="16" t="n"/>
      <c r="C140" s="5" t="n"/>
      <c r="D140" s="24" t="n"/>
      <c r="E140" s="24" t="n"/>
      <c r="F140" s="24" t="n"/>
      <c r="G140" s="24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</row>
    <row r="141" ht="15.75" customHeight="1" s="398">
      <c r="A141" s="18" t="n"/>
      <c r="B141" s="16" t="n"/>
      <c r="C141" s="5" t="n"/>
      <c r="D141" s="24" t="n"/>
      <c r="E141" s="24" t="n"/>
      <c r="F141" s="24" t="n"/>
      <c r="G141" s="24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</row>
    <row r="142" ht="15.75" customHeight="1" s="398">
      <c r="A142" s="18" t="n"/>
      <c r="B142" s="16" t="n"/>
      <c r="C142" s="5" t="n"/>
      <c r="D142" s="24" t="n"/>
      <c r="E142" s="24" t="n"/>
      <c r="F142" s="24" t="n"/>
      <c r="G142" s="24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</row>
    <row r="143" ht="15.75" customHeight="1" s="398">
      <c r="A143" s="18" t="n"/>
      <c r="B143" s="16" t="n"/>
      <c r="C143" s="5" t="n"/>
      <c r="D143" s="24" t="n"/>
      <c r="E143" s="24" t="n"/>
      <c r="F143" s="24" t="n"/>
      <c r="G143" s="24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</row>
    <row r="144" ht="15.75" customHeight="1" s="398">
      <c r="A144" s="18" t="n"/>
      <c r="B144" s="16" t="n"/>
      <c r="C144" s="5" t="n"/>
      <c r="D144" s="24" t="n"/>
      <c r="E144" s="24" t="n"/>
      <c r="F144" s="24" t="n"/>
      <c r="G144" s="24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</row>
    <row r="145" ht="15.75" customHeight="1" s="398">
      <c r="A145" s="18" t="n"/>
      <c r="B145" s="16" t="n"/>
      <c r="C145" s="5" t="n"/>
      <c r="D145" s="24" t="n"/>
      <c r="E145" s="24" t="n"/>
      <c r="F145" s="24" t="n"/>
      <c r="G145" s="24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</row>
    <row r="146" ht="15.75" customHeight="1" s="398">
      <c r="A146" s="18" t="n"/>
      <c r="B146" s="16" t="n"/>
      <c r="C146" s="5" t="n"/>
      <c r="D146" s="24" t="n"/>
      <c r="E146" s="24" t="n"/>
      <c r="F146" s="24" t="n"/>
      <c r="G146" s="24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</row>
    <row r="147" ht="15.75" customHeight="1" s="398">
      <c r="A147" s="18" t="n"/>
      <c r="B147" s="16" t="n"/>
      <c r="C147" s="5" t="n"/>
      <c r="D147" s="24" t="n"/>
      <c r="E147" s="24" t="n"/>
      <c r="F147" s="24" t="n"/>
      <c r="G147" s="24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</row>
    <row r="148" ht="15.75" customHeight="1" s="398">
      <c r="A148" s="18" t="n"/>
      <c r="B148" s="16" t="n"/>
      <c r="C148" s="5" t="n"/>
      <c r="D148" s="24" t="n"/>
      <c r="E148" s="24" t="n"/>
      <c r="F148" s="24" t="n"/>
      <c r="G148" s="24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</row>
    <row r="149" ht="15.75" customHeight="1" s="398">
      <c r="A149" s="18" t="n"/>
      <c r="B149" s="16" t="n"/>
      <c r="C149" s="5" t="n"/>
      <c r="D149" s="24" t="n"/>
      <c r="E149" s="24" t="n"/>
      <c r="F149" s="24" t="n"/>
      <c r="G149" s="24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</row>
    <row r="150" ht="15.75" customHeight="1" s="398">
      <c r="A150" s="18" t="n"/>
      <c r="B150" s="16" t="n"/>
      <c r="C150" s="5" t="n"/>
      <c r="D150" s="24" t="n"/>
      <c r="E150" s="24" t="n"/>
      <c r="F150" s="24" t="n"/>
      <c r="G150" s="24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</row>
    <row r="151" ht="15.75" customHeight="1" s="398">
      <c r="A151" s="18" t="n"/>
      <c r="B151" s="16" t="n"/>
      <c r="C151" s="5" t="n"/>
      <c r="D151" s="24" t="n"/>
      <c r="E151" s="24" t="n"/>
      <c r="F151" s="24" t="n"/>
      <c r="G151" s="24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</row>
    <row r="152" ht="15.75" customHeight="1" s="398">
      <c r="A152" s="18" t="n"/>
      <c r="B152" s="16" t="n"/>
      <c r="C152" s="5" t="n"/>
      <c r="D152" s="24" t="n"/>
      <c r="E152" s="24" t="n"/>
      <c r="F152" s="24" t="n"/>
      <c r="G152" s="24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</row>
    <row r="153" ht="15.75" customHeight="1" s="398">
      <c r="A153" s="18" t="n"/>
      <c r="B153" s="16" t="n"/>
      <c r="C153" s="5" t="n"/>
      <c r="D153" s="24" t="n"/>
      <c r="E153" s="24" t="n"/>
      <c r="F153" s="24" t="n"/>
      <c r="G153" s="24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</row>
    <row r="154" ht="15.75" customHeight="1" s="398">
      <c r="A154" s="18" t="n"/>
      <c r="B154" s="16" t="n"/>
      <c r="C154" s="5" t="n"/>
      <c r="D154" s="24" t="n"/>
      <c r="E154" s="24" t="n"/>
      <c r="F154" s="24" t="n"/>
      <c r="G154" s="24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</row>
    <row r="155" ht="15.75" customHeight="1" s="398">
      <c r="A155" s="18" t="n"/>
      <c r="B155" s="16" t="n"/>
      <c r="C155" s="5" t="n"/>
      <c r="D155" s="24" t="n"/>
      <c r="E155" s="24" t="n"/>
      <c r="F155" s="24" t="n"/>
      <c r="G155" s="24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</row>
    <row r="156" ht="15.75" customHeight="1" s="398">
      <c r="A156" s="18" t="n"/>
      <c r="B156" s="16" t="n"/>
      <c r="C156" s="5" t="n"/>
      <c r="D156" s="24" t="n"/>
      <c r="E156" s="24" t="n"/>
      <c r="F156" s="24" t="n"/>
      <c r="G156" s="24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</row>
    <row r="157" ht="15.75" customHeight="1" s="398">
      <c r="A157" s="18" t="n"/>
      <c r="B157" s="16" t="n"/>
      <c r="C157" s="5" t="n"/>
      <c r="D157" s="24" t="n"/>
      <c r="E157" s="24" t="n"/>
      <c r="F157" s="24" t="n"/>
      <c r="G157" s="24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</row>
    <row r="158" ht="15.75" customHeight="1" s="398">
      <c r="A158" s="18" t="n"/>
      <c r="B158" s="16" t="n"/>
      <c r="C158" s="5" t="n"/>
      <c r="D158" s="24" t="n"/>
      <c r="E158" s="24" t="n"/>
      <c r="F158" s="24" t="n"/>
      <c r="G158" s="24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</row>
    <row r="159" ht="15.75" customHeight="1" s="398">
      <c r="A159" s="18" t="n"/>
      <c r="B159" s="16" t="n"/>
      <c r="C159" s="5" t="n"/>
      <c r="D159" s="24" t="n"/>
      <c r="E159" s="24" t="n"/>
      <c r="F159" s="24" t="n"/>
      <c r="G159" s="24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</row>
    <row r="160" ht="15.75" customHeight="1" s="398">
      <c r="A160" s="18" t="n"/>
      <c r="B160" s="16" t="n"/>
      <c r="C160" s="5" t="n"/>
      <c r="D160" s="24" t="n"/>
      <c r="E160" s="24" t="n"/>
      <c r="F160" s="24" t="n"/>
      <c r="G160" s="24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</row>
    <row r="161" ht="15.75" customHeight="1" s="398">
      <c r="A161" s="18" t="n"/>
      <c r="B161" s="16" t="n"/>
      <c r="C161" s="5" t="n"/>
      <c r="D161" s="24" t="n"/>
      <c r="E161" s="24" t="n"/>
      <c r="F161" s="24" t="n"/>
      <c r="G161" s="24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</row>
    <row r="162" ht="15.75" customHeight="1" s="398">
      <c r="A162" s="18" t="n"/>
      <c r="B162" s="16" t="n"/>
      <c r="C162" s="5" t="n"/>
      <c r="D162" s="24" t="n"/>
      <c r="E162" s="24" t="n"/>
      <c r="F162" s="24" t="n"/>
      <c r="G162" s="24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</row>
    <row r="163" ht="15.75" customHeight="1" s="398">
      <c r="A163" s="18" t="n"/>
      <c r="B163" s="16" t="n"/>
      <c r="C163" s="5" t="n"/>
      <c r="D163" s="24" t="n"/>
      <c r="E163" s="24" t="n"/>
      <c r="F163" s="24" t="n"/>
      <c r="G163" s="24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</row>
    <row r="164" ht="15.75" customHeight="1" s="398">
      <c r="A164" s="18" t="n"/>
      <c r="B164" s="16" t="n"/>
      <c r="C164" s="5" t="n"/>
      <c r="D164" s="24" t="n"/>
      <c r="E164" s="24" t="n"/>
      <c r="F164" s="24" t="n"/>
      <c r="G164" s="24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</row>
    <row r="165" ht="15.75" customHeight="1" s="398">
      <c r="A165" s="18" t="n"/>
      <c r="B165" s="16" t="n"/>
      <c r="C165" s="5" t="n"/>
      <c r="D165" s="24" t="n"/>
      <c r="E165" s="24" t="n"/>
      <c r="F165" s="24" t="n"/>
      <c r="G165" s="24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</row>
    <row r="166" ht="15.75" customHeight="1" s="398">
      <c r="A166" s="18" t="n"/>
      <c r="B166" s="16" t="n"/>
      <c r="C166" s="5" t="n"/>
      <c r="D166" s="24" t="n"/>
      <c r="E166" s="24" t="n"/>
      <c r="F166" s="24" t="n"/>
      <c r="G166" s="24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</row>
    <row r="167" ht="15.75" customHeight="1" s="398">
      <c r="A167" s="18" t="n"/>
      <c r="B167" s="16" t="n"/>
      <c r="C167" s="5" t="n"/>
      <c r="D167" s="24" t="n"/>
      <c r="E167" s="24" t="n"/>
      <c r="F167" s="24" t="n"/>
      <c r="G167" s="24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</row>
    <row r="168" ht="15.75" customHeight="1" s="398">
      <c r="A168" s="18" t="n"/>
      <c r="B168" s="16" t="n"/>
      <c r="C168" s="5" t="n"/>
      <c r="D168" s="24" t="n"/>
      <c r="E168" s="24" t="n"/>
      <c r="F168" s="24" t="n"/>
      <c r="G168" s="24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</row>
    <row r="169" ht="15.75" customHeight="1" s="398">
      <c r="A169" s="18" t="n"/>
      <c r="B169" s="16" t="n"/>
      <c r="C169" s="5" t="n"/>
      <c r="D169" s="24" t="n"/>
      <c r="E169" s="24" t="n"/>
      <c r="F169" s="24" t="n"/>
      <c r="G169" s="24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</row>
    <row r="170" ht="15.75" customHeight="1" s="398">
      <c r="A170" s="18" t="n"/>
      <c r="B170" s="16" t="n"/>
      <c r="C170" s="5" t="n"/>
      <c r="D170" s="24" t="n"/>
      <c r="E170" s="24" t="n"/>
      <c r="F170" s="24" t="n"/>
      <c r="G170" s="24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</row>
    <row r="171" ht="15.75" customHeight="1" s="398">
      <c r="A171" s="18" t="n"/>
      <c r="B171" s="16" t="n"/>
      <c r="C171" s="5" t="n"/>
      <c r="D171" s="24" t="n"/>
      <c r="E171" s="24" t="n"/>
      <c r="F171" s="24" t="n"/>
      <c r="G171" s="24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</row>
    <row r="172" ht="15.75" customHeight="1" s="398">
      <c r="A172" s="18" t="n"/>
      <c r="B172" s="16" t="n"/>
      <c r="C172" s="5" t="n"/>
      <c r="D172" s="24" t="n"/>
      <c r="E172" s="24" t="n"/>
      <c r="F172" s="24" t="n"/>
      <c r="G172" s="24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</row>
    <row r="173" ht="15.75" customHeight="1" s="398">
      <c r="A173" s="18" t="n"/>
      <c r="B173" s="16" t="n"/>
      <c r="C173" s="5" t="n"/>
      <c r="D173" s="24" t="n"/>
      <c r="E173" s="24" t="n"/>
      <c r="F173" s="24" t="n"/>
      <c r="G173" s="24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</row>
    <row r="174" ht="15.75" customHeight="1" s="398">
      <c r="A174" s="18" t="n"/>
      <c r="B174" s="16" t="n"/>
      <c r="C174" s="5" t="n"/>
      <c r="D174" s="24" t="n"/>
      <c r="E174" s="24" t="n"/>
      <c r="F174" s="24" t="n"/>
      <c r="G174" s="24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</row>
    <row r="175" ht="15.75" customHeight="1" s="398">
      <c r="A175" s="18" t="n"/>
      <c r="B175" s="16" t="n"/>
      <c r="C175" s="5" t="n"/>
      <c r="D175" s="24" t="n"/>
      <c r="E175" s="24" t="n"/>
      <c r="F175" s="24" t="n"/>
      <c r="G175" s="24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</row>
    <row r="176" ht="15.75" customHeight="1" s="398">
      <c r="A176" s="18" t="n"/>
      <c r="B176" s="16" t="n"/>
      <c r="C176" s="5" t="n"/>
      <c r="D176" s="24" t="n"/>
      <c r="E176" s="24" t="n"/>
      <c r="F176" s="24" t="n"/>
      <c r="G176" s="24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</row>
    <row r="177" ht="15.75" customHeight="1" s="398">
      <c r="A177" s="18" t="n"/>
      <c r="B177" s="16" t="n"/>
      <c r="C177" s="5" t="n"/>
      <c r="D177" s="24" t="n"/>
      <c r="E177" s="24" t="n"/>
      <c r="F177" s="24" t="n"/>
      <c r="G177" s="24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</row>
    <row r="178" ht="15.75" customHeight="1" s="398">
      <c r="A178" s="18" t="n"/>
      <c r="B178" s="16" t="n"/>
      <c r="C178" s="5" t="n"/>
      <c r="D178" s="24" t="n"/>
      <c r="E178" s="24" t="n"/>
      <c r="F178" s="24" t="n"/>
      <c r="G178" s="24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</row>
    <row r="179" ht="15.75" customHeight="1" s="398">
      <c r="A179" s="18" t="n"/>
      <c r="B179" s="16" t="n"/>
      <c r="C179" s="5" t="n"/>
      <c r="D179" s="24" t="n"/>
      <c r="E179" s="24" t="n"/>
      <c r="F179" s="24" t="n"/>
      <c r="G179" s="24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</row>
    <row r="180" ht="15.75" customHeight="1" s="398">
      <c r="A180" s="18" t="n"/>
      <c r="B180" s="16" t="n"/>
      <c r="C180" s="5" t="n"/>
      <c r="D180" s="24" t="n"/>
      <c r="E180" s="24" t="n"/>
      <c r="F180" s="24" t="n"/>
      <c r="G180" s="24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</row>
    <row r="181" ht="15.75" customHeight="1" s="398">
      <c r="A181" s="18" t="n"/>
      <c r="B181" s="16" t="n"/>
      <c r="C181" s="5" t="n"/>
      <c r="D181" s="24" t="n"/>
      <c r="E181" s="24" t="n"/>
      <c r="F181" s="24" t="n"/>
      <c r="G181" s="24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</row>
    <row r="182" ht="15.75" customHeight="1" s="398">
      <c r="A182" s="18" t="n"/>
      <c r="B182" s="16" t="n"/>
      <c r="C182" s="5" t="n"/>
      <c r="D182" s="24" t="n"/>
      <c r="E182" s="24" t="n"/>
      <c r="F182" s="24" t="n"/>
      <c r="G182" s="24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</row>
    <row r="183" ht="15.75" customHeight="1" s="398">
      <c r="A183" s="18" t="n"/>
      <c r="B183" s="16" t="n"/>
      <c r="C183" s="5" t="n"/>
      <c r="D183" s="24" t="n"/>
      <c r="E183" s="24" t="n"/>
      <c r="F183" s="24" t="n"/>
      <c r="G183" s="24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</row>
    <row r="184" ht="15.75" customHeight="1" s="398">
      <c r="A184" s="18" t="n"/>
      <c r="B184" s="16" t="n"/>
      <c r="C184" s="5" t="n"/>
      <c r="D184" s="24" t="n"/>
      <c r="E184" s="24" t="n"/>
      <c r="F184" s="24" t="n"/>
      <c r="G184" s="24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</row>
    <row r="185" ht="15.75" customHeight="1" s="398">
      <c r="A185" s="18" t="n"/>
      <c r="B185" s="16" t="n"/>
      <c r="C185" s="5" t="n"/>
      <c r="D185" s="24" t="n"/>
      <c r="E185" s="24" t="n"/>
      <c r="F185" s="24" t="n"/>
      <c r="G185" s="24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</row>
    <row r="186" ht="15.75" customHeight="1" s="398">
      <c r="A186" s="18" t="n"/>
      <c r="B186" s="16" t="n"/>
      <c r="C186" s="5" t="n"/>
      <c r="D186" s="24" t="n"/>
      <c r="E186" s="24" t="n"/>
      <c r="F186" s="24" t="n"/>
      <c r="G186" s="24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</row>
    <row r="187" ht="15.75" customHeight="1" s="398">
      <c r="A187" s="18" t="n"/>
      <c r="B187" s="16" t="n"/>
      <c r="C187" s="5" t="n"/>
      <c r="D187" s="24" t="n"/>
      <c r="E187" s="24" t="n"/>
      <c r="F187" s="24" t="n"/>
      <c r="G187" s="24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</row>
    <row r="188" ht="15.75" customHeight="1" s="398">
      <c r="A188" s="18" t="n"/>
      <c r="B188" s="16" t="n"/>
      <c r="C188" s="5" t="n"/>
      <c r="D188" s="24" t="n"/>
      <c r="E188" s="24" t="n"/>
      <c r="F188" s="24" t="n"/>
      <c r="G188" s="24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</row>
    <row r="189" ht="15.75" customHeight="1" s="398">
      <c r="A189" s="18" t="n"/>
      <c r="B189" s="16" t="n"/>
      <c r="C189" s="5" t="n"/>
      <c r="D189" s="24" t="n"/>
      <c r="E189" s="24" t="n"/>
      <c r="F189" s="24" t="n"/>
      <c r="G189" s="24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</row>
    <row r="190" ht="15.75" customHeight="1" s="398">
      <c r="A190" s="18" t="n"/>
      <c r="B190" s="16" t="n"/>
      <c r="C190" s="5" t="n"/>
      <c r="D190" s="24" t="n"/>
      <c r="E190" s="24" t="n"/>
      <c r="F190" s="24" t="n"/>
      <c r="G190" s="24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</row>
    <row r="191" ht="15.75" customHeight="1" s="398">
      <c r="A191" s="18" t="n"/>
      <c r="B191" s="16" t="n"/>
      <c r="C191" s="5" t="n"/>
      <c r="D191" s="24" t="n"/>
      <c r="E191" s="24" t="n"/>
      <c r="F191" s="24" t="n"/>
      <c r="G191" s="24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</row>
    <row r="192" ht="15.75" customHeight="1" s="398">
      <c r="A192" s="18" t="n"/>
      <c r="B192" s="16" t="n"/>
      <c r="C192" s="5" t="n"/>
      <c r="D192" s="24" t="n"/>
      <c r="E192" s="24" t="n"/>
      <c r="F192" s="24" t="n"/>
      <c r="G192" s="24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</row>
    <row r="193" ht="15.75" customHeight="1" s="398">
      <c r="A193" s="18" t="n"/>
      <c r="B193" s="16" t="n"/>
      <c r="C193" s="5" t="n"/>
      <c r="D193" s="24" t="n"/>
      <c r="E193" s="24" t="n"/>
      <c r="F193" s="24" t="n"/>
      <c r="G193" s="24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</row>
    <row r="194" ht="15.75" customHeight="1" s="398">
      <c r="A194" s="18" t="n"/>
      <c r="B194" s="16" t="n"/>
      <c r="C194" s="5" t="n"/>
      <c r="D194" s="24" t="n"/>
      <c r="E194" s="24" t="n"/>
      <c r="F194" s="24" t="n"/>
      <c r="G194" s="24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</row>
    <row r="195" ht="15.75" customHeight="1" s="398">
      <c r="A195" s="18" t="n"/>
      <c r="B195" s="16" t="n"/>
      <c r="C195" s="5" t="n"/>
      <c r="D195" s="24" t="n"/>
      <c r="E195" s="24" t="n"/>
      <c r="F195" s="24" t="n"/>
      <c r="G195" s="24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</row>
    <row r="196" ht="15.75" customHeight="1" s="398">
      <c r="A196" s="18" t="n"/>
      <c r="B196" s="16" t="n"/>
      <c r="C196" s="5" t="n"/>
      <c r="D196" s="24" t="n"/>
      <c r="E196" s="24" t="n"/>
      <c r="F196" s="24" t="n"/>
      <c r="G196" s="24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</row>
    <row r="197" ht="15.75" customHeight="1" s="398">
      <c r="A197" s="18" t="n"/>
      <c r="B197" s="16" t="n"/>
      <c r="C197" s="5" t="n"/>
      <c r="D197" s="24" t="n"/>
      <c r="E197" s="24" t="n"/>
      <c r="F197" s="24" t="n"/>
      <c r="G197" s="24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</row>
    <row r="198" ht="15.75" customHeight="1" s="398">
      <c r="A198" s="18" t="n"/>
      <c r="B198" s="16" t="n"/>
      <c r="C198" s="5" t="n"/>
      <c r="D198" s="24" t="n"/>
      <c r="E198" s="24" t="n"/>
      <c r="F198" s="24" t="n"/>
      <c r="G198" s="24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</row>
    <row r="199" ht="15.75" customHeight="1" s="398">
      <c r="A199" s="18" t="n"/>
      <c r="B199" s="16" t="n"/>
      <c r="C199" s="5" t="n"/>
      <c r="D199" s="24" t="n"/>
      <c r="E199" s="24" t="n"/>
      <c r="F199" s="24" t="n"/>
      <c r="G199" s="24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</row>
    <row r="200" ht="15.75" customHeight="1" s="398">
      <c r="A200" s="18" t="n"/>
      <c r="B200" s="16" t="n"/>
      <c r="C200" s="5" t="n"/>
      <c r="D200" s="24" t="n"/>
      <c r="E200" s="24" t="n"/>
      <c r="F200" s="24" t="n"/>
      <c r="G200" s="24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</row>
    <row r="201" ht="15.75" customHeight="1" s="398">
      <c r="A201" s="18" t="n"/>
      <c r="B201" s="16" t="n"/>
      <c r="C201" s="5" t="n"/>
      <c r="D201" s="24" t="n"/>
      <c r="E201" s="24" t="n"/>
      <c r="F201" s="24" t="n"/>
      <c r="G201" s="24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</row>
    <row r="202" ht="15.75" customHeight="1" s="398">
      <c r="A202" s="18" t="n"/>
      <c r="B202" s="16" t="n"/>
      <c r="C202" s="5" t="n"/>
      <c r="D202" s="24" t="n"/>
      <c r="E202" s="24" t="n"/>
      <c r="F202" s="24" t="n"/>
      <c r="G202" s="24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</row>
    <row r="203" ht="15.75" customHeight="1" s="398">
      <c r="A203" s="18" t="n"/>
      <c r="B203" s="16" t="n"/>
      <c r="C203" s="5" t="n"/>
      <c r="D203" s="24" t="n"/>
      <c r="E203" s="24" t="n"/>
      <c r="F203" s="24" t="n"/>
      <c r="G203" s="24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</row>
    <row r="204" ht="15.75" customHeight="1" s="398">
      <c r="A204" s="18" t="n"/>
      <c r="B204" s="16" t="n"/>
      <c r="C204" s="5" t="n"/>
      <c r="D204" s="24" t="n"/>
      <c r="E204" s="24" t="n"/>
      <c r="F204" s="24" t="n"/>
      <c r="G204" s="24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</row>
    <row r="205" ht="15.75" customHeight="1" s="398">
      <c r="A205" s="18" t="n"/>
      <c r="B205" s="16" t="n"/>
      <c r="C205" s="5" t="n"/>
      <c r="D205" s="24" t="n"/>
      <c r="E205" s="24" t="n"/>
      <c r="F205" s="24" t="n"/>
      <c r="G205" s="24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</row>
    <row r="206" ht="15.75" customHeight="1" s="398">
      <c r="A206" s="18" t="n"/>
      <c r="B206" s="16" t="n"/>
      <c r="C206" s="5" t="n"/>
      <c r="D206" s="24" t="n"/>
      <c r="E206" s="24" t="n"/>
      <c r="F206" s="24" t="n"/>
      <c r="G206" s="24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</row>
    <row r="207" ht="15.75" customHeight="1" s="398">
      <c r="A207" s="18" t="n"/>
      <c r="B207" s="16" t="n"/>
      <c r="C207" s="5" t="n"/>
      <c r="D207" s="24" t="n"/>
      <c r="E207" s="24" t="n"/>
      <c r="F207" s="24" t="n"/>
      <c r="G207" s="24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</row>
    <row r="208" ht="15.75" customHeight="1" s="398">
      <c r="A208" s="18" t="n"/>
      <c r="B208" s="16" t="n"/>
      <c r="C208" s="5" t="n"/>
      <c r="D208" s="24" t="n"/>
      <c r="E208" s="24" t="n"/>
      <c r="F208" s="24" t="n"/>
      <c r="G208" s="24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</row>
    <row r="209" ht="15.75" customHeight="1" s="398">
      <c r="A209" s="18" t="n"/>
      <c r="B209" s="16" t="n"/>
      <c r="C209" s="5" t="n"/>
      <c r="D209" s="24" t="n"/>
      <c r="E209" s="24" t="n"/>
      <c r="F209" s="24" t="n"/>
      <c r="G209" s="24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</row>
    <row r="210" ht="15.75" customHeight="1" s="398">
      <c r="A210" s="18" t="n"/>
      <c r="B210" s="16" t="n"/>
      <c r="C210" s="5" t="n"/>
      <c r="D210" s="24" t="n"/>
      <c r="E210" s="24" t="n"/>
      <c r="F210" s="24" t="n"/>
      <c r="G210" s="24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</row>
    <row r="211" ht="15.75" customHeight="1" s="398">
      <c r="A211" s="18" t="n"/>
      <c r="B211" s="16" t="n"/>
      <c r="C211" s="5" t="n"/>
      <c r="D211" s="24" t="n"/>
      <c r="E211" s="24" t="n"/>
      <c r="F211" s="24" t="n"/>
      <c r="G211" s="24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</row>
    <row r="212" ht="15.75" customHeight="1" s="398">
      <c r="A212" s="18" t="n"/>
      <c r="B212" s="16" t="n"/>
      <c r="C212" s="5" t="n"/>
      <c r="D212" s="24" t="n"/>
      <c r="E212" s="24" t="n"/>
      <c r="F212" s="24" t="n"/>
      <c r="G212" s="24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</row>
    <row r="213" ht="15.75" customHeight="1" s="398">
      <c r="A213" s="18" t="n"/>
      <c r="B213" s="16" t="n"/>
      <c r="C213" s="5" t="n"/>
      <c r="D213" s="24" t="n"/>
      <c r="E213" s="24" t="n"/>
      <c r="F213" s="24" t="n"/>
      <c r="G213" s="24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</row>
    <row r="214" ht="15.75" customHeight="1" s="398">
      <c r="A214" s="18" t="n"/>
      <c r="B214" s="16" t="n"/>
      <c r="C214" s="5" t="n"/>
      <c r="D214" s="24" t="n"/>
      <c r="E214" s="24" t="n"/>
      <c r="F214" s="24" t="n"/>
      <c r="G214" s="24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</row>
    <row r="215" ht="15.75" customHeight="1" s="398">
      <c r="A215" s="18" t="n"/>
      <c r="B215" s="16" t="n"/>
      <c r="C215" s="5" t="n"/>
      <c r="D215" s="24" t="n"/>
      <c r="E215" s="24" t="n"/>
      <c r="F215" s="24" t="n"/>
      <c r="G215" s="24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</row>
    <row r="216" ht="15.75" customHeight="1" s="398">
      <c r="A216" s="18" t="n"/>
      <c r="B216" s="16" t="n"/>
      <c r="C216" s="5" t="n"/>
      <c r="D216" s="24" t="n"/>
      <c r="E216" s="24" t="n"/>
      <c r="F216" s="24" t="n"/>
      <c r="G216" s="24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</row>
    <row r="217" ht="15.75" customHeight="1" s="398">
      <c r="A217" s="18" t="n"/>
      <c r="B217" s="16" t="n"/>
      <c r="C217" s="5" t="n"/>
      <c r="D217" s="24" t="n"/>
      <c r="E217" s="24" t="n"/>
      <c r="F217" s="24" t="n"/>
      <c r="G217" s="24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</row>
    <row r="218" ht="15.75" customHeight="1" s="398">
      <c r="A218" s="18" t="n"/>
      <c r="B218" s="16" t="n"/>
      <c r="C218" s="5" t="n"/>
      <c r="D218" s="24" t="n"/>
      <c r="E218" s="24" t="n"/>
      <c r="F218" s="24" t="n"/>
      <c r="G218" s="24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</row>
    <row r="219" ht="15.75" customHeight="1" s="398">
      <c r="A219" s="18" t="n"/>
      <c r="B219" s="16" t="n"/>
      <c r="C219" s="5" t="n"/>
      <c r="D219" s="24" t="n"/>
      <c r="E219" s="24" t="n"/>
      <c r="F219" s="24" t="n"/>
      <c r="G219" s="24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</row>
    <row r="220" ht="15.75" customHeight="1" s="398">
      <c r="A220" s="18" t="n"/>
      <c r="B220" s="16" t="n"/>
      <c r="C220" s="5" t="n"/>
      <c r="D220" s="24" t="n"/>
      <c r="E220" s="24" t="n"/>
      <c r="F220" s="24" t="n"/>
      <c r="G220" s="24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</row>
    <row r="221" ht="15.75" customHeight="1" s="398">
      <c r="A221" s="18" t="n"/>
      <c r="B221" s="16" t="n"/>
      <c r="C221" s="5" t="n"/>
      <c r="D221" s="24" t="n"/>
      <c r="E221" s="24" t="n"/>
      <c r="F221" s="24" t="n"/>
      <c r="G221" s="24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</row>
    <row r="222" ht="15.75" customHeight="1" s="398">
      <c r="A222" s="18" t="n"/>
      <c r="B222" s="16" t="n"/>
      <c r="C222" s="5" t="n"/>
      <c r="D222" s="24" t="n"/>
      <c r="E222" s="24" t="n"/>
      <c r="F222" s="24" t="n"/>
      <c r="G222" s="24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</row>
    <row r="223" ht="15.75" customHeight="1" s="398">
      <c r="A223" s="18" t="n"/>
      <c r="B223" s="16" t="n"/>
      <c r="C223" s="5" t="n"/>
      <c r="D223" s="24" t="n"/>
      <c r="E223" s="24" t="n"/>
      <c r="F223" s="24" t="n"/>
      <c r="G223" s="24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</row>
    <row r="224" ht="15.75" customHeight="1" s="398">
      <c r="A224" s="18" t="n"/>
      <c r="B224" s="16" t="n"/>
      <c r="C224" s="5" t="n"/>
      <c r="D224" s="24" t="n"/>
      <c r="E224" s="24" t="n"/>
      <c r="F224" s="24" t="n"/>
      <c r="G224" s="24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</row>
    <row r="225" ht="15.75" customHeight="1" s="398">
      <c r="A225" s="18" t="n"/>
      <c r="B225" s="16" t="n"/>
      <c r="C225" s="5" t="n"/>
      <c r="D225" s="24" t="n"/>
      <c r="E225" s="24" t="n"/>
      <c r="F225" s="24" t="n"/>
      <c r="G225" s="24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</row>
    <row r="226" ht="15.75" customHeight="1" s="398">
      <c r="A226" s="18" t="n"/>
      <c r="B226" s="16" t="n"/>
      <c r="C226" s="5" t="n"/>
      <c r="D226" s="24" t="n"/>
      <c r="E226" s="24" t="n"/>
      <c r="F226" s="24" t="n"/>
      <c r="G226" s="24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</row>
    <row r="227" ht="15.75" customHeight="1" s="398">
      <c r="A227" s="18" t="n"/>
      <c r="B227" s="16" t="n"/>
      <c r="C227" s="5" t="n"/>
      <c r="D227" s="24" t="n"/>
      <c r="E227" s="24" t="n"/>
      <c r="F227" s="24" t="n"/>
      <c r="G227" s="24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</row>
    <row r="228" ht="15.75" customHeight="1" s="398">
      <c r="A228" s="18" t="n"/>
      <c r="B228" s="16" t="n"/>
      <c r="C228" s="5" t="n"/>
      <c r="D228" s="24" t="n"/>
      <c r="E228" s="24" t="n"/>
      <c r="F228" s="24" t="n"/>
      <c r="G228" s="24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</row>
    <row r="229" ht="15.75" customHeight="1" s="398">
      <c r="A229" s="18" t="n"/>
      <c r="B229" s="16" t="n"/>
      <c r="C229" s="5" t="n"/>
      <c r="D229" s="24" t="n"/>
      <c r="E229" s="24" t="n"/>
      <c r="F229" s="24" t="n"/>
      <c r="G229" s="24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</row>
    <row r="230" ht="15.75" customHeight="1" s="398">
      <c r="A230" s="18" t="n"/>
      <c r="B230" s="16" t="n"/>
      <c r="C230" s="5" t="n"/>
      <c r="D230" s="24" t="n"/>
      <c r="E230" s="24" t="n"/>
      <c r="F230" s="24" t="n"/>
      <c r="G230" s="24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</row>
    <row r="231" ht="15.75" customHeight="1" s="398">
      <c r="A231" s="18" t="n"/>
      <c r="B231" s="16" t="n"/>
      <c r="C231" s="5" t="n"/>
      <c r="D231" s="24" t="n"/>
      <c r="E231" s="24" t="n"/>
      <c r="F231" s="24" t="n"/>
      <c r="G231" s="24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</row>
    <row r="232" ht="15.75" customHeight="1" s="398">
      <c r="A232" s="18" t="n"/>
      <c r="B232" s="16" t="n"/>
      <c r="C232" s="5" t="n"/>
      <c r="D232" s="24" t="n"/>
      <c r="E232" s="24" t="n"/>
      <c r="F232" s="24" t="n"/>
      <c r="G232" s="24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</row>
    <row r="233" ht="15.75" customHeight="1" s="398">
      <c r="A233" s="18" t="n"/>
      <c r="B233" s="16" t="n"/>
      <c r="C233" s="5" t="n"/>
      <c r="D233" s="24" t="n"/>
      <c r="E233" s="24" t="n"/>
      <c r="F233" s="24" t="n"/>
      <c r="G233" s="24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</row>
    <row r="234" ht="15.75" customHeight="1" s="398">
      <c r="A234" s="18" t="n"/>
      <c r="B234" s="16" t="n"/>
      <c r="C234" s="5" t="n"/>
      <c r="D234" s="24" t="n"/>
      <c r="E234" s="24" t="n"/>
      <c r="F234" s="24" t="n"/>
      <c r="G234" s="24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</row>
    <row r="235" ht="15.75" customHeight="1" s="398">
      <c r="A235" s="18" t="n"/>
      <c r="B235" s="16" t="n"/>
      <c r="C235" s="5" t="n"/>
      <c r="D235" s="24" t="n"/>
      <c r="E235" s="24" t="n"/>
      <c r="F235" s="24" t="n"/>
      <c r="G235" s="24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</row>
    <row r="236" ht="15.75" customHeight="1" s="398">
      <c r="A236" s="18" t="n"/>
      <c r="B236" s="16" t="n"/>
      <c r="C236" s="5" t="n"/>
      <c r="D236" s="24" t="n"/>
      <c r="E236" s="24" t="n"/>
      <c r="F236" s="24" t="n"/>
      <c r="G236" s="24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</row>
    <row r="237" ht="15.75" customHeight="1" s="398">
      <c r="A237" s="18" t="n"/>
      <c r="B237" s="16" t="n"/>
      <c r="C237" s="5" t="n"/>
      <c r="D237" s="24" t="n"/>
      <c r="E237" s="24" t="n"/>
      <c r="F237" s="24" t="n"/>
      <c r="G237" s="24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</row>
    <row r="238" ht="15.75" customHeight="1" s="398">
      <c r="A238" s="18" t="n"/>
      <c r="B238" s="16" t="n"/>
      <c r="C238" s="5" t="n"/>
      <c r="D238" s="24" t="n"/>
      <c r="E238" s="24" t="n"/>
      <c r="F238" s="24" t="n"/>
      <c r="G238" s="24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</row>
    <row r="239" ht="15.75" customHeight="1" s="398">
      <c r="A239" s="18" t="n"/>
      <c r="B239" s="16" t="n"/>
      <c r="C239" s="5" t="n"/>
      <c r="D239" s="24" t="n"/>
      <c r="E239" s="24" t="n"/>
      <c r="F239" s="24" t="n"/>
      <c r="G239" s="24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</row>
    <row r="240" ht="15.75" customHeight="1" s="398">
      <c r="A240" s="18" t="n"/>
      <c r="B240" s="16" t="n"/>
      <c r="C240" s="5" t="n"/>
      <c r="D240" s="24" t="n"/>
      <c r="E240" s="24" t="n"/>
      <c r="F240" s="24" t="n"/>
      <c r="G240" s="24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</row>
    <row r="241" ht="15.75" customHeight="1" s="398">
      <c r="A241" s="18" t="n"/>
      <c r="B241" s="16" t="n"/>
      <c r="C241" s="5" t="n"/>
      <c r="D241" s="24" t="n"/>
      <c r="E241" s="24" t="n"/>
      <c r="F241" s="24" t="n"/>
      <c r="G241" s="24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</row>
    <row r="242" ht="15.75" customHeight="1" s="398">
      <c r="A242" s="18" t="n"/>
      <c r="B242" s="16" t="n"/>
      <c r="C242" s="5" t="n"/>
      <c r="D242" s="24" t="n"/>
      <c r="E242" s="24" t="n"/>
      <c r="F242" s="24" t="n"/>
      <c r="G242" s="24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</row>
    <row r="243" ht="15.75" customHeight="1" s="398">
      <c r="A243" s="18" t="n"/>
      <c r="B243" s="16" t="n"/>
      <c r="C243" s="5" t="n"/>
      <c r="D243" s="24" t="n"/>
      <c r="E243" s="24" t="n"/>
      <c r="F243" s="24" t="n"/>
      <c r="G243" s="24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</row>
    <row r="244" ht="15.75" customHeight="1" s="398">
      <c r="A244" s="18" t="n"/>
      <c r="B244" s="16" t="n"/>
      <c r="C244" s="5" t="n"/>
      <c r="D244" s="24" t="n"/>
      <c r="E244" s="24" t="n"/>
      <c r="F244" s="24" t="n"/>
      <c r="G244" s="24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</row>
    <row r="245" ht="15.75" customHeight="1" s="398">
      <c r="A245" s="18" t="n"/>
      <c r="B245" s="16" t="n"/>
      <c r="C245" s="5" t="n"/>
      <c r="D245" s="24" t="n"/>
      <c r="E245" s="24" t="n"/>
      <c r="F245" s="24" t="n"/>
      <c r="G245" s="24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</row>
    <row r="246" ht="15.75" customHeight="1" s="398">
      <c r="A246" s="18" t="n"/>
      <c r="B246" s="16" t="n"/>
      <c r="C246" s="5" t="n"/>
      <c r="D246" s="24" t="n"/>
      <c r="E246" s="24" t="n"/>
      <c r="F246" s="24" t="n"/>
      <c r="G246" s="24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</row>
    <row r="247" ht="15.75" customHeight="1" s="398">
      <c r="A247" s="18" t="n"/>
      <c r="B247" s="16" t="n"/>
      <c r="C247" s="5" t="n"/>
      <c r="D247" s="24" t="n"/>
      <c r="E247" s="24" t="n"/>
      <c r="F247" s="24" t="n"/>
      <c r="G247" s="24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</row>
    <row r="248" ht="15.75" customHeight="1" s="398">
      <c r="A248" s="18" t="n"/>
      <c r="B248" s="16" t="n"/>
      <c r="C248" s="5" t="n"/>
      <c r="D248" s="24" t="n"/>
      <c r="E248" s="24" t="n"/>
      <c r="F248" s="24" t="n"/>
      <c r="G248" s="24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</row>
    <row r="249" ht="15.75" customHeight="1" s="398">
      <c r="A249" s="18" t="n"/>
      <c r="B249" s="16" t="n"/>
      <c r="C249" s="5" t="n"/>
      <c r="D249" s="24" t="n"/>
      <c r="E249" s="24" t="n"/>
      <c r="F249" s="24" t="n"/>
      <c r="G249" s="24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</row>
    <row r="250" ht="15.75" customHeight="1" s="398">
      <c r="A250" s="18" t="n"/>
      <c r="B250" s="16" t="n"/>
      <c r="C250" s="5" t="n"/>
      <c r="D250" s="24" t="n"/>
      <c r="E250" s="24" t="n"/>
      <c r="F250" s="24" t="n"/>
      <c r="G250" s="24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</row>
    <row r="251" ht="15.75" customHeight="1" s="398">
      <c r="A251" s="18" t="n"/>
      <c r="B251" s="16" t="n"/>
      <c r="C251" s="5" t="n"/>
      <c r="D251" s="24" t="n"/>
      <c r="E251" s="24" t="n"/>
      <c r="F251" s="24" t="n"/>
      <c r="G251" s="24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</row>
    <row r="252" ht="15.75" customHeight="1" s="398">
      <c r="A252" s="18" t="n"/>
      <c r="B252" s="16" t="n"/>
      <c r="C252" s="5" t="n"/>
      <c r="D252" s="24" t="n"/>
      <c r="E252" s="24" t="n"/>
      <c r="F252" s="24" t="n"/>
      <c r="G252" s="24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</row>
    <row r="253" ht="15.75" customHeight="1" s="398">
      <c r="A253" s="18" t="n"/>
      <c r="B253" s="16" t="n"/>
      <c r="C253" s="5" t="n"/>
      <c r="D253" s="24" t="n"/>
      <c r="E253" s="24" t="n"/>
      <c r="F253" s="24" t="n"/>
      <c r="G253" s="24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</row>
    <row r="254" ht="15.75" customHeight="1" s="398">
      <c r="A254" s="18" t="n"/>
      <c r="B254" s="16" t="n"/>
      <c r="C254" s="5" t="n"/>
      <c r="D254" s="24" t="n"/>
      <c r="E254" s="24" t="n"/>
      <c r="F254" s="24" t="n"/>
      <c r="G254" s="24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</row>
    <row r="255" ht="15.75" customHeight="1" s="398">
      <c r="A255" s="18" t="n"/>
      <c r="B255" s="16" t="n"/>
      <c r="C255" s="5" t="n"/>
      <c r="D255" s="24" t="n"/>
      <c r="E255" s="24" t="n"/>
      <c r="F255" s="24" t="n"/>
      <c r="G255" s="24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</row>
    <row r="256" ht="15.75" customHeight="1" s="398">
      <c r="A256" s="18" t="n"/>
      <c r="B256" s="16" t="n"/>
      <c r="C256" s="5" t="n"/>
      <c r="D256" s="24" t="n"/>
      <c r="E256" s="24" t="n"/>
      <c r="F256" s="24" t="n"/>
      <c r="G256" s="24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</row>
    <row r="257" ht="15.75" customHeight="1" s="398">
      <c r="A257" s="18" t="n"/>
      <c r="B257" s="16" t="n"/>
      <c r="C257" s="5" t="n"/>
      <c r="D257" s="24" t="n"/>
      <c r="E257" s="24" t="n"/>
      <c r="F257" s="24" t="n"/>
      <c r="G257" s="24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</row>
    <row r="258" ht="15.75" customHeight="1" s="398">
      <c r="A258" s="18" t="n"/>
      <c r="B258" s="16" t="n"/>
      <c r="C258" s="5" t="n"/>
      <c r="D258" s="24" t="n"/>
      <c r="E258" s="24" t="n"/>
      <c r="F258" s="24" t="n"/>
      <c r="G258" s="24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</row>
    <row r="259" ht="15.75" customHeight="1" s="398">
      <c r="A259" s="18" t="n"/>
      <c r="B259" s="16" t="n"/>
      <c r="C259" s="5" t="n"/>
      <c r="D259" s="24" t="n"/>
      <c r="E259" s="24" t="n"/>
      <c r="F259" s="24" t="n"/>
      <c r="G259" s="24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</row>
    <row r="260" ht="15.75" customHeight="1" s="398">
      <c r="A260" s="18" t="n"/>
      <c r="B260" s="16" t="n"/>
      <c r="C260" s="5" t="n"/>
      <c r="D260" s="24" t="n"/>
      <c r="E260" s="24" t="n"/>
      <c r="F260" s="24" t="n"/>
      <c r="G260" s="24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</row>
    <row r="261" ht="15.75" customHeight="1" s="398">
      <c r="A261" s="18" t="n"/>
      <c r="B261" s="16" t="n"/>
      <c r="C261" s="5" t="n"/>
      <c r="D261" s="24" t="n"/>
      <c r="E261" s="24" t="n"/>
      <c r="F261" s="24" t="n"/>
      <c r="G261" s="24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</row>
    <row r="262" ht="15.75" customHeight="1" s="398">
      <c r="A262" s="18" t="n"/>
      <c r="B262" s="16" t="n"/>
      <c r="C262" s="5" t="n"/>
      <c r="D262" s="24" t="n"/>
      <c r="E262" s="24" t="n"/>
      <c r="F262" s="24" t="n"/>
      <c r="G262" s="24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</row>
    <row r="263" ht="15.75" customHeight="1" s="398">
      <c r="A263" s="18" t="n"/>
      <c r="B263" s="16" t="n"/>
      <c r="C263" s="5" t="n"/>
      <c r="D263" s="24" t="n"/>
      <c r="E263" s="24" t="n"/>
      <c r="F263" s="24" t="n"/>
      <c r="G263" s="24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</row>
    <row r="264" ht="15.75" customHeight="1" s="398">
      <c r="A264" s="18" t="n"/>
      <c r="B264" s="16" t="n"/>
      <c r="C264" s="5" t="n"/>
      <c r="D264" s="24" t="n"/>
      <c r="E264" s="24" t="n"/>
      <c r="F264" s="24" t="n"/>
      <c r="G264" s="24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</row>
    <row r="265" ht="15.75" customHeight="1" s="398">
      <c r="A265" s="18" t="n"/>
      <c r="B265" s="16" t="n"/>
      <c r="C265" s="5" t="n"/>
      <c r="D265" s="24" t="n"/>
      <c r="E265" s="24" t="n"/>
      <c r="F265" s="24" t="n"/>
      <c r="G265" s="24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</row>
    <row r="266" ht="15.75" customHeight="1" s="398">
      <c r="A266" s="18" t="n"/>
      <c r="B266" s="16" t="n"/>
      <c r="C266" s="5" t="n"/>
      <c r="D266" s="24" t="n"/>
      <c r="E266" s="24" t="n"/>
      <c r="F266" s="24" t="n"/>
      <c r="G266" s="24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</row>
    <row r="267" ht="15.75" customHeight="1" s="398">
      <c r="A267" s="18" t="n"/>
      <c r="B267" s="16" t="n"/>
      <c r="C267" s="5" t="n"/>
      <c r="D267" s="24" t="n"/>
      <c r="E267" s="24" t="n"/>
      <c r="F267" s="24" t="n"/>
      <c r="G267" s="24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</row>
    <row r="268" ht="15.75" customHeight="1" s="398">
      <c r="A268" s="18" t="n"/>
      <c r="B268" s="16" t="n"/>
      <c r="C268" s="5" t="n"/>
      <c r="D268" s="24" t="n"/>
      <c r="E268" s="24" t="n"/>
      <c r="F268" s="24" t="n"/>
      <c r="G268" s="24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</row>
    <row r="269" ht="15.75" customHeight="1" s="398">
      <c r="A269" s="18" t="n"/>
      <c r="B269" s="16" t="n"/>
      <c r="C269" s="5" t="n"/>
      <c r="D269" s="24" t="n"/>
      <c r="E269" s="24" t="n"/>
      <c r="F269" s="24" t="n"/>
      <c r="G269" s="24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</row>
    <row r="270" ht="15.75" customHeight="1" s="398">
      <c r="A270" s="18" t="n"/>
      <c r="B270" s="16" t="n"/>
      <c r="C270" s="5" t="n"/>
      <c r="D270" s="24" t="n"/>
      <c r="E270" s="24" t="n"/>
      <c r="F270" s="24" t="n"/>
      <c r="G270" s="24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</row>
    <row r="271" ht="15.75" customHeight="1" s="398">
      <c r="A271" s="18" t="n"/>
      <c r="B271" s="16" t="n"/>
      <c r="C271" s="5" t="n"/>
      <c r="D271" s="24" t="n"/>
      <c r="E271" s="24" t="n"/>
      <c r="F271" s="24" t="n"/>
      <c r="G271" s="24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</row>
    <row r="272" ht="15.75" customHeight="1" s="398">
      <c r="A272" s="18" t="n"/>
      <c r="B272" s="16" t="n"/>
      <c r="C272" s="5" t="n"/>
      <c r="D272" s="24" t="n"/>
      <c r="E272" s="24" t="n"/>
      <c r="F272" s="24" t="n"/>
      <c r="G272" s="24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</row>
    <row r="273" ht="15.75" customHeight="1" s="398">
      <c r="A273" s="18" t="n"/>
      <c r="B273" s="16" t="n"/>
      <c r="C273" s="5" t="n"/>
      <c r="D273" s="24" t="n"/>
      <c r="E273" s="24" t="n"/>
      <c r="F273" s="24" t="n"/>
      <c r="G273" s="24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</row>
    <row r="274" ht="15.75" customHeight="1" s="398">
      <c r="A274" s="18" t="n"/>
      <c r="B274" s="16" t="n"/>
      <c r="C274" s="5" t="n"/>
      <c r="D274" s="24" t="n"/>
      <c r="E274" s="24" t="n"/>
      <c r="F274" s="24" t="n"/>
      <c r="G274" s="24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</row>
    <row r="275" ht="15.75" customHeight="1" s="398">
      <c r="A275" s="18" t="n"/>
      <c r="B275" s="16" t="n"/>
      <c r="C275" s="5" t="n"/>
      <c r="D275" s="24" t="n"/>
      <c r="E275" s="24" t="n"/>
      <c r="F275" s="24" t="n"/>
      <c r="G275" s="24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</row>
    <row r="276" ht="15.75" customHeight="1" s="398">
      <c r="A276" s="18" t="n"/>
      <c r="B276" s="16" t="n"/>
      <c r="C276" s="5" t="n"/>
      <c r="D276" s="24" t="n"/>
      <c r="E276" s="24" t="n"/>
      <c r="F276" s="24" t="n"/>
      <c r="G276" s="24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</row>
    <row r="277" ht="15.75" customHeight="1" s="398">
      <c r="A277" s="18" t="n"/>
      <c r="B277" s="16" t="n"/>
      <c r="C277" s="5" t="n"/>
      <c r="D277" s="24" t="n"/>
      <c r="E277" s="24" t="n"/>
      <c r="F277" s="24" t="n"/>
      <c r="G277" s="24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</row>
    <row r="278" ht="15.75" customHeight="1" s="398">
      <c r="A278" s="18" t="n"/>
      <c r="B278" s="16" t="n"/>
      <c r="C278" s="5" t="n"/>
      <c r="D278" s="24" t="n"/>
      <c r="E278" s="24" t="n"/>
      <c r="F278" s="24" t="n"/>
      <c r="G278" s="24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</row>
    <row r="279" ht="15.75" customHeight="1" s="398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</row>
    <row r="280" ht="15.75" customHeight="1" s="398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</row>
    <row r="281" ht="15.75" customHeight="1" s="398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</row>
    <row r="282" ht="15.75" customHeight="1" s="398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</row>
    <row r="283" ht="15.75" customHeight="1" s="398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</row>
    <row r="284" ht="15.75" customHeight="1" s="398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</row>
    <row r="285" ht="15.75" customHeight="1" s="398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</row>
    <row r="286" ht="15.75" customHeight="1" s="398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</row>
    <row r="287" ht="15.75" customHeight="1" s="398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</row>
    <row r="288" ht="15.75" customHeight="1" s="39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</row>
    <row r="289" ht="15.75" customHeight="1" s="398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</row>
    <row r="290" ht="15.75" customHeight="1" s="398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</row>
    <row r="291" ht="15.75" customHeight="1" s="398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</row>
    <row r="292" ht="15.75" customHeight="1" s="398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</row>
    <row r="293" ht="15.75" customHeight="1" s="398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</row>
    <row r="294" ht="15.75" customHeight="1" s="398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</row>
    <row r="295" ht="15.75" customHeight="1" s="398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</row>
    <row r="296" ht="15.75" customHeight="1" s="398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</row>
    <row r="297" ht="15.75" customHeight="1" s="398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</row>
    <row r="298" ht="15.75" customHeight="1" s="3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</row>
    <row r="299" ht="15.75" customHeight="1" s="398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</row>
    <row r="300" ht="15.75" customHeight="1" s="398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</row>
    <row r="301" ht="15.75" customHeight="1" s="398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</row>
    <row r="302" ht="15.75" customHeight="1" s="398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</row>
    <row r="303" ht="15.75" customHeight="1" s="398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</row>
    <row r="304" ht="15.75" customHeight="1" s="398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</row>
    <row r="305" ht="15.75" customHeight="1" s="398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</row>
    <row r="306" ht="15.75" customHeight="1" s="398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</row>
    <row r="307" ht="15.75" customHeight="1" s="398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</row>
    <row r="308" ht="15.75" customHeight="1" s="39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</row>
    <row r="309" ht="15.75" customHeight="1" s="398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</row>
    <row r="310" ht="15.75" customHeight="1" s="398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</row>
    <row r="311" ht="15.75" customHeight="1" s="398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</row>
    <row r="312" ht="15.75" customHeight="1" s="398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</row>
    <row r="313" ht="15.75" customHeight="1" s="398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</row>
    <row r="314" ht="15.75" customHeight="1" s="398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</row>
    <row r="315" ht="15.75" customHeight="1" s="398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</row>
    <row r="316" ht="15.75" customHeight="1" s="398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</row>
    <row r="317" ht="15.75" customHeight="1" s="398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</row>
    <row r="318" ht="15.75" customHeight="1" s="39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</row>
    <row r="319" ht="15.75" customHeight="1" s="398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</row>
    <row r="320" ht="15.75" customHeight="1" s="398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</row>
    <row r="321" ht="15.75" customHeight="1" s="398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</row>
    <row r="322" ht="15.75" customHeight="1" s="398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</row>
    <row r="323" ht="15.75" customHeight="1" s="398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</row>
    <row r="324" ht="15.75" customHeight="1" s="398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</row>
    <row r="325" ht="15.75" customHeight="1" s="398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</row>
    <row r="326" ht="15.75" customHeight="1" s="398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</row>
    <row r="327" ht="15.75" customHeight="1" s="398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</row>
    <row r="328" ht="15.75" customHeight="1" s="39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</row>
    <row r="329" ht="15.75" customHeight="1" s="398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</row>
    <row r="330" ht="15.75" customHeight="1" s="398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</row>
    <row r="331" ht="15.75" customHeight="1" s="398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</row>
    <row r="332" ht="15.75" customHeight="1" s="398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</row>
    <row r="333" ht="15.75" customHeight="1" s="398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</row>
    <row r="334" ht="15.75" customHeight="1" s="398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</row>
    <row r="335" ht="15.75" customHeight="1" s="398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</row>
    <row r="336" ht="15.75" customHeight="1" s="398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</row>
    <row r="337" ht="15.75" customHeight="1" s="398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</row>
    <row r="338" ht="15.75" customHeight="1" s="39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</row>
    <row r="339" ht="15.75" customHeight="1" s="398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</row>
    <row r="340" ht="15.75" customHeight="1" s="398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</row>
    <row r="341" ht="15.75" customHeight="1" s="398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</row>
    <row r="342" ht="15.75" customHeight="1" s="398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</row>
    <row r="343" ht="15.75" customHeight="1" s="398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</row>
    <row r="344" ht="15.75" customHeight="1" s="398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</row>
    <row r="345" ht="15.75" customHeight="1" s="398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</row>
    <row r="346" ht="15.75" customHeight="1" s="398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</row>
    <row r="347" ht="15.75" customHeight="1" s="398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</row>
    <row r="348" ht="15.75" customHeight="1" s="39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</row>
    <row r="349" ht="15.75" customHeight="1" s="398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</row>
    <row r="350" ht="15.75" customHeight="1" s="398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</row>
    <row r="351" ht="15.75" customHeight="1" s="398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</row>
    <row r="352" ht="15.75" customHeight="1" s="398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</row>
    <row r="353" ht="15.75" customHeight="1" s="398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</row>
    <row r="354" ht="15.75" customHeight="1" s="398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</row>
    <row r="355" ht="15.75" customHeight="1" s="398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</row>
    <row r="356" ht="15.75" customHeight="1" s="398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</row>
    <row r="357" ht="15.75" customHeight="1" s="398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</row>
    <row r="358" ht="15.75" customHeight="1" s="39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</row>
    <row r="359" ht="15.75" customHeight="1" s="398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</row>
    <row r="360" ht="15.75" customHeight="1" s="398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</row>
    <row r="361" ht="15.75" customHeight="1" s="398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</row>
    <row r="362" ht="15.75" customHeight="1" s="398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</row>
    <row r="363" ht="15.75" customHeight="1" s="398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</row>
    <row r="364" ht="15.75" customHeight="1" s="398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</row>
    <row r="365" ht="15.75" customHeight="1" s="398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</row>
    <row r="366" ht="15.75" customHeight="1" s="398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</row>
    <row r="367" ht="15.75" customHeight="1" s="398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</row>
    <row r="368" ht="15.75" customHeight="1" s="39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</row>
    <row r="369" ht="15.75" customHeight="1" s="398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</row>
    <row r="370" ht="15.75" customHeight="1" s="398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</row>
    <row r="371" ht="15.75" customHeight="1" s="398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</row>
    <row r="372" ht="15.75" customHeight="1" s="398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</row>
    <row r="373" ht="15.75" customHeight="1" s="398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</row>
    <row r="374" ht="15.75" customHeight="1" s="398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</row>
    <row r="375" ht="15.75" customHeight="1" s="398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</row>
    <row r="376" ht="15.75" customHeight="1" s="398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</row>
    <row r="377" ht="15.75" customHeight="1" s="398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</row>
    <row r="378" ht="15.75" customHeight="1" s="39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</row>
    <row r="379" ht="15.75" customHeight="1" s="398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</row>
    <row r="380" ht="15.75" customHeight="1" s="398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</row>
    <row r="381" ht="15.75" customHeight="1" s="398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</row>
    <row r="382" ht="15.75" customHeight="1" s="398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</row>
    <row r="383" ht="15.75" customHeight="1" s="398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</row>
    <row r="384" ht="15.75" customHeight="1" s="398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</row>
    <row r="385" ht="15.75" customHeight="1" s="398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</row>
    <row r="386" ht="15.75" customHeight="1" s="398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</row>
    <row r="387" ht="15.75" customHeight="1" s="398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</row>
    <row r="388" ht="15.75" customHeight="1" s="39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</row>
    <row r="389" ht="15.75" customHeight="1" s="398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</row>
    <row r="390" ht="15.75" customHeight="1" s="398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</row>
    <row r="391" ht="15.75" customHeight="1" s="398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</row>
    <row r="392" ht="15.75" customHeight="1" s="398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</row>
    <row r="393" ht="15.75" customHeight="1" s="398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</row>
    <row r="394" ht="15.75" customHeight="1" s="398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</row>
    <row r="395" ht="15.75" customHeight="1" s="398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</row>
    <row r="396" ht="15.75" customHeight="1" s="398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</row>
    <row r="397" ht="15.75" customHeight="1" s="398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</row>
    <row r="398" ht="15.75" customHeight="1" s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</row>
    <row r="399" ht="15.75" customHeight="1" s="398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</row>
    <row r="400" ht="15.75" customHeight="1" s="398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</row>
    <row r="401" ht="15.75" customHeight="1" s="398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</row>
    <row r="402" ht="15.75" customHeight="1" s="398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</row>
    <row r="403" ht="15.75" customHeight="1" s="398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</row>
    <row r="404" ht="15.75" customHeight="1" s="398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</row>
    <row r="405" ht="15.75" customHeight="1" s="398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</row>
    <row r="406" ht="15.75" customHeight="1" s="398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</row>
    <row r="407" ht="15.75" customHeight="1" s="398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</row>
    <row r="408" ht="15.75" customHeight="1" s="39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</row>
    <row r="409" ht="15.75" customHeight="1" s="398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</row>
    <row r="410" ht="15.75" customHeight="1" s="398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</row>
    <row r="411" ht="15.75" customHeight="1" s="398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</row>
    <row r="412" ht="15.75" customHeight="1" s="398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</row>
    <row r="413" ht="15.75" customHeight="1" s="398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</row>
    <row r="414" ht="15.75" customHeight="1" s="398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</row>
    <row r="415" ht="15.75" customHeight="1" s="398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</row>
    <row r="416" ht="15.75" customHeight="1" s="398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</row>
    <row r="417" ht="15.75" customHeight="1" s="398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</row>
    <row r="418" ht="15.75" customHeight="1" s="39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</row>
    <row r="419" ht="15.75" customHeight="1" s="398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</row>
    <row r="420" ht="15.75" customHeight="1" s="398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</row>
    <row r="421" ht="15.75" customHeight="1" s="398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</row>
    <row r="422" ht="15.75" customHeight="1" s="398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</row>
    <row r="423" ht="15.75" customHeight="1" s="398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</row>
    <row r="424" ht="15.75" customHeight="1" s="398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</row>
    <row r="425" ht="15.75" customHeight="1" s="398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</row>
    <row r="426" ht="15.75" customHeight="1" s="398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</row>
    <row r="427" ht="15.75" customHeight="1" s="398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</row>
    <row r="428" ht="15.75" customHeight="1" s="39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</row>
    <row r="429" ht="15.75" customHeight="1" s="398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</row>
    <row r="430" ht="15.75" customHeight="1" s="398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</row>
    <row r="431" ht="15.75" customHeight="1" s="398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</row>
    <row r="432" ht="15.75" customHeight="1" s="398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</row>
    <row r="433" ht="15.75" customHeight="1" s="398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</row>
    <row r="434" ht="15.75" customHeight="1" s="398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</row>
    <row r="435" ht="15.75" customHeight="1" s="398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</row>
    <row r="436" ht="15.75" customHeight="1" s="398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</row>
    <row r="437" ht="15.75" customHeight="1" s="398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</row>
    <row r="438" ht="15.75" customHeight="1" s="39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</row>
    <row r="439" ht="15.75" customHeight="1" s="398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</row>
    <row r="440" ht="15.75" customHeight="1" s="398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</row>
    <row r="441" ht="15.75" customHeight="1" s="398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</row>
    <row r="442" ht="15.75" customHeight="1" s="398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</row>
    <row r="443" ht="15.75" customHeight="1" s="398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</row>
    <row r="444" ht="15.75" customHeight="1" s="398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</row>
    <row r="445" ht="15.75" customHeight="1" s="398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</row>
    <row r="446" ht="15.75" customHeight="1" s="398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</row>
    <row r="447" ht="15.75" customHeight="1" s="398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</row>
    <row r="448" ht="15.75" customHeight="1" s="39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</row>
    <row r="449" ht="15.75" customHeight="1" s="398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</row>
    <row r="450" ht="15.75" customHeight="1" s="398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</row>
    <row r="451" ht="15.75" customHeight="1" s="398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</row>
    <row r="452" ht="15.75" customHeight="1" s="398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</row>
    <row r="453" ht="15.75" customHeight="1" s="398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</row>
    <row r="454" ht="15.75" customHeight="1" s="398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</row>
    <row r="455" ht="15.75" customHeight="1" s="398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</row>
    <row r="456" ht="15.75" customHeight="1" s="398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</row>
    <row r="457" ht="15.75" customHeight="1" s="398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</row>
    <row r="458" ht="15.75" customHeight="1" s="39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</row>
    <row r="459" ht="15.75" customHeight="1" s="398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</row>
    <row r="460" ht="15.75" customHeight="1" s="398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</row>
    <row r="461" ht="15.75" customHeight="1" s="398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</row>
    <row r="462" ht="15.75" customHeight="1" s="398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</row>
    <row r="463" ht="15.75" customHeight="1" s="398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</row>
    <row r="464" ht="15.75" customHeight="1" s="398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</row>
    <row r="465" ht="15.75" customHeight="1" s="398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</row>
    <row r="466" ht="15.75" customHeight="1" s="398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</row>
    <row r="467" ht="15.75" customHeight="1" s="398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</row>
    <row r="468" ht="15.75" customHeight="1" s="39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</row>
    <row r="469" ht="15.75" customHeight="1" s="398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</row>
    <row r="470" ht="15.75" customHeight="1" s="398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</row>
    <row r="471" ht="15.75" customHeight="1" s="398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</row>
    <row r="472" ht="15.75" customHeight="1" s="398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</row>
    <row r="473" ht="15.75" customHeight="1" s="398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</row>
    <row r="474" ht="15.75" customHeight="1" s="398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</row>
    <row r="475" ht="15.75" customHeight="1" s="398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</row>
    <row r="476" ht="15.75" customHeight="1" s="398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</row>
    <row r="477" ht="15.75" customHeight="1" s="398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</row>
    <row r="478" ht="15.75" customHeight="1" s="39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</row>
    <row r="479" ht="15.75" customHeight="1" s="398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</row>
    <row r="480" ht="15.75" customHeight="1" s="398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</row>
    <row r="481" ht="15.75" customHeight="1" s="398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</row>
    <row r="482" ht="15.75" customHeight="1" s="398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</row>
    <row r="483" ht="15.75" customHeight="1" s="398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</row>
    <row r="484" ht="15.75" customHeight="1" s="398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</row>
    <row r="485" ht="15.75" customHeight="1" s="398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</row>
    <row r="486" ht="15.75" customHeight="1" s="398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</row>
    <row r="487" ht="15.75" customHeight="1" s="398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</row>
    <row r="488" ht="15.75" customHeight="1" s="39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</row>
    <row r="489" ht="15.75" customHeight="1" s="398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</row>
    <row r="490" ht="15.75" customHeight="1" s="398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</row>
    <row r="491" ht="15.75" customHeight="1" s="398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</row>
    <row r="492" ht="15.75" customHeight="1" s="398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</row>
    <row r="493" ht="15.75" customHeight="1" s="398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</row>
    <row r="494" ht="15.75" customHeight="1" s="398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</row>
    <row r="495" ht="15.75" customHeight="1" s="398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</row>
    <row r="496" ht="15.75" customHeight="1" s="398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</row>
    <row r="497" ht="15.75" customHeight="1" s="398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</row>
    <row r="498" ht="15.75" customHeight="1" s="3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</row>
    <row r="499" ht="15.75" customHeight="1" s="398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</row>
    <row r="500" ht="15.75" customHeight="1" s="398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</row>
    <row r="501" ht="15.75" customHeight="1" s="398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</row>
    <row r="502" ht="15.75" customHeight="1" s="398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</row>
    <row r="503" ht="15.75" customHeight="1" s="398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</row>
    <row r="504" ht="15.75" customHeight="1" s="398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</row>
    <row r="505" ht="15.75" customHeight="1" s="398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</row>
    <row r="506" ht="15.75" customHeight="1" s="398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</row>
    <row r="507" ht="15.75" customHeight="1" s="398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</row>
    <row r="508" ht="15.75" customHeight="1" s="39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</row>
    <row r="509" ht="15.75" customHeight="1" s="398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</row>
    <row r="510" ht="15.75" customHeight="1" s="398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</row>
    <row r="511" ht="15.75" customHeight="1" s="398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</row>
    <row r="512" ht="15.75" customHeight="1" s="398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</row>
    <row r="513" ht="15.75" customHeight="1" s="398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</row>
    <row r="514" ht="15.75" customHeight="1" s="398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</row>
    <row r="515" ht="15.75" customHeight="1" s="398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</row>
    <row r="516" ht="15.75" customHeight="1" s="398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</row>
    <row r="517" ht="15.75" customHeight="1" s="398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</row>
    <row r="518" ht="15.75" customHeight="1" s="39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</row>
    <row r="519" ht="15.75" customHeight="1" s="398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</row>
    <row r="520" ht="15.75" customHeight="1" s="398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</row>
    <row r="521" ht="15.75" customHeight="1" s="398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</row>
    <row r="522" ht="15.75" customHeight="1" s="398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</row>
    <row r="523" ht="15.75" customHeight="1" s="398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</row>
    <row r="524" ht="15.75" customHeight="1" s="398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</row>
    <row r="525" ht="15.75" customHeight="1" s="398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</row>
    <row r="526" ht="15.75" customHeight="1" s="398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</row>
    <row r="527" ht="15.75" customHeight="1" s="398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</row>
    <row r="528" ht="15.75" customHeight="1" s="39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</row>
    <row r="529" ht="15.75" customHeight="1" s="398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</row>
    <row r="530" ht="15.75" customHeight="1" s="398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</row>
    <row r="531" ht="15.75" customHeight="1" s="398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</row>
    <row r="532" ht="15.75" customHeight="1" s="398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</row>
    <row r="533" ht="15.75" customHeight="1" s="398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</row>
    <row r="534" ht="15.75" customHeight="1" s="398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</row>
    <row r="535" ht="15.75" customHeight="1" s="398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</row>
    <row r="536" ht="15.75" customHeight="1" s="398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</row>
    <row r="537" ht="15.75" customHeight="1" s="398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</row>
    <row r="538" ht="15.75" customHeight="1" s="39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</row>
    <row r="539" ht="15.75" customHeight="1" s="398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</row>
    <row r="540" ht="15.75" customHeight="1" s="398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</row>
    <row r="541" ht="15.75" customHeight="1" s="398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</row>
    <row r="542" ht="15.75" customHeight="1" s="398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</row>
    <row r="543" ht="15.75" customHeight="1" s="398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</row>
    <row r="544" ht="15.75" customHeight="1" s="398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</row>
    <row r="545" ht="15.75" customHeight="1" s="398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</row>
    <row r="546" ht="15.75" customHeight="1" s="398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</row>
    <row r="547" ht="15.75" customHeight="1" s="398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</row>
    <row r="548" ht="15.75" customHeight="1" s="39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</row>
    <row r="549" ht="15.75" customHeight="1" s="398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</row>
    <row r="550" ht="15.75" customHeight="1" s="398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</row>
    <row r="551" ht="15.75" customHeight="1" s="398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</row>
    <row r="552" ht="15.75" customHeight="1" s="398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</row>
    <row r="553" ht="15.75" customHeight="1" s="398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</row>
    <row r="554" ht="15.75" customHeight="1" s="398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</row>
    <row r="555" ht="15.75" customHeight="1" s="398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</row>
    <row r="556" ht="15.75" customHeight="1" s="398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</row>
    <row r="557" ht="15.75" customHeight="1" s="398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</row>
    <row r="558" ht="15.75" customHeight="1" s="39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</row>
    <row r="559" ht="15.75" customHeight="1" s="398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</row>
    <row r="560" ht="15.75" customHeight="1" s="398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</row>
    <row r="561" ht="15.75" customHeight="1" s="398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</row>
    <row r="562" ht="15.75" customHeight="1" s="398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</row>
    <row r="563" ht="15.75" customHeight="1" s="398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</row>
    <row r="564" ht="15.75" customHeight="1" s="398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</row>
    <row r="565" ht="15.75" customHeight="1" s="398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</row>
    <row r="566" ht="15.75" customHeight="1" s="398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</row>
    <row r="567" ht="15.75" customHeight="1" s="398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</row>
    <row r="568" ht="15.75" customHeight="1" s="39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</row>
    <row r="569" ht="15.75" customHeight="1" s="398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</row>
    <row r="570" ht="15.75" customHeight="1" s="398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</row>
    <row r="571" ht="15.75" customHeight="1" s="398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</row>
    <row r="572" ht="15.75" customHeight="1" s="398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</row>
    <row r="573" ht="15.75" customHeight="1" s="398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</row>
    <row r="574" ht="15.75" customHeight="1" s="398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</row>
    <row r="575" ht="15.75" customHeight="1" s="398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</row>
    <row r="576" ht="15.75" customHeight="1" s="398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</row>
    <row r="577" ht="15.75" customHeight="1" s="398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</row>
    <row r="578" ht="15.75" customHeight="1" s="39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</row>
    <row r="579" ht="15.75" customHeight="1" s="398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</row>
    <row r="580" ht="15.75" customHeight="1" s="398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</row>
    <row r="581" ht="15.75" customHeight="1" s="398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</row>
    <row r="582" ht="15.75" customHeight="1" s="398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</row>
    <row r="583" ht="15.75" customHeight="1" s="398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</row>
    <row r="584" ht="15.75" customHeight="1" s="398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</row>
    <row r="585" ht="15.75" customHeight="1" s="398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</row>
    <row r="586" ht="15.75" customHeight="1" s="398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</row>
    <row r="587" ht="15.75" customHeight="1" s="398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</row>
    <row r="588" ht="15.75" customHeight="1" s="39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</row>
    <row r="589" ht="15.75" customHeight="1" s="398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</row>
    <row r="590" ht="15.75" customHeight="1" s="398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</row>
    <row r="591" ht="15.75" customHeight="1" s="398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</row>
    <row r="592" ht="15.75" customHeight="1" s="398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</row>
    <row r="593" ht="15.75" customHeight="1" s="398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</row>
    <row r="594" ht="15.75" customHeight="1" s="398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</row>
    <row r="595" ht="15.75" customHeight="1" s="398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</row>
    <row r="596" ht="15.75" customHeight="1" s="398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</row>
    <row r="597" ht="15.75" customHeight="1" s="398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</row>
    <row r="598" ht="15.75" customHeight="1" s="3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</row>
    <row r="599" ht="15.75" customHeight="1" s="398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</row>
    <row r="600" ht="15.75" customHeight="1" s="398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</row>
    <row r="601" ht="15.75" customHeight="1" s="398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</row>
    <row r="602" ht="15.75" customHeight="1" s="398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</row>
    <row r="603" ht="15.75" customHeight="1" s="398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</row>
    <row r="604" ht="15.75" customHeight="1" s="398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</row>
    <row r="605" ht="15.75" customHeight="1" s="398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</row>
    <row r="606" ht="15.75" customHeight="1" s="398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</row>
    <row r="607" ht="15.75" customHeight="1" s="398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</row>
    <row r="608" ht="15.75" customHeight="1" s="39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</row>
    <row r="609" ht="15.75" customHeight="1" s="398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</row>
    <row r="610" ht="15.75" customHeight="1" s="398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</row>
    <row r="611" ht="15.75" customHeight="1" s="398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</row>
    <row r="612" ht="15.75" customHeight="1" s="398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</row>
    <row r="613" ht="15.75" customHeight="1" s="398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</row>
    <row r="614" ht="15.75" customHeight="1" s="398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</row>
    <row r="615" ht="15.75" customHeight="1" s="398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</row>
    <row r="616" ht="15.75" customHeight="1" s="398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</row>
    <row r="617" ht="15.75" customHeight="1" s="398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</row>
    <row r="618" ht="15.75" customHeight="1" s="39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</row>
    <row r="619" ht="15.75" customHeight="1" s="398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</row>
    <row r="620" ht="15.75" customHeight="1" s="398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</row>
    <row r="621" ht="15.75" customHeight="1" s="398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</row>
    <row r="622" ht="15.75" customHeight="1" s="398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</row>
    <row r="623" ht="15.75" customHeight="1" s="398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</row>
    <row r="624" ht="15.75" customHeight="1" s="398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</row>
    <row r="625" ht="15.75" customHeight="1" s="398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</row>
    <row r="626" ht="15.75" customHeight="1" s="398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</row>
    <row r="627" ht="15.75" customHeight="1" s="398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</row>
    <row r="628" ht="15.75" customHeight="1" s="39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</row>
    <row r="629" ht="15.75" customHeight="1" s="398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</row>
    <row r="630" ht="15.75" customHeight="1" s="398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</row>
    <row r="631" ht="15.75" customHeight="1" s="398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</row>
    <row r="632" ht="15.75" customHeight="1" s="398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</row>
    <row r="633" ht="15.75" customHeight="1" s="398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</row>
    <row r="634" ht="15.75" customHeight="1" s="398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</row>
    <row r="635" ht="15.75" customHeight="1" s="398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</row>
    <row r="636" ht="15.75" customHeight="1" s="398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</row>
    <row r="637" ht="15.75" customHeight="1" s="398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</row>
    <row r="638" ht="15.75" customHeight="1" s="39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</row>
    <row r="639" ht="15.75" customHeight="1" s="398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</row>
    <row r="640" ht="15.75" customHeight="1" s="398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</row>
    <row r="641" ht="15.75" customHeight="1" s="398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</row>
    <row r="642" ht="15.75" customHeight="1" s="398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</row>
    <row r="643" ht="15.75" customHeight="1" s="398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</row>
    <row r="644" ht="15.75" customHeight="1" s="398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</row>
    <row r="645" ht="15.75" customHeight="1" s="398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</row>
    <row r="646" ht="15.75" customHeight="1" s="398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</row>
    <row r="647" ht="15.75" customHeight="1" s="398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</row>
    <row r="648" ht="15.75" customHeight="1" s="39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</row>
    <row r="649" ht="15.75" customHeight="1" s="398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</row>
    <row r="650" ht="15.75" customHeight="1" s="398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</row>
    <row r="651" ht="15.75" customHeight="1" s="398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</row>
    <row r="652" ht="15.75" customHeight="1" s="398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</row>
    <row r="653" ht="15.75" customHeight="1" s="398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</row>
    <row r="654" ht="15.75" customHeight="1" s="398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</row>
    <row r="655" ht="15.75" customHeight="1" s="398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</row>
    <row r="656" ht="15.75" customHeight="1" s="398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</row>
    <row r="657" ht="15.75" customHeight="1" s="398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</row>
    <row r="658" ht="15.75" customHeight="1" s="39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</row>
    <row r="659" ht="15.75" customHeight="1" s="398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</row>
    <row r="660" ht="15.75" customHeight="1" s="398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</row>
    <row r="661" ht="15.75" customHeight="1" s="398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</row>
    <row r="662" ht="15.75" customHeight="1" s="398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</row>
    <row r="663" ht="15.75" customHeight="1" s="398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</row>
    <row r="664" ht="15.75" customHeight="1" s="398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</row>
    <row r="665" ht="15.75" customHeight="1" s="398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</row>
    <row r="666" ht="15.75" customHeight="1" s="398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</row>
    <row r="667" ht="15.75" customHeight="1" s="398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</row>
    <row r="668" ht="15.75" customHeight="1" s="39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</row>
    <row r="669" ht="15.75" customHeight="1" s="398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</row>
    <row r="670" ht="15.75" customHeight="1" s="398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</row>
    <row r="671" ht="15.75" customHeight="1" s="398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</row>
    <row r="672" ht="15.75" customHeight="1" s="398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</row>
    <row r="673" ht="15.75" customHeight="1" s="398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</row>
    <row r="674" ht="15.75" customHeight="1" s="398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</row>
    <row r="675" ht="15.75" customHeight="1" s="398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</row>
    <row r="676" ht="15.75" customHeight="1" s="398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</row>
    <row r="677" ht="15.75" customHeight="1" s="398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</row>
    <row r="678" ht="15.75" customHeight="1" s="39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</row>
    <row r="679" ht="15.75" customHeight="1" s="398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</row>
    <row r="680" ht="15.75" customHeight="1" s="398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</row>
    <row r="681" ht="15.75" customHeight="1" s="398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</row>
    <row r="682" ht="15.75" customHeight="1" s="398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</row>
    <row r="683" ht="15.75" customHeight="1" s="398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</row>
    <row r="684" ht="15.75" customHeight="1" s="398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</row>
    <row r="685" ht="15.75" customHeight="1" s="398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</row>
    <row r="686" ht="15.75" customHeight="1" s="398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</row>
    <row r="687" ht="15.75" customHeight="1" s="398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</row>
    <row r="688" ht="15.75" customHeight="1" s="39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</row>
    <row r="689" ht="15.75" customHeight="1" s="398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</row>
    <row r="690" ht="15.75" customHeight="1" s="398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</row>
    <row r="691" ht="15.75" customHeight="1" s="398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</row>
    <row r="692" ht="15.75" customHeight="1" s="398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</row>
    <row r="693" ht="15.75" customHeight="1" s="398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</row>
    <row r="694" ht="15.75" customHeight="1" s="398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</row>
    <row r="695" ht="15.75" customHeight="1" s="398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</row>
    <row r="696" ht="15.75" customHeight="1" s="398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</row>
    <row r="697" ht="15.75" customHeight="1" s="398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</row>
    <row r="698" ht="15.75" customHeight="1" s="3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</row>
    <row r="699" ht="15.75" customHeight="1" s="398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</row>
    <row r="700" ht="15.75" customHeight="1" s="398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</row>
    <row r="701" ht="15.75" customHeight="1" s="398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</row>
    <row r="702" ht="15.75" customHeight="1" s="398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</row>
    <row r="703" ht="15.75" customHeight="1" s="398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</row>
    <row r="704" ht="15.75" customHeight="1" s="398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</row>
    <row r="705" ht="15.75" customHeight="1" s="398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</row>
    <row r="706" ht="15.75" customHeight="1" s="398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</row>
    <row r="707" ht="15.75" customHeight="1" s="398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</row>
    <row r="708" ht="15.75" customHeight="1" s="39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</row>
    <row r="709" ht="15.75" customHeight="1" s="398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</row>
    <row r="710" ht="15.75" customHeight="1" s="398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</row>
    <row r="711" ht="15.75" customHeight="1" s="398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</row>
    <row r="712" ht="15.75" customHeight="1" s="398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</row>
    <row r="713" ht="15.75" customHeight="1" s="398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</row>
    <row r="714" ht="15.75" customHeight="1" s="398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</row>
    <row r="715" ht="15.75" customHeight="1" s="398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</row>
    <row r="716" ht="15.75" customHeight="1" s="398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</row>
    <row r="717" ht="15.75" customHeight="1" s="398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</row>
    <row r="718" ht="15.75" customHeight="1" s="39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</row>
    <row r="719" ht="15.75" customHeight="1" s="398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</row>
    <row r="720" ht="15.75" customHeight="1" s="398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</row>
    <row r="721" ht="15.75" customHeight="1" s="398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</row>
    <row r="722" ht="15.75" customHeight="1" s="398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</row>
    <row r="723" ht="15.75" customHeight="1" s="398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</row>
    <row r="724" ht="15.75" customHeight="1" s="398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</row>
    <row r="725" ht="15.75" customHeight="1" s="398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</row>
    <row r="726" ht="15.75" customHeight="1" s="398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</row>
    <row r="727" ht="15.75" customHeight="1" s="398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</row>
    <row r="728" ht="15.75" customHeight="1" s="39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</row>
    <row r="729" ht="15.75" customHeight="1" s="398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</row>
    <row r="730" ht="15.75" customHeight="1" s="398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</row>
    <row r="731" ht="15.75" customHeight="1" s="398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</row>
    <row r="732" ht="15.75" customHeight="1" s="398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</row>
    <row r="733" ht="15.75" customHeight="1" s="398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</row>
    <row r="734" ht="15.75" customHeight="1" s="398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</row>
    <row r="735" ht="15.75" customHeight="1" s="398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</row>
    <row r="736" ht="15.75" customHeight="1" s="398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</row>
    <row r="737" ht="15.75" customHeight="1" s="398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</row>
    <row r="738" ht="15.75" customHeight="1" s="39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</row>
    <row r="739" ht="15.75" customHeight="1" s="398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</row>
    <row r="740" ht="15.75" customHeight="1" s="398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</row>
    <row r="741" ht="15.75" customHeight="1" s="398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</row>
    <row r="742" ht="15.75" customHeight="1" s="398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</row>
    <row r="743" ht="15.75" customHeight="1" s="398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</row>
    <row r="744" ht="15.75" customHeight="1" s="398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</row>
    <row r="745" ht="15.75" customHeight="1" s="398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</row>
    <row r="746" ht="15.75" customHeight="1" s="398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</row>
    <row r="747" ht="15.75" customHeight="1" s="398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</row>
    <row r="748" ht="15.75" customHeight="1" s="39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</row>
    <row r="749" ht="15.75" customHeight="1" s="398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</row>
    <row r="750" ht="15.75" customHeight="1" s="398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</row>
    <row r="751" ht="15.75" customHeight="1" s="398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</row>
    <row r="752" ht="15.75" customHeight="1" s="398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</row>
    <row r="753" ht="15.75" customHeight="1" s="398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</row>
    <row r="754" ht="15.75" customHeight="1" s="398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</row>
    <row r="755" ht="15.75" customHeight="1" s="398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</row>
    <row r="756" ht="15.75" customHeight="1" s="398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</row>
    <row r="757" ht="15.75" customHeight="1" s="398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</row>
    <row r="758" ht="15.75" customHeight="1" s="39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</row>
    <row r="759" ht="15.75" customHeight="1" s="398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</row>
    <row r="760" ht="15.75" customHeight="1" s="398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</row>
    <row r="761" ht="15.75" customHeight="1" s="398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</row>
    <row r="762" ht="15.75" customHeight="1" s="398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</row>
    <row r="763" ht="15.75" customHeight="1" s="398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</row>
    <row r="764" ht="15.75" customHeight="1" s="398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</row>
    <row r="765" ht="15.75" customHeight="1" s="398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</row>
    <row r="766" ht="15.75" customHeight="1" s="398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</row>
    <row r="767" ht="15.75" customHeight="1" s="398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</row>
    <row r="768" ht="15.75" customHeight="1" s="39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</row>
    <row r="769" ht="15.75" customHeight="1" s="398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</row>
    <row r="770" ht="15.75" customHeight="1" s="398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</row>
    <row r="771" ht="15.75" customHeight="1" s="398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</row>
    <row r="772" ht="15.75" customHeight="1" s="398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</row>
    <row r="773" ht="15.75" customHeight="1" s="398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</row>
    <row r="774" ht="15.75" customHeight="1" s="398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</row>
    <row r="775" ht="15.75" customHeight="1" s="398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</row>
    <row r="776" ht="15.75" customHeight="1" s="398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</row>
    <row r="777" ht="15.75" customHeight="1" s="398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</row>
    <row r="778" ht="15.75" customHeight="1" s="39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</row>
    <row r="779" ht="15.75" customHeight="1" s="398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</row>
    <row r="780" ht="15.75" customHeight="1" s="398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</row>
    <row r="781" ht="15.75" customHeight="1" s="398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</row>
    <row r="782" ht="15.75" customHeight="1" s="398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</row>
    <row r="783" ht="15.75" customHeight="1" s="398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</row>
    <row r="784" ht="15.75" customHeight="1" s="398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</row>
    <row r="785" ht="15.75" customHeight="1" s="398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</row>
    <row r="786" ht="15.75" customHeight="1" s="398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</row>
    <row r="787" ht="15.75" customHeight="1" s="398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</row>
    <row r="788" ht="15.75" customHeight="1" s="39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</row>
    <row r="789" ht="15.75" customHeight="1" s="398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</row>
    <row r="790" ht="15.75" customHeight="1" s="398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</row>
    <row r="791" ht="15.75" customHeight="1" s="398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</row>
    <row r="792" ht="15.75" customHeight="1" s="398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</row>
    <row r="793" ht="15.75" customHeight="1" s="398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</row>
    <row r="794" ht="15.75" customHeight="1" s="398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</row>
    <row r="795" ht="15.75" customHeight="1" s="398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</row>
    <row r="796" ht="15.75" customHeight="1" s="398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</row>
    <row r="797" ht="15.75" customHeight="1" s="398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</row>
    <row r="798" ht="15.75" customHeight="1" s="3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</row>
    <row r="799" ht="15.75" customHeight="1" s="398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</row>
    <row r="800" ht="15.75" customHeight="1" s="398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</row>
    <row r="801" ht="15.75" customHeight="1" s="398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</row>
    <row r="802" ht="15.75" customHeight="1" s="398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</row>
    <row r="803" ht="15.75" customHeight="1" s="398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</row>
    <row r="804" ht="15.75" customHeight="1" s="398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</row>
    <row r="805" ht="15.75" customHeight="1" s="398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</row>
    <row r="806" ht="15.75" customHeight="1" s="398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</row>
    <row r="807" ht="15.75" customHeight="1" s="398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</row>
    <row r="808" ht="15.75" customHeight="1" s="39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</row>
    <row r="809" ht="15.75" customHeight="1" s="398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</row>
    <row r="810" ht="15.75" customHeight="1" s="398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</row>
    <row r="811" ht="15.75" customHeight="1" s="398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</row>
    <row r="812" ht="15.75" customHeight="1" s="398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</row>
    <row r="813" ht="15.75" customHeight="1" s="398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</row>
    <row r="814" ht="15.75" customHeight="1" s="398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</row>
    <row r="815" ht="15.75" customHeight="1" s="398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</row>
    <row r="816" ht="15.75" customHeight="1" s="398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</row>
    <row r="817" ht="15.75" customHeight="1" s="398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</row>
    <row r="818" ht="15.75" customHeight="1" s="39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</row>
    <row r="819" ht="15.75" customHeight="1" s="398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</row>
    <row r="820" ht="15.75" customHeight="1" s="398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</row>
    <row r="821" ht="15.75" customHeight="1" s="398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</row>
    <row r="822" ht="15.75" customHeight="1" s="398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</row>
    <row r="823" ht="15.75" customHeight="1" s="398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</row>
    <row r="824" ht="15.75" customHeight="1" s="398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</row>
    <row r="825" ht="15.75" customHeight="1" s="398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</row>
    <row r="826" ht="15.75" customHeight="1" s="398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</row>
    <row r="827" ht="15.75" customHeight="1" s="398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</row>
    <row r="828" ht="15.75" customHeight="1" s="39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</row>
    <row r="829" ht="15.75" customHeight="1" s="398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</row>
    <row r="830" ht="15.75" customHeight="1" s="398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</row>
    <row r="831" ht="15.75" customHeight="1" s="398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</row>
    <row r="832" ht="15.75" customHeight="1" s="398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</row>
    <row r="833" ht="15.75" customHeight="1" s="398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</row>
    <row r="834" ht="15.75" customHeight="1" s="398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</row>
    <row r="835" ht="15.75" customHeight="1" s="398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</row>
    <row r="836" ht="15.75" customHeight="1" s="398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</row>
    <row r="837" ht="15.75" customHeight="1" s="398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</row>
    <row r="838" ht="15.75" customHeight="1" s="39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</row>
    <row r="839" ht="15.75" customHeight="1" s="398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</row>
    <row r="840" ht="15.75" customHeight="1" s="398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</row>
    <row r="841" ht="15.75" customHeight="1" s="398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</row>
    <row r="842" ht="15.75" customHeight="1" s="398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</row>
    <row r="843" ht="15.75" customHeight="1" s="398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</row>
    <row r="844" ht="15.75" customHeight="1" s="398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</row>
    <row r="845" ht="15.75" customHeight="1" s="398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</row>
    <row r="846" ht="15.75" customHeight="1" s="398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</row>
    <row r="847" ht="15.75" customHeight="1" s="398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</row>
    <row r="848" ht="15.75" customHeight="1" s="39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</row>
    <row r="849" ht="15.75" customHeight="1" s="398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</row>
    <row r="850" ht="15.75" customHeight="1" s="398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</row>
    <row r="851" ht="15.75" customHeight="1" s="398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</row>
    <row r="852" ht="15.75" customHeight="1" s="398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</row>
    <row r="853" ht="15.75" customHeight="1" s="398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</row>
    <row r="854" ht="15.75" customHeight="1" s="398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</row>
    <row r="855" ht="15.75" customHeight="1" s="398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</row>
    <row r="856" ht="15.75" customHeight="1" s="398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</row>
    <row r="857" ht="15.75" customHeight="1" s="398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</row>
    <row r="858" ht="15.75" customHeight="1" s="39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</row>
    <row r="859" ht="15.75" customHeight="1" s="398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</row>
    <row r="860" ht="15.75" customHeight="1" s="398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</row>
    <row r="861" ht="15.75" customHeight="1" s="398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</row>
    <row r="862" ht="15.75" customHeight="1" s="398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</row>
    <row r="863" ht="15.75" customHeight="1" s="398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</row>
    <row r="864" ht="15.75" customHeight="1" s="398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</row>
    <row r="865" ht="15.75" customHeight="1" s="398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</row>
    <row r="866" ht="15.75" customHeight="1" s="398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</row>
    <row r="867" ht="15.75" customHeight="1" s="398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</row>
    <row r="868" ht="15.75" customHeight="1" s="39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</row>
    <row r="869" ht="15.75" customHeight="1" s="398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</row>
    <row r="870" ht="15.75" customHeight="1" s="398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</row>
    <row r="871" ht="15.75" customHeight="1" s="398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</row>
    <row r="872" ht="15.75" customHeight="1" s="398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</row>
    <row r="873" ht="15.75" customHeight="1" s="398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</row>
    <row r="874" ht="15.75" customHeight="1" s="398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</row>
    <row r="875" ht="15.75" customHeight="1" s="398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</row>
    <row r="876" ht="15.75" customHeight="1" s="398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</row>
    <row r="877" ht="15.75" customHeight="1" s="398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</row>
    <row r="878" ht="15.75" customHeight="1" s="39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</row>
    <row r="879" ht="15.75" customHeight="1" s="398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</row>
    <row r="880" ht="15.75" customHeight="1" s="398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</row>
    <row r="881" ht="15.75" customHeight="1" s="398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</row>
    <row r="882" ht="15.75" customHeight="1" s="398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</row>
    <row r="883" ht="15.75" customHeight="1" s="398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</row>
    <row r="884" ht="15.75" customHeight="1" s="398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</row>
    <row r="885" ht="15.75" customHeight="1" s="398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</row>
    <row r="886" ht="15.75" customHeight="1" s="398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</row>
    <row r="887" ht="15.75" customHeight="1" s="398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</row>
    <row r="888" ht="15.75" customHeight="1" s="39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</row>
    <row r="889" ht="15.75" customHeight="1" s="398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</row>
    <row r="890" ht="15.75" customHeight="1" s="398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</row>
    <row r="891" ht="15.75" customHeight="1" s="398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</row>
    <row r="892" ht="15.75" customHeight="1" s="398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</row>
    <row r="893" ht="15.75" customHeight="1" s="398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</row>
    <row r="894" ht="15.75" customHeight="1" s="398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</row>
    <row r="895" ht="15.75" customHeight="1" s="398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</row>
    <row r="896" ht="15.75" customHeight="1" s="398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</row>
    <row r="897" ht="15.75" customHeight="1" s="398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</row>
    <row r="898" ht="15.75" customHeight="1" s="3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</row>
    <row r="899" ht="15.75" customHeight="1" s="398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</row>
    <row r="900" ht="15.75" customHeight="1" s="398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</row>
    <row r="901" ht="15.75" customHeight="1" s="398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</row>
    <row r="902" ht="15.75" customHeight="1" s="398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</row>
    <row r="903" ht="15.75" customHeight="1" s="398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</row>
    <row r="904" ht="15.75" customHeight="1" s="398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</row>
    <row r="905" ht="15.75" customHeight="1" s="398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</row>
    <row r="906" ht="15.75" customHeight="1" s="398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</row>
    <row r="907" ht="15.75" customHeight="1" s="398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</row>
    <row r="908" ht="15.75" customHeight="1" s="39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</row>
    <row r="909" ht="15.75" customHeight="1" s="398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</row>
    <row r="910" ht="15.75" customHeight="1" s="398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</row>
    <row r="911" ht="15.75" customHeight="1" s="398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</row>
    <row r="912" ht="15.75" customHeight="1" s="398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</row>
    <row r="913" ht="15.75" customHeight="1" s="398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</row>
    <row r="914" ht="15.75" customHeight="1" s="398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</row>
    <row r="915" ht="15.75" customHeight="1" s="398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</row>
    <row r="916" ht="15.75" customHeight="1" s="398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</row>
    <row r="917" ht="15.75" customHeight="1" s="398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</row>
    <row r="918" ht="15.75" customHeight="1" s="39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</row>
    <row r="919" ht="15.75" customHeight="1" s="398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</row>
    <row r="920" ht="15.75" customHeight="1" s="398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</row>
    <row r="921" ht="15.75" customHeight="1" s="398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</row>
    <row r="922" ht="15.75" customHeight="1" s="398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</row>
    <row r="923" ht="15.75" customHeight="1" s="398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</row>
    <row r="924" ht="15.75" customHeight="1" s="398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</row>
    <row r="925" ht="15.75" customHeight="1" s="398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</row>
    <row r="926" ht="15.75" customHeight="1" s="398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</row>
    <row r="927" ht="15.75" customHeight="1" s="398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</row>
    <row r="928" ht="15.75" customHeight="1" s="39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</row>
    <row r="929" ht="15.75" customHeight="1" s="398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</row>
    <row r="930" ht="15.75" customHeight="1" s="398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</row>
    <row r="931" ht="15.75" customHeight="1" s="398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</row>
    <row r="932" ht="15.75" customHeight="1" s="398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</row>
    <row r="933" ht="15.75" customHeight="1" s="398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</row>
    <row r="934" ht="15.75" customHeight="1" s="398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</row>
    <row r="935" ht="15.75" customHeight="1" s="398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</row>
    <row r="936" ht="15.75" customHeight="1" s="398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</row>
    <row r="937" ht="15.75" customHeight="1" s="398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</row>
    <row r="938" ht="15.75" customHeight="1" s="39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</row>
    <row r="939" ht="15.75" customHeight="1" s="398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</row>
    <row r="940" ht="15.75" customHeight="1" s="398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</row>
    <row r="941" ht="15.75" customHeight="1" s="398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</row>
    <row r="942" ht="15.75" customHeight="1" s="398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</row>
    <row r="943" ht="15.75" customHeight="1" s="398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</row>
    <row r="944" ht="15.75" customHeight="1" s="398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</row>
    <row r="945" ht="15.75" customHeight="1" s="398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</row>
    <row r="946" ht="15.75" customHeight="1" s="398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</row>
    <row r="947" ht="15.75" customHeight="1" s="398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</row>
    <row r="948" ht="15.75" customHeight="1" s="39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</row>
    <row r="949" ht="15.75" customHeight="1" s="398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</row>
    <row r="950" ht="15.75" customHeight="1" s="398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</row>
    <row r="951" ht="15.75" customHeight="1" s="398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</row>
    <row r="952" ht="15.75" customHeight="1" s="398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</row>
    <row r="953" ht="15.75" customHeight="1" s="398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</row>
    <row r="954" ht="15.75" customHeight="1" s="398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</row>
    <row r="955" ht="15.75" customHeight="1" s="398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</row>
    <row r="956" ht="15.75" customHeight="1" s="398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</row>
    <row r="957" ht="15.75" customHeight="1" s="398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</row>
    <row r="958" ht="15.75" customHeight="1" s="39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</row>
    <row r="959" ht="15.75" customHeight="1" s="398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</row>
    <row r="960" ht="15.75" customHeight="1" s="398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</row>
    <row r="961" ht="15.75" customHeight="1" s="398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</row>
    <row r="962" ht="15.75" customHeight="1" s="398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</row>
    <row r="963" ht="15.75" customHeight="1" s="398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</row>
    <row r="964" ht="15.75" customHeight="1" s="398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</row>
    <row r="965" ht="15.75" customHeight="1" s="398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</row>
    <row r="966" ht="15.75" customHeight="1" s="398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</row>
    <row r="967" ht="15.75" customHeight="1" s="398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</row>
    <row r="968" ht="15.75" customHeight="1" s="39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</row>
    <row r="969" ht="15.75" customHeight="1" s="398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</row>
    <row r="970" ht="15.75" customHeight="1" s="398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</row>
    <row r="971" ht="15.75" customHeight="1" s="398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</row>
    <row r="972" ht="15.75" customHeight="1" s="398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</row>
    <row r="973" ht="15.75" customHeight="1" s="398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</row>
    <row r="974" ht="15.75" customHeight="1" s="398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</row>
    <row r="975" ht="15.75" customHeight="1" s="398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</row>
    <row r="976" ht="15.75" customHeight="1" s="398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</row>
    <row r="977" ht="15.75" customHeight="1" s="398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</row>
    <row r="978" ht="15.75" customHeight="1" s="39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</row>
    <row r="979" ht="15.75" customHeight="1" s="398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</row>
    <row r="980" ht="15.75" customHeight="1" s="398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</row>
    <row r="981" ht="15.75" customHeight="1" s="398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</row>
    <row r="982" ht="15.75" customHeight="1" s="398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</row>
    <row r="983" ht="15.75" customHeight="1" s="398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</row>
    <row r="984" ht="15.75" customHeight="1" s="398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</row>
    <row r="985" ht="15.75" customHeight="1" s="398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</row>
    <row r="986" ht="15.75" customHeight="1" s="398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</row>
    <row r="987" ht="15.75" customHeight="1" s="398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</row>
    <row r="988" ht="15.75" customHeight="1" s="39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</row>
    <row r="989" ht="15.75" customHeight="1" s="398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</row>
    <row r="990" ht="15.75" customHeight="1" s="398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</row>
    <row r="991" ht="15.75" customHeight="1" s="398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</row>
    <row r="992" ht="15.75" customHeight="1" s="398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</row>
    <row r="993" ht="15.75" customHeight="1" s="398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</row>
    <row r="994" ht="15.75" customHeight="1" s="398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</row>
    <row r="995" ht="15.75" customHeight="1" s="398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</row>
    <row r="996" ht="15.75" customHeight="1" s="398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</row>
    <row r="997" ht="15.75" customHeight="1" s="398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</row>
    <row r="998" ht="15.75" customHeight="1" s="3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</row>
  </sheetData>
  <mergeCells count="19">
    <mergeCell ref="D4:D10"/>
    <mergeCell ref="J4:J10"/>
    <mergeCell ref="L4:L10"/>
    <mergeCell ref="G4:G10"/>
    <mergeCell ref="I4:I10"/>
    <mergeCell ref="K4:K10"/>
    <mergeCell ref="M4:M10"/>
    <mergeCell ref="B4:B10"/>
    <mergeCell ref="D1:G1"/>
    <mergeCell ref="S4:S10"/>
    <mergeCell ref="F4:F10"/>
    <mergeCell ref="H4:H10"/>
    <mergeCell ref="N4:N10"/>
    <mergeCell ref="P4:P10"/>
    <mergeCell ref="C4:C10"/>
    <mergeCell ref="T4:T10"/>
    <mergeCell ref="E4:E10"/>
    <mergeCell ref="O4:O10"/>
    <mergeCell ref="Q4:Q10"/>
  </mergeCells>
  <printOptions horizontalCentered="1" verticalCentered="1" gridLines="1"/>
  <pageMargins left="0.25" right="0.25" top="0.75" bottom="0.75" header="0" footer="0"/>
  <pageSetup orientation="landscape" paperSize="9" pageOrder="overThenDown" cellComments="atEnd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994"/>
  <sheetViews>
    <sheetView workbookViewId="0">
      <selection activeCell="I36" sqref="I36"/>
    </sheetView>
  </sheetViews>
  <sheetFormatPr baseColWidth="8" defaultColWidth="12.7109375" defaultRowHeight="15" customHeight="1"/>
  <cols>
    <col width="17.7109375" customWidth="1" style="398" min="1" max="1"/>
    <col width="14.140625" customWidth="1" style="398" min="2" max="15"/>
  </cols>
  <sheetData>
    <row r="1" ht="19.5" customHeight="1" s="398">
      <c r="A1" s="426" t="inlineStr">
        <is>
          <t>HISTÓRICO DE INADIMPLÊNCIA EDIFÍCIO DIAMOND TOWER - JANEIRO/22 - FEVEREIRO/23</t>
        </is>
      </c>
      <c r="B1" s="483" t="n"/>
      <c r="C1" s="483" t="n"/>
      <c r="D1" s="483" t="n"/>
      <c r="E1" s="483" t="n"/>
      <c r="F1" s="483" t="n"/>
      <c r="G1" s="483" t="n"/>
      <c r="H1" s="483" t="n"/>
      <c r="I1" s="483" t="n"/>
      <c r="J1" s="483" t="n"/>
      <c r="K1" s="483" t="n"/>
      <c r="L1" s="483" t="n"/>
      <c r="M1" s="483" t="n"/>
      <c r="N1" s="483" t="n"/>
      <c r="O1" s="483" t="n"/>
      <c r="P1" s="143" t="n"/>
      <c r="Q1" s="143" t="n"/>
      <c r="R1" s="143" t="n"/>
      <c r="S1" s="143" t="n"/>
      <c r="T1" s="143" t="n"/>
      <c r="U1" s="143" t="n"/>
      <c r="V1" s="143" t="n"/>
      <c r="W1" s="143" t="n"/>
      <c r="X1" s="143" t="n"/>
      <c r="Y1" s="143" t="n"/>
      <c r="Z1" s="143" t="n"/>
    </row>
    <row r="2" ht="19.5" customHeight="1" s="398">
      <c r="A2" s="144" t="n"/>
      <c r="B2" s="532" t="n">
        <v>2022</v>
      </c>
      <c r="N2" s="532" t="n">
        <v>2023</v>
      </c>
      <c r="P2" s="143" t="n"/>
      <c r="Q2" s="143" t="n"/>
      <c r="R2" s="143" t="n"/>
      <c r="S2" s="143" t="n"/>
      <c r="T2" s="143" t="n"/>
      <c r="U2" s="143" t="n"/>
      <c r="V2" s="143" t="n"/>
      <c r="W2" s="143" t="n"/>
      <c r="X2" s="143" t="n"/>
      <c r="Y2" s="143" t="n"/>
      <c r="Z2" s="143" t="n"/>
    </row>
    <row r="3" ht="19.5" customHeight="1" s="398">
      <c r="A3" s="145" t="n"/>
      <c r="B3" s="145" t="inlineStr">
        <is>
          <t>JANEIRO</t>
        </is>
      </c>
      <c r="C3" s="145" t="inlineStr">
        <is>
          <t>FEVEREIRO</t>
        </is>
      </c>
      <c r="D3" s="145" t="inlineStr">
        <is>
          <t>MARÇO</t>
        </is>
      </c>
      <c r="E3" s="145" t="inlineStr">
        <is>
          <t>ABRIL</t>
        </is>
      </c>
      <c r="F3" s="145" t="inlineStr">
        <is>
          <t>MAIO</t>
        </is>
      </c>
      <c r="G3" s="145" t="inlineStr">
        <is>
          <t>JUNHO</t>
        </is>
      </c>
      <c r="H3" s="145" t="inlineStr">
        <is>
          <t>JULHO</t>
        </is>
      </c>
      <c r="I3" s="145" t="inlineStr">
        <is>
          <t>AGOSTO</t>
        </is>
      </c>
      <c r="J3" s="145" t="inlineStr">
        <is>
          <t>SETEMBRO</t>
        </is>
      </c>
      <c r="K3" s="145" t="inlineStr">
        <is>
          <t>OUTUBRO</t>
        </is>
      </c>
      <c r="L3" s="145" t="inlineStr">
        <is>
          <t>NOVEMBRO</t>
        </is>
      </c>
      <c r="M3" s="145" t="inlineStr">
        <is>
          <t>DEZEMBRO</t>
        </is>
      </c>
      <c r="N3" s="145" t="inlineStr">
        <is>
          <t>JANEIRO</t>
        </is>
      </c>
      <c r="O3" s="145" t="inlineStr">
        <is>
          <t>FEVEREIRO</t>
        </is>
      </c>
      <c r="P3" s="143" t="n"/>
      <c r="Q3" s="143" t="n"/>
      <c r="R3" s="143" t="n"/>
      <c r="S3" s="143" t="n"/>
      <c r="T3" s="143" t="n"/>
      <c r="U3" s="143" t="n"/>
      <c r="V3" s="143" t="n"/>
      <c r="W3" s="143" t="n"/>
      <c r="X3" s="143" t="n"/>
      <c r="Y3" s="143" t="n"/>
      <c r="Z3" s="143" t="n"/>
    </row>
    <row r="4" ht="19.5" customHeight="1" s="398">
      <c r="A4" s="146" t="inlineStr">
        <is>
          <t>VALOR BASE</t>
        </is>
      </c>
      <c r="B4" s="53" t="n">
        <v>444638.41</v>
      </c>
      <c r="C4" s="53" t="n">
        <v>452519.74</v>
      </c>
      <c r="D4" s="53" t="n">
        <v>477047.67</v>
      </c>
      <c r="E4" s="53" t="n">
        <v>469964.99</v>
      </c>
      <c r="F4" s="53" t="n">
        <v>482474.11</v>
      </c>
      <c r="G4" s="53" t="n">
        <v>390770.2</v>
      </c>
      <c r="H4" s="53" t="n">
        <v>334394.64</v>
      </c>
      <c r="I4" s="53" t="n">
        <v>325979.62</v>
      </c>
      <c r="J4" s="53" t="n">
        <v>218963.41</v>
      </c>
      <c r="K4" s="53" t="n">
        <v>123518.56</v>
      </c>
      <c r="L4" s="53" t="n">
        <v>177425.99</v>
      </c>
      <c r="M4" s="53" t="n">
        <v>177425.99</v>
      </c>
      <c r="N4" s="53" t="n">
        <v>177425.99</v>
      </c>
      <c r="O4" s="53" t="n">
        <v>177425.99</v>
      </c>
      <c r="P4" s="143" t="n"/>
      <c r="Q4" s="143" t="n"/>
      <c r="R4" s="143" t="n"/>
      <c r="S4" s="143" t="n"/>
      <c r="T4" s="143" t="n"/>
      <c r="U4" s="143" t="n"/>
      <c r="V4" s="143" t="n"/>
      <c r="W4" s="143" t="n"/>
      <c r="X4" s="143" t="n"/>
      <c r="Y4" s="143" t="n"/>
      <c r="Z4" s="143" t="n"/>
    </row>
    <row r="5" ht="19.5" customHeight="1" s="398">
      <c r="A5" s="147" t="inlineStr">
        <is>
          <t>VALOR CORRIGIDO</t>
        </is>
      </c>
      <c r="B5" s="148" t="n">
        <v>902847.58</v>
      </c>
      <c r="C5" s="148" t="n">
        <v>932606.15</v>
      </c>
      <c r="D5" s="148" t="n">
        <v>979124.08</v>
      </c>
      <c r="E5" s="148" t="n">
        <v>992506.65</v>
      </c>
      <c r="F5" s="148" t="n">
        <v>1012334.99</v>
      </c>
      <c r="G5" s="148" t="n">
        <v>778609.98</v>
      </c>
      <c r="H5" s="148" t="n">
        <v>698309.47</v>
      </c>
      <c r="I5" s="148" t="n">
        <v>687678.86</v>
      </c>
      <c r="J5" s="148" t="n">
        <v>495200.69</v>
      </c>
      <c r="K5" s="148" t="n">
        <v>263351</v>
      </c>
      <c r="L5" s="148" t="n">
        <v>260104.22</v>
      </c>
      <c r="M5" s="148" t="n">
        <v>260104.22</v>
      </c>
      <c r="N5" s="148" t="n">
        <v>260104.22</v>
      </c>
      <c r="O5" s="148" t="n">
        <v>260104.22</v>
      </c>
      <c r="P5" s="143" t="n"/>
      <c r="Q5" s="143" t="n"/>
      <c r="R5" s="143" t="n"/>
      <c r="S5" s="143" t="n"/>
      <c r="T5" s="143" t="n"/>
      <c r="U5" s="143" t="n"/>
      <c r="V5" s="143" t="n"/>
      <c r="W5" s="143" t="n"/>
      <c r="X5" s="143" t="n"/>
      <c r="Y5" s="143" t="n"/>
      <c r="Z5" s="143" t="n"/>
    </row>
    <row r="6" ht="19.5" customHeight="1" s="398">
      <c r="A6" s="149" t="n"/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3" t="n"/>
      <c r="R6" s="143" t="n"/>
      <c r="S6" s="143" t="n"/>
      <c r="T6" s="143" t="n"/>
      <c r="U6" s="143" t="n"/>
      <c r="V6" s="143" t="n"/>
      <c r="W6" s="143" t="n"/>
      <c r="X6" s="143" t="n"/>
      <c r="Y6" s="143" t="n"/>
      <c r="Z6" s="143" t="n"/>
    </row>
    <row r="7" ht="19.5" customHeight="1" s="398">
      <c r="A7" s="149" t="n"/>
      <c r="B7" s="143" t="n"/>
      <c r="C7" s="143" t="n"/>
      <c r="D7" s="143" t="n"/>
      <c r="Q7" s="143" t="n"/>
      <c r="R7" s="143" t="n"/>
      <c r="S7" s="143" t="n"/>
      <c r="T7" s="143" t="n"/>
      <c r="U7" s="143" t="n"/>
      <c r="V7" s="143" t="n"/>
      <c r="W7" s="143" t="n"/>
      <c r="X7" s="143" t="n"/>
      <c r="Y7" s="143" t="n"/>
      <c r="Z7" s="143" t="n"/>
    </row>
    <row r="8" ht="19.5" customHeight="1" s="398">
      <c r="A8" s="149" t="n"/>
      <c r="B8" s="143" t="n"/>
      <c r="C8" s="143" t="n"/>
      <c r="D8" s="143" t="n"/>
      <c r="Q8" s="143" t="n"/>
      <c r="R8" s="143" t="n"/>
      <c r="S8" s="143" t="n"/>
      <c r="T8" s="143" t="n"/>
      <c r="U8" s="143" t="n"/>
      <c r="V8" s="143" t="n"/>
      <c r="W8" s="143" t="n"/>
      <c r="X8" s="143" t="n"/>
      <c r="Y8" s="143" t="n"/>
      <c r="Z8" s="143" t="n"/>
    </row>
    <row r="9" hidden="1" ht="19.5" customHeight="1" s="398">
      <c r="A9" s="149" t="n"/>
      <c r="B9" s="143" t="n"/>
      <c r="C9" s="143" t="n"/>
      <c r="D9" s="143" t="n"/>
      <c r="Q9" s="143" t="n"/>
      <c r="R9" s="143" t="n"/>
      <c r="S9" s="143" t="n"/>
      <c r="T9" s="143" t="n"/>
      <c r="U9" s="143" t="n"/>
      <c r="V9" s="143" t="n"/>
      <c r="W9" s="143" t="n"/>
      <c r="X9" s="143" t="n"/>
      <c r="Y9" s="143" t="n"/>
      <c r="Z9" s="143" t="n"/>
    </row>
    <row r="10" hidden="1" ht="19.5" customHeight="1" s="398">
      <c r="A10" s="149" t="n"/>
      <c r="B10" s="143" t="n"/>
      <c r="C10" s="143" t="n"/>
      <c r="D10" s="143" t="n"/>
      <c r="Q10" s="143" t="n"/>
      <c r="R10" s="143" t="n"/>
      <c r="S10" s="143" t="n"/>
      <c r="T10" s="143" t="n"/>
      <c r="U10" s="143" t="n"/>
      <c r="V10" s="143" t="n"/>
      <c r="W10" s="143" t="n"/>
      <c r="X10" s="143" t="n"/>
      <c r="Y10" s="143" t="n"/>
      <c r="Z10" s="143" t="n"/>
    </row>
    <row r="11" hidden="1" ht="19.5" customHeight="1" s="398">
      <c r="A11" s="149" t="n"/>
      <c r="B11" s="143" t="n"/>
      <c r="C11" s="143" t="n"/>
      <c r="D11" s="143" t="n"/>
      <c r="Q11" s="143" t="n"/>
      <c r="R11" s="143" t="n"/>
      <c r="S11" s="143" t="n"/>
      <c r="T11" s="143" t="n"/>
      <c r="U11" s="143" t="n"/>
      <c r="V11" s="143" t="n"/>
      <c r="W11" s="143" t="n"/>
      <c r="X11" s="143" t="n"/>
      <c r="Y11" s="143" t="n"/>
      <c r="Z11" s="143" t="n"/>
    </row>
    <row r="12" ht="19.5" customHeight="1" s="398">
      <c r="A12" s="149" t="n"/>
      <c r="B12" s="143" t="n"/>
      <c r="C12" s="143" t="n"/>
      <c r="D12" s="143" t="n"/>
      <c r="Q12" s="143" t="n"/>
      <c r="R12" s="143" t="n"/>
      <c r="S12" s="143" t="n"/>
      <c r="T12" s="143" t="n"/>
      <c r="U12" s="143" t="n"/>
      <c r="V12" s="143" t="n"/>
      <c r="W12" s="143" t="n"/>
      <c r="X12" s="143" t="n"/>
      <c r="Y12" s="143" t="n"/>
      <c r="Z12" s="143" t="n"/>
    </row>
    <row r="13" ht="19.5" customHeight="1" s="398">
      <c r="A13" s="149" t="n"/>
      <c r="B13" s="143" t="n"/>
      <c r="C13" s="143" t="n"/>
      <c r="D13" s="143" t="n"/>
      <c r="Q13" s="143" t="n"/>
      <c r="R13" s="143" t="n"/>
      <c r="S13" s="143" t="n"/>
      <c r="T13" s="143" t="n"/>
      <c r="U13" s="143" t="n"/>
      <c r="V13" s="143" t="n"/>
      <c r="W13" s="143" t="n"/>
      <c r="X13" s="143" t="n"/>
      <c r="Y13" s="143" t="n"/>
      <c r="Z13" s="143" t="n"/>
    </row>
    <row r="14" ht="19.5" customHeight="1" s="398">
      <c r="A14" s="149" t="n"/>
      <c r="B14" s="143" t="n"/>
      <c r="C14" s="143" t="n"/>
      <c r="D14" s="143" t="n"/>
      <c r="Q14" s="143" t="n"/>
      <c r="R14" s="143" t="n"/>
      <c r="S14" s="143" t="n"/>
      <c r="T14" s="143" t="n"/>
      <c r="U14" s="143" t="n"/>
      <c r="V14" s="143" t="n"/>
      <c r="W14" s="143" t="n"/>
      <c r="X14" s="143" t="n"/>
      <c r="Y14" s="143" t="n"/>
      <c r="Z14" s="143" t="n"/>
    </row>
    <row r="15" hidden="1" ht="19.5" customHeight="1" s="398">
      <c r="A15" s="149" t="n"/>
      <c r="B15" s="143" t="n"/>
      <c r="C15" s="143" t="n"/>
      <c r="D15" s="143" t="n"/>
      <c r="Q15" s="143" t="n"/>
      <c r="R15" s="143" t="n"/>
      <c r="S15" s="143" t="n"/>
      <c r="T15" s="143" t="n"/>
      <c r="U15" s="143" t="n"/>
      <c r="V15" s="143" t="n"/>
      <c r="W15" s="143" t="n"/>
      <c r="X15" s="143" t="n"/>
      <c r="Y15" s="143" t="n"/>
      <c r="Z15" s="143" t="n"/>
    </row>
    <row r="16" hidden="1" ht="19.5" customHeight="1" s="398">
      <c r="A16" s="149" t="n"/>
      <c r="B16" s="143" t="n"/>
      <c r="C16" s="143" t="n"/>
      <c r="D16" s="143" t="n"/>
      <c r="Q16" s="143" t="n"/>
      <c r="R16" s="143" t="n"/>
      <c r="S16" s="143" t="n"/>
      <c r="T16" s="143" t="n"/>
      <c r="U16" s="143" t="n"/>
      <c r="V16" s="143" t="n"/>
      <c r="W16" s="143" t="n"/>
      <c r="X16" s="143" t="n"/>
      <c r="Y16" s="143" t="n"/>
      <c r="Z16" s="143" t="n"/>
    </row>
    <row r="17" hidden="1" ht="19.5" customHeight="1" s="398">
      <c r="A17" s="149" t="n"/>
      <c r="B17" s="143" t="n"/>
      <c r="C17" s="143" t="n"/>
      <c r="D17" s="143" t="n"/>
      <c r="Q17" s="143" t="n"/>
      <c r="R17" s="143" t="n"/>
      <c r="S17" s="143" t="n"/>
      <c r="T17" s="143" t="n"/>
      <c r="U17" s="143" t="n"/>
      <c r="V17" s="143" t="n"/>
      <c r="W17" s="143" t="n"/>
      <c r="X17" s="143" t="n"/>
      <c r="Y17" s="143" t="n"/>
      <c r="Z17" s="143" t="n"/>
    </row>
    <row r="18" ht="19.5" customHeight="1" s="398">
      <c r="A18" s="149" t="n"/>
      <c r="B18" s="143" t="n"/>
      <c r="C18" s="143" t="n"/>
      <c r="D18" s="143" t="n"/>
      <c r="Q18" s="143" t="n"/>
      <c r="R18" s="143" t="n"/>
      <c r="S18" s="143" t="n"/>
      <c r="T18" s="143" t="n"/>
      <c r="U18" s="143" t="n"/>
      <c r="V18" s="143" t="n"/>
      <c r="W18" s="143" t="n"/>
      <c r="X18" s="143" t="n"/>
      <c r="Y18" s="143" t="n"/>
      <c r="Z18" s="143" t="n"/>
    </row>
    <row r="19" ht="19.5" customHeight="1" s="398">
      <c r="A19" s="149" t="n"/>
      <c r="B19" s="143" t="n"/>
      <c r="C19" s="143" t="n"/>
      <c r="D19" s="143" t="n"/>
      <c r="Q19" s="143" t="n"/>
      <c r="R19" s="143" t="n"/>
      <c r="S19" s="143" t="n"/>
      <c r="T19" s="143" t="n"/>
      <c r="U19" s="143" t="n"/>
      <c r="V19" s="143" t="n"/>
      <c r="W19" s="143" t="n"/>
      <c r="X19" s="143" t="n"/>
      <c r="Y19" s="143" t="n"/>
      <c r="Z19" s="143" t="n"/>
    </row>
    <row r="20" ht="19.5" customHeight="1" s="398">
      <c r="A20" s="149" t="n"/>
      <c r="B20" s="143" t="n"/>
      <c r="C20" s="143" t="n"/>
      <c r="D20" s="143" t="n"/>
      <c r="Q20" s="143" t="n"/>
      <c r="R20" s="143" t="n"/>
      <c r="S20" s="143" t="n"/>
      <c r="T20" s="143" t="n"/>
      <c r="U20" s="143" t="n"/>
      <c r="V20" s="143" t="n"/>
      <c r="W20" s="143" t="n"/>
      <c r="X20" s="143" t="n"/>
      <c r="Y20" s="143" t="n"/>
      <c r="Z20" s="143" t="n"/>
    </row>
    <row r="21" hidden="1" ht="19.5" customHeight="1" s="398">
      <c r="A21" s="149" t="n"/>
      <c r="B21" s="143" t="n"/>
      <c r="C21" s="143" t="n"/>
      <c r="D21" s="143" t="n"/>
      <c r="Q21" s="143" t="n"/>
      <c r="R21" s="143" t="n"/>
      <c r="S21" s="143" t="n"/>
      <c r="T21" s="143" t="n"/>
      <c r="U21" s="143" t="n"/>
      <c r="V21" s="143" t="n"/>
      <c r="W21" s="143" t="n"/>
      <c r="X21" s="143" t="n"/>
      <c r="Y21" s="143" t="n"/>
      <c r="Z21" s="143" t="n"/>
    </row>
    <row r="22" hidden="1" ht="19.5" customHeight="1" s="398">
      <c r="A22" s="149" t="n"/>
      <c r="B22" s="143" t="n"/>
      <c r="C22" s="143" t="n"/>
      <c r="D22" s="143" t="n"/>
      <c r="Q22" s="143" t="n"/>
      <c r="R22" s="143" t="n"/>
      <c r="S22" s="143" t="n"/>
      <c r="T22" s="143" t="n"/>
      <c r="U22" s="143" t="n"/>
      <c r="V22" s="143" t="n"/>
      <c r="W22" s="143" t="n"/>
      <c r="X22" s="143" t="n"/>
      <c r="Y22" s="143" t="n"/>
      <c r="Z22" s="143" t="n"/>
    </row>
    <row r="23" hidden="1" ht="19.5" customHeight="1" s="398">
      <c r="A23" s="149" t="n"/>
      <c r="B23" s="143" t="n"/>
      <c r="C23" s="143" t="n"/>
      <c r="D23" s="143" t="n"/>
      <c r="Q23" s="143" t="n"/>
      <c r="R23" s="143" t="n"/>
      <c r="S23" s="143" t="n"/>
      <c r="T23" s="143" t="n"/>
      <c r="U23" s="143" t="n"/>
      <c r="V23" s="143" t="n"/>
      <c r="W23" s="143" t="n"/>
      <c r="X23" s="143" t="n"/>
      <c r="Y23" s="143" t="n"/>
      <c r="Z23" s="143" t="n"/>
    </row>
    <row r="24" ht="19.5" customHeight="1" s="398">
      <c r="A24" s="149" t="n"/>
      <c r="B24" s="143" t="n"/>
      <c r="C24" s="143" t="n"/>
      <c r="D24" s="143" t="n"/>
      <c r="Q24" s="143" t="n"/>
      <c r="R24" s="143" t="n"/>
      <c r="S24" s="143" t="n"/>
      <c r="T24" s="143" t="n"/>
      <c r="U24" s="143" t="n"/>
      <c r="V24" s="143" t="n"/>
      <c r="W24" s="143" t="n"/>
      <c r="X24" s="143" t="n"/>
      <c r="Y24" s="143" t="n"/>
      <c r="Z24" s="143" t="n"/>
    </row>
    <row r="25" ht="19.5" customHeight="1" s="398">
      <c r="A25" s="149" t="n"/>
      <c r="B25" s="143" t="n"/>
      <c r="C25" s="143" t="n"/>
      <c r="D25" s="143" t="n"/>
      <c r="Q25" s="143" t="n"/>
      <c r="R25" s="143" t="n"/>
      <c r="S25" s="143" t="n"/>
      <c r="T25" s="143" t="n"/>
      <c r="U25" s="143" t="n"/>
      <c r="V25" s="143" t="n"/>
      <c r="W25" s="143" t="n"/>
      <c r="X25" s="143" t="n"/>
      <c r="Y25" s="143" t="n"/>
      <c r="Z25" s="143" t="n"/>
    </row>
    <row r="26" ht="19.5" customHeight="1" s="398">
      <c r="A26" s="149" t="n"/>
      <c r="B26" s="143" t="n"/>
      <c r="C26" s="143" t="n"/>
      <c r="D26" s="143" t="n"/>
      <c r="Q26" s="143" t="n"/>
      <c r="R26" s="143" t="n"/>
      <c r="S26" s="143" t="n"/>
      <c r="T26" s="143" t="n"/>
      <c r="U26" s="143" t="n"/>
      <c r="V26" s="143" t="n"/>
      <c r="W26" s="143" t="n"/>
      <c r="X26" s="143" t="n"/>
      <c r="Y26" s="143" t="n"/>
      <c r="Z26" s="143" t="n"/>
    </row>
    <row r="27" ht="19.5" customHeight="1" s="398">
      <c r="A27" s="149" t="n"/>
      <c r="B27" s="143" t="n"/>
      <c r="C27" s="143" t="n"/>
      <c r="D27" s="143" t="n"/>
      <c r="Q27" s="143" t="n"/>
      <c r="R27" s="143" t="n"/>
      <c r="S27" s="143" t="n"/>
      <c r="T27" s="143" t="n"/>
      <c r="U27" s="143" t="n"/>
      <c r="V27" s="143" t="n"/>
      <c r="W27" s="143" t="n"/>
      <c r="X27" s="143" t="n"/>
      <c r="Y27" s="143" t="n"/>
      <c r="Z27" s="143" t="n"/>
    </row>
    <row r="28" ht="19.5" customHeight="1" s="398">
      <c r="A28" s="149" t="n"/>
      <c r="B28" s="143" t="n"/>
      <c r="C28" s="143" t="n"/>
      <c r="D28" s="143" t="n"/>
      <c r="Q28" s="143" t="n"/>
      <c r="R28" s="143" t="n"/>
      <c r="S28" s="143" t="n"/>
      <c r="T28" s="143" t="n"/>
      <c r="U28" s="143" t="n"/>
      <c r="V28" s="143" t="n"/>
      <c r="W28" s="143" t="n"/>
      <c r="X28" s="143" t="n"/>
      <c r="Y28" s="143" t="n"/>
      <c r="Z28" s="143" t="n"/>
    </row>
    <row r="29" ht="19.5" customHeight="1" s="398">
      <c r="A29" s="149" t="n"/>
      <c r="B29" s="143" t="n"/>
      <c r="C29" s="143" t="n"/>
      <c r="D29" s="143" t="n"/>
      <c r="Q29" s="143" t="n"/>
      <c r="R29" s="143" t="n"/>
      <c r="S29" s="143" t="n"/>
      <c r="T29" s="143" t="n"/>
      <c r="U29" s="143" t="n"/>
      <c r="V29" s="143" t="n"/>
      <c r="W29" s="143" t="n"/>
      <c r="X29" s="143" t="n"/>
      <c r="Y29" s="143" t="n"/>
      <c r="Z29" s="143" t="n"/>
    </row>
    <row r="30" ht="19.5" customHeight="1" s="398">
      <c r="A30" s="149" t="n"/>
      <c r="B30" s="143" t="n"/>
      <c r="C30" s="143" t="n"/>
      <c r="D30" s="143" t="n"/>
      <c r="Q30" s="143" t="n"/>
      <c r="R30" s="143" t="n"/>
      <c r="S30" s="143" t="n"/>
      <c r="T30" s="143" t="n"/>
      <c r="U30" s="143" t="n"/>
      <c r="V30" s="143" t="n"/>
      <c r="W30" s="143" t="n"/>
      <c r="X30" s="143" t="n"/>
      <c r="Y30" s="143" t="n"/>
      <c r="Z30" s="143" t="n"/>
    </row>
    <row r="31" ht="19.5" customHeight="1" s="398">
      <c r="A31" s="149" t="n"/>
      <c r="B31" s="143" t="n"/>
      <c r="C31" s="143" t="n"/>
      <c r="D31" s="143" t="n"/>
      <c r="Q31" s="143" t="n"/>
      <c r="R31" s="143" t="n"/>
      <c r="S31" s="143" t="n"/>
      <c r="T31" s="143" t="n"/>
      <c r="U31" s="143" t="n"/>
      <c r="V31" s="143" t="n"/>
      <c r="W31" s="143" t="n"/>
      <c r="X31" s="143" t="n"/>
      <c r="Y31" s="143" t="n"/>
      <c r="Z31" s="143" t="n"/>
    </row>
    <row r="32" ht="19.5" customHeight="1" s="398">
      <c r="A32" s="149" t="n"/>
      <c r="B32" s="143" t="n"/>
      <c r="C32" s="143" t="n"/>
      <c r="D32" s="143" t="n"/>
      <c r="Q32" s="143" t="n"/>
      <c r="R32" s="143" t="n"/>
      <c r="S32" s="143" t="n"/>
      <c r="T32" s="143" t="n"/>
      <c r="U32" s="143" t="n"/>
      <c r="V32" s="143" t="n"/>
      <c r="W32" s="143" t="n"/>
      <c r="X32" s="143" t="n"/>
      <c r="Y32" s="143" t="n"/>
      <c r="Z32" s="143" t="n"/>
    </row>
    <row r="33" ht="19.5" customHeight="1" s="398">
      <c r="A33" s="149" t="n"/>
      <c r="B33" s="143" t="n"/>
      <c r="C33" s="143" t="n"/>
      <c r="D33" s="143" t="n"/>
      <c r="Q33" s="143" t="n"/>
      <c r="R33" s="143" t="n"/>
      <c r="S33" s="143" t="n"/>
      <c r="T33" s="143" t="n"/>
      <c r="U33" s="143" t="n"/>
      <c r="V33" s="143" t="n"/>
      <c r="W33" s="143" t="n"/>
      <c r="X33" s="143" t="n"/>
      <c r="Y33" s="143" t="n"/>
      <c r="Z33" s="143" t="n"/>
    </row>
    <row r="34" ht="19.5" customHeight="1" s="398">
      <c r="A34" s="149" t="n"/>
      <c r="B34" s="143" t="n"/>
      <c r="C34" s="143" t="n"/>
      <c r="D34" s="143" t="n"/>
      <c r="Q34" s="143" t="n"/>
      <c r="R34" s="143" t="n"/>
      <c r="S34" s="143" t="n"/>
      <c r="T34" s="143" t="n"/>
      <c r="U34" s="143" t="n"/>
      <c r="V34" s="143" t="n"/>
      <c r="W34" s="143" t="n"/>
      <c r="X34" s="143" t="n"/>
      <c r="Y34" s="143" t="n"/>
      <c r="Z34" s="143" t="n"/>
    </row>
    <row r="35" ht="19.5" customHeight="1" s="398">
      <c r="A35" s="149" t="n"/>
      <c r="B35" s="143" t="n"/>
      <c r="C35" s="143" t="n"/>
      <c r="D35" s="143" t="n"/>
      <c r="Q35" s="143" t="n"/>
      <c r="R35" s="143" t="n"/>
      <c r="S35" s="143" t="n"/>
      <c r="T35" s="143" t="n"/>
      <c r="U35" s="143" t="n"/>
      <c r="V35" s="143" t="n"/>
      <c r="W35" s="143" t="n"/>
      <c r="X35" s="143" t="n"/>
      <c r="Y35" s="143" t="n"/>
      <c r="Z35" s="143" t="n"/>
    </row>
    <row r="36" ht="19.5" customHeight="1" s="398">
      <c r="A36" s="149" t="n"/>
      <c r="B36" s="143" t="n"/>
      <c r="C36" s="143" t="n"/>
      <c r="D36" s="143" t="n"/>
      <c r="Q36" s="143" t="n"/>
      <c r="R36" s="143" t="n"/>
      <c r="S36" s="143" t="n"/>
      <c r="T36" s="143" t="n"/>
      <c r="U36" s="143" t="n"/>
      <c r="V36" s="143" t="n"/>
      <c r="W36" s="143" t="n"/>
      <c r="X36" s="143" t="n"/>
      <c r="Y36" s="143" t="n"/>
      <c r="Z36" s="143" t="n"/>
    </row>
    <row r="37" ht="19.5" customHeight="1" s="398">
      <c r="A37" s="149" t="n"/>
      <c r="B37" s="143" t="n"/>
      <c r="C37" s="143" t="n"/>
      <c r="D37" s="143" t="n"/>
      <c r="Q37" s="143" t="n"/>
      <c r="R37" s="143" t="n"/>
      <c r="S37" s="143" t="n"/>
      <c r="T37" s="143" t="n"/>
      <c r="U37" s="143" t="n"/>
      <c r="V37" s="143" t="n"/>
      <c r="W37" s="143" t="n"/>
      <c r="X37" s="143" t="n"/>
      <c r="Y37" s="143" t="n"/>
      <c r="Z37" s="143" t="n"/>
    </row>
    <row r="38" ht="19.5" customHeight="1" s="398">
      <c r="A38" s="149" t="n"/>
      <c r="B38" s="143" t="n"/>
      <c r="C38" s="143" t="n"/>
      <c r="D38" s="143" t="n"/>
      <c r="Q38" s="143" t="n"/>
      <c r="R38" s="143" t="n"/>
      <c r="S38" s="143" t="n"/>
      <c r="T38" s="143" t="n"/>
      <c r="U38" s="143" t="n"/>
      <c r="V38" s="143" t="n"/>
      <c r="W38" s="143" t="n"/>
      <c r="X38" s="143" t="n"/>
      <c r="Y38" s="143" t="n"/>
      <c r="Z38" s="143" t="n"/>
    </row>
    <row r="39" ht="19.5" customHeight="1" s="398">
      <c r="A39" s="149" t="n"/>
      <c r="B39" s="143" t="n"/>
      <c r="C39" s="143" t="n"/>
      <c r="D39" s="143" t="n"/>
      <c r="Q39" s="143" t="n"/>
      <c r="R39" s="143" t="n"/>
      <c r="S39" s="143" t="n"/>
      <c r="T39" s="143" t="n"/>
      <c r="U39" s="143" t="n"/>
      <c r="V39" s="143" t="n"/>
      <c r="W39" s="143" t="n"/>
      <c r="X39" s="143" t="n"/>
      <c r="Y39" s="143" t="n"/>
      <c r="Z39" s="143" t="n"/>
    </row>
    <row r="40" ht="19.5" customHeight="1" s="398">
      <c r="A40" s="149" t="n"/>
      <c r="B40" s="143" t="n"/>
      <c r="C40" s="143" t="n"/>
      <c r="D40" s="143" t="n"/>
      <c r="Q40" s="143" t="n"/>
      <c r="R40" s="143" t="n"/>
      <c r="S40" s="143" t="n"/>
      <c r="T40" s="143" t="n"/>
      <c r="U40" s="143" t="n"/>
      <c r="V40" s="143" t="n"/>
      <c r="W40" s="143" t="n"/>
      <c r="X40" s="143" t="n"/>
      <c r="Y40" s="143" t="n"/>
      <c r="Z40" s="143" t="n"/>
    </row>
    <row r="41" ht="19.5" customHeight="1" s="398">
      <c r="A41" s="149" t="n"/>
      <c r="B41" s="143" t="n"/>
      <c r="C41" s="143" t="n"/>
      <c r="D41" s="143" t="n"/>
      <c r="Q41" s="143" t="n"/>
      <c r="R41" s="143" t="n"/>
      <c r="S41" s="143" t="n"/>
      <c r="T41" s="143" t="n"/>
      <c r="U41" s="143" t="n"/>
      <c r="V41" s="143" t="n"/>
      <c r="W41" s="143" t="n"/>
      <c r="X41" s="143" t="n"/>
      <c r="Y41" s="143" t="n"/>
      <c r="Z41" s="143" t="n"/>
    </row>
    <row r="42" ht="19.5" customHeight="1" s="398">
      <c r="A42" s="149" t="n"/>
      <c r="B42" s="143" t="n"/>
      <c r="C42" s="143" t="n"/>
      <c r="D42" s="143" t="n"/>
      <c r="E42" s="143" t="n"/>
      <c r="F42" s="143" t="n"/>
      <c r="G42" s="143" t="n"/>
      <c r="H42" s="143" t="n"/>
      <c r="I42" s="143" t="n"/>
      <c r="J42" s="143" t="n"/>
      <c r="K42" s="143" t="n"/>
      <c r="L42" s="143" t="n"/>
      <c r="M42" s="143" t="n"/>
      <c r="N42" s="143" t="n"/>
      <c r="O42" s="143" t="n"/>
      <c r="P42" s="143" t="n"/>
      <c r="Q42" s="143" t="n"/>
      <c r="R42" s="143" t="n"/>
      <c r="S42" s="143" t="n"/>
      <c r="T42" s="143" t="n"/>
      <c r="U42" s="143" t="n"/>
      <c r="V42" s="143" t="n"/>
      <c r="W42" s="143" t="n"/>
      <c r="X42" s="143" t="n"/>
      <c r="Y42" s="143" t="n"/>
      <c r="Z42" s="143" t="n"/>
    </row>
    <row r="43" ht="19.5" customHeight="1" s="398">
      <c r="A43" s="149" t="n"/>
      <c r="B43" s="143" t="n"/>
      <c r="C43" s="143" t="n"/>
      <c r="D43" s="143" t="n"/>
      <c r="E43" s="143" t="n"/>
      <c r="F43" s="143" t="n"/>
      <c r="G43" s="143" t="n"/>
      <c r="H43" s="143" t="n"/>
      <c r="I43" s="143" t="n"/>
      <c r="J43" s="143" t="n"/>
      <c r="K43" s="143" t="n"/>
      <c r="L43" s="143" t="n"/>
      <c r="M43" s="143" t="n"/>
      <c r="N43" s="143" t="n"/>
      <c r="O43" s="143" t="n"/>
      <c r="P43" s="143" t="n"/>
      <c r="Q43" s="143" t="n"/>
      <c r="R43" s="143" t="n"/>
      <c r="S43" s="143" t="n"/>
      <c r="T43" s="143" t="n"/>
      <c r="U43" s="143" t="n"/>
      <c r="V43" s="143" t="n"/>
      <c r="W43" s="143" t="n"/>
      <c r="X43" s="143" t="n"/>
      <c r="Y43" s="143" t="n"/>
      <c r="Z43" s="143" t="n"/>
    </row>
    <row r="44" ht="19.5" customHeight="1" s="398">
      <c r="A44" s="149" t="n"/>
      <c r="B44" s="143" t="n"/>
      <c r="C44" s="143" t="n"/>
      <c r="D44" s="143" t="n"/>
      <c r="E44" s="143" t="n"/>
      <c r="F44" s="143" t="n"/>
      <c r="G44" s="143" t="n"/>
      <c r="H44" s="143" t="n"/>
      <c r="I44" s="143" t="n"/>
      <c r="J44" s="143" t="n"/>
      <c r="K44" s="143" t="n"/>
      <c r="L44" s="143" t="n"/>
      <c r="M44" s="143" t="n"/>
      <c r="N44" s="143" t="n"/>
      <c r="O44" s="143" t="n"/>
      <c r="P44" s="143" t="n"/>
      <c r="Q44" s="143" t="n"/>
      <c r="R44" s="143" t="n"/>
      <c r="S44" s="143" t="n"/>
      <c r="T44" s="143" t="n"/>
      <c r="U44" s="143" t="n"/>
      <c r="V44" s="143" t="n"/>
      <c r="W44" s="143" t="n"/>
      <c r="X44" s="143" t="n"/>
      <c r="Y44" s="143" t="n"/>
      <c r="Z44" s="143" t="n"/>
    </row>
    <row r="45" ht="19.5" customHeight="1" s="398">
      <c r="A45" s="149" t="n"/>
      <c r="B45" s="143" t="n"/>
      <c r="C45" s="143" t="n"/>
      <c r="D45" s="143" t="n"/>
      <c r="E45" s="143" t="n"/>
      <c r="F45" s="143" t="n"/>
      <c r="G45" s="143" t="n"/>
      <c r="H45" s="143" t="n"/>
      <c r="I45" s="143" t="n"/>
      <c r="J45" s="143" t="n"/>
      <c r="K45" s="143" t="n"/>
      <c r="L45" s="143" t="n"/>
      <c r="M45" s="143" t="n"/>
      <c r="N45" s="143" t="n"/>
      <c r="O45" s="143" t="n"/>
      <c r="P45" s="143" t="n"/>
      <c r="Q45" s="143" t="n"/>
      <c r="R45" s="143" t="n"/>
      <c r="S45" s="143" t="n"/>
      <c r="T45" s="143" t="n"/>
      <c r="U45" s="143" t="n"/>
      <c r="V45" s="143" t="n"/>
      <c r="W45" s="143" t="n"/>
      <c r="X45" s="143" t="n"/>
      <c r="Y45" s="143" t="n"/>
      <c r="Z45" s="143" t="n"/>
    </row>
    <row r="46" ht="19.5" customHeight="1" s="398">
      <c r="A46" s="149" t="n"/>
      <c r="B46" s="143" t="n"/>
      <c r="C46" s="143" t="n"/>
      <c r="D46" s="143" t="n"/>
      <c r="E46" s="143" t="n"/>
      <c r="F46" s="143" t="n"/>
      <c r="G46" s="143" t="n"/>
      <c r="H46" s="143" t="n"/>
      <c r="I46" s="143" t="n"/>
      <c r="J46" s="143" t="n"/>
      <c r="K46" s="143" t="n"/>
      <c r="L46" s="143" t="n"/>
      <c r="M46" s="143" t="n"/>
      <c r="N46" s="143" t="n"/>
      <c r="O46" s="143" t="n"/>
      <c r="P46" s="143" t="n"/>
      <c r="Q46" s="143" t="n"/>
      <c r="R46" s="143" t="n"/>
      <c r="S46" s="143" t="n"/>
      <c r="T46" s="143" t="n"/>
      <c r="U46" s="143" t="n"/>
      <c r="V46" s="143" t="n"/>
      <c r="W46" s="143" t="n"/>
      <c r="X46" s="143" t="n"/>
      <c r="Y46" s="143" t="n"/>
      <c r="Z46" s="143" t="n"/>
    </row>
    <row r="47" ht="19.5" customHeight="1" s="398">
      <c r="A47" s="149" t="n"/>
      <c r="B47" s="143" t="n"/>
      <c r="C47" s="143" t="n"/>
      <c r="D47" s="143" t="n"/>
      <c r="E47" s="143" t="n"/>
      <c r="F47" s="143" t="n"/>
      <c r="G47" s="143" t="n"/>
      <c r="H47" s="143" t="n"/>
      <c r="I47" s="143" t="n"/>
      <c r="J47" s="143" t="n"/>
      <c r="K47" s="143" t="n"/>
      <c r="L47" s="143" t="n"/>
      <c r="M47" s="143" t="n"/>
      <c r="N47" s="143" t="n"/>
      <c r="O47" s="143" t="n"/>
      <c r="P47" s="143" t="n"/>
      <c r="Q47" s="143" t="n"/>
      <c r="R47" s="143" t="n"/>
      <c r="S47" s="143" t="n"/>
      <c r="T47" s="143" t="n"/>
      <c r="U47" s="143" t="n"/>
      <c r="V47" s="143" t="n"/>
      <c r="W47" s="143" t="n"/>
      <c r="X47" s="143" t="n"/>
      <c r="Y47" s="143" t="n"/>
      <c r="Z47" s="143" t="n"/>
    </row>
    <row r="48" ht="19.5" customHeight="1" s="398">
      <c r="A48" s="149" t="n"/>
      <c r="B48" s="143" t="n"/>
      <c r="C48" s="143" t="n"/>
      <c r="D48" s="143" t="n"/>
      <c r="E48" s="143" t="n"/>
      <c r="F48" s="143" t="n"/>
      <c r="G48" s="143" t="n"/>
      <c r="H48" s="143" t="n"/>
      <c r="I48" s="143" t="n"/>
      <c r="J48" s="143" t="n"/>
      <c r="K48" s="143" t="n"/>
      <c r="L48" s="143" t="n"/>
      <c r="M48" s="143" t="n"/>
      <c r="N48" s="143" t="n"/>
      <c r="O48" s="143" t="n"/>
      <c r="P48" s="143" t="n"/>
      <c r="Q48" s="143" t="n"/>
      <c r="R48" s="143" t="n"/>
      <c r="S48" s="143" t="n"/>
      <c r="T48" s="143" t="n"/>
      <c r="U48" s="143" t="n"/>
      <c r="V48" s="143" t="n"/>
      <c r="W48" s="143" t="n"/>
      <c r="X48" s="143" t="n"/>
      <c r="Y48" s="143" t="n"/>
      <c r="Z48" s="143" t="n"/>
    </row>
    <row r="49" ht="19.5" customHeight="1" s="398">
      <c r="A49" s="149" t="n"/>
      <c r="B49" s="143" t="n"/>
      <c r="C49" s="143" t="n"/>
      <c r="D49" s="143" t="n"/>
      <c r="E49" s="143" t="n"/>
      <c r="F49" s="143" t="n"/>
      <c r="G49" s="143" t="n"/>
      <c r="H49" s="143" t="n"/>
      <c r="I49" s="143" t="n"/>
      <c r="J49" s="143" t="n"/>
      <c r="K49" s="143" t="n"/>
      <c r="L49" s="143" t="n"/>
      <c r="M49" s="143" t="n"/>
      <c r="N49" s="143" t="n"/>
      <c r="O49" s="143" t="n"/>
      <c r="P49" s="143" t="n"/>
      <c r="Q49" s="143" t="n"/>
      <c r="R49" s="143" t="n"/>
      <c r="S49" s="143" t="n"/>
      <c r="T49" s="143" t="n"/>
      <c r="U49" s="143" t="n"/>
      <c r="V49" s="143" t="n"/>
      <c r="W49" s="143" t="n"/>
      <c r="X49" s="143" t="n"/>
      <c r="Y49" s="143" t="n"/>
      <c r="Z49" s="143" t="n"/>
    </row>
    <row r="50" ht="19.5" customHeight="1" s="398">
      <c r="A50" s="149" t="n"/>
      <c r="B50" s="143" t="n"/>
      <c r="C50" s="143" t="n"/>
      <c r="D50" s="143" t="n"/>
      <c r="E50" s="533" t="inlineStr">
        <is>
          <t>jan 22</t>
        </is>
      </c>
      <c r="G50" s="143" t="n"/>
      <c r="H50" s="534" t="inlineStr">
        <is>
          <t>abril 22</t>
        </is>
      </c>
      <c r="J50" s="143" t="n"/>
      <c r="K50" s="535" t="inlineStr">
        <is>
          <t>jul 22</t>
        </is>
      </c>
      <c r="M50" s="143" t="n"/>
      <c r="N50" s="533" t="inlineStr">
        <is>
          <t>ago 22</t>
        </is>
      </c>
      <c r="P50" s="143" t="n"/>
      <c r="Q50" s="143" t="n"/>
      <c r="R50" s="143" t="n"/>
      <c r="S50" s="143" t="n"/>
      <c r="T50" s="143" t="n"/>
      <c r="U50" s="143" t="n"/>
      <c r="V50" s="143" t="n"/>
      <c r="W50" s="143" t="n"/>
      <c r="X50" s="143" t="n"/>
      <c r="Y50" s="143" t="n"/>
      <c r="Z50" s="143" t="n"/>
    </row>
    <row r="51" ht="19.5" customHeight="1" s="398">
      <c r="A51" s="149" t="n"/>
      <c r="B51" s="143" t="n"/>
      <c r="C51" s="143" t="n"/>
      <c r="D51" s="143" t="n"/>
      <c r="E51" s="143" t="inlineStr">
        <is>
          <t>valor base</t>
        </is>
      </c>
      <c r="F51" s="53" t="n">
        <v>444638.41</v>
      </c>
      <c r="G51" s="143" t="n"/>
      <c r="H51" s="143" t="inlineStr">
        <is>
          <t>valor base</t>
        </is>
      </c>
      <c r="I51" s="53" t="n">
        <v>469694.99</v>
      </c>
      <c r="J51" s="143" t="n"/>
      <c r="K51" s="143" t="inlineStr">
        <is>
          <t>valor base</t>
        </is>
      </c>
      <c r="L51" s="53" t="n">
        <v>334394.64</v>
      </c>
      <c r="M51" s="143" t="n"/>
      <c r="N51" s="143" t="inlineStr">
        <is>
          <t>valor base</t>
        </is>
      </c>
      <c r="O51" s="53" t="n">
        <v>325979.62</v>
      </c>
      <c r="P51" s="143" t="n"/>
      <c r="Q51" s="143" t="n"/>
      <c r="R51" s="143" t="n"/>
      <c r="S51" s="143" t="n"/>
      <c r="T51" s="143" t="n"/>
      <c r="U51" s="143" t="n"/>
      <c r="V51" s="143" t="n"/>
      <c r="W51" s="143" t="n"/>
      <c r="X51" s="143" t="n"/>
      <c r="Y51" s="143" t="n"/>
      <c r="Z51" s="143" t="n"/>
    </row>
    <row r="52" ht="19.5" customHeight="1" s="398">
      <c r="A52" s="149" t="n"/>
      <c r="B52" s="143" t="n"/>
      <c r="C52" s="143" t="n"/>
      <c r="D52" s="143" t="n"/>
      <c r="E52" s="143" t="inlineStr">
        <is>
          <t>multa</t>
        </is>
      </c>
      <c r="F52" s="53" t="n">
        <v>8892.82</v>
      </c>
      <c r="G52" s="143" t="n"/>
      <c r="H52" s="143" t="inlineStr">
        <is>
          <t>multa</t>
        </is>
      </c>
      <c r="I52" s="53" t="n">
        <v>9393.98</v>
      </c>
      <c r="J52" s="143" t="n"/>
      <c r="K52" s="143" t="inlineStr">
        <is>
          <t>multa</t>
        </is>
      </c>
      <c r="L52" s="53" t="n">
        <v>6687.79</v>
      </c>
      <c r="M52" s="143" t="n"/>
      <c r="N52" s="143" t="inlineStr">
        <is>
          <t>multa</t>
        </is>
      </c>
      <c r="O52" s="53" t="n">
        <v>6583.89</v>
      </c>
      <c r="P52" s="143" t="n"/>
      <c r="Q52" s="143" t="n"/>
      <c r="R52" s="143" t="n"/>
      <c r="S52" s="143" t="n"/>
      <c r="T52" s="143" t="n"/>
      <c r="U52" s="143" t="n"/>
      <c r="V52" s="143" t="n"/>
      <c r="W52" s="143" t="n"/>
      <c r="X52" s="143" t="n"/>
      <c r="Y52" s="143" t="n"/>
      <c r="Z52" s="143" t="n"/>
    </row>
    <row r="53" ht="19.5" customHeight="1" s="398">
      <c r="A53" s="149" t="n"/>
      <c r="B53" s="143" t="n"/>
      <c r="C53" s="143" t="n"/>
      <c r="D53" s="143" t="n"/>
      <c r="E53" s="143" t="inlineStr">
        <is>
          <t>juros</t>
        </is>
      </c>
      <c r="F53" s="53" t="n">
        <v>236345.32</v>
      </c>
      <c r="G53" s="143" t="n"/>
      <c r="H53" s="143" t="inlineStr">
        <is>
          <t>juros</t>
        </is>
      </c>
      <c r="I53" s="53" t="n">
        <v>266619.5</v>
      </c>
      <c r="J53" s="143" t="n"/>
      <c r="K53" s="143" t="inlineStr">
        <is>
          <t>juros</t>
        </is>
      </c>
      <c r="L53" s="53" t="n">
        <v>190416.14</v>
      </c>
      <c r="M53" s="143" t="n"/>
      <c r="N53" s="143" t="inlineStr">
        <is>
          <t>juros</t>
        </is>
      </c>
      <c r="O53" s="53" t="n">
        <v>192004.56</v>
      </c>
      <c r="P53" s="143" t="n"/>
      <c r="Q53" s="143" t="n"/>
      <c r="R53" s="143" t="n"/>
      <c r="S53" s="143" t="n"/>
      <c r="T53" s="143" t="n"/>
      <c r="U53" s="143" t="n"/>
      <c r="V53" s="143" t="n"/>
      <c r="W53" s="143" t="n"/>
      <c r="X53" s="143" t="n"/>
      <c r="Y53" s="143" t="n"/>
      <c r="Z53" s="143" t="n"/>
    </row>
    <row r="54" ht="19.5" customHeight="1" s="398">
      <c r="A54" s="149" t="n"/>
      <c r="B54" s="143" t="n"/>
      <c r="C54" s="143" t="n"/>
      <c r="D54" s="143" t="n"/>
      <c r="E54" s="143" t="inlineStr">
        <is>
          <t>correção</t>
        </is>
      </c>
      <c r="F54" s="53" t="n">
        <v>212971.03</v>
      </c>
      <c r="G54" s="143" t="n"/>
      <c r="H54" s="143" t="inlineStr">
        <is>
          <t>correção</t>
        </is>
      </c>
      <c r="I54" s="53" t="n">
        <v>246798.08</v>
      </c>
      <c r="J54" s="143" t="n"/>
      <c r="K54" s="143" t="inlineStr">
        <is>
          <t>correção</t>
        </is>
      </c>
      <c r="L54" s="53" t="n">
        <v>166810.9</v>
      </c>
      <c r="M54" s="143" t="n"/>
      <c r="N54" s="143" t="inlineStr">
        <is>
          <t>correção</t>
        </is>
      </c>
      <c r="O54" s="53" t="n">
        <v>163110.79</v>
      </c>
      <c r="P54" s="143" t="n"/>
      <c r="Q54" s="143" t="n"/>
      <c r="R54" s="143" t="n"/>
      <c r="S54" s="143" t="n"/>
      <c r="T54" s="143" t="n"/>
      <c r="U54" s="143" t="n"/>
      <c r="V54" s="143" t="n"/>
      <c r="W54" s="143" t="n"/>
      <c r="X54" s="143" t="n"/>
      <c r="Y54" s="143" t="n"/>
      <c r="Z54" s="143" t="n"/>
    </row>
    <row r="55" ht="19.5" customHeight="1" s="398">
      <c r="A55" s="149" t="n"/>
      <c r="B55" s="143" t="n"/>
      <c r="C55" s="143" t="n"/>
      <c r="D55" s="143" t="n"/>
      <c r="E55" s="143" t="inlineStr">
        <is>
          <t>valor corrigido</t>
        </is>
      </c>
      <c r="F55" s="53">
        <f>SUM(F51:F54)</f>
        <v/>
      </c>
      <c r="G55" s="143" t="n"/>
      <c r="H55" s="143" t="inlineStr">
        <is>
          <t>valor corrigido</t>
        </is>
      </c>
      <c r="I55" s="53" t="n">
        <v>992506.65</v>
      </c>
      <c r="J55" s="143" t="n"/>
      <c r="K55" s="143" t="inlineStr">
        <is>
          <t>valor corrigido</t>
        </is>
      </c>
      <c r="L55" s="53">
        <f>SUM(L51:L54)</f>
        <v/>
      </c>
      <c r="M55" s="143" t="n"/>
      <c r="N55" s="143" t="inlineStr">
        <is>
          <t>valor corrigido</t>
        </is>
      </c>
      <c r="O55" s="53">
        <f>SUM(O51:O54)</f>
        <v/>
      </c>
      <c r="P55" s="143" t="n"/>
      <c r="Q55" s="143" t="n"/>
      <c r="R55" s="143" t="n"/>
      <c r="S55" s="143" t="n"/>
      <c r="T55" s="143" t="n"/>
      <c r="U55" s="143" t="n"/>
      <c r="V55" s="143" t="n"/>
      <c r="W55" s="143" t="n"/>
      <c r="X55" s="143" t="n"/>
      <c r="Y55" s="143" t="n"/>
      <c r="Z55" s="143" t="n"/>
    </row>
    <row r="56" ht="19.5" customHeight="1" s="398">
      <c r="A56" s="149" t="n"/>
      <c r="B56" s="143" t="n"/>
      <c r="C56" s="143" t="n"/>
      <c r="D56" s="143" t="n"/>
      <c r="E56" s="536" t="inlineStr">
        <is>
          <t>NOV 22</t>
        </is>
      </c>
      <c r="G56" s="143" t="n"/>
      <c r="H56" s="536" t="inlineStr">
        <is>
          <t>marco 22</t>
        </is>
      </c>
      <c r="J56" s="143" t="n"/>
      <c r="K56" s="536" t="inlineStr">
        <is>
          <t>jun 22</t>
        </is>
      </c>
      <c r="M56" s="143" t="n"/>
      <c r="N56" s="536" t="inlineStr">
        <is>
          <t>set 22</t>
        </is>
      </c>
      <c r="P56" s="143" t="n"/>
      <c r="Q56" s="143" t="n"/>
      <c r="R56" s="143" t="n"/>
      <c r="S56" s="143" t="n"/>
      <c r="T56" s="143" t="n"/>
      <c r="U56" s="143" t="n"/>
      <c r="V56" s="143" t="n"/>
      <c r="W56" s="143" t="n"/>
      <c r="X56" s="143" t="n"/>
      <c r="Y56" s="143" t="n"/>
      <c r="Z56" s="143" t="n"/>
    </row>
    <row r="57" ht="19.5" customHeight="1" s="398">
      <c r="A57" s="149" t="n"/>
      <c r="B57" s="143" t="n"/>
      <c r="C57" s="143" t="n"/>
      <c r="D57" s="143" t="n"/>
      <c r="E57" s="143" t="inlineStr">
        <is>
          <t>valor base</t>
        </is>
      </c>
      <c r="F57" s="53" t="n">
        <v>177425.99</v>
      </c>
      <c r="G57" s="143" t="n"/>
      <c r="H57" s="143" t="inlineStr">
        <is>
          <t>valor base</t>
        </is>
      </c>
      <c r="I57" s="53" t="n">
        <v>477047.67</v>
      </c>
      <c r="J57" s="143" t="n"/>
      <c r="K57" s="143" t="inlineStr">
        <is>
          <t>valor base</t>
        </is>
      </c>
      <c r="L57" s="53" t="n">
        <v>390770.2</v>
      </c>
      <c r="M57" s="143" t="n"/>
      <c r="N57" s="143" t="inlineStr">
        <is>
          <t>valor base</t>
        </is>
      </c>
      <c r="O57" s="53" t="n">
        <v>218963.41</v>
      </c>
      <c r="P57" s="143" t="n"/>
      <c r="Q57" s="143" t="n"/>
      <c r="R57" s="143" t="n"/>
      <c r="S57" s="143" t="n"/>
      <c r="T57" s="143" t="n"/>
      <c r="U57" s="143" t="n"/>
      <c r="V57" s="143" t="n"/>
      <c r="W57" s="143" t="n"/>
      <c r="X57" s="143" t="n"/>
      <c r="Y57" s="143" t="n"/>
      <c r="Z57" s="143" t="n"/>
    </row>
    <row r="58" ht="19.5" customHeight="1" s="398">
      <c r="A58" s="149" t="n"/>
      <c r="B58" s="143" t="n"/>
      <c r="C58" s="143" t="n"/>
      <c r="D58" s="143" t="n"/>
      <c r="E58" s="143" t="inlineStr">
        <is>
          <t>multa</t>
        </is>
      </c>
      <c r="F58" s="53" t="n">
        <v>4379.39</v>
      </c>
      <c r="G58" s="143" t="n"/>
      <c r="H58" s="143" t="inlineStr">
        <is>
          <t>multa</t>
        </is>
      </c>
      <c r="I58" s="53" t="n">
        <v>9541.040000000001</v>
      </c>
      <c r="J58" s="143" t="n"/>
      <c r="K58" s="143" t="inlineStr">
        <is>
          <t>multa</t>
        </is>
      </c>
      <c r="L58" s="53" t="n">
        <v>7815.47</v>
      </c>
      <c r="M58" s="143" t="n"/>
      <c r="N58" s="143" t="inlineStr">
        <is>
          <t>multa</t>
        </is>
      </c>
      <c r="O58" s="53" t="n">
        <v>4379.39</v>
      </c>
      <c r="P58" s="143" t="n"/>
      <c r="Q58" s="143" t="n"/>
      <c r="R58" s="143" t="n"/>
      <c r="S58" s="143" t="n"/>
      <c r="T58" s="143" t="n"/>
      <c r="U58" s="143" t="n"/>
      <c r="V58" s="143" t="n"/>
      <c r="W58" s="143" t="n"/>
      <c r="X58" s="143" t="n"/>
      <c r="Y58" s="143" t="n"/>
      <c r="Z58" s="143" t="n"/>
    </row>
    <row r="59" ht="19.5" customHeight="1" s="398">
      <c r="A59" s="149" t="n"/>
      <c r="B59" s="143" t="n"/>
      <c r="C59" s="143" t="n"/>
      <c r="D59" s="143" t="n"/>
      <c r="E59" s="143" t="inlineStr">
        <is>
          <t>juros</t>
        </is>
      </c>
      <c r="F59" s="53" t="n">
        <v>151595.55</v>
      </c>
      <c r="G59" s="143" t="n"/>
      <c r="H59" s="143" t="inlineStr">
        <is>
          <t>juros</t>
        </is>
      </c>
      <c r="I59" s="53" t="n">
        <v>255531.31</v>
      </c>
      <c r="J59" s="143" t="n"/>
      <c r="K59" s="143" t="inlineStr">
        <is>
          <t>juros</t>
        </is>
      </c>
      <c r="L59" s="53" t="n">
        <v>201248.3</v>
      </c>
      <c r="M59" s="143" t="n"/>
      <c r="N59" s="143" t="inlineStr">
        <is>
          <t>juros</t>
        </is>
      </c>
      <c r="O59" s="53" t="n">
        <v>151595.55</v>
      </c>
      <c r="P59" s="143" t="n"/>
      <c r="Q59" s="143" t="n"/>
      <c r="R59" s="143" t="n"/>
      <c r="S59" s="143" t="n"/>
      <c r="T59" s="143" t="n"/>
      <c r="U59" s="143" t="n"/>
      <c r="V59" s="143" t="n"/>
      <c r="W59" s="143" t="n"/>
      <c r="X59" s="143" t="n"/>
      <c r="Y59" s="143" t="n"/>
      <c r="Z59" s="143" t="n"/>
    </row>
    <row r="60" ht="19.5" customHeight="1" s="398">
      <c r="A60" s="149" t="n"/>
      <c r="B60" s="143" t="n"/>
      <c r="C60" s="143" t="n"/>
      <c r="D60" s="143" t="n"/>
      <c r="E60" s="143" t="inlineStr">
        <is>
          <t>correção</t>
        </is>
      </c>
      <c r="F60" s="53" t="n">
        <v>120262.34</v>
      </c>
      <c r="G60" s="143" t="n"/>
      <c r="H60" s="143" t="inlineStr">
        <is>
          <t>correção</t>
        </is>
      </c>
      <c r="I60" s="53" t="n">
        <v>237004.06</v>
      </c>
      <c r="J60" s="143" t="n"/>
      <c r="K60" s="143" t="inlineStr">
        <is>
          <t>correção</t>
        </is>
      </c>
      <c r="L60" s="53" t="n">
        <v>178776.01</v>
      </c>
      <c r="M60" s="143" t="n"/>
      <c r="N60" s="143" t="inlineStr">
        <is>
          <t>correção</t>
        </is>
      </c>
      <c r="O60" s="53" t="n">
        <v>120262.34</v>
      </c>
      <c r="P60" s="143" t="n"/>
      <c r="Q60" s="143" t="n"/>
      <c r="R60" s="143" t="n"/>
      <c r="S60" s="143" t="n"/>
      <c r="T60" s="143" t="n"/>
      <c r="U60" s="143" t="n"/>
      <c r="V60" s="143" t="n"/>
      <c r="W60" s="143" t="n"/>
      <c r="X60" s="143" t="n"/>
      <c r="Y60" s="143" t="n"/>
      <c r="Z60" s="143" t="n"/>
    </row>
    <row r="61" ht="19.5" customHeight="1" s="398">
      <c r="A61" s="149" t="n"/>
      <c r="B61" s="143" t="n"/>
      <c r="C61" s="143" t="n"/>
      <c r="D61" s="143" t="n"/>
      <c r="E61" s="143" t="inlineStr">
        <is>
          <t>valor corrigido</t>
        </is>
      </c>
      <c r="F61" s="53">
        <f>260104.22</f>
        <v/>
      </c>
      <c r="G61" s="143" t="n"/>
      <c r="H61" s="143" t="inlineStr">
        <is>
          <t>valor corrigido</t>
        </is>
      </c>
      <c r="I61" s="53">
        <f>SUM(I57:I60)</f>
        <v/>
      </c>
      <c r="J61" s="143" t="n"/>
      <c r="K61" s="143" t="inlineStr">
        <is>
          <t>valor corrigido</t>
        </is>
      </c>
      <c r="L61" s="53">
        <f>SUM(L57:L60)</f>
        <v/>
      </c>
      <c r="M61" s="143" t="n"/>
      <c r="N61" s="143" t="inlineStr">
        <is>
          <t>valor corrigido</t>
        </is>
      </c>
      <c r="O61" s="53">
        <f>SUM(O57:O60)</f>
        <v/>
      </c>
      <c r="P61" s="143" t="n"/>
      <c r="Q61" s="143" t="n"/>
      <c r="R61" s="143" t="n"/>
      <c r="S61" s="143" t="n"/>
      <c r="T61" s="143" t="n"/>
      <c r="U61" s="143" t="n"/>
      <c r="V61" s="143" t="n"/>
      <c r="W61" s="143" t="n"/>
      <c r="X61" s="143" t="n"/>
      <c r="Y61" s="143" t="n"/>
      <c r="Z61" s="143" t="n"/>
    </row>
    <row r="62" ht="19.5" customHeight="1" s="398">
      <c r="A62" s="149" t="n"/>
      <c r="B62" s="143" t="n"/>
      <c r="C62" s="143" t="n"/>
      <c r="D62" s="143" t="n"/>
      <c r="E62" s="536" t="inlineStr">
        <is>
          <t>DEZ 22</t>
        </is>
      </c>
      <c r="G62" s="143" t="n"/>
      <c r="H62" s="536" t="inlineStr">
        <is>
          <t>fev 22</t>
        </is>
      </c>
      <c r="J62" s="143" t="n"/>
      <c r="K62" s="536" t="inlineStr">
        <is>
          <t>maio 22</t>
        </is>
      </c>
      <c r="M62" s="143" t="n"/>
      <c r="N62" s="536" t="inlineStr">
        <is>
          <t>out 22</t>
        </is>
      </c>
      <c r="P62" s="143" t="n"/>
      <c r="Q62" s="143" t="n"/>
      <c r="R62" s="143" t="n"/>
      <c r="S62" s="143" t="n"/>
      <c r="T62" s="143" t="n"/>
      <c r="U62" s="143" t="n"/>
      <c r="V62" s="143" t="n"/>
      <c r="W62" s="143" t="n"/>
      <c r="X62" s="143" t="n"/>
      <c r="Y62" s="143" t="n"/>
      <c r="Z62" s="143" t="n"/>
    </row>
    <row r="63" ht="19.5" customHeight="1" s="398">
      <c r="A63" s="149" t="n"/>
      <c r="B63" s="143" t="n"/>
      <c r="C63" s="143" t="n"/>
      <c r="D63" s="143" t="n"/>
      <c r="E63" s="143" t="inlineStr">
        <is>
          <t>valor base</t>
        </is>
      </c>
      <c r="F63" s="53" t="n">
        <v>177425.99</v>
      </c>
      <c r="G63" s="143" t="n"/>
      <c r="H63" s="143" t="inlineStr">
        <is>
          <t>valor base</t>
        </is>
      </c>
      <c r="I63" s="53" t="n">
        <v>452519.74</v>
      </c>
      <c r="J63" s="143" t="n"/>
      <c r="K63" s="143" t="inlineStr">
        <is>
          <t>valor base</t>
        </is>
      </c>
      <c r="L63" s="53" t="n">
        <v>482474.11</v>
      </c>
      <c r="M63" s="143" t="n"/>
      <c r="N63" s="143" t="inlineStr">
        <is>
          <t>valor base</t>
        </is>
      </c>
      <c r="O63" s="53" t="n">
        <v>123518.56</v>
      </c>
      <c r="P63" s="143" t="n"/>
      <c r="Q63" s="143" t="n"/>
      <c r="R63" s="143" t="n"/>
      <c r="S63" s="143" t="n"/>
      <c r="T63" s="143" t="n"/>
      <c r="U63" s="143" t="n"/>
      <c r="V63" s="143" t="n"/>
      <c r="W63" s="143" t="n"/>
      <c r="X63" s="143" t="n"/>
      <c r="Y63" s="143" t="n"/>
      <c r="Z63" s="143" t="n"/>
    </row>
    <row r="64" ht="19.5" customHeight="1" s="398">
      <c r="A64" s="149" t="n"/>
      <c r="B64" s="143" t="n"/>
      <c r="C64" s="143" t="n"/>
      <c r="D64" s="143" t="n"/>
      <c r="E64" s="143" t="inlineStr">
        <is>
          <t>multa</t>
        </is>
      </c>
      <c r="F64" s="53" t="n">
        <v>4379.39</v>
      </c>
      <c r="G64" s="143" t="n"/>
      <c r="H64" s="143" t="inlineStr">
        <is>
          <t>multa</t>
        </is>
      </c>
      <c r="I64" s="53" t="n">
        <v>9050.379999999999</v>
      </c>
      <c r="J64" s="143" t="n"/>
      <c r="K64" s="143" t="inlineStr">
        <is>
          <t>multa</t>
        </is>
      </c>
      <c r="L64" s="53" t="n">
        <v>9649.58</v>
      </c>
      <c r="M64" s="143" t="n"/>
      <c r="N64" s="143" t="inlineStr">
        <is>
          <t>multa</t>
        </is>
      </c>
      <c r="O64" s="53" t="n">
        <v>2470.47</v>
      </c>
      <c r="P64" s="143" t="n"/>
      <c r="Q64" s="143" t="n"/>
      <c r="R64" s="143" t="n"/>
      <c r="S64" s="143" t="n"/>
      <c r="T64" s="143" t="n"/>
      <c r="U64" s="143" t="n"/>
      <c r="V64" s="143" t="n"/>
      <c r="W64" s="143" t="n"/>
      <c r="X64" s="143" t="n"/>
      <c r="Y64" s="143" t="n"/>
      <c r="Z64" s="143" t="n"/>
    </row>
    <row r="65" ht="19.5" customHeight="1" s="398">
      <c r="A65" s="149" t="n"/>
      <c r="B65" s="143" t="n"/>
      <c r="C65" s="143" t="n"/>
      <c r="D65" s="143" t="n"/>
      <c r="E65" s="143" t="inlineStr">
        <is>
          <t>juros</t>
        </is>
      </c>
      <c r="F65" s="53" t="n">
        <v>151595.55</v>
      </c>
      <c r="G65" s="143" t="n"/>
      <c r="H65" s="143" t="inlineStr">
        <is>
          <t>juros</t>
        </is>
      </c>
      <c r="I65" s="53" t="n">
        <v>245910.62</v>
      </c>
      <c r="J65" s="143" t="n"/>
      <c r="K65" s="143" t="inlineStr">
        <is>
          <t>juros</t>
        </is>
      </c>
      <c r="L65" s="53" t="n">
        <v>274101.69</v>
      </c>
      <c r="M65" s="143" t="n"/>
      <c r="N65" s="143" t="inlineStr">
        <is>
          <t>juros</t>
        </is>
      </c>
      <c r="O65" s="53" t="n">
        <v>76946.10000000001</v>
      </c>
      <c r="P65" s="143" t="n"/>
      <c r="Q65" s="143" t="n"/>
      <c r="R65" s="143" t="n"/>
      <c r="S65" s="143" t="n"/>
      <c r="T65" s="143" t="n"/>
      <c r="U65" s="143" t="n"/>
      <c r="V65" s="143" t="n"/>
      <c r="W65" s="143" t="n"/>
      <c r="X65" s="143" t="n"/>
      <c r="Y65" s="143" t="n"/>
      <c r="Z65" s="143" t="n"/>
    </row>
    <row r="66" ht="19.5" customHeight="1" s="398">
      <c r="A66" s="149" t="n"/>
      <c r="B66" s="143" t="n"/>
      <c r="C66" s="143" t="n"/>
      <c r="D66" s="143" t="n"/>
      <c r="E66" s="143" t="inlineStr">
        <is>
          <t>correção</t>
        </is>
      </c>
      <c r="F66" s="53" t="n">
        <v>120262.34</v>
      </c>
      <c r="G66" s="143" t="n"/>
      <c r="H66" s="143" t="inlineStr">
        <is>
          <t>correção</t>
        </is>
      </c>
      <c r="I66" s="53" t="n">
        <v>225125.41</v>
      </c>
      <c r="J66" s="143" t="n"/>
      <c r="K66" s="143" t="inlineStr">
        <is>
          <t>correção</t>
        </is>
      </c>
      <c r="L66" s="53" t="n">
        <v>246109.61</v>
      </c>
      <c r="M66" s="143" t="n"/>
      <c r="N66" s="143" t="inlineStr">
        <is>
          <t>correção</t>
        </is>
      </c>
      <c r="O66" s="53" t="n">
        <v>60415.87</v>
      </c>
      <c r="P66" s="143" t="n"/>
      <c r="Q66" s="143" t="n"/>
      <c r="R66" s="143" t="n"/>
      <c r="S66" s="143" t="n"/>
      <c r="T66" s="143" t="n"/>
      <c r="U66" s="143" t="n"/>
      <c r="V66" s="143" t="n"/>
      <c r="W66" s="143" t="n"/>
      <c r="X66" s="143" t="n"/>
      <c r="Y66" s="143" t="n"/>
      <c r="Z66" s="143" t="n"/>
    </row>
    <row r="67" ht="19.5" customHeight="1" s="398">
      <c r="A67" s="149" t="n"/>
      <c r="B67" s="143" t="n"/>
      <c r="C67" s="143" t="n"/>
      <c r="D67" s="143" t="n"/>
      <c r="E67" s="143" t="inlineStr">
        <is>
          <t>valor corrigido</t>
        </is>
      </c>
      <c r="F67" s="53">
        <f>260104.22</f>
        <v/>
      </c>
      <c r="G67" s="143" t="n"/>
      <c r="H67" s="143" t="inlineStr">
        <is>
          <t>valor corrigido</t>
        </is>
      </c>
      <c r="I67" s="53">
        <f>SUM(I63:I66)</f>
        <v/>
      </c>
      <c r="J67" s="143" t="n"/>
      <c r="K67" s="143" t="inlineStr">
        <is>
          <t>valor corrigido</t>
        </is>
      </c>
      <c r="L67" s="53">
        <f>SUM(L63:L66)</f>
        <v/>
      </c>
      <c r="M67" s="143" t="n"/>
      <c r="N67" s="143" t="inlineStr">
        <is>
          <t>valor corrigido</t>
        </is>
      </c>
      <c r="O67" s="53">
        <f>SUM(O63:O66)</f>
        <v/>
      </c>
      <c r="P67" s="143" t="n"/>
      <c r="Q67" s="143" t="n"/>
      <c r="R67" s="143" t="n"/>
      <c r="S67" s="143" t="n"/>
      <c r="T67" s="143" t="n"/>
      <c r="U67" s="143" t="n"/>
      <c r="V67" s="143" t="n"/>
      <c r="W67" s="143" t="n"/>
      <c r="X67" s="143" t="n"/>
      <c r="Y67" s="143" t="n"/>
      <c r="Z67" s="143" t="n"/>
    </row>
    <row r="68" ht="19.5" customHeight="1" s="398">
      <c r="A68" s="149" t="n"/>
      <c r="B68" s="143" t="n"/>
      <c r="C68" s="143" t="n"/>
      <c r="D68" s="143" t="n"/>
      <c r="E68" s="536" t="inlineStr">
        <is>
          <t>JAN 23</t>
        </is>
      </c>
      <c r="G68" s="143" t="n"/>
      <c r="H68" s="143" t="n"/>
      <c r="I68" s="143" t="n"/>
      <c r="J68" s="143" t="n"/>
      <c r="K68" s="143" t="n"/>
      <c r="L68" s="143" t="n"/>
      <c r="M68" s="143" t="n"/>
      <c r="N68" s="143" t="n"/>
      <c r="O68" s="143" t="n"/>
      <c r="P68" s="143" t="n"/>
      <c r="Q68" s="143" t="n"/>
      <c r="R68" s="143" t="n"/>
      <c r="S68" s="143" t="n"/>
      <c r="T68" s="143" t="n"/>
      <c r="U68" s="143" t="n"/>
      <c r="V68" s="143" t="n"/>
      <c r="W68" s="143" t="n"/>
      <c r="X68" s="143" t="n"/>
      <c r="Y68" s="143" t="n"/>
      <c r="Z68" s="143" t="n"/>
    </row>
    <row r="69" ht="19.5" customHeight="1" s="398">
      <c r="A69" s="149" t="n"/>
      <c r="B69" s="143" t="n"/>
      <c r="C69" s="143" t="n"/>
      <c r="D69" s="143" t="n"/>
      <c r="E69" s="143" t="inlineStr">
        <is>
          <t>valor base</t>
        </is>
      </c>
      <c r="F69" s="53" t="n">
        <v>177425.99</v>
      </c>
      <c r="G69" s="143" t="n"/>
      <c r="H69" s="143" t="n"/>
      <c r="I69" s="143" t="n"/>
      <c r="J69" s="143" t="n"/>
      <c r="K69" s="143" t="n"/>
      <c r="L69" s="143" t="n"/>
      <c r="M69" s="143" t="n"/>
      <c r="N69" s="143" t="n"/>
      <c r="O69" s="143" t="n"/>
      <c r="P69" s="143" t="n"/>
      <c r="Q69" s="143" t="n"/>
      <c r="R69" s="143" t="n"/>
      <c r="S69" s="143" t="n"/>
      <c r="T69" s="143" t="n"/>
      <c r="U69" s="143" t="n"/>
      <c r="V69" s="143" t="n"/>
      <c r="W69" s="143" t="n"/>
      <c r="X69" s="143" t="n"/>
      <c r="Y69" s="143" t="n"/>
      <c r="Z69" s="143" t="n"/>
    </row>
    <row r="70" ht="19.5" customHeight="1" s="398">
      <c r="A70" s="149" t="n"/>
      <c r="B70" s="143" t="n"/>
      <c r="C70" s="143" t="n"/>
      <c r="D70" s="143" t="n"/>
      <c r="E70" s="143" t="inlineStr">
        <is>
          <t>multa</t>
        </is>
      </c>
      <c r="F70" s="53" t="n">
        <v>4379.39</v>
      </c>
      <c r="G70" s="143" t="n"/>
      <c r="H70" s="143" t="n"/>
      <c r="I70" s="143" t="n"/>
      <c r="J70" s="143" t="n"/>
      <c r="K70" s="143" t="n"/>
      <c r="L70" s="143" t="n"/>
      <c r="M70" s="143" t="n"/>
      <c r="N70" s="143" t="n"/>
      <c r="O70" s="143" t="n"/>
      <c r="P70" s="143" t="n"/>
      <c r="Q70" s="143" t="n"/>
      <c r="R70" s="143" t="n"/>
      <c r="S70" s="143" t="n"/>
      <c r="T70" s="143" t="n"/>
      <c r="U70" s="143" t="n"/>
      <c r="V70" s="143" t="n"/>
      <c r="W70" s="143" t="n"/>
      <c r="X70" s="143" t="n"/>
      <c r="Y70" s="143" t="n"/>
      <c r="Z70" s="143" t="n"/>
    </row>
    <row r="71" ht="19.5" customHeight="1" s="398">
      <c r="A71" s="149" t="n"/>
      <c r="B71" s="143" t="n"/>
      <c r="C71" s="143" t="n"/>
      <c r="D71" s="143" t="n"/>
      <c r="E71" s="143" t="inlineStr">
        <is>
          <t>juros</t>
        </is>
      </c>
      <c r="F71" s="53" t="n">
        <v>151595.55</v>
      </c>
      <c r="G71" s="143" t="n"/>
      <c r="H71" s="143" t="n"/>
      <c r="I71" s="143" t="n"/>
      <c r="J71" s="143" t="n"/>
      <c r="K71" s="143" t="n"/>
      <c r="L71" s="143" t="n"/>
      <c r="M71" s="143" t="n"/>
      <c r="N71" s="143" t="n"/>
      <c r="O71" s="143" t="n"/>
      <c r="P71" s="143" t="n"/>
      <c r="Q71" s="143" t="n"/>
      <c r="R71" s="143" t="n"/>
      <c r="S71" s="143" t="n"/>
      <c r="T71" s="143" t="n"/>
      <c r="U71" s="143" t="n"/>
      <c r="V71" s="143" t="n"/>
      <c r="W71" s="143" t="n"/>
      <c r="X71" s="143" t="n"/>
      <c r="Y71" s="143" t="n"/>
      <c r="Z71" s="143" t="n"/>
    </row>
    <row r="72" ht="19.5" customHeight="1" s="398">
      <c r="A72" s="149" t="n"/>
      <c r="B72" s="143" t="n"/>
      <c r="C72" s="143" t="n"/>
      <c r="D72" s="143" t="n"/>
      <c r="E72" s="143" t="inlineStr">
        <is>
          <t>correção</t>
        </is>
      </c>
      <c r="F72" s="53" t="n">
        <v>120262.34</v>
      </c>
      <c r="G72" s="143" t="n"/>
      <c r="H72" s="143" t="n"/>
      <c r="I72" s="143" t="n"/>
      <c r="J72" s="143" t="n"/>
      <c r="K72" s="143" t="n"/>
      <c r="L72" s="143" t="n"/>
      <c r="M72" s="143" t="n"/>
      <c r="N72" s="143" t="n"/>
      <c r="O72" s="143" t="n"/>
      <c r="P72" s="143" t="n"/>
      <c r="Q72" s="143" t="n"/>
      <c r="R72" s="143" t="n"/>
      <c r="S72" s="143" t="n"/>
      <c r="T72" s="143" t="n"/>
      <c r="U72" s="143" t="n"/>
      <c r="V72" s="143" t="n"/>
      <c r="W72" s="143" t="n"/>
      <c r="X72" s="143" t="n"/>
      <c r="Y72" s="143" t="n"/>
      <c r="Z72" s="143" t="n"/>
    </row>
    <row r="73" ht="19.5" customHeight="1" s="398">
      <c r="A73" s="149" t="n"/>
      <c r="B73" s="143" t="n"/>
      <c r="C73" s="143" t="n"/>
      <c r="D73" s="143" t="n"/>
      <c r="E73" s="143" t="inlineStr">
        <is>
          <t>valor corrigido</t>
        </is>
      </c>
      <c r="F73" s="53">
        <f>260104.22</f>
        <v/>
      </c>
      <c r="G73" s="143" t="n"/>
      <c r="H73" s="143" t="n"/>
      <c r="I73" s="143" t="n"/>
      <c r="J73" s="143" t="n"/>
      <c r="K73" s="143" t="n"/>
      <c r="L73" s="143" t="n"/>
      <c r="M73" s="143" t="n"/>
      <c r="N73" s="143" t="n"/>
      <c r="O73" s="143" t="n"/>
      <c r="P73" s="143" t="n"/>
      <c r="Q73" s="143" t="n"/>
      <c r="R73" s="143" t="n"/>
      <c r="S73" s="143" t="n"/>
      <c r="T73" s="143" t="n"/>
      <c r="U73" s="143" t="n"/>
      <c r="V73" s="143" t="n"/>
      <c r="W73" s="143" t="n"/>
      <c r="X73" s="143" t="n"/>
      <c r="Y73" s="143" t="n"/>
      <c r="Z73" s="143" t="n"/>
    </row>
    <row r="74" ht="19.5" customHeight="1" s="398">
      <c r="A74" s="149" t="n"/>
      <c r="B74" s="143" t="n"/>
      <c r="C74" s="143" t="n"/>
      <c r="D74" s="143" t="n"/>
      <c r="E74" s="536" t="inlineStr">
        <is>
          <t>FEV 23</t>
        </is>
      </c>
      <c r="G74" s="143" t="n"/>
      <c r="H74" s="143" t="n"/>
      <c r="I74" s="143" t="n"/>
      <c r="J74" s="143" t="n"/>
      <c r="K74" s="143" t="n"/>
      <c r="L74" s="143" t="n"/>
      <c r="M74" s="143" t="n"/>
      <c r="N74" s="143" t="n"/>
      <c r="O74" s="143" t="n"/>
      <c r="P74" s="143" t="n"/>
      <c r="Q74" s="143" t="n"/>
      <c r="R74" s="143" t="n"/>
      <c r="S74" s="143" t="n"/>
      <c r="T74" s="143" t="n"/>
      <c r="U74" s="143" t="n"/>
      <c r="V74" s="143" t="n"/>
      <c r="W74" s="143" t="n"/>
      <c r="X74" s="143" t="n"/>
      <c r="Y74" s="143" t="n"/>
      <c r="Z74" s="143" t="n"/>
    </row>
    <row r="75" ht="19.5" customHeight="1" s="398">
      <c r="A75" s="149" t="n"/>
      <c r="B75" s="143" t="n"/>
      <c r="C75" s="143" t="n"/>
      <c r="D75" s="143" t="n"/>
      <c r="E75" s="143" t="inlineStr">
        <is>
          <t>valor base</t>
        </is>
      </c>
      <c r="F75" s="53" t="n">
        <v>177425.99</v>
      </c>
      <c r="G75" s="143" t="n"/>
      <c r="H75" s="143" t="n"/>
      <c r="I75" s="143" t="n"/>
      <c r="J75" s="143" t="n"/>
      <c r="K75" s="143" t="n"/>
      <c r="L75" s="143" t="n"/>
      <c r="M75" s="143" t="n"/>
      <c r="N75" s="143" t="n"/>
      <c r="O75" s="143" t="n"/>
      <c r="P75" s="143" t="n"/>
      <c r="Q75" s="143" t="n"/>
      <c r="R75" s="143" t="n"/>
      <c r="S75" s="143" t="n"/>
      <c r="T75" s="143" t="n"/>
      <c r="U75" s="143" t="n"/>
      <c r="V75" s="143" t="n"/>
      <c r="W75" s="143" t="n"/>
      <c r="X75" s="143" t="n"/>
      <c r="Y75" s="143" t="n"/>
      <c r="Z75" s="143" t="n"/>
    </row>
    <row r="76" ht="19.5" customHeight="1" s="398">
      <c r="A76" s="149" t="n"/>
      <c r="B76" s="143" t="n"/>
      <c r="C76" s="143" t="n"/>
      <c r="D76" s="143" t="n"/>
      <c r="E76" s="143" t="inlineStr">
        <is>
          <t>multa</t>
        </is>
      </c>
      <c r="F76" s="53" t="n">
        <v>4379.39</v>
      </c>
      <c r="G76" s="143" t="n"/>
      <c r="H76" s="143" t="n"/>
      <c r="I76" s="143" t="n"/>
      <c r="J76" s="143" t="n"/>
      <c r="K76" s="143" t="n"/>
      <c r="L76" s="143" t="n"/>
      <c r="M76" s="143" t="n"/>
      <c r="N76" s="143" t="n"/>
      <c r="O76" s="143" t="n"/>
      <c r="P76" s="143" t="n"/>
      <c r="Q76" s="143" t="n"/>
      <c r="R76" s="143" t="n"/>
      <c r="S76" s="143" t="n"/>
      <c r="T76" s="143" t="n"/>
      <c r="U76" s="143" t="n"/>
      <c r="V76" s="143" t="n"/>
      <c r="W76" s="143" t="n"/>
      <c r="X76" s="143" t="n"/>
      <c r="Y76" s="143" t="n"/>
      <c r="Z76" s="143" t="n"/>
    </row>
    <row r="77" ht="19.5" customHeight="1" s="398">
      <c r="A77" s="149" t="n"/>
      <c r="B77" s="143" t="n"/>
      <c r="C77" s="143" t="n"/>
      <c r="D77" s="143" t="n"/>
      <c r="E77" s="143" t="inlineStr">
        <is>
          <t>juros</t>
        </is>
      </c>
      <c r="F77" s="53" t="n">
        <v>151595.55</v>
      </c>
      <c r="G77" s="143" t="n"/>
      <c r="H77" s="143" t="n"/>
      <c r="I77" s="143" t="n"/>
      <c r="J77" s="143" t="n"/>
      <c r="K77" s="143" t="n"/>
      <c r="L77" s="143" t="n"/>
      <c r="M77" s="143" t="n"/>
      <c r="N77" s="143" t="n"/>
      <c r="O77" s="143" t="n"/>
      <c r="P77" s="143" t="n"/>
      <c r="Q77" s="143" t="n"/>
      <c r="R77" s="143" t="n"/>
      <c r="S77" s="143" t="n"/>
      <c r="T77" s="143" t="n"/>
      <c r="U77" s="143" t="n"/>
      <c r="V77" s="143" t="n"/>
      <c r="W77" s="143" t="n"/>
      <c r="X77" s="143" t="n"/>
      <c r="Y77" s="143" t="n"/>
      <c r="Z77" s="143" t="n"/>
    </row>
    <row r="78" ht="19.5" customHeight="1" s="398">
      <c r="A78" s="149" t="n"/>
      <c r="B78" s="143" t="n"/>
      <c r="C78" s="143" t="n"/>
      <c r="D78" s="143" t="n"/>
      <c r="E78" s="143" t="inlineStr">
        <is>
          <t>correção</t>
        </is>
      </c>
      <c r="F78" s="53" t="n">
        <v>120262.34</v>
      </c>
      <c r="G78" s="143" t="n"/>
      <c r="H78" s="143" t="n"/>
      <c r="I78" s="143" t="n"/>
      <c r="J78" s="143" t="n"/>
      <c r="K78" s="143" t="n"/>
      <c r="L78" s="143" t="n"/>
      <c r="M78" s="143" t="n"/>
      <c r="N78" s="143" t="n"/>
      <c r="O78" s="143" t="n"/>
      <c r="P78" s="143" t="n"/>
      <c r="Q78" s="143" t="n"/>
      <c r="R78" s="143" t="n"/>
      <c r="S78" s="143" t="n"/>
      <c r="T78" s="143" t="n"/>
      <c r="U78" s="143" t="n"/>
      <c r="V78" s="143" t="n"/>
      <c r="W78" s="143" t="n"/>
      <c r="X78" s="143" t="n"/>
      <c r="Y78" s="143" t="n"/>
      <c r="Z78" s="143" t="n"/>
    </row>
    <row r="79" ht="19.5" customHeight="1" s="398">
      <c r="A79" s="149" t="n"/>
      <c r="B79" s="143" t="n"/>
      <c r="C79" s="143" t="n"/>
      <c r="D79" s="143" t="n"/>
      <c r="E79" s="143" t="inlineStr">
        <is>
          <t>valor corrigido</t>
        </is>
      </c>
      <c r="F79" s="53">
        <f>260104.22</f>
        <v/>
      </c>
      <c r="G79" s="143" t="n"/>
      <c r="H79" s="143" t="n"/>
      <c r="I79" s="143" t="n"/>
      <c r="J79" s="143" t="n"/>
      <c r="K79" s="143" t="n"/>
      <c r="L79" s="143" t="n"/>
      <c r="M79" s="143" t="n"/>
      <c r="N79" s="143" t="n"/>
      <c r="O79" s="143" t="n"/>
      <c r="P79" s="143" t="n"/>
      <c r="Q79" s="143" t="n"/>
      <c r="R79" s="143" t="n"/>
      <c r="S79" s="143" t="n"/>
      <c r="T79" s="143" t="n"/>
      <c r="U79" s="143" t="n"/>
      <c r="V79" s="143" t="n"/>
      <c r="W79" s="143" t="n"/>
      <c r="X79" s="143" t="n"/>
      <c r="Y79" s="143" t="n"/>
      <c r="Z79" s="143" t="n"/>
    </row>
    <row r="80" ht="19.5" customHeight="1" s="398">
      <c r="A80" s="149" t="n"/>
      <c r="B80" s="143" t="n"/>
      <c r="C80" s="143" t="n"/>
      <c r="D80" s="143" t="n"/>
      <c r="E80" s="143" t="n"/>
      <c r="F80" s="143" t="n"/>
      <c r="G80" s="143" t="n"/>
      <c r="H80" s="143" t="n"/>
      <c r="I80" s="143" t="n"/>
      <c r="J80" s="143" t="n"/>
      <c r="K80" s="143" t="n"/>
      <c r="L80" s="143" t="n"/>
      <c r="M80" s="143" t="n"/>
      <c r="N80" s="143" t="n"/>
      <c r="O80" s="143" t="n"/>
      <c r="P80" s="143" t="n"/>
      <c r="Q80" s="143" t="n"/>
      <c r="R80" s="143" t="n"/>
      <c r="S80" s="143" t="n"/>
      <c r="T80" s="143" t="n"/>
      <c r="U80" s="143" t="n"/>
      <c r="V80" s="143" t="n"/>
      <c r="W80" s="143" t="n"/>
      <c r="X80" s="143" t="n"/>
      <c r="Y80" s="143" t="n"/>
      <c r="Z80" s="143" t="n"/>
    </row>
    <row r="81" ht="19.5" customHeight="1" s="398">
      <c r="A81" s="149" t="n"/>
      <c r="B81" s="143" t="n"/>
      <c r="C81" s="143" t="n"/>
      <c r="D81" s="143" t="n"/>
      <c r="E81" s="143" t="n"/>
      <c r="F81" s="143" t="n"/>
      <c r="G81" s="143" t="n"/>
      <c r="H81" s="143" t="n"/>
      <c r="I81" s="143" t="n"/>
      <c r="J81" s="143" t="n"/>
      <c r="K81" s="143" t="n"/>
      <c r="L81" s="143" t="n"/>
      <c r="M81" s="143" t="n"/>
      <c r="N81" s="143" t="n"/>
      <c r="O81" s="143" t="n"/>
      <c r="P81" s="143" t="n"/>
      <c r="Q81" s="143" t="n"/>
      <c r="R81" s="143" t="n"/>
      <c r="S81" s="143" t="n"/>
      <c r="T81" s="143" t="n"/>
      <c r="U81" s="143" t="n"/>
      <c r="V81" s="143" t="n"/>
      <c r="W81" s="143" t="n"/>
      <c r="X81" s="143" t="n"/>
      <c r="Y81" s="143" t="n"/>
      <c r="Z81" s="143" t="n"/>
    </row>
    <row r="82" ht="19.5" customHeight="1" s="398">
      <c r="A82" s="149" t="n"/>
      <c r="B82" s="143" t="n"/>
      <c r="C82" s="143" t="n"/>
      <c r="D82" s="143" t="n"/>
      <c r="E82" s="143" t="n"/>
      <c r="F82" s="143" t="n"/>
      <c r="G82" s="143" t="n"/>
      <c r="H82" s="143" t="n"/>
      <c r="I82" s="143" t="n"/>
      <c r="J82" s="143" t="n"/>
      <c r="K82" s="143" t="n"/>
      <c r="L82" s="143" t="n"/>
      <c r="M82" s="143" t="n"/>
      <c r="N82" s="143" t="n"/>
      <c r="O82" s="143" t="n"/>
      <c r="P82" s="143" t="n"/>
      <c r="Q82" s="143" t="n"/>
      <c r="R82" s="143" t="n"/>
      <c r="S82" s="143" t="n"/>
      <c r="T82" s="143" t="n"/>
      <c r="U82" s="143" t="n"/>
      <c r="V82" s="143" t="n"/>
      <c r="W82" s="143" t="n"/>
      <c r="X82" s="143" t="n"/>
      <c r="Y82" s="143" t="n"/>
      <c r="Z82" s="143" t="n"/>
    </row>
    <row r="83" ht="19.5" customHeight="1" s="398">
      <c r="A83" s="149" t="n"/>
      <c r="B83" s="143" t="n"/>
      <c r="C83" s="143" t="n"/>
      <c r="D83" s="143" t="n"/>
      <c r="E83" s="143" t="n"/>
      <c r="F83" s="143" t="n"/>
      <c r="G83" s="143" t="n"/>
      <c r="H83" s="143" t="n"/>
      <c r="I83" s="143" t="n"/>
      <c r="J83" s="143" t="n"/>
      <c r="K83" s="143" t="n"/>
      <c r="L83" s="143" t="n"/>
      <c r="M83" s="143" t="n"/>
      <c r="N83" s="143" t="n"/>
      <c r="O83" s="143" t="n"/>
      <c r="P83" s="143" t="n"/>
      <c r="Q83" s="143" t="n"/>
      <c r="R83" s="143" t="n"/>
      <c r="S83" s="143" t="n"/>
      <c r="T83" s="143" t="n"/>
      <c r="U83" s="143" t="n"/>
      <c r="V83" s="143" t="n"/>
      <c r="W83" s="143" t="n"/>
      <c r="X83" s="143" t="n"/>
      <c r="Y83" s="143" t="n"/>
      <c r="Z83" s="143" t="n"/>
    </row>
    <row r="84" ht="19.5" customHeight="1" s="398">
      <c r="A84" s="149" t="n"/>
      <c r="B84" s="143" t="n"/>
      <c r="C84" s="143" t="n"/>
      <c r="D84" s="143" t="n"/>
      <c r="E84" s="143" t="n"/>
      <c r="F84" s="143" t="n"/>
      <c r="G84" s="143" t="n"/>
      <c r="H84" s="143" t="n"/>
      <c r="I84" s="143" t="n"/>
      <c r="J84" s="143" t="n"/>
      <c r="K84" s="143" t="n"/>
      <c r="L84" s="143" t="n"/>
      <c r="M84" s="143" t="n"/>
      <c r="N84" s="143" t="n"/>
      <c r="O84" s="143" t="n"/>
      <c r="P84" s="143" t="n"/>
      <c r="Q84" s="143" t="n"/>
      <c r="R84" s="143" t="n"/>
      <c r="S84" s="143" t="n"/>
      <c r="T84" s="143" t="n"/>
      <c r="U84" s="143" t="n"/>
      <c r="V84" s="143" t="n"/>
      <c r="W84" s="143" t="n"/>
      <c r="X84" s="143" t="n"/>
      <c r="Y84" s="143" t="n"/>
      <c r="Z84" s="143" t="n"/>
    </row>
    <row r="85" ht="19.5" customHeight="1" s="398">
      <c r="A85" s="149" t="n"/>
      <c r="B85" s="143" t="n"/>
      <c r="C85" s="143" t="n"/>
      <c r="D85" s="143" t="n"/>
      <c r="E85" s="143" t="n"/>
      <c r="F85" s="143" t="n"/>
      <c r="G85" s="143" t="n"/>
      <c r="H85" s="143" t="n"/>
      <c r="I85" s="143" t="n"/>
      <c r="J85" s="143" t="n"/>
      <c r="K85" s="143" t="n"/>
      <c r="L85" s="143" t="n"/>
      <c r="M85" s="143" t="n"/>
      <c r="N85" s="143" t="n"/>
      <c r="O85" s="143" t="n"/>
      <c r="P85" s="143" t="n"/>
      <c r="Q85" s="143" t="n"/>
      <c r="R85" s="143" t="n"/>
      <c r="S85" s="143" t="n"/>
      <c r="T85" s="143" t="n"/>
      <c r="U85" s="143" t="n"/>
      <c r="V85" s="143" t="n"/>
      <c r="W85" s="143" t="n"/>
      <c r="X85" s="143" t="n"/>
      <c r="Y85" s="143" t="n"/>
      <c r="Z85" s="143" t="n"/>
    </row>
    <row r="86" ht="19.5" customHeight="1" s="398">
      <c r="A86" s="149" t="n"/>
      <c r="B86" s="143" t="n"/>
      <c r="C86" s="143" t="n"/>
      <c r="D86" s="143" t="n"/>
      <c r="E86" s="143" t="n"/>
      <c r="F86" s="143" t="n"/>
      <c r="G86" s="143" t="n"/>
      <c r="H86" s="143" t="n"/>
      <c r="I86" s="143" t="n"/>
      <c r="J86" s="143" t="n"/>
      <c r="K86" s="143" t="n"/>
      <c r="L86" s="143" t="n"/>
      <c r="M86" s="143" t="n"/>
      <c r="N86" s="143" t="n"/>
      <c r="O86" s="143" t="n"/>
      <c r="P86" s="143" t="n"/>
      <c r="Q86" s="143" t="n"/>
      <c r="R86" s="143" t="n"/>
      <c r="S86" s="143" t="n"/>
      <c r="T86" s="143" t="n"/>
      <c r="U86" s="143" t="n"/>
      <c r="V86" s="143" t="n"/>
      <c r="W86" s="143" t="n"/>
      <c r="X86" s="143" t="n"/>
      <c r="Y86" s="143" t="n"/>
      <c r="Z86" s="143" t="n"/>
    </row>
    <row r="87" ht="19.5" customHeight="1" s="398">
      <c r="A87" s="149" t="n"/>
      <c r="B87" s="143" t="n"/>
      <c r="C87" s="143" t="n"/>
      <c r="D87" s="143" t="n"/>
      <c r="E87" s="143" t="n"/>
      <c r="F87" s="143" t="n"/>
      <c r="G87" s="143" t="n"/>
      <c r="H87" s="143" t="n"/>
      <c r="I87" s="143" t="n"/>
      <c r="J87" s="143" t="n"/>
      <c r="K87" s="143" t="n"/>
      <c r="L87" s="143" t="n"/>
      <c r="M87" s="143" t="n"/>
      <c r="N87" s="143" t="n"/>
      <c r="O87" s="143" t="n"/>
      <c r="P87" s="143" t="n"/>
      <c r="Q87" s="143" t="n"/>
      <c r="R87" s="143" t="n"/>
      <c r="S87" s="143" t="n"/>
      <c r="T87" s="143" t="n"/>
      <c r="U87" s="143" t="n"/>
      <c r="V87" s="143" t="n"/>
      <c r="W87" s="143" t="n"/>
      <c r="X87" s="143" t="n"/>
      <c r="Y87" s="143" t="n"/>
      <c r="Z87" s="143" t="n"/>
    </row>
    <row r="88" ht="19.5" customHeight="1" s="398">
      <c r="A88" s="149" t="n"/>
      <c r="B88" s="143" t="n"/>
      <c r="C88" s="143" t="n"/>
      <c r="D88" s="143" t="n"/>
      <c r="E88" s="143" t="n"/>
      <c r="F88" s="143" t="n"/>
      <c r="G88" s="143" t="n"/>
      <c r="H88" s="143" t="n"/>
      <c r="I88" s="143" t="n"/>
      <c r="J88" s="143" t="n"/>
      <c r="K88" s="143" t="n"/>
      <c r="L88" s="143" t="n"/>
      <c r="M88" s="143" t="n"/>
      <c r="N88" s="143" t="n"/>
      <c r="O88" s="143" t="n"/>
      <c r="P88" s="143" t="n"/>
      <c r="Q88" s="143" t="n"/>
      <c r="R88" s="143" t="n"/>
      <c r="S88" s="143" t="n"/>
      <c r="T88" s="143" t="n"/>
      <c r="U88" s="143" t="n"/>
      <c r="V88" s="143" t="n"/>
      <c r="W88" s="143" t="n"/>
      <c r="X88" s="143" t="n"/>
      <c r="Y88" s="143" t="n"/>
      <c r="Z88" s="143" t="n"/>
    </row>
    <row r="89" ht="19.5" customHeight="1" s="398">
      <c r="A89" s="149" t="n"/>
      <c r="B89" s="143" t="n"/>
      <c r="C89" s="143" t="n"/>
      <c r="D89" s="143" t="n"/>
      <c r="E89" s="143" t="n"/>
      <c r="F89" s="143" t="n"/>
      <c r="G89" s="143" t="n"/>
      <c r="H89" s="143" t="n"/>
      <c r="I89" s="143" t="n"/>
      <c r="J89" s="143" t="n"/>
      <c r="K89" s="143" t="n"/>
      <c r="L89" s="143" t="n"/>
      <c r="M89" s="143" t="n"/>
      <c r="N89" s="143" t="n"/>
      <c r="O89" s="143" t="n"/>
      <c r="P89" s="143" t="n"/>
      <c r="Q89" s="143" t="n"/>
      <c r="R89" s="143" t="n"/>
      <c r="S89" s="143" t="n"/>
      <c r="T89" s="143" t="n"/>
      <c r="U89" s="143" t="n"/>
      <c r="V89" s="143" t="n"/>
      <c r="W89" s="143" t="n"/>
      <c r="X89" s="143" t="n"/>
      <c r="Y89" s="143" t="n"/>
      <c r="Z89" s="143" t="n"/>
    </row>
    <row r="90" ht="19.5" customHeight="1" s="398">
      <c r="A90" s="149" t="n"/>
      <c r="B90" s="143" t="n"/>
      <c r="C90" s="143" t="n"/>
      <c r="D90" s="143" t="n"/>
      <c r="E90" s="143" t="n"/>
      <c r="F90" s="143" t="n"/>
      <c r="G90" s="143" t="n"/>
      <c r="H90" s="143" t="n"/>
      <c r="I90" s="143" t="n"/>
      <c r="J90" s="143" t="n"/>
      <c r="K90" s="143" t="n"/>
      <c r="L90" s="143" t="n"/>
      <c r="M90" s="143" t="n"/>
      <c r="N90" s="143" t="n"/>
      <c r="O90" s="143" t="n"/>
      <c r="P90" s="143" t="n"/>
      <c r="Q90" s="143" t="n"/>
      <c r="R90" s="143" t="n"/>
      <c r="S90" s="143" t="n"/>
      <c r="T90" s="143" t="n"/>
      <c r="U90" s="143" t="n"/>
      <c r="V90" s="143" t="n"/>
      <c r="W90" s="143" t="n"/>
      <c r="X90" s="143" t="n"/>
      <c r="Y90" s="143" t="n"/>
      <c r="Z90" s="143" t="n"/>
    </row>
    <row r="91" ht="19.5" customHeight="1" s="398">
      <c r="A91" s="149" t="n"/>
      <c r="B91" s="143" t="n"/>
      <c r="C91" s="143" t="n"/>
      <c r="D91" s="143" t="n"/>
      <c r="E91" s="143" t="n"/>
      <c r="F91" s="143" t="n"/>
      <c r="G91" s="143" t="n"/>
      <c r="H91" s="143" t="n"/>
      <c r="I91" s="143" t="n"/>
      <c r="J91" s="143" t="n"/>
      <c r="K91" s="143" t="n"/>
      <c r="L91" s="143" t="n"/>
      <c r="M91" s="143" t="n"/>
      <c r="N91" s="143" t="n"/>
      <c r="O91" s="143" t="n"/>
      <c r="P91" s="143" t="n"/>
      <c r="Q91" s="143" t="n"/>
      <c r="R91" s="143" t="n"/>
      <c r="S91" s="143" t="n"/>
      <c r="T91" s="143" t="n"/>
      <c r="U91" s="143" t="n"/>
      <c r="V91" s="143" t="n"/>
      <c r="W91" s="143" t="n"/>
      <c r="X91" s="143" t="n"/>
      <c r="Y91" s="143" t="n"/>
      <c r="Z91" s="143" t="n"/>
    </row>
    <row r="92" ht="19.5" customHeight="1" s="398">
      <c r="A92" s="149" t="n"/>
      <c r="B92" s="143" t="n"/>
      <c r="C92" s="143" t="n"/>
      <c r="D92" s="143" t="n"/>
      <c r="E92" s="143" t="n"/>
      <c r="F92" s="143" t="n"/>
      <c r="G92" s="143" t="n"/>
      <c r="H92" s="143" t="n"/>
      <c r="I92" s="143" t="n"/>
      <c r="J92" s="143" t="n"/>
      <c r="K92" s="143" t="n"/>
      <c r="L92" s="143" t="n"/>
      <c r="M92" s="143" t="n"/>
      <c r="N92" s="143" t="n"/>
      <c r="O92" s="143" t="n"/>
      <c r="P92" s="143" t="n"/>
      <c r="Q92" s="143" t="n"/>
      <c r="R92" s="143" t="n"/>
      <c r="S92" s="143" t="n"/>
      <c r="T92" s="143" t="n"/>
      <c r="U92" s="143" t="n"/>
      <c r="V92" s="143" t="n"/>
      <c r="W92" s="143" t="n"/>
      <c r="X92" s="143" t="n"/>
      <c r="Y92" s="143" t="n"/>
      <c r="Z92" s="143" t="n"/>
    </row>
    <row r="93" ht="19.5" customHeight="1" s="398">
      <c r="A93" s="149" t="n"/>
      <c r="B93" s="143" t="n"/>
      <c r="C93" s="143" t="n"/>
      <c r="D93" s="143" t="n"/>
      <c r="E93" s="143" t="n"/>
      <c r="F93" s="143" t="n"/>
      <c r="G93" s="143" t="n"/>
      <c r="H93" s="143" t="n"/>
      <c r="I93" s="143" t="n"/>
      <c r="J93" s="143" t="n"/>
      <c r="K93" s="143" t="n"/>
      <c r="L93" s="143" t="n"/>
      <c r="M93" s="143" t="n"/>
      <c r="N93" s="143" t="n"/>
      <c r="O93" s="143" t="n"/>
      <c r="P93" s="143" t="n"/>
      <c r="Q93" s="143" t="n"/>
      <c r="R93" s="143" t="n"/>
      <c r="S93" s="143" t="n"/>
      <c r="T93" s="143" t="n"/>
      <c r="U93" s="143" t="n"/>
      <c r="V93" s="143" t="n"/>
      <c r="W93" s="143" t="n"/>
      <c r="X93" s="143" t="n"/>
      <c r="Y93" s="143" t="n"/>
      <c r="Z93" s="143" t="n"/>
    </row>
    <row r="94" ht="19.5" customHeight="1" s="398">
      <c r="A94" s="149" t="n"/>
      <c r="B94" s="143" t="n"/>
      <c r="C94" s="143" t="n"/>
      <c r="D94" s="143" t="n"/>
      <c r="E94" s="143" t="n"/>
      <c r="F94" s="143" t="n"/>
      <c r="G94" s="143" t="n"/>
      <c r="H94" s="143" t="n"/>
      <c r="I94" s="143" t="n"/>
      <c r="J94" s="143" t="n"/>
      <c r="K94" s="143" t="n"/>
      <c r="L94" s="143" t="n"/>
      <c r="M94" s="143" t="n"/>
      <c r="N94" s="143" t="n"/>
      <c r="O94" s="143" t="n"/>
      <c r="P94" s="143" t="n"/>
      <c r="Q94" s="143" t="n"/>
      <c r="R94" s="143" t="n"/>
      <c r="S94" s="143" t="n"/>
      <c r="T94" s="143" t="n"/>
      <c r="U94" s="143" t="n"/>
      <c r="V94" s="143" t="n"/>
      <c r="W94" s="143" t="n"/>
      <c r="X94" s="143" t="n"/>
      <c r="Y94" s="143" t="n"/>
      <c r="Z94" s="143" t="n"/>
    </row>
    <row r="95" ht="19.5" customHeight="1" s="398">
      <c r="A95" s="149" t="n"/>
      <c r="B95" s="143" t="n"/>
      <c r="C95" s="143" t="n"/>
      <c r="D95" s="143" t="n"/>
      <c r="E95" s="143" t="n"/>
      <c r="F95" s="143" t="n"/>
      <c r="G95" s="143" t="n"/>
      <c r="H95" s="143" t="n"/>
      <c r="I95" s="143" t="n"/>
      <c r="J95" s="143" t="n"/>
      <c r="K95" s="143" t="n"/>
      <c r="L95" s="143" t="n"/>
      <c r="M95" s="143" t="n"/>
      <c r="N95" s="143" t="n"/>
      <c r="O95" s="143" t="n"/>
      <c r="P95" s="143" t="n"/>
      <c r="Q95" s="143" t="n"/>
      <c r="R95" s="143" t="n"/>
      <c r="S95" s="143" t="n"/>
      <c r="T95" s="143" t="n"/>
      <c r="U95" s="143" t="n"/>
      <c r="V95" s="143" t="n"/>
      <c r="W95" s="143" t="n"/>
      <c r="X95" s="143" t="n"/>
      <c r="Y95" s="143" t="n"/>
      <c r="Z95" s="143" t="n"/>
    </row>
    <row r="96" ht="19.5" customHeight="1" s="398">
      <c r="A96" s="149" t="n"/>
      <c r="B96" s="143" t="n"/>
      <c r="C96" s="143" t="n"/>
      <c r="D96" s="143" t="n"/>
      <c r="E96" s="143" t="n"/>
      <c r="F96" s="143" t="n"/>
      <c r="G96" s="143" t="n"/>
      <c r="H96" s="143" t="n"/>
      <c r="I96" s="143" t="n"/>
      <c r="J96" s="143" t="n"/>
      <c r="K96" s="143" t="n"/>
      <c r="L96" s="143" t="n"/>
      <c r="M96" s="143" t="n"/>
      <c r="N96" s="143" t="n"/>
      <c r="O96" s="143" t="n"/>
      <c r="P96" s="143" t="n"/>
      <c r="Q96" s="143" t="n"/>
      <c r="R96" s="143" t="n"/>
      <c r="S96" s="143" t="n"/>
      <c r="T96" s="143" t="n"/>
      <c r="U96" s="143" t="n"/>
      <c r="V96" s="143" t="n"/>
      <c r="W96" s="143" t="n"/>
      <c r="X96" s="143" t="n"/>
      <c r="Y96" s="143" t="n"/>
      <c r="Z96" s="143" t="n"/>
    </row>
    <row r="97" ht="19.5" customHeight="1" s="398">
      <c r="A97" s="149" t="n"/>
      <c r="B97" s="143" t="n"/>
      <c r="C97" s="143" t="n"/>
      <c r="D97" s="143" t="n"/>
      <c r="E97" s="143" t="n"/>
      <c r="F97" s="143" t="n"/>
      <c r="G97" s="143" t="n"/>
      <c r="H97" s="143" t="n"/>
      <c r="I97" s="143" t="n"/>
      <c r="J97" s="143" t="n"/>
      <c r="K97" s="143" t="n"/>
      <c r="L97" s="143" t="n"/>
      <c r="M97" s="143" t="n"/>
      <c r="N97" s="143" t="n"/>
      <c r="O97" s="143" t="n"/>
      <c r="P97" s="143" t="n"/>
      <c r="Q97" s="143" t="n"/>
      <c r="R97" s="143" t="n"/>
      <c r="S97" s="143" t="n"/>
      <c r="T97" s="143" t="n"/>
      <c r="U97" s="143" t="n"/>
      <c r="V97" s="143" t="n"/>
      <c r="W97" s="143" t="n"/>
      <c r="X97" s="143" t="n"/>
      <c r="Y97" s="143" t="n"/>
      <c r="Z97" s="143" t="n"/>
    </row>
    <row r="98" ht="19.5" customHeight="1" s="398">
      <c r="A98" s="149" t="n"/>
      <c r="B98" s="143" t="n"/>
      <c r="C98" s="143" t="n"/>
      <c r="D98" s="143" t="n"/>
      <c r="E98" s="143" t="n"/>
      <c r="F98" s="143" t="n"/>
      <c r="G98" s="143" t="n"/>
      <c r="H98" s="143" t="n"/>
      <c r="I98" s="143" t="n"/>
      <c r="J98" s="143" t="n"/>
      <c r="K98" s="143" t="n"/>
      <c r="L98" s="143" t="n"/>
      <c r="M98" s="143" t="n"/>
      <c r="N98" s="143" t="n"/>
      <c r="O98" s="143" t="n"/>
      <c r="P98" s="143" t="n"/>
      <c r="Q98" s="143" t="n"/>
      <c r="R98" s="143" t="n"/>
      <c r="S98" s="143" t="n"/>
      <c r="T98" s="143" t="n"/>
      <c r="U98" s="143" t="n"/>
      <c r="V98" s="143" t="n"/>
      <c r="W98" s="143" t="n"/>
      <c r="X98" s="143" t="n"/>
      <c r="Y98" s="143" t="n"/>
      <c r="Z98" s="143" t="n"/>
    </row>
    <row r="99" ht="19.5" customHeight="1" s="398">
      <c r="A99" s="149" t="n"/>
      <c r="B99" s="143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143" t="n"/>
      <c r="Q99" s="143" t="n"/>
      <c r="R99" s="143" t="n"/>
      <c r="S99" s="143" t="n"/>
      <c r="T99" s="143" t="n"/>
      <c r="U99" s="143" t="n"/>
      <c r="V99" s="143" t="n"/>
      <c r="W99" s="143" t="n"/>
      <c r="X99" s="143" t="n"/>
      <c r="Y99" s="143" t="n"/>
      <c r="Z99" s="143" t="n"/>
    </row>
    <row r="100" ht="19.5" customHeight="1" s="398">
      <c r="A100" s="149" t="n"/>
      <c r="B100" s="143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143" t="n"/>
      <c r="Q100" s="143" t="n"/>
      <c r="R100" s="143" t="n"/>
      <c r="S100" s="143" t="n"/>
      <c r="T100" s="143" t="n"/>
      <c r="U100" s="143" t="n"/>
      <c r="V100" s="143" t="n"/>
      <c r="W100" s="143" t="n"/>
      <c r="X100" s="143" t="n"/>
      <c r="Y100" s="143" t="n"/>
      <c r="Z100" s="143" t="n"/>
    </row>
    <row r="101" ht="19.5" customHeight="1" s="398">
      <c r="A101" s="149" t="n"/>
      <c r="B101" s="143" t="n"/>
      <c r="C101" s="143" t="n"/>
      <c r="D101" s="143" t="n"/>
      <c r="E101" s="143" t="n"/>
      <c r="F101" s="143" t="n"/>
      <c r="G101" s="143" t="n"/>
      <c r="H101" s="143" t="n"/>
      <c r="I101" s="143" t="n"/>
      <c r="J101" s="143" t="n"/>
      <c r="K101" s="143" t="n"/>
      <c r="L101" s="143" t="n"/>
      <c r="M101" s="143" t="n"/>
      <c r="N101" s="143" t="n"/>
      <c r="O101" s="143" t="n"/>
      <c r="P101" s="143" t="n"/>
      <c r="Q101" s="143" t="n"/>
      <c r="R101" s="143" t="n"/>
      <c r="S101" s="143" t="n"/>
      <c r="T101" s="143" t="n"/>
      <c r="U101" s="143" t="n"/>
      <c r="V101" s="143" t="n"/>
      <c r="W101" s="143" t="n"/>
      <c r="X101" s="143" t="n"/>
      <c r="Y101" s="143" t="n"/>
      <c r="Z101" s="143" t="n"/>
    </row>
    <row r="102" ht="19.5" customHeight="1" s="398">
      <c r="A102" s="149" t="n"/>
      <c r="B102" s="143" t="n"/>
      <c r="C102" s="143" t="n"/>
      <c r="D102" s="143" t="n"/>
      <c r="E102" s="143" t="n"/>
      <c r="F102" s="143" t="n"/>
      <c r="G102" s="143" t="n"/>
      <c r="H102" s="143" t="n"/>
      <c r="I102" s="143" t="n"/>
      <c r="J102" s="143" t="n"/>
      <c r="K102" s="143" t="n"/>
      <c r="L102" s="143" t="n"/>
      <c r="M102" s="143" t="n"/>
      <c r="N102" s="143" t="n"/>
      <c r="O102" s="143" t="n"/>
      <c r="P102" s="143" t="n"/>
      <c r="Q102" s="143" t="n"/>
      <c r="R102" s="143" t="n"/>
      <c r="S102" s="143" t="n"/>
      <c r="T102" s="143" t="n"/>
      <c r="U102" s="143" t="n"/>
      <c r="V102" s="143" t="n"/>
      <c r="W102" s="143" t="n"/>
      <c r="X102" s="143" t="n"/>
      <c r="Y102" s="143" t="n"/>
      <c r="Z102" s="143" t="n"/>
    </row>
    <row r="103" ht="19.5" customHeight="1" s="398">
      <c r="A103" s="149" t="n"/>
      <c r="B103" s="143" t="n"/>
      <c r="C103" s="143" t="n"/>
      <c r="D103" s="143" t="n"/>
      <c r="E103" s="143" t="n"/>
      <c r="F103" s="143" t="n"/>
      <c r="G103" s="143" t="n"/>
      <c r="H103" s="143" t="n"/>
      <c r="I103" s="143" t="n"/>
      <c r="J103" s="143" t="n"/>
      <c r="K103" s="143" t="n"/>
      <c r="L103" s="143" t="n"/>
      <c r="M103" s="143" t="n"/>
      <c r="N103" s="143" t="n"/>
      <c r="O103" s="143" t="n"/>
      <c r="P103" s="143" t="n"/>
      <c r="Q103" s="143" t="n"/>
      <c r="R103" s="143" t="n"/>
      <c r="S103" s="143" t="n"/>
      <c r="T103" s="143" t="n"/>
      <c r="U103" s="143" t="n"/>
      <c r="V103" s="143" t="n"/>
      <c r="W103" s="143" t="n"/>
      <c r="X103" s="143" t="n"/>
      <c r="Y103" s="143" t="n"/>
      <c r="Z103" s="143" t="n"/>
    </row>
    <row r="104" ht="19.5" customHeight="1" s="398">
      <c r="A104" s="149" t="n"/>
      <c r="B104" s="143" t="n"/>
      <c r="C104" s="143" t="n"/>
      <c r="D104" s="143" t="n"/>
      <c r="E104" s="143" t="n"/>
      <c r="F104" s="143" t="n"/>
      <c r="G104" s="143" t="n"/>
      <c r="H104" s="143" t="n"/>
      <c r="I104" s="143" t="n"/>
      <c r="J104" s="143" t="n"/>
      <c r="K104" s="143" t="n"/>
      <c r="L104" s="143" t="n"/>
      <c r="M104" s="143" t="n"/>
      <c r="N104" s="143" t="n"/>
      <c r="O104" s="143" t="n"/>
      <c r="P104" s="143" t="n"/>
      <c r="Q104" s="143" t="n"/>
      <c r="R104" s="143" t="n"/>
      <c r="S104" s="143" t="n"/>
      <c r="T104" s="143" t="n"/>
      <c r="U104" s="143" t="n"/>
      <c r="V104" s="143" t="n"/>
      <c r="W104" s="143" t="n"/>
      <c r="X104" s="143" t="n"/>
      <c r="Y104" s="143" t="n"/>
      <c r="Z104" s="143" t="n"/>
    </row>
    <row r="105" ht="19.5" customHeight="1" s="398">
      <c r="A105" s="149" t="n"/>
      <c r="B105" s="143" t="n"/>
      <c r="C105" s="143" t="n"/>
      <c r="D105" s="143" t="n"/>
      <c r="E105" s="143" t="n"/>
      <c r="F105" s="143" t="n"/>
      <c r="G105" s="143" t="n"/>
      <c r="H105" s="143" t="n"/>
      <c r="I105" s="143" t="n"/>
      <c r="J105" s="143" t="n"/>
      <c r="K105" s="143" t="n"/>
      <c r="L105" s="143" t="n"/>
      <c r="M105" s="143" t="n"/>
      <c r="N105" s="143" t="n"/>
      <c r="O105" s="143" t="n"/>
      <c r="P105" s="143" t="n"/>
      <c r="Q105" s="143" t="n"/>
      <c r="R105" s="143" t="n"/>
      <c r="S105" s="143" t="n"/>
      <c r="T105" s="143" t="n"/>
      <c r="U105" s="143" t="n"/>
      <c r="V105" s="143" t="n"/>
      <c r="W105" s="143" t="n"/>
      <c r="X105" s="143" t="n"/>
      <c r="Y105" s="143" t="n"/>
      <c r="Z105" s="143" t="n"/>
    </row>
    <row r="106" ht="19.5" customHeight="1" s="398">
      <c r="A106" s="149" t="n"/>
      <c r="B106" s="143" t="n"/>
      <c r="C106" s="143" t="n"/>
      <c r="D106" s="143" t="n"/>
      <c r="E106" s="143" t="n"/>
      <c r="F106" s="143" t="n"/>
      <c r="G106" s="143" t="n"/>
      <c r="H106" s="143" t="n"/>
      <c r="I106" s="143" t="n"/>
      <c r="J106" s="143" t="n"/>
      <c r="K106" s="143" t="n"/>
      <c r="L106" s="143" t="n"/>
      <c r="M106" s="143" t="n"/>
      <c r="N106" s="143" t="n"/>
      <c r="O106" s="143" t="n"/>
      <c r="P106" s="143" t="n"/>
      <c r="Q106" s="143" t="n"/>
      <c r="R106" s="143" t="n"/>
      <c r="S106" s="143" t="n"/>
      <c r="T106" s="143" t="n"/>
      <c r="U106" s="143" t="n"/>
      <c r="V106" s="143" t="n"/>
      <c r="W106" s="143" t="n"/>
      <c r="X106" s="143" t="n"/>
      <c r="Y106" s="143" t="n"/>
      <c r="Z106" s="143" t="n"/>
    </row>
    <row r="107" ht="19.5" customHeight="1" s="398">
      <c r="A107" s="149" t="n"/>
      <c r="B107" s="143" t="n"/>
      <c r="C107" s="143" t="n"/>
      <c r="D107" s="143" t="n"/>
      <c r="E107" s="143" t="n"/>
      <c r="F107" s="143" t="n"/>
      <c r="G107" s="143" t="n"/>
      <c r="H107" s="143" t="n"/>
      <c r="I107" s="143" t="n"/>
      <c r="J107" s="143" t="n"/>
      <c r="K107" s="143" t="n"/>
      <c r="L107" s="143" t="n"/>
      <c r="M107" s="143" t="n"/>
      <c r="N107" s="143" t="n"/>
      <c r="O107" s="143" t="n"/>
      <c r="P107" s="143" t="n"/>
      <c r="Q107" s="143" t="n"/>
      <c r="R107" s="143" t="n"/>
      <c r="S107" s="143" t="n"/>
      <c r="T107" s="143" t="n"/>
      <c r="U107" s="143" t="n"/>
      <c r="V107" s="143" t="n"/>
      <c r="W107" s="143" t="n"/>
      <c r="X107" s="143" t="n"/>
      <c r="Y107" s="143" t="n"/>
      <c r="Z107" s="143" t="n"/>
    </row>
    <row r="108" ht="19.5" customHeight="1" s="398">
      <c r="A108" s="149" t="n"/>
      <c r="B108" s="143" t="n"/>
      <c r="C108" s="143" t="n"/>
      <c r="D108" s="143" t="n"/>
      <c r="E108" s="143" t="n"/>
      <c r="F108" s="143" t="n"/>
      <c r="G108" s="143" t="n"/>
      <c r="H108" s="143" t="n"/>
      <c r="I108" s="143" t="n"/>
      <c r="J108" s="143" t="n"/>
      <c r="K108" s="143" t="n"/>
      <c r="L108" s="143" t="n"/>
      <c r="M108" s="143" t="n"/>
      <c r="N108" s="143" t="n"/>
      <c r="O108" s="143" t="n"/>
      <c r="P108" s="143" t="n"/>
      <c r="Q108" s="143" t="n"/>
      <c r="R108" s="143" t="n"/>
      <c r="S108" s="143" t="n"/>
      <c r="T108" s="143" t="n"/>
      <c r="U108" s="143" t="n"/>
      <c r="V108" s="143" t="n"/>
      <c r="W108" s="143" t="n"/>
      <c r="X108" s="143" t="n"/>
      <c r="Y108" s="143" t="n"/>
      <c r="Z108" s="143" t="n"/>
    </row>
    <row r="109" ht="19.5" customHeight="1" s="398">
      <c r="A109" s="149" t="n"/>
      <c r="B109" s="143" t="n"/>
      <c r="C109" s="143" t="n"/>
      <c r="D109" s="143" t="n"/>
      <c r="E109" s="143" t="n"/>
      <c r="F109" s="143" t="n"/>
      <c r="G109" s="143" t="n"/>
      <c r="H109" s="143" t="n"/>
      <c r="I109" s="143" t="n"/>
      <c r="J109" s="143" t="n"/>
      <c r="K109" s="143" t="n"/>
      <c r="L109" s="143" t="n"/>
      <c r="M109" s="143" t="n"/>
      <c r="N109" s="143" t="n"/>
      <c r="O109" s="143" t="n"/>
      <c r="P109" s="143" t="n"/>
      <c r="Q109" s="143" t="n"/>
      <c r="R109" s="143" t="n"/>
      <c r="S109" s="143" t="n"/>
      <c r="T109" s="143" t="n"/>
      <c r="U109" s="143" t="n"/>
      <c r="V109" s="143" t="n"/>
      <c r="W109" s="143" t="n"/>
      <c r="X109" s="143" t="n"/>
      <c r="Y109" s="143" t="n"/>
      <c r="Z109" s="143" t="n"/>
    </row>
    <row r="110" ht="19.5" customHeight="1" s="398">
      <c r="A110" s="149" t="n"/>
      <c r="B110" s="143" t="n"/>
      <c r="C110" s="143" t="n"/>
      <c r="D110" s="143" t="n"/>
      <c r="E110" s="143" t="n"/>
      <c r="F110" s="143" t="n"/>
      <c r="G110" s="143" t="n"/>
      <c r="H110" s="143" t="n"/>
      <c r="I110" s="143" t="n"/>
      <c r="J110" s="143" t="n"/>
      <c r="K110" s="143" t="n"/>
      <c r="L110" s="143" t="n"/>
      <c r="M110" s="143" t="n"/>
      <c r="N110" s="143" t="n"/>
      <c r="O110" s="143" t="n"/>
      <c r="P110" s="143" t="n"/>
      <c r="Q110" s="143" t="n"/>
      <c r="R110" s="143" t="n"/>
      <c r="S110" s="143" t="n"/>
      <c r="T110" s="143" t="n"/>
      <c r="U110" s="143" t="n"/>
      <c r="V110" s="143" t="n"/>
      <c r="W110" s="143" t="n"/>
      <c r="X110" s="143" t="n"/>
      <c r="Y110" s="143" t="n"/>
      <c r="Z110" s="143" t="n"/>
    </row>
    <row r="111" ht="19.5" customHeight="1" s="398">
      <c r="A111" s="149" t="n"/>
      <c r="B111" s="143" t="n"/>
      <c r="C111" s="143" t="n"/>
      <c r="D111" s="143" t="n"/>
      <c r="E111" s="143" t="n"/>
      <c r="F111" s="143" t="n"/>
      <c r="G111" s="143" t="n"/>
      <c r="H111" s="143" t="n"/>
      <c r="I111" s="143" t="n"/>
      <c r="J111" s="143" t="n"/>
      <c r="K111" s="143" t="n"/>
      <c r="L111" s="143" t="n"/>
      <c r="M111" s="143" t="n"/>
      <c r="N111" s="143" t="n"/>
      <c r="O111" s="143" t="n"/>
      <c r="P111" s="143" t="n"/>
      <c r="Q111" s="143" t="n"/>
      <c r="R111" s="143" t="n"/>
      <c r="S111" s="143" t="n"/>
      <c r="T111" s="143" t="n"/>
      <c r="U111" s="143" t="n"/>
      <c r="V111" s="143" t="n"/>
      <c r="W111" s="143" t="n"/>
      <c r="X111" s="143" t="n"/>
      <c r="Y111" s="143" t="n"/>
      <c r="Z111" s="143" t="n"/>
    </row>
    <row r="112" ht="19.5" customHeight="1" s="398">
      <c r="A112" s="149" t="n"/>
      <c r="B112" s="143" t="n"/>
      <c r="C112" s="143" t="n"/>
      <c r="D112" s="143" t="n"/>
      <c r="E112" s="143" t="n"/>
      <c r="F112" s="143" t="n"/>
      <c r="G112" s="143" t="n"/>
      <c r="H112" s="143" t="n"/>
      <c r="I112" s="143" t="n"/>
      <c r="J112" s="143" t="n"/>
      <c r="K112" s="143" t="n"/>
      <c r="L112" s="143" t="n"/>
      <c r="M112" s="143" t="n"/>
      <c r="N112" s="143" t="n"/>
      <c r="O112" s="143" t="n"/>
      <c r="P112" s="143" t="n"/>
      <c r="Q112" s="143" t="n"/>
      <c r="R112" s="143" t="n"/>
      <c r="S112" s="143" t="n"/>
      <c r="T112" s="143" t="n"/>
      <c r="U112" s="143" t="n"/>
      <c r="V112" s="143" t="n"/>
      <c r="W112" s="143" t="n"/>
      <c r="X112" s="143" t="n"/>
      <c r="Y112" s="143" t="n"/>
      <c r="Z112" s="143" t="n"/>
    </row>
    <row r="113" ht="19.5" customHeight="1" s="398">
      <c r="A113" s="149" t="n"/>
      <c r="B113" s="143" t="n"/>
      <c r="C113" s="143" t="n"/>
      <c r="D113" s="143" t="n"/>
      <c r="E113" s="143" t="n"/>
      <c r="F113" s="143" t="n"/>
      <c r="G113" s="143" t="n"/>
      <c r="H113" s="143" t="n"/>
      <c r="I113" s="143" t="n"/>
      <c r="J113" s="143" t="n"/>
      <c r="K113" s="143" t="n"/>
      <c r="L113" s="143" t="n"/>
      <c r="M113" s="143" t="n"/>
      <c r="N113" s="143" t="n"/>
      <c r="O113" s="143" t="n"/>
      <c r="P113" s="143" t="n"/>
      <c r="Q113" s="143" t="n"/>
      <c r="R113" s="143" t="n"/>
      <c r="S113" s="143" t="n"/>
      <c r="T113" s="143" t="n"/>
      <c r="U113" s="143" t="n"/>
      <c r="V113" s="143" t="n"/>
      <c r="W113" s="143" t="n"/>
      <c r="X113" s="143" t="n"/>
      <c r="Y113" s="143" t="n"/>
      <c r="Z113" s="143" t="n"/>
    </row>
    <row r="114" ht="19.5" customHeight="1" s="398">
      <c r="A114" s="149" t="n"/>
      <c r="B114" s="143" t="n"/>
      <c r="C114" s="143" t="n"/>
      <c r="D114" s="143" t="n"/>
      <c r="E114" s="143" t="n"/>
      <c r="F114" s="143" t="n"/>
      <c r="G114" s="143" t="n"/>
      <c r="H114" s="143" t="n"/>
      <c r="I114" s="143" t="n"/>
      <c r="J114" s="143" t="n"/>
      <c r="K114" s="143" t="n"/>
      <c r="L114" s="143" t="n"/>
      <c r="M114" s="143" t="n"/>
      <c r="N114" s="143" t="n"/>
      <c r="O114" s="143" t="n"/>
      <c r="P114" s="143" t="n"/>
      <c r="Q114" s="143" t="n"/>
      <c r="R114" s="143" t="n"/>
      <c r="S114" s="143" t="n"/>
      <c r="T114" s="143" t="n"/>
      <c r="U114" s="143" t="n"/>
      <c r="V114" s="143" t="n"/>
      <c r="W114" s="143" t="n"/>
      <c r="X114" s="143" t="n"/>
      <c r="Y114" s="143" t="n"/>
      <c r="Z114" s="143" t="n"/>
    </row>
    <row r="115" ht="19.5" customHeight="1" s="398">
      <c r="A115" s="149" t="n"/>
      <c r="B115" s="143" t="n"/>
      <c r="C115" s="143" t="n"/>
      <c r="D115" s="143" t="n"/>
      <c r="E115" s="143" t="n"/>
      <c r="F115" s="143" t="n"/>
      <c r="G115" s="143" t="n"/>
      <c r="H115" s="143" t="n"/>
      <c r="I115" s="143" t="n"/>
      <c r="J115" s="143" t="n"/>
      <c r="K115" s="143" t="n"/>
      <c r="L115" s="143" t="n"/>
      <c r="M115" s="143" t="n"/>
      <c r="N115" s="143" t="n"/>
      <c r="O115" s="143" t="n"/>
      <c r="P115" s="143" t="n"/>
      <c r="Q115" s="143" t="n"/>
      <c r="R115" s="143" t="n"/>
      <c r="S115" s="143" t="n"/>
      <c r="T115" s="143" t="n"/>
      <c r="U115" s="143" t="n"/>
      <c r="V115" s="143" t="n"/>
      <c r="W115" s="143" t="n"/>
      <c r="X115" s="143" t="n"/>
      <c r="Y115" s="143" t="n"/>
      <c r="Z115" s="143" t="n"/>
    </row>
    <row r="116" ht="19.5" customHeight="1" s="398">
      <c r="A116" s="149" t="n"/>
      <c r="B116" s="143" t="n"/>
      <c r="C116" s="143" t="n"/>
      <c r="D116" s="143" t="n"/>
      <c r="E116" s="143" t="n"/>
      <c r="F116" s="143" t="n"/>
      <c r="G116" s="143" t="n"/>
      <c r="H116" s="143" t="n"/>
      <c r="I116" s="143" t="n"/>
      <c r="J116" s="143" t="n"/>
      <c r="K116" s="143" t="n"/>
      <c r="L116" s="143" t="n"/>
      <c r="M116" s="143" t="n"/>
      <c r="N116" s="143" t="n"/>
      <c r="O116" s="143" t="n"/>
      <c r="P116" s="143" t="n"/>
      <c r="Q116" s="143" t="n"/>
      <c r="R116" s="143" t="n"/>
      <c r="S116" s="143" t="n"/>
      <c r="T116" s="143" t="n"/>
      <c r="U116" s="143" t="n"/>
      <c r="V116" s="143" t="n"/>
      <c r="W116" s="143" t="n"/>
      <c r="X116" s="143" t="n"/>
      <c r="Y116" s="143" t="n"/>
      <c r="Z116" s="143" t="n"/>
    </row>
    <row r="117" ht="19.5" customHeight="1" s="398">
      <c r="A117" s="149" t="n"/>
      <c r="B117" s="143" t="n"/>
      <c r="C117" s="143" t="n"/>
      <c r="D117" s="143" t="n"/>
      <c r="E117" s="143" t="n"/>
      <c r="F117" s="143" t="n"/>
      <c r="G117" s="143" t="n"/>
      <c r="H117" s="143" t="n"/>
      <c r="I117" s="143" t="n"/>
      <c r="J117" s="143" t="n"/>
      <c r="K117" s="143" t="n"/>
      <c r="L117" s="143" t="n"/>
      <c r="M117" s="143" t="n"/>
      <c r="N117" s="143" t="n"/>
      <c r="O117" s="143" t="n"/>
      <c r="P117" s="143" t="n"/>
      <c r="Q117" s="143" t="n"/>
      <c r="R117" s="143" t="n"/>
      <c r="S117" s="143" t="n"/>
      <c r="T117" s="143" t="n"/>
      <c r="U117" s="143" t="n"/>
      <c r="V117" s="143" t="n"/>
      <c r="W117" s="143" t="n"/>
      <c r="X117" s="143" t="n"/>
      <c r="Y117" s="143" t="n"/>
      <c r="Z117" s="143" t="n"/>
    </row>
    <row r="118" ht="19.5" customHeight="1" s="398">
      <c r="A118" s="149" t="n"/>
      <c r="B118" s="143" t="n"/>
      <c r="C118" s="143" t="n"/>
      <c r="D118" s="143" t="n"/>
      <c r="E118" s="143" t="n"/>
      <c r="F118" s="143" t="n"/>
      <c r="G118" s="143" t="n"/>
      <c r="H118" s="143" t="n"/>
      <c r="I118" s="143" t="n"/>
      <c r="J118" s="143" t="n"/>
      <c r="K118" s="143" t="n"/>
      <c r="L118" s="143" t="n"/>
      <c r="M118" s="143" t="n"/>
      <c r="N118" s="143" t="n"/>
      <c r="O118" s="143" t="n"/>
      <c r="P118" s="143" t="n"/>
      <c r="Q118" s="143" t="n"/>
      <c r="R118" s="143" t="n"/>
      <c r="S118" s="143" t="n"/>
      <c r="T118" s="143" t="n"/>
      <c r="U118" s="143" t="n"/>
      <c r="V118" s="143" t="n"/>
      <c r="W118" s="143" t="n"/>
      <c r="X118" s="143" t="n"/>
      <c r="Y118" s="143" t="n"/>
      <c r="Z118" s="143" t="n"/>
    </row>
    <row r="119" ht="19.5" customHeight="1" s="398">
      <c r="A119" s="149" t="n"/>
      <c r="B119" s="143" t="n"/>
      <c r="C119" s="143" t="n"/>
      <c r="D119" s="143" t="n"/>
      <c r="E119" s="143" t="n"/>
      <c r="F119" s="143" t="n"/>
      <c r="G119" s="143" t="n"/>
      <c r="H119" s="143" t="n"/>
      <c r="I119" s="143" t="n"/>
      <c r="J119" s="143" t="n"/>
      <c r="K119" s="143" t="n"/>
      <c r="L119" s="143" t="n"/>
      <c r="M119" s="143" t="n"/>
      <c r="N119" s="143" t="n"/>
      <c r="O119" s="143" t="n"/>
      <c r="P119" s="143" t="n"/>
      <c r="Q119" s="143" t="n"/>
      <c r="R119" s="143" t="n"/>
      <c r="S119" s="143" t="n"/>
      <c r="T119" s="143" t="n"/>
      <c r="U119" s="143" t="n"/>
      <c r="V119" s="143" t="n"/>
      <c r="W119" s="143" t="n"/>
      <c r="X119" s="143" t="n"/>
      <c r="Y119" s="143" t="n"/>
      <c r="Z119" s="143" t="n"/>
    </row>
    <row r="120" ht="19.5" customHeight="1" s="398">
      <c r="A120" s="149" t="n"/>
      <c r="B120" s="143" t="n"/>
      <c r="C120" s="143" t="n"/>
      <c r="D120" s="143" t="n"/>
      <c r="E120" s="143" t="n"/>
      <c r="F120" s="143" t="n"/>
      <c r="G120" s="143" t="n"/>
      <c r="H120" s="143" t="n"/>
      <c r="I120" s="143" t="n"/>
      <c r="J120" s="143" t="n"/>
      <c r="K120" s="143" t="n"/>
      <c r="L120" s="143" t="n"/>
      <c r="M120" s="143" t="n"/>
      <c r="N120" s="143" t="n"/>
      <c r="O120" s="143" t="n"/>
      <c r="P120" s="143" t="n"/>
      <c r="Q120" s="143" t="n"/>
      <c r="R120" s="143" t="n"/>
      <c r="S120" s="143" t="n"/>
      <c r="T120" s="143" t="n"/>
      <c r="U120" s="143" t="n"/>
      <c r="V120" s="143" t="n"/>
      <c r="W120" s="143" t="n"/>
      <c r="X120" s="143" t="n"/>
      <c r="Y120" s="143" t="n"/>
      <c r="Z120" s="143" t="n"/>
    </row>
    <row r="121" ht="19.5" customHeight="1" s="398">
      <c r="A121" s="149" t="n"/>
      <c r="B121" s="143" t="n"/>
      <c r="C121" s="143" t="n"/>
      <c r="D121" s="143" t="n"/>
      <c r="E121" s="143" t="n"/>
      <c r="F121" s="143" t="n"/>
      <c r="G121" s="143" t="n"/>
      <c r="H121" s="143" t="n"/>
      <c r="I121" s="143" t="n"/>
      <c r="J121" s="143" t="n"/>
      <c r="K121" s="143" t="n"/>
      <c r="L121" s="143" t="n"/>
      <c r="M121" s="143" t="n"/>
      <c r="N121" s="143" t="n"/>
      <c r="O121" s="143" t="n"/>
      <c r="P121" s="143" t="n"/>
      <c r="Q121" s="143" t="n"/>
      <c r="R121" s="143" t="n"/>
      <c r="S121" s="143" t="n"/>
      <c r="T121" s="143" t="n"/>
      <c r="U121" s="143" t="n"/>
      <c r="V121" s="143" t="n"/>
      <c r="W121" s="143" t="n"/>
      <c r="X121" s="143" t="n"/>
      <c r="Y121" s="143" t="n"/>
      <c r="Z121" s="143" t="n"/>
    </row>
    <row r="122" ht="19.5" customHeight="1" s="398">
      <c r="A122" s="149" t="n"/>
      <c r="B122" s="143" t="n"/>
      <c r="C122" s="143" t="n"/>
      <c r="D122" s="143" t="n"/>
      <c r="E122" s="143" t="n"/>
      <c r="F122" s="143" t="n"/>
      <c r="G122" s="143" t="n"/>
      <c r="H122" s="143" t="n"/>
      <c r="I122" s="143" t="n"/>
      <c r="J122" s="143" t="n"/>
      <c r="K122" s="143" t="n"/>
      <c r="L122" s="143" t="n"/>
      <c r="M122" s="143" t="n"/>
      <c r="N122" s="143" t="n"/>
      <c r="O122" s="143" t="n"/>
      <c r="P122" s="143" t="n"/>
      <c r="Q122" s="143" t="n"/>
      <c r="R122" s="143" t="n"/>
      <c r="S122" s="143" t="n"/>
      <c r="T122" s="143" t="n"/>
      <c r="U122" s="143" t="n"/>
      <c r="V122" s="143" t="n"/>
      <c r="W122" s="143" t="n"/>
      <c r="X122" s="143" t="n"/>
      <c r="Y122" s="143" t="n"/>
      <c r="Z122" s="143" t="n"/>
    </row>
    <row r="123" ht="19.5" customHeight="1" s="398">
      <c r="A123" s="149" t="n"/>
      <c r="B123" s="143" t="n"/>
      <c r="C123" s="143" t="n"/>
      <c r="D123" s="143" t="n"/>
      <c r="E123" s="143" t="n"/>
      <c r="F123" s="143" t="n"/>
      <c r="G123" s="143" t="n"/>
      <c r="H123" s="143" t="n"/>
      <c r="I123" s="143" t="n"/>
      <c r="J123" s="143" t="n"/>
      <c r="K123" s="143" t="n"/>
      <c r="L123" s="143" t="n"/>
      <c r="M123" s="143" t="n"/>
      <c r="N123" s="143" t="n"/>
      <c r="O123" s="143" t="n"/>
      <c r="P123" s="143" t="n"/>
      <c r="Q123" s="143" t="n"/>
      <c r="R123" s="143" t="n"/>
      <c r="S123" s="143" t="n"/>
      <c r="T123" s="143" t="n"/>
      <c r="U123" s="143" t="n"/>
      <c r="V123" s="143" t="n"/>
      <c r="W123" s="143" t="n"/>
      <c r="X123" s="143" t="n"/>
      <c r="Y123" s="143" t="n"/>
      <c r="Z123" s="143" t="n"/>
    </row>
    <row r="124" ht="19.5" customHeight="1" s="398">
      <c r="A124" s="149" t="n"/>
      <c r="B124" s="143" t="n"/>
      <c r="C124" s="143" t="n"/>
      <c r="D124" s="143" t="n"/>
      <c r="E124" s="143" t="n"/>
      <c r="F124" s="143" t="n"/>
      <c r="G124" s="143" t="n"/>
      <c r="H124" s="143" t="n"/>
      <c r="I124" s="143" t="n"/>
      <c r="J124" s="143" t="n"/>
      <c r="K124" s="143" t="n"/>
      <c r="L124" s="143" t="n"/>
      <c r="M124" s="143" t="n"/>
      <c r="N124" s="143" t="n"/>
      <c r="O124" s="143" t="n"/>
      <c r="P124" s="143" t="n"/>
      <c r="Q124" s="143" t="n"/>
      <c r="R124" s="143" t="n"/>
      <c r="S124" s="143" t="n"/>
      <c r="T124" s="143" t="n"/>
      <c r="U124" s="143" t="n"/>
      <c r="V124" s="143" t="n"/>
      <c r="W124" s="143" t="n"/>
      <c r="X124" s="143" t="n"/>
      <c r="Y124" s="143" t="n"/>
      <c r="Z124" s="143" t="n"/>
    </row>
    <row r="125" ht="19.5" customHeight="1" s="398">
      <c r="A125" s="149" t="n"/>
      <c r="B125" s="143" t="n"/>
      <c r="C125" s="143" t="n"/>
      <c r="D125" s="143" t="n"/>
      <c r="E125" s="143" t="n"/>
      <c r="F125" s="143" t="n"/>
      <c r="G125" s="143" t="n"/>
      <c r="H125" s="143" t="n"/>
      <c r="I125" s="143" t="n"/>
      <c r="J125" s="143" t="n"/>
      <c r="K125" s="143" t="n"/>
      <c r="L125" s="143" t="n"/>
      <c r="M125" s="143" t="n"/>
      <c r="N125" s="143" t="n"/>
      <c r="O125" s="143" t="n"/>
      <c r="P125" s="143" t="n"/>
      <c r="Q125" s="143" t="n"/>
      <c r="R125" s="143" t="n"/>
      <c r="S125" s="143" t="n"/>
      <c r="T125" s="143" t="n"/>
      <c r="U125" s="143" t="n"/>
      <c r="V125" s="143" t="n"/>
      <c r="W125" s="143" t="n"/>
      <c r="X125" s="143" t="n"/>
      <c r="Y125" s="143" t="n"/>
      <c r="Z125" s="143" t="n"/>
    </row>
    <row r="126" ht="19.5" customHeight="1" s="398">
      <c r="A126" s="149" t="n"/>
      <c r="B126" s="143" t="n"/>
      <c r="C126" s="143" t="n"/>
      <c r="D126" s="143" t="n"/>
      <c r="E126" s="143" t="n"/>
      <c r="F126" s="143" t="n"/>
      <c r="G126" s="143" t="n"/>
      <c r="H126" s="143" t="n"/>
      <c r="I126" s="143" t="n"/>
      <c r="J126" s="143" t="n"/>
      <c r="K126" s="143" t="n"/>
      <c r="L126" s="143" t="n"/>
      <c r="M126" s="143" t="n"/>
      <c r="N126" s="143" t="n"/>
      <c r="O126" s="143" t="n"/>
      <c r="P126" s="143" t="n"/>
      <c r="Q126" s="143" t="n"/>
      <c r="R126" s="143" t="n"/>
      <c r="S126" s="143" t="n"/>
      <c r="T126" s="143" t="n"/>
      <c r="U126" s="143" t="n"/>
      <c r="V126" s="143" t="n"/>
      <c r="W126" s="143" t="n"/>
      <c r="X126" s="143" t="n"/>
      <c r="Y126" s="143" t="n"/>
      <c r="Z126" s="143" t="n"/>
    </row>
    <row r="127" ht="19.5" customHeight="1" s="398">
      <c r="A127" s="149" t="n"/>
      <c r="B127" s="143" t="n"/>
      <c r="C127" s="143" t="n"/>
      <c r="D127" s="143" t="n"/>
      <c r="E127" s="143" t="n"/>
      <c r="F127" s="143" t="n"/>
      <c r="G127" s="143" t="n"/>
      <c r="H127" s="143" t="n"/>
      <c r="I127" s="143" t="n"/>
      <c r="J127" s="143" t="n"/>
      <c r="K127" s="143" t="n"/>
      <c r="L127" s="143" t="n"/>
      <c r="M127" s="143" t="n"/>
      <c r="N127" s="143" t="n"/>
      <c r="O127" s="143" t="n"/>
      <c r="P127" s="143" t="n"/>
      <c r="Q127" s="143" t="n"/>
      <c r="R127" s="143" t="n"/>
      <c r="S127" s="143" t="n"/>
      <c r="T127" s="143" t="n"/>
      <c r="U127" s="143" t="n"/>
      <c r="V127" s="143" t="n"/>
      <c r="W127" s="143" t="n"/>
      <c r="X127" s="143" t="n"/>
      <c r="Y127" s="143" t="n"/>
      <c r="Z127" s="143" t="n"/>
    </row>
    <row r="128" ht="19.5" customHeight="1" s="398">
      <c r="A128" s="149" t="n"/>
      <c r="B128" s="143" t="n"/>
      <c r="C128" s="143" t="n"/>
      <c r="D128" s="143" t="n"/>
      <c r="E128" s="143" t="n"/>
      <c r="F128" s="143" t="n"/>
      <c r="G128" s="143" t="n"/>
      <c r="H128" s="143" t="n"/>
      <c r="I128" s="143" t="n"/>
      <c r="J128" s="143" t="n"/>
      <c r="K128" s="143" t="n"/>
      <c r="L128" s="143" t="n"/>
      <c r="M128" s="143" t="n"/>
      <c r="N128" s="143" t="n"/>
      <c r="O128" s="143" t="n"/>
      <c r="P128" s="143" t="n"/>
      <c r="Q128" s="143" t="n"/>
      <c r="R128" s="143" t="n"/>
      <c r="S128" s="143" t="n"/>
      <c r="T128" s="143" t="n"/>
      <c r="U128" s="143" t="n"/>
      <c r="V128" s="143" t="n"/>
      <c r="W128" s="143" t="n"/>
      <c r="X128" s="143" t="n"/>
      <c r="Y128" s="143" t="n"/>
      <c r="Z128" s="143" t="n"/>
    </row>
    <row r="129" ht="19.5" customHeight="1" s="398">
      <c r="A129" s="149" t="n"/>
      <c r="B129" s="143" t="n"/>
      <c r="C129" s="143" t="n"/>
      <c r="D129" s="143" t="n"/>
      <c r="E129" s="143" t="n"/>
      <c r="F129" s="143" t="n"/>
      <c r="G129" s="143" t="n"/>
      <c r="H129" s="143" t="n"/>
      <c r="I129" s="143" t="n"/>
      <c r="J129" s="143" t="n"/>
      <c r="K129" s="143" t="n"/>
      <c r="L129" s="143" t="n"/>
      <c r="M129" s="143" t="n"/>
      <c r="N129" s="143" t="n"/>
      <c r="O129" s="143" t="n"/>
      <c r="P129" s="143" t="n"/>
      <c r="Q129" s="143" t="n"/>
      <c r="R129" s="143" t="n"/>
      <c r="S129" s="143" t="n"/>
      <c r="T129" s="143" t="n"/>
      <c r="U129" s="143" t="n"/>
      <c r="V129" s="143" t="n"/>
      <c r="W129" s="143" t="n"/>
      <c r="X129" s="143" t="n"/>
      <c r="Y129" s="143" t="n"/>
      <c r="Z129" s="143" t="n"/>
    </row>
    <row r="130" ht="19.5" customHeight="1" s="398">
      <c r="A130" s="149" t="n"/>
      <c r="B130" s="143" t="n"/>
      <c r="C130" s="143" t="n"/>
      <c r="D130" s="143" t="n"/>
      <c r="E130" s="143" t="n"/>
      <c r="F130" s="143" t="n"/>
      <c r="G130" s="143" t="n"/>
      <c r="H130" s="143" t="n"/>
      <c r="I130" s="143" t="n"/>
      <c r="J130" s="143" t="n"/>
      <c r="K130" s="143" t="n"/>
      <c r="L130" s="143" t="n"/>
      <c r="M130" s="143" t="n"/>
      <c r="N130" s="143" t="n"/>
      <c r="O130" s="143" t="n"/>
      <c r="P130" s="143" t="n"/>
      <c r="Q130" s="143" t="n"/>
      <c r="R130" s="143" t="n"/>
      <c r="S130" s="143" t="n"/>
      <c r="T130" s="143" t="n"/>
      <c r="U130" s="143" t="n"/>
      <c r="V130" s="143" t="n"/>
      <c r="W130" s="143" t="n"/>
      <c r="X130" s="143" t="n"/>
      <c r="Y130" s="143" t="n"/>
      <c r="Z130" s="143" t="n"/>
    </row>
    <row r="131" ht="19.5" customHeight="1" s="398">
      <c r="A131" s="149" t="n"/>
      <c r="B131" s="143" t="n"/>
      <c r="C131" s="143" t="n"/>
      <c r="D131" s="143" t="n"/>
      <c r="E131" s="143" t="n"/>
      <c r="F131" s="143" t="n"/>
      <c r="G131" s="143" t="n"/>
      <c r="H131" s="143" t="n"/>
      <c r="I131" s="143" t="n"/>
      <c r="J131" s="143" t="n"/>
      <c r="K131" s="143" t="n"/>
      <c r="L131" s="143" t="n"/>
      <c r="M131" s="143" t="n"/>
      <c r="N131" s="143" t="n"/>
      <c r="O131" s="143" t="n"/>
      <c r="P131" s="143" t="n"/>
      <c r="Q131" s="143" t="n"/>
      <c r="R131" s="143" t="n"/>
      <c r="S131" s="143" t="n"/>
      <c r="T131" s="143" t="n"/>
      <c r="U131" s="143" t="n"/>
      <c r="V131" s="143" t="n"/>
      <c r="W131" s="143" t="n"/>
      <c r="X131" s="143" t="n"/>
      <c r="Y131" s="143" t="n"/>
      <c r="Z131" s="143" t="n"/>
    </row>
    <row r="132" ht="19.5" customHeight="1" s="398">
      <c r="A132" s="149" t="n"/>
      <c r="B132" s="143" t="n"/>
      <c r="C132" s="143" t="n"/>
      <c r="D132" s="143" t="n"/>
      <c r="E132" s="143" t="n"/>
      <c r="F132" s="143" t="n"/>
      <c r="G132" s="143" t="n"/>
      <c r="H132" s="143" t="n"/>
      <c r="I132" s="143" t="n"/>
      <c r="J132" s="143" t="n"/>
      <c r="K132" s="143" t="n"/>
      <c r="L132" s="143" t="n"/>
      <c r="M132" s="143" t="n"/>
      <c r="N132" s="143" t="n"/>
      <c r="O132" s="143" t="n"/>
      <c r="P132" s="143" t="n"/>
      <c r="Q132" s="143" t="n"/>
      <c r="R132" s="143" t="n"/>
      <c r="S132" s="143" t="n"/>
      <c r="T132" s="143" t="n"/>
      <c r="U132" s="143" t="n"/>
      <c r="V132" s="143" t="n"/>
      <c r="W132" s="143" t="n"/>
      <c r="X132" s="143" t="n"/>
      <c r="Y132" s="143" t="n"/>
      <c r="Z132" s="143" t="n"/>
    </row>
    <row r="133" ht="19.5" customHeight="1" s="398">
      <c r="A133" s="149" t="n"/>
      <c r="B133" s="143" t="n"/>
      <c r="C133" s="143" t="n"/>
      <c r="D133" s="143" t="n"/>
      <c r="E133" s="143" t="n"/>
      <c r="F133" s="143" t="n"/>
      <c r="G133" s="143" t="n"/>
      <c r="H133" s="143" t="n"/>
      <c r="I133" s="143" t="n"/>
      <c r="J133" s="143" t="n"/>
      <c r="K133" s="143" t="n"/>
      <c r="L133" s="143" t="n"/>
      <c r="M133" s="143" t="n"/>
      <c r="N133" s="143" t="n"/>
      <c r="O133" s="143" t="n"/>
      <c r="P133" s="143" t="n"/>
      <c r="Q133" s="143" t="n"/>
      <c r="R133" s="143" t="n"/>
      <c r="S133" s="143" t="n"/>
      <c r="T133" s="143" t="n"/>
      <c r="U133" s="143" t="n"/>
      <c r="V133" s="143" t="n"/>
      <c r="W133" s="143" t="n"/>
      <c r="X133" s="143" t="n"/>
      <c r="Y133" s="143" t="n"/>
      <c r="Z133" s="143" t="n"/>
    </row>
    <row r="134" ht="19.5" customHeight="1" s="398">
      <c r="A134" s="149" t="n"/>
      <c r="B134" s="143" t="n"/>
      <c r="C134" s="143" t="n"/>
      <c r="D134" s="143" t="n"/>
      <c r="E134" s="143" t="n"/>
      <c r="F134" s="143" t="n"/>
      <c r="G134" s="143" t="n"/>
      <c r="H134" s="143" t="n"/>
      <c r="I134" s="143" t="n"/>
      <c r="J134" s="143" t="n"/>
      <c r="K134" s="143" t="n"/>
      <c r="L134" s="143" t="n"/>
      <c r="M134" s="143" t="n"/>
      <c r="N134" s="143" t="n"/>
      <c r="O134" s="143" t="n"/>
      <c r="P134" s="143" t="n"/>
      <c r="Q134" s="143" t="n"/>
      <c r="R134" s="143" t="n"/>
      <c r="S134" s="143" t="n"/>
      <c r="T134" s="143" t="n"/>
      <c r="U134" s="143" t="n"/>
      <c r="V134" s="143" t="n"/>
      <c r="W134" s="143" t="n"/>
      <c r="X134" s="143" t="n"/>
      <c r="Y134" s="143" t="n"/>
      <c r="Z134" s="143" t="n"/>
    </row>
    <row r="135" ht="19.5" customHeight="1" s="398">
      <c r="A135" s="149" t="n"/>
      <c r="B135" s="143" t="n"/>
      <c r="C135" s="143" t="n"/>
      <c r="D135" s="143" t="n"/>
      <c r="E135" s="143" t="n"/>
      <c r="F135" s="143" t="n"/>
      <c r="G135" s="143" t="n"/>
      <c r="H135" s="143" t="n"/>
      <c r="I135" s="143" t="n"/>
      <c r="J135" s="143" t="n"/>
      <c r="K135" s="143" t="n"/>
      <c r="L135" s="143" t="n"/>
      <c r="M135" s="143" t="n"/>
      <c r="N135" s="143" t="n"/>
      <c r="O135" s="143" t="n"/>
      <c r="P135" s="143" t="n"/>
      <c r="Q135" s="143" t="n"/>
      <c r="R135" s="143" t="n"/>
      <c r="S135" s="143" t="n"/>
      <c r="T135" s="143" t="n"/>
      <c r="U135" s="143" t="n"/>
      <c r="V135" s="143" t="n"/>
      <c r="W135" s="143" t="n"/>
      <c r="X135" s="143" t="n"/>
      <c r="Y135" s="143" t="n"/>
      <c r="Z135" s="143" t="n"/>
    </row>
    <row r="136" ht="19.5" customHeight="1" s="398">
      <c r="A136" s="149" t="n"/>
      <c r="B136" s="143" t="n"/>
      <c r="C136" s="143" t="n"/>
      <c r="D136" s="143" t="n"/>
      <c r="E136" s="143" t="n"/>
      <c r="F136" s="143" t="n"/>
      <c r="G136" s="143" t="n"/>
      <c r="H136" s="143" t="n"/>
      <c r="I136" s="143" t="n"/>
      <c r="J136" s="143" t="n"/>
      <c r="K136" s="143" t="n"/>
      <c r="L136" s="143" t="n"/>
      <c r="M136" s="143" t="n"/>
      <c r="N136" s="143" t="n"/>
      <c r="O136" s="143" t="n"/>
      <c r="P136" s="143" t="n"/>
      <c r="Q136" s="143" t="n"/>
      <c r="R136" s="143" t="n"/>
      <c r="S136" s="143" t="n"/>
      <c r="T136" s="143" t="n"/>
      <c r="U136" s="143" t="n"/>
      <c r="V136" s="143" t="n"/>
      <c r="W136" s="143" t="n"/>
      <c r="X136" s="143" t="n"/>
      <c r="Y136" s="143" t="n"/>
      <c r="Z136" s="143" t="n"/>
    </row>
    <row r="137" ht="19.5" customHeight="1" s="398">
      <c r="A137" s="149" t="n"/>
      <c r="B137" s="143" t="n"/>
      <c r="C137" s="143" t="n"/>
      <c r="D137" s="143" t="n"/>
      <c r="E137" s="143" t="n"/>
      <c r="F137" s="143" t="n"/>
      <c r="G137" s="143" t="n"/>
      <c r="H137" s="143" t="n"/>
      <c r="I137" s="143" t="n"/>
      <c r="J137" s="143" t="n"/>
      <c r="K137" s="143" t="n"/>
      <c r="L137" s="143" t="n"/>
      <c r="M137" s="143" t="n"/>
      <c r="N137" s="143" t="n"/>
      <c r="O137" s="143" t="n"/>
      <c r="P137" s="143" t="n"/>
      <c r="Q137" s="143" t="n"/>
      <c r="R137" s="143" t="n"/>
      <c r="S137" s="143" t="n"/>
      <c r="T137" s="143" t="n"/>
      <c r="U137" s="143" t="n"/>
      <c r="V137" s="143" t="n"/>
      <c r="W137" s="143" t="n"/>
      <c r="X137" s="143" t="n"/>
      <c r="Y137" s="143" t="n"/>
      <c r="Z137" s="143" t="n"/>
    </row>
    <row r="138" ht="19.5" customHeight="1" s="398">
      <c r="A138" s="149" t="n"/>
      <c r="B138" s="143" t="n"/>
      <c r="C138" s="143" t="n"/>
      <c r="D138" s="143" t="n"/>
      <c r="E138" s="143" t="n"/>
      <c r="F138" s="143" t="n"/>
      <c r="G138" s="143" t="n"/>
      <c r="H138" s="143" t="n"/>
      <c r="I138" s="143" t="n"/>
      <c r="J138" s="143" t="n"/>
      <c r="K138" s="143" t="n"/>
      <c r="L138" s="143" t="n"/>
      <c r="M138" s="143" t="n"/>
      <c r="N138" s="143" t="n"/>
      <c r="O138" s="143" t="n"/>
      <c r="P138" s="143" t="n"/>
      <c r="Q138" s="143" t="n"/>
      <c r="R138" s="143" t="n"/>
      <c r="S138" s="143" t="n"/>
      <c r="T138" s="143" t="n"/>
      <c r="U138" s="143" t="n"/>
      <c r="V138" s="143" t="n"/>
      <c r="W138" s="143" t="n"/>
      <c r="X138" s="143" t="n"/>
      <c r="Y138" s="143" t="n"/>
      <c r="Z138" s="143" t="n"/>
    </row>
    <row r="139" ht="19.5" customHeight="1" s="398">
      <c r="A139" s="149" t="n"/>
      <c r="B139" s="143" t="n"/>
      <c r="C139" s="143" t="n"/>
      <c r="D139" s="143" t="n"/>
      <c r="E139" s="143" t="n"/>
      <c r="F139" s="143" t="n"/>
      <c r="G139" s="143" t="n"/>
      <c r="H139" s="143" t="n"/>
      <c r="I139" s="143" t="n"/>
      <c r="J139" s="143" t="n"/>
      <c r="K139" s="143" t="n"/>
      <c r="L139" s="143" t="n"/>
      <c r="M139" s="143" t="n"/>
      <c r="N139" s="143" t="n"/>
      <c r="O139" s="143" t="n"/>
      <c r="P139" s="143" t="n"/>
      <c r="Q139" s="143" t="n"/>
      <c r="R139" s="143" t="n"/>
      <c r="S139" s="143" t="n"/>
      <c r="T139" s="143" t="n"/>
      <c r="U139" s="143" t="n"/>
      <c r="V139" s="143" t="n"/>
      <c r="W139" s="143" t="n"/>
      <c r="X139" s="143" t="n"/>
      <c r="Y139" s="143" t="n"/>
      <c r="Z139" s="143" t="n"/>
    </row>
    <row r="140" ht="19.5" customHeight="1" s="398">
      <c r="A140" s="149" t="n"/>
      <c r="B140" s="143" t="n"/>
      <c r="C140" s="143" t="n"/>
      <c r="D140" s="143" t="n"/>
      <c r="E140" s="143" t="n"/>
      <c r="F140" s="143" t="n"/>
      <c r="G140" s="143" t="n"/>
      <c r="H140" s="143" t="n"/>
      <c r="I140" s="143" t="n"/>
      <c r="J140" s="143" t="n"/>
      <c r="K140" s="143" t="n"/>
      <c r="L140" s="143" t="n"/>
      <c r="M140" s="143" t="n"/>
      <c r="N140" s="143" t="n"/>
      <c r="O140" s="143" t="n"/>
      <c r="P140" s="143" t="n"/>
      <c r="Q140" s="143" t="n"/>
      <c r="R140" s="143" t="n"/>
      <c r="S140" s="143" t="n"/>
      <c r="T140" s="143" t="n"/>
      <c r="U140" s="143" t="n"/>
      <c r="V140" s="143" t="n"/>
      <c r="W140" s="143" t="n"/>
      <c r="X140" s="143" t="n"/>
      <c r="Y140" s="143" t="n"/>
      <c r="Z140" s="143" t="n"/>
    </row>
    <row r="141" ht="19.5" customHeight="1" s="398">
      <c r="A141" s="149" t="n"/>
      <c r="B141" s="143" t="n"/>
      <c r="C141" s="143" t="n"/>
      <c r="D141" s="143" t="n"/>
      <c r="E141" s="143" t="n"/>
      <c r="F141" s="143" t="n"/>
      <c r="G141" s="143" t="n"/>
      <c r="H141" s="143" t="n"/>
      <c r="I141" s="143" t="n"/>
      <c r="J141" s="143" t="n"/>
      <c r="K141" s="143" t="n"/>
      <c r="L141" s="143" t="n"/>
      <c r="M141" s="143" t="n"/>
      <c r="N141" s="143" t="n"/>
      <c r="O141" s="143" t="n"/>
      <c r="P141" s="143" t="n"/>
      <c r="Q141" s="143" t="n"/>
      <c r="R141" s="143" t="n"/>
      <c r="S141" s="143" t="n"/>
      <c r="T141" s="143" t="n"/>
      <c r="U141" s="143" t="n"/>
      <c r="V141" s="143" t="n"/>
      <c r="W141" s="143" t="n"/>
      <c r="X141" s="143" t="n"/>
      <c r="Y141" s="143" t="n"/>
      <c r="Z141" s="143" t="n"/>
    </row>
    <row r="142" ht="19.5" customHeight="1" s="398">
      <c r="A142" s="149" t="n"/>
      <c r="B142" s="143" t="n"/>
      <c r="C142" s="143" t="n"/>
      <c r="D142" s="143" t="n"/>
      <c r="E142" s="143" t="n"/>
      <c r="F142" s="143" t="n"/>
      <c r="G142" s="143" t="n"/>
      <c r="H142" s="143" t="n"/>
      <c r="I142" s="143" t="n"/>
      <c r="J142" s="143" t="n"/>
      <c r="K142" s="143" t="n"/>
      <c r="L142" s="143" t="n"/>
      <c r="M142" s="143" t="n"/>
      <c r="N142" s="143" t="n"/>
      <c r="O142" s="143" t="n"/>
      <c r="P142" s="143" t="n"/>
      <c r="Q142" s="143" t="n"/>
      <c r="R142" s="143" t="n"/>
      <c r="S142" s="143" t="n"/>
      <c r="T142" s="143" t="n"/>
      <c r="U142" s="143" t="n"/>
      <c r="V142" s="143" t="n"/>
      <c r="W142" s="143" t="n"/>
      <c r="X142" s="143" t="n"/>
      <c r="Y142" s="143" t="n"/>
      <c r="Z142" s="143" t="n"/>
    </row>
    <row r="143" ht="19.5" customHeight="1" s="398">
      <c r="A143" s="149" t="n"/>
      <c r="B143" s="143" t="n"/>
      <c r="C143" s="143" t="n"/>
      <c r="D143" s="143" t="n"/>
      <c r="E143" s="143" t="n"/>
      <c r="F143" s="143" t="n"/>
      <c r="G143" s="143" t="n"/>
      <c r="H143" s="143" t="n"/>
      <c r="I143" s="143" t="n"/>
      <c r="J143" s="143" t="n"/>
      <c r="K143" s="143" t="n"/>
      <c r="L143" s="143" t="n"/>
      <c r="M143" s="143" t="n"/>
      <c r="N143" s="143" t="n"/>
      <c r="O143" s="143" t="n"/>
      <c r="P143" s="143" t="n"/>
      <c r="Q143" s="143" t="n"/>
      <c r="R143" s="143" t="n"/>
      <c r="S143" s="143" t="n"/>
      <c r="T143" s="143" t="n"/>
      <c r="U143" s="143" t="n"/>
      <c r="V143" s="143" t="n"/>
      <c r="W143" s="143" t="n"/>
      <c r="X143" s="143" t="n"/>
      <c r="Y143" s="143" t="n"/>
      <c r="Z143" s="143" t="n"/>
    </row>
    <row r="144" ht="19.5" customHeight="1" s="398">
      <c r="A144" s="149" t="n"/>
      <c r="B144" s="143" t="n"/>
      <c r="C144" s="143" t="n"/>
      <c r="D144" s="143" t="n"/>
      <c r="E144" s="143" t="n"/>
      <c r="F144" s="143" t="n"/>
      <c r="G144" s="143" t="n"/>
      <c r="H144" s="143" t="n"/>
      <c r="I144" s="143" t="n"/>
      <c r="J144" s="143" t="n"/>
      <c r="K144" s="143" t="n"/>
      <c r="L144" s="143" t="n"/>
      <c r="M144" s="143" t="n"/>
      <c r="N144" s="143" t="n"/>
      <c r="O144" s="143" t="n"/>
      <c r="P144" s="143" t="n"/>
      <c r="Q144" s="143" t="n"/>
      <c r="R144" s="143" t="n"/>
      <c r="S144" s="143" t="n"/>
      <c r="T144" s="143" t="n"/>
      <c r="U144" s="143" t="n"/>
      <c r="V144" s="143" t="n"/>
      <c r="W144" s="143" t="n"/>
      <c r="X144" s="143" t="n"/>
      <c r="Y144" s="143" t="n"/>
      <c r="Z144" s="143" t="n"/>
    </row>
    <row r="145" ht="19.5" customHeight="1" s="398">
      <c r="A145" s="149" t="n"/>
      <c r="B145" s="143" t="n"/>
      <c r="C145" s="143" t="n"/>
      <c r="D145" s="143" t="n"/>
      <c r="E145" s="143" t="n"/>
      <c r="F145" s="143" t="n"/>
      <c r="G145" s="143" t="n"/>
      <c r="H145" s="143" t="n"/>
      <c r="I145" s="143" t="n"/>
      <c r="J145" s="143" t="n"/>
      <c r="K145" s="143" t="n"/>
      <c r="L145" s="143" t="n"/>
      <c r="M145" s="143" t="n"/>
      <c r="N145" s="143" t="n"/>
      <c r="O145" s="143" t="n"/>
      <c r="P145" s="143" t="n"/>
      <c r="Q145" s="143" t="n"/>
      <c r="R145" s="143" t="n"/>
      <c r="S145" s="143" t="n"/>
      <c r="T145" s="143" t="n"/>
      <c r="U145" s="143" t="n"/>
      <c r="V145" s="143" t="n"/>
      <c r="W145" s="143" t="n"/>
      <c r="X145" s="143" t="n"/>
      <c r="Y145" s="143" t="n"/>
      <c r="Z145" s="143" t="n"/>
    </row>
    <row r="146" ht="19.5" customHeight="1" s="398">
      <c r="A146" s="149" t="n"/>
      <c r="B146" s="143" t="n"/>
      <c r="C146" s="143" t="n"/>
      <c r="D146" s="143" t="n"/>
      <c r="E146" s="143" t="n"/>
      <c r="F146" s="143" t="n"/>
      <c r="G146" s="143" t="n"/>
      <c r="H146" s="143" t="n"/>
      <c r="I146" s="143" t="n"/>
      <c r="J146" s="143" t="n"/>
      <c r="K146" s="143" t="n"/>
      <c r="L146" s="143" t="n"/>
      <c r="M146" s="143" t="n"/>
      <c r="N146" s="143" t="n"/>
      <c r="O146" s="143" t="n"/>
      <c r="P146" s="143" t="n"/>
      <c r="Q146" s="143" t="n"/>
      <c r="R146" s="143" t="n"/>
      <c r="S146" s="143" t="n"/>
      <c r="T146" s="143" t="n"/>
      <c r="U146" s="143" t="n"/>
      <c r="V146" s="143" t="n"/>
      <c r="W146" s="143" t="n"/>
      <c r="X146" s="143" t="n"/>
      <c r="Y146" s="143" t="n"/>
      <c r="Z146" s="143" t="n"/>
    </row>
    <row r="147" ht="19.5" customHeight="1" s="398">
      <c r="A147" s="149" t="n"/>
      <c r="B147" s="143" t="n"/>
      <c r="C147" s="143" t="n"/>
      <c r="D147" s="143" t="n"/>
      <c r="E147" s="143" t="n"/>
      <c r="F147" s="143" t="n"/>
      <c r="G147" s="143" t="n"/>
      <c r="H147" s="143" t="n"/>
      <c r="I147" s="143" t="n"/>
      <c r="J147" s="143" t="n"/>
      <c r="K147" s="143" t="n"/>
      <c r="L147" s="143" t="n"/>
      <c r="M147" s="143" t="n"/>
      <c r="N147" s="143" t="n"/>
      <c r="O147" s="143" t="n"/>
      <c r="P147" s="143" t="n"/>
      <c r="Q147" s="143" t="n"/>
      <c r="R147" s="143" t="n"/>
      <c r="S147" s="143" t="n"/>
      <c r="T147" s="143" t="n"/>
      <c r="U147" s="143" t="n"/>
      <c r="V147" s="143" t="n"/>
      <c r="W147" s="143" t="n"/>
      <c r="X147" s="143" t="n"/>
      <c r="Y147" s="143" t="n"/>
      <c r="Z147" s="143" t="n"/>
    </row>
    <row r="148" ht="19.5" customHeight="1" s="398">
      <c r="A148" s="149" t="n"/>
      <c r="B148" s="143" t="n"/>
      <c r="C148" s="143" t="n"/>
      <c r="D148" s="143" t="n"/>
      <c r="E148" s="143" t="n"/>
      <c r="F148" s="143" t="n"/>
      <c r="G148" s="143" t="n"/>
      <c r="H148" s="143" t="n"/>
      <c r="I148" s="143" t="n"/>
      <c r="J148" s="143" t="n"/>
      <c r="K148" s="143" t="n"/>
      <c r="L148" s="143" t="n"/>
      <c r="M148" s="143" t="n"/>
      <c r="N148" s="143" t="n"/>
      <c r="O148" s="143" t="n"/>
      <c r="P148" s="143" t="n"/>
      <c r="Q148" s="143" t="n"/>
      <c r="R148" s="143" t="n"/>
      <c r="S148" s="143" t="n"/>
      <c r="T148" s="143" t="n"/>
      <c r="U148" s="143" t="n"/>
      <c r="V148" s="143" t="n"/>
      <c r="W148" s="143" t="n"/>
      <c r="X148" s="143" t="n"/>
      <c r="Y148" s="143" t="n"/>
      <c r="Z148" s="143" t="n"/>
    </row>
    <row r="149" ht="19.5" customHeight="1" s="398">
      <c r="A149" s="149" t="n"/>
      <c r="B149" s="143" t="n"/>
      <c r="C149" s="143" t="n"/>
      <c r="D149" s="143" t="n"/>
      <c r="E149" s="143" t="n"/>
      <c r="F149" s="143" t="n"/>
      <c r="G149" s="143" t="n"/>
      <c r="H149" s="143" t="n"/>
      <c r="I149" s="143" t="n"/>
      <c r="J149" s="143" t="n"/>
      <c r="K149" s="143" t="n"/>
      <c r="L149" s="143" t="n"/>
      <c r="M149" s="143" t="n"/>
      <c r="N149" s="143" t="n"/>
      <c r="O149" s="143" t="n"/>
      <c r="P149" s="143" t="n"/>
      <c r="Q149" s="143" t="n"/>
      <c r="R149" s="143" t="n"/>
      <c r="S149" s="143" t="n"/>
      <c r="T149" s="143" t="n"/>
      <c r="U149" s="143" t="n"/>
      <c r="V149" s="143" t="n"/>
      <c r="W149" s="143" t="n"/>
      <c r="X149" s="143" t="n"/>
      <c r="Y149" s="143" t="n"/>
      <c r="Z149" s="143" t="n"/>
    </row>
    <row r="150" ht="19.5" customHeight="1" s="398">
      <c r="A150" s="149" t="n"/>
      <c r="B150" s="143" t="n"/>
      <c r="C150" s="143" t="n"/>
      <c r="D150" s="143" t="n"/>
      <c r="E150" s="143" t="n"/>
      <c r="F150" s="143" t="n"/>
      <c r="G150" s="143" t="n"/>
      <c r="H150" s="143" t="n"/>
      <c r="I150" s="143" t="n"/>
      <c r="J150" s="143" t="n"/>
      <c r="K150" s="143" t="n"/>
      <c r="L150" s="143" t="n"/>
      <c r="M150" s="143" t="n"/>
      <c r="N150" s="143" t="n"/>
      <c r="O150" s="143" t="n"/>
      <c r="P150" s="143" t="n"/>
      <c r="Q150" s="143" t="n"/>
      <c r="R150" s="143" t="n"/>
      <c r="S150" s="143" t="n"/>
      <c r="T150" s="143" t="n"/>
      <c r="U150" s="143" t="n"/>
      <c r="V150" s="143" t="n"/>
      <c r="W150" s="143" t="n"/>
      <c r="X150" s="143" t="n"/>
      <c r="Y150" s="143" t="n"/>
      <c r="Z150" s="143" t="n"/>
    </row>
    <row r="151" ht="19.5" customHeight="1" s="398">
      <c r="A151" s="149" t="n"/>
      <c r="B151" s="143" t="n"/>
      <c r="C151" s="143" t="n"/>
      <c r="D151" s="143" t="n"/>
      <c r="E151" s="143" t="n"/>
      <c r="F151" s="143" t="n"/>
      <c r="G151" s="143" t="n"/>
      <c r="H151" s="143" t="n"/>
      <c r="I151" s="143" t="n"/>
      <c r="J151" s="143" t="n"/>
      <c r="K151" s="143" t="n"/>
      <c r="L151" s="143" t="n"/>
      <c r="M151" s="143" t="n"/>
      <c r="N151" s="143" t="n"/>
      <c r="O151" s="143" t="n"/>
      <c r="P151" s="143" t="n"/>
      <c r="Q151" s="143" t="n"/>
      <c r="R151" s="143" t="n"/>
      <c r="S151" s="143" t="n"/>
      <c r="T151" s="143" t="n"/>
      <c r="U151" s="143" t="n"/>
      <c r="V151" s="143" t="n"/>
      <c r="W151" s="143" t="n"/>
      <c r="X151" s="143" t="n"/>
      <c r="Y151" s="143" t="n"/>
      <c r="Z151" s="143" t="n"/>
    </row>
    <row r="152" ht="19.5" customHeight="1" s="398">
      <c r="A152" s="149" t="n"/>
      <c r="B152" s="143" t="n"/>
      <c r="C152" s="143" t="n"/>
      <c r="D152" s="143" t="n"/>
      <c r="E152" s="143" t="n"/>
      <c r="F152" s="143" t="n"/>
      <c r="G152" s="143" t="n"/>
      <c r="H152" s="143" t="n"/>
      <c r="I152" s="143" t="n"/>
      <c r="J152" s="143" t="n"/>
      <c r="K152" s="143" t="n"/>
      <c r="L152" s="143" t="n"/>
      <c r="M152" s="143" t="n"/>
      <c r="N152" s="143" t="n"/>
      <c r="O152" s="143" t="n"/>
      <c r="P152" s="143" t="n"/>
      <c r="Q152" s="143" t="n"/>
      <c r="R152" s="143" t="n"/>
      <c r="S152" s="143" t="n"/>
      <c r="T152" s="143" t="n"/>
      <c r="U152" s="143" t="n"/>
      <c r="V152" s="143" t="n"/>
      <c r="W152" s="143" t="n"/>
      <c r="X152" s="143" t="n"/>
      <c r="Y152" s="143" t="n"/>
      <c r="Z152" s="143" t="n"/>
    </row>
    <row r="153" ht="19.5" customHeight="1" s="398">
      <c r="A153" s="149" t="n"/>
      <c r="B153" s="143" t="n"/>
      <c r="C153" s="143" t="n"/>
      <c r="D153" s="143" t="n"/>
      <c r="E153" s="143" t="n"/>
      <c r="F153" s="143" t="n"/>
      <c r="G153" s="143" t="n"/>
      <c r="H153" s="143" t="n"/>
      <c r="I153" s="143" t="n"/>
      <c r="J153" s="143" t="n"/>
      <c r="K153" s="143" t="n"/>
      <c r="L153" s="143" t="n"/>
      <c r="M153" s="143" t="n"/>
      <c r="N153" s="143" t="n"/>
      <c r="O153" s="143" t="n"/>
      <c r="P153" s="143" t="n"/>
      <c r="Q153" s="143" t="n"/>
      <c r="R153" s="143" t="n"/>
      <c r="S153" s="143" t="n"/>
      <c r="T153" s="143" t="n"/>
      <c r="U153" s="143" t="n"/>
      <c r="V153" s="143" t="n"/>
      <c r="W153" s="143" t="n"/>
      <c r="X153" s="143" t="n"/>
      <c r="Y153" s="143" t="n"/>
      <c r="Z153" s="143" t="n"/>
    </row>
    <row r="154" ht="19.5" customHeight="1" s="398">
      <c r="A154" s="149" t="n"/>
      <c r="B154" s="143" t="n"/>
      <c r="C154" s="143" t="n"/>
      <c r="D154" s="143" t="n"/>
      <c r="E154" s="143" t="n"/>
      <c r="F154" s="143" t="n"/>
      <c r="G154" s="143" t="n"/>
      <c r="H154" s="143" t="n"/>
      <c r="I154" s="143" t="n"/>
      <c r="J154" s="143" t="n"/>
      <c r="K154" s="143" t="n"/>
      <c r="L154" s="143" t="n"/>
      <c r="M154" s="143" t="n"/>
      <c r="N154" s="143" t="n"/>
      <c r="O154" s="143" t="n"/>
      <c r="P154" s="143" t="n"/>
      <c r="Q154" s="143" t="n"/>
      <c r="R154" s="143" t="n"/>
      <c r="S154" s="143" t="n"/>
      <c r="T154" s="143" t="n"/>
      <c r="U154" s="143" t="n"/>
      <c r="V154" s="143" t="n"/>
      <c r="W154" s="143" t="n"/>
      <c r="X154" s="143" t="n"/>
      <c r="Y154" s="143" t="n"/>
      <c r="Z154" s="143" t="n"/>
    </row>
    <row r="155" ht="19.5" customHeight="1" s="398">
      <c r="A155" s="149" t="n"/>
      <c r="B155" s="143" t="n"/>
      <c r="C155" s="143" t="n"/>
      <c r="D155" s="143" t="n"/>
      <c r="E155" s="143" t="n"/>
      <c r="F155" s="143" t="n"/>
      <c r="G155" s="143" t="n"/>
      <c r="H155" s="143" t="n"/>
      <c r="I155" s="143" t="n"/>
      <c r="J155" s="143" t="n"/>
      <c r="K155" s="143" t="n"/>
      <c r="L155" s="143" t="n"/>
      <c r="M155" s="143" t="n"/>
      <c r="N155" s="143" t="n"/>
      <c r="O155" s="143" t="n"/>
      <c r="P155" s="143" t="n"/>
      <c r="Q155" s="143" t="n"/>
      <c r="R155" s="143" t="n"/>
      <c r="S155" s="143" t="n"/>
      <c r="T155" s="143" t="n"/>
      <c r="U155" s="143" t="n"/>
      <c r="V155" s="143" t="n"/>
      <c r="W155" s="143" t="n"/>
      <c r="X155" s="143" t="n"/>
      <c r="Y155" s="143" t="n"/>
      <c r="Z155" s="143" t="n"/>
    </row>
    <row r="156" ht="19.5" customHeight="1" s="398">
      <c r="A156" s="149" t="n"/>
      <c r="B156" s="143" t="n"/>
      <c r="C156" s="143" t="n"/>
      <c r="D156" s="143" t="n"/>
      <c r="E156" s="143" t="n"/>
      <c r="F156" s="143" t="n"/>
      <c r="G156" s="143" t="n"/>
      <c r="H156" s="143" t="n"/>
      <c r="I156" s="143" t="n"/>
      <c r="J156" s="143" t="n"/>
      <c r="K156" s="143" t="n"/>
      <c r="L156" s="143" t="n"/>
      <c r="M156" s="143" t="n"/>
      <c r="N156" s="143" t="n"/>
      <c r="O156" s="143" t="n"/>
      <c r="P156" s="143" t="n"/>
      <c r="Q156" s="143" t="n"/>
      <c r="R156" s="143" t="n"/>
      <c r="S156" s="143" t="n"/>
      <c r="T156" s="143" t="n"/>
      <c r="U156" s="143" t="n"/>
      <c r="V156" s="143" t="n"/>
      <c r="W156" s="143" t="n"/>
      <c r="X156" s="143" t="n"/>
      <c r="Y156" s="143" t="n"/>
      <c r="Z156" s="143" t="n"/>
    </row>
    <row r="157" ht="19.5" customHeight="1" s="398">
      <c r="A157" s="149" t="n"/>
      <c r="B157" s="143" t="n"/>
      <c r="C157" s="143" t="n"/>
      <c r="D157" s="143" t="n"/>
      <c r="E157" s="143" t="n"/>
      <c r="F157" s="143" t="n"/>
      <c r="G157" s="143" t="n"/>
      <c r="H157" s="143" t="n"/>
      <c r="I157" s="143" t="n"/>
      <c r="J157" s="143" t="n"/>
      <c r="K157" s="143" t="n"/>
      <c r="L157" s="143" t="n"/>
      <c r="M157" s="143" t="n"/>
      <c r="N157" s="143" t="n"/>
      <c r="O157" s="143" t="n"/>
      <c r="P157" s="143" t="n"/>
      <c r="Q157" s="143" t="n"/>
      <c r="R157" s="143" t="n"/>
      <c r="S157" s="143" t="n"/>
      <c r="T157" s="143" t="n"/>
      <c r="U157" s="143" t="n"/>
      <c r="V157" s="143" t="n"/>
      <c r="W157" s="143" t="n"/>
      <c r="X157" s="143" t="n"/>
      <c r="Y157" s="143" t="n"/>
      <c r="Z157" s="143" t="n"/>
    </row>
    <row r="158" ht="19.5" customHeight="1" s="398">
      <c r="A158" s="149" t="n"/>
      <c r="B158" s="143" t="n"/>
      <c r="C158" s="143" t="n"/>
      <c r="D158" s="143" t="n"/>
      <c r="E158" s="143" t="n"/>
      <c r="F158" s="143" t="n"/>
      <c r="G158" s="143" t="n"/>
      <c r="H158" s="143" t="n"/>
      <c r="I158" s="143" t="n"/>
      <c r="J158" s="143" t="n"/>
      <c r="K158" s="143" t="n"/>
      <c r="L158" s="143" t="n"/>
      <c r="M158" s="143" t="n"/>
      <c r="N158" s="143" t="n"/>
      <c r="O158" s="143" t="n"/>
      <c r="P158" s="143" t="n"/>
      <c r="Q158" s="143" t="n"/>
      <c r="R158" s="143" t="n"/>
      <c r="S158" s="143" t="n"/>
      <c r="T158" s="143" t="n"/>
      <c r="U158" s="143" t="n"/>
      <c r="V158" s="143" t="n"/>
      <c r="W158" s="143" t="n"/>
      <c r="X158" s="143" t="n"/>
      <c r="Y158" s="143" t="n"/>
      <c r="Z158" s="143" t="n"/>
    </row>
    <row r="159" ht="19.5" customHeight="1" s="398">
      <c r="A159" s="149" t="n"/>
      <c r="B159" s="143" t="n"/>
      <c r="C159" s="143" t="n"/>
      <c r="D159" s="143" t="n"/>
      <c r="E159" s="143" t="n"/>
      <c r="F159" s="143" t="n"/>
      <c r="G159" s="143" t="n"/>
      <c r="H159" s="143" t="n"/>
      <c r="I159" s="143" t="n"/>
      <c r="J159" s="143" t="n"/>
      <c r="K159" s="143" t="n"/>
      <c r="L159" s="143" t="n"/>
      <c r="M159" s="143" t="n"/>
      <c r="N159" s="143" t="n"/>
      <c r="O159" s="143" t="n"/>
      <c r="P159" s="143" t="n"/>
      <c r="Q159" s="143" t="n"/>
      <c r="R159" s="143" t="n"/>
      <c r="S159" s="143" t="n"/>
      <c r="T159" s="143" t="n"/>
      <c r="U159" s="143" t="n"/>
      <c r="V159" s="143" t="n"/>
      <c r="W159" s="143" t="n"/>
      <c r="X159" s="143" t="n"/>
      <c r="Y159" s="143" t="n"/>
      <c r="Z159" s="143" t="n"/>
    </row>
    <row r="160" ht="19.5" customHeight="1" s="398">
      <c r="A160" s="149" t="n"/>
      <c r="B160" s="143" t="n"/>
      <c r="C160" s="143" t="n"/>
      <c r="D160" s="143" t="n"/>
      <c r="E160" s="143" t="n"/>
      <c r="F160" s="143" t="n"/>
      <c r="G160" s="143" t="n"/>
      <c r="H160" s="143" t="n"/>
      <c r="I160" s="143" t="n"/>
      <c r="J160" s="143" t="n"/>
      <c r="K160" s="143" t="n"/>
      <c r="L160" s="143" t="n"/>
      <c r="M160" s="143" t="n"/>
      <c r="N160" s="143" t="n"/>
      <c r="O160" s="143" t="n"/>
      <c r="P160" s="143" t="n"/>
      <c r="Q160" s="143" t="n"/>
      <c r="R160" s="143" t="n"/>
      <c r="S160" s="143" t="n"/>
      <c r="T160" s="143" t="n"/>
      <c r="U160" s="143" t="n"/>
      <c r="V160" s="143" t="n"/>
      <c r="W160" s="143" t="n"/>
      <c r="X160" s="143" t="n"/>
      <c r="Y160" s="143" t="n"/>
      <c r="Z160" s="143" t="n"/>
    </row>
    <row r="161" ht="19.5" customHeight="1" s="398">
      <c r="A161" s="149" t="n"/>
      <c r="B161" s="143" t="n"/>
      <c r="C161" s="143" t="n"/>
      <c r="D161" s="143" t="n"/>
      <c r="E161" s="143" t="n"/>
      <c r="F161" s="143" t="n"/>
      <c r="G161" s="143" t="n"/>
      <c r="H161" s="143" t="n"/>
      <c r="I161" s="143" t="n"/>
      <c r="J161" s="143" t="n"/>
      <c r="K161" s="143" t="n"/>
      <c r="L161" s="143" t="n"/>
      <c r="M161" s="143" t="n"/>
      <c r="N161" s="143" t="n"/>
      <c r="O161" s="143" t="n"/>
      <c r="P161" s="143" t="n"/>
      <c r="Q161" s="143" t="n"/>
      <c r="R161" s="143" t="n"/>
      <c r="S161" s="143" t="n"/>
      <c r="T161" s="143" t="n"/>
      <c r="U161" s="143" t="n"/>
      <c r="V161" s="143" t="n"/>
      <c r="W161" s="143" t="n"/>
      <c r="X161" s="143" t="n"/>
      <c r="Y161" s="143" t="n"/>
      <c r="Z161" s="143" t="n"/>
    </row>
    <row r="162" ht="19.5" customHeight="1" s="398">
      <c r="A162" s="149" t="n"/>
      <c r="B162" s="143" t="n"/>
      <c r="C162" s="143" t="n"/>
      <c r="D162" s="143" t="n"/>
      <c r="E162" s="143" t="n"/>
      <c r="F162" s="143" t="n"/>
      <c r="G162" s="143" t="n"/>
      <c r="H162" s="143" t="n"/>
      <c r="I162" s="143" t="n"/>
      <c r="J162" s="143" t="n"/>
      <c r="K162" s="143" t="n"/>
      <c r="L162" s="143" t="n"/>
      <c r="M162" s="143" t="n"/>
      <c r="N162" s="143" t="n"/>
      <c r="O162" s="143" t="n"/>
      <c r="P162" s="143" t="n"/>
      <c r="Q162" s="143" t="n"/>
      <c r="R162" s="143" t="n"/>
      <c r="S162" s="143" t="n"/>
      <c r="T162" s="143" t="n"/>
      <c r="U162" s="143" t="n"/>
      <c r="V162" s="143" t="n"/>
      <c r="W162" s="143" t="n"/>
      <c r="X162" s="143" t="n"/>
      <c r="Y162" s="143" t="n"/>
      <c r="Z162" s="143" t="n"/>
    </row>
    <row r="163" ht="19.5" customHeight="1" s="398">
      <c r="A163" s="149" t="n"/>
      <c r="B163" s="143" t="n"/>
      <c r="C163" s="143" t="n"/>
      <c r="D163" s="143" t="n"/>
      <c r="E163" s="143" t="n"/>
      <c r="F163" s="143" t="n"/>
      <c r="G163" s="143" t="n"/>
      <c r="H163" s="143" t="n"/>
      <c r="I163" s="143" t="n"/>
      <c r="J163" s="143" t="n"/>
      <c r="K163" s="143" t="n"/>
      <c r="L163" s="143" t="n"/>
      <c r="M163" s="143" t="n"/>
      <c r="N163" s="143" t="n"/>
      <c r="O163" s="143" t="n"/>
      <c r="P163" s="143" t="n"/>
      <c r="Q163" s="143" t="n"/>
      <c r="R163" s="143" t="n"/>
      <c r="S163" s="143" t="n"/>
      <c r="T163" s="143" t="n"/>
      <c r="U163" s="143" t="n"/>
      <c r="V163" s="143" t="n"/>
      <c r="W163" s="143" t="n"/>
      <c r="X163" s="143" t="n"/>
      <c r="Y163" s="143" t="n"/>
      <c r="Z163" s="143" t="n"/>
    </row>
    <row r="164" ht="19.5" customHeight="1" s="398">
      <c r="A164" s="149" t="n"/>
      <c r="B164" s="143" t="n"/>
      <c r="C164" s="143" t="n"/>
      <c r="D164" s="143" t="n"/>
      <c r="E164" s="143" t="n"/>
      <c r="F164" s="143" t="n"/>
      <c r="G164" s="143" t="n"/>
      <c r="H164" s="143" t="n"/>
      <c r="I164" s="143" t="n"/>
      <c r="J164" s="143" t="n"/>
      <c r="K164" s="143" t="n"/>
      <c r="L164" s="143" t="n"/>
      <c r="M164" s="143" t="n"/>
      <c r="N164" s="143" t="n"/>
      <c r="O164" s="143" t="n"/>
      <c r="P164" s="143" t="n"/>
      <c r="Q164" s="143" t="n"/>
      <c r="R164" s="143" t="n"/>
      <c r="S164" s="143" t="n"/>
      <c r="T164" s="143" t="n"/>
      <c r="U164" s="143" t="n"/>
      <c r="V164" s="143" t="n"/>
      <c r="W164" s="143" t="n"/>
      <c r="X164" s="143" t="n"/>
      <c r="Y164" s="143" t="n"/>
      <c r="Z164" s="143" t="n"/>
    </row>
    <row r="165" ht="19.5" customHeight="1" s="398">
      <c r="A165" s="149" t="n"/>
      <c r="B165" s="143" t="n"/>
      <c r="C165" s="143" t="n"/>
      <c r="D165" s="143" t="n"/>
      <c r="E165" s="143" t="n"/>
      <c r="F165" s="143" t="n"/>
      <c r="G165" s="143" t="n"/>
      <c r="H165" s="143" t="n"/>
      <c r="I165" s="143" t="n"/>
      <c r="J165" s="143" t="n"/>
      <c r="K165" s="143" t="n"/>
      <c r="L165" s="143" t="n"/>
      <c r="M165" s="143" t="n"/>
      <c r="N165" s="143" t="n"/>
      <c r="O165" s="143" t="n"/>
      <c r="P165" s="143" t="n"/>
      <c r="Q165" s="143" t="n"/>
      <c r="R165" s="143" t="n"/>
      <c r="S165" s="143" t="n"/>
      <c r="T165" s="143" t="n"/>
      <c r="U165" s="143" t="n"/>
      <c r="V165" s="143" t="n"/>
      <c r="W165" s="143" t="n"/>
      <c r="X165" s="143" t="n"/>
      <c r="Y165" s="143" t="n"/>
      <c r="Z165" s="143" t="n"/>
    </row>
    <row r="166" ht="19.5" customHeight="1" s="398">
      <c r="A166" s="149" t="n"/>
      <c r="B166" s="143" t="n"/>
      <c r="C166" s="143" t="n"/>
      <c r="D166" s="143" t="n"/>
      <c r="E166" s="143" t="n"/>
      <c r="F166" s="143" t="n"/>
      <c r="G166" s="143" t="n"/>
      <c r="H166" s="143" t="n"/>
      <c r="I166" s="143" t="n"/>
      <c r="J166" s="143" t="n"/>
      <c r="K166" s="143" t="n"/>
      <c r="L166" s="143" t="n"/>
      <c r="M166" s="143" t="n"/>
      <c r="N166" s="143" t="n"/>
      <c r="O166" s="143" t="n"/>
      <c r="P166" s="143" t="n"/>
      <c r="Q166" s="143" t="n"/>
      <c r="R166" s="143" t="n"/>
      <c r="S166" s="143" t="n"/>
      <c r="T166" s="143" t="n"/>
      <c r="U166" s="143" t="n"/>
      <c r="V166" s="143" t="n"/>
      <c r="W166" s="143" t="n"/>
      <c r="X166" s="143" t="n"/>
      <c r="Y166" s="143" t="n"/>
      <c r="Z166" s="143" t="n"/>
    </row>
    <row r="167" ht="19.5" customHeight="1" s="398">
      <c r="A167" s="149" t="n"/>
      <c r="B167" s="143" t="n"/>
      <c r="C167" s="143" t="n"/>
      <c r="D167" s="143" t="n"/>
      <c r="E167" s="143" t="n"/>
      <c r="F167" s="143" t="n"/>
      <c r="G167" s="143" t="n"/>
      <c r="H167" s="143" t="n"/>
      <c r="I167" s="143" t="n"/>
      <c r="J167" s="143" t="n"/>
      <c r="K167" s="143" t="n"/>
      <c r="L167" s="143" t="n"/>
      <c r="M167" s="143" t="n"/>
      <c r="N167" s="143" t="n"/>
      <c r="O167" s="143" t="n"/>
      <c r="P167" s="143" t="n"/>
      <c r="Q167" s="143" t="n"/>
      <c r="R167" s="143" t="n"/>
      <c r="S167" s="143" t="n"/>
      <c r="T167" s="143" t="n"/>
      <c r="U167" s="143" t="n"/>
      <c r="V167" s="143" t="n"/>
      <c r="W167" s="143" t="n"/>
      <c r="X167" s="143" t="n"/>
      <c r="Y167" s="143" t="n"/>
      <c r="Z167" s="143" t="n"/>
    </row>
    <row r="168" ht="19.5" customHeight="1" s="398">
      <c r="A168" s="149" t="n"/>
      <c r="B168" s="143" t="n"/>
      <c r="C168" s="143" t="n"/>
      <c r="D168" s="143" t="n"/>
      <c r="E168" s="143" t="n"/>
      <c r="F168" s="143" t="n"/>
      <c r="G168" s="143" t="n"/>
      <c r="H168" s="143" t="n"/>
      <c r="I168" s="143" t="n"/>
      <c r="J168" s="143" t="n"/>
      <c r="K168" s="143" t="n"/>
      <c r="L168" s="143" t="n"/>
      <c r="M168" s="143" t="n"/>
      <c r="N168" s="143" t="n"/>
      <c r="O168" s="143" t="n"/>
      <c r="P168" s="143" t="n"/>
      <c r="Q168" s="143" t="n"/>
      <c r="R168" s="143" t="n"/>
      <c r="S168" s="143" t="n"/>
      <c r="T168" s="143" t="n"/>
      <c r="U168" s="143" t="n"/>
      <c r="V168" s="143" t="n"/>
      <c r="W168" s="143" t="n"/>
      <c r="X168" s="143" t="n"/>
      <c r="Y168" s="143" t="n"/>
      <c r="Z168" s="143" t="n"/>
    </row>
    <row r="169" ht="19.5" customHeight="1" s="398">
      <c r="A169" s="149" t="n"/>
      <c r="B169" s="143" t="n"/>
      <c r="C169" s="143" t="n"/>
      <c r="D169" s="143" t="n"/>
      <c r="E169" s="143" t="n"/>
      <c r="F169" s="143" t="n"/>
      <c r="G169" s="143" t="n"/>
      <c r="H169" s="143" t="n"/>
      <c r="I169" s="143" t="n"/>
      <c r="J169" s="143" t="n"/>
      <c r="K169" s="143" t="n"/>
      <c r="L169" s="143" t="n"/>
      <c r="M169" s="143" t="n"/>
      <c r="N169" s="143" t="n"/>
      <c r="O169" s="143" t="n"/>
      <c r="P169" s="143" t="n"/>
      <c r="Q169" s="143" t="n"/>
      <c r="R169" s="143" t="n"/>
      <c r="S169" s="143" t="n"/>
      <c r="T169" s="143" t="n"/>
      <c r="U169" s="143" t="n"/>
      <c r="V169" s="143" t="n"/>
      <c r="W169" s="143" t="n"/>
      <c r="X169" s="143" t="n"/>
      <c r="Y169" s="143" t="n"/>
      <c r="Z169" s="143" t="n"/>
    </row>
    <row r="170" ht="19.5" customHeight="1" s="398">
      <c r="A170" s="149" t="n"/>
      <c r="B170" s="143" t="n"/>
      <c r="C170" s="143" t="n"/>
      <c r="D170" s="143" t="n"/>
      <c r="E170" s="143" t="n"/>
      <c r="F170" s="143" t="n"/>
      <c r="G170" s="143" t="n"/>
      <c r="H170" s="143" t="n"/>
      <c r="I170" s="143" t="n"/>
      <c r="J170" s="143" t="n"/>
      <c r="K170" s="143" t="n"/>
      <c r="L170" s="143" t="n"/>
      <c r="M170" s="143" t="n"/>
      <c r="N170" s="143" t="n"/>
      <c r="O170" s="143" t="n"/>
      <c r="P170" s="143" t="n"/>
      <c r="Q170" s="143" t="n"/>
      <c r="R170" s="143" t="n"/>
      <c r="S170" s="143" t="n"/>
      <c r="T170" s="143" t="n"/>
      <c r="U170" s="143" t="n"/>
      <c r="V170" s="143" t="n"/>
      <c r="W170" s="143" t="n"/>
      <c r="X170" s="143" t="n"/>
      <c r="Y170" s="143" t="n"/>
      <c r="Z170" s="143" t="n"/>
    </row>
    <row r="171" ht="19.5" customHeight="1" s="398">
      <c r="A171" s="149" t="n"/>
      <c r="B171" s="143" t="n"/>
      <c r="C171" s="143" t="n"/>
      <c r="D171" s="143" t="n"/>
      <c r="E171" s="143" t="n"/>
      <c r="F171" s="143" t="n"/>
      <c r="G171" s="143" t="n"/>
      <c r="H171" s="143" t="n"/>
      <c r="I171" s="143" t="n"/>
      <c r="J171" s="143" t="n"/>
      <c r="K171" s="143" t="n"/>
      <c r="L171" s="143" t="n"/>
      <c r="M171" s="143" t="n"/>
      <c r="N171" s="143" t="n"/>
      <c r="O171" s="143" t="n"/>
      <c r="P171" s="143" t="n"/>
      <c r="Q171" s="143" t="n"/>
      <c r="R171" s="143" t="n"/>
      <c r="S171" s="143" t="n"/>
      <c r="T171" s="143" t="n"/>
      <c r="U171" s="143" t="n"/>
      <c r="V171" s="143" t="n"/>
      <c r="W171" s="143" t="n"/>
      <c r="X171" s="143" t="n"/>
      <c r="Y171" s="143" t="n"/>
      <c r="Z171" s="143" t="n"/>
    </row>
    <row r="172" ht="19.5" customHeight="1" s="398">
      <c r="A172" s="149" t="n"/>
      <c r="B172" s="143" t="n"/>
      <c r="C172" s="143" t="n"/>
      <c r="D172" s="143" t="n"/>
      <c r="E172" s="143" t="n"/>
      <c r="F172" s="143" t="n"/>
      <c r="G172" s="143" t="n"/>
      <c r="H172" s="143" t="n"/>
      <c r="I172" s="143" t="n"/>
      <c r="J172" s="143" t="n"/>
      <c r="K172" s="143" t="n"/>
      <c r="L172" s="143" t="n"/>
      <c r="M172" s="143" t="n"/>
      <c r="N172" s="143" t="n"/>
      <c r="O172" s="143" t="n"/>
      <c r="P172" s="143" t="n"/>
      <c r="Q172" s="143" t="n"/>
      <c r="R172" s="143" t="n"/>
      <c r="S172" s="143" t="n"/>
      <c r="T172" s="143" t="n"/>
      <c r="U172" s="143" t="n"/>
      <c r="V172" s="143" t="n"/>
      <c r="W172" s="143" t="n"/>
      <c r="X172" s="143" t="n"/>
      <c r="Y172" s="143" t="n"/>
      <c r="Z172" s="143" t="n"/>
    </row>
    <row r="173" ht="19.5" customHeight="1" s="398">
      <c r="A173" s="149" t="n"/>
      <c r="B173" s="143" t="n"/>
      <c r="C173" s="143" t="n"/>
      <c r="D173" s="143" t="n"/>
      <c r="E173" s="143" t="n"/>
      <c r="F173" s="143" t="n"/>
      <c r="G173" s="143" t="n"/>
      <c r="H173" s="143" t="n"/>
      <c r="I173" s="143" t="n"/>
      <c r="J173" s="143" t="n"/>
      <c r="K173" s="143" t="n"/>
      <c r="L173" s="143" t="n"/>
      <c r="M173" s="143" t="n"/>
      <c r="N173" s="143" t="n"/>
      <c r="O173" s="143" t="n"/>
      <c r="P173" s="143" t="n"/>
      <c r="Q173" s="143" t="n"/>
      <c r="R173" s="143" t="n"/>
      <c r="S173" s="143" t="n"/>
      <c r="T173" s="143" t="n"/>
      <c r="U173" s="143" t="n"/>
      <c r="V173" s="143" t="n"/>
      <c r="W173" s="143" t="n"/>
      <c r="X173" s="143" t="n"/>
      <c r="Y173" s="143" t="n"/>
      <c r="Z173" s="143" t="n"/>
    </row>
    <row r="174" ht="19.5" customHeight="1" s="398">
      <c r="A174" s="149" t="n"/>
      <c r="B174" s="143" t="n"/>
      <c r="C174" s="143" t="n"/>
      <c r="D174" s="143" t="n"/>
      <c r="E174" s="143" t="n"/>
      <c r="F174" s="143" t="n"/>
      <c r="G174" s="143" t="n"/>
      <c r="H174" s="143" t="n"/>
      <c r="I174" s="143" t="n"/>
      <c r="J174" s="143" t="n"/>
      <c r="K174" s="143" t="n"/>
      <c r="L174" s="143" t="n"/>
      <c r="M174" s="143" t="n"/>
      <c r="N174" s="143" t="n"/>
      <c r="O174" s="143" t="n"/>
      <c r="P174" s="143" t="n"/>
      <c r="Q174" s="143" t="n"/>
      <c r="R174" s="143" t="n"/>
      <c r="S174" s="143" t="n"/>
      <c r="T174" s="143" t="n"/>
      <c r="U174" s="143" t="n"/>
      <c r="V174" s="143" t="n"/>
      <c r="W174" s="143" t="n"/>
      <c r="X174" s="143" t="n"/>
      <c r="Y174" s="143" t="n"/>
      <c r="Z174" s="143" t="n"/>
    </row>
    <row r="175" ht="19.5" customHeight="1" s="398">
      <c r="A175" s="149" t="n"/>
      <c r="B175" s="143" t="n"/>
      <c r="C175" s="143" t="n"/>
      <c r="D175" s="143" t="n"/>
      <c r="E175" s="143" t="n"/>
      <c r="F175" s="143" t="n"/>
      <c r="G175" s="143" t="n"/>
      <c r="H175" s="143" t="n"/>
      <c r="I175" s="143" t="n"/>
      <c r="J175" s="143" t="n"/>
      <c r="K175" s="143" t="n"/>
      <c r="L175" s="143" t="n"/>
      <c r="M175" s="143" t="n"/>
      <c r="N175" s="143" t="n"/>
      <c r="O175" s="143" t="n"/>
      <c r="P175" s="143" t="n"/>
      <c r="Q175" s="143" t="n"/>
      <c r="R175" s="143" t="n"/>
      <c r="S175" s="143" t="n"/>
      <c r="T175" s="143" t="n"/>
      <c r="U175" s="143" t="n"/>
      <c r="V175" s="143" t="n"/>
      <c r="W175" s="143" t="n"/>
      <c r="X175" s="143" t="n"/>
      <c r="Y175" s="143" t="n"/>
      <c r="Z175" s="143" t="n"/>
    </row>
    <row r="176" ht="19.5" customHeight="1" s="398">
      <c r="A176" s="149" t="n"/>
      <c r="B176" s="143" t="n"/>
      <c r="C176" s="143" t="n"/>
      <c r="D176" s="143" t="n"/>
      <c r="E176" s="143" t="n"/>
      <c r="F176" s="143" t="n"/>
      <c r="G176" s="143" t="n"/>
      <c r="H176" s="143" t="n"/>
      <c r="I176" s="143" t="n"/>
      <c r="J176" s="143" t="n"/>
      <c r="K176" s="143" t="n"/>
      <c r="L176" s="143" t="n"/>
      <c r="M176" s="143" t="n"/>
      <c r="N176" s="143" t="n"/>
      <c r="O176" s="143" t="n"/>
      <c r="P176" s="143" t="n"/>
      <c r="Q176" s="143" t="n"/>
      <c r="R176" s="143" t="n"/>
      <c r="S176" s="143" t="n"/>
      <c r="T176" s="143" t="n"/>
      <c r="U176" s="143" t="n"/>
      <c r="V176" s="143" t="n"/>
      <c r="W176" s="143" t="n"/>
      <c r="X176" s="143" t="n"/>
      <c r="Y176" s="143" t="n"/>
      <c r="Z176" s="143" t="n"/>
    </row>
    <row r="177" ht="19.5" customHeight="1" s="398">
      <c r="A177" s="149" t="n"/>
      <c r="B177" s="143" t="n"/>
      <c r="C177" s="143" t="n"/>
      <c r="D177" s="143" t="n"/>
      <c r="E177" s="143" t="n"/>
      <c r="F177" s="143" t="n"/>
      <c r="G177" s="143" t="n"/>
      <c r="H177" s="143" t="n"/>
      <c r="I177" s="143" t="n"/>
      <c r="J177" s="143" t="n"/>
      <c r="K177" s="143" t="n"/>
      <c r="L177" s="143" t="n"/>
      <c r="M177" s="143" t="n"/>
      <c r="N177" s="143" t="n"/>
      <c r="O177" s="143" t="n"/>
      <c r="P177" s="143" t="n"/>
      <c r="Q177" s="143" t="n"/>
      <c r="R177" s="143" t="n"/>
      <c r="S177" s="143" t="n"/>
      <c r="T177" s="143" t="n"/>
      <c r="U177" s="143" t="n"/>
      <c r="V177" s="143" t="n"/>
      <c r="W177" s="143" t="n"/>
      <c r="X177" s="143" t="n"/>
      <c r="Y177" s="143" t="n"/>
      <c r="Z177" s="143" t="n"/>
    </row>
    <row r="178" ht="19.5" customHeight="1" s="398">
      <c r="A178" s="149" t="n"/>
      <c r="B178" s="143" t="n"/>
      <c r="C178" s="143" t="n"/>
      <c r="D178" s="143" t="n"/>
      <c r="E178" s="143" t="n"/>
      <c r="F178" s="143" t="n"/>
      <c r="G178" s="143" t="n"/>
      <c r="H178" s="143" t="n"/>
      <c r="I178" s="143" t="n"/>
      <c r="J178" s="143" t="n"/>
      <c r="K178" s="143" t="n"/>
      <c r="L178" s="143" t="n"/>
      <c r="M178" s="143" t="n"/>
      <c r="N178" s="143" t="n"/>
      <c r="O178" s="143" t="n"/>
      <c r="P178" s="143" t="n"/>
      <c r="Q178" s="143" t="n"/>
      <c r="R178" s="143" t="n"/>
      <c r="S178" s="143" t="n"/>
      <c r="T178" s="143" t="n"/>
      <c r="U178" s="143" t="n"/>
      <c r="V178" s="143" t="n"/>
      <c r="W178" s="143" t="n"/>
      <c r="X178" s="143" t="n"/>
      <c r="Y178" s="143" t="n"/>
      <c r="Z178" s="143" t="n"/>
    </row>
    <row r="179" ht="19.5" customHeight="1" s="398">
      <c r="A179" s="149" t="n"/>
      <c r="B179" s="143" t="n"/>
      <c r="C179" s="143" t="n"/>
      <c r="D179" s="143" t="n"/>
      <c r="E179" s="143" t="n"/>
      <c r="F179" s="143" t="n"/>
      <c r="G179" s="143" t="n"/>
      <c r="H179" s="143" t="n"/>
      <c r="I179" s="143" t="n"/>
      <c r="J179" s="143" t="n"/>
      <c r="K179" s="143" t="n"/>
      <c r="L179" s="143" t="n"/>
      <c r="M179" s="143" t="n"/>
      <c r="N179" s="143" t="n"/>
      <c r="O179" s="143" t="n"/>
      <c r="P179" s="143" t="n"/>
      <c r="Q179" s="143" t="n"/>
      <c r="R179" s="143" t="n"/>
      <c r="S179" s="143" t="n"/>
      <c r="T179" s="143" t="n"/>
      <c r="U179" s="143" t="n"/>
      <c r="V179" s="143" t="n"/>
      <c r="W179" s="143" t="n"/>
      <c r="X179" s="143" t="n"/>
      <c r="Y179" s="143" t="n"/>
      <c r="Z179" s="143" t="n"/>
    </row>
    <row r="180" ht="19.5" customHeight="1" s="398">
      <c r="A180" s="149" t="n"/>
      <c r="B180" s="143" t="n"/>
      <c r="C180" s="143" t="n"/>
      <c r="D180" s="143" t="n"/>
      <c r="E180" s="143" t="n"/>
      <c r="F180" s="143" t="n"/>
      <c r="G180" s="143" t="n"/>
      <c r="H180" s="143" t="n"/>
      <c r="I180" s="143" t="n"/>
      <c r="J180" s="143" t="n"/>
      <c r="K180" s="143" t="n"/>
      <c r="L180" s="143" t="n"/>
      <c r="M180" s="143" t="n"/>
      <c r="N180" s="143" t="n"/>
      <c r="O180" s="143" t="n"/>
      <c r="P180" s="143" t="n"/>
      <c r="Q180" s="143" t="n"/>
      <c r="R180" s="143" t="n"/>
      <c r="S180" s="143" t="n"/>
      <c r="T180" s="143" t="n"/>
      <c r="U180" s="143" t="n"/>
      <c r="V180" s="143" t="n"/>
      <c r="W180" s="143" t="n"/>
      <c r="X180" s="143" t="n"/>
      <c r="Y180" s="143" t="n"/>
      <c r="Z180" s="143" t="n"/>
    </row>
    <row r="181" ht="19.5" customHeight="1" s="398">
      <c r="A181" s="149" t="n"/>
      <c r="B181" s="143" t="n"/>
      <c r="C181" s="143" t="n"/>
      <c r="D181" s="143" t="n"/>
      <c r="E181" s="143" t="n"/>
      <c r="F181" s="143" t="n"/>
      <c r="G181" s="143" t="n"/>
      <c r="H181" s="143" t="n"/>
      <c r="I181" s="143" t="n"/>
      <c r="J181" s="143" t="n"/>
      <c r="K181" s="143" t="n"/>
      <c r="L181" s="143" t="n"/>
      <c r="M181" s="143" t="n"/>
      <c r="N181" s="143" t="n"/>
      <c r="O181" s="143" t="n"/>
      <c r="P181" s="143" t="n"/>
      <c r="Q181" s="143" t="n"/>
      <c r="R181" s="143" t="n"/>
      <c r="S181" s="143" t="n"/>
      <c r="T181" s="143" t="n"/>
      <c r="U181" s="143" t="n"/>
      <c r="V181" s="143" t="n"/>
      <c r="W181" s="143" t="n"/>
      <c r="X181" s="143" t="n"/>
      <c r="Y181" s="143" t="n"/>
      <c r="Z181" s="143" t="n"/>
    </row>
    <row r="182" ht="19.5" customHeight="1" s="398">
      <c r="A182" s="149" t="n"/>
      <c r="B182" s="143" t="n"/>
      <c r="C182" s="143" t="n"/>
      <c r="D182" s="143" t="n"/>
      <c r="E182" s="143" t="n"/>
      <c r="F182" s="143" t="n"/>
      <c r="G182" s="143" t="n"/>
      <c r="H182" s="143" t="n"/>
      <c r="I182" s="143" t="n"/>
      <c r="J182" s="143" t="n"/>
      <c r="K182" s="143" t="n"/>
      <c r="L182" s="143" t="n"/>
      <c r="M182" s="143" t="n"/>
      <c r="N182" s="143" t="n"/>
      <c r="O182" s="143" t="n"/>
      <c r="P182" s="143" t="n"/>
      <c r="Q182" s="143" t="n"/>
      <c r="R182" s="143" t="n"/>
      <c r="S182" s="143" t="n"/>
      <c r="T182" s="143" t="n"/>
      <c r="U182" s="143" t="n"/>
      <c r="V182" s="143" t="n"/>
      <c r="W182" s="143" t="n"/>
      <c r="X182" s="143" t="n"/>
      <c r="Y182" s="143" t="n"/>
      <c r="Z182" s="143" t="n"/>
    </row>
    <row r="183" ht="19.5" customHeight="1" s="398">
      <c r="A183" s="149" t="n"/>
      <c r="B183" s="143" t="n"/>
      <c r="C183" s="143" t="n"/>
      <c r="D183" s="143" t="n"/>
      <c r="E183" s="143" t="n"/>
      <c r="F183" s="143" t="n"/>
      <c r="G183" s="143" t="n"/>
      <c r="H183" s="143" t="n"/>
      <c r="I183" s="143" t="n"/>
      <c r="J183" s="143" t="n"/>
      <c r="K183" s="143" t="n"/>
      <c r="L183" s="143" t="n"/>
      <c r="M183" s="143" t="n"/>
      <c r="N183" s="143" t="n"/>
      <c r="O183" s="143" t="n"/>
      <c r="P183" s="143" t="n"/>
      <c r="Q183" s="143" t="n"/>
      <c r="R183" s="143" t="n"/>
      <c r="S183" s="143" t="n"/>
      <c r="T183" s="143" t="n"/>
      <c r="U183" s="143" t="n"/>
      <c r="V183" s="143" t="n"/>
      <c r="W183" s="143" t="n"/>
      <c r="X183" s="143" t="n"/>
      <c r="Y183" s="143" t="n"/>
      <c r="Z183" s="143" t="n"/>
    </row>
    <row r="184" ht="19.5" customHeight="1" s="398">
      <c r="A184" s="149" t="n"/>
      <c r="B184" s="143" t="n"/>
      <c r="C184" s="143" t="n"/>
      <c r="D184" s="143" t="n"/>
      <c r="E184" s="143" t="n"/>
      <c r="F184" s="143" t="n"/>
      <c r="G184" s="143" t="n"/>
      <c r="H184" s="143" t="n"/>
      <c r="I184" s="143" t="n"/>
      <c r="J184" s="143" t="n"/>
      <c r="K184" s="143" t="n"/>
      <c r="L184" s="143" t="n"/>
      <c r="M184" s="143" t="n"/>
      <c r="N184" s="143" t="n"/>
      <c r="O184" s="143" t="n"/>
      <c r="P184" s="143" t="n"/>
      <c r="Q184" s="143" t="n"/>
      <c r="R184" s="143" t="n"/>
      <c r="S184" s="143" t="n"/>
      <c r="T184" s="143" t="n"/>
      <c r="U184" s="143" t="n"/>
      <c r="V184" s="143" t="n"/>
      <c r="W184" s="143" t="n"/>
      <c r="X184" s="143" t="n"/>
      <c r="Y184" s="143" t="n"/>
      <c r="Z184" s="143" t="n"/>
    </row>
    <row r="185" ht="19.5" customHeight="1" s="398">
      <c r="A185" s="149" t="n"/>
      <c r="B185" s="143" t="n"/>
      <c r="C185" s="143" t="n"/>
      <c r="D185" s="143" t="n"/>
      <c r="E185" s="143" t="n"/>
      <c r="F185" s="143" t="n"/>
      <c r="G185" s="143" t="n"/>
      <c r="H185" s="143" t="n"/>
      <c r="I185" s="143" t="n"/>
      <c r="J185" s="143" t="n"/>
      <c r="K185" s="143" t="n"/>
      <c r="L185" s="143" t="n"/>
      <c r="M185" s="143" t="n"/>
      <c r="N185" s="143" t="n"/>
      <c r="O185" s="143" t="n"/>
      <c r="P185" s="143" t="n"/>
      <c r="Q185" s="143" t="n"/>
      <c r="R185" s="143" t="n"/>
      <c r="S185" s="143" t="n"/>
      <c r="T185" s="143" t="n"/>
      <c r="U185" s="143" t="n"/>
      <c r="V185" s="143" t="n"/>
      <c r="W185" s="143" t="n"/>
      <c r="X185" s="143" t="n"/>
      <c r="Y185" s="143" t="n"/>
      <c r="Z185" s="143" t="n"/>
    </row>
    <row r="186" ht="19.5" customHeight="1" s="398">
      <c r="A186" s="149" t="n"/>
      <c r="B186" s="143" t="n"/>
      <c r="C186" s="143" t="n"/>
      <c r="D186" s="143" t="n"/>
      <c r="E186" s="143" t="n"/>
      <c r="F186" s="143" t="n"/>
      <c r="G186" s="143" t="n"/>
      <c r="H186" s="143" t="n"/>
      <c r="I186" s="143" t="n"/>
      <c r="J186" s="143" t="n"/>
      <c r="K186" s="143" t="n"/>
      <c r="L186" s="143" t="n"/>
      <c r="M186" s="143" t="n"/>
      <c r="N186" s="143" t="n"/>
      <c r="O186" s="143" t="n"/>
      <c r="P186" s="143" t="n"/>
      <c r="Q186" s="143" t="n"/>
      <c r="R186" s="143" t="n"/>
      <c r="S186" s="143" t="n"/>
      <c r="T186" s="143" t="n"/>
      <c r="U186" s="143" t="n"/>
      <c r="V186" s="143" t="n"/>
      <c r="W186" s="143" t="n"/>
      <c r="X186" s="143" t="n"/>
      <c r="Y186" s="143" t="n"/>
      <c r="Z186" s="143" t="n"/>
    </row>
    <row r="187" ht="19.5" customHeight="1" s="398">
      <c r="A187" s="149" t="n"/>
      <c r="B187" s="143" t="n"/>
      <c r="C187" s="143" t="n"/>
      <c r="D187" s="143" t="n"/>
      <c r="E187" s="143" t="n"/>
      <c r="F187" s="143" t="n"/>
      <c r="G187" s="143" t="n"/>
      <c r="H187" s="143" t="n"/>
      <c r="I187" s="143" t="n"/>
      <c r="J187" s="143" t="n"/>
      <c r="K187" s="143" t="n"/>
      <c r="L187" s="143" t="n"/>
      <c r="M187" s="143" t="n"/>
      <c r="N187" s="143" t="n"/>
      <c r="O187" s="143" t="n"/>
      <c r="P187" s="143" t="n"/>
      <c r="Q187" s="143" t="n"/>
      <c r="R187" s="143" t="n"/>
      <c r="S187" s="143" t="n"/>
      <c r="T187" s="143" t="n"/>
      <c r="U187" s="143" t="n"/>
      <c r="V187" s="143" t="n"/>
      <c r="W187" s="143" t="n"/>
      <c r="X187" s="143" t="n"/>
      <c r="Y187" s="143" t="n"/>
      <c r="Z187" s="143" t="n"/>
    </row>
    <row r="188" ht="19.5" customHeight="1" s="398">
      <c r="A188" s="149" t="n"/>
      <c r="B188" s="143" t="n"/>
      <c r="C188" s="143" t="n"/>
      <c r="D188" s="143" t="n"/>
      <c r="E188" s="143" t="n"/>
      <c r="F188" s="143" t="n"/>
      <c r="G188" s="143" t="n"/>
      <c r="H188" s="143" t="n"/>
      <c r="I188" s="143" t="n"/>
      <c r="J188" s="143" t="n"/>
      <c r="K188" s="143" t="n"/>
      <c r="L188" s="143" t="n"/>
      <c r="M188" s="143" t="n"/>
      <c r="N188" s="143" t="n"/>
      <c r="O188" s="143" t="n"/>
      <c r="P188" s="143" t="n"/>
      <c r="Q188" s="143" t="n"/>
      <c r="R188" s="143" t="n"/>
      <c r="S188" s="143" t="n"/>
      <c r="T188" s="143" t="n"/>
      <c r="U188" s="143" t="n"/>
      <c r="V188" s="143" t="n"/>
      <c r="W188" s="143" t="n"/>
      <c r="X188" s="143" t="n"/>
      <c r="Y188" s="143" t="n"/>
      <c r="Z188" s="143" t="n"/>
    </row>
    <row r="189" ht="19.5" customHeight="1" s="398">
      <c r="A189" s="149" t="n"/>
      <c r="B189" s="143" t="n"/>
      <c r="C189" s="143" t="n"/>
      <c r="D189" s="143" t="n"/>
      <c r="E189" s="143" t="n"/>
      <c r="F189" s="143" t="n"/>
      <c r="G189" s="143" t="n"/>
      <c r="H189" s="143" t="n"/>
      <c r="I189" s="143" t="n"/>
      <c r="J189" s="143" t="n"/>
      <c r="K189" s="143" t="n"/>
      <c r="L189" s="143" t="n"/>
      <c r="M189" s="143" t="n"/>
      <c r="N189" s="143" t="n"/>
      <c r="O189" s="143" t="n"/>
      <c r="P189" s="143" t="n"/>
      <c r="Q189" s="143" t="n"/>
      <c r="R189" s="143" t="n"/>
      <c r="S189" s="143" t="n"/>
      <c r="T189" s="143" t="n"/>
      <c r="U189" s="143" t="n"/>
      <c r="V189" s="143" t="n"/>
      <c r="W189" s="143" t="n"/>
      <c r="X189" s="143" t="n"/>
      <c r="Y189" s="143" t="n"/>
      <c r="Z189" s="143" t="n"/>
    </row>
    <row r="190" ht="19.5" customHeight="1" s="398">
      <c r="A190" s="149" t="n"/>
      <c r="B190" s="143" t="n"/>
      <c r="C190" s="143" t="n"/>
      <c r="D190" s="143" t="n"/>
      <c r="E190" s="143" t="n"/>
      <c r="F190" s="143" t="n"/>
      <c r="G190" s="143" t="n"/>
      <c r="H190" s="143" t="n"/>
      <c r="I190" s="143" t="n"/>
      <c r="J190" s="143" t="n"/>
      <c r="K190" s="143" t="n"/>
      <c r="L190" s="143" t="n"/>
      <c r="M190" s="143" t="n"/>
      <c r="N190" s="143" t="n"/>
      <c r="O190" s="143" t="n"/>
      <c r="P190" s="143" t="n"/>
      <c r="Q190" s="143" t="n"/>
      <c r="R190" s="143" t="n"/>
      <c r="S190" s="143" t="n"/>
      <c r="T190" s="143" t="n"/>
      <c r="U190" s="143" t="n"/>
      <c r="V190" s="143" t="n"/>
      <c r="W190" s="143" t="n"/>
      <c r="X190" s="143" t="n"/>
      <c r="Y190" s="143" t="n"/>
      <c r="Z190" s="143" t="n"/>
    </row>
    <row r="191" ht="19.5" customHeight="1" s="398">
      <c r="A191" s="149" t="n"/>
      <c r="B191" s="143" t="n"/>
      <c r="C191" s="143" t="n"/>
      <c r="D191" s="143" t="n"/>
      <c r="E191" s="143" t="n"/>
      <c r="F191" s="143" t="n"/>
      <c r="G191" s="143" t="n"/>
      <c r="H191" s="143" t="n"/>
      <c r="I191" s="143" t="n"/>
      <c r="J191" s="143" t="n"/>
      <c r="K191" s="143" t="n"/>
      <c r="L191" s="143" t="n"/>
      <c r="M191" s="143" t="n"/>
      <c r="N191" s="143" t="n"/>
      <c r="O191" s="143" t="n"/>
      <c r="P191" s="143" t="n"/>
      <c r="Q191" s="143" t="n"/>
      <c r="R191" s="143" t="n"/>
      <c r="S191" s="143" t="n"/>
      <c r="T191" s="143" t="n"/>
      <c r="U191" s="143" t="n"/>
      <c r="V191" s="143" t="n"/>
      <c r="W191" s="143" t="n"/>
      <c r="X191" s="143" t="n"/>
      <c r="Y191" s="143" t="n"/>
      <c r="Z191" s="143" t="n"/>
    </row>
    <row r="192" ht="19.5" customHeight="1" s="398">
      <c r="A192" s="149" t="n"/>
      <c r="B192" s="143" t="n"/>
      <c r="C192" s="143" t="n"/>
      <c r="D192" s="143" t="n"/>
      <c r="E192" s="143" t="n"/>
      <c r="F192" s="143" t="n"/>
      <c r="G192" s="143" t="n"/>
      <c r="H192" s="143" t="n"/>
      <c r="I192" s="143" t="n"/>
      <c r="J192" s="143" t="n"/>
      <c r="K192" s="143" t="n"/>
      <c r="L192" s="143" t="n"/>
      <c r="M192" s="143" t="n"/>
      <c r="N192" s="143" t="n"/>
      <c r="O192" s="143" t="n"/>
      <c r="P192" s="143" t="n"/>
      <c r="Q192" s="143" t="n"/>
      <c r="R192" s="143" t="n"/>
      <c r="S192" s="143" t="n"/>
      <c r="T192" s="143" t="n"/>
      <c r="U192" s="143" t="n"/>
      <c r="V192" s="143" t="n"/>
      <c r="W192" s="143" t="n"/>
      <c r="X192" s="143" t="n"/>
      <c r="Y192" s="143" t="n"/>
      <c r="Z192" s="143" t="n"/>
    </row>
    <row r="193" ht="19.5" customHeight="1" s="398">
      <c r="A193" s="149" t="n"/>
      <c r="B193" s="143" t="n"/>
      <c r="C193" s="143" t="n"/>
      <c r="D193" s="143" t="n"/>
      <c r="E193" s="143" t="n"/>
      <c r="F193" s="143" t="n"/>
      <c r="G193" s="143" t="n"/>
      <c r="H193" s="143" t="n"/>
      <c r="I193" s="143" t="n"/>
      <c r="J193" s="143" t="n"/>
      <c r="K193" s="143" t="n"/>
      <c r="L193" s="143" t="n"/>
      <c r="M193" s="143" t="n"/>
      <c r="N193" s="143" t="n"/>
      <c r="O193" s="143" t="n"/>
      <c r="P193" s="143" t="n"/>
      <c r="Q193" s="143" t="n"/>
      <c r="R193" s="143" t="n"/>
      <c r="S193" s="143" t="n"/>
      <c r="T193" s="143" t="n"/>
      <c r="U193" s="143" t="n"/>
      <c r="V193" s="143" t="n"/>
      <c r="W193" s="143" t="n"/>
      <c r="X193" s="143" t="n"/>
      <c r="Y193" s="143" t="n"/>
      <c r="Z193" s="143" t="n"/>
    </row>
    <row r="194" ht="19.5" customHeight="1" s="398">
      <c r="A194" s="149" t="n"/>
      <c r="B194" s="143" t="n"/>
      <c r="C194" s="143" t="n"/>
      <c r="D194" s="143" t="n"/>
      <c r="E194" s="143" t="n"/>
      <c r="F194" s="143" t="n"/>
      <c r="G194" s="143" t="n"/>
      <c r="H194" s="143" t="n"/>
      <c r="I194" s="143" t="n"/>
      <c r="J194" s="143" t="n"/>
      <c r="K194" s="143" t="n"/>
      <c r="L194" s="143" t="n"/>
      <c r="M194" s="143" t="n"/>
      <c r="N194" s="143" t="n"/>
      <c r="O194" s="143" t="n"/>
      <c r="P194" s="143" t="n"/>
      <c r="Q194" s="143" t="n"/>
      <c r="R194" s="143" t="n"/>
      <c r="S194" s="143" t="n"/>
      <c r="T194" s="143" t="n"/>
      <c r="U194" s="143" t="n"/>
      <c r="V194" s="143" t="n"/>
      <c r="W194" s="143" t="n"/>
      <c r="X194" s="143" t="n"/>
      <c r="Y194" s="143" t="n"/>
      <c r="Z194" s="143" t="n"/>
    </row>
    <row r="195" ht="19.5" customHeight="1" s="398">
      <c r="A195" s="149" t="n"/>
      <c r="B195" s="143" t="n"/>
      <c r="C195" s="143" t="n"/>
      <c r="D195" s="143" t="n"/>
      <c r="E195" s="143" t="n"/>
      <c r="F195" s="143" t="n"/>
      <c r="G195" s="143" t="n"/>
      <c r="H195" s="143" t="n"/>
      <c r="I195" s="143" t="n"/>
      <c r="J195" s="143" t="n"/>
      <c r="K195" s="143" t="n"/>
      <c r="L195" s="143" t="n"/>
      <c r="M195" s="143" t="n"/>
      <c r="N195" s="143" t="n"/>
      <c r="O195" s="143" t="n"/>
      <c r="P195" s="143" t="n"/>
      <c r="Q195" s="143" t="n"/>
      <c r="R195" s="143" t="n"/>
      <c r="S195" s="143" t="n"/>
      <c r="T195" s="143" t="n"/>
      <c r="U195" s="143" t="n"/>
      <c r="V195" s="143" t="n"/>
      <c r="W195" s="143" t="n"/>
      <c r="X195" s="143" t="n"/>
      <c r="Y195" s="143" t="n"/>
      <c r="Z195" s="143" t="n"/>
    </row>
    <row r="196" ht="19.5" customHeight="1" s="398">
      <c r="A196" s="149" t="n"/>
      <c r="B196" s="143" t="n"/>
      <c r="C196" s="143" t="n"/>
      <c r="D196" s="143" t="n"/>
      <c r="E196" s="143" t="n"/>
      <c r="F196" s="143" t="n"/>
      <c r="G196" s="143" t="n"/>
      <c r="H196" s="143" t="n"/>
      <c r="I196" s="143" t="n"/>
      <c r="J196" s="143" t="n"/>
      <c r="K196" s="143" t="n"/>
      <c r="L196" s="143" t="n"/>
      <c r="M196" s="143" t="n"/>
      <c r="N196" s="143" t="n"/>
      <c r="O196" s="143" t="n"/>
      <c r="P196" s="143" t="n"/>
      <c r="Q196" s="143" t="n"/>
      <c r="R196" s="143" t="n"/>
      <c r="S196" s="143" t="n"/>
      <c r="T196" s="143" t="n"/>
      <c r="U196" s="143" t="n"/>
      <c r="V196" s="143" t="n"/>
      <c r="W196" s="143" t="n"/>
      <c r="X196" s="143" t="n"/>
      <c r="Y196" s="143" t="n"/>
      <c r="Z196" s="143" t="n"/>
    </row>
    <row r="197" ht="19.5" customHeight="1" s="398">
      <c r="A197" s="149" t="n"/>
      <c r="B197" s="143" t="n"/>
      <c r="C197" s="143" t="n"/>
      <c r="D197" s="143" t="n"/>
      <c r="E197" s="143" t="n"/>
      <c r="F197" s="143" t="n"/>
      <c r="G197" s="143" t="n"/>
      <c r="H197" s="143" t="n"/>
      <c r="I197" s="143" t="n"/>
      <c r="J197" s="143" t="n"/>
      <c r="K197" s="143" t="n"/>
      <c r="L197" s="143" t="n"/>
      <c r="M197" s="143" t="n"/>
      <c r="N197" s="143" t="n"/>
      <c r="O197" s="143" t="n"/>
      <c r="P197" s="143" t="n"/>
      <c r="Q197" s="143" t="n"/>
      <c r="R197" s="143" t="n"/>
      <c r="S197" s="143" t="n"/>
      <c r="T197" s="143" t="n"/>
      <c r="U197" s="143" t="n"/>
      <c r="V197" s="143" t="n"/>
      <c r="W197" s="143" t="n"/>
      <c r="X197" s="143" t="n"/>
      <c r="Y197" s="143" t="n"/>
      <c r="Z197" s="143" t="n"/>
    </row>
    <row r="198" ht="19.5" customHeight="1" s="398">
      <c r="A198" s="149" t="n"/>
      <c r="B198" s="143" t="n"/>
      <c r="C198" s="143" t="n"/>
      <c r="D198" s="143" t="n"/>
      <c r="E198" s="143" t="n"/>
      <c r="F198" s="143" t="n"/>
      <c r="G198" s="143" t="n"/>
      <c r="H198" s="143" t="n"/>
      <c r="I198" s="143" t="n"/>
      <c r="J198" s="143" t="n"/>
      <c r="K198" s="143" t="n"/>
      <c r="L198" s="143" t="n"/>
      <c r="M198" s="143" t="n"/>
      <c r="N198" s="143" t="n"/>
      <c r="O198" s="143" t="n"/>
      <c r="P198" s="143" t="n"/>
      <c r="Q198" s="143" t="n"/>
      <c r="R198" s="143" t="n"/>
      <c r="S198" s="143" t="n"/>
      <c r="T198" s="143" t="n"/>
      <c r="U198" s="143" t="n"/>
      <c r="V198" s="143" t="n"/>
      <c r="W198" s="143" t="n"/>
      <c r="X198" s="143" t="n"/>
      <c r="Y198" s="143" t="n"/>
      <c r="Z198" s="143" t="n"/>
    </row>
    <row r="199" ht="19.5" customHeight="1" s="398">
      <c r="A199" s="149" t="n"/>
      <c r="B199" s="143" t="n"/>
      <c r="C199" s="143" t="n"/>
      <c r="D199" s="143" t="n"/>
      <c r="E199" s="143" t="n"/>
      <c r="F199" s="143" t="n"/>
      <c r="G199" s="143" t="n"/>
      <c r="H199" s="143" t="n"/>
      <c r="I199" s="143" t="n"/>
      <c r="J199" s="143" t="n"/>
      <c r="K199" s="143" t="n"/>
      <c r="L199" s="143" t="n"/>
      <c r="M199" s="143" t="n"/>
      <c r="N199" s="143" t="n"/>
      <c r="O199" s="143" t="n"/>
      <c r="P199" s="143" t="n"/>
      <c r="Q199" s="143" t="n"/>
      <c r="R199" s="143" t="n"/>
      <c r="S199" s="143" t="n"/>
      <c r="T199" s="143" t="n"/>
      <c r="U199" s="143" t="n"/>
      <c r="V199" s="143" t="n"/>
      <c r="W199" s="143" t="n"/>
      <c r="X199" s="143" t="n"/>
      <c r="Y199" s="143" t="n"/>
      <c r="Z199" s="143" t="n"/>
    </row>
    <row r="200" ht="19.5" customHeight="1" s="398">
      <c r="A200" s="149" t="n"/>
      <c r="B200" s="143" t="n"/>
      <c r="C200" s="143" t="n"/>
      <c r="D200" s="143" t="n"/>
      <c r="E200" s="143" t="n"/>
      <c r="F200" s="143" t="n"/>
      <c r="G200" s="143" t="n"/>
      <c r="H200" s="143" t="n"/>
      <c r="I200" s="143" t="n"/>
      <c r="J200" s="143" t="n"/>
      <c r="K200" s="143" t="n"/>
      <c r="L200" s="143" t="n"/>
      <c r="M200" s="143" t="n"/>
      <c r="N200" s="143" t="n"/>
      <c r="O200" s="143" t="n"/>
      <c r="P200" s="143" t="n"/>
      <c r="Q200" s="143" t="n"/>
      <c r="R200" s="143" t="n"/>
      <c r="S200" s="143" t="n"/>
      <c r="T200" s="143" t="n"/>
      <c r="U200" s="143" t="n"/>
      <c r="V200" s="143" t="n"/>
      <c r="W200" s="143" t="n"/>
      <c r="X200" s="143" t="n"/>
      <c r="Y200" s="143" t="n"/>
      <c r="Z200" s="143" t="n"/>
    </row>
    <row r="201" ht="19.5" customHeight="1" s="398">
      <c r="A201" s="149" t="n"/>
      <c r="B201" s="143" t="n"/>
      <c r="C201" s="143" t="n"/>
      <c r="D201" s="143" t="n"/>
      <c r="E201" s="143" t="n"/>
      <c r="F201" s="143" t="n"/>
      <c r="G201" s="143" t="n"/>
      <c r="H201" s="143" t="n"/>
      <c r="I201" s="143" t="n"/>
      <c r="J201" s="143" t="n"/>
      <c r="K201" s="143" t="n"/>
      <c r="L201" s="143" t="n"/>
      <c r="M201" s="143" t="n"/>
      <c r="N201" s="143" t="n"/>
      <c r="O201" s="143" t="n"/>
      <c r="P201" s="143" t="n"/>
      <c r="Q201" s="143" t="n"/>
      <c r="R201" s="143" t="n"/>
      <c r="S201" s="143" t="n"/>
      <c r="T201" s="143" t="n"/>
      <c r="U201" s="143" t="n"/>
      <c r="V201" s="143" t="n"/>
      <c r="W201" s="143" t="n"/>
      <c r="X201" s="143" t="n"/>
      <c r="Y201" s="143" t="n"/>
      <c r="Z201" s="143" t="n"/>
    </row>
    <row r="202" ht="19.5" customHeight="1" s="398">
      <c r="A202" s="149" t="n"/>
      <c r="B202" s="143" t="n"/>
      <c r="C202" s="143" t="n"/>
      <c r="D202" s="143" t="n"/>
      <c r="E202" s="143" t="n"/>
      <c r="F202" s="143" t="n"/>
      <c r="G202" s="143" t="n"/>
      <c r="H202" s="143" t="n"/>
      <c r="I202" s="143" t="n"/>
      <c r="J202" s="143" t="n"/>
      <c r="K202" s="143" t="n"/>
      <c r="L202" s="143" t="n"/>
      <c r="M202" s="143" t="n"/>
      <c r="N202" s="143" t="n"/>
      <c r="O202" s="143" t="n"/>
      <c r="P202" s="143" t="n"/>
      <c r="Q202" s="143" t="n"/>
      <c r="R202" s="143" t="n"/>
      <c r="S202" s="143" t="n"/>
      <c r="T202" s="143" t="n"/>
      <c r="U202" s="143" t="n"/>
      <c r="V202" s="143" t="n"/>
      <c r="W202" s="143" t="n"/>
      <c r="X202" s="143" t="n"/>
      <c r="Y202" s="143" t="n"/>
      <c r="Z202" s="143" t="n"/>
    </row>
    <row r="203" ht="19.5" customHeight="1" s="398">
      <c r="A203" s="149" t="n"/>
      <c r="B203" s="143" t="n"/>
      <c r="C203" s="143" t="n"/>
      <c r="D203" s="143" t="n"/>
      <c r="E203" s="143" t="n"/>
      <c r="F203" s="143" t="n"/>
      <c r="G203" s="143" t="n"/>
      <c r="H203" s="143" t="n"/>
      <c r="I203" s="143" t="n"/>
      <c r="J203" s="143" t="n"/>
      <c r="K203" s="143" t="n"/>
      <c r="L203" s="143" t="n"/>
      <c r="M203" s="143" t="n"/>
      <c r="N203" s="143" t="n"/>
      <c r="O203" s="143" t="n"/>
      <c r="P203" s="143" t="n"/>
      <c r="Q203" s="143" t="n"/>
      <c r="R203" s="143" t="n"/>
      <c r="S203" s="143" t="n"/>
      <c r="T203" s="143" t="n"/>
      <c r="U203" s="143" t="n"/>
      <c r="V203" s="143" t="n"/>
      <c r="W203" s="143" t="n"/>
      <c r="X203" s="143" t="n"/>
      <c r="Y203" s="143" t="n"/>
      <c r="Z203" s="143" t="n"/>
    </row>
    <row r="204" ht="19.5" customHeight="1" s="398">
      <c r="A204" s="149" t="n"/>
      <c r="B204" s="143" t="n"/>
      <c r="C204" s="143" t="n"/>
      <c r="D204" s="143" t="n"/>
      <c r="E204" s="143" t="n"/>
      <c r="F204" s="143" t="n"/>
      <c r="G204" s="143" t="n"/>
      <c r="H204" s="143" t="n"/>
      <c r="I204" s="143" t="n"/>
      <c r="J204" s="143" t="n"/>
      <c r="K204" s="143" t="n"/>
      <c r="L204" s="143" t="n"/>
      <c r="M204" s="143" t="n"/>
      <c r="N204" s="143" t="n"/>
      <c r="O204" s="143" t="n"/>
      <c r="P204" s="143" t="n"/>
      <c r="Q204" s="143" t="n"/>
      <c r="R204" s="143" t="n"/>
      <c r="S204" s="143" t="n"/>
      <c r="T204" s="143" t="n"/>
      <c r="U204" s="143" t="n"/>
      <c r="V204" s="143" t="n"/>
      <c r="W204" s="143" t="n"/>
      <c r="X204" s="143" t="n"/>
      <c r="Y204" s="143" t="n"/>
      <c r="Z204" s="143" t="n"/>
    </row>
    <row r="205" ht="19.5" customHeight="1" s="398">
      <c r="A205" s="149" t="n"/>
      <c r="B205" s="143" t="n"/>
      <c r="C205" s="143" t="n"/>
      <c r="D205" s="143" t="n"/>
      <c r="E205" s="143" t="n"/>
      <c r="F205" s="143" t="n"/>
      <c r="G205" s="143" t="n"/>
      <c r="H205" s="143" t="n"/>
      <c r="I205" s="143" t="n"/>
      <c r="J205" s="143" t="n"/>
      <c r="K205" s="143" t="n"/>
      <c r="L205" s="143" t="n"/>
      <c r="M205" s="143" t="n"/>
      <c r="N205" s="143" t="n"/>
      <c r="O205" s="143" t="n"/>
      <c r="P205" s="143" t="n"/>
      <c r="Q205" s="143" t="n"/>
      <c r="R205" s="143" t="n"/>
      <c r="S205" s="143" t="n"/>
      <c r="T205" s="143" t="n"/>
      <c r="U205" s="143" t="n"/>
      <c r="V205" s="143" t="n"/>
      <c r="W205" s="143" t="n"/>
      <c r="X205" s="143" t="n"/>
      <c r="Y205" s="143" t="n"/>
      <c r="Z205" s="143" t="n"/>
    </row>
    <row r="206" ht="19.5" customHeight="1" s="398">
      <c r="A206" s="149" t="n"/>
      <c r="B206" s="143" t="n"/>
      <c r="C206" s="143" t="n"/>
      <c r="D206" s="143" t="n"/>
      <c r="E206" s="143" t="n"/>
      <c r="F206" s="143" t="n"/>
      <c r="G206" s="143" t="n"/>
      <c r="H206" s="143" t="n"/>
      <c r="I206" s="143" t="n"/>
      <c r="J206" s="143" t="n"/>
      <c r="K206" s="143" t="n"/>
      <c r="L206" s="143" t="n"/>
      <c r="M206" s="143" t="n"/>
      <c r="N206" s="143" t="n"/>
      <c r="O206" s="143" t="n"/>
      <c r="P206" s="143" t="n"/>
      <c r="Q206" s="143" t="n"/>
      <c r="R206" s="143" t="n"/>
      <c r="S206" s="143" t="n"/>
      <c r="T206" s="143" t="n"/>
      <c r="U206" s="143" t="n"/>
      <c r="V206" s="143" t="n"/>
      <c r="W206" s="143" t="n"/>
      <c r="X206" s="143" t="n"/>
      <c r="Y206" s="143" t="n"/>
      <c r="Z206" s="143" t="n"/>
    </row>
    <row r="207" ht="19.5" customHeight="1" s="398">
      <c r="A207" s="149" t="n"/>
      <c r="B207" s="143" t="n"/>
      <c r="C207" s="143" t="n"/>
      <c r="D207" s="143" t="n"/>
      <c r="E207" s="143" t="n"/>
      <c r="F207" s="143" t="n"/>
      <c r="G207" s="143" t="n"/>
      <c r="H207" s="143" t="n"/>
      <c r="I207" s="143" t="n"/>
      <c r="J207" s="143" t="n"/>
      <c r="K207" s="143" t="n"/>
      <c r="L207" s="143" t="n"/>
      <c r="M207" s="143" t="n"/>
      <c r="N207" s="143" t="n"/>
      <c r="O207" s="143" t="n"/>
      <c r="P207" s="143" t="n"/>
      <c r="Q207" s="143" t="n"/>
      <c r="R207" s="143" t="n"/>
      <c r="S207" s="143" t="n"/>
      <c r="T207" s="143" t="n"/>
      <c r="U207" s="143" t="n"/>
      <c r="V207" s="143" t="n"/>
      <c r="W207" s="143" t="n"/>
      <c r="X207" s="143" t="n"/>
      <c r="Y207" s="143" t="n"/>
      <c r="Z207" s="143" t="n"/>
    </row>
    <row r="208" ht="19.5" customHeight="1" s="398">
      <c r="A208" s="149" t="n"/>
      <c r="B208" s="143" t="n"/>
      <c r="C208" s="143" t="n"/>
      <c r="D208" s="143" t="n"/>
      <c r="E208" s="143" t="n"/>
      <c r="F208" s="143" t="n"/>
      <c r="G208" s="143" t="n"/>
      <c r="H208" s="143" t="n"/>
      <c r="I208" s="143" t="n"/>
      <c r="J208" s="143" t="n"/>
      <c r="K208" s="143" t="n"/>
      <c r="L208" s="143" t="n"/>
      <c r="M208" s="143" t="n"/>
      <c r="N208" s="143" t="n"/>
      <c r="O208" s="143" t="n"/>
      <c r="P208" s="143" t="n"/>
      <c r="Q208" s="143" t="n"/>
      <c r="R208" s="143" t="n"/>
      <c r="S208" s="143" t="n"/>
      <c r="T208" s="143" t="n"/>
      <c r="U208" s="143" t="n"/>
      <c r="V208" s="143" t="n"/>
      <c r="W208" s="143" t="n"/>
      <c r="X208" s="143" t="n"/>
      <c r="Y208" s="143" t="n"/>
      <c r="Z208" s="143" t="n"/>
    </row>
    <row r="209" ht="19.5" customHeight="1" s="398">
      <c r="A209" s="149" t="n"/>
      <c r="B209" s="143" t="n"/>
      <c r="C209" s="143" t="n"/>
      <c r="D209" s="143" t="n"/>
      <c r="E209" s="143" t="n"/>
      <c r="F209" s="143" t="n"/>
      <c r="G209" s="143" t="n"/>
      <c r="H209" s="143" t="n"/>
      <c r="I209" s="143" t="n"/>
      <c r="J209" s="143" t="n"/>
      <c r="K209" s="143" t="n"/>
      <c r="L209" s="143" t="n"/>
      <c r="M209" s="143" t="n"/>
      <c r="N209" s="143" t="n"/>
      <c r="O209" s="143" t="n"/>
      <c r="P209" s="143" t="n"/>
      <c r="Q209" s="143" t="n"/>
      <c r="R209" s="143" t="n"/>
      <c r="S209" s="143" t="n"/>
      <c r="T209" s="143" t="n"/>
      <c r="U209" s="143" t="n"/>
      <c r="V209" s="143" t="n"/>
      <c r="W209" s="143" t="n"/>
      <c r="X209" s="143" t="n"/>
      <c r="Y209" s="143" t="n"/>
      <c r="Z209" s="143" t="n"/>
    </row>
    <row r="210" ht="19.5" customHeight="1" s="398">
      <c r="A210" s="149" t="n"/>
      <c r="B210" s="143" t="n"/>
      <c r="C210" s="143" t="n"/>
      <c r="D210" s="143" t="n"/>
      <c r="E210" s="143" t="n"/>
      <c r="F210" s="143" t="n"/>
      <c r="G210" s="143" t="n"/>
      <c r="H210" s="143" t="n"/>
      <c r="I210" s="143" t="n"/>
      <c r="J210" s="143" t="n"/>
      <c r="K210" s="143" t="n"/>
      <c r="L210" s="143" t="n"/>
      <c r="M210" s="143" t="n"/>
      <c r="N210" s="143" t="n"/>
      <c r="O210" s="143" t="n"/>
      <c r="P210" s="143" t="n"/>
      <c r="Q210" s="143" t="n"/>
      <c r="R210" s="143" t="n"/>
      <c r="S210" s="143" t="n"/>
      <c r="T210" s="143" t="n"/>
      <c r="U210" s="143" t="n"/>
      <c r="V210" s="143" t="n"/>
      <c r="W210" s="143" t="n"/>
      <c r="X210" s="143" t="n"/>
      <c r="Y210" s="143" t="n"/>
      <c r="Z210" s="143" t="n"/>
    </row>
    <row r="211" ht="19.5" customHeight="1" s="398">
      <c r="A211" s="149" t="n"/>
      <c r="B211" s="143" t="n"/>
      <c r="C211" s="143" t="n"/>
      <c r="D211" s="143" t="n"/>
      <c r="E211" s="143" t="n"/>
      <c r="F211" s="143" t="n"/>
      <c r="G211" s="143" t="n"/>
      <c r="H211" s="143" t="n"/>
      <c r="I211" s="143" t="n"/>
      <c r="J211" s="143" t="n"/>
      <c r="K211" s="143" t="n"/>
      <c r="L211" s="143" t="n"/>
      <c r="M211" s="143" t="n"/>
      <c r="N211" s="143" t="n"/>
      <c r="O211" s="143" t="n"/>
      <c r="P211" s="143" t="n"/>
      <c r="Q211" s="143" t="n"/>
      <c r="R211" s="143" t="n"/>
      <c r="S211" s="143" t="n"/>
      <c r="T211" s="143" t="n"/>
      <c r="U211" s="143" t="n"/>
      <c r="V211" s="143" t="n"/>
      <c r="W211" s="143" t="n"/>
      <c r="X211" s="143" t="n"/>
      <c r="Y211" s="143" t="n"/>
      <c r="Z211" s="143" t="n"/>
    </row>
    <row r="212" ht="19.5" customHeight="1" s="398">
      <c r="A212" s="149" t="n"/>
      <c r="B212" s="143" t="n"/>
      <c r="C212" s="143" t="n"/>
      <c r="D212" s="143" t="n"/>
      <c r="E212" s="143" t="n"/>
      <c r="F212" s="143" t="n"/>
      <c r="G212" s="143" t="n"/>
      <c r="H212" s="143" t="n"/>
      <c r="I212" s="143" t="n"/>
      <c r="J212" s="143" t="n"/>
      <c r="K212" s="143" t="n"/>
      <c r="L212" s="143" t="n"/>
      <c r="M212" s="143" t="n"/>
      <c r="N212" s="143" t="n"/>
      <c r="O212" s="143" t="n"/>
      <c r="P212" s="143" t="n"/>
      <c r="Q212" s="143" t="n"/>
      <c r="R212" s="143" t="n"/>
      <c r="S212" s="143" t="n"/>
      <c r="T212" s="143" t="n"/>
      <c r="U212" s="143" t="n"/>
      <c r="V212" s="143" t="n"/>
      <c r="W212" s="143" t="n"/>
      <c r="X212" s="143" t="n"/>
      <c r="Y212" s="143" t="n"/>
      <c r="Z212" s="143" t="n"/>
    </row>
    <row r="213" ht="19.5" customHeight="1" s="398">
      <c r="A213" s="149" t="n"/>
      <c r="B213" s="143" t="n"/>
      <c r="C213" s="143" t="n"/>
      <c r="D213" s="143" t="n"/>
      <c r="E213" s="143" t="n"/>
      <c r="F213" s="143" t="n"/>
      <c r="G213" s="143" t="n"/>
      <c r="H213" s="143" t="n"/>
      <c r="I213" s="143" t="n"/>
      <c r="J213" s="143" t="n"/>
      <c r="K213" s="143" t="n"/>
      <c r="L213" s="143" t="n"/>
      <c r="M213" s="143" t="n"/>
      <c r="N213" s="143" t="n"/>
      <c r="O213" s="143" t="n"/>
      <c r="P213" s="143" t="n"/>
      <c r="Q213" s="143" t="n"/>
      <c r="R213" s="143" t="n"/>
      <c r="S213" s="143" t="n"/>
      <c r="T213" s="143" t="n"/>
      <c r="U213" s="143" t="n"/>
      <c r="V213" s="143" t="n"/>
      <c r="W213" s="143" t="n"/>
      <c r="X213" s="143" t="n"/>
      <c r="Y213" s="143" t="n"/>
      <c r="Z213" s="143" t="n"/>
    </row>
    <row r="214" ht="19.5" customHeight="1" s="398">
      <c r="A214" s="149" t="n"/>
      <c r="B214" s="143" t="n"/>
      <c r="C214" s="143" t="n"/>
      <c r="D214" s="143" t="n"/>
      <c r="E214" s="143" t="n"/>
      <c r="F214" s="143" t="n"/>
      <c r="G214" s="143" t="n"/>
      <c r="H214" s="143" t="n"/>
      <c r="I214" s="143" t="n"/>
      <c r="J214" s="143" t="n"/>
      <c r="K214" s="143" t="n"/>
      <c r="L214" s="143" t="n"/>
      <c r="M214" s="143" t="n"/>
      <c r="N214" s="143" t="n"/>
      <c r="O214" s="143" t="n"/>
      <c r="P214" s="143" t="n"/>
      <c r="Q214" s="143" t="n"/>
      <c r="R214" s="143" t="n"/>
      <c r="S214" s="143" t="n"/>
      <c r="T214" s="143" t="n"/>
      <c r="U214" s="143" t="n"/>
      <c r="V214" s="143" t="n"/>
      <c r="W214" s="143" t="n"/>
      <c r="X214" s="143" t="n"/>
      <c r="Y214" s="143" t="n"/>
      <c r="Z214" s="143" t="n"/>
    </row>
    <row r="215" ht="19.5" customHeight="1" s="398">
      <c r="A215" s="149" t="n"/>
      <c r="B215" s="143" t="n"/>
      <c r="C215" s="143" t="n"/>
      <c r="D215" s="143" t="n"/>
      <c r="E215" s="143" t="n"/>
      <c r="F215" s="143" t="n"/>
      <c r="G215" s="143" t="n"/>
      <c r="H215" s="143" t="n"/>
      <c r="I215" s="143" t="n"/>
      <c r="J215" s="143" t="n"/>
      <c r="K215" s="143" t="n"/>
      <c r="L215" s="143" t="n"/>
      <c r="M215" s="143" t="n"/>
      <c r="N215" s="143" t="n"/>
      <c r="O215" s="143" t="n"/>
      <c r="P215" s="143" t="n"/>
      <c r="Q215" s="143" t="n"/>
      <c r="R215" s="143" t="n"/>
      <c r="S215" s="143" t="n"/>
      <c r="T215" s="143" t="n"/>
      <c r="U215" s="143" t="n"/>
      <c r="V215" s="143" t="n"/>
      <c r="W215" s="143" t="n"/>
      <c r="X215" s="143" t="n"/>
      <c r="Y215" s="143" t="n"/>
      <c r="Z215" s="143" t="n"/>
    </row>
    <row r="216" ht="19.5" customHeight="1" s="398">
      <c r="A216" s="149" t="n"/>
      <c r="B216" s="143" t="n"/>
      <c r="C216" s="143" t="n"/>
      <c r="D216" s="143" t="n"/>
      <c r="E216" s="143" t="n"/>
      <c r="F216" s="143" t="n"/>
      <c r="G216" s="143" t="n"/>
      <c r="H216" s="143" t="n"/>
      <c r="I216" s="143" t="n"/>
      <c r="J216" s="143" t="n"/>
      <c r="K216" s="143" t="n"/>
      <c r="L216" s="143" t="n"/>
      <c r="M216" s="143" t="n"/>
      <c r="N216" s="143" t="n"/>
      <c r="O216" s="143" t="n"/>
      <c r="P216" s="143" t="n"/>
      <c r="Q216" s="143" t="n"/>
      <c r="R216" s="143" t="n"/>
      <c r="S216" s="143" t="n"/>
      <c r="T216" s="143" t="n"/>
      <c r="U216" s="143" t="n"/>
      <c r="V216" s="143" t="n"/>
      <c r="W216" s="143" t="n"/>
      <c r="X216" s="143" t="n"/>
      <c r="Y216" s="143" t="n"/>
      <c r="Z216" s="143" t="n"/>
    </row>
    <row r="217" ht="19.5" customHeight="1" s="398">
      <c r="A217" s="149" t="n"/>
      <c r="B217" s="143" t="n"/>
      <c r="C217" s="143" t="n"/>
      <c r="D217" s="143" t="n"/>
      <c r="E217" s="143" t="n"/>
      <c r="F217" s="143" t="n"/>
      <c r="G217" s="143" t="n"/>
      <c r="H217" s="143" t="n"/>
      <c r="I217" s="143" t="n"/>
      <c r="J217" s="143" t="n"/>
      <c r="K217" s="143" t="n"/>
      <c r="L217" s="143" t="n"/>
      <c r="M217" s="143" t="n"/>
      <c r="N217" s="143" t="n"/>
      <c r="O217" s="143" t="n"/>
      <c r="P217" s="143" t="n"/>
      <c r="Q217" s="143" t="n"/>
      <c r="R217" s="143" t="n"/>
      <c r="S217" s="143" t="n"/>
      <c r="T217" s="143" t="n"/>
      <c r="U217" s="143" t="n"/>
      <c r="V217" s="143" t="n"/>
      <c r="W217" s="143" t="n"/>
      <c r="X217" s="143" t="n"/>
      <c r="Y217" s="143" t="n"/>
      <c r="Z217" s="143" t="n"/>
    </row>
    <row r="218" ht="19.5" customHeight="1" s="398">
      <c r="A218" s="149" t="n"/>
      <c r="B218" s="143" t="n"/>
      <c r="C218" s="143" t="n"/>
      <c r="D218" s="143" t="n"/>
      <c r="E218" s="143" t="n"/>
      <c r="F218" s="143" t="n"/>
      <c r="G218" s="143" t="n"/>
      <c r="H218" s="143" t="n"/>
      <c r="I218" s="143" t="n"/>
      <c r="J218" s="143" t="n"/>
      <c r="K218" s="143" t="n"/>
      <c r="L218" s="143" t="n"/>
      <c r="M218" s="143" t="n"/>
      <c r="N218" s="143" t="n"/>
      <c r="O218" s="143" t="n"/>
      <c r="P218" s="143" t="n"/>
      <c r="Q218" s="143" t="n"/>
      <c r="R218" s="143" t="n"/>
      <c r="S218" s="143" t="n"/>
      <c r="T218" s="143" t="n"/>
      <c r="U218" s="143" t="n"/>
      <c r="V218" s="143" t="n"/>
      <c r="W218" s="143" t="n"/>
      <c r="X218" s="143" t="n"/>
      <c r="Y218" s="143" t="n"/>
      <c r="Z218" s="143" t="n"/>
    </row>
    <row r="219" ht="19.5" customHeight="1" s="398">
      <c r="A219" s="149" t="n"/>
      <c r="B219" s="143" t="n"/>
      <c r="C219" s="143" t="n"/>
      <c r="D219" s="143" t="n"/>
      <c r="E219" s="143" t="n"/>
      <c r="F219" s="143" t="n"/>
      <c r="G219" s="143" t="n"/>
      <c r="H219" s="143" t="n"/>
      <c r="I219" s="143" t="n"/>
      <c r="J219" s="143" t="n"/>
      <c r="K219" s="143" t="n"/>
      <c r="L219" s="143" t="n"/>
      <c r="M219" s="143" t="n"/>
      <c r="N219" s="143" t="n"/>
      <c r="O219" s="143" t="n"/>
      <c r="P219" s="143" t="n"/>
      <c r="Q219" s="143" t="n"/>
      <c r="R219" s="143" t="n"/>
      <c r="S219" s="143" t="n"/>
      <c r="T219" s="143" t="n"/>
      <c r="U219" s="143" t="n"/>
      <c r="V219" s="143" t="n"/>
      <c r="W219" s="143" t="n"/>
      <c r="X219" s="143" t="n"/>
      <c r="Y219" s="143" t="n"/>
      <c r="Z219" s="143" t="n"/>
    </row>
    <row r="220" ht="19.5" customHeight="1" s="398">
      <c r="A220" s="149" t="n"/>
      <c r="B220" s="143" t="n"/>
      <c r="C220" s="143" t="n"/>
      <c r="D220" s="143" t="n"/>
      <c r="E220" s="143" t="n"/>
      <c r="F220" s="143" t="n"/>
      <c r="G220" s="143" t="n"/>
      <c r="H220" s="143" t="n"/>
      <c r="I220" s="143" t="n"/>
      <c r="J220" s="143" t="n"/>
      <c r="K220" s="143" t="n"/>
      <c r="L220" s="143" t="n"/>
      <c r="M220" s="143" t="n"/>
      <c r="N220" s="143" t="n"/>
      <c r="O220" s="143" t="n"/>
      <c r="P220" s="143" t="n"/>
      <c r="Q220" s="143" t="n"/>
      <c r="R220" s="143" t="n"/>
      <c r="S220" s="143" t="n"/>
      <c r="T220" s="143" t="n"/>
      <c r="U220" s="143" t="n"/>
      <c r="V220" s="143" t="n"/>
      <c r="W220" s="143" t="n"/>
      <c r="X220" s="143" t="n"/>
      <c r="Y220" s="143" t="n"/>
      <c r="Z220" s="143" t="n"/>
    </row>
    <row r="221" ht="19.5" customHeight="1" s="398">
      <c r="A221" s="149" t="n"/>
      <c r="B221" s="143" t="n"/>
      <c r="C221" s="143" t="n"/>
      <c r="D221" s="143" t="n"/>
      <c r="E221" s="143" t="n"/>
      <c r="F221" s="143" t="n"/>
      <c r="G221" s="143" t="n"/>
      <c r="H221" s="143" t="n"/>
      <c r="I221" s="143" t="n"/>
      <c r="J221" s="143" t="n"/>
      <c r="K221" s="143" t="n"/>
      <c r="L221" s="143" t="n"/>
      <c r="M221" s="143" t="n"/>
      <c r="N221" s="143" t="n"/>
      <c r="O221" s="143" t="n"/>
      <c r="P221" s="143" t="n"/>
      <c r="Q221" s="143" t="n"/>
      <c r="R221" s="143" t="n"/>
      <c r="S221" s="143" t="n"/>
      <c r="T221" s="143" t="n"/>
      <c r="U221" s="143" t="n"/>
      <c r="V221" s="143" t="n"/>
      <c r="W221" s="143" t="n"/>
      <c r="X221" s="143" t="n"/>
      <c r="Y221" s="143" t="n"/>
      <c r="Z221" s="143" t="n"/>
    </row>
    <row r="222" ht="19.5" customHeight="1" s="398">
      <c r="A222" s="149" t="n"/>
      <c r="B222" s="143" t="n"/>
      <c r="C222" s="143" t="n"/>
      <c r="D222" s="143" t="n"/>
      <c r="E222" s="143" t="n"/>
      <c r="F222" s="143" t="n"/>
      <c r="G222" s="143" t="n"/>
      <c r="H222" s="143" t="n"/>
      <c r="I222" s="143" t="n"/>
      <c r="J222" s="143" t="n"/>
      <c r="K222" s="143" t="n"/>
      <c r="L222" s="143" t="n"/>
      <c r="M222" s="143" t="n"/>
      <c r="N222" s="143" t="n"/>
      <c r="O222" s="143" t="n"/>
      <c r="P222" s="143" t="n"/>
      <c r="Q222" s="143" t="n"/>
      <c r="R222" s="143" t="n"/>
      <c r="S222" s="143" t="n"/>
      <c r="T222" s="143" t="n"/>
      <c r="U222" s="143" t="n"/>
      <c r="V222" s="143" t="n"/>
      <c r="W222" s="143" t="n"/>
      <c r="X222" s="143" t="n"/>
      <c r="Y222" s="143" t="n"/>
      <c r="Z222" s="143" t="n"/>
    </row>
    <row r="223" ht="19.5" customHeight="1" s="398">
      <c r="A223" s="149" t="n"/>
      <c r="B223" s="143" t="n"/>
      <c r="C223" s="143" t="n"/>
      <c r="D223" s="143" t="n"/>
      <c r="E223" s="143" t="n"/>
      <c r="F223" s="143" t="n"/>
      <c r="G223" s="143" t="n"/>
      <c r="H223" s="143" t="n"/>
      <c r="I223" s="143" t="n"/>
      <c r="J223" s="143" t="n"/>
      <c r="K223" s="143" t="n"/>
      <c r="L223" s="143" t="n"/>
      <c r="M223" s="143" t="n"/>
      <c r="N223" s="143" t="n"/>
      <c r="O223" s="143" t="n"/>
      <c r="P223" s="143" t="n"/>
      <c r="Q223" s="143" t="n"/>
      <c r="R223" s="143" t="n"/>
      <c r="S223" s="143" t="n"/>
      <c r="T223" s="143" t="n"/>
      <c r="U223" s="143" t="n"/>
      <c r="V223" s="143" t="n"/>
      <c r="W223" s="143" t="n"/>
      <c r="X223" s="143" t="n"/>
      <c r="Y223" s="143" t="n"/>
      <c r="Z223" s="143" t="n"/>
    </row>
    <row r="224" ht="19.5" customHeight="1" s="398">
      <c r="A224" s="149" t="n"/>
      <c r="B224" s="143" t="n"/>
      <c r="C224" s="143" t="n"/>
      <c r="D224" s="143" t="n"/>
      <c r="E224" s="143" t="n"/>
      <c r="F224" s="143" t="n"/>
      <c r="G224" s="143" t="n"/>
      <c r="H224" s="143" t="n"/>
      <c r="I224" s="143" t="n"/>
      <c r="J224" s="143" t="n"/>
      <c r="K224" s="143" t="n"/>
      <c r="L224" s="143" t="n"/>
      <c r="M224" s="143" t="n"/>
      <c r="N224" s="143" t="n"/>
      <c r="O224" s="143" t="n"/>
      <c r="P224" s="143" t="n"/>
      <c r="Q224" s="143" t="n"/>
      <c r="R224" s="143" t="n"/>
      <c r="S224" s="143" t="n"/>
      <c r="T224" s="143" t="n"/>
      <c r="U224" s="143" t="n"/>
      <c r="V224" s="143" t="n"/>
      <c r="W224" s="143" t="n"/>
      <c r="X224" s="143" t="n"/>
      <c r="Y224" s="143" t="n"/>
      <c r="Z224" s="143" t="n"/>
    </row>
    <row r="225" ht="19.5" customHeight="1" s="398">
      <c r="A225" s="149" t="n"/>
      <c r="B225" s="143" t="n"/>
      <c r="C225" s="143" t="n"/>
      <c r="D225" s="143" t="n"/>
      <c r="E225" s="143" t="n"/>
      <c r="F225" s="143" t="n"/>
      <c r="G225" s="143" t="n"/>
      <c r="H225" s="143" t="n"/>
      <c r="I225" s="143" t="n"/>
      <c r="J225" s="143" t="n"/>
      <c r="K225" s="143" t="n"/>
      <c r="L225" s="143" t="n"/>
      <c r="M225" s="143" t="n"/>
      <c r="N225" s="143" t="n"/>
      <c r="O225" s="143" t="n"/>
      <c r="P225" s="143" t="n"/>
      <c r="Q225" s="143" t="n"/>
      <c r="R225" s="143" t="n"/>
      <c r="S225" s="143" t="n"/>
      <c r="T225" s="143" t="n"/>
      <c r="U225" s="143" t="n"/>
      <c r="V225" s="143" t="n"/>
      <c r="W225" s="143" t="n"/>
      <c r="X225" s="143" t="n"/>
      <c r="Y225" s="143" t="n"/>
      <c r="Z225" s="143" t="n"/>
    </row>
    <row r="226" ht="19.5" customHeight="1" s="398">
      <c r="A226" s="149" t="n"/>
      <c r="B226" s="143" t="n"/>
      <c r="C226" s="143" t="n"/>
      <c r="D226" s="143" t="n"/>
      <c r="E226" s="143" t="n"/>
      <c r="F226" s="143" t="n"/>
      <c r="G226" s="143" t="n"/>
      <c r="H226" s="143" t="n"/>
      <c r="I226" s="143" t="n"/>
      <c r="J226" s="143" t="n"/>
      <c r="K226" s="143" t="n"/>
      <c r="L226" s="143" t="n"/>
      <c r="M226" s="143" t="n"/>
      <c r="N226" s="143" t="n"/>
      <c r="O226" s="143" t="n"/>
      <c r="P226" s="143" t="n"/>
      <c r="Q226" s="143" t="n"/>
      <c r="R226" s="143" t="n"/>
      <c r="S226" s="143" t="n"/>
      <c r="T226" s="143" t="n"/>
      <c r="U226" s="143" t="n"/>
      <c r="V226" s="143" t="n"/>
      <c r="W226" s="143" t="n"/>
      <c r="X226" s="143" t="n"/>
      <c r="Y226" s="143" t="n"/>
      <c r="Z226" s="143" t="n"/>
    </row>
    <row r="227" ht="19.5" customHeight="1" s="398">
      <c r="A227" s="149" t="n"/>
      <c r="B227" s="143" t="n"/>
      <c r="C227" s="143" t="n"/>
      <c r="D227" s="143" t="n"/>
      <c r="E227" s="143" t="n"/>
      <c r="F227" s="143" t="n"/>
      <c r="G227" s="143" t="n"/>
      <c r="H227" s="143" t="n"/>
      <c r="I227" s="143" t="n"/>
      <c r="J227" s="143" t="n"/>
      <c r="K227" s="143" t="n"/>
      <c r="L227" s="143" t="n"/>
      <c r="M227" s="143" t="n"/>
      <c r="N227" s="143" t="n"/>
      <c r="O227" s="143" t="n"/>
      <c r="P227" s="143" t="n"/>
      <c r="Q227" s="143" t="n"/>
      <c r="R227" s="143" t="n"/>
      <c r="S227" s="143" t="n"/>
      <c r="T227" s="143" t="n"/>
      <c r="U227" s="143" t="n"/>
      <c r="V227" s="143" t="n"/>
      <c r="W227" s="143" t="n"/>
      <c r="X227" s="143" t="n"/>
      <c r="Y227" s="143" t="n"/>
      <c r="Z227" s="143" t="n"/>
    </row>
    <row r="228" ht="19.5" customHeight="1" s="398">
      <c r="A228" s="149" t="n"/>
      <c r="B228" s="143" t="n"/>
      <c r="C228" s="143" t="n"/>
      <c r="D228" s="143" t="n"/>
      <c r="E228" s="143" t="n"/>
      <c r="F228" s="143" t="n"/>
      <c r="G228" s="143" t="n"/>
      <c r="H228" s="143" t="n"/>
      <c r="I228" s="143" t="n"/>
      <c r="J228" s="143" t="n"/>
      <c r="K228" s="143" t="n"/>
      <c r="L228" s="143" t="n"/>
      <c r="M228" s="143" t="n"/>
      <c r="N228" s="143" t="n"/>
      <c r="O228" s="143" t="n"/>
      <c r="P228" s="143" t="n"/>
      <c r="Q228" s="143" t="n"/>
      <c r="R228" s="143" t="n"/>
      <c r="S228" s="143" t="n"/>
      <c r="T228" s="143" t="n"/>
      <c r="U228" s="143" t="n"/>
      <c r="V228" s="143" t="n"/>
      <c r="W228" s="143" t="n"/>
      <c r="X228" s="143" t="n"/>
      <c r="Y228" s="143" t="n"/>
      <c r="Z228" s="143" t="n"/>
    </row>
    <row r="229" ht="19.5" customHeight="1" s="398">
      <c r="A229" s="149" t="n"/>
      <c r="B229" s="143" t="n"/>
      <c r="C229" s="143" t="n"/>
      <c r="D229" s="143" t="n"/>
      <c r="E229" s="143" t="n"/>
      <c r="F229" s="143" t="n"/>
      <c r="G229" s="143" t="n"/>
      <c r="H229" s="143" t="n"/>
      <c r="I229" s="143" t="n"/>
      <c r="J229" s="143" t="n"/>
      <c r="K229" s="143" t="n"/>
      <c r="L229" s="143" t="n"/>
      <c r="M229" s="143" t="n"/>
      <c r="N229" s="143" t="n"/>
      <c r="O229" s="143" t="n"/>
      <c r="P229" s="143" t="n"/>
      <c r="Q229" s="143" t="n"/>
      <c r="R229" s="143" t="n"/>
      <c r="S229" s="143" t="n"/>
      <c r="T229" s="143" t="n"/>
      <c r="U229" s="143" t="n"/>
      <c r="V229" s="143" t="n"/>
      <c r="W229" s="143" t="n"/>
      <c r="X229" s="143" t="n"/>
      <c r="Y229" s="143" t="n"/>
      <c r="Z229" s="143" t="n"/>
    </row>
    <row r="230" ht="19.5" customHeight="1" s="398">
      <c r="A230" s="149" t="n"/>
      <c r="B230" s="143" t="n"/>
      <c r="C230" s="143" t="n"/>
      <c r="D230" s="143" t="n"/>
      <c r="E230" s="143" t="n"/>
      <c r="F230" s="143" t="n"/>
      <c r="G230" s="143" t="n"/>
      <c r="H230" s="143" t="n"/>
      <c r="I230" s="143" t="n"/>
      <c r="J230" s="143" t="n"/>
      <c r="K230" s="143" t="n"/>
      <c r="L230" s="143" t="n"/>
      <c r="M230" s="143" t="n"/>
      <c r="N230" s="143" t="n"/>
      <c r="O230" s="143" t="n"/>
      <c r="P230" s="143" t="n"/>
      <c r="Q230" s="143" t="n"/>
      <c r="R230" s="143" t="n"/>
      <c r="S230" s="143" t="n"/>
      <c r="T230" s="143" t="n"/>
      <c r="U230" s="143" t="n"/>
      <c r="V230" s="143" t="n"/>
      <c r="W230" s="143" t="n"/>
      <c r="X230" s="143" t="n"/>
      <c r="Y230" s="143" t="n"/>
      <c r="Z230" s="143" t="n"/>
    </row>
    <row r="231" ht="19.5" customHeight="1" s="398">
      <c r="A231" s="149" t="n"/>
      <c r="B231" s="143" t="n"/>
      <c r="C231" s="143" t="n"/>
      <c r="D231" s="143" t="n"/>
      <c r="E231" s="143" t="n"/>
      <c r="F231" s="143" t="n"/>
      <c r="G231" s="143" t="n"/>
      <c r="H231" s="143" t="n"/>
      <c r="I231" s="143" t="n"/>
      <c r="J231" s="143" t="n"/>
      <c r="K231" s="143" t="n"/>
      <c r="L231" s="143" t="n"/>
      <c r="M231" s="143" t="n"/>
      <c r="N231" s="143" t="n"/>
      <c r="O231" s="143" t="n"/>
      <c r="P231" s="143" t="n"/>
      <c r="Q231" s="143" t="n"/>
      <c r="R231" s="143" t="n"/>
      <c r="S231" s="143" t="n"/>
      <c r="T231" s="143" t="n"/>
      <c r="U231" s="143" t="n"/>
      <c r="V231" s="143" t="n"/>
      <c r="W231" s="143" t="n"/>
      <c r="X231" s="143" t="n"/>
      <c r="Y231" s="143" t="n"/>
      <c r="Z231" s="143" t="n"/>
    </row>
    <row r="232" ht="19.5" customHeight="1" s="398">
      <c r="A232" s="149" t="n"/>
      <c r="B232" s="143" t="n"/>
      <c r="C232" s="143" t="n"/>
      <c r="D232" s="143" t="n"/>
      <c r="E232" s="143" t="n"/>
      <c r="F232" s="143" t="n"/>
      <c r="G232" s="143" t="n"/>
      <c r="H232" s="143" t="n"/>
      <c r="I232" s="143" t="n"/>
      <c r="J232" s="143" t="n"/>
      <c r="K232" s="143" t="n"/>
      <c r="L232" s="143" t="n"/>
      <c r="M232" s="143" t="n"/>
      <c r="N232" s="143" t="n"/>
      <c r="O232" s="143" t="n"/>
      <c r="P232" s="143" t="n"/>
      <c r="Q232" s="143" t="n"/>
      <c r="R232" s="143" t="n"/>
      <c r="S232" s="143" t="n"/>
      <c r="T232" s="143" t="n"/>
      <c r="U232" s="143" t="n"/>
      <c r="V232" s="143" t="n"/>
      <c r="W232" s="143" t="n"/>
      <c r="X232" s="143" t="n"/>
      <c r="Y232" s="143" t="n"/>
      <c r="Z232" s="143" t="n"/>
    </row>
    <row r="233" ht="19.5" customHeight="1" s="398">
      <c r="A233" s="149" t="n"/>
      <c r="B233" s="143" t="n"/>
      <c r="C233" s="143" t="n"/>
      <c r="D233" s="143" t="n"/>
      <c r="E233" s="143" t="n"/>
      <c r="F233" s="143" t="n"/>
      <c r="G233" s="143" t="n"/>
      <c r="H233" s="143" t="n"/>
      <c r="I233" s="143" t="n"/>
      <c r="J233" s="143" t="n"/>
      <c r="K233" s="143" t="n"/>
      <c r="L233" s="143" t="n"/>
      <c r="M233" s="143" t="n"/>
      <c r="N233" s="143" t="n"/>
      <c r="O233" s="143" t="n"/>
      <c r="P233" s="143" t="n"/>
      <c r="Q233" s="143" t="n"/>
      <c r="R233" s="143" t="n"/>
      <c r="S233" s="143" t="n"/>
      <c r="T233" s="143" t="n"/>
      <c r="U233" s="143" t="n"/>
      <c r="V233" s="143" t="n"/>
      <c r="W233" s="143" t="n"/>
      <c r="X233" s="143" t="n"/>
      <c r="Y233" s="143" t="n"/>
      <c r="Z233" s="143" t="n"/>
    </row>
    <row r="234" ht="19.5" customHeight="1" s="398">
      <c r="A234" s="149" t="n"/>
      <c r="B234" s="143" t="n"/>
      <c r="C234" s="143" t="n"/>
      <c r="D234" s="143" t="n"/>
      <c r="E234" s="143" t="n"/>
      <c r="F234" s="143" t="n"/>
      <c r="G234" s="143" t="n"/>
      <c r="H234" s="143" t="n"/>
      <c r="I234" s="143" t="n"/>
      <c r="J234" s="143" t="n"/>
      <c r="K234" s="143" t="n"/>
      <c r="L234" s="143" t="n"/>
      <c r="M234" s="143" t="n"/>
      <c r="N234" s="143" t="n"/>
      <c r="O234" s="143" t="n"/>
      <c r="P234" s="143" t="n"/>
      <c r="Q234" s="143" t="n"/>
      <c r="R234" s="143" t="n"/>
      <c r="S234" s="143" t="n"/>
      <c r="T234" s="143" t="n"/>
      <c r="U234" s="143" t="n"/>
      <c r="V234" s="143" t="n"/>
      <c r="W234" s="143" t="n"/>
      <c r="X234" s="143" t="n"/>
      <c r="Y234" s="143" t="n"/>
      <c r="Z234" s="143" t="n"/>
    </row>
    <row r="235" ht="19.5" customHeight="1" s="398">
      <c r="A235" s="149" t="n"/>
      <c r="B235" s="143" t="n"/>
      <c r="C235" s="143" t="n"/>
      <c r="D235" s="143" t="n"/>
      <c r="E235" s="143" t="n"/>
      <c r="F235" s="143" t="n"/>
      <c r="G235" s="143" t="n"/>
      <c r="H235" s="143" t="n"/>
      <c r="I235" s="143" t="n"/>
      <c r="J235" s="143" t="n"/>
      <c r="K235" s="143" t="n"/>
      <c r="L235" s="143" t="n"/>
      <c r="M235" s="143" t="n"/>
      <c r="N235" s="143" t="n"/>
      <c r="O235" s="143" t="n"/>
      <c r="P235" s="143" t="n"/>
      <c r="Q235" s="143" t="n"/>
      <c r="R235" s="143" t="n"/>
      <c r="S235" s="143" t="n"/>
      <c r="T235" s="143" t="n"/>
      <c r="U235" s="143" t="n"/>
      <c r="V235" s="143" t="n"/>
      <c r="W235" s="143" t="n"/>
      <c r="X235" s="143" t="n"/>
      <c r="Y235" s="143" t="n"/>
      <c r="Z235" s="143" t="n"/>
    </row>
    <row r="236" ht="19.5" customHeight="1" s="398">
      <c r="A236" s="149" t="n"/>
      <c r="B236" s="143" t="n"/>
      <c r="C236" s="143" t="n"/>
      <c r="D236" s="143" t="n"/>
      <c r="E236" s="143" t="n"/>
      <c r="F236" s="143" t="n"/>
      <c r="G236" s="143" t="n"/>
      <c r="H236" s="143" t="n"/>
      <c r="I236" s="143" t="n"/>
      <c r="J236" s="143" t="n"/>
      <c r="K236" s="143" t="n"/>
      <c r="L236" s="143" t="n"/>
      <c r="M236" s="143" t="n"/>
      <c r="N236" s="143" t="n"/>
      <c r="O236" s="143" t="n"/>
      <c r="P236" s="143" t="n"/>
      <c r="Q236" s="143" t="n"/>
      <c r="R236" s="143" t="n"/>
      <c r="S236" s="143" t="n"/>
      <c r="T236" s="143" t="n"/>
      <c r="U236" s="143" t="n"/>
      <c r="V236" s="143" t="n"/>
      <c r="W236" s="143" t="n"/>
      <c r="X236" s="143" t="n"/>
      <c r="Y236" s="143" t="n"/>
      <c r="Z236" s="143" t="n"/>
    </row>
    <row r="237" ht="19.5" customHeight="1" s="398">
      <c r="A237" s="149" t="n"/>
      <c r="B237" s="143" t="n"/>
      <c r="C237" s="143" t="n"/>
      <c r="D237" s="143" t="n"/>
      <c r="E237" s="143" t="n"/>
      <c r="F237" s="143" t="n"/>
      <c r="G237" s="143" t="n"/>
      <c r="H237" s="143" t="n"/>
      <c r="I237" s="143" t="n"/>
      <c r="J237" s="143" t="n"/>
      <c r="K237" s="143" t="n"/>
      <c r="L237" s="143" t="n"/>
      <c r="M237" s="143" t="n"/>
      <c r="N237" s="143" t="n"/>
      <c r="O237" s="143" t="n"/>
      <c r="P237" s="143" t="n"/>
      <c r="Q237" s="143" t="n"/>
      <c r="R237" s="143" t="n"/>
      <c r="S237" s="143" t="n"/>
      <c r="T237" s="143" t="n"/>
      <c r="U237" s="143" t="n"/>
      <c r="V237" s="143" t="n"/>
      <c r="W237" s="143" t="n"/>
      <c r="X237" s="143" t="n"/>
      <c r="Y237" s="143" t="n"/>
      <c r="Z237" s="143" t="n"/>
    </row>
    <row r="238" ht="19.5" customHeight="1" s="398">
      <c r="A238" s="149" t="n"/>
      <c r="B238" s="143" t="n"/>
      <c r="C238" s="143" t="n"/>
      <c r="D238" s="143" t="n"/>
      <c r="E238" s="143" t="n"/>
      <c r="F238" s="143" t="n"/>
      <c r="G238" s="143" t="n"/>
      <c r="H238" s="143" t="n"/>
      <c r="I238" s="143" t="n"/>
      <c r="J238" s="143" t="n"/>
      <c r="K238" s="143" t="n"/>
      <c r="L238" s="143" t="n"/>
      <c r="M238" s="143" t="n"/>
      <c r="N238" s="143" t="n"/>
      <c r="O238" s="143" t="n"/>
      <c r="P238" s="143" t="n"/>
      <c r="Q238" s="143" t="n"/>
      <c r="R238" s="143" t="n"/>
      <c r="S238" s="143" t="n"/>
      <c r="T238" s="143" t="n"/>
      <c r="U238" s="143" t="n"/>
      <c r="V238" s="143" t="n"/>
      <c r="W238" s="143" t="n"/>
      <c r="X238" s="143" t="n"/>
      <c r="Y238" s="143" t="n"/>
      <c r="Z238" s="143" t="n"/>
    </row>
    <row r="239" ht="19.5" customHeight="1" s="398">
      <c r="A239" s="149" t="n"/>
      <c r="B239" s="143" t="n"/>
      <c r="C239" s="143" t="n"/>
      <c r="D239" s="143" t="n"/>
      <c r="E239" s="143" t="n"/>
      <c r="F239" s="143" t="n"/>
      <c r="G239" s="143" t="n"/>
      <c r="H239" s="143" t="n"/>
      <c r="I239" s="143" t="n"/>
      <c r="J239" s="143" t="n"/>
      <c r="K239" s="143" t="n"/>
      <c r="L239" s="143" t="n"/>
      <c r="M239" s="143" t="n"/>
      <c r="N239" s="143" t="n"/>
      <c r="O239" s="143" t="n"/>
      <c r="P239" s="143" t="n"/>
      <c r="Q239" s="143" t="n"/>
      <c r="R239" s="143" t="n"/>
      <c r="S239" s="143" t="n"/>
      <c r="T239" s="143" t="n"/>
      <c r="U239" s="143" t="n"/>
      <c r="V239" s="143" t="n"/>
      <c r="W239" s="143" t="n"/>
      <c r="X239" s="143" t="n"/>
      <c r="Y239" s="143" t="n"/>
      <c r="Z239" s="143" t="n"/>
    </row>
    <row r="240" ht="19.5" customHeight="1" s="398">
      <c r="A240" s="149" t="n"/>
      <c r="B240" s="143" t="n"/>
      <c r="C240" s="143" t="n"/>
      <c r="D240" s="143" t="n"/>
      <c r="E240" s="143" t="n"/>
      <c r="F240" s="143" t="n"/>
      <c r="G240" s="143" t="n"/>
      <c r="H240" s="143" t="n"/>
      <c r="I240" s="143" t="n"/>
      <c r="J240" s="143" t="n"/>
      <c r="K240" s="143" t="n"/>
      <c r="L240" s="143" t="n"/>
      <c r="M240" s="143" t="n"/>
      <c r="N240" s="143" t="n"/>
      <c r="O240" s="143" t="n"/>
      <c r="P240" s="143" t="n"/>
      <c r="Q240" s="143" t="n"/>
      <c r="R240" s="143" t="n"/>
      <c r="S240" s="143" t="n"/>
      <c r="T240" s="143" t="n"/>
      <c r="U240" s="143" t="n"/>
      <c r="V240" s="143" t="n"/>
      <c r="W240" s="143" t="n"/>
      <c r="X240" s="143" t="n"/>
      <c r="Y240" s="143" t="n"/>
      <c r="Z240" s="143" t="n"/>
    </row>
    <row r="241" ht="19.5" customHeight="1" s="398">
      <c r="A241" s="149" t="n"/>
      <c r="B241" s="143" t="n"/>
      <c r="C241" s="143" t="n"/>
      <c r="D241" s="143" t="n"/>
      <c r="E241" s="143" t="n"/>
      <c r="F241" s="143" t="n"/>
      <c r="G241" s="143" t="n"/>
      <c r="H241" s="143" t="n"/>
      <c r="I241" s="143" t="n"/>
      <c r="J241" s="143" t="n"/>
      <c r="K241" s="143" t="n"/>
      <c r="L241" s="143" t="n"/>
      <c r="M241" s="143" t="n"/>
      <c r="N241" s="143" t="n"/>
      <c r="O241" s="143" t="n"/>
      <c r="P241" s="143" t="n"/>
      <c r="Q241" s="143" t="n"/>
      <c r="R241" s="143" t="n"/>
      <c r="S241" s="143" t="n"/>
      <c r="T241" s="143" t="n"/>
      <c r="U241" s="143" t="n"/>
      <c r="V241" s="143" t="n"/>
      <c r="W241" s="143" t="n"/>
      <c r="X241" s="143" t="n"/>
      <c r="Y241" s="143" t="n"/>
      <c r="Z241" s="143" t="n"/>
    </row>
    <row r="242" ht="19.5" customHeight="1" s="398">
      <c r="A242" s="149" t="n"/>
      <c r="B242" s="143" t="n"/>
      <c r="C242" s="143" t="n"/>
      <c r="D242" s="143" t="n"/>
      <c r="E242" s="143" t="n"/>
      <c r="F242" s="143" t="n"/>
      <c r="G242" s="143" t="n"/>
      <c r="H242" s="143" t="n"/>
      <c r="I242" s="143" t="n"/>
      <c r="J242" s="143" t="n"/>
      <c r="K242" s="143" t="n"/>
      <c r="L242" s="143" t="n"/>
      <c r="M242" s="143" t="n"/>
      <c r="N242" s="143" t="n"/>
      <c r="O242" s="143" t="n"/>
      <c r="P242" s="143" t="n"/>
      <c r="Q242" s="143" t="n"/>
      <c r="R242" s="143" t="n"/>
      <c r="S242" s="143" t="n"/>
      <c r="T242" s="143" t="n"/>
      <c r="U242" s="143" t="n"/>
      <c r="V242" s="143" t="n"/>
      <c r="W242" s="143" t="n"/>
      <c r="X242" s="143" t="n"/>
      <c r="Y242" s="143" t="n"/>
      <c r="Z242" s="143" t="n"/>
    </row>
    <row r="243" ht="19.5" customHeight="1" s="398">
      <c r="A243" s="149" t="n"/>
      <c r="B243" s="143" t="n"/>
      <c r="C243" s="143" t="n"/>
      <c r="D243" s="143" t="n"/>
      <c r="E243" s="143" t="n"/>
      <c r="F243" s="143" t="n"/>
      <c r="G243" s="143" t="n"/>
      <c r="H243" s="143" t="n"/>
      <c r="I243" s="143" t="n"/>
      <c r="J243" s="143" t="n"/>
      <c r="K243" s="143" t="n"/>
      <c r="L243" s="143" t="n"/>
      <c r="M243" s="143" t="n"/>
      <c r="N243" s="143" t="n"/>
      <c r="O243" s="143" t="n"/>
      <c r="P243" s="143" t="n"/>
      <c r="Q243" s="143" t="n"/>
      <c r="R243" s="143" t="n"/>
      <c r="S243" s="143" t="n"/>
      <c r="T243" s="143" t="n"/>
      <c r="U243" s="143" t="n"/>
      <c r="V243" s="143" t="n"/>
      <c r="W243" s="143" t="n"/>
      <c r="X243" s="143" t="n"/>
      <c r="Y243" s="143" t="n"/>
      <c r="Z243" s="143" t="n"/>
    </row>
    <row r="244" ht="19.5" customHeight="1" s="398">
      <c r="A244" s="149" t="n"/>
      <c r="B244" s="143" t="n"/>
      <c r="C244" s="143" t="n"/>
      <c r="D244" s="143" t="n"/>
      <c r="E244" s="143" t="n"/>
      <c r="F244" s="143" t="n"/>
      <c r="G244" s="143" t="n"/>
      <c r="H244" s="143" t="n"/>
      <c r="I244" s="143" t="n"/>
      <c r="J244" s="143" t="n"/>
      <c r="K244" s="143" t="n"/>
      <c r="L244" s="143" t="n"/>
      <c r="M244" s="143" t="n"/>
      <c r="N244" s="143" t="n"/>
      <c r="O244" s="143" t="n"/>
      <c r="P244" s="143" t="n"/>
      <c r="Q244" s="143" t="n"/>
      <c r="R244" s="143" t="n"/>
      <c r="S244" s="143" t="n"/>
      <c r="T244" s="143" t="n"/>
      <c r="U244" s="143" t="n"/>
      <c r="V244" s="143" t="n"/>
      <c r="W244" s="143" t="n"/>
      <c r="X244" s="143" t="n"/>
      <c r="Y244" s="143" t="n"/>
      <c r="Z244" s="143" t="n"/>
    </row>
    <row r="245" ht="19.5" customHeight="1" s="398">
      <c r="A245" s="149" t="n"/>
      <c r="B245" s="143" t="n"/>
      <c r="C245" s="143" t="n"/>
      <c r="D245" s="143" t="n"/>
      <c r="E245" s="143" t="n"/>
      <c r="F245" s="143" t="n"/>
      <c r="G245" s="143" t="n"/>
      <c r="H245" s="143" t="n"/>
      <c r="I245" s="143" t="n"/>
      <c r="J245" s="143" t="n"/>
      <c r="K245" s="143" t="n"/>
      <c r="L245" s="143" t="n"/>
      <c r="M245" s="143" t="n"/>
      <c r="N245" s="143" t="n"/>
      <c r="O245" s="143" t="n"/>
      <c r="P245" s="143" t="n"/>
      <c r="Q245" s="143" t="n"/>
      <c r="R245" s="143" t="n"/>
      <c r="S245" s="143" t="n"/>
      <c r="T245" s="143" t="n"/>
      <c r="U245" s="143" t="n"/>
      <c r="V245" s="143" t="n"/>
      <c r="W245" s="143" t="n"/>
      <c r="X245" s="143" t="n"/>
      <c r="Y245" s="143" t="n"/>
      <c r="Z245" s="143" t="n"/>
    </row>
    <row r="246" ht="19.5" customHeight="1" s="398">
      <c r="A246" s="149" t="n"/>
      <c r="B246" s="143" t="n"/>
      <c r="C246" s="143" t="n"/>
      <c r="D246" s="143" t="n"/>
      <c r="E246" s="143" t="n"/>
      <c r="F246" s="143" t="n"/>
      <c r="G246" s="143" t="n"/>
      <c r="H246" s="143" t="n"/>
      <c r="I246" s="143" t="n"/>
      <c r="J246" s="143" t="n"/>
      <c r="K246" s="143" t="n"/>
      <c r="L246" s="143" t="n"/>
      <c r="M246" s="143" t="n"/>
      <c r="N246" s="143" t="n"/>
      <c r="O246" s="143" t="n"/>
      <c r="P246" s="143" t="n"/>
      <c r="Q246" s="143" t="n"/>
      <c r="R246" s="143" t="n"/>
      <c r="S246" s="143" t="n"/>
      <c r="T246" s="143" t="n"/>
      <c r="U246" s="143" t="n"/>
      <c r="V246" s="143" t="n"/>
      <c r="W246" s="143" t="n"/>
      <c r="X246" s="143" t="n"/>
      <c r="Y246" s="143" t="n"/>
      <c r="Z246" s="143" t="n"/>
    </row>
    <row r="247" ht="19.5" customHeight="1" s="398">
      <c r="A247" s="149" t="n"/>
      <c r="B247" s="143" t="n"/>
      <c r="C247" s="143" t="n"/>
      <c r="D247" s="143" t="n"/>
      <c r="E247" s="143" t="n"/>
      <c r="F247" s="143" t="n"/>
      <c r="G247" s="143" t="n"/>
      <c r="H247" s="143" t="n"/>
      <c r="I247" s="143" t="n"/>
      <c r="J247" s="143" t="n"/>
      <c r="K247" s="143" t="n"/>
      <c r="L247" s="143" t="n"/>
      <c r="M247" s="143" t="n"/>
      <c r="N247" s="143" t="n"/>
      <c r="O247" s="143" t="n"/>
      <c r="P247" s="143" t="n"/>
      <c r="Q247" s="143" t="n"/>
      <c r="R247" s="143" t="n"/>
      <c r="S247" s="143" t="n"/>
      <c r="T247" s="143" t="n"/>
      <c r="U247" s="143" t="n"/>
      <c r="V247" s="143" t="n"/>
      <c r="W247" s="143" t="n"/>
      <c r="X247" s="143" t="n"/>
      <c r="Y247" s="143" t="n"/>
      <c r="Z247" s="143" t="n"/>
    </row>
    <row r="248" ht="19.5" customHeight="1" s="398">
      <c r="A248" s="149" t="n"/>
      <c r="B248" s="143" t="n"/>
      <c r="C248" s="143" t="n"/>
      <c r="D248" s="143" t="n"/>
      <c r="E248" s="143" t="n"/>
      <c r="F248" s="143" t="n"/>
      <c r="G248" s="143" t="n"/>
      <c r="H248" s="143" t="n"/>
      <c r="I248" s="143" t="n"/>
      <c r="J248" s="143" t="n"/>
      <c r="K248" s="143" t="n"/>
      <c r="L248" s="143" t="n"/>
      <c r="M248" s="143" t="n"/>
      <c r="N248" s="143" t="n"/>
      <c r="O248" s="143" t="n"/>
      <c r="P248" s="143" t="n"/>
      <c r="Q248" s="143" t="n"/>
      <c r="R248" s="143" t="n"/>
      <c r="S248" s="143" t="n"/>
      <c r="T248" s="143" t="n"/>
      <c r="U248" s="143" t="n"/>
      <c r="V248" s="143" t="n"/>
      <c r="W248" s="143" t="n"/>
      <c r="X248" s="143" t="n"/>
      <c r="Y248" s="143" t="n"/>
      <c r="Z248" s="143" t="n"/>
    </row>
    <row r="249" ht="19.5" customHeight="1" s="398">
      <c r="A249" s="149" t="n"/>
      <c r="B249" s="143" t="n"/>
      <c r="C249" s="143" t="n"/>
      <c r="D249" s="143" t="n"/>
      <c r="E249" s="143" t="n"/>
      <c r="F249" s="143" t="n"/>
      <c r="G249" s="143" t="n"/>
      <c r="H249" s="143" t="n"/>
      <c r="I249" s="143" t="n"/>
      <c r="J249" s="143" t="n"/>
      <c r="K249" s="143" t="n"/>
      <c r="L249" s="143" t="n"/>
      <c r="M249" s="143" t="n"/>
      <c r="N249" s="143" t="n"/>
      <c r="O249" s="143" t="n"/>
      <c r="P249" s="143" t="n"/>
      <c r="Q249" s="143" t="n"/>
      <c r="R249" s="143" t="n"/>
      <c r="S249" s="143" t="n"/>
      <c r="T249" s="143" t="n"/>
      <c r="U249" s="143" t="n"/>
      <c r="V249" s="143" t="n"/>
      <c r="W249" s="143" t="n"/>
      <c r="X249" s="143" t="n"/>
      <c r="Y249" s="143" t="n"/>
      <c r="Z249" s="143" t="n"/>
    </row>
    <row r="250" ht="19.5" customHeight="1" s="398">
      <c r="A250" s="149" t="n"/>
      <c r="B250" s="143" t="n"/>
      <c r="C250" s="143" t="n"/>
      <c r="D250" s="143" t="n"/>
      <c r="E250" s="143" t="n"/>
      <c r="F250" s="143" t="n"/>
      <c r="G250" s="143" t="n"/>
      <c r="H250" s="143" t="n"/>
      <c r="I250" s="143" t="n"/>
      <c r="J250" s="143" t="n"/>
      <c r="K250" s="143" t="n"/>
      <c r="L250" s="143" t="n"/>
      <c r="M250" s="143" t="n"/>
      <c r="N250" s="143" t="n"/>
      <c r="O250" s="143" t="n"/>
      <c r="P250" s="143" t="n"/>
      <c r="Q250" s="143" t="n"/>
      <c r="R250" s="143" t="n"/>
      <c r="S250" s="143" t="n"/>
      <c r="T250" s="143" t="n"/>
      <c r="U250" s="143" t="n"/>
      <c r="V250" s="143" t="n"/>
      <c r="W250" s="143" t="n"/>
      <c r="X250" s="143" t="n"/>
      <c r="Y250" s="143" t="n"/>
      <c r="Z250" s="143" t="n"/>
    </row>
    <row r="251" ht="19.5" customHeight="1" s="398">
      <c r="A251" s="149" t="n"/>
      <c r="B251" s="143" t="n"/>
      <c r="C251" s="143" t="n"/>
      <c r="D251" s="143" t="n"/>
      <c r="E251" s="143" t="n"/>
      <c r="F251" s="143" t="n"/>
      <c r="G251" s="143" t="n"/>
      <c r="H251" s="143" t="n"/>
      <c r="I251" s="143" t="n"/>
      <c r="J251" s="143" t="n"/>
      <c r="K251" s="143" t="n"/>
      <c r="L251" s="143" t="n"/>
      <c r="M251" s="143" t="n"/>
      <c r="N251" s="143" t="n"/>
      <c r="O251" s="143" t="n"/>
      <c r="P251" s="143" t="n"/>
      <c r="Q251" s="143" t="n"/>
      <c r="R251" s="143" t="n"/>
      <c r="S251" s="143" t="n"/>
      <c r="T251" s="143" t="n"/>
      <c r="U251" s="143" t="n"/>
      <c r="V251" s="143" t="n"/>
      <c r="W251" s="143" t="n"/>
      <c r="X251" s="143" t="n"/>
      <c r="Y251" s="143" t="n"/>
      <c r="Z251" s="143" t="n"/>
    </row>
    <row r="252" ht="19.5" customHeight="1" s="398">
      <c r="A252" s="149" t="n"/>
      <c r="B252" s="143" t="n"/>
      <c r="C252" s="143" t="n"/>
      <c r="D252" s="143" t="n"/>
      <c r="E252" s="143" t="n"/>
      <c r="F252" s="143" t="n"/>
      <c r="G252" s="143" t="n"/>
      <c r="H252" s="143" t="n"/>
      <c r="I252" s="143" t="n"/>
      <c r="J252" s="143" t="n"/>
      <c r="K252" s="143" t="n"/>
      <c r="L252" s="143" t="n"/>
      <c r="M252" s="143" t="n"/>
      <c r="N252" s="143" t="n"/>
      <c r="O252" s="143" t="n"/>
      <c r="P252" s="143" t="n"/>
      <c r="Q252" s="143" t="n"/>
      <c r="R252" s="143" t="n"/>
      <c r="S252" s="143" t="n"/>
      <c r="T252" s="143" t="n"/>
      <c r="U252" s="143" t="n"/>
      <c r="V252" s="143" t="n"/>
      <c r="W252" s="143" t="n"/>
      <c r="X252" s="143" t="n"/>
      <c r="Y252" s="143" t="n"/>
      <c r="Z252" s="143" t="n"/>
    </row>
    <row r="253" ht="19.5" customHeight="1" s="398">
      <c r="A253" s="149" t="n"/>
      <c r="B253" s="143" t="n"/>
      <c r="C253" s="143" t="n"/>
      <c r="D253" s="143" t="n"/>
      <c r="E253" s="143" t="n"/>
      <c r="F253" s="143" t="n"/>
      <c r="G253" s="143" t="n"/>
      <c r="H253" s="143" t="n"/>
      <c r="I253" s="143" t="n"/>
      <c r="J253" s="143" t="n"/>
      <c r="K253" s="143" t="n"/>
      <c r="L253" s="143" t="n"/>
      <c r="M253" s="143" t="n"/>
      <c r="N253" s="143" t="n"/>
      <c r="O253" s="143" t="n"/>
      <c r="P253" s="143" t="n"/>
      <c r="Q253" s="143" t="n"/>
      <c r="R253" s="143" t="n"/>
      <c r="S253" s="143" t="n"/>
      <c r="T253" s="143" t="n"/>
      <c r="U253" s="143" t="n"/>
      <c r="V253" s="143" t="n"/>
      <c r="W253" s="143" t="n"/>
      <c r="X253" s="143" t="n"/>
      <c r="Y253" s="143" t="n"/>
      <c r="Z253" s="143" t="n"/>
    </row>
    <row r="254" ht="19.5" customHeight="1" s="398">
      <c r="A254" s="149" t="n"/>
      <c r="B254" s="143" t="n"/>
      <c r="C254" s="143" t="n"/>
      <c r="D254" s="143" t="n"/>
      <c r="E254" s="143" t="n"/>
      <c r="F254" s="143" t="n"/>
      <c r="G254" s="143" t="n"/>
      <c r="H254" s="143" t="n"/>
      <c r="I254" s="143" t="n"/>
      <c r="J254" s="143" t="n"/>
      <c r="K254" s="143" t="n"/>
      <c r="L254" s="143" t="n"/>
      <c r="M254" s="143" t="n"/>
      <c r="N254" s="143" t="n"/>
      <c r="O254" s="143" t="n"/>
      <c r="P254" s="143" t="n"/>
      <c r="Q254" s="143" t="n"/>
      <c r="R254" s="143" t="n"/>
      <c r="S254" s="143" t="n"/>
      <c r="T254" s="143" t="n"/>
      <c r="U254" s="143" t="n"/>
      <c r="V254" s="143" t="n"/>
      <c r="W254" s="143" t="n"/>
      <c r="X254" s="143" t="n"/>
      <c r="Y254" s="143" t="n"/>
      <c r="Z254" s="143" t="n"/>
    </row>
    <row r="255" ht="19.5" customHeight="1" s="398">
      <c r="A255" s="149" t="n"/>
      <c r="B255" s="143" t="n"/>
      <c r="C255" s="143" t="n"/>
      <c r="D255" s="143" t="n"/>
      <c r="E255" s="143" t="n"/>
      <c r="F255" s="143" t="n"/>
      <c r="G255" s="143" t="n"/>
      <c r="H255" s="143" t="n"/>
      <c r="I255" s="143" t="n"/>
      <c r="J255" s="143" t="n"/>
      <c r="K255" s="143" t="n"/>
      <c r="L255" s="143" t="n"/>
      <c r="M255" s="143" t="n"/>
      <c r="N255" s="143" t="n"/>
      <c r="O255" s="143" t="n"/>
      <c r="P255" s="143" t="n"/>
      <c r="Q255" s="143" t="n"/>
      <c r="R255" s="143" t="n"/>
      <c r="S255" s="143" t="n"/>
      <c r="T255" s="143" t="n"/>
      <c r="U255" s="143" t="n"/>
      <c r="V255" s="143" t="n"/>
      <c r="W255" s="143" t="n"/>
      <c r="X255" s="143" t="n"/>
      <c r="Y255" s="143" t="n"/>
      <c r="Z255" s="143" t="n"/>
    </row>
    <row r="256" ht="19.5" customHeight="1" s="398">
      <c r="A256" s="149" t="n"/>
      <c r="B256" s="143" t="n"/>
      <c r="C256" s="143" t="n"/>
      <c r="D256" s="143" t="n"/>
      <c r="E256" s="143" t="n"/>
      <c r="F256" s="143" t="n"/>
      <c r="G256" s="143" t="n"/>
      <c r="H256" s="143" t="n"/>
      <c r="I256" s="143" t="n"/>
      <c r="J256" s="143" t="n"/>
      <c r="K256" s="143" t="n"/>
      <c r="L256" s="143" t="n"/>
      <c r="M256" s="143" t="n"/>
      <c r="N256" s="143" t="n"/>
      <c r="O256" s="143" t="n"/>
      <c r="P256" s="143" t="n"/>
      <c r="Q256" s="143" t="n"/>
      <c r="R256" s="143" t="n"/>
      <c r="S256" s="143" t="n"/>
      <c r="T256" s="143" t="n"/>
      <c r="U256" s="143" t="n"/>
      <c r="V256" s="143" t="n"/>
      <c r="W256" s="143" t="n"/>
      <c r="X256" s="143" t="n"/>
      <c r="Y256" s="143" t="n"/>
      <c r="Z256" s="143" t="n"/>
    </row>
    <row r="257" ht="19.5" customHeight="1" s="398">
      <c r="A257" s="149" t="n"/>
      <c r="B257" s="143" t="n"/>
      <c r="C257" s="143" t="n"/>
      <c r="D257" s="143" t="n"/>
      <c r="E257" s="143" t="n"/>
      <c r="F257" s="143" t="n"/>
      <c r="G257" s="143" t="n"/>
      <c r="H257" s="143" t="n"/>
      <c r="I257" s="143" t="n"/>
      <c r="J257" s="143" t="n"/>
      <c r="K257" s="143" t="n"/>
      <c r="L257" s="143" t="n"/>
      <c r="M257" s="143" t="n"/>
      <c r="N257" s="143" t="n"/>
      <c r="O257" s="143" t="n"/>
      <c r="P257" s="143" t="n"/>
      <c r="Q257" s="143" t="n"/>
      <c r="R257" s="143" t="n"/>
      <c r="S257" s="143" t="n"/>
      <c r="T257" s="143" t="n"/>
      <c r="U257" s="143" t="n"/>
      <c r="V257" s="143" t="n"/>
      <c r="W257" s="143" t="n"/>
      <c r="X257" s="143" t="n"/>
      <c r="Y257" s="143" t="n"/>
      <c r="Z257" s="143" t="n"/>
    </row>
    <row r="258" ht="19.5" customHeight="1" s="398">
      <c r="A258" s="149" t="n"/>
      <c r="B258" s="143" t="n"/>
      <c r="C258" s="143" t="n"/>
      <c r="D258" s="143" t="n"/>
      <c r="E258" s="143" t="n"/>
      <c r="F258" s="143" t="n"/>
      <c r="G258" s="143" t="n"/>
      <c r="H258" s="143" t="n"/>
      <c r="I258" s="143" t="n"/>
      <c r="J258" s="143" t="n"/>
      <c r="K258" s="143" t="n"/>
      <c r="L258" s="143" t="n"/>
      <c r="M258" s="143" t="n"/>
      <c r="N258" s="143" t="n"/>
      <c r="O258" s="143" t="n"/>
      <c r="P258" s="143" t="n"/>
      <c r="Q258" s="143" t="n"/>
      <c r="R258" s="143" t="n"/>
      <c r="S258" s="143" t="n"/>
      <c r="T258" s="143" t="n"/>
      <c r="U258" s="143" t="n"/>
      <c r="V258" s="143" t="n"/>
      <c r="W258" s="143" t="n"/>
      <c r="X258" s="143" t="n"/>
      <c r="Y258" s="143" t="n"/>
      <c r="Z258" s="143" t="n"/>
    </row>
    <row r="259" ht="19.5" customHeight="1" s="398">
      <c r="A259" s="149" t="n"/>
      <c r="B259" s="143" t="n"/>
      <c r="C259" s="143" t="n"/>
      <c r="D259" s="143" t="n"/>
      <c r="E259" s="143" t="n"/>
      <c r="F259" s="143" t="n"/>
      <c r="G259" s="143" t="n"/>
      <c r="H259" s="143" t="n"/>
      <c r="I259" s="143" t="n"/>
      <c r="J259" s="143" t="n"/>
      <c r="K259" s="143" t="n"/>
      <c r="L259" s="143" t="n"/>
      <c r="M259" s="143" t="n"/>
      <c r="N259" s="143" t="n"/>
      <c r="O259" s="143" t="n"/>
      <c r="P259" s="143" t="n"/>
      <c r="Q259" s="143" t="n"/>
      <c r="R259" s="143" t="n"/>
      <c r="S259" s="143" t="n"/>
      <c r="T259" s="143" t="n"/>
      <c r="U259" s="143" t="n"/>
      <c r="V259" s="143" t="n"/>
      <c r="W259" s="143" t="n"/>
      <c r="X259" s="143" t="n"/>
      <c r="Y259" s="143" t="n"/>
      <c r="Z259" s="143" t="n"/>
    </row>
    <row r="260" ht="19.5" customHeight="1" s="398">
      <c r="A260" s="149" t="n"/>
      <c r="B260" s="143" t="n"/>
      <c r="C260" s="143" t="n"/>
      <c r="D260" s="143" t="n"/>
      <c r="E260" s="143" t="n"/>
      <c r="F260" s="143" t="n"/>
      <c r="G260" s="143" t="n"/>
      <c r="H260" s="143" t="n"/>
      <c r="I260" s="143" t="n"/>
      <c r="J260" s="143" t="n"/>
      <c r="K260" s="143" t="n"/>
      <c r="L260" s="143" t="n"/>
      <c r="M260" s="143" t="n"/>
      <c r="N260" s="143" t="n"/>
      <c r="O260" s="143" t="n"/>
      <c r="P260" s="143" t="n"/>
      <c r="Q260" s="143" t="n"/>
      <c r="R260" s="143" t="n"/>
      <c r="S260" s="143" t="n"/>
      <c r="T260" s="143" t="n"/>
      <c r="U260" s="143" t="n"/>
      <c r="V260" s="143" t="n"/>
      <c r="W260" s="143" t="n"/>
      <c r="X260" s="143" t="n"/>
      <c r="Y260" s="143" t="n"/>
      <c r="Z260" s="143" t="n"/>
    </row>
    <row r="261" ht="19.5" customHeight="1" s="398">
      <c r="A261" s="149" t="n"/>
      <c r="B261" s="143" t="n"/>
      <c r="C261" s="143" t="n"/>
      <c r="D261" s="143" t="n"/>
      <c r="E261" s="143" t="n"/>
      <c r="F261" s="143" t="n"/>
      <c r="G261" s="143" t="n"/>
      <c r="H261" s="143" t="n"/>
      <c r="I261" s="143" t="n"/>
      <c r="J261" s="143" t="n"/>
      <c r="K261" s="143" t="n"/>
      <c r="L261" s="143" t="n"/>
      <c r="M261" s="143" t="n"/>
      <c r="N261" s="143" t="n"/>
      <c r="O261" s="143" t="n"/>
      <c r="P261" s="143" t="n"/>
      <c r="Q261" s="143" t="n"/>
      <c r="R261" s="143" t="n"/>
      <c r="S261" s="143" t="n"/>
      <c r="T261" s="143" t="n"/>
      <c r="U261" s="143" t="n"/>
      <c r="V261" s="143" t="n"/>
      <c r="W261" s="143" t="n"/>
      <c r="X261" s="143" t="n"/>
      <c r="Y261" s="143" t="n"/>
      <c r="Z261" s="143" t="n"/>
    </row>
    <row r="262" ht="19.5" customHeight="1" s="398">
      <c r="A262" s="149" t="n"/>
      <c r="B262" s="143" t="n"/>
      <c r="C262" s="143" t="n"/>
      <c r="D262" s="143" t="n"/>
      <c r="E262" s="143" t="n"/>
      <c r="F262" s="143" t="n"/>
      <c r="G262" s="143" t="n"/>
      <c r="H262" s="143" t="n"/>
      <c r="I262" s="143" t="n"/>
      <c r="J262" s="143" t="n"/>
      <c r="K262" s="143" t="n"/>
      <c r="L262" s="143" t="n"/>
      <c r="M262" s="143" t="n"/>
      <c r="N262" s="143" t="n"/>
      <c r="O262" s="143" t="n"/>
      <c r="P262" s="143" t="n"/>
      <c r="Q262" s="143" t="n"/>
      <c r="R262" s="143" t="n"/>
      <c r="S262" s="143" t="n"/>
      <c r="T262" s="143" t="n"/>
      <c r="U262" s="143" t="n"/>
      <c r="V262" s="143" t="n"/>
      <c r="W262" s="143" t="n"/>
      <c r="X262" s="143" t="n"/>
      <c r="Y262" s="143" t="n"/>
      <c r="Z262" s="143" t="n"/>
    </row>
    <row r="263" ht="19.5" customHeight="1" s="398">
      <c r="A263" s="149" t="n"/>
      <c r="B263" s="143" t="n"/>
      <c r="C263" s="143" t="n"/>
      <c r="D263" s="143" t="n"/>
      <c r="E263" s="143" t="n"/>
      <c r="F263" s="143" t="n"/>
      <c r="G263" s="143" t="n"/>
      <c r="H263" s="143" t="n"/>
      <c r="I263" s="143" t="n"/>
      <c r="J263" s="143" t="n"/>
      <c r="K263" s="143" t="n"/>
      <c r="L263" s="143" t="n"/>
      <c r="M263" s="143" t="n"/>
      <c r="N263" s="143" t="n"/>
      <c r="O263" s="143" t="n"/>
      <c r="P263" s="143" t="n"/>
      <c r="Q263" s="143" t="n"/>
      <c r="R263" s="143" t="n"/>
      <c r="S263" s="143" t="n"/>
      <c r="T263" s="143" t="n"/>
      <c r="U263" s="143" t="n"/>
      <c r="V263" s="143" t="n"/>
      <c r="W263" s="143" t="n"/>
      <c r="X263" s="143" t="n"/>
      <c r="Y263" s="143" t="n"/>
      <c r="Z263" s="143" t="n"/>
    </row>
    <row r="264" ht="19.5" customHeight="1" s="398">
      <c r="A264" s="149" t="n"/>
      <c r="B264" s="143" t="n"/>
      <c r="C264" s="143" t="n"/>
      <c r="D264" s="143" t="n"/>
      <c r="E264" s="143" t="n"/>
      <c r="F264" s="143" t="n"/>
      <c r="G264" s="143" t="n"/>
      <c r="H264" s="143" t="n"/>
      <c r="I264" s="143" t="n"/>
      <c r="J264" s="143" t="n"/>
      <c r="K264" s="143" t="n"/>
      <c r="L264" s="143" t="n"/>
      <c r="M264" s="143" t="n"/>
      <c r="N264" s="143" t="n"/>
      <c r="O264" s="143" t="n"/>
      <c r="P264" s="143" t="n"/>
      <c r="Q264" s="143" t="n"/>
      <c r="R264" s="143" t="n"/>
      <c r="S264" s="143" t="n"/>
      <c r="T264" s="143" t="n"/>
      <c r="U264" s="143" t="n"/>
      <c r="V264" s="143" t="n"/>
      <c r="W264" s="143" t="n"/>
      <c r="X264" s="143" t="n"/>
      <c r="Y264" s="143" t="n"/>
      <c r="Z264" s="143" t="n"/>
    </row>
    <row r="265" ht="19.5" customHeight="1" s="398">
      <c r="A265" s="149" t="n"/>
      <c r="B265" s="143" t="n"/>
      <c r="C265" s="143" t="n"/>
      <c r="D265" s="143" t="n"/>
      <c r="E265" s="143" t="n"/>
      <c r="F265" s="143" t="n"/>
      <c r="G265" s="143" t="n"/>
      <c r="H265" s="143" t="n"/>
      <c r="I265" s="143" t="n"/>
      <c r="J265" s="143" t="n"/>
      <c r="K265" s="143" t="n"/>
      <c r="L265" s="143" t="n"/>
      <c r="M265" s="143" t="n"/>
      <c r="N265" s="143" t="n"/>
      <c r="O265" s="143" t="n"/>
      <c r="P265" s="143" t="n"/>
      <c r="Q265" s="143" t="n"/>
      <c r="R265" s="143" t="n"/>
      <c r="S265" s="143" t="n"/>
      <c r="T265" s="143" t="n"/>
      <c r="U265" s="143" t="n"/>
      <c r="V265" s="143" t="n"/>
      <c r="W265" s="143" t="n"/>
      <c r="X265" s="143" t="n"/>
      <c r="Y265" s="143" t="n"/>
      <c r="Z265" s="143" t="n"/>
    </row>
    <row r="266" ht="19.5" customHeight="1" s="398">
      <c r="A266" s="149" t="n"/>
      <c r="B266" s="143" t="n"/>
      <c r="C266" s="143" t="n"/>
      <c r="D266" s="143" t="n"/>
      <c r="E266" s="143" t="n"/>
      <c r="F266" s="143" t="n"/>
      <c r="G266" s="143" t="n"/>
      <c r="H266" s="143" t="n"/>
      <c r="I266" s="143" t="n"/>
      <c r="J266" s="143" t="n"/>
      <c r="K266" s="143" t="n"/>
      <c r="L266" s="143" t="n"/>
      <c r="M266" s="143" t="n"/>
      <c r="N266" s="143" t="n"/>
      <c r="O266" s="143" t="n"/>
      <c r="P266" s="143" t="n"/>
      <c r="Q266" s="143" t="n"/>
      <c r="R266" s="143" t="n"/>
      <c r="S266" s="143" t="n"/>
      <c r="T266" s="143" t="n"/>
      <c r="U266" s="143" t="n"/>
      <c r="V266" s="143" t="n"/>
      <c r="W266" s="143" t="n"/>
      <c r="X266" s="143" t="n"/>
      <c r="Y266" s="143" t="n"/>
      <c r="Z266" s="143" t="n"/>
    </row>
    <row r="267" ht="19.5" customHeight="1" s="398">
      <c r="A267" s="149" t="n"/>
      <c r="B267" s="143" t="n"/>
      <c r="C267" s="143" t="n"/>
      <c r="D267" s="143" t="n"/>
      <c r="E267" s="143" t="n"/>
      <c r="F267" s="143" t="n"/>
      <c r="G267" s="143" t="n"/>
      <c r="H267" s="143" t="n"/>
      <c r="I267" s="143" t="n"/>
      <c r="J267" s="143" t="n"/>
      <c r="K267" s="143" t="n"/>
      <c r="L267" s="143" t="n"/>
      <c r="M267" s="143" t="n"/>
      <c r="N267" s="143" t="n"/>
      <c r="O267" s="143" t="n"/>
      <c r="P267" s="143" t="n"/>
      <c r="Q267" s="143" t="n"/>
      <c r="R267" s="143" t="n"/>
      <c r="S267" s="143" t="n"/>
      <c r="T267" s="143" t="n"/>
      <c r="U267" s="143" t="n"/>
      <c r="V267" s="143" t="n"/>
      <c r="W267" s="143" t="n"/>
      <c r="X267" s="143" t="n"/>
      <c r="Y267" s="143" t="n"/>
      <c r="Z267" s="143" t="n"/>
    </row>
    <row r="268" ht="19.5" customHeight="1" s="398">
      <c r="A268" s="149" t="n"/>
      <c r="B268" s="143" t="n"/>
      <c r="C268" s="143" t="n"/>
      <c r="D268" s="143" t="n"/>
      <c r="E268" s="143" t="n"/>
      <c r="F268" s="143" t="n"/>
      <c r="G268" s="143" t="n"/>
      <c r="H268" s="143" t="n"/>
      <c r="I268" s="143" t="n"/>
      <c r="J268" s="143" t="n"/>
      <c r="K268" s="143" t="n"/>
      <c r="L268" s="143" t="n"/>
      <c r="M268" s="143" t="n"/>
      <c r="N268" s="143" t="n"/>
      <c r="O268" s="143" t="n"/>
      <c r="P268" s="143" t="n"/>
      <c r="Q268" s="143" t="n"/>
      <c r="R268" s="143" t="n"/>
      <c r="S268" s="143" t="n"/>
      <c r="T268" s="143" t="n"/>
      <c r="U268" s="143" t="n"/>
      <c r="V268" s="143" t="n"/>
      <c r="W268" s="143" t="n"/>
      <c r="X268" s="143" t="n"/>
      <c r="Y268" s="143" t="n"/>
      <c r="Z268" s="143" t="n"/>
    </row>
    <row r="269" ht="19.5" customHeight="1" s="398">
      <c r="A269" s="149" t="n"/>
      <c r="B269" s="143" t="n"/>
      <c r="C269" s="143" t="n"/>
      <c r="D269" s="143" t="n"/>
      <c r="E269" s="143" t="n"/>
      <c r="F269" s="143" t="n"/>
      <c r="G269" s="143" t="n"/>
      <c r="H269" s="143" t="n"/>
      <c r="I269" s="143" t="n"/>
      <c r="J269" s="143" t="n"/>
      <c r="K269" s="143" t="n"/>
      <c r="L269" s="143" t="n"/>
      <c r="M269" s="143" t="n"/>
      <c r="N269" s="143" t="n"/>
      <c r="O269" s="143" t="n"/>
      <c r="P269" s="143" t="n"/>
      <c r="Q269" s="143" t="n"/>
      <c r="R269" s="143" t="n"/>
      <c r="S269" s="143" t="n"/>
      <c r="T269" s="143" t="n"/>
      <c r="U269" s="143" t="n"/>
      <c r="V269" s="143" t="n"/>
      <c r="W269" s="143" t="n"/>
      <c r="X269" s="143" t="n"/>
      <c r="Y269" s="143" t="n"/>
      <c r="Z269" s="143" t="n"/>
    </row>
    <row r="270" ht="19.5" customHeight="1" s="398">
      <c r="A270" s="149" t="n"/>
      <c r="B270" s="143" t="n"/>
      <c r="C270" s="143" t="n"/>
      <c r="D270" s="143" t="n"/>
      <c r="E270" s="143" t="n"/>
      <c r="F270" s="143" t="n"/>
      <c r="G270" s="143" t="n"/>
      <c r="H270" s="143" t="n"/>
      <c r="I270" s="143" t="n"/>
      <c r="J270" s="143" t="n"/>
      <c r="K270" s="143" t="n"/>
      <c r="L270" s="143" t="n"/>
      <c r="M270" s="143" t="n"/>
      <c r="N270" s="143" t="n"/>
      <c r="O270" s="143" t="n"/>
      <c r="P270" s="143" t="n"/>
      <c r="Q270" s="143" t="n"/>
      <c r="R270" s="143" t="n"/>
      <c r="S270" s="143" t="n"/>
      <c r="T270" s="143" t="n"/>
      <c r="U270" s="143" t="n"/>
      <c r="V270" s="143" t="n"/>
      <c r="W270" s="143" t="n"/>
      <c r="X270" s="143" t="n"/>
      <c r="Y270" s="143" t="n"/>
      <c r="Z270" s="143" t="n"/>
    </row>
    <row r="271" ht="19.5" customHeight="1" s="398">
      <c r="A271" s="149" t="n"/>
      <c r="B271" s="143" t="n"/>
      <c r="C271" s="143" t="n"/>
      <c r="D271" s="143" t="n"/>
      <c r="E271" s="143" t="n"/>
      <c r="F271" s="143" t="n"/>
      <c r="G271" s="143" t="n"/>
      <c r="H271" s="143" t="n"/>
      <c r="I271" s="143" t="n"/>
      <c r="J271" s="143" t="n"/>
      <c r="K271" s="143" t="n"/>
      <c r="L271" s="143" t="n"/>
      <c r="M271" s="143" t="n"/>
      <c r="N271" s="143" t="n"/>
      <c r="O271" s="143" t="n"/>
      <c r="P271" s="143" t="n"/>
      <c r="Q271" s="143" t="n"/>
      <c r="R271" s="143" t="n"/>
      <c r="S271" s="143" t="n"/>
      <c r="T271" s="143" t="n"/>
      <c r="U271" s="143" t="n"/>
      <c r="V271" s="143" t="n"/>
      <c r="W271" s="143" t="n"/>
      <c r="X271" s="143" t="n"/>
      <c r="Y271" s="143" t="n"/>
      <c r="Z271" s="143" t="n"/>
    </row>
    <row r="272" ht="19.5" customHeight="1" s="398">
      <c r="A272" s="149" t="n"/>
      <c r="B272" s="143" t="n"/>
      <c r="C272" s="143" t="n"/>
      <c r="D272" s="143" t="n"/>
      <c r="E272" s="143" t="n"/>
      <c r="F272" s="143" t="n"/>
      <c r="G272" s="143" t="n"/>
      <c r="H272" s="143" t="n"/>
      <c r="I272" s="143" t="n"/>
      <c r="J272" s="143" t="n"/>
      <c r="K272" s="143" t="n"/>
      <c r="L272" s="143" t="n"/>
      <c r="M272" s="143" t="n"/>
      <c r="N272" s="143" t="n"/>
      <c r="O272" s="143" t="n"/>
      <c r="P272" s="143" t="n"/>
      <c r="Q272" s="143" t="n"/>
      <c r="R272" s="143" t="n"/>
      <c r="S272" s="143" t="n"/>
      <c r="T272" s="143" t="n"/>
      <c r="U272" s="143" t="n"/>
      <c r="V272" s="143" t="n"/>
      <c r="W272" s="143" t="n"/>
      <c r="X272" s="143" t="n"/>
      <c r="Y272" s="143" t="n"/>
      <c r="Z272" s="143" t="n"/>
    </row>
    <row r="273" ht="19.5" customHeight="1" s="398">
      <c r="A273" s="149" t="n"/>
      <c r="B273" s="143" t="n"/>
      <c r="C273" s="143" t="n"/>
      <c r="D273" s="143" t="n"/>
      <c r="E273" s="143" t="n"/>
      <c r="F273" s="143" t="n"/>
      <c r="G273" s="143" t="n"/>
      <c r="H273" s="143" t="n"/>
      <c r="I273" s="143" t="n"/>
      <c r="J273" s="143" t="n"/>
      <c r="K273" s="143" t="n"/>
      <c r="L273" s="143" t="n"/>
      <c r="M273" s="143" t="n"/>
      <c r="N273" s="143" t="n"/>
      <c r="O273" s="143" t="n"/>
      <c r="P273" s="143" t="n"/>
      <c r="Q273" s="143" t="n"/>
      <c r="R273" s="143" t="n"/>
      <c r="S273" s="143" t="n"/>
      <c r="T273" s="143" t="n"/>
      <c r="U273" s="143" t="n"/>
      <c r="V273" s="143" t="n"/>
      <c r="W273" s="143" t="n"/>
      <c r="X273" s="143" t="n"/>
      <c r="Y273" s="143" t="n"/>
      <c r="Z273" s="143" t="n"/>
    </row>
    <row r="274" ht="19.5" customHeight="1" s="398">
      <c r="A274" s="149" t="n"/>
      <c r="B274" s="143" t="n"/>
      <c r="C274" s="143" t="n"/>
      <c r="D274" s="143" t="n"/>
      <c r="E274" s="143" t="n"/>
      <c r="F274" s="143" t="n"/>
      <c r="G274" s="143" t="n"/>
      <c r="H274" s="143" t="n"/>
      <c r="I274" s="143" t="n"/>
      <c r="J274" s="143" t="n"/>
      <c r="K274" s="143" t="n"/>
      <c r="L274" s="143" t="n"/>
      <c r="M274" s="143" t="n"/>
      <c r="N274" s="143" t="n"/>
      <c r="O274" s="143" t="n"/>
      <c r="P274" s="143" t="n"/>
      <c r="Q274" s="143" t="n"/>
      <c r="R274" s="143" t="n"/>
      <c r="S274" s="143" t="n"/>
      <c r="T274" s="143" t="n"/>
      <c r="U274" s="143" t="n"/>
      <c r="V274" s="143" t="n"/>
      <c r="W274" s="143" t="n"/>
      <c r="X274" s="143" t="n"/>
      <c r="Y274" s="143" t="n"/>
      <c r="Z274" s="143" t="n"/>
    </row>
    <row r="275" ht="19.5" customHeight="1" s="398">
      <c r="A275" s="149" t="n"/>
      <c r="B275" s="143" t="n"/>
      <c r="C275" s="143" t="n"/>
      <c r="D275" s="143" t="n"/>
      <c r="E275" s="143" t="n"/>
      <c r="F275" s="143" t="n"/>
      <c r="G275" s="143" t="n"/>
      <c r="H275" s="143" t="n"/>
      <c r="I275" s="143" t="n"/>
      <c r="J275" s="143" t="n"/>
      <c r="K275" s="143" t="n"/>
      <c r="L275" s="143" t="n"/>
      <c r="M275" s="143" t="n"/>
      <c r="N275" s="143" t="n"/>
      <c r="O275" s="143" t="n"/>
      <c r="P275" s="143" t="n"/>
      <c r="Q275" s="143" t="n"/>
      <c r="R275" s="143" t="n"/>
      <c r="S275" s="143" t="n"/>
      <c r="T275" s="143" t="n"/>
      <c r="U275" s="143" t="n"/>
      <c r="V275" s="143" t="n"/>
      <c r="W275" s="143" t="n"/>
      <c r="X275" s="143" t="n"/>
      <c r="Y275" s="143" t="n"/>
      <c r="Z275" s="143" t="n"/>
    </row>
    <row r="276" ht="19.5" customHeight="1" s="398">
      <c r="A276" s="149" t="n"/>
      <c r="B276" s="143" t="n"/>
      <c r="C276" s="143" t="n"/>
      <c r="D276" s="143" t="n"/>
      <c r="E276" s="143" t="n"/>
      <c r="F276" s="143" t="n"/>
      <c r="G276" s="143" t="n"/>
      <c r="H276" s="143" t="n"/>
      <c r="I276" s="143" t="n"/>
      <c r="J276" s="143" t="n"/>
      <c r="K276" s="143" t="n"/>
      <c r="L276" s="143" t="n"/>
      <c r="M276" s="143" t="n"/>
      <c r="N276" s="143" t="n"/>
      <c r="O276" s="143" t="n"/>
      <c r="P276" s="143" t="n"/>
      <c r="Q276" s="143" t="n"/>
      <c r="R276" s="143" t="n"/>
      <c r="S276" s="143" t="n"/>
      <c r="T276" s="143" t="n"/>
      <c r="U276" s="143" t="n"/>
      <c r="V276" s="143" t="n"/>
      <c r="W276" s="143" t="n"/>
      <c r="X276" s="143" t="n"/>
      <c r="Y276" s="143" t="n"/>
      <c r="Z276" s="143" t="n"/>
    </row>
    <row r="277" ht="19.5" customHeight="1" s="398">
      <c r="A277" s="149" t="n"/>
      <c r="B277" s="143" t="n"/>
      <c r="C277" s="143" t="n"/>
      <c r="D277" s="143" t="n"/>
      <c r="E277" s="143" t="n"/>
      <c r="F277" s="143" t="n"/>
      <c r="G277" s="143" t="n"/>
      <c r="H277" s="143" t="n"/>
      <c r="I277" s="143" t="n"/>
      <c r="J277" s="143" t="n"/>
      <c r="K277" s="143" t="n"/>
      <c r="L277" s="143" t="n"/>
      <c r="M277" s="143" t="n"/>
      <c r="N277" s="143" t="n"/>
      <c r="O277" s="143" t="n"/>
      <c r="P277" s="143" t="n"/>
      <c r="Q277" s="143" t="n"/>
      <c r="R277" s="143" t="n"/>
      <c r="S277" s="143" t="n"/>
      <c r="T277" s="143" t="n"/>
      <c r="U277" s="143" t="n"/>
      <c r="V277" s="143" t="n"/>
      <c r="W277" s="143" t="n"/>
      <c r="X277" s="143" t="n"/>
      <c r="Y277" s="143" t="n"/>
      <c r="Z277" s="143" t="n"/>
    </row>
    <row r="278" ht="19.5" customHeight="1" s="398">
      <c r="A278" s="149" t="n"/>
      <c r="B278" s="143" t="n"/>
      <c r="C278" s="143" t="n"/>
      <c r="D278" s="143" t="n"/>
      <c r="E278" s="143" t="n"/>
      <c r="F278" s="143" t="n"/>
      <c r="G278" s="143" t="n"/>
      <c r="H278" s="143" t="n"/>
      <c r="I278" s="143" t="n"/>
      <c r="J278" s="143" t="n"/>
      <c r="K278" s="143" t="n"/>
      <c r="L278" s="143" t="n"/>
      <c r="M278" s="143" t="n"/>
      <c r="N278" s="143" t="n"/>
      <c r="O278" s="143" t="n"/>
      <c r="P278" s="143" t="n"/>
      <c r="Q278" s="143" t="n"/>
      <c r="R278" s="143" t="n"/>
      <c r="S278" s="143" t="n"/>
      <c r="T278" s="143" t="n"/>
      <c r="U278" s="143" t="n"/>
      <c r="V278" s="143" t="n"/>
      <c r="W278" s="143" t="n"/>
      <c r="X278" s="143" t="n"/>
      <c r="Y278" s="143" t="n"/>
      <c r="Z278" s="143" t="n"/>
    </row>
    <row r="279" ht="19.5" customHeight="1" s="398">
      <c r="A279" s="149" t="n"/>
      <c r="B279" s="143" t="n"/>
      <c r="C279" s="143" t="n"/>
      <c r="D279" s="143" t="n"/>
      <c r="E279" s="143" t="n"/>
      <c r="F279" s="143" t="n"/>
      <c r="G279" s="143" t="n"/>
      <c r="H279" s="143" t="n"/>
      <c r="I279" s="143" t="n"/>
      <c r="J279" s="143" t="n"/>
      <c r="K279" s="143" t="n"/>
      <c r="L279" s="143" t="n"/>
      <c r="M279" s="143" t="n"/>
      <c r="N279" s="143" t="n"/>
      <c r="O279" s="143" t="n"/>
      <c r="P279" s="143" t="n"/>
      <c r="Q279" s="143" t="n"/>
      <c r="R279" s="143" t="n"/>
      <c r="S279" s="143" t="n"/>
      <c r="T279" s="143" t="n"/>
      <c r="U279" s="143" t="n"/>
      <c r="V279" s="143" t="n"/>
      <c r="W279" s="143" t="n"/>
      <c r="X279" s="143" t="n"/>
      <c r="Y279" s="143" t="n"/>
      <c r="Z279" s="143" t="n"/>
    </row>
    <row r="280" ht="19.5" customHeight="1" s="398">
      <c r="A280" s="149" t="n"/>
      <c r="B280" s="143" t="n"/>
      <c r="C280" s="143" t="n"/>
      <c r="D280" s="143" t="n"/>
      <c r="E280" s="143" t="n"/>
      <c r="F280" s="143" t="n"/>
      <c r="G280" s="143" t="n"/>
      <c r="H280" s="143" t="n"/>
      <c r="I280" s="143" t="n"/>
      <c r="J280" s="143" t="n"/>
      <c r="K280" s="143" t="n"/>
      <c r="L280" s="143" t="n"/>
      <c r="M280" s="143" t="n"/>
      <c r="N280" s="143" t="n"/>
      <c r="O280" s="143" t="n"/>
      <c r="P280" s="143" t="n"/>
      <c r="Q280" s="143" t="n"/>
      <c r="R280" s="143" t="n"/>
      <c r="S280" s="143" t="n"/>
      <c r="T280" s="143" t="n"/>
      <c r="U280" s="143" t="n"/>
      <c r="V280" s="143" t="n"/>
      <c r="W280" s="143" t="n"/>
      <c r="X280" s="143" t="n"/>
      <c r="Y280" s="143" t="n"/>
      <c r="Z280" s="143" t="n"/>
    </row>
    <row r="281" ht="19.5" customHeight="1" s="398">
      <c r="A281" s="149" t="n"/>
      <c r="B281" s="143" t="n"/>
      <c r="C281" s="143" t="n"/>
      <c r="D281" s="143" t="n"/>
      <c r="E281" s="143" t="n"/>
      <c r="F281" s="143" t="n"/>
      <c r="G281" s="143" t="n"/>
      <c r="H281" s="143" t="n"/>
      <c r="I281" s="143" t="n"/>
      <c r="J281" s="143" t="n"/>
      <c r="K281" s="143" t="n"/>
      <c r="L281" s="143" t="n"/>
      <c r="M281" s="143" t="n"/>
      <c r="N281" s="143" t="n"/>
      <c r="O281" s="143" t="n"/>
      <c r="P281" s="143" t="n"/>
      <c r="Q281" s="143" t="n"/>
      <c r="R281" s="143" t="n"/>
      <c r="S281" s="143" t="n"/>
      <c r="T281" s="143" t="n"/>
      <c r="U281" s="143" t="n"/>
      <c r="V281" s="143" t="n"/>
      <c r="W281" s="143" t="n"/>
      <c r="X281" s="143" t="n"/>
      <c r="Y281" s="143" t="n"/>
      <c r="Z281" s="143" t="n"/>
    </row>
    <row r="282" ht="19.5" customHeight="1" s="398">
      <c r="A282" s="149" t="n"/>
      <c r="B282" s="143" t="n"/>
      <c r="C282" s="143" t="n"/>
      <c r="D282" s="143" t="n"/>
      <c r="E282" s="143" t="n"/>
      <c r="F282" s="143" t="n"/>
      <c r="G282" s="143" t="n"/>
      <c r="H282" s="143" t="n"/>
      <c r="I282" s="143" t="n"/>
      <c r="J282" s="143" t="n"/>
      <c r="K282" s="143" t="n"/>
      <c r="L282" s="143" t="n"/>
      <c r="M282" s="143" t="n"/>
      <c r="N282" s="143" t="n"/>
      <c r="O282" s="143" t="n"/>
      <c r="P282" s="143" t="n"/>
      <c r="Q282" s="143" t="n"/>
      <c r="R282" s="143" t="n"/>
      <c r="S282" s="143" t="n"/>
      <c r="T282" s="143" t="n"/>
      <c r="U282" s="143" t="n"/>
      <c r="V282" s="143" t="n"/>
      <c r="W282" s="143" t="n"/>
      <c r="X282" s="143" t="n"/>
      <c r="Y282" s="143" t="n"/>
      <c r="Z282" s="143" t="n"/>
    </row>
    <row r="283" ht="19.5" customHeight="1" s="398">
      <c r="A283" s="149" t="n"/>
      <c r="B283" s="143" t="n"/>
      <c r="C283" s="143" t="n"/>
      <c r="D283" s="143" t="n"/>
      <c r="E283" s="143" t="n"/>
      <c r="F283" s="143" t="n"/>
      <c r="G283" s="143" t="n"/>
      <c r="H283" s="143" t="n"/>
      <c r="I283" s="143" t="n"/>
      <c r="J283" s="143" t="n"/>
      <c r="K283" s="143" t="n"/>
      <c r="L283" s="143" t="n"/>
      <c r="M283" s="143" t="n"/>
      <c r="N283" s="143" t="n"/>
      <c r="O283" s="143" t="n"/>
      <c r="P283" s="143" t="n"/>
      <c r="Q283" s="143" t="n"/>
      <c r="R283" s="143" t="n"/>
      <c r="S283" s="143" t="n"/>
      <c r="T283" s="143" t="n"/>
      <c r="U283" s="143" t="n"/>
      <c r="V283" s="143" t="n"/>
      <c r="W283" s="143" t="n"/>
      <c r="X283" s="143" t="n"/>
      <c r="Y283" s="143" t="n"/>
      <c r="Z283" s="143" t="n"/>
    </row>
    <row r="284" ht="19.5" customHeight="1" s="398">
      <c r="A284" s="149" t="n"/>
      <c r="B284" s="143" t="n"/>
      <c r="C284" s="143" t="n"/>
      <c r="D284" s="143" t="n"/>
      <c r="E284" s="143" t="n"/>
      <c r="F284" s="143" t="n"/>
      <c r="G284" s="143" t="n"/>
      <c r="H284" s="143" t="n"/>
      <c r="I284" s="143" t="n"/>
      <c r="J284" s="143" t="n"/>
      <c r="K284" s="143" t="n"/>
      <c r="L284" s="143" t="n"/>
      <c r="M284" s="143" t="n"/>
      <c r="N284" s="143" t="n"/>
      <c r="O284" s="143" t="n"/>
      <c r="P284" s="143" t="n"/>
      <c r="Q284" s="143" t="n"/>
      <c r="R284" s="143" t="n"/>
      <c r="S284" s="143" t="n"/>
      <c r="T284" s="143" t="n"/>
      <c r="U284" s="143" t="n"/>
      <c r="V284" s="143" t="n"/>
      <c r="W284" s="143" t="n"/>
      <c r="X284" s="143" t="n"/>
      <c r="Y284" s="143" t="n"/>
      <c r="Z284" s="143" t="n"/>
    </row>
    <row r="285" ht="19.5" customHeight="1" s="398">
      <c r="A285" s="149" t="n"/>
      <c r="B285" s="143" t="n"/>
      <c r="C285" s="143" t="n"/>
      <c r="D285" s="143" t="n"/>
      <c r="E285" s="143" t="n"/>
      <c r="F285" s="143" t="n"/>
      <c r="G285" s="143" t="n"/>
      <c r="H285" s="143" t="n"/>
      <c r="I285" s="143" t="n"/>
      <c r="J285" s="143" t="n"/>
      <c r="K285" s="143" t="n"/>
      <c r="L285" s="143" t="n"/>
      <c r="M285" s="143" t="n"/>
      <c r="N285" s="143" t="n"/>
      <c r="O285" s="143" t="n"/>
      <c r="P285" s="143" t="n"/>
      <c r="Q285" s="143" t="n"/>
      <c r="R285" s="143" t="n"/>
      <c r="S285" s="143" t="n"/>
      <c r="T285" s="143" t="n"/>
      <c r="U285" s="143" t="n"/>
      <c r="V285" s="143" t="n"/>
      <c r="W285" s="143" t="n"/>
      <c r="X285" s="143" t="n"/>
      <c r="Y285" s="143" t="n"/>
      <c r="Z285" s="143" t="n"/>
    </row>
    <row r="286" ht="19.5" customHeight="1" s="398">
      <c r="A286" s="149" t="n"/>
      <c r="B286" s="143" t="n"/>
      <c r="C286" s="143" t="n"/>
      <c r="D286" s="143" t="n"/>
      <c r="E286" s="143" t="n"/>
      <c r="F286" s="143" t="n"/>
      <c r="G286" s="143" t="n"/>
      <c r="H286" s="143" t="n"/>
      <c r="I286" s="143" t="n"/>
      <c r="J286" s="143" t="n"/>
      <c r="K286" s="143" t="n"/>
      <c r="L286" s="143" t="n"/>
      <c r="M286" s="143" t="n"/>
      <c r="N286" s="143" t="n"/>
      <c r="O286" s="143" t="n"/>
      <c r="P286" s="143" t="n"/>
      <c r="Q286" s="143" t="n"/>
      <c r="R286" s="143" t="n"/>
      <c r="S286" s="143" t="n"/>
      <c r="T286" s="143" t="n"/>
      <c r="U286" s="143" t="n"/>
      <c r="V286" s="143" t="n"/>
      <c r="W286" s="143" t="n"/>
      <c r="X286" s="143" t="n"/>
      <c r="Y286" s="143" t="n"/>
      <c r="Z286" s="143" t="n"/>
    </row>
    <row r="287" ht="19.5" customHeight="1" s="398">
      <c r="A287" s="149" t="n"/>
      <c r="B287" s="143" t="n"/>
      <c r="C287" s="143" t="n"/>
      <c r="D287" s="143" t="n"/>
      <c r="E287" s="143" t="n"/>
      <c r="F287" s="143" t="n"/>
      <c r="G287" s="143" t="n"/>
      <c r="H287" s="143" t="n"/>
      <c r="I287" s="143" t="n"/>
      <c r="J287" s="143" t="n"/>
      <c r="K287" s="143" t="n"/>
      <c r="L287" s="143" t="n"/>
      <c r="M287" s="143" t="n"/>
      <c r="N287" s="143" t="n"/>
      <c r="O287" s="143" t="n"/>
      <c r="P287" s="143" t="n"/>
      <c r="Q287" s="143" t="n"/>
      <c r="R287" s="143" t="n"/>
      <c r="S287" s="143" t="n"/>
      <c r="T287" s="143" t="n"/>
      <c r="U287" s="143" t="n"/>
      <c r="V287" s="143" t="n"/>
      <c r="W287" s="143" t="n"/>
      <c r="X287" s="143" t="n"/>
      <c r="Y287" s="143" t="n"/>
      <c r="Z287" s="143" t="n"/>
    </row>
    <row r="288" ht="19.5" customHeight="1" s="398">
      <c r="A288" s="149" t="n"/>
      <c r="B288" s="143" t="n"/>
      <c r="C288" s="143" t="n"/>
      <c r="D288" s="143" t="n"/>
      <c r="E288" s="143" t="n"/>
      <c r="F288" s="143" t="n"/>
      <c r="G288" s="143" t="n"/>
      <c r="H288" s="143" t="n"/>
      <c r="I288" s="143" t="n"/>
      <c r="J288" s="143" t="n"/>
      <c r="K288" s="143" t="n"/>
      <c r="L288" s="143" t="n"/>
      <c r="M288" s="143" t="n"/>
      <c r="N288" s="143" t="n"/>
      <c r="O288" s="143" t="n"/>
      <c r="P288" s="143" t="n"/>
      <c r="Q288" s="143" t="n"/>
      <c r="R288" s="143" t="n"/>
      <c r="S288" s="143" t="n"/>
      <c r="T288" s="143" t="n"/>
      <c r="U288" s="143" t="n"/>
      <c r="V288" s="143" t="n"/>
      <c r="W288" s="143" t="n"/>
      <c r="X288" s="143" t="n"/>
      <c r="Y288" s="143" t="n"/>
      <c r="Z288" s="143" t="n"/>
    </row>
    <row r="289" ht="19.5" customHeight="1" s="398">
      <c r="A289" s="149" t="n"/>
      <c r="B289" s="143" t="n"/>
      <c r="C289" s="143" t="n"/>
      <c r="D289" s="143" t="n"/>
      <c r="E289" s="143" t="n"/>
      <c r="F289" s="143" t="n"/>
      <c r="G289" s="143" t="n"/>
      <c r="H289" s="143" t="n"/>
      <c r="I289" s="143" t="n"/>
      <c r="J289" s="143" t="n"/>
      <c r="K289" s="143" t="n"/>
      <c r="L289" s="143" t="n"/>
      <c r="M289" s="143" t="n"/>
      <c r="N289" s="143" t="n"/>
      <c r="O289" s="143" t="n"/>
      <c r="P289" s="143" t="n"/>
      <c r="Q289" s="143" t="n"/>
      <c r="R289" s="143" t="n"/>
      <c r="S289" s="143" t="n"/>
      <c r="T289" s="143" t="n"/>
      <c r="U289" s="143" t="n"/>
      <c r="V289" s="143" t="n"/>
      <c r="W289" s="143" t="n"/>
      <c r="X289" s="143" t="n"/>
      <c r="Y289" s="143" t="n"/>
      <c r="Z289" s="143" t="n"/>
    </row>
    <row r="290" ht="19.5" customHeight="1" s="398">
      <c r="A290" s="149" t="n"/>
      <c r="B290" s="143" t="n"/>
      <c r="C290" s="143" t="n"/>
      <c r="D290" s="143" t="n"/>
      <c r="E290" s="143" t="n"/>
      <c r="F290" s="143" t="n"/>
      <c r="G290" s="143" t="n"/>
      <c r="H290" s="143" t="n"/>
      <c r="I290" s="143" t="n"/>
      <c r="J290" s="143" t="n"/>
      <c r="K290" s="143" t="n"/>
      <c r="L290" s="143" t="n"/>
      <c r="M290" s="143" t="n"/>
      <c r="N290" s="143" t="n"/>
      <c r="O290" s="143" t="n"/>
      <c r="P290" s="143" t="n"/>
      <c r="Q290" s="143" t="n"/>
      <c r="R290" s="143" t="n"/>
      <c r="S290" s="143" t="n"/>
      <c r="T290" s="143" t="n"/>
      <c r="U290" s="143" t="n"/>
      <c r="V290" s="143" t="n"/>
      <c r="W290" s="143" t="n"/>
      <c r="X290" s="143" t="n"/>
      <c r="Y290" s="143" t="n"/>
      <c r="Z290" s="143" t="n"/>
    </row>
    <row r="291" ht="19.5" customHeight="1" s="398">
      <c r="A291" s="149" t="n"/>
      <c r="B291" s="143" t="n"/>
      <c r="C291" s="143" t="n"/>
      <c r="D291" s="143" t="n"/>
      <c r="E291" s="143" t="n"/>
      <c r="F291" s="143" t="n"/>
      <c r="G291" s="143" t="n"/>
      <c r="H291" s="143" t="n"/>
      <c r="I291" s="143" t="n"/>
      <c r="J291" s="143" t="n"/>
      <c r="K291" s="143" t="n"/>
      <c r="L291" s="143" t="n"/>
      <c r="M291" s="143" t="n"/>
      <c r="N291" s="143" t="n"/>
      <c r="O291" s="143" t="n"/>
      <c r="P291" s="143" t="n"/>
      <c r="Q291" s="143" t="n"/>
      <c r="R291" s="143" t="n"/>
      <c r="S291" s="143" t="n"/>
      <c r="T291" s="143" t="n"/>
      <c r="U291" s="143" t="n"/>
      <c r="V291" s="143" t="n"/>
      <c r="W291" s="143" t="n"/>
      <c r="X291" s="143" t="n"/>
      <c r="Y291" s="143" t="n"/>
      <c r="Z291" s="143" t="n"/>
    </row>
    <row r="292" ht="19.5" customHeight="1" s="398">
      <c r="A292" s="149" t="n"/>
      <c r="B292" s="143" t="n"/>
      <c r="C292" s="143" t="n"/>
      <c r="D292" s="143" t="n"/>
      <c r="E292" s="143" t="n"/>
      <c r="F292" s="143" t="n"/>
      <c r="G292" s="143" t="n"/>
      <c r="H292" s="143" t="n"/>
      <c r="I292" s="143" t="n"/>
      <c r="J292" s="143" t="n"/>
      <c r="K292" s="143" t="n"/>
      <c r="L292" s="143" t="n"/>
      <c r="M292" s="143" t="n"/>
      <c r="N292" s="143" t="n"/>
      <c r="O292" s="143" t="n"/>
      <c r="P292" s="143" t="n"/>
      <c r="Q292" s="143" t="n"/>
      <c r="R292" s="143" t="n"/>
      <c r="S292" s="143" t="n"/>
      <c r="T292" s="143" t="n"/>
      <c r="U292" s="143" t="n"/>
      <c r="V292" s="143" t="n"/>
      <c r="W292" s="143" t="n"/>
      <c r="X292" s="143" t="n"/>
      <c r="Y292" s="143" t="n"/>
      <c r="Z292" s="143" t="n"/>
    </row>
    <row r="293" ht="19.5" customHeight="1" s="398">
      <c r="A293" s="149" t="n"/>
      <c r="B293" s="143" t="n"/>
      <c r="C293" s="143" t="n"/>
      <c r="D293" s="143" t="n"/>
      <c r="E293" s="143" t="n"/>
      <c r="F293" s="143" t="n"/>
      <c r="G293" s="143" t="n"/>
      <c r="H293" s="143" t="n"/>
      <c r="I293" s="143" t="n"/>
      <c r="J293" s="143" t="n"/>
      <c r="K293" s="143" t="n"/>
      <c r="L293" s="143" t="n"/>
      <c r="M293" s="143" t="n"/>
      <c r="N293" s="143" t="n"/>
      <c r="O293" s="143" t="n"/>
      <c r="P293" s="143" t="n"/>
      <c r="Q293" s="143" t="n"/>
      <c r="R293" s="143" t="n"/>
      <c r="S293" s="143" t="n"/>
      <c r="T293" s="143" t="n"/>
      <c r="U293" s="143" t="n"/>
      <c r="V293" s="143" t="n"/>
      <c r="W293" s="143" t="n"/>
      <c r="X293" s="143" t="n"/>
      <c r="Y293" s="143" t="n"/>
      <c r="Z293" s="143" t="n"/>
    </row>
    <row r="294" ht="19.5" customHeight="1" s="398">
      <c r="A294" s="149" t="n"/>
      <c r="B294" s="143" t="n"/>
      <c r="C294" s="143" t="n"/>
      <c r="D294" s="143" t="n"/>
      <c r="E294" s="143" t="n"/>
      <c r="F294" s="143" t="n"/>
      <c r="G294" s="143" t="n"/>
      <c r="H294" s="143" t="n"/>
      <c r="I294" s="143" t="n"/>
      <c r="J294" s="143" t="n"/>
      <c r="K294" s="143" t="n"/>
      <c r="L294" s="143" t="n"/>
      <c r="M294" s="143" t="n"/>
      <c r="N294" s="143" t="n"/>
      <c r="O294" s="143" t="n"/>
      <c r="P294" s="143" t="n"/>
      <c r="Q294" s="143" t="n"/>
      <c r="R294" s="143" t="n"/>
      <c r="S294" s="143" t="n"/>
      <c r="T294" s="143" t="n"/>
      <c r="U294" s="143" t="n"/>
      <c r="V294" s="143" t="n"/>
      <c r="W294" s="143" t="n"/>
      <c r="X294" s="143" t="n"/>
      <c r="Y294" s="143" t="n"/>
      <c r="Z294" s="143" t="n"/>
    </row>
    <row r="295" ht="19.5" customHeight="1" s="398">
      <c r="A295" s="149" t="n"/>
      <c r="B295" s="143" t="n"/>
      <c r="C295" s="143" t="n"/>
      <c r="D295" s="143" t="n"/>
      <c r="E295" s="143" t="n"/>
      <c r="F295" s="143" t="n"/>
      <c r="G295" s="143" t="n"/>
      <c r="H295" s="143" t="n"/>
      <c r="I295" s="143" t="n"/>
      <c r="J295" s="143" t="n"/>
      <c r="K295" s="143" t="n"/>
      <c r="L295" s="143" t="n"/>
      <c r="M295" s="143" t="n"/>
      <c r="N295" s="143" t="n"/>
      <c r="O295" s="143" t="n"/>
      <c r="P295" s="143" t="n"/>
      <c r="Q295" s="143" t="n"/>
      <c r="R295" s="143" t="n"/>
      <c r="S295" s="143" t="n"/>
      <c r="T295" s="143" t="n"/>
      <c r="U295" s="143" t="n"/>
      <c r="V295" s="143" t="n"/>
      <c r="W295" s="143" t="n"/>
      <c r="X295" s="143" t="n"/>
      <c r="Y295" s="143" t="n"/>
      <c r="Z295" s="143" t="n"/>
    </row>
    <row r="296" ht="19.5" customHeight="1" s="398">
      <c r="A296" s="149" t="n"/>
      <c r="B296" s="143" t="n"/>
      <c r="C296" s="143" t="n"/>
      <c r="D296" s="143" t="n"/>
      <c r="E296" s="143" t="n"/>
      <c r="F296" s="143" t="n"/>
      <c r="G296" s="143" t="n"/>
      <c r="H296" s="143" t="n"/>
      <c r="I296" s="143" t="n"/>
      <c r="J296" s="143" t="n"/>
      <c r="K296" s="143" t="n"/>
      <c r="L296" s="143" t="n"/>
      <c r="M296" s="143" t="n"/>
      <c r="N296" s="143" t="n"/>
      <c r="O296" s="143" t="n"/>
      <c r="P296" s="143" t="n"/>
      <c r="Q296" s="143" t="n"/>
      <c r="R296" s="143" t="n"/>
      <c r="S296" s="143" t="n"/>
      <c r="T296" s="143" t="n"/>
      <c r="U296" s="143" t="n"/>
      <c r="V296" s="143" t="n"/>
      <c r="W296" s="143" t="n"/>
      <c r="X296" s="143" t="n"/>
      <c r="Y296" s="143" t="n"/>
      <c r="Z296" s="143" t="n"/>
    </row>
    <row r="297" ht="19.5" customHeight="1" s="398">
      <c r="A297" s="149" t="n"/>
      <c r="B297" s="143" t="n"/>
      <c r="C297" s="143" t="n"/>
      <c r="D297" s="143" t="n"/>
      <c r="E297" s="143" t="n"/>
      <c r="F297" s="143" t="n"/>
      <c r="G297" s="143" t="n"/>
      <c r="H297" s="143" t="n"/>
      <c r="I297" s="143" t="n"/>
      <c r="J297" s="143" t="n"/>
      <c r="K297" s="143" t="n"/>
      <c r="L297" s="143" t="n"/>
      <c r="M297" s="143" t="n"/>
      <c r="N297" s="143" t="n"/>
      <c r="O297" s="143" t="n"/>
      <c r="P297" s="143" t="n"/>
      <c r="Q297" s="143" t="n"/>
      <c r="R297" s="143" t="n"/>
      <c r="S297" s="143" t="n"/>
      <c r="T297" s="143" t="n"/>
      <c r="U297" s="143" t="n"/>
      <c r="V297" s="143" t="n"/>
      <c r="W297" s="143" t="n"/>
      <c r="X297" s="143" t="n"/>
      <c r="Y297" s="143" t="n"/>
      <c r="Z297" s="143" t="n"/>
    </row>
    <row r="298" ht="19.5" customHeight="1" s="398">
      <c r="A298" s="149" t="n"/>
      <c r="B298" s="143" t="n"/>
      <c r="C298" s="143" t="n"/>
      <c r="D298" s="143" t="n"/>
      <c r="E298" s="143" t="n"/>
      <c r="F298" s="143" t="n"/>
      <c r="G298" s="143" t="n"/>
      <c r="H298" s="143" t="n"/>
      <c r="I298" s="143" t="n"/>
      <c r="J298" s="143" t="n"/>
      <c r="K298" s="143" t="n"/>
      <c r="L298" s="143" t="n"/>
      <c r="M298" s="143" t="n"/>
      <c r="N298" s="143" t="n"/>
      <c r="O298" s="143" t="n"/>
      <c r="P298" s="143" t="n"/>
      <c r="Q298" s="143" t="n"/>
      <c r="R298" s="143" t="n"/>
      <c r="S298" s="143" t="n"/>
      <c r="T298" s="143" t="n"/>
      <c r="U298" s="143" t="n"/>
      <c r="V298" s="143" t="n"/>
      <c r="W298" s="143" t="n"/>
      <c r="X298" s="143" t="n"/>
      <c r="Y298" s="143" t="n"/>
      <c r="Z298" s="143" t="n"/>
    </row>
    <row r="299" ht="19.5" customHeight="1" s="398">
      <c r="A299" s="149" t="n"/>
      <c r="B299" s="143" t="n"/>
      <c r="C299" s="143" t="n"/>
      <c r="D299" s="143" t="n"/>
      <c r="E299" s="143" t="n"/>
      <c r="F299" s="143" t="n"/>
      <c r="G299" s="143" t="n"/>
      <c r="H299" s="143" t="n"/>
      <c r="I299" s="143" t="n"/>
      <c r="J299" s="143" t="n"/>
      <c r="K299" s="143" t="n"/>
      <c r="L299" s="143" t="n"/>
      <c r="M299" s="143" t="n"/>
      <c r="N299" s="143" t="n"/>
      <c r="O299" s="143" t="n"/>
      <c r="P299" s="143" t="n"/>
      <c r="Q299" s="143" t="n"/>
      <c r="R299" s="143" t="n"/>
      <c r="S299" s="143" t="n"/>
      <c r="T299" s="143" t="n"/>
      <c r="U299" s="143" t="n"/>
      <c r="V299" s="143" t="n"/>
      <c r="W299" s="143" t="n"/>
      <c r="X299" s="143" t="n"/>
      <c r="Y299" s="143" t="n"/>
      <c r="Z299" s="143" t="n"/>
    </row>
    <row r="300" ht="19.5" customHeight="1" s="398">
      <c r="A300" s="149" t="n"/>
      <c r="B300" s="143" t="n"/>
      <c r="C300" s="143" t="n"/>
      <c r="D300" s="143" t="n"/>
      <c r="E300" s="143" t="n"/>
      <c r="F300" s="143" t="n"/>
      <c r="G300" s="143" t="n"/>
      <c r="H300" s="143" t="n"/>
      <c r="I300" s="143" t="n"/>
      <c r="J300" s="143" t="n"/>
      <c r="K300" s="143" t="n"/>
      <c r="L300" s="143" t="n"/>
      <c r="M300" s="143" t="n"/>
      <c r="N300" s="143" t="n"/>
      <c r="O300" s="143" t="n"/>
      <c r="P300" s="143" t="n"/>
      <c r="Q300" s="143" t="n"/>
      <c r="R300" s="143" t="n"/>
      <c r="S300" s="143" t="n"/>
      <c r="T300" s="143" t="n"/>
      <c r="U300" s="143" t="n"/>
      <c r="V300" s="143" t="n"/>
      <c r="W300" s="143" t="n"/>
      <c r="X300" s="143" t="n"/>
      <c r="Y300" s="143" t="n"/>
      <c r="Z300" s="143" t="n"/>
    </row>
    <row r="301" ht="19.5" customHeight="1" s="398">
      <c r="A301" s="149" t="n"/>
      <c r="B301" s="143" t="n"/>
      <c r="C301" s="143" t="n"/>
      <c r="D301" s="143" t="n"/>
      <c r="E301" s="143" t="n"/>
      <c r="F301" s="143" t="n"/>
      <c r="G301" s="143" t="n"/>
      <c r="H301" s="143" t="n"/>
      <c r="I301" s="143" t="n"/>
      <c r="J301" s="143" t="n"/>
      <c r="K301" s="143" t="n"/>
      <c r="L301" s="143" t="n"/>
      <c r="M301" s="143" t="n"/>
      <c r="N301" s="143" t="n"/>
      <c r="O301" s="143" t="n"/>
      <c r="P301" s="143" t="n"/>
      <c r="Q301" s="143" t="n"/>
      <c r="R301" s="143" t="n"/>
      <c r="S301" s="143" t="n"/>
      <c r="T301" s="143" t="n"/>
      <c r="U301" s="143" t="n"/>
      <c r="V301" s="143" t="n"/>
      <c r="W301" s="143" t="n"/>
      <c r="X301" s="143" t="n"/>
      <c r="Y301" s="143" t="n"/>
      <c r="Z301" s="143" t="n"/>
    </row>
    <row r="302" ht="19.5" customHeight="1" s="398">
      <c r="A302" s="149" t="n"/>
      <c r="B302" s="143" t="n"/>
      <c r="C302" s="143" t="n"/>
      <c r="D302" s="143" t="n"/>
      <c r="E302" s="143" t="n"/>
      <c r="F302" s="143" t="n"/>
      <c r="G302" s="143" t="n"/>
      <c r="H302" s="143" t="n"/>
      <c r="I302" s="143" t="n"/>
      <c r="J302" s="143" t="n"/>
      <c r="K302" s="143" t="n"/>
      <c r="L302" s="143" t="n"/>
      <c r="M302" s="143" t="n"/>
      <c r="N302" s="143" t="n"/>
      <c r="O302" s="143" t="n"/>
      <c r="P302" s="143" t="n"/>
      <c r="Q302" s="143" t="n"/>
      <c r="R302" s="143" t="n"/>
      <c r="S302" s="143" t="n"/>
      <c r="T302" s="143" t="n"/>
      <c r="U302" s="143" t="n"/>
      <c r="V302" s="143" t="n"/>
      <c r="W302" s="143" t="n"/>
      <c r="X302" s="143" t="n"/>
      <c r="Y302" s="143" t="n"/>
      <c r="Z302" s="143" t="n"/>
    </row>
    <row r="303" ht="19.5" customHeight="1" s="398">
      <c r="A303" s="149" t="n"/>
      <c r="B303" s="143" t="n"/>
      <c r="C303" s="143" t="n"/>
      <c r="D303" s="143" t="n"/>
      <c r="E303" s="143" t="n"/>
      <c r="F303" s="143" t="n"/>
      <c r="G303" s="143" t="n"/>
      <c r="H303" s="143" t="n"/>
      <c r="I303" s="143" t="n"/>
      <c r="J303" s="143" t="n"/>
      <c r="K303" s="143" t="n"/>
      <c r="L303" s="143" t="n"/>
      <c r="M303" s="143" t="n"/>
      <c r="N303" s="143" t="n"/>
      <c r="O303" s="143" t="n"/>
      <c r="P303" s="143" t="n"/>
      <c r="Q303" s="143" t="n"/>
      <c r="R303" s="143" t="n"/>
      <c r="S303" s="143" t="n"/>
      <c r="T303" s="143" t="n"/>
      <c r="U303" s="143" t="n"/>
      <c r="V303" s="143" t="n"/>
      <c r="W303" s="143" t="n"/>
      <c r="X303" s="143" t="n"/>
      <c r="Y303" s="143" t="n"/>
      <c r="Z303" s="143" t="n"/>
    </row>
    <row r="304" ht="19.5" customHeight="1" s="398">
      <c r="A304" s="149" t="n"/>
      <c r="B304" s="143" t="n"/>
      <c r="C304" s="143" t="n"/>
      <c r="D304" s="143" t="n"/>
      <c r="E304" s="143" t="n"/>
      <c r="F304" s="143" t="n"/>
      <c r="G304" s="143" t="n"/>
      <c r="H304" s="143" t="n"/>
      <c r="I304" s="143" t="n"/>
      <c r="J304" s="143" t="n"/>
      <c r="K304" s="143" t="n"/>
      <c r="L304" s="143" t="n"/>
      <c r="M304" s="143" t="n"/>
      <c r="N304" s="143" t="n"/>
      <c r="O304" s="143" t="n"/>
      <c r="P304" s="143" t="n"/>
      <c r="Q304" s="143" t="n"/>
      <c r="R304" s="143" t="n"/>
      <c r="S304" s="143" t="n"/>
      <c r="T304" s="143" t="n"/>
      <c r="U304" s="143" t="n"/>
      <c r="V304" s="143" t="n"/>
      <c r="W304" s="143" t="n"/>
      <c r="X304" s="143" t="n"/>
      <c r="Y304" s="143" t="n"/>
      <c r="Z304" s="143" t="n"/>
    </row>
    <row r="305" ht="19.5" customHeight="1" s="398">
      <c r="A305" s="149" t="n"/>
      <c r="B305" s="143" t="n"/>
      <c r="C305" s="143" t="n"/>
      <c r="D305" s="143" t="n"/>
      <c r="E305" s="143" t="n"/>
      <c r="F305" s="143" t="n"/>
      <c r="G305" s="143" t="n"/>
      <c r="H305" s="143" t="n"/>
      <c r="I305" s="143" t="n"/>
      <c r="J305" s="143" t="n"/>
      <c r="K305" s="143" t="n"/>
      <c r="L305" s="143" t="n"/>
      <c r="M305" s="143" t="n"/>
      <c r="N305" s="143" t="n"/>
      <c r="O305" s="143" t="n"/>
      <c r="P305" s="143" t="n"/>
      <c r="Q305" s="143" t="n"/>
      <c r="R305" s="143" t="n"/>
      <c r="S305" s="143" t="n"/>
      <c r="T305" s="143" t="n"/>
      <c r="U305" s="143" t="n"/>
      <c r="V305" s="143" t="n"/>
      <c r="W305" s="143" t="n"/>
      <c r="X305" s="143" t="n"/>
      <c r="Y305" s="143" t="n"/>
      <c r="Z305" s="143" t="n"/>
    </row>
    <row r="306" ht="19.5" customHeight="1" s="398">
      <c r="A306" s="149" t="n"/>
      <c r="B306" s="143" t="n"/>
      <c r="C306" s="143" t="n"/>
      <c r="D306" s="143" t="n"/>
      <c r="E306" s="143" t="n"/>
      <c r="F306" s="143" t="n"/>
      <c r="G306" s="143" t="n"/>
      <c r="H306" s="143" t="n"/>
      <c r="I306" s="143" t="n"/>
      <c r="J306" s="143" t="n"/>
      <c r="K306" s="143" t="n"/>
      <c r="L306" s="143" t="n"/>
      <c r="M306" s="143" t="n"/>
      <c r="N306" s="143" t="n"/>
      <c r="O306" s="143" t="n"/>
      <c r="P306" s="143" t="n"/>
      <c r="Q306" s="143" t="n"/>
      <c r="R306" s="143" t="n"/>
      <c r="S306" s="143" t="n"/>
      <c r="T306" s="143" t="n"/>
      <c r="U306" s="143" t="n"/>
      <c r="V306" s="143" t="n"/>
      <c r="W306" s="143" t="n"/>
      <c r="X306" s="143" t="n"/>
      <c r="Y306" s="143" t="n"/>
      <c r="Z306" s="143" t="n"/>
    </row>
    <row r="307" ht="19.5" customHeight="1" s="398">
      <c r="A307" s="149" t="n"/>
      <c r="B307" s="143" t="n"/>
      <c r="C307" s="143" t="n"/>
      <c r="D307" s="143" t="n"/>
      <c r="E307" s="143" t="n"/>
      <c r="F307" s="143" t="n"/>
      <c r="G307" s="143" t="n"/>
      <c r="H307" s="143" t="n"/>
      <c r="I307" s="143" t="n"/>
      <c r="J307" s="143" t="n"/>
      <c r="K307" s="143" t="n"/>
      <c r="L307" s="143" t="n"/>
      <c r="M307" s="143" t="n"/>
      <c r="N307" s="143" t="n"/>
      <c r="O307" s="143" t="n"/>
      <c r="P307" s="143" t="n"/>
      <c r="Q307" s="143" t="n"/>
      <c r="R307" s="143" t="n"/>
      <c r="S307" s="143" t="n"/>
      <c r="T307" s="143" t="n"/>
      <c r="U307" s="143" t="n"/>
      <c r="V307" s="143" t="n"/>
      <c r="W307" s="143" t="n"/>
      <c r="X307" s="143" t="n"/>
      <c r="Y307" s="143" t="n"/>
      <c r="Z307" s="143" t="n"/>
    </row>
    <row r="308" ht="19.5" customHeight="1" s="398">
      <c r="A308" s="149" t="n"/>
      <c r="B308" s="143" t="n"/>
      <c r="C308" s="143" t="n"/>
      <c r="D308" s="143" t="n"/>
      <c r="E308" s="143" t="n"/>
      <c r="F308" s="143" t="n"/>
      <c r="G308" s="143" t="n"/>
      <c r="H308" s="143" t="n"/>
      <c r="I308" s="143" t="n"/>
      <c r="J308" s="143" t="n"/>
      <c r="K308" s="143" t="n"/>
      <c r="L308" s="143" t="n"/>
      <c r="M308" s="143" t="n"/>
      <c r="N308" s="143" t="n"/>
      <c r="O308" s="143" t="n"/>
      <c r="P308" s="143" t="n"/>
      <c r="Q308" s="143" t="n"/>
      <c r="R308" s="143" t="n"/>
      <c r="S308" s="143" t="n"/>
      <c r="T308" s="143" t="n"/>
      <c r="U308" s="143" t="n"/>
      <c r="V308" s="143" t="n"/>
      <c r="W308" s="143" t="n"/>
      <c r="X308" s="143" t="n"/>
      <c r="Y308" s="143" t="n"/>
      <c r="Z308" s="143" t="n"/>
    </row>
    <row r="309" ht="19.5" customHeight="1" s="398">
      <c r="A309" s="149" t="n"/>
      <c r="B309" s="143" t="n"/>
      <c r="C309" s="143" t="n"/>
      <c r="D309" s="143" t="n"/>
      <c r="E309" s="143" t="n"/>
      <c r="F309" s="143" t="n"/>
      <c r="G309" s="143" t="n"/>
      <c r="H309" s="143" t="n"/>
      <c r="I309" s="143" t="n"/>
      <c r="J309" s="143" t="n"/>
      <c r="K309" s="143" t="n"/>
      <c r="L309" s="143" t="n"/>
      <c r="M309" s="143" t="n"/>
      <c r="N309" s="143" t="n"/>
      <c r="O309" s="143" t="n"/>
      <c r="P309" s="143" t="n"/>
      <c r="Q309" s="143" t="n"/>
      <c r="R309" s="143" t="n"/>
      <c r="S309" s="143" t="n"/>
      <c r="T309" s="143" t="n"/>
      <c r="U309" s="143" t="n"/>
      <c r="V309" s="143" t="n"/>
      <c r="W309" s="143" t="n"/>
      <c r="X309" s="143" t="n"/>
      <c r="Y309" s="143" t="n"/>
      <c r="Z309" s="143" t="n"/>
    </row>
    <row r="310" ht="19.5" customHeight="1" s="398">
      <c r="A310" s="149" t="n"/>
      <c r="B310" s="143" t="n"/>
      <c r="C310" s="143" t="n"/>
      <c r="D310" s="143" t="n"/>
      <c r="E310" s="143" t="n"/>
      <c r="F310" s="143" t="n"/>
      <c r="G310" s="143" t="n"/>
      <c r="H310" s="143" t="n"/>
      <c r="I310" s="143" t="n"/>
      <c r="J310" s="143" t="n"/>
      <c r="K310" s="143" t="n"/>
      <c r="L310" s="143" t="n"/>
      <c r="M310" s="143" t="n"/>
      <c r="N310" s="143" t="n"/>
      <c r="O310" s="143" t="n"/>
      <c r="P310" s="143" t="n"/>
      <c r="Q310" s="143" t="n"/>
      <c r="R310" s="143" t="n"/>
      <c r="S310" s="143" t="n"/>
      <c r="T310" s="143" t="n"/>
      <c r="U310" s="143" t="n"/>
      <c r="V310" s="143" t="n"/>
      <c r="W310" s="143" t="n"/>
      <c r="X310" s="143" t="n"/>
      <c r="Y310" s="143" t="n"/>
      <c r="Z310" s="143" t="n"/>
    </row>
    <row r="311" ht="19.5" customHeight="1" s="398">
      <c r="A311" s="149" t="n"/>
      <c r="B311" s="143" t="n"/>
      <c r="C311" s="143" t="n"/>
      <c r="D311" s="143" t="n"/>
      <c r="E311" s="143" t="n"/>
      <c r="F311" s="143" t="n"/>
      <c r="G311" s="143" t="n"/>
      <c r="H311" s="143" t="n"/>
      <c r="I311" s="143" t="n"/>
      <c r="J311" s="143" t="n"/>
      <c r="K311" s="143" t="n"/>
      <c r="L311" s="143" t="n"/>
      <c r="M311" s="143" t="n"/>
      <c r="N311" s="143" t="n"/>
      <c r="O311" s="143" t="n"/>
      <c r="P311" s="143" t="n"/>
      <c r="Q311" s="143" t="n"/>
      <c r="R311" s="143" t="n"/>
      <c r="S311" s="143" t="n"/>
      <c r="T311" s="143" t="n"/>
      <c r="U311" s="143" t="n"/>
      <c r="V311" s="143" t="n"/>
      <c r="W311" s="143" t="n"/>
      <c r="X311" s="143" t="n"/>
      <c r="Y311" s="143" t="n"/>
      <c r="Z311" s="143" t="n"/>
    </row>
    <row r="312" ht="19.5" customHeight="1" s="398">
      <c r="A312" s="149" t="n"/>
      <c r="B312" s="143" t="n"/>
      <c r="C312" s="143" t="n"/>
      <c r="D312" s="143" t="n"/>
      <c r="E312" s="143" t="n"/>
      <c r="F312" s="143" t="n"/>
      <c r="G312" s="143" t="n"/>
      <c r="H312" s="143" t="n"/>
      <c r="I312" s="143" t="n"/>
      <c r="J312" s="143" t="n"/>
      <c r="K312" s="143" t="n"/>
      <c r="L312" s="143" t="n"/>
      <c r="M312" s="143" t="n"/>
      <c r="N312" s="143" t="n"/>
      <c r="O312" s="143" t="n"/>
      <c r="P312" s="143" t="n"/>
      <c r="Q312" s="143" t="n"/>
      <c r="R312" s="143" t="n"/>
      <c r="S312" s="143" t="n"/>
      <c r="T312" s="143" t="n"/>
      <c r="U312" s="143" t="n"/>
      <c r="V312" s="143" t="n"/>
      <c r="W312" s="143" t="n"/>
      <c r="X312" s="143" t="n"/>
      <c r="Y312" s="143" t="n"/>
      <c r="Z312" s="143" t="n"/>
    </row>
    <row r="313" ht="19.5" customHeight="1" s="398">
      <c r="A313" s="149" t="n"/>
      <c r="B313" s="143" t="n"/>
      <c r="C313" s="143" t="n"/>
      <c r="D313" s="143" t="n"/>
      <c r="E313" s="143" t="n"/>
      <c r="F313" s="143" t="n"/>
      <c r="G313" s="143" t="n"/>
      <c r="H313" s="143" t="n"/>
      <c r="I313" s="143" t="n"/>
      <c r="J313" s="143" t="n"/>
      <c r="K313" s="143" t="n"/>
      <c r="L313" s="143" t="n"/>
      <c r="M313" s="143" t="n"/>
      <c r="N313" s="143" t="n"/>
      <c r="O313" s="143" t="n"/>
      <c r="P313" s="143" t="n"/>
      <c r="Q313" s="143" t="n"/>
      <c r="R313" s="143" t="n"/>
      <c r="S313" s="143" t="n"/>
      <c r="T313" s="143" t="n"/>
      <c r="U313" s="143" t="n"/>
      <c r="V313" s="143" t="n"/>
      <c r="W313" s="143" t="n"/>
      <c r="X313" s="143" t="n"/>
      <c r="Y313" s="143" t="n"/>
      <c r="Z313" s="143" t="n"/>
    </row>
    <row r="314" ht="19.5" customHeight="1" s="398">
      <c r="A314" s="149" t="n"/>
      <c r="B314" s="143" t="n"/>
      <c r="C314" s="143" t="n"/>
      <c r="D314" s="143" t="n"/>
      <c r="E314" s="143" t="n"/>
      <c r="F314" s="143" t="n"/>
      <c r="G314" s="143" t="n"/>
      <c r="H314" s="143" t="n"/>
      <c r="I314" s="143" t="n"/>
      <c r="J314" s="143" t="n"/>
      <c r="K314" s="143" t="n"/>
      <c r="L314" s="143" t="n"/>
      <c r="M314" s="143" t="n"/>
      <c r="N314" s="143" t="n"/>
      <c r="O314" s="143" t="n"/>
      <c r="P314" s="143" t="n"/>
      <c r="Q314" s="143" t="n"/>
      <c r="R314" s="143" t="n"/>
      <c r="S314" s="143" t="n"/>
      <c r="T314" s="143" t="n"/>
      <c r="U314" s="143" t="n"/>
      <c r="V314" s="143" t="n"/>
      <c r="W314" s="143" t="n"/>
      <c r="X314" s="143" t="n"/>
      <c r="Y314" s="143" t="n"/>
      <c r="Z314" s="143" t="n"/>
    </row>
    <row r="315" ht="19.5" customHeight="1" s="398">
      <c r="A315" s="149" t="n"/>
      <c r="B315" s="143" t="n"/>
      <c r="C315" s="143" t="n"/>
      <c r="D315" s="143" t="n"/>
      <c r="E315" s="143" t="n"/>
      <c r="F315" s="143" t="n"/>
      <c r="G315" s="143" t="n"/>
      <c r="H315" s="143" t="n"/>
      <c r="I315" s="143" t="n"/>
      <c r="J315" s="143" t="n"/>
      <c r="K315" s="143" t="n"/>
      <c r="L315" s="143" t="n"/>
      <c r="M315" s="143" t="n"/>
      <c r="N315" s="143" t="n"/>
      <c r="O315" s="143" t="n"/>
      <c r="P315" s="143" t="n"/>
      <c r="Q315" s="143" t="n"/>
      <c r="R315" s="143" t="n"/>
      <c r="S315" s="143" t="n"/>
      <c r="T315" s="143" t="n"/>
      <c r="U315" s="143" t="n"/>
      <c r="V315" s="143" t="n"/>
      <c r="W315" s="143" t="n"/>
      <c r="X315" s="143" t="n"/>
      <c r="Y315" s="143" t="n"/>
      <c r="Z315" s="143" t="n"/>
    </row>
    <row r="316" ht="19.5" customHeight="1" s="398">
      <c r="A316" s="149" t="n"/>
      <c r="B316" s="143" t="n"/>
      <c r="C316" s="143" t="n"/>
      <c r="D316" s="143" t="n"/>
      <c r="E316" s="143" t="n"/>
      <c r="F316" s="143" t="n"/>
      <c r="G316" s="143" t="n"/>
      <c r="H316" s="143" t="n"/>
      <c r="I316" s="143" t="n"/>
      <c r="J316" s="143" t="n"/>
      <c r="K316" s="143" t="n"/>
      <c r="L316" s="143" t="n"/>
      <c r="M316" s="143" t="n"/>
      <c r="N316" s="143" t="n"/>
      <c r="O316" s="143" t="n"/>
      <c r="P316" s="143" t="n"/>
      <c r="Q316" s="143" t="n"/>
      <c r="R316" s="143" t="n"/>
      <c r="S316" s="143" t="n"/>
      <c r="T316" s="143" t="n"/>
      <c r="U316" s="143" t="n"/>
      <c r="V316" s="143" t="n"/>
      <c r="W316" s="143" t="n"/>
      <c r="X316" s="143" t="n"/>
      <c r="Y316" s="143" t="n"/>
      <c r="Z316" s="143" t="n"/>
    </row>
    <row r="317" ht="19.5" customHeight="1" s="398">
      <c r="A317" s="149" t="n"/>
      <c r="B317" s="143" t="n"/>
      <c r="C317" s="143" t="n"/>
      <c r="D317" s="143" t="n"/>
      <c r="E317" s="143" t="n"/>
      <c r="F317" s="143" t="n"/>
      <c r="G317" s="143" t="n"/>
      <c r="H317" s="143" t="n"/>
      <c r="I317" s="143" t="n"/>
      <c r="J317" s="143" t="n"/>
      <c r="K317" s="143" t="n"/>
      <c r="L317" s="143" t="n"/>
      <c r="M317" s="143" t="n"/>
      <c r="N317" s="143" t="n"/>
      <c r="O317" s="143" t="n"/>
      <c r="P317" s="143" t="n"/>
      <c r="Q317" s="143" t="n"/>
      <c r="R317" s="143" t="n"/>
      <c r="S317" s="143" t="n"/>
      <c r="T317" s="143" t="n"/>
      <c r="U317" s="143" t="n"/>
      <c r="V317" s="143" t="n"/>
      <c r="W317" s="143" t="n"/>
      <c r="X317" s="143" t="n"/>
      <c r="Y317" s="143" t="n"/>
      <c r="Z317" s="143" t="n"/>
    </row>
    <row r="318" ht="19.5" customHeight="1" s="398">
      <c r="A318" s="149" t="n"/>
      <c r="B318" s="143" t="n"/>
      <c r="C318" s="143" t="n"/>
      <c r="D318" s="143" t="n"/>
      <c r="E318" s="143" t="n"/>
      <c r="F318" s="143" t="n"/>
      <c r="G318" s="143" t="n"/>
      <c r="H318" s="143" t="n"/>
      <c r="I318" s="143" t="n"/>
      <c r="J318" s="143" t="n"/>
      <c r="K318" s="143" t="n"/>
      <c r="L318" s="143" t="n"/>
      <c r="M318" s="143" t="n"/>
      <c r="N318" s="143" t="n"/>
      <c r="O318" s="143" t="n"/>
      <c r="P318" s="143" t="n"/>
      <c r="Q318" s="143" t="n"/>
      <c r="R318" s="143" t="n"/>
      <c r="S318" s="143" t="n"/>
      <c r="T318" s="143" t="n"/>
      <c r="U318" s="143" t="n"/>
      <c r="V318" s="143" t="n"/>
      <c r="W318" s="143" t="n"/>
      <c r="X318" s="143" t="n"/>
      <c r="Y318" s="143" t="n"/>
      <c r="Z318" s="143" t="n"/>
    </row>
    <row r="319" ht="19.5" customHeight="1" s="398">
      <c r="A319" s="149" t="n"/>
      <c r="B319" s="143" t="n"/>
      <c r="C319" s="143" t="n"/>
      <c r="D319" s="143" t="n"/>
      <c r="E319" s="143" t="n"/>
      <c r="F319" s="143" t="n"/>
      <c r="G319" s="143" t="n"/>
      <c r="H319" s="143" t="n"/>
      <c r="I319" s="143" t="n"/>
      <c r="J319" s="143" t="n"/>
      <c r="K319" s="143" t="n"/>
      <c r="L319" s="143" t="n"/>
      <c r="M319" s="143" t="n"/>
      <c r="N319" s="143" t="n"/>
      <c r="O319" s="143" t="n"/>
      <c r="P319" s="143" t="n"/>
      <c r="Q319" s="143" t="n"/>
      <c r="R319" s="143" t="n"/>
      <c r="S319" s="143" t="n"/>
      <c r="T319" s="143" t="n"/>
      <c r="U319" s="143" t="n"/>
      <c r="V319" s="143" t="n"/>
      <c r="W319" s="143" t="n"/>
      <c r="X319" s="143" t="n"/>
      <c r="Y319" s="143" t="n"/>
      <c r="Z319" s="143" t="n"/>
    </row>
    <row r="320" ht="19.5" customHeight="1" s="398">
      <c r="A320" s="149" t="n"/>
      <c r="B320" s="143" t="n"/>
      <c r="C320" s="143" t="n"/>
      <c r="D320" s="143" t="n"/>
      <c r="E320" s="143" t="n"/>
      <c r="F320" s="143" t="n"/>
      <c r="G320" s="143" t="n"/>
      <c r="H320" s="143" t="n"/>
      <c r="I320" s="143" t="n"/>
      <c r="J320" s="143" t="n"/>
      <c r="K320" s="143" t="n"/>
      <c r="L320" s="143" t="n"/>
      <c r="M320" s="143" t="n"/>
      <c r="N320" s="143" t="n"/>
      <c r="O320" s="143" t="n"/>
      <c r="P320" s="143" t="n"/>
      <c r="Q320" s="143" t="n"/>
      <c r="R320" s="143" t="n"/>
      <c r="S320" s="143" t="n"/>
      <c r="T320" s="143" t="n"/>
      <c r="U320" s="143" t="n"/>
      <c r="V320" s="143" t="n"/>
      <c r="W320" s="143" t="n"/>
      <c r="X320" s="143" t="n"/>
      <c r="Y320" s="143" t="n"/>
      <c r="Z320" s="143" t="n"/>
    </row>
    <row r="321" ht="19.5" customHeight="1" s="398">
      <c r="A321" s="149" t="n"/>
      <c r="B321" s="143" t="n"/>
      <c r="C321" s="143" t="n"/>
      <c r="D321" s="143" t="n"/>
      <c r="E321" s="143" t="n"/>
      <c r="F321" s="143" t="n"/>
      <c r="G321" s="143" t="n"/>
      <c r="H321" s="143" t="n"/>
      <c r="I321" s="143" t="n"/>
      <c r="J321" s="143" t="n"/>
      <c r="K321" s="143" t="n"/>
      <c r="L321" s="143" t="n"/>
      <c r="M321" s="143" t="n"/>
      <c r="N321" s="143" t="n"/>
      <c r="O321" s="143" t="n"/>
      <c r="P321" s="143" t="n"/>
      <c r="Q321" s="143" t="n"/>
      <c r="R321" s="143" t="n"/>
      <c r="S321" s="143" t="n"/>
      <c r="T321" s="143" t="n"/>
      <c r="U321" s="143" t="n"/>
      <c r="V321" s="143" t="n"/>
      <c r="W321" s="143" t="n"/>
      <c r="X321" s="143" t="n"/>
      <c r="Y321" s="143" t="n"/>
      <c r="Z321" s="143" t="n"/>
    </row>
    <row r="322" ht="19.5" customHeight="1" s="398">
      <c r="A322" s="149" t="n"/>
      <c r="B322" s="143" t="n"/>
      <c r="C322" s="143" t="n"/>
      <c r="D322" s="143" t="n"/>
      <c r="E322" s="143" t="n"/>
      <c r="F322" s="143" t="n"/>
      <c r="G322" s="143" t="n"/>
      <c r="H322" s="143" t="n"/>
      <c r="I322" s="143" t="n"/>
      <c r="J322" s="143" t="n"/>
      <c r="K322" s="143" t="n"/>
      <c r="L322" s="143" t="n"/>
      <c r="M322" s="143" t="n"/>
      <c r="N322" s="143" t="n"/>
      <c r="O322" s="143" t="n"/>
      <c r="P322" s="143" t="n"/>
      <c r="Q322" s="143" t="n"/>
      <c r="R322" s="143" t="n"/>
      <c r="S322" s="143" t="n"/>
      <c r="T322" s="143" t="n"/>
      <c r="U322" s="143" t="n"/>
      <c r="V322" s="143" t="n"/>
      <c r="W322" s="143" t="n"/>
      <c r="X322" s="143" t="n"/>
      <c r="Y322" s="143" t="n"/>
      <c r="Z322" s="143" t="n"/>
    </row>
    <row r="323" ht="19.5" customHeight="1" s="398">
      <c r="A323" s="149" t="n"/>
      <c r="B323" s="143" t="n"/>
      <c r="C323" s="143" t="n"/>
      <c r="D323" s="143" t="n"/>
      <c r="E323" s="143" t="n"/>
      <c r="F323" s="143" t="n"/>
      <c r="G323" s="143" t="n"/>
      <c r="H323" s="143" t="n"/>
      <c r="I323" s="143" t="n"/>
      <c r="J323" s="143" t="n"/>
      <c r="K323" s="143" t="n"/>
      <c r="L323" s="143" t="n"/>
      <c r="M323" s="143" t="n"/>
      <c r="N323" s="143" t="n"/>
      <c r="O323" s="143" t="n"/>
      <c r="P323" s="143" t="n"/>
      <c r="Q323" s="143" t="n"/>
      <c r="R323" s="143" t="n"/>
      <c r="S323" s="143" t="n"/>
      <c r="T323" s="143" t="n"/>
      <c r="U323" s="143" t="n"/>
      <c r="V323" s="143" t="n"/>
      <c r="W323" s="143" t="n"/>
      <c r="X323" s="143" t="n"/>
      <c r="Y323" s="143" t="n"/>
      <c r="Z323" s="143" t="n"/>
    </row>
    <row r="324" ht="19.5" customHeight="1" s="398">
      <c r="A324" s="149" t="n"/>
      <c r="B324" s="143" t="n"/>
      <c r="C324" s="143" t="n"/>
      <c r="D324" s="143" t="n"/>
      <c r="E324" s="143" t="n"/>
      <c r="F324" s="143" t="n"/>
      <c r="G324" s="143" t="n"/>
      <c r="H324" s="143" t="n"/>
      <c r="I324" s="143" t="n"/>
      <c r="J324" s="143" t="n"/>
      <c r="K324" s="143" t="n"/>
      <c r="L324" s="143" t="n"/>
      <c r="M324" s="143" t="n"/>
      <c r="N324" s="143" t="n"/>
      <c r="O324" s="143" t="n"/>
      <c r="P324" s="143" t="n"/>
      <c r="Q324" s="143" t="n"/>
      <c r="R324" s="143" t="n"/>
      <c r="S324" s="143" t="n"/>
      <c r="T324" s="143" t="n"/>
      <c r="U324" s="143" t="n"/>
      <c r="V324" s="143" t="n"/>
      <c r="W324" s="143" t="n"/>
      <c r="X324" s="143" t="n"/>
      <c r="Y324" s="143" t="n"/>
      <c r="Z324" s="143" t="n"/>
    </row>
    <row r="325" ht="19.5" customHeight="1" s="398">
      <c r="A325" s="149" t="n"/>
      <c r="B325" s="143" t="n"/>
      <c r="C325" s="143" t="n"/>
      <c r="D325" s="143" t="n"/>
      <c r="E325" s="143" t="n"/>
      <c r="F325" s="143" t="n"/>
      <c r="G325" s="143" t="n"/>
      <c r="H325" s="143" t="n"/>
      <c r="I325" s="143" t="n"/>
      <c r="J325" s="143" t="n"/>
      <c r="K325" s="143" t="n"/>
      <c r="L325" s="143" t="n"/>
      <c r="M325" s="143" t="n"/>
      <c r="N325" s="143" t="n"/>
      <c r="O325" s="143" t="n"/>
      <c r="P325" s="143" t="n"/>
      <c r="Q325" s="143" t="n"/>
      <c r="R325" s="143" t="n"/>
      <c r="S325" s="143" t="n"/>
      <c r="T325" s="143" t="n"/>
      <c r="U325" s="143" t="n"/>
      <c r="V325" s="143" t="n"/>
      <c r="W325" s="143" t="n"/>
      <c r="X325" s="143" t="n"/>
      <c r="Y325" s="143" t="n"/>
      <c r="Z325" s="143" t="n"/>
    </row>
    <row r="326" ht="19.5" customHeight="1" s="398">
      <c r="A326" s="149" t="n"/>
      <c r="B326" s="143" t="n"/>
      <c r="C326" s="143" t="n"/>
      <c r="D326" s="143" t="n"/>
      <c r="E326" s="143" t="n"/>
      <c r="F326" s="143" t="n"/>
      <c r="G326" s="143" t="n"/>
      <c r="H326" s="143" t="n"/>
      <c r="I326" s="143" t="n"/>
      <c r="J326" s="143" t="n"/>
      <c r="K326" s="143" t="n"/>
      <c r="L326" s="143" t="n"/>
      <c r="M326" s="143" t="n"/>
      <c r="N326" s="143" t="n"/>
      <c r="O326" s="143" t="n"/>
      <c r="P326" s="143" t="n"/>
      <c r="Q326" s="143" t="n"/>
      <c r="R326" s="143" t="n"/>
      <c r="S326" s="143" t="n"/>
      <c r="T326" s="143" t="n"/>
      <c r="U326" s="143" t="n"/>
      <c r="V326" s="143" t="n"/>
      <c r="W326" s="143" t="n"/>
      <c r="X326" s="143" t="n"/>
      <c r="Y326" s="143" t="n"/>
      <c r="Z326" s="143" t="n"/>
    </row>
    <row r="327" ht="19.5" customHeight="1" s="398">
      <c r="A327" s="149" t="n"/>
      <c r="B327" s="143" t="n"/>
      <c r="C327" s="143" t="n"/>
      <c r="D327" s="143" t="n"/>
      <c r="E327" s="143" t="n"/>
      <c r="F327" s="143" t="n"/>
      <c r="G327" s="143" t="n"/>
      <c r="H327" s="143" t="n"/>
      <c r="I327" s="143" t="n"/>
      <c r="J327" s="143" t="n"/>
      <c r="K327" s="143" t="n"/>
      <c r="L327" s="143" t="n"/>
      <c r="M327" s="143" t="n"/>
      <c r="N327" s="143" t="n"/>
      <c r="O327" s="143" t="n"/>
      <c r="P327" s="143" t="n"/>
      <c r="Q327" s="143" t="n"/>
      <c r="R327" s="143" t="n"/>
      <c r="S327" s="143" t="n"/>
      <c r="T327" s="143" t="n"/>
      <c r="U327" s="143" t="n"/>
      <c r="V327" s="143" t="n"/>
      <c r="W327" s="143" t="n"/>
      <c r="X327" s="143" t="n"/>
      <c r="Y327" s="143" t="n"/>
      <c r="Z327" s="143" t="n"/>
    </row>
    <row r="328" ht="19.5" customHeight="1" s="398">
      <c r="A328" s="149" t="n"/>
      <c r="B328" s="143" t="n"/>
      <c r="C328" s="143" t="n"/>
      <c r="D328" s="143" t="n"/>
      <c r="E328" s="143" t="n"/>
      <c r="F328" s="143" t="n"/>
      <c r="G328" s="143" t="n"/>
      <c r="H328" s="143" t="n"/>
      <c r="I328" s="143" t="n"/>
      <c r="J328" s="143" t="n"/>
      <c r="K328" s="143" t="n"/>
      <c r="L328" s="143" t="n"/>
      <c r="M328" s="143" t="n"/>
      <c r="N328" s="143" t="n"/>
      <c r="O328" s="143" t="n"/>
      <c r="P328" s="143" t="n"/>
      <c r="Q328" s="143" t="n"/>
      <c r="R328" s="143" t="n"/>
      <c r="S328" s="143" t="n"/>
      <c r="T328" s="143" t="n"/>
      <c r="U328" s="143" t="n"/>
      <c r="V328" s="143" t="n"/>
      <c r="W328" s="143" t="n"/>
      <c r="X328" s="143" t="n"/>
      <c r="Y328" s="143" t="n"/>
      <c r="Z328" s="143" t="n"/>
    </row>
    <row r="329" ht="19.5" customHeight="1" s="398">
      <c r="A329" s="149" t="n"/>
      <c r="B329" s="143" t="n"/>
      <c r="C329" s="143" t="n"/>
      <c r="D329" s="143" t="n"/>
      <c r="E329" s="143" t="n"/>
      <c r="F329" s="143" t="n"/>
      <c r="G329" s="143" t="n"/>
      <c r="H329" s="143" t="n"/>
      <c r="I329" s="143" t="n"/>
      <c r="J329" s="143" t="n"/>
      <c r="K329" s="143" t="n"/>
      <c r="L329" s="143" t="n"/>
      <c r="M329" s="143" t="n"/>
      <c r="N329" s="143" t="n"/>
      <c r="O329" s="143" t="n"/>
      <c r="P329" s="143" t="n"/>
      <c r="Q329" s="143" t="n"/>
      <c r="R329" s="143" t="n"/>
      <c r="S329" s="143" t="n"/>
      <c r="T329" s="143" t="n"/>
      <c r="U329" s="143" t="n"/>
      <c r="V329" s="143" t="n"/>
      <c r="W329" s="143" t="n"/>
      <c r="X329" s="143" t="n"/>
      <c r="Y329" s="143" t="n"/>
      <c r="Z329" s="143" t="n"/>
    </row>
    <row r="330" ht="19.5" customHeight="1" s="398">
      <c r="A330" s="149" t="n"/>
      <c r="B330" s="143" t="n"/>
      <c r="C330" s="143" t="n"/>
      <c r="D330" s="143" t="n"/>
      <c r="E330" s="143" t="n"/>
      <c r="F330" s="143" t="n"/>
      <c r="G330" s="143" t="n"/>
      <c r="H330" s="143" t="n"/>
      <c r="I330" s="143" t="n"/>
      <c r="J330" s="143" t="n"/>
      <c r="K330" s="143" t="n"/>
      <c r="L330" s="143" t="n"/>
      <c r="M330" s="143" t="n"/>
      <c r="N330" s="143" t="n"/>
      <c r="O330" s="143" t="n"/>
      <c r="P330" s="143" t="n"/>
      <c r="Q330" s="143" t="n"/>
      <c r="R330" s="143" t="n"/>
      <c r="S330" s="143" t="n"/>
      <c r="T330" s="143" t="n"/>
      <c r="U330" s="143" t="n"/>
      <c r="V330" s="143" t="n"/>
      <c r="W330" s="143" t="n"/>
      <c r="X330" s="143" t="n"/>
      <c r="Y330" s="143" t="n"/>
      <c r="Z330" s="143" t="n"/>
    </row>
    <row r="331" ht="19.5" customHeight="1" s="398">
      <c r="A331" s="149" t="n"/>
      <c r="B331" s="143" t="n"/>
      <c r="C331" s="143" t="n"/>
      <c r="D331" s="143" t="n"/>
      <c r="E331" s="143" t="n"/>
      <c r="F331" s="143" t="n"/>
      <c r="G331" s="143" t="n"/>
      <c r="H331" s="143" t="n"/>
      <c r="I331" s="143" t="n"/>
      <c r="J331" s="143" t="n"/>
      <c r="K331" s="143" t="n"/>
      <c r="L331" s="143" t="n"/>
      <c r="M331" s="143" t="n"/>
      <c r="N331" s="143" t="n"/>
      <c r="O331" s="143" t="n"/>
      <c r="P331" s="143" t="n"/>
      <c r="Q331" s="143" t="n"/>
      <c r="R331" s="143" t="n"/>
      <c r="S331" s="143" t="n"/>
      <c r="T331" s="143" t="n"/>
      <c r="U331" s="143" t="n"/>
      <c r="V331" s="143" t="n"/>
      <c r="W331" s="143" t="n"/>
      <c r="X331" s="143" t="n"/>
      <c r="Y331" s="143" t="n"/>
      <c r="Z331" s="143" t="n"/>
    </row>
    <row r="332" ht="19.5" customHeight="1" s="398">
      <c r="A332" s="149" t="n"/>
      <c r="B332" s="143" t="n"/>
      <c r="C332" s="143" t="n"/>
      <c r="D332" s="143" t="n"/>
      <c r="E332" s="143" t="n"/>
      <c r="F332" s="143" t="n"/>
      <c r="G332" s="143" t="n"/>
      <c r="H332" s="143" t="n"/>
      <c r="I332" s="143" t="n"/>
      <c r="J332" s="143" t="n"/>
      <c r="K332" s="143" t="n"/>
      <c r="L332" s="143" t="n"/>
      <c r="M332" s="143" t="n"/>
      <c r="N332" s="143" t="n"/>
      <c r="O332" s="143" t="n"/>
      <c r="P332" s="143" t="n"/>
      <c r="Q332" s="143" t="n"/>
      <c r="R332" s="143" t="n"/>
      <c r="S332" s="143" t="n"/>
      <c r="T332" s="143" t="n"/>
      <c r="U332" s="143" t="n"/>
      <c r="V332" s="143" t="n"/>
      <c r="W332" s="143" t="n"/>
      <c r="X332" s="143" t="n"/>
      <c r="Y332" s="143" t="n"/>
      <c r="Z332" s="143" t="n"/>
    </row>
    <row r="333" ht="19.5" customHeight="1" s="398">
      <c r="A333" s="149" t="n"/>
      <c r="B333" s="143" t="n"/>
      <c r="C333" s="143" t="n"/>
      <c r="D333" s="143" t="n"/>
      <c r="E333" s="143" t="n"/>
      <c r="F333" s="143" t="n"/>
      <c r="G333" s="143" t="n"/>
      <c r="H333" s="143" t="n"/>
      <c r="I333" s="143" t="n"/>
      <c r="J333" s="143" t="n"/>
      <c r="K333" s="143" t="n"/>
      <c r="L333" s="143" t="n"/>
      <c r="M333" s="143" t="n"/>
      <c r="N333" s="143" t="n"/>
      <c r="O333" s="143" t="n"/>
      <c r="P333" s="143" t="n"/>
      <c r="Q333" s="143" t="n"/>
      <c r="R333" s="143" t="n"/>
      <c r="S333" s="143" t="n"/>
      <c r="T333" s="143" t="n"/>
      <c r="U333" s="143" t="n"/>
      <c r="V333" s="143" t="n"/>
      <c r="W333" s="143" t="n"/>
      <c r="X333" s="143" t="n"/>
      <c r="Y333" s="143" t="n"/>
      <c r="Z333" s="143" t="n"/>
    </row>
    <row r="334" ht="19.5" customHeight="1" s="398">
      <c r="A334" s="149" t="n"/>
      <c r="B334" s="143" t="n"/>
      <c r="C334" s="143" t="n"/>
      <c r="D334" s="143" t="n"/>
      <c r="E334" s="143" t="n"/>
      <c r="F334" s="143" t="n"/>
      <c r="G334" s="143" t="n"/>
      <c r="H334" s="143" t="n"/>
      <c r="I334" s="143" t="n"/>
      <c r="J334" s="143" t="n"/>
      <c r="K334" s="143" t="n"/>
      <c r="L334" s="143" t="n"/>
      <c r="M334" s="143" t="n"/>
      <c r="N334" s="143" t="n"/>
      <c r="O334" s="143" t="n"/>
      <c r="P334" s="143" t="n"/>
      <c r="Q334" s="143" t="n"/>
      <c r="R334" s="143" t="n"/>
      <c r="S334" s="143" t="n"/>
      <c r="T334" s="143" t="n"/>
      <c r="U334" s="143" t="n"/>
      <c r="V334" s="143" t="n"/>
      <c r="W334" s="143" t="n"/>
      <c r="X334" s="143" t="n"/>
      <c r="Y334" s="143" t="n"/>
      <c r="Z334" s="143" t="n"/>
    </row>
    <row r="335" ht="19.5" customHeight="1" s="398">
      <c r="A335" s="149" t="n"/>
      <c r="B335" s="143" t="n"/>
      <c r="C335" s="143" t="n"/>
      <c r="D335" s="143" t="n"/>
      <c r="E335" s="143" t="n"/>
      <c r="F335" s="143" t="n"/>
      <c r="G335" s="143" t="n"/>
      <c r="H335" s="143" t="n"/>
      <c r="I335" s="143" t="n"/>
      <c r="J335" s="143" t="n"/>
      <c r="K335" s="143" t="n"/>
      <c r="L335" s="143" t="n"/>
      <c r="M335" s="143" t="n"/>
      <c r="N335" s="143" t="n"/>
      <c r="O335" s="143" t="n"/>
      <c r="P335" s="143" t="n"/>
      <c r="Q335" s="143" t="n"/>
      <c r="R335" s="143" t="n"/>
      <c r="S335" s="143" t="n"/>
      <c r="T335" s="143" t="n"/>
      <c r="U335" s="143" t="n"/>
      <c r="V335" s="143" t="n"/>
      <c r="W335" s="143" t="n"/>
      <c r="X335" s="143" t="n"/>
      <c r="Y335" s="143" t="n"/>
      <c r="Z335" s="143" t="n"/>
    </row>
    <row r="336" ht="19.5" customHeight="1" s="398">
      <c r="A336" s="149" t="n"/>
      <c r="B336" s="143" t="n"/>
      <c r="C336" s="143" t="n"/>
      <c r="D336" s="143" t="n"/>
      <c r="E336" s="143" t="n"/>
      <c r="F336" s="143" t="n"/>
      <c r="G336" s="143" t="n"/>
      <c r="H336" s="143" t="n"/>
      <c r="I336" s="143" t="n"/>
      <c r="J336" s="143" t="n"/>
      <c r="K336" s="143" t="n"/>
      <c r="L336" s="143" t="n"/>
      <c r="M336" s="143" t="n"/>
      <c r="N336" s="143" t="n"/>
      <c r="O336" s="143" t="n"/>
      <c r="P336" s="143" t="n"/>
      <c r="Q336" s="143" t="n"/>
      <c r="R336" s="143" t="n"/>
      <c r="S336" s="143" t="n"/>
      <c r="T336" s="143" t="n"/>
      <c r="U336" s="143" t="n"/>
      <c r="V336" s="143" t="n"/>
      <c r="W336" s="143" t="n"/>
      <c r="X336" s="143" t="n"/>
      <c r="Y336" s="143" t="n"/>
      <c r="Z336" s="143" t="n"/>
    </row>
    <row r="337" ht="19.5" customHeight="1" s="398">
      <c r="A337" s="149" t="n"/>
      <c r="B337" s="143" t="n"/>
      <c r="C337" s="143" t="n"/>
      <c r="D337" s="143" t="n"/>
      <c r="E337" s="143" t="n"/>
      <c r="F337" s="143" t="n"/>
      <c r="G337" s="143" t="n"/>
      <c r="H337" s="143" t="n"/>
      <c r="I337" s="143" t="n"/>
      <c r="J337" s="143" t="n"/>
      <c r="K337" s="143" t="n"/>
      <c r="L337" s="143" t="n"/>
      <c r="M337" s="143" t="n"/>
      <c r="N337" s="143" t="n"/>
      <c r="O337" s="143" t="n"/>
      <c r="P337" s="143" t="n"/>
      <c r="Q337" s="143" t="n"/>
      <c r="R337" s="143" t="n"/>
      <c r="S337" s="143" t="n"/>
      <c r="T337" s="143" t="n"/>
      <c r="U337" s="143" t="n"/>
      <c r="V337" s="143" t="n"/>
      <c r="W337" s="143" t="n"/>
      <c r="X337" s="143" t="n"/>
      <c r="Y337" s="143" t="n"/>
      <c r="Z337" s="143" t="n"/>
    </row>
    <row r="338" ht="19.5" customHeight="1" s="398">
      <c r="A338" s="149" t="n"/>
      <c r="B338" s="143" t="n"/>
      <c r="C338" s="143" t="n"/>
      <c r="D338" s="143" t="n"/>
      <c r="E338" s="143" t="n"/>
      <c r="F338" s="143" t="n"/>
      <c r="G338" s="143" t="n"/>
      <c r="H338" s="143" t="n"/>
      <c r="I338" s="143" t="n"/>
      <c r="J338" s="143" t="n"/>
      <c r="K338" s="143" t="n"/>
      <c r="L338" s="143" t="n"/>
      <c r="M338" s="143" t="n"/>
      <c r="N338" s="143" t="n"/>
      <c r="O338" s="143" t="n"/>
      <c r="P338" s="143" t="n"/>
      <c r="Q338" s="143" t="n"/>
      <c r="R338" s="143" t="n"/>
      <c r="S338" s="143" t="n"/>
      <c r="T338" s="143" t="n"/>
      <c r="U338" s="143" t="n"/>
      <c r="V338" s="143" t="n"/>
      <c r="W338" s="143" t="n"/>
      <c r="X338" s="143" t="n"/>
      <c r="Y338" s="143" t="n"/>
      <c r="Z338" s="143" t="n"/>
    </row>
    <row r="339" ht="19.5" customHeight="1" s="398">
      <c r="A339" s="149" t="n"/>
      <c r="B339" s="143" t="n"/>
      <c r="C339" s="143" t="n"/>
      <c r="D339" s="143" t="n"/>
      <c r="E339" s="143" t="n"/>
      <c r="F339" s="143" t="n"/>
      <c r="G339" s="143" t="n"/>
      <c r="H339" s="143" t="n"/>
      <c r="I339" s="143" t="n"/>
      <c r="J339" s="143" t="n"/>
      <c r="K339" s="143" t="n"/>
      <c r="L339" s="143" t="n"/>
      <c r="M339" s="143" t="n"/>
      <c r="N339" s="143" t="n"/>
      <c r="O339" s="143" t="n"/>
      <c r="P339" s="143" t="n"/>
      <c r="Q339" s="143" t="n"/>
      <c r="R339" s="143" t="n"/>
      <c r="S339" s="143" t="n"/>
      <c r="T339" s="143" t="n"/>
      <c r="U339" s="143" t="n"/>
      <c r="V339" s="143" t="n"/>
      <c r="W339" s="143" t="n"/>
      <c r="X339" s="143" t="n"/>
      <c r="Y339" s="143" t="n"/>
      <c r="Z339" s="143" t="n"/>
    </row>
    <row r="340" ht="19.5" customHeight="1" s="398">
      <c r="A340" s="149" t="n"/>
      <c r="B340" s="143" t="n"/>
      <c r="C340" s="143" t="n"/>
      <c r="D340" s="143" t="n"/>
      <c r="E340" s="143" t="n"/>
      <c r="F340" s="143" t="n"/>
      <c r="G340" s="143" t="n"/>
      <c r="H340" s="143" t="n"/>
      <c r="I340" s="143" t="n"/>
      <c r="J340" s="143" t="n"/>
      <c r="K340" s="143" t="n"/>
      <c r="L340" s="143" t="n"/>
      <c r="M340" s="143" t="n"/>
      <c r="N340" s="143" t="n"/>
      <c r="O340" s="143" t="n"/>
      <c r="P340" s="143" t="n"/>
      <c r="Q340" s="143" t="n"/>
      <c r="R340" s="143" t="n"/>
      <c r="S340" s="143" t="n"/>
      <c r="T340" s="143" t="n"/>
      <c r="U340" s="143" t="n"/>
      <c r="V340" s="143" t="n"/>
      <c r="W340" s="143" t="n"/>
      <c r="X340" s="143" t="n"/>
      <c r="Y340" s="143" t="n"/>
      <c r="Z340" s="143" t="n"/>
    </row>
    <row r="341" ht="19.5" customHeight="1" s="398">
      <c r="A341" s="149" t="n"/>
      <c r="B341" s="143" t="n"/>
      <c r="C341" s="143" t="n"/>
      <c r="D341" s="143" t="n"/>
      <c r="E341" s="143" t="n"/>
      <c r="F341" s="143" t="n"/>
      <c r="G341" s="143" t="n"/>
      <c r="H341" s="143" t="n"/>
      <c r="I341" s="143" t="n"/>
      <c r="J341" s="143" t="n"/>
      <c r="K341" s="143" t="n"/>
      <c r="L341" s="143" t="n"/>
      <c r="M341" s="143" t="n"/>
      <c r="N341" s="143" t="n"/>
      <c r="O341" s="143" t="n"/>
      <c r="P341" s="143" t="n"/>
      <c r="Q341" s="143" t="n"/>
      <c r="R341" s="143" t="n"/>
      <c r="S341" s="143" t="n"/>
      <c r="T341" s="143" t="n"/>
      <c r="U341" s="143" t="n"/>
      <c r="V341" s="143" t="n"/>
      <c r="W341" s="143" t="n"/>
      <c r="X341" s="143" t="n"/>
      <c r="Y341" s="143" t="n"/>
      <c r="Z341" s="143" t="n"/>
    </row>
    <row r="342" ht="19.5" customHeight="1" s="398">
      <c r="A342" s="149" t="n"/>
      <c r="B342" s="143" t="n"/>
      <c r="C342" s="143" t="n"/>
      <c r="D342" s="143" t="n"/>
      <c r="E342" s="143" t="n"/>
      <c r="F342" s="143" t="n"/>
      <c r="G342" s="143" t="n"/>
      <c r="H342" s="143" t="n"/>
      <c r="I342" s="143" t="n"/>
      <c r="J342" s="143" t="n"/>
      <c r="K342" s="143" t="n"/>
      <c r="L342" s="143" t="n"/>
      <c r="M342" s="143" t="n"/>
      <c r="N342" s="143" t="n"/>
      <c r="O342" s="143" t="n"/>
      <c r="P342" s="143" t="n"/>
      <c r="Q342" s="143" t="n"/>
      <c r="R342" s="143" t="n"/>
      <c r="S342" s="143" t="n"/>
      <c r="T342" s="143" t="n"/>
      <c r="U342" s="143" t="n"/>
      <c r="V342" s="143" t="n"/>
      <c r="W342" s="143" t="n"/>
      <c r="X342" s="143" t="n"/>
      <c r="Y342" s="143" t="n"/>
      <c r="Z342" s="143" t="n"/>
    </row>
    <row r="343" ht="19.5" customHeight="1" s="398">
      <c r="A343" s="149" t="n"/>
      <c r="B343" s="143" t="n"/>
      <c r="C343" s="143" t="n"/>
      <c r="D343" s="143" t="n"/>
      <c r="E343" s="143" t="n"/>
      <c r="F343" s="143" t="n"/>
      <c r="G343" s="143" t="n"/>
      <c r="H343" s="143" t="n"/>
      <c r="I343" s="143" t="n"/>
      <c r="J343" s="143" t="n"/>
      <c r="K343" s="143" t="n"/>
      <c r="L343" s="143" t="n"/>
      <c r="M343" s="143" t="n"/>
      <c r="N343" s="143" t="n"/>
      <c r="O343" s="143" t="n"/>
      <c r="P343" s="143" t="n"/>
      <c r="Q343" s="143" t="n"/>
      <c r="R343" s="143" t="n"/>
      <c r="S343" s="143" t="n"/>
      <c r="T343" s="143" t="n"/>
      <c r="U343" s="143" t="n"/>
      <c r="V343" s="143" t="n"/>
      <c r="W343" s="143" t="n"/>
      <c r="X343" s="143" t="n"/>
      <c r="Y343" s="143" t="n"/>
      <c r="Z343" s="143" t="n"/>
    </row>
    <row r="344" ht="19.5" customHeight="1" s="398">
      <c r="A344" s="149" t="n"/>
      <c r="B344" s="143" t="n"/>
      <c r="C344" s="143" t="n"/>
      <c r="D344" s="143" t="n"/>
      <c r="E344" s="143" t="n"/>
      <c r="F344" s="143" t="n"/>
      <c r="G344" s="143" t="n"/>
      <c r="H344" s="143" t="n"/>
      <c r="I344" s="143" t="n"/>
      <c r="J344" s="143" t="n"/>
      <c r="K344" s="143" t="n"/>
      <c r="L344" s="143" t="n"/>
      <c r="M344" s="143" t="n"/>
      <c r="N344" s="143" t="n"/>
      <c r="O344" s="143" t="n"/>
      <c r="P344" s="143" t="n"/>
      <c r="Q344" s="143" t="n"/>
      <c r="R344" s="143" t="n"/>
      <c r="S344" s="143" t="n"/>
      <c r="T344" s="143" t="n"/>
      <c r="U344" s="143" t="n"/>
      <c r="V344" s="143" t="n"/>
      <c r="W344" s="143" t="n"/>
      <c r="X344" s="143" t="n"/>
      <c r="Y344" s="143" t="n"/>
      <c r="Z344" s="143" t="n"/>
    </row>
    <row r="345" ht="19.5" customHeight="1" s="398">
      <c r="A345" s="149" t="n"/>
      <c r="B345" s="143" t="n"/>
      <c r="C345" s="143" t="n"/>
      <c r="D345" s="143" t="n"/>
      <c r="E345" s="143" t="n"/>
      <c r="F345" s="143" t="n"/>
      <c r="G345" s="143" t="n"/>
      <c r="H345" s="143" t="n"/>
      <c r="I345" s="143" t="n"/>
      <c r="J345" s="143" t="n"/>
      <c r="K345" s="143" t="n"/>
      <c r="L345" s="143" t="n"/>
      <c r="M345" s="143" t="n"/>
      <c r="N345" s="143" t="n"/>
      <c r="O345" s="143" t="n"/>
      <c r="P345" s="143" t="n"/>
      <c r="Q345" s="143" t="n"/>
      <c r="R345" s="143" t="n"/>
      <c r="S345" s="143" t="n"/>
      <c r="T345" s="143" t="n"/>
      <c r="U345" s="143" t="n"/>
      <c r="V345" s="143" t="n"/>
      <c r="W345" s="143" t="n"/>
      <c r="X345" s="143" t="n"/>
      <c r="Y345" s="143" t="n"/>
      <c r="Z345" s="143" t="n"/>
    </row>
    <row r="346" ht="19.5" customHeight="1" s="398">
      <c r="A346" s="149" t="n"/>
      <c r="B346" s="143" t="n"/>
      <c r="C346" s="143" t="n"/>
      <c r="D346" s="143" t="n"/>
      <c r="E346" s="143" t="n"/>
      <c r="F346" s="143" t="n"/>
      <c r="G346" s="143" t="n"/>
      <c r="H346" s="143" t="n"/>
      <c r="I346" s="143" t="n"/>
      <c r="J346" s="143" t="n"/>
      <c r="K346" s="143" t="n"/>
      <c r="L346" s="143" t="n"/>
      <c r="M346" s="143" t="n"/>
      <c r="N346" s="143" t="n"/>
      <c r="O346" s="143" t="n"/>
      <c r="P346" s="143" t="n"/>
      <c r="Q346" s="143" t="n"/>
      <c r="R346" s="143" t="n"/>
      <c r="S346" s="143" t="n"/>
      <c r="T346" s="143" t="n"/>
      <c r="U346" s="143" t="n"/>
      <c r="V346" s="143" t="n"/>
      <c r="W346" s="143" t="n"/>
      <c r="X346" s="143" t="n"/>
      <c r="Y346" s="143" t="n"/>
      <c r="Z346" s="143" t="n"/>
    </row>
    <row r="347" ht="19.5" customHeight="1" s="398">
      <c r="A347" s="149" t="n"/>
      <c r="B347" s="143" t="n"/>
      <c r="C347" s="143" t="n"/>
      <c r="D347" s="143" t="n"/>
      <c r="E347" s="143" t="n"/>
      <c r="F347" s="143" t="n"/>
      <c r="G347" s="143" t="n"/>
      <c r="H347" s="143" t="n"/>
      <c r="I347" s="143" t="n"/>
      <c r="J347" s="143" t="n"/>
      <c r="K347" s="143" t="n"/>
      <c r="L347" s="143" t="n"/>
      <c r="M347" s="143" t="n"/>
      <c r="N347" s="143" t="n"/>
      <c r="O347" s="143" t="n"/>
      <c r="P347" s="143" t="n"/>
      <c r="Q347" s="143" t="n"/>
      <c r="R347" s="143" t="n"/>
      <c r="S347" s="143" t="n"/>
      <c r="T347" s="143" t="n"/>
      <c r="U347" s="143" t="n"/>
      <c r="V347" s="143" t="n"/>
      <c r="W347" s="143" t="n"/>
      <c r="X347" s="143" t="n"/>
      <c r="Y347" s="143" t="n"/>
      <c r="Z347" s="143" t="n"/>
    </row>
    <row r="348" ht="19.5" customHeight="1" s="398">
      <c r="A348" s="149" t="n"/>
      <c r="B348" s="143" t="n"/>
      <c r="C348" s="143" t="n"/>
      <c r="D348" s="143" t="n"/>
      <c r="E348" s="143" t="n"/>
      <c r="F348" s="143" t="n"/>
      <c r="G348" s="143" t="n"/>
      <c r="H348" s="143" t="n"/>
      <c r="I348" s="143" t="n"/>
      <c r="J348" s="143" t="n"/>
      <c r="K348" s="143" t="n"/>
      <c r="L348" s="143" t="n"/>
      <c r="M348" s="143" t="n"/>
      <c r="N348" s="143" t="n"/>
      <c r="O348" s="143" t="n"/>
      <c r="P348" s="143" t="n"/>
      <c r="Q348" s="143" t="n"/>
      <c r="R348" s="143" t="n"/>
      <c r="S348" s="143" t="n"/>
      <c r="T348" s="143" t="n"/>
      <c r="U348" s="143" t="n"/>
      <c r="V348" s="143" t="n"/>
      <c r="W348" s="143" t="n"/>
      <c r="X348" s="143" t="n"/>
      <c r="Y348" s="143" t="n"/>
      <c r="Z348" s="143" t="n"/>
    </row>
    <row r="349" ht="19.5" customHeight="1" s="398">
      <c r="A349" s="149" t="n"/>
      <c r="B349" s="143" t="n"/>
      <c r="C349" s="143" t="n"/>
      <c r="D349" s="143" t="n"/>
      <c r="E349" s="143" t="n"/>
      <c r="F349" s="143" t="n"/>
      <c r="G349" s="143" t="n"/>
      <c r="H349" s="143" t="n"/>
      <c r="I349" s="143" t="n"/>
      <c r="J349" s="143" t="n"/>
      <c r="K349" s="143" t="n"/>
      <c r="L349" s="143" t="n"/>
      <c r="M349" s="143" t="n"/>
      <c r="N349" s="143" t="n"/>
      <c r="O349" s="143" t="n"/>
      <c r="P349" s="143" t="n"/>
      <c r="Q349" s="143" t="n"/>
      <c r="R349" s="143" t="n"/>
      <c r="S349" s="143" t="n"/>
      <c r="T349" s="143" t="n"/>
      <c r="U349" s="143" t="n"/>
      <c r="V349" s="143" t="n"/>
      <c r="W349" s="143" t="n"/>
      <c r="X349" s="143" t="n"/>
      <c r="Y349" s="143" t="n"/>
      <c r="Z349" s="143" t="n"/>
    </row>
    <row r="350" ht="19.5" customHeight="1" s="398">
      <c r="A350" s="149" t="n"/>
      <c r="B350" s="143" t="n"/>
      <c r="C350" s="143" t="n"/>
      <c r="D350" s="143" t="n"/>
      <c r="E350" s="143" t="n"/>
      <c r="F350" s="143" t="n"/>
      <c r="G350" s="143" t="n"/>
      <c r="H350" s="143" t="n"/>
      <c r="I350" s="143" t="n"/>
      <c r="J350" s="143" t="n"/>
      <c r="K350" s="143" t="n"/>
      <c r="L350" s="143" t="n"/>
      <c r="M350" s="143" t="n"/>
      <c r="N350" s="143" t="n"/>
      <c r="O350" s="143" t="n"/>
      <c r="P350" s="143" t="n"/>
      <c r="Q350" s="143" t="n"/>
      <c r="R350" s="143" t="n"/>
      <c r="S350" s="143" t="n"/>
      <c r="T350" s="143" t="n"/>
      <c r="U350" s="143" t="n"/>
      <c r="V350" s="143" t="n"/>
      <c r="W350" s="143" t="n"/>
      <c r="X350" s="143" t="n"/>
      <c r="Y350" s="143" t="n"/>
      <c r="Z350" s="143" t="n"/>
    </row>
    <row r="351" ht="19.5" customHeight="1" s="398">
      <c r="A351" s="149" t="n"/>
      <c r="B351" s="143" t="n"/>
      <c r="C351" s="143" t="n"/>
      <c r="D351" s="143" t="n"/>
      <c r="E351" s="143" t="n"/>
      <c r="F351" s="143" t="n"/>
      <c r="G351" s="143" t="n"/>
      <c r="H351" s="143" t="n"/>
      <c r="I351" s="143" t="n"/>
      <c r="J351" s="143" t="n"/>
      <c r="K351" s="143" t="n"/>
      <c r="L351" s="143" t="n"/>
      <c r="M351" s="143" t="n"/>
      <c r="N351" s="143" t="n"/>
      <c r="O351" s="143" t="n"/>
      <c r="P351" s="143" t="n"/>
      <c r="Q351" s="143" t="n"/>
      <c r="R351" s="143" t="n"/>
      <c r="S351" s="143" t="n"/>
      <c r="T351" s="143" t="n"/>
      <c r="U351" s="143" t="n"/>
      <c r="V351" s="143" t="n"/>
      <c r="W351" s="143" t="n"/>
      <c r="X351" s="143" t="n"/>
      <c r="Y351" s="143" t="n"/>
      <c r="Z351" s="143" t="n"/>
    </row>
    <row r="352" ht="19.5" customHeight="1" s="398">
      <c r="A352" s="149" t="n"/>
      <c r="B352" s="143" t="n"/>
      <c r="C352" s="143" t="n"/>
      <c r="D352" s="143" t="n"/>
      <c r="E352" s="143" t="n"/>
      <c r="F352" s="143" t="n"/>
      <c r="G352" s="143" t="n"/>
      <c r="H352" s="143" t="n"/>
      <c r="I352" s="143" t="n"/>
      <c r="J352" s="143" t="n"/>
      <c r="K352" s="143" t="n"/>
      <c r="L352" s="143" t="n"/>
      <c r="M352" s="143" t="n"/>
      <c r="N352" s="143" t="n"/>
      <c r="O352" s="143" t="n"/>
      <c r="P352" s="143" t="n"/>
      <c r="Q352" s="143" t="n"/>
      <c r="R352" s="143" t="n"/>
      <c r="S352" s="143" t="n"/>
      <c r="T352" s="143" t="n"/>
      <c r="U352" s="143" t="n"/>
      <c r="V352" s="143" t="n"/>
      <c r="W352" s="143" t="n"/>
      <c r="X352" s="143" t="n"/>
      <c r="Y352" s="143" t="n"/>
      <c r="Z352" s="143" t="n"/>
    </row>
    <row r="353" ht="19.5" customHeight="1" s="398">
      <c r="A353" s="149" t="n"/>
      <c r="B353" s="143" t="n"/>
      <c r="C353" s="143" t="n"/>
      <c r="D353" s="143" t="n"/>
      <c r="E353" s="143" t="n"/>
      <c r="F353" s="143" t="n"/>
      <c r="G353" s="143" t="n"/>
      <c r="H353" s="143" t="n"/>
      <c r="I353" s="143" t="n"/>
      <c r="J353" s="143" t="n"/>
      <c r="K353" s="143" t="n"/>
      <c r="L353" s="143" t="n"/>
      <c r="M353" s="143" t="n"/>
      <c r="N353" s="143" t="n"/>
      <c r="O353" s="143" t="n"/>
      <c r="P353" s="143" t="n"/>
      <c r="Q353" s="143" t="n"/>
      <c r="R353" s="143" t="n"/>
      <c r="S353" s="143" t="n"/>
      <c r="T353" s="143" t="n"/>
      <c r="U353" s="143" t="n"/>
      <c r="V353" s="143" t="n"/>
      <c r="W353" s="143" t="n"/>
      <c r="X353" s="143" t="n"/>
      <c r="Y353" s="143" t="n"/>
      <c r="Z353" s="143" t="n"/>
    </row>
    <row r="354" ht="19.5" customHeight="1" s="398">
      <c r="A354" s="149" t="n"/>
      <c r="B354" s="143" t="n"/>
      <c r="C354" s="143" t="n"/>
      <c r="D354" s="143" t="n"/>
      <c r="E354" s="143" t="n"/>
      <c r="F354" s="143" t="n"/>
      <c r="G354" s="143" t="n"/>
      <c r="H354" s="143" t="n"/>
      <c r="I354" s="143" t="n"/>
      <c r="J354" s="143" t="n"/>
      <c r="K354" s="143" t="n"/>
      <c r="L354" s="143" t="n"/>
      <c r="M354" s="143" t="n"/>
      <c r="N354" s="143" t="n"/>
      <c r="O354" s="143" t="n"/>
      <c r="P354" s="143" t="n"/>
      <c r="Q354" s="143" t="n"/>
      <c r="R354" s="143" t="n"/>
      <c r="S354" s="143" t="n"/>
      <c r="T354" s="143" t="n"/>
      <c r="U354" s="143" t="n"/>
      <c r="V354" s="143" t="n"/>
      <c r="W354" s="143" t="n"/>
      <c r="X354" s="143" t="n"/>
      <c r="Y354" s="143" t="n"/>
      <c r="Z354" s="143" t="n"/>
    </row>
    <row r="355" ht="19.5" customHeight="1" s="398">
      <c r="A355" s="149" t="n"/>
      <c r="B355" s="143" t="n"/>
      <c r="C355" s="143" t="n"/>
      <c r="D355" s="143" t="n"/>
      <c r="E355" s="143" t="n"/>
      <c r="F355" s="143" t="n"/>
      <c r="G355" s="143" t="n"/>
      <c r="H355" s="143" t="n"/>
      <c r="I355" s="143" t="n"/>
      <c r="J355" s="143" t="n"/>
      <c r="K355" s="143" t="n"/>
      <c r="L355" s="143" t="n"/>
      <c r="M355" s="143" t="n"/>
      <c r="N355" s="143" t="n"/>
      <c r="O355" s="143" t="n"/>
      <c r="P355" s="143" t="n"/>
      <c r="Q355" s="143" t="n"/>
      <c r="R355" s="143" t="n"/>
      <c r="S355" s="143" t="n"/>
      <c r="T355" s="143" t="n"/>
      <c r="U355" s="143" t="n"/>
      <c r="V355" s="143" t="n"/>
      <c r="W355" s="143" t="n"/>
      <c r="X355" s="143" t="n"/>
      <c r="Y355" s="143" t="n"/>
      <c r="Z355" s="143" t="n"/>
    </row>
    <row r="356" ht="19.5" customHeight="1" s="398">
      <c r="A356" s="149" t="n"/>
      <c r="B356" s="143" t="n"/>
      <c r="C356" s="143" t="n"/>
      <c r="D356" s="143" t="n"/>
      <c r="E356" s="143" t="n"/>
      <c r="F356" s="143" t="n"/>
      <c r="G356" s="143" t="n"/>
      <c r="H356" s="143" t="n"/>
      <c r="I356" s="143" t="n"/>
      <c r="J356" s="143" t="n"/>
      <c r="K356" s="143" t="n"/>
      <c r="L356" s="143" t="n"/>
      <c r="M356" s="143" t="n"/>
      <c r="N356" s="143" t="n"/>
      <c r="O356" s="143" t="n"/>
      <c r="P356" s="143" t="n"/>
      <c r="Q356" s="143" t="n"/>
      <c r="R356" s="143" t="n"/>
      <c r="S356" s="143" t="n"/>
      <c r="T356" s="143" t="n"/>
      <c r="U356" s="143" t="n"/>
      <c r="V356" s="143" t="n"/>
      <c r="W356" s="143" t="n"/>
      <c r="X356" s="143" t="n"/>
      <c r="Y356" s="143" t="n"/>
      <c r="Z356" s="143" t="n"/>
    </row>
    <row r="357" ht="19.5" customHeight="1" s="398">
      <c r="A357" s="149" t="n"/>
      <c r="B357" s="143" t="n"/>
      <c r="C357" s="143" t="n"/>
      <c r="D357" s="143" t="n"/>
      <c r="E357" s="143" t="n"/>
      <c r="F357" s="143" t="n"/>
      <c r="G357" s="143" t="n"/>
      <c r="H357" s="143" t="n"/>
      <c r="I357" s="143" t="n"/>
      <c r="J357" s="143" t="n"/>
      <c r="K357" s="143" t="n"/>
      <c r="L357" s="143" t="n"/>
      <c r="M357" s="143" t="n"/>
      <c r="N357" s="143" t="n"/>
      <c r="O357" s="143" t="n"/>
      <c r="P357" s="143" t="n"/>
      <c r="Q357" s="143" t="n"/>
      <c r="R357" s="143" t="n"/>
      <c r="S357" s="143" t="n"/>
      <c r="T357" s="143" t="n"/>
      <c r="U357" s="143" t="n"/>
      <c r="V357" s="143" t="n"/>
      <c r="W357" s="143" t="n"/>
      <c r="X357" s="143" t="n"/>
      <c r="Y357" s="143" t="n"/>
      <c r="Z357" s="143" t="n"/>
    </row>
    <row r="358" ht="19.5" customHeight="1" s="398">
      <c r="A358" s="149" t="n"/>
      <c r="B358" s="143" t="n"/>
      <c r="C358" s="143" t="n"/>
      <c r="D358" s="143" t="n"/>
      <c r="E358" s="143" t="n"/>
      <c r="F358" s="143" t="n"/>
      <c r="G358" s="143" t="n"/>
      <c r="H358" s="143" t="n"/>
      <c r="I358" s="143" t="n"/>
      <c r="J358" s="143" t="n"/>
      <c r="K358" s="143" t="n"/>
      <c r="L358" s="143" t="n"/>
      <c r="M358" s="143" t="n"/>
      <c r="N358" s="143" t="n"/>
      <c r="O358" s="143" t="n"/>
      <c r="P358" s="143" t="n"/>
      <c r="Q358" s="143" t="n"/>
      <c r="R358" s="143" t="n"/>
      <c r="S358" s="143" t="n"/>
      <c r="T358" s="143" t="n"/>
      <c r="U358" s="143" t="n"/>
      <c r="V358" s="143" t="n"/>
      <c r="W358" s="143" t="n"/>
      <c r="X358" s="143" t="n"/>
      <c r="Y358" s="143" t="n"/>
      <c r="Z358" s="143" t="n"/>
    </row>
    <row r="359" ht="19.5" customHeight="1" s="398">
      <c r="A359" s="149" t="n"/>
      <c r="B359" s="143" t="n"/>
      <c r="C359" s="143" t="n"/>
      <c r="D359" s="143" t="n"/>
      <c r="E359" s="143" t="n"/>
      <c r="F359" s="143" t="n"/>
      <c r="G359" s="143" t="n"/>
      <c r="H359" s="143" t="n"/>
      <c r="I359" s="143" t="n"/>
      <c r="J359" s="143" t="n"/>
      <c r="K359" s="143" t="n"/>
      <c r="L359" s="143" t="n"/>
      <c r="M359" s="143" t="n"/>
      <c r="N359" s="143" t="n"/>
      <c r="O359" s="143" t="n"/>
      <c r="P359" s="143" t="n"/>
      <c r="Q359" s="143" t="n"/>
      <c r="R359" s="143" t="n"/>
      <c r="S359" s="143" t="n"/>
      <c r="T359" s="143" t="n"/>
      <c r="U359" s="143" t="n"/>
      <c r="V359" s="143" t="n"/>
      <c r="W359" s="143" t="n"/>
      <c r="X359" s="143" t="n"/>
      <c r="Y359" s="143" t="n"/>
      <c r="Z359" s="143" t="n"/>
    </row>
    <row r="360" ht="19.5" customHeight="1" s="398">
      <c r="A360" s="149" t="n"/>
      <c r="B360" s="143" t="n"/>
      <c r="C360" s="143" t="n"/>
      <c r="D360" s="143" t="n"/>
      <c r="E360" s="143" t="n"/>
      <c r="F360" s="143" t="n"/>
      <c r="G360" s="143" t="n"/>
      <c r="H360" s="143" t="n"/>
      <c r="I360" s="143" t="n"/>
      <c r="J360" s="143" t="n"/>
      <c r="K360" s="143" t="n"/>
      <c r="L360" s="143" t="n"/>
      <c r="M360" s="143" t="n"/>
      <c r="N360" s="143" t="n"/>
      <c r="O360" s="143" t="n"/>
      <c r="P360" s="143" t="n"/>
      <c r="Q360" s="143" t="n"/>
      <c r="R360" s="143" t="n"/>
      <c r="S360" s="143" t="n"/>
      <c r="T360" s="143" t="n"/>
      <c r="U360" s="143" t="n"/>
      <c r="V360" s="143" t="n"/>
      <c r="W360" s="143" t="n"/>
      <c r="X360" s="143" t="n"/>
      <c r="Y360" s="143" t="n"/>
      <c r="Z360" s="143" t="n"/>
    </row>
    <row r="361" ht="19.5" customHeight="1" s="398">
      <c r="A361" s="149" t="n"/>
      <c r="B361" s="143" t="n"/>
      <c r="C361" s="143" t="n"/>
      <c r="D361" s="143" t="n"/>
      <c r="E361" s="143" t="n"/>
      <c r="F361" s="143" t="n"/>
      <c r="G361" s="143" t="n"/>
      <c r="H361" s="143" t="n"/>
      <c r="I361" s="143" t="n"/>
      <c r="J361" s="143" t="n"/>
      <c r="K361" s="143" t="n"/>
      <c r="L361" s="143" t="n"/>
      <c r="M361" s="143" t="n"/>
      <c r="N361" s="143" t="n"/>
      <c r="O361" s="143" t="n"/>
      <c r="P361" s="143" t="n"/>
      <c r="Q361" s="143" t="n"/>
      <c r="R361" s="143" t="n"/>
      <c r="S361" s="143" t="n"/>
      <c r="T361" s="143" t="n"/>
      <c r="U361" s="143" t="n"/>
      <c r="V361" s="143" t="n"/>
      <c r="W361" s="143" t="n"/>
      <c r="X361" s="143" t="n"/>
      <c r="Y361" s="143" t="n"/>
      <c r="Z361" s="143" t="n"/>
    </row>
    <row r="362" ht="19.5" customHeight="1" s="398">
      <c r="A362" s="149" t="n"/>
      <c r="B362" s="143" t="n"/>
      <c r="C362" s="143" t="n"/>
      <c r="D362" s="143" t="n"/>
      <c r="E362" s="143" t="n"/>
      <c r="F362" s="143" t="n"/>
      <c r="G362" s="143" t="n"/>
      <c r="H362" s="143" t="n"/>
      <c r="I362" s="143" t="n"/>
      <c r="J362" s="143" t="n"/>
      <c r="K362" s="143" t="n"/>
      <c r="L362" s="143" t="n"/>
      <c r="M362" s="143" t="n"/>
      <c r="N362" s="143" t="n"/>
      <c r="O362" s="143" t="n"/>
      <c r="P362" s="143" t="n"/>
      <c r="Q362" s="143" t="n"/>
      <c r="R362" s="143" t="n"/>
      <c r="S362" s="143" t="n"/>
      <c r="T362" s="143" t="n"/>
      <c r="U362" s="143" t="n"/>
      <c r="V362" s="143" t="n"/>
      <c r="W362" s="143" t="n"/>
      <c r="X362" s="143" t="n"/>
      <c r="Y362" s="143" t="n"/>
      <c r="Z362" s="143" t="n"/>
    </row>
    <row r="363" ht="19.5" customHeight="1" s="398">
      <c r="A363" s="149" t="n"/>
      <c r="B363" s="143" t="n"/>
      <c r="C363" s="143" t="n"/>
      <c r="D363" s="143" t="n"/>
      <c r="E363" s="143" t="n"/>
      <c r="F363" s="143" t="n"/>
      <c r="G363" s="143" t="n"/>
      <c r="H363" s="143" t="n"/>
      <c r="I363" s="143" t="n"/>
      <c r="J363" s="143" t="n"/>
      <c r="K363" s="143" t="n"/>
      <c r="L363" s="143" t="n"/>
      <c r="M363" s="143" t="n"/>
      <c r="N363" s="143" t="n"/>
      <c r="O363" s="143" t="n"/>
      <c r="P363" s="143" t="n"/>
      <c r="Q363" s="143" t="n"/>
      <c r="R363" s="143" t="n"/>
      <c r="S363" s="143" t="n"/>
      <c r="T363" s="143" t="n"/>
      <c r="U363" s="143" t="n"/>
      <c r="V363" s="143" t="n"/>
      <c r="W363" s="143" t="n"/>
      <c r="X363" s="143" t="n"/>
      <c r="Y363" s="143" t="n"/>
      <c r="Z363" s="143" t="n"/>
    </row>
    <row r="364" ht="19.5" customHeight="1" s="398">
      <c r="A364" s="149" t="n"/>
      <c r="B364" s="143" t="n"/>
      <c r="C364" s="143" t="n"/>
      <c r="D364" s="143" t="n"/>
      <c r="E364" s="143" t="n"/>
      <c r="F364" s="143" t="n"/>
      <c r="G364" s="143" t="n"/>
      <c r="H364" s="143" t="n"/>
      <c r="I364" s="143" t="n"/>
      <c r="J364" s="143" t="n"/>
      <c r="K364" s="143" t="n"/>
      <c r="L364" s="143" t="n"/>
      <c r="M364" s="143" t="n"/>
      <c r="N364" s="143" t="n"/>
      <c r="O364" s="143" t="n"/>
      <c r="P364" s="143" t="n"/>
      <c r="Q364" s="143" t="n"/>
      <c r="R364" s="143" t="n"/>
      <c r="S364" s="143" t="n"/>
      <c r="T364" s="143" t="n"/>
      <c r="U364" s="143" t="n"/>
      <c r="V364" s="143" t="n"/>
      <c r="W364" s="143" t="n"/>
      <c r="X364" s="143" t="n"/>
      <c r="Y364" s="143" t="n"/>
      <c r="Z364" s="143" t="n"/>
    </row>
    <row r="365" ht="19.5" customHeight="1" s="398">
      <c r="A365" s="149" t="n"/>
      <c r="B365" s="143" t="n"/>
      <c r="C365" s="143" t="n"/>
      <c r="D365" s="143" t="n"/>
      <c r="E365" s="143" t="n"/>
      <c r="F365" s="143" t="n"/>
      <c r="G365" s="143" t="n"/>
      <c r="H365" s="143" t="n"/>
      <c r="I365" s="143" t="n"/>
      <c r="J365" s="143" t="n"/>
      <c r="K365" s="143" t="n"/>
      <c r="L365" s="143" t="n"/>
      <c r="M365" s="143" t="n"/>
      <c r="N365" s="143" t="n"/>
      <c r="O365" s="143" t="n"/>
      <c r="P365" s="143" t="n"/>
      <c r="Q365" s="143" t="n"/>
      <c r="R365" s="143" t="n"/>
      <c r="S365" s="143" t="n"/>
      <c r="T365" s="143" t="n"/>
      <c r="U365" s="143" t="n"/>
      <c r="V365" s="143" t="n"/>
      <c r="W365" s="143" t="n"/>
      <c r="X365" s="143" t="n"/>
      <c r="Y365" s="143" t="n"/>
      <c r="Z365" s="143" t="n"/>
    </row>
    <row r="366" ht="19.5" customHeight="1" s="398">
      <c r="A366" s="149" t="n"/>
      <c r="B366" s="143" t="n"/>
      <c r="C366" s="143" t="n"/>
      <c r="D366" s="143" t="n"/>
      <c r="E366" s="143" t="n"/>
      <c r="F366" s="143" t="n"/>
      <c r="G366" s="143" t="n"/>
      <c r="H366" s="143" t="n"/>
      <c r="I366" s="143" t="n"/>
      <c r="J366" s="143" t="n"/>
      <c r="K366" s="143" t="n"/>
      <c r="L366" s="143" t="n"/>
      <c r="M366" s="143" t="n"/>
      <c r="N366" s="143" t="n"/>
      <c r="O366" s="143" t="n"/>
      <c r="P366" s="143" t="n"/>
      <c r="Q366" s="143" t="n"/>
      <c r="R366" s="143" t="n"/>
      <c r="S366" s="143" t="n"/>
      <c r="T366" s="143" t="n"/>
      <c r="U366" s="143" t="n"/>
      <c r="V366" s="143" t="n"/>
      <c r="W366" s="143" t="n"/>
      <c r="X366" s="143" t="n"/>
      <c r="Y366" s="143" t="n"/>
      <c r="Z366" s="143" t="n"/>
    </row>
    <row r="367" ht="19.5" customHeight="1" s="398">
      <c r="A367" s="149" t="n"/>
      <c r="B367" s="143" t="n"/>
      <c r="C367" s="143" t="n"/>
      <c r="D367" s="143" t="n"/>
      <c r="E367" s="143" t="n"/>
      <c r="F367" s="143" t="n"/>
      <c r="G367" s="143" t="n"/>
      <c r="H367" s="143" t="n"/>
      <c r="I367" s="143" t="n"/>
      <c r="J367" s="143" t="n"/>
      <c r="K367" s="143" t="n"/>
      <c r="L367" s="143" t="n"/>
      <c r="M367" s="143" t="n"/>
      <c r="N367" s="143" t="n"/>
      <c r="O367" s="143" t="n"/>
      <c r="P367" s="143" t="n"/>
      <c r="Q367" s="143" t="n"/>
      <c r="R367" s="143" t="n"/>
      <c r="S367" s="143" t="n"/>
      <c r="T367" s="143" t="n"/>
      <c r="U367" s="143" t="n"/>
      <c r="V367" s="143" t="n"/>
      <c r="W367" s="143" t="n"/>
      <c r="X367" s="143" t="n"/>
      <c r="Y367" s="143" t="n"/>
      <c r="Z367" s="143" t="n"/>
    </row>
    <row r="368" ht="19.5" customHeight="1" s="398">
      <c r="A368" s="149" t="n"/>
      <c r="B368" s="143" t="n"/>
      <c r="C368" s="143" t="n"/>
      <c r="D368" s="143" t="n"/>
      <c r="E368" s="143" t="n"/>
      <c r="F368" s="143" t="n"/>
      <c r="G368" s="143" t="n"/>
      <c r="H368" s="143" t="n"/>
      <c r="I368" s="143" t="n"/>
      <c r="J368" s="143" t="n"/>
      <c r="K368" s="143" t="n"/>
      <c r="L368" s="143" t="n"/>
      <c r="M368" s="143" t="n"/>
      <c r="N368" s="143" t="n"/>
      <c r="O368" s="143" t="n"/>
      <c r="P368" s="143" t="n"/>
      <c r="Q368" s="143" t="n"/>
      <c r="R368" s="143" t="n"/>
      <c r="S368" s="143" t="n"/>
      <c r="T368" s="143" t="n"/>
      <c r="U368" s="143" t="n"/>
      <c r="V368" s="143" t="n"/>
      <c r="W368" s="143" t="n"/>
      <c r="X368" s="143" t="n"/>
      <c r="Y368" s="143" t="n"/>
      <c r="Z368" s="143" t="n"/>
    </row>
    <row r="369" ht="19.5" customHeight="1" s="398">
      <c r="A369" s="149" t="n"/>
      <c r="B369" s="143" t="n"/>
      <c r="C369" s="143" t="n"/>
      <c r="D369" s="143" t="n"/>
      <c r="E369" s="143" t="n"/>
      <c r="F369" s="143" t="n"/>
      <c r="G369" s="143" t="n"/>
      <c r="H369" s="143" t="n"/>
      <c r="I369" s="143" t="n"/>
      <c r="J369" s="143" t="n"/>
      <c r="K369" s="143" t="n"/>
      <c r="L369" s="143" t="n"/>
      <c r="M369" s="143" t="n"/>
      <c r="N369" s="143" t="n"/>
      <c r="O369" s="143" t="n"/>
      <c r="P369" s="143" t="n"/>
      <c r="Q369" s="143" t="n"/>
      <c r="R369" s="143" t="n"/>
      <c r="S369" s="143" t="n"/>
      <c r="T369" s="143" t="n"/>
      <c r="U369" s="143" t="n"/>
      <c r="V369" s="143" t="n"/>
      <c r="W369" s="143" t="n"/>
      <c r="X369" s="143" t="n"/>
      <c r="Y369" s="143" t="n"/>
      <c r="Z369" s="143" t="n"/>
    </row>
    <row r="370" ht="19.5" customHeight="1" s="398">
      <c r="A370" s="149" t="n"/>
      <c r="B370" s="143" t="n"/>
      <c r="C370" s="143" t="n"/>
      <c r="D370" s="143" t="n"/>
      <c r="E370" s="143" t="n"/>
      <c r="F370" s="143" t="n"/>
      <c r="G370" s="143" t="n"/>
      <c r="H370" s="143" t="n"/>
      <c r="I370" s="143" t="n"/>
      <c r="J370" s="143" t="n"/>
      <c r="K370" s="143" t="n"/>
      <c r="L370" s="143" t="n"/>
      <c r="M370" s="143" t="n"/>
      <c r="N370" s="143" t="n"/>
      <c r="O370" s="143" t="n"/>
      <c r="P370" s="143" t="n"/>
      <c r="Q370" s="143" t="n"/>
      <c r="R370" s="143" t="n"/>
      <c r="S370" s="143" t="n"/>
      <c r="T370" s="143" t="n"/>
      <c r="U370" s="143" t="n"/>
      <c r="V370" s="143" t="n"/>
      <c r="W370" s="143" t="n"/>
      <c r="X370" s="143" t="n"/>
      <c r="Y370" s="143" t="n"/>
      <c r="Z370" s="143" t="n"/>
    </row>
    <row r="371" ht="19.5" customHeight="1" s="398">
      <c r="A371" s="149" t="n"/>
      <c r="B371" s="143" t="n"/>
      <c r="C371" s="143" t="n"/>
      <c r="D371" s="143" t="n"/>
      <c r="E371" s="143" t="n"/>
      <c r="F371" s="143" t="n"/>
      <c r="G371" s="143" t="n"/>
      <c r="H371" s="143" t="n"/>
      <c r="I371" s="143" t="n"/>
      <c r="J371" s="143" t="n"/>
      <c r="K371" s="143" t="n"/>
      <c r="L371" s="143" t="n"/>
      <c r="M371" s="143" t="n"/>
      <c r="N371" s="143" t="n"/>
      <c r="O371" s="143" t="n"/>
      <c r="P371" s="143" t="n"/>
      <c r="Q371" s="143" t="n"/>
      <c r="R371" s="143" t="n"/>
      <c r="S371" s="143" t="n"/>
      <c r="T371" s="143" t="n"/>
      <c r="U371" s="143" t="n"/>
      <c r="V371" s="143" t="n"/>
      <c r="W371" s="143" t="n"/>
      <c r="X371" s="143" t="n"/>
      <c r="Y371" s="143" t="n"/>
      <c r="Z371" s="143" t="n"/>
    </row>
    <row r="372" ht="19.5" customHeight="1" s="398">
      <c r="A372" s="149" t="n"/>
      <c r="B372" s="143" t="n"/>
      <c r="C372" s="143" t="n"/>
      <c r="D372" s="143" t="n"/>
      <c r="E372" s="143" t="n"/>
      <c r="F372" s="143" t="n"/>
      <c r="G372" s="143" t="n"/>
      <c r="H372" s="143" t="n"/>
      <c r="I372" s="143" t="n"/>
      <c r="J372" s="143" t="n"/>
      <c r="K372" s="143" t="n"/>
      <c r="L372" s="143" t="n"/>
      <c r="M372" s="143" t="n"/>
      <c r="N372" s="143" t="n"/>
      <c r="O372" s="143" t="n"/>
      <c r="P372" s="143" t="n"/>
      <c r="Q372" s="143" t="n"/>
      <c r="R372" s="143" t="n"/>
      <c r="S372" s="143" t="n"/>
      <c r="T372" s="143" t="n"/>
      <c r="U372" s="143" t="n"/>
      <c r="V372" s="143" t="n"/>
      <c r="W372" s="143" t="n"/>
      <c r="X372" s="143" t="n"/>
      <c r="Y372" s="143" t="n"/>
      <c r="Z372" s="143" t="n"/>
    </row>
    <row r="373" ht="19.5" customHeight="1" s="398">
      <c r="A373" s="149" t="n"/>
      <c r="B373" s="143" t="n"/>
      <c r="C373" s="143" t="n"/>
      <c r="D373" s="143" t="n"/>
      <c r="E373" s="143" t="n"/>
      <c r="F373" s="143" t="n"/>
      <c r="G373" s="143" t="n"/>
      <c r="H373" s="143" t="n"/>
      <c r="I373" s="143" t="n"/>
      <c r="J373" s="143" t="n"/>
      <c r="K373" s="143" t="n"/>
      <c r="L373" s="143" t="n"/>
      <c r="M373" s="143" t="n"/>
      <c r="N373" s="143" t="n"/>
      <c r="O373" s="143" t="n"/>
      <c r="P373" s="143" t="n"/>
      <c r="Q373" s="143" t="n"/>
      <c r="R373" s="143" t="n"/>
      <c r="S373" s="143" t="n"/>
      <c r="T373" s="143" t="n"/>
      <c r="U373" s="143" t="n"/>
      <c r="V373" s="143" t="n"/>
      <c r="W373" s="143" t="n"/>
      <c r="X373" s="143" t="n"/>
      <c r="Y373" s="143" t="n"/>
      <c r="Z373" s="143" t="n"/>
    </row>
    <row r="374" ht="19.5" customHeight="1" s="398">
      <c r="A374" s="149" t="n"/>
      <c r="B374" s="143" t="n"/>
      <c r="C374" s="143" t="n"/>
      <c r="D374" s="143" t="n"/>
      <c r="E374" s="143" t="n"/>
      <c r="F374" s="143" t="n"/>
      <c r="G374" s="143" t="n"/>
      <c r="H374" s="143" t="n"/>
      <c r="I374" s="143" t="n"/>
      <c r="J374" s="143" t="n"/>
      <c r="K374" s="143" t="n"/>
      <c r="L374" s="143" t="n"/>
      <c r="M374" s="143" t="n"/>
      <c r="N374" s="143" t="n"/>
      <c r="O374" s="143" t="n"/>
      <c r="P374" s="143" t="n"/>
      <c r="Q374" s="143" t="n"/>
      <c r="R374" s="143" t="n"/>
      <c r="S374" s="143" t="n"/>
      <c r="T374" s="143" t="n"/>
      <c r="U374" s="143" t="n"/>
      <c r="V374" s="143" t="n"/>
      <c r="W374" s="143" t="n"/>
      <c r="X374" s="143" t="n"/>
      <c r="Y374" s="143" t="n"/>
      <c r="Z374" s="143" t="n"/>
    </row>
    <row r="375" ht="19.5" customHeight="1" s="398">
      <c r="A375" s="149" t="n"/>
      <c r="B375" s="143" t="n"/>
      <c r="C375" s="143" t="n"/>
      <c r="D375" s="143" t="n"/>
      <c r="E375" s="143" t="n"/>
      <c r="F375" s="143" t="n"/>
      <c r="G375" s="143" t="n"/>
      <c r="H375" s="143" t="n"/>
      <c r="I375" s="143" t="n"/>
      <c r="J375" s="143" t="n"/>
      <c r="K375" s="143" t="n"/>
      <c r="L375" s="143" t="n"/>
      <c r="M375" s="143" t="n"/>
      <c r="N375" s="143" t="n"/>
      <c r="O375" s="143" t="n"/>
      <c r="P375" s="143" t="n"/>
      <c r="Q375" s="143" t="n"/>
      <c r="R375" s="143" t="n"/>
      <c r="S375" s="143" t="n"/>
      <c r="T375" s="143" t="n"/>
      <c r="U375" s="143" t="n"/>
      <c r="V375" s="143" t="n"/>
      <c r="W375" s="143" t="n"/>
      <c r="X375" s="143" t="n"/>
      <c r="Y375" s="143" t="n"/>
      <c r="Z375" s="143" t="n"/>
    </row>
    <row r="376" ht="19.5" customHeight="1" s="398">
      <c r="A376" s="149" t="n"/>
      <c r="B376" s="143" t="n"/>
      <c r="C376" s="143" t="n"/>
      <c r="D376" s="143" t="n"/>
      <c r="E376" s="143" t="n"/>
      <c r="F376" s="143" t="n"/>
      <c r="G376" s="143" t="n"/>
      <c r="H376" s="143" t="n"/>
      <c r="I376" s="143" t="n"/>
      <c r="J376" s="143" t="n"/>
      <c r="K376" s="143" t="n"/>
      <c r="L376" s="143" t="n"/>
      <c r="M376" s="143" t="n"/>
      <c r="N376" s="143" t="n"/>
      <c r="O376" s="143" t="n"/>
      <c r="P376" s="143" t="n"/>
      <c r="Q376" s="143" t="n"/>
      <c r="R376" s="143" t="n"/>
      <c r="S376" s="143" t="n"/>
      <c r="T376" s="143" t="n"/>
      <c r="U376" s="143" t="n"/>
      <c r="V376" s="143" t="n"/>
      <c r="W376" s="143" t="n"/>
      <c r="X376" s="143" t="n"/>
      <c r="Y376" s="143" t="n"/>
      <c r="Z376" s="143" t="n"/>
    </row>
    <row r="377" ht="19.5" customHeight="1" s="398">
      <c r="A377" s="149" t="n"/>
      <c r="B377" s="143" t="n"/>
      <c r="C377" s="143" t="n"/>
      <c r="D377" s="143" t="n"/>
      <c r="E377" s="143" t="n"/>
      <c r="F377" s="143" t="n"/>
      <c r="G377" s="143" t="n"/>
      <c r="H377" s="143" t="n"/>
      <c r="I377" s="143" t="n"/>
      <c r="J377" s="143" t="n"/>
      <c r="K377" s="143" t="n"/>
      <c r="L377" s="143" t="n"/>
      <c r="M377" s="143" t="n"/>
      <c r="N377" s="143" t="n"/>
      <c r="O377" s="143" t="n"/>
      <c r="P377" s="143" t="n"/>
      <c r="Q377" s="143" t="n"/>
      <c r="R377" s="143" t="n"/>
      <c r="S377" s="143" t="n"/>
      <c r="T377" s="143" t="n"/>
      <c r="U377" s="143" t="n"/>
      <c r="V377" s="143" t="n"/>
      <c r="W377" s="143" t="n"/>
      <c r="X377" s="143" t="n"/>
      <c r="Y377" s="143" t="n"/>
      <c r="Z377" s="143" t="n"/>
    </row>
    <row r="378" ht="19.5" customHeight="1" s="398">
      <c r="A378" s="149" t="n"/>
      <c r="B378" s="143" t="n"/>
      <c r="C378" s="143" t="n"/>
      <c r="D378" s="143" t="n"/>
      <c r="E378" s="143" t="n"/>
      <c r="F378" s="143" t="n"/>
      <c r="G378" s="143" t="n"/>
      <c r="H378" s="143" t="n"/>
      <c r="I378" s="143" t="n"/>
      <c r="J378" s="143" t="n"/>
      <c r="K378" s="143" t="n"/>
      <c r="L378" s="143" t="n"/>
      <c r="M378" s="143" t="n"/>
      <c r="N378" s="143" t="n"/>
      <c r="O378" s="143" t="n"/>
      <c r="P378" s="143" t="n"/>
      <c r="Q378" s="143" t="n"/>
      <c r="R378" s="143" t="n"/>
      <c r="S378" s="143" t="n"/>
      <c r="T378" s="143" t="n"/>
      <c r="U378" s="143" t="n"/>
      <c r="V378" s="143" t="n"/>
      <c r="W378" s="143" t="n"/>
      <c r="X378" s="143" t="n"/>
      <c r="Y378" s="143" t="n"/>
      <c r="Z378" s="143" t="n"/>
    </row>
    <row r="379" ht="19.5" customHeight="1" s="398">
      <c r="A379" s="149" t="n"/>
      <c r="B379" s="143" t="n"/>
      <c r="C379" s="143" t="n"/>
      <c r="D379" s="143" t="n"/>
      <c r="E379" s="143" t="n"/>
      <c r="F379" s="143" t="n"/>
      <c r="G379" s="143" t="n"/>
      <c r="H379" s="143" t="n"/>
      <c r="I379" s="143" t="n"/>
      <c r="J379" s="143" t="n"/>
      <c r="K379" s="143" t="n"/>
      <c r="L379" s="143" t="n"/>
      <c r="M379" s="143" t="n"/>
      <c r="N379" s="143" t="n"/>
      <c r="O379" s="143" t="n"/>
      <c r="P379" s="143" t="n"/>
      <c r="Q379" s="143" t="n"/>
      <c r="R379" s="143" t="n"/>
      <c r="S379" s="143" t="n"/>
      <c r="T379" s="143" t="n"/>
      <c r="U379" s="143" t="n"/>
      <c r="V379" s="143" t="n"/>
      <c r="W379" s="143" t="n"/>
      <c r="X379" s="143" t="n"/>
      <c r="Y379" s="143" t="n"/>
      <c r="Z379" s="143" t="n"/>
    </row>
    <row r="380" ht="19.5" customHeight="1" s="398">
      <c r="A380" s="149" t="n"/>
      <c r="B380" s="143" t="n"/>
      <c r="C380" s="143" t="n"/>
      <c r="D380" s="143" t="n"/>
      <c r="E380" s="143" t="n"/>
      <c r="F380" s="143" t="n"/>
      <c r="G380" s="143" t="n"/>
      <c r="H380" s="143" t="n"/>
      <c r="I380" s="143" t="n"/>
      <c r="J380" s="143" t="n"/>
      <c r="K380" s="143" t="n"/>
      <c r="L380" s="143" t="n"/>
      <c r="M380" s="143" t="n"/>
      <c r="N380" s="143" t="n"/>
      <c r="O380" s="143" t="n"/>
      <c r="P380" s="143" t="n"/>
      <c r="Q380" s="143" t="n"/>
      <c r="R380" s="143" t="n"/>
      <c r="S380" s="143" t="n"/>
      <c r="T380" s="143" t="n"/>
      <c r="U380" s="143" t="n"/>
      <c r="V380" s="143" t="n"/>
      <c r="W380" s="143" t="n"/>
      <c r="X380" s="143" t="n"/>
      <c r="Y380" s="143" t="n"/>
      <c r="Z380" s="143" t="n"/>
    </row>
    <row r="381" ht="19.5" customHeight="1" s="398">
      <c r="A381" s="149" t="n"/>
      <c r="B381" s="143" t="n"/>
      <c r="C381" s="143" t="n"/>
      <c r="D381" s="143" t="n"/>
      <c r="E381" s="143" t="n"/>
      <c r="F381" s="143" t="n"/>
      <c r="G381" s="143" t="n"/>
      <c r="H381" s="143" t="n"/>
      <c r="I381" s="143" t="n"/>
      <c r="J381" s="143" t="n"/>
      <c r="K381" s="143" t="n"/>
      <c r="L381" s="143" t="n"/>
      <c r="M381" s="143" t="n"/>
      <c r="N381" s="143" t="n"/>
      <c r="O381" s="143" t="n"/>
      <c r="P381" s="143" t="n"/>
      <c r="Q381" s="143" t="n"/>
      <c r="R381" s="143" t="n"/>
      <c r="S381" s="143" t="n"/>
      <c r="T381" s="143" t="n"/>
      <c r="U381" s="143" t="n"/>
      <c r="V381" s="143" t="n"/>
      <c r="W381" s="143" t="n"/>
      <c r="X381" s="143" t="n"/>
      <c r="Y381" s="143" t="n"/>
      <c r="Z381" s="143" t="n"/>
    </row>
    <row r="382" ht="19.5" customHeight="1" s="398">
      <c r="A382" s="149" t="n"/>
      <c r="B382" s="143" t="n"/>
      <c r="C382" s="143" t="n"/>
      <c r="D382" s="143" t="n"/>
      <c r="E382" s="143" t="n"/>
      <c r="F382" s="143" t="n"/>
      <c r="G382" s="143" t="n"/>
      <c r="H382" s="143" t="n"/>
      <c r="I382" s="143" t="n"/>
      <c r="J382" s="143" t="n"/>
      <c r="K382" s="143" t="n"/>
      <c r="L382" s="143" t="n"/>
      <c r="M382" s="143" t="n"/>
      <c r="N382" s="143" t="n"/>
      <c r="O382" s="143" t="n"/>
      <c r="P382" s="143" t="n"/>
      <c r="Q382" s="143" t="n"/>
      <c r="R382" s="143" t="n"/>
      <c r="S382" s="143" t="n"/>
      <c r="T382" s="143" t="n"/>
      <c r="U382" s="143" t="n"/>
      <c r="V382" s="143" t="n"/>
      <c r="W382" s="143" t="n"/>
      <c r="X382" s="143" t="n"/>
      <c r="Y382" s="143" t="n"/>
      <c r="Z382" s="143" t="n"/>
    </row>
    <row r="383" ht="19.5" customHeight="1" s="398">
      <c r="A383" s="149" t="n"/>
      <c r="B383" s="143" t="n"/>
      <c r="C383" s="143" t="n"/>
      <c r="D383" s="143" t="n"/>
      <c r="E383" s="143" t="n"/>
      <c r="F383" s="143" t="n"/>
      <c r="G383" s="143" t="n"/>
      <c r="H383" s="143" t="n"/>
      <c r="I383" s="143" t="n"/>
      <c r="J383" s="143" t="n"/>
      <c r="K383" s="143" t="n"/>
      <c r="L383" s="143" t="n"/>
      <c r="M383" s="143" t="n"/>
      <c r="N383" s="143" t="n"/>
      <c r="O383" s="143" t="n"/>
      <c r="P383" s="143" t="n"/>
      <c r="Q383" s="143" t="n"/>
      <c r="R383" s="143" t="n"/>
      <c r="S383" s="143" t="n"/>
      <c r="T383" s="143" t="n"/>
      <c r="U383" s="143" t="n"/>
      <c r="V383" s="143" t="n"/>
      <c r="W383" s="143" t="n"/>
      <c r="X383" s="143" t="n"/>
      <c r="Y383" s="143" t="n"/>
      <c r="Z383" s="143" t="n"/>
    </row>
    <row r="384" ht="19.5" customHeight="1" s="398">
      <c r="A384" s="149" t="n"/>
      <c r="B384" s="143" t="n"/>
      <c r="C384" s="143" t="n"/>
      <c r="D384" s="143" t="n"/>
      <c r="E384" s="143" t="n"/>
      <c r="F384" s="143" t="n"/>
      <c r="G384" s="143" t="n"/>
      <c r="H384" s="143" t="n"/>
      <c r="I384" s="143" t="n"/>
      <c r="J384" s="143" t="n"/>
      <c r="K384" s="143" t="n"/>
      <c r="L384" s="143" t="n"/>
      <c r="M384" s="143" t="n"/>
      <c r="N384" s="143" t="n"/>
      <c r="O384" s="143" t="n"/>
      <c r="P384" s="143" t="n"/>
      <c r="Q384" s="143" t="n"/>
      <c r="R384" s="143" t="n"/>
      <c r="S384" s="143" t="n"/>
      <c r="T384" s="143" t="n"/>
      <c r="U384" s="143" t="n"/>
      <c r="V384" s="143" t="n"/>
      <c r="W384" s="143" t="n"/>
      <c r="X384" s="143" t="n"/>
      <c r="Y384" s="143" t="n"/>
      <c r="Z384" s="143" t="n"/>
    </row>
    <row r="385" ht="19.5" customHeight="1" s="398">
      <c r="A385" s="149" t="n"/>
      <c r="B385" s="143" t="n"/>
      <c r="C385" s="143" t="n"/>
      <c r="D385" s="143" t="n"/>
      <c r="E385" s="143" t="n"/>
      <c r="F385" s="143" t="n"/>
      <c r="G385" s="143" t="n"/>
      <c r="H385" s="143" t="n"/>
      <c r="I385" s="143" t="n"/>
      <c r="J385" s="143" t="n"/>
      <c r="K385" s="143" t="n"/>
      <c r="L385" s="143" t="n"/>
      <c r="M385" s="143" t="n"/>
      <c r="N385" s="143" t="n"/>
      <c r="O385" s="143" t="n"/>
      <c r="P385" s="143" t="n"/>
      <c r="Q385" s="143" t="n"/>
      <c r="R385" s="143" t="n"/>
      <c r="S385" s="143" t="n"/>
      <c r="T385" s="143" t="n"/>
      <c r="U385" s="143" t="n"/>
      <c r="V385" s="143" t="n"/>
      <c r="W385" s="143" t="n"/>
      <c r="X385" s="143" t="n"/>
      <c r="Y385" s="143" t="n"/>
      <c r="Z385" s="143" t="n"/>
    </row>
    <row r="386" ht="19.5" customHeight="1" s="398">
      <c r="A386" s="149" t="n"/>
      <c r="B386" s="143" t="n"/>
      <c r="C386" s="143" t="n"/>
      <c r="D386" s="143" t="n"/>
      <c r="E386" s="143" t="n"/>
      <c r="F386" s="143" t="n"/>
      <c r="G386" s="143" t="n"/>
      <c r="H386" s="143" t="n"/>
      <c r="I386" s="143" t="n"/>
      <c r="J386" s="143" t="n"/>
      <c r="K386" s="143" t="n"/>
      <c r="L386" s="143" t="n"/>
      <c r="M386" s="143" t="n"/>
      <c r="N386" s="143" t="n"/>
      <c r="O386" s="143" t="n"/>
      <c r="P386" s="143" t="n"/>
      <c r="Q386" s="143" t="n"/>
      <c r="R386" s="143" t="n"/>
      <c r="S386" s="143" t="n"/>
      <c r="T386" s="143" t="n"/>
      <c r="U386" s="143" t="n"/>
      <c r="V386" s="143" t="n"/>
      <c r="W386" s="143" t="n"/>
      <c r="X386" s="143" t="n"/>
      <c r="Y386" s="143" t="n"/>
      <c r="Z386" s="143" t="n"/>
    </row>
    <row r="387" ht="19.5" customHeight="1" s="398">
      <c r="A387" s="149" t="n"/>
      <c r="B387" s="143" t="n"/>
      <c r="C387" s="143" t="n"/>
      <c r="D387" s="143" t="n"/>
      <c r="E387" s="143" t="n"/>
      <c r="F387" s="143" t="n"/>
      <c r="G387" s="143" t="n"/>
      <c r="H387" s="143" t="n"/>
      <c r="I387" s="143" t="n"/>
      <c r="J387" s="143" t="n"/>
      <c r="K387" s="143" t="n"/>
      <c r="L387" s="143" t="n"/>
      <c r="M387" s="143" t="n"/>
      <c r="N387" s="143" t="n"/>
      <c r="O387" s="143" t="n"/>
      <c r="P387" s="143" t="n"/>
      <c r="Q387" s="143" t="n"/>
      <c r="R387" s="143" t="n"/>
      <c r="S387" s="143" t="n"/>
      <c r="T387" s="143" t="n"/>
      <c r="U387" s="143" t="n"/>
      <c r="V387" s="143" t="n"/>
      <c r="W387" s="143" t="n"/>
      <c r="X387" s="143" t="n"/>
      <c r="Y387" s="143" t="n"/>
      <c r="Z387" s="143" t="n"/>
    </row>
    <row r="388" ht="19.5" customHeight="1" s="398">
      <c r="A388" s="149" t="n"/>
      <c r="B388" s="143" t="n"/>
      <c r="C388" s="143" t="n"/>
      <c r="D388" s="143" t="n"/>
      <c r="E388" s="143" t="n"/>
      <c r="F388" s="143" t="n"/>
      <c r="G388" s="143" t="n"/>
      <c r="H388" s="143" t="n"/>
      <c r="I388" s="143" t="n"/>
      <c r="J388" s="143" t="n"/>
      <c r="K388" s="143" t="n"/>
      <c r="L388" s="143" t="n"/>
      <c r="M388" s="143" t="n"/>
      <c r="N388" s="143" t="n"/>
      <c r="O388" s="143" t="n"/>
      <c r="P388" s="143" t="n"/>
      <c r="Q388" s="143" t="n"/>
      <c r="R388" s="143" t="n"/>
      <c r="S388" s="143" t="n"/>
      <c r="T388" s="143" t="n"/>
      <c r="U388" s="143" t="n"/>
      <c r="V388" s="143" t="n"/>
      <c r="W388" s="143" t="n"/>
      <c r="X388" s="143" t="n"/>
      <c r="Y388" s="143" t="n"/>
      <c r="Z388" s="143" t="n"/>
    </row>
    <row r="389" ht="19.5" customHeight="1" s="398">
      <c r="A389" s="149" t="n"/>
      <c r="B389" s="143" t="n"/>
      <c r="C389" s="143" t="n"/>
      <c r="D389" s="143" t="n"/>
      <c r="E389" s="143" t="n"/>
      <c r="F389" s="143" t="n"/>
      <c r="G389" s="143" t="n"/>
      <c r="H389" s="143" t="n"/>
      <c r="I389" s="143" t="n"/>
      <c r="J389" s="143" t="n"/>
      <c r="K389" s="143" t="n"/>
      <c r="L389" s="143" t="n"/>
      <c r="M389" s="143" t="n"/>
      <c r="N389" s="143" t="n"/>
      <c r="O389" s="143" t="n"/>
      <c r="P389" s="143" t="n"/>
      <c r="Q389" s="143" t="n"/>
      <c r="R389" s="143" t="n"/>
      <c r="S389" s="143" t="n"/>
      <c r="T389" s="143" t="n"/>
      <c r="U389" s="143" t="n"/>
      <c r="V389" s="143" t="n"/>
      <c r="W389" s="143" t="n"/>
      <c r="X389" s="143" t="n"/>
      <c r="Y389" s="143" t="n"/>
      <c r="Z389" s="143" t="n"/>
    </row>
    <row r="390" ht="19.5" customHeight="1" s="398">
      <c r="A390" s="149" t="n"/>
      <c r="B390" s="143" t="n"/>
      <c r="C390" s="143" t="n"/>
      <c r="D390" s="143" t="n"/>
      <c r="E390" s="143" t="n"/>
      <c r="F390" s="143" t="n"/>
      <c r="G390" s="143" t="n"/>
      <c r="H390" s="143" t="n"/>
      <c r="I390" s="143" t="n"/>
      <c r="J390" s="143" t="n"/>
      <c r="K390" s="143" t="n"/>
      <c r="L390" s="143" t="n"/>
      <c r="M390" s="143" t="n"/>
      <c r="N390" s="143" t="n"/>
      <c r="O390" s="143" t="n"/>
      <c r="P390" s="143" t="n"/>
      <c r="Q390" s="143" t="n"/>
      <c r="R390" s="143" t="n"/>
      <c r="S390" s="143" t="n"/>
      <c r="T390" s="143" t="n"/>
      <c r="U390" s="143" t="n"/>
      <c r="V390" s="143" t="n"/>
      <c r="W390" s="143" t="n"/>
      <c r="X390" s="143" t="n"/>
      <c r="Y390" s="143" t="n"/>
      <c r="Z390" s="143" t="n"/>
    </row>
    <row r="391" ht="19.5" customHeight="1" s="398">
      <c r="A391" s="149" t="n"/>
      <c r="B391" s="143" t="n"/>
      <c r="C391" s="143" t="n"/>
      <c r="D391" s="143" t="n"/>
      <c r="E391" s="143" t="n"/>
      <c r="F391" s="143" t="n"/>
      <c r="G391" s="143" t="n"/>
      <c r="H391" s="143" t="n"/>
      <c r="I391" s="143" t="n"/>
      <c r="J391" s="143" t="n"/>
      <c r="K391" s="143" t="n"/>
      <c r="L391" s="143" t="n"/>
      <c r="M391" s="143" t="n"/>
      <c r="N391" s="143" t="n"/>
      <c r="O391" s="143" t="n"/>
      <c r="P391" s="143" t="n"/>
      <c r="Q391" s="143" t="n"/>
      <c r="R391" s="143" t="n"/>
      <c r="S391" s="143" t="n"/>
      <c r="T391" s="143" t="n"/>
      <c r="U391" s="143" t="n"/>
      <c r="V391" s="143" t="n"/>
      <c r="W391" s="143" t="n"/>
      <c r="X391" s="143" t="n"/>
      <c r="Y391" s="143" t="n"/>
      <c r="Z391" s="143" t="n"/>
    </row>
    <row r="392" ht="19.5" customHeight="1" s="398">
      <c r="A392" s="149" t="n"/>
      <c r="B392" s="143" t="n"/>
      <c r="C392" s="143" t="n"/>
      <c r="D392" s="143" t="n"/>
      <c r="E392" s="143" t="n"/>
      <c r="F392" s="143" t="n"/>
      <c r="G392" s="143" t="n"/>
      <c r="H392" s="143" t="n"/>
      <c r="I392" s="143" t="n"/>
      <c r="J392" s="143" t="n"/>
      <c r="K392" s="143" t="n"/>
      <c r="L392" s="143" t="n"/>
      <c r="M392" s="143" t="n"/>
      <c r="N392" s="143" t="n"/>
      <c r="O392" s="143" t="n"/>
      <c r="P392" s="143" t="n"/>
      <c r="Q392" s="143" t="n"/>
      <c r="R392" s="143" t="n"/>
      <c r="S392" s="143" t="n"/>
      <c r="T392" s="143" t="n"/>
      <c r="U392" s="143" t="n"/>
      <c r="V392" s="143" t="n"/>
      <c r="W392" s="143" t="n"/>
      <c r="X392" s="143" t="n"/>
      <c r="Y392" s="143" t="n"/>
      <c r="Z392" s="143" t="n"/>
    </row>
    <row r="393" ht="19.5" customHeight="1" s="398">
      <c r="A393" s="149" t="n"/>
      <c r="B393" s="143" t="n"/>
      <c r="C393" s="143" t="n"/>
      <c r="D393" s="143" t="n"/>
      <c r="E393" s="143" t="n"/>
      <c r="F393" s="143" t="n"/>
      <c r="G393" s="143" t="n"/>
      <c r="H393" s="143" t="n"/>
      <c r="I393" s="143" t="n"/>
      <c r="J393" s="143" t="n"/>
      <c r="K393" s="143" t="n"/>
      <c r="L393" s="143" t="n"/>
      <c r="M393" s="143" t="n"/>
      <c r="N393" s="143" t="n"/>
      <c r="O393" s="143" t="n"/>
      <c r="P393" s="143" t="n"/>
      <c r="Q393" s="143" t="n"/>
      <c r="R393" s="143" t="n"/>
      <c r="S393" s="143" t="n"/>
      <c r="T393" s="143" t="n"/>
      <c r="U393" s="143" t="n"/>
      <c r="V393" s="143" t="n"/>
      <c r="W393" s="143" t="n"/>
      <c r="X393" s="143" t="n"/>
      <c r="Y393" s="143" t="n"/>
      <c r="Z393" s="143" t="n"/>
    </row>
    <row r="394" ht="19.5" customHeight="1" s="398">
      <c r="A394" s="149" t="n"/>
      <c r="B394" s="143" t="n"/>
      <c r="C394" s="143" t="n"/>
      <c r="D394" s="143" t="n"/>
      <c r="E394" s="143" t="n"/>
      <c r="F394" s="143" t="n"/>
      <c r="G394" s="143" t="n"/>
      <c r="H394" s="143" t="n"/>
      <c r="I394" s="143" t="n"/>
      <c r="J394" s="143" t="n"/>
      <c r="K394" s="143" t="n"/>
      <c r="L394" s="143" t="n"/>
      <c r="M394" s="143" t="n"/>
      <c r="N394" s="143" t="n"/>
      <c r="O394" s="143" t="n"/>
      <c r="P394" s="143" t="n"/>
      <c r="Q394" s="143" t="n"/>
      <c r="R394" s="143" t="n"/>
      <c r="S394" s="143" t="n"/>
      <c r="T394" s="143" t="n"/>
      <c r="U394" s="143" t="n"/>
      <c r="V394" s="143" t="n"/>
      <c r="W394" s="143" t="n"/>
      <c r="X394" s="143" t="n"/>
      <c r="Y394" s="143" t="n"/>
      <c r="Z394" s="143" t="n"/>
    </row>
    <row r="395" ht="19.5" customHeight="1" s="398">
      <c r="A395" s="149" t="n"/>
      <c r="B395" s="143" t="n"/>
      <c r="C395" s="143" t="n"/>
      <c r="D395" s="143" t="n"/>
      <c r="E395" s="143" t="n"/>
      <c r="F395" s="143" t="n"/>
      <c r="G395" s="143" t="n"/>
      <c r="H395" s="143" t="n"/>
      <c r="I395" s="143" t="n"/>
      <c r="J395" s="143" t="n"/>
      <c r="K395" s="143" t="n"/>
      <c r="L395" s="143" t="n"/>
      <c r="M395" s="143" t="n"/>
      <c r="N395" s="143" t="n"/>
      <c r="O395" s="143" t="n"/>
      <c r="P395" s="143" t="n"/>
      <c r="Q395" s="143" t="n"/>
      <c r="R395" s="143" t="n"/>
      <c r="S395" s="143" t="n"/>
      <c r="T395" s="143" t="n"/>
      <c r="U395" s="143" t="n"/>
      <c r="V395" s="143" t="n"/>
      <c r="W395" s="143" t="n"/>
      <c r="X395" s="143" t="n"/>
      <c r="Y395" s="143" t="n"/>
      <c r="Z395" s="143" t="n"/>
    </row>
    <row r="396" ht="19.5" customHeight="1" s="398">
      <c r="A396" s="149" t="n"/>
      <c r="B396" s="143" t="n"/>
      <c r="C396" s="143" t="n"/>
      <c r="D396" s="143" t="n"/>
      <c r="E396" s="143" t="n"/>
      <c r="F396" s="143" t="n"/>
      <c r="G396" s="143" t="n"/>
      <c r="H396" s="143" t="n"/>
      <c r="I396" s="143" t="n"/>
      <c r="J396" s="143" t="n"/>
      <c r="K396" s="143" t="n"/>
      <c r="L396" s="143" t="n"/>
      <c r="M396" s="143" t="n"/>
      <c r="N396" s="143" t="n"/>
      <c r="O396" s="143" t="n"/>
      <c r="P396" s="143" t="n"/>
      <c r="Q396" s="143" t="n"/>
      <c r="R396" s="143" t="n"/>
      <c r="S396" s="143" t="n"/>
      <c r="T396" s="143" t="n"/>
      <c r="U396" s="143" t="n"/>
      <c r="V396" s="143" t="n"/>
      <c r="W396" s="143" t="n"/>
      <c r="X396" s="143" t="n"/>
      <c r="Y396" s="143" t="n"/>
      <c r="Z396" s="143" t="n"/>
    </row>
    <row r="397" ht="19.5" customHeight="1" s="398">
      <c r="A397" s="149" t="n"/>
      <c r="B397" s="143" t="n"/>
      <c r="C397" s="143" t="n"/>
      <c r="D397" s="143" t="n"/>
      <c r="E397" s="143" t="n"/>
      <c r="F397" s="143" t="n"/>
      <c r="G397" s="143" t="n"/>
      <c r="H397" s="143" t="n"/>
      <c r="I397" s="143" t="n"/>
      <c r="J397" s="143" t="n"/>
      <c r="K397" s="143" t="n"/>
      <c r="L397" s="143" t="n"/>
      <c r="M397" s="143" t="n"/>
      <c r="N397" s="143" t="n"/>
      <c r="O397" s="143" t="n"/>
      <c r="P397" s="143" t="n"/>
      <c r="Q397" s="143" t="n"/>
      <c r="R397" s="143" t="n"/>
      <c r="S397" s="143" t="n"/>
      <c r="T397" s="143" t="n"/>
      <c r="U397" s="143" t="n"/>
      <c r="V397" s="143" t="n"/>
      <c r="W397" s="143" t="n"/>
      <c r="X397" s="143" t="n"/>
      <c r="Y397" s="143" t="n"/>
      <c r="Z397" s="143" t="n"/>
    </row>
    <row r="398" ht="19.5" customHeight="1" s="398">
      <c r="A398" s="149" t="n"/>
      <c r="B398" s="143" t="n"/>
      <c r="C398" s="143" t="n"/>
      <c r="D398" s="143" t="n"/>
      <c r="E398" s="143" t="n"/>
      <c r="F398" s="143" t="n"/>
      <c r="G398" s="143" t="n"/>
      <c r="H398" s="143" t="n"/>
      <c r="I398" s="143" t="n"/>
      <c r="J398" s="143" t="n"/>
      <c r="K398" s="143" t="n"/>
      <c r="L398" s="143" t="n"/>
      <c r="M398" s="143" t="n"/>
      <c r="N398" s="143" t="n"/>
      <c r="O398" s="143" t="n"/>
      <c r="P398" s="143" t="n"/>
      <c r="Q398" s="143" t="n"/>
      <c r="R398" s="143" t="n"/>
      <c r="S398" s="143" t="n"/>
      <c r="T398" s="143" t="n"/>
      <c r="U398" s="143" t="n"/>
      <c r="V398" s="143" t="n"/>
      <c r="W398" s="143" t="n"/>
      <c r="X398" s="143" t="n"/>
      <c r="Y398" s="143" t="n"/>
      <c r="Z398" s="143" t="n"/>
    </row>
    <row r="399" ht="19.5" customHeight="1" s="398">
      <c r="A399" s="149" t="n"/>
      <c r="B399" s="143" t="n"/>
      <c r="C399" s="143" t="n"/>
      <c r="D399" s="143" t="n"/>
      <c r="E399" s="143" t="n"/>
      <c r="F399" s="143" t="n"/>
      <c r="G399" s="143" t="n"/>
      <c r="H399" s="143" t="n"/>
      <c r="I399" s="143" t="n"/>
      <c r="J399" s="143" t="n"/>
      <c r="K399" s="143" t="n"/>
      <c r="L399" s="143" t="n"/>
      <c r="M399" s="143" t="n"/>
      <c r="N399" s="143" t="n"/>
      <c r="O399" s="143" t="n"/>
      <c r="P399" s="143" t="n"/>
      <c r="Q399" s="143" t="n"/>
      <c r="R399" s="143" t="n"/>
      <c r="S399" s="143" t="n"/>
      <c r="T399" s="143" t="n"/>
      <c r="U399" s="143" t="n"/>
      <c r="V399" s="143" t="n"/>
      <c r="W399" s="143" t="n"/>
      <c r="X399" s="143" t="n"/>
      <c r="Y399" s="143" t="n"/>
      <c r="Z399" s="143" t="n"/>
    </row>
    <row r="400" ht="19.5" customHeight="1" s="398">
      <c r="A400" s="149" t="n"/>
      <c r="B400" s="143" t="n"/>
      <c r="C400" s="143" t="n"/>
      <c r="D400" s="143" t="n"/>
      <c r="E400" s="143" t="n"/>
      <c r="F400" s="143" t="n"/>
      <c r="G400" s="143" t="n"/>
      <c r="H400" s="143" t="n"/>
      <c r="I400" s="143" t="n"/>
      <c r="J400" s="143" t="n"/>
      <c r="K400" s="143" t="n"/>
      <c r="L400" s="143" t="n"/>
      <c r="M400" s="143" t="n"/>
      <c r="N400" s="143" t="n"/>
      <c r="O400" s="143" t="n"/>
      <c r="P400" s="143" t="n"/>
      <c r="Q400" s="143" t="n"/>
      <c r="R400" s="143" t="n"/>
      <c r="S400" s="143" t="n"/>
      <c r="T400" s="143" t="n"/>
      <c r="U400" s="143" t="n"/>
      <c r="V400" s="143" t="n"/>
      <c r="W400" s="143" t="n"/>
      <c r="X400" s="143" t="n"/>
      <c r="Y400" s="143" t="n"/>
      <c r="Z400" s="143" t="n"/>
    </row>
    <row r="401" ht="19.5" customHeight="1" s="398">
      <c r="A401" s="149" t="n"/>
      <c r="B401" s="143" t="n"/>
      <c r="C401" s="143" t="n"/>
      <c r="D401" s="143" t="n"/>
      <c r="E401" s="143" t="n"/>
      <c r="F401" s="143" t="n"/>
      <c r="G401" s="143" t="n"/>
      <c r="H401" s="143" t="n"/>
      <c r="I401" s="143" t="n"/>
      <c r="J401" s="143" t="n"/>
      <c r="K401" s="143" t="n"/>
      <c r="L401" s="143" t="n"/>
      <c r="M401" s="143" t="n"/>
      <c r="N401" s="143" t="n"/>
      <c r="O401" s="143" t="n"/>
      <c r="P401" s="143" t="n"/>
      <c r="Q401" s="143" t="n"/>
      <c r="R401" s="143" t="n"/>
      <c r="S401" s="143" t="n"/>
      <c r="T401" s="143" t="n"/>
      <c r="U401" s="143" t="n"/>
      <c r="V401" s="143" t="n"/>
      <c r="W401" s="143" t="n"/>
      <c r="X401" s="143" t="n"/>
      <c r="Y401" s="143" t="n"/>
      <c r="Z401" s="143" t="n"/>
    </row>
    <row r="402" ht="19.5" customHeight="1" s="398">
      <c r="A402" s="149" t="n"/>
      <c r="B402" s="143" t="n"/>
      <c r="C402" s="143" t="n"/>
      <c r="D402" s="143" t="n"/>
      <c r="E402" s="143" t="n"/>
      <c r="F402" s="143" t="n"/>
      <c r="G402" s="143" t="n"/>
      <c r="H402" s="143" t="n"/>
      <c r="I402" s="143" t="n"/>
      <c r="J402" s="143" t="n"/>
      <c r="K402" s="143" t="n"/>
      <c r="L402" s="143" t="n"/>
      <c r="M402" s="143" t="n"/>
      <c r="N402" s="143" t="n"/>
      <c r="O402" s="143" t="n"/>
      <c r="P402" s="143" t="n"/>
      <c r="Q402" s="143" t="n"/>
      <c r="R402" s="143" t="n"/>
      <c r="S402" s="143" t="n"/>
      <c r="T402" s="143" t="n"/>
      <c r="U402" s="143" t="n"/>
      <c r="V402" s="143" t="n"/>
      <c r="W402" s="143" t="n"/>
      <c r="X402" s="143" t="n"/>
      <c r="Y402" s="143" t="n"/>
      <c r="Z402" s="143" t="n"/>
    </row>
    <row r="403" ht="19.5" customHeight="1" s="398">
      <c r="A403" s="149" t="n"/>
      <c r="B403" s="143" t="n"/>
      <c r="C403" s="143" t="n"/>
      <c r="D403" s="143" t="n"/>
      <c r="E403" s="143" t="n"/>
      <c r="F403" s="143" t="n"/>
      <c r="G403" s="143" t="n"/>
      <c r="H403" s="143" t="n"/>
      <c r="I403" s="143" t="n"/>
      <c r="J403" s="143" t="n"/>
      <c r="K403" s="143" t="n"/>
      <c r="L403" s="143" t="n"/>
      <c r="M403" s="143" t="n"/>
      <c r="N403" s="143" t="n"/>
      <c r="O403" s="143" t="n"/>
      <c r="P403" s="143" t="n"/>
      <c r="Q403" s="143" t="n"/>
      <c r="R403" s="143" t="n"/>
      <c r="S403" s="143" t="n"/>
      <c r="T403" s="143" t="n"/>
      <c r="U403" s="143" t="n"/>
      <c r="V403" s="143" t="n"/>
      <c r="W403" s="143" t="n"/>
      <c r="X403" s="143" t="n"/>
      <c r="Y403" s="143" t="n"/>
      <c r="Z403" s="143" t="n"/>
    </row>
    <row r="404" ht="19.5" customHeight="1" s="398">
      <c r="A404" s="149" t="n"/>
      <c r="B404" s="143" t="n"/>
      <c r="C404" s="143" t="n"/>
      <c r="D404" s="143" t="n"/>
      <c r="E404" s="143" t="n"/>
      <c r="F404" s="143" t="n"/>
      <c r="G404" s="143" t="n"/>
      <c r="H404" s="143" t="n"/>
      <c r="I404" s="143" t="n"/>
      <c r="J404" s="143" t="n"/>
      <c r="K404" s="143" t="n"/>
      <c r="L404" s="143" t="n"/>
      <c r="M404" s="143" t="n"/>
      <c r="N404" s="143" t="n"/>
      <c r="O404" s="143" t="n"/>
      <c r="P404" s="143" t="n"/>
      <c r="Q404" s="143" t="n"/>
      <c r="R404" s="143" t="n"/>
      <c r="S404" s="143" t="n"/>
      <c r="T404" s="143" t="n"/>
      <c r="U404" s="143" t="n"/>
      <c r="V404" s="143" t="n"/>
      <c r="W404" s="143" t="n"/>
      <c r="X404" s="143" t="n"/>
      <c r="Y404" s="143" t="n"/>
      <c r="Z404" s="143" t="n"/>
    </row>
    <row r="405" ht="19.5" customHeight="1" s="398">
      <c r="A405" s="149" t="n"/>
      <c r="B405" s="143" t="n"/>
      <c r="C405" s="143" t="n"/>
      <c r="D405" s="143" t="n"/>
      <c r="E405" s="143" t="n"/>
      <c r="F405" s="143" t="n"/>
      <c r="G405" s="143" t="n"/>
      <c r="H405" s="143" t="n"/>
      <c r="I405" s="143" t="n"/>
      <c r="J405" s="143" t="n"/>
      <c r="K405" s="143" t="n"/>
      <c r="L405" s="143" t="n"/>
      <c r="M405" s="143" t="n"/>
      <c r="N405" s="143" t="n"/>
      <c r="O405" s="143" t="n"/>
      <c r="P405" s="143" t="n"/>
      <c r="Q405" s="143" t="n"/>
      <c r="R405" s="143" t="n"/>
      <c r="S405" s="143" t="n"/>
      <c r="T405" s="143" t="n"/>
      <c r="U405" s="143" t="n"/>
      <c r="V405" s="143" t="n"/>
      <c r="W405" s="143" t="n"/>
      <c r="X405" s="143" t="n"/>
      <c r="Y405" s="143" t="n"/>
      <c r="Z405" s="143" t="n"/>
    </row>
    <row r="406" ht="19.5" customHeight="1" s="398">
      <c r="A406" s="149" t="n"/>
      <c r="B406" s="143" t="n"/>
      <c r="C406" s="143" t="n"/>
      <c r="D406" s="143" t="n"/>
      <c r="E406" s="143" t="n"/>
      <c r="F406" s="143" t="n"/>
      <c r="G406" s="143" t="n"/>
      <c r="H406" s="143" t="n"/>
      <c r="I406" s="143" t="n"/>
      <c r="J406" s="143" t="n"/>
      <c r="K406" s="143" t="n"/>
      <c r="L406" s="143" t="n"/>
      <c r="M406" s="143" t="n"/>
      <c r="N406" s="143" t="n"/>
      <c r="O406" s="143" t="n"/>
      <c r="P406" s="143" t="n"/>
      <c r="Q406" s="143" t="n"/>
      <c r="R406" s="143" t="n"/>
      <c r="S406" s="143" t="n"/>
      <c r="T406" s="143" t="n"/>
      <c r="U406" s="143" t="n"/>
      <c r="V406" s="143" t="n"/>
      <c r="W406" s="143" t="n"/>
      <c r="X406" s="143" t="n"/>
      <c r="Y406" s="143" t="n"/>
      <c r="Z406" s="143" t="n"/>
    </row>
    <row r="407" ht="19.5" customHeight="1" s="398">
      <c r="A407" s="149" t="n"/>
      <c r="B407" s="143" t="n"/>
      <c r="C407" s="143" t="n"/>
      <c r="D407" s="143" t="n"/>
      <c r="E407" s="143" t="n"/>
      <c r="F407" s="143" t="n"/>
      <c r="G407" s="143" t="n"/>
      <c r="H407" s="143" t="n"/>
      <c r="I407" s="143" t="n"/>
      <c r="J407" s="143" t="n"/>
      <c r="K407" s="143" t="n"/>
      <c r="L407" s="143" t="n"/>
      <c r="M407" s="143" t="n"/>
      <c r="N407" s="143" t="n"/>
      <c r="O407" s="143" t="n"/>
      <c r="P407" s="143" t="n"/>
      <c r="Q407" s="143" t="n"/>
      <c r="R407" s="143" t="n"/>
      <c r="S407" s="143" t="n"/>
      <c r="T407" s="143" t="n"/>
      <c r="U407" s="143" t="n"/>
      <c r="V407" s="143" t="n"/>
      <c r="W407" s="143" t="n"/>
      <c r="X407" s="143" t="n"/>
      <c r="Y407" s="143" t="n"/>
      <c r="Z407" s="143" t="n"/>
    </row>
    <row r="408" ht="19.5" customHeight="1" s="398">
      <c r="A408" s="149" t="n"/>
      <c r="B408" s="143" t="n"/>
      <c r="C408" s="143" t="n"/>
      <c r="D408" s="143" t="n"/>
      <c r="E408" s="143" t="n"/>
      <c r="F408" s="143" t="n"/>
      <c r="G408" s="143" t="n"/>
      <c r="H408" s="143" t="n"/>
      <c r="I408" s="143" t="n"/>
      <c r="J408" s="143" t="n"/>
      <c r="K408" s="143" t="n"/>
      <c r="L408" s="143" t="n"/>
      <c r="M408" s="143" t="n"/>
      <c r="N408" s="143" t="n"/>
      <c r="O408" s="143" t="n"/>
      <c r="P408" s="143" t="n"/>
      <c r="Q408" s="143" t="n"/>
      <c r="R408" s="143" t="n"/>
      <c r="S408" s="143" t="n"/>
      <c r="T408" s="143" t="n"/>
      <c r="U408" s="143" t="n"/>
      <c r="V408" s="143" t="n"/>
      <c r="W408" s="143" t="n"/>
      <c r="X408" s="143" t="n"/>
      <c r="Y408" s="143" t="n"/>
      <c r="Z408" s="143" t="n"/>
    </row>
    <row r="409" ht="19.5" customHeight="1" s="398">
      <c r="A409" s="149" t="n"/>
      <c r="B409" s="143" t="n"/>
      <c r="C409" s="143" t="n"/>
      <c r="D409" s="143" t="n"/>
      <c r="E409" s="143" t="n"/>
      <c r="F409" s="143" t="n"/>
      <c r="G409" s="143" t="n"/>
      <c r="H409" s="143" t="n"/>
      <c r="I409" s="143" t="n"/>
      <c r="J409" s="143" t="n"/>
      <c r="K409" s="143" t="n"/>
      <c r="L409" s="143" t="n"/>
      <c r="M409" s="143" t="n"/>
      <c r="N409" s="143" t="n"/>
      <c r="O409" s="143" t="n"/>
      <c r="P409" s="143" t="n"/>
      <c r="Q409" s="143" t="n"/>
      <c r="R409" s="143" t="n"/>
      <c r="S409" s="143" t="n"/>
      <c r="T409" s="143" t="n"/>
      <c r="U409" s="143" t="n"/>
      <c r="V409" s="143" t="n"/>
      <c r="W409" s="143" t="n"/>
      <c r="X409" s="143" t="n"/>
      <c r="Y409" s="143" t="n"/>
      <c r="Z409" s="143" t="n"/>
    </row>
    <row r="410" ht="19.5" customHeight="1" s="398">
      <c r="A410" s="149" t="n"/>
      <c r="B410" s="143" t="n"/>
      <c r="C410" s="143" t="n"/>
      <c r="D410" s="143" t="n"/>
      <c r="E410" s="143" t="n"/>
      <c r="F410" s="143" t="n"/>
      <c r="G410" s="143" t="n"/>
      <c r="H410" s="143" t="n"/>
      <c r="I410" s="143" t="n"/>
      <c r="J410" s="143" t="n"/>
      <c r="K410" s="143" t="n"/>
      <c r="L410" s="143" t="n"/>
      <c r="M410" s="143" t="n"/>
      <c r="N410" s="143" t="n"/>
      <c r="O410" s="143" t="n"/>
      <c r="P410" s="143" t="n"/>
      <c r="Q410" s="143" t="n"/>
      <c r="R410" s="143" t="n"/>
      <c r="S410" s="143" t="n"/>
      <c r="T410" s="143" t="n"/>
      <c r="U410" s="143" t="n"/>
      <c r="V410" s="143" t="n"/>
      <c r="W410" s="143" t="n"/>
      <c r="X410" s="143" t="n"/>
      <c r="Y410" s="143" t="n"/>
      <c r="Z410" s="143" t="n"/>
    </row>
    <row r="411" ht="19.5" customHeight="1" s="398">
      <c r="A411" s="149" t="n"/>
      <c r="B411" s="143" t="n"/>
      <c r="C411" s="143" t="n"/>
      <c r="D411" s="143" t="n"/>
      <c r="E411" s="143" t="n"/>
      <c r="F411" s="143" t="n"/>
      <c r="G411" s="143" t="n"/>
      <c r="H411" s="143" t="n"/>
      <c r="I411" s="143" t="n"/>
      <c r="J411" s="143" t="n"/>
      <c r="K411" s="143" t="n"/>
      <c r="L411" s="143" t="n"/>
      <c r="M411" s="143" t="n"/>
      <c r="N411" s="143" t="n"/>
      <c r="O411" s="143" t="n"/>
      <c r="P411" s="143" t="n"/>
      <c r="Q411" s="143" t="n"/>
      <c r="R411" s="143" t="n"/>
      <c r="S411" s="143" t="n"/>
      <c r="T411" s="143" t="n"/>
      <c r="U411" s="143" t="n"/>
      <c r="V411" s="143" t="n"/>
      <c r="W411" s="143" t="n"/>
      <c r="X411" s="143" t="n"/>
      <c r="Y411" s="143" t="n"/>
      <c r="Z411" s="143" t="n"/>
    </row>
    <row r="412" ht="19.5" customHeight="1" s="398">
      <c r="A412" s="149" t="n"/>
      <c r="B412" s="143" t="n"/>
      <c r="C412" s="143" t="n"/>
      <c r="D412" s="143" t="n"/>
      <c r="E412" s="143" t="n"/>
      <c r="F412" s="143" t="n"/>
      <c r="G412" s="143" t="n"/>
      <c r="H412" s="143" t="n"/>
      <c r="I412" s="143" t="n"/>
      <c r="J412" s="143" t="n"/>
      <c r="K412" s="143" t="n"/>
      <c r="L412" s="143" t="n"/>
      <c r="M412" s="143" t="n"/>
      <c r="N412" s="143" t="n"/>
      <c r="O412" s="143" t="n"/>
      <c r="P412" s="143" t="n"/>
      <c r="Q412" s="143" t="n"/>
      <c r="R412" s="143" t="n"/>
      <c r="S412" s="143" t="n"/>
      <c r="T412" s="143" t="n"/>
      <c r="U412" s="143" t="n"/>
      <c r="V412" s="143" t="n"/>
      <c r="W412" s="143" t="n"/>
      <c r="X412" s="143" t="n"/>
      <c r="Y412" s="143" t="n"/>
      <c r="Z412" s="143" t="n"/>
    </row>
    <row r="413" ht="19.5" customHeight="1" s="398">
      <c r="A413" s="149" t="n"/>
      <c r="B413" s="143" t="n"/>
      <c r="C413" s="143" t="n"/>
      <c r="D413" s="143" t="n"/>
      <c r="E413" s="143" t="n"/>
      <c r="F413" s="143" t="n"/>
      <c r="G413" s="143" t="n"/>
      <c r="H413" s="143" t="n"/>
      <c r="I413" s="143" t="n"/>
      <c r="J413" s="143" t="n"/>
      <c r="K413" s="143" t="n"/>
      <c r="L413" s="143" t="n"/>
      <c r="M413" s="143" t="n"/>
      <c r="N413" s="143" t="n"/>
      <c r="O413" s="143" t="n"/>
      <c r="P413" s="143" t="n"/>
      <c r="Q413" s="143" t="n"/>
      <c r="R413" s="143" t="n"/>
      <c r="S413" s="143" t="n"/>
      <c r="T413" s="143" t="n"/>
      <c r="U413" s="143" t="n"/>
      <c r="V413" s="143" t="n"/>
      <c r="W413" s="143" t="n"/>
      <c r="X413" s="143" t="n"/>
      <c r="Y413" s="143" t="n"/>
      <c r="Z413" s="143" t="n"/>
    </row>
    <row r="414" ht="19.5" customHeight="1" s="398">
      <c r="A414" s="149" t="n"/>
      <c r="B414" s="143" t="n"/>
      <c r="C414" s="143" t="n"/>
      <c r="D414" s="143" t="n"/>
      <c r="E414" s="143" t="n"/>
      <c r="F414" s="143" t="n"/>
      <c r="G414" s="143" t="n"/>
      <c r="H414" s="143" t="n"/>
      <c r="I414" s="143" t="n"/>
      <c r="J414" s="143" t="n"/>
      <c r="K414" s="143" t="n"/>
      <c r="L414" s="143" t="n"/>
      <c r="M414" s="143" t="n"/>
      <c r="N414" s="143" t="n"/>
      <c r="O414" s="143" t="n"/>
      <c r="P414" s="143" t="n"/>
      <c r="Q414" s="143" t="n"/>
      <c r="R414" s="143" t="n"/>
      <c r="S414" s="143" t="n"/>
      <c r="T414" s="143" t="n"/>
      <c r="U414" s="143" t="n"/>
      <c r="V414" s="143" t="n"/>
      <c r="W414" s="143" t="n"/>
      <c r="X414" s="143" t="n"/>
      <c r="Y414" s="143" t="n"/>
      <c r="Z414" s="143" t="n"/>
    </row>
    <row r="415" ht="19.5" customHeight="1" s="398">
      <c r="A415" s="149" t="n"/>
      <c r="B415" s="143" t="n"/>
      <c r="C415" s="143" t="n"/>
      <c r="D415" s="143" t="n"/>
      <c r="E415" s="143" t="n"/>
      <c r="F415" s="143" t="n"/>
      <c r="G415" s="143" t="n"/>
      <c r="H415" s="143" t="n"/>
      <c r="I415" s="143" t="n"/>
      <c r="J415" s="143" t="n"/>
      <c r="K415" s="143" t="n"/>
      <c r="L415" s="143" t="n"/>
      <c r="M415" s="143" t="n"/>
      <c r="N415" s="143" t="n"/>
      <c r="O415" s="143" t="n"/>
      <c r="P415" s="143" t="n"/>
      <c r="Q415" s="143" t="n"/>
      <c r="R415" s="143" t="n"/>
      <c r="S415" s="143" t="n"/>
      <c r="T415" s="143" t="n"/>
      <c r="U415" s="143" t="n"/>
      <c r="V415" s="143" t="n"/>
      <c r="W415" s="143" t="n"/>
      <c r="X415" s="143" t="n"/>
      <c r="Y415" s="143" t="n"/>
      <c r="Z415" s="143" t="n"/>
    </row>
    <row r="416" ht="19.5" customHeight="1" s="398">
      <c r="A416" s="149" t="n"/>
      <c r="B416" s="143" t="n"/>
      <c r="C416" s="143" t="n"/>
      <c r="D416" s="143" t="n"/>
      <c r="E416" s="143" t="n"/>
      <c r="F416" s="143" t="n"/>
      <c r="G416" s="143" t="n"/>
      <c r="H416" s="143" t="n"/>
      <c r="I416" s="143" t="n"/>
      <c r="J416" s="143" t="n"/>
      <c r="K416" s="143" t="n"/>
      <c r="L416" s="143" t="n"/>
      <c r="M416" s="143" t="n"/>
      <c r="N416" s="143" t="n"/>
      <c r="O416" s="143" t="n"/>
      <c r="P416" s="143" t="n"/>
      <c r="Q416" s="143" t="n"/>
      <c r="R416" s="143" t="n"/>
      <c r="S416" s="143" t="n"/>
      <c r="T416" s="143" t="n"/>
      <c r="U416" s="143" t="n"/>
      <c r="V416" s="143" t="n"/>
      <c r="W416" s="143" t="n"/>
      <c r="X416" s="143" t="n"/>
      <c r="Y416" s="143" t="n"/>
      <c r="Z416" s="143" t="n"/>
    </row>
    <row r="417" ht="19.5" customHeight="1" s="398">
      <c r="A417" s="149" t="n"/>
      <c r="B417" s="143" t="n"/>
      <c r="C417" s="143" t="n"/>
      <c r="D417" s="143" t="n"/>
      <c r="E417" s="143" t="n"/>
      <c r="F417" s="143" t="n"/>
      <c r="G417" s="143" t="n"/>
      <c r="H417" s="143" t="n"/>
      <c r="I417" s="143" t="n"/>
      <c r="J417" s="143" t="n"/>
      <c r="K417" s="143" t="n"/>
      <c r="L417" s="143" t="n"/>
      <c r="M417" s="143" t="n"/>
      <c r="N417" s="143" t="n"/>
      <c r="O417" s="143" t="n"/>
      <c r="P417" s="143" t="n"/>
      <c r="Q417" s="143" t="n"/>
      <c r="R417" s="143" t="n"/>
      <c r="S417" s="143" t="n"/>
      <c r="T417" s="143" t="n"/>
      <c r="U417" s="143" t="n"/>
      <c r="V417" s="143" t="n"/>
      <c r="W417" s="143" t="n"/>
      <c r="X417" s="143" t="n"/>
      <c r="Y417" s="143" t="n"/>
      <c r="Z417" s="143" t="n"/>
    </row>
    <row r="418" ht="19.5" customHeight="1" s="398">
      <c r="A418" s="149" t="n"/>
      <c r="B418" s="143" t="n"/>
      <c r="C418" s="143" t="n"/>
      <c r="D418" s="143" t="n"/>
      <c r="E418" s="143" t="n"/>
      <c r="F418" s="143" t="n"/>
      <c r="G418" s="143" t="n"/>
      <c r="H418" s="143" t="n"/>
      <c r="I418" s="143" t="n"/>
      <c r="J418" s="143" t="n"/>
      <c r="K418" s="143" t="n"/>
      <c r="L418" s="143" t="n"/>
      <c r="M418" s="143" t="n"/>
      <c r="N418" s="143" t="n"/>
      <c r="O418" s="143" t="n"/>
      <c r="P418" s="143" t="n"/>
      <c r="Q418" s="143" t="n"/>
      <c r="R418" s="143" t="n"/>
      <c r="S418" s="143" t="n"/>
      <c r="T418" s="143" t="n"/>
      <c r="U418" s="143" t="n"/>
      <c r="V418" s="143" t="n"/>
      <c r="W418" s="143" t="n"/>
      <c r="X418" s="143" t="n"/>
      <c r="Y418" s="143" t="n"/>
      <c r="Z418" s="143" t="n"/>
    </row>
    <row r="419" ht="19.5" customHeight="1" s="398">
      <c r="A419" s="149" t="n"/>
      <c r="B419" s="143" t="n"/>
      <c r="C419" s="143" t="n"/>
      <c r="D419" s="143" t="n"/>
      <c r="E419" s="143" t="n"/>
      <c r="F419" s="143" t="n"/>
      <c r="G419" s="143" t="n"/>
      <c r="H419" s="143" t="n"/>
      <c r="I419" s="143" t="n"/>
      <c r="J419" s="143" t="n"/>
      <c r="K419" s="143" t="n"/>
      <c r="L419" s="143" t="n"/>
      <c r="M419" s="143" t="n"/>
      <c r="N419" s="143" t="n"/>
      <c r="O419" s="143" t="n"/>
      <c r="P419" s="143" t="n"/>
      <c r="Q419" s="143" t="n"/>
      <c r="R419" s="143" t="n"/>
      <c r="S419" s="143" t="n"/>
      <c r="T419" s="143" t="n"/>
      <c r="U419" s="143" t="n"/>
      <c r="V419" s="143" t="n"/>
      <c r="W419" s="143" t="n"/>
      <c r="X419" s="143" t="n"/>
      <c r="Y419" s="143" t="n"/>
      <c r="Z419" s="143" t="n"/>
    </row>
    <row r="420" ht="19.5" customHeight="1" s="398">
      <c r="A420" s="149" t="n"/>
      <c r="B420" s="143" t="n"/>
      <c r="C420" s="143" t="n"/>
      <c r="D420" s="143" t="n"/>
      <c r="E420" s="143" t="n"/>
      <c r="F420" s="143" t="n"/>
      <c r="G420" s="143" t="n"/>
      <c r="H420" s="143" t="n"/>
      <c r="I420" s="143" t="n"/>
      <c r="J420" s="143" t="n"/>
      <c r="K420" s="143" t="n"/>
      <c r="L420" s="143" t="n"/>
      <c r="M420" s="143" t="n"/>
      <c r="N420" s="143" t="n"/>
      <c r="O420" s="143" t="n"/>
      <c r="P420" s="143" t="n"/>
      <c r="Q420" s="143" t="n"/>
      <c r="R420" s="143" t="n"/>
      <c r="S420" s="143" t="n"/>
      <c r="T420" s="143" t="n"/>
      <c r="U420" s="143" t="n"/>
      <c r="V420" s="143" t="n"/>
      <c r="W420" s="143" t="n"/>
      <c r="X420" s="143" t="n"/>
      <c r="Y420" s="143" t="n"/>
      <c r="Z420" s="143" t="n"/>
    </row>
    <row r="421" ht="19.5" customHeight="1" s="398">
      <c r="A421" s="149" t="n"/>
      <c r="B421" s="143" t="n"/>
      <c r="C421" s="143" t="n"/>
      <c r="D421" s="143" t="n"/>
      <c r="E421" s="143" t="n"/>
      <c r="F421" s="143" t="n"/>
      <c r="G421" s="143" t="n"/>
      <c r="H421" s="143" t="n"/>
      <c r="I421" s="143" t="n"/>
      <c r="J421" s="143" t="n"/>
      <c r="K421" s="143" t="n"/>
      <c r="L421" s="143" t="n"/>
      <c r="M421" s="143" t="n"/>
      <c r="N421" s="143" t="n"/>
      <c r="O421" s="143" t="n"/>
      <c r="P421" s="143" t="n"/>
      <c r="Q421" s="143" t="n"/>
      <c r="R421" s="143" t="n"/>
      <c r="S421" s="143" t="n"/>
      <c r="T421" s="143" t="n"/>
      <c r="U421" s="143" t="n"/>
      <c r="V421" s="143" t="n"/>
      <c r="W421" s="143" t="n"/>
      <c r="X421" s="143" t="n"/>
      <c r="Y421" s="143" t="n"/>
      <c r="Z421" s="143" t="n"/>
    </row>
    <row r="422" ht="19.5" customHeight="1" s="398">
      <c r="A422" s="149" t="n"/>
      <c r="B422" s="143" t="n"/>
      <c r="C422" s="143" t="n"/>
      <c r="D422" s="143" t="n"/>
      <c r="E422" s="143" t="n"/>
      <c r="F422" s="143" t="n"/>
      <c r="G422" s="143" t="n"/>
      <c r="H422" s="143" t="n"/>
      <c r="I422" s="143" t="n"/>
      <c r="J422" s="143" t="n"/>
      <c r="K422" s="143" t="n"/>
      <c r="L422" s="143" t="n"/>
      <c r="M422" s="143" t="n"/>
      <c r="N422" s="143" t="n"/>
      <c r="O422" s="143" t="n"/>
      <c r="P422" s="143" t="n"/>
      <c r="Q422" s="143" t="n"/>
      <c r="R422" s="143" t="n"/>
      <c r="S422" s="143" t="n"/>
      <c r="T422" s="143" t="n"/>
      <c r="U422" s="143" t="n"/>
      <c r="V422" s="143" t="n"/>
      <c r="W422" s="143" t="n"/>
      <c r="X422" s="143" t="n"/>
      <c r="Y422" s="143" t="n"/>
      <c r="Z422" s="143" t="n"/>
    </row>
    <row r="423" ht="19.5" customHeight="1" s="398">
      <c r="A423" s="149" t="n"/>
      <c r="B423" s="143" t="n"/>
      <c r="C423" s="143" t="n"/>
      <c r="D423" s="143" t="n"/>
      <c r="E423" s="143" t="n"/>
      <c r="F423" s="143" t="n"/>
      <c r="G423" s="143" t="n"/>
      <c r="H423" s="143" t="n"/>
      <c r="I423" s="143" t="n"/>
      <c r="J423" s="143" t="n"/>
      <c r="K423" s="143" t="n"/>
      <c r="L423" s="143" t="n"/>
      <c r="M423" s="143" t="n"/>
      <c r="N423" s="143" t="n"/>
      <c r="O423" s="143" t="n"/>
      <c r="P423" s="143" t="n"/>
      <c r="Q423" s="143" t="n"/>
      <c r="R423" s="143" t="n"/>
      <c r="S423" s="143" t="n"/>
      <c r="T423" s="143" t="n"/>
      <c r="U423" s="143" t="n"/>
      <c r="V423" s="143" t="n"/>
      <c r="W423" s="143" t="n"/>
      <c r="X423" s="143" t="n"/>
      <c r="Y423" s="143" t="n"/>
      <c r="Z423" s="143" t="n"/>
    </row>
    <row r="424" ht="19.5" customHeight="1" s="398">
      <c r="A424" s="149" t="n"/>
      <c r="B424" s="143" t="n"/>
      <c r="C424" s="143" t="n"/>
      <c r="D424" s="143" t="n"/>
      <c r="E424" s="143" t="n"/>
      <c r="F424" s="143" t="n"/>
      <c r="G424" s="143" t="n"/>
      <c r="H424" s="143" t="n"/>
      <c r="I424" s="143" t="n"/>
      <c r="J424" s="143" t="n"/>
      <c r="K424" s="143" t="n"/>
      <c r="L424" s="143" t="n"/>
      <c r="M424" s="143" t="n"/>
      <c r="N424" s="143" t="n"/>
      <c r="O424" s="143" t="n"/>
      <c r="P424" s="143" t="n"/>
      <c r="Q424" s="143" t="n"/>
      <c r="R424" s="143" t="n"/>
      <c r="S424" s="143" t="n"/>
      <c r="T424" s="143" t="n"/>
      <c r="U424" s="143" t="n"/>
      <c r="V424" s="143" t="n"/>
      <c r="W424" s="143" t="n"/>
      <c r="X424" s="143" t="n"/>
      <c r="Y424" s="143" t="n"/>
      <c r="Z424" s="143" t="n"/>
    </row>
    <row r="425" ht="19.5" customHeight="1" s="398">
      <c r="A425" s="149" t="n"/>
      <c r="B425" s="143" t="n"/>
      <c r="C425" s="143" t="n"/>
      <c r="D425" s="143" t="n"/>
      <c r="E425" s="143" t="n"/>
      <c r="F425" s="143" t="n"/>
      <c r="G425" s="143" t="n"/>
      <c r="H425" s="143" t="n"/>
      <c r="I425" s="143" t="n"/>
      <c r="J425" s="143" t="n"/>
      <c r="K425" s="143" t="n"/>
      <c r="L425" s="143" t="n"/>
      <c r="M425" s="143" t="n"/>
      <c r="N425" s="143" t="n"/>
      <c r="O425" s="143" t="n"/>
      <c r="P425" s="143" t="n"/>
      <c r="Q425" s="143" t="n"/>
      <c r="R425" s="143" t="n"/>
      <c r="S425" s="143" t="n"/>
      <c r="T425" s="143" t="n"/>
      <c r="U425" s="143" t="n"/>
      <c r="V425" s="143" t="n"/>
      <c r="W425" s="143" t="n"/>
      <c r="X425" s="143" t="n"/>
      <c r="Y425" s="143" t="n"/>
      <c r="Z425" s="143" t="n"/>
    </row>
    <row r="426" ht="19.5" customHeight="1" s="398">
      <c r="A426" s="149" t="n"/>
      <c r="B426" s="143" t="n"/>
      <c r="C426" s="143" t="n"/>
      <c r="D426" s="143" t="n"/>
      <c r="E426" s="143" t="n"/>
      <c r="F426" s="143" t="n"/>
      <c r="G426" s="143" t="n"/>
      <c r="H426" s="143" t="n"/>
      <c r="I426" s="143" t="n"/>
      <c r="J426" s="143" t="n"/>
      <c r="K426" s="143" t="n"/>
      <c r="L426" s="143" t="n"/>
      <c r="M426" s="143" t="n"/>
      <c r="N426" s="143" t="n"/>
      <c r="O426" s="143" t="n"/>
      <c r="P426" s="143" t="n"/>
      <c r="Q426" s="143" t="n"/>
      <c r="R426" s="143" t="n"/>
      <c r="S426" s="143" t="n"/>
      <c r="T426" s="143" t="n"/>
      <c r="U426" s="143" t="n"/>
      <c r="V426" s="143" t="n"/>
      <c r="W426" s="143" t="n"/>
      <c r="X426" s="143" t="n"/>
      <c r="Y426" s="143" t="n"/>
      <c r="Z426" s="143" t="n"/>
    </row>
    <row r="427" ht="19.5" customHeight="1" s="398">
      <c r="A427" s="149" t="n"/>
      <c r="B427" s="143" t="n"/>
      <c r="C427" s="143" t="n"/>
      <c r="D427" s="143" t="n"/>
      <c r="E427" s="143" t="n"/>
      <c r="F427" s="143" t="n"/>
      <c r="G427" s="143" t="n"/>
      <c r="H427" s="143" t="n"/>
      <c r="I427" s="143" t="n"/>
      <c r="J427" s="143" t="n"/>
      <c r="K427" s="143" t="n"/>
      <c r="L427" s="143" t="n"/>
      <c r="M427" s="143" t="n"/>
      <c r="N427" s="143" t="n"/>
      <c r="O427" s="143" t="n"/>
      <c r="P427" s="143" t="n"/>
      <c r="Q427" s="143" t="n"/>
      <c r="R427" s="143" t="n"/>
      <c r="S427" s="143" t="n"/>
      <c r="T427" s="143" t="n"/>
      <c r="U427" s="143" t="n"/>
      <c r="V427" s="143" t="n"/>
      <c r="W427" s="143" t="n"/>
      <c r="X427" s="143" t="n"/>
      <c r="Y427" s="143" t="n"/>
      <c r="Z427" s="143" t="n"/>
    </row>
    <row r="428" ht="19.5" customHeight="1" s="398">
      <c r="A428" s="149" t="n"/>
      <c r="B428" s="143" t="n"/>
      <c r="C428" s="143" t="n"/>
      <c r="D428" s="143" t="n"/>
      <c r="E428" s="143" t="n"/>
      <c r="F428" s="143" t="n"/>
      <c r="G428" s="143" t="n"/>
      <c r="H428" s="143" t="n"/>
      <c r="I428" s="143" t="n"/>
      <c r="J428" s="143" t="n"/>
      <c r="K428" s="143" t="n"/>
      <c r="L428" s="143" t="n"/>
      <c r="M428" s="143" t="n"/>
      <c r="N428" s="143" t="n"/>
      <c r="O428" s="143" t="n"/>
      <c r="P428" s="143" t="n"/>
      <c r="Q428" s="143" t="n"/>
      <c r="R428" s="143" t="n"/>
      <c r="S428" s="143" t="n"/>
      <c r="T428" s="143" t="n"/>
      <c r="U428" s="143" t="n"/>
      <c r="V428" s="143" t="n"/>
      <c r="W428" s="143" t="n"/>
      <c r="X428" s="143" t="n"/>
      <c r="Y428" s="143" t="n"/>
      <c r="Z428" s="143" t="n"/>
    </row>
    <row r="429" ht="19.5" customHeight="1" s="398">
      <c r="A429" s="149" t="n"/>
      <c r="B429" s="143" t="n"/>
      <c r="C429" s="143" t="n"/>
      <c r="D429" s="143" t="n"/>
      <c r="E429" s="143" t="n"/>
      <c r="F429" s="143" t="n"/>
      <c r="G429" s="143" t="n"/>
      <c r="H429" s="143" t="n"/>
      <c r="I429" s="143" t="n"/>
      <c r="J429" s="143" t="n"/>
      <c r="K429" s="143" t="n"/>
      <c r="L429" s="143" t="n"/>
      <c r="M429" s="143" t="n"/>
      <c r="N429" s="143" t="n"/>
      <c r="O429" s="143" t="n"/>
      <c r="P429" s="143" t="n"/>
      <c r="Q429" s="143" t="n"/>
      <c r="R429" s="143" t="n"/>
      <c r="S429" s="143" t="n"/>
      <c r="T429" s="143" t="n"/>
      <c r="U429" s="143" t="n"/>
      <c r="V429" s="143" t="n"/>
      <c r="W429" s="143" t="n"/>
      <c r="X429" s="143" t="n"/>
      <c r="Y429" s="143" t="n"/>
      <c r="Z429" s="143" t="n"/>
    </row>
    <row r="430" ht="19.5" customHeight="1" s="398">
      <c r="A430" s="149" t="n"/>
      <c r="B430" s="143" t="n"/>
      <c r="C430" s="143" t="n"/>
      <c r="D430" s="143" t="n"/>
      <c r="E430" s="143" t="n"/>
      <c r="F430" s="143" t="n"/>
      <c r="G430" s="143" t="n"/>
      <c r="H430" s="143" t="n"/>
      <c r="I430" s="143" t="n"/>
      <c r="J430" s="143" t="n"/>
      <c r="K430" s="143" t="n"/>
      <c r="L430" s="143" t="n"/>
      <c r="M430" s="143" t="n"/>
      <c r="N430" s="143" t="n"/>
      <c r="O430" s="143" t="n"/>
      <c r="P430" s="143" t="n"/>
      <c r="Q430" s="143" t="n"/>
      <c r="R430" s="143" t="n"/>
      <c r="S430" s="143" t="n"/>
      <c r="T430" s="143" t="n"/>
      <c r="U430" s="143" t="n"/>
      <c r="V430" s="143" t="n"/>
      <c r="W430" s="143" t="n"/>
      <c r="X430" s="143" t="n"/>
      <c r="Y430" s="143" t="n"/>
      <c r="Z430" s="143" t="n"/>
    </row>
    <row r="431" ht="19.5" customHeight="1" s="398">
      <c r="A431" s="149" t="n"/>
      <c r="B431" s="143" t="n"/>
      <c r="C431" s="143" t="n"/>
      <c r="D431" s="143" t="n"/>
      <c r="E431" s="143" t="n"/>
      <c r="F431" s="143" t="n"/>
      <c r="G431" s="143" t="n"/>
      <c r="H431" s="143" t="n"/>
      <c r="I431" s="143" t="n"/>
      <c r="J431" s="143" t="n"/>
      <c r="K431" s="143" t="n"/>
      <c r="L431" s="143" t="n"/>
      <c r="M431" s="143" t="n"/>
      <c r="N431" s="143" t="n"/>
      <c r="O431" s="143" t="n"/>
      <c r="P431" s="143" t="n"/>
      <c r="Q431" s="143" t="n"/>
      <c r="R431" s="143" t="n"/>
      <c r="S431" s="143" t="n"/>
      <c r="T431" s="143" t="n"/>
      <c r="U431" s="143" t="n"/>
      <c r="V431" s="143" t="n"/>
      <c r="W431" s="143" t="n"/>
      <c r="X431" s="143" t="n"/>
      <c r="Y431" s="143" t="n"/>
      <c r="Z431" s="143" t="n"/>
    </row>
    <row r="432" ht="19.5" customHeight="1" s="398">
      <c r="A432" s="149" t="n"/>
      <c r="B432" s="143" t="n"/>
      <c r="C432" s="143" t="n"/>
      <c r="D432" s="143" t="n"/>
      <c r="E432" s="143" t="n"/>
      <c r="F432" s="143" t="n"/>
      <c r="G432" s="143" t="n"/>
      <c r="H432" s="143" t="n"/>
      <c r="I432" s="143" t="n"/>
      <c r="J432" s="143" t="n"/>
      <c r="K432" s="143" t="n"/>
      <c r="L432" s="143" t="n"/>
      <c r="M432" s="143" t="n"/>
      <c r="N432" s="143" t="n"/>
      <c r="O432" s="143" t="n"/>
      <c r="P432" s="143" t="n"/>
      <c r="Q432" s="143" t="n"/>
      <c r="R432" s="143" t="n"/>
      <c r="S432" s="143" t="n"/>
      <c r="T432" s="143" t="n"/>
      <c r="U432" s="143" t="n"/>
      <c r="V432" s="143" t="n"/>
      <c r="W432" s="143" t="n"/>
      <c r="X432" s="143" t="n"/>
      <c r="Y432" s="143" t="n"/>
      <c r="Z432" s="143" t="n"/>
    </row>
    <row r="433" ht="19.5" customHeight="1" s="398">
      <c r="A433" s="149" t="n"/>
      <c r="B433" s="143" t="n"/>
      <c r="C433" s="143" t="n"/>
      <c r="D433" s="143" t="n"/>
      <c r="E433" s="143" t="n"/>
      <c r="F433" s="143" t="n"/>
      <c r="G433" s="143" t="n"/>
      <c r="H433" s="143" t="n"/>
      <c r="I433" s="143" t="n"/>
      <c r="J433" s="143" t="n"/>
      <c r="K433" s="143" t="n"/>
      <c r="L433" s="143" t="n"/>
      <c r="M433" s="143" t="n"/>
      <c r="N433" s="143" t="n"/>
      <c r="O433" s="143" t="n"/>
      <c r="P433" s="143" t="n"/>
      <c r="Q433" s="143" t="n"/>
      <c r="R433" s="143" t="n"/>
      <c r="S433" s="143" t="n"/>
      <c r="T433" s="143" t="n"/>
      <c r="U433" s="143" t="n"/>
      <c r="V433" s="143" t="n"/>
      <c r="W433" s="143" t="n"/>
      <c r="X433" s="143" t="n"/>
      <c r="Y433" s="143" t="n"/>
      <c r="Z433" s="143" t="n"/>
    </row>
    <row r="434" ht="19.5" customHeight="1" s="398">
      <c r="A434" s="149" t="n"/>
      <c r="B434" s="143" t="n"/>
      <c r="C434" s="143" t="n"/>
      <c r="D434" s="143" t="n"/>
      <c r="E434" s="143" t="n"/>
      <c r="F434" s="143" t="n"/>
      <c r="G434" s="143" t="n"/>
      <c r="H434" s="143" t="n"/>
      <c r="I434" s="143" t="n"/>
      <c r="J434" s="143" t="n"/>
      <c r="K434" s="143" t="n"/>
      <c r="L434" s="143" t="n"/>
      <c r="M434" s="143" t="n"/>
      <c r="N434" s="143" t="n"/>
      <c r="O434" s="143" t="n"/>
      <c r="P434" s="143" t="n"/>
      <c r="Q434" s="143" t="n"/>
      <c r="R434" s="143" t="n"/>
      <c r="S434" s="143" t="n"/>
      <c r="T434" s="143" t="n"/>
      <c r="U434" s="143" t="n"/>
      <c r="V434" s="143" t="n"/>
      <c r="W434" s="143" t="n"/>
      <c r="X434" s="143" t="n"/>
      <c r="Y434" s="143" t="n"/>
      <c r="Z434" s="143" t="n"/>
    </row>
    <row r="435" ht="19.5" customHeight="1" s="398">
      <c r="A435" s="149" t="n"/>
      <c r="B435" s="143" t="n"/>
      <c r="C435" s="143" t="n"/>
      <c r="D435" s="143" t="n"/>
      <c r="E435" s="143" t="n"/>
      <c r="F435" s="143" t="n"/>
      <c r="G435" s="143" t="n"/>
      <c r="H435" s="143" t="n"/>
      <c r="I435" s="143" t="n"/>
      <c r="J435" s="143" t="n"/>
      <c r="K435" s="143" t="n"/>
      <c r="L435" s="143" t="n"/>
      <c r="M435" s="143" t="n"/>
      <c r="N435" s="143" t="n"/>
      <c r="O435" s="143" t="n"/>
      <c r="P435" s="143" t="n"/>
      <c r="Q435" s="143" t="n"/>
      <c r="R435" s="143" t="n"/>
      <c r="S435" s="143" t="n"/>
      <c r="T435" s="143" t="n"/>
      <c r="U435" s="143" t="n"/>
      <c r="V435" s="143" t="n"/>
      <c r="W435" s="143" t="n"/>
      <c r="X435" s="143" t="n"/>
      <c r="Y435" s="143" t="n"/>
      <c r="Z435" s="143" t="n"/>
    </row>
    <row r="436" ht="19.5" customHeight="1" s="398">
      <c r="A436" s="149" t="n"/>
      <c r="B436" s="143" t="n"/>
      <c r="C436" s="143" t="n"/>
      <c r="D436" s="143" t="n"/>
      <c r="E436" s="143" t="n"/>
      <c r="F436" s="143" t="n"/>
      <c r="G436" s="143" t="n"/>
      <c r="H436" s="143" t="n"/>
      <c r="I436" s="143" t="n"/>
      <c r="J436" s="143" t="n"/>
      <c r="K436" s="143" t="n"/>
      <c r="L436" s="143" t="n"/>
      <c r="M436" s="143" t="n"/>
      <c r="N436" s="143" t="n"/>
      <c r="O436" s="143" t="n"/>
      <c r="P436" s="143" t="n"/>
      <c r="Q436" s="143" t="n"/>
      <c r="R436" s="143" t="n"/>
      <c r="S436" s="143" t="n"/>
      <c r="T436" s="143" t="n"/>
      <c r="U436" s="143" t="n"/>
      <c r="V436" s="143" t="n"/>
      <c r="W436" s="143" t="n"/>
      <c r="X436" s="143" t="n"/>
      <c r="Y436" s="143" t="n"/>
      <c r="Z436" s="143" t="n"/>
    </row>
    <row r="437" ht="19.5" customHeight="1" s="398">
      <c r="A437" s="149" t="n"/>
      <c r="B437" s="143" t="n"/>
      <c r="C437" s="143" t="n"/>
      <c r="D437" s="143" t="n"/>
      <c r="E437" s="143" t="n"/>
      <c r="F437" s="143" t="n"/>
      <c r="G437" s="143" t="n"/>
      <c r="H437" s="143" t="n"/>
      <c r="I437" s="143" t="n"/>
      <c r="J437" s="143" t="n"/>
      <c r="K437" s="143" t="n"/>
      <c r="L437" s="143" t="n"/>
      <c r="M437" s="143" t="n"/>
      <c r="N437" s="143" t="n"/>
      <c r="O437" s="143" t="n"/>
      <c r="P437" s="143" t="n"/>
      <c r="Q437" s="143" t="n"/>
      <c r="R437" s="143" t="n"/>
      <c r="S437" s="143" t="n"/>
      <c r="T437" s="143" t="n"/>
      <c r="U437" s="143" t="n"/>
      <c r="V437" s="143" t="n"/>
      <c r="W437" s="143" t="n"/>
      <c r="X437" s="143" t="n"/>
      <c r="Y437" s="143" t="n"/>
      <c r="Z437" s="143" t="n"/>
    </row>
    <row r="438" ht="19.5" customHeight="1" s="398">
      <c r="A438" s="149" t="n"/>
      <c r="B438" s="143" t="n"/>
      <c r="C438" s="143" t="n"/>
      <c r="D438" s="143" t="n"/>
      <c r="E438" s="143" t="n"/>
      <c r="F438" s="143" t="n"/>
      <c r="G438" s="143" t="n"/>
      <c r="H438" s="143" t="n"/>
      <c r="I438" s="143" t="n"/>
      <c r="J438" s="143" t="n"/>
      <c r="K438" s="143" t="n"/>
      <c r="L438" s="143" t="n"/>
      <c r="M438" s="143" t="n"/>
      <c r="N438" s="143" t="n"/>
      <c r="O438" s="143" t="n"/>
      <c r="P438" s="143" t="n"/>
      <c r="Q438" s="143" t="n"/>
      <c r="R438" s="143" t="n"/>
      <c r="S438" s="143" t="n"/>
      <c r="T438" s="143" t="n"/>
      <c r="U438" s="143" t="n"/>
      <c r="V438" s="143" t="n"/>
      <c r="W438" s="143" t="n"/>
      <c r="X438" s="143" t="n"/>
      <c r="Y438" s="143" t="n"/>
      <c r="Z438" s="143" t="n"/>
    </row>
    <row r="439" ht="19.5" customHeight="1" s="398">
      <c r="A439" s="149" t="n"/>
      <c r="B439" s="143" t="n"/>
      <c r="C439" s="143" t="n"/>
      <c r="D439" s="143" t="n"/>
      <c r="E439" s="143" t="n"/>
      <c r="F439" s="143" t="n"/>
      <c r="G439" s="143" t="n"/>
      <c r="H439" s="143" t="n"/>
      <c r="I439" s="143" t="n"/>
      <c r="J439" s="143" t="n"/>
      <c r="K439" s="143" t="n"/>
      <c r="L439" s="143" t="n"/>
      <c r="M439" s="143" t="n"/>
      <c r="N439" s="143" t="n"/>
      <c r="O439" s="143" t="n"/>
      <c r="P439" s="143" t="n"/>
      <c r="Q439" s="143" t="n"/>
      <c r="R439" s="143" t="n"/>
      <c r="S439" s="143" t="n"/>
      <c r="T439" s="143" t="n"/>
      <c r="U439" s="143" t="n"/>
      <c r="V439" s="143" t="n"/>
      <c r="W439" s="143" t="n"/>
      <c r="X439" s="143" t="n"/>
      <c r="Y439" s="143" t="n"/>
      <c r="Z439" s="143" t="n"/>
    </row>
    <row r="440" ht="19.5" customHeight="1" s="398">
      <c r="A440" s="149" t="n"/>
      <c r="B440" s="143" t="n"/>
      <c r="C440" s="143" t="n"/>
      <c r="D440" s="143" t="n"/>
      <c r="E440" s="143" t="n"/>
      <c r="F440" s="143" t="n"/>
      <c r="G440" s="143" t="n"/>
      <c r="H440" s="143" t="n"/>
      <c r="I440" s="143" t="n"/>
      <c r="J440" s="143" t="n"/>
      <c r="K440" s="143" t="n"/>
      <c r="L440" s="143" t="n"/>
      <c r="M440" s="143" t="n"/>
      <c r="N440" s="143" t="n"/>
      <c r="O440" s="143" t="n"/>
      <c r="P440" s="143" t="n"/>
      <c r="Q440" s="143" t="n"/>
      <c r="R440" s="143" t="n"/>
      <c r="S440" s="143" t="n"/>
      <c r="T440" s="143" t="n"/>
      <c r="U440" s="143" t="n"/>
      <c r="V440" s="143" t="n"/>
      <c r="W440" s="143" t="n"/>
      <c r="X440" s="143" t="n"/>
      <c r="Y440" s="143" t="n"/>
      <c r="Z440" s="143" t="n"/>
    </row>
    <row r="441" ht="19.5" customHeight="1" s="398">
      <c r="A441" s="149" t="n"/>
      <c r="B441" s="143" t="n"/>
      <c r="C441" s="143" t="n"/>
      <c r="D441" s="143" t="n"/>
      <c r="E441" s="143" t="n"/>
      <c r="F441" s="143" t="n"/>
      <c r="G441" s="143" t="n"/>
      <c r="H441" s="143" t="n"/>
      <c r="I441" s="143" t="n"/>
      <c r="J441" s="143" t="n"/>
      <c r="K441" s="143" t="n"/>
      <c r="L441" s="143" t="n"/>
      <c r="M441" s="143" t="n"/>
      <c r="N441" s="143" t="n"/>
      <c r="O441" s="143" t="n"/>
      <c r="P441" s="143" t="n"/>
      <c r="Q441" s="143" t="n"/>
      <c r="R441" s="143" t="n"/>
      <c r="S441" s="143" t="n"/>
      <c r="T441" s="143" t="n"/>
      <c r="U441" s="143" t="n"/>
      <c r="V441" s="143" t="n"/>
      <c r="W441" s="143" t="n"/>
      <c r="X441" s="143" t="n"/>
      <c r="Y441" s="143" t="n"/>
      <c r="Z441" s="143" t="n"/>
    </row>
    <row r="442" ht="19.5" customHeight="1" s="398">
      <c r="A442" s="149" t="n"/>
      <c r="B442" s="143" t="n"/>
      <c r="C442" s="143" t="n"/>
      <c r="D442" s="143" t="n"/>
      <c r="E442" s="143" t="n"/>
      <c r="F442" s="143" t="n"/>
      <c r="G442" s="143" t="n"/>
      <c r="H442" s="143" t="n"/>
      <c r="I442" s="143" t="n"/>
      <c r="J442" s="143" t="n"/>
      <c r="K442" s="143" t="n"/>
      <c r="L442" s="143" t="n"/>
      <c r="M442" s="143" t="n"/>
      <c r="N442" s="143" t="n"/>
      <c r="O442" s="143" t="n"/>
      <c r="P442" s="143" t="n"/>
      <c r="Q442" s="143" t="n"/>
      <c r="R442" s="143" t="n"/>
      <c r="S442" s="143" t="n"/>
      <c r="T442" s="143" t="n"/>
      <c r="U442" s="143" t="n"/>
      <c r="V442" s="143" t="n"/>
      <c r="W442" s="143" t="n"/>
      <c r="X442" s="143" t="n"/>
      <c r="Y442" s="143" t="n"/>
      <c r="Z442" s="143" t="n"/>
    </row>
    <row r="443" ht="19.5" customHeight="1" s="398">
      <c r="A443" s="149" t="n"/>
      <c r="B443" s="143" t="n"/>
      <c r="C443" s="143" t="n"/>
      <c r="D443" s="143" t="n"/>
      <c r="E443" s="143" t="n"/>
      <c r="F443" s="143" t="n"/>
      <c r="G443" s="143" t="n"/>
      <c r="H443" s="143" t="n"/>
      <c r="I443" s="143" t="n"/>
      <c r="J443" s="143" t="n"/>
      <c r="K443" s="143" t="n"/>
      <c r="L443" s="143" t="n"/>
      <c r="M443" s="143" t="n"/>
      <c r="N443" s="143" t="n"/>
      <c r="O443" s="143" t="n"/>
      <c r="P443" s="143" t="n"/>
      <c r="Q443" s="143" t="n"/>
      <c r="R443" s="143" t="n"/>
      <c r="S443" s="143" t="n"/>
      <c r="T443" s="143" t="n"/>
      <c r="U443" s="143" t="n"/>
      <c r="V443" s="143" t="n"/>
      <c r="W443" s="143" t="n"/>
      <c r="X443" s="143" t="n"/>
      <c r="Y443" s="143" t="n"/>
      <c r="Z443" s="143" t="n"/>
    </row>
    <row r="444" ht="19.5" customHeight="1" s="398">
      <c r="A444" s="149" t="n"/>
      <c r="B444" s="143" t="n"/>
      <c r="C444" s="143" t="n"/>
      <c r="D444" s="143" t="n"/>
      <c r="E444" s="143" t="n"/>
      <c r="F444" s="143" t="n"/>
      <c r="G444" s="143" t="n"/>
      <c r="H444" s="143" t="n"/>
      <c r="I444" s="143" t="n"/>
      <c r="J444" s="143" t="n"/>
      <c r="K444" s="143" t="n"/>
      <c r="L444" s="143" t="n"/>
      <c r="M444" s="143" t="n"/>
      <c r="N444" s="143" t="n"/>
      <c r="O444" s="143" t="n"/>
      <c r="P444" s="143" t="n"/>
      <c r="Q444" s="143" t="n"/>
      <c r="R444" s="143" t="n"/>
      <c r="S444" s="143" t="n"/>
      <c r="T444" s="143" t="n"/>
      <c r="U444" s="143" t="n"/>
      <c r="V444" s="143" t="n"/>
      <c r="W444" s="143" t="n"/>
      <c r="X444" s="143" t="n"/>
      <c r="Y444" s="143" t="n"/>
      <c r="Z444" s="143" t="n"/>
    </row>
    <row r="445" ht="19.5" customHeight="1" s="398">
      <c r="A445" s="149" t="n"/>
      <c r="B445" s="143" t="n"/>
      <c r="C445" s="143" t="n"/>
      <c r="D445" s="143" t="n"/>
      <c r="E445" s="143" t="n"/>
      <c r="F445" s="143" t="n"/>
      <c r="G445" s="143" t="n"/>
      <c r="H445" s="143" t="n"/>
      <c r="I445" s="143" t="n"/>
      <c r="J445" s="143" t="n"/>
      <c r="K445" s="143" t="n"/>
      <c r="L445" s="143" t="n"/>
      <c r="M445" s="143" t="n"/>
      <c r="N445" s="143" t="n"/>
      <c r="O445" s="143" t="n"/>
      <c r="P445" s="143" t="n"/>
      <c r="Q445" s="143" t="n"/>
      <c r="R445" s="143" t="n"/>
      <c r="S445" s="143" t="n"/>
      <c r="T445" s="143" t="n"/>
      <c r="U445" s="143" t="n"/>
      <c r="V445" s="143" t="n"/>
      <c r="W445" s="143" t="n"/>
      <c r="X445" s="143" t="n"/>
      <c r="Y445" s="143" t="n"/>
      <c r="Z445" s="143" t="n"/>
    </row>
    <row r="446" ht="19.5" customHeight="1" s="398">
      <c r="A446" s="149" t="n"/>
      <c r="B446" s="143" t="n"/>
      <c r="C446" s="143" t="n"/>
      <c r="D446" s="143" t="n"/>
      <c r="E446" s="143" t="n"/>
      <c r="F446" s="143" t="n"/>
      <c r="G446" s="143" t="n"/>
      <c r="H446" s="143" t="n"/>
      <c r="I446" s="143" t="n"/>
      <c r="J446" s="143" t="n"/>
      <c r="K446" s="143" t="n"/>
      <c r="L446" s="143" t="n"/>
      <c r="M446" s="143" t="n"/>
      <c r="N446" s="143" t="n"/>
      <c r="O446" s="143" t="n"/>
      <c r="P446" s="143" t="n"/>
      <c r="Q446" s="143" t="n"/>
      <c r="R446" s="143" t="n"/>
      <c r="S446" s="143" t="n"/>
      <c r="T446" s="143" t="n"/>
      <c r="U446" s="143" t="n"/>
      <c r="V446" s="143" t="n"/>
      <c r="W446" s="143" t="n"/>
      <c r="X446" s="143" t="n"/>
      <c r="Y446" s="143" t="n"/>
      <c r="Z446" s="143" t="n"/>
    </row>
    <row r="447" ht="19.5" customHeight="1" s="398">
      <c r="A447" s="149" t="n"/>
      <c r="B447" s="143" t="n"/>
      <c r="C447" s="143" t="n"/>
      <c r="D447" s="143" t="n"/>
      <c r="E447" s="143" t="n"/>
      <c r="F447" s="143" t="n"/>
      <c r="G447" s="143" t="n"/>
      <c r="H447" s="143" t="n"/>
      <c r="I447" s="143" t="n"/>
      <c r="J447" s="143" t="n"/>
      <c r="K447" s="143" t="n"/>
      <c r="L447" s="143" t="n"/>
      <c r="M447" s="143" t="n"/>
      <c r="N447" s="143" t="n"/>
      <c r="O447" s="143" t="n"/>
      <c r="P447" s="143" t="n"/>
      <c r="Q447" s="143" t="n"/>
      <c r="R447" s="143" t="n"/>
      <c r="S447" s="143" t="n"/>
      <c r="T447" s="143" t="n"/>
      <c r="U447" s="143" t="n"/>
      <c r="V447" s="143" t="n"/>
      <c r="W447" s="143" t="n"/>
      <c r="X447" s="143" t="n"/>
      <c r="Y447" s="143" t="n"/>
      <c r="Z447" s="143" t="n"/>
    </row>
    <row r="448" ht="19.5" customHeight="1" s="398">
      <c r="A448" s="149" t="n"/>
      <c r="B448" s="143" t="n"/>
      <c r="C448" s="143" t="n"/>
      <c r="D448" s="143" t="n"/>
      <c r="E448" s="143" t="n"/>
      <c r="F448" s="143" t="n"/>
      <c r="G448" s="143" t="n"/>
      <c r="H448" s="143" t="n"/>
      <c r="I448" s="143" t="n"/>
      <c r="J448" s="143" t="n"/>
      <c r="K448" s="143" t="n"/>
      <c r="L448" s="143" t="n"/>
      <c r="M448" s="143" t="n"/>
      <c r="N448" s="143" t="n"/>
      <c r="O448" s="143" t="n"/>
      <c r="P448" s="143" t="n"/>
      <c r="Q448" s="143" t="n"/>
      <c r="R448" s="143" t="n"/>
      <c r="S448" s="143" t="n"/>
      <c r="T448" s="143" t="n"/>
      <c r="U448" s="143" t="n"/>
      <c r="V448" s="143" t="n"/>
      <c r="W448" s="143" t="n"/>
      <c r="X448" s="143" t="n"/>
      <c r="Y448" s="143" t="n"/>
      <c r="Z448" s="143" t="n"/>
    </row>
    <row r="449" ht="19.5" customHeight="1" s="398">
      <c r="A449" s="149" t="n"/>
      <c r="B449" s="143" t="n"/>
      <c r="C449" s="143" t="n"/>
      <c r="D449" s="143" t="n"/>
      <c r="E449" s="143" t="n"/>
      <c r="F449" s="143" t="n"/>
      <c r="G449" s="143" t="n"/>
      <c r="H449" s="143" t="n"/>
      <c r="I449" s="143" t="n"/>
      <c r="J449" s="143" t="n"/>
      <c r="K449" s="143" t="n"/>
      <c r="L449" s="143" t="n"/>
      <c r="M449" s="143" t="n"/>
      <c r="N449" s="143" t="n"/>
      <c r="O449" s="143" t="n"/>
      <c r="P449" s="143" t="n"/>
      <c r="Q449" s="143" t="n"/>
      <c r="R449" s="143" t="n"/>
      <c r="S449" s="143" t="n"/>
      <c r="T449" s="143" t="n"/>
      <c r="U449" s="143" t="n"/>
      <c r="V449" s="143" t="n"/>
      <c r="W449" s="143" t="n"/>
      <c r="X449" s="143" t="n"/>
      <c r="Y449" s="143" t="n"/>
      <c r="Z449" s="143" t="n"/>
    </row>
    <row r="450" ht="19.5" customHeight="1" s="398">
      <c r="A450" s="149" t="n"/>
      <c r="B450" s="143" t="n"/>
      <c r="C450" s="143" t="n"/>
      <c r="D450" s="143" t="n"/>
      <c r="E450" s="143" t="n"/>
      <c r="F450" s="143" t="n"/>
      <c r="G450" s="143" t="n"/>
      <c r="H450" s="143" t="n"/>
      <c r="I450" s="143" t="n"/>
      <c r="J450" s="143" t="n"/>
      <c r="K450" s="143" t="n"/>
      <c r="L450" s="143" t="n"/>
      <c r="M450" s="143" t="n"/>
      <c r="N450" s="143" t="n"/>
      <c r="O450" s="143" t="n"/>
      <c r="P450" s="143" t="n"/>
      <c r="Q450" s="143" t="n"/>
      <c r="R450" s="143" t="n"/>
      <c r="S450" s="143" t="n"/>
      <c r="T450" s="143" t="n"/>
      <c r="U450" s="143" t="n"/>
      <c r="V450" s="143" t="n"/>
      <c r="W450" s="143" t="n"/>
      <c r="X450" s="143" t="n"/>
      <c r="Y450" s="143" t="n"/>
      <c r="Z450" s="143" t="n"/>
    </row>
    <row r="451" ht="19.5" customHeight="1" s="398">
      <c r="A451" s="149" t="n"/>
      <c r="B451" s="143" t="n"/>
      <c r="C451" s="143" t="n"/>
      <c r="D451" s="143" t="n"/>
      <c r="E451" s="143" t="n"/>
      <c r="F451" s="143" t="n"/>
      <c r="G451" s="143" t="n"/>
      <c r="H451" s="143" t="n"/>
      <c r="I451" s="143" t="n"/>
      <c r="J451" s="143" t="n"/>
      <c r="K451" s="143" t="n"/>
      <c r="L451" s="143" t="n"/>
      <c r="M451" s="143" t="n"/>
      <c r="N451" s="143" t="n"/>
      <c r="O451" s="143" t="n"/>
      <c r="P451" s="143" t="n"/>
      <c r="Q451" s="143" t="n"/>
      <c r="R451" s="143" t="n"/>
      <c r="S451" s="143" t="n"/>
      <c r="T451" s="143" t="n"/>
      <c r="U451" s="143" t="n"/>
      <c r="V451" s="143" t="n"/>
      <c r="W451" s="143" t="n"/>
      <c r="X451" s="143" t="n"/>
      <c r="Y451" s="143" t="n"/>
      <c r="Z451" s="143" t="n"/>
    </row>
    <row r="452" ht="19.5" customHeight="1" s="398">
      <c r="A452" s="149" t="n"/>
      <c r="B452" s="143" t="n"/>
      <c r="C452" s="143" t="n"/>
      <c r="D452" s="143" t="n"/>
      <c r="E452" s="143" t="n"/>
      <c r="F452" s="143" t="n"/>
      <c r="G452" s="143" t="n"/>
      <c r="H452" s="143" t="n"/>
      <c r="I452" s="143" t="n"/>
      <c r="J452" s="143" t="n"/>
      <c r="K452" s="143" t="n"/>
      <c r="L452" s="143" t="n"/>
      <c r="M452" s="143" t="n"/>
      <c r="N452" s="143" t="n"/>
      <c r="O452" s="143" t="n"/>
      <c r="P452" s="143" t="n"/>
      <c r="Q452" s="143" t="n"/>
      <c r="R452" s="143" t="n"/>
      <c r="S452" s="143" t="n"/>
      <c r="T452" s="143" t="n"/>
      <c r="U452" s="143" t="n"/>
      <c r="V452" s="143" t="n"/>
      <c r="W452" s="143" t="n"/>
      <c r="X452" s="143" t="n"/>
      <c r="Y452" s="143" t="n"/>
      <c r="Z452" s="143" t="n"/>
    </row>
    <row r="453" ht="19.5" customHeight="1" s="398">
      <c r="A453" s="149" t="n"/>
      <c r="B453" s="143" t="n"/>
      <c r="C453" s="143" t="n"/>
      <c r="D453" s="143" t="n"/>
      <c r="E453" s="143" t="n"/>
      <c r="F453" s="143" t="n"/>
      <c r="G453" s="143" t="n"/>
      <c r="H453" s="143" t="n"/>
      <c r="I453" s="143" t="n"/>
      <c r="J453" s="143" t="n"/>
      <c r="K453" s="143" t="n"/>
      <c r="L453" s="143" t="n"/>
      <c r="M453" s="143" t="n"/>
      <c r="N453" s="143" t="n"/>
      <c r="O453" s="143" t="n"/>
      <c r="P453" s="143" t="n"/>
      <c r="Q453" s="143" t="n"/>
      <c r="R453" s="143" t="n"/>
      <c r="S453" s="143" t="n"/>
      <c r="T453" s="143" t="n"/>
      <c r="U453" s="143" t="n"/>
      <c r="V453" s="143" t="n"/>
      <c r="W453" s="143" t="n"/>
      <c r="X453" s="143" t="n"/>
      <c r="Y453" s="143" t="n"/>
      <c r="Z453" s="143" t="n"/>
    </row>
    <row r="454" ht="19.5" customHeight="1" s="398">
      <c r="A454" s="149" t="n"/>
      <c r="B454" s="143" t="n"/>
      <c r="C454" s="143" t="n"/>
      <c r="D454" s="143" t="n"/>
      <c r="E454" s="143" t="n"/>
      <c r="F454" s="143" t="n"/>
      <c r="G454" s="143" t="n"/>
      <c r="H454" s="143" t="n"/>
      <c r="I454" s="143" t="n"/>
      <c r="J454" s="143" t="n"/>
      <c r="K454" s="143" t="n"/>
      <c r="L454" s="143" t="n"/>
      <c r="M454" s="143" t="n"/>
      <c r="N454" s="143" t="n"/>
      <c r="O454" s="143" t="n"/>
      <c r="P454" s="143" t="n"/>
      <c r="Q454" s="143" t="n"/>
      <c r="R454" s="143" t="n"/>
      <c r="S454" s="143" t="n"/>
      <c r="T454" s="143" t="n"/>
      <c r="U454" s="143" t="n"/>
      <c r="V454" s="143" t="n"/>
      <c r="W454" s="143" t="n"/>
      <c r="X454" s="143" t="n"/>
      <c r="Y454" s="143" t="n"/>
      <c r="Z454" s="143" t="n"/>
    </row>
    <row r="455" ht="19.5" customHeight="1" s="398">
      <c r="A455" s="149" t="n"/>
      <c r="B455" s="143" t="n"/>
      <c r="C455" s="143" t="n"/>
      <c r="D455" s="143" t="n"/>
      <c r="E455" s="143" t="n"/>
      <c r="F455" s="143" t="n"/>
      <c r="G455" s="143" t="n"/>
      <c r="H455" s="143" t="n"/>
      <c r="I455" s="143" t="n"/>
      <c r="J455" s="143" t="n"/>
      <c r="K455" s="143" t="n"/>
      <c r="L455" s="143" t="n"/>
      <c r="M455" s="143" t="n"/>
      <c r="N455" s="143" t="n"/>
      <c r="O455" s="143" t="n"/>
      <c r="P455" s="143" t="n"/>
      <c r="Q455" s="143" t="n"/>
      <c r="R455" s="143" t="n"/>
      <c r="S455" s="143" t="n"/>
      <c r="T455" s="143" t="n"/>
      <c r="U455" s="143" t="n"/>
      <c r="V455" s="143" t="n"/>
      <c r="W455" s="143" t="n"/>
      <c r="X455" s="143" t="n"/>
      <c r="Y455" s="143" t="n"/>
      <c r="Z455" s="143" t="n"/>
    </row>
    <row r="456" ht="19.5" customHeight="1" s="398">
      <c r="A456" s="149" t="n"/>
      <c r="B456" s="143" t="n"/>
      <c r="C456" s="143" t="n"/>
      <c r="D456" s="143" t="n"/>
      <c r="E456" s="143" t="n"/>
      <c r="F456" s="143" t="n"/>
      <c r="G456" s="143" t="n"/>
      <c r="H456" s="143" t="n"/>
      <c r="I456" s="143" t="n"/>
      <c r="J456" s="143" t="n"/>
      <c r="K456" s="143" t="n"/>
      <c r="L456" s="143" t="n"/>
      <c r="M456" s="143" t="n"/>
      <c r="N456" s="143" t="n"/>
      <c r="O456" s="143" t="n"/>
      <c r="P456" s="143" t="n"/>
      <c r="Q456" s="143" t="n"/>
      <c r="R456" s="143" t="n"/>
      <c r="S456" s="143" t="n"/>
      <c r="T456" s="143" t="n"/>
      <c r="U456" s="143" t="n"/>
      <c r="V456" s="143" t="n"/>
      <c r="W456" s="143" t="n"/>
      <c r="X456" s="143" t="n"/>
      <c r="Y456" s="143" t="n"/>
      <c r="Z456" s="143" t="n"/>
    </row>
    <row r="457" ht="19.5" customHeight="1" s="398">
      <c r="A457" s="149" t="n"/>
      <c r="B457" s="143" t="n"/>
      <c r="C457" s="143" t="n"/>
      <c r="D457" s="143" t="n"/>
      <c r="E457" s="143" t="n"/>
      <c r="F457" s="143" t="n"/>
      <c r="G457" s="143" t="n"/>
      <c r="H457" s="143" t="n"/>
      <c r="I457" s="143" t="n"/>
      <c r="J457" s="143" t="n"/>
      <c r="K457" s="143" t="n"/>
      <c r="L457" s="143" t="n"/>
      <c r="M457" s="143" t="n"/>
      <c r="N457" s="143" t="n"/>
      <c r="O457" s="143" t="n"/>
      <c r="P457" s="143" t="n"/>
      <c r="Q457" s="143" t="n"/>
      <c r="R457" s="143" t="n"/>
      <c r="S457" s="143" t="n"/>
      <c r="T457" s="143" t="n"/>
      <c r="U457" s="143" t="n"/>
      <c r="V457" s="143" t="n"/>
      <c r="W457" s="143" t="n"/>
      <c r="X457" s="143" t="n"/>
      <c r="Y457" s="143" t="n"/>
      <c r="Z457" s="143" t="n"/>
    </row>
    <row r="458" ht="19.5" customHeight="1" s="398">
      <c r="A458" s="149" t="n"/>
      <c r="B458" s="143" t="n"/>
      <c r="C458" s="143" t="n"/>
      <c r="D458" s="143" t="n"/>
      <c r="E458" s="143" t="n"/>
      <c r="F458" s="143" t="n"/>
      <c r="G458" s="143" t="n"/>
      <c r="H458" s="143" t="n"/>
      <c r="I458" s="143" t="n"/>
      <c r="J458" s="143" t="n"/>
      <c r="K458" s="143" t="n"/>
      <c r="L458" s="143" t="n"/>
      <c r="M458" s="143" t="n"/>
      <c r="N458" s="143" t="n"/>
      <c r="O458" s="143" t="n"/>
      <c r="P458" s="143" t="n"/>
      <c r="Q458" s="143" t="n"/>
      <c r="R458" s="143" t="n"/>
      <c r="S458" s="143" t="n"/>
      <c r="T458" s="143" t="n"/>
      <c r="U458" s="143" t="n"/>
      <c r="V458" s="143" t="n"/>
      <c r="W458" s="143" t="n"/>
      <c r="X458" s="143" t="n"/>
      <c r="Y458" s="143" t="n"/>
      <c r="Z458" s="143" t="n"/>
    </row>
    <row r="459" ht="19.5" customHeight="1" s="398">
      <c r="A459" s="149" t="n"/>
      <c r="B459" s="143" t="n"/>
      <c r="C459" s="143" t="n"/>
      <c r="D459" s="143" t="n"/>
      <c r="E459" s="143" t="n"/>
      <c r="F459" s="143" t="n"/>
      <c r="G459" s="143" t="n"/>
      <c r="H459" s="143" t="n"/>
      <c r="I459" s="143" t="n"/>
      <c r="J459" s="143" t="n"/>
      <c r="K459" s="143" t="n"/>
      <c r="L459" s="143" t="n"/>
      <c r="M459" s="143" t="n"/>
      <c r="N459" s="143" t="n"/>
      <c r="O459" s="143" t="n"/>
      <c r="P459" s="143" t="n"/>
      <c r="Q459" s="143" t="n"/>
      <c r="R459" s="143" t="n"/>
      <c r="S459" s="143" t="n"/>
      <c r="T459" s="143" t="n"/>
      <c r="U459" s="143" t="n"/>
      <c r="V459" s="143" t="n"/>
      <c r="W459" s="143" t="n"/>
      <c r="X459" s="143" t="n"/>
      <c r="Y459" s="143" t="n"/>
      <c r="Z459" s="143" t="n"/>
    </row>
    <row r="460" ht="19.5" customHeight="1" s="398">
      <c r="A460" s="149" t="n"/>
      <c r="B460" s="143" t="n"/>
      <c r="C460" s="143" t="n"/>
      <c r="D460" s="143" t="n"/>
      <c r="E460" s="143" t="n"/>
      <c r="F460" s="143" t="n"/>
      <c r="G460" s="143" t="n"/>
      <c r="H460" s="143" t="n"/>
      <c r="I460" s="143" t="n"/>
      <c r="J460" s="143" t="n"/>
      <c r="K460" s="143" t="n"/>
      <c r="L460" s="143" t="n"/>
      <c r="M460" s="143" t="n"/>
      <c r="N460" s="143" t="n"/>
      <c r="O460" s="143" t="n"/>
      <c r="P460" s="143" t="n"/>
      <c r="Q460" s="143" t="n"/>
      <c r="R460" s="143" t="n"/>
      <c r="S460" s="143" t="n"/>
      <c r="T460" s="143" t="n"/>
      <c r="U460" s="143" t="n"/>
      <c r="V460" s="143" t="n"/>
      <c r="W460" s="143" t="n"/>
      <c r="X460" s="143" t="n"/>
      <c r="Y460" s="143" t="n"/>
      <c r="Z460" s="143" t="n"/>
    </row>
    <row r="461" ht="19.5" customHeight="1" s="398">
      <c r="A461" s="149" t="n"/>
      <c r="B461" s="143" t="n"/>
      <c r="C461" s="143" t="n"/>
      <c r="D461" s="143" t="n"/>
      <c r="E461" s="143" t="n"/>
      <c r="F461" s="143" t="n"/>
      <c r="G461" s="143" t="n"/>
      <c r="H461" s="143" t="n"/>
      <c r="I461" s="143" t="n"/>
      <c r="J461" s="143" t="n"/>
      <c r="K461" s="143" t="n"/>
      <c r="L461" s="143" t="n"/>
      <c r="M461" s="143" t="n"/>
      <c r="N461" s="143" t="n"/>
      <c r="O461" s="143" t="n"/>
      <c r="P461" s="143" t="n"/>
      <c r="Q461" s="143" t="n"/>
      <c r="R461" s="143" t="n"/>
      <c r="S461" s="143" t="n"/>
      <c r="T461" s="143" t="n"/>
      <c r="U461" s="143" t="n"/>
      <c r="V461" s="143" t="n"/>
      <c r="W461" s="143" t="n"/>
      <c r="X461" s="143" t="n"/>
      <c r="Y461" s="143" t="n"/>
      <c r="Z461" s="143" t="n"/>
    </row>
    <row r="462" ht="19.5" customHeight="1" s="398">
      <c r="A462" s="149" t="n"/>
      <c r="B462" s="143" t="n"/>
      <c r="C462" s="143" t="n"/>
      <c r="D462" s="143" t="n"/>
      <c r="E462" s="143" t="n"/>
      <c r="F462" s="143" t="n"/>
      <c r="G462" s="143" t="n"/>
      <c r="H462" s="143" t="n"/>
      <c r="I462" s="143" t="n"/>
      <c r="J462" s="143" t="n"/>
      <c r="K462" s="143" t="n"/>
      <c r="L462" s="143" t="n"/>
      <c r="M462" s="143" t="n"/>
      <c r="N462" s="143" t="n"/>
      <c r="O462" s="143" t="n"/>
      <c r="P462" s="143" t="n"/>
      <c r="Q462" s="143" t="n"/>
      <c r="R462" s="143" t="n"/>
      <c r="S462" s="143" t="n"/>
      <c r="T462" s="143" t="n"/>
      <c r="U462" s="143" t="n"/>
      <c r="V462" s="143" t="n"/>
      <c r="W462" s="143" t="n"/>
      <c r="X462" s="143" t="n"/>
      <c r="Y462" s="143" t="n"/>
      <c r="Z462" s="143" t="n"/>
    </row>
    <row r="463" ht="19.5" customHeight="1" s="398">
      <c r="A463" s="149" t="n"/>
      <c r="B463" s="143" t="n"/>
      <c r="C463" s="143" t="n"/>
      <c r="D463" s="143" t="n"/>
      <c r="E463" s="143" t="n"/>
      <c r="F463" s="143" t="n"/>
      <c r="G463" s="143" t="n"/>
      <c r="H463" s="143" t="n"/>
      <c r="I463" s="143" t="n"/>
      <c r="J463" s="143" t="n"/>
      <c r="K463" s="143" t="n"/>
      <c r="L463" s="143" t="n"/>
      <c r="M463" s="143" t="n"/>
      <c r="N463" s="143" t="n"/>
      <c r="O463" s="143" t="n"/>
      <c r="P463" s="143" t="n"/>
      <c r="Q463" s="143" t="n"/>
      <c r="R463" s="143" t="n"/>
      <c r="S463" s="143" t="n"/>
      <c r="T463" s="143" t="n"/>
      <c r="U463" s="143" t="n"/>
      <c r="V463" s="143" t="n"/>
      <c r="W463" s="143" t="n"/>
      <c r="X463" s="143" t="n"/>
      <c r="Y463" s="143" t="n"/>
      <c r="Z463" s="143" t="n"/>
    </row>
    <row r="464" ht="19.5" customHeight="1" s="398">
      <c r="A464" s="149" t="n"/>
      <c r="B464" s="143" t="n"/>
      <c r="C464" s="143" t="n"/>
      <c r="D464" s="143" t="n"/>
      <c r="E464" s="143" t="n"/>
      <c r="F464" s="143" t="n"/>
      <c r="G464" s="143" t="n"/>
      <c r="H464" s="143" t="n"/>
      <c r="I464" s="143" t="n"/>
      <c r="J464" s="143" t="n"/>
      <c r="K464" s="143" t="n"/>
      <c r="L464" s="143" t="n"/>
      <c r="M464" s="143" t="n"/>
      <c r="N464" s="143" t="n"/>
      <c r="O464" s="143" t="n"/>
      <c r="P464" s="143" t="n"/>
      <c r="Q464" s="143" t="n"/>
      <c r="R464" s="143" t="n"/>
      <c r="S464" s="143" t="n"/>
      <c r="T464" s="143" t="n"/>
      <c r="U464" s="143" t="n"/>
      <c r="V464" s="143" t="n"/>
      <c r="W464" s="143" t="n"/>
      <c r="X464" s="143" t="n"/>
      <c r="Y464" s="143" t="n"/>
      <c r="Z464" s="143" t="n"/>
    </row>
    <row r="465" ht="19.5" customHeight="1" s="398">
      <c r="A465" s="149" t="n"/>
      <c r="B465" s="143" t="n"/>
      <c r="C465" s="143" t="n"/>
      <c r="D465" s="143" t="n"/>
      <c r="E465" s="143" t="n"/>
      <c r="F465" s="143" t="n"/>
      <c r="G465" s="143" t="n"/>
      <c r="H465" s="143" t="n"/>
      <c r="I465" s="143" t="n"/>
      <c r="J465" s="143" t="n"/>
      <c r="K465" s="143" t="n"/>
      <c r="L465" s="143" t="n"/>
      <c r="M465" s="143" t="n"/>
      <c r="N465" s="143" t="n"/>
      <c r="O465" s="143" t="n"/>
      <c r="P465" s="143" t="n"/>
      <c r="Q465" s="143" t="n"/>
      <c r="R465" s="143" t="n"/>
      <c r="S465" s="143" t="n"/>
      <c r="T465" s="143" t="n"/>
      <c r="U465" s="143" t="n"/>
      <c r="V465" s="143" t="n"/>
      <c r="W465" s="143" t="n"/>
      <c r="X465" s="143" t="n"/>
      <c r="Y465" s="143" t="n"/>
      <c r="Z465" s="143" t="n"/>
    </row>
    <row r="466" ht="19.5" customHeight="1" s="398">
      <c r="A466" s="149" t="n"/>
      <c r="B466" s="143" t="n"/>
      <c r="C466" s="143" t="n"/>
      <c r="D466" s="143" t="n"/>
      <c r="E466" s="143" t="n"/>
      <c r="F466" s="143" t="n"/>
      <c r="G466" s="143" t="n"/>
      <c r="H466" s="143" t="n"/>
      <c r="I466" s="143" t="n"/>
      <c r="J466" s="143" t="n"/>
      <c r="K466" s="143" t="n"/>
      <c r="L466" s="143" t="n"/>
      <c r="M466" s="143" t="n"/>
      <c r="N466" s="143" t="n"/>
      <c r="O466" s="143" t="n"/>
      <c r="P466" s="143" t="n"/>
      <c r="Q466" s="143" t="n"/>
      <c r="R466" s="143" t="n"/>
      <c r="S466" s="143" t="n"/>
      <c r="T466" s="143" t="n"/>
      <c r="U466" s="143" t="n"/>
      <c r="V466" s="143" t="n"/>
      <c r="W466" s="143" t="n"/>
      <c r="X466" s="143" t="n"/>
      <c r="Y466" s="143" t="n"/>
      <c r="Z466" s="143" t="n"/>
    </row>
    <row r="467" ht="19.5" customHeight="1" s="398">
      <c r="A467" s="149" t="n"/>
      <c r="B467" s="143" t="n"/>
      <c r="C467" s="143" t="n"/>
      <c r="D467" s="143" t="n"/>
      <c r="E467" s="143" t="n"/>
      <c r="F467" s="143" t="n"/>
      <c r="G467" s="143" t="n"/>
      <c r="H467" s="143" t="n"/>
      <c r="I467" s="143" t="n"/>
      <c r="J467" s="143" t="n"/>
      <c r="K467" s="143" t="n"/>
      <c r="L467" s="143" t="n"/>
      <c r="M467" s="143" t="n"/>
      <c r="N467" s="143" t="n"/>
      <c r="O467" s="143" t="n"/>
      <c r="P467" s="143" t="n"/>
      <c r="Q467" s="143" t="n"/>
      <c r="R467" s="143" t="n"/>
      <c r="S467" s="143" t="n"/>
      <c r="T467" s="143" t="n"/>
      <c r="U467" s="143" t="n"/>
      <c r="V467" s="143" t="n"/>
      <c r="W467" s="143" t="n"/>
      <c r="X467" s="143" t="n"/>
      <c r="Y467" s="143" t="n"/>
      <c r="Z467" s="143" t="n"/>
    </row>
    <row r="468" ht="19.5" customHeight="1" s="398">
      <c r="A468" s="149" t="n"/>
      <c r="B468" s="143" t="n"/>
      <c r="C468" s="143" t="n"/>
      <c r="D468" s="143" t="n"/>
      <c r="E468" s="143" t="n"/>
      <c r="F468" s="143" t="n"/>
      <c r="G468" s="143" t="n"/>
      <c r="H468" s="143" t="n"/>
      <c r="I468" s="143" t="n"/>
      <c r="J468" s="143" t="n"/>
      <c r="K468" s="143" t="n"/>
      <c r="L468" s="143" t="n"/>
      <c r="M468" s="143" t="n"/>
      <c r="N468" s="143" t="n"/>
      <c r="O468" s="143" t="n"/>
      <c r="P468" s="143" t="n"/>
      <c r="Q468" s="143" t="n"/>
      <c r="R468" s="143" t="n"/>
      <c r="S468" s="143" t="n"/>
      <c r="T468" s="143" t="n"/>
      <c r="U468" s="143" t="n"/>
      <c r="V468" s="143" t="n"/>
      <c r="W468" s="143" t="n"/>
      <c r="X468" s="143" t="n"/>
      <c r="Y468" s="143" t="n"/>
      <c r="Z468" s="143" t="n"/>
    </row>
    <row r="469" ht="19.5" customHeight="1" s="398">
      <c r="A469" s="149" t="n"/>
      <c r="B469" s="143" t="n"/>
      <c r="C469" s="143" t="n"/>
      <c r="D469" s="143" t="n"/>
      <c r="E469" s="143" t="n"/>
      <c r="F469" s="143" t="n"/>
      <c r="G469" s="143" t="n"/>
      <c r="H469" s="143" t="n"/>
      <c r="I469" s="143" t="n"/>
      <c r="J469" s="143" t="n"/>
      <c r="K469" s="143" t="n"/>
      <c r="L469" s="143" t="n"/>
      <c r="M469" s="143" t="n"/>
      <c r="N469" s="143" t="n"/>
      <c r="O469" s="143" t="n"/>
      <c r="P469" s="143" t="n"/>
      <c r="Q469" s="143" t="n"/>
      <c r="R469" s="143" t="n"/>
      <c r="S469" s="143" t="n"/>
      <c r="T469" s="143" t="n"/>
      <c r="U469" s="143" t="n"/>
      <c r="V469" s="143" t="n"/>
      <c r="W469" s="143" t="n"/>
      <c r="X469" s="143" t="n"/>
      <c r="Y469" s="143" t="n"/>
      <c r="Z469" s="143" t="n"/>
    </row>
    <row r="470" ht="19.5" customHeight="1" s="398">
      <c r="A470" s="149" t="n"/>
      <c r="B470" s="143" t="n"/>
      <c r="C470" s="143" t="n"/>
      <c r="D470" s="143" t="n"/>
      <c r="E470" s="143" t="n"/>
      <c r="F470" s="143" t="n"/>
      <c r="G470" s="143" t="n"/>
      <c r="H470" s="143" t="n"/>
      <c r="I470" s="143" t="n"/>
      <c r="J470" s="143" t="n"/>
      <c r="K470" s="143" t="n"/>
      <c r="L470" s="143" t="n"/>
      <c r="M470" s="143" t="n"/>
      <c r="N470" s="143" t="n"/>
      <c r="O470" s="143" t="n"/>
      <c r="P470" s="143" t="n"/>
      <c r="Q470" s="143" t="n"/>
      <c r="R470" s="143" t="n"/>
      <c r="S470" s="143" t="n"/>
      <c r="T470" s="143" t="n"/>
      <c r="U470" s="143" t="n"/>
      <c r="V470" s="143" t="n"/>
      <c r="W470" s="143" t="n"/>
      <c r="X470" s="143" t="n"/>
      <c r="Y470" s="143" t="n"/>
      <c r="Z470" s="143" t="n"/>
    </row>
    <row r="471" ht="19.5" customHeight="1" s="398">
      <c r="A471" s="149" t="n"/>
      <c r="B471" s="143" t="n"/>
      <c r="C471" s="143" t="n"/>
      <c r="D471" s="143" t="n"/>
      <c r="E471" s="143" t="n"/>
      <c r="F471" s="143" t="n"/>
      <c r="G471" s="143" t="n"/>
      <c r="H471" s="143" t="n"/>
      <c r="I471" s="143" t="n"/>
      <c r="J471" s="143" t="n"/>
      <c r="K471" s="143" t="n"/>
      <c r="L471" s="143" t="n"/>
      <c r="M471" s="143" t="n"/>
      <c r="N471" s="143" t="n"/>
      <c r="O471" s="143" t="n"/>
      <c r="P471" s="143" t="n"/>
      <c r="Q471" s="143" t="n"/>
      <c r="R471" s="143" t="n"/>
      <c r="S471" s="143" t="n"/>
      <c r="T471" s="143" t="n"/>
      <c r="U471" s="143" t="n"/>
      <c r="V471" s="143" t="n"/>
      <c r="W471" s="143" t="n"/>
      <c r="X471" s="143" t="n"/>
      <c r="Y471" s="143" t="n"/>
      <c r="Z471" s="143" t="n"/>
    </row>
    <row r="472" ht="19.5" customHeight="1" s="398">
      <c r="A472" s="149" t="n"/>
      <c r="B472" s="143" t="n"/>
      <c r="C472" s="143" t="n"/>
      <c r="D472" s="143" t="n"/>
      <c r="E472" s="143" t="n"/>
      <c r="F472" s="143" t="n"/>
      <c r="G472" s="143" t="n"/>
      <c r="H472" s="143" t="n"/>
      <c r="I472" s="143" t="n"/>
      <c r="J472" s="143" t="n"/>
      <c r="K472" s="143" t="n"/>
      <c r="L472" s="143" t="n"/>
      <c r="M472" s="143" t="n"/>
      <c r="N472" s="143" t="n"/>
      <c r="O472" s="143" t="n"/>
      <c r="P472" s="143" t="n"/>
      <c r="Q472" s="143" t="n"/>
      <c r="R472" s="143" t="n"/>
      <c r="S472" s="143" t="n"/>
      <c r="T472" s="143" t="n"/>
      <c r="U472" s="143" t="n"/>
      <c r="V472" s="143" t="n"/>
      <c r="W472" s="143" t="n"/>
      <c r="X472" s="143" t="n"/>
      <c r="Y472" s="143" t="n"/>
      <c r="Z472" s="143" t="n"/>
    </row>
    <row r="473" ht="19.5" customHeight="1" s="398">
      <c r="A473" s="149" t="n"/>
      <c r="B473" s="143" t="n"/>
      <c r="C473" s="143" t="n"/>
      <c r="D473" s="143" t="n"/>
      <c r="E473" s="143" t="n"/>
      <c r="F473" s="143" t="n"/>
      <c r="G473" s="143" t="n"/>
      <c r="H473" s="143" t="n"/>
      <c r="I473" s="143" t="n"/>
      <c r="J473" s="143" t="n"/>
      <c r="K473" s="143" t="n"/>
      <c r="L473" s="143" t="n"/>
      <c r="M473" s="143" t="n"/>
      <c r="N473" s="143" t="n"/>
      <c r="O473" s="143" t="n"/>
      <c r="P473" s="143" t="n"/>
      <c r="Q473" s="143" t="n"/>
      <c r="R473" s="143" t="n"/>
      <c r="S473" s="143" t="n"/>
      <c r="T473" s="143" t="n"/>
      <c r="U473" s="143" t="n"/>
      <c r="V473" s="143" t="n"/>
      <c r="W473" s="143" t="n"/>
      <c r="X473" s="143" t="n"/>
      <c r="Y473" s="143" t="n"/>
      <c r="Z473" s="143" t="n"/>
    </row>
    <row r="474" ht="19.5" customHeight="1" s="398">
      <c r="A474" s="149" t="n"/>
      <c r="B474" s="143" t="n"/>
      <c r="C474" s="143" t="n"/>
      <c r="D474" s="143" t="n"/>
      <c r="E474" s="143" t="n"/>
      <c r="F474" s="143" t="n"/>
      <c r="G474" s="143" t="n"/>
      <c r="H474" s="143" t="n"/>
      <c r="I474" s="143" t="n"/>
      <c r="J474" s="143" t="n"/>
      <c r="K474" s="143" t="n"/>
      <c r="L474" s="143" t="n"/>
      <c r="M474" s="143" t="n"/>
      <c r="N474" s="143" t="n"/>
      <c r="O474" s="143" t="n"/>
      <c r="P474" s="143" t="n"/>
      <c r="Q474" s="143" t="n"/>
      <c r="R474" s="143" t="n"/>
      <c r="S474" s="143" t="n"/>
      <c r="T474" s="143" t="n"/>
      <c r="U474" s="143" t="n"/>
      <c r="V474" s="143" t="n"/>
      <c r="W474" s="143" t="n"/>
      <c r="X474" s="143" t="n"/>
      <c r="Y474" s="143" t="n"/>
      <c r="Z474" s="143" t="n"/>
    </row>
    <row r="475" ht="19.5" customHeight="1" s="398">
      <c r="A475" s="149" t="n"/>
      <c r="B475" s="143" t="n"/>
      <c r="C475" s="143" t="n"/>
      <c r="D475" s="143" t="n"/>
      <c r="E475" s="143" t="n"/>
      <c r="F475" s="143" t="n"/>
      <c r="G475" s="143" t="n"/>
      <c r="H475" s="143" t="n"/>
      <c r="I475" s="143" t="n"/>
      <c r="J475" s="143" t="n"/>
      <c r="K475" s="143" t="n"/>
      <c r="L475" s="143" t="n"/>
      <c r="M475" s="143" t="n"/>
      <c r="N475" s="143" t="n"/>
      <c r="O475" s="143" t="n"/>
      <c r="P475" s="143" t="n"/>
      <c r="Q475" s="143" t="n"/>
      <c r="R475" s="143" t="n"/>
      <c r="S475" s="143" t="n"/>
      <c r="T475" s="143" t="n"/>
      <c r="U475" s="143" t="n"/>
      <c r="V475" s="143" t="n"/>
      <c r="W475" s="143" t="n"/>
      <c r="X475" s="143" t="n"/>
      <c r="Y475" s="143" t="n"/>
      <c r="Z475" s="143" t="n"/>
    </row>
    <row r="476" ht="19.5" customHeight="1" s="398">
      <c r="A476" s="149" t="n"/>
      <c r="B476" s="143" t="n"/>
      <c r="C476" s="143" t="n"/>
      <c r="D476" s="143" t="n"/>
      <c r="E476" s="143" t="n"/>
      <c r="F476" s="143" t="n"/>
      <c r="G476" s="143" t="n"/>
      <c r="H476" s="143" t="n"/>
      <c r="I476" s="143" t="n"/>
      <c r="J476" s="143" t="n"/>
      <c r="K476" s="143" t="n"/>
      <c r="L476" s="143" t="n"/>
      <c r="M476" s="143" t="n"/>
      <c r="N476" s="143" t="n"/>
      <c r="O476" s="143" t="n"/>
      <c r="P476" s="143" t="n"/>
      <c r="Q476" s="143" t="n"/>
      <c r="R476" s="143" t="n"/>
      <c r="S476" s="143" t="n"/>
      <c r="T476" s="143" t="n"/>
      <c r="U476" s="143" t="n"/>
      <c r="V476" s="143" t="n"/>
      <c r="W476" s="143" t="n"/>
      <c r="X476" s="143" t="n"/>
      <c r="Y476" s="143" t="n"/>
      <c r="Z476" s="143" t="n"/>
    </row>
    <row r="477" ht="19.5" customHeight="1" s="398">
      <c r="A477" s="149" t="n"/>
      <c r="B477" s="143" t="n"/>
      <c r="C477" s="143" t="n"/>
      <c r="D477" s="143" t="n"/>
      <c r="E477" s="143" t="n"/>
      <c r="F477" s="143" t="n"/>
      <c r="G477" s="143" t="n"/>
      <c r="H477" s="143" t="n"/>
      <c r="I477" s="143" t="n"/>
      <c r="J477" s="143" t="n"/>
      <c r="K477" s="143" t="n"/>
      <c r="L477" s="143" t="n"/>
      <c r="M477" s="143" t="n"/>
      <c r="N477" s="143" t="n"/>
      <c r="O477" s="143" t="n"/>
      <c r="P477" s="143" t="n"/>
      <c r="Q477" s="143" t="n"/>
      <c r="R477" s="143" t="n"/>
      <c r="S477" s="143" t="n"/>
      <c r="T477" s="143" t="n"/>
      <c r="U477" s="143" t="n"/>
      <c r="V477" s="143" t="n"/>
      <c r="W477" s="143" t="n"/>
      <c r="X477" s="143" t="n"/>
      <c r="Y477" s="143" t="n"/>
      <c r="Z477" s="143" t="n"/>
    </row>
    <row r="478" ht="19.5" customHeight="1" s="398">
      <c r="A478" s="149" t="n"/>
      <c r="B478" s="143" t="n"/>
      <c r="C478" s="143" t="n"/>
      <c r="D478" s="143" t="n"/>
      <c r="E478" s="143" t="n"/>
      <c r="F478" s="143" t="n"/>
      <c r="G478" s="143" t="n"/>
      <c r="H478" s="143" t="n"/>
      <c r="I478" s="143" t="n"/>
      <c r="J478" s="143" t="n"/>
      <c r="K478" s="143" t="n"/>
      <c r="L478" s="143" t="n"/>
      <c r="M478" s="143" t="n"/>
      <c r="N478" s="143" t="n"/>
      <c r="O478" s="143" t="n"/>
      <c r="P478" s="143" t="n"/>
      <c r="Q478" s="143" t="n"/>
      <c r="R478" s="143" t="n"/>
      <c r="S478" s="143" t="n"/>
      <c r="T478" s="143" t="n"/>
      <c r="U478" s="143" t="n"/>
      <c r="V478" s="143" t="n"/>
      <c r="W478" s="143" t="n"/>
      <c r="X478" s="143" t="n"/>
      <c r="Y478" s="143" t="n"/>
      <c r="Z478" s="143" t="n"/>
    </row>
    <row r="479" ht="19.5" customHeight="1" s="398">
      <c r="A479" s="149" t="n"/>
      <c r="B479" s="143" t="n"/>
      <c r="C479" s="143" t="n"/>
      <c r="D479" s="143" t="n"/>
      <c r="E479" s="143" t="n"/>
      <c r="F479" s="143" t="n"/>
      <c r="G479" s="143" t="n"/>
      <c r="H479" s="143" t="n"/>
      <c r="I479" s="143" t="n"/>
      <c r="J479" s="143" t="n"/>
      <c r="K479" s="143" t="n"/>
      <c r="L479" s="143" t="n"/>
      <c r="M479" s="143" t="n"/>
      <c r="N479" s="143" t="n"/>
      <c r="O479" s="143" t="n"/>
      <c r="P479" s="143" t="n"/>
      <c r="Q479" s="143" t="n"/>
      <c r="R479" s="143" t="n"/>
      <c r="S479" s="143" t="n"/>
      <c r="T479" s="143" t="n"/>
      <c r="U479" s="143" t="n"/>
      <c r="V479" s="143" t="n"/>
      <c r="W479" s="143" t="n"/>
      <c r="X479" s="143" t="n"/>
      <c r="Y479" s="143" t="n"/>
      <c r="Z479" s="143" t="n"/>
    </row>
    <row r="480" ht="19.5" customHeight="1" s="398">
      <c r="A480" s="149" t="n"/>
      <c r="B480" s="143" t="n"/>
      <c r="C480" s="143" t="n"/>
      <c r="D480" s="143" t="n"/>
      <c r="E480" s="143" t="n"/>
      <c r="F480" s="143" t="n"/>
      <c r="G480" s="143" t="n"/>
      <c r="H480" s="143" t="n"/>
      <c r="I480" s="143" t="n"/>
      <c r="J480" s="143" t="n"/>
      <c r="K480" s="143" t="n"/>
      <c r="L480" s="143" t="n"/>
      <c r="M480" s="143" t="n"/>
      <c r="N480" s="143" t="n"/>
      <c r="O480" s="143" t="n"/>
      <c r="P480" s="143" t="n"/>
      <c r="Q480" s="143" t="n"/>
      <c r="R480" s="143" t="n"/>
      <c r="S480" s="143" t="n"/>
      <c r="T480" s="143" t="n"/>
      <c r="U480" s="143" t="n"/>
      <c r="V480" s="143" t="n"/>
      <c r="W480" s="143" t="n"/>
      <c r="X480" s="143" t="n"/>
      <c r="Y480" s="143" t="n"/>
      <c r="Z480" s="143" t="n"/>
    </row>
    <row r="481" ht="19.5" customHeight="1" s="398">
      <c r="A481" s="149" t="n"/>
      <c r="B481" s="143" t="n"/>
      <c r="C481" s="143" t="n"/>
      <c r="D481" s="143" t="n"/>
      <c r="E481" s="143" t="n"/>
      <c r="F481" s="143" t="n"/>
      <c r="G481" s="143" t="n"/>
      <c r="H481" s="143" t="n"/>
      <c r="I481" s="143" t="n"/>
      <c r="J481" s="143" t="n"/>
      <c r="K481" s="143" t="n"/>
      <c r="L481" s="143" t="n"/>
      <c r="M481" s="143" t="n"/>
      <c r="N481" s="143" t="n"/>
      <c r="O481" s="143" t="n"/>
      <c r="P481" s="143" t="n"/>
      <c r="Q481" s="143" t="n"/>
      <c r="R481" s="143" t="n"/>
      <c r="S481" s="143" t="n"/>
      <c r="T481" s="143" t="n"/>
      <c r="U481" s="143" t="n"/>
      <c r="V481" s="143" t="n"/>
      <c r="W481" s="143" t="n"/>
      <c r="X481" s="143" t="n"/>
      <c r="Y481" s="143" t="n"/>
      <c r="Z481" s="143" t="n"/>
    </row>
    <row r="482" ht="19.5" customHeight="1" s="398">
      <c r="A482" s="149" t="n"/>
      <c r="B482" s="143" t="n"/>
      <c r="C482" s="143" t="n"/>
      <c r="D482" s="143" t="n"/>
      <c r="E482" s="143" t="n"/>
      <c r="F482" s="143" t="n"/>
      <c r="G482" s="143" t="n"/>
      <c r="H482" s="143" t="n"/>
      <c r="I482" s="143" t="n"/>
      <c r="J482" s="143" t="n"/>
      <c r="K482" s="143" t="n"/>
      <c r="L482" s="143" t="n"/>
      <c r="M482" s="143" t="n"/>
      <c r="N482" s="143" t="n"/>
      <c r="O482" s="143" t="n"/>
      <c r="P482" s="143" t="n"/>
      <c r="Q482" s="143" t="n"/>
      <c r="R482" s="143" t="n"/>
      <c r="S482" s="143" t="n"/>
      <c r="T482" s="143" t="n"/>
      <c r="U482" s="143" t="n"/>
      <c r="V482" s="143" t="n"/>
      <c r="W482" s="143" t="n"/>
      <c r="X482" s="143" t="n"/>
      <c r="Y482" s="143" t="n"/>
      <c r="Z482" s="143" t="n"/>
    </row>
    <row r="483" ht="19.5" customHeight="1" s="398">
      <c r="A483" s="149" t="n"/>
      <c r="B483" s="143" t="n"/>
      <c r="C483" s="143" t="n"/>
      <c r="D483" s="143" t="n"/>
      <c r="E483" s="143" t="n"/>
      <c r="F483" s="143" t="n"/>
      <c r="G483" s="143" t="n"/>
      <c r="H483" s="143" t="n"/>
      <c r="I483" s="143" t="n"/>
      <c r="J483" s="143" t="n"/>
      <c r="K483" s="143" t="n"/>
      <c r="L483" s="143" t="n"/>
      <c r="M483" s="143" t="n"/>
      <c r="N483" s="143" t="n"/>
      <c r="O483" s="143" t="n"/>
      <c r="P483" s="143" t="n"/>
      <c r="Q483" s="143" t="n"/>
      <c r="R483" s="143" t="n"/>
      <c r="S483" s="143" t="n"/>
      <c r="T483" s="143" t="n"/>
      <c r="U483" s="143" t="n"/>
      <c r="V483" s="143" t="n"/>
      <c r="W483" s="143" t="n"/>
      <c r="X483" s="143" t="n"/>
      <c r="Y483" s="143" t="n"/>
      <c r="Z483" s="143" t="n"/>
    </row>
    <row r="484" ht="19.5" customHeight="1" s="398">
      <c r="A484" s="149" t="n"/>
      <c r="B484" s="143" t="n"/>
      <c r="C484" s="143" t="n"/>
      <c r="D484" s="143" t="n"/>
      <c r="E484" s="143" t="n"/>
      <c r="F484" s="143" t="n"/>
      <c r="G484" s="143" t="n"/>
      <c r="H484" s="143" t="n"/>
      <c r="I484" s="143" t="n"/>
      <c r="J484" s="143" t="n"/>
      <c r="K484" s="143" t="n"/>
      <c r="L484" s="143" t="n"/>
      <c r="M484" s="143" t="n"/>
      <c r="N484" s="143" t="n"/>
      <c r="O484" s="143" t="n"/>
      <c r="P484" s="143" t="n"/>
      <c r="Q484" s="143" t="n"/>
      <c r="R484" s="143" t="n"/>
      <c r="S484" s="143" t="n"/>
      <c r="T484" s="143" t="n"/>
      <c r="U484" s="143" t="n"/>
      <c r="V484" s="143" t="n"/>
      <c r="W484" s="143" t="n"/>
      <c r="X484" s="143" t="n"/>
      <c r="Y484" s="143" t="n"/>
      <c r="Z484" s="143" t="n"/>
    </row>
    <row r="485" ht="19.5" customHeight="1" s="398">
      <c r="A485" s="149" t="n"/>
      <c r="B485" s="143" t="n"/>
      <c r="C485" s="143" t="n"/>
      <c r="D485" s="143" t="n"/>
      <c r="E485" s="143" t="n"/>
      <c r="F485" s="143" t="n"/>
      <c r="G485" s="143" t="n"/>
      <c r="H485" s="143" t="n"/>
      <c r="I485" s="143" t="n"/>
      <c r="J485" s="143" t="n"/>
      <c r="K485" s="143" t="n"/>
      <c r="L485" s="143" t="n"/>
      <c r="M485" s="143" t="n"/>
      <c r="N485" s="143" t="n"/>
      <c r="O485" s="143" t="n"/>
      <c r="P485" s="143" t="n"/>
      <c r="Q485" s="143" t="n"/>
      <c r="R485" s="143" t="n"/>
      <c r="S485" s="143" t="n"/>
      <c r="T485" s="143" t="n"/>
      <c r="U485" s="143" t="n"/>
      <c r="V485" s="143" t="n"/>
      <c r="W485" s="143" t="n"/>
      <c r="X485" s="143" t="n"/>
      <c r="Y485" s="143" t="n"/>
      <c r="Z485" s="143" t="n"/>
    </row>
    <row r="486" ht="19.5" customHeight="1" s="398">
      <c r="A486" s="149" t="n"/>
      <c r="B486" s="143" t="n"/>
      <c r="C486" s="143" t="n"/>
      <c r="D486" s="143" t="n"/>
      <c r="E486" s="143" t="n"/>
      <c r="F486" s="143" t="n"/>
      <c r="G486" s="143" t="n"/>
      <c r="H486" s="143" t="n"/>
      <c r="I486" s="143" t="n"/>
      <c r="J486" s="143" t="n"/>
      <c r="K486" s="143" t="n"/>
      <c r="L486" s="143" t="n"/>
      <c r="M486" s="143" t="n"/>
      <c r="N486" s="143" t="n"/>
      <c r="O486" s="143" t="n"/>
      <c r="P486" s="143" t="n"/>
      <c r="Q486" s="143" t="n"/>
      <c r="R486" s="143" t="n"/>
      <c r="S486" s="143" t="n"/>
      <c r="T486" s="143" t="n"/>
      <c r="U486" s="143" t="n"/>
      <c r="V486" s="143" t="n"/>
      <c r="W486" s="143" t="n"/>
      <c r="X486" s="143" t="n"/>
      <c r="Y486" s="143" t="n"/>
      <c r="Z486" s="143" t="n"/>
    </row>
    <row r="487" ht="19.5" customHeight="1" s="398">
      <c r="A487" s="149" t="n"/>
      <c r="B487" s="143" t="n"/>
      <c r="C487" s="143" t="n"/>
      <c r="D487" s="143" t="n"/>
      <c r="E487" s="143" t="n"/>
      <c r="F487" s="143" t="n"/>
      <c r="G487" s="143" t="n"/>
      <c r="H487" s="143" t="n"/>
      <c r="I487" s="143" t="n"/>
      <c r="J487" s="143" t="n"/>
      <c r="K487" s="143" t="n"/>
      <c r="L487" s="143" t="n"/>
      <c r="M487" s="143" t="n"/>
      <c r="N487" s="143" t="n"/>
      <c r="O487" s="143" t="n"/>
      <c r="P487" s="143" t="n"/>
      <c r="Q487" s="143" t="n"/>
      <c r="R487" s="143" t="n"/>
      <c r="S487" s="143" t="n"/>
      <c r="T487" s="143" t="n"/>
      <c r="U487" s="143" t="n"/>
      <c r="V487" s="143" t="n"/>
      <c r="W487" s="143" t="n"/>
      <c r="X487" s="143" t="n"/>
      <c r="Y487" s="143" t="n"/>
      <c r="Z487" s="143" t="n"/>
    </row>
    <row r="488" ht="19.5" customHeight="1" s="398">
      <c r="A488" s="149" t="n"/>
      <c r="B488" s="143" t="n"/>
      <c r="C488" s="143" t="n"/>
      <c r="D488" s="143" t="n"/>
      <c r="E488" s="143" t="n"/>
      <c r="F488" s="143" t="n"/>
      <c r="G488" s="143" t="n"/>
      <c r="H488" s="143" t="n"/>
      <c r="I488" s="143" t="n"/>
      <c r="J488" s="143" t="n"/>
      <c r="K488" s="143" t="n"/>
      <c r="L488" s="143" t="n"/>
      <c r="M488" s="143" t="n"/>
      <c r="N488" s="143" t="n"/>
      <c r="O488" s="143" t="n"/>
      <c r="P488" s="143" t="n"/>
      <c r="Q488" s="143" t="n"/>
      <c r="R488" s="143" t="n"/>
      <c r="S488" s="143" t="n"/>
      <c r="T488" s="143" t="n"/>
      <c r="U488" s="143" t="n"/>
      <c r="V488" s="143" t="n"/>
      <c r="W488" s="143" t="n"/>
      <c r="X488" s="143" t="n"/>
      <c r="Y488" s="143" t="n"/>
      <c r="Z488" s="143" t="n"/>
    </row>
    <row r="489" ht="19.5" customHeight="1" s="398">
      <c r="A489" s="149" t="n"/>
      <c r="B489" s="143" t="n"/>
      <c r="C489" s="143" t="n"/>
      <c r="D489" s="143" t="n"/>
      <c r="E489" s="143" t="n"/>
      <c r="F489" s="143" t="n"/>
      <c r="G489" s="143" t="n"/>
      <c r="H489" s="143" t="n"/>
      <c r="I489" s="143" t="n"/>
      <c r="J489" s="143" t="n"/>
      <c r="K489" s="143" t="n"/>
      <c r="L489" s="143" t="n"/>
      <c r="M489" s="143" t="n"/>
      <c r="N489" s="143" t="n"/>
      <c r="O489" s="143" t="n"/>
      <c r="P489" s="143" t="n"/>
      <c r="Q489" s="143" t="n"/>
      <c r="R489" s="143" t="n"/>
      <c r="S489" s="143" t="n"/>
      <c r="T489" s="143" t="n"/>
      <c r="U489" s="143" t="n"/>
      <c r="V489" s="143" t="n"/>
      <c r="W489" s="143" t="n"/>
      <c r="X489" s="143" t="n"/>
      <c r="Y489" s="143" t="n"/>
      <c r="Z489" s="143" t="n"/>
    </row>
    <row r="490" ht="19.5" customHeight="1" s="398">
      <c r="A490" s="149" t="n"/>
      <c r="B490" s="143" t="n"/>
      <c r="C490" s="143" t="n"/>
      <c r="D490" s="143" t="n"/>
      <c r="E490" s="143" t="n"/>
      <c r="F490" s="143" t="n"/>
      <c r="G490" s="143" t="n"/>
      <c r="H490" s="143" t="n"/>
      <c r="I490" s="143" t="n"/>
      <c r="J490" s="143" t="n"/>
      <c r="K490" s="143" t="n"/>
      <c r="L490" s="143" t="n"/>
      <c r="M490" s="143" t="n"/>
      <c r="N490" s="143" t="n"/>
      <c r="O490" s="143" t="n"/>
      <c r="P490" s="143" t="n"/>
      <c r="Q490" s="143" t="n"/>
      <c r="R490" s="143" t="n"/>
      <c r="S490" s="143" t="n"/>
      <c r="T490" s="143" t="n"/>
      <c r="U490" s="143" t="n"/>
      <c r="V490" s="143" t="n"/>
      <c r="W490" s="143" t="n"/>
      <c r="X490" s="143" t="n"/>
      <c r="Y490" s="143" t="n"/>
      <c r="Z490" s="143" t="n"/>
    </row>
    <row r="491" ht="19.5" customHeight="1" s="398">
      <c r="A491" s="149" t="n"/>
      <c r="B491" s="143" t="n"/>
      <c r="C491" s="143" t="n"/>
      <c r="D491" s="143" t="n"/>
      <c r="E491" s="143" t="n"/>
      <c r="F491" s="143" t="n"/>
      <c r="G491" s="143" t="n"/>
      <c r="H491" s="143" t="n"/>
      <c r="I491" s="143" t="n"/>
      <c r="J491" s="143" t="n"/>
      <c r="K491" s="143" t="n"/>
      <c r="L491" s="143" t="n"/>
      <c r="M491" s="143" t="n"/>
      <c r="N491" s="143" t="n"/>
      <c r="O491" s="143" t="n"/>
      <c r="P491" s="143" t="n"/>
      <c r="Q491" s="143" t="n"/>
      <c r="R491" s="143" t="n"/>
      <c r="S491" s="143" t="n"/>
      <c r="T491" s="143" t="n"/>
      <c r="U491" s="143" t="n"/>
      <c r="V491" s="143" t="n"/>
      <c r="W491" s="143" t="n"/>
      <c r="X491" s="143" t="n"/>
      <c r="Y491" s="143" t="n"/>
      <c r="Z491" s="143" t="n"/>
    </row>
    <row r="492" ht="19.5" customHeight="1" s="398">
      <c r="A492" s="149" t="n"/>
      <c r="B492" s="143" t="n"/>
      <c r="C492" s="143" t="n"/>
      <c r="D492" s="143" t="n"/>
      <c r="E492" s="143" t="n"/>
      <c r="F492" s="143" t="n"/>
      <c r="G492" s="143" t="n"/>
      <c r="H492" s="143" t="n"/>
      <c r="I492" s="143" t="n"/>
      <c r="J492" s="143" t="n"/>
      <c r="K492" s="143" t="n"/>
      <c r="L492" s="143" t="n"/>
      <c r="M492" s="143" t="n"/>
      <c r="N492" s="143" t="n"/>
      <c r="O492" s="143" t="n"/>
      <c r="P492" s="143" t="n"/>
      <c r="Q492" s="143" t="n"/>
      <c r="R492" s="143" t="n"/>
      <c r="S492" s="143" t="n"/>
      <c r="T492" s="143" t="n"/>
      <c r="U492" s="143" t="n"/>
      <c r="V492" s="143" t="n"/>
      <c r="W492" s="143" t="n"/>
      <c r="X492" s="143" t="n"/>
      <c r="Y492" s="143" t="n"/>
      <c r="Z492" s="143" t="n"/>
    </row>
    <row r="493" ht="19.5" customHeight="1" s="398">
      <c r="A493" s="149" t="n"/>
      <c r="B493" s="143" t="n"/>
      <c r="C493" s="143" t="n"/>
      <c r="D493" s="143" t="n"/>
      <c r="E493" s="143" t="n"/>
      <c r="F493" s="143" t="n"/>
      <c r="G493" s="143" t="n"/>
      <c r="H493" s="143" t="n"/>
      <c r="I493" s="143" t="n"/>
      <c r="J493" s="143" t="n"/>
      <c r="K493" s="143" t="n"/>
      <c r="L493" s="143" t="n"/>
      <c r="M493" s="143" t="n"/>
      <c r="N493" s="143" t="n"/>
      <c r="O493" s="143" t="n"/>
      <c r="P493" s="143" t="n"/>
      <c r="Q493" s="143" t="n"/>
      <c r="R493" s="143" t="n"/>
      <c r="S493" s="143" t="n"/>
      <c r="T493" s="143" t="n"/>
      <c r="U493" s="143" t="n"/>
      <c r="V493" s="143" t="n"/>
      <c r="W493" s="143" t="n"/>
      <c r="X493" s="143" t="n"/>
      <c r="Y493" s="143" t="n"/>
      <c r="Z493" s="143" t="n"/>
    </row>
    <row r="494" ht="19.5" customHeight="1" s="398">
      <c r="A494" s="149" t="n"/>
      <c r="B494" s="143" t="n"/>
      <c r="C494" s="143" t="n"/>
      <c r="D494" s="143" t="n"/>
      <c r="E494" s="143" t="n"/>
      <c r="F494" s="143" t="n"/>
      <c r="G494" s="143" t="n"/>
      <c r="H494" s="143" t="n"/>
      <c r="I494" s="143" t="n"/>
      <c r="J494" s="143" t="n"/>
      <c r="K494" s="143" t="n"/>
      <c r="L494" s="143" t="n"/>
      <c r="M494" s="143" t="n"/>
      <c r="N494" s="143" t="n"/>
      <c r="O494" s="143" t="n"/>
      <c r="P494" s="143" t="n"/>
      <c r="Q494" s="143" t="n"/>
      <c r="R494" s="143" t="n"/>
      <c r="S494" s="143" t="n"/>
      <c r="T494" s="143" t="n"/>
      <c r="U494" s="143" t="n"/>
      <c r="V494" s="143" t="n"/>
      <c r="W494" s="143" t="n"/>
      <c r="X494" s="143" t="n"/>
      <c r="Y494" s="143" t="n"/>
      <c r="Z494" s="143" t="n"/>
    </row>
    <row r="495" ht="19.5" customHeight="1" s="398">
      <c r="A495" s="149" t="n"/>
      <c r="B495" s="143" t="n"/>
      <c r="C495" s="143" t="n"/>
      <c r="D495" s="143" t="n"/>
      <c r="E495" s="143" t="n"/>
      <c r="F495" s="143" t="n"/>
      <c r="G495" s="143" t="n"/>
      <c r="H495" s="143" t="n"/>
      <c r="I495" s="143" t="n"/>
      <c r="J495" s="143" t="n"/>
      <c r="K495" s="143" t="n"/>
      <c r="L495" s="143" t="n"/>
      <c r="M495" s="143" t="n"/>
      <c r="N495" s="143" t="n"/>
      <c r="O495" s="143" t="n"/>
      <c r="P495" s="143" t="n"/>
      <c r="Q495" s="143" t="n"/>
      <c r="R495" s="143" t="n"/>
      <c r="S495" s="143" t="n"/>
      <c r="T495" s="143" t="n"/>
      <c r="U495" s="143" t="n"/>
      <c r="V495" s="143" t="n"/>
      <c r="W495" s="143" t="n"/>
      <c r="X495" s="143" t="n"/>
      <c r="Y495" s="143" t="n"/>
      <c r="Z495" s="143" t="n"/>
    </row>
    <row r="496" ht="19.5" customHeight="1" s="398">
      <c r="A496" s="149" t="n"/>
      <c r="B496" s="143" t="n"/>
      <c r="C496" s="143" t="n"/>
      <c r="D496" s="143" t="n"/>
      <c r="E496" s="143" t="n"/>
      <c r="F496" s="143" t="n"/>
      <c r="G496" s="143" t="n"/>
      <c r="H496" s="143" t="n"/>
      <c r="I496" s="143" t="n"/>
      <c r="J496" s="143" t="n"/>
      <c r="K496" s="143" t="n"/>
      <c r="L496" s="143" t="n"/>
      <c r="M496" s="143" t="n"/>
      <c r="N496" s="143" t="n"/>
      <c r="O496" s="143" t="n"/>
      <c r="P496" s="143" t="n"/>
      <c r="Q496" s="143" t="n"/>
      <c r="R496" s="143" t="n"/>
      <c r="S496" s="143" t="n"/>
      <c r="T496" s="143" t="n"/>
      <c r="U496" s="143" t="n"/>
      <c r="V496" s="143" t="n"/>
      <c r="W496" s="143" t="n"/>
      <c r="X496" s="143" t="n"/>
      <c r="Y496" s="143" t="n"/>
      <c r="Z496" s="143" t="n"/>
    </row>
    <row r="497" ht="19.5" customHeight="1" s="398">
      <c r="A497" s="149" t="n"/>
      <c r="B497" s="143" t="n"/>
      <c r="C497" s="143" t="n"/>
      <c r="D497" s="143" t="n"/>
      <c r="E497" s="143" t="n"/>
      <c r="F497" s="143" t="n"/>
      <c r="G497" s="143" t="n"/>
      <c r="H497" s="143" t="n"/>
      <c r="I497" s="143" t="n"/>
      <c r="J497" s="143" t="n"/>
      <c r="K497" s="143" t="n"/>
      <c r="L497" s="143" t="n"/>
      <c r="M497" s="143" t="n"/>
      <c r="N497" s="143" t="n"/>
      <c r="O497" s="143" t="n"/>
      <c r="P497" s="143" t="n"/>
      <c r="Q497" s="143" t="n"/>
      <c r="R497" s="143" t="n"/>
      <c r="S497" s="143" t="n"/>
      <c r="T497" s="143" t="n"/>
      <c r="U497" s="143" t="n"/>
      <c r="V497" s="143" t="n"/>
      <c r="W497" s="143" t="n"/>
      <c r="X497" s="143" t="n"/>
      <c r="Y497" s="143" t="n"/>
      <c r="Z497" s="143" t="n"/>
    </row>
    <row r="498" ht="19.5" customHeight="1" s="398">
      <c r="A498" s="149" t="n"/>
      <c r="B498" s="143" t="n"/>
      <c r="C498" s="143" t="n"/>
      <c r="D498" s="143" t="n"/>
      <c r="E498" s="143" t="n"/>
      <c r="F498" s="143" t="n"/>
      <c r="G498" s="143" t="n"/>
      <c r="H498" s="143" t="n"/>
      <c r="I498" s="143" t="n"/>
      <c r="J498" s="143" t="n"/>
      <c r="K498" s="143" t="n"/>
      <c r="L498" s="143" t="n"/>
      <c r="M498" s="143" t="n"/>
      <c r="N498" s="143" t="n"/>
      <c r="O498" s="143" t="n"/>
      <c r="P498" s="143" t="n"/>
      <c r="Q498" s="143" t="n"/>
      <c r="R498" s="143" t="n"/>
      <c r="S498" s="143" t="n"/>
      <c r="T498" s="143" t="n"/>
      <c r="U498" s="143" t="n"/>
      <c r="V498" s="143" t="n"/>
      <c r="W498" s="143" t="n"/>
      <c r="X498" s="143" t="n"/>
      <c r="Y498" s="143" t="n"/>
      <c r="Z498" s="143" t="n"/>
    </row>
    <row r="499" ht="19.5" customHeight="1" s="398">
      <c r="A499" s="149" t="n"/>
      <c r="B499" s="143" t="n"/>
      <c r="C499" s="143" t="n"/>
      <c r="D499" s="143" t="n"/>
      <c r="E499" s="143" t="n"/>
      <c r="F499" s="143" t="n"/>
      <c r="G499" s="143" t="n"/>
      <c r="H499" s="143" t="n"/>
      <c r="I499" s="143" t="n"/>
      <c r="J499" s="143" t="n"/>
      <c r="K499" s="143" t="n"/>
      <c r="L499" s="143" t="n"/>
      <c r="M499" s="143" t="n"/>
      <c r="N499" s="143" t="n"/>
      <c r="O499" s="143" t="n"/>
      <c r="P499" s="143" t="n"/>
      <c r="Q499" s="143" t="n"/>
      <c r="R499" s="143" t="n"/>
      <c r="S499" s="143" t="n"/>
      <c r="T499" s="143" t="n"/>
      <c r="U499" s="143" t="n"/>
      <c r="V499" s="143" t="n"/>
      <c r="W499" s="143" t="n"/>
      <c r="X499" s="143" t="n"/>
      <c r="Y499" s="143" t="n"/>
      <c r="Z499" s="143" t="n"/>
    </row>
    <row r="500" ht="19.5" customHeight="1" s="398">
      <c r="A500" s="149" t="n"/>
      <c r="B500" s="143" t="n"/>
      <c r="C500" s="143" t="n"/>
      <c r="D500" s="143" t="n"/>
      <c r="E500" s="143" t="n"/>
      <c r="F500" s="143" t="n"/>
      <c r="G500" s="143" t="n"/>
      <c r="H500" s="143" t="n"/>
      <c r="I500" s="143" t="n"/>
      <c r="J500" s="143" t="n"/>
      <c r="K500" s="143" t="n"/>
      <c r="L500" s="143" t="n"/>
      <c r="M500" s="143" t="n"/>
      <c r="N500" s="143" t="n"/>
      <c r="O500" s="143" t="n"/>
      <c r="P500" s="143" t="n"/>
      <c r="Q500" s="143" t="n"/>
      <c r="R500" s="143" t="n"/>
      <c r="S500" s="143" t="n"/>
      <c r="T500" s="143" t="n"/>
      <c r="U500" s="143" t="n"/>
      <c r="V500" s="143" t="n"/>
      <c r="W500" s="143" t="n"/>
      <c r="X500" s="143" t="n"/>
      <c r="Y500" s="143" t="n"/>
      <c r="Z500" s="143" t="n"/>
    </row>
    <row r="501" ht="19.5" customHeight="1" s="398">
      <c r="A501" s="149" t="n"/>
      <c r="B501" s="143" t="n"/>
      <c r="C501" s="143" t="n"/>
      <c r="D501" s="143" t="n"/>
      <c r="E501" s="143" t="n"/>
      <c r="F501" s="143" t="n"/>
      <c r="G501" s="143" t="n"/>
      <c r="H501" s="143" t="n"/>
      <c r="I501" s="143" t="n"/>
      <c r="J501" s="143" t="n"/>
      <c r="K501" s="143" t="n"/>
      <c r="L501" s="143" t="n"/>
      <c r="M501" s="143" t="n"/>
      <c r="N501" s="143" t="n"/>
      <c r="O501" s="143" t="n"/>
      <c r="P501" s="143" t="n"/>
      <c r="Q501" s="143" t="n"/>
      <c r="R501" s="143" t="n"/>
      <c r="S501" s="143" t="n"/>
      <c r="T501" s="143" t="n"/>
      <c r="U501" s="143" t="n"/>
      <c r="V501" s="143" t="n"/>
      <c r="W501" s="143" t="n"/>
      <c r="X501" s="143" t="n"/>
      <c r="Y501" s="143" t="n"/>
      <c r="Z501" s="143" t="n"/>
    </row>
    <row r="502" ht="19.5" customHeight="1" s="398">
      <c r="A502" s="149" t="n"/>
      <c r="B502" s="143" t="n"/>
      <c r="C502" s="143" t="n"/>
      <c r="D502" s="143" t="n"/>
      <c r="E502" s="143" t="n"/>
      <c r="F502" s="143" t="n"/>
      <c r="G502" s="143" t="n"/>
      <c r="H502" s="143" t="n"/>
      <c r="I502" s="143" t="n"/>
      <c r="J502" s="143" t="n"/>
      <c r="K502" s="143" t="n"/>
      <c r="L502" s="143" t="n"/>
      <c r="M502" s="143" t="n"/>
      <c r="N502" s="143" t="n"/>
      <c r="O502" s="143" t="n"/>
      <c r="P502" s="143" t="n"/>
      <c r="Q502" s="143" t="n"/>
      <c r="R502" s="143" t="n"/>
      <c r="S502" s="143" t="n"/>
      <c r="T502" s="143" t="n"/>
      <c r="U502" s="143" t="n"/>
      <c r="V502" s="143" t="n"/>
      <c r="W502" s="143" t="n"/>
      <c r="X502" s="143" t="n"/>
      <c r="Y502" s="143" t="n"/>
      <c r="Z502" s="143" t="n"/>
    </row>
    <row r="503" ht="19.5" customHeight="1" s="398">
      <c r="A503" s="149" t="n"/>
      <c r="B503" s="143" t="n"/>
      <c r="C503" s="143" t="n"/>
      <c r="D503" s="143" t="n"/>
      <c r="E503" s="143" t="n"/>
      <c r="F503" s="143" t="n"/>
      <c r="G503" s="143" t="n"/>
      <c r="H503" s="143" t="n"/>
      <c r="I503" s="143" t="n"/>
      <c r="J503" s="143" t="n"/>
      <c r="K503" s="143" t="n"/>
      <c r="L503" s="143" t="n"/>
      <c r="M503" s="143" t="n"/>
      <c r="N503" s="143" t="n"/>
      <c r="O503" s="143" t="n"/>
      <c r="P503" s="143" t="n"/>
      <c r="Q503" s="143" t="n"/>
      <c r="R503" s="143" t="n"/>
      <c r="S503" s="143" t="n"/>
      <c r="T503" s="143" t="n"/>
      <c r="U503" s="143" t="n"/>
      <c r="V503" s="143" t="n"/>
      <c r="W503" s="143" t="n"/>
      <c r="X503" s="143" t="n"/>
      <c r="Y503" s="143" t="n"/>
      <c r="Z503" s="143" t="n"/>
    </row>
    <row r="504" ht="19.5" customHeight="1" s="398">
      <c r="A504" s="149" t="n"/>
      <c r="B504" s="143" t="n"/>
      <c r="C504" s="143" t="n"/>
      <c r="D504" s="143" t="n"/>
      <c r="E504" s="143" t="n"/>
      <c r="F504" s="143" t="n"/>
      <c r="G504" s="143" t="n"/>
      <c r="H504" s="143" t="n"/>
      <c r="I504" s="143" t="n"/>
      <c r="J504" s="143" t="n"/>
      <c r="K504" s="143" t="n"/>
      <c r="L504" s="143" t="n"/>
      <c r="M504" s="143" t="n"/>
      <c r="N504" s="143" t="n"/>
      <c r="O504" s="143" t="n"/>
      <c r="P504" s="143" t="n"/>
      <c r="Q504" s="143" t="n"/>
      <c r="R504" s="143" t="n"/>
      <c r="S504" s="143" t="n"/>
      <c r="T504" s="143" t="n"/>
      <c r="U504" s="143" t="n"/>
      <c r="V504" s="143" t="n"/>
      <c r="W504" s="143" t="n"/>
      <c r="X504" s="143" t="n"/>
      <c r="Y504" s="143" t="n"/>
      <c r="Z504" s="143" t="n"/>
    </row>
    <row r="505" ht="19.5" customHeight="1" s="398">
      <c r="A505" s="149" t="n"/>
      <c r="B505" s="143" t="n"/>
      <c r="C505" s="143" t="n"/>
      <c r="D505" s="143" t="n"/>
      <c r="E505" s="143" t="n"/>
      <c r="F505" s="143" t="n"/>
      <c r="G505" s="143" t="n"/>
      <c r="H505" s="143" t="n"/>
      <c r="I505" s="143" t="n"/>
      <c r="J505" s="143" t="n"/>
      <c r="K505" s="143" t="n"/>
      <c r="L505" s="143" t="n"/>
      <c r="M505" s="143" t="n"/>
      <c r="N505" s="143" t="n"/>
      <c r="O505" s="143" t="n"/>
      <c r="P505" s="143" t="n"/>
      <c r="Q505" s="143" t="n"/>
      <c r="R505" s="143" t="n"/>
      <c r="S505" s="143" t="n"/>
      <c r="T505" s="143" t="n"/>
      <c r="U505" s="143" t="n"/>
      <c r="V505" s="143" t="n"/>
      <c r="W505" s="143" t="n"/>
      <c r="X505" s="143" t="n"/>
      <c r="Y505" s="143" t="n"/>
      <c r="Z505" s="143" t="n"/>
    </row>
    <row r="506" ht="19.5" customHeight="1" s="398">
      <c r="A506" s="149" t="n"/>
      <c r="B506" s="143" t="n"/>
      <c r="C506" s="143" t="n"/>
      <c r="D506" s="143" t="n"/>
      <c r="E506" s="143" t="n"/>
      <c r="F506" s="143" t="n"/>
      <c r="G506" s="143" t="n"/>
      <c r="H506" s="143" t="n"/>
      <c r="I506" s="143" t="n"/>
      <c r="J506" s="143" t="n"/>
      <c r="K506" s="143" t="n"/>
      <c r="L506" s="143" t="n"/>
      <c r="M506" s="143" t="n"/>
      <c r="N506" s="143" t="n"/>
      <c r="O506" s="143" t="n"/>
      <c r="P506" s="143" t="n"/>
      <c r="Q506" s="143" t="n"/>
      <c r="R506" s="143" t="n"/>
      <c r="S506" s="143" t="n"/>
      <c r="T506" s="143" t="n"/>
      <c r="U506" s="143" t="n"/>
      <c r="V506" s="143" t="n"/>
      <c r="W506" s="143" t="n"/>
      <c r="X506" s="143" t="n"/>
      <c r="Y506" s="143" t="n"/>
      <c r="Z506" s="143" t="n"/>
    </row>
    <row r="507" ht="19.5" customHeight="1" s="398">
      <c r="A507" s="149" t="n"/>
      <c r="B507" s="143" t="n"/>
      <c r="C507" s="143" t="n"/>
      <c r="D507" s="143" t="n"/>
      <c r="E507" s="143" t="n"/>
      <c r="F507" s="143" t="n"/>
      <c r="G507" s="143" t="n"/>
      <c r="H507" s="143" t="n"/>
      <c r="I507" s="143" t="n"/>
      <c r="J507" s="143" t="n"/>
      <c r="K507" s="143" t="n"/>
      <c r="L507" s="143" t="n"/>
      <c r="M507" s="143" t="n"/>
      <c r="N507" s="143" t="n"/>
      <c r="O507" s="143" t="n"/>
      <c r="P507" s="143" t="n"/>
      <c r="Q507" s="143" t="n"/>
      <c r="R507" s="143" t="n"/>
      <c r="S507" s="143" t="n"/>
      <c r="T507" s="143" t="n"/>
      <c r="U507" s="143" t="n"/>
      <c r="V507" s="143" t="n"/>
      <c r="W507" s="143" t="n"/>
      <c r="X507" s="143" t="n"/>
      <c r="Y507" s="143" t="n"/>
      <c r="Z507" s="143" t="n"/>
    </row>
    <row r="508" ht="19.5" customHeight="1" s="398">
      <c r="A508" s="149" t="n"/>
      <c r="B508" s="143" t="n"/>
      <c r="C508" s="143" t="n"/>
      <c r="D508" s="143" t="n"/>
      <c r="E508" s="143" t="n"/>
      <c r="F508" s="143" t="n"/>
      <c r="G508" s="143" t="n"/>
      <c r="H508" s="143" t="n"/>
      <c r="I508" s="143" t="n"/>
      <c r="J508" s="143" t="n"/>
      <c r="K508" s="143" t="n"/>
      <c r="L508" s="143" t="n"/>
      <c r="M508" s="143" t="n"/>
      <c r="N508" s="143" t="n"/>
      <c r="O508" s="143" t="n"/>
      <c r="P508" s="143" t="n"/>
      <c r="Q508" s="143" t="n"/>
      <c r="R508" s="143" t="n"/>
      <c r="S508" s="143" t="n"/>
      <c r="T508" s="143" t="n"/>
      <c r="U508" s="143" t="n"/>
      <c r="V508" s="143" t="n"/>
      <c r="W508" s="143" t="n"/>
      <c r="X508" s="143" t="n"/>
      <c r="Y508" s="143" t="n"/>
      <c r="Z508" s="143" t="n"/>
    </row>
    <row r="509" ht="19.5" customHeight="1" s="398">
      <c r="A509" s="149" t="n"/>
      <c r="B509" s="143" t="n"/>
      <c r="C509" s="143" t="n"/>
      <c r="D509" s="143" t="n"/>
      <c r="E509" s="143" t="n"/>
      <c r="F509" s="143" t="n"/>
      <c r="G509" s="143" t="n"/>
      <c r="H509" s="143" t="n"/>
      <c r="I509" s="143" t="n"/>
      <c r="J509" s="143" t="n"/>
      <c r="K509" s="143" t="n"/>
      <c r="L509" s="143" t="n"/>
      <c r="M509" s="143" t="n"/>
      <c r="N509" s="143" t="n"/>
      <c r="O509" s="143" t="n"/>
      <c r="P509" s="143" t="n"/>
      <c r="Q509" s="143" t="n"/>
      <c r="R509" s="143" t="n"/>
      <c r="S509" s="143" t="n"/>
      <c r="T509" s="143" t="n"/>
      <c r="U509" s="143" t="n"/>
      <c r="V509" s="143" t="n"/>
      <c r="W509" s="143" t="n"/>
      <c r="X509" s="143" t="n"/>
      <c r="Y509" s="143" t="n"/>
      <c r="Z509" s="143" t="n"/>
    </row>
    <row r="510" ht="19.5" customHeight="1" s="398">
      <c r="A510" s="149" t="n"/>
      <c r="B510" s="143" t="n"/>
      <c r="C510" s="143" t="n"/>
      <c r="D510" s="143" t="n"/>
      <c r="E510" s="143" t="n"/>
      <c r="F510" s="143" t="n"/>
      <c r="G510" s="143" t="n"/>
      <c r="H510" s="143" t="n"/>
      <c r="I510" s="143" t="n"/>
      <c r="J510" s="143" t="n"/>
      <c r="K510" s="143" t="n"/>
      <c r="L510" s="143" t="n"/>
      <c r="M510" s="143" t="n"/>
      <c r="N510" s="143" t="n"/>
      <c r="O510" s="143" t="n"/>
      <c r="P510" s="143" t="n"/>
      <c r="Q510" s="143" t="n"/>
      <c r="R510" s="143" t="n"/>
      <c r="S510" s="143" t="n"/>
      <c r="T510" s="143" t="n"/>
      <c r="U510" s="143" t="n"/>
      <c r="V510" s="143" t="n"/>
      <c r="W510" s="143" t="n"/>
      <c r="X510" s="143" t="n"/>
      <c r="Y510" s="143" t="n"/>
      <c r="Z510" s="143" t="n"/>
    </row>
    <row r="511" ht="19.5" customHeight="1" s="398">
      <c r="A511" s="149" t="n"/>
      <c r="B511" s="143" t="n"/>
      <c r="C511" s="143" t="n"/>
      <c r="D511" s="143" t="n"/>
      <c r="E511" s="143" t="n"/>
      <c r="F511" s="143" t="n"/>
      <c r="G511" s="143" t="n"/>
      <c r="H511" s="143" t="n"/>
      <c r="I511" s="143" t="n"/>
      <c r="J511" s="143" t="n"/>
      <c r="K511" s="143" t="n"/>
      <c r="L511" s="143" t="n"/>
      <c r="M511" s="143" t="n"/>
      <c r="N511" s="143" t="n"/>
      <c r="O511" s="143" t="n"/>
      <c r="P511" s="143" t="n"/>
      <c r="Q511" s="143" t="n"/>
      <c r="R511" s="143" t="n"/>
      <c r="S511" s="143" t="n"/>
      <c r="T511" s="143" t="n"/>
      <c r="U511" s="143" t="n"/>
      <c r="V511" s="143" t="n"/>
      <c r="W511" s="143" t="n"/>
      <c r="X511" s="143" t="n"/>
      <c r="Y511" s="143" t="n"/>
      <c r="Z511" s="143" t="n"/>
    </row>
    <row r="512" ht="19.5" customHeight="1" s="398">
      <c r="A512" s="149" t="n"/>
      <c r="B512" s="143" t="n"/>
      <c r="C512" s="143" t="n"/>
      <c r="D512" s="143" t="n"/>
      <c r="E512" s="143" t="n"/>
      <c r="F512" s="143" t="n"/>
      <c r="G512" s="143" t="n"/>
      <c r="H512" s="143" t="n"/>
      <c r="I512" s="143" t="n"/>
      <c r="J512" s="143" t="n"/>
      <c r="K512" s="143" t="n"/>
      <c r="L512" s="143" t="n"/>
      <c r="M512" s="143" t="n"/>
      <c r="N512" s="143" t="n"/>
      <c r="O512" s="143" t="n"/>
      <c r="P512" s="143" t="n"/>
      <c r="Q512" s="143" t="n"/>
      <c r="R512" s="143" t="n"/>
      <c r="S512" s="143" t="n"/>
      <c r="T512" s="143" t="n"/>
      <c r="U512" s="143" t="n"/>
      <c r="V512" s="143" t="n"/>
      <c r="W512" s="143" t="n"/>
      <c r="X512" s="143" t="n"/>
      <c r="Y512" s="143" t="n"/>
      <c r="Z512" s="143" t="n"/>
    </row>
    <row r="513" ht="19.5" customHeight="1" s="398">
      <c r="A513" s="149" t="n"/>
      <c r="B513" s="143" t="n"/>
      <c r="C513" s="143" t="n"/>
      <c r="D513" s="143" t="n"/>
      <c r="E513" s="143" t="n"/>
      <c r="F513" s="143" t="n"/>
      <c r="G513" s="143" t="n"/>
      <c r="H513" s="143" t="n"/>
      <c r="I513" s="143" t="n"/>
      <c r="J513" s="143" t="n"/>
      <c r="K513" s="143" t="n"/>
      <c r="L513" s="143" t="n"/>
      <c r="M513" s="143" t="n"/>
      <c r="N513" s="143" t="n"/>
      <c r="O513" s="143" t="n"/>
      <c r="P513" s="143" t="n"/>
      <c r="Q513" s="143" t="n"/>
      <c r="R513" s="143" t="n"/>
      <c r="S513" s="143" t="n"/>
      <c r="T513" s="143" t="n"/>
      <c r="U513" s="143" t="n"/>
      <c r="V513" s="143" t="n"/>
      <c r="W513" s="143" t="n"/>
      <c r="X513" s="143" t="n"/>
      <c r="Y513" s="143" t="n"/>
      <c r="Z513" s="143" t="n"/>
    </row>
    <row r="514" ht="19.5" customHeight="1" s="398">
      <c r="A514" s="149" t="n"/>
      <c r="B514" s="143" t="n"/>
      <c r="C514" s="143" t="n"/>
      <c r="D514" s="143" t="n"/>
      <c r="E514" s="143" t="n"/>
      <c r="F514" s="143" t="n"/>
      <c r="G514" s="143" t="n"/>
      <c r="H514" s="143" t="n"/>
      <c r="I514" s="143" t="n"/>
      <c r="J514" s="143" t="n"/>
      <c r="K514" s="143" t="n"/>
      <c r="L514" s="143" t="n"/>
      <c r="M514" s="143" t="n"/>
      <c r="N514" s="143" t="n"/>
      <c r="O514" s="143" t="n"/>
      <c r="P514" s="143" t="n"/>
      <c r="Q514" s="143" t="n"/>
      <c r="R514" s="143" t="n"/>
      <c r="S514" s="143" t="n"/>
      <c r="T514" s="143" t="n"/>
      <c r="U514" s="143" t="n"/>
      <c r="V514" s="143" t="n"/>
      <c r="W514" s="143" t="n"/>
      <c r="X514" s="143" t="n"/>
      <c r="Y514" s="143" t="n"/>
      <c r="Z514" s="143" t="n"/>
    </row>
    <row r="515" ht="19.5" customHeight="1" s="398">
      <c r="A515" s="149" t="n"/>
      <c r="B515" s="143" t="n"/>
      <c r="C515" s="143" t="n"/>
      <c r="D515" s="143" t="n"/>
      <c r="E515" s="143" t="n"/>
      <c r="F515" s="143" t="n"/>
      <c r="G515" s="143" t="n"/>
      <c r="H515" s="143" t="n"/>
      <c r="I515" s="143" t="n"/>
      <c r="J515" s="143" t="n"/>
      <c r="K515" s="143" t="n"/>
      <c r="L515" s="143" t="n"/>
      <c r="M515" s="143" t="n"/>
      <c r="N515" s="143" t="n"/>
      <c r="O515" s="143" t="n"/>
      <c r="P515" s="143" t="n"/>
      <c r="Q515" s="143" t="n"/>
      <c r="R515" s="143" t="n"/>
      <c r="S515" s="143" t="n"/>
      <c r="T515" s="143" t="n"/>
      <c r="U515" s="143" t="n"/>
      <c r="V515" s="143" t="n"/>
      <c r="W515" s="143" t="n"/>
      <c r="X515" s="143" t="n"/>
      <c r="Y515" s="143" t="n"/>
      <c r="Z515" s="143" t="n"/>
    </row>
    <row r="516" ht="19.5" customHeight="1" s="398">
      <c r="A516" s="149" t="n"/>
      <c r="B516" s="143" t="n"/>
      <c r="C516" s="143" t="n"/>
      <c r="D516" s="143" t="n"/>
      <c r="E516" s="143" t="n"/>
      <c r="F516" s="143" t="n"/>
      <c r="G516" s="143" t="n"/>
      <c r="H516" s="143" t="n"/>
      <c r="I516" s="143" t="n"/>
      <c r="J516" s="143" t="n"/>
      <c r="K516" s="143" t="n"/>
      <c r="L516" s="143" t="n"/>
      <c r="M516" s="143" t="n"/>
      <c r="N516" s="143" t="n"/>
      <c r="O516" s="143" t="n"/>
      <c r="P516" s="143" t="n"/>
      <c r="Q516" s="143" t="n"/>
      <c r="R516" s="143" t="n"/>
      <c r="S516" s="143" t="n"/>
      <c r="T516" s="143" t="n"/>
      <c r="U516" s="143" t="n"/>
      <c r="V516" s="143" t="n"/>
      <c r="W516" s="143" t="n"/>
      <c r="X516" s="143" t="n"/>
      <c r="Y516" s="143" t="n"/>
      <c r="Z516" s="143" t="n"/>
    </row>
    <row r="517" ht="19.5" customHeight="1" s="398">
      <c r="A517" s="149" t="n"/>
      <c r="B517" s="143" t="n"/>
      <c r="C517" s="143" t="n"/>
      <c r="D517" s="143" t="n"/>
      <c r="E517" s="143" t="n"/>
      <c r="F517" s="143" t="n"/>
      <c r="G517" s="143" t="n"/>
      <c r="H517" s="143" t="n"/>
      <c r="I517" s="143" t="n"/>
      <c r="J517" s="143" t="n"/>
      <c r="K517" s="143" t="n"/>
      <c r="L517" s="143" t="n"/>
      <c r="M517" s="143" t="n"/>
      <c r="N517" s="143" t="n"/>
      <c r="O517" s="143" t="n"/>
      <c r="P517" s="143" t="n"/>
      <c r="Q517" s="143" t="n"/>
      <c r="R517" s="143" t="n"/>
      <c r="S517" s="143" t="n"/>
      <c r="T517" s="143" t="n"/>
      <c r="U517" s="143" t="n"/>
      <c r="V517" s="143" t="n"/>
      <c r="W517" s="143" t="n"/>
      <c r="X517" s="143" t="n"/>
      <c r="Y517" s="143" t="n"/>
      <c r="Z517" s="143" t="n"/>
    </row>
    <row r="518" ht="19.5" customHeight="1" s="398">
      <c r="A518" s="149" t="n"/>
      <c r="B518" s="143" t="n"/>
      <c r="C518" s="143" t="n"/>
      <c r="D518" s="143" t="n"/>
      <c r="E518" s="143" t="n"/>
      <c r="F518" s="143" t="n"/>
      <c r="G518" s="143" t="n"/>
      <c r="H518" s="143" t="n"/>
      <c r="I518" s="143" t="n"/>
      <c r="J518" s="143" t="n"/>
      <c r="K518" s="143" t="n"/>
      <c r="L518" s="143" t="n"/>
      <c r="M518" s="143" t="n"/>
      <c r="N518" s="143" t="n"/>
      <c r="O518" s="143" t="n"/>
      <c r="P518" s="143" t="n"/>
      <c r="Q518" s="143" t="n"/>
      <c r="R518" s="143" t="n"/>
      <c r="S518" s="143" t="n"/>
      <c r="T518" s="143" t="n"/>
      <c r="U518" s="143" t="n"/>
      <c r="V518" s="143" t="n"/>
      <c r="W518" s="143" t="n"/>
      <c r="X518" s="143" t="n"/>
      <c r="Y518" s="143" t="n"/>
      <c r="Z518" s="143" t="n"/>
    </row>
    <row r="519" ht="19.5" customHeight="1" s="398">
      <c r="A519" s="149" t="n"/>
      <c r="B519" s="143" t="n"/>
      <c r="C519" s="143" t="n"/>
      <c r="D519" s="143" t="n"/>
      <c r="E519" s="143" t="n"/>
      <c r="F519" s="143" t="n"/>
      <c r="G519" s="143" t="n"/>
      <c r="H519" s="143" t="n"/>
      <c r="I519" s="143" t="n"/>
      <c r="J519" s="143" t="n"/>
      <c r="K519" s="143" t="n"/>
      <c r="L519" s="143" t="n"/>
      <c r="M519" s="143" t="n"/>
      <c r="N519" s="143" t="n"/>
      <c r="O519" s="143" t="n"/>
      <c r="P519" s="143" t="n"/>
      <c r="Q519" s="143" t="n"/>
      <c r="R519" s="143" t="n"/>
      <c r="S519" s="143" t="n"/>
      <c r="T519" s="143" t="n"/>
      <c r="U519" s="143" t="n"/>
      <c r="V519" s="143" t="n"/>
      <c r="W519" s="143" t="n"/>
      <c r="X519" s="143" t="n"/>
      <c r="Y519" s="143" t="n"/>
      <c r="Z519" s="143" t="n"/>
    </row>
    <row r="520" ht="19.5" customHeight="1" s="398">
      <c r="A520" s="149" t="n"/>
      <c r="B520" s="143" t="n"/>
      <c r="C520" s="143" t="n"/>
      <c r="D520" s="143" t="n"/>
      <c r="E520" s="143" t="n"/>
      <c r="F520" s="143" t="n"/>
      <c r="G520" s="143" t="n"/>
      <c r="H520" s="143" t="n"/>
      <c r="I520" s="143" t="n"/>
      <c r="J520" s="143" t="n"/>
      <c r="K520" s="143" t="n"/>
      <c r="L520" s="143" t="n"/>
      <c r="M520" s="143" t="n"/>
      <c r="N520" s="143" t="n"/>
      <c r="O520" s="143" t="n"/>
      <c r="P520" s="143" t="n"/>
      <c r="Q520" s="143" t="n"/>
      <c r="R520" s="143" t="n"/>
      <c r="S520" s="143" t="n"/>
      <c r="T520" s="143" t="n"/>
      <c r="U520" s="143" t="n"/>
      <c r="V520" s="143" t="n"/>
      <c r="W520" s="143" t="n"/>
      <c r="X520" s="143" t="n"/>
      <c r="Y520" s="143" t="n"/>
      <c r="Z520" s="143" t="n"/>
    </row>
    <row r="521" ht="19.5" customHeight="1" s="398">
      <c r="A521" s="149" t="n"/>
      <c r="B521" s="143" t="n"/>
      <c r="C521" s="143" t="n"/>
      <c r="D521" s="143" t="n"/>
      <c r="E521" s="143" t="n"/>
      <c r="F521" s="143" t="n"/>
      <c r="G521" s="143" t="n"/>
      <c r="H521" s="143" t="n"/>
      <c r="I521" s="143" t="n"/>
      <c r="J521" s="143" t="n"/>
      <c r="K521" s="143" t="n"/>
      <c r="L521" s="143" t="n"/>
      <c r="M521" s="143" t="n"/>
      <c r="N521" s="143" t="n"/>
      <c r="O521" s="143" t="n"/>
      <c r="P521" s="143" t="n"/>
      <c r="Q521" s="143" t="n"/>
      <c r="R521" s="143" t="n"/>
      <c r="S521" s="143" t="n"/>
      <c r="T521" s="143" t="n"/>
      <c r="U521" s="143" t="n"/>
      <c r="V521" s="143" t="n"/>
      <c r="W521" s="143" t="n"/>
      <c r="X521" s="143" t="n"/>
      <c r="Y521" s="143" t="n"/>
      <c r="Z521" s="143" t="n"/>
    </row>
    <row r="522" ht="19.5" customHeight="1" s="398">
      <c r="A522" s="149" t="n"/>
      <c r="B522" s="143" t="n"/>
      <c r="C522" s="143" t="n"/>
      <c r="D522" s="143" t="n"/>
      <c r="E522" s="143" t="n"/>
      <c r="F522" s="143" t="n"/>
      <c r="G522" s="143" t="n"/>
      <c r="H522" s="143" t="n"/>
      <c r="I522" s="143" t="n"/>
      <c r="J522" s="143" t="n"/>
      <c r="K522" s="143" t="n"/>
      <c r="L522" s="143" t="n"/>
      <c r="M522" s="143" t="n"/>
      <c r="N522" s="143" t="n"/>
      <c r="O522" s="143" t="n"/>
      <c r="P522" s="143" t="n"/>
      <c r="Q522" s="143" t="n"/>
      <c r="R522" s="143" t="n"/>
      <c r="S522" s="143" t="n"/>
      <c r="T522" s="143" t="n"/>
      <c r="U522" s="143" t="n"/>
      <c r="V522" s="143" t="n"/>
      <c r="W522" s="143" t="n"/>
      <c r="X522" s="143" t="n"/>
      <c r="Y522" s="143" t="n"/>
      <c r="Z522" s="143" t="n"/>
    </row>
    <row r="523" ht="19.5" customHeight="1" s="398">
      <c r="A523" s="149" t="n"/>
      <c r="B523" s="143" t="n"/>
      <c r="C523" s="143" t="n"/>
      <c r="D523" s="143" t="n"/>
      <c r="E523" s="143" t="n"/>
      <c r="F523" s="143" t="n"/>
      <c r="G523" s="143" t="n"/>
      <c r="H523" s="143" t="n"/>
      <c r="I523" s="143" t="n"/>
      <c r="J523" s="143" t="n"/>
      <c r="K523" s="143" t="n"/>
      <c r="L523" s="143" t="n"/>
      <c r="M523" s="143" t="n"/>
      <c r="N523" s="143" t="n"/>
      <c r="O523" s="143" t="n"/>
      <c r="P523" s="143" t="n"/>
      <c r="Q523" s="143" t="n"/>
      <c r="R523" s="143" t="n"/>
      <c r="S523" s="143" t="n"/>
      <c r="T523" s="143" t="n"/>
      <c r="U523" s="143" t="n"/>
      <c r="V523" s="143" t="n"/>
      <c r="W523" s="143" t="n"/>
      <c r="X523" s="143" t="n"/>
      <c r="Y523" s="143" t="n"/>
      <c r="Z523" s="143" t="n"/>
    </row>
    <row r="524" ht="19.5" customHeight="1" s="398">
      <c r="A524" s="149" t="n"/>
      <c r="B524" s="143" t="n"/>
      <c r="C524" s="143" t="n"/>
      <c r="D524" s="143" t="n"/>
      <c r="E524" s="143" t="n"/>
      <c r="F524" s="143" t="n"/>
      <c r="G524" s="143" t="n"/>
      <c r="H524" s="143" t="n"/>
      <c r="I524" s="143" t="n"/>
      <c r="J524" s="143" t="n"/>
      <c r="K524" s="143" t="n"/>
      <c r="L524" s="143" t="n"/>
      <c r="M524" s="143" t="n"/>
      <c r="N524" s="143" t="n"/>
      <c r="O524" s="143" t="n"/>
      <c r="P524" s="143" t="n"/>
      <c r="Q524" s="143" t="n"/>
      <c r="R524" s="143" t="n"/>
      <c r="S524" s="143" t="n"/>
      <c r="T524" s="143" t="n"/>
      <c r="U524" s="143" t="n"/>
      <c r="V524" s="143" t="n"/>
      <c r="W524" s="143" t="n"/>
      <c r="X524" s="143" t="n"/>
      <c r="Y524" s="143" t="n"/>
      <c r="Z524" s="143" t="n"/>
    </row>
    <row r="525" ht="19.5" customHeight="1" s="398">
      <c r="A525" s="149" t="n"/>
      <c r="B525" s="143" t="n"/>
      <c r="C525" s="143" t="n"/>
      <c r="D525" s="143" t="n"/>
      <c r="E525" s="143" t="n"/>
      <c r="F525" s="143" t="n"/>
      <c r="G525" s="143" t="n"/>
      <c r="H525" s="143" t="n"/>
      <c r="I525" s="143" t="n"/>
      <c r="J525" s="143" t="n"/>
      <c r="K525" s="143" t="n"/>
      <c r="L525" s="143" t="n"/>
      <c r="M525" s="143" t="n"/>
      <c r="N525" s="143" t="n"/>
      <c r="O525" s="143" t="n"/>
      <c r="P525" s="143" t="n"/>
      <c r="Q525" s="143" t="n"/>
      <c r="R525" s="143" t="n"/>
      <c r="S525" s="143" t="n"/>
      <c r="T525" s="143" t="n"/>
      <c r="U525" s="143" t="n"/>
      <c r="V525" s="143" t="n"/>
      <c r="W525" s="143" t="n"/>
      <c r="X525" s="143" t="n"/>
      <c r="Y525" s="143" t="n"/>
      <c r="Z525" s="143" t="n"/>
    </row>
    <row r="526" ht="19.5" customHeight="1" s="398">
      <c r="A526" s="149" t="n"/>
      <c r="B526" s="143" t="n"/>
      <c r="C526" s="143" t="n"/>
      <c r="D526" s="143" t="n"/>
      <c r="E526" s="143" t="n"/>
      <c r="F526" s="143" t="n"/>
      <c r="G526" s="143" t="n"/>
      <c r="H526" s="143" t="n"/>
      <c r="I526" s="143" t="n"/>
      <c r="J526" s="143" t="n"/>
      <c r="K526" s="143" t="n"/>
      <c r="L526" s="143" t="n"/>
      <c r="M526" s="143" t="n"/>
      <c r="N526" s="143" t="n"/>
      <c r="O526" s="143" t="n"/>
      <c r="P526" s="143" t="n"/>
      <c r="Q526" s="143" t="n"/>
      <c r="R526" s="143" t="n"/>
      <c r="S526" s="143" t="n"/>
      <c r="T526" s="143" t="n"/>
      <c r="U526" s="143" t="n"/>
      <c r="V526" s="143" t="n"/>
      <c r="W526" s="143" t="n"/>
      <c r="X526" s="143" t="n"/>
      <c r="Y526" s="143" t="n"/>
      <c r="Z526" s="143" t="n"/>
    </row>
    <row r="527" ht="19.5" customHeight="1" s="398">
      <c r="A527" s="149" t="n"/>
      <c r="B527" s="143" t="n"/>
      <c r="C527" s="143" t="n"/>
      <c r="D527" s="143" t="n"/>
      <c r="E527" s="143" t="n"/>
      <c r="F527" s="143" t="n"/>
      <c r="G527" s="143" t="n"/>
      <c r="H527" s="143" t="n"/>
      <c r="I527" s="143" t="n"/>
      <c r="J527" s="143" t="n"/>
      <c r="K527" s="143" t="n"/>
      <c r="L527" s="143" t="n"/>
      <c r="M527" s="143" t="n"/>
      <c r="N527" s="143" t="n"/>
      <c r="O527" s="143" t="n"/>
      <c r="P527" s="143" t="n"/>
      <c r="Q527" s="143" t="n"/>
      <c r="R527" s="143" t="n"/>
      <c r="S527" s="143" t="n"/>
      <c r="T527" s="143" t="n"/>
      <c r="U527" s="143" t="n"/>
      <c r="V527" s="143" t="n"/>
      <c r="W527" s="143" t="n"/>
      <c r="X527" s="143" t="n"/>
      <c r="Y527" s="143" t="n"/>
      <c r="Z527" s="143" t="n"/>
    </row>
    <row r="528" ht="19.5" customHeight="1" s="398">
      <c r="A528" s="149" t="n"/>
      <c r="B528" s="143" t="n"/>
      <c r="C528" s="143" t="n"/>
      <c r="D528" s="143" t="n"/>
      <c r="E528" s="143" t="n"/>
      <c r="F528" s="143" t="n"/>
      <c r="G528" s="143" t="n"/>
      <c r="H528" s="143" t="n"/>
      <c r="I528" s="143" t="n"/>
      <c r="J528" s="143" t="n"/>
      <c r="K528" s="143" t="n"/>
      <c r="L528" s="143" t="n"/>
      <c r="M528" s="143" t="n"/>
      <c r="N528" s="143" t="n"/>
      <c r="O528" s="143" t="n"/>
      <c r="P528" s="143" t="n"/>
      <c r="Q528" s="143" t="n"/>
      <c r="R528" s="143" t="n"/>
      <c r="S528" s="143" t="n"/>
      <c r="T528" s="143" t="n"/>
      <c r="U528" s="143" t="n"/>
      <c r="V528" s="143" t="n"/>
      <c r="W528" s="143" t="n"/>
      <c r="X528" s="143" t="n"/>
      <c r="Y528" s="143" t="n"/>
      <c r="Z528" s="143" t="n"/>
    </row>
    <row r="529" ht="19.5" customHeight="1" s="398">
      <c r="A529" s="149" t="n"/>
      <c r="B529" s="143" t="n"/>
      <c r="C529" s="143" t="n"/>
      <c r="D529" s="143" t="n"/>
      <c r="E529" s="143" t="n"/>
      <c r="F529" s="143" t="n"/>
      <c r="G529" s="143" t="n"/>
      <c r="H529" s="143" t="n"/>
      <c r="I529" s="143" t="n"/>
      <c r="J529" s="143" t="n"/>
      <c r="K529" s="143" t="n"/>
      <c r="L529" s="143" t="n"/>
      <c r="M529" s="143" t="n"/>
      <c r="N529" s="143" t="n"/>
      <c r="O529" s="143" t="n"/>
      <c r="P529" s="143" t="n"/>
      <c r="Q529" s="143" t="n"/>
      <c r="R529" s="143" t="n"/>
      <c r="S529" s="143" t="n"/>
      <c r="T529" s="143" t="n"/>
      <c r="U529" s="143" t="n"/>
      <c r="V529" s="143" t="n"/>
      <c r="W529" s="143" t="n"/>
      <c r="X529" s="143" t="n"/>
      <c r="Y529" s="143" t="n"/>
      <c r="Z529" s="143" t="n"/>
    </row>
    <row r="530" ht="19.5" customHeight="1" s="398">
      <c r="A530" s="149" t="n"/>
      <c r="B530" s="143" t="n"/>
      <c r="C530" s="143" t="n"/>
      <c r="D530" s="143" t="n"/>
      <c r="E530" s="143" t="n"/>
      <c r="F530" s="143" t="n"/>
      <c r="G530" s="143" t="n"/>
      <c r="H530" s="143" t="n"/>
      <c r="I530" s="143" t="n"/>
      <c r="J530" s="143" t="n"/>
      <c r="K530" s="143" t="n"/>
      <c r="L530" s="143" t="n"/>
      <c r="M530" s="143" t="n"/>
      <c r="N530" s="143" t="n"/>
      <c r="O530" s="143" t="n"/>
      <c r="P530" s="143" t="n"/>
      <c r="Q530" s="143" t="n"/>
      <c r="R530" s="143" t="n"/>
      <c r="S530" s="143" t="n"/>
      <c r="T530" s="143" t="n"/>
      <c r="U530" s="143" t="n"/>
      <c r="V530" s="143" t="n"/>
      <c r="W530" s="143" t="n"/>
      <c r="X530" s="143" t="n"/>
      <c r="Y530" s="143" t="n"/>
      <c r="Z530" s="143" t="n"/>
    </row>
    <row r="531" ht="19.5" customHeight="1" s="398">
      <c r="A531" s="149" t="n"/>
      <c r="B531" s="143" t="n"/>
      <c r="C531" s="143" t="n"/>
      <c r="D531" s="143" t="n"/>
      <c r="E531" s="143" t="n"/>
      <c r="F531" s="143" t="n"/>
      <c r="G531" s="143" t="n"/>
      <c r="H531" s="143" t="n"/>
      <c r="I531" s="143" t="n"/>
      <c r="J531" s="143" t="n"/>
      <c r="K531" s="143" t="n"/>
      <c r="L531" s="143" t="n"/>
      <c r="M531" s="143" t="n"/>
      <c r="N531" s="143" t="n"/>
      <c r="O531" s="143" t="n"/>
      <c r="P531" s="143" t="n"/>
      <c r="Q531" s="143" t="n"/>
      <c r="R531" s="143" t="n"/>
      <c r="S531" s="143" t="n"/>
      <c r="T531" s="143" t="n"/>
      <c r="U531" s="143" t="n"/>
      <c r="V531" s="143" t="n"/>
      <c r="W531" s="143" t="n"/>
      <c r="X531" s="143" t="n"/>
      <c r="Y531" s="143" t="n"/>
      <c r="Z531" s="143" t="n"/>
    </row>
    <row r="532" ht="19.5" customHeight="1" s="398">
      <c r="A532" s="149" t="n"/>
      <c r="B532" s="143" t="n"/>
      <c r="C532" s="143" t="n"/>
      <c r="D532" s="143" t="n"/>
      <c r="E532" s="143" t="n"/>
      <c r="F532" s="143" t="n"/>
      <c r="G532" s="143" t="n"/>
      <c r="H532" s="143" t="n"/>
      <c r="I532" s="143" t="n"/>
      <c r="J532" s="143" t="n"/>
      <c r="K532" s="143" t="n"/>
      <c r="L532" s="143" t="n"/>
      <c r="M532" s="143" t="n"/>
      <c r="N532" s="143" t="n"/>
      <c r="O532" s="143" t="n"/>
      <c r="P532" s="143" t="n"/>
      <c r="Q532" s="143" t="n"/>
      <c r="R532" s="143" t="n"/>
      <c r="S532" s="143" t="n"/>
      <c r="T532" s="143" t="n"/>
      <c r="U532" s="143" t="n"/>
      <c r="V532" s="143" t="n"/>
      <c r="W532" s="143" t="n"/>
      <c r="X532" s="143" t="n"/>
      <c r="Y532" s="143" t="n"/>
      <c r="Z532" s="143" t="n"/>
    </row>
    <row r="533" ht="19.5" customHeight="1" s="398">
      <c r="A533" s="149" t="n"/>
      <c r="B533" s="143" t="n"/>
      <c r="C533" s="143" t="n"/>
      <c r="D533" s="143" t="n"/>
      <c r="E533" s="143" t="n"/>
      <c r="F533" s="143" t="n"/>
      <c r="G533" s="143" t="n"/>
      <c r="H533" s="143" t="n"/>
      <c r="I533" s="143" t="n"/>
      <c r="J533" s="143" t="n"/>
      <c r="K533" s="143" t="n"/>
      <c r="L533" s="143" t="n"/>
      <c r="M533" s="143" t="n"/>
      <c r="N533" s="143" t="n"/>
      <c r="O533" s="143" t="n"/>
      <c r="P533" s="143" t="n"/>
      <c r="Q533" s="143" t="n"/>
      <c r="R533" s="143" t="n"/>
      <c r="S533" s="143" t="n"/>
      <c r="T533" s="143" t="n"/>
      <c r="U533" s="143" t="n"/>
      <c r="V533" s="143" t="n"/>
      <c r="W533" s="143" t="n"/>
      <c r="X533" s="143" t="n"/>
      <c r="Y533" s="143" t="n"/>
      <c r="Z533" s="143" t="n"/>
    </row>
    <row r="534" ht="19.5" customHeight="1" s="398">
      <c r="A534" s="149" t="n"/>
      <c r="B534" s="143" t="n"/>
      <c r="C534" s="143" t="n"/>
      <c r="D534" s="143" t="n"/>
      <c r="E534" s="143" t="n"/>
      <c r="F534" s="143" t="n"/>
      <c r="G534" s="143" t="n"/>
      <c r="H534" s="143" t="n"/>
      <c r="I534" s="143" t="n"/>
      <c r="J534" s="143" t="n"/>
      <c r="K534" s="143" t="n"/>
      <c r="L534" s="143" t="n"/>
      <c r="M534" s="143" t="n"/>
      <c r="N534" s="143" t="n"/>
      <c r="O534" s="143" t="n"/>
      <c r="P534" s="143" t="n"/>
      <c r="Q534" s="143" t="n"/>
      <c r="R534" s="143" t="n"/>
      <c r="S534" s="143" t="n"/>
      <c r="T534" s="143" t="n"/>
      <c r="U534" s="143" t="n"/>
      <c r="V534" s="143" t="n"/>
      <c r="W534" s="143" t="n"/>
      <c r="X534" s="143" t="n"/>
      <c r="Y534" s="143" t="n"/>
      <c r="Z534" s="143" t="n"/>
    </row>
    <row r="535" ht="19.5" customHeight="1" s="398">
      <c r="A535" s="149" t="n"/>
      <c r="B535" s="143" t="n"/>
      <c r="C535" s="143" t="n"/>
      <c r="D535" s="143" t="n"/>
      <c r="E535" s="143" t="n"/>
      <c r="F535" s="143" t="n"/>
      <c r="G535" s="143" t="n"/>
      <c r="H535" s="143" t="n"/>
      <c r="I535" s="143" t="n"/>
      <c r="J535" s="143" t="n"/>
      <c r="K535" s="143" t="n"/>
      <c r="L535" s="143" t="n"/>
      <c r="M535" s="143" t="n"/>
      <c r="N535" s="143" t="n"/>
      <c r="O535" s="143" t="n"/>
      <c r="P535" s="143" t="n"/>
      <c r="Q535" s="143" t="n"/>
      <c r="R535" s="143" t="n"/>
      <c r="S535" s="143" t="n"/>
      <c r="T535" s="143" t="n"/>
      <c r="U535" s="143" t="n"/>
      <c r="V535" s="143" t="n"/>
      <c r="W535" s="143" t="n"/>
      <c r="X535" s="143" t="n"/>
      <c r="Y535" s="143" t="n"/>
      <c r="Z535" s="143" t="n"/>
    </row>
    <row r="536" ht="19.5" customHeight="1" s="398">
      <c r="A536" s="149" t="n"/>
      <c r="B536" s="143" t="n"/>
      <c r="C536" s="143" t="n"/>
      <c r="D536" s="143" t="n"/>
      <c r="E536" s="143" t="n"/>
      <c r="F536" s="143" t="n"/>
      <c r="G536" s="143" t="n"/>
      <c r="H536" s="143" t="n"/>
      <c r="I536" s="143" t="n"/>
      <c r="J536" s="143" t="n"/>
      <c r="K536" s="143" t="n"/>
      <c r="L536" s="143" t="n"/>
      <c r="M536" s="143" t="n"/>
      <c r="N536" s="143" t="n"/>
      <c r="O536" s="143" t="n"/>
      <c r="P536" s="143" t="n"/>
      <c r="Q536" s="143" t="n"/>
      <c r="R536" s="143" t="n"/>
      <c r="S536" s="143" t="n"/>
      <c r="T536" s="143" t="n"/>
      <c r="U536" s="143" t="n"/>
      <c r="V536" s="143" t="n"/>
      <c r="W536" s="143" t="n"/>
      <c r="X536" s="143" t="n"/>
      <c r="Y536" s="143" t="n"/>
      <c r="Z536" s="143" t="n"/>
    </row>
    <row r="537" ht="19.5" customHeight="1" s="398">
      <c r="A537" s="149" t="n"/>
      <c r="B537" s="143" t="n"/>
      <c r="C537" s="143" t="n"/>
      <c r="D537" s="143" t="n"/>
      <c r="E537" s="143" t="n"/>
      <c r="F537" s="143" t="n"/>
      <c r="G537" s="143" t="n"/>
      <c r="H537" s="143" t="n"/>
      <c r="I537" s="143" t="n"/>
      <c r="J537" s="143" t="n"/>
      <c r="K537" s="143" t="n"/>
      <c r="L537" s="143" t="n"/>
      <c r="M537" s="143" t="n"/>
      <c r="N537" s="143" t="n"/>
      <c r="O537" s="143" t="n"/>
      <c r="P537" s="143" t="n"/>
      <c r="Q537" s="143" t="n"/>
      <c r="R537" s="143" t="n"/>
      <c r="S537" s="143" t="n"/>
      <c r="T537" s="143" t="n"/>
      <c r="U537" s="143" t="n"/>
      <c r="V537" s="143" t="n"/>
      <c r="W537" s="143" t="n"/>
      <c r="X537" s="143" t="n"/>
      <c r="Y537" s="143" t="n"/>
      <c r="Z537" s="143" t="n"/>
    </row>
    <row r="538" ht="19.5" customHeight="1" s="398">
      <c r="A538" s="149" t="n"/>
      <c r="B538" s="143" t="n"/>
      <c r="C538" s="143" t="n"/>
      <c r="D538" s="143" t="n"/>
      <c r="E538" s="143" t="n"/>
      <c r="F538" s="143" t="n"/>
      <c r="G538" s="143" t="n"/>
      <c r="H538" s="143" t="n"/>
      <c r="I538" s="143" t="n"/>
      <c r="J538" s="143" t="n"/>
      <c r="K538" s="143" t="n"/>
      <c r="L538" s="143" t="n"/>
      <c r="M538" s="143" t="n"/>
      <c r="N538" s="143" t="n"/>
      <c r="O538" s="143" t="n"/>
      <c r="P538" s="143" t="n"/>
      <c r="Q538" s="143" t="n"/>
      <c r="R538" s="143" t="n"/>
      <c r="S538" s="143" t="n"/>
      <c r="T538" s="143" t="n"/>
      <c r="U538" s="143" t="n"/>
      <c r="V538" s="143" t="n"/>
      <c r="W538" s="143" t="n"/>
      <c r="X538" s="143" t="n"/>
      <c r="Y538" s="143" t="n"/>
      <c r="Z538" s="143" t="n"/>
    </row>
    <row r="539" ht="19.5" customHeight="1" s="398">
      <c r="A539" s="149" t="n"/>
      <c r="B539" s="143" t="n"/>
      <c r="C539" s="143" t="n"/>
      <c r="D539" s="143" t="n"/>
      <c r="E539" s="143" t="n"/>
      <c r="F539" s="143" t="n"/>
      <c r="G539" s="143" t="n"/>
      <c r="H539" s="143" t="n"/>
      <c r="I539" s="143" t="n"/>
      <c r="J539" s="143" t="n"/>
      <c r="K539" s="143" t="n"/>
      <c r="L539" s="143" t="n"/>
      <c r="M539" s="143" t="n"/>
      <c r="N539" s="143" t="n"/>
      <c r="O539" s="143" t="n"/>
      <c r="P539" s="143" t="n"/>
      <c r="Q539" s="143" t="n"/>
      <c r="R539" s="143" t="n"/>
      <c r="S539" s="143" t="n"/>
      <c r="T539" s="143" t="n"/>
      <c r="U539" s="143" t="n"/>
      <c r="V539" s="143" t="n"/>
      <c r="W539" s="143" t="n"/>
      <c r="X539" s="143" t="n"/>
      <c r="Y539" s="143" t="n"/>
      <c r="Z539" s="143" t="n"/>
    </row>
    <row r="540" ht="19.5" customHeight="1" s="398">
      <c r="A540" s="149" t="n"/>
      <c r="B540" s="143" t="n"/>
      <c r="C540" s="143" t="n"/>
      <c r="D540" s="143" t="n"/>
      <c r="E540" s="143" t="n"/>
      <c r="F540" s="143" t="n"/>
      <c r="G540" s="143" t="n"/>
      <c r="H540" s="143" t="n"/>
      <c r="I540" s="143" t="n"/>
      <c r="J540" s="143" t="n"/>
      <c r="K540" s="143" t="n"/>
      <c r="L540" s="143" t="n"/>
      <c r="M540" s="143" t="n"/>
      <c r="N540" s="143" t="n"/>
      <c r="O540" s="143" t="n"/>
      <c r="P540" s="143" t="n"/>
      <c r="Q540" s="143" t="n"/>
      <c r="R540" s="143" t="n"/>
      <c r="S540" s="143" t="n"/>
      <c r="T540" s="143" t="n"/>
      <c r="U540" s="143" t="n"/>
      <c r="V540" s="143" t="n"/>
      <c r="W540" s="143" t="n"/>
      <c r="X540" s="143" t="n"/>
      <c r="Y540" s="143" t="n"/>
      <c r="Z540" s="143" t="n"/>
    </row>
    <row r="541" ht="19.5" customHeight="1" s="398">
      <c r="A541" s="149" t="n"/>
      <c r="B541" s="143" t="n"/>
      <c r="C541" s="143" t="n"/>
      <c r="D541" s="143" t="n"/>
      <c r="E541" s="143" t="n"/>
      <c r="F541" s="143" t="n"/>
      <c r="G541" s="143" t="n"/>
      <c r="H541" s="143" t="n"/>
      <c r="I541" s="143" t="n"/>
      <c r="J541" s="143" t="n"/>
      <c r="K541" s="143" t="n"/>
      <c r="L541" s="143" t="n"/>
      <c r="M541" s="143" t="n"/>
      <c r="N541" s="143" t="n"/>
      <c r="O541" s="143" t="n"/>
      <c r="P541" s="143" t="n"/>
      <c r="Q541" s="143" t="n"/>
      <c r="R541" s="143" t="n"/>
      <c r="S541" s="143" t="n"/>
      <c r="T541" s="143" t="n"/>
      <c r="U541" s="143" t="n"/>
      <c r="V541" s="143" t="n"/>
      <c r="W541" s="143" t="n"/>
      <c r="X541" s="143" t="n"/>
      <c r="Y541" s="143" t="n"/>
      <c r="Z541" s="143" t="n"/>
    </row>
    <row r="542" ht="19.5" customHeight="1" s="398">
      <c r="A542" s="149" t="n"/>
      <c r="B542" s="143" t="n"/>
      <c r="C542" s="143" t="n"/>
      <c r="D542" s="143" t="n"/>
      <c r="E542" s="143" t="n"/>
      <c r="F542" s="143" t="n"/>
      <c r="G542" s="143" t="n"/>
      <c r="H542" s="143" t="n"/>
      <c r="I542" s="143" t="n"/>
      <c r="J542" s="143" t="n"/>
      <c r="K542" s="143" t="n"/>
      <c r="L542" s="143" t="n"/>
      <c r="M542" s="143" t="n"/>
      <c r="N542" s="143" t="n"/>
      <c r="O542" s="143" t="n"/>
      <c r="P542" s="143" t="n"/>
      <c r="Q542" s="143" t="n"/>
      <c r="R542" s="143" t="n"/>
      <c r="S542" s="143" t="n"/>
      <c r="T542" s="143" t="n"/>
      <c r="U542" s="143" t="n"/>
      <c r="V542" s="143" t="n"/>
      <c r="W542" s="143" t="n"/>
      <c r="X542" s="143" t="n"/>
      <c r="Y542" s="143" t="n"/>
      <c r="Z542" s="143" t="n"/>
    </row>
    <row r="543" ht="19.5" customHeight="1" s="398">
      <c r="A543" s="149" t="n"/>
      <c r="B543" s="143" t="n"/>
      <c r="C543" s="143" t="n"/>
      <c r="D543" s="143" t="n"/>
      <c r="E543" s="143" t="n"/>
      <c r="F543" s="143" t="n"/>
      <c r="G543" s="143" t="n"/>
      <c r="H543" s="143" t="n"/>
      <c r="I543" s="143" t="n"/>
      <c r="J543" s="143" t="n"/>
      <c r="K543" s="143" t="n"/>
      <c r="L543" s="143" t="n"/>
      <c r="M543" s="143" t="n"/>
      <c r="N543" s="143" t="n"/>
      <c r="O543" s="143" t="n"/>
      <c r="P543" s="143" t="n"/>
      <c r="Q543" s="143" t="n"/>
      <c r="R543" s="143" t="n"/>
      <c r="S543" s="143" t="n"/>
      <c r="T543" s="143" t="n"/>
      <c r="U543" s="143" t="n"/>
      <c r="V543" s="143" t="n"/>
      <c r="W543" s="143" t="n"/>
      <c r="X543" s="143" t="n"/>
      <c r="Y543" s="143" t="n"/>
      <c r="Z543" s="143" t="n"/>
    </row>
    <row r="544" ht="19.5" customHeight="1" s="398">
      <c r="A544" s="149" t="n"/>
      <c r="B544" s="143" t="n"/>
      <c r="C544" s="143" t="n"/>
      <c r="D544" s="143" t="n"/>
      <c r="E544" s="143" t="n"/>
      <c r="F544" s="143" t="n"/>
      <c r="G544" s="143" t="n"/>
      <c r="H544" s="143" t="n"/>
      <c r="I544" s="143" t="n"/>
      <c r="J544" s="143" t="n"/>
      <c r="K544" s="143" t="n"/>
      <c r="L544" s="143" t="n"/>
      <c r="M544" s="143" t="n"/>
      <c r="N544" s="143" t="n"/>
      <c r="O544" s="143" t="n"/>
      <c r="P544" s="143" t="n"/>
      <c r="Q544" s="143" t="n"/>
      <c r="R544" s="143" t="n"/>
      <c r="S544" s="143" t="n"/>
      <c r="T544" s="143" t="n"/>
      <c r="U544" s="143" t="n"/>
      <c r="V544" s="143" t="n"/>
      <c r="W544" s="143" t="n"/>
      <c r="X544" s="143" t="n"/>
      <c r="Y544" s="143" t="n"/>
      <c r="Z544" s="143" t="n"/>
    </row>
    <row r="545" ht="19.5" customHeight="1" s="398">
      <c r="A545" s="149" t="n"/>
      <c r="B545" s="143" t="n"/>
      <c r="C545" s="143" t="n"/>
      <c r="D545" s="143" t="n"/>
      <c r="E545" s="143" t="n"/>
      <c r="F545" s="143" t="n"/>
      <c r="G545" s="143" t="n"/>
      <c r="H545" s="143" t="n"/>
      <c r="I545" s="143" t="n"/>
      <c r="J545" s="143" t="n"/>
      <c r="K545" s="143" t="n"/>
      <c r="L545" s="143" t="n"/>
      <c r="M545" s="143" t="n"/>
      <c r="N545" s="143" t="n"/>
      <c r="O545" s="143" t="n"/>
      <c r="P545" s="143" t="n"/>
      <c r="Q545" s="143" t="n"/>
      <c r="R545" s="143" t="n"/>
      <c r="S545" s="143" t="n"/>
      <c r="T545" s="143" t="n"/>
      <c r="U545" s="143" t="n"/>
      <c r="V545" s="143" t="n"/>
      <c r="W545" s="143" t="n"/>
      <c r="X545" s="143" t="n"/>
      <c r="Y545" s="143" t="n"/>
      <c r="Z545" s="143" t="n"/>
    </row>
    <row r="546" ht="19.5" customHeight="1" s="398">
      <c r="A546" s="149" t="n"/>
      <c r="B546" s="143" t="n"/>
      <c r="C546" s="143" t="n"/>
      <c r="D546" s="143" t="n"/>
      <c r="E546" s="143" t="n"/>
      <c r="F546" s="143" t="n"/>
      <c r="G546" s="143" t="n"/>
      <c r="H546" s="143" t="n"/>
      <c r="I546" s="143" t="n"/>
      <c r="J546" s="143" t="n"/>
      <c r="K546" s="143" t="n"/>
      <c r="L546" s="143" t="n"/>
      <c r="M546" s="143" t="n"/>
      <c r="N546" s="143" t="n"/>
      <c r="O546" s="143" t="n"/>
      <c r="P546" s="143" t="n"/>
      <c r="Q546" s="143" t="n"/>
      <c r="R546" s="143" t="n"/>
      <c r="S546" s="143" t="n"/>
      <c r="T546" s="143" t="n"/>
      <c r="U546" s="143" t="n"/>
      <c r="V546" s="143" t="n"/>
      <c r="W546" s="143" t="n"/>
      <c r="X546" s="143" t="n"/>
      <c r="Y546" s="143" t="n"/>
      <c r="Z546" s="143" t="n"/>
    </row>
    <row r="547" ht="19.5" customHeight="1" s="398">
      <c r="A547" s="149" t="n"/>
      <c r="B547" s="143" t="n"/>
      <c r="C547" s="143" t="n"/>
      <c r="D547" s="143" t="n"/>
      <c r="E547" s="143" t="n"/>
      <c r="F547" s="143" t="n"/>
      <c r="G547" s="143" t="n"/>
      <c r="H547" s="143" t="n"/>
      <c r="I547" s="143" t="n"/>
      <c r="J547" s="143" t="n"/>
      <c r="K547" s="143" t="n"/>
      <c r="L547" s="143" t="n"/>
      <c r="M547" s="143" t="n"/>
      <c r="N547" s="143" t="n"/>
      <c r="O547" s="143" t="n"/>
      <c r="P547" s="143" t="n"/>
      <c r="Q547" s="143" t="n"/>
      <c r="R547" s="143" t="n"/>
      <c r="S547" s="143" t="n"/>
      <c r="T547" s="143" t="n"/>
      <c r="U547" s="143" t="n"/>
      <c r="V547" s="143" t="n"/>
      <c r="W547" s="143" t="n"/>
      <c r="X547" s="143" t="n"/>
      <c r="Y547" s="143" t="n"/>
      <c r="Z547" s="143" t="n"/>
    </row>
    <row r="548" ht="19.5" customHeight="1" s="398">
      <c r="A548" s="149" t="n"/>
      <c r="B548" s="143" t="n"/>
      <c r="C548" s="143" t="n"/>
      <c r="D548" s="143" t="n"/>
      <c r="E548" s="143" t="n"/>
      <c r="F548" s="143" t="n"/>
      <c r="G548" s="143" t="n"/>
      <c r="H548" s="143" t="n"/>
      <c r="I548" s="143" t="n"/>
      <c r="J548" s="143" t="n"/>
      <c r="K548" s="143" t="n"/>
      <c r="L548" s="143" t="n"/>
      <c r="M548" s="143" t="n"/>
      <c r="N548" s="143" t="n"/>
      <c r="O548" s="143" t="n"/>
      <c r="P548" s="143" t="n"/>
      <c r="Q548" s="143" t="n"/>
      <c r="R548" s="143" t="n"/>
      <c r="S548" s="143" t="n"/>
      <c r="T548" s="143" t="n"/>
      <c r="U548" s="143" t="n"/>
      <c r="V548" s="143" t="n"/>
      <c r="W548" s="143" t="n"/>
      <c r="X548" s="143" t="n"/>
      <c r="Y548" s="143" t="n"/>
      <c r="Z548" s="143" t="n"/>
    </row>
    <row r="549" ht="19.5" customHeight="1" s="398">
      <c r="A549" s="149" t="n"/>
      <c r="B549" s="143" t="n"/>
      <c r="C549" s="143" t="n"/>
      <c r="D549" s="143" t="n"/>
      <c r="E549" s="143" t="n"/>
      <c r="F549" s="143" t="n"/>
      <c r="G549" s="143" t="n"/>
      <c r="H549" s="143" t="n"/>
      <c r="I549" s="143" t="n"/>
      <c r="J549" s="143" t="n"/>
      <c r="K549" s="143" t="n"/>
      <c r="L549" s="143" t="n"/>
      <c r="M549" s="143" t="n"/>
      <c r="N549" s="143" t="n"/>
      <c r="O549" s="143" t="n"/>
      <c r="P549" s="143" t="n"/>
      <c r="Q549" s="143" t="n"/>
      <c r="R549" s="143" t="n"/>
      <c r="S549" s="143" t="n"/>
      <c r="T549" s="143" t="n"/>
      <c r="U549" s="143" t="n"/>
      <c r="V549" s="143" t="n"/>
      <c r="W549" s="143" t="n"/>
      <c r="X549" s="143" t="n"/>
      <c r="Y549" s="143" t="n"/>
      <c r="Z549" s="143" t="n"/>
    </row>
    <row r="550" ht="19.5" customHeight="1" s="398">
      <c r="A550" s="149" t="n"/>
      <c r="B550" s="143" t="n"/>
      <c r="C550" s="143" t="n"/>
      <c r="D550" s="143" t="n"/>
      <c r="E550" s="143" t="n"/>
      <c r="F550" s="143" t="n"/>
      <c r="G550" s="143" t="n"/>
      <c r="H550" s="143" t="n"/>
      <c r="I550" s="143" t="n"/>
      <c r="J550" s="143" t="n"/>
      <c r="K550" s="143" t="n"/>
      <c r="L550" s="143" t="n"/>
      <c r="M550" s="143" t="n"/>
      <c r="N550" s="143" t="n"/>
      <c r="O550" s="143" t="n"/>
      <c r="P550" s="143" t="n"/>
      <c r="Q550" s="143" t="n"/>
      <c r="R550" s="143" t="n"/>
      <c r="S550" s="143" t="n"/>
      <c r="T550" s="143" t="n"/>
      <c r="U550" s="143" t="n"/>
      <c r="V550" s="143" t="n"/>
      <c r="W550" s="143" t="n"/>
      <c r="X550" s="143" t="n"/>
      <c r="Y550" s="143" t="n"/>
      <c r="Z550" s="143" t="n"/>
    </row>
    <row r="551" ht="19.5" customHeight="1" s="398">
      <c r="A551" s="149" t="n"/>
      <c r="B551" s="143" t="n"/>
      <c r="C551" s="143" t="n"/>
      <c r="D551" s="143" t="n"/>
      <c r="E551" s="143" t="n"/>
      <c r="F551" s="143" t="n"/>
      <c r="G551" s="143" t="n"/>
      <c r="H551" s="143" t="n"/>
      <c r="I551" s="143" t="n"/>
      <c r="J551" s="143" t="n"/>
      <c r="K551" s="143" t="n"/>
      <c r="L551" s="143" t="n"/>
      <c r="M551" s="143" t="n"/>
      <c r="N551" s="143" t="n"/>
      <c r="O551" s="143" t="n"/>
      <c r="P551" s="143" t="n"/>
      <c r="Q551" s="143" t="n"/>
      <c r="R551" s="143" t="n"/>
      <c r="S551" s="143" t="n"/>
      <c r="T551" s="143" t="n"/>
      <c r="U551" s="143" t="n"/>
      <c r="V551" s="143" t="n"/>
      <c r="W551" s="143" t="n"/>
      <c r="X551" s="143" t="n"/>
      <c r="Y551" s="143" t="n"/>
      <c r="Z551" s="143" t="n"/>
    </row>
    <row r="552" ht="19.5" customHeight="1" s="398">
      <c r="A552" s="149" t="n"/>
      <c r="B552" s="143" t="n"/>
      <c r="C552" s="143" t="n"/>
      <c r="D552" s="143" t="n"/>
      <c r="E552" s="143" t="n"/>
      <c r="F552" s="143" t="n"/>
      <c r="G552" s="143" t="n"/>
      <c r="H552" s="143" t="n"/>
      <c r="I552" s="143" t="n"/>
      <c r="J552" s="143" t="n"/>
      <c r="K552" s="143" t="n"/>
      <c r="L552" s="143" t="n"/>
      <c r="M552" s="143" t="n"/>
      <c r="N552" s="143" t="n"/>
      <c r="O552" s="143" t="n"/>
      <c r="P552" s="143" t="n"/>
      <c r="Q552" s="143" t="n"/>
      <c r="R552" s="143" t="n"/>
      <c r="S552" s="143" t="n"/>
      <c r="T552" s="143" t="n"/>
      <c r="U552" s="143" t="n"/>
      <c r="V552" s="143" t="n"/>
      <c r="W552" s="143" t="n"/>
      <c r="X552" s="143" t="n"/>
      <c r="Y552" s="143" t="n"/>
      <c r="Z552" s="143" t="n"/>
    </row>
    <row r="553" ht="19.5" customHeight="1" s="398">
      <c r="A553" s="149" t="n"/>
      <c r="B553" s="143" t="n"/>
      <c r="C553" s="143" t="n"/>
      <c r="D553" s="143" t="n"/>
      <c r="E553" s="143" t="n"/>
      <c r="F553" s="143" t="n"/>
      <c r="G553" s="143" t="n"/>
      <c r="H553" s="143" t="n"/>
      <c r="I553" s="143" t="n"/>
      <c r="J553" s="143" t="n"/>
      <c r="K553" s="143" t="n"/>
      <c r="L553" s="143" t="n"/>
      <c r="M553" s="143" t="n"/>
      <c r="N553" s="143" t="n"/>
      <c r="O553" s="143" t="n"/>
      <c r="P553" s="143" t="n"/>
      <c r="Q553" s="143" t="n"/>
      <c r="R553" s="143" t="n"/>
      <c r="S553" s="143" t="n"/>
      <c r="T553" s="143" t="n"/>
      <c r="U553" s="143" t="n"/>
      <c r="V553" s="143" t="n"/>
      <c r="W553" s="143" t="n"/>
      <c r="X553" s="143" t="n"/>
      <c r="Y553" s="143" t="n"/>
      <c r="Z553" s="143" t="n"/>
    </row>
    <row r="554" ht="19.5" customHeight="1" s="398">
      <c r="A554" s="149" t="n"/>
      <c r="B554" s="143" t="n"/>
      <c r="C554" s="143" t="n"/>
      <c r="D554" s="143" t="n"/>
      <c r="E554" s="143" t="n"/>
      <c r="F554" s="143" t="n"/>
      <c r="G554" s="143" t="n"/>
      <c r="H554" s="143" t="n"/>
      <c r="I554" s="143" t="n"/>
      <c r="J554" s="143" t="n"/>
      <c r="K554" s="143" t="n"/>
      <c r="L554" s="143" t="n"/>
      <c r="M554" s="143" t="n"/>
      <c r="N554" s="143" t="n"/>
      <c r="O554" s="143" t="n"/>
      <c r="P554" s="143" t="n"/>
      <c r="Q554" s="143" t="n"/>
      <c r="R554" s="143" t="n"/>
      <c r="S554" s="143" t="n"/>
      <c r="T554" s="143" t="n"/>
      <c r="U554" s="143" t="n"/>
      <c r="V554" s="143" t="n"/>
      <c r="W554" s="143" t="n"/>
      <c r="X554" s="143" t="n"/>
      <c r="Y554" s="143" t="n"/>
      <c r="Z554" s="143" t="n"/>
    </row>
    <row r="555" ht="19.5" customHeight="1" s="398">
      <c r="A555" s="149" t="n"/>
      <c r="B555" s="143" t="n"/>
      <c r="C555" s="143" t="n"/>
      <c r="D555" s="143" t="n"/>
      <c r="E555" s="143" t="n"/>
      <c r="F555" s="143" t="n"/>
      <c r="G555" s="143" t="n"/>
      <c r="H555" s="143" t="n"/>
      <c r="I555" s="143" t="n"/>
      <c r="J555" s="143" t="n"/>
      <c r="K555" s="143" t="n"/>
      <c r="L555" s="143" t="n"/>
      <c r="M555" s="143" t="n"/>
      <c r="N555" s="143" t="n"/>
      <c r="O555" s="143" t="n"/>
      <c r="P555" s="143" t="n"/>
      <c r="Q555" s="143" t="n"/>
      <c r="R555" s="143" t="n"/>
      <c r="S555" s="143" t="n"/>
      <c r="T555" s="143" t="n"/>
      <c r="U555" s="143" t="n"/>
      <c r="V555" s="143" t="n"/>
      <c r="W555" s="143" t="n"/>
      <c r="X555" s="143" t="n"/>
      <c r="Y555" s="143" t="n"/>
      <c r="Z555" s="143" t="n"/>
    </row>
    <row r="556" ht="19.5" customHeight="1" s="398">
      <c r="A556" s="149" t="n"/>
      <c r="B556" s="143" t="n"/>
      <c r="C556" s="143" t="n"/>
      <c r="D556" s="143" t="n"/>
      <c r="E556" s="143" t="n"/>
      <c r="F556" s="143" t="n"/>
      <c r="G556" s="143" t="n"/>
      <c r="H556" s="143" t="n"/>
      <c r="I556" s="143" t="n"/>
      <c r="J556" s="143" t="n"/>
      <c r="K556" s="143" t="n"/>
      <c r="L556" s="143" t="n"/>
      <c r="M556" s="143" t="n"/>
      <c r="N556" s="143" t="n"/>
      <c r="O556" s="143" t="n"/>
      <c r="P556" s="143" t="n"/>
      <c r="Q556" s="143" t="n"/>
      <c r="R556" s="143" t="n"/>
      <c r="S556" s="143" t="n"/>
      <c r="T556" s="143" t="n"/>
      <c r="U556" s="143" t="n"/>
      <c r="V556" s="143" t="n"/>
      <c r="W556" s="143" t="n"/>
      <c r="X556" s="143" t="n"/>
      <c r="Y556" s="143" t="n"/>
      <c r="Z556" s="143" t="n"/>
    </row>
    <row r="557" ht="19.5" customHeight="1" s="398">
      <c r="A557" s="149" t="n"/>
      <c r="B557" s="143" t="n"/>
      <c r="C557" s="143" t="n"/>
      <c r="D557" s="143" t="n"/>
      <c r="E557" s="143" t="n"/>
      <c r="F557" s="143" t="n"/>
      <c r="G557" s="143" t="n"/>
      <c r="H557" s="143" t="n"/>
      <c r="I557" s="143" t="n"/>
      <c r="J557" s="143" t="n"/>
      <c r="K557" s="143" t="n"/>
      <c r="L557" s="143" t="n"/>
      <c r="M557" s="143" t="n"/>
      <c r="N557" s="143" t="n"/>
      <c r="O557" s="143" t="n"/>
      <c r="P557" s="143" t="n"/>
      <c r="Q557" s="143" t="n"/>
      <c r="R557" s="143" t="n"/>
      <c r="S557" s="143" t="n"/>
      <c r="T557" s="143" t="n"/>
      <c r="U557" s="143" t="n"/>
      <c r="V557" s="143" t="n"/>
      <c r="W557" s="143" t="n"/>
      <c r="X557" s="143" t="n"/>
      <c r="Y557" s="143" t="n"/>
      <c r="Z557" s="143" t="n"/>
    </row>
    <row r="558" ht="19.5" customHeight="1" s="398">
      <c r="A558" s="149" t="n"/>
      <c r="B558" s="143" t="n"/>
      <c r="C558" s="143" t="n"/>
      <c r="D558" s="143" t="n"/>
      <c r="E558" s="143" t="n"/>
      <c r="F558" s="143" t="n"/>
      <c r="G558" s="143" t="n"/>
      <c r="H558" s="143" t="n"/>
      <c r="I558" s="143" t="n"/>
      <c r="J558" s="143" t="n"/>
      <c r="K558" s="143" t="n"/>
      <c r="L558" s="143" t="n"/>
      <c r="M558" s="143" t="n"/>
      <c r="N558" s="143" t="n"/>
      <c r="O558" s="143" t="n"/>
      <c r="P558" s="143" t="n"/>
      <c r="Q558" s="143" t="n"/>
      <c r="R558" s="143" t="n"/>
      <c r="S558" s="143" t="n"/>
      <c r="T558" s="143" t="n"/>
      <c r="U558" s="143" t="n"/>
      <c r="V558" s="143" t="n"/>
      <c r="W558" s="143" t="n"/>
      <c r="X558" s="143" t="n"/>
      <c r="Y558" s="143" t="n"/>
      <c r="Z558" s="143" t="n"/>
    </row>
    <row r="559" ht="19.5" customHeight="1" s="398">
      <c r="A559" s="149" t="n"/>
      <c r="B559" s="143" t="n"/>
      <c r="C559" s="143" t="n"/>
      <c r="D559" s="143" t="n"/>
      <c r="E559" s="143" t="n"/>
      <c r="F559" s="143" t="n"/>
      <c r="G559" s="143" t="n"/>
      <c r="H559" s="143" t="n"/>
      <c r="I559" s="143" t="n"/>
      <c r="J559" s="143" t="n"/>
      <c r="K559" s="143" t="n"/>
      <c r="L559" s="143" t="n"/>
      <c r="M559" s="143" t="n"/>
      <c r="N559" s="143" t="n"/>
      <c r="O559" s="143" t="n"/>
      <c r="P559" s="143" t="n"/>
      <c r="Q559" s="143" t="n"/>
      <c r="R559" s="143" t="n"/>
      <c r="S559" s="143" t="n"/>
      <c r="T559" s="143" t="n"/>
      <c r="U559" s="143" t="n"/>
      <c r="V559" s="143" t="n"/>
      <c r="W559" s="143" t="n"/>
      <c r="X559" s="143" t="n"/>
      <c r="Y559" s="143" t="n"/>
      <c r="Z559" s="143" t="n"/>
    </row>
    <row r="560" ht="19.5" customHeight="1" s="398">
      <c r="A560" s="149" t="n"/>
      <c r="B560" s="143" t="n"/>
      <c r="C560" s="143" t="n"/>
      <c r="D560" s="143" t="n"/>
      <c r="E560" s="143" t="n"/>
      <c r="F560" s="143" t="n"/>
      <c r="G560" s="143" t="n"/>
      <c r="H560" s="143" t="n"/>
      <c r="I560" s="143" t="n"/>
      <c r="J560" s="143" t="n"/>
      <c r="K560" s="143" t="n"/>
      <c r="L560" s="143" t="n"/>
      <c r="M560" s="143" t="n"/>
      <c r="N560" s="143" t="n"/>
      <c r="O560" s="143" t="n"/>
      <c r="P560" s="143" t="n"/>
      <c r="Q560" s="143" t="n"/>
      <c r="R560" s="143" t="n"/>
      <c r="S560" s="143" t="n"/>
      <c r="T560" s="143" t="n"/>
      <c r="U560" s="143" t="n"/>
      <c r="V560" s="143" t="n"/>
      <c r="W560" s="143" t="n"/>
      <c r="X560" s="143" t="n"/>
      <c r="Y560" s="143" t="n"/>
      <c r="Z560" s="143" t="n"/>
    </row>
    <row r="561" ht="19.5" customHeight="1" s="398">
      <c r="A561" s="149" t="n"/>
      <c r="B561" s="143" t="n"/>
      <c r="C561" s="143" t="n"/>
      <c r="D561" s="143" t="n"/>
      <c r="E561" s="143" t="n"/>
      <c r="F561" s="143" t="n"/>
      <c r="G561" s="143" t="n"/>
      <c r="H561" s="143" t="n"/>
      <c r="I561" s="143" t="n"/>
      <c r="J561" s="143" t="n"/>
      <c r="K561" s="143" t="n"/>
      <c r="L561" s="143" t="n"/>
      <c r="M561" s="143" t="n"/>
      <c r="N561" s="143" t="n"/>
      <c r="O561" s="143" t="n"/>
      <c r="P561" s="143" t="n"/>
      <c r="Q561" s="143" t="n"/>
      <c r="R561" s="143" t="n"/>
      <c r="S561" s="143" t="n"/>
      <c r="T561" s="143" t="n"/>
      <c r="U561" s="143" t="n"/>
      <c r="V561" s="143" t="n"/>
      <c r="W561" s="143" t="n"/>
      <c r="X561" s="143" t="n"/>
      <c r="Y561" s="143" t="n"/>
      <c r="Z561" s="143" t="n"/>
    </row>
    <row r="562" ht="19.5" customHeight="1" s="398">
      <c r="A562" s="149" t="n"/>
      <c r="B562" s="143" t="n"/>
      <c r="C562" s="143" t="n"/>
      <c r="D562" s="143" t="n"/>
      <c r="E562" s="143" t="n"/>
      <c r="F562" s="143" t="n"/>
      <c r="G562" s="143" t="n"/>
      <c r="H562" s="143" t="n"/>
      <c r="I562" s="143" t="n"/>
      <c r="J562" s="143" t="n"/>
      <c r="K562" s="143" t="n"/>
      <c r="L562" s="143" t="n"/>
      <c r="M562" s="143" t="n"/>
      <c r="N562" s="143" t="n"/>
      <c r="O562" s="143" t="n"/>
      <c r="P562" s="143" t="n"/>
      <c r="Q562" s="143" t="n"/>
      <c r="R562" s="143" t="n"/>
      <c r="S562" s="143" t="n"/>
      <c r="T562" s="143" t="n"/>
      <c r="U562" s="143" t="n"/>
      <c r="V562" s="143" t="n"/>
      <c r="W562" s="143" t="n"/>
      <c r="X562" s="143" t="n"/>
      <c r="Y562" s="143" t="n"/>
      <c r="Z562" s="143" t="n"/>
    </row>
    <row r="563" ht="19.5" customHeight="1" s="398">
      <c r="A563" s="149" t="n"/>
      <c r="B563" s="143" t="n"/>
      <c r="C563" s="143" t="n"/>
      <c r="D563" s="143" t="n"/>
      <c r="E563" s="143" t="n"/>
      <c r="F563" s="143" t="n"/>
      <c r="G563" s="143" t="n"/>
      <c r="H563" s="143" t="n"/>
      <c r="I563" s="143" t="n"/>
      <c r="J563" s="143" t="n"/>
      <c r="K563" s="143" t="n"/>
      <c r="L563" s="143" t="n"/>
      <c r="M563" s="143" t="n"/>
      <c r="N563" s="143" t="n"/>
      <c r="O563" s="143" t="n"/>
      <c r="P563" s="143" t="n"/>
      <c r="Q563" s="143" t="n"/>
      <c r="R563" s="143" t="n"/>
      <c r="S563" s="143" t="n"/>
      <c r="T563" s="143" t="n"/>
      <c r="U563" s="143" t="n"/>
      <c r="V563" s="143" t="n"/>
      <c r="W563" s="143" t="n"/>
      <c r="X563" s="143" t="n"/>
      <c r="Y563" s="143" t="n"/>
      <c r="Z563" s="143" t="n"/>
    </row>
    <row r="564" ht="19.5" customHeight="1" s="398">
      <c r="A564" s="149" t="n"/>
      <c r="B564" s="143" t="n"/>
      <c r="C564" s="143" t="n"/>
      <c r="D564" s="143" t="n"/>
      <c r="E564" s="143" t="n"/>
      <c r="F564" s="143" t="n"/>
      <c r="G564" s="143" t="n"/>
      <c r="H564" s="143" t="n"/>
      <c r="I564" s="143" t="n"/>
      <c r="J564" s="143" t="n"/>
      <c r="K564" s="143" t="n"/>
      <c r="L564" s="143" t="n"/>
      <c r="M564" s="143" t="n"/>
      <c r="N564" s="143" t="n"/>
      <c r="O564" s="143" t="n"/>
      <c r="P564" s="143" t="n"/>
      <c r="Q564" s="143" t="n"/>
      <c r="R564" s="143" t="n"/>
      <c r="S564" s="143" t="n"/>
      <c r="T564" s="143" t="n"/>
      <c r="U564" s="143" t="n"/>
      <c r="V564" s="143" t="n"/>
      <c r="W564" s="143" t="n"/>
      <c r="X564" s="143" t="n"/>
      <c r="Y564" s="143" t="n"/>
      <c r="Z564" s="143" t="n"/>
    </row>
    <row r="565" ht="19.5" customHeight="1" s="398">
      <c r="A565" s="149" t="n"/>
      <c r="B565" s="143" t="n"/>
      <c r="C565" s="143" t="n"/>
      <c r="D565" s="143" t="n"/>
      <c r="E565" s="143" t="n"/>
      <c r="F565" s="143" t="n"/>
      <c r="G565" s="143" t="n"/>
      <c r="H565" s="143" t="n"/>
      <c r="I565" s="143" t="n"/>
      <c r="J565" s="143" t="n"/>
      <c r="K565" s="143" t="n"/>
      <c r="L565" s="143" t="n"/>
      <c r="M565" s="143" t="n"/>
      <c r="N565" s="143" t="n"/>
      <c r="O565" s="143" t="n"/>
      <c r="P565" s="143" t="n"/>
      <c r="Q565" s="143" t="n"/>
      <c r="R565" s="143" t="n"/>
      <c r="S565" s="143" t="n"/>
      <c r="T565" s="143" t="n"/>
      <c r="U565" s="143" t="n"/>
      <c r="V565" s="143" t="n"/>
      <c r="W565" s="143" t="n"/>
      <c r="X565" s="143" t="n"/>
      <c r="Y565" s="143" t="n"/>
      <c r="Z565" s="143" t="n"/>
    </row>
    <row r="566" ht="19.5" customHeight="1" s="398">
      <c r="A566" s="149" t="n"/>
      <c r="B566" s="143" t="n"/>
      <c r="C566" s="143" t="n"/>
      <c r="D566" s="143" t="n"/>
      <c r="E566" s="143" t="n"/>
      <c r="F566" s="143" t="n"/>
      <c r="G566" s="143" t="n"/>
      <c r="H566" s="143" t="n"/>
      <c r="I566" s="143" t="n"/>
      <c r="J566" s="143" t="n"/>
      <c r="K566" s="143" t="n"/>
      <c r="L566" s="143" t="n"/>
      <c r="M566" s="143" t="n"/>
      <c r="N566" s="143" t="n"/>
      <c r="O566" s="143" t="n"/>
      <c r="P566" s="143" t="n"/>
      <c r="Q566" s="143" t="n"/>
      <c r="R566" s="143" t="n"/>
      <c r="S566" s="143" t="n"/>
      <c r="T566" s="143" t="n"/>
      <c r="U566" s="143" t="n"/>
      <c r="V566" s="143" t="n"/>
      <c r="W566" s="143" t="n"/>
      <c r="X566" s="143" t="n"/>
      <c r="Y566" s="143" t="n"/>
      <c r="Z566" s="143" t="n"/>
    </row>
    <row r="567" ht="19.5" customHeight="1" s="398">
      <c r="A567" s="149" t="n"/>
      <c r="B567" s="143" t="n"/>
      <c r="C567" s="143" t="n"/>
      <c r="D567" s="143" t="n"/>
      <c r="E567" s="143" t="n"/>
      <c r="F567" s="143" t="n"/>
      <c r="G567" s="143" t="n"/>
      <c r="H567" s="143" t="n"/>
      <c r="I567" s="143" t="n"/>
      <c r="J567" s="143" t="n"/>
      <c r="K567" s="143" t="n"/>
      <c r="L567" s="143" t="n"/>
      <c r="M567" s="143" t="n"/>
      <c r="N567" s="143" t="n"/>
      <c r="O567" s="143" t="n"/>
      <c r="P567" s="143" t="n"/>
      <c r="Q567" s="143" t="n"/>
      <c r="R567" s="143" t="n"/>
      <c r="S567" s="143" t="n"/>
      <c r="T567" s="143" t="n"/>
      <c r="U567" s="143" t="n"/>
      <c r="V567" s="143" t="n"/>
      <c r="W567" s="143" t="n"/>
      <c r="X567" s="143" t="n"/>
      <c r="Y567" s="143" t="n"/>
      <c r="Z567" s="143" t="n"/>
    </row>
    <row r="568" ht="19.5" customHeight="1" s="398">
      <c r="A568" s="149" t="n"/>
      <c r="B568" s="143" t="n"/>
      <c r="C568" s="143" t="n"/>
      <c r="D568" s="143" t="n"/>
      <c r="E568" s="143" t="n"/>
      <c r="F568" s="143" t="n"/>
      <c r="G568" s="143" t="n"/>
      <c r="H568" s="143" t="n"/>
      <c r="I568" s="143" t="n"/>
      <c r="J568" s="143" t="n"/>
      <c r="K568" s="143" t="n"/>
      <c r="L568" s="143" t="n"/>
      <c r="M568" s="143" t="n"/>
      <c r="N568" s="143" t="n"/>
      <c r="O568" s="143" t="n"/>
      <c r="P568" s="143" t="n"/>
      <c r="Q568" s="143" t="n"/>
      <c r="R568" s="143" t="n"/>
      <c r="S568" s="143" t="n"/>
      <c r="T568" s="143" t="n"/>
      <c r="U568" s="143" t="n"/>
      <c r="V568" s="143" t="n"/>
      <c r="W568" s="143" t="n"/>
      <c r="X568" s="143" t="n"/>
      <c r="Y568" s="143" t="n"/>
      <c r="Z568" s="143" t="n"/>
    </row>
    <row r="569" ht="19.5" customHeight="1" s="398">
      <c r="A569" s="149" t="n"/>
      <c r="B569" s="143" t="n"/>
      <c r="C569" s="143" t="n"/>
      <c r="D569" s="143" t="n"/>
      <c r="E569" s="143" t="n"/>
      <c r="F569" s="143" t="n"/>
      <c r="G569" s="143" t="n"/>
      <c r="H569" s="143" t="n"/>
      <c r="I569" s="143" t="n"/>
      <c r="J569" s="143" t="n"/>
      <c r="K569" s="143" t="n"/>
      <c r="L569" s="143" t="n"/>
      <c r="M569" s="143" t="n"/>
      <c r="N569" s="143" t="n"/>
      <c r="O569" s="143" t="n"/>
      <c r="P569" s="143" t="n"/>
      <c r="Q569" s="143" t="n"/>
      <c r="R569" s="143" t="n"/>
      <c r="S569" s="143" t="n"/>
      <c r="T569" s="143" t="n"/>
      <c r="U569" s="143" t="n"/>
      <c r="V569" s="143" t="n"/>
      <c r="W569" s="143" t="n"/>
      <c r="X569" s="143" t="n"/>
      <c r="Y569" s="143" t="n"/>
      <c r="Z569" s="143" t="n"/>
    </row>
    <row r="570" ht="19.5" customHeight="1" s="398">
      <c r="A570" s="149" t="n"/>
      <c r="B570" s="143" t="n"/>
      <c r="C570" s="143" t="n"/>
      <c r="D570" s="143" t="n"/>
      <c r="E570" s="143" t="n"/>
      <c r="F570" s="143" t="n"/>
      <c r="G570" s="143" t="n"/>
      <c r="H570" s="143" t="n"/>
      <c r="I570" s="143" t="n"/>
      <c r="J570" s="143" t="n"/>
      <c r="K570" s="143" t="n"/>
      <c r="L570" s="143" t="n"/>
      <c r="M570" s="143" t="n"/>
      <c r="N570" s="143" t="n"/>
      <c r="O570" s="143" t="n"/>
      <c r="P570" s="143" t="n"/>
      <c r="Q570" s="143" t="n"/>
      <c r="R570" s="143" t="n"/>
      <c r="S570" s="143" t="n"/>
      <c r="T570" s="143" t="n"/>
      <c r="U570" s="143" t="n"/>
      <c r="V570" s="143" t="n"/>
      <c r="W570" s="143" t="n"/>
      <c r="X570" s="143" t="n"/>
      <c r="Y570" s="143" t="n"/>
      <c r="Z570" s="143" t="n"/>
    </row>
    <row r="571" ht="19.5" customHeight="1" s="398">
      <c r="A571" s="149" t="n"/>
      <c r="B571" s="143" t="n"/>
      <c r="C571" s="143" t="n"/>
      <c r="D571" s="143" t="n"/>
      <c r="E571" s="143" t="n"/>
      <c r="F571" s="143" t="n"/>
      <c r="G571" s="143" t="n"/>
      <c r="H571" s="143" t="n"/>
      <c r="I571" s="143" t="n"/>
      <c r="J571" s="143" t="n"/>
      <c r="K571" s="143" t="n"/>
      <c r="L571" s="143" t="n"/>
      <c r="M571" s="143" t="n"/>
      <c r="N571" s="143" t="n"/>
      <c r="O571" s="143" t="n"/>
      <c r="P571" s="143" t="n"/>
      <c r="Q571" s="143" t="n"/>
      <c r="R571" s="143" t="n"/>
      <c r="S571" s="143" t="n"/>
      <c r="T571" s="143" t="n"/>
      <c r="U571" s="143" t="n"/>
      <c r="V571" s="143" t="n"/>
      <c r="W571" s="143" t="n"/>
      <c r="X571" s="143" t="n"/>
      <c r="Y571" s="143" t="n"/>
      <c r="Z571" s="143" t="n"/>
    </row>
    <row r="572" ht="19.5" customHeight="1" s="398">
      <c r="A572" s="149" t="n"/>
      <c r="B572" s="143" t="n"/>
      <c r="C572" s="143" t="n"/>
      <c r="D572" s="143" t="n"/>
      <c r="E572" s="143" t="n"/>
      <c r="F572" s="143" t="n"/>
      <c r="G572" s="143" t="n"/>
      <c r="H572" s="143" t="n"/>
      <c r="I572" s="143" t="n"/>
      <c r="J572" s="143" t="n"/>
      <c r="K572" s="143" t="n"/>
      <c r="L572" s="143" t="n"/>
      <c r="M572" s="143" t="n"/>
      <c r="N572" s="143" t="n"/>
      <c r="O572" s="143" t="n"/>
      <c r="P572" s="143" t="n"/>
      <c r="Q572" s="143" t="n"/>
      <c r="R572" s="143" t="n"/>
      <c r="S572" s="143" t="n"/>
      <c r="T572" s="143" t="n"/>
      <c r="U572" s="143" t="n"/>
      <c r="V572" s="143" t="n"/>
      <c r="W572" s="143" t="n"/>
      <c r="X572" s="143" t="n"/>
      <c r="Y572" s="143" t="n"/>
      <c r="Z572" s="143" t="n"/>
    </row>
    <row r="573" ht="19.5" customHeight="1" s="398">
      <c r="A573" s="149" t="n"/>
      <c r="B573" s="143" t="n"/>
      <c r="C573" s="143" t="n"/>
      <c r="D573" s="143" t="n"/>
      <c r="E573" s="143" t="n"/>
      <c r="F573" s="143" t="n"/>
      <c r="G573" s="143" t="n"/>
      <c r="H573" s="143" t="n"/>
      <c r="I573" s="143" t="n"/>
      <c r="J573" s="143" t="n"/>
      <c r="K573" s="143" t="n"/>
      <c r="L573" s="143" t="n"/>
      <c r="M573" s="143" t="n"/>
      <c r="N573" s="143" t="n"/>
      <c r="O573" s="143" t="n"/>
      <c r="P573" s="143" t="n"/>
      <c r="Q573" s="143" t="n"/>
      <c r="R573" s="143" t="n"/>
      <c r="S573" s="143" t="n"/>
      <c r="T573" s="143" t="n"/>
      <c r="U573" s="143" t="n"/>
      <c r="V573" s="143" t="n"/>
      <c r="W573" s="143" t="n"/>
      <c r="X573" s="143" t="n"/>
      <c r="Y573" s="143" t="n"/>
      <c r="Z573" s="143" t="n"/>
    </row>
    <row r="574" ht="19.5" customHeight="1" s="398">
      <c r="A574" s="149" t="n"/>
      <c r="B574" s="143" t="n"/>
      <c r="C574" s="143" t="n"/>
      <c r="D574" s="143" t="n"/>
      <c r="E574" s="143" t="n"/>
      <c r="F574" s="143" t="n"/>
      <c r="G574" s="143" t="n"/>
      <c r="H574" s="143" t="n"/>
      <c r="I574" s="143" t="n"/>
      <c r="J574" s="143" t="n"/>
      <c r="K574" s="143" t="n"/>
      <c r="L574" s="143" t="n"/>
      <c r="M574" s="143" t="n"/>
      <c r="N574" s="143" t="n"/>
      <c r="O574" s="143" t="n"/>
      <c r="P574" s="143" t="n"/>
      <c r="Q574" s="143" t="n"/>
      <c r="R574" s="143" t="n"/>
      <c r="S574" s="143" t="n"/>
      <c r="T574" s="143" t="n"/>
      <c r="U574" s="143" t="n"/>
      <c r="V574" s="143" t="n"/>
      <c r="W574" s="143" t="n"/>
      <c r="X574" s="143" t="n"/>
      <c r="Y574" s="143" t="n"/>
      <c r="Z574" s="143" t="n"/>
    </row>
    <row r="575" ht="19.5" customHeight="1" s="398">
      <c r="A575" s="149" t="n"/>
      <c r="B575" s="143" t="n"/>
      <c r="C575" s="143" t="n"/>
      <c r="D575" s="143" t="n"/>
      <c r="E575" s="143" t="n"/>
      <c r="F575" s="143" t="n"/>
      <c r="G575" s="143" t="n"/>
      <c r="H575" s="143" t="n"/>
      <c r="I575" s="143" t="n"/>
      <c r="J575" s="143" t="n"/>
      <c r="K575" s="143" t="n"/>
      <c r="L575" s="143" t="n"/>
      <c r="M575" s="143" t="n"/>
      <c r="N575" s="143" t="n"/>
      <c r="O575" s="143" t="n"/>
      <c r="P575" s="143" t="n"/>
      <c r="Q575" s="143" t="n"/>
      <c r="R575" s="143" t="n"/>
      <c r="S575" s="143" t="n"/>
      <c r="T575" s="143" t="n"/>
      <c r="U575" s="143" t="n"/>
      <c r="V575" s="143" t="n"/>
      <c r="W575" s="143" t="n"/>
      <c r="X575" s="143" t="n"/>
      <c r="Y575" s="143" t="n"/>
      <c r="Z575" s="143" t="n"/>
    </row>
    <row r="576" ht="19.5" customHeight="1" s="398">
      <c r="A576" s="149" t="n"/>
      <c r="B576" s="143" t="n"/>
      <c r="C576" s="143" t="n"/>
      <c r="D576" s="143" t="n"/>
      <c r="E576" s="143" t="n"/>
      <c r="F576" s="143" t="n"/>
      <c r="G576" s="143" t="n"/>
      <c r="H576" s="143" t="n"/>
      <c r="I576" s="143" t="n"/>
      <c r="J576" s="143" t="n"/>
      <c r="K576" s="143" t="n"/>
      <c r="L576" s="143" t="n"/>
      <c r="M576" s="143" t="n"/>
      <c r="N576" s="143" t="n"/>
      <c r="O576" s="143" t="n"/>
      <c r="P576" s="143" t="n"/>
      <c r="Q576" s="143" t="n"/>
      <c r="R576" s="143" t="n"/>
      <c r="S576" s="143" t="n"/>
      <c r="T576" s="143" t="n"/>
      <c r="U576" s="143" t="n"/>
      <c r="V576" s="143" t="n"/>
      <c r="W576" s="143" t="n"/>
      <c r="X576" s="143" t="n"/>
      <c r="Y576" s="143" t="n"/>
      <c r="Z576" s="143" t="n"/>
    </row>
    <row r="577" ht="19.5" customHeight="1" s="398">
      <c r="A577" s="149" t="n"/>
      <c r="B577" s="143" t="n"/>
      <c r="C577" s="143" t="n"/>
      <c r="D577" s="143" t="n"/>
      <c r="E577" s="143" t="n"/>
      <c r="F577" s="143" t="n"/>
      <c r="G577" s="143" t="n"/>
      <c r="H577" s="143" t="n"/>
      <c r="I577" s="143" t="n"/>
      <c r="J577" s="143" t="n"/>
      <c r="K577" s="143" t="n"/>
      <c r="L577" s="143" t="n"/>
      <c r="M577" s="143" t="n"/>
      <c r="N577" s="143" t="n"/>
      <c r="O577" s="143" t="n"/>
      <c r="P577" s="143" t="n"/>
      <c r="Q577" s="143" t="n"/>
      <c r="R577" s="143" t="n"/>
      <c r="S577" s="143" t="n"/>
      <c r="T577" s="143" t="n"/>
      <c r="U577" s="143" t="n"/>
      <c r="V577" s="143" t="n"/>
      <c r="W577" s="143" t="n"/>
      <c r="X577" s="143" t="n"/>
      <c r="Y577" s="143" t="n"/>
      <c r="Z577" s="143" t="n"/>
    </row>
    <row r="578" ht="19.5" customHeight="1" s="398">
      <c r="A578" s="149" t="n"/>
      <c r="B578" s="143" t="n"/>
      <c r="C578" s="143" t="n"/>
      <c r="D578" s="143" t="n"/>
      <c r="E578" s="143" t="n"/>
      <c r="F578" s="143" t="n"/>
      <c r="G578" s="143" t="n"/>
      <c r="H578" s="143" t="n"/>
      <c r="I578" s="143" t="n"/>
      <c r="J578" s="143" t="n"/>
      <c r="K578" s="143" t="n"/>
      <c r="L578" s="143" t="n"/>
      <c r="M578" s="143" t="n"/>
      <c r="N578" s="143" t="n"/>
      <c r="O578" s="143" t="n"/>
      <c r="P578" s="143" t="n"/>
      <c r="Q578" s="143" t="n"/>
      <c r="R578" s="143" t="n"/>
      <c r="S578" s="143" t="n"/>
      <c r="T578" s="143" t="n"/>
      <c r="U578" s="143" t="n"/>
      <c r="V578" s="143" t="n"/>
      <c r="W578" s="143" t="n"/>
      <c r="X578" s="143" t="n"/>
      <c r="Y578" s="143" t="n"/>
      <c r="Z578" s="143" t="n"/>
    </row>
    <row r="579" ht="19.5" customHeight="1" s="398">
      <c r="A579" s="149" t="n"/>
      <c r="B579" s="143" t="n"/>
      <c r="C579" s="143" t="n"/>
      <c r="D579" s="143" t="n"/>
      <c r="E579" s="143" t="n"/>
      <c r="F579" s="143" t="n"/>
      <c r="G579" s="143" t="n"/>
      <c r="H579" s="143" t="n"/>
      <c r="I579" s="143" t="n"/>
      <c r="J579" s="143" t="n"/>
      <c r="K579" s="143" t="n"/>
      <c r="L579" s="143" t="n"/>
      <c r="M579" s="143" t="n"/>
      <c r="N579" s="143" t="n"/>
      <c r="O579" s="143" t="n"/>
      <c r="P579" s="143" t="n"/>
      <c r="Q579" s="143" t="n"/>
      <c r="R579" s="143" t="n"/>
      <c r="S579" s="143" t="n"/>
      <c r="T579" s="143" t="n"/>
      <c r="U579" s="143" t="n"/>
      <c r="V579" s="143" t="n"/>
      <c r="W579" s="143" t="n"/>
      <c r="X579" s="143" t="n"/>
      <c r="Y579" s="143" t="n"/>
      <c r="Z579" s="143" t="n"/>
    </row>
    <row r="580" ht="19.5" customHeight="1" s="398">
      <c r="A580" s="149" t="n"/>
      <c r="B580" s="143" t="n"/>
      <c r="C580" s="143" t="n"/>
      <c r="D580" s="143" t="n"/>
      <c r="E580" s="143" t="n"/>
      <c r="F580" s="143" t="n"/>
      <c r="G580" s="143" t="n"/>
      <c r="H580" s="143" t="n"/>
      <c r="I580" s="143" t="n"/>
      <c r="J580" s="143" t="n"/>
      <c r="K580" s="143" t="n"/>
      <c r="L580" s="143" t="n"/>
      <c r="M580" s="143" t="n"/>
      <c r="N580" s="143" t="n"/>
      <c r="O580" s="143" t="n"/>
      <c r="P580" s="143" t="n"/>
      <c r="Q580" s="143" t="n"/>
      <c r="R580" s="143" t="n"/>
      <c r="S580" s="143" t="n"/>
      <c r="T580" s="143" t="n"/>
      <c r="U580" s="143" t="n"/>
      <c r="V580" s="143" t="n"/>
      <c r="W580" s="143" t="n"/>
      <c r="X580" s="143" t="n"/>
      <c r="Y580" s="143" t="n"/>
      <c r="Z580" s="143" t="n"/>
    </row>
    <row r="581" ht="19.5" customHeight="1" s="398">
      <c r="A581" s="149" t="n"/>
      <c r="B581" s="143" t="n"/>
      <c r="C581" s="143" t="n"/>
      <c r="D581" s="143" t="n"/>
      <c r="E581" s="143" t="n"/>
      <c r="F581" s="143" t="n"/>
      <c r="G581" s="143" t="n"/>
      <c r="H581" s="143" t="n"/>
      <c r="I581" s="143" t="n"/>
      <c r="J581" s="143" t="n"/>
      <c r="K581" s="143" t="n"/>
      <c r="L581" s="143" t="n"/>
      <c r="M581" s="143" t="n"/>
      <c r="N581" s="143" t="n"/>
      <c r="O581" s="143" t="n"/>
      <c r="P581" s="143" t="n"/>
      <c r="Q581" s="143" t="n"/>
      <c r="R581" s="143" t="n"/>
      <c r="S581" s="143" t="n"/>
      <c r="T581" s="143" t="n"/>
      <c r="U581" s="143" t="n"/>
      <c r="V581" s="143" t="n"/>
      <c r="W581" s="143" t="n"/>
      <c r="X581" s="143" t="n"/>
      <c r="Y581" s="143" t="n"/>
      <c r="Z581" s="143" t="n"/>
    </row>
    <row r="582" ht="19.5" customHeight="1" s="398">
      <c r="A582" s="149" t="n"/>
      <c r="B582" s="143" t="n"/>
      <c r="C582" s="143" t="n"/>
      <c r="D582" s="143" t="n"/>
      <c r="E582" s="143" t="n"/>
      <c r="F582" s="143" t="n"/>
      <c r="G582" s="143" t="n"/>
      <c r="H582" s="143" t="n"/>
      <c r="I582" s="143" t="n"/>
      <c r="J582" s="143" t="n"/>
      <c r="K582" s="143" t="n"/>
      <c r="L582" s="143" t="n"/>
      <c r="M582" s="143" t="n"/>
      <c r="N582" s="143" t="n"/>
      <c r="O582" s="143" t="n"/>
      <c r="P582" s="143" t="n"/>
      <c r="Q582" s="143" t="n"/>
      <c r="R582" s="143" t="n"/>
      <c r="S582" s="143" t="n"/>
      <c r="T582" s="143" t="n"/>
      <c r="U582" s="143" t="n"/>
      <c r="V582" s="143" t="n"/>
      <c r="W582" s="143" t="n"/>
      <c r="X582" s="143" t="n"/>
      <c r="Y582" s="143" t="n"/>
      <c r="Z582" s="143" t="n"/>
    </row>
    <row r="583" ht="19.5" customHeight="1" s="398">
      <c r="A583" s="149" t="n"/>
      <c r="B583" s="143" t="n"/>
      <c r="C583" s="143" t="n"/>
      <c r="D583" s="143" t="n"/>
      <c r="E583" s="143" t="n"/>
      <c r="F583" s="143" t="n"/>
      <c r="G583" s="143" t="n"/>
      <c r="H583" s="143" t="n"/>
      <c r="I583" s="143" t="n"/>
      <c r="J583" s="143" t="n"/>
      <c r="K583" s="143" t="n"/>
      <c r="L583" s="143" t="n"/>
      <c r="M583" s="143" t="n"/>
      <c r="N583" s="143" t="n"/>
      <c r="O583" s="143" t="n"/>
      <c r="P583" s="143" t="n"/>
      <c r="Q583" s="143" t="n"/>
      <c r="R583" s="143" t="n"/>
      <c r="S583" s="143" t="n"/>
      <c r="T583" s="143" t="n"/>
      <c r="U583" s="143" t="n"/>
      <c r="V583" s="143" t="n"/>
      <c r="W583" s="143" t="n"/>
      <c r="X583" s="143" t="n"/>
      <c r="Y583" s="143" t="n"/>
      <c r="Z583" s="143" t="n"/>
    </row>
    <row r="584" ht="19.5" customHeight="1" s="398">
      <c r="A584" s="149" t="n"/>
      <c r="B584" s="143" t="n"/>
      <c r="C584" s="143" t="n"/>
      <c r="D584" s="143" t="n"/>
      <c r="E584" s="143" t="n"/>
      <c r="F584" s="143" t="n"/>
      <c r="G584" s="143" t="n"/>
      <c r="H584" s="143" t="n"/>
      <c r="I584" s="143" t="n"/>
      <c r="J584" s="143" t="n"/>
      <c r="K584" s="143" t="n"/>
      <c r="L584" s="143" t="n"/>
      <c r="M584" s="143" t="n"/>
      <c r="N584" s="143" t="n"/>
      <c r="O584" s="143" t="n"/>
      <c r="P584" s="143" t="n"/>
      <c r="Q584" s="143" t="n"/>
      <c r="R584" s="143" t="n"/>
      <c r="S584" s="143" t="n"/>
      <c r="T584" s="143" t="n"/>
      <c r="U584" s="143" t="n"/>
      <c r="V584" s="143" t="n"/>
      <c r="W584" s="143" t="n"/>
      <c r="X584" s="143" t="n"/>
      <c r="Y584" s="143" t="n"/>
      <c r="Z584" s="143" t="n"/>
    </row>
    <row r="585" ht="19.5" customHeight="1" s="398">
      <c r="A585" s="149" t="n"/>
      <c r="B585" s="143" t="n"/>
      <c r="C585" s="143" t="n"/>
      <c r="D585" s="143" t="n"/>
      <c r="E585" s="143" t="n"/>
      <c r="F585" s="143" t="n"/>
      <c r="G585" s="143" t="n"/>
      <c r="H585" s="143" t="n"/>
      <c r="I585" s="143" t="n"/>
      <c r="J585" s="143" t="n"/>
      <c r="K585" s="143" t="n"/>
      <c r="L585" s="143" t="n"/>
      <c r="M585" s="143" t="n"/>
      <c r="N585" s="143" t="n"/>
      <c r="O585" s="143" t="n"/>
      <c r="P585" s="143" t="n"/>
      <c r="Q585" s="143" t="n"/>
      <c r="R585" s="143" t="n"/>
      <c r="S585" s="143" t="n"/>
      <c r="T585" s="143" t="n"/>
      <c r="U585" s="143" t="n"/>
      <c r="V585" s="143" t="n"/>
      <c r="W585" s="143" t="n"/>
      <c r="X585" s="143" t="n"/>
      <c r="Y585" s="143" t="n"/>
      <c r="Z585" s="143" t="n"/>
    </row>
    <row r="586" ht="19.5" customHeight="1" s="398">
      <c r="A586" s="149" t="n"/>
      <c r="B586" s="143" t="n"/>
      <c r="C586" s="143" t="n"/>
      <c r="D586" s="143" t="n"/>
      <c r="E586" s="143" t="n"/>
      <c r="F586" s="143" t="n"/>
      <c r="G586" s="143" t="n"/>
      <c r="H586" s="143" t="n"/>
      <c r="I586" s="143" t="n"/>
      <c r="J586" s="143" t="n"/>
      <c r="K586" s="143" t="n"/>
      <c r="L586" s="143" t="n"/>
      <c r="M586" s="143" t="n"/>
      <c r="N586" s="143" t="n"/>
      <c r="O586" s="143" t="n"/>
      <c r="P586" s="143" t="n"/>
      <c r="Q586" s="143" t="n"/>
      <c r="R586" s="143" t="n"/>
      <c r="S586" s="143" t="n"/>
      <c r="T586" s="143" t="n"/>
      <c r="U586" s="143" t="n"/>
      <c r="V586" s="143" t="n"/>
      <c r="W586" s="143" t="n"/>
      <c r="X586" s="143" t="n"/>
      <c r="Y586" s="143" t="n"/>
      <c r="Z586" s="143" t="n"/>
    </row>
    <row r="587" ht="19.5" customHeight="1" s="398">
      <c r="A587" s="149" t="n"/>
      <c r="B587" s="143" t="n"/>
      <c r="C587" s="143" t="n"/>
      <c r="D587" s="143" t="n"/>
      <c r="E587" s="143" t="n"/>
      <c r="F587" s="143" t="n"/>
      <c r="G587" s="143" t="n"/>
      <c r="H587" s="143" t="n"/>
      <c r="I587" s="143" t="n"/>
      <c r="J587" s="143" t="n"/>
      <c r="K587" s="143" t="n"/>
      <c r="L587" s="143" t="n"/>
      <c r="M587" s="143" t="n"/>
      <c r="N587" s="143" t="n"/>
      <c r="O587" s="143" t="n"/>
      <c r="P587" s="143" t="n"/>
      <c r="Q587" s="143" t="n"/>
      <c r="R587" s="143" t="n"/>
      <c r="S587" s="143" t="n"/>
      <c r="T587" s="143" t="n"/>
      <c r="U587" s="143" t="n"/>
      <c r="V587" s="143" t="n"/>
      <c r="W587" s="143" t="n"/>
      <c r="X587" s="143" t="n"/>
      <c r="Y587" s="143" t="n"/>
      <c r="Z587" s="143" t="n"/>
    </row>
    <row r="588" ht="19.5" customHeight="1" s="398">
      <c r="A588" s="149" t="n"/>
      <c r="B588" s="143" t="n"/>
      <c r="C588" s="143" t="n"/>
      <c r="D588" s="143" t="n"/>
      <c r="E588" s="143" t="n"/>
      <c r="F588" s="143" t="n"/>
      <c r="G588" s="143" t="n"/>
      <c r="H588" s="143" t="n"/>
      <c r="I588" s="143" t="n"/>
      <c r="J588" s="143" t="n"/>
      <c r="K588" s="143" t="n"/>
      <c r="L588" s="143" t="n"/>
      <c r="M588" s="143" t="n"/>
      <c r="N588" s="143" t="n"/>
      <c r="O588" s="143" t="n"/>
      <c r="P588" s="143" t="n"/>
      <c r="Q588" s="143" t="n"/>
      <c r="R588" s="143" t="n"/>
      <c r="S588" s="143" t="n"/>
      <c r="T588" s="143" t="n"/>
      <c r="U588" s="143" t="n"/>
      <c r="V588" s="143" t="n"/>
      <c r="W588" s="143" t="n"/>
      <c r="X588" s="143" t="n"/>
      <c r="Y588" s="143" t="n"/>
      <c r="Z588" s="143" t="n"/>
    </row>
    <row r="589" ht="19.5" customHeight="1" s="398">
      <c r="A589" s="149" t="n"/>
      <c r="B589" s="143" t="n"/>
      <c r="C589" s="143" t="n"/>
      <c r="D589" s="143" t="n"/>
      <c r="E589" s="143" t="n"/>
      <c r="F589" s="143" t="n"/>
      <c r="G589" s="143" t="n"/>
      <c r="H589" s="143" t="n"/>
      <c r="I589" s="143" t="n"/>
      <c r="J589" s="143" t="n"/>
      <c r="K589" s="143" t="n"/>
      <c r="L589" s="143" t="n"/>
      <c r="M589" s="143" t="n"/>
      <c r="N589" s="143" t="n"/>
      <c r="O589" s="143" t="n"/>
      <c r="P589" s="143" t="n"/>
      <c r="Q589" s="143" t="n"/>
      <c r="R589" s="143" t="n"/>
      <c r="S589" s="143" t="n"/>
      <c r="T589" s="143" t="n"/>
      <c r="U589" s="143" t="n"/>
      <c r="V589" s="143" t="n"/>
      <c r="W589" s="143" t="n"/>
      <c r="X589" s="143" t="n"/>
      <c r="Y589" s="143" t="n"/>
      <c r="Z589" s="143" t="n"/>
    </row>
    <row r="590" ht="19.5" customHeight="1" s="398">
      <c r="A590" s="149" t="n"/>
      <c r="B590" s="143" t="n"/>
      <c r="C590" s="143" t="n"/>
      <c r="D590" s="143" t="n"/>
      <c r="E590" s="143" t="n"/>
      <c r="F590" s="143" t="n"/>
      <c r="G590" s="143" t="n"/>
      <c r="H590" s="143" t="n"/>
      <c r="I590" s="143" t="n"/>
      <c r="J590" s="143" t="n"/>
      <c r="K590" s="143" t="n"/>
      <c r="L590" s="143" t="n"/>
      <c r="M590" s="143" t="n"/>
      <c r="N590" s="143" t="n"/>
      <c r="O590" s="143" t="n"/>
      <c r="P590" s="143" t="n"/>
      <c r="Q590" s="143" t="n"/>
      <c r="R590" s="143" t="n"/>
      <c r="S590" s="143" t="n"/>
      <c r="T590" s="143" t="n"/>
      <c r="U590" s="143" t="n"/>
      <c r="V590" s="143" t="n"/>
      <c r="W590" s="143" t="n"/>
      <c r="X590" s="143" t="n"/>
      <c r="Y590" s="143" t="n"/>
      <c r="Z590" s="143" t="n"/>
    </row>
    <row r="591" ht="19.5" customHeight="1" s="398">
      <c r="A591" s="149" t="n"/>
      <c r="B591" s="143" t="n"/>
      <c r="C591" s="143" t="n"/>
      <c r="D591" s="143" t="n"/>
      <c r="E591" s="143" t="n"/>
      <c r="F591" s="143" t="n"/>
      <c r="G591" s="143" t="n"/>
      <c r="H591" s="143" t="n"/>
      <c r="I591" s="143" t="n"/>
      <c r="J591" s="143" t="n"/>
      <c r="K591" s="143" t="n"/>
      <c r="L591" s="143" t="n"/>
      <c r="M591" s="143" t="n"/>
      <c r="N591" s="143" t="n"/>
      <c r="O591" s="143" t="n"/>
      <c r="P591" s="143" t="n"/>
      <c r="Q591" s="143" t="n"/>
      <c r="R591" s="143" t="n"/>
      <c r="S591" s="143" t="n"/>
      <c r="T591" s="143" t="n"/>
      <c r="U591" s="143" t="n"/>
      <c r="V591" s="143" t="n"/>
      <c r="W591" s="143" t="n"/>
      <c r="X591" s="143" t="n"/>
      <c r="Y591" s="143" t="n"/>
      <c r="Z591" s="143" t="n"/>
    </row>
    <row r="592" ht="19.5" customHeight="1" s="398">
      <c r="A592" s="149" t="n"/>
      <c r="B592" s="143" t="n"/>
      <c r="C592" s="143" t="n"/>
      <c r="D592" s="143" t="n"/>
      <c r="E592" s="143" t="n"/>
      <c r="F592" s="143" t="n"/>
      <c r="G592" s="143" t="n"/>
      <c r="H592" s="143" t="n"/>
      <c r="I592" s="143" t="n"/>
      <c r="J592" s="143" t="n"/>
      <c r="K592" s="143" t="n"/>
      <c r="L592" s="143" t="n"/>
      <c r="M592" s="143" t="n"/>
      <c r="N592" s="143" t="n"/>
      <c r="O592" s="143" t="n"/>
      <c r="P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143" t="n"/>
      <c r="Z592" s="143" t="n"/>
    </row>
    <row r="593" ht="19.5" customHeight="1" s="398">
      <c r="A593" s="149" t="n"/>
      <c r="B593" s="143" t="n"/>
      <c r="C593" s="143" t="n"/>
      <c r="D593" s="143" t="n"/>
      <c r="E593" s="143" t="n"/>
      <c r="F593" s="143" t="n"/>
      <c r="G593" s="143" t="n"/>
      <c r="H593" s="143" t="n"/>
      <c r="I593" s="143" t="n"/>
      <c r="J593" s="143" t="n"/>
      <c r="K593" s="143" t="n"/>
      <c r="L593" s="143" t="n"/>
      <c r="M593" s="143" t="n"/>
      <c r="N593" s="143" t="n"/>
      <c r="O593" s="143" t="n"/>
      <c r="P593" s="143" t="n"/>
      <c r="Q593" s="143" t="n"/>
      <c r="R593" s="143" t="n"/>
      <c r="S593" s="143" t="n"/>
      <c r="T593" s="143" t="n"/>
      <c r="U593" s="143" t="n"/>
      <c r="V593" s="143" t="n"/>
      <c r="W593" s="143" t="n"/>
      <c r="X593" s="143" t="n"/>
      <c r="Y593" s="143" t="n"/>
      <c r="Z593" s="143" t="n"/>
    </row>
    <row r="594" ht="19.5" customHeight="1" s="398">
      <c r="A594" s="149" t="n"/>
      <c r="B594" s="143" t="n"/>
      <c r="C594" s="143" t="n"/>
      <c r="D594" s="143" t="n"/>
      <c r="E594" s="143" t="n"/>
      <c r="F594" s="143" t="n"/>
      <c r="G594" s="143" t="n"/>
      <c r="H594" s="143" t="n"/>
      <c r="I594" s="143" t="n"/>
      <c r="J594" s="143" t="n"/>
      <c r="K594" s="143" t="n"/>
      <c r="L594" s="143" t="n"/>
      <c r="M594" s="143" t="n"/>
      <c r="N594" s="143" t="n"/>
      <c r="O594" s="143" t="n"/>
      <c r="P594" s="143" t="n"/>
      <c r="Q594" s="143" t="n"/>
      <c r="R594" s="143" t="n"/>
      <c r="S594" s="143" t="n"/>
      <c r="T594" s="143" t="n"/>
      <c r="U594" s="143" t="n"/>
      <c r="V594" s="143" t="n"/>
      <c r="W594" s="143" t="n"/>
      <c r="X594" s="143" t="n"/>
      <c r="Y594" s="143" t="n"/>
      <c r="Z594" s="143" t="n"/>
    </row>
    <row r="595" ht="19.5" customHeight="1" s="398">
      <c r="A595" s="149" t="n"/>
      <c r="B595" s="143" t="n"/>
      <c r="C595" s="143" t="n"/>
      <c r="D595" s="143" t="n"/>
      <c r="E595" s="143" t="n"/>
      <c r="F595" s="143" t="n"/>
      <c r="G595" s="143" t="n"/>
      <c r="H595" s="143" t="n"/>
      <c r="I595" s="143" t="n"/>
      <c r="J595" s="143" t="n"/>
      <c r="K595" s="143" t="n"/>
      <c r="L595" s="143" t="n"/>
      <c r="M595" s="143" t="n"/>
      <c r="N595" s="143" t="n"/>
      <c r="O595" s="143" t="n"/>
      <c r="P595" s="143" t="n"/>
      <c r="Q595" s="143" t="n"/>
      <c r="R595" s="143" t="n"/>
      <c r="S595" s="143" t="n"/>
      <c r="T595" s="143" t="n"/>
      <c r="U595" s="143" t="n"/>
      <c r="V595" s="143" t="n"/>
      <c r="W595" s="143" t="n"/>
      <c r="X595" s="143" t="n"/>
      <c r="Y595" s="143" t="n"/>
      <c r="Z595" s="143" t="n"/>
    </row>
    <row r="596" ht="19.5" customHeight="1" s="398">
      <c r="A596" s="149" t="n"/>
      <c r="B596" s="143" t="n"/>
      <c r="C596" s="143" t="n"/>
      <c r="D596" s="143" t="n"/>
      <c r="E596" s="143" t="n"/>
      <c r="F596" s="143" t="n"/>
      <c r="G596" s="143" t="n"/>
      <c r="H596" s="143" t="n"/>
      <c r="I596" s="143" t="n"/>
      <c r="J596" s="143" t="n"/>
      <c r="K596" s="143" t="n"/>
      <c r="L596" s="143" t="n"/>
      <c r="M596" s="143" t="n"/>
      <c r="N596" s="143" t="n"/>
      <c r="O596" s="143" t="n"/>
      <c r="P596" s="143" t="n"/>
      <c r="Q596" s="143" t="n"/>
      <c r="R596" s="143" t="n"/>
      <c r="S596" s="143" t="n"/>
      <c r="T596" s="143" t="n"/>
      <c r="U596" s="143" t="n"/>
      <c r="V596" s="143" t="n"/>
      <c r="W596" s="143" t="n"/>
      <c r="X596" s="143" t="n"/>
      <c r="Y596" s="143" t="n"/>
      <c r="Z596" s="143" t="n"/>
    </row>
    <row r="597" ht="19.5" customHeight="1" s="398">
      <c r="A597" s="149" t="n"/>
      <c r="B597" s="143" t="n"/>
      <c r="C597" s="143" t="n"/>
      <c r="D597" s="143" t="n"/>
      <c r="E597" s="143" t="n"/>
      <c r="F597" s="143" t="n"/>
      <c r="G597" s="143" t="n"/>
      <c r="H597" s="143" t="n"/>
      <c r="I597" s="143" t="n"/>
      <c r="J597" s="143" t="n"/>
      <c r="K597" s="143" t="n"/>
      <c r="L597" s="143" t="n"/>
      <c r="M597" s="143" t="n"/>
      <c r="N597" s="143" t="n"/>
      <c r="O597" s="143" t="n"/>
      <c r="P597" s="143" t="n"/>
      <c r="Q597" s="143" t="n"/>
      <c r="R597" s="143" t="n"/>
      <c r="S597" s="143" t="n"/>
      <c r="T597" s="143" t="n"/>
      <c r="U597" s="143" t="n"/>
      <c r="V597" s="143" t="n"/>
      <c r="W597" s="143" t="n"/>
      <c r="X597" s="143" t="n"/>
      <c r="Y597" s="143" t="n"/>
      <c r="Z597" s="143" t="n"/>
    </row>
    <row r="598" ht="19.5" customHeight="1" s="398">
      <c r="A598" s="149" t="n"/>
      <c r="B598" s="143" t="n"/>
      <c r="C598" s="143" t="n"/>
      <c r="D598" s="143" t="n"/>
      <c r="E598" s="143" t="n"/>
      <c r="F598" s="143" t="n"/>
      <c r="G598" s="143" t="n"/>
      <c r="H598" s="143" t="n"/>
      <c r="I598" s="143" t="n"/>
      <c r="J598" s="143" t="n"/>
      <c r="K598" s="143" t="n"/>
      <c r="L598" s="143" t="n"/>
      <c r="M598" s="143" t="n"/>
      <c r="N598" s="143" t="n"/>
      <c r="O598" s="143" t="n"/>
      <c r="P598" s="143" t="n"/>
      <c r="Q598" s="143" t="n"/>
      <c r="R598" s="143" t="n"/>
      <c r="S598" s="143" t="n"/>
      <c r="T598" s="143" t="n"/>
      <c r="U598" s="143" t="n"/>
      <c r="V598" s="143" t="n"/>
      <c r="W598" s="143" t="n"/>
      <c r="X598" s="143" t="n"/>
      <c r="Y598" s="143" t="n"/>
      <c r="Z598" s="143" t="n"/>
    </row>
    <row r="599" ht="19.5" customHeight="1" s="398">
      <c r="A599" s="149" t="n"/>
      <c r="B599" s="143" t="n"/>
      <c r="C599" s="143" t="n"/>
      <c r="D599" s="143" t="n"/>
      <c r="E599" s="143" t="n"/>
      <c r="F599" s="143" t="n"/>
      <c r="G599" s="143" t="n"/>
      <c r="H599" s="143" t="n"/>
      <c r="I599" s="143" t="n"/>
      <c r="J599" s="143" t="n"/>
      <c r="K599" s="143" t="n"/>
      <c r="L599" s="143" t="n"/>
      <c r="M599" s="143" t="n"/>
      <c r="N599" s="143" t="n"/>
      <c r="O599" s="143" t="n"/>
      <c r="P599" s="143" t="n"/>
      <c r="Q599" s="143" t="n"/>
      <c r="R599" s="143" t="n"/>
      <c r="S599" s="143" t="n"/>
      <c r="T599" s="143" t="n"/>
      <c r="U599" s="143" t="n"/>
      <c r="V599" s="143" t="n"/>
      <c r="W599" s="143" t="n"/>
      <c r="X599" s="143" t="n"/>
      <c r="Y599" s="143" t="n"/>
      <c r="Z599" s="143" t="n"/>
    </row>
    <row r="600" ht="19.5" customHeight="1" s="398">
      <c r="A600" s="149" t="n"/>
      <c r="B600" s="143" t="n"/>
      <c r="C600" s="143" t="n"/>
      <c r="D600" s="143" t="n"/>
      <c r="E600" s="143" t="n"/>
      <c r="F600" s="143" t="n"/>
      <c r="G600" s="143" t="n"/>
      <c r="H600" s="143" t="n"/>
      <c r="I600" s="143" t="n"/>
      <c r="J600" s="143" t="n"/>
      <c r="K600" s="143" t="n"/>
      <c r="L600" s="143" t="n"/>
      <c r="M600" s="143" t="n"/>
      <c r="N600" s="143" t="n"/>
      <c r="O600" s="143" t="n"/>
      <c r="P600" s="143" t="n"/>
      <c r="Q600" s="143" t="n"/>
      <c r="R600" s="143" t="n"/>
      <c r="S600" s="143" t="n"/>
      <c r="T600" s="143" t="n"/>
      <c r="U600" s="143" t="n"/>
      <c r="V600" s="143" t="n"/>
      <c r="W600" s="143" t="n"/>
      <c r="X600" s="143" t="n"/>
      <c r="Y600" s="143" t="n"/>
      <c r="Z600" s="143" t="n"/>
    </row>
    <row r="601" ht="19.5" customHeight="1" s="398">
      <c r="A601" s="149" t="n"/>
      <c r="B601" s="143" t="n"/>
      <c r="C601" s="143" t="n"/>
      <c r="D601" s="143" t="n"/>
      <c r="E601" s="143" t="n"/>
      <c r="F601" s="143" t="n"/>
      <c r="G601" s="143" t="n"/>
      <c r="H601" s="143" t="n"/>
      <c r="I601" s="143" t="n"/>
      <c r="J601" s="143" t="n"/>
      <c r="K601" s="143" t="n"/>
      <c r="L601" s="143" t="n"/>
      <c r="M601" s="143" t="n"/>
      <c r="N601" s="143" t="n"/>
      <c r="O601" s="143" t="n"/>
      <c r="P601" s="143" t="n"/>
      <c r="Q601" s="143" t="n"/>
      <c r="R601" s="143" t="n"/>
      <c r="S601" s="143" t="n"/>
      <c r="T601" s="143" t="n"/>
      <c r="U601" s="143" t="n"/>
      <c r="V601" s="143" t="n"/>
      <c r="W601" s="143" t="n"/>
      <c r="X601" s="143" t="n"/>
      <c r="Y601" s="143" t="n"/>
      <c r="Z601" s="143" t="n"/>
    </row>
    <row r="602" ht="19.5" customHeight="1" s="398">
      <c r="A602" s="149" t="n"/>
      <c r="B602" s="143" t="n"/>
      <c r="C602" s="143" t="n"/>
      <c r="D602" s="143" t="n"/>
      <c r="E602" s="143" t="n"/>
      <c r="F602" s="143" t="n"/>
      <c r="G602" s="143" t="n"/>
      <c r="H602" s="143" t="n"/>
      <c r="I602" s="143" t="n"/>
      <c r="J602" s="143" t="n"/>
      <c r="K602" s="143" t="n"/>
      <c r="L602" s="143" t="n"/>
      <c r="M602" s="143" t="n"/>
      <c r="N602" s="143" t="n"/>
      <c r="O602" s="143" t="n"/>
      <c r="P602" s="143" t="n"/>
      <c r="Q602" s="143" t="n"/>
      <c r="R602" s="143" t="n"/>
      <c r="S602" s="143" t="n"/>
      <c r="T602" s="143" t="n"/>
      <c r="U602" s="143" t="n"/>
      <c r="V602" s="143" t="n"/>
      <c r="W602" s="143" t="n"/>
      <c r="X602" s="143" t="n"/>
      <c r="Y602" s="143" t="n"/>
      <c r="Z602" s="143" t="n"/>
    </row>
    <row r="603" ht="19.5" customHeight="1" s="398">
      <c r="A603" s="149" t="n"/>
      <c r="B603" s="143" t="n"/>
      <c r="C603" s="143" t="n"/>
      <c r="D603" s="143" t="n"/>
      <c r="E603" s="143" t="n"/>
      <c r="F603" s="143" t="n"/>
      <c r="G603" s="143" t="n"/>
      <c r="H603" s="143" t="n"/>
      <c r="I603" s="143" t="n"/>
      <c r="J603" s="143" t="n"/>
      <c r="K603" s="143" t="n"/>
      <c r="L603" s="143" t="n"/>
      <c r="M603" s="143" t="n"/>
      <c r="N603" s="143" t="n"/>
      <c r="O603" s="143" t="n"/>
      <c r="P603" s="143" t="n"/>
      <c r="Q603" s="143" t="n"/>
      <c r="R603" s="143" t="n"/>
      <c r="S603" s="143" t="n"/>
      <c r="T603" s="143" t="n"/>
      <c r="U603" s="143" t="n"/>
      <c r="V603" s="143" t="n"/>
      <c r="W603" s="143" t="n"/>
      <c r="X603" s="143" t="n"/>
      <c r="Y603" s="143" t="n"/>
      <c r="Z603" s="143" t="n"/>
    </row>
    <row r="604" ht="19.5" customHeight="1" s="398">
      <c r="A604" s="149" t="n"/>
      <c r="B604" s="143" t="n"/>
      <c r="C604" s="143" t="n"/>
      <c r="D604" s="143" t="n"/>
      <c r="E604" s="143" t="n"/>
      <c r="F604" s="143" t="n"/>
      <c r="G604" s="143" t="n"/>
      <c r="H604" s="143" t="n"/>
      <c r="I604" s="143" t="n"/>
      <c r="J604" s="143" t="n"/>
      <c r="K604" s="143" t="n"/>
      <c r="L604" s="143" t="n"/>
      <c r="M604" s="143" t="n"/>
      <c r="N604" s="143" t="n"/>
      <c r="O604" s="143" t="n"/>
      <c r="P604" s="143" t="n"/>
      <c r="Q604" s="143" t="n"/>
      <c r="R604" s="143" t="n"/>
      <c r="S604" s="143" t="n"/>
      <c r="T604" s="143" t="n"/>
      <c r="U604" s="143" t="n"/>
      <c r="V604" s="143" t="n"/>
      <c r="W604" s="143" t="n"/>
      <c r="X604" s="143" t="n"/>
      <c r="Y604" s="143" t="n"/>
      <c r="Z604" s="143" t="n"/>
    </row>
    <row r="605" ht="19.5" customHeight="1" s="398">
      <c r="A605" s="149" t="n"/>
      <c r="B605" s="143" t="n"/>
      <c r="C605" s="143" t="n"/>
      <c r="D605" s="143" t="n"/>
      <c r="E605" s="143" t="n"/>
      <c r="F605" s="143" t="n"/>
      <c r="G605" s="143" t="n"/>
      <c r="H605" s="143" t="n"/>
      <c r="I605" s="143" t="n"/>
      <c r="J605" s="143" t="n"/>
      <c r="K605" s="143" t="n"/>
      <c r="L605" s="143" t="n"/>
      <c r="M605" s="143" t="n"/>
      <c r="N605" s="143" t="n"/>
      <c r="O605" s="143" t="n"/>
      <c r="P605" s="143" t="n"/>
      <c r="Q605" s="143" t="n"/>
      <c r="R605" s="143" t="n"/>
      <c r="S605" s="143" t="n"/>
      <c r="T605" s="143" t="n"/>
      <c r="U605" s="143" t="n"/>
      <c r="V605" s="143" t="n"/>
      <c r="W605" s="143" t="n"/>
      <c r="X605" s="143" t="n"/>
      <c r="Y605" s="143" t="n"/>
      <c r="Z605" s="143" t="n"/>
    </row>
    <row r="606" ht="19.5" customHeight="1" s="398">
      <c r="A606" s="149" t="n"/>
      <c r="B606" s="143" t="n"/>
      <c r="C606" s="143" t="n"/>
      <c r="D606" s="143" t="n"/>
      <c r="E606" s="143" t="n"/>
      <c r="F606" s="143" t="n"/>
      <c r="G606" s="143" t="n"/>
      <c r="H606" s="143" t="n"/>
      <c r="I606" s="143" t="n"/>
      <c r="J606" s="143" t="n"/>
      <c r="K606" s="143" t="n"/>
      <c r="L606" s="143" t="n"/>
      <c r="M606" s="143" t="n"/>
      <c r="N606" s="143" t="n"/>
      <c r="O606" s="143" t="n"/>
      <c r="P606" s="143" t="n"/>
      <c r="Q606" s="143" t="n"/>
      <c r="R606" s="143" t="n"/>
      <c r="S606" s="143" t="n"/>
      <c r="T606" s="143" t="n"/>
      <c r="U606" s="143" t="n"/>
      <c r="V606" s="143" t="n"/>
      <c r="W606" s="143" t="n"/>
      <c r="X606" s="143" t="n"/>
      <c r="Y606" s="143" t="n"/>
      <c r="Z606" s="143" t="n"/>
    </row>
    <row r="607" ht="19.5" customHeight="1" s="398">
      <c r="A607" s="149" t="n"/>
      <c r="B607" s="143" t="n"/>
      <c r="C607" s="143" t="n"/>
      <c r="D607" s="143" t="n"/>
      <c r="E607" s="143" t="n"/>
      <c r="F607" s="143" t="n"/>
      <c r="G607" s="143" t="n"/>
      <c r="H607" s="143" t="n"/>
      <c r="I607" s="143" t="n"/>
      <c r="J607" s="143" t="n"/>
      <c r="K607" s="143" t="n"/>
      <c r="L607" s="143" t="n"/>
      <c r="M607" s="143" t="n"/>
      <c r="N607" s="143" t="n"/>
      <c r="O607" s="143" t="n"/>
      <c r="P607" s="143" t="n"/>
      <c r="Q607" s="143" t="n"/>
      <c r="R607" s="143" t="n"/>
      <c r="S607" s="143" t="n"/>
      <c r="T607" s="143" t="n"/>
      <c r="U607" s="143" t="n"/>
      <c r="V607" s="143" t="n"/>
      <c r="W607" s="143" t="n"/>
      <c r="X607" s="143" t="n"/>
      <c r="Y607" s="143" t="n"/>
      <c r="Z607" s="143" t="n"/>
    </row>
    <row r="608" ht="19.5" customHeight="1" s="398">
      <c r="A608" s="149" t="n"/>
      <c r="B608" s="143" t="n"/>
      <c r="C608" s="143" t="n"/>
      <c r="D608" s="143" t="n"/>
      <c r="E608" s="143" t="n"/>
      <c r="F608" s="143" t="n"/>
      <c r="G608" s="143" t="n"/>
      <c r="H608" s="143" t="n"/>
      <c r="I608" s="143" t="n"/>
      <c r="J608" s="143" t="n"/>
      <c r="K608" s="143" t="n"/>
      <c r="L608" s="143" t="n"/>
      <c r="M608" s="143" t="n"/>
      <c r="N608" s="143" t="n"/>
      <c r="O608" s="143" t="n"/>
      <c r="P608" s="143" t="n"/>
      <c r="Q608" s="143" t="n"/>
      <c r="R608" s="143" t="n"/>
      <c r="S608" s="143" t="n"/>
      <c r="T608" s="143" t="n"/>
      <c r="U608" s="143" t="n"/>
      <c r="V608" s="143" t="n"/>
      <c r="W608" s="143" t="n"/>
      <c r="X608" s="143" t="n"/>
      <c r="Y608" s="143" t="n"/>
      <c r="Z608" s="143" t="n"/>
    </row>
    <row r="609" ht="19.5" customHeight="1" s="398">
      <c r="A609" s="149" t="n"/>
      <c r="B609" s="143" t="n"/>
      <c r="C609" s="143" t="n"/>
      <c r="D609" s="143" t="n"/>
      <c r="E609" s="143" t="n"/>
      <c r="F609" s="143" t="n"/>
      <c r="G609" s="143" t="n"/>
      <c r="H609" s="143" t="n"/>
      <c r="I609" s="143" t="n"/>
      <c r="J609" s="143" t="n"/>
      <c r="K609" s="143" t="n"/>
      <c r="L609" s="143" t="n"/>
      <c r="M609" s="143" t="n"/>
      <c r="N609" s="143" t="n"/>
      <c r="O609" s="143" t="n"/>
      <c r="P609" s="143" t="n"/>
      <c r="Q609" s="143" t="n"/>
      <c r="R609" s="143" t="n"/>
      <c r="S609" s="143" t="n"/>
      <c r="T609" s="143" t="n"/>
      <c r="U609" s="143" t="n"/>
      <c r="V609" s="143" t="n"/>
      <c r="W609" s="143" t="n"/>
      <c r="X609" s="143" t="n"/>
      <c r="Y609" s="143" t="n"/>
      <c r="Z609" s="143" t="n"/>
    </row>
    <row r="610" ht="19.5" customHeight="1" s="398">
      <c r="A610" s="149" t="n"/>
      <c r="B610" s="143" t="n"/>
      <c r="C610" s="143" t="n"/>
      <c r="D610" s="143" t="n"/>
      <c r="E610" s="143" t="n"/>
      <c r="F610" s="143" t="n"/>
      <c r="G610" s="143" t="n"/>
      <c r="H610" s="143" t="n"/>
      <c r="I610" s="143" t="n"/>
      <c r="J610" s="143" t="n"/>
      <c r="K610" s="143" t="n"/>
      <c r="L610" s="143" t="n"/>
      <c r="M610" s="143" t="n"/>
      <c r="N610" s="143" t="n"/>
      <c r="O610" s="143" t="n"/>
      <c r="P610" s="143" t="n"/>
      <c r="Q610" s="143" t="n"/>
      <c r="R610" s="143" t="n"/>
      <c r="S610" s="143" t="n"/>
      <c r="T610" s="143" t="n"/>
      <c r="U610" s="143" t="n"/>
      <c r="V610" s="143" t="n"/>
      <c r="W610" s="143" t="n"/>
      <c r="X610" s="143" t="n"/>
      <c r="Y610" s="143" t="n"/>
      <c r="Z610" s="143" t="n"/>
    </row>
    <row r="611" ht="19.5" customHeight="1" s="398">
      <c r="A611" s="149" t="n"/>
      <c r="B611" s="143" t="n"/>
      <c r="C611" s="143" t="n"/>
      <c r="D611" s="143" t="n"/>
      <c r="E611" s="143" t="n"/>
      <c r="F611" s="143" t="n"/>
      <c r="G611" s="143" t="n"/>
      <c r="H611" s="143" t="n"/>
      <c r="I611" s="143" t="n"/>
      <c r="J611" s="143" t="n"/>
      <c r="K611" s="143" t="n"/>
      <c r="L611" s="143" t="n"/>
      <c r="M611" s="143" t="n"/>
      <c r="N611" s="143" t="n"/>
      <c r="O611" s="143" t="n"/>
      <c r="P611" s="143" t="n"/>
      <c r="Q611" s="143" t="n"/>
      <c r="R611" s="143" t="n"/>
      <c r="S611" s="143" t="n"/>
      <c r="T611" s="143" t="n"/>
      <c r="U611" s="143" t="n"/>
      <c r="V611" s="143" t="n"/>
      <c r="W611" s="143" t="n"/>
      <c r="X611" s="143" t="n"/>
      <c r="Y611" s="143" t="n"/>
      <c r="Z611" s="143" t="n"/>
    </row>
    <row r="612" ht="19.5" customHeight="1" s="398">
      <c r="A612" s="149" t="n"/>
      <c r="B612" s="143" t="n"/>
      <c r="C612" s="143" t="n"/>
      <c r="D612" s="143" t="n"/>
      <c r="E612" s="143" t="n"/>
      <c r="F612" s="143" t="n"/>
      <c r="G612" s="143" t="n"/>
      <c r="H612" s="143" t="n"/>
      <c r="I612" s="143" t="n"/>
      <c r="J612" s="143" t="n"/>
      <c r="K612" s="143" t="n"/>
      <c r="L612" s="143" t="n"/>
      <c r="M612" s="143" t="n"/>
      <c r="N612" s="143" t="n"/>
      <c r="O612" s="143" t="n"/>
      <c r="P612" s="143" t="n"/>
      <c r="Q612" s="143" t="n"/>
      <c r="R612" s="143" t="n"/>
      <c r="S612" s="143" t="n"/>
      <c r="T612" s="143" t="n"/>
      <c r="U612" s="143" t="n"/>
      <c r="V612" s="143" t="n"/>
      <c r="W612" s="143" t="n"/>
      <c r="X612" s="143" t="n"/>
      <c r="Y612" s="143" t="n"/>
      <c r="Z612" s="143" t="n"/>
    </row>
    <row r="613" ht="19.5" customHeight="1" s="398">
      <c r="A613" s="149" t="n"/>
      <c r="B613" s="143" t="n"/>
      <c r="C613" s="143" t="n"/>
      <c r="D613" s="143" t="n"/>
      <c r="E613" s="143" t="n"/>
      <c r="F613" s="143" t="n"/>
      <c r="G613" s="143" t="n"/>
      <c r="H613" s="143" t="n"/>
      <c r="I613" s="143" t="n"/>
      <c r="J613" s="143" t="n"/>
      <c r="K613" s="143" t="n"/>
      <c r="L613" s="143" t="n"/>
      <c r="M613" s="143" t="n"/>
      <c r="N613" s="143" t="n"/>
      <c r="O613" s="143" t="n"/>
      <c r="P613" s="143" t="n"/>
      <c r="Q613" s="143" t="n"/>
      <c r="R613" s="143" t="n"/>
      <c r="S613" s="143" t="n"/>
      <c r="T613" s="143" t="n"/>
      <c r="U613" s="143" t="n"/>
      <c r="V613" s="143" t="n"/>
      <c r="W613" s="143" t="n"/>
      <c r="X613" s="143" t="n"/>
      <c r="Y613" s="143" t="n"/>
      <c r="Z613" s="143" t="n"/>
    </row>
    <row r="614" ht="19.5" customHeight="1" s="398">
      <c r="A614" s="149" t="n"/>
      <c r="B614" s="143" t="n"/>
      <c r="C614" s="143" t="n"/>
      <c r="D614" s="143" t="n"/>
      <c r="E614" s="143" t="n"/>
      <c r="F614" s="143" t="n"/>
      <c r="G614" s="143" t="n"/>
      <c r="H614" s="143" t="n"/>
      <c r="I614" s="143" t="n"/>
      <c r="J614" s="143" t="n"/>
      <c r="K614" s="143" t="n"/>
      <c r="L614" s="143" t="n"/>
      <c r="M614" s="143" t="n"/>
      <c r="N614" s="143" t="n"/>
      <c r="O614" s="143" t="n"/>
      <c r="P614" s="143" t="n"/>
      <c r="Q614" s="143" t="n"/>
      <c r="R614" s="143" t="n"/>
      <c r="S614" s="143" t="n"/>
      <c r="T614" s="143" t="n"/>
      <c r="U614" s="143" t="n"/>
      <c r="V614" s="143" t="n"/>
      <c r="W614" s="143" t="n"/>
      <c r="X614" s="143" t="n"/>
      <c r="Y614" s="143" t="n"/>
      <c r="Z614" s="143" t="n"/>
    </row>
    <row r="615" ht="19.5" customHeight="1" s="398">
      <c r="A615" s="149" t="n"/>
      <c r="B615" s="143" t="n"/>
      <c r="C615" s="143" t="n"/>
      <c r="D615" s="143" t="n"/>
      <c r="E615" s="143" t="n"/>
      <c r="F615" s="143" t="n"/>
      <c r="G615" s="143" t="n"/>
      <c r="H615" s="143" t="n"/>
      <c r="I615" s="143" t="n"/>
      <c r="J615" s="143" t="n"/>
      <c r="K615" s="143" t="n"/>
      <c r="L615" s="143" t="n"/>
      <c r="M615" s="143" t="n"/>
      <c r="N615" s="143" t="n"/>
      <c r="O615" s="143" t="n"/>
      <c r="P615" s="143" t="n"/>
      <c r="Q615" s="143" t="n"/>
      <c r="R615" s="143" t="n"/>
      <c r="S615" s="143" t="n"/>
      <c r="T615" s="143" t="n"/>
      <c r="U615" s="143" t="n"/>
      <c r="V615" s="143" t="n"/>
      <c r="W615" s="143" t="n"/>
      <c r="X615" s="143" t="n"/>
      <c r="Y615" s="143" t="n"/>
      <c r="Z615" s="143" t="n"/>
    </row>
    <row r="616" ht="19.5" customHeight="1" s="398">
      <c r="A616" s="149" t="n"/>
      <c r="B616" s="143" t="n"/>
      <c r="C616" s="143" t="n"/>
      <c r="D616" s="143" t="n"/>
      <c r="E616" s="143" t="n"/>
      <c r="F616" s="143" t="n"/>
      <c r="G616" s="143" t="n"/>
      <c r="H616" s="143" t="n"/>
      <c r="I616" s="143" t="n"/>
      <c r="J616" s="143" t="n"/>
      <c r="K616" s="143" t="n"/>
      <c r="L616" s="143" t="n"/>
      <c r="M616" s="143" t="n"/>
      <c r="N616" s="143" t="n"/>
      <c r="O616" s="143" t="n"/>
      <c r="P616" s="143" t="n"/>
      <c r="Q616" s="143" t="n"/>
      <c r="R616" s="143" t="n"/>
      <c r="S616" s="143" t="n"/>
      <c r="T616" s="143" t="n"/>
      <c r="U616" s="143" t="n"/>
      <c r="V616" s="143" t="n"/>
      <c r="W616" s="143" t="n"/>
      <c r="X616" s="143" t="n"/>
      <c r="Y616" s="143" t="n"/>
      <c r="Z616" s="143" t="n"/>
    </row>
    <row r="617" ht="19.5" customHeight="1" s="398">
      <c r="A617" s="149" t="n"/>
      <c r="B617" s="143" t="n"/>
      <c r="C617" s="143" t="n"/>
      <c r="D617" s="143" t="n"/>
      <c r="E617" s="143" t="n"/>
      <c r="F617" s="143" t="n"/>
      <c r="G617" s="143" t="n"/>
      <c r="H617" s="143" t="n"/>
      <c r="I617" s="143" t="n"/>
      <c r="J617" s="143" t="n"/>
      <c r="K617" s="143" t="n"/>
      <c r="L617" s="143" t="n"/>
      <c r="M617" s="143" t="n"/>
      <c r="N617" s="143" t="n"/>
      <c r="O617" s="143" t="n"/>
      <c r="P617" s="143" t="n"/>
      <c r="Q617" s="143" t="n"/>
      <c r="R617" s="143" t="n"/>
      <c r="S617" s="143" t="n"/>
      <c r="T617" s="143" t="n"/>
      <c r="U617" s="143" t="n"/>
      <c r="V617" s="143" t="n"/>
      <c r="W617" s="143" t="n"/>
      <c r="X617" s="143" t="n"/>
      <c r="Y617" s="143" t="n"/>
      <c r="Z617" s="143" t="n"/>
    </row>
    <row r="618" ht="19.5" customHeight="1" s="398">
      <c r="A618" s="149" t="n"/>
      <c r="B618" s="143" t="n"/>
      <c r="C618" s="143" t="n"/>
      <c r="D618" s="143" t="n"/>
      <c r="E618" s="143" t="n"/>
      <c r="F618" s="143" t="n"/>
      <c r="G618" s="143" t="n"/>
      <c r="H618" s="143" t="n"/>
      <c r="I618" s="143" t="n"/>
      <c r="J618" s="143" t="n"/>
      <c r="K618" s="143" t="n"/>
      <c r="L618" s="143" t="n"/>
      <c r="M618" s="143" t="n"/>
      <c r="N618" s="143" t="n"/>
      <c r="O618" s="143" t="n"/>
      <c r="P618" s="143" t="n"/>
      <c r="Q618" s="143" t="n"/>
      <c r="R618" s="143" t="n"/>
      <c r="S618" s="143" t="n"/>
      <c r="T618" s="143" t="n"/>
      <c r="U618" s="143" t="n"/>
      <c r="V618" s="143" t="n"/>
      <c r="W618" s="143" t="n"/>
      <c r="X618" s="143" t="n"/>
      <c r="Y618" s="143" t="n"/>
      <c r="Z618" s="143" t="n"/>
    </row>
    <row r="619" ht="19.5" customHeight="1" s="398">
      <c r="A619" s="149" t="n"/>
      <c r="B619" s="143" t="n"/>
      <c r="C619" s="143" t="n"/>
      <c r="D619" s="143" t="n"/>
      <c r="E619" s="143" t="n"/>
      <c r="F619" s="143" t="n"/>
      <c r="G619" s="143" t="n"/>
      <c r="H619" s="143" t="n"/>
      <c r="I619" s="143" t="n"/>
      <c r="J619" s="143" t="n"/>
      <c r="K619" s="143" t="n"/>
      <c r="L619" s="143" t="n"/>
      <c r="M619" s="143" t="n"/>
      <c r="N619" s="143" t="n"/>
      <c r="O619" s="143" t="n"/>
      <c r="P619" s="143" t="n"/>
      <c r="Q619" s="143" t="n"/>
      <c r="R619" s="143" t="n"/>
      <c r="S619" s="143" t="n"/>
      <c r="T619" s="143" t="n"/>
      <c r="U619" s="143" t="n"/>
      <c r="V619" s="143" t="n"/>
      <c r="W619" s="143" t="n"/>
      <c r="X619" s="143" t="n"/>
      <c r="Y619" s="143" t="n"/>
      <c r="Z619" s="143" t="n"/>
    </row>
    <row r="620" ht="19.5" customHeight="1" s="398">
      <c r="A620" s="149" t="n"/>
      <c r="B620" s="143" t="n"/>
      <c r="C620" s="143" t="n"/>
      <c r="D620" s="143" t="n"/>
      <c r="E620" s="143" t="n"/>
      <c r="F620" s="143" t="n"/>
      <c r="G620" s="143" t="n"/>
      <c r="H620" s="143" t="n"/>
      <c r="I620" s="143" t="n"/>
      <c r="J620" s="143" t="n"/>
      <c r="K620" s="143" t="n"/>
      <c r="L620" s="143" t="n"/>
      <c r="M620" s="143" t="n"/>
      <c r="N620" s="143" t="n"/>
      <c r="O620" s="143" t="n"/>
      <c r="P620" s="143" t="n"/>
      <c r="Q620" s="143" t="n"/>
      <c r="R620" s="143" t="n"/>
      <c r="S620" s="143" t="n"/>
      <c r="T620" s="143" t="n"/>
      <c r="U620" s="143" t="n"/>
      <c r="V620" s="143" t="n"/>
      <c r="W620" s="143" t="n"/>
      <c r="X620" s="143" t="n"/>
      <c r="Y620" s="143" t="n"/>
      <c r="Z620" s="143" t="n"/>
    </row>
    <row r="621" ht="19.5" customHeight="1" s="398">
      <c r="A621" s="149" t="n"/>
      <c r="B621" s="143" t="n"/>
      <c r="C621" s="143" t="n"/>
      <c r="D621" s="143" t="n"/>
      <c r="E621" s="143" t="n"/>
      <c r="F621" s="143" t="n"/>
      <c r="G621" s="143" t="n"/>
      <c r="H621" s="143" t="n"/>
      <c r="I621" s="143" t="n"/>
      <c r="J621" s="143" t="n"/>
      <c r="K621" s="143" t="n"/>
      <c r="L621" s="143" t="n"/>
      <c r="M621" s="143" t="n"/>
      <c r="N621" s="143" t="n"/>
      <c r="O621" s="143" t="n"/>
      <c r="P621" s="143" t="n"/>
      <c r="Q621" s="143" t="n"/>
      <c r="R621" s="143" t="n"/>
      <c r="S621" s="143" t="n"/>
      <c r="T621" s="143" t="n"/>
      <c r="U621" s="143" t="n"/>
      <c r="V621" s="143" t="n"/>
      <c r="W621" s="143" t="n"/>
      <c r="X621" s="143" t="n"/>
      <c r="Y621" s="143" t="n"/>
      <c r="Z621" s="143" t="n"/>
    </row>
    <row r="622" ht="19.5" customHeight="1" s="398">
      <c r="A622" s="149" t="n"/>
      <c r="B622" s="143" t="n"/>
      <c r="C622" s="143" t="n"/>
      <c r="D622" s="143" t="n"/>
      <c r="E622" s="143" t="n"/>
      <c r="F622" s="143" t="n"/>
      <c r="G622" s="143" t="n"/>
      <c r="H622" s="143" t="n"/>
      <c r="I622" s="143" t="n"/>
      <c r="J622" s="143" t="n"/>
      <c r="K622" s="143" t="n"/>
      <c r="L622" s="143" t="n"/>
      <c r="M622" s="143" t="n"/>
      <c r="N622" s="143" t="n"/>
      <c r="O622" s="143" t="n"/>
      <c r="P622" s="143" t="n"/>
      <c r="Q622" s="143" t="n"/>
      <c r="R622" s="143" t="n"/>
      <c r="S622" s="143" t="n"/>
      <c r="T622" s="143" t="n"/>
      <c r="U622" s="143" t="n"/>
      <c r="V622" s="143" t="n"/>
      <c r="W622" s="143" t="n"/>
      <c r="X622" s="143" t="n"/>
      <c r="Y622" s="143" t="n"/>
      <c r="Z622" s="143" t="n"/>
    </row>
    <row r="623" ht="19.5" customHeight="1" s="398">
      <c r="A623" s="149" t="n"/>
      <c r="B623" s="143" t="n"/>
      <c r="C623" s="143" t="n"/>
      <c r="D623" s="143" t="n"/>
      <c r="E623" s="143" t="n"/>
      <c r="F623" s="143" t="n"/>
      <c r="G623" s="143" t="n"/>
      <c r="H623" s="143" t="n"/>
      <c r="I623" s="143" t="n"/>
      <c r="J623" s="143" t="n"/>
      <c r="K623" s="143" t="n"/>
      <c r="L623" s="143" t="n"/>
      <c r="M623" s="143" t="n"/>
      <c r="N623" s="143" t="n"/>
      <c r="O623" s="143" t="n"/>
      <c r="P623" s="143" t="n"/>
      <c r="Q623" s="143" t="n"/>
      <c r="R623" s="143" t="n"/>
      <c r="S623" s="143" t="n"/>
      <c r="T623" s="143" t="n"/>
      <c r="U623" s="143" t="n"/>
      <c r="V623" s="143" t="n"/>
      <c r="W623" s="143" t="n"/>
      <c r="X623" s="143" t="n"/>
      <c r="Y623" s="143" t="n"/>
      <c r="Z623" s="143" t="n"/>
    </row>
    <row r="624" ht="19.5" customHeight="1" s="398">
      <c r="A624" s="149" t="n"/>
      <c r="B624" s="143" t="n"/>
      <c r="C624" s="143" t="n"/>
      <c r="D624" s="143" t="n"/>
      <c r="E624" s="143" t="n"/>
      <c r="F624" s="143" t="n"/>
      <c r="G624" s="143" t="n"/>
      <c r="H624" s="143" t="n"/>
      <c r="I624" s="143" t="n"/>
      <c r="J624" s="143" t="n"/>
      <c r="K624" s="143" t="n"/>
      <c r="L624" s="143" t="n"/>
      <c r="M624" s="143" t="n"/>
      <c r="N624" s="143" t="n"/>
      <c r="O624" s="143" t="n"/>
      <c r="P624" s="143" t="n"/>
      <c r="Q624" s="143" t="n"/>
      <c r="R624" s="143" t="n"/>
      <c r="S624" s="143" t="n"/>
      <c r="T624" s="143" t="n"/>
      <c r="U624" s="143" t="n"/>
      <c r="V624" s="143" t="n"/>
      <c r="W624" s="143" t="n"/>
      <c r="X624" s="143" t="n"/>
      <c r="Y624" s="143" t="n"/>
      <c r="Z624" s="143" t="n"/>
    </row>
    <row r="625" ht="19.5" customHeight="1" s="398">
      <c r="A625" s="149" t="n"/>
      <c r="B625" s="143" t="n"/>
      <c r="C625" s="143" t="n"/>
      <c r="D625" s="143" t="n"/>
      <c r="E625" s="143" t="n"/>
      <c r="F625" s="143" t="n"/>
      <c r="G625" s="143" t="n"/>
      <c r="H625" s="143" t="n"/>
      <c r="I625" s="143" t="n"/>
      <c r="J625" s="143" t="n"/>
      <c r="K625" s="143" t="n"/>
      <c r="L625" s="143" t="n"/>
      <c r="M625" s="143" t="n"/>
      <c r="N625" s="143" t="n"/>
      <c r="O625" s="143" t="n"/>
      <c r="P625" s="143" t="n"/>
      <c r="Q625" s="143" t="n"/>
      <c r="R625" s="143" t="n"/>
      <c r="S625" s="143" t="n"/>
      <c r="T625" s="143" t="n"/>
      <c r="U625" s="143" t="n"/>
      <c r="V625" s="143" t="n"/>
      <c r="W625" s="143" t="n"/>
      <c r="X625" s="143" t="n"/>
      <c r="Y625" s="143" t="n"/>
      <c r="Z625" s="143" t="n"/>
    </row>
    <row r="626" ht="19.5" customHeight="1" s="398">
      <c r="A626" s="149" t="n"/>
      <c r="B626" s="143" t="n"/>
      <c r="C626" s="143" t="n"/>
      <c r="D626" s="143" t="n"/>
      <c r="E626" s="143" t="n"/>
      <c r="F626" s="143" t="n"/>
      <c r="G626" s="143" t="n"/>
      <c r="H626" s="143" t="n"/>
      <c r="I626" s="143" t="n"/>
      <c r="J626" s="143" t="n"/>
      <c r="K626" s="143" t="n"/>
      <c r="L626" s="143" t="n"/>
      <c r="M626" s="143" t="n"/>
      <c r="N626" s="143" t="n"/>
      <c r="O626" s="143" t="n"/>
      <c r="P626" s="143" t="n"/>
      <c r="Q626" s="143" t="n"/>
      <c r="R626" s="143" t="n"/>
      <c r="S626" s="143" t="n"/>
      <c r="T626" s="143" t="n"/>
      <c r="U626" s="143" t="n"/>
      <c r="V626" s="143" t="n"/>
      <c r="W626" s="143" t="n"/>
      <c r="X626" s="143" t="n"/>
      <c r="Y626" s="143" t="n"/>
      <c r="Z626" s="143" t="n"/>
    </row>
    <row r="627" ht="19.5" customHeight="1" s="398">
      <c r="A627" s="149" t="n"/>
      <c r="B627" s="143" t="n"/>
      <c r="C627" s="143" t="n"/>
      <c r="D627" s="143" t="n"/>
      <c r="E627" s="143" t="n"/>
      <c r="F627" s="143" t="n"/>
      <c r="G627" s="143" t="n"/>
      <c r="H627" s="143" t="n"/>
      <c r="I627" s="143" t="n"/>
      <c r="J627" s="143" t="n"/>
      <c r="K627" s="143" t="n"/>
      <c r="L627" s="143" t="n"/>
      <c r="M627" s="143" t="n"/>
      <c r="N627" s="143" t="n"/>
      <c r="O627" s="143" t="n"/>
      <c r="P627" s="143" t="n"/>
      <c r="Q627" s="143" t="n"/>
      <c r="R627" s="143" t="n"/>
      <c r="S627" s="143" t="n"/>
      <c r="T627" s="143" t="n"/>
      <c r="U627" s="143" t="n"/>
      <c r="V627" s="143" t="n"/>
      <c r="W627" s="143" t="n"/>
      <c r="X627" s="143" t="n"/>
      <c r="Y627" s="143" t="n"/>
      <c r="Z627" s="143" t="n"/>
    </row>
    <row r="628" ht="19.5" customHeight="1" s="398">
      <c r="A628" s="149" t="n"/>
      <c r="B628" s="143" t="n"/>
      <c r="C628" s="143" t="n"/>
      <c r="D628" s="143" t="n"/>
      <c r="E628" s="143" t="n"/>
      <c r="F628" s="143" t="n"/>
      <c r="G628" s="143" t="n"/>
      <c r="H628" s="143" t="n"/>
      <c r="I628" s="143" t="n"/>
      <c r="J628" s="143" t="n"/>
      <c r="K628" s="143" t="n"/>
      <c r="L628" s="143" t="n"/>
      <c r="M628" s="143" t="n"/>
      <c r="N628" s="143" t="n"/>
      <c r="O628" s="143" t="n"/>
      <c r="P628" s="143" t="n"/>
      <c r="Q628" s="143" t="n"/>
      <c r="R628" s="143" t="n"/>
      <c r="S628" s="143" t="n"/>
      <c r="T628" s="143" t="n"/>
      <c r="U628" s="143" t="n"/>
      <c r="V628" s="143" t="n"/>
      <c r="W628" s="143" t="n"/>
      <c r="X628" s="143" t="n"/>
      <c r="Y628" s="143" t="n"/>
      <c r="Z628" s="143" t="n"/>
    </row>
    <row r="629" ht="19.5" customHeight="1" s="398">
      <c r="A629" s="149" t="n"/>
      <c r="B629" s="143" t="n"/>
      <c r="C629" s="143" t="n"/>
      <c r="D629" s="143" t="n"/>
      <c r="E629" s="143" t="n"/>
      <c r="F629" s="143" t="n"/>
      <c r="G629" s="143" t="n"/>
      <c r="H629" s="143" t="n"/>
      <c r="I629" s="143" t="n"/>
      <c r="J629" s="143" t="n"/>
      <c r="K629" s="143" t="n"/>
      <c r="L629" s="143" t="n"/>
      <c r="M629" s="143" t="n"/>
      <c r="N629" s="143" t="n"/>
      <c r="O629" s="143" t="n"/>
      <c r="P629" s="143" t="n"/>
      <c r="Q629" s="143" t="n"/>
      <c r="R629" s="143" t="n"/>
      <c r="S629" s="143" t="n"/>
      <c r="T629" s="143" t="n"/>
      <c r="U629" s="143" t="n"/>
      <c r="V629" s="143" t="n"/>
      <c r="W629" s="143" t="n"/>
      <c r="X629" s="143" t="n"/>
      <c r="Y629" s="143" t="n"/>
      <c r="Z629" s="143" t="n"/>
    </row>
    <row r="630" ht="19.5" customHeight="1" s="398">
      <c r="A630" s="149" t="n"/>
      <c r="B630" s="143" t="n"/>
      <c r="C630" s="143" t="n"/>
      <c r="D630" s="143" t="n"/>
      <c r="E630" s="143" t="n"/>
      <c r="F630" s="143" t="n"/>
      <c r="G630" s="143" t="n"/>
      <c r="H630" s="143" t="n"/>
      <c r="I630" s="143" t="n"/>
      <c r="J630" s="143" t="n"/>
      <c r="K630" s="143" t="n"/>
      <c r="L630" s="143" t="n"/>
      <c r="M630" s="143" t="n"/>
      <c r="N630" s="143" t="n"/>
      <c r="O630" s="143" t="n"/>
      <c r="P630" s="143" t="n"/>
      <c r="Q630" s="143" t="n"/>
      <c r="R630" s="143" t="n"/>
      <c r="S630" s="143" t="n"/>
      <c r="T630" s="143" t="n"/>
      <c r="U630" s="143" t="n"/>
      <c r="V630" s="143" t="n"/>
      <c r="W630" s="143" t="n"/>
      <c r="X630" s="143" t="n"/>
      <c r="Y630" s="143" t="n"/>
      <c r="Z630" s="143" t="n"/>
    </row>
    <row r="631" ht="19.5" customHeight="1" s="398">
      <c r="A631" s="149" t="n"/>
      <c r="B631" s="143" t="n"/>
      <c r="C631" s="143" t="n"/>
      <c r="D631" s="143" t="n"/>
      <c r="E631" s="143" t="n"/>
      <c r="F631" s="143" t="n"/>
      <c r="G631" s="143" t="n"/>
      <c r="H631" s="143" t="n"/>
      <c r="I631" s="143" t="n"/>
      <c r="J631" s="143" t="n"/>
      <c r="K631" s="143" t="n"/>
      <c r="L631" s="143" t="n"/>
      <c r="M631" s="143" t="n"/>
      <c r="N631" s="143" t="n"/>
      <c r="O631" s="143" t="n"/>
      <c r="P631" s="143" t="n"/>
      <c r="Q631" s="143" t="n"/>
      <c r="R631" s="143" t="n"/>
      <c r="S631" s="143" t="n"/>
      <c r="T631" s="143" t="n"/>
      <c r="U631" s="143" t="n"/>
      <c r="V631" s="143" t="n"/>
      <c r="W631" s="143" t="n"/>
      <c r="X631" s="143" t="n"/>
      <c r="Y631" s="143" t="n"/>
      <c r="Z631" s="143" t="n"/>
    </row>
    <row r="632" ht="19.5" customHeight="1" s="398">
      <c r="A632" s="149" t="n"/>
      <c r="B632" s="143" t="n"/>
      <c r="C632" s="143" t="n"/>
      <c r="D632" s="143" t="n"/>
      <c r="E632" s="143" t="n"/>
      <c r="F632" s="143" t="n"/>
      <c r="G632" s="143" t="n"/>
      <c r="H632" s="143" t="n"/>
      <c r="I632" s="143" t="n"/>
      <c r="J632" s="143" t="n"/>
      <c r="K632" s="143" t="n"/>
      <c r="L632" s="143" t="n"/>
      <c r="M632" s="143" t="n"/>
      <c r="N632" s="143" t="n"/>
      <c r="O632" s="143" t="n"/>
      <c r="P632" s="143" t="n"/>
      <c r="Q632" s="143" t="n"/>
      <c r="R632" s="143" t="n"/>
      <c r="S632" s="143" t="n"/>
      <c r="T632" s="143" t="n"/>
      <c r="U632" s="143" t="n"/>
      <c r="V632" s="143" t="n"/>
      <c r="W632" s="143" t="n"/>
      <c r="X632" s="143" t="n"/>
      <c r="Y632" s="143" t="n"/>
      <c r="Z632" s="143" t="n"/>
    </row>
    <row r="633" ht="19.5" customHeight="1" s="398">
      <c r="A633" s="149" t="n"/>
      <c r="B633" s="143" t="n"/>
      <c r="C633" s="143" t="n"/>
      <c r="D633" s="143" t="n"/>
      <c r="E633" s="143" t="n"/>
      <c r="F633" s="143" t="n"/>
      <c r="G633" s="143" t="n"/>
      <c r="H633" s="143" t="n"/>
      <c r="I633" s="143" t="n"/>
      <c r="J633" s="143" t="n"/>
      <c r="K633" s="143" t="n"/>
      <c r="L633" s="143" t="n"/>
      <c r="M633" s="143" t="n"/>
      <c r="N633" s="143" t="n"/>
      <c r="O633" s="143" t="n"/>
      <c r="P633" s="143" t="n"/>
      <c r="Q633" s="143" t="n"/>
      <c r="R633" s="143" t="n"/>
      <c r="S633" s="143" t="n"/>
      <c r="T633" s="143" t="n"/>
      <c r="U633" s="143" t="n"/>
      <c r="V633" s="143" t="n"/>
      <c r="W633" s="143" t="n"/>
      <c r="X633" s="143" t="n"/>
      <c r="Y633" s="143" t="n"/>
      <c r="Z633" s="143" t="n"/>
    </row>
    <row r="634" ht="19.5" customHeight="1" s="398">
      <c r="A634" s="149" t="n"/>
      <c r="B634" s="143" t="n"/>
      <c r="C634" s="143" t="n"/>
      <c r="D634" s="143" t="n"/>
      <c r="E634" s="143" t="n"/>
      <c r="F634" s="143" t="n"/>
      <c r="G634" s="143" t="n"/>
      <c r="H634" s="143" t="n"/>
      <c r="I634" s="143" t="n"/>
      <c r="J634" s="143" t="n"/>
      <c r="K634" s="143" t="n"/>
      <c r="L634" s="143" t="n"/>
      <c r="M634" s="143" t="n"/>
      <c r="N634" s="143" t="n"/>
      <c r="O634" s="143" t="n"/>
      <c r="P634" s="143" t="n"/>
      <c r="Q634" s="143" t="n"/>
      <c r="R634" s="143" t="n"/>
      <c r="S634" s="143" t="n"/>
      <c r="T634" s="143" t="n"/>
      <c r="U634" s="143" t="n"/>
      <c r="V634" s="143" t="n"/>
      <c r="W634" s="143" t="n"/>
      <c r="X634" s="143" t="n"/>
      <c r="Y634" s="143" t="n"/>
      <c r="Z634" s="143" t="n"/>
    </row>
    <row r="635" ht="19.5" customHeight="1" s="398">
      <c r="A635" s="149" t="n"/>
      <c r="B635" s="143" t="n"/>
      <c r="C635" s="143" t="n"/>
      <c r="D635" s="143" t="n"/>
      <c r="E635" s="143" t="n"/>
      <c r="F635" s="143" t="n"/>
      <c r="G635" s="143" t="n"/>
      <c r="H635" s="143" t="n"/>
      <c r="I635" s="143" t="n"/>
      <c r="J635" s="143" t="n"/>
      <c r="K635" s="143" t="n"/>
      <c r="L635" s="143" t="n"/>
      <c r="M635" s="143" t="n"/>
      <c r="N635" s="143" t="n"/>
      <c r="O635" s="143" t="n"/>
      <c r="P635" s="143" t="n"/>
      <c r="Q635" s="143" t="n"/>
      <c r="R635" s="143" t="n"/>
      <c r="S635" s="143" t="n"/>
      <c r="T635" s="143" t="n"/>
      <c r="U635" s="143" t="n"/>
      <c r="V635" s="143" t="n"/>
      <c r="W635" s="143" t="n"/>
      <c r="X635" s="143" t="n"/>
      <c r="Y635" s="143" t="n"/>
      <c r="Z635" s="143" t="n"/>
    </row>
    <row r="636" ht="19.5" customHeight="1" s="398">
      <c r="A636" s="149" t="n"/>
      <c r="B636" s="143" t="n"/>
      <c r="C636" s="143" t="n"/>
      <c r="D636" s="143" t="n"/>
      <c r="E636" s="143" t="n"/>
      <c r="F636" s="143" t="n"/>
      <c r="G636" s="143" t="n"/>
      <c r="H636" s="143" t="n"/>
      <c r="I636" s="143" t="n"/>
      <c r="J636" s="143" t="n"/>
      <c r="K636" s="143" t="n"/>
      <c r="L636" s="143" t="n"/>
      <c r="M636" s="143" t="n"/>
      <c r="N636" s="143" t="n"/>
      <c r="O636" s="143" t="n"/>
      <c r="P636" s="143" t="n"/>
      <c r="Q636" s="143" t="n"/>
      <c r="R636" s="143" t="n"/>
      <c r="S636" s="143" t="n"/>
      <c r="T636" s="143" t="n"/>
      <c r="U636" s="143" t="n"/>
      <c r="V636" s="143" t="n"/>
      <c r="W636" s="143" t="n"/>
      <c r="X636" s="143" t="n"/>
      <c r="Y636" s="143" t="n"/>
      <c r="Z636" s="143" t="n"/>
    </row>
    <row r="637" ht="19.5" customHeight="1" s="398">
      <c r="A637" s="149" t="n"/>
      <c r="B637" s="143" t="n"/>
      <c r="C637" s="143" t="n"/>
      <c r="D637" s="143" t="n"/>
      <c r="E637" s="143" t="n"/>
      <c r="F637" s="143" t="n"/>
      <c r="G637" s="143" t="n"/>
      <c r="H637" s="143" t="n"/>
      <c r="I637" s="143" t="n"/>
      <c r="J637" s="143" t="n"/>
      <c r="K637" s="143" t="n"/>
      <c r="L637" s="143" t="n"/>
      <c r="M637" s="143" t="n"/>
      <c r="N637" s="143" t="n"/>
      <c r="O637" s="143" t="n"/>
      <c r="P637" s="143" t="n"/>
      <c r="Q637" s="143" t="n"/>
      <c r="R637" s="143" t="n"/>
      <c r="S637" s="143" t="n"/>
      <c r="T637" s="143" t="n"/>
      <c r="U637" s="143" t="n"/>
      <c r="V637" s="143" t="n"/>
      <c r="W637" s="143" t="n"/>
      <c r="X637" s="143" t="n"/>
      <c r="Y637" s="143" t="n"/>
      <c r="Z637" s="143" t="n"/>
    </row>
    <row r="638" ht="19.5" customHeight="1" s="398">
      <c r="A638" s="149" t="n"/>
      <c r="B638" s="143" t="n"/>
      <c r="C638" s="143" t="n"/>
      <c r="D638" s="143" t="n"/>
      <c r="E638" s="143" t="n"/>
      <c r="F638" s="143" t="n"/>
      <c r="G638" s="143" t="n"/>
      <c r="H638" s="143" t="n"/>
      <c r="I638" s="143" t="n"/>
      <c r="J638" s="143" t="n"/>
      <c r="K638" s="143" t="n"/>
      <c r="L638" s="143" t="n"/>
      <c r="M638" s="143" t="n"/>
      <c r="N638" s="143" t="n"/>
      <c r="O638" s="143" t="n"/>
      <c r="P638" s="143" t="n"/>
      <c r="Q638" s="143" t="n"/>
      <c r="R638" s="143" t="n"/>
      <c r="S638" s="143" t="n"/>
      <c r="T638" s="143" t="n"/>
      <c r="U638" s="143" t="n"/>
      <c r="V638" s="143" t="n"/>
      <c r="W638" s="143" t="n"/>
      <c r="X638" s="143" t="n"/>
      <c r="Y638" s="143" t="n"/>
      <c r="Z638" s="143" t="n"/>
    </row>
    <row r="639" ht="19.5" customHeight="1" s="398">
      <c r="A639" s="149" t="n"/>
      <c r="B639" s="143" t="n"/>
      <c r="C639" s="143" t="n"/>
      <c r="D639" s="143" t="n"/>
      <c r="E639" s="143" t="n"/>
      <c r="F639" s="143" t="n"/>
      <c r="G639" s="143" t="n"/>
      <c r="H639" s="143" t="n"/>
      <c r="I639" s="143" t="n"/>
      <c r="J639" s="143" t="n"/>
      <c r="K639" s="143" t="n"/>
      <c r="L639" s="143" t="n"/>
      <c r="M639" s="143" t="n"/>
      <c r="N639" s="143" t="n"/>
      <c r="O639" s="143" t="n"/>
      <c r="P639" s="143" t="n"/>
      <c r="Q639" s="143" t="n"/>
      <c r="R639" s="143" t="n"/>
      <c r="S639" s="143" t="n"/>
      <c r="T639" s="143" t="n"/>
      <c r="U639" s="143" t="n"/>
      <c r="V639" s="143" t="n"/>
      <c r="W639" s="143" t="n"/>
      <c r="X639" s="143" t="n"/>
      <c r="Y639" s="143" t="n"/>
      <c r="Z639" s="143" t="n"/>
    </row>
    <row r="640" ht="19.5" customHeight="1" s="398">
      <c r="A640" s="149" t="n"/>
      <c r="B640" s="143" t="n"/>
      <c r="C640" s="143" t="n"/>
      <c r="D640" s="143" t="n"/>
      <c r="E640" s="143" t="n"/>
      <c r="F640" s="143" t="n"/>
      <c r="G640" s="143" t="n"/>
      <c r="H640" s="143" t="n"/>
      <c r="I640" s="143" t="n"/>
      <c r="J640" s="143" t="n"/>
      <c r="K640" s="143" t="n"/>
      <c r="L640" s="143" t="n"/>
      <c r="M640" s="143" t="n"/>
      <c r="N640" s="143" t="n"/>
      <c r="O640" s="143" t="n"/>
      <c r="P640" s="143" t="n"/>
      <c r="Q640" s="143" t="n"/>
      <c r="R640" s="143" t="n"/>
      <c r="S640" s="143" t="n"/>
      <c r="T640" s="143" t="n"/>
      <c r="U640" s="143" t="n"/>
      <c r="V640" s="143" t="n"/>
      <c r="W640" s="143" t="n"/>
      <c r="X640" s="143" t="n"/>
      <c r="Y640" s="143" t="n"/>
      <c r="Z640" s="143" t="n"/>
    </row>
    <row r="641" ht="19.5" customHeight="1" s="398">
      <c r="A641" s="149" t="n"/>
      <c r="B641" s="143" t="n"/>
      <c r="C641" s="143" t="n"/>
      <c r="D641" s="143" t="n"/>
      <c r="E641" s="143" t="n"/>
      <c r="F641" s="143" t="n"/>
      <c r="G641" s="143" t="n"/>
      <c r="H641" s="143" t="n"/>
      <c r="I641" s="143" t="n"/>
      <c r="J641" s="143" t="n"/>
      <c r="K641" s="143" t="n"/>
      <c r="L641" s="143" t="n"/>
      <c r="M641" s="143" t="n"/>
      <c r="N641" s="143" t="n"/>
      <c r="O641" s="143" t="n"/>
      <c r="P641" s="143" t="n"/>
      <c r="Q641" s="143" t="n"/>
      <c r="R641" s="143" t="n"/>
      <c r="S641" s="143" t="n"/>
      <c r="T641" s="143" t="n"/>
      <c r="U641" s="143" t="n"/>
      <c r="V641" s="143" t="n"/>
      <c r="W641" s="143" t="n"/>
      <c r="X641" s="143" t="n"/>
      <c r="Y641" s="143" t="n"/>
      <c r="Z641" s="143" t="n"/>
    </row>
    <row r="642" ht="19.5" customHeight="1" s="398">
      <c r="A642" s="149" t="n"/>
      <c r="B642" s="143" t="n"/>
      <c r="C642" s="143" t="n"/>
      <c r="D642" s="143" t="n"/>
      <c r="E642" s="143" t="n"/>
      <c r="F642" s="143" t="n"/>
      <c r="G642" s="143" t="n"/>
      <c r="H642" s="143" t="n"/>
      <c r="I642" s="143" t="n"/>
      <c r="J642" s="143" t="n"/>
      <c r="K642" s="143" t="n"/>
      <c r="L642" s="143" t="n"/>
      <c r="M642" s="143" t="n"/>
      <c r="N642" s="143" t="n"/>
      <c r="O642" s="143" t="n"/>
      <c r="P642" s="143" t="n"/>
      <c r="Q642" s="143" t="n"/>
      <c r="R642" s="143" t="n"/>
      <c r="S642" s="143" t="n"/>
      <c r="T642" s="143" t="n"/>
      <c r="U642" s="143" t="n"/>
      <c r="V642" s="143" t="n"/>
      <c r="W642" s="143" t="n"/>
      <c r="X642" s="143" t="n"/>
      <c r="Y642" s="143" t="n"/>
      <c r="Z642" s="143" t="n"/>
    </row>
    <row r="643" ht="19.5" customHeight="1" s="398">
      <c r="A643" s="149" t="n"/>
      <c r="B643" s="143" t="n"/>
      <c r="C643" s="143" t="n"/>
      <c r="D643" s="143" t="n"/>
      <c r="E643" s="143" t="n"/>
      <c r="F643" s="143" t="n"/>
      <c r="G643" s="143" t="n"/>
      <c r="H643" s="143" t="n"/>
      <c r="I643" s="143" t="n"/>
      <c r="J643" s="143" t="n"/>
      <c r="K643" s="143" t="n"/>
      <c r="L643" s="143" t="n"/>
      <c r="M643" s="143" t="n"/>
      <c r="N643" s="143" t="n"/>
      <c r="O643" s="143" t="n"/>
      <c r="P643" s="143" t="n"/>
      <c r="Q643" s="143" t="n"/>
      <c r="R643" s="143" t="n"/>
      <c r="S643" s="143" t="n"/>
      <c r="T643" s="143" t="n"/>
      <c r="U643" s="143" t="n"/>
      <c r="V643" s="143" t="n"/>
      <c r="W643" s="143" t="n"/>
      <c r="X643" s="143" t="n"/>
      <c r="Y643" s="143" t="n"/>
      <c r="Z643" s="143" t="n"/>
    </row>
    <row r="644" ht="19.5" customHeight="1" s="398">
      <c r="A644" s="149" t="n"/>
      <c r="B644" s="143" t="n"/>
      <c r="C644" s="143" t="n"/>
      <c r="D644" s="143" t="n"/>
      <c r="E644" s="143" t="n"/>
      <c r="F644" s="143" t="n"/>
      <c r="G644" s="143" t="n"/>
      <c r="H644" s="143" t="n"/>
      <c r="I644" s="143" t="n"/>
      <c r="J644" s="143" t="n"/>
      <c r="K644" s="143" t="n"/>
      <c r="L644" s="143" t="n"/>
      <c r="M644" s="143" t="n"/>
      <c r="N644" s="143" t="n"/>
      <c r="O644" s="143" t="n"/>
      <c r="P644" s="143" t="n"/>
      <c r="Q644" s="143" t="n"/>
      <c r="R644" s="143" t="n"/>
      <c r="S644" s="143" t="n"/>
      <c r="T644" s="143" t="n"/>
      <c r="U644" s="143" t="n"/>
      <c r="V644" s="143" t="n"/>
      <c r="W644" s="143" t="n"/>
      <c r="X644" s="143" t="n"/>
      <c r="Y644" s="143" t="n"/>
      <c r="Z644" s="143" t="n"/>
    </row>
    <row r="645" ht="19.5" customHeight="1" s="398">
      <c r="A645" s="149" t="n"/>
      <c r="B645" s="143" t="n"/>
      <c r="C645" s="143" t="n"/>
      <c r="D645" s="143" t="n"/>
      <c r="E645" s="143" t="n"/>
      <c r="F645" s="143" t="n"/>
      <c r="G645" s="143" t="n"/>
      <c r="H645" s="143" t="n"/>
      <c r="I645" s="143" t="n"/>
      <c r="J645" s="143" t="n"/>
      <c r="K645" s="143" t="n"/>
      <c r="L645" s="143" t="n"/>
      <c r="M645" s="143" t="n"/>
      <c r="N645" s="143" t="n"/>
      <c r="O645" s="143" t="n"/>
      <c r="P645" s="143" t="n"/>
      <c r="Q645" s="143" t="n"/>
      <c r="R645" s="143" t="n"/>
      <c r="S645" s="143" t="n"/>
      <c r="T645" s="143" t="n"/>
      <c r="U645" s="143" t="n"/>
      <c r="V645" s="143" t="n"/>
      <c r="W645" s="143" t="n"/>
      <c r="X645" s="143" t="n"/>
      <c r="Y645" s="143" t="n"/>
      <c r="Z645" s="143" t="n"/>
    </row>
    <row r="646" ht="19.5" customHeight="1" s="398">
      <c r="A646" s="149" t="n"/>
      <c r="B646" s="143" t="n"/>
      <c r="C646" s="143" t="n"/>
      <c r="D646" s="143" t="n"/>
      <c r="E646" s="143" t="n"/>
      <c r="F646" s="143" t="n"/>
      <c r="G646" s="143" t="n"/>
      <c r="H646" s="143" t="n"/>
      <c r="I646" s="143" t="n"/>
      <c r="J646" s="143" t="n"/>
      <c r="K646" s="143" t="n"/>
      <c r="L646" s="143" t="n"/>
      <c r="M646" s="143" t="n"/>
      <c r="N646" s="143" t="n"/>
      <c r="O646" s="143" t="n"/>
      <c r="P646" s="143" t="n"/>
      <c r="Q646" s="143" t="n"/>
      <c r="R646" s="143" t="n"/>
      <c r="S646" s="143" t="n"/>
      <c r="T646" s="143" t="n"/>
      <c r="U646" s="143" t="n"/>
      <c r="V646" s="143" t="n"/>
      <c r="W646" s="143" t="n"/>
      <c r="X646" s="143" t="n"/>
      <c r="Y646" s="143" t="n"/>
      <c r="Z646" s="143" t="n"/>
    </row>
    <row r="647" ht="19.5" customHeight="1" s="398">
      <c r="A647" s="149" t="n"/>
      <c r="B647" s="143" t="n"/>
      <c r="C647" s="143" t="n"/>
      <c r="D647" s="143" t="n"/>
      <c r="E647" s="143" t="n"/>
      <c r="F647" s="143" t="n"/>
      <c r="G647" s="143" t="n"/>
      <c r="H647" s="143" t="n"/>
      <c r="I647" s="143" t="n"/>
      <c r="J647" s="143" t="n"/>
      <c r="K647" s="143" t="n"/>
      <c r="L647" s="143" t="n"/>
      <c r="M647" s="143" t="n"/>
      <c r="N647" s="143" t="n"/>
      <c r="O647" s="143" t="n"/>
      <c r="P647" s="143" t="n"/>
      <c r="Q647" s="143" t="n"/>
      <c r="R647" s="143" t="n"/>
      <c r="S647" s="143" t="n"/>
      <c r="T647" s="143" t="n"/>
      <c r="U647" s="143" t="n"/>
      <c r="V647" s="143" t="n"/>
      <c r="W647" s="143" t="n"/>
      <c r="X647" s="143" t="n"/>
      <c r="Y647" s="143" t="n"/>
      <c r="Z647" s="143" t="n"/>
    </row>
    <row r="648" ht="19.5" customHeight="1" s="398">
      <c r="A648" s="149" t="n"/>
      <c r="B648" s="143" t="n"/>
      <c r="C648" s="143" t="n"/>
      <c r="D648" s="143" t="n"/>
      <c r="E648" s="143" t="n"/>
      <c r="F648" s="143" t="n"/>
      <c r="G648" s="143" t="n"/>
      <c r="H648" s="143" t="n"/>
      <c r="I648" s="143" t="n"/>
      <c r="J648" s="143" t="n"/>
      <c r="K648" s="143" t="n"/>
      <c r="L648" s="143" t="n"/>
      <c r="M648" s="143" t="n"/>
      <c r="N648" s="143" t="n"/>
      <c r="O648" s="143" t="n"/>
      <c r="P648" s="143" t="n"/>
      <c r="Q648" s="143" t="n"/>
      <c r="R648" s="143" t="n"/>
      <c r="S648" s="143" t="n"/>
      <c r="T648" s="143" t="n"/>
      <c r="U648" s="143" t="n"/>
      <c r="V648" s="143" t="n"/>
      <c r="W648" s="143" t="n"/>
      <c r="X648" s="143" t="n"/>
      <c r="Y648" s="143" t="n"/>
      <c r="Z648" s="143" t="n"/>
    </row>
    <row r="649" ht="19.5" customHeight="1" s="398">
      <c r="A649" s="149" t="n"/>
      <c r="B649" s="143" t="n"/>
      <c r="C649" s="143" t="n"/>
      <c r="D649" s="143" t="n"/>
      <c r="E649" s="143" t="n"/>
      <c r="F649" s="143" t="n"/>
      <c r="G649" s="143" t="n"/>
      <c r="H649" s="143" t="n"/>
      <c r="I649" s="143" t="n"/>
      <c r="J649" s="143" t="n"/>
      <c r="K649" s="143" t="n"/>
      <c r="L649" s="143" t="n"/>
      <c r="M649" s="143" t="n"/>
      <c r="N649" s="143" t="n"/>
      <c r="O649" s="143" t="n"/>
      <c r="P649" s="143" t="n"/>
      <c r="Q649" s="143" t="n"/>
      <c r="R649" s="143" t="n"/>
      <c r="S649" s="143" t="n"/>
      <c r="T649" s="143" t="n"/>
      <c r="U649" s="143" t="n"/>
      <c r="V649" s="143" t="n"/>
      <c r="W649" s="143" t="n"/>
      <c r="X649" s="143" t="n"/>
      <c r="Y649" s="143" t="n"/>
      <c r="Z649" s="143" t="n"/>
    </row>
    <row r="650" ht="19.5" customHeight="1" s="398">
      <c r="A650" s="149" t="n"/>
      <c r="B650" s="143" t="n"/>
      <c r="C650" s="143" t="n"/>
      <c r="D650" s="143" t="n"/>
      <c r="E650" s="143" t="n"/>
      <c r="F650" s="143" t="n"/>
      <c r="G650" s="143" t="n"/>
      <c r="H650" s="143" t="n"/>
      <c r="I650" s="143" t="n"/>
      <c r="J650" s="143" t="n"/>
      <c r="K650" s="143" t="n"/>
      <c r="L650" s="143" t="n"/>
      <c r="M650" s="143" t="n"/>
      <c r="N650" s="143" t="n"/>
      <c r="O650" s="143" t="n"/>
      <c r="P650" s="143" t="n"/>
      <c r="Q650" s="143" t="n"/>
      <c r="R650" s="143" t="n"/>
      <c r="S650" s="143" t="n"/>
      <c r="T650" s="143" t="n"/>
      <c r="U650" s="143" t="n"/>
      <c r="V650" s="143" t="n"/>
      <c r="W650" s="143" t="n"/>
      <c r="X650" s="143" t="n"/>
      <c r="Y650" s="143" t="n"/>
      <c r="Z650" s="143" t="n"/>
    </row>
    <row r="651" ht="19.5" customHeight="1" s="398">
      <c r="A651" s="149" t="n"/>
      <c r="B651" s="143" t="n"/>
      <c r="C651" s="143" t="n"/>
      <c r="D651" s="143" t="n"/>
      <c r="E651" s="143" t="n"/>
      <c r="F651" s="143" t="n"/>
      <c r="G651" s="143" t="n"/>
      <c r="H651" s="143" t="n"/>
      <c r="I651" s="143" t="n"/>
      <c r="J651" s="143" t="n"/>
      <c r="K651" s="143" t="n"/>
      <c r="L651" s="143" t="n"/>
      <c r="M651" s="143" t="n"/>
      <c r="N651" s="143" t="n"/>
      <c r="O651" s="143" t="n"/>
      <c r="P651" s="143" t="n"/>
      <c r="Q651" s="143" t="n"/>
      <c r="R651" s="143" t="n"/>
      <c r="S651" s="143" t="n"/>
      <c r="T651" s="143" t="n"/>
      <c r="U651" s="143" t="n"/>
      <c r="V651" s="143" t="n"/>
      <c r="W651" s="143" t="n"/>
      <c r="X651" s="143" t="n"/>
      <c r="Y651" s="143" t="n"/>
      <c r="Z651" s="143" t="n"/>
    </row>
    <row r="652" ht="19.5" customHeight="1" s="398">
      <c r="A652" s="149" t="n"/>
      <c r="B652" s="143" t="n"/>
      <c r="C652" s="143" t="n"/>
      <c r="D652" s="143" t="n"/>
      <c r="E652" s="143" t="n"/>
      <c r="F652" s="143" t="n"/>
      <c r="G652" s="143" t="n"/>
      <c r="H652" s="143" t="n"/>
      <c r="I652" s="143" t="n"/>
      <c r="J652" s="143" t="n"/>
      <c r="K652" s="143" t="n"/>
      <c r="L652" s="143" t="n"/>
      <c r="M652" s="143" t="n"/>
      <c r="N652" s="143" t="n"/>
      <c r="O652" s="143" t="n"/>
      <c r="P652" s="143" t="n"/>
      <c r="Q652" s="143" t="n"/>
      <c r="R652" s="143" t="n"/>
      <c r="S652" s="143" t="n"/>
      <c r="T652" s="143" t="n"/>
      <c r="U652" s="143" t="n"/>
      <c r="V652" s="143" t="n"/>
      <c r="W652" s="143" t="n"/>
      <c r="X652" s="143" t="n"/>
      <c r="Y652" s="143" t="n"/>
      <c r="Z652" s="143" t="n"/>
    </row>
    <row r="653" ht="19.5" customHeight="1" s="398">
      <c r="A653" s="149" t="n"/>
      <c r="B653" s="143" t="n"/>
      <c r="C653" s="143" t="n"/>
      <c r="D653" s="143" t="n"/>
      <c r="E653" s="143" t="n"/>
      <c r="F653" s="143" t="n"/>
      <c r="G653" s="143" t="n"/>
      <c r="H653" s="143" t="n"/>
      <c r="I653" s="143" t="n"/>
      <c r="J653" s="143" t="n"/>
      <c r="K653" s="143" t="n"/>
      <c r="L653" s="143" t="n"/>
      <c r="M653" s="143" t="n"/>
      <c r="N653" s="143" t="n"/>
      <c r="O653" s="143" t="n"/>
      <c r="P653" s="143" t="n"/>
      <c r="Q653" s="143" t="n"/>
      <c r="R653" s="143" t="n"/>
      <c r="S653" s="143" t="n"/>
      <c r="T653" s="143" t="n"/>
      <c r="U653" s="143" t="n"/>
      <c r="V653" s="143" t="n"/>
      <c r="W653" s="143" t="n"/>
      <c r="X653" s="143" t="n"/>
      <c r="Y653" s="143" t="n"/>
      <c r="Z653" s="143" t="n"/>
    </row>
    <row r="654" ht="19.5" customHeight="1" s="398">
      <c r="A654" s="149" t="n"/>
      <c r="B654" s="143" t="n"/>
      <c r="C654" s="143" t="n"/>
      <c r="D654" s="143" t="n"/>
      <c r="E654" s="143" t="n"/>
      <c r="F654" s="143" t="n"/>
      <c r="G654" s="143" t="n"/>
      <c r="H654" s="143" t="n"/>
      <c r="I654" s="143" t="n"/>
      <c r="J654" s="143" t="n"/>
      <c r="K654" s="143" t="n"/>
      <c r="L654" s="143" t="n"/>
      <c r="M654" s="143" t="n"/>
      <c r="N654" s="143" t="n"/>
      <c r="O654" s="143" t="n"/>
      <c r="P654" s="143" t="n"/>
      <c r="Q654" s="143" t="n"/>
      <c r="R654" s="143" t="n"/>
      <c r="S654" s="143" t="n"/>
      <c r="T654" s="143" t="n"/>
      <c r="U654" s="143" t="n"/>
      <c r="V654" s="143" t="n"/>
      <c r="W654" s="143" t="n"/>
      <c r="X654" s="143" t="n"/>
      <c r="Y654" s="143" t="n"/>
      <c r="Z654" s="143" t="n"/>
    </row>
    <row r="655" ht="19.5" customHeight="1" s="398">
      <c r="A655" s="149" t="n"/>
      <c r="B655" s="143" t="n"/>
      <c r="C655" s="143" t="n"/>
      <c r="D655" s="143" t="n"/>
      <c r="E655" s="143" t="n"/>
      <c r="F655" s="143" t="n"/>
      <c r="G655" s="143" t="n"/>
      <c r="H655" s="143" t="n"/>
      <c r="I655" s="143" t="n"/>
      <c r="J655" s="143" t="n"/>
      <c r="K655" s="143" t="n"/>
      <c r="L655" s="143" t="n"/>
      <c r="M655" s="143" t="n"/>
      <c r="N655" s="143" t="n"/>
      <c r="O655" s="143" t="n"/>
      <c r="P655" s="143" t="n"/>
      <c r="Q655" s="143" t="n"/>
      <c r="R655" s="143" t="n"/>
      <c r="S655" s="143" t="n"/>
      <c r="T655" s="143" t="n"/>
      <c r="U655" s="143" t="n"/>
      <c r="V655" s="143" t="n"/>
      <c r="W655" s="143" t="n"/>
      <c r="X655" s="143" t="n"/>
      <c r="Y655" s="143" t="n"/>
      <c r="Z655" s="143" t="n"/>
    </row>
    <row r="656" ht="19.5" customHeight="1" s="398">
      <c r="A656" s="149" t="n"/>
      <c r="B656" s="143" t="n"/>
      <c r="C656" s="143" t="n"/>
      <c r="D656" s="143" t="n"/>
      <c r="E656" s="143" t="n"/>
      <c r="F656" s="143" t="n"/>
      <c r="G656" s="143" t="n"/>
      <c r="H656" s="143" t="n"/>
      <c r="I656" s="143" t="n"/>
      <c r="J656" s="143" t="n"/>
      <c r="K656" s="143" t="n"/>
      <c r="L656" s="143" t="n"/>
      <c r="M656" s="143" t="n"/>
      <c r="N656" s="143" t="n"/>
      <c r="O656" s="143" t="n"/>
      <c r="P656" s="143" t="n"/>
      <c r="Q656" s="143" t="n"/>
      <c r="R656" s="143" t="n"/>
      <c r="S656" s="143" t="n"/>
      <c r="T656" s="143" t="n"/>
      <c r="U656" s="143" t="n"/>
      <c r="V656" s="143" t="n"/>
      <c r="W656" s="143" t="n"/>
      <c r="X656" s="143" t="n"/>
      <c r="Y656" s="143" t="n"/>
      <c r="Z656" s="143" t="n"/>
    </row>
    <row r="657" ht="19.5" customHeight="1" s="398">
      <c r="A657" s="149" t="n"/>
      <c r="B657" s="143" t="n"/>
      <c r="C657" s="143" t="n"/>
      <c r="D657" s="143" t="n"/>
      <c r="E657" s="143" t="n"/>
      <c r="F657" s="143" t="n"/>
      <c r="G657" s="143" t="n"/>
      <c r="H657" s="143" t="n"/>
      <c r="I657" s="143" t="n"/>
      <c r="J657" s="143" t="n"/>
      <c r="K657" s="143" t="n"/>
      <c r="L657" s="143" t="n"/>
      <c r="M657" s="143" t="n"/>
      <c r="N657" s="143" t="n"/>
      <c r="O657" s="143" t="n"/>
      <c r="P657" s="143" t="n"/>
      <c r="Q657" s="143" t="n"/>
      <c r="R657" s="143" t="n"/>
      <c r="S657" s="143" t="n"/>
      <c r="T657" s="143" t="n"/>
      <c r="U657" s="143" t="n"/>
      <c r="V657" s="143" t="n"/>
      <c r="W657" s="143" t="n"/>
      <c r="X657" s="143" t="n"/>
      <c r="Y657" s="143" t="n"/>
      <c r="Z657" s="143" t="n"/>
    </row>
    <row r="658" ht="19.5" customHeight="1" s="398">
      <c r="A658" s="149" t="n"/>
      <c r="B658" s="143" t="n"/>
      <c r="C658" s="143" t="n"/>
      <c r="D658" s="143" t="n"/>
      <c r="E658" s="143" t="n"/>
      <c r="F658" s="143" t="n"/>
      <c r="G658" s="143" t="n"/>
      <c r="H658" s="143" t="n"/>
      <c r="I658" s="143" t="n"/>
      <c r="J658" s="143" t="n"/>
      <c r="K658" s="143" t="n"/>
      <c r="L658" s="143" t="n"/>
      <c r="M658" s="143" t="n"/>
      <c r="N658" s="143" t="n"/>
      <c r="O658" s="143" t="n"/>
      <c r="P658" s="143" t="n"/>
      <c r="Q658" s="143" t="n"/>
      <c r="R658" s="143" t="n"/>
      <c r="S658" s="143" t="n"/>
      <c r="T658" s="143" t="n"/>
      <c r="U658" s="143" t="n"/>
      <c r="V658" s="143" t="n"/>
      <c r="W658" s="143" t="n"/>
      <c r="X658" s="143" t="n"/>
      <c r="Y658" s="143" t="n"/>
      <c r="Z658" s="143" t="n"/>
    </row>
    <row r="659" ht="19.5" customHeight="1" s="398">
      <c r="A659" s="149" t="n"/>
      <c r="B659" s="143" t="n"/>
      <c r="C659" s="143" t="n"/>
      <c r="D659" s="143" t="n"/>
      <c r="E659" s="143" t="n"/>
      <c r="F659" s="143" t="n"/>
      <c r="G659" s="143" t="n"/>
      <c r="H659" s="143" t="n"/>
      <c r="I659" s="143" t="n"/>
      <c r="J659" s="143" t="n"/>
      <c r="K659" s="143" t="n"/>
      <c r="L659" s="143" t="n"/>
      <c r="M659" s="143" t="n"/>
      <c r="N659" s="143" t="n"/>
      <c r="O659" s="143" t="n"/>
      <c r="P659" s="143" t="n"/>
      <c r="Q659" s="143" t="n"/>
      <c r="R659" s="143" t="n"/>
      <c r="S659" s="143" t="n"/>
      <c r="T659" s="143" t="n"/>
      <c r="U659" s="143" t="n"/>
      <c r="V659" s="143" t="n"/>
      <c r="W659" s="143" t="n"/>
      <c r="X659" s="143" t="n"/>
      <c r="Y659" s="143" t="n"/>
      <c r="Z659" s="143" t="n"/>
    </row>
    <row r="660" ht="19.5" customHeight="1" s="398">
      <c r="A660" s="149" t="n"/>
      <c r="B660" s="143" t="n"/>
      <c r="C660" s="143" t="n"/>
      <c r="D660" s="143" t="n"/>
      <c r="E660" s="143" t="n"/>
      <c r="F660" s="143" t="n"/>
      <c r="G660" s="143" t="n"/>
      <c r="H660" s="143" t="n"/>
      <c r="I660" s="143" t="n"/>
      <c r="J660" s="143" t="n"/>
      <c r="K660" s="143" t="n"/>
      <c r="L660" s="143" t="n"/>
      <c r="M660" s="143" t="n"/>
      <c r="N660" s="143" t="n"/>
      <c r="O660" s="143" t="n"/>
      <c r="P660" s="143" t="n"/>
      <c r="Q660" s="143" t="n"/>
      <c r="R660" s="143" t="n"/>
      <c r="S660" s="143" t="n"/>
      <c r="T660" s="143" t="n"/>
      <c r="U660" s="143" t="n"/>
      <c r="V660" s="143" t="n"/>
      <c r="W660" s="143" t="n"/>
      <c r="X660" s="143" t="n"/>
      <c r="Y660" s="143" t="n"/>
      <c r="Z660" s="143" t="n"/>
    </row>
    <row r="661" ht="19.5" customHeight="1" s="398">
      <c r="A661" s="149" t="n"/>
      <c r="B661" s="143" t="n"/>
      <c r="C661" s="143" t="n"/>
      <c r="D661" s="143" t="n"/>
      <c r="E661" s="143" t="n"/>
      <c r="F661" s="143" t="n"/>
      <c r="G661" s="143" t="n"/>
      <c r="H661" s="143" t="n"/>
      <c r="I661" s="143" t="n"/>
      <c r="J661" s="143" t="n"/>
      <c r="K661" s="143" t="n"/>
      <c r="L661" s="143" t="n"/>
      <c r="M661" s="143" t="n"/>
      <c r="N661" s="143" t="n"/>
      <c r="O661" s="143" t="n"/>
      <c r="P661" s="143" t="n"/>
      <c r="Q661" s="143" t="n"/>
      <c r="R661" s="143" t="n"/>
      <c r="S661" s="143" t="n"/>
      <c r="T661" s="143" t="n"/>
      <c r="U661" s="143" t="n"/>
      <c r="V661" s="143" t="n"/>
      <c r="W661" s="143" t="n"/>
      <c r="X661" s="143" t="n"/>
      <c r="Y661" s="143" t="n"/>
      <c r="Z661" s="143" t="n"/>
    </row>
    <row r="662" ht="19.5" customHeight="1" s="398">
      <c r="A662" s="149" t="n"/>
      <c r="B662" s="143" t="n"/>
      <c r="C662" s="143" t="n"/>
      <c r="D662" s="143" t="n"/>
      <c r="E662" s="143" t="n"/>
      <c r="F662" s="143" t="n"/>
      <c r="G662" s="143" t="n"/>
      <c r="H662" s="143" t="n"/>
      <c r="I662" s="143" t="n"/>
      <c r="J662" s="143" t="n"/>
      <c r="K662" s="143" t="n"/>
      <c r="L662" s="143" t="n"/>
      <c r="M662" s="143" t="n"/>
      <c r="N662" s="143" t="n"/>
      <c r="O662" s="143" t="n"/>
      <c r="P662" s="143" t="n"/>
      <c r="Q662" s="143" t="n"/>
      <c r="R662" s="143" t="n"/>
      <c r="S662" s="143" t="n"/>
      <c r="T662" s="143" t="n"/>
      <c r="U662" s="143" t="n"/>
      <c r="V662" s="143" t="n"/>
      <c r="W662" s="143" t="n"/>
      <c r="X662" s="143" t="n"/>
      <c r="Y662" s="143" t="n"/>
      <c r="Z662" s="143" t="n"/>
    </row>
    <row r="663" ht="19.5" customHeight="1" s="398">
      <c r="A663" s="149" t="n"/>
      <c r="B663" s="143" t="n"/>
      <c r="C663" s="143" t="n"/>
      <c r="D663" s="143" t="n"/>
      <c r="E663" s="143" t="n"/>
      <c r="F663" s="143" t="n"/>
      <c r="G663" s="143" t="n"/>
      <c r="H663" s="143" t="n"/>
      <c r="I663" s="143" t="n"/>
      <c r="J663" s="143" t="n"/>
      <c r="K663" s="143" t="n"/>
      <c r="L663" s="143" t="n"/>
      <c r="M663" s="143" t="n"/>
      <c r="N663" s="143" t="n"/>
      <c r="O663" s="143" t="n"/>
      <c r="P663" s="143" t="n"/>
      <c r="Q663" s="143" t="n"/>
      <c r="R663" s="143" t="n"/>
      <c r="S663" s="143" t="n"/>
      <c r="T663" s="143" t="n"/>
      <c r="U663" s="143" t="n"/>
      <c r="V663" s="143" t="n"/>
      <c r="W663" s="143" t="n"/>
      <c r="X663" s="143" t="n"/>
      <c r="Y663" s="143" t="n"/>
      <c r="Z663" s="143" t="n"/>
    </row>
    <row r="664" ht="19.5" customHeight="1" s="398">
      <c r="A664" s="149" t="n"/>
      <c r="B664" s="143" t="n"/>
      <c r="C664" s="143" t="n"/>
      <c r="D664" s="143" t="n"/>
      <c r="E664" s="143" t="n"/>
      <c r="F664" s="143" t="n"/>
      <c r="G664" s="143" t="n"/>
      <c r="H664" s="143" t="n"/>
      <c r="I664" s="143" t="n"/>
      <c r="J664" s="143" t="n"/>
      <c r="K664" s="143" t="n"/>
      <c r="L664" s="143" t="n"/>
      <c r="M664" s="143" t="n"/>
      <c r="N664" s="143" t="n"/>
      <c r="O664" s="143" t="n"/>
      <c r="P664" s="143" t="n"/>
      <c r="Q664" s="143" t="n"/>
      <c r="R664" s="143" t="n"/>
      <c r="S664" s="143" t="n"/>
      <c r="T664" s="143" t="n"/>
      <c r="U664" s="143" t="n"/>
      <c r="V664" s="143" t="n"/>
      <c r="W664" s="143" t="n"/>
      <c r="X664" s="143" t="n"/>
      <c r="Y664" s="143" t="n"/>
      <c r="Z664" s="143" t="n"/>
    </row>
    <row r="665" ht="19.5" customHeight="1" s="398">
      <c r="A665" s="149" t="n"/>
      <c r="B665" s="143" t="n"/>
      <c r="C665" s="143" t="n"/>
      <c r="D665" s="143" t="n"/>
      <c r="E665" s="143" t="n"/>
      <c r="F665" s="143" t="n"/>
      <c r="G665" s="143" t="n"/>
      <c r="H665" s="143" t="n"/>
      <c r="I665" s="143" t="n"/>
      <c r="J665" s="143" t="n"/>
      <c r="K665" s="143" t="n"/>
      <c r="L665" s="143" t="n"/>
      <c r="M665" s="143" t="n"/>
      <c r="N665" s="143" t="n"/>
      <c r="O665" s="143" t="n"/>
      <c r="P665" s="143" t="n"/>
      <c r="Q665" s="143" t="n"/>
      <c r="R665" s="143" t="n"/>
      <c r="S665" s="143" t="n"/>
      <c r="T665" s="143" t="n"/>
      <c r="U665" s="143" t="n"/>
      <c r="V665" s="143" t="n"/>
      <c r="W665" s="143" t="n"/>
      <c r="X665" s="143" t="n"/>
      <c r="Y665" s="143" t="n"/>
      <c r="Z665" s="143" t="n"/>
    </row>
    <row r="666" ht="19.5" customHeight="1" s="398">
      <c r="A666" s="149" t="n"/>
      <c r="B666" s="143" t="n"/>
      <c r="C666" s="143" t="n"/>
      <c r="D666" s="143" t="n"/>
      <c r="E666" s="143" t="n"/>
      <c r="F666" s="143" t="n"/>
      <c r="G666" s="143" t="n"/>
      <c r="H666" s="143" t="n"/>
      <c r="I666" s="143" t="n"/>
      <c r="J666" s="143" t="n"/>
      <c r="K666" s="143" t="n"/>
      <c r="L666" s="143" t="n"/>
      <c r="M666" s="143" t="n"/>
      <c r="N666" s="143" t="n"/>
      <c r="O666" s="143" t="n"/>
      <c r="P666" s="143" t="n"/>
      <c r="Q666" s="143" t="n"/>
      <c r="R666" s="143" t="n"/>
      <c r="S666" s="143" t="n"/>
      <c r="T666" s="143" t="n"/>
      <c r="U666" s="143" t="n"/>
      <c r="V666" s="143" t="n"/>
      <c r="W666" s="143" t="n"/>
      <c r="X666" s="143" t="n"/>
      <c r="Y666" s="143" t="n"/>
      <c r="Z666" s="143" t="n"/>
    </row>
    <row r="667" ht="19.5" customHeight="1" s="398">
      <c r="A667" s="149" t="n"/>
      <c r="B667" s="143" t="n"/>
      <c r="C667" s="143" t="n"/>
      <c r="D667" s="143" t="n"/>
      <c r="E667" s="143" t="n"/>
      <c r="F667" s="143" t="n"/>
      <c r="G667" s="143" t="n"/>
      <c r="H667" s="143" t="n"/>
      <c r="I667" s="143" t="n"/>
      <c r="J667" s="143" t="n"/>
      <c r="K667" s="143" t="n"/>
      <c r="L667" s="143" t="n"/>
      <c r="M667" s="143" t="n"/>
      <c r="N667" s="143" t="n"/>
      <c r="O667" s="143" t="n"/>
      <c r="P667" s="143" t="n"/>
      <c r="Q667" s="143" t="n"/>
      <c r="R667" s="143" t="n"/>
      <c r="S667" s="143" t="n"/>
      <c r="T667" s="143" t="n"/>
      <c r="U667" s="143" t="n"/>
      <c r="V667" s="143" t="n"/>
      <c r="W667" s="143" t="n"/>
      <c r="X667" s="143" t="n"/>
      <c r="Y667" s="143" t="n"/>
      <c r="Z667" s="143" t="n"/>
    </row>
    <row r="668" ht="19.5" customHeight="1" s="398">
      <c r="A668" s="149" t="n"/>
      <c r="B668" s="143" t="n"/>
      <c r="C668" s="143" t="n"/>
      <c r="D668" s="143" t="n"/>
      <c r="E668" s="143" t="n"/>
      <c r="F668" s="143" t="n"/>
      <c r="G668" s="143" t="n"/>
      <c r="H668" s="143" t="n"/>
      <c r="I668" s="143" t="n"/>
      <c r="J668" s="143" t="n"/>
      <c r="K668" s="143" t="n"/>
      <c r="L668" s="143" t="n"/>
      <c r="M668" s="143" t="n"/>
      <c r="N668" s="143" t="n"/>
      <c r="O668" s="143" t="n"/>
      <c r="P668" s="143" t="n"/>
      <c r="Q668" s="143" t="n"/>
      <c r="R668" s="143" t="n"/>
      <c r="S668" s="143" t="n"/>
      <c r="T668" s="143" t="n"/>
      <c r="U668" s="143" t="n"/>
      <c r="V668" s="143" t="n"/>
      <c r="W668" s="143" t="n"/>
      <c r="X668" s="143" t="n"/>
      <c r="Y668" s="143" t="n"/>
      <c r="Z668" s="143" t="n"/>
    </row>
    <row r="669" ht="19.5" customHeight="1" s="398">
      <c r="A669" s="149" t="n"/>
      <c r="B669" s="143" t="n"/>
      <c r="C669" s="143" t="n"/>
      <c r="D669" s="143" t="n"/>
      <c r="E669" s="143" t="n"/>
      <c r="F669" s="143" t="n"/>
      <c r="G669" s="143" t="n"/>
      <c r="H669" s="143" t="n"/>
      <c r="I669" s="143" t="n"/>
      <c r="J669" s="143" t="n"/>
      <c r="K669" s="143" t="n"/>
      <c r="L669" s="143" t="n"/>
      <c r="M669" s="143" t="n"/>
      <c r="N669" s="143" t="n"/>
      <c r="O669" s="143" t="n"/>
      <c r="P669" s="143" t="n"/>
      <c r="Q669" s="143" t="n"/>
      <c r="R669" s="143" t="n"/>
      <c r="S669" s="143" t="n"/>
      <c r="T669" s="143" t="n"/>
      <c r="U669" s="143" t="n"/>
      <c r="V669" s="143" t="n"/>
      <c r="W669" s="143" t="n"/>
      <c r="X669" s="143" t="n"/>
      <c r="Y669" s="143" t="n"/>
      <c r="Z669" s="143" t="n"/>
    </row>
    <row r="670" ht="19.5" customHeight="1" s="398">
      <c r="A670" s="149" t="n"/>
      <c r="B670" s="143" t="n"/>
      <c r="C670" s="143" t="n"/>
      <c r="D670" s="143" t="n"/>
      <c r="E670" s="143" t="n"/>
      <c r="F670" s="143" t="n"/>
      <c r="G670" s="143" t="n"/>
      <c r="H670" s="143" t="n"/>
      <c r="I670" s="143" t="n"/>
      <c r="J670" s="143" t="n"/>
      <c r="K670" s="143" t="n"/>
      <c r="L670" s="143" t="n"/>
      <c r="M670" s="143" t="n"/>
      <c r="N670" s="143" t="n"/>
      <c r="O670" s="143" t="n"/>
      <c r="P670" s="143" t="n"/>
      <c r="Q670" s="143" t="n"/>
      <c r="R670" s="143" t="n"/>
      <c r="S670" s="143" t="n"/>
      <c r="T670" s="143" t="n"/>
      <c r="U670" s="143" t="n"/>
      <c r="V670" s="143" t="n"/>
      <c r="W670" s="143" t="n"/>
      <c r="X670" s="143" t="n"/>
      <c r="Y670" s="143" t="n"/>
      <c r="Z670" s="143" t="n"/>
    </row>
    <row r="671" ht="19.5" customHeight="1" s="398">
      <c r="A671" s="149" t="n"/>
      <c r="B671" s="143" t="n"/>
      <c r="C671" s="143" t="n"/>
      <c r="D671" s="143" t="n"/>
      <c r="E671" s="143" t="n"/>
      <c r="F671" s="143" t="n"/>
      <c r="G671" s="143" t="n"/>
      <c r="H671" s="143" t="n"/>
      <c r="I671" s="143" t="n"/>
      <c r="J671" s="143" t="n"/>
      <c r="K671" s="143" t="n"/>
      <c r="L671" s="143" t="n"/>
      <c r="M671" s="143" t="n"/>
      <c r="N671" s="143" t="n"/>
      <c r="O671" s="143" t="n"/>
      <c r="P671" s="143" t="n"/>
      <c r="Q671" s="143" t="n"/>
      <c r="R671" s="143" t="n"/>
      <c r="S671" s="143" t="n"/>
      <c r="T671" s="143" t="n"/>
      <c r="U671" s="143" t="n"/>
      <c r="V671" s="143" t="n"/>
      <c r="W671" s="143" t="n"/>
      <c r="X671" s="143" t="n"/>
      <c r="Y671" s="143" t="n"/>
      <c r="Z671" s="143" t="n"/>
    </row>
    <row r="672" ht="19.5" customHeight="1" s="398">
      <c r="A672" s="149" t="n"/>
      <c r="B672" s="143" t="n"/>
      <c r="C672" s="143" t="n"/>
      <c r="D672" s="143" t="n"/>
      <c r="E672" s="143" t="n"/>
      <c r="F672" s="143" t="n"/>
      <c r="G672" s="143" t="n"/>
      <c r="H672" s="143" t="n"/>
      <c r="I672" s="143" t="n"/>
      <c r="J672" s="143" t="n"/>
      <c r="K672" s="143" t="n"/>
      <c r="L672" s="143" t="n"/>
      <c r="M672" s="143" t="n"/>
      <c r="N672" s="143" t="n"/>
      <c r="O672" s="143" t="n"/>
      <c r="P672" s="143" t="n"/>
      <c r="Q672" s="143" t="n"/>
      <c r="R672" s="143" t="n"/>
      <c r="S672" s="143" t="n"/>
      <c r="T672" s="143" t="n"/>
      <c r="U672" s="143" t="n"/>
      <c r="V672" s="143" t="n"/>
      <c r="W672" s="143" t="n"/>
      <c r="X672" s="143" t="n"/>
      <c r="Y672" s="143" t="n"/>
      <c r="Z672" s="143" t="n"/>
    </row>
    <row r="673" ht="19.5" customHeight="1" s="398">
      <c r="A673" s="149" t="n"/>
      <c r="B673" s="143" t="n"/>
      <c r="C673" s="143" t="n"/>
      <c r="D673" s="143" t="n"/>
      <c r="E673" s="143" t="n"/>
      <c r="F673" s="143" t="n"/>
      <c r="G673" s="143" t="n"/>
      <c r="H673" s="143" t="n"/>
      <c r="I673" s="143" t="n"/>
      <c r="J673" s="143" t="n"/>
      <c r="K673" s="143" t="n"/>
      <c r="L673" s="143" t="n"/>
      <c r="M673" s="143" t="n"/>
      <c r="N673" s="143" t="n"/>
      <c r="O673" s="143" t="n"/>
      <c r="P673" s="143" t="n"/>
      <c r="Q673" s="143" t="n"/>
      <c r="R673" s="143" t="n"/>
      <c r="S673" s="143" t="n"/>
      <c r="T673" s="143" t="n"/>
      <c r="U673" s="143" t="n"/>
      <c r="V673" s="143" t="n"/>
      <c r="W673" s="143" t="n"/>
      <c r="X673" s="143" t="n"/>
      <c r="Y673" s="143" t="n"/>
      <c r="Z673" s="143" t="n"/>
    </row>
    <row r="674" ht="19.5" customHeight="1" s="398">
      <c r="A674" s="149" t="n"/>
      <c r="B674" s="143" t="n"/>
      <c r="C674" s="143" t="n"/>
      <c r="D674" s="143" t="n"/>
      <c r="E674" s="143" t="n"/>
      <c r="F674" s="143" t="n"/>
      <c r="G674" s="143" t="n"/>
      <c r="H674" s="143" t="n"/>
      <c r="I674" s="143" t="n"/>
      <c r="J674" s="143" t="n"/>
      <c r="K674" s="143" t="n"/>
      <c r="L674" s="143" t="n"/>
      <c r="M674" s="143" t="n"/>
      <c r="N674" s="143" t="n"/>
      <c r="O674" s="143" t="n"/>
      <c r="P674" s="143" t="n"/>
      <c r="Q674" s="143" t="n"/>
      <c r="R674" s="143" t="n"/>
      <c r="S674" s="143" t="n"/>
      <c r="T674" s="143" t="n"/>
      <c r="U674" s="143" t="n"/>
      <c r="V674" s="143" t="n"/>
      <c r="W674" s="143" t="n"/>
      <c r="X674" s="143" t="n"/>
      <c r="Y674" s="143" t="n"/>
      <c r="Z674" s="143" t="n"/>
    </row>
    <row r="675" ht="19.5" customHeight="1" s="398">
      <c r="A675" s="149" t="n"/>
      <c r="B675" s="143" t="n"/>
      <c r="C675" s="143" t="n"/>
      <c r="D675" s="143" t="n"/>
      <c r="E675" s="143" t="n"/>
      <c r="F675" s="143" t="n"/>
      <c r="G675" s="143" t="n"/>
      <c r="H675" s="143" t="n"/>
      <c r="I675" s="143" t="n"/>
      <c r="J675" s="143" t="n"/>
      <c r="K675" s="143" t="n"/>
      <c r="L675" s="143" t="n"/>
      <c r="M675" s="143" t="n"/>
      <c r="N675" s="143" t="n"/>
      <c r="O675" s="143" t="n"/>
      <c r="P675" s="143" t="n"/>
      <c r="Q675" s="143" t="n"/>
      <c r="R675" s="143" t="n"/>
      <c r="S675" s="143" t="n"/>
      <c r="T675" s="143" t="n"/>
      <c r="U675" s="143" t="n"/>
      <c r="V675" s="143" t="n"/>
      <c r="W675" s="143" t="n"/>
      <c r="X675" s="143" t="n"/>
      <c r="Y675" s="143" t="n"/>
      <c r="Z675" s="143" t="n"/>
    </row>
    <row r="676" ht="19.5" customHeight="1" s="398">
      <c r="A676" s="149" t="n"/>
      <c r="B676" s="143" t="n"/>
      <c r="C676" s="143" t="n"/>
      <c r="D676" s="143" t="n"/>
      <c r="E676" s="143" t="n"/>
      <c r="F676" s="143" t="n"/>
      <c r="G676" s="143" t="n"/>
      <c r="H676" s="143" t="n"/>
      <c r="I676" s="143" t="n"/>
      <c r="J676" s="143" t="n"/>
      <c r="K676" s="143" t="n"/>
      <c r="L676" s="143" t="n"/>
      <c r="M676" s="143" t="n"/>
      <c r="N676" s="143" t="n"/>
      <c r="O676" s="143" t="n"/>
      <c r="P676" s="143" t="n"/>
      <c r="Q676" s="143" t="n"/>
      <c r="R676" s="143" t="n"/>
      <c r="S676" s="143" t="n"/>
      <c r="T676" s="143" t="n"/>
      <c r="U676" s="143" t="n"/>
      <c r="V676" s="143" t="n"/>
      <c r="W676" s="143" t="n"/>
      <c r="X676" s="143" t="n"/>
      <c r="Y676" s="143" t="n"/>
      <c r="Z676" s="143" t="n"/>
    </row>
    <row r="677" ht="19.5" customHeight="1" s="398">
      <c r="A677" s="149" t="n"/>
      <c r="B677" s="143" t="n"/>
      <c r="C677" s="143" t="n"/>
      <c r="D677" s="143" t="n"/>
      <c r="E677" s="143" t="n"/>
      <c r="F677" s="143" t="n"/>
      <c r="G677" s="143" t="n"/>
      <c r="H677" s="143" t="n"/>
      <c r="I677" s="143" t="n"/>
      <c r="J677" s="143" t="n"/>
      <c r="K677" s="143" t="n"/>
      <c r="L677" s="143" t="n"/>
      <c r="M677" s="143" t="n"/>
      <c r="N677" s="143" t="n"/>
      <c r="O677" s="143" t="n"/>
      <c r="P677" s="143" t="n"/>
      <c r="Q677" s="143" t="n"/>
      <c r="R677" s="143" t="n"/>
      <c r="S677" s="143" t="n"/>
      <c r="T677" s="143" t="n"/>
      <c r="U677" s="143" t="n"/>
      <c r="V677" s="143" t="n"/>
      <c r="W677" s="143" t="n"/>
      <c r="X677" s="143" t="n"/>
      <c r="Y677" s="143" t="n"/>
      <c r="Z677" s="143" t="n"/>
    </row>
    <row r="678" ht="19.5" customHeight="1" s="398">
      <c r="A678" s="149" t="n"/>
      <c r="B678" s="143" t="n"/>
      <c r="C678" s="143" t="n"/>
      <c r="D678" s="143" t="n"/>
      <c r="E678" s="143" t="n"/>
      <c r="F678" s="143" t="n"/>
      <c r="G678" s="143" t="n"/>
      <c r="H678" s="143" t="n"/>
      <c r="I678" s="143" t="n"/>
      <c r="J678" s="143" t="n"/>
      <c r="K678" s="143" t="n"/>
      <c r="L678" s="143" t="n"/>
      <c r="M678" s="143" t="n"/>
      <c r="N678" s="143" t="n"/>
      <c r="O678" s="143" t="n"/>
      <c r="P678" s="143" t="n"/>
      <c r="Q678" s="143" t="n"/>
      <c r="R678" s="143" t="n"/>
      <c r="S678" s="143" t="n"/>
      <c r="T678" s="143" t="n"/>
      <c r="U678" s="143" t="n"/>
      <c r="V678" s="143" t="n"/>
      <c r="W678" s="143" t="n"/>
      <c r="X678" s="143" t="n"/>
      <c r="Y678" s="143" t="n"/>
      <c r="Z678" s="143" t="n"/>
    </row>
    <row r="679" ht="19.5" customHeight="1" s="398">
      <c r="A679" s="149" t="n"/>
      <c r="B679" s="143" t="n"/>
      <c r="C679" s="143" t="n"/>
      <c r="D679" s="143" t="n"/>
      <c r="E679" s="143" t="n"/>
      <c r="F679" s="143" t="n"/>
      <c r="G679" s="143" t="n"/>
      <c r="H679" s="143" t="n"/>
      <c r="I679" s="143" t="n"/>
      <c r="J679" s="143" t="n"/>
      <c r="K679" s="143" t="n"/>
      <c r="L679" s="143" t="n"/>
      <c r="M679" s="143" t="n"/>
      <c r="N679" s="143" t="n"/>
      <c r="O679" s="143" t="n"/>
      <c r="P679" s="143" t="n"/>
      <c r="Q679" s="143" t="n"/>
      <c r="R679" s="143" t="n"/>
      <c r="S679" s="143" t="n"/>
      <c r="T679" s="143" t="n"/>
      <c r="U679" s="143" t="n"/>
      <c r="V679" s="143" t="n"/>
      <c r="W679" s="143" t="n"/>
      <c r="X679" s="143" t="n"/>
      <c r="Y679" s="143" t="n"/>
      <c r="Z679" s="143" t="n"/>
    </row>
    <row r="680" ht="19.5" customHeight="1" s="398">
      <c r="A680" s="149" t="n"/>
      <c r="B680" s="143" t="n"/>
      <c r="C680" s="143" t="n"/>
      <c r="D680" s="143" t="n"/>
      <c r="E680" s="143" t="n"/>
      <c r="F680" s="143" t="n"/>
      <c r="G680" s="143" t="n"/>
      <c r="H680" s="143" t="n"/>
      <c r="I680" s="143" t="n"/>
      <c r="J680" s="143" t="n"/>
      <c r="K680" s="143" t="n"/>
      <c r="L680" s="143" t="n"/>
      <c r="M680" s="143" t="n"/>
      <c r="N680" s="143" t="n"/>
      <c r="O680" s="143" t="n"/>
      <c r="P680" s="143" t="n"/>
      <c r="Q680" s="143" t="n"/>
      <c r="R680" s="143" t="n"/>
      <c r="S680" s="143" t="n"/>
      <c r="T680" s="143" t="n"/>
      <c r="U680" s="143" t="n"/>
      <c r="V680" s="143" t="n"/>
      <c r="W680" s="143" t="n"/>
      <c r="X680" s="143" t="n"/>
      <c r="Y680" s="143" t="n"/>
      <c r="Z680" s="143" t="n"/>
    </row>
    <row r="681" ht="19.5" customHeight="1" s="398">
      <c r="A681" s="149" t="n"/>
      <c r="B681" s="143" t="n"/>
      <c r="C681" s="143" t="n"/>
      <c r="D681" s="143" t="n"/>
      <c r="E681" s="143" t="n"/>
      <c r="F681" s="143" t="n"/>
      <c r="G681" s="143" t="n"/>
      <c r="H681" s="143" t="n"/>
      <c r="I681" s="143" t="n"/>
      <c r="J681" s="143" t="n"/>
      <c r="K681" s="143" t="n"/>
      <c r="L681" s="143" t="n"/>
      <c r="M681" s="143" t="n"/>
      <c r="N681" s="143" t="n"/>
      <c r="O681" s="143" t="n"/>
      <c r="P681" s="143" t="n"/>
      <c r="Q681" s="143" t="n"/>
      <c r="R681" s="143" t="n"/>
      <c r="S681" s="143" t="n"/>
      <c r="T681" s="143" t="n"/>
      <c r="U681" s="143" t="n"/>
      <c r="V681" s="143" t="n"/>
      <c r="W681" s="143" t="n"/>
      <c r="X681" s="143" t="n"/>
      <c r="Y681" s="143" t="n"/>
      <c r="Z681" s="143" t="n"/>
    </row>
    <row r="682" ht="19.5" customHeight="1" s="398">
      <c r="A682" s="149" t="n"/>
      <c r="B682" s="143" t="n"/>
      <c r="C682" s="143" t="n"/>
      <c r="D682" s="143" t="n"/>
      <c r="E682" s="143" t="n"/>
      <c r="F682" s="143" t="n"/>
      <c r="G682" s="143" t="n"/>
      <c r="H682" s="143" t="n"/>
      <c r="I682" s="143" t="n"/>
      <c r="J682" s="143" t="n"/>
      <c r="K682" s="143" t="n"/>
      <c r="L682" s="143" t="n"/>
      <c r="M682" s="143" t="n"/>
      <c r="N682" s="143" t="n"/>
      <c r="O682" s="143" t="n"/>
      <c r="P682" s="143" t="n"/>
      <c r="Q682" s="143" t="n"/>
      <c r="R682" s="143" t="n"/>
      <c r="S682" s="143" t="n"/>
      <c r="T682" s="143" t="n"/>
      <c r="U682" s="143" t="n"/>
      <c r="V682" s="143" t="n"/>
      <c r="W682" s="143" t="n"/>
      <c r="X682" s="143" t="n"/>
      <c r="Y682" s="143" t="n"/>
      <c r="Z682" s="143" t="n"/>
    </row>
    <row r="683" ht="19.5" customHeight="1" s="398">
      <c r="A683" s="149" t="n"/>
      <c r="B683" s="143" t="n"/>
      <c r="C683" s="143" t="n"/>
      <c r="D683" s="143" t="n"/>
      <c r="E683" s="143" t="n"/>
      <c r="F683" s="143" t="n"/>
      <c r="G683" s="143" t="n"/>
      <c r="H683" s="143" t="n"/>
      <c r="I683" s="143" t="n"/>
      <c r="J683" s="143" t="n"/>
      <c r="K683" s="143" t="n"/>
      <c r="L683" s="143" t="n"/>
      <c r="M683" s="143" t="n"/>
      <c r="N683" s="143" t="n"/>
      <c r="O683" s="143" t="n"/>
      <c r="P683" s="143" t="n"/>
      <c r="Q683" s="143" t="n"/>
      <c r="R683" s="143" t="n"/>
      <c r="S683" s="143" t="n"/>
      <c r="T683" s="143" t="n"/>
      <c r="U683" s="143" t="n"/>
      <c r="V683" s="143" t="n"/>
      <c r="W683" s="143" t="n"/>
      <c r="X683" s="143" t="n"/>
      <c r="Y683" s="143" t="n"/>
      <c r="Z683" s="143" t="n"/>
    </row>
    <row r="684" ht="19.5" customHeight="1" s="398">
      <c r="A684" s="149" t="n"/>
      <c r="B684" s="143" t="n"/>
      <c r="C684" s="143" t="n"/>
      <c r="D684" s="143" t="n"/>
      <c r="E684" s="143" t="n"/>
      <c r="F684" s="143" t="n"/>
      <c r="G684" s="143" t="n"/>
      <c r="H684" s="143" t="n"/>
      <c r="I684" s="143" t="n"/>
      <c r="J684" s="143" t="n"/>
      <c r="K684" s="143" t="n"/>
      <c r="L684" s="143" t="n"/>
      <c r="M684" s="143" t="n"/>
      <c r="N684" s="143" t="n"/>
      <c r="O684" s="143" t="n"/>
      <c r="P684" s="143" t="n"/>
      <c r="Q684" s="143" t="n"/>
      <c r="R684" s="143" t="n"/>
      <c r="S684" s="143" t="n"/>
      <c r="T684" s="143" t="n"/>
      <c r="U684" s="143" t="n"/>
      <c r="V684" s="143" t="n"/>
      <c r="W684" s="143" t="n"/>
      <c r="X684" s="143" t="n"/>
      <c r="Y684" s="143" t="n"/>
      <c r="Z684" s="143" t="n"/>
    </row>
    <row r="685" ht="19.5" customHeight="1" s="398">
      <c r="A685" s="149" t="n"/>
      <c r="B685" s="143" t="n"/>
      <c r="C685" s="143" t="n"/>
      <c r="D685" s="143" t="n"/>
      <c r="E685" s="143" t="n"/>
      <c r="F685" s="143" t="n"/>
      <c r="G685" s="143" t="n"/>
      <c r="H685" s="143" t="n"/>
      <c r="I685" s="143" t="n"/>
      <c r="J685" s="143" t="n"/>
      <c r="K685" s="143" t="n"/>
      <c r="L685" s="143" t="n"/>
      <c r="M685" s="143" t="n"/>
      <c r="N685" s="143" t="n"/>
      <c r="O685" s="143" t="n"/>
      <c r="P685" s="143" t="n"/>
      <c r="Q685" s="143" t="n"/>
      <c r="R685" s="143" t="n"/>
      <c r="S685" s="143" t="n"/>
      <c r="T685" s="143" t="n"/>
      <c r="U685" s="143" t="n"/>
      <c r="V685" s="143" t="n"/>
      <c r="W685" s="143" t="n"/>
      <c r="X685" s="143" t="n"/>
      <c r="Y685" s="143" t="n"/>
      <c r="Z685" s="143" t="n"/>
    </row>
    <row r="686" ht="19.5" customHeight="1" s="398">
      <c r="A686" s="149" t="n"/>
      <c r="B686" s="143" t="n"/>
      <c r="C686" s="143" t="n"/>
      <c r="D686" s="143" t="n"/>
      <c r="E686" s="143" t="n"/>
      <c r="F686" s="143" t="n"/>
      <c r="G686" s="143" t="n"/>
      <c r="H686" s="143" t="n"/>
      <c r="I686" s="143" t="n"/>
      <c r="J686" s="143" t="n"/>
      <c r="K686" s="143" t="n"/>
      <c r="L686" s="143" t="n"/>
      <c r="M686" s="143" t="n"/>
      <c r="N686" s="143" t="n"/>
      <c r="O686" s="143" t="n"/>
      <c r="P686" s="143" t="n"/>
      <c r="Q686" s="143" t="n"/>
      <c r="R686" s="143" t="n"/>
      <c r="S686" s="143" t="n"/>
      <c r="T686" s="143" t="n"/>
      <c r="U686" s="143" t="n"/>
      <c r="V686" s="143" t="n"/>
      <c r="W686" s="143" t="n"/>
      <c r="X686" s="143" t="n"/>
      <c r="Y686" s="143" t="n"/>
      <c r="Z686" s="143" t="n"/>
    </row>
    <row r="687" ht="19.5" customHeight="1" s="398">
      <c r="A687" s="149" t="n"/>
      <c r="B687" s="143" t="n"/>
      <c r="C687" s="143" t="n"/>
      <c r="D687" s="143" t="n"/>
      <c r="E687" s="143" t="n"/>
      <c r="F687" s="143" t="n"/>
      <c r="G687" s="143" t="n"/>
      <c r="H687" s="143" t="n"/>
      <c r="I687" s="143" t="n"/>
      <c r="J687" s="143" t="n"/>
      <c r="K687" s="143" t="n"/>
      <c r="L687" s="143" t="n"/>
      <c r="M687" s="143" t="n"/>
      <c r="N687" s="143" t="n"/>
      <c r="O687" s="143" t="n"/>
      <c r="P687" s="143" t="n"/>
      <c r="Q687" s="143" t="n"/>
      <c r="R687" s="143" t="n"/>
      <c r="S687" s="143" t="n"/>
      <c r="T687" s="143" t="n"/>
      <c r="U687" s="143" t="n"/>
      <c r="V687" s="143" t="n"/>
      <c r="W687" s="143" t="n"/>
      <c r="X687" s="143" t="n"/>
      <c r="Y687" s="143" t="n"/>
      <c r="Z687" s="143" t="n"/>
    </row>
    <row r="688" ht="19.5" customHeight="1" s="398">
      <c r="A688" s="149" t="n"/>
      <c r="B688" s="143" t="n"/>
      <c r="C688" s="143" t="n"/>
      <c r="D688" s="143" t="n"/>
      <c r="E688" s="143" t="n"/>
      <c r="F688" s="143" t="n"/>
      <c r="G688" s="143" t="n"/>
      <c r="H688" s="143" t="n"/>
      <c r="I688" s="143" t="n"/>
      <c r="J688" s="143" t="n"/>
      <c r="K688" s="143" t="n"/>
      <c r="L688" s="143" t="n"/>
      <c r="M688" s="143" t="n"/>
      <c r="N688" s="143" t="n"/>
      <c r="O688" s="143" t="n"/>
      <c r="P688" s="143" t="n"/>
      <c r="Q688" s="143" t="n"/>
      <c r="R688" s="143" t="n"/>
      <c r="S688" s="143" t="n"/>
      <c r="T688" s="143" t="n"/>
      <c r="U688" s="143" t="n"/>
      <c r="V688" s="143" t="n"/>
      <c r="W688" s="143" t="n"/>
      <c r="X688" s="143" t="n"/>
      <c r="Y688" s="143" t="n"/>
      <c r="Z688" s="143" t="n"/>
    </row>
    <row r="689" ht="19.5" customHeight="1" s="398">
      <c r="A689" s="149" t="n"/>
      <c r="B689" s="143" t="n"/>
      <c r="C689" s="143" t="n"/>
      <c r="D689" s="143" t="n"/>
      <c r="E689" s="143" t="n"/>
      <c r="F689" s="143" t="n"/>
      <c r="G689" s="143" t="n"/>
      <c r="H689" s="143" t="n"/>
      <c r="I689" s="143" t="n"/>
      <c r="J689" s="143" t="n"/>
      <c r="K689" s="143" t="n"/>
      <c r="L689" s="143" t="n"/>
      <c r="M689" s="143" t="n"/>
      <c r="N689" s="143" t="n"/>
      <c r="O689" s="143" t="n"/>
      <c r="P689" s="143" t="n"/>
      <c r="Q689" s="143" t="n"/>
      <c r="R689" s="143" t="n"/>
      <c r="S689" s="143" t="n"/>
      <c r="T689" s="143" t="n"/>
      <c r="U689" s="143" t="n"/>
      <c r="V689" s="143" t="n"/>
      <c r="W689" s="143" t="n"/>
      <c r="X689" s="143" t="n"/>
      <c r="Y689" s="143" t="n"/>
      <c r="Z689" s="143" t="n"/>
    </row>
    <row r="690" ht="19.5" customHeight="1" s="398">
      <c r="A690" s="149" t="n"/>
      <c r="B690" s="143" t="n"/>
      <c r="C690" s="143" t="n"/>
      <c r="D690" s="143" t="n"/>
      <c r="E690" s="143" t="n"/>
      <c r="F690" s="143" t="n"/>
      <c r="G690" s="143" t="n"/>
      <c r="H690" s="143" t="n"/>
      <c r="I690" s="143" t="n"/>
      <c r="J690" s="143" t="n"/>
      <c r="K690" s="143" t="n"/>
      <c r="L690" s="143" t="n"/>
      <c r="M690" s="143" t="n"/>
      <c r="N690" s="143" t="n"/>
      <c r="O690" s="143" t="n"/>
      <c r="P690" s="143" t="n"/>
      <c r="Q690" s="143" t="n"/>
      <c r="R690" s="143" t="n"/>
      <c r="S690" s="143" t="n"/>
      <c r="T690" s="143" t="n"/>
      <c r="U690" s="143" t="n"/>
      <c r="V690" s="143" t="n"/>
      <c r="W690" s="143" t="n"/>
      <c r="X690" s="143" t="n"/>
      <c r="Y690" s="143" t="n"/>
      <c r="Z690" s="143" t="n"/>
    </row>
    <row r="691" ht="19.5" customHeight="1" s="398">
      <c r="A691" s="149" t="n"/>
      <c r="B691" s="143" t="n"/>
      <c r="C691" s="143" t="n"/>
      <c r="D691" s="143" t="n"/>
      <c r="E691" s="143" t="n"/>
      <c r="F691" s="143" t="n"/>
      <c r="G691" s="143" t="n"/>
      <c r="H691" s="143" t="n"/>
      <c r="I691" s="143" t="n"/>
      <c r="J691" s="143" t="n"/>
      <c r="K691" s="143" t="n"/>
      <c r="L691" s="143" t="n"/>
      <c r="M691" s="143" t="n"/>
      <c r="N691" s="143" t="n"/>
      <c r="O691" s="143" t="n"/>
      <c r="P691" s="143" t="n"/>
      <c r="Q691" s="143" t="n"/>
      <c r="R691" s="143" t="n"/>
      <c r="S691" s="143" t="n"/>
      <c r="T691" s="143" t="n"/>
      <c r="U691" s="143" t="n"/>
      <c r="V691" s="143" t="n"/>
      <c r="W691" s="143" t="n"/>
      <c r="X691" s="143" t="n"/>
      <c r="Y691" s="143" t="n"/>
      <c r="Z691" s="143" t="n"/>
    </row>
    <row r="692" ht="19.5" customHeight="1" s="398">
      <c r="A692" s="149" t="n"/>
      <c r="B692" s="143" t="n"/>
      <c r="C692" s="143" t="n"/>
      <c r="D692" s="143" t="n"/>
      <c r="E692" s="143" t="n"/>
      <c r="F692" s="143" t="n"/>
      <c r="G692" s="143" t="n"/>
      <c r="H692" s="143" t="n"/>
      <c r="I692" s="143" t="n"/>
      <c r="J692" s="143" t="n"/>
      <c r="K692" s="143" t="n"/>
      <c r="L692" s="143" t="n"/>
      <c r="M692" s="143" t="n"/>
      <c r="N692" s="143" t="n"/>
      <c r="O692" s="143" t="n"/>
      <c r="P692" s="143" t="n"/>
      <c r="Q692" s="143" t="n"/>
      <c r="R692" s="143" t="n"/>
      <c r="S692" s="143" t="n"/>
      <c r="T692" s="143" t="n"/>
      <c r="U692" s="143" t="n"/>
      <c r="V692" s="143" t="n"/>
      <c r="W692" s="143" t="n"/>
      <c r="X692" s="143" t="n"/>
      <c r="Y692" s="143" t="n"/>
      <c r="Z692" s="143" t="n"/>
    </row>
    <row r="693" ht="19.5" customHeight="1" s="398">
      <c r="A693" s="149" t="n"/>
      <c r="B693" s="143" t="n"/>
      <c r="C693" s="143" t="n"/>
      <c r="D693" s="143" t="n"/>
      <c r="E693" s="143" t="n"/>
      <c r="F693" s="143" t="n"/>
      <c r="G693" s="143" t="n"/>
      <c r="H693" s="143" t="n"/>
      <c r="I693" s="143" t="n"/>
      <c r="J693" s="143" t="n"/>
      <c r="K693" s="143" t="n"/>
      <c r="L693" s="143" t="n"/>
      <c r="M693" s="143" t="n"/>
      <c r="N693" s="143" t="n"/>
      <c r="O693" s="143" t="n"/>
      <c r="P693" s="143" t="n"/>
      <c r="Q693" s="143" t="n"/>
      <c r="R693" s="143" t="n"/>
      <c r="S693" s="143" t="n"/>
      <c r="T693" s="143" t="n"/>
      <c r="U693" s="143" t="n"/>
      <c r="V693" s="143" t="n"/>
      <c r="W693" s="143" t="n"/>
      <c r="X693" s="143" t="n"/>
      <c r="Y693" s="143" t="n"/>
      <c r="Z693" s="143" t="n"/>
    </row>
    <row r="694" ht="19.5" customHeight="1" s="398">
      <c r="A694" s="149" t="n"/>
      <c r="B694" s="143" t="n"/>
      <c r="C694" s="143" t="n"/>
      <c r="D694" s="143" t="n"/>
      <c r="E694" s="143" t="n"/>
      <c r="F694" s="143" t="n"/>
      <c r="G694" s="143" t="n"/>
      <c r="H694" s="143" t="n"/>
      <c r="I694" s="143" t="n"/>
      <c r="J694" s="143" t="n"/>
      <c r="K694" s="143" t="n"/>
      <c r="L694" s="143" t="n"/>
      <c r="M694" s="143" t="n"/>
      <c r="N694" s="143" t="n"/>
      <c r="O694" s="143" t="n"/>
      <c r="P694" s="143" t="n"/>
      <c r="Q694" s="143" t="n"/>
      <c r="R694" s="143" t="n"/>
      <c r="S694" s="143" t="n"/>
      <c r="T694" s="143" t="n"/>
      <c r="U694" s="143" t="n"/>
      <c r="V694" s="143" t="n"/>
      <c r="W694" s="143" t="n"/>
      <c r="X694" s="143" t="n"/>
      <c r="Y694" s="143" t="n"/>
      <c r="Z694" s="143" t="n"/>
    </row>
    <row r="695" ht="19.5" customHeight="1" s="398">
      <c r="A695" s="149" t="n"/>
      <c r="B695" s="143" t="n"/>
      <c r="C695" s="143" t="n"/>
      <c r="D695" s="143" t="n"/>
      <c r="E695" s="143" t="n"/>
      <c r="F695" s="143" t="n"/>
      <c r="G695" s="143" t="n"/>
      <c r="H695" s="143" t="n"/>
      <c r="I695" s="143" t="n"/>
      <c r="J695" s="143" t="n"/>
      <c r="K695" s="143" t="n"/>
      <c r="L695" s="143" t="n"/>
      <c r="M695" s="143" t="n"/>
      <c r="N695" s="143" t="n"/>
      <c r="O695" s="143" t="n"/>
      <c r="P695" s="143" t="n"/>
      <c r="Q695" s="143" t="n"/>
      <c r="R695" s="143" t="n"/>
      <c r="S695" s="143" t="n"/>
      <c r="T695" s="143" t="n"/>
      <c r="U695" s="143" t="n"/>
      <c r="V695" s="143" t="n"/>
      <c r="W695" s="143" t="n"/>
      <c r="X695" s="143" t="n"/>
      <c r="Y695" s="143" t="n"/>
      <c r="Z695" s="143" t="n"/>
    </row>
    <row r="696" ht="19.5" customHeight="1" s="398">
      <c r="A696" s="149" t="n"/>
      <c r="B696" s="143" t="n"/>
      <c r="C696" s="143" t="n"/>
      <c r="D696" s="143" t="n"/>
      <c r="E696" s="143" t="n"/>
      <c r="F696" s="143" t="n"/>
      <c r="G696" s="143" t="n"/>
      <c r="H696" s="143" t="n"/>
      <c r="I696" s="143" t="n"/>
      <c r="J696" s="143" t="n"/>
      <c r="K696" s="143" t="n"/>
      <c r="L696" s="143" t="n"/>
      <c r="M696" s="143" t="n"/>
      <c r="N696" s="143" t="n"/>
      <c r="O696" s="143" t="n"/>
      <c r="P696" s="143" t="n"/>
      <c r="Q696" s="143" t="n"/>
      <c r="R696" s="143" t="n"/>
      <c r="S696" s="143" t="n"/>
      <c r="T696" s="143" t="n"/>
      <c r="U696" s="143" t="n"/>
      <c r="V696" s="143" t="n"/>
      <c r="W696" s="143" t="n"/>
      <c r="X696" s="143" t="n"/>
      <c r="Y696" s="143" t="n"/>
      <c r="Z696" s="143" t="n"/>
    </row>
    <row r="697" ht="19.5" customHeight="1" s="398">
      <c r="A697" s="149" t="n"/>
      <c r="B697" s="143" t="n"/>
      <c r="C697" s="143" t="n"/>
      <c r="D697" s="143" t="n"/>
      <c r="E697" s="143" t="n"/>
      <c r="F697" s="143" t="n"/>
      <c r="G697" s="143" t="n"/>
      <c r="H697" s="143" t="n"/>
      <c r="I697" s="143" t="n"/>
      <c r="J697" s="143" t="n"/>
      <c r="K697" s="143" t="n"/>
      <c r="L697" s="143" t="n"/>
      <c r="M697" s="143" t="n"/>
      <c r="N697" s="143" t="n"/>
      <c r="O697" s="143" t="n"/>
      <c r="P697" s="143" t="n"/>
      <c r="Q697" s="143" t="n"/>
      <c r="R697" s="143" t="n"/>
      <c r="S697" s="143" t="n"/>
      <c r="T697" s="143" t="n"/>
      <c r="U697" s="143" t="n"/>
      <c r="V697" s="143" t="n"/>
      <c r="W697" s="143" t="n"/>
      <c r="X697" s="143" t="n"/>
      <c r="Y697" s="143" t="n"/>
      <c r="Z697" s="143" t="n"/>
    </row>
    <row r="698" ht="19.5" customHeight="1" s="398">
      <c r="A698" s="149" t="n"/>
      <c r="B698" s="143" t="n"/>
      <c r="C698" s="143" t="n"/>
      <c r="D698" s="143" t="n"/>
      <c r="E698" s="143" t="n"/>
      <c r="F698" s="143" t="n"/>
      <c r="G698" s="143" t="n"/>
      <c r="H698" s="143" t="n"/>
      <c r="I698" s="143" t="n"/>
      <c r="J698" s="143" t="n"/>
      <c r="K698" s="143" t="n"/>
      <c r="L698" s="143" t="n"/>
      <c r="M698" s="143" t="n"/>
      <c r="N698" s="143" t="n"/>
      <c r="O698" s="143" t="n"/>
      <c r="P698" s="143" t="n"/>
      <c r="Q698" s="143" t="n"/>
      <c r="R698" s="143" t="n"/>
      <c r="S698" s="143" t="n"/>
      <c r="T698" s="143" t="n"/>
      <c r="U698" s="143" t="n"/>
      <c r="V698" s="143" t="n"/>
      <c r="W698" s="143" t="n"/>
      <c r="X698" s="143" t="n"/>
      <c r="Y698" s="143" t="n"/>
      <c r="Z698" s="143" t="n"/>
    </row>
    <row r="699" ht="19.5" customHeight="1" s="398">
      <c r="A699" s="149" t="n"/>
      <c r="B699" s="143" t="n"/>
      <c r="C699" s="143" t="n"/>
      <c r="D699" s="143" t="n"/>
      <c r="E699" s="143" t="n"/>
      <c r="F699" s="143" t="n"/>
      <c r="G699" s="143" t="n"/>
      <c r="H699" s="143" t="n"/>
      <c r="I699" s="143" t="n"/>
      <c r="J699" s="143" t="n"/>
      <c r="K699" s="143" t="n"/>
      <c r="L699" s="143" t="n"/>
      <c r="M699" s="143" t="n"/>
      <c r="N699" s="143" t="n"/>
      <c r="O699" s="143" t="n"/>
      <c r="P699" s="143" t="n"/>
      <c r="Q699" s="143" t="n"/>
      <c r="R699" s="143" t="n"/>
      <c r="S699" s="143" t="n"/>
      <c r="T699" s="143" t="n"/>
      <c r="U699" s="143" t="n"/>
      <c r="V699" s="143" t="n"/>
      <c r="W699" s="143" t="n"/>
      <c r="X699" s="143" t="n"/>
      <c r="Y699" s="143" t="n"/>
      <c r="Z699" s="143" t="n"/>
    </row>
    <row r="700" ht="19.5" customHeight="1" s="398">
      <c r="A700" s="149" t="n"/>
      <c r="B700" s="143" t="n"/>
      <c r="C700" s="143" t="n"/>
      <c r="D700" s="143" t="n"/>
      <c r="E700" s="143" t="n"/>
      <c r="F700" s="143" t="n"/>
      <c r="G700" s="143" t="n"/>
      <c r="H700" s="143" t="n"/>
      <c r="I700" s="143" t="n"/>
      <c r="J700" s="143" t="n"/>
      <c r="K700" s="143" t="n"/>
      <c r="L700" s="143" t="n"/>
      <c r="M700" s="143" t="n"/>
      <c r="N700" s="143" t="n"/>
      <c r="O700" s="143" t="n"/>
      <c r="P700" s="143" t="n"/>
      <c r="Q700" s="143" t="n"/>
      <c r="R700" s="143" t="n"/>
      <c r="S700" s="143" t="n"/>
      <c r="T700" s="143" t="n"/>
      <c r="U700" s="143" t="n"/>
      <c r="V700" s="143" t="n"/>
      <c r="W700" s="143" t="n"/>
      <c r="X700" s="143" t="n"/>
      <c r="Y700" s="143" t="n"/>
      <c r="Z700" s="143" t="n"/>
    </row>
    <row r="701" ht="19.5" customHeight="1" s="398">
      <c r="A701" s="149" t="n"/>
      <c r="B701" s="143" t="n"/>
      <c r="C701" s="143" t="n"/>
      <c r="D701" s="143" t="n"/>
      <c r="E701" s="143" t="n"/>
      <c r="F701" s="143" t="n"/>
      <c r="G701" s="143" t="n"/>
      <c r="H701" s="143" t="n"/>
      <c r="I701" s="143" t="n"/>
      <c r="J701" s="143" t="n"/>
      <c r="K701" s="143" t="n"/>
      <c r="L701" s="143" t="n"/>
      <c r="M701" s="143" t="n"/>
      <c r="N701" s="143" t="n"/>
      <c r="O701" s="143" t="n"/>
      <c r="P701" s="143" t="n"/>
      <c r="Q701" s="143" t="n"/>
      <c r="R701" s="143" t="n"/>
      <c r="S701" s="143" t="n"/>
      <c r="T701" s="143" t="n"/>
      <c r="U701" s="143" t="n"/>
      <c r="V701" s="143" t="n"/>
      <c r="W701" s="143" t="n"/>
      <c r="X701" s="143" t="n"/>
      <c r="Y701" s="143" t="n"/>
      <c r="Z701" s="143" t="n"/>
    </row>
    <row r="702" ht="19.5" customHeight="1" s="398">
      <c r="A702" s="149" t="n"/>
      <c r="B702" s="143" t="n"/>
      <c r="C702" s="143" t="n"/>
      <c r="D702" s="143" t="n"/>
      <c r="E702" s="143" t="n"/>
      <c r="F702" s="143" t="n"/>
      <c r="G702" s="143" t="n"/>
      <c r="H702" s="143" t="n"/>
      <c r="I702" s="143" t="n"/>
      <c r="J702" s="143" t="n"/>
      <c r="K702" s="143" t="n"/>
      <c r="L702" s="143" t="n"/>
      <c r="M702" s="143" t="n"/>
      <c r="N702" s="143" t="n"/>
      <c r="O702" s="143" t="n"/>
      <c r="P702" s="143" t="n"/>
      <c r="Q702" s="143" t="n"/>
      <c r="R702" s="143" t="n"/>
      <c r="S702" s="143" t="n"/>
      <c r="T702" s="143" t="n"/>
      <c r="U702" s="143" t="n"/>
      <c r="V702" s="143" t="n"/>
      <c r="W702" s="143" t="n"/>
      <c r="X702" s="143" t="n"/>
      <c r="Y702" s="143" t="n"/>
      <c r="Z702" s="143" t="n"/>
    </row>
    <row r="703" ht="19.5" customHeight="1" s="398">
      <c r="A703" s="149" t="n"/>
      <c r="B703" s="143" t="n"/>
      <c r="C703" s="143" t="n"/>
      <c r="D703" s="143" t="n"/>
      <c r="E703" s="143" t="n"/>
      <c r="F703" s="143" t="n"/>
      <c r="G703" s="143" t="n"/>
      <c r="H703" s="143" t="n"/>
      <c r="I703" s="143" t="n"/>
      <c r="J703" s="143" t="n"/>
      <c r="K703" s="143" t="n"/>
      <c r="L703" s="143" t="n"/>
      <c r="M703" s="143" t="n"/>
      <c r="N703" s="143" t="n"/>
      <c r="O703" s="143" t="n"/>
      <c r="P703" s="143" t="n"/>
      <c r="Q703" s="143" t="n"/>
      <c r="R703" s="143" t="n"/>
      <c r="S703" s="143" t="n"/>
      <c r="T703" s="143" t="n"/>
      <c r="U703" s="143" t="n"/>
      <c r="V703" s="143" t="n"/>
      <c r="W703" s="143" t="n"/>
      <c r="X703" s="143" t="n"/>
      <c r="Y703" s="143" t="n"/>
      <c r="Z703" s="143" t="n"/>
    </row>
    <row r="704" ht="19.5" customHeight="1" s="398">
      <c r="A704" s="149" t="n"/>
      <c r="B704" s="143" t="n"/>
      <c r="C704" s="143" t="n"/>
      <c r="D704" s="143" t="n"/>
      <c r="E704" s="143" t="n"/>
      <c r="F704" s="143" t="n"/>
      <c r="G704" s="143" t="n"/>
      <c r="H704" s="143" t="n"/>
      <c r="I704" s="143" t="n"/>
      <c r="J704" s="143" t="n"/>
      <c r="K704" s="143" t="n"/>
      <c r="L704" s="143" t="n"/>
      <c r="M704" s="143" t="n"/>
      <c r="N704" s="143" t="n"/>
      <c r="O704" s="143" t="n"/>
      <c r="P704" s="143" t="n"/>
      <c r="Q704" s="143" t="n"/>
      <c r="R704" s="143" t="n"/>
      <c r="S704" s="143" t="n"/>
      <c r="T704" s="143" t="n"/>
      <c r="U704" s="143" t="n"/>
      <c r="V704" s="143" t="n"/>
      <c r="W704" s="143" t="n"/>
      <c r="X704" s="143" t="n"/>
      <c r="Y704" s="143" t="n"/>
      <c r="Z704" s="143" t="n"/>
    </row>
    <row r="705" ht="19.5" customHeight="1" s="398">
      <c r="A705" s="149" t="n"/>
      <c r="B705" s="143" t="n"/>
      <c r="C705" s="143" t="n"/>
      <c r="D705" s="143" t="n"/>
      <c r="E705" s="143" t="n"/>
      <c r="F705" s="143" t="n"/>
      <c r="G705" s="143" t="n"/>
      <c r="H705" s="143" t="n"/>
      <c r="I705" s="143" t="n"/>
      <c r="J705" s="143" t="n"/>
      <c r="K705" s="143" t="n"/>
      <c r="L705" s="143" t="n"/>
      <c r="M705" s="143" t="n"/>
      <c r="N705" s="143" t="n"/>
      <c r="O705" s="143" t="n"/>
      <c r="P705" s="143" t="n"/>
      <c r="Q705" s="143" t="n"/>
      <c r="R705" s="143" t="n"/>
      <c r="S705" s="143" t="n"/>
      <c r="T705" s="143" t="n"/>
      <c r="U705" s="143" t="n"/>
      <c r="V705" s="143" t="n"/>
      <c r="W705" s="143" t="n"/>
      <c r="X705" s="143" t="n"/>
      <c r="Y705" s="143" t="n"/>
      <c r="Z705" s="143" t="n"/>
    </row>
    <row r="706" ht="19.5" customHeight="1" s="398">
      <c r="A706" s="149" t="n"/>
      <c r="B706" s="143" t="n"/>
      <c r="C706" s="143" t="n"/>
      <c r="D706" s="143" t="n"/>
      <c r="E706" s="143" t="n"/>
      <c r="F706" s="143" t="n"/>
      <c r="G706" s="143" t="n"/>
      <c r="H706" s="143" t="n"/>
      <c r="I706" s="143" t="n"/>
      <c r="J706" s="143" t="n"/>
      <c r="K706" s="143" t="n"/>
      <c r="L706" s="143" t="n"/>
      <c r="M706" s="143" t="n"/>
      <c r="N706" s="143" t="n"/>
      <c r="O706" s="143" t="n"/>
      <c r="P706" s="143" t="n"/>
      <c r="Q706" s="143" t="n"/>
      <c r="R706" s="143" t="n"/>
      <c r="S706" s="143" t="n"/>
      <c r="T706" s="143" t="n"/>
      <c r="U706" s="143" t="n"/>
      <c r="V706" s="143" t="n"/>
      <c r="W706" s="143" t="n"/>
      <c r="X706" s="143" t="n"/>
      <c r="Y706" s="143" t="n"/>
      <c r="Z706" s="143" t="n"/>
    </row>
    <row r="707" ht="19.5" customHeight="1" s="398">
      <c r="A707" s="149" t="n"/>
      <c r="B707" s="143" t="n"/>
      <c r="C707" s="143" t="n"/>
      <c r="D707" s="143" t="n"/>
      <c r="E707" s="143" t="n"/>
      <c r="F707" s="143" t="n"/>
      <c r="G707" s="143" t="n"/>
      <c r="H707" s="143" t="n"/>
      <c r="I707" s="143" t="n"/>
      <c r="J707" s="143" t="n"/>
      <c r="K707" s="143" t="n"/>
      <c r="L707" s="143" t="n"/>
      <c r="M707" s="143" t="n"/>
      <c r="N707" s="143" t="n"/>
      <c r="O707" s="143" t="n"/>
      <c r="P707" s="143" t="n"/>
      <c r="Q707" s="143" t="n"/>
      <c r="R707" s="143" t="n"/>
      <c r="S707" s="143" t="n"/>
      <c r="T707" s="143" t="n"/>
      <c r="U707" s="143" t="n"/>
      <c r="V707" s="143" t="n"/>
      <c r="W707" s="143" t="n"/>
      <c r="X707" s="143" t="n"/>
      <c r="Y707" s="143" t="n"/>
      <c r="Z707" s="143" t="n"/>
    </row>
    <row r="708" ht="19.5" customHeight="1" s="398">
      <c r="A708" s="149" t="n"/>
      <c r="B708" s="143" t="n"/>
      <c r="C708" s="143" t="n"/>
      <c r="D708" s="143" t="n"/>
      <c r="E708" s="143" t="n"/>
      <c r="F708" s="143" t="n"/>
      <c r="G708" s="143" t="n"/>
      <c r="H708" s="143" t="n"/>
      <c r="I708" s="143" t="n"/>
      <c r="J708" s="143" t="n"/>
      <c r="K708" s="143" t="n"/>
      <c r="L708" s="143" t="n"/>
      <c r="M708" s="143" t="n"/>
      <c r="N708" s="143" t="n"/>
      <c r="O708" s="143" t="n"/>
      <c r="P708" s="143" t="n"/>
      <c r="Q708" s="143" t="n"/>
      <c r="R708" s="143" t="n"/>
      <c r="S708" s="143" t="n"/>
      <c r="T708" s="143" t="n"/>
      <c r="U708" s="143" t="n"/>
      <c r="V708" s="143" t="n"/>
      <c r="W708" s="143" t="n"/>
      <c r="X708" s="143" t="n"/>
      <c r="Y708" s="143" t="n"/>
      <c r="Z708" s="143" t="n"/>
    </row>
    <row r="709" ht="19.5" customHeight="1" s="398">
      <c r="A709" s="149" t="n"/>
      <c r="B709" s="143" t="n"/>
      <c r="C709" s="143" t="n"/>
      <c r="D709" s="143" t="n"/>
      <c r="E709" s="143" t="n"/>
      <c r="F709" s="143" t="n"/>
      <c r="G709" s="143" t="n"/>
      <c r="H709" s="143" t="n"/>
      <c r="I709" s="143" t="n"/>
      <c r="J709" s="143" t="n"/>
      <c r="K709" s="143" t="n"/>
      <c r="L709" s="143" t="n"/>
      <c r="M709" s="143" t="n"/>
      <c r="N709" s="143" t="n"/>
      <c r="O709" s="143" t="n"/>
      <c r="P709" s="143" t="n"/>
      <c r="Q709" s="143" t="n"/>
      <c r="R709" s="143" t="n"/>
      <c r="S709" s="143" t="n"/>
      <c r="T709" s="143" t="n"/>
      <c r="U709" s="143" t="n"/>
      <c r="V709" s="143" t="n"/>
      <c r="W709" s="143" t="n"/>
      <c r="X709" s="143" t="n"/>
      <c r="Y709" s="143" t="n"/>
      <c r="Z709" s="143" t="n"/>
    </row>
    <row r="710" ht="19.5" customHeight="1" s="398">
      <c r="A710" s="149" t="n"/>
      <c r="B710" s="143" t="n"/>
      <c r="C710" s="143" t="n"/>
      <c r="D710" s="143" t="n"/>
      <c r="E710" s="143" t="n"/>
      <c r="F710" s="143" t="n"/>
      <c r="G710" s="143" t="n"/>
      <c r="H710" s="143" t="n"/>
      <c r="I710" s="143" t="n"/>
      <c r="J710" s="143" t="n"/>
      <c r="K710" s="143" t="n"/>
      <c r="L710" s="143" t="n"/>
      <c r="M710" s="143" t="n"/>
      <c r="N710" s="143" t="n"/>
      <c r="O710" s="143" t="n"/>
      <c r="P710" s="143" t="n"/>
      <c r="Q710" s="143" t="n"/>
      <c r="R710" s="143" t="n"/>
      <c r="S710" s="143" t="n"/>
      <c r="T710" s="143" t="n"/>
      <c r="U710" s="143" t="n"/>
      <c r="V710" s="143" t="n"/>
      <c r="W710" s="143" t="n"/>
      <c r="X710" s="143" t="n"/>
      <c r="Y710" s="143" t="n"/>
      <c r="Z710" s="143" t="n"/>
    </row>
    <row r="711" ht="19.5" customHeight="1" s="398">
      <c r="A711" s="149" t="n"/>
      <c r="B711" s="143" t="n"/>
      <c r="C711" s="143" t="n"/>
      <c r="D711" s="143" t="n"/>
      <c r="E711" s="143" t="n"/>
      <c r="F711" s="143" t="n"/>
      <c r="G711" s="143" t="n"/>
      <c r="H711" s="143" t="n"/>
      <c r="I711" s="143" t="n"/>
      <c r="J711" s="143" t="n"/>
      <c r="K711" s="143" t="n"/>
      <c r="L711" s="143" t="n"/>
      <c r="M711" s="143" t="n"/>
      <c r="N711" s="143" t="n"/>
      <c r="O711" s="143" t="n"/>
      <c r="P711" s="143" t="n"/>
      <c r="Q711" s="143" t="n"/>
      <c r="R711" s="143" t="n"/>
      <c r="S711" s="143" t="n"/>
      <c r="T711" s="143" t="n"/>
      <c r="U711" s="143" t="n"/>
      <c r="V711" s="143" t="n"/>
      <c r="W711" s="143" t="n"/>
      <c r="X711" s="143" t="n"/>
      <c r="Y711" s="143" t="n"/>
      <c r="Z711" s="143" t="n"/>
    </row>
    <row r="712" ht="19.5" customHeight="1" s="398">
      <c r="A712" s="149" t="n"/>
      <c r="B712" s="143" t="n"/>
      <c r="C712" s="143" t="n"/>
      <c r="D712" s="143" t="n"/>
      <c r="E712" s="143" t="n"/>
      <c r="F712" s="143" t="n"/>
      <c r="G712" s="143" t="n"/>
      <c r="H712" s="143" t="n"/>
      <c r="I712" s="143" t="n"/>
      <c r="J712" s="143" t="n"/>
      <c r="K712" s="143" t="n"/>
      <c r="L712" s="143" t="n"/>
      <c r="M712" s="143" t="n"/>
      <c r="N712" s="143" t="n"/>
      <c r="O712" s="143" t="n"/>
      <c r="P712" s="143" t="n"/>
      <c r="Q712" s="143" t="n"/>
      <c r="R712" s="143" t="n"/>
      <c r="S712" s="143" t="n"/>
      <c r="T712" s="143" t="n"/>
      <c r="U712" s="143" t="n"/>
      <c r="V712" s="143" t="n"/>
      <c r="W712" s="143" t="n"/>
      <c r="X712" s="143" t="n"/>
      <c r="Y712" s="143" t="n"/>
      <c r="Z712" s="143" t="n"/>
    </row>
    <row r="713" ht="19.5" customHeight="1" s="398">
      <c r="A713" s="149" t="n"/>
      <c r="B713" s="143" t="n"/>
      <c r="C713" s="143" t="n"/>
      <c r="D713" s="143" t="n"/>
      <c r="E713" s="143" t="n"/>
      <c r="F713" s="143" t="n"/>
      <c r="G713" s="143" t="n"/>
      <c r="H713" s="143" t="n"/>
      <c r="I713" s="143" t="n"/>
      <c r="J713" s="143" t="n"/>
      <c r="K713" s="143" t="n"/>
      <c r="L713" s="143" t="n"/>
      <c r="M713" s="143" t="n"/>
      <c r="N713" s="143" t="n"/>
      <c r="O713" s="143" t="n"/>
      <c r="P713" s="143" t="n"/>
      <c r="Q713" s="143" t="n"/>
      <c r="R713" s="143" t="n"/>
      <c r="S713" s="143" t="n"/>
      <c r="T713" s="143" t="n"/>
      <c r="U713" s="143" t="n"/>
      <c r="V713" s="143" t="n"/>
      <c r="W713" s="143" t="n"/>
      <c r="X713" s="143" t="n"/>
      <c r="Y713" s="143" t="n"/>
      <c r="Z713" s="143" t="n"/>
    </row>
    <row r="714" ht="19.5" customHeight="1" s="398">
      <c r="A714" s="149" t="n"/>
      <c r="B714" s="143" t="n"/>
      <c r="C714" s="143" t="n"/>
      <c r="D714" s="143" t="n"/>
      <c r="E714" s="143" t="n"/>
      <c r="F714" s="143" t="n"/>
      <c r="G714" s="143" t="n"/>
      <c r="H714" s="143" t="n"/>
      <c r="I714" s="143" t="n"/>
      <c r="J714" s="143" t="n"/>
      <c r="K714" s="143" t="n"/>
      <c r="L714" s="143" t="n"/>
      <c r="M714" s="143" t="n"/>
      <c r="N714" s="143" t="n"/>
      <c r="O714" s="143" t="n"/>
      <c r="P714" s="143" t="n"/>
      <c r="Q714" s="143" t="n"/>
      <c r="R714" s="143" t="n"/>
      <c r="S714" s="143" t="n"/>
      <c r="T714" s="143" t="n"/>
      <c r="U714" s="143" t="n"/>
      <c r="V714" s="143" t="n"/>
      <c r="W714" s="143" t="n"/>
      <c r="X714" s="143" t="n"/>
      <c r="Y714" s="143" t="n"/>
      <c r="Z714" s="143" t="n"/>
    </row>
    <row r="715" ht="19.5" customHeight="1" s="398">
      <c r="A715" s="149" t="n"/>
      <c r="B715" s="143" t="n"/>
      <c r="C715" s="143" t="n"/>
      <c r="D715" s="143" t="n"/>
      <c r="E715" s="143" t="n"/>
      <c r="F715" s="143" t="n"/>
      <c r="G715" s="143" t="n"/>
      <c r="H715" s="143" t="n"/>
      <c r="I715" s="143" t="n"/>
      <c r="J715" s="143" t="n"/>
      <c r="K715" s="143" t="n"/>
      <c r="L715" s="143" t="n"/>
      <c r="M715" s="143" t="n"/>
      <c r="N715" s="143" t="n"/>
      <c r="O715" s="143" t="n"/>
      <c r="P715" s="143" t="n"/>
      <c r="Q715" s="143" t="n"/>
      <c r="R715" s="143" t="n"/>
      <c r="S715" s="143" t="n"/>
      <c r="T715" s="143" t="n"/>
      <c r="U715" s="143" t="n"/>
      <c r="V715" s="143" t="n"/>
      <c r="W715" s="143" t="n"/>
      <c r="X715" s="143" t="n"/>
      <c r="Y715" s="143" t="n"/>
      <c r="Z715" s="143" t="n"/>
    </row>
    <row r="716" ht="19.5" customHeight="1" s="398">
      <c r="A716" s="149" t="n"/>
      <c r="B716" s="143" t="n"/>
      <c r="C716" s="143" t="n"/>
      <c r="D716" s="143" t="n"/>
      <c r="E716" s="143" t="n"/>
      <c r="F716" s="143" t="n"/>
      <c r="G716" s="143" t="n"/>
      <c r="H716" s="143" t="n"/>
      <c r="I716" s="143" t="n"/>
      <c r="J716" s="143" t="n"/>
      <c r="K716" s="143" t="n"/>
      <c r="L716" s="143" t="n"/>
      <c r="M716" s="143" t="n"/>
      <c r="N716" s="143" t="n"/>
      <c r="O716" s="143" t="n"/>
      <c r="P716" s="143" t="n"/>
      <c r="Q716" s="143" t="n"/>
      <c r="R716" s="143" t="n"/>
      <c r="S716" s="143" t="n"/>
      <c r="T716" s="143" t="n"/>
      <c r="U716" s="143" t="n"/>
      <c r="V716" s="143" t="n"/>
      <c r="W716" s="143" t="n"/>
      <c r="X716" s="143" t="n"/>
      <c r="Y716" s="143" t="n"/>
      <c r="Z716" s="143" t="n"/>
    </row>
    <row r="717" ht="19.5" customHeight="1" s="398">
      <c r="A717" s="149" t="n"/>
      <c r="B717" s="143" t="n"/>
      <c r="C717" s="143" t="n"/>
      <c r="D717" s="143" t="n"/>
      <c r="E717" s="143" t="n"/>
      <c r="F717" s="143" t="n"/>
      <c r="G717" s="143" t="n"/>
      <c r="H717" s="143" t="n"/>
      <c r="I717" s="143" t="n"/>
      <c r="J717" s="143" t="n"/>
      <c r="K717" s="143" t="n"/>
      <c r="L717" s="143" t="n"/>
      <c r="M717" s="143" t="n"/>
      <c r="N717" s="143" t="n"/>
      <c r="O717" s="143" t="n"/>
      <c r="P717" s="143" t="n"/>
      <c r="Q717" s="143" t="n"/>
      <c r="R717" s="143" t="n"/>
      <c r="S717" s="143" t="n"/>
      <c r="T717" s="143" t="n"/>
      <c r="U717" s="143" t="n"/>
      <c r="V717" s="143" t="n"/>
      <c r="W717" s="143" t="n"/>
      <c r="X717" s="143" t="n"/>
      <c r="Y717" s="143" t="n"/>
      <c r="Z717" s="143" t="n"/>
    </row>
    <row r="718" ht="19.5" customHeight="1" s="398">
      <c r="A718" s="149" t="n"/>
      <c r="B718" s="143" t="n"/>
      <c r="C718" s="143" t="n"/>
      <c r="D718" s="143" t="n"/>
      <c r="E718" s="143" t="n"/>
      <c r="F718" s="143" t="n"/>
      <c r="G718" s="143" t="n"/>
      <c r="H718" s="143" t="n"/>
      <c r="I718" s="143" t="n"/>
      <c r="J718" s="143" t="n"/>
      <c r="K718" s="143" t="n"/>
      <c r="L718" s="143" t="n"/>
      <c r="M718" s="143" t="n"/>
      <c r="N718" s="143" t="n"/>
      <c r="O718" s="143" t="n"/>
      <c r="P718" s="143" t="n"/>
      <c r="Q718" s="143" t="n"/>
      <c r="R718" s="143" t="n"/>
      <c r="S718" s="143" t="n"/>
      <c r="T718" s="143" t="n"/>
      <c r="U718" s="143" t="n"/>
      <c r="V718" s="143" t="n"/>
      <c r="W718" s="143" t="n"/>
      <c r="X718" s="143" t="n"/>
      <c r="Y718" s="143" t="n"/>
      <c r="Z718" s="143" t="n"/>
    </row>
    <row r="719" ht="19.5" customHeight="1" s="398">
      <c r="A719" s="149" t="n"/>
      <c r="B719" s="143" t="n"/>
      <c r="C719" s="143" t="n"/>
      <c r="D719" s="143" t="n"/>
      <c r="E719" s="143" t="n"/>
      <c r="F719" s="143" t="n"/>
      <c r="G719" s="143" t="n"/>
      <c r="H719" s="143" t="n"/>
      <c r="I719" s="143" t="n"/>
      <c r="J719" s="143" t="n"/>
      <c r="K719" s="143" t="n"/>
      <c r="L719" s="143" t="n"/>
      <c r="M719" s="143" t="n"/>
      <c r="N719" s="143" t="n"/>
      <c r="O719" s="143" t="n"/>
      <c r="P719" s="143" t="n"/>
      <c r="Q719" s="143" t="n"/>
      <c r="R719" s="143" t="n"/>
      <c r="S719" s="143" t="n"/>
      <c r="T719" s="143" t="n"/>
      <c r="U719" s="143" t="n"/>
      <c r="V719" s="143" t="n"/>
      <c r="W719" s="143" t="n"/>
      <c r="X719" s="143" t="n"/>
      <c r="Y719" s="143" t="n"/>
      <c r="Z719" s="143" t="n"/>
    </row>
    <row r="720" ht="19.5" customHeight="1" s="398">
      <c r="A720" s="149" t="n"/>
      <c r="B720" s="143" t="n"/>
      <c r="C720" s="143" t="n"/>
      <c r="D720" s="143" t="n"/>
      <c r="E720" s="143" t="n"/>
      <c r="F720" s="143" t="n"/>
      <c r="G720" s="143" t="n"/>
      <c r="H720" s="143" t="n"/>
      <c r="I720" s="143" t="n"/>
      <c r="J720" s="143" t="n"/>
      <c r="K720" s="143" t="n"/>
      <c r="L720" s="143" t="n"/>
      <c r="M720" s="143" t="n"/>
      <c r="N720" s="143" t="n"/>
      <c r="O720" s="143" t="n"/>
      <c r="P720" s="143" t="n"/>
      <c r="Q720" s="143" t="n"/>
      <c r="R720" s="143" t="n"/>
      <c r="S720" s="143" t="n"/>
      <c r="T720" s="143" t="n"/>
      <c r="U720" s="143" t="n"/>
      <c r="V720" s="143" t="n"/>
      <c r="W720" s="143" t="n"/>
      <c r="X720" s="143" t="n"/>
      <c r="Y720" s="143" t="n"/>
      <c r="Z720" s="143" t="n"/>
    </row>
    <row r="721" ht="19.5" customHeight="1" s="398">
      <c r="A721" s="149" t="n"/>
      <c r="B721" s="143" t="n"/>
      <c r="C721" s="143" t="n"/>
      <c r="D721" s="143" t="n"/>
      <c r="E721" s="143" t="n"/>
      <c r="F721" s="143" t="n"/>
      <c r="G721" s="143" t="n"/>
      <c r="H721" s="143" t="n"/>
      <c r="I721" s="143" t="n"/>
      <c r="J721" s="143" t="n"/>
      <c r="K721" s="143" t="n"/>
      <c r="L721" s="143" t="n"/>
      <c r="M721" s="143" t="n"/>
      <c r="N721" s="143" t="n"/>
      <c r="O721" s="143" t="n"/>
      <c r="P721" s="143" t="n"/>
      <c r="Q721" s="143" t="n"/>
      <c r="R721" s="143" t="n"/>
      <c r="S721" s="143" t="n"/>
      <c r="T721" s="143" t="n"/>
      <c r="U721" s="143" t="n"/>
      <c r="V721" s="143" t="n"/>
      <c r="W721" s="143" t="n"/>
      <c r="X721" s="143" t="n"/>
      <c r="Y721" s="143" t="n"/>
      <c r="Z721" s="143" t="n"/>
    </row>
    <row r="722" ht="19.5" customHeight="1" s="398">
      <c r="A722" s="149" t="n"/>
      <c r="B722" s="143" t="n"/>
      <c r="C722" s="143" t="n"/>
      <c r="D722" s="143" t="n"/>
      <c r="E722" s="143" t="n"/>
      <c r="F722" s="143" t="n"/>
      <c r="G722" s="143" t="n"/>
      <c r="H722" s="143" t="n"/>
      <c r="I722" s="143" t="n"/>
      <c r="J722" s="143" t="n"/>
      <c r="K722" s="143" t="n"/>
      <c r="L722" s="143" t="n"/>
      <c r="M722" s="143" t="n"/>
      <c r="N722" s="143" t="n"/>
      <c r="O722" s="143" t="n"/>
      <c r="P722" s="143" t="n"/>
      <c r="Q722" s="143" t="n"/>
      <c r="R722" s="143" t="n"/>
      <c r="S722" s="143" t="n"/>
      <c r="T722" s="143" t="n"/>
      <c r="U722" s="143" t="n"/>
      <c r="V722" s="143" t="n"/>
      <c r="W722" s="143" t="n"/>
      <c r="X722" s="143" t="n"/>
      <c r="Y722" s="143" t="n"/>
      <c r="Z722" s="143" t="n"/>
    </row>
    <row r="723" ht="19.5" customHeight="1" s="398">
      <c r="A723" s="149" t="n"/>
      <c r="B723" s="143" t="n"/>
      <c r="C723" s="143" t="n"/>
      <c r="D723" s="143" t="n"/>
      <c r="E723" s="143" t="n"/>
      <c r="F723" s="143" t="n"/>
      <c r="G723" s="143" t="n"/>
      <c r="H723" s="143" t="n"/>
      <c r="I723" s="143" t="n"/>
      <c r="J723" s="143" t="n"/>
      <c r="K723" s="143" t="n"/>
      <c r="L723" s="143" t="n"/>
      <c r="M723" s="143" t="n"/>
      <c r="N723" s="143" t="n"/>
      <c r="O723" s="143" t="n"/>
      <c r="P723" s="143" t="n"/>
      <c r="Q723" s="143" t="n"/>
      <c r="R723" s="143" t="n"/>
      <c r="S723" s="143" t="n"/>
      <c r="T723" s="143" t="n"/>
      <c r="U723" s="143" t="n"/>
      <c r="V723" s="143" t="n"/>
      <c r="W723" s="143" t="n"/>
      <c r="X723" s="143" t="n"/>
      <c r="Y723" s="143" t="n"/>
      <c r="Z723" s="143" t="n"/>
    </row>
    <row r="724" ht="19.5" customHeight="1" s="398">
      <c r="A724" s="149" t="n"/>
      <c r="B724" s="143" t="n"/>
      <c r="C724" s="143" t="n"/>
      <c r="D724" s="143" t="n"/>
      <c r="E724" s="143" t="n"/>
      <c r="F724" s="143" t="n"/>
      <c r="G724" s="143" t="n"/>
      <c r="H724" s="143" t="n"/>
      <c r="I724" s="143" t="n"/>
      <c r="J724" s="143" t="n"/>
      <c r="K724" s="143" t="n"/>
      <c r="L724" s="143" t="n"/>
      <c r="M724" s="143" t="n"/>
      <c r="N724" s="143" t="n"/>
      <c r="O724" s="143" t="n"/>
      <c r="P724" s="143" t="n"/>
      <c r="Q724" s="143" t="n"/>
      <c r="R724" s="143" t="n"/>
      <c r="S724" s="143" t="n"/>
      <c r="T724" s="143" t="n"/>
      <c r="U724" s="143" t="n"/>
      <c r="V724" s="143" t="n"/>
      <c r="W724" s="143" t="n"/>
      <c r="X724" s="143" t="n"/>
      <c r="Y724" s="143" t="n"/>
      <c r="Z724" s="143" t="n"/>
    </row>
    <row r="725" ht="19.5" customHeight="1" s="398">
      <c r="A725" s="149" t="n"/>
      <c r="B725" s="143" t="n"/>
      <c r="C725" s="143" t="n"/>
      <c r="D725" s="143" t="n"/>
      <c r="E725" s="143" t="n"/>
      <c r="F725" s="143" t="n"/>
      <c r="G725" s="143" t="n"/>
      <c r="H725" s="143" t="n"/>
      <c r="I725" s="143" t="n"/>
      <c r="J725" s="143" t="n"/>
      <c r="K725" s="143" t="n"/>
      <c r="L725" s="143" t="n"/>
      <c r="M725" s="143" t="n"/>
      <c r="N725" s="143" t="n"/>
      <c r="O725" s="143" t="n"/>
      <c r="P725" s="143" t="n"/>
      <c r="Q725" s="143" t="n"/>
      <c r="R725" s="143" t="n"/>
      <c r="S725" s="143" t="n"/>
      <c r="T725" s="143" t="n"/>
      <c r="U725" s="143" t="n"/>
      <c r="V725" s="143" t="n"/>
      <c r="W725" s="143" t="n"/>
      <c r="X725" s="143" t="n"/>
      <c r="Y725" s="143" t="n"/>
      <c r="Z725" s="143" t="n"/>
    </row>
    <row r="726" ht="19.5" customHeight="1" s="398">
      <c r="A726" s="149" t="n"/>
      <c r="B726" s="143" t="n"/>
      <c r="C726" s="143" t="n"/>
      <c r="D726" s="143" t="n"/>
      <c r="E726" s="143" t="n"/>
      <c r="F726" s="143" t="n"/>
      <c r="G726" s="143" t="n"/>
      <c r="H726" s="143" t="n"/>
      <c r="I726" s="143" t="n"/>
      <c r="J726" s="143" t="n"/>
      <c r="K726" s="143" t="n"/>
      <c r="L726" s="143" t="n"/>
      <c r="M726" s="143" t="n"/>
      <c r="N726" s="143" t="n"/>
      <c r="O726" s="143" t="n"/>
      <c r="P726" s="143" t="n"/>
      <c r="Q726" s="143" t="n"/>
      <c r="R726" s="143" t="n"/>
      <c r="S726" s="143" t="n"/>
      <c r="T726" s="143" t="n"/>
      <c r="U726" s="143" t="n"/>
      <c r="V726" s="143" t="n"/>
      <c r="W726" s="143" t="n"/>
      <c r="X726" s="143" t="n"/>
      <c r="Y726" s="143" t="n"/>
      <c r="Z726" s="143" t="n"/>
    </row>
    <row r="727" ht="19.5" customHeight="1" s="398">
      <c r="A727" s="149" t="n"/>
      <c r="B727" s="143" t="n"/>
      <c r="C727" s="143" t="n"/>
      <c r="D727" s="143" t="n"/>
      <c r="E727" s="143" t="n"/>
      <c r="F727" s="143" t="n"/>
      <c r="G727" s="143" t="n"/>
      <c r="H727" s="143" t="n"/>
      <c r="I727" s="143" t="n"/>
      <c r="J727" s="143" t="n"/>
      <c r="K727" s="143" t="n"/>
      <c r="L727" s="143" t="n"/>
      <c r="M727" s="143" t="n"/>
      <c r="N727" s="143" t="n"/>
      <c r="O727" s="143" t="n"/>
      <c r="P727" s="143" t="n"/>
      <c r="Q727" s="143" t="n"/>
      <c r="R727" s="143" t="n"/>
      <c r="S727" s="143" t="n"/>
      <c r="T727" s="143" t="n"/>
      <c r="U727" s="143" t="n"/>
      <c r="V727" s="143" t="n"/>
      <c r="W727" s="143" t="n"/>
      <c r="X727" s="143" t="n"/>
      <c r="Y727" s="143" t="n"/>
      <c r="Z727" s="143" t="n"/>
    </row>
    <row r="728" ht="19.5" customHeight="1" s="398">
      <c r="A728" s="149" t="n"/>
      <c r="B728" s="143" t="n"/>
      <c r="C728" s="143" t="n"/>
      <c r="D728" s="143" t="n"/>
      <c r="E728" s="143" t="n"/>
      <c r="F728" s="143" t="n"/>
      <c r="G728" s="143" t="n"/>
      <c r="H728" s="143" t="n"/>
      <c r="I728" s="143" t="n"/>
      <c r="J728" s="143" t="n"/>
      <c r="K728" s="143" t="n"/>
      <c r="L728" s="143" t="n"/>
      <c r="M728" s="143" t="n"/>
      <c r="N728" s="143" t="n"/>
      <c r="O728" s="143" t="n"/>
      <c r="P728" s="143" t="n"/>
      <c r="Q728" s="143" t="n"/>
      <c r="R728" s="143" t="n"/>
      <c r="S728" s="143" t="n"/>
      <c r="T728" s="143" t="n"/>
      <c r="U728" s="143" t="n"/>
      <c r="V728" s="143" t="n"/>
      <c r="W728" s="143" t="n"/>
      <c r="X728" s="143" t="n"/>
      <c r="Y728" s="143" t="n"/>
      <c r="Z728" s="143" t="n"/>
    </row>
    <row r="729" ht="19.5" customHeight="1" s="398">
      <c r="A729" s="149" t="n"/>
      <c r="B729" s="143" t="n"/>
      <c r="C729" s="143" t="n"/>
      <c r="D729" s="143" t="n"/>
      <c r="E729" s="143" t="n"/>
      <c r="F729" s="143" t="n"/>
      <c r="G729" s="143" t="n"/>
      <c r="H729" s="143" t="n"/>
      <c r="I729" s="143" t="n"/>
      <c r="J729" s="143" t="n"/>
      <c r="K729" s="143" t="n"/>
      <c r="L729" s="143" t="n"/>
      <c r="M729" s="143" t="n"/>
      <c r="N729" s="143" t="n"/>
      <c r="O729" s="143" t="n"/>
      <c r="P729" s="143" t="n"/>
      <c r="Q729" s="143" t="n"/>
      <c r="R729" s="143" t="n"/>
      <c r="S729" s="143" t="n"/>
      <c r="T729" s="143" t="n"/>
      <c r="U729" s="143" t="n"/>
      <c r="V729" s="143" t="n"/>
      <c r="W729" s="143" t="n"/>
      <c r="X729" s="143" t="n"/>
      <c r="Y729" s="143" t="n"/>
      <c r="Z729" s="143" t="n"/>
    </row>
    <row r="730" ht="19.5" customHeight="1" s="398">
      <c r="A730" s="149" t="n"/>
      <c r="B730" s="143" t="n"/>
      <c r="C730" s="143" t="n"/>
      <c r="D730" s="143" t="n"/>
      <c r="E730" s="143" t="n"/>
      <c r="F730" s="143" t="n"/>
      <c r="G730" s="143" t="n"/>
      <c r="H730" s="143" t="n"/>
      <c r="I730" s="143" t="n"/>
      <c r="J730" s="143" t="n"/>
      <c r="K730" s="143" t="n"/>
      <c r="L730" s="143" t="n"/>
      <c r="M730" s="143" t="n"/>
      <c r="N730" s="143" t="n"/>
      <c r="O730" s="143" t="n"/>
      <c r="P730" s="143" t="n"/>
      <c r="Q730" s="143" t="n"/>
      <c r="R730" s="143" t="n"/>
      <c r="S730" s="143" t="n"/>
      <c r="T730" s="143" t="n"/>
      <c r="U730" s="143" t="n"/>
      <c r="V730" s="143" t="n"/>
      <c r="W730" s="143" t="n"/>
      <c r="X730" s="143" t="n"/>
      <c r="Y730" s="143" t="n"/>
      <c r="Z730" s="143" t="n"/>
    </row>
    <row r="731" ht="19.5" customHeight="1" s="398">
      <c r="A731" s="149" t="n"/>
      <c r="B731" s="143" t="n"/>
      <c r="C731" s="143" t="n"/>
      <c r="D731" s="143" t="n"/>
      <c r="E731" s="143" t="n"/>
      <c r="F731" s="143" t="n"/>
      <c r="G731" s="143" t="n"/>
      <c r="H731" s="143" t="n"/>
      <c r="I731" s="143" t="n"/>
      <c r="J731" s="143" t="n"/>
      <c r="K731" s="143" t="n"/>
      <c r="L731" s="143" t="n"/>
      <c r="M731" s="143" t="n"/>
      <c r="N731" s="143" t="n"/>
      <c r="O731" s="143" t="n"/>
      <c r="P731" s="143" t="n"/>
      <c r="Q731" s="143" t="n"/>
      <c r="R731" s="143" t="n"/>
      <c r="S731" s="143" t="n"/>
      <c r="T731" s="143" t="n"/>
      <c r="U731" s="143" t="n"/>
      <c r="V731" s="143" t="n"/>
      <c r="W731" s="143" t="n"/>
      <c r="X731" s="143" t="n"/>
      <c r="Y731" s="143" t="n"/>
      <c r="Z731" s="143" t="n"/>
    </row>
    <row r="732" ht="19.5" customHeight="1" s="398">
      <c r="A732" s="149" t="n"/>
      <c r="B732" s="143" t="n"/>
      <c r="C732" s="143" t="n"/>
      <c r="D732" s="143" t="n"/>
      <c r="E732" s="143" t="n"/>
      <c r="F732" s="143" t="n"/>
      <c r="G732" s="143" t="n"/>
      <c r="H732" s="143" t="n"/>
      <c r="I732" s="143" t="n"/>
      <c r="J732" s="143" t="n"/>
      <c r="K732" s="143" t="n"/>
      <c r="L732" s="143" t="n"/>
      <c r="M732" s="143" t="n"/>
      <c r="N732" s="143" t="n"/>
      <c r="O732" s="143" t="n"/>
      <c r="P732" s="143" t="n"/>
      <c r="Q732" s="143" t="n"/>
      <c r="R732" s="143" t="n"/>
      <c r="S732" s="143" t="n"/>
      <c r="T732" s="143" t="n"/>
      <c r="U732" s="143" t="n"/>
      <c r="V732" s="143" t="n"/>
      <c r="W732" s="143" t="n"/>
      <c r="X732" s="143" t="n"/>
      <c r="Y732" s="143" t="n"/>
      <c r="Z732" s="143" t="n"/>
    </row>
    <row r="733" ht="19.5" customHeight="1" s="398">
      <c r="A733" s="149" t="n"/>
      <c r="B733" s="143" t="n"/>
      <c r="C733" s="143" t="n"/>
      <c r="D733" s="143" t="n"/>
      <c r="E733" s="143" t="n"/>
      <c r="F733" s="143" t="n"/>
      <c r="G733" s="143" t="n"/>
      <c r="H733" s="143" t="n"/>
      <c r="I733" s="143" t="n"/>
      <c r="J733" s="143" t="n"/>
      <c r="K733" s="143" t="n"/>
      <c r="L733" s="143" t="n"/>
      <c r="M733" s="143" t="n"/>
      <c r="N733" s="143" t="n"/>
      <c r="O733" s="143" t="n"/>
      <c r="P733" s="143" t="n"/>
      <c r="Q733" s="143" t="n"/>
      <c r="R733" s="143" t="n"/>
      <c r="S733" s="143" t="n"/>
      <c r="T733" s="143" t="n"/>
      <c r="U733" s="143" t="n"/>
      <c r="V733" s="143" t="n"/>
      <c r="W733" s="143" t="n"/>
      <c r="X733" s="143" t="n"/>
      <c r="Y733" s="143" t="n"/>
      <c r="Z733" s="143" t="n"/>
    </row>
    <row r="734" ht="19.5" customHeight="1" s="398">
      <c r="A734" s="149" t="n"/>
      <c r="B734" s="143" t="n"/>
      <c r="C734" s="143" t="n"/>
      <c r="D734" s="143" t="n"/>
      <c r="E734" s="143" t="n"/>
      <c r="F734" s="143" t="n"/>
      <c r="G734" s="143" t="n"/>
      <c r="H734" s="143" t="n"/>
      <c r="I734" s="143" t="n"/>
      <c r="J734" s="143" t="n"/>
      <c r="K734" s="143" t="n"/>
      <c r="L734" s="143" t="n"/>
      <c r="M734" s="143" t="n"/>
      <c r="N734" s="143" t="n"/>
      <c r="O734" s="143" t="n"/>
      <c r="P734" s="143" t="n"/>
      <c r="Q734" s="143" t="n"/>
      <c r="R734" s="143" t="n"/>
      <c r="S734" s="143" t="n"/>
      <c r="T734" s="143" t="n"/>
      <c r="U734" s="143" t="n"/>
      <c r="V734" s="143" t="n"/>
      <c r="W734" s="143" t="n"/>
      <c r="X734" s="143" t="n"/>
      <c r="Y734" s="143" t="n"/>
      <c r="Z734" s="143" t="n"/>
    </row>
    <row r="735" ht="19.5" customHeight="1" s="398">
      <c r="A735" s="149" t="n"/>
      <c r="B735" s="143" t="n"/>
      <c r="C735" s="143" t="n"/>
      <c r="D735" s="143" t="n"/>
      <c r="E735" s="143" t="n"/>
      <c r="F735" s="143" t="n"/>
      <c r="G735" s="143" t="n"/>
      <c r="H735" s="143" t="n"/>
      <c r="I735" s="143" t="n"/>
      <c r="J735" s="143" t="n"/>
      <c r="K735" s="143" t="n"/>
      <c r="L735" s="143" t="n"/>
      <c r="M735" s="143" t="n"/>
      <c r="N735" s="143" t="n"/>
      <c r="O735" s="143" t="n"/>
      <c r="P735" s="143" t="n"/>
      <c r="Q735" s="143" t="n"/>
      <c r="R735" s="143" t="n"/>
      <c r="S735" s="143" t="n"/>
      <c r="T735" s="143" t="n"/>
      <c r="U735" s="143" t="n"/>
      <c r="V735" s="143" t="n"/>
      <c r="W735" s="143" t="n"/>
      <c r="X735" s="143" t="n"/>
      <c r="Y735" s="143" t="n"/>
      <c r="Z735" s="143" t="n"/>
    </row>
    <row r="736" ht="19.5" customHeight="1" s="398">
      <c r="A736" s="149" t="n"/>
      <c r="B736" s="143" t="n"/>
      <c r="C736" s="143" t="n"/>
      <c r="D736" s="143" t="n"/>
      <c r="E736" s="143" t="n"/>
      <c r="F736" s="143" t="n"/>
      <c r="G736" s="143" t="n"/>
      <c r="H736" s="143" t="n"/>
      <c r="I736" s="143" t="n"/>
      <c r="J736" s="143" t="n"/>
      <c r="K736" s="143" t="n"/>
      <c r="L736" s="143" t="n"/>
      <c r="M736" s="143" t="n"/>
      <c r="N736" s="143" t="n"/>
      <c r="O736" s="143" t="n"/>
      <c r="P736" s="143" t="n"/>
      <c r="Q736" s="143" t="n"/>
      <c r="R736" s="143" t="n"/>
      <c r="S736" s="143" t="n"/>
      <c r="T736" s="143" t="n"/>
      <c r="U736" s="143" t="n"/>
      <c r="V736" s="143" t="n"/>
      <c r="W736" s="143" t="n"/>
      <c r="X736" s="143" t="n"/>
      <c r="Y736" s="143" t="n"/>
      <c r="Z736" s="143" t="n"/>
    </row>
    <row r="737" ht="19.5" customHeight="1" s="398">
      <c r="A737" s="149" t="n"/>
      <c r="B737" s="143" t="n"/>
      <c r="C737" s="143" t="n"/>
      <c r="D737" s="143" t="n"/>
      <c r="E737" s="143" t="n"/>
      <c r="F737" s="143" t="n"/>
      <c r="G737" s="143" t="n"/>
      <c r="H737" s="143" t="n"/>
      <c r="I737" s="143" t="n"/>
      <c r="J737" s="143" t="n"/>
      <c r="K737" s="143" t="n"/>
      <c r="L737" s="143" t="n"/>
      <c r="M737" s="143" t="n"/>
      <c r="N737" s="143" t="n"/>
      <c r="O737" s="143" t="n"/>
      <c r="P737" s="143" t="n"/>
      <c r="Q737" s="143" t="n"/>
      <c r="R737" s="143" t="n"/>
      <c r="S737" s="143" t="n"/>
      <c r="T737" s="143" t="n"/>
      <c r="U737" s="143" t="n"/>
      <c r="V737" s="143" t="n"/>
      <c r="W737" s="143" t="n"/>
      <c r="X737" s="143" t="n"/>
      <c r="Y737" s="143" t="n"/>
      <c r="Z737" s="143" t="n"/>
    </row>
    <row r="738" ht="19.5" customHeight="1" s="398">
      <c r="A738" s="149" t="n"/>
      <c r="B738" s="143" t="n"/>
      <c r="C738" s="143" t="n"/>
      <c r="D738" s="143" t="n"/>
      <c r="E738" s="143" t="n"/>
      <c r="F738" s="143" t="n"/>
      <c r="G738" s="143" t="n"/>
      <c r="H738" s="143" t="n"/>
      <c r="I738" s="143" t="n"/>
      <c r="J738" s="143" t="n"/>
      <c r="K738" s="143" t="n"/>
      <c r="L738" s="143" t="n"/>
      <c r="M738" s="143" t="n"/>
      <c r="N738" s="143" t="n"/>
      <c r="O738" s="143" t="n"/>
      <c r="P738" s="143" t="n"/>
      <c r="Q738" s="143" t="n"/>
      <c r="R738" s="143" t="n"/>
      <c r="S738" s="143" t="n"/>
      <c r="T738" s="143" t="n"/>
      <c r="U738" s="143" t="n"/>
      <c r="V738" s="143" t="n"/>
      <c r="W738" s="143" t="n"/>
      <c r="X738" s="143" t="n"/>
      <c r="Y738" s="143" t="n"/>
      <c r="Z738" s="143" t="n"/>
    </row>
    <row r="739" ht="19.5" customHeight="1" s="398">
      <c r="A739" s="149" t="n"/>
      <c r="B739" s="143" t="n"/>
      <c r="C739" s="143" t="n"/>
      <c r="D739" s="143" t="n"/>
      <c r="E739" s="143" t="n"/>
      <c r="F739" s="143" t="n"/>
      <c r="G739" s="143" t="n"/>
      <c r="H739" s="143" t="n"/>
      <c r="I739" s="143" t="n"/>
      <c r="J739" s="143" t="n"/>
      <c r="K739" s="143" t="n"/>
      <c r="L739" s="143" t="n"/>
      <c r="M739" s="143" t="n"/>
      <c r="N739" s="143" t="n"/>
      <c r="O739" s="143" t="n"/>
      <c r="P739" s="143" t="n"/>
      <c r="Q739" s="143" t="n"/>
      <c r="R739" s="143" t="n"/>
      <c r="S739" s="143" t="n"/>
      <c r="T739" s="143" t="n"/>
      <c r="U739" s="143" t="n"/>
      <c r="V739" s="143" t="n"/>
      <c r="W739" s="143" t="n"/>
      <c r="X739" s="143" t="n"/>
      <c r="Y739" s="143" t="n"/>
      <c r="Z739" s="143" t="n"/>
    </row>
    <row r="740" ht="19.5" customHeight="1" s="398">
      <c r="A740" s="149" t="n"/>
      <c r="B740" s="143" t="n"/>
      <c r="C740" s="143" t="n"/>
      <c r="D740" s="143" t="n"/>
      <c r="E740" s="143" t="n"/>
      <c r="F740" s="143" t="n"/>
      <c r="G740" s="143" t="n"/>
      <c r="H740" s="143" t="n"/>
      <c r="I740" s="143" t="n"/>
      <c r="J740" s="143" t="n"/>
      <c r="K740" s="143" t="n"/>
      <c r="L740" s="143" t="n"/>
      <c r="M740" s="143" t="n"/>
      <c r="N740" s="143" t="n"/>
      <c r="O740" s="143" t="n"/>
      <c r="P740" s="143" t="n"/>
      <c r="Q740" s="143" t="n"/>
      <c r="R740" s="143" t="n"/>
      <c r="S740" s="143" t="n"/>
      <c r="T740" s="143" t="n"/>
      <c r="U740" s="143" t="n"/>
      <c r="V740" s="143" t="n"/>
      <c r="W740" s="143" t="n"/>
      <c r="X740" s="143" t="n"/>
      <c r="Y740" s="143" t="n"/>
      <c r="Z740" s="143" t="n"/>
    </row>
    <row r="741" ht="19.5" customHeight="1" s="398">
      <c r="A741" s="149" t="n"/>
      <c r="B741" s="143" t="n"/>
      <c r="C741" s="143" t="n"/>
      <c r="D741" s="143" t="n"/>
      <c r="E741" s="143" t="n"/>
      <c r="F741" s="143" t="n"/>
      <c r="G741" s="143" t="n"/>
      <c r="H741" s="143" t="n"/>
      <c r="I741" s="143" t="n"/>
      <c r="J741" s="143" t="n"/>
      <c r="K741" s="143" t="n"/>
      <c r="L741" s="143" t="n"/>
      <c r="M741" s="143" t="n"/>
      <c r="N741" s="143" t="n"/>
      <c r="O741" s="143" t="n"/>
      <c r="P741" s="143" t="n"/>
      <c r="Q741" s="143" t="n"/>
      <c r="R741" s="143" t="n"/>
      <c r="S741" s="143" t="n"/>
      <c r="T741" s="143" t="n"/>
      <c r="U741" s="143" t="n"/>
      <c r="V741" s="143" t="n"/>
      <c r="W741" s="143" t="n"/>
      <c r="X741" s="143" t="n"/>
      <c r="Y741" s="143" t="n"/>
      <c r="Z741" s="143" t="n"/>
    </row>
    <row r="742" ht="19.5" customHeight="1" s="398">
      <c r="A742" s="149" t="n"/>
      <c r="B742" s="143" t="n"/>
      <c r="C742" s="143" t="n"/>
      <c r="D742" s="143" t="n"/>
      <c r="E742" s="143" t="n"/>
      <c r="F742" s="143" t="n"/>
      <c r="G742" s="143" t="n"/>
      <c r="H742" s="143" t="n"/>
      <c r="I742" s="143" t="n"/>
      <c r="J742" s="143" t="n"/>
      <c r="K742" s="143" t="n"/>
      <c r="L742" s="143" t="n"/>
      <c r="M742" s="143" t="n"/>
      <c r="N742" s="143" t="n"/>
      <c r="O742" s="143" t="n"/>
      <c r="P742" s="143" t="n"/>
      <c r="Q742" s="143" t="n"/>
      <c r="R742" s="143" t="n"/>
      <c r="S742" s="143" t="n"/>
      <c r="T742" s="143" t="n"/>
      <c r="U742" s="143" t="n"/>
      <c r="V742" s="143" t="n"/>
      <c r="W742" s="143" t="n"/>
      <c r="X742" s="143" t="n"/>
      <c r="Y742" s="143" t="n"/>
      <c r="Z742" s="143" t="n"/>
    </row>
    <row r="743" ht="19.5" customHeight="1" s="398">
      <c r="A743" s="149" t="n"/>
      <c r="B743" s="143" t="n"/>
      <c r="C743" s="143" t="n"/>
      <c r="D743" s="143" t="n"/>
      <c r="E743" s="143" t="n"/>
      <c r="F743" s="143" t="n"/>
      <c r="G743" s="143" t="n"/>
      <c r="H743" s="143" t="n"/>
      <c r="I743" s="143" t="n"/>
      <c r="J743" s="143" t="n"/>
      <c r="K743" s="143" t="n"/>
      <c r="L743" s="143" t="n"/>
      <c r="M743" s="143" t="n"/>
      <c r="N743" s="143" t="n"/>
      <c r="O743" s="143" t="n"/>
      <c r="P743" s="143" t="n"/>
      <c r="Q743" s="143" t="n"/>
      <c r="R743" s="143" t="n"/>
      <c r="S743" s="143" t="n"/>
      <c r="T743" s="143" t="n"/>
      <c r="U743" s="143" t="n"/>
      <c r="V743" s="143" t="n"/>
      <c r="W743" s="143" t="n"/>
      <c r="X743" s="143" t="n"/>
      <c r="Y743" s="143" t="n"/>
      <c r="Z743" s="143" t="n"/>
    </row>
    <row r="744" ht="19.5" customHeight="1" s="398">
      <c r="A744" s="149" t="n"/>
      <c r="B744" s="143" t="n"/>
      <c r="C744" s="143" t="n"/>
      <c r="D744" s="143" t="n"/>
      <c r="E744" s="143" t="n"/>
      <c r="F744" s="143" t="n"/>
      <c r="G744" s="143" t="n"/>
      <c r="H744" s="143" t="n"/>
      <c r="I744" s="143" t="n"/>
      <c r="J744" s="143" t="n"/>
      <c r="K744" s="143" t="n"/>
      <c r="L744" s="143" t="n"/>
      <c r="M744" s="143" t="n"/>
      <c r="N744" s="143" t="n"/>
      <c r="O744" s="143" t="n"/>
      <c r="P744" s="143" t="n"/>
      <c r="Q744" s="143" t="n"/>
      <c r="R744" s="143" t="n"/>
      <c r="S744" s="143" t="n"/>
      <c r="T744" s="143" t="n"/>
      <c r="U744" s="143" t="n"/>
      <c r="V744" s="143" t="n"/>
      <c r="W744" s="143" t="n"/>
      <c r="X744" s="143" t="n"/>
      <c r="Y744" s="143" t="n"/>
      <c r="Z744" s="143" t="n"/>
    </row>
    <row r="745" ht="19.5" customHeight="1" s="398">
      <c r="A745" s="149" t="n"/>
      <c r="B745" s="143" t="n"/>
      <c r="C745" s="143" t="n"/>
      <c r="D745" s="143" t="n"/>
      <c r="E745" s="143" t="n"/>
      <c r="F745" s="143" t="n"/>
      <c r="G745" s="143" t="n"/>
      <c r="H745" s="143" t="n"/>
      <c r="I745" s="143" t="n"/>
      <c r="J745" s="143" t="n"/>
      <c r="K745" s="143" t="n"/>
      <c r="L745" s="143" t="n"/>
      <c r="M745" s="143" t="n"/>
      <c r="N745" s="143" t="n"/>
      <c r="O745" s="143" t="n"/>
      <c r="P745" s="143" t="n"/>
      <c r="Q745" s="143" t="n"/>
      <c r="R745" s="143" t="n"/>
      <c r="S745" s="143" t="n"/>
      <c r="T745" s="143" t="n"/>
      <c r="U745" s="143" t="n"/>
      <c r="V745" s="143" t="n"/>
      <c r="W745" s="143" t="n"/>
      <c r="X745" s="143" t="n"/>
      <c r="Y745" s="143" t="n"/>
      <c r="Z745" s="143" t="n"/>
    </row>
    <row r="746" ht="19.5" customHeight="1" s="398">
      <c r="A746" s="149" t="n"/>
      <c r="B746" s="143" t="n"/>
      <c r="C746" s="143" t="n"/>
      <c r="D746" s="143" t="n"/>
      <c r="E746" s="143" t="n"/>
      <c r="F746" s="143" t="n"/>
      <c r="G746" s="143" t="n"/>
      <c r="H746" s="143" t="n"/>
      <c r="I746" s="143" t="n"/>
      <c r="J746" s="143" t="n"/>
      <c r="K746" s="143" t="n"/>
      <c r="L746" s="143" t="n"/>
      <c r="M746" s="143" t="n"/>
      <c r="N746" s="143" t="n"/>
      <c r="O746" s="143" t="n"/>
      <c r="P746" s="143" t="n"/>
      <c r="Q746" s="143" t="n"/>
      <c r="R746" s="143" t="n"/>
      <c r="S746" s="143" t="n"/>
      <c r="T746" s="143" t="n"/>
      <c r="U746" s="143" t="n"/>
      <c r="V746" s="143" t="n"/>
      <c r="W746" s="143" t="n"/>
      <c r="X746" s="143" t="n"/>
      <c r="Y746" s="143" t="n"/>
      <c r="Z746" s="143" t="n"/>
    </row>
    <row r="747" ht="19.5" customHeight="1" s="398">
      <c r="A747" s="149" t="n"/>
      <c r="B747" s="143" t="n"/>
      <c r="C747" s="143" t="n"/>
      <c r="D747" s="143" t="n"/>
      <c r="E747" s="143" t="n"/>
      <c r="F747" s="143" t="n"/>
      <c r="G747" s="143" t="n"/>
      <c r="H747" s="143" t="n"/>
      <c r="I747" s="143" t="n"/>
      <c r="J747" s="143" t="n"/>
      <c r="K747" s="143" t="n"/>
      <c r="L747" s="143" t="n"/>
      <c r="M747" s="143" t="n"/>
      <c r="N747" s="143" t="n"/>
      <c r="O747" s="143" t="n"/>
      <c r="P747" s="143" t="n"/>
      <c r="Q747" s="143" t="n"/>
      <c r="R747" s="143" t="n"/>
      <c r="S747" s="143" t="n"/>
      <c r="T747" s="143" t="n"/>
      <c r="U747" s="143" t="n"/>
      <c r="V747" s="143" t="n"/>
      <c r="W747" s="143" t="n"/>
      <c r="X747" s="143" t="n"/>
      <c r="Y747" s="143" t="n"/>
      <c r="Z747" s="143" t="n"/>
    </row>
    <row r="748" ht="19.5" customHeight="1" s="398">
      <c r="A748" s="149" t="n"/>
      <c r="B748" s="143" t="n"/>
      <c r="C748" s="143" t="n"/>
      <c r="D748" s="143" t="n"/>
      <c r="E748" s="143" t="n"/>
      <c r="F748" s="143" t="n"/>
      <c r="G748" s="143" t="n"/>
      <c r="H748" s="143" t="n"/>
      <c r="I748" s="143" t="n"/>
      <c r="J748" s="143" t="n"/>
      <c r="K748" s="143" t="n"/>
      <c r="L748" s="143" t="n"/>
      <c r="M748" s="143" t="n"/>
      <c r="N748" s="143" t="n"/>
      <c r="O748" s="143" t="n"/>
      <c r="P748" s="143" t="n"/>
      <c r="Q748" s="143" t="n"/>
      <c r="R748" s="143" t="n"/>
      <c r="S748" s="143" t="n"/>
      <c r="T748" s="143" t="n"/>
      <c r="U748" s="143" t="n"/>
      <c r="V748" s="143" t="n"/>
      <c r="W748" s="143" t="n"/>
      <c r="X748" s="143" t="n"/>
      <c r="Y748" s="143" t="n"/>
      <c r="Z748" s="143" t="n"/>
    </row>
    <row r="749" ht="19.5" customHeight="1" s="398">
      <c r="A749" s="149" t="n"/>
      <c r="B749" s="143" t="n"/>
      <c r="C749" s="143" t="n"/>
      <c r="D749" s="143" t="n"/>
      <c r="E749" s="143" t="n"/>
      <c r="F749" s="143" t="n"/>
      <c r="G749" s="143" t="n"/>
      <c r="H749" s="143" t="n"/>
      <c r="I749" s="143" t="n"/>
      <c r="J749" s="143" t="n"/>
      <c r="K749" s="143" t="n"/>
      <c r="L749" s="143" t="n"/>
      <c r="M749" s="143" t="n"/>
      <c r="N749" s="143" t="n"/>
      <c r="O749" s="143" t="n"/>
      <c r="P749" s="143" t="n"/>
      <c r="Q749" s="143" t="n"/>
      <c r="R749" s="143" t="n"/>
      <c r="S749" s="143" t="n"/>
      <c r="T749" s="143" t="n"/>
      <c r="U749" s="143" t="n"/>
      <c r="V749" s="143" t="n"/>
      <c r="W749" s="143" t="n"/>
      <c r="X749" s="143" t="n"/>
      <c r="Y749" s="143" t="n"/>
      <c r="Z749" s="143" t="n"/>
    </row>
    <row r="750" ht="19.5" customHeight="1" s="398">
      <c r="A750" s="149" t="n"/>
      <c r="B750" s="143" t="n"/>
      <c r="C750" s="143" t="n"/>
      <c r="D750" s="143" t="n"/>
      <c r="E750" s="143" t="n"/>
      <c r="F750" s="143" t="n"/>
      <c r="G750" s="143" t="n"/>
      <c r="H750" s="143" t="n"/>
      <c r="I750" s="143" t="n"/>
      <c r="J750" s="143" t="n"/>
      <c r="K750" s="143" t="n"/>
      <c r="L750" s="143" t="n"/>
      <c r="M750" s="143" t="n"/>
      <c r="N750" s="143" t="n"/>
      <c r="O750" s="143" t="n"/>
      <c r="P750" s="143" t="n"/>
      <c r="Q750" s="143" t="n"/>
      <c r="R750" s="143" t="n"/>
      <c r="S750" s="143" t="n"/>
      <c r="T750" s="143" t="n"/>
      <c r="U750" s="143" t="n"/>
      <c r="V750" s="143" t="n"/>
      <c r="W750" s="143" t="n"/>
      <c r="X750" s="143" t="n"/>
      <c r="Y750" s="143" t="n"/>
      <c r="Z750" s="143" t="n"/>
    </row>
    <row r="751" ht="19.5" customHeight="1" s="398">
      <c r="A751" s="149" t="n"/>
      <c r="B751" s="143" t="n"/>
      <c r="C751" s="143" t="n"/>
      <c r="D751" s="143" t="n"/>
      <c r="E751" s="143" t="n"/>
      <c r="F751" s="143" t="n"/>
      <c r="G751" s="143" t="n"/>
      <c r="H751" s="143" t="n"/>
      <c r="I751" s="143" t="n"/>
      <c r="J751" s="143" t="n"/>
      <c r="K751" s="143" t="n"/>
      <c r="L751" s="143" t="n"/>
      <c r="M751" s="143" t="n"/>
      <c r="N751" s="143" t="n"/>
      <c r="O751" s="143" t="n"/>
      <c r="P751" s="143" t="n"/>
      <c r="Q751" s="143" t="n"/>
      <c r="R751" s="143" t="n"/>
      <c r="S751" s="143" t="n"/>
      <c r="T751" s="143" t="n"/>
      <c r="U751" s="143" t="n"/>
      <c r="V751" s="143" t="n"/>
      <c r="W751" s="143" t="n"/>
      <c r="X751" s="143" t="n"/>
      <c r="Y751" s="143" t="n"/>
      <c r="Z751" s="143" t="n"/>
    </row>
    <row r="752" ht="19.5" customHeight="1" s="398">
      <c r="A752" s="149" t="n"/>
      <c r="B752" s="143" t="n"/>
      <c r="C752" s="143" t="n"/>
      <c r="D752" s="143" t="n"/>
      <c r="E752" s="143" t="n"/>
      <c r="F752" s="143" t="n"/>
      <c r="G752" s="143" t="n"/>
      <c r="H752" s="143" t="n"/>
      <c r="I752" s="143" t="n"/>
      <c r="J752" s="143" t="n"/>
      <c r="K752" s="143" t="n"/>
      <c r="L752" s="143" t="n"/>
      <c r="M752" s="143" t="n"/>
      <c r="N752" s="143" t="n"/>
      <c r="O752" s="143" t="n"/>
      <c r="P752" s="143" t="n"/>
      <c r="Q752" s="143" t="n"/>
      <c r="R752" s="143" t="n"/>
      <c r="S752" s="143" t="n"/>
      <c r="T752" s="143" t="n"/>
      <c r="U752" s="143" t="n"/>
      <c r="V752" s="143" t="n"/>
      <c r="W752" s="143" t="n"/>
      <c r="X752" s="143" t="n"/>
      <c r="Y752" s="143" t="n"/>
      <c r="Z752" s="143" t="n"/>
    </row>
    <row r="753" ht="19.5" customHeight="1" s="398">
      <c r="A753" s="149" t="n"/>
      <c r="B753" s="143" t="n"/>
      <c r="C753" s="143" t="n"/>
      <c r="D753" s="143" t="n"/>
      <c r="E753" s="143" t="n"/>
      <c r="F753" s="143" t="n"/>
      <c r="G753" s="143" t="n"/>
      <c r="H753" s="143" t="n"/>
      <c r="I753" s="143" t="n"/>
      <c r="J753" s="143" t="n"/>
      <c r="K753" s="143" t="n"/>
      <c r="L753" s="143" t="n"/>
      <c r="M753" s="143" t="n"/>
      <c r="N753" s="143" t="n"/>
      <c r="O753" s="143" t="n"/>
      <c r="P753" s="143" t="n"/>
      <c r="Q753" s="143" t="n"/>
      <c r="R753" s="143" t="n"/>
      <c r="S753" s="143" t="n"/>
      <c r="T753" s="143" t="n"/>
      <c r="U753" s="143" t="n"/>
      <c r="V753" s="143" t="n"/>
      <c r="W753" s="143" t="n"/>
      <c r="X753" s="143" t="n"/>
      <c r="Y753" s="143" t="n"/>
      <c r="Z753" s="143" t="n"/>
    </row>
    <row r="754" ht="19.5" customHeight="1" s="398">
      <c r="A754" s="149" t="n"/>
      <c r="B754" s="143" t="n"/>
      <c r="C754" s="143" t="n"/>
      <c r="D754" s="143" t="n"/>
      <c r="E754" s="143" t="n"/>
      <c r="F754" s="143" t="n"/>
      <c r="G754" s="143" t="n"/>
      <c r="H754" s="143" t="n"/>
      <c r="I754" s="143" t="n"/>
      <c r="J754" s="143" t="n"/>
      <c r="K754" s="143" t="n"/>
      <c r="L754" s="143" t="n"/>
      <c r="M754" s="143" t="n"/>
      <c r="N754" s="143" t="n"/>
      <c r="O754" s="143" t="n"/>
      <c r="P754" s="143" t="n"/>
      <c r="Q754" s="143" t="n"/>
      <c r="R754" s="143" t="n"/>
      <c r="S754" s="143" t="n"/>
      <c r="T754" s="143" t="n"/>
      <c r="U754" s="143" t="n"/>
      <c r="V754" s="143" t="n"/>
      <c r="W754" s="143" t="n"/>
      <c r="X754" s="143" t="n"/>
      <c r="Y754" s="143" t="n"/>
      <c r="Z754" s="143" t="n"/>
    </row>
    <row r="755" ht="19.5" customHeight="1" s="398">
      <c r="A755" s="149" t="n"/>
      <c r="B755" s="143" t="n"/>
      <c r="C755" s="143" t="n"/>
      <c r="D755" s="143" t="n"/>
      <c r="E755" s="143" t="n"/>
      <c r="F755" s="143" t="n"/>
      <c r="G755" s="143" t="n"/>
      <c r="H755" s="143" t="n"/>
      <c r="I755" s="143" t="n"/>
      <c r="J755" s="143" t="n"/>
      <c r="K755" s="143" t="n"/>
      <c r="L755" s="143" t="n"/>
      <c r="M755" s="143" t="n"/>
      <c r="N755" s="143" t="n"/>
      <c r="O755" s="143" t="n"/>
      <c r="P755" s="143" t="n"/>
      <c r="Q755" s="143" t="n"/>
      <c r="R755" s="143" t="n"/>
      <c r="S755" s="143" t="n"/>
      <c r="T755" s="143" t="n"/>
      <c r="U755" s="143" t="n"/>
      <c r="V755" s="143" t="n"/>
      <c r="W755" s="143" t="n"/>
      <c r="X755" s="143" t="n"/>
      <c r="Y755" s="143" t="n"/>
      <c r="Z755" s="143" t="n"/>
    </row>
    <row r="756" ht="19.5" customHeight="1" s="398">
      <c r="A756" s="149" t="n"/>
      <c r="B756" s="143" t="n"/>
      <c r="C756" s="143" t="n"/>
      <c r="D756" s="143" t="n"/>
      <c r="E756" s="143" t="n"/>
      <c r="F756" s="143" t="n"/>
      <c r="G756" s="143" t="n"/>
      <c r="H756" s="143" t="n"/>
      <c r="I756" s="143" t="n"/>
      <c r="J756" s="143" t="n"/>
      <c r="K756" s="143" t="n"/>
      <c r="L756" s="143" t="n"/>
      <c r="M756" s="143" t="n"/>
      <c r="N756" s="143" t="n"/>
      <c r="O756" s="143" t="n"/>
      <c r="P756" s="143" t="n"/>
      <c r="Q756" s="143" t="n"/>
      <c r="R756" s="143" t="n"/>
      <c r="S756" s="143" t="n"/>
      <c r="T756" s="143" t="n"/>
      <c r="U756" s="143" t="n"/>
      <c r="V756" s="143" t="n"/>
      <c r="W756" s="143" t="n"/>
      <c r="X756" s="143" t="n"/>
      <c r="Y756" s="143" t="n"/>
      <c r="Z756" s="143" t="n"/>
    </row>
    <row r="757" ht="19.5" customHeight="1" s="398">
      <c r="A757" s="149" t="n"/>
      <c r="B757" s="143" t="n"/>
      <c r="C757" s="143" t="n"/>
      <c r="D757" s="143" t="n"/>
      <c r="E757" s="143" t="n"/>
      <c r="F757" s="143" t="n"/>
      <c r="G757" s="143" t="n"/>
      <c r="H757" s="143" t="n"/>
      <c r="I757" s="143" t="n"/>
      <c r="J757" s="143" t="n"/>
      <c r="K757" s="143" t="n"/>
      <c r="L757" s="143" t="n"/>
      <c r="M757" s="143" t="n"/>
      <c r="N757" s="143" t="n"/>
      <c r="O757" s="143" t="n"/>
      <c r="P757" s="143" t="n"/>
      <c r="Q757" s="143" t="n"/>
      <c r="R757" s="143" t="n"/>
      <c r="S757" s="143" t="n"/>
      <c r="T757" s="143" t="n"/>
      <c r="U757" s="143" t="n"/>
      <c r="V757" s="143" t="n"/>
      <c r="W757" s="143" t="n"/>
      <c r="X757" s="143" t="n"/>
      <c r="Y757" s="143" t="n"/>
      <c r="Z757" s="143" t="n"/>
    </row>
    <row r="758" ht="19.5" customHeight="1" s="398">
      <c r="A758" s="149" t="n"/>
      <c r="B758" s="143" t="n"/>
      <c r="C758" s="143" t="n"/>
      <c r="D758" s="143" t="n"/>
      <c r="E758" s="143" t="n"/>
      <c r="F758" s="143" t="n"/>
      <c r="G758" s="143" t="n"/>
      <c r="H758" s="143" t="n"/>
      <c r="I758" s="143" t="n"/>
      <c r="J758" s="143" t="n"/>
      <c r="K758" s="143" t="n"/>
      <c r="L758" s="143" t="n"/>
      <c r="M758" s="143" t="n"/>
      <c r="N758" s="143" t="n"/>
      <c r="O758" s="143" t="n"/>
      <c r="P758" s="143" t="n"/>
      <c r="Q758" s="143" t="n"/>
      <c r="R758" s="143" t="n"/>
      <c r="S758" s="143" t="n"/>
      <c r="T758" s="143" t="n"/>
      <c r="U758" s="143" t="n"/>
      <c r="V758" s="143" t="n"/>
      <c r="W758" s="143" t="n"/>
      <c r="X758" s="143" t="n"/>
      <c r="Y758" s="143" t="n"/>
      <c r="Z758" s="143" t="n"/>
    </row>
    <row r="759" ht="19.5" customHeight="1" s="398">
      <c r="A759" s="149" t="n"/>
      <c r="B759" s="143" t="n"/>
      <c r="C759" s="143" t="n"/>
      <c r="D759" s="143" t="n"/>
      <c r="E759" s="143" t="n"/>
      <c r="F759" s="143" t="n"/>
      <c r="G759" s="143" t="n"/>
      <c r="H759" s="143" t="n"/>
      <c r="I759" s="143" t="n"/>
      <c r="J759" s="143" t="n"/>
      <c r="K759" s="143" t="n"/>
      <c r="L759" s="143" t="n"/>
      <c r="M759" s="143" t="n"/>
      <c r="N759" s="143" t="n"/>
      <c r="O759" s="143" t="n"/>
      <c r="P759" s="143" t="n"/>
      <c r="Q759" s="143" t="n"/>
      <c r="R759" s="143" t="n"/>
      <c r="S759" s="143" t="n"/>
      <c r="T759" s="143" t="n"/>
      <c r="U759" s="143" t="n"/>
      <c r="V759" s="143" t="n"/>
      <c r="W759" s="143" t="n"/>
      <c r="X759" s="143" t="n"/>
      <c r="Y759" s="143" t="n"/>
      <c r="Z759" s="143" t="n"/>
    </row>
    <row r="760" ht="19.5" customHeight="1" s="398">
      <c r="A760" s="149" t="n"/>
      <c r="B760" s="143" t="n"/>
      <c r="C760" s="143" t="n"/>
      <c r="D760" s="143" t="n"/>
      <c r="E760" s="143" t="n"/>
      <c r="F760" s="143" t="n"/>
      <c r="G760" s="143" t="n"/>
      <c r="H760" s="143" t="n"/>
      <c r="I760" s="143" t="n"/>
      <c r="J760" s="143" t="n"/>
      <c r="K760" s="143" t="n"/>
      <c r="L760" s="143" t="n"/>
      <c r="M760" s="143" t="n"/>
      <c r="N760" s="143" t="n"/>
      <c r="O760" s="143" t="n"/>
      <c r="P760" s="143" t="n"/>
      <c r="Q760" s="143" t="n"/>
      <c r="R760" s="143" t="n"/>
      <c r="S760" s="143" t="n"/>
      <c r="T760" s="143" t="n"/>
      <c r="U760" s="143" t="n"/>
      <c r="V760" s="143" t="n"/>
      <c r="W760" s="143" t="n"/>
      <c r="X760" s="143" t="n"/>
      <c r="Y760" s="143" t="n"/>
      <c r="Z760" s="143" t="n"/>
    </row>
    <row r="761" ht="19.5" customHeight="1" s="398">
      <c r="A761" s="149" t="n"/>
      <c r="B761" s="143" t="n"/>
      <c r="C761" s="143" t="n"/>
      <c r="D761" s="143" t="n"/>
      <c r="E761" s="143" t="n"/>
      <c r="F761" s="143" t="n"/>
      <c r="G761" s="143" t="n"/>
      <c r="H761" s="143" t="n"/>
      <c r="I761" s="143" t="n"/>
      <c r="J761" s="143" t="n"/>
      <c r="K761" s="143" t="n"/>
      <c r="L761" s="143" t="n"/>
      <c r="M761" s="143" t="n"/>
      <c r="N761" s="143" t="n"/>
      <c r="O761" s="143" t="n"/>
      <c r="P761" s="143" t="n"/>
      <c r="Q761" s="143" t="n"/>
      <c r="R761" s="143" t="n"/>
      <c r="S761" s="143" t="n"/>
      <c r="T761" s="143" t="n"/>
      <c r="U761" s="143" t="n"/>
      <c r="V761" s="143" t="n"/>
      <c r="W761" s="143" t="n"/>
      <c r="X761" s="143" t="n"/>
      <c r="Y761" s="143" t="n"/>
      <c r="Z761" s="143" t="n"/>
    </row>
    <row r="762" ht="19.5" customHeight="1" s="398">
      <c r="A762" s="149" t="n"/>
      <c r="B762" s="143" t="n"/>
      <c r="C762" s="143" t="n"/>
      <c r="D762" s="143" t="n"/>
      <c r="E762" s="143" t="n"/>
      <c r="F762" s="143" t="n"/>
      <c r="G762" s="143" t="n"/>
      <c r="H762" s="143" t="n"/>
      <c r="I762" s="143" t="n"/>
      <c r="J762" s="143" t="n"/>
      <c r="K762" s="143" t="n"/>
      <c r="L762" s="143" t="n"/>
      <c r="M762" s="143" t="n"/>
      <c r="N762" s="143" t="n"/>
      <c r="O762" s="143" t="n"/>
      <c r="P762" s="143" t="n"/>
      <c r="Q762" s="143" t="n"/>
      <c r="R762" s="143" t="n"/>
      <c r="S762" s="143" t="n"/>
      <c r="T762" s="143" t="n"/>
      <c r="U762" s="143" t="n"/>
      <c r="V762" s="143" t="n"/>
      <c r="W762" s="143" t="n"/>
      <c r="X762" s="143" t="n"/>
      <c r="Y762" s="143" t="n"/>
      <c r="Z762" s="143" t="n"/>
    </row>
    <row r="763" ht="19.5" customHeight="1" s="398">
      <c r="A763" s="149" t="n"/>
      <c r="B763" s="143" t="n"/>
      <c r="C763" s="143" t="n"/>
      <c r="D763" s="143" t="n"/>
      <c r="E763" s="143" t="n"/>
      <c r="F763" s="143" t="n"/>
      <c r="G763" s="143" t="n"/>
      <c r="H763" s="143" t="n"/>
      <c r="I763" s="143" t="n"/>
      <c r="J763" s="143" t="n"/>
      <c r="K763" s="143" t="n"/>
      <c r="L763" s="143" t="n"/>
      <c r="M763" s="143" t="n"/>
      <c r="N763" s="143" t="n"/>
      <c r="O763" s="143" t="n"/>
      <c r="P763" s="143" t="n"/>
      <c r="Q763" s="143" t="n"/>
      <c r="R763" s="143" t="n"/>
      <c r="S763" s="143" t="n"/>
      <c r="T763" s="143" t="n"/>
      <c r="U763" s="143" t="n"/>
      <c r="V763" s="143" t="n"/>
      <c r="W763" s="143" t="n"/>
      <c r="X763" s="143" t="n"/>
      <c r="Y763" s="143" t="n"/>
      <c r="Z763" s="143" t="n"/>
    </row>
    <row r="764" ht="19.5" customHeight="1" s="398">
      <c r="A764" s="149" t="n"/>
      <c r="B764" s="143" t="n"/>
      <c r="C764" s="143" t="n"/>
      <c r="D764" s="143" t="n"/>
      <c r="E764" s="143" t="n"/>
      <c r="F764" s="143" t="n"/>
      <c r="G764" s="143" t="n"/>
      <c r="H764" s="143" t="n"/>
      <c r="I764" s="143" t="n"/>
      <c r="J764" s="143" t="n"/>
      <c r="K764" s="143" t="n"/>
      <c r="L764" s="143" t="n"/>
      <c r="M764" s="143" t="n"/>
      <c r="N764" s="143" t="n"/>
      <c r="O764" s="143" t="n"/>
      <c r="P764" s="143" t="n"/>
      <c r="Q764" s="143" t="n"/>
      <c r="R764" s="143" t="n"/>
      <c r="S764" s="143" t="n"/>
      <c r="T764" s="143" t="n"/>
      <c r="U764" s="143" t="n"/>
      <c r="V764" s="143" t="n"/>
      <c r="W764" s="143" t="n"/>
      <c r="X764" s="143" t="n"/>
      <c r="Y764" s="143" t="n"/>
      <c r="Z764" s="143" t="n"/>
    </row>
    <row r="765" ht="19.5" customHeight="1" s="398">
      <c r="A765" s="149" t="n"/>
      <c r="B765" s="143" t="n"/>
      <c r="C765" s="143" t="n"/>
      <c r="D765" s="143" t="n"/>
      <c r="E765" s="143" t="n"/>
      <c r="F765" s="143" t="n"/>
      <c r="G765" s="143" t="n"/>
      <c r="H765" s="143" t="n"/>
      <c r="I765" s="143" t="n"/>
      <c r="J765" s="143" t="n"/>
      <c r="K765" s="143" t="n"/>
      <c r="L765" s="143" t="n"/>
      <c r="M765" s="143" t="n"/>
      <c r="N765" s="143" t="n"/>
      <c r="O765" s="143" t="n"/>
      <c r="P765" s="143" t="n"/>
      <c r="Q765" s="143" t="n"/>
      <c r="R765" s="143" t="n"/>
      <c r="S765" s="143" t="n"/>
      <c r="T765" s="143" t="n"/>
      <c r="U765" s="143" t="n"/>
      <c r="V765" s="143" t="n"/>
      <c r="W765" s="143" t="n"/>
      <c r="X765" s="143" t="n"/>
      <c r="Y765" s="143" t="n"/>
      <c r="Z765" s="143" t="n"/>
    </row>
    <row r="766" ht="19.5" customHeight="1" s="398">
      <c r="A766" s="149" t="n"/>
      <c r="B766" s="143" t="n"/>
      <c r="C766" s="143" t="n"/>
      <c r="D766" s="143" t="n"/>
      <c r="E766" s="143" t="n"/>
      <c r="F766" s="143" t="n"/>
      <c r="G766" s="143" t="n"/>
      <c r="H766" s="143" t="n"/>
      <c r="I766" s="143" t="n"/>
      <c r="J766" s="143" t="n"/>
      <c r="K766" s="143" t="n"/>
      <c r="L766" s="143" t="n"/>
      <c r="M766" s="143" t="n"/>
      <c r="N766" s="143" t="n"/>
      <c r="O766" s="143" t="n"/>
      <c r="P766" s="143" t="n"/>
      <c r="Q766" s="143" t="n"/>
      <c r="R766" s="143" t="n"/>
      <c r="S766" s="143" t="n"/>
      <c r="T766" s="143" t="n"/>
      <c r="U766" s="143" t="n"/>
      <c r="V766" s="143" t="n"/>
      <c r="W766" s="143" t="n"/>
      <c r="X766" s="143" t="n"/>
      <c r="Y766" s="143" t="n"/>
      <c r="Z766" s="143" t="n"/>
    </row>
    <row r="767" ht="19.5" customHeight="1" s="398">
      <c r="A767" s="149" t="n"/>
      <c r="B767" s="143" t="n"/>
      <c r="C767" s="143" t="n"/>
      <c r="D767" s="143" t="n"/>
      <c r="E767" s="143" t="n"/>
      <c r="F767" s="143" t="n"/>
      <c r="G767" s="143" t="n"/>
      <c r="H767" s="143" t="n"/>
      <c r="I767" s="143" t="n"/>
      <c r="J767" s="143" t="n"/>
      <c r="K767" s="143" t="n"/>
      <c r="L767" s="143" t="n"/>
      <c r="M767" s="143" t="n"/>
      <c r="N767" s="143" t="n"/>
      <c r="O767" s="143" t="n"/>
      <c r="P767" s="143" t="n"/>
      <c r="Q767" s="143" t="n"/>
      <c r="R767" s="143" t="n"/>
      <c r="S767" s="143" t="n"/>
      <c r="T767" s="143" t="n"/>
      <c r="U767" s="143" t="n"/>
      <c r="V767" s="143" t="n"/>
      <c r="W767" s="143" t="n"/>
      <c r="X767" s="143" t="n"/>
      <c r="Y767" s="143" t="n"/>
      <c r="Z767" s="143" t="n"/>
    </row>
    <row r="768" ht="19.5" customHeight="1" s="398">
      <c r="A768" s="149" t="n"/>
      <c r="B768" s="143" t="n"/>
      <c r="C768" s="143" t="n"/>
      <c r="D768" s="143" t="n"/>
      <c r="E768" s="143" t="n"/>
      <c r="F768" s="143" t="n"/>
      <c r="G768" s="143" t="n"/>
      <c r="H768" s="143" t="n"/>
      <c r="I768" s="143" t="n"/>
      <c r="J768" s="143" t="n"/>
      <c r="K768" s="143" t="n"/>
      <c r="L768" s="143" t="n"/>
      <c r="M768" s="143" t="n"/>
      <c r="N768" s="143" t="n"/>
      <c r="O768" s="143" t="n"/>
      <c r="P768" s="143" t="n"/>
      <c r="Q768" s="143" t="n"/>
      <c r="R768" s="143" t="n"/>
      <c r="S768" s="143" t="n"/>
      <c r="T768" s="143" t="n"/>
      <c r="U768" s="143" t="n"/>
      <c r="V768" s="143" t="n"/>
      <c r="W768" s="143" t="n"/>
      <c r="X768" s="143" t="n"/>
      <c r="Y768" s="143" t="n"/>
      <c r="Z768" s="143" t="n"/>
    </row>
    <row r="769" ht="19.5" customHeight="1" s="398">
      <c r="A769" s="149" t="n"/>
      <c r="B769" s="143" t="n"/>
      <c r="C769" s="143" t="n"/>
      <c r="D769" s="143" t="n"/>
      <c r="E769" s="143" t="n"/>
      <c r="F769" s="143" t="n"/>
      <c r="G769" s="143" t="n"/>
      <c r="H769" s="143" t="n"/>
      <c r="I769" s="143" t="n"/>
      <c r="J769" s="143" t="n"/>
      <c r="K769" s="143" t="n"/>
      <c r="L769" s="143" t="n"/>
      <c r="M769" s="143" t="n"/>
      <c r="N769" s="143" t="n"/>
      <c r="O769" s="143" t="n"/>
      <c r="P769" s="143" t="n"/>
      <c r="Q769" s="143" t="n"/>
      <c r="R769" s="143" t="n"/>
      <c r="S769" s="143" t="n"/>
      <c r="T769" s="143" t="n"/>
      <c r="U769" s="143" t="n"/>
      <c r="V769" s="143" t="n"/>
      <c r="W769" s="143" t="n"/>
      <c r="X769" s="143" t="n"/>
      <c r="Y769" s="143" t="n"/>
      <c r="Z769" s="143" t="n"/>
    </row>
    <row r="770" ht="19.5" customHeight="1" s="398">
      <c r="A770" s="149" t="n"/>
      <c r="B770" s="143" t="n"/>
      <c r="C770" s="143" t="n"/>
      <c r="D770" s="143" t="n"/>
      <c r="E770" s="143" t="n"/>
      <c r="F770" s="143" t="n"/>
      <c r="G770" s="143" t="n"/>
      <c r="H770" s="143" t="n"/>
      <c r="I770" s="143" t="n"/>
      <c r="J770" s="143" t="n"/>
      <c r="K770" s="143" t="n"/>
      <c r="L770" s="143" t="n"/>
      <c r="M770" s="143" t="n"/>
      <c r="N770" s="143" t="n"/>
      <c r="O770" s="143" t="n"/>
      <c r="P770" s="143" t="n"/>
      <c r="Q770" s="143" t="n"/>
      <c r="R770" s="143" t="n"/>
      <c r="S770" s="143" t="n"/>
      <c r="T770" s="143" t="n"/>
      <c r="U770" s="143" t="n"/>
      <c r="V770" s="143" t="n"/>
      <c r="W770" s="143" t="n"/>
      <c r="X770" s="143" t="n"/>
      <c r="Y770" s="143" t="n"/>
      <c r="Z770" s="143" t="n"/>
    </row>
    <row r="771" ht="19.5" customHeight="1" s="398">
      <c r="A771" s="149" t="n"/>
      <c r="B771" s="143" t="n"/>
      <c r="C771" s="143" t="n"/>
      <c r="D771" s="143" t="n"/>
      <c r="E771" s="143" t="n"/>
      <c r="F771" s="143" t="n"/>
      <c r="G771" s="143" t="n"/>
      <c r="H771" s="143" t="n"/>
      <c r="I771" s="143" t="n"/>
      <c r="J771" s="143" t="n"/>
      <c r="K771" s="143" t="n"/>
      <c r="L771" s="143" t="n"/>
      <c r="M771" s="143" t="n"/>
      <c r="N771" s="143" t="n"/>
      <c r="O771" s="143" t="n"/>
      <c r="P771" s="143" t="n"/>
      <c r="Q771" s="143" t="n"/>
      <c r="R771" s="143" t="n"/>
      <c r="S771" s="143" t="n"/>
      <c r="T771" s="143" t="n"/>
      <c r="U771" s="143" t="n"/>
      <c r="V771" s="143" t="n"/>
      <c r="W771" s="143" t="n"/>
      <c r="X771" s="143" t="n"/>
      <c r="Y771" s="143" t="n"/>
      <c r="Z771" s="143" t="n"/>
    </row>
    <row r="772" ht="19.5" customHeight="1" s="398">
      <c r="A772" s="149" t="n"/>
      <c r="B772" s="143" t="n"/>
      <c r="C772" s="143" t="n"/>
      <c r="D772" s="143" t="n"/>
      <c r="E772" s="143" t="n"/>
      <c r="F772" s="143" t="n"/>
      <c r="G772" s="143" t="n"/>
      <c r="H772" s="143" t="n"/>
      <c r="I772" s="143" t="n"/>
      <c r="J772" s="143" t="n"/>
      <c r="K772" s="143" t="n"/>
      <c r="L772" s="143" t="n"/>
      <c r="M772" s="143" t="n"/>
      <c r="N772" s="143" t="n"/>
      <c r="O772" s="143" t="n"/>
      <c r="P772" s="143" t="n"/>
      <c r="Q772" s="143" t="n"/>
      <c r="R772" s="143" t="n"/>
      <c r="S772" s="143" t="n"/>
      <c r="T772" s="143" t="n"/>
      <c r="U772" s="143" t="n"/>
      <c r="V772" s="143" t="n"/>
      <c r="W772" s="143" t="n"/>
      <c r="X772" s="143" t="n"/>
      <c r="Y772" s="143" t="n"/>
      <c r="Z772" s="143" t="n"/>
    </row>
    <row r="773" ht="19.5" customHeight="1" s="398">
      <c r="A773" s="149" t="n"/>
      <c r="B773" s="143" t="n"/>
      <c r="C773" s="143" t="n"/>
      <c r="D773" s="143" t="n"/>
      <c r="E773" s="143" t="n"/>
      <c r="F773" s="143" t="n"/>
      <c r="G773" s="143" t="n"/>
      <c r="H773" s="143" t="n"/>
      <c r="I773" s="143" t="n"/>
      <c r="J773" s="143" t="n"/>
      <c r="K773" s="143" t="n"/>
      <c r="L773" s="143" t="n"/>
      <c r="M773" s="143" t="n"/>
      <c r="N773" s="143" t="n"/>
      <c r="O773" s="143" t="n"/>
      <c r="P773" s="143" t="n"/>
      <c r="Q773" s="143" t="n"/>
      <c r="R773" s="143" t="n"/>
      <c r="S773" s="143" t="n"/>
      <c r="T773" s="143" t="n"/>
      <c r="U773" s="143" t="n"/>
      <c r="V773" s="143" t="n"/>
      <c r="W773" s="143" t="n"/>
      <c r="X773" s="143" t="n"/>
      <c r="Y773" s="143" t="n"/>
      <c r="Z773" s="143" t="n"/>
    </row>
    <row r="774" ht="19.5" customHeight="1" s="398">
      <c r="A774" s="149" t="n"/>
      <c r="B774" s="143" t="n"/>
      <c r="C774" s="143" t="n"/>
      <c r="D774" s="143" t="n"/>
      <c r="E774" s="143" t="n"/>
      <c r="F774" s="143" t="n"/>
      <c r="G774" s="143" t="n"/>
      <c r="H774" s="143" t="n"/>
      <c r="I774" s="143" t="n"/>
      <c r="J774" s="143" t="n"/>
      <c r="K774" s="143" t="n"/>
      <c r="L774" s="143" t="n"/>
      <c r="M774" s="143" t="n"/>
      <c r="N774" s="143" t="n"/>
      <c r="O774" s="143" t="n"/>
      <c r="P774" s="143" t="n"/>
      <c r="Q774" s="143" t="n"/>
      <c r="R774" s="143" t="n"/>
      <c r="S774" s="143" t="n"/>
      <c r="T774" s="143" t="n"/>
      <c r="U774" s="143" t="n"/>
      <c r="V774" s="143" t="n"/>
      <c r="W774" s="143" t="n"/>
      <c r="X774" s="143" t="n"/>
      <c r="Y774" s="143" t="n"/>
      <c r="Z774" s="143" t="n"/>
    </row>
    <row r="775" ht="19.5" customHeight="1" s="398">
      <c r="A775" s="149" t="n"/>
      <c r="B775" s="143" t="n"/>
      <c r="C775" s="143" t="n"/>
      <c r="D775" s="143" t="n"/>
      <c r="E775" s="143" t="n"/>
      <c r="F775" s="143" t="n"/>
      <c r="G775" s="143" t="n"/>
      <c r="H775" s="143" t="n"/>
      <c r="I775" s="143" t="n"/>
      <c r="J775" s="143" t="n"/>
      <c r="K775" s="143" t="n"/>
      <c r="L775" s="143" t="n"/>
      <c r="M775" s="143" t="n"/>
      <c r="N775" s="143" t="n"/>
      <c r="O775" s="143" t="n"/>
      <c r="P775" s="143" t="n"/>
      <c r="Q775" s="143" t="n"/>
      <c r="R775" s="143" t="n"/>
      <c r="S775" s="143" t="n"/>
      <c r="T775" s="143" t="n"/>
      <c r="U775" s="143" t="n"/>
      <c r="V775" s="143" t="n"/>
      <c r="W775" s="143" t="n"/>
      <c r="X775" s="143" t="n"/>
      <c r="Y775" s="143" t="n"/>
      <c r="Z775" s="143" t="n"/>
    </row>
    <row r="776" ht="19.5" customHeight="1" s="398">
      <c r="A776" s="149" t="n"/>
      <c r="B776" s="143" t="n"/>
      <c r="C776" s="143" t="n"/>
      <c r="D776" s="143" t="n"/>
      <c r="E776" s="143" t="n"/>
      <c r="F776" s="143" t="n"/>
      <c r="G776" s="143" t="n"/>
      <c r="H776" s="143" t="n"/>
      <c r="I776" s="143" t="n"/>
      <c r="J776" s="143" t="n"/>
      <c r="K776" s="143" t="n"/>
      <c r="L776" s="143" t="n"/>
      <c r="M776" s="143" t="n"/>
      <c r="N776" s="143" t="n"/>
      <c r="O776" s="143" t="n"/>
      <c r="P776" s="143" t="n"/>
      <c r="Q776" s="143" t="n"/>
      <c r="R776" s="143" t="n"/>
      <c r="S776" s="143" t="n"/>
      <c r="T776" s="143" t="n"/>
      <c r="U776" s="143" t="n"/>
      <c r="V776" s="143" t="n"/>
      <c r="W776" s="143" t="n"/>
      <c r="X776" s="143" t="n"/>
      <c r="Y776" s="143" t="n"/>
      <c r="Z776" s="143" t="n"/>
    </row>
    <row r="777" ht="19.5" customHeight="1" s="398">
      <c r="A777" s="149" t="n"/>
      <c r="B777" s="143" t="n"/>
      <c r="C777" s="143" t="n"/>
      <c r="D777" s="143" t="n"/>
      <c r="E777" s="143" t="n"/>
      <c r="F777" s="143" t="n"/>
      <c r="G777" s="143" t="n"/>
      <c r="H777" s="143" t="n"/>
      <c r="I777" s="143" t="n"/>
      <c r="J777" s="143" t="n"/>
      <c r="K777" s="143" t="n"/>
      <c r="L777" s="143" t="n"/>
      <c r="M777" s="143" t="n"/>
      <c r="N777" s="143" t="n"/>
      <c r="O777" s="143" t="n"/>
      <c r="P777" s="143" t="n"/>
      <c r="Q777" s="143" t="n"/>
      <c r="R777" s="143" t="n"/>
      <c r="S777" s="143" t="n"/>
      <c r="T777" s="143" t="n"/>
      <c r="U777" s="143" t="n"/>
      <c r="V777" s="143" t="n"/>
      <c r="W777" s="143" t="n"/>
      <c r="X777" s="143" t="n"/>
      <c r="Y777" s="143" t="n"/>
      <c r="Z777" s="143" t="n"/>
    </row>
    <row r="778" ht="19.5" customHeight="1" s="398">
      <c r="A778" s="149" t="n"/>
      <c r="B778" s="143" t="n"/>
      <c r="C778" s="143" t="n"/>
      <c r="D778" s="143" t="n"/>
      <c r="E778" s="143" t="n"/>
      <c r="F778" s="143" t="n"/>
      <c r="G778" s="143" t="n"/>
      <c r="H778" s="143" t="n"/>
      <c r="I778" s="143" t="n"/>
      <c r="J778" s="143" t="n"/>
      <c r="K778" s="143" t="n"/>
      <c r="L778" s="143" t="n"/>
      <c r="M778" s="143" t="n"/>
      <c r="N778" s="143" t="n"/>
      <c r="O778" s="143" t="n"/>
      <c r="P778" s="143" t="n"/>
      <c r="Q778" s="143" t="n"/>
      <c r="R778" s="143" t="n"/>
      <c r="S778" s="143" t="n"/>
      <c r="T778" s="143" t="n"/>
      <c r="U778" s="143" t="n"/>
      <c r="V778" s="143" t="n"/>
      <c r="W778" s="143" t="n"/>
      <c r="X778" s="143" t="n"/>
      <c r="Y778" s="143" t="n"/>
      <c r="Z778" s="143" t="n"/>
    </row>
    <row r="779" ht="19.5" customHeight="1" s="398">
      <c r="A779" s="149" t="n"/>
      <c r="B779" s="143" t="n"/>
      <c r="C779" s="143" t="n"/>
      <c r="D779" s="143" t="n"/>
      <c r="E779" s="143" t="n"/>
      <c r="F779" s="143" t="n"/>
      <c r="G779" s="143" t="n"/>
      <c r="H779" s="143" t="n"/>
      <c r="I779" s="143" t="n"/>
      <c r="J779" s="143" t="n"/>
      <c r="K779" s="143" t="n"/>
      <c r="L779" s="143" t="n"/>
      <c r="M779" s="143" t="n"/>
      <c r="N779" s="143" t="n"/>
      <c r="O779" s="143" t="n"/>
      <c r="P779" s="143" t="n"/>
      <c r="Q779" s="143" t="n"/>
      <c r="R779" s="143" t="n"/>
      <c r="S779" s="143" t="n"/>
      <c r="T779" s="143" t="n"/>
      <c r="U779" s="143" t="n"/>
      <c r="V779" s="143" t="n"/>
      <c r="W779" s="143" t="n"/>
      <c r="X779" s="143" t="n"/>
      <c r="Y779" s="143" t="n"/>
      <c r="Z779" s="143" t="n"/>
    </row>
    <row r="780" ht="19.5" customHeight="1" s="398">
      <c r="A780" s="149" t="n"/>
      <c r="B780" s="143" t="n"/>
      <c r="C780" s="143" t="n"/>
      <c r="D780" s="143" t="n"/>
      <c r="E780" s="143" t="n"/>
      <c r="F780" s="143" t="n"/>
      <c r="G780" s="143" t="n"/>
      <c r="H780" s="143" t="n"/>
      <c r="I780" s="143" t="n"/>
      <c r="J780" s="143" t="n"/>
      <c r="K780" s="143" t="n"/>
      <c r="L780" s="143" t="n"/>
      <c r="M780" s="143" t="n"/>
      <c r="N780" s="143" t="n"/>
      <c r="O780" s="143" t="n"/>
      <c r="P780" s="143" t="n"/>
      <c r="Q780" s="143" t="n"/>
      <c r="R780" s="143" t="n"/>
      <c r="S780" s="143" t="n"/>
      <c r="T780" s="143" t="n"/>
      <c r="U780" s="143" t="n"/>
      <c r="V780" s="143" t="n"/>
      <c r="W780" s="143" t="n"/>
      <c r="X780" s="143" t="n"/>
      <c r="Y780" s="143" t="n"/>
      <c r="Z780" s="143" t="n"/>
    </row>
    <row r="781" ht="19.5" customHeight="1" s="398">
      <c r="A781" s="149" t="n"/>
      <c r="B781" s="143" t="n"/>
      <c r="C781" s="143" t="n"/>
      <c r="D781" s="143" t="n"/>
      <c r="E781" s="143" t="n"/>
      <c r="F781" s="143" t="n"/>
      <c r="G781" s="143" t="n"/>
      <c r="H781" s="143" t="n"/>
      <c r="I781" s="143" t="n"/>
      <c r="J781" s="143" t="n"/>
      <c r="K781" s="143" t="n"/>
      <c r="L781" s="143" t="n"/>
      <c r="M781" s="143" t="n"/>
      <c r="N781" s="143" t="n"/>
      <c r="O781" s="143" t="n"/>
      <c r="P781" s="143" t="n"/>
      <c r="Q781" s="143" t="n"/>
      <c r="R781" s="143" t="n"/>
      <c r="S781" s="143" t="n"/>
      <c r="T781" s="143" t="n"/>
      <c r="U781" s="143" t="n"/>
      <c r="V781" s="143" t="n"/>
      <c r="W781" s="143" t="n"/>
      <c r="X781" s="143" t="n"/>
      <c r="Y781" s="143" t="n"/>
      <c r="Z781" s="143" t="n"/>
    </row>
    <row r="782" ht="19.5" customHeight="1" s="398">
      <c r="A782" s="149" t="n"/>
      <c r="B782" s="143" t="n"/>
      <c r="C782" s="143" t="n"/>
      <c r="D782" s="143" t="n"/>
      <c r="E782" s="143" t="n"/>
      <c r="F782" s="143" t="n"/>
      <c r="G782" s="143" t="n"/>
      <c r="H782" s="143" t="n"/>
      <c r="I782" s="143" t="n"/>
      <c r="J782" s="143" t="n"/>
      <c r="K782" s="143" t="n"/>
      <c r="L782" s="143" t="n"/>
      <c r="M782" s="143" t="n"/>
      <c r="N782" s="143" t="n"/>
      <c r="O782" s="143" t="n"/>
      <c r="P782" s="143" t="n"/>
      <c r="Q782" s="143" t="n"/>
      <c r="R782" s="143" t="n"/>
      <c r="S782" s="143" t="n"/>
      <c r="T782" s="143" t="n"/>
      <c r="U782" s="143" t="n"/>
      <c r="V782" s="143" t="n"/>
      <c r="W782" s="143" t="n"/>
      <c r="X782" s="143" t="n"/>
      <c r="Y782" s="143" t="n"/>
      <c r="Z782" s="143" t="n"/>
    </row>
    <row r="783" ht="19.5" customHeight="1" s="398">
      <c r="A783" s="149" t="n"/>
      <c r="B783" s="143" t="n"/>
      <c r="C783" s="143" t="n"/>
      <c r="D783" s="143" t="n"/>
      <c r="E783" s="143" t="n"/>
      <c r="F783" s="143" t="n"/>
      <c r="G783" s="143" t="n"/>
      <c r="H783" s="143" t="n"/>
      <c r="I783" s="143" t="n"/>
      <c r="J783" s="143" t="n"/>
      <c r="K783" s="143" t="n"/>
      <c r="L783" s="143" t="n"/>
      <c r="M783" s="143" t="n"/>
      <c r="N783" s="143" t="n"/>
      <c r="O783" s="143" t="n"/>
      <c r="P783" s="143" t="n"/>
      <c r="Q783" s="143" t="n"/>
      <c r="R783" s="143" t="n"/>
      <c r="S783" s="143" t="n"/>
      <c r="T783" s="143" t="n"/>
      <c r="U783" s="143" t="n"/>
      <c r="V783" s="143" t="n"/>
      <c r="W783" s="143" t="n"/>
      <c r="X783" s="143" t="n"/>
      <c r="Y783" s="143" t="n"/>
      <c r="Z783" s="143" t="n"/>
    </row>
    <row r="784" ht="19.5" customHeight="1" s="398">
      <c r="A784" s="149" t="n"/>
      <c r="B784" s="143" t="n"/>
      <c r="C784" s="143" t="n"/>
      <c r="D784" s="143" t="n"/>
      <c r="E784" s="143" t="n"/>
      <c r="F784" s="143" t="n"/>
      <c r="G784" s="143" t="n"/>
      <c r="H784" s="143" t="n"/>
      <c r="I784" s="143" t="n"/>
      <c r="J784" s="143" t="n"/>
      <c r="K784" s="143" t="n"/>
      <c r="L784" s="143" t="n"/>
      <c r="M784" s="143" t="n"/>
      <c r="N784" s="143" t="n"/>
      <c r="O784" s="143" t="n"/>
      <c r="P784" s="143" t="n"/>
      <c r="Q784" s="143" t="n"/>
      <c r="R784" s="143" t="n"/>
      <c r="S784" s="143" t="n"/>
      <c r="T784" s="143" t="n"/>
      <c r="U784" s="143" t="n"/>
      <c r="V784" s="143" t="n"/>
      <c r="W784" s="143" t="n"/>
      <c r="X784" s="143" t="n"/>
      <c r="Y784" s="143" t="n"/>
      <c r="Z784" s="143" t="n"/>
    </row>
    <row r="785" ht="19.5" customHeight="1" s="398">
      <c r="A785" s="149" t="n"/>
      <c r="B785" s="143" t="n"/>
      <c r="C785" s="143" t="n"/>
      <c r="D785" s="143" t="n"/>
      <c r="E785" s="143" t="n"/>
      <c r="F785" s="143" t="n"/>
      <c r="G785" s="143" t="n"/>
      <c r="H785" s="143" t="n"/>
      <c r="I785" s="143" t="n"/>
      <c r="J785" s="143" t="n"/>
      <c r="K785" s="143" t="n"/>
      <c r="L785" s="143" t="n"/>
      <c r="M785" s="143" t="n"/>
      <c r="N785" s="143" t="n"/>
      <c r="O785" s="143" t="n"/>
      <c r="P785" s="143" t="n"/>
      <c r="Q785" s="143" t="n"/>
      <c r="R785" s="143" t="n"/>
      <c r="S785" s="143" t="n"/>
      <c r="T785" s="143" t="n"/>
      <c r="U785" s="143" t="n"/>
      <c r="V785" s="143" t="n"/>
      <c r="W785" s="143" t="n"/>
      <c r="X785" s="143" t="n"/>
      <c r="Y785" s="143" t="n"/>
      <c r="Z785" s="143" t="n"/>
    </row>
    <row r="786" ht="19.5" customHeight="1" s="398">
      <c r="A786" s="149" t="n"/>
      <c r="B786" s="143" t="n"/>
      <c r="C786" s="143" t="n"/>
      <c r="D786" s="143" t="n"/>
      <c r="E786" s="143" t="n"/>
      <c r="F786" s="143" t="n"/>
      <c r="G786" s="143" t="n"/>
      <c r="H786" s="143" t="n"/>
      <c r="I786" s="143" t="n"/>
      <c r="J786" s="143" t="n"/>
      <c r="K786" s="143" t="n"/>
      <c r="L786" s="143" t="n"/>
      <c r="M786" s="143" t="n"/>
      <c r="N786" s="143" t="n"/>
      <c r="O786" s="143" t="n"/>
      <c r="P786" s="143" t="n"/>
      <c r="Q786" s="143" t="n"/>
      <c r="R786" s="143" t="n"/>
      <c r="S786" s="143" t="n"/>
      <c r="T786" s="143" t="n"/>
      <c r="U786" s="143" t="n"/>
      <c r="V786" s="143" t="n"/>
      <c r="W786" s="143" t="n"/>
      <c r="X786" s="143" t="n"/>
      <c r="Y786" s="143" t="n"/>
      <c r="Z786" s="143" t="n"/>
    </row>
    <row r="787" ht="19.5" customHeight="1" s="398">
      <c r="A787" s="149" t="n"/>
      <c r="B787" s="143" t="n"/>
      <c r="C787" s="143" t="n"/>
      <c r="D787" s="143" t="n"/>
      <c r="E787" s="143" t="n"/>
      <c r="F787" s="143" t="n"/>
      <c r="G787" s="143" t="n"/>
      <c r="H787" s="143" t="n"/>
      <c r="I787" s="143" t="n"/>
      <c r="J787" s="143" t="n"/>
      <c r="K787" s="143" t="n"/>
      <c r="L787" s="143" t="n"/>
      <c r="M787" s="143" t="n"/>
      <c r="N787" s="143" t="n"/>
      <c r="O787" s="143" t="n"/>
      <c r="P787" s="143" t="n"/>
      <c r="Q787" s="143" t="n"/>
      <c r="R787" s="143" t="n"/>
      <c r="S787" s="143" t="n"/>
      <c r="T787" s="143" t="n"/>
      <c r="U787" s="143" t="n"/>
      <c r="V787" s="143" t="n"/>
      <c r="W787" s="143" t="n"/>
      <c r="X787" s="143" t="n"/>
      <c r="Y787" s="143" t="n"/>
      <c r="Z787" s="143" t="n"/>
    </row>
    <row r="788" ht="19.5" customHeight="1" s="398">
      <c r="A788" s="149" t="n"/>
      <c r="B788" s="143" t="n"/>
      <c r="C788" s="143" t="n"/>
      <c r="D788" s="143" t="n"/>
      <c r="E788" s="143" t="n"/>
      <c r="F788" s="143" t="n"/>
      <c r="G788" s="143" t="n"/>
      <c r="H788" s="143" t="n"/>
      <c r="I788" s="143" t="n"/>
      <c r="J788" s="143" t="n"/>
      <c r="K788" s="143" t="n"/>
      <c r="L788" s="143" t="n"/>
      <c r="M788" s="143" t="n"/>
      <c r="N788" s="143" t="n"/>
      <c r="O788" s="143" t="n"/>
      <c r="P788" s="143" t="n"/>
      <c r="Q788" s="143" t="n"/>
      <c r="R788" s="143" t="n"/>
      <c r="S788" s="143" t="n"/>
      <c r="T788" s="143" t="n"/>
      <c r="U788" s="143" t="n"/>
      <c r="V788" s="143" t="n"/>
      <c r="W788" s="143" t="n"/>
      <c r="X788" s="143" t="n"/>
      <c r="Y788" s="143" t="n"/>
      <c r="Z788" s="143" t="n"/>
    </row>
    <row r="789" ht="19.5" customHeight="1" s="398">
      <c r="A789" s="149" t="n"/>
      <c r="B789" s="143" t="n"/>
      <c r="C789" s="143" t="n"/>
      <c r="D789" s="143" t="n"/>
      <c r="E789" s="143" t="n"/>
      <c r="F789" s="143" t="n"/>
      <c r="G789" s="143" t="n"/>
      <c r="H789" s="143" t="n"/>
      <c r="I789" s="143" t="n"/>
      <c r="J789" s="143" t="n"/>
      <c r="K789" s="143" t="n"/>
      <c r="L789" s="143" t="n"/>
      <c r="M789" s="143" t="n"/>
      <c r="N789" s="143" t="n"/>
      <c r="O789" s="143" t="n"/>
      <c r="P789" s="143" t="n"/>
      <c r="Q789" s="143" t="n"/>
      <c r="R789" s="143" t="n"/>
      <c r="S789" s="143" t="n"/>
      <c r="T789" s="143" t="n"/>
      <c r="U789" s="143" t="n"/>
      <c r="V789" s="143" t="n"/>
      <c r="W789" s="143" t="n"/>
      <c r="X789" s="143" t="n"/>
      <c r="Y789" s="143" t="n"/>
      <c r="Z789" s="143" t="n"/>
    </row>
    <row r="790" ht="19.5" customHeight="1" s="398">
      <c r="A790" s="149" t="n"/>
      <c r="B790" s="143" t="n"/>
      <c r="C790" s="143" t="n"/>
      <c r="D790" s="143" t="n"/>
      <c r="E790" s="143" t="n"/>
      <c r="F790" s="143" t="n"/>
      <c r="G790" s="143" t="n"/>
      <c r="H790" s="143" t="n"/>
      <c r="I790" s="143" t="n"/>
      <c r="J790" s="143" t="n"/>
      <c r="K790" s="143" t="n"/>
      <c r="L790" s="143" t="n"/>
      <c r="M790" s="143" t="n"/>
      <c r="N790" s="143" t="n"/>
      <c r="O790" s="143" t="n"/>
      <c r="P790" s="143" t="n"/>
      <c r="Q790" s="143" t="n"/>
      <c r="R790" s="143" t="n"/>
      <c r="S790" s="143" t="n"/>
      <c r="T790" s="143" t="n"/>
      <c r="U790" s="143" t="n"/>
      <c r="V790" s="143" t="n"/>
      <c r="W790" s="143" t="n"/>
      <c r="X790" s="143" t="n"/>
      <c r="Y790" s="143" t="n"/>
      <c r="Z790" s="143" t="n"/>
    </row>
    <row r="791" ht="19.5" customHeight="1" s="398">
      <c r="A791" s="149" t="n"/>
      <c r="B791" s="143" t="n"/>
      <c r="C791" s="143" t="n"/>
      <c r="D791" s="143" t="n"/>
      <c r="E791" s="143" t="n"/>
      <c r="F791" s="143" t="n"/>
      <c r="G791" s="143" t="n"/>
      <c r="H791" s="143" t="n"/>
      <c r="I791" s="143" t="n"/>
      <c r="J791" s="143" t="n"/>
      <c r="K791" s="143" t="n"/>
      <c r="L791" s="143" t="n"/>
      <c r="M791" s="143" t="n"/>
      <c r="N791" s="143" t="n"/>
      <c r="O791" s="143" t="n"/>
      <c r="P791" s="143" t="n"/>
      <c r="Q791" s="143" t="n"/>
      <c r="R791" s="143" t="n"/>
      <c r="S791" s="143" t="n"/>
      <c r="T791" s="143" t="n"/>
      <c r="U791" s="143" t="n"/>
      <c r="V791" s="143" t="n"/>
      <c r="W791" s="143" t="n"/>
      <c r="X791" s="143" t="n"/>
      <c r="Y791" s="143" t="n"/>
      <c r="Z791" s="143" t="n"/>
    </row>
    <row r="792" ht="19.5" customHeight="1" s="398">
      <c r="A792" s="149" t="n"/>
      <c r="B792" s="143" t="n"/>
      <c r="C792" s="143" t="n"/>
      <c r="D792" s="143" t="n"/>
      <c r="E792" s="143" t="n"/>
      <c r="F792" s="143" t="n"/>
      <c r="G792" s="143" t="n"/>
      <c r="H792" s="143" t="n"/>
      <c r="I792" s="143" t="n"/>
      <c r="J792" s="143" t="n"/>
      <c r="K792" s="143" t="n"/>
      <c r="L792" s="143" t="n"/>
      <c r="M792" s="143" t="n"/>
      <c r="N792" s="143" t="n"/>
      <c r="O792" s="143" t="n"/>
      <c r="P792" s="143" t="n"/>
      <c r="Q792" s="143" t="n"/>
      <c r="R792" s="143" t="n"/>
      <c r="S792" s="143" t="n"/>
      <c r="T792" s="143" t="n"/>
      <c r="U792" s="143" t="n"/>
      <c r="V792" s="143" t="n"/>
      <c r="W792" s="143" t="n"/>
      <c r="X792" s="143" t="n"/>
      <c r="Y792" s="143" t="n"/>
      <c r="Z792" s="143" t="n"/>
    </row>
    <row r="793" ht="19.5" customHeight="1" s="398">
      <c r="A793" s="149" t="n"/>
      <c r="B793" s="143" t="n"/>
      <c r="C793" s="143" t="n"/>
      <c r="D793" s="143" t="n"/>
      <c r="E793" s="143" t="n"/>
      <c r="F793" s="143" t="n"/>
      <c r="G793" s="143" t="n"/>
      <c r="H793" s="143" t="n"/>
      <c r="I793" s="143" t="n"/>
      <c r="J793" s="143" t="n"/>
      <c r="K793" s="143" t="n"/>
      <c r="L793" s="143" t="n"/>
      <c r="M793" s="143" t="n"/>
      <c r="N793" s="143" t="n"/>
      <c r="O793" s="143" t="n"/>
      <c r="P793" s="143" t="n"/>
      <c r="Q793" s="143" t="n"/>
      <c r="R793" s="143" t="n"/>
      <c r="S793" s="143" t="n"/>
      <c r="T793" s="143" t="n"/>
      <c r="U793" s="143" t="n"/>
      <c r="V793" s="143" t="n"/>
      <c r="W793" s="143" t="n"/>
      <c r="X793" s="143" t="n"/>
      <c r="Y793" s="143" t="n"/>
      <c r="Z793" s="143" t="n"/>
    </row>
    <row r="794" ht="19.5" customHeight="1" s="398">
      <c r="A794" s="149" t="n"/>
      <c r="B794" s="143" t="n"/>
      <c r="C794" s="143" t="n"/>
      <c r="D794" s="143" t="n"/>
      <c r="E794" s="143" t="n"/>
      <c r="F794" s="143" t="n"/>
      <c r="G794" s="143" t="n"/>
      <c r="H794" s="143" t="n"/>
      <c r="I794" s="143" t="n"/>
      <c r="J794" s="143" t="n"/>
      <c r="K794" s="143" t="n"/>
      <c r="L794" s="143" t="n"/>
      <c r="M794" s="143" t="n"/>
      <c r="N794" s="143" t="n"/>
      <c r="O794" s="143" t="n"/>
      <c r="P794" s="143" t="n"/>
      <c r="Q794" s="143" t="n"/>
      <c r="R794" s="143" t="n"/>
      <c r="S794" s="143" t="n"/>
      <c r="T794" s="143" t="n"/>
      <c r="U794" s="143" t="n"/>
      <c r="V794" s="143" t="n"/>
      <c r="W794" s="143" t="n"/>
      <c r="X794" s="143" t="n"/>
      <c r="Y794" s="143" t="n"/>
      <c r="Z794" s="143" t="n"/>
    </row>
    <row r="795" ht="19.5" customHeight="1" s="398">
      <c r="A795" s="149" t="n"/>
      <c r="B795" s="143" t="n"/>
      <c r="C795" s="143" t="n"/>
      <c r="D795" s="143" t="n"/>
      <c r="E795" s="143" t="n"/>
      <c r="F795" s="143" t="n"/>
      <c r="G795" s="143" t="n"/>
      <c r="H795" s="143" t="n"/>
      <c r="I795" s="143" t="n"/>
      <c r="J795" s="143" t="n"/>
      <c r="K795" s="143" t="n"/>
      <c r="L795" s="143" t="n"/>
      <c r="M795" s="143" t="n"/>
      <c r="N795" s="143" t="n"/>
      <c r="O795" s="143" t="n"/>
      <c r="P795" s="143" t="n"/>
      <c r="Q795" s="143" t="n"/>
      <c r="R795" s="143" t="n"/>
      <c r="S795" s="143" t="n"/>
      <c r="T795" s="143" t="n"/>
      <c r="U795" s="143" t="n"/>
      <c r="V795" s="143" t="n"/>
      <c r="W795" s="143" t="n"/>
      <c r="X795" s="143" t="n"/>
      <c r="Y795" s="143" t="n"/>
      <c r="Z795" s="143" t="n"/>
    </row>
    <row r="796" ht="19.5" customHeight="1" s="398">
      <c r="A796" s="149" t="n"/>
      <c r="B796" s="143" t="n"/>
      <c r="C796" s="143" t="n"/>
      <c r="D796" s="143" t="n"/>
      <c r="E796" s="143" t="n"/>
      <c r="F796" s="143" t="n"/>
      <c r="G796" s="143" t="n"/>
      <c r="H796" s="143" t="n"/>
      <c r="I796" s="143" t="n"/>
      <c r="J796" s="143" t="n"/>
      <c r="K796" s="143" t="n"/>
      <c r="L796" s="143" t="n"/>
      <c r="M796" s="143" t="n"/>
      <c r="N796" s="143" t="n"/>
      <c r="O796" s="143" t="n"/>
      <c r="P796" s="143" t="n"/>
      <c r="Q796" s="143" t="n"/>
      <c r="R796" s="143" t="n"/>
      <c r="S796" s="143" t="n"/>
      <c r="T796" s="143" t="n"/>
      <c r="U796" s="143" t="n"/>
      <c r="V796" s="143" t="n"/>
      <c r="W796" s="143" t="n"/>
      <c r="X796" s="143" t="n"/>
      <c r="Y796" s="143" t="n"/>
      <c r="Z796" s="143" t="n"/>
    </row>
    <row r="797" ht="19.5" customHeight="1" s="398">
      <c r="A797" s="149" t="n"/>
      <c r="B797" s="143" t="n"/>
      <c r="C797" s="143" t="n"/>
      <c r="D797" s="143" t="n"/>
      <c r="E797" s="143" t="n"/>
      <c r="F797" s="143" t="n"/>
      <c r="G797" s="143" t="n"/>
      <c r="H797" s="143" t="n"/>
      <c r="I797" s="143" t="n"/>
      <c r="J797" s="143" t="n"/>
      <c r="K797" s="143" t="n"/>
      <c r="L797" s="143" t="n"/>
      <c r="M797" s="143" t="n"/>
      <c r="N797" s="143" t="n"/>
      <c r="O797" s="143" t="n"/>
      <c r="P797" s="143" t="n"/>
      <c r="Q797" s="143" t="n"/>
      <c r="R797" s="143" t="n"/>
      <c r="S797" s="143" t="n"/>
      <c r="T797" s="143" t="n"/>
      <c r="U797" s="143" t="n"/>
      <c r="V797" s="143" t="n"/>
      <c r="W797" s="143" t="n"/>
      <c r="X797" s="143" t="n"/>
      <c r="Y797" s="143" t="n"/>
      <c r="Z797" s="143" t="n"/>
    </row>
    <row r="798" ht="19.5" customHeight="1" s="398">
      <c r="A798" s="149" t="n"/>
      <c r="B798" s="143" t="n"/>
      <c r="C798" s="143" t="n"/>
      <c r="D798" s="143" t="n"/>
      <c r="E798" s="143" t="n"/>
      <c r="F798" s="143" t="n"/>
      <c r="G798" s="143" t="n"/>
      <c r="H798" s="143" t="n"/>
      <c r="I798" s="143" t="n"/>
      <c r="J798" s="143" t="n"/>
      <c r="K798" s="143" t="n"/>
      <c r="L798" s="143" t="n"/>
      <c r="M798" s="143" t="n"/>
      <c r="N798" s="143" t="n"/>
      <c r="O798" s="143" t="n"/>
      <c r="P798" s="143" t="n"/>
      <c r="Q798" s="143" t="n"/>
      <c r="R798" s="143" t="n"/>
      <c r="S798" s="143" t="n"/>
      <c r="T798" s="143" t="n"/>
      <c r="U798" s="143" t="n"/>
      <c r="V798" s="143" t="n"/>
      <c r="W798" s="143" t="n"/>
      <c r="X798" s="143" t="n"/>
      <c r="Y798" s="143" t="n"/>
      <c r="Z798" s="143" t="n"/>
    </row>
    <row r="799" ht="19.5" customHeight="1" s="398">
      <c r="A799" s="149" t="n"/>
      <c r="B799" s="143" t="n"/>
      <c r="C799" s="143" t="n"/>
      <c r="D799" s="143" t="n"/>
      <c r="E799" s="143" t="n"/>
      <c r="F799" s="143" t="n"/>
      <c r="G799" s="143" t="n"/>
      <c r="H799" s="143" t="n"/>
      <c r="I799" s="143" t="n"/>
      <c r="J799" s="143" t="n"/>
      <c r="K799" s="143" t="n"/>
      <c r="L799" s="143" t="n"/>
      <c r="M799" s="143" t="n"/>
      <c r="N799" s="143" t="n"/>
      <c r="O799" s="143" t="n"/>
      <c r="P799" s="143" t="n"/>
      <c r="Q799" s="143" t="n"/>
      <c r="R799" s="143" t="n"/>
      <c r="S799" s="143" t="n"/>
      <c r="T799" s="143" t="n"/>
      <c r="U799" s="143" t="n"/>
      <c r="V799" s="143" t="n"/>
      <c r="W799" s="143" t="n"/>
      <c r="X799" s="143" t="n"/>
      <c r="Y799" s="143" t="n"/>
      <c r="Z799" s="143" t="n"/>
    </row>
    <row r="800" ht="19.5" customHeight="1" s="398">
      <c r="A800" s="149" t="n"/>
      <c r="B800" s="143" t="n"/>
      <c r="C800" s="143" t="n"/>
      <c r="D800" s="143" t="n"/>
      <c r="E800" s="143" t="n"/>
      <c r="F800" s="143" t="n"/>
      <c r="G800" s="143" t="n"/>
      <c r="H800" s="143" t="n"/>
      <c r="I800" s="143" t="n"/>
      <c r="J800" s="143" t="n"/>
      <c r="K800" s="143" t="n"/>
      <c r="L800" s="143" t="n"/>
      <c r="M800" s="143" t="n"/>
      <c r="N800" s="143" t="n"/>
      <c r="O800" s="143" t="n"/>
      <c r="P800" s="143" t="n"/>
      <c r="Q800" s="143" t="n"/>
      <c r="R800" s="143" t="n"/>
      <c r="S800" s="143" t="n"/>
      <c r="T800" s="143" t="n"/>
      <c r="U800" s="143" t="n"/>
      <c r="V800" s="143" t="n"/>
      <c r="W800" s="143" t="n"/>
      <c r="X800" s="143" t="n"/>
      <c r="Y800" s="143" t="n"/>
      <c r="Z800" s="143" t="n"/>
    </row>
    <row r="801" ht="19.5" customHeight="1" s="398">
      <c r="A801" s="149" t="n"/>
      <c r="B801" s="143" t="n"/>
      <c r="C801" s="143" t="n"/>
      <c r="D801" s="143" t="n"/>
      <c r="E801" s="143" t="n"/>
      <c r="F801" s="143" t="n"/>
      <c r="G801" s="143" t="n"/>
      <c r="H801" s="143" t="n"/>
      <c r="I801" s="143" t="n"/>
      <c r="J801" s="143" t="n"/>
      <c r="K801" s="143" t="n"/>
      <c r="L801" s="143" t="n"/>
      <c r="M801" s="143" t="n"/>
      <c r="N801" s="143" t="n"/>
      <c r="O801" s="143" t="n"/>
      <c r="P801" s="143" t="n"/>
      <c r="Q801" s="143" t="n"/>
      <c r="R801" s="143" t="n"/>
      <c r="S801" s="143" t="n"/>
      <c r="T801" s="143" t="n"/>
      <c r="U801" s="143" t="n"/>
      <c r="V801" s="143" t="n"/>
      <c r="W801" s="143" t="n"/>
      <c r="X801" s="143" t="n"/>
      <c r="Y801" s="143" t="n"/>
      <c r="Z801" s="143" t="n"/>
    </row>
    <row r="802" ht="19.5" customHeight="1" s="398">
      <c r="A802" s="149" t="n"/>
      <c r="B802" s="143" t="n"/>
      <c r="C802" s="143" t="n"/>
      <c r="D802" s="143" t="n"/>
      <c r="E802" s="143" t="n"/>
      <c r="F802" s="143" t="n"/>
      <c r="G802" s="143" t="n"/>
      <c r="H802" s="143" t="n"/>
      <c r="I802" s="143" t="n"/>
      <c r="J802" s="143" t="n"/>
      <c r="K802" s="143" t="n"/>
      <c r="L802" s="143" t="n"/>
      <c r="M802" s="143" t="n"/>
      <c r="N802" s="143" t="n"/>
      <c r="O802" s="143" t="n"/>
      <c r="P802" s="143" t="n"/>
      <c r="Q802" s="143" t="n"/>
      <c r="R802" s="143" t="n"/>
      <c r="S802" s="143" t="n"/>
      <c r="T802" s="143" t="n"/>
      <c r="U802" s="143" t="n"/>
      <c r="V802" s="143" t="n"/>
      <c r="W802" s="143" t="n"/>
      <c r="X802" s="143" t="n"/>
      <c r="Y802" s="143" t="n"/>
      <c r="Z802" s="143" t="n"/>
    </row>
    <row r="803" ht="19.5" customHeight="1" s="398">
      <c r="A803" s="149" t="n"/>
      <c r="B803" s="143" t="n"/>
      <c r="C803" s="143" t="n"/>
      <c r="D803" s="143" t="n"/>
      <c r="E803" s="143" t="n"/>
      <c r="F803" s="143" t="n"/>
      <c r="G803" s="143" t="n"/>
      <c r="H803" s="143" t="n"/>
      <c r="I803" s="143" t="n"/>
      <c r="J803" s="143" t="n"/>
      <c r="K803" s="143" t="n"/>
      <c r="L803" s="143" t="n"/>
      <c r="M803" s="143" t="n"/>
      <c r="N803" s="143" t="n"/>
      <c r="O803" s="143" t="n"/>
      <c r="P803" s="143" t="n"/>
      <c r="Q803" s="143" t="n"/>
      <c r="R803" s="143" t="n"/>
      <c r="S803" s="143" t="n"/>
      <c r="T803" s="143" t="n"/>
      <c r="U803" s="143" t="n"/>
      <c r="V803" s="143" t="n"/>
      <c r="W803" s="143" t="n"/>
      <c r="X803" s="143" t="n"/>
      <c r="Y803" s="143" t="n"/>
      <c r="Z803" s="143" t="n"/>
    </row>
    <row r="804" ht="19.5" customHeight="1" s="398">
      <c r="A804" s="149" t="n"/>
      <c r="B804" s="143" t="n"/>
      <c r="C804" s="143" t="n"/>
      <c r="D804" s="143" t="n"/>
      <c r="E804" s="143" t="n"/>
      <c r="F804" s="143" t="n"/>
      <c r="G804" s="143" t="n"/>
      <c r="H804" s="143" t="n"/>
      <c r="I804" s="143" t="n"/>
      <c r="J804" s="143" t="n"/>
      <c r="K804" s="143" t="n"/>
      <c r="L804" s="143" t="n"/>
      <c r="M804" s="143" t="n"/>
      <c r="N804" s="143" t="n"/>
      <c r="O804" s="143" t="n"/>
      <c r="P804" s="143" t="n"/>
      <c r="Q804" s="143" t="n"/>
      <c r="R804" s="143" t="n"/>
      <c r="S804" s="143" t="n"/>
      <c r="T804" s="143" t="n"/>
      <c r="U804" s="143" t="n"/>
      <c r="V804" s="143" t="n"/>
      <c r="W804" s="143" t="n"/>
      <c r="X804" s="143" t="n"/>
      <c r="Y804" s="143" t="n"/>
      <c r="Z804" s="143" t="n"/>
    </row>
    <row r="805" ht="19.5" customHeight="1" s="398">
      <c r="A805" s="149" t="n"/>
      <c r="B805" s="143" t="n"/>
      <c r="C805" s="143" t="n"/>
      <c r="D805" s="143" t="n"/>
      <c r="E805" s="143" t="n"/>
      <c r="F805" s="143" t="n"/>
      <c r="G805" s="143" t="n"/>
      <c r="H805" s="143" t="n"/>
      <c r="I805" s="143" t="n"/>
      <c r="J805" s="143" t="n"/>
      <c r="K805" s="143" t="n"/>
      <c r="L805" s="143" t="n"/>
      <c r="M805" s="143" t="n"/>
      <c r="N805" s="143" t="n"/>
      <c r="O805" s="143" t="n"/>
      <c r="P805" s="143" t="n"/>
      <c r="Q805" s="143" t="n"/>
      <c r="R805" s="143" t="n"/>
      <c r="S805" s="143" t="n"/>
      <c r="T805" s="143" t="n"/>
      <c r="U805" s="143" t="n"/>
      <c r="V805" s="143" t="n"/>
      <c r="W805" s="143" t="n"/>
      <c r="X805" s="143" t="n"/>
      <c r="Y805" s="143" t="n"/>
      <c r="Z805" s="143" t="n"/>
    </row>
    <row r="806" ht="19.5" customHeight="1" s="398">
      <c r="A806" s="149" t="n"/>
      <c r="B806" s="143" t="n"/>
      <c r="C806" s="143" t="n"/>
      <c r="D806" s="143" t="n"/>
      <c r="E806" s="143" t="n"/>
      <c r="F806" s="143" t="n"/>
      <c r="G806" s="143" t="n"/>
      <c r="H806" s="143" t="n"/>
      <c r="I806" s="143" t="n"/>
      <c r="J806" s="143" t="n"/>
      <c r="K806" s="143" t="n"/>
      <c r="L806" s="143" t="n"/>
      <c r="M806" s="143" t="n"/>
      <c r="N806" s="143" t="n"/>
      <c r="O806" s="143" t="n"/>
      <c r="P806" s="143" t="n"/>
      <c r="Q806" s="143" t="n"/>
      <c r="R806" s="143" t="n"/>
      <c r="S806" s="143" t="n"/>
      <c r="T806" s="143" t="n"/>
      <c r="U806" s="143" t="n"/>
      <c r="V806" s="143" t="n"/>
      <c r="W806" s="143" t="n"/>
      <c r="X806" s="143" t="n"/>
      <c r="Y806" s="143" t="n"/>
      <c r="Z806" s="143" t="n"/>
    </row>
    <row r="807" ht="19.5" customHeight="1" s="398">
      <c r="A807" s="149" t="n"/>
      <c r="B807" s="143" t="n"/>
      <c r="C807" s="143" t="n"/>
      <c r="D807" s="143" t="n"/>
      <c r="E807" s="143" t="n"/>
      <c r="F807" s="143" t="n"/>
      <c r="G807" s="143" t="n"/>
      <c r="H807" s="143" t="n"/>
      <c r="I807" s="143" t="n"/>
      <c r="J807" s="143" t="n"/>
      <c r="K807" s="143" t="n"/>
      <c r="L807" s="143" t="n"/>
      <c r="M807" s="143" t="n"/>
      <c r="N807" s="143" t="n"/>
      <c r="O807" s="143" t="n"/>
      <c r="P807" s="143" t="n"/>
      <c r="Q807" s="143" t="n"/>
      <c r="R807" s="143" t="n"/>
      <c r="S807" s="143" t="n"/>
      <c r="T807" s="143" t="n"/>
      <c r="U807" s="143" t="n"/>
      <c r="V807" s="143" t="n"/>
      <c r="W807" s="143" t="n"/>
      <c r="X807" s="143" t="n"/>
      <c r="Y807" s="143" t="n"/>
      <c r="Z807" s="143" t="n"/>
    </row>
    <row r="808" ht="19.5" customHeight="1" s="398">
      <c r="A808" s="149" t="n"/>
      <c r="B808" s="143" t="n"/>
      <c r="C808" s="143" t="n"/>
      <c r="D808" s="143" t="n"/>
      <c r="E808" s="143" t="n"/>
      <c r="F808" s="143" t="n"/>
      <c r="G808" s="143" t="n"/>
      <c r="H808" s="143" t="n"/>
      <c r="I808" s="143" t="n"/>
      <c r="J808" s="143" t="n"/>
      <c r="K808" s="143" t="n"/>
      <c r="L808" s="143" t="n"/>
      <c r="M808" s="143" t="n"/>
      <c r="N808" s="143" t="n"/>
      <c r="O808" s="143" t="n"/>
      <c r="P808" s="143" t="n"/>
      <c r="Q808" s="143" t="n"/>
      <c r="R808" s="143" t="n"/>
      <c r="S808" s="143" t="n"/>
      <c r="T808" s="143" t="n"/>
      <c r="U808" s="143" t="n"/>
      <c r="V808" s="143" t="n"/>
      <c r="W808" s="143" t="n"/>
      <c r="X808" s="143" t="n"/>
      <c r="Y808" s="143" t="n"/>
      <c r="Z808" s="143" t="n"/>
    </row>
    <row r="809" ht="19.5" customHeight="1" s="398">
      <c r="A809" s="149" t="n"/>
      <c r="B809" s="143" t="n"/>
      <c r="C809" s="143" t="n"/>
      <c r="D809" s="143" t="n"/>
      <c r="E809" s="143" t="n"/>
      <c r="F809" s="143" t="n"/>
      <c r="G809" s="143" t="n"/>
      <c r="H809" s="143" t="n"/>
      <c r="I809" s="143" t="n"/>
      <c r="J809" s="143" t="n"/>
      <c r="K809" s="143" t="n"/>
      <c r="L809" s="143" t="n"/>
      <c r="M809" s="143" t="n"/>
      <c r="N809" s="143" t="n"/>
      <c r="O809" s="143" t="n"/>
      <c r="P809" s="143" t="n"/>
      <c r="Q809" s="143" t="n"/>
      <c r="R809" s="143" t="n"/>
      <c r="S809" s="143" t="n"/>
      <c r="T809" s="143" t="n"/>
      <c r="U809" s="143" t="n"/>
      <c r="V809" s="143" t="n"/>
      <c r="W809" s="143" t="n"/>
      <c r="X809" s="143" t="n"/>
      <c r="Y809" s="143" t="n"/>
      <c r="Z809" s="143" t="n"/>
    </row>
    <row r="810" ht="19.5" customHeight="1" s="398">
      <c r="A810" s="149" t="n"/>
      <c r="B810" s="143" t="n"/>
      <c r="C810" s="143" t="n"/>
      <c r="D810" s="143" t="n"/>
      <c r="E810" s="143" t="n"/>
      <c r="F810" s="143" t="n"/>
      <c r="G810" s="143" t="n"/>
      <c r="H810" s="143" t="n"/>
      <c r="I810" s="143" t="n"/>
      <c r="J810" s="143" t="n"/>
      <c r="K810" s="143" t="n"/>
      <c r="L810" s="143" t="n"/>
      <c r="M810" s="143" t="n"/>
      <c r="N810" s="143" t="n"/>
      <c r="O810" s="143" t="n"/>
      <c r="P810" s="143" t="n"/>
      <c r="Q810" s="143" t="n"/>
      <c r="R810" s="143" t="n"/>
      <c r="S810" s="143" t="n"/>
      <c r="T810" s="143" t="n"/>
      <c r="U810" s="143" t="n"/>
      <c r="V810" s="143" t="n"/>
      <c r="W810" s="143" t="n"/>
      <c r="X810" s="143" t="n"/>
      <c r="Y810" s="143" t="n"/>
      <c r="Z810" s="143" t="n"/>
    </row>
    <row r="811" ht="19.5" customHeight="1" s="398">
      <c r="A811" s="149" t="n"/>
      <c r="B811" s="143" t="n"/>
      <c r="C811" s="143" t="n"/>
      <c r="D811" s="143" t="n"/>
      <c r="E811" s="143" t="n"/>
      <c r="F811" s="143" t="n"/>
      <c r="G811" s="143" t="n"/>
      <c r="H811" s="143" t="n"/>
      <c r="I811" s="143" t="n"/>
      <c r="J811" s="143" t="n"/>
      <c r="K811" s="143" t="n"/>
      <c r="L811" s="143" t="n"/>
      <c r="M811" s="143" t="n"/>
      <c r="N811" s="143" t="n"/>
      <c r="O811" s="143" t="n"/>
      <c r="P811" s="143" t="n"/>
      <c r="Q811" s="143" t="n"/>
      <c r="R811" s="143" t="n"/>
      <c r="S811" s="143" t="n"/>
      <c r="T811" s="143" t="n"/>
      <c r="U811" s="143" t="n"/>
      <c r="V811" s="143" t="n"/>
      <c r="W811" s="143" t="n"/>
      <c r="X811" s="143" t="n"/>
      <c r="Y811" s="143" t="n"/>
      <c r="Z811" s="143" t="n"/>
    </row>
    <row r="812" ht="19.5" customHeight="1" s="398">
      <c r="A812" s="149" t="n"/>
      <c r="B812" s="143" t="n"/>
      <c r="C812" s="143" t="n"/>
      <c r="D812" s="143" t="n"/>
      <c r="E812" s="143" t="n"/>
      <c r="F812" s="143" t="n"/>
      <c r="G812" s="143" t="n"/>
      <c r="H812" s="143" t="n"/>
      <c r="I812" s="143" t="n"/>
      <c r="J812" s="143" t="n"/>
      <c r="K812" s="143" t="n"/>
      <c r="L812" s="143" t="n"/>
      <c r="M812" s="143" t="n"/>
      <c r="N812" s="143" t="n"/>
      <c r="O812" s="143" t="n"/>
      <c r="P812" s="143" t="n"/>
      <c r="Q812" s="143" t="n"/>
      <c r="R812" s="143" t="n"/>
      <c r="S812" s="143" t="n"/>
      <c r="T812" s="143" t="n"/>
      <c r="U812" s="143" t="n"/>
      <c r="V812" s="143" t="n"/>
      <c r="W812" s="143" t="n"/>
      <c r="X812" s="143" t="n"/>
      <c r="Y812" s="143" t="n"/>
      <c r="Z812" s="143" t="n"/>
    </row>
    <row r="813" ht="19.5" customHeight="1" s="398">
      <c r="A813" s="149" t="n"/>
      <c r="B813" s="143" t="n"/>
      <c r="C813" s="143" t="n"/>
      <c r="D813" s="143" t="n"/>
      <c r="E813" s="143" t="n"/>
      <c r="F813" s="143" t="n"/>
      <c r="G813" s="143" t="n"/>
      <c r="H813" s="143" t="n"/>
      <c r="I813" s="143" t="n"/>
      <c r="J813" s="143" t="n"/>
      <c r="K813" s="143" t="n"/>
      <c r="L813" s="143" t="n"/>
      <c r="M813" s="143" t="n"/>
      <c r="N813" s="143" t="n"/>
      <c r="O813" s="143" t="n"/>
      <c r="P813" s="143" t="n"/>
      <c r="Q813" s="143" t="n"/>
      <c r="R813" s="143" t="n"/>
      <c r="S813" s="143" t="n"/>
      <c r="T813" s="143" t="n"/>
      <c r="U813" s="143" t="n"/>
      <c r="V813" s="143" t="n"/>
      <c r="W813" s="143" t="n"/>
      <c r="X813" s="143" t="n"/>
      <c r="Y813" s="143" t="n"/>
      <c r="Z813" s="143" t="n"/>
    </row>
    <row r="814" ht="19.5" customHeight="1" s="398">
      <c r="A814" s="149" t="n"/>
      <c r="B814" s="143" t="n"/>
      <c r="C814" s="143" t="n"/>
      <c r="D814" s="143" t="n"/>
      <c r="E814" s="143" t="n"/>
      <c r="F814" s="143" t="n"/>
      <c r="G814" s="143" t="n"/>
      <c r="H814" s="143" t="n"/>
      <c r="I814" s="143" t="n"/>
      <c r="J814" s="143" t="n"/>
      <c r="K814" s="143" t="n"/>
      <c r="L814" s="143" t="n"/>
      <c r="M814" s="143" t="n"/>
      <c r="N814" s="143" t="n"/>
      <c r="O814" s="143" t="n"/>
      <c r="P814" s="143" t="n"/>
      <c r="Q814" s="143" t="n"/>
      <c r="R814" s="143" t="n"/>
      <c r="S814" s="143" t="n"/>
      <c r="T814" s="143" t="n"/>
      <c r="U814" s="143" t="n"/>
      <c r="V814" s="143" t="n"/>
      <c r="W814" s="143" t="n"/>
      <c r="X814" s="143" t="n"/>
      <c r="Y814" s="143" t="n"/>
      <c r="Z814" s="143" t="n"/>
    </row>
    <row r="815" ht="19.5" customHeight="1" s="398">
      <c r="A815" s="149" t="n"/>
      <c r="B815" s="143" t="n"/>
      <c r="C815" s="143" t="n"/>
      <c r="D815" s="143" t="n"/>
      <c r="E815" s="143" t="n"/>
      <c r="F815" s="143" t="n"/>
      <c r="G815" s="143" t="n"/>
      <c r="H815" s="143" t="n"/>
      <c r="I815" s="143" t="n"/>
      <c r="J815" s="143" t="n"/>
      <c r="K815" s="143" t="n"/>
      <c r="L815" s="143" t="n"/>
      <c r="M815" s="143" t="n"/>
      <c r="N815" s="143" t="n"/>
      <c r="O815" s="143" t="n"/>
      <c r="P815" s="143" t="n"/>
      <c r="Q815" s="143" t="n"/>
      <c r="R815" s="143" t="n"/>
      <c r="S815" s="143" t="n"/>
      <c r="T815" s="143" t="n"/>
      <c r="U815" s="143" t="n"/>
      <c r="V815" s="143" t="n"/>
      <c r="W815" s="143" t="n"/>
      <c r="X815" s="143" t="n"/>
      <c r="Y815" s="143" t="n"/>
      <c r="Z815" s="143" t="n"/>
    </row>
    <row r="816" ht="19.5" customHeight="1" s="398">
      <c r="A816" s="149" t="n"/>
      <c r="B816" s="143" t="n"/>
      <c r="C816" s="143" t="n"/>
      <c r="D816" s="143" t="n"/>
      <c r="E816" s="143" t="n"/>
      <c r="F816" s="143" t="n"/>
      <c r="G816" s="143" t="n"/>
      <c r="H816" s="143" t="n"/>
      <c r="I816" s="143" t="n"/>
      <c r="J816" s="143" t="n"/>
      <c r="K816" s="143" t="n"/>
      <c r="L816" s="143" t="n"/>
      <c r="M816" s="143" t="n"/>
      <c r="N816" s="143" t="n"/>
      <c r="O816" s="143" t="n"/>
      <c r="P816" s="143" t="n"/>
      <c r="Q816" s="143" t="n"/>
      <c r="R816" s="143" t="n"/>
      <c r="S816" s="143" t="n"/>
      <c r="T816" s="143" t="n"/>
      <c r="U816" s="143" t="n"/>
      <c r="V816" s="143" t="n"/>
      <c r="W816" s="143" t="n"/>
      <c r="X816" s="143" t="n"/>
      <c r="Y816" s="143" t="n"/>
      <c r="Z816" s="143" t="n"/>
    </row>
    <row r="817" ht="19.5" customHeight="1" s="398">
      <c r="A817" s="149" t="n"/>
      <c r="B817" s="143" t="n"/>
      <c r="C817" s="143" t="n"/>
      <c r="D817" s="143" t="n"/>
      <c r="E817" s="143" t="n"/>
      <c r="F817" s="143" t="n"/>
      <c r="G817" s="143" t="n"/>
      <c r="H817" s="143" t="n"/>
      <c r="I817" s="143" t="n"/>
      <c r="J817" s="143" t="n"/>
      <c r="K817" s="143" t="n"/>
      <c r="L817" s="143" t="n"/>
      <c r="M817" s="143" t="n"/>
      <c r="N817" s="143" t="n"/>
      <c r="O817" s="143" t="n"/>
      <c r="P817" s="143" t="n"/>
      <c r="Q817" s="143" t="n"/>
      <c r="R817" s="143" t="n"/>
      <c r="S817" s="143" t="n"/>
      <c r="T817" s="143" t="n"/>
      <c r="U817" s="143" t="n"/>
      <c r="V817" s="143" t="n"/>
      <c r="W817" s="143" t="n"/>
      <c r="X817" s="143" t="n"/>
      <c r="Y817" s="143" t="n"/>
      <c r="Z817" s="143" t="n"/>
    </row>
    <row r="818" ht="19.5" customHeight="1" s="398">
      <c r="A818" s="149" t="n"/>
      <c r="B818" s="143" t="n"/>
      <c r="C818" s="143" t="n"/>
      <c r="D818" s="143" t="n"/>
      <c r="E818" s="143" t="n"/>
      <c r="F818" s="143" t="n"/>
      <c r="G818" s="143" t="n"/>
      <c r="H818" s="143" t="n"/>
      <c r="I818" s="143" t="n"/>
      <c r="J818" s="143" t="n"/>
      <c r="K818" s="143" t="n"/>
      <c r="L818" s="143" t="n"/>
      <c r="M818" s="143" t="n"/>
      <c r="N818" s="143" t="n"/>
      <c r="O818" s="143" t="n"/>
      <c r="P818" s="143" t="n"/>
      <c r="Q818" s="143" t="n"/>
      <c r="R818" s="143" t="n"/>
      <c r="S818" s="143" t="n"/>
      <c r="T818" s="143" t="n"/>
      <c r="U818" s="143" t="n"/>
      <c r="V818" s="143" t="n"/>
      <c r="W818" s="143" t="n"/>
      <c r="X818" s="143" t="n"/>
      <c r="Y818" s="143" t="n"/>
      <c r="Z818" s="143" t="n"/>
    </row>
    <row r="819" ht="19.5" customHeight="1" s="398">
      <c r="A819" s="149" t="n"/>
      <c r="B819" s="143" t="n"/>
      <c r="C819" s="143" t="n"/>
      <c r="D819" s="143" t="n"/>
      <c r="E819" s="143" t="n"/>
      <c r="F819" s="143" t="n"/>
      <c r="G819" s="143" t="n"/>
      <c r="H819" s="143" t="n"/>
      <c r="I819" s="143" t="n"/>
      <c r="J819" s="143" t="n"/>
      <c r="K819" s="143" t="n"/>
      <c r="L819" s="143" t="n"/>
      <c r="M819" s="143" t="n"/>
      <c r="N819" s="143" t="n"/>
      <c r="O819" s="143" t="n"/>
      <c r="P819" s="143" t="n"/>
      <c r="Q819" s="143" t="n"/>
      <c r="R819" s="143" t="n"/>
      <c r="S819" s="143" t="n"/>
      <c r="T819" s="143" t="n"/>
      <c r="U819" s="143" t="n"/>
      <c r="V819" s="143" t="n"/>
      <c r="W819" s="143" t="n"/>
      <c r="X819" s="143" t="n"/>
      <c r="Y819" s="143" t="n"/>
      <c r="Z819" s="143" t="n"/>
    </row>
    <row r="820" ht="19.5" customHeight="1" s="398">
      <c r="A820" s="149" t="n"/>
      <c r="B820" s="143" t="n"/>
      <c r="C820" s="143" t="n"/>
      <c r="D820" s="143" t="n"/>
      <c r="E820" s="143" t="n"/>
      <c r="F820" s="143" t="n"/>
      <c r="G820" s="143" t="n"/>
      <c r="H820" s="143" t="n"/>
      <c r="I820" s="143" t="n"/>
      <c r="J820" s="143" t="n"/>
      <c r="K820" s="143" t="n"/>
      <c r="L820" s="143" t="n"/>
      <c r="M820" s="143" t="n"/>
      <c r="N820" s="143" t="n"/>
      <c r="O820" s="143" t="n"/>
      <c r="P820" s="143" t="n"/>
      <c r="Q820" s="143" t="n"/>
      <c r="R820" s="143" t="n"/>
      <c r="S820" s="143" t="n"/>
      <c r="T820" s="143" t="n"/>
      <c r="U820" s="143" t="n"/>
      <c r="V820" s="143" t="n"/>
      <c r="W820" s="143" t="n"/>
      <c r="X820" s="143" t="n"/>
      <c r="Y820" s="143" t="n"/>
      <c r="Z820" s="143" t="n"/>
    </row>
    <row r="821" ht="19.5" customHeight="1" s="398">
      <c r="A821" s="149" t="n"/>
      <c r="B821" s="143" t="n"/>
      <c r="C821" s="143" t="n"/>
      <c r="D821" s="143" t="n"/>
      <c r="E821" s="143" t="n"/>
      <c r="F821" s="143" t="n"/>
      <c r="G821" s="143" t="n"/>
      <c r="H821" s="143" t="n"/>
      <c r="I821" s="143" t="n"/>
      <c r="J821" s="143" t="n"/>
      <c r="K821" s="143" t="n"/>
      <c r="L821" s="143" t="n"/>
      <c r="M821" s="143" t="n"/>
      <c r="N821" s="143" t="n"/>
      <c r="O821" s="143" t="n"/>
      <c r="P821" s="143" t="n"/>
      <c r="Q821" s="143" t="n"/>
      <c r="R821" s="143" t="n"/>
      <c r="S821" s="143" t="n"/>
      <c r="T821" s="143" t="n"/>
      <c r="U821" s="143" t="n"/>
      <c r="V821" s="143" t="n"/>
      <c r="W821" s="143" t="n"/>
      <c r="X821" s="143" t="n"/>
      <c r="Y821" s="143" t="n"/>
      <c r="Z821" s="143" t="n"/>
    </row>
    <row r="822" ht="19.5" customHeight="1" s="398">
      <c r="A822" s="149" t="n"/>
      <c r="B822" s="143" t="n"/>
      <c r="C822" s="143" t="n"/>
      <c r="D822" s="143" t="n"/>
      <c r="E822" s="143" t="n"/>
      <c r="F822" s="143" t="n"/>
      <c r="G822" s="143" t="n"/>
      <c r="H822" s="143" t="n"/>
      <c r="I822" s="143" t="n"/>
      <c r="J822" s="143" t="n"/>
      <c r="K822" s="143" t="n"/>
      <c r="L822" s="143" t="n"/>
      <c r="M822" s="143" t="n"/>
      <c r="N822" s="143" t="n"/>
      <c r="O822" s="143" t="n"/>
      <c r="P822" s="143" t="n"/>
      <c r="Q822" s="143" t="n"/>
      <c r="R822" s="143" t="n"/>
      <c r="S822" s="143" t="n"/>
      <c r="T822" s="143" t="n"/>
      <c r="U822" s="143" t="n"/>
      <c r="V822" s="143" t="n"/>
      <c r="W822" s="143" t="n"/>
      <c r="X822" s="143" t="n"/>
      <c r="Y822" s="143" t="n"/>
      <c r="Z822" s="143" t="n"/>
    </row>
    <row r="823" ht="19.5" customHeight="1" s="398">
      <c r="A823" s="149" t="n"/>
      <c r="B823" s="143" t="n"/>
      <c r="C823" s="143" t="n"/>
      <c r="D823" s="143" t="n"/>
      <c r="E823" s="143" t="n"/>
      <c r="F823" s="143" t="n"/>
      <c r="G823" s="143" t="n"/>
      <c r="H823" s="143" t="n"/>
      <c r="I823" s="143" t="n"/>
      <c r="J823" s="143" t="n"/>
      <c r="K823" s="143" t="n"/>
      <c r="L823" s="143" t="n"/>
      <c r="M823" s="143" t="n"/>
      <c r="N823" s="143" t="n"/>
      <c r="O823" s="143" t="n"/>
      <c r="P823" s="143" t="n"/>
      <c r="Q823" s="143" t="n"/>
      <c r="R823" s="143" t="n"/>
      <c r="S823" s="143" t="n"/>
      <c r="T823" s="143" t="n"/>
      <c r="U823" s="143" t="n"/>
      <c r="V823" s="143" t="n"/>
      <c r="W823" s="143" t="n"/>
      <c r="X823" s="143" t="n"/>
      <c r="Y823" s="143" t="n"/>
      <c r="Z823" s="143" t="n"/>
    </row>
    <row r="824" ht="19.5" customHeight="1" s="398">
      <c r="A824" s="149" t="n"/>
      <c r="B824" s="143" t="n"/>
      <c r="C824" s="143" t="n"/>
      <c r="D824" s="143" t="n"/>
      <c r="E824" s="143" t="n"/>
      <c r="F824" s="143" t="n"/>
      <c r="G824" s="143" t="n"/>
      <c r="H824" s="143" t="n"/>
      <c r="I824" s="143" t="n"/>
      <c r="J824" s="143" t="n"/>
      <c r="K824" s="143" t="n"/>
      <c r="L824" s="143" t="n"/>
      <c r="M824" s="143" t="n"/>
      <c r="N824" s="143" t="n"/>
      <c r="O824" s="143" t="n"/>
      <c r="P824" s="143" t="n"/>
      <c r="Q824" s="143" t="n"/>
      <c r="R824" s="143" t="n"/>
      <c r="S824" s="143" t="n"/>
      <c r="T824" s="143" t="n"/>
      <c r="U824" s="143" t="n"/>
      <c r="V824" s="143" t="n"/>
      <c r="W824" s="143" t="n"/>
      <c r="X824" s="143" t="n"/>
      <c r="Y824" s="143" t="n"/>
      <c r="Z824" s="143" t="n"/>
    </row>
    <row r="825" ht="19.5" customHeight="1" s="398">
      <c r="A825" s="149" t="n"/>
      <c r="B825" s="143" t="n"/>
      <c r="C825" s="143" t="n"/>
      <c r="D825" s="143" t="n"/>
      <c r="E825" s="143" t="n"/>
      <c r="F825" s="143" t="n"/>
      <c r="G825" s="143" t="n"/>
      <c r="H825" s="143" t="n"/>
      <c r="I825" s="143" t="n"/>
      <c r="J825" s="143" t="n"/>
      <c r="K825" s="143" t="n"/>
      <c r="L825" s="143" t="n"/>
      <c r="M825" s="143" t="n"/>
      <c r="N825" s="143" t="n"/>
      <c r="O825" s="143" t="n"/>
      <c r="P825" s="143" t="n"/>
      <c r="Q825" s="143" t="n"/>
      <c r="R825" s="143" t="n"/>
      <c r="S825" s="143" t="n"/>
      <c r="T825" s="143" t="n"/>
      <c r="U825" s="143" t="n"/>
      <c r="V825" s="143" t="n"/>
      <c r="W825" s="143" t="n"/>
      <c r="X825" s="143" t="n"/>
      <c r="Y825" s="143" t="n"/>
      <c r="Z825" s="143" t="n"/>
    </row>
    <row r="826" ht="19.5" customHeight="1" s="398">
      <c r="A826" s="149" t="n"/>
      <c r="B826" s="143" t="n"/>
      <c r="C826" s="143" t="n"/>
      <c r="D826" s="143" t="n"/>
      <c r="E826" s="143" t="n"/>
      <c r="F826" s="143" t="n"/>
      <c r="G826" s="143" t="n"/>
      <c r="H826" s="143" t="n"/>
      <c r="I826" s="143" t="n"/>
      <c r="J826" s="143" t="n"/>
      <c r="K826" s="143" t="n"/>
      <c r="L826" s="143" t="n"/>
      <c r="M826" s="143" t="n"/>
      <c r="N826" s="143" t="n"/>
      <c r="O826" s="143" t="n"/>
      <c r="P826" s="143" t="n"/>
      <c r="Q826" s="143" t="n"/>
      <c r="R826" s="143" t="n"/>
      <c r="S826" s="143" t="n"/>
      <c r="T826" s="143" t="n"/>
      <c r="U826" s="143" t="n"/>
      <c r="V826" s="143" t="n"/>
      <c r="W826" s="143" t="n"/>
      <c r="X826" s="143" t="n"/>
      <c r="Y826" s="143" t="n"/>
      <c r="Z826" s="143" t="n"/>
    </row>
    <row r="827" ht="19.5" customHeight="1" s="398">
      <c r="A827" s="149" t="n"/>
      <c r="B827" s="143" t="n"/>
      <c r="C827" s="143" t="n"/>
      <c r="D827" s="143" t="n"/>
      <c r="E827" s="143" t="n"/>
      <c r="F827" s="143" t="n"/>
      <c r="G827" s="143" t="n"/>
      <c r="H827" s="143" t="n"/>
      <c r="I827" s="143" t="n"/>
      <c r="J827" s="143" t="n"/>
      <c r="K827" s="143" t="n"/>
      <c r="L827" s="143" t="n"/>
      <c r="M827" s="143" t="n"/>
      <c r="N827" s="143" t="n"/>
      <c r="O827" s="143" t="n"/>
      <c r="P827" s="143" t="n"/>
      <c r="Q827" s="143" t="n"/>
      <c r="R827" s="143" t="n"/>
      <c r="S827" s="143" t="n"/>
      <c r="T827" s="143" t="n"/>
      <c r="U827" s="143" t="n"/>
      <c r="V827" s="143" t="n"/>
      <c r="W827" s="143" t="n"/>
      <c r="X827" s="143" t="n"/>
      <c r="Y827" s="143" t="n"/>
      <c r="Z827" s="143" t="n"/>
    </row>
    <row r="828" ht="19.5" customHeight="1" s="398">
      <c r="A828" s="149" t="n"/>
      <c r="B828" s="143" t="n"/>
      <c r="C828" s="143" t="n"/>
      <c r="D828" s="143" t="n"/>
      <c r="E828" s="143" t="n"/>
      <c r="F828" s="143" t="n"/>
      <c r="G828" s="143" t="n"/>
      <c r="H828" s="143" t="n"/>
      <c r="I828" s="143" t="n"/>
      <c r="J828" s="143" t="n"/>
      <c r="K828" s="143" t="n"/>
      <c r="L828" s="143" t="n"/>
      <c r="M828" s="143" t="n"/>
      <c r="N828" s="143" t="n"/>
      <c r="O828" s="143" t="n"/>
      <c r="P828" s="143" t="n"/>
      <c r="Q828" s="143" t="n"/>
      <c r="R828" s="143" t="n"/>
      <c r="S828" s="143" t="n"/>
      <c r="T828" s="143" t="n"/>
      <c r="U828" s="143" t="n"/>
      <c r="V828" s="143" t="n"/>
      <c r="W828" s="143" t="n"/>
      <c r="X828" s="143" t="n"/>
      <c r="Y828" s="143" t="n"/>
      <c r="Z828" s="143" t="n"/>
    </row>
    <row r="829" ht="19.5" customHeight="1" s="398">
      <c r="A829" s="149" t="n"/>
      <c r="B829" s="143" t="n"/>
      <c r="C829" s="143" t="n"/>
      <c r="D829" s="143" t="n"/>
      <c r="E829" s="143" t="n"/>
      <c r="F829" s="143" t="n"/>
      <c r="G829" s="143" t="n"/>
      <c r="H829" s="143" t="n"/>
      <c r="I829" s="143" t="n"/>
      <c r="J829" s="143" t="n"/>
      <c r="K829" s="143" t="n"/>
      <c r="L829" s="143" t="n"/>
      <c r="M829" s="143" t="n"/>
      <c r="N829" s="143" t="n"/>
      <c r="O829" s="143" t="n"/>
      <c r="P829" s="143" t="n"/>
      <c r="Q829" s="143" t="n"/>
      <c r="R829" s="143" t="n"/>
      <c r="S829" s="143" t="n"/>
      <c r="T829" s="143" t="n"/>
      <c r="U829" s="143" t="n"/>
      <c r="V829" s="143" t="n"/>
      <c r="W829" s="143" t="n"/>
      <c r="X829" s="143" t="n"/>
      <c r="Y829" s="143" t="n"/>
      <c r="Z829" s="143" t="n"/>
    </row>
    <row r="830" ht="19.5" customHeight="1" s="398">
      <c r="A830" s="149" t="n"/>
      <c r="B830" s="143" t="n"/>
      <c r="C830" s="143" t="n"/>
      <c r="D830" s="143" t="n"/>
      <c r="E830" s="143" t="n"/>
      <c r="F830" s="143" t="n"/>
      <c r="G830" s="143" t="n"/>
      <c r="H830" s="143" t="n"/>
      <c r="I830" s="143" t="n"/>
      <c r="J830" s="143" t="n"/>
      <c r="K830" s="143" t="n"/>
      <c r="L830" s="143" t="n"/>
      <c r="M830" s="143" t="n"/>
      <c r="N830" s="143" t="n"/>
      <c r="O830" s="143" t="n"/>
      <c r="P830" s="143" t="n"/>
      <c r="Q830" s="143" t="n"/>
      <c r="R830" s="143" t="n"/>
      <c r="S830" s="143" t="n"/>
      <c r="T830" s="143" t="n"/>
      <c r="U830" s="143" t="n"/>
      <c r="V830" s="143" t="n"/>
      <c r="W830" s="143" t="n"/>
      <c r="X830" s="143" t="n"/>
      <c r="Y830" s="143" t="n"/>
      <c r="Z830" s="143" t="n"/>
    </row>
    <row r="831" ht="19.5" customHeight="1" s="398">
      <c r="A831" s="149" t="n"/>
      <c r="B831" s="143" t="n"/>
      <c r="C831" s="143" t="n"/>
      <c r="D831" s="143" t="n"/>
      <c r="E831" s="143" t="n"/>
      <c r="F831" s="143" t="n"/>
      <c r="G831" s="143" t="n"/>
      <c r="H831" s="143" t="n"/>
      <c r="I831" s="143" t="n"/>
      <c r="J831" s="143" t="n"/>
      <c r="K831" s="143" t="n"/>
      <c r="L831" s="143" t="n"/>
      <c r="M831" s="143" t="n"/>
      <c r="N831" s="143" t="n"/>
      <c r="O831" s="143" t="n"/>
      <c r="P831" s="143" t="n"/>
      <c r="Q831" s="143" t="n"/>
      <c r="R831" s="143" t="n"/>
      <c r="S831" s="143" t="n"/>
      <c r="T831" s="143" t="n"/>
      <c r="U831" s="143" t="n"/>
      <c r="V831" s="143" t="n"/>
      <c r="W831" s="143" t="n"/>
      <c r="X831" s="143" t="n"/>
      <c r="Y831" s="143" t="n"/>
      <c r="Z831" s="143" t="n"/>
    </row>
    <row r="832" ht="19.5" customHeight="1" s="398">
      <c r="A832" s="149" t="n"/>
      <c r="B832" s="143" t="n"/>
      <c r="C832" s="143" t="n"/>
      <c r="D832" s="143" t="n"/>
      <c r="E832" s="143" t="n"/>
      <c r="F832" s="143" t="n"/>
      <c r="G832" s="143" t="n"/>
      <c r="H832" s="143" t="n"/>
      <c r="I832" s="143" t="n"/>
      <c r="J832" s="143" t="n"/>
      <c r="K832" s="143" t="n"/>
      <c r="L832" s="143" t="n"/>
      <c r="M832" s="143" t="n"/>
      <c r="N832" s="143" t="n"/>
      <c r="O832" s="143" t="n"/>
      <c r="P832" s="143" t="n"/>
      <c r="Q832" s="143" t="n"/>
      <c r="R832" s="143" t="n"/>
      <c r="S832" s="143" t="n"/>
      <c r="T832" s="143" t="n"/>
      <c r="U832" s="143" t="n"/>
      <c r="V832" s="143" t="n"/>
      <c r="W832" s="143" t="n"/>
      <c r="X832" s="143" t="n"/>
      <c r="Y832" s="143" t="n"/>
      <c r="Z832" s="143" t="n"/>
    </row>
    <row r="833" ht="19.5" customHeight="1" s="398">
      <c r="A833" s="149" t="n"/>
      <c r="B833" s="143" t="n"/>
      <c r="C833" s="143" t="n"/>
      <c r="D833" s="143" t="n"/>
      <c r="E833" s="143" t="n"/>
      <c r="F833" s="143" t="n"/>
      <c r="G833" s="143" t="n"/>
      <c r="H833" s="143" t="n"/>
      <c r="I833" s="143" t="n"/>
      <c r="J833" s="143" t="n"/>
      <c r="K833" s="143" t="n"/>
      <c r="L833" s="143" t="n"/>
      <c r="M833" s="143" t="n"/>
      <c r="N833" s="143" t="n"/>
      <c r="O833" s="143" t="n"/>
      <c r="P833" s="143" t="n"/>
      <c r="Q833" s="143" t="n"/>
      <c r="R833" s="143" t="n"/>
      <c r="S833" s="143" t="n"/>
      <c r="T833" s="143" t="n"/>
      <c r="U833" s="143" t="n"/>
      <c r="V833" s="143" t="n"/>
      <c r="W833" s="143" t="n"/>
      <c r="X833" s="143" t="n"/>
      <c r="Y833" s="143" t="n"/>
      <c r="Z833" s="143" t="n"/>
    </row>
    <row r="834" ht="19.5" customHeight="1" s="398">
      <c r="A834" s="149" t="n"/>
      <c r="B834" s="143" t="n"/>
      <c r="C834" s="143" t="n"/>
      <c r="D834" s="143" t="n"/>
      <c r="E834" s="143" t="n"/>
      <c r="F834" s="143" t="n"/>
      <c r="G834" s="143" t="n"/>
      <c r="H834" s="143" t="n"/>
      <c r="I834" s="143" t="n"/>
      <c r="J834" s="143" t="n"/>
      <c r="K834" s="143" t="n"/>
      <c r="L834" s="143" t="n"/>
      <c r="M834" s="143" t="n"/>
      <c r="N834" s="143" t="n"/>
      <c r="O834" s="143" t="n"/>
      <c r="P834" s="143" t="n"/>
      <c r="Q834" s="143" t="n"/>
      <c r="R834" s="143" t="n"/>
      <c r="S834" s="143" t="n"/>
      <c r="T834" s="143" t="n"/>
      <c r="U834" s="143" t="n"/>
      <c r="V834" s="143" t="n"/>
      <c r="W834" s="143" t="n"/>
      <c r="X834" s="143" t="n"/>
      <c r="Y834" s="143" t="n"/>
      <c r="Z834" s="143" t="n"/>
    </row>
    <row r="835" ht="19.5" customHeight="1" s="398">
      <c r="A835" s="149" t="n"/>
      <c r="B835" s="143" t="n"/>
      <c r="C835" s="143" t="n"/>
      <c r="D835" s="143" t="n"/>
      <c r="E835" s="143" t="n"/>
      <c r="F835" s="143" t="n"/>
      <c r="G835" s="143" t="n"/>
      <c r="H835" s="143" t="n"/>
      <c r="I835" s="143" t="n"/>
      <c r="J835" s="143" t="n"/>
      <c r="K835" s="143" t="n"/>
      <c r="L835" s="143" t="n"/>
      <c r="M835" s="143" t="n"/>
      <c r="N835" s="143" t="n"/>
      <c r="O835" s="143" t="n"/>
      <c r="P835" s="143" t="n"/>
      <c r="Q835" s="143" t="n"/>
      <c r="R835" s="143" t="n"/>
      <c r="S835" s="143" t="n"/>
      <c r="T835" s="143" t="n"/>
      <c r="U835" s="143" t="n"/>
      <c r="V835" s="143" t="n"/>
      <c r="W835" s="143" t="n"/>
      <c r="X835" s="143" t="n"/>
      <c r="Y835" s="143" t="n"/>
      <c r="Z835" s="143" t="n"/>
    </row>
    <row r="836" ht="19.5" customHeight="1" s="398">
      <c r="A836" s="149" t="n"/>
      <c r="B836" s="143" t="n"/>
      <c r="C836" s="143" t="n"/>
      <c r="D836" s="143" t="n"/>
      <c r="E836" s="143" t="n"/>
      <c r="F836" s="143" t="n"/>
      <c r="G836" s="143" t="n"/>
      <c r="H836" s="143" t="n"/>
      <c r="I836" s="143" t="n"/>
      <c r="J836" s="143" t="n"/>
      <c r="K836" s="143" t="n"/>
      <c r="L836" s="143" t="n"/>
      <c r="M836" s="143" t="n"/>
      <c r="N836" s="143" t="n"/>
      <c r="O836" s="143" t="n"/>
      <c r="P836" s="143" t="n"/>
      <c r="Q836" s="143" t="n"/>
      <c r="R836" s="143" t="n"/>
      <c r="S836" s="143" t="n"/>
      <c r="T836" s="143" t="n"/>
      <c r="U836" s="143" t="n"/>
      <c r="V836" s="143" t="n"/>
      <c r="W836" s="143" t="n"/>
      <c r="X836" s="143" t="n"/>
      <c r="Y836" s="143" t="n"/>
      <c r="Z836" s="143" t="n"/>
    </row>
    <row r="837" ht="19.5" customHeight="1" s="398">
      <c r="A837" s="149" t="n"/>
      <c r="B837" s="143" t="n"/>
      <c r="C837" s="143" t="n"/>
      <c r="D837" s="143" t="n"/>
      <c r="E837" s="143" t="n"/>
      <c r="F837" s="143" t="n"/>
      <c r="G837" s="143" t="n"/>
      <c r="H837" s="143" t="n"/>
      <c r="I837" s="143" t="n"/>
      <c r="J837" s="143" t="n"/>
      <c r="K837" s="143" t="n"/>
      <c r="L837" s="143" t="n"/>
      <c r="M837" s="143" t="n"/>
      <c r="N837" s="143" t="n"/>
      <c r="O837" s="143" t="n"/>
      <c r="P837" s="143" t="n"/>
      <c r="Q837" s="143" t="n"/>
      <c r="R837" s="143" t="n"/>
      <c r="S837" s="143" t="n"/>
      <c r="T837" s="143" t="n"/>
      <c r="U837" s="143" t="n"/>
      <c r="V837" s="143" t="n"/>
      <c r="W837" s="143" t="n"/>
      <c r="X837" s="143" t="n"/>
      <c r="Y837" s="143" t="n"/>
      <c r="Z837" s="143" t="n"/>
    </row>
    <row r="838" ht="19.5" customHeight="1" s="398">
      <c r="A838" s="149" t="n"/>
      <c r="B838" s="143" t="n"/>
      <c r="C838" s="143" t="n"/>
      <c r="D838" s="143" t="n"/>
      <c r="E838" s="143" t="n"/>
      <c r="F838" s="143" t="n"/>
      <c r="G838" s="143" t="n"/>
      <c r="H838" s="143" t="n"/>
      <c r="I838" s="143" t="n"/>
      <c r="J838" s="143" t="n"/>
      <c r="K838" s="143" t="n"/>
      <c r="L838" s="143" t="n"/>
      <c r="M838" s="143" t="n"/>
      <c r="N838" s="143" t="n"/>
      <c r="O838" s="143" t="n"/>
      <c r="P838" s="143" t="n"/>
      <c r="Q838" s="143" t="n"/>
      <c r="R838" s="143" t="n"/>
      <c r="S838" s="143" t="n"/>
      <c r="T838" s="143" t="n"/>
      <c r="U838" s="143" t="n"/>
      <c r="V838" s="143" t="n"/>
      <c r="W838" s="143" t="n"/>
      <c r="X838" s="143" t="n"/>
      <c r="Y838" s="143" t="n"/>
      <c r="Z838" s="143" t="n"/>
    </row>
    <row r="839" ht="19.5" customHeight="1" s="398">
      <c r="A839" s="149" t="n"/>
      <c r="B839" s="143" t="n"/>
      <c r="C839" s="143" t="n"/>
      <c r="D839" s="143" t="n"/>
      <c r="E839" s="143" t="n"/>
      <c r="F839" s="143" t="n"/>
      <c r="G839" s="143" t="n"/>
      <c r="H839" s="143" t="n"/>
      <c r="I839" s="143" t="n"/>
      <c r="J839" s="143" t="n"/>
      <c r="K839" s="143" t="n"/>
      <c r="L839" s="143" t="n"/>
      <c r="M839" s="143" t="n"/>
      <c r="N839" s="143" t="n"/>
      <c r="O839" s="143" t="n"/>
      <c r="P839" s="143" t="n"/>
      <c r="Q839" s="143" t="n"/>
      <c r="R839" s="143" t="n"/>
      <c r="S839" s="143" t="n"/>
      <c r="T839" s="143" t="n"/>
      <c r="U839" s="143" t="n"/>
      <c r="V839" s="143" t="n"/>
      <c r="W839" s="143" t="n"/>
      <c r="X839" s="143" t="n"/>
      <c r="Y839" s="143" t="n"/>
      <c r="Z839" s="143" t="n"/>
    </row>
    <row r="840" ht="19.5" customHeight="1" s="398">
      <c r="A840" s="149" t="n"/>
      <c r="B840" s="143" t="n"/>
      <c r="C840" s="143" t="n"/>
      <c r="D840" s="143" t="n"/>
      <c r="E840" s="143" t="n"/>
      <c r="F840" s="143" t="n"/>
      <c r="G840" s="143" t="n"/>
      <c r="H840" s="143" t="n"/>
      <c r="I840" s="143" t="n"/>
      <c r="J840" s="143" t="n"/>
      <c r="K840" s="143" t="n"/>
      <c r="L840" s="143" t="n"/>
      <c r="M840" s="143" t="n"/>
      <c r="N840" s="143" t="n"/>
      <c r="O840" s="143" t="n"/>
      <c r="P840" s="143" t="n"/>
      <c r="Q840" s="143" t="n"/>
      <c r="R840" s="143" t="n"/>
      <c r="S840" s="143" t="n"/>
      <c r="T840" s="143" t="n"/>
      <c r="U840" s="143" t="n"/>
      <c r="V840" s="143" t="n"/>
      <c r="W840" s="143" t="n"/>
      <c r="X840" s="143" t="n"/>
      <c r="Y840" s="143" t="n"/>
      <c r="Z840" s="143" t="n"/>
    </row>
    <row r="841" ht="19.5" customHeight="1" s="398">
      <c r="A841" s="149" t="n"/>
      <c r="B841" s="143" t="n"/>
      <c r="C841" s="143" t="n"/>
      <c r="D841" s="143" t="n"/>
      <c r="E841" s="143" t="n"/>
      <c r="F841" s="143" t="n"/>
      <c r="G841" s="143" t="n"/>
      <c r="H841" s="143" t="n"/>
      <c r="I841" s="143" t="n"/>
      <c r="J841" s="143" t="n"/>
      <c r="K841" s="143" t="n"/>
      <c r="L841" s="143" t="n"/>
      <c r="M841" s="143" t="n"/>
      <c r="N841" s="143" t="n"/>
      <c r="O841" s="143" t="n"/>
      <c r="P841" s="143" t="n"/>
      <c r="Q841" s="143" t="n"/>
      <c r="R841" s="143" t="n"/>
      <c r="S841" s="143" t="n"/>
      <c r="T841" s="143" t="n"/>
      <c r="U841" s="143" t="n"/>
      <c r="V841" s="143" t="n"/>
      <c r="W841" s="143" t="n"/>
      <c r="X841" s="143" t="n"/>
      <c r="Y841" s="143" t="n"/>
      <c r="Z841" s="143" t="n"/>
    </row>
    <row r="842" ht="19.5" customHeight="1" s="398">
      <c r="A842" s="149" t="n"/>
      <c r="B842" s="143" t="n"/>
      <c r="C842" s="143" t="n"/>
      <c r="D842" s="143" t="n"/>
      <c r="E842" s="143" t="n"/>
      <c r="F842" s="143" t="n"/>
      <c r="G842" s="143" t="n"/>
      <c r="H842" s="143" t="n"/>
      <c r="I842" s="143" t="n"/>
      <c r="J842" s="143" t="n"/>
      <c r="K842" s="143" t="n"/>
      <c r="L842" s="143" t="n"/>
      <c r="M842" s="143" t="n"/>
      <c r="N842" s="143" t="n"/>
      <c r="O842" s="143" t="n"/>
      <c r="P842" s="143" t="n"/>
      <c r="Q842" s="143" t="n"/>
      <c r="R842" s="143" t="n"/>
      <c r="S842" s="143" t="n"/>
      <c r="T842" s="143" t="n"/>
      <c r="U842" s="143" t="n"/>
      <c r="V842" s="143" t="n"/>
      <c r="W842" s="143" t="n"/>
      <c r="X842" s="143" t="n"/>
      <c r="Y842" s="143" t="n"/>
      <c r="Z842" s="143" t="n"/>
    </row>
    <row r="843" ht="19.5" customHeight="1" s="398">
      <c r="A843" s="149" t="n"/>
      <c r="B843" s="143" t="n"/>
      <c r="C843" s="143" t="n"/>
      <c r="D843" s="143" t="n"/>
      <c r="E843" s="143" t="n"/>
      <c r="F843" s="143" t="n"/>
      <c r="G843" s="143" t="n"/>
      <c r="H843" s="143" t="n"/>
      <c r="I843" s="143" t="n"/>
      <c r="J843" s="143" t="n"/>
      <c r="K843" s="143" t="n"/>
      <c r="L843" s="143" t="n"/>
      <c r="M843" s="143" t="n"/>
      <c r="N843" s="143" t="n"/>
      <c r="O843" s="143" t="n"/>
      <c r="P843" s="143" t="n"/>
      <c r="Q843" s="143" t="n"/>
      <c r="R843" s="143" t="n"/>
      <c r="S843" s="143" t="n"/>
      <c r="T843" s="143" t="n"/>
      <c r="U843" s="143" t="n"/>
      <c r="V843" s="143" t="n"/>
      <c r="W843" s="143" t="n"/>
      <c r="X843" s="143" t="n"/>
      <c r="Y843" s="143" t="n"/>
      <c r="Z843" s="143" t="n"/>
    </row>
    <row r="844" ht="19.5" customHeight="1" s="398">
      <c r="A844" s="149" t="n"/>
      <c r="B844" s="143" t="n"/>
      <c r="C844" s="143" t="n"/>
      <c r="D844" s="143" t="n"/>
      <c r="E844" s="143" t="n"/>
      <c r="F844" s="143" t="n"/>
      <c r="G844" s="143" t="n"/>
      <c r="H844" s="143" t="n"/>
      <c r="I844" s="143" t="n"/>
      <c r="J844" s="143" t="n"/>
      <c r="K844" s="143" t="n"/>
      <c r="L844" s="143" t="n"/>
      <c r="M844" s="143" t="n"/>
      <c r="N844" s="143" t="n"/>
      <c r="O844" s="143" t="n"/>
      <c r="P844" s="143" t="n"/>
      <c r="Q844" s="143" t="n"/>
      <c r="R844" s="143" t="n"/>
      <c r="S844" s="143" t="n"/>
      <c r="T844" s="143" t="n"/>
      <c r="U844" s="143" t="n"/>
      <c r="V844" s="143" t="n"/>
      <c r="W844" s="143" t="n"/>
      <c r="X844" s="143" t="n"/>
      <c r="Y844" s="143" t="n"/>
      <c r="Z844" s="143" t="n"/>
    </row>
    <row r="845" ht="19.5" customHeight="1" s="398">
      <c r="A845" s="149" t="n"/>
      <c r="B845" s="143" t="n"/>
      <c r="C845" s="143" t="n"/>
      <c r="D845" s="143" t="n"/>
      <c r="E845" s="143" t="n"/>
      <c r="F845" s="143" t="n"/>
      <c r="G845" s="143" t="n"/>
      <c r="H845" s="143" t="n"/>
      <c r="I845" s="143" t="n"/>
      <c r="J845" s="143" t="n"/>
      <c r="K845" s="143" t="n"/>
      <c r="L845" s="143" t="n"/>
      <c r="M845" s="143" t="n"/>
      <c r="N845" s="143" t="n"/>
      <c r="O845" s="143" t="n"/>
      <c r="P845" s="143" t="n"/>
      <c r="Q845" s="143" t="n"/>
      <c r="R845" s="143" t="n"/>
      <c r="S845" s="143" t="n"/>
      <c r="T845" s="143" t="n"/>
      <c r="U845" s="143" t="n"/>
      <c r="V845" s="143" t="n"/>
      <c r="W845" s="143" t="n"/>
      <c r="X845" s="143" t="n"/>
      <c r="Y845" s="143" t="n"/>
      <c r="Z845" s="143" t="n"/>
    </row>
    <row r="846" ht="19.5" customHeight="1" s="398">
      <c r="A846" s="149" t="n"/>
      <c r="B846" s="143" t="n"/>
      <c r="C846" s="143" t="n"/>
      <c r="D846" s="143" t="n"/>
      <c r="E846" s="143" t="n"/>
      <c r="F846" s="143" t="n"/>
      <c r="G846" s="143" t="n"/>
      <c r="H846" s="143" t="n"/>
      <c r="I846" s="143" t="n"/>
      <c r="J846" s="143" t="n"/>
      <c r="K846" s="143" t="n"/>
      <c r="L846" s="143" t="n"/>
      <c r="M846" s="143" t="n"/>
      <c r="N846" s="143" t="n"/>
      <c r="O846" s="143" t="n"/>
      <c r="P846" s="143" t="n"/>
      <c r="Q846" s="143" t="n"/>
      <c r="R846" s="143" t="n"/>
      <c r="S846" s="143" t="n"/>
      <c r="T846" s="143" t="n"/>
      <c r="U846" s="143" t="n"/>
      <c r="V846" s="143" t="n"/>
      <c r="W846" s="143" t="n"/>
      <c r="X846" s="143" t="n"/>
      <c r="Y846" s="143" t="n"/>
      <c r="Z846" s="143" t="n"/>
    </row>
    <row r="847" ht="19.5" customHeight="1" s="398">
      <c r="A847" s="149" t="n"/>
      <c r="B847" s="143" t="n"/>
      <c r="C847" s="143" t="n"/>
      <c r="D847" s="143" t="n"/>
      <c r="E847" s="143" t="n"/>
      <c r="F847" s="143" t="n"/>
      <c r="G847" s="143" t="n"/>
      <c r="H847" s="143" t="n"/>
      <c r="I847" s="143" t="n"/>
      <c r="J847" s="143" t="n"/>
      <c r="K847" s="143" t="n"/>
      <c r="L847" s="143" t="n"/>
      <c r="M847" s="143" t="n"/>
      <c r="N847" s="143" t="n"/>
      <c r="O847" s="143" t="n"/>
      <c r="P847" s="143" t="n"/>
      <c r="Q847" s="143" t="n"/>
      <c r="R847" s="143" t="n"/>
      <c r="S847" s="143" t="n"/>
      <c r="T847" s="143" t="n"/>
      <c r="U847" s="143" t="n"/>
      <c r="V847" s="143" t="n"/>
      <c r="W847" s="143" t="n"/>
      <c r="X847" s="143" t="n"/>
      <c r="Y847" s="143" t="n"/>
      <c r="Z847" s="143" t="n"/>
    </row>
    <row r="848" ht="19.5" customHeight="1" s="398">
      <c r="A848" s="149" t="n"/>
      <c r="B848" s="143" t="n"/>
      <c r="C848" s="143" t="n"/>
      <c r="D848" s="143" t="n"/>
      <c r="E848" s="143" t="n"/>
      <c r="F848" s="143" t="n"/>
      <c r="G848" s="143" t="n"/>
      <c r="H848" s="143" t="n"/>
      <c r="I848" s="143" t="n"/>
      <c r="J848" s="143" t="n"/>
      <c r="K848" s="143" t="n"/>
      <c r="L848" s="143" t="n"/>
      <c r="M848" s="143" t="n"/>
      <c r="N848" s="143" t="n"/>
      <c r="O848" s="143" t="n"/>
      <c r="P848" s="143" t="n"/>
      <c r="Q848" s="143" t="n"/>
      <c r="R848" s="143" t="n"/>
      <c r="S848" s="143" t="n"/>
      <c r="T848" s="143" t="n"/>
      <c r="U848" s="143" t="n"/>
      <c r="V848" s="143" t="n"/>
      <c r="W848" s="143" t="n"/>
      <c r="X848" s="143" t="n"/>
      <c r="Y848" s="143" t="n"/>
      <c r="Z848" s="143" t="n"/>
    </row>
    <row r="849" ht="19.5" customHeight="1" s="398">
      <c r="A849" s="149" t="n"/>
      <c r="B849" s="143" t="n"/>
      <c r="C849" s="143" t="n"/>
      <c r="D849" s="143" t="n"/>
      <c r="E849" s="143" t="n"/>
      <c r="F849" s="143" t="n"/>
      <c r="G849" s="143" t="n"/>
      <c r="H849" s="143" t="n"/>
      <c r="I849" s="143" t="n"/>
      <c r="J849" s="143" t="n"/>
      <c r="K849" s="143" t="n"/>
      <c r="L849" s="143" t="n"/>
      <c r="M849" s="143" t="n"/>
      <c r="N849" s="143" t="n"/>
      <c r="O849" s="143" t="n"/>
      <c r="P849" s="143" t="n"/>
      <c r="Q849" s="143" t="n"/>
      <c r="R849" s="143" t="n"/>
      <c r="S849" s="143" t="n"/>
      <c r="T849" s="143" t="n"/>
      <c r="U849" s="143" t="n"/>
      <c r="V849" s="143" t="n"/>
      <c r="W849" s="143" t="n"/>
      <c r="X849" s="143" t="n"/>
      <c r="Y849" s="143" t="n"/>
      <c r="Z849" s="143" t="n"/>
    </row>
    <row r="850" ht="19.5" customHeight="1" s="398">
      <c r="A850" s="149" t="n"/>
      <c r="B850" s="143" t="n"/>
      <c r="C850" s="143" t="n"/>
      <c r="D850" s="143" t="n"/>
      <c r="E850" s="143" t="n"/>
      <c r="F850" s="143" t="n"/>
      <c r="G850" s="143" t="n"/>
      <c r="H850" s="143" t="n"/>
      <c r="I850" s="143" t="n"/>
      <c r="J850" s="143" t="n"/>
      <c r="K850" s="143" t="n"/>
      <c r="L850" s="143" t="n"/>
      <c r="M850" s="143" t="n"/>
      <c r="N850" s="143" t="n"/>
      <c r="O850" s="143" t="n"/>
      <c r="P850" s="143" t="n"/>
      <c r="Q850" s="143" t="n"/>
      <c r="R850" s="143" t="n"/>
      <c r="S850" s="143" t="n"/>
      <c r="T850" s="143" t="n"/>
      <c r="U850" s="143" t="n"/>
      <c r="V850" s="143" t="n"/>
      <c r="W850" s="143" t="n"/>
      <c r="X850" s="143" t="n"/>
      <c r="Y850" s="143" t="n"/>
      <c r="Z850" s="143" t="n"/>
    </row>
    <row r="851" ht="19.5" customHeight="1" s="398">
      <c r="A851" s="149" t="n"/>
      <c r="B851" s="143" t="n"/>
      <c r="C851" s="143" t="n"/>
      <c r="D851" s="143" t="n"/>
      <c r="E851" s="143" t="n"/>
      <c r="F851" s="143" t="n"/>
      <c r="G851" s="143" t="n"/>
      <c r="H851" s="143" t="n"/>
      <c r="I851" s="143" t="n"/>
      <c r="J851" s="143" t="n"/>
      <c r="K851" s="143" t="n"/>
      <c r="L851" s="143" t="n"/>
      <c r="M851" s="143" t="n"/>
      <c r="N851" s="143" t="n"/>
      <c r="O851" s="143" t="n"/>
      <c r="P851" s="143" t="n"/>
      <c r="Q851" s="143" t="n"/>
      <c r="R851" s="143" t="n"/>
      <c r="S851" s="143" t="n"/>
      <c r="T851" s="143" t="n"/>
      <c r="U851" s="143" t="n"/>
      <c r="V851" s="143" t="n"/>
      <c r="W851" s="143" t="n"/>
      <c r="X851" s="143" t="n"/>
      <c r="Y851" s="143" t="n"/>
      <c r="Z851" s="143" t="n"/>
    </row>
    <row r="852" ht="19.5" customHeight="1" s="398">
      <c r="A852" s="149" t="n"/>
      <c r="B852" s="143" t="n"/>
      <c r="C852" s="143" t="n"/>
      <c r="D852" s="143" t="n"/>
      <c r="E852" s="143" t="n"/>
      <c r="F852" s="143" t="n"/>
      <c r="G852" s="143" t="n"/>
      <c r="H852" s="143" t="n"/>
      <c r="I852" s="143" t="n"/>
      <c r="J852" s="143" t="n"/>
      <c r="K852" s="143" t="n"/>
      <c r="L852" s="143" t="n"/>
      <c r="M852" s="143" t="n"/>
      <c r="N852" s="143" t="n"/>
      <c r="O852" s="143" t="n"/>
      <c r="P852" s="143" t="n"/>
      <c r="Q852" s="143" t="n"/>
      <c r="R852" s="143" t="n"/>
      <c r="S852" s="143" t="n"/>
      <c r="T852" s="143" t="n"/>
      <c r="U852" s="143" t="n"/>
      <c r="V852" s="143" t="n"/>
      <c r="W852" s="143" t="n"/>
      <c r="X852" s="143" t="n"/>
      <c r="Y852" s="143" t="n"/>
      <c r="Z852" s="143" t="n"/>
    </row>
    <row r="853" ht="19.5" customHeight="1" s="398">
      <c r="A853" s="149" t="n"/>
      <c r="B853" s="143" t="n"/>
      <c r="C853" s="143" t="n"/>
      <c r="D853" s="143" t="n"/>
      <c r="E853" s="143" t="n"/>
      <c r="F853" s="143" t="n"/>
      <c r="G853" s="143" t="n"/>
      <c r="H853" s="143" t="n"/>
      <c r="I853" s="143" t="n"/>
      <c r="J853" s="143" t="n"/>
      <c r="K853" s="143" t="n"/>
      <c r="L853" s="143" t="n"/>
      <c r="M853" s="143" t="n"/>
      <c r="N853" s="143" t="n"/>
      <c r="O853" s="143" t="n"/>
      <c r="P853" s="143" t="n"/>
      <c r="Q853" s="143" t="n"/>
      <c r="R853" s="143" t="n"/>
      <c r="S853" s="143" t="n"/>
      <c r="T853" s="143" t="n"/>
      <c r="U853" s="143" t="n"/>
      <c r="V853" s="143" t="n"/>
      <c r="W853" s="143" t="n"/>
      <c r="X853" s="143" t="n"/>
      <c r="Y853" s="143" t="n"/>
      <c r="Z853" s="143" t="n"/>
    </row>
    <row r="854" ht="19.5" customHeight="1" s="398">
      <c r="A854" s="149" t="n"/>
      <c r="B854" s="143" t="n"/>
      <c r="C854" s="143" t="n"/>
      <c r="D854" s="143" t="n"/>
      <c r="E854" s="143" t="n"/>
      <c r="F854" s="143" t="n"/>
      <c r="G854" s="143" t="n"/>
      <c r="H854" s="143" t="n"/>
      <c r="I854" s="143" t="n"/>
      <c r="J854" s="143" t="n"/>
      <c r="K854" s="143" t="n"/>
      <c r="L854" s="143" t="n"/>
      <c r="M854" s="143" t="n"/>
      <c r="N854" s="143" t="n"/>
      <c r="O854" s="143" t="n"/>
      <c r="P854" s="143" t="n"/>
      <c r="Q854" s="143" t="n"/>
      <c r="R854" s="143" t="n"/>
      <c r="S854" s="143" t="n"/>
      <c r="T854" s="143" t="n"/>
      <c r="U854" s="143" t="n"/>
      <c r="V854" s="143" t="n"/>
      <c r="W854" s="143" t="n"/>
      <c r="X854" s="143" t="n"/>
      <c r="Y854" s="143" t="n"/>
      <c r="Z854" s="143" t="n"/>
    </row>
    <row r="855" ht="19.5" customHeight="1" s="398">
      <c r="A855" s="149" t="n"/>
      <c r="B855" s="143" t="n"/>
      <c r="C855" s="143" t="n"/>
      <c r="D855" s="143" t="n"/>
      <c r="E855" s="143" t="n"/>
      <c r="F855" s="143" t="n"/>
      <c r="G855" s="143" t="n"/>
      <c r="H855" s="143" t="n"/>
      <c r="I855" s="143" t="n"/>
      <c r="J855" s="143" t="n"/>
      <c r="K855" s="143" t="n"/>
      <c r="L855" s="143" t="n"/>
      <c r="M855" s="143" t="n"/>
      <c r="N855" s="143" t="n"/>
      <c r="O855" s="143" t="n"/>
      <c r="P855" s="143" t="n"/>
      <c r="Q855" s="143" t="n"/>
      <c r="R855" s="143" t="n"/>
      <c r="S855" s="143" t="n"/>
      <c r="T855" s="143" t="n"/>
      <c r="U855" s="143" t="n"/>
      <c r="V855" s="143" t="n"/>
      <c r="W855" s="143" t="n"/>
      <c r="X855" s="143" t="n"/>
      <c r="Y855" s="143" t="n"/>
      <c r="Z855" s="143" t="n"/>
    </row>
    <row r="856" ht="19.5" customHeight="1" s="398">
      <c r="A856" s="149" t="n"/>
      <c r="B856" s="143" t="n"/>
      <c r="C856" s="143" t="n"/>
      <c r="D856" s="143" t="n"/>
      <c r="E856" s="143" t="n"/>
      <c r="F856" s="143" t="n"/>
      <c r="G856" s="143" t="n"/>
      <c r="H856" s="143" t="n"/>
      <c r="I856" s="143" t="n"/>
      <c r="J856" s="143" t="n"/>
      <c r="K856" s="143" t="n"/>
      <c r="L856" s="143" t="n"/>
      <c r="M856" s="143" t="n"/>
      <c r="N856" s="143" t="n"/>
      <c r="O856" s="143" t="n"/>
      <c r="P856" s="143" t="n"/>
      <c r="Q856" s="143" t="n"/>
      <c r="R856" s="143" t="n"/>
      <c r="S856" s="143" t="n"/>
      <c r="T856" s="143" t="n"/>
      <c r="U856" s="143" t="n"/>
      <c r="V856" s="143" t="n"/>
      <c r="W856" s="143" t="n"/>
      <c r="X856" s="143" t="n"/>
      <c r="Y856" s="143" t="n"/>
      <c r="Z856" s="143" t="n"/>
    </row>
    <row r="857" ht="19.5" customHeight="1" s="398">
      <c r="A857" s="149" t="n"/>
      <c r="B857" s="143" t="n"/>
      <c r="C857" s="143" t="n"/>
      <c r="D857" s="143" t="n"/>
      <c r="E857" s="143" t="n"/>
      <c r="F857" s="143" t="n"/>
      <c r="G857" s="143" t="n"/>
      <c r="H857" s="143" t="n"/>
      <c r="I857" s="143" t="n"/>
      <c r="J857" s="143" t="n"/>
      <c r="K857" s="143" t="n"/>
      <c r="L857" s="143" t="n"/>
      <c r="M857" s="143" t="n"/>
      <c r="N857" s="143" t="n"/>
      <c r="O857" s="143" t="n"/>
      <c r="P857" s="143" t="n"/>
      <c r="Q857" s="143" t="n"/>
      <c r="R857" s="143" t="n"/>
      <c r="S857" s="143" t="n"/>
      <c r="T857" s="143" t="n"/>
      <c r="U857" s="143" t="n"/>
      <c r="V857" s="143" t="n"/>
      <c r="W857" s="143" t="n"/>
      <c r="X857" s="143" t="n"/>
      <c r="Y857" s="143" t="n"/>
      <c r="Z857" s="143" t="n"/>
    </row>
    <row r="858" ht="19.5" customHeight="1" s="398">
      <c r="A858" s="149" t="n"/>
      <c r="B858" s="143" t="n"/>
      <c r="C858" s="143" t="n"/>
      <c r="D858" s="143" t="n"/>
      <c r="E858" s="143" t="n"/>
      <c r="F858" s="143" t="n"/>
      <c r="G858" s="143" t="n"/>
      <c r="H858" s="143" t="n"/>
      <c r="I858" s="143" t="n"/>
      <c r="J858" s="143" t="n"/>
      <c r="K858" s="143" t="n"/>
      <c r="L858" s="143" t="n"/>
      <c r="M858" s="143" t="n"/>
      <c r="N858" s="143" t="n"/>
      <c r="O858" s="143" t="n"/>
      <c r="P858" s="143" t="n"/>
      <c r="Q858" s="143" t="n"/>
      <c r="R858" s="143" t="n"/>
      <c r="S858" s="143" t="n"/>
      <c r="T858" s="143" t="n"/>
      <c r="U858" s="143" t="n"/>
      <c r="V858" s="143" t="n"/>
      <c r="W858" s="143" t="n"/>
      <c r="X858" s="143" t="n"/>
      <c r="Y858" s="143" t="n"/>
      <c r="Z858" s="143" t="n"/>
    </row>
    <row r="859" ht="19.5" customHeight="1" s="398">
      <c r="A859" s="149" t="n"/>
      <c r="B859" s="143" t="n"/>
      <c r="C859" s="143" t="n"/>
      <c r="D859" s="143" t="n"/>
      <c r="E859" s="143" t="n"/>
      <c r="F859" s="143" t="n"/>
      <c r="G859" s="143" t="n"/>
      <c r="H859" s="143" t="n"/>
      <c r="I859" s="143" t="n"/>
      <c r="J859" s="143" t="n"/>
      <c r="K859" s="143" t="n"/>
      <c r="L859" s="143" t="n"/>
      <c r="M859" s="143" t="n"/>
      <c r="N859" s="143" t="n"/>
      <c r="O859" s="143" t="n"/>
      <c r="P859" s="143" t="n"/>
      <c r="Q859" s="143" t="n"/>
      <c r="R859" s="143" t="n"/>
      <c r="S859" s="143" t="n"/>
      <c r="T859" s="143" t="n"/>
      <c r="U859" s="143" t="n"/>
      <c r="V859" s="143" t="n"/>
      <c r="W859" s="143" t="n"/>
      <c r="X859" s="143" t="n"/>
      <c r="Y859" s="143" t="n"/>
      <c r="Z859" s="143" t="n"/>
    </row>
    <row r="860" ht="19.5" customHeight="1" s="398">
      <c r="A860" s="149" t="n"/>
      <c r="B860" s="143" t="n"/>
      <c r="C860" s="143" t="n"/>
      <c r="D860" s="143" t="n"/>
      <c r="E860" s="143" t="n"/>
      <c r="F860" s="143" t="n"/>
      <c r="G860" s="143" t="n"/>
      <c r="H860" s="143" t="n"/>
      <c r="I860" s="143" t="n"/>
      <c r="J860" s="143" t="n"/>
      <c r="K860" s="143" t="n"/>
      <c r="L860" s="143" t="n"/>
      <c r="M860" s="143" t="n"/>
      <c r="N860" s="143" t="n"/>
      <c r="O860" s="143" t="n"/>
      <c r="P860" s="143" t="n"/>
      <c r="Q860" s="143" t="n"/>
      <c r="R860" s="143" t="n"/>
      <c r="S860" s="143" t="n"/>
      <c r="T860" s="143" t="n"/>
      <c r="U860" s="143" t="n"/>
      <c r="V860" s="143" t="n"/>
      <c r="W860" s="143" t="n"/>
      <c r="X860" s="143" t="n"/>
      <c r="Y860" s="143" t="n"/>
      <c r="Z860" s="143" t="n"/>
    </row>
    <row r="861" ht="19.5" customHeight="1" s="398">
      <c r="A861" s="149" t="n"/>
      <c r="B861" s="143" t="n"/>
      <c r="C861" s="143" t="n"/>
      <c r="D861" s="143" t="n"/>
      <c r="E861" s="143" t="n"/>
      <c r="F861" s="143" t="n"/>
      <c r="G861" s="143" t="n"/>
      <c r="H861" s="143" t="n"/>
      <c r="I861" s="143" t="n"/>
      <c r="J861" s="143" t="n"/>
      <c r="K861" s="143" t="n"/>
      <c r="L861" s="143" t="n"/>
      <c r="M861" s="143" t="n"/>
      <c r="N861" s="143" t="n"/>
      <c r="O861" s="143" t="n"/>
      <c r="P861" s="143" t="n"/>
      <c r="Q861" s="143" t="n"/>
      <c r="R861" s="143" t="n"/>
      <c r="S861" s="143" t="n"/>
      <c r="T861" s="143" t="n"/>
      <c r="U861" s="143" t="n"/>
      <c r="V861" s="143" t="n"/>
      <c r="W861" s="143" t="n"/>
      <c r="X861" s="143" t="n"/>
      <c r="Y861" s="143" t="n"/>
      <c r="Z861" s="143" t="n"/>
    </row>
    <row r="862" ht="19.5" customHeight="1" s="398">
      <c r="A862" s="149" t="n"/>
      <c r="B862" s="143" t="n"/>
      <c r="C862" s="143" t="n"/>
      <c r="D862" s="143" t="n"/>
      <c r="E862" s="143" t="n"/>
      <c r="F862" s="143" t="n"/>
      <c r="G862" s="143" t="n"/>
      <c r="H862" s="143" t="n"/>
      <c r="I862" s="143" t="n"/>
      <c r="J862" s="143" t="n"/>
      <c r="K862" s="143" t="n"/>
      <c r="L862" s="143" t="n"/>
      <c r="M862" s="143" t="n"/>
      <c r="N862" s="143" t="n"/>
      <c r="O862" s="143" t="n"/>
      <c r="P862" s="143" t="n"/>
      <c r="Q862" s="143" t="n"/>
      <c r="R862" s="143" t="n"/>
      <c r="S862" s="143" t="n"/>
      <c r="T862" s="143" t="n"/>
      <c r="U862" s="143" t="n"/>
      <c r="V862" s="143" t="n"/>
      <c r="W862" s="143" t="n"/>
      <c r="X862" s="143" t="n"/>
      <c r="Y862" s="143" t="n"/>
      <c r="Z862" s="143" t="n"/>
    </row>
    <row r="863" ht="19.5" customHeight="1" s="398">
      <c r="A863" s="149" t="n"/>
      <c r="B863" s="143" t="n"/>
      <c r="C863" s="143" t="n"/>
      <c r="D863" s="143" t="n"/>
      <c r="E863" s="143" t="n"/>
      <c r="F863" s="143" t="n"/>
      <c r="G863" s="143" t="n"/>
      <c r="H863" s="143" t="n"/>
      <c r="I863" s="143" t="n"/>
      <c r="J863" s="143" t="n"/>
      <c r="K863" s="143" t="n"/>
      <c r="L863" s="143" t="n"/>
      <c r="M863" s="143" t="n"/>
      <c r="N863" s="143" t="n"/>
      <c r="O863" s="143" t="n"/>
      <c r="P863" s="143" t="n"/>
      <c r="Q863" s="143" t="n"/>
      <c r="R863" s="143" t="n"/>
      <c r="S863" s="143" t="n"/>
      <c r="T863" s="143" t="n"/>
      <c r="U863" s="143" t="n"/>
      <c r="V863" s="143" t="n"/>
      <c r="W863" s="143" t="n"/>
      <c r="X863" s="143" t="n"/>
      <c r="Y863" s="143" t="n"/>
      <c r="Z863" s="143" t="n"/>
    </row>
    <row r="864" ht="19.5" customHeight="1" s="398">
      <c r="A864" s="149" t="n"/>
      <c r="B864" s="143" t="n"/>
      <c r="C864" s="143" t="n"/>
      <c r="D864" s="143" t="n"/>
      <c r="E864" s="143" t="n"/>
      <c r="F864" s="143" t="n"/>
      <c r="G864" s="143" t="n"/>
      <c r="H864" s="143" t="n"/>
      <c r="I864" s="143" t="n"/>
      <c r="J864" s="143" t="n"/>
      <c r="K864" s="143" t="n"/>
      <c r="L864" s="143" t="n"/>
      <c r="M864" s="143" t="n"/>
      <c r="N864" s="143" t="n"/>
      <c r="O864" s="143" t="n"/>
      <c r="P864" s="143" t="n"/>
      <c r="Q864" s="143" t="n"/>
      <c r="R864" s="143" t="n"/>
      <c r="S864" s="143" t="n"/>
      <c r="T864" s="143" t="n"/>
      <c r="U864" s="143" t="n"/>
      <c r="V864" s="143" t="n"/>
      <c r="W864" s="143" t="n"/>
      <c r="X864" s="143" t="n"/>
      <c r="Y864" s="143" t="n"/>
      <c r="Z864" s="143" t="n"/>
    </row>
    <row r="865" ht="19.5" customHeight="1" s="398">
      <c r="A865" s="149" t="n"/>
      <c r="B865" s="143" t="n"/>
      <c r="C865" s="143" t="n"/>
      <c r="D865" s="143" t="n"/>
      <c r="E865" s="143" t="n"/>
      <c r="F865" s="143" t="n"/>
      <c r="G865" s="143" t="n"/>
      <c r="H865" s="143" t="n"/>
      <c r="I865" s="143" t="n"/>
      <c r="J865" s="143" t="n"/>
      <c r="K865" s="143" t="n"/>
      <c r="L865" s="143" t="n"/>
      <c r="M865" s="143" t="n"/>
      <c r="N865" s="143" t="n"/>
      <c r="O865" s="143" t="n"/>
      <c r="P865" s="143" t="n"/>
      <c r="Q865" s="143" t="n"/>
      <c r="R865" s="143" t="n"/>
      <c r="S865" s="143" t="n"/>
      <c r="T865" s="143" t="n"/>
      <c r="U865" s="143" t="n"/>
      <c r="V865" s="143" t="n"/>
      <c r="W865" s="143" t="n"/>
      <c r="X865" s="143" t="n"/>
      <c r="Y865" s="143" t="n"/>
      <c r="Z865" s="143" t="n"/>
    </row>
    <row r="866" ht="19.5" customHeight="1" s="398">
      <c r="A866" s="149" t="n"/>
      <c r="B866" s="143" t="n"/>
      <c r="C866" s="143" t="n"/>
      <c r="D866" s="143" t="n"/>
      <c r="E866" s="143" t="n"/>
      <c r="F866" s="143" t="n"/>
      <c r="G866" s="143" t="n"/>
      <c r="H866" s="143" t="n"/>
      <c r="I866" s="143" t="n"/>
      <c r="J866" s="143" t="n"/>
      <c r="K866" s="143" t="n"/>
      <c r="L866" s="143" t="n"/>
      <c r="M866" s="143" t="n"/>
      <c r="N866" s="143" t="n"/>
      <c r="O866" s="143" t="n"/>
      <c r="P866" s="143" t="n"/>
      <c r="Q866" s="143" t="n"/>
      <c r="R866" s="143" t="n"/>
      <c r="S866" s="143" t="n"/>
      <c r="T866" s="143" t="n"/>
      <c r="U866" s="143" t="n"/>
      <c r="V866" s="143" t="n"/>
      <c r="W866" s="143" t="n"/>
      <c r="X866" s="143" t="n"/>
      <c r="Y866" s="143" t="n"/>
      <c r="Z866" s="143" t="n"/>
    </row>
    <row r="867" ht="19.5" customHeight="1" s="398">
      <c r="A867" s="149" t="n"/>
      <c r="B867" s="143" t="n"/>
      <c r="C867" s="143" t="n"/>
      <c r="D867" s="143" t="n"/>
      <c r="E867" s="143" t="n"/>
      <c r="F867" s="143" t="n"/>
      <c r="G867" s="143" t="n"/>
      <c r="H867" s="143" t="n"/>
      <c r="I867" s="143" t="n"/>
      <c r="J867" s="143" t="n"/>
      <c r="K867" s="143" t="n"/>
      <c r="L867" s="143" t="n"/>
      <c r="M867" s="143" t="n"/>
      <c r="N867" s="143" t="n"/>
      <c r="O867" s="143" t="n"/>
      <c r="P867" s="143" t="n"/>
      <c r="Q867" s="143" t="n"/>
      <c r="R867" s="143" t="n"/>
      <c r="S867" s="143" t="n"/>
      <c r="T867" s="143" t="n"/>
      <c r="U867" s="143" t="n"/>
      <c r="V867" s="143" t="n"/>
      <c r="W867" s="143" t="n"/>
      <c r="X867" s="143" t="n"/>
      <c r="Y867" s="143" t="n"/>
      <c r="Z867" s="143" t="n"/>
    </row>
    <row r="868" ht="19.5" customHeight="1" s="398">
      <c r="A868" s="149" t="n"/>
      <c r="B868" s="143" t="n"/>
      <c r="C868" s="143" t="n"/>
      <c r="D868" s="143" t="n"/>
      <c r="E868" s="143" t="n"/>
      <c r="F868" s="143" t="n"/>
      <c r="G868" s="143" t="n"/>
      <c r="H868" s="143" t="n"/>
      <c r="I868" s="143" t="n"/>
      <c r="J868" s="143" t="n"/>
      <c r="K868" s="143" t="n"/>
      <c r="L868" s="143" t="n"/>
      <c r="M868" s="143" t="n"/>
      <c r="N868" s="143" t="n"/>
      <c r="O868" s="143" t="n"/>
      <c r="P868" s="143" t="n"/>
      <c r="Q868" s="143" t="n"/>
      <c r="R868" s="143" t="n"/>
      <c r="S868" s="143" t="n"/>
      <c r="T868" s="143" t="n"/>
      <c r="U868" s="143" t="n"/>
      <c r="V868" s="143" t="n"/>
      <c r="W868" s="143" t="n"/>
      <c r="X868" s="143" t="n"/>
      <c r="Y868" s="143" t="n"/>
      <c r="Z868" s="143" t="n"/>
    </row>
    <row r="869" ht="19.5" customHeight="1" s="398">
      <c r="A869" s="149" t="n"/>
      <c r="B869" s="143" t="n"/>
      <c r="C869" s="143" t="n"/>
      <c r="D869" s="143" t="n"/>
      <c r="E869" s="143" t="n"/>
      <c r="F869" s="143" t="n"/>
      <c r="G869" s="143" t="n"/>
      <c r="H869" s="143" t="n"/>
      <c r="I869" s="143" t="n"/>
      <c r="J869" s="143" t="n"/>
      <c r="K869" s="143" t="n"/>
      <c r="L869" s="143" t="n"/>
      <c r="M869" s="143" t="n"/>
      <c r="N869" s="143" t="n"/>
      <c r="O869" s="143" t="n"/>
      <c r="P869" s="143" t="n"/>
      <c r="Q869" s="143" t="n"/>
      <c r="R869" s="143" t="n"/>
      <c r="S869" s="143" t="n"/>
      <c r="T869" s="143" t="n"/>
      <c r="U869" s="143" t="n"/>
      <c r="V869" s="143" t="n"/>
      <c r="W869" s="143" t="n"/>
      <c r="X869" s="143" t="n"/>
      <c r="Y869" s="143" t="n"/>
      <c r="Z869" s="143" t="n"/>
    </row>
    <row r="870" ht="19.5" customHeight="1" s="398">
      <c r="A870" s="149" t="n"/>
      <c r="B870" s="143" t="n"/>
      <c r="C870" s="143" t="n"/>
      <c r="D870" s="143" t="n"/>
      <c r="E870" s="143" t="n"/>
      <c r="F870" s="143" t="n"/>
      <c r="G870" s="143" t="n"/>
      <c r="H870" s="143" t="n"/>
      <c r="I870" s="143" t="n"/>
      <c r="J870" s="143" t="n"/>
      <c r="K870" s="143" t="n"/>
      <c r="L870" s="143" t="n"/>
      <c r="M870" s="143" t="n"/>
      <c r="N870" s="143" t="n"/>
      <c r="O870" s="143" t="n"/>
      <c r="P870" s="143" t="n"/>
      <c r="Q870" s="143" t="n"/>
      <c r="R870" s="143" t="n"/>
      <c r="S870" s="143" t="n"/>
      <c r="T870" s="143" t="n"/>
      <c r="U870" s="143" t="n"/>
      <c r="V870" s="143" t="n"/>
      <c r="W870" s="143" t="n"/>
      <c r="X870" s="143" t="n"/>
      <c r="Y870" s="143" t="n"/>
      <c r="Z870" s="143" t="n"/>
    </row>
    <row r="871" ht="19.5" customHeight="1" s="398">
      <c r="A871" s="149" t="n"/>
      <c r="B871" s="143" t="n"/>
      <c r="C871" s="143" t="n"/>
      <c r="D871" s="143" t="n"/>
      <c r="E871" s="143" t="n"/>
      <c r="F871" s="143" t="n"/>
      <c r="G871" s="143" t="n"/>
      <c r="H871" s="143" t="n"/>
      <c r="I871" s="143" t="n"/>
      <c r="J871" s="143" t="n"/>
      <c r="K871" s="143" t="n"/>
      <c r="L871" s="143" t="n"/>
      <c r="M871" s="143" t="n"/>
      <c r="N871" s="143" t="n"/>
      <c r="O871" s="143" t="n"/>
      <c r="P871" s="143" t="n"/>
      <c r="Q871" s="143" t="n"/>
      <c r="R871" s="143" t="n"/>
      <c r="S871" s="143" t="n"/>
      <c r="T871" s="143" t="n"/>
      <c r="U871" s="143" t="n"/>
      <c r="V871" s="143" t="n"/>
      <c r="W871" s="143" t="n"/>
      <c r="X871" s="143" t="n"/>
      <c r="Y871" s="143" t="n"/>
      <c r="Z871" s="143" t="n"/>
    </row>
    <row r="872" ht="19.5" customHeight="1" s="398">
      <c r="A872" s="149" t="n"/>
      <c r="B872" s="143" t="n"/>
      <c r="C872" s="143" t="n"/>
      <c r="D872" s="143" t="n"/>
      <c r="E872" s="143" t="n"/>
      <c r="F872" s="143" t="n"/>
      <c r="G872" s="143" t="n"/>
      <c r="H872" s="143" t="n"/>
      <c r="I872" s="143" t="n"/>
      <c r="J872" s="143" t="n"/>
      <c r="K872" s="143" t="n"/>
      <c r="L872" s="143" t="n"/>
      <c r="M872" s="143" t="n"/>
      <c r="N872" s="143" t="n"/>
      <c r="O872" s="143" t="n"/>
      <c r="P872" s="143" t="n"/>
      <c r="Q872" s="143" t="n"/>
      <c r="R872" s="143" t="n"/>
      <c r="S872" s="143" t="n"/>
      <c r="T872" s="143" t="n"/>
      <c r="U872" s="143" t="n"/>
      <c r="V872" s="143" t="n"/>
      <c r="W872" s="143" t="n"/>
      <c r="X872" s="143" t="n"/>
      <c r="Y872" s="143" t="n"/>
      <c r="Z872" s="143" t="n"/>
    </row>
    <row r="873" ht="19.5" customHeight="1" s="398">
      <c r="A873" s="149" t="n"/>
      <c r="B873" s="143" t="n"/>
      <c r="C873" s="143" t="n"/>
      <c r="D873" s="143" t="n"/>
      <c r="E873" s="143" t="n"/>
      <c r="F873" s="143" t="n"/>
      <c r="G873" s="143" t="n"/>
      <c r="H873" s="143" t="n"/>
      <c r="I873" s="143" t="n"/>
      <c r="J873" s="143" t="n"/>
      <c r="K873" s="143" t="n"/>
      <c r="L873" s="143" t="n"/>
      <c r="M873" s="143" t="n"/>
      <c r="N873" s="143" t="n"/>
      <c r="O873" s="143" t="n"/>
      <c r="P873" s="143" t="n"/>
      <c r="Q873" s="143" t="n"/>
      <c r="R873" s="143" t="n"/>
      <c r="S873" s="143" t="n"/>
      <c r="T873" s="143" t="n"/>
      <c r="U873" s="143" t="n"/>
      <c r="V873" s="143" t="n"/>
      <c r="W873" s="143" t="n"/>
      <c r="X873" s="143" t="n"/>
      <c r="Y873" s="143" t="n"/>
      <c r="Z873" s="143" t="n"/>
    </row>
    <row r="874" ht="19.5" customHeight="1" s="398">
      <c r="A874" s="149" t="n"/>
      <c r="B874" s="143" t="n"/>
      <c r="C874" s="143" t="n"/>
      <c r="D874" s="143" t="n"/>
      <c r="E874" s="143" t="n"/>
      <c r="F874" s="143" t="n"/>
      <c r="G874" s="143" t="n"/>
      <c r="H874" s="143" t="n"/>
      <c r="I874" s="143" t="n"/>
      <c r="J874" s="143" t="n"/>
      <c r="K874" s="143" t="n"/>
      <c r="L874" s="143" t="n"/>
      <c r="M874" s="143" t="n"/>
      <c r="N874" s="143" t="n"/>
      <c r="O874" s="143" t="n"/>
      <c r="P874" s="143" t="n"/>
      <c r="Q874" s="143" t="n"/>
      <c r="R874" s="143" t="n"/>
      <c r="S874" s="143" t="n"/>
      <c r="T874" s="143" t="n"/>
      <c r="U874" s="143" t="n"/>
      <c r="V874" s="143" t="n"/>
      <c r="W874" s="143" t="n"/>
      <c r="X874" s="143" t="n"/>
      <c r="Y874" s="143" t="n"/>
      <c r="Z874" s="143" t="n"/>
    </row>
    <row r="875" ht="19.5" customHeight="1" s="398">
      <c r="A875" s="149" t="n"/>
      <c r="B875" s="143" t="n"/>
      <c r="C875" s="143" t="n"/>
      <c r="D875" s="143" t="n"/>
      <c r="E875" s="143" t="n"/>
      <c r="F875" s="143" t="n"/>
      <c r="G875" s="143" t="n"/>
      <c r="H875" s="143" t="n"/>
      <c r="I875" s="143" t="n"/>
      <c r="J875" s="143" t="n"/>
      <c r="K875" s="143" t="n"/>
      <c r="L875" s="143" t="n"/>
      <c r="M875" s="143" t="n"/>
      <c r="N875" s="143" t="n"/>
      <c r="O875" s="143" t="n"/>
      <c r="P875" s="143" t="n"/>
      <c r="Q875" s="143" t="n"/>
      <c r="R875" s="143" t="n"/>
      <c r="S875" s="143" t="n"/>
      <c r="T875" s="143" t="n"/>
      <c r="U875" s="143" t="n"/>
      <c r="V875" s="143" t="n"/>
      <c r="W875" s="143" t="n"/>
      <c r="X875" s="143" t="n"/>
      <c r="Y875" s="143" t="n"/>
      <c r="Z875" s="143" t="n"/>
    </row>
    <row r="876" ht="19.5" customHeight="1" s="398">
      <c r="A876" s="149" t="n"/>
      <c r="B876" s="143" t="n"/>
      <c r="C876" s="143" t="n"/>
      <c r="D876" s="143" t="n"/>
      <c r="E876" s="143" t="n"/>
      <c r="F876" s="143" t="n"/>
      <c r="G876" s="143" t="n"/>
      <c r="H876" s="143" t="n"/>
      <c r="I876" s="143" t="n"/>
      <c r="J876" s="143" t="n"/>
      <c r="K876" s="143" t="n"/>
      <c r="L876" s="143" t="n"/>
      <c r="M876" s="143" t="n"/>
      <c r="N876" s="143" t="n"/>
      <c r="O876" s="143" t="n"/>
      <c r="P876" s="143" t="n"/>
      <c r="Q876" s="143" t="n"/>
      <c r="R876" s="143" t="n"/>
      <c r="S876" s="143" t="n"/>
      <c r="T876" s="143" t="n"/>
      <c r="U876" s="143" t="n"/>
      <c r="V876" s="143" t="n"/>
      <c r="W876" s="143" t="n"/>
      <c r="X876" s="143" t="n"/>
      <c r="Y876" s="143" t="n"/>
      <c r="Z876" s="143" t="n"/>
    </row>
    <row r="877" ht="19.5" customHeight="1" s="398">
      <c r="A877" s="149" t="n"/>
      <c r="B877" s="143" t="n"/>
      <c r="C877" s="143" t="n"/>
      <c r="D877" s="143" t="n"/>
      <c r="E877" s="143" t="n"/>
      <c r="F877" s="143" t="n"/>
      <c r="G877" s="143" t="n"/>
      <c r="H877" s="143" t="n"/>
      <c r="I877" s="143" t="n"/>
      <c r="J877" s="143" t="n"/>
      <c r="K877" s="143" t="n"/>
      <c r="L877" s="143" t="n"/>
      <c r="M877" s="143" t="n"/>
      <c r="N877" s="143" t="n"/>
      <c r="O877" s="143" t="n"/>
      <c r="P877" s="143" t="n"/>
      <c r="Q877" s="143" t="n"/>
      <c r="R877" s="143" t="n"/>
      <c r="S877" s="143" t="n"/>
      <c r="T877" s="143" t="n"/>
      <c r="U877" s="143" t="n"/>
      <c r="V877" s="143" t="n"/>
      <c r="W877" s="143" t="n"/>
      <c r="X877" s="143" t="n"/>
      <c r="Y877" s="143" t="n"/>
      <c r="Z877" s="143" t="n"/>
    </row>
    <row r="878" ht="19.5" customHeight="1" s="398">
      <c r="A878" s="149" t="n"/>
      <c r="B878" s="143" t="n"/>
      <c r="C878" s="143" t="n"/>
      <c r="D878" s="143" t="n"/>
      <c r="E878" s="143" t="n"/>
      <c r="F878" s="143" t="n"/>
      <c r="G878" s="143" t="n"/>
      <c r="H878" s="143" t="n"/>
      <c r="I878" s="143" t="n"/>
      <c r="J878" s="143" t="n"/>
      <c r="K878" s="143" t="n"/>
      <c r="L878" s="143" t="n"/>
      <c r="M878" s="143" t="n"/>
      <c r="N878" s="143" t="n"/>
      <c r="O878" s="143" t="n"/>
      <c r="P878" s="143" t="n"/>
      <c r="Q878" s="143" t="n"/>
      <c r="R878" s="143" t="n"/>
      <c r="S878" s="143" t="n"/>
      <c r="T878" s="143" t="n"/>
      <c r="U878" s="143" t="n"/>
      <c r="V878" s="143" t="n"/>
      <c r="W878" s="143" t="n"/>
      <c r="X878" s="143" t="n"/>
      <c r="Y878" s="143" t="n"/>
      <c r="Z878" s="143" t="n"/>
    </row>
    <row r="879" ht="19.5" customHeight="1" s="398">
      <c r="A879" s="149" t="n"/>
      <c r="B879" s="143" t="n"/>
      <c r="C879" s="143" t="n"/>
      <c r="D879" s="143" t="n"/>
      <c r="E879" s="143" t="n"/>
      <c r="F879" s="143" t="n"/>
      <c r="G879" s="143" t="n"/>
      <c r="H879" s="143" t="n"/>
      <c r="I879" s="143" t="n"/>
      <c r="J879" s="143" t="n"/>
      <c r="K879" s="143" t="n"/>
      <c r="L879" s="143" t="n"/>
      <c r="M879" s="143" t="n"/>
      <c r="N879" s="143" t="n"/>
      <c r="O879" s="143" t="n"/>
      <c r="P879" s="143" t="n"/>
      <c r="Q879" s="143" t="n"/>
      <c r="R879" s="143" t="n"/>
      <c r="S879" s="143" t="n"/>
      <c r="T879" s="143" t="n"/>
      <c r="U879" s="143" t="n"/>
      <c r="V879" s="143" t="n"/>
      <c r="W879" s="143" t="n"/>
      <c r="X879" s="143" t="n"/>
      <c r="Y879" s="143" t="n"/>
      <c r="Z879" s="143" t="n"/>
    </row>
    <row r="880" ht="19.5" customHeight="1" s="398">
      <c r="A880" s="149" t="n"/>
      <c r="B880" s="143" t="n"/>
      <c r="C880" s="143" t="n"/>
      <c r="D880" s="143" t="n"/>
      <c r="E880" s="143" t="n"/>
      <c r="F880" s="143" t="n"/>
      <c r="G880" s="143" t="n"/>
      <c r="H880" s="143" t="n"/>
      <c r="I880" s="143" t="n"/>
      <c r="J880" s="143" t="n"/>
      <c r="K880" s="143" t="n"/>
      <c r="L880" s="143" t="n"/>
      <c r="M880" s="143" t="n"/>
      <c r="N880" s="143" t="n"/>
      <c r="O880" s="143" t="n"/>
      <c r="P880" s="143" t="n"/>
      <c r="Q880" s="143" t="n"/>
      <c r="R880" s="143" t="n"/>
      <c r="S880" s="143" t="n"/>
      <c r="T880" s="143" t="n"/>
      <c r="U880" s="143" t="n"/>
      <c r="V880" s="143" t="n"/>
      <c r="W880" s="143" t="n"/>
      <c r="X880" s="143" t="n"/>
      <c r="Y880" s="143" t="n"/>
      <c r="Z880" s="143" t="n"/>
    </row>
    <row r="881" ht="19.5" customHeight="1" s="398">
      <c r="A881" s="149" t="n"/>
      <c r="B881" s="143" t="n"/>
      <c r="C881" s="143" t="n"/>
      <c r="D881" s="143" t="n"/>
      <c r="E881" s="143" t="n"/>
      <c r="F881" s="143" t="n"/>
      <c r="G881" s="143" t="n"/>
      <c r="H881" s="143" t="n"/>
      <c r="I881" s="143" t="n"/>
      <c r="J881" s="143" t="n"/>
      <c r="K881" s="143" t="n"/>
      <c r="L881" s="143" t="n"/>
      <c r="M881" s="143" t="n"/>
      <c r="N881" s="143" t="n"/>
      <c r="O881" s="143" t="n"/>
      <c r="P881" s="143" t="n"/>
      <c r="Q881" s="143" t="n"/>
      <c r="R881" s="143" t="n"/>
      <c r="S881" s="143" t="n"/>
      <c r="T881" s="143" t="n"/>
      <c r="U881" s="143" t="n"/>
      <c r="V881" s="143" t="n"/>
      <c r="W881" s="143" t="n"/>
      <c r="X881" s="143" t="n"/>
      <c r="Y881" s="143" t="n"/>
      <c r="Z881" s="143" t="n"/>
    </row>
    <row r="882" ht="19.5" customHeight="1" s="398">
      <c r="A882" s="149" t="n"/>
      <c r="B882" s="143" t="n"/>
      <c r="C882" s="143" t="n"/>
      <c r="D882" s="143" t="n"/>
      <c r="E882" s="143" t="n"/>
      <c r="F882" s="143" t="n"/>
      <c r="G882" s="143" t="n"/>
      <c r="H882" s="143" t="n"/>
      <c r="I882" s="143" t="n"/>
      <c r="J882" s="143" t="n"/>
      <c r="K882" s="143" t="n"/>
      <c r="L882" s="143" t="n"/>
      <c r="M882" s="143" t="n"/>
      <c r="N882" s="143" t="n"/>
      <c r="O882" s="143" t="n"/>
      <c r="P882" s="143" t="n"/>
      <c r="Q882" s="143" t="n"/>
      <c r="R882" s="143" t="n"/>
      <c r="S882" s="143" t="n"/>
      <c r="T882" s="143" t="n"/>
      <c r="U882" s="143" t="n"/>
      <c r="V882" s="143" t="n"/>
      <c r="W882" s="143" t="n"/>
      <c r="X882" s="143" t="n"/>
      <c r="Y882" s="143" t="n"/>
      <c r="Z882" s="143" t="n"/>
    </row>
    <row r="883" ht="19.5" customHeight="1" s="398">
      <c r="A883" s="149" t="n"/>
      <c r="B883" s="143" t="n"/>
      <c r="C883" s="143" t="n"/>
      <c r="D883" s="143" t="n"/>
      <c r="E883" s="143" t="n"/>
      <c r="F883" s="143" t="n"/>
      <c r="G883" s="143" t="n"/>
      <c r="H883" s="143" t="n"/>
      <c r="I883" s="143" t="n"/>
      <c r="J883" s="143" t="n"/>
      <c r="K883" s="143" t="n"/>
      <c r="L883" s="143" t="n"/>
      <c r="M883" s="143" t="n"/>
      <c r="N883" s="143" t="n"/>
      <c r="O883" s="143" t="n"/>
      <c r="P883" s="143" t="n"/>
      <c r="Q883" s="143" t="n"/>
      <c r="R883" s="143" t="n"/>
      <c r="S883" s="143" t="n"/>
      <c r="T883" s="143" t="n"/>
      <c r="U883" s="143" t="n"/>
      <c r="V883" s="143" t="n"/>
      <c r="W883" s="143" t="n"/>
      <c r="X883" s="143" t="n"/>
      <c r="Y883" s="143" t="n"/>
      <c r="Z883" s="143" t="n"/>
    </row>
    <row r="884" ht="19.5" customHeight="1" s="398">
      <c r="A884" s="149" t="n"/>
      <c r="B884" s="143" t="n"/>
      <c r="C884" s="143" t="n"/>
      <c r="D884" s="143" t="n"/>
      <c r="E884" s="143" t="n"/>
      <c r="F884" s="143" t="n"/>
      <c r="G884" s="143" t="n"/>
      <c r="H884" s="143" t="n"/>
      <c r="I884" s="143" t="n"/>
      <c r="J884" s="143" t="n"/>
      <c r="K884" s="143" t="n"/>
      <c r="L884" s="143" t="n"/>
      <c r="M884" s="143" t="n"/>
      <c r="N884" s="143" t="n"/>
      <c r="O884" s="143" t="n"/>
      <c r="P884" s="143" t="n"/>
      <c r="Q884" s="143" t="n"/>
      <c r="R884" s="143" t="n"/>
      <c r="S884" s="143" t="n"/>
      <c r="T884" s="143" t="n"/>
      <c r="U884" s="143" t="n"/>
      <c r="V884" s="143" t="n"/>
      <c r="W884" s="143" t="n"/>
      <c r="X884" s="143" t="n"/>
      <c r="Y884" s="143" t="n"/>
      <c r="Z884" s="143" t="n"/>
    </row>
    <row r="885" ht="19.5" customHeight="1" s="398">
      <c r="A885" s="149" t="n"/>
      <c r="B885" s="143" t="n"/>
      <c r="C885" s="143" t="n"/>
      <c r="D885" s="143" t="n"/>
      <c r="E885" s="143" t="n"/>
      <c r="F885" s="143" t="n"/>
      <c r="G885" s="143" t="n"/>
      <c r="H885" s="143" t="n"/>
      <c r="I885" s="143" t="n"/>
      <c r="J885" s="143" t="n"/>
      <c r="K885" s="143" t="n"/>
      <c r="L885" s="143" t="n"/>
      <c r="M885" s="143" t="n"/>
      <c r="N885" s="143" t="n"/>
      <c r="O885" s="143" t="n"/>
      <c r="P885" s="143" t="n"/>
      <c r="Q885" s="143" t="n"/>
      <c r="R885" s="143" t="n"/>
      <c r="S885" s="143" t="n"/>
      <c r="T885" s="143" t="n"/>
      <c r="U885" s="143" t="n"/>
      <c r="V885" s="143" t="n"/>
      <c r="W885" s="143" t="n"/>
      <c r="X885" s="143" t="n"/>
      <c r="Y885" s="143" t="n"/>
      <c r="Z885" s="143" t="n"/>
    </row>
    <row r="886" ht="19.5" customHeight="1" s="398">
      <c r="A886" s="149" t="n"/>
      <c r="B886" s="143" t="n"/>
      <c r="C886" s="143" t="n"/>
      <c r="D886" s="143" t="n"/>
      <c r="E886" s="143" t="n"/>
      <c r="F886" s="143" t="n"/>
      <c r="G886" s="143" t="n"/>
      <c r="H886" s="143" t="n"/>
      <c r="I886" s="143" t="n"/>
      <c r="J886" s="143" t="n"/>
      <c r="K886" s="143" t="n"/>
      <c r="L886" s="143" t="n"/>
      <c r="M886" s="143" t="n"/>
      <c r="N886" s="143" t="n"/>
      <c r="O886" s="143" t="n"/>
      <c r="P886" s="143" t="n"/>
      <c r="Q886" s="143" t="n"/>
      <c r="R886" s="143" t="n"/>
      <c r="S886" s="143" t="n"/>
      <c r="T886" s="143" t="n"/>
      <c r="U886" s="143" t="n"/>
      <c r="V886" s="143" t="n"/>
      <c r="W886" s="143" t="n"/>
      <c r="X886" s="143" t="n"/>
      <c r="Y886" s="143" t="n"/>
      <c r="Z886" s="143" t="n"/>
    </row>
    <row r="887" ht="19.5" customHeight="1" s="398">
      <c r="A887" s="149" t="n"/>
      <c r="B887" s="143" t="n"/>
      <c r="C887" s="143" t="n"/>
      <c r="D887" s="143" t="n"/>
      <c r="E887" s="143" t="n"/>
      <c r="F887" s="143" t="n"/>
      <c r="G887" s="143" t="n"/>
      <c r="H887" s="143" t="n"/>
      <c r="I887" s="143" t="n"/>
      <c r="J887" s="143" t="n"/>
      <c r="K887" s="143" t="n"/>
      <c r="L887" s="143" t="n"/>
      <c r="M887" s="143" t="n"/>
      <c r="N887" s="143" t="n"/>
      <c r="O887" s="143" t="n"/>
      <c r="P887" s="143" t="n"/>
      <c r="Q887" s="143" t="n"/>
      <c r="R887" s="143" t="n"/>
      <c r="S887" s="143" t="n"/>
      <c r="T887" s="143" t="n"/>
      <c r="U887" s="143" t="n"/>
      <c r="V887" s="143" t="n"/>
      <c r="W887" s="143" t="n"/>
      <c r="X887" s="143" t="n"/>
      <c r="Y887" s="143" t="n"/>
      <c r="Z887" s="143" t="n"/>
    </row>
    <row r="888" ht="19.5" customHeight="1" s="398">
      <c r="A888" s="149" t="n"/>
      <c r="B888" s="143" t="n"/>
      <c r="C888" s="143" t="n"/>
      <c r="D888" s="143" t="n"/>
      <c r="E888" s="143" t="n"/>
      <c r="F888" s="143" t="n"/>
      <c r="G888" s="143" t="n"/>
      <c r="H888" s="143" t="n"/>
      <c r="I888" s="143" t="n"/>
      <c r="J888" s="143" t="n"/>
      <c r="K888" s="143" t="n"/>
      <c r="L888" s="143" t="n"/>
      <c r="M888" s="143" t="n"/>
      <c r="N888" s="143" t="n"/>
      <c r="O888" s="143" t="n"/>
      <c r="P888" s="143" t="n"/>
      <c r="Q888" s="143" t="n"/>
      <c r="R888" s="143" t="n"/>
      <c r="S888" s="143" t="n"/>
      <c r="T888" s="143" t="n"/>
      <c r="U888" s="143" t="n"/>
      <c r="V888" s="143" t="n"/>
      <c r="W888" s="143" t="n"/>
      <c r="X888" s="143" t="n"/>
      <c r="Y888" s="143" t="n"/>
      <c r="Z888" s="143" t="n"/>
    </row>
    <row r="889" ht="19.5" customHeight="1" s="398">
      <c r="A889" s="149" t="n"/>
      <c r="B889" s="143" t="n"/>
      <c r="C889" s="143" t="n"/>
      <c r="D889" s="143" t="n"/>
      <c r="E889" s="143" t="n"/>
      <c r="F889" s="143" t="n"/>
      <c r="G889" s="143" t="n"/>
      <c r="H889" s="143" t="n"/>
      <c r="I889" s="143" t="n"/>
      <c r="J889" s="143" t="n"/>
      <c r="K889" s="143" t="n"/>
      <c r="L889" s="143" t="n"/>
      <c r="M889" s="143" t="n"/>
      <c r="N889" s="143" t="n"/>
      <c r="O889" s="143" t="n"/>
      <c r="P889" s="143" t="n"/>
      <c r="Q889" s="143" t="n"/>
      <c r="R889" s="143" t="n"/>
      <c r="S889" s="143" t="n"/>
      <c r="T889" s="143" t="n"/>
      <c r="U889" s="143" t="n"/>
      <c r="V889" s="143" t="n"/>
      <c r="W889" s="143" t="n"/>
      <c r="X889" s="143" t="n"/>
      <c r="Y889" s="143" t="n"/>
      <c r="Z889" s="143" t="n"/>
    </row>
    <row r="890" ht="19.5" customHeight="1" s="398">
      <c r="A890" s="149" t="n"/>
      <c r="B890" s="143" t="n"/>
      <c r="C890" s="143" t="n"/>
      <c r="D890" s="143" t="n"/>
      <c r="E890" s="143" t="n"/>
      <c r="F890" s="143" t="n"/>
      <c r="G890" s="143" t="n"/>
      <c r="H890" s="143" t="n"/>
      <c r="I890" s="143" t="n"/>
      <c r="J890" s="143" t="n"/>
      <c r="K890" s="143" t="n"/>
      <c r="L890" s="143" t="n"/>
      <c r="M890" s="143" t="n"/>
      <c r="N890" s="143" t="n"/>
      <c r="O890" s="143" t="n"/>
      <c r="P890" s="143" t="n"/>
      <c r="Q890" s="143" t="n"/>
      <c r="R890" s="143" t="n"/>
      <c r="S890" s="143" t="n"/>
      <c r="T890" s="143" t="n"/>
      <c r="U890" s="143" t="n"/>
      <c r="V890" s="143" t="n"/>
      <c r="W890" s="143" t="n"/>
      <c r="X890" s="143" t="n"/>
      <c r="Y890" s="143" t="n"/>
      <c r="Z890" s="143" t="n"/>
    </row>
    <row r="891" ht="19.5" customHeight="1" s="398">
      <c r="A891" s="149" t="n"/>
      <c r="B891" s="143" t="n"/>
      <c r="C891" s="143" t="n"/>
      <c r="D891" s="143" t="n"/>
      <c r="E891" s="143" t="n"/>
      <c r="F891" s="143" t="n"/>
      <c r="G891" s="143" t="n"/>
      <c r="H891" s="143" t="n"/>
      <c r="I891" s="143" t="n"/>
      <c r="J891" s="143" t="n"/>
      <c r="K891" s="143" t="n"/>
      <c r="L891" s="143" t="n"/>
      <c r="M891" s="143" t="n"/>
      <c r="N891" s="143" t="n"/>
      <c r="O891" s="143" t="n"/>
      <c r="P891" s="143" t="n"/>
      <c r="Q891" s="143" t="n"/>
      <c r="R891" s="143" t="n"/>
      <c r="S891" s="143" t="n"/>
      <c r="T891" s="143" t="n"/>
      <c r="U891" s="143" t="n"/>
      <c r="V891" s="143" t="n"/>
      <c r="W891" s="143" t="n"/>
      <c r="X891" s="143" t="n"/>
      <c r="Y891" s="143" t="n"/>
      <c r="Z891" s="143" t="n"/>
    </row>
    <row r="892" ht="19.5" customHeight="1" s="398">
      <c r="A892" s="149" t="n"/>
      <c r="B892" s="143" t="n"/>
      <c r="C892" s="143" t="n"/>
      <c r="D892" s="143" t="n"/>
      <c r="E892" s="143" t="n"/>
      <c r="F892" s="143" t="n"/>
      <c r="G892" s="143" t="n"/>
      <c r="H892" s="143" t="n"/>
      <c r="I892" s="143" t="n"/>
      <c r="J892" s="143" t="n"/>
      <c r="K892" s="143" t="n"/>
      <c r="L892" s="143" t="n"/>
      <c r="M892" s="143" t="n"/>
      <c r="N892" s="143" t="n"/>
      <c r="O892" s="143" t="n"/>
      <c r="P892" s="143" t="n"/>
      <c r="Q892" s="143" t="n"/>
      <c r="R892" s="143" t="n"/>
      <c r="S892" s="143" t="n"/>
      <c r="T892" s="143" t="n"/>
      <c r="U892" s="143" t="n"/>
      <c r="V892" s="143" t="n"/>
      <c r="W892" s="143" t="n"/>
      <c r="X892" s="143" t="n"/>
      <c r="Y892" s="143" t="n"/>
      <c r="Z892" s="143" t="n"/>
    </row>
    <row r="893" ht="19.5" customHeight="1" s="398">
      <c r="A893" s="149" t="n"/>
      <c r="B893" s="143" t="n"/>
      <c r="C893" s="143" t="n"/>
      <c r="D893" s="143" t="n"/>
      <c r="E893" s="143" t="n"/>
      <c r="F893" s="143" t="n"/>
      <c r="G893" s="143" t="n"/>
      <c r="H893" s="143" t="n"/>
      <c r="I893" s="143" t="n"/>
      <c r="J893" s="143" t="n"/>
      <c r="K893" s="143" t="n"/>
      <c r="L893" s="143" t="n"/>
      <c r="M893" s="143" t="n"/>
      <c r="N893" s="143" t="n"/>
      <c r="O893" s="143" t="n"/>
      <c r="P893" s="143" t="n"/>
      <c r="Q893" s="143" t="n"/>
      <c r="R893" s="143" t="n"/>
      <c r="S893" s="143" t="n"/>
      <c r="T893" s="143" t="n"/>
      <c r="U893" s="143" t="n"/>
      <c r="V893" s="143" t="n"/>
      <c r="W893" s="143" t="n"/>
      <c r="X893" s="143" t="n"/>
      <c r="Y893" s="143" t="n"/>
      <c r="Z893" s="143" t="n"/>
    </row>
    <row r="894" ht="19.5" customHeight="1" s="398">
      <c r="A894" s="149" t="n"/>
      <c r="B894" s="143" t="n"/>
      <c r="C894" s="143" t="n"/>
      <c r="D894" s="143" t="n"/>
      <c r="E894" s="143" t="n"/>
      <c r="F894" s="143" t="n"/>
      <c r="G894" s="143" t="n"/>
      <c r="H894" s="143" t="n"/>
      <c r="I894" s="143" t="n"/>
      <c r="J894" s="143" t="n"/>
      <c r="K894" s="143" t="n"/>
      <c r="L894" s="143" t="n"/>
      <c r="M894" s="143" t="n"/>
      <c r="N894" s="143" t="n"/>
      <c r="O894" s="143" t="n"/>
      <c r="P894" s="143" t="n"/>
      <c r="Q894" s="143" t="n"/>
      <c r="R894" s="143" t="n"/>
      <c r="S894" s="143" t="n"/>
      <c r="T894" s="143" t="n"/>
      <c r="U894" s="143" t="n"/>
      <c r="V894" s="143" t="n"/>
      <c r="W894" s="143" t="n"/>
      <c r="X894" s="143" t="n"/>
      <c r="Y894" s="143" t="n"/>
      <c r="Z894" s="143" t="n"/>
    </row>
    <row r="895" ht="19.5" customHeight="1" s="398">
      <c r="A895" s="149" t="n"/>
      <c r="B895" s="143" t="n"/>
      <c r="C895" s="143" t="n"/>
      <c r="D895" s="143" t="n"/>
      <c r="E895" s="143" t="n"/>
      <c r="F895" s="143" t="n"/>
      <c r="G895" s="143" t="n"/>
      <c r="H895" s="143" t="n"/>
      <c r="I895" s="143" t="n"/>
      <c r="J895" s="143" t="n"/>
      <c r="K895" s="143" t="n"/>
      <c r="L895" s="143" t="n"/>
      <c r="M895" s="143" t="n"/>
      <c r="N895" s="143" t="n"/>
      <c r="O895" s="143" t="n"/>
      <c r="P895" s="143" t="n"/>
      <c r="Q895" s="143" t="n"/>
      <c r="R895" s="143" t="n"/>
      <c r="S895" s="143" t="n"/>
      <c r="T895" s="143" t="n"/>
      <c r="U895" s="143" t="n"/>
      <c r="V895" s="143" t="n"/>
      <c r="W895" s="143" t="n"/>
      <c r="X895" s="143" t="n"/>
      <c r="Y895" s="143" t="n"/>
      <c r="Z895" s="143" t="n"/>
    </row>
    <row r="896" ht="19.5" customHeight="1" s="398">
      <c r="A896" s="149" t="n"/>
      <c r="B896" s="143" t="n"/>
      <c r="C896" s="143" t="n"/>
      <c r="D896" s="143" t="n"/>
      <c r="E896" s="143" t="n"/>
      <c r="F896" s="143" t="n"/>
      <c r="G896" s="143" t="n"/>
      <c r="H896" s="143" t="n"/>
      <c r="I896" s="143" t="n"/>
      <c r="J896" s="143" t="n"/>
      <c r="K896" s="143" t="n"/>
      <c r="L896" s="143" t="n"/>
      <c r="M896" s="143" t="n"/>
      <c r="N896" s="143" t="n"/>
      <c r="O896" s="143" t="n"/>
      <c r="P896" s="143" t="n"/>
      <c r="Q896" s="143" t="n"/>
      <c r="R896" s="143" t="n"/>
      <c r="S896" s="143" t="n"/>
      <c r="T896" s="143" t="n"/>
      <c r="U896" s="143" t="n"/>
      <c r="V896" s="143" t="n"/>
      <c r="W896" s="143" t="n"/>
      <c r="X896" s="143" t="n"/>
      <c r="Y896" s="143" t="n"/>
      <c r="Z896" s="143" t="n"/>
    </row>
    <row r="897" ht="19.5" customHeight="1" s="398">
      <c r="A897" s="149" t="n"/>
      <c r="B897" s="143" t="n"/>
      <c r="C897" s="143" t="n"/>
      <c r="D897" s="143" t="n"/>
      <c r="E897" s="143" t="n"/>
      <c r="F897" s="143" t="n"/>
      <c r="G897" s="143" t="n"/>
      <c r="H897" s="143" t="n"/>
      <c r="I897" s="143" t="n"/>
      <c r="J897" s="143" t="n"/>
      <c r="K897" s="143" t="n"/>
      <c r="L897" s="143" t="n"/>
      <c r="M897" s="143" t="n"/>
      <c r="N897" s="143" t="n"/>
      <c r="O897" s="143" t="n"/>
      <c r="P897" s="143" t="n"/>
      <c r="Q897" s="143" t="n"/>
      <c r="R897" s="143" t="n"/>
      <c r="S897" s="143" t="n"/>
      <c r="T897" s="143" t="n"/>
      <c r="U897" s="143" t="n"/>
      <c r="V897" s="143" t="n"/>
      <c r="W897" s="143" t="n"/>
      <c r="X897" s="143" t="n"/>
      <c r="Y897" s="143" t="n"/>
      <c r="Z897" s="143" t="n"/>
    </row>
    <row r="898" ht="19.5" customHeight="1" s="398">
      <c r="A898" s="149" t="n"/>
      <c r="B898" s="143" t="n"/>
      <c r="C898" s="143" t="n"/>
      <c r="D898" s="143" t="n"/>
      <c r="E898" s="143" t="n"/>
      <c r="F898" s="143" t="n"/>
      <c r="G898" s="143" t="n"/>
      <c r="H898" s="143" t="n"/>
      <c r="I898" s="143" t="n"/>
      <c r="J898" s="143" t="n"/>
      <c r="K898" s="143" t="n"/>
      <c r="L898" s="143" t="n"/>
      <c r="M898" s="143" t="n"/>
      <c r="N898" s="143" t="n"/>
      <c r="O898" s="143" t="n"/>
      <c r="P898" s="143" t="n"/>
      <c r="Q898" s="143" t="n"/>
      <c r="R898" s="143" t="n"/>
      <c r="S898" s="143" t="n"/>
      <c r="T898" s="143" t="n"/>
      <c r="U898" s="143" t="n"/>
      <c r="V898" s="143" t="n"/>
      <c r="W898" s="143" t="n"/>
      <c r="X898" s="143" t="n"/>
      <c r="Y898" s="143" t="n"/>
      <c r="Z898" s="143" t="n"/>
    </row>
    <row r="899" ht="19.5" customHeight="1" s="398">
      <c r="A899" s="149" t="n"/>
      <c r="B899" s="143" t="n"/>
      <c r="C899" s="143" t="n"/>
      <c r="D899" s="143" t="n"/>
      <c r="E899" s="143" t="n"/>
      <c r="F899" s="143" t="n"/>
      <c r="G899" s="143" t="n"/>
      <c r="H899" s="143" t="n"/>
      <c r="I899" s="143" t="n"/>
      <c r="J899" s="143" t="n"/>
      <c r="K899" s="143" t="n"/>
      <c r="L899" s="143" t="n"/>
      <c r="M899" s="143" t="n"/>
      <c r="N899" s="143" t="n"/>
      <c r="O899" s="143" t="n"/>
      <c r="P899" s="143" t="n"/>
      <c r="Q899" s="143" t="n"/>
      <c r="R899" s="143" t="n"/>
      <c r="S899" s="143" t="n"/>
      <c r="T899" s="143" t="n"/>
      <c r="U899" s="143" t="n"/>
      <c r="V899" s="143" t="n"/>
      <c r="W899" s="143" t="n"/>
      <c r="X899" s="143" t="n"/>
      <c r="Y899" s="143" t="n"/>
      <c r="Z899" s="143" t="n"/>
    </row>
    <row r="900" ht="19.5" customHeight="1" s="398">
      <c r="A900" s="149" t="n"/>
      <c r="B900" s="143" t="n"/>
      <c r="C900" s="143" t="n"/>
      <c r="D900" s="143" t="n"/>
      <c r="E900" s="143" t="n"/>
      <c r="F900" s="143" t="n"/>
      <c r="G900" s="143" t="n"/>
      <c r="H900" s="143" t="n"/>
      <c r="I900" s="143" t="n"/>
      <c r="J900" s="143" t="n"/>
      <c r="K900" s="143" t="n"/>
      <c r="L900" s="143" t="n"/>
      <c r="M900" s="143" t="n"/>
      <c r="N900" s="143" t="n"/>
      <c r="O900" s="143" t="n"/>
      <c r="P900" s="143" t="n"/>
      <c r="Q900" s="143" t="n"/>
      <c r="R900" s="143" t="n"/>
      <c r="S900" s="143" t="n"/>
      <c r="T900" s="143" t="n"/>
      <c r="U900" s="143" t="n"/>
      <c r="V900" s="143" t="n"/>
      <c r="W900" s="143" t="n"/>
      <c r="X900" s="143" t="n"/>
      <c r="Y900" s="143" t="n"/>
      <c r="Z900" s="143" t="n"/>
    </row>
    <row r="901" ht="19.5" customHeight="1" s="398">
      <c r="A901" s="149" t="n"/>
      <c r="B901" s="143" t="n"/>
      <c r="C901" s="143" t="n"/>
      <c r="D901" s="143" t="n"/>
      <c r="E901" s="143" t="n"/>
      <c r="F901" s="143" t="n"/>
      <c r="G901" s="143" t="n"/>
      <c r="H901" s="143" t="n"/>
      <c r="I901" s="143" t="n"/>
      <c r="J901" s="143" t="n"/>
      <c r="K901" s="143" t="n"/>
      <c r="L901" s="143" t="n"/>
      <c r="M901" s="143" t="n"/>
      <c r="N901" s="143" t="n"/>
      <c r="O901" s="143" t="n"/>
      <c r="P901" s="143" t="n"/>
      <c r="Q901" s="143" t="n"/>
      <c r="R901" s="143" t="n"/>
      <c r="S901" s="143" t="n"/>
      <c r="T901" s="143" t="n"/>
      <c r="U901" s="143" t="n"/>
      <c r="V901" s="143" t="n"/>
      <c r="W901" s="143" t="n"/>
      <c r="X901" s="143" t="n"/>
      <c r="Y901" s="143" t="n"/>
      <c r="Z901" s="143" t="n"/>
    </row>
    <row r="902" ht="19.5" customHeight="1" s="398">
      <c r="A902" s="149" t="n"/>
      <c r="B902" s="143" t="n"/>
      <c r="C902" s="143" t="n"/>
      <c r="D902" s="143" t="n"/>
      <c r="E902" s="143" t="n"/>
      <c r="F902" s="143" t="n"/>
      <c r="G902" s="143" t="n"/>
      <c r="H902" s="143" t="n"/>
      <c r="I902" s="143" t="n"/>
      <c r="J902" s="143" t="n"/>
      <c r="K902" s="143" t="n"/>
      <c r="L902" s="143" t="n"/>
      <c r="M902" s="143" t="n"/>
      <c r="N902" s="143" t="n"/>
      <c r="O902" s="143" t="n"/>
      <c r="P902" s="143" t="n"/>
      <c r="Q902" s="143" t="n"/>
      <c r="R902" s="143" t="n"/>
      <c r="S902" s="143" t="n"/>
      <c r="T902" s="143" t="n"/>
      <c r="U902" s="143" t="n"/>
      <c r="V902" s="143" t="n"/>
      <c r="W902" s="143" t="n"/>
      <c r="X902" s="143" t="n"/>
      <c r="Y902" s="143" t="n"/>
      <c r="Z902" s="143" t="n"/>
    </row>
    <row r="903" ht="19.5" customHeight="1" s="398">
      <c r="A903" s="149" t="n"/>
      <c r="B903" s="143" t="n"/>
      <c r="C903" s="143" t="n"/>
      <c r="D903" s="143" t="n"/>
      <c r="E903" s="143" t="n"/>
      <c r="F903" s="143" t="n"/>
      <c r="G903" s="143" t="n"/>
      <c r="H903" s="143" t="n"/>
      <c r="I903" s="143" t="n"/>
      <c r="J903" s="143" t="n"/>
      <c r="K903" s="143" t="n"/>
      <c r="L903" s="143" t="n"/>
      <c r="M903" s="143" t="n"/>
      <c r="N903" s="143" t="n"/>
      <c r="O903" s="143" t="n"/>
      <c r="P903" s="143" t="n"/>
      <c r="Q903" s="143" t="n"/>
      <c r="R903" s="143" t="n"/>
      <c r="S903" s="143" t="n"/>
      <c r="T903" s="143" t="n"/>
      <c r="U903" s="143" t="n"/>
      <c r="V903" s="143" t="n"/>
      <c r="W903" s="143" t="n"/>
      <c r="X903" s="143" t="n"/>
      <c r="Y903" s="143" t="n"/>
      <c r="Z903" s="143" t="n"/>
    </row>
    <row r="904" ht="19.5" customHeight="1" s="398">
      <c r="A904" s="149" t="n"/>
      <c r="B904" s="143" t="n"/>
      <c r="C904" s="143" t="n"/>
      <c r="D904" s="143" t="n"/>
      <c r="E904" s="143" t="n"/>
      <c r="F904" s="143" t="n"/>
      <c r="G904" s="143" t="n"/>
      <c r="H904" s="143" t="n"/>
      <c r="I904" s="143" t="n"/>
      <c r="J904" s="143" t="n"/>
      <c r="K904" s="143" t="n"/>
      <c r="L904" s="143" t="n"/>
      <c r="M904" s="143" t="n"/>
      <c r="N904" s="143" t="n"/>
      <c r="O904" s="143" t="n"/>
      <c r="P904" s="143" t="n"/>
      <c r="Q904" s="143" t="n"/>
      <c r="R904" s="143" t="n"/>
      <c r="S904" s="143" t="n"/>
      <c r="T904" s="143" t="n"/>
      <c r="U904" s="143" t="n"/>
      <c r="V904" s="143" t="n"/>
      <c r="W904" s="143" t="n"/>
      <c r="X904" s="143" t="n"/>
      <c r="Y904" s="143" t="n"/>
      <c r="Z904" s="143" t="n"/>
    </row>
    <row r="905" ht="19.5" customHeight="1" s="398">
      <c r="A905" s="149" t="n"/>
      <c r="B905" s="143" t="n"/>
      <c r="C905" s="143" t="n"/>
      <c r="D905" s="143" t="n"/>
      <c r="E905" s="143" t="n"/>
      <c r="F905" s="143" t="n"/>
      <c r="G905" s="143" t="n"/>
      <c r="H905" s="143" t="n"/>
      <c r="I905" s="143" t="n"/>
      <c r="J905" s="143" t="n"/>
      <c r="K905" s="143" t="n"/>
      <c r="L905" s="143" t="n"/>
      <c r="M905" s="143" t="n"/>
      <c r="N905" s="143" t="n"/>
      <c r="O905" s="143" t="n"/>
      <c r="P905" s="143" t="n"/>
      <c r="Q905" s="143" t="n"/>
      <c r="R905" s="143" t="n"/>
      <c r="S905" s="143" t="n"/>
      <c r="T905" s="143" t="n"/>
      <c r="U905" s="143" t="n"/>
      <c r="V905" s="143" t="n"/>
      <c r="W905" s="143" t="n"/>
      <c r="X905" s="143" t="n"/>
      <c r="Y905" s="143" t="n"/>
      <c r="Z905" s="143" t="n"/>
    </row>
    <row r="906" ht="19.5" customHeight="1" s="398">
      <c r="A906" s="149" t="n"/>
      <c r="B906" s="143" t="n"/>
      <c r="C906" s="143" t="n"/>
      <c r="D906" s="143" t="n"/>
      <c r="E906" s="143" t="n"/>
      <c r="F906" s="143" t="n"/>
      <c r="G906" s="143" t="n"/>
      <c r="H906" s="143" t="n"/>
      <c r="I906" s="143" t="n"/>
      <c r="J906" s="143" t="n"/>
      <c r="K906" s="143" t="n"/>
      <c r="L906" s="143" t="n"/>
      <c r="M906" s="143" t="n"/>
      <c r="N906" s="143" t="n"/>
      <c r="O906" s="143" t="n"/>
      <c r="P906" s="143" t="n"/>
      <c r="Q906" s="143" t="n"/>
      <c r="R906" s="143" t="n"/>
      <c r="S906" s="143" t="n"/>
      <c r="T906" s="143" t="n"/>
      <c r="U906" s="143" t="n"/>
      <c r="V906" s="143" t="n"/>
      <c r="W906" s="143" t="n"/>
      <c r="X906" s="143" t="n"/>
      <c r="Y906" s="143" t="n"/>
      <c r="Z906" s="143" t="n"/>
    </row>
    <row r="907" ht="19.5" customHeight="1" s="398">
      <c r="A907" s="149" t="n"/>
      <c r="B907" s="143" t="n"/>
      <c r="C907" s="143" t="n"/>
      <c r="D907" s="143" t="n"/>
      <c r="E907" s="143" t="n"/>
      <c r="F907" s="143" t="n"/>
      <c r="G907" s="143" t="n"/>
      <c r="H907" s="143" t="n"/>
      <c r="I907" s="143" t="n"/>
      <c r="J907" s="143" t="n"/>
      <c r="K907" s="143" t="n"/>
      <c r="L907" s="143" t="n"/>
      <c r="M907" s="143" t="n"/>
      <c r="N907" s="143" t="n"/>
      <c r="O907" s="143" t="n"/>
      <c r="P907" s="143" t="n"/>
      <c r="Q907" s="143" t="n"/>
      <c r="R907" s="143" t="n"/>
      <c r="S907" s="143" t="n"/>
      <c r="T907" s="143" t="n"/>
      <c r="U907" s="143" t="n"/>
      <c r="V907" s="143" t="n"/>
      <c r="W907" s="143" t="n"/>
      <c r="X907" s="143" t="n"/>
      <c r="Y907" s="143" t="n"/>
      <c r="Z907" s="143" t="n"/>
    </row>
    <row r="908" ht="19.5" customHeight="1" s="398">
      <c r="A908" s="149" t="n"/>
      <c r="B908" s="143" t="n"/>
      <c r="C908" s="143" t="n"/>
      <c r="D908" s="143" t="n"/>
      <c r="E908" s="143" t="n"/>
      <c r="F908" s="143" t="n"/>
      <c r="G908" s="143" t="n"/>
      <c r="H908" s="143" t="n"/>
      <c r="I908" s="143" t="n"/>
      <c r="J908" s="143" t="n"/>
      <c r="K908" s="143" t="n"/>
      <c r="L908" s="143" t="n"/>
      <c r="M908" s="143" t="n"/>
      <c r="N908" s="143" t="n"/>
      <c r="O908" s="143" t="n"/>
      <c r="P908" s="143" t="n"/>
      <c r="Q908" s="143" t="n"/>
      <c r="R908" s="143" t="n"/>
      <c r="S908" s="143" t="n"/>
      <c r="T908" s="143" t="n"/>
      <c r="U908" s="143" t="n"/>
      <c r="V908" s="143" t="n"/>
      <c r="W908" s="143" t="n"/>
      <c r="X908" s="143" t="n"/>
      <c r="Y908" s="143" t="n"/>
      <c r="Z908" s="143" t="n"/>
    </row>
    <row r="909" ht="19.5" customHeight="1" s="398">
      <c r="A909" s="149" t="n"/>
      <c r="B909" s="143" t="n"/>
      <c r="C909" s="143" t="n"/>
      <c r="D909" s="143" t="n"/>
      <c r="E909" s="143" t="n"/>
      <c r="F909" s="143" t="n"/>
      <c r="G909" s="143" t="n"/>
      <c r="H909" s="143" t="n"/>
      <c r="I909" s="143" t="n"/>
      <c r="J909" s="143" t="n"/>
      <c r="K909" s="143" t="n"/>
      <c r="L909" s="143" t="n"/>
      <c r="M909" s="143" t="n"/>
      <c r="N909" s="143" t="n"/>
      <c r="O909" s="143" t="n"/>
      <c r="P909" s="143" t="n"/>
      <c r="Q909" s="143" t="n"/>
      <c r="R909" s="143" t="n"/>
      <c r="S909" s="143" t="n"/>
      <c r="T909" s="143" t="n"/>
      <c r="U909" s="143" t="n"/>
      <c r="V909" s="143" t="n"/>
      <c r="W909" s="143" t="n"/>
      <c r="X909" s="143" t="n"/>
      <c r="Y909" s="143" t="n"/>
      <c r="Z909" s="143" t="n"/>
    </row>
    <row r="910" ht="19.5" customHeight="1" s="398">
      <c r="A910" s="149" t="n"/>
      <c r="B910" s="143" t="n"/>
      <c r="C910" s="143" t="n"/>
      <c r="D910" s="143" t="n"/>
      <c r="E910" s="143" t="n"/>
      <c r="F910" s="143" t="n"/>
      <c r="G910" s="143" t="n"/>
      <c r="H910" s="143" t="n"/>
      <c r="I910" s="143" t="n"/>
      <c r="J910" s="143" t="n"/>
      <c r="K910" s="143" t="n"/>
      <c r="L910" s="143" t="n"/>
      <c r="M910" s="143" t="n"/>
      <c r="N910" s="143" t="n"/>
      <c r="O910" s="143" t="n"/>
      <c r="P910" s="143" t="n"/>
      <c r="Q910" s="143" t="n"/>
      <c r="R910" s="143" t="n"/>
      <c r="S910" s="143" t="n"/>
      <c r="T910" s="143" t="n"/>
      <c r="U910" s="143" t="n"/>
      <c r="V910" s="143" t="n"/>
      <c r="W910" s="143" t="n"/>
      <c r="X910" s="143" t="n"/>
      <c r="Y910" s="143" t="n"/>
      <c r="Z910" s="143" t="n"/>
    </row>
    <row r="911" ht="19.5" customHeight="1" s="398">
      <c r="A911" s="149" t="n"/>
      <c r="B911" s="143" t="n"/>
      <c r="C911" s="143" t="n"/>
      <c r="D911" s="143" t="n"/>
      <c r="E911" s="143" t="n"/>
      <c r="F911" s="143" t="n"/>
      <c r="G911" s="143" t="n"/>
      <c r="H911" s="143" t="n"/>
      <c r="I911" s="143" t="n"/>
      <c r="J911" s="143" t="n"/>
      <c r="K911" s="143" t="n"/>
      <c r="L911" s="143" t="n"/>
      <c r="M911" s="143" t="n"/>
      <c r="N911" s="143" t="n"/>
      <c r="O911" s="143" t="n"/>
      <c r="P911" s="143" t="n"/>
      <c r="Q911" s="143" t="n"/>
      <c r="R911" s="143" t="n"/>
      <c r="S911" s="143" t="n"/>
      <c r="T911" s="143" t="n"/>
      <c r="U911" s="143" t="n"/>
      <c r="V911" s="143" t="n"/>
      <c r="W911" s="143" t="n"/>
      <c r="X911" s="143" t="n"/>
      <c r="Y911" s="143" t="n"/>
      <c r="Z911" s="143" t="n"/>
    </row>
    <row r="912" ht="19.5" customHeight="1" s="398">
      <c r="A912" s="149" t="n"/>
      <c r="B912" s="143" t="n"/>
      <c r="C912" s="143" t="n"/>
      <c r="D912" s="143" t="n"/>
      <c r="E912" s="143" t="n"/>
      <c r="F912" s="143" t="n"/>
      <c r="G912" s="143" t="n"/>
      <c r="H912" s="143" t="n"/>
      <c r="I912" s="143" t="n"/>
      <c r="J912" s="143" t="n"/>
      <c r="K912" s="143" t="n"/>
      <c r="L912" s="143" t="n"/>
      <c r="M912" s="143" t="n"/>
      <c r="N912" s="143" t="n"/>
      <c r="O912" s="143" t="n"/>
      <c r="P912" s="143" t="n"/>
      <c r="Q912" s="143" t="n"/>
      <c r="R912" s="143" t="n"/>
      <c r="S912" s="143" t="n"/>
      <c r="T912" s="143" t="n"/>
      <c r="U912" s="143" t="n"/>
      <c r="V912" s="143" t="n"/>
      <c r="W912" s="143" t="n"/>
      <c r="X912" s="143" t="n"/>
      <c r="Y912" s="143" t="n"/>
      <c r="Z912" s="143" t="n"/>
    </row>
    <row r="913" ht="19.5" customHeight="1" s="398">
      <c r="A913" s="149" t="n"/>
      <c r="B913" s="143" t="n"/>
      <c r="C913" s="143" t="n"/>
      <c r="D913" s="143" t="n"/>
      <c r="E913" s="143" t="n"/>
      <c r="F913" s="143" t="n"/>
      <c r="G913" s="143" t="n"/>
      <c r="H913" s="143" t="n"/>
      <c r="I913" s="143" t="n"/>
      <c r="J913" s="143" t="n"/>
      <c r="K913" s="143" t="n"/>
      <c r="L913" s="143" t="n"/>
      <c r="M913" s="143" t="n"/>
      <c r="N913" s="143" t="n"/>
      <c r="O913" s="143" t="n"/>
      <c r="P913" s="143" t="n"/>
      <c r="Q913" s="143" t="n"/>
      <c r="R913" s="143" t="n"/>
      <c r="S913" s="143" t="n"/>
      <c r="T913" s="143" t="n"/>
      <c r="U913" s="143" t="n"/>
      <c r="V913" s="143" t="n"/>
      <c r="W913" s="143" t="n"/>
      <c r="X913" s="143" t="n"/>
      <c r="Y913" s="143" t="n"/>
      <c r="Z913" s="143" t="n"/>
    </row>
    <row r="914" ht="19.5" customHeight="1" s="398">
      <c r="A914" s="149" t="n"/>
      <c r="B914" s="143" t="n"/>
      <c r="C914" s="143" t="n"/>
      <c r="D914" s="143" t="n"/>
      <c r="E914" s="143" t="n"/>
      <c r="F914" s="143" t="n"/>
      <c r="G914" s="143" t="n"/>
      <c r="H914" s="143" t="n"/>
      <c r="I914" s="143" t="n"/>
      <c r="J914" s="143" t="n"/>
      <c r="K914" s="143" t="n"/>
      <c r="L914" s="143" t="n"/>
      <c r="M914" s="143" t="n"/>
      <c r="N914" s="143" t="n"/>
      <c r="O914" s="143" t="n"/>
      <c r="P914" s="143" t="n"/>
      <c r="Q914" s="143" t="n"/>
      <c r="R914" s="143" t="n"/>
      <c r="S914" s="143" t="n"/>
      <c r="T914" s="143" t="n"/>
      <c r="U914" s="143" t="n"/>
      <c r="V914" s="143" t="n"/>
      <c r="W914" s="143" t="n"/>
      <c r="X914" s="143" t="n"/>
      <c r="Y914" s="143" t="n"/>
      <c r="Z914" s="143" t="n"/>
    </row>
    <row r="915" ht="19.5" customHeight="1" s="398">
      <c r="A915" s="149" t="n"/>
      <c r="B915" s="143" t="n"/>
      <c r="C915" s="143" t="n"/>
      <c r="D915" s="143" t="n"/>
      <c r="E915" s="143" t="n"/>
      <c r="F915" s="143" t="n"/>
      <c r="G915" s="143" t="n"/>
      <c r="H915" s="143" t="n"/>
      <c r="I915" s="143" t="n"/>
      <c r="J915" s="143" t="n"/>
      <c r="K915" s="143" t="n"/>
      <c r="L915" s="143" t="n"/>
      <c r="M915" s="143" t="n"/>
      <c r="N915" s="143" t="n"/>
      <c r="O915" s="143" t="n"/>
      <c r="P915" s="143" t="n"/>
      <c r="Q915" s="143" t="n"/>
      <c r="R915" s="143" t="n"/>
      <c r="S915" s="143" t="n"/>
      <c r="T915" s="143" t="n"/>
      <c r="U915" s="143" t="n"/>
      <c r="V915" s="143" t="n"/>
      <c r="W915" s="143" t="n"/>
      <c r="X915" s="143" t="n"/>
      <c r="Y915" s="143" t="n"/>
      <c r="Z915" s="143" t="n"/>
    </row>
    <row r="916" ht="19.5" customHeight="1" s="398">
      <c r="A916" s="149" t="n"/>
      <c r="B916" s="143" t="n"/>
      <c r="C916" s="143" t="n"/>
      <c r="D916" s="143" t="n"/>
      <c r="E916" s="143" t="n"/>
      <c r="F916" s="143" t="n"/>
      <c r="G916" s="143" t="n"/>
      <c r="H916" s="143" t="n"/>
      <c r="I916" s="143" t="n"/>
      <c r="J916" s="143" t="n"/>
      <c r="K916" s="143" t="n"/>
      <c r="L916" s="143" t="n"/>
      <c r="M916" s="143" t="n"/>
      <c r="N916" s="143" t="n"/>
      <c r="O916" s="143" t="n"/>
      <c r="P916" s="143" t="n"/>
      <c r="Q916" s="143" t="n"/>
      <c r="R916" s="143" t="n"/>
      <c r="S916" s="143" t="n"/>
      <c r="T916" s="143" t="n"/>
      <c r="U916" s="143" t="n"/>
      <c r="V916" s="143" t="n"/>
      <c r="W916" s="143" t="n"/>
      <c r="X916" s="143" t="n"/>
      <c r="Y916" s="143" t="n"/>
      <c r="Z916" s="143" t="n"/>
    </row>
    <row r="917" ht="19.5" customHeight="1" s="398">
      <c r="A917" s="149" t="n"/>
      <c r="B917" s="143" t="n"/>
      <c r="C917" s="143" t="n"/>
      <c r="D917" s="143" t="n"/>
      <c r="E917" s="143" t="n"/>
      <c r="F917" s="143" t="n"/>
      <c r="G917" s="143" t="n"/>
      <c r="H917" s="143" t="n"/>
      <c r="I917" s="143" t="n"/>
      <c r="J917" s="143" t="n"/>
      <c r="K917" s="143" t="n"/>
      <c r="L917" s="143" t="n"/>
      <c r="M917" s="143" t="n"/>
      <c r="N917" s="143" t="n"/>
      <c r="O917" s="143" t="n"/>
      <c r="P917" s="143" t="n"/>
      <c r="Q917" s="143" t="n"/>
      <c r="R917" s="143" t="n"/>
      <c r="S917" s="143" t="n"/>
      <c r="T917" s="143" t="n"/>
      <c r="U917" s="143" t="n"/>
      <c r="V917" s="143" t="n"/>
      <c r="W917" s="143" t="n"/>
      <c r="X917" s="143" t="n"/>
      <c r="Y917" s="143" t="n"/>
      <c r="Z917" s="143" t="n"/>
    </row>
    <row r="918" ht="19.5" customHeight="1" s="398">
      <c r="A918" s="149" t="n"/>
      <c r="B918" s="143" t="n"/>
      <c r="C918" s="143" t="n"/>
      <c r="D918" s="143" t="n"/>
      <c r="E918" s="143" t="n"/>
      <c r="F918" s="143" t="n"/>
      <c r="G918" s="143" t="n"/>
      <c r="H918" s="143" t="n"/>
      <c r="I918" s="143" t="n"/>
      <c r="J918" s="143" t="n"/>
      <c r="K918" s="143" t="n"/>
      <c r="L918" s="143" t="n"/>
      <c r="M918" s="143" t="n"/>
      <c r="N918" s="143" t="n"/>
      <c r="O918" s="143" t="n"/>
      <c r="P918" s="143" t="n"/>
      <c r="Q918" s="143" t="n"/>
      <c r="R918" s="143" t="n"/>
      <c r="S918" s="143" t="n"/>
      <c r="T918" s="143" t="n"/>
      <c r="U918" s="143" t="n"/>
      <c r="V918" s="143" t="n"/>
      <c r="W918" s="143" t="n"/>
      <c r="X918" s="143" t="n"/>
      <c r="Y918" s="143" t="n"/>
      <c r="Z918" s="143" t="n"/>
    </row>
    <row r="919" ht="19.5" customHeight="1" s="398">
      <c r="A919" s="149" t="n"/>
      <c r="B919" s="143" t="n"/>
      <c r="C919" s="143" t="n"/>
      <c r="D919" s="143" t="n"/>
      <c r="E919" s="143" t="n"/>
      <c r="F919" s="143" t="n"/>
      <c r="G919" s="143" t="n"/>
      <c r="H919" s="143" t="n"/>
      <c r="I919" s="143" t="n"/>
      <c r="J919" s="143" t="n"/>
      <c r="K919" s="143" t="n"/>
      <c r="L919" s="143" t="n"/>
      <c r="M919" s="143" t="n"/>
      <c r="N919" s="143" t="n"/>
      <c r="O919" s="143" t="n"/>
      <c r="P919" s="143" t="n"/>
      <c r="Q919" s="143" t="n"/>
      <c r="R919" s="143" t="n"/>
      <c r="S919" s="143" t="n"/>
      <c r="T919" s="143" t="n"/>
      <c r="U919" s="143" t="n"/>
      <c r="V919" s="143" t="n"/>
      <c r="W919" s="143" t="n"/>
      <c r="X919" s="143" t="n"/>
      <c r="Y919" s="143" t="n"/>
      <c r="Z919" s="143" t="n"/>
    </row>
    <row r="920" ht="19.5" customHeight="1" s="398">
      <c r="A920" s="149" t="n"/>
      <c r="B920" s="143" t="n"/>
      <c r="C920" s="143" t="n"/>
      <c r="D920" s="143" t="n"/>
      <c r="E920" s="143" t="n"/>
      <c r="F920" s="143" t="n"/>
      <c r="G920" s="143" t="n"/>
      <c r="H920" s="143" t="n"/>
      <c r="I920" s="143" t="n"/>
      <c r="J920" s="143" t="n"/>
      <c r="K920" s="143" t="n"/>
      <c r="L920" s="143" t="n"/>
      <c r="M920" s="143" t="n"/>
      <c r="N920" s="143" t="n"/>
      <c r="O920" s="143" t="n"/>
      <c r="P920" s="143" t="n"/>
      <c r="Q920" s="143" t="n"/>
      <c r="R920" s="143" t="n"/>
      <c r="S920" s="143" t="n"/>
      <c r="T920" s="143" t="n"/>
      <c r="U920" s="143" t="n"/>
      <c r="V920" s="143" t="n"/>
      <c r="W920" s="143" t="n"/>
      <c r="X920" s="143" t="n"/>
      <c r="Y920" s="143" t="n"/>
      <c r="Z920" s="143" t="n"/>
    </row>
    <row r="921" ht="19.5" customHeight="1" s="398">
      <c r="A921" s="149" t="n"/>
      <c r="B921" s="143" t="n"/>
      <c r="C921" s="143" t="n"/>
      <c r="D921" s="143" t="n"/>
      <c r="E921" s="143" t="n"/>
      <c r="F921" s="143" t="n"/>
      <c r="G921" s="143" t="n"/>
      <c r="H921" s="143" t="n"/>
      <c r="I921" s="143" t="n"/>
      <c r="J921" s="143" t="n"/>
      <c r="K921" s="143" t="n"/>
      <c r="L921" s="143" t="n"/>
      <c r="M921" s="143" t="n"/>
      <c r="N921" s="143" t="n"/>
      <c r="O921" s="143" t="n"/>
      <c r="P921" s="143" t="n"/>
      <c r="Q921" s="143" t="n"/>
      <c r="R921" s="143" t="n"/>
      <c r="S921" s="143" t="n"/>
      <c r="T921" s="143" t="n"/>
      <c r="U921" s="143" t="n"/>
      <c r="V921" s="143" t="n"/>
      <c r="W921" s="143" t="n"/>
      <c r="X921" s="143" t="n"/>
      <c r="Y921" s="143" t="n"/>
      <c r="Z921" s="143" t="n"/>
    </row>
    <row r="922" ht="19.5" customHeight="1" s="398">
      <c r="A922" s="149" t="n"/>
      <c r="B922" s="143" t="n"/>
      <c r="C922" s="143" t="n"/>
      <c r="D922" s="143" t="n"/>
      <c r="E922" s="143" t="n"/>
      <c r="F922" s="143" t="n"/>
      <c r="G922" s="143" t="n"/>
      <c r="H922" s="143" t="n"/>
      <c r="I922" s="143" t="n"/>
      <c r="J922" s="143" t="n"/>
      <c r="K922" s="143" t="n"/>
      <c r="L922" s="143" t="n"/>
      <c r="M922" s="143" t="n"/>
      <c r="N922" s="143" t="n"/>
      <c r="O922" s="143" t="n"/>
      <c r="P922" s="143" t="n"/>
      <c r="Q922" s="143" t="n"/>
      <c r="R922" s="143" t="n"/>
      <c r="S922" s="143" t="n"/>
      <c r="T922" s="143" t="n"/>
      <c r="U922" s="143" t="n"/>
      <c r="V922" s="143" t="n"/>
      <c r="W922" s="143" t="n"/>
      <c r="X922" s="143" t="n"/>
      <c r="Y922" s="143" t="n"/>
      <c r="Z922" s="143" t="n"/>
    </row>
    <row r="923" ht="19.5" customHeight="1" s="398">
      <c r="A923" s="149" t="n"/>
      <c r="B923" s="143" t="n"/>
      <c r="C923" s="143" t="n"/>
      <c r="D923" s="143" t="n"/>
      <c r="E923" s="143" t="n"/>
      <c r="F923" s="143" t="n"/>
      <c r="G923" s="143" t="n"/>
      <c r="H923" s="143" t="n"/>
      <c r="I923" s="143" t="n"/>
      <c r="J923" s="143" t="n"/>
      <c r="K923" s="143" t="n"/>
      <c r="L923" s="143" t="n"/>
      <c r="M923" s="143" t="n"/>
      <c r="N923" s="143" t="n"/>
      <c r="O923" s="143" t="n"/>
      <c r="P923" s="143" t="n"/>
      <c r="Q923" s="143" t="n"/>
      <c r="R923" s="143" t="n"/>
      <c r="S923" s="143" t="n"/>
      <c r="T923" s="143" t="n"/>
      <c r="U923" s="143" t="n"/>
      <c r="V923" s="143" t="n"/>
      <c r="W923" s="143" t="n"/>
      <c r="X923" s="143" t="n"/>
      <c r="Y923" s="143" t="n"/>
      <c r="Z923" s="143" t="n"/>
    </row>
    <row r="924" ht="19.5" customHeight="1" s="398">
      <c r="A924" s="149" t="n"/>
      <c r="B924" s="143" t="n"/>
      <c r="C924" s="143" t="n"/>
      <c r="D924" s="143" t="n"/>
      <c r="E924" s="143" t="n"/>
      <c r="F924" s="143" t="n"/>
      <c r="G924" s="143" t="n"/>
      <c r="H924" s="143" t="n"/>
      <c r="I924" s="143" t="n"/>
      <c r="J924" s="143" t="n"/>
      <c r="K924" s="143" t="n"/>
      <c r="L924" s="143" t="n"/>
      <c r="M924" s="143" t="n"/>
      <c r="N924" s="143" t="n"/>
      <c r="O924" s="143" t="n"/>
      <c r="P924" s="143" t="n"/>
      <c r="Q924" s="143" t="n"/>
      <c r="R924" s="143" t="n"/>
      <c r="S924" s="143" t="n"/>
      <c r="T924" s="143" t="n"/>
      <c r="U924" s="143" t="n"/>
      <c r="V924" s="143" t="n"/>
      <c r="W924" s="143" t="n"/>
      <c r="X924" s="143" t="n"/>
      <c r="Y924" s="143" t="n"/>
      <c r="Z924" s="143" t="n"/>
    </row>
    <row r="925" ht="19.5" customHeight="1" s="398">
      <c r="A925" s="149" t="n"/>
      <c r="B925" s="143" t="n"/>
      <c r="C925" s="143" t="n"/>
      <c r="D925" s="143" t="n"/>
      <c r="E925" s="143" t="n"/>
      <c r="F925" s="143" t="n"/>
      <c r="G925" s="143" t="n"/>
      <c r="H925" s="143" t="n"/>
      <c r="I925" s="143" t="n"/>
      <c r="J925" s="143" t="n"/>
      <c r="K925" s="143" t="n"/>
      <c r="L925" s="143" t="n"/>
      <c r="M925" s="143" t="n"/>
      <c r="N925" s="143" t="n"/>
      <c r="O925" s="143" t="n"/>
      <c r="P925" s="143" t="n"/>
      <c r="Q925" s="143" t="n"/>
      <c r="R925" s="143" t="n"/>
      <c r="S925" s="143" t="n"/>
      <c r="T925" s="143" t="n"/>
      <c r="U925" s="143" t="n"/>
      <c r="V925" s="143" t="n"/>
      <c r="W925" s="143" t="n"/>
      <c r="X925" s="143" t="n"/>
      <c r="Y925" s="143" t="n"/>
      <c r="Z925" s="143" t="n"/>
    </row>
    <row r="926" ht="19.5" customHeight="1" s="398">
      <c r="A926" s="149" t="n"/>
      <c r="B926" s="143" t="n"/>
      <c r="C926" s="143" t="n"/>
      <c r="D926" s="143" t="n"/>
      <c r="E926" s="143" t="n"/>
      <c r="F926" s="143" t="n"/>
      <c r="G926" s="143" t="n"/>
      <c r="H926" s="143" t="n"/>
      <c r="I926" s="143" t="n"/>
      <c r="J926" s="143" t="n"/>
      <c r="K926" s="143" t="n"/>
      <c r="L926" s="143" t="n"/>
      <c r="M926" s="143" t="n"/>
      <c r="N926" s="143" t="n"/>
      <c r="O926" s="143" t="n"/>
      <c r="P926" s="143" t="n"/>
      <c r="Q926" s="143" t="n"/>
      <c r="R926" s="143" t="n"/>
      <c r="S926" s="143" t="n"/>
      <c r="T926" s="143" t="n"/>
      <c r="U926" s="143" t="n"/>
      <c r="V926" s="143" t="n"/>
      <c r="W926" s="143" t="n"/>
      <c r="X926" s="143" t="n"/>
      <c r="Y926" s="143" t="n"/>
      <c r="Z926" s="143" t="n"/>
    </row>
    <row r="927" ht="19.5" customHeight="1" s="398">
      <c r="A927" s="149" t="n"/>
      <c r="B927" s="143" t="n"/>
      <c r="C927" s="143" t="n"/>
      <c r="D927" s="143" t="n"/>
      <c r="E927" s="143" t="n"/>
      <c r="F927" s="143" t="n"/>
      <c r="G927" s="143" t="n"/>
      <c r="H927" s="143" t="n"/>
      <c r="I927" s="143" t="n"/>
      <c r="J927" s="143" t="n"/>
      <c r="K927" s="143" t="n"/>
      <c r="L927" s="143" t="n"/>
      <c r="M927" s="143" t="n"/>
      <c r="N927" s="143" t="n"/>
      <c r="O927" s="143" t="n"/>
      <c r="P927" s="143" t="n"/>
      <c r="Q927" s="143" t="n"/>
      <c r="R927" s="143" t="n"/>
      <c r="S927" s="143" t="n"/>
      <c r="T927" s="143" t="n"/>
      <c r="U927" s="143" t="n"/>
      <c r="V927" s="143" t="n"/>
      <c r="W927" s="143" t="n"/>
      <c r="X927" s="143" t="n"/>
      <c r="Y927" s="143" t="n"/>
      <c r="Z927" s="143" t="n"/>
    </row>
    <row r="928" ht="19.5" customHeight="1" s="398">
      <c r="A928" s="149" t="n"/>
      <c r="B928" s="143" t="n"/>
      <c r="C928" s="143" t="n"/>
      <c r="D928" s="143" t="n"/>
      <c r="E928" s="143" t="n"/>
      <c r="F928" s="143" t="n"/>
      <c r="G928" s="143" t="n"/>
      <c r="H928" s="143" t="n"/>
      <c r="I928" s="143" t="n"/>
      <c r="J928" s="143" t="n"/>
      <c r="K928" s="143" t="n"/>
      <c r="L928" s="143" t="n"/>
      <c r="M928" s="143" t="n"/>
      <c r="N928" s="143" t="n"/>
      <c r="O928" s="143" t="n"/>
      <c r="P928" s="143" t="n"/>
      <c r="Q928" s="143" t="n"/>
      <c r="R928" s="143" t="n"/>
      <c r="S928" s="143" t="n"/>
      <c r="T928" s="143" t="n"/>
      <c r="U928" s="143" t="n"/>
      <c r="V928" s="143" t="n"/>
      <c r="W928" s="143" t="n"/>
      <c r="X928" s="143" t="n"/>
      <c r="Y928" s="143" t="n"/>
      <c r="Z928" s="143" t="n"/>
    </row>
    <row r="929" ht="19.5" customHeight="1" s="398">
      <c r="A929" s="149" t="n"/>
      <c r="B929" s="143" t="n"/>
      <c r="C929" s="143" t="n"/>
      <c r="D929" s="143" t="n"/>
      <c r="E929" s="143" t="n"/>
      <c r="F929" s="143" t="n"/>
      <c r="G929" s="143" t="n"/>
      <c r="H929" s="143" t="n"/>
      <c r="I929" s="143" t="n"/>
      <c r="J929" s="143" t="n"/>
      <c r="K929" s="143" t="n"/>
      <c r="L929" s="143" t="n"/>
      <c r="M929" s="143" t="n"/>
      <c r="N929" s="143" t="n"/>
      <c r="O929" s="143" t="n"/>
      <c r="P929" s="143" t="n"/>
      <c r="Q929" s="143" t="n"/>
      <c r="R929" s="143" t="n"/>
      <c r="S929" s="143" t="n"/>
      <c r="T929" s="143" t="n"/>
      <c r="U929" s="143" t="n"/>
      <c r="V929" s="143" t="n"/>
      <c r="W929" s="143" t="n"/>
      <c r="X929" s="143" t="n"/>
      <c r="Y929" s="143" t="n"/>
      <c r="Z929" s="143" t="n"/>
    </row>
    <row r="930" ht="19.5" customHeight="1" s="398">
      <c r="A930" s="149" t="n"/>
      <c r="B930" s="143" t="n"/>
      <c r="C930" s="143" t="n"/>
      <c r="D930" s="143" t="n"/>
      <c r="E930" s="143" t="n"/>
      <c r="F930" s="143" t="n"/>
      <c r="G930" s="143" t="n"/>
      <c r="H930" s="143" t="n"/>
      <c r="I930" s="143" t="n"/>
      <c r="J930" s="143" t="n"/>
      <c r="K930" s="143" t="n"/>
      <c r="L930" s="143" t="n"/>
      <c r="M930" s="143" t="n"/>
      <c r="N930" s="143" t="n"/>
      <c r="O930" s="143" t="n"/>
      <c r="P930" s="143" t="n"/>
      <c r="Q930" s="143" t="n"/>
      <c r="R930" s="143" t="n"/>
      <c r="S930" s="143" t="n"/>
      <c r="T930" s="143" t="n"/>
      <c r="U930" s="143" t="n"/>
      <c r="V930" s="143" t="n"/>
      <c r="W930" s="143" t="n"/>
      <c r="X930" s="143" t="n"/>
      <c r="Y930" s="143" t="n"/>
      <c r="Z930" s="143" t="n"/>
    </row>
    <row r="931" ht="19.5" customHeight="1" s="398">
      <c r="A931" s="149" t="n"/>
      <c r="B931" s="143" t="n"/>
      <c r="C931" s="143" t="n"/>
      <c r="D931" s="143" t="n"/>
      <c r="E931" s="143" t="n"/>
      <c r="F931" s="143" t="n"/>
      <c r="G931" s="143" t="n"/>
      <c r="H931" s="143" t="n"/>
      <c r="I931" s="143" t="n"/>
      <c r="J931" s="143" t="n"/>
      <c r="K931" s="143" t="n"/>
      <c r="L931" s="143" t="n"/>
      <c r="M931" s="143" t="n"/>
      <c r="N931" s="143" t="n"/>
      <c r="O931" s="143" t="n"/>
      <c r="P931" s="143" t="n"/>
      <c r="Q931" s="143" t="n"/>
      <c r="R931" s="143" t="n"/>
      <c r="S931" s="143" t="n"/>
      <c r="T931" s="143" t="n"/>
      <c r="U931" s="143" t="n"/>
      <c r="V931" s="143" t="n"/>
      <c r="W931" s="143" t="n"/>
      <c r="X931" s="143" t="n"/>
      <c r="Y931" s="143" t="n"/>
      <c r="Z931" s="143" t="n"/>
    </row>
    <row r="932" ht="19.5" customHeight="1" s="398">
      <c r="A932" s="149" t="n"/>
      <c r="B932" s="143" t="n"/>
      <c r="C932" s="143" t="n"/>
      <c r="D932" s="143" t="n"/>
      <c r="E932" s="143" t="n"/>
      <c r="F932" s="143" t="n"/>
      <c r="G932" s="143" t="n"/>
      <c r="H932" s="143" t="n"/>
      <c r="I932" s="143" t="n"/>
      <c r="J932" s="143" t="n"/>
      <c r="K932" s="143" t="n"/>
      <c r="L932" s="143" t="n"/>
      <c r="M932" s="143" t="n"/>
      <c r="N932" s="143" t="n"/>
      <c r="O932" s="143" t="n"/>
      <c r="P932" s="143" t="n"/>
      <c r="Q932" s="143" t="n"/>
      <c r="R932" s="143" t="n"/>
      <c r="S932" s="143" t="n"/>
      <c r="T932" s="143" t="n"/>
      <c r="U932" s="143" t="n"/>
      <c r="V932" s="143" t="n"/>
      <c r="W932" s="143" t="n"/>
      <c r="X932" s="143" t="n"/>
      <c r="Y932" s="143" t="n"/>
      <c r="Z932" s="143" t="n"/>
    </row>
    <row r="933" ht="19.5" customHeight="1" s="398">
      <c r="A933" s="149" t="n"/>
      <c r="B933" s="143" t="n"/>
      <c r="C933" s="143" t="n"/>
      <c r="D933" s="143" t="n"/>
      <c r="E933" s="143" t="n"/>
      <c r="F933" s="143" t="n"/>
      <c r="G933" s="143" t="n"/>
      <c r="H933" s="143" t="n"/>
      <c r="I933" s="143" t="n"/>
      <c r="J933" s="143" t="n"/>
      <c r="K933" s="143" t="n"/>
      <c r="L933" s="143" t="n"/>
      <c r="M933" s="143" t="n"/>
      <c r="N933" s="143" t="n"/>
      <c r="O933" s="143" t="n"/>
      <c r="P933" s="143" t="n"/>
      <c r="Q933" s="143" t="n"/>
      <c r="R933" s="143" t="n"/>
      <c r="S933" s="143" t="n"/>
      <c r="T933" s="143" t="n"/>
      <c r="U933" s="143" t="n"/>
      <c r="V933" s="143" t="n"/>
      <c r="W933" s="143" t="n"/>
      <c r="X933" s="143" t="n"/>
      <c r="Y933" s="143" t="n"/>
      <c r="Z933" s="143" t="n"/>
    </row>
    <row r="934" ht="19.5" customHeight="1" s="398">
      <c r="A934" s="149" t="n"/>
      <c r="B934" s="143" t="n"/>
      <c r="C934" s="143" t="n"/>
      <c r="D934" s="143" t="n"/>
      <c r="E934" s="143" t="n"/>
      <c r="F934" s="143" t="n"/>
      <c r="G934" s="143" t="n"/>
      <c r="H934" s="143" t="n"/>
      <c r="I934" s="143" t="n"/>
      <c r="J934" s="143" t="n"/>
      <c r="K934" s="143" t="n"/>
      <c r="L934" s="143" t="n"/>
      <c r="M934" s="143" t="n"/>
      <c r="N934" s="143" t="n"/>
      <c r="O934" s="143" t="n"/>
      <c r="P934" s="143" t="n"/>
      <c r="Q934" s="143" t="n"/>
      <c r="R934" s="143" t="n"/>
      <c r="S934" s="143" t="n"/>
      <c r="T934" s="143" t="n"/>
      <c r="U934" s="143" t="n"/>
      <c r="V934" s="143" t="n"/>
      <c r="W934" s="143" t="n"/>
      <c r="X934" s="143" t="n"/>
      <c r="Y934" s="143" t="n"/>
      <c r="Z934" s="143" t="n"/>
    </row>
    <row r="935" ht="19.5" customHeight="1" s="398">
      <c r="A935" s="149" t="n"/>
      <c r="B935" s="143" t="n"/>
      <c r="C935" s="143" t="n"/>
      <c r="D935" s="143" t="n"/>
      <c r="E935" s="143" t="n"/>
      <c r="F935" s="143" t="n"/>
      <c r="G935" s="143" t="n"/>
      <c r="H935" s="143" t="n"/>
      <c r="I935" s="143" t="n"/>
      <c r="J935" s="143" t="n"/>
      <c r="K935" s="143" t="n"/>
      <c r="L935" s="143" t="n"/>
      <c r="M935" s="143" t="n"/>
      <c r="N935" s="143" t="n"/>
      <c r="O935" s="143" t="n"/>
      <c r="P935" s="143" t="n"/>
      <c r="Q935" s="143" t="n"/>
      <c r="R935" s="143" t="n"/>
      <c r="S935" s="143" t="n"/>
      <c r="T935" s="143" t="n"/>
      <c r="U935" s="143" t="n"/>
      <c r="V935" s="143" t="n"/>
      <c r="W935" s="143" t="n"/>
      <c r="X935" s="143" t="n"/>
      <c r="Y935" s="143" t="n"/>
      <c r="Z935" s="143" t="n"/>
    </row>
    <row r="936" ht="19.5" customHeight="1" s="398">
      <c r="A936" s="149" t="n"/>
      <c r="B936" s="143" t="n"/>
      <c r="C936" s="143" t="n"/>
      <c r="D936" s="143" t="n"/>
      <c r="E936" s="143" t="n"/>
      <c r="F936" s="143" t="n"/>
      <c r="G936" s="143" t="n"/>
      <c r="H936" s="143" t="n"/>
      <c r="I936" s="143" t="n"/>
      <c r="J936" s="143" t="n"/>
      <c r="K936" s="143" t="n"/>
      <c r="L936" s="143" t="n"/>
      <c r="M936" s="143" t="n"/>
      <c r="N936" s="143" t="n"/>
      <c r="O936" s="143" t="n"/>
      <c r="P936" s="143" t="n"/>
      <c r="Q936" s="143" t="n"/>
      <c r="R936" s="143" t="n"/>
      <c r="S936" s="143" t="n"/>
      <c r="T936" s="143" t="n"/>
      <c r="U936" s="143" t="n"/>
      <c r="V936" s="143" t="n"/>
      <c r="W936" s="143" t="n"/>
      <c r="X936" s="143" t="n"/>
      <c r="Y936" s="143" t="n"/>
      <c r="Z936" s="143" t="n"/>
    </row>
    <row r="937" ht="19.5" customHeight="1" s="398">
      <c r="A937" s="149" t="n"/>
      <c r="B937" s="143" t="n"/>
      <c r="C937" s="143" t="n"/>
      <c r="D937" s="143" t="n"/>
      <c r="E937" s="143" t="n"/>
      <c r="F937" s="143" t="n"/>
      <c r="G937" s="143" t="n"/>
      <c r="H937" s="143" t="n"/>
      <c r="I937" s="143" t="n"/>
      <c r="J937" s="143" t="n"/>
      <c r="K937" s="143" t="n"/>
      <c r="L937" s="143" t="n"/>
      <c r="M937" s="143" t="n"/>
      <c r="N937" s="143" t="n"/>
      <c r="O937" s="143" t="n"/>
      <c r="P937" s="143" t="n"/>
      <c r="Q937" s="143" t="n"/>
      <c r="R937" s="143" t="n"/>
      <c r="S937" s="143" t="n"/>
      <c r="T937" s="143" t="n"/>
      <c r="U937" s="143" t="n"/>
      <c r="V937" s="143" t="n"/>
      <c r="W937" s="143" t="n"/>
      <c r="X937" s="143" t="n"/>
      <c r="Y937" s="143" t="n"/>
      <c r="Z937" s="143" t="n"/>
    </row>
    <row r="938" ht="19.5" customHeight="1" s="398">
      <c r="A938" s="149" t="n"/>
      <c r="B938" s="143" t="n"/>
      <c r="C938" s="143" t="n"/>
      <c r="D938" s="143" t="n"/>
      <c r="E938" s="143" t="n"/>
      <c r="F938" s="143" t="n"/>
      <c r="G938" s="143" t="n"/>
      <c r="H938" s="143" t="n"/>
      <c r="I938" s="143" t="n"/>
      <c r="J938" s="143" t="n"/>
      <c r="K938" s="143" t="n"/>
      <c r="L938" s="143" t="n"/>
      <c r="M938" s="143" t="n"/>
      <c r="N938" s="143" t="n"/>
      <c r="O938" s="143" t="n"/>
      <c r="P938" s="143" t="n"/>
      <c r="Q938" s="143" t="n"/>
      <c r="R938" s="143" t="n"/>
      <c r="S938" s="143" t="n"/>
      <c r="T938" s="143" t="n"/>
      <c r="U938" s="143" t="n"/>
      <c r="V938" s="143" t="n"/>
      <c r="W938" s="143" t="n"/>
      <c r="X938" s="143" t="n"/>
      <c r="Y938" s="143" t="n"/>
      <c r="Z938" s="143" t="n"/>
    </row>
    <row r="939" ht="19.5" customHeight="1" s="398">
      <c r="A939" s="149" t="n"/>
      <c r="B939" s="143" t="n"/>
      <c r="C939" s="143" t="n"/>
      <c r="D939" s="143" t="n"/>
      <c r="E939" s="143" t="n"/>
      <c r="F939" s="143" t="n"/>
      <c r="G939" s="143" t="n"/>
      <c r="H939" s="143" t="n"/>
      <c r="I939" s="143" t="n"/>
      <c r="J939" s="143" t="n"/>
      <c r="K939" s="143" t="n"/>
      <c r="L939" s="143" t="n"/>
      <c r="M939" s="143" t="n"/>
      <c r="N939" s="143" t="n"/>
      <c r="O939" s="143" t="n"/>
      <c r="P939" s="143" t="n"/>
      <c r="Q939" s="143" t="n"/>
      <c r="R939" s="143" t="n"/>
      <c r="S939" s="143" t="n"/>
      <c r="T939" s="143" t="n"/>
      <c r="U939" s="143" t="n"/>
      <c r="V939" s="143" t="n"/>
      <c r="W939" s="143" t="n"/>
      <c r="X939" s="143" t="n"/>
      <c r="Y939" s="143" t="n"/>
      <c r="Z939" s="143" t="n"/>
    </row>
    <row r="940" ht="19.5" customHeight="1" s="398">
      <c r="A940" s="149" t="n"/>
      <c r="B940" s="143" t="n"/>
      <c r="C940" s="143" t="n"/>
      <c r="D940" s="143" t="n"/>
      <c r="E940" s="143" t="n"/>
      <c r="F940" s="143" t="n"/>
      <c r="G940" s="143" t="n"/>
      <c r="H940" s="143" t="n"/>
      <c r="I940" s="143" t="n"/>
      <c r="J940" s="143" t="n"/>
      <c r="K940" s="143" t="n"/>
      <c r="L940" s="143" t="n"/>
      <c r="M940" s="143" t="n"/>
      <c r="N940" s="143" t="n"/>
      <c r="O940" s="143" t="n"/>
      <c r="P940" s="143" t="n"/>
      <c r="Q940" s="143" t="n"/>
      <c r="R940" s="143" t="n"/>
      <c r="S940" s="143" t="n"/>
      <c r="T940" s="143" t="n"/>
      <c r="U940" s="143" t="n"/>
      <c r="V940" s="143" t="n"/>
      <c r="W940" s="143" t="n"/>
      <c r="X940" s="143" t="n"/>
      <c r="Y940" s="143" t="n"/>
      <c r="Z940" s="143" t="n"/>
    </row>
    <row r="941" ht="19.5" customHeight="1" s="398">
      <c r="A941" s="149" t="n"/>
      <c r="B941" s="143" t="n"/>
      <c r="C941" s="143" t="n"/>
      <c r="D941" s="143" t="n"/>
      <c r="E941" s="143" t="n"/>
      <c r="F941" s="143" t="n"/>
      <c r="G941" s="143" t="n"/>
      <c r="H941" s="143" t="n"/>
      <c r="I941" s="143" t="n"/>
      <c r="J941" s="143" t="n"/>
      <c r="K941" s="143" t="n"/>
      <c r="L941" s="143" t="n"/>
      <c r="M941" s="143" t="n"/>
      <c r="N941" s="143" t="n"/>
      <c r="O941" s="143" t="n"/>
      <c r="P941" s="143" t="n"/>
      <c r="Q941" s="143" t="n"/>
      <c r="R941" s="143" t="n"/>
      <c r="S941" s="143" t="n"/>
      <c r="T941" s="143" t="n"/>
      <c r="U941" s="143" t="n"/>
      <c r="V941" s="143" t="n"/>
      <c r="W941" s="143" t="n"/>
      <c r="X941" s="143" t="n"/>
      <c r="Y941" s="143" t="n"/>
      <c r="Z941" s="143" t="n"/>
    </row>
    <row r="942" ht="19.5" customHeight="1" s="398">
      <c r="A942" s="149" t="n"/>
      <c r="B942" s="143" t="n"/>
      <c r="C942" s="143" t="n"/>
      <c r="D942" s="143" t="n"/>
      <c r="E942" s="143" t="n"/>
      <c r="F942" s="143" t="n"/>
      <c r="G942" s="143" t="n"/>
      <c r="H942" s="143" t="n"/>
      <c r="I942" s="143" t="n"/>
      <c r="J942" s="143" t="n"/>
      <c r="K942" s="143" t="n"/>
      <c r="L942" s="143" t="n"/>
      <c r="M942" s="143" t="n"/>
      <c r="N942" s="143" t="n"/>
      <c r="O942" s="143" t="n"/>
      <c r="P942" s="143" t="n"/>
      <c r="Q942" s="143" t="n"/>
      <c r="R942" s="143" t="n"/>
      <c r="S942" s="143" t="n"/>
      <c r="T942" s="143" t="n"/>
      <c r="U942" s="143" t="n"/>
      <c r="V942" s="143" t="n"/>
      <c r="W942" s="143" t="n"/>
      <c r="X942" s="143" t="n"/>
      <c r="Y942" s="143" t="n"/>
      <c r="Z942" s="143" t="n"/>
    </row>
    <row r="943" ht="19.5" customHeight="1" s="398">
      <c r="A943" s="149" t="n"/>
      <c r="B943" s="143" t="n"/>
      <c r="C943" s="143" t="n"/>
      <c r="D943" s="143" t="n"/>
      <c r="E943" s="143" t="n"/>
      <c r="F943" s="143" t="n"/>
      <c r="G943" s="143" t="n"/>
      <c r="H943" s="143" t="n"/>
      <c r="I943" s="143" t="n"/>
      <c r="J943" s="143" t="n"/>
      <c r="K943" s="143" t="n"/>
      <c r="L943" s="143" t="n"/>
      <c r="M943" s="143" t="n"/>
      <c r="N943" s="143" t="n"/>
      <c r="O943" s="143" t="n"/>
      <c r="P943" s="143" t="n"/>
      <c r="Q943" s="143" t="n"/>
      <c r="R943" s="143" t="n"/>
      <c r="S943" s="143" t="n"/>
      <c r="T943" s="143" t="n"/>
      <c r="U943" s="143" t="n"/>
      <c r="V943" s="143" t="n"/>
      <c r="W943" s="143" t="n"/>
      <c r="X943" s="143" t="n"/>
      <c r="Y943" s="143" t="n"/>
      <c r="Z943" s="143" t="n"/>
    </row>
    <row r="944" ht="19.5" customHeight="1" s="398">
      <c r="A944" s="149" t="n"/>
      <c r="B944" s="143" t="n"/>
      <c r="C944" s="143" t="n"/>
      <c r="D944" s="143" t="n"/>
      <c r="E944" s="143" t="n"/>
      <c r="F944" s="143" t="n"/>
      <c r="G944" s="143" t="n"/>
      <c r="H944" s="143" t="n"/>
      <c r="I944" s="143" t="n"/>
      <c r="J944" s="143" t="n"/>
      <c r="K944" s="143" t="n"/>
      <c r="L944" s="143" t="n"/>
      <c r="M944" s="143" t="n"/>
      <c r="N944" s="143" t="n"/>
      <c r="O944" s="143" t="n"/>
      <c r="P944" s="143" t="n"/>
      <c r="Q944" s="143" t="n"/>
      <c r="R944" s="143" t="n"/>
      <c r="S944" s="143" t="n"/>
      <c r="T944" s="143" t="n"/>
      <c r="U944" s="143" t="n"/>
      <c r="V944" s="143" t="n"/>
      <c r="W944" s="143" t="n"/>
      <c r="X944" s="143" t="n"/>
      <c r="Y944" s="143" t="n"/>
      <c r="Z944" s="143" t="n"/>
    </row>
    <row r="945" ht="19.5" customHeight="1" s="398">
      <c r="A945" s="149" t="n"/>
      <c r="B945" s="143" t="n"/>
      <c r="C945" s="143" t="n"/>
      <c r="D945" s="143" t="n"/>
      <c r="E945" s="143" t="n"/>
      <c r="F945" s="143" t="n"/>
      <c r="G945" s="143" t="n"/>
      <c r="H945" s="143" t="n"/>
      <c r="I945" s="143" t="n"/>
      <c r="J945" s="143" t="n"/>
      <c r="K945" s="143" t="n"/>
      <c r="L945" s="143" t="n"/>
      <c r="M945" s="143" t="n"/>
      <c r="N945" s="143" t="n"/>
      <c r="O945" s="143" t="n"/>
      <c r="P945" s="143" t="n"/>
      <c r="Q945" s="143" t="n"/>
      <c r="R945" s="143" t="n"/>
      <c r="S945" s="143" t="n"/>
      <c r="T945" s="143" t="n"/>
      <c r="U945" s="143" t="n"/>
      <c r="V945" s="143" t="n"/>
      <c r="W945" s="143" t="n"/>
      <c r="X945" s="143" t="n"/>
      <c r="Y945" s="143" t="n"/>
      <c r="Z945" s="143" t="n"/>
    </row>
    <row r="946" ht="19.5" customHeight="1" s="398">
      <c r="A946" s="149" t="n"/>
      <c r="B946" s="143" t="n"/>
      <c r="C946" s="143" t="n"/>
      <c r="D946" s="143" t="n"/>
      <c r="E946" s="143" t="n"/>
      <c r="F946" s="143" t="n"/>
      <c r="G946" s="143" t="n"/>
      <c r="H946" s="143" t="n"/>
      <c r="I946" s="143" t="n"/>
      <c r="J946" s="143" t="n"/>
      <c r="K946" s="143" t="n"/>
      <c r="L946" s="143" t="n"/>
      <c r="M946" s="143" t="n"/>
      <c r="N946" s="143" t="n"/>
      <c r="O946" s="143" t="n"/>
      <c r="P946" s="143" t="n"/>
      <c r="Q946" s="143" t="n"/>
      <c r="R946" s="143" t="n"/>
      <c r="S946" s="143" t="n"/>
      <c r="T946" s="143" t="n"/>
      <c r="U946" s="143" t="n"/>
      <c r="V946" s="143" t="n"/>
      <c r="W946" s="143" t="n"/>
      <c r="X946" s="143" t="n"/>
      <c r="Y946" s="143" t="n"/>
      <c r="Z946" s="143" t="n"/>
    </row>
    <row r="947" ht="19.5" customHeight="1" s="398">
      <c r="A947" s="149" t="n"/>
      <c r="B947" s="143" t="n"/>
      <c r="C947" s="143" t="n"/>
      <c r="D947" s="143" t="n"/>
      <c r="E947" s="143" t="n"/>
      <c r="F947" s="143" t="n"/>
      <c r="G947" s="143" t="n"/>
      <c r="H947" s="143" t="n"/>
      <c r="I947" s="143" t="n"/>
      <c r="J947" s="143" t="n"/>
      <c r="K947" s="143" t="n"/>
      <c r="L947" s="143" t="n"/>
      <c r="M947" s="143" t="n"/>
      <c r="N947" s="143" t="n"/>
      <c r="O947" s="143" t="n"/>
      <c r="P947" s="143" t="n"/>
      <c r="Q947" s="143" t="n"/>
      <c r="R947" s="143" t="n"/>
      <c r="S947" s="143" t="n"/>
      <c r="T947" s="143" t="n"/>
      <c r="U947" s="143" t="n"/>
      <c r="V947" s="143" t="n"/>
      <c r="W947" s="143" t="n"/>
      <c r="X947" s="143" t="n"/>
      <c r="Y947" s="143" t="n"/>
      <c r="Z947" s="143" t="n"/>
    </row>
    <row r="948" ht="19.5" customHeight="1" s="398">
      <c r="A948" s="149" t="n"/>
      <c r="B948" s="143" t="n"/>
      <c r="C948" s="143" t="n"/>
      <c r="D948" s="143" t="n"/>
      <c r="E948" s="143" t="n"/>
      <c r="F948" s="143" t="n"/>
      <c r="G948" s="143" t="n"/>
      <c r="H948" s="143" t="n"/>
      <c r="I948" s="143" t="n"/>
      <c r="J948" s="143" t="n"/>
      <c r="K948" s="143" t="n"/>
      <c r="L948" s="143" t="n"/>
      <c r="M948" s="143" t="n"/>
      <c r="N948" s="143" t="n"/>
      <c r="O948" s="143" t="n"/>
      <c r="P948" s="143" t="n"/>
      <c r="Q948" s="143" t="n"/>
      <c r="R948" s="143" t="n"/>
      <c r="S948" s="143" t="n"/>
      <c r="T948" s="143" t="n"/>
      <c r="U948" s="143" t="n"/>
      <c r="V948" s="143" t="n"/>
      <c r="W948" s="143" t="n"/>
      <c r="X948" s="143" t="n"/>
      <c r="Y948" s="143" t="n"/>
      <c r="Z948" s="143" t="n"/>
    </row>
    <row r="949" ht="19.5" customHeight="1" s="398">
      <c r="A949" s="149" t="n"/>
      <c r="B949" s="143" t="n"/>
      <c r="C949" s="143" t="n"/>
      <c r="D949" s="143" t="n"/>
      <c r="E949" s="143" t="n"/>
      <c r="F949" s="143" t="n"/>
      <c r="G949" s="143" t="n"/>
      <c r="H949" s="143" t="n"/>
      <c r="I949" s="143" t="n"/>
      <c r="J949" s="143" t="n"/>
      <c r="K949" s="143" t="n"/>
      <c r="L949" s="143" t="n"/>
      <c r="M949" s="143" t="n"/>
      <c r="N949" s="143" t="n"/>
      <c r="O949" s="143" t="n"/>
      <c r="P949" s="143" t="n"/>
      <c r="Q949" s="143" t="n"/>
      <c r="R949" s="143" t="n"/>
      <c r="S949" s="143" t="n"/>
      <c r="T949" s="143" t="n"/>
      <c r="U949" s="143" t="n"/>
      <c r="V949" s="143" t="n"/>
      <c r="W949" s="143" t="n"/>
      <c r="X949" s="143" t="n"/>
      <c r="Y949" s="143" t="n"/>
      <c r="Z949" s="143" t="n"/>
    </row>
    <row r="950" ht="19.5" customHeight="1" s="398">
      <c r="A950" s="149" t="n"/>
      <c r="B950" s="143" t="n"/>
      <c r="C950" s="143" t="n"/>
      <c r="D950" s="143" t="n"/>
      <c r="E950" s="143" t="n"/>
      <c r="F950" s="143" t="n"/>
      <c r="G950" s="143" t="n"/>
      <c r="H950" s="143" t="n"/>
      <c r="I950" s="143" t="n"/>
      <c r="J950" s="143" t="n"/>
      <c r="K950" s="143" t="n"/>
      <c r="L950" s="143" t="n"/>
      <c r="M950" s="143" t="n"/>
      <c r="N950" s="143" t="n"/>
      <c r="O950" s="143" t="n"/>
      <c r="P950" s="143" t="n"/>
      <c r="Q950" s="143" t="n"/>
      <c r="R950" s="143" t="n"/>
      <c r="S950" s="143" t="n"/>
      <c r="T950" s="143" t="n"/>
      <c r="U950" s="143" t="n"/>
      <c r="V950" s="143" t="n"/>
      <c r="W950" s="143" t="n"/>
      <c r="X950" s="143" t="n"/>
      <c r="Y950" s="143" t="n"/>
      <c r="Z950" s="143" t="n"/>
    </row>
    <row r="951" ht="19.5" customHeight="1" s="398">
      <c r="A951" s="149" t="n"/>
      <c r="B951" s="143" t="n"/>
      <c r="C951" s="143" t="n"/>
      <c r="D951" s="143" t="n"/>
      <c r="E951" s="143" t="n"/>
      <c r="F951" s="143" t="n"/>
      <c r="G951" s="143" t="n"/>
      <c r="H951" s="143" t="n"/>
      <c r="I951" s="143" t="n"/>
      <c r="J951" s="143" t="n"/>
      <c r="K951" s="143" t="n"/>
      <c r="L951" s="143" t="n"/>
      <c r="M951" s="143" t="n"/>
      <c r="N951" s="143" t="n"/>
      <c r="O951" s="143" t="n"/>
      <c r="P951" s="143" t="n"/>
      <c r="Q951" s="143" t="n"/>
      <c r="R951" s="143" t="n"/>
      <c r="S951" s="143" t="n"/>
      <c r="T951" s="143" t="n"/>
      <c r="U951" s="143" t="n"/>
      <c r="V951" s="143" t="n"/>
      <c r="W951" s="143" t="n"/>
      <c r="X951" s="143" t="n"/>
      <c r="Y951" s="143" t="n"/>
      <c r="Z951" s="143" t="n"/>
    </row>
    <row r="952" ht="19.5" customHeight="1" s="398">
      <c r="A952" s="149" t="n"/>
      <c r="B952" s="143" t="n"/>
      <c r="C952" s="143" t="n"/>
      <c r="D952" s="143" t="n"/>
      <c r="E952" s="143" t="n"/>
      <c r="F952" s="143" t="n"/>
      <c r="G952" s="143" t="n"/>
      <c r="H952" s="143" t="n"/>
      <c r="I952" s="143" t="n"/>
      <c r="J952" s="143" t="n"/>
      <c r="K952" s="143" t="n"/>
      <c r="L952" s="143" t="n"/>
      <c r="M952" s="143" t="n"/>
      <c r="N952" s="143" t="n"/>
      <c r="O952" s="143" t="n"/>
      <c r="P952" s="143" t="n"/>
      <c r="Q952" s="143" t="n"/>
      <c r="R952" s="143" t="n"/>
      <c r="S952" s="143" t="n"/>
      <c r="T952" s="143" t="n"/>
      <c r="U952" s="143" t="n"/>
      <c r="V952" s="143" t="n"/>
      <c r="W952" s="143" t="n"/>
      <c r="X952" s="143" t="n"/>
      <c r="Y952" s="143" t="n"/>
      <c r="Z952" s="143" t="n"/>
    </row>
    <row r="953" ht="19.5" customHeight="1" s="398">
      <c r="A953" s="149" t="n"/>
      <c r="B953" s="143" t="n"/>
      <c r="C953" s="143" t="n"/>
      <c r="D953" s="143" t="n"/>
      <c r="E953" s="143" t="n"/>
      <c r="F953" s="143" t="n"/>
      <c r="G953" s="143" t="n"/>
      <c r="H953" s="143" t="n"/>
      <c r="I953" s="143" t="n"/>
      <c r="J953" s="143" t="n"/>
      <c r="K953" s="143" t="n"/>
      <c r="L953" s="143" t="n"/>
      <c r="M953" s="143" t="n"/>
      <c r="N953" s="143" t="n"/>
      <c r="O953" s="143" t="n"/>
      <c r="P953" s="143" t="n"/>
      <c r="Q953" s="143" t="n"/>
      <c r="R953" s="143" t="n"/>
      <c r="S953" s="143" t="n"/>
      <c r="T953" s="143" t="n"/>
      <c r="U953" s="143" t="n"/>
      <c r="V953" s="143" t="n"/>
      <c r="W953" s="143" t="n"/>
      <c r="X953" s="143" t="n"/>
      <c r="Y953" s="143" t="n"/>
      <c r="Z953" s="143" t="n"/>
    </row>
    <row r="954" ht="19.5" customHeight="1" s="398">
      <c r="A954" s="149" t="n"/>
      <c r="B954" s="143" t="n"/>
      <c r="C954" s="143" t="n"/>
      <c r="D954" s="143" t="n"/>
      <c r="E954" s="143" t="n"/>
      <c r="F954" s="143" t="n"/>
      <c r="G954" s="143" t="n"/>
      <c r="H954" s="143" t="n"/>
      <c r="I954" s="143" t="n"/>
      <c r="J954" s="143" t="n"/>
      <c r="K954" s="143" t="n"/>
      <c r="L954" s="143" t="n"/>
      <c r="M954" s="143" t="n"/>
      <c r="N954" s="143" t="n"/>
      <c r="O954" s="143" t="n"/>
      <c r="P954" s="143" t="n"/>
      <c r="Q954" s="143" t="n"/>
      <c r="R954" s="143" t="n"/>
      <c r="S954" s="143" t="n"/>
      <c r="T954" s="143" t="n"/>
      <c r="U954" s="143" t="n"/>
      <c r="V954" s="143" t="n"/>
      <c r="W954" s="143" t="n"/>
      <c r="X954" s="143" t="n"/>
      <c r="Y954" s="143" t="n"/>
      <c r="Z954" s="143" t="n"/>
    </row>
    <row r="955" ht="19.5" customHeight="1" s="398">
      <c r="A955" s="149" t="n"/>
      <c r="B955" s="143" t="n"/>
      <c r="C955" s="143" t="n"/>
      <c r="D955" s="143" t="n"/>
      <c r="E955" s="143" t="n"/>
      <c r="F955" s="143" t="n"/>
      <c r="G955" s="143" t="n"/>
      <c r="H955" s="143" t="n"/>
      <c r="I955" s="143" t="n"/>
      <c r="J955" s="143" t="n"/>
      <c r="K955" s="143" t="n"/>
      <c r="L955" s="143" t="n"/>
      <c r="M955" s="143" t="n"/>
      <c r="N955" s="143" t="n"/>
      <c r="O955" s="143" t="n"/>
      <c r="P955" s="143" t="n"/>
      <c r="Q955" s="143" t="n"/>
      <c r="R955" s="143" t="n"/>
      <c r="S955" s="143" t="n"/>
      <c r="T955" s="143" t="n"/>
      <c r="U955" s="143" t="n"/>
      <c r="V955" s="143" t="n"/>
      <c r="W955" s="143" t="n"/>
      <c r="X955" s="143" t="n"/>
      <c r="Y955" s="143" t="n"/>
      <c r="Z955" s="143" t="n"/>
    </row>
    <row r="956" ht="19.5" customHeight="1" s="398">
      <c r="A956" s="149" t="n"/>
      <c r="B956" s="143" t="n"/>
      <c r="C956" s="143" t="n"/>
      <c r="D956" s="143" t="n"/>
      <c r="E956" s="143" t="n"/>
      <c r="F956" s="143" t="n"/>
      <c r="G956" s="143" t="n"/>
      <c r="H956" s="143" t="n"/>
      <c r="I956" s="143" t="n"/>
      <c r="J956" s="143" t="n"/>
      <c r="K956" s="143" t="n"/>
      <c r="L956" s="143" t="n"/>
      <c r="M956" s="143" t="n"/>
      <c r="N956" s="143" t="n"/>
      <c r="O956" s="143" t="n"/>
      <c r="P956" s="143" t="n"/>
      <c r="Q956" s="143" t="n"/>
      <c r="R956" s="143" t="n"/>
      <c r="S956" s="143" t="n"/>
      <c r="T956" s="143" t="n"/>
      <c r="U956" s="143" t="n"/>
      <c r="V956" s="143" t="n"/>
      <c r="W956" s="143" t="n"/>
      <c r="X956" s="143" t="n"/>
      <c r="Y956" s="143" t="n"/>
      <c r="Z956" s="143" t="n"/>
    </row>
    <row r="957" ht="19.5" customHeight="1" s="398">
      <c r="A957" s="149" t="n"/>
      <c r="B957" s="143" t="n"/>
      <c r="C957" s="143" t="n"/>
      <c r="D957" s="143" t="n"/>
      <c r="E957" s="143" t="n"/>
      <c r="F957" s="143" t="n"/>
      <c r="G957" s="143" t="n"/>
      <c r="H957" s="143" t="n"/>
      <c r="I957" s="143" t="n"/>
      <c r="J957" s="143" t="n"/>
      <c r="K957" s="143" t="n"/>
      <c r="L957" s="143" t="n"/>
      <c r="M957" s="143" t="n"/>
      <c r="N957" s="143" t="n"/>
      <c r="O957" s="143" t="n"/>
      <c r="P957" s="143" t="n"/>
      <c r="Q957" s="143" t="n"/>
      <c r="R957" s="143" t="n"/>
      <c r="S957" s="143" t="n"/>
      <c r="T957" s="143" t="n"/>
      <c r="U957" s="143" t="n"/>
      <c r="V957" s="143" t="n"/>
      <c r="W957" s="143" t="n"/>
      <c r="X957" s="143" t="n"/>
      <c r="Y957" s="143" t="n"/>
      <c r="Z957" s="143" t="n"/>
    </row>
    <row r="958" ht="19.5" customHeight="1" s="398">
      <c r="A958" s="149" t="n"/>
      <c r="B958" s="143" t="n"/>
      <c r="C958" s="143" t="n"/>
      <c r="D958" s="143" t="n"/>
      <c r="E958" s="143" t="n"/>
      <c r="F958" s="143" t="n"/>
      <c r="G958" s="143" t="n"/>
      <c r="H958" s="143" t="n"/>
      <c r="I958" s="143" t="n"/>
      <c r="J958" s="143" t="n"/>
      <c r="K958" s="143" t="n"/>
      <c r="L958" s="143" t="n"/>
      <c r="M958" s="143" t="n"/>
      <c r="N958" s="143" t="n"/>
      <c r="O958" s="143" t="n"/>
      <c r="P958" s="143" t="n"/>
      <c r="Q958" s="143" t="n"/>
      <c r="R958" s="143" t="n"/>
      <c r="S958" s="143" t="n"/>
      <c r="T958" s="143" t="n"/>
      <c r="U958" s="143" t="n"/>
      <c r="V958" s="143" t="n"/>
      <c r="W958" s="143" t="n"/>
      <c r="X958" s="143" t="n"/>
      <c r="Y958" s="143" t="n"/>
      <c r="Z958" s="143" t="n"/>
    </row>
    <row r="959" ht="19.5" customHeight="1" s="398">
      <c r="A959" s="149" t="n"/>
      <c r="B959" s="143" t="n"/>
      <c r="C959" s="143" t="n"/>
      <c r="D959" s="143" t="n"/>
      <c r="E959" s="143" t="n"/>
      <c r="F959" s="143" t="n"/>
      <c r="G959" s="143" t="n"/>
      <c r="H959" s="143" t="n"/>
      <c r="I959" s="143" t="n"/>
      <c r="J959" s="143" t="n"/>
      <c r="K959" s="143" t="n"/>
      <c r="L959" s="143" t="n"/>
      <c r="M959" s="143" t="n"/>
      <c r="N959" s="143" t="n"/>
      <c r="O959" s="143" t="n"/>
      <c r="P959" s="143" t="n"/>
      <c r="Q959" s="143" t="n"/>
      <c r="R959" s="143" t="n"/>
      <c r="S959" s="143" t="n"/>
      <c r="T959" s="143" t="n"/>
      <c r="U959" s="143" t="n"/>
      <c r="V959" s="143" t="n"/>
      <c r="W959" s="143" t="n"/>
      <c r="X959" s="143" t="n"/>
      <c r="Y959" s="143" t="n"/>
      <c r="Z959" s="143" t="n"/>
    </row>
    <row r="960" ht="19.5" customHeight="1" s="398">
      <c r="A960" s="149" t="n"/>
      <c r="B960" s="143" t="n"/>
      <c r="C960" s="143" t="n"/>
      <c r="D960" s="143" t="n"/>
      <c r="E960" s="143" t="n"/>
      <c r="F960" s="143" t="n"/>
      <c r="G960" s="143" t="n"/>
      <c r="H960" s="143" t="n"/>
      <c r="I960" s="143" t="n"/>
      <c r="J960" s="143" t="n"/>
      <c r="K960" s="143" t="n"/>
      <c r="L960" s="143" t="n"/>
      <c r="M960" s="143" t="n"/>
      <c r="N960" s="143" t="n"/>
      <c r="O960" s="143" t="n"/>
      <c r="P960" s="143" t="n"/>
      <c r="Q960" s="143" t="n"/>
      <c r="R960" s="143" t="n"/>
      <c r="S960" s="143" t="n"/>
      <c r="T960" s="143" t="n"/>
      <c r="U960" s="143" t="n"/>
      <c r="V960" s="143" t="n"/>
      <c r="W960" s="143" t="n"/>
      <c r="X960" s="143" t="n"/>
      <c r="Y960" s="143" t="n"/>
      <c r="Z960" s="143" t="n"/>
    </row>
    <row r="961" ht="19.5" customHeight="1" s="398">
      <c r="A961" s="149" t="n"/>
      <c r="B961" s="143" t="n"/>
      <c r="C961" s="143" t="n"/>
      <c r="D961" s="143" t="n"/>
      <c r="E961" s="143" t="n"/>
      <c r="F961" s="143" t="n"/>
      <c r="G961" s="143" t="n"/>
      <c r="H961" s="143" t="n"/>
      <c r="I961" s="143" t="n"/>
      <c r="J961" s="143" t="n"/>
      <c r="K961" s="143" t="n"/>
      <c r="L961" s="143" t="n"/>
      <c r="M961" s="143" t="n"/>
      <c r="N961" s="143" t="n"/>
      <c r="O961" s="143" t="n"/>
      <c r="P961" s="143" t="n"/>
      <c r="Q961" s="143" t="n"/>
      <c r="R961" s="143" t="n"/>
      <c r="S961" s="143" t="n"/>
      <c r="T961" s="143" t="n"/>
      <c r="U961" s="143" t="n"/>
      <c r="V961" s="143" t="n"/>
      <c r="W961" s="143" t="n"/>
      <c r="X961" s="143" t="n"/>
      <c r="Y961" s="143" t="n"/>
      <c r="Z961" s="143" t="n"/>
    </row>
    <row r="962" ht="19.5" customHeight="1" s="398">
      <c r="A962" s="149" t="n"/>
      <c r="B962" s="143" t="n"/>
      <c r="C962" s="143" t="n"/>
      <c r="D962" s="143" t="n"/>
      <c r="E962" s="143" t="n"/>
      <c r="F962" s="143" t="n"/>
      <c r="G962" s="143" t="n"/>
      <c r="H962" s="143" t="n"/>
      <c r="I962" s="143" t="n"/>
      <c r="J962" s="143" t="n"/>
      <c r="K962" s="143" t="n"/>
      <c r="L962" s="143" t="n"/>
      <c r="M962" s="143" t="n"/>
      <c r="N962" s="143" t="n"/>
      <c r="O962" s="143" t="n"/>
      <c r="P962" s="143" t="n"/>
      <c r="Q962" s="143" t="n"/>
      <c r="R962" s="143" t="n"/>
      <c r="S962" s="143" t="n"/>
      <c r="T962" s="143" t="n"/>
      <c r="U962" s="143" t="n"/>
      <c r="V962" s="143" t="n"/>
      <c r="W962" s="143" t="n"/>
      <c r="X962" s="143" t="n"/>
      <c r="Y962" s="143" t="n"/>
      <c r="Z962" s="143" t="n"/>
    </row>
    <row r="963" ht="19.5" customHeight="1" s="398">
      <c r="A963" s="149" t="n"/>
      <c r="B963" s="143" t="n"/>
      <c r="C963" s="143" t="n"/>
      <c r="D963" s="143" t="n"/>
      <c r="E963" s="143" t="n"/>
      <c r="F963" s="143" t="n"/>
      <c r="G963" s="143" t="n"/>
      <c r="H963" s="143" t="n"/>
      <c r="I963" s="143" t="n"/>
      <c r="J963" s="143" t="n"/>
      <c r="K963" s="143" t="n"/>
      <c r="L963" s="143" t="n"/>
      <c r="M963" s="143" t="n"/>
      <c r="N963" s="143" t="n"/>
      <c r="O963" s="143" t="n"/>
      <c r="P963" s="143" t="n"/>
      <c r="Q963" s="143" t="n"/>
      <c r="R963" s="143" t="n"/>
      <c r="S963" s="143" t="n"/>
      <c r="T963" s="143" t="n"/>
      <c r="U963" s="143" t="n"/>
      <c r="V963" s="143" t="n"/>
      <c r="W963" s="143" t="n"/>
      <c r="X963" s="143" t="n"/>
      <c r="Y963" s="143" t="n"/>
      <c r="Z963" s="143" t="n"/>
    </row>
    <row r="964" ht="19.5" customHeight="1" s="398">
      <c r="A964" s="149" t="n"/>
      <c r="B964" s="143" t="n"/>
      <c r="C964" s="143" t="n"/>
      <c r="D964" s="143" t="n"/>
      <c r="E964" s="143" t="n"/>
      <c r="F964" s="143" t="n"/>
      <c r="G964" s="143" t="n"/>
      <c r="H964" s="143" t="n"/>
      <c r="I964" s="143" t="n"/>
      <c r="J964" s="143" t="n"/>
      <c r="K964" s="143" t="n"/>
      <c r="L964" s="143" t="n"/>
      <c r="M964" s="143" t="n"/>
      <c r="N964" s="143" t="n"/>
      <c r="O964" s="143" t="n"/>
      <c r="P964" s="143" t="n"/>
      <c r="Q964" s="143" t="n"/>
      <c r="R964" s="143" t="n"/>
      <c r="S964" s="143" t="n"/>
      <c r="T964" s="143" t="n"/>
      <c r="U964" s="143" t="n"/>
      <c r="V964" s="143" t="n"/>
      <c r="W964" s="143" t="n"/>
      <c r="X964" s="143" t="n"/>
      <c r="Y964" s="143" t="n"/>
      <c r="Z964" s="143" t="n"/>
    </row>
    <row r="965" ht="19.5" customHeight="1" s="398">
      <c r="A965" s="149" t="n"/>
      <c r="B965" s="143" t="n"/>
      <c r="C965" s="143" t="n"/>
      <c r="D965" s="143" t="n"/>
      <c r="E965" s="143" t="n"/>
      <c r="F965" s="143" t="n"/>
      <c r="G965" s="143" t="n"/>
      <c r="H965" s="143" t="n"/>
      <c r="I965" s="143" t="n"/>
      <c r="J965" s="143" t="n"/>
      <c r="K965" s="143" t="n"/>
      <c r="L965" s="143" t="n"/>
      <c r="M965" s="143" t="n"/>
      <c r="N965" s="143" t="n"/>
      <c r="O965" s="143" t="n"/>
      <c r="P965" s="143" t="n"/>
      <c r="Q965" s="143" t="n"/>
      <c r="R965" s="143" t="n"/>
      <c r="S965" s="143" t="n"/>
      <c r="T965" s="143" t="n"/>
      <c r="U965" s="143" t="n"/>
      <c r="V965" s="143" t="n"/>
      <c r="W965" s="143" t="n"/>
      <c r="X965" s="143" t="n"/>
      <c r="Y965" s="143" t="n"/>
      <c r="Z965" s="143" t="n"/>
    </row>
    <row r="966" ht="19.5" customHeight="1" s="398">
      <c r="A966" s="149" t="n"/>
      <c r="B966" s="143" t="n"/>
      <c r="C966" s="143" t="n"/>
      <c r="D966" s="143" t="n"/>
      <c r="E966" s="143" t="n"/>
      <c r="F966" s="143" t="n"/>
      <c r="G966" s="143" t="n"/>
      <c r="H966" s="143" t="n"/>
      <c r="I966" s="143" t="n"/>
      <c r="J966" s="143" t="n"/>
      <c r="K966" s="143" t="n"/>
      <c r="L966" s="143" t="n"/>
      <c r="M966" s="143" t="n"/>
      <c r="N966" s="143" t="n"/>
      <c r="O966" s="143" t="n"/>
      <c r="P966" s="143" t="n"/>
      <c r="Q966" s="143" t="n"/>
      <c r="R966" s="143" t="n"/>
      <c r="S966" s="143" t="n"/>
      <c r="T966" s="143" t="n"/>
      <c r="U966" s="143" t="n"/>
      <c r="V966" s="143" t="n"/>
      <c r="W966" s="143" t="n"/>
      <c r="X966" s="143" t="n"/>
      <c r="Y966" s="143" t="n"/>
      <c r="Z966" s="143" t="n"/>
    </row>
    <row r="967" ht="19.5" customHeight="1" s="398">
      <c r="A967" s="149" t="n"/>
      <c r="B967" s="143" t="n"/>
      <c r="C967" s="143" t="n"/>
      <c r="D967" s="143" t="n"/>
      <c r="E967" s="143" t="n"/>
      <c r="F967" s="143" t="n"/>
      <c r="G967" s="143" t="n"/>
      <c r="H967" s="143" t="n"/>
      <c r="I967" s="143" t="n"/>
      <c r="J967" s="143" t="n"/>
      <c r="K967" s="143" t="n"/>
      <c r="L967" s="143" t="n"/>
      <c r="M967" s="143" t="n"/>
      <c r="N967" s="143" t="n"/>
      <c r="O967" s="143" t="n"/>
      <c r="P967" s="143" t="n"/>
      <c r="Q967" s="143" t="n"/>
      <c r="R967" s="143" t="n"/>
      <c r="S967" s="143" t="n"/>
      <c r="T967" s="143" t="n"/>
      <c r="U967" s="143" t="n"/>
      <c r="V967" s="143" t="n"/>
      <c r="W967" s="143" t="n"/>
      <c r="X967" s="143" t="n"/>
      <c r="Y967" s="143" t="n"/>
      <c r="Z967" s="143" t="n"/>
    </row>
    <row r="968" ht="19.5" customHeight="1" s="398">
      <c r="A968" s="149" t="n"/>
      <c r="B968" s="143" t="n"/>
      <c r="C968" s="143" t="n"/>
      <c r="D968" s="143" t="n"/>
      <c r="E968" s="143" t="n"/>
      <c r="F968" s="143" t="n"/>
      <c r="G968" s="143" t="n"/>
      <c r="H968" s="143" t="n"/>
      <c r="I968" s="143" t="n"/>
      <c r="J968" s="143" t="n"/>
      <c r="K968" s="143" t="n"/>
      <c r="L968" s="143" t="n"/>
      <c r="M968" s="143" t="n"/>
      <c r="N968" s="143" t="n"/>
      <c r="O968" s="143" t="n"/>
      <c r="P968" s="143" t="n"/>
      <c r="Q968" s="143" t="n"/>
      <c r="R968" s="143" t="n"/>
      <c r="S968" s="143" t="n"/>
      <c r="T968" s="143" t="n"/>
      <c r="U968" s="143" t="n"/>
      <c r="V968" s="143" t="n"/>
      <c r="W968" s="143" t="n"/>
      <c r="X968" s="143" t="n"/>
      <c r="Y968" s="143" t="n"/>
      <c r="Z968" s="143" t="n"/>
    </row>
    <row r="969" ht="19.5" customHeight="1" s="398">
      <c r="A969" s="149" t="n"/>
      <c r="B969" s="143" t="n"/>
      <c r="C969" s="143" t="n"/>
      <c r="D969" s="143" t="n"/>
      <c r="E969" s="143" t="n"/>
      <c r="F969" s="143" t="n"/>
      <c r="G969" s="143" t="n"/>
      <c r="H969" s="143" t="n"/>
      <c r="I969" s="143" t="n"/>
      <c r="J969" s="143" t="n"/>
      <c r="K969" s="143" t="n"/>
      <c r="L969" s="143" t="n"/>
      <c r="M969" s="143" t="n"/>
      <c r="N969" s="143" t="n"/>
      <c r="O969" s="143" t="n"/>
      <c r="P969" s="143" t="n"/>
      <c r="Q969" s="143" t="n"/>
      <c r="R969" s="143" t="n"/>
      <c r="S969" s="143" t="n"/>
      <c r="T969" s="143" t="n"/>
      <c r="U969" s="143" t="n"/>
      <c r="V969" s="143" t="n"/>
      <c r="W969" s="143" t="n"/>
      <c r="X969" s="143" t="n"/>
      <c r="Y969" s="143" t="n"/>
      <c r="Z969" s="143" t="n"/>
    </row>
    <row r="970" ht="19.5" customHeight="1" s="398">
      <c r="A970" s="149" t="n"/>
      <c r="B970" s="143" t="n"/>
      <c r="C970" s="143" t="n"/>
      <c r="D970" s="143" t="n"/>
      <c r="E970" s="143" t="n"/>
      <c r="F970" s="143" t="n"/>
      <c r="G970" s="143" t="n"/>
      <c r="H970" s="143" t="n"/>
      <c r="I970" s="143" t="n"/>
      <c r="J970" s="143" t="n"/>
      <c r="K970" s="143" t="n"/>
      <c r="L970" s="143" t="n"/>
      <c r="M970" s="143" t="n"/>
      <c r="N970" s="143" t="n"/>
      <c r="O970" s="143" t="n"/>
      <c r="P970" s="143" t="n"/>
      <c r="Q970" s="143" t="n"/>
      <c r="R970" s="143" t="n"/>
      <c r="S970" s="143" t="n"/>
      <c r="T970" s="143" t="n"/>
      <c r="U970" s="143" t="n"/>
      <c r="V970" s="143" t="n"/>
      <c r="W970" s="143" t="n"/>
      <c r="X970" s="143" t="n"/>
      <c r="Y970" s="143" t="n"/>
      <c r="Z970" s="143" t="n"/>
    </row>
    <row r="971" ht="19.5" customHeight="1" s="398">
      <c r="A971" s="149" t="n"/>
      <c r="B971" s="143" t="n"/>
      <c r="C971" s="143" t="n"/>
      <c r="D971" s="143" t="n"/>
      <c r="E971" s="143" t="n"/>
      <c r="F971" s="143" t="n"/>
      <c r="G971" s="143" t="n"/>
      <c r="H971" s="143" t="n"/>
      <c r="I971" s="143" t="n"/>
      <c r="J971" s="143" t="n"/>
      <c r="K971" s="143" t="n"/>
      <c r="L971" s="143" t="n"/>
      <c r="M971" s="143" t="n"/>
      <c r="N971" s="143" t="n"/>
      <c r="O971" s="143" t="n"/>
      <c r="P971" s="143" t="n"/>
      <c r="Q971" s="143" t="n"/>
      <c r="R971" s="143" t="n"/>
      <c r="S971" s="143" t="n"/>
      <c r="T971" s="143" t="n"/>
      <c r="U971" s="143" t="n"/>
      <c r="V971" s="143" t="n"/>
      <c r="W971" s="143" t="n"/>
      <c r="X971" s="143" t="n"/>
      <c r="Y971" s="143" t="n"/>
      <c r="Z971" s="143" t="n"/>
    </row>
    <row r="972" ht="19.5" customHeight="1" s="398">
      <c r="A972" s="149" t="n"/>
      <c r="B972" s="143" t="n"/>
      <c r="C972" s="143" t="n"/>
      <c r="D972" s="143" t="n"/>
      <c r="E972" s="143" t="n"/>
      <c r="F972" s="143" t="n"/>
      <c r="G972" s="143" t="n"/>
      <c r="H972" s="143" t="n"/>
      <c r="I972" s="143" t="n"/>
      <c r="J972" s="143" t="n"/>
      <c r="K972" s="143" t="n"/>
      <c r="L972" s="143" t="n"/>
      <c r="M972" s="143" t="n"/>
      <c r="N972" s="143" t="n"/>
      <c r="O972" s="143" t="n"/>
      <c r="P972" s="143" t="n"/>
      <c r="Q972" s="143" t="n"/>
      <c r="R972" s="143" t="n"/>
      <c r="S972" s="143" t="n"/>
      <c r="T972" s="143" t="n"/>
      <c r="U972" s="143" t="n"/>
      <c r="V972" s="143" t="n"/>
      <c r="W972" s="143" t="n"/>
      <c r="X972" s="143" t="n"/>
      <c r="Y972" s="143" t="n"/>
      <c r="Z972" s="143" t="n"/>
    </row>
    <row r="973" ht="19.5" customHeight="1" s="398">
      <c r="A973" s="149" t="n"/>
      <c r="B973" s="143" t="n"/>
      <c r="C973" s="143" t="n"/>
      <c r="D973" s="143" t="n"/>
      <c r="E973" s="143" t="n"/>
      <c r="F973" s="143" t="n"/>
      <c r="G973" s="143" t="n"/>
      <c r="H973" s="143" t="n"/>
      <c r="I973" s="143" t="n"/>
      <c r="J973" s="143" t="n"/>
      <c r="K973" s="143" t="n"/>
      <c r="L973" s="143" t="n"/>
      <c r="M973" s="143" t="n"/>
      <c r="N973" s="143" t="n"/>
      <c r="O973" s="143" t="n"/>
      <c r="P973" s="143" t="n"/>
      <c r="Q973" s="143" t="n"/>
      <c r="R973" s="143" t="n"/>
      <c r="S973" s="143" t="n"/>
      <c r="T973" s="143" t="n"/>
      <c r="U973" s="143" t="n"/>
      <c r="V973" s="143" t="n"/>
      <c r="W973" s="143" t="n"/>
      <c r="X973" s="143" t="n"/>
      <c r="Y973" s="143" t="n"/>
      <c r="Z973" s="143" t="n"/>
    </row>
    <row r="974" ht="19.5" customHeight="1" s="398">
      <c r="A974" s="149" t="n"/>
      <c r="B974" s="143" t="n"/>
      <c r="C974" s="143" t="n"/>
      <c r="D974" s="143" t="n"/>
      <c r="E974" s="143" t="n"/>
      <c r="F974" s="143" t="n"/>
      <c r="G974" s="143" t="n"/>
      <c r="H974" s="143" t="n"/>
      <c r="I974" s="143" t="n"/>
      <c r="J974" s="143" t="n"/>
      <c r="K974" s="143" t="n"/>
      <c r="L974" s="143" t="n"/>
      <c r="M974" s="143" t="n"/>
      <c r="N974" s="143" t="n"/>
      <c r="O974" s="143" t="n"/>
      <c r="P974" s="143" t="n"/>
      <c r="Q974" s="143" t="n"/>
      <c r="R974" s="143" t="n"/>
      <c r="S974" s="143" t="n"/>
      <c r="T974" s="143" t="n"/>
      <c r="U974" s="143" t="n"/>
      <c r="V974" s="143" t="n"/>
      <c r="W974" s="143" t="n"/>
      <c r="X974" s="143" t="n"/>
      <c r="Y974" s="143" t="n"/>
      <c r="Z974" s="143" t="n"/>
    </row>
    <row r="975" ht="19.5" customHeight="1" s="398">
      <c r="A975" s="149" t="n"/>
      <c r="B975" s="143" t="n"/>
      <c r="C975" s="143" t="n"/>
      <c r="D975" s="143" t="n"/>
      <c r="E975" s="143" t="n"/>
      <c r="F975" s="143" t="n"/>
      <c r="G975" s="143" t="n"/>
      <c r="H975" s="143" t="n"/>
      <c r="I975" s="143" t="n"/>
      <c r="J975" s="143" t="n"/>
      <c r="K975" s="143" t="n"/>
      <c r="L975" s="143" t="n"/>
      <c r="M975" s="143" t="n"/>
      <c r="N975" s="143" t="n"/>
      <c r="O975" s="143" t="n"/>
      <c r="P975" s="143" t="n"/>
      <c r="Q975" s="143" t="n"/>
      <c r="R975" s="143" t="n"/>
      <c r="S975" s="143" t="n"/>
      <c r="T975" s="143" t="n"/>
      <c r="U975" s="143" t="n"/>
      <c r="V975" s="143" t="n"/>
      <c r="W975" s="143" t="n"/>
      <c r="X975" s="143" t="n"/>
      <c r="Y975" s="143" t="n"/>
      <c r="Z975" s="143" t="n"/>
    </row>
    <row r="976" ht="19.5" customHeight="1" s="398">
      <c r="A976" s="149" t="n"/>
      <c r="B976" s="143" t="n"/>
      <c r="C976" s="143" t="n"/>
      <c r="D976" s="143" t="n"/>
      <c r="E976" s="143" t="n"/>
      <c r="F976" s="143" t="n"/>
      <c r="G976" s="143" t="n"/>
      <c r="H976" s="143" t="n"/>
      <c r="I976" s="143" t="n"/>
      <c r="J976" s="143" t="n"/>
      <c r="K976" s="143" t="n"/>
      <c r="L976" s="143" t="n"/>
      <c r="M976" s="143" t="n"/>
      <c r="N976" s="143" t="n"/>
      <c r="O976" s="143" t="n"/>
      <c r="P976" s="143" t="n"/>
      <c r="Q976" s="143" t="n"/>
      <c r="R976" s="143" t="n"/>
      <c r="S976" s="143" t="n"/>
      <c r="T976" s="143" t="n"/>
      <c r="U976" s="143" t="n"/>
      <c r="V976" s="143" t="n"/>
      <c r="W976" s="143" t="n"/>
      <c r="X976" s="143" t="n"/>
      <c r="Y976" s="143" t="n"/>
      <c r="Z976" s="143" t="n"/>
    </row>
    <row r="977" ht="19.5" customHeight="1" s="398">
      <c r="A977" s="149" t="n"/>
      <c r="B977" s="143" t="n"/>
      <c r="C977" s="143" t="n"/>
      <c r="D977" s="143" t="n"/>
      <c r="E977" s="143" t="n"/>
      <c r="F977" s="143" t="n"/>
      <c r="G977" s="143" t="n"/>
      <c r="H977" s="143" t="n"/>
      <c r="I977" s="143" t="n"/>
      <c r="J977" s="143" t="n"/>
      <c r="K977" s="143" t="n"/>
      <c r="L977" s="143" t="n"/>
      <c r="M977" s="143" t="n"/>
      <c r="N977" s="143" t="n"/>
      <c r="O977" s="143" t="n"/>
      <c r="P977" s="143" t="n"/>
      <c r="Q977" s="143" t="n"/>
      <c r="R977" s="143" t="n"/>
      <c r="S977" s="143" t="n"/>
      <c r="T977" s="143" t="n"/>
      <c r="U977" s="143" t="n"/>
      <c r="V977" s="143" t="n"/>
      <c r="W977" s="143" t="n"/>
      <c r="X977" s="143" t="n"/>
      <c r="Y977" s="143" t="n"/>
      <c r="Z977" s="143" t="n"/>
    </row>
    <row r="978" ht="19.5" customHeight="1" s="398">
      <c r="A978" s="149" t="n"/>
      <c r="B978" s="143" t="n"/>
      <c r="C978" s="143" t="n"/>
      <c r="D978" s="143" t="n"/>
      <c r="E978" s="143" t="n"/>
      <c r="F978" s="143" t="n"/>
      <c r="G978" s="143" t="n"/>
      <c r="H978" s="143" t="n"/>
      <c r="I978" s="143" t="n"/>
      <c r="J978" s="143" t="n"/>
      <c r="K978" s="143" t="n"/>
      <c r="L978" s="143" t="n"/>
      <c r="M978" s="143" t="n"/>
      <c r="N978" s="143" t="n"/>
      <c r="O978" s="143" t="n"/>
      <c r="P978" s="143" t="n"/>
      <c r="Q978" s="143" t="n"/>
      <c r="R978" s="143" t="n"/>
      <c r="S978" s="143" t="n"/>
      <c r="T978" s="143" t="n"/>
      <c r="U978" s="143" t="n"/>
      <c r="V978" s="143" t="n"/>
      <c r="W978" s="143" t="n"/>
      <c r="X978" s="143" t="n"/>
      <c r="Y978" s="143" t="n"/>
      <c r="Z978" s="143" t="n"/>
    </row>
    <row r="979" ht="19.5" customHeight="1" s="398">
      <c r="A979" s="149" t="n"/>
      <c r="B979" s="143" t="n"/>
      <c r="C979" s="143" t="n"/>
      <c r="D979" s="143" t="n"/>
      <c r="E979" s="143" t="n"/>
      <c r="F979" s="143" t="n"/>
      <c r="G979" s="143" t="n"/>
      <c r="H979" s="143" t="n"/>
      <c r="I979" s="143" t="n"/>
      <c r="J979" s="143" t="n"/>
      <c r="K979" s="143" t="n"/>
      <c r="L979" s="143" t="n"/>
      <c r="M979" s="143" t="n"/>
      <c r="N979" s="143" t="n"/>
      <c r="O979" s="143" t="n"/>
      <c r="P979" s="143" t="n"/>
      <c r="Q979" s="143" t="n"/>
      <c r="R979" s="143" t="n"/>
      <c r="S979" s="143" t="n"/>
      <c r="T979" s="143" t="n"/>
      <c r="U979" s="143" t="n"/>
      <c r="V979" s="143" t="n"/>
      <c r="W979" s="143" t="n"/>
      <c r="X979" s="143" t="n"/>
      <c r="Y979" s="143" t="n"/>
      <c r="Z979" s="143" t="n"/>
    </row>
    <row r="980" ht="19.5" customHeight="1" s="398">
      <c r="A980" s="149" t="n"/>
      <c r="B980" s="143" t="n"/>
      <c r="C980" s="143" t="n"/>
      <c r="D980" s="143" t="n"/>
      <c r="E980" s="143" t="n"/>
      <c r="F980" s="143" t="n"/>
      <c r="G980" s="143" t="n"/>
      <c r="H980" s="143" t="n"/>
      <c r="I980" s="143" t="n"/>
      <c r="J980" s="143" t="n"/>
      <c r="K980" s="143" t="n"/>
      <c r="L980" s="143" t="n"/>
      <c r="M980" s="143" t="n"/>
      <c r="N980" s="143" t="n"/>
      <c r="O980" s="143" t="n"/>
      <c r="P980" s="143" t="n"/>
      <c r="Q980" s="143" t="n"/>
      <c r="R980" s="143" t="n"/>
      <c r="S980" s="143" t="n"/>
      <c r="T980" s="143" t="n"/>
      <c r="U980" s="143" t="n"/>
      <c r="V980" s="143" t="n"/>
      <c r="W980" s="143" t="n"/>
      <c r="X980" s="143" t="n"/>
      <c r="Y980" s="143" t="n"/>
      <c r="Z980" s="143" t="n"/>
    </row>
    <row r="981" ht="19.5" customHeight="1" s="398">
      <c r="A981" s="149" t="n"/>
      <c r="B981" s="143" t="n"/>
      <c r="C981" s="143" t="n"/>
      <c r="D981" s="143" t="n"/>
      <c r="E981" s="143" t="n"/>
      <c r="F981" s="143" t="n"/>
      <c r="G981" s="143" t="n"/>
      <c r="H981" s="143" t="n"/>
      <c r="I981" s="143" t="n"/>
      <c r="J981" s="143" t="n"/>
      <c r="K981" s="143" t="n"/>
      <c r="L981" s="143" t="n"/>
      <c r="M981" s="143" t="n"/>
      <c r="N981" s="143" t="n"/>
      <c r="O981" s="143" t="n"/>
      <c r="P981" s="143" t="n"/>
      <c r="Q981" s="143" t="n"/>
      <c r="R981" s="143" t="n"/>
      <c r="S981" s="143" t="n"/>
      <c r="T981" s="143" t="n"/>
      <c r="U981" s="143" t="n"/>
      <c r="V981" s="143" t="n"/>
      <c r="W981" s="143" t="n"/>
      <c r="X981" s="143" t="n"/>
      <c r="Y981" s="143" t="n"/>
      <c r="Z981" s="143" t="n"/>
    </row>
    <row r="982" ht="19.5" customHeight="1" s="398">
      <c r="A982" s="149" t="n"/>
      <c r="B982" s="143" t="n"/>
      <c r="C982" s="143" t="n"/>
      <c r="D982" s="143" t="n"/>
      <c r="E982" s="143" t="n"/>
      <c r="F982" s="143" t="n"/>
      <c r="G982" s="143" t="n"/>
      <c r="H982" s="143" t="n"/>
      <c r="I982" s="143" t="n"/>
      <c r="J982" s="143" t="n"/>
      <c r="K982" s="143" t="n"/>
      <c r="L982" s="143" t="n"/>
      <c r="M982" s="143" t="n"/>
      <c r="N982" s="143" t="n"/>
      <c r="O982" s="143" t="n"/>
      <c r="P982" s="143" t="n"/>
      <c r="Q982" s="143" t="n"/>
      <c r="R982" s="143" t="n"/>
      <c r="S982" s="143" t="n"/>
      <c r="T982" s="143" t="n"/>
      <c r="U982" s="143" t="n"/>
      <c r="V982" s="143" t="n"/>
      <c r="W982" s="143" t="n"/>
      <c r="X982" s="143" t="n"/>
      <c r="Y982" s="143" t="n"/>
      <c r="Z982" s="143" t="n"/>
    </row>
    <row r="983" ht="19.5" customHeight="1" s="398">
      <c r="A983" s="149" t="n"/>
      <c r="B983" s="143" t="n"/>
      <c r="C983" s="143" t="n"/>
      <c r="D983" s="143" t="n"/>
      <c r="E983" s="143" t="n"/>
      <c r="F983" s="143" t="n"/>
      <c r="G983" s="143" t="n"/>
      <c r="H983" s="143" t="n"/>
      <c r="I983" s="143" t="n"/>
      <c r="J983" s="143" t="n"/>
      <c r="K983" s="143" t="n"/>
      <c r="L983" s="143" t="n"/>
      <c r="M983" s="143" t="n"/>
      <c r="N983" s="143" t="n"/>
      <c r="O983" s="143" t="n"/>
      <c r="P983" s="143" t="n"/>
      <c r="Q983" s="143" t="n"/>
      <c r="R983" s="143" t="n"/>
      <c r="S983" s="143" t="n"/>
      <c r="T983" s="143" t="n"/>
      <c r="U983" s="143" t="n"/>
      <c r="V983" s="143" t="n"/>
      <c r="W983" s="143" t="n"/>
      <c r="X983" s="143" t="n"/>
      <c r="Y983" s="143" t="n"/>
      <c r="Z983" s="143" t="n"/>
    </row>
    <row r="984" ht="19.5" customHeight="1" s="398">
      <c r="A984" s="149" t="n"/>
      <c r="B984" s="143" t="n"/>
      <c r="C984" s="143" t="n"/>
      <c r="D984" s="143" t="n"/>
      <c r="E984" s="143" t="n"/>
      <c r="F984" s="143" t="n"/>
      <c r="G984" s="143" t="n"/>
      <c r="H984" s="143" t="n"/>
      <c r="I984" s="143" t="n"/>
      <c r="J984" s="143" t="n"/>
      <c r="K984" s="143" t="n"/>
      <c r="L984" s="143" t="n"/>
      <c r="M984" s="143" t="n"/>
      <c r="N984" s="143" t="n"/>
      <c r="O984" s="143" t="n"/>
      <c r="P984" s="143" t="n"/>
      <c r="Q984" s="143" t="n"/>
      <c r="R984" s="143" t="n"/>
      <c r="S984" s="143" t="n"/>
      <c r="T984" s="143" t="n"/>
      <c r="U984" s="143" t="n"/>
      <c r="V984" s="143" t="n"/>
      <c r="W984" s="143" t="n"/>
      <c r="X984" s="143" t="n"/>
      <c r="Y984" s="143" t="n"/>
      <c r="Z984" s="143" t="n"/>
    </row>
    <row r="985" ht="19.5" customHeight="1" s="398">
      <c r="A985" s="149" t="n"/>
      <c r="B985" s="143" t="n"/>
      <c r="C985" s="143" t="n"/>
      <c r="D985" s="143" t="n"/>
      <c r="E985" s="143" t="n"/>
      <c r="F985" s="143" t="n"/>
      <c r="G985" s="143" t="n"/>
      <c r="H985" s="143" t="n"/>
      <c r="I985" s="143" t="n"/>
      <c r="J985" s="143" t="n"/>
      <c r="K985" s="143" t="n"/>
      <c r="L985" s="143" t="n"/>
      <c r="M985" s="143" t="n"/>
      <c r="N985" s="143" t="n"/>
      <c r="O985" s="143" t="n"/>
      <c r="P985" s="143" t="n"/>
      <c r="Q985" s="143" t="n"/>
      <c r="R985" s="143" t="n"/>
      <c r="S985" s="143" t="n"/>
      <c r="T985" s="143" t="n"/>
      <c r="U985" s="143" t="n"/>
      <c r="V985" s="143" t="n"/>
      <c r="W985" s="143" t="n"/>
      <c r="X985" s="143" t="n"/>
      <c r="Y985" s="143" t="n"/>
      <c r="Z985" s="143" t="n"/>
    </row>
    <row r="986" ht="19.5" customHeight="1" s="398">
      <c r="A986" s="149" t="n"/>
      <c r="B986" s="143" t="n"/>
      <c r="C986" s="143" t="n"/>
      <c r="D986" s="143" t="n"/>
      <c r="E986" s="143" t="n"/>
      <c r="F986" s="143" t="n"/>
      <c r="G986" s="143" t="n"/>
      <c r="H986" s="143" t="n"/>
      <c r="I986" s="143" t="n"/>
      <c r="J986" s="143" t="n"/>
      <c r="K986" s="143" t="n"/>
      <c r="L986" s="143" t="n"/>
      <c r="M986" s="143" t="n"/>
      <c r="N986" s="143" t="n"/>
      <c r="O986" s="143" t="n"/>
      <c r="P986" s="143" t="n"/>
      <c r="Q986" s="143" t="n"/>
      <c r="R986" s="143" t="n"/>
      <c r="S986" s="143" t="n"/>
      <c r="T986" s="143" t="n"/>
      <c r="U986" s="143" t="n"/>
      <c r="V986" s="143" t="n"/>
      <c r="W986" s="143" t="n"/>
      <c r="X986" s="143" t="n"/>
      <c r="Y986" s="143" t="n"/>
      <c r="Z986" s="143" t="n"/>
    </row>
    <row r="987" ht="19.5" customHeight="1" s="398">
      <c r="A987" s="149" t="n"/>
      <c r="B987" s="143" t="n"/>
      <c r="C987" s="143" t="n"/>
      <c r="D987" s="143" t="n"/>
      <c r="E987" s="143" t="n"/>
      <c r="F987" s="143" t="n"/>
      <c r="G987" s="143" t="n"/>
      <c r="H987" s="143" t="n"/>
      <c r="I987" s="143" t="n"/>
      <c r="J987" s="143" t="n"/>
      <c r="K987" s="143" t="n"/>
      <c r="L987" s="143" t="n"/>
      <c r="M987" s="143" t="n"/>
      <c r="N987" s="143" t="n"/>
      <c r="O987" s="143" t="n"/>
      <c r="P987" s="143" t="n"/>
      <c r="Q987" s="143" t="n"/>
      <c r="R987" s="143" t="n"/>
      <c r="S987" s="143" t="n"/>
      <c r="T987" s="143" t="n"/>
      <c r="U987" s="143" t="n"/>
      <c r="V987" s="143" t="n"/>
      <c r="W987" s="143" t="n"/>
      <c r="X987" s="143" t="n"/>
      <c r="Y987" s="143" t="n"/>
      <c r="Z987" s="143" t="n"/>
    </row>
    <row r="988" ht="19.5" customHeight="1" s="398">
      <c r="A988" s="149" t="n"/>
      <c r="B988" s="143" t="n"/>
      <c r="C988" s="143" t="n"/>
      <c r="D988" s="143" t="n"/>
      <c r="E988" s="143" t="n"/>
      <c r="F988" s="143" t="n"/>
      <c r="G988" s="143" t="n"/>
      <c r="H988" s="143" t="n"/>
      <c r="I988" s="143" t="n"/>
      <c r="J988" s="143" t="n"/>
      <c r="K988" s="143" t="n"/>
      <c r="L988" s="143" t="n"/>
      <c r="M988" s="143" t="n"/>
      <c r="N988" s="143" t="n"/>
      <c r="O988" s="143" t="n"/>
      <c r="P988" s="143" t="n"/>
      <c r="Q988" s="143" t="n"/>
      <c r="R988" s="143" t="n"/>
      <c r="S988" s="143" t="n"/>
      <c r="T988" s="143" t="n"/>
      <c r="U988" s="143" t="n"/>
      <c r="V988" s="143" t="n"/>
      <c r="W988" s="143" t="n"/>
      <c r="X988" s="143" t="n"/>
      <c r="Y988" s="143" t="n"/>
      <c r="Z988" s="143" t="n"/>
    </row>
    <row r="989" ht="19.5" customHeight="1" s="398">
      <c r="A989" s="149" t="n"/>
      <c r="B989" s="143" t="n"/>
      <c r="C989" s="143" t="n"/>
      <c r="D989" s="143" t="n"/>
      <c r="E989" s="143" t="n"/>
      <c r="F989" s="143" t="n"/>
      <c r="G989" s="143" t="n"/>
      <c r="H989" s="143" t="n"/>
      <c r="I989" s="143" t="n"/>
      <c r="J989" s="143" t="n"/>
      <c r="K989" s="143" t="n"/>
      <c r="L989" s="143" t="n"/>
      <c r="M989" s="143" t="n"/>
      <c r="N989" s="143" t="n"/>
      <c r="O989" s="143" t="n"/>
      <c r="P989" s="143" t="n"/>
      <c r="Q989" s="143" t="n"/>
      <c r="R989" s="143" t="n"/>
      <c r="S989" s="143" t="n"/>
      <c r="T989" s="143" t="n"/>
      <c r="U989" s="143" t="n"/>
      <c r="V989" s="143" t="n"/>
      <c r="W989" s="143" t="n"/>
      <c r="X989" s="143" t="n"/>
      <c r="Y989" s="143" t="n"/>
      <c r="Z989" s="143" t="n"/>
    </row>
    <row r="990" ht="19.5" customHeight="1" s="398">
      <c r="A990" s="149" t="n"/>
      <c r="B990" s="143" t="n"/>
      <c r="C990" s="143" t="n"/>
      <c r="D990" s="143" t="n"/>
      <c r="E990" s="143" t="n"/>
      <c r="F990" s="143" t="n"/>
      <c r="G990" s="143" t="n"/>
      <c r="H990" s="143" t="n"/>
      <c r="I990" s="143" t="n"/>
      <c r="J990" s="143" t="n"/>
      <c r="K990" s="143" t="n"/>
      <c r="L990" s="143" t="n"/>
      <c r="M990" s="143" t="n"/>
      <c r="N990" s="143" t="n"/>
      <c r="O990" s="143" t="n"/>
      <c r="P990" s="143" t="n"/>
      <c r="Q990" s="143" t="n"/>
      <c r="R990" s="143" t="n"/>
      <c r="S990" s="143" t="n"/>
      <c r="T990" s="143" t="n"/>
      <c r="U990" s="143" t="n"/>
      <c r="V990" s="143" t="n"/>
      <c r="W990" s="143" t="n"/>
      <c r="X990" s="143" t="n"/>
      <c r="Y990" s="143" t="n"/>
      <c r="Z990" s="143" t="n"/>
    </row>
    <row r="991" ht="19.5" customHeight="1" s="398">
      <c r="A991" s="149" t="n"/>
      <c r="B991" s="143" t="n"/>
      <c r="C991" s="143" t="n"/>
      <c r="D991" s="143" t="n"/>
      <c r="E991" s="143" t="n"/>
      <c r="F991" s="143" t="n"/>
      <c r="G991" s="143" t="n"/>
      <c r="H991" s="143" t="n"/>
      <c r="I991" s="143" t="n"/>
      <c r="J991" s="143" t="n"/>
      <c r="K991" s="143" t="n"/>
      <c r="L991" s="143" t="n"/>
      <c r="M991" s="143" t="n"/>
      <c r="N991" s="143" t="n"/>
      <c r="O991" s="143" t="n"/>
      <c r="P991" s="143" t="n"/>
      <c r="Q991" s="143" t="n"/>
      <c r="R991" s="143" t="n"/>
      <c r="S991" s="143" t="n"/>
      <c r="T991" s="143" t="n"/>
      <c r="U991" s="143" t="n"/>
      <c r="V991" s="143" t="n"/>
      <c r="W991" s="143" t="n"/>
      <c r="X991" s="143" t="n"/>
      <c r="Y991" s="143" t="n"/>
      <c r="Z991" s="143" t="n"/>
    </row>
    <row r="992" ht="19.5" customHeight="1" s="398">
      <c r="A992" s="149" t="n"/>
      <c r="B992" s="143" t="n"/>
      <c r="C992" s="143" t="n"/>
      <c r="D992" s="143" t="n"/>
      <c r="E992" s="143" t="n"/>
      <c r="F992" s="143" t="n"/>
      <c r="G992" s="143" t="n"/>
      <c r="H992" s="143" t="n"/>
      <c r="I992" s="143" t="n"/>
      <c r="J992" s="143" t="n"/>
      <c r="K992" s="143" t="n"/>
      <c r="L992" s="143" t="n"/>
      <c r="M992" s="143" t="n"/>
      <c r="N992" s="143" t="n"/>
      <c r="O992" s="143" t="n"/>
      <c r="P992" s="143" t="n"/>
      <c r="Q992" s="143" t="n"/>
      <c r="R992" s="143" t="n"/>
      <c r="S992" s="143" t="n"/>
      <c r="T992" s="143" t="n"/>
      <c r="U992" s="143" t="n"/>
      <c r="V992" s="143" t="n"/>
      <c r="W992" s="143" t="n"/>
      <c r="X992" s="143" t="n"/>
      <c r="Y992" s="143" t="n"/>
      <c r="Z992" s="143" t="n"/>
    </row>
    <row r="993" ht="19.5" customHeight="1" s="398">
      <c r="A993" s="149" t="n"/>
      <c r="B993" s="143" t="n"/>
      <c r="C993" s="143" t="n"/>
      <c r="D993" s="143" t="n"/>
      <c r="E993" s="143" t="n"/>
      <c r="F993" s="143" t="n"/>
      <c r="G993" s="143" t="n"/>
      <c r="H993" s="143" t="n"/>
      <c r="I993" s="143" t="n"/>
      <c r="J993" s="143" t="n"/>
      <c r="K993" s="143" t="n"/>
      <c r="L993" s="143" t="n"/>
      <c r="M993" s="143" t="n"/>
      <c r="N993" s="143" t="n"/>
      <c r="O993" s="143" t="n"/>
      <c r="P993" s="143" t="n"/>
      <c r="Q993" s="143" t="n"/>
      <c r="R993" s="143" t="n"/>
      <c r="S993" s="143" t="n"/>
      <c r="T993" s="143" t="n"/>
      <c r="U993" s="143" t="n"/>
      <c r="V993" s="143" t="n"/>
      <c r="W993" s="143" t="n"/>
      <c r="X993" s="143" t="n"/>
      <c r="Y993" s="143" t="n"/>
      <c r="Z993" s="143" t="n"/>
    </row>
    <row r="994" ht="19.5" customHeight="1" s="398">
      <c r="A994" s="149" t="n"/>
      <c r="B994" s="143" t="n"/>
      <c r="C994" s="143" t="n"/>
      <c r="D994" s="143" t="n"/>
      <c r="E994" s="143" t="n"/>
      <c r="F994" s="143" t="n"/>
      <c r="G994" s="143" t="n"/>
      <c r="H994" s="143" t="n"/>
      <c r="I994" s="143" t="n"/>
      <c r="J994" s="143" t="n"/>
      <c r="K994" s="143" t="n"/>
      <c r="L994" s="143" t="n"/>
      <c r="M994" s="143" t="n"/>
      <c r="N994" s="143" t="n"/>
      <c r="O994" s="143" t="n"/>
      <c r="P994" s="143" t="n"/>
      <c r="Q994" s="143" t="n"/>
      <c r="R994" s="143" t="n"/>
      <c r="S994" s="143" t="n"/>
      <c r="T994" s="143" t="n"/>
      <c r="U994" s="143" t="n"/>
      <c r="V994" s="143" t="n"/>
      <c r="W994" s="143" t="n"/>
      <c r="X994" s="143" t="n"/>
      <c r="Y994" s="143" t="n"/>
      <c r="Z994" s="143" t="n"/>
    </row>
  </sheetData>
  <mergeCells count="17">
    <mergeCell ref="H56:I56"/>
    <mergeCell ref="E50:F50"/>
    <mergeCell ref="B2:M2"/>
    <mergeCell ref="N56:O56"/>
    <mergeCell ref="E62:F62"/>
    <mergeCell ref="E68:F68"/>
    <mergeCell ref="H62:I62"/>
    <mergeCell ref="N2:O2"/>
    <mergeCell ref="K50:L50"/>
    <mergeCell ref="N50:O50"/>
    <mergeCell ref="A1:O1"/>
    <mergeCell ref="N62:O62"/>
    <mergeCell ref="H50:I50"/>
    <mergeCell ref="K62:L62"/>
    <mergeCell ref="E56:F56"/>
    <mergeCell ref="E74:F74"/>
    <mergeCell ref="K56:L56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C3:I10"/>
  <sheetViews>
    <sheetView workbookViewId="0">
      <selection activeCell="I5" sqref="I5"/>
    </sheetView>
  </sheetViews>
  <sheetFormatPr baseColWidth="8" defaultColWidth="19.5703125" defaultRowHeight="16.5" customHeight="1"/>
  <cols>
    <col width="19.5703125" customWidth="1" style="449" min="1" max="16384"/>
  </cols>
  <sheetData>
    <row r="3" ht="16.5" customHeight="1" s="398">
      <c r="C3" s="453" t="inlineStr">
        <is>
          <t>ANO</t>
        </is>
      </c>
      <c r="D3" s="453" t="n">
        <v>2023</v>
      </c>
      <c r="E3" s="537" t="n"/>
      <c r="F3" s="453" t="n">
        <v>2024</v>
      </c>
      <c r="G3" s="537" t="n"/>
      <c r="H3" s="453" t="n">
        <v>2025</v>
      </c>
      <c r="I3" s="537" t="n"/>
    </row>
    <row r="4" ht="16.5" customHeight="1" s="398">
      <c r="C4" s="453" t="inlineStr">
        <is>
          <t>CONTA</t>
        </is>
      </c>
      <c r="D4" s="453" t="inlineStr">
        <is>
          <t>MAR</t>
        </is>
      </c>
      <c r="E4" s="453" t="inlineStr">
        <is>
          <t>FEV</t>
        </is>
      </c>
      <c r="F4" s="453" t="inlineStr">
        <is>
          <t>MAR</t>
        </is>
      </c>
      <c r="G4" s="453" t="inlineStr">
        <is>
          <t>FEV</t>
        </is>
      </c>
      <c r="H4" s="453" t="inlineStr">
        <is>
          <t>MAR</t>
        </is>
      </c>
      <c r="I4" s="453" t="inlineStr">
        <is>
          <t>MOMENTO</t>
        </is>
      </c>
    </row>
    <row r="5" ht="16.5" customHeight="1" s="398">
      <c r="C5" s="450" t="inlineStr">
        <is>
          <t>PRINCIPAL</t>
        </is>
      </c>
      <c r="D5" s="538">
        <f>'RS 2023'!C10</f>
        <v/>
      </c>
      <c r="E5" s="538">
        <f>'RS 2023'!N10</f>
        <v/>
      </c>
      <c r="F5" s="538">
        <f>'RS 2024'!C10</f>
        <v/>
      </c>
      <c r="G5" s="539">
        <f>'RS 2024'!N10</f>
        <v/>
      </c>
      <c r="H5" s="538">
        <f>'RS 2025'!C10</f>
        <v/>
      </c>
      <c r="I5" s="538">
        <f>'RS 2025'!H10</f>
        <v/>
      </c>
    </row>
    <row r="6" ht="16.5" customHeight="1" s="398">
      <c r="C6" s="450" t="inlineStr">
        <is>
          <t>SALA DE EVENTOS</t>
        </is>
      </c>
      <c r="D6" s="538">
        <f>'RS 2023'!C16</f>
        <v/>
      </c>
      <c r="E6" s="538">
        <f>'RS 2023'!N16</f>
        <v/>
      </c>
      <c r="F6" s="538">
        <f>'RS 2024'!C16</f>
        <v/>
      </c>
      <c r="G6" s="538">
        <f>'RS 2024'!N16</f>
        <v/>
      </c>
      <c r="H6" s="538">
        <f>'RS 2025'!C16</f>
        <v/>
      </c>
      <c r="I6" s="538">
        <f>'RS 2025'!H16</f>
        <v/>
      </c>
    </row>
    <row r="7" ht="16.5" customHeight="1" s="398">
      <c r="C7" s="450" t="inlineStr">
        <is>
          <t>ESTACIONAMENTO</t>
        </is>
      </c>
      <c r="D7" s="538">
        <f>'RS 2023'!C22</f>
        <v/>
      </c>
      <c r="E7" s="538">
        <f>'RS 2023'!N22</f>
        <v/>
      </c>
      <c r="F7" s="538">
        <f>'RS 2024'!C22</f>
        <v/>
      </c>
      <c r="G7" s="538">
        <f>'RS 2024'!N22</f>
        <v/>
      </c>
      <c r="H7" s="538">
        <f>'RS 2025'!C22</f>
        <v/>
      </c>
      <c r="I7" s="538">
        <f>'RS 2025'!H22</f>
        <v/>
      </c>
    </row>
    <row r="8" ht="16.5" customHeight="1" s="398">
      <c r="C8" s="450" t="inlineStr">
        <is>
          <t>INADIMPLÊNCIA</t>
        </is>
      </c>
      <c r="D8" s="538">
        <f>'RS 2023'!C26</f>
        <v/>
      </c>
      <c r="E8" s="538">
        <f>'RS 2023'!N26</f>
        <v/>
      </c>
      <c r="F8" s="538">
        <f>'RS 2024'!C26</f>
        <v/>
      </c>
      <c r="G8" s="538">
        <f>'RS 2024'!N26</f>
        <v/>
      </c>
      <c r="H8" s="538">
        <f>'RS 2025'!C26</f>
        <v/>
      </c>
      <c r="I8" s="538">
        <f>'RS 2025'!G26</f>
        <v/>
      </c>
    </row>
    <row r="9" ht="16.5" customHeight="1" s="398">
      <c r="C9" s="450" t="inlineStr">
        <is>
          <t>FUNDO RESERVAS</t>
        </is>
      </c>
      <c r="D9" s="538">
        <f>'RS 2023'!C30</f>
        <v/>
      </c>
      <c r="E9" s="538">
        <f>'RS 2023'!N30</f>
        <v/>
      </c>
      <c r="F9" s="538">
        <f>'RS 2024'!C30</f>
        <v/>
      </c>
      <c r="G9" s="538">
        <f>'RS 2024'!N30</f>
        <v/>
      </c>
      <c r="H9" s="538">
        <f>'RS 2025'!C30</f>
        <v/>
      </c>
      <c r="I9" s="538">
        <f>'RS 2025'!H26</f>
        <v/>
      </c>
    </row>
    <row r="10" ht="16.5" customHeight="1" s="398">
      <c r="C10" s="455" t="inlineStr">
        <is>
          <t>TOTAL</t>
        </is>
      </c>
      <c r="D10" s="540">
        <f>SUM(D5:D9)</f>
        <v/>
      </c>
      <c r="E10" s="540">
        <f>SUM(E5:E9)</f>
        <v/>
      </c>
      <c r="F10" s="540">
        <f>SUM(F5:F9)</f>
        <v/>
      </c>
      <c r="G10" s="540">
        <f>SUM(G5:G9)</f>
        <v/>
      </c>
      <c r="H10" s="540">
        <f>SUM(H5:H9)</f>
        <v/>
      </c>
      <c r="I10" s="540">
        <f>SUM(I5:I9)</f>
        <v/>
      </c>
    </row>
  </sheetData>
  <mergeCells count="3">
    <mergeCell ref="F3:G3"/>
    <mergeCell ref="D3:E3"/>
    <mergeCell ref="H3:I3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008080"/>
    <outlinePr summaryBelow="1" summaryRight="1"/>
    <pageSetUpPr/>
  </sheetPr>
  <dimension ref="A1:AF274"/>
  <sheetViews>
    <sheetView showGridLines="0" workbookViewId="0">
      <selection activeCell="A1" sqref="A1"/>
    </sheetView>
  </sheetViews>
  <sheetFormatPr baseColWidth="8" defaultColWidth="12.7109375" defaultRowHeight="15" customHeight="1"/>
  <cols>
    <col width="77" customWidth="1" style="398" min="1" max="1"/>
    <col width="0.85546875" customWidth="1" style="398" min="2" max="2"/>
    <col width="16.28515625" customWidth="1" style="398" min="3" max="3"/>
    <col width="3.140625" customWidth="1" style="398" min="4" max="4"/>
    <col width="16.28515625" customWidth="1" style="398" min="5" max="5"/>
    <col width="0.85546875" customWidth="1" style="398" min="6" max="6"/>
    <col width="16" customWidth="1" style="398" min="7" max="7"/>
    <col hidden="1" width="14.28515625" customWidth="1" style="398" min="8" max="8"/>
    <col width="13.28515625" customWidth="1" style="398" min="9" max="9"/>
    <col width="17" customWidth="1" style="398" min="10" max="10"/>
    <col width="14.7109375" customWidth="1" style="398" min="11" max="11"/>
    <col width="17.7109375" customWidth="1" style="398" min="12" max="12"/>
    <col width="11.7109375" customWidth="1" style="398" min="13" max="32"/>
  </cols>
  <sheetData>
    <row r="1">
      <c r="A1" s="150" t="n"/>
      <c r="B1" s="151" t="n"/>
      <c r="C1" s="152" t="n"/>
      <c r="D1" s="151" t="n"/>
      <c r="E1" s="152" t="n"/>
      <c r="F1" s="153" t="n"/>
      <c r="G1" s="154" t="n"/>
      <c r="H1" s="541" t="n"/>
      <c r="I1" s="542" t="n"/>
      <c r="J1" s="541" t="n"/>
      <c r="K1" s="157" t="n"/>
      <c r="L1" s="157" t="n"/>
      <c r="M1" s="157" t="n"/>
      <c r="N1" s="157" t="n"/>
      <c r="O1" s="157" t="n"/>
      <c r="P1" s="157" t="n"/>
      <c r="Q1" s="157" t="n"/>
      <c r="R1" s="157" t="n"/>
      <c r="S1" s="157" t="n"/>
      <c r="T1" s="157" t="n"/>
      <c r="U1" s="157" t="n"/>
      <c r="V1" s="157" t="n"/>
      <c r="W1" s="157" t="n"/>
      <c r="X1" s="157" t="n"/>
      <c r="Y1" s="157" t="n"/>
      <c r="Z1" s="157" t="n"/>
      <c r="AA1" s="157" t="n"/>
      <c r="AB1" s="157" t="n"/>
      <c r="AC1" s="157" t="n"/>
      <c r="AD1" s="157" t="n"/>
      <c r="AE1" s="158" t="n"/>
      <c r="AF1" s="158" t="n"/>
    </row>
    <row r="2" ht="37.5" customHeight="1" s="398">
      <c r="A2" s="543" t="inlineStr">
        <is>
          <t>PREVISÃO ORÇAMENTÁRIA 2018 - DIAMOND TOWER</t>
        </is>
      </c>
      <c r="B2" s="544" t="n"/>
      <c r="C2" s="545" t="n"/>
      <c r="D2" s="159" t="n"/>
      <c r="E2" s="546" t="n"/>
      <c r="F2" s="159" t="n"/>
      <c r="G2" s="547" t="n"/>
      <c r="H2" s="541" t="n"/>
      <c r="I2" s="542" t="n"/>
      <c r="J2" s="541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7" t="n"/>
      <c r="AA2" s="157" t="n"/>
      <c r="AB2" s="157" t="n"/>
      <c r="AC2" s="157" t="n"/>
      <c r="AD2" s="157" t="n"/>
      <c r="AE2" s="158" t="n"/>
      <c r="AF2" s="158" t="n"/>
    </row>
    <row r="3" ht="27" customHeight="1" s="398">
      <c r="A3" s="548" t="n"/>
      <c r="G3" s="154" t="n"/>
      <c r="H3" s="541" t="n"/>
      <c r="I3" s="542" t="n"/>
      <c r="J3" s="541" t="n"/>
      <c r="K3" s="157" t="n"/>
      <c r="L3" s="157" t="n"/>
      <c r="M3" s="157" t="n"/>
      <c r="N3" s="157" t="n"/>
      <c r="O3" s="157" t="n"/>
      <c r="P3" s="157" t="n"/>
      <c r="Q3" s="157" t="n"/>
      <c r="R3" s="157" t="n"/>
      <c r="S3" s="157" t="n"/>
      <c r="T3" s="157" t="n"/>
      <c r="U3" s="157" t="n"/>
      <c r="V3" s="157" t="n"/>
      <c r="W3" s="157" t="n"/>
      <c r="X3" s="157" t="n"/>
      <c r="Y3" s="157" t="n"/>
      <c r="Z3" s="157" t="n"/>
      <c r="AA3" s="157" t="n"/>
      <c r="AB3" s="157" t="n"/>
      <c r="AC3" s="157" t="n"/>
      <c r="AD3" s="157" t="n"/>
      <c r="AE3" s="158" t="n"/>
      <c r="AF3" s="158" t="n"/>
    </row>
    <row r="4" ht="40.5" customHeight="1" s="398">
      <c r="A4" s="162" t="inlineStr">
        <is>
          <t>2018 - Março/19 a Fev/20</t>
        </is>
      </c>
      <c r="B4" s="163" t="n"/>
      <c r="C4" s="162" t="inlineStr">
        <is>
          <t>2018/2019 PO VIGENTE</t>
        </is>
      </c>
      <c r="D4" s="164" t="n"/>
      <c r="E4" s="162" t="inlineStr">
        <is>
          <t>2019/2020 PROPOSTA</t>
        </is>
      </c>
      <c r="F4" s="164" t="n"/>
      <c r="G4" s="165" t="inlineStr">
        <is>
          <t>Mês de reajuste</t>
        </is>
      </c>
      <c r="H4" s="165" t="inlineStr">
        <is>
          <t>Valor em janeiro 2018</t>
        </is>
      </c>
      <c r="I4" s="165" t="inlineStr">
        <is>
          <t>Indice de reajuste</t>
        </is>
      </c>
      <c r="J4" s="165" t="inlineStr">
        <is>
          <t>VALOR ATUAL CONTRATOS</t>
        </is>
      </c>
      <c r="K4" s="165" t="inlineStr">
        <is>
          <t>INDICE REAL</t>
        </is>
      </c>
      <c r="L4" s="165" t="inlineStr">
        <is>
          <t>VALOR ANUAL 2019/2020</t>
        </is>
      </c>
      <c r="M4" s="157" t="n"/>
      <c r="N4" s="157" t="n"/>
      <c r="O4" s="157" t="n"/>
      <c r="P4" s="157" t="n"/>
      <c r="Q4" s="157" t="n"/>
      <c r="R4" s="157" t="n"/>
      <c r="S4" s="157" t="n"/>
      <c r="T4" s="157" t="n"/>
      <c r="U4" s="157" t="n"/>
      <c r="V4" s="157" t="n"/>
      <c r="W4" s="157" t="n"/>
      <c r="X4" s="157" t="n"/>
      <c r="Y4" s="157" t="n"/>
      <c r="Z4" s="157" t="n"/>
      <c r="AA4" s="157" t="n"/>
      <c r="AB4" s="157" t="n"/>
      <c r="AC4" s="157" t="n"/>
      <c r="AD4" s="157" t="n"/>
      <c r="AE4" s="157" t="n"/>
      <c r="AF4" s="157" t="n"/>
    </row>
    <row r="5" ht="19.5" customHeight="1" s="398">
      <c r="A5" s="166" t="inlineStr">
        <is>
          <t>CONTRATOS MÃO DE OBRA</t>
        </is>
      </c>
      <c r="B5" s="167" t="n"/>
      <c r="C5" s="168">
        <f>SUM(C6:C17)</f>
        <v/>
      </c>
      <c r="D5" s="167" t="n"/>
      <c r="E5" s="168">
        <f>SUM(E6:E17)</f>
        <v/>
      </c>
      <c r="F5" s="167" t="n"/>
      <c r="G5" s="169" t="n"/>
      <c r="H5" s="541" t="n"/>
      <c r="I5" s="542" t="n"/>
      <c r="J5" s="170">
        <f>SUM(J6:J17)</f>
        <v/>
      </c>
      <c r="K5" s="171">
        <f>E5/C5-1</f>
        <v/>
      </c>
      <c r="L5" s="170">
        <f>E5*12</f>
        <v/>
      </c>
      <c r="M5" s="157" t="n"/>
      <c r="N5" s="157" t="n"/>
      <c r="O5" s="157" t="n"/>
      <c r="P5" s="157" t="n"/>
      <c r="Q5" s="157" t="n"/>
      <c r="R5" s="157" t="n"/>
      <c r="S5" s="157" t="n"/>
      <c r="T5" s="157" t="n"/>
      <c r="U5" s="157" t="n"/>
      <c r="V5" s="157" t="n"/>
      <c r="W5" s="157" t="n"/>
      <c r="X5" s="157" t="n"/>
      <c r="Y5" s="157" t="n"/>
      <c r="Z5" s="157" t="n"/>
      <c r="AA5" s="157" t="n"/>
      <c r="AB5" s="157" t="n"/>
      <c r="AC5" s="157" t="n"/>
      <c r="AD5" s="157" t="n"/>
      <c r="AE5" s="157" t="n"/>
      <c r="AF5" s="157" t="n"/>
    </row>
    <row r="6" ht="19.5" customHeight="1" s="398">
      <c r="A6" s="172" t="inlineStr">
        <is>
          <t>Monitoramento - 01 Posto 24h - Central de Segurança</t>
        </is>
      </c>
      <c r="B6" s="167" t="n"/>
      <c r="C6" s="549">
        <f>17904.19+26040.69</f>
        <v/>
      </c>
      <c r="D6" s="167" t="n"/>
      <c r="E6" s="549">
        <f>(J6)+(J6*I6)</f>
        <v/>
      </c>
      <c r="F6" s="167" t="n"/>
      <c r="G6" s="173" t="inlineStr">
        <is>
          <t xml:space="preserve"> Dissídio - Janeiro </t>
        </is>
      </c>
      <c r="H6" s="550">
        <f>8755.05+7927.74</f>
        <v/>
      </c>
      <c r="I6" s="175" t="n">
        <v>0.05</v>
      </c>
      <c r="J6" s="551">
        <f>17153.24+24948.48</f>
        <v/>
      </c>
      <c r="K6" s="552">
        <f>E6/C6-1</f>
        <v/>
      </c>
      <c r="L6" s="553">
        <f>E6*12</f>
        <v/>
      </c>
      <c r="M6" s="176" t="n"/>
      <c r="N6" s="176" t="n"/>
      <c r="O6" s="176" t="n"/>
      <c r="P6" s="176" t="n"/>
      <c r="Q6" s="176" t="n"/>
      <c r="R6" s="176" t="n"/>
      <c r="S6" s="176" t="n"/>
      <c r="T6" s="176" t="n"/>
      <c r="U6" s="176" t="n"/>
      <c r="V6" s="176" t="n"/>
      <c r="W6" s="176" t="n"/>
      <c r="X6" s="176" t="n"/>
      <c r="Y6" s="176" t="n"/>
      <c r="Z6" s="176" t="n"/>
      <c r="AA6" s="176" t="n"/>
      <c r="AB6" s="176" t="n"/>
      <c r="AC6" s="176" t="n"/>
      <c r="AD6" s="176" t="n"/>
      <c r="AE6" s="176" t="n"/>
      <c r="AF6" s="176" t="n"/>
    </row>
    <row r="7" ht="19.5" customHeight="1" s="398">
      <c r="A7" s="177" t="inlineStr">
        <is>
          <t>Ronda Vigilante - 01 Posto 24h</t>
        </is>
      </c>
      <c r="B7" s="178" t="n"/>
      <c r="C7" s="554" t="n"/>
      <c r="D7" s="167" t="n"/>
      <c r="E7" s="554" t="n"/>
      <c r="F7" s="167" t="n"/>
      <c r="G7" s="179" t="inlineStr">
        <is>
          <t xml:space="preserve"> Dissídio - Janeiro</t>
        </is>
      </c>
      <c r="H7" s="555">
        <f>11472.28+12791.95</f>
        <v/>
      </c>
      <c r="I7" s="181" t="n">
        <v>0.05</v>
      </c>
      <c r="J7" s="556" t="n"/>
      <c r="K7" s="556" t="n"/>
      <c r="L7" s="557" t="n"/>
      <c r="M7" s="176" t="n"/>
      <c r="N7" s="176" t="n"/>
      <c r="O7" s="176" t="n"/>
      <c r="P7" s="176" t="n"/>
      <c r="Q7" s="176" t="n"/>
      <c r="R7" s="176" t="n"/>
      <c r="S7" s="176" t="n"/>
      <c r="T7" s="176" t="n"/>
      <c r="U7" s="176" t="n"/>
      <c r="V7" s="176" t="n"/>
      <c r="W7" s="176" t="n"/>
      <c r="X7" s="176" t="n"/>
      <c r="Y7" s="176" t="n"/>
      <c r="Z7" s="176" t="n"/>
      <c r="AA7" s="176" t="n"/>
      <c r="AB7" s="176" t="n"/>
      <c r="AC7" s="176" t="n"/>
      <c r="AD7" s="176" t="n"/>
      <c r="AE7" s="176" t="n"/>
      <c r="AF7" s="176" t="n"/>
    </row>
    <row r="8" ht="19.5" customHeight="1" s="398">
      <c r="A8" s="177" t="inlineStr">
        <is>
          <t xml:space="preserve">Porteiro 02 postos 8h - (Seg à Dom - das 7h as 22h) </t>
        </is>
      </c>
      <c r="B8" s="178" t="n"/>
      <c r="C8" s="218">
        <f>8462.3295835+4231.17+14665.28</f>
        <v/>
      </c>
      <c r="D8" s="167" t="n"/>
      <c r="E8" s="218">
        <f>(J8)+(J8*I8)</f>
        <v/>
      </c>
      <c r="F8" s="167" t="n"/>
      <c r="G8" s="179" t="inlineStr">
        <is>
          <t xml:space="preserve"> Dissídio - Janeiro</t>
        </is>
      </c>
      <c r="H8" s="555" t="n">
        <v>8039.76</v>
      </c>
      <c r="I8" s="181" t="n">
        <v>0.05</v>
      </c>
      <c r="J8" s="558">
        <f>8375.02+4187.52+14665.28</f>
        <v/>
      </c>
      <c r="K8" s="559">
        <f>E8/C8-1</f>
        <v/>
      </c>
      <c r="L8" s="560">
        <f>E8*12</f>
        <v/>
      </c>
      <c r="M8" s="176" t="n"/>
      <c r="N8" s="176" t="n"/>
      <c r="O8" s="176" t="n"/>
      <c r="P8" s="176" t="n"/>
      <c r="Q8" s="176" t="n"/>
      <c r="R8" s="176" t="n"/>
      <c r="S8" s="176" t="n"/>
      <c r="T8" s="176" t="n"/>
      <c r="U8" s="176" t="n"/>
      <c r="V8" s="176" t="n"/>
      <c r="W8" s="176" t="n"/>
      <c r="X8" s="176" t="n"/>
      <c r="Y8" s="176" t="n"/>
      <c r="Z8" s="176" t="n"/>
      <c r="AA8" s="176" t="n"/>
      <c r="AB8" s="176" t="n"/>
      <c r="AC8" s="176" t="n"/>
      <c r="AD8" s="176" t="n"/>
      <c r="AE8" s="176" t="n"/>
      <c r="AF8" s="176" t="n"/>
    </row>
    <row r="9" ht="20.25" customHeight="1" s="398">
      <c r="A9" s="177" t="inlineStr">
        <is>
          <t>Expedição 01 posto 8h - (Seg à Sáb - das 08h às 16h20)</t>
        </is>
      </c>
      <c r="B9" s="178" t="n"/>
      <c r="C9" s="561" t="n"/>
      <c r="D9" s="167" t="n"/>
      <c r="E9" s="561" t="n"/>
      <c r="F9" s="167" t="n"/>
      <c r="G9" s="179" t="inlineStr">
        <is>
          <t xml:space="preserve"> Dissídio - Janeiro</t>
        </is>
      </c>
      <c r="H9" s="555" t="n">
        <v>4019.89</v>
      </c>
      <c r="I9" s="181" t="n">
        <v>0.05</v>
      </c>
      <c r="J9" s="562" t="n"/>
      <c r="K9" s="562" t="n"/>
      <c r="L9" s="563" t="n"/>
      <c r="M9" s="176" t="n"/>
      <c r="N9" s="176" t="n"/>
      <c r="O9" s="176" t="n"/>
      <c r="P9" s="176" t="n"/>
      <c r="Q9" s="176" t="n"/>
      <c r="R9" s="176" t="n"/>
      <c r="S9" s="176" t="n"/>
      <c r="T9" s="176" t="n"/>
      <c r="U9" s="176" t="n"/>
      <c r="V9" s="176" t="n"/>
      <c r="W9" s="176" t="n"/>
      <c r="X9" s="176" t="n"/>
      <c r="Y9" s="176" t="n"/>
      <c r="Z9" s="176" t="n"/>
      <c r="AA9" s="176" t="n"/>
      <c r="AB9" s="176" t="n"/>
      <c r="AC9" s="176" t="n"/>
      <c r="AD9" s="176" t="n"/>
      <c r="AE9" s="176" t="n"/>
      <c r="AF9" s="176" t="n"/>
    </row>
    <row r="10" ht="19.5" customHeight="1" s="398">
      <c r="A10" s="177" t="inlineStr">
        <is>
          <t>Recepção - 04 postos 8h  (das 7h as 22h)</t>
        </is>
      </c>
      <c r="B10" s="178" t="n"/>
      <c r="C10" s="554" t="n"/>
      <c r="D10" s="167" t="n"/>
      <c r="E10" s="554" t="n"/>
      <c r="F10" s="167" t="n"/>
      <c r="G10" s="179" t="inlineStr">
        <is>
          <t xml:space="preserve"> Dissídio - Janeiro</t>
        </is>
      </c>
      <c r="H10" s="564" t="n">
        <v>14665.28</v>
      </c>
      <c r="I10" s="181" t="n">
        <v>0.05</v>
      </c>
      <c r="J10" s="556" t="n"/>
      <c r="K10" s="556" t="n"/>
      <c r="L10" s="557" t="n"/>
      <c r="M10" s="176" t="n"/>
      <c r="N10" s="176" t="n"/>
      <c r="O10" s="176" t="n"/>
      <c r="P10" s="176" t="n"/>
      <c r="Q10" s="176" t="n"/>
      <c r="R10" s="176" t="n"/>
      <c r="S10" s="176" t="n"/>
      <c r="T10" s="176" t="n"/>
      <c r="U10" s="176" t="n"/>
      <c r="V10" s="176" t="n"/>
      <c r="W10" s="176" t="n"/>
      <c r="X10" s="176" t="n"/>
      <c r="Y10" s="176" t="n"/>
      <c r="Z10" s="176" t="n"/>
      <c r="AA10" s="176" t="n"/>
      <c r="AB10" s="176" t="n"/>
      <c r="AC10" s="176" t="n"/>
      <c r="AD10" s="176" t="n"/>
      <c r="AE10" s="176" t="n"/>
      <c r="AF10" s="176" t="n"/>
    </row>
    <row r="11" ht="19.5" customHeight="1" s="398">
      <c r="A11" s="177" t="inlineStr">
        <is>
          <t>Limpeza - 03 Postos 44h semanais</t>
        </is>
      </c>
      <c r="B11" s="178" t="n"/>
      <c r="C11" s="183" t="n">
        <v>12802.044333</v>
      </c>
      <c r="D11" s="167" t="n"/>
      <c r="E11" s="183">
        <f>(J11)+(J11*I11)</f>
        <v/>
      </c>
      <c r="F11" s="167" t="n"/>
      <c r="G11" s="179" t="inlineStr">
        <is>
          <t xml:space="preserve"> Dissídio - Janeiro</t>
        </is>
      </c>
      <c r="H11" s="555" t="n">
        <v>12162.77</v>
      </c>
      <c r="I11" s="181" t="n">
        <v>0.05</v>
      </c>
      <c r="J11" s="565" t="n">
        <v>12669.96</v>
      </c>
      <c r="K11" s="181">
        <f>E11/C11-1</f>
        <v/>
      </c>
      <c r="L11" s="566">
        <f>E11*12</f>
        <v/>
      </c>
      <c r="M11" s="176" t="n"/>
      <c r="N11" s="176" t="n"/>
      <c r="O11" s="176" t="n"/>
      <c r="P11" s="176" t="n"/>
      <c r="Q11" s="176" t="n"/>
      <c r="R11" s="176" t="n"/>
      <c r="S11" s="176" t="n"/>
      <c r="T11" s="176" t="n"/>
      <c r="U11" s="176" t="n"/>
      <c r="V11" s="176" t="n"/>
      <c r="W11" s="176" t="n"/>
      <c r="X11" s="176" t="n"/>
      <c r="Y11" s="176" t="n"/>
      <c r="Z11" s="176" t="n"/>
      <c r="AA11" s="176" t="n"/>
      <c r="AB11" s="176" t="n"/>
      <c r="AC11" s="176" t="n"/>
      <c r="AD11" s="176" t="n"/>
      <c r="AE11" s="176" t="n"/>
      <c r="AF11" s="176" t="n"/>
    </row>
    <row r="12" ht="19.5" customHeight="1" s="398">
      <c r="A12" s="177" t="inlineStr">
        <is>
          <t>Serviços Gerais – 01 posto 44h semanais</t>
        </is>
      </c>
      <c r="B12" s="178" t="n"/>
      <c r="C12" s="183" t="n">
        <v>4756.353394</v>
      </c>
      <c r="D12" s="167" t="n"/>
      <c r="E12" s="183">
        <f>(J12)+(J12*I12)</f>
        <v/>
      </c>
      <c r="F12" s="167" t="n"/>
      <c r="G12" s="179" t="inlineStr">
        <is>
          <t xml:space="preserve"> Dissídio - Janeiro</t>
        </is>
      </c>
      <c r="H12" s="555" t="n">
        <v>4518.84</v>
      </c>
      <c r="I12" s="181" t="n">
        <v>0.05</v>
      </c>
      <c r="J12" s="565" t="n">
        <v>4707.28</v>
      </c>
      <c r="K12" s="181">
        <f>E12/C12-1</f>
        <v/>
      </c>
      <c r="L12" s="566">
        <f>E12*12</f>
        <v/>
      </c>
      <c r="M12" s="176" t="n"/>
      <c r="N12" s="176" t="n"/>
      <c r="O12" s="176" t="n"/>
      <c r="P12" s="176" t="n"/>
      <c r="Q12" s="176" t="n"/>
      <c r="R12" s="176" t="n"/>
      <c r="S12" s="176" t="n"/>
      <c r="T12" s="176" t="n"/>
      <c r="U12" s="176" t="n"/>
      <c r="V12" s="176" t="n"/>
      <c r="W12" s="176" t="n"/>
      <c r="X12" s="176" t="n"/>
      <c r="Y12" s="176" t="n"/>
      <c r="Z12" s="176" t="n"/>
      <c r="AA12" s="176" t="n"/>
      <c r="AB12" s="176" t="n"/>
      <c r="AC12" s="176" t="n"/>
      <c r="AD12" s="176" t="n"/>
      <c r="AE12" s="176" t="n"/>
      <c r="AF12" s="176" t="n"/>
    </row>
    <row r="13" ht="19.5" customHeight="1" s="398">
      <c r="A13" s="177" t="inlineStr">
        <is>
          <t>Oficial Manutenção - 01 Posto 44h  semanais</t>
        </is>
      </c>
      <c r="B13" s="178" t="n"/>
      <c r="C13" s="183" t="n">
        <v>5283.33</v>
      </c>
      <c r="D13" s="167" t="n"/>
      <c r="E13" s="183">
        <f>(J13)+(J13*I13)</f>
        <v/>
      </c>
      <c r="F13" s="167" t="n"/>
      <c r="G13" s="179" t="inlineStr">
        <is>
          <t xml:space="preserve"> Dissídio - Janeiro</t>
        </is>
      </c>
      <c r="H13" s="555" t="n">
        <v>5019.51</v>
      </c>
      <c r="I13" s="181" t="n">
        <v>0.05</v>
      </c>
      <c r="J13" s="565" t="n">
        <v>5226.22</v>
      </c>
      <c r="K13" s="181">
        <f>E13/C13-1</f>
        <v/>
      </c>
      <c r="L13" s="566">
        <f>E13*12</f>
        <v/>
      </c>
      <c r="M13" s="176" t="n"/>
      <c r="N13" s="176" t="n"/>
      <c r="O13" s="176" t="n"/>
      <c r="P13" s="176" t="n"/>
      <c r="Q13" s="176" t="n"/>
      <c r="R13" s="176" t="n"/>
      <c r="S13" s="176" t="n"/>
      <c r="T13" s="176" t="n"/>
      <c r="U13" s="176" t="n"/>
      <c r="V13" s="176" t="n"/>
      <c r="W13" s="176" t="n"/>
      <c r="X13" s="176" t="n"/>
      <c r="Y13" s="176" t="n"/>
      <c r="Z13" s="176" t="n"/>
      <c r="AA13" s="176" t="n"/>
      <c r="AB13" s="176" t="n"/>
      <c r="AC13" s="176" t="n"/>
      <c r="AD13" s="176" t="n"/>
      <c r="AE13" s="176" t="n"/>
      <c r="AF13" s="176" t="n"/>
    </row>
    <row r="14" ht="19.5" customHeight="1" s="398">
      <c r="A14" s="177" t="inlineStr">
        <is>
          <t>Auxiliar Administração  - Auxiliadora Predial</t>
        </is>
      </c>
      <c r="B14" s="178" t="n"/>
      <c r="C14" s="183" t="n">
        <v>3413.57</v>
      </c>
      <c r="D14" s="167" t="n"/>
      <c r="E14" s="183">
        <f>(J14*6+J14*(I14+100%)*6)/12</f>
        <v/>
      </c>
      <c r="F14" s="167" t="n"/>
      <c r="G14" s="179" t="inlineStr">
        <is>
          <t>IGPM - Setembro</t>
        </is>
      </c>
      <c r="H14" s="555" t="n">
        <v>3379.77</v>
      </c>
      <c r="I14" s="181" t="n">
        <v>0.0421</v>
      </c>
      <c r="J14" s="565" t="n">
        <v>3613.85</v>
      </c>
      <c r="K14" s="181">
        <f>E14/C14-1</f>
        <v/>
      </c>
      <c r="L14" s="566">
        <f>E14*12</f>
        <v/>
      </c>
      <c r="M14" s="567" t="n"/>
      <c r="N14" s="176" t="n"/>
      <c r="O14" s="176" t="n"/>
      <c r="P14" s="176" t="n"/>
      <c r="Q14" s="176" t="n"/>
      <c r="R14" s="176" t="n"/>
      <c r="S14" s="176" t="n"/>
      <c r="T14" s="176" t="n"/>
      <c r="U14" s="176" t="n"/>
      <c r="V14" s="176" t="n"/>
      <c r="W14" s="176" t="n"/>
      <c r="X14" s="176" t="n"/>
      <c r="Y14" s="176" t="n"/>
      <c r="Z14" s="176" t="n"/>
      <c r="AA14" s="176" t="n"/>
      <c r="AB14" s="176" t="n"/>
      <c r="AC14" s="176" t="n"/>
      <c r="AD14" s="176" t="n"/>
      <c r="AE14" s="176" t="n"/>
      <c r="AF14" s="176" t="n"/>
    </row>
    <row r="15" ht="19.5" customHeight="1" s="398">
      <c r="A15" s="187" t="inlineStr">
        <is>
          <t>Gestão Total - Auxiliadora Predial - (2 Gestores)</t>
        </is>
      </c>
      <c r="B15" s="178" t="n"/>
      <c r="C15" s="183" t="n">
        <v>18098.08</v>
      </c>
      <c r="D15" s="167" t="n"/>
      <c r="E15" s="183">
        <f>(J15)+(J15*I15)</f>
        <v/>
      </c>
      <c r="F15" s="167" t="n"/>
      <c r="G15" s="188" t="inlineStr">
        <is>
          <t>Dissídio - Abril</t>
        </is>
      </c>
      <c r="H15" s="564" t="n">
        <v>17236.27</v>
      </c>
      <c r="I15" s="189" t="n">
        <v>0.05</v>
      </c>
      <c r="J15" s="565" t="n">
        <v>17505.16</v>
      </c>
      <c r="K15" s="181">
        <f>E15/C15-1</f>
        <v/>
      </c>
      <c r="L15" s="566">
        <f>E15*12</f>
        <v/>
      </c>
      <c r="M15" s="567" t="n"/>
      <c r="N15" s="176" t="n"/>
      <c r="O15" s="176" t="n"/>
      <c r="P15" s="176" t="n"/>
      <c r="Q15" s="176" t="n"/>
      <c r="R15" s="176" t="n"/>
      <c r="S15" s="176" t="n"/>
      <c r="T15" s="176" t="n"/>
      <c r="U15" s="176" t="n"/>
      <c r="V15" s="176" t="n"/>
      <c r="W15" s="176" t="n"/>
      <c r="X15" s="176" t="n"/>
      <c r="Y15" s="176" t="n"/>
      <c r="Z15" s="176" t="n"/>
      <c r="AA15" s="176" t="n"/>
      <c r="AB15" s="176" t="n"/>
      <c r="AC15" s="176" t="n"/>
      <c r="AD15" s="176" t="n"/>
      <c r="AE15" s="176" t="n"/>
      <c r="AF15" s="176" t="n"/>
    </row>
    <row r="16" ht="19.5" customHeight="1" s="398">
      <c r="A16" s="177" t="inlineStr">
        <is>
          <t>Taxa Administração - Multiplan</t>
        </is>
      </c>
      <c r="B16" s="190" t="n"/>
      <c r="C16" s="183" t="n">
        <v>1545</v>
      </c>
      <c r="D16" s="167" t="n"/>
      <c r="E16" s="183" t="n">
        <v>1790.91</v>
      </c>
      <c r="F16" s="167" t="n"/>
      <c r="G16" s="188" t="inlineStr">
        <is>
          <t>IGPDI - Setembro</t>
        </is>
      </c>
      <c r="H16" s="564" t="n">
        <v>1500</v>
      </c>
      <c r="I16" s="189">
        <f>K16</f>
        <v/>
      </c>
      <c r="J16" s="565" t="n">
        <v>1500</v>
      </c>
      <c r="K16" s="181">
        <f>E16/C16-1</f>
        <v/>
      </c>
      <c r="L16" s="566">
        <f>E16*12</f>
        <v/>
      </c>
      <c r="M16" s="567" t="n"/>
      <c r="N16" s="176" t="n"/>
      <c r="O16" s="176" t="n"/>
      <c r="P16" s="176" t="n"/>
      <c r="Q16" s="176" t="n"/>
      <c r="R16" s="176" t="n"/>
      <c r="S16" s="176" t="n"/>
      <c r="T16" s="176" t="n"/>
      <c r="U16" s="176" t="n"/>
      <c r="V16" s="176" t="n"/>
      <c r="W16" s="176" t="n"/>
      <c r="X16" s="176" t="n"/>
      <c r="Y16" s="176" t="n"/>
      <c r="Z16" s="176" t="n"/>
      <c r="AA16" s="176" t="n"/>
      <c r="AB16" s="176" t="n"/>
      <c r="AC16" s="176" t="n"/>
      <c r="AD16" s="176" t="n"/>
      <c r="AE16" s="176" t="n"/>
      <c r="AF16" s="176" t="n"/>
    </row>
    <row r="17" ht="19.5" customHeight="1" s="398">
      <c r="A17" s="191" t="inlineStr">
        <is>
          <t xml:space="preserve">Auditoria Externa </t>
        </is>
      </c>
      <c r="B17" s="190" t="n"/>
      <c r="C17" s="192" t="n">
        <v>1296.66</v>
      </c>
      <c r="D17" s="167" t="n"/>
      <c r="E17" s="183">
        <f>(J17*7+J17*(I17+100%)*5)/12</f>
        <v/>
      </c>
      <c r="F17" s="167" t="n"/>
      <c r="G17" s="193" t="inlineStr">
        <is>
          <t>IGPM - Outubro</t>
        </is>
      </c>
      <c r="H17" s="568" t="n">
        <v>1283.82</v>
      </c>
      <c r="I17" s="195" t="n">
        <v>0.0421</v>
      </c>
      <c r="J17" s="569" t="n">
        <v>1426.52</v>
      </c>
      <c r="K17" s="197">
        <f>E17/C17-1</f>
        <v/>
      </c>
      <c r="L17" s="570">
        <f>E17*12</f>
        <v/>
      </c>
      <c r="M17" s="567" t="n"/>
      <c r="N17" s="176" t="n"/>
      <c r="O17" s="176" t="n"/>
      <c r="P17" s="176" t="n"/>
      <c r="Q17" s="176" t="n"/>
      <c r="R17" s="176" t="n"/>
      <c r="S17" s="176" t="n"/>
      <c r="T17" s="176" t="n"/>
      <c r="U17" s="176" t="n"/>
      <c r="V17" s="176" t="n"/>
      <c r="W17" s="176" t="n"/>
      <c r="X17" s="176" t="n"/>
      <c r="Y17" s="176" t="n"/>
      <c r="Z17" s="176" t="n"/>
      <c r="AA17" s="176" t="n"/>
      <c r="AB17" s="176" t="n"/>
      <c r="AC17" s="176" t="n"/>
      <c r="AD17" s="176" t="n"/>
      <c r="AE17" s="176" t="n"/>
      <c r="AF17" s="176" t="n"/>
    </row>
    <row r="18" ht="19.5" customHeight="1" s="398">
      <c r="A18" s="199" t="n"/>
      <c r="B18" s="190" t="n"/>
      <c r="C18" s="152" t="n"/>
      <c r="D18" s="190" t="n"/>
      <c r="E18" s="152" t="n"/>
      <c r="F18" s="200" t="n"/>
      <c r="G18" s="154" t="n"/>
      <c r="H18" s="541" t="n"/>
      <c r="I18" s="542" t="n"/>
      <c r="J18" s="541" t="n"/>
      <c r="K18" s="201" t="n"/>
      <c r="L18" s="157" t="n"/>
      <c r="M18" s="157" t="n"/>
      <c r="N18" s="157" t="n"/>
      <c r="O18" s="157" t="n"/>
      <c r="P18" s="157" t="n"/>
      <c r="Q18" s="157" t="n"/>
      <c r="R18" s="157" t="n"/>
      <c r="S18" s="157" t="n"/>
      <c r="T18" s="157" t="n"/>
      <c r="U18" s="157" t="n"/>
      <c r="V18" s="157" t="n"/>
      <c r="W18" s="157" t="n"/>
      <c r="X18" s="157" t="n"/>
      <c r="Y18" s="157" t="n"/>
      <c r="Z18" s="157" t="n"/>
      <c r="AA18" s="157" t="n"/>
      <c r="AB18" s="157" t="n"/>
      <c r="AC18" s="157" t="n"/>
      <c r="AD18" s="157" t="n"/>
      <c r="AE18" s="157" t="n"/>
      <c r="AF18" s="157" t="n"/>
    </row>
    <row r="19" ht="19.5" customHeight="1" s="398">
      <c r="A19" s="202" t="inlineStr">
        <is>
          <t xml:space="preserve">MANUTENÇÕES/LOCAÇÕES - CONTRATOS </t>
        </is>
      </c>
      <c r="B19" s="167">
        <f>#REF!/#REF!</f>
        <v/>
      </c>
      <c r="C19" s="203">
        <f>SUM(C20:C28)</f>
        <v/>
      </c>
      <c r="D19" s="167" t="n"/>
      <c r="E19" s="203">
        <f>SUM(E20:E28)</f>
        <v/>
      </c>
      <c r="F19" s="204" t="n"/>
      <c r="G19" s="154" t="n"/>
      <c r="H19" s="541" t="n"/>
      <c r="I19" s="542" t="n"/>
      <c r="J19" s="205">
        <f>SUM(J20:J28)</f>
        <v/>
      </c>
      <c r="K19" s="206">
        <f>E19/C19-1</f>
        <v/>
      </c>
      <c r="L19" s="205">
        <f>E19*12</f>
        <v/>
      </c>
      <c r="M19" s="157" t="n"/>
      <c r="N19" s="157" t="n"/>
      <c r="O19" s="157" t="n"/>
      <c r="P19" s="157" t="n"/>
      <c r="Q19" s="157" t="n"/>
      <c r="R19" s="157" t="n"/>
      <c r="S19" s="157" t="n"/>
      <c r="T19" s="157" t="n"/>
      <c r="U19" s="157" t="n"/>
      <c r="V19" s="157" t="n"/>
      <c r="W19" s="157" t="n"/>
      <c r="X19" s="157" t="n"/>
      <c r="Y19" s="157" t="n"/>
      <c r="Z19" s="157" t="n"/>
      <c r="AA19" s="157" t="n"/>
      <c r="AB19" s="157" t="n"/>
      <c r="AC19" s="157" t="n"/>
      <c r="AD19" s="157" t="n"/>
      <c r="AE19" s="157" t="n"/>
      <c r="AF19" s="157" t="n"/>
    </row>
    <row r="20" ht="19.5" customHeight="1" s="398">
      <c r="A20" s="207" t="inlineStr">
        <is>
          <t>Central de Automação</t>
        </is>
      </c>
      <c r="B20" s="190" t="n"/>
      <c r="C20" s="183" t="n">
        <v>826.1799999999999</v>
      </c>
      <c r="D20" s="208" t="n"/>
      <c r="E20" s="183">
        <f>(J20)+(J20*I20)</f>
        <v/>
      </c>
      <c r="F20" s="157" t="n"/>
      <c r="G20" s="209" t="inlineStr">
        <is>
          <t>IGPM - Março</t>
        </is>
      </c>
      <c r="H20" s="571" t="n">
        <v>818</v>
      </c>
      <c r="I20" s="175" t="n">
        <v>0.0421</v>
      </c>
      <c r="J20" s="572" t="n">
        <v>818</v>
      </c>
      <c r="K20" s="175">
        <f>E20/C20-1</f>
        <v/>
      </c>
      <c r="L20" s="573">
        <f>E20*12</f>
        <v/>
      </c>
      <c r="M20" s="157" t="n"/>
      <c r="N20" s="157" t="n"/>
      <c r="O20" s="157" t="n"/>
      <c r="P20" s="157" t="n"/>
      <c r="Q20" s="157" t="n"/>
      <c r="R20" s="157" t="n"/>
      <c r="S20" s="157" t="n"/>
      <c r="T20" s="157" t="n"/>
      <c r="U20" s="157" t="n"/>
      <c r="V20" s="157" t="n"/>
      <c r="W20" s="157" t="n"/>
      <c r="X20" s="157" t="n"/>
      <c r="Y20" s="157" t="n"/>
      <c r="Z20" s="157" t="n"/>
      <c r="AA20" s="157" t="n"/>
      <c r="AB20" s="157" t="n"/>
      <c r="AC20" s="157" t="n"/>
      <c r="AD20" s="157" t="n"/>
      <c r="AE20" s="157" t="n"/>
      <c r="AF20" s="157" t="n"/>
    </row>
    <row r="21" ht="19.5" customHeight="1" s="398">
      <c r="A21" s="177" t="inlineStr">
        <is>
          <t>Controle Pragas e Limpeza  Caixa D'água (2x ano)</t>
        </is>
      </c>
      <c r="B21" s="178" t="n"/>
      <c r="C21" s="213" t="n">
        <v>568.63</v>
      </c>
      <c r="D21" s="167" t="n"/>
      <c r="E21" s="214">
        <f>(J21*6+J21*(I21+100%)*6)/12</f>
        <v/>
      </c>
      <c r="F21" s="157" t="n"/>
      <c r="G21" s="188" t="inlineStr">
        <is>
          <t>IGPM - Setembro</t>
        </is>
      </c>
      <c r="H21" s="574" t="n">
        <v>563</v>
      </c>
      <c r="I21" s="181" t="n">
        <v>0.0421</v>
      </c>
      <c r="J21" s="565" t="n">
        <v>563.4</v>
      </c>
      <c r="K21" s="181">
        <f>E21/C21-1</f>
        <v/>
      </c>
      <c r="L21" s="566">
        <f>E21*12</f>
        <v/>
      </c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7" t="n"/>
      <c r="AA21" s="157" t="n"/>
      <c r="AB21" s="157" t="n"/>
      <c r="AC21" s="157" t="n"/>
      <c r="AD21" s="157" t="n"/>
      <c r="AE21" s="157" t="n"/>
      <c r="AF21" s="157" t="n"/>
    </row>
    <row r="22" ht="19.5" customHeight="1" s="398">
      <c r="A22" s="216" t="inlineStr">
        <is>
          <t>Limpeza Espelho D'água, Química e AFT com Material (2x semana)</t>
        </is>
      </c>
      <c r="B22" s="190" t="n"/>
      <c r="C22" s="213" t="n">
        <v>707</v>
      </c>
      <c r="D22" s="208" t="n"/>
      <c r="E22" s="214">
        <f>(J22*8+J22*(I22+100%)*4)/12</f>
        <v/>
      </c>
      <c r="F22" s="157" t="n"/>
      <c r="G22" s="188" t="inlineStr">
        <is>
          <t>IGPM - Novembro</t>
        </is>
      </c>
      <c r="H22" s="574" t="n">
        <v>700</v>
      </c>
      <c r="I22" s="181" t="n">
        <v>0.0421</v>
      </c>
      <c r="J22" s="565" t="n">
        <v>707</v>
      </c>
      <c r="K22" s="181">
        <f>E22/C22-1</f>
        <v/>
      </c>
      <c r="L22" s="566">
        <f>E22*12</f>
        <v/>
      </c>
      <c r="M22" s="158" t="n"/>
      <c r="N22" s="158" t="n"/>
      <c r="O22" s="158" t="n"/>
      <c r="P22" s="158" t="n"/>
      <c r="Q22" s="158" t="n"/>
      <c r="R22" s="158" t="n"/>
      <c r="S22" s="158" t="n"/>
      <c r="T22" s="158" t="n"/>
      <c r="U22" s="158" t="n"/>
      <c r="V22" s="158" t="n"/>
      <c r="W22" s="158" t="n"/>
      <c r="X22" s="158" t="n"/>
      <c r="Y22" s="158" t="n"/>
      <c r="Z22" s="158" t="n"/>
      <c r="AA22" s="158" t="n"/>
      <c r="AB22" s="158" t="n"/>
      <c r="AC22" s="158" t="n"/>
      <c r="AD22" s="158" t="n"/>
      <c r="AE22" s="158" t="n"/>
      <c r="AF22" s="158" t="n"/>
    </row>
    <row r="23" ht="19.5" customHeight="1" s="398">
      <c r="A23" s="177" t="inlineStr">
        <is>
          <t>Locação Impressora</t>
        </is>
      </c>
      <c r="B23" s="217" t="n"/>
      <c r="C23" s="218" t="n">
        <v>151.5</v>
      </c>
      <c r="D23" s="167" t="n"/>
      <c r="E23" s="214">
        <f>(J23*6+J23*(I23+100%)*6)/12</f>
        <v/>
      </c>
      <c r="F23" s="157" t="n"/>
      <c r="G23" s="188" t="inlineStr">
        <is>
          <t>IGPM - Setembro</t>
        </is>
      </c>
      <c r="H23" s="555" t="n">
        <v>150</v>
      </c>
      <c r="I23" s="181" t="n">
        <v>0.0421</v>
      </c>
      <c r="J23" s="565" t="n">
        <v>200</v>
      </c>
      <c r="K23" s="181">
        <f>E23/C23-1</f>
        <v/>
      </c>
      <c r="L23" s="566">
        <f>E23*12</f>
        <v/>
      </c>
      <c r="M23" s="158" t="n"/>
      <c r="N23" s="158" t="n"/>
      <c r="O23" s="158" t="n"/>
      <c r="P23" s="158" t="n"/>
      <c r="Q23" s="158" t="n"/>
      <c r="R23" s="158" t="n"/>
      <c r="S23" s="158" t="n"/>
      <c r="T23" s="158" t="n"/>
      <c r="U23" s="158" t="n"/>
      <c r="V23" s="158" t="n"/>
      <c r="W23" s="158" t="n"/>
      <c r="X23" s="158" t="n"/>
      <c r="Y23" s="158" t="n"/>
      <c r="Z23" s="158" t="n"/>
      <c r="AA23" s="158" t="n"/>
      <c r="AB23" s="158" t="n"/>
      <c r="AC23" s="158" t="n"/>
      <c r="AD23" s="158" t="n"/>
      <c r="AE23" s="158" t="n"/>
      <c r="AF23" s="158" t="n"/>
    </row>
    <row r="24" ht="19.5" customHeight="1" s="398">
      <c r="A24" s="219" t="inlineStr">
        <is>
          <t xml:space="preserve">Locação Rádios Comunicadores (9) </t>
        </is>
      </c>
      <c r="B24" s="220" t="n"/>
      <c r="C24" s="218" t="n">
        <v>484.8</v>
      </c>
      <c r="D24" s="220" t="n"/>
      <c r="E24" s="214">
        <f>(J24*3+J24*(I24+100%)*9)/12</f>
        <v/>
      </c>
      <c r="F24" s="157" t="n"/>
      <c r="G24" s="188" t="inlineStr">
        <is>
          <t xml:space="preserve">IGPM - Junho </t>
        </is>
      </c>
      <c r="H24" s="555" t="n">
        <v>480</v>
      </c>
      <c r="I24" s="181" t="n">
        <v>0.0421</v>
      </c>
      <c r="J24" s="565" t="n">
        <v>480</v>
      </c>
      <c r="K24" s="181">
        <f>E24/C24-1</f>
        <v/>
      </c>
      <c r="L24" s="566">
        <f>E24*12</f>
        <v/>
      </c>
      <c r="M24" s="158" t="n"/>
      <c r="N24" s="158" t="n"/>
      <c r="O24" s="158" t="n"/>
      <c r="P24" s="158" t="n"/>
      <c r="Q24" s="158" t="n"/>
      <c r="R24" s="158" t="n"/>
      <c r="S24" s="158" t="n"/>
      <c r="T24" s="158" t="n"/>
      <c r="U24" s="158" t="n"/>
      <c r="V24" s="158" t="n"/>
      <c r="W24" s="158" t="n"/>
      <c r="X24" s="158" t="n"/>
      <c r="Y24" s="158" t="n"/>
      <c r="Z24" s="158" t="n"/>
      <c r="AA24" s="158" t="n"/>
      <c r="AB24" s="158" t="n"/>
      <c r="AC24" s="158" t="n"/>
      <c r="AD24" s="158" t="n"/>
      <c r="AE24" s="158" t="n"/>
      <c r="AF24" s="158" t="n"/>
    </row>
    <row r="25" ht="19.5" customHeight="1" s="398">
      <c r="A25" s="177" t="inlineStr">
        <is>
          <t>Manutenção ar condicionado / exaustão áreas comuns</t>
        </is>
      </c>
      <c r="B25" s="178" t="n"/>
      <c r="C25" s="213" t="n">
        <v>2768.85</v>
      </c>
      <c r="D25" s="167" t="n"/>
      <c r="E25" s="213">
        <f>(J25)+(J25*I25)</f>
        <v/>
      </c>
      <c r="F25" s="157" t="n"/>
      <c r="G25" s="188" t="inlineStr">
        <is>
          <t>INPC - Janeiro</t>
        </is>
      </c>
      <c r="H25" s="574" t="n">
        <v>2741.44</v>
      </c>
      <c r="I25" s="181" t="n">
        <v>0.0343</v>
      </c>
      <c r="J25" s="565" t="n">
        <v>2792.7</v>
      </c>
      <c r="K25" s="181">
        <f>E25/C25-1</f>
        <v/>
      </c>
      <c r="L25" s="566">
        <f>E25*12</f>
        <v/>
      </c>
      <c r="M25" s="158" t="n"/>
      <c r="N25" s="158" t="n"/>
      <c r="O25" s="158" t="n"/>
      <c r="P25" s="158" t="n"/>
      <c r="Q25" s="158" t="n"/>
      <c r="R25" s="158" t="n"/>
      <c r="S25" s="158" t="n"/>
      <c r="T25" s="158" t="n"/>
      <c r="U25" s="158" t="n"/>
      <c r="V25" s="158" t="n"/>
      <c r="W25" s="158" t="n"/>
      <c r="X25" s="158" t="n"/>
      <c r="Y25" s="158" t="n"/>
      <c r="Z25" s="158" t="n"/>
      <c r="AA25" s="158" t="n"/>
      <c r="AB25" s="158" t="n"/>
      <c r="AC25" s="158" t="n"/>
      <c r="AD25" s="158" t="n"/>
      <c r="AE25" s="158" t="n"/>
      <c r="AF25" s="158" t="n"/>
    </row>
    <row r="26" ht="19.5" customHeight="1" s="398">
      <c r="A26" s="177" t="inlineStr">
        <is>
          <t xml:space="preserve">Manutenção CFTV/Controle de Acesso/Central Alarme </t>
        </is>
      </c>
      <c r="B26" s="178" t="n"/>
      <c r="C26" s="213" t="n">
        <v>2727</v>
      </c>
      <c r="D26" s="167" t="n"/>
      <c r="E26" s="183">
        <f>(J26*7+J26*(I26+100%)*5)/12</f>
        <v/>
      </c>
      <c r="F26" s="157" t="n"/>
      <c r="G26" s="188" t="inlineStr">
        <is>
          <t>IGPM - Outubro</t>
        </is>
      </c>
      <c r="H26" s="574" t="n">
        <v>2700</v>
      </c>
      <c r="I26" s="181" t="n">
        <v>0.0421</v>
      </c>
      <c r="J26" s="565" t="n">
        <v>2700</v>
      </c>
      <c r="K26" s="181">
        <f>E26/C26-1</f>
        <v/>
      </c>
      <c r="L26" s="566">
        <f>E26*12</f>
        <v/>
      </c>
      <c r="M26" s="158" t="n"/>
      <c r="N26" s="158" t="n"/>
      <c r="O26" s="158" t="n"/>
      <c r="P26" s="158" t="n"/>
      <c r="Q26" s="158" t="n"/>
      <c r="R26" s="158" t="n"/>
      <c r="S26" s="158" t="n"/>
      <c r="T26" s="158" t="n"/>
      <c r="U26" s="158" t="n"/>
      <c r="V26" s="158" t="n"/>
      <c r="W26" s="158" t="n"/>
      <c r="X26" s="158" t="n"/>
      <c r="Y26" s="158" t="n"/>
      <c r="Z26" s="158" t="n"/>
      <c r="AA26" s="158" t="n"/>
      <c r="AB26" s="158" t="n"/>
      <c r="AC26" s="158" t="n"/>
      <c r="AD26" s="158" t="n"/>
      <c r="AE26" s="158" t="n"/>
      <c r="AF26" s="158" t="n"/>
    </row>
    <row r="27" ht="37.5" customHeight="1" s="398">
      <c r="A27" s="221" t="inlineStr">
        <is>
          <t>Manutenção Preventiva Elevadores (7) - Com Peças - Atlas</t>
        </is>
      </c>
      <c r="B27" s="178" t="n"/>
      <c r="C27" s="213" t="n">
        <v>11536</v>
      </c>
      <c r="D27" s="167" t="n"/>
      <c r="E27" s="183">
        <f>(J27*6+J27*(I27+100%)*6)/12</f>
        <v/>
      </c>
      <c r="F27" s="157" t="n"/>
      <c r="G27" s="222" t="inlineStr">
        <is>
          <t>IGPDI - Setembro</t>
        </is>
      </c>
      <c r="H27" s="575" t="n">
        <v>11200</v>
      </c>
      <c r="I27" s="181" t="n">
        <v>0.0452</v>
      </c>
      <c r="J27" s="565" t="n">
        <v>11200</v>
      </c>
      <c r="K27" s="181">
        <f>E27/C27-1</f>
        <v/>
      </c>
      <c r="L27" s="566">
        <f>E27*12</f>
        <v/>
      </c>
      <c r="M27" s="158" t="n"/>
      <c r="N27" s="158" t="n"/>
      <c r="O27" s="158" t="n"/>
      <c r="P27" s="158" t="n"/>
      <c r="Q27" s="158" t="n"/>
      <c r="R27" s="158" t="n"/>
      <c r="S27" s="158" t="n"/>
      <c r="T27" s="158" t="n"/>
      <c r="U27" s="158" t="n"/>
      <c r="V27" s="158" t="n"/>
      <c r="W27" s="158" t="n"/>
      <c r="X27" s="158" t="n"/>
      <c r="Y27" s="158" t="n"/>
      <c r="Z27" s="158" t="n"/>
      <c r="AA27" s="158" t="n"/>
      <c r="AB27" s="158" t="n"/>
      <c r="AC27" s="158" t="n"/>
      <c r="AD27" s="158" t="n"/>
      <c r="AE27" s="158" t="n"/>
      <c r="AF27" s="158" t="n"/>
    </row>
    <row r="28" ht="19.5" customHeight="1" s="398">
      <c r="A28" s="224" t="inlineStr">
        <is>
          <t>Manutenção preventiva motor gerador</t>
        </is>
      </c>
      <c r="B28" s="178" t="n"/>
      <c r="C28" s="225" t="n">
        <v>883.04</v>
      </c>
      <c r="D28" s="167" t="n"/>
      <c r="E28" s="183">
        <f>(J28*7+J28*(I28+100%)*5)/12</f>
        <v/>
      </c>
      <c r="F28" s="157" t="n"/>
      <c r="G28" s="193" t="inlineStr">
        <is>
          <t>IGPM - Outubro</t>
        </is>
      </c>
      <c r="H28" s="576" t="n">
        <v>874.29</v>
      </c>
      <c r="I28" s="197" t="n">
        <v>0.0421</v>
      </c>
      <c r="J28" s="569" t="n">
        <v>962.15</v>
      </c>
      <c r="K28" s="197">
        <f>E28/C28-1</f>
        <v/>
      </c>
      <c r="L28" s="570">
        <f>E28*12</f>
        <v/>
      </c>
      <c r="M28" s="158" t="n"/>
      <c r="N28" s="158" t="n"/>
      <c r="O28" s="158" t="n"/>
      <c r="P28" s="158" t="n"/>
      <c r="Q28" s="158" t="n"/>
      <c r="R28" s="158" t="n"/>
      <c r="S28" s="158" t="n"/>
      <c r="T28" s="158" t="n"/>
      <c r="U28" s="158" t="n"/>
      <c r="V28" s="158" t="n"/>
      <c r="W28" s="158" t="n"/>
      <c r="X28" s="158" t="n"/>
      <c r="Y28" s="158" t="n"/>
      <c r="Z28" s="158" t="n"/>
      <c r="AA28" s="158" t="n"/>
      <c r="AB28" s="158" t="n"/>
      <c r="AC28" s="158" t="n"/>
      <c r="AD28" s="158" t="n"/>
      <c r="AE28" s="158" t="n"/>
      <c r="AF28" s="158" t="n"/>
    </row>
    <row r="29" ht="19.5" customHeight="1" s="398">
      <c r="A29" s="199" t="n"/>
      <c r="B29" s="190" t="n"/>
      <c r="C29" s="152" t="n"/>
      <c r="D29" s="190" t="n"/>
      <c r="E29" s="152" t="n"/>
      <c r="F29" s="158" t="n"/>
      <c r="G29" s="227" t="n"/>
      <c r="H29" s="577" t="n"/>
      <c r="I29" s="578" t="n"/>
      <c r="J29" s="577" t="n"/>
      <c r="K29" s="201" t="n"/>
      <c r="L29" s="158" t="n"/>
      <c r="M29" s="158" t="n"/>
      <c r="N29" s="158" t="n"/>
      <c r="O29" s="158" t="n"/>
      <c r="P29" s="158" t="n"/>
      <c r="Q29" s="158" t="n"/>
      <c r="R29" s="158" t="n"/>
      <c r="S29" s="158" t="n"/>
      <c r="T29" s="158" t="n"/>
      <c r="U29" s="158" t="n"/>
      <c r="V29" s="158" t="n"/>
      <c r="W29" s="158" t="n"/>
      <c r="X29" s="158" t="n"/>
      <c r="Y29" s="158" t="n"/>
      <c r="Z29" s="158" t="n"/>
      <c r="AA29" s="158" t="n"/>
      <c r="AB29" s="158" t="n"/>
      <c r="AC29" s="158" t="n"/>
      <c r="AD29" s="158" t="n"/>
      <c r="AE29" s="158" t="n"/>
      <c r="AF29" s="158" t="n"/>
    </row>
    <row r="30" ht="19.5" customHeight="1" s="398">
      <c r="A30" s="230" t="inlineStr">
        <is>
          <t>MANUTENÇÕES - SEM CONTRATO</t>
        </is>
      </c>
      <c r="B30" s="167">
        <f>#REF!/#REF!</f>
        <v/>
      </c>
      <c r="C30" s="205">
        <f>SUM(C31:C37)</f>
        <v/>
      </c>
      <c r="D30" s="167">
        <f>C30/#REF!</f>
        <v/>
      </c>
      <c r="E30" s="205">
        <f>SUM(E31:E37)</f>
        <v/>
      </c>
      <c r="F30" s="157" t="n"/>
      <c r="G30" s="169" t="n"/>
      <c r="H30" s="541" t="n"/>
      <c r="I30" s="542" t="n"/>
      <c r="J30" s="541" t="n"/>
      <c r="K30" s="231">
        <f>E30/C30-1</f>
        <v/>
      </c>
      <c r="L30" s="232">
        <f>E30*12</f>
        <v/>
      </c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7" t="n"/>
      <c r="AA30" s="157" t="n"/>
      <c r="AB30" s="157" t="n"/>
      <c r="AC30" s="157" t="n"/>
      <c r="AD30" s="157" t="n"/>
      <c r="AE30" s="157" t="n"/>
      <c r="AF30" s="157" t="n"/>
    </row>
    <row r="31" ht="19.5" customHeight="1" s="398">
      <c r="A31" s="233" t="inlineStr">
        <is>
          <t xml:space="preserve">Lixo/Entulho/Manutenção Externa - Despesas Compartilhadas </t>
        </is>
      </c>
      <c r="B31" s="234" t="n"/>
      <c r="C31" s="235" t="n">
        <v>3000</v>
      </c>
      <c r="D31" s="234" t="n"/>
      <c r="E31" s="235" t="n">
        <v>3000</v>
      </c>
      <c r="F31" s="158" t="n"/>
      <c r="G31" s="236" t="n"/>
      <c r="H31" s="577" t="n"/>
      <c r="I31" s="578" t="n"/>
      <c r="J31" s="577" t="n"/>
      <c r="K31" s="237">
        <f>E31/C31-1</f>
        <v/>
      </c>
      <c r="L31" s="566">
        <f>E31*12</f>
        <v/>
      </c>
      <c r="M31" s="158" t="n"/>
      <c r="N31" s="158" t="n"/>
      <c r="O31" s="158" t="n"/>
      <c r="P31" s="158" t="n"/>
      <c r="Q31" s="158" t="n"/>
      <c r="R31" s="158" t="n"/>
      <c r="S31" s="158" t="n"/>
      <c r="T31" s="158" t="n"/>
      <c r="U31" s="158" t="n"/>
      <c r="V31" s="158" t="n"/>
      <c r="W31" s="158" t="n"/>
      <c r="X31" s="158" t="n"/>
      <c r="Y31" s="158" t="n"/>
      <c r="Z31" s="158" t="n"/>
      <c r="AA31" s="158" t="n"/>
      <c r="AB31" s="158" t="n"/>
      <c r="AC31" s="158" t="n"/>
      <c r="AD31" s="158" t="n"/>
      <c r="AE31" s="158" t="n"/>
      <c r="AF31" s="158" t="n"/>
    </row>
    <row r="32" ht="19.5" customHeight="1" s="398">
      <c r="A32" s="221" t="inlineStr">
        <is>
          <t>Manutenção Bombas de Recalque</t>
        </is>
      </c>
      <c r="C32" s="218" t="n">
        <v>120</v>
      </c>
      <c r="D32" s="234" t="n"/>
      <c r="E32" s="218" t="n">
        <v>120</v>
      </c>
      <c r="F32" s="157" t="n"/>
      <c r="G32" s="238" t="n"/>
      <c r="H32" s="577" t="n"/>
      <c r="I32" s="578" t="n"/>
      <c r="J32" s="577" t="n"/>
      <c r="K32" s="237">
        <f>E32/C32-1</f>
        <v/>
      </c>
      <c r="L32" s="566">
        <f>E32*12</f>
        <v/>
      </c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7" t="n"/>
      <c r="AA32" s="157" t="n"/>
      <c r="AB32" s="158" t="n"/>
      <c r="AC32" s="158" t="n"/>
      <c r="AD32" s="158" t="n"/>
      <c r="AE32" s="158" t="n"/>
      <c r="AF32" s="158" t="n"/>
    </row>
    <row r="33" ht="19.5" customHeight="1" s="398">
      <c r="A33" s="177" t="inlineStr">
        <is>
          <t>Manutenção Interfones</t>
        </is>
      </c>
      <c r="C33" s="218" t="n">
        <v>50</v>
      </c>
      <c r="D33" s="234" t="n"/>
      <c r="E33" s="218" t="n">
        <v>50</v>
      </c>
      <c r="F33" s="157" t="n"/>
      <c r="G33" s="238" t="n"/>
      <c r="H33" s="577" t="n"/>
      <c r="I33" s="578" t="n"/>
      <c r="J33" s="577" t="n"/>
      <c r="K33" s="237">
        <f>E33/C33-1</f>
        <v/>
      </c>
      <c r="L33" s="566">
        <f>E33*12</f>
        <v/>
      </c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7" t="n"/>
      <c r="AA33" s="157" t="n"/>
      <c r="AB33" s="158" t="n"/>
      <c r="AC33" s="158" t="n"/>
      <c r="AD33" s="158" t="n"/>
      <c r="AE33" s="158" t="n"/>
      <c r="AF33" s="158" t="n"/>
    </row>
    <row r="34" ht="19.5" customHeight="1" s="398">
      <c r="A34" s="221" t="inlineStr">
        <is>
          <t>Manutenção Predial</t>
        </is>
      </c>
      <c r="B34" s="234" t="n"/>
      <c r="C34" s="218" t="n">
        <v>3000</v>
      </c>
      <c r="D34" s="234" t="n"/>
      <c r="E34" s="183" t="n">
        <v>4000</v>
      </c>
      <c r="F34" s="157" t="n"/>
      <c r="G34" s="238" t="n"/>
      <c r="H34" s="577" t="n"/>
      <c r="I34" s="578" t="n"/>
      <c r="J34" s="577" t="n"/>
      <c r="K34" s="237">
        <f>E34/C34-1</f>
        <v/>
      </c>
      <c r="L34" s="566">
        <f>E34*12</f>
        <v/>
      </c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7" t="n"/>
      <c r="AA34" s="157" t="n"/>
      <c r="AB34" s="158" t="n"/>
      <c r="AC34" s="158" t="n"/>
      <c r="AD34" s="158" t="n"/>
      <c r="AE34" s="158" t="n"/>
      <c r="AF34" s="158" t="n"/>
    </row>
    <row r="35" ht="15.75" customHeight="1" s="398">
      <c r="A35" s="239" t="inlineStr">
        <is>
          <t>Manutenção Preventiva Sistema de Incêndio</t>
        </is>
      </c>
      <c r="B35" s="234" t="n"/>
      <c r="C35" s="218" t="n">
        <v>100</v>
      </c>
      <c r="D35" s="234" t="n"/>
      <c r="E35" s="183" t="n">
        <v>100</v>
      </c>
      <c r="F35" s="157" t="n"/>
      <c r="G35" s="238" t="n"/>
      <c r="H35" s="577" t="n"/>
      <c r="I35" s="578" t="n"/>
      <c r="J35" s="577" t="n"/>
      <c r="K35" s="237">
        <f>E35/C35-1</f>
        <v/>
      </c>
      <c r="L35" s="566">
        <f>E35*12</f>
        <v/>
      </c>
      <c r="M35" s="157" t="n"/>
      <c r="N35" s="157" t="n"/>
      <c r="O35" s="157" t="n"/>
      <c r="P35" s="157" t="n"/>
      <c r="Q35" s="157" t="n"/>
      <c r="R35" s="157" t="n"/>
      <c r="S35" s="157" t="n"/>
      <c r="T35" s="157" t="n"/>
      <c r="U35" s="157" t="n"/>
      <c r="V35" s="157" t="n"/>
      <c r="W35" s="157" t="n"/>
      <c r="X35" s="157" t="n"/>
      <c r="Y35" s="157" t="n"/>
      <c r="Z35" s="157" t="n"/>
      <c r="AA35" s="157" t="n"/>
      <c r="AB35" s="158" t="n"/>
      <c r="AC35" s="158" t="n"/>
      <c r="AD35" s="158" t="n"/>
      <c r="AE35" s="158" t="n"/>
      <c r="AF35" s="158" t="n"/>
    </row>
    <row r="36" ht="41.25" customHeight="1" s="398">
      <c r="A36" s="187" t="inlineStr">
        <is>
          <t xml:space="preserve">Obrigações Legais (AFT, certificado de qualidade do ar de ambiente climatizado, certificado digital, inspeção da esccada pressurizada, laudo de potabilidade, teste mangueiras, recarga extintores, SPDA, subestação de energia) </t>
        </is>
      </c>
      <c r="B36" s="220" t="n"/>
      <c r="C36" s="240" t="n">
        <v>3200</v>
      </c>
      <c r="D36" s="151" t="n"/>
      <c r="E36" s="183" t="n">
        <v>3200</v>
      </c>
      <c r="F36" s="153" t="n"/>
      <c r="G36" s="154" t="n"/>
      <c r="H36" s="541" t="n"/>
      <c r="I36" s="241" t="n"/>
      <c r="J36" s="242" t="n"/>
      <c r="K36" s="237">
        <f>E36/C36-1</f>
        <v/>
      </c>
      <c r="L36" s="566">
        <f>E36*12</f>
        <v/>
      </c>
      <c r="M36" s="157" t="n"/>
      <c r="N36" s="157" t="n"/>
      <c r="O36" s="157" t="n"/>
      <c r="P36" s="157" t="n"/>
      <c r="Q36" s="157" t="n"/>
      <c r="R36" s="157" t="n"/>
      <c r="S36" s="157" t="n"/>
      <c r="T36" s="157" t="n"/>
      <c r="U36" s="157" t="n"/>
      <c r="V36" s="157" t="n"/>
      <c r="W36" s="157" t="n"/>
      <c r="X36" s="157" t="n"/>
      <c r="Y36" s="157" t="n"/>
      <c r="Z36" s="157" t="n"/>
      <c r="AA36" s="157" t="n"/>
      <c r="AB36" s="157" t="n"/>
      <c r="AC36" s="157" t="n"/>
      <c r="AD36" s="157" t="n"/>
      <c r="AE36" s="158" t="n"/>
      <c r="AF36" s="158" t="n"/>
    </row>
    <row r="37" ht="19.5" customHeight="1" s="398">
      <c r="A37" s="243" t="inlineStr">
        <is>
          <t>Paisagismo interno</t>
        </is>
      </c>
      <c r="B37" s="234" t="n"/>
      <c r="C37" s="244" t="n">
        <v>100</v>
      </c>
      <c r="D37" s="151" t="n"/>
      <c r="E37" s="244" t="n">
        <v>100</v>
      </c>
      <c r="F37" s="153" t="n"/>
      <c r="G37" s="154" t="n"/>
      <c r="H37" s="541" t="n"/>
      <c r="I37" s="241" t="n"/>
      <c r="J37" s="242" t="n"/>
      <c r="K37" s="245">
        <f>E37/C37-1</f>
        <v/>
      </c>
      <c r="L37" s="570">
        <f>E37*12</f>
        <v/>
      </c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7" t="n"/>
      <c r="AA37" s="157" t="n"/>
      <c r="AB37" s="157" t="n"/>
      <c r="AC37" s="157" t="n"/>
      <c r="AD37" s="157" t="n"/>
      <c r="AE37" s="158" t="n"/>
      <c r="AF37" s="158" t="n"/>
    </row>
    <row r="38" ht="19.5" customHeight="1" s="398">
      <c r="A38" s="199" t="n"/>
      <c r="B38" s="190" t="n"/>
      <c r="C38" s="152" t="n"/>
      <c r="D38" s="190" t="n"/>
      <c r="E38" s="152" t="n"/>
      <c r="F38" s="157" t="n"/>
      <c r="G38" s="227" t="n"/>
      <c r="H38" s="541" t="n"/>
      <c r="I38" s="542" t="n"/>
      <c r="J38" s="541" t="n"/>
      <c r="K38" s="201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7" t="n"/>
      <c r="AA38" s="157" t="n"/>
      <c r="AB38" s="157" t="n"/>
      <c r="AC38" s="157" t="n"/>
      <c r="AD38" s="157" t="n"/>
      <c r="AE38" s="157" t="n"/>
      <c r="AF38" s="157" t="n"/>
    </row>
    <row r="39" ht="19.5" customHeight="1" s="398">
      <c r="A39" s="230" t="inlineStr">
        <is>
          <t>MATERIAIS E EQUIPAMENTOS</t>
        </is>
      </c>
      <c r="B39" s="167">
        <f>#REF!/#REF!</f>
        <v/>
      </c>
      <c r="C39" s="205">
        <f>SUM(C40:C52)</f>
        <v/>
      </c>
      <c r="D39" s="167" t="n"/>
      <c r="E39" s="203">
        <f>SUM(E40:E52)</f>
        <v/>
      </c>
      <c r="F39" s="246" t="n"/>
      <c r="G39" s="169" t="n"/>
      <c r="H39" s="541" t="n"/>
      <c r="I39" s="542" t="n"/>
      <c r="J39" s="541" t="n"/>
      <c r="K39" s="231">
        <f>E39/C39-1</f>
        <v/>
      </c>
      <c r="L39" s="232">
        <f>E39*12</f>
        <v/>
      </c>
      <c r="M39" s="246" t="n"/>
      <c r="N39" s="246" t="n"/>
      <c r="O39" s="246" t="n"/>
      <c r="P39" s="246" t="n"/>
      <c r="Q39" s="246" t="n"/>
      <c r="R39" s="246" t="n"/>
      <c r="S39" s="246" t="n"/>
      <c r="T39" s="246" t="n"/>
      <c r="U39" s="246" t="n"/>
      <c r="V39" s="246" t="n"/>
      <c r="W39" s="246" t="n"/>
      <c r="X39" s="246" t="n"/>
      <c r="Y39" s="246" t="n"/>
      <c r="Z39" s="246" t="n"/>
      <c r="AA39" s="246" t="n"/>
      <c r="AB39" s="246" t="n"/>
      <c r="AC39" s="246" t="n"/>
      <c r="AD39" s="246" t="n"/>
      <c r="AE39" s="246" t="n"/>
      <c r="AF39" s="246" t="n"/>
    </row>
    <row r="40" ht="19.5" customHeight="1" s="398">
      <c r="A40" s="233" t="inlineStr">
        <is>
          <t>Cartões para controle de acesso</t>
        </is>
      </c>
      <c r="B40" s="234" t="n"/>
      <c r="C40" s="247" t="n">
        <v>70</v>
      </c>
      <c r="D40" s="208" t="n"/>
      <c r="E40" s="248" t="n">
        <v>70</v>
      </c>
      <c r="F40" s="246" t="n"/>
      <c r="G40" s="249" t="n"/>
      <c r="H40" s="541" t="n"/>
      <c r="I40" s="542" t="n"/>
      <c r="J40" s="541" t="n"/>
      <c r="K40" s="237">
        <f>E40/C40-1</f>
        <v/>
      </c>
      <c r="L40" s="566">
        <f>E40*12</f>
        <v/>
      </c>
      <c r="M40" s="246" t="n"/>
      <c r="N40" s="246" t="n"/>
      <c r="O40" s="246" t="n"/>
      <c r="P40" s="246" t="n"/>
      <c r="Q40" s="246" t="n"/>
      <c r="R40" s="246" t="n"/>
      <c r="S40" s="246" t="n"/>
      <c r="T40" s="246" t="n"/>
      <c r="U40" s="246" t="n"/>
      <c r="V40" s="246" t="n"/>
      <c r="W40" s="246" t="n"/>
      <c r="X40" s="246" t="n"/>
      <c r="Y40" s="246" t="n"/>
      <c r="Z40" s="246" t="n"/>
      <c r="AA40" s="246" t="n"/>
      <c r="AB40" s="246" t="n"/>
      <c r="AC40" s="246" t="n"/>
      <c r="AD40" s="246" t="n"/>
      <c r="AE40" s="246" t="n"/>
      <c r="AF40" s="246" t="n"/>
    </row>
    <row r="41" ht="19.5" customHeight="1" s="398">
      <c r="A41" s="221" t="inlineStr">
        <is>
          <t>Chaveiro</t>
        </is>
      </c>
      <c r="B41" s="234" t="n"/>
      <c r="C41" s="213" t="n">
        <v>50</v>
      </c>
      <c r="D41" s="208" t="n"/>
      <c r="E41" s="248" t="n">
        <v>50</v>
      </c>
      <c r="F41" s="246" t="n"/>
      <c r="G41" s="249" t="n"/>
      <c r="H41" s="541" t="n"/>
      <c r="I41" s="542" t="n"/>
      <c r="J41" s="541" t="n"/>
      <c r="K41" s="237">
        <f>E41/C41-1</f>
        <v/>
      </c>
      <c r="L41" s="566">
        <f>E41*12</f>
        <v/>
      </c>
      <c r="M41" s="246" t="n"/>
      <c r="N41" s="246" t="n"/>
      <c r="O41" s="246" t="n"/>
      <c r="P41" s="246" t="n"/>
      <c r="Q41" s="246" t="n"/>
      <c r="R41" s="246" t="n"/>
      <c r="S41" s="246" t="n"/>
      <c r="T41" s="246" t="n"/>
      <c r="U41" s="246" t="n"/>
      <c r="V41" s="246" t="n"/>
      <c r="W41" s="246" t="n"/>
      <c r="X41" s="246" t="n"/>
      <c r="Y41" s="246" t="n"/>
      <c r="Z41" s="246" t="n"/>
      <c r="AA41" s="246" t="n"/>
      <c r="AB41" s="246" t="n"/>
      <c r="AC41" s="246" t="n"/>
      <c r="AD41" s="246" t="n"/>
      <c r="AE41" s="246" t="n"/>
      <c r="AF41" s="246" t="n"/>
    </row>
    <row r="42" ht="19.5" customHeight="1" s="398">
      <c r="A42" s="177" t="inlineStr">
        <is>
          <t>Lâmpadas</t>
        </is>
      </c>
      <c r="C42" s="218" t="n">
        <v>400</v>
      </c>
      <c r="D42" s="208" t="n"/>
      <c r="E42" s="248" t="n">
        <v>300</v>
      </c>
      <c r="F42" s="246" t="n"/>
      <c r="G42" s="249" t="n"/>
      <c r="H42" s="541" t="n"/>
      <c r="I42" s="542" t="n"/>
      <c r="J42" s="541" t="n"/>
      <c r="K42" s="237">
        <f>E42/C42-1</f>
        <v/>
      </c>
      <c r="L42" s="566">
        <f>E42*12</f>
        <v/>
      </c>
      <c r="M42" s="246" t="n"/>
      <c r="N42" s="246" t="n"/>
      <c r="O42" s="246" t="n"/>
      <c r="P42" s="246" t="n"/>
      <c r="Q42" s="246" t="n"/>
      <c r="R42" s="246" t="n"/>
      <c r="S42" s="246" t="n"/>
      <c r="T42" s="246" t="n"/>
      <c r="U42" s="246" t="n"/>
      <c r="V42" s="246" t="n"/>
      <c r="W42" s="246" t="n"/>
      <c r="X42" s="246" t="n"/>
      <c r="Y42" s="246" t="n"/>
      <c r="Z42" s="246" t="n"/>
      <c r="AA42" s="246" t="n"/>
      <c r="AB42" s="246" t="n"/>
      <c r="AC42" s="246" t="n"/>
      <c r="AD42" s="246" t="n"/>
      <c r="AE42" s="246" t="n"/>
      <c r="AF42" s="246" t="n"/>
    </row>
    <row r="43" ht="19.5" customHeight="1" s="398">
      <c r="A43" s="250" t="inlineStr">
        <is>
          <t>Materiais/Serviços Obras Diversas (Alvenaria, Serralheria, Funilaria, Outros)</t>
        </is>
      </c>
      <c r="C43" s="218" t="n">
        <v>500</v>
      </c>
      <c r="D43" s="208" t="n"/>
      <c r="E43" s="248" t="n">
        <v>500</v>
      </c>
      <c r="F43" s="246" t="n"/>
      <c r="G43" s="249" t="n"/>
      <c r="H43" s="541" t="n"/>
      <c r="I43" s="542" t="n"/>
      <c r="J43" s="541" t="n"/>
      <c r="K43" s="237">
        <f>E43/C43-1</f>
        <v/>
      </c>
      <c r="L43" s="566">
        <f>E43*12</f>
        <v/>
      </c>
      <c r="M43" s="246" t="n"/>
      <c r="N43" s="246" t="n"/>
      <c r="O43" s="246" t="n"/>
      <c r="P43" s="246" t="n"/>
      <c r="Q43" s="246" t="n"/>
      <c r="R43" s="246" t="n"/>
      <c r="S43" s="246" t="n"/>
      <c r="T43" s="246" t="n"/>
      <c r="U43" s="246" t="n"/>
      <c r="V43" s="246" t="n"/>
      <c r="W43" s="246" t="n"/>
      <c r="X43" s="246" t="n"/>
      <c r="Y43" s="246" t="n"/>
      <c r="Z43" s="246" t="n"/>
      <c r="AA43" s="246" t="n"/>
      <c r="AB43" s="246" t="n"/>
      <c r="AC43" s="246" t="n"/>
      <c r="AD43" s="246" t="n"/>
      <c r="AE43" s="246" t="n"/>
      <c r="AF43" s="246" t="n"/>
    </row>
    <row r="44" ht="19.5" customHeight="1" s="398">
      <c r="A44" s="221" t="inlineStr">
        <is>
          <t>Material de Ferragem (Elétrica, Hidráulica e Ferramentas)</t>
        </is>
      </c>
      <c r="C44" s="218" t="n">
        <v>1000</v>
      </c>
      <c r="D44" s="208" t="n"/>
      <c r="E44" s="248" t="n">
        <v>1000</v>
      </c>
      <c r="F44" s="246" t="n"/>
      <c r="G44" s="249" t="n"/>
      <c r="H44" s="541" t="n"/>
      <c r="I44" s="542" t="n"/>
      <c r="J44" s="541" t="n"/>
      <c r="K44" s="237">
        <f>E44/C44-1</f>
        <v/>
      </c>
      <c r="L44" s="566">
        <f>E44*12</f>
        <v/>
      </c>
      <c r="M44" s="246" t="n"/>
      <c r="N44" s="246" t="n"/>
      <c r="O44" s="246" t="n"/>
      <c r="P44" s="246" t="n"/>
      <c r="Q44" s="246" t="n"/>
      <c r="R44" s="246" t="n"/>
      <c r="S44" s="246" t="n"/>
      <c r="T44" s="246" t="n"/>
      <c r="U44" s="246" t="n"/>
      <c r="V44" s="246" t="n"/>
      <c r="W44" s="246" t="n"/>
      <c r="X44" s="246" t="n"/>
      <c r="Y44" s="246" t="n"/>
      <c r="Z44" s="246" t="n"/>
      <c r="AA44" s="246" t="n"/>
      <c r="AB44" s="246" t="n"/>
      <c r="AC44" s="246" t="n"/>
      <c r="AD44" s="246" t="n"/>
      <c r="AE44" s="246" t="n"/>
      <c r="AF44" s="246" t="n"/>
    </row>
    <row r="45" ht="19.5" customHeight="1" s="398">
      <c r="A45" s="177" t="inlineStr">
        <is>
          <t>Material Expediente Interno</t>
        </is>
      </c>
      <c r="B45" s="234" t="n"/>
      <c r="C45" s="213" t="n">
        <v>300</v>
      </c>
      <c r="D45" s="208" t="n"/>
      <c r="E45" s="248" t="n">
        <v>300</v>
      </c>
      <c r="F45" s="246" t="n"/>
      <c r="G45" s="249" t="n"/>
      <c r="H45" s="541" t="n"/>
      <c r="I45" s="542" t="n"/>
      <c r="J45" s="541" t="n"/>
      <c r="K45" s="237">
        <f>E45/C45-1</f>
        <v/>
      </c>
      <c r="L45" s="566">
        <f>E45*12</f>
        <v/>
      </c>
      <c r="M45" s="246" t="n"/>
      <c r="N45" s="246" t="n"/>
      <c r="O45" s="246" t="n"/>
      <c r="P45" s="246" t="n"/>
      <c r="Q45" s="246" t="n"/>
      <c r="R45" s="246" t="n"/>
      <c r="S45" s="246" t="n"/>
      <c r="T45" s="246" t="n"/>
      <c r="U45" s="246" t="n"/>
      <c r="V45" s="246" t="n"/>
      <c r="W45" s="246" t="n"/>
      <c r="X45" s="246" t="n"/>
      <c r="Y45" s="246" t="n"/>
      <c r="Z45" s="246" t="n"/>
      <c r="AA45" s="246" t="n"/>
      <c r="AB45" s="246" t="n"/>
      <c r="AC45" s="246" t="n"/>
      <c r="AD45" s="246" t="n"/>
      <c r="AE45" s="246" t="n"/>
      <c r="AF45" s="246" t="n"/>
    </row>
    <row r="46" ht="19.5" customHeight="1" s="398">
      <c r="A46" s="221" t="inlineStr">
        <is>
          <t>Material Limpeza/Consumíveis</t>
        </is>
      </c>
      <c r="B46" s="234" t="n"/>
      <c r="C46" s="213" t="n">
        <v>1200</v>
      </c>
      <c r="D46" s="208" t="n"/>
      <c r="E46" s="183" t="n">
        <v>1500</v>
      </c>
      <c r="F46" s="246" t="n"/>
      <c r="G46" s="249" t="n"/>
      <c r="H46" s="541" t="n"/>
      <c r="I46" s="542" t="n"/>
      <c r="J46" s="541" t="n"/>
      <c r="K46" s="237">
        <f>E46/C46-1</f>
        <v/>
      </c>
      <c r="L46" s="566">
        <f>E46*12</f>
        <v/>
      </c>
      <c r="M46" s="246" t="n"/>
      <c r="N46" s="246" t="n"/>
      <c r="O46" s="246" t="n"/>
      <c r="P46" s="246" t="n"/>
      <c r="Q46" s="246" t="n"/>
      <c r="R46" s="246" t="n"/>
      <c r="S46" s="246" t="n"/>
      <c r="T46" s="246" t="n"/>
      <c r="U46" s="246" t="n"/>
      <c r="V46" s="246" t="n"/>
      <c r="W46" s="246" t="n"/>
      <c r="X46" s="246" t="n"/>
      <c r="Y46" s="246" t="n"/>
      <c r="Z46" s="246" t="n"/>
      <c r="AA46" s="246" t="n"/>
      <c r="AB46" s="246" t="n"/>
      <c r="AC46" s="246" t="n"/>
      <c r="AD46" s="246" t="n"/>
      <c r="AE46" s="246" t="n"/>
      <c r="AF46" s="246" t="n"/>
    </row>
    <row r="47" ht="19.5" customHeight="1" s="398">
      <c r="A47" s="221" t="inlineStr">
        <is>
          <t>Peças elevador</t>
        </is>
      </c>
      <c r="B47" s="234" t="n"/>
      <c r="C47" s="213" t="n"/>
      <c r="D47" s="208" t="n"/>
      <c r="E47" s="183" t="n">
        <v>1400</v>
      </c>
      <c r="F47" s="246" t="n"/>
      <c r="G47" s="249" t="n"/>
      <c r="H47" s="541" t="n"/>
      <c r="I47" s="542" t="n"/>
      <c r="J47" s="541" t="n"/>
      <c r="K47" s="237">
        <f>E47/C47-1</f>
        <v/>
      </c>
      <c r="L47" s="566">
        <f>E47*12</f>
        <v/>
      </c>
      <c r="M47" s="246" t="n"/>
      <c r="N47" s="246" t="n"/>
      <c r="O47" s="246" t="n"/>
      <c r="P47" s="246" t="n"/>
      <c r="Q47" s="246" t="n"/>
      <c r="R47" s="246" t="n"/>
      <c r="S47" s="246" t="n"/>
      <c r="T47" s="246" t="n"/>
      <c r="U47" s="246" t="n"/>
      <c r="V47" s="246" t="n"/>
      <c r="W47" s="246" t="n"/>
      <c r="X47" s="246" t="n"/>
      <c r="Y47" s="246" t="n"/>
      <c r="Z47" s="246" t="n"/>
      <c r="AA47" s="246" t="n"/>
      <c r="AB47" s="246" t="n"/>
      <c r="AC47" s="246" t="n"/>
      <c r="AD47" s="246" t="n"/>
      <c r="AE47" s="246" t="n"/>
      <c r="AF47" s="246" t="n"/>
    </row>
    <row r="48" ht="19.5" customHeight="1" s="398">
      <c r="A48" s="221" t="inlineStr">
        <is>
          <t>Móveis e Utensílios</t>
        </is>
      </c>
      <c r="B48" s="234" t="n"/>
      <c r="C48" s="213" t="n">
        <v>200</v>
      </c>
      <c r="D48" s="151" t="n"/>
      <c r="E48" s="183" t="n">
        <v>300</v>
      </c>
      <c r="F48" s="153" t="n"/>
      <c r="G48" s="249" t="n"/>
      <c r="H48" s="541" t="n"/>
      <c r="I48" s="241" t="n"/>
      <c r="J48" s="251" t="n"/>
      <c r="K48" s="237">
        <f>E48/C48-1</f>
        <v/>
      </c>
      <c r="L48" s="566">
        <f>E48*12</f>
        <v/>
      </c>
      <c r="M48" s="157" t="n"/>
      <c r="N48" s="157" t="n"/>
      <c r="O48" s="157" t="n"/>
      <c r="P48" s="157" t="n"/>
      <c r="Q48" s="157" t="n"/>
      <c r="R48" s="157" t="n"/>
      <c r="S48" s="157" t="n"/>
      <c r="T48" s="157" t="n"/>
      <c r="U48" s="157" t="n"/>
      <c r="V48" s="157" t="n"/>
      <c r="W48" s="157" t="n"/>
      <c r="X48" s="157" t="n"/>
      <c r="Y48" s="157" t="n"/>
      <c r="Z48" s="157" t="n"/>
      <c r="AA48" s="157" t="n"/>
      <c r="AB48" s="157" t="n"/>
      <c r="AC48" s="157" t="n"/>
      <c r="AD48" s="157" t="n"/>
      <c r="AE48" s="158" t="n"/>
      <c r="AF48" s="158" t="n"/>
    </row>
    <row r="49" ht="19.5" customHeight="1" s="398">
      <c r="A49" s="177" t="inlineStr">
        <is>
          <t>Peças Ar Condicionado</t>
        </is>
      </c>
      <c r="B49" s="234" t="n"/>
      <c r="C49" s="213" t="n">
        <v>1800</v>
      </c>
      <c r="D49" s="151" t="n"/>
      <c r="E49" s="183" t="n">
        <v>1200</v>
      </c>
      <c r="F49" s="153" t="n"/>
      <c r="G49" s="249" t="n"/>
      <c r="H49" s="541" t="n"/>
      <c r="I49" s="241" t="n"/>
      <c r="J49" s="251" t="n"/>
      <c r="K49" s="237">
        <f>E49/C49-1</f>
        <v/>
      </c>
      <c r="L49" s="566">
        <f>E49*12</f>
        <v/>
      </c>
      <c r="M49" s="157" t="n"/>
      <c r="N49" s="157" t="n"/>
      <c r="O49" s="157" t="n"/>
      <c r="P49" s="157" t="n"/>
      <c r="Q49" s="157" t="n"/>
      <c r="R49" s="157" t="n"/>
      <c r="S49" s="157" t="n"/>
      <c r="T49" s="157" t="n"/>
      <c r="U49" s="157" t="n"/>
      <c r="V49" s="157" t="n"/>
      <c r="W49" s="157" t="n"/>
      <c r="X49" s="157" t="n"/>
      <c r="Y49" s="157" t="n"/>
      <c r="Z49" s="157" t="n"/>
      <c r="AA49" s="157" t="n"/>
      <c r="AB49" s="157" t="n"/>
      <c r="AC49" s="157" t="n"/>
      <c r="AD49" s="157" t="n"/>
      <c r="AE49" s="158" t="n"/>
      <c r="AF49" s="158" t="n"/>
    </row>
    <row r="50" ht="19.5" customHeight="1" s="398">
      <c r="A50" s="177" t="inlineStr">
        <is>
          <t>Peças de reposição para extintores e hidrantes e recargas eventuais</t>
        </is>
      </c>
      <c r="B50" s="234" t="n"/>
      <c r="C50" s="218" t="n">
        <v>100</v>
      </c>
      <c r="D50" s="208" t="n"/>
      <c r="E50" s="183" t="n">
        <v>100</v>
      </c>
      <c r="F50" s="246" t="n"/>
      <c r="G50" s="249" t="n"/>
      <c r="H50" s="541" t="n"/>
      <c r="I50" s="542" t="n"/>
      <c r="J50" s="541" t="n"/>
      <c r="K50" s="237">
        <f>E50/C50-1</f>
        <v/>
      </c>
      <c r="L50" s="566">
        <f>E50*12</f>
        <v/>
      </c>
      <c r="M50" s="246" t="n"/>
      <c r="N50" s="246" t="n"/>
      <c r="O50" s="246" t="n"/>
      <c r="P50" s="246" t="n"/>
      <c r="Q50" s="246" t="n"/>
      <c r="R50" s="246" t="n"/>
      <c r="S50" s="246" t="n"/>
      <c r="T50" s="246" t="n"/>
      <c r="U50" s="246" t="n"/>
      <c r="V50" s="246" t="n"/>
      <c r="W50" s="246" t="n"/>
      <c r="X50" s="246" t="n"/>
      <c r="Y50" s="246" t="n"/>
      <c r="Z50" s="246" t="n"/>
      <c r="AA50" s="246" t="n"/>
      <c r="AB50" s="246" t="n"/>
      <c r="AC50" s="246" t="n"/>
      <c r="AD50" s="246" t="n"/>
      <c r="AE50" s="246" t="n"/>
      <c r="AF50" s="246" t="n"/>
    </row>
    <row r="51" ht="19.5" customHeight="1" s="398">
      <c r="A51" s="221" t="inlineStr">
        <is>
          <t>Peças para Grupo Gerador, limpeza semestral filtro e óleo e óleo diesel</t>
        </is>
      </c>
      <c r="B51" s="234" t="n"/>
      <c r="C51" s="213" t="n">
        <v>400</v>
      </c>
      <c r="D51" s="151" t="n"/>
      <c r="E51" s="183" t="n">
        <v>400</v>
      </c>
      <c r="F51" s="153" t="n"/>
      <c r="G51" s="249" t="n"/>
      <c r="H51" s="541" t="n"/>
      <c r="I51" s="241" t="n"/>
      <c r="J51" s="251" t="n"/>
      <c r="K51" s="237">
        <f>E51/C51-1</f>
        <v/>
      </c>
      <c r="L51" s="566">
        <f>E51*12</f>
        <v/>
      </c>
      <c r="M51" s="157" t="n"/>
      <c r="N51" s="157" t="n"/>
      <c r="O51" s="157" t="n"/>
      <c r="P51" s="157" t="n"/>
      <c r="Q51" s="157" t="n"/>
      <c r="R51" s="157" t="n"/>
      <c r="S51" s="157" t="n"/>
      <c r="T51" s="157" t="n"/>
      <c r="U51" s="157" t="n"/>
      <c r="V51" s="157" t="n"/>
      <c r="W51" s="157" t="n"/>
      <c r="X51" s="157" t="n"/>
      <c r="Y51" s="157" t="n"/>
      <c r="Z51" s="157" t="n"/>
      <c r="AA51" s="157" t="n"/>
      <c r="AB51" s="157" t="n"/>
      <c r="AC51" s="157" t="n"/>
      <c r="AD51" s="157" t="n"/>
      <c r="AE51" s="158" t="n"/>
      <c r="AF51" s="158" t="n"/>
    </row>
    <row r="52" ht="19.5" customHeight="1" s="398">
      <c r="A52" s="243" t="inlineStr">
        <is>
          <t>Peças para manutenção das catracas</t>
        </is>
      </c>
      <c r="B52" s="190" t="n"/>
      <c r="C52" s="244" t="n">
        <v>100</v>
      </c>
      <c r="D52" s="208" t="n"/>
      <c r="E52" s="183" t="n">
        <v>270</v>
      </c>
      <c r="F52" s="246" t="n"/>
      <c r="G52" s="249" t="n"/>
      <c r="H52" s="541" t="n"/>
      <c r="I52" s="542" t="n"/>
      <c r="J52" s="541" t="n"/>
      <c r="K52" s="245">
        <f>E52/C52-1</f>
        <v/>
      </c>
      <c r="L52" s="570">
        <f>E52*12</f>
        <v/>
      </c>
      <c r="M52" s="246" t="n"/>
      <c r="N52" s="246" t="n"/>
      <c r="O52" s="246" t="n"/>
      <c r="P52" s="246" t="n"/>
      <c r="Q52" s="246" t="n"/>
      <c r="R52" s="246" t="n"/>
      <c r="S52" s="246" t="n"/>
      <c r="T52" s="246" t="n"/>
      <c r="U52" s="246" t="n"/>
      <c r="V52" s="246" t="n"/>
      <c r="W52" s="246" t="n"/>
      <c r="X52" s="246" t="n"/>
      <c r="Y52" s="246" t="n"/>
      <c r="Z52" s="246" t="n"/>
      <c r="AA52" s="246" t="n"/>
      <c r="AB52" s="246" t="n"/>
      <c r="AC52" s="246" t="n"/>
      <c r="AD52" s="246" t="n"/>
      <c r="AE52" s="246" t="n"/>
      <c r="AF52" s="246" t="n"/>
    </row>
    <row r="53" ht="19.5" customHeight="1" s="398">
      <c r="A53" s="199" t="n"/>
      <c r="B53" s="252" t="n"/>
      <c r="C53" s="152" t="n"/>
      <c r="D53" s="252" t="n"/>
      <c r="E53" s="152" t="n"/>
      <c r="F53" s="157" t="n"/>
      <c r="G53" s="253" t="n"/>
      <c r="H53" s="541" t="n"/>
      <c r="I53" s="542" t="n"/>
      <c r="J53" s="541" t="n"/>
      <c r="K53" s="201" t="n"/>
      <c r="L53" s="157" t="n"/>
      <c r="M53" s="157" t="n"/>
      <c r="N53" s="157" t="n"/>
      <c r="O53" s="157" t="n"/>
      <c r="P53" s="157" t="n"/>
      <c r="Q53" s="157" t="n"/>
      <c r="R53" s="157" t="n"/>
      <c r="S53" s="157" t="n"/>
      <c r="T53" s="157" t="n"/>
      <c r="U53" s="157" t="n"/>
      <c r="V53" s="157" t="n"/>
      <c r="W53" s="157" t="n"/>
      <c r="X53" s="157" t="n"/>
      <c r="Y53" s="157" t="n"/>
      <c r="Z53" s="157" t="n"/>
      <c r="AA53" s="157" t="n"/>
      <c r="AB53" s="157" t="n"/>
      <c r="AC53" s="157" t="n"/>
      <c r="AD53" s="157" t="n"/>
      <c r="AE53" s="157" t="n"/>
      <c r="AF53" s="157" t="n"/>
    </row>
    <row r="54" ht="19.5" customHeight="1" s="398">
      <c r="A54" s="230" t="inlineStr">
        <is>
          <t>DESPESAS  ADMINISTRATIVAS</t>
        </is>
      </c>
      <c r="B54" s="167">
        <f>#REF!/#REF!</f>
        <v/>
      </c>
      <c r="C54" s="203">
        <f>SUM(C55:C61)</f>
        <v/>
      </c>
      <c r="D54" s="167">
        <f>C54/#REF!</f>
        <v/>
      </c>
      <c r="E54" s="203">
        <f>SUM(E55:E61)</f>
        <v/>
      </c>
      <c r="F54" s="157" t="n"/>
      <c r="G54" s="169" t="n"/>
      <c r="H54" s="541" t="n"/>
      <c r="I54" s="542" t="n"/>
      <c r="J54" s="541" t="n"/>
      <c r="K54" s="231">
        <f>E54/C54-1</f>
        <v/>
      </c>
      <c r="L54" s="232">
        <f>E54*12</f>
        <v/>
      </c>
      <c r="M54" s="157" t="n"/>
      <c r="N54" s="157" t="n"/>
      <c r="O54" s="157" t="n"/>
      <c r="P54" s="157" t="n"/>
      <c r="Q54" s="157" t="n"/>
      <c r="R54" s="157" t="n"/>
      <c r="S54" s="157" t="n"/>
      <c r="T54" s="157" t="n"/>
      <c r="U54" s="157" t="n"/>
      <c r="V54" s="157" t="n"/>
      <c r="W54" s="157" t="n"/>
      <c r="X54" s="157" t="n"/>
      <c r="Y54" s="157" t="n"/>
      <c r="Z54" s="157" t="n"/>
      <c r="AA54" s="157" t="n"/>
      <c r="AB54" s="157" t="n"/>
      <c r="AC54" s="157" t="n"/>
      <c r="AD54" s="157" t="n"/>
      <c r="AE54" s="157" t="n"/>
      <c r="AF54" s="157" t="n"/>
    </row>
    <row r="55" ht="19.5" customHeight="1" s="398">
      <c r="A55" s="233" t="inlineStr">
        <is>
          <t>Telefonia/Internet</t>
        </is>
      </c>
      <c r="B55" s="190" t="n"/>
      <c r="C55" s="235" t="n">
        <v>400</v>
      </c>
      <c r="D55" s="190" t="n"/>
      <c r="E55" s="183" t="n">
        <v>400</v>
      </c>
      <c r="F55" s="157" t="n"/>
      <c r="G55" s="249" t="n"/>
      <c r="H55" s="541" t="n"/>
      <c r="I55" s="542" t="n"/>
      <c r="J55" s="541" t="n"/>
      <c r="K55" s="237">
        <f>E55/C55-1</f>
        <v/>
      </c>
      <c r="L55" s="566">
        <f>E55*12</f>
        <v/>
      </c>
      <c r="M55" s="157" t="n"/>
      <c r="N55" s="157" t="n"/>
      <c r="O55" s="157" t="n"/>
      <c r="P55" s="157" t="n"/>
      <c r="Q55" s="157" t="n"/>
      <c r="R55" s="157" t="n"/>
      <c r="S55" s="157" t="n"/>
      <c r="T55" s="157" t="n"/>
      <c r="U55" s="157" t="n"/>
      <c r="V55" s="157" t="n"/>
      <c r="W55" s="157" t="n"/>
      <c r="X55" s="157" t="n"/>
      <c r="Y55" s="157" t="n"/>
      <c r="Z55" s="157" t="n"/>
      <c r="AA55" s="157" t="n"/>
      <c r="AB55" s="157" t="n"/>
      <c r="AC55" s="157" t="n"/>
      <c r="AD55" s="157" t="n"/>
      <c r="AE55" s="157" t="n"/>
      <c r="AF55" s="157" t="n"/>
    </row>
    <row r="56" ht="19.5" customHeight="1" s="398">
      <c r="A56" s="177" t="inlineStr">
        <is>
          <t>Impressões/Cópias</t>
        </is>
      </c>
      <c r="B56" s="190" t="n"/>
      <c r="C56" s="183" t="n">
        <v>150</v>
      </c>
      <c r="D56" s="190" t="n"/>
      <c r="E56" s="218" t="n">
        <v>165</v>
      </c>
      <c r="F56" s="157" t="n"/>
      <c r="G56" s="249" t="n"/>
      <c r="H56" s="541" t="n"/>
      <c r="I56" s="542" t="n"/>
      <c r="J56" s="541" t="n"/>
      <c r="K56" s="237">
        <f>E56/C56-1</f>
        <v/>
      </c>
      <c r="L56" s="566">
        <f>E56*12</f>
        <v/>
      </c>
      <c r="M56" s="157" t="n"/>
      <c r="N56" s="157" t="n"/>
      <c r="O56" s="157" t="n"/>
      <c r="P56" s="157" t="n"/>
      <c r="Q56" s="157" t="n"/>
      <c r="R56" s="157" t="n"/>
      <c r="S56" s="157" t="n"/>
      <c r="T56" s="157" t="n"/>
      <c r="U56" s="157" t="n"/>
      <c r="V56" s="157" t="n"/>
      <c r="W56" s="157" t="n"/>
      <c r="X56" s="157" t="n"/>
      <c r="Y56" s="157" t="n"/>
      <c r="Z56" s="157" t="n"/>
      <c r="AA56" s="157" t="n"/>
      <c r="AB56" s="157" t="n"/>
      <c r="AC56" s="157" t="n"/>
      <c r="AD56" s="157" t="n"/>
      <c r="AE56" s="157" t="n"/>
      <c r="AF56" s="157" t="n"/>
    </row>
    <row r="57" ht="19.5" customHeight="1" s="398">
      <c r="A57" s="177" t="inlineStr">
        <is>
          <t xml:space="preserve">Correio/Remessa Correspondências/Motoboy/Diversas </t>
        </is>
      </c>
      <c r="B57" s="190" t="n"/>
      <c r="C57" s="183" t="n">
        <v>400</v>
      </c>
      <c r="D57" s="190" t="n"/>
      <c r="E57" s="218" t="n">
        <v>400</v>
      </c>
      <c r="F57" s="157" t="n"/>
      <c r="G57" s="249" t="n"/>
      <c r="H57" s="541" t="n"/>
      <c r="I57" s="542" t="n"/>
      <c r="J57" s="541" t="n"/>
      <c r="K57" s="237">
        <f>E57/C57-1</f>
        <v/>
      </c>
      <c r="L57" s="566">
        <f>E57*12</f>
        <v/>
      </c>
      <c r="M57" s="157" t="n"/>
      <c r="N57" s="157" t="n"/>
      <c r="O57" s="157" t="n"/>
      <c r="P57" s="157" t="n"/>
      <c r="Q57" s="157" t="n"/>
      <c r="R57" s="157" t="n"/>
      <c r="S57" s="157" t="n"/>
      <c r="T57" s="157" t="n"/>
      <c r="U57" s="157" t="n"/>
      <c r="V57" s="157" t="n"/>
      <c r="W57" s="157" t="n"/>
      <c r="X57" s="157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</row>
    <row r="58" ht="19.5" customHeight="1" s="398">
      <c r="A58" s="177" t="inlineStr">
        <is>
          <t>Impostos - DIRF/DARF/ISSQN/PIS/COFINS</t>
        </is>
      </c>
      <c r="B58" s="190" t="n"/>
      <c r="C58" s="183" t="n">
        <v>700</v>
      </c>
      <c r="D58" s="190" t="n"/>
      <c r="E58" s="213" t="n">
        <v>700</v>
      </c>
      <c r="F58" s="157" t="n"/>
      <c r="G58" s="249" t="n"/>
      <c r="H58" s="541" t="n"/>
      <c r="I58" s="542" t="n"/>
      <c r="J58" s="541" t="n"/>
      <c r="K58" s="237">
        <f>E58/C58-1</f>
        <v/>
      </c>
      <c r="L58" s="566">
        <f>E58*12</f>
        <v/>
      </c>
      <c r="M58" s="157" t="n"/>
      <c r="N58" s="157" t="n"/>
      <c r="O58" s="157" t="n"/>
      <c r="P58" s="157" t="n"/>
      <c r="Q58" s="157" t="n"/>
      <c r="R58" s="157" t="n"/>
      <c r="S58" s="157" t="n"/>
      <c r="T58" s="157" t="n"/>
      <c r="U58" s="157" t="n"/>
      <c r="V58" s="157" t="n"/>
      <c r="W58" s="157" t="n"/>
      <c r="X58" s="157" t="n"/>
      <c r="Y58" s="157" t="n"/>
      <c r="Z58" s="157" t="n"/>
      <c r="AA58" s="157" t="n"/>
      <c r="AB58" s="157" t="n"/>
      <c r="AC58" s="157" t="n"/>
      <c r="AD58" s="157" t="n"/>
      <c r="AE58" s="157" t="n"/>
      <c r="AF58" s="157" t="n"/>
    </row>
    <row r="59" ht="19.5" customHeight="1" s="398">
      <c r="A59" s="221" t="inlineStr">
        <is>
          <t>Material Expediente APL</t>
        </is>
      </c>
      <c r="B59" s="190" t="n"/>
      <c r="C59" s="183">
        <f>C14*0.1</f>
        <v/>
      </c>
      <c r="D59" s="190" t="n"/>
      <c r="E59" s="183">
        <f>E14*0.1</f>
        <v/>
      </c>
      <c r="F59" s="157" t="n"/>
      <c r="G59" s="249" t="n"/>
      <c r="H59" s="541" t="n"/>
      <c r="I59" s="542" t="n"/>
      <c r="J59" s="541" t="n"/>
      <c r="K59" s="237">
        <f>E59/C59-1</f>
        <v/>
      </c>
      <c r="L59" s="566">
        <f>E59*12</f>
        <v/>
      </c>
      <c r="M59" s="157" t="n"/>
      <c r="N59" s="157" t="n"/>
      <c r="O59" s="157" t="n"/>
      <c r="P59" s="157" t="n"/>
      <c r="Q59" s="157" t="n"/>
      <c r="R59" s="157" t="n"/>
      <c r="S59" s="157" t="n"/>
      <c r="T59" s="157" t="n"/>
      <c r="U59" s="157" t="n"/>
      <c r="V59" s="157" t="n"/>
      <c r="W59" s="157" t="n"/>
      <c r="X59" s="157" t="n"/>
      <c r="Y59" s="157" t="n"/>
      <c r="Z59" s="157" t="n"/>
      <c r="AA59" s="157" t="n"/>
      <c r="AB59" s="157" t="n"/>
      <c r="AC59" s="157" t="n"/>
      <c r="AD59" s="157" t="n"/>
      <c r="AE59" s="157" t="n"/>
      <c r="AF59" s="157" t="n"/>
    </row>
    <row r="60" ht="19.5" customHeight="1" s="398">
      <c r="A60" s="221" t="inlineStr">
        <is>
          <t xml:space="preserve">Desepesas com Assembleia (Locação Cadeiras, Equipamentos) </t>
        </is>
      </c>
      <c r="B60" s="190" t="n"/>
      <c r="C60" s="183" t="n">
        <v>100</v>
      </c>
      <c r="D60" s="190" t="n"/>
      <c r="E60" s="213" t="n">
        <v>100</v>
      </c>
      <c r="F60" s="157" t="n"/>
      <c r="G60" s="249" t="n"/>
      <c r="H60" s="541" t="n"/>
      <c r="I60" s="542" t="n"/>
      <c r="J60" s="541" t="n"/>
      <c r="K60" s="237">
        <f>E60/C60-1</f>
        <v/>
      </c>
      <c r="L60" s="566">
        <f>E60*12</f>
        <v/>
      </c>
      <c r="M60" s="157" t="n"/>
      <c r="N60" s="157" t="n"/>
      <c r="O60" s="157" t="n"/>
      <c r="P60" s="157" t="n"/>
      <c r="Q60" s="157" t="n"/>
      <c r="R60" s="157" t="n"/>
      <c r="S60" s="157" t="n"/>
      <c r="T60" s="157" t="n"/>
      <c r="U60" s="157" t="n"/>
      <c r="V60" s="157" t="n"/>
      <c r="W60" s="157" t="n"/>
      <c r="X60" s="157" t="n"/>
      <c r="Y60" s="157" t="n"/>
      <c r="Z60" s="157" t="n"/>
      <c r="AA60" s="157" t="n"/>
      <c r="AB60" s="157" t="n"/>
      <c r="AC60" s="157" t="n"/>
      <c r="AD60" s="157" t="n"/>
      <c r="AE60" s="157" t="n"/>
      <c r="AF60" s="157" t="n"/>
    </row>
    <row r="61" ht="19.5" customHeight="1" s="398">
      <c r="A61" s="191" t="inlineStr">
        <is>
          <t>Custas Judiciais</t>
        </is>
      </c>
      <c r="B61" s="190" t="n"/>
      <c r="C61" s="192" t="n">
        <v>100</v>
      </c>
      <c r="D61" s="190" t="n"/>
      <c r="E61" s="244" t="n">
        <v>100</v>
      </c>
      <c r="F61" s="157" t="n"/>
      <c r="G61" s="249" t="n"/>
      <c r="H61" s="541" t="n"/>
      <c r="I61" s="542" t="n"/>
      <c r="J61" s="541" t="n"/>
      <c r="K61" s="245">
        <f>E61/C61-1</f>
        <v/>
      </c>
      <c r="L61" s="570">
        <f>E61*12</f>
        <v/>
      </c>
      <c r="M61" s="157" t="n"/>
      <c r="N61" s="157" t="n"/>
      <c r="O61" s="157" t="n"/>
      <c r="P61" s="157" t="n"/>
      <c r="Q61" s="157" t="n"/>
      <c r="R61" s="157" t="n"/>
      <c r="S61" s="157" t="n"/>
      <c r="T61" s="157" t="n"/>
      <c r="U61" s="157" t="n"/>
      <c r="V61" s="157" t="n"/>
      <c r="W61" s="157" t="n"/>
      <c r="X61" s="157" t="n"/>
      <c r="Y61" s="157" t="n"/>
      <c r="Z61" s="157" t="n"/>
      <c r="AA61" s="157" t="n"/>
      <c r="AB61" s="157" t="n"/>
      <c r="AC61" s="157" t="n"/>
      <c r="AD61" s="157" t="n"/>
      <c r="AE61" s="157" t="n"/>
      <c r="AF61" s="157" t="n"/>
    </row>
    <row r="62" ht="19.5" customHeight="1" s="398">
      <c r="A62" s="254" t="n"/>
      <c r="B62" s="190" t="n"/>
      <c r="C62" s="255" t="n"/>
      <c r="D62" s="190" t="n"/>
      <c r="E62" s="255" t="n"/>
      <c r="F62" s="158" t="n"/>
      <c r="G62" s="256" t="n"/>
      <c r="H62" s="577" t="n"/>
      <c r="I62" s="578" t="n"/>
      <c r="J62" s="577" t="n"/>
      <c r="K62" s="201" t="n"/>
      <c r="L62" s="158" t="n"/>
      <c r="M62" s="158" t="n"/>
      <c r="N62" s="158" t="n"/>
      <c r="O62" s="158" t="n"/>
      <c r="P62" s="158" t="n"/>
      <c r="Q62" s="158" t="n"/>
      <c r="R62" s="158" t="n"/>
      <c r="S62" s="158" t="n"/>
      <c r="T62" s="158" t="n"/>
      <c r="U62" s="158" t="n"/>
      <c r="V62" s="158" t="n"/>
      <c r="W62" s="158" t="n"/>
      <c r="X62" s="158" t="n"/>
      <c r="Y62" s="158" t="n"/>
      <c r="Z62" s="158" t="n"/>
      <c r="AA62" s="158" t="n"/>
      <c r="AB62" s="158" t="n"/>
      <c r="AC62" s="158" t="n"/>
      <c r="AD62" s="158" t="n"/>
      <c r="AE62" s="158" t="n"/>
      <c r="AF62" s="158" t="n"/>
    </row>
    <row r="63" ht="19.5" customHeight="1" s="398">
      <c r="A63" s="257" t="inlineStr">
        <is>
          <t>COTA 2018 / 2019</t>
        </is>
      </c>
      <c r="B63" s="178">
        <f>SUM(B6,B20,B30,#REF!,B54)</f>
        <v/>
      </c>
      <c r="C63" s="258">
        <f>SUM(C5,C19,C30,C39,C54)</f>
        <v/>
      </c>
      <c r="D63" s="178" t="n"/>
      <c r="E63" s="258">
        <f>SUM(E5,E19,E30,E39,E54)</f>
        <v/>
      </c>
      <c r="F63" s="157" t="n"/>
      <c r="G63" s="238" t="n"/>
      <c r="H63" s="541" t="n"/>
      <c r="I63" s="542" t="n"/>
      <c r="J63" s="541" t="n"/>
      <c r="K63" s="259">
        <f>E63/C63-1</f>
        <v/>
      </c>
      <c r="L63" s="157" t="n"/>
      <c r="M63" s="157" t="n"/>
      <c r="N63" s="157" t="n"/>
      <c r="O63" s="157" t="n"/>
      <c r="P63" s="157" t="n"/>
      <c r="Q63" s="157" t="n"/>
      <c r="R63" s="157" t="n"/>
      <c r="S63" s="157" t="n"/>
      <c r="T63" s="157" t="n"/>
      <c r="U63" s="157" t="n"/>
      <c r="V63" s="157" t="n"/>
      <c r="W63" s="157" t="n"/>
      <c r="X63" s="157" t="n"/>
      <c r="Y63" s="157" t="n"/>
      <c r="Z63" s="157" t="n"/>
      <c r="AA63" s="157" t="n"/>
      <c r="AB63" s="157" t="n"/>
      <c r="AC63" s="157" t="n"/>
      <c r="AD63" s="157" t="n"/>
      <c r="AE63" s="157" t="n"/>
      <c r="AF63" s="157" t="n"/>
    </row>
    <row r="64" ht="19.5" customHeight="1" s="398">
      <c r="A64" s="260" t="n"/>
      <c r="B64" s="190" t="n"/>
      <c r="C64" s="261" t="n"/>
      <c r="D64" s="190" t="n"/>
      <c r="E64" s="262" t="n"/>
      <c r="F64" s="158" t="n"/>
      <c r="G64" s="256" t="n"/>
      <c r="H64" s="541" t="n"/>
      <c r="I64" s="542" t="n"/>
      <c r="J64" s="541" t="n"/>
      <c r="K64" s="201" t="n"/>
      <c r="L64" s="157" t="n"/>
      <c r="M64" s="157" t="n"/>
      <c r="N64" s="157" t="n"/>
      <c r="O64" s="157" t="n"/>
      <c r="P64" s="157" t="n"/>
      <c r="Q64" s="157" t="n"/>
      <c r="R64" s="157" t="n"/>
      <c r="S64" s="157" t="n"/>
      <c r="T64" s="157" t="n"/>
      <c r="U64" s="157" t="n"/>
      <c r="V64" s="157" t="n"/>
      <c r="W64" s="157" t="n"/>
      <c r="X64" s="157" t="n"/>
      <c r="Y64" s="157" t="n"/>
      <c r="Z64" s="157" t="n"/>
      <c r="AA64" s="157" t="n"/>
      <c r="AB64" s="158" t="n"/>
      <c r="AC64" s="158" t="n"/>
      <c r="AD64" s="158" t="n"/>
      <c r="AE64" s="158" t="n"/>
      <c r="AF64" s="158" t="n"/>
    </row>
    <row r="65" ht="30.75" customHeight="1" s="398">
      <c r="A65" s="230" t="inlineStr">
        <is>
          <t>DESPESAS VARIÁVEIS 
(COBRADAS CONFORME CONSUMO MENSAL)</t>
        </is>
      </c>
      <c r="B65" s="263" t="n"/>
      <c r="C65" s="205">
        <f>SUM(C66:C68)</f>
        <v/>
      </c>
      <c r="D65" s="151" t="n"/>
      <c r="E65" s="205">
        <f>SUM(E66:E68)</f>
        <v/>
      </c>
      <c r="F65" s="264" t="n"/>
      <c r="G65" s="154" t="n"/>
      <c r="H65" s="541" t="n"/>
      <c r="I65" s="542" t="n"/>
      <c r="J65" s="541" t="n"/>
      <c r="K65" s="231">
        <f>E65/C65-1</f>
        <v/>
      </c>
      <c r="L65" s="232">
        <f>E65*12</f>
        <v/>
      </c>
      <c r="M65" s="265" t="n"/>
      <c r="N65" s="265" t="n"/>
      <c r="O65" s="265" t="n"/>
      <c r="P65" s="265" t="n"/>
      <c r="Q65" s="265" t="n"/>
      <c r="R65" s="265" t="n"/>
      <c r="S65" s="265" t="n"/>
      <c r="T65" s="265" t="n"/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6" t="n"/>
      <c r="AF65" s="266" t="n"/>
    </row>
    <row r="66" ht="19.5" customHeight="1" s="398">
      <c r="A66" s="267" t="inlineStr">
        <is>
          <t>Água e Esgoto - Área Comum</t>
        </is>
      </c>
      <c r="B66" s="263" t="n"/>
      <c r="C66" s="268" t="n">
        <v>7000</v>
      </c>
      <c r="D66" s="151" t="n"/>
      <c r="E66" s="268" t="n">
        <v>7100</v>
      </c>
      <c r="F66" s="264" t="n"/>
      <c r="G66" s="154" t="n"/>
      <c r="H66" s="541" t="n"/>
      <c r="I66" s="542" t="n"/>
      <c r="J66" s="541" t="n"/>
      <c r="K66" s="269">
        <f>E66/C66-1</f>
        <v/>
      </c>
      <c r="L66" s="566">
        <f>E66*12</f>
        <v/>
      </c>
      <c r="M66" s="265" t="n"/>
      <c r="N66" s="265" t="n"/>
      <c r="O66" s="265" t="n"/>
      <c r="P66" s="265" t="n"/>
      <c r="Q66" s="265" t="n"/>
      <c r="R66" s="265" t="n"/>
      <c r="S66" s="265" t="n"/>
      <c r="T66" s="265" t="n"/>
      <c r="U66" s="265" t="n"/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6" t="n"/>
      <c r="AF66" s="266" t="n"/>
    </row>
    <row r="67" ht="19.5" customHeight="1" s="398">
      <c r="A67" s="270" t="inlineStr">
        <is>
          <t>Energia Elétrica - Área Comum</t>
        </is>
      </c>
      <c r="B67" s="263" t="n"/>
      <c r="C67" s="271" t="n">
        <v>20000</v>
      </c>
      <c r="D67" s="151" t="n"/>
      <c r="E67" s="271" t="n">
        <v>23895.5</v>
      </c>
      <c r="F67" s="264" t="n"/>
      <c r="G67" s="154" t="n"/>
      <c r="H67" s="541" t="n"/>
      <c r="I67" s="542" t="n"/>
      <c r="J67" s="541" t="n"/>
      <c r="K67" s="269">
        <f>E67/C67-1</f>
        <v/>
      </c>
      <c r="L67" s="566">
        <f>E67*12</f>
        <v/>
      </c>
      <c r="M67" s="265" t="n"/>
      <c r="N67" s="265" t="n"/>
      <c r="O67" s="265" t="n"/>
      <c r="P67" s="265" t="n"/>
      <c r="Q67" s="265" t="n"/>
      <c r="R67" s="265" t="n"/>
      <c r="S67" s="265" t="n"/>
      <c r="T67" s="265" t="n"/>
      <c r="U67" s="265" t="n"/>
      <c r="V67" s="265" t="n"/>
      <c r="W67" s="265" t="n"/>
      <c r="X67" s="265" t="n"/>
      <c r="Y67" s="265" t="n"/>
      <c r="Z67" s="265" t="n"/>
      <c r="AA67" s="265" t="n"/>
      <c r="AB67" s="265" t="n"/>
      <c r="AC67" s="265" t="n"/>
      <c r="AD67" s="265" t="n"/>
      <c r="AE67" s="266" t="n"/>
      <c r="AF67" s="266" t="n"/>
    </row>
    <row r="68" ht="19.5" customHeight="1" s="398">
      <c r="A68" s="272" t="inlineStr">
        <is>
          <t>Seguro fogo</t>
        </is>
      </c>
      <c r="B68" s="263" t="n"/>
      <c r="C68" s="273" t="n">
        <v>13000</v>
      </c>
      <c r="D68" s="151" t="n"/>
      <c r="E68" s="273" t="n">
        <v>13000</v>
      </c>
      <c r="F68" s="153" t="n"/>
      <c r="G68" s="154" t="n"/>
      <c r="H68" s="541" t="n"/>
      <c r="I68" s="542" t="n"/>
      <c r="J68" s="541" t="n"/>
      <c r="K68" s="274">
        <f>E68/C68-1</f>
        <v/>
      </c>
      <c r="L68" s="570">
        <f>E68*12</f>
        <v/>
      </c>
      <c r="M68" s="265" t="n"/>
      <c r="N68" s="265" t="n"/>
      <c r="O68" s="265" t="n"/>
      <c r="P68" s="265" t="n"/>
      <c r="Q68" s="265" t="n"/>
      <c r="R68" s="265" t="n"/>
      <c r="S68" s="265" t="n"/>
      <c r="T68" s="265" t="n"/>
      <c r="U68" s="265" t="n"/>
      <c r="V68" s="265" t="n"/>
      <c r="W68" s="265" t="n"/>
      <c r="X68" s="265" t="n"/>
      <c r="Y68" s="265" t="n"/>
      <c r="Z68" s="265" t="n"/>
      <c r="AA68" s="265" t="n"/>
      <c r="AB68" s="265" t="n"/>
      <c r="AC68" s="265" t="n"/>
      <c r="AD68" s="265" t="n"/>
      <c r="AE68" s="266" t="n"/>
      <c r="AF68" s="266" t="n"/>
    </row>
    <row r="69" ht="15.75" customHeight="1" s="398">
      <c r="A69" s="275" t="n"/>
      <c r="B69" s="151" t="n"/>
      <c r="C69" s="152" t="n"/>
      <c r="D69" s="151" t="n"/>
      <c r="E69" s="152" t="n"/>
      <c r="F69" s="153" t="n"/>
      <c r="G69" s="154" t="n"/>
      <c r="H69" s="541" t="n"/>
      <c r="I69" s="542" t="n"/>
      <c r="J69" s="541" t="n"/>
      <c r="K69" s="276" t="n"/>
      <c r="L69" s="157" t="n"/>
      <c r="M69" s="157" t="n"/>
      <c r="N69" s="157" t="n"/>
      <c r="O69" s="157" t="n"/>
      <c r="P69" s="157" t="n"/>
      <c r="Q69" s="157" t="n"/>
      <c r="R69" s="157" t="n"/>
      <c r="S69" s="157" t="n"/>
      <c r="T69" s="157" t="n"/>
      <c r="U69" s="157" t="n"/>
      <c r="V69" s="157" t="n"/>
      <c r="W69" s="157" t="n"/>
      <c r="X69" s="157" t="n"/>
      <c r="Y69" s="157" t="n"/>
      <c r="Z69" s="157" t="n"/>
      <c r="AA69" s="157" t="n"/>
      <c r="AB69" s="157" t="n"/>
      <c r="AC69" s="157" t="n"/>
      <c r="AD69" s="157" t="n"/>
      <c r="AE69" s="158" t="n"/>
      <c r="AF69" s="158" t="n"/>
    </row>
    <row r="70" ht="15.75" customHeight="1" s="398">
      <c r="A70" s="257" t="inlineStr">
        <is>
          <t xml:space="preserve">COTA 2018 </t>
        </is>
      </c>
      <c r="B70" s="178">
        <f>SUM(#REF!,B33,#REF!,B46,#REF!)</f>
        <v/>
      </c>
      <c r="C70" s="258" t="n">
        <v>146647.9433813333</v>
      </c>
      <c r="D70" s="151" t="n"/>
      <c r="E70" s="258">
        <f>C71</f>
        <v/>
      </c>
      <c r="F70" s="153" t="n"/>
      <c r="G70" s="154" t="n"/>
      <c r="H70" s="541" t="n"/>
      <c r="I70" s="542" t="n"/>
      <c r="J70" s="541" t="n"/>
      <c r="K70" s="276" t="n"/>
      <c r="L70" s="157" t="n"/>
      <c r="M70" s="157" t="n"/>
      <c r="N70" s="157" t="n"/>
      <c r="O70" s="157" t="n"/>
      <c r="P70" s="157" t="n"/>
      <c r="Q70" s="157" t="n"/>
      <c r="R70" s="157" t="n"/>
      <c r="S70" s="157" t="n"/>
      <c r="T70" s="157" t="n"/>
      <c r="U70" s="157" t="n"/>
      <c r="V70" s="157" t="n"/>
      <c r="W70" s="157" t="n"/>
      <c r="X70" s="157" t="n"/>
      <c r="Y70" s="157" t="n"/>
      <c r="Z70" s="157" t="n"/>
      <c r="AA70" s="157" t="n"/>
      <c r="AB70" s="157" t="n"/>
      <c r="AC70" s="157" t="n"/>
      <c r="AD70" s="157" t="n"/>
      <c r="AE70" s="158" t="n"/>
      <c r="AF70" s="158" t="n"/>
    </row>
    <row r="71" ht="15.75" customHeight="1" s="398">
      <c r="A71" s="257" t="inlineStr">
        <is>
          <t>COTA 2019</t>
        </is>
      </c>
      <c r="B71" s="178">
        <f>SUM(#REF!,B34,#REF!,B50,#REF!)</f>
        <v/>
      </c>
      <c r="C71" s="258">
        <f>C63</f>
        <v/>
      </c>
      <c r="D71" s="151" t="n"/>
      <c r="E71" s="258">
        <f>E63</f>
        <v/>
      </c>
      <c r="F71" s="153" t="n"/>
      <c r="G71" s="277" t="n"/>
      <c r="H71" s="541" t="n"/>
      <c r="I71" s="542" t="n"/>
      <c r="J71" s="541" t="n"/>
      <c r="K71" s="276" t="n"/>
      <c r="L71" s="157" t="n"/>
      <c r="M71" s="157" t="n"/>
      <c r="N71" s="157" t="n"/>
      <c r="O71" s="157" t="n"/>
      <c r="P71" s="157" t="n"/>
      <c r="Q71" s="157" t="n"/>
      <c r="R71" s="157" t="n"/>
      <c r="S71" s="157" t="n"/>
      <c r="T71" s="157" t="n"/>
      <c r="U71" s="157" t="n"/>
      <c r="V71" s="157" t="n"/>
      <c r="W71" s="157" t="n"/>
      <c r="X71" s="157" t="n"/>
      <c r="Y71" s="157" t="n"/>
      <c r="Z71" s="157" t="n"/>
      <c r="AA71" s="157" t="n"/>
      <c r="AB71" s="157" t="n"/>
      <c r="AC71" s="157" t="n"/>
      <c r="AD71" s="157" t="n"/>
      <c r="AE71" s="158" t="n"/>
      <c r="AF71" s="158" t="n"/>
    </row>
    <row r="72" ht="15.75" customHeight="1" s="398">
      <c r="A72" s="257" t="inlineStr">
        <is>
          <t>REAJUSTE PROPOSTO</t>
        </is>
      </c>
      <c r="B72" s="178">
        <f>SUM(#REF!,B35,#REF!,B52,#REF!)</f>
        <v/>
      </c>
      <c r="C72" s="278">
        <f>(C71/C70)-1</f>
        <v/>
      </c>
      <c r="D72" s="151" t="n"/>
      <c r="E72" s="279">
        <f>(E71/E70)-1</f>
        <v/>
      </c>
      <c r="F72" s="153" t="n"/>
      <c r="G72" s="280" t="n"/>
      <c r="H72" s="541" t="n"/>
      <c r="I72" s="542" t="n"/>
      <c r="J72" s="541" t="n"/>
      <c r="K72" s="276" t="n"/>
      <c r="L72" s="157" t="n"/>
      <c r="M72" s="157" t="n"/>
      <c r="N72" s="157" t="n"/>
      <c r="O72" s="157" t="n"/>
      <c r="P72" s="157" t="n"/>
      <c r="Q72" s="157" t="n"/>
      <c r="R72" s="157" t="n"/>
      <c r="S72" s="157" t="n"/>
      <c r="T72" s="157" t="n"/>
      <c r="U72" s="157" t="n"/>
      <c r="V72" s="157" t="n"/>
      <c r="W72" s="157" t="n"/>
      <c r="X72" s="157" t="n"/>
      <c r="Y72" s="157" t="n"/>
      <c r="Z72" s="157" t="n"/>
      <c r="AA72" s="157" t="n"/>
      <c r="AB72" s="157" t="n"/>
      <c r="AC72" s="157" t="n"/>
      <c r="AD72" s="157" t="n"/>
      <c r="AE72" s="158" t="n"/>
      <c r="AF72" s="158" t="n"/>
    </row>
    <row r="73" ht="15.75" customHeight="1" s="398">
      <c r="A73" s="275" t="n"/>
      <c r="B73" s="151" t="n"/>
      <c r="C73" s="152" t="n"/>
      <c r="D73" s="151" t="n"/>
      <c r="E73" s="152" t="n"/>
      <c r="F73" s="153" t="n"/>
      <c r="G73" s="277" t="n"/>
      <c r="H73" s="541" t="n"/>
      <c r="I73" s="542" t="n"/>
      <c r="J73" s="541" t="n"/>
      <c r="K73" s="157" t="n"/>
      <c r="L73" s="157" t="n"/>
      <c r="M73" s="157" t="n"/>
      <c r="N73" s="157" t="n"/>
      <c r="O73" s="157" t="n"/>
      <c r="P73" s="157" t="n"/>
      <c r="Q73" s="157" t="n"/>
      <c r="R73" s="157" t="n"/>
      <c r="S73" s="157" t="n"/>
      <c r="T73" s="157" t="n"/>
      <c r="U73" s="157" t="n"/>
      <c r="V73" s="157" t="n"/>
      <c r="W73" s="157" t="n"/>
      <c r="X73" s="157" t="n"/>
      <c r="Y73" s="157" t="n"/>
      <c r="Z73" s="157" t="n"/>
      <c r="AA73" s="157" t="n"/>
      <c r="AB73" s="157" t="n"/>
      <c r="AC73" s="157" t="n"/>
      <c r="AD73" s="157" t="n"/>
      <c r="AE73" s="158" t="n"/>
      <c r="AF73" s="158" t="n"/>
    </row>
    <row r="74" ht="15.75" customHeight="1" s="398">
      <c r="A74" s="257" t="inlineStr">
        <is>
          <t>REAJUSTE PROPOSTO COM MIGRAÇÃO DA LIMPEZA DE FACHADA</t>
        </is>
      </c>
      <c r="B74" s="178">
        <f>SUM(#REF!,B36,#REF!,B53,#REF!)</f>
        <v/>
      </c>
      <c r="C74" s="278" t="n">
        <v>0.07081661487854585</v>
      </c>
      <c r="D74" s="151" t="n"/>
      <c r="E74" s="279">
        <f>(J74/E70)-1</f>
        <v/>
      </c>
      <c r="F74" s="153" t="n"/>
      <c r="G74" s="579" t="n">
        <v>5000</v>
      </c>
      <c r="H74" s="541" t="n"/>
      <c r="I74" s="579" t="n">
        <v>60000</v>
      </c>
      <c r="J74" s="579">
        <f>E71+G74</f>
        <v/>
      </c>
      <c r="K74" s="276" t="n"/>
      <c r="L74" s="157" t="n"/>
      <c r="M74" s="157" t="n"/>
      <c r="N74" s="157" t="n"/>
      <c r="O74" s="157" t="n"/>
      <c r="P74" s="157" t="n"/>
      <c r="Q74" s="157" t="n"/>
      <c r="R74" s="157" t="n"/>
      <c r="S74" s="157" t="n"/>
      <c r="T74" s="157" t="n"/>
      <c r="U74" s="157" t="n"/>
      <c r="V74" s="157" t="n"/>
      <c r="W74" s="157" t="n"/>
      <c r="X74" s="157" t="n"/>
      <c r="Y74" s="157" t="n"/>
      <c r="Z74" s="157" t="n"/>
      <c r="AA74" s="157" t="n"/>
      <c r="AB74" s="157" t="n"/>
      <c r="AC74" s="157" t="n"/>
      <c r="AD74" s="157" t="n"/>
      <c r="AE74" s="158" t="n"/>
      <c r="AF74" s="158" t="n"/>
    </row>
    <row r="75" ht="15.75" customHeight="1" s="398">
      <c r="A75" s="275" t="n"/>
      <c r="B75" s="151" t="n"/>
      <c r="C75" s="152" t="n"/>
      <c r="D75" s="151" t="n"/>
      <c r="E75" s="152" t="n"/>
      <c r="F75" s="153" t="n"/>
      <c r="G75" s="154" t="n"/>
      <c r="H75" s="541" t="n"/>
      <c r="I75" s="542" t="n"/>
      <c r="J75" s="541" t="n"/>
      <c r="K75" s="157" t="n"/>
      <c r="L75" s="157" t="n"/>
      <c r="M75" s="157" t="n"/>
      <c r="N75" s="157" t="n"/>
      <c r="O75" s="157" t="n"/>
      <c r="P75" s="157" t="n"/>
      <c r="Q75" s="157" t="n"/>
      <c r="R75" s="157" t="n"/>
      <c r="S75" s="157" t="n"/>
      <c r="T75" s="157" t="n"/>
      <c r="U75" s="157" t="n"/>
      <c r="V75" s="157" t="n"/>
      <c r="W75" s="157" t="n"/>
      <c r="X75" s="157" t="n"/>
      <c r="Y75" s="157" t="n"/>
      <c r="Z75" s="157" t="n"/>
      <c r="AA75" s="157" t="n"/>
      <c r="AB75" s="157" t="n"/>
      <c r="AC75" s="157" t="n"/>
      <c r="AD75" s="157" t="n"/>
      <c r="AE75" s="158" t="n"/>
      <c r="AF75" s="158" t="n"/>
    </row>
    <row r="76" ht="15.75" customHeight="1" s="398">
      <c r="A76" s="275" t="n"/>
      <c r="B76" s="151" t="n"/>
      <c r="C76" s="152" t="n"/>
      <c r="D76" s="151" t="n"/>
      <c r="E76" s="152" t="n"/>
      <c r="F76" s="153" t="n"/>
      <c r="G76" s="154" t="n"/>
      <c r="H76" s="541" t="n"/>
      <c r="I76" s="542" t="n"/>
      <c r="J76" s="541" t="n"/>
      <c r="K76" s="157" t="n"/>
      <c r="L76" s="157" t="n"/>
      <c r="M76" s="157" t="n"/>
      <c r="N76" s="157" t="n"/>
      <c r="O76" s="157" t="n"/>
      <c r="P76" s="157" t="n"/>
      <c r="Q76" s="157" t="n"/>
      <c r="R76" s="157" t="n"/>
      <c r="S76" s="157" t="n"/>
      <c r="T76" s="157" t="n"/>
      <c r="U76" s="157" t="n"/>
      <c r="V76" s="157" t="n"/>
      <c r="W76" s="157" t="n"/>
      <c r="X76" s="157" t="n"/>
      <c r="Y76" s="157" t="n"/>
      <c r="Z76" s="157" t="n"/>
      <c r="AA76" s="157" t="n"/>
      <c r="AB76" s="157" t="n"/>
      <c r="AC76" s="157" t="n"/>
      <c r="AD76" s="157" t="n"/>
      <c r="AE76" s="158" t="n"/>
      <c r="AF76" s="158" t="n"/>
    </row>
    <row r="77" ht="15.75" customHeight="1" s="398">
      <c r="A77" s="275" t="n"/>
      <c r="B77" s="151" t="n"/>
      <c r="C77" s="152" t="n"/>
      <c r="D77" s="151" t="n"/>
      <c r="E77" s="152" t="n"/>
      <c r="F77" s="153" t="n"/>
      <c r="G77" s="154" t="n"/>
      <c r="H77" s="541" t="n"/>
      <c r="I77" s="542" t="n"/>
      <c r="J77" s="541" t="n"/>
      <c r="K77" s="157" t="n"/>
      <c r="L77" s="157" t="n"/>
      <c r="M77" s="157" t="n"/>
      <c r="N77" s="157" t="n"/>
      <c r="O77" s="157" t="n"/>
      <c r="P77" s="157" t="n"/>
      <c r="Q77" s="157" t="n"/>
      <c r="R77" s="157" t="n"/>
      <c r="S77" s="157" t="n"/>
      <c r="T77" s="157" t="n"/>
      <c r="U77" s="157" t="n"/>
      <c r="V77" s="157" t="n"/>
      <c r="W77" s="157" t="n"/>
      <c r="X77" s="157" t="n"/>
      <c r="Y77" s="157" t="n"/>
      <c r="Z77" s="157" t="n"/>
      <c r="AA77" s="157" t="n"/>
      <c r="AB77" s="157" t="n"/>
      <c r="AC77" s="157" t="n"/>
      <c r="AD77" s="157" t="n"/>
      <c r="AE77" s="158" t="n"/>
      <c r="AF77" s="158" t="n"/>
    </row>
    <row r="78" ht="15.75" customHeight="1" s="398">
      <c r="A78" s="275" t="n"/>
      <c r="B78" s="151" t="n"/>
      <c r="C78" s="152" t="n"/>
      <c r="D78" s="151" t="n"/>
      <c r="E78" s="152" t="n"/>
      <c r="F78" s="153" t="n"/>
      <c r="G78" s="154" t="n"/>
      <c r="H78" s="541" t="n"/>
      <c r="I78" s="542" t="n"/>
      <c r="J78" s="541" t="n"/>
      <c r="K78" s="157" t="n"/>
      <c r="L78" s="157" t="n"/>
      <c r="M78" s="157" t="n"/>
      <c r="N78" s="157" t="n"/>
      <c r="O78" s="157" t="n"/>
      <c r="P78" s="157" t="n"/>
      <c r="Q78" s="157" t="n"/>
      <c r="R78" s="157" t="n"/>
      <c r="S78" s="157" t="n"/>
      <c r="T78" s="157" t="n"/>
      <c r="U78" s="157" t="n"/>
      <c r="V78" s="157" t="n"/>
      <c r="W78" s="157" t="n"/>
      <c r="X78" s="157" t="n"/>
      <c r="Y78" s="157" t="n"/>
      <c r="Z78" s="157" t="n"/>
      <c r="AA78" s="157" t="n"/>
      <c r="AB78" s="157" t="n"/>
      <c r="AC78" s="157" t="n"/>
      <c r="AD78" s="157" t="n"/>
      <c r="AE78" s="158" t="n"/>
      <c r="AF78" s="158" t="n"/>
    </row>
    <row r="79" ht="15.75" customHeight="1" s="398">
      <c r="A79" s="275" t="n"/>
      <c r="B79" s="151" t="n"/>
      <c r="C79" s="152" t="n"/>
      <c r="D79" s="151" t="n"/>
      <c r="E79" s="152" t="n"/>
      <c r="F79" s="153" t="n"/>
      <c r="G79" s="154" t="n"/>
      <c r="H79" s="541" t="n"/>
      <c r="I79" s="542" t="n"/>
      <c r="J79" s="541" t="n"/>
      <c r="K79" s="157" t="n"/>
      <c r="L79" s="157" t="n"/>
      <c r="M79" s="157" t="n"/>
      <c r="N79" s="157" t="n"/>
      <c r="O79" s="157" t="n"/>
      <c r="P79" s="157" t="n"/>
      <c r="Q79" s="157" t="n"/>
      <c r="R79" s="157" t="n"/>
      <c r="S79" s="157" t="n"/>
      <c r="T79" s="157" t="n"/>
      <c r="U79" s="157" t="n"/>
      <c r="V79" s="157" t="n"/>
      <c r="W79" s="157" t="n"/>
      <c r="X79" s="157" t="n"/>
      <c r="Y79" s="157" t="n"/>
      <c r="Z79" s="157" t="n"/>
      <c r="AA79" s="157" t="n"/>
      <c r="AB79" s="157" t="n"/>
      <c r="AC79" s="157" t="n"/>
      <c r="AD79" s="157" t="n"/>
      <c r="AE79" s="158" t="n"/>
      <c r="AF79" s="158" t="n"/>
    </row>
    <row r="80" ht="15.75" customHeight="1" s="398">
      <c r="A80" s="275" t="n"/>
      <c r="B80" s="151" t="n"/>
      <c r="C80" s="152" t="n"/>
      <c r="D80" s="151" t="n"/>
      <c r="E80" s="152" t="n"/>
      <c r="F80" s="153" t="n"/>
      <c r="G80" s="154" t="n"/>
      <c r="H80" s="541" t="n"/>
      <c r="I80" s="542" t="n"/>
      <c r="J80" s="541" t="n"/>
      <c r="K80" s="157" t="n"/>
      <c r="L80" s="157" t="n"/>
      <c r="M80" s="157" t="n"/>
      <c r="N80" s="157" t="n"/>
      <c r="O80" s="157" t="n"/>
      <c r="P80" s="157" t="n"/>
      <c r="Q80" s="157" t="n"/>
      <c r="R80" s="157" t="n"/>
      <c r="S80" s="157" t="n"/>
      <c r="T80" s="157" t="n"/>
      <c r="U80" s="157" t="n"/>
      <c r="V80" s="157" t="n"/>
      <c r="W80" s="157" t="n"/>
      <c r="X80" s="157" t="n"/>
      <c r="Y80" s="157" t="n"/>
      <c r="Z80" s="157" t="n"/>
      <c r="AA80" s="157" t="n"/>
      <c r="AB80" s="157" t="n"/>
      <c r="AC80" s="157" t="n"/>
      <c r="AD80" s="157" t="n"/>
      <c r="AE80" s="158" t="n"/>
      <c r="AF80" s="158" t="n"/>
    </row>
    <row r="81" ht="15.75" customHeight="1" s="398">
      <c r="A81" s="275" t="n"/>
      <c r="B81" s="151" t="n"/>
      <c r="C81" s="152" t="n"/>
      <c r="D81" s="151" t="n"/>
      <c r="E81" s="152" t="n"/>
      <c r="F81" s="153" t="n"/>
      <c r="G81" s="154" t="n"/>
      <c r="H81" s="541" t="n"/>
      <c r="I81" s="542" t="n"/>
      <c r="J81" s="541" t="n"/>
      <c r="K81" s="157" t="n"/>
      <c r="L81" s="157" t="n"/>
      <c r="M81" s="157" t="n"/>
      <c r="N81" s="157" t="n"/>
      <c r="O81" s="157" t="n"/>
      <c r="P81" s="157" t="n"/>
      <c r="Q81" s="157" t="n"/>
      <c r="R81" s="157" t="n"/>
      <c r="S81" s="157" t="n"/>
      <c r="T81" s="157" t="n"/>
      <c r="U81" s="157" t="n"/>
      <c r="V81" s="157" t="n"/>
      <c r="W81" s="157" t="n"/>
      <c r="X81" s="157" t="n"/>
      <c r="Y81" s="157" t="n"/>
      <c r="Z81" s="157" t="n"/>
      <c r="AA81" s="157" t="n"/>
      <c r="AB81" s="157" t="n"/>
      <c r="AC81" s="157" t="n"/>
      <c r="AD81" s="157" t="n"/>
      <c r="AE81" s="158" t="n"/>
      <c r="AF81" s="158" t="n"/>
    </row>
    <row r="82" ht="15.75" customHeight="1" s="398">
      <c r="A82" s="275" t="n"/>
      <c r="B82" s="151" t="n"/>
      <c r="C82" s="152" t="n"/>
      <c r="D82" s="151" t="n"/>
      <c r="E82" s="152" t="n"/>
      <c r="F82" s="153" t="n"/>
      <c r="G82" s="154" t="n"/>
      <c r="H82" s="541" t="n"/>
      <c r="I82" s="542" t="n"/>
      <c r="J82" s="541" t="n"/>
      <c r="K82" s="157" t="n"/>
      <c r="L82" s="157" t="n"/>
      <c r="M82" s="157" t="n"/>
      <c r="N82" s="157" t="n"/>
      <c r="O82" s="157" t="n"/>
      <c r="P82" s="157" t="n"/>
      <c r="Q82" s="157" t="n"/>
      <c r="R82" s="157" t="n"/>
      <c r="S82" s="157" t="n"/>
      <c r="T82" s="157" t="n"/>
      <c r="U82" s="157" t="n"/>
      <c r="V82" s="157" t="n"/>
      <c r="W82" s="157" t="n"/>
      <c r="X82" s="157" t="n"/>
      <c r="Y82" s="157" t="n"/>
      <c r="Z82" s="157" t="n"/>
      <c r="AA82" s="157" t="n"/>
      <c r="AB82" s="157" t="n"/>
      <c r="AC82" s="157" t="n"/>
      <c r="AD82" s="157" t="n"/>
      <c r="AE82" s="158" t="n"/>
      <c r="AF82" s="158" t="n"/>
    </row>
    <row r="83" ht="15.75" customHeight="1" s="398">
      <c r="A83" s="275" t="n"/>
      <c r="B83" s="151" t="n"/>
      <c r="C83" s="152" t="n"/>
      <c r="D83" s="151" t="n"/>
      <c r="E83" s="152" t="n"/>
      <c r="F83" s="153" t="n"/>
      <c r="G83" s="154" t="n"/>
      <c r="H83" s="541" t="n"/>
      <c r="I83" s="542" t="n"/>
      <c r="J83" s="541" t="n"/>
      <c r="K83" s="157" t="n"/>
      <c r="L83" s="157" t="n"/>
      <c r="M83" s="157" t="n"/>
      <c r="N83" s="157" t="n"/>
      <c r="O83" s="157" t="n"/>
      <c r="P83" s="157" t="n"/>
      <c r="Q83" s="157" t="n"/>
      <c r="R83" s="157" t="n"/>
      <c r="S83" s="157" t="n"/>
      <c r="T83" s="157" t="n"/>
      <c r="U83" s="157" t="n"/>
      <c r="V83" s="157" t="n"/>
      <c r="W83" s="157" t="n"/>
      <c r="X83" s="157" t="n"/>
      <c r="Y83" s="157" t="n"/>
      <c r="Z83" s="157" t="n"/>
      <c r="AA83" s="157" t="n"/>
      <c r="AB83" s="157" t="n"/>
      <c r="AC83" s="157" t="n"/>
      <c r="AD83" s="157" t="n"/>
      <c r="AE83" s="158" t="n"/>
      <c r="AF83" s="158" t="n"/>
    </row>
    <row r="84" ht="15.75" customHeight="1" s="398">
      <c r="A84" s="275" t="n"/>
      <c r="B84" s="151" t="n"/>
      <c r="C84" s="152" t="n"/>
      <c r="D84" s="151" t="n"/>
      <c r="E84" s="152" t="n"/>
      <c r="F84" s="153" t="n"/>
      <c r="G84" s="154" t="n"/>
      <c r="H84" s="541" t="n"/>
      <c r="I84" s="542" t="n"/>
      <c r="J84" s="541" t="n"/>
      <c r="K84" s="157" t="n"/>
      <c r="L84" s="157" t="n"/>
      <c r="M84" s="157" t="n"/>
      <c r="N84" s="157" t="n"/>
      <c r="O84" s="157" t="n"/>
      <c r="P84" s="157" t="n"/>
      <c r="Q84" s="157" t="n"/>
      <c r="R84" s="157" t="n"/>
      <c r="S84" s="157" t="n"/>
      <c r="T84" s="157" t="n"/>
      <c r="U84" s="157" t="n"/>
      <c r="V84" s="157" t="n"/>
      <c r="W84" s="157" t="n"/>
      <c r="X84" s="157" t="n"/>
      <c r="Y84" s="157" t="n"/>
      <c r="Z84" s="157" t="n"/>
      <c r="AA84" s="157" t="n"/>
      <c r="AB84" s="157" t="n"/>
      <c r="AC84" s="157" t="n"/>
      <c r="AD84" s="157" t="n"/>
      <c r="AE84" s="158" t="n"/>
      <c r="AF84" s="158" t="n"/>
    </row>
    <row r="85" ht="15.75" customHeight="1" s="398">
      <c r="A85" s="275" t="n"/>
      <c r="B85" s="151" t="n"/>
      <c r="C85" s="152" t="n"/>
      <c r="D85" s="151" t="n"/>
      <c r="E85" s="152" t="n"/>
      <c r="F85" s="153" t="n"/>
      <c r="G85" s="154" t="n"/>
      <c r="H85" s="541" t="n"/>
      <c r="I85" s="542" t="n"/>
      <c r="J85" s="541" t="n"/>
      <c r="K85" s="157" t="n"/>
      <c r="L85" s="157" t="n"/>
      <c r="M85" s="157" t="n"/>
      <c r="N85" s="157" t="n"/>
      <c r="O85" s="157" t="n"/>
      <c r="P85" s="157" t="n"/>
      <c r="Q85" s="157" t="n"/>
      <c r="R85" s="157" t="n"/>
      <c r="S85" s="157" t="n"/>
      <c r="T85" s="157" t="n"/>
      <c r="U85" s="157" t="n"/>
      <c r="V85" s="157" t="n"/>
      <c r="W85" s="157" t="n"/>
      <c r="X85" s="157" t="n"/>
      <c r="Y85" s="157" t="n"/>
      <c r="Z85" s="157" t="n"/>
      <c r="AA85" s="157" t="n"/>
      <c r="AB85" s="157" t="n"/>
      <c r="AC85" s="157" t="n"/>
      <c r="AD85" s="157" t="n"/>
      <c r="AE85" s="158" t="n"/>
      <c r="AF85" s="158" t="n"/>
    </row>
    <row r="86" ht="15.75" customHeight="1" s="398">
      <c r="A86" s="275" t="n"/>
      <c r="B86" s="151" t="n"/>
      <c r="C86" s="152" t="n"/>
      <c r="D86" s="151" t="n"/>
      <c r="E86" s="152" t="n"/>
      <c r="F86" s="153" t="n"/>
      <c r="G86" s="154" t="n"/>
      <c r="H86" s="541" t="n"/>
      <c r="I86" s="542" t="n"/>
      <c r="J86" s="541" t="n"/>
      <c r="K86" s="157" t="n"/>
      <c r="L86" s="157" t="n"/>
      <c r="M86" s="157" t="n"/>
      <c r="N86" s="157" t="n"/>
      <c r="O86" s="157" t="n"/>
      <c r="P86" s="157" t="n"/>
      <c r="Q86" s="157" t="n"/>
      <c r="R86" s="157" t="n"/>
      <c r="S86" s="157" t="n"/>
      <c r="T86" s="157" t="n"/>
      <c r="U86" s="157" t="n"/>
      <c r="V86" s="157" t="n"/>
      <c r="W86" s="157" t="n"/>
      <c r="X86" s="157" t="n"/>
      <c r="Y86" s="157" t="n"/>
      <c r="Z86" s="157" t="n"/>
      <c r="AA86" s="157" t="n"/>
      <c r="AB86" s="157" t="n"/>
      <c r="AC86" s="157" t="n"/>
      <c r="AD86" s="157" t="n"/>
      <c r="AE86" s="158" t="n"/>
      <c r="AF86" s="158" t="n"/>
    </row>
    <row r="87" ht="15.75" customHeight="1" s="398">
      <c r="A87" s="275" t="n"/>
      <c r="B87" s="151" t="n"/>
      <c r="C87" s="152" t="n"/>
      <c r="D87" s="151" t="n"/>
      <c r="E87" s="152" t="n"/>
      <c r="F87" s="153" t="n"/>
      <c r="G87" s="154" t="n"/>
      <c r="H87" s="541" t="n"/>
      <c r="I87" s="542" t="n"/>
      <c r="J87" s="541" t="n"/>
      <c r="K87" s="157" t="n"/>
      <c r="L87" s="157" t="n"/>
      <c r="M87" s="157" t="n"/>
      <c r="N87" s="157" t="n"/>
      <c r="O87" s="157" t="n"/>
      <c r="P87" s="157" t="n"/>
      <c r="Q87" s="157" t="n"/>
      <c r="R87" s="157" t="n"/>
      <c r="S87" s="157" t="n"/>
      <c r="T87" s="157" t="n"/>
      <c r="U87" s="157" t="n"/>
      <c r="V87" s="157" t="n"/>
      <c r="W87" s="157" t="n"/>
      <c r="X87" s="157" t="n"/>
      <c r="Y87" s="157" t="n"/>
      <c r="Z87" s="157" t="n"/>
      <c r="AA87" s="157" t="n"/>
      <c r="AB87" s="157" t="n"/>
      <c r="AC87" s="157" t="n"/>
      <c r="AD87" s="157" t="n"/>
      <c r="AE87" s="158" t="n"/>
      <c r="AF87" s="158" t="n"/>
    </row>
    <row r="88" ht="15.75" customHeight="1" s="398">
      <c r="A88" s="275" t="n"/>
      <c r="B88" s="151" t="n"/>
      <c r="C88" s="152" t="n"/>
      <c r="D88" s="151" t="n"/>
      <c r="E88" s="152" t="n"/>
      <c r="F88" s="153" t="n"/>
      <c r="G88" s="154" t="n"/>
      <c r="H88" s="541" t="n"/>
      <c r="I88" s="542" t="n"/>
      <c r="J88" s="541" t="n"/>
      <c r="K88" s="157" t="n"/>
      <c r="L88" s="157" t="n"/>
      <c r="M88" s="157" t="n"/>
      <c r="N88" s="157" t="n"/>
      <c r="O88" s="157" t="n"/>
      <c r="P88" s="157" t="n"/>
      <c r="Q88" s="157" t="n"/>
      <c r="R88" s="157" t="n"/>
      <c r="S88" s="157" t="n"/>
      <c r="T88" s="157" t="n"/>
      <c r="U88" s="157" t="n"/>
      <c r="V88" s="157" t="n"/>
      <c r="W88" s="157" t="n"/>
      <c r="X88" s="157" t="n"/>
      <c r="Y88" s="157" t="n"/>
      <c r="Z88" s="157" t="n"/>
      <c r="AA88" s="157" t="n"/>
      <c r="AB88" s="157" t="n"/>
      <c r="AC88" s="157" t="n"/>
      <c r="AD88" s="157" t="n"/>
      <c r="AE88" s="158" t="n"/>
      <c r="AF88" s="158" t="n"/>
    </row>
    <row r="89" ht="15.75" customHeight="1" s="398">
      <c r="A89" s="275" t="n"/>
      <c r="B89" s="151" t="n"/>
      <c r="C89" s="152" t="n"/>
      <c r="D89" s="151" t="n"/>
      <c r="E89" s="152" t="n"/>
      <c r="F89" s="153" t="n"/>
      <c r="G89" s="154" t="n"/>
      <c r="H89" s="541" t="n"/>
      <c r="I89" s="542" t="n"/>
      <c r="J89" s="541" t="n"/>
      <c r="K89" s="157" t="n"/>
      <c r="L89" s="157" t="n"/>
      <c r="M89" s="157" t="n"/>
      <c r="N89" s="157" t="n"/>
      <c r="O89" s="157" t="n"/>
      <c r="P89" s="157" t="n"/>
      <c r="Q89" s="157" t="n"/>
      <c r="R89" s="157" t="n"/>
      <c r="S89" s="157" t="n"/>
      <c r="T89" s="157" t="n"/>
      <c r="U89" s="157" t="n"/>
      <c r="V89" s="157" t="n"/>
      <c r="W89" s="157" t="n"/>
      <c r="X89" s="157" t="n"/>
      <c r="Y89" s="157" t="n"/>
      <c r="Z89" s="157" t="n"/>
      <c r="AA89" s="157" t="n"/>
      <c r="AB89" s="157" t="n"/>
      <c r="AC89" s="157" t="n"/>
      <c r="AD89" s="157" t="n"/>
      <c r="AE89" s="158" t="n"/>
      <c r="AF89" s="158" t="n"/>
    </row>
    <row r="90" ht="15.75" customHeight="1" s="398">
      <c r="A90" s="275" t="n"/>
      <c r="B90" s="151" t="n"/>
      <c r="C90" s="152" t="n"/>
      <c r="D90" s="151" t="n"/>
      <c r="E90" s="152" t="n"/>
      <c r="F90" s="153" t="n"/>
      <c r="G90" s="154" t="n"/>
      <c r="H90" s="541" t="n"/>
      <c r="I90" s="542" t="n"/>
      <c r="J90" s="541" t="n"/>
      <c r="K90" s="157" t="n"/>
      <c r="L90" s="157" t="n"/>
      <c r="M90" s="157" t="n"/>
      <c r="N90" s="157" t="n"/>
      <c r="O90" s="157" t="n"/>
      <c r="P90" s="157" t="n"/>
      <c r="Q90" s="157" t="n"/>
      <c r="R90" s="157" t="n"/>
      <c r="S90" s="157" t="n"/>
      <c r="T90" s="157" t="n"/>
      <c r="U90" s="157" t="n"/>
      <c r="V90" s="157" t="n"/>
      <c r="W90" s="157" t="n"/>
      <c r="X90" s="157" t="n"/>
      <c r="Y90" s="157" t="n"/>
      <c r="Z90" s="157" t="n"/>
      <c r="AA90" s="157" t="n"/>
      <c r="AB90" s="157" t="n"/>
      <c r="AC90" s="157" t="n"/>
      <c r="AD90" s="157" t="n"/>
      <c r="AE90" s="158" t="n"/>
      <c r="AF90" s="158" t="n"/>
    </row>
    <row r="91" ht="15.75" customHeight="1" s="398">
      <c r="A91" s="275" t="n"/>
      <c r="B91" s="151" t="n"/>
      <c r="C91" s="152" t="n"/>
      <c r="D91" s="151" t="n"/>
      <c r="E91" s="152" t="n"/>
      <c r="F91" s="153" t="n"/>
      <c r="G91" s="154" t="n"/>
      <c r="H91" s="541" t="n"/>
      <c r="I91" s="542" t="n"/>
      <c r="J91" s="541" t="n"/>
      <c r="K91" s="157" t="n"/>
      <c r="L91" s="157" t="n"/>
      <c r="M91" s="157" t="n"/>
      <c r="N91" s="157" t="n"/>
      <c r="O91" s="157" t="n"/>
      <c r="P91" s="157" t="n"/>
      <c r="Q91" s="157" t="n"/>
      <c r="R91" s="157" t="n"/>
      <c r="S91" s="157" t="n"/>
      <c r="T91" s="157" t="n"/>
      <c r="U91" s="157" t="n"/>
      <c r="V91" s="157" t="n"/>
      <c r="W91" s="157" t="n"/>
      <c r="X91" s="157" t="n"/>
      <c r="Y91" s="157" t="n"/>
      <c r="Z91" s="157" t="n"/>
      <c r="AA91" s="157" t="n"/>
      <c r="AB91" s="157" t="n"/>
      <c r="AC91" s="157" t="n"/>
      <c r="AD91" s="157" t="n"/>
      <c r="AE91" s="158" t="n"/>
      <c r="AF91" s="158" t="n"/>
    </row>
    <row r="92" ht="15.75" customHeight="1" s="398">
      <c r="A92" s="275" t="n"/>
      <c r="B92" s="151" t="n"/>
      <c r="C92" s="152" t="n"/>
      <c r="D92" s="151" t="n"/>
      <c r="E92" s="152" t="n"/>
      <c r="F92" s="153" t="n"/>
      <c r="G92" s="154" t="n"/>
      <c r="H92" s="541" t="n"/>
      <c r="I92" s="542" t="n"/>
      <c r="J92" s="541" t="n"/>
      <c r="K92" s="157" t="n"/>
      <c r="L92" s="157" t="n"/>
      <c r="M92" s="157" t="n"/>
      <c r="N92" s="157" t="n"/>
      <c r="O92" s="157" t="n"/>
      <c r="P92" s="157" t="n"/>
      <c r="Q92" s="157" t="n"/>
      <c r="R92" s="157" t="n"/>
      <c r="S92" s="157" t="n"/>
      <c r="T92" s="157" t="n"/>
      <c r="U92" s="157" t="n"/>
      <c r="V92" s="157" t="n"/>
      <c r="W92" s="157" t="n"/>
      <c r="X92" s="157" t="n"/>
      <c r="Y92" s="157" t="n"/>
      <c r="Z92" s="157" t="n"/>
      <c r="AA92" s="157" t="n"/>
      <c r="AB92" s="157" t="n"/>
      <c r="AC92" s="157" t="n"/>
      <c r="AD92" s="157" t="n"/>
      <c r="AE92" s="158" t="n"/>
      <c r="AF92" s="158" t="n"/>
    </row>
    <row r="93" ht="15.75" customHeight="1" s="398">
      <c r="A93" s="275" t="n"/>
      <c r="B93" s="151" t="n"/>
      <c r="C93" s="152" t="n"/>
      <c r="D93" s="151" t="n"/>
      <c r="E93" s="152" t="n"/>
      <c r="F93" s="153" t="n"/>
      <c r="G93" s="154" t="n"/>
      <c r="H93" s="541" t="n"/>
      <c r="I93" s="542" t="n"/>
      <c r="J93" s="541" t="n"/>
      <c r="K93" s="157" t="n"/>
      <c r="L93" s="157" t="n"/>
      <c r="M93" s="157" t="n"/>
      <c r="N93" s="157" t="n"/>
      <c r="O93" s="157" t="n"/>
      <c r="P93" s="157" t="n"/>
      <c r="Q93" s="157" t="n"/>
      <c r="R93" s="157" t="n"/>
      <c r="S93" s="157" t="n"/>
      <c r="T93" s="157" t="n"/>
      <c r="U93" s="157" t="n"/>
      <c r="V93" s="157" t="n"/>
      <c r="W93" s="157" t="n"/>
      <c r="X93" s="157" t="n"/>
      <c r="Y93" s="157" t="n"/>
      <c r="Z93" s="157" t="n"/>
      <c r="AA93" s="157" t="n"/>
      <c r="AB93" s="157" t="n"/>
      <c r="AC93" s="157" t="n"/>
      <c r="AD93" s="157" t="n"/>
      <c r="AE93" s="158" t="n"/>
      <c r="AF93" s="158" t="n"/>
    </row>
    <row r="94" ht="15.75" customHeight="1" s="398">
      <c r="A94" s="275" t="n"/>
      <c r="B94" s="151" t="n"/>
      <c r="C94" s="152" t="n"/>
      <c r="D94" s="151" t="n"/>
      <c r="E94" s="152" t="n"/>
      <c r="F94" s="153" t="n"/>
      <c r="G94" s="154" t="n"/>
      <c r="H94" s="541" t="n"/>
      <c r="I94" s="542" t="n"/>
      <c r="J94" s="541" t="n"/>
      <c r="K94" s="157" t="n"/>
      <c r="L94" s="157" t="n"/>
      <c r="M94" s="157" t="n"/>
      <c r="N94" s="157" t="n"/>
      <c r="O94" s="157" t="n"/>
      <c r="P94" s="157" t="n"/>
      <c r="Q94" s="157" t="n"/>
      <c r="R94" s="157" t="n"/>
      <c r="S94" s="157" t="n"/>
      <c r="T94" s="157" t="n"/>
      <c r="U94" s="157" t="n"/>
      <c r="V94" s="157" t="n"/>
      <c r="W94" s="157" t="n"/>
      <c r="X94" s="157" t="n"/>
      <c r="Y94" s="157" t="n"/>
      <c r="Z94" s="157" t="n"/>
      <c r="AA94" s="157" t="n"/>
      <c r="AB94" s="157" t="n"/>
      <c r="AC94" s="157" t="n"/>
      <c r="AD94" s="157" t="n"/>
      <c r="AE94" s="158" t="n"/>
      <c r="AF94" s="158" t="n"/>
    </row>
    <row r="95" ht="15.75" customHeight="1" s="398">
      <c r="A95" s="275" t="n"/>
      <c r="B95" s="151" t="n"/>
      <c r="C95" s="152" t="n"/>
      <c r="D95" s="151" t="n"/>
      <c r="E95" s="152" t="n"/>
      <c r="F95" s="153" t="n"/>
      <c r="G95" s="154" t="n"/>
      <c r="H95" s="541" t="n"/>
      <c r="I95" s="542" t="n"/>
      <c r="J95" s="541" t="n"/>
      <c r="K95" s="157" t="n"/>
      <c r="L95" s="157" t="n"/>
      <c r="M95" s="157" t="n"/>
      <c r="N95" s="157" t="n"/>
      <c r="O95" s="157" t="n"/>
      <c r="P95" s="157" t="n"/>
      <c r="Q95" s="157" t="n"/>
      <c r="R95" s="157" t="n"/>
      <c r="S95" s="157" t="n"/>
      <c r="T95" s="157" t="n"/>
      <c r="U95" s="157" t="n"/>
      <c r="V95" s="157" t="n"/>
      <c r="W95" s="157" t="n"/>
      <c r="X95" s="157" t="n"/>
      <c r="Y95" s="157" t="n"/>
      <c r="Z95" s="157" t="n"/>
      <c r="AA95" s="157" t="n"/>
      <c r="AB95" s="157" t="n"/>
      <c r="AC95" s="157" t="n"/>
      <c r="AD95" s="157" t="n"/>
      <c r="AE95" s="158" t="n"/>
      <c r="AF95" s="158" t="n"/>
    </row>
    <row r="96" ht="15.75" customHeight="1" s="398">
      <c r="A96" s="275" t="n"/>
      <c r="B96" s="151" t="n"/>
      <c r="C96" s="152" t="n"/>
      <c r="D96" s="151" t="n"/>
      <c r="E96" s="152" t="n"/>
      <c r="F96" s="153" t="n"/>
      <c r="G96" s="154" t="n"/>
      <c r="H96" s="541" t="n"/>
      <c r="I96" s="542" t="n"/>
      <c r="J96" s="541" t="n"/>
      <c r="K96" s="157" t="n"/>
      <c r="L96" s="157" t="n"/>
      <c r="M96" s="157" t="n"/>
      <c r="N96" s="157" t="n"/>
      <c r="O96" s="157" t="n"/>
      <c r="P96" s="157" t="n"/>
      <c r="Q96" s="157" t="n"/>
      <c r="R96" s="157" t="n"/>
      <c r="S96" s="157" t="n"/>
      <c r="T96" s="157" t="n"/>
      <c r="U96" s="157" t="n"/>
      <c r="V96" s="157" t="n"/>
      <c r="W96" s="157" t="n"/>
      <c r="X96" s="157" t="n"/>
      <c r="Y96" s="157" t="n"/>
      <c r="Z96" s="157" t="n"/>
      <c r="AA96" s="157" t="n"/>
      <c r="AB96" s="157" t="n"/>
      <c r="AC96" s="157" t="n"/>
      <c r="AD96" s="157" t="n"/>
      <c r="AE96" s="158" t="n"/>
      <c r="AF96" s="158" t="n"/>
    </row>
    <row r="97" ht="15.75" customHeight="1" s="398">
      <c r="A97" s="275" t="n"/>
      <c r="B97" s="151" t="n"/>
      <c r="C97" s="152" t="n"/>
      <c r="D97" s="151" t="n"/>
      <c r="E97" s="152" t="n"/>
      <c r="F97" s="153" t="n"/>
      <c r="G97" s="154" t="n"/>
      <c r="H97" s="541" t="n"/>
      <c r="I97" s="542" t="n"/>
      <c r="J97" s="541" t="n"/>
      <c r="K97" s="157" t="n"/>
      <c r="L97" s="157" t="n"/>
      <c r="M97" s="157" t="n"/>
      <c r="N97" s="157" t="n"/>
      <c r="O97" s="157" t="n"/>
      <c r="P97" s="157" t="n"/>
      <c r="Q97" s="157" t="n"/>
      <c r="R97" s="157" t="n"/>
      <c r="S97" s="157" t="n"/>
      <c r="T97" s="157" t="n"/>
      <c r="U97" s="157" t="n"/>
      <c r="V97" s="157" t="n"/>
      <c r="W97" s="157" t="n"/>
      <c r="X97" s="157" t="n"/>
      <c r="Y97" s="157" t="n"/>
      <c r="Z97" s="157" t="n"/>
      <c r="AA97" s="157" t="n"/>
      <c r="AB97" s="157" t="n"/>
      <c r="AC97" s="157" t="n"/>
      <c r="AD97" s="157" t="n"/>
      <c r="AE97" s="158" t="n"/>
      <c r="AF97" s="158" t="n"/>
    </row>
    <row r="98" ht="15.75" customHeight="1" s="398">
      <c r="A98" s="275" t="n"/>
      <c r="B98" s="151" t="n"/>
      <c r="C98" s="152" t="n"/>
      <c r="D98" s="151" t="n"/>
      <c r="E98" s="152" t="n"/>
      <c r="F98" s="153" t="n"/>
      <c r="G98" s="154" t="n"/>
      <c r="H98" s="541" t="n"/>
      <c r="I98" s="542" t="n"/>
      <c r="J98" s="541" t="n"/>
      <c r="K98" s="157" t="n"/>
      <c r="L98" s="157" t="n"/>
      <c r="M98" s="157" t="n"/>
      <c r="N98" s="157" t="n"/>
      <c r="O98" s="157" t="n"/>
      <c r="P98" s="157" t="n"/>
      <c r="Q98" s="157" t="n"/>
      <c r="R98" s="157" t="n"/>
      <c r="S98" s="157" t="n"/>
      <c r="T98" s="157" t="n"/>
      <c r="U98" s="157" t="n"/>
      <c r="V98" s="157" t="n"/>
      <c r="W98" s="157" t="n"/>
      <c r="X98" s="157" t="n"/>
      <c r="Y98" s="157" t="n"/>
      <c r="Z98" s="157" t="n"/>
      <c r="AA98" s="157" t="n"/>
      <c r="AB98" s="157" t="n"/>
      <c r="AC98" s="157" t="n"/>
      <c r="AD98" s="157" t="n"/>
      <c r="AE98" s="158" t="n"/>
      <c r="AF98" s="158" t="n"/>
    </row>
    <row r="99" ht="15.75" customHeight="1" s="398">
      <c r="A99" s="275" t="n"/>
      <c r="B99" s="151" t="n"/>
      <c r="C99" s="152" t="n"/>
      <c r="D99" s="151" t="n"/>
      <c r="E99" s="152" t="n"/>
      <c r="F99" s="153" t="n"/>
      <c r="G99" s="154" t="n"/>
      <c r="H99" s="541" t="n"/>
      <c r="I99" s="542" t="n"/>
      <c r="J99" s="541" t="n"/>
      <c r="K99" s="157" t="n"/>
      <c r="L99" s="157" t="n"/>
      <c r="M99" s="157" t="n"/>
      <c r="N99" s="157" t="n"/>
      <c r="O99" s="157" t="n"/>
      <c r="P99" s="157" t="n"/>
      <c r="Q99" s="157" t="n"/>
      <c r="R99" s="157" t="n"/>
      <c r="S99" s="157" t="n"/>
      <c r="T99" s="157" t="n"/>
      <c r="U99" s="157" t="n"/>
      <c r="V99" s="157" t="n"/>
      <c r="W99" s="157" t="n"/>
      <c r="X99" s="157" t="n"/>
      <c r="Y99" s="157" t="n"/>
      <c r="Z99" s="157" t="n"/>
      <c r="AA99" s="157" t="n"/>
      <c r="AB99" s="157" t="n"/>
      <c r="AC99" s="157" t="n"/>
      <c r="AD99" s="157" t="n"/>
      <c r="AE99" s="158" t="n"/>
      <c r="AF99" s="158" t="n"/>
    </row>
    <row r="100" ht="15.75" customHeight="1" s="398">
      <c r="A100" s="275" t="n"/>
      <c r="B100" s="151" t="n"/>
      <c r="C100" s="152" t="n"/>
      <c r="D100" s="151" t="n"/>
      <c r="E100" s="152" t="n"/>
      <c r="F100" s="153" t="n"/>
      <c r="G100" s="154" t="n"/>
      <c r="H100" s="541" t="n"/>
      <c r="I100" s="542" t="n"/>
      <c r="J100" s="541" t="n"/>
      <c r="K100" s="157" t="n"/>
      <c r="L100" s="157" t="n"/>
      <c r="M100" s="157" t="n"/>
      <c r="N100" s="157" t="n"/>
      <c r="O100" s="157" t="n"/>
      <c r="P100" s="157" t="n"/>
      <c r="Q100" s="157" t="n"/>
      <c r="R100" s="157" t="n"/>
      <c r="S100" s="157" t="n"/>
      <c r="T100" s="157" t="n"/>
      <c r="U100" s="157" t="n"/>
      <c r="V100" s="157" t="n"/>
      <c r="W100" s="157" t="n"/>
      <c r="X100" s="157" t="n"/>
      <c r="Y100" s="157" t="n"/>
      <c r="Z100" s="157" t="n"/>
      <c r="AA100" s="157" t="n"/>
      <c r="AB100" s="157" t="n"/>
      <c r="AC100" s="157" t="n"/>
      <c r="AD100" s="157" t="n"/>
      <c r="AE100" s="158" t="n"/>
      <c r="AF100" s="158" t="n"/>
    </row>
    <row r="101" ht="15.75" customHeight="1" s="398">
      <c r="A101" s="275" t="n"/>
      <c r="B101" s="151" t="n"/>
      <c r="C101" s="152" t="n"/>
      <c r="D101" s="151" t="n"/>
      <c r="E101" s="152" t="n"/>
      <c r="F101" s="153" t="n"/>
      <c r="G101" s="154" t="n"/>
      <c r="H101" s="541" t="n"/>
      <c r="I101" s="542" t="n"/>
      <c r="J101" s="541" t="n"/>
      <c r="K101" s="157" t="n"/>
      <c r="L101" s="157" t="n"/>
      <c r="M101" s="157" t="n"/>
      <c r="N101" s="157" t="n"/>
      <c r="O101" s="157" t="n"/>
      <c r="P101" s="157" t="n"/>
      <c r="Q101" s="157" t="n"/>
      <c r="R101" s="157" t="n"/>
      <c r="S101" s="157" t="n"/>
      <c r="T101" s="157" t="n"/>
      <c r="U101" s="157" t="n"/>
      <c r="V101" s="157" t="n"/>
      <c r="W101" s="157" t="n"/>
      <c r="X101" s="157" t="n"/>
      <c r="Y101" s="157" t="n"/>
      <c r="Z101" s="157" t="n"/>
      <c r="AA101" s="157" t="n"/>
      <c r="AB101" s="157" t="n"/>
      <c r="AC101" s="157" t="n"/>
      <c r="AD101" s="157" t="n"/>
      <c r="AE101" s="158" t="n"/>
      <c r="AF101" s="158" t="n"/>
    </row>
    <row r="102" ht="15.75" customHeight="1" s="398">
      <c r="A102" s="275" t="n"/>
      <c r="B102" s="151" t="n"/>
      <c r="C102" s="152" t="n"/>
      <c r="D102" s="151" t="n"/>
      <c r="E102" s="152" t="n"/>
      <c r="F102" s="153" t="n"/>
      <c r="G102" s="154" t="n"/>
      <c r="H102" s="541" t="n"/>
      <c r="I102" s="542" t="n"/>
      <c r="J102" s="541" t="n"/>
      <c r="K102" s="157" t="n"/>
      <c r="L102" s="157" t="n"/>
      <c r="M102" s="157" t="n"/>
      <c r="N102" s="157" t="n"/>
      <c r="O102" s="157" t="n"/>
      <c r="P102" s="157" t="n"/>
      <c r="Q102" s="157" t="n"/>
      <c r="R102" s="157" t="n"/>
      <c r="S102" s="157" t="n"/>
      <c r="T102" s="157" t="n"/>
      <c r="U102" s="157" t="n"/>
      <c r="V102" s="157" t="n"/>
      <c r="W102" s="157" t="n"/>
      <c r="X102" s="157" t="n"/>
      <c r="Y102" s="157" t="n"/>
      <c r="Z102" s="157" t="n"/>
      <c r="AA102" s="157" t="n"/>
      <c r="AB102" s="157" t="n"/>
      <c r="AC102" s="157" t="n"/>
      <c r="AD102" s="157" t="n"/>
      <c r="AE102" s="158" t="n"/>
      <c r="AF102" s="158" t="n"/>
    </row>
    <row r="103" ht="15.75" customHeight="1" s="398">
      <c r="A103" s="275" t="n"/>
      <c r="B103" s="151" t="n"/>
      <c r="C103" s="152" t="n"/>
      <c r="D103" s="151" t="n"/>
      <c r="E103" s="152" t="n"/>
      <c r="F103" s="153" t="n"/>
      <c r="G103" s="154" t="n"/>
      <c r="H103" s="541" t="n"/>
      <c r="I103" s="542" t="n"/>
      <c r="J103" s="541" t="n"/>
      <c r="K103" s="157" t="n"/>
      <c r="L103" s="157" t="n"/>
      <c r="M103" s="157" t="n"/>
      <c r="N103" s="157" t="n"/>
      <c r="O103" s="157" t="n"/>
      <c r="P103" s="157" t="n"/>
      <c r="Q103" s="157" t="n"/>
      <c r="R103" s="157" t="n"/>
      <c r="S103" s="157" t="n"/>
      <c r="T103" s="157" t="n"/>
      <c r="U103" s="157" t="n"/>
      <c r="V103" s="157" t="n"/>
      <c r="W103" s="157" t="n"/>
      <c r="X103" s="157" t="n"/>
      <c r="Y103" s="157" t="n"/>
      <c r="Z103" s="157" t="n"/>
      <c r="AA103" s="157" t="n"/>
      <c r="AB103" s="157" t="n"/>
      <c r="AC103" s="157" t="n"/>
      <c r="AD103" s="157" t="n"/>
      <c r="AE103" s="158" t="n"/>
      <c r="AF103" s="158" t="n"/>
    </row>
    <row r="104" ht="15.75" customHeight="1" s="398">
      <c r="A104" s="275" t="n"/>
      <c r="B104" s="151" t="n"/>
      <c r="C104" s="152" t="n"/>
      <c r="D104" s="151" t="n"/>
      <c r="E104" s="152" t="n"/>
      <c r="F104" s="153" t="n"/>
      <c r="G104" s="154" t="n"/>
      <c r="H104" s="541" t="n"/>
      <c r="I104" s="542" t="n"/>
      <c r="J104" s="541" t="n"/>
      <c r="K104" s="157" t="n"/>
      <c r="L104" s="157" t="n"/>
      <c r="M104" s="157" t="n"/>
      <c r="N104" s="157" t="n"/>
      <c r="O104" s="157" t="n"/>
      <c r="P104" s="157" t="n"/>
      <c r="Q104" s="157" t="n"/>
      <c r="R104" s="157" t="n"/>
      <c r="S104" s="157" t="n"/>
      <c r="T104" s="157" t="n"/>
      <c r="U104" s="157" t="n"/>
      <c r="V104" s="157" t="n"/>
      <c r="W104" s="157" t="n"/>
      <c r="X104" s="157" t="n"/>
      <c r="Y104" s="157" t="n"/>
      <c r="Z104" s="157" t="n"/>
      <c r="AA104" s="157" t="n"/>
      <c r="AB104" s="157" t="n"/>
      <c r="AC104" s="157" t="n"/>
      <c r="AD104" s="157" t="n"/>
      <c r="AE104" s="158" t="n"/>
      <c r="AF104" s="158" t="n"/>
    </row>
    <row r="105" ht="15.75" customHeight="1" s="398">
      <c r="A105" s="275" t="n"/>
      <c r="B105" s="151" t="n"/>
      <c r="C105" s="152" t="n"/>
      <c r="D105" s="151" t="n"/>
      <c r="E105" s="152" t="n"/>
      <c r="F105" s="153" t="n"/>
      <c r="G105" s="154" t="n"/>
      <c r="H105" s="541" t="n"/>
      <c r="I105" s="542" t="n"/>
      <c r="J105" s="541" t="n"/>
      <c r="K105" s="157" t="n"/>
      <c r="L105" s="157" t="n"/>
      <c r="M105" s="157" t="n"/>
      <c r="N105" s="157" t="n"/>
      <c r="O105" s="157" t="n"/>
      <c r="P105" s="157" t="n"/>
      <c r="Q105" s="157" t="n"/>
      <c r="R105" s="157" t="n"/>
      <c r="S105" s="157" t="n"/>
      <c r="T105" s="157" t="n"/>
      <c r="U105" s="157" t="n"/>
      <c r="V105" s="157" t="n"/>
      <c r="W105" s="157" t="n"/>
      <c r="X105" s="157" t="n"/>
      <c r="Y105" s="157" t="n"/>
      <c r="Z105" s="157" t="n"/>
      <c r="AA105" s="157" t="n"/>
      <c r="AB105" s="157" t="n"/>
      <c r="AC105" s="157" t="n"/>
      <c r="AD105" s="157" t="n"/>
      <c r="AE105" s="158" t="n"/>
      <c r="AF105" s="158" t="n"/>
    </row>
    <row r="106" ht="15.75" customHeight="1" s="398">
      <c r="A106" s="275" t="n"/>
      <c r="B106" s="151" t="n"/>
      <c r="C106" s="152" t="n"/>
      <c r="D106" s="151" t="n"/>
      <c r="E106" s="152" t="n"/>
      <c r="F106" s="153" t="n"/>
      <c r="G106" s="154" t="n"/>
      <c r="H106" s="541" t="n"/>
      <c r="I106" s="542" t="n"/>
      <c r="J106" s="541" t="n"/>
      <c r="K106" s="157" t="n"/>
      <c r="L106" s="157" t="n"/>
      <c r="M106" s="157" t="n"/>
      <c r="N106" s="157" t="n"/>
      <c r="O106" s="157" t="n"/>
      <c r="P106" s="157" t="n"/>
      <c r="Q106" s="157" t="n"/>
      <c r="R106" s="157" t="n"/>
      <c r="S106" s="157" t="n"/>
      <c r="T106" s="157" t="n"/>
      <c r="U106" s="157" t="n"/>
      <c r="V106" s="157" t="n"/>
      <c r="W106" s="157" t="n"/>
      <c r="X106" s="157" t="n"/>
      <c r="Y106" s="157" t="n"/>
      <c r="Z106" s="157" t="n"/>
      <c r="AA106" s="157" t="n"/>
      <c r="AB106" s="157" t="n"/>
      <c r="AC106" s="157" t="n"/>
      <c r="AD106" s="157" t="n"/>
      <c r="AE106" s="158" t="n"/>
      <c r="AF106" s="158" t="n"/>
    </row>
    <row r="107" ht="15.75" customHeight="1" s="398">
      <c r="A107" s="275" t="n"/>
      <c r="B107" s="151" t="n"/>
      <c r="C107" s="152" t="n"/>
      <c r="D107" s="151" t="n"/>
      <c r="E107" s="152" t="n"/>
      <c r="F107" s="153" t="n"/>
      <c r="G107" s="154" t="n"/>
      <c r="H107" s="541" t="n"/>
      <c r="I107" s="542" t="n"/>
      <c r="J107" s="541" t="n"/>
      <c r="K107" s="157" t="n"/>
      <c r="L107" s="157" t="n"/>
      <c r="M107" s="157" t="n"/>
      <c r="N107" s="157" t="n"/>
      <c r="O107" s="157" t="n"/>
      <c r="P107" s="157" t="n"/>
      <c r="Q107" s="157" t="n"/>
      <c r="R107" s="157" t="n"/>
      <c r="S107" s="157" t="n"/>
      <c r="T107" s="157" t="n"/>
      <c r="U107" s="157" t="n"/>
      <c r="V107" s="157" t="n"/>
      <c r="W107" s="157" t="n"/>
      <c r="X107" s="157" t="n"/>
      <c r="Y107" s="157" t="n"/>
      <c r="Z107" s="157" t="n"/>
      <c r="AA107" s="157" t="n"/>
      <c r="AB107" s="157" t="n"/>
      <c r="AC107" s="157" t="n"/>
      <c r="AD107" s="157" t="n"/>
      <c r="AE107" s="158" t="n"/>
      <c r="AF107" s="158" t="n"/>
    </row>
    <row r="108" ht="15.75" customHeight="1" s="398">
      <c r="A108" s="275" t="n"/>
      <c r="B108" s="151" t="n"/>
      <c r="C108" s="152" t="n"/>
      <c r="D108" s="151" t="n"/>
      <c r="E108" s="152" t="n"/>
      <c r="F108" s="153" t="n"/>
      <c r="G108" s="154" t="n"/>
      <c r="H108" s="541" t="n"/>
      <c r="I108" s="542" t="n"/>
      <c r="J108" s="541" t="n"/>
      <c r="K108" s="157" t="n"/>
      <c r="L108" s="157" t="n"/>
      <c r="M108" s="157" t="n"/>
      <c r="N108" s="157" t="n"/>
      <c r="O108" s="157" t="n"/>
      <c r="P108" s="157" t="n"/>
      <c r="Q108" s="157" t="n"/>
      <c r="R108" s="157" t="n"/>
      <c r="S108" s="157" t="n"/>
      <c r="T108" s="157" t="n"/>
      <c r="U108" s="157" t="n"/>
      <c r="V108" s="157" t="n"/>
      <c r="W108" s="157" t="n"/>
      <c r="X108" s="157" t="n"/>
      <c r="Y108" s="157" t="n"/>
      <c r="Z108" s="157" t="n"/>
      <c r="AA108" s="157" t="n"/>
      <c r="AB108" s="157" t="n"/>
      <c r="AC108" s="157" t="n"/>
      <c r="AD108" s="157" t="n"/>
      <c r="AE108" s="158" t="n"/>
      <c r="AF108" s="158" t="n"/>
    </row>
    <row r="109" ht="15.75" customHeight="1" s="398">
      <c r="A109" s="275" t="n"/>
      <c r="B109" s="151" t="n"/>
      <c r="C109" s="152" t="n"/>
      <c r="D109" s="151" t="n"/>
      <c r="E109" s="152" t="n"/>
      <c r="F109" s="153" t="n"/>
      <c r="G109" s="154" t="n"/>
      <c r="H109" s="541" t="n"/>
      <c r="I109" s="542" t="n"/>
      <c r="J109" s="541" t="n"/>
      <c r="K109" s="157" t="n"/>
      <c r="L109" s="157" t="n"/>
      <c r="M109" s="157" t="n"/>
      <c r="N109" s="157" t="n"/>
      <c r="O109" s="157" t="n"/>
      <c r="P109" s="157" t="n"/>
      <c r="Q109" s="157" t="n"/>
      <c r="R109" s="157" t="n"/>
      <c r="S109" s="157" t="n"/>
      <c r="T109" s="157" t="n"/>
      <c r="U109" s="157" t="n"/>
      <c r="V109" s="157" t="n"/>
      <c r="W109" s="157" t="n"/>
      <c r="X109" s="157" t="n"/>
      <c r="Y109" s="157" t="n"/>
      <c r="Z109" s="157" t="n"/>
      <c r="AA109" s="157" t="n"/>
      <c r="AB109" s="157" t="n"/>
      <c r="AC109" s="157" t="n"/>
      <c r="AD109" s="157" t="n"/>
      <c r="AE109" s="158" t="n"/>
      <c r="AF109" s="158" t="n"/>
    </row>
    <row r="110" ht="15.75" customHeight="1" s="398">
      <c r="A110" s="275" t="n"/>
      <c r="B110" s="151" t="n"/>
      <c r="C110" s="152" t="n"/>
      <c r="D110" s="151" t="n"/>
      <c r="E110" s="152" t="n"/>
      <c r="F110" s="153" t="n"/>
      <c r="G110" s="154" t="n"/>
      <c r="H110" s="541" t="n"/>
      <c r="I110" s="542" t="n"/>
      <c r="J110" s="541" t="n"/>
      <c r="K110" s="157" t="n"/>
      <c r="L110" s="157" t="n"/>
      <c r="M110" s="157" t="n"/>
      <c r="N110" s="157" t="n"/>
      <c r="O110" s="157" t="n"/>
      <c r="P110" s="157" t="n"/>
      <c r="Q110" s="157" t="n"/>
      <c r="R110" s="157" t="n"/>
      <c r="S110" s="157" t="n"/>
      <c r="T110" s="157" t="n"/>
      <c r="U110" s="157" t="n"/>
      <c r="V110" s="157" t="n"/>
      <c r="W110" s="157" t="n"/>
      <c r="X110" s="157" t="n"/>
      <c r="Y110" s="157" t="n"/>
      <c r="Z110" s="157" t="n"/>
      <c r="AA110" s="157" t="n"/>
      <c r="AB110" s="157" t="n"/>
      <c r="AC110" s="157" t="n"/>
      <c r="AD110" s="157" t="n"/>
      <c r="AE110" s="158" t="n"/>
      <c r="AF110" s="158" t="n"/>
    </row>
    <row r="111" ht="15.75" customHeight="1" s="398">
      <c r="A111" s="275" t="n"/>
      <c r="B111" s="151" t="n"/>
      <c r="C111" s="152" t="n"/>
      <c r="D111" s="151" t="n"/>
      <c r="E111" s="152" t="n"/>
      <c r="F111" s="153" t="n"/>
      <c r="G111" s="154" t="n"/>
      <c r="H111" s="541" t="n"/>
      <c r="I111" s="542" t="n"/>
      <c r="J111" s="541" t="n"/>
      <c r="K111" s="157" t="n"/>
      <c r="L111" s="157" t="n"/>
      <c r="M111" s="157" t="n"/>
      <c r="N111" s="157" t="n"/>
      <c r="O111" s="157" t="n"/>
      <c r="P111" s="157" t="n"/>
      <c r="Q111" s="157" t="n"/>
      <c r="R111" s="157" t="n"/>
      <c r="S111" s="157" t="n"/>
      <c r="T111" s="157" t="n"/>
      <c r="U111" s="157" t="n"/>
      <c r="V111" s="157" t="n"/>
      <c r="W111" s="157" t="n"/>
      <c r="X111" s="157" t="n"/>
      <c r="Y111" s="157" t="n"/>
      <c r="Z111" s="157" t="n"/>
      <c r="AA111" s="157" t="n"/>
      <c r="AB111" s="157" t="n"/>
      <c r="AC111" s="157" t="n"/>
      <c r="AD111" s="157" t="n"/>
      <c r="AE111" s="158" t="n"/>
      <c r="AF111" s="158" t="n"/>
    </row>
    <row r="112" ht="15.75" customHeight="1" s="398">
      <c r="A112" s="275" t="n"/>
      <c r="B112" s="151" t="n"/>
      <c r="C112" s="152" t="n"/>
      <c r="D112" s="151" t="n"/>
      <c r="E112" s="152" t="n"/>
      <c r="F112" s="153" t="n"/>
      <c r="G112" s="154" t="n"/>
      <c r="H112" s="541" t="n"/>
      <c r="I112" s="542" t="n"/>
      <c r="J112" s="541" t="n"/>
      <c r="K112" s="157" t="n"/>
      <c r="L112" s="157" t="n"/>
      <c r="M112" s="157" t="n"/>
      <c r="N112" s="157" t="n"/>
      <c r="O112" s="157" t="n"/>
      <c r="P112" s="157" t="n"/>
      <c r="Q112" s="157" t="n"/>
      <c r="R112" s="157" t="n"/>
      <c r="S112" s="157" t="n"/>
      <c r="T112" s="157" t="n"/>
      <c r="U112" s="157" t="n"/>
      <c r="V112" s="157" t="n"/>
      <c r="W112" s="157" t="n"/>
      <c r="X112" s="157" t="n"/>
      <c r="Y112" s="157" t="n"/>
      <c r="Z112" s="157" t="n"/>
      <c r="AA112" s="157" t="n"/>
      <c r="AB112" s="157" t="n"/>
      <c r="AC112" s="157" t="n"/>
      <c r="AD112" s="157" t="n"/>
      <c r="AE112" s="158" t="n"/>
      <c r="AF112" s="158" t="n"/>
    </row>
    <row r="113" ht="15.75" customHeight="1" s="398">
      <c r="A113" s="275" t="n"/>
      <c r="B113" s="151" t="n"/>
      <c r="C113" s="152" t="n"/>
      <c r="D113" s="151" t="n"/>
      <c r="E113" s="152" t="n"/>
      <c r="F113" s="153" t="n"/>
      <c r="G113" s="154" t="n"/>
      <c r="H113" s="541" t="n"/>
      <c r="I113" s="542" t="n"/>
      <c r="J113" s="541" t="n"/>
      <c r="K113" s="157" t="n"/>
      <c r="L113" s="157" t="n"/>
      <c r="M113" s="157" t="n"/>
      <c r="N113" s="157" t="n"/>
      <c r="O113" s="157" t="n"/>
      <c r="P113" s="157" t="n"/>
      <c r="Q113" s="157" t="n"/>
      <c r="R113" s="157" t="n"/>
      <c r="S113" s="157" t="n"/>
      <c r="T113" s="157" t="n"/>
      <c r="U113" s="157" t="n"/>
      <c r="V113" s="157" t="n"/>
      <c r="W113" s="157" t="n"/>
      <c r="X113" s="157" t="n"/>
      <c r="Y113" s="157" t="n"/>
      <c r="Z113" s="157" t="n"/>
      <c r="AA113" s="157" t="n"/>
      <c r="AB113" s="157" t="n"/>
      <c r="AC113" s="157" t="n"/>
      <c r="AD113" s="157" t="n"/>
      <c r="AE113" s="158" t="n"/>
      <c r="AF113" s="158" t="n"/>
    </row>
    <row r="114" ht="15.75" customHeight="1" s="398">
      <c r="A114" s="275" t="n"/>
      <c r="B114" s="151" t="n"/>
      <c r="C114" s="152" t="n"/>
      <c r="D114" s="151" t="n"/>
      <c r="E114" s="152" t="n"/>
      <c r="F114" s="153" t="n"/>
      <c r="G114" s="154" t="n"/>
      <c r="H114" s="541" t="n"/>
      <c r="I114" s="542" t="n"/>
      <c r="J114" s="541" t="n"/>
      <c r="K114" s="157" t="n"/>
      <c r="L114" s="157" t="n"/>
      <c r="M114" s="157" t="n"/>
      <c r="N114" s="157" t="n"/>
      <c r="O114" s="157" t="n"/>
      <c r="P114" s="157" t="n"/>
      <c r="Q114" s="157" t="n"/>
      <c r="R114" s="157" t="n"/>
      <c r="S114" s="157" t="n"/>
      <c r="T114" s="157" t="n"/>
      <c r="U114" s="157" t="n"/>
      <c r="V114" s="157" t="n"/>
      <c r="W114" s="157" t="n"/>
      <c r="X114" s="157" t="n"/>
      <c r="Y114" s="157" t="n"/>
      <c r="Z114" s="157" t="n"/>
      <c r="AA114" s="157" t="n"/>
      <c r="AB114" s="157" t="n"/>
      <c r="AC114" s="157" t="n"/>
      <c r="AD114" s="157" t="n"/>
      <c r="AE114" s="158" t="n"/>
      <c r="AF114" s="158" t="n"/>
    </row>
    <row r="115" ht="15.75" customHeight="1" s="398">
      <c r="A115" s="275" t="n"/>
      <c r="B115" s="151" t="n"/>
      <c r="C115" s="152" t="n"/>
      <c r="D115" s="151" t="n"/>
      <c r="E115" s="152" t="n"/>
      <c r="F115" s="153" t="n"/>
      <c r="G115" s="154" t="n"/>
      <c r="H115" s="541" t="n"/>
      <c r="I115" s="542" t="n"/>
      <c r="J115" s="541" t="n"/>
      <c r="K115" s="157" t="n"/>
      <c r="L115" s="157" t="n"/>
      <c r="M115" s="157" t="n"/>
      <c r="N115" s="157" t="n"/>
      <c r="O115" s="157" t="n"/>
      <c r="P115" s="157" t="n"/>
      <c r="Q115" s="157" t="n"/>
      <c r="R115" s="157" t="n"/>
      <c r="S115" s="157" t="n"/>
      <c r="T115" s="157" t="n"/>
      <c r="U115" s="157" t="n"/>
      <c r="V115" s="157" t="n"/>
      <c r="W115" s="157" t="n"/>
      <c r="X115" s="157" t="n"/>
      <c r="Y115" s="157" t="n"/>
      <c r="Z115" s="157" t="n"/>
      <c r="AA115" s="157" t="n"/>
      <c r="AB115" s="157" t="n"/>
      <c r="AC115" s="157" t="n"/>
      <c r="AD115" s="157" t="n"/>
      <c r="AE115" s="158" t="n"/>
      <c r="AF115" s="158" t="n"/>
    </row>
    <row r="116" ht="15.75" customHeight="1" s="398">
      <c r="A116" s="275" t="n"/>
      <c r="B116" s="151" t="n"/>
      <c r="C116" s="152" t="n"/>
      <c r="D116" s="151" t="n"/>
      <c r="E116" s="152" t="n"/>
      <c r="F116" s="153" t="n"/>
      <c r="G116" s="154" t="n"/>
      <c r="H116" s="541" t="n"/>
      <c r="I116" s="542" t="n"/>
      <c r="J116" s="541" t="n"/>
      <c r="K116" s="157" t="n"/>
      <c r="L116" s="157" t="n"/>
      <c r="M116" s="157" t="n"/>
      <c r="N116" s="157" t="n"/>
      <c r="O116" s="157" t="n"/>
      <c r="P116" s="157" t="n"/>
      <c r="Q116" s="157" t="n"/>
      <c r="R116" s="157" t="n"/>
      <c r="S116" s="157" t="n"/>
      <c r="T116" s="157" t="n"/>
      <c r="U116" s="157" t="n"/>
      <c r="V116" s="157" t="n"/>
      <c r="W116" s="157" t="n"/>
      <c r="X116" s="157" t="n"/>
      <c r="Y116" s="157" t="n"/>
      <c r="Z116" s="157" t="n"/>
      <c r="AA116" s="157" t="n"/>
      <c r="AB116" s="157" t="n"/>
      <c r="AC116" s="157" t="n"/>
      <c r="AD116" s="157" t="n"/>
      <c r="AE116" s="158" t="n"/>
      <c r="AF116" s="158" t="n"/>
    </row>
    <row r="117" ht="15.75" customHeight="1" s="398">
      <c r="A117" s="275" t="n"/>
      <c r="B117" s="151" t="n"/>
      <c r="C117" s="152" t="n"/>
      <c r="D117" s="151" t="n"/>
      <c r="E117" s="152" t="n"/>
      <c r="F117" s="153" t="n"/>
      <c r="G117" s="154" t="n"/>
      <c r="H117" s="541" t="n"/>
      <c r="I117" s="542" t="n"/>
      <c r="J117" s="541" t="n"/>
      <c r="K117" s="157" t="n"/>
      <c r="L117" s="157" t="n"/>
      <c r="M117" s="157" t="n"/>
      <c r="N117" s="157" t="n"/>
      <c r="O117" s="157" t="n"/>
      <c r="P117" s="157" t="n"/>
      <c r="Q117" s="157" t="n"/>
      <c r="R117" s="157" t="n"/>
      <c r="S117" s="157" t="n"/>
      <c r="T117" s="157" t="n"/>
      <c r="U117" s="157" t="n"/>
      <c r="V117" s="157" t="n"/>
      <c r="W117" s="157" t="n"/>
      <c r="X117" s="157" t="n"/>
      <c r="Y117" s="157" t="n"/>
      <c r="Z117" s="157" t="n"/>
      <c r="AA117" s="157" t="n"/>
      <c r="AB117" s="157" t="n"/>
      <c r="AC117" s="157" t="n"/>
      <c r="AD117" s="157" t="n"/>
      <c r="AE117" s="158" t="n"/>
      <c r="AF117" s="158" t="n"/>
    </row>
    <row r="118" ht="15.75" customHeight="1" s="398">
      <c r="A118" s="275" t="n"/>
      <c r="B118" s="151" t="n"/>
      <c r="C118" s="152" t="n"/>
      <c r="D118" s="151" t="n"/>
      <c r="E118" s="152" t="n"/>
      <c r="F118" s="153" t="n"/>
      <c r="G118" s="154" t="n"/>
      <c r="H118" s="541" t="n"/>
      <c r="I118" s="542" t="n"/>
      <c r="J118" s="541" t="n"/>
      <c r="K118" s="157" t="n"/>
      <c r="L118" s="157" t="n"/>
      <c r="M118" s="157" t="n"/>
      <c r="N118" s="157" t="n"/>
      <c r="O118" s="157" t="n"/>
      <c r="P118" s="157" t="n"/>
      <c r="Q118" s="157" t="n"/>
      <c r="R118" s="157" t="n"/>
      <c r="S118" s="157" t="n"/>
      <c r="T118" s="157" t="n"/>
      <c r="U118" s="157" t="n"/>
      <c r="V118" s="157" t="n"/>
      <c r="W118" s="157" t="n"/>
      <c r="X118" s="157" t="n"/>
      <c r="Y118" s="157" t="n"/>
      <c r="Z118" s="157" t="n"/>
      <c r="AA118" s="157" t="n"/>
      <c r="AB118" s="157" t="n"/>
      <c r="AC118" s="157" t="n"/>
      <c r="AD118" s="157" t="n"/>
      <c r="AE118" s="158" t="n"/>
      <c r="AF118" s="158" t="n"/>
    </row>
    <row r="119" ht="15.75" customHeight="1" s="398">
      <c r="A119" s="275" t="n"/>
      <c r="B119" s="151" t="n"/>
      <c r="C119" s="152" t="n"/>
      <c r="D119" s="151" t="n"/>
      <c r="E119" s="152" t="n"/>
      <c r="F119" s="153" t="n"/>
      <c r="G119" s="154" t="n"/>
      <c r="H119" s="541" t="n"/>
      <c r="I119" s="542" t="n"/>
      <c r="J119" s="541" t="n"/>
      <c r="K119" s="157" t="n"/>
      <c r="L119" s="157" t="n"/>
      <c r="M119" s="157" t="n"/>
      <c r="N119" s="157" t="n"/>
      <c r="O119" s="157" t="n"/>
      <c r="P119" s="157" t="n"/>
      <c r="Q119" s="157" t="n"/>
      <c r="R119" s="157" t="n"/>
      <c r="S119" s="157" t="n"/>
      <c r="T119" s="157" t="n"/>
      <c r="U119" s="157" t="n"/>
      <c r="V119" s="157" t="n"/>
      <c r="W119" s="157" t="n"/>
      <c r="X119" s="157" t="n"/>
      <c r="Y119" s="157" t="n"/>
      <c r="Z119" s="157" t="n"/>
      <c r="AA119" s="157" t="n"/>
      <c r="AB119" s="157" t="n"/>
      <c r="AC119" s="157" t="n"/>
      <c r="AD119" s="157" t="n"/>
      <c r="AE119" s="158" t="n"/>
      <c r="AF119" s="158" t="n"/>
    </row>
    <row r="120" ht="15.75" customHeight="1" s="398">
      <c r="A120" s="275" t="n"/>
      <c r="B120" s="151" t="n"/>
      <c r="C120" s="152" t="n"/>
      <c r="D120" s="151" t="n"/>
      <c r="E120" s="152" t="n"/>
      <c r="F120" s="153" t="n"/>
      <c r="G120" s="154" t="n"/>
      <c r="H120" s="541" t="n"/>
      <c r="I120" s="542" t="n"/>
      <c r="J120" s="541" t="n"/>
      <c r="K120" s="157" t="n"/>
      <c r="L120" s="157" t="n"/>
      <c r="M120" s="157" t="n"/>
      <c r="N120" s="157" t="n"/>
      <c r="O120" s="157" t="n"/>
      <c r="P120" s="157" t="n"/>
      <c r="Q120" s="157" t="n"/>
      <c r="R120" s="157" t="n"/>
      <c r="S120" s="157" t="n"/>
      <c r="T120" s="157" t="n"/>
      <c r="U120" s="157" t="n"/>
      <c r="V120" s="157" t="n"/>
      <c r="W120" s="157" t="n"/>
      <c r="X120" s="157" t="n"/>
      <c r="Y120" s="157" t="n"/>
      <c r="Z120" s="157" t="n"/>
      <c r="AA120" s="157" t="n"/>
      <c r="AB120" s="157" t="n"/>
      <c r="AC120" s="157" t="n"/>
      <c r="AD120" s="157" t="n"/>
      <c r="AE120" s="158" t="n"/>
      <c r="AF120" s="158" t="n"/>
    </row>
    <row r="121" ht="15.75" customHeight="1" s="398">
      <c r="A121" s="275" t="n"/>
      <c r="B121" s="151" t="n"/>
      <c r="C121" s="152" t="n"/>
      <c r="D121" s="151" t="n"/>
      <c r="E121" s="152" t="n"/>
      <c r="F121" s="153" t="n"/>
      <c r="G121" s="154" t="n"/>
      <c r="H121" s="541" t="n"/>
      <c r="I121" s="542" t="n"/>
      <c r="J121" s="541" t="n"/>
      <c r="K121" s="157" t="n"/>
      <c r="L121" s="157" t="n"/>
      <c r="M121" s="157" t="n"/>
      <c r="N121" s="157" t="n"/>
      <c r="O121" s="157" t="n"/>
      <c r="P121" s="157" t="n"/>
      <c r="Q121" s="157" t="n"/>
      <c r="R121" s="157" t="n"/>
      <c r="S121" s="157" t="n"/>
      <c r="T121" s="157" t="n"/>
      <c r="U121" s="157" t="n"/>
      <c r="V121" s="157" t="n"/>
      <c r="W121" s="157" t="n"/>
      <c r="X121" s="157" t="n"/>
      <c r="Y121" s="157" t="n"/>
      <c r="Z121" s="157" t="n"/>
      <c r="AA121" s="157" t="n"/>
      <c r="AB121" s="157" t="n"/>
      <c r="AC121" s="157" t="n"/>
      <c r="AD121" s="157" t="n"/>
      <c r="AE121" s="158" t="n"/>
      <c r="AF121" s="158" t="n"/>
    </row>
    <row r="122" ht="15.75" customHeight="1" s="398">
      <c r="A122" s="275" t="n"/>
      <c r="B122" s="151" t="n"/>
      <c r="C122" s="152" t="n"/>
      <c r="D122" s="151" t="n"/>
      <c r="E122" s="152" t="n"/>
      <c r="F122" s="153" t="n"/>
      <c r="G122" s="154" t="n"/>
      <c r="H122" s="541" t="n"/>
      <c r="I122" s="542" t="n"/>
      <c r="J122" s="541" t="n"/>
      <c r="K122" s="157" t="n"/>
      <c r="L122" s="157" t="n"/>
      <c r="M122" s="157" t="n"/>
      <c r="N122" s="157" t="n"/>
      <c r="O122" s="157" t="n"/>
      <c r="P122" s="157" t="n"/>
      <c r="Q122" s="157" t="n"/>
      <c r="R122" s="157" t="n"/>
      <c r="S122" s="157" t="n"/>
      <c r="T122" s="157" t="n"/>
      <c r="U122" s="157" t="n"/>
      <c r="V122" s="157" t="n"/>
      <c r="W122" s="157" t="n"/>
      <c r="X122" s="157" t="n"/>
      <c r="Y122" s="157" t="n"/>
      <c r="Z122" s="157" t="n"/>
      <c r="AA122" s="157" t="n"/>
      <c r="AB122" s="157" t="n"/>
      <c r="AC122" s="157" t="n"/>
      <c r="AD122" s="157" t="n"/>
      <c r="AE122" s="158" t="n"/>
      <c r="AF122" s="158" t="n"/>
    </row>
    <row r="123" ht="15.75" customHeight="1" s="398">
      <c r="A123" s="275" t="n"/>
      <c r="B123" s="151" t="n"/>
      <c r="C123" s="152" t="n"/>
      <c r="D123" s="151" t="n"/>
      <c r="E123" s="152" t="n"/>
      <c r="F123" s="153" t="n"/>
      <c r="G123" s="154" t="n"/>
      <c r="H123" s="541" t="n"/>
      <c r="I123" s="542" t="n"/>
      <c r="J123" s="541" t="n"/>
      <c r="K123" s="157" t="n"/>
      <c r="L123" s="157" t="n"/>
      <c r="M123" s="157" t="n"/>
      <c r="N123" s="157" t="n"/>
      <c r="O123" s="157" t="n"/>
      <c r="P123" s="157" t="n"/>
      <c r="Q123" s="157" t="n"/>
      <c r="R123" s="157" t="n"/>
      <c r="S123" s="157" t="n"/>
      <c r="T123" s="157" t="n"/>
      <c r="U123" s="157" t="n"/>
      <c r="V123" s="157" t="n"/>
      <c r="W123" s="157" t="n"/>
      <c r="X123" s="157" t="n"/>
      <c r="Y123" s="157" t="n"/>
      <c r="Z123" s="157" t="n"/>
      <c r="AA123" s="157" t="n"/>
      <c r="AB123" s="157" t="n"/>
      <c r="AC123" s="157" t="n"/>
      <c r="AD123" s="157" t="n"/>
      <c r="AE123" s="158" t="n"/>
      <c r="AF123" s="158" t="n"/>
    </row>
    <row r="124" ht="15.75" customHeight="1" s="398">
      <c r="A124" s="275" t="n"/>
      <c r="B124" s="151" t="n"/>
      <c r="C124" s="152" t="n"/>
      <c r="D124" s="151" t="n"/>
      <c r="E124" s="152" t="n"/>
      <c r="F124" s="153" t="n"/>
      <c r="G124" s="154" t="n"/>
      <c r="H124" s="541" t="n"/>
      <c r="I124" s="542" t="n"/>
      <c r="J124" s="541" t="n"/>
      <c r="K124" s="157" t="n"/>
      <c r="L124" s="157" t="n"/>
      <c r="M124" s="157" t="n"/>
      <c r="N124" s="157" t="n"/>
      <c r="O124" s="157" t="n"/>
      <c r="P124" s="157" t="n"/>
      <c r="Q124" s="157" t="n"/>
      <c r="R124" s="157" t="n"/>
      <c r="S124" s="157" t="n"/>
      <c r="T124" s="157" t="n"/>
      <c r="U124" s="157" t="n"/>
      <c r="V124" s="157" t="n"/>
      <c r="W124" s="157" t="n"/>
      <c r="X124" s="157" t="n"/>
      <c r="Y124" s="157" t="n"/>
      <c r="Z124" s="157" t="n"/>
      <c r="AA124" s="157" t="n"/>
      <c r="AB124" s="157" t="n"/>
      <c r="AC124" s="157" t="n"/>
      <c r="AD124" s="157" t="n"/>
      <c r="AE124" s="158" t="n"/>
      <c r="AF124" s="158" t="n"/>
    </row>
    <row r="125" ht="15.75" customHeight="1" s="398">
      <c r="A125" s="275" t="n"/>
      <c r="B125" s="151" t="n"/>
      <c r="C125" s="152" t="n"/>
      <c r="D125" s="151" t="n"/>
      <c r="E125" s="152" t="n"/>
      <c r="F125" s="153" t="n"/>
      <c r="G125" s="154" t="n"/>
      <c r="H125" s="541" t="n"/>
      <c r="I125" s="542" t="n"/>
      <c r="J125" s="541" t="n"/>
      <c r="K125" s="157" t="n"/>
      <c r="L125" s="157" t="n"/>
      <c r="M125" s="157" t="n"/>
      <c r="N125" s="157" t="n"/>
      <c r="O125" s="157" t="n"/>
      <c r="P125" s="157" t="n"/>
      <c r="Q125" s="157" t="n"/>
      <c r="R125" s="157" t="n"/>
      <c r="S125" s="157" t="n"/>
      <c r="T125" s="157" t="n"/>
      <c r="U125" s="157" t="n"/>
      <c r="V125" s="157" t="n"/>
      <c r="W125" s="157" t="n"/>
      <c r="X125" s="157" t="n"/>
      <c r="Y125" s="157" t="n"/>
      <c r="Z125" s="157" t="n"/>
      <c r="AA125" s="157" t="n"/>
      <c r="AB125" s="157" t="n"/>
      <c r="AC125" s="157" t="n"/>
      <c r="AD125" s="157" t="n"/>
      <c r="AE125" s="158" t="n"/>
      <c r="AF125" s="158" t="n"/>
    </row>
    <row r="126" ht="15.75" customHeight="1" s="398">
      <c r="A126" s="275" t="n"/>
      <c r="B126" s="151" t="n"/>
      <c r="C126" s="152" t="n"/>
      <c r="D126" s="151" t="n"/>
      <c r="E126" s="152" t="n"/>
      <c r="F126" s="153" t="n"/>
      <c r="G126" s="154" t="n"/>
      <c r="H126" s="541" t="n"/>
      <c r="I126" s="542" t="n"/>
      <c r="J126" s="541" t="n"/>
      <c r="K126" s="157" t="n"/>
      <c r="L126" s="157" t="n"/>
      <c r="M126" s="157" t="n"/>
      <c r="N126" s="157" t="n"/>
      <c r="O126" s="157" t="n"/>
      <c r="P126" s="157" t="n"/>
      <c r="Q126" s="157" t="n"/>
      <c r="R126" s="157" t="n"/>
      <c r="S126" s="157" t="n"/>
      <c r="T126" s="157" t="n"/>
      <c r="U126" s="157" t="n"/>
      <c r="V126" s="157" t="n"/>
      <c r="W126" s="157" t="n"/>
      <c r="X126" s="157" t="n"/>
      <c r="Y126" s="157" t="n"/>
      <c r="Z126" s="157" t="n"/>
      <c r="AA126" s="157" t="n"/>
      <c r="AB126" s="157" t="n"/>
      <c r="AC126" s="157" t="n"/>
      <c r="AD126" s="157" t="n"/>
      <c r="AE126" s="158" t="n"/>
      <c r="AF126" s="158" t="n"/>
    </row>
    <row r="127" ht="15.75" customHeight="1" s="398">
      <c r="A127" s="275" t="n"/>
      <c r="B127" s="151" t="n"/>
      <c r="C127" s="152" t="n"/>
      <c r="D127" s="151" t="n"/>
      <c r="E127" s="152" t="n"/>
      <c r="F127" s="153" t="n"/>
      <c r="G127" s="154" t="n"/>
      <c r="H127" s="541" t="n"/>
      <c r="I127" s="542" t="n"/>
      <c r="J127" s="541" t="n"/>
      <c r="K127" s="157" t="n"/>
      <c r="L127" s="157" t="n"/>
      <c r="M127" s="157" t="n"/>
      <c r="N127" s="157" t="n"/>
      <c r="O127" s="157" t="n"/>
      <c r="P127" s="157" t="n"/>
      <c r="Q127" s="157" t="n"/>
      <c r="R127" s="157" t="n"/>
      <c r="S127" s="157" t="n"/>
      <c r="T127" s="157" t="n"/>
      <c r="U127" s="157" t="n"/>
      <c r="V127" s="157" t="n"/>
      <c r="W127" s="157" t="n"/>
      <c r="X127" s="157" t="n"/>
      <c r="Y127" s="157" t="n"/>
      <c r="Z127" s="157" t="n"/>
      <c r="AA127" s="157" t="n"/>
      <c r="AB127" s="157" t="n"/>
      <c r="AC127" s="157" t="n"/>
      <c r="AD127" s="157" t="n"/>
      <c r="AE127" s="158" t="n"/>
      <c r="AF127" s="158" t="n"/>
    </row>
    <row r="128" ht="15.75" customHeight="1" s="398">
      <c r="A128" s="275" t="n"/>
      <c r="B128" s="151" t="n"/>
      <c r="C128" s="152" t="n"/>
      <c r="D128" s="151" t="n"/>
      <c r="E128" s="152" t="n"/>
      <c r="F128" s="153" t="n"/>
      <c r="G128" s="154" t="n"/>
      <c r="H128" s="541" t="n"/>
      <c r="I128" s="542" t="n"/>
      <c r="J128" s="541" t="n"/>
      <c r="K128" s="157" t="n"/>
      <c r="L128" s="157" t="n"/>
      <c r="M128" s="157" t="n"/>
      <c r="N128" s="157" t="n"/>
      <c r="O128" s="157" t="n"/>
      <c r="P128" s="157" t="n"/>
      <c r="Q128" s="157" t="n"/>
      <c r="R128" s="157" t="n"/>
      <c r="S128" s="157" t="n"/>
      <c r="T128" s="157" t="n"/>
      <c r="U128" s="157" t="n"/>
      <c r="V128" s="157" t="n"/>
      <c r="W128" s="157" t="n"/>
      <c r="X128" s="157" t="n"/>
      <c r="Y128" s="157" t="n"/>
      <c r="Z128" s="157" t="n"/>
      <c r="AA128" s="157" t="n"/>
      <c r="AB128" s="157" t="n"/>
      <c r="AC128" s="157" t="n"/>
      <c r="AD128" s="157" t="n"/>
      <c r="AE128" s="158" t="n"/>
      <c r="AF128" s="158" t="n"/>
    </row>
    <row r="129" ht="15.75" customHeight="1" s="398">
      <c r="A129" s="275" t="n"/>
      <c r="B129" s="151" t="n"/>
      <c r="C129" s="152" t="n"/>
      <c r="D129" s="151" t="n"/>
      <c r="E129" s="152" t="n"/>
      <c r="F129" s="153" t="n"/>
      <c r="G129" s="154" t="n"/>
      <c r="H129" s="541" t="n"/>
      <c r="I129" s="542" t="n"/>
      <c r="J129" s="541" t="n"/>
      <c r="K129" s="157" t="n"/>
      <c r="L129" s="157" t="n"/>
      <c r="M129" s="157" t="n"/>
      <c r="N129" s="157" t="n"/>
      <c r="O129" s="157" t="n"/>
      <c r="P129" s="157" t="n"/>
      <c r="Q129" s="157" t="n"/>
      <c r="R129" s="157" t="n"/>
      <c r="S129" s="157" t="n"/>
      <c r="T129" s="157" t="n"/>
      <c r="U129" s="157" t="n"/>
      <c r="V129" s="157" t="n"/>
      <c r="W129" s="157" t="n"/>
      <c r="X129" s="157" t="n"/>
      <c r="Y129" s="157" t="n"/>
      <c r="Z129" s="157" t="n"/>
      <c r="AA129" s="157" t="n"/>
      <c r="AB129" s="157" t="n"/>
      <c r="AC129" s="157" t="n"/>
      <c r="AD129" s="157" t="n"/>
      <c r="AE129" s="158" t="n"/>
      <c r="AF129" s="158" t="n"/>
    </row>
    <row r="130" ht="15.75" customHeight="1" s="398">
      <c r="A130" s="275" t="n"/>
      <c r="B130" s="151" t="n"/>
      <c r="C130" s="152" t="n"/>
      <c r="D130" s="151" t="n"/>
      <c r="E130" s="152" t="n"/>
      <c r="F130" s="153" t="n"/>
      <c r="G130" s="154" t="n"/>
      <c r="H130" s="541" t="n"/>
      <c r="I130" s="542" t="n"/>
      <c r="J130" s="541" t="n"/>
      <c r="K130" s="157" t="n"/>
      <c r="L130" s="157" t="n"/>
      <c r="M130" s="157" t="n"/>
      <c r="N130" s="157" t="n"/>
      <c r="O130" s="157" t="n"/>
      <c r="P130" s="157" t="n"/>
      <c r="Q130" s="157" t="n"/>
      <c r="R130" s="157" t="n"/>
      <c r="S130" s="157" t="n"/>
      <c r="T130" s="157" t="n"/>
      <c r="U130" s="157" t="n"/>
      <c r="V130" s="157" t="n"/>
      <c r="W130" s="157" t="n"/>
      <c r="X130" s="157" t="n"/>
      <c r="Y130" s="157" t="n"/>
      <c r="Z130" s="157" t="n"/>
      <c r="AA130" s="157" t="n"/>
      <c r="AB130" s="157" t="n"/>
      <c r="AC130" s="157" t="n"/>
      <c r="AD130" s="157" t="n"/>
      <c r="AE130" s="158" t="n"/>
      <c r="AF130" s="158" t="n"/>
    </row>
    <row r="131" ht="15.75" customHeight="1" s="398">
      <c r="A131" s="275" t="n"/>
      <c r="B131" s="151" t="n"/>
      <c r="C131" s="152" t="n"/>
      <c r="D131" s="151" t="n"/>
      <c r="E131" s="152" t="n"/>
      <c r="F131" s="153" t="n"/>
      <c r="G131" s="154" t="n"/>
      <c r="H131" s="541" t="n"/>
      <c r="I131" s="542" t="n"/>
      <c r="J131" s="541" t="n"/>
      <c r="K131" s="157" t="n"/>
      <c r="L131" s="157" t="n"/>
      <c r="M131" s="157" t="n"/>
      <c r="N131" s="157" t="n"/>
      <c r="O131" s="157" t="n"/>
      <c r="P131" s="157" t="n"/>
      <c r="Q131" s="157" t="n"/>
      <c r="R131" s="157" t="n"/>
      <c r="S131" s="157" t="n"/>
      <c r="T131" s="157" t="n"/>
      <c r="U131" s="157" t="n"/>
      <c r="V131" s="157" t="n"/>
      <c r="W131" s="157" t="n"/>
      <c r="X131" s="157" t="n"/>
      <c r="Y131" s="157" t="n"/>
      <c r="Z131" s="157" t="n"/>
      <c r="AA131" s="157" t="n"/>
      <c r="AB131" s="157" t="n"/>
      <c r="AC131" s="157" t="n"/>
      <c r="AD131" s="157" t="n"/>
      <c r="AE131" s="158" t="n"/>
      <c r="AF131" s="158" t="n"/>
    </row>
    <row r="132" ht="15.75" customHeight="1" s="398">
      <c r="A132" s="275" t="n"/>
      <c r="B132" s="151" t="n"/>
      <c r="C132" s="152" t="n"/>
      <c r="D132" s="151" t="n"/>
      <c r="E132" s="152" t="n"/>
      <c r="F132" s="153" t="n"/>
      <c r="G132" s="154" t="n"/>
      <c r="H132" s="541" t="n"/>
      <c r="I132" s="542" t="n"/>
      <c r="J132" s="541" t="n"/>
      <c r="K132" s="157" t="n"/>
      <c r="L132" s="157" t="n"/>
      <c r="M132" s="157" t="n"/>
      <c r="N132" s="157" t="n"/>
      <c r="O132" s="157" t="n"/>
      <c r="P132" s="157" t="n"/>
      <c r="Q132" s="157" t="n"/>
      <c r="R132" s="157" t="n"/>
      <c r="S132" s="157" t="n"/>
      <c r="T132" s="157" t="n"/>
      <c r="U132" s="157" t="n"/>
      <c r="V132" s="157" t="n"/>
      <c r="W132" s="157" t="n"/>
      <c r="X132" s="157" t="n"/>
      <c r="Y132" s="157" t="n"/>
      <c r="Z132" s="157" t="n"/>
      <c r="AA132" s="157" t="n"/>
      <c r="AB132" s="157" t="n"/>
      <c r="AC132" s="157" t="n"/>
      <c r="AD132" s="157" t="n"/>
      <c r="AE132" s="158" t="n"/>
      <c r="AF132" s="158" t="n"/>
    </row>
    <row r="133" ht="15.75" customHeight="1" s="398">
      <c r="A133" s="275" t="n"/>
      <c r="B133" s="151" t="n"/>
      <c r="C133" s="152" t="n"/>
      <c r="D133" s="151" t="n"/>
      <c r="E133" s="152" t="n"/>
      <c r="F133" s="153" t="n"/>
      <c r="G133" s="154" t="n"/>
      <c r="H133" s="541" t="n"/>
      <c r="I133" s="542" t="n"/>
      <c r="J133" s="541" t="n"/>
      <c r="K133" s="157" t="n"/>
      <c r="L133" s="157" t="n"/>
      <c r="M133" s="157" t="n"/>
      <c r="N133" s="157" t="n"/>
      <c r="O133" s="157" t="n"/>
      <c r="P133" s="157" t="n"/>
      <c r="Q133" s="157" t="n"/>
      <c r="R133" s="157" t="n"/>
      <c r="S133" s="157" t="n"/>
      <c r="T133" s="157" t="n"/>
      <c r="U133" s="157" t="n"/>
      <c r="V133" s="157" t="n"/>
      <c r="W133" s="157" t="n"/>
      <c r="X133" s="157" t="n"/>
      <c r="Y133" s="157" t="n"/>
      <c r="Z133" s="157" t="n"/>
      <c r="AA133" s="157" t="n"/>
      <c r="AB133" s="157" t="n"/>
      <c r="AC133" s="157" t="n"/>
      <c r="AD133" s="157" t="n"/>
      <c r="AE133" s="158" t="n"/>
      <c r="AF133" s="158" t="n"/>
    </row>
    <row r="134" ht="15.75" customHeight="1" s="398">
      <c r="A134" s="275" t="n"/>
      <c r="B134" s="151" t="n"/>
      <c r="C134" s="152" t="n"/>
      <c r="D134" s="151" t="n"/>
      <c r="E134" s="152" t="n"/>
      <c r="F134" s="153" t="n"/>
      <c r="G134" s="154" t="n"/>
      <c r="H134" s="541" t="n"/>
      <c r="I134" s="542" t="n"/>
      <c r="J134" s="541" t="n"/>
      <c r="K134" s="157" t="n"/>
      <c r="L134" s="157" t="n"/>
      <c r="M134" s="157" t="n"/>
      <c r="N134" s="157" t="n"/>
      <c r="O134" s="157" t="n"/>
      <c r="P134" s="157" t="n"/>
      <c r="Q134" s="157" t="n"/>
      <c r="R134" s="157" t="n"/>
      <c r="S134" s="157" t="n"/>
      <c r="T134" s="157" t="n"/>
      <c r="U134" s="157" t="n"/>
      <c r="V134" s="157" t="n"/>
      <c r="W134" s="157" t="n"/>
      <c r="X134" s="157" t="n"/>
      <c r="Y134" s="157" t="n"/>
      <c r="Z134" s="157" t="n"/>
      <c r="AA134" s="157" t="n"/>
      <c r="AB134" s="157" t="n"/>
      <c r="AC134" s="157" t="n"/>
      <c r="AD134" s="157" t="n"/>
      <c r="AE134" s="158" t="n"/>
      <c r="AF134" s="158" t="n"/>
    </row>
    <row r="135" ht="15.75" customHeight="1" s="398">
      <c r="A135" s="275" t="n"/>
      <c r="B135" s="151" t="n"/>
      <c r="C135" s="152" t="n"/>
      <c r="D135" s="151" t="n"/>
      <c r="E135" s="152" t="n"/>
      <c r="F135" s="153" t="n"/>
      <c r="G135" s="154" t="n"/>
      <c r="H135" s="541" t="n"/>
      <c r="I135" s="542" t="n"/>
      <c r="J135" s="541" t="n"/>
      <c r="K135" s="157" t="n"/>
      <c r="L135" s="157" t="n"/>
      <c r="M135" s="157" t="n"/>
      <c r="N135" s="157" t="n"/>
      <c r="O135" s="157" t="n"/>
      <c r="P135" s="157" t="n"/>
      <c r="Q135" s="157" t="n"/>
      <c r="R135" s="157" t="n"/>
      <c r="S135" s="157" t="n"/>
      <c r="T135" s="157" t="n"/>
      <c r="U135" s="157" t="n"/>
      <c r="V135" s="157" t="n"/>
      <c r="W135" s="157" t="n"/>
      <c r="X135" s="157" t="n"/>
      <c r="Y135" s="157" t="n"/>
      <c r="Z135" s="157" t="n"/>
      <c r="AA135" s="157" t="n"/>
      <c r="AB135" s="157" t="n"/>
      <c r="AC135" s="157" t="n"/>
      <c r="AD135" s="157" t="n"/>
      <c r="AE135" s="158" t="n"/>
      <c r="AF135" s="158" t="n"/>
    </row>
    <row r="136" ht="15.75" customHeight="1" s="398">
      <c r="A136" s="275" t="n"/>
      <c r="B136" s="151" t="n"/>
      <c r="C136" s="152" t="n"/>
      <c r="D136" s="151" t="n"/>
      <c r="E136" s="152" t="n"/>
      <c r="F136" s="153" t="n"/>
      <c r="G136" s="154" t="n"/>
      <c r="H136" s="541" t="n"/>
      <c r="I136" s="542" t="n"/>
      <c r="J136" s="541" t="n"/>
      <c r="K136" s="157" t="n"/>
      <c r="L136" s="157" t="n"/>
      <c r="M136" s="157" t="n"/>
      <c r="N136" s="157" t="n"/>
      <c r="O136" s="157" t="n"/>
      <c r="P136" s="157" t="n"/>
      <c r="Q136" s="157" t="n"/>
      <c r="R136" s="157" t="n"/>
      <c r="S136" s="157" t="n"/>
      <c r="T136" s="157" t="n"/>
      <c r="U136" s="157" t="n"/>
      <c r="V136" s="157" t="n"/>
      <c r="W136" s="157" t="n"/>
      <c r="X136" s="157" t="n"/>
      <c r="Y136" s="157" t="n"/>
      <c r="Z136" s="157" t="n"/>
      <c r="AA136" s="157" t="n"/>
      <c r="AB136" s="157" t="n"/>
      <c r="AC136" s="157" t="n"/>
      <c r="AD136" s="157" t="n"/>
      <c r="AE136" s="158" t="n"/>
      <c r="AF136" s="158" t="n"/>
    </row>
    <row r="137" ht="15.75" customHeight="1" s="398">
      <c r="A137" s="275" t="n"/>
      <c r="B137" s="151" t="n"/>
      <c r="C137" s="152" t="n"/>
      <c r="D137" s="151" t="n"/>
      <c r="E137" s="152" t="n"/>
      <c r="F137" s="153" t="n"/>
      <c r="G137" s="154" t="n"/>
      <c r="H137" s="541" t="n"/>
      <c r="I137" s="542" t="n"/>
      <c r="J137" s="541" t="n"/>
      <c r="K137" s="157" t="n"/>
      <c r="L137" s="157" t="n"/>
      <c r="M137" s="157" t="n"/>
      <c r="N137" s="157" t="n"/>
      <c r="O137" s="157" t="n"/>
      <c r="P137" s="157" t="n"/>
      <c r="Q137" s="157" t="n"/>
      <c r="R137" s="157" t="n"/>
      <c r="S137" s="157" t="n"/>
      <c r="T137" s="157" t="n"/>
      <c r="U137" s="157" t="n"/>
      <c r="V137" s="157" t="n"/>
      <c r="W137" s="157" t="n"/>
      <c r="X137" s="157" t="n"/>
      <c r="Y137" s="157" t="n"/>
      <c r="Z137" s="157" t="n"/>
      <c r="AA137" s="157" t="n"/>
      <c r="AB137" s="157" t="n"/>
      <c r="AC137" s="157" t="n"/>
      <c r="AD137" s="157" t="n"/>
      <c r="AE137" s="158" t="n"/>
      <c r="AF137" s="158" t="n"/>
    </row>
    <row r="138" ht="15.75" customHeight="1" s="398">
      <c r="A138" s="275" t="n"/>
      <c r="B138" s="151" t="n"/>
      <c r="C138" s="152" t="n"/>
      <c r="D138" s="151" t="n"/>
      <c r="E138" s="152" t="n"/>
      <c r="F138" s="153" t="n"/>
      <c r="G138" s="154" t="n"/>
      <c r="H138" s="541" t="n"/>
      <c r="I138" s="542" t="n"/>
      <c r="J138" s="541" t="n"/>
      <c r="K138" s="157" t="n"/>
      <c r="L138" s="157" t="n"/>
      <c r="M138" s="157" t="n"/>
      <c r="N138" s="157" t="n"/>
      <c r="O138" s="157" t="n"/>
      <c r="P138" s="157" t="n"/>
      <c r="Q138" s="157" t="n"/>
      <c r="R138" s="157" t="n"/>
      <c r="S138" s="157" t="n"/>
      <c r="T138" s="157" t="n"/>
      <c r="U138" s="157" t="n"/>
      <c r="V138" s="157" t="n"/>
      <c r="W138" s="157" t="n"/>
      <c r="X138" s="157" t="n"/>
      <c r="Y138" s="157" t="n"/>
      <c r="Z138" s="157" t="n"/>
      <c r="AA138" s="157" t="n"/>
      <c r="AB138" s="157" t="n"/>
      <c r="AC138" s="157" t="n"/>
      <c r="AD138" s="157" t="n"/>
      <c r="AE138" s="158" t="n"/>
      <c r="AF138" s="158" t="n"/>
    </row>
    <row r="139" ht="15.75" customHeight="1" s="398">
      <c r="A139" s="275" t="n"/>
      <c r="B139" s="151" t="n"/>
      <c r="C139" s="152" t="n"/>
      <c r="D139" s="151" t="n"/>
      <c r="E139" s="152" t="n"/>
      <c r="F139" s="153" t="n"/>
      <c r="G139" s="154" t="n"/>
      <c r="H139" s="541" t="n"/>
      <c r="I139" s="542" t="n"/>
      <c r="J139" s="541" t="n"/>
      <c r="K139" s="157" t="n"/>
      <c r="L139" s="157" t="n"/>
      <c r="M139" s="157" t="n"/>
      <c r="N139" s="157" t="n"/>
      <c r="O139" s="157" t="n"/>
      <c r="P139" s="157" t="n"/>
      <c r="Q139" s="157" t="n"/>
      <c r="R139" s="157" t="n"/>
      <c r="S139" s="157" t="n"/>
      <c r="T139" s="157" t="n"/>
      <c r="U139" s="157" t="n"/>
      <c r="V139" s="157" t="n"/>
      <c r="W139" s="157" t="n"/>
      <c r="X139" s="157" t="n"/>
      <c r="Y139" s="157" t="n"/>
      <c r="Z139" s="157" t="n"/>
      <c r="AA139" s="157" t="n"/>
      <c r="AB139" s="157" t="n"/>
      <c r="AC139" s="157" t="n"/>
      <c r="AD139" s="157" t="n"/>
      <c r="AE139" s="158" t="n"/>
      <c r="AF139" s="158" t="n"/>
    </row>
    <row r="140" ht="15.75" customHeight="1" s="398">
      <c r="A140" s="275" t="n"/>
      <c r="B140" s="151" t="n"/>
      <c r="C140" s="152" t="n"/>
      <c r="D140" s="151" t="n"/>
      <c r="E140" s="152" t="n"/>
      <c r="F140" s="153" t="n"/>
      <c r="G140" s="154" t="n"/>
      <c r="H140" s="541" t="n"/>
      <c r="I140" s="542" t="n"/>
      <c r="J140" s="541" t="n"/>
      <c r="K140" s="157" t="n"/>
      <c r="L140" s="157" t="n"/>
      <c r="M140" s="157" t="n"/>
      <c r="N140" s="157" t="n"/>
      <c r="O140" s="157" t="n"/>
      <c r="P140" s="157" t="n"/>
      <c r="Q140" s="157" t="n"/>
      <c r="R140" s="157" t="n"/>
      <c r="S140" s="157" t="n"/>
      <c r="T140" s="157" t="n"/>
      <c r="U140" s="157" t="n"/>
      <c r="V140" s="157" t="n"/>
      <c r="W140" s="157" t="n"/>
      <c r="X140" s="157" t="n"/>
      <c r="Y140" s="157" t="n"/>
      <c r="Z140" s="157" t="n"/>
      <c r="AA140" s="157" t="n"/>
      <c r="AB140" s="157" t="n"/>
      <c r="AC140" s="157" t="n"/>
      <c r="AD140" s="157" t="n"/>
      <c r="AE140" s="158" t="n"/>
      <c r="AF140" s="158" t="n"/>
    </row>
    <row r="141" ht="15.75" customHeight="1" s="398">
      <c r="A141" s="275" t="n"/>
      <c r="B141" s="151" t="n"/>
      <c r="C141" s="152" t="n"/>
      <c r="D141" s="151" t="n"/>
      <c r="E141" s="152" t="n"/>
      <c r="F141" s="153" t="n"/>
      <c r="G141" s="154" t="n"/>
      <c r="H141" s="541" t="n"/>
      <c r="I141" s="542" t="n"/>
      <c r="J141" s="541" t="n"/>
      <c r="K141" s="157" t="n"/>
      <c r="L141" s="157" t="n"/>
      <c r="M141" s="157" t="n"/>
      <c r="N141" s="157" t="n"/>
      <c r="O141" s="157" t="n"/>
      <c r="P141" s="157" t="n"/>
      <c r="Q141" s="157" t="n"/>
      <c r="R141" s="157" t="n"/>
      <c r="S141" s="157" t="n"/>
      <c r="T141" s="157" t="n"/>
      <c r="U141" s="157" t="n"/>
      <c r="V141" s="157" t="n"/>
      <c r="W141" s="157" t="n"/>
      <c r="X141" s="157" t="n"/>
      <c r="Y141" s="157" t="n"/>
      <c r="Z141" s="157" t="n"/>
      <c r="AA141" s="157" t="n"/>
      <c r="AB141" s="157" t="n"/>
      <c r="AC141" s="157" t="n"/>
      <c r="AD141" s="157" t="n"/>
      <c r="AE141" s="158" t="n"/>
      <c r="AF141" s="158" t="n"/>
    </row>
    <row r="142" ht="15.75" customHeight="1" s="398">
      <c r="A142" s="275" t="n"/>
      <c r="B142" s="151" t="n"/>
      <c r="C142" s="152" t="n"/>
      <c r="D142" s="151" t="n"/>
      <c r="E142" s="152" t="n"/>
      <c r="F142" s="153" t="n"/>
      <c r="G142" s="154" t="n"/>
      <c r="H142" s="541" t="n"/>
      <c r="I142" s="542" t="n"/>
      <c r="J142" s="541" t="n"/>
      <c r="K142" s="157" t="n"/>
      <c r="L142" s="157" t="n"/>
      <c r="M142" s="157" t="n"/>
      <c r="N142" s="157" t="n"/>
      <c r="O142" s="157" t="n"/>
      <c r="P142" s="157" t="n"/>
      <c r="Q142" s="157" t="n"/>
      <c r="R142" s="157" t="n"/>
      <c r="S142" s="157" t="n"/>
      <c r="T142" s="157" t="n"/>
      <c r="U142" s="157" t="n"/>
      <c r="V142" s="157" t="n"/>
      <c r="W142" s="157" t="n"/>
      <c r="X142" s="157" t="n"/>
      <c r="Y142" s="157" t="n"/>
      <c r="Z142" s="157" t="n"/>
      <c r="AA142" s="157" t="n"/>
      <c r="AB142" s="157" t="n"/>
      <c r="AC142" s="157" t="n"/>
      <c r="AD142" s="157" t="n"/>
      <c r="AE142" s="158" t="n"/>
      <c r="AF142" s="158" t="n"/>
    </row>
    <row r="143" ht="15.75" customHeight="1" s="398">
      <c r="A143" s="275" t="n"/>
      <c r="B143" s="151" t="n"/>
      <c r="C143" s="152" t="n"/>
      <c r="D143" s="151" t="n"/>
      <c r="E143" s="152" t="n"/>
      <c r="F143" s="153" t="n"/>
      <c r="G143" s="154" t="n"/>
      <c r="H143" s="541" t="n"/>
      <c r="I143" s="542" t="n"/>
      <c r="J143" s="541" t="n"/>
      <c r="K143" s="157" t="n"/>
      <c r="L143" s="157" t="n"/>
      <c r="M143" s="157" t="n"/>
      <c r="N143" s="157" t="n"/>
      <c r="O143" s="157" t="n"/>
      <c r="P143" s="157" t="n"/>
      <c r="Q143" s="157" t="n"/>
      <c r="R143" s="157" t="n"/>
      <c r="S143" s="157" t="n"/>
      <c r="T143" s="157" t="n"/>
      <c r="U143" s="157" t="n"/>
      <c r="V143" s="157" t="n"/>
      <c r="W143" s="157" t="n"/>
      <c r="X143" s="157" t="n"/>
      <c r="Y143" s="157" t="n"/>
      <c r="Z143" s="157" t="n"/>
      <c r="AA143" s="157" t="n"/>
      <c r="AB143" s="157" t="n"/>
      <c r="AC143" s="157" t="n"/>
      <c r="AD143" s="157" t="n"/>
      <c r="AE143" s="158" t="n"/>
      <c r="AF143" s="158" t="n"/>
    </row>
    <row r="144" ht="15.75" customHeight="1" s="398">
      <c r="A144" s="275" t="n"/>
      <c r="B144" s="151" t="n"/>
      <c r="C144" s="152" t="n"/>
      <c r="D144" s="151" t="n"/>
      <c r="E144" s="152" t="n"/>
      <c r="F144" s="153" t="n"/>
      <c r="G144" s="154" t="n"/>
      <c r="H144" s="541" t="n"/>
      <c r="I144" s="542" t="n"/>
      <c r="J144" s="541" t="n"/>
      <c r="K144" s="157" t="n"/>
      <c r="L144" s="157" t="n"/>
      <c r="M144" s="157" t="n"/>
      <c r="N144" s="157" t="n"/>
      <c r="O144" s="157" t="n"/>
      <c r="P144" s="157" t="n"/>
      <c r="Q144" s="157" t="n"/>
      <c r="R144" s="157" t="n"/>
      <c r="S144" s="157" t="n"/>
      <c r="T144" s="157" t="n"/>
      <c r="U144" s="157" t="n"/>
      <c r="V144" s="157" t="n"/>
      <c r="W144" s="157" t="n"/>
      <c r="X144" s="157" t="n"/>
      <c r="Y144" s="157" t="n"/>
      <c r="Z144" s="157" t="n"/>
      <c r="AA144" s="157" t="n"/>
      <c r="AB144" s="157" t="n"/>
      <c r="AC144" s="157" t="n"/>
      <c r="AD144" s="157" t="n"/>
      <c r="AE144" s="158" t="n"/>
      <c r="AF144" s="158" t="n"/>
    </row>
    <row r="145" ht="15.75" customHeight="1" s="398">
      <c r="A145" s="275" t="n"/>
      <c r="B145" s="151" t="n"/>
      <c r="C145" s="152" t="n"/>
      <c r="D145" s="151" t="n"/>
      <c r="E145" s="152" t="n"/>
      <c r="F145" s="153" t="n"/>
      <c r="G145" s="154" t="n"/>
      <c r="H145" s="541" t="n"/>
      <c r="I145" s="542" t="n"/>
      <c r="J145" s="541" t="n"/>
      <c r="K145" s="157" t="n"/>
      <c r="L145" s="157" t="n"/>
      <c r="M145" s="157" t="n"/>
      <c r="N145" s="157" t="n"/>
      <c r="O145" s="157" t="n"/>
      <c r="P145" s="157" t="n"/>
      <c r="Q145" s="157" t="n"/>
      <c r="R145" s="157" t="n"/>
      <c r="S145" s="157" t="n"/>
      <c r="T145" s="157" t="n"/>
      <c r="U145" s="157" t="n"/>
      <c r="V145" s="157" t="n"/>
      <c r="W145" s="157" t="n"/>
      <c r="X145" s="157" t="n"/>
      <c r="Y145" s="157" t="n"/>
      <c r="Z145" s="157" t="n"/>
      <c r="AA145" s="157" t="n"/>
      <c r="AB145" s="157" t="n"/>
      <c r="AC145" s="157" t="n"/>
      <c r="AD145" s="157" t="n"/>
      <c r="AE145" s="158" t="n"/>
      <c r="AF145" s="158" t="n"/>
    </row>
    <row r="146" ht="15.75" customHeight="1" s="398">
      <c r="A146" s="275" t="n"/>
      <c r="B146" s="151" t="n"/>
      <c r="C146" s="152" t="n"/>
      <c r="D146" s="151" t="n"/>
      <c r="E146" s="152" t="n"/>
      <c r="F146" s="153" t="n"/>
      <c r="G146" s="154" t="n"/>
      <c r="H146" s="541" t="n"/>
      <c r="I146" s="542" t="n"/>
      <c r="J146" s="541" t="n"/>
      <c r="K146" s="157" t="n"/>
      <c r="L146" s="157" t="n"/>
      <c r="M146" s="157" t="n"/>
      <c r="N146" s="157" t="n"/>
      <c r="O146" s="157" t="n"/>
      <c r="P146" s="157" t="n"/>
      <c r="Q146" s="157" t="n"/>
      <c r="R146" s="157" t="n"/>
      <c r="S146" s="157" t="n"/>
      <c r="T146" s="157" t="n"/>
      <c r="U146" s="157" t="n"/>
      <c r="V146" s="157" t="n"/>
      <c r="W146" s="157" t="n"/>
      <c r="X146" s="157" t="n"/>
      <c r="Y146" s="157" t="n"/>
      <c r="Z146" s="157" t="n"/>
      <c r="AA146" s="157" t="n"/>
      <c r="AB146" s="157" t="n"/>
      <c r="AC146" s="157" t="n"/>
      <c r="AD146" s="157" t="n"/>
      <c r="AE146" s="158" t="n"/>
      <c r="AF146" s="158" t="n"/>
    </row>
    <row r="147" ht="15.75" customHeight="1" s="398">
      <c r="A147" s="275" t="n"/>
      <c r="B147" s="151" t="n"/>
      <c r="C147" s="152" t="n"/>
      <c r="D147" s="151" t="n"/>
      <c r="E147" s="152" t="n"/>
      <c r="F147" s="153" t="n"/>
      <c r="G147" s="154" t="n"/>
      <c r="H147" s="541" t="n"/>
      <c r="I147" s="542" t="n"/>
      <c r="J147" s="541" t="n"/>
      <c r="K147" s="157" t="n"/>
      <c r="L147" s="157" t="n"/>
      <c r="M147" s="157" t="n"/>
      <c r="N147" s="157" t="n"/>
      <c r="O147" s="157" t="n"/>
      <c r="P147" s="157" t="n"/>
      <c r="Q147" s="157" t="n"/>
      <c r="R147" s="157" t="n"/>
      <c r="S147" s="157" t="n"/>
      <c r="T147" s="157" t="n"/>
      <c r="U147" s="157" t="n"/>
      <c r="V147" s="157" t="n"/>
      <c r="W147" s="157" t="n"/>
      <c r="X147" s="157" t="n"/>
      <c r="Y147" s="157" t="n"/>
      <c r="Z147" s="157" t="n"/>
      <c r="AA147" s="157" t="n"/>
      <c r="AB147" s="157" t="n"/>
      <c r="AC147" s="157" t="n"/>
      <c r="AD147" s="157" t="n"/>
      <c r="AE147" s="158" t="n"/>
      <c r="AF147" s="158" t="n"/>
    </row>
    <row r="148" ht="15.75" customHeight="1" s="398">
      <c r="A148" s="275" t="n"/>
      <c r="B148" s="151" t="n"/>
      <c r="C148" s="152" t="n"/>
      <c r="D148" s="151" t="n"/>
      <c r="E148" s="152" t="n"/>
      <c r="F148" s="153" t="n"/>
      <c r="G148" s="154" t="n"/>
      <c r="H148" s="541" t="n"/>
      <c r="I148" s="542" t="n"/>
      <c r="J148" s="541" t="n"/>
      <c r="K148" s="157" t="n"/>
      <c r="L148" s="157" t="n"/>
      <c r="M148" s="157" t="n"/>
      <c r="N148" s="157" t="n"/>
      <c r="O148" s="157" t="n"/>
      <c r="P148" s="157" t="n"/>
      <c r="Q148" s="157" t="n"/>
      <c r="R148" s="157" t="n"/>
      <c r="S148" s="157" t="n"/>
      <c r="T148" s="157" t="n"/>
      <c r="U148" s="157" t="n"/>
      <c r="V148" s="157" t="n"/>
      <c r="W148" s="157" t="n"/>
      <c r="X148" s="157" t="n"/>
      <c r="Y148" s="157" t="n"/>
      <c r="Z148" s="157" t="n"/>
      <c r="AA148" s="157" t="n"/>
      <c r="AB148" s="157" t="n"/>
      <c r="AC148" s="157" t="n"/>
      <c r="AD148" s="157" t="n"/>
      <c r="AE148" s="158" t="n"/>
      <c r="AF148" s="158" t="n"/>
    </row>
    <row r="149" ht="15.75" customHeight="1" s="398">
      <c r="A149" s="275" t="n"/>
      <c r="B149" s="151" t="n"/>
      <c r="C149" s="152" t="n"/>
      <c r="D149" s="151" t="n"/>
      <c r="E149" s="152" t="n"/>
      <c r="F149" s="153" t="n"/>
      <c r="G149" s="154" t="n"/>
      <c r="H149" s="541" t="n"/>
      <c r="I149" s="542" t="n"/>
      <c r="J149" s="541" t="n"/>
      <c r="K149" s="157" t="n"/>
      <c r="L149" s="157" t="n"/>
      <c r="M149" s="157" t="n"/>
      <c r="N149" s="157" t="n"/>
      <c r="O149" s="157" t="n"/>
      <c r="P149" s="157" t="n"/>
      <c r="Q149" s="157" t="n"/>
      <c r="R149" s="157" t="n"/>
      <c r="S149" s="157" t="n"/>
      <c r="T149" s="157" t="n"/>
      <c r="U149" s="157" t="n"/>
      <c r="V149" s="157" t="n"/>
      <c r="W149" s="157" t="n"/>
      <c r="X149" s="157" t="n"/>
      <c r="Y149" s="157" t="n"/>
      <c r="Z149" s="157" t="n"/>
      <c r="AA149" s="157" t="n"/>
      <c r="AB149" s="157" t="n"/>
      <c r="AC149" s="157" t="n"/>
      <c r="AD149" s="157" t="n"/>
      <c r="AE149" s="158" t="n"/>
      <c r="AF149" s="158" t="n"/>
    </row>
    <row r="150" ht="15.75" customHeight="1" s="398">
      <c r="A150" s="275" t="n"/>
      <c r="B150" s="151" t="n"/>
      <c r="C150" s="152" t="n"/>
      <c r="D150" s="151" t="n"/>
      <c r="E150" s="152" t="n"/>
      <c r="F150" s="153" t="n"/>
      <c r="G150" s="154" t="n"/>
      <c r="H150" s="541" t="n"/>
      <c r="I150" s="542" t="n"/>
      <c r="J150" s="541" t="n"/>
      <c r="K150" s="157" t="n"/>
      <c r="L150" s="157" t="n"/>
      <c r="M150" s="157" t="n"/>
      <c r="N150" s="157" t="n"/>
      <c r="O150" s="157" t="n"/>
      <c r="P150" s="157" t="n"/>
      <c r="Q150" s="157" t="n"/>
      <c r="R150" s="157" t="n"/>
      <c r="S150" s="157" t="n"/>
      <c r="T150" s="157" t="n"/>
      <c r="U150" s="157" t="n"/>
      <c r="V150" s="157" t="n"/>
      <c r="W150" s="157" t="n"/>
      <c r="X150" s="157" t="n"/>
      <c r="Y150" s="157" t="n"/>
      <c r="Z150" s="157" t="n"/>
      <c r="AA150" s="157" t="n"/>
      <c r="AB150" s="157" t="n"/>
      <c r="AC150" s="157" t="n"/>
      <c r="AD150" s="157" t="n"/>
      <c r="AE150" s="158" t="n"/>
      <c r="AF150" s="158" t="n"/>
    </row>
    <row r="151" ht="15.75" customHeight="1" s="398">
      <c r="A151" s="275" t="n"/>
      <c r="B151" s="151" t="n"/>
      <c r="C151" s="152" t="n"/>
      <c r="D151" s="151" t="n"/>
      <c r="E151" s="152" t="n"/>
      <c r="F151" s="153" t="n"/>
      <c r="G151" s="154" t="n"/>
      <c r="H151" s="541" t="n"/>
      <c r="I151" s="542" t="n"/>
      <c r="J151" s="541" t="n"/>
      <c r="K151" s="157" t="n"/>
      <c r="L151" s="157" t="n"/>
      <c r="M151" s="157" t="n"/>
      <c r="N151" s="157" t="n"/>
      <c r="O151" s="157" t="n"/>
      <c r="P151" s="157" t="n"/>
      <c r="Q151" s="157" t="n"/>
      <c r="R151" s="157" t="n"/>
      <c r="S151" s="157" t="n"/>
      <c r="T151" s="157" t="n"/>
      <c r="U151" s="157" t="n"/>
      <c r="V151" s="157" t="n"/>
      <c r="W151" s="157" t="n"/>
      <c r="X151" s="157" t="n"/>
      <c r="Y151" s="157" t="n"/>
      <c r="Z151" s="157" t="n"/>
      <c r="AA151" s="157" t="n"/>
      <c r="AB151" s="157" t="n"/>
      <c r="AC151" s="157" t="n"/>
      <c r="AD151" s="157" t="n"/>
      <c r="AE151" s="158" t="n"/>
      <c r="AF151" s="158" t="n"/>
    </row>
    <row r="152" ht="15.75" customHeight="1" s="398">
      <c r="A152" s="275" t="n"/>
      <c r="B152" s="151" t="n"/>
      <c r="C152" s="152" t="n"/>
      <c r="D152" s="151" t="n"/>
      <c r="E152" s="152" t="n"/>
      <c r="F152" s="153" t="n"/>
      <c r="G152" s="154" t="n"/>
      <c r="H152" s="541" t="n"/>
      <c r="I152" s="542" t="n"/>
      <c r="J152" s="541" t="n"/>
      <c r="K152" s="157" t="n"/>
      <c r="L152" s="157" t="n"/>
      <c r="M152" s="157" t="n"/>
      <c r="N152" s="157" t="n"/>
      <c r="O152" s="157" t="n"/>
      <c r="P152" s="157" t="n"/>
      <c r="Q152" s="157" t="n"/>
      <c r="R152" s="157" t="n"/>
      <c r="S152" s="157" t="n"/>
      <c r="T152" s="157" t="n"/>
      <c r="U152" s="157" t="n"/>
      <c r="V152" s="157" t="n"/>
      <c r="W152" s="157" t="n"/>
      <c r="X152" s="157" t="n"/>
      <c r="Y152" s="157" t="n"/>
      <c r="Z152" s="157" t="n"/>
      <c r="AA152" s="157" t="n"/>
      <c r="AB152" s="157" t="n"/>
      <c r="AC152" s="157" t="n"/>
      <c r="AD152" s="157" t="n"/>
      <c r="AE152" s="158" t="n"/>
      <c r="AF152" s="158" t="n"/>
    </row>
    <row r="153" ht="15.75" customHeight="1" s="398">
      <c r="A153" s="275" t="n"/>
      <c r="B153" s="151" t="n"/>
      <c r="C153" s="152" t="n"/>
      <c r="D153" s="151" t="n"/>
      <c r="E153" s="152" t="n"/>
      <c r="F153" s="153" t="n"/>
      <c r="G153" s="154" t="n"/>
      <c r="H153" s="541" t="n"/>
      <c r="I153" s="542" t="n"/>
      <c r="J153" s="541" t="n"/>
      <c r="K153" s="157" t="n"/>
      <c r="L153" s="157" t="n"/>
      <c r="M153" s="157" t="n"/>
      <c r="N153" s="157" t="n"/>
      <c r="O153" s="157" t="n"/>
      <c r="P153" s="157" t="n"/>
      <c r="Q153" s="157" t="n"/>
      <c r="R153" s="157" t="n"/>
      <c r="S153" s="157" t="n"/>
      <c r="T153" s="157" t="n"/>
      <c r="U153" s="157" t="n"/>
      <c r="V153" s="157" t="n"/>
      <c r="W153" s="157" t="n"/>
      <c r="X153" s="157" t="n"/>
      <c r="Y153" s="157" t="n"/>
      <c r="Z153" s="157" t="n"/>
      <c r="AA153" s="157" t="n"/>
      <c r="AB153" s="157" t="n"/>
      <c r="AC153" s="157" t="n"/>
      <c r="AD153" s="157" t="n"/>
      <c r="AE153" s="158" t="n"/>
      <c r="AF153" s="158" t="n"/>
    </row>
    <row r="154" ht="15.75" customHeight="1" s="398">
      <c r="A154" s="275" t="n"/>
      <c r="B154" s="151" t="n"/>
      <c r="C154" s="152" t="n"/>
      <c r="D154" s="151" t="n"/>
      <c r="E154" s="152" t="n"/>
      <c r="F154" s="153" t="n"/>
      <c r="G154" s="154" t="n"/>
      <c r="H154" s="541" t="n"/>
      <c r="I154" s="542" t="n"/>
      <c r="J154" s="541" t="n"/>
      <c r="K154" s="157" t="n"/>
      <c r="L154" s="157" t="n"/>
      <c r="M154" s="157" t="n"/>
      <c r="N154" s="157" t="n"/>
      <c r="O154" s="157" t="n"/>
      <c r="P154" s="157" t="n"/>
      <c r="Q154" s="157" t="n"/>
      <c r="R154" s="157" t="n"/>
      <c r="S154" s="157" t="n"/>
      <c r="T154" s="157" t="n"/>
      <c r="U154" s="157" t="n"/>
      <c r="V154" s="157" t="n"/>
      <c r="W154" s="157" t="n"/>
      <c r="X154" s="157" t="n"/>
      <c r="Y154" s="157" t="n"/>
      <c r="Z154" s="157" t="n"/>
      <c r="AA154" s="157" t="n"/>
      <c r="AB154" s="157" t="n"/>
      <c r="AC154" s="157" t="n"/>
      <c r="AD154" s="157" t="n"/>
      <c r="AE154" s="158" t="n"/>
      <c r="AF154" s="158" t="n"/>
    </row>
    <row r="155" ht="15.75" customHeight="1" s="398">
      <c r="A155" s="275" t="n"/>
      <c r="B155" s="151" t="n"/>
      <c r="C155" s="152" t="n"/>
      <c r="D155" s="151" t="n"/>
      <c r="E155" s="152" t="n"/>
      <c r="F155" s="153" t="n"/>
      <c r="G155" s="154" t="n"/>
      <c r="H155" s="541" t="n"/>
      <c r="I155" s="542" t="n"/>
      <c r="J155" s="541" t="n"/>
      <c r="K155" s="157" t="n"/>
      <c r="L155" s="157" t="n"/>
      <c r="M155" s="157" t="n"/>
      <c r="N155" s="157" t="n"/>
      <c r="O155" s="157" t="n"/>
      <c r="P155" s="157" t="n"/>
      <c r="Q155" s="157" t="n"/>
      <c r="R155" s="157" t="n"/>
      <c r="S155" s="157" t="n"/>
      <c r="T155" s="157" t="n"/>
      <c r="U155" s="157" t="n"/>
      <c r="V155" s="157" t="n"/>
      <c r="W155" s="157" t="n"/>
      <c r="X155" s="157" t="n"/>
      <c r="Y155" s="157" t="n"/>
      <c r="Z155" s="157" t="n"/>
      <c r="AA155" s="157" t="n"/>
      <c r="AB155" s="157" t="n"/>
      <c r="AC155" s="157" t="n"/>
      <c r="AD155" s="157" t="n"/>
      <c r="AE155" s="158" t="n"/>
      <c r="AF155" s="158" t="n"/>
    </row>
    <row r="156" ht="15.75" customHeight="1" s="398">
      <c r="A156" s="275" t="n"/>
      <c r="B156" s="151" t="n"/>
      <c r="C156" s="152" t="n"/>
      <c r="D156" s="151" t="n"/>
      <c r="E156" s="152" t="n"/>
      <c r="F156" s="153" t="n"/>
      <c r="G156" s="154" t="n"/>
      <c r="H156" s="541" t="n"/>
      <c r="I156" s="542" t="n"/>
      <c r="J156" s="541" t="n"/>
      <c r="K156" s="157" t="n"/>
      <c r="L156" s="157" t="n"/>
      <c r="M156" s="157" t="n"/>
      <c r="N156" s="157" t="n"/>
      <c r="O156" s="157" t="n"/>
      <c r="P156" s="157" t="n"/>
      <c r="Q156" s="157" t="n"/>
      <c r="R156" s="157" t="n"/>
      <c r="S156" s="157" t="n"/>
      <c r="T156" s="157" t="n"/>
      <c r="U156" s="157" t="n"/>
      <c r="V156" s="157" t="n"/>
      <c r="W156" s="157" t="n"/>
      <c r="X156" s="157" t="n"/>
      <c r="Y156" s="157" t="n"/>
      <c r="Z156" s="157" t="n"/>
      <c r="AA156" s="157" t="n"/>
      <c r="AB156" s="157" t="n"/>
      <c r="AC156" s="157" t="n"/>
      <c r="AD156" s="157" t="n"/>
      <c r="AE156" s="158" t="n"/>
      <c r="AF156" s="158" t="n"/>
    </row>
    <row r="157" ht="15.75" customHeight="1" s="398">
      <c r="A157" s="275" t="n"/>
      <c r="B157" s="151" t="n"/>
      <c r="C157" s="152" t="n"/>
      <c r="D157" s="151" t="n"/>
      <c r="E157" s="152" t="n"/>
      <c r="F157" s="153" t="n"/>
      <c r="G157" s="154" t="n"/>
      <c r="H157" s="541" t="n"/>
      <c r="I157" s="542" t="n"/>
      <c r="J157" s="541" t="n"/>
      <c r="K157" s="157" t="n"/>
      <c r="L157" s="157" t="n"/>
      <c r="M157" s="157" t="n"/>
      <c r="N157" s="157" t="n"/>
      <c r="O157" s="157" t="n"/>
      <c r="P157" s="157" t="n"/>
      <c r="Q157" s="157" t="n"/>
      <c r="R157" s="157" t="n"/>
      <c r="S157" s="157" t="n"/>
      <c r="T157" s="157" t="n"/>
      <c r="U157" s="157" t="n"/>
      <c r="V157" s="157" t="n"/>
      <c r="W157" s="157" t="n"/>
      <c r="X157" s="157" t="n"/>
      <c r="Y157" s="157" t="n"/>
      <c r="Z157" s="157" t="n"/>
      <c r="AA157" s="157" t="n"/>
      <c r="AB157" s="157" t="n"/>
      <c r="AC157" s="157" t="n"/>
      <c r="AD157" s="157" t="n"/>
      <c r="AE157" s="158" t="n"/>
      <c r="AF157" s="158" t="n"/>
    </row>
    <row r="158" ht="15.75" customHeight="1" s="398">
      <c r="A158" s="275" t="n"/>
      <c r="B158" s="151" t="n"/>
      <c r="C158" s="152" t="n"/>
      <c r="D158" s="151" t="n"/>
      <c r="E158" s="152" t="n"/>
      <c r="F158" s="153" t="n"/>
      <c r="G158" s="154" t="n"/>
      <c r="H158" s="541" t="n"/>
      <c r="I158" s="542" t="n"/>
      <c r="J158" s="541" t="n"/>
      <c r="K158" s="157" t="n"/>
      <c r="L158" s="157" t="n"/>
      <c r="M158" s="157" t="n"/>
      <c r="N158" s="157" t="n"/>
      <c r="O158" s="157" t="n"/>
      <c r="P158" s="157" t="n"/>
      <c r="Q158" s="157" t="n"/>
      <c r="R158" s="157" t="n"/>
      <c r="S158" s="157" t="n"/>
      <c r="T158" s="157" t="n"/>
      <c r="U158" s="157" t="n"/>
      <c r="V158" s="157" t="n"/>
      <c r="W158" s="157" t="n"/>
      <c r="X158" s="157" t="n"/>
      <c r="Y158" s="157" t="n"/>
      <c r="Z158" s="157" t="n"/>
      <c r="AA158" s="157" t="n"/>
      <c r="AB158" s="157" t="n"/>
      <c r="AC158" s="157" t="n"/>
      <c r="AD158" s="157" t="n"/>
      <c r="AE158" s="158" t="n"/>
      <c r="AF158" s="158" t="n"/>
    </row>
    <row r="159" ht="15.75" customHeight="1" s="398">
      <c r="A159" s="275" t="n"/>
      <c r="B159" s="151" t="n"/>
      <c r="C159" s="152" t="n"/>
      <c r="D159" s="151" t="n"/>
      <c r="E159" s="152" t="n"/>
      <c r="F159" s="153" t="n"/>
      <c r="G159" s="154" t="n"/>
      <c r="H159" s="541" t="n"/>
      <c r="I159" s="542" t="n"/>
      <c r="J159" s="541" t="n"/>
      <c r="K159" s="157" t="n"/>
      <c r="L159" s="157" t="n"/>
      <c r="M159" s="157" t="n"/>
      <c r="N159" s="157" t="n"/>
      <c r="O159" s="157" t="n"/>
      <c r="P159" s="157" t="n"/>
      <c r="Q159" s="157" t="n"/>
      <c r="R159" s="157" t="n"/>
      <c r="S159" s="157" t="n"/>
      <c r="T159" s="157" t="n"/>
      <c r="U159" s="157" t="n"/>
      <c r="V159" s="157" t="n"/>
      <c r="W159" s="157" t="n"/>
      <c r="X159" s="157" t="n"/>
      <c r="Y159" s="157" t="n"/>
      <c r="Z159" s="157" t="n"/>
      <c r="AA159" s="157" t="n"/>
      <c r="AB159" s="157" t="n"/>
      <c r="AC159" s="157" t="n"/>
      <c r="AD159" s="157" t="n"/>
      <c r="AE159" s="158" t="n"/>
      <c r="AF159" s="158" t="n"/>
    </row>
    <row r="160" ht="15.75" customHeight="1" s="398">
      <c r="A160" s="275" t="n"/>
      <c r="B160" s="151" t="n"/>
      <c r="C160" s="152" t="n"/>
      <c r="D160" s="151" t="n"/>
      <c r="E160" s="152" t="n"/>
      <c r="F160" s="153" t="n"/>
      <c r="G160" s="154" t="n"/>
      <c r="H160" s="541" t="n"/>
      <c r="I160" s="542" t="n"/>
      <c r="J160" s="541" t="n"/>
      <c r="K160" s="157" t="n"/>
      <c r="L160" s="157" t="n"/>
      <c r="M160" s="157" t="n"/>
      <c r="N160" s="157" t="n"/>
      <c r="O160" s="157" t="n"/>
      <c r="P160" s="157" t="n"/>
      <c r="Q160" s="157" t="n"/>
      <c r="R160" s="157" t="n"/>
      <c r="S160" s="157" t="n"/>
      <c r="T160" s="157" t="n"/>
      <c r="U160" s="157" t="n"/>
      <c r="V160" s="157" t="n"/>
      <c r="W160" s="157" t="n"/>
      <c r="X160" s="157" t="n"/>
      <c r="Y160" s="157" t="n"/>
      <c r="Z160" s="157" t="n"/>
      <c r="AA160" s="157" t="n"/>
      <c r="AB160" s="157" t="n"/>
      <c r="AC160" s="157" t="n"/>
      <c r="AD160" s="157" t="n"/>
      <c r="AE160" s="158" t="n"/>
      <c r="AF160" s="158" t="n"/>
    </row>
    <row r="161" ht="15.75" customHeight="1" s="398">
      <c r="A161" s="275" t="n"/>
      <c r="B161" s="151" t="n"/>
      <c r="C161" s="152" t="n"/>
      <c r="D161" s="151" t="n"/>
      <c r="E161" s="152" t="n"/>
      <c r="F161" s="153" t="n"/>
      <c r="G161" s="154" t="n"/>
      <c r="H161" s="541" t="n"/>
      <c r="I161" s="542" t="n"/>
      <c r="J161" s="541" t="n"/>
      <c r="K161" s="157" t="n"/>
      <c r="L161" s="157" t="n"/>
      <c r="M161" s="157" t="n"/>
      <c r="N161" s="157" t="n"/>
      <c r="O161" s="157" t="n"/>
      <c r="P161" s="157" t="n"/>
      <c r="Q161" s="157" t="n"/>
      <c r="R161" s="157" t="n"/>
      <c r="S161" s="157" t="n"/>
      <c r="T161" s="157" t="n"/>
      <c r="U161" s="157" t="n"/>
      <c r="V161" s="157" t="n"/>
      <c r="W161" s="157" t="n"/>
      <c r="X161" s="157" t="n"/>
      <c r="Y161" s="157" t="n"/>
      <c r="Z161" s="157" t="n"/>
      <c r="AA161" s="157" t="n"/>
      <c r="AB161" s="157" t="n"/>
      <c r="AC161" s="157" t="n"/>
      <c r="AD161" s="157" t="n"/>
      <c r="AE161" s="158" t="n"/>
      <c r="AF161" s="158" t="n"/>
    </row>
    <row r="162" ht="15.75" customHeight="1" s="398">
      <c r="A162" s="275" t="n"/>
      <c r="B162" s="151" t="n"/>
      <c r="C162" s="152" t="n"/>
      <c r="D162" s="151" t="n"/>
      <c r="E162" s="152" t="n"/>
      <c r="F162" s="153" t="n"/>
      <c r="G162" s="154" t="n"/>
      <c r="H162" s="541" t="n"/>
      <c r="I162" s="542" t="n"/>
      <c r="J162" s="541" t="n"/>
      <c r="K162" s="157" t="n"/>
      <c r="L162" s="157" t="n"/>
      <c r="M162" s="157" t="n"/>
      <c r="N162" s="157" t="n"/>
      <c r="O162" s="157" t="n"/>
      <c r="P162" s="157" t="n"/>
      <c r="Q162" s="157" t="n"/>
      <c r="R162" s="157" t="n"/>
      <c r="S162" s="157" t="n"/>
      <c r="T162" s="157" t="n"/>
      <c r="U162" s="157" t="n"/>
      <c r="V162" s="157" t="n"/>
      <c r="W162" s="157" t="n"/>
      <c r="X162" s="157" t="n"/>
      <c r="Y162" s="157" t="n"/>
      <c r="Z162" s="157" t="n"/>
      <c r="AA162" s="157" t="n"/>
      <c r="AB162" s="157" t="n"/>
      <c r="AC162" s="157" t="n"/>
      <c r="AD162" s="157" t="n"/>
      <c r="AE162" s="158" t="n"/>
      <c r="AF162" s="158" t="n"/>
    </row>
    <row r="163" ht="15.75" customHeight="1" s="398">
      <c r="A163" s="275" t="n"/>
      <c r="B163" s="151" t="n"/>
      <c r="C163" s="152" t="n"/>
      <c r="D163" s="151" t="n"/>
      <c r="E163" s="152" t="n"/>
      <c r="F163" s="153" t="n"/>
      <c r="G163" s="154" t="n"/>
      <c r="H163" s="541" t="n"/>
      <c r="I163" s="542" t="n"/>
      <c r="J163" s="541" t="n"/>
      <c r="K163" s="157" t="n"/>
      <c r="L163" s="157" t="n"/>
      <c r="M163" s="157" t="n"/>
      <c r="N163" s="157" t="n"/>
      <c r="O163" s="157" t="n"/>
      <c r="P163" s="157" t="n"/>
      <c r="Q163" s="157" t="n"/>
      <c r="R163" s="157" t="n"/>
      <c r="S163" s="157" t="n"/>
      <c r="T163" s="157" t="n"/>
      <c r="U163" s="157" t="n"/>
      <c r="V163" s="157" t="n"/>
      <c r="W163" s="157" t="n"/>
      <c r="X163" s="157" t="n"/>
      <c r="Y163" s="157" t="n"/>
      <c r="Z163" s="157" t="n"/>
      <c r="AA163" s="157" t="n"/>
      <c r="AB163" s="157" t="n"/>
      <c r="AC163" s="157" t="n"/>
      <c r="AD163" s="157" t="n"/>
      <c r="AE163" s="158" t="n"/>
      <c r="AF163" s="158" t="n"/>
    </row>
    <row r="164" ht="15.75" customHeight="1" s="398">
      <c r="A164" s="275" t="n"/>
      <c r="B164" s="151" t="n"/>
      <c r="C164" s="152" t="n"/>
      <c r="D164" s="151" t="n"/>
      <c r="E164" s="152" t="n"/>
      <c r="F164" s="153" t="n"/>
      <c r="G164" s="154" t="n"/>
      <c r="H164" s="541" t="n"/>
      <c r="I164" s="542" t="n"/>
      <c r="J164" s="541" t="n"/>
      <c r="K164" s="157" t="n"/>
      <c r="L164" s="157" t="n"/>
      <c r="M164" s="157" t="n"/>
      <c r="N164" s="157" t="n"/>
      <c r="O164" s="157" t="n"/>
      <c r="P164" s="157" t="n"/>
      <c r="Q164" s="157" t="n"/>
      <c r="R164" s="157" t="n"/>
      <c r="S164" s="157" t="n"/>
      <c r="T164" s="157" t="n"/>
      <c r="U164" s="157" t="n"/>
      <c r="V164" s="157" t="n"/>
      <c r="W164" s="157" t="n"/>
      <c r="X164" s="157" t="n"/>
      <c r="Y164" s="157" t="n"/>
      <c r="Z164" s="157" t="n"/>
      <c r="AA164" s="157" t="n"/>
      <c r="AB164" s="157" t="n"/>
      <c r="AC164" s="157" t="n"/>
      <c r="AD164" s="157" t="n"/>
      <c r="AE164" s="158" t="n"/>
      <c r="AF164" s="158" t="n"/>
    </row>
    <row r="165" ht="15.75" customHeight="1" s="398">
      <c r="A165" s="275" t="n"/>
      <c r="B165" s="151" t="n"/>
      <c r="C165" s="152" t="n"/>
      <c r="D165" s="151" t="n"/>
      <c r="E165" s="152" t="n"/>
      <c r="F165" s="153" t="n"/>
      <c r="G165" s="154" t="n"/>
      <c r="H165" s="541" t="n"/>
      <c r="I165" s="542" t="n"/>
      <c r="J165" s="541" t="n"/>
      <c r="K165" s="157" t="n"/>
      <c r="L165" s="157" t="n"/>
      <c r="M165" s="157" t="n"/>
      <c r="N165" s="157" t="n"/>
      <c r="O165" s="157" t="n"/>
      <c r="P165" s="157" t="n"/>
      <c r="Q165" s="157" t="n"/>
      <c r="R165" s="157" t="n"/>
      <c r="S165" s="157" t="n"/>
      <c r="T165" s="157" t="n"/>
      <c r="U165" s="157" t="n"/>
      <c r="V165" s="157" t="n"/>
      <c r="W165" s="157" t="n"/>
      <c r="X165" s="157" t="n"/>
      <c r="Y165" s="157" t="n"/>
      <c r="Z165" s="157" t="n"/>
      <c r="AA165" s="157" t="n"/>
      <c r="AB165" s="157" t="n"/>
      <c r="AC165" s="157" t="n"/>
      <c r="AD165" s="157" t="n"/>
      <c r="AE165" s="158" t="n"/>
      <c r="AF165" s="158" t="n"/>
    </row>
    <row r="166" ht="15.75" customHeight="1" s="398">
      <c r="A166" s="275" t="n"/>
      <c r="B166" s="151" t="n"/>
      <c r="C166" s="152" t="n"/>
      <c r="D166" s="151" t="n"/>
      <c r="E166" s="152" t="n"/>
      <c r="F166" s="153" t="n"/>
      <c r="G166" s="154" t="n"/>
      <c r="H166" s="541" t="n"/>
      <c r="I166" s="542" t="n"/>
      <c r="J166" s="541" t="n"/>
      <c r="K166" s="157" t="n"/>
      <c r="L166" s="157" t="n"/>
      <c r="M166" s="157" t="n"/>
      <c r="N166" s="157" t="n"/>
      <c r="O166" s="157" t="n"/>
      <c r="P166" s="157" t="n"/>
      <c r="Q166" s="157" t="n"/>
      <c r="R166" s="157" t="n"/>
      <c r="S166" s="157" t="n"/>
      <c r="T166" s="157" t="n"/>
      <c r="U166" s="157" t="n"/>
      <c r="V166" s="157" t="n"/>
      <c r="W166" s="157" t="n"/>
      <c r="X166" s="157" t="n"/>
      <c r="Y166" s="157" t="n"/>
      <c r="Z166" s="157" t="n"/>
      <c r="AA166" s="157" t="n"/>
      <c r="AB166" s="157" t="n"/>
      <c r="AC166" s="157" t="n"/>
      <c r="AD166" s="157" t="n"/>
      <c r="AE166" s="158" t="n"/>
      <c r="AF166" s="158" t="n"/>
    </row>
    <row r="167" ht="15.75" customHeight="1" s="398">
      <c r="A167" s="275" t="n"/>
      <c r="B167" s="151" t="n"/>
      <c r="C167" s="152" t="n"/>
      <c r="D167" s="151" t="n"/>
      <c r="E167" s="152" t="n"/>
      <c r="F167" s="153" t="n"/>
      <c r="G167" s="154" t="n"/>
      <c r="H167" s="541" t="n"/>
      <c r="I167" s="542" t="n"/>
      <c r="J167" s="541" t="n"/>
      <c r="K167" s="157" t="n"/>
      <c r="L167" s="157" t="n"/>
      <c r="M167" s="157" t="n"/>
      <c r="N167" s="157" t="n"/>
      <c r="O167" s="157" t="n"/>
      <c r="P167" s="157" t="n"/>
      <c r="Q167" s="157" t="n"/>
      <c r="R167" s="157" t="n"/>
      <c r="S167" s="157" t="n"/>
      <c r="T167" s="157" t="n"/>
      <c r="U167" s="157" t="n"/>
      <c r="V167" s="157" t="n"/>
      <c r="W167" s="157" t="n"/>
      <c r="X167" s="157" t="n"/>
      <c r="Y167" s="157" t="n"/>
      <c r="Z167" s="157" t="n"/>
      <c r="AA167" s="157" t="n"/>
      <c r="AB167" s="157" t="n"/>
      <c r="AC167" s="157" t="n"/>
      <c r="AD167" s="157" t="n"/>
      <c r="AE167" s="158" t="n"/>
      <c r="AF167" s="158" t="n"/>
    </row>
    <row r="168" ht="15.75" customHeight="1" s="398">
      <c r="A168" s="275" t="n"/>
      <c r="B168" s="151" t="n"/>
      <c r="C168" s="152" t="n"/>
      <c r="D168" s="151" t="n"/>
      <c r="E168" s="152" t="n"/>
      <c r="F168" s="153" t="n"/>
      <c r="G168" s="154" t="n"/>
      <c r="H168" s="541" t="n"/>
      <c r="I168" s="542" t="n"/>
      <c r="J168" s="541" t="n"/>
      <c r="K168" s="157" t="n"/>
      <c r="L168" s="157" t="n"/>
      <c r="M168" s="157" t="n"/>
      <c r="N168" s="157" t="n"/>
      <c r="O168" s="157" t="n"/>
      <c r="P168" s="157" t="n"/>
      <c r="Q168" s="157" t="n"/>
      <c r="R168" s="157" t="n"/>
      <c r="S168" s="157" t="n"/>
      <c r="T168" s="157" t="n"/>
      <c r="U168" s="157" t="n"/>
      <c r="V168" s="157" t="n"/>
      <c r="W168" s="157" t="n"/>
      <c r="X168" s="157" t="n"/>
      <c r="Y168" s="157" t="n"/>
      <c r="Z168" s="157" t="n"/>
      <c r="AA168" s="157" t="n"/>
      <c r="AB168" s="157" t="n"/>
      <c r="AC168" s="157" t="n"/>
      <c r="AD168" s="157" t="n"/>
      <c r="AE168" s="158" t="n"/>
      <c r="AF168" s="158" t="n"/>
    </row>
    <row r="169" ht="15.75" customHeight="1" s="398">
      <c r="A169" s="275" t="n"/>
      <c r="B169" s="151" t="n"/>
      <c r="C169" s="152" t="n"/>
      <c r="D169" s="151" t="n"/>
      <c r="E169" s="152" t="n"/>
      <c r="F169" s="153" t="n"/>
      <c r="G169" s="154" t="n"/>
      <c r="H169" s="541" t="n"/>
      <c r="I169" s="542" t="n"/>
      <c r="J169" s="541" t="n"/>
      <c r="K169" s="157" t="n"/>
      <c r="L169" s="157" t="n"/>
      <c r="M169" s="157" t="n"/>
      <c r="N169" s="157" t="n"/>
      <c r="O169" s="157" t="n"/>
      <c r="P169" s="157" t="n"/>
      <c r="Q169" s="157" t="n"/>
      <c r="R169" s="157" t="n"/>
      <c r="S169" s="157" t="n"/>
      <c r="T169" s="157" t="n"/>
      <c r="U169" s="157" t="n"/>
      <c r="V169" s="157" t="n"/>
      <c r="W169" s="157" t="n"/>
      <c r="X169" s="157" t="n"/>
      <c r="Y169" s="157" t="n"/>
      <c r="Z169" s="157" t="n"/>
      <c r="AA169" s="157" t="n"/>
      <c r="AB169" s="157" t="n"/>
      <c r="AC169" s="157" t="n"/>
      <c r="AD169" s="157" t="n"/>
      <c r="AE169" s="158" t="n"/>
      <c r="AF169" s="158" t="n"/>
    </row>
    <row r="170" ht="15.75" customHeight="1" s="398">
      <c r="A170" s="275" t="n"/>
      <c r="B170" s="151" t="n"/>
      <c r="C170" s="152" t="n"/>
      <c r="D170" s="151" t="n"/>
      <c r="E170" s="152" t="n"/>
      <c r="F170" s="153" t="n"/>
      <c r="G170" s="154" t="n"/>
      <c r="H170" s="541" t="n"/>
      <c r="I170" s="542" t="n"/>
      <c r="J170" s="541" t="n"/>
      <c r="K170" s="157" t="n"/>
      <c r="L170" s="157" t="n"/>
      <c r="M170" s="157" t="n"/>
      <c r="N170" s="157" t="n"/>
      <c r="O170" s="157" t="n"/>
      <c r="P170" s="157" t="n"/>
      <c r="Q170" s="157" t="n"/>
      <c r="R170" s="157" t="n"/>
      <c r="S170" s="157" t="n"/>
      <c r="T170" s="157" t="n"/>
      <c r="U170" s="157" t="n"/>
      <c r="V170" s="157" t="n"/>
      <c r="W170" s="157" t="n"/>
      <c r="X170" s="157" t="n"/>
      <c r="Y170" s="157" t="n"/>
      <c r="Z170" s="157" t="n"/>
      <c r="AA170" s="157" t="n"/>
      <c r="AB170" s="157" t="n"/>
      <c r="AC170" s="157" t="n"/>
      <c r="AD170" s="157" t="n"/>
      <c r="AE170" s="158" t="n"/>
      <c r="AF170" s="158" t="n"/>
    </row>
    <row r="171" ht="15.75" customHeight="1" s="398">
      <c r="A171" s="275" t="n"/>
      <c r="B171" s="151" t="n"/>
      <c r="C171" s="152" t="n"/>
      <c r="D171" s="151" t="n"/>
      <c r="E171" s="152" t="n"/>
      <c r="F171" s="153" t="n"/>
      <c r="G171" s="154" t="n"/>
      <c r="H171" s="541" t="n"/>
      <c r="I171" s="542" t="n"/>
      <c r="J171" s="541" t="n"/>
      <c r="K171" s="157" t="n"/>
      <c r="L171" s="157" t="n"/>
      <c r="M171" s="157" t="n"/>
      <c r="N171" s="157" t="n"/>
      <c r="O171" s="157" t="n"/>
      <c r="P171" s="157" t="n"/>
      <c r="Q171" s="157" t="n"/>
      <c r="R171" s="157" t="n"/>
      <c r="S171" s="157" t="n"/>
      <c r="T171" s="157" t="n"/>
      <c r="U171" s="157" t="n"/>
      <c r="V171" s="157" t="n"/>
      <c r="W171" s="157" t="n"/>
      <c r="X171" s="157" t="n"/>
      <c r="Y171" s="157" t="n"/>
      <c r="Z171" s="157" t="n"/>
      <c r="AA171" s="157" t="n"/>
      <c r="AB171" s="157" t="n"/>
      <c r="AC171" s="157" t="n"/>
      <c r="AD171" s="157" t="n"/>
      <c r="AE171" s="158" t="n"/>
      <c r="AF171" s="158" t="n"/>
    </row>
    <row r="172" ht="15.75" customHeight="1" s="398">
      <c r="A172" s="275" t="n"/>
      <c r="B172" s="151" t="n"/>
      <c r="C172" s="152" t="n"/>
      <c r="D172" s="151" t="n"/>
      <c r="E172" s="152" t="n"/>
      <c r="F172" s="153" t="n"/>
      <c r="G172" s="154" t="n"/>
      <c r="H172" s="541" t="n"/>
      <c r="I172" s="542" t="n"/>
      <c r="J172" s="541" t="n"/>
      <c r="K172" s="157" t="n"/>
      <c r="L172" s="157" t="n"/>
      <c r="M172" s="157" t="n"/>
      <c r="N172" s="157" t="n"/>
      <c r="O172" s="157" t="n"/>
      <c r="P172" s="157" t="n"/>
      <c r="Q172" s="157" t="n"/>
      <c r="R172" s="157" t="n"/>
      <c r="S172" s="157" t="n"/>
      <c r="T172" s="157" t="n"/>
      <c r="U172" s="157" t="n"/>
      <c r="V172" s="157" t="n"/>
      <c r="W172" s="157" t="n"/>
      <c r="X172" s="157" t="n"/>
      <c r="Y172" s="157" t="n"/>
      <c r="Z172" s="157" t="n"/>
      <c r="AA172" s="157" t="n"/>
      <c r="AB172" s="157" t="n"/>
      <c r="AC172" s="157" t="n"/>
      <c r="AD172" s="157" t="n"/>
      <c r="AE172" s="158" t="n"/>
      <c r="AF172" s="158" t="n"/>
    </row>
    <row r="173" ht="15.75" customHeight="1" s="398">
      <c r="A173" s="275" t="n"/>
      <c r="B173" s="151" t="n"/>
      <c r="C173" s="152" t="n"/>
      <c r="D173" s="151" t="n"/>
      <c r="E173" s="152" t="n"/>
      <c r="F173" s="153" t="n"/>
      <c r="G173" s="154" t="n"/>
      <c r="H173" s="541" t="n"/>
      <c r="I173" s="542" t="n"/>
      <c r="J173" s="541" t="n"/>
      <c r="K173" s="157" t="n"/>
      <c r="L173" s="157" t="n"/>
      <c r="M173" s="157" t="n"/>
      <c r="N173" s="157" t="n"/>
      <c r="O173" s="157" t="n"/>
      <c r="P173" s="157" t="n"/>
      <c r="Q173" s="157" t="n"/>
      <c r="R173" s="157" t="n"/>
      <c r="S173" s="157" t="n"/>
      <c r="T173" s="157" t="n"/>
      <c r="U173" s="157" t="n"/>
      <c r="V173" s="157" t="n"/>
      <c r="W173" s="157" t="n"/>
      <c r="X173" s="157" t="n"/>
      <c r="Y173" s="157" t="n"/>
      <c r="Z173" s="157" t="n"/>
      <c r="AA173" s="157" t="n"/>
      <c r="AB173" s="157" t="n"/>
      <c r="AC173" s="157" t="n"/>
      <c r="AD173" s="157" t="n"/>
      <c r="AE173" s="158" t="n"/>
      <c r="AF173" s="158" t="n"/>
    </row>
    <row r="174" ht="15.75" customHeight="1" s="398">
      <c r="A174" s="275" t="n"/>
      <c r="B174" s="151" t="n"/>
      <c r="C174" s="152" t="n"/>
      <c r="D174" s="151" t="n"/>
      <c r="E174" s="152" t="n"/>
      <c r="F174" s="153" t="n"/>
      <c r="G174" s="154" t="n"/>
      <c r="H174" s="541" t="n"/>
      <c r="I174" s="542" t="n"/>
      <c r="J174" s="541" t="n"/>
      <c r="K174" s="157" t="n"/>
      <c r="L174" s="157" t="n"/>
      <c r="M174" s="157" t="n"/>
      <c r="N174" s="157" t="n"/>
      <c r="O174" s="157" t="n"/>
      <c r="P174" s="157" t="n"/>
      <c r="Q174" s="157" t="n"/>
      <c r="R174" s="157" t="n"/>
      <c r="S174" s="157" t="n"/>
      <c r="T174" s="157" t="n"/>
      <c r="U174" s="157" t="n"/>
      <c r="V174" s="157" t="n"/>
      <c r="W174" s="157" t="n"/>
      <c r="X174" s="157" t="n"/>
      <c r="Y174" s="157" t="n"/>
      <c r="Z174" s="157" t="n"/>
      <c r="AA174" s="157" t="n"/>
      <c r="AB174" s="157" t="n"/>
      <c r="AC174" s="157" t="n"/>
      <c r="AD174" s="157" t="n"/>
      <c r="AE174" s="158" t="n"/>
      <c r="AF174" s="158" t="n"/>
    </row>
    <row r="175" ht="15.75" customHeight="1" s="398">
      <c r="A175" s="275" t="n"/>
      <c r="B175" s="151" t="n"/>
      <c r="C175" s="152" t="n"/>
      <c r="D175" s="151" t="n"/>
      <c r="E175" s="152" t="n"/>
      <c r="F175" s="153" t="n"/>
      <c r="G175" s="154" t="n"/>
      <c r="H175" s="541" t="n"/>
      <c r="I175" s="542" t="n"/>
      <c r="J175" s="541" t="n"/>
      <c r="K175" s="157" t="n"/>
      <c r="L175" s="157" t="n"/>
      <c r="M175" s="157" t="n"/>
      <c r="N175" s="157" t="n"/>
      <c r="O175" s="157" t="n"/>
      <c r="P175" s="157" t="n"/>
      <c r="Q175" s="157" t="n"/>
      <c r="R175" s="157" t="n"/>
      <c r="S175" s="157" t="n"/>
      <c r="T175" s="157" t="n"/>
      <c r="U175" s="157" t="n"/>
      <c r="V175" s="157" t="n"/>
      <c r="W175" s="157" t="n"/>
      <c r="X175" s="157" t="n"/>
      <c r="Y175" s="157" t="n"/>
      <c r="Z175" s="157" t="n"/>
      <c r="AA175" s="157" t="n"/>
      <c r="AB175" s="157" t="n"/>
      <c r="AC175" s="157" t="n"/>
      <c r="AD175" s="157" t="n"/>
      <c r="AE175" s="158" t="n"/>
      <c r="AF175" s="158" t="n"/>
    </row>
    <row r="176" ht="15.75" customHeight="1" s="398">
      <c r="A176" s="275" t="n"/>
      <c r="B176" s="151" t="n"/>
      <c r="C176" s="152" t="n"/>
      <c r="D176" s="151" t="n"/>
      <c r="E176" s="152" t="n"/>
      <c r="F176" s="153" t="n"/>
      <c r="G176" s="154" t="n"/>
      <c r="H176" s="541" t="n"/>
      <c r="I176" s="542" t="n"/>
      <c r="J176" s="541" t="n"/>
      <c r="K176" s="157" t="n"/>
      <c r="L176" s="157" t="n"/>
      <c r="M176" s="157" t="n"/>
      <c r="N176" s="157" t="n"/>
      <c r="O176" s="157" t="n"/>
      <c r="P176" s="157" t="n"/>
      <c r="Q176" s="157" t="n"/>
      <c r="R176" s="157" t="n"/>
      <c r="S176" s="157" t="n"/>
      <c r="T176" s="157" t="n"/>
      <c r="U176" s="157" t="n"/>
      <c r="V176" s="157" t="n"/>
      <c r="W176" s="157" t="n"/>
      <c r="X176" s="157" t="n"/>
      <c r="Y176" s="157" t="n"/>
      <c r="Z176" s="157" t="n"/>
      <c r="AA176" s="157" t="n"/>
      <c r="AB176" s="157" t="n"/>
      <c r="AC176" s="157" t="n"/>
      <c r="AD176" s="157" t="n"/>
      <c r="AE176" s="158" t="n"/>
      <c r="AF176" s="158" t="n"/>
    </row>
    <row r="177" ht="15.75" customHeight="1" s="398">
      <c r="A177" s="275" t="n"/>
      <c r="B177" s="151" t="n"/>
      <c r="C177" s="152" t="n"/>
      <c r="D177" s="151" t="n"/>
      <c r="E177" s="152" t="n"/>
      <c r="F177" s="153" t="n"/>
      <c r="G177" s="154" t="n"/>
      <c r="H177" s="541" t="n"/>
      <c r="I177" s="542" t="n"/>
      <c r="J177" s="541" t="n"/>
      <c r="K177" s="157" t="n"/>
      <c r="L177" s="157" t="n"/>
      <c r="M177" s="157" t="n"/>
      <c r="N177" s="157" t="n"/>
      <c r="O177" s="157" t="n"/>
      <c r="P177" s="157" t="n"/>
      <c r="Q177" s="157" t="n"/>
      <c r="R177" s="157" t="n"/>
      <c r="S177" s="157" t="n"/>
      <c r="T177" s="157" t="n"/>
      <c r="U177" s="157" t="n"/>
      <c r="V177" s="157" t="n"/>
      <c r="W177" s="157" t="n"/>
      <c r="X177" s="157" t="n"/>
      <c r="Y177" s="157" t="n"/>
      <c r="Z177" s="157" t="n"/>
      <c r="AA177" s="157" t="n"/>
      <c r="AB177" s="157" t="n"/>
      <c r="AC177" s="157" t="n"/>
      <c r="AD177" s="157" t="n"/>
      <c r="AE177" s="158" t="n"/>
      <c r="AF177" s="158" t="n"/>
    </row>
    <row r="178" ht="15.75" customHeight="1" s="398">
      <c r="A178" s="275" t="n"/>
      <c r="B178" s="151" t="n"/>
      <c r="C178" s="152" t="n"/>
      <c r="D178" s="151" t="n"/>
      <c r="E178" s="152" t="n"/>
      <c r="F178" s="153" t="n"/>
      <c r="G178" s="154" t="n"/>
      <c r="H178" s="541" t="n"/>
      <c r="I178" s="542" t="n"/>
      <c r="J178" s="541" t="n"/>
      <c r="K178" s="157" t="n"/>
      <c r="L178" s="157" t="n"/>
      <c r="M178" s="157" t="n"/>
      <c r="N178" s="157" t="n"/>
      <c r="O178" s="157" t="n"/>
      <c r="P178" s="157" t="n"/>
      <c r="Q178" s="157" t="n"/>
      <c r="R178" s="157" t="n"/>
      <c r="S178" s="157" t="n"/>
      <c r="T178" s="157" t="n"/>
      <c r="U178" s="157" t="n"/>
      <c r="V178" s="157" t="n"/>
      <c r="W178" s="157" t="n"/>
      <c r="X178" s="157" t="n"/>
      <c r="Y178" s="157" t="n"/>
      <c r="Z178" s="157" t="n"/>
      <c r="AA178" s="157" t="n"/>
      <c r="AB178" s="157" t="n"/>
      <c r="AC178" s="157" t="n"/>
      <c r="AD178" s="157" t="n"/>
      <c r="AE178" s="158" t="n"/>
      <c r="AF178" s="158" t="n"/>
    </row>
    <row r="179" ht="15.75" customHeight="1" s="398">
      <c r="A179" s="275" t="n"/>
      <c r="B179" s="151" t="n"/>
      <c r="C179" s="152" t="n"/>
      <c r="D179" s="151" t="n"/>
      <c r="E179" s="152" t="n"/>
      <c r="F179" s="153" t="n"/>
      <c r="G179" s="154" t="n"/>
      <c r="H179" s="541" t="n"/>
      <c r="I179" s="542" t="n"/>
      <c r="J179" s="541" t="n"/>
      <c r="K179" s="157" t="n"/>
      <c r="L179" s="157" t="n"/>
      <c r="M179" s="157" t="n"/>
      <c r="N179" s="157" t="n"/>
      <c r="O179" s="157" t="n"/>
      <c r="P179" s="157" t="n"/>
      <c r="Q179" s="157" t="n"/>
      <c r="R179" s="157" t="n"/>
      <c r="S179" s="157" t="n"/>
      <c r="T179" s="157" t="n"/>
      <c r="U179" s="157" t="n"/>
      <c r="V179" s="157" t="n"/>
      <c r="W179" s="157" t="n"/>
      <c r="X179" s="157" t="n"/>
      <c r="Y179" s="157" t="n"/>
      <c r="Z179" s="157" t="n"/>
      <c r="AA179" s="157" t="n"/>
      <c r="AB179" s="157" t="n"/>
      <c r="AC179" s="157" t="n"/>
      <c r="AD179" s="157" t="n"/>
      <c r="AE179" s="158" t="n"/>
      <c r="AF179" s="158" t="n"/>
    </row>
    <row r="180" ht="15.75" customHeight="1" s="398">
      <c r="A180" s="275" t="n"/>
      <c r="B180" s="151" t="n"/>
      <c r="C180" s="152" t="n"/>
      <c r="D180" s="151" t="n"/>
      <c r="E180" s="152" t="n"/>
      <c r="F180" s="153" t="n"/>
      <c r="G180" s="154" t="n"/>
      <c r="H180" s="541" t="n"/>
      <c r="I180" s="542" t="n"/>
      <c r="J180" s="541" t="n"/>
      <c r="K180" s="157" t="n"/>
      <c r="L180" s="157" t="n"/>
      <c r="M180" s="157" t="n"/>
      <c r="N180" s="157" t="n"/>
      <c r="O180" s="157" t="n"/>
      <c r="P180" s="157" t="n"/>
      <c r="Q180" s="157" t="n"/>
      <c r="R180" s="157" t="n"/>
      <c r="S180" s="157" t="n"/>
      <c r="T180" s="157" t="n"/>
      <c r="U180" s="157" t="n"/>
      <c r="V180" s="157" t="n"/>
      <c r="W180" s="157" t="n"/>
      <c r="X180" s="157" t="n"/>
      <c r="Y180" s="157" t="n"/>
      <c r="Z180" s="157" t="n"/>
      <c r="AA180" s="157" t="n"/>
      <c r="AB180" s="157" t="n"/>
      <c r="AC180" s="157" t="n"/>
      <c r="AD180" s="157" t="n"/>
      <c r="AE180" s="158" t="n"/>
      <c r="AF180" s="158" t="n"/>
    </row>
    <row r="181" ht="15.75" customHeight="1" s="398">
      <c r="A181" s="275" t="n"/>
      <c r="B181" s="151" t="n"/>
      <c r="C181" s="152" t="n"/>
      <c r="D181" s="151" t="n"/>
      <c r="E181" s="152" t="n"/>
      <c r="F181" s="153" t="n"/>
      <c r="G181" s="154" t="n"/>
      <c r="H181" s="541" t="n"/>
      <c r="I181" s="542" t="n"/>
      <c r="J181" s="541" t="n"/>
      <c r="K181" s="157" t="n"/>
      <c r="L181" s="157" t="n"/>
      <c r="M181" s="157" t="n"/>
      <c r="N181" s="157" t="n"/>
      <c r="O181" s="157" t="n"/>
      <c r="P181" s="157" t="n"/>
      <c r="Q181" s="157" t="n"/>
      <c r="R181" s="157" t="n"/>
      <c r="S181" s="157" t="n"/>
      <c r="T181" s="157" t="n"/>
      <c r="U181" s="157" t="n"/>
      <c r="V181" s="157" t="n"/>
      <c r="W181" s="157" t="n"/>
      <c r="X181" s="157" t="n"/>
      <c r="Y181" s="157" t="n"/>
      <c r="Z181" s="157" t="n"/>
      <c r="AA181" s="157" t="n"/>
      <c r="AB181" s="157" t="n"/>
      <c r="AC181" s="157" t="n"/>
      <c r="AD181" s="157" t="n"/>
      <c r="AE181" s="158" t="n"/>
      <c r="AF181" s="158" t="n"/>
    </row>
    <row r="182" ht="15.75" customHeight="1" s="398">
      <c r="A182" s="275" t="n"/>
      <c r="B182" s="151" t="n"/>
      <c r="C182" s="152" t="n"/>
      <c r="D182" s="151" t="n"/>
      <c r="E182" s="152" t="n"/>
      <c r="F182" s="153" t="n"/>
      <c r="G182" s="154" t="n"/>
      <c r="H182" s="541" t="n"/>
      <c r="I182" s="542" t="n"/>
      <c r="J182" s="541" t="n"/>
      <c r="K182" s="157" t="n"/>
      <c r="L182" s="157" t="n"/>
      <c r="M182" s="157" t="n"/>
      <c r="N182" s="157" t="n"/>
      <c r="O182" s="157" t="n"/>
      <c r="P182" s="157" t="n"/>
      <c r="Q182" s="157" t="n"/>
      <c r="R182" s="157" t="n"/>
      <c r="S182" s="157" t="n"/>
      <c r="T182" s="157" t="n"/>
      <c r="U182" s="157" t="n"/>
      <c r="V182" s="157" t="n"/>
      <c r="W182" s="157" t="n"/>
      <c r="X182" s="157" t="n"/>
      <c r="Y182" s="157" t="n"/>
      <c r="Z182" s="157" t="n"/>
      <c r="AA182" s="157" t="n"/>
      <c r="AB182" s="157" t="n"/>
      <c r="AC182" s="157" t="n"/>
      <c r="AD182" s="157" t="n"/>
      <c r="AE182" s="158" t="n"/>
      <c r="AF182" s="158" t="n"/>
    </row>
    <row r="183" ht="15.75" customHeight="1" s="398">
      <c r="A183" s="275" t="n"/>
      <c r="B183" s="151" t="n"/>
      <c r="C183" s="152" t="n"/>
      <c r="D183" s="151" t="n"/>
      <c r="E183" s="152" t="n"/>
      <c r="F183" s="153" t="n"/>
      <c r="G183" s="154" t="n"/>
      <c r="H183" s="541" t="n"/>
      <c r="I183" s="542" t="n"/>
      <c r="J183" s="541" t="n"/>
      <c r="K183" s="157" t="n"/>
      <c r="L183" s="157" t="n"/>
      <c r="M183" s="157" t="n"/>
      <c r="N183" s="157" t="n"/>
      <c r="O183" s="157" t="n"/>
      <c r="P183" s="157" t="n"/>
      <c r="Q183" s="157" t="n"/>
      <c r="R183" s="157" t="n"/>
      <c r="S183" s="157" t="n"/>
      <c r="T183" s="157" t="n"/>
      <c r="U183" s="157" t="n"/>
      <c r="V183" s="157" t="n"/>
      <c r="W183" s="157" t="n"/>
      <c r="X183" s="157" t="n"/>
      <c r="Y183" s="157" t="n"/>
      <c r="Z183" s="157" t="n"/>
      <c r="AA183" s="157" t="n"/>
      <c r="AB183" s="157" t="n"/>
      <c r="AC183" s="157" t="n"/>
      <c r="AD183" s="157" t="n"/>
      <c r="AE183" s="158" t="n"/>
      <c r="AF183" s="158" t="n"/>
    </row>
    <row r="184" ht="15.75" customHeight="1" s="398">
      <c r="A184" s="275" t="n"/>
      <c r="B184" s="151" t="n"/>
      <c r="C184" s="152" t="n"/>
      <c r="D184" s="151" t="n"/>
      <c r="E184" s="152" t="n"/>
      <c r="F184" s="153" t="n"/>
      <c r="G184" s="154" t="n"/>
      <c r="H184" s="541" t="n"/>
      <c r="I184" s="542" t="n"/>
      <c r="J184" s="541" t="n"/>
      <c r="K184" s="157" t="n"/>
      <c r="L184" s="157" t="n"/>
      <c r="M184" s="157" t="n"/>
      <c r="N184" s="157" t="n"/>
      <c r="O184" s="157" t="n"/>
      <c r="P184" s="157" t="n"/>
      <c r="Q184" s="157" t="n"/>
      <c r="R184" s="157" t="n"/>
      <c r="S184" s="157" t="n"/>
      <c r="T184" s="157" t="n"/>
      <c r="U184" s="157" t="n"/>
      <c r="V184" s="157" t="n"/>
      <c r="W184" s="157" t="n"/>
      <c r="X184" s="157" t="n"/>
      <c r="Y184" s="157" t="n"/>
      <c r="Z184" s="157" t="n"/>
      <c r="AA184" s="157" t="n"/>
      <c r="AB184" s="157" t="n"/>
      <c r="AC184" s="157" t="n"/>
      <c r="AD184" s="157" t="n"/>
      <c r="AE184" s="158" t="n"/>
      <c r="AF184" s="158" t="n"/>
    </row>
    <row r="185" ht="15.75" customHeight="1" s="398">
      <c r="A185" s="275" t="n"/>
      <c r="B185" s="151" t="n"/>
      <c r="C185" s="152" t="n"/>
      <c r="D185" s="151" t="n"/>
      <c r="E185" s="152" t="n"/>
      <c r="F185" s="153" t="n"/>
      <c r="G185" s="154" t="n"/>
      <c r="H185" s="541" t="n"/>
      <c r="I185" s="542" t="n"/>
      <c r="J185" s="541" t="n"/>
      <c r="K185" s="157" t="n"/>
      <c r="L185" s="157" t="n"/>
      <c r="M185" s="157" t="n"/>
      <c r="N185" s="157" t="n"/>
      <c r="O185" s="157" t="n"/>
      <c r="P185" s="157" t="n"/>
      <c r="Q185" s="157" t="n"/>
      <c r="R185" s="157" t="n"/>
      <c r="S185" s="157" t="n"/>
      <c r="T185" s="157" t="n"/>
      <c r="U185" s="157" t="n"/>
      <c r="V185" s="157" t="n"/>
      <c r="W185" s="157" t="n"/>
      <c r="X185" s="157" t="n"/>
      <c r="Y185" s="157" t="n"/>
      <c r="Z185" s="157" t="n"/>
      <c r="AA185" s="157" t="n"/>
      <c r="AB185" s="157" t="n"/>
      <c r="AC185" s="157" t="n"/>
      <c r="AD185" s="157" t="n"/>
      <c r="AE185" s="158" t="n"/>
      <c r="AF185" s="158" t="n"/>
    </row>
    <row r="186" ht="15.75" customHeight="1" s="398">
      <c r="A186" s="275" t="n"/>
      <c r="B186" s="151" t="n"/>
      <c r="C186" s="152" t="n"/>
      <c r="D186" s="151" t="n"/>
      <c r="E186" s="152" t="n"/>
      <c r="F186" s="153" t="n"/>
      <c r="G186" s="154" t="n"/>
      <c r="H186" s="541" t="n"/>
      <c r="I186" s="542" t="n"/>
      <c r="J186" s="541" t="n"/>
      <c r="K186" s="157" t="n"/>
      <c r="L186" s="157" t="n"/>
      <c r="M186" s="157" t="n"/>
      <c r="N186" s="157" t="n"/>
      <c r="O186" s="157" t="n"/>
      <c r="P186" s="157" t="n"/>
      <c r="Q186" s="157" t="n"/>
      <c r="R186" s="157" t="n"/>
      <c r="S186" s="157" t="n"/>
      <c r="T186" s="157" t="n"/>
      <c r="U186" s="157" t="n"/>
      <c r="V186" s="157" t="n"/>
      <c r="W186" s="157" t="n"/>
      <c r="X186" s="157" t="n"/>
      <c r="Y186" s="157" t="n"/>
      <c r="Z186" s="157" t="n"/>
      <c r="AA186" s="157" t="n"/>
      <c r="AB186" s="157" t="n"/>
      <c r="AC186" s="157" t="n"/>
      <c r="AD186" s="157" t="n"/>
      <c r="AE186" s="158" t="n"/>
      <c r="AF186" s="158" t="n"/>
    </row>
    <row r="187" ht="15.75" customHeight="1" s="398">
      <c r="A187" s="275" t="n"/>
      <c r="B187" s="151" t="n"/>
      <c r="C187" s="152" t="n"/>
      <c r="D187" s="151" t="n"/>
      <c r="E187" s="152" t="n"/>
      <c r="F187" s="153" t="n"/>
      <c r="G187" s="154" t="n"/>
      <c r="H187" s="541" t="n"/>
      <c r="I187" s="542" t="n"/>
      <c r="J187" s="541" t="n"/>
      <c r="K187" s="157" t="n"/>
      <c r="L187" s="157" t="n"/>
      <c r="M187" s="157" t="n"/>
      <c r="N187" s="157" t="n"/>
      <c r="O187" s="157" t="n"/>
      <c r="P187" s="157" t="n"/>
      <c r="Q187" s="157" t="n"/>
      <c r="R187" s="157" t="n"/>
      <c r="S187" s="157" t="n"/>
      <c r="T187" s="157" t="n"/>
      <c r="U187" s="157" t="n"/>
      <c r="V187" s="157" t="n"/>
      <c r="W187" s="157" t="n"/>
      <c r="X187" s="157" t="n"/>
      <c r="Y187" s="157" t="n"/>
      <c r="Z187" s="157" t="n"/>
      <c r="AA187" s="157" t="n"/>
      <c r="AB187" s="157" t="n"/>
      <c r="AC187" s="157" t="n"/>
      <c r="AD187" s="157" t="n"/>
      <c r="AE187" s="158" t="n"/>
      <c r="AF187" s="158" t="n"/>
    </row>
    <row r="188" ht="15.75" customHeight="1" s="398">
      <c r="A188" s="275" t="n"/>
      <c r="B188" s="151" t="n"/>
      <c r="C188" s="152" t="n"/>
      <c r="D188" s="151" t="n"/>
      <c r="E188" s="152" t="n"/>
      <c r="F188" s="153" t="n"/>
      <c r="G188" s="154" t="n"/>
      <c r="H188" s="541" t="n"/>
      <c r="I188" s="542" t="n"/>
      <c r="J188" s="541" t="n"/>
      <c r="K188" s="157" t="n"/>
      <c r="L188" s="157" t="n"/>
      <c r="M188" s="157" t="n"/>
      <c r="N188" s="157" t="n"/>
      <c r="O188" s="157" t="n"/>
      <c r="P188" s="157" t="n"/>
      <c r="Q188" s="157" t="n"/>
      <c r="R188" s="157" t="n"/>
      <c r="S188" s="157" t="n"/>
      <c r="T188" s="157" t="n"/>
      <c r="U188" s="157" t="n"/>
      <c r="V188" s="157" t="n"/>
      <c r="W188" s="157" t="n"/>
      <c r="X188" s="157" t="n"/>
      <c r="Y188" s="157" t="n"/>
      <c r="Z188" s="157" t="n"/>
      <c r="AA188" s="157" t="n"/>
      <c r="AB188" s="157" t="n"/>
      <c r="AC188" s="157" t="n"/>
      <c r="AD188" s="157" t="n"/>
      <c r="AE188" s="158" t="n"/>
      <c r="AF188" s="158" t="n"/>
    </row>
    <row r="189" ht="15.75" customHeight="1" s="398">
      <c r="A189" s="275" t="n"/>
      <c r="B189" s="151" t="n"/>
      <c r="C189" s="152" t="n"/>
      <c r="D189" s="151" t="n"/>
      <c r="E189" s="152" t="n"/>
      <c r="F189" s="153" t="n"/>
      <c r="G189" s="154" t="n"/>
      <c r="H189" s="541" t="n"/>
      <c r="I189" s="542" t="n"/>
      <c r="J189" s="541" t="n"/>
      <c r="K189" s="157" t="n"/>
      <c r="L189" s="157" t="n"/>
      <c r="M189" s="157" t="n"/>
      <c r="N189" s="157" t="n"/>
      <c r="O189" s="157" t="n"/>
      <c r="P189" s="157" t="n"/>
      <c r="Q189" s="157" t="n"/>
      <c r="R189" s="157" t="n"/>
      <c r="S189" s="157" t="n"/>
      <c r="T189" s="157" t="n"/>
      <c r="U189" s="157" t="n"/>
      <c r="V189" s="157" t="n"/>
      <c r="W189" s="157" t="n"/>
      <c r="X189" s="157" t="n"/>
      <c r="Y189" s="157" t="n"/>
      <c r="Z189" s="157" t="n"/>
      <c r="AA189" s="157" t="n"/>
      <c r="AB189" s="157" t="n"/>
      <c r="AC189" s="157" t="n"/>
      <c r="AD189" s="157" t="n"/>
      <c r="AE189" s="158" t="n"/>
      <c r="AF189" s="158" t="n"/>
    </row>
    <row r="190" ht="15.75" customHeight="1" s="398">
      <c r="A190" s="275" t="n"/>
      <c r="B190" s="151" t="n"/>
      <c r="C190" s="152" t="n"/>
      <c r="D190" s="151" t="n"/>
      <c r="E190" s="152" t="n"/>
      <c r="F190" s="153" t="n"/>
      <c r="G190" s="154" t="n"/>
      <c r="H190" s="541" t="n"/>
      <c r="I190" s="542" t="n"/>
      <c r="J190" s="541" t="n"/>
      <c r="K190" s="157" t="n"/>
      <c r="L190" s="157" t="n"/>
      <c r="M190" s="157" t="n"/>
      <c r="N190" s="157" t="n"/>
      <c r="O190" s="157" t="n"/>
      <c r="P190" s="157" t="n"/>
      <c r="Q190" s="157" t="n"/>
      <c r="R190" s="157" t="n"/>
      <c r="S190" s="157" t="n"/>
      <c r="T190" s="157" t="n"/>
      <c r="U190" s="157" t="n"/>
      <c r="V190" s="157" t="n"/>
      <c r="W190" s="157" t="n"/>
      <c r="X190" s="157" t="n"/>
      <c r="Y190" s="157" t="n"/>
      <c r="Z190" s="157" t="n"/>
      <c r="AA190" s="157" t="n"/>
      <c r="AB190" s="157" t="n"/>
      <c r="AC190" s="157" t="n"/>
      <c r="AD190" s="157" t="n"/>
      <c r="AE190" s="158" t="n"/>
      <c r="AF190" s="158" t="n"/>
    </row>
    <row r="191" ht="15.75" customHeight="1" s="398">
      <c r="A191" s="275" t="n"/>
      <c r="B191" s="151" t="n"/>
      <c r="C191" s="152" t="n"/>
      <c r="D191" s="151" t="n"/>
      <c r="E191" s="152" t="n"/>
      <c r="F191" s="153" t="n"/>
      <c r="G191" s="154" t="n"/>
      <c r="H191" s="541" t="n"/>
      <c r="I191" s="542" t="n"/>
      <c r="J191" s="541" t="n"/>
      <c r="K191" s="157" t="n"/>
      <c r="L191" s="157" t="n"/>
      <c r="M191" s="157" t="n"/>
      <c r="N191" s="157" t="n"/>
      <c r="O191" s="157" t="n"/>
      <c r="P191" s="157" t="n"/>
      <c r="Q191" s="157" t="n"/>
      <c r="R191" s="157" t="n"/>
      <c r="S191" s="157" t="n"/>
      <c r="T191" s="157" t="n"/>
      <c r="U191" s="157" t="n"/>
      <c r="V191" s="157" t="n"/>
      <c r="W191" s="157" t="n"/>
      <c r="X191" s="157" t="n"/>
      <c r="Y191" s="157" t="n"/>
      <c r="Z191" s="157" t="n"/>
      <c r="AA191" s="157" t="n"/>
      <c r="AB191" s="157" t="n"/>
      <c r="AC191" s="157" t="n"/>
      <c r="AD191" s="157" t="n"/>
      <c r="AE191" s="158" t="n"/>
      <c r="AF191" s="158" t="n"/>
    </row>
    <row r="192" ht="15.75" customHeight="1" s="398">
      <c r="A192" s="275" t="n"/>
      <c r="B192" s="151" t="n"/>
      <c r="C192" s="152" t="n"/>
      <c r="D192" s="151" t="n"/>
      <c r="E192" s="152" t="n"/>
      <c r="F192" s="153" t="n"/>
      <c r="G192" s="154" t="n"/>
      <c r="H192" s="541" t="n"/>
      <c r="I192" s="542" t="n"/>
      <c r="J192" s="541" t="n"/>
      <c r="K192" s="157" t="n"/>
      <c r="L192" s="157" t="n"/>
      <c r="M192" s="157" t="n"/>
      <c r="N192" s="157" t="n"/>
      <c r="O192" s="157" t="n"/>
      <c r="P192" s="157" t="n"/>
      <c r="Q192" s="157" t="n"/>
      <c r="R192" s="157" t="n"/>
      <c r="S192" s="157" t="n"/>
      <c r="T192" s="157" t="n"/>
      <c r="U192" s="157" t="n"/>
      <c r="V192" s="157" t="n"/>
      <c r="W192" s="157" t="n"/>
      <c r="X192" s="157" t="n"/>
      <c r="Y192" s="157" t="n"/>
      <c r="Z192" s="157" t="n"/>
      <c r="AA192" s="157" t="n"/>
      <c r="AB192" s="157" t="n"/>
      <c r="AC192" s="157" t="n"/>
      <c r="AD192" s="157" t="n"/>
      <c r="AE192" s="158" t="n"/>
      <c r="AF192" s="158" t="n"/>
    </row>
    <row r="193" ht="15.75" customHeight="1" s="398">
      <c r="A193" s="275" t="n"/>
      <c r="B193" s="151" t="n"/>
      <c r="C193" s="152" t="n"/>
      <c r="D193" s="151" t="n"/>
      <c r="E193" s="152" t="n"/>
      <c r="F193" s="153" t="n"/>
      <c r="G193" s="154" t="n"/>
      <c r="H193" s="541" t="n"/>
      <c r="I193" s="542" t="n"/>
      <c r="J193" s="541" t="n"/>
      <c r="K193" s="157" t="n"/>
      <c r="L193" s="157" t="n"/>
      <c r="M193" s="157" t="n"/>
      <c r="N193" s="157" t="n"/>
      <c r="O193" s="157" t="n"/>
      <c r="P193" s="157" t="n"/>
      <c r="Q193" s="157" t="n"/>
      <c r="R193" s="157" t="n"/>
      <c r="S193" s="157" t="n"/>
      <c r="T193" s="157" t="n"/>
      <c r="U193" s="157" t="n"/>
      <c r="V193" s="157" t="n"/>
      <c r="W193" s="157" t="n"/>
      <c r="X193" s="157" t="n"/>
      <c r="Y193" s="157" t="n"/>
      <c r="Z193" s="157" t="n"/>
      <c r="AA193" s="157" t="n"/>
      <c r="AB193" s="157" t="n"/>
      <c r="AC193" s="157" t="n"/>
      <c r="AD193" s="157" t="n"/>
      <c r="AE193" s="158" t="n"/>
      <c r="AF193" s="158" t="n"/>
    </row>
    <row r="194" ht="15.75" customHeight="1" s="398">
      <c r="A194" s="275" t="n"/>
      <c r="B194" s="151" t="n"/>
      <c r="C194" s="152" t="n"/>
      <c r="D194" s="151" t="n"/>
      <c r="E194" s="152" t="n"/>
      <c r="F194" s="153" t="n"/>
      <c r="G194" s="154" t="n"/>
      <c r="H194" s="541" t="n"/>
      <c r="I194" s="542" t="n"/>
      <c r="J194" s="541" t="n"/>
      <c r="K194" s="157" t="n"/>
      <c r="L194" s="157" t="n"/>
      <c r="M194" s="157" t="n"/>
      <c r="N194" s="157" t="n"/>
      <c r="O194" s="157" t="n"/>
      <c r="P194" s="157" t="n"/>
      <c r="Q194" s="157" t="n"/>
      <c r="R194" s="157" t="n"/>
      <c r="S194" s="157" t="n"/>
      <c r="T194" s="157" t="n"/>
      <c r="U194" s="157" t="n"/>
      <c r="V194" s="157" t="n"/>
      <c r="W194" s="157" t="n"/>
      <c r="X194" s="157" t="n"/>
      <c r="Y194" s="157" t="n"/>
      <c r="Z194" s="157" t="n"/>
      <c r="AA194" s="157" t="n"/>
      <c r="AB194" s="157" t="n"/>
      <c r="AC194" s="157" t="n"/>
      <c r="AD194" s="157" t="n"/>
      <c r="AE194" s="158" t="n"/>
      <c r="AF194" s="158" t="n"/>
    </row>
    <row r="195" ht="15.75" customHeight="1" s="398">
      <c r="A195" s="275" t="n"/>
      <c r="B195" s="151" t="n"/>
      <c r="C195" s="152" t="n"/>
      <c r="D195" s="151" t="n"/>
      <c r="E195" s="152" t="n"/>
      <c r="F195" s="153" t="n"/>
      <c r="G195" s="154" t="n"/>
      <c r="H195" s="541" t="n"/>
      <c r="I195" s="542" t="n"/>
      <c r="J195" s="541" t="n"/>
      <c r="K195" s="157" t="n"/>
      <c r="L195" s="157" t="n"/>
      <c r="M195" s="157" t="n"/>
      <c r="N195" s="157" t="n"/>
      <c r="O195" s="157" t="n"/>
      <c r="P195" s="157" t="n"/>
      <c r="Q195" s="157" t="n"/>
      <c r="R195" s="157" t="n"/>
      <c r="S195" s="157" t="n"/>
      <c r="T195" s="157" t="n"/>
      <c r="U195" s="157" t="n"/>
      <c r="V195" s="157" t="n"/>
      <c r="W195" s="157" t="n"/>
      <c r="X195" s="157" t="n"/>
      <c r="Y195" s="157" t="n"/>
      <c r="Z195" s="157" t="n"/>
      <c r="AA195" s="157" t="n"/>
      <c r="AB195" s="157" t="n"/>
      <c r="AC195" s="157" t="n"/>
      <c r="AD195" s="157" t="n"/>
      <c r="AE195" s="158" t="n"/>
      <c r="AF195" s="158" t="n"/>
    </row>
    <row r="196" ht="15.75" customHeight="1" s="398">
      <c r="A196" s="275" t="n"/>
      <c r="B196" s="151" t="n"/>
      <c r="C196" s="152" t="n"/>
      <c r="D196" s="151" t="n"/>
      <c r="E196" s="152" t="n"/>
      <c r="F196" s="153" t="n"/>
      <c r="G196" s="154" t="n"/>
      <c r="H196" s="541" t="n"/>
      <c r="I196" s="542" t="n"/>
      <c r="J196" s="541" t="n"/>
      <c r="K196" s="157" t="n"/>
      <c r="L196" s="157" t="n"/>
      <c r="M196" s="157" t="n"/>
      <c r="N196" s="157" t="n"/>
      <c r="O196" s="157" t="n"/>
      <c r="P196" s="157" t="n"/>
      <c r="Q196" s="157" t="n"/>
      <c r="R196" s="157" t="n"/>
      <c r="S196" s="157" t="n"/>
      <c r="T196" s="157" t="n"/>
      <c r="U196" s="157" t="n"/>
      <c r="V196" s="157" t="n"/>
      <c r="W196" s="157" t="n"/>
      <c r="X196" s="157" t="n"/>
      <c r="Y196" s="157" t="n"/>
      <c r="Z196" s="157" t="n"/>
      <c r="AA196" s="157" t="n"/>
      <c r="AB196" s="157" t="n"/>
      <c r="AC196" s="157" t="n"/>
      <c r="AD196" s="157" t="n"/>
      <c r="AE196" s="158" t="n"/>
      <c r="AF196" s="158" t="n"/>
    </row>
    <row r="197" ht="15.75" customHeight="1" s="398">
      <c r="A197" s="275" t="n"/>
      <c r="B197" s="151" t="n"/>
      <c r="C197" s="152" t="n"/>
      <c r="D197" s="151" t="n"/>
      <c r="E197" s="152" t="n"/>
      <c r="F197" s="153" t="n"/>
      <c r="G197" s="154" t="n"/>
      <c r="H197" s="541" t="n"/>
      <c r="I197" s="542" t="n"/>
      <c r="J197" s="541" t="n"/>
      <c r="K197" s="157" t="n"/>
      <c r="L197" s="157" t="n"/>
      <c r="M197" s="157" t="n"/>
      <c r="N197" s="157" t="n"/>
      <c r="O197" s="157" t="n"/>
      <c r="P197" s="157" t="n"/>
      <c r="Q197" s="157" t="n"/>
      <c r="R197" s="157" t="n"/>
      <c r="S197" s="157" t="n"/>
      <c r="T197" s="157" t="n"/>
      <c r="U197" s="157" t="n"/>
      <c r="V197" s="157" t="n"/>
      <c r="W197" s="157" t="n"/>
      <c r="X197" s="157" t="n"/>
      <c r="Y197" s="157" t="n"/>
      <c r="Z197" s="157" t="n"/>
      <c r="AA197" s="157" t="n"/>
      <c r="AB197" s="157" t="n"/>
      <c r="AC197" s="157" t="n"/>
      <c r="AD197" s="157" t="n"/>
      <c r="AE197" s="158" t="n"/>
      <c r="AF197" s="158" t="n"/>
    </row>
    <row r="198" ht="15.75" customHeight="1" s="398">
      <c r="A198" s="275" t="n"/>
      <c r="B198" s="151" t="n"/>
      <c r="C198" s="152" t="n"/>
      <c r="D198" s="151" t="n"/>
      <c r="E198" s="152" t="n"/>
      <c r="F198" s="153" t="n"/>
      <c r="G198" s="154" t="n"/>
      <c r="H198" s="541" t="n"/>
      <c r="I198" s="542" t="n"/>
      <c r="J198" s="541" t="n"/>
      <c r="K198" s="157" t="n"/>
      <c r="L198" s="157" t="n"/>
      <c r="M198" s="157" t="n"/>
      <c r="N198" s="157" t="n"/>
      <c r="O198" s="157" t="n"/>
      <c r="P198" s="157" t="n"/>
      <c r="Q198" s="157" t="n"/>
      <c r="R198" s="157" t="n"/>
      <c r="S198" s="157" t="n"/>
      <c r="T198" s="157" t="n"/>
      <c r="U198" s="157" t="n"/>
      <c r="V198" s="157" t="n"/>
      <c r="W198" s="157" t="n"/>
      <c r="X198" s="157" t="n"/>
      <c r="Y198" s="157" t="n"/>
      <c r="Z198" s="157" t="n"/>
      <c r="AA198" s="157" t="n"/>
      <c r="AB198" s="157" t="n"/>
      <c r="AC198" s="157" t="n"/>
      <c r="AD198" s="157" t="n"/>
      <c r="AE198" s="158" t="n"/>
      <c r="AF198" s="158" t="n"/>
    </row>
    <row r="199" ht="15.75" customHeight="1" s="398">
      <c r="A199" s="275" t="n"/>
      <c r="B199" s="151" t="n"/>
      <c r="C199" s="152" t="n"/>
      <c r="D199" s="151" t="n"/>
      <c r="E199" s="152" t="n"/>
      <c r="F199" s="153" t="n"/>
      <c r="G199" s="154" t="n"/>
      <c r="H199" s="541" t="n"/>
      <c r="I199" s="542" t="n"/>
      <c r="J199" s="541" t="n"/>
      <c r="K199" s="157" t="n"/>
      <c r="L199" s="157" t="n"/>
      <c r="M199" s="157" t="n"/>
      <c r="N199" s="157" t="n"/>
      <c r="O199" s="157" t="n"/>
      <c r="P199" s="157" t="n"/>
      <c r="Q199" s="157" t="n"/>
      <c r="R199" s="157" t="n"/>
      <c r="S199" s="157" t="n"/>
      <c r="T199" s="157" t="n"/>
      <c r="U199" s="157" t="n"/>
      <c r="V199" s="157" t="n"/>
      <c r="W199" s="157" t="n"/>
      <c r="X199" s="157" t="n"/>
      <c r="Y199" s="157" t="n"/>
      <c r="Z199" s="157" t="n"/>
      <c r="AA199" s="157" t="n"/>
      <c r="AB199" s="157" t="n"/>
      <c r="AC199" s="157" t="n"/>
      <c r="AD199" s="157" t="n"/>
      <c r="AE199" s="158" t="n"/>
      <c r="AF199" s="158" t="n"/>
    </row>
    <row r="200" ht="15.75" customHeight="1" s="398">
      <c r="A200" s="275" t="n"/>
      <c r="B200" s="151" t="n"/>
      <c r="C200" s="152" t="n"/>
      <c r="D200" s="151" t="n"/>
      <c r="E200" s="152" t="n"/>
      <c r="F200" s="153" t="n"/>
      <c r="G200" s="154" t="n"/>
      <c r="H200" s="541" t="n"/>
      <c r="I200" s="542" t="n"/>
      <c r="J200" s="541" t="n"/>
      <c r="K200" s="157" t="n"/>
      <c r="L200" s="157" t="n"/>
      <c r="M200" s="157" t="n"/>
      <c r="N200" s="157" t="n"/>
      <c r="O200" s="157" t="n"/>
      <c r="P200" s="157" t="n"/>
      <c r="Q200" s="157" t="n"/>
      <c r="R200" s="157" t="n"/>
      <c r="S200" s="157" t="n"/>
      <c r="T200" s="157" t="n"/>
      <c r="U200" s="157" t="n"/>
      <c r="V200" s="157" t="n"/>
      <c r="W200" s="157" t="n"/>
      <c r="X200" s="157" t="n"/>
      <c r="Y200" s="157" t="n"/>
      <c r="Z200" s="157" t="n"/>
      <c r="AA200" s="157" t="n"/>
      <c r="AB200" s="157" t="n"/>
      <c r="AC200" s="157" t="n"/>
      <c r="AD200" s="157" t="n"/>
      <c r="AE200" s="158" t="n"/>
      <c r="AF200" s="158" t="n"/>
    </row>
    <row r="201" ht="15.75" customHeight="1" s="398">
      <c r="A201" s="275" t="n"/>
      <c r="B201" s="151" t="n"/>
      <c r="C201" s="152" t="n"/>
      <c r="D201" s="151" t="n"/>
      <c r="E201" s="152" t="n"/>
      <c r="F201" s="153" t="n"/>
      <c r="G201" s="154" t="n"/>
      <c r="H201" s="541" t="n"/>
      <c r="I201" s="542" t="n"/>
      <c r="J201" s="541" t="n"/>
      <c r="K201" s="157" t="n"/>
      <c r="L201" s="157" t="n"/>
      <c r="M201" s="157" t="n"/>
      <c r="N201" s="157" t="n"/>
      <c r="O201" s="157" t="n"/>
      <c r="P201" s="157" t="n"/>
      <c r="Q201" s="157" t="n"/>
      <c r="R201" s="157" t="n"/>
      <c r="S201" s="157" t="n"/>
      <c r="T201" s="157" t="n"/>
      <c r="U201" s="157" t="n"/>
      <c r="V201" s="157" t="n"/>
      <c r="W201" s="157" t="n"/>
      <c r="X201" s="157" t="n"/>
      <c r="Y201" s="157" t="n"/>
      <c r="Z201" s="157" t="n"/>
      <c r="AA201" s="157" t="n"/>
      <c r="AB201" s="157" t="n"/>
      <c r="AC201" s="157" t="n"/>
      <c r="AD201" s="157" t="n"/>
      <c r="AE201" s="158" t="n"/>
      <c r="AF201" s="158" t="n"/>
    </row>
    <row r="202" ht="15.75" customHeight="1" s="398">
      <c r="A202" s="275" t="n"/>
      <c r="B202" s="151" t="n"/>
      <c r="C202" s="152" t="n"/>
      <c r="D202" s="151" t="n"/>
      <c r="E202" s="152" t="n"/>
      <c r="F202" s="153" t="n"/>
      <c r="G202" s="154" t="n"/>
      <c r="H202" s="541" t="n"/>
      <c r="I202" s="542" t="n"/>
      <c r="J202" s="541" t="n"/>
      <c r="K202" s="157" t="n"/>
      <c r="L202" s="157" t="n"/>
      <c r="M202" s="157" t="n"/>
      <c r="N202" s="157" t="n"/>
      <c r="O202" s="157" t="n"/>
      <c r="P202" s="157" t="n"/>
      <c r="Q202" s="157" t="n"/>
      <c r="R202" s="157" t="n"/>
      <c r="S202" s="157" t="n"/>
      <c r="T202" s="157" t="n"/>
      <c r="U202" s="157" t="n"/>
      <c r="V202" s="157" t="n"/>
      <c r="W202" s="157" t="n"/>
      <c r="X202" s="157" t="n"/>
      <c r="Y202" s="157" t="n"/>
      <c r="Z202" s="157" t="n"/>
      <c r="AA202" s="157" t="n"/>
      <c r="AB202" s="157" t="n"/>
      <c r="AC202" s="157" t="n"/>
      <c r="AD202" s="157" t="n"/>
      <c r="AE202" s="158" t="n"/>
      <c r="AF202" s="158" t="n"/>
    </row>
    <row r="203" ht="15.75" customHeight="1" s="398">
      <c r="A203" s="275" t="n"/>
      <c r="B203" s="151" t="n"/>
      <c r="C203" s="152" t="n"/>
      <c r="D203" s="151" t="n"/>
      <c r="E203" s="152" t="n"/>
      <c r="F203" s="153" t="n"/>
      <c r="G203" s="154" t="n"/>
      <c r="H203" s="541" t="n"/>
      <c r="I203" s="542" t="n"/>
      <c r="J203" s="541" t="n"/>
      <c r="K203" s="157" t="n"/>
      <c r="L203" s="157" t="n"/>
      <c r="M203" s="157" t="n"/>
      <c r="N203" s="157" t="n"/>
      <c r="O203" s="157" t="n"/>
      <c r="P203" s="157" t="n"/>
      <c r="Q203" s="157" t="n"/>
      <c r="R203" s="157" t="n"/>
      <c r="S203" s="157" t="n"/>
      <c r="T203" s="157" t="n"/>
      <c r="U203" s="157" t="n"/>
      <c r="V203" s="157" t="n"/>
      <c r="W203" s="157" t="n"/>
      <c r="X203" s="157" t="n"/>
      <c r="Y203" s="157" t="n"/>
      <c r="Z203" s="157" t="n"/>
      <c r="AA203" s="157" t="n"/>
      <c r="AB203" s="157" t="n"/>
      <c r="AC203" s="157" t="n"/>
      <c r="AD203" s="157" t="n"/>
      <c r="AE203" s="158" t="n"/>
      <c r="AF203" s="158" t="n"/>
    </row>
    <row r="204" ht="15.75" customHeight="1" s="398">
      <c r="A204" s="275" t="n"/>
      <c r="B204" s="151" t="n"/>
      <c r="C204" s="152" t="n"/>
      <c r="D204" s="151" t="n"/>
      <c r="E204" s="152" t="n"/>
      <c r="F204" s="153" t="n"/>
      <c r="G204" s="154" t="n"/>
      <c r="H204" s="541" t="n"/>
      <c r="I204" s="542" t="n"/>
      <c r="J204" s="541" t="n"/>
      <c r="K204" s="157" t="n"/>
      <c r="L204" s="157" t="n"/>
      <c r="M204" s="157" t="n"/>
      <c r="N204" s="157" t="n"/>
      <c r="O204" s="157" t="n"/>
      <c r="P204" s="157" t="n"/>
      <c r="Q204" s="157" t="n"/>
      <c r="R204" s="157" t="n"/>
      <c r="S204" s="157" t="n"/>
      <c r="T204" s="157" t="n"/>
      <c r="U204" s="157" t="n"/>
      <c r="V204" s="157" t="n"/>
      <c r="W204" s="157" t="n"/>
      <c r="X204" s="157" t="n"/>
      <c r="Y204" s="157" t="n"/>
      <c r="Z204" s="157" t="n"/>
      <c r="AA204" s="157" t="n"/>
      <c r="AB204" s="157" t="n"/>
      <c r="AC204" s="157" t="n"/>
      <c r="AD204" s="157" t="n"/>
      <c r="AE204" s="158" t="n"/>
      <c r="AF204" s="158" t="n"/>
    </row>
    <row r="205" ht="15.75" customHeight="1" s="398">
      <c r="A205" s="275" t="n"/>
      <c r="B205" s="151" t="n"/>
      <c r="C205" s="152" t="n"/>
      <c r="D205" s="151" t="n"/>
      <c r="E205" s="152" t="n"/>
      <c r="F205" s="153" t="n"/>
      <c r="G205" s="154" t="n"/>
      <c r="H205" s="541" t="n"/>
      <c r="I205" s="542" t="n"/>
      <c r="J205" s="541" t="n"/>
      <c r="K205" s="157" t="n"/>
      <c r="L205" s="157" t="n"/>
      <c r="M205" s="157" t="n"/>
      <c r="N205" s="157" t="n"/>
      <c r="O205" s="157" t="n"/>
      <c r="P205" s="157" t="n"/>
      <c r="Q205" s="157" t="n"/>
      <c r="R205" s="157" t="n"/>
      <c r="S205" s="157" t="n"/>
      <c r="T205" s="157" t="n"/>
      <c r="U205" s="157" t="n"/>
      <c r="V205" s="157" t="n"/>
      <c r="W205" s="157" t="n"/>
      <c r="X205" s="157" t="n"/>
      <c r="Y205" s="157" t="n"/>
      <c r="Z205" s="157" t="n"/>
      <c r="AA205" s="157" t="n"/>
      <c r="AB205" s="157" t="n"/>
      <c r="AC205" s="157" t="n"/>
      <c r="AD205" s="157" t="n"/>
      <c r="AE205" s="158" t="n"/>
      <c r="AF205" s="158" t="n"/>
    </row>
    <row r="206" ht="15.75" customHeight="1" s="398">
      <c r="A206" s="275" t="n"/>
      <c r="B206" s="151" t="n"/>
      <c r="C206" s="152" t="n"/>
      <c r="D206" s="151" t="n"/>
      <c r="E206" s="152" t="n"/>
      <c r="F206" s="153" t="n"/>
      <c r="G206" s="154" t="n"/>
      <c r="H206" s="541" t="n"/>
      <c r="I206" s="542" t="n"/>
      <c r="J206" s="541" t="n"/>
      <c r="K206" s="157" t="n"/>
      <c r="L206" s="157" t="n"/>
      <c r="M206" s="157" t="n"/>
      <c r="N206" s="157" t="n"/>
      <c r="O206" s="157" t="n"/>
      <c r="P206" s="157" t="n"/>
      <c r="Q206" s="157" t="n"/>
      <c r="R206" s="157" t="n"/>
      <c r="S206" s="157" t="n"/>
      <c r="T206" s="157" t="n"/>
      <c r="U206" s="157" t="n"/>
      <c r="V206" s="157" t="n"/>
      <c r="W206" s="157" t="n"/>
      <c r="X206" s="157" t="n"/>
      <c r="Y206" s="157" t="n"/>
      <c r="Z206" s="157" t="n"/>
      <c r="AA206" s="157" t="n"/>
      <c r="AB206" s="157" t="n"/>
      <c r="AC206" s="157" t="n"/>
      <c r="AD206" s="157" t="n"/>
      <c r="AE206" s="158" t="n"/>
      <c r="AF206" s="158" t="n"/>
    </row>
    <row r="207" ht="15.75" customHeight="1" s="398">
      <c r="A207" s="275" t="n"/>
      <c r="B207" s="151" t="n"/>
      <c r="C207" s="152" t="n"/>
      <c r="D207" s="151" t="n"/>
      <c r="E207" s="152" t="n"/>
      <c r="F207" s="153" t="n"/>
      <c r="G207" s="154" t="n"/>
      <c r="H207" s="541" t="n"/>
      <c r="I207" s="542" t="n"/>
      <c r="J207" s="541" t="n"/>
      <c r="K207" s="157" t="n"/>
      <c r="L207" s="157" t="n"/>
      <c r="M207" s="157" t="n"/>
      <c r="N207" s="157" t="n"/>
      <c r="O207" s="157" t="n"/>
      <c r="P207" s="157" t="n"/>
      <c r="Q207" s="157" t="n"/>
      <c r="R207" s="157" t="n"/>
      <c r="S207" s="157" t="n"/>
      <c r="T207" s="157" t="n"/>
      <c r="U207" s="157" t="n"/>
      <c r="V207" s="157" t="n"/>
      <c r="W207" s="157" t="n"/>
      <c r="X207" s="157" t="n"/>
      <c r="Y207" s="157" t="n"/>
      <c r="Z207" s="157" t="n"/>
      <c r="AA207" s="157" t="n"/>
      <c r="AB207" s="157" t="n"/>
      <c r="AC207" s="157" t="n"/>
      <c r="AD207" s="157" t="n"/>
      <c r="AE207" s="158" t="n"/>
      <c r="AF207" s="158" t="n"/>
    </row>
    <row r="208" ht="15.75" customHeight="1" s="398">
      <c r="A208" s="275" t="n"/>
      <c r="B208" s="151" t="n"/>
      <c r="C208" s="152" t="n"/>
      <c r="D208" s="151" t="n"/>
      <c r="E208" s="152" t="n"/>
      <c r="F208" s="153" t="n"/>
      <c r="G208" s="154" t="n"/>
      <c r="H208" s="541" t="n"/>
      <c r="I208" s="542" t="n"/>
      <c r="J208" s="541" t="n"/>
      <c r="K208" s="157" t="n"/>
      <c r="L208" s="157" t="n"/>
      <c r="M208" s="157" t="n"/>
      <c r="N208" s="157" t="n"/>
      <c r="O208" s="157" t="n"/>
      <c r="P208" s="157" t="n"/>
      <c r="Q208" s="157" t="n"/>
      <c r="R208" s="157" t="n"/>
      <c r="S208" s="157" t="n"/>
      <c r="T208" s="157" t="n"/>
      <c r="U208" s="157" t="n"/>
      <c r="V208" s="157" t="n"/>
      <c r="W208" s="157" t="n"/>
      <c r="X208" s="157" t="n"/>
      <c r="Y208" s="157" t="n"/>
      <c r="Z208" s="157" t="n"/>
      <c r="AA208" s="157" t="n"/>
      <c r="AB208" s="157" t="n"/>
      <c r="AC208" s="157" t="n"/>
      <c r="AD208" s="157" t="n"/>
      <c r="AE208" s="158" t="n"/>
      <c r="AF208" s="158" t="n"/>
    </row>
    <row r="209" ht="15.75" customHeight="1" s="398">
      <c r="A209" s="275" t="n"/>
      <c r="B209" s="151" t="n"/>
      <c r="C209" s="152" t="n"/>
      <c r="D209" s="151" t="n"/>
      <c r="E209" s="152" t="n"/>
      <c r="F209" s="153" t="n"/>
      <c r="G209" s="154" t="n"/>
      <c r="H209" s="541" t="n"/>
      <c r="I209" s="542" t="n"/>
      <c r="J209" s="541" t="n"/>
      <c r="K209" s="157" t="n"/>
      <c r="L209" s="157" t="n"/>
      <c r="M209" s="157" t="n"/>
      <c r="N209" s="157" t="n"/>
      <c r="O209" s="157" t="n"/>
      <c r="P209" s="157" t="n"/>
      <c r="Q209" s="157" t="n"/>
      <c r="R209" s="157" t="n"/>
      <c r="S209" s="157" t="n"/>
      <c r="T209" s="157" t="n"/>
      <c r="U209" s="157" t="n"/>
      <c r="V209" s="157" t="n"/>
      <c r="W209" s="157" t="n"/>
      <c r="X209" s="157" t="n"/>
      <c r="Y209" s="157" t="n"/>
      <c r="Z209" s="157" t="n"/>
      <c r="AA209" s="157" t="n"/>
      <c r="AB209" s="157" t="n"/>
      <c r="AC209" s="157" t="n"/>
      <c r="AD209" s="157" t="n"/>
      <c r="AE209" s="158" t="n"/>
      <c r="AF209" s="158" t="n"/>
    </row>
    <row r="210" ht="15.75" customHeight="1" s="398">
      <c r="A210" s="275" t="n"/>
      <c r="B210" s="151" t="n"/>
      <c r="C210" s="152" t="n"/>
      <c r="D210" s="151" t="n"/>
      <c r="E210" s="152" t="n"/>
      <c r="F210" s="153" t="n"/>
      <c r="G210" s="154" t="n"/>
      <c r="H210" s="541" t="n"/>
      <c r="I210" s="542" t="n"/>
      <c r="J210" s="541" t="n"/>
      <c r="K210" s="157" t="n"/>
      <c r="L210" s="157" t="n"/>
      <c r="M210" s="157" t="n"/>
      <c r="N210" s="157" t="n"/>
      <c r="O210" s="157" t="n"/>
      <c r="P210" s="157" t="n"/>
      <c r="Q210" s="157" t="n"/>
      <c r="R210" s="157" t="n"/>
      <c r="S210" s="157" t="n"/>
      <c r="T210" s="157" t="n"/>
      <c r="U210" s="157" t="n"/>
      <c r="V210" s="157" t="n"/>
      <c r="W210" s="157" t="n"/>
      <c r="X210" s="157" t="n"/>
      <c r="Y210" s="157" t="n"/>
      <c r="Z210" s="157" t="n"/>
      <c r="AA210" s="157" t="n"/>
      <c r="AB210" s="157" t="n"/>
      <c r="AC210" s="157" t="n"/>
      <c r="AD210" s="157" t="n"/>
      <c r="AE210" s="158" t="n"/>
      <c r="AF210" s="158" t="n"/>
    </row>
    <row r="211" ht="15.75" customHeight="1" s="398">
      <c r="A211" s="275" t="n"/>
      <c r="B211" s="151" t="n"/>
      <c r="C211" s="152" t="n"/>
      <c r="D211" s="151" t="n"/>
      <c r="E211" s="152" t="n"/>
      <c r="F211" s="153" t="n"/>
      <c r="G211" s="154" t="n"/>
      <c r="H211" s="541" t="n"/>
      <c r="I211" s="542" t="n"/>
      <c r="J211" s="541" t="n"/>
      <c r="K211" s="157" t="n"/>
      <c r="L211" s="157" t="n"/>
      <c r="M211" s="157" t="n"/>
      <c r="N211" s="157" t="n"/>
      <c r="O211" s="157" t="n"/>
      <c r="P211" s="157" t="n"/>
      <c r="Q211" s="157" t="n"/>
      <c r="R211" s="157" t="n"/>
      <c r="S211" s="157" t="n"/>
      <c r="T211" s="157" t="n"/>
      <c r="U211" s="157" t="n"/>
      <c r="V211" s="157" t="n"/>
      <c r="W211" s="157" t="n"/>
      <c r="X211" s="157" t="n"/>
      <c r="Y211" s="157" t="n"/>
      <c r="Z211" s="157" t="n"/>
      <c r="AA211" s="157" t="n"/>
      <c r="AB211" s="157" t="n"/>
      <c r="AC211" s="157" t="n"/>
      <c r="AD211" s="157" t="n"/>
      <c r="AE211" s="158" t="n"/>
      <c r="AF211" s="158" t="n"/>
    </row>
    <row r="212" ht="15.75" customHeight="1" s="398">
      <c r="A212" s="275" t="n"/>
      <c r="B212" s="151" t="n"/>
      <c r="C212" s="152" t="n"/>
      <c r="D212" s="151" t="n"/>
      <c r="E212" s="152" t="n"/>
      <c r="F212" s="153" t="n"/>
      <c r="G212" s="154" t="n"/>
      <c r="H212" s="541" t="n"/>
      <c r="I212" s="542" t="n"/>
      <c r="J212" s="541" t="n"/>
      <c r="K212" s="157" t="n"/>
      <c r="L212" s="157" t="n"/>
      <c r="M212" s="157" t="n"/>
      <c r="N212" s="157" t="n"/>
      <c r="O212" s="157" t="n"/>
      <c r="P212" s="157" t="n"/>
      <c r="Q212" s="157" t="n"/>
      <c r="R212" s="157" t="n"/>
      <c r="S212" s="157" t="n"/>
      <c r="T212" s="157" t="n"/>
      <c r="U212" s="157" t="n"/>
      <c r="V212" s="157" t="n"/>
      <c r="W212" s="157" t="n"/>
      <c r="X212" s="157" t="n"/>
      <c r="Y212" s="157" t="n"/>
      <c r="Z212" s="157" t="n"/>
      <c r="AA212" s="157" t="n"/>
      <c r="AB212" s="157" t="n"/>
      <c r="AC212" s="157" t="n"/>
      <c r="AD212" s="157" t="n"/>
      <c r="AE212" s="158" t="n"/>
      <c r="AF212" s="158" t="n"/>
    </row>
    <row r="213" ht="15.75" customHeight="1" s="398">
      <c r="A213" s="275" t="n"/>
      <c r="B213" s="151" t="n"/>
      <c r="C213" s="152" t="n"/>
      <c r="D213" s="151" t="n"/>
      <c r="E213" s="152" t="n"/>
      <c r="F213" s="153" t="n"/>
      <c r="G213" s="154" t="n"/>
      <c r="H213" s="541" t="n"/>
      <c r="I213" s="542" t="n"/>
      <c r="J213" s="541" t="n"/>
      <c r="K213" s="157" t="n"/>
      <c r="L213" s="157" t="n"/>
      <c r="M213" s="157" t="n"/>
      <c r="N213" s="157" t="n"/>
      <c r="O213" s="157" t="n"/>
      <c r="P213" s="157" t="n"/>
      <c r="Q213" s="157" t="n"/>
      <c r="R213" s="157" t="n"/>
      <c r="S213" s="157" t="n"/>
      <c r="T213" s="157" t="n"/>
      <c r="U213" s="157" t="n"/>
      <c r="V213" s="157" t="n"/>
      <c r="W213" s="157" t="n"/>
      <c r="X213" s="157" t="n"/>
      <c r="Y213" s="157" t="n"/>
      <c r="Z213" s="157" t="n"/>
      <c r="AA213" s="157" t="n"/>
      <c r="AB213" s="157" t="n"/>
      <c r="AC213" s="157" t="n"/>
      <c r="AD213" s="157" t="n"/>
      <c r="AE213" s="158" t="n"/>
      <c r="AF213" s="158" t="n"/>
    </row>
    <row r="214" ht="15.75" customHeight="1" s="398">
      <c r="A214" s="275" t="n"/>
      <c r="B214" s="151" t="n"/>
      <c r="C214" s="152" t="n"/>
      <c r="D214" s="151" t="n"/>
      <c r="E214" s="152" t="n"/>
      <c r="F214" s="153" t="n"/>
      <c r="G214" s="154" t="n"/>
      <c r="H214" s="541" t="n"/>
      <c r="I214" s="542" t="n"/>
      <c r="J214" s="541" t="n"/>
      <c r="K214" s="157" t="n"/>
      <c r="L214" s="157" t="n"/>
      <c r="M214" s="157" t="n"/>
      <c r="N214" s="157" t="n"/>
      <c r="O214" s="157" t="n"/>
      <c r="P214" s="157" t="n"/>
      <c r="Q214" s="157" t="n"/>
      <c r="R214" s="157" t="n"/>
      <c r="S214" s="157" t="n"/>
      <c r="T214" s="157" t="n"/>
      <c r="U214" s="157" t="n"/>
      <c r="V214" s="157" t="n"/>
      <c r="W214" s="157" t="n"/>
      <c r="X214" s="157" t="n"/>
      <c r="Y214" s="157" t="n"/>
      <c r="Z214" s="157" t="n"/>
      <c r="AA214" s="157" t="n"/>
      <c r="AB214" s="157" t="n"/>
      <c r="AC214" s="157" t="n"/>
      <c r="AD214" s="157" t="n"/>
      <c r="AE214" s="158" t="n"/>
      <c r="AF214" s="158" t="n"/>
    </row>
    <row r="215" ht="15.75" customHeight="1" s="398">
      <c r="A215" s="275" t="n"/>
      <c r="B215" s="151" t="n"/>
      <c r="C215" s="152" t="n"/>
      <c r="D215" s="151" t="n"/>
      <c r="E215" s="152" t="n"/>
      <c r="F215" s="153" t="n"/>
      <c r="G215" s="154" t="n"/>
      <c r="H215" s="541" t="n"/>
      <c r="I215" s="542" t="n"/>
      <c r="J215" s="541" t="n"/>
      <c r="K215" s="157" t="n"/>
      <c r="L215" s="157" t="n"/>
      <c r="M215" s="157" t="n"/>
      <c r="N215" s="157" t="n"/>
      <c r="O215" s="157" t="n"/>
      <c r="P215" s="157" t="n"/>
      <c r="Q215" s="157" t="n"/>
      <c r="R215" s="157" t="n"/>
      <c r="S215" s="157" t="n"/>
      <c r="T215" s="157" t="n"/>
      <c r="U215" s="157" t="n"/>
      <c r="V215" s="157" t="n"/>
      <c r="W215" s="157" t="n"/>
      <c r="X215" s="157" t="n"/>
      <c r="Y215" s="157" t="n"/>
      <c r="Z215" s="157" t="n"/>
      <c r="AA215" s="157" t="n"/>
      <c r="AB215" s="157" t="n"/>
      <c r="AC215" s="157" t="n"/>
      <c r="AD215" s="157" t="n"/>
      <c r="AE215" s="158" t="n"/>
      <c r="AF215" s="158" t="n"/>
    </row>
    <row r="216" ht="15.75" customHeight="1" s="398">
      <c r="A216" s="275" t="n"/>
      <c r="B216" s="151" t="n"/>
      <c r="C216" s="152" t="n"/>
      <c r="D216" s="151" t="n"/>
      <c r="E216" s="152" t="n"/>
      <c r="F216" s="153" t="n"/>
      <c r="G216" s="154" t="n"/>
      <c r="H216" s="541" t="n"/>
      <c r="I216" s="542" t="n"/>
      <c r="J216" s="541" t="n"/>
      <c r="K216" s="157" t="n"/>
      <c r="L216" s="157" t="n"/>
      <c r="M216" s="157" t="n"/>
      <c r="N216" s="157" t="n"/>
      <c r="O216" s="157" t="n"/>
      <c r="P216" s="157" t="n"/>
      <c r="Q216" s="157" t="n"/>
      <c r="R216" s="157" t="n"/>
      <c r="S216" s="157" t="n"/>
      <c r="T216" s="157" t="n"/>
      <c r="U216" s="157" t="n"/>
      <c r="V216" s="157" t="n"/>
      <c r="W216" s="157" t="n"/>
      <c r="X216" s="157" t="n"/>
      <c r="Y216" s="157" t="n"/>
      <c r="Z216" s="157" t="n"/>
      <c r="AA216" s="157" t="n"/>
      <c r="AB216" s="157" t="n"/>
      <c r="AC216" s="157" t="n"/>
      <c r="AD216" s="157" t="n"/>
      <c r="AE216" s="158" t="n"/>
      <c r="AF216" s="158" t="n"/>
    </row>
    <row r="217" ht="15.75" customHeight="1" s="398">
      <c r="A217" s="275" t="n"/>
      <c r="B217" s="151" t="n"/>
      <c r="C217" s="152" t="n"/>
      <c r="D217" s="151" t="n"/>
      <c r="E217" s="152" t="n"/>
      <c r="F217" s="153" t="n"/>
      <c r="G217" s="154" t="n"/>
      <c r="H217" s="541" t="n"/>
      <c r="I217" s="542" t="n"/>
      <c r="J217" s="541" t="n"/>
      <c r="K217" s="157" t="n"/>
      <c r="L217" s="157" t="n"/>
      <c r="M217" s="157" t="n"/>
      <c r="N217" s="157" t="n"/>
      <c r="O217" s="157" t="n"/>
      <c r="P217" s="157" t="n"/>
      <c r="Q217" s="157" t="n"/>
      <c r="R217" s="157" t="n"/>
      <c r="S217" s="157" t="n"/>
      <c r="T217" s="157" t="n"/>
      <c r="U217" s="157" t="n"/>
      <c r="V217" s="157" t="n"/>
      <c r="W217" s="157" t="n"/>
      <c r="X217" s="157" t="n"/>
      <c r="Y217" s="157" t="n"/>
      <c r="Z217" s="157" t="n"/>
      <c r="AA217" s="157" t="n"/>
      <c r="AB217" s="157" t="n"/>
      <c r="AC217" s="157" t="n"/>
      <c r="AD217" s="157" t="n"/>
      <c r="AE217" s="158" t="n"/>
      <c r="AF217" s="158" t="n"/>
    </row>
    <row r="218" ht="15.75" customHeight="1" s="398">
      <c r="A218" s="275" t="n"/>
      <c r="B218" s="151" t="n"/>
      <c r="C218" s="152" t="n"/>
      <c r="D218" s="151" t="n"/>
      <c r="E218" s="152" t="n"/>
      <c r="F218" s="153" t="n"/>
      <c r="G218" s="154" t="n"/>
      <c r="H218" s="541" t="n"/>
      <c r="I218" s="542" t="n"/>
      <c r="J218" s="541" t="n"/>
      <c r="K218" s="157" t="n"/>
      <c r="L218" s="157" t="n"/>
      <c r="M218" s="157" t="n"/>
      <c r="N218" s="157" t="n"/>
      <c r="O218" s="157" t="n"/>
      <c r="P218" s="157" t="n"/>
      <c r="Q218" s="157" t="n"/>
      <c r="R218" s="157" t="n"/>
      <c r="S218" s="157" t="n"/>
      <c r="T218" s="157" t="n"/>
      <c r="U218" s="157" t="n"/>
      <c r="V218" s="157" t="n"/>
      <c r="W218" s="157" t="n"/>
      <c r="X218" s="157" t="n"/>
      <c r="Y218" s="157" t="n"/>
      <c r="Z218" s="157" t="n"/>
      <c r="AA218" s="157" t="n"/>
      <c r="AB218" s="157" t="n"/>
      <c r="AC218" s="157" t="n"/>
      <c r="AD218" s="157" t="n"/>
      <c r="AE218" s="158" t="n"/>
      <c r="AF218" s="158" t="n"/>
    </row>
    <row r="219" ht="15.75" customHeight="1" s="398">
      <c r="A219" s="275" t="n"/>
      <c r="B219" s="151" t="n"/>
      <c r="C219" s="152" t="n"/>
      <c r="D219" s="151" t="n"/>
      <c r="E219" s="152" t="n"/>
      <c r="F219" s="153" t="n"/>
      <c r="G219" s="154" t="n"/>
      <c r="H219" s="541" t="n"/>
      <c r="I219" s="542" t="n"/>
      <c r="J219" s="541" t="n"/>
      <c r="K219" s="157" t="n"/>
      <c r="L219" s="157" t="n"/>
      <c r="M219" s="157" t="n"/>
      <c r="N219" s="157" t="n"/>
      <c r="O219" s="157" t="n"/>
      <c r="P219" s="157" t="n"/>
      <c r="Q219" s="157" t="n"/>
      <c r="R219" s="157" t="n"/>
      <c r="S219" s="157" t="n"/>
      <c r="T219" s="157" t="n"/>
      <c r="U219" s="157" t="n"/>
      <c r="V219" s="157" t="n"/>
      <c r="W219" s="157" t="n"/>
      <c r="X219" s="157" t="n"/>
      <c r="Y219" s="157" t="n"/>
      <c r="Z219" s="157" t="n"/>
      <c r="AA219" s="157" t="n"/>
      <c r="AB219" s="157" t="n"/>
      <c r="AC219" s="157" t="n"/>
      <c r="AD219" s="157" t="n"/>
      <c r="AE219" s="158" t="n"/>
      <c r="AF219" s="158" t="n"/>
    </row>
    <row r="220" ht="15.75" customHeight="1" s="398">
      <c r="A220" s="275" t="n"/>
      <c r="B220" s="151" t="n"/>
      <c r="C220" s="152" t="n"/>
      <c r="D220" s="151" t="n"/>
      <c r="E220" s="152" t="n"/>
      <c r="F220" s="153" t="n"/>
      <c r="G220" s="154" t="n"/>
      <c r="H220" s="541" t="n"/>
      <c r="I220" s="542" t="n"/>
      <c r="J220" s="541" t="n"/>
      <c r="K220" s="157" t="n"/>
      <c r="L220" s="157" t="n"/>
      <c r="M220" s="157" t="n"/>
      <c r="N220" s="157" t="n"/>
      <c r="O220" s="157" t="n"/>
      <c r="P220" s="157" t="n"/>
      <c r="Q220" s="157" t="n"/>
      <c r="R220" s="157" t="n"/>
      <c r="S220" s="157" t="n"/>
      <c r="T220" s="157" t="n"/>
      <c r="U220" s="157" t="n"/>
      <c r="V220" s="157" t="n"/>
      <c r="W220" s="157" t="n"/>
      <c r="X220" s="157" t="n"/>
      <c r="Y220" s="157" t="n"/>
      <c r="Z220" s="157" t="n"/>
      <c r="AA220" s="157" t="n"/>
      <c r="AB220" s="157" t="n"/>
      <c r="AC220" s="157" t="n"/>
      <c r="AD220" s="157" t="n"/>
      <c r="AE220" s="158" t="n"/>
      <c r="AF220" s="158" t="n"/>
    </row>
    <row r="221" ht="15.75" customHeight="1" s="398">
      <c r="A221" s="275" t="n"/>
      <c r="B221" s="151" t="n"/>
      <c r="C221" s="152" t="n"/>
      <c r="D221" s="151" t="n"/>
      <c r="E221" s="152" t="n"/>
      <c r="F221" s="153" t="n"/>
      <c r="G221" s="154" t="n"/>
      <c r="H221" s="541" t="n"/>
      <c r="I221" s="542" t="n"/>
      <c r="J221" s="541" t="n"/>
      <c r="K221" s="157" t="n"/>
      <c r="L221" s="157" t="n"/>
      <c r="M221" s="157" t="n"/>
      <c r="N221" s="157" t="n"/>
      <c r="O221" s="157" t="n"/>
      <c r="P221" s="157" t="n"/>
      <c r="Q221" s="157" t="n"/>
      <c r="R221" s="157" t="n"/>
      <c r="S221" s="157" t="n"/>
      <c r="T221" s="157" t="n"/>
      <c r="U221" s="157" t="n"/>
      <c r="V221" s="157" t="n"/>
      <c r="W221" s="157" t="n"/>
      <c r="X221" s="157" t="n"/>
      <c r="Y221" s="157" t="n"/>
      <c r="Z221" s="157" t="n"/>
      <c r="AA221" s="157" t="n"/>
      <c r="AB221" s="157" t="n"/>
      <c r="AC221" s="157" t="n"/>
      <c r="AD221" s="157" t="n"/>
      <c r="AE221" s="158" t="n"/>
      <c r="AF221" s="158" t="n"/>
    </row>
    <row r="222" ht="15.75" customHeight="1" s="398">
      <c r="A222" s="275" t="n"/>
      <c r="B222" s="151" t="n"/>
      <c r="C222" s="152" t="n"/>
      <c r="D222" s="151" t="n"/>
      <c r="E222" s="152" t="n"/>
      <c r="F222" s="153" t="n"/>
      <c r="G222" s="154" t="n"/>
      <c r="H222" s="541" t="n"/>
      <c r="I222" s="542" t="n"/>
      <c r="J222" s="541" t="n"/>
      <c r="K222" s="157" t="n"/>
      <c r="L222" s="157" t="n"/>
      <c r="M222" s="157" t="n"/>
      <c r="N222" s="157" t="n"/>
      <c r="O222" s="157" t="n"/>
      <c r="P222" s="157" t="n"/>
      <c r="Q222" s="157" t="n"/>
      <c r="R222" s="157" t="n"/>
      <c r="S222" s="157" t="n"/>
      <c r="T222" s="157" t="n"/>
      <c r="U222" s="157" t="n"/>
      <c r="V222" s="157" t="n"/>
      <c r="W222" s="157" t="n"/>
      <c r="X222" s="157" t="n"/>
      <c r="Y222" s="157" t="n"/>
      <c r="Z222" s="157" t="n"/>
      <c r="AA222" s="157" t="n"/>
      <c r="AB222" s="157" t="n"/>
      <c r="AC222" s="157" t="n"/>
      <c r="AD222" s="157" t="n"/>
      <c r="AE222" s="158" t="n"/>
      <c r="AF222" s="158" t="n"/>
    </row>
    <row r="223" ht="15.75" customHeight="1" s="398">
      <c r="A223" s="275" t="n"/>
      <c r="B223" s="151" t="n"/>
      <c r="C223" s="152" t="n"/>
      <c r="D223" s="151" t="n"/>
      <c r="E223" s="152" t="n"/>
      <c r="F223" s="153" t="n"/>
      <c r="G223" s="154" t="n"/>
      <c r="H223" s="541" t="n"/>
      <c r="I223" s="542" t="n"/>
      <c r="J223" s="541" t="n"/>
      <c r="K223" s="157" t="n"/>
      <c r="L223" s="157" t="n"/>
      <c r="M223" s="157" t="n"/>
      <c r="N223" s="157" t="n"/>
      <c r="O223" s="157" t="n"/>
      <c r="P223" s="157" t="n"/>
      <c r="Q223" s="157" t="n"/>
      <c r="R223" s="157" t="n"/>
      <c r="S223" s="157" t="n"/>
      <c r="T223" s="157" t="n"/>
      <c r="U223" s="157" t="n"/>
      <c r="V223" s="157" t="n"/>
      <c r="W223" s="157" t="n"/>
      <c r="X223" s="157" t="n"/>
      <c r="Y223" s="157" t="n"/>
      <c r="Z223" s="157" t="n"/>
      <c r="AA223" s="157" t="n"/>
      <c r="AB223" s="157" t="n"/>
      <c r="AC223" s="157" t="n"/>
      <c r="AD223" s="157" t="n"/>
      <c r="AE223" s="158" t="n"/>
      <c r="AF223" s="158" t="n"/>
    </row>
    <row r="224" ht="15.75" customHeight="1" s="398">
      <c r="A224" s="275" t="n"/>
      <c r="B224" s="151" t="n"/>
      <c r="C224" s="152" t="n"/>
      <c r="D224" s="151" t="n"/>
      <c r="E224" s="152" t="n"/>
      <c r="F224" s="153" t="n"/>
      <c r="G224" s="154" t="n"/>
      <c r="H224" s="541" t="n"/>
      <c r="I224" s="542" t="n"/>
      <c r="J224" s="541" t="n"/>
      <c r="K224" s="157" t="n"/>
      <c r="L224" s="157" t="n"/>
      <c r="M224" s="157" t="n"/>
      <c r="N224" s="157" t="n"/>
      <c r="O224" s="157" t="n"/>
      <c r="P224" s="157" t="n"/>
      <c r="Q224" s="157" t="n"/>
      <c r="R224" s="157" t="n"/>
      <c r="S224" s="157" t="n"/>
      <c r="T224" s="157" t="n"/>
      <c r="U224" s="157" t="n"/>
      <c r="V224" s="157" t="n"/>
      <c r="W224" s="157" t="n"/>
      <c r="X224" s="157" t="n"/>
      <c r="Y224" s="157" t="n"/>
      <c r="Z224" s="157" t="n"/>
      <c r="AA224" s="157" t="n"/>
      <c r="AB224" s="157" t="n"/>
      <c r="AC224" s="157" t="n"/>
      <c r="AD224" s="157" t="n"/>
      <c r="AE224" s="158" t="n"/>
      <c r="AF224" s="158" t="n"/>
    </row>
    <row r="225" ht="15.75" customHeight="1" s="398">
      <c r="A225" s="275" t="n"/>
      <c r="B225" s="151" t="n"/>
      <c r="C225" s="152" t="n"/>
      <c r="D225" s="151" t="n"/>
      <c r="E225" s="152" t="n"/>
      <c r="F225" s="153" t="n"/>
      <c r="G225" s="154" t="n"/>
      <c r="H225" s="541" t="n"/>
      <c r="I225" s="542" t="n"/>
      <c r="J225" s="541" t="n"/>
      <c r="K225" s="157" t="n"/>
      <c r="L225" s="157" t="n"/>
      <c r="M225" s="157" t="n"/>
      <c r="N225" s="157" t="n"/>
      <c r="O225" s="157" t="n"/>
      <c r="P225" s="157" t="n"/>
      <c r="Q225" s="157" t="n"/>
      <c r="R225" s="157" t="n"/>
      <c r="S225" s="157" t="n"/>
      <c r="T225" s="157" t="n"/>
      <c r="U225" s="157" t="n"/>
      <c r="V225" s="157" t="n"/>
      <c r="W225" s="157" t="n"/>
      <c r="X225" s="157" t="n"/>
      <c r="Y225" s="157" t="n"/>
      <c r="Z225" s="157" t="n"/>
      <c r="AA225" s="157" t="n"/>
      <c r="AB225" s="157" t="n"/>
      <c r="AC225" s="157" t="n"/>
      <c r="AD225" s="157" t="n"/>
      <c r="AE225" s="158" t="n"/>
      <c r="AF225" s="158" t="n"/>
    </row>
    <row r="226" ht="15.75" customHeight="1" s="398">
      <c r="A226" s="275" t="n"/>
      <c r="B226" s="151" t="n"/>
      <c r="C226" s="152" t="n"/>
      <c r="D226" s="151" t="n"/>
      <c r="E226" s="152" t="n"/>
      <c r="F226" s="153" t="n"/>
      <c r="G226" s="154" t="n"/>
      <c r="H226" s="541" t="n"/>
      <c r="I226" s="542" t="n"/>
      <c r="J226" s="541" t="n"/>
      <c r="K226" s="157" t="n"/>
      <c r="L226" s="157" t="n"/>
      <c r="M226" s="157" t="n"/>
      <c r="N226" s="157" t="n"/>
      <c r="O226" s="157" t="n"/>
      <c r="P226" s="157" t="n"/>
      <c r="Q226" s="157" t="n"/>
      <c r="R226" s="157" t="n"/>
      <c r="S226" s="157" t="n"/>
      <c r="T226" s="157" t="n"/>
      <c r="U226" s="157" t="n"/>
      <c r="V226" s="157" t="n"/>
      <c r="W226" s="157" t="n"/>
      <c r="X226" s="157" t="n"/>
      <c r="Y226" s="157" t="n"/>
      <c r="Z226" s="157" t="n"/>
      <c r="AA226" s="157" t="n"/>
      <c r="AB226" s="157" t="n"/>
      <c r="AC226" s="157" t="n"/>
      <c r="AD226" s="157" t="n"/>
      <c r="AE226" s="158" t="n"/>
      <c r="AF226" s="158" t="n"/>
    </row>
    <row r="227" ht="15.75" customHeight="1" s="398">
      <c r="A227" s="275" t="n"/>
      <c r="B227" s="151" t="n"/>
      <c r="C227" s="152" t="n"/>
      <c r="D227" s="151" t="n"/>
      <c r="E227" s="152" t="n"/>
      <c r="F227" s="153" t="n"/>
      <c r="G227" s="154" t="n"/>
      <c r="H227" s="541" t="n"/>
      <c r="I227" s="542" t="n"/>
      <c r="J227" s="541" t="n"/>
      <c r="K227" s="157" t="n"/>
      <c r="L227" s="157" t="n"/>
      <c r="M227" s="157" t="n"/>
      <c r="N227" s="157" t="n"/>
      <c r="O227" s="157" t="n"/>
      <c r="P227" s="157" t="n"/>
      <c r="Q227" s="157" t="n"/>
      <c r="R227" s="157" t="n"/>
      <c r="S227" s="157" t="n"/>
      <c r="T227" s="157" t="n"/>
      <c r="U227" s="157" t="n"/>
      <c r="V227" s="157" t="n"/>
      <c r="W227" s="157" t="n"/>
      <c r="X227" s="157" t="n"/>
      <c r="Y227" s="157" t="n"/>
      <c r="Z227" s="157" t="n"/>
      <c r="AA227" s="157" t="n"/>
      <c r="AB227" s="157" t="n"/>
      <c r="AC227" s="157" t="n"/>
      <c r="AD227" s="157" t="n"/>
      <c r="AE227" s="158" t="n"/>
      <c r="AF227" s="158" t="n"/>
    </row>
    <row r="228" ht="15.75" customHeight="1" s="398">
      <c r="A228" s="275" t="n"/>
      <c r="B228" s="151" t="n"/>
      <c r="C228" s="152" t="n"/>
      <c r="D228" s="151" t="n"/>
      <c r="E228" s="152" t="n"/>
      <c r="F228" s="153" t="n"/>
      <c r="G228" s="154" t="n"/>
      <c r="H228" s="541" t="n"/>
      <c r="I228" s="542" t="n"/>
      <c r="J228" s="541" t="n"/>
      <c r="K228" s="157" t="n"/>
      <c r="L228" s="157" t="n"/>
      <c r="M228" s="157" t="n"/>
      <c r="N228" s="157" t="n"/>
      <c r="O228" s="157" t="n"/>
      <c r="P228" s="157" t="n"/>
      <c r="Q228" s="157" t="n"/>
      <c r="R228" s="157" t="n"/>
      <c r="S228" s="157" t="n"/>
      <c r="T228" s="157" t="n"/>
      <c r="U228" s="157" t="n"/>
      <c r="V228" s="157" t="n"/>
      <c r="W228" s="157" t="n"/>
      <c r="X228" s="157" t="n"/>
      <c r="Y228" s="157" t="n"/>
      <c r="Z228" s="157" t="n"/>
      <c r="AA228" s="157" t="n"/>
      <c r="AB228" s="157" t="n"/>
      <c r="AC228" s="157" t="n"/>
      <c r="AD228" s="157" t="n"/>
      <c r="AE228" s="158" t="n"/>
      <c r="AF228" s="158" t="n"/>
    </row>
    <row r="229" ht="15.75" customHeight="1" s="398">
      <c r="A229" s="275" t="n"/>
      <c r="B229" s="151" t="n"/>
      <c r="C229" s="152" t="n"/>
      <c r="D229" s="151" t="n"/>
      <c r="E229" s="152" t="n"/>
      <c r="F229" s="153" t="n"/>
      <c r="G229" s="154" t="n"/>
      <c r="H229" s="541" t="n"/>
      <c r="I229" s="542" t="n"/>
      <c r="J229" s="541" t="n"/>
      <c r="K229" s="157" t="n"/>
      <c r="L229" s="157" t="n"/>
      <c r="M229" s="157" t="n"/>
      <c r="N229" s="157" t="n"/>
      <c r="O229" s="157" t="n"/>
      <c r="P229" s="157" t="n"/>
      <c r="Q229" s="157" t="n"/>
      <c r="R229" s="157" t="n"/>
      <c r="S229" s="157" t="n"/>
      <c r="T229" s="157" t="n"/>
      <c r="U229" s="157" t="n"/>
      <c r="V229" s="157" t="n"/>
      <c r="W229" s="157" t="n"/>
      <c r="X229" s="157" t="n"/>
      <c r="Y229" s="157" t="n"/>
      <c r="Z229" s="157" t="n"/>
      <c r="AA229" s="157" t="n"/>
      <c r="AB229" s="157" t="n"/>
      <c r="AC229" s="157" t="n"/>
      <c r="AD229" s="157" t="n"/>
      <c r="AE229" s="158" t="n"/>
      <c r="AF229" s="158" t="n"/>
    </row>
    <row r="230" ht="15.75" customHeight="1" s="398">
      <c r="A230" s="275" t="n"/>
      <c r="B230" s="151" t="n"/>
      <c r="C230" s="152" t="n"/>
      <c r="D230" s="151" t="n"/>
      <c r="E230" s="152" t="n"/>
      <c r="F230" s="153" t="n"/>
      <c r="G230" s="154" t="n"/>
      <c r="H230" s="541" t="n"/>
      <c r="I230" s="542" t="n"/>
      <c r="J230" s="541" t="n"/>
      <c r="K230" s="157" t="n"/>
      <c r="L230" s="157" t="n"/>
      <c r="M230" s="157" t="n"/>
      <c r="N230" s="157" t="n"/>
      <c r="O230" s="157" t="n"/>
      <c r="P230" s="157" t="n"/>
      <c r="Q230" s="157" t="n"/>
      <c r="R230" s="157" t="n"/>
      <c r="S230" s="157" t="n"/>
      <c r="T230" s="157" t="n"/>
      <c r="U230" s="157" t="n"/>
      <c r="V230" s="157" t="n"/>
      <c r="W230" s="157" t="n"/>
      <c r="X230" s="157" t="n"/>
      <c r="Y230" s="157" t="n"/>
      <c r="Z230" s="157" t="n"/>
      <c r="AA230" s="157" t="n"/>
      <c r="AB230" s="157" t="n"/>
      <c r="AC230" s="157" t="n"/>
      <c r="AD230" s="157" t="n"/>
      <c r="AE230" s="158" t="n"/>
      <c r="AF230" s="158" t="n"/>
    </row>
    <row r="231" ht="15.75" customHeight="1" s="398">
      <c r="A231" s="275" t="n"/>
      <c r="B231" s="151" t="n"/>
      <c r="C231" s="152" t="n"/>
      <c r="D231" s="151" t="n"/>
      <c r="E231" s="152" t="n"/>
      <c r="F231" s="153" t="n"/>
      <c r="G231" s="154" t="n"/>
      <c r="H231" s="541" t="n"/>
      <c r="I231" s="542" t="n"/>
      <c r="J231" s="541" t="n"/>
      <c r="K231" s="157" t="n"/>
      <c r="L231" s="157" t="n"/>
      <c r="M231" s="157" t="n"/>
      <c r="N231" s="157" t="n"/>
      <c r="O231" s="157" t="n"/>
      <c r="P231" s="157" t="n"/>
      <c r="Q231" s="157" t="n"/>
      <c r="R231" s="157" t="n"/>
      <c r="S231" s="157" t="n"/>
      <c r="T231" s="157" t="n"/>
      <c r="U231" s="157" t="n"/>
      <c r="V231" s="157" t="n"/>
      <c r="W231" s="157" t="n"/>
      <c r="X231" s="157" t="n"/>
      <c r="Y231" s="157" t="n"/>
      <c r="Z231" s="157" t="n"/>
      <c r="AA231" s="157" t="n"/>
      <c r="AB231" s="157" t="n"/>
      <c r="AC231" s="157" t="n"/>
      <c r="AD231" s="157" t="n"/>
      <c r="AE231" s="158" t="n"/>
      <c r="AF231" s="158" t="n"/>
    </row>
    <row r="232" ht="15.75" customHeight="1" s="398">
      <c r="A232" s="275" t="n"/>
      <c r="B232" s="151" t="n"/>
      <c r="C232" s="152" t="n"/>
      <c r="D232" s="151" t="n"/>
      <c r="E232" s="152" t="n"/>
      <c r="F232" s="153" t="n"/>
      <c r="G232" s="154" t="n"/>
      <c r="H232" s="541" t="n"/>
      <c r="I232" s="542" t="n"/>
      <c r="J232" s="541" t="n"/>
      <c r="K232" s="157" t="n"/>
      <c r="L232" s="157" t="n"/>
      <c r="M232" s="157" t="n"/>
      <c r="N232" s="157" t="n"/>
      <c r="O232" s="157" t="n"/>
      <c r="P232" s="157" t="n"/>
      <c r="Q232" s="157" t="n"/>
      <c r="R232" s="157" t="n"/>
      <c r="S232" s="157" t="n"/>
      <c r="T232" s="157" t="n"/>
      <c r="U232" s="157" t="n"/>
      <c r="V232" s="157" t="n"/>
      <c r="W232" s="157" t="n"/>
      <c r="X232" s="157" t="n"/>
      <c r="Y232" s="157" t="n"/>
      <c r="Z232" s="157" t="n"/>
      <c r="AA232" s="157" t="n"/>
      <c r="AB232" s="157" t="n"/>
      <c r="AC232" s="157" t="n"/>
      <c r="AD232" s="157" t="n"/>
      <c r="AE232" s="158" t="n"/>
      <c r="AF232" s="158" t="n"/>
    </row>
    <row r="233" ht="15.75" customHeight="1" s="398">
      <c r="A233" s="275" t="n"/>
      <c r="B233" s="151" t="n"/>
      <c r="C233" s="152" t="n"/>
      <c r="D233" s="151" t="n"/>
      <c r="E233" s="152" t="n"/>
      <c r="F233" s="153" t="n"/>
      <c r="G233" s="154" t="n"/>
      <c r="H233" s="541" t="n"/>
      <c r="I233" s="542" t="n"/>
      <c r="J233" s="541" t="n"/>
      <c r="K233" s="157" t="n"/>
      <c r="L233" s="157" t="n"/>
      <c r="M233" s="157" t="n"/>
      <c r="N233" s="157" t="n"/>
      <c r="O233" s="157" t="n"/>
      <c r="P233" s="157" t="n"/>
      <c r="Q233" s="157" t="n"/>
      <c r="R233" s="157" t="n"/>
      <c r="S233" s="157" t="n"/>
      <c r="T233" s="157" t="n"/>
      <c r="U233" s="157" t="n"/>
      <c r="V233" s="157" t="n"/>
      <c r="W233" s="157" t="n"/>
      <c r="X233" s="157" t="n"/>
      <c r="Y233" s="157" t="n"/>
      <c r="Z233" s="157" t="n"/>
      <c r="AA233" s="157" t="n"/>
      <c r="AB233" s="157" t="n"/>
      <c r="AC233" s="157" t="n"/>
      <c r="AD233" s="157" t="n"/>
      <c r="AE233" s="158" t="n"/>
      <c r="AF233" s="158" t="n"/>
    </row>
    <row r="234" ht="15.75" customHeight="1" s="398">
      <c r="A234" s="275" t="n"/>
      <c r="B234" s="151" t="n"/>
      <c r="C234" s="152" t="n"/>
      <c r="D234" s="151" t="n"/>
      <c r="E234" s="152" t="n"/>
      <c r="F234" s="153" t="n"/>
      <c r="G234" s="154" t="n"/>
      <c r="H234" s="541" t="n"/>
      <c r="I234" s="542" t="n"/>
      <c r="J234" s="541" t="n"/>
      <c r="K234" s="157" t="n"/>
      <c r="L234" s="157" t="n"/>
      <c r="M234" s="157" t="n"/>
      <c r="N234" s="157" t="n"/>
      <c r="O234" s="157" t="n"/>
      <c r="P234" s="157" t="n"/>
      <c r="Q234" s="157" t="n"/>
      <c r="R234" s="157" t="n"/>
      <c r="S234" s="157" t="n"/>
      <c r="T234" s="157" t="n"/>
      <c r="U234" s="157" t="n"/>
      <c r="V234" s="157" t="n"/>
      <c r="W234" s="157" t="n"/>
      <c r="X234" s="157" t="n"/>
      <c r="Y234" s="157" t="n"/>
      <c r="Z234" s="157" t="n"/>
      <c r="AA234" s="157" t="n"/>
      <c r="AB234" s="157" t="n"/>
      <c r="AC234" s="157" t="n"/>
      <c r="AD234" s="157" t="n"/>
      <c r="AE234" s="158" t="n"/>
      <c r="AF234" s="158" t="n"/>
    </row>
    <row r="235" ht="15.75" customHeight="1" s="398">
      <c r="A235" s="275" t="n"/>
      <c r="B235" s="151" t="n"/>
      <c r="C235" s="152" t="n"/>
      <c r="D235" s="151" t="n"/>
      <c r="E235" s="152" t="n"/>
      <c r="F235" s="153" t="n"/>
      <c r="G235" s="154" t="n"/>
      <c r="H235" s="541" t="n"/>
      <c r="I235" s="542" t="n"/>
      <c r="J235" s="541" t="n"/>
      <c r="K235" s="157" t="n"/>
      <c r="L235" s="157" t="n"/>
      <c r="M235" s="157" t="n"/>
      <c r="N235" s="157" t="n"/>
      <c r="O235" s="157" t="n"/>
      <c r="P235" s="157" t="n"/>
      <c r="Q235" s="157" t="n"/>
      <c r="R235" s="157" t="n"/>
      <c r="S235" s="157" t="n"/>
      <c r="T235" s="157" t="n"/>
      <c r="U235" s="157" t="n"/>
      <c r="V235" s="157" t="n"/>
      <c r="W235" s="157" t="n"/>
      <c r="X235" s="157" t="n"/>
      <c r="Y235" s="157" t="n"/>
      <c r="Z235" s="157" t="n"/>
      <c r="AA235" s="157" t="n"/>
      <c r="AB235" s="157" t="n"/>
      <c r="AC235" s="157" t="n"/>
      <c r="AD235" s="157" t="n"/>
      <c r="AE235" s="158" t="n"/>
      <c r="AF235" s="158" t="n"/>
    </row>
    <row r="236" ht="15.75" customHeight="1" s="398">
      <c r="A236" s="275" t="n"/>
      <c r="B236" s="151" t="n"/>
      <c r="C236" s="152" t="n"/>
      <c r="D236" s="151" t="n"/>
      <c r="E236" s="152" t="n"/>
      <c r="F236" s="153" t="n"/>
      <c r="G236" s="154" t="n"/>
      <c r="H236" s="541" t="n"/>
      <c r="I236" s="542" t="n"/>
      <c r="J236" s="541" t="n"/>
      <c r="K236" s="157" t="n"/>
      <c r="L236" s="157" t="n"/>
      <c r="M236" s="157" t="n"/>
      <c r="N236" s="157" t="n"/>
      <c r="O236" s="157" t="n"/>
      <c r="P236" s="157" t="n"/>
      <c r="Q236" s="157" t="n"/>
      <c r="R236" s="157" t="n"/>
      <c r="S236" s="157" t="n"/>
      <c r="T236" s="157" t="n"/>
      <c r="U236" s="157" t="n"/>
      <c r="V236" s="157" t="n"/>
      <c r="W236" s="157" t="n"/>
      <c r="X236" s="157" t="n"/>
      <c r="Y236" s="157" t="n"/>
      <c r="Z236" s="157" t="n"/>
      <c r="AA236" s="157" t="n"/>
      <c r="AB236" s="157" t="n"/>
      <c r="AC236" s="157" t="n"/>
      <c r="AD236" s="157" t="n"/>
      <c r="AE236" s="158" t="n"/>
      <c r="AF236" s="158" t="n"/>
    </row>
    <row r="237" ht="15.75" customHeight="1" s="398">
      <c r="A237" s="275" t="n"/>
      <c r="B237" s="151" t="n"/>
      <c r="C237" s="152" t="n"/>
      <c r="D237" s="151" t="n"/>
      <c r="E237" s="152" t="n"/>
      <c r="F237" s="153" t="n"/>
      <c r="G237" s="154" t="n"/>
      <c r="H237" s="541" t="n"/>
      <c r="I237" s="542" t="n"/>
      <c r="J237" s="541" t="n"/>
      <c r="K237" s="157" t="n"/>
      <c r="L237" s="157" t="n"/>
      <c r="M237" s="157" t="n"/>
      <c r="N237" s="157" t="n"/>
      <c r="O237" s="157" t="n"/>
      <c r="P237" s="157" t="n"/>
      <c r="Q237" s="157" t="n"/>
      <c r="R237" s="157" t="n"/>
      <c r="S237" s="157" t="n"/>
      <c r="T237" s="157" t="n"/>
      <c r="U237" s="157" t="n"/>
      <c r="V237" s="157" t="n"/>
      <c r="W237" s="157" t="n"/>
      <c r="X237" s="157" t="n"/>
      <c r="Y237" s="157" t="n"/>
      <c r="Z237" s="157" t="n"/>
      <c r="AA237" s="157" t="n"/>
      <c r="AB237" s="157" t="n"/>
      <c r="AC237" s="157" t="n"/>
      <c r="AD237" s="157" t="n"/>
      <c r="AE237" s="158" t="n"/>
      <c r="AF237" s="158" t="n"/>
    </row>
    <row r="238" ht="15.75" customHeight="1" s="398">
      <c r="A238" s="275" t="n"/>
      <c r="B238" s="151" t="n"/>
      <c r="C238" s="152" t="n"/>
      <c r="D238" s="151" t="n"/>
      <c r="E238" s="152" t="n"/>
      <c r="F238" s="153" t="n"/>
      <c r="G238" s="154" t="n"/>
      <c r="H238" s="541" t="n"/>
      <c r="I238" s="542" t="n"/>
      <c r="J238" s="541" t="n"/>
      <c r="K238" s="157" t="n"/>
      <c r="L238" s="157" t="n"/>
      <c r="M238" s="157" t="n"/>
      <c r="N238" s="157" t="n"/>
      <c r="O238" s="157" t="n"/>
      <c r="P238" s="157" t="n"/>
      <c r="Q238" s="157" t="n"/>
      <c r="R238" s="157" t="n"/>
      <c r="S238" s="157" t="n"/>
      <c r="T238" s="157" t="n"/>
      <c r="U238" s="157" t="n"/>
      <c r="V238" s="157" t="n"/>
      <c r="W238" s="157" t="n"/>
      <c r="X238" s="157" t="n"/>
      <c r="Y238" s="157" t="n"/>
      <c r="Z238" s="157" t="n"/>
      <c r="AA238" s="157" t="n"/>
      <c r="AB238" s="157" t="n"/>
      <c r="AC238" s="157" t="n"/>
      <c r="AD238" s="157" t="n"/>
      <c r="AE238" s="158" t="n"/>
      <c r="AF238" s="158" t="n"/>
    </row>
    <row r="239" ht="15.75" customHeight="1" s="398">
      <c r="A239" s="275" t="n"/>
      <c r="B239" s="151" t="n"/>
      <c r="C239" s="152" t="n"/>
      <c r="D239" s="151" t="n"/>
      <c r="E239" s="152" t="n"/>
      <c r="F239" s="153" t="n"/>
      <c r="G239" s="154" t="n"/>
      <c r="H239" s="541" t="n"/>
      <c r="I239" s="542" t="n"/>
      <c r="J239" s="541" t="n"/>
      <c r="K239" s="157" t="n"/>
      <c r="L239" s="157" t="n"/>
      <c r="M239" s="157" t="n"/>
      <c r="N239" s="157" t="n"/>
      <c r="O239" s="157" t="n"/>
      <c r="P239" s="157" t="n"/>
      <c r="Q239" s="157" t="n"/>
      <c r="R239" s="157" t="n"/>
      <c r="S239" s="157" t="n"/>
      <c r="T239" s="157" t="n"/>
      <c r="U239" s="157" t="n"/>
      <c r="V239" s="157" t="n"/>
      <c r="W239" s="157" t="n"/>
      <c r="X239" s="157" t="n"/>
      <c r="Y239" s="157" t="n"/>
      <c r="Z239" s="157" t="n"/>
      <c r="AA239" s="157" t="n"/>
      <c r="AB239" s="157" t="n"/>
      <c r="AC239" s="157" t="n"/>
      <c r="AD239" s="157" t="n"/>
      <c r="AE239" s="158" t="n"/>
      <c r="AF239" s="158" t="n"/>
    </row>
    <row r="240" ht="15.75" customHeight="1" s="398">
      <c r="A240" s="275" t="n"/>
      <c r="B240" s="151" t="n"/>
      <c r="C240" s="152" t="n"/>
      <c r="D240" s="151" t="n"/>
      <c r="E240" s="152" t="n"/>
      <c r="F240" s="153" t="n"/>
      <c r="G240" s="154" t="n"/>
      <c r="H240" s="541" t="n"/>
      <c r="I240" s="542" t="n"/>
      <c r="J240" s="541" t="n"/>
      <c r="K240" s="157" t="n"/>
      <c r="L240" s="157" t="n"/>
      <c r="M240" s="157" t="n"/>
      <c r="N240" s="157" t="n"/>
      <c r="O240" s="157" t="n"/>
      <c r="P240" s="157" t="n"/>
      <c r="Q240" s="157" t="n"/>
      <c r="R240" s="157" t="n"/>
      <c r="S240" s="157" t="n"/>
      <c r="T240" s="157" t="n"/>
      <c r="U240" s="157" t="n"/>
      <c r="V240" s="157" t="n"/>
      <c r="W240" s="157" t="n"/>
      <c r="X240" s="157" t="n"/>
      <c r="Y240" s="157" t="n"/>
      <c r="Z240" s="157" t="n"/>
      <c r="AA240" s="157" t="n"/>
      <c r="AB240" s="157" t="n"/>
      <c r="AC240" s="157" t="n"/>
      <c r="AD240" s="157" t="n"/>
      <c r="AE240" s="158" t="n"/>
      <c r="AF240" s="158" t="n"/>
    </row>
    <row r="241" ht="15.75" customHeight="1" s="398">
      <c r="A241" s="275" t="n"/>
      <c r="B241" s="151" t="n"/>
      <c r="C241" s="152" t="n"/>
      <c r="D241" s="151" t="n"/>
      <c r="E241" s="152" t="n"/>
      <c r="F241" s="153" t="n"/>
      <c r="G241" s="154" t="n"/>
      <c r="H241" s="541" t="n"/>
      <c r="I241" s="542" t="n"/>
      <c r="J241" s="541" t="n"/>
      <c r="K241" s="157" t="n"/>
      <c r="L241" s="157" t="n"/>
      <c r="M241" s="157" t="n"/>
      <c r="N241" s="157" t="n"/>
      <c r="O241" s="157" t="n"/>
      <c r="P241" s="157" t="n"/>
      <c r="Q241" s="157" t="n"/>
      <c r="R241" s="157" t="n"/>
      <c r="S241" s="157" t="n"/>
      <c r="T241" s="157" t="n"/>
      <c r="U241" s="157" t="n"/>
      <c r="V241" s="157" t="n"/>
      <c r="W241" s="157" t="n"/>
      <c r="X241" s="157" t="n"/>
      <c r="Y241" s="157" t="n"/>
      <c r="Z241" s="157" t="n"/>
      <c r="AA241" s="157" t="n"/>
      <c r="AB241" s="157" t="n"/>
      <c r="AC241" s="157" t="n"/>
      <c r="AD241" s="157" t="n"/>
      <c r="AE241" s="158" t="n"/>
      <c r="AF241" s="158" t="n"/>
    </row>
    <row r="242" ht="15.75" customHeight="1" s="398">
      <c r="A242" s="275" t="n"/>
      <c r="B242" s="151" t="n"/>
      <c r="C242" s="152" t="n"/>
      <c r="D242" s="151" t="n"/>
      <c r="E242" s="152" t="n"/>
      <c r="F242" s="153" t="n"/>
      <c r="G242" s="154" t="n"/>
      <c r="H242" s="541" t="n"/>
      <c r="I242" s="542" t="n"/>
      <c r="J242" s="541" t="n"/>
      <c r="K242" s="157" t="n"/>
      <c r="L242" s="157" t="n"/>
      <c r="M242" s="157" t="n"/>
      <c r="N242" s="157" t="n"/>
      <c r="O242" s="157" t="n"/>
      <c r="P242" s="157" t="n"/>
      <c r="Q242" s="157" t="n"/>
      <c r="R242" s="157" t="n"/>
      <c r="S242" s="157" t="n"/>
      <c r="T242" s="157" t="n"/>
      <c r="U242" s="157" t="n"/>
      <c r="V242" s="157" t="n"/>
      <c r="W242" s="157" t="n"/>
      <c r="X242" s="157" t="n"/>
      <c r="Y242" s="157" t="n"/>
      <c r="Z242" s="157" t="n"/>
      <c r="AA242" s="157" t="n"/>
      <c r="AB242" s="157" t="n"/>
      <c r="AC242" s="157" t="n"/>
      <c r="AD242" s="157" t="n"/>
      <c r="AE242" s="158" t="n"/>
      <c r="AF242" s="158" t="n"/>
    </row>
    <row r="243" ht="15.75" customHeight="1" s="398">
      <c r="A243" s="275" t="n"/>
      <c r="B243" s="151" t="n"/>
      <c r="C243" s="152" t="n"/>
      <c r="D243" s="151" t="n"/>
      <c r="E243" s="152" t="n"/>
      <c r="F243" s="153" t="n"/>
      <c r="G243" s="154" t="n"/>
      <c r="H243" s="541" t="n"/>
      <c r="I243" s="542" t="n"/>
      <c r="J243" s="541" t="n"/>
      <c r="K243" s="157" t="n"/>
      <c r="L243" s="157" t="n"/>
      <c r="M243" s="157" t="n"/>
      <c r="N243" s="157" t="n"/>
      <c r="O243" s="157" t="n"/>
      <c r="P243" s="157" t="n"/>
      <c r="Q243" s="157" t="n"/>
      <c r="R243" s="157" t="n"/>
      <c r="S243" s="157" t="n"/>
      <c r="T243" s="157" t="n"/>
      <c r="U243" s="157" t="n"/>
      <c r="V243" s="157" t="n"/>
      <c r="W243" s="157" t="n"/>
      <c r="X243" s="157" t="n"/>
      <c r="Y243" s="157" t="n"/>
      <c r="Z243" s="157" t="n"/>
      <c r="AA243" s="157" t="n"/>
      <c r="AB243" s="157" t="n"/>
      <c r="AC243" s="157" t="n"/>
      <c r="AD243" s="157" t="n"/>
      <c r="AE243" s="158" t="n"/>
      <c r="AF243" s="158" t="n"/>
    </row>
    <row r="244" ht="15.75" customHeight="1" s="398">
      <c r="A244" s="275" t="n"/>
      <c r="B244" s="151" t="n"/>
      <c r="C244" s="152" t="n"/>
      <c r="D244" s="151" t="n"/>
      <c r="E244" s="152" t="n"/>
      <c r="F244" s="153" t="n"/>
      <c r="G244" s="154" t="n"/>
      <c r="H244" s="541" t="n"/>
      <c r="I244" s="542" t="n"/>
      <c r="J244" s="541" t="n"/>
      <c r="K244" s="157" t="n"/>
      <c r="L244" s="157" t="n"/>
      <c r="M244" s="157" t="n"/>
      <c r="N244" s="157" t="n"/>
      <c r="O244" s="157" t="n"/>
      <c r="P244" s="157" t="n"/>
      <c r="Q244" s="157" t="n"/>
      <c r="R244" s="157" t="n"/>
      <c r="S244" s="157" t="n"/>
      <c r="T244" s="157" t="n"/>
      <c r="U244" s="157" t="n"/>
      <c r="V244" s="157" t="n"/>
      <c r="W244" s="157" t="n"/>
      <c r="X244" s="157" t="n"/>
      <c r="Y244" s="157" t="n"/>
      <c r="Z244" s="157" t="n"/>
      <c r="AA244" s="157" t="n"/>
      <c r="AB244" s="157" t="n"/>
      <c r="AC244" s="157" t="n"/>
      <c r="AD244" s="157" t="n"/>
      <c r="AE244" s="158" t="n"/>
      <c r="AF244" s="158" t="n"/>
    </row>
    <row r="245" ht="15.75" customHeight="1" s="398">
      <c r="A245" s="275" t="n"/>
      <c r="B245" s="151" t="n"/>
      <c r="C245" s="152" t="n"/>
      <c r="D245" s="151" t="n"/>
      <c r="E245" s="152" t="n"/>
      <c r="F245" s="153" t="n"/>
      <c r="G245" s="154" t="n"/>
      <c r="H245" s="541" t="n"/>
      <c r="I245" s="542" t="n"/>
      <c r="J245" s="541" t="n"/>
      <c r="K245" s="157" t="n"/>
      <c r="L245" s="157" t="n"/>
      <c r="M245" s="157" t="n"/>
      <c r="N245" s="157" t="n"/>
      <c r="O245" s="157" t="n"/>
      <c r="P245" s="157" t="n"/>
      <c r="Q245" s="157" t="n"/>
      <c r="R245" s="157" t="n"/>
      <c r="S245" s="157" t="n"/>
      <c r="T245" s="157" t="n"/>
      <c r="U245" s="157" t="n"/>
      <c r="V245" s="157" t="n"/>
      <c r="W245" s="157" t="n"/>
      <c r="X245" s="157" t="n"/>
      <c r="Y245" s="157" t="n"/>
      <c r="Z245" s="157" t="n"/>
      <c r="AA245" s="157" t="n"/>
      <c r="AB245" s="157" t="n"/>
      <c r="AC245" s="157" t="n"/>
      <c r="AD245" s="157" t="n"/>
      <c r="AE245" s="158" t="n"/>
      <c r="AF245" s="158" t="n"/>
    </row>
    <row r="246" ht="15.75" customHeight="1" s="398">
      <c r="A246" s="275" t="n"/>
      <c r="B246" s="151" t="n"/>
      <c r="C246" s="152" t="n"/>
      <c r="D246" s="151" t="n"/>
      <c r="E246" s="152" t="n"/>
      <c r="F246" s="153" t="n"/>
      <c r="G246" s="154" t="n"/>
      <c r="H246" s="541" t="n"/>
      <c r="I246" s="542" t="n"/>
      <c r="J246" s="541" t="n"/>
      <c r="K246" s="157" t="n"/>
      <c r="L246" s="157" t="n"/>
      <c r="M246" s="157" t="n"/>
      <c r="N246" s="157" t="n"/>
      <c r="O246" s="157" t="n"/>
      <c r="P246" s="157" t="n"/>
      <c r="Q246" s="157" t="n"/>
      <c r="R246" s="157" t="n"/>
      <c r="S246" s="157" t="n"/>
      <c r="T246" s="157" t="n"/>
      <c r="U246" s="157" t="n"/>
      <c r="V246" s="157" t="n"/>
      <c r="W246" s="157" t="n"/>
      <c r="X246" s="157" t="n"/>
      <c r="Y246" s="157" t="n"/>
      <c r="Z246" s="157" t="n"/>
      <c r="AA246" s="157" t="n"/>
      <c r="AB246" s="157" t="n"/>
      <c r="AC246" s="157" t="n"/>
      <c r="AD246" s="157" t="n"/>
      <c r="AE246" s="158" t="n"/>
      <c r="AF246" s="158" t="n"/>
    </row>
    <row r="247" ht="15.75" customHeight="1" s="398">
      <c r="A247" s="275" t="n"/>
      <c r="B247" s="151" t="n"/>
      <c r="C247" s="152" t="n"/>
      <c r="D247" s="151" t="n"/>
      <c r="E247" s="152" t="n"/>
      <c r="F247" s="153" t="n"/>
      <c r="G247" s="154" t="n"/>
      <c r="H247" s="541" t="n"/>
      <c r="I247" s="542" t="n"/>
      <c r="J247" s="541" t="n"/>
      <c r="K247" s="157" t="n"/>
      <c r="L247" s="157" t="n"/>
      <c r="M247" s="157" t="n"/>
      <c r="N247" s="157" t="n"/>
      <c r="O247" s="157" t="n"/>
      <c r="P247" s="157" t="n"/>
      <c r="Q247" s="157" t="n"/>
      <c r="R247" s="157" t="n"/>
      <c r="S247" s="157" t="n"/>
      <c r="T247" s="157" t="n"/>
      <c r="U247" s="157" t="n"/>
      <c r="V247" s="157" t="n"/>
      <c r="W247" s="157" t="n"/>
      <c r="X247" s="157" t="n"/>
      <c r="Y247" s="157" t="n"/>
      <c r="Z247" s="157" t="n"/>
      <c r="AA247" s="157" t="n"/>
      <c r="AB247" s="157" t="n"/>
      <c r="AC247" s="157" t="n"/>
      <c r="AD247" s="157" t="n"/>
      <c r="AE247" s="158" t="n"/>
      <c r="AF247" s="158" t="n"/>
    </row>
    <row r="248" ht="15.75" customHeight="1" s="398">
      <c r="A248" s="275" t="n"/>
      <c r="B248" s="151" t="n"/>
      <c r="C248" s="152" t="n"/>
      <c r="D248" s="151" t="n"/>
      <c r="E248" s="152" t="n"/>
      <c r="F248" s="153" t="n"/>
      <c r="G248" s="154" t="n"/>
      <c r="H248" s="541" t="n"/>
      <c r="I248" s="542" t="n"/>
      <c r="J248" s="541" t="n"/>
      <c r="K248" s="157" t="n"/>
      <c r="L248" s="157" t="n"/>
      <c r="M248" s="157" t="n"/>
      <c r="N248" s="157" t="n"/>
      <c r="O248" s="157" t="n"/>
      <c r="P248" s="157" t="n"/>
      <c r="Q248" s="157" t="n"/>
      <c r="R248" s="157" t="n"/>
      <c r="S248" s="157" t="n"/>
      <c r="T248" s="157" t="n"/>
      <c r="U248" s="157" t="n"/>
      <c r="V248" s="157" t="n"/>
      <c r="W248" s="157" t="n"/>
      <c r="X248" s="157" t="n"/>
      <c r="Y248" s="157" t="n"/>
      <c r="Z248" s="157" t="n"/>
      <c r="AA248" s="157" t="n"/>
      <c r="AB248" s="157" t="n"/>
      <c r="AC248" s="157" t="n"/>
      <c r="AD248" s="157" t="n"/>
      <c r="AE248" s="158" t="n"/>
      <c r="AF248" s="158" t="n"/>
    </row>
    <row r="249" ht="15.75" customHeight="1" s="398">
      <c r="A249" s="275" t="n"/>
      <c r="B249" s="151" t="n"/>
      <c r="C249" s="152" t="n"/>
      <c r="D249" s="151" t="n"/>
      <c r="E249" s="152" t="n"/>
      <c r="F249" s="153" t="n"/>
      <c r="G249" s="154" t="n"/>
      <c r="H249" s="541" t="n"/>
      <c r="I249" s="542" t="n"/>
      <c r="J249" s="541" t="n"/>
      <c r="K249" s="157" t="n"/>
      <c r="L249" s="157" t="n"/>
      <c r="M249" s="157" t="n"/>
      <c r="N249" s="157" t="n"/>
      <c r="O249" s="157" t="n"/>
      <c r="P249" s="157" t="n"/>
      <c r="Q249" s="157" t="n"/>
      <c r="R249" s="157" t="n"/>
      <c r="S249" s="157" t="n"/>
      <c r="T249" s="157" t="n"/>
      <c r="U249" s="157" t="n"/>
      <c r="V249" s="157" t="n"/>
      <c r="W249" s="157" t="n"/>
      <c r="X249" s="157" t="n"/>
      <c r="Y249" s="157" t="n"/>
      <c r="Z249" s="157" t="n"/>
      <c r="AA249" s="157" t="n"/>
      <c r="AB249" s="157" t="n"/>
      <c r="AC249" s="157" t="n"/>
      <c r="AD249" s="157" t="n"/>
      <c r="AE249" s="158" t="n"/>
      <c r="AF249" s="158" t="n"/>
    </row>
    <row r="250" ht="15.75" customHeight="1" s="398">
      <c r="A250" s="275" t="n"/>
      <c r="B250" s="151" t="n"/>
      <c r="C250" s="152" t="n"/>
      <c r="D250" s="151" t="n"/>
      <c r="E250" s="152" t="n"/>
      <c r="F250" s="153" t="n"/>
      <c r="G250" s="154" t="n"/>
      <c r="H250" s="541" t="n"/>
      <c r="I250" s="542" t="n"/>
      <c r="J250" s="541" t="n"/>
      <c r="K250" s="157" t="n"/>
      <c r="L250" s="157" t="n"/>
      <c r="M250" s="157" t="n"/>
      <c r="N250" s="157" t="n"/>
      <c r="O250" s="157" t="n"/>
      <c r="P250" s="157" t="n"/>
      <c r="Q250" s="157" t="n"/>
      <c r="R250" s="157" t="n"/>
      <c r="S250" s="157" t="n"/>
      <c r="T250" s="157" t="n"/>
      <c r="U250" s="157" t="n"/>
      <c r="V250" s="157" t="n"/>
      <c r="W250" s="157" t="n"/>
      <c r="X250" s="157" t="n"/>
      <c r="Y250" s="157" t="n"/>
      <c r="Z250" s="157" t="n"/>
      <c r="AA250" s="157" t="n"/>
      <c r="AB250" s="157" t="n"/>
      <c r="AC250" s="157" t="n"/>
      <c r="AD250" s="157" t="n"/>
      <c r="AE250" s="158" t="n"/>
      <c r="AF250" s="158" t="n"/>
    </row>
    <row r="251" ht="15.75" customHeight="1" s="398">
      <c r="A251" s="275" t="n"/>
      <c r="B251" s="151" t="n"/>
      <c r="C251" s="152" t="n"/>
      <c r="D251" s="151" t="n"/>
      <c r="E251" s="152" t="n"/>
      <c r="F251" s="153" t="n"/>
      <c r="G251" s="154" t="n"/>
      <c r="H251" s="541" t="n"/>
      <c r="I251" s="542" t="n"/>
      <c r="J251" s="541" t="n"/>
      <c r="K251" s="157" t="n"/>
      <c r="L251" s="157" t="n"/>
      <c r="M251" s="157" t="n"/>
      <c r="N251" s="157" t="n"/>
      <c r="O251" s="157" t="n"/>
      <c r="P251" s="157" t="n"/>
      <c r="Q251" s="157" t="n"/>
      <c r="R251" s="157" t="n"/>
      <c r="S251" s="157" t="n"/>
      <c r="T251" s="157" t="n"/>
      <c r="U251" s="157" t="n"/>
      <c r="V251" s="157" t="n"/>
      <c r="W251" s="157" t="n"/>
      <c r="X251" s="157" t="n"/>
      <c r="Y251" s="157" t="n"/>
      <c r="Z251" s="157" t="n"/>
      <c r="AA251" s="157" t="n"/>
      <c r="AB251" s="157" t="n"/>
      <c r="AC251" s="157" t="n"/>
      <c r="AD251" s="157" t="n"/>
      <c r="AE251" s="158" t="n"/>
      <c r="AF251" s="158" t="n"/>
    </row>
    <row r="252" ht="15.75" customHeight="1" s="398">
      <c r="A252" s="275" t="n"/>
      <c r="B252" s="151" t="n"/>
      <c r="C252" s="152" t="n"/>
      <c r="D252" s="151" t="n"/>
      <c r="E252" s="152" t="n"/>
      <c r="F252" s="153" t="n"/>
      <c r="G252" s="154" t="n"/>
      <c r="H252" s="541" t="n"/>
      <c r="I252" s="542" t="n"/>
      <c r="J252" s="541" t="n"/>
      <c r="K252" s="157" t="n"/>
      <c r="L252" s="157" t="n"/>
      <c r="M252" s="157" t="n"/>
      <c r="N252" s="157" t="n"/>
      <c r="O252" s="157" t="n"/>
      <c r="P252" s="157" t="n"/>
      <c r="Q252" s="157" t="n"/>
      <c r="R252" s="157" t="n"/>
      <c r="S252" s="157" t="n"/>
      <c r="T252" s="157" t="n"/>
      <c r="U252" s="157" t="n"/>
      <c r="V252" s="157" t="n"/>
      <c r="W252" s="157" t="n"/>
      <c r="X252" s="157" t="n"/>
      <c r="Y252" s="157" t="n"/>
      <c r="Z252" s="157" t="n"/>
      <c r="AA252" s="157" t="n"/>
      <c r="AB252" s="157" t="n"/>
      <c r="AC252" s="157" t="n"/>
      <c r="AD252" s="157" t="n"/>
      <c r="AE252" s="158" t="n"/>
      <c r="AF252" s="158" t="n"/>
    </row>
    <row r="253" ht="15.75" customHeight="1" s="398">
      <c r="A253" s="275" t="n"/>
      <c r="B253" s="151" t="n"/>
      <c r="C253" s="152" t="n"/>
      <c r="D253" s="151" t="n"/>
      <c r="E253" s="152" t="n"/>
      <c r="F253" s="153" t="n"/>
      <c r="G253" s="154" t="n"/>
      <c r="H253" s="541" t="n"/>
      <c r="I253" s="542" t="n"/>
      <c r="J253" s="541" t="n"/>
      <c r="K253" s="157" t="n"/>
      <c r="L253" s="157" t="n"/>
      <c r="M253" s="157" t="n"/>
      <c r="N253" s="157" t="n"/>
      <c r="O253" s="157" t="n"/>
      <c r="P253" s="157" t="n"/>
      <c r="Q253" s="157" t="n"/>
      <c r="R253" s="157" t="n"/>
      <c r="S253" s="157" t="n"/>
      <c r="T253" s="157" t="n"/>
      <c r="U253" s="157" t="n"/>
      <c r="V253" s="157" t="n"/>
      <c r="W253" s="157" t="n"/>
      <c r="X253" s="157" t="n"/>
      <c r="Y253" s="157" t="n"/>
      <c r="Z253" s="157" t="n"/>
      <c r="AA253" s="157" t="n"/>
      <c r="AB253" s="157" t="n"/>
      <c r="AC253" s="157" t="n"/>
      <c r="AD253" s="157" t="n"/>
      <c r="AE253" s="158" t="n"/>
      <c r="AF253" s="158" t="n"/>
    </row>
    <row r="254" ht="15.75" customHeight="1" s="398">
      <c r="A254" s="275" t="n"/>
      <c r="B254" s="151" t="n"/>
      <c r="C254" s="152" t="n"/>
      <c r="D254" s="151" t="n"/>
      <c r="E254" s="152" t="n"/>
      <c r="F254" s="153" t="n"/>
      <c r="G254" s="154" t="n"/>
      <c r="H254" s="541" t="n"/>
      <c r="I254" s="542" t="n"/>
      <c r="J254" s="541" t="n"/>
      <c r="K254" s="157" t="n"/>
      <c r="L254" s="157" t="n"/>
      <c r="M254" s="157" t="n"/>
      <c r="N254" s="157" t="n"/>
      <c r="O254" s="157" t="n"/>
      <c r="P254" s="157" t="n"/>
      <c r="Q254" s="157" t="n"/>
      <c r="R254" s="157" t="n"/>
      <c r="S254" s="157" t="n"/>
      <c r="T254" s="157" t="n"/>
      <c r="U254" s="157" t="n"/>
      <c r="V254" s="157" t="n"/>
      <c r="W254" s="157" t="n"/>
      <c r="X254" s="157" t="n"/>
      <c r="Y254" s="157" t="n"/>
      <c r="Z254" s="157" t="n"/>
      <c r="AA254" s="157" t="n"/>
      <c r="AB254" s="157" t="n"/>
      <c r="AC254" s="157" t="n"/>
      <c r="AD254" s="157" t="n"/>
      <c r="AE254" s="158" t="n"/>
      <c r="AF254" s="158" t="n"/>
    </row>
    <row r="255" ht="15.75" customHeight="1" s="398">
      <c r="A255" s="275" t="n"/>
      <c r="B255" s="151" t="n"/>
      <c r="C255" s="152" t="n"/>
      <c r="D255" s="151" t="n"/>
      <c r="E255" s="152" t="n"/>
      <c r="F255" s="153" t="n"/>
      <c r="G255" s="154" t="n"/>
      <c r="H255" s="541" t="n"/>
      <c r="I255" s="542" t="n"/>
      <c r="J255" s="541" t="n"/>
      <c r="K255" s="157" t="n"/>
      <c r="L255" s="157" t="n"/>
      <c r="M255" s="157" t="n"/>
      <c r="N255" s="157" t="n"/>
      <c r="O255" s="157" t="n"/>
      <c r="P255" s="157" t="n"/>
      <c r="Q255" s="157" t="n"/>
      <c r="R255" s="157" t="n"/>
      <c r="S255" s="157" t="n"/>
      <c r="T255" s="157" t="n"/>
      <c r="U255" s="157" t="n"/>
      <c r="V255" s="157" t="n"/>
      <c r="W255" s="157" t="n"/>
      <c r="X255" s="157" t="n"/>
      <c r="Y255" s="157" t="n"/>
      <c r="Z255" s="157" t="n"/>
      <c r="AA255" s="157" t="n"/>
      <c r="AB255" s="157" t="n"/>
      <c r="AC255" s="157" t="n"/>
      <c r="AD255" s="157" t="n"/>
      <c r="AE255" s="158" t="n"/>
      <c r="AF255" s="158" t="n"/>
    </row>
    <row r="256" ht="15.75" customHeight="1" s="398">
      <c r="A256" s="275" t="n"/>
      <c r="B256" s="151" t="n"/>
      <c r="C256" s="152" t="n"/>
      <c r="D256" s="151" t="n"/>
      <c r="E256" s="152" t="n"/>
      <c r="F256" s="153" t="n"/>
      <c r="G256" s="154" t="n"/>
      <c r="H256" s="541" t="n"/>
      <c r="I256" s="542" t="n"/>
      <c r="J256" s="541" t="n"/>
      <c r="K256" s="157" t="n"/>
      <c r="L256" s="157" t="n"/>
      <c r="M256" s="157" t="n"/>
      <c r="N256" s="157" t="n"/>
      <c r="O256" s="157" t="n"/>
      <c r="P256" s="157" t="n"/>
      <c r="Q256" s="157" t="n"/>
      <c r="R256" s="157" t="n"/>
      <c r="S256" s="157" t="n"/>
      <c r="T256" s="157" t="n"/>
      <c r="U256" s="157" t="n"/>
      <c r="V256" s="157" t="n"/>
      <c r="W256" s="157" t="n"/>
      <c r="X256" s="157" t="n"/>
      <c r="Y256" s="157" t="n"/>
      <c r="Z256" s="157" t="n"/>
      <c r="AA256" s="157" t="n"/>
      <c r="AB256" s="157" t="n"/>
      <c r="AC256" s="157" t="n"/>
      <c r="AD256" s="157" t="n"/>
      <c r="AE256" s="158" t="n"/>
      <c r="AF256" s="158" t="n"/>
    </row>
    <row r="257" ht="15.75" customHeight="1" s="398">
      <c r="A257" s="275" t="n"/>
      <c r="B257" s="151" t="n"/>
      <c r="C257" s="152" t="n"/>
      <c r="D257" s="151" t="n"/>
      <c r="E257" s="152" t="n"/>
      <c r="F257" s="153" t="n"/>
      <c r="G257" s="154" t="n"/>
      <c r="H257" s="541" t="n"/>
      <c r="I257" s="542" t="n"/>
      <c r="J257" s="541" t="n"/>
      <c r="K257" s="157" t="n"/>
      <c r="L257" s="157" t="n"/>
      <c r="M257" s="157" t="n"/>
      <c r="N257" s="157" t="n"/>
      <c r="O257" s="157" t="n"/>
      <c r="P257" s="157" t="n"/>
      <c r="Q257" s="157" t="n"/>
      <c r="R257" s="157" t="n"/>
      <c r="S257" s="157" t="n"/>
      <c r="T257" s="157" t="n"/>
      <c r="U257" s="157" t="n"/>
      <c r="V257" s="157" t="n"/>
      <c r="W257" s="157" t="n"/>
      <c r="X257" s="157" t="n"/>
      <c r="Y257" s="157" t="n"/>
      <c r="Z257" s="157" t="n"/>
      <c r="AA257" s="157" t="n"/>
      <c r="AB257" s="157" t="n"/>
      <c r="AC257" s="157" t="n"/>
      <c r="AD257" s="157" t="n"/>
      <c r="AE257" s="158" t="n"/>
      <c r="AF257" s="158" t="n"/>
    </row>
    <row r="258" ht="15.75" customHeight="1" s="398">
      <c r="A258" s="275" t="n"/>
      <c r="B258" s="151" t="n"/>
      <c r="C258" s="152" t="n"/>
      <c r="D258" s="151" t="n"/>
      <c r="E258" s="152" t="n"/>
      <c r="F258" s="153" t="n"/>
      <c r="G258" s="154" t="n"/>
      <c r="H258" s="541" t="n"/>
      <c r="I258" s="542" t="n"/>
      <c r="J258" s="541" t="n"/>
      <c r="K258" s="157" t="n"/>
      <c r="L258" s="157" t="n"/>
      <c r="M258" s="157" t="n"/>
      <c r="N258" s="157" t="n"/>
      <c r="O258" s="157" t="n"/>
      <c r="P258" s="157" t="n"/>
      <c r="Q258" s="157" t="n"/>
      <c r="R258" s="157" t="n"/>
      <c r="S258" s="157" t="n"/>
      <c r="T258" s="157" t="n"/>
      <c r="U258" s="157" t="n"/>
      <c r="V258" s="157" t="n"/>
      <c r="W258" s="157" t="n"/>
      <c r="X258" s="157" t="n"/>
      <c r="Y258" s="157" t="n"/>
      <c r="Z258" s="157" t="n"/>
      <c r="AA258" s="157" t="n"/>
      <c r="AB258" s="157" t="n"/>
      <c r="AC258" s="157" t="n"/>
      <c r="AD258" s="157" t="n"/>
      <c r="AE258" s="158" t="n"/>
      <c r="AF258" s="158" t="n"/>
    </row>
    <row r="259" ht="15.75" customHeight="1" s="398">
      <c r="A259" s="275" t="n"/>
      <c r="B259" s="151" t="n"/>
      <c r="C259" s="152" t="n"/>
      <c r="D259" s="151" t="n"/>
      <c r="E259" s="152" t="n"/>
      <c r="F259" s="153" t="n"/>
      <c r="G259" s="154" t="n"/>
      <c r="H259" s="541" t="n"/>
      <c r="I259" s="542" t="n"/>
      <c r="J259" s="541" t="n"/>
      <c r="K259" s="157" t="n"/>
      <c r="L259" s="157" t="n"/>
      <c r="M259" s="157" t="n"/>
      <c r="N259" s="157" t="n"/>
      <c r="O259" s="157" t="n"/>
      <c r="P259" s="157" t="n"/>
      <c r="Q259" s="157" t="n"/>
      <c r="R259" s="157" t="n"/>
      <c r="S259" s="157" t="n"/>
      <c r="T259" s="157" t="n"/>
      <c r="U259" s="157" t="n"/>
      <c r="V259" s="157" t="n"/>
      <c r="W259" s="157" t="n"/>
      <c r="X259" s="157" t="n"/>
      <c r="Y259" s="157" t="n"/>
      <c r="Z259" s="157" t="n"/>
      <c r="AA259" s="157" t="n"/>
      <c r="AB259" s="157" t="n"/>
      <c r="AC259" s="157" t="n"/>
      <c r="AD259" s="157" t="n"/>
      <c r="AE259" s="158" t="n"/>
      <c r="AF259" s="158" t="n"/>
    </row>
    <row r="260" ht="15.75" customHeight="1" s="398">
      <c r="A260" s="275" t="n"/>
      <c r="B260" s="151" t="n"/>
      <c r="C260" s="152" t="n"/>
      <c r="D260" s="151" t="n"/>
      <c r="E260" s="152" t="n"/>
      <c r="F260" s="153" t="n"/>
      <c r="G260" s="154" t="n"/>
      <c r="H260" s="541" t="n"/>
      <c r="I260" s="542" t="n"/>
      <c r="J260" s="541" t="n"/>
      <c r="K260" s="157" t="n"/>
      <c r="L260" s="157" t="n"/>
      <c r="M260" s="157" t="n"/>
      <c r="N260" s="157" t="n"/>
      <c r="O260" s="157" t="n"/>
      <c r="P260" s="157" t="n"/>
      <c r="Q260" s="157" t="n"/>
      <c r="R260" s="157" t="n"/>
      <c r="S260" s="157" t="n"/>
      <c r="T260" s="157" t="n"/>
      <c r="U260" s="157" t="n"/>
      <c r="V260" s="157" t="n"/>
      <c r="W260" s="157" t="n"/>
      <c r="X260" s="157" t="n"/>
      <c r="Y260" s="157" t="n"/>
      <c r="Z260" s="157" t="n"/>
      <c r="AA260" s="157" t="n"/>
      <c r="AB260" s="157" t="n"/>
      <c r="AC260" s="157" t="n"/>
      <c r="AD260" s="157" t="n"/>
      <c r="AE260" s="158" t="n"/>
      <c r="AF260" s="158" t="n"/>
    </row>
    <row r="261" ht="15.75" customHeight="1" s="398">
      <c r="A261" s="275" t="n"/>
      <c r="B261" s="151" t="n"/>
      <c r="C261" s="152" t="n"/>
      <c r="D261" s="151" t="n"/>
      <c r="E261" s="152" t="n"/>
      <c r="F261" s="153" t="n"/>
      <c r="G261" s="154" t="n"/>
      <c r="H261" s="541" t="n"/>
      <c r="I261" s="542" t="n"/>
      <c r="J261" s="541" t="n"/>
      <c r="K261" s="157" t="n"/>
      <c r="L261" s="157" t="n"/>
      <c r="M261" s="157" t="n"/>
      <c r="N261" s="157" t="n"/>
      <c r="O261" s="157" t="n"/>
      <c r="P261" s="157" t="n"/>
      <c r="Q261" s="157" t="n"/>
      <c r="R261" s="157" t="n"/>
      <c r="S261" s="157" t="n"/>
      <c r="T261" s="157" t="n"/>
      <c r="U261" s="157" t="n"/>
      <c r="V261" s="157" t="n"/>
      <c r="W261" s="157" t="n"/>
      <c r="X261" s="157" t="n"/>
      <c r="Y261" s="157" t="n"/>
      <c r="Z261" s="157" t="n"/>
      <c r="AA261" s="157" t="n"/>
      <c r="AB261" s="157" t="n"/>
      <c r="AC261" s="157" t="n"/>
      <c r="AD261" s="157" t="n"/>
      <c r="AE261" s="158" t="n"/>
      <c r="AF261" s="158" t="n"/>
    </row>
    <row r="262" ht="15.75" customHeight="1" s="398">
      <c r="A262" s="275" t="n"/>
      <c r="B262" s="151" t="n"/>
      <c r="C262" s="152" t="n"/>
      <c r="D262" s="151" t="n"/>
      <c r="E262" s="152" t="n"/>
      <c r="F262" s="153" t="n"/>
      <c r="G262" s="154" t="n"/>
      <c r="H262" s="541" t="n"/>
      <c r="I262" s="542" t="n"/>
      <c r="J262" s="541" t="n"/>
      <c r="K262" s="157" t="n"/>
      <c r="L262" s="157" t="n"/>
      <c r="M262" s="157" t="n"/>
      <c r="N262" s="157" t="n"/>
      <c r="O262" s="157" t="n"/>
      <c r="P262" s="157" t="n"/>
      <c r="Q262" s="157" t="n"/>
      <c r="R262" s="157" t="n"/>
      <c r="S262" s="157" t="n"/>
      <c r="T262" s="157" t="n"/>
      <c r="U262" s="157" t="n"/>
      <c r="V262" s="157" t="n"/>
      <c r="W262" s="157" t="n"/>
      <c r="X262" s="157" t="n"/>
      <c r="Y262" s="157" t="n"/>
      <c r="Z262" s="157" t="n"/>
      <c r="AA262" s="157" t="n"/>
      <c r="AB262" s="157" t="n"/>
      <c r="AC262" s="157" t="n"/>
      <c r="AD262" s="157" t="n"/>
      <c r="AE262" s="158" t="n"/>
      <c r="AF262" s="158" t="n"/>
    </row>
    <row r="263" ht="15.75" customHeight="1" s="398">
      <c r="A263" s="275" t="n"/>
      <c r="B263" s="151" t="n"/>
      <c r="C263" s="152" t="n"/>
      <c r="D263" s="151" t="n"/>
      <c r="E263" s="152" t="n"/>
      <c r="F263" s="153" t="n"/>
      <c r="G263" s="154" t="n"/>
      <c r="H263" s="541" t="n"/>
      <c r="I263" s="542" t="n"/>
      <c r="J263" s="541" t="n"/>
      <c r="K263" s="157" t="n"/>
      <c r="L263" s="157" t="n"/>
      <c r="M263" s="157" t="n"/>
      <c r="N263" s="157" t="n"/>
      <c r="O263" s="157" t="n"/>
      <c r="P263" s="157" t="n"/>
      <c r="Q263" s="157" t="n"/>
      <c r="R263" s="157" t="n"/>
      <c r="S263" s="157" t="n"/>
      <c r="T263" s="157" t="n"/>
      <c r="U263" s="157" t="n"/>
      <c r="V263" s="157" t="n"/>
      <c r="W263" s="157" t="n"/>
      <c r="X263" s="157" t="n"/>
      <c r="Y263" s="157" t="n"/>
      <c r="Z263" s="157" t="n"/>
      <c r="AA263" s="157" t="n"/>
      <c r="AB263" s="157" t="n"/>
      <c r="AC263" s="157" t="n"/>
      <c r="AD263" s="157" t="n"/>
      <c r="AE263" s="158" t="n"/>
      <c r="AF263" s="158" t="n"/>
    </row>
    <row r="264" ht="15.75" customHeight="1" s="398">
      <c r="A264" s="275" t="n"/>
      <c r="B264" s="151" t="n"/>
      <c r="C264" s="152" t="n"/>
      <c r="D264" s="151" t="n"/>
      <c r="E264" s="152" t="n"/>
      <c r="F264" s="153" t="n"/>
      <c r="G264" s="154" t="n"/>
      <c r="H264" s="541" t="n"/>
      <c r="I264" s="542" t="n"/>
      <c r="J264" s="541" t="n"/>
      <c r="K264" s="157" t="n"/>
      <c r="L264" s="157" t="n"/>
      <c r="M264" s="157" t="n"/>
      <c r="N264" s="157" t="n"/>
      <c r="O264" s="157" t="n"/>
      <c r="P264" s="157" t="n"/>
      <c r="Q264" s="157" t="n"/>
      <c r="R264" s="157" t="n"/>
      <c r="S264" s="157" t="n"/>
      <c r="T264" s="157" t="n"/>
      <c r="U264" s="157" t="n"/>
      <c r="V264" s="157" t="n"/>
      <c r="W264" s="157" t="n"/>
      <c r="X264" s="157" t="n"/>
      <c r="Y264" s="157" t="n"/>
      <c r="Z264" s="157" t="n"/>
      <c r="AA264" s="157" t="n"/>
      <c r="AB264" s="157" t="n"/>
      <c r="AC264" s="157" t="n"/>
      <c r="AD264" s="157" t="n"/>
      <c r="AE264" s="158" t="n"/>
      <c r="AF264" s="158" t="n"/>
    </row>
    <row r="265" ht="15.75" customHeight="1" s="398">
      <c r="A265" s="275" t="n"/>
      <c r="B265" s="151" t="n"/>
      <c r="C265" s="152" t="n"/>
      <c r="D265" s="151" t="n"/>
      <c r="E265" s="152" t="n"/>
      <c r="F265" s="153" t="n"/>
      <c r="G265" s="154" t="n"/>
      <c r="H265" s="541" t="n"/>
      <c r="I265" s="542" t="n"/>
      <c r="J265" s="541" t="n"/>
      <c r="K265" s="157" t="n"/>
      <c r="L265" s="157" t="n"/>
      <c r="M265" s="157" t="n"/>
      <c r="N265" s="157" t="n"/>
      <c r="O265" s="157" t="n"/>
      <c r="P265" s="157" t="n"/>
      <c r="Q265" s="157" t="n"/>
      <c r="R265" s="157" t="n"/>
      <c r="S265" s="157" t="n"/>
      <c r="T265" s="157" t="n"/>
      <c r="U265" s="157" t="n"/>
      <c r="V265" s="157" t="n"/>
      <c r="W265" s="157" t="n"/>
      <c r="X265" s="157" t="n"/>
      <c r="Y265" s="157" t="n"/>
      <c r="Z265" s="157" t="n"/>
      <c r="AA265" s="157" t="n"/>
      <c r="AB265" s="157" t="n"/>
      <c r="AC265" s="157" t="n"/>
      <c r="AD265" s="157" t="n"/>
      <c r="AE265" s="158" t="n"/>
      <c r="AF265" s="158" t="n"/>
    </row>
    <row r="266" ht="15.75" customHeight="1" s="398">
      <c r="A266" s="275" t="n"/>
      <c r="B266" s="151" t="n"/>
      <c r="C266" s="152" t="n"/>
      <c r="D266" s="151" t="n"/>
      <c r="E266" s="152" t="n"/>
      <c r="F266" s="153" t="n"/>
      <c r="G266" s="154" t="n"/>
      <c r="H266" s="541" t="n"/>
      <c r="I266" s="542" t="n"/>
      <c r="J266" s="541" t="n"/>
      <c r="K266" s="157" t="n"/>
      <c r="L266" s="157" t="n"/>
      <c r="M266" s="157" t="n"/>
      <c r="N266" s="157" t="n"/>
      <c r="O266" s="157" t="n"/>
      <c r="P266" s="157" t="n"/>
      <c r="Q266" s="157" t="n"/>
      <c r="R266" s="157" t="n"/>
      <c r="S266" s="157" t="n"/>
      <c r="T266" s="157" t="n"/>
      <c r="U266" s="157" t="n"/>
      <c r="V266" s="157" t="n"/>
      <c r="W266" s="157" t="n"/>
      <c r="X266" s="157" t="n"/>
      <c r="Y266" s="157" t="n"/>
      <c r="Z266" s="157" t="n"/>
      <c r="AA266" s="157" t="n"/>
      <c r="AB266" s="157" t="n"/>
      <c r="AC266" s="157" t="n"/>
      <c r="AD266" s="157" t="n"/>
      <c r="AE266" s="158" t="n"/>
      <c r="AF266" s="158" t="n"/>
    </row>
    <row r="267" ht="15.75" customHeight="1" s="398">
      <c r="A267" s="275" t="n"/>
      <c r="B267" s="151" t="n"/>
      <c r="C267" s="152" t="n"/>
      <c r="D267" s="151" t="n"/>
      <c r="E267" s="152" t="n"/>
      <c r="F267" s="153" t="n"/>
      <c r="G267" s="154" t="n"/>
      <c r="H267" s="541" t="n"/>
      <c r="I267" s="542" t="n"/>
      <c r="J267" s="541" t="n"/>
      <c r="K267" s="157" t="n"/>
      <c r="L267" s="157" t="n"/>
      <c r="M267" s="157" t="n"/>
      <c r="N267" s="157" t="n"/>
      <c r="O267" s="157" t="n"/>
      <c r="P267" s="157" t="n"/>
      <c r="Q267" s="157" t="n"/>
      <c r="R267" s="157" t="n"/>
      <c r="S267" s="157" t="n"/>
      <c r="T267" s="157" t="n"/>
      <c r="U267" s="157" t="n"/>
      <c r="V267" s="157" t="n"/>
      <c r="W267" s="157" t="n"/>
      <c r="X267" s="157" t="n"/>
      <c r="Y267" s="157" t="n"/>
      <c r="Z267" s="157" t="n"/>
      <c r="AA267" s="157" t="n"/>
      <c r="AB267" s="157" t="n"/>
      <c r="AC267" s="157" t="n"/>
      <c r="AD267" s="157" t="n"/>
      <c r="AE267" s="158" t="n"/>
      <c r="AF267" s="158" t="n"/>
    </row>
    <row r="268" ht="15.75" customHeight="1" s="398">
      <c r="A268" s="275" t="n"/>
      <c r="B268" s="151" t="n"/>
      <c r="C268" s="152" t="n"/>
      <c r="D268" s="151" t="n"/>
      <c r="E268" s="152" t="n"/>
      <c r="F268" s="153" t="n"/>
      <c r="G268" s="154" t="n"/>
      <c r="H268" s="541" t="n"/>
      <c r="I268" s="542" t="n"/>
      <c r="J268" s="541" t="n"/>
      <c r="K268" s="157" t="n"/>
      <c r="L268" s="157" t="n"/>
      <c r="M268" s="157" t="n"/>
      <c r="N268" s="157" t="n"/>
      <c r="O268" s="157" t="n"/>
      <c r="P268" s="157" t="n"/>
      <c r="Q268" s="157" t="n"/>
      <c r="R268" s="157" t="n"/>
      <c r="S268" s="157" t="n"/>
      <c r="T268" s="157" t="n"/>
      <c r="U268" s="157" t="n"/>
      <c r="V268" s="157" t="n"/>
      <c r="W268" s="157" t="n"/>
      <c r="X268" s="157" t="n"/>
      <c r="Y268" s="157" t="n"/>
      <c r="Z268" s="157" t="n"/>
      <c r="AA268" s="157" t="n"/>
      <c r="AB268" s="157" t="n"/>
      <c r="AC268" s="157" t="n"/>
      <c r="AD268" s="157" t="n"/>
      <c r="AE268" s="158" t="n"/>
      <c r="AF268" s="158" t="n"/>
    </row>
    <row r="269" ht="15.75" customHeight="1" s="398">
      <c r="A269" s="275" t="n"/>
      <c r="B269" s="151" t="n"/>
      <c r="C269" s="152" t="n"/>
      <c r="D269" s="151" t="n"/>
      <c r="E269" s="152" t="n"/>
      <c r="F269" s="153" t="n"/>
      <c r="G269" s="154" t="n"/>
      <c r="H269" s="541" t="n"/>
      <c r="I269" s="542" t="n"/>
      <c r="J269" s="541" t="n"/>
      <c r="K269" s="157" t="n"/>
      <c r="L269" s="157" t="n"/>
      <c r="M269" s="157" t="n"/>
      <c r="N269" s="157" t="n"/>
      <c r="O269" s="157" t="n"/>
      <c r="P269" s="157" t="n"/>
      <c r="Q269" s="157" t="n"/>
      <c r="R269" s="157" t="n"/>
      <c r="S269" s="157" t="n"/>
      <c r="T269" s="157" t="n"/>
      <c r="U269" s="157" t="n"/>
      <c r="V269" s="157" t="n"/>
      <c r="W269" s="157" t="n"/>
      <c r="X269" s="157" t="n"/>
      <c r="Y269" s="157" t="n"/>
      <c r="Z269" s="157" t="n"/>
      <c r="AA269" s="157" t="n"/>
      <c r="AB269" s="157" t="n"/>
      <c r="AC269" s="157" t="n"/>
      <c r="AD269" s="157" t="n"/>
      <c r="AE269" s="158" t="n"/>
      <c r="AF269" s="158" t="n"/>
    </row>
    <row r="270" ht="15.75" customHeight="1" s="398">
      <c r="A270" s="275" t="n"/>
      <c r="B270" s="151" t="n"/>
      <c r="C270" s="152" t="n"/>
      <c r="D270" s="151" t="n"/>
      <c r="E270" s="152" t="n"/>
      <c r="F270" s="153" t="n"/>
      <c r="G270" s="154" t="n"/>
      <c r="H270" s="541" t="n"/>
      <c r="I270" s="542" t="n"/>
      <c r="J270" s="541" t="n"/>
      <c r="K270" s="157" t="n"/>
      <c r="L270" s="157" t="n"/>
      <c r="M270" s="157" t="n"/>
      <c r="N270" s="157" t="n"/>
      <c r="O270" s="157" t="n"/>
      <c r="P270" s="157" t="n"/>
      <c r="Q270" s="157" t="n"/>
      <c r="R270" s="157" t="n"/>
      <c r="S270" s="157" t="n"/>
      <c r="T270" s="157" t="n"/>
      <c r="U270" s="157" t="n"/>
      <c r="V270" s="157" t="n"/>
      <c r="W270" s="157" t="n"/>
      <c r="X270" s="157" t="n"/>
      <c r="Y270" s="157" t="n"/>
      <c r="Z270" s="157" t="n"/>
      <c r="AA270" s="157" t="n"/>
      <c r="AB270" s="157" t="n"/>
      <c r="AC270" s="157" t="n"/>
      <c r="AD270" s="157" t="n"/>
      <c r="AE270" s="158" t="n"/>
      <c r="AF270" s="158" t="n"/>
    </row>
    <row r="271" ht="15.75" customHeight="1" s="398">
      <c r="A271" s="275" t="n"/>
      <c r="B271" s="151" t="n"/>
      <c r="C271" s="152" t="n"/>
      <c r="D271" s="151" t="n"/>
      <c r="E271" s="152" t="n"/>
      <c r="F271" s="153" t="n"/>
      <c r="G271" s="154" t="n"/>
      <c r="H271" s="541" t="n"/>
      <c r="I271" s="542" t="n"/>
      <c r="J271" s="541" t="n"/>
      <c r="K271" s="157" t="n"/>
      <c r="L271" s="157" t="n"/>
      <c r="M271" s="157" t="n"/>
      <c r="N271" s="157" t="n"/>
      <c r="O271" s="157" t="n"/>
      <c r="P271" s="157" t="n"/>
      <c r="Q271" s="157" t="n"/>
      <c r="R271" s="157" t="n"/>
      <c r="S271" s="157" t="n"/>
      <c r="T271" s="157" t="n"/>
      <c r="U271" s="157" t="n"/>
      <c r="V271" s="157" t="n"/>
      <c r="W271" s="157" t="n"/>
      <c r="X271" s="157" t="n"/>
      <c r="Y271" s="157" t="n"/>
      <c r="Z271" s="157" t="n"/>
      <c r="AA271" s="157" t="n"/>
      <c r="AB271" s="157" t="n"/>
      <c r="AC271" s="157" t="n"/>
      <c r="AD271" s="157" t="n"/>
      <c r="AE271" s="158" t="n"/>
      <c r="AF271" s="158" t="n"/>
    </row>
    <row r="272" ht="15.75" customHeight="1" s="398">
      <c r="A272" s="275" t="n"/>
      <c r="B272" s="151" t="n"/>
      <c r="C272" s="152" t="n"/>
      <c r="D272" s="151" t="n"/>
      <c r="E272" s="152" t="n"/>
      <c r="F272" s="153" t="n"/>
      <c r="G272" s="154" t="n"/>
      <c r="H272" s="541" t="n"/>
      <c r="I272" s="542" t="n"/>
      <c r="J272" s="541" t="n"/>
      <c r="K272" s="157" t="n"/>
      <c r="L272" s="157" t="n"/>
      <c r="M272" s="157" t="n"/>
      <c r="N272" s="157" t="n"/>
      <c r="O272" s="157" t="n"/>
      <c r="P272" s="157" t="n"/>
      <c r="Q272" s="157" t="n"/>
      <c r="R272" s="157" t="n"/>
      <c r="S272" s="157" t="n"/>
      <c r="T272" s="157" t="n"/>
      <c r="U272" s="157" t="n"/>
      <c r="V272" s="157" t="n"/>
      <c r="W272" s="157" t="n"/>
      <c r="X272" s="157" t="n"/>
      <c r="Y272" s="157" t="n"/>
      <c r="Z272" s="157" t="n"/>
      <c r="AA272" s="157" t="n"/>
      <c r="AB272" s="157" t="n"/>
      <c r="AC272" s="157" t="n"/>
      <c r="AD272" s="157" t="n"/>
      <c r="AE272" s="158" t="n"/>
      <c r="AF272" s="158" t="n"/>
    </row>
    <row r="273" ht="15.75" customHeight="1" s="398">
      <c r="A273" s="275" t="n"/>
      <c r="B273" s="151" t="n"/>
      <c r="C273" s="152" t="n"/>
      <c r="D273" s="151" t="n"/>
      <c r="E273" s="152" t="n"/>
      <c r="F273" s="153" t="n"/>
      <c r="G273" s="154" t="n"/>
      <c r="H273" s="541" t="n"/>
      <c r="I273" s="542" t="n"/>
      <c r="J273" s="541" t="n"/>
      <c r="K273" s="157" t="n"/>
      <c r="L273" s="157" t="n"/>
      <c r="M273" s="157" t="n"/>
      <c r="N273" s="157" t="n"/>
      <c r="O273" s="157" t="n"/>
      <c r="P273" s="157" t="n"/>
      <c r="Q273" s="157" t="n"/>
      <c r="R273" s="157" t="n"/>
      <c r="S273" s="157" t="n"/>
      <c r="T273" s="157" t="n"/>
      <c r="U273" s="157" t="n"/>
      <c r="V273" s="157" t="n"/>
      <c r="W273" s="157" t="n"/>
      <c r="X273" s="157" t="n"/>
      <c r="Y273" s="157" t="n"/>
      <c r="Z273" s="157" t="n"/>
      <c r="AA273" s="157" t="n"/>
      <c r="AB273" s="157" t="n"/>
      <c r="AC273" s="157" t="n"/>
      <c r="AD273" s="157" t="n"/>
      <c r="AE273" s="158" t="n"/>
      <c r="AF273" s="158" t="n"/>
    </row>
    <row r="274" ht="15.75" customHeight="1" s="398">
      <c r="A274" s="275" t="n"/>
      <c r="B274" s="151" t="n"/>
      <c r="C274" s="152" t="n"/>
      <c r="D274" s="151" t="n"/>
      <c r="E274" s="152" t="n"/>
      <c r="F274" s="153" t="n"/>
      <c r="G274" s="154" t="n"/>
      <c r="H274" s="541" t="n"/>
      <c r="I274" s="542" t="n"/>
      <c r="J274" s="541" t="n"/>
      <c r="K274" s="157" t="n"/>
      <c r="L274" s="157" t="n"/>
      <c r="M274" s="157" t="n"/>
      <c r="N274" s="157" t="n"/>
      <c r="O274" s="157" t="n"/>
      <c r="P274" s="157" t="n"/>
      <c r="Q274" s="157" t="n"/>
      <c r="R274" s="157" t="n"/>
      <c r="S274" s="157" t="n"/>
      <c r="T274" s="157" t="n"/>
      <c r="U274" s="157" t="n"/>
      <c r="V274" s="157" t="n"/>
      <c r="W274" s="157" t="n"/>
      <c r="X274" s="157" t="n"/>
      <c r="Y274" s="157" t="n"/>
      <c r="Z274" s="157" t="n"/>
      <c r="AA274" s="157" t="n"/>
      <c r="AB274" s="157" t="n"/>
      <c r="AC274" s="157" t="n"/>
      <c r="AD274" s="157" t="n"/>
      <c r="AE274" s="158" t="n"/>
      <c r="AF274" s="158" t="n"/>
    </row>
    <row r="275" ht="15.75" customHeight="1" s="398"/>
    <row r="276" ht="15.75" customHeight="1" s="398"/>
    <row r="277" ht="15.75" customHeight="1" s="398"/>
    <row r="278" ht="15.75" customHeight="1" s="398"/>
    <row r="279" ht="15.75" customHeight="1" s="398"/>
    <row r="280" ht="15.75" customHeight="1" s="398"/>
    <row r="281" ht="15.75" customHeight="1" s="398"/>
    <row r="282" ht="15.75" customHeight="1" s="398"/>
    <row r="283" ht="15.75" customHeight="1" s="398"/>
    <row r="284" ht="15.75" customHeight="1" s="398"/>
    <row r="285" ht="15.75" customHeight="1" s="398"/>
    <row r="286" ht="15.75" customHeight="1" s="398"/>
    <row r="287" ht="15.75" customHeight="1" s="398"/>
    <row r="288" ht="15.75" customHeight="1" s="398"/>
    <row r="289" ht="15.75" customHeight="1" s="398"/>
    <row r="290" ht="15.75" customHeight="1" s="398"/>
    <row r="291" ht="15.75" customHeight="1" s="398"/>
    <row r="292" ht="15.75" customHeight="1" s="398"/>
    <row r="293" ht="15.75" customHeight="1" s="398"/>
    <row r="294" ht="15.75" customHeight="1" s="398"/>
    <row r="295" ht="15.75" customHeight="1" s="398"/>
    <row r="296" ht="15.75" customHeight="1" s="398"/>
    <row r="297" ht="15.75" customHeight="1" s="398"/>
    <row r="298" ht="15.75" customHeight="1" s="398"/>
    <row r="299" ht="15.75" customHeight="1" s="398"/>
    <row r="300" ht="15.75" customHeight="1" s="398"/>
    <row r="301" ht="15.75" customHeight="1" s="398"/>
    <row r="302" ht="15.75" customHeight="1" s="398"/>
    <row r="303" ht="15.75" customHeight="1" s="398"/>
    <row r="304" ht="15.75" customHeight="1" s="398"/>
    <row r="305" ht="15.75" customHeight="1" s="398"/>
    <row r="306" ht="15.75" customHeight="1" s="398"/>
    <row r="307" ht="15.75" customHeight="1" s="398"/>
    <row r="308" ht="15.75" customHeight="1" s="398"/>
    <row r="309" ht="15.75" customHeight="1" s="398"/>
    <row r="310" ht="15.75" customHeight="1" s="398"/>
    <row r="311" ht="15.75" customHeight="1" s="398"/>
    <row r="312" ht="15.75" customHeight="1" s="398"/>
    <row r="313" ht="15.75" customHeight="1" s="398"/>
    <row r="314" ht="15.75" customHeight="1" s="398"/>
    <row r="315" ht="15.75" customHeight="1" s="398"/>
    <row r="316" ht="15.75" customHeight="1" s="398"/>
    <row r="317" ht="15.75" customHeight="1" s="398"/>
    <row r="318" ht="15.75" customHeight="1" s="398"/>
    <row r="319" ht="15.75" customHeight="1" s="398"/>
    <row r="320" ht="15.75" customHeight="1" s="398"/>
    <row r="321" ht="15.75" customHeight="1" s="398"/>
    <row r="322" ht="15.75" customHeight="1" s="398"/>
    <row r="323" ht="15.75" customHeight="1" s="398"/>
    <row r="324" ht="15.75" customHeight="1" s="398"/>
    <row r="325" ht="15.75" customHeight="1" s="398"/>
    <row r="326" ht="15.75" customHeight="1" s="398"/>
    <row r="327" ht="15.75" customHeight="1" s="398"/>
    <row r="328" ht="15.75" customHeight="1" s="398"/>
    <row r="329" ht="15.75" customHeight="1" s="398"/>
    <row r="330" ht="15.75" customHeight="1" s="398"/>
    <row r="331" ht="15.75" customHeight="1" s="398"/>
    <row r="332" ht="15.75" customHeight="1" s="398"/>
    <row r="333" ht="15.75" customHeight="1" s="398"/>
    <row r="334" ht="15.75" customHeight="1" s="398"/>
    <row r="335" ht="15.75" customHeight="1" s="398"/>
    <row r="336" ht="15.75" customHeight="1" s="398"/>
    <row r="337" ht="15.75" customHeight="1" s="398"/>
    <row r="338" ht="15.75" customHeight="1" s="398"/>
    <row r="339" ht="15.75" customHeight="1" s="398"/>
    <row r="340" ht="15.75" customHeight="1" s="398"/>
    <row r="341" ht="15.75" customHeight="1" s="398"/>
    <row r="342" ht="15.75" customHeight="1" s="398"/>
    <row r="343" ht="15.75" customHeight="1" s="398"/>
    <row r="344" ht="15.75" customHeight="1" s="398"/>
    <row r="345" ht="15.75" customHeight="1" s="398"/>
    <row r="346" ht="15.75" customHeight="1" s="398"/>
    <row r="347" ht="15.75" customHeight="1" s="398"/>
    <row r="348" ht="15.75" customHeight="1" s="398"/>
    <row r="349" ht="15.75" customHeight="1" s="398"/>
    <row r="350" ht="15.75" customHeight="1" s="398"/>
    <row r="351" ht="15.75" customHeight="1" s="398"/>
    <row r="352" ht="15.75" customHeight="1" s="398"/>
    <row r="353" ht="15.75" customHeight="1" s="398"/>
    <row r="354" ht="15.75" customHeight="1" s="398"/>
    <row r="355" ht="15.75" customHeight="1" s="398"/>
    <row r="356" ht="15.75" customHeight="1" s="398"/>
    <row r="357" ht="15.75" customHeight="1" s="398"/>
    <row r="358" ht="15.75" customHeight="1" s="398"/>
    <row r="359" ht="15.75" customHeight="1" s="398"/>
    <row r="360" ht="15.75" customHeight="1" s="398"/>
    <row r="361" ht="15.75" customHeight="1" s="398"/>
    <row r="362" ht="15.75" customHeight="1" s="398"/>
    <row r="363" ht="15.75" customHeight="1" s="398"/>
    <row r="364" ht="15.75" customHeight="1" s="398"/>
    <row r="365" ht="15.75" customHeight="1" s="398"/>
    <row r="366" ht="15.75" customHeight="1" s="398"/>
    <row r="367" ht="15.75" customHeight="1" s="398"/>
    <row r="368" ht="15.75" customHeight="1" s="398"/>
    <row r="369" ht="15.75" customHeight="1" s="398"/>
    <row r="370" ht="15.75" customHeight="1" s="398"/>
    <row r="371" ht="15.75" customHeight="1" s="398"/>
    <row r="372" ht="15.75" customHeight="1" s="398"/>
    <row r="373" ht="15.75" customHeight="1" s="398"/>
    <row r="374" ht="15.75" customHeight="1" s="398"/>
    <row r="375" ht="15.75" customHeight="1" s="398"/>
    <row r="376" ht="15.75" customHeight="1" s="398"/>
    <row r="377" ht="15.75" customHeight="1" s="398"/>
    <row r="378" ht="15.75" customHeight="1" s="398"/>
    <row r="379" ht="15.75" customHeight="1" s="398"/>
    <row r="380" ht="15.75" customHeight="1" s="398"/>
    <row r="381" ht="15.75" customHeight="1" s="398"/>
    <row r="382" ht="15.75" customHeight="1" s="398"/>
    <row r="383" ht="15.75" customHeight="1" s="398"/>
    <row r="384" ht="15.75" customHeight="1" s="398"/>
    <row r="385" ht="15.75" customHeight="1" s="398"/>
    <row r="386" ht="15.75" customHeight="1" s="398"/>
    <row r="387" ht="15.75" customHeight="1" s="398"/>
    <row r="388" ht="15.75" customHeight="1" s="398"/>
    <row r="389" ht="15.75" customHeight="1" s="398"/>
    <row r="390" ht="15.75" customHeight="1" s="398"/>
    <row r="391" ht="15.75" customHeight="1" s="398"/>
    <row r="392" ht="15.75" customHeight="1" s="398"/>
    <row r="393" ht="15.75" customHeight="1" s="398"/>
    <row r="394" ht="15.75" customHeight="1" s="398"/>
    <row r="395" ht="15.75" customHeight="1" s="398"/>
    <row r="396" ht="15.75" customHeight="1" s="398"/>
    <row r="397" ht="15.75" customHeight="1" s="398"/>
    <row r="398" ht="15.75" customHeight="1" s="398"/>
    <row r="399" ht="15.75" customHeight="1" s="398"/>
    <row r="400" ht="15.75" customHeight="1" s="398"/>
    <row r="401" ht="15.75" customHeight="1" s="398"/>
    <row r="402" ht="15.75" customHeight="1" s="398"/>
    <row r="403" ht="15.75" customHeight="1" s="398"/>
    <row r="404" ht="15.75" customHeight="1" s="398"/>
    <row r="405" ht="15.75" customHeight="1" s="398"/>
    <row r="406" ht="15.75" customHeight="1" s="398"/>
    <row r="407" ht="15.75" customHeight="1" s="398"/>
    <row r="408" ht="15.75" customHeight="1" s="398"/>
    <row r="409" ht="15.75" customHeight="1" s="398"/>
    <row r="410" ht="15.75" customHeight="1" s="398"/>
    <row r="411" ht="15.75" customHeight="1" s="398"/>
    <row r="412" ht="15.75" customHeight="1" s="398"/>
    <row r="413" ht="15.75" customHeight="1" s="398"/>
    <row r="414" ht="15.75" customHeight="1" s="398"/>
    <row r="415" ht="15.75" customHeight="1" s="398"/>
    <row r="416" ht="15.75" customHeight="1" s="398"/>
    <row r="417" ht="15.75" customHeight="1" s="398"/>
    <row r="418" ht="15.75" customHeight="1" s="398"/>
    <row r="419" ht="15.75" customHeight="1" s="398"/>
    <row r="420" ht="15.75" customHeight="1" s="398"/>
    <row r="421" ht="15.75" customHeight="1" s="398"/>
    <row r="422" ht="15.75" customHeight="1" s="398"/>
    <row r="423" ht="15.75" customHeight="1" s="398"/>
    <row r="424" ht="15.75" customHeight="1" s="398"/>
    <row r="425" ht="15.75" customHeight="1" s="398"/>
    <row r="426" ht="15.75" customHeight="1" s="398"/>
    <row r="427" ht="15.75" customHeight="1" s="398"/>
    <row r="428" ht="15.75" customHeight="1" s="398"/>
    <row r="429" ht="15.75" customHeight="1" s="398"/>
    <row r="430" ht="15.75" customHeight="1" s="398"/>
    <row r="431" ht="15.75" customHeight="1" s="398"/>
    <row r="432" ht="15.75" customHeight="1" s="398"/>
    <row r="433" ht="15.75" customHeight="1" s="398"/>
    <row r="434" ht="15.75" customHeight="1" s="398"/>
    <row r="435" ht="15.75" customHeight="1" s="398"/>
    <row r="436" ht="15.75" customHeight="1" s="398"/>
    <row r="437" ht="15.75" customHeight="1" s="398"/>
    <row r="438" ht="15.75" customHeight="1" s="398"/>
    <row r="439" ht="15.75" customHeight="1" s="398"/>
    <row r="440" ht="15.75" customHeight="1" s="398"/>
    <row r="441" ht="15.75" customHeight="1" s="398"/>
    <row r="442" ht="15.75" customHeight="1" s="398"/>
    <row r="443" ht="15.75" customHeight="1" s="398"/>
    <row r="444" ht="15.75" customHeight="1" s="398"/>
    <row r="445" ht="15.75" customHeight="1" s="398"/>
    <row r="446" ht="15.75" customHeight="1" s="398"/>
    <row r="447" ht="15.75" customHeight="1" s="398"/>
    <row r="448" ht="15.75" customHeight="1" s="398"/>
    <row r="449" ht="15.75" customHeight="1" s="398"/>
    <row r="450" ht="15.75" customHeight="1" s="398"/>
    <row r="451" ht="15.75" customHeight="1" s="398"/>
    <row r="452" ht="15.75" customHeight="1" s="398"/>
    <row r="453" ht="15.75" customHeight="1" s="398"/>
    <row r="454" ht="15.75" customHeight="1" s="398"/>
    <row r="455" ht="15.75" customHeight="1" s="398"/>
    <row r="456" ht="15.75" customHeight="1" s="398"/>
    <row r="457" ht="15.75" customHeight="1" s="398"/>
    <row r="458" ht="15.75" customHeight="1" s="398"/>
    <row r="459" ht="15.75" customHeight="1" s="398"/>
    <row r="460" ht="15.75" customHeight="1" s="398"/>
    <row r="461" ht="15.75" customHeight="1" s="398"/>
    <row r="462" ht="15.75" customHeight="1" s="398"/>
    <row r="463" ht="15.75" customHeight="1" s="398"/>
    <row r="464" ht="15.75" customHeight="1" s="398"/>
    <row r="465" ht="15.75" customHeight="1" s="398"/>
    <row r="466" ht="15.75" customHeight="1" s="398"/>
    <row r="467" ht="15.75" customHeight="1" s="398"/>
    <row r="468" ht="15.75" customHeight="1" s="398"/>
    <row r="469" ht="15.75" customHeight="1" s="398"/>
    <row r="470" ht="15.75" customHeight="1" s="398"/>
    <row r="471" ht="15.75" customHeight="1" s="398"/>
    <row r="472" ht="15.75" customHeight="1" s="398"/>
    <row r="473" ht="15.75" customHeight="1" s="398"/>
    <row r="474" ht="15.75" customHeight="1" s="398"/>
    <row r="475" ht="15.75" customHeight="1" s="398"/>
    <row r="476" ht="15.75" customHeight="1" s="398"/>
    <row r="477" ht="15.75" customHeight="1" s="398"/>
    <row r="478" ht="15.75" customHeight="1" s="398"/>
    <row r="479" ht="15.75" customHeight="1" s="398"/>
    <row r="480" ht="15.75" customHeight="1" s="398"/>
    <row r="481" ht="15.75" customHeight="1" s="398"/>
    <row r="482" ht="15.75" customHeight="1" s="398"/>
    <row r="483" ht="15.75" customHeight="1" s="398"/>
    <row r="484" ht="15.75" customHeight="1" s="398"/>
    <row r="485" ht="15.75" customHeight="1" s="398"/>
    <row r="486" ht="15.75" customHeight="1" s="398"/>
    <row r="487" ht="15.75" customHeight="1" s="398"/>
    <row r="488" ht="15.75" customHeight="1" s="398"/>
    <row r="489" ht="15.75" customHeight="1" s="398"/>
    <row r="490" ht="15.75" customHeight="1" s="398"/>
    <row r="491" ht="15.75" customHeight="1" s="398"/>
    <row r="492" ht="15.75" customHeight="1" s="398"/>
    <row r="493" ht="15.75" customHeight="1" s="398"/>
    <row r="494" ht="15.75" customHeight="1" s="398"/>
    <row r="495" ht="15.75" customHeight="1" s="398"/>
    <row r="496" ht="15.75" customHeight="1" s="398"/>
    <row r="497" ht="15.75" customHeight="1" s="398"/>
    <row r="498" ht="15.75" customHeight="1" s="398"/>
    <row r="499" ht="15.75" customHeight="1" s="398"/>
    <row r="500" ht="15.75" customHeight="1" s="398"/>
    <row r="501" ht="15.75" customHeight="1" s="398"/>
    <row r="502" ht="15.75" customHeight="1" s="398"/>
    <row r="503" ht="15.75" customHeight="1" s="398"/>
    <row r="504" ht="15.75" customHeight="1" s="398"/>
    <row r="505" ht="15.75" customHeight="1" s="398"/>
    <row r="506" ht="15.75" customHeight="1" s="398"/>
    <row r="507" ht="15.75" customHeight="1" s="398"/>
    <row r="508" ht="15.75" customHeight="1" s="398"/>
    <row r="509" ht="15.75" customHeight="1" s="398"/>
    <row r="510" ht="15.75" customHeight="1" s="398"/>
    <row r="511" ht="15.75" customHeight="1" s="398"/>
    <row r="512" ht="15.75" customHeight="1" s="398"/>
    <row r="513" ht="15.75" customHeight="1" s="398"/>
    <row r="514" ht="15.75" customHeight="1" s="398"/>
    <row r="515" ht="15.75" customHeight="1" s="398"/>
    <row r="516" ht="15.75" customHeight="1" s="398"/>
    <row r="517" ht="15.75" customHeight="1" s="398"/>
    <row r="518" ht="15.75" customHeight="1" s="398"/>
    <row r="519" ht="15.75" customHeight="1" s="398"/>
    <row r="520" ht="15.75" customHeight="1" s="398"/>
    <row r="521" ht="15.75" customHeight="1" s="398"/>
    <row r="522" ht="15.75" customHeight="1" s="398"/>
    <row r="523" ht="15.75" customHeight="1" s="398"/>
    <row r="524" ht="15.75" customHeight="1" s="398"/>
    <row r="525" ht="15.75" customHeight="1" s="398"/>
    <row r="526" ht="15.75" customHeight="1" s="398"/>
    <row r="527" ht="15.75" customHeight="1" s="398"/>
    <row r="528" ht="15.75" customHeight="1" s="398"/>
    <row r="529" ht="15.75" customHeight="1" s="398"/>
    <row r="530" ht="15.75" customHeight="1" s="398"/>
    <row r="531" ht="15.75" customHeight="1" s="398"/>
    <row r="532" ht="15.75" customHeight="1" s="398"/>
    <row r="533" ht="15.75" customHeight="1" s="398"/>
    <row r="534" ht="15.75" customHeight="1" s="398"/>
    <row r="535" ht="15.75" customHeight="1" s="398"/>
    <row r="536" ht="15.75" customHeight="1" s="398"/>
    <row r="537" ht="15.75" customHeight="1" s="398"/>
    <row r="538" ht="15.75" customHeight="1" s="398"/>
    <row r="539" ht="15.75" customHeight="1" s="398"/>
    <row r="540" ht="15.75" customHeight="1" s="398"/>
    <row r="541" ht="15.75" customHeight="1" s="398"/>
    <row r="542" ht="15.75" customHeight="1" s="398"/>
    <row r="543" ht="15.75" customHeight="1" s="398"/>
    <row r="544" ht="15.75" customHeight="1" s="398"/>
    <row r="545" ht="15.75" customHeight="1" s="398"/>
    <row r="546" ht="15.75" customHeight="1" s="398"/>
    <row r="547" ht="15.75" customHeight="1" s="398"/>
    <row r="548" ht="15.75" customHeight="1" s="398"/>
    <row r="549" ht="15.75" customHeight="1" s="398"/>
    <row r="550" ht="15.75" customHeight="1" s="398"/>
    <row r="551" ht="15.75" customHeight="1" s="398"/>
    <row r="552" ht="15.75" customHeight="1" s="398"/>
    <row r="553" ht="15.75" customHeight="1" s="398"/>
    <row r="554" ht="15.75" customHeight="1" s="398"/>
    <row r="555" ht="15.75" customHeight="1" s="398"/>
    <row r="556" ht="15.75" customHeight="1" s="398"/>
    <row r="557" ht="15.75" customHeight="1" s="398"/>
    <row r="558" ht="15.75" customHeight="1" s="398"/>
    <row r="559" ht="15.75" customHeight="1" s="398"/>
    <row r="560" ht="15.75" customHeight="1" s="398"/>
    <row r="561" ht="15.75" customHeight="1" s="398"/>
    <row r="562" ht="15.75" customHeight="1" s="398"/>
    <row r="563" ht="15.75" customHeight="1" s="398"/>
    <row r="564" ht="15.75" customHeight="1" s="398"/>
    <row r="565" ht="15.75" customHeight="1" s="398"/>
    <row r="566" ht="15.75" customHeight="1" s="398"/>
    <row r="567" ht="15.75" customHeight="1" s="398"/>
    <row r="568" ht="15.75" customHeight="1" s="398"/>
    <row r="569" ht="15.75" customHeight="1" s="398"/>
    <row r="570" ht="15.75" customHeight="1" s="398"/>
    <row r="571" ht="15.75" customHeight="1" s="398"/>
    <row r="572" ht="15.75" customHeight="1" s="398"/>
    <row r="573" ht="15.75" customHeight="1" s="398"/>
    <row r="574" ht="15.75" customHeight="1" s="398"/>
    <row r="575" ht="15.75" customHeight="1" s="398"/>
    <row r="576" ht="15.75" customHeight="1" s="398"/>
    <row r="577" ht="15.75" customHeight="1" s="398"/>
    <row r="578" ht="15.75" customHeight="1" s="398"/>
    <row r="579" ht="15.75" customHeight="1" s="398"/>
    <row r="580" ht="15.75" customHeight="1" s="398"/>
    <row r="581" ht="15.75" customHeight="1" s="398"/>
    <row r="582" ht="15.75" customHeight="1" s="398"/>
    <row r="583" ht="15.75" customHeight="1" s="398"/>
    <row r="584" ht="15.75" customHeight="1" s="398"/>
    <row r="585" ht="15.75" customHeight="1" s="398"/>
    <row r="586" ht="15.75" customHeight="1" s="398"/>
    <row r="587" ht="15.75" customHeight="1" s="398"/>
    <row r="588" ht="15.75" customHeight="1" s="398"/>
    <row r="589" ht="15.75" customHeight="1" s="398"/>
    <row r="590" ht="15.75" customHeight="1" s="398"/>
    <row r="591" ht="15.75" customHeight="1" s="398"/>
    <row r="592" ht="15.75" customHeight="1" s="398"/>
    <row r="593" ht="15.75" customHeight="1" s="398"/>
    <row r="594" ht="15.75" customHeight="1" s="398"/>
    <row r="595" ht="15.75" customHeight="1" s="398"/>
    <row r="596" ht="15.75" customHeight="1" s="398"/>
    <row r="597" ht="15.75" customHeight="1" s="398"/>
    <row r="598" ht="15.75" customHeight="1" s="398"/>
    <row r="599" ht="15.75" customHeight="1" s="398"/>
    <row r="600" ht="15.75" customHeight="1" s="398"/>
    <row r="601" ht="15.75" customHeight="1" s="398"/>
    <row r="602" ht="15.75" customHeight="1" s="398"/>
    <row r="603" ht="15.75" customHeight="1" s="398"/>
    <row r="604" ht="15.75" customHeight="1" s="398"/>
    <row r="605" ht="15.75" customHeight="1" s="398"/>
    <row r="606" ht="15.75" customHeight="1" s="398"/>
    <row r="607" ht="15.75" customHeight="1" s="398"/>
    <row r="608" ht="15.75" customHeight="1" s="398"/>
    <row r="609" ht="15.75" customHeight="1" s="398"/>
    <row r="610" ht="15.75" customHeight="1" s="398"/>
    <row r="611" ht="15.75" customHeight="1" s="398"/>
    <row r="612" ht="15.75" customHeight="1" s="398"/>
    <row r="613" ht="15.75" customHeight="1" s="398"/>
    <row r="614" ht="15.75" customHeight="1" s="398"/>
    <row r="615" ht="15.75" customHeight="1" s="398"/>
    <row r="616" ht="15.75" customHeight="1" s="398"/>
    <row r="617" ht="15.75" customHeight="1" s="398"/>
    <row r="618" ht="15.75" customHeight="1" s="398"/>
    <row r="619" ht="15.75" customHeight="1" s="398"/>
    <row r="620" ht="15.75" customHeight="1" s="398"/>
    <row r="621" ht="15.75" customHeight="1" s="398"/>
    <row r="622" ht="15.75" customHeight="1" s="398"/>
    <row r="623" ht="15.75" customHeight="1" s="398"/>
    <row r="624" ht="15.75" customHeight="1" s="398"/>
    <row r="625" ht="15.75" customHeight="1" s="398"/>
    <row r="626" ht="15.75" customHeight="1" s="398"/>
    <row r="627" ht="15.75" customHeight="1" s="398"/>
    <row r="628" ht="15.75" customHeight="1" s="398"/>
    <row r="629" ht="15.75" customHeight="1" s="398"/>
    <row r="630" ht="15.75" customHeight="1" s="398"/>
    <row r="631" ht="15.75" customHeight="1" s="398"/>
    <row r="632" ht="15.75" customHeight="1" s="398"/>
    <row r="633" ht="15.75" customHeight="1" s="398"/>
    <row r="634" ht="15.75" customHeight="1" s="398"/>
    <row r="635" ht="15.75" customHeight="1" s="398"/>
    <row r="636" ht="15.75" customHeight="1" s="398"/>
    <row r="637" ht="15.75" customHeight="1" s="398"/>
    <row r="638" ht="15.75" customHeight="1" s="398"/>
    <row r="639" ht="15.75" customHeight="1" s="398"/>
    <row r="640" ht="15.75" customHeight="1" s="398"/>
    <row r="641" ht="15.75" customHeight="1" s="398"/>
    <row r="642" ht="15.75" customHeight="1" s="398"/>
    <row r="643" ht="15.75" customHeight="1" s="398"/>
    <row r="644" ht="15.75" customHeight="1" s="398"/>
    <row r="645" ht="15.75" customHeight="1" s="398"/>
    <row r="646" ht="15.75" customHeight="1" s="398"/>
    <row r="647" ht="15.75" customHeight="1" s="398"/>
    <row r="648" ht="15.75" customHeight="1" s="398"/>
    <row r="649" ht="15.75" customHeight="1" s="398"/>
    <row r="650" ht="15.75" customHeight="1" s="398"/>
    <row r="651" ht="15.75" customHeight="1" s="398"/>
    <row r="652" ht="15.75" customHeight="1" s="398"/>
    <row r="653" ht="15.75" customHeight="1" s="398"/>
    <row r="654" ht="15.75" customHeight="1" s="398"/>
    <row r="655" ht="15.75" customHeight="1" s="398"/>
    <row r="656" ht="15.75" customHeight="1" s="398"/>
    <row r="657" ht="15.75" customHeight="1" s="398"/>
    <row r="658" ht="15.75" customHeight="1" s="398"/>
    <row r="659" ht="15.75" customHeight="1" s="398"/>
    <row r="660" ht="15.75" customHeight="1" s="398"/>
    <row r="661" ht="15.75" customHeight="1" s="398"/>
    <row r="662" ht="15.75" customHeight="1" s="398"/>
    <row r="663" ht="15.75" customHeight="1" s="398"/>
    <row r="664" ht="15.75" customHeight="1" s="398"/>
    <row r="665" ht="15.75" customHeight="1" s="398"/>
    <row r="666" ht="15.75" customHeight="1" s="398"/>
    <row r="667" ht="15.75" customHeight="1" s="398"/>
    <row r="668" ht="15.75" customHeight="1" s="398"/>
    <row r="669" ht="15.75" customHeight="1" s="398"/>
    <row r="670" ht="15.75" customHeight="1" s="398"/>
    <row r="671" ht="15.75" customHeight="1" s="398"/>
    <row r="672" ht="15.75" customHeight="1" s="398"/>
    <row r="673" ht="15.75" customHeight="1" s="398"/>
    <row r="674" ht="15.75" customHeight="1" s="398"/>
    <row r="675" ht="15.75" customHeight="1" s="398"/>
    <row r="676" ht="15.75" customHeight="1" s="398"/>
    <row r="677" ht="15.75" customHeight="1" s="398"/>
    <row r="678" ht="15.75" customHeight="1" s="398"/>
    <row r="679" ht="15.75" customHeight="1" s="398"/>
    <row r="680" ht="15.75" customHeight="1" s="398"/>
    <row r="681" ht="15.75" customHeight="1" s="398"/>
    <row r="682" ht="15.75" customHeight="1" s="398"/>
    <row r="683" ht="15.75" customHeight="1" s="398"/>
    <row r="684" ht="15.75" customHeight="1" s="398"/>
    <row r="685" ht="15.75" customHeight="1" s="398"/>
    <row r="686" ht="15.75" customHeight="1" s="398"/>
    <row r="687" ht="15.75" customHeight="1" s="398"/>
    <row r="688" ht="15.75" customHeight="1" s="398"/>
    <row r="689" ht="15.75" customHeight="1" s="398"/>
    <row r="690" ht="15.75" customHeight="1" s="398"/>
    <row r="691" ht="15.75" customHeight="1" s="398"/>
    <row r="692" ht="15.75" customHeight="1" s="398"/>
    <row r="693" ht="15.75" customHeight="1" s="398"/>
    <row r="694" ht="15.75" customHeight="1" s="398"/>
    <row r="695" ht="15.75" customHeight="1" s="398"/>
    <row r="696" ht="15.75" customHeight="1" s="398"/>
    <row r="697" ht="15.75" customHeight="1" s="398"/>
    <row r="698" ht="15.75" customHeight="1" s="398"/>
    <row r="699" ht="15.75" customHeight="1" s="398"/>
    <row r="700" ht="15.75" customHeight="1" s="398"/>
    <row r="701" ht="15.75" customHeight="1" s="398"/>
    <row r="702" ht="15.75" customHeight="1" s="398"/>
    <row r="703" ht="15.75" customHeight="1" s="398"/>
    <row r="704" ht="15.75" customHeight="1" s="398"/>
    <row r="705" ht="15.75" customHeight="1" s="398"/>
    <row r="706" ht="15.75" customHeight="1" s="398"/>
    <row r="707" ht="15.75" customHeight="1" s="398"/>
    <row r="708" ht="15.75" customHeight="1" s="398"/>
    <row r="709" ht="15.75" customHeight="1" s="398"/>
    <row r="710" ht="15.75" customHeight="1" s="398"/>
    <row r="711" ht="15.75" customHeight="1" s="398"/>
    <row r="712" ht="15.75" customHeight="1" s="398"/>
    <row r="713" ht="15.75" customHeight="1" s="398"/>
    <row r="714" ht="15.75" customHeight="1" s="398"/>
    <row r="715" ht="15.75" customHeight="1" s="398"/>
    <row r="716" ht="15.75" customHeight="1" s="398"/>
    <row r="717" ht="15.75" customHeight="1" s="398"/>
    <row r="718" ht="15.75" customHeight="1" s="398"/>
    <row r="719" ht="15.75" customHeight="1" s="398"/>
    <row r="720" ht="15.75" customHeight="1" s="398"/>
    <row r="721" ht="15.75" customHeight="1" s="398"/>
    <row r="722" ht="15.75" customHeight="1" s="398"/>
    <row r="723" ht="15.75" customHeight="1" s="398"/>
    <row r="724" ht="15.75" customHeight="1" s="398"/>
    <row r="725" ht="15.75" customHeight="1" s="398"/>
    <row r="726" ht="15.75" customHeight="1" s="398"/>
    <row r="727" ht="15.75" customHeight="1" s="398"/>
    <row r="728" ht="15.75" customHeight="1" s="398"/>
    <row r="729" ht="15.75" customHeight="1" s="398"/>
    <row r="730" ht="15.75" customHeight="1" s="398"/>
    <row r="731" ht="15.75" customHeight="1" s="398"/>
    <row r="732" ht="15.75" customHeight="1" s="398"/>
    <row r="733" ht="15.75" customHeight="1" s="398"/>
    <row r="734" ht="15.75" customHeight="1" s="398"/>
    <row r="735" ht="15.75" customHeight="1" s="398"/>
    <row r="736" ht="15.75" customHeight="1" s="398"/>
    <row r="737" ht="15.75" customHeight="1" s="398"/>
    <row r="738" ht="15.75" customHeight="1" s="398"/>
    <row r="739" ht="15.75" customHeight="1" s="398"/>
    <row r="740" ht="15.75" customHeight="1" s="398"/>
    <row r="741" ht="15.75" customHeight="1" s="398"/>
    <row r="742" ht="15.75" customHeight="1" s="398"/>
    <row r="743" ht="15.75" customHeight="1" s="398"/>
    <row r="744" ht="15.75" customHeight="1" s="398"/>
    <row r="745" ht="15.75" customHeight="1" s="398"/>
    <row r="746" ht="15.75" customHeight="1" s="398"/>
    <row r="747" ht="15.75" customHeight="1" s="398"/>
    <row r="748" ht="15.75" customHeight="1" s="398"/>
    <row r="749" ht="15.75" customHeight="1" s="398"/>
    <row r="750" ht="15.75" customHeight="1" s="398"/>
    <row r="751" ht="15.75" customHeight="1" s="398"/>
    <row r="752" ht="15.75" customHeight="1" s="398"/>
    <row r="753" ht="15.75" customHeight="1" s="398"/>
    <row r="754" ht="15.75" customHeight="1" s="398"/>
    <row r="755" ht="15.75" customHeight="1" s="398"/>
    <row r="756" ht="15.75" customHeight="1" s="398"/>
    <row r="757" ht="15.75" customHeight="1" s="398"/>
    <row r="758" ht="15.75" customHeight="1" s="398"/>
    <row r="759" ht="15.75" customHeight="1" s="398"/>
    <row r="760" ht="15.75" customHeight="1" s="398"/>
    <row r="761" ht="15.75" customHeight="1" s="398"/>
    <row r="762" ht="15.75" customHeight="1" s="398"/>
    <row r="763" ht="15.75" customHeight="1" s="398"/>
    <row r="764" ht="15.75" customHeight="1" s="398"/>
    <row r="765" ht="15.75" customHeight="1" s="398"/>
    <row r="766" ht="15.75" customHeight="1" s="398"/>
    <row r="767" ht="15.75" customHeight="1" s="398"/>
    <row r="768" ht="15.75" customHeight="1" s="398"/>
    <row r="769" ht="15.75" customHeight="1" s="398"/>
    <row r="770" ht="15.75" customHeight="1" s="398"/>
    <row r="771" ht="15.75" customHeight="1" s="398"/>
    <row r="772" ht="15.75" customHeight="1" s="398"/>
    <row r="773" ht="15.75" customHeight="1" s="398"/>
    <row r="774" ht="15.75" customHeight="1" s="398"/>
    <row r="775" ht="15.75" customHeight="1" s="398"/>
    <row r="776" ht="15.75" customHeight="1" s="398"/>
    <row r="777" ht="15.75" customHeight="1" s="398"/>
    <row r="778" ht="15.75" customHeight="1" s="398"/>
    <row r="779" ht="15.75" customHeight="1" s="398"/>
    <row r="780" ht="15.75" customHeight="1" s="398"/>
    <row r="781" ht="15.75" customHeight="1" s="398"/>
    <row r="782" ht="15.75" customHeight="1" s="398"/>
    <row r="783" ht="15.75" customHeight="1" s="398"/>
    <row r="784" ht="15.75" customHeight="1" s="398"/>
    <row r="785" ht="15.75" customHeight="1" s="398"/>
    <row r="786" ht="15.75" customHeight="1" s="398"/>
    <row r="787" ht="15.75" customHeight="1" s="398"/>
    <row r="788" ht="15.75" customHeight="1" s="398"/>
    <row r="789" ht="15.75" customHeight="1" s="398"/>
    <row r="790" ht="15.75" customHeight="1" s="398"/>
    <row r="791" ht="15.75" customHeight="1" s="398"/>
    <row r="792" ht="15.75" customHeight="1" s="398"/>
    <row r="793" ht="15.75" customHeight="1" s="398"/>
    <row r="794" ht="15.75" customHeight="1" s="398"/>
    <row r="795" ht="15.75" customHeight="1" s="398"/>
    <row r="796" ht="15.75" customHeight="1" s="398"/>
    <row r="797" ht="15.75" customHeight="1" s="398"/>
    <row r="798" ht="15.75" customHeight="1" s="398"/>
    <row r="799" ht="15.75" customHeight="1" s="398"/>
    <row r="800" ht="15.75" customHeight="1" s="398"/>
    <row r="801" ht="15.75" customHeight="1" s="398"/>
    <row r="802" ht="15.75" customHeight="1" s="398"/>
    <row r="803" ht="15.75" customHeight="1" s="398"/>
    <row r="804" ht="15.75" customHeight="1" s="398"/>
    <row r="805" ht="15.75" customHeight="1" s="398"/>
    <row r="806" ht="15.75" customHeight="1" s="398"/>
    <row r="807" ht="15.75" customHeight="1" s="398"/>
    <row r="808" ht="15.75" customHeight="1" s="398"/>
    <row r="809" ht="15.75" customHeight="1" s="398"/>
    <row r="810" ht="15.75" customHeight="1" s="398"/>
    <row r="811" ht="15.75" customHeight="1" s="398"/>
    <row r="812" ht="15.75" customHeight="1" s="398"/>
    <row r="813" ht="15.75" customHeight="1" s="398"/>
    <row r="814" ht="15.75" customHeight="1" s="398"/>
    <row r="815" ht="15.75" customHeight="1" s="398"/>
    <row r="816" ht="15.75" customHeight="1" s="398"/>
    <row r="817" ht="15.75" customHeight="1" s="398"/>
    <row r="818" ht="15.75" customHeight="1" s="398"/>
    <row r="819" ht="15.75" customHeight="1" s="398"/>
    <row r="820" ht="15.75" customHeight="1" s="398"/>
    <row r="821" ht="15.75" customHeight="1" s="398"/>
    <row r="822" ht="15.75" customHeight="1" s="398"/>
    <row r="823" ht="15.75" customHeight="1" s="398"/>
    <row r="824" ht="15.75" customHeight="1" s="398"/>
    <row r="825" ht="15.75" customHeight="1" s="398"/>
    <row r="826" ht="15.75" customHeight="1" s="398"/>
    <row r="827" ht="15.75" customHeight="1" s="398"/>
    <row r="828" ht="15.75" customHeight="1" s="398"/>
    <row r="829" ht="15.75" customHeight="1" s="398"/>
    <row r="830" ht="15.75" customHeight="1" s="398"/>
    <row r="831" ht="15.75" customHeight="1" s="398"/>
    <row r="832" ht="15.75" customHeight="1" s="398"/>
    <row r="833" ht="15.75" customHeight="1" s="398"/>
    <row r="834" ht="15.75" customHeight="1" s="398"/>
    <row r="835" ht="15.75" customHeight="1" s="398"/>
    <row r="836" ht="15.75" customHeight="1" s="398"/>
    <row r="837" ht="15.75" customHeight="1" s="398"/>
    <row r="838" ht="15.75" customHeight="1" s="398"/>
    <row r="839" ht="15.75" customHeight="1" s="398"/>
    <row r="840" ht="15.75" customHeight="1" s="398"/>
    <row r="841" ht="15.75" customHeight="1" s="398"/>
    <row r="842" ht="15.75" customHeight="1" s="398"/>
    <row r="843" ht="15.75" customHeight="1" s="398"/>
    <row r="844" ht="15.75" customHeight="1" s="398"/>
    <row r="845" ht="15.75" customHeight="1" s="398"/>
    <row r="846" ht="15.75" customHeight="1" s="398"/>
    <row r="847" ht="15.75" customHeight="1" s="398"/>
    <row r="848" ht="15.75" customHeight="1" s="398"/>
    <row r="849" ht="15.75" customHeight="1" s="398"/>
    <row r="850" ht="15.75" customHeight="1" s="398"/>
    <row r="851" ht="15.75" customHeight="1" s="398"/>
    <row r="852" ht="15.75" customHeight="1" s="398"/>
    <row r="853" ht="15.75" customHeight="1" s="398"/>
    <row r="854" ht="15.75" customHeight="1" s="398"/>
    <row r="855" ht="15.75" customHeight="1" s="398"/>
    <row r="856" ht="15.75" customHeight="1" s="398"/>
    <row r="857" ht="15.75" customHeight="1" s="398"/>
    <row r="858" ht="15.75" customHeight="1" s="398"/>
    <row r="859" ht="15.75" customHeight="1" s="398"/>
    <row r="860" ht="15.75" customHeight="1" s="398"/>
    <row r="861" ht="15.75" customHeight="1" s="398"/>
    <row r="862" ht="15.75" customHeight="1" s="398"/>
    <row r="863" ht="15.75" customHeight="1" s="398"/>
    <row r="864" ht="15.75" customHeight="1" s="398"/>
    <row r="865" ht="15.75" customHeight="1" s="398"/>
    <row r="866" ht="15.75" customHeight="1" s="398"/>
    <row r="867" ht="15.75" customHeight="1" s="398"/>
    <row r="868" ht="15.75" customHeight="1" s="398"/>
    <row r="869" ht="15.75" customHeight="1" s="398"/>
    <row r="870" ht="15.75" customHeight="1" s="398"/>
    <row r="871" ht="15.75" customHeight="1" s="398"/>
    <row r="872" ht="15.75" customHeight="1" s="398"/>
    <row r="873" ht="15.75" customHeight="1" s="398"/>
    <row r="874" ht="15.75" customHeight="1" s="398"/>
    <row r="875" ht="15.75" customHeight="1" s="398"/>
    <row r="876" ht="15.75" customHeight="1" s="398"/>
    <row r="877" ht="15.75" customHeight="1" s="398"/>
    <row r="878" ht="15.75" customHeight="1" s="398"/>
    <row r="879" ht="15.75" customHeight="1" s="398"/>
    <row r="880" ht="15.75" customHeight="1" s="398"/>
    <row r="881" ht="15.75" customHeight="1" s="398"/>
    <row r="882" ht="15.75" customHeight="1" s="398"/>
    <row r="883" ht="15.75" customHeight="1" s="398"/>
    <row r="884" ht="15.75" customHeight="1" s="398"/>
    <row r="885" ht="15.75" customHeight="1" s="398"/>
    <row r="886" ht="15.75" customHeight="1" s="398"/>
    <row r="887" ht="15.75" customHeight="1" s="398"/>
    <row r="888" ht="15.75" customHeight="1" s="398"/>
    <row r="889" ht="15.75" customHeight="1" s="398"/>
    <row r="890" ht="15.75" customHeight="1" s="398"/>
    <row r="891" ht="15.75" customHeight="1" s="398"/>
    <row r="892" ht="15.75" customHeight="1" s="398"/>
    <row r="893" ht="15.75" customHeight="1" s="398"/>
    <row r="894" ht="15.75" customHeight="1" s="398"/>
    <row r="895" ht="15.75" customHeight="1" s="398"/>
    <row r="896" ht="15.75" customHeight="1" s="398"/>
    <row r="897" ht="15.75" customHeight="1" s="398"/>
    <row r="898" ht="15.75" customHeight="1" s="398"/>
    <row r="899" ht="15.75" customHeight="1" s="398"/>
    <row r="900" ht="15.75" customHeight="1" s="398"/>
    <row r="901" ht="15.75" customHeight="1" s="398"/>
    <row r="902" ht="15.75" customHeight="1" s="398"/>
    <row r="903" ht="15.75" customHeight="1" s="398"/>
    <row r="904" ht="15.75" customHeight="1" s="398"/>
    <row r="905" ht="15.75" customHeight="1" s="398"/>
    <row r="906" ht="15.75" customHeight="1" s="398"/>
    <row r="907" ht="15.75" customHeight="1" s="398"/>
    <row r="908" ht="15.75" customHeight="1" s="398"/>
    <row r="909" ht="15.75" customHeight="1" s="398"/>
    <row r="910" ht="15.75" customHeight="1" s="398"/>
    <row r="911" ht="15.75" customHeight="1" s="398"/>
    <row r="912" ht="15.75" customHeight="1" s="398"/>
    <row r="913" ht="15.75" customHeight="1" s="398"/>
    <row r="914" ht="15.75" customHeight="1" s="398"/>
    <row r="915" ht="15.75" customHeight="1" s="398"/>
    <row r="916" ht="15.75" customHeight="1" s="398"/>
    <row r="917" ht="15.75" customHeight="1" s="398"/>
    <row r="918" ht="15.75" customHeight="1" s="398"/>
    <row r="919" ht="15.75" customHeight="1" s="398"/>
    <row r="920" ht="15.75" customHeight="1" s="398"/>
    <row r="921" ht="15.75" customHeight="1" s="398"/>
    <row r="922" ht="15.75" customHeight="1" s="398"/>
    <row r="923" ht="15.75" customHeight="1" s="398"/>
    <row r="924" ht="15.75" customHeight="1" s="398"/>
    <row r="925" ht="15.75" customHeight="1" s="398"/>
    <row r="926" ht="15.75" customHeight="1" s="398"/>
    <row r="927" ht="15.75" customHeight="1" s="398"/>
    <row r="928" ht="15.75" customHeight="1" s="398"/>
    <row r="929" ht="15.75" customHeight="1" s="398"/>
    <row r="930" ht="15.75" customHeight="1" s="398"/>
    <row r="931" ht="15.75" customHeight="1" s="398"/>
    <row r="932" ht="15.75" customHeight="1" s="398"/>
    <row r="933" ht="15.75" customHeight="1" s="398"/>
    <row r="934" ht="15.75" customHeight="1" s="398"/>
    <row r="935" ht="15.75" customHeight="1" s="398"/>
    <row r="936" ht="15.75" customHeight="1" s="398"/>
    <row r="937" ht="15.75" customHeight="1" s="398"/>
    <row r="938" ht="15.75" customHeight="1" s="398"/>
    <row r="939" ht="15.75" customHeight="1" s="398"/>
    <row r="940" ht="15.75" customHeight="1" s="398"/>
    <row r="941" ht="15.75" customHeight="1" s="398"/>
    <row r="942" ht="15.75" customHeight="1" s="398"/>
    <row r="943" ht="15.75" customHeight="1" s="398"/>
    <row r="944" ht="15.75" customHeight="1" s="398"/>
    <row r="945" ht="15.75" customHeight="1" s="398"/>
    <row r="946" ht="15.75" customHeight="1" s="398"/>
    <row r="947" ht="15.75" customHeight="1" s="398"/>
    <row r="948" ht="15.75" customHeight="1" s="398"/>
    <row r="949" ht="15.75" customHeight="1" s="398"/>
    <row r="950" ht="15.75" customHeight="1" s="398"/>
    <row r="951" ht="15.75" customHeight="1" s="398"/>
    <row r="952" ht="15.75" customHeight="1" s="398"/>
    <row r="953" ht="15.75" customHeight="1" s="398"/>
    <row r="954" ht="15.75" customHeight="1" s="398"/>
    <row r="955" ht="15.75" customHeight="1" s="398"/>
    <row r="956" ht="15.75" customHeight="1" s="398"/>
    <row r="957" ht="15.75" customHeight="1" s="398"/>
    <row r="958" ht="15.75" customHeight="1" s="398"/>
    <row r="959" ht="15.75" customHeight="1" s="398"/>
    <row r="960" ht="15.75" customHeight="1" s="398"/>
    <row r="961" ht="15.75" customHeight="1" s="398"/>
    <row r="962" ht="15.75" customHeight="1" s="398"/>
    <row r="963" ht="15.75" customHeight="1" s="398"/>
    <row r="964" ht="15.75" customHeight="1" s="398"/>
    <row r="965" ht="15.75" customHeight="1" s="398"/>
    <row r="966" ht="15.75" customHeight="1" s="398"/>
    <row r="967" ht="15.75" customHeight="1" s="398"/>
    <row r="968" ht="15.75" customHeight="1" s="398"/>
    <row r="969" ht="15.75" customHeight="1" s="398"/>
    <row r="970" ht="15.75" customHeight="1" s="398"/>
    <row r="971" ht="15.75" customHeight="1" s="398"/>
    <row r="972" ht="15.75" customHeight="1" s="398"/>
    <row r="973" ht="15.75" customHeight="1" s="398"/>
    <row r="974" ht="15.75" customHeight="1" s="398"/>
    <row r="975" ht="15.75" customHeight="1" s="398"/>
    <row r="976" ht="15.75" customHeight="1" s="398"/>
    <row r="977" ht="15.75" customHeight="1" s="398"/>
    <row r="978" ht="15.75" customHeight="1" s="398"/>
    <row r="979" ht="15.75" customHeight="1" s="398"/>
    <row r="980" ht="15.75" customHeight="1" s="398"/>
    <row r="981" ht="15.75" customHeight="1" s="398"/>
    <row r="982" ht="15.75" customHeight="1" s="398"/>
    <row r="983" ht="15.75" customHeight="1" s="398"/>
    <row r="984" ht="15.75" customHeight="1" s="398"/>
    <row r="985" ht="15.75" customHeight="1" s="398"/>
    <row r="986" ht="15.75" customHeight="1" s="398"/>
    <row r="987" ht="15.75" customHeight="1" s="398"/>
    <row r="988" ht="15.75" customHeight="1" s="398"/>
    <row r="989" ht="15.75" customHeight="1" s="398"/>
    <row r="990" ht="15.75" customHeight="1" s="398"/>
    <row r="991" ht="15.75" customHeight="1" s="398"/>
    <row r="992" ht="15.75" customHeight="1" s="398"/>
    <row r="993" ht="15.75" customHeight="1" s="398"/>
    <row r="994" ht="15.75" customHeight="1" s="398"/>
    <row r="995" ht="15.75" customHeight="1" s="398"/>
    <row r="996" ht="15.75" customHeight="1" s="398"/>
    <row r="997" ht="15.75" customHeight="1" s="398"/>
    <row r="998" ht="15.75" customHeight="1" s="398"/>
    <row r="999" ht="15.75" customHeight="1" s="398"/>
    <row r="1000" ht="15.75" customHeight="1" s="398"/>
  </sheetData>
  <mergeCells count="12">
    <mergeCell ref="E8:E10"/>
    <mergeCell ref="A3:F3"/>
    <mergeCell ref="L8:L10"/>
    <mergeCell ref="L6:L7"/>
    <mergeCell ref="K6:K7"/>
    <mergeCell ref="J6:J7"/>
    <mergeCell ref="E6:E7"/>
    <mergeCell ref="C6:C7"/>
    <mergeCell ref="K8:K10"/>
    <mergeCell ref="C8:C10"/>
    <mergeCell ref="A2:C2"/>
    <mergeCell ref="J8:J10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2025-02-24T21:08:58Z</dcterms:created>
  <dcterms:modified xsi:type="dcterms:W3CDTF">2026-03-10T04:41:43Z</dcterms:modified>
  <cp:lastModifiedBy>Matheus Kritli</cp:lastModifiedBy>
  <cp:lastPrinted>2025-03-12T21:01:01Z</cp:lastPrinted>
</cp:coreProperties>
</file>